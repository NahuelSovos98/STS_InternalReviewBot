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in.martinez\Documents\github-IRBot\STS_InternalReviewBot\STS IR Bot Performer\Data\Input\"/>
    </mc:Choice>
  </mc:AlternateContent>
  <xr:revisionPtr revIDLastSave="0" documentId="13_ncr:1_{7ED344A7-087E-497C-B4C3-EB0C9715E58E}" xr6:coauthVersionLast="47" xr6:coauthVersionMax="47" xr10:uidLastSave="{00000000-0000-0000-0000-000000000000}"/>
  <bookViews>
    <workbookView xWindow="-28065" yWindow="825" windowWidth="21600" windowHeight="11385" activeTab="4" xr2:uid="{00000000-000D-0000-FFFF-FFFF00000000}"/>
  </bookViews>
  <sheets>
    <sheet name="Hide-Unhide" sheetId="5" r:id="rId1"/>
    <sheet name="Rates-Service Fees" sheetId="3" r:id="rId2"/>
    <sheet name="Balancing Sheet" sheetId="11" r:id="rId3"/>
    <sheet name="Website" sheetId="1" r:id="rId4"/>
    <sheet name="Detail" sheetId="4" r:id="rId5"/>
  </sheets>
  <definedNames>
    <definedName name="_xlnm._FilterDatabase" localSheetId="2" hidden="1">'Balancing Sheet'!$A$1:$Q$3501</definedName>
    <definedName name="_xlnm._FilterDatabase" localSheetId="4" hidden="1">Detail!$A$7:$BG$501</definedName>
    <definedName name="_xlnm._FilterDatabase" localSheetId="3" hidden="1">Website!$A$1:$A$691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3" i="3" l="1" a="1"/>
  <c r="H2" i="11" a="1"/>
  <c r="H15" i="11" s="1"/>
  <c r="H1296" i="11"/>
  <c r="H1467" i="11"/>
  <c r="H1523" i="11"/>
  <c r="H1712" i="11"/>
  <c r="H1798" i="11"/>
  <c r="H1826" i="11"/>
  <c r="H1939" i="11"/>
  <c r="H1995" i="11"/>
  <c r="H2008" i="11"/>
  <c r="H2066" i="11"/>
  <c r="H2108" i="11"/>
  <c r="H2123" i="11"/>
  <c r="H2179" i="11"/>
  <c r="H2222" i="11"/>
  <c r="H2236" i="11"/>
  <c r="H2283" i="11"/>
  <c r="H2304" i="11"/>
  <c r="H2311" i="11"/>
  <c r="H2339" i="11"/>
  <c r="H2360" i="11"/>
  <c r="H2368" i="11"/>
  <c r="H2396" i="11"/>
  <c r="H2418" i="11"/>
  <c r="H2424" i="11"/>
  <c r="H2454" i="11"/>
  <c r="H2475" i="11"/>
  <c r="H2482" i="11"/>
  <c r="H2510" i="11"/>
  <c r="H2531" i="11"/>
  <c r="H2539" i="11"/>
  <c r="H2558" i="11"/>
  <c r="H2566" i="11"/>
  <c r="H2567" i="11"/>
  <c r="H2576" i="11"/>
  <c r="H2582" i="11"/>
  <c r="H2583" i="11"/>
  <c r="H2590" i="11"/>
  <c r="H2595" i="11"/>
  <c r="H2598" i="11"/>
  <c r="H2604" i="11"/>
  <c r="H2610" i="11"/>
  <c r="H2611" i="11"/>
  <c r="H2619" i="11"/>
  <c r="H2624" i="11"/>
  <c r="H2626" i="11"/>
  <c r="H2632" i="11"/>
  <c r="H2638" i="11"/>
  <c r="H2640" i="11"/>
  <c r="H2647" i="11"/>
  <c r="H2652" i="11"/>
  <c r="H2654" i="11"/>
  <c r="H2662" i="11"/>
  <c r="H2667" i="11"/>
  <c r="H2668" i="11"/>
  <c r="H2675" i="11"/>
  <c r="H2680" i="11"/>
  <c r="H2683" i="11"/>
  <c r="H2690" i="11"/>
  <c r="H2695" i="11"/>
  <c r="H2696" i="11"/>
  <c r="H2704" i="11"/>
  <c r="H2710" i="11"/>
  <c r="H2711" i="11"/>
  <c r="H2718" i="11"/>
  <c r="H2723" i="11"/>
  <c r="H2726" i="11"/>
  <c r="H2732" i="11"/>
  <c r="H2738" i="11"/>
  <c r="H2739" i="11"/>
  <c r="H2747" i="11"/>
  <c r="H2752" i="11"/>
  <c r="H2754" i="11"/>
  <c r="H2760" i="11"/>
  <c r="H2766" i="11"/>
  <c r="H2768" i="11"/>
  <c r="H2775" i="11"/>
  <c r="H2780" i="11"/>
  <c r="H2782" i="11"/>
  <c r="H2790" i="11"/>
  <c r="H2795" i="11"/>
  <c r="H2796" i="11"/>
  <c r="H2803" i="11"/>
  <c r="H2808" i="11"/>
  <c r="H2811" i="11"/>
  <c r="H2818" i="11"/>
  <c r="H2823" i="11"/>
  <c r="H2824" i="11"/>
  <c r="H2832" i="11"/>
  <c r="H2838" i="11"/>
  <c r="H2839" i="11"/>
  <c r="H2846" i="11"/>
  <c r="H2851" i="11"/>
  <c r="H2854" i="11"/>
  <c r="H2860" i="11"/>
  <c r="H2866" i="11"/>
  <c r="H2867" i="11"/>
  <c r="H2875" i="11"/>
  <c r="H2880" i="11"/>
  <c r="H2882" i="11"/>
  <c r="H2888" i="11"/>
  <c r="H2894" i="11"/>
  <c r="H2896" i="11"/>
  <c r="H2903" i="11"/>
  <c r="H2908" i="11"/>
  <c r="H2910" i="11"/>
  <c r="H2915" i="11"/>
  <c r="H2918" i="11"/>
  <c r="H2920" i="11"/>
  <c r="H2924" i="11"/>
  <c r="H2928" i="11"/>
  <c r="H2930" i="11"/>
  <c r="H2935" i="11"/>
  <c r="H2936" i="11"/>
  <c r="H2939" i="11"/>
  <c r="H2944" i="11"/>
  <c r="H2946" i="11"/>
  <c r="H2950" i="11"/>
  <c r="H2952" i="11"/>
  <c r="H2956" i="11"/>
  <c r="H2958" i="11"/>
  <c r="H2963" i="11"/>
  <c r="H2966" i="11"/>
  <c r="H2967" i="11"/>
  <c r="H2972" i="11"/>
  <c r="H2974" i="11"/>
  <c r="H2978" i="11"/>
  <c r="H2982" i="11"/>
  <c r="H2984" i="11"/>
  <c r="H2987" i="11"/>
  <c r="H2992" i="11"/>
  <c r="H2994" i="11"/>
  <c r="H2995" i="11"/>
  <c r="H3000" i="11"/>
  <c r="H3003" i="11"/>
  <c r="H3006" i="11"/>
  <c r="H3010" i="11"/>
  <c r="H3014" i="11"/>
  <c r="H3015" i="11"/>
  <c r="H3019" i="11"/>
  <c r="H3020" i="11"/>
  <c r="H3022" i="11"/>
  <c r="H3026" i="11"/>
  <c r="H3027" i="11"/>
  <c r="H3030" i="11"/>
  <c r="H3032" i="11"/>
  <c r="H3035" i="11"/>
  <c r="H3036" i="11"/>
  <c r="H3040" i="11"/>
  <c r="H3042" i="11"/>
  <c r="H3043" i="11"/>
  <c r="H3047" i="11"/>
  <c r="H3048" i="11"/>
  <c r="H3051" i="11"/>
  <c r="H3054" i="11"/>
  <c r="H3056" i="11"/>
  <c r="H3058" i="11"/>
  <c r="H3062" i="11"/>
  <c r="H3063" i="11"/>
  <c r="H3064" i="11"/>
  <c r="H3068" i="11"/>
  <c r="H3070" i="11"/>
  <c r="H3072" i="11"/>
  <c r="H3075" i="11"/>
  <c r="H3078" i="11"/>
  <c r="H3079" i="11"/>
  <c r="H3083" i="11"/>
  <c r="H3084" i="11"/>
  <c r="H3086" i="11"/>
  <c r="H3090" i="11"/>
  <c r="H3091" i="11"/>
  <c r="H3094" i="11"/>
  <c r="H3096" i="11"/>
  <c r="H3099" i="11"/>
  <c r="H3100" i="11"/>
  <c r="H3104" i="11"/>
  <c r="H3106" i="11"/>
  <c r="H3107" i="11"/>
  <c r="H3111" i="11"/>
  <c r="H3112" i="11"/>
  <c r="H3115" i="11"/>
  <c r="H3118" i="11"/>
  <c r="H3120" i="11"/>
  <c r="H3122" i="11"/>
  <c r="H3126" i="11"/>
  <c r="H3127" i="11"/>
  <c r="H3128" i="11"/>
  <c r="H3132" i="11"/>
  <c r="H3134" i="11"/>
  <c r="H3136" i="11"/>
  <c r="H3139" i="11"/>
  <c r="H3142" i="11"/>
  <c r="H3143" i="11"/>
  <c r="H3147" i="11"/>
  <c r="H3148" i="11"/>
  <c r="H3150" i="11"/>
  <c r="H3154" i="11"/>
  <c r="H3155" i="11"/>
  <c r="H3158" i="11"/>
  <c r="H3160" i="11"/>
  <c r="H3163" i="11"/>
  <c r="H3164" i="11"/>
  <c r="H3168" i="11"/>
  <c r="H3170" i="11"/>
  <c r="H3171" i="11"/>
  <c r="H3175" i="11"/>
  <c r="H3176" i="11"/>
  <c r="H3179" i="11"/>
  <c r="H3182" i="11"/>
  <c r="H3184" i="11"/>
  <c r="H3186" i="11"/>
  <c r="H3190" i="11"/>
  <c r="H3191" i="11"/>
  <c r="H3192" i="11"/>
  <c r="H3196" i="11"/>
  <c r="H3198" i="11"/>
  <c r="H3200" i="11"/>
  <c r="H3203" i="11"/>
  <c r="H3206" i="11"/>
  <c r="H3207" i="11"/>
  <c r="H3211" i="11"/>
  <c r="H3212" i="11"/>
  <c r="H3214" i="11"/>
  <c r="H3218" i="11"/>
  <c r="H3219" i="11"/>
  <c r="H3222" i="11"/>
  <c r="H3224" i="11"/>
  <c r="H3227" i="11"/>
  <c r="H3228" i="11"/>
  <c r="H3232" i="11"/>
  <c r="H3234" i="11"/>
  <c r="H3235" i="11"/>
  <c r="H3239" i="11"/>
  <c r="H3240" i="11"/>
  <c r="H3243" i="11"/>
  <c r="H3246" i="11"/>
  <c r="H3248" i="11"/>
  <c r="H3250" i="11"/>
  <c r="H3254" i="11"/>
  <c r="H3255" i="11"/>
  <c r="H3256" i="11"/>
  <c r="H3260" i="11"/>
  <c r="H3262" i="11"/>
  <c r="H3264" i="11"/>
  <c r="H3267" i="11"/>
  <c r="H3270" i="11"/>
  <c r="H3271" i="11"/>
  <c r="H3275" i="11"/>
  <c r="H3276" i="11"/>
  <c r="H3278" i="11"/>
  <c r="H3282" i="11"/>
  <c r="H3283" i="11"/>
  <c r="H3286" i="11"/>
  <c r="H3288" i="11"/>
  <c r="H3291" i="11"/>
  <c r="H3292" i="11"/>
  <c r="H3296" i="11"/>
  <c r="H3298" i="11"/>
  <c r="H3299" i="11"/>
  <c r="H3303" i="11"/>
  <c r="H3304" i="11"/>
  <c r="H3307" i="11"/>
  <c r="H3310" i="11"/>
  <c r="H3312" i="11"/>
  <c r="H3314" i="11"/>
  <c r="H3318" i="11"/>
  <c r="H3319" i="11"/>
  <c r="H3320" i="11"/>
  <c r="H3324" i="11"/>
  <c r="H3326" i="11"/>
  <c r="H3328" i="11"/>
  <c r="H3331" i="11"/>
  <c r="H3334" i="11"/>
  <c r="H3335" i="11"/>
  <c r="H3339" i="11"/>
  <c r="H3340" i="11"/>
  <c r="H3342" i="11"/>
  <c r="H3346" i="11"/>
  <c r="H3347" i="11"/>
  <c r="H3350" i="11"/>
  <c r="H3352" i="11"/>
  <c r="H3355" i="11"/>
  <c r="H3356" i="11"/>
  <c r="H3360" i="11"/>
  <c r="H3362" i="11"/>
  <c r="H3363" i="11"/>
  <c r="H3367" i="11"/>
  <c r="H3368" i="11"/>
  <c r="H3371" i="11"/>
  <c r="H3374" i="11"/>
  <c r="H3376" i="11"/>
  <c r="H3378" i="11"/>
  <c r="H3382" i="11"/>
  <c r="H3383" i="11"/>
  <c r="H3384" i="11"/>
  <c r="H3388" i="11"/>
  <c r="H3390" i="11"/>
  <c r="H3392" i="11"/>
  <c r="H3395" i="11"/>
  <c r="H3398" i="11"/>
  <c r="H3399" i="11"/>
  <c r="H3403" i="11"/>
  <c r="H3404" i="11"/>
  <c r="H3406" i="11"/>
  <c r="H3410" i="11"/>
  <c r="H3411" i="11"/>
  <c r="H3414" i="11"/>
  <c r="H3416" i="11"/>
  <c r="H3419" i="11"/>
  <c r="H3420" i="11"/>
  <c r="H3424" i="11"/>
  <c r="H3426" i="11"/>
  <c r="H3427" i="11"/>
  <c r="H3431" i="11"/>
  <c r="H3432" i="11"/>
  <c r="H3435" i="11"/>
  <c r="H3438" i="11"/>
  <c r="H3440" i="11"/>
  <c r="H3442" i="11"/>
  <c r="H3446" i="11"/>
  <c r="H3447" i="11"/>
  <c r="H3448" i="11"/>
  <c r="H3451" i="11"/>
  <c r="H3452" i="11"/>
  <c r="H3454" i="11"/>
  <c r="H3456" i="11"/>
  <c r="H3458" i="11"/>
  <c r="H3459" i="11"/>
  <c r="H3462" i="11"/>
  <c r="H3463" i="11"/>
  <c r="H3464" i="11"/>
  <c r="H3467" i="11"/>
  <c r="H3468" i="11"/>
  <c r="H3470" i="11"/>
  <c r="H3472" i="11"/>
  <c r="H3474" i="11"/>
  <c r="H3475" i="11"/>
  <c r="H3478" i="11"/>
  <c r="H3479" i="11"/>
  <c r="H3480" i="11"/>
  <c r="H3483" i="11"/>
  <c r="H3484" i="11"/>
  <c r="H3486" i="11"/>
  <c r="H3488" i="11"/>
  <c r="H3490" i="11"/>
  <c r="H3491" i="11"/>
  <c r="H3494" i="11"/>
  <c r="H3495" i="11"/>
  <c r="H3496" i="11"/>
  <c r="H3499" i="11"/>
  <c r="H3500" i="11"/>
  <c r="G2" i="11" a="1"/>
  <c r="G2925" i="11"/>
  <c r="F2" i="11" a="1"/>
  <c r="F1132" i="11" s="1"/>
  <c r="E2" i="11" a="1"/>
  <c r="E544" i="11" s="1"/>
  <c r="D2" i="11" a="1"/>
  <c r="C2" i="11" a="1"/>
  <c r="C1629" i="11" s="1"/>
  <c r="B2" i="11" a="1"/>
  <c r="B25" i="11" s="1"/>
  <c r="B3175" i="11"/>
  <c r="A2" i="11" a="1"/>
  <c r="B1" i="3" a="1"/>
  <c r="JY22" i="3" s="1"/>
  <c r="B2936" i="11" l="1"/>
  <c r="F3501" i="11"/>
  <c r="F3497" i="11"/>
  <c r="F3493" i="11"/>
  <c r="F3489" i="11"/>
  <c r="F3485" i="11"/>
  <c r="F3481" i="11"/>
  <c r="F3477" i="11"/>
  <c r="F3473" i="11"/>
  <c r="F3469" i="11"/>
  <c r="F3465" i="11"/>
  <c r="F3461" i="11"/>
  <c r="F3457" i="11"/>
  <c r="F3453" i="11"/>
  <c r="F3449" i="11"/>
  <c r="F3445" i="11"/>
  <c r="F3441" i="11"/>
  <c r="F3437" i="11"/>
  <c r="F3433" i="11"/>
  <c r="F3429" i="11"/>
  <c r="F3425" i="11"/>
  <c r="F3421" i="11"/>
  <c r="F3417" i="11"/>
  <c r="F3413" i="11"/>
  <c r="F3409" i="11"/>
  <c r="F3405" i="11"/>
  <c r="F3401" i="11"/>
  <c r="F3397" i="11"/>
  <c r="F3393" i="11"/>
  <c r="F3389" i="11"/>
  <c r="F3385" i="11"/>
  <c r="F3381" i="11"/>
  <c r="F3377" i="11"/>
  <c r="F3373" i="11"/>
  <c r="F3369" i="11"/>
  <c r="F3365" i="11"/>
  <c r="F3361" i="11"/>
  <c r="F3357" i="11"/>
  <c r="F3353" i="11"/>
  <c r="F3349" i="11"/>
  <c r="F3345" i="11"/>
  <c r="F3341" i="11"/>
  <c r="F3337" i="11"/>
  <c r="F3333" i="11"/>
  <c r="F3329" i="11"/>
  <c r="F3325" i="11"/>
  <c r="F3321" i="11"/>
  <c r="F3317" i="11"/>
  <c r="F3313" i="11"/>
  <c r="F3309" i="11"/>
  <c r="F3305" i="11"/>
  <c r="F3301" i="11"/>
  <c r="F3297" i="11"/>
  <c r="F3293" i="11"/>
  <c r="F3289" i="11"/>
  <c r="F3285" i="11"/>
  <c r="F3281" i="11"/>
  <c r="F3277" i="11"/>
  <c r="F3273" i="11"/>
  <c r="F3269" i="11"/>
  <c r="F3265" i="11"/>
  <c r="F3261" i="11"/>
  <c r="F3257" i="11"/>
  <c r="F3253" i="11"/>
  <c r="F3249" i="11"/>
  <c r="F3245" i="11"/>
  <c r="F3241" i="11"/>
  <c r="F3237" i="11"/>
  <c r="F3233" i="11"/>
  <c r="F3229" i="11"/>
  <c r="F3225" i="11"/>
  <c r="F3221" i="11"/>
  <c r="F3217" i="11"/>
  <c r="F3213" i="11"/>
  <c r="F3209" i="11"/>
  <c r="F3205" i="11"/>
  <c r="F3201" i="11"/>
  <c r="F3197" i="11"/>
  <c r="F3193" i="11"/>
  <c r="F3189" i="11"/>
  <c r="F3185" i="11"/>
  <c r="F3181" i="11"/>
  <c r="F3177" i="11"/>
  <c r="F3173" i="11"/>
  <c r="F3169" i="11"/>
  <c r="F3165" i="11"/>
  <c r="F3161" i="11"/>
  <c r="F3157" i="11"/>
  <c r="F3153" i="11"/>
  <c r="F3149" i="11"/>
  <c r="F3145" i="11"/>
  <c r="F3141" i="11"/>
  <c r="F3137" i="11"/>
  <c r="F3133" i="11"/>
  <c r="F3129" i="11"/>
  <c r="F3125" i="11"/>
  <c r="F3121" i="11"/>
  <c r="F3117" i="11"/>
  <c r="F3113" i="11"/>
  <c r="F3109" i="11"/>
  <c r="F3105" i="11"/>
  <c r="F3101" i="11"/>
  <c r="F3097" i="11"/>
  <c r="F3093" i="11"/>
  <c r="F3089" i="11"/>
  <c r="F3085" i="11"/>
  <c r="F3081" i="11"/>
  <c r="F3077" i="11"/>
  <c r="F3073" i="11"/>
  <c r="F3069" i="11"/>
  <c r="F3065" i="11"/>
  <c r="F3061" i="11"/>
  <c r="F3057" i="11"/>
  <c r="F3053" i="11"/>
  <c r="F3049" i="11"/>
  <c r="F3045" i="11"/>
  <c r="F3041" i="11"/>
  <c r="F3037" i="11"/>
  <c r="F3033" i="11"/>
  <c r="F3027" i="11"/>
  <c r="F3022" i="11"/>
  <c r="F3017" i="11"/>
  <c r="F3011" i="11"/>
  <c r="F3006" i="11"/>
  <c r="F3001" i="11"/>
  <c r="F2995" i="11"/>
  <c r="F2990" i="11"/>
  <c r="F2985" i="11"/>
  <c r="F2979" i="11"/>
  <c r="F2974" i="11"/>
  <c r="F2969" i="11"/>
  <c r="F2963" i="11"/>
  <c r="F2958" i="11"/>
  <c r="F2953" i="11"/>
  <c r="F2947" i="11"/>
  <c r="F2942" i="11"/>
  <c r="F2937" i="11"/>
  <c r="F2931" i="11"/>
  <c r="F2926" i="11"/>
  <c r="F2921" i="11"/>
  <c r="F2915" i="11"/>
  <c r="F2910" i="11"/>
  <c r="F2905" i="11"/>
  <c r="F2899" i="11"/>
  <c r="F2894" i="11"/>
  <c r="F2889" i="11"/>
  <c r="F2883" i="11"/>
  <c r="F2878" i="11"/>
  <c r="F2873" i="11"/>
  <c r="F2867" i="11"/>
  <c r="F2862" i="11"/>
  <c r="F2857" i="11"/>
  <c r="F2851" i="11"/>
  <c r="F2846" i="11"/>
  <c r="F2841" i="11"/>
  <c r="F2835" i="11"/>
  <c r="F2830" i="11"/>
  <c r="F2825" i="11"/>
  <c r="F2819" i="11"/>
  <c r="F2814" i="11"/>
  <c r="F2809" i="11"/>
  <c r="F2803" i="11"/>
  <c r="F2798" i="11"/>
  <c r="F2793" i="11"/>
  <c r="F2787" i="11"/>
  <c r="F2782" i="11"/>
  <c r="F2777" i="11"/>
  <c r="F2771" i="11"/>
  <c r="F2766" i="11"/>
  <c r="F2761" i="11"/>
  <c r="F2755" i="11"/>
  <c r="F2750" i="11"/>
  <c r="F2745" i="11"/>
  <c r="F2739" i="11"/>
  <c r="F2734" i="11"/>
  <c r="F2729" i="11"/>
  <c r="F2723" i="11"/>
  <c r="F2718" i="11"/>
  <c r="F2713" i="11"/>
  <c r="F2707" i="11"/>
  <c r="F2702" i="11"/>
  <c r="F2697" i="11"/>
  <c r="F2691" i="11"/>
  <c r="F2686" i="11"/>
  <c r="F2681" i="11"/>
  <c r="F2675" i="11"/>
  <c r="F2670" i="11"/>
  <c r="F2665" i="11"/>
  <c r="F2659" i="11"/>
  <c r="F2654" i="11"/>
  <c r="F2649" i="11"/>
  <c r="F2643" i="11"/>
  <c r="F2638" i="11"/>
  <c r="F2633" i="11"/>
  <c r="F2627" i="11"/>
  <c r="F2622" i="11"/>
  <c r="F2617" i="11"/>
  <c r="F2611" i="11"/>
  <c r="F2605" i="11"/>
  <c r="F2599" i="11"/>
  <c r="F2591" i="11"/>
  <c r="F2584" i="11"/>
  <c r="F2577" i="11"/>
  <c r="F2569" i="11"/>
  <c r="F2563" i="11"/>
  <c r="F2556" i="11"/>
  <c r="F2548" i="11"/>
  <c r="F2541" i="11"/>
  <c r="F2535" i="11"/>
  <c r="F2527" i="11"/>
  <c r="F2520" i="11"/>
  <c r="F2513" i="11"/>
  <c r="F2505" i="11"/>
  <c r="F2499" i="11"/>
  <c r="F2492" i="11"/>
  <c r="F2484" i="11"/>
  <c r="F2477" i="11"/>
  <c r="F2471" i="11"/>
  <c r="F2463" i="11"/>
  <c r="F2456" i="11"/>
  <c r="F2449" i="11"/>
  <c r="F2441" i="11"/>
  <c r="F2435" i="11"/>
  <c r="F2428" i="11"/>
  <c r="F2420" i="11"/>
  <c r="F2413" i="11"/>
  <c r="F2407" i="11"/>
  <c r="F2399" i="11"/>
  <c r="F2391" i="11"/>
  <c r="F2381" i="11"/>
  <c r="F2371" i="11"/>
  <c r="F2363" i="11"/>
  <c r="F2353" i="11"/>
  <c r="F2343" i="11"/>
  <c r="F2333" i="11"/>
  <c r="F2325" i="11"/>
  <c r="F2313" i="11"/>
  <c r="F2285" i="11"/>
  <c r="F2257" i="11"/>
  <c r="F2225" i="11"/>
  <c r="F2201" i="11"/>
  <c r="F2173" i="11"/>
  <c r="F2139" i="11"/>
  <c r="F2018" i="11"/>
  <c r="F1779" i="11"/>
  <c r="F3500" i="11"/>
  <c r="F3496" i="11"/>
  <c r="F3492" i="11"/>
  <c r="F3488" i="11"/>
  <c r="F3484" i="11"/>
  <c r="F3480" i="11"/>
  <c r="F3476" i="11"/>
  <c r="F3472" i="11"/>
  <c r="F3468" i="11"/>
  <c r="F3464" i="11"/>
  <c r="F3460" i="11"/>
  <c r="F3456" i="11"/>
  <c r="F3452" i="11"/>
  <c r="F3448" i="11"/>
  <c r="F3444" i="11"/>
  <c r="F3440" i="11"/>
  <c r="F3436" i="11"/>
  <c r="F3432" i="11"/>
  <c r="F3428" i="11"/>
  <c r="F3424" i="11"/>
  <c r="F3420" i="11"/>
  <c r="F3416" i="11"/>
  <c r="F3412" i="11"/>
  <c r="F3408" i="11"/>
  <c r="F3404" i="11"/>
  <c r="F3400" i="11"/>
  <c r="F3396" i="11"/>
  <c r="F3392" i="11"/>
  <c r="F3388" i="11"/>
  <c r="F3384" i="11"/>
  <c r="F3380" i="11"/>
  <c r="F3376" i="11"/>
  <c r="F3372" i="11"/>
  <c r="F3368" i="11"/>
  <c r="F3364" i="11"/>
  <c r="F3360" i="11"/>
  <c r="F3356" i="11"/>
  <c r="F3352" i="11"/>
  <c r="F3348" i="11"/>
  <c r="F3344" i="11"/>
  <c r="F3340" i="11"/>
  <c r="F3336" i="11"/>
  <c r="F3332" i="11"/>
  <c r="F3328" i="11"/>
  <c r="F3324" i="11"/>
  <c r="F3320" i="11"/>
  <c r="F3316" i="11"/>
  <c r="F3312" i="11"/>
  <c r="F3308" i="11"/>
  <c r="F3304" i="11"/>
  <c r="F3300" i="11"/>
  <c r="F3296" i="11"/>
  <c r="F3292" i="11"/>
  <c r="F3288" i="11"/>
  <c r="F3284" i="11"/>
  <c r="F3280" i="11"/>
  <c r="F3276" i="11"/>
  <c r="F3272" i="11"/>
  <c r="F3268" i="11"/>
  <c r="F3264" i="11"/>
  <c r="F3260" i="11"/>
  <c r="F3256" i="11"/>
  <c r="F3252" i="11"/>
  <c r="F3248" i="11"/>
  <c r="F3244" i="11"/>
  <c r="F3240" i="11"/>
  <c r="F3236" i="11"/>
  <c r="F3232" i="11"/>
  <c r="F3228" i="11"/>
  <c r="F3224" i="11"/>
  <c r="F3220" i="11"/>
  <c r="F3216" i="11"/>
  <c r="F3212" i="11"/>
  <c r="F3208" i="11"/>
  <c r="F3204" i="11"/>
  <c r="F3200" i="11"/>
  <c r="F3196" i="11"/>
  <c r="F3192" i="11"/>
  <c r="F3188" i="11"/>
  <c r="F3184" i="11"/>
  <c r="F3180" i="11"/>
  <c r="F3176" i="11"/>
  <c r="F3172" i="11"/>
  <c r="F3168" i="11"/>
  <c r="F3164" i="11"/>
  <c r="F3160" i="11"/>
  <c r="F3156" i="11"/>
  <c r="F3152" i="11"/>
  <c r="F3148" i="11"/>
  <c r="F3144" i="11"/>
  <c r="F3140" i="11"/>
  <c r="F3136" i="11"/>
  <c r="F3132" i="11"/>
  <c r="F3128" i="11"/>
  <c r="F3124" i="11"/>
  <c r="F3120" i="11"/>
  <c r="F3116" i="11"/>
  <c r="F3112" i="11"/>
  <c r="F3108" i="11"/>
  <c r="F3104" i="11"/>
  <c r="F3100" i="11"/>
  <c r="F3096" i="11"/>
  <c r="F3092" i="11"/>
  <c r="F3088" i="11"/>
  <c r="F3084" i="11"/>
  <c r="F3080" i="11"/>
  <c r="F3076" i="11"/>
  <c r="F3072" i="11"/>
  <c r="F3068" i="11"/>
  <c r="F3064" i="11"/>
  <c r="F3060" i="11"/>
  <c r="F3056" i="11"/>
  <c r="F3052" i="11"/>
  <c r="F3048" i="11"/>
  <c r="F3044" i="11"/>
  <c r="F3040" i="11"/>
  <c r="F3036" i="11"/>
  <c r="F3031" i="11"/>
  <c r="F3026" i="11"/>
  <c r="F3021" i="11"/>
  <c r="F3015" i="11"/>
  <c r="F3010" i="11"/>
  <c r="F3005" i="11"/>
  <c r="F2999" i="11"/>
  <c r="F2994" i="11"/>
  <c r="F2989" i="11"/>
  <c r="F2983" i="11"/>
  <c r="F2978" i="11"/>
  <c r="F2973" i="11"/>
  <c r="F2967" i="11"/>
  <c r="F2962" i="11"/>
  <c r="F2957" i="11"/>
  <c r="F2951" i="11"/>
  <c r="F2946" i="11"/>
  <c r="F2941" i="11"/>
  <c r="F2935" i="11"/>
  <c r="F2930" i="11"/>
  <c r="F2925" i="11"/>
  <c r="F2919" i="11"/>
  <c r="F2914" i="11"/>
  <c r="F2909" i="11"/>
  <c r="F2903" i="11"/>
  <c r="F2898" i="11"/>
  <c r="F2893" i="11"/>
  <c r="F2887" i="11"/>
  <c r="F2882" i="11"/>
  <c r="F2877" i="11"/>
  <c r="F2871" i="11"/>
  <c r="F2866" i="11"/>
  <c r="F2861" i="11"/>
  <c r="F2855" i="11"/>
  <c r="F2850" i="11"/>
  <c r="F2845" i="11"/>
  <c r="F2839" i="11"/>
  <c r="F2834" i="11"/>
  <c r="F2829" i="11"/>
  <c r="F2823" i="11"/>
  <c r="F2818" i="11"/>
  <c r="F2813" i="11"/>
  <c r="F2807" i="11"/>
  <c r="F2802" i="11"/>
  <c r="F2797" i="11"/>
  <c r="F2791" i="11"/>
  <c r="F2786" i="11"/>
  <c r="F2781" i="11"/>
  <c r="F2775" i="11"/>
  <c r="F2770" i="11"/>
  <c r="F2765" i="11"/>
  <c r="F2759" i="11"/>
  <c r="F2754" i="11"/>
  <c r="F2749" i="11"/>
  <c r="F2743" i="11"/>
  <c r="F2738" i="11"/>
  <c r="F2733" i="11"/>
  <c r="F2727" i="11"/>
  <c r="F2722" i="11"/>
  <c r="F2717" i="11"/>
  <c r="F2711" i="11"/>
  <c r="F2706" i="11"/>
  <c r="F2701" i="11"/>
  <c r="F2695" i="11"/>
  <c r="F2690" i="11"/>
  <c r="F2685" i="11"/>
  <c r="F2679" i="11"/>
  <c r="F2674" i="11"/>
  <c r="F2669" i="11"/>
  <c r="F2663" i="11"/>
  <c r="F2658" i="11"/>
  <c r="F2653" i="11"/>
  <c r="F2647" i="11"/>
  <c r="F2642" i="11"/>
  <c r="F2637" i="11"/>
  <c r="F2631" i="11"/>
  <c r="F2626" i="11"/>
  <c r="F2621" i="11"/>
  <c r="F2615" i="11"/>
  <c r="F2610" i="11"/>
  <c r="F2604" i="11"/>
  <c r="F2596" i="11"/>
  <c r="F2589" i="11"/>
  <c r="F2583" i="11"/>
  <c r="F2575" i="11"/>
  <c r="F2568" i="11"/>
  <c r="F2561" i="11"/>
  <c r="F2553" i="11"/>
  <c r="F2547" i="11"/>
  <c r="F2540" i="11"/>
  <c r="F2532" i="11"/>
  <c r="F2525" i="11"/>
  <c r="F2519" i="11"/>
  <c r="F2511" i="11"/>
  <c r="F2504" i="11"/>
  <c r="F2497" i="11"/>
  <c r="F2489" i="11"/>
  <c r="F2483" i="11"/>
  <c r="F2476" i="11"/>
  <c r="F2468" i="11"/>
  <c r="F2461" i="11"/>
  <c r="F2455" i="11"/>
  <c r="F2447" i="11"/>
  <c r="F2440" i="11"/>
  <c r="F2433" i="11"/>
  <c r="F2425" i="11"/>
  <c r="F2419" i="11"/>
  <c r="F2412" i="11"/>
  <c r="F2404" i="11"/>
  <c r="F2397" i="11"/>
  <c r="F2389" i="11"/>
  <c r="F2379" i="11"/>
  <c r="F2369" i="11"/>
  <c r="F2360" i="11"/>
  <c r="F2349" i="11"/>
  <c r="F2341" i="11"/>
  <c r="F2332" i="11"/>
  <c r="F2321" i="11"/>
  <c r="F2305" i="11"/>
  <c r="F2281" i="11"/>
  <c r="F2249" i="11"/>
  <c r="F2221" i="11"/>
  <c r="F2193" i="11"/>
  <c r="F2161" i="11"/>
  <c r="F2132" i="11"/>
  <c r="F1990" i="11"/>
  <c r="F1651" i="11"/>
  <c r="B2638" i="11"/>
  <c r="F3499" i="11"/>
  <c r="F3495" i="11"/>
  <c r="F3491" i="11"/>
  <c r="F3487" i="11"/>
  <c r="F3483" i="11"/>
  <c r="F3479" i="11"/>
  <c r="F3475" i="11"/>
  <c r="F3471" i="11"/>
  <c r="F3467" i="11"/>
  <c r="F3463" i="11"/>
  <c r="F3459" i="11"/>
  <c r="F3455" i="11"/>
  <c r="F3451" i="11"/>
  <c r="F3447" i="11"/>
  <c r="F3443" i="11"/>
  <c r="F3439" i="11"/>
  <c r="F3435" i="11"/>
  <c r="F3431" i="11"/>
  <c r="F3427" i="11"/>
  <c r="F3423" i="11"/>
  <c r="F3419" i="11"/>
  <c r="F3415" i="11"/>
  <c r="F3411" i="11"/>
  <c r="F3407" i="11"/>
  <c r="F3403" i="11"/>
  <c r="F3399" i="11"/>
  <c r="F3395" i="11"/>
  <c r="F3391" i="11"/>
  <c r="F3387" i="11"/>
  <c r="F3383" i="11"/>
  <c r="F3379" i="11"/>
  <c r="F3375" i="11"/>
  <c r="F3371" i="11"/>
  <c r="F3367" i="11"/>
  <c r="F3363" i="11"/>
  <c r="F3359" i="11"/>
  <c r="F3355" i="11"/>
  <c r="F3351" i="11"/>
  <c r="F3347" i="11"/>
  <c r="F3343" i="11"/>
  <c r="F3339" i="11"/>
  <c r="F3335" i="11"/>
  <c r="F3331" i="11"/>
  <c r="F3327" i="11"/>
  <c r="F3323" i="11"/>
  <c r="F3319" i="11"/>
  <c r="F3315" i="11"/>
  <c r="F3311" i="11"/>
  <c r="F3307" i="11"/>
  <c r="F3303" i="11"/>
  <c r="F3299" i="11"/>
  <c r="F3295" i="11"/>
  <c r="F3291" i="11"/>
  <c r="F3287" i="11"/>
  <c r="F3283" i="11"/>
  <c r="F3279" i="11"/>
  <c r="F3275" i="11"/>
  <c r="F3271" i="11"/>
  <c r="F3267" i="11"/>
  <c r="F3263" i="11"/>
  <c r="F3259" i="11"/>
  <c r="F3255" i="11"/>
  <c r="F3251" i="11"/>
  <c r="F3247" i="11"/>
  <c r="F3243" i="11"/>
  <c r="F3239" i="11"/>
  <c r="F3235" i="11"/>
  <c r="F3231" i="11"/>
  <c r="F3227" i="11"/>
  <c r="F3223" i="11"/>
  <c r="F3219" i="11"/>
  <c r="F3215" i="11"/>
  <c r="F3211" i="11"/>
  <c r="F3207" i="11"/>
  <c r="F3203" i="11"/>
  <c r="F3199" i="11"/>
  <c r="F3195" i="11"/>
  <c r="F3191" i="11"/>
  <c r="F3187" i="11"/>
  <c r="F3183" i="11"/>
  <c r="F3179" i="11"/>
  <c r="F3175" i="11"/>
  <c r="F3171" i="11"/>
  <c r="F3167" i="11"/>
  <c r="F3163" i="11"/>
  <c r="F3159" i="11"/>
  <c r="F3155" i="11"/>
  <c r="F3151" i="11"/>
  <c r="F3147" i="11"/>
  <c r="F3143" i="11"/>
  <c r="F3139" i="11"/>
  <c r="F3135" i="11"/>
  <c r="F3131" i="11"/>
  <c r="F3127" i="11"/>
  <c r="F3123" i="11"/>
  <c r="F3119" i="11"/>
  <c r="F3115" i="11"/>
  <c r="F3111" i="11"/>
  <c r="F3107" i="11"/>
  <c r="F3103" i="11"/>
  <c r="F3099" i="11"/>
  <c r="F3095" i="11"/>
  <c r="F3091" i="11"/>
  <c r="F3087" i="11"/>
  <c r="F3083" i="11"/>
  <c r="F3079" i="11"/>
  <c r="F3075" i="11"/>
  <c r="F3071" i="11"/>
  <c r="F3067" i="11"/>
  <c r="F3063" i="11"/>
  <c r="F3059" i="11"/>
  <c r="F3055" i="11"/>
  <c r="F3051" i="11"/>
  <c r="F3047" i="11"/>
  <c r="F3043" i="11"/>
  <c r="F3039" i="11"/>
  <c r="F3035" i="11"/>
  <c r="F3030" i="11"/>
  <c r="F3025" i="11"/>
  <c r="F3019" i="11"/>
  <c r="F3014" i="11"/>
  <c r="F3009" i="11"/>
  <c r="F3003" i="11"/>
  <c r="F2998" i="11"/>
  <c r="F2993" i="11"/>
  <c r="F2987" i="11"/>
  <c r="F2982" i="11"/>
  <c r="F2977" i="11"/>
  <c r="F2971" i="11"/>
  <c r="F2966" i="11"/>
  <c r="F2961" i="11"/>
  <c r="F2955" i="11"/>
  <c r="F2950" i="11"/>
  <c r="F2945" i="11"/>
  <c r="F2939" i="11"/>
  <c r="F2934" i="11"/>
  <c r="F2929" i="11"/>
  <c r="F2923" i="11"/>
  <c r="F2918" i="11"/>
  <c r="F2913" i="11"/>
  <c r="F2907" i="11"/>
  <c r="F2902" i="11"/>
  <c r="F2897" i="11"/>
  <c r="F2891" i="11"/>
  <c r="F2886" i="11"/>
  <c r="F2881" i="11"/>
  <c r="F2875" i="11"/>
  <c r="F2870" i="11"/>
  <c r="F2865" i="11"/>
  <c r="F2859" i="11"/>
  <c r="F2854" i="11"/>
  <c r="F2849" i="11"/>
  <c r="F2843" i="11"/>
  <c r="F2838" i="11"/>
  <c r="F2833" i="11"/>
  <c r="F2827" i="11"/>
  <c r="F2822" i="11"/>
  <c r="F2817" i="11"/>
  <c r="F2811" i="11"/>
  <c r="F2806" i="11"/>
  <c r="F2801" i="11"/>
  <c r="F2795" i="11"/>
  <c r="F2790" i="11"/>
  <c r="F2785" i="11"/>
  <c r="F2779" i="11"/>
  <c r="F2774" i="11"/>
  <c r="F2769" i="11"/>
  <c r="F2763" i="11"/>
  <c r="F2758" i="11"/>
  <c r="F2753" i="11"/>
  <c r="F2747" i="11"/>
  <c r="F2742" i="11"/>
  <c r="F2737" i="11"/>
  <c r="F2731" i="11"/>
  <c r="F2726" i="11"/>
  <c r="F2721" i="11"/>
  <c r="F2715" i="11"/>
  <c r="F2710" i="11"/>
  <c r="F2705" i="11"/>
  <c r="F2699" i="11"/>
  <c r="F2694" i="11"/>
  <c r="F2689" i="11"/>
  <c r="F2683" i="11"/>
  <c r="F2678" i="11"/>
  <c r="F2673" i="11"/>
  <c r="F2667" i="11"/>
  <c r="F2662" i="11"/>
  <c r="F2657" i="11"/>
  <c r="F2651" i="11"/>
  <c r="F2646" i="11"/>
  <c r="F2641" i="11"/>
  <c r="F2635" i="11"/>
  <c r="F2630" i="11"/>
  <c r="F2625" i="11"/>
  <c r="F2619" i="11"/>
  <c r="F2614" i="11"/>
  <c r="F2609" i="11"/>
  <c r="F2601" i="11"/>
  <c r="F2595" i="11"/>
  <c r="F2588" i="11"/>
  <c r="F2580" i="11"/>
  <c r="F2573" i="11"/>
  <c r="F2567" i="11"/>
  <c r="F2559" i="11"/>
  <c r="F2552" i="11"/>
  <c r="F2545" i="11"/>
  <c r="F2537" i="11"/>
  <c r="F2531" i="11"/>
  <c r="F2524" i="11"/>
  <c r="F2516" i="11"/>
  <c r="F2509" i="11"/>
  <c r="F2503" i="11"/>
  <c r="F2495" i="11"/>
  <c r="F2488" i="11"/>
  <c r="F2481" i="11"/>
  <c r="F2473" i="11"/>
  <c r="F2467" i="11"/>
  <c r="F2460" i="11"/>
  <c r="F2452" i="11"/>
  <c r="F2445" i="11"/>
  <c r="F2439" i="11"/>
  <c r="F2431" i="11"/>
  <c r="F2424" i="11"/>
  <c r="F2417" i="11"/>
  <c r="F2409" i="11"/>
  <c r="F2403" i="11"/>
  <c r="F2396" i="11"/>
  <c r="F2385" i="11"/>
  <c r="F2376" i="11"/>
  <c r="F2368" i="11"/>
  <c r="F2357" i="11"/>
  <c r="F2348" i="11"/>
  <c r="F2339" i="11"/>
  <c r="F2328" i="11"/>
  <c r="F2320" i="11"/>
  <c r="F2301" i="11"/>
  <c r="F2269" i="11"/>
  <c r="F2241" i="11"/>
  <c r="F2217" i="11"/>
  <c r="F2185" i="11"/>
  <c r="F2157" i="11"/>
  <c r="F2103" i="11"/>
  <c r="F1866" i="11"/>
  <c r="F1600" i="11"/>
  <c r="B3459" i="11"/>
  <c r="B2408" i="11"/>
  <c r="F3498" i="11"/>
  <c r="F3494" i="11"/>
  <c r="F3490" i="11"/>
  <c r="F3486" i="11"/>
  <c r="F3482" i="11"/>
  <c r="F3478" i="11"/>
  <c r="F3474" i="11"/>
  <c r="F3470" i="11"/>
  <c r="F3466" i="11"/>
  <c r="F3462" i="11"/>
  <c r="F3458" i="11"/>
  <c r="F3454" i="11"/>
  <c r="F3450" i="11"/>
  <c r="F3446" i="11"/>
  <c r="F3442" i="11"/>
  <c r="F3438" i="11"/>
  <c r="F3434" i="11"/>
  <c r="F3430" i="11"/>
  <c r="F3426" i="11"/>
  <c r="F3422" i="11"/>
  <c r="F3418" i="11"/>
  <c r="F3414" i="11"/>
  <c r="F3410" i="11"/>
  <c r="F3406" i="11"/>
  <c r="F3402" i="11"/>
  <c r="F3398" i="11"/>
  <c r="F3394" i="11"/>
  <c r="F3390" i="11"/>
  <c r="F3386" i="11"/>
  <c r="F3382" i="11"/>
  <c r="F3378" i="11"/>
  <c r="F3374" i="11"/>
  <c r="F3370" i="11"/>
  <c r="F3366" i="11"/>
  <c r="F3362" i="11"/>
  <c r="F3358" i="11"/>
  <c r="F3354" i="11"/>
  <c r="F3350" i="11"/>
  <c r="F3346" i="11"/>
  <c r="F3342" i="11"/>
  <c r="F3338" i="11"/>
  <c r="F3334" i="11"/>
  <c r="F3330" i="11"/>
  <c r="F3326" i="11"/>
  <c r="F3322" i="11"/>
  <c r="F3318" i="11"/>
  <c r="F3314" i="11"/>
  <c r="F3310" i="11"/>
  <c r="F3306" i="11"/>
  <c r="F3302" i="11"/>
  <c r="F3298" i="11"/>
  <c r="F3294" i="11"/>
  <c r="F3290" i="11"/>
  <c r="F3286" i="11"/>
  <c r="F3282" i="11"/>
  <c r="F3278" i="11"/>
  <c r="F3274" i="11"/>
  <c r="F3270" i="11"/>
  <c r="F3266" i="11"/>
  <c r="F3262" i="11"/>
  <c r="F3258" i="11"/>
  <c r="F3254" i="11"/>
  <c r="F3250" i="11"/>
  <c r="F3246" i="11"/>
  <c r="F3242" i="11"/>
  <c r="F3238" i="11"/>
  <c r="F3234" i="11"/>
  <c r="F3230" i="11"/>
  <c r="F3226" i="11"/>
  <c r="F3222" i="11"/>
  <c r="F3218" i="11"/>
  <c r="F3214" i="11"/>
  <c r="F3210" i="11"/>
  <c r="F3206" i="11"/>
  <c r="F3202" i="11"/>
  <c r="F3198" i="11"/>
  <c r="F3194" i="11"/>
  <c r="F3190" i="11"/>
  <c r="F3186" i="11"/>
  <c r="F3182" i="11"/>
  <c r="F3178" i="11"/>
  <c r="F3174" i="11"/>
  <c r="F3170" i="11"/>
  <c r="F3166" i="11"/>
  <c r="F3162" i="11"/>
  <c r="F3158" i="11"/>
  <c r="F3154" i="11"/>
  <c r="F3150" i="11"/>
  <c r="F3146" i="11"/>
  <c r="F3142" i="11"/>
  <c r="F3138" i="11"/>
  <c r="F3134" i="11"/>
  <c r="F3130" i="11"/>
  <c r="F3126" i="11"/>
  <c r="F3122" i="11"/>
  <c r="F3118" i="11"/>
  <c r="F3114" i="11"/>
  <c r="F3110" i="11"/>
  <c r="F3106" i="11"/>
  <c r="F3102" i="11"/>
  <c r="F3098" i="11"/>
  <c r="F3094" i="11"/>
  <c r="F3090" i="11"/>
  <c r="F3086" i="11"/>
  <c r="F3082" i="11"/>
  <c r="F3078" i="11"/>
  <c r="F3074" i="11"/>
  <c r="F3070" i="11"/>
  <c r="F3066" i="11"/>
  <c r="F3062" i="11"/>
  <c r="F3058" i="11"/>
  <c r="F3054" i="11"/>
  <c r="F3050" i="11"/>
  <c r="F3046" i="11"/>
  <c r="F3042" i="11"/>
  <c r="F3038" i="11"/>
  <c r="F3034" i="11"/>
  <c r="F3029" i="11"/>
  <c r="F3023" i="11"/>
  <c r="F3018" i="11"/>
  <c r="F3013" i="11"/>
  <c r="F3007" i="11"/>
  <c r="F3002" i="11"/>
  <c r="F2997" i="11"/>
  <c r="F2991" i="11"/>
  <c r="F2986" i="11"/>
  <c r="F2981" i="11"/>
  <c r="F2975" i="11"/>
  <c r="F2970" i="11"/>
  <c r="F2965" i="11"/>
  <c r="F2959" i="11"/>
  <c r="F2954" i="11"/>
  <c r="F2949" i="11"/>
  <c r="F2943" i="11"/>
  <c r="F2938" i="11"/>
  <c r="F2933" i="11"/>
  <c r="F2927" i="11"/>
  <c r="F2922" i="11"/>
  <c r="F2917" i="11"/>
  <c r="F2911" i="11"/>
  <c r="F2906" i="11"/>
  <c r="F2901" i="11"/>
  <c r="F2895" i="11"/>
  <c r="F2890" i="11"/>
  <c r="F2885" i="11"/>
  <c r="F2879" i="11"/>
  <c r="F2874" i="11"/>
  <c r="F2869" i="11"/>
  <c r="F2863" i="11"/>
  <c r="F2858" i="11"/>
  <c r="F2853" i="11"/>
  <c r="F2847" i="11"/>
  <c r="F2842" i="11"/>
  <c r="F2837" i="11"/>
  <c r="F2831" i="11"/>
  <c r="F2826" i="11"/>
  <c r="F2821" i="11"/>
  <c r="F2815" i="11"/>
  <c r="F2810" i="11"/>
  <c r="F2805" i="11"/>
  <c r="F2799" i="11"/>
  <c r="F2794" i="11"/>
  <c r="F2789" i="11"/>
  <c r="F2783" i="11"/>
  <c r="F2778" i="11"/>
  <c r="F2773" i="11"/>
  <c r="F2767" i="11"/>
  <c r="F2762" i="11"/>
  <c r="F2757" i="11"/>
  <c r="F2751" i="11"/>
  <c r="F2746" i="11"/>
  <c r="F2741" i="11"/>
  <c r="F2735" i="11"/>
  <c r="F2730" i="11"/>
  <c r="F2725" i="11"/>
  <c r="F2719" i="11"/>
  <c r="F2714" i="11"/>
  <c r="F2709" i="11"/>
  <c r="F2703" i="11"/>
  <c r="F2698" i="11"/>
  <c r="F2693" i="11"/>
  <c r="F2687" i="11"/>
  <c r="F2682" i="11"/>
  <c r="F2677" i="11"/>
  <c r="F2671" i="11"/>
  <c r="F2666" i="11"/>
  <c r="F2661" i="11"/>
  <c r="F2655" i="11"/>
  <c r="F2650" i="11"/>
  <c r="F2645" i="11"/>
  <c r="F2639" i="11"/>
  <c r="F2634" i="11"/>
  <c r="F2629" i="11"/>
  <c r="F2623" i="11"/>
  <c r="F2618" i="11"/>
  <c r="F2613" i="11"/>
  <c r="F2607" i="11"/>
  <c r="F2600" i="11"/>
  <c r="F2593" i="11"/>
  <c r="F2585" i="11"/>
  <c r="F2579" i="11"/>
  <c r="F2572" i="11"/>
  <c r="F2564" i="11"/>
  <c r="F2557" i="11"/>
  <c r="F2551" i="11"/>
  <c r="F2543" i="11"/>
  <c r="F2536" i="11"/>
  <c r="F2529" i="11"/>
  <c r="F2521" i="11"/>
  <c r="F2515" i="11"/>
  <c r="F2508" i="11"/>
  <c r="F2500" i="11"/>
  <c r="F2493" i="11"/>
  <c r="F2487" i="11"/>
  <c r="F2479" i="11"/>
  <c r="F2472" i="11"/>
  <c r="F2465" i="11"/>
  <c r="F2457" i="11"/>
  <c r="F2451" i="11"/>
  <c r="F2444" i="11"/>
  <c r="F2436" i="11"/>
  <c r="F2429" i="11"/>
  <c r="F2423" i="11"/>
  <c r="F2415" i="11"/>
  <c r="F2408" i="11"/>
  <c r="F2401" i="11"/>
  <c r="F2392" i="11"/>
  <c r="F2384" i="11"/>
  <c r="F2375" i="11"/>
  <c r="F2364" i="11"/>
  <c r="F2355" i="11"/>
  <c r="F2347" i="11"/>
  <c r="F2336" i="11"/>
  <c r="F2327" i="11"/>
  <c r="F2317" i="11"/>
  <c r="F2289" i="11"/>
  <c r="F2265" i="11"/>
  <c r="F2237" i="11"/>
  <c r="F2205" i="11"/>
  <c r="F2177" i="11"/>
  <c r="F2153" i="11"/>
  <c r="F2060" i="11"/>
  <c r="F1823" i="11"/>
  <c r="F1296" i="11"/>
  <c r="H3443" i="11"/>
  <c r="H3436" i="11"/>
  <c r="H3430" i="11"/>
  <c r="H3422" i="11"/>
  <c r="H3415" i="11"/>
  <c r="H3408" i="11"/>
  <c r="H3400" i="11"/>
  <c r="H3394" i="11"/>
  <c r="H3387" i="11"/>
  <c r="H3379" i="11"/>
  <c r="H3372" i="11"/>
  <c r="H3366" i="11"/>
  <c r="H3358" i="11"/>
  <c r="H3351" i="11"/>
  <c r="H3344" i="11"/>
  <c r="H3336" i="11"/>
  <c r="H3330" i="11"/>
  <c r="H3323" i="11"/>
  <c r="H3315" i="11"/>
  <c r="H3308" i="11"/>
  <c r="H3302" i="11"/>
  <c r="H3294" i="11"/>
  <c r="H3287" i="11"/>
  <c r="H3280" i="11"/>
  <c r="H3272" i="11"/>
  <c r="H3266" i="11"/>
  <c r="H3259" i="11"/>
  <c r="H3251" i="11"/>
  <c r="H3244" i="11"/>
  <c r="H3238" i="11"/>
  <c r="H3230" i="11"/>
  <c r="H3223" i="11"/>
  <c r="H3216" i="11"/>
  <c r="H3208" i="11"/>
  <c r="H3202" i="11"/>
  <c r="H3195" i="11"/>
  <c r="H3187" i="11"/>
  <c r="H3180" i="11"/>
  <c r="H3174" i="11"/>
  <c r="H3166" i="11"/>
  <c r="H3159" i="11"/>
  <c r="H3152" i="11"/>
  <c r="H3144" i="11"/>
  <c r="H3138" i="11"/>
  <c r="H3131" i="11"/>
  <c r="H3123" i="11"/>
  <c r="H3116" i="11"/>
  <c r="H3110" i="11"/>
  <c r="H3102" i="11"/>
  <c r="H3095" i="11"/>
  <c r="H3088" i="11"/>
  <c r="H3080" i="11"/>
  <c r="H3074" i="11"/>
  <c r="H3067" i="11"/>
  <c r="H3059" i="11"/>
  <c r="H3052" i="11"/>
  <c r="H3046" i="11"/>
  <c r="H3038" i="11"/>
  <c r="H3031" i="11"/>
  <c r="H3024" i="11"/>
  <c r="H3016" i="11"/>
  <c r="H3008" i="11"/>
  <c r="H2999" i="11"/>
  <c r="H2988" i="11"/>
  <c r="H2979" i="11"/>
  <c r="H2971" i="11"/>
  <c r="H2960" i="11"/>
  <c r="H2951" i="11"/>
  <c r="H2942" i="11"/>
  <c r="H2931" i="11"/>
  <c r="H2923" i="11"/>
  <c r="H2914" i="11"/>
  <c r="H2902" i="11"/>
  <c r="H2887" i="11"/>
  <c r="H2872" i="11"/>
  <c r="H2859" i="11"/>
  <c r="H2844" i="11"/>
  <c r="H2830" i="11"/>
  <c r="H2816" i="11"/>
  <c r="H2802" i="11"/>
  <c r="H2787" i="11"/>
  <c r="H2774" i="11"/>
  <c r="H2759" i="11"/>
  <c r="H2744" i="11"/>
  <c r="H2731" i="11"/>
  <c r="H2716" i="11"/>
  <c r="H2702" i="11"/>
  <c r="H2688" i="11"/>
  <c r="H2674" i="11"/>
  <c r="H2659" i="11"/>
  <c r="H2646" i="11"/>
  <c r="H2631" i="11"/>
  <c r="H2616" i="11"/>
  <c r="H2603" i="11"/>
  <c r="H2588" i="11"/>
  <c r="H2574" i="11"/>
  <c r="H2555" i="11"/>
  <c r="H2503" i="11"/>
  <c r="H2446" i="11"/>
  <c r="H2390" i="11"/>
  <c r="H2332" i="11"/>
  <c r="H2275" i="11"/>
  <c r="H2166" i="11"/>
  <c r="H2051" i="11"/>
  <c r="H1911" i="11"/>
  <c r="H1683" i="11"/>
  <c r="H1222" i="11"/>
  <c r="B3388" i="11"/>
  <c r="B3160" i="11"/>
  <c r="B2866" i="11"/>
  <c r="B2579" i="11"/>
  <c r="B3331" i="11"/>
  <c r="B3032" i="11"/>
  <c r="B2780" i="11"/>
  <c r="B2552" i="11"/>
  <c r="C3330" i="11"/>
  <c r="G2673" i="11"/>
  <c r="G3267" i="11"/>
  <c r="B3234" i="11"/>
  <c r="B3004" i="11"/>
  <c r="B2723" i="11"/>
  <c r="B2424" i="11"/>
  <c r="C2876" i="11"/>
  <c r="F3032" i="11"/>
  <c r="F3028" i="11"/>
  <c r="F3024" i="11"/>
  <c r="F3020" i="11"/>
  <c r="F3016" i="11"/>
  <c r="F3012" i="11"/>
  <c r="F3008" i="11"/>
  <c r="F3004" i="11"/>
  <c r="F3000" i="11"/>
  <c r="F2996" i="11"/>
  <c r="F2992" i="11"/>
  <c r="F2988" i="11"/>
  <c r="F2984" i="11"/>
  <c r="F2980" i="11"/>
  <c r="F2976" i="11"/>
  <c r="F2972" i="11"/>
  <c r="F2968" i="11"/>
  <c r="F2964" i="11"/>
  <c r="F2960" i="11"/>
  <c r="F2956" i="11"/>
  <c r="F2952" i="11"/>
  <c r="F2948" i="11"/>
  <c r="F2944" i="11"/>
  <c r="F2940" i="11"/>
  <c r="F2936" i="11"/>
  <c r="F2932" i="11"/>
  <c r="F2928" i="11"/>
  <c r="F2924" i="11"/>
  <c r="F2920" i="11"/>
  <c r="F2916" i="11"/>
  <c r="F2912" i="11"/>
  <c r="F2908" i="11"/>
  <c r="F2904" i="11"/>
  <c r="F2900" i="11"/>
  <c r="F2896" i="11"/>
  <c r="F2892" i="11"/>
  <c r="F2888" i="11"/>
  <c r="F2884" i="11"/>
  <c r="F2880" i="11"/>
  <c r="F2876" i="11"/>
  <c r="F2872" i="11"/>
  <c r="F2868" i="11"/>
  <c r="F2864" i="11"/>
  <c r="F2860" i="11"/>
  <c r="F2856" i="11"/>
  <c r="F2852" i="11"/>
  <c r="F2848" i="11"/>
  <c r="F2844" i="11"/>
  <c r="F2840" i="11"/>
  <c r="F2836" i="11"/>
  <c r="F2832" i="11"/>
  <c r="F2828" i="11"/>
  <c r="F2824" i="11"/>
  <c r="F2820" i="11"/>
  <c r="F2816" i="11"/>
  <c r="F2812" i="11"/>
  <c r="F2808" i="11"/>
  <c r="F2804" i="11"/>
  <c r="F2800" i="11"/>
  <c r="F2796" i="11"/>
  <c r="F2792" i="11"/>
  <c r="F2788" i="11"/>
  <c r="F2784" i="11"/>
  <c r="F2780" i="11"/>
  <c r="F2776" i="11"/>
  <c r="F2772" i="11"/>
  <c r="F2768" i="11"/>
  <c r="F2764" i="11"/>
  <c r="F2760" i="11"/>
  <c r="F2756" i="11"/>
  <c r="F2752" i="11"/>
  <c r="F2748" i="11"/>
  <c r="F2744" i="11"/>
  <c r="F2740" i="11"/>
  <c r="F2736" i="11"/>
  <c r="F2732" i="11"/>
  <c r="F2728" i="11"/>
  <c r="F2724" i="11"/>
  <c r="F2720" i="11"/>
  <c r="F2716" i="11"/>
  <c r="F2712" i="11"/>
  <c r="F2708" i="11"/>
  <c r="F2704" i="11"/>
  <c r="F2700" i="11"/>
  <c r="F2696" i="11"/>
  <c r="F2692" i="11"/>
  <c r="F2688" i="11"/>
  <c r="F2684" i="11"/>
  <c r="F2680" i="11"/>
  <c r="F2676" i="11"/>
  <c r="F2672" i="11"/>
  <c r="F2668" i="11"/>
  <c r="F2664" i="11"/>
  <c r="F2660" i="11"/>
  <c r="F2656" i="11"/>
  <c r="F2652" i="11"/>
  <c r="F2648" i="11"/>
  <c r="F2644" i="11"/>
  <c r="F2640" i="11"/>
  <c r="F2636" i="11"/>
  <c r="F2632" i="11"/>
  <c r="F2628" i="11"/>
  <c r="F2624" i="11"/>
  <c r="F2620" i="11"/>
  <c r="F2616" i="11"/>
  <c r="F2612" i="11"/>
  <c r="F2608" i="11"/>
  <c r="F2603" i="11"/>
  <c r="F2597" i="11"/>
  <c r="F2592" i="11"/>
  <c r="F2587" i="11"/>
  <c r="F2581" i="11"/>
  <c r="F2576" i="11"/>
  <c r="F2571" i="11"/>
  <c r="F2565" i="11"/>
  <c r="F2560" i="11"/>
  <c r="F2555" i="11"/>
  <c r="F2549" i="11"/>
  <c r="F2544" i="11"/>
  <c r="F2539" i="11"/>
  <c r="F2533" i="11"/>
  <c r="F2528" i="11"/>
  <c r="F2523" i="11"/>
  <c r="F2517" i="11"/>
  <c r="F2512" i="11"/>
  <c r="F2507" i="11"/>
  <c r="F2501" i="11"/>
  <c r="F2496" i="11"/>
  <c r="F2491" i="11"/>
  <c r="F2485" i="11"/>
  <c r="F2480" i="11"/>
  <c r="F2475" i="11"/>
  <c r="F2469" i="11"/>
  <c r="F2464" i="11"/>
  <c r="F2459" i="11"/>
  <c r="F2453" i="11"/>
  <c r="F2448" i="11"/>
  <c r="F2443" i="11"/>
  <c r="F2437" i="11"/>
  <c r="F2432" i="11"/>
  <c r="F2427" i="11"/>
  <c r="F2421" i="11"/>
  <c r="F2416" i="11"/>
  <c r="F2411" i="11"/>
  <c r="F2405" i="11"/>
  <c r="F2400" i="11"/>
  <c r="F2395" i="11"/>
  <c r="F2387" i="11"/>
  <c r="F2380" i="11"/>
  <c r="F2373" i="11"/>
  <c r="F2365" i="11"/>
  <c r="F2359" i="11"/>
  <c r="F2352" i="11"/>
  <c r="F2344" i="11"/>
  <c r="F2337" i="11"/>
  <c r="F2331" i="11"/>
  <c r="F2323" i="11"/>
  <c r="F2316" i="11"/>
  <c r="F2297" i="11"/>
  <c r="F2273" i="11"/>
  <c r="F2253" i="11"/>
  <c r="F2233" i="11"/>
  <c r="F2209" i="11"/>
  <c r="F2189" i="11"/>
  <c r="F2169" i="11"/>
  <c r="F2144" i="11"/>
  <c r="F2082" i="11"/>
  <c r="F1951" i="11"/>
  <c r="F1695" i="11"/>
  <c r="F877" i="11"/>
  <c r="F1472" i="11"/>
  <c r="F1738" i="11"/>
  <c r="F1907" i="11"/>
  <c r="F2039" i="11"/>
  <c r="F2123" i="11"/>
  <c r="F2149" i="11"/>
  <c r="F2165" i="11"/>
  <c r="F2181" i="11"/>
  <c r="F2197" i="11"/>
  <c r="F2213" i="11"/>
  <c r="F2229" i="11"/>
  <c r="F2245" i="11"/>
  <c r="F2261" i="11"/>
  <c r="F2277" i="11"/>
  <c r="F2293" i="11"/>
  <c r="F2309" i="11"/>
  <c r="F2319" i="11"/>
  <c r="F2324" i="11"/>
  <c r="F2329" i="11"/>
  <c r="F2335" i="11"/>
  <c r="F2340" i="11"/>
  <c r="F2345" i="11"/>
  <c r="F2351" i="11"/>
  <c r="F2356" i="11"/>
  <c r="F2361" i="11"/>
  <c r="F2367" i="11"/>
  <c r="F2372" i="11"/>
  <c r="F2377" i="11"/>
  <c r="F2383" i="11"/>
  <c r="F2388" i="11"/>
  <c r="F2393" i="11"/>
  <c r="F2398" i="11"/>
  <c r="F2402" i="11"/>
  <c r="F2406" i="11"/>
  <c r="F2410" i="11"/>
  <c r="F2414" i="11"/>
  <c r="F2418" i="11"/>
  <c r="F2422" i="11"/>
  <c r="F2426" i="11"/>
  <c r="F2430" i="11"/>
  <c r="F2434" i="11"/>
  <c r="F2438" i="11"/>
  <c r="F2442" i="11"/>
  <c r="F2446" i="11"/>
  <c r="F2450" i="11"/>
  <c r="F2454" i="11"/>
  <c r="F2458" i="11"/>
  <c r="F2462" i="11"/>
  <c r="F2466" i="11"/>
  <c r="F2470" i="11"/>
  <c r="F2474" i="11"/>
  <c r="F2478" i="11"/>
  <c r="F2482" i="11"/>
  <c r="F2486" i="11"/>
  <c r="F2490" i="11"/>
  <c r="F2494" i="11"/>
  <c r="F2498" i="11"/>
  <c r="F2502" i="11"/>
  <c r="F2506" i="11"/>
  <c r="F2510" i="11"/>
  <c r="F2514" i="11"/>
  <c r="F2518" i="11"/>
  <c r="F2522" i="11"/>
  <c r="F2526" i="11"/>
  <c r="F2530" i="11"/>
  <c r="F2534" i="11"/>
  <c r="F2538" i="11"/>
  <c r="F2542" i="11"/>
  <c r="F2546" i="11"/>
  <c r="F2550" i="11"/>
  <c r="F2554" i="11"/>
  <c r="F2558" i="11"/>
  <c r="F2562" i="11"/>
  <c r="F2566" i="11"/>
  <c r="F2570" i="11"/>
  <c r="F2574" i="11"/>
  <c r="F2578" i="11"/>
  <c r="F2582" i="11"/>
  <c r="F2586" i="11"/>
  <c r="F2590" i="11"/>
  <c r="F2594" i="11"/>
  <c r="F2598" i="11"/>
  <c r="F2602" i="11"/>
  <c r="F2606" i="11"/>
  <c r="H2907" i="11"/>
  <c r="H2899" i="11"/>
  <c r="H2892" i="11"/>
  <c r="H2886" i="11"/>
  <c r="H2878" i="11"/>
  <c r="H2871" i="11"/>
  <c r="H2864" i="11"/>
  <c r="H2856" i="11"/>
  <c r="H2850" i="11"/>
  <c r="H2843" i="11"/>
  <c r="H2835" i="11"/>
  <c r="H2828" i="11"/>
  <c r="H2822" i="11"/>
  <c r="H2814" i="11"/>
  <c r="H2807" i="11"/>
  <c r="H2800" i="11"/>
  <c r="H2792" i="11"/>
  <c r="H2786" i="11"/>
  <c r="H2779" i="11"/>
  <c r="H2771" i="11"/>
  <c r="H2764" i="11"/>
  <c r="H2758" i="11"/>
  <c r="H2750" i="11"/>
  <c r="H2743" i="11"/>
  <c r="H2736" i="11"/>
  <c r="H2728" i="11"/>
  <c r="H2722" i="11"/>
  <c r="H2715" i="11"/>
  <c r="H2707" i="11"/>
  <c r="H2700" i="11"/>
  <c r="H2694" i="11"/>
  <c r="H2686" i="11"/>
  <c r="H2679" i="11"/>
  <c r="H2672" i="11"/>
  <c r="H2664" i="11"/>
  <c r="H2658" i="11"/>
  <c r="H2651" i="11"/>
  <c r="H2643" i="11"/>
  <c r="H2636" i="11"/>
  <c r="H2630" i="11"/>
  <c r="H2622" i="11"/>
  <c r="H2615" i="11"/>
  <c r="H2608" i="11"/>
  <c r="H2600" i="11"/>
  <c r="H2594" i="11"/>
  <c r="H2587" i="11"/>
  <c r="H2579" i="11"/>
  <c r="H2572" i="11"/>
  <c r="H2562" i="11"/>
  <c r="H2552" i="11"/>
  <c r="H2524" i="11"/>
  <c r="H2496" i="11"/>
  <c r="H2467" i="11"/>
  <c r="H2439" i="11"/>
  <c r="H2411" i="11"/>
  <c r="H2382" i="11"/>
  <c r="H2354" i="11"/>
  <c r="H2326" i="11"/>
  <c r="H2296" i="11"/>
  <c r="H2264" i="11"/>
  <c r="H2208" i="11"/>
  <c r="H2151" i="11"/>
  <c r="H2094" i="11"/>
  <c r="H2038" i="11"/>
  <c r="H1980" i="11"/>
  <c r="H1883" i="11"/>
  <c r="H1768" i="11"/>
  <c r="H1638" i="11"/>
  <c r="H1410" i="11"/>
  <c r="H1102" i="11"/>
  <c r="H3011" i="11"/>
  <c r="H3004" i="11"/>
  <c r="H2998" i="11"/>
  <c r="H2990" i="11"/>
  <c r="H2983" i="11"/>
  <c r="H2976" i="11"/>
  <c r="H2968" i="11"/>
  <c r="H2962" i="11"/>
  <c r="H2955" i="11"/>
  <c r="H2947" i="11"/>
  <c r="H2940" i="11"/>
  <c r="H2934" i="11"/>
  <c r="H2926" i="11"/>
  <c r="H2919" i="11"/>
  <c r="H2912" i="11"/>
  <c r="H2904" i="11"/>
  <c r="H2898" i="11"/>
  <c r="H2891" i="11"/>
  <c r="H2883" i="11"/>
  <c r="H2876" i="11"/>
  <c r="H2870" i="11"/>
  <c r="H2862" i="11"/>
  <c r="H2855" i="11"/>
  <c r="H2848" i="11"/>
  <c r="H2840" i="11"/>
  <c r="H2834" i="11"/>
  <c r="H2827" i="11"/>
  <c r="H2819" i="11"/>
  <c r="H2812" i="11"/>
  <c r="H2806" i="11"/>
  <c r="H2798" i="11"/>
  <c r="H2791" i="11"/>
  <c r="H2784" i="11"/>
  <c r="H2776" i="11"/>
  <c r="H2770" i="11"/>
  <c r="H2763" i="11"/>
  <c r="H2755" i="11"/>
  <c r="H2748" i="11"/>
  <c r="H2742" i="11"/>
  <c r="H2734" i="11"/>
  <c r="H2727" i="11"/>
  <c r="H2720" i="11"/>
  <c r="H2712" i="11"/>
  <c r="H2706" i="11"/>
  <c r="H2699" i="11"/>
  <c r="H2691" i="11"/>
  <c r="H2684" i="11"/>
  <c r="H2678" i="11"/>
  <c r="H2670" i="11"/>
  <c r="H2663" i="11"/>
  <c r="H2656" i="11"/>
  <c r="H2648" i="11"/>
  <c r="H2642" i="11"/>
  <c r="H2635" i="11"/>
  <c r="H2627" i="11"/>
  <c r="H2620" i="11"/>
  <c r="H2614" i="11"/>
  <c r="H2606" i="11"/>
  <c r="H2599" i="11"/>
  <c r="H2592" i="11"/>
  <c r="H2584" i="11"/>
  <c r="H2578" i="11"/>
  <c r="H2568" i="11"/>
  <c r="H2560" i="11"/>
  <c r="H2546" i="11"/>
  <c r="H2518" i="11"/>
  <c r="H2488" i="11"/>
  <c r="H2460" i="11"/>
  <c r="H2432" i="11"/>
  <c r="H2403" i="11"/>
  <c r="H2375" i="11"/>
  <c r="H2347" i="11"/>
  <c r="H2318" i="11"/>
  <c r="H2290" i="11"/>
  <c r="H2251" i="11"/>
  <c r="H2194" i="11"/>
  <c r="H2136" i="11"/>
  <c r="H2080" i="11"/>
  <c r="H2023" i="11"/>
  <c r="H1963" i="11"/>
  <c r="H1854" i="11"/>
  <c r="H1740" i="11"/>
  <c r="H1580" i="11"/>
  <c r="H1352" i="11"/>
  <c r="H828" i="11"/>
  <c r="C1885" i="11"/>
  <c r="E3482" i="11"/>
  <c r="E3281" i="11"/>
  <c r="E3078" i="11"/>
  <c r="E2876" i="11"/>
  <c r="E2636" i="11"/>
  <c r="E2368" i="11"/>
  <c r="E1500" i="11"/>
  <c r="E2901" i="11"/>
  <c r="E1858" i="11"/>
  <c r="B3490" i="11"/>
  <c r="B3319" i="11"/>
  <c r="B3090" i="11"/>
  <c r="B2878" i="11"/>
  <c r="B2707" i="11"/>
  <c r="B2482" i="11"/>
  <c r="C3501" i="11"/>
  <c r="C456" i="11"/>
  <c r="E3405" i="11"/>
  <c r="E3205" i="11"/>
  <c r="E3004" i="11"/>
  <c r="E2800" i="11"/>
  <c r="E2536" i="11"/>
  <c r="E2214" i="11"/>
  <c r="E1148" i="11"/>
  <c r="E3306" i="11"/>
  <c r="E3104" i="11"/>
  <c r="E2672" i="11"/>
  <c r="E2400" i="11"/>
  <c r="E3382" i="11"/>
  <c r="E3178" i="11"/>
  <c r="E2977" i="11"/>
  <c r="E2773" i="11"/>
  <c r="E2501" i="11"/>
  <c r="E2125" i="11"/>
  <c r="F2312" i="11"/>
  <c r="F2308" i="11"/>
  <c r="F2304" i="11"/>
  <c r="F2300" i="11"/>
  <c r="F2296" i="11"/>
  <c r="F2292" i="11"/>
  <c r="F2288" i="11"/>
  <c r="F2284" i="11"/>
  <c r="F2280" i="11"/>
  <c r="F2276" i="11"/>
  <c r="F2272" i="11"/>
  <c r="F2268" i="11"/>
  <c r="F2264" i="11"/>
  <c r="F2260" i="11"/>
  <c r="F2256" i="11"/>
  <c r="F2252" i="11"/>
  <c r="F2248" i="11"/>
  <c r="F2244" i="11"/>
  <c r="F2240" i="11"/>
  <c r="F2236" i="11"/>
  <c r="F2232" i="11"/>
  <c r="F2228" i="11"/>
  <c r="F2224" i="11"/>
  <c r="F2220" i="11"/>
  <c r="F2216" i="11"/>
  <c r="F2212" i="11"/>
  <c r="F2208" i="11"/>
  <c r="F2204" i="11"/>
  <c r="F2200" i="11"/>
  <c r="F2196" i="11"/>
  <c r="F2192" i="11"/>
  <c r="F2188" i="11"/>
  <c r="F2184" i="11"/>
  <c r="F2180" i="11"/>
  <c r="F2176" i="11"/>
  <c r="F2172" i="11"/>
  <c r="F2168" i="11"/>
  <c r="F2164" i="11"/>
  <c r="F2160" i="11"/>
  <c r="F2156" i="11"/>
  <c r="F2152" i="11"/>
  <c r="F2148" i="11"/>
  <c r="F2143" i="11"/>
  <c r="F2137" i="11"/>
  <c r="F2131" i="11"/>
  <c r="F2119" i="11"/>
  <c r="F2098" i="11"/>
  <c r="F2076" i="11"/>
  <c r="F2055" i="11"/>
  <c r="F2034" i="11"/>
  <c r="F2011" i="11"/>
  <c r="F1983" i="11"/>
  <c r="F1939" i="11"/>
  <c r="F1898" i="11"/>
  <c r="F1855" i="11"/>
  <c r="F1811" i="11"/>
  <c r="F1770" i="11"/>
  <c r="F1727" i="11"/>
  <c r="F1683" i="11"/>
  <c r="F1642" i="11"/>
  <c r="F1586" i="11"/>
  <c r="F1424" i="11"/>
  <c r="F1260" i="11"/>
  <c r="F1088" i="11"/>
  <c r="F2315" i="11"/>
  <c r="F2311" i="11"/>
  <c r="F2307" i="11"/>
  <c r="F2303" i="11"/>
  <c r="F2299" i="11"/>
  <c r="F2295" i="11"/>
  <c r="F2291" i="11"/>
  <c r="F2287" i="11"/>
  <c r="F2283" i="11"/>
  <c r="F2279" i="11"/>
  <c r="F2275" i="11"/>
  <c r="F2271" i="11"/>
  <c r="F2267" i="11"/>
  <c r="F2263" i="11"/>
  <c r="F2259" i="11"/>
  <c r="F2255" i="11"/>
  <c r="F2251" i="11"/>
  <c r="F2247" i="11"/>
  <c r="F2243" i="11"/>
  <c r="F2239" i="11"/>
  <c r="F2235" i="11"/>
  <c r="F2231" i="11"/>
  <c r="F2227" i="11"/>
  <c r="F2223" i="11"/>
  <c r="F2219" i="11"/>
  <c r="F2215" i="11"/>
  <c r="F2211" i="11"/>
  <c r="F2207" i="11"/>
  <c r="F2203" i="11"/>
  <c r="F2199" i="11"/>
  <c r="F2195" i="11"/>
  <c r="F2191" i="11"/>
  <c r="F2187" i="11"/>
  <c r="F2183" i="11"/>
  <c r="F2179" i="11"/>
  <c r="F2175" i="11"/>
  <c r="F2171" i="11"/>
  <c r="F2167" i="11"/>
  <c r="F2163" i="11"/>
  <c r="F2159" i="11"/>
  <c r="F2155" i="11"/>
  <c r="F2151" i="11"/>
  <c r="F2147" i="11"/>
  <c r="F2141" i="11"/>
  <c r="F2136" i="11"/>
  <c r="F2128" i="11"/>
  <c r="F2114" i="11"/>
  <c r="F2092" i="11"/>
  <c r="F2071" i="11"/>
  <c r="F2050" i="11"/>
  <c r="F2028" i="11"/>
  <c r="F2004" i="11"/>
  <c r="F1971" i="11"/>
  <c r="F1930" i="11"/>
  <c r="F1887" i="11"/>
  <c r="F1843" i="11"/>
  <c r="F1802" i="11"/>
  <c r="F1759" i="11"/>
  <c r="F1715" i="11"/>
  <c r="F1674" i="11"/>
  <c r="F1628" i="11"/>
  <c r="F1552" i="11"/>
  <c r="F1388" i="11"/>
  <c r="F1216" i="11"/>
  <c r="F978" i="11"/>
  <c r="F2394" i="11"/>
  <c r="F2390" i="11"/>
  <c r="F2386" i="11"/>
  <c r="F2382" i="11"/>
  <c r="F2378" i="11"/>
  <c r="F2374" i="11"/>
  <c r="F2370" i="11"/>
  <c r="F2366" i="11"/>
  <c r="F2362" i="11"/>
  <c r="F2358" i="11"/>
  <c r="F2354" i="11"/>
  <c r="F2350" i="11"/>
  <c r="F2346" i="11"/>
  <c r="F2342" i="11"/>
  <c r="F2338" i="11"/>
  <c r="F2334" i="11"/>
  <c r="F2330" i="11"/>
  <c r="F2326" i="11"/>
  <c r="F2322" i="11"/>
  <c r="F2318" i="11"/>
  <c r="F2314" i="11"/>
  <c r="F2310" i="11"/>
  <c r="F2306" i="11"/>
  <c r="F2302" i="11"/>
  <c r="F2298" i="11"/>
  <c r="F2294" i="11"/>
  <c r="F2290" i="11"/>
  <c r="F2286" i="11"/>
  <c r="F2282" i="11"/>
  <c r="F2278" i="11"/>
  <c r="F2274" i="11"/>
  <c r="F2270" i="11"/>
  <c r="F2266" i="11"/>
  <c r="F2262" i="11"/>
  <c r="F2258" i="11"/>
  <c r="F2254" i="11"/>
  <c r="F2250" i="11"/>
  <c r="F2246" i="11"/>
  <c r="F2242" i="11"/>
  <c r="F2238" i="11"/>
  <c r="F2234" i="11"/>
  <c r="F2230" i="11"/>
  <c r="F2226" i="11"/>
  <c r="F2222" i="11"/>
  <c r="F2218" i="11"/>
  <c r="F2214" i="11"/>
  <c r="F2210" i="11"/>
  <c r="F2206" i="11"/>
  <c r="F2202" i="11"/>
  <c r="F2198" i="11"/>
  <c r="F2194" i="11"/>
  <c r="F2190" i="11"/>
  <c r="F2186" i="11"/>
  <c r="F2182" i="11"/>
  <c r="F2178" i="11"/>
  <c r="F2174" i="11"/>
  <c r="F2170" i="11"/>
  <c r="F2166" i="11"/>
  <c r="F2162" i="11"/>
  <c r="F2158" i="11"/>
  <c r="F2154" i="11"/>
  <c r="F2150" i="11"/>
  <c r="F2145" i="11"/>
  <c r="F2140" i="11"/>
  <c r="F2135" i="11"/>
  <c r="F2127" i="11"/>
  <c r="F2108" i="11"/>
  <c r="F2087" i="11"/>
  <c r="F2066" i="11"/>
  <c r="F2044" i="11"/>
  <c r="F2023" i="11"/>
  <c r="F1996" i="11"/>
  <c r="F1962" i="11"/>
  <c r="F1919" i="11"/>
  <c r="F1875" i="11"/>
  <c r="F1834" i="11"/>
  <c r="F1791" i="11"/>
  <c r="F1747" i="11"/>
  <c r="F1706" i="11"/>
  <c r="F1663" i="11"/>
  <c r="F1612" i="11"/>
  <c r="F1516" i="11"/>
  <c r="F1344" i="11"/>
  <c r="F1168" i="11"/>
  <c r="F777" i="11"/>
  <c r="F813" i="11"/>
  <c r="F968" i="11"/>
  <c r="F1060" i="11"/>
  <c r="F1120" i="11"/>
  <c r="F1164" i="11"/>
  <c r="F1200" i="11"/>
  <c r="F1248" i="11"/>
  <c r="F1292" i="11"/>
  <c r="F1328" i="11"/>
  <c r="F1376" i="11"/>
  <c r="F1420" i="11"/>
  <c r="F1456" i="11"/>
  <c r="F1504" i="11"/>
  <c r="F1548" i="11"/>
  <c r="F1580" i="11"/>
  <c r="F1596" i="11"/>
  <c r="F1611" i="11"/>
  <c r="F1623" i="11"/>
  <c r="F1639" i="11"/>
  <c r="F1650" i="11"/>
  <c r="F1659" i="11"/>
  <c r="F1671" i="11"/>
  <c r="F1682" i="11"/>
  <c r="F1691" i="11"/>
  <c r="F1703" i="11"/>
  <c r="F1714" i="11"/>
  <c r="F1723" i="11"/>
  <c r="F1735" i="11"/>
  <c r="F1746" i="11"/>
  <c r="F1755" i="11"/>
  <c r="F1767" i="11"/>
  <c r="F1778" i="11"/>
  <c r="F1787" i="11"/>
  <c r="F1799" i="11"/>
  <c r="F1810" i="11"/>
  <c r="F1819" i="11"/>
  <c r="F1831" i="11"/>
  <c r="F1842" i="11"/>
  <c r="F1851" i="11"/>
  <c r="F1863" i="11"/>
  <c r="F1874" i="11"/>
  <c r="F1883" i="11"/>
  <c r="F1895" i="11"/>
  <c r="F1906" i="11"/>
  <c r="F1915" i="11"/>
  <c r="F1927" i="11"/>
  <c r="F1938" i="11"/>
  <c r="F1947" i="11"/>
  <c r="F1959" i="11"/>
  <c r="F1970" i="11"/>
  <c r="F1979" i="11"/>
  <c r="F1988" i="11"/>
  <c r="F1995" i="11"/>
  <c r="F2002" i="11"/>
  <c r="F2010" i="11"/>
  <c r="F2016" i="11"/>
  <c r="F2022" i="11"/>
  <c r="F2027" i="11"/>
  <c r="F2032" i="11"/>
  <c r="F2038" i="11"/>
  <c r="F2043" i="11"/>
  <c r="F2048" i="11"/>
  <c r="F2054" i="11"/>
  <c r="F2059" i="11"/>
  <c r="F2064" i="11"/>
  <c r="F2070" i="11"/>
  <c r="F2075" i="11"/>
  <c r="F2080" i="11"/>
  <c r="F2086" i="11"/>
  <c r="F2091" i="11"/>
  <c r="F2096" i="11"/>
  <c r="F2102" i="11"/>
  <c r="F2107" i="11"/>
  <c r="F2112" i="11"/>
  <c r="F2118" i="11"/>
  <c r="F2122" i="11"/>
  <c r="F2126" i="11"/>
  <c r="F2130" i="11"/>
  <c r="F2134" i="11"/>
  <c r="F2138" i="11"/>
  <c r="F2142" i="11"/>
  <c r="F2146" i="11"/>
  <c r="F588" i="11"/>
  <c r="F893" i="11"/>
  <c r="F1021" i="11"/>
  <c r="F1100" i="11"/>
  <c r="F1136" i="11"/>
  <c r="F1184" i="11"/>
  <c r="F1228" i="11"/>
  <c r="F1264" i="11"/>
  <c r="F1312" i="11"/>
  <c r="F1356" i="11"/>
  <c r="F1392" i="11"/>
  <c r="F1440" i="11"/>
  <c r="F1484" i="11"/>
  <c r="F1520" i="11"/>
  <c r="F1568" i="11"/>
  <c r="F1590" i="11"/>
  <c r="F1602" i="11"/>
  <c r="F1618" i="11"/>
  <c r="F1632" i="11"/>
  <c r="F1643" i="11"/>
  <c r="F1655" i="11"/>
  <c r="F1666" i="11"/>
  <c r="F1675" i="11"/>
  <c r="F1687" i="11"/>
  <c r="F1698" i="11"/>
  <c r="F1707" i="11"/>
  <c r="F1719" i="11"/>
  <c r="F1730" i="11"/>
  <c r="F1739" i="11"/>
  <c r="F1751" i="11"/>
  <c r="F1762" i="11"/>
  <c r="F1771" i="11"/>
  <c r="F1783" i="11"/>
  <c r="F1794" i="11"/>
  <c r="F1803" i="11"/>
  <c r="F1815" i="11"/>
  <c r="F1826" i="11"/>
  <c r="F1835" i="11"/>
  <c r="F1847" i="11"/>
  <c r="F1858" i="11"/>
  <c r="F1867" i="11"/>
  <c r="F1879" i="11"/>
  <c r="F1890" i="11"/>
  <c r="F1899" i="11"/>
  <c r="F1911" i="11"/>
  <c r="F1922" i="11"/>
  <c r="F1931" i="11"/>
  <c r="F1943" i="11"/>
  <c r="F1954" i="11"/>
  <c r="F1963" i="11"/>
  <c r="F1975" i="11"/>
  <c r="F1984" i="11"/>
  <c r="F1991" i="11"/>
  <c r="F1999" i="11"/>
  <c r="F2006" i="11"/>
  <c r="F2012" i="11"/>
  <c r="F2019" i="11"/>
  <c r="F2024" i="11"/>
  <c r="F2030" i="11"/>
  <c r="F2035" i="11"/>
  <c r="F2040" i="11"/>
  <c r="F2046" i="11"/>
  <c r="F2051" i="11"/>
  <c r="F2056" i="11"/>
  <c r="F2062" i="11"/>
  <c r="F2067" i="11"/>
  <c r="F2072" i="11"/>
  <c r="F2078" i="11"/>
  <c r="F2083" i="11"/>
  <c r="F2088" i="11"/>
  <c r="F2094" i="11"/>
  <c r="F2099" i="11"/>
  <c r="F2104" i="11"/>
  <c r="F2110" i="11"/>
  <c r="F2115" i="11"/>
  <c r="F2120" i="11"/>
  <c r="F2124" i="11"/>
  <c r="F645" i="11"/>
  <c r="F936" i="11"/>
  <c r="F1052" i="11"/>
  <c r="F1104" i="11"/>
  <c r="F1152" i="11"/>
  <c r="F1196" i="11"/>
  <c r="F1232" i="11"/>
  <c r="F1280" i="11"/>
  <c r="F1324" i="11"/>
  <c r="F1360" i="11"/>
  <c r="F1408" i="11"/>
  <c r="F1452" i="11"/>
  <c r="F1488" i="11"/>
  <c r="F1536" i="11"/>
  <c r="F1578" i="11"/>
  <c r="F1591" i="11"/>
  <c r="F1607" i="11"/>
  <c r="F1622" i="11"/>
  <c r="F1634" i="11"/>
  <c r="F1647" i="11"/>
  <c r="F1658" i="11"/>
  <c r="F1667" i="11"/>
  <c r="F1679" i="11"/>
  <c r="F1690" i="11"/>
  <c r="F1699" i="11"/>
  <c r="F1711" i="11"/>
  <c r="F1722" i="11"/>
  <c r="F1731" i="11"/>
  <c r="F1743" i="11"/>
  <c r="F1754" i="11"/>
  <c r="F1763" i="11"/>
  <c r="F1775" i="11"/>
  <c r="F1786" i="11"/>
  <c r="F1795" i="11"/>
  <c r="F1807" i="11"/>
  <c r="F1818" i="11"/>
  <c r="F1827" i="11"/>
  <c r="F1839" i="11"/>
  <c r="F1850" i="11"/>
  <c r="F1859" i="11"/>
  <c r="F1871" i="11"/>
  <c r="F1882" i="11"/>
  <c r="F1891" i="11"/>
  <c r="F1903" i="11"/>
  <c r="F1914" i="11"/>
  <c r="F1923" i="11"/>
  <c r="F1935" i="11"/>
  <c r="F1946" i="11"/>
  <c r="F1955" i="11"/>
  <c r="F1967" i="11"/>
  <c r="F1978" i="11"/>
  <c r="F1986" i="11"/>
  <c r="F1994" i="11"/>
  <c r="F2000" i="11"/>
  <c r="F2007" i="11"/>
  <c r="F2015" i="11"/>
  <c r="F2020" i="11"/>
  <c r="F2026" i="11"/>
  <c r="F2031" i="11"/>
  <c r="F2036" i="11"/>
  <c r="F2042" i="11"/>
  <c r="F2047" i="11"/>
  <c r="F2052" i="11"/>
  <c r="F2058" i="11"/>
  <c r="F2063" i="11"/>
  <c r="F2068" i="11"/>
  <c r="F2074" i="11"/>
  <c r="F2079" i="11"/>
  <c r="F2084" i="11"/>
  <c r="F2090" i="11"/>
  <c r="F2095" i="11"/>
  <c r="F2100" i="11"/>
  <c r="F2106" i="11"/>
  <c r="F2111" i="11"/>
  <c r="F2116" i="11"/>
  <c r="F2121" i="11"/>
  <c r="F2125" i="11"/>
  <c r="F2129" i="11"/>
  <c r="F2133" i="11"/>
  <c r="G3437" i="11"/>
  <c r="G3096" i="11"/>
  <c r="G2609" i="11"/>
  <c r="G3299" i="11"/>
  <c r="G2957" i="11"/>
  <c r="G2168" i="11"/>
  <c r="G3469" i="11"/>
  <c r="G3128" i="11"/>
  <c r="H2551" i="11"/>
  <c r="H2544" i="11"/>
  <c r="H2536" i="11"/>
  <c r="H2530" i="11"/>
  <c r="H2523" i="11"/>
  <c r="H2515" i="11"/>
  <c r="H2508" i="11"/>
  <c r="H2502" i="11"/>
  <c r="H2494" i="11"/>
  <c r="H2487" i="11"/>
  <c r="H2480" i="11"/>
  <c r="H2472" i="11"/>
  <c r="H2466" i="11"/>
  <c r="H2459" i="11"/>
  <c r="H2451" i="11"/>
  <c r="H2444" i="11"/>
  <c r="H2438" i="11"/>
  <c r="H2430" i="11"/>
  <c r="H2423" i="11"/>
  <c r="H2416" i="11"/>
  <c r="H2408" i="11"/>
  <c r="H2402" i="11"/>
  <c r="H2395" i="11"/>
  <c r="H2387" i="11"/>
  <c r="H2380" i="11"/>
  <c r="H2374" i="11"/>
  <c r="H2366" i="11"/>
  <c r="H2359" i="11"/>
  <c r="H2352" i="11"/>
  <c r="H2344" i="11"/>
  <c r="H2338" i="11"/>
  <c r="H2331" i="11"/>
  <c r="H2323" i="11"/>
  <c r="H2316" i="11"/>
  <c r="H2310" i="11"/>
  <c r="H2302" i="11"/>
  <c r="H2295" i="11"/>
  <c r="H2288" i="11"/>
  <c r="H2280" i="11"/>
  <c r="H2274" i="11"/>
  <c r="H2263" i="11"/>
  <c r="H2248" i="11"/>
  <c r="H2235" i="11"/>
  <c r="H2220" i="11"/>
  <c r="H2206" i="11"/>
  <c r="H2192" i="11"/>
  <c r="H2178" i="11"/>
  <c r="H2163" i="11"/>
  <c r="H2150" i="11"/>
  <c r="H2135" i="11"/>
  <c r="H2120" i="11"/>
  <c r="H2107" i="11"/>
  <c r="H2092" i="11"/>
  <c r="H2078" i="11"/>
  <c r="H2064" i="11"/>
  <c r="H2050" i="11"/>
  <c r="H2035" i="11"/>
  <c r="H2022" i="11"/>
  <c r="H2007" i="11"/>
  <c r="H1992" i="11"/>
  <c r="H1979" i="11"/>
  <c r="H1960" i="11"/>
  <c r="H1938" i="11"/>
  <c r="H1910" i="11"/>
  <c r="H1880" i="11"/>
  <c r="H1852" i="11"/>
  <c r="H1824" i="11"/>
  <c r="H1795" i="11"/>
  <c r="H1767" i="11"/>
  <c r="H1739" i="11"/>
  <c r="H1710" i="11"/>
  <c r="H1682" i="11"/>
  <c r="H1635" i="11"/>
  <c r="H1579" i="11"/>
  <c r="H1522" i="11"/>
  <c r="H1464" i="11"/>
  <c r="H1408" i="11"/>
  <c r="H1351" i="11"/>
  <c r="H1294" i="11"/>
  <c r="H1219" i="11"/>
  <c r="H1100" i="11"/>
  <c r="H818" i="11"/>
  <c r="H2571" i="11"/>
  <c r="H2563" i="11"/>
  <c r="H2556" i="11"/>
  <c r="H2550" i="11"/>
  <c r="H2542" i="11"/>
  <c r="H2535" i="11"/>
  <c r="H2528" i="11"/>
  <c r="H2520" i="11"/>
  <c r="H2514" i="11"/>
  <c r="H2507" i="11"/>
  <c r="H2499" i="11"/>
  <c r="H2492" i="11"/>
  <c r="H2486" i="11"/>
  <c r="H2478" i="11"/>
  <c r="H2471" i="11"/>
  <c r="H2464" i="11"/>
  <c r="H2456" i="11"/>
  <c r="H2450" i="11"/>
  <c r="H2443" i="11"/>
  <c r="H2435" i="11"/>
  <c r="H2428" i="11"/>
  <c r="H2422" i="11"/>
  <c r="H2414" i="11"/>
  <c r="H2407" i="11"/>
  <c r="H2400" i="11"/>
  <c r="H2392" i="11"/>
  <c r="H2386" i="11"/>
  <c r="H2379" i="11"/>
  <c r="H2371" i="11"/>
  <c r="H2364" i="11"/>
  <c r="H2358" i="11"/>
  <c r="H2350" i="11"/>
  <c r="H2343" i="11"/>
  <c r="H2336" i="11"/>
  <c r="H2328" i="11"/>
  <c r="H2322" i="11"/>
  <c r="H2315" i="11"/>
  <c r="H2307" i="11"/>
  <c r="H2300" i="11"/>
  <c r="H2294" i="11"/>
  <c r="H2286" i="11"/>
  <c r="H2279" i="11"/>
  <c r="H2272" i="11"/>
  <c r="H2258" i="11"/>
  <c r="H2243" i="11"/>
  <c r="H2230" i="11"/>
  <c r="H2215" i="11"/>
  <c r="H2200" i="11"/>
  <c r="H2187" i="11"/>
  <c r="H2172" i="11"/>
  <c r="H2158" i="11"/>
  <c r="H2144" i="11"/>
  <c r="H2130" i="11"/>
  <c r="H2115" i="11"/>
  <c r="H2102" i="11"/>
  <c r="H2087" i="11"/>
  <c r="H2072" i="11"/>
  <c r="H2059" i="11"/>
  <c r="H2044" i="11"/>
  <c r="H2030" i="11"/>
  <c r="H2016" i="11"/>
  <c r="H2002" i="11"/>
  <c r="H1987" i="11"/>
  <c r="H1974" i="11"/>
  <c r="H1954" i="11"/>
  <c r="H1926" i="11"/>
  <c r="H1896" i="11"/>
  <c r="H1868" i="11"/>
  <c r="H1840" i="11"/>
  <c r="H1811" i="11"/>
  <c r="H1783" i="11"/>
  <c r="H1755" i="11"/>
  <c r="H1726" i="11"/>
  <c r="H1698" i="11"/>
  <c r="H1666" i="11"/>
  <c r="H1608" i="11"/>
  <c r="H1552" i="11"/>
  <c r="H1495" i="11"/>
  <c r="H1438" i="11"/>
  <c r="H1382" i="11"/>
  <c r="H1324" i="11"/>
  <c r="H1264" i="11"/>
  <c r="H1164" i="11"/>
  <c r="H979" i="11"/>
  <c r="H566" i="11"/>
  <c r="H2547" i="11"/>
  <c r="H2540" i="11"/>
  <c r="H2534" i="11"/>
  <c r="H2526" i="11"/>
  <c r="H2519" i="11"/>
  <c r="H2512" i="11"/>
  <c r="H2504" i="11"/>
  <c r="H2498" i="11"/>
  <c r="H2491" i="11"/>
  <c r="H2483" i="11"/>
  <c r="H2476" i="11"/>
  <c r="H2470" i="11"/>
  <c r="H2462" i="11"/>
  <c r="H2455" i="11"/>
  <c r="H2448" i="11"/>
  <c r="H2440" i="11"/>
  <c r="H2434" i="11"/>
  <c r="H2427" i="11"/>
  <c r="H2419" i="11"/>
  <c r="H2412" i="11"/>
  <c r="H2406" i="11"/>
  <c r="H2398" i="11"/>
  <c r="H2391" i="11"/>
  <c r="H2384" i="11"/>
  <c r="H2376" i="11"/>
  <c r="H2370" i="11"/>
  <c r="H2363" i="11"/>
  <c r="H2355" i="11"/>
  <c r="H2348" i="11"/>
  <c r="H2342" i="11"/>
  <c r="H2334" i="11"/>
  <c r="H2327" i="11"/>
  <c r="H2320" i="11"/>
  <c r="H2312" i="11"/>
  <c r="H2306" i="11"/>
  <c r="H2299" i="11"/>
  <c r="H2291" i="11"/>
  <c r="H2284" i="11"/>
  <c r="H2278" i="11"/>
  <c r="H2270" i="11"/>
  <c r="H2256" i="11"/>
  <c r="H2242" i="11"/>
  <c r="H2227" i="11"/>
  <c r="H2214" i="11"/>
  <c r="H2199" i="11"/>
  <c r="H2184" i="11"/>
  <c r="H2171" i="11"/>
  <c r="H2156" i="11"/>
  <c r="H2142" i="11"/>
  <c r="H2128" i="11"/>
  <c r="H2114" i="11"/>
  <c r="H2099" i="11"/>
  <c r="H2086" i="11"/>
  <c r="H2071" i="11"/>
  <c r="H2056" i="11"/>
  <c r="H2043" i="11"/>
  <c r="H2028" i="11"/>
  <c r="H2014" i="11"/>
  <c r="H2000" i="11"/>
  <c r="H1986" i="11"/>
  <c r="H1970" i="11"/>
  <c r="H1952" i="11"/>
  <c r="H1923" i="11"/>
  <c r="H1895" i="11"/>
  <c r="H1867" i="11"/>
  <c r="H1838" i="11"/>
  <c r="H1810" i="11"/>
  <c r="H1782" i="11"/>
  <c r="H1752" i="11"/>
  <c r="H1724" i="11"/>
  <c r="H1696" i="11"/>
  <c r="H1664" i="11"/>
  <c r="H1607" i="11"/>
  <c r="H1550" i="11"/>
  <c r="H1494" i="11"/>
  <c r="H1436" i="11"/>
  <c r="H1379" i="11"/>
  <c r="H1323" i="11"/>
  <c r="H1262" i="11"/>
  <c r="H1163" i="11"/>
  <c r="H971" i="11"/>
  <c r="H550" i="11"/>
  <c r="D31" i="11"/>
  <c r="D352" i="11"/>
  <c r="D825" i="11"/>
  <c r="D1013" i="11"/>
  <c r="D1241" i="11"/>
  <c r="D1432" i="11"/>
  <c r="D1625" i="11"/>
  <c r="D1796" i="11"/>
  <c r="D1920" i="11"/>
  <c r="D2045" i="11"/>
  <c r="D2158" i="11"/>
  <c r="D2256" i="11"/>
  <c r="D2349" i="11"/>
  <c r="D2462" i="11"/>
  <c r="D2557" i="11"/>
  <c r="D2654" i="11"/>
  <c r="D2768" i="11"/>
  <c r="D2861" i="11"/>
  <c r="D2954" i="11"/>
  <c r="D3069" i="11"/>
  <c r="D3166" i="11"/>
  <c r="D3258" i="11"/>
  <c r="D3373" i="11"/>
  <c r="D3466" i="11"/>
  <c r="D542" i="11"/>
  <c r="D862" i="11"/>
  <c r="D1090" i="11"/>
  <c r="D1284" i="11"/>
  <c r="D1469" i="11"/>
  <c r="D1693" i="11"/>
  <c r="D1817" i="11"/>
  <c r="D1949" i="11"/>
  <c r="D2085" i="11"/>
  <c r="D2178" i="11"/>
  <c r="D2272" i="11"/>
  <c r="D2386" i="11"/>
  <c r="D2484" i="11"/>
  <c r="D2576" i="11"/>
  <c r="D2690" i="11"/>
  <c r="D2784" i="11"/>
  <c r="D2882" i="11"/>
  <c r="D2996" i="11"/>
  <c r="D3088" i="11"/>
  <c r="D3182" i="11"/>
  <c r="D3296" i="11"/>
  <c r="D3394" i="11"/>
  <c r="D3486" i="11"/>
  <c r="D674" i="11"/>
  <c r="D942" i="11"/>
  <c r="C3469" i="11"/>
  <c r="C3298" i="11"/>
  <c r="C2748" i="11"/>
  <c r="E13" i="11"/>
  <c r="E61" i="11"/>
  <c r="E390" i="11"/>
  <c r="E560" i="11"/>
  <c r="E744" i="11"/>
  <c r="E930" i="11"/>
  <c r="E1062" i="11"/>
  <c r="E1149" i="11"/>
  <c r="E1248" i="11"/>
  <c r="E1329" i="11"/>
  <c r="E1418" i="11"/>
  <c r="E1517" i="11"/>
  <c r="E1602" i="11"/>
  <c r="E1690" i="11"/>
  <c r="E1784" i="11"/>
  <c r="E1869" i="11"/>
  <c r="E1958" i="11"/>
  <c r="E2058" i="11"/>
  <c r="E2138" i="11"/>
  <c r="E2218" i="11"/>
  <c r="E2289" i="11"/>
  <c r="E2337" i="11"/>
  <c r="E2370" i="11"/>
  <c r="E2406" i="11"/>
  <c r="E2437" i="11"/>
  <c r="E2472" i="11"/>
  <c r="E2508" i="11"/>
  <c r="E2538" i="11"/>
  <c r="E2573" i="11"/>
  <c r="E2608" i="11"/>
  <c r="E2641" i="11"/>
  <c r="E2673" i="11"/>
  <c r="E2709" i="11"/>
  <c r="E2741" i="11"/>
  <c r="E2776" i="11"/>
  <c r="E2805" i="11"/>
  <c r="E2828" i="11"/>
  <c r="E2854" i="11"/>
  <c r="E2880" i="11"/>
  <c r="E2904" i="11"/>
  <c r="E2929" i="11"/>
  <c r="E2956" i="11"/>
  <c r="E2978" i="11"/>
  <c r="E3005" i="11"/>
  <c r="E3032" i="11"/>
  <c r="E3056" i="11"/>
  <c r="E3082" i="11"/>
  <c r="E3106" i="11"/>
  <c r="E3132" i="11"/>
  <c r="E3157" i="11"/>
  <c r="E3184" i="11"/>
  <c r="E3206" i="11"/>
  <c r="E3233" i="11"/>
  <c r="E3260" i="11"/>
  <c r="E3282" i="11"/>
  <c r="E3309" i="11"/>
  <c r="E3334" i="11"/>
  <c r="E3360" i="11"/>
  <c r="E3384" i="11"/>
  <c r="E3410" i="11"/>
  <c r="E3434" i="11"/>
  <c r="E3461" i="11"/>
  <c r="E3488" i="11"/>
  <c r="E211" i="11"/>
  <c r="E458" i="11"/>
  <c r="E629" i="11"/>
  <c r="E810" i="11"/>
  <c r="E998" i="11"/>
  <c r="E1094" i="11"/>
  <c r="E1185" i="11"/>
  <c r="E1280" i="11"/>
  <c r="E1365" i="11"/>
  <c r="E1453" i="11"/>
  <c r="E1549" i="11"/>
  <c r="E1633" i="11"/>
  <c r="E1720" i="11"/>
  <c r="E1820" i="11"/>
  <c r="E1905" i="11"/>
  <c r="E1994" i="11"/>
  <c r="E2088" i="11"/>
  <c r="E2173" i="11"/>
  <c r="E2242" i="11"/>
  <c r="E2309" i="11"/>
  <c r="E2349" i="11"/>
  <c r="E2385" i="11"/>
  <c r="E2417" i="11"/>
  <c r="E2450" i="11"/>
  <c r="E2485" i="11"/>
  <c r="E2520" i="11"/>
  <c r="E2550" i="11"/>
  <c r="E2586" i="11"/>
  <c r="E2621" i="11"/>
  <c r="E2652" i="11"/>
  <c r="E2688" i="11"/>
  <c r="E2721" i="11"/>
  <c r="E2754" i="11"/>
  <c r="E2786" i="11"/>
  <c r="E2813" i="11"/>
  <c r="E2837" i="11"/>
  <c r="E2864" i="11"/>
  <c r="E2890" i="11"/>
  <c r="E2913" i="11"/>
  <c r="E2940" i="11"/>
  <c r="E2965" i="11"/>
  <c r="E2989" i="11"/>
  <c r="E3014" i="11"/>
  <c r="E3041" i="11"/>
  <c r="E3064" i="11"/>
  <c r="E3090" i="11"/>
  <c r="E3117" i="11"/>
  <c r="E3141" i="11"/>
  <c r="E3168" i="11"/>
  <c r="E3192" i="11"/>
  <c r="E3217" i="11"/>
  <c r="E3242" i="11"/>
  <c r="E3269" i="11"/>
  <c r="E3292" i="11"/>
  <c r="E3318" i="11"/>
  <c r="E3345" i="11"/>
  <c r="E3368" i="11"/>
  <c r="E3394" i="11"/>
  <c r="E3420" i="11"/>
  <c r="E3445" i="11"/>
  <c r="E3469" i="11"/>
  <c r="E3496" i="11"/>
  <c r="E241" i="11"/>
  <c r="E476" i="11"/>
  <c r="E658" i="11"/>
  <c r="E829" i="11"/>
  <c r="E1014" i="11"/>
  <c r="E1112" i="11"/>
  <c r="E1197" i="11"/>
  <c r="E1285" i="11"/>
  <c r="E1378" i="11"/>
  <c r="E1464" i="11"/>
  <c r="E1554" i="11"/>
  <c r="E1653" i="11"/>
  <c r="E1734" i="11"/>
  <c r="E1824" i="11"/>
  <c r="E1920" i="11"/>
  <c r="E2005" i="11"/>
  <c r="E2096" i="11"/>
  <c r="E2189" i="11"/>
  <c r="E2252" i="11"/>
  <c r="E2310" i="11"/>
  <c r="E2357" i="11"/>
  <c r="E2386" i="11"/>
  <c r="E2422" i="11"/>
  <c r="E2456" i="11"/>
  <c r="E2488" i="11"/>
  <c r="E2522" i="11"/>
  <c r="E2557" i="11"/>
  <c r="E2588" i="11"/>
  <c r="E2624" i="11"/>
  <c r="E2658" i="11"/>
  <c r="E2690" i="11"/>
  <c r="E2726" i="11"/>
  <c r="E2758" i="11"/>
  <c r="E2790" i="11"/>
  <c r="E2816" i="11"/>
  <c r="E2842" i="11"/>
  <c r="E2865" i="11"/>
  <c r="E2892" i="11"/>
  <c r="E2918" i="11"/>
  <c r="E2941" i="11"/>
  <c r="E2968" i="11"/>
  <c r="E2993" i="11"/>
  <c r="E3018" i="11"/>
  <c r="E3042" i="11"/>
  <c r="E3069" i="11"/>
  <c r="E3093" i="11"/>
  <c r="E3120" i="11"/>
  <c r="E3146" i="11"/>
  <c r="E3169" i="11"/>
  <c r="E3196" i="11"/>
  <c r="E3221" i="11"/>
  <c r="E3245" i="11"/>
  <c r="E3270" i="11"/>
  <c r="E3297" i="11"/>
  <c r="E3320" i="11"/>
  <c r="E3346" i="11"/>
  <c r="E3373" i="11"/>
  <c r="E3397" i="11"/>
  <c r="E3424" i="11"/>
  <c r="E3448" i="11"/>
  <c r="E3473" i="11"/>
  <c r="E3498" i="11"/>
  <c r="D3337" i="11"/>
  <c r="D3145" i="11"/>
  <c r="D2938" i="11"/>
  <c r="D2728" i="11"/>
  <c r="D2541" i="11"/>
  <c r="D2329" i="11"/>
  <c r="D2121" i="11"/>
  <c r="D1893" i="11"/>
  <c r="D1582" i="11"/>
  <c r="D1170" i="11"/>
  <c r="C605" i="11"/>
  <c r="C1288" i="11"/>
  <c r="C1970" i="11"/>
  <c r="C2562" i="11"/>
  <c r="C2918" i="11"/>
  <c r="C3249" i="11"/>
  <c r="C3341" i="11"/>
  <c r="C3426" i="11"/>
  <c r="C861" i="11"/>
  <c r="C1544" i="11"/>
  <c r="C2226" i="11"/>
  <c r="C2705" i="11"/>
  <c r="C3046" i="11"/>
  <c r="C3288" i="11"/>
  <c r="C3373" i="11"/>
  <c r="C3458" i="11"/>
  <c r="D3316" i="11"/>
  <c r="D3109" i="11"/>
  <c r="D2917" i="11"/>
  <c r="D2712" i="11"/>
  <c r="D2500" i="11"/>
  <c r="D2313" i="11"/>
  <c r="D2101" i="11"/>
  <c r="D1844" i="11"/>
  <c r="D1545" i="11"/>
  <c r="D1128" i="11"/>
  <c r="E1768" i="11"/>
  <c r="E1414" i="11"/>
  <c r="E1048" i="11"/>
  <c r="E354" i="11"/>
  <c r="C3416" i="11"/>
  <c r="C3217" i="11"/>
  <c r="C2508" i="11"/>
  <c r="C1202" i="11"/>
  <c r="D3450" i="11"/>
  <c r="D3240" i="11"/>
  <c r="D3032" i="11"/>
  <c r="D2841" i="11"/>
  <c r="D2633" i="11"/>
  <c r="D2426" i="11"/>
  <c r="D2234" i="11"/>
  <c r="D2024" i="11"/>
  <c r="D1742" i="11"/>
  <c r="D1397" i="11"/>
  <c r="D976" i="11"/>
  <c r="E3458" i="11"/>
  <c r="E3356" i="11"/>
  <c r="E3254" i="11"/>
  <c r="E3154" i="11"/>
  <c r="E3053" i="11"/>
  <c r="E2950" i="11"/>
  <c r="E2850" i="11"/>
  <c r="E2737" i="11"/>
  <c r="E2602" i="11"/>
  <c r="E2470" i="11"/>
  <c r="E2330" i="11"/>
  <c r="E2038" i="11"/>
  <c r="E1682" i="11"/>
  <c r="E1318" i="11"/>
  <c r="E896" i="11"/>
  <c r="C3384" i="11"/>
  <c r="C3089" i="11"/>
  <c r="C2312" i="11"/>
  <c r="C946" i="11"/>
  <c r="D3410" i="11"/>
  <c r="D3224" i="11"/>
  <c r="D3012" i="11"/>
  <c r="D2804" i="11"/>
  <c r="D2613" i="11"/>
  <c r="D2405" i="11"/>
  <c r="D2200" i="11"/>
  <c r="D1994" i="11"/>
  <c r="D1721" i="11"/>
  <c r="D1317" i="11"/>
  <c r="D768" i="11"/>
  <c r="E3432" i="11"/>
  <c r="E3330" i="11"/>
  <c r="E3232" i="11"/>
  <c r="E3128" i="11"/>
  <c r="E3026" i="11"/>
  <c r="E2928" i="11"/>
  <c r="E2826" i="11"/>
  <c r="E2701" i="11"/>
  <c r="E2570" i="11"/>
  <c r="E2434" i="11"/>
  <c r="E2278" i="11"/>
  <c r="E1954" i="11"/>
  <c r="E1589" i="11"/>
  <c r="E1228" i="11"/>
  <c r="E730" i="11"/>
  <c r="G2055" i="11"/>
  <c r="G2225" i="11"/>
  <c r="G2524" i="11"/>
  <c r="G2695" i="11"/>
  <c r="G2865" i="11"/>
  <c r="G2968" i="11"/>
  <c r="G3053" i="11"/>
  <c r="G3139" i="11"/>
  <c r="G3224" i="11"/>
  <c r="G3309" i="11"/>
  <c r="G3395" i="11"/>
  <c r="G3480" i="11"/>
  <c r="G2391" i="11"/>
  <c r="G2588" i="11"/>
  <c r="G2759" i="11"/>
  <c r="G2915" i="11"/>
  <c r="G3000" i="11"/>
  <c r="G3085" i="11"/>
  <c r="G3171" i="11"/>
  <c r="G3256" i="11"/>
  <c r="G3341" i="11"/>
  <c r="G3427" i="11"/>
  <c r="B3404" i="11"/>
  <c r="B3260" i="11"/>
  <c r="B3106" i="11"/>
  <c r="B2951" i="11"/>
  <c r="B2808" i="11"/>
  <c r="B2652" i="11"/>
  <c r="B2494" i="11"/>
  <c r="B209" i="11"/>
  <c r="G3384" i="11"/>
  <c r="G3213" i="11"/>
  <c r="G3043" i="11"/>
  <c r="G2844" i="11"/>
  <c r="G2503" i="11"/>
  <c r="G3352" i="11"/>
  <c r="G3181" i="11"/>
  <c r="G3011" i="11"/>
  <c r="G2780" i="11"/>
  <c r="G2433" i="11"/>
  <c r="F2014" i="11"/>
  <c r="F2008" i="11"/>
  <c r="F2003" i="11"/>
  <c r="F1998" i="11"/>
  <c r="F1992" i="11"/>
  <c r="F1987" i="11"/>
  <c r="F1982" i="11"/>
  <c r="F1974" i="11"/>
  <c r="F1966" i="11"/>
  <c r="F1958" i="11"/>
  <c r="F1950" i="11"/>
  <c r="F1942" i="11"/>
  <c r="F1934" i="11"/>
  <c r="F1926" i="11"/>
  <c r="F1918" i="11"/>
  <c r="F1910" i="11"/>
  <c r="F1902" i="11"/>
  <c r="F1894" i="11"/>
  <c r="F1886" i="11"/>
  <c r="F1878" i="11"/>
  <c r="F1870" i="11"/>
  <c r="F1862" i="11"/>
  <c r="F1854" i="11"/>
  <c r="F1846" i="11"/>
  <c r="F1838" i="11"/>
  <c r="F1830" i="11"/>
  <c r="F1822" i="11"/>
  <c r="F1814" i="11"/>
  <c r="F1806" i="11"/>
  <c r="F1798" i="11"/>
  <c r="F1790" i="11"/>
  <c r="F1782" i="11"/>
  <c r="F1774" i="11"/>
  <c r="F1766" i="11"/>
  <c r="F1758" i="11"/>
  <c r="F1750" i="11"/>
  <c r="F1742" i="11"/>
  <c r="F1734" i="11"/>
  <c r="F1726" i="11"/>
  <c r="F1718" i="11"/>
  <c r="F1710" i="11"/>
  <c r="F1702" i="11"/>
  <c r="F1694" i="11"/>
  <c r="F1686" i="11"/>
  <c r="F1678" i="11"/>
  <c r="F1670" i="11"/>
  <c r="F1662" i="11"/>
  <c r="F1654" i="11"/>
  <c r="F1646" i="11"/>
  <c r="F1638" i="11"/>
  <c r="F1627" i="11"/>
  <c r="F1616" i="11"/>
  <c r="F1606" i="11"/>
  <c r="F1595" i="11"/>
  <c r="F1584" i="11"/>
  <c r="F1564" i="11"/>
  <c r="F1532" i="11"/>
  <c r="F1500" i="11"/>
  <c r="F1468" i="11"/>
  <c r="F1436" i="11"/>
  <c r="F1404" i="11"/>
  <c r="F1372" i="11"/>
  <c r="F1340" i="11"/>
  <c r="F1308" i="11"/>
  <c r="F1276" i="11"/>
  <c r="F1244" i="11"/>
  <c r="F1212" i="11"/>
  <c r="F1180" i="11"/>
  <c r="F1148" i="11"/>
  <c r="F1116" i="11"/>
  <c r="F1084" i="11"/>
  <c r="F1010" i="11"/>
  <c r="F925" i="11"/>
  <c r="H2268" i="11"/>
  <c r="H2262" i="11"/>
  <c r="H2254" i="11"/>
  <c r="H2247" i="11"/>
  <c r="H2240" i="11"/>
  <c r="H2232" i="11"/>
  <c r="H2226" i="11"/>
  <c r="H2219" i="11"/>
  <c r="H2211" i="11"/>
  <c r="H2204" i="11"/>
  <c r="H2198" i="11"/>
  <c r="H2190" i="11"/>
  <c r="H2183" i="11"/>
  <c r="H2176" i="11"/>
  <c r="H2168" i="11"/>
  <c r="H2162" i="11"/>
  <c r="H2155" i="11"/>
  <c r="H2147" i="11"/>
  <c r="H2140" i="11"/>
  <c r="H2134" i="11"/>
  <c r="H2126" i="11"/>
  <c r="H2119" i="11"/>
  <c r="H2112" i="11"/>
  <c r="H2104" i="11"/>
  <c r="H2098" i="11"/>
  <c r="H2091" i="11"/>
  <c r="H2083" i="11"/>
  <c r="H2076" i="11"/>
  <c r="H2070" i="11"/>
  <c r="H2062" i="11"/>
  <c r="H2055" i="11"/>
  <c r="H2048" i="11"/>
  <c r="H2040" i="11"/>
  <c r="H2034" i="11"/>
  <c r="H2027" i="11"/>
  <c r="H2019" i="11"/>
  <c r="H2012" i="11"/>
  <c r="H2006" i="11"/>
  <c r="H1998" i="11"/>
  <c r="H1991" i="11"/>
  <c r="H1984" i="11"/>
  <c r="H1976" i="11"/>
  <c r="H1968" i="11"/>
  <c r="H1959" i="11"/>
  <c r="H1947" i="11"/>
  <c r="H1932" i="11"/>
  <c r="H1918" i="11"/>
  <c r="H1904" i="11"/>
  <c r="H1890" i="11"/>
  <c r="H1875" i="11"/>
  <c r="H1862" i="11"/>
  <c r="H1847" i="11"/>
  <c r="H1832" i="11"/>
  <c r="H1819" i="11"/>
  <c r="H1804" i="11"/>
  <c r="H1790" i="11"/>
  <c r="H1776" i="11"/>
  <c r="H1762" i="11"/>
  <c r="H1747" i="11"/>
  <c r="H1734" i="11"/>
  <c r="H1719" i="11"/>
  <c r="H1704" i="11"/>
  <c r="H1691" i="11"/>
  <c r="H1676" i="11"/>
  <c r="H1651" i="11"/>
  <c r="H1623" i="11"/>
  <c r="H1595" i="11"/>
  <c r="H1566" i="11"/>
  <c r="H1538" i="11"/>
  <c r="H1510" i="11"/>
  <c r="H1480" i="11"/>
  <c r="H1452" i="11"/>
  <c r="H1424" i="11"/>
  <c r="H1395" i="11"/>
  <c r="H1367" i="11"/>
  <c r="H1339" i="11"/>
  <c r="H1310" i="11"/>
  <c r="H1282" i="11"/>
  <c r="H1244" i="11"/>
  <c r="H1192" i="11"/>
  <c r="H1136" i="11"/>
  <c r="H1056" i="11"/>
  <c r="H903" i="11"/>
  <c r="H720" i="11"/>
  <c r="H394" i="11"/>
  <c r="H2267" i="11"/>
  <c r="H2259" i="11"/>
  <c r="H2252" i="11"/>
  <c r="H2246" i="11"/>
  <c r="H2238" i="11"/>
  <c r="H2231" i="11"/>
  <c r="H2224" i="11"/>
  <c r="H2216" i="11"/>
  <c r="H2210" i="11"/>
  <c r="H2203" i="11"/>
  <c r="H2195" i="11"/>
  <c r="H2188" i="11"/>
  <c r="H2182" i="11"/>
  <c r="H2174" i="11"/>
  <c r="H2167" i="11"/>
  <c r="H2160" i="11"/>
  <c r="H2152" i="11"/>
  <c r="H2146" i="11"/>
  <c r="H2139" i="11"/>
  <c r="H2131" i="11"/>
  <c r="H2124" i="11"/>
  <c r="H2118" i="11"/>
  <c r="H2110" i="11"/>
  <c r="H2103" i="11"/>
  <c r="H2096" i="11"/>
  <c r="H2088" i="11"/>
  <c r="H2082" i="11"/>
  <c r="H2075" i="11"/>
  <c r="H2067" i="11"/>
  <c r="H2060" i="11"/>
  <c r="H2054" i="11"/>
  <c r="H2046" i="11"/>
  <c r="H2039" i="11"/>
  <c r="H2032" i="11"/>
  <c r="H2024" i="11"/>
  <c r="H2018" i="11"/>
  <c r="H2011" i="11"/>
  <c r="H2003" i="11"/>
  <c r="H1996" i="11"/>
  <c r="H1990" i="11"/>
  <c r="H1982" i="11"/>
  <c r="H1975" i="11"/>
  <c r="H1966" i="11"/>
  <c r="H1955" i="11"/>
  <c r="H1944" i="11"/>
  <c r="H1931" i="11"/>
  <c r="H1916" i="11"/>
  <c r="H1902" i="11"/>
  <c r="H1888" i="11"/>
  <c r="H1874" i="11"/>
  <c r="H1859" i="11"/>
  <c r="H1846" i="11"/>
  <c r="H1831" i="11"/>
  <c r="H1816" i="11"/>
  <c r="H1803" i="11"/>
  <c r="H1788" i="11"/>
  <c r="H1774" i="11"/>
  <c r="H1760" i="11"/>
  <c r="H1746" i="11"/>
  <c r="H1731" i="11"/>
  <c r="H1718" i="11"/>
  <c r="H1703" i="11"/>
  <c r="H1688" i="11"/>
  <c r="H1675" i="11"/>
  <c r="H1650" i="11"/>
  <c r="H1622" i="11"/>
  <c r="H1592" i="11"/>
  <c r="H1564" i="11"/>
  <c r="H1536" i="11"/>
  <c r="H1507" i="11"/>
  <c r="H1479" i="11"/>
  <c r="H1451" i="11"/>
  <c r="H1422" i="11"/>
  <c r="H1394" i="11"/>
  <c r="H1366" i="11"/>
  <c r="H1336" i="11"/>
  <c r="H1308" i="11"/>
  <c r="H1280" i="11"/>
  <c r="H1243" i="11"/>
  <c r="H1191" i="11"/>
  <c r="H1134" i="11"/>
  <c r="H1046" i="11"/>
  <c r="H894" i="11"/>
  <c r="H700" i="11"/>
  <c r="H366" i="11"/>
  <c r="D607" i="11"/>
  <c r="D177" i="11"/>
  <c r="B3447" i="11"/>
  <c r="B3374" i="11"/>
  <c r="B3288" i="11"/>
  <c r="B3218" i="11"/>
  <c r="B3148" i="11"/>
  <c r="B3063" i="11"/>
  <c r="B2994" i="11"/>
  <c r="B2920" i="11"/>
  <c r="B2835" i="11"/>
  <c r="B2766" i="11"/>
  <c r="B2695" i="11"/>
  <c r="B2610" i="11"/>
  <c r="B2536" i="11"/>
  <c r="B2467" i="11"/>
  <c r="B2382" i="11"/>
  <c r="E3490" i="11"/>
  <c r="E3480" i="11"/>
  <c r="E3468" i="11"/>
  <c r="E3453" i="11"/>
  <c r="E3441" i="11"/>
  <c r="E3430" i="11"/>
  <c r="E3416" i="11"/>
  <c r="E3404" i="11"/>
  <c r="E3392" i="11"/>
  <c r="E3377" i="11"/>
  <c r="E3366" i="11"/>
  <c r="E3354" i="11"/>
  <c r="E3340" i="11"/>
  <c r="E3328" i="11"/>
  <c r="E3317" i="11"/>
  <c r="E3302" i="11"/>
  <c r="E3290" i="11"/>
  <c r="E3277" i="11"/>
  <c r="E3264" i="11"/>
  <c r="E3253" i="11"/>
  <c r="E3240" i="11"/>
  <c r="E3226" i="11"/>
  <c r="E3213" i="11"/>
  <c r="E3202" i="11"/>
  <c r="E3189" i="11"/>
  <c r="E3176" i="11"/>
  <c r="E3164" i="11"/>
  <c r="E3149" i="11"/>
  <c r="E3138" i="11"/>
  <c r="E3126" i="11"/>
  <c r="E3112" i="11"/>
  <c r="E3100" i="11"/>
  <c r="E3089" i="11"/>
  <c r="E3074" i="11"/>
  <c r="E3062" i="11"/>
  <c r="E3050" i="11"/>
  <c r="E3036" i="11"/>
  <c r="E3025" i="11"/>
  <c r="E3013" i="11"/>
  <c r="E2998" i="11"/>
  <c r="E2986" i="11"/>
  <c r="E2976" i="11"/>
  <c r="E2961" i="11"/>
  <c r="E2949" i="11"/>
  <c r="E2936" i="11"/>
  <c r="E2922" i="11"/>
  <c r="E2912" i="11"/>
  <c r="E2898" i="11"/>
  <c r="E2885" i="11"/>
  <c r="E2872" i="11"/>
  <c r="E2861" i="11"/>
  <c r="E2848" i="11"/>
  <c r="E2834" i="11"/>
  <c r="E2822" i="11"/>
  <c r="E2808" i="11"/>
  <c r="E2797" i="11"/>
  <c r="E2785" i="11"/>
  <c r="E2765" i="11"/>
  <c r="E2749" i="11"/>
  <c r="E2736" i="11"/>
  <c r="E2716" i="11"/>
  <c r="E2700" i="11"/>
  <c r="E2684" i="11"/>
  <c r="E2664" i="11"/>
  <c r="E2650" i="11"/>
  <c r="E2634" i="11"/>
  <c r="E2614" i="11"/>
  <c r="E2598" i="11"/>
  <c r="E2584" i="11"/>
  <c r="E2565" i="11"/>
  <c r="E2549" i="11"/>
  <c r="E2530" i="11"/>
  <c r="E2513" i="11"/>
  <c r="E2498" i="11"/>
  <c r="E2481" i="11"/>
  <c r="E2464" i="11"/>
  <c r="E2445" i="11"/>
  <c r="E2432" i="11"/>
  <c r="E2413" i="11"/>
  <c r="E2396" i="11"/>
  <c r="E2380" i="11"/>
  <c r="E2360" i="11"/>
  <c r="E2346" i="11"/>
  <c r="E2328" i="11"/>
  <c r="E2300" i="11"/>
  <c r="E2268" i="11"/>
  <c r="E2240" i="11"/>
  <c r="E2202" i="11"/>
  <c r="E2161" i="11"/>
  <c r="E2124" i="11"/>
  <c r="E2072" i="11"/>
  <c r="E2024" i="11"/>
  <c r="E1986" i="11"/>
  <c r="E1937" i="11"/>
  <c r="E1890" i="11"/>
  <c r="E1853" i="11"/>
  <c r="E1804" i="11"/>
  <c r="E1756" i="11"/>
  <c r="E1718" i="11"/>
  <c r="E1669" i="11"/>
  <c r="E1621" i="11"/>
  <c r="E1584" i="11"/>
  <c r="E1532" i="11"/>
  <c r="E1489" i="11"/>
  <c r="E1450" i="11"/>
  <c r="E1398" i="11"/>
  <c r="E1350" i="11"/>
  <c r="E1313" i="11"/>
  <c r="E1264" i="11"/>
  <c r="E1216" i="11"/>
  <c r="E1178" i="11"/>
  <c r="E1128" i="11"/>
  <c r="E1084" i="11"/>
  <c r="E1045" i="11"/>
  <c r="E962" i="11"/>
  <c r="E881" i="11"/>
  <c r="E796" i="11"/>
  <c r="E694" i="11"/>
  <c r="E609" i="11"/>
  <c r="E525" i="11"/>
  <c r="E426" i="11"/>
  <c r="E341" i="11"/>
  <c r="E175" i="11"/>
  <c r="B3431" i="11"/>
  <c r="B3346" i="11"/>
  <c r="B3276" i="11"/>
  <c r="B3203" i="11"/>
  <c r="B3118" i="11"/>
  <c r="B3047" i="11"/>
  <c r="B2979" i="11"/>
  <c r="B2894" i="11"/>
  <c r="B2823" i="11"/>
  <c r="B2750" i="11"/>
  <c r="B2664" i="11"/>
  <c r="B2595" i="11"/>
  <c r="B2524" i="11"/>
  <c r="B2439" i="11"/>
  <c r="B2366" i="11"/>
  <c r="D3429" i="11"/>
  <c r="D3353" i="11"/>
  <c r="D3280" i="11"/>
  <c r="D3202" i="11"/>
  <c r="D3125" i="11"/>
  <c r="D3053" i="11"/>
  <c r="D2974" i="11"/>
  <c r="D2898" i="11"/>
  <c r="D2825" i="11"/>
  <c r="D2746" i="11"/>
  <c r="D2670" i="11"/>
  <c r="D2597" i="11"/>
  <c r="D2520" i="11"/>
  <c r="D2442" i="11"/>
  <c r="D2370" i="11"/>
  <c r="D2292" i="11"/>
  <c r="D2216" i="11"/>
  <c r="D2142" i="11"/>
  <c r="D2064" i="11"/>
  <c r="D1970" i="11"/>
  <c r="D1872" i="11"/>
  <c r="D1768" i="11"/>
  <c r="D1658" i="11"/>
  <c r="D1512" i="11"/>
  <c r="D1354" i="11"/>
  <c r="D1204" i="11"/>
  <c r="D1056" i="11"/>
  <c r="D900" i="11"/>
  <c r="D718" i="11"/>
  <c r="D467" i="11"/>
  <c r="E3501" i="11"/>
  <c r="E3489" i="11"/>
  <c r="E3477" i="11"/>
  <c r="E3462" i="11"/>
  <c r="E3452" i="11"/>
  <c r="E3440" i="11"/>
  <c r="E3425" i="11"/>
  <c r="E3413" i="11"/>
  <c r="E3402" i="11"/>
  <c r="E3388" i="11"/>
  <c r="E3376" i="11"/>
  <c r="E3362" i="11"/>
  <c r="E3349" i="11"/>
  <c r="E3338" i="11"/>
  <c r="E3325" i="11"/>
  <c r="E3312" i="11"/>
  <c r="E3298" i="11"/>
  <c r="E3288" i="11"/>
  <c r="E3274" i="11"/>
  <c r="E3261" i="11"/>
  <c r="E3249" i="11"/>
  <c r="E3234" i="11"/>
  <c r="E3224" i="11"/>
  <c r="E3212" i="11"/>
  <c r="E3197" i="11"/>
  <c r="E3185" i="11"/>
  <c r="E3174" i="11"/>
  <c r="E3160" i="11"/>
  <c r="E3148" i="11"/>
  <c r="E3136" i="11"/>
  <c r="E3121" i="11"/>
  <c r="E3110" i="11"/>
  <c r="E3098" i="11"/>
  <c r="E3084" i="11"/>
  <c r="E3072" i="11"/>
  <c r="E3061" i="11"/>
  <c r="E3046" i="11"/>
  <c r="E3034" i="11"/>
  <c r="E3021" i="11"/>
  <c r="E3008" i="11"/>
  <c r="E2997" i="11"/>
  <c r="E2984" i="11"/>
  <c r="E2970" i="11"/>
  <c r="E2957" i="11"/>
  <c r="E2946" i="11"/>
  <c r="E2933" i="11"/>
  <c r="E2920" i="11"/>
  <c r="E2908" i="11"/>
  <c r="E2893" i="11"/>
  <c r="E2882" i="11"/>
  <c r="E2870" i="11"/>
  <c r="E2856" i="11"/>
  <c r="E2844" i="11"/>
  <c r="E2833" i="11"/>
  <c r="E2818" i="11"/>
  <c r="E2806" i="11"/>
  <c r="E2794" i="11"/>
  <c r="E2778" i="11"/>
  <c r="E2764" i="11"/>
  <c r="E2748" i="11"/>
  <c r="E2728" i="11"/>
  <c r="E2712" i="11"/>
  <c r="E2698" i="11"/>
  <c r="E2678" i="11"/>
  <c r="E2662" i="11"/>
  <c r="E2645" i="11"/>
  <c r="E2626" i="11"/>
  <c r="E2613" i="11"/>
  <c r="E2594" i="11"/>
  <c r="E2577" i="11"/>
  <c r="E2560" i="11"/>
  <c r="E2545" i="11"/>
  <c r="E2528" i="11"/>
  <c r="E2509" i="11"/>
  <c r="E2493" i="11"/>
  <c r="E2474" i="11"/>
  <c r="E2460" i="11"/>
  <c r="E2444" i="11"/>
  <c r="E2424" i="11"/>
  <c r="E2408" i="11"/>
  <c r="E2394" i="11"/>
  <c r="E2374" i="11"/>
  <c r="E2358" i="11"/>
  <c r="E2342" i="11"/>
  <c r="E2317" i="11"/>
  <c r="E2293" i="11"/>
  <c r="E2266" i="11"/>
  <c r="E2229" i="11"/>
  <c r="E2193" i="11"/>
  <c r="E2157" i="11"/>
  <c r="E2108" i="11"/>
  <c r="E2060" i="11"/>
  <c r="E2022" i="11"/>
  <c r="E1973" i="11"/>
  <c r="E1925" i="11"/>
  <c r="E1888" i="11"/>
  <c r="E1834" i="11"/>
  <c r="E1792" i="11"/>
  <c r="E1754" i="11"/>
  <c r="E1702" i="11"/>
  <c r="E1654" i="11"/>
  <c r="E1617" i="11"/>
  <c r="E1568" i="11"/>
  <c r="E1520" i="11"/>
  <c r="E1482" i="11"/>
  <c r="E1432" i="11"/>
  <c r="E1386" i="11"/>
  <c r="E1349" i="11"/>
  <c r="E1298" i="11"/>
  <c r="E1250" i="11"/>
  <c r="E1213" i="11"/>
  <c r="E1162" i="11"/>
  <c r="E1114" i="11"/>
  <c r="E1077" i="11"/>
  <c r="E1026" i="11"/>
  <c r="E949" i="11"/>
  <c r="E864" i="11"/>
  <c r="E760" i="11"/>
  <c r="E678" i="11"/>
  <c r="E593" i="11"/>
  <c r="E493" i="11"/>
  <c r="E408" i="11"/>
  <c r="E313" i="11"/>
  <c r="E111" i="11"/>
  <c r="F2" i="11"/>
  <c r="F49" i="11"/>
  <c r="F129" i="11"/>
  <c r="F195" i="11"/>
  <c r="F235" i="11"/>
  <c r="F275" i="11"/>
  <c r="F323" i="11"/>
  <c r="F348" i="11"/>
  <c r="F368" i="11"/>
  <c r="F392" i="11"/>
  <c r="F412" i="11"/>
  <c r="F432" i="11"/>
  <c r="F456" i="11"/>
  <c r="F476" i="11"/>
  <c r="F496" i="11"/>
  <c r="F516" i="11"/>
  <c r="F525" i="11"/>
  <c r="F534" i="11"/>
  <c r="F542" i="11"/>
  <c r="F549" i="11"/>
  <c r="F556" i="11"/>
  <c r="F564" i="11"/>
  <c r="F570" i="11"/>
  <c r="F577" i="11"/>
  <c r="F585" i="11"/>
  <c r="F592" i="11"/>
  <c r="F598" i="11"/>
  <c r="F606" i="11"/>
  <c r="F613" i="11"/>
  <c r="F620" i="11"/>
  <c r="F628" i="11"/>
  <c r="F634" i="11"/>
  <c r="F641" i="11"/>
  <c r="F649" i="11"/>
  <c r="F656" i="11"/>
  <c r="F662" i="11"/>
  <c r="F668" i="11"/>
  <c r="F673" i="11"/>
  <c r="F678" i="11"/>
  <c r="F684" i="11"/>
  <c r="F689" i="11"/>
  <c r="F694" i="11"/>
  <c r="F700" i="11"/>
  <c r="F705" i="11"/>
  <c r="F710" i="11"/>
  <c r="F716" i="11"/>
  <c r="F721" i="11"/>
  <c r="F726" i="11"/>
  <c r="F732" i="11"/>
  <c r="F737" i="11"/>
  <c r="F742" i="11"/>
  <c r="F748" i="11"/>
  <c r="F753" i="11"/>
  <c r="F758" i="11"/>
  <c r="F764" i="11"/>
  <c r="F769" i="11"/>
  <c r="F774" i="11"/>
  <c r="F780" i="11"/>
  <c r="F785" i="11"/>
  <c r="F790" i="11"/>
  <c r="F796" i="11"/>
  <c r="F801" i="11"/>
  <c r="F806" i="11"/>
  <c r="F812" i="11"/>
  <c r="F65" i="11"/>
  <c r="F161" i="11"/>
  <c r="F203" i="11"/>
  <c r="F243" i="11"/>
  <c r="F291" i="11"/>
  <c r="F329" i="11"/>
  <c r="F352" i="11"/>
  <c r="F376" i="11"/>
  <c r="F396" i="11"/>
  <c r="F416" i="11"/>
  <c r="F440" i="11"/>
  <c r="F460" i="11"/>
  <c r="F480" i="11"/>
  <c r="F504" i="11"/>
  <c r="F517" i="11"/>
  <c r="F528" i="11"/>
  <c r="F537" i="11"/>
  <c r="F544" i="11"/>
  <c r="F550" i="11"/>
  <c r="F558" i="11"/>
  <c r="F565" i="11"/>
  <c r="F572" i="11"/>
  <c r="F580" i="11"/>
  <c r="F586" i="11"/>
  <c r="F593" i="11"/>
  <c r="F601" i="11"/>
  <c r="F608" i="11"/>
  <c r="F614" i="11"/>
  <c r="F622" i="11"/>
  <c r="F629" i="11"/>
  <c r="F636" i="11"/>
  <c r="F644" i="11"/>
  <c r="F650" i="11"/>
  <c r="F657" i="11"/>
  <c r="F664" i="11"/>
  <c r="F669" i="11"/>
  <c r="F674" i="11"/>
  <c r="F680" i="11"/>
  <c r="F685" i="11"/>
  <c r="F690" i="11"/>
  <c r="F696" i="11"/>
  <c r="F701" i="11"/>
  <c r="F706" i="11"/>
  <c r="F712" i="11"/>
  <c r="F717" i="11"/>
  <c r="F722" i="11"/>
  <c r="F728" i="11"/>
  <c r="F733" i="11"/>
  <c r="F738" i="11"/>
  <c r="F744" i="11"/>
  <c r="F749" i="11"/>
  <c r="F754" i="11"/>
  <c r="F760" i="11"/>
  <c r="F765" i="11"/>
  <c r="F770" i="11"/>
  <c r="F776" i="11"/>
  <c r="F781" i="11"/>
  <c r="F786" i="11"/>
  <c r="F792" i="11"/>
  <c r="F797" i="11"/>
  <c r="F33" i="11"/>
  <c r="F179" i="11"/>
  <c r="F267" i="11"/>
  <c r="F344" i="11"/>
  <c r="F384" i="11"/>
  <c r="F428" i="11"/>
  <c r="F472" i="11"/>
  <c r="F512" i="11"/>
  <c r="F533" i="11"/>
  <c r="F548" i="11"/>
  <c r="F561" i="11"/>
  <c r="F576" i="11"/>
  <c r="F590" i="11"/>
  <c r="F604" i="11"/>
  <c r="F618" i="11"/>
  <c r="F633" i="11"/>
  <c r="F646" i="11"/>
  <c r="F661" i="11"/>
  <c r="F672" i="11"/>
  <c r="F682" i="11"/>
  <c r="F693" i="11"/>
  <c r="F704" i="11"/>
  <c r="F714" i="11"/>
  <c r="F725" i="11"/>
  <c r="F736" i="11"/>
  <c r="F746" i="11"/>
  <c r="F757" i="11"/>
  <c r="F768" i="11"/>
  <c r="F778" i="11"/>
  <c r="F789" i="11"/>
  <c r="F800" i="11"/>
  <c r="F808" i="11"/>
  <c r="F814" i="11"/>
  <c r="F820" i="11"/>
  <c r="F825" i="11"/>
  <c r="F830" i="11"/>
  <c r="F836" i="11"/>
  <c r="F841" i="11"/>
  <c r="F846" i="11"/>
  <c r="F852" i="11"/>
  <c r="F857" i="11"/>
  <c r="F862" i="11"/>
  <c r="F868" i="11"/>
  <c r="F873" i="11"/>
  <c r="F878" i="11"/>
  <c r="F884" i="11"/>
  <c r="F889" i="11"/>
  <c r="F894" i="11"/>
  <c r="F900" i="11"/>
  <c r="F905" i="11"/>
  <c r="F910" i="11"/>
  <c r="F916" i="11"/>
  <c r="F921" i="11"/>
  <c r="F926" i="11"/>
  <c r="F932" i="11"/>
  <c r="F937" i="11"/>
  <c r="F942" i="11"/>
  <c r="F948" i="11"/>
  <c r="F953" i="11"/>
  <c r="F958" i="11"/>
  <c r="F964" i="11"/>
  <c r="F969" i="11"/>
  <c r="F974" i="11"/>
  <c r="F980" i="11"/>
  <c r="F985" i="11"/>
  <c r="F990" i="11"/>
  <c r="F996" i="11"/>
  <c r="F1001" i="11"/>
  <c r="F1006" i="11"/>
  <c r="F1012" i="11"/>
  <c r="F1017" i="11"/>
  <c r="F1022" i="11"/>
  <c r="F1028" i="11"/>
  <c r="F1033" i="11"/>
  <c r="F1038" i="11"/>
  <c r="F1044" i="11"/>
  <c r="F1049" i="11"/>
  <c r="F1053" i="11"/>
  <c r="F1057" i="11"/>
  <c r="F1061" i="11"/>
  <c r="F1065" i="11"/>
  <c r="F1069" i="11"/>
  <c r="F1073" i="11"/>
  <c r="F1077" i="11"/>
  <c r="F1081" i="11"/>
  <c r="F97" i="11"/>
  <c r="F211" i="11"/>
  <c r="F299" i="11"/>
  <c r="F360" i="11"/>
  <c r="F400" i="11"/>
  <c r="F444" i="11"/>
  <c r="F488" i="11"/>
  <c r="F520" i="11"/>
  <c r="F538" i="11"/>
  <c r="F553" i="11"/>
  <c r="F566" i="11"/>
  <c r="F581" i="11"/>
  <c r="F596" i="11"/>
  <c r="F609" i="11"/>
  <c r="F624" i="11"/>
  <c r="F638" i="11"/>
  <c r="F652" i="11"/>
  <c r="F665" i="11"/>
  <c r="F676" i="11"/>
  <c r="F686" i="11"/>
  <c r="F697" i="11"/>
  <c r="F708" i="11"/>
  <c r="F718" i="11"/>
  <c r="F729" i="11"/>
  <c r="F740" i="11"/>
  <c r="F750" i="11"/>
  <c r="F761" i="11"/>
  <c r="F772" i="11"/>
  <c r="F782" i="11"/>
  <c r="F793" i="11"/>
  <c r="F802" i="11"/>
  <c r="F809" i="11"/>
  <c r="F816" i="11"/>
  <c r="F821" i="11"/>
  <c r="F826" i="11"/>
  <c r="F832" i="11"/>
  <c r="F837" i="11"/>
  <c r="F842" i="11"/>
  <c r="F848" i="11"/>
  <c r="F853" i="11"/>
  <c r="F858" i="11"/>
  <c r="F864" i="11"/>
  <c r="F869" i="11"/>
  <c r="F874" i="11"/>
  <c r="F880" i="11"/>
  <c r="F885" i="11"/>
  <c r="F890" i="11"/>
  <c r="F896" i="11"/>
  <c r="F901" i="11"/>
  <c r="F906" i="11"/>
  <c r="F912" i="11"/>
  <c r="F917" i="11"/>
  <c r="F922" i="11"/>
  <c r="F928" i="11"/>
  <c r="F933" i="11"/>
  <c r="F938" i="11"/>
  <c r="F944" i="11"/>
  <c r="F949" i="11"/>
  <c r="F954" i="11"/>
  <c r="F960" i="11"/>
  <c r="F965" i="11"/>
  <c r="F970" i="11"/>
  <c r="F976" i="11"/>
  <c r="F981" i="11"/>
  <c r="F986" i="11"/>
  <c r="F992" i="11"/>
  <c r="F997" i="11"/>
  <c r="F1002" i="11"/>
  <c r="F1008" i="11"/>
  <c r="F1013" i="11"/>
  <c r="F1018" i="11"/>
  <c r="F1024" i="11"/>
  <c r="F1029" i="11"/>
  <c r="F1034" i="11"/>
  <c r="F1040" i="11"/>
  <c r="F1045" i="11"/>
  <c r="F1050" i="11"/>
  <c r="F1054" i="11"/>
  <c r="F1058" i="11"/>
  <c r="F1062" i="11"/>
  <c r="F1066" i="11"/>
  <c r="F1070" i="11"/>
  <c r="F1074" i="11"/>
  <c r="F1078" i="11"/>
  <c r="F1082" i="11"/>
  <c r="F113" i="11"/>
  <c r="F227" i="11"/>
  <c r="F307" i="11"/>
  <c r="F364" i="11"/>
  <c r="F408" i="11"/>
  <c r="F448" i="11"/>
  <c r="F492" i="11"/>
  <c r="F524" i="11"/>
  <c r="F540" i="11"/>
  <c r="F554" i="11"/>
  <c r="F569" i="11"/>
  <c r="F582" i="11"/>
  <c r="F597" i="11"/>
  <c r="F612" i="11"/>
  <c r="F625" i="11"/>
  <c r="F640" i="11"/>
  <c r="F654" i="11"/>
  <c r="F666" i="11"/>
  <c r="F677" i="11"/>
  <c r="F688" i="11"/>
  <c r="F698" i="11"/>
  <c r="F709" i="11"/>
  <c r="F720" i="11"/>
  <c r="F730" i="11"/>
  <c r="F741" i="11"/>
  <c r="F752" i="11"/>
  <c r="F762" i="11"/>
  <c r="F773" i="11"/>
  <c r="F784" i="11"/>
  <c r="F794" i="11"/>
  <c r="F804" i="11"/>
  <c r="F810" i="11"/>
  <c r="F817" i="11"/>
  <c r="F822" i="11"/>
  <c r="F828" i="11"/>
  <c r="F833" i="11"/>
  <c r="F838" i="11"/>
  <c r="F844" i="11"/>
  <c r="F849" i="11"/>
  <c r="F854" i="11"/>
  <c r="F860" i="11"/>
  <c r="F865" i="11"/>
  <c r="F870" i="11"/>
  <c r="F876" i="11"/>
  <c r="F881" i="11"/>
  <c r="F886" i="11"/>
  <c r="F171" i="11"/>
  <c r="F424" i="11"/>
  <c r="F545" i="11"/>
  <c r="F602" i="11"/>
  <c r="F660" i="11"/>
  <c r="F702" i="11"/>
  <c r="F745" i="11"/>
  <c r="F788" i="11"/>
  <c r="F818" i="11"/>
  <c r="F840" i="11"/>
  <c r="F861" i="11"/>
  <c r="F882" i="11"/>
  <c r="F897" i="11"/>
  <c r="F908" i="11"/>
  <c r="F918" i="11"/>
  <c r="F929" i="11"/>
  <c r="F940" i="11"/>
  <c r="F950" i="11"/>
  <c r="F961" i="11"/>
  <c r="F972" i="11"/>
  <c r="F982" i="11"/>
  <c r="F993" i="11"/>
  <c r="F1004" i="11"/>
  <c r="F1014" i="11"/>
  <c r="F1025" i="11"/>
  <c r="F1036" i="11"/>
  <c r="F1046" i="11"/>
  <c r="F1055" i="11"/>
  <c r="F1063" i="11"/>
  <c r="F1071" i="11"/>
  <c r="F1079" i="11"/>
  <c r="F1085" i="11"/>
  <c r="F1089" i="11"/>
  <c r="F1093" i="11"/>
  <c r="F1097" i="11"/>
  <c r="F1101" i="11"/>
  <c r="F1105" i="11"/>
  <c r="F1109" i="11"/>
  <c r="F1113" i="11"/>
  <c r="F1117" i="11"/>
  <c r="F1121" i="11"/>
  <c r="F1125" i="11"/>
  <c r="F1129" i="11"/>
  <c r="F1133" i="11"/>
  <c r="F1137" i="11"/>
  <c r="F1141" i="11"/>
  <c r="F1145" i="11"/>
  <c r="F1149" i="11"/>
  <c r="F1153" i="11"/>
  <c r="F1157" i="11"/>
  <c r="F1161" i="11"/>
  <c r="F1165" i="11"/>
  <c r="F1169" i="11"/>
  <c r="F1173" i="11"/>
  <c r="F1177" i="11"/>
  <c r="F1181" i="11"/>
  <c r="F1185" i="11"/>
  <c r="F1189" i="11"/>
  <c r="F1193" i="11"/>
  <c r="F1197" i="11"/>
  <c r="F1201" i="11"/>
  <c r="F1205" i="11"/>
  <c r="F1209" i="11"/>
  <c r="F1213" i="11"/>
  <c r="F1217" i="11"/>
  <c r="F1221" i="11"/>
  <c r="F1225" i="11"/>
  <c r="F1229" i="11"/>
  <c r="F1233" i="11"/>
  <c r="F1237" i="11"/>
  <c r="F1241" i="11"/>
  <c r="F1245" i="11"/>
  <c r="F1249" i="11"/>
  <c r="F1253" i="11"/>
  <c r="F1257" i="11"/>
  <c r="F1261" i="11"/>
  <c r="F1265" i="11"/>
  <c r="F1269" i="11"/>
  <c r="F1273" i="11"/>
  <c r="F1277" i="11"/>
  <c r="F1281" i="11"/>
  <c r="F1285" i="11"/>
  <c r="F1289" i="11"/>
  <c r="F1293" i="11"/>
  <c r="F1297" i="11"/>
  <c r="F1301" i="11"/>
  <c r="F1305" i="11"/>
  <c r="F1309" i="11"/>
  <c r="F1313" i="11"/>
  <c r="F1317" i="11"/>
  <c r="F1321" i="11"/>
  <c r="F1325" i="11"/>
  <c r="F1329" i="11"/>
  <c r="F1333" i="11"/>
  <c r="F1337" i="11"/>
  <c r="F1341" i="11"/>
  <c r="F1345" i="11"/>
  <c r="F1349" i="11"/>
  <c r="F1353" i="11"/>
  <c r="F1357" i="11"/>
  <c r="F1361" i="11"/>
  <c r="F1365" i="11"/>
  <c r="F1369" i="11"/>
  <c r="F1373" i="11"/>
  <c r="F1377" i="11"/>
  <c r="F1381" i="11"/>
  <c r="F1385" i="11"/>
  <c r="F1389" i="11"/>
  <c r="F1393" i="11"/>
  <c r="F1397" i="11"/>
  <c r="F1401" i="11"/>
  <c r="F1405" i="11"/>
  <c r="F1409" i="11"/>
  <c r="F1413" i="11"/>
  <c r="F1417" i="11"/>
  <c r="F1421" i="11"/>
  <c r="F1425" i="11"/>
  <c r="F1429" i="11"/>
  <c r="F1433" i="11"/>
  <c r="F1437" i="11"/>
  <c r="F1441" i="11"/>
  <c r="F1445" i="11"/>
  <c r="F1449" i="11"/>
  <c r="F1453" i="11"/>
  <c r="F1457" i="11"/>
  <c r="F1461" i="11"/>
  <c r="F1465" i="11"/>
  <c r="F1469" i="11"/>
  <c r="F1473" i="11"/>
  <c r="F1477" i="11"/>
  <c r="F1481" i="11"/>
  <c r="F1485" i="11"/>
  <c r="F1489" i="11"/>
  <c r="F1493" i="11"/>
  <c r="F1497" i="11"/>
  <c r="F1501" i="11"/>
  <c r="F1505" i="11"/>
  <c r="F1509" i="11"/>
  <c r="F1513" i="11"/>
  <c r="F1517" i="11"/>
  <c r="F1521" i="11"/>
  <c r="F1525" i="11"/>
  <c r="F1529" i="11"/>
  <c r="F1533" i="11"/>
  <c r="F1537" i="11"/>
  <c r="F1541" i="11"/>
  <c r="F1545" i="11"/>
  <c r="F1549" i="11"/>
  <c r="F1553" i="11"/>
  <c r="F1557" i="11"/>
  <c r="F1561" i="11"/>
  <c r="F1565" i="11"/>
  <c r="F1569" i="11"/>
  <c r="F1573" i="11"/>
  <c r="F1577" i="11"/>
  <c r="F1581" i="11"/>
  <c r="F1585" i="11"/>
  <c r="F1589" i="11"/>
  <c r="F1593" i="11"/>
  <c r="F1597" i="11"/>
  <c r="F1601" i="11"/>
  <c r="F1605" i="11"/>
  <c r="F1609" i="11"/>
  <c r="F1613" i="11"/>
  <c r="F1617" i="11"/>
  <c r="F1621" i="11"/>
  <c r="F1625" i="11"/>
  <c r="F1629" i="11"/>
  <c r="F1633" i="11"/>
  <c r="F1637" i="11"/>
  <c r="F259" i="11"/>
  <c r="F464" i="11"/>
  <c r="F560" i="11"/>
  <c r="F617" i="11"/>
  <c r="F670" i="11"/>
  <c r="F713" i="11"/>
  <c r="F756" i="11"/>
  <c r="F798" i="11"/>
  <c r="F824" i="11"/>
  <c r="F845" i="11"/>
  <c r="F866" i="11"/>
  <c r="F888" i="11"/>
  <c r="F898" i="11"/>
  <c r="F909" i="11"/>
  <c r="F920" i="11"/>
  <c r="F930" i="11"/>
  <c r="F941" i="11"/>
  <c r="F952" i="11"/>
  <c r="F962" i="11"/>
  <c r="F973" i="11"/>
  <c r="F984" i="11"/>
  <c r="F994" i="11"/>
  <c r="F1005" i="11"/>
  <c r="F1016" i="11"/>
  <c r="F1026" i="11"/>
  <c r="F1037" i="11"/>
  <c r="F1048" i="11"/>
  <c r="F1056" i="11"/>
  <c r="F1064" i="11"/>
  <c r="F1072" i="11"/>
  <c r="F1080" i="11"/>
  <c r="F1086" i="11"/>
  <c r="F1090" i="11"/>
  <c r="F1094" i="11"/>
  <c r="F1098" i="11"/>
  <c r="F1102" i="11"/>
  <c r="F1106" i="11"/>
  <c r="F1110" i="11"/>
  <c r="F1114" i="11"/>
  <c r="F1118" i="11"/>
  <c r="F1122" i="11"/>
  <c r="F1126" i="11"/>
  <c r="F1130" i="11"/>
  <c r="F1134" i="11"/>
  <c r="F1138" i="11"/>
  <c r="F1142" i="11"/>
  <c r="F1146" i="11"/>
  <c r="F1150" i="11"/>
  <c r="F1154" i="11"/>
  <c r="F1158" i="11"/>
  <c r="F1162" i="11"/>
  <c r="F1166" i="11"/>
  <c r="F1170" i="11"/>
  <c r="F1174" i="11"/>
  <c r="F1178" i="11"/>
  <c r="F1182" i="11"/>
  <c r="F1186" i="11"/>
  <c r="F1190" i="11"/>
  <c r="F1194" i="11"/>
  <c r="F1198" i="11"/>
  <c r="F1202" i="11"/>
  <c r="F1206" i="11"/>
  <c r="F1210" i="11"/>
  <c r="F1214" i="11"/>
  <c r="F1218" i="11"/>
  <c r="F1222" i="11"/>
  <c r="F1226" i="11"/>
  <c r="F1230" i="11"/>
  <c r="F1234" i="11"/>
  <c r="F1238" i="11"/>
  <c r="F1242" i="11"/>
  <c r="F1246" i="11"/>
  <c r="F1250" i="11"/>
  <c r="F1254" i="11"/>
  <c r="F1258" i="11"/>
  <c r="F1262" i="11"/>
  <c r="F1266" i="11"/>
  <c r="F1270" i="11"/>
  <c r="F1274" i="11"/>
  <c r="F1278" i="11"/>
  <c r="F1282" i="11"/>
  <c r="F1286" i="11"/>
  <c r="F1290" i="11"/>
  <c r="F1294" i="11"/>
  <c r="F1298" i="11"/>
  <c r="F1302" i="11"/>
  <c r="F1306" i="11"/>
  <c r="F1310" i="11"/>
  <c r="F1314" i="11"/>
  <c r="F1318" i="11"/>
  <c r="F1322" i="11"/>
  <c r="F1326" i="11"/>
  <c r="F1330" i="11"/>
  <c r="F1334" i="11"/>
  <c r="F1338" i="11"/>
  <c r="F1342" i="11"/>
  <c r="F1346" i="11"/>
  <c r="F1350" i="11"/>
  <c r="F1354" i="11"/>
  <c r="F1358" i="11"/>
  <c r="F1362" i="11"/>
  <c r="F1366" i="11"/>
  <c r="F1370" i="11"/>
  <c r="F1374" i="11"/>
  <c r="F1378" i="11"/>
  <c r="F1382" i="11"/>
  <c r="F1386" i="11"/>
  <c r="F1390" i="11"/>
  <c r="F1394" i="11"/>
  <c r="F1398" i="11"/>
  <c r="F1402" i="11"/>
  <c r="F1406" i="11"/>
  <c r="F1410" i="11"/>
  <c r="F1414" i="11"/>
  <c r="F1418" i="11"/>
  <c r="F1422" i="11"/>
  <c r="F1426" i="11"/>
  <c r="F1430" i="11"/>
  <c r="F1434" i="11"/>
  <c r="F1438" i="11"/>
  <c r="F1442" i="11"/>
  <c r="F1446" i="11"/>
  <c r="F1450" i="11"/>
  <c r="F1454" i="11"/>
  <c r="F1458" i="11"/>
  <c r="F1462" i="11"/>
  <c r="F1466" i="11"/>
  <c r="F1470" i="11"/>
  <c r="F1474" i="11"/>
  <c r="F1478" i="11"/>
  <c r="F1482" i="11"/>
  <c r="F1486" i="11"/>
  <c r="F1490" i="11"/>
  <c r="F1494" i="11"/>
  <c r="F1498" i="11"/>
  <c r="F1502" i="11"/>
  <c r="F1506" i="11"/>
  <c r="F1510" i="11"/>
  <c r="F1514" i="11"/>
  <c r="F1518" i="11"/>
  <c r="F1522" i="11"/>
  <c r="F1526" i="11"/>
  <c r="F1530" i="11"/>
  <c r="F1534" i="11"/>
  <c r="F1538" i="11"/>
  <c r="F1542" i="11"/>
  <c r="F1546" i="11"/>
  <c r="F1550" i="11"/>
  <c r="F1554" i="11"/>
  <c r="F1558" i="11"/>
  <c r="F1562" i="11"/>
  <c r="F1566" i="11"/>
  <c r="F1570" i="11"/>
  <c r="F1574" i="11"/>
  <c r="F335" i="11"/>
  <c r="F508" i="11"/>
  <c r="F574" i="11"/>
  <c r="F630" i="11"/>
  <c r="F681" i="11"/>
  <c r="F724" i="11"/>
  <c r="F766" i="11"/>
  <c r="F805" i="11"/>
  <c r="F829" i="11"/>
  <c r="F850" i="11"/>
  <c r="F872" i="11"/>
  <c r="F892" i="11"/>
  <c r="F902" i="11"/>
  <c r="F913" i="11"/>
  <c r="F924" i="11"/>
  <c r="F934" i="11"/>
  <c r="F945" i="11"/>
  <c r="F956" i="11"/>
  <c r="F966" i="11"/>
  <c r="F977" i="11"/>
  <c r="F988" i="11"/>
  <c r="F998" i="11"/>
  <c r="F1009" i="11"/>
  <c r="F1020" i="11"/>
  <c r="F1030" i="11"/>
  <c r="F1041" i="11"/>
  <c r="F1051" i="11"/>
  <c r="F1059" i="11"/>
  <c r="F1067" i="11"/>
  <c r="F1075" i="11"/>
  <c r="F1083" i="11"/>
  <c r="F1087" i="11"/>
  <c r="F1091" i="11"/>
  <c r="F1095" i="11"/>
  <c r="F1099" i="11"/>
  <c r="F1103" i="11"/>
  <c r="F1107" i="11"/>
  <c r="F1111" i="11"/>
  <c r="F1115" i="11"/>
  <c r="F1119" i="11"/>
  <c r="F1123" i="11"/>
  <c r="F1127" i="11"/>
  <c r="F1131" i="11"/>
  <c r="F1135" i="11"/>
  <c r="F1139" i="11"/>
  <c r="F1143" i="11"/>
  <c r="F1147" i="11"/>
  <c r="F1151" i="11"/>
  <c r="F1155" i="11"/>
  <c r="F1159" i="11"/>
  <c r="F1163" i="11"/>
  <c r="F1167" i="11"/>
  <c r="F1171" i="11"/>
  <c r="F1175" i="11"/>
  <c r="F1179" i="11"/>
  <c r="F1183" i="11"/>
  <c r="F1187" i="11"/>
  <c r="F1191" i="11"/>
  <c r="F1195" i="11"/>
  <c r="F1199" i="11"/>
  <c r="F1203" i="11"/>
  <c r="F1207" i="11"/>
  <c r="F1211" i="11"/>
  <c r="F1215" i="11"/>
  <c r="F1219" i="11"/>
  <c r="F1223" i="11"/>
  <c r="F1227" i="11"/>
  <c r="F1231" i="11"/>
  <c r="F1235" i="11"/>
  <c r="F1239" i="11"/>
  <c r="F1243" i="11"/>
  <c r="F1247" i="11"/>
  <c r="F1251" i="11"/>
  <c r="F1255" i="11"/>
  <c r="F1259" i="11"/>
  <c r="F1263" i="11"/>
  <c r="F1267" i="11"/>
  <c r="F1271" i="11"/>
  <c r="F1275" i="11"/>
  <c r="F1279" i="11"/>
  <c r="F1283" i="11"/>
  <c r="F1287" i="11"/>
  <c r="F1291" i="11"/>
  <c r="F1295" i="11"/>
  <c r="F1299" i="11"/>
  <c r="F1303" i="11"/>
  <c r="F1307" i="11"/>
  <c r="F1311" i="11"/>
  <c r="F1315" i="11"/>
  <c r="F1319" i="11"/>
  <c r="F1323" i="11"/>
  <c r="F1327" i="11"/>
  <c r="F1331" i="11"/>
  <c r="F1335" i="11"/>
  <c r="F1339" i="11"/>
  <c r="F1343" i="11"/>
  <c r="F1347" i="11"/>
  <c r="F1351" i="11"/>
  <c r="F1355" i="11"/>
  <c r="F1359" i="11"/>
  <c r="F1363" i="11"/>
  <c r="F1367" i="11"/>
  <c r="F1371" i="11"/>
  <c r="F1375" i="11"/>
  <c r="F1379" i="11"/>
  <c r="F1383" i="11"/>
  <c r="F1387" i="11"/>
  <c r="F1391" i="11"/>
  <c r="F1395" i="11"/>
  <c r="F1399" i="11"/>
  <c r="F1403" i="11"/>
  <c r="F1407" i="11"/>
  <c r="F1411" i="11"/>
  <c r="F1415" i="11"/>
  <c r="F1419" i="11"/>
  <c r="F1423" i="11"/>
  <c r="F1427" i="11"/>
  <c r="F1431" i="11"/>
  <c r="F1435" i="11"/>
  <c r="F1439" i="11"/>
  <c r="F1443" i="11"/>
  <c r="F1447" i="11"/>
  <c r="F1451" i="11"/>
  <c r="F1455" i="11"/>
  <c r="F1459" i="11"/>
  <c r="F1463" i="11"/>
  <c r="F1467" i="11"/>
  <c r="F1471" i="11"/>
  <c r="F1475" i="11"/>
  <c r="F1479" i="11"/>
  <c r="F1483" i="11"/>
  <c r="F1487" i="11"/>
  <c r="F1491" i="11"/>
  <c r="F1495" i="11"/>
  <c r="F1499" i="11"/>
  <c r="F1503" i="11"/>
  <c r="F1507" i="11"/>
  <c r="F1511" i="11"/>
  <c r="F1515" i="11"/>
  <c r="F1519" i="11"/>
  <c r="F1523" i="11"/>
  <c r="F1527" i="11"/>
  <c r="F1531" i="11"/>
  <c r="F1535" i="11"/>
  <c r="F1539" i="11"/>
  <c r="F1543" i="11"/>
  <c r="F1547" i="11"/>
  <c r="F1551" i="11"/>
  <c r="F1555" i="11"/>
  <c r="F1559" i="11"/>
  <c r="F1563" i="11"/>
  <c r="F1567" i="11"/>
  <c r="F1571" i="11"/>
  <c r="F1575" i="11"/>
  <c r="F1579" i="11"/>
  <c r="F2117" i="11"/>
  <c r="F2113" i="11"/>
  <c r="F2109" i="11"/>
  <c r="F2105" i="11"/>
  <c r="F2101" i="11"/>
  <c r="F2097" i="11"/>
  <c r="F2093" i="11"/>
  <c r="F2089" i="11"/>
  <c r="F2085" i="11"/>
  <c r="F2081" i="11"/>
  <c r="F2077" i="11"/>
  <c r="F2073" i="11"/>
  <c r="F2069" i="11"/>
  <c r="F2065" i="11"/>
  <c r="F2061" i="11"/>
  <c r="F2057" i="11"/>
  <c r="F2053" i="11"/>
  <c r="F2049" i="11"/>
  <c r="F2045" i="11"/>
  <c r="F2041" i="11"/>
  <c r="F2037" i="11"/>
  <c r="F2033" i="11"/>
  <c r="F2029" i="11"/>
  <c r="F2025" i="11"/>
  <c r="F2021" i="11"/>
  <c r="F2017" i="11"/>
  <c r="F2013" i="11"/>
  <c r="F2009" i="11"/>
  <c r="F2005" i="11"/>
  <c r="F2001" i="11"/>
  <c r="F1997" i="11"/>
  <c r="F1993" i="11"/>
  <c r="F1989" i="11"/>
  <c r="F1985" i="11"/>
  <c r="F1981" i="11"/>
  <c r="F1977" i="11"/>
  <c r="F1973" i="11"/>
  <c r="F1969" i="11"/>
  <c r="F1965" i="11"/>
  <c r="F1961" i="11"/>
  <c r="F1957" i="11"/>
  <c r="F1953" i="11"/>
  <c r="F1949" i="11"/>
  <c r="F1945" i="11"/>
  <c r="F1941" i="11"/>
  <c r="F1937" i="11"/>
  <c r="F1933" i="11"/>
  <c r="F1929" i="11"/>
  <c r="F1925" i="11"/>
  <c r="F1921" i="11"/>
  <c r="F1917" i="11"/>
  <c r="F1913" i="11"/>
  <c r="F1909" i="11"/>
  <c r="F1905" i="11"/>
  <c r="F1901" i="11"/>
  <c r="F1897" i="11"/>
  <c r="F1893" i="11"/>
  <c r="F1889" i="11"/>
  <c r="F1885" i="11"/>
  <c r="F1881" i="11"/>
  <c r="F1877" i="11"/>
  <c r="F1873" i="11"/>
  <c r="F1869" i="11"/>
  <c r="F1865" i="11"/>
  <c r="F1861" i="11"/>
  <c r="F1857" i="11"/>
  <c r="F1853" i="11"/>
  <c r="F1849" i="11"/>
  <c r="F1845" i="11"/>
  <c r="F1841" i="11"/>
  <c r="F1837" i="11"/>
  <c r="F1833" i="11"/>
  <c r="F1829" i="11"/>
  <c r="F1825" i="11"/>
  <c r="F1821" i="11"/>
  <c r="F1817" i="11"/>
  <c r="F1813" i="11"/>
  <c r="F1809" i="11"/>
  <c r="F1805" i="11"/>
  <c r="F1801" i="11"/>
  <c r="F1797" i="11"/>
  <c r="F1793" i="11"/>
  <c r="F1789" i="11"/>
  <c r="F1785" i="11"/>
  <c r="F1781" i="11"/>
  <c r="F1777" i="11"/>
  <c r="F1773" i="11"/>
  <c r="F1769" i="11"/>
  <c r="F1765" i="11"/>
  <c r="F1761" i="11"/>
  <c r="F1757" i="11"/>
  <c r="F1753" i="11"/>
  <c r="F1749" i="11"/>
  <c r="F1745" i="11"/>
  <c r="F1741" i="11"/>
  <c r="F1737" i="11"/>
  <c r="F1733" i="11"/>
  <c r="F1729" i="11"/>
  <c r="F1725" i="11"/>
  <c r="F1721" i="11"/>
  <c r="F1717" i="11"/>
  <c r="F1713" i="11"/>
  <c r="F1709" i="11"/>
  <c r="F1705" i="11"/>
  <c r="F1701" i="11"/>
  <c r="F1697" i="11"/>
  <c r="F1693" i="11"/>
  <c r="F1689" i="11"/>
  <c r="F1685" i="11"/>
  <c r="F1681" i="11"/>
  <c r="F1677" i="11"/>
  <c r="F1673" i="11"/>
  <c r="F1669" i="11"/>
  <c r="F1665" i="11"/>
  <c r="F1661" i="11"/>
  <c r="F1657" i="11"/>
  <c r="F1653" i="11"/>
  <c r="F1649" i="11"/>
  <c r="F1645" i="11"/>
  <c r="F1641" i="11"/>
  <c r="F1636" i="11"/>
  <c r="F1631" i="11"/>
  <c r="F1626" i="11"/>
  <c r="F1620" i="11"/>
  <c r="F1615" i="11"/>
  <c r="F1610" i="11"/>
  <c r="F1604" i="11"/>
  <c r="F1599" i="11"/>
  <c r="F1594" i="11"/>
  <c r="F1588" i="11"/>
  <c r="F1583" i="11"/>
  <c r="F1576" i="11"/>
  <c r="F1560" i="11"/>
  <c r="F1544" i="11"/>
  <c r="F1528" i="11"/>
  <c r="F1512" i="11"/>
  <c r="F1496" i="11"/>
  <c r="F1480" i="11"/>
  <c r="F1464" i="11"/>
  <c r="F1448" i="11"/>
  <c r="F1432" i="11"/>
  <c r="F1416" i="11"/>
  <c r="F1400" i="11"/>
  <c r="F1384" i="11"/>
  <c r="F1368" i="11"/>
  <c r="F1352" i="11"/>
  <c r="F1336" i="11"/>
  <c r="F1320" i="11"/>
  <c r="F1304" i="11"/>
  <c r="F1288" i="11"/>
  <c r="F1272" i="11"/>
  <c r="F1256" i="11"/>
  <c r="F1240" i="11"/>
  <c r="F1224" i="11"/>
  <c r="F1208" i="11"/>
  <c r="F1192" i="11"/>
  <c r="F1176" i="11"/>
  <c r="F1160" i="11"/>
  <c r="F1144" i="11"/>
  <c r="F1128" i="11"/>
  <c r="F1112" i="11"/>
  <c r="F1096" i="11"/>
  <c r="F1076" i="11"/>
  <c r="F1042" i="11"/>
  <c r="F1000" i="11"/>
  <c r="F957" i="11"/>
  <c r="F914" i="11"/>
  <c r="F856" i="11"/>
  <c r="F734" i="11"/>
  <c r="F532" i="11"/>
  <c r="F1980" i="11"/>
  <c r="F1976" i="11"/>
  <c r="F1972" i="11"/>
  <c r="F1968" i="11"/>
  <c r="F1964" i="11"/>
  <c r="F1960" i="11"/>
  <c r="F1956" i="11"/>
  <c r="F1952" i="11"/>
  <c r="F1948" i="11"/>
  <c r="F1944" i="11"/>
  <c r="F1940" i="11"/>
  <c r="F1936" i="11"/>
  <c r="F1932" i="11"/>
  <c r="F1928" i="11"/>
  <c r="F1924" i="11"/>
  <c r="F1920" i="11"/>
  <c r="F1916" i="11"/>
  <c r="F1912" i="11"/>
  <c r="F1908" i="11"/>
  <c r="F1904" i="11"/>
  <c r="F1900" i="11"/>
  <c r="F1896" i="11"/>
  <c r="F1892" i="11"/>
  <c r="F1888" i="11"/>
  <c r="F1884" i="11"/>
  <c r="F1880" i="11"/>
  <c r="F1876" i="11"/>
  <c r="F1872" i="11"/>
  <c r="F1868" i="11"/>
  <c r="F1864" i="11"/>
  <c r="F1860" i="11"/>
  <c r="F1856" i="11"/>
  <c r="F1852" i="11"/>
  <c r="F1848" i="11"/>
  <c r="F1844" i="11"/>
  <c r="F1840" i="11"/>
  <c r="F1836" i="11"/>
  <c r="F1832" i="11"/>
  <c r="F1828" i="11"/>
  <c r="F1824" i="11"/>
  <c r="F1820" i="11"/>
  <c r="F1816" i="11"/>
  <c r="F1812" i="11"/>
  <c r="F1808" i="11"/>
  <c r="F1804" i="11"/>
  <c r="F1800" i="11"/>
  <c r="F1796" i="11"/>
  <c r="F1792" i="11"/>
  <c r="F1788" i="11"/>
  <c r="F1784" i="11"/>
  <c r="F1780" i="11"/>
  <c r="F1776" i="11"/>
  <c r="F1772" i="11"/>
  <c r="F1768" i="11"/>
  <c r="F1764" i="11"/>
  <c r="F1760" i="11"/>
  <c r="F1756" i="11"/>
  <c r="F1752" i="11"/>
  <c r="F1748" i="11"/>
  <c r="F1744" i="11"/>
  <c r="F1740" i="11"/>
  <c r="F1736" i="11"/>
  <c r="F1732" i="11"/>
  <c r="F1728" i="11"/>
  <c r="F1724" i="11"/>
  <c r="F1720" i="11"/>
  <c r="F1716" i="11"/>
  <c r="F1712" i="11"/>
  <c r="F1708" i="11"/>
  <c r="F1704" i="11"/>
  <c r="F1700" i="11"/>
  <c r="F1696" i="11"/>
  <c r="F1692" i="11"/>
  <c r="F1688" i="11"/>
  <c r="F1684" i="11"/>
  <c r="F1680" i="11"/>
  <c r="F1676" i="11"/>
  <c r="F1672" i="11"/>
  <c r="F1668" i="11"/>
  <c r="F1664" i="11"/>
  <c r="F1660" i="11"/>
  <c r="F1656" i="11"/>
  <c r="F1652" i="11"/>
  <c r="F1648" i="11"/>
  <c r="F1644" i="11"/>
  <c r="F1640" i="11"/>
  <c r="F1635" i="11"/>
  <c r="F1630" i="11"/>
  <c r="F1624" i="11"/>
  <c r="F1619" i="11"/>
  <c r="F1614" i="11"/>
  <c r="F1608" i="11"/>
  <c r="F1603" i="11"/>
  <c r="F1598" i="11"/>
  <c r="F1592" i="11"/>
  <c r="F1587" i="11"/>
  <c r="F1582" i="11"/>
  <c r="F1572" i="11"/>
  <c r="F1556" i="11"/>
  <c r="F1540" i="11"/>
  <c r="F1524" i="11"/>
  <c r="F1508" i="11"/>
  <c r="F1492" i="11"/>
  <c r="F1476" i="11"/>
  <c r="F1460" i="11"/>
  <c r="F1444" i="11"/>
  <c r="F1428" i="11"/>
  <c r="F1412" i="11"/>
  <c r="F1396" i="11"/>
  <c r="F1380" i="11"/>
  <c r="F1364" i="11"/>
  <c r="F1348" i="11"/>
  <c r="F1332" i="11"/>
  <c r="F1316" i="11"/>
  <c r="F1300" i="11"/>
  <c r="F1284" i="11"/>
  <c r="F1268" i="11"/>
  <c r="F1252" i="11"/>
  <c r="F1236" i="11"/>
  <c r="F1220" i="11"/>
  <c r="F1204" i="11"/>
  <c r="F1188" i="11"/>
  <c r="F1172" i="11"/>
  <c r="F1156" i="11"/>
  <c r="F1140" i="11"/>
  <c r="F1124" i="11"/>
  <c r="F1108" i="11"/>
  <c r="F1092" i="11"/>
  <c r="F1068" i="11"/>
  <c r="F1032" i="11"/>
  <c r="F989" i="11"/>
  <c r="F946" i="11"/>
  <c r="F904" i="11"/>
  <c r="F834" i="11"/>
  <c r="F692" i="11"/>
  <c r="F380" i="11"/>
  <c r="G3501" i="11"/>
  <c r="G3459" i="11"/>
  <c r="G3416" i="11"/>
  <c r="G3373" i="11"/>
  <c r="G3331" i="11"/>
  <c r="G3288" i="11"/>
  <c r="G3245" i="11"/>
  <c r="G3203" i="11"/>
  <c r="G3160" i="11"/>
  <c r="G3117" i="11"/>
  <c r="G3075" i="11"/>
  <c r="G3032" i="11"/>
  <c r="G2989" i="11"/>
  <c r="G2947" i="11"/>
  <c r="G2904" i="11"/>
  <c r="G2823" i="11"/>
  <c r="G2737" i="11"/>
  <c r="G2652" i="11"/>
  <c r="G2567" i="11"/>
  <c r="G2481" i="11"/>
  <c r="G2339" i="11"/>
  <c r="G2111" i="11"/>
  <c r="G3491" i="11"/>
  <c r="G3448" i="11"/>
  <c r="G3405" i="11"/>
  <c r="G3363" i="11"/>
  <c r="G3320" i="11"/>
  <c r="G3277" i="11"/>
  <c r="G3235" i="11"/>
  <c r="G3192" i="11"/>
  <c r="G3149" i="11"/>
  <c r="G3107" i="11"/>
  <c r="G3064" i="11"/>
  <c r="G3021" i="11"/>
  <c r="G2979" i="11"/>
  <c r="G2936" i="11"/>
  <c r="G2887" i="11"/>
  <c r="G2801" i="11"/>
  <c r="G2716" i="11"/>
  <c r="G2631" i="11"/>
  <c r="G2545" i="11"/>
  <c r="G2460" i="11"/>
  <c r="G2281" i="11"/>
  <c r="H1971" i="11"/>
  <c r="H1964" i="11"/>
  <c r="H1958" i="11"/>
  <c r="H1950" i="11"/>
  <c r="H1943" i="11"/>
  <c r="H1936" i="11"/>
  <c r="H1928" i="11"/>
  <c r="H1922" i="11"/>
  <c r="H1915" i="11"/>
  <c r="H1907" i="11"/>
  <c r="H1900" i="11"/>
  <c r="H1894" i="11"/>
  <c r="H1886" i="11"/>
  <c r="H1879" i="11"/>
  <c r="H1872" i="11"/>
  <c r="H1864" i="11"/>
  <c r="H1858" i="11"/>
  <c r="H1851" i="11"/>
  <c r="H1843" i="11"/>
  <c r="H1836" i="11"/>
  <c r="H1830" i="11"/>
  <c r="H1822" i="11"/>
  <c r="H1815" i="11"/>
  <c r="H1808" i="11"/>
  <c r="H1800" i="11"/>
  <c r="H1794" i="11"/>
  <c r="H1787" i="11"/>
  <c r="H1779" i="11"/>
  <c r="H1772" i="11"/>
  <c r="H1766" i="11"/>
  <c r="H1758" i="11"/>
  <c r="H1751" i="11"/>
  <c r="H1744" i="11"/>
  <c r="H1736" i="11"/>
  <c r="H1730" i="11"/>
  <c r="H1723" i="11"/>
  <c r="H1715" i="11"/>
  <c r="H1708" i="11"/>
  <c r="H1702" i="11"/>
  <c r="H1694" i="11"/>
  <c r="H1687" i="11"/>
  <c r="H1680" i="11"/>
  <c r="H1672" i="11"/>
  <c r="H1659" i="11"/>
  <c r="H1644" i="11"/>
  <c r="H1630" i="11"/>
  <c r="H1616" i="11"/>
  <c r="H1602" i="11"/>
  <c r="H1587" i="11"/>
  <c r="H1574" i="11"/>
  <c r="H1559" i="11"/>
  <c r="H1544" i="11"/>
  <c r="H1531" i="11"/>
  <c r="H1516" i="11"/>
  <c r="H1502" i="11"/>
  <c r="H1488" i="11"/>
  <c r="H1474" i="11"/>
  <c r="H1459" i="11"/>
  <c r="H1446" i="11"/>
  <c r="H1431" i="11"/>
  <c r="H1416" i="11"/>
  <c r="H1403" i="11"/>
  <c r="H1388" i="11"/>
  <c r="H1374" i="11"/>
  <c r="H1360" i="11"/>
  <c r="H1346" i="11"/>
  <c r="H1331" i="11"/>
  <c r="H1318" i="11"/>
  <c r="H1303" i="11"/>
  <c r="H1288" i="11"/>
  <c r="H1272" i="11"/>
  <c r="H1255" i="11"/>
  <c r="H1235" i="11"/>
  <c r="H1207" i="11"/>
  <c r="H1179" i="11"/>
  <c r="H1150" i="11"/>
  <c r="H1122" i="11"/>
  <c r="H1084" i="11"/>
  <c r="H1016" i="11"/>
  <c r="H942" i="11"/>
  <c r="H866" i="11"/>
  <c r="H790" i="11"/>
  <c r="H643" i="11"/>
  <c r="H492" i="11"/>
  <c r="H273" i="11"/>
  <c r="H1948" i="11"/>
  <c r="H1942" i="11"/>
  <c r="H1934" i="11"/>
  <c r="H1927" i="11"/>
  <c r="H1920" i="11"/>
  <c r="H1912" i="11"/>
  <c r="H1906" i="11"/>
  <c r="H1899" i="11"/>
  <c r="H1891" i="11"/>
  <c r="H1884" i="11"/>
  <c r="H1878" i="11"/>
  <c r="H1870" i="11"/>
  <c r="H1863" i="11"/>
  <c r="H1856" i="11"/>
  <c r="H1848" i="11"/>
  <c r="H1842" i="11"/>
  <c r="H1835" i="11"/>
  <c r="H1827" i="11"/>
  <c r="H1820" i="11"/>
  <c r="H1814" i="11"/>
  <c r="H1806" i="11"/>
  <c r="H1799" i="11"/>
  <c r="H1792" i="11"/>
  <c r="H1784" i="11"/>
  <c r="H1778" i="11"/>
  <c r="H1771" i="11"/>
  <c r="H1763" i="11"/>
  <c r="H1756" i="11"/>
  <c r="H1750" i="11"/>
  <c r="H1742" i="11"/>
  <c r="H1735" i="11"/>
  <c r="H1728" i="11"/>
  <c r="H1720" i="11"/>
  <c r="H1714" i="11"/>
  <c r="H1707" i="11"/>
  <c r="H1699" i="11"/>
  <c r="H1692" i="11"/>
  <c r="H1686" i="11"/>
  <c r="H1678" i="11"/>
  <c r="H1671" i="11"/>
  <c r="H1656" i="11"/>
  <c r="H1643" i="11"/>
  <c r="H1628" i="11"/>
  <c r="H1614" i="11"/>
  <c r="H1600" i="11"/>
  <c r="H1586" i="11"/>
  <c r="H1571" i="11"/>
  <c r="H1558" i="11"/>
  <c r="H1543" i="11"/>
  <c r="H1528" i="11"/>
  <c r="H1515" i="11"/>
  <c r="H1500" i="11"/>
  <c r="H1486" i="11"/>
  <c r="H1472" i="11"/>
  <c r="H1458" i="11"/>
  <c r="H1443" i="11"/>
  <c r="H1430" i="11"/>
  <c r="H1415" i="11"/>
  <c r="H1400" i="11"/>
  <c r="H1387" i="11"/>
  <c r="H1372" i="11"/>
  <c r="H1358" i="11"/>
  <c r="H1344" i="11"/>
  <c r="H1330" i="11"/>
  <c r="H1315" i="11"/>
  <c r="H1302" i="11"/>
  <c r="H1287" i="11"/>
  <c r="H1271" i="11"/>
  <c r="H1251" i="11"/>
  <c r="H1234" i="11"/>
  <c r="H1206" i="11"/>
  <c r="H1176" i="11"/>
  <c r="H1148" i="11"/>
  <c r="H1120" i="11"/>
  <c r="H1080" i="11"/>
  <c r="H1008" i="11"/>
  <c r="H931" i="11"/>
  <c r="H856" i="11"/>
  <c r="H776" i="11"/>
  <c r="H622" i="11"/>
  <c r="H469" i="11"/>
  <c r="H231" i="11"/>
  <c r="C89" i="11"/>
  <c r="C259" i="11"/>
  <c r="C498" i="11"/>
  <c r="C626" i="11"/>
  <c r="C712" i="11"/>
  <c r="C797" i="11"/>
  <c r="C882" i="11"/>
  <c r="C968" i="11"/>
  <c r="C1053" i="11"/>
  <c r="C1138" i="11"/>
  <c r="C1224" i="11"/>
  <c r="C1309" i="11"/>
  <c r="C1394" i="11"/>
  <c r="C1480" i="11"/>
  <c r="C1565" i="11"/>
  <c r="C1650" i="11"/>
  <c r="C1736" i="11"/>
  <c r="C1821" i="11"/>
  <c r="C1906" i="11"/>
  <c r="C1992" i="11"/>
  <c r="C2077" i="11"/>
  <c r="C2162" i="11"/>
  <c r="C2248" i="11"/>
  <c r="C2333" i="11"/>
  <c r="C2408" i="11"/>
  <c r="C2465" i="11"/>
  <c r="C2520" i="11"/>
  <c r="C2578" i="11"/>
  <c r="C2630" i="11"/>
  <c r="C2673" i="11"/>
  <c r="C2716" i="11"/>
  <c r="C2758" i="11"/>
  <c r="C2801" i="11"/>
  <c r="C2844" i="11"/>
  <c r="C2886" i="11"/>
  <c r="C2929" i="11"/>
  <c r="C2972" i="11"/>
  <c r="C3014" i="11"/>
  <c r="C3057" i="11"/>
  <c r="C3100" i="11"/>
  <c r="C3142" i="11"/>
  <c r="C3185" i="11"/>
  <c r="C3228" i="11"/>
  <c r="C3250" i="11"/>
  <c r="C3266" i="11"/>
  <c r="C3281" i="11"/>
  <c r="C3292" i="11"/>
  <c r="C3302" i="11"/>
  <c r="C3313" i="11"/>
  <c r="C3324" i="11"/>
  <c r="C3334" i="11"/>
  <c r="C3345" i="11"/>
  <c r="C3356" i="11"/>
  <c r="C3366" i="11"/>
  <c r="C3377" i="11"/>
  <c r="C3388" i="11"/>
  <c r="C3398" i="11"/>
  <c r="C3409" i="11"/>
  <c r="C3420" i="11"/>
  <c r="C3430" i="11"/>
  <c r="C3441" i="11"/>
  <c r="C3452" i="11"/>
  <c r="C3462" i="11"/>
  <c r="C3473" i="11"/>
  <c r="C3484" i="11"/>
  <c r="C3494" i="11"/>
  <c r="C370" i="11"/>
  <c r="C541" i="11"/>
  <c r="C648" i="11"/>
  <c r="C733" i="11"/>
  <c r="C818" i="11"/>
  <c r="C904" i="11"/>
  <c r="C989" i="11"/>
  <c r="C1074" i="11"/>
  <c r="C1160" i="11"/>
  <c r="C1245" i="11"/>
  <c r="C1330" i="11"/>
  <c r="C1416" i="11"/>
  <c r="C1501" i="11"/>
  <c r="C1586" i="11"/>
  <c r="C1672" i="11"/>
  <c r="C1757" i="11"/>
  <c r="C1842" i="11"/>
  <c r="C1928" i="11"/>
  <c r="C2013" i="11"/>
  <c r="C2098" i="11"/>
  <c r="C2184" i="11"/>
  <c r="C2269" i="11"/>
  <c r="C2354" i="11"/>
  <c r="C2422" i="11"/>
  <c r="C2477" i="11"/>
  <c r="C2536" i="11"/>
  <c r="C2593" i="11"/>
  <c r="C2641" i="11"/>
  <c r="C2684" i="11"/>
  <c r="C2726" i="11"/>
  <c r="C2769" i="11"/>
  <c r="C2812" i="11"/>
  <c r="C2854" i="11"/>
  <c r="C2897" i="11"/>
  <c r="C2940" i="11"/>
  <c r="C2982" i="11"/>
  <c r="C3025" i="11"/>
  <c r="C3068" i="11"/>
  <c r="C3110" i="11"/>
  <c r="C3153" i="11"/>
  <c r="C3196" i="11"/>
  <c r="C3238" i="11"/>
  <c r="C3256" i="11"/>
  <c r="C3270" i="11"/>
  <c r="C3282" i="11"/>
  <c r="C3293" i="11"/>
  <c r="C3304" i="11"/>
  <c r="C3314" i="11"/>
  <c r="C3325" i="11"/>
  <c r="C3336" i="11"/>
  <c r="C3346" i="11"/>
  <c r="C3357" i="11"/>
  <c r="C3368" i="11"/>
  <c r="C3378" i="11"/>
  <c r="C3389" i="11"/>
  <c r="C3400" i="11"/>
  <c r="C3410" i="11"/>
  <c r="C3421" i="11"/>
  <c r="C3432" i="11"/>
  <c r="C3442" i="11"/>
  <c r="C3453" i="11"/>
  <c r="C3464" i="11"/>
  <c r="C3474" i="11"/>
  <c r="C3485" i="11"/>
  <c r="C3496" i="11"/>
  <c r="C413" i="11"/>
  <c r="C584" i="11"/>
  <c r="C669" i="11"/>
  <c r="C754" i="11"/>
  <c r="C840" i="11"/>
  <c r="C925" i="11"/>
  <c r="C1010" i="11"/>
  <c r="C1096" i="11"/>
  <c r="C1181" i="11"/>
  <c r="C1266" i="11"/>
  <c r="C1352" i="11"/>
  <c r="C1437" i="11"/>
  <c r="C1522" i="11"/>
  <c r="C1608" i="11"/>
  <c r="C1693" i="11"/>
  <c r="C1778" i="11"/>
  <c r="C1864" i="11"/>
  <c r="C1949" i="11"/>
  <c r="C2034" i="11"/>
  <c r="C2120" i="11"/>
  <c r="C2205" i="11"/>
  <c r="C2290" i="11"/>
  <c r="C2376" i="11"/>
  <c r="C2434" i="11"/>
  <c r="C2493" i="11"/>
  <c r="C2550" i="11"/>
  <c r="C2605" i="11"/>
  <c r="C2652" i="11"/>
  <c r="C2694" i="11"/>
  <c r="C2737" i="11"/>
  <c r="C2780" i="11"/>
  <c r="C2822" i="11"/>
  <c r="C2865" i="11"/>
  <c r="C2908" i="11"/>
  <c r="C2950" i="11"/>
  <c r="C2993" i="11"/>
  <c r="C3036" i="11"/>
  <c r="C3078" i="11"/>
  <c r="C3121" i="11"/>
  <c r="C3164" i="11"/>
  <c r="C3206" i="11"/>
  <c r="C3245" i="11"/>
  <c r="C3260" i="11"/>
  <c r="C3272" i="11"/>
  <c r="C3286" i="11"/>
  <c r="C3297" i="11"/>
  <c r="C3308" i="11"/>
  <c r="C3318" i="11"/>
  <c r="C3329" i="11"/>
  <c r="C3340" i="11"/>
  <c r="C3350" i="11"/>
  <c r="C3361" i="11"/>
  <c r="C3372" i="11"/>
  <c r="C3382" i="11"/>
  <c r="C3393" i="11"/>
  <c r="C3404" i="11"/>
  <c r="C3414" i="11"/>
  <c r="C3425" i="11"/>
  <c r="C3436" i="11"/>
  <c r="C3446" i="11"/>
  <c r="C3457" i="11"/>
  <c r="C3468" i="11"/>
  <c r="C3478" i="11"/>
  <c r="C3489" i="11"/>
  <c r="C3500" i="11"/>
  <c r="C3490" i="11"/>
  <c r="C3448" i="11"/>
  <c r="C3405" i="11"/>
  <c r="C3362" i="11"/>
  <c r="C3320" i="11"/>
  <c r="C3277" i="11"/>
  <c r="C3174" i="11"/>
  <c r="C3004" i="11"/>
  <c r="C2833" i="11"/>
  <c r="C2662" i="11"/>
  <c r="C2450" i="11"/>
  <c r="C2141" i="11"/>
  <c r="C1800" i="11"/>
  <c r="C1458" i="11"/>
  <c r="C1117" i="11"/>
  <c r="C776" i="11"/>
  <c r="C3480" i="11"/>
  <c r="C3437" i="11"/>
  <c r="C3394" i="11"/>
  <c r="C3352" i="11"/>
  <c r="C3309" i="11"/>
  <c r="C3261" i="11"/>
  <c r="C3132" i="11"/>
  <c r="C2961" i="11"/>
  <c r="C2790" i="11"/>
  <c r="C2620" i="11"/>
  <c r="C2392" i="11"/>
  <c r="C2056" i="11"/>
  <c r="C1714" i="11"/>
  <c r="C1373" i="11"/>
  <c r="C1032" i="11"/>
  <c r="C690" i="11"/>
  <c r="G37" i="11"/>
  <c r="G41" i="11"/>
  <c r="G227" i="11"/>
  <c r="G293" i="11"/>
  <c r="G355" i="11"/>
  <c r="G407" i="11"/>
  <c r="G456" i="11"/>
  <c r="G505" i="11"/>
  <c r="G557" i="11"/>
  <c r="G607" i="11"/>
  <c r="G657" i="11"/>
  <c r="G711" i="11"/>
  <c r="G760" i="11"/>
  <c r="G787" i="11"/>
  <c r="G804" i="11"/>
  <c r="G815" i="11"/>
  <c r="G829" i="11"/>
  <c r="G841" i="11"/>
  <c r="G855" i="11"/>
  <c r="G868" i="11"/>
  <c r="G879" i="11"/>
  <c r="G892" i="11"/>
  <c r="G905" i="11"/>
  <c r="G919" i="11"/>
  <c r="G929" i="11"/>
  <c r="G943" i="11"/>
  <c r="G956" i="11"/>
  <c r="G968" i="11"/>
  <c r="G983" i="11"/>
  <c r="G993" i="11"/>
  <c r="G1005" i="11"/>
  <c r="G1020" i="11"/>
  <c r="G1032" i="11"/>
  <c r="G1043" i="11"/>
  <c r="G1057" i="11"/>
  <c r="G1069" i="11"/>
  <c r="G1081" i="11"/>
  <c r="G1096" i="11"/>
  <c r="G1107" i="11"/>
  <c r="G1119" i="11"/>
  <c r="G1133" i="11"/>
  <c r="G1145" i="11"/>
  <c r="G1155" i="11"/>
  <c r="G1164" i="11"/>
  <c r="G1175" i="11"/>
  <c r="G1183" i="11"/>
  <c r="G1192" i="11"/>
  <c r="G1203" i="11"/>
  <c r="G1212" i="11"/>
  <c r="G1220" i="11"/>
  <c r="G1231" i="11"/>
  <c r="G1240" i="11"/>
  <c r="G1249" i="11"/>
  <c r="G1260" i="11"/>
  <c r="G1268" i="11"/>
  <c r="G1277" i="11"/>
  <c r="G1288" i="11"/>
  <c r="G1297" i="11"/>
  <c r="G1305" i="11"/>
  <c r="G1316" i="11"/>
  <c r="G1325" i="11"/>
  <c r="G1335" i="11"/>
  <c r="G1345" i="11"/>
  <c r="G1353" i="11"/>
  <c r="G1363" i="11"/>
  <c r="G1373" i="11"/>
  <c r="G1383" i="11"/>
  <c r="G1391" i="11"/>
  <c r="G1401" i="11"/>
  <c r="G1411" i="11"/>
  <c r="G1420" i="11"/>
  <c r="G1431" i="11"/>
  <c r="G1439" i="11"/>
  <c r="G1448" i="11"/>
  <c r="G1459" i="11"/>
  <c r="G1468" i="11"/>
  <c r="G1476" i="11"/>
  <c r="G1487" i="11"/>
  <c r="G1496" i="11"/>
  <c r="G1505" i="11"/>
  <c r="G1516" i="11"/>
  <c r="G1524" i="11"/>
  <c r="G1533" i="11"/>
  <c r="G1540" i="11"/>
  <c r="G1548" i="11"/>
  <c r="G1555" i="11"/>
  <c r="G101" i="11"/>
  <c r="G240" i="11"/>
  <c r="G308" i="11"/>
  <c r="G369" i="11"/>
  <c r="G419" i="11"/>
  <c r="G468" i="11"/>
  <c r="G520" i="11"/>
  <c r="G569" i="11"/>
  <c r="G620" i="11"/>
  <c r="G671" i="11"/>
  <c r="G721" i="11"/>
  <c r="G771" i="11"/>
  <c r="G792" i="11"/>
  <c r="G807" i="11"/>
  <c r="G820" i="11"/>
  <c r="G833" i="11"/>
  <c r="G844" i="11"/>
  <c r="G857" i="11"/>
  <c r="G871" i="11"/>
  <c r="G883" i="11"/>
  <c r="G897" i="11"/>
  <c r="G908" i="11"/>
  <c r="G920" i="11"/>
  <c r="G935" i="11"/>
  <c r="G947" i="11"/>
  <c r="G957" i="11"/>
  <c r="G972" i="11"/>
  <c r="G984" i="11"/>
  <c r="G996" i="11"/>
  <c r="G1011" i="11"/>
  <c r="G1021" i="11"/>
  <c r="G1033" i="11"/>
  <c r="G1048" i="11"/>
  <c r="G1060" i="11"/>
  <c r="G1071" i="11"/>
  <c r="G1085" i="11"/>
  <c r="G1097" i="11"/>
  <c r="G1111" i="11"/>
  <c r="G1124" i="11"/>
  <c r="G1135" i="11"/>
  <c r="G1148" i="11"/>
  <c r="G1156" i="11"/>
  <c r="G1167" i="11"/>
  <c r="G1176" i="11"/>
  <c r="G1185" i="11"/>
  <c r="G1196" i="11"/>
  <c r="G1204" i="11"/>
  <c r="G1213" i="11"/>
  <c r="G1224" i="11"/>
  <c r="G1233" i="11"/>
  <c r="G1241" i="11"/>
  <c r="G1252" i="11"/>
  <c r="G1261" i="11"/>
  <c r="G1271" i="11"/>
  <c r="G1281" i="11"/>
  <c r="G1289" i="11"/>
  <c r="G1299" i="11"/>
  <c r="G1309" i="11"/>
  <c r="G1319" i="11"/>
  <c r="G1327" i="11"/>
  <c r="G1337" i="11"/>
  <c r="G1347" i="11"/>
  <c r="G1356" i="11"/>
  <c r="G1367" i="11"/>
  <c r="G1375" i="11"/>
  <c r="G1384" i="11"/>
  <c r="G1395" i="11"/>
  <c r="G1404" i="11"/>
  <c r="G1412" i="11"/>
  <c r="G1423" i="11"/>
  <c r="G1432" i="11"/>
  <c r="G1441" i="11"/>
  <c r="G1452" i="11"/>
  <c r="G1460" i="11"/>
  <c r="G1469" i="11"/>
  <c r="G1480" i="11"/>
  <c r="G1489" i="11"/>
  <c r="G1497" i="11"/>
  <c r="G1508" i="11"/>
  <c r="G1517" i="11"/>
  <c r="G1527" i="11"/>
  <c r="G1535" i="11"/>
  <c r="G1543" i="11"/>
  <c r="G1549" i="11"/>
  <c r="G1556" i="11"/>
  <c r="G149" i="11"/>
  <c r="G325" i="11"/>
  <c r="G429" i="11"/>
  <c r="G532" i="11"/>
  <c r="G633" i="11"/>
  <c r="G733" i="11"/>
  <c r="G797" i="11"/>
  <c r="G823" i="11"/>
  <c r="G849" i="11"/>
  <c r="G872" i="11"/>
  <c r="G899" i="11"/>
  <c r="G925" i="11"/>
  <c r="G948" i="11"/>
  <c r="G975" i="11"/>
  <c r="G1000" i="11"/>
  <c r="G1025" i="11"/>
  <c r="G1049" i="11"/>
  <c r="G1076" i="11"/>
  <c r="G1100" i="11"/>
  <c r="G1127" i="11"/>
  <c r="G1149" i="11"/>
  <c r="G1169" i="11"/>
  <c r="G1188" i="11"/>
  <c r="G1207" i="11"/>
  <c r="G1225" i="11"/>
  <c r="G1245" i="11"/>
  <c r="G1263" i="11"/>
  <c r="G1283" i="11"/>
  <c r="G1303" i="11"/>
  <c r="G1320" i="11"/>
  <c r="G1340" i="11"/>
  <c r="G1359" i="11"/>
  <c r="G1377" i="11"/>
  <c r="G1396" i="11"/>
  <c r="G1416" i="11"/>
  <c r="G1433" i="11"/>
  <c r="G1453" i="11"/>
  <c r="G1473" i="11"/>
  <c r="G1491" i="11"/>
  <c r="G1511" i="11"/>
  <c r="G1529" i="11"/>
  <c r="G1544" i="11"/>
  <c r="G1559" i="11"/>
  <c r="G1565" i="11"/>
  <c r="G1572" i="11"/>
  <c r="G1580" i="11"/>
  <c r="G1587" i="11"/>
  <c r="G1593" i="11"/>
  <c r="G1601" i="11"/>
  <c r="G1608" i="11"/>
  <c r="G1615" i="11"/>
  <c r="G1623" i="11"/>
  <c r="G1629" i="11"/>
  <c r="G1636" i="11"/>
  <c r="G1644" i="11"/>
  <c r="G1651" i="11"/>
  <c r="G1657" i="11"/>
  <c r="G1665" i="11"/>
  <c r="G1672" i="11"/>
  <c r="G1679" i="11"/>
  <c r="G1687" i="11"/>
  <c r="G1693" i="11"/>
  <c r="G1700" i="11"/>
  <c r="G1708" i="11"/>
  <c r="G1715" i="11"/>
  <c r="G1721" i="11"/>
  <c r="G1729" i="11"/>
  <c r="G1736" i="11"/>
  <c r="G1743" i="11"/>
  <c r="G1751" i="11"/>
  <c r="G1757" i="11"/>
  <c r="G1764" i="11"/>
  <c r="G1772" i="11"/>
  <c r="G1779" i="11"/>
  <c r="G1785" i="11"/>
  <c r="G1793" i="11"/>
  <c r="G1800" i="11"/>
  <c r="G1807" i="11"/>
  <c r="G1815" i="11"/>
  <c r="G1821" i="11"/>
  <c r="G1828" i="11"/>
  <c r="G1836" i="11"/>
  <c r="G1843" i="11"/>
  <c r="G1849" i="11"/>
  <c r="G1857" i="11"/>
  <c r="G1864" i="11"/>
  <c r="G1871" i="11"/>
  <c r="G1879" i="11"/>
  <c r="G1885" i="11"/>
  <c r="G1892" i="11"/>
  <c r="G1900" i="11"/>
  <c r="G1907" i="11"/>
  <c r="G1913" i="11"/>
  <c r="G1921" i="11"/>
  <c r="G1928" i="11"/>
  <c r="G1935" i="11"/>
  <c r="G1943" i="11"/>
  <c r="G1949" i="11"/>
  <c r="G1956" i="11"/>
  <c r="G1964" i="11"/>
  <c r="G1971" i="11"/>
  <c r="G1977" i="11"/>
  <c r="G1985" i="11"/>
  <c r="G1992" i="11"/>
  <c r="G1999" i="11"/>
  <c r="G2007" i="11"/>
  <c r="G2013" i="11"/>
  <c r="G2020" i="11"/>
  <c r="G2028" i="11"/>
  <c r="G2035" i="11"/>
  <c r="G2041" i="11"/>
  <c r="G2049" i="11"/>
  <c r="G2056" i="11"/>
  <c r="G2063" i="11"/>
  <c r="G2071" i="11"/>
  <c r="G2077" i="11"/>
  <c r="G2084" i="11"/>
  <c r="G2092" i="11"/>
  <c r="G2099" i="11"/>
  <c r="G2105" i="11"/>
  <c r="G2113" i="11"/>
  <c r="G2120" i="11"/>
  <c r="G2127" i="11"/>
  <c r="G2135" i="11"/>
  <c r="G2141" i="11"/>
  <c r="G2148" i="11"/>
  <c r="G2156" i="11"/>
  <c r="G2163" i="11"/>
  <c r="G2169" i="11"/>
  <c r="G2177" i="11"/>
  <c r="G2184" i="11"/>
  <c r="G2191" i="11"/>
  <c r="G2199" i="11"/>
  <c r="G2205" i="11"/>
  <c r="G2212" i="11"/>
  <c r="G2220" i="11"/>
  <c r="G2227" i="11"/>
  <c r="G2233" i="11"/>
  <c r="G2241" i="11"/>
  <c r="G2248" i="11"/>
  <c r="G2255" i="11"/>
  <c r="G2263" i="11"/>
  <c r="G2269" i="11"/>
  <c r="G2276" i="11"/>
  <c r="G2284" i="11"/>
  <c r="G2291" i="11"/>
  <c r="G2297" i="11"/>
  <c r="G2305" i="11"/>
  <c r="G2312" i="11"/>
  <c r="G2319" i="11"/>
  <c r="G2327" i="11"/>
  <c r="G2333" i="11"/>
  <c r="G2340" i="11"/>
  <c r="G2348" i="11"/>
  <c r="G2355" i="11"/>
  <c r="G2361" i="11"/>
  <c r="G2369" i="11"/>
  <c r="G2376" i="11"/>
  <c r="G2381" i="11"/>
  <c r="G2387" i="11"/>
  <c r="G2392" i="11"/>
  <c r="G2397" i="11"/>
  <c r="G2403" i="11"/>
  <c r="G2408" i="11"/>
  <c r="G2413" i="11"/>
  <c r="G2419" i="11"/>
  <c r="G2424" i="11"/>
  <c r="G2429" i="11"/>
  <c r="G2435" i="11"/>
  <c r="G2440" i="11"/>
  <c r="G201" i="11"/>
  <c r="G343" i="11"/>
  <c r="G444" i="11"/>
  <c r="G543" i="11"/>
  <c r="G647" i="11"/>
  <c r="G748" i="11"/>
  <c r="G801" i="11"/>
  <c r="G825" i="11"/>
  <c r="G851" i="11"/>
  <c r="G877" i="11"/>
  <c r="G900" i="11"/>
  <c r="G927" i="11"/>
  <c r="G953" i="11"/>
  <c r="G977" i="11"/>
  <c r="G1004" i="11"/>
  <c r="G1028" i="11"/>
  <c r="G1053" i="11"/>
  <c r="G1079" i="11"/>
  <c r="G1105" i="11"/>
  <c r="G1128" i="11"/>
  <c r="G1153" i="11"/>
  <c r="G1171" i="11"/>
  <c r="G1191" i="11"/>
  <c r="G1209" i="11"/>
  <c r="G1228" i="11"/>
  <c r="G1247" i="11"/>
  <c r="G1267" i="11"/>
  <c r="G1284" i="11"/>
  <c r="G1304" i="11"/>
  <c r="G1324" i="11"/>
  <c r="G1341" i="11"/>
  <c r="G1361" i="11"/>
  <c r="G1380" i="11"/>
  <c r="G1399" i="11"/>
  <c r="G1417" i="11"/>
  <c r="G1437" i="11"/>
  <c r="G1455" i="11"/>
  <c r="G1475" i="11"/>
  <c r="G1495" i="11"/>
  <c r="G1512" i="11"/>
  <c r="G1532" i="11"/>
  <c r="G1545" i="11"/>
  <c r="G1560" i="11"/>
  <c r="G1567" i="11"/>
  <c r="G1575" i="11"/>
  <c r="G1581" i="11"/>
  <c r="G1588" i="11"/>
  <c r="G1596" i="11"/>
  <c r="G1603" i="11"/>
  <c r="G1609" i="11"/>
  <c r="G1617" i="11"/>
  <c r="G1624" i="11"/>
  <c r="G1631" i="11"/>
  <c r="G1639" i="11"/>
  <c r="G1645" i="11"/>
  <c r="G1652" i="11"/>
  <c r="G1660" i="11"/>
  <c r="G1667" i="11"/>
  <c r="G1673" i="11"/>
  <c r="G1681" i="11"/>
  <c r="G1688" i="11"/>
  <c r="G1695" i="11"/>
  <c r="G1703" i="11"/>
  <c r="G1709" i="11"/>
  <c r="G1716" i="11"/>
  <c r="G1724" i="11"/>
  <c r="G1731" i="11"/>
  <c r="G1737" i="11"/>
  <c r="G1745" i="11"/>
  <c r="G1752" i="11"/>
  <c r="G1759" i="11"/>
  <c r="G1767" i="11"/>
  <c r="G1773" i="11"/>
  <c r="G1780" i="11"/>
  <c r="G1788" i="11"/>
  <c r="G1795" i="11"/>
  <c r="G1801" i="11"/>
  <c r="G1809" i="11"/>
  <c r="G1816" i="11"/>
  <c r="G1823" i="11"/>
  <c r="G1831" i="11"/>
  <c r="G1837" i="11"/>
  <c r="G1844" i="11"/>
  <c r="G1852" i="11"/>
  <c r="G1859" i="11"/>
  <c r="G1865" i="11"/>
  <c r="G1873" i="11"/>
  <c r="G1880" i="11"/>
  <c r="G1887" i="11"/>
  <c r="G1895" i="11"/>
  <c r="G1901" i="11"/>
  <c r="G1908" i="11"/>
  <c r="G1916" i="11"/>
  <c r="G1923" i="11"/>
  <c r="G1929" i="11"/>
  <c r="G1937" i="11"/>
  <c r="G1944" i="11"/>
  <c r="G1951" i="11"/>
  <c r="G1959" i="11"/>
  <c r="G1965" i="11"/>
  <c r="G1972" i="11"/>
  <c r="G1980" i="11"/>
  <c r="G1987" i="11"/>
  <c r="G1993" i="11"/>
  <c r="G2001" i="11"/>
  <c r="G2008" i="11"/>
  <c r="G2015" i="11"/>
  <c r="G2023" i="11"/>
  <c r="G2029" i="11"/>
  <c r="G2036" i="11"/>
  <c r="G2044" i="11"/>
  <c r="G2051" i="11"/>
  <c r="G2057" i="11"/>
  <c r="G2065" i="11"/>
  <c r="G2072" i="11"/>
  <c r="G2079" i="11"/>
  <c r="G2087" i="11"/>
  <c r="G2093" i="11"/>
  <c r="G2100" i="11"/>
  <c r="G2108" i="11"/>
  <c r="G2115" i="11"/>
  <c r="G2121" i="11"/>
  <c r="G2129" i="11"/>
  <c r="G2136" i="11"/>
  <c r="G2143" i="11"/>
  <c r="G2151" i="11"/>
  <c r="G2157" i="11"/>
  <c r="G2164" i="11"/>
  <c r="G2172" i="11"/>
  <c r="G2179" i="11"/>
  <c r="G2185" i="11"/>
  <c r="G2193" i="11"/>
  <c r="G2200" i="11"/>
  <c r="G2207" i="11"/>
  <c r="G2215" i="11"/>
  <c r="G2221" i="11"/>
  <c r="G2228" i="11"/>
  <c r="G2236" i="11"/>
  <c r="G2243" i="11"/>
  <c r="G2249" i="11"/>
  <c r="G2257" i="11"/>
  <c r="G2264" i="11"/>
  <c r="G2271" i="11"/>
  <c r="G2279" i="11"/>
  <c r="G2285" i="11"/>
  <c r="G2292" i="11"/>
  <c r="G2300" i="11"/>
  <c r="G2307" i="11"/>
  <c r="G2313" i="11"/>
  <c r="G2321" i="11"/>
  <c r="G2328" i="11"/>
  <c r="G2335" i="11"/>
  <c r="G2343" i="11"/>
  <c r="G2349" i="11"/>
  <c r="G2356" i="11"/>
  <c r="G2364" i="11"/>
  <c r="G2371" i="11"/>
  <c r="G2377" i="11"/>
  <c r="G2383" i="11"/>
  <c r="G2388" i="11"/>
  <c r="G2393" i="11"/>
  <c r="G2399" i="11"/>
  <c r="G2404" i="11"/>
  <c r="G2409" i="11"/>
  <c r="G2415" i="11"/>
  <c r="G2420" i="11"/>
  <c r="G2425" i="11"/>
  <c r="G2431" i="11"/>
  <c r="G2436" i="11"/>
  <c r="G2441" i="11"/>
  <c r="G259" i="11"/>
  <c r="G483" i="11"/>
  <c r="G684" i="11"/>
  <c r="G812" i="11"/>
  <c r="G861" i="11"/>
  <c r="G911" i="11"/>
  <c r="G963" i="11"/>
  <c r="G1012" i="11"/>
  <c r="G1063" i="11"/>
  <c r="G1113" i="11"/>
  <c r="G1160" i="11"/>
  <c r="G1197" i="11"/>
  <c r="G1235" i="11"/>
  <c r="G1273" i="11"/>
  <c r="G1311" i="11"/>
  <c r="G1348" i="11"/>
  <c r="G1388" i="11"/>
  <c r="G1425" i="11"/>
  <c r="G1463" i="11"/>
  <c r="G1501" i="11"/>
  <c r="G1537" i="11"/>
  <c r="G1561" i="11"/>
  <c r="G1576" i="11"/>
  <c r="G1591" i="11"/>
  <c r="G1604" i="11"/>
  <c r="G1619" i="11"/>
  <c r="G1633" i="11"/>
  <c r="G1647" i="11"/>
  <c r="G1661" i="11"/>
  <c r="G1676" i="11"/>
  <c r="G1689" i="11"/>
  <c r="G1704" i="11"/>
  <c r="G1719" i="11"/>
  <c r="G1732" i="11"/>
  <c r="G1747" i="11"/>
  <c r="G1761" i="11"/>
  <c r="G1775" i="11"/>
  <c r="G1789" i="11"/>
  <c r="G1804" i="11"/>
  <c r="G1817" i="11"/>
  <c r="G1832" i="11"/>
  <c r="G1847" i="11"/>
  <c r="G1860" i="11"/>
  <c r="G1875" i="11"/>
  <c r="G1889" i="11"/>
  <c r="G1903" i="11"/>
  <c r="G1917" i="11"/>
  <c r="G1932" i="11"/>
  <c r="G1945" i="11"/>
  <c r="G1960" i="11"/>
  <c r="G1975" i="11"/>
  <c r="G1988" i="11"/>
  <c r="G2003" i="11"/>
  <c r="G2017" i="11"/>
  <c r="G2031" i="11"/>
  <c r="G2045" i="11"/>
  <c r="G2060" i="11"/>
  <c r="G2073" i="11"/>
  <c r="G2088" i="11"/>
  <c r="G2103" i="11"/>
  <c r="G2116" i="11"/>
  <c r="G2131" i="11"/>
  <c r="G2145" i="11"/>
  <c r="G2159" i="11"/>
  <c r="G2173" i="11"/>
  <c r="G2188" i="11"/>
  <c r="G2201" i="11"/>
  <c r="G2216" i="11"/>
  <c r="G2231" i="11"/>
  <c r="G2244" i="11"/>
  <c r="G2259" i="11"/>
  <c r="G2273" i="11"/>
  <c r="G2287" i="11"/>
  <c r="G2301" i="11"/>
  <c r="G2316" i="11"/>
  <c r="G2329" i="11"/>
  <c r="G2344" i="11"/>
  <c r="G2359" i="11"/>
  <c r="G2372" i="11"/>
  <c r="G2384" i="11"/>
  <c r="G2395" i="11"/>
  <c r="G2405" i="11"/>
  <c r="G2416" i="11"/>
  <c r="G2427" i="11"/>
  <c r="G2437" i="11"/>
  <c r="G2445" i="11"/>
  <c r="G2451" i="11"/>
  <c r="G2456" i="11"/>
  <c r="G2461" i="11"/>
  <c r="G2467" i="11"/>
  <c r="G2472" i="11"/>
  <c r="G2477" i="11"/>
  <c r="G2483" i="11"/>
  <c r="G2488" i="11"/>
  <c r="G2493" i="11"/>
  <c r="G2499" i="11"/>
  <c r="G2504" i="11"/>
  <c r="G2509" i="11"/>
  <c r="G2515" i="11"/>
  <c r="G2520" i="11"/>
  <c r="G2525" i="11"/>
  <c r="G2531" i="11"/>
  <c r="G2536" i="11"/>
  <c r="G2541" i="11"/>
  <c r="G2547" i="11"/>
  <c r="G2552" i="11"/>
  <c r="G2557" i="11"/>
  <c r="G2563" i="11"/>
  <c r="G2568" i="11"/>
  <c r="G2573" i="11"/>
  <c r="G2579" i="11"/>
  <c r="G2584" i="11"/>
  <c r="G2589" i="11"/>
  <c r="G2595" i="11"/>
  <c r="G2600" i="11"/>
  <c r="G2605" i="11"/>
  <c r="G2611" i="11"/>
  <c r="G2616" i="11"/>
  <c r="G2621" i="11"/>
  <c r="G2627" i="11"/>
  <c r="G2632" i="11"/>
  <c r="G2637" i="11"/>
  <c r="G2643" i="11"/>
  <c r="G2648" i="11"/>
  <c r="G2653" i="11"/>
  <c r="G2659" i="11"/>
  <c r="G2664" i="11"/>
  <c r="G2669" i="11"/>
  <c r="G2675" i="11"/>
  <c r="G2680" i="11"/>
  <c r="G2685" i="11"/>
  <c r="G2691" i="11"/>
  <c r="G2696" i="11"/>
  <c r="G2701" i="11"/>
  <c r="G2707" i="11"/>
  <c r="G2712" i="11"/>
  <c r="G2717" i="11"/>
  <c r="G2723" i="11"/>
  <c r="G2728" i="11"/>
  <c r="G2733" i="11"/>
  <c r="G2739" i="11"/>
  <c r="G2744" i="11"/>
  <c r="G2749" i="11"/>
  <c r="G2755" i="11"/>
  <c r="G2760" i="11"/>
  <c r="G2765" i="11"/>
  <c r="G2771" i="11"/>
  <c r="G2776" i="11"/>
  <c r="G2781" i="11"/>
  <c r="G2787" i="11"/>
  <c r="G2792" i="11"/>
  <c r="G2797" i="11"/>
  <c r="G2803" i="11"/>
  <c r="G2808" i="11"/>
  <c r="G2813" i="11"/>
  <c r="G2819" i="11"/>
  <c r="G2824" i="11"/>
  <c r="G2829" i="11"/>
  <c r="G2835" i="11"/>
  <c r="G2840" i="11"/>
  <c r="G2845" i="11"/>
  <c r="G2851" i="11"/>
  <c r="G2856" i="11"/>
  <c r="G2861" i="11"/>
  <c r="G2867" i="11"/>
  <c r="G2872" i="11"/>
  <c r="G2877" i="11"/>
  <c r="G2883" i="11"/>
  <c r="G2888" i="11"/>
  <c r="G2893" i="11"/>
  <c r="G2899" i="11"/>
  <c r="G276" i="11"/>
  <c r="G493" i="11"/>
  <c r="G696" i="11"/>
  <c r="G813" i="11"/>
  <c r="G863" i="11"/>
  <c r="G915" i="11"/>
  <c r="G964" i="11"/>
  <c r="G1015" i="11"/>
  <c r="G1068" i="11"/>
  <c r="G1117" i="11"/>
  <c r="G1161" i="11"/>
  <c r="G1199" i="11"/>
  <c r="G1239" i="11"/>
  <c r="G1276" i="11"/>
  <c r="G1313" i="11"/>
  <c r="G1352" i="11"/>
  <c r="G1389" i="11"/>
  <c r="G1427" i="11"/>
  <c r="G1465" i="11"/>
  <c r="G1503" i="11"/>
  <c r="G1539" i="11"/>
  <c r="G1564" i="11"/>
  <c r="G1577" i="11"/>
  <c r="G1592" i="11"/>
  <c r="G1607" i="11"/>
  <c r="G1620" i="11"/>
  <c r="G1635" i="11"/>
  <c r="G1649" i="11"/>
  <c r="G1663" i="11"/>
  <c r="G1677" i="11"/>
  <c r="G1692" i="11"/>
  <c r="G1705" i="11"/>
  <c r="G1720" i="11"/>
  <c r="G1735" i="11"/>
  <c r="G1748" i="11"/>
  <c r="G1763" i="11"/>
  <c r="G1777" i="11"/>
  <c r="G1791" i="11"/>
  <c r="G1805" i="11"/>
  <c r="G1820" i="11"/>
  <c r="G1833" i="11"/>
  <c r="G1848" i="11"/>
  <c r="G1863" i="11"/>
  <c r="G1876" i="11"/>
  <c r="G1891" i="11"/>
  <c r="G1905" i="11"/>
  <c r="G1919" i="11"/>
  <c r="G1933" i="11"/>
  <c r="G1948" i="11"/>
  <c r="G1961" i="11"/>
  <c r="G1976" i="11"/>
  <c r="G1991" i="11"/>
  <c r="G2004" i="11"/>
  <c r="G2019" i="11"/>
  <c r="G2033" i="11"/>
  <c r="G2047" i="11"/>
  <c r="G2061" i="11"/>
  <c r="G2076" i="11"/>
  <c r="G2089" i="11"/>
  <c r="G2104" i="11"/>
  <c r="G2119" i="11"/>
  <c r="G2132" i="11"/>
  <c r="G2147" i="11"/>
  <c r="G2161" i="11"/>
  <c r="G2175" i="11"/>
  <c r="G2189" i="11"/>
  <c r="G2204" i="11"/>
  <c r="G2217" i="11"/>
  <c r="G2232" i="11"/>
  <c r="G2247" i="11"/>
  <c r="G2260" i="11"/>
  <c r="G2275" i="11"/>
  <c r="G2289" i="11"/>
  <c r="G2303" i="11"/>
  <c r="G2317" i="11"/>
  <c r="G2332" i="11"/>
  <c r="G2345" i="11"/>
  <c r="G2360" i="11"/>
  <c r="G2375" i="11"/>
  <c r="G2385" i="11"/>
  <c r="G2396" i="11"/>
  <c r="G2407" i="11"/>
  <c r="G2417" i="11"/>
  <c r="G2428" i="11"/>
  <c r="G2439" i="11"/>
  <c r="G2447" i="11"/>
  <c r="G2452" i="11"/>
  <c r="G2457" i="11"/>
  <c r="G2463" i="11"/>
  <c r="G2468" i="11"/>
  <c r="G2473" i="11"/>
  <c r="G2479" i="11"/>
  <c r="G2484" i="11"/>
  <c r="G2489" i="11"/>
  <c r="G2495" i="11"/>
  <c r="G2500" i="11"/>
  <c r="G2505" i="11"/>
  <c r="G2511" i="11"/>
  <c r="G2516" i="11"/>
  <c r="G2521" i="11"/>
  <c r="G2527" i="11"/>
  <c r="G2532" i="11"/>
  <c r="G2537" i="11"/>
  <c r="G2543" i="11"/>
  <c r="G2548" i="11"/>
  <c r="G2553" i="11"/>
  <c r="G2559" i="11"/>
  <c r="G2564" i="11"/>
  <c r="G2569" i="11"/>
  <c r="G2575" i="11"/>
  <c r="G2580" i="11"/>
  <c r="G2585" i="11"/>
  <c r="G2591" i="11"/>
  <c r="G2596" i="11"/>
  <c r="G2601" i="11"/>
  <c r="G2607" i="11"/>
  <c r="G2612" i="11"/>
  <c r="G2617" i="11"/>
  <c r="G2623" i="11"/>
  <c r="G2628" i="11"/>
  <c r="G2633" i="11"/>
  <c r="G2639" i="11"/>
  <c r="G2644" i="11"/>
  <c r="G2649" i="11"/>
  <c r="G2655" i="11"/>
  <c r="G2660" i="11"/>
  <c r="G2665" i="11"/>
  <c r="G2671" i="11"/>
  <c r="G2676" i="11"/>
  <c r="G2681" i="11"/>
  <c r="G2687" i="11"/>
  <c r="G2692" i="11"/>
  <c r="G2697" i="11"/>
  <c r="G2703" i="11"/>
  <c r="G2708" i="11"/>
  <c r="G2713" i="11"/>
  <c r="G2719" i="11"/>
  <c r="G2724" i="11"/>
  <c r="G2729" i="11"/>
  <c r="G2735" i="11"/>
  <c r="G2740" i="11"/>
  <c r="G2745" i="11"/>
  <c r="G2751" i="11"/>
  <c r="G2756" i="11"/>
  <c r="G2761" i="11"/>
  <c r="G2767" i="11"/>
  <c r="G2772" i="11"/>
  <c r="G2777" i="11"/>
  <c r="G2783" i="11"/>
  <c r="G2788" i="11"/>
  <c r="G2793" i="11"/>
  <c r="G2799" i="11"/>
  <c r="G2804" i="11"/>
  <c r="G2809" i="11"/>
  <c r="G2815" i="11"/>
  <c r="G2820" i="11"/>
  <c r="G2825" i="11"/>
  <c r="G2831" i="11"/>
  <c r="G2836" i="11"/>
  <c r="G2841" i="11"/>
  <c r="G2847" i="11"/>
  <c r="G2852" i="11"/>
  <c r="G2857" i="11"/>
  <c r="G2863" i="11"/>
  <c r="G2868" i="11"/>
  <c r="G2873" i="11"/>
  <c r="G2879" i="11"/>
  <c r="G2884" i="11"/>
  <c r="G2889" i="11"/>
  <c r="G2895" i="11"/>
  <c r="G380" i="11"/>
  <c r="G777" i="11"/>
  <c r="G887" i="11"/>
  <c r="G985" i="11"/>
  <c r="G1089" i="11"/>
  <c r="G1177" i="11"/>
  <c r="G1255" i="11"/>
  <c r="G1331" i="11"/>
  <c r="G1405" i="11"/>
  <c r="G1481" i="11"/>
  <c r="G1551" i="11"/>
  <c r="G1583" i="11"/>
  <c r="G1612" i="11"/>
  <c r="G1640" i="11"/>
  <c r="G1668" i="11"/>
  <c r="G1697" i="11"/>
  <c r="G1725" i="11"/>
  <c r="G1753" i="11"/>
  <c r="G1783" i="11"/>
  <c r="G1811" i="11"/>
  <c r="G1839" i="11"/>
  <c r="G1868" i="11"/>
  <c r="G1896" i="11"/>
  <c r="G1924" i="11"/>
  <c r="G1953" i="11"/>
  <c r="G1981" i="11"/>
  <c r="G2009" i="11"/>
  <c r="G2039" i="11"/>
  <c r="G2067" i="11"/>
  <c r="G2095" i="11"/>
  <c r="G2124" i="11"/>
  <c r="G2152" i="11"/>
  <c r="G2180" i="11"/>
  <c r="G2209" i="11"/>
  <c r="G2237" i="11"/>
  <c r="G2265" i="11"/>
  <c r="G2295" i="11"/>
  <c r="G2323" i="11"/>
  <c r="G2351" i="11"/>
  <c r="G2379" i="11"/>
  <c r="G2400" i="11"/>
  <c r="G2421" i="11"/>
  <c r="G2443" i="11"/>
  <c r="G2453" i="11"/>
  <c r="G2464" i="11"/>
  <c r="G2475" i="11"/>
  <c r="G2485" i="11"/>
  <c r="G2496" i="11"/>
  <c r="G2507" i="11"/>
  <c r="G2517" i="11"/>
  <c r="G2528" i="11"/>
  <c r="G2539" i="11"/>
  <c r="G2549" i="11"/>
  <c r="G2560" i="11"/>
  <c r="G2571" i="11"/>
  <c r="G2581" i="11"/>
  <c r="G2592" i="11"/>
  <c r="G2603" i="11"/>
  <c r="G2613" i="11"/>
  <c r="G2624" i="11"/>
  <c r="G2635" i="11"/>
  <c r="G2645" i="11"/>
  <c r="G2656" i="11"/>
  <c r="G2667" i="11"/>
  <c r="G2677" i="11"/>
  <c r="G2688" i="11"/>
  <c r="G2699" i="11"/>
  <c r="G2709" i="11"/>
  <c r="G2720" i="11"/>
  <c r="G2731" i="11"/>
  <c r="G2741" i="11"/>
  <c r="G2752" i="11"/>
  <c r="G2763" i="11"/>
  <c r="G2773" i="11"/>
  <c r="G2784" i="11"/>
  <c r="G2795" i="11"/>
  <c r="G2805" i="11"/>
  <c r="G2816" i="11"/>
  <c r="G2827" i="11"/>
  <c r="G2837" i="11"/>
  <c r="G2848" i="11"/>
  <c r="G2859" i="11"/>
  <c r="G2869" i="11"/>
  <c r="G2880" i="11"/>
  <c r="G2891" i="11"/>
  <c r="G2900" i="11"/>
  <c r="G2905" i="11"/>
  <c r="G2911" i="11"/>
  <c r="G2916" i="11"/>
  <c r="G2921" i="11"/>
  <c r="G2927" i="11"/>
  <c r="G2932" i="11"/>
  <c r="G2937" i="11"/>
  <c r="G2943" i="11"/>
  <c r="G2948" i="11"/>
  <c r="G2953" i="11"/>
  <c r="G2959" i="11"/>
  <c r="G2964" i="11"/>
  <c r="G2969" i="11"/>
  <c r="G2975" i="11"/>
  <c r="G2980" i="11"/>
  <c r="G2985" i="11"/>
  <c r="G2991" i="11"/>
  <c r="G2996" i="11"/>
  <c r="G3001" i="11"/>
  <c r="G3007" i="11"/>
  <c r="G3012" i="11"/>
  <c r="G3017" i="11"/>
  <c r="G3023" i="11"/>
  <c r="G3028" i="11"/>
  <c r="G3033" i="11"/>
  <c r="G3039" i="11"/>
  <c r="G3044" i="11"/>
  <c r="G3049" i="11"/>
  <c r="G3055" i="11"/>
  <c r="G3060" i="11"/>
  <c r="G3065" i="11"/>
  <c r="G3071" i="11"/>
  <c r="G3076" i="11"/>
  <c r="G3081" i="11"/>
  <c r="G3087" i="11"/>
  <c r="G3092" i="11"/>
  <c r="G3097" i="11"/>
  <c r="G3103" i="11"/>
  <c r="G3108" i="11"/>
  <c r="G3113" i="11"/>
  <c r="G3119" i="11"/>
  <c r="G3124" i="11"/>
  <c r="G3129" i="11"/>
  <c r="G3135" i="11"/>
  <c r="G3140" i="11"/>
  <c r="G3145" i="11"/>
  <c r="G3151" i="11"/>
  <c r="G3156" i="11"/>
  <c r="G3161" i="11"/>
  <c r="G3167" i="11"/>
  <c r="G3172" i="11"/>
  <c r="G3177" i="11"/>
  <c r="G3183" i="11"/>
  <c r="G3188" i="11"/>
  <c r="G3193" i="11"/>
  <c r="G3199" i="11"/>
  <c r="G3204" i="11"/>
  <c r="G3209" i="11"/>
  <c r="G3215" i="11"/>
  <c r="G3220" i="11"/>
  <c r="G3225" i="11"/>
  <c r="G3231" i="11"/>
  <c r="G3236" i="11"/>
  <c r="G3241" i="11"/>
  <c r="G3247" i="11"/>
  <c r="G3252" i="11"/>
  <c r="G3257" i="11"/>
  <c r="G3263" i="11"/>
  <c r="G3268" i="11"/>
  <c r="G3273" i="11"/>
  <c r="G3279" i="11"/>
  <c r="G3284" i="11"/>
  <c r="G3289" i="11"/>
  <c r="G3295" i="11"/>
  <c r="G3300" i="11"/>
  <c r="G3305" i="11"/>
  <c r="G3311" i="11"/>
  <c r="G3316" i="11"/>
  <c r="G3321" i="11"/>
  <c r="G3327" i="11"/>
  <c r="G3332" i="11"/>
  <c r="G3337" i="11"/>
  <c r="G3343" i="11"/>
  <c r="G3348" i="11"/>
  <c r="G3353" i="11"/>
  <c r="G3359" i="11"/>
  <c r="G3364" i="11"/>
  <c r="G3369" i="11"/>
  <c r="G3375" i="11"/>
  <c r="G3380" i="11"/>
  <c r="G3385" i="11"/>
  <c r="G3391" i="11"/>
  <c r="G3396" i="11"/>
  <c r="G3401" i="11"/>
  <c r="G3407" i="11"/>
  <c r="G3412" i="11"/>
  <c r="G3417" i="11"/>
  <c r="G3423" i="11"/>
  <c r="G3428" i="11"/>
  <c r="G3433" i="11"/>
  <c r="G3439" i="11"/>
  <c r="G3444" i="11"/>
  <c r="G3449" i="11"/>
  <c r="G3455" i="11"/>
  <c r="G3460" i="11"/>
  <c r="G3465" i="11"/>
  <c r="G3471" i="11"/>
  <c r="G3476" i="11"/>
  <c r="G3481" i="11"/>
  <c r="G3487" i="11"/>
  <c r="G3492" i="11"/>
  <c r="G3497" i="11"/>
  <c r="G392" i="11"/>
  <c r="G783" i="11"/>
  <c r="G889" i="11"/>
  <c r="G991" i="11"/>
  <c r="G1091" i="11"/>
  <c r="G1181" i="11"/>
  <c r="G1256" i="11"/>
  <c r="G1332" i="11"/>
  <c r="G1409" i="11"/>
  <c r="G1484" i="11"/>
  <c r="G1553" i="11"/>
  <c r="G1585" i="11"/>
  <c r="G1613" i="11"/>
  <c r="G1641" i="11"/>
  <c r="G1671" i="11"/>
  <c r="G1699" i="11"/>
  <c r="G1727" i="11"/>
  <c r="G1756" i="11"/>
  <c r="G1784" i="11"/>
  <c r="G1812" i="11"/>
  <c r="G1841" i="11"/>
  <c r="G1869" i="11"/>
  <c r="G1897" i="11"/>
  <c r="G1927" i="11"/>
  <c r="G1955" i="11"/>
  <c r="G1983" i="11"/>
  <c r="G2012" i="11"/>
  <c r="G2040" i="11"/>
  <c r="G2068" i="11"/>
  <c r="G2097" i="11"/>
  <c r="G2125" i="11"/>
  <c r="G2153" i="11"/>
  <c r="G2183" i="11"/>
  <c r="G2211" i="11"/>
  <c r="G2239" i="11"/>
  <c r="G2268" i="11"/>
  <c r="G2296" i="11"/>
  <c r="G2324" i="11"/>
  <c r="G2353" i="11"/>
  <c r="G2380" i="11"/>
  <c r="G2401" i="11"/>
  <c r="G2423" i="11"/>
  <c r="G2444" i="11"/>
  <c r="G2455" i="11"/>
  <c r="G2465" i="11"/>
  <c r="G2476" i="11"/>
  <c r="G2487" i="11"/>
  <c r="G2497" i="11"/>
  <c r="G2508" i="11"/>
  <c r="G2519" i="11"/>
  <c r="G2529" i="11"/>
  <c r="G2540" i="11"/>
  <c r="G2551" i="11"/>
  <c r="G2561" i="11"/>
  <c r="G2572" i="11"/>
  <c r="G2583" i="11"/>
  <c r="G2593" i="11"/>
  <c r="G2604" i="11"/>
  <c r="G2615" i="11"/>
  <c r="G2625" i="11"/>
  <c r="G2636" i="11"/>
  <c r="G2647" i="11"/>
  <c r="G2657" i="11"/>
  <c r="G2668" i="11"/>
  <c r="G2679" i="11"/>
  <c r="G2689" i="11"/>
  <c r="G2700" i="11"/>
  <c r="G2711" i="11"/>
  <c r="G2721" i="11"/>
  <c r="G2732" i="11"/>
  <c r="G2743" i="11"/>
  <c r="G2753" i="11"/>
  <c r="G2764" i="11"/>
  <c r="G2775" i="11"/>
  <c r="G2785" i="11"/>
  <c r="G2796" i="11"/>
  <c r="G2807" i="11"/>
  <c r="G2817" i="11"/>
  <c r="G2828" i="11"/>
  <c r="G2839" i="11"/>
  <c r="G2849" i="11"/>
  <c r="G2860" i="11"/>
  <c r="G2871" i="11"/>
  <c r="G2881" i="11"/>
  <c r="G2892" i="11"/>
  <c r="G2901" i="11"/>
  <c r="G2907" i="11"/>
  <c r="G2912" i="11"/>
  <c r="G2917" i="11"/>
  <c r="G2923" i="11"/>
  <c r="G2928" i="11"/>
  <c r="G2933" i="11"/>
  <c r="G2939" i="11"/>
  <c r="G2944" i="11"/>
  <c r="G2949" i="11"/>
  <c r="G2955" i="11"/>
  <c r="G2960" i="11"/>
  <c r="G2965" i="11"/>
  <c r="G2971" i="11"/>
  <c r="G2976" i="11"/>
  <c r="G2981" i="11"/>
  <c r="G2987" i="11"/>
  <c r="G2992" i="11"/>
  <c r="G2997" i="11"/>
  <c r="G3003" i="11"/>
  <c r="G3008" i="11"/>
  <c r="G3013" i="11"/>
  <c r="G3019" i="11"/>
  <c r="G3024" i="11"/>
  <c r="G3029" i="11"/>
  <c r="G3035" i="11"/>
  <c r="G3040" i="11"/>
  <c r="G3045" i="11"/>
  <c r="G3051" i="11"/>
  <c r="G3056" i="11"/>
  <c r="G3061" i="11"/>
  <c r="G3067" i="11"/>
  <c r="G3072" i="11"/>
  <c r="G3077" i="11"/>
  <c r="G3083" i="11"/>
  <c r="G3088" i="11"/>
  <c r="G3093" i="11"/>
  <c r="G3099" i="11"/>
  <c r="G3104" i="11"/>
  <c r="G3109" i="11"/>
  <c r="G3115" i="11"/>
  <c r="G3120" i="11"/>
  <c r="G3125" i="11"/>
  <c r="G3131" i="11"/>
  <c r="G3136" i="11"/>
  <c r="G3141" i="11"/>
  <c r="G3147" i="11"/>
  <c r="G3152" i="11"/>
  <c r="G3157" i="11"/>
  <c r="G3163" i="11"/>
  <c r="G3168" i="11"/>
  <c r="G3173" i="11"/>
  <c r="G3179" i="11"/>
  <c r="G3184" i="11"/>
  <c r="G3189" i="11"/>
  <c r="G3195" i="11"/>
  <c r="G3200" i="11"/>
  <c r="G3205" i="11"/>
  <c r="G3211" i="11"/>
  <c r="G3216" i="11"/>
  <c r="G3221" i="11"/>
  <c r="G3227" i="11"/>
  <c r="G3232" i="11"/>
  <c r="G3237" i="11"/>
  <c r="G3243" i="11"/>
  <c r="G3248" i="11"/>
  <c r="G3253" i="11"/>
  <c r="G3259" i="11"/>
  <c r="G3264" i="11"/>
  <c r="G3269" i="11"/>
  <c r="G3275" i="11"/>
  <c r="G3280" i="11"/>
  <c r="G3285" i="11"/>
  <c r="G3291" i="11"/>
  <c r="G3296" i="11"/>
  <c r="G3301" i="11"/>
  <c r="G3307" i="11"/>
  <c r="G3312" i="11"/>
  <c r="G3317" i="11"/>
  <c r="G3323" i="11"/>
  <c r="G3328" i="11"/>
  <c r="G3333" i="11"/>
  <c r="G3339" i="11"/>
  <c r="G3344" i="11"/>
  <c r="G3349" i="11"/>
  <c r="G3355" i="11"/>
  <c r="G3360" i="11"/>
  <c r="G3365" i="11"/>
  <c r="G3371" i="11"/>
  <c r="G3376" i="11"/>
  <c r="G3381" i="11"/>
  <c r="G3387" i="11"/>
  <c r="G3392" i="11"/>
  <c r="G3397" i="11"/>
  <c r="G3403" i="11"/>
  <c r="G3408" i="11"/>
  <c r="G3413" i="11"/>
  <c r="G3419" i="11"/>
  <c r="G3424" i="11"/>
  <c r="G3429" i="11"/>
  <c r="G3435" i="11"/>
  <c r="G3440" i="11"/>
  <c r="G3445" i="11"/>
  <c r="G3451" i="11"/>
  <c r="G3456" i="11"/>
  <c r="G3461" i="11"/>
  <c r="G3467" i="11"/>
  <c r="G3472" i="11"/>
  <c r="G3477" i="11"/>
  <c r="G3483" i="11"/>
  <c r="G3488" i="11"/>
  <c r="G3493" i="11"/>
  <c r="G3499" i="11"/>
  <c r="G3500" i="11"/>
  <c r="G3489" i="11"/>
  <c r="G3479" i="11"/>
  <c r="G3468" i="11"/>
  <c r="G3457" i="11"/>
  <c r="G3447" i="11"/>
  <c r="G3436" i="11"/>
  <c r="G3425" i="11"/>
  <c r="G3415" i="11"/>
  <c r="G3404" i="11"/>
  <c r="G3393" i="11"/>
  <c r="G3383" i="11"/>
  <c r="G3372" i="11"/>
  <c r="G3361" i="11"/>
  <c r="G3351" i="11"/>
  <c r="G3340" i="11"/>
  <c r="G3329" i="11"/>
  <c r="G3319" i="11"/>
  <c r="G3308" i="11"/>
  <c r="G3297" i="11"/>
  <c r="G3287" i="11"/>
  <c r="G3276" i="11"/>
  <c r="G3265" i="11"/>
  <c r="G3255" i="11"/>
  <c r="G3244" i="11"/>
  <c r="G3233" i="11"/>
  <c r="G3223" i="11"/>
  <c r="G3212" i="11"/>
  <c r="G3201" i="11"/>
  <c r="G3191" i="11"/>
  <c r="G3180" i="11"/>
  <c r="G3169" i="11"/>
  <c r="G3159" i="11"/>
  <c r="G3148" i="11"/>
  <c r="G3137" i="11"/>
  <c r="G3127" i="11"/>
  <c r="G3116" i="11"/>
  <c r="G3105" i="11"/>
  <c r="G3095" i="11"/>
  <c r="G3084" i="11"/>
  <c r="G3073" i="11"/>
  <c r="G3063" i="11"/>
  <c r="G3052" i="11"/>
  <c r="G3041" i="11"/>
  <c r="G3031" i="11"/>
  <c r="G3020" i="11"/>
  <c r="G3009" i="11"/>
  <c r="G2999" i="11"/>
  <c r="G2988" i="11"/>
  <c r="G2977" i="11"/>
  <c r="G2967" i="11"/>
  <c r="G2956" i="11"/>
  <c r="G2945" i="11"/>
  <c r="G2935" i="11"/>
  <c r="G2924" i="11"/>
  <c r="G2913" i="11"/>
  <c r="G2903" i="11"/>
  <c r="G2885" i="11"/>
  <c r="G2864" i="11"/>
  <c r="G2843" i="11"/>
  <c r="G2821" i="11"/>
  <c r="G2800" i="11"/>
  <c r="G2779" i="11"/>
  <c r="G2757" i="11"/>
  <c r="G2736" i="11"/>
  <c r="G2715" i="11"/>
  <c r="G2693" i="11"/>
  <c r="G2672" i="11"/>
  <c r="G2651" i="11"/>
  <c r="G2629" i="11"/>
  <c r="G2608" i="11"/>
  <c r="G2587" i="11"/>
  <c r="G2565" i="11"/>
  <c r="G2544" i="11"/>
  <c r="G2523" i="11"/>
  <c r="G2501" i="11"/>
  <c r="G2480" i="11"/>
  <c r="G2459" i="11"/>
  <c r="G2432" i="11"/>
  <c r="G2389" i="11"/>
  <c r="G2337" i="11"/>
  <c r="G2280" i="11"/>
  <c r="G2223" i="11"/>
  <c r="G2167" i="11"/>
  <c r="G2109" i="11"/>
  <c r="G2052" i="11"/>
  <c r="G1996" i="11"/>
  <c r="G1939" i="11"/>
  <c r="G1881" i="11"/>
  <c r="G1825" i="11"/>
  <c r="G1768" i="11"/>
  <c r="G1711" i="11"/>
  <c r="G1655" i="11"/>
  <c r="G1597" i="11"/>
  <c r="G1519" i="11"/>
  <c r="G1368" i="11"/>
  <c r="G1217" i="11"/>
  <c r="G1039" i="11"/>
  <c r="G835" i="11"/>
  <c r="B3474" i="11"/>
  <c r="B3416" i="11"/>
  <c r="B3362" i="11"/>
  <c r="B3303" i="11"/>
  <c r="B3246" i="11"/>
  <c r="B3191" i="11"/>
  <c r="B3132" i="11"/>
  <c r="B3075" i="11"/>
  <c r="B3020" i="11"/>
  <c r="B2963" i="11"/>
  <c r="B2908" i="11"/>
  <c r="B2851" i="11"/>
  <c r="B2792" i="11"/>
  <c r="B2738" i="11"/>
  <c r="B2680" i="11"/>
  <c r="B2622" i="11"/>
  <c r="B2567" i="11"/>
  <c r="B2510" i="11"/>
  <c r="B2451" i="11"/>
  <c r="B2396" i="11"/>
  <c r="B169" i="11"/>
  <c r="G3496" i="11"/>
  <c r="G3485" i="11"/>
  <c r="G3475" i="11"/>
  <c r="G3464" i="11"/>
  <c r="G3453" i="11"/>
  <c r="G3443" i="11"/>
  <c r="G3432" i="11"/>
  <c r="G3421" i="11"/>
  <c r="G3411" i="11"/>
  <c r="G3400" i="11"/>
  <c r="G3389" i="11"/>
  <c r="G3379" i="11"/>
  <c r="G3368" i="11"/>
  <c r="G3357" i="11"/>
  <c r="G3347" i="11"/>
  <c r="G3336" i="11"/>
  <c r="G3325" i="11"/>
  <c r="G3315" i="11"/>
  <c r="G3304" i="11"/>
  <c r="G3293" i="11"/>
  <c r="G3283" i="11"/>
  <c r="G3272" i="11"/>
  <c r="G3261" i="11"/>
  <c r="G3251" i="11"/>
  <c r="G3240" i="11"/>
  <c r="G3229" i="11"/>
  <c r="G3219" i="11"/>
  <c r="G3208" i="11"/>
  <c r="G3197" i="11"/>
  <c r="G3187" i="11"/>
  <c r="G3176" i="11"/>
  <c r="G3165" i="11"/>
  <c r="G3155" i="11"/>
  <c r="G3144" i="11"/>
  <c r="G3133" i="11"/>
  <c r="G3123" i="11"/>
  <c r="G3112" i="11"/>
  <c r="G3101" i="11"/>
  <c r="G3091" i="11"/>
  <c r="G3080" i="11"/>
  <c r="G3069" i="11"/>
  <c r="G3059" i="11"/>
  <c r="G3048" i="11"/>
  <c r="G3037" i="11"/>
  <c r="G3027" i="11"/>
  <c r="G3016" i="11"/>
  <c r="G3005" i="11"/>
  <c r="G2995" i="11"/>
  <c r="G2984" i="11"/>
  <c r="G2973" i="11"/>
  <c r="G2963" i="11"/>
  <c r="G2952" i="11"/>
  <c r="G2941" i="11"/>
  <c r="G2931" i="11"/>
  <c r="G2920" i="11"/>
  <c r="G2909" i="11"/>
  <c r="G2897" i="11"/>
  <c r="G2876" i="11"/>
  <c r="G2855" i="11"/>
  <c r="G2833" i="11"/>
  <c r="G2812" i="11"/>
  <c r="G2791" i="11"/>
  <c r="G2769" i="11"/>
  <c r="G2748" i="11"/>
  <c r="G2727" i="11"/>
  <c r="G2705" i="11"/>
  <c r="G2684" i="11"/>
  <c r="G2663" i="11"/>
  <c r="G2641" i="11"/>
  <c r="G2620" i="11"/>
  <c r="G2599" i="11"/>
  <c r="G2577" i="11"/>
  <c r="G2556" i="11"/>
  <c r="G2535" i="11"/>
  <c r="G2513" i="11"/>
  <c r="G2492" i="11"/>
  <c r="G2471" i="11"/>
  <c r="G2449" i="11"/>
  <c r="G2412" i="11"/>
  <c r="G2367" i="11"/>
  <c r="G2311" i="11"/>
  <c r="G2253" i="11"/>
  <c r="G2196" i="11"/>
  <c r="G2140" i="11"/>
  <c r="G2083" i="11"/>
  <c r="G2025" i="11"/>
  <c r="G1969" i="11"/>
  <c r="G1912" i="11"/>
  <c r="G1855" i="11"/>
  <c r="G1799" i="11"/>
  <c r="G1741" i="11"/>
  <c r="G1684" i="11"/>
  <c r="G1628" i="11"/>
  <c r="G1571" i="11"/>
  <c r="G1447" i="11"/>
  <c r="G1295" i="11"/>
  <c r="G1143" i="11"/>
  <c r="G940" i="11"/>
  <c r="G596" i="11"/>
  <c r="G1997" i="11"/>
  <c r="G1940" i="11"/>
  <c r="G1884" i="11"/>
  <c r="G1827" i="11"/>
  <c r="G1769" i="11"/>
  <c r="G1713" i="11"/>
  <c r="G1656" i="11"/>
  <c r="G1599" i="11"/>
  <c r="G1523" i="11"/>
  <c r="G1369" i="11"/>
  <c r="G1219" i="11"/>
  <c r="G1041" i="11"/>
  <c r="G840" i="11"/>
  <c r="E3494" i="11"/>
  <c r="E3484" i="11"/>
  <c r="E3474" i="11"/>
  <c r="E3466" i="11"/>
  <c r="E3456" i="11"/>
  <c r="E3446" i="11"/>
  <c r="E3437" i="11"/>
  <c r="E3426" i="11"/>
  <c r="E3418" i="11"/>
  <c r="E3409" i="11"/>
  <c r="E3398" i="11"/>
  <c r="E3389" i="11"/>
  <c r="E3381" i="11"/>
  <c r="E3370" i="11"/>
  <c r="E3361" i="11"/>
  <c r="E3352" i="11"/>
  <c r="E3341" i="11"/>
  <c r="E3333" i="11"/>
  <c r="E3324" i="11"/>
  <c r="E3313" i="11"/>
  <c r="E3304" i="11"/>
  <c r="E3296" i="11"/>
  <c r="E3285" i="11"/>
  <c r="E3276" i="11"/>
  <c r="E3266" i="11"/>
  <c r="E3256" i="11"/>
  <c r="E3248" i="11"/>
  <c r="E3238" i="11"/>
  <c r="E3228" i="11"/>
  <c r="E3218" i="11"/>
  <c r="E3210" i="11"/>
  <c r="E3200" i="11"/>
  <c r="E3190" i="11"/>
  <c r="E3181" i="11"/>
  <c r="E3170" i="11"/>
  <c r="E3162" i="11"/>
  <c r="E3153" i="11"/>
  <c r="E3142" i="11"/>
  <c r="E3133" i="11"/>
  <c r="E3125" i="11"/>
  <c r="E3114" i="11"/>
  <c r="E3105" i="11"/>
  <c r="E3096" i="11"/>
  <c r="E3085" i="11"/>
  <c r="E3077" i="11"/>
  <c r="E3068" i="11"/>
  <c r="E3057" i="11"/>
  <c r="E3048" i="11"/>
  <c r="E3040" i="11"/>
  <c r="E3029" i="11"/>
  <c r="E3020" i="11"/>
  <c r="E3010" i="11"/>
  <c r="E3000" i="11"/>
  <c r="E2992" i="11"/>
  <c r="E2982" i="11"/>
  <c r="E2972" i="11"/>
  <c r="E2962" i="11"/>
  <c r="E2954" i="11"/>
  <c r="E2944" i="11"/>
  <c r="E2934" i="11"/>
  <c r="E2925" i="11"/>
  <c r="E2914" i="11"/>
  <c r="E2906" i="11"/>
  <c r="E2897" i="11"/>
  <c r="E2886" i="11"/>
  <c r="E2877" i="11"/>
  <c r="E2869" i="11"/>
  <c r="E2858" i="11"/>
  <c r="E2849" i="11"/>
  <c r="E2840" i="11"/>
  <c r="E2829" i="11"/>
  <c r="E2821" i="11"/>
  <c r="E2812" i="11"/>
  <c r="E2801" i="11"/>
  <c r="E2792" i="11"/>
  <c r="E2784" i="11"/>
  <c r="E2769" i="11"/>
  <c r="E2757" i="11"/>
  <c r="E2744" i="11"/>
  <c r="E2730" i="11"/>
  <c r="E2720" i="11"/>
  <c r="E2706" i="11"/>
  <c r="E2693" i="11"/>
  <c r="E2680" i="11"/>
  <c r="E2669" i="11"/>
  <c r="E2656" i="11"/>
  <c r="E2642" i="11"/>
  <c r="E2630" i="11"/>
  <c r="E2616" i="11"/>
  <c r="E2605" i="11"/>
  <c r="E2593" i="11"/>
  <c r="E2578" i="11"/>
  <c r="E2566" i="11"/>
  <c r="E2556" i="11"/>
  <c r="E2541" i="11"/>
  <c r="E2529" i="11"/>
  <c r="E2517" i="11"/>
  <c r="E2502" i="11"/>
  <c r="E2492" i="11"/>
  <c r="E2480" i="11"/>
  <c r="E2465" i="11"/>
  <c r="E2453" i="11"/>
  <c r="E2442" i="11"/>
  <c r="E2428" i="11"/>
  <c r="E2416" i="11"/>
  <c r="E2402" i="11"/>
  <c r="E2389" i="11"/>
  <c r="E2378" i="11"/>
  <c r="E2365" i="11"/>
  <c r="E2352" i="11"/>
  <c r="E2338" i="11"/>
  <c r="E2321" i="11"/>
  <c r="E2301" i="11"/>
  <c r="E2280" i="11"/>
  <c r="E2257" i="11"/>
  <c r="E2230" i="11"/>
  <c r="E2204" i="11"/>
  <c r="E2176" i="11"/>
  <c r="E2145" i="11"/>
  <c r="E2109" i="11"/>
  <c r="E2076" i="11"/>
  <c r="E2044" i="11"/>
  <c r="E2010" i="11"/>
  <c r="E1974" i="11"/>
  <c r="E1944" i="11"/>
  <c r="E1909" i="11"/>
  <c r="E1873" i="11"/>
  <c r="E1841" i="11"/>
  <c r="E1805" i="11"/>
  <c r="E1773" i="11"/>
  <c r="E1740" i="11"/>
  <c r="E1706" i="11"/>
  <c r="E1670" i="11"/>
  <c r="E1640" i="11"/>
  <c r="E1605" i="11"/>
  <c r="E1569" i="11"/>
  <c r="E1538" i="11"/>
  <c r="E1504" i="11"/>
  <c r="E1469" i="11"/>
  <c r="E1436" i="11"/>
  <c r="E1404" i="11"/>
  <c r="E1368" i="11"/>
  <c r="E1336" i="11"/>
  <c r="E1301" i="11"/>
  <c r="E1265" i="11"/>
  <c r="E1234" i="11"/>
  <c r="E1200" i="11"/>
  <c r="E1165" i="11"/>
  <c r="E1133" i="11"/>
  <c r="E1100" i="11"/>
  <c r="E1064" i="11"/>
  <c r="E1034" i="11"/>
  <c r="E981" i="11"/>
  <c r="E913" i="11"/>
  <c r="E845" i="11"/>
  <c r="E780" i="11"/>
  <c r="E710" i="11"/>
  <c r="E645" i="11"/>
  <c r="E578" i="11"/>
  <c r="E508" i="11"/>
  <c r="E440" i="11"/>
  <c r="E374" i="11"/>
  <c r="E273" i="11"/>
  <c r="E143" i="11"/>
  <c r="G3495" i="11"/>
  <c r="G3484" i="11"/>
  <c r="G3473" i="11"/>
  <c r="G3463" i="11"/>
  <c r="G3452" i="11"/>
  <c r="G3441" i="11"/>
  <c r="G3431" i="11"/>
  <c r="G3420" i="11"/>
  <c r="G3409" i="11"/>
  <c r="G3399" i="11"/>
  <c r="G3388" i="11"/>
  <c r="G3377" i="11"/>
  <c r="G3367" i="11"/>
  <c r="G3356" i="11"/>
  <c r="G3345" i="11"/>
  <c r="G3335" i="11"/>
  <c r="G3324" i="11"/>
  <c r="G3313" i="11"/>
  <c r="G3303" i="11"/>
  <c r="G3292" i="11"/>
  <c r="G3281" i="11"/>
  <c r="G3271" i="11"/>
  <c r="G3260" i="11"/>
  <c r="G3249" i="11"/>
  <c r="G3239" i="11"/>
  <c r="G3228" i="11"/>
  <c r="G3217" i="11"/>
  <c r="G3207" i="11"/>
  <c r="G3196" i="11"/>
  <c r="G3185" i="11"/>
  <c r="G3175" i="11"/>
  <c r="G3164" i="11"/>
  <c r="G3153" i="11"/>
  <c r="G3143" i="11"/>
  <c r="G3132" i="11"/>
  <c r="G3121" i="11"/>
  <c r="G3111" i="11"/>
  <c r="G3100" i="11"/>
  <c r="G3089" i="11"/>
  <c r="G3079" i="11"/>
  <c r="G3068" i="11"/>
  <c r="G3057" i="11"/>
  <c r="G3047" i="11"/>
  <c r="G3036" i="11"/>
  <c r="G3025" i="11"/>
  <c r="G3015" i="11"/>
  <c r="G3004" i="11"/>
  <c r="G2993" i="11"/>
  <c r="G2983" i="11"/>
  <c r="G2972" i="11"/>
  <c r="G2961" i="11"/>
  <c r="G2951" i="11"/>
  <c r="G2940" i="11"/>
  <c r="G2929" i="11"/>
  <c r="G2919" i="11"/>
  <c r="G2908" i="11"/>
  <c r="G2896" i="11"/>
  <c r="G2875" i="11"/>
  <c r="G2853" i="11"/>
  <c r="G2832" i="11"/>
  <c r="G2811" i="11"/>
  <c r="G2789" i="11"/>
  <c r="G2768" i="11"/>
  <c r="G2747" i="11"/>
  <c r="G2725" i="11"/>
  <c r="G2704" i="11"/>
  <c r="G2683" i="11"/>
  <c r="G2661" i="11"/>
  <c r="G2640" i="11"/>
  <c r="G2619" i="11"/>
  <c r="G2597" i="11"/>
  <c r="G2576" i="11"/>
  <c r="G2555" i="11"/>
  <c r="G2533" i="11"/>
  <c r="G2512" i="11"/>
  <c r="G2491" i="11"/>
  <c r="G2469" i="11"/>
  <c r="G2448" i="11"/>
  <c r="G2411" i="11"/>
  <c r="G2365" i="11"/>
  <c r="G2308" i="11"/>
  <c r="G2252" i="11"/>
  <c r="G2195" i="11"/>
  <c r="G2137" i="11"/>
  <c r="G2081" i="11"/>
  <c r="G2024" i="11"/>
  <c r="G1967" i="11"/>
  <c r="G1911" i="11"/>
  <c r="G1853" i="11"/>
  <c r="G1796" i="11"/>
  <c r="G1740" i="11"/>
  <c r="G1683" i="11"/>
  <c r="G1625" i="11"/>
  <c r="G1569" i="11"/>
  <c r="G1444" i="11"/>
  <c r="G1292" i="11"/>
  <c r="G1139" i="11"/>
  <c r="G936" i="11"/>
  <c r="G583" i="11"/>
  <c r="F1047" i="11"/>
  <c r="F1043" i="11"/>
  <c r="F1039" i="11"/>
  <c r="F1035" i="11"/>
  <c r="F1031" i="11"/>
  <c r="F1027" i="11"/>
  <c r="F1023" i="11"/>
  <c r="F1019" i="11"/>
  <c r="F1015" i="11"/>
  <c r="F1011" i="11"/>
  <c r="F1007" i="11"/>
  <c r="F1003" i="11"/>
  <c r="F999" i="11"/>
  <c r="F995" i="11"/>
  <c r="F991" i="11"/>
  <c r="F987" i="11"/>
  <c r="F983" i="11"/>
  <c r="F979" i="11"/>
  <c r="F975" i="11"/>
  <c r="F971" i="11"/>
  <c r="F967" i="11"/>
  <c r="F963" i="11"/>
  <c r="F959" i="11"/>
  <c r="F955" i="11"/>
  <c r="F951" i="11"/>
  <c r="F947" i="11"/>
  <c r="F943" i="11"/>
  <c r="F939" i="11"/>
  <c r="F935" i="11"/>
  <c r="F931" i="11"/>
  <c r="F927" i="11"/>
  <c r="F923" i="11"/>
  <c r="F919" i="11"/>
  <c r="F915" i="11"/>
  <c r="F911" i="11"/>
  <c r="F907" i="11"/>
  <c r="F903" i="11"/>
  <c r="F899" i="11"/>
  <c r="F895" i="11"/>
  <c r="F891" i="11"/>
  <c r="F887" i="11"/>
  <c r="F883" i="11"/>
  <c r="F879" i="11"/>
  <c r="F875" i="11"/>
  <c r="F871" i="11"/>
  <c r="F867" i="11"/>
  <c r="F863" i="11"/>
  <c r="F859" i="11"/>
  <c r="F855" i="11"/>
  <c r="F851" i="11"/>
  <c r="F847" i="11"/>
  <c r="F843" i="11"/>
  <c r="F839" i="11"/>
  <c r="F835" i="11"/>
  <c r="F831" i="11"/>
  <c r="F827" i="11"/>
  <c r="F823" i="11"/>
  <c r="F819" i="11"/>
  <c r="F815" i="11"/>
  <c r="F811" i="11"/>
  <c r="F807" i="11"/>
  <c r="F803" i="11"/>
  <c r="F799" i="11"/>
  <c r="F795" i="11"/>
  <c r="F791" i="11"/>
  <c r="F787" i="11"/>
  <c r="F783" i="11"/>
  <c r="F779" i="11"/>
  <c r="F775" i="11"/>
  <c r="F771" i="11"/>
  <c r="F767" i="11"/>
  <c r="F763" i="11"/>
  <c r="F759" i="11"/>
  <c r="F755" i="11"/>
  <c r="F751" i="11"/>
  <c r="F747" i="11"/>
  <c r="F743" i="11"/>
  <c r="F739" i="11"/>
  <c r="F735" i="11"/>
  <c r="F731" i="11"/>
  <c r="F727" i="11"/>
  <c r="F723" i="11"/>
  <c r="F719" i="11"/>
  <c r="F715" i="11"/>
  <c r="F711" i="11"/>
  <c r="F707" i="11"/>
  <c r="F703" i="11"/>
  <c r="F699" i="11"/>
  <c r="F695" i="11"/>
  <c r="F691" i="11"/>
  <c r="F687" i="11"/>
  <c r="F683" i="11"/>
  <c r="F679" i="11"/>
  <c r="F675" i="11"/>
  <c r="F671" i="11"/>
  <c r="F667" i="11"/>
  <c r="F663" i="11"/>
  <c r="F658" i="11"/>
  <c r="F653" i="11"/>
  <c r="F648" i="11"/>
  <c r="F642" i="11"/>
  <c r="F637" i="11"/>
  <c r="F632" i="11"/>
  <c r="F626" i="11"/>
  <c r="F621" i="11"/>
  <c r="F616" i="11"/>
  <c r="F610" i="11"/>
  <c r="F605" i="11"/>
  <c r="F600" i="11"/>
  <c r="F594" i="11"/>
  <c r="F589" i="11"/>
  <c r="F584" i="11"/>
  <c r="F578" i="11"/>
  <c r="F573" i="11"/>
  <c r="F568" i="11"/>
  <c r="F562" i="11"/>
  <c r="F557" i="11"/>
  <c r="F552" i="11"/>
  <c r="F546" i="11"/>
  <c r="F541" i="11"/>
  <c r="F536" i="11"/>
  <c r="F529" i="11"/>
  <c r="F521" i="11"/>
  <c r="F513" i="11"/>
  <c r="F500" i="11"/>
  <c r="F484" i="11"/>
  <c r="F468" i="11"/>
  <c r="F452" i="11"/>
  <c r="F436" i="11"/>
  <c r="F420" i="11"/>
  <c r="F404" i="11"/>
  <c r="F388" i="11"/>
  <c r="F372" i="11"/>
  <c r="F356" i="11"/>
  <c r="F340" i="11"/>
  <c r="F315" i="11"/>
  <c r="F283" i="11"/>
  <c r="F251" i="11"/>
  <c r="F219" i="11"/>
  <c r="F187" i="11"/>
  <c r="F145" i="11"/>
  <c r="F81" i="11"/>
  <c r="F17" i="11"/>
  <c r="H1670" i="11"/>
  <c r="H1662" i="11"/>
  <c r="H1655" i="11"/>
  <c r="H1648" i="11"/>
  <c r="H1640" i="11"/>
  <c r="H1634" i="11"/>
  <c r="H1627" i="11"/>
  <c r="H1619" i="11"/>
  <c r="H1612" i="11"/>
  <c r="H1606" i="11"/>
  <c r="H1598" i="11"/>
  <c r="H1591" i="11"/>
  <c r="H1584" i="11"/>
  <c r="H1576" i="11"/>
  <c r="H1570" i="11"/>
  <c r="H1563" i="11"/>
  <c r="H1555" i="11"/>
  <c r="H1548" i="11"/>
  <c r="H1542" i="11"/>
  <c r="H1534" i="11"/>
  <c r="H1527" i="11"/>
  <c r="H1520" i="11"/>
  <c r="H1512" i="11"/>
  <c r="H1506" i="11"/>
  <c r="H1499" i="11"/>
  <c r="H1491" i="11"/>
  <c r="H1484" i="11"/>
  <c r="H1478" i="11"/>
  <c r="H1470" i="11"/>
  <c r="H1463" i="11"/>
  <c r="H1456" i="11"/>
  <c r="H1448" i="11"/>
  <c r="H1442" i="11"/>
  <c r="H1435" i="11"/>
  <c r="H1427" i="11"/>
  <c r="H1420" i="11"/>
  <c r="H1414" i="11"/>
  <c r="H1406" i="11"/>
  <c r="H1399" i="11"/>
  <c r="H1392" i="11"/>
  <c r="H1384" i="11"/>
  <c r="H1378" i="11"/>
  <c r="H1371" i="11"/>
  <c r="H1363" i="11"/>
  <c r="H1356" i="11"/>
  <c r="H1350" i="11"/>
  <c r="H1342" i="11"/>
  <c r="H1335" i="11"/>
  <c r="H1328" i="11"/>
  <c r="H1320" i="11"/>
  <c r="H1314" i="11"/>
  <c r="H1307" i="11"/>
  <c r="H1299" i="11"/>
  <c r="H1292" i="11"/>
  <c r="H1286" i="11"/>
  <c r="H1278" i="11"/>
  <c r="H1270" i="11"/>
  <c r="H1259" i="11"/>
  <c r="H1250" i="11"/>
  <c r="H1240" i="11"/>
  <c r="H1228" i="11"/>
  <c r="H1214" i="11"/>
  <c r="H1200" i="11"/>
  <c r="H1186" i="11"/>
  <c r="H1171" i="11"/>
  <c r="H1158" i="11"/>
  <c r="H1143" i="11"/>
  <c r="H1128" i="11"/>
  <c r="H1112" i="11"/>
  <c r="H1094" i="11"/>
  <c r="H1074" i="11"/>
  <c r="H1036" i="11"/>
  <c r="H999" i="11"/>
  <c r="H960" i="11"/>
  <c r="H923" i="11"/>
  <c r="H886" i="11"/>
  <c r="H846" i="11"/>
  <c r="H808" i="11"/>
  <c r="H758" i="11"/>
  <c r="H679" i="11"/>
  <c r="H606" i="11"/>
  <c r="H530" i="11"/>
  <c r="H441" i="11"/>
  <c r="H345" i="11"/>
  <c r="H153" i="11"/>
  <c r="H1667" i="11"/>
  <c r="H1660" i="11"/>
  <c r="H1654" i="11"/>
  <c r="H1646" i="11"/>
  <c r="H1639" i="11"/>
  <c r="H1632" i="11"/>
  <c r="H1624" i="11"/>
  <c r="H1618" i="11"/>
  <c r="H1611" i="11"/>
  <c r="H1603" i="11"/>
  <c r="H1596" i="11"/>
  <c r="H1590" i="11"/>
  <c r="H1582" i="11"/>
  <c r="H1575" i="11"/>
  <c r="H1568" i="11"/>
  <c r="H1560" i="11"/>
  <c r="H1554" i="11"/>
  <c r="H1547" i="11"/>
  <c r="H1539" i="11"/>
  <c r="H1532" i="11"/>
  <c r="H1526" i="11"/>
  <c r="H1518" i="11"/>
  <c r="H1511" i="11"/>
  <c r="H1504" i="11"/>
  <c r="H1496" i="11"/>
  <c r="H1490" i="11"/>
  <c r="H1483" i="11"/>
  <c r="H1475" i="11"/>
  <c r="H1468" i="11"/>
  <c r="H1462" i="11"/>
  <c r="H1454" i="11"/>
  <c r="H1447" i="11"/>
  <c r="H1440" i="11"/>
  <c r="H1432" i="11"/>
  <c r="H1426" i="11"/>
  <c r="H1419" i="11"/>
  <c r="H1411" i="11"/>
  <c r="H1404" i="11"/>
  <c r="H1398" i="11"/>
  <c r="H1390" i="11"/>
  <c r="H1383" i="11"/>
  <c r="H1376" i="11"/>
  <c r="H1368" i="11"/>
  <c r="H1362" i="11"/>
  <c r="H1355" i="11"/>
  <c r="H1347" i="11"/>
  <c r="H1340" i="11"/>
  <c r="H1334" i="11"/>
  <c r="H1326" i="11"/>
  <c r="H1319" i="11"/>
  <c r="H1312" i="11"/>
  <c r="H1304" i="11"/>
  <c r="H1298" i="11"/>
  <c r="H1291" i="11"/>
  <c r="H1283" i="11"/>
  <c r="H1276" i="11"/>
  <c r="H1266" i="11"/>
  <c r="H1256" i="11"/>
  <c r="H1248" i="11"/>
  <c r="H1238" i="11"/>
  <c r="H1227" i="11"/>
  <c r="H1212" i="11"/>
  <c r="H1198" i="11"/>
  <c r="H1184" i="11"/>
  <c r="H1170" i="11"/>
  <c r="H1155" i="11"/>
  <c r="H1142" i="11"/>
  <c r="H1127" i="11"/>
  <c r="H1110" i="11"/>
  <c r="H1091" i="11"/>
  <c r="H1064" i="11"/>
  <c r="H1027" i="11"/>
  <c r="H988" i="11"/>
  <c r="H951" i="11"/>
  <c r="H914" i="11"/>
  <c r="H875" i="11"/>
  <c r="H838" i="11"/>
  <c r="H800" i="11"/>
  <c r="H736" i="11"/>
  <c r="H663" i="11"/>
  <c r="H587" i="11"/>
  <c r="H508" i="11"/>
  <c r="H419" i="11"/>
  <c r="H311" i="11"/>
  <c r="H65" i="11"/>
  <c r="B3500" i="11"/>
  <c r="B3484" i="11"/>
  <c r="B3470" i="11"/>
  <c r="B3458" i="11"/>
  <c r="B3442" i="11"/>
  <c r="B3427" i="11"/>
  <c r="B3415" i="11"/>
  <c r="B3399" i="11"/>
  <c r="B3384" i="11"/>
  <c r="B3372" i="11"/>
  <c r="B3356" i="11"/>
  <c r="B3342" i="11"/>
  <c r="B3330" i="11"/>
  <c r="B3314" i="11"/>
  <c r="B3299" i="11"/>
  <c r="B3287" i="11"/>
  <c r="B3271" i="11"/>
  <c r="B3256" i="11"/>
  <c r="B3244" i="11"/>
  <c r="B3228" i="11"/>
  <c r="B3214" i="11"/>
  <c r="B3202" i="11"/>
  <c r="B3186" i="11"/>
  <c r="B3171" i="11"/>
  <c r="B3159" i="11"/>
  <c r="B3143" i="11"/>
  <c r="B3128" i="11"/>
  <c r="B3116" i="11"/>
  <c r="B3100" i="11"/>
  <c r="B3086" i="11"/>
  <c r="B3074" i="11"/>
  <c r="B3058" i="11"/>
  <c r="B3043" i="11"/>
  <c r="B3031" i="11"/>
  <c r="B3015" i="11"/>
  <c r="B3000" i="11"/>
  <c r="B2990" i="11"/>
  <c r="B2974" i="11"/>
  <c r="B2962" i="11"/>
  <c r="B2947" i="11"/>
  <c r="B2931" i="11"/>
  <c r="B2919" i="11"/>
  <c r="B2904" i="11"/>
  <c r="B2888" i="11"/>
  <c r="B2876" i="11"/>
  <c r="B2862" i="11"/>
  <c r="B2846" i="11"/>
  <c r="B2834" i="11"/>
  <c r="B2819" i="11"/>
  <c r="B2803" i="11"/>
  <c r="B2791" i="11"/>
  <c r="B2776" i="11"/>
  <c r="B2760" i="11"/>
  <c r="B2748" i="11"/>
  <c r="B2734" i="11"/>
  <c r="B2718" i="11"/>
  <c r="B2706" i="11"/>
  <c r="B2691" i="11"/>
  <c r="B2675" i="11"/>
  <c r="B2663" i="11"/>
  <c r="B2648" i="11"/>
  <c r="B2632" i="11"/>
  <c r="B2620" i="11"/>
  <c r="B2606" i="11"/>
  <c r="B2590" i="11"/>
  <c r="B2578" i="11"/>
  <c r="B2563" i="11"/>
  <c r="B2547" i="11"/>
  <c r="B2535" i="11"/>
  <c r="B2520" i="11"/>
  <c r="B2504" i="11"/>
  <c r="B2492" i="11"/>
  <c r="B2478" i="11"/>
  <c r="B2462" i="11"/>
  <c r="B2450" i="11"/>
  <c r="B2435" i="11"/>
  <c r="B2419" i="11"/>
  <c r="B2407" i="11"/>
  <c r="B2392" i="11"/>
  <c r="B2376" i="11"/>
  <c r="B2364" i="11"/>
  <c r="B2350" i="11"/>
  <c r="B2334" i="11"/>
  <c r="B2322" i="11"/>
  <c r="B2307" i="11"/>
  <c r="B2291" i="11"/>
  <c r="B2279" i="11"/>
  <c r="B2264" i="11"/>
  <c r="B2248" i="11"/>
  <c r="B2236" i="11"/>
  <c r="B2222" i="11"/>
  <c r="B2206" i="11"/>
  <c r="B2194" i="11"/>
  <c r="B2179" i="11"/>
  <c r="B2163" i="11"/>
  <c r="B2151" i="11"/>
  <c r="B2136" i="11"/>
  <c r="B2120" i="11"/>
  <c r="B2108" i="11"/>
  <c r="B2094" i="11"/>
  <c r="B2078" i="11"/>
  <c r="B2066" i="11"/>
  <c r="B2051" i="11"/>
  <c r="B2035" i="11"/>
  <c r="B2023" i="11"/>
  <c r="B2008" i="11"/>
  <c r="B1992" i="11"/>
  <c r="B1980" i="11"/>
  <c r="B1966" i="11"/>
  <c r="B1950" i="11"/>
  <c r="B1938" i="11"/>
  <c r="B1923" i="11"/>
  <c r="B1907" i="11"/>
  <c r="B1895" i="11"/>
  <c r="B1880" i="11"/>
  <c r="B1864" i="11"/>
  <c r="B1852" i="11"/>
  <c r="B1838" i="11"/>
  <c r="B1822" i="11"/>
  <c r="B1810" i="11"/>
  <c r="B1795" i="11"/>
  <c r="B1779" i="11"/>
  <c r="B1767" i="11"/>
  <c r="B1752" i="11"/>
  <c r="B1736" i="11"/>
  <c r="B1724" i="11"/>
  <c r="B1710" i="11"/>
  <c r="B1694" i="11"/>
  <c r="B1682" i="11"/>
  <c r="B1667" i="11"/>
  <c r="B1651" i="11"/>
  <c r="B1639" i="11"/>
  <c r="B1624" i="11"/>
  <c r="B1608" i="11"/>
  <c r="B1596" i="11"/>
  <c r="B1582" i="11"/>
  <c r="B1566" i="11"/>
  <c r="B1554" i="11"/>
  <c r="B1539" i="11"/>
  <c r="B1523" i="11"/>
  <c r="B1511" i="11"/>
  <c r="B1496" i="11"/>
  <c r="B1480" i="11"/>
  <c r="B1468" i="11"/>
  <c r="B1454" i="11"/>
  <c r="B1438" i="11"/>
  <c r="B1426" i="11"/>
  <c r="B1411" i="11"/>
  <c r="B1395" i="11"/>
  <c r="B1383" i="11"/>
  <c r="B1368" i="11"/>
  <c r="B1352" i="11"/>
  <c r="B1340" i="11"/>
  <c r="B1326" i="11"/>
  <c r="B1310" i="11"/>
  <c r="B1297" i="11"/>
  <c r="B1277" i="11"/>
  <c r="B1256" i="11"/>
  <c r="B1240" i="11"/>
  <c r="B1220" i="11"/>
  <c r="B1199" i="11"/>
  <c r="B1183" i="11"/>
  <c r="B1164" i="11"/>
  <c r="B1143" i="11"/>
  <c r="B1127" i="11"/>
  <c r="B1107" i="11"/>
  <c r="B1085" i="11"/>
  <c r="B1069" i="11"/>
  <c r="B1049" i="11"/>
  <c r="B1028" i="11"/>
  <c r="B1012" i="11"/>
  <c r="B993" i="11"/>
  <c r="B972" i="11"/>
  <c r="B956" i="11"/>
  <c r="B936" i="11"/>
  <c r="B915" i="11"/>
  <c r="B899" i="11"/>
  <c r="B879" i="11"/>
  <c r="B857" i="11"/>
  <c r="B841" i="11"/>
  <c r="B823" i="11"/>
  <c r="B801" i="11"/>
  <c r="B785" i="11"/>
  <c r="B765" i="11"/>
  <c r="B744" i="11"/>
  <c r="B728" i="11"/>
  <c r="B708" i="11"/>
  <c r="B687" i="11"/>
  <c r="B671" i="11"/>
  <c r="B652" i="11"/>
  <c r="B631" i="11"/>
  <c r="B615" i="11"/>
  <c r="B595" i="11"/>
  <c r="B573" i="11"/>
  <c r="B557" i="11"/>
  <c r="B537" i="11"/>
  <c r="B516" i="11"/>
  <c r="B500" i="11"/>
  <c r="B481" i="11"/>
  <c r="B460" i="11"/>
  <c r="B444" i="11"/>
  <c r="B424" i="11"/>
  <c r="B403" i="11"/>
  <c r="B387" i="11"/>
  <c r="B367" i="11"/>
  <c r="B345" i="11"/>
  <c r="B317" i="11"/>
  <c r="B281" i="11"/>
  <c r="B237" i="11"/>
  <c r="B205" i="11"/>
  <c r="B145" i="11"/>
  <c r="B61" i="11"/>
  <c r="B2354" i="11"/>
  <c r="B2339" i="11"/>
  <c r="B2323" i="11"/>
  <c r="B2311" i="11"/>
  <c r="B2296" i="11"/>
  <c r="B2280" i="11"/>
  <c r="B2268" i="11"/>
  <c r="B2254" i="11"/>
  <c r="B2238" i="11"/>
  <c r="B2226" i="11"/>
  <c r="B2211" i="11"/>
  <c r="B2195" i="11"/>
  <c r="B2183" i="11"/>
  <c r="B2168" i="11"/>
  <c r="B2152" i="11"/>
  <c r="B2140" i="11"/>
  <c r="B2126" i="11"/>
  <c r="B2110" i="11"/>
  <c r="B2098" i="11"/>
  <c r="B2083" i="11"/>
  <c r="B2067" i="11"/>
  <c r="B2055" i="11"/>
  <c r="B2040" i="11"/>
  <c r="B2024" i="11"/>
  <c r="B2012" i="11"/>
  <c r="B1998" i="11"/>
  <c r="B1982" i="11"/>
  <c r="B1970" i="11"/>
  <c r="B1955" i="11"/>
  <c r="B1939" i="11"/>
  <c r="B1927" i="11"/>
  <c r="B1912" i="11"/>
  <c r="B1896" i="11"/>
  <c r="B1884" i="11"/>
  <c r="B1870" i="11"/>
  <c r="B1854" i="11"/>
  <c r="B1842" i="11"/>
  <c r="B1827" i="11"/>
  <c r="B1811" i="11"/>
  <c r="B1799" i="11"/>
  <c r="B1784" i="11"/>
  <c r="B1768" i="11"/>
  <c r="B1756" i="11"/>
  <c r="B1742" i="11"/>
  <c r="B1726" i="11"/>
  <c r="B1714" i="11"/>
  <c r="B1699" i="11"/>
  <c r="B1683" i="11"/>
  <c r="B1671" i="11"/>
  <c r="B1656" i="11"/>
  <c r="B1640" i="11"/>
  <c r="B1628" i="11"/>
  <c r="B1614" i="11"/>
  <c r="B1598" i="11"/>
  <c r="B1586" i="11"/>
  <c r="B1571" i="11"/>
  <c r="B1555" i="11"/>
  <c r="B1543" i="11"/>
  <c r="B1528" i="11"/>
  <c r="B1512" i="11"/>
  <c r="B1500" i="11"/>
  <c r="B1486" i="11"/>
  <c r="B1470" i="11"/>
  <c r="B1458" i="11"/>
  <c r="B1443" i="11"/>
  <c r="B1427" i="11"/>
  <c r="B1415" i="11"/>
  <c r="B1400" i="11"/>
  <c r="B1384" i="11"/>
  <c r="B1372" i="11"/>
  <c r="B1358" i="11"/>
  <c r="B1342" i="11"/>
  <c r="B1330" i="11"/>
  <c r="B1315" i="11"/>
  <c r="B1299" i="11"/>
  <c r="B1283" i="11"/>
  <c r="B1263" i="11"/>
  <c r="B1241" i="11"/>
  <c r="B1225" i="11"/>
  <c r="B1207" i="11"/>
  <c r="B1185" i="11"/>
  <c r="B1169" i="11"/>
  <c r="B1149" i="11"/>
  <c r="B1128" i="11"/>
  <c r="B1112" i="11"/>
  <c r="B1092" i="11"/>
  <c r="B1071" i="11"/>
  <c r="B1055" i="11"/>
  <c r="B1036" i="11"/>
  <c r="B1015" i="11"/>
  <c r="B999" i="11"/>
  <c r="B979" i="11"/>
  <c r="B957" i="11"/>
  <c r="B941" i="11"/>
  <c r="B921" i="11"/>
  <c r="B900" i="11"/>
  <c r="B884" i="11"/>
  <c r="B865" i="11"/>
  <c r="B844" i="11"/>
  <c r="B828" i="11"/>
  <c r="B808" i="11"/>
  <c r="B787" i="11"/>
  <c r="B771" i="11"/>
  <c r="B751" i="11"/>
  <c r="B729" i="11"/>
  <c r="B713" i="11"/>
  <c r="B695" i="11"/>
  <c r="B673" i="11"/>
  <c r="B657" i="11"/>
  <c r="B637" i="11"/>
  <c r="B616" i="11"/>
  <c r="B600" i="11"/>
  <c r="B580" i="11"/>
  <c r="B559" i="11"/>
  <c r="B543" i="11"/>
  <c r="B524" i="11"/>
  <c r="B503" i="11"/>
  <c r="B487" i="11"/>
  <c r="B467" i="11"/>
  <c r="B445" i="11"/>
  <c r="B429" i="11"/>
  <c r="B409" i="11"/>
  <c r="B388" i="11"/>
  <c r="B372" i="11"/>
  <c r="B353" i="11"/>
  <c r="B323" i="11"/>
  <c r="B291" i="11"/>
  <c r="B251" i="11"/>
  <c r="B89" i="11"/>
  <c r="B3495" i="11"/>
  <c r="B3480" i="11"/>
  <c r="B3468" i="11"/>
  <c r="B3452" i="11"/>
  <c r="B3438" i="11"/>
  <c r="B3426" i="11"/>
  <c r="B3410" i="11"/>
  <c r="B3395" i="11"/>
  <c r="B3383" i="11"/>
  <c r="B3367" i="11"/>
  <c r="B3352" i="11"/>
  <c r="B3340" i="11"/>
  <c r="B3324" i="11"/>
  <c r="B3310" i="11"/>
  <c r="B3298" i="11"/>
  <c r="B3282" i="11"/>
  <c r="B3267" i="11"/>
  <c r="B3255" i="11"/>
  <c r="B3239" i="11"/>
  <c r="B3224" i="11"/>
  <c r="B3212" i="11"/>
  <c r="B3196" i="11"/>
  <c r="B3182" i="11"/>
  <c r="B3170" i="11"/>
  <c r="B3154" i="11"/>
  <c r="B3139" i="11"/>
  <c r="B3127" i="11"/>
  <c r="B3111" i="11"/>
  <c r="B3096" i="11"/>
  <c r="B3084" i="11"/>
  <c r="B3068" i="11"/>
  <c r="B3054" i="11"/>
  <c r="B3042" i="11"/>
  <c r="B3026" i="11"/>
  <c r="B3011" i="11"/>
  <c r="B2999" i="11"/>
  <c r="B2984" i="11"/>
  <c r="B2972" i="11"/>
  <c r="B2958" i="11"/>
  <c r="B2942" i="11"/>
  <c r="B2930" i="11"/>
  <c r="B2915" i="11"/>
  <c r="B2899" i="11"/>
  <c r="B2887" i="11"/>
  <c r="B2872" i="11"/>
  <c r="B2856" i="11"/>
  <c r="B2844" i="11"/>
  <c r="B2830" i="11"/>
  <c r="B2814" i="11"/>
  <c r="B2802" i="11"/>
  <c r="B2787" i="11"/>
  <c r="B2771" i="11"/>
  <c r="B2759" i="11"/>
  <c r="B2744" i="11"/>
  <c r="B2728" i="11"/>
  <c r="B2716" i="11"/>
  <c r="B2702" i="11"/>
  <c r="B2686" i="11"/>
  <c r="B2674" i="11"/>
  <c r="B2659" i="11"/>
  <c r="B2643" i="11"/>
  <c r="B2631" i="11"/>
  <c r="B2616" i="11"/>
  <c r="B2600" i="11"/>
  <c r="B2588" i="11"/>
  <c r="B2574" i="11"/>
  <c r="B2558" i="11"/>
  <c r="B2546" i="11"/>
  <c r="B2531" i="11"/>
  <c r="B2515" i="11"/>
  <c r="B2503" i="11"/>
  <c r="B2488" i="11"/>
  <c r="B2472" i="11"/>
  <c r="B2460" i="11"/>
  <c r="B2446" i="11"/>
  <c r="B2430" i="11"/>
  <c r="B2418" i="11"/>
  <c r="B2403" i="11"/>
  <c r="B2387" i="11"/>
  <c r="B2375" i="11"/>
  <c r="B2360" i="11"/>
  <c r="B2344" i="11"/>
  <c r="B2332" i="11"/>
  <c r="B2318" i="11"/>
  <c r="B2302" i="11"/>
  <c r="B2290" i="11"/>
  <c r="B2275" i="11"/>
  <c r="B2259" i="11"/>
  <c r="B2247" i="11"/>
  <c r="B2232" i="11"/>
  <c r="B2216" i="11"/>
  <c r="B2204" i="11"/>
  <c r="B2190" i="11"/>
  <c r="B2174" i="11"/>
  <c r="B2162" i="11"/>
  <c r="B2147" i="11"/>
  <c r="B2131" i="11"/>
  <c r="B2119" i="11"/>
  <c r="B2104" i="11"/>
  <c r="B2088" i="11"/>
  <c r="B2076" i="11"/>
  <c r="B2062" i="11"/>
  <c r="B2046" i="11"/>
  <c r="B2034" i="11"/>
  <c r="B2019" i="11"/>
  <c r="B2003" i="11"/>
  <c r="B1991" i="11"/>
  <c r="B1976" i="11"/>
  <c r="B1960" i="11"/>
  <c r="B1948" i="11"/>
  <c r="B1934" i="11"/>
  <c r="B1918" i="11"/>
  <c r="B1906" i="11"/>
  <c r="B1891" i="11"/>
  <c r="B1875" i="11"/>
  <c r="B1863" i="11"/>
  <c r="B1848" i="11"/>
  <c r="B1832" i="11"/>
  <c r="B1820" i="11"/>
  <c r="B1806" i="11"/>
  <c r="B1790" i="11"/>
  <c r="B1778" i="11"/>
  <c r="B1763" i="11"/>
  <c r="B1747" i="11"/>
  <c r="B1735" i="11"/>
  <c r="B1720" i="11"/>
  <c r="B1704" i="11"/>
  <c r="B1692" i="11"/>
  <c r="B1678" i="11"/>
  <c r="B1662" i="11"/>
  <c r="B1650" i="11"/>
  <c r="B1635" i="11"/>
  <c r="B1619" i="11"/>
  <c r="B1607" i="11"/>
  <c r="B1592" i="11"/>
  <c r="B1576" i="11"/>
  <c r="B1564" i="11"/>
  <c r="B1550" i="11"/>
  <c r="B1534" i="11"/>
  <c r="B1522" i="11"/>
  <c r="B1507" i="11"/>
  <c r="B1491" i="11"/>
  <c r="B1479" i="11"/>
  <c r="B1464" i="11"/>
  <c r="B1448" i="11"/>
  <c r="B1436" i="11"/>
  <c r="B1422" i="11"/>
  <c r="B1406" i="11"/>
  <c r="B1394" i="11"/>
  <c r="B1379" i="11"/>
  <c r="B1363" i="11"/>
  <c r="B1351" i="11"/>
  <c r="B1336" i="11"/>
  <c r="B1320" i="11"/>
  <c r="B1308" i="11"/>
  <c r="B1292" i="11"/>
  <c r="B1271" i="11"/>
  <c r="B1255" i="11"/>
  <c r="B1235" i="11"/>
  <c r="B1213" i="11"/>
  <c r="B1197" i="11"/>
  <c r="B1177" i="11"/>
  <c r="B1156" i="11"/>
  <c r="B1140" i="11"/>
  <c r="B1121" i="11"/>
  <c r="B1100" i="11"/>
  <c r="B1084" i="11"/>
  <c r="B1064" i="11"/>
  <c r="B1043" i="11"/>
  <c r="B1027" i="11"/>
  <c r="B1007" i="11"/>
  <c r="B985" i="11"/>
  <c r="B969" i="11"/>
  <c r="B951" i="11"/>
  <c r="B929" i="11"/>
  <c r="B913" i="11"/>
  <c r="B893" i="11"/>
  <c r="B872" i="11"/>
  <c r="B856" i="11"/>
  <c r="B836" i="11"/>
  <c r="B815" i="11"/>
  <c r="B799" i="11"/>
  <c r="B780" i="11"/>
  <c r="B759" i="11"/>
  <c r="B743" i="11"/>
  <c r="B723" i="11"/>
  <c r="B701" i="11"/>
  <c r="B685" i="11"/>
  <c r="B665" i="11"/>
  <c r="B644" i="11"/>
  <c r="B628" i="11"/>
  <c r="B609" i="11"/>
  <c r="B588" i="11"/>
  <c r="B572" i="11"/>
  <c r="B552" i="11"/>
  <c r="B531" i="11"/>
  <c r="B515" i="11"/>
  <c r="B495" i="11"/>
  <c r="B473" i="11"/>
  <c r="B457" i="11"/>
  <c r="B439" i="11"/>
  <c r="B417" i="11"/>
  <c r="B401" i="11"/>
  <c r="B381" i="11"/>
  <c r="B360" i="11"/>
  <c r="B344" i="11"/>
  <c r="B307" i="11"/>
  <c r="B265" i="11"/>
  <c r="B233" i="11"/>
  <c r="B195" i="11"/>
  <c r="B121" i="11"/>
  <c r="B57" i="11"/>
  <c r="B3491" i="11"/>
  <c r="B3479" i="11"/>
  <c r="B3463" i="11"/>
  <c r="B3448" i="11"/>
  <c r="B3436" i="11"/>
  <c r="B3420" i="11"/>
  <c r="B3406" i="11"/>
  <c r="B3394" i="11"/>
  <c r="B3378" i="11"/>
  <c r="B3363" i="11"/>
  <c r="B3351" i="11"/>
  <c r="B3335" i="11"/>
  <c r="B3320" i="11"/>
  <c r="B3308" i="11"/>
  <c r="B3292" i="11"/>
  <c r="B3278" i="11"/>
  <c r="B3266" i="11"/>
  <c r="B3250" i="11"/>
  <c r="B3235" i="11"/>
  <c r="B3223" i="11"/>
  <c r="B3207" i="11"/>
  <c r="B3192" i="11"/>
  <c r="B3180" i="11"/>
  <c r="B3164" i="11"/>
  <c r="B3150" i="11"/>
  <c r="B3138" i="11"/>
  <c r="B3122" i="11"/>
  <c r="B3107" i="11"/>
  <c r="B3095" i="11"/>
  <c r="B3079" i="11"/>
  <c r="B3064" i="11"/>
  <c r="B3052" i="11"/>
  <c r="B3036" i="11"/>
  <c r="B3022" i="11"/>
  <c r="B3010" i="11"/>
  <c r="B2995" i="11"/>
  <c r="B2983" i="11"/>
  <c r="B2968" i="11"/>
  <c r="B2952" i="11"/>
  <c r="B2940" i="11"/>
  <c r="B2926" i="11"/>
  <c r="B2910" i="11"/>
  <c r="B2898" i="11"/>
  <c r="B2883" i="11"/>
  <c r="B2867" i="11"/>
  <c r="B2855" i="11"/>
  <c r="B2840" i="11"/>
  <c r="B2824" i="11"/>
  <c r="B2812" i="11"/>
  <c r="B2798" i="11"/>
  <c r="B2782" i="11"/>
  <c r="B2770" i="11"/>
  <c r="B2755" i="11"/>
  <c r="B2739" i="11"/>
  <c r="B2727" i="11"/>
  <c r="B2712" i="11"/>
  <c r="B2696" i="11"/>
  <c r="B2684" i="11"/>
  <c r="B2670" i="11"/>
  <c r="B2654" i="11"/>
  <c r="B2642" i="11"/>
  <c r="B2627" i="11"/>
  <c r="B2611" i="11"/>
  <c r="B2599" i="11"/>
  <c r="B2584" i="11"/>
  <c r="B2568" i="11"/>
  <c r="B2556" i="11"/>
  <c r="B2542" i="11"/>
  <c r="B2526" i="11"/>
  <c r="B2514" i="11"/>
  <c r="B2499" i="11"/>
  <c r="B2483" i="11"/>
  <c r="B2471" i="11"/>
  <c r="B2456" i="11"/>
  <c r="B2440" i="11"/>
  <c r="B2428" i="11"/>
  <c r="B2414" i="11"/>
  <c r="B2398" i="11"/>
  <c r="B2386" i="11"/>
  <c r="B2371" i="11"/>
  <c r="B2355" i="11"/>
  <c r="B2343" i="11"/>
  <c r="B2328" i="11"/>
  <c r="B2312" i="11"/>
  <c r="B2300" i="11"/>
  <c r="B2286" i="11"/>
  <c r="B2270" i="11"/>
  <c r="B2258" i="11"/>
  <c r="B2243" i="11"/>
  <c r="B2227" i="11"/>
  <c r="B2215" i="11"/>
  <c r="B2200" i="11"/>
  <c r="B2184" i="11"/>
  <c r="B2172" i="11"/>
  <c r="B2158" i="11"/>
  <c r="B2142" i="11"/>
  <c r="B2130" i="11"/>
  <c r="B2115" i="11"/>
  <c r="B2099" i="11"/>
  <c r="B2087" i="11"/>
  <c r="B2072" i="11"/>
  <c r="B2056" i="11"/>
  <c r="B2044" i="11"/>
  <c r="B2030" i="11"/>
  <c r="B2014" i="11"/>
  <c r="B2002" i="11"/>
  <c r="B1987" i="11"/>
  <c r="B1971" i="11"/>
  <c r="B1959" i="11"/>
  <c r="B1944" i="11"/>
  <c r="B1928" i="11"/>
  <c r="B1916" i="11"/>
  <c r="B1902" i="11"/>
  <c r="B1886" i="11"/>
  <c r="B1874" i="11"/>
  <c r="B1859" i="11"/>
  <c r="B1843" i="11"/>
  <c r="B1831" i="11"/>
  <c r="B1816" i="11"/>
  <c r="B1800" i="11"/>
  <c r="B1788" i="11"/>
  <c r="B1774" i="11"/>
  <c r="B1758" i="11"/>
  <c r="B1746" i="11"/>
  <c r="B1731" i="11"/>
  <c r="B1715" i="11"/>
  <c r="B1703" i="11"/>
  <c r="B1688" i="11"/>
  <c r="B1672" i="11"/>
  <c r="B1660" i="11"/>
  <c r="B1646" i="11"/>
  <c r="B1630" i="11"/>
  <c r="B1618" i="11"/>
  <c r="B1603" i="11"/>
  <c r="B1587" i="11"/>
  <c r="B1575" i="11"/>
  <c r="B1560" i="11"/>
  <c r="B1544" i="11"/>
  <c r="B1532" i="11"/>
  <c r="B1518" i="11"/>
  <c r="B1502" i="11"/>
  <c r="B1490" i="11"/>
  <c r="B1475" i="11"/>
  <c r="B1459" i="11"/>
  <c r="B1447" i="11"/>
  <c r="B1432" i="11"/>
  <c r="B1416" i="11"/>
  <c r="B1404" i="11"/>
  <c r="B1390" i="11"/>
  <c r="B1374" i="11"/>
  <c r="B1362" i="11"/>
  <c r="B1347" i="11"/>
  <c r="B1331" i="11"/>
  <c r="B1319" i="11"/>
  <c r="B1304" i="11"/>
  <c r="B1284" i="11"/>
  <c r="B1268" i="11"/>
  <c r="B1249" i="11"/>
  <c r="B1228" i="11"/>
  <c r="B1212" i="11"/>
  <c r="B1192" i="11"/>
  <c r="B1171" i="11"/>
  <c r="B1155" i="11"/>
  <c r="B1135" i="11"/>
  <c r="B1113" i="11"/>
  <c r="B1097" i="11"/>
  <c r="B1079" i="11"/>
  <c r="B1057" i="11"/>
  <c r="B1041" i="11"/>
  <c r="B1021" i="11"/>
  <c r="B1000" i="11"/>
  <c r="B984" i="11"/>
  <c r="B964" i="11"/>
  <c r="B943" i="11"/>
  <c r="B927" i="11"/>
  <c r="B908" i="11"/>
  <c r="B887" i="11"/>
  <c r="B871" i="11"/>
  <c r="B851" i="11"/>
  <c r="B829" i="11"/>
  <c r="B813" i="11"/>
  <c r="B793" i="11"/>
  <c r="B772" i="11"/>
  <c r="B756" i="11"/>
  <c r="B737" i="11"/>
  <c r="B716" i="11"/>
  <c r="B700" i="11"/>
  <c r="B680" i="11"/>
  <c r="B659" i="11"/>
  <c r="B643" i="11"/>
  <c r="B623" i="11"/>
  <c r="B601" i="11"/>
  <c r="B585" i="11"/>
  <c r="B567" i="11"/>
  <c r="B545" i="11"/>
  <c r="B529" i="11"/>
  <c r="B509" i="11"/>
  <c r="B488" i="11"/>
  <c r="B472" i="11"/>
  <c r="B452" i="11"/>
  <c r="B431" i="11"/>
  <c r="B415" i="11"/>
  <c r="B396" i="11"/>
  <c r="B375" i="11"/>
  <c r="B359" i="11"/>
  <c r="B337" i="11"/>
  <c r="B293" i="11"/>
  <c r="B261" i="11"/>
  <c r="B221" i="11"/>
  <c r="B173" i="11"/>
  <c r="B109" i="11"/>
  <c r="B33" i="11"/>
  <c r="C3240" i="11"/>
  <c r="C3229" i="11"/>
  <c r="C3218" i="11"/>
  <c r="C3208" i="11"/>
  <c r="C3197" i="11"/>
  <c r="C3186" i="11"/>
  <c r="C3176" i="11"/>
  <c r="C3165" i="11"/>
  <c r="C3154" i="11"/>
  <c r="C3144" i="11"/>
  <c r="C3133" i="11"/>
  <c r="C3122" i="11"/>
  <c r="C3112" i="11"/>
  <c r="C3101" i="11"/>
  <c r="C3090" i="11"/>
  <c r="C3080" i="11"/>
  <c r="C3069" i="11"/>
  <c r="C3058" i="11"/>
  <c r="C3048" i="11"/>
  <c r="C3037" i="11"/>
  <c r="C3026" i="11"/>
  <c r="C3016" i="11"/>
  <c r="C3005" i="11"/>
  <c r="C2994" i="11"/>
  <c r="C2984" i="11"/>
  <c r="C2973" i="11"/>
  <c r="C2962" i="11"/>
  <c r="C2952" i="11"/>
  <c r="C2941" i="11"/>
  <c r="C2930" i="11"/>
  <c r="C2920" i="11"/>
  <c r="C2909" i="11"/>
  <c r="C2898" i="11"/>
  <c r="C2888" i="11"/>
  <c r="C2877" i="11"/>
  <c r="C2866" i="11"/>
  <c r="C2856" i="11"/>
  <c r="C2845" i="11"/>
  <c r="C2834" i="11"/>
  <c r="C2824" i="11"/>
  <c r="C2813" i="11"/>
  <c r="C2802" i="11"/>
  <c r="C2792" i="11"/>
  <c r="C2781" i="11"/>
  <c r="C2770" i="11"/>
  <c r="C2760" i="11"/>
  <c r="C2749" i="11"/>
  <c r="C2738" i="11"/>
  <c r="C2728" i="11"/>
  <c r="C2717" i="11"/>
  <c r="C2706" i="11"/>
  <c r="C2696" i="11"/>
  <c r="C2685" i="11"/>
  <c r="C2674" i="11"/>
  <c r="C2664" i="11"/>
  <c r="C2653" i="11"/>
  <c r="C2642" i="11"/>
  <c r="C2632" i="11"/>
  <c r="C2621" i="11"/>
  <c r="C2610" i="11"/>
  <c r="C2594" i="11"/>
  <c r="C2582" i="11"/>
  <c r="C2568" i="11"/>
  <c r="C2552" i="11"/>
  <c r="C2540" i="11"/>
  <c r="C2525" i="11"/>
  <c r="C2509" i="11"/>
  <c r="C2497" i="11"/>
  <c r="C2482" i="11"/>
  <c r="C2466" i="11"/>
  <c r="C2454" i="11"/>
  <c r="C2440" i="11"/>
  <c r="C2424" i="11"/>
  <c r="C2412" i="11"/>
  <c r="C2397" i="11"/>
  <c r="C2380" i="11"/>
  <c r="C2358" i="11"/>
  <c r="C2337" i="11"/>
  <c r="C2316" i="11"/>
  <c r="C2294" i="11"/>
  <c r="C2273" i="11"/>
  <c r="C2252" i="11"/>
  <c r="C2230" i="11"/>
  <c r="C2209" i="11"/>
  <c r="C2188" i="11"/>
  <c r="C2166" i="11"/>
  <c r="C2145" i="11"/>
  <c r="C2124" i="11"/>
  <c r="C2102" i="11"/>
  <c r="C2081" i="11"/>
  <c r="C2060" i="11"/>
  <c r="C2038" i="11"/>
  <c r="C2017" i="11"/>
  <c r="C1996" i="11"/>
  <c r="C1974" i="11"/>
  <c r="C1953" i="11"/>
  <c r="C1932" i="11"/>
  <c r="C1910" i="11"/>
  <c r="C1889" i="11"/>
  <c r="C1868" i="11"/>
  <c r="C1846" i="11"/>
  <c r="C1825" i="11"/>
  <c r="C1804" i="11"/>
  <c r="C1782" i="11"/>
  <c r="C1761" i="11"/>
  <c r="C1740" i="11"/>
  <c r="C1718" i="11"/>
  <c r="C1697" i="11"/>
  <c r="C1676" i="11"/>
  <c r="C1654" i="11"/>
  <c r="C1633" i="11"/>
  <c r="C1612" i="11"/>
  <c r="C1590" i="11"/>
  <c r="C1569" i="11"/>
  <c r="C1548" i="11"/>
  <c r="C1526" i="11"/>
  <c r="C1505" i="11"/>
  <c r="C1484" i="11"/>
  <c r="C1462" i="11"/>
  <c r="C1441" i="11"/>
  <c r="C1420" i="11"/>
  <c r="C1398" i="11"/>
  <c r="C1377" i="11"/>
  <c r="C1356" i="11"/>
  <c r="C1334" i="11"/>
  <c r="C1313" i="11"/>
  <c r="C1292" i="11"/>
  <c r="C1270" i="11"/>
  <c r="C1249" i="11"/>
  <c r="C1228" i="11"/>
  <c r="C1206" i="11"/>
  <c r="C1185" i="11"/>
  <c r="C1164" i="11"/>
  <c r="C1142" i="11"/>
  <c r="C1121" i="11"/>
  <c r="C1100" i="11"/>
  <c r="C1078" i="11"/>
  <c r="C1057" i="11"/>
  <c r="C1036" i="11"/>
  <c r="C1014" i="11"/>
  <c r="C993" i="11"/>
  <c r="C972" i="11"/>
  <c r="C950" i="11"/>
  <c r="C929" i="11"/>
  <c r="C908" i="11"/>
  <c r="C886" i="11"/>
  <c r="C865" i="11"/>
  <c r="C844" i="11"/>
  <c r="C822" i="11"/>
  <c r="C801" i="11"/>
  <c r="C780" i="11"/>
  <c r="C758" i="11"/>
  <c r="C737" i="11"/>
  <c r="C716" i="11"/>
  <c r="C694" i="11"/>
  <c r="C673" i="11"/>
  <c r="C652" i="11"/>
  <c r="C630" i="11"/>
  <c r="C609" i="11"/>
  <c r="C588" i="11"/>
  <c r="C552" i="11"/>
  <c r="C509" i="11"/>
  <c r="C466" i="11"/>
  <c r="C424" i="11"/>
  <c r="C381" i="11"/>
  <c r="C301" i="11"/>
  <c r="C29" i="11"/>
  <c r="C113" i="11"/>
  <c r="C187" i="11"/>
  <c r="C229" i="11"/>
  <c r="C271" i="11"/>
  <c r="C315" i="11"/>
  <c r="C349" i="11"/>
  <c r="C364" i="11"/>
  <c r="C374" i="11"/>
  <c r="C385" i="11"/>
  <c r="C396" i="11"/>
  <c r="C406" i="11"/>
  <c r="C417" i="11"/>
  <c r="C428" i="11"/>
  <c r="C438" i="11"/>
  <c r="C449" i="11"/>
  <c r="C460" i="11"/>
  <c r="C470" i="11"/>
  <c r="C481" i="11"/>
  <c r="C492" i="11"/>
  <c r="C502" i="11"/>
  <c r="C513" i="11"/>
  <c r="C524" i="11"/>
  <c r="C534" i="11"/>
  <c r="C545" i="11"/>
  <c r="C556" i="11"/>
  <c r="C566" i="11"/>
  <c r="C577" i="11"/>
  <c r="C45" i="11"/>
  <c r="C129" i="11"/>
  <c r="C195" i="11"/>
  <c r="C237" i="11"/>
  <c r="C279" i="11"/>
  <c r="C323" i="11"/>
  <c r="C353" i="11"/>
  <c r="C365" i="11"/>
  <c r="C376" i="11"/>
  <c r="C386" i="11"/>
  <c r="C397" i="11"/>
  <c r="C408" i="11"/>
  <c r="C418" i="11"/>
  <c r="C429" i="11"/>
  <c r="C440" i="11"/>
  <c r="C450" i="11"/>
  <c r="C461" i="11"/>
  <c r="C472" i="11"/>
  <c r="C482" i="11"/>
  <c r="C493" i="11"/>
  <c r="C504" i="11"/>
  <c r="C514" i="11"/>
  <c r="C525" i="11"/>
  <c r="C536" i="11"/>
  <c r="C546" i="11"/>
  <c r="C557" i="11"/>
  <c r="C568" i="11"/>
  <c r="C578" i="11"/>
  <c r="C589" i="11"/>
  <c r="C600" i="11"/>
  <c r="C610" i="11"/>
  <c r="C621" i="11"/>
  <c r="C632" i="11"/>
  <c r="C642" i="11"/>
  <c r="C653" i="11"/>
  <c r="C664" i="11"/>
  <c r="C674" i="11"/>
  <c r="C685" i="11"/>
  <c r="C696" i="11"/>
  <c r="C706" i="11"/>
  <c r="C717" i="11"/>
  <c r="C728" i="11"/>
  <c r="C738" i="11"/>
  <c r="C749" i="11"/>
  <c r="C760" i="11"/>
  <c r="C770" i="11"/>
  <c r="C781" i="11"/>
  <c r="C792" i="11"/>
  <c r="C802" i="11"/>
  <c r="C813" i="11"/>
  <c r="C824" i="11"/>
  <c r="C834" i="11"/>
  <c r="C845" i="11"/>
  <c r="C856" i="11"/>
  <c r="C866" i="11"/>
  <c r="C877" i="11"/>
  <c r="C888" i="11"/>
  <c r="C898" i="11"/>
  <c r="C909" i="11"/>
  <c r="C920" i="11"/>
  <c r="C930" i="11"/>
  <c r="C941" i="11"/>
  <c r="C952" i="11"/>
  <c r="C962" i="11"/>
  <c r="C973" i="11"/>
  <c r="C984" i="11"/>
  <c r="C994" i="11"/>
  <c r="C1005" i="11"/>
  <c r="C1016" i="11"/>
  <c r="C1026" i="11"/>
  <c r="C1037" i="11"/>
  <c r="C1048" i="11"/>
  <c r="C1058" i="11"/>
  <c r="C1069" i="11"/>
  <c r="C1080" i="11"/>
  <c r="C1090" i="11"/>
  <c r="C1101" i="11"/>
  <c r="C1112" i="11"/>
  <c r="C1122" i="11"/>
  <c r="C1133" i="11"/>
  <c r="C1144" i="11"/>
  <c r="C1154" i="11"/>
  <c r="C1165" i="11"/>
  <c r="C1176" i="11"/>
  <c r="C1186" i="11"/>
  <c r="C1197" i="11"/>
  <c r="C1208" i="11"/>
  <c r="C1218" i="11"/>
  <c r="C1229" i="11"/>
  <c r="C1240" i="11"/>
  <c r="C1250" i="11"/>
  <c r="C1261" i="11"/>
  <c r="C1272" i="11"/>
  <c r="C1282" i="11"/>
  <c r="C1293" i="11"/>
  <c r="C1304" i="11"/>
  <c r="C1314" i="11"/>
  <c r="C1325" i="11"/>
  <c r="C1336" i="11"/>
  <c r="C1346" i="11"/>
  <c r="C1357" i="11"/>
  <c r="C1368" i="11"/>
  <c r="C1378" i="11"/>
  <c r="C1389" i="11"/>
  <c r="C1400" i="11"/>
  <c r="C1410" i="11"/>
  <c r="C1421" i="11"/>
  <c r="C1432" i="11"/>
  <c r="C1442" i="11"/>
  <c r="C1453" i="11"/>
  <c r="C1464" i="11"/>
  <c r="C1474" i="11"/>
  <c r="C1485" i="11"/>
  <c r="C1496" i="11"/>
  <c r="C1506" i="11"/>
  <c r="C1517" i="11"/>
  <c r="C1528" i="11"/>
  <c r="C1538" i="11"/>
  <c r="C1549" i="11"/>
  <c r="C1560" i="11"/>
  <c r="C1570" i="11"/>
  <c r="C1581" i="11"/>
  <c r="C1592" i="11"/>
  <c r="C1602" i="11"/>
  <c r="C1613" i="11"/>
  <c r="C1624" i="11"/>
  <c r="C1634" i="11"/>
  <c r="C1645" i="11"/>
  <c r="C1656" i="11"/>
  <c r="C1666" i="11"/>
  <c r="C1677" i="11"/>
  <c r="C1688" i="11"/>
  <c r="C1698" i="11"/>
  <c r="C1709" i="11"/>
  <c r="C1720" i="11"/>
  <c r="C1730" i="11"/>
  <c r="C1741" i="11"/>
  <c r="C1752" i="11"/>
  <c r="C1762" i="11"/>
  <c r="C1773" i="11"/>
  <c r="C1784" i="11"/>
  <c r="C1794" i="11"/>
  <c r="C1805" i="11"/>
  <c r="C1816" i="11"/>
  <c r="C1826" i="11"/>
  <c r="C1837" i="11"/>
  <c r="C1848" i="11"/>
  <c r="C1858" i="11"/>
  <c r="C1869" i="11"/>
  <c r="C1880" i="11"/>
  <c r="C1890" i="11"/>
  <c r="C1901" i="11"/>
  <c r="C1912" i="11"/>
  <c r="C1922" i="11"/>
  <c r="C1933" i="11"/>
  <c r="C1944" i="11"/>
  <c r="C1954" i="11"/>
  <c r="C1965" i="11"/>
  <c r="C1976" i="11"/>
  <c r="C1986" i="11"/>
  <c r="C1997" i="11"/>
  <c r="C2008" i="11"/>
  <c r="C2018" i="11"/>
  <c r="C2029" i="11"/>
  <c r="C2040" i="11"/>
  <c r="C2050" i="11"/>
  <c r="C2061" i="11"/>
  <c r="C2072" i="11"/>
  <c r="C2082" i="11"/>
  <c r="C2093" i="11"/>
  <c r="C2104" i="11"/>
  <c r="C2114" i="11"/>
  <c r="C2125" i="11"/>
  <c r="C2136" i="11"/>
  <c r="C2146" i="11"/>
  <c r="C2157" i="11"/>
  <c r="C2168" i="11"/>
  <c r="C2178" i="11"/>
  <c r="C2189" i="11"/>
  <c r="C2200" i="11"/>
  <c r="C2210" i="11"/>
  <c r="C2221" i="11"/>
  <c r="C2232" i="11"/>
  <c r="C2242" i="11"/>
  <c r="C2253" i="11"/>
  <c r="C2264" i="11"/>
  <c r="C2274" i="11"/>
  <c r="C2285" i="11"/>
  <c r="C2296" i="11"/>
  <c r="C2306" i="11"/>
  <c r="C2317" i="11"/>
  <c r="C2328" i="11"/>
  <c r="C2338" i="11"/>
  <c r="C2349" i="11"/>
  <c r="C2360" i="11"/>
  <c r="C2370" i="11"/>
  <c r="C2381" i="11"/>
  <c r="C73" i="11"/>
  <c r="C157" i="11"/>
  <c r="C207" i="11"/>
  <c r="C251" i="11"/>
  <c r="C293" i="11"/>
  <c r="C335" i="11"/>
  <c r="C358" i="11"/>
  <c r="C369" i="11"/>
  <c r="C380" i="11"/>
  <c r="C390" i="11"/>
  <c r="C401" i="11"/>
  <c r="C412" i="11"/>
  <c r="C422" i="11"/>
  <c r="C433" i="11"/>
  <c r="C444" i="11"/>
  <c r="C454" i="11"/>
  <c r="C465" i="11"/>
  <c r="C476" i="11"/>
  <c r="C486" i="11"/>
  <c r="C497" i="11"/>
  <c r="C508" i="11"/>
  <c r="C518" i="11"/>
  <c r="C529" i="11"/>
  <c r="C540" i="11"/>
  <c r="C550" i="11"/>
  <c r="C561" i="11"/>
  <c r="C572" i="11"/>
  <c r="C582" i="11"/>
  <c r="C593" i="11"/>
  <c r="C604" i="11"/>
  <c r="C614" i="11"/>
  <c r="C625" i="11"/>
  <c r="C636" i="11"/>
  <c r="C646" i="11"/>
  <c r="C657" i="11"/>
  <c r="C668" i="11"/>
  <c r="C678" i="11"/>
  <c r="C689" i="11"/>
  <c r="C700" i="11"/>
  <c r="C710" i="11"/>
  <c r="C721" i="11"/>
  <c r="C732" i="11"/>
  <c r="C742" i="11"/>
  <c r="C753" i="11"/>
  <c r="C764" i="11"/>
  <c r="C774" i="11"/>
  <c r="C785" i="11"/>
  <c r="C796" i="11"/>
  <c r="C806" i="11"/>
  <c r="C817" i="11"/>
  <c r="C828" i="11"/>
  <c r="C838" i="11"/>
  <c r="C849" i="11"/>
  <c r="C860" i="11"/>
  <c r="C870" i="11"/>
  <c r="C881" i="11"/>
  <c r="C892" i="11"/>
  <c r="C902" i="11"/>
  <c r="C913" i="11"/>
  <c r="C924" i="11"/>
  <c r="C934" i="11"/>
  <c r="C945" i="11"/>
  <c r="C956" i="11"/>
  <c r="C966" i="11"/>
  <c r="C977" i="11"/>
  <c r="C988" i="11"/>
  <c r="C998" i="11"/>
  <c r="C1009" i="11"/>
  <c r="C1020" i="11"/>
  <c r="C1030" i="11"/>
  <c r="C1041" i="11"/>
  <c r="C1052" i="11"/>
  <c r="C1062" i="11"/>
  <c r="C1073" i="11"/>
  <c r="C1084" i="11"/>
  <c r="C1094" i="11"/>
  <c r="C1105" i="11"/>
  <c r="C1116" i="11"/>
  <c r="C1126" i="11"/>
  <c r="C1137" i="11"/>
  <c r="C1148" i="11"/>
  <c r="C1158" i="11"/>
  <c r="C1169" i="11"/>
  <c r="C1180" i="11"/>
  <c r="C1190" i="11"/>
  <c r="C1201" i="11"/>
  <c r="C1212" i="11"/>
  <c r="C1222" i="11"/>
  <c r="C1233" i="11"/>
  <c r="C1244" i="11"/>
  <c r="C1254" i="11"/>
  <c r="C1265" i="11"/>
  <c r="C1276" i="11"/>
  <c r="C1286" i="11"/>
  <c r="C1297" i="11"/>
  <c r="C1308" i="11"/>
  <c r="C1318" i="11"/>
  <c r="C1329" i="11"/>
  <c r="C1340" i="11"/>
  <c r="C1350" i="11"/>
  <c r="C1361" i="11"/>
  <c r="C1372" i="11"/>
  <c r="C1382" i="11"/>
  <c r="C1393" i="11"/>
  <c r="C1404" i="11"/>
  <c r="C1414" i="11"/>
  <c r="C1425" i="11"/>
  <c r="C1436" i="11"/>
  <c r="C1446" i="11"/>
  <c r="C1457" i="11"/>
  <c r="C1468" i="11"/>
  <c r="C1478" i="11"/>
  <c r="C1489" i="11"/>
  <c r="C1500" i="11"/>
  <c r="C1510" i="11"/>
  <c r="C1521" i="11"/>
  <c r="C1532" i="11"/>
  <c r="C1542" i="11"/>
  <c r="C1553" i="11"/>
  <c r="C1564" i="11"/>
  <c r="C1574" i="11"/>
  <c r="C1585" i="11"/>
  <c r="C1596" i="11"/>
  <c r="C1606" i="11"/>
  <c r="C1617" i="11"/>
  <c r="C1628" i="11"/>
  <c r="C1638" i="11"/>
  <c r="C1649" i="11"/>
  <c r="C1660" i="11"/>
  <c r="C1670" i="11"/>
  <c r="C1681" i="11"/>
  <c r="C1692" i="11"/>
  <c r="C1702" i="11"/>
  <c r="C1713" i="11"/>
  <c r="C1724" i="11"/>
  <c r="C1734" i="11"/>
  <c r="C1745" i="11"/>
  <c r="C1756" i="11"/>
  <c r="C1766" i="11"/>
  <c r="C1777" i="11"/>
  <c r="C1788" i="11"/>
  <c r="C1798" i="11"/>
  <c r="C1809" i="11"/>
  <c r="C1820" i="11"/>
  <c r="C1830" i="11"/>
  <c r="C1841" i="11"/>
  <c r="C1852" i="11"/>
  <c r="C1862" i="11"/>
  <c r="C1873" i="11"/>
  <c r="C1884" i="11"/>
  <c r="C1894" i="11"/>
  <c r="C1905" i="11"/>
  <c r="C1916" i="11"/>
  <c r="C1926" i="11"/>
  <c r="C1937" i="11"/>
  <c r="C1948" i="11"/>
  <c r="C1958" i="11"/>
  <c r="C1969" i="11"/>
  <c r="C1980" i="11"/>
  <c r="C1990" i="11"/>
  <c r="C2001" i="11"/>
  <c r="C2012" i="11"/>
  <c r="C2022" i="11"/>
  <c r="C2033" i="11"/>
  <c r="C2044" i="11"/>
  <c r="C2054" i="11"/>
  <c r="C2065" i="11"/>
  <c r="C2076" i="11"/>
  <c r="C2086" i="11"/>
  <c r="C2097" i="11"/>
  <c r="C2108" i="11"/>
  <c r="C2118" i="11"/>
  <c r="C2129" i="11"/>
  <c r="C2140" i="11"/>
  <c r="C2150" i="11"/>
  <c r="C2161" i="11"/>
  <c r="C2172" i="11"/>
  <c r="C2182" i="11"/>
  <c r="C2193" i="11"/>
  <c r="C2204" i="11"/>
  <c r="C2214" i="11"/>
  <c r="C2225" i="11"/>
  <c r="C2236" i="11"/>
  <c r="C2246" i="11"/>
  <c r="C2257" i="11"/>
  <c r="C2268" i="11"/>
  <c r="C2278" i="11"/>
  <c r="C2289" i="11"/>
  <c r="C2300" i="11"/>
  <c r="C2310" i="11"/>
  <c r="C2321" i="11"/>
  <c r="C2332" i="11"/>
  <c r="C2342" i="11"/>
  <c r="C2353" i="11"/>
  <c r="C2364" i="11"/>
  <c r="C2374" i="11"/>
  <c r="C2385" i="11"/>
  <c r="C2396" i="11"/>
  <c r="C2406" i="11"/>
  <c r="C2417" i="11"/>
  <c r="C2428" i="11"/>
  <c r="C2438" i="11"/>
  <c r="C2449" i="11"/>
  <c r="C2460" i="11"/>
  <c r="C2470" i="11"/>
  <c r="C2481" i="11"/>
  <c r="C2492" i="11"/>
  <c r="C2502" i="11"/>
  <c r="C2513" i="11"/>
  <c r="C2524" i="11"/>
  <c r="C2534" i="11"/>
  <c r="C2545" i="11"/>
  <c r="C2556" i="11"/>
  <c r="C2566" i="11"/>
  <c r="C2577" i="11"/>
  <c r="C2588" i="11"/>
  <c r="C2598" i="11"/>
  <c r="C2609" i="11"/>
  <c r="C3234" i="11"/>
  <c r="C3224" i="11"/>
  <c r="C3213" i="11"/>
  <c r="C3202" i="11"/>
  <c r="C3192" i="11"/>
  <c r="C3181" i="11"/>
  <c r="C3170" i="11"/>
  <c r="C3160" i="11"/>
  <c r="C3149" i="11"/>
  <c r="C3138" i="11"/>
  <c r="C3128" i="11"/>
  <c r="C3117" i="11"/>
  <c r="C3106" i="11"/>
  <c r="C3096" i="11"/>
  <c r="C3085" i="11"/>
  <c r="C3074" i="11"/>
  <c r="C3064" i="11"/>
  <c r="C3053" i="11"/>
  <c r="C3042" i="11"/>
  <c r="C3032" i="11"/>
  <c r="C3021" i="11"/>
  <c r="C3010" i="11"/>
  <c r="C3000" i="11"/>
  <c r="C2989" i="11"/>
  <c r="C2978" i="11"/>
  <c r="C2968" i="11"/>
  <c r="C2957" i="11"/>
  <c r="C2946" i="11"/>
  <c r="C2936" i="11"/>
  <c r="C2925" i="11"/>
  <c r="C2914" i="11"/>
  <c r="C2904" i="11"/>
  <c r="C2893" i="11"/>
  <c r="C2882" i="11"/>
  <c r="C2872" i="11"/>
  <c r="C2861" i="11"/>
  <c r="C2850" i="11"/>
  <c r="C2840" i="11"/>
  <c r="C2829" i="11"/>
  <c r="C2818" i="11"/>
  <c r="C2808" i="11"/>
  <c r="C2797" i="11"/>
  <c r="C2786" i="11"/>
  <c r="C2776" i="11"/>
  <c r="C2765" i="11"/>
  <c r="C2754" i="11"/>
  <c r="C2744" i="11"/>
  <c r="C2733" i="11"/>
  <c r="C2722" i="11"/>
  <c r="C2712" i="11"/>
  <c r="C2701" i="11"/>
  <c r="C2690" i="11"/>
  <c r="C2680" i="11"/>
  <c r="C2669" i="11"/>
  <c r="C2658" i="11"/>
  <c r="C2648" i="11"/>
  <c r="C2637" i="11"/>
  <c r="C2626" i="11"/>
  <c r="C2616" i="11"/>
  <c r="C2604" i="11"/>
  <c r="C2589" i="11"/>
  <c r="C2573" i="11"/>
  <c r="C2561" i="11"/>
  <c r="C2546" i="11"/>
  <c r="C2530" i="11"/>
  <c r="C2518" i="11"/>
  <c r="C2504" i="11"/>
  <c r="C2488" i="11"/>
  <c r="C2476" i="11"/>
  <c r="C2461" i="11"/>
  <c r="C2445" i="11"/>
  <c r="C2433" i="11"/>
  <c r="C2418" i="11"/>
  <c r="C2402" i="11"/>
  <c r="C2390" i="11"/>
  <c r="C2369" i="11"/>
  <c r="C2348" i="11"/>
  <c r="C2326" i="11"/>
  <c r="C2305" i="11"/>
  <c r="C2284" i="11"/>
  <c r="C2262" i="11"/>
  <c r="C2241" i="11"/>
  <c r="C2220" i="11"/>
  <c r="C2198" i="11"/>
  <c r="C2177" i="11"/>
  <c r="C2156" i="11"/>
  <c r="C2134" i="11"/>
  <c r="C2113" i="11"/>
  <c r="C2092" i="11"/>
  <c r="C2070" i="11"/>
  <c r="C2049" i="11"/>
  <c r="C2028" i="11"/>
  <c r="C2006" i="11"/>
  <c r="C1985" i="11"/>
  <c r="C1964" i="11"/>
  <c r="C1942" i="11"/>
  <c r="C1921" i="11"/>
  <c r="C1900" i="11"/>
  <c r="C1878" i="11"/>
  <c r="C1857" i="11"/>
  <c r="C1836" i="11"/>
  <c r="C1814" i="11"/>
  <c r="C1793" i="11"/>
  <c r="C1772" i="11"/>
  <c r="C1750" i="11"/>
  <c r="C1729" i="11"/>
  <c r="C1708" i="11"/>
  <c r="C1686" i="11"/>
  <c r="C1665" i="11"/>
  <c r="C1644" i="11"/>
  <c r="C1622" i="11"/>
  <c r="C1601" i="11"/>
  <c r="C1580" i="11"/>
  <c r="C1558" i="11"/>
  <c r="C1537" i="11"/>
  <c r="C1516" i="11"/>
  <c r="C1494" i="11"/>
  <c r="C1473" i="11"/>
  <c r="C1452" i="11"/>
  <c r="C1430" i="11"/>
  <c r="C1409" i="11"/>
  <c r="C1388" i="11"/>
  <c r="C1366" i="11"/>
  <c r="C1345" i="11"/>
  <c r="C1324" i="11"/>
  <c r="C1302" i="11"/>
  <c r="C1281" i="11"/>
  <c r="C1260" i="11"/>
  <c r="C1238" i="11"/>
  <c r="C1217" i="11"/>
  <c r="C1196" i="11"/>
  <c r="C1174" i="11"/>
  <c r="C1153" i="11"/>
  <c r="C1132" i="11"/>
  <c r="C1110" i="11"/>
  <c r="C1089" i="11"/>
  <c r="C1068" i="11"/>
  <c r="C1046" i="11"/>
  <c r="C1025" i="11"/>
  <c r="C1004" i="11"/>
  <c r="C982" i="11"/>
  <c r="C961" i="11"/>
  <c r="C940" i="11"/>
  <c r="C918" i="11"/>
  <c r="C897" i="11"/>
  <c r="C876" i="11"/>
  <c r="C854" i="11"/>
  <c r="C833" i="11"/>
  <c r="C812" i="11"/>
  <c r="C790" i="11"/>
  <c r="C769" i="11"/>
  <c r="C748" i="11"/>
  <c r="C726" i="11"/>
  <c r="C705" i="11"/>
  <c r="C684" i="11"/>
  <c r="C662" i="11"/>
  <c r="C641" i="11"/>
  <c r="C620" i="11"/>
  <c r="C598" i="11"/>
  <c r="C573" i="11"/>
  <c r="C530" i="11"/>
  <c r="C488" i="11"/>
  <c r="C445" i="11"/>
  <c r="C402" i="11"/>
  <c r="C360" i="11"/>
  <c r="C215" i="11"/>
  <c r="C3276" i="11"/>
  <c r="C3265" i="11"/>
  <c r="C3254" i="11"/>
  <c r="C3244" i="11"/>
  <c r="C3233" i="11"/>
  <c r="C3222" i="11"/>
  <c r="C3212" i="11"/>
  <c r="C3201" i="11"/>
  <c r="C3190" i="11"/>
  <c r="C3180" i="11"/>
  <c r="C3169" i="11"/>
  <c r="C3158" i="11"/>
  <c r="C3148" i="11"/>
  <c r="C3137" i="11"/>
  <c r="C3126" i="11"/>
  <c r="C3116" i="11"/>
  <c r="C3105" i="11"/>
  <c r="C3094" i="11"/>
  <c r="C3084" i="11"/>
  <c r="C3073" i="11"/>
  <c r="C3062" i="11"/>
  <c r="C3052" i="11"/>
  <c r="C3041" i="11"/>
  <c r="C3030" i="11"/>
  <c r="C3020" i="11"/>
  <c r="C3009" i="11"/>
  <c r="C2998" i="11"/>
  <c r="C2988" i="11"/>
  <c r="C2977" i="11"/>
  <c r="C2966" i="11"/>
  <c r="C2956" i="11"/>
  <c r="C2945" i="11"/>
  <c r="C2934" i="11"/>
  <c r="C2924" i="11"/>
  <c r="C2913" i="11"/>
  <c r="C2902" i="11"/>
  <c r="C2892" i="11"/>
  <c r="C2881" i="11"/>
  <c r="C2870" i="11"/>
  <c r="C2860" i="11"/>
  <c r="C2849" i="11"/>
  <c r="C2838" i="11"/>
  <c r="C2828" i="11"/>
  <c r="C2817" i="11"/>
  <c r="C2806" i="11"/>
  <c r="C2796" i="11"/>
  <c r="C2785" i="11"/>
  <c r="C2774" i="11"/>
  <c r="C2764" i="11"/>
  <c r="C2753" i="11"/>
  <c r="C2742" i="11"/>
  <c r="C2732" i="11"/>
  <c r="C2721" i="11"/>
  <c r="C2710" i="11"/>
  <c r="C2700" i="11"/>
  <c r="C2689" i="11"/>
  <c r="C2678" i="11"/>
  <c r="C2668" i="11"/>
  <c r="C2657" i="11"/>
  <c r="C2646" i="11"/>
  <c r="C2636" i="11"/>
  <c r="C2625" i="11"/>
  <c r="C2614" i="11"/>
  <c r="C2600" i="11"/>
  <c r="C2584" i="11"/>
  <c r="C2572" i="11"/>
  <c r="C2557" i="11"/>
  <c r="C2541" i="11"/>
  <c r="C2529" i="11"/>
  <c r="C2514" i="11"/>
  <c r="C2498" i="11"/>
  <c r="C2486" i="11"/>
  <c r="C2472" i="11"/>
  <c r="C2456" i="11"/>
  <c r="C2444" i="11"/>
  <c r="C2429" i="11"/>
  <c r="C2413" i="11"/>
  <c r="C2401" i="11"/>
  <c r="C2386" i="11"/>
  <c r="C2365" i="11"/>
  <c r="C2344" i="11"/>
  <c r="C2322" i="11"/>
  <c r="C2301" i="11"/>
  <c r="C2280" i="11"/>
  <c r="C2258" i="11"/>
  <c r="C2237" i="11"/>
  <c r="C2216" i="11"/>
  <c r="C2194" i="11"/>
  <c r="C2173" i="11"/>
  <c r="C2152" i="11"/>
  <c r="C2130" i="11"/>
  <c r="C2109" i="11"/>
  <c r="C2088" i="11"/>
  <c r="C2066" i="11"/>
  <c r="C2045" i="11"/>
  <c r="C2024" i="11"/>
  <c r="C2002" i="11"/>
  <c r="C1981" i="11"/>
  <c r="C1960" i="11"/>
  <c r="C1938" i="11"/>
  <c r="C1917" i="11"/>
  <c r="C1896" i="11"/>
  <c r="C1874" i="11"/>
  <c r="C1853" i="11"/>
  <c r="C1832" i="11"/>
  <c r="C1810" i="11"/>
  <c r="C1789" i="11"/>
  <c r="C1768" i="11"/>
  <c r="C1746" i="11"/>
  <c r="C1725" i="11"/>
  <c r="C1704" i="11"/>
  <c r="C1682" i="11"/>
  <c r="C1661" i="11"/>
  <c r="C1640" i="11"/>
  <c r="C1618" i="11"/>
  <c r="C1597" i="11"/>
  <c r="C1576" i="11"/>
  <c r="C1554" i="11"/>
  <c r="C1533" i="11"/>
  <c r="C1512" i="11"/>
  <c r="C1490" i="11"/>
  <c r="C1469" i="11"/>
  <c r="C1448" i="11"/>
  <c r="C1426" i="11"/>
  <c r="C1405" i="11"/>
  <c r="C1384" i="11"/>
  <c r="C1362" i="11"/>
  <c r="C1341" i="11"/>
  <c r="C1320" i="11"/>
  <c r="C1298" i="11"/>
  <c r="C1277" i="11"/>
  <c r="C1256" i="11"/>
  <c r="C1234" i="11"/>
  <c r="C1213" i="11"/>
  <c r="C1192" i="11"/>
  <c r="C1170" i="11"/>
  <c r="C1149" i="11"/>
  <c r="C1128" i="11"/>
  <c r="C1106" i="11"/>
  <c r="C1085" i="11"/>
  <c r="C1064" i="11"/>
  <c r="C1042" i="11"/>
  <c r="C1021" i="11"/>
  <c r="C1000" i="11"/>
  <c r="C978" i="11"/>
  <c r="C957" i="11"/>
  <c r="C936" i="11"/>
  <c r="C914" i="11"/>
  <c r="C893" i="11"/>
  <c r="C872" i="11"/>
  <c r="C850" i="11"/>
  <c r="C829" i="11"/>
  <c r="C808" i="11"/>
  <c r="C786" i="11"/>
  <c r="C765" i="11"/>
  <c r="C744" i="11"/>
  <c r="C722" i="11"/>
  <c r="C701" i="11"/>
  <c r="C680" i="11"/>
  <c r="C658" i="11"/>
  <c r="C637" i="11"/>
  <c r="C616" i="11"/>
  <c r="C594" i="11"/>
  <c r="C562" i="11"/>
  <c r="C520" i="11"/>
  <c r="C477" i="11"/>
  <c r="C434" i="11"/>
  <c r="C392" i="11"/>
  <c r="C342" i="11"/>
  <c r="C173" i="11"/>
  <c r="D3501" i="11"/>
  <c r="D3481" i="11"/>
  <c r="D3465" i="11"/>
  <c r="D3444" i="11"/>
  <c r="D3424" i="11"/>
  <c r="D3408" i="11"/>
  <c r="D3386" i="11"/>
  <c r="D3368" i="11"/>
  <c r="D3352" i="11"/>
  <c r="D3330" i="11"/>
  <c r="D3310" i="11"/>
  <c r="D3294" i="11"/>
  <c r="D3273" i="11"/>
  <c r="D3253" i="11"/>
  <c r="D3237" i="11"/>
  <c r="D3216" i="11"/>
  <c r="D3197" i="11"/>
  <c r="D3181" i="11"/>
  <c r="D3160" i="11"/>
  <c r="D3140" i="11"/>
  <c r="D3124" i="11"/>
  <c r="D3102" i="11"/>
  <c r="D3082" i="11"/>
  <c r="D3066" i="11"/>
  <c r="D3045" i="11"/>
  <c r="D3026" i="11"/>
  <c r="D3010" i="11"/>
  <c r="D2989" i="11"/>
  <c r="D2969" i="11"/>
  <c r="D2953" i="11"/>
  <c r="D2932" i="11"/>
  <c r="D2912" i="11"/>
  <c r="D2896" i="11"/>
  <c r="D2874" i="11"/>
  <c r="D2856" i="11"/>
  <c r="D2840" i="11"/>
  <c r="D2818" i="11"/>
  <c r="D2798" i="11"/>
  <c r="D2782" i="11"/>
  <c r="D2761" i="11"/>
  <c r="D2741" i="11"/>
  <c r="D2725" i="11"/>
  <c r="D2704" i="11"/>
  <c r="D2685" i="11"/>
  <c r="D2669" i="11"/>
  <c r="D2648" i="11"/>
  <c r="D2628" i="11"/>
  <c r="D2612" i="11"/>
  <c r="D2590" i="11"/>
  <c r="D2570" i="11"/>
  <c r="D2554" i="11"/>
  <c r="D2533" i="11"/>
  <c r="D2514" i="11"/>
  <c r="D2498" i="11"/>
  <c r="D2477" i="11"/>
  <c r="D2457" i="11"/>
  <c r="D2441" i="11"/>
  <c r="D2420" i="11"/>
  <c r="D2400" i="11"/>
  <c r="D2384" i="11"/>
  <c r="D2362" i="11"/>
  <c r="D2344" i="11"/>
  <c r="D2328" i="11"/>
  <c r="D2306" i="11"/>
  <c r="D2286" i="11"/>
  <c r="D2270" i="11"/>
  <c r="D2249" i="11"/>
  <c r="D2229" i="11"/>
  <c r="D2213" i="11"/>
  <c r="D2192" i="11"/>
  <c r="D2173" i="11"/>
  <c r="D2157" i="11"/>
  <c r="D2136" i="11"/>
  <c r="D2116" i="11"/>
  <c r="D2100" i="11"/>
  <c r="D2078" i="11"/>
  <c r="D2058" i="11"/>
  <c r="D2042" i="11"/>
  <c r="D2014" i="11"/>
  <c r="D1988" i="11"/>
  <c r="D1966" i="11"/>
  <c r="D1938" i="11"/>
  <c r="D1913" i="11"/>
  <c r="D1892" i="11"/>
  <c r="D1864" i="11"/>
  <c r="D1837" i="11"/>
  <c r="D1816" i="11"/>
  <c r="D1786" i="11"/>
  <c r="D1760" i="11"/>
  <c r="D1738" i="11"/>
  <c r="D1710" i="11"/>
  <c r="D1685" i="11"/>
  <c r="D1653" i="11"/>
  <c r="D1610" i="11"/>
  <c r="D1573" i="11"/>
  <c r="D1540" i="11"/>
  <c r="D1497" i="11"/>
  <c r="D1460" i="11"/>
  <c r="D1426" i="11"/>
  <c r="D1384" i="11"/>
  <c r="D1346" i="11"/>
  <c r="D1312" i="11"/>
  <c r="D1269" i="11"/>
  <c r="D1232" i="11"/>
  <c r="D1198" i="11"/>
  <c r="D1156" i="11"/>
  <c r="D1118" i="11"/>
  <c r="D1085" i="11"/>
  <c r="D1042" i="11"/>
  <c r="D1005" i="11"/>
  <c r="D970" i="11"/>
  <c r="D928" i="11"/>
  <c r="D890" i="11"/>
  <c r="D857" i="11"/>
  <c r="D805" i="11"/>
  <c r="D756" i="11"/>
  <c r="D712" i="11"/>
  <c r="D654" i="11"/>
  <c r="D591" i="11"/>
  <c r="D531" i="11"/>
  <c r="D432" i="11"/>
  <c r="D328" i="11"/>
  <c r="D153" i="11"/>
  <c r="D3496" i="11"/>
  <c r="D3480" i="11"/>
  <c r="D3458" i="11"/>
  <c r="D3438" i="11"/>
  <c r="D3422" i="11"/>
  <c r="D3401" i="11"/>
  <c r="D3381" i="11"/>
  <c r="D3365" i="11"/>
  <c r="D3344" i="11"/>
  <c r="D3325" i="11"/>
  <c r="D3309" i="11"/>
  <c r="D3288" i="11"/>
  <c r="D3268" i="11"/>
  <c r="D3252" i="11"/>
  <c r="D3230" i="11"/>
  <c r="D3210" i="11"/>
  <c r="D3194" i="11"/>
  <c r="D3173" i="11"/>
  <c r="D3154" i="11"/>
  <c r="D3138" i="11"/>
  <c r="D3117" i="11"/>
  <c r="D3097" i="11"/>
  <c r="D3081" i="11"/>
  <c r="D3060" i="11"/>
  <c r="D3040" i="11"/>
  <c r="D3024" i="11"/>
  <c r="D3002" i="11"/>
  <c r="D2984" i="11"/>
  <c r="D2968" i="11"/>
  <c r="D2946" i="11"/>
  <c r="D2926" i="11"/>
  <c r="D2910" i="11"/>
  <c r="D2889" i="11"/>
  <c r="D2869" i="11"/>
  <c r="D2853" i="11"/>
  <c r="D2832" i="11"/>
  <c r="D2813" i="11"/>
  <c r="D2797" i="11"/>
  <c r="D2776" i="11"/>
  <c r="D2756" i="11"/>
  <c r="D2740" i="11"/>
  <c r="D2718" i="11"/>
  <c r="D2698" i="11"/>
  <c r="D2682" i="11"/>
  <c r="D2661" i="11"/>
  <c r="D2642" i="11"/>
  <c r="D2626" i="11"/>
  <c r="D2605" i="11"/>
  <c r="D2585" i="11"/>
  <c r="D2569" i="11"/>
  <c r="D2548" i="11"/>
  <c r="D2528" i="11"/>
  <c r="D2512" i="11"/>
  <c r="D2490" i="11"/>
  <c r="D2472" i="11"/>
  <c r="D2456" i="11"/>
  <c r="D2434" i="11"/>
  <c r="D2414" i="11"/>
  <c r="D2398" i="11"/>
  <c r="D2377" i="11"/>
  <c r="D2357" i="11"/>
  <c r="D2341" i="11"/>
  <c r="D2320" i="11"/>
  <c r="D2301" i="11"/>
  <c r="D2285" i="11"/>
  <c r="D2264" i="11"/>
  <c r="D2244" i="11"/>
  <c r="D2228" i="11"/>
  <c r="D2206" i="11"/>
  <c r="D2186" i="11"/>
  <c r="D2170" i="11"/>
  <c r="D2149" i="11"/>
  <c r="D2130" i="11"/>
  <c r="D2114" i="11"/>
  <c r="D2093" i="11"/>
  <c r="D2073" i="11"/>
  <c r="D2057" i="11"/>
  <c r="D2034" i="11"/>
  <c r="D2008" i="11"/>
  <c r="D1986" i="11"/>
  <c r="D1957" i="11"/>
  <c r="D1930" i="11"/>
  <c r="D1909" i="11"/>
  <c r="D1881" i="11"/>
  <c r="D1856" i="11"/>
  <c r="D1834" i="11"/>
  <c r="D1806" i="11"/>
  <c r="D1780" i="11"/>
  <c r="D1758" i="11"/>
  <c r="D1730" i="11"/>
  <c r="D1704" i="11"/>
  <c r="D1682" i="11"/>
  <c r="D1640" i="11"/>
  <c r="D1602" i="11"/>
  <c r="D1568" i="11"/>
  <c r="D1525" i="11"/>
  <c r="D1488" i="11"/>
  <c r="D1454" i="11"/>
  <c r="D1412" i="11"/>
  <c r="D1374" i="11"/>
  <c r="D1341" i="11"/>
  <c r="D1298" i="11"/>
  <c r="D1261" i="11"/>
  <c r="D1226" i="11"/>
  <c r="D1184" i="11"/>
  <c r="D1146" i="11"/>
  <c r="D1113" i="11"/>
  <c r="D1070" i="11"/>
  <c r="D1033" i="11"/>
  <c r="D1000" i="11"/>
  <c r="D957" i="11"/>
  <c r="D920" i="11"/>
  <c r="D885" i="11"/>
  <c r="D842" i="11"/>
  <c r="D794" i="11"/>
  <c r="D749" i="11"/>
  <c r="D692" i="11"/>
  <c r="D640" i="11"/>
  <c r="D580" i="11"/>
  <c r="D506" i="11"/>
  <c r="D404" i="11"/>
  <c r="D305" i="11"/>
  <c r="D79" i="11"/>
  <c r="D3493" i="11"/>
  <c r="D3472" i="11"/>
  <c r="D3453" i="11"/>
  <c r="D3437" i="11"/>
  <c r="D3416" i="11"/>
  <c r="D3396" i="11"/>
  <c r="D3380" i="11"/>
  <c r="D3358" i="11"/>
  <c r="D3338" i="11"/>
  <c r="D3322" i="11"/>
  <c r="D3301" i="11"/>
  <c r="D3282" i="11"/>
  <c r="D3266" i="11"/>
  <c r="D3245" i="11"/>
  <c r="D3225" i="11"/>
  <c r="D3209" i="11"/>
  <c r="D3188" i="11"/>
  <c r="D3168" i="11"/>
  <c r="D3152" i="11"/>
  <c r="D3130" i="11"/>
  <c r="D3112" i="11"/>
  <c r="D3096" i="11"/>
  <c r="D3074" i="11"/>
  <c r="D3054" i="11"/>
  <c r="D3038" i="11"/>
  <c r="D3017" i="11"/>
  <c r="D2997" i="11"/>
  <c r="D2981" i="11"/>
  <c r="D2960" i="11"/>
  <c r="D2941" i="11"/>
  <c r="D2925" i="11"/>
  <c r="D2904" i="11"/>
  <c r="D2884" i="11"/>
  <c r="D2868" i="11"/>
  <c r="D2846" i="11"/>
  <c r="D2826" i="11"/>
  <c r="D2810" i="11"/>
  <c r="D2789" i="11"/>
  <c r="D2770" i="11"/>
  <c r="D2754" i="11"/>
  <c r="D2733" i="11"/>
  <c r="D2713" i="11"/>
  <c r="D2697" i="11"/>
  <c r="D2676" i="11"/>
  <c r="D2656" i="11"/>
  <c r="D2640" i="11"/>
  <c r="D2618" i="11"/>
  <c r="D2600" i="11"/>
  <c r="D2584" i="11"/>
  <c r="D2562" i="11"/>
  <c r="D2542" i="11"/>
  <c r="D2526" i="11"/>
  <c r="D2505" i="11"/>
  <c r="D2485" i="11"/>
  <c r="D2469" i="11"/>
  <c r="D2448" i="11"/>
  <c r="D2429" i="11"/>
  <c r="D2413" i="11"/>
  <c r="D2392" i="11"/>
  <c r="D2372" i="11"/>
  <c r="D2356" i="11"/>
  <c r="D2334" i="11"/>
  <c r="D2314" i="11"/>
  <c r="D2298" i="11"/>
  <c r="D2277" i="11"/>
  <c r="D2258" i="11"/>
  <c r="D2242" i="11"/>
  <c r="D2221" i="11"/>
  <c r="D2201" i="11"/>
  <c r="D2185" i="11"/>
  <c r="D2164" i="11"/>
  <c r="D2144" i="11"/>
  <c r="D2128" i="11"/>
  <c r="D2106" i="11"/>
  <c r="D2088" i="11"/>
  <c r="D2072" i="11"/>
  <c r="D2050" i="11"/>
  <c r="D2026" i="11"/>
  <c r="D2005" i="11"/>
  <c r="D1977" i="11"/>
  <c r="D1950" i="11"/>
  <c r="D1929" i="11"/>
  <c r="D1901" i="11"/>
  <c r="D1874" i="11"/>
  <c r="D1853" i="11"/>
  <c r="D1824" i="11"/>
  <c r="D1800" i="11"/>
  <c r="D1778" i="11"/>
  <c r="D1749" i="11"/>
  <c r="D1722" i="11"/>
  <c r="D1701" i="11"/>
  <c r="D1668" i="11"/>
  <c r="D1630" i="11"/>
  <c r="D1597" i="11"/>
  <c r="D1554" i="11"/>
  <c r="D1517" i="11"/>
  <c r="D1482" i="11"/>
  <c r="D1440" i="11"/>
  <c r="D1402" i="11"/>
  <c r="D1369" i="11"/>
  <c r="D1326" i="11"/>
  <c r="D1289" i="11"/>
  <c r="D1256" i="11"/>
  <c r="D1213" i="11"/>
  <c r="D1176" i="11"/>
  <c r="D1141" i="11"/>
  <c r="D1098" i="11"/>
  <c r="D1061" i="11"/>
  <c r="D1028" i="11"/>
  <c r="D985" i="11"/>
  <c r="D948" i="11"/>
  <c r="D914" i="11"/>
  <c r="D872" i="11"/>
  <c r="D832" i="11"/>
  <c r="D788" i="11"/>
  <c r="D730" i="11"/>
  <c r="D681" i="11"/>
  <c r="D630" i="11"/>
  <c r="D555" i="11"/>
  <c r="D480" i="11"/>
  <c r="D392" i="11"/>
  <c r="D225" i="11"/>
  <c r="E1009" i="11"/>
  <c r="E994" i="11"/>
  <c r="E977" i="11"/>
  <c r="E960" i="11"/>
  <c r="E944" i="11"/>
  <c r="E924" i="11"/>
  <c r="E909" i="11"/>
  <c r="E893" i="11"/>
  <c r="E874" i="11"/>
  <c r="E858" i="11"/>
  <c r="E844" i="11"/>
  <c r="E824" i="11"/>
  <c r="E808" i="11"/>
  <c r="E792" i="11"/>
  <c r="E773" i="11"/>
  <c r="E758" i="11"/>
  <c r="E742" i="11"/>
  <c r="E722" i="11"/>
  <c r="E706" i="11"/>
  <c r="E693" i="11"/>
  <c r="E673" i="11"/>
  <c r="E657" i="11"/>
  <c r="E640" i="11"/>
  <c r="E621" i="11"/>
  <c r="E608" i="11"/>
  <c r="E589" i="11"/>
  <c r="E572" i="11"/>
  <c r="E554" i="11"/>
  <c r="E540" i="11"/>
  <c r="E522" i="11"/>
  <c r="E504" i="11"/>
  <c r="E488" i="11"/>
  <c r="E469" i="11"/>
  <c r="E454" i="11"/>
  <c r="E438" i="11"/>
  <c r="E418" i="11"/>
  <c r="E402" i="11"/>
  <c r="E389" i="11"/>
  <c r="E369" i="11"/>
  <c r="E353" i="11"/>
  <c r="E336" i="11"/>
  <c r="E297" i="11"/>
  <c r="E271" i="11"/>
  <c r="E239" i="11"/>
  <c r="E199" i="11"/>
  <c r="E167" i="11"/>
  <c r="E137" i="11"/>
  <c r="E99" i="11"/>
  <c r="E53" i="11"/>
  <c r="E2780" i="11"/>
  <c r="E2770" i="11"/>
  <c r="E2762" i="11"/>
  <c r="E2752" i="11"/>
  <c r="E2742" i="11"/>
  <c r="E2733" i="11"/>
  <c r="E2722" i="11"/>
  <c r="E2714" i="11"/>
  <c r="E2705" i="11"/>
  <c r="E2694" i="11"/>
  <c r="E2685" i="11"/>
  <c r="E2677" i="11"/>
  <c r="E2666" i="11"/>
  <c r="E2657" i="11"/>
  <c r="E2648" i="11"/>
  <c r="E2637" i="11"/>
  <c r="E2629" i="11"/>
  <c r="E2620" i="11"/>
  <c r="E2609" i="11"/>
  <c r="E2600" i="11"/>
  <c r="E2592" i="11"/>
  <c r="E2581" i="11"/>
  <c r="E2572" i="11"/>
  <c r="E2562" i="11"/>
  <c r="E2552" i="11"/>
  <c r="E2544" i="11"/>
  <c r="E2534" i="11"/>
  <c r="E2524" i="11"/>
  <c r="E2514" i="11"/>
  <c r="E2506" i="11"/>
  <c r="E2496" i="11"/>
  <c r="E2486" i="11"/>
  <c r="E2477" i="11"/>
  <c r="E2466" i="11"/>
  <c r="E2458" i="11"/>
  <c r="E2449" i="11"/>
  <c r="E2438" i="11"/>
  <c r="E2429" i="11"/>
  <c r="E2421" i="11"/>
  <c r="E2410" i="11"/>
  <c r="E2401" i="11"/>
  <c r="E2392" i="11"/>
  <c r="E2381" i="11"/>
  <c r="E2373" i="11"/>
  <c r="E2364" i="11"/>
  <c r="E2353" i="11"/>
  <c r="E2344" i="11"/>
  <c r="E2336" i="11"/>
  <c r="E2325" i="11"/>
  <c r="E2316" i="11"/>
  <c r="E2306" i="11"/>
  <c r="E2296" i="11"/>
  <c r="E2288" i="11"/>
  <c r="E2274" i="11"/>
  <c r="E2261" i="11"/>
  <c r="E2250" i="11"/>
  <c r="E2237" i="11"/>
  <c r="E2224" i="11"/>
  <c r="E2210" i="11"/>
  <c r="E2200" i="11"/>
  <c r="E2186" i="11"/>
  <c r="E2172" i="11"/>
  <c r="E2152" i="11"/>
  <c r="E2136" i="11"/>
  <c r="E2118" i="11"/>
  <c r="E2101" i="11"/>
  <c r="E2086" i="11"/>
  <c r="E2069" i="11"/>
  <c r="E2050" i="11"/>
  <c r="E2033" i="11"/>
  <c r="E2018" i="11"/>
  <c r="E2001" i="11"/>
  <c r="E1984" i="11"/>
  <c r="E1968" i="11"/>
  <c r="E1948" i="11"/>
  <c r="E1933" i="11"/>
  <c r="E1917" i="11"/>
  <c r="E1898" i="11"/>
  <c r="E1882" i="11"/>
  <c r="E1868" i="11"/>
  <c r="E1848" i="11"/>
  <c r="E1832" i="11"/>
  <c r="E1816" i="11"/>
  <c r="E1797" i="11"/>
  <c r="E1782" i="11"/>
  <c r="E1766" i="11"/>
  <c r="E1746" i="11"/>
  <c r="E1730" i="11"/>
  <c r="E1717" i="11"/>
  <c r="E1697" i="11"/>
  <c r="E1681" i="11"/>
  <c r="E1664" i="11"/>
  <c r="E1645" i="11"/>
  <c r="E1632" i="11"/>
  <c r="E1613" i="11"/>
  <c r="E1596" i="11"/>
  <c r="E1578" i="11"/>
  <c r="E1564" i="11"/>
  <c r="E1546" i="11"/>
  <c r="E1528" i="11"/>
  <c r="E1512" i="11"/>
  <c r="E1493" i="11"/>
  <c r="E1478" i="11"/>
  <c r="E1462" i="11"/>
  <c r="E1442" i="11"/>
  <c r="E1426" i="11"/>
  <c r="E1413" i="11"/>
  <c r="E1393" i="11"/>
  <c r="E1377" i="11"/>
  <c r="E1361" i="11"/>
  <c r="E1341" i="11"/>
  <c r="E1328" i="11"/>
  <c r="E1312" i="11"/>
  <c r="E1292" i="11"/>
  <c r="E1276" i="11"/>
  <c r="E1261" i="11"/>
  <c r="E1242" i="11"/>
  <c r="E1226" i="11"/>
  <c r="E1208" i="11"/>
  <c r="E1190" i="11"/>
  <c r="E1176" i="11"/>
  <c r="E1158" i="11"/>
  <c r="E1141" i="11"/>
  <c r="E1122" i="11"/>
  <c r="E1109" i="11"/>
  <c r="E1090" i="11"/>
  <c r="E1073" i="11"/>
  <c r="E1057" i="11"/>
  <c r="E1037" i="11"/>
  <c r="E1024" i="11"/>
  <c r="E1008" i="11"/>
  <c r="E988" i="11"/>
  <c r="E972" i="11"/>
  <c r="E957" i="11"/>
  <c r="E938" i="11"/>
  <c r="E922" i="11"/>
  <c r="E906" i="11"/>
  <c r="E886" i="11"/>
  <c r="E872" i="11"/>
  <c r="E856" i="11"/>
  <c r="E837" i="11"/>
  <c r="E821" i="11"/>
  <c r="E806" i="11"/>
  <c r="E786" i="11"/>
  <c r="E770" i="11"/>
  <c r="E753" i="11"/>
  <c r="E736" i="11"/>
  <c r="E721" i="11"/>
  <c r="E704" i="11"/>
  <c r="E685" i="11"/>
  <c r="E668" i="11"/>
  <c r="E653" i="11"/>
  <c r="E636" i="11"/>
  <c r="E618" i="11"/>
  <c r="E602" i="11"/>
  <c r="E582" i="11"/>
  <c r="E568" i="11"/>
  <c r="E552" i="11"/>
  <c r="E533" i="11"/>
  <c r="E517" i="11"/>
  <c r="E502" i="11"/>
  <c r="E482" i="11"/>
  <c r="E466" i="11"/>
  <c r="E450" i="11"/>
  <c r="E432" i="11"/>
  <c r="E417" i="11"/>
  <c r="E401" i="11"/>
  <c r="E381" i="11"/>
  <c r="E365" i="11"/>
  <c r="E352" i="11"/>
  <c r="E327" i="11"/>
  <c r="E295" i="11"/>
  <c r="E259" i="11"/>
  <c r="E223" i="11"/>
  <c r="E195" i="11"/>
  <c r="E159" i="11"/>
  <c r="E123" i="11"/>
  <c r="E89" i="11"/>
  <c r="E37" i="11"/>
  <c r="E2332" i="11"/>
  <c r="E2322" i="11"/>
  <c r="E2314" i="11"/>
  <c r="E2304" i="11"/>
  <c r="E2294" i="11"/>
  <c r="E2285" i="11"/>
  <c r="E2272" i="11"/>
  <c r="E2258" i="11"/>
  <c r="E2246" i="11"/>
  <c r="E2232" i="11"/>
  <c r="E2221" i="11"/>
  <c r="E2209" i="11"/>
  <c r="E2194" i="11"/>
  <c r="E2182" i="11"/>
  <c r="E2165" i="11"/>
  <c r="E2146" i="11"/>
  <c r="E2133" i="11"/>
  <c r="E2114" i="11"/>
  <c r="E2097" i="11"/>
  <c r="E2081" i="11"/>
  <c r="E2061" i="11"/>
  <c r="E2048" i="11"/>
  <c r="E2032" i="11"/>
  <c r="E2012" i="11"/>
  <c r="E1996" i="11"/>
  <c r="E1981" i="11"/>
  <c r="E1962" i="11"/>
  <c r="E1946" i="11"/>
  <c r="E1930" i="11"/>
  <c r="E1910" i="11"/>
  <c r="E1896" i="11"/>
  <c r="E1880" i="11"/>
  <c r="E1861" i="11"/>
  <c r="E1845" i="11"/>
  <c r="E1830" i="11"/>
  <c r="E1810" i="11"/>
  <c r="E1794" i="11"/>
  <c r="E1777" i="11"/>
  <c r="E1760" i="11"/>
  <c r="E1745" i="11"/>
  <c r="E1728" i="11"/>
  <c r="E1709" i="11"/>
  <c r="E1692" i="11"/>
  <c r="E1677" i="11"/>
  <c r="E1660" i="11"/>
  <c r="E1642" i="11"/>
  <c r="E1626" i="11"/>
  <c r="E1606" i="11"/>
  <c r="E1592" i="11"/>
  <c r="E1576" i="11"/>
  <c r="E1557" i="11"/>
  <c r="E1541" i="11"/>
  <c r="E1526" i="11"/>
  <c r="E1506" i="11"/>
  <c r="E1490" i="11"/>
  <c r="E1474" i="11"/>
  <c r="E1456" i="11"/>
  <c r="E1441" i="11"/>
  <c r="E1425" i="11"/>
  <c r="E1405" i="11"/>
  <c r="E1389" i="11"/>
  <c r="E1376" i="11"/>
  <c r="E1356" i="11"/>
  <c r="E1340" i="11"/>
  <c r="E1322" i="11"/>
  <c r="E1304" i="11"/>
  <c r="E1290" i="11"/>
  <c r="E1272" i="11"/>
  <c r="E1254" i="11"/>
  <c r="E1237" i="11"/>
  <c r="E1222" i="11"/>
  <c r="E1205" i="11"/>
  <c r="E1186" i="11"/>
  <c r="E1170" i="11"/>
  <c r="E1152" i="11"/>
  <c r="E1137" i="11"/>
  <c r="E1121" i="11"/>
  <c r="E1101" i="11"/>
  <c r="E1085" i="11"/>
  <c r="E1072" i="11"/>
  <c r="E1052" i="11"/>
  <c r="E1036" i="11"/>
  <c r="E1020" i="11"/>
  <c r="E1000" i="11"/>
  <c r="E986" i="11"/>
  <c r="E970" i="11"/>
  <c r="E950" i="11"/>
  <c r="E934" i="11"/>
  <c r="E920" i="11"/>
  <c r="E901" i="11"/>
  <c r="E885" i="11"/>
  <c r="E866" i="11"/>
  <c r="E849" i="11"/>
  <c r="E834" i="11"/>
  <c r="E817" i="11"/>
  <c r="E800" i="11"/>
  <c r="E781" i="11"/>
  <c r="E768" i="11"/>
  <c r="E749" i="11"/>
  <c r="E732" i="11"/>
  <c r="E716" i="11"/>
  <c r="E696" i="11"/>
  <c r="E682" i="11"/>
  <c r="E666" i="11"/>
  <c r="E646" i="11"/>
  <c r="E630" i="11"/>
  <c r="E616" i="11"/>
  <c r="E597" i="11"/>
  <c r="E581" i="11"/>
  <c r="E565" i="11"/>
  <c r="E545" i="11"/>
  <c r="E530" i="11"/>
  <c r="E514" i="11"/>
  <c r="E496" i="11"/>
  <c r="E480" i="11"/>
  <c r="E465" i="11"/>
  <c r="E445" i="11"/>
  <c r="E429" i="11"/>
  <c r="E412" i="11"/>
  <c r="E394" i="11"/>
  <c r="E380" i="11"/>
  <c r="E362" i="11"/>
  <c r="E344" i="11"/>
  <c r="E315" i="11"/>
  <c r="E287" i="11"/>
  <c r="E251" i="11"/>
  <c r="E217" i="11"/>
  <c r="E185" i="11"/>
  <c r="E145" i="11"/>
  <c r="E115" i="11"/>
  <c r="E83" i="11"/>
  <c r="E21" i="11"/>
  <c r="E81" i="11"/>
  <c r="E103" i="11"/>
  <c r="E127" i="11"/>
  <c r="E155" i="11"/>
  <c r="E179" i="11"/>
  <c r="E201" i="11"/>
  <c r="E231" i="11"/>
  <c r="E255" i="11"/>
  <c r="E281" i="11"/>
  <c r="E307" i="11"/>
  <c r="E329" i="11"/>
  <c r="E346" i="11"/>
  <c r="E360" i="11"/>
  <c r="E373" i="11"/>
  <c r="E384" i="11"/>
  <c r="E397" i="11"/>
  <c r="E410" i="11"/>
  <c r="E422" i="11"/>
  <c r="E437" i="11"/>
  <c r="E448" i="11"/>
  <c r="E460" i="11"/>
  <c r="E474" i="11"/>
  <c r="E486" i="11"/>
  <c r="E497" i="11"/>
  <c r="E512" i="11"/>
  <c r="E524" i="11"/>
  <c r="E536" i="11"/>
  <c r="E550" i="11"/>
  <c r="E561" i="11"/>
  <c r="E573" i="11"/>
  <c r="E588" i="11"/>
  <c r="E600" i="11"/>
  <c r="E610" i="11"/>
  <c r="E625" i="11"/>
  <c r="E637" i="11"/>
  <c r="E650" i="11"/>
  <c r="E664" i="11"/>
  <c r="E674" i="11"/>
  <c r="E688" i="11"/>
  <c r="E701" i="11"/>
  <c r="E714" i="11"/>
  <c r="E725" i="11"/>
  <c r="E738" i="11"/>
  <c r="E752" i="11"/>
  <c r="E764" i="11"/>
  <c r="E778" i="11"/>
  <c r="E789" i="11"/>
  <c r="E801" i="11"/>
  <c r="E816" i="11"/>
  <c r="E828" i="11"/>
  <c r="E838" i="11"/>
  <c r="E853" i="11"/>
  <c r="E865" i="11"/>
  <c r="E877" i="11"/>
  <c r="E892" i="11"/>
  <c r="E902" i="11"/>
  <c r="E914" i="11"/>
  <c r="E929" i="11"/>
  <c r="E941" i="11"/>
  <c r="E952" i="11"/>
  <c r="E966" i="11"/>
  <c r="E978" i="11"/>
  <c r="E992" i="11"/>
  <c r="E1005" i="11"/>
  <c r="E1016" i="11"/>
  <c r="E1029" i="11"/>
  <c r="E1042" i="11"/>
  <c r="E1056" i="11"/>
  <c r="E1066" i="11"/>
  <c r="E1080" i="11"/>
  <c r="E1093" i="11"/>
  <c r="E1105" i="11"/>
  <c r="E1120" i="11"/>
  <c r="E1130" i="11"/>
  <c r="E1142" i="11"/>
  <c r="E1157" i="11"/>
  <c r="E1169" i="11"/>
  <c r="E1180" i="11"/>
  <c r="E1194" i="11"/>
  <c r="E1206" i="11"/>
  <c r="E1218" i="11"/>
  <c r="E1233" i="11"/>
  <c r="E1244" i="11"/>
  <c r="E1256" i="11"/>
  <c r="E1270" i="11"/>
  <c r="E1282" i="11"/>
  <c r="E1293" i="11"/>
  <c r="E1308" i="11"/>
  <c r="E1320" i="11"/>
  <c r="E1333" i="11"/>
  <c r="E1346" i="11"/>
  <c r="E1357" i="11"/>
  <c r="E1370" i="11"/>
  <c r="E1384" i="11"/>
  <c r="E1397" i="11"/>
  <c r="E1408" i="11"/>
  <c r="E1421" i="11"/>
  <c r="E1434" i="11"/>
  <c r="E1446" i="11"/>
  <c r="E1461" i="11"/>
  <c r="E1472" i="11"/>
  <c r="E1484" i="11"/>
  <c r="E1498" i="11"/>
  <c r="E1510" i="11"/>
  <c r="E1521" i="11"/>
  <c r="E1536" i="11"/>
  <c r="E1548" i="11"/>
  <c r="E1560" i="11"/>
  <c r="E1574" i="11"/>
  <c r="E1585" i="11"/>
  <c r="E1597" i="11"/>
  <c r="E1612" i="11"/>
  <c r="E1624" i="11"/>
  <c r="E1634" i="11"/>
  <c r="E1649" i="11"/>
  <c r="E1661" i="11"/>
  <c r="E1674" i="11"/>
  <c r="E1688" i="11"/>
  <c r="E1698" i="11"/>
  <c r="E1712" i="11"/>
  <c r="E1725" i="11"/>
  <c r="E1738" i="11"/>
  <c r="E1749" i="11"/>
  <c r="E1762" i="11"/>
  <c r="E1776" i="11"/>
  <c r="E1788" i="11"/>
  <c r="E1802" i="11"/>
  <c r="E1813" i="11"/>
  <c r="E1825" i="11"/>
  <c r="E1840" i="11"/>
  <c r="E1852" i="11"/>
  <c r="E1862" i="11"/>
  <c r="E1877" i="11"/>
  <c r="E1889" i="11"/>
  <c r="E1901" i="11"/>
  <c r="E1916" i="11"/>
  <c r="E1926" i="11"/>
  <c r="E1938" i="11"/>
  <c r="E1953" i="11"/>
  <c r="E1965" i="11"/>
  <c r="E1976" i="11"/>
  <c r="E1990" i="11"/>
  <c r="E2002" i="11"/>
  <c r="E2016" i="11"/>
  <c r="E2029" i="11"/>
  <c r="E2040" i="11"/>
  <c r="E2053" i="11"/>
  <c r="E2066" i="11"/>
  <c r="E2080" i="11"/>
  <c r="E2090" i="11"/>
  <c r="E2104" i="11"/>
  <c r="E2117" i="11"/>
  <c r="E2129" i="11"/>
  <c r="E2144" i="11"/>
  <c r="E2154" i="11"/>
  <c r="E2166" i="11"/>
  <c r="E2181" i="11"/>
  <c r="F530" i="11"/>
  <c r="F526" i="11"/>
  <c r="F522" i="11"/>
  <c r="F518" i="11"/>
  <c r="F514" i="11"/>
  <c r="F510" i="11"/>
  <c r="F506" i="11"/>
  <c r="F502" i="11"/>
  <c r="F498" i="11"/>
  <c r="F494" i="11"/>
  <c r="F490" i="11"/>
  <c r="F486" i="11"/>
  <c r="F482" i="11"/>
  <c r="F478" i="11"/>
  <c r="F474" i="11"/>
  <c r="F470" i="11"/>
  <c r="F466" i="11"/>
  <c r="F462" i="11"/>
  <c r="F458" i="11"/>
  <c r="F454" i="11"/>
  <c r="F450" i="11"/>
  <c r="F446" i="11"/>
  <c r="F442" i="11"/>
  <c r="F438" i="11"/>
  <c r="F434" i="11"/>
  <c r="F430" i="11"/>
  <c r="F426" i="11"/>
  <c r="F422" i="11"/>
  <c r="F418" i="11"/>
  <c r="F414" i="11"/>
  <c r="F410" i="11"/>
  <c r="F406" i="11"/>
  <c r="F402" i="11"/>
  <c r="F398" i="11"/>
  <c r="F394" i="11"/>
  <c r="F390" i="11"/>
  <c r="F386" i="11"/>
  <c r="F382" i="11"/>
  <c r="F378" i="11"/>
  <c r="F374" i="11"/>
  <c r="F370" i="11"/>
  <c r="F366" i="11"/>
  <c r="F362" i="11"/>
  <c r="F358" i="11"/>
  <c r="F354" i="11"/>
  <c r="F350" i="11"/>
  <c r="F346" i="11"/>
  <c r="F342" i="11"/>
  <c r="F337" i="11"/>
  <c r="F332" i="11"/>
  <c r="F327" i="11"/>
  <c r="F319" i="11"/>
  <c r="F311" i="11"/>
  <c r="F303" i="11"/>
  <c r="F295" i="11"/>
  <c r="F287" i="11"/>
  <c r="F279" i="11"/>
  <c r="F271" i="11"/>
  <c r="F263" i="11"/>
  <c r="F255" i="11"/>
  <c r="F247" i="11"/>
  <c r="F239" i="11"/>
  <c r="F231" i="11"/>
  <c r="F223" i="11"/>
  <c r="F215" i="11"/>
  <c r="F207" i="11"/>
  <c r="F199" i="11"/>
  <c r="F191" i="11"/>
  <c r="F183" i="11"/>
  <c r="F175" i="11"/>
  <c r="F167" i="11"/>
  <c r="F153" i="11"/>
  <c r="F137" i="11"/>
  <c r="F121" i="11"/>
  <c r="F105" i="11"/>
  <c r="F89" i="11"/>
  <c r="F73" i="11"/>
  <c r="F57" i="11"/>
  <c r="F41" i="11"/>
  <c r="F25" i="11"/>
  <c r="F9" i="11"/>
  <c r="F509" i="11"/>
  <c r="F505" i="11"/>
  <c r="F501" i="11"/>
  <c r="F497" i="11"/>
  <c r="F493" i="11"/>
  <c r="F489" i="11"/>
  <c r="F485" i="11"/>
  <c r="F481" i="11"/>
  <c r="F477" i="11"/>
  <c r="F473" i="11"/>
  <c r="F469" i="11"/>
  <c r="F465" i="11"/>
  <c r="F461" i="11"/>
  <c r="F457" i="11"/>
  <c r="F453" i="11"/>
  <c r="F449" i="11"/>
  <c r="F445" i="11"/>
  <c r="F441" i="11"/>
  <c r="F437" i="11"/>
  <c r="F433" i="11"/>
  <c r="F429" i="11"/>
  <c r="F425" i="11"/>
  <c r="F421" i="11"/>
  <c r="F417" i="11"/>
  <c r="F413" i="11"/>
  <c r="F409" i="11"/>
  <c r="F405" i="11"/>
  <c r="F401" i="11"/>
  <c r="F397" i="11"/>
  <c r="F393" i="11"/>
  <c r="F389" i="11"/>
  <c r="F385" i="11"/>
  <c r="F381" i="11"/>
  <c r="F377" i="11"/>
  <c r="F373" i="11"/>
  <c r="F369" i="11"/>
  <c r="F365" i="11"/>
  <c r="F361" i="11"/>
  <c r="F357" i="11"/>
  <c r="F353" i="11"/>
  <c r="F349" i="11"/>
  <c r="F345" i="11"/>
  <c r="F341" i="11"/>
  <c r="F336" i="11"/>
  <c r="F331" i="11"/>
  <c r="F325" i="11"/>
  <c r="F317" i="11"/>
  <c r="F309" i="11"/>
  <c r="F301" i="11"/>
  <c r="F293" i="11"/>
  <c r="F285" i="11"/>
  <c r="F277" i="11"/>
  <c r="F269" i="11"/>
  <c r="F261" i="11"/>
  <c r="F253" i="11"/>
  <c r="F245" i="11"/>
  <c r="F237" i="11"/>
  <c r="F229" i="11"/>
  <c r="F221" i="11"/>
  <c r="F213" i="11"/>
  <c r="F205" i="11"/>
  <c r="F197" i="11"/>
  <c r="F189" i="11"/>
  <c r="F181" i="11"/>
  <c r="F173" i="11"/>
  <c r="F165" i="11"/>
  <c r="F149" i="11"/>
  <c r="F133" i="11"/>
  <c r="F117" i="11"/>
  <c r="F101" i="11"/>
  <c r="F85" i="11"/>
  <c r="F69" i="11"/>
  <c r="F53" i="11"/>
  <c r="F37" i="11"/>
  <c r="F21" i="11"/>
  <c r="F5" i="11"/>
  <c r="F659" i="11"/>
  <c r="F655" i="11"/>
  <c r="F651" i="11"/>
  <c r="F647" i="11"/>
  <c r="F643" i="11"/>
  <c r="F639" i="11"/>
  <c r="F635" i="11"/>
  <c r="F631" i="11"/>
  <c r="F627" i="11"/>
  <c r="F623" i="11"/>
  <c r="F619" i="11"/>
  <c r="F615" i="11"/>
  <c r="F611" i="11"/>
  <c r="F607" i="11"/>
  <c r="F603" i="11"/>
  <c r="F599" i="11"/>
  <c r="F595" i="11"/>
  <c r="F591" i="11"/>
  <c r="F587" i="11"/>
  <c r="F583" i="11"/>
  <c r="F579" i="11"/>
  <c r="F575" i="11"/>
  <c r="F571" i="11"/>
  <c r="F567" i="11"/>
  <c r="F563" i="11"/>
  <c r="F559" i="11"/>
  <c r="F555" i="11"/>
  <c r="F551" i="11"/>
  <c r="F547" i="11"/>
  <c r="F543" i="11"/>
  <c r="F539" i="11"/>
  <c r="F535" i="11"/>
  <c r="F531" i="11"/>
  <c r="F527" i="11"/>
  <c r="F523" i="11"/>
  <c r="F519" i="11"/>
  <c r="F515" i="11"/>
  <c r="F511" i="11"/>
  <c r="F507" i="11"/>
  <c r="F503" i="11"/>
  <c r="F499" i="11"/>
  <c r="F495" i="11"/>
  <c r="F491" i="11"/>
  <c r="F487" i="11"/>
  <c r="F483" i="11"/>
  <c r="F479" i="11"/>
  <c r="F475" i="11"/>
  <c r="F471" i="11"/>
  <c r="F467" i="11"/>
  <c r="F463" i="11"/>
  <c r="F459" i="11"/>
  <c r="F455" i="11"/>
  <c r="F451" i="11"/>
  <c r="F447" i="11"/>
  <c r="F443" i="11"/>
  <c r="F439" i="11"/>
  <c r="F435" i="11"/>
  <c r="F431" i="11"/>
  <c r="F427" i="11"/>
  <c r="F423" i="11"/>
  <c r="F419" i="11"/>
  <c r="F415" i="11"/>
  <c r="F411" i="11"/>
  <c r="F407" i="11"/>
  <c r="F403" i="11"/>
  <c r="F399" i="11"/>
  <c r="F395" i="11"/>
  <c r="F391" i="11"/>
  <c r="F387" i="11"/>
  <c r="F383" i="11"/>
  <c r="F379" i="11"/>
  <c r="F375" i="11"/>
  <c r="F371" i="11"/>
  <c r="F367" i="11"/>
  <c r="F363" i="11"/>
  <c r="F359" i="11"/>
  <c r="F355" i="11"/>
  <c r="F351" i="11"/>
  <c r="F347" i="11"/>
  <c r="F343" i="11"/>
  <c r="F339" i="11"/>
  <c r="F333" i="11"/>
  <c r="F328" i="11"/>
  <c r="F321" i="11"/>
  <c r="F313" i="11"/>
  <c r="F305" i="11"/>
  <c r="F297" i="11"/>
  <c r="F289" i="11"/>
  <c r="F281" i="11"/>
  <c r="F273" i="11"/>
  <c r="F265" i="11"/>
  <c r="F257" i="11"/>
  <c r="F249" i="11"/>
  <c r="F241" i="11"/>
  <c r="F233" i="11"/>
  <c r="F225" i="11"/>
  <c r="F217" i="11"/>
  <c r="F209" i="11"/>
  <c r="F201" i="11"/>
  <c r="F193" i="11"/>
  <c r="F185" i="11"/>
  <c r="F177" i="11"/>
  <c r="F169" i="11"/>
  <c r="F157" i="11"/>
  <c r="F141" i="11"/>
  <c r="F125" i="11"/>
  <c r="F109" i="11"/>
  <c r="F93" i="11"/>
  <c r="F77" i="11"/>
  <c r="F61" i="11"/>
  <c r="F45" i="11"/>
  <c r="F29" i="11"/>
  <c r="F13" i="11"/>
  <c r="G767" i="11"/>
  <c r="G753" i="11"/>
  <c r="G740" i="11"/>
  <c r="G728" i="11"/>
  <c r="G713" i="11"/>
  <c r="G703" i="11"/>
  <c r="G691" i="11"/>
  <c r="G676" i="11"/>
  <c r="G664" i="11"/>
  <c r="G653" i="11"/>
  <c r="G639" i="11"/>
  <c r="G627" i="11"/>
  <c r="G615" i="11"/>
  <c r="G600" i="11"/>
  <c r="G589" i="11"/>
  <c r="G577" i="11"/>
  <c r="G563" i="11"/>
  <c r="G551" i="11"/>
  <c r="G540" i="11"/>
  <c r="G525" i="11"/>
  <c r="G513" i="11"/>
  <c r="G500" i="11"/>
  <c r="G487" i="11"/>
  <c r="G476" i="11"/>
  <c r="G463" i="11"/>
  <c r="G449" i="11"/>
  <c r="G436" i="11"/>
  <c r="G425" i="11"/>
  <c r="G412" i="11"/>
  <c r="G399" i="11"/>
  <c r="G387" i="11"/>
  <c r="G372" i="11"/>
  <c r="G361" i="11"/>
  <c r="G349" i="11"/>
  <c r="G333" i="11"/>
  <c r="G317" i="11"/>
  <c r="G303" i="11"/>
  <c r="G283" i="11"/>
  <c r="G267" i="11"/>
  <c r="G251" i="11"/>
  <c r="G232" i="11"/>
  <c r="G217" i="11"/>
  <c r="G181" i="11"/>
  <c r="G121" i="11"/>
  <c r="G73" i="11"/>
  <c r="G33" i="11"/>
  <c r="G793" i="11"/>
  <c r="G785" i="11"/>
  <c r="G776" i="11"/>
  <c r="G761" i="11"/>
  <c r="G749" i="11"/>
  <c r="G739" i="11"/>
  <c r="G724" i="11"/>
  <c r="G712" i="11"/>
  <c r="G700" i="11"/>
  <c r="G685" i="11"/>
  <c r="G675" i="11"/>
  <c r="G663" i="11"/>
  <c r="G648" i="11"/>
  <c r="G636" i="11"/>
  <c r="G625" i="11"/>
  <c r="G611" i="11"/>
  <c r="G599" i="11"/>
  <c r="G585" i="11"/>
  <c r="G572" i="11"/>
  <c r="G561" i="11"/>
  <c r="G548" i="11"/>
  <c r="G535" i="11"/>
  <c r="G521" i="11"/>
  <c r="G511" i="11"/>
  <c r="G497" i="11"/>
  <c r="G484" i="11"/>
  <c r="G472" i="11"/>
  <c r="G457" i="11"/>
  <c r="G447" i="11"/>
  <c r="G435" i="11"/>
  <c r="G420" i="11"/>
  <c r="G408" i="11"/>
  <c r="G397" i="11"/>
  <c r="G383" i="11"/>
  <c r="G371" i="11"/>
  <c r="G359" i="11"/>
  <c r="G344" i="11"/>
  <c r="G331" i="11"/>
  <c r="G315" i="11"/>
  <c r="G296" i="11"/>
  <c r="G280" i="11"/>
  <c r="G265" i="11"/>
  <c r="G245" i="11"/>
  <c r="G229" i="11"/>
  <c r="G212" i="11"/>
  <c r="G161" i="11"/>
  <c r="G117" i="11"/>
  <c r="G65" i="11"/>
  <c r="G9" i="11"/>
  <c r="G1140" i="11"/>
  <c r="G1132" i="11"/>
  <c r="G1121" i="11"/>
  <c r="G1112" i="11"/>
  <c r="G1103" i="11"/>
  <c r="G1092" i="11"/>
  <c r="G1084" i="11"/>
  <c r="G1075" i="11"/>
  <c r="G1064" i="11"/>
  <c r="G1055" i="11"/>
  <c r="G1047" i="11"/>
  <c r="G1036" i="11"/>
  <c r="G1027" i="11"/>
  <c r="G1017" i="11"/>
  <c r="G1007" i="11"/>
  <c r="G999" i="11"/>
  <c r="G989" i="11"/>
  <c r="G979" i="11"/>
  <c r="G969" i="11"/>
  <c r="G961" i="11"/>
  <c r="G951" i="11"/>
  <c r="G941" i="11"/>
  <c r="G932" i="11"/>
  <c r="G921" i="11"/>
  <c r="G913" i="11"/>
  <c r="G904" i="11"/>
  <c r="G893" i="11"/>
  <c r="G884" i="11"/>
  <c r="G876" i="11"/>
  <c r="G865" i="11"/>
  <c r="G856" i="11"/>
  <c r="G847" i="11"/>
  <c r="G836" i="11"/>
  <c r="G828" i="11"/>
  <c r="G819" i="11"/>
  <c r="G808" i="11"/>
  <c r="G799" i="11"/>
  <c r="G791" i="11"/>
  <c r="G780" i="11"/>
  <c r="G769" i="11"/>
  <c r="G756" i="11"/>
  <c r="G743" i="11"/>
  <c r="G732" i="11"/>
  <c r="G719" i="11"/>
  <c r="G705" i="11"/>
  <c r="G692" i="11"/>
  <c r="G681" i="11"/>
  <c r="G668" i="11"/>
  <c r="G655" i="11"/>
  <c r="G643" i="11"/>
  <c r="G628" i="11"/>
  <c r="G617" i="11"/>
  <c r="G605" i="11"/>
  <c r="G591" i="11"/>
  <c r="G579" i="11"/>
  <c r="G568" i="11"/>
  <c r="G553" i="11"/>
  <c r="G541" i="11"/>
  <c r="G529" i="11"/>
  <c r="G515" i="11"/>
  <c r="G504" i="11"/>
  <c r="G492" i="11"/>
  <c r="G477" i="11"/>
  <c r="G465" i="11"/>
  <c r="G455" i="11"/>
  <c r="G440" i="11"/>
  <c r="G428" i="11"/>
  <c r="G415" i="11"/>
  <c r="G401" i="11"/>
  <c r="G391" i="11"/>
  <c r="G377" i="11"/>
  <c r="G364" i="11"/>
  <c r="G351" i="11"/>
  <c r="G340" i="11"/>
  <c r="G323" i="11"/>
  <c r="G304" i="11"/>
  <c r="G288" i="11"/>
  <c r="G269" i="11"/>
  <c r="G255" i="11"/>
  <c r="G239" i="11"/>
  <c r="G219" i="11"/>
  <c r="G185" i="11"/>
  <c r="G145" i="11"/>
  <c r="G85" i="11"/>
  <c r="H1072" i="11"/>
  <c r="H1063" i="11"/>
  <c r="H1052" i="11"/>
  <c r="H1043" i="11"/>
  <c r="H1035" i="11"/>
  <c r="H1024" i="11"/>
  <c r="H1015" i="11"/>
  <c r="H1006" i="11"/>
  <c r="H995" i="11"/>
  <c r="H987" i="11"/>
  <c r="H978" i="11"/>
  <c r="H967" i="11"/>
  <c r="H958" i="11"/>
  <c r="H950" i="11"/>
  <c r="H939" i="11"/>
  <c r="H930" i="11"/>
  <c r="H920" i="11"/>
  <c r="H910" i="11"/>
  <c r="H902" i="11"/>
  <c r="H892" i="11"/>
  <c r="H882" i="11"/>
  <c r="H872" i="11"/>
  <c r="H864" i="11"/>
  <c r="H854" i="11"/>
  <c r="H844" i="11"/>
  <c r="H835" i="11"/>
  <c r="H824" i="11"/>
  <c r="H816" i="11"/>
  <c r="H807" i="11"/>
  <c r="H796" i="11"/>
  <c r="H787" i="11"/>
  <c r="H771" i="11"/>
  <c r="H750" i="11"/>
  <c r="H734" i="11"/>
  <c r="H715" i="11"/>
  <c r="H694" i="11"/>
  <c r="H678" i="11"/>
  <c r="H658" i="11"/>
  <c r="H636" i="11"/>
  <c r="H620" i="11"/>
  <c r="H600" i="11"/>
  <c r="H579" i="11"/>
  <c r="H563" i="11"/>
  <c r="H544" i="11"/>
  <c r="H523" i="11"/>
  <c r="H507" i="11"/>
  <c r="H487" i="11"/>
  <c r="H461" i="11"/>
  <c r="H439" i="11"/>
  <c r="H413" i="11"/>
  <c r="H383" i="11"/>
  <c r="H362" i="11"/>
  <c r="H337" i="11"/>
  <c r="H299" i="11"/>
  <c r="H268" i="11"/>
  <c r="H209" i="11"/>
  <c r="H127" i="11"/>
  <c r="H63" i="11"/>
  <c r="H1275" i="11"/>
  <c r="H1267" i="11"/>
  <c r="H1260" i="11"/>
  <c r="H1254" i="11"/>
  <c r="H1246" i="11"/>
  <c r="H1239" i="11"/>
  <c r="H1232" i="11"/>
  <c r="H1224" i="11"/>
  <c r="H1218" i="11"/>
  <c r="H1211" i="11"/>
  <c r="H1203" i="11"/>
  <c r="H1196" i="11"/>
  <c r="H1190" i="11"/>
  <c r="H1182" i="11"/>
  <c r="H1175" i="11"/>
  <c r="H1168" i="11"/>
  <c r="H1160" i="11"/>
  <c r="H1154" i="11"/>
  <c r="H1147" i="11"/>
  <c r="H1139" i="11"/>
  <c r="H1132" i="11"/>
  <c r="H1126" i="11"/>
  <c r="H1116" i="11"/>
  <c r="H1107" i="11"/>
  <c r="H1099" i="11"/>
  <c r="H1088" i="11"/>
  <c r="H1079" i="11"/>
  <c r="H1070" i="11"/>
  <c r="H1059" i="11"/>
  <c r="H1051" i="11"/>
  <c r="H1042" i="11"/>
  <c r="H1031" i="11"/>
  <c r="H1022" i="11"/>
  <c r="H1014" i="11"/>
  <c r="H1003" i="11"/>
  <c r="H994" i="11"/>
  <c r="H984" i="11"/>
  <c r="H974" i="11"/>
  <c r="H966" i="11"/>
  <c r="H956" i="11"/>
  <c r="H946" i="11"/>
  <c r="H936" i="11"/>
  <c r="H928" i="11"/>
  <c r="H918" i="11"/>
  <c r="H908" i="11"/>
  <c r="H899" i="11"/>
  <c r="H888" i="11"/>
  <c r="H880" i="11"/>
  <c r="H871" i="11"/>
  <c r="H860" i="11"/>
  <c r="H851" i="11"/>
  <c r="H843" i="11"/>
  <c r="H832" i="11"/>
  <c r="H823" i="11"/>
  <c r="H814" i="11"/>
  <c r="H803" i="11"/>
  <c r="H795" i="11"/>
  <c r="H786" i="11"/>
  <c r="H764" i="11"/>
  <c r="H748" i="11"/>
  <c r="H728" i="11"/>
  <c r="H707" i="11"/>
  <c r="H691" i="11"/>
  <c r="H672" i="11"/>
  <c r="H651" i="11"/>
  <c r="H635" i="11"/>
  <c r="H615" i="11"/>
  <c r="H594" i="11"/>
  <c r="H578" i="11"/>
  <c r="H558" i="11"/>
  <c r="H536" i="11"/>
  <c r="H520" i="11"/>
  <c r="H502" i="11"/>
  <c r="H479" i="11"/>
  <c r="H458" i="11"/>
  <c r="H431" i="11"/>
  <c r="H403" i="11"/>
  <c r="H382" i="11"/>
  <c r="H355" i="11"/>
  <c r="H323" i="11"/>
  <c r="H295" i="11"/>
  <c r="H256" i="11"/>
  <c r="H185" i="11"/>
  <c r="H121" i="11"/>
  <c r="H41" i="11"/>
  <c r="H1230" i="11"/>
  <c r="H1223" i="11"/>
  <c r="H1216" i="11"/>
  <c r="H1208" i="11"/>
  <c r="H1202" i="11"/>
  <c r="H1195" i="11"/>
  <c r="H1187" i="11"/>
  <c r="H1180" i="11"/>
  <c r="H1174" i="11"/>
  <c r="H1166" i="11"/>
  <c r="H1159" i="11"/>
  <c r="H1152" i="11"/>
  <c r="H1144" i="11"/>
  <c r="H1138" i="11"/>
  <c r="H1131" i="11"/>
  <c r="H1123" i="11"/>
  <c r="H1115" i="11"/>
  <c r="H1106" i="11"/>
  <c r="H1095" i="11"/>
  <c r="H1086" i="11"/>
  <c r="H1078" i="11"/>
  <c r="H1067" i="11"/>
  <c r="H1058" i="11"/>
  <c r="H1048" i="11"/>
  <c r="H1038" i="11"/>
  <c r="H1030" i="11"/>
  <c r="H1020" i="11"/>
  <c r="H1010" i="11"/>
  <c r="H1000" i="11"/>
  <c r="H992" i="11"/>
  <c r="H982" i="11"/>
  <c r="H972" i="11"/>
  <c r="H963" i="11"/>
  <c r="H952" i="11"/>
  <c r="H944" i="11"/>
  <c r="H935" i="11"/>
  <c r="H924" i="11"/>
  <c r="H915" i="11"/>
  <c r="H907" i="11"/>
  <c r="H896" i="11"/>
  <c r="H887" i="11"/>
  <c r="H878" i="11"/>
  <c r="H867" i="11"/>
  <c r="H859" i="11"/>
  <c r="H850" i="11"/>
  <c r="H839" i="11"/>
  <c r="H830" i="11"/>
  <c r="H822" i="11"/>
  <c r="H811" i="11"/>
  <c r="H802" i="11"/>
  <c r="H792" i="11"/>
  <c r="H779" i="11"/>
  <c r="H763" i="11"/>
  <c r="H743" i="11"/>
  <c r="H722" i="11"/>
  <c r="H706" i="11"/>
  <c r="H686" i="11"/>
  <c r="H664" i="11"/>
  <c r="H648" i="11"/>
  <c r="H630" i="11"/>
  <c r="H608" i="11"/>
  <c r="H592" i="11"/>
  <c r="H572" i="11"/>
  <c r="H551" i="11"/>
  <c r="H535" i="11"/>
  <c r="H515" i="11"/>
  <c r="H494" i="11"/>
  <c r="H477" i="11"/>
  <c r="H451" i="11"/>
  <c r="H423" i="11"/>
  <c r="H402" i="11"/>
  <c r="H375" i="11"/>
  <c r="H346" i="11"/>
  <c r="H320" i="11"/>
  <c r="H284" i="11"/>
  <c r="H235" i="11"/>
  <c r="H175" i="11"/>
  <c r="H97" i="11"/>
  <c r="H9" i="11"/>
  <c r="H33" i="11"/>
  <c r="H89" i="11"/>
  <c r="H145" i="11"/>
  <c r="H207" i="11"/>
  <c r="H247" i="11"/>
  <c r="H283" i="11"/>
  <c r="H309" i="11"/>
  <c r="H332" i="11"/>
  <c r="H354" i="11"/>
  <c r="H373" i="11"/>
  <c r="H391" i="11"/>
  <c r="H410" i="11"/>
  <c r="H430" i="11"/>
  <c r="H447" i="11"/>
  <c r="H467" i="11"/>
  <c r="H486" i="11"/>
  <c r="H499" i="11"/>
  <c r="H514" i="11"/>
  <c r="H528" i="11"/>
  <c r="H542" i="11"/>
  <c r="H556" i="11"/>
  <c r="H571" i="11"/>
  <c r="H584" i="11"/>
  <c r="H599" i="11"/>
  <c r="H614" i="11"/>
  <c r="H627" i="11"/>
  <c r="H642" i="11"/>
  <c r="H656" i="11"/>
  <c r="H670" i="11"/>
  <c r="H684" i="11"/>
  <c r="H699" i="11"/>
  <c r="H712" i="11"/>
  <c r="H727" i="11"/>
  <c r="H742" i="11"/>
  <c r="H755" i="11"/>
  <c r="H770" i="11"/>
  <c r="H784" i="11"/>
  <c r="H791" i="11"/>
  <c r="H798" i="11"/>
  <c r="H806" i="11"/>
  <c r="H812" i="11"/>
  <c r="H819" i="11"/>
  <c r="H827" i="11"/>
  <c r="H834" i="11"/>
  <c r="H840" i="11"/>
  <c r="H848" i="11"/>
  <c r="H855" i="11"/>
  <c r="H862" i="11"/>
  <c r="H870" i="11"/>
  <c r="H876" i="11"/>
  <c r="H883" i="11"/>
  <c r="H891" i="11"/>
  <c r="H898" i="11"/>
  <c r="H904" i="11"/>
  <c r="H912" i="11"/>
  <c r="H919" i="11"/>
  <c r="H926" i="11"/>
  <c r="H934" i="11"/>
  <c r="H940" i="11"/>
  <c r="H947" i="11"/>
  <c r="H955" i="11"/>
  <c r="H962" i="11"/>
  <c r="H968" i="11"/>
  <c r="H976" i="11"/>
  <c r="H983" i="11"/>
  <c r="H990" i="11"/>
  <c r="H998" i="11"/>
  <c r="H1004" i="11"/>
  <c r="H1011" i="11"/>
  <c r="H1019" i="11"/>
  <c r="H1026" i="11"/>
  <c r="H1032" i="11"/>
  <c r="H1040" i="11"/>
  <c r="H1047" i="11"/>
  <c r="H1054" i="11"/>
  <c r="H1062" i="11"/>
  <c r="H1068" i="11"/>
  <c r="H1075" i="11"/>
  <c r="H1083" i="11"/>
  <c r="H1090" i="11"/>
  <c r="H1096" i="11"/>
  <c r="H1104" i="11"/>
  <c r="H1111" i="11"/>
  <c r="H1118" i="11"/>
  <c r="A5" i="11"/>
  <c r="A89" i="11"/>
  <c r="A177" i="11"/>
  <c r="A257" i="11"/>
  <c r="A287" i="11"/>
  <c r="A316" i="11"/>
  <c r="A343" i="11"/>
  <c r="A364" i="11"/>
  <c r="A386" i="11"/>
  <c r="A407" i="11"/>
  <c r="A428" i="11"/>
  <c r="A450" i="11"/>
  <c r="A471" i="11"/>
  <c r="A492" i="11"/>
  <c r="A514" i="11"/>
  <c r="A535" i="11"/>
  <c r="A556" i="11"/>
  <c r="A578" i="11"/>
  <c r="A599" i="11"/>
  <c r="A620" i="11"/>
  <c r="A642" i="11"/>
  <c r="A663" i="11"/>
  <c r="A684" i="11"/>
  <c r="A706" i="11"/>
  <c r="A727" i="11"/>
  <c r="A748" i="11"/>
  <c r="A770" i="11"/>
  <c r="A791" i="11"/>
  <c r="A812" i="11"/>
  <c r="A834" i="11"/>
  <c r="A855" i="11"/>
  <c r="A876" i="11"/>
  <c r="A898" i="11"/>
  <c r="A919" i="11"/>
  <c r="A940" i="11"/>
  <c r="A962" i="11"/>
  <c r="A983" i="11"/>
  <c r="A1004" i="11"/>
  <c r="A1026" i="11"/>
  <c r="A1047" i="11"/>
  <c r="A1068" i="11"/>
  <c r="A1090" i="11"/>
  <c r="A1111" i="11"/>
  <c r="A1132" i="11"/>
  <c r="A1154" i="11"/>
  <c r="A1175" i="11"/>
  <c r="A1196" i="11"/>
  <c r="A1218" i="11"/>
  <c r="A1239" i="11"/>
  <c r="A1260" i="11"/>
  <c r="A1282" i="11"/>
  <c r="A1303" i="11"/>
  <c r="A1324" i="11"/>
  <c r="A1346" i="11"/>
  <c r="A1367" i="11"/>
  <c r="A1388" i="11"/>
  <c r="A1410" i="11"/>
  <c r="A1431" i="11"/>
  <c r="A1452" i="11"/>
  <c r="A1474" i="11"/>
  <c r="A1495" i="11"/>
  <c r="A1516" i="11"/>
  <c r="A1538" i="11"/>
  <c r="A1559" i="11"/>
  <c r="A1580" i="11"/>
  <c r="A1602" i="11"/>
  <c r="A1623" i="11"/>
  <c r="A1644" i="11"/>
  <c r="A1666" i="11"/>
  <c r="A1687" i="11"/>
  <c r="A1708" i="11"/>
  <c r="A1730" i="11"/>
  <c r="A1751" i="11"/>
  <c r="A1772" i="11"/>
  <c r="A1794" i="11"/>
  <c r="A1815" i="11"/>
  <c r="A1836" i="11"/>
  <c r="A1858" i="11"/>
  <c r="A1879" i="11"/>
  <c r="A1900" i="11"/>
  <c r="A1922" i="11"/>
  <c r="A1943" i="11"/>
  <c r="A1964" i="11"/>
  <c r="A1986" i="11"/>
  <c r="A2007" i="11"/>
  <c r="A2028" i="11"/>
  <c r="A2050" i="11"/>
  <c r="A2071" i="11"/>
  <c r="A2092" i="11"/>
  <c r="A2114" i="11"/>
  <c r="A2135" i="11"/>
  <c r="A2156" i="11"/>
  <c r="A2178" i="11"/>
  <c r="A2199" i="11"/>
  <c r="A2220" i="11"/>
  <c r="A2242" i="11"/>
  <c r="A2263" i="11"/>
  <c r="A2284" i="11"/>
  <c r="A2306" i="11"/>
  <c r="A2327" i="11"/>
  <c r="A2348" i="11"/>
  <c r="A2370" i="11"/>
  <c r="A2391" i="11"/>
  <c r="A2412" i="11"/>
  <c r="A2434" i="11"/>
  <c r="A2455" i="11"/>
  <c r="A2476" i="11"/>
  <c r="A2498" i="11"/>
  <c r="A2519" i="11"/>
  <c r="A2540" i="11"/>
  <c r="A2562" i="11"/>
  <c r="A2583" i="11"/>
  <c r="A2604" i="11"/>
  <c r="A2626" i="11"/>
  <c r="A2647" i="11"/>
  <c r="A2668" i="11"/>
  <c r="A2690" i="11"/>
  <c r="A2711" i="11"/>
  <c r="A2732" i="11"/>
  <c r="A2754" i="11"/>
  <c r="A2775" i="11"/>
  <c r="A2796" i="11"/>
  <c r="A2818" i="11"/>
  <c r="A2839" i="11"/>
  <c r="A2860" i="11"/>
  <c r="A2882" i="11"/>
  <c r="A2903" i="11"/>
  <c r="A2924" i="11"/>
  <c r="A2946" i="11"/>
  <c r="A2967" i="11"/>
  <c r="A2988" i="11"/>
  <c r="A3010" i="11"/>
  <c r="A3031" i="11"/>
  <c r="A3052" i="11"/>
  <c r="A3074" i="11"/>
  <c r="A3095" i="11"/>
  <c r="A3116" i="11"/>
  <c r="A3138" i="11"/>
  <c r="A3159" i="11"/>
  <c r="A3180" i="11"/>
  <c r="A3202" i="11"/>
  <c r="A3223" i="11"/>
  <c r="A3244" i="11"/>
  <c r="A3266" i="11"/>
  <c r="A3287" i="11"/>
  <c r="A3308" i="11"/>
  <c r="A3330" i="11"/>
  <c r="A3351" i="11"/>
  <c r="A3372" i="11"/>
  <c r="A3394" i="11"/>
  <c r="A3415" i="11"/>
  <c r="A3436" i="11"/>
  <c r="A3458" i="11"/>
  <c r="A3479" i="11"/>
  <c r="A3500" i="11"/>
  <c r="A25" i="11"/>
  <c r="A113" i="11"/>
  <c r="A197" i="11"/>
  <c r="A265" i="11"/>
  <c r="A295" i="11"/>
  <c r="A323" i="11"/>
  <c r="A348" i="11"/>
  <c r="A370" i="11"/>
  <c r="A391" i="11"/>
  <c r="A412" i="11"/>
  <c r="A434" i="11"/>
  <c r="A455" i="11"/>
  <c r="A476" i="11"/>
  <c r="A498" i="11"/>
  <c r="A519" i="11"/>
  <c r="A540" i="11"/>
  <c r="A562" i="11"/>
  <c r="A583" i="11"/>
  <c r="A604" i="11"/>
  <c r="A626" i="11"/>
  <c r="A647" i="11"/>
  <c r="A668" i="11"/>
  <c r="A690" i="11"/>
  <c r="A711" i="11"/>
  <c r="A732" i="11"/>
  <c r="A754" i="11"/>
  <c r="A775" i="11"/>
  <c r="A796" i="11"/>
  <c r="A818" i="11"/>
  <c r="A839" i="11"/>
  <c r="A860" i="11"/>
  <c r="A882" i="11"/>
  <c r="A903" i="11"/>
  <c r="A924" i="11"/>
  <c r="A946" i="11"/>
  <c r="A967" i="11"/>
  <c r="A988" i="11"/>
  <c r="A1010" i="11"/>
  <c r="A1031" i="11"/>
  <c r="A1052" i="11"/>
  <c r="A1074" i="11"/>
  <c r="A1095" i="11"/>
  <c r="A1116" i="11"/>
  <c r="A1138" i="11"/>
  <c r="A1159" i="11"/>
  <c r="A1180" i="11"/>
  <c r="A1202" i="11"/>
  <c r="A1223" i="11"/>
  <c r="A1244" i="11"/>
  <c r="A1266" i="11"/>
  <c r="A1287" i="11"/>
  <c r="A1308" i="11"/>
  <c r="A1330" i="11"/>
  <c r="A1351" i="11"/>
  <c r="A1372" i="11"/>
  <c r="A1394" i="11"/>
  <c r="A1415" i="11"/>
  <c r="A1436" i="11"/>
  <c r="A1458" i="11"/>
  <c r="A1479" i="11"/>
  <c r="A1500" i="11"/>
  <c r="A1522" i="11"/>
  <c r="A1543" i="11"/>
  <c r="A1564" i="11"/>
  <c r="A1586" i="11"/>
  <c r="A1607" i="11"/>
  <c r="A1628" i="11"/>
  <c r="A1650" i="11"/>
  <c r="A1671" i="11"/>
  <c r="A1692" i="11"/>
  <c r="A1714" i="11"/>
  <c r="A1735" i="11"/>
  <c r="A1756" i="11"/>
  <c r="A1778" i="11"/>
  <c r="A1799" i="11"/>
  <c r="A1820" i="11"/>
  <c r="A1842" i="11"/>
  <c r="A1863" i="11"/>
  <c r="A1884" i="11"/>
  <c r="A1906" i="11"/>
  <c r="A1927" i="11"/>
  <c r="A1948" i="11"/>
  <c r="A1970" i="11"/>
  <c r="A1991" i="11"/>
  <c r="A2012" i="11"/>
  <c r="A2034" i="11"/>
  <c r="A2055" i="11"/>
  <c r="A2076" i="11"/>
  <c r="A2098" i="11"/>
  <c r="A2119" i="11"/>
  <c r="A2140" i="11"/>
  <c r="A2162" i="11"/>
  <c r="A2183" i="11"/>
  <c r="A2204" i="11"/>
  <c r="A3490" i="11"/>
  <c r="A3463" i="11"/>
  <c r="A3431" i="11"/>
  <c r="A3404" i="11"/>
  <c r="A3378" i="11"/>
  <c r="A3346" i="11"/>
  <c r="A3319" i="11"/>
  <c r="A3292" i="11"/>
  <c r="A3260" i="11"/>
  <c r="A3234" i="11"/>
  <c r="A3207" i="11"/>
  <c r="A3175" i="11"/>
  <c r="A3148" i="11"/>
  <c r="A3122" i="11"/>
  <c r="A3090" i="11"/>
  <c r="A3063" i="11"/>
  <c r="A3036" i="11"/>
  <c r="A3004" i="11"/>
  <c r="A2978" i="11"/>
  <c r="A2951" i="11"/>
  <c r="A2919" i="11"/>
  <c r="A2892" i="11"/>
  <c r="A2866" i="11"/>
  <c r="A2834" i="11"/>
  <c r="A2807" i="11"/>
  <c r="A2780" i="11"/>
  <c r="A2748" i="11"/>
  <c r="A2722" i="11"/>
  <c r="A2695" i="11"/>
  <c r="A2663" i="11"/>
  <c r="A2636" i="11"/>
  <c r="A2610" i="11"/>
  <c r="A2578" i="11"/>
  <c r="A2551" i="11"/>
  <c r="A2524" i="11"/>
  <c r="A2492" i="11"/>
  <c r="A2466" i="11"/>
  <c r="A2439" i="11"/>
  <c r="A2407" i="11"/>
  <c r="A2380" i="11"/>
  <c r="A2354" i="11"/>
  <c r="A2322" i="11"/>
  <c r="A2295" i="11"/>
  <c r="A2268" i="11"/>
  <c r="A2236" i="11"/>
  <c r="A2210" i="11"/>
  <c r="A2167" i="11"/>
  <c r="A2124" i="11"/>
  <c r="A2082" i="11"/>
  <c r="A2039" i="11"/>
  <c r="A1996" i="11"/>
  <c r="A1954" i="11"/>
  <c r="A1911" i="11"/>
  <c r="A1868" i="11"/>
  <c r="A1826" i="11"/>
  <c r="A1783" i="11"/>
  <c r="A1740" i="11"/>
  <c r="A1698" i="11"/>
  <c r="A1655" i="11"/>
  <c r="A1612" i="11"/>
  <c r="A1570" i="11"/>
  <c r="A1527" i="11"/>
  <c r="A1484" i="11"/>
  <c r="A1442" i="11"/>
  <c r="A1399" i="11"/>
  <c r="A1356" i="11"/>
  <c r="A1314" i="11"/>
  <c r="A1271" i="11"/>
  <c r="A1228" i="11"/>
  <c r="A1186" i="11"/>
  <c r="A1143" i="11"/>
  <c r="A1100" i="11"/>
  <c r="A1058" i="11"/>
  <c r="A1015" i="11"/>
  <c r="A972" i="11"/>
  <c r="A930" i="11"/>
  <c r="A887" i="11"/>
  <c r="A844" i="11"/>
  <c r="A802" i="11"/>
  <c r="A759" i="11"/>
  <c r="A716" i="11"/>
  <c r="A674" i="11"/>
  <c r="A631" i="11"/>
  <c r="A588" i="11"/>
  <c r="A546" i="11"/>
  <c r="A503" i="11"/>
  <c r="A460" i="11"/>
  <c r="A418" i="11"/>
  <c r="A375" i="11"/>
  <c r="A329" i="11"/>
  <c r="A273" i="11"/>
  <c r="A133" i="11"/>
  <c r="A3484" i="11"/>
  <c r="A3452" i="11"/>
  <c r="A3426" i="11"/>
  <c r="A3399" i="11"/>
  <c r="A3367" i="11"/>
  <c r="A3340" i="11"/>
  <c r="A3314" i="11"/>
  <c r="A3282" i="11"/>
  <c r="A3255" i="11"/>
  <c r="A3228" i="11"/>
  <c r="A3196" i="11"/>
  <c r="A3170" i="11"/>
  <c r="A3143" i="11"/>
  <c r="A3111" i="11"/>
  <c r="A3084" i="11"/>
  <c r="A3058" i="11"/>
  <c r="A3026" i="11"/>
  <c r="A2999" i="11"/>
  <c r="A2972" i="11"/>
  <c r="A2940" i="11"/>
  <c r="A2914" i="11"/>
  <c r="A2887" i="11"/>
  <c r="A2855" i="11"/>
  <c r="A2828" i="11"/>
  <c r="A2802" i="11"/>
  <c r="A2770" i="11"/>
  <c r="A2743" i="11"/>
  <c r="A2716" i="11"/>
  <c r="A2684" i="11"/>
  <c r="A2658" i="11"/>
  <c r="A2631" i="11"/>
  <c r="A2599" i="11"/>
  <c r="A2572" i="11"/>
  <c r="A2546" i="11"/>
  <c r="A2514" i="11"/>
  <c r="A2487" i="11"/>
  <c r="A2460" i="11"/>
  <c r="A2428" i="11"/>
  <c r="A2402" i="11"/>
  <c r="A2375" i="11"/>
  <c r="A2343" i="11"/>
  <c r="A2316" i="11"/>
  <c r="A2290" i="11"/>
  <c r="A2258" i="11"/>
  <c r="A2231" i="11"/>
  <c r="A2194" i="11"/>
  <c r="A2151" i="11"/>
  <c r="A2108" i="11"/>
  <c r="A2066" i="11"/>
  <c r="A2023" i="11"/>
  <c r="A1980" i="11"/>
  <c r="A1938" i="11"/>
  <c r="A1895" i="11"/>
  <c r="A1852" i="11"/>
  <c r="A1810" i="11"/>
  <c r="A1767" i="11"/>
  <c r="A1724" i="11"/>
  <c r="A1682" i="11"/>
  <c r="A1639" i="11"/>
  <c r="A1596" i="11"/>
  <c r="A1554" i="11"/>
  <c r="A1511" i="11"/>
  <c r="A1468" i="11"/>
  <c r="A1426" i="11"/>
  <c r="A1383" i="11"/>
  <c r="A1340" i="11"/>
  <c r="A1298" i="11"/>
  <c r="A1255" i="11"/>
  <c r="A1212" i="11"/>
  <c r="A1170" i="11"/>
  <c r="A1127" i="11"/>
  <c r="A1084" i="11"/>
  <c r="A1042" i="11"/>
  <c r="A999" i="11"/>
  <c r="A956" i="11"/>
  <c r="A914" i="11"/>
  <c r="A871" i="11"/>
  <c r="A828" i="11"/>
  <c r="A786" i="11"/>
  <c r="A743" i="11"/>
  <c r="A700" i="11"/>
  <c r="A658" i="11"/>
  <c r="A615" i="11"/>
  <c r="A572" i="11"/>
  <c r="A530" i="11"/>
  <c r="A487" i="11"/>
  <c r="A444" i="11"/>
  <c r="A402" i="11"/>
  <c r="A359" i="11"/>
  <c r="A308" i="11"/>
  <c r="A241" i="11"/>
  <c r="A69" i="11"/>
  <c r="B3496" i="11"/>
  <c r="B3486" i="11"/>
  <c r="B3475" i="11"/>
  <c r="B3464" i="11"/>
  <c r="B3454" i="11"/>
  <c r="B3443" i="11"/>
  <c r="B3432" i="11"/>
  <c r="B3422" i="11"/>
  <c r="B3411" i="11"/>
  <c r="B3400" i="11"/>
  <c r="B3390" i="11"/>
  <c r="B3379" i="11"/>
  <c r="B3368" i="11"/>
  <c r="B3358" i="11"/>
  <c r="B3347" i="11"/>
  <c r="B3336" i="11"/>
  <c r="B3326" i="11"/>
  <c r="B3315" i="11"/>
  <c r="B3304" i="11"/>
  <c r="B3294" i="11"/>
  <c r="B3283" i="11"/>
  <c r="B3272" i="11"/>
  <c r="B3262" i="11"/>
  <c r="B3251" i="11"/>
  <c r="B3240" i="11"/>
  <c r="B3230" i="11"/>
  <c r="B3219" i="11"/>
  <c r="B3208" i="11"/>
  <c r="B3198" i="11"/>
  <c r="B3187" i="11"/>
  <c r="B3176" i="11"/>
  <c r="B3166" i="11"/>
  <c r="B3155" i="11"/>
  <c r="B3144" i="11"/>
  <c r="B3134" i="11"/>
  <c r="B3123" i="11"/>
  <c r="B3112" i="11"/>
  <c r="B3102" i="11"/>
  <c r="B3091" i="11"/>
  <c r="B3080" i="11"/>
  <c r="B3070" i="11"/>
  <c r="B3059" i="11"/>
  <c r="B3048" i="11"/>
  <c r="B3038" i="11"/>
  <c r="B3027" i="11"/>
  <c r="B3016" i="11"/>
  <c r="B3006" i="11"/>
  <c r="B2998" i="11"/>
  <c r="B2988" i="11"/>
  <c r="B2978" i="11"/>
  <c r="B2967" i="11"/>
  <c r="B2956" i="11"/>
  <c r="B2946" i="11"/>
  <c r="B2935" i="11"/>
  <c r="B2924" i="11"/>
  <c r="B2914" i="11"/>
  <c r="B2903" i="11"/>
  <c r="B2892" i="11"/>
  <c r="B2882" i="11"/>
  <c r="B2871" i="11"/>
  <c r="B2860" i="11"/>
  <c r="B2850" i="11"/>
  <c r="B2839" i="11"/>
  <c r="B2828" i="11"/>
  <c r="B2818" i="11"/>
  <c r="B2807" i="11"/>
  <c r="B2796" i="11"/>
  <c r="B2786" i="11"/>
  <c r="B2775" i="11"/>
  <c r="B2764" i="11"/>
  <c r="B2754" i="11"/>
  <c r="B2743" i="11"/>
  <c r="B2732" i="11"/>
  <c r="B2722" i="11"/>
  <c r="B2711" i="11"/>
  <c r="B2700" i="11"/>
  <c r="B2690" i="11"/>
  <c r="B2679" i="11"/>
  <c r="B2668" i="11"/>
  <c r="B2658" i="11"/>
  <c r="B2647" i="11"/>
  <c r="B2636" i="11"/>
  <c r="B2626" i="11"/>
  <c r="B2615" i="11"/>
  <c r="B2604" i="11"/>
  <c r="B2594" i="11"/>
  <c r="B2583" i="11"/>
  <c r="B2572" i="11"/>
  <c r="B2562" i="11"/>
  <c r="B2551" i="11"/>
  <c r="B2540" i="11"/>
  <c r="B2530" i="11"/>
  <c r="B2519" i="11"/>
  <c r="B2508" i="11"/>
  <c r="B2498" i="11"/>
  <c r="B2487" i="11"/>
  <c r="B2476" i="11"/>
  <c r="B2466" i="11"/>
  <c r="B2455" i="11"/>
  <c r="B2444" i="11"/>
  <c r="B2434" i="11"/>
  <c r="B2423" i="11"/>
  <c r="B2412" i="11"/>
  <c r="B2402" i="11"/>
  <c r="B2391" i="11"/>
  <c r="B2380" i="11"/>
  <c r="B2370" i="11"/>
  <c r="B2359" i="11"/>
  <c r="B2348" i="11"/>
  <c r="B2338" i="11"/>
  <c r="B2327" i="11"/>
  <c r="B2316" i="11"/>
  <c r="B2306" i="11"/>
  <c r="B2295" i="11"/>
  <c r="B2284" i="11"/>
  <c r="B2274" i="11"/>
  <c r="B2263" i="11"/>
  <c r="B2252" i="11"/>
  <c r="B2242" i="11"/>
  <c r="B2231" i="11"/>
  <c r="B2220" i="11"/>
  <c r="B2210" i="11"/>
  <c r="B2199" i="11"/>
  <c r="B2188" i="11"/>
  <c r="B2178" i="11"/>
  <c r="B2167" i="11"/>
  <c r="B2156" i="11"/>
  <c r="B2146" i="11"/>
  <c r="B2135" i="11"/>
  <c r="B2124" i="11"/>
  <c r="B2114" i="11"/>
  <c r="B2103" i="11"/>
  <c r="B2092" i="11"/>
  <c r="B2082" i="11"/>
  <c r="B2071" i="11"/>
  <c r="B2060" i="11"/>
  <c r="B2050" i="11"/>
  <c r="B2039" i="11"/>
  <c r="B2028" i="11"/>
  <c r="B2018" i="11"/>
  <c r="B2007" i="11"/>
  <c r="B1996" i="11"/>
  <c r="B1986" i="11"/>
  <c r="B1975" i="11"/>
  <c r="B1964" i="11"/>
  <c r="B1954" i="11"/>
  <c r="B1943" i="11"/>
  <c r="B1932" i="11"/>
  <c r="B1922" i="11"/>
  <c r="B1911" i="11"/>
  <c r="B1900" i="11"/>
  <c r="B1890" i="11"/>
  <c r="B1879" i="11"/>
  <c r="B1868" i="11"/>
  <c r="B1858" i="11"/>
  <c r="B1847" i="11"/>
  <c r="B1836" i="11"/>
  <c r="B1826" i="11"/>
  <c r="B1815" i="11"/>
  <c r="B1804" i="11"/>
  <c r="B1794" i="11"/>
  <c r="B1783" i="11"/>
  <c r="B1772" i="11"/>
  <c r="B1762" i="11"/>
  <c r="B1751" i="11"/>
  <c r="B1740" i="11"/>
  <c r="B1730" i="11"/>
  <c r="B1719" i="11"/>
  <c r="B1708" i="11"/>
  <c r="B1698" i="11"/>
  <c r="B1687" i="11"/>
  <c r="B1676" i="11"/>
  <c r="B1666" i="11"/>
  <c r="B1655" i="11"/>
  <c r="B1644" i="11"/>
  <c r="B1634" i="11"/>
  <c r="B1623" i="11"/>
  <c r="B1612" i="11"/>
  <c r="B1602" i="11"/>
  <c r="B1591" i="11"/>
  <c r="B1580" i="11"/>
  <c r="B1570" i="11"/>
  <c r="B1559" i="11"/>
  <c r="B1548" i="11"/>
  <c r="B1538" i="11"/>
  <c r="B1527" i="11"/>
  <c r="B1516" i="11"/>
  <c r="B1506" i="11"/>
  <c r="B1495" i="11"/>
  <c r="B1484" i="11"/>
  <c r="B1474" i="11"/>
  <c r="B1463" i="11"/>
  <c r="B1452" i="11"/>
  <c r="B1442" i="11"/>
  <c r="B1431" i="11"/>
  <c r="B1420" i="11"/>
  <c r="B1410" i="11"/>
  <c r="B1399" i="11"/>
  <c r="B1388" i="11"/>
  <c r="B1378" i="11"/>
  <c r="B1367" i="11"/>
  <c r="B1356" i="11"/>
  <c r="B1346" i="11"/>
  <c r="B1335" i="11"/>
  <c r="B1324" i="11"/>
  <c r="B1314" i="11"/>
  <c r="B1303" i="11"/>
  <c r="B1289" i="11"/>
  <c r="B1276" i="11"/>
  <c r="B1261" i="11"/>
  <c r="B1247" i="11"/>
  <c r="B1233" i="11"/>
  <c r="B1219" i="11"/>
  <c r="B1204" i="11"/>
  <c r="B1191" i="11"/>
  <c r="B1176" i="11"/>
  <c r="B1161" i="11"/>
  <c r="B1148" i="11"/>
  <c r="B1133" i="11"/>
  <c r="B1119" i="11"/>
  <c r="B1105" i="11"/>
  <c r="B1091" i="11"/>
  <c r="B1076" i="11"/>
  <c r="B1063" i="11"/>
  <c r="B1048" i="11"/>
  <c r="B1033" i="11"/>
  <c r="B1020" i="11"/>
  <c r="B1005" i="11"/>
  <c r="B991" i="11"/>
  <c r="B977" i="11"/>
  <c r="B963" i="11"/>
  <c r="B948" i="11"/>
  <c r="B935" i="11"/>
  <c r="B920" i="11"/>
  <c r="B905" i="11"/>
  <c r="B892" i="11"/>
  <c r="B877" i="11"/>
  <c r="B863" i="11"/>
  <c r="B849" i="11"/>
  <c r="B835" i="11"/>
  <c r="B820" i="11"/>
  <c r="B807" i="11"/>
  <c r="B792" i="11"/>
  <c r="B777" i="11"/>
  <c r="B764" i="11"/>
  <c r="B749" i="11"/>
  <c r="B735" i="11"/>
  <c r="B721" i="11"/>
  <c r="B707" i="11"/>
  <c r="B692" i="11"/>
  <c r="B679" i="11"/>
  <c r="B664" i="11"/>
  <c r="B649" i="11"/>
  <c r="B636" i="11"/>
  <c r="B621" i="11"/>
  <c r="B607" i="11"/>
  <c r="B593" i="11"/>
  <c r="B579" i="11"/>
  <c r="B564" i="11"/>
  <c r="B551" i="11"/>
  <c r="B536" i="11"/>
  <c r="B521" i="11"/>
  <c r="B508" i="11"/>
  <c r="B493" i="11"/>
  <c r="B479" i="11"/>
  <c r="B465" i="11"/>
  <c r="B451" i="11"/>
  <c r="B436" i="11"/>
  <c r="B423" i="11"/>
  <c r="B408" i="11"/>
  <c r="B393" i="11"/>
  <c r="B380" i="11"/>
  <c r="B365" i="11"/>
  <c r="B351" i="11"/>
  <c r="B333" i="11"/>
  <c r="B305" i="11"/>
  <c r="B275" i="11"/>
  <c r="B249" i="11"/>
  <c r="B219" i="11"/>
  <c r="B189" i="11"/>
  <c r="B141" i="11"/>
  <c r="B81" i="11"/>
  <c r="A3495" i="11"/>
  <c r="A3468" i="11"/>
  <c r="A3442" i="11"/>
  <c r="A3410" i="11"/>
  <c r="A3383" i="11"/>
  <c r="A3356" i="11"/>
  <c r="A3324" i="11"/>
  <c r="A3298" i="11"/>
  <c r="A3271" i="11"/>
  <c r="A3239" i="11"/>
  <c r="A3212" i="11"/>
  <c r="A3186" i="11"/>
  <c r="A3154" i="11"/>
  <c r="A3127" i="11"/>
  <c r="A3100" i="11"/>
  <c r="A3068" i="11"/>
  <c r="A3042" i="11"/>
  <c r="A3015" i="11"/>
  <c r="A2983" i="11"/>
  <c r="A2956" i="11"/>
  <c r="A2930" i="11"/>
  <c r="A2898" i="11"/>
  <c r="A2871" i="11"/>
  <c r="A2844" i="11"/>
  <c r="A2812" i="11"/>
  <c r="A2786" i="11"/>
  <c r="A2759" i="11"/>
  <c r="A2727" i="11"/>
  <c r="A2700" i="11"/>
  <c r="A2674" i="11"/>
  <c r="A2642" i="11"/>
  <c r="A2615" i="11"/>
  <c r="A2588" i="11"/>
  <c r="A2556" i="11"/>
  <c r="A2530" i="11"/>
  <c r="A2503" i="11"/>
  <c r="A2471" i="11"/>
  <c r="A2444" i="11"/>
  <c r="A2418" i="11"/>
  <c r="A2386" i="11"/>
  <c r="A2359" i="11"/>
  <c r="A2332" i="11"/>
  <c r="A2300" i="11"/>
  <c r="A2274" i="11"/>
  <c r="A2247" i="11"/>
  <c r="A2215" i="11"/>
  <c r="A2172" i="11"/>
  <c r="A2130" i="11"/>
  <c r="A2087" i="11"/>
  <c r="A2044" i="11"/>
  <c r="A2002" i="11"/>
  <c r="A1959" i="11"/>
  <c r="A1916" i="11"/>
  <c r="A1874" i="11"/>
  <c r="A1831" i="11"/>
  <c r="A1788" i="11"/>
  <c r="A1746" i="11"/>
  <c r="A1703" i="11"/>
  <c r="A1660" i="11"/>
  <c r="A1618" i="11"/>
  <c r="A1575" i="11"/>
  <c r="A1532" i="11"/>
  <c r="A1490" i="11"/>
  <c r="A1447" i="11"/>
  <c r="A1404" i="11"/>
  <c r="A1362" i="11"/>
  <c r="A1319" i="11"/>
  <c r="A1276" i="11"/>
  <c r="A1234" i="11"/>
  <c r="A1191" i="11"/>
  <c r="A1148" i="11"/>
  <c r="A1106" i="11"/>
  <c r="A1063" i="11"/>
  <c r="A1020" i="11"/>
  <c r="A978" i="11"/>
  <c r="A935" i="11"/>
  <c r="A892" i="11"/>
  <c r="A850" i="11"/>
  <c r="A807" i="11"/>
  <c r="A764" i="11"/>
  <c r="A722" i="11"/>
  <c r="A679" i="11"/>
  <c r="A636" i="11"/>
  <c r="A594" i="11"/>
  <c r="A551" i="11"/>
  <c r="A508" i="11"/>
  <c r="A466" i="11"/>
  <c r="A423" i="11"/>
  <c r="A380" i="11"/>
  <c r="A337" i="11"/>
  <c r="A280" i="11"/>
  <c r="A153" i="11"/>
  <c r="A3474" i="11"/>
  <c r="A3447" i="11"/>
  <c r="A3420" i="11"/>
  <c r="A3388" i="11"/>
  <c r="A3362" i="11"/>
  <c r="A3335" i="11"/>
  <c r="A3303" i="11"/>
  <c r="A3276" i="11"/>
  <c r="A3250" i="11"/>
  <c r="A3218" i="11"/>
  <c r="A3191" i="11"/>
  <c r="A3164" i="11"/>
  <c r="A3132" i="11"/>
  <c r="A3106" i="11"/>
  <c r="A3079" i="11"/>
  <c r="A3047" i="11"/>
  <c r="A3020" i="11"/>
  <c r="A2994" i="11"/>
  <c r="A2962" i="11"/>
  <c r="A2935" i="11"/>
  <c r="A2908" i="11"/>
  <c r="A2876" i="11"/>
  <c r="A2850" i="11"/>
  <c r="A2823" i="11"/>
  <c r="A2791" i="11"/>
  <c r="A2764" i="11"/>
  <c r="A2738" i="11"/>
  <c r="A2706" i="11"/>
  <c r="A2679" i="11"/>
  <c r="A2652" i="11"/>
  <c r="A2620" i="11"/>
  <c r="A2594" i="11"/>
  <c r="A2567" i="11"/>
  <c r="A2535" i="11"/>
  <c r="A2508" i="11"/>
  <c r="A2482" i="11"/>
  <c r="A2450" i="11"/>
  <c r="A2423" i="11"/>
  <c r="A2396" i="11"/>
  <c r="A2364" i="11"/>
  <c r="A2338" i="11"/>
  <c r="A2311" i="11"/>
  <c r="A2279" i="11"/>
  <c r="A2252" i="11"/>
  <c r="A2226" i="11"/>
  <c r="A2188" i="11"/>
  <c r="A2146" i="11"/>
  <c r="A2103" i="11"/>
  <c r="A2060" i="11"/>
  <c r="A2018" i="11"/>
  <c r="A1975" i="11"/>
  <c r="A1932" i="11"/>
  <c r="A1890" i="11"/>
  <c r="A1847" i="11"/>
  <c r="A1804" i="11"/>
  <c r="A1762" i="11"/>
  <c r="A1719" i="11"/>
  <c r="A1676" i="11"/>
  <c r="A1634" i="11"/>
  <c r="A1591" i="11"/>
  <c r="A1548" i="11"/>
  <c r="A1506" i="11"/>
  <c r="A1463" i="11"/>
  <c r="A1420" i="11"/>
  <c r="A1378" i="11"/>
  <c r="A1335" i="11"/>
  <c r="A1292" i="11"/>
  <c r="A1250" i="11"/>
  <c r="A1207" i="11"/>
  <c r="A1164" i="11"/>
  <c r="A1122" i="11"/>
  <c r="A1079" i="11"/>
  <c r="A1036" i="11"/>
  <c r="A994" i="11"/>
  <c r="A951" i="11"/>
  <c r="A908" i="11"/>
  <c r="A866" i="11"/>
  <c r="A823" i="11"/>
  <c r="A780" i="11"/>
  <c r="A738" i="11"/>
  <c r="A695" i="11"/>
  <c r="A652" i="11"/>
  <c r="A610" i="11"/>
  <c r="A567" i="11"/>
  <c r="A524" i="11"/>
  <c r="A482" i="11"/>
  <c r="A439" i="11"/>
  <c r="A396" i="11"/>
  <c r="A354" i="11"/>
  <c r="A301" i="11"/>
  <c r="A217" i="11"/>
  <c r="A49" i="11"/>
  <c r="B9" i="11"/>
  <c r="B13" i="11"/>
  <c r="B41" i="11"/>
  <c r="B65" i="11"/>
  <c r="B97" i="11"/>
  <c r="B125" i="11"/>
  <c r="B153" i="11"/>
  <c r="B185" i="11"/>
  <c r="B197" i="11"/>
  <c r="B211" i="11"/>
  <c r="B227" i="11"/>
  <c r="B241" i="11"/>
  <c r="B253" i="11"/>
  <c r="B269" i="11"/>
  <c r="B283" i="11"/>
  <c r="B297" i="11"/>
  <c r="B313" i="11"/>
  <c r="B325" i="11"/>
  <c r="B339" i="11"/>
  <c r="B348" i="11"/>
  <c r="B355" i="11"/>
  <c r="B361" i="11"/>
  <c r="B369" i="11"/>
  <c r="B376" i="11"/>
  <c r="B383" i="11"/>
  <c r="B391" i="11"/>
  <c r="B397" i="11"/>
  <c r="B404" i="11"/>
  <c r="B412" i="11"/>
  <c r="B419" i="11"/>
  <c r="B425" i="11"/>
  <c r="B433" i="11"/>
  <c r="B440" i="11"/>
  <c r="B447" i="11"/>
  <c r="B455" i="11"/>
  <c r="B461" i="11"/>
  <c r="B468" i="11"/>
  <c r="B476" i="11"/>
  <c r="B483" i="11"/>
  <c r="B489" i="11"/>
  <c r="B497" i="11"/>
  <c r="B504" i="11"/>
  <c r="B511" i="11"/>
  <c r="B519" i="11"/>
  <c r="B525" i="11"/>
  <c r="B532" i="11"/>
  <c r="B540" i="11"/>
  <c r="B547" i="11"/>
  <c r="B553" i="11"/>
  <c r="B561" i="11"/>
  <c r="B568" i="11"/>
  <c r="B575" i="11"/>
  <c r="B583" i="11"/>
  <c r="B589" i="11"/>
  <c r="B596" i="11"/>
  <c r="B604" i="11"/>
  <c r="B611" i="11"/>
  <c r="B617" i="11"/>
  <c r="B625" i="11"/>
  <c r="B632" i="11"/>
  <c r="B639" i="11"/>
  <c r="B647" i="11"/>
  <c r="B653" i="11"/>
  <c r="B660" i="11"/>
  <c r="B668" i="11"/>
  <c r="B675" i="11"/>
  <c r="B681" i="11"/>
  <c r="B689" i="11"/>
  <c r="B696" i="11"/>
  <c r="B703" i="11"/>
  <c r="B711" i="11"/>
  <c r="B717" i="11"/>
  <c r="B724" i="11"/>
  <c r="B732" i="11"/>
  <c r="B739" i="11"/>
  <c r="B745" i="11"/>
  <c r="B753" i="11"/>
  <c r="B760" i="11"/>
  <c r="B767" i="11"/>
  <c r="B775" i="11"/>
  <c r="B781" i="11"/>
  <c r="B788" i="11"/>
  <c r="B796" i="11"/>
  <c r="B803" i="11"/>
  <c r="B809" i="11"/>
  <c r="B817" i="11"/>
  <c r="B824" i="11"/>
  <c r="B831" i="11"/>
  <c r="B839" i="11"/>
  <c r="B845" i="11"/>
  <c r="B852" i="11"/>
  <c r="B860" i="11"/>
  <c r="B867" i="11"/>
  <c r="B873" i="11"/>
  <c r="B881" i="11"/>
  <c r="B888" i="11"/>
  <c r="B895" i="11"/>
  <c r="B903" i="11"/>
  <c r="B909" i="11"/>
  <c r="B916" i="11"/>
  <c r="B924" i="11"/>
  <c r="B931" i="11"/>
  <c r="B937" i="11"/>
  <c r="B945" i="11"/>
  <c r="B952" i="11"/>
  <c r="B959" i="11"/>
  <c r="B967" i="11"/>
  <c r="B973" i="11"/>
  <c r="B980" i="11"/>
  <c r="B988" i="11"/>
  <c r="B995" i="11"/>
  <c r="B1001" i="11"/>
  <c r="B1009" i="11"/>
  <c r="B1016" i="11"/>
  <c r="B1023" i="11"/>
  <c r="B1031" i="11"/>
  <c r="B1037" i="11"/>
  <c r="B1044" i="11"/>
  <c r="B1052" i="11"/>
  <c r="B1059" i="11"/>
  <c r="B1065" i="11"/>
  <c r="B1073" i="11"/>
  <c r="B1080" i="11"/>
  <c r="B1087" i="11"/>
  <c r="B1095" i="11"/>
  <c r="B1101" i="11"/>
  <c r="B1108" i="11"/>
  <c r="B1116" i="11"/>
  <c r="B1123" i="11"/>
  <c r="B1129" i="11"/>
  <c r="B1137" i="11"/>
  <c r="B1144" i="11"/>
  <c r="B1151" i="11"/>
  <c r="B1159" i="11"/>
  <c r="B1165" i="11"/>
  <c r="B1172" i="11"/>
  <c r="B1180" i="11"/>
  <c r="B1187" i="11"/>
  <c r="B1193" i="11"/>
  <c r="B1201" i="11"/>
  <c r="B1208" i="11"/>
  <c r="B1215" i="11"/>
  <c r="B1223" i="11"/>
  <c r="B1229" i="11"/>
  <c r="B1236" i="11"/>
  <c r="B1244" i="11"/>
  <c r="B1251" i="11"/>
  <c r="B1257" i="11"/>
  <c r="B1265" i="11"/>
  <c r="B1272" i="11"/>
  <c r="B1279" i="11"/>
  <c r="B1287" i="11"/>
  <c r="B1293" i="11"/>
  <c r="B1300" i="11"/>
  <c r="B1306" i="11"/>
  <c r="B1311" i="11"/>
  <c r="B1316" i="11"/>
  <c r="B1322" i="11"/>
  <c r="B1327" i="11"/>
  <c r="B1332" i="11"/>
  <c r="B1338" i="11"/>
  <c r="B1343" i="11"/>
  <c r="B1348" i="11"/>
  <c r="B1354" i="11"/>
  <c r="B1359" i="11"/>
  <c r="B1364" i="11"/>
  <c r="B1370" i="11"/>
  <c r="B1375" i="11"/>
  <c r="B1380" i="11"/>
  <c r="B1386" i="11"/>
  <c r="B1391" i="11"/>
  <c r="B1396" i="11"/>
  <c r="B1402" i="11"/>
  <c r="B1407" i="11"/>
  <c r="B1412" i="11"/>
  <c r="B1418" i="11"/>
  <c r="B1423" i="11"/>
  <c r="B1428" i="11"/>
  <c r="B1434" i="11"/>
  <c r="B1439" i="11"/>
  <c r="B1444" i="11"/>
  <c r="B1450" i="11"/>
  <c r="B1455" i="11"/>
  <c r="B1460" i="11"/>
  <c r="B1466" i="11"/>
  <c r="B1471" i="11"/>
  <c r="B1476" i="11"/>
  <c r="B1482" i="11"/>
  <c r="B1487" i="11"/>
  <c r="B1492" i="11"/>
  <c r="B1498" i="11"/>
  <c r="B1503" i="11"/>
  <c r="B1508" i="11"/>
  <c r="B1514" i="11"/>
  <c r="B1519" i="11"/>
  <c r="B1524" i="11"/>
  <c r="B1530" i="11"/>
  <c r="B1535" i="11"/>
  <c r="B1540" i="11"/>
  <c r="B1546" i="11"/>
  <c r="B1551" i="11"/>
  <c r="B1556" i="11"/>
  <c r="B1562" i="11"/>
  <c r="B1567" i="11"/>
  <c r="B1572" i="11"/>
  <c r="B1578" i="11"/>
  <c r="B1583" i="11"/>
  <c r="B1588" i="11"/>
  <c r="B1594" i="11"/>
  <c r="B1599" i="11"/>
  <c r="B1604" i="11"/>
  <c r="B1610" i="11"/>
  <c r="B1615" i="11"/>
  <c r="B1620" i="11"/>
  <c r="B1626" i="11"/>
  <c r="B1631" i="11"/>
  <c r="B1636" i="11"/>
  <c r="B1642" i="11"/>
  <c r="B1647" i="11"/>
  <c r="B1652" i="11"/>
  <c r="B1658" i="11"/>
  <c r="B1663" i="11"/>
  <c r="B1668" i="11"/>
  <c r="B1674" i="11"/>
  <c r="B1679" i="11"/>
  <c r="B1684" i="11"/>
  <c r="B1690" i="11"/>
  <c r="B1695" i="11"/>
  <c r="B1700" i="11"/>
  <c r="B1706" i="11"/>
  <c r="B1711" i="11"/>
  <c r="B1716" i="11"/>
  <c r="B1722" i="11"/>
  <c r="B1727" i="11"/>
  <c r="B1732" i="11"/>
  <c r="B1738" i="11"/>
  <c r="B1743" i="11"/>
  <c r="B1748" i="11"/>
  <c r="B1754" i="11"/>
  <c r="B1759" i="11"/>
  <c r="B1764" i="11"/>
  <c r="B1770" i="11"/>
  <c r="B1775" i="11"/>
  <c r="B1780" i="11"/>
  <c r="B1786" i="11"/>
  <c r="B1791" i="11"/>
  <c r="B1796" i="11"/>
  <c r="B1802" i="11"/>
  <c r="B1807" i="11"/>
  <c r="B1812" i="11"/>
  <c r="B1818" i="11"/>
  <c r="B1823" i="11"/>
  <c r="B1828" i="11"/>
  <c r="B1834" i="11"/>
  <c r="B1839" i="11"/>
  <c r="B1844" i="11"/>
  <c r="B1850" i="11"/>
  <c r="B1855" i="11"/>
  <c r="B1860" i="11"/>
  <c r="B1866" i="11"/>
  <c r="B1871" i="11"/>
  <c r="B1876" i="11"/>
  <c r="B1882" i="11"/>
  <c r="B1887" i="11"/>
  <c r="B1892" i="11"/>
  <c r="B1898" i="11"/>
  <c r="B1903" i="11"/>
  <c r="B1908" i="11"/>
  <c r="B1914" i="11"/>
  <c r="B1919" i="11"/>
  <c r="B1924" i="11"/>
  <c r="B1930" i="11"/>
  <c r="B1935" i="11"/>
  <c r="B1940" i="11"/>
  <c r="B1946" i="11"/>
  <c r="B1951" i="11"/>
  <c r="B1956" i="11"/>
  <c r="B1962" i="11"/>
  <c r="B1967" i="11"/>
  <c r="B1972" i="11"/>
  <c r="B1978" i="11"/>
  <c r="B1983" i="11"/>
  <c r="B1988" i="11"/>
  <c r="B1994" i="11"/>
  <c r="B1999" i="11"/>
  <c r="B2004" i="11"/>
  <c r="B2010" i="11"/>
  <c r="B2015" i="11"/>
  <c r="B2020" i="11"/>
  <c r="B2026" i="11"/>
  <c r="B2031" i="11"/>
  <c r="B2036" i="11"/>
  <c r="B2042" i="11"/>
  <c r="B2047" i="11"/>
  <c r="B2052" i="11"/>
  <c r="B2058" i="11"/>
  <c r="B2063" i="11"/>
  <c r="B2068" i="11"/>
  <c r="B2074" i="11"/>
  <c r="B2079" i="11"/>
  <c r="B2084" i="11"/>
  <c r="B2090" i="11"/>
  <c r="B2095" i="11"/>
  <c r="B2100" i="11"/>
  <c r="B2106" i="11"/>
  <c r="B2111" i="11"/>
  <c r="B2116" i="11"/>
  <c r="B2122" i="11"/>
  <c r="B2127" i="11"/>
  <c r="B2132" i="11"/>
  <c r="B2138" i="11"/>
  <c r="B2143" i="11"/>
  <c r="B2148" i="11"/>
  <c r="B2154" i="11"/>
  <c r="B2159" i="11"/>
  <c r="B2164" i="11"/>
  <c r="B2170" i="11"/>
  <c r="B2175" i="11"/>
  <c r="B2180" i="11"/>
  <c r="B2186" i="11"/>
  <c r="B2191" i="11"/>
  <c r="B2196" i="11"/>
  <c r="B2202" i="11"/>
  <c r="B2207" i="11"/>
  <c r="B2212" i="11"/>
  <c r="B2218" i="11"/>
  <c r="B2223" i="11"/>
  <c r="B2228" i="11"/>
  <c r="B2234" i="11"/>
  <c r="B2239" i="11"/>
  <c r="B2244" i="11"/>
  <c r="B2250" i="11"/>
  <c r="B2255" i="11"/>
  <c r="B2260" i="11"/>
  <c r="B2266" i="11"/>
  <c r="B2271" i="11"/>
  <c r="B2276" i="11"/>
  <c r="B2282" i="11"/>
  <c r="B2287" i="11"/>
  <c r="B2292" i="11"/>
  <c r="B2298" i="11"/>
  <c r="B2303" i="11"/>
  <c r="B2308" i="11"/>
  <c r="B2314" i="11"/>
  <c r="B2319" i="11"/>
  <c r="B2324" i="11"/>
  <c r="B2330" i="11"/>
  <c r="B2335" i="11"/>
  <c r="B2340" i="11"/>
  <c r="B2346" i="11"/>
  <c r="B2351" i="11"/>
  <c r="B2356" i="11"/>
  <c r="B2362" i="11"/>
  <c r="B2367" i="11"/>
  <c r="B2372" i="11"/>
  <c r="B2378" i="11"/>
  <c r="B2383" i="11"/>
  <c r="B2388" i="11"/>
  <c r="B2394" i="11"/>
  <c r="B2399" i="11"/>
  <c r="B2404" i="11"/>
  <c r="B2410" i="11"/>
  <c r="B2415" i="11"/>
  <c r="B2420" i="11"/>
  <c r="B2426" i="11"/>
  <c r="B2431" i="11"/>
  <c r="B2436" i="11"/>
  <c r="B2442" i="11"/>
  <c r="B2447" i="11"/>
  <c r="B2452" i="11"/>
  <c r="B2458" i="11"/>
  <c r="B2463" i="11"/>
  <c r="B2468" i="11"/>
  <c r="B2474" i="11"/>
  <c r="B2479" i="11"/>
  <c r="B2484" i="11"/>
  <c r="B2490" i="11"/>
  <c r="B2495" i="11"/>
  <c r="B2500" i="11"/>
  <c r="B2506" i="11"/>
  <c r="B2511" i="11"/>
  <c r="B2516" i="11"/>
  <c r="B2522" i="11"/>
  <c r="B2527" i="11"/>
  <c r="B2532" i="11"/>
  <c r="B2538" i="11"/>
  <c r="B2543" i="11"/>
  <c r="B2548" i="11"/>
  <c r="B2554" i="11"/>
  <c r="B2559" i="11"/>
  <c r="B2564" i="11"/>
  <c r="B2570" i="11"/>
  <c r="B2575" i="11"/>
  <c r="B2580" i="11"/>
  <c r="B2586" i="11"/>
  <c r="B2591" i="11"/>
  <c r="B2596" i="11"/>
  <c r="B2602" i="11"/>
  <c r="B2607" i="11"/>
  <c r="B2612" i="11"/>
  <c r="B2618" i="11"/>
  <c r="B2623" i="11"/>
  <c r="B2628" i="11"/>
  <c r="B2634" i="11"/>
  <c r="B2639" i="11"/>
  <c r="B2644" i="11"/>
  <c r="B2650" i="11"/>
  <c r="B2655" i="11"/>
  <c r="B2660" i="11"/>
  <c r="B2666" i="11"/>
  <c r="B2671" i="11"/>
  <c r="B2676" i="11"/>
  <c r="B2682" i="11"/>
  <c r="B2687" i="11"/>
  <c r="B2692" i="11"/>
  <c r="B2698" i="11"/>
  <c r="B2703" i="11"/>
  <c r="B2708" i="11"/>
  <c r="B2714" i="11"/>
  <c r="B2719" i="11"/>
  <c r="B2724" i="11"/>
  <c r="B2730" i="11"/>
  <c r="B2735" i="11"/>
  <c r="B2740" i="11"/>
  <c r="B2746" i="11"/>
  <c r="B2751" i="11"/>
  <c r="B2756" i="11"/>
  <c r="B2762" i="11"/>
  <c r="B2767" i="11"/>
  <c r="B2772" i="11"/>
  <c r="B2778" i="11"/>
  <c r="B2783" i="11"/>
  <c r="B2788" i="11"/>
  <c r="B2794" i="11"/>
  <c r="B2799" i="11"/>
  <c r="B2804" i="11"/>
  <c r="B2810" i="11"/>
  <c r="B2815" i="11"/>
  <c r="B2820" i="11"/>
  <c r="B2826" i="11"/>
  <c r="B2831" i="11"/>
  <c r="B2836" i="11"/>
  <c r="B2842" i="11"/>
  <c r="B2847" i="11"/>
  <c r="B2852" i="11"/>
  <c r="B2858" i="11"/>
  <c r="B2863" i="11"/>
  <c r="B2868" i="11"/>
  <c r="B2874" i="11"/>
  <c r="B2879" i="11"/>
  <c r="B2884" i="11"/>
  <c r="B2890" i="11"/>
  <c r="B2895" i="11"/>
  <c r="B2900" i="11"/>
  <c r="B2906" i="11"/>
  <c r="B2911" i="11"/>
  <c r="B2916" i="11"/>
  <c r="B2922" i="11"/>
  <c r="B2927" i="11"/>
  <c r="B2932" i="11"/>
  <c r="B2938" i="11"/>
  <c r="B2943" i="11"/>
  <c r="B2948" i="11"/>
  <c r="B2954" i="11"/>
  <c r="B2959" i="11"/>
  <c r="B2964" i="11"/>
  <c r="B2970" i="11"/>
  <c r="B2975" i="11"/>
  <c r="B2980" i="11"/>
  <c r="B2986" i="11"/>
  <c r="B2991" i="11"/>
  <c r="B2996" i="11"/>
  <c r="B3002" i="11"/>
  <c r="B3007" i="11"/>
  <c r="B3012" i="11"/>
  <c r="B3018" i="11"/>
  <c r="B3023" i="11"/>
  <c r="B3028" i="11"/>
  <c r="B3034" i="11"/>
  <c r="B3039" i="11"/>
  <c r="B3044" i="11"/>
  <c r="B3050" i="11"/>
  <c r="B3055" i="11"/>
  <c r="B3060" i="11"/>
  <c r="B3066" i="11"/>
  <c r="B3071" i="11"/>
  <c r="B3076" i="11"/>
  <c r="B3082" i="11"/>
  <c r="B3087" i="11"/>
  <c r="B3092" i="11"/>
  <c r="B3098" i="11"/>
  <c r="B3103" i="11"/>
  <c r="B3108" i="11"/>
  <c r="B3114" i="11"/>
  <c r="B3119" i="11"/>
  <c r="B3124" i="11"/>
  <c r="B3130" i="11"/>
  <c r="B3135" i="11"/>
  <c r="B3140" i="11"/>
  <c r="B3146" i="11"/>
  <c r="B3151" i="11"/>
  <c r="B3156" i="11"/>
  <c r="B3162" i="11"/>
  <c r="B3167" i="11"/>
  <c r="B3172" i="11"/>
  <c r="B3178" i="11"/>
  <c r="B3183" i="11"/>
  <c r="B3188" i="11"/>
  <c r="B3194" i="11"/>
  <c r="B3199" i="11"/>
  <c r="B3204" i="11"/>
  <c r="B3210" i="11"/>
  <c r="B3215" i="11"/>
  <c r="B3220" i="11"/>
  <c r="B3226" i="11"/>
  <c r="B3231" i="11"/>
  <c r="B3236" i="11"/>
  <c r="B3242" i="11"/>
  <c r="B3247" i="11"/>
  <c r="B3252" i="11"/>
  <c r="B3258" i="11"/>
  <c r="B3263" i="11"/>
  <c r="B3268" i="11"/>
  <c r="B3274" i="11"/>
  <c r="B3279" i="11"/>
  <c r="B3284" i="11"/>
  <c r="B3290" i="11"/>
  <c r="B3295" i="11"/>
  <c r="B3300" i="11"/>
  <c r="B3306" i="11"/>
  <c r="B3311" i="11"/>
  <c r="B3316" i="11"/>
  <c r="B3322" i="11"/>
  <c r="B3327" i="11"/>
  <c r="B3332" i="11"/>
  <c r="B3338" i="11"/>
  <c r="B3343" i="11"/>
  <c r="B3348" i="11"/>
  <c r="B3354" i="11"/>
  <c r="B3359" i="11"/>
  <c r="B3364" i="11"/>
  <c r="B3370" i="11"/>
  <c r="B3375" i="11"/>
  <c r="B3380" i="11"/>
  <c r="B3386" i="11"/>
  <c r="B3391" i="11"/>
  <c r="B3396" i="11"/>
  <c r="B3402" i="11"/>
  <c r="B3407" i="11"/>
  <c r="B3412" i="11"/>
  <c r="B3418" i="11"/>
  <c r="B3423" i="11"/>
  <c r="B3428" i="11"/>
  <c r="B3434" i="11"/>
  <c r="B3439" i="11"/>
  <c r="B3444" i="11"/>
  <c r="B3450" i="11"/>
  <c r="B3455" i="11"/>
  <c r="B3460" i="11"/>
  <c r="B3466" i="11"/>
  <c r="B3471" i="11"/>
  <c r="B3476" i="11"/>
  <c r="B3482" i="11"/>
  <c r="B3487" i="11"/>
  <c r="B3492" i="11"/>
  <c r="B3498" i="11"/>
  <c r="B17" i="11"/>
  <c r="B45" i="11"/>
  <c r="B77" i="11"/>
  <c r="B105" i="11"/>
  <c r="B129" i="11"/>
  <c r="B161" i="11"/>
  <c r="B187" i="11"/>
  <c r="B201" i="11"/>
  <c r="B217" i="11"/>
  <c r="B229" i="11"/>
  <c r="B243" i="11"/>
  <c r="B259" i="11"/>
  <c r="B273" i="11"/>
  <c r="B285" i="11"/>
  <c r="B301" i="11"/>
  <c r="B315" i="11"/>
  <c r="B329" i="11"/>
  <c r="B343" i="11"/>
  <c r="B349" i="11"/>
  <c r="B356" i="11"/>
  <c r="B364" i="11"/>
  <c r="B371" i="11"/>
  <c r="B377" i="11"/>
  <c r="B385" i="11"/>
  <c r="B392" i="11"/>
  <c r="B399" i="11"/>
  <c r="B407" i="11"/>
  <c r="B413" i="11"/>
  <c r="B420" i="11"/>
  <c r="B428" i="11"/>
  <c r="B435" i="11"/>
  <c r="B441" i="11"/>
  <c r="B449" i="11"/>
  <c r="B456" i="11"/>
  <c r="B463" i="11"/>
  <c r="B471" i="11"/>
  <c r="B477" i="11"/>
  <c r="B484" i="11"/>
  <c r="B492" i="11"/>
  <c r="B499" i="11"/>
  <c r="B505" i="11"/>
  <c r="B513" i="11"/>
  <c r="B520" i="11"/>
  <c r="B527" i="11"/>
  <c r="B535" i="11"/>
  <c r="B541" i="11"/>
  <c r="B548" i="11"/>
  <c r="B556" i="11"/>
  <c r="B563" i="11"/>
  <c r="B569" i="11"/>
  <c r="B577" i="11"/>
  <c r="B584" i="11"/>
  <c r="B591" i="11"/>
  <c r="B599" i="11"/>
  <c r="B605" i="11"/>
  <c r="B612" i="11"/>
  <c r="B620" i="11"/>
  <c r="B627" i="11"/>
  <c r="B633" i="11"/>
  <c r="B641" i="11"/>
  <c r="B648" i="11"/>
  <c r="B655" i="11"/>
  <c r="B663" i="11"/>
  <c r="B669" i="11"/>
  <c r="B676" i="11"/>
  <c r="B684" i="11"/>
  <c r="B691" i="11"/>
  <c r="B697" i="11"/>
  <c r="B705" i="11"/>
  <c r="B712" i="11"/>
  <c r="B719" i="11"/>
  <c r="B727" i="11"/>
  <c r="B733" i="11"/>
  <c r="B740" i="11"/>
  <c r="B748" i="11"/>
  <c r="B755" i="11"/>
  <c r="B761" i="11"/>
  <c r="B769" i="11"/>
  <c r="B776" i="11"/>
  <c r="B783" i="11"/>
  <c r="B791" i="11"/>
  <c r="B797" i="11"/>
  <c r="B804" i="11"/>
  <c r="B812" i="11"/>
  <c r="B819" i="11"/>
  <c r="B825" i="11"/>
  <c r="B833" i="11"/>
  <c r="B840" i="11"/>
  <c r="B847" i="11"/>
  <c r="B855" i="11"/>
  <c r="B861" i="11"/>
  <c r="B868" i="11"/>
  <c r="B876" i="11"/>
  <c r="B883" i="11"/>
  <c r="B889" i="11"/>
  <c r="B897" i="11"/>
  <c r="B904" i="11"/>
  <c r="B911" i="11"/>
  <c r="B919" i="11"/>
  <c r="B925" i="11"/>
  <c r="B932" i="11"/>
  <c r="B940" i="11"/>
  <c r="B947" i="11"/>
  <c r="B953" i="11"/>
  <c r="B961" i="11"/>
  <c r="B968" i="11"/>
  <c r="B975" i="11"/>
  <c r="B983" i="11"/>
  <c r="B989" i="11"/>
  <c r="B996" i="11"/>
  <c r="B1004" i="11"/>
  <c r="B1011" i="11"/>
  <c r="B1017" i="11"/>
  <c r="B1025" i="11"/>
  <c r="B1032" i="11"/>
  <c r="B1039" i="11"/>
  <c r="B1047" i="11"/>
  <c r="B1053" i="11"/>
  <c r="B1060" i="11"/>
  <c r="B1068" i="11"/>
  <c r="B1075" i="11"/>
  <c r="B1081" i="11"/>
  <c r="B1089" i="11"/>
  <c r="B1096" i="11"/>
  <c r="B1103" i="11"/>
  <c r="B1111" i="11"/>
  <c r="B1117" i="11"/>
  <c r="B1124" i="11"/>
  <c r="B1132" i="11"/>
  <c r="B1139" i="11"/>
  <c r="B1145" i="11"/>
  <c r="B1153" i="11"/>
  <c r="B1160" i="11"/>
  <c r="B1167" i="11"/>
  <c r="B1175" i="11"/>
  <c r="B1181" i="11"/>
  <c r="B1188" i="11"/>
  <c r="B1196" i="11"/>
  <c r="B1203" i="11"/>
  <c r="B1209" i="11"/>
  <c r="B1217" i="11"/>
  <c r="B1224" i="11"/>
  <c r="B1231" i="11"/>
  <c r="B1239" i="11"/>
  <c r="B1245" i="11"/>
  <c r="B1252" i="11"/>
  <c r="B1260" i="11"/>
  <c r="B1267" i="11"/>
  <c r="B1273" i="11"/>
  <c r="B1281" i="11"/>
  <c r="B1288" i="11"/>
  <c r="B1295" i="11"/>
  <c r="B1302" i="11"/>
  <c r="B1307" i="11"/>
  <c r="B1312" i="11"/>
  <c r="B1318" i="11"/>
  <c r="B1323" i="11"/>
  <c r="B1328" i="11"/>
  <c r="B1334" i="11"/>
  <c r="B1339" i="11"/>
  <c r="B1344" i="11"/>
  <c r="B1350" i="11"/>
  <c r="B1355" i="11"/>
  <c r="B1360" i="11"/>
  <c r="B1366" i="11"/>
  <c r="B1371" i="11"/>
  <c r="B1376" i="11"/>
  <c r="B1382" i="11"/>
  <c r="B1387" i="11"/>
  <c r="B1392" i="11"/>
  <c r="B1398" i="11"/>
  <c r="B1403" i="11"/>
  <c r="B1408" i="11"/>
  <c r="B1414" i="11"/>
  <c r="B1419" i="11"/>
  <c r="B1424" i="11"/>
  <c r="B1430" i="11"/>
  <c r="B1435" i="11"/>
  <c r="B1440" i="11"/>
  <c r="B1446" i="11"/>
  <c r="B1451" i="11"/>
  <c r="B1456" i="11"/>
  <c r="B1462" i="11"/>
  <c r="B1467" i="11"/>
  <c r="B1472" i="11"/>
  <c r="B1478" i="11"/>
  <c r="B1483" i="11"/>
  <c r="B1488" i="11"/>
  <c r="B1494" i="11"/>
  <c r="B1499" i="11"/>
  <c r="B1504" i="11"/>
  <c r="B1510" i="11"/>
  <c r="B1515" i="11"/>
  <c r="B1520" i="11"/>
  <c r="B1526" i="11"/>
  <c r="B1531" i="11"/>
  <c r="B1536" i="11"/>
  <c r="B1542" i="11"/>
  <c r="B1547" i="11"/>
  <c r="B1552" i="11"/>
  <c r="B1558" i="11"/>
  <c r="B1563" i="11"/>
  <c r="B1568" i="11"/>
  <c r="B1574" i="11"/>
  <c r="B1579" i="11"/>
  <c r="B1584" i="11"/>
  <c r="B1590" i="11"/>
  <c r="B1595" i="11"/>
  <c r="B1600" i="11"/>
  <c r="B1606" i="11"/>
  <c r="B1611" i="11"/>
  <c r="B1616" i="11"/>
  <c r="B1622" i="11"/>
  <c r="B1627" i="11"/>
  <c r="B1632" i="11"/>
  <c r="B1638" i="11"/>
  <c r="B1643" i="11"/>
  <c r="B1648" i="11"/>
  <c r="B1654" i="11"/>
  <c r="B1659" i="11"/>
  <c r="B1664" i="11"/>
  <c r="B1670" i="11"/>
  <c r="B1675" i="11"/>
  <c r="B1680" i="11"/>
  <c r="B1686" i="11"/>
  <c r="B1691" i="11"/>
  <c r="B1696" i="11"/>
  <c r="B1702" i="11"/>
  <c r="B1707" i="11"/>
  <c r="B1712" i="11"/>
  <c r="B1718" i="11"/>
  <c r="B1723" i="11"/>
  <c r="B1728" i="11"/>
  <c r="B1734" i="11"/>
  <c r="B1739" i="11"/>
  <c r="B1744" i="11"/>
  <c r="B1750" i="11"/>
  <c r="B1755" i="11"/>
  <c r="B1760" i="11"/>
  <c r="B1766" i="11"/>
  <c r="B1771" i="11"/>
  <c r="B1776" i="11"/>
  <c r="B1782" i="11"/>
  <c r="B1787" i="11"/>
  <c r="B1792" i="11"/>
  <c r="B1798" i="11"/>
  <c r="B1803" i="11"/>
  <c r="B1808" i="11"/>
  <c r="B1814" i="11"/>
  <c r="B1819" i="11"/>
  <c r="B1824" i="11"/>
  <c r="B1830" i="11"/>
  <c r="B1835" i="11"/>
  <c r="B1840" i="11"/>
  <c r="B1846" i="11"/>
  <c r="B1851" i="11"/>
  <c r="B1856" i="11"/>
  <c r="B1862" i="11"/>
  <c r="B1867" i="11"/>
  <c r="B1872" i="11"/>
  <c r="B1878" i="11"/>
  <c r="B1883" i="11"/>
  <c r="B1888" i="11"/>
  <c r="B1894" i="11"/>
  <c r="B1899" i="11"/>
  <c r="B1904" i="11"/>
  <c r="B1910" i="11"/>
  <c r="B1915" i="11"/>
  <c r="B1920" i="11"/>
  <c r="B1926" i="11"/>
  <c r="B1931" i="11"/>
  <c r="B1936" i="11"/>
  <c r="B1942" i="11"/>
  <c r="B1947" i="11"/>
  <c r="B1952" i="11"/>
  <c r="B1958" i="11"/>
  <c r="B1963" i="11"/>
  <c r="B1968" i="11"/>
  <c r="B1974" i="11"/>
  <c r="B1979" i="11"/>
  <c r="B1984" i="11"/>
  <c r="B1990" i="11"/>
  <c r="B1995" i="11"/>
  <c r="B2000" i="11"/>
  <c r="B2006" i="11"/>
  <c r="B2011" i="11"/>
  <c r="B2016" i="11"/>
  <c r="B2022" i="11"/>
  <c r="B2027" i="11"/>
  <c r="B2032" i="11"/>
  <c r="B2038" i="11"/>
  <c r="B2043" i="11"/>
  <c r="B2048" i="11"/>
  <c r="B2054" i="11"/>
  <c r="B2059" i="11"/>
  <c r="B2064" i="11"/>
  <c r="B2070" i="11"/>
  <c r="B2075" i="11"/>
  <c r="B2080" i="11"/>
  <c r="B2086" i="11"/>
  <c r="B2091" i="11"/>
  <c r="B2096" i="11"/>
  <c r="B2102" i="11"/>
  <c r="B2107" i="11"/>
  <c r="B2112" i="11"/>
  <c r="B2118" i="11"/>
  <c r="B2123" i="11"/>
  <c r="B2128" i="11"/>
  <c r="B2134" i="11"/>
  <c r="B2139" i="11"/>
  <c r="B2144" i="11"/>
  <c r="B2150" i="11"/>
  <c r="B2155" i="11"/>
  <c r="B2160" i="11"/>
  <c r="B2166" i="11"/>
  <c r="B2171" i="11"/>
  <c r="B2176" i="11"/>
  <c r="B2182" i="11"/>
  <c r="B2187" i="11"/>
  <c r="B2192" i="11"/>
  <c r="B2198" i="11"/>
  <c r="B2203" i="11"/>
  <c r="B2208" i="11"/>
  <c r="B2214" i="11"/>
  <c r="B2219" i="11"/>
  <c r="B2224" i="11"/>
  <c r="B2230" i="11"/>
  <c r="B2235" i="11"/>
  <c r="B2240" i="11"/>
  <c r="B2246" i="11"/>
  <c r="B2251" i="11"/>
  <c r="B2256" i="11"/>
  <c r="B2262" i="11"/>
  <c r="B2267" i="11"/>
  <c r="B2272" i="11"/>
  <c r="B2278" i="11"/>
  <c r="B2283" i="11"/>
  <c r="B2288" i="11"/>
  <c r="B2294" i="11"/>
  <c r="B2299" i="11"/>
  <c r="B2304" i="11"/>
  <c r="B2310" i="11"/>
  <c r="B2315" i="11"/>
  <c r="B2320" i="11"/>
  <c r="B2326" i="11"/>
  <c r="B2331" i="11"/>
  <c r="B2336" i="11"/>
  <c r="B2342" i="11"/>
  <c r="B2347" i="11"/>
  <c r="B2352" i="11"/>
  <c r="B2358" i="11"/>
  <c r="B2363" i="11"/>
  <c r="B2368" i="11"/>
  <c r="B2374" i="11"/>
  <c r="B2379" i="11"/>
  <c r="B2384" i="11"/>
  <c r="B2390" i="11"/>
  <c r="B2395" i="11"/>
  <c r="B2400" i="11"/>
  <c r="B2406" i="11"/>
  <c r="B2411" i="11"/>
  <c r="B2416" i="11"/>
  <c r="B2422" i="11"/>
  <c r="B2427" i="11"/>
  <c r="B2432" i="11"/>
  <c r="B2438" i="11"/>
  <c r="B2443" i="11"/>
  <c r="B2448" i="11"/>
  <c r="B2454" i="11"/>
  <c r="B2459" i="11"/>
  <c r="B2464" i="11"/>
  <c r="B2470" i="11"/>
  <c r="B2475" i="11"/>
  <c r="B2480" i="11"/>
  <c r="B2486" i="11"/>
  <c r="B2491" i="11"/>
  <c r="B2496" i="11"/>
  <c r="B2502" i="11"/>
  <c r="B2507" i="11"/>
  <c r="B2512" i="11"/>
  <c r="B2518" i="11"/>
  <c r="B2523" i="11"/>
  <c r="B2528" i="11"/>
  <c r="B2534" i="11"/>
  <c r="B2539" i="11"/>
  <c r="B2544" i="11"/>
  <c r="B2550" i="11"/>
  <c r="B2555" i="11"/>
  <c r="B2560" i="11"/>
  <c r="B2566" i="11"/>
  <c r="B2571" i="11"/>
  <c r="B2576" i="11"/>
  <c r="B2582" i="11"/>
  <c r="B2587" i="11"/>
  <c r="B2592" i="11"/>
  <c r="B2598" i="11"/>
  <c r="B2603" i="11"/>
  <c r="B2608" i="11"/>
  <c r="B2614" i="11"/>
  <c r="B2619" i="11"/>
  <c r="B2624" i="11"/>
  <c r="B2630" i="11"/>
  <c r="B2635" i="11"/>
  <c r="B2640" i="11"/>
  <c r="B2646" i="11"/>
  <c r="B2651" i="11"/>
  <c r="B2656" i="11"/>
  <c r="B2662" i="11"/>
  <c r="B2667" i="11"/>
  <c r="B2672" i="11"/>
  <c r="B2678" i="11"/>
  <c r="B2683" i="11"/>
  <c r="B2688" i="11"/>
  <c r="B2694" i="11"/>
  <c r="B2699" i="11"/>
  <c r="B2704" i="11"/>
  <c r="B2710" i="11"/>
  <c r="B2715" i="11"/>
  <c r="B2720" i="11"/>
  <c r="B2726" i="11"/>
  <c r="B2731" i="11"/>
  <c r="B2736" i="11"/>
  <c r="B2742" i="11"/>
  <c r="B2747" i="11"/>
  <c r="B2752" i="11"/>
  <c r="B2758" i="11"/>
  <c r="B2763" i="11"/>
  <c r="B2768" i="11"/>
  <c r="B2774" i="11"/>
  <c r="B2779" i="11"/>
  <c r="B2784" i="11"/>
  <c r="B2790" i="11"/>
  <c r="B2795" i="11"/>
  <c r="B2800" i="11"/>
  <c r="B2806" i="11"/>
  <c r="B2811" i="11"/>
  <c r="B2816" i="11"/>
  <c r="B2822" i="11"/>
  <c r="B2827" i="11"/>
  <c r="B2832" i="11"/>
  <c r="B2838" i="11"/>
  <c r="B2843" i="11"/>
  <c r="B2848" i="11"/>
  <c r="B2854" i="11"/>
  <c r="B2859" i="11"/>
  <c r="B2864" i="11"/>
  <c r="B2870" i="11"/>
  <c r="B2875" i="11"/>
  <c r="B2880" i="11"/>
  <c r="B2886" i="11"/>
  <c r="B2891" i="11"/>
  <c r="B2896" i="11"/>
  <c r="B2902" i="11"/>
  <c r="B2907" i="11"/>
  <c r="B2912" i="11"/>
  <c r="B2918" i="11"/>
  <c r="B2923" i="11"/>
  <c r="B2928" i="11"/>
  <c r="B2934" i="11"/>
  <c r="B2939" i="11"/>
  <c r="B2944" i="11"/>
  <c r="B2950" i="11"/>
  <c r="B2955" i="11"/>
  <c r="B2960" i="11"/>
  <c r="B2966" i="11"/>
  <c r="B2971" i="11"/>
  <c r="B2976" i="11"/>
  <c r="B2982" i="11"/>
  <c r="B2987" i="11"/>
  <c r="B2992" i="11"/>
  <c r="B3003" i="11"/>
  <c r="B3008" i="11"/>
  <c r="B3014" i="11"/>
  <c r="B3019" i="11"/>
  <c r="B3024" i="11"/>
  <c r="B3030" i="11"/>
  <c r="B3035" i="11"/>
  <c r="B3040" i="11"/>
  <c r="B3046" i="11"/>
  <c r="B3051" i="11"/>
  <c r="B3056" i="11"/>
  <c r="B3062" i="11"/>
  <c r="B3067" i="11"/>
  <c r="B3072" i="11"/>
  <c r="B3078" i="11"/>
  <c r="B3083" i="11"/>
  <c r="B3088" i="11"/>
  <c r="B3094" i="11"/>
  <c r="B3099" i="11"/>
  <c r="B3104" i="11"/>
  <c r="B3110" i="11"/>
  <c r="B3115" i="11"/>
  <c r="B3120" i="11"/>
  <c r="B3126" i="11"/>
  <c r="B3131" i="11"/>
  <c r="B3136" i="11"/>
  <c r="B3142" i="11"/>
  <c r="B3147" i="11"/>
  <c r="B3152" i="11"/>
  <c r="B3158" i="11"/>
  <c r="B3163" i="11"/>
  <c r="B3168" i="11"/>
  <c r="B3174" i="11"/>
  <c r="B3179" i="11"/>
  <c r="B3184" i="11"/>
  <c r="B3190" i="11"/>
  <c r="B3195" i="11"/>
  <c r="B3200" i="11"/>
  <c r="B3206" i="11"/>
  <c r="B3211" i="11"/>
  <c r="B3216" i="11"/>
  <c r="B3222" i="11"/>
  <c r="B3227" i="11"/>
  <c r="B3232" i="11"/>
  <c r="B3238" i="11"/>
  <c r="B3243" i="11"/>
  <c r="B3248" i="11"/>
  <c r="B3254" i="11"/>
  <c r="B3259" i="11"/>
  <c r="B3264" i="11"/>
  <c r="B3270" i="11"/>
  <c r="B3275" i="11"/>
  <c r="B3280" i="11"/>
  <c r="B3286" i="11"/>
  <c r="B3291" i="11"/>
  <c r="B3296" i="11"/>
  <c r="B3302" i="11"/>
  <c r="B3307" i="11"/>
  <c r="B3312" i="11"/>
  <c r="B3318" i="11"/>
  <c r="B3323" i="11"/>
  <c r="B3328" i="11"/>
  <c r="B3334" i="11"/>
  <c r="B3339" i="11"/>
  <c r="B3344" i="11"/>
  <c r="B3350" i="11"/>
  <c r="B3355" i="11"/>
  <c r="B3360" i="11"/>
  <c r="B3366" i="11"/>
  <c r="B3371" i="11"/>
  <c r="B3376" i="11"/>
  <c r="B3382" i="11"/>
  <c r="B3387" i="11"/>
  <c r="B3392" i="11"/>
  <c r="B3398" i="11"/>
  <c r="B3403" i="11"/>
  <c r="B3408" i="11"/>
  <c r="B3414" i="11"/>
  <c r="B3419" i="11"/>
  <c r="B3424" i="11"/>
  <c r="B3430" i="11"/>
  <c r="B3435" i="11"/>
  <c r="B3440" i="11"/>
  <c r="B3446" i="11"/>
  <c r="B3451" i="11"/>
  <c r="B3456" i="11"/>
  <c r="B3462" i="11"/>
  <c r="B3467" i="11"/>
  <c r="B3472" i="11"/>
  <c r="B3478" i="11"/>
  <c r="B3483" i="11"/>
  <c r="B3488" i="11"/>
  <c r="B3494" i="11"/>
  <c r="B3499" i="11"/>
  <c r="D15" i="11"/>
  <c r="D47" i="11"/>
  <c r="D73" i="11"/>
  <c r="D97" i="11"/>
  <c r="D129" i="11"/>
  <c r="D159" i="11"/>
  <c r="D185" i="11"/>
  <c r="D217" i="11"/>
  <c r="D241" i="11"/>
  <c r="D271" i="11"/>
  <c r="D303" i="11"/>
  <c r="D324" i="11"/>
  <c r="D340" i="11"/>
  <c r="D356" i="11"/>
  <c r="D371" i="11"/>
  <c r="D384" i="11"/>
  <c r="D400" i="11"/>
  <c r="D412" i="11"/>
  <c r="D427" i="11"/>
  <c r="D443" i="11"/>
  <c r="D456" i="11"/>
  <c r="D468" i="11"/>
  <c r="D484" i="11"/>
  <c r="D499" i="11"/>
  <c r="D510" i="11"/>
  <c r="D520" i="11"/>
  <c r="D528" i="11"/>
  <c r="D538" i="11"/>
  <c r="D548" i="11"/>
  <c r="D558" i="11"/>
  <c r="D566" i="11"/>
  <c r="D576" i="11"/>
  <c r="D586" i="11"/>
  <c r="D595" i="11"/>
  <c r="D606" i="11"/>
  <c r="D614" i="11"/>
  <c r="D623" i="11"/>
  <c r="D634" i="11"/>
  <c r="D643" i="11"/>
  <c r="D650" i="11"/>
  <c r="D658" i="11"/>
  <c r="D665" i="11"/>
  <c r="D672" i="11"/>
  <c r="D680" i="11"/>
  <c r="D686" i="11"/>
  <c r="D693" i="11"/>
  <c r="D701" i="11"/>
  <c r="D708" i="11"/>
  <c r="D714" i="11"/>
  <c r="D722" i="11"/>
  <c r="D729" i="11"/>
  <c r="D736" i="11"/>
  <c r="D744" i="11"/>
  <c r="D750" i="11"/>
  <c r="D757" i="11"/>
  <c r="D765" i="11"/>
  <c r="D772" i="11"/>
  <c r="D778" i="11"/>
  <c r="D786" i="11"/>
  <c r="D793" i="11"/>
  <c r="D800" i="11"/>
  <c r="D808" i="11"/>
  <c r="D814" i="11"/>
  <c r="D821" i="11"/>
  <c r="D829" i="11"/>
  <c r="D836" i="11"/>
  <c r="D9" i="11"/>
  <c r="D49" i="11"/>
  <c r="D89" i="11"/>
  <c r="D121" i="11"/>
  <c r="D161" i="11"/>
  <c r="D201" i="11"/>
  <c r="D239" i="11"/>
  <c r="D281" i="11"/>
  <c r="D313" i="11"/>
  <c r="D339" i="11"/>
  <c r="D360" i="11"/>
  <c r="D379" i="11"/>
  <c r="D395" i="11"/>
  <c r="D416" i="11"/>
  <c r="D435" i="11"/>
  <c r="D452" i="11"/>
  <c r="D475" i="11"/>
  <c r="D491" i="11"/>
  <c r="D507" i="11"/>
  <c r="D522" i="11"/>
  <c r="D534" i="11"/>
  <c r="D544" i="11"/>
  <c r="D559" i="11"/>
  <c r="D571" i="11"/>
  <c r="D584" i="11"/>
  <c r="D598" i="11"/>
  <c r="D608" i="11"/>
  <c r="D622" i="11"/>
  <c r="D635" i="11"/>
  <c r="D648" i="11"/>
  <c r="D656" i="11"/>
  <c r="D666" i="11"/>
  <c r="D676" i="11"/>
  <c r="D685" i="11"/>
  <c r="D696" i="11"/>
  <c r="D704" i="11"/>
  <c r="D713" i="11"/>
  <c r="D724" i="11"/>
  <c r="D733" i="11"/>
  <c r="D741" i="11"/>
  <c r="D752" i="11"/>
  <c r="D761" i="11"/>
  <c r="D770" i="11"/>
  <c r="D781" i="11"/>
  <c r="D789" i="11"/>
  <c r="D798" i="11"/>
  <c r="D809" i="11"/>
  <c r="D818" i="11"/>
  <c r="D826" i="11"/>
  <c r="D837" i="11"/>
  <c r="D845" i="11"/>
  <c r="D852" i="11"/>
  <c r="D858" i="11"/>
  <c r="D866" i="11"/>
  <c r="D873" i="11"/>
  <c r="D880" i="11"/>
  <c r="D888" i="11"/>
  <c r="D894" i="11"/>
  <c r="D901" i="11"/>
  <c r="D909" i="11"/>
  <c r="D916" i="11"/>
  <c r="D922" i="11"/>
  <c r="D930" i="11"/>
  <c r="D937" i="11"/>
  <c r="D944" i="11"/>
  <c r="D952" i="11"/>
  <c r="D958" i="11"/>
  <c r="D965" i="11"/>
  <c r="D973" i="11"/>
  <c r="D980" i="11"/>
  <c r="D986" i="11"/>
  <c r="D994" i="11"/>
  <c r="D1001" i="11"/>
  <c r="D1008" i="11"/>
  <c r="D1016" i="11"/>
  <c r="D1022" i="11"/>
  <c r="D1029" i="11"/>
  <c r="D1037" i="11"/>
  <c r="D1044" i="11"/>
  <c r="D1050" i="11"/>
  <c r="D1058" i="11"/>
  <c r="D1065" i="11"/>
  <c r="D1072" i="11"/>
  <c r="D1080" i="11"/>
  <c r="D1086" i="11"/>
  <c r="D1093" i="11"/>
  <c r="D1101" i="11"/>
  <c r="D1108" i="11"/>
  <c r="D1114" i="11"/>
  <c r="D1122" i="11"/>
  <c r="D1129" i="11"/>
  <c r="D1136" i="11"/>
  <c r="D1144" i="11"/>
  <c r="D1150" i="11"/>
  <c r="D1157" i="11"/>
  <c r="D1165" i="11"/>
  <c r="D1172" i="11"/>
  <c r="D1178" i="11"/>
  <c r="D1186" i="11"/>
  <c r="D1193" i="11"/>
  <c r="D1200" i="11"/>
  <c r="D1208" i="11"/>
  <c r="D1214" i="11"/>
  <c r="D1221" i="11"/>
  <c r="D1229" i="11"/>
  <c r="D1236" i="11"/>
  <c r="D1242" i="11"/>
  <c r="D1250" i="11"/>
  <c r="D1257" i="11"/>
  <c r="D1264" i="11"/>
  <c r="D1272" i="11"/>
  <c r="D1278" i="11"/>
  <c r="D1285" i="11"/>
  <c r="D1293" i="11"/>
  <c r="D1300" i="11"/>
  <c r="D1306" i="11"/>
  <c r="D1314" i="11"/>
  <c r="D1321" i="11"/>
  <c r="D1328" i="11"/>
  <c r="D1336" i="11"/>
  <c r="D1342" i="11"/>
  <c r="D1349" i="11"/>
  <c r="D1357" i="11"/>
  <c r="D1364" i="11"/>
  <c r="D1370" i="11"/>
  <c r="D1378" i="11"/>
  <c r="D1385" i="11"/>
  <c r="D1392" i="11"/>
  <c r="D1400" i="11"/>
  <c r="D1406" i="11"/>
  <c r="D1413" i="11"/>
  <c r="D1421" i="11"/>
  <c r="D1428" i="11"/>
  <c r="D1434" i="11"/>
  <c r="D1442" i="11"/>
  <c r="D1449" i="11"/>
  <c r="D1456" i="11"/>
  <c r="D1464" i="11"/>
  <c r="D1470" i="11"/>
  <c r="D1477" i="11"/>
  <c r="D1485" i="11"/>
  <c r="D1492" i="11"/>
  <c r="D1498" i="11"/>
  <c r="D1506" i="11"/>
  <c r="D1513" i="11"/>
  <c r="D1520" i="11"/>
  <c r="D1528" i="11"/>
  <c r="D1534" i="11"/>
  <c r="D1541" i="11"/>
  <c r="D1549" i="11"/>
  <c r="D1556" i="11"/>
  <c r="D1562" i="11"/>
  <c r="D1570" i="11"/>
  <c r="D1577" i="11"/>
  <c r="D1584" i="11"/>
  <c r="D1592" i="11"/>
  <c r="D1598" i="11"/>
  <c r="D1605" i="11"/>
  <c r="D1613" i="11"/>
  <c r="D1620" i="11"/>
  <c r="D1626" i="11"/>
  <c r="D1634" i="11"/>
  <c r="D1641" i="11"/>
  <c r="D1648" i="11"/>
  <c r="D1656" i="11"/>
  <c r="D1662" i="11"/>
  <c r="D1669" i="11"/>
  <c r="D1677" i="11"/>
  <c r="D1684" i="11"/>
  <c r="D1690" i="11"/>
  <c r="D1698" i="11"/>
  <c r="D1705" i="11"/>
  <c r="D1712" i="11"/>
  <c r="D1720" i="11"/>
  <c r="D1726" i="11"/>
  <c r="D1733" i="11"/>
  <c r="D1741" i="11"/>
  <c r="D1748" i="11"/>
  <c r="D1754" i="11"/>
  <c r="D1762" i="11"/>
  <c r="D1769" i="11"/>
  <c r="D1776" i="11"/>
  <c r="D1784" i="11"/>
  <c r="D1790" i="11"/>
  <c r="D1797" i="11"/>
  <c r="D1805" i="11"/>
  <c r="D1812" i="11"/>
  <c r="D1818" i="11"/>
  <c r="D1826" i="11"/>
  <c r="D1833" i="11"/>
  <c r="D1840" i="11"/>
  <c r="D1848" i="11"/>
  <c r="D1854" i="11"/>
  <c r="D1861" i="11"/>
  <c r="D1869" i="11"/>
  <c r="D1876" i="11"/>
  <c r="D1882" i="11"/>
  <c r="D1890" i="11"/>
  <c r="D1897" i="11"/>
  <c r="D1904" i="11"/>
  <c r="D1912" i="11"/>
  <c r="D1918" i="11"/>
  <c r="D1925" i="11"/>
  <c r="D1933" i="11"/>
  <c r="D1940" i="11"/>
  <c r="D1946" i="11"/>
  <c r="D1954" i="11"/>
  <c r="D1961" i="11"/>
  <c r="D1968" i="11"/>
  <c r="D1976" i="11"/>
  <c r="D1982" i="11"/>
  <c r="D1989" i="11"/>
  <c r="D1997" i="11"/>
  <c r="D2004" i="11"/>
  <c r="D2010" i="11"/>
  <c r="D2018" i="11"/>
  <c r="D2025" i="11"/>
  <c r="D2032" i="11"/>
  <c r="D2040" i="11"/>
  <c r="D25" i="11"/>
  <c r="D57" i="11"/>
  <c r="D95" i="11"/>
  <c r="D137" i="11"/>
  <c r="D175" i="11"/>
  <c r="D207" i="11"/>
  <c r="D249" i="11"/>
  <c r="D287" i="11"/>
  <c r="D319" i="11"/>
  <c r="D347" i="11"/>
  <c r="D363" i="11"/>
  <c r="D380" i="11"/>
  <c r="D403" i="11"/>
  <c r="D420" i="11"/>
  <c r="D436" i="11"/>
  <c r="D459" i="11"/>
  <c r="D476" i="11"/>
  <c r="D496" i="11"/>
  <c r="D512" i="11"/>
  <c r="D523" i="11"/>
  <c r="D536" i="11"/>
  <c r="D550" i="11"/>
  <c r="D563" i="11"/>
  <c r="D574" i="11"/>
  <c r="D587" i="11"/>
  <c r="D600" i="11"/>
  <c r="D612" i="11"/>
  <c r="D627" i="11"/>
  <c r="D638" i="11"/>
  <c r="D649" i="11"/>
  <c r="D660" i="11"/>
  <c r="D669" i="11"/>
  <c r="D677" i="11"/>
  <c r="D688" i="11"/>
  <c r="D697" i="11"/>
  <c r="D706" i="11"/>
  <c r="D717" i="11"/>
  <c r="D725" i="11"/>
  <c r="D734" i="11"/>
  <c r="D745" i="11"/>
  <c r="D754" i="11"/>
  <c r="D762" i="11"/>
  <c r="D773" i="11"/>
  <c r="D782" i="11"/>
  <c r="D792" i="11"/>
  <c r="D802" i="11"/>
  <c r="D810" i="11"/>
  <c r="D820" i="11"/>
  <c r="D830" i="11"/>
  <c r="D840" i="11"/>
  <c r="D846" i="11"/>
  <c r="D853" i="11"/>
  <c r="D861" i="11"/>
  <c r="D868" i="11"/>
  <c r="D874" i="11"/>
  <c r="D882" i="11"/>
  <c r="D889" i="11"/>
  <c r="D896" i="11"/>
  <c r="D904" i="11"/>
  <c r="D910" i="11"/>
  <c r="D917" i="11"/>
  <c r="D925" i="11"/>
  <c r="D932" i="11"/>
  <c r="D938" i="11"/>
  <c r="D946" i="11"/>
  <c r="D953" i="11"/>
  <c r="D960" i="11"/>
  <c r="D968" i="11"/>
  <c r="D974" i="11"/>
  <c r="D981" i="11"/>
  <c r="D989" i="11"/>
  <c r="D996" i="11"/>
  <c r="D1002" i="11"/>
  <c r="D1010" i="11"/>
  <c r="D1017" i="11"/>
  <c r="D1024" i="11"/>
  <c r="D1032" i="11"/>
  <c r="D1038" i="11"/>
  <c r="D1045" i="11"/>
  <c r="D1053" i="11"/>
  <c r="D1060" i="11"/>
  <c r="D1066" i="11"/>
  <c r="D1074" i="11"/>
  <c r="D1081" i="11"/>
  <c r="D1088" i="11"/>
  <c r="D1096" i="11"/>
  <c r="D1102" i="11"/>
  <c r="D1109" i="11"/>
  <c r="D1117" i="11"/>
  <c r="D1124" i="11"/>
  <c r="D1130" i="11"/>
  <c r="D1138" i="11"/>
  <c r="D1145" i="11"/>
  <c r="D1152" i="11"/>
  <c r="D1160" i="11"/>
  <c r="D1166" i="11"/>
  <c r="D1173" i="11"/>
  <c r="D1181" i="11"/>
  <c r="D1188" i="11"/>
  <c r="D1194" i="11"/>
  <c r="D1202" i="11"/>
  <c r="D1209" i="11"/>
  <c r="D1216" i="11"/>
  <c r="D1224" i="11"/>
  <c r="D1230" i="11"/>
  <c r="D1237" i="11"/>
  <c r="D1245" i="11"/>
  <c r="D1252" i="11"/>
  <c r="D1258" i="11"/>
  <c r="D1266" i="11"/>
  <c r="D1273" i="11"/>
  <c r="D1280" i="11"/>
  <c r="D1288" i="11"/>
  <c r="D1294" i="11"/>
  <c r="D1301" i="11"/>
  <c r="D1309" i="11"/>
  <c r="D1316" i="11"/>
  <c r="D1322" i="11"/>
  <c r="D1330" i="11"/>
  <c r="D1337" i="11"/>
  <c r="D1344" i="11"/>
  <c r="D1352" i="11"/>
  <c r="D1358" i="11"/>
  <c r="D1365" i="11"/>
  <c r="D1373" i="11"/>
  <c r="D1380" i="11"/>
  <c r="D1386" i="11"/>
  <c r="D1394" i="11"/>
  <c r="D1401" i="11"/>
  <c r="D1408" i="11"/>
  <c r="D1416" i="11"/>
  <c r="D1422" i="11"/>
  <c r="D1429" i="11"/>
  <c r="D1437" i="11"/>
  <c r="D1444" i="11"/>
  <c r="D1450" i="11"/>
  <c r="D1458" i="11"/>
  <c r="D1465" i="11"/>
  <c r="D1472" i="11"/>
  <c r="D1480" i="11"/>
  <c r="D1486" i="11"/>
  <c r="D1493" i="11"/>
  <c r="D1501" i="11"/>
  <c r="D1508" i="11"/>
  <c r="D1514" i="11"/>
  <c r="D1522" i="11"/>
  <c r="D1529" i="11"/>
  <c r="D1536" i="11"/>
  <c r="D1544" i="11"/>
  <c r="D1550" i="11"/>
  <c r="D1557" i="11"/>
  <c r="D1565" i="11"/>
  <c r="D1572" i="11"/>
  <c r="D1578" i="11"/>
  <c r="D1586" i="11"/>
  <c r="D1593" i="11"/>
  <c r="D1600" i="11"/>
  <c r="D1608" i="11"/>
  <c r="D1614" i="11"/>
  <c r="D1621" i="11"/>
  <c r="D1629" i="11"/>
  <c r="D1636" i="11"/>
  <c r="D1642" i="11"/>
  <c r="D1650" i="11"/>
  <c r="D1657" i="11"/>
  <c r="D1664" i="11"/>
  <c r="D1672" i="11"/>
  <c r="D1678" i="11"/>
  <c r="D33" i="11"/>
  <c r="D113" i="11"/>
  <c r="D193" i="11"/>
  <c r="D265" i="11"/>
  <c r="D335" i="11"/>
  <c r="D372" i="11"/>
  <c r="D411" i="11"/>
  <c r="D448" i="11"/>
  <c r="D488" i="11"/>
  <c r="D516" i="11"/>
  <c r="D543" i="11"/>
  <c r="D570" i="11"/>
  <c r="D592" i="11"/>
  <c r="D619" i="11"/>
  <c r="D644" i="11"/>
  <c r="D664" i="11"/>
  <c r="D682" i="11"/>
  <c r="D702" i="11"/>
  <c r="D720" i="11"/>
  <c r="D740" i="11"/>
  <c r="D760" i="11"/>
  <c r="D777" i="11"/>
  <c r="D797" i="11"/>
  <c r="D816" i="11"/>
  <c r="D834" i="11"/>
  <c r="D850" i="11"/>
  <c r="D864" i="11"/>
  <c r="D878" i="11"/>
  <c r="D893" i="11"/>
  <c r="D906" i="11"/>
  <c r="D921" i="11"/>
  <c r="D936" i="11"/>
  <c r="D949" i="11"/>
  <c r="D964" i="11"/>
  <c r="D978" i="11"/>
  <c r="D992" i="11"/>
  <c r="D1006" i="11"/>
  <c r="D1021" i="11"/>
  <c r="D1034" i="11"/>
  <c r="D1049" i="11"/>
  <c r="D1064" i="11"/>
  <c r="D1077" i="11"/>
  <c r="D1092" i="11"/>
  <c r="D1106" i="11"/>
  <c r="D1120" i="11"/>
  <c r="D1134" i="11"/>
  <c r="D1149" i="11"/>
  <c r="D1162" i="11"/>
  <c r="D1177" i="11"/>
  <c r="D1192" i="11"/>
  <c r="D1205" i="11"/>
  <c r="D1220" i="11"/>
  <c r="D1234" i="11"/>
  <c r="D1248" i="11"/>
  <c r="D1262" i="11"/>
  <c r="D1277" i="11"/>
  <c r="D1290" i="11"/>
  <c r="D1305" i="11"/>
  <c r="D1320" i="11"/>
  <c r="D1333" i="11"/>
  <c r="D1348" i="11"/>
  <c r="D1362" i="11"/>
  <c r="D1376" i="11"/>
  <c r="D1390" i="11"/>
  <c r="D1405" i="11"/>
  <c r="D1418" i="11"/>
  <c r="D1433" i="11"/>
  <c r="D1448" i="11"/>
  <c r="D1461" i="11"/>
  <c r="D1476" i="11"/>
  <c r="D1490" i="11"/>
  <c r="D1504" i="11"/>
  <c r="D1518" i="11"/>
  <c r="D1533" i="11"/>
  <c r="D1546" i="11"/>
  <c r="D1561" i="11"/>
  <c r="D1576" i="11"/>
  <c r="D1589" i="11"/>
  <c r="D1604" i="11"/>
  <c r="D1618" i="11"/>
  <c r="D1632" i="11"/>
  <c r="D1646" i="11"/>
  <c r="D1661" i="11"/>
  <c r="D1674" i="11"/>
  <c r="D1688" i="11"/>
  <c r="D1696" i="11"/>
  <c r="D1706" i="11"/>
  <c r="D1716" i="11"/>
  <c r="D1725" i="11"/>
  <c r="D1736" i="11"/>
  <c r="D1744" i="11"/>
  <c r="D1753" i="11"/>
  <c r="D1764" i="11"/>
  <c r="D1773" i="11"/>
  <c r="D1781" i="11"/>
  <c r="D1792" i="11"/>
  <c r="D1801" i="11"/>
  <c r="D1810" i="11"/>
  <c r="D1821" i="11"/>
  <c r="D1829" i="11"/>
  <c r="D1838" i="11"/>
  <c r="D1849" i="11"/>
  <c r="D1858" i="11"/>
  <c r="D1866" i="11"/>
  <c r="D1877" i="11"/>
  <c r="D1886" i="11"/>
  <c r="D1896" i="11"/>
  <c r="D1906" i="11"/>
  <c r="D1914" i="11"/>
  <c r="D1924" i="11"/>
  <c r="D1934" i="11"/>
  <c r="D1944" i="11"/>
  <c r="D1952" i="11"/>
  <c r="D1962" i="11"/>
  <c r="D1972" i="11"/>
  <c r="D1981" i="11"/>
  <c r="D1992" i="11"/>
  <c r="D2000" i="11"/>
  <c r="D2009" i="11"/>
  <c r="D2020" i="11"/>
  <c r="D2029" i="11"/>
  <c r="D2037" i="11"/>
  <c r="D2046" i="11"/>
  <c r="D2053" i="11"/>
  <c r="D2061" i="11"/>
  <c r="D2068" i="11"/>
  <c r="D2074" i="11"/>
  <c r="D2082" i="11"/>
  <c r="D2089" i="11"/>
  <c r="D2096" i="11"/>
  <c r="D2104" i="11"/>
  <c r="D2110" i="11"/>
  <c r="D2117" i="11"/>
  <c r="D2125" i="11"/>
  <c r="D2132" i="11"/>
  <c r="D2138" i="11"/>
  <c r="D2146" i="11"/>
  <c r="D2153" i="11"/>
  <c r="D2160" i="11"/>
  <c r="D2168" i="11"/>
  <c r="D2174" i="11"/>
  <c r="D2181" i="11"/>
  <c r="D2189" i="11"/>
  <c r="D2196" i="11"/>
  <c r="D2202" i="11"/>
  <c r="D2210" i="11"/>
  <c r="D2217" i="11"/>
  <c r="D2224" i="11"/>
  <c r="D2232" i="11"/>
  <c r="D2238" i="11"/>
  <c r="D2245" i="11"/>
  <c r="D2253" i="11"/>
  <c r="D2260" i="11"/>
  <c r="D2266" i="11"/>
  <c r="D2274" i="11"/>
  <c r="D2281" i="11"/>
  <c r="D2288" i="11"/>
  <c r="D2296" i="11"/>
  <c r="D2302" i="11"/>
  <c r="D2309" i="11"/>
  <c r="D2317" i="11"/>
  <c r="D2324" i="11"/>
  <c r="D2330" i="11"/>
  <c r="D2338" i="11"/>
  <c r="D2345" i="11"/>
  <c r="D2352" i="11"/>
  <c r="D2360" i="11"/>
  <c r="D2366" i="11"/>
  <c r="D2373" i="11"/>
  <c r="D2381" i="11"/>
  <c r="D2388" i="11"/>
  <c r="D2394" i="11"/>
  <c r="D2402" i="11"/>
  <c r="D2409" i="11"/>
  <c r="D2416" i="11"/>
  <c r="D2424" i="11"/>
  <c r="D2430" i="11"/>
  <c r="D2437" i="11"/>
  <c r="D2445" i="11"/>
  <c r="D2452" i="11"/>
  <c r="D2458" i="11"/>
  <c r="D2466" i="11"/>
  <c r="D2473" i="11"/>
  <c r="D2480" i="11"/>
  <c r="D2488" i="11"/>
  <c r="D2494" i="11"/>
  <c r="D2501" i="11"/>
  <c r="D2509" i="11"/>
  <c r="D2516" i="11"/>
  <c r="D2522" i="11"/>
  <c r="D2530" i="11"/>
  <c r="D2537" i="11"/>
  <c r="D2544" i="11"/>
  <c r="D2552" i="11"/>
  <c r="D2558" i="11"/>
  <c r="D2565" i="11"/>
  <c r="D2573" i="11"/>
  <c r="D2580" i="11"/>
  <c r="D2586" i="11"/>
  <c r="D2594" i="11"/>
  <c r="D2601" i="11"/>
  <c r="D2608" i="11"/>
  <c r="D2616" i="11"/>
  <c r="D2622" i="11"/>
  <c r="D2629" i="11"/>
  <c r="D2637" i="11"/>
  <c r="D2644" i="11"/>
  <c r="D2650" i="11"/>
  <c r="D2658" i="11"/>
  <c r="D2665" i="11"/>
  <c r="D2672" i="11"/>
  <c r="D2680" i="11"/>
  <c r="D2686" i="11"/>
  <c r="D2693" i="11"/>
  <c r="D2701" i="11"/>
  <c r="D2708" i="11"/>
  <c r="D2714" i="11"/>
  <c r="D2722" i="11"/>
  <c r="D2729" i="11"/>
  <c r="D2736" i="11"/>
  <c r="D2744" i="11"/>
  <c r="D2750" i="11"/>
  <c r="D2757" i="11"/>
  <c r="D2765" i="11"/>
  <c r="D2772" i="11"/>
  <c r="D2778" i="11"/>
  <c r="D2786" i="11"/>
  <c r="D2793" i="11"/>
  <c r="D2800" i="11"/>
  <c r="D2808" i="11"/>
  <c r="D2814" i="11"/>
  <c r="D2821" i="11"/>
  <c r="D2829" i="11"/>
  <c r="D2836" i="11"/>
  <c r="D2842" i="11"/>
  <c r="D2850" i="11"/>
  <c r="D2857" i="11"/>
  <c r="D2864" i="11"/>
  <c r="D2872" i="11"/>
  <c r="D2878" i="11"/>
  <c r="D2885" i="11"/>
  <c r="D2893" i="11"/>
  <c r="D2900" i="11"/>
  <c r="D2906" i="11"/>
  <c r="D2914" i="11"/>
  <c r="D2921" i="11"/>
  <c r="D2928" i="11"/>
  <c r="D2936" i="11"/>
  <c r="D2942" i="11"/>
  <c r="D2949" i="11"/>
  <c r="D2957" i="11"/>
  <c r="D2964" i="11"/>
  <c r="D2970" i="11"/>
  <c r="D2978" i="11"/>
  <c r="D2985" i="11"/>
  <c r="D2992" i="11"/>
  <c r="D3000" i="11"/>
  <c r="D3006" i="11"/>
  <c r="D3013" i="11"/>
  <c r="D3021" i="11"/>
  <c r="D3028" i="11"/>
  <c r="D3034" i="11"/>
  <c r="D3042" i="11"/>
  <c r="D3049" i="11"/>
  <c r="D3056" i="11"/>
  <c r="D3064" i="11"/>
  <c r="D3070" i="11"/>
  <c r="D3077" i="11"/>
  <c r="D3085" i="11"/>
  <c r="D3092" i="11"/>
  <c r="D3098" i="11"/>
  <c r="D3106" i="11"/>
  <c r="D3113" i="11"/>
  <c r="D3120" i="11"/>
  <c r="D3128" i="11"/>
  <c r="D3134" i="11"/>
  <c r="D3141" i="11"/>
  <c r="D3149" i="11"/>
  <c r="D3156" i="11"/>
  <c r="D3162" i="11"/>
  <c r="D3170" i="11"/>
  <c r="D3177" i="11"/>
  <c r="D3184" i="11"/>
  <c r="D3192" i="11"/>
  <c r="D3198" i="11"/>
  <c r="D3205" i="11"/>
  <c r="D3213" i="11"/>
  <c r="D3220" i="11"/>
  <c r="D3226" i="11"/>
  <c r="D3234" i="11"/>
  <c r="D3241" i="11"/>
  <c r="D3248" i="11"/>
  <c r="D3256" i="11"/>
  <c r="D3262" i="11"/>
  <c r="D3269" i="11"/>
  <c r="D3277" i="11"/>
  <c r="D3284" i="11"/>
  <c r="D3290" i="11"/>
  <c r="D3298" i="11"/>
  <c r="D3305" i="11"/>
  <c r="D3312" i="11"/>
  <c r="D3320" i="11"/>
  <c r="D3326" i="11"/>
  <c r="D3333" i="11"/>
  <c r="D3341" i="11"/>
  <c r="D3348" i="11"/>
  <c r="D3354" i="11"/>
  <c r="D3362" i="11"/>
  <c r="D3369" i="11"/>
  <c r="D3376" i="11"/>
  <c r="D3384" i="11"/>
  <c r="D3390" i="11"/>
  <c r="D3397" i="11"/>
  <c r="D3405" i="11"/>
  <c r="D3412" i="11"/>
  <c r="D3418" i="11"/>
  <c r="D3426" i="11"/>
  <c r="D3433" i="11"/>
  <c r="D3440" i="11"/>
  <c r="D3448" i="11"/>
  <c r="D3454" i="11"/>
  <c r="D3461" i="11"/>
  <c r="D3469" i="11"/>
  <c r="D3476" i="11"/>
  <c r="D3482" i="11"/>
  <c r="D3490" i="11"/>
  <c r="D3497" i="11"/>
  <c r="D65" i="11"/>
  <c r="D143" i="11"/>
  <c r="D223" i="11"/>
  <c r="D289" i="11"/>
  <c r="D348" i="11"/>
  <c r="D388" i="11"/>
  <c r="D424" i="11"/>
  <c r="D464" i="11"/>
  <c r="D500" i="11"/>
  <c r="D527" i="11"/>
  <c r="D552" i="11"/>
  <c r="D579" i="11"/>
  <c r="D602" i="11"/>
  <c r="D628" i="11"/>
  <c r="D653" i="11"/>
  <c r="D670" i="11"/>
  <c r="D690" i="11"/>
  <c r="D709" i="11"/>
  <c r="D728" i="11"/>
  <c r="D746" i="11"/>
  <c r="D766" i="11"/>
  <c r="D784" i="11"/>
  <c r="D804" i="11"/>
  <c r="D824" i="11"/>
  <c r="D841" i="11"/>
  <c r="D856" i="11"/>
  <c r="D869" i="11"/>
  <c r="D884" i="11"/>
  <c r="D898" i="11"/>
  <c r="D912" i="11"/>
  <c r="D926" i="11"/>
  <c r="D941" i="11"/>
  <c r="D954" i="11"/>
  <c r="D969" i="11"/>
  <c r="D984" i="11"/>
  <c r="D997" i="11"/>
  <c r="D1012" i="11"/>
  <c r="D1026" i="11"/>
  <c r="D1040" i="11"/>
  <c r="D1054" i="11"/>
  <c r="D1069" i="11"/>
  <c r="D1082" i="11"/>
  <c r="D1097" i="11"/>
  <c r="D1112" i="11"/>
  <c r="D1125" i="11"/>
  <c r="D1140" i="11"/>
  <c r="D1154" i="11"/>
  <c r="D1168" i="11"/>
  <c r="D1182" i="11"/>
  <c r="D1197" i="11"/>
  <c r="D1210" i="11"/>
  <c r="D1225" i="11"/>
  <c r="D1240" i="11"/>
  <c r="D1253" i="11"/>
  <c r="D1268" i="11"/>
  <c r="D1282" i="11"/>
  <c r="D1296" i="11"/>
  <c r="D1310" i="11"/>
  <c r="D1325" i="11"/>
  <c r="D1338" i="11"/>
  <c r="D1353" i="11"/>
  <c r="D1368" i="11"/>
  <c r="D1381" i="11"/>
  <c r="D1396" i="11"/>
  <c r="D1410" i="11"/>
  <c r="D1424" i="11"/>
  <c r="D1438" i="11"/>
  <c r="D1453" i="11"/>
  <c r="D1466" i="11"/>
  <c r="D1481" i="11"/>
  <c r="D1496" i="11"/>
  <c r="D1509" i="11"/>
  <c r="D1524" i="11"/>
  <c r="D1538" i="11"/>
  <c r="D1552" i="11"/>
  <c r="D1566" i="11"/>
  <c r="D1581" i="11"/>
  <c r="D1594" i="11"/>
  <c r="D1609" i="11"/>
  <c r="D1624" i="11"/>
  <c r="D1637" i="11"/>
  <c r="D1652" i="11"/>
  <c r="D1666" i="11"/>
  <c r="D1680" i="11"/>
  <c r="D1689" i="11"/>
  <c r="D1700" i="11"/>
  <c r="D1709" i="11"/>
  <c r="D1717" i="11"/>
  <c r="D1728" i="11"/>
  <c r="D1737" i="11"/>
  <c r="D1746" i="11"/>
  <c r="D1757" i="11"/>
  <c r="D1765" i="11"/>
  <c r="D1774" i="11"/>
  <c r="D1785" i="11"/>
  <c r="D1794" i="11"/>
  <c r="D1802" i="11"/>
  <c r="D1813" i="11"/>
  <c r="D1822" i="11"/>
  <c r="D1832" i="11"/>
  <c r="D1842" i="11"/>
  <c r="D1850" i="11"/>
  <c r="D1860" i="11"/>
  <c r="D1870" i="11"/>
  <c r="D1880" i="11"/>
  <c r="D1888" i="11"/>
  <c r="D1898" i="11"/>
  <c r="D1908" i="11"/>
  <c r="D1917" i="11"/>
  <c r="D1928" i="11"/>
  <c r="D1936" i="11"/>
  <c r="D1945" i="11"/>
  <c r="D1956" i="11"/>
  <c r="D1965" i="11"/>
  <c r="D1973" i="11"/>
  <c r="D1984" i="11"/>
  <c r="D1993" i="11"/>
  <c r="D2002" i="11"/>
  <c r="D2013" i="11"/>
  <c r="D2021" i="11"/>
  <c r="D2030" i="11"/>
  <c r="D2041" i="11"/>
  <c r="D2048" i="11"/>
  <c r="D2056" i="11"/>
  <c r="D2062" i="11"/>
  <c r="D2069" i="11"/>
  <c r="D2077" i="11"/>
  <c r="D2084" i="11"/>
  <c r="D2090" i="11"/>
  <c r="D2098" i="11"/>
  <c r="D2105" i="11"/>
  <c r="D2112" i="11"/>
  <c r="D2120" i="11"/>
  <c r="D2126" i="11"/>
  <c r="D2133" i="11"/>
  <c r="D2141" i="11"/>
  <c r="D2148" i="11"/>
  <c r="D2154" i="11"/>
  <c r="D2162" i="11"/>
  <c r="D2169" i="11"/>
  <c r="D2176" i="11"/>
  <c r="D2184" i="11"/>
  <c r="D2190" i="11"/>
  <c r="D2197" i="11"/>
  <c r="D2205" i="11"/>
  <c r="D2212" i="11"/>
  <c r="D2218" i="11"/>
  <c r="D2226" i="11"/>
  <c r="D2233" i="11"/>
  <c r="D2240" i="11"/>
  <c r="D2248" i="11"/>
  <c r="D2254" i="11"/>
  <c r="D2261" i="11"/>
  <c r="D2269" i="11"/>
  <c r="D2276" i="11"/>
  <c r="D2282" i="11"/>
  <c r="D2290" i="11"/>
  <c r="D2297" i="11"/>
  <c r="D2304" i="11"/>
  <c r="D2312" i="11"/>
  <c r="D2318" i="11"/>
  <c r="D2325" i="11"/>
  <c r="D2333" i="11"/>
  <c r="D2340" i="11"/>
  <c r="D2346" i="11"/>
  <c r="D2354" i="11"/>
  <c r="D2361" i="11"/>
  <c r="D2368" i="11"/>
  <c r="D2376" i="11"/>
  <c r="D2382" i="11"/>
  <c r="D2389" i="11"/>
  <c r="D2397" i="11"/>
  <c r="D2404" i="11"/>
  <c r="D2410" i="11"/>
  <c r="D2418" i="11"/>
  <c r="D2425" i="11"/>
  <c r="D2432" i="11"/>
  <c r="D2440" i="11"/>
  <c r="D2446" i="11"/>
  <c r="D2453" i="11"/>
  <c r="D2461" i="11"/>
  <c r="D2468" i="11"/>
  <c r="D2474" i="11"/>
  <c r="D2482" i="11"/>
  <c r="D2489" i="11"/>
  <c r="D2496" i="11"/>
  <c r="D2504" i="11"/>
  <c r="D2510" i="11"/>
  <c r="D2517" i="11"/>
  <c r="D2525" i="11"/>
  <c r="D2532" i="11"/>
  <c r="D2538" i="11"/>
  <c r="D2546" i="11"/>
  <c r="D2553" i="11"/>
  <c r="D2560" i="11"/>
  <c r="D2568" i="11"/>
  <c r="D2574" i="11"/>
  <c r="D2581" i="11"/>
  <c r="D2589" i="11"/>
  <c r="D2596" i="11"/>
  <c r="D2602" i="11"/>
  <c r="D2610" i="11"/>
  <c r="D2617" i="11"/>
  <c r="D2624" i="11"/>
  <c r="D2632" i="11"/>
  <c r="D2638" i="11"/>
  <c r="D2645" i="11"/>
  <c r="D2653" i="11"/>
  <c r="D2660" i="11"/>
  <c r="D2666" i="11"/>
  <c r="D2674" i="11"/>
  <c r="D2681" i="11"/>
  <c r="D2688" i="11"/>
  <c r="D2696" i="11"/>
  <c r="D2702" i="11"/>
  <c r="D2709" i="11"/>
  <c r="D2717" i="11"/>
  <c r="D2724" i="11"/>
  <c r="D2730" i="11"/>
  <c r="D2738" i="11"/>
  <c r="D2745" i="11"/>
  <c r="D2752" i="11"/>
  <c r="D2760" i="11"/>
  <c r="D2766" i="11"/>
  <c r="D2773" i="11"/>
  <c r="D2781" i="11"/>
  <c r="D2788" i="11"/>
  <c r="D2794" i="11"/>
  <c r="D2802" i="11"/>
  <c r="D2809" i="11"/>
  <c r="D2816" i="11"/>
  <c r="D2824" i="11"/>
  <c r="D2830" i="11"/>
  <c r="D2837" i="11"/>
  <c r="D2845" i="11"/>
  <c r="D2852" i="11"/>
  <c r="D2858" i="11"/>
  <c r="D2866" i="11"/>
  <c r="D2873" i="11"/>
  <c r="D2880" i="11"/>
  <c r="D2888" i="11"/>
  <c r="D2894" i="11"/>
  <c r="D2901" i="11"/>
  <c r="D2909" i="11"/>
  <c r="D2916" i="11"/>
  <c r="D2922" i="11"/>
  <c r="D2930" i="11"/>
  <c r="D2937" i="11"/>
  <c r="D2944" i="11"/>
  <c r="D2952" i="11"/>
  <c r="D2958" i="11"/>
  <c r="D2965" i="11"/>
  <c r="D2973" i="11"/>
  <c r="D2980" i="11"/>
  <c r="D2986" i="11"/>
  <c r="D2994" i="11"/>
  <c r="D3001" i="11"/>
  <c r="D3008" i="11"/>
  <c r="D3016" i="11"/>
  <c r="D3022" i="11"/>
  <c r="D3029" i="11"/>
  <c r="D3037" i="11"/>
  <c r="D3044" i="11"/>
  <c r="D3050" i="11"/>
  <c r="D3058" i="11"/>
  <c r="D3065" i="11"/>
  <c r="D3072" i="11"/>
  <c r="D3080" i="11"/>
  <c r="D3086" i="11"/>
  <c r="D3093" i="11"/>
  <c r="D3101" i="11"/>
  <c r="D3108" i="11"/>
  <c r="D3114" i="11"/>
  <c r="D3122" i="11"/>
  <c r="D3129" i="11"/>
  <c r="D3136" i="11"/>
  <c r="D3144" i="11"/>
  <c r="D3150" i="11"/>
  <c r="D3157" i="11"/>
  <c r="D3165" i="11"/>
  <c r="D3172" i="11"/>
  <c r="D3178" i="11"/>
  <c r="D3186" i="11"/>
  <c r="D3193" i="11"/>
  <c r="D3200" i="11"/>
  <c r="D3208" i="11"/>
  <c r="D3214" i="11"/>
  <c r="D3221" i="11"/>
  <c r="D3229" i="11"/>
  <c r="D3236" i="11"/>
  <c r="D3242" i="11"/>
  <c r="D3250" i="11"/>
  <c r="D3257" i="11"/>
  <c r="D3264" i="11"/>
  <c r="D3272" i="11"/>
  <c r="D3278" i="11"/>
  <c r="D3285" i="11"/>
  <c r="D3293" i="11"/>
  <c r="D3300" i="11"/>
  <c r="D3306" i="11"/>
  <c r="D3314" i="11"/>
  <c r="D3321" i="11"/>
  <c r="D3328" i="11"/>
  <c r="D3336" i="11"/>
  <c r="D3342" i="11"/>
  <c r="D3349" i="11"/>
  <c r="D3357" i="11"/>
  <c r="D3364" i="11"/>
  <c r="D3370" i="11"/>
  <c r="D3378" i="11"/>
  <c r="D3385" i="11"/>
  <c r="D3392" i="11"/>
  <c r="D3400" i="11"/>
  <c r="D3406" i="11"/>
  <c r="D3413" i="11"/>
  <c r="D3421" i="11"/>
  <c r="D3428" i="11"/>
  <c r="D3434" i="11"/>
  <c r="D3442" i="11"/>
  <c r="D3449" i="11"/>
  <c r="D3456" i="11"/>
  <c r="D3464" i="11"/>
  <c r="D3470" i="11"/>
  <c r="D3477" i="11"/>
  <c r="D3485" i="11"/>
  <c r="D3492" i="11"/>
  <c r="D3498" i="11"/>
  <c r="C9" i="11"/>
  <c r="C49" i="11"/>
  <c r="C93" i="11"/>
  <c r="C137" i="11"/>
  <c r="C175" i="11"/>
  <c r="C197" i="11"/>
  <c r="C219" i="11"/>
  <c r="C239" i="11"/>
  <c r="C261" i="11"/>
  <c r="C283" i="11"/>
  <c r="C303" i="11"/>
  <c r="C325" i="11"/>
  <c r="C344" i="11"/>
  <c r="C354" i="11"/>
  <c r="C25" i="11"/>
  <c r="C65" i="11"/>
  <c r="C109" i="11"/>
  <c r="C153" i="11"/>
  <c r="C183" i="11"/>
  <c r="C205" i="11"/>
  <c r="C227" i="11"/>
  <c r="C247" i="11"/>
  <c r="C269" i="11"/>
  <c r="C291" i="11"/>
  <c r="C311" i="11"/>
  <c r="C333" i="11"/>
  <c r="C348" i="11"/>
  <c r="D3488" i="11"/>
  <c r="D3474" i="11"/>
  <c r="D3460" i="11"/>
  <c r="D3445" i="11"/>
  <c r="D3432" i="11"/>
  <c r="D3417" i="11"/>
  <c r="D3402" i="11"/>
  <c r="D3389" i="11"/>
  <c r="D3374" i="11"/>
  <c r="D3360" i="11"/>
  <c r="D3346" i="11"/>
  <c r="D3332" i="11"/>
  <c r="D3317" i="11"/>
  <c r="D3304" i="11"/>
  <c r="D3289" i="11"/>
  <c r="D3274" i="11"/>
  <c r="D3261" i="11"/>
  <c r="D3246" i="11"/>
  <c r="D3232" i="11"/>
  <c r="D3218" i="11"/>
  <c r="D3204" i="11"/>
  <c r="D3189" i="11"/>
  <c r="D3176" i="11"/>
  <c r="D3161" i="11"/>
  <c r="D3146" i="11"/>
  <c r="D3133" i="11"/>
  <c r="D3118" i="11"/>
  <c r="D3104" i="11"/>
  <c r="D3090" i="11"/>
  <c r="D3076" i="11"/>
  <c r="D3061" i="11"/>
  <c r="D3048" i="11"/>
  <c r="D3033" i="11"/>
  <c r="D3018" i="11"/>
  <c r="D3005" i="11"/>
  <c r="D2990" i="11"/>
  <c r="D2976" i="11"/>
  <c r="D2962" i="11"/>
  <c r="D2948" i="11"/>
  <c r="D2933" i="11"/>
  <c r="D2920" i="11"/>
  <c r="D2905" i="11"/>
  <c r="D2890" i="11"/>
  <c r="D2877" i="11"/>
  <c r="D2862" i="11"/>
  <c r="D2848" i="11"/>
  <c r="D2834" i="11"/>
  <c r="D2820" i="11"/>
  <c r="D2805" i="11"/>
  <c r="D2792" i="11"/>
  <c r="D2777" i="11"/>
  <c r="D2762" i="11"/>
  <c r="D2749" i="11"/>
  <c r="D2734" i="11"/>
  <c r="D2720" i="11"/>
  <c r="D2706" i="11"/>
  <c r="D2692" i="11"/>
  <c r="D2677" i="11"/>
  <c r="D2664" i="11"/>
  <c r="D2649" i="11"/>
  <c r="D2634" i="11"/>
  <c r="D2621" i="11"/>
  <c r="D2606" i="11"/>
  <c r="D2592" i="11"/>
  <c r="D2578" i="11"/>
  <c r="D2564" i="11"/>
  <c r="D2549" i="11"/>
  <c r="D2536" i="11"/>
  <c r="D2521" i="11"/>
  <c r="D2506" i="11"/>
  <c r="D2493" i="11"/>
  <c r="D2478" i="11"/>
  <c r="D2464" i="11"/>
  <c r="D2450" i="11"/>
  <c r="D2436" i="11"/>
  <c r="D2421" i="11"/>
  <c r="D2408" i="11"/>
  <c r="D2393" i="11"/>
  <c r="D2378" i="11"/>
  <c r="D2365" i="11"/>
  <c r="D2350" i="11"/>
  <c r="D2336" i="11"/>
  <c r="D2322" i="11"/>
  <c r="D2308" i="11"/>
  <c r="D2293" i="11"/>
  <c r="D2280" i="11"/>
  <c r="D2265" i="11"/>
  <c r="D2250" i="11"/>
  <c r="D2237" i="11"/>
  <c r="D2222" i="11"/>
  <c r="D2208" i="11"/>
  <c r="D2194" i="11"/>
  <c r="D2180" i="11"/>
  <c r="D2165" i="11"/>
  <c r="D2152" i="11"/>
  <c r="D2137" i="11"/>
  <c r="D2122" i="11"/>
  <c r="D2109" i="11"/>
  <c r="D2094" i="11"/>
  <c r="D2080" i="11"/>
  <c r="D2066" i="11"/>
  <c r="D2052" i="11"/>
  <c r="D2036" i="11"/>
  <c r="D2016" i="11"/>
  <c r="D1998" i="11"/>
  <c r="D1978" i="11"/>
  <c r="D1960" i="11"/>
  <c r="D1941" i="11"/>
  <c r="D1922" i="11"/>
  <c r="D1902" i="11"/>
  <c r="D1885" i="11"/>
  <c r="D1865" i="11"/>
  <c r="D1845" i="11"/>
  <c r="D1828" i="11"/>
  <c r="D1808" i="11"/>
  <c r="D1789" i="11"/>
  <c r="D1770" i="11"/>
  <c r="D1752" i="11"/>
  <c r="D1732" i="11"/>
  <c r="D1714" i="11"/>
  <c r="D1694" i="11"/>
  <c r="D1673" i="11"/>
  <c r="D1645" i="11"/>
  <c r="D1616" i="11"/>
  <c r="D1588" i="11"/>
  <c r="D1560" i="11"/>
  <c r="D1530" i="11"/>
  <c r="D1502" i="11"/>
  <c r="D1474" i="11"/>
  <c r="D1445" i="11"/>
  <c r="D1417" i="11"/>
  <c r="D1389" i="11"/>
  <c r="D1360" i="11"/>
  <c r="D1332" i="11"/>
  <c r="D1304" i="11"/>
  <c r="D1274" i="11"/>
  <c r="D1246" i="11"/>
  <c r="D1218" i="11"/>
  <c r="D1189" i="11"/>
  <c r="D1161" i="11"/>
  <c r="D1133" i="11"/>
  <c r="D1104" i="11"/>
  <c r="D1076" i="11"/>
  <c r="D1048" i="11"/>
  <c r="D1018" i="11"/>
  <c r="D990" i="11"/>
  <c r="D962" i="11"/>
  <c r="D933" i="11"/>
  <c r="D905" i="11"/>
  <c r="D877" i="11"/>
  <c r="D848" i="11"/>
  <c r="D813" i="11"/>
  <c r="D776" i="11"/>
  <c r="D738" i="11"/>
  <c r="D698" i="11"/>
  <c r="D661" i="11"/>
  <c r="D616" i="11"/>
  <c r="D564" i="11"/>
  <c r="D515" i="11"/>
  <c r="D444" i="11"/>
  <c r="D368" i="11"/>
  <c r="D257" i="11"/>
  <c r="D111" i="11"/>
  <c r="E5" i="11"/>
  <c r="E17" i="11"/>
  <c r="E45" i="11"/>
  <c r="E77" i="11"/>
  <c r="E91" i="11"/>
  <c r="E105" i="11"/>
  <c r="E121" i="11"/>
  <c r="E135" i="11"/>
  <c r="E147" i="11"/>
  <c r="E163" i="11"/>
  <c r="E177" i="11"/>
  <c r="E191" i="11"/>
  <c r="E207" i="11"/>
  <c r="E219" i="11"/>
  <c r="E233" i="11"/>
  <c r="E249" i="11"/>
  <c r="E263" i="11"/>
  <c r="E275" i="11"/>
  <c r="E291" i="11"/>
  <c r="E305" i="11"/>
  <c r="E319" i="11"/>
  <c r="E335" i="11"/>
  <c r="E342" i="11"/>
  <c r="E349" i="11"/>
  <c r="E357" i="11"/>
  <c r="E364" i="11"/>
  <c r="E370" i="11"/>
  <c r="E378" i="11"/>
  <c r="E385" i="11"/>
  <c r="E392" i="11"/>
  <c r="E400" i="11"/>
  <c r="E406" i="11"/>
  <c r="E413" i="11"/>
  <c r="E421" i="11"/>
  <c r="E428" i="11"/>
  <c r="E434" i="11"/>
  <c r="E442" i="11"/>
  <c r="E449" i="11"/>
  <c r="E456" i="11"/>
  <c r="E464" i="11"/>
  <c r="E470" i="11"/>
  <c r="E477" i="11"/>
  <c r="E485" i="11"/>
  <c r="E492" i="11"/>
  <c r="E498" i="11"/>
  <c r="E506" i="11"/>
  <c r="E513" i="11"/>
  <c r="E520" i="11"/>
  <c r="E528" i="11"/>
  <c r="E534" i="11"/>
  <c r="E541" i="11"/>
  <c r="E549" i="11"/>
  <c r="E556" i="11"/>
  <c r="E562" i="11"/>
  <c r="E570" i="11"/>
  <c r="E577" i="11"/>
  <c r="E584" i="11"/>
  <c r="E592" i="11"/>
  <c r="E598" i="11"/>
  <c r="E605" i="11"/>
  <c r="E613" i="11"/>
  <c r="E620" i="11"/>
  <c r="E626" i="11"/>
  <c r="E634" i="11"/>
  <c r="E641" i="11"/>
  <c r="E648" i="11"/>
  <c r="E656" i="11"/>
  <c r="E662" i="11"/>
  <c r="E669" i="11"/>
  <c r="E677" i="11"/>
  <c r="E684" i="11"/>
  <c r="E690" i="11"/>
  <c r="E698" i="11"/>
  <c r="E705" i="11"/>
  <c r="E712" i="11"/>
  <c r="E720" i="11"/>
  <c r="E726" i="11"/>
  <c r="E733" i="11"/>
  <c r="E741" i="11"/>
  <c r="E748" i="11"/>
  <c r="E754" i="11"/>
  <c r="E762" i="11"/>
  <c r="E769" i="11"/>
  <c r="E776" i="11"/>
  <c r="E784" i="11"/>
  <c r="E790" i="11"/>
  <c r="E797" i="11"/>
  <c r="E805" i="11"/>
  <c r="E812" i="11"/>
  <c r="E818" i="11"/>
  <c r="E826" i="11"/>
  <c r="E833" i="11"/>
  <c r="E840" i="11"/>
  <c r="E848" i="11"/>
  <c r="E854" i="11"/>
  <c r="E861" i="11"/>
  <c r="E869" i="11"/>
  <c r="E876" i="11"/>
  <c r="E882" i="11"/>
  <c r="E890" i="11"/>
  <c r="E897" i="11"/>
  <c r="E904" i="11"/>
  <c r="E912" i="11"/>
  <c r="E918" i="11"/>
  <c r="E925" i="11"/>
  <c r="E933" i="11"/>
  <c r="E940" i="11"/>
  <c r="E946" i="11"/>
  <c r="E954" i="11"/>
  <c r="E961" i="11"/>
  <c r="E968" i="11"/>
  <c r="E976" i="11"/>
  <c r="E982" i="11"/>
  <c r="E989" i="11"/>
  <c r="E997" i="11"/>
  <c r="E1004" i="11"/>
  <c r="E1010" i="11"/>
  <c r="E1018" i="11"/>
  <c r="E1025" i="11"/>
  <c r="E1032" i="11"/>
  <c r="E1040" i="11"/>
  <c r="E1046" i="11"/>
  <c r="E1053" i="11"/>
  <c r="E1061" i="11"/>
  <c r="E1068" i="11"/>
  <c r="E1074" i="11"/>
  <c r="E1082" i="11"/>
  <c r="E1089" i="11"/>
  <c r="E1096" i="11"/>
  <c r="E1104" i="11"/>
  <c r="E1110" i="11"/>
  <c r="E1117" i="11"/>
  <c r="E1125" i="11"/>
  <c r="E1132" i="11"/>
  <c r="E1138" i="11"/>
  <c r="E1146" i="11"/>
  <c r="E1153" i="11"/>
  <c r="E1160" i="11"/>
  <c r="E1168" i="11"/>
  <c r="E1174" i="11"/>
  <c r="E1181" i="11"/>
  <c r="E1189" i="11"/>
  <c r="E1196" i="11"/>
  <c r="E1202" i="11"/>
  <c r="E1210" i="11"/>
  <c r="E1217" i="11"/>
  <c r="E1224" i="11"/>
  <c r="E1232" i="11"/>
  <c r="E1238" i="11"/>
  <c r="E1245" i="11"/>
  <c r="E1253" i="11"/>
  <c r="E1260" i="11"/>
  <c r="E1266" i="11"/>
  <c r="E1274" i="11"/>
  <c r="E1281" i="11"/>
  <c r="E1288" i="11"/>
  <c r="E1296" i="11"/>
  <c r="E1302" i="11"/>
  <c r="E1309" i="11"/>
  <c r="E1317" i="11"/>
  <c r="E1324" i="11"/>
  <c r="E1330" i="11"/>
  <c r="E1338" i="11"/>
  <c r="E1345" i="11"/>
  <c r="E1352" i="11"/>
  <c r="E1360" i="11"/>
  <c r="E1366" i="11"/>
  <c r="E1373" i="11"/>
  <c r="E1381" i="11"/>
  <c r="E1388" i="11"/>
  <c r="E1394" i="11"/>
  <c r="E1402" i="11"/>
  <c r="E1409" i="11"/>
  <c r="E1416" i="11"/>
  <c r="E1424" i="11"/>
  <c r="E1430" i="11"/>
  <c r="E1437" i="11"/>
  <c r="E1445" i="11"/>
  <c r="E1452" i="11"/>
  <c r="E1458" i="11"/>
  <c r="E1466" i="11"/>
  <c r="E1473" i="11"/>
  <c r="E1480" i="11"/>
  <c r="E1488" i="11"/>
  <c r="E1494" i="11"/>
  <c r="E1501" i="11"/>
  <c r="E1509" i="11"/>
  <c r="E1516" i="11"/>
  <c r="E1522" i="11"/>
  <c r="E1530" i="11"/>
  <c r="E1537" i="11"/>
  <c r="E1544" i="11"/>
  <c r="E1552" i="11"/>
  <c r="E1558" i="11"/>
  <c r="E1565" i="11"/>
  <c r="E1573" i="11"/>
  <c r="E1580" i="11"/>
  <c r="E1586" i="11"/>
  <c r="E1594" i="11"/>
  <c r="E1601" i="11"/>
  <c r="E1608" i="11"/>
  <c r="E1616" i="11"/>
  <c r="E1622" i="11"/>
  <c r="E1629" i="11"/>
  <c r="E1637" i="11"/>
  <c r="E1644" i="11"/>
  <c r="E1650" i="11"/>
  <c r="E1658" i="11"/>
  <c r="E1665" i="11"/>
  <c r="E1672" i="11"/>
  <c r="E1680" i="11"/>
  <c r="E1686" i="11"/>
  <c r="E1693" i="11"/>
  <c r="E1701" i="11"/>
  <c r="E1708" i="11"/>
  <c r="E1714" i="11"/>
  <c r="E1722" i="11"/>
  <c r="E1729" i="11"/>
  <c r="E1736" i="11"/>
  <c r="E1744" i="11"/>
  <c r="E1750" i="11"/>
  <c r="E1757" i="11"/>
  <c r="E1765" i="11"/>
  <c r="E1772" i="11"/>
  <c r="E1778" i="11"/>
  <c r="E1786" i="11"/>
  <c r="E1793" i="11"/>
  <c r="E1800" i="11"/>
  <c r="E1808" i="11"/>
  <c r="E1814" i="11"/>
  <c r="E1821" i="11"/>
  <c r="E1829" i="11"/>
  <c r="E1836" i="11"/>
  <c r="E1842" i="11"/>
  <c r="E1850" i="11"/>
  <c r="E1857" i="11"/>
  <c r="E1864" i="11"/>
  <c r="E1872" i="11"/>
  <c r="E1878" i="11"/>
  <c r="E1885" i="11"/>
  <c r="E1893" i="11"/>
  <c r="E1900" i="11"/>
  <c r="E1906" i="11"/>
  <c r="E1914" i="11"/>
  <c r="E1921" i="11"/>
  <c r="E1928" i="11"/>
  <c r="E1936" i="11"/>
  <c r="E1942" i="11"/>
  <c r="E1949" i="11"/>
  <c r="E1957" i="11"/>
  <c r="E1964" i="11"/>
  <c r="E1970" i="11"/>
  <c r="E1978" i="11"/>
  <c r="E1985" i="11"/>
  <c r="E1992" i="11"/>
  <c r="E2000" i="11"/>
  <c r="E2006" i="11"/>
  <c r="E2013" i="11"/>
  <c r="E2021" i="11"/>
  <c r="E2028" i="11"/>
  <c r="E2034" i="11"/>
  <c r="E2042" i="11"/>
  <c r="E2049" i="11"/>
  <c r="E2056" i="11"/>
  <c r="E2064" i="11"/>
  <c r="E2070" i="11"/>
  <c r="E2077" i="11"/>
  <c r="E2085" i="11"/>
  <c r="E2092" i="11"/>
  <c r="E2098" i="11"/>
  <c r="E2106" i="11"/>
  <c r="E2113" i="11"/>
  <c r="E2120" i="11"/>
  <c r="E2128" i="11"/>
  <c r="E2134" i="11"/>
  <c r="E2141" i="11"/>
  <c r="E2149" i="11"/>
  <c r="E2156" i="11"/>
  <c r="E2162" i="11"/>
  <c r="E2170" i="11"/>
  <c r="E2177" i="11"/>
  <c r="E2184" i="11"/>
  <c r="E2192" i="11"/>
  <c r="E2198" i="11"/>
  <c r="E2205" i="11"/>
  <c r="E2213" i="11"/>
  <c r="E2220" i="11"/>
  <c r="E2226" i="11"/>
  <c r="E2234" i="11"/>
  <c r="E2241" i="11"/>
  <c r="E2248" i="11"/>
  <c r="E2256" i="11"/>
  <c r="E2262" i="11"/>
  <c r="E2269" i="11"/>
  <c r="E2277" i="11"/>
  <c r="E2284" i="11"/>
  <c r="E3500" i="11"/>
  <c r="E3493" i="11"/>
  <c r="E3485" i="11"/>
  <c r="E3478" i="11"/>
  <c r="E3472" i="11"/>
  <c r="E3464" i="11"/>
  <c r="E3457" i="11"/>
  <c r="E3450" i="11"/>
  <c r="E3442" i="11"/>
  <c r="E3436" i="11"/>
  <c r="E3429" i="11"/>
  <c r="E3421" i="11"/>
  <c r="E3414" i="11"/>
  <c r="E3408" i="11"/>
  <c r="E3400" i="11"/>
  <c r="E3393" i="11"/>
  <c r="E3386" i="11"/>
  <c r="E3378" i="11"/>
  <c r="E3372" i="11"/>
  <c r="E3365" i="11"/>
  <c r="E3357" i="11"/>
  <c r="E3350" i="11"/>
  <c r="E3344" i="11"/>
  <c r="E3336" i="11"/>
  <c r="E3329" i="11"/>
  <c r="E3322" i="11"/>
  <c r="E3314" i="11"/>
  <c r="E3308" i="11"/>
  <c r="E3301" i="11"/>
  <c r="E3293" i="11"/>
  <c r="E3286" i="11"/>
  <c r="E3280" i="11"/>
  <c r="E3272" i="11"/>
  <c r="E3265" i="11"/>
  <c r="E3258" i="11"/>
  <c r="E3250" i="11"/>
  <c r="E3244" i="11"/>
  <c r="E3237" i="11"/>
  <c r="E3229" i="11"/>
  <c r="E3222" i="11"/>
  <c r="E3216" i="11"/>
  <c r="E3208" i="11"/>
  <c r="E3201" i="11"/>
  <c r="E3194" i="11"/>
  <c r="E3186" i="11"/>
  <c r="E3180" i="11"/>
  <c r="E3173" i="11"/>
  <c r="E3165" i="11"/>
  <c r="E3158" i="11"/>
  <c r="E3152" i="11"/>
  <c r="E3144" i="11"/>
  <c r="E3137" i="11"/>
  <c r="E3130" i="11"/>
  <c r="E3122" i="11"/>
  <c r="E3116" i="11"/>
  <c r="E3109" i="11"/>
  <c r="E3101" i="11"/>
  <c r="E3094" i="11"/>
  <c r="E3088" i="11"/>
  <c r="E3080" i="11"/>
  <c r="E3073" i="11"/>
  <c r="E3066" i="11"/>
  <c r="E3058" i="11"/>
  <c r="E3052" i="11"/>
  <c r="E3045" i="11"/>
  <c r="E3037" i="11"/>
  <c r="E3030" i="11"/>
  <c r="E3024" i="11"/>
  <c r="E3016" i="11"/>
  <c r="E3009" i="11"/>
  <c r="E3002" i="11"/>
  <c r="E2994" i="11"/>
  <c r="E2988" i="11"/>
  <c r="E2981" i="11"/>
  <c r="E2973" i="11"/>
  <c r="E2966" i="11"/>
  <c r="E2960" i="11"/>
  <c r="E2952" i="11"/>
  <c r="E2945" i="11"/>
  <c r="E2938" i="11"/>
  <c r="E2930" i="11"/>
  <c r="E2924" i="11"/>
  <c r="E2917" i="11"/>
  <c r="E2909" i="11"/>
  <c r="E2902" i="11"/>
  <c r="E2896" i="11"/>
  <c r="E2888" i="11"/>
  <c r="E2881" i="11"/>
  <c r="E2874" i="11"/>
  <c r="E2866" i="11"/>
  <c r="E2860" i="11"/>
  <c r="E2853" i="11"/>
  <c r="E2845" i="11"/>
  <c r="E2838" i="11"/>
  <c r="E2832" i="11"/>
  <c r="E2824" i="11"/>
  <c r="E2817" i="11"/>
  <c r="E2810" i="11"/>
  <c r="E2802" i="11"/>
  <c r="E2796" i="11"/>
  <c r="E2789" i="11"/>
  <c r="E2781" i="11"/>
  <c r="E2774" i="11"/>
  <c r="E2768" i="11"/>
  <c r="E2760" i="11"/>
  <c r="E2753" i="11"/>
  <c r="E2746" i="11"/>
  <c r="E2738" i="11"/>
  <c r="E2732" i="11"/>
  <c r="E2725" i="11"/>
  <c r="E2717" i="11"/>
  <c r="E2710" i="11"/>
  <c r="E2704" i="11"/>
  <c r="E2696" i="11"/>
  <c r="E2689" i="11"/>
  <c r="E2682" i="11"/>
  <c r="E2674" i="11"/>
  <c r="E2668" i="11"/>
  <c r="E2661" i="11"/>
  <c r="E2653" i="11"/>
  <c r="E2646" i="11"/>
  <c r="E2640" i="11"/>
  <c r="E2632" i="11"/>
  <c r="E2625" i="11"/>
  <c r="E2618" i="11"/>
  <c r="E2610" i="11"/>
  <c r="E2604" i="11"/>
  <c r="E2597" i="11"/>
  <c r="E2589" i="11"/>
  <c r="E2582" i="11"/>
  <c r="E2576" i="11"/>
  <c r="E2568" i="11"/>
  <c r="E2561" i="11"/>
  <c r="E2554" i="11"/>
  <c r="E2546" i="11"/>
  <c r="E2540" i="11"/>
  <c r="E2533" i="11"/>
  <c r="E2525" i="11"/>
  <c r="E2518" i="11"/>
  <c r="E2512" i="11"/>
  <c r="E2504" i="11"/>
  <c r="E2497" i="11"/>
  <c r="E2490" i="11"/>
  <c r="E2482" i="11"/>
  <c r="E2476" i="11"/>
  <c r="E2469" i="11"/>
  <c r="E2461" i="11"/>
  <c r="E2454" i="11"/>
  <c r="E2448" i="11"/>
  <c r="E2440" i="11"/>
  <c r="E2433" i="11"/>
  <c r="E2426" i="11"/>
  <c r="E2418" i="11"/>
  <c r="E2412" i="11"/>
  <c r="E2405" i="11"/>
  <c r="E2397" i="11"/>
  <c r="E2390" i="11"/>
  <c r="E2384" i="11"/>
  <c r="E2376" i="11"/>
  <c r="E2369" i="11"/>
  <c r="E2362" i="11"/>
  <c r="E2354" i="11"/>
  <c r="E2348" i="11"/>
  <c r="E2341" i="11"/>
  <c r="E2333" i="11"/>
  <c r="E2326" i="11"/>
  <c r="E2320" i="11"/>
  <c r="E2312" i="11"/>
  <c r="E2305" i="11"/>
  <c r="E2298" i="11"/>
  <c r="E2290" i="11"/>
  <c r="E2282" i="11"/>
  <c r="E2273" i="11"/>
  <c r="E2264" i="11"/>
  <c r="E2253" i="11"/>
  <c r="E2245" i="11"/>
  <c r="E2236" i="11"/>
  <c r="E2225" i="11"/>
  <c r="E2216" i="11"/>
  <c r="E2208" i="11"/>
  <c r="E2197" i="11"/>
  <c r="E2188" i="11"/>
  <c r="E2178" i="11"/>
  <c r="E2168" i="11"/>
  <c r="E2160" i="11"/>
  <c r="E2150" i="11"/>
  <c r="E2140" i="11"/>
  <c r="E2130" i="11"/>
  <c r="E2122" i="11"/>
  <c r="E2112" i="11"/>
  <c r="E2102" i="11"/>
  <c r="E2093" i="11"/>
  <c r="E2082" i="11"/>
  <c r="E2074" i="11"/>
  <c r="E2065" i="11"/>
  <c r="E2054" i="11"/>
  <c r="E2045" i="11"/>
  <c r="E2037" i="11"/>
  <c r="E2026" i="11"/>
  <c r="E2017" i="11"/>
  <c r="E2008" i="11"/>
  <c r="E1997" i="11"/>
  <c r="E1989" i="11"/>
  <c r="E1980" i="11"/>
  <c r="E1969" i="11"/>
  <c r="E1960" i="11"/>
  <c r="E1952" i="11"/>
  <c r="E1941" i="11"/>
  <c r="E1932" i="11"/>
  <c r="E1922" i="11"/>
  <c r="E1912" i="11"/>
  <c r="E1904" i="11"/>
  <c r="E1894" i="11"/>
  <c r="E1884" i="11"/>
  <c r="E1874" i="11"/>
  <c r="E1866" i="11"/>
  <c r="E1856" i="11"/>
  <c r="E1846" i="11"/>
  <c r="E1837" i="11"/>
  <c r="E1826" i="11"/>
  <c r="E1818" i="11"/>
  <c r="E1809" i="11"/>
  <c r="E1798" i="11"/>
  <c r="E1789" i="11"/>
  <c r="E1781" i="11"/>
  <c r="E1770" i="11"/>
  <c r="E1761" i="11"/>
  <c r="E1752" i="11"/>
  <c r="E1741" i="11"/>
  <c r="E1733" i="11"/>
  <c r="E1724" i="11"/>
  <c r="E1713" i="11"/>
  <c r="E1704" i="11"/>
  <c r="E1696" i="11"/>
  <c r="E1685" i="11"/>
  <c r="E1676" i="11"/>
  <c r="E1666" i="11"/>
  <c r="E1656" i="11"/>
  <c r="E1648" i="11"/>
  <c r="E1638" i="11"/>
  <c r="E1628" i="11"/>
  <c r="E1618" i="11"/>
  <c r="E1610" i="11"/>
  <c r="E1600" i="11"/>
  <c r="E1590" i="11"/>
  <c r="E1581" i="11"/>
  <c r="E1570" i="11"/>
  <c r="E1562" i="11"/>
  <c r="E1553" i="11"/>
  <c r="E1542" i="11"/>
  <c r="E1533" i="11"/>
  <c r="E1525" i="11"/>
  <c r="E1514" i="11"/>
  <c r="E1505" i="11"/>
  <c r="E1496" i="11"/>
  <c r="E1485" i="11"/>
  <c r="E1477" i="11"/>
  <c r="E1468" i="11"/>
  <c r="E1457" i="11"/>
  <c r="E1448" i="11"/>
  <c r="E1440" i="11"/>
  <c r="E1429" i="11"/>
  <c r="E1420" i="11"/>
  <c r="E1410" i="11"/>
  <c r="E1400" i="11"/>
  <c r="E1392" i="11"/>
  <c r="E1382" i="11"/>
  <c r="E1372" i="11"/>
  <c r="E1362" i="11"/>
  <c r="E1354" i="11"/>
  <c r="E1344" i="11"/>
  <c r="E1334" i="11"/>
  <c r="E1325" i="11"/>
  <c r="E1314" i="11"/>
  <c r="E1306" i="11"/>
  <c r="E1297" i="11"/>
  <c r="E1286" i="11"/>
  <c r="E1277" i="11"/>
  <c r="E1269" i="11"/>
  <c r="E1258" i="11"/>
  <c r="E1249" i="11"/>
  <c r="E1240" i="11"/>
  <c r="E1229" i="11"/>
  <c r="E1221" i="11"/>
  <c r="E1212" i="11"/>
  <c r="E1201" i="11"/>
  <c r="E1192" i="11"/>
  <c r="E1184" i="11"/>
  <c r="E1173" i="11"/>
  <c r="E1164" i="11"/>
  <c r="E1154" i="11"/>
  <c r="E1144" i="11"/>
  <c r="E1136" i="11"/>
  <c r="E1126" i="11"/>
  <c r="E1116" i="11"/>
  <c r="E1106" i="11"/>
  <c r="E1098" i="11"/>
  <c r="E1088" i="11"/>
  <c r="E1078" i="11"/>
  <c r="E1069" i="11"/>
  <c r="E1058" i="11"/>
  <c r="E1050" i="11"/>
  <c r="E1041" i="11"/>
  <c r="E1030" i="11"/>
  <c r="E1021" i="11"/>
  <c r="E1013" i="11"/>
  <c r="E1002" i="11"/>
  <c r="E993" i="11"/>
  <c r="E984" i="11"/>
  <c r="E973" i="11"/>
  <c r="E965" i="11"/>
  <c r="E956" i="11"/>
  <c r="E945" i="11"/>
  <c r="E936" i="11"/>
  <c r="E928" i="11"/>
  <c r="E917" i="11"/>
  <c r="E908" i="11"/>
  <c r="E898" i="11"/>
  <c r="E888" i="11"/>
  <c r="E880" i="11"/>
  <c r="E870" i="11"/>
  <c r="E860" i="11"/>
  <c r="E850" i="11"/>
  <c r="E842" i="11"/>
  <c r="E832" i="11"/>
  <c r="E822" i="11"/>
  <c r="E813" i="11"/>
  <c r="E802" i="11"/>
  <c r="E794" i="11"/>
  <c r="E785" i="11"/>
  <c r="E774" i="11"/>
  <c r="E765" i="11"/>
  <c r="E757" i="11"/>
  <c r="E746" i="11"/>
  <c r="E737" i="11"/>
  <c r="E728" i="11"/>
  <c r="E717" i="11"/>
  <c r="E709" i="11"/>
  <c r="E700" i="11"/>
  <c r="E689" i="11"/>
  <c r="E680" i="11"/>
  <c r="E672" i="11"/>
  <c r="E661" i="11"/>
  <c r="E652" i="11"/>
  <c r="E642" i="11"/>
  <c r="E632" i="11"/>
  <c r="E624" i="11"/>
  <c r="E614" i="11"/>
  <c r="E604" i="11"/>
  <c r="E594" i="11"/>
  <c r="E586" i="11"/>
  <c r="E576" i="11"/>
  <c r="E566" i="11"/>
  <c r="E557" i="11"/>
  <c r="E546" i="11"/>
  <c r="E538" i="11"/>
  <c r="E529" i="11"/>
  <c r="E518" i="11"/>
  <c r="E509" i="11"/>
  <c r="E501" i="11"/>
  <c r="E490" i="11"/>
  <c r="E481" i="11"/>
  <c r="E472" i="11"/>
  <c r="E461" i="11"/>
  <c r="E453" i="11"/>
  <c r="E444" i="11"/>
  <c r="E433" i="11"/>
  <c r="E424" i="11"/>
  <c r="E416" i="11"/>
  <c r="E405" i="11"/>
  <c r="E396" i="11"/>
  <c r="E386" i="11"/>
  <c r="E376" i="11"/>
  <c r="E368" i="11"/>
  <c r="E358" i="11"/>
  <c r="E348" i="11"/>
  <c r="E337" i="11"/>
  <c r="E323" i="11"/>
  <c r="E303" i="11"/>
  <c r="E283" i="11"/>
  <c r="E265" i="11"/>
  <c r="E243" i="11"/>
  <c r="E227" i="11"/>
  <c r="E209" i="11"/>
  <c r="E187" i="11"/>
  <c r="E169" i="11"/>
  <c r="E153" i="11"/>
  <c r="E131" i="11"/>
  <c r="E113" i="11"/>
  <c r="E95" i="11"/>
  <c r="E65" i="11"/>
  <c r="E33" i="11"/>
  <c r="G5" i="11"/>
  <c r="G21" i="11"/>
  <c r="G53" i="11"/>
  <c r="G81" i="11"/>
  <c r="G105" i="11"/>
  <c r="G137" i="11"/>
  <c r="G165" i="11"/>
  <c r="G193" i="11"/>
  <c r="G216" i="11"/>
  <c r="G224" i="11"/>
  <c r="G233" i="11"/>
  <c r="G244" i="11"/>
  <c r="G253" i="11"/>
  <c r="G261" i="11"/>
  <c r="G272" i="11"/>
  <c r="G281" i="11"/>
  <c r="G291" i="11"/>
  <c r="G301" i="11"/>
  <c r="G309" i="11"/>
  <c r="G319" i="11"/>
  <c r="G329" i="11"/>
  <c r="G339" i="11"/>
  <c r="G345" i="11"/>
  <c r="G353" i="11"/>
  <c r="G360" i="11"/>
  <c r="G367" i="11"/>
  <c r="G375" i="11"/>
  <c r="G381" i="11"/>
  <c r="G388" i="11"/>
  <c r="G396" i="11"/>
  <c r="G403" i="11"/>
  <c r="G409" i="11"/>
  <c r="G417" i="11"/>
  <c r="G424" i="11"/>
  <c r="G431" i="11"/>
  <c r="G439" i="11"/>
  <c r="G445" i="11"/>
  <c r="G452" i="11"/>
  <c r="G460" i="11"/>
  <c r="G467" i="11"/>
  <c r="G473" i="11"/>
  <c r="G481" i="11"/>
  <c r="G488" i="11"/>
  <c r="G495" i="11"/>
  <c r="G503" i="11"/>
  <c r="G509" i="11"/>
  <c r="G516" i="11"/>
  <c r="G524" i="11"/>
  <c r="G531" i="11"/>
  <c r="G537" i="11"/>
  <c r="G545" i="11"/>
  <c r="G552" i="11"/>
  <c r="G559" i="11"/>
  <c r="G567" i="11"/>
  <c r="G573" i="11"/>
  <c r="G580" i="11"/>
  <c r="G588" i="11"/>
  <c r="G595" i="11"/>
  <c r="G601" i="11"/>
  <c r="G609" i="11"/>
  <c r="G616" i="11"/>
  <c r="G623" i="11"/>
  <c r="G631" i="11"/>
  <c r="G637" i="11"/>
  <c r="G644" i="11"/>
  <c r="G652" i="11"/>
  <c r="G659" i="11"/>
  <c r="G665" i="11"/>
  <c r="G673" i="11"/>
  <c r="G680" i="11"/>
  <c r="G687" i="11"/>
  <c r="G695" i="11"/>
  <c r="G701" i="11"/>
  <c r="G708" i="11"/>
  <c r="G716" i="11"/>
  <c r="G723" i="11"/>
  <c r="G729" i="11"/>
  <c r="G737" i="11"/>
  <c r="G744" i="11"/>
  <c r="G751" i="11"/>
  <c r="G759" i="11"/>
  <c r="G765" i="11"/>
  <c r="G772" i="11"/>
  <c r="G17" i="11"/>
  <c r="G57" i="11"/>
  <c r="G97" i="11"/>
  <c r="G129" i="11"/>
  <c r="G169" i="11"/>
  <c r="G209" i="11"/>
  <c r="G223" i="11"/>
  <c r="G237" i="11"/>
  <c r="G248" i="11"/>
  <c r="G260" i="11"/>
  <c r="G275" i="11"/>
  <c r="G287" i="11"/>
  <c r="G297" i="11"/>
  <c r="G312" i="11"/>
  <c r="G324" i="11"/>
  <c r="G336" i="11"/>
  <c r="G348" i="11"/>
  <c r="G356" i="11"/>
  <c r="G365" i="11"/>
  <c r="G376" i="11"/>
  <c r="G385" i="11"/>
  <c r="G393" i="11"/>
  <c r="G404" i="11"/>
  <c r="G413" i="11"/>
  <c r="G423" i="11"/>
  <c r="G433" i="11"/>
  <c r="G441" i="11"/>
  <c r="G451" i="11"/>
  <c r="G461" i="11"/>
  <c r="G471" i="11"/>
  <c r="G479" i="11"/>
  <c r="G489" i="11"/>
  <c r="G499" i="11"/>
  <c r="G508" i="11"/>
  <c r="G519" i="11"/>
  <c r="G527" i="11"/>
  <c r="G536" i="11"/>
  <c r="G547" i="11"/>
  <c r="G556" i="11"/>
  <c r="G564" i="11"/>
  <c r="G575" i="11"/>
  <c r="G584" i="11"/>
  <c r="G593" i="11"/>
  <c r="G604" i="11"/>
  <c r="G612" i="11"/>
  <c r="G621" i="11"/>
  <c r="G632" i="11"/>
  <c r="G641" i="11"/>
  <c r="G649" i="11"/>
  <c r="G660" i="11"/>
  <c r="G669" i="11"/>
  <c r="G679" i="11"/>
  <c r="G689" i="11"/>
  <c r="G697" i="11"/>
  <c r="G707" i="11"/>
  <c r="G717" i="11"/>
  <c r="G727" i="11"/>
  <c r="G735" i="11"/>
  <c r="G745" i="11"/>
  <c r="G755" i="11"/>
  <c r="G764" i="11"/>
  <c r="G775" i="11"/>
  <c r="G781" i="11"/>
  <c r="G788" i="11"/>
  <c r="G796" i="11"/>
  <c r="G803" i="11"/>
  <c r="G809" i="11"/>
  <c r="G817" i="11"/>
  <c r="G824" i="11"/>
  <c r="G831" i="11"/>
  <c r="G839" i="11"/>
  <c r="G845" i="11"/>
  <c r="G852" i="11"/>
  <c r="G860" i="11"/>
  <c r="G867" i="11"/>
  <c r="G873" i="11"/>
  <c r="G881" i="11"/>
  <c r="G888" i="11"/>
  <c r="G895" i="11"/>
  <c r="G903" i="11"/>
  <c r="G909" i="11"/>
  <c r="G916" i="11"/>
  <c r="G924" i="11"/>
  <c r="G931" i="11"/>
  <c r="G937" i="11"/>
  <c r="G945" i="11"/>
  <c r="G952" i="11"/>
  <c r="G959" i="11"/>
  <c r="G967" i="11"/>
  <c r="G973" i="11"/>
  <c r="G980" i="11"/>
  <c r="G988" i="11"/>
  <c r="G995" i="11"/>
  <c r="G1001" i="11"/>
  <c r="G1009" i="11"/>
  <c r="G1016" i="11"/>
  <c r="G1023" i="11"/>
  <c r="G1031" i="11"/>
  <c r="G1037" i="11"/>
  <c r="G1044" i="11"/>
  <c r="G1052" i="11"/>
  <c r="G1059" i="11"/>
  <c r="G1065" i="11"/>
  <c r="G1073" i="11"/>
  <c r="G1080" i="11"/>
  <c r="G1087" i="11"/>
  <c r="G1095" i="11"/>
  <c r="G1101" i="11"/>
  <c r="G1108" i="11"/>
  <c r="G1116" i="11"/>
  <c r="G1123" i="11"/>
  <c r="G1129" i="11"/>
  <c r="G1137" i="11"/>
  <c r="G1144" i="11"/>
  <c r="G1151" i="11"/>
  <c r="G1159" i="11"/>
  <c r="G1165" i="11"/>
  <c r="G1172" i="11"/>
  <c r="G1180" i="11"/>
  <c r="G1187" i="11"/>
  <c r="G1193" i="11"/>
  <c r="G1201" i="11"/>
  <c r="G1208" i="11"/>
  <c r="G1215" i="11"/>
  <c r="G1223" i="11"/>
  <c r="G1229" i="11"/>
  <c r="G1236" i="11"/>
  <c r="G1244" i="11"/>
  <c r="G1251" i="11"/>
  <c r="G1257" i="11"/>
  <c r="G1265" i="11"/>
  <c r="G1272" i="11"/>
  <c r="G1279" i="11"/>
  <c r="G1287" i="11"/>
  <c r="G1293" i="11"/>
  <c r="G1300" i="11"/>
  <c r="G1308" i="11"/>
  <c r="G1315" i="11"/>
  <c r="G1321" i="11"/>
  <c r="G1329" i="11"/>
  <c r="G1336" i="11"/>
  <c r="G1343" i="11"/>
  <c r="G1351" i="11"/>
  <c r="G1357" i="11"/>
  <c r="G1364" i="11"/>
  <c r="G1372" i="11"/>
  <c r="G1379" i="11"/>
  <c r="G1385" i="11"/>
  <c r="G1393" i="11"/>
  <c r="G1400" i="11"/>
  <c r="G1407" i="11"/>
  <c r="G1415" i="11"/>
  <c r="G1421" i="11"/>
  <c r="G1428" i="11"/>
  <c r="G1436" i="11"/>
  <c r="G1443" i="11"/>
  <c r="G1449" i="11"/>
  <c r="G1457" i="11"/>
  <c r="G1464" i="11"/>
  <c r="G1471" i="11"/>
  <c r="G1479" i="11"/>
  <c r="G1485" i="11"/>
  <c r="G1492" i="11"/>
  <c r="G1500" i="11"/>
  <c r="G1507" i="11"/>
  <c r="G1513" i="11"/>
  <c r="G1521" i="11"/>
  <c r="G1528" i="11"/>
  <c r="H782" i="11"/>
  <c r="H775" i="11"/>
  <c r="H768" i="11"/>
  <c r="H760" i="11"/>
  <c r="H754" i="11"/>
  <c r="H747" i="11"/>
  <c r="H739" i="11"/>
  <c r="H732" i="11"/>
  <c r="H726" i="11"/>
  <c r="H718" i="11"/>
  <c r="H711" i="11"/>
  <c r="H704" i="11"/>
  <c r="H696" i="11"/>
  <c r="H690" i="11"/>
  <c r="H683" i="11"/>
  <c r="H675" i="11"/>
  <c r="H668" i="11"/>
  <c r="H662" i="11"/>
  <c r="H654" i="11"/>
  <c r="H647" i="11"/>
  <c r="H640" i="11"/>
  <c r="H632" i="11"/>
  <c r="H626" i="11"/>
  <c r="H619" i="11"/>
  <c r="H611" i="11"/>
  <c r="H604" i="11"/>
  <c r="H598" i="11"/>
  <c r="H590" i="11"/>
  <c r="H583" i="11"/>
  <c r="H576" i="11"/>
  <c r="H568" i="11"/>
  <c r="H562" i="11"/>
  <c r="H555" i="11"/>
  <c r="H547" i="11"/>
  <c r="H540" i="11"/>
  <c r="H534" i="11"/>
  <c r="H526" i="11"/>
  <c r="H519" i="11"/>
  <c r="H512" i="11"/>
  <c r="H504" i="11"/>
  <c r="H498" i="11"/>
  <c r="H491" i="11"/>
  <c r="H483" i="11"/>
  <c r="H474" i="11"/>
  <c r="H466" i="11"/>
  <c r="H455" i="11"/>
  <c r="H446" i="11"/>
  <c r="H437" i="11"/>
  <c r="H426" i="11"/>
  <c r="H418" i="11"/>
  <c r="H409" i="11"/>
  <c r="H398" i="11"/>
  <c r="H389" i="11"/>
  <c r="H381" i="11"/>
  <c r="H370" i="11"/>
  <c r="H361" i="11"/>
  <c r="H351" i="11"/>
  <c r="H341" i="11"/>
  <c r="H331" i="11"/>
  <c r="H317" i="11"/>
  <c r="H304" i="11"/>
  <c r="H291" i="11"/>
  <c r="H280" i="11"/>
  <c r="H263" i="11"/>
  <c r="H245" i="11"/>
  <c r="H225" i="11"/>
  <c r="H193" i="11"/>
  <c r="H169" i="11"/>
  <c r="H143" i="11"/>
  <c r="H111" i="11"/>
  <c r="H81" i="11"/>
  <c r="H57" i="11"/>
  <c r="H25" i="11"/>
  <c r="H780" i="11"/>
  <c r="H774" i="11"/>
  <c r="H766" i="11"/>
  <c r="H759" i="11"/>
  <c r="H752" i="11"/>
  <c r="H744" i="11"/>
  <c r="H738" i="11"/>
  <c r="H731" i="11"/>
  <c r="H723" i="11"/>
  <c r="H716" i="11"/>
  <c r="H710" i="11"/>
  <c r="H702" i="11"/>
  <c r="H695" i="11"/>
  <c r="H688" i="11"/>
  <c r="H680" i="11"/>
  <c r="H674" i="11"/>
  <c r="H667" i="11"/>
  <c r="H659" i="11"/>
  <c r="H652" i="11"/>
  <c r="H646" i="11"/>
  <c r="H638" i="11"/>
  <c r="H631" i="11"/>
  <c r="H624" i="11"/>
  <c r="H616" i="11"/>
  <c r="H610" i="11"/>
  <c r="H603" i="11"/>
  <c r="H595" i="11"/>
  <c r="H588" i="11"/>
  <c r="H582" i="11"/>
  <c r="H574" i="11"/>
  <c r="H567" i="11"/>
  <c r="H560" i="11"/>
  <c r="H552" i="11"/>
  <c r="H546" i="11"/>
  <c r="H539" i="11"/>
  <c r="H531" i="11"/>
  <c r="H524" i="11"/>
  <c r="H518" i="11"/>
  <c r="H510" i="11"/>
  <c r="H503" i="11"/>
  <c r="H496" i="11"/>
  <c r="H488" i="11"/>
  <c r="H482" i="11"/>
  <c r="H473" i="11"/>
  <c r="H462" i="11"/>
  <c r="H453" i="11"/>
  <c r="H445" i="11"/>
  <c r="H434" i="11"/>
  <c r="H425" i="11"/>
  <c r="H415" i="11"/>
  <c r="H405" i="11"/>
  <c r="H397" i="11"/>
  <c r="H387" i="11"/>
  <c r="H377" i="11"/>
  <c r="H367" i="11"/>
  <c r="H359" i="11"/>
  <c r="H349" i="11"/>
  <c r="H339" i="11"/>
  <c r="H327" i="11"/>
  <c r="H312" i="11"/>
  <c r="H301" i="11"/>
  <c r="H289" i="11"/>
  <c r="H275" i="11"/>
  <c r="H257" i="11"/>
  <c r="H241" i="11"/>
  <c r="H217" i="11"/>
  <c r="H191" i="11"/>
  <c r="H161" i="11"/>
  <c r="H129" i="11"/>
  <c r="H105" i="11"/>
  <c r="H79" i="11"/>
  <c r="H47" i="11"/>
  <c r="H17" i="11"/>
  <c r="A2" i="11"/>
  <c r="A13" i="11"/>
  <c r="A29" i="11"/>
  <c r="A45" i="11"/>
  <c r="A61" i="11"/>
  <c r="A77" i="11"/>
  <c r="A93" i="11"/>
  <c r="A109" i="11"/>
  <c r="A125" i="11"/>
  <c r="A141" i="11"/>
  <c r="A157" i="11"/>
  <c r="A173" i="11"/>
  <c r="A189" i="11"/>
  <c r="A205" i="11"/>
  <c r="A221" i="11"/>
  <c r="A237" i="11"/>
  <c r="A253" i="11"/>
  <c r="A261" i="11"/>
  <c r="A267" i="11"/>
  <c r="A272" i="11"/>
  <c r="A277" i="11"/>
  <c r="A283" i="11"/>
  <c r="A288" i="11"/>
  <c r="A293" i="11"/>
  <c r="A299" i="11"/>
  <c r="A304" i="11"/>
  <c r="A309" i="11"/>
  <c r="A315" i="11"/>
  <c r="A320" i="11"/>
  <c r="A325" i="11"/>
  <c r="A331" i="11"/>
  <c r="A336" i="11"/>
  <c r="A341" i="11"/>
  <c r="A345" i="11"/>
  <c r="A349" i="11"/>
  <c r="A353" i="11"/>
  <c r="A357" i="11"/>
  <c r="A361" i="11"/>
  <c r="A365" i="11"/>
  <c r="A369" i="11"/>
  <c r="A373" i="11"/>
  <c r="A377" i="11"/>
  <c r="A381" i="11"/>
  <c r="A385" i="11"/>
  <c r="A389" i="11"/>
  <c r="A393" i="11"/>
  <c r="A397" i="11"/>
  <c r="A401" i="11"/>
  <c r="A405" i="11"/>
  <c r="A409" i="11"/>
  <c r="A413" i="11"/>
  <c r="A417" i="11"/>
  <c r="A421" i="11"/>
  <c r="A425" i="11"/>
  <c r="A429" i="11"/>
  <c r="A433" i="11"/>
  <c r="A437" i="11"/>
  <c r="A441" i="11"/>
  <c r="A445" i="11"/>
  <c r="A449" i="11"/>
  <c r="A453" i="11"/>
  <c r="A457" i="11"/>
  <c r="A461" i="11"/>
  <c r="A465" i="11"/>
  <c r="A469" i="11"/>
  <c r="A473" i="11"/>
  <c r="A477" i="11"/>
  <c r="A481" i="11"/>
  <c r="A485" i="11"/>
  <c r="A489" i="11"/>
  <c r="A493" i="11"/>
  <c r="A497" i="11"/>
  <c r="A501" i="11"/>
  <c r="A505" i="11"/>
  <c r="A509" i="11"/>
  <c r="A513" i="11"/>
  <c r="A517" i="11"/>
  <c r="A521" i="11"/>
  <c r="A525" i="11"/>
  <c r="A529" i="11"/>
  <c r="A533" i="11"/>
  <c r="A537" i="11"/>
  <c r="A541" i="11"/>
  <c r="A545" i="11"/>
  <c r="A549" i="11"/>
  <c r="A553" i="11"/>
  <c r="A557" i="11"/>
  <c r="A561" i="11"/>
  <c r="A565" i="11"/>
  <c r="A569" i="11"/>
  <c r="A573" i="11"/>
  <c r="A577" i="11"/>
  <c r="A581" i="11"/>
  <c r="A585" i="11"/>
  <c r="A589" i="11"/>
  <c r="A593" i="11"/>
  <c r="A597" i="11"/>
  <c r="A601" i="11"/>
  <c r="A605" i="11"/>
  <c r="A609" i="11"/>
  <c r="A613" i="11"/>
  <c r="A617" i="11"/>
  <c r="A621" i="11"/>
  <c r="A625" i="11"/>
  <c r="A629" i="11"/>
  <c r="A633" i="11"/>
  <c r="A637" i="11"/>
  <c r="A641" i="11"/>
  <c r="A645" i="11"/>
  <c r="A649" i="11"/>
  <c r="A653" i="11"/>
  <c r="A657" i="11"/>
  <c r="A661" i="11"/>
  <c r="A665" i="11"/>
  <c r="A669" i="11"/>
  <c r="A673" i="11"/>
  <c r="A677" i="11"/>
  <c r="A681" i="11"/>
  <c r="A685" i="11"/>
  <c r="A689" i="11"/>
  <c r="A693" i="11"/>
  <c r="A697" i="11"/>
  <c r="A701" i="11"/>
  <c r="A705" i="11"/>
  <c r="A709" i="11"/>
  <c r="A713" i="11"/>
  <c r="A717" i="11"/>
  <c r="A721" i="11"/>
  <c r="A725" i="11"/>
  <c r="A729" i="11"/>
  <c r="A733" i="11"/>
  <c r="A737" i="11"/>
  <c r="A741" i="11"/>
  <c r="A745" i="11"/>
  <c r="A749" i="11"/>
  <c r="A753" i="11"/>
  <c r="A757" i="11"/>
  <c r="A761" i="11"/>
  <c r="A765" i="11"/>
  <c r="A769" i="11"/>
  <c r="A773" i="11"/>
  <c r="A777" i="11"/>
  <c r="A781" i="11"/>
  <c r="A785" i="11"/>
  <c r="A789" i="11"/>
  <c r="A793" i="11"/>
  <c r="A797" i="11"/>
  <c r="A801" i="11"/>
  <c r="A805" i="11"/>
  <c r="A809" i="11"/>
  <c r="A813" i="11"/>
  <c r="A817" i="11"/>
  <c r="A821" i="11"/>
  <c r="A825" i="11"/>
  <c r="A829" i="11"/>
  <c r="A833" i="11"/>
  <c r="A837" i="11"/>
  <c r="A841" i="11"/>
  <c r="A845" i="11"/>
  <c r="A849" i="11"/>
  <c r="A853" i="11"/>
  <c r="A857" i="11"/>
  <c r="A861" i="11"/>
  <c r="A865" i="11"/>
  <c r="A869" i="11"/>
  <c r="A873" i="11"/>
  <c r="A877" i="11"/>
  <c r="A881" i="11"/>
  <c r="A885" i="11"/>
  <c r="A889" i="11"/>
  <c r="A893" i="11"/>
  <c r="A897" i="11"/>
  <c r="A901" i="11"/>
  <c r="A905" i="11"/>
  <c r="A909" i="11"/>
  <c r="A913" i="11"/>
  <c r="A917" i="11"/>
  <c r="A921" i="11"/>
  <c r="A925" i="11"/>
  <c r="A929" i="11"/>
  <c r="A933" i="11"/>
  <c r="A937" i="11"/>
  <c r="A941" i="11"/>
  <c r="A945" i="11"/>
  <c r="A949" i="11"/>
  <c r="A953" i="11"/>
  <c r="A957" i="11"/>
  <c r="A961" i="11"/>
  <c r="A965" i="11"/>
  <c r="A969" i="11"/>
  <c r="A973" i="11"/>
  <c r="A977" i="11"/>
  <c r="A981" i="11"/>
  <c r="A985" i="11"/>
  <c r="A989" i="11"/>
  <c r="A993" i="11"/>
  <c r="A997" i="11"/>
  <c r="A1001" i="11"/>
  <c r="A1005" i="11"/>
  <c r="A1009" i="11"/>
  <c r="A1013" i="11"/>
  <c r="A1017" i="11"/>
  <c r="A1021" i="11"/>
  <c r="A1025" i="11"/>
  <c r="A1029" i="11"/>
  <c r="A1033" i="11"/>
  <c r="A1037" i="11"/>
  <c r="A1041" i="11"/>
  <c r="A1045" i="11"/>
  <c r="A1049" i="11"/>
  <c r="A1053" i="11"/>
  <c r="A1057" i="11"/>
  <c r="A1061" i="11"/>
  <c r="A1065" i="11"/>
  <c r="A1069" i="11"/>
  <c r="A1073" i="11"/>
  <c r="A1077" i="11"/>
  <c r="A1081" i="11"/>
  <c r="A1085" i="11"/>
  <c r="A1089" i="11"/>
  <c r="A1093" i="11"/>
  <c r="A1097" i="11"/>
  <c r="A1101" i="11"/>
  <c r="A1105" i="11"/>
  <c r="A1109" i="11"/>
  <c r="A1113" i="11"/>
  <c r="A1117" i="11"/>
  <c r="A1121" i="11"/>
  <c r="A1125" i="11"/>
  <c r="A1129" i="11"/>
  <c r="A1133" i="11"/>
  <c r="A1137" i="11"/>
  <c r="A1141" i="11"/>
  <c r="A1145" i="11"/>
  <c r="A1149" i="11"/>
  <c r="A1153" i="11"/>
  <c r="A1157" i="11"/>
  <c r="A1161" i="11"/>
  <c r="A1165" i="11"/>
  <c r="A1169" i="11"/>
  <c r="A1173" i="11"/>
  <c r="A1177" i="11"/>
  <c r="A1181" i="11"/>
  <c r="A1185" i="11"/>
  <c r="A1189" i="11"/>
  <c r="A1193" i="11"/>
  <c r="A1197" i="11"/>
  <c r="A1201" i="11"/>
  <c r="A1205" i="11"/>
  <c r="A1209" i="11"/>
  <c r="A1213" i="11"/>
  <c r="A1217" i="11"/>
  <c r="A1221" i="11"/>
  <c r="A1225" i="11"/>
  <c r="A1229" i="11"/>
  <c r="A1233" i="11"/>
  <c r="A1237" i="11"/>
  <c r="A1241" i="11"/>
  <c r="A1245" i="11"/>
  <c r="A1249" i="11"/>
  <c r="A1253" i="11"/>
  <c r="A1257" i="11"/>
  <c r="A1261" i="11"/>
  <c r="A1265" i="11"/>
  <c r="A1269" i="11"/>
  <c r="A1273" i="11"/>
  <c r="A1277" i="11"/>
  <c r="A1281" i="11"/>
  <c r="A1285" i="11"/>
  <c r="A1289" i="11"/>
  <c r="A1293" i="11"/>
  <c r="A1297" i="11"/>
  <c r="A1301" i="11"/>
  <c r="A1305" i="11"/>
  <c r="A1309" i="11"/>
  <c r="A1313" i="11"/>
  <c r="A1317" i="11"/>
  <c r="A1321" i="11"/>
  <c r="A1325" i="11"/>
  <c r="A1329" i="11"/>
  <c r="A1333" i="11"/>
  <c r="A1337" i="11"/>
  <c r="A1341" i="11"/>
  <c r="A1345" i="11"/>
  <c r="A1349" i="11"/>
  <c r="A1353" i="11"/>
  <c r="A1357" i="11"/>
  <c r="A1361" i="11"/>
  <c r="A1365" i="11"/>
  <c r="A1369" i="11"/>
  <c r="A1373" i="11"/>
  <c r="A1377" i="11"/>
  <c r="A1381" i="11"/>
  <c r="A1385" i="11"/>
  <c r="A1389" i="11"/>
  <c r="A1393" i="11"/>
  <c r="A1397" i="11"/>
  <c r="A1401" i="11"/>
  <c r="A1405" i="11"/>
  <c r="A1409" i="11"/>
  <c r="A1413" i="11"/>
  <c r="A1417" i="11"/>
  <c r="A1421" i="11"/>
  <c r="A1425" i="11"/>
  <c r="A1429" i="11"/>
  <c r="A1433" i="11"/>
  <c r="A1437" i="11"/>
  <c r="A1441" i="11"/>
  <c r="A1445" i="11"/>
  <c r="A1449" i="11"/>
  <c r="A1453" i="11"/>
  <c r="A1457" i="11"/>
  <c r="A1461" i="11"/>
  <c r="A1465" i="11"/>
  <c r="A1469" i="11"/>
  <c r="A1473" i="11"/>
  <c r="A1477" i="11"/>
  <c r="A1481" i="11"/>
  <c r="A1485" i="11"/>
  <c r="A1489" i="11"/>
  <c r="A1493" i="11"/>
  <c r="A1497" i="11"/>
  <c r="A1501" i="11"/>
  <c r="A1505" i="11"/>
  <c r="A1509" i="11"/>
  <c r="A1513" i="11"/>
  <c r="A1517" i="11"/>
  <c r="A1521" i="11"/>
  <c r="A1525" i="11"/>
  <c r="A1529" i="11"/>
  <c r="A1533" i="11"/>
  <c r="A1537" i="11"/>
  <c r="A1541" i="11"/>
  <c r="A1545" i="11"/>
  <c r="A1549" i="11"/>
  <c r="A1553" i="11"/>
  <c r="A1557" i="11"/>
  <c r="A1561" i="11"/>
  <c r="A1565" i="11"/>
  <c r="A1569" i="11"/>
  <c r="A1573" i="11"/>
  <c r="A1577" i="11"/>
  <c r="A1581" i="11"/>
  <c r="A1585" i="11"/>
  <c r="A1589" i="11"/>
  <c r="A1593" i="11"/>
  <c r="A1597" i="11"/>
  <c r="A1601" i="11"/>
  <c r="A1605" i="11"/>
  <c r="A1609" i="11"/>
  <c r="A1613" i="11"/>
  <c r="A1617" i="11"/>
  <c r="A1621" i="11"/>
  <c r="A1625" i="11"/>
  <c r="A1629" i="11"/>
  <c r="A1633" i="11"/>
  <c r="A1637" i="11"/>
  <c r="A1641" i="11"/>
  <c r="A1645" i="11"/>
  <c r="A1649" i="11"/>
  <c r="A1653" i="11"/>
  <c r="A1657" i="11"/>
  <c r="A1661" i="11"/>
  <c r="A1665" i="11"/>
  <c r="A1669" i="11"/>
  <c r="A1673" i="11"/>
  <c r="A1677" i="11"/>
  <c r="A1681" i="11"/>
  <c r="A1685" i="11"/>
  <c r="A1689" i="11"/>
  <c r="A1693" i="11"/>
  <c r="A1697" i="11"/>
  <c r="A1701" i="11"/>
  <c r="A1705" i="11"/>
  <c r="A1709" i="11"/>
  <c r="A1713" i="11"/>
  <c r="A1717" i="11"/>
  <c r="A1721" i="11"/>
  <c r="A1725" i="11"/>
  <c r="A1729" i="11"/>
  <c r="A1733" i="11"/>
  <c r="A1737" i="11"/>
  <c r="A1741" i="11"/>
  <c r="A1745" i="11"/>
  <c r="A1749" i="11"/>
  <c r="A1753" i="11"/>
  <c r="A1757" i="11"/>
  <c r="A1761" i="11"/>
  <c r="A1765" i="11"/>
  <c r="A1769" i="11"/>
  <c r="A1773" i="11"/>
  <c r="A1777" i="11"/>
  <c r="A1781" i="11"/>
  <c r="A1785" i="11"/>
  <c r="A1789" i="11"/>
  <c r="A1793" i="11"/>
  <c r="A1797" i="11"/>
  <c r="A1801" i="11"/>
  <c r="A1805" i="11"/>
  <c r="A1809" i="11"/>
  <c r="A1813" i="11"/>
  <c r="A1817" i="11"/>
  <c r="A1821" i="11"/>
  <c r="A1825" i="11"/>
  <c r="A1829" i="11"/>
  <c r="A1833" i="11"/>
  <c r="A1837" i="11"/>
  <c r="A1841" i="11"/>
  <c r="A1845" i="11"/>
  <c r="A1849" i="11"/>
  <c r="A1853" i="11"/>
  <c r="A1857" i="11"/>
  <c r="A1861" i="11"/>
  <c r="A1865" i="11"/>
  <c r="A1869" i="11"/>
  <c r="A1873" i="11"/>
  <c r="A1877" i="11"/>
  <c r="A1881" i="11"/>
  <c r="A1885" i="11"/>
  <c r="A1889" i="11"/>
  <c r="A1893" i="11"/>
  <c r="A1897" i="11"/>
  <c r="A1901" i="11"/>
  <c r="A1905" i="11"/>
  <c r="A1909" i="11"/>
  <c r="A1913" i="11"/>
  <c r="A1917" i="11"/>
  <c r="A1921" i="11"/>
  <c r="A1925" i="11"/>
  <c r="A1929" i="11"/>
  <c r="A1933" i="11"/>
  <c r="A1937" i="11"/>
  <c r="A1941" i="11"/>
  <c r="A1945" i="11"/>
  <c r="A1949" i="11"/>
  <c r="A1953" i="11"/>
  <c r="A1957" i="11"/>
  <c r="A1961" i="11"/>
  <c r="A1965" i="11"/>
  <c r="A1969" i="11"/>
  <c r="A1973" i="11"/>
  <c r="A1977" i="11"/>
  <c r="A1981" i="11"/>
  <c r="A1985" i="11"/>
  <c r="A1989" i="11"/>
  <c r="A1993" i="11"/>
  <c r="A1997" i="11"/>
  <c r="A2001" i="11"/>
  <c r="A2005" i="11"/>
  <c r="A2009" i="11"/>
  <c r="A2013" i="11"/>
  <c r="A2017" i="11"/>
  <c r="A2021" i="11"/>
  <c r="A2025" i="11"/>
  <c r="A2029" i="11"/>
  <c r="A2033" i="11"/>
  <c r="A2037" i="11"/>
  <c r="A2041" i="11"/>
  <c r="A2045" i="11"/>
  <c r="A2049" i="11"/>
  <c r="A2053" i="11"/>
  <c r="A2057" i="11"/>
  <c r="A2061" i="11"/>
  <c r="A2065" i="11"/>
  <c r="A2069" i="11"/>
  <c r="A2073" i="11"/>
  <c r="A2077" i="11"/>
  <c r="A2081" i="11"/>
  <c r="A2085" i="11"/>
  <c r="A2089" i="11"/>
  <c r="A2093" i="11"/>
  <c r="A2097" i="11"/>
  <c r="A2101" i="11"/>
  <c r="A2105" i="11"/>
  <c r="A2109" i="11"/>
  <c r="A2113" i="11"/>
  <c r="A2117" i="11"/>
  <c r="A2121" i="11"/>
  <c r="A2125" i="11"/>
  <c r="A2129" i="11"/>
  <c r="A2133" i="11"/>
  <c r="A2137" i="11"/>
  <c r="A2141" i="11"/>
  <c r="A2145" i="11"/>
  <c r="A2149" i="11"/>
  <c r="A2153" i="11"/>
  <c r="A2157" i="11"/>
  <c r="A2161" i="11"/>
  <c r="A2165" i="11"/>
  <c r="A2169" i="11"/>
  <c r="A2173" i="11"/>
  <c r="A2177" i="11"/>
  <c r="A2181" i="11"/>
  <c r="A2185" i="11"/>
  <c r="A2189" i="11"/>
  <c r="A2193" i="11"/>
  <c r="A2197" i="11"/>
  <c r="A2201" i="11"/>
  <c r="A2205" i="11"/>
  <c r="A2209" i="11"/>
  <c r="A2213" i="11"/>
  <c r="A2217" i="11"/>
  <c r="A2221" i="11"/>
  <c r="A2225" i="11"/>
  <c r="A2229" i="11"/>
  <c r="A2233" i="11"/>
  <c r="A2237" i="11"/>
  <c r="A2241" i="11"/>
  <c r="A2245" i="11"/>
  <c r="A2249" i="11"/>
  <c r="A2253" i="11"/>
  <c r="A2257" i="11"/>
  <c r="A2261" i="11"/>
  <c r="A2265" i="11"/>
  <c r="A2269" i="11"/>
  <c r="A2273" i="11"/>
  <c r="A2277" i="11"/>
  <c r="A2281" i="11"/>
  <c r="A2285" i="11"/>
  <c r="A2289" i="11"/>
  <c r="A2293" i="11"/>
  <c r="A2297" i="11"/>
  <c r="A2301" i="11"/>
  <c r="A2305" i="11"/>
  <c r="A2309" i="11"/>
  <c r="A2313" i="11"/>
  <c r="A2317" i="11"/>
  <c r="A2321" i="11"/>
  <c r="A2325" i="11"/>
  <c r="A2329" i="11"/>
  <c r="A2333" i="11"/>
  <c r="A2337" i="11"/>
  <c r="A2341" i="11"/>
  <c r="A2345" i="11"/>
  <c r="A2349" i="11"/>
  <c r="A2353" i="11"/>
  <c r="A2357" i="11"/>
  <c r="A2361" i="11"/>
  <c r="A2365" i="11"/>
  <c r="A2369" i="11"/>
  <c r="A2373" i="11"/>
  <c r="A2377" i="11"/>
  <c r="A2381" i="11"/>
  <c r="A2385" i="11"/>
  <c r="A2389" i="11"/>
  <c r="A2393" i="11"/>
  <c r="A2397" i="11"/>
  <c r="A2401" i="11"/>
  <c r="A2405" i="11"/>
  <c r="A2409" i="11"/>
  <c r="A2413" i="11"/>
  <c r="A2417" i="11"/>
  <c r="A2421" i="11"/>
  <c r="A2425" i="11"/>
  <c r="A2429" i="11"/>
  <c r="A2433" i="11"/>
  <c r="A2437" i="11"/>
  <c r="A2441" i="11"/>
  <c r="A2445" i="11"/>
  <c r="A2449" i="11"/>
  <c r="A2453" i="11"/>
  <c r="A2457" i="11"/>
  <c r="A2461" i="11"/>
  <c r="A2465" i="11"/>
  <c r="A2469" i="11"/>
  <c r="A2473" i="11"/>
  <c r="A2477" i="11"/>
  <c r="A2481" i="11"/>
  <c r="A2485" i="11"/>
  <c r="A2489" i="11"/>
  <c r="A2493" i="11"/>
  <c r="A2497" i="11"/>
  <c r="A2501" i="11"/>
  <c r="A2505" i="11"/>
  <c r="A2509" i="11"/>
  <c r="A2513" i="11"/>
  <c r="A2517" i="11"/>
  <c r="A2521" i="11"/>
  <c r="A2525" i="11"/>
  <c r="A2529" i="11"/>
  <c r="A2533" i="11"/>
  <c r="A2537" i="11"/>
  <c r="A2541" i="11"/>
  <c r="A2545" i="11"/>
  <c r="A2549" i="11"/>
  <c r="A2553" i="11"/>
  <c r="A2557" i="11"/>
  <c r="A2561" i="11"/>
  <c r="A2565" i="11"/>
  <c r="A2569" i="11"/>
  <c r="A2573" i="11"/>
  <c r="A2577" i="11"/>
  <c r="A2581" i="11"/>
  <c r="A2585" i="11"/>
  <c r="A2589" i="11"/>
  <c r="A2593" i="11"/>
  <c r="A2597" i="11"/>
  <c r="A2601" i="11"/>
  <c r="A2605" i="11"/>
  <c r="A2609" i="11"/>
  <c r="A2613" i="11"/>
  <c r="A2617" i="11"/>
  <c r="A2621" i="11"/>
  <c r="A2625" i="11"/>
  <c r="A2629" i="11"/>
  <c r="A2633" i="11"/>
  <c r="A2637" i="11"/>
  <c r="A2641" i="11"/>
  <c r="A2645" i="11"/>
  <c r="A2649" i="11"/>
  <c r="A2653" i="11"/>
  <c r="A2657" i="11"/>
  <c r="A2661" i="11"/>
  <c r="A2665" i="11"/>
  <c r="A2669" i="11"/>
  <c r="A2673" i="11"/>
  <c r="A2677" i="11"/>
  <c r="A2681" i="11"/>
  <c r="A2685" i="11"/>
  <c r="A2689" i="11"/>
  <c r="A2693" i="11"/>
  <c r="A2697" i="11"/>
  <c r="A2701" i="11"/>
  <c r="A2705" i="11"/>
  <c r="A2709" i="11"/>
  <c r="A2713" i="11"/>
  <c r="A2717" i="11"/>
  <c r="A2721" i="11"/>
  <c r="A2725" i="11"/>
  <c r="A2729" i="11"/>
  <c r="A2733" i="11"/>
  <c r="A2737" i="11"/>
  <c r="A2741" i="11"/>
  <c r="A2745" i="11"/>
  <c r="A2749" i="11"/>
  <c r="A2753" i="11"/>
  <c r="A2757" i="11"/>
  <c r="A2761" i="11"/>
  <c r="A2765" i="11"/>
  <c r="A2769" i="11"/>
  <c r="A2773" i="11"/>
  <c r="A2777" i="11"/>
  <c r="A2781" i="11"/>
  <c r="A2785" i="11"/>
  <c r="A2789" i="11"/>
  <c r="A2793" i="11"/>
  <c r="A2797" i="11"/>
  <c r="A2801" i="11"/>
  <c r="A2805" i="11"/>
  <c r="A2809" i="11"/>
  <c r="A2813" i="11"/>
  <c r="A2817" i="11"/>
  <c r="A2821" i="11"/>
  <c r="A2825" i="11"/>
  <c r="A2829" i="11"/>
  <c r="A2833" i="11"/>
  <c r="A2837" i="11"/>
  <c r="A2841" i="11"/>
  <c r="A2845" i="11"/>
  <c r="A2849" i="11"/>
  <c r="A2853" i="11"/>
  <c r="A2857" i="11"/>
  <c r="A2861" i="11"/>
  <c r="A2865" i="11"/>
  <c r="A2869" i="11"/>
  <c r="A2873" i="11"/>
  <c r="A2877" i="11"/>
  <c r="A2881" i="11"/>
  <c r="A2885" i="11"/>
  <c r="A2889" i="11"/>
  <c r="A2893" i="11"/>
  <c r="A2897" i="11"/>
  <c r="A2901" i="11"/>
  <c r="A2905" i="11"/>
  <c r="A2909" i="11"/>
  <c r="A2913" i="11"/>
  <c r="A2917" i="11"/>
  <c r="A2921" i="11"/>
  <c r="A2925" i="11"/>
  <c r="A2929" i="11"/>
  <c r="A2933" i="11"/>
  <c r="A2937" i="11"/>
  <c r="A2941" i="11"/>
  <c r="A2945" i="11"/>
  <c r="A2949" i="11"/>
  <c r="A2953" i="11"/>
  <c r="A2957" i="11"/>
  <c r="A2961" i="11"/>
  <c r="A2965" i="11"/>
  <c r="A2969" i="11"/>
  <c r="A2973" i="11"/>
  <c r="A2977" i="11"/>
  <c r="A2981" i="11"/>
  <c r="A2985" i="11"/>
  <c r="A2989" i="11"/>
  <c r="A2993" i="11"/>
  <c r="A2997" i="11"/>
  <c r="A3001" i="11"/>
  <c r="A3005" i="11"/>
  <c r="A3009" i="11"/>
  <c r="A3013" i="11"/>
  <c r="A3017" i="11"/>
  <c r="A3021" i="11"/>
  <c r="A3025" i="11"/>
  <c r="A3029" i="11"/>
  <c r="A3033" i="11"/>
  <c r="A3037" i="11"/>
  <c r="A3041" i="11"/>
  <c r="A3045" i="11"/>
  <c r="A3049" i="11"/>
  <c r="A3053" i="11"/>
  <c r="A3057" i="11"/>
  <c r="A3061" i="11"/>
  <c r="A3065" i="11"/>
  <c r="A3069" i="11"/>
  <c r="A3073" i="11"/>
  <c r="A3077" i="11"/>
  <c r="A3081" i="11"/>
  <c r="A3085" i="11"/>
  <c r="A3089" i="11"/>
  <c r="A3093" i="11"/>
  <c r="A3097" i="11"/>
  <c r="A3101" i="11"/>
  <c r="A3105" i="11"/>
  <c r="A3109" i="11"/>
  <c r="A3113" i="11"/>
  <c r="A3117" i="11"/>
  <c r="A3121" i="11"/>
  <c r="A3125" i="11"/>
  <c r="A3129" i="11"/>
  <c r="A3133" i="11"/>
  <c r="A3137" i="11"/>
  <c r="A3141" i="11"/>
  <c r="A3145" i="11"/>
  <c r="A3149" i="11"/>
  <c r="A3153" i="11"/>
  <c r="A3157" i="11"/>
  <c r="A3161" i="11"/>
  <c r="A3165" i="11"/>
  <c r="A3169" i="11"/>
  <c r="A3173" i="11"/>
  <c r="A3177" i="11"/>
  <c r="A3181" i="11"/>
  <c r="A3185" i="11"/>
  <c r="A3189" i="11"/>
  <c r="A3193" i="11"/>
  <c r="A3197" i="11"/>
  <c r="A3201" i="11"/>
  <c r="A3205" i="11"/>
  <c r="A3209" i="11"/>
  <c r="A3213" i="11"/>
  <c r="A3217" i="11"/>
  <c r="A3221" i="11"/>
  <c r="A3225" i="11"/>
  <c r="A3229" i="11"/>
  <c r="A3233" i="11"/>
  <c r="A3237" i="11"/>
  <c r="A3241" i="11"/>
  <c r="A3245" i="11"/>
  <c r="A3249" i="11"/>
  <c r="A3253" i="11"/>
  <c r="A3257" i="11"/>
  <c r="A3261" i="11"/>
  <c r="A3265" i="11"/>
  <c r="A3269" i="11"/>
  <c r="A3273" i="11"/>
  <c r="A3277" i="11"/>
  <c r="A3281" i="11"/>
  <c r="A3285" i="11"/>
  <c r="A3289" i="11"/>
  <c r="A3293" i="11"/>
  <c r="A3297" i="11"/>
  <c r="A3301" i="11"/>
  <c r="A3305" i="11"/>
  <c r="A3309" i="11"/>
  <c r="A3313" i="11"/>
  <c r="A3317" i="11"/>
  <c r="A3321" i="11"/>
  <c r="A3325" i="11"/>
  <c r="A3329" i="11"/>
  <c r="A3333" i="11"/>
  <c r="A3337" i="11"/>
  <c r="A3341" i="11"/>
  <c r="A3345" i="11"/>
  <c r="A3349" i="11"/>
  <c r="A3353" i="11"/>
  <c r="A3357" i="11"/>
  <c r="A3361" i="11"/>
  <c r="A3365" i="11"/>
  <c r="A3369" i="11"/>
  <c r="A3373" i="11"/>
  <c r="A3377" i="11"/>
  <c r="A3381" i="11"/>
  <c r="A3385" i="11"/>
  <c r="A3389" i="11"/>
  <c r="A3393" i="11"/>
  <c r="A3397" i="11"/>
  <c r="A3401" i="11"/>
  <c r="A3405" i="11"/>
  <c r="A3409" i="11"/>
  <c r="A3413" i="11"/>
  <c r="A3417" i="11"/>
  <c r="A3421" i="11"/>
  <c r="A3425" i="11"/>
  <c r="A3429" i="11"/>
  <c r="A3433" i="11"/>
  <c r="A3437" i="11"/>
  <c r="A3441" i="11"/>
  <c r="A3445" i="11"/>
  <c r="A3449" i="11"/>
  <c r="A3453" i="11"/>
  <c r="A3457" i="11"/>
  <c r="A3461" i="11"/>
  <c r="A3465" i="11"/>
  <c r="A3469" i="11"/>
  <c r="A3473" i="11"/>
  <c r="A3477" i="11"/>
  <c r="A3481" i="11"/>
  <c r="A3485" i="11"/>
  <c r="A3489" i="11"/>
  <c r="A3493" i="11"/>
  <c r="A3497" i="11"/>
  <c r="A3501" i="11"/>
  <c r="A3498" i="11"/>
  <c r="A3487" i="11"/>
  <c r="A3476" i="11"/>
  <c r="A3466" i="11"/>
  <c r="A3455" i="11"/>
  <c r="A3444" i="11"/>
  <c r="A3434" i="11"/>
  <c r="A3423" i="11"/>
  <c r="A3412" i="11"/>
  <c r="A3402" i="11"/>
  <c r="A3391" i="11"/>
  <c r="A3380" i="11"/>
  <c r="A3370" i="11"/>
  <c r="A3359" i="11"/>
  <c r="A3348" i="11"/>
  <c r="A3338" i="11"/>
  <c r="A3327" i="11"/>
  <c r="A3316" i="11"/>
  <c r="A3306" i="11"/>
  <c r="A3295" i="11"/>
  <c r="A3284" i="11"/>
  <c r="A3268" i="11"/>
  <c r="A3258" i="11"/>
  <c r="A3247" i="11"/>
  <c r="A3236" i="11"/>
  <c r="A3226" i="11"/>
  <c r="A3215" i="11"/>
  <c r="A3204" i="11"/>
  <c r="A3194" i="11"/>
  <c r="A3183" i="11"/>
  <c r="A3172" i="11"/>
  <c r="A3162" i="11"/>
  <c r="A3151" i="11"/>
  <c r="A3135" i="11"/>
  <c r="A3124" i="11"/>
  <c r="A3114" i="11"/>
  <c r="A3103" i="11"/>
  <c r="A3092" i="11"/>
  <c r="A3082" i="11"/>
  <c r="A3071" i="11"/>
  <c r="A3060" i="11"/>
  <c r="A3050" i="11"/>
  <c r="A3039" i="11"/>
  <c r="A3028" i="11"/>
  <c r="A3018" i="11"/>
  <c r="A3007" i="11"/>
  <c r="A2996" i="11"/>
  <c r="A2986" i="11"/>
  <c r="A2970" i="11"/>
  <c r="A2959" i="11"/>
  <c r="A2948" i="11"/>
  <c r="A2938" i="11"/>
  <c r="A2927" i="11"/>
  <c r="A2916" i="11"/>
  <c r="A2906" i="11"/>
  <c r="A2890" i="11"/>
  <c r="A2879" i="11"/>
  <c r="A2868" i="11"/>
  <c r="A2858" i="11"/>
  <c r="A2847" i="11"/>
  <c r="A2836" i="11"/>
  <c r="A2826" i="11"/>
  <c r="A2815" i="11"/>
  <c r="A2804" i="11"/>
  <c r="A2794" i="11"/>
  <c r="A2783" i="11"/>
  <c r="A2772" i="11"/>
  <c r="A2762" i="11"/>
  <c r="A2756" i="11"/>
  <c r="A2746" i="11"/>
  <c r="A2730" i="11"/>
  <c r="A2719" i="11"/>
  <c r="A2708" i="11"/>
  <c r="A2698" i="11"/>
  <c r="A2687" i="11"/>
  <c r="A2676" i="11"/>
  <c r="A2666" i="11"/>
  <c r="A2650" i="11"/>
  <c r="A2639" i="11"/>
  <c r="A2628" i="11"/>
  <c r="A2618" i="11"/>
  <c r="A2607" i="11"/>
  <c r="A2596" i="11"/>
  <c r="A2586" i="11"/>
  <c r="A2575" i="11"/>
  <c r="A2564" i="11"/>
  <c r="A2554" i="11"/>
  <c r="A2543" i="11"/>
  <c r="A2532" i="11"/>
  <c r="A2522" i="11"/>
  <c r="A2511" i="11"/>
  <c r="A2500" i="11"/>
  <c r="A2495" i="11"/>
  <c r="A2484" i="11"/>
  <c r="A2468" i="11"/>
  <c r="A2458" i="11"/>
  <c r="A2447" i="11"/>
  <c r="A2436" i="11"/>
  <c r="A2426" i="11"/>
  <c r="A2415" i="11"/>
  <c r="A2404" i="11"/>
  <c r="A2394" i="11"/>
  <c r="A2383" i="11"/>
  <c r="A2372" i="11"/>
  <c r="A2362" i="11"/>
  <c r="A2351" i="11"/>
  <c r="A2340" i="11"/>
  <c r="A2330" i="11"/>
  <c r="A2319" i="11"/>
  <c r="A2303" i="11"/>
  <c r="A2292" i="11"/>
  <c r="A2282" i="11"/>
  <c r="A2271" i="11"/>
  <c r="A2260" i="11"/>
  <c r="A2250" i="11"/>
  <c r="A2239" i="11"/>
  <c r="A2228" i="11"/>
  <c r="A2218" i="11"/>
  <c r="A2207" i="11"/>
  <c r="A2196" i="11"/>
  <c r="A2186" i="11"/>
  <c r="A2175" i="11"/>
  <c r="A2164" i="11"/>
  <c r="A2154" i="11"/>
  <c r="A2143" i="11"/>
  <c r="A2127" i="11"/>
  <c r="A2122" i="11"/>
  <c r="A2106" i="11"/>
  <c r="A2095" i="11"/>
  <c r="A2084" i="11"/>
  <c r="A2074" i="11"/>
  <c r="A2063" i="11"/>
  <c r="A2052" i="11"/>
  <c r="A2042" i="11"/>
  <c r="A2031" i="11"/>
  <c r="A2020" i="11"/>
  <c r="A2010" i="11"/>
  <c r="A1999" i="11"/>
  <c r="A1988" i="11"/>
  <c r="A1978" i="11"/>
  <c r="A1967" i="11"/>
  <c r="A1956" i="11"/>
  <c r="A1940" i="11"/>
  <c r="A1930" i="11"/>
  <c r="A1919" i="11"/>
  <c r="A1903" i="11"/>
  <c r="A1892" i="11"/>
  <c r="A1882" i="11"/>
  <c r="A1871" i="11"/>
  <c r="A1860" i="11"/>
  <c r="A1850" i="11"/>
  <c r="A1834" i="11"/>
  <c r="A1828" i="11"/>
  <c r="A1818" i="11"/>
  <c r="A1802" i="11"/>
  <c r="A1791" i="11"/>
  <c r="A1780" i="11"/>
  <c r="A1770" i="11"/>
  <c r="A1759" i="11"/>
  <c r="A1748" i="11"/>
  <c r="A1738" i="11"/>
  <c r="A1722" i="11"/>
  <c r="A1711" i="11"/>
  <c r="A1700" i="11"/>
  <c r="A1684" i="11"/>
  <c r="A1674" i="11"/>
  <c r="A1663" i="11"/>
  <c r="A1652" i="11"/>
  <c r="A1642" i="11"/>
  <c r="A1631" i="11"/>
  <c r="A1620" i="11"/>
  <c r="A1610" i="11"/>
  <c r="A1599" i="11"/>
  <c r="A1588" i="11"/>
  <c r="A1578" i="11"/>
  <c r="A1567" i="11"/>
  <c r="A1556" i="11"/>
  <c r="A1546" i="11"/>
  <c r="A1535" i="11"/>
  <c r="A1524" i="11"/>
  <c r="A1514" i="11"/>
  <c r="A1503" i="11"/>
  <c r="A1492" i="11"/>
  <c r="A1482" i="11"/>
  <c r="A1471" i="11"/>
  <c r="A1460" i="11"/>
  <c r="A1450" i="11"/>
  <c r="A1434" i="11"/>
  <c r="A1423" i="11"/>
  <c r="A1418" i="11"/>
  <c r="A1407" i="11"/>
  <c r="A1396" i="11"/>
  <c r="A1386" i="11"/>
  <c r="A1375" i="11"/>
  <c r="A1364" i="11"/>
  <c r="A1354" i="11"/>
  <c r="A1343" i="11"/>
  <c r="A1332" i="11"/>
  <c r="A1322" i="11"/>
  <c r="A1311" i="11"/>
  <c r="A1300" i="11"/>
  <c r="A1284" i="11"/>
  <c r="A1274" i="11"/>
  <c r="A1268" i="11"/>
  <c r="A1258" i="11"/>
  <c r="A1242" i="11"/>
  <c r="A1231" i="11"/>
  <c r="A1220" i="11"/>
  <c r="A1210" i="11"/>
  <c r="A1199" i="11"/>
  <c r="A1188" i="11"/>
  <c r="A1178" i="11"/>
  <c r="A1162" i="11"/>
  <c r="A1151" i="11"/>
  <c r="A1140" i="11"/>
  <c r="A1130" i="11"/>
  <c r="A1119" i="11"/>
  <c r="A1108" i="11"/>
  <c r="A1098" i="11"/>
  <c r="A1087" i="11"/>
  <c r="A1076" i="11"/>
  <c r="A1066" i="11"/>
  <c r="A1055" i="11"/>
  <c r="A1044" i="11"/>
  <c r="A1034" i="11"/>
  <c r="A1023" i="11"/>
  <c r="A1012" i="11"/>
  <c r="A1002" i="11"/>
  <c r="A991" i="11"/>
  <c r="A980" i="11"/>
  <c r="A970" i="11"/>
  <c r="A959" i="11"/>
  <c r="A948" i="11"/>
  <c r="A938" i="11"/>
  <c r="A927" i="11"/>
  <c r="A916" i="11"/>
  <c r="A906" i="11"/>
  <c r="A890" i="11"/>
  <c r="A879" i="11"/>
  <c r="A868" i="11"/>
  <c r="A858" i="11"/>
  <c r="A847" i="11"/>
  <c r="A836" i="11"/>
  <c r="A826" i="11"/>
  <c r="A815" i="11"/>
  <c r="A804" i="11"/>
  <c r="A794" i="11"/>
  <c r="A783" i="11"/>
  <c r="A772" i="11"/>
  <c r="A762" i="11"/>
  <c r="A751" i="11"/>
  <c r="A740" i="11"/>
  <c r="A730" i="11"/>
  <c r="A719" i="11"/>
  <c r="A708" i="11"/>
  <c r="A698" i="11"/>
  <c r="A687" i="11"/>
  <c r="A676" i="11"/>
  <c r="A666" i="11"/>
  <c r="A655" i="11"/>
  <c r="A644" i="11"/>
  <c r="A634" i="11"/>
  <c r="A618" i="11"/>
  <c r="A607" i="11"/>
  <c r="A596" i="11"/>
  <c r="A586" i="11"/>
  <c r="A575" i="11"/>
  <c r="A564" i="11"/>
  <c r="A554" i="11"/>
  <c r="A543" i="11"/>
  <c r="A532" i="11"/>
  <c r="A522" i="11"/>
  <c r="A506" i="11"/>
  <c r="A495" i="11"/>
  <c r="A484" i="11"/>
  <c r="A474" i="11"/>
  <c r="A463" i="11"/>
  <c r="A447" i="11"/>
  <c r="A436" i="11"/>
  <c r="A426" i="11"/>
  <c r="A415" i="11"/>
  <c r="A404" i="11"/>
  <c r="A394" i="11"/>
  <c r="A383" i="11"/>
  <c r="A372" i="11"/>
  <c r="A362" i="11"/>
  <c r="A351" i="11"/>
  <c r="A340" i="11"/>
  <c r="A327" i="11"/>
  <c r="A312" i="11"/>
  <c r="A297" i="11"/>
  <c r="A284" i="11"/>
  <c r="A269" i="11"/>
  <c r="A249" i="11"/>
  <c r="A209" i="11"/>
  <c r="A165" i="11"/>
  <c r="A121" i="11"/>
  <c r="A81" i="11"/>
  <c r="A37" i="11"/>
  <c r="A17" i="11"/>
  <c r="A3499" i="11"/>
  <c r="A3494" i="11"/>
  <c r="A3488" i="11"/>
  <c r="A3483" i="11"/>
  <c r="A3478" i="11"/>
  <c r="A3472" i="11"/>
  <c r="A3467" i="11"/>
  <c r="A3462" i="11"/>
  <c r="A3456" i="11"/>
  <c r="A3451" i="11"/>
  <c r="A3446" i="11"/>
  <c r="A3440" i="11"/>
  <c r="A3435" i="11"/>
  <c r="A3430" i="11"/>
  <c r="A3424" i="11"/>
  <c r="A3419" i="11"/>
  <c r="A3414" i="11"/>
  <c r="A3408" i="11"/>
  <c r="A3403" i="11"/>
  <c r="A3398" i="11"/>
  <c r="A3392" i="11"/>
  <c r="A3387" i="11"/>
  <c r="A3382" i="11"/>
  <c r="A3376" i="11"/>
  <c r="A3371" i="11"/>
  <c r="A3366" i="11"/>
  <c r="A3360" i="11"/>
  <c r="A3355" i="11"/>
  <c r="A3350" i="11"/>
  <c r="A3344" i="11"/>
  <c r="A3339" i="11"/>
  <c r="A3334" i="11"/>
  <c r="A3328" i="11"/>
  <c r="A3323" i="11"/>
  <c r="A3318" i="11"/>
  <c r="A3312" i="11"/>
  <c r="A3307" i="11"/>
  <c r="A3302" i="11"/>
  <c r="A3296" i="11"/>
  <c r="A3291" i="11"/>
  <c r="A3286" i="11"/>
  <c r="A3280" i="11"/>
  <c r="A3275" i="11"/>
  <c r="A3270" i="11"/>
  <c r="A3264" i="11"/>
  <c r="A3259" i="11"/>
  <c r="A3254" i="11"/>
  <c r="A3248" i="11"/>
  <c r="A3243" i="11"/>
  <c r="A3238" i="11"/>
  <c r="A3232" i="11"/>
  <c r="A3227" i="11"/>
  <c r="A3222" i="11"/>
  <c r="A3216" i="11"/>
  <c r="A3211" i="11"/>
  <c r="A3206" i="11"/>
  <c r="A3200" i="11"/>
  <c r="A3195" i="11"/>
  <c r="A3190" i="11"/>
  <c r="A3184" i="11"/>
  <c r="A3179" i="11"/>
  <c r="A3174" i="11"/>
  <c r="A3168" i="11"/>
  <c r="A3163" i="11"/>
  <c r="A3158" i="11"/>
  <c r="A3152" i="11"/>
  <c r="A3147" i="11"/>
  <c r="A3142" i="11"/>
  <c r="A3136" i="11"/>
  <c r="A3131" i="11"/>
  <c r="A3126" i="11"/>
  <c r="A3120" i="11"/>
  <c r="A3115" i="11"/>
  <c r="A3110" i="11"/>
  <c r="A3104" i="11"/>
  <c r="A3099" i="11"/>
  <c r="A3094" i="11"/>
  <c r="A3088" i="11"/>
  <c r="A3083" i="11"/>
  <c r="A3078" i="11"/>
  <c r="A3072" i="11"/>
  <c r="A3067" i="11"/>
  <c r="A3062" i="11"/>
  <c r="A3056" i="11"/>
  <c r="A3051" i="11"/>
  <c r="A3046" i="11"/>
  <c r="A3040" i="11"/>
  <c r="A3035" i="11"/>
  <c r="A3030" i="11"/>
  <c r="A3024" i="11"/>
  <c r="A3019" i="11"/>
  <c r="A3014" i="11"/>
  <c r="A3008" i="11"/>
  <c r="A3003" i="11"/>
  <c r="A2998" i="11"/>
  <c r="A2992" i="11"/>
  <c r="A2987" i="11"/>
  <c r="A2982" i="11"/>
  <c r="A2976" i="11"/>
  <c r="A2971" i="11"/>
  <c r="A2966" i="11"/>
  <c r="A2960" i="11"/>
  <c r="A2955" i="11"/>
  <c r="A2950" i="11"/>
  <c r="A2944" i="11"/>
  <c r="A2939" i="11"/>
  <c r="A2934" i="11"/>
  <c r="A2928" i="11"/>
  <c r="A2923" i="11"/>
  <c r="A2918" i="11"/>
  <c r="A2912" i="11"/>
  <c r="A2907" i="11"/>
  <c r="A2902" i="11"/>
  <c r="A2896" i="11"/>
  <c r="A2891" i="11"/>
  <c r="A2886" i="11"/>
  <c r="A2880" i="11"/>
  <c r="A2875" i="11"/>
  <c r="A2870" i="11"/>
  <c r="A2864" i="11"/>
  <c r="A2859" i="11"/>
  <c r="A2854" i="11"/>
  <c r="A2848" i="11"/>
  <c r="A2843" i="11"/>
  <c r="A2838" i="11"/>
  <c r="A2832" i="11"/>
  <c r="A2827" i="11"/>
  <c r="A2822" i="11"/>
  <c r="A2816" i="11"/>
  <c r="A2811" i="11"/>
  <c r="A2806" i="11"/>
  <c r="A2800" i="11"/>
  <c r="A2795" i="11"/>
  <c r="A2790" i="11"/>
  <c r="A2784" i="11"/>
  <c r="A2779" i="11"/>
  <c r="A2774" i="11"/>
  <c r="A2768" i="11"/>
  <c r="A2763" i="11"/>
  <c r="A2758" i="11"/>
  <c r="A2752" i="11"/>
  <c r="A2747" i="11"/>
  <c r="A2742" i="11"/>
  <c r="A2736" i="11"/>
  <c r="A2731" i="11"/>
  <c r="A2726" i="11"/>
  <c r="A2720" i="11"/>
  <c r="A2715" i="11"/>
  <c r="A2710" i="11"/>
  <c r="A2704" i="11"/>
  <c r="A2699" i="11"/>
  <c r="A2694" i="11"/>
  <c r="A2688" i="11"/>
  <c r="A2683" i="11"/>
  <c r="A2678" i="11"/>
  <c r="A2672" i="11"/>
  <c r="A2667" i="11"/>
  <c r="A2662" i="11"/>
  <c r="A2656" i="11"/>
  <c r="A2651" i="11"/>
  <c r="A2646" i="11"/>
  <c r="A2640" i="11"/>
  <c r="A2635" i="11"/>
  <c r="A2630" i="11"/>
  <c r="A2624" i="11"/>
  <c r="A2619" i="11"/>
  <c r="A2614" i="11"/>
  <c r="A2608" i="11"/>
  <c r="A2603" i="11"/>
  <c r="A2598" i="11"/>
  <c r="A2592" i="11"/>
  <c r="A2587" i="11"/>
  <c r="A2582" i="11"/>
  <c r="A2576" i="11"/>
  <c r="A2571" i="11"/>
  <c r="A2566" i="11"/>
  <c r="A2560" i="11"/>
  <c r="A2555" i="11"/>
  <c r="A2550" i="11"/>
  <c r="A2544" i="11"/>
  <c r="A2539" i="11"/>
  <c r="A2534" i="11"/>
  <c r="A2528" i="11"/>
  <c r="A2523" i="11"/>
  <c r="A2518" i="11"/>
  <c r="A2512" i="11"/>
  <c r="A2507" i="11"/>
  <c r="A2502" i="11"/>
  <c r="A2496" i="11"/>
  <c r="A2491" i="11"/>
  <c r="A2486" i="11"/>
  <c r="A2480" i="11"/>
  <c r="A2475" i="11"/>
  <c r="A2470" i="11"/>
  <c r="A2464" i="11"/>
  <c r="A2459" i="11"/>
  <c r="A2454" i="11"/>
  <c r="A2448" i="11"/>
  <c r="A2443" i="11"/>
  <c r="A2438" i="11"/>
  <c r="A2432" i="11"/>
  <c r="A2427" i="11"/>
  <c r="A2422" i="11"/>
  <c r="A2416" i="11"/>
  <c r="A2411" i="11"/>
  <c r="A2406" i="11"/>
  <c r="A2400" i="11"/>
  <c r="A2395" i="11"/>
  <c r="A2390" i="11"/>
  <c r="A2384" i="11"/>
  <c r="A2379" i="11"/>
  <c r="A2374" i="11"/>
  <c r="A2368" i="11"/>
  <c r="A2363" i="11"/>
  <c r="A2358" i="11"/>
  <c r="A2352" i="11"/>
  <c r="A2347" i="11"/>
  <c r="A2342" i="11"/>
  <c r="A2336" i="11"/>
  <c r="A2331" i="11"/>
  <c r="A2326" i="11"/>
  <c r="A2320" i="11"/>
  <c r="A2315" i="11"/>
  <c r="A2310" i="11"/>
  <c r="A2304" i="11"/>
  <c r="A2299" i="11"/>
  <c r="A2294" i="11"/>
  <c r="A2288" i="11"/>
  <c r="A2283" i="11"/>
  <c r="A2278" i="11"/>
  <c r="A2272" i="11"/>
  <c r="A2267" i="11"/>
  <c r="A2262" i="11"/>
  <c r="A2256" i="11"/>
  <c r="A2251" i="11"/>
  <c r="A2246" i="11"/>
  <c r="A2240" i="11"/>
  <c r="A2235" i="11"/>
  <c r="A2230" i="11"/>
  <c r="A2224" i="11"/>
  <c r="A2219" i="11"/>
  <c r="A2214" i="11"/>
  <c r="A2208" i="11"/>
  <c r="A2203" i="11"/>
  <c r="A2198" i="11"/>
  <c r="A2192" i="11"/>
  <c r="A2187" i="11"/>
  <c r="A2182" i="11"/>
  <c r="A2176" i="11"/>
  <c r="A2171" i="11"/>
  <c r="A2166" i="11"/>
  <c r="A2160" i="11"/>
  <c r="A2155" i="11"/>
  <c r="A2150" i="11"/>
  <c r="A2144" i="11"/>
  <c r="A2139" i="11"/>
  <c r="A2134" i="11"/>
  <c r="A2128" i="11"/>
  <c r="A2123" i="11"/>
  <c r="A2118" i="11"/>
  <c r="A2112" i="11"/>
  <c r="A2107" i="11"/>
  <c r="A2102" i="11"/>
  <c r="A2096" i="11"/>
  <c r="A2091" i="11"/>
  <c r="A2086" i="11"/>
  <c r="A2080" i="11"/>
  <c r="A2075" i="11"/>
  <c r="A2070" i="11"/>
  <c r="A2064" i="11"/>
  <c r="A2059" i="11"/>
  <c r="A2054" i="11"/>
  <c r="A2048" i="11"/>
  <c r="A2043" i="11"/>
  <c r="A2038" i="11"/>
  <c r="A2032" i="11"/>
  <c r="A2027" i="11"/>
  <c r="A2022" i="11"/>
  <c r="A2016" i="11"/>
  <c r="A2011" i="11"/>
  <c r="A2006" i="11"/>
  <c r="A2000" i="11"/>
  <c r="A1995" i="11"/>
  <c r="A1990" i="11"/>
  <c r="A1984" i="11"/>
  <c r="A1979" i="11"/>
  <c r="A1974" i="11"/>
  <c r="A1968" i="11"/>
  <c r="A1963" i="11"/>
  <c r="A1958" i="11"/>
  <c r="A1952" i="11"/>
  <c r="A1947" i="11"/>
  <c r="A1942" i="11"/>
  <c r="A1936" i="11"/>
  <c r="A1931" i="11"/>
  <c r="A1926" i="11"/>
  <c r="A1920" i="11"/>
  <c r="A1915" i="11"/>
  <c r="A1910" i="11"/>
  <c r="A1904" i="11"/>
  <c r="A1899" i="11"/>
  <c r="A1894" i="11"/>
  <c r="A1888" i="11"/>
  <c r="A1883" i="11"/>
  <c r="A1878" i="11"/>
  <c r="A1872" i="11"/>
  <c r="A1867" i="11"/>
  <c r="A1862" i="11"/>
  <c r="A1856" i="11"/>
  <c r="A1851" i="11"/>
  <c r="A1846" i="11"/>
  <c r="A1840" i="11"/>
  <c r="A1835" i="11"/>
  <c r="A1830" i="11"/>
  <c r="A1824" i="11"/>
  <c r="A1819" i="11"/>
  <c r="A1814" i="11"/>
  <c r="A1808" i="11"/>
  <c r="A1803" i="11"/>
  <c r="A1798" i="11"/>
  <c r="A1792" i="11"/>
  <c r="A1787" i="11"/>
  <c r="A1782" i="11"/>
  <c r="A1776" i="11"/>
  <c r="A1771" i="11"/>
  <c r="A1766" i="11"/>
  <c r="A1760" i="11"/>
  <c r="A1755" i="11"/>
  <c r="A1750" i="11"/>
  <c r="A1744" i="11"/>
  <c r="A1739" i="11"/>
  <c r="A1734" i="11"/>
  <c r="A1728" i="11"/>
  <c r="A1723" i="11"/>
  <c r="A1718" i="11"/>
  <c r="A1712" i="11"/>
  <c r="A1707" i="11"/>
  <c r="A1702" i="11"/>
  <c r="A1696" i="11"/>
  <c r="A1691" i="11"/>
  <c r="A1686" i="11"/>
  <c r="A1680" i="11"/>
  <c r="A1675" i="11"/>
  <c r="A1670" i="11"/>
  <c r="A1664" i="11"/>
  <c r="A1659" i="11"/>
  <c r="A1654" i="11"/>
  <c r="A1648" i="11"/>
  <c r="A1643" i="11"/>
  <c r="A1638" i="11"/>
  <c r="A1632" i="11"/>
  <c r="A1627" i="11"/>
  <c r="A1622" i="11"/>
  <c r="A1616" i="11"/>
  <c r="A1611" i="11"/>
  <c r="A1606" i="11"/>
  <c r="A1600" i="11"/>
  <c r="A1595" i="11"/>
  <c r="A1590" i="11"/>
  <c r="A1584" i="11"/>
  <c r="A1579" i="11"/>
  <c r="A1574" i="11"/>
  <c r="A1568" i="11"/>
  <c r="A1563" i="11"/>
  <c r="A1558" i="11"/>
  <c r="A1552" i="11"/>
  <c r="A1547" i="11"/>
  <c r="A1542" i="11"/>
  <c r="A1536" i="11"/>
  <c r="A1531" i="11"/>
  <c r="A1526" i="11"/>
  <c r="A1520" i="11"/>
  <c r="A1515" i="11"/>
  <c r="A1510" i="11"/>
  <c r="A1504" i="11"/>
  <c r="A1499" i="11"/>
  <c r="A1494" i="11"/>
  <c r="A1488" i="11"/>
  <c r="A1483" i="11"/>
  <c r="A1478" i="11"/>
  <c r="A1472" i="11"/>
  <c r="A1467" i="11"/>
  <c r="A1462" i="11"/>
  <c r="A1456" i="11"/>
  <c r="A1451" i="11"/>
  <c r="A1446" i="11"/>
  <c r="A1440" i="11"/>
  <c r="A1435" i="11"/>
  <c r="A1430" i="11"/>
  <c r="A1424" i="11"/>
  <c r="A1419" i="11"/>
  <c r="A1414" i="11"/>
  <c r="A1408" i="11"/>
  <c r="A1403" i="11"/>
  <c r="A1398" i="11"/>
  <c r="A1392" i="11"/>
  <c r="A1387" i="11"/>
  <c r="A1382" i="11"/>
  <c r="A1376" i="11"/>
  <c r="A1371" i="11"/>
  <c r="A1366" i="11"/>
  <c r="A1360" i="11"/>
  <c r="A1355" i="11"/>
  <c r="A1350" i="11"/>
  <c r="A1344" i="11"/>
  <c r="A1339" i="11"/>
  <c r="A1334" i="11"/>
  <c r="A1328" i="11"/>
  <c r="A1323" i="11"/>
  <c r="A1318" i="11"/>
  <c r="A1312" i="11"/>
  <c r="A1307" i="11"/>
  <c r="A1302" i="11"/>
  <c r="A1296" i="11"/>
  <c r="A1291" i="11"/>
  <c r="A1286" i="11"/>
  <c r="A1280" i="11"/>
  <c r="A1275" i="11"/>
  <c r="A1270" i="11"/>
  <c r="A1264" i="11"/>
  <c r="A1259" i="11"/>
  <c r="A1254" i="11"/>
  <c r="A1248" i="11"/>
  <c r="A1243" i="11"/>
  <c r="A1238" i="11"/>
  <c r="A1232" i="11"/>
  <c r="A1227" i="11"/>
  <c r="A1222" i="11"/>
  <c r="A1216" i="11"/>
  <c r="A1211" i="11"/>
  <c r="A1206" i="11"/>
  <c r="A1200" i="11"/>
  <c r="A1195" i="11"/>
  <c r="A1190" i="11"/>
  <c r="A1184" i="11"/>
  <c r="A1179" i="11"/>
  <c r="A1174" i="11"/>
  <c r="A1168" i="11"/>
  <c r="A1163" i="11"/>
  <c r="A1158" i="11"/>
  <c r="A1152" i="11"/>
  <c r="A1147" i="11"/>
  <c r="A1142" i="11"/>
  <c r="A1136" i="11"/>
  <c r="A1131" i="11"/>
  <c r="A1126" i="11"/>
  <c r="A1120" i="11"/>
  <c r="A1115" i="11"/>
  <c r="A1110" i="11"/>
  <c r="A1104" i="11"/>
  <c r="A1099" i="11"/>
  <c r="A1094" i="11"/>
  <c r="A1088" i="11"/>
  <c r="A1083" i="11"/>
  <c r="A1078" i="11"/>
  <c r="A1072" i="11"/>
  <c r="A1067" i="11"/>
  <c r="A1062" i="11"/>
  <c r="A1056" i="11"/>
  <c r="A1051" i="11"/>
  <c r="A1046" i="11"/>
  <c r="A1040" i="11"/>
  <c r="A1035" i="11"/>
  <c r="A1030" i="11"/>
  <c r="A1024" i="11"/>
  <c r="A1019" i="11"/>
  <c r="A1014" i="11"/>
  <c r="A1008" i="11"/>
  <c r="A1003" i="11"/>
  <c r="A998" i="11"/>
  <c r="A992" i="11"/>
  <c r="A987" i="11"/>
  <c r="A982" i="11"/>
  <c r="A976" i="11"/>
  <c r="A971" i="11"/>
  <c r="A966" i="11"/>
  <c r="A960" i="11"/>
  <c r="A955" i="11"/>
  <c r="A950" i="11"/>
  <c r="A944" i="11"/>
  <c r="A939" i="11"/>
  <c r="A934" i="11"/>
  <c r="A928" i="11"/>
  <c r="A923" i="11"/>
  <c r="A918" i="11"/>
  <c r="A912" i="11"/>
  <c r="A907" i="11"/>
  <c r="A902" i="11"/>
  <c r="A896" i="11"/>
  <c r="A891" i="11"/>
  <c r="A886" i="11"/>
  <c r="A880" i="11"/>
  <c r="A875" i="11"/>
  <c r="A870" i="11"/>
  <c r="A864" i="11"/>
  <c r="A859" i="11"/>
  <c r="A854" i="11"/>
  <c r="A848" i="11"/>
  <c r="A843" i="11"/>
  <c r="A838" i="11"/>
  <c r="A832" i="11"/>
  <c r="A827" i="11"/>
  <c r="A822" i="11"/>
  <c r="A816" i="11"/>
  <c r="A811" i="11"/>
  <c r="A806" i="11"/>
  <c r="A800" i="11"/>
  <c r="A795" i="11"/>
  <c r="A790" i="11"/>
  <c r="A784" i="11"/>
  <c r="A779" i="11"/>
  <c r="A774" i="11"/>
  <c r="A768" i="11"/>
  <c r="A763" i="11"/>
  <c r="A758" i="11"/>
  <c r="A752" i="11"/>
  <c r="A747" i="11"/>
  <c r="A742" i="11"/>
  <c r="A736" i="11"/>
  <c r="A731" i="11"/>
  <c r="A726" i="11"/>
  <c r="A720" i="11"/>
  <c r="A715" i="11"/>
  <c r="A710" i="11"/>
  <c r="A704" i="11"/>
  <c r="A699" i="11"/>
  <c r="A694" i="11"/>
  <c r="A688" i="11"/>
  <c r="A683" i="11"/>
  <c r="A678" i="11"/>
  <c r="A672" i="11"/>
  <c r="A667" i="11"/>
  <c r="A662" i="11"/>
  <c r="A656" i="11"/>
  <c r="A651" i="11"/>
  <c r="A646" i="11"/>
  <c r="A640" i="11"/>
  <c r="A635" i="11"/>
  <c r="A630" i="11"/>
  <c r="A624" i="11"/>
  <c r="A619" i="11"/>
  <c r="A614" i="11"/>
  <c r="A608" i="11"/>
  <c r="A603" i="11"/>
  <c r="A598" i="11"/>
  <c r="A592" i="11"/>
  <c r="A587" i="11"/>
  <c r="A582" i="11"/>
  <c r="A576" i="11"/>
  <c r="A571" i="11"/>
  <c r="A566" i="11"/>
  <c r="A560" i="11"/>
  <c r="A555" i="11"/>
  <c r="A550" i="11"/>
  <c r="A544" i="11"/>
  <c r="A539" i="11"/>
  <c r="A534" i="11"/>
  <c r="A528" i="11"/>
  <c r="A523" i="11"/>
  <c r="A518" i="11"/>
  <c r="A512" i="11"/>
  <c r="A507" i="11"/>
  <c r="A502" i="11"/>
  <c r="A496" i="11"/>
  <c r="A491" i="11"/>
  <c r="A486" i="11"/>
  <c r="A480" i="11"/>
  <c r="A475" i="11"/>
  <c r="A470" i="11"/>
  <c r="A464" i="11"/>
  <c r="A459" i="11"/>
  <c r="A454" i="11"/>
  <c r="A448" i="11"/>
  <c r="A443" i="11"/>
  <c r="A438" i="11"/>
  <c r="A432" i="11"/>
  <c r="A427" i="11"/>
  <c r="A422" i="11"/>
  <c r="A416" i="11"/>
  <c r="A411" i="11"/>
  <c r="A406" i="11"/>
  <c r="A400" i="11"/>
  <c r="A395" i="11"/>
  <c r="A390" i="11"/>
  <c r="A384" i="11"/>
  <c r="A379" i="11"/>
  <c r="A374" i="11"/>
  <c r="A368" i="11"/>
  <c r="A363" i="11"/>
  <c r="A358" i="11"/>
  <c r="A352" i="11"/>
  <c r="A347" i="11"/>
  <c r="A342" i="11"/>
  <c r="A335" i="11"/>
  <c r="A328" i="11"/>
  <c r="A321" i="11"/>
  <c r="A313" i="11"/>
  <c r="A307" i="11"/>
  <c r="A300" i="11"/>
  <c r="A292" i="11"/>
  <c r="A285" i="11"/>
  <c r="A279" i="11"/>
  <c r="A271" i="11"/>
  <c r="A264" i="11"/>
  <c r="A255" i="11"/>
  <c r="A233" i="11"/>
  <c r="A213" i="11"/>
  <c r="A193" i="11"/>
  <c r="A169" i="11"/>
  <c r="A149" i="11"/>
  <c r="A129" i="11"/>
  <c r="A105" i="11"/>
  <c r="A85" i="11"/>
  <c r="A65" i="11"/>
  <c r="A41" i="11"/>
  <c r="A21" i="11"/>
  <c r="A3492" i="11"/>
  <c r="A3482" i="11"/>
  <c r="A3471" i="11"/>
  <c r="A3460" i="11"/>
  <c r="A3450" i="11"/>
  <c r="A3439" i="11"/>
  <c r="A3428" i="11"/>
  <c r="A3418" i="11"/>
  <c r="A3407" i="11"/>
  <c r="A3396" i="11"/>
  <c r="A3386" i="11"/>
  <c r="A3375" i="11"/>
  <c r="A3364" i="11"/>
  <c r="A3354" i="11"/>
  <c r="A3343" i="11"/>
  <c r="A3332" i="11"/>
  <c r="A3322" i="11"/>
  <c r="A3311" i="11"/>
  <c r="A3300" i="11"/>
  <c r="A3290" i="11"/>
  <c r="A3279" i="11"/>
  <c r="A3274" i="11"/>
  <c r="A3263" i="11"/>
  <c r="A3252" i="11"/>
  <c r="A3242" i="11"/>
  <c r="A3231" i="11"/>
  <c r="A3220" i="11"/>
  <c r="A3210" i="11"/>
  <c r="A3199" i="11"/>
  <c r="A3188" i="11"/>
  <c r="A3178" i="11"/>
  <c r="A3167" i="11"/>
  <c r="A3156" i="11"/>
  <c r="A3146" i="11"/>
  <c r="A3140" i="11"/>
  <c r="A3130" i="11"/>
  <c r="A3119" i="11"/>
  <c r="A3108" i="11"/>
  <c r="A3098" i="11"/>
  <c r="A3087" i="11"/>
  <c r="A3076" i="11"/>
  <c r="A3066" i="11"/>
  <c r="A3055" i="11"/>
  <c r="A3044" i="11"/>
  <c r="A3034" i="11"/>
  <c r="A3023" i="11"/>
  <c r="A3012" i="11"/>
  <c r="A3002" i="11"/>
  <c r="A2991" i="11"/>
  <c r="A2980" i="11"/>
  <c r="A2975" i="11"/>
  <c r="A2964" i="11"/>
  <c r="A2954" i="11"/>
  <c r="A2943" i="11"/>
  <c r="A2932" i="11"/>
  <c r="A2922" i="11"/>
  <c r="A2911" i="11"/>
  <c r="A2900" i="11"/>
  <c r="A2895" i="11"/>
  <c r="A2884" i="11"/>
  <c r="A2874" i="11"/>
  <c r="A2863" i="11"/>
  <c r="A2852" i="11"/>
  <c r="A2842" i="11"/>
  <c r="A2831" i="11"/>
  <c r="A2820" i="11"/>
  <c r="A2810" i="11"/>
  <c r="A2799" i="11"/>
  <c r="A2788" i="11"/>
  <c r="A2778" i="11"/>
  <c r="A2767" i="11"/>
  <c r="A2751" i="11"/>
  <c r="A2740" i="11"/>
  <c r="A2735" i="11"/>
  <c r="A2724" i="11"/>
  <c r="A2714" i="11"/>
  <c r="A2703" i="11"/>
  <c r="A2692" i="11"/>
  <c r="A2682" i="11"/>
  <c r="A2671" i="11"/>
  <c r="A2660" i="11"/>
  <c r="A2655" i="11"/>
  <c r="A2644" i="11"/>
  <c r="A2634" i="11"/>
  <c r="A2623" i="11"/>
  <c r="A2612" i="11"/>
  <c r="A2602" i="11"/>
  <c r="A2591" i="11"/>
  <c r="A2580" i="11"/>
  <c r="A2570" i="11"/>
  <c r="A2559" i="11"/>
  <c r="A2548" i="11"/>
  <c r="A2538" i="11"/>
  <c r="A2527" i="11"/>
  <c r="A2516" i="11"/>
  <c r="A2506" i="11"/>
  <c r="A2490" i="11"/>
  <c r="A2479" i="11"/>
  <c r="A2474" i="11"/>
  <c r="A2463" i="11"/>
  <c r="A2452" i="11"/>
  <c r="A2442" i="11"/>
  <c r="A2431" i="11"/>
  <c r="A2420" i="11"/>
  <c r="A2410" i="11"/>
  <c r="A2399" i="11"/>
  <c r="A2388" i="11"/>
  <c r="A2378" i="11"/>
  <c r="A2367" i="11"/>
  <c r="A2356" i="11"/>
  <c r="A2346" i="11"/>
  <c r="A2335" i="11"/>
  <c r="A2324" i="11"/>
  <c r="A2314" i="11"/>
  <c r="A2308" i="11"/>
  <c r="A2298" i="11"/>
  <c r="A2287" i="11"/>
  <c r="A2276" i="11"/>
  <c r="A2266" i="11"/>
  <c r="A2255" i="11"/>
  <c r="A2244" i="11"/>
  <c r="A2234" i="11"/>
  <c r="A2223" i="11"/>
  <c r="A2212" i="11"/>
  <c r="A2202" i="11"/>
  <c r="A2191" i="11"/>
  <c r="A2180" i="11"/>
  <c r="A2170" i="11"/>
  <c r="A2159" i="11"/>
  <c r="A2148" i="11"/>
  <c r="A2138" i="11"/>
  <c r="A2132" i="11"/>
  <c r="A2116" i="11"/>
  <c r="A2111" i="11"/>
  <c r="A2100" i="11"/>
  <c r="A2090" i="11"/>
  <c r="A2079" i="11"/>
  <c r="A2068" i="11"/>
  <c r="A2058" i="11"/>
  <c r="A2047" i="11"/>
  <c r="A2036" i="11"/>
  <c r="A2026" i="11"/>
  <c r="A2015" i="11"/>
  <c r="A2004" i="11"/>
  <c r="A1994" i="11"/>
  <c r="A1983" i="11"/>
  <c r="A1972" i="11"/>
  <c r="A1962" i="11"/>
  <c r="A1951" i="11"/>
  <c r="A1946" i="11"/>
  <c r="A1935" i="11"/>
  <c r="A1924" i="11"/>
  <c r="A1914" i="11"/>
  <c r="A1908" i="11"/>
  <c r="A1898" i="11"/>
  <c r="A1887" i="11"/>
  <c r="A1876" i="11"/>
  <c r="A1866" i="11"/>
  <c r="A1855" i="11"/>
  <c r="A1844" i="11"/>
  <c r="A1839" i="11"/>
  <c r="A1823" i="11"/>
  <c r="A1812" i="11"/>
  <c r="A1807" i="11"/>
  <c r="A1796" i="11"/>
  <c r="A1786" i="11"/>
  <c r="A1775" i="11"/>
  <c r="A1764" i="11"/>
  <c r="A1754" i="11"/>
  <c r="A1743" i="11"/>
  <c r="A1732" i="11"/>
  <c r="A1727" i="11"/>
  <c r="A1716" i="11"/>
  <c r="A1706" i="11"/>
  <c r="A1695" i="11"/>
  <c r="A1690" i="11"/>
  <c r="A1679" i="11"/>
  <c r="A1668" i="11"/>
  <c r="A1658" i="11"/>
  <c r="A1647" i="11"/>
  <c r="A1636" i="11"/>
  <c r="A1626" i="11"/>
  <c r="A1615" i="11"/>
  <c r="A1604" i="11"/>
  <c r="A1594" i="11"/>
  <c r="A1583" i="11"/>
  <c r="A1572" i="11"/>
  <c r="A1562" i="11"/>
  <c r="A1551" i="11"/>
  <c r="A1540" i="11"/>
  <c r="A1530" i="11"/>
  <c r="A1519" i="11"/>
  <c r="A1508" i="11"/>
  <c r="A1498" i="11"/>
  <c r="A1487" i="11"/>
  <c r="A1476" i="11"/>
  <c r="A1466" i="11"/>
  <c r="A1455" i="11"/>
  <c r="A1444" i="11"/>
  <c r="A1439" i="11"/>
  <c r="A1428" i="11"/>
  <c r="A1412" i="11"/>
  <c r="A1402" i="11"/>
  <c r="A1391" i="11"/>
  <c r="A1380" i="11"/>
  <c r="A1370" i="11"/>
  <c r="A1359" i="11"/>
  <c r="A1348" i="11"/>
  <c r="A1338" i="11"/>
  <c r="A1327" i="11"/>
  <c r="A1316" i="11"/>
  <c r="A1306" i="11"/>
  <c r="A1295" i="11"/>
  <c r="A1290" i="11"/>
  <c r="A1279" i="11"/>
  <c r="A1263" i="11"/>
  <c r="A1252" i="11"/>
  <c r="A1247" i="11"/>
  <c r="A1236" i="11"/>
  <c r="A1226" i="11"/>
  <c r="A1215" i="11"/>
  <c r="A1204" i="11"/>
  <c r="A1194" i="11"/>
  <c r="A1183" i="11"/>
  <c r="A1172" i="11"/>
  <c r="A1167" i="11"/>
  <c r="A1156" i="11"/>
  <c r="A1146" i="11"/>
  <c r="A1135" i="11"/>
  <c r="A1124" i="11"/>
  <c r="A1114" i="11"/>
  <c r="A1103" i="11"/>
  <c r="A1092" i="11"/>
  <c r="A1082" i="11"/>
  <c r="A1071" i="11"/>
  <c r="A1060" i="11"/>
  <c r="A1050" i="11"/>
  <c r="A1039" i="11"/>
  <c r="A1028" i="11"/>
  <c r="A1018" i="11"/>
  <c r="A1007" i="11"/>
  <c r="A996" i="11"/>
  <c r="A986" i="11"/>
  <c r="A975" i="11"/>
  <c r="A964" i="11"/>
  <c r="A954" i="11"/>
  <c r="A943" i="11"/>
  <c r="A932" i="11"/>
  <c r="A922" i="11"/>
  <c r="A911" i="11"/>
  <c r="A900" i="11"/>
  <c r="A895" i="11"/>
  <c r="A884" i="11"/>
  <c r="A874" i="11"/>
  <c r="A863" i="11"/>
  <c r="A852" i="11"/>
  <c r="A842" i="11"/>
  <c r="A831" i="11"/>
  <c r="A820" i="11"/>
  <c r="A810" i="11"/>
  <c r="A799" i="11"/>
  <c r="A788" i="11"/>
  <c r="A778" i="11"/>
  <c r="A767" i="11"/>
  <c r="A756" i="11"/>
  <c r="A746" i="11"/>
  <c r="A735" i="11"/>
  <c r="A724" i="11"/>
  <c r="A714" i="11"/>
  <c r="A703" i="11"/>
  <c r="A692" i="11"/>
  <c r="A682" i="11"/>
  <c r="A671" i="11"/>
  <c r="A660" i="11"/>
  <c r="A650" i="11"/>
  <c r="A639" i="11"/>
  <c r="A628" i="11"/>
  <c r="A623" i="11"/>
  <c r="A612" i="11"/>
  <c r="A602" i="11"/>
  <c r="A591" i="11"/>
  <c r="A580" i="11"/>
  <c r="A570" i="11"/>
  <c r="A559" i="11"/>
  <c r="A548" i="11"/>
  <c r="A538" i="11"/>
  <c r="A527" i="11"/>
  <c r="A516" i="11"/>
  <c r="A511" i="11"/>
  <c r="A500" i="11"/>
  <c r="A490" i="11"/>
  <c r="A479" i="11"/>
  <c r="A468" i="11"/>
  <c r="A458" i="11"/>
  <c r="A452" i="11"/>
  <c r="A442" i="11"/>
  <c r="A431" i="11"/>
  <c r="A420" i="11"/>
  <c r="A410" i="11"/>
  <c r="A399" i="11"/>
  <c r="A388" i="11"/>
  <c r="A378" i="11"/>
  <c r="A367" i="11"/>
  <c r="A356" i="11"/>
  <c r="A346" i="11"/>
  <c r="A333" i="11"/>
  <c r="A319" i="11"/>
  <c r="A305" i="11"/>
  <c r="A291" i="11"/>
  <c r="A276" i="11"/>
  <c r="A263" i="11"/>
  <c r="A229" i="11"/>
  <c r="A185" i="11"/>
  <c r="A145" i="11"/>
  <c r="A101" i="11"/>
  <c r="A57" i="11"/>
  <c r="A3496" i="11"/>
  <c r="A3491" i="11"/>
  <c r="A3486" i="11"/>
  <c r="A3480" i="11"/>
  <c r="A3475" i="11"/>
  <c r="A3470" i="11"/>
  <c r="A3464" i="11"/>
  <c r="A3459" i="11"/>
  <c r="A3454" i="11"/>
  <c r="A3448" i="11"/>
  <c r="A3443" i="11"/>
  <c r="A3438" i="11"/>
  <c r="A3432" i="11"/>
  <c r="A3427" i="11"/>
  <c r="A3422" i="11"/>
  <c r="A3416" i="11"/>
  <c r="A3411" i="11"/>
  <c r="A3406" i="11"/>
  <c r="A3400" i="11"/>
  <c r="A3395" i="11"/>
  <c r="A3390" i="11"/>
  <c r="A3384" i="11"/>
  <c r="A3379" i="11"/>
  <c r="A3374" i="11"/>
  <c r="A3368" i="11"/>
  <c r="A3363" i="11"/>
  <c r="A3358" i="11"/>
  <c r="A3352" i="11"/>
  <c r="A3347" i="11"/>
  <c r="A3342" i="11"/>
  <c r="A3336" i="11"/>
  <c r="A3331" i="11"/>
  <c r="A3326" i="11"/>
  <c r="A3320" i="11"/>
  <c r="A3315" i="11"/>
  <c r="A3310" i="11"/>
  <c r="A3304" i="11"/>
  <c r="A3299" i="11"/>
  <c r="A3294" i="11"/>
  <c r="A3288" i="11"/>
  <c r="A3283" i="11"/>
  <c r="A3278" i="11"/>
  <c r="A3272" i="11"/>
  <c r="A3267" i="11"/>
  <c r="A3262" i="11"/>
  <c r="A3256" i="11"/>
  <c r="A3251" i="11"/>
  <c r="A3246" i="11"/>
  <c r="A3240" i="11"/>
  <c r="A3235" i="11"/>
  <c r="A3230" i="11"/>
  <c r="A3224" i="11"/>
  <c r="A3219" i="11"/>
  <c r="A3214" i="11"/>
  <c r="A3208" i="11"/>
  <c r="A3203" i="11"/>
  <c r="A3198" i="11"/>
  <c r="A3192" i="11"/>
  <c r="A3187" i="11"/>
  <c r="A3182" i="11"/>
  <c r="A3176" i="11"/>
  <c r="A3171" i="11"/>
  <c r="A3166" i="11"/>
  <c r="A3160" i="11"/>
  <c r="A3155" i="11"/>
  <c r="A3150" i="11"/>
  <c r="A3144" i="11"/>
  <c r="A3139" i="11"/>
  <c r="A3134" i="11"/>
  <c r="A3128" i="11"/>
  <c r="A3123" i="11"/>
  <c r="A3118" i="11"/>
  <c r="A3112" i="11"/>
  <c r="A3107" i="11"/>
  <c r="A3102" i="11"/>
  <c r="A3096" i="11"/>
  <c r="A3091" i="11"/>
  <c r="A3086" i="11"/>
  <c r="A3080" i="11"/>
  <c r="A3075" i="11"/>
  <c r="A3070" i="11"/>
  <c r="A3064" i="11"/>
  <c r="A3059" i="11"/>
  <c r="A3054" i="11"/>
  <c r="A3048" i="11"/>
  <c r="A3043" i="11"/>
  <c r="A3038" i="11"/>
  <c r="A3032" i="11"/>
  <c r="A3027" i="11"/>
  <c r="A3022" i="11"/>
  <c r="A3016" i="11"/>
  <c r="A3011" i="11"/>
  <c r="A3006" i="11"/>
  <c r="A3000" i="11"/>
  <c r="A2995" i="11"/>
  <c r="A2990" i="11"/>
  <c r="A2984" i="11"/>
  <c r="A2979" i="11"/>
  <c r="A2974" i="11"/>
  <c r="A2968" i="11"/>
  <c r="A2963" i="11"/>
  <c r="A2958" i="11"/>
  <c r="A2952" i="11"/>
  <c r="A2947" i="11"/>
  <c r="A2942" i="11"/>
  <c r="A2936" i="11"/>
  <c r="A2931" i="11"/>
  <c r="A2926" i="11"/>
  <c r="A2920" i="11"/>
  <c r="A2915" i="11"/>
  <c r="A2910" i="11"/>
  <c r="A2904" i="11"/>
  <c r="A2899" i="11"/>
  <c r="A2894" i="11"/>
  <c r="A2888" i="11"/>
  <c r="A2883" i="11"/>
  <c r="A2878" i="11"/>
  <c r="A2872" i="11"/>
  <c r="A2867" i="11"/>
  <c r="A2862" i="11"/>
  <c r="A2856" i="11"/>
  <c r="A2851" i="11"/>
  <c r="A2846" i="11"/>
  <c r="A2840" i="11"/>
  <c r="A2835" i="11"/>
  <c r="A2830" i="11"/>
  <c r="A2824" i="11"/>
  <c r="A2819" i="11"/>
  <c r="A2814" i="11"/>
  <c r="A2808" i="11"/>
  <c r="A2803" i="11"/>
  <c r="A2798" i="11"/>
  <c r="A2792" i="11"/>
  <c r="A2787" i="11"/>
  <c r="A2782" i="11"/>
  <c r="A2776" i="11"/>
  <c r="A2771" i="11"/>
  <c r="A2766" i="11"/>
  <c r="A2760" i="11"/>
  <c r="A2755" i="11"/>
  <c r="A2750" i="11"/>
  <c r="A2744" i="11"/>
  <c r="A2739" i="11"/>
  <c r="A2734" i="11"/>
  <c r="A2728" i="11"/>
  <c r="A2723" i="11"/>
  <c r="A2718" i="11"/>
  <c r="A2712" i="11"/>
  <c r="A2707" i="11"/>
  <c r="A2702" i="11"/>
  <c r="A2696" i="11"/>
  <c r="A2691" i="11"/>
  <c r="A2686" i="11"/>
  <c r="A2680" i="11"/>
  <c r="A2675" i="11"/>
  <c r="A2670" i="11"/>
  <c r="A2664" i="11"/>
  <c r="A2659" i="11"/>
  <c r="A2654" i="11"/>
  <c r="A2648" i="11"/>
  <c r="A2643" i="11"/>
  <c r="A2638" i="11"/>
  <c r="A2632" i="11"/>
  <c r="A2627" i="11"/>
  <c r="A2622" i="11"/>
  <c r="A2616" i="11"/>
  <c r="A2611" i="11"/>
  <c r="A2606" i="11"/>
  <c r="A2600" i="11"/>
  <c r="A2595" i="11"/>
  <c r="A2590" i="11"/>
  <c r="A2584" i="11"/>
  <c r="A2579" i="11"/>
  <c r="A2574" i="11"/>
  <c r="A2568" i="11"/>
  <c r="A2563" i="11"/>
  <c r="A2558" i="11"/>
  <c r="A2552" i="11"/>
  <c r="A2547" i="11"/>
  <c r="A2542" i="11"/>
  <c r="A2536" i="11"/>
  <c r="A2531" i="11"/>
  <c r="A2526" i="11"/>
  <c r="A2520" i="11"/>
  <c r="A2515" i="11"/>
  <c r="A2510" i="11"/>
  <c r="A2504" i="11"/>
  <c r="A2499" i="11"/>
  <c r="A2494" i="11"/>
  <c r="A2488" i="11"/>
  <c r="A2483" i="11"/>
  <c r="A2478" i="11"/>
  <c r="A2472" i="11"/>
  <c r="A2467" i="11"/>
  <c r="A2462" i="11"/>
  <c r="A2456" i="11"/>
  <c r="A2451" i="11"/>
  <c r="A2446" i="11"/>
  <c r="A2440" i="11"/>
  <c r="A2435" i="11"/>
  <c r="A2430" i="11"/>
  <c r="A2424" i="11"/>
  <c r="A2419" i="11"/>
  <c r="A2414" i="11"/>
  <c r="A2408" i="11"/>
  <c r="A2403" i="11"/>
  <c r="A2398" i="11"/>
  <c r="A2392" i="11"/>
  <c r="A2387" i="11"/>
  <c r="A2382" i="11"/>
  <c r="A2376" i="11"/>
  <c r="A2371" i="11"/>
  <c r="A2366" i="11"/>
  <c r="A2360" i="11"/>
  <c r="A2355" i="11"/>
  <c r="A2350" i="11"/>
  <c r="A2344" i="11"/>
  <c r="A2339" i="11"/>
  <c r="A2334" i="11"/>
  <c r="A2328" i="11"/>
  <c r="A2323" i="11"/>
  <c r="A2318" i="11"/>
  <c r="A2312" i="11"/>
  <c r="A2307" i="11"/>
  <c r="A2302" i="11"/>
  <c r="A2296" i="11"/>
  <c r="A2291" i="11"/>
  <c r="A2286" i="11"/>
  <c r="A2280" i="11"/>
  <c r="A2275" i="11"/>
  <c r="A2270" i="11"/>
  <c r="A2264" i="11"/>
  <c r="A2259" i="11"/>
  <c r="A2254" i="11"/>
  <c r="A2248" i="11"/>
  <c r="A2243" i="11"/>
  <c r="A2238" i="11"/>
  <c r="A2232" i="11"/>
  <c r="A2227" i="11"/>
  <c r="A2222" i="11"/>
  <c r="A2216" i="11"/>
  <c r="A2211" i="11"/>
  <c r="A2206" i="11"/>
  <c r="A2200" i="11"/>
  <c r="A2195" i="11"/>
  <c r="A2190" i="11"/>
  <c r="A2184" i="11"/>
  <c r="A2179" i="11"/>
  <c r="A2174" i="11"/>
  <c r="A2168" i="11"/>
  <c r="A2163" i="11"/>
  <c r="A2158" i="11"/>
  <c r="A2152" i="11"/>
  <c r="A2147" i="11"/>
  <c r="A2142" i="11"/>
  <c r="A2136" i="11"/>
  <c r="A2131" i="11"/>
  <c r="A2126" i="11"/>
  <c r="A2120" i="11"/>
  <c r="A2115" i="11"/>
  <c r="A2110" i="11"/>
  <c r="A2104" i="11"/>
  <c r="A2099" i="11"/>
  <c r="A2094" i="11"/>
  <c r="A2088" i="11"/>
  <c r="A2083" i="11"/>
  <c r="A2078" i="11"/>
  <c r="A2072" i="11"/>
  <c r="A2067" i="11"/>
  <c r="A2062" i="11"/>
  <c r="A2056" i="11"/>
  <c r="A2051" i="11"/>
  <c r="A2046" i="11"/>
  <c r="A2040" i="11"/>
  <c r="A2035" i="11"/>
  <c r="A2030" i="11"/>
  <c r="A2024" i="11"/>
  <c r="A2019" i="11"/>
  <c r="A2014" i="11"/>
  <c r="A2008" i="11"/>
  <c r="A2003" i="11"/>
  <c r="A1998" i="11"/>
  <c r="A1992" i="11"/>
  <c r="A1987" i="11"/>
  <c r="A1982" i="11"/>
  <c r="A1976" i="11"/>
  <c r="A1971" i="11"/>
  <c r="A1966" i="11"/>
  <c r="A1960" i="11"/>
  <c r="A1955" i="11"/>
  <c r="A1950" i="11"/>
  <c r="A1944" i="11"/>
  <c r="A1939" i="11"/>
  <c r="A1934" i="11"/>
  <c r="A1928" i="11"/>
  <c r="A1923" i="11"/>
  <c r="A1918" i="11"/>
  <c r="A1912" i="11"/>
  <c r="A1907" i="11"/>
  <c r="A1902" i="11"/>
  <c r="A1896" i="11"/>
  <c r="A1891" i="11"/>
  <c r="A1886" i="11"/>
  <c r="A1880" i="11"/>
  <c r="A1875" i="11"/>
  <c r="A1870" i="11"/>
  <c r="A1864" i="11"/>
  <c r="A1859" i="11"/>
  <c r="A1854" i="11"/>
  <c r="A1848" i="11"/>
  <c r="A1843" i="11"/>
  <c r="A1838" i="11"/>
  <c r="A1832" i="11"/>
  <c r="A1827" i="11"/>
  <c r="A1822" i="11"/>
  <c r="A1816" i="11"/>
  <c r="A1811" i="11"/>
  <c r="A1806" i="11"/>
  <c r="A1800" i="11"/>
  <c r="A1795" i="11"/>
  <c r="A1790" i="11"/>
  <c r="A1784" i="11"/>
  <c r="A1779" i="11"/>
  <c r="A1774" i="11"/>
  <c r="A1768" i="11"/>
  <c r="A1763" i="11"/>
  <c r="A1758" i="11"/>
  <c r="A1752" i="11"/>
  <c r="A1747" i="11"/>
  <c r="A1742" i="11"/>
  <c r="A1736" i="11"/>
  <c r="A1731" i="11"/>
  <c r="A1726" i="11"/>
  <c r="A1720" i="11"/>
  <c r="A1715" i="11"/>
  <c r="A1710" i="11"/>
  <c r="A1704" i="11"/>
  <c r="A1699" i="11"/>
  <c r="A1694" i="11"/>
  <c r="A1688" i="11"/>
  <c r="A1683" i="11"/>
  <c r="A1678" i="11"/>
  <c r="A1672" i="11"/>
  <c r="A1667" i="11"/>
  <c r="A1662" i="11"/>
  <c r="A1656" i="11"/>
  <c r="A1651" i="11"/>
  <c r="A1646" i="11"/>
  <c r="A1640" i="11"/>
  <c r="A1635" i="11"/>
  <c r="A1630" i="11"/>
  <c r="A1624" i="11"/>
  <c r="A1619" i="11"/>
  <c r="A1614" i="11"/>
  <c r="A1608" i="11"/>
  <c r="A1603" i="11"/>
  <c r="A1598" i="11"/>
  <c r="A1592" i="11"/>
  <c r="A1587" i="11"/>
  <c r="A1582" i="11"/>
  <c r="A1576" i="11"/>
  <c r="A1571" i="11"/>
  <c r="A1566" i="11"/>
  <c r="A1560" i="11"/>
  <c r="A1555" i="11"/>
  <c r="A1550" i="11"/>
  <c r="A1544" i="11"/>
  <c r="A1539" i="11"/>
  <c r="A1534" i="11"/>
  <c r="A1528" i="11"/>
  <c r="A1523" i="11"/>
  <c r="A1518" i="11"/>
  <c r="A1512" i="11"/>
  <c r="A1507" i="11"/>
  <c r="A1502" i="11"/>
  <c r="A1496" i="11"/>
  <c r="A1491" i="11"/>
  <c r="A1486" i="11"/>
  <c r="A1480" i="11"/>
  <c r="A1475" i="11"/>
  <c r="A1470" i="11"/>
  <c r="A1464" i="11"/>
  <c r="A1459" i="11"/>
  <c r="A1454" i="11"/>
  <c r="A1448" i="11"/>
  <c r="A1443" i="11"/>
  <c r="A1438" i="11"/>
  <c r="A1432" i="11"/>
  <c r="A1427" i="11"/>
  <c r="A1422" i="11"/>
  <c r="A1416" i="11"/>
  <c r="A1411" i="11"/>
  <c r="A1406" i="11"/>
  <c r="A1400" i="11"/>
  <c r="A1395" i="11"/>
  <c r="A1390" i="11"/>
  <c r="A1384" i="11"/>
  <c r="A1379" i="11"/>
  <c r="A1374" i="11"/>
  <c r="A1368" i="11"/>
  <c r="A1363" i="11"/>
  <c r="A1358" i="11"/>
  <c r="A1352" i="11"/>
  <c r="A1347" i="11"/>
  <c r="A1342" i="11"/>
  <c r="A1336" i="11"/>
  <c r="A1331" i="11"/>
  <c r="A1326" i="11"/>
  <c r="A1320" i="11"/>
  <c r="A1315" i="11"/>
  <c r="A1310" i="11"/>
  <c r="A1304" i="11"/>
  <c r="A1299" i="11"/>
  <c r="A1294" i="11"/>
  <c r="A1288" i="11"/>
  <c r="A1283" i="11"/>
  <c r="A1278" i="11"/>
  <c r="A1272" i="11"/>
  <c r="A1267" i="11"/>
  <c r="A1262" i="11"/>
  <c r="A1256" i="11"/>
  <c r="A1251" i="11"/>
  <c r="A1246" i="11"/>
  <c r="A1240" i="11"/>
  <c r="A1235" i="11"/>
  <c r="A1230" i="11"/>
  <c r="A1224" i="11"/>
  <c r="A1219" i="11"/>
  <c r="A1214" i="11"/>
  <c r="A1208" i="11"/>
  <c r="A1203" i="11"/>
  <c r="A1198" i="11"/>
  <c r="A1192" i="11"/>
  <c r="A1187" i="11"/>
  <c r="A1182" i="11"/>
  <c r="A1176" i="11"/>
  <c r="A1171" i="11"/>
  <c r="A1166" i="11"/>
  <c r="A1160" i="11"/>
  <c r="A1155" i="11"/>
  <c r="A1150" i="11"/>
  <c r="A1144" i="11"/>
  <c r="A1139" i="11"/>
  <c r="A1134" i="11"/>
  <c r="A1128" i="11"/>
  <c r="A1123" i="11"/>
  <c r="A1118" i="11"/>
  <c r="A1112" i="11"/>
  <c r="A1107" i="11"/>
  <c r="A1102" i="11"/>
  <c r="A1096" i="11"/>
  <c r="A1091" i="11"/>
  <c r="A1086" i="11"/>
  <c r="A1080" i="11"/>
  <c r="A1075" i="11"/>
  <c r="A1070" i="11"/>
  <c r="A1064" i="11"/>
  <c r="A1059" i="11"/>
  <c r="A1054" i="11"/>
  <c r="A1048" i="11"/>
  <c r="A1043" i="11"/>
  <c r="A1038" i="11"/>
  <c r="A1032" i="11"/>
  <c r="A1027" i="11"/>
  <c r="A1022" i="11"/>
  <c r="A1016" i="11"/>
  <c r="A1011" i="11"/>
  <c r="A1006" i="11"/>
  <c r="A1000" i="11"/>
  <c r="A995" i="11"/>
  <c r="A990" i="11"/>
  <c r="A984" i="11"/>
  <c r="A979" i="11"/>
  <c r="A974" i="11"/>
  <c r="A968" i="11"/>
  <c r="A963" i="11"/>
  <c r="A958" i="11"/>
  <c r="A952" i="11"/>
  <c r="A947" i="11"/>
  <c r="A942" i="11"/>
  <c r="A936" i="11"/>
  <c r="A931" i="11"/>
  <c r="A926" i="11"/>
  <c r="A920" i="11"/>
  <c r="A915" i="11"/>
  <c r="A910" i="11"/>
  <c r="A904" i="11"/>
  <c r="A899" i="11"/>
  <c r="A894" i="11"/>
  <c r="A888" i="11"/>
  <c r="A883" i="11"/>
  <c r="A878" i="11"/>
  <c r="A872" i="11"/>
  <c r="A867" i="11"/>
  <c r="A862" i="11"/>
  <c r="A856" i="11"/>
  <c r="A851" i="11"/>
  <c r="A846" i="11"/>
  <c r="A840" i="11"/>
  <c r="A835" i="11"/>
  <c r="A830" i="11"/>
  <c r="A824" i="11"/>
  <c r="A819" i="11"/>
  <c r="A814" i="11"/>
  <c r="A808" i="11"/>
  <c r="A803" i="11"/>
  <c r="A798" i="11"/>
  <c r="A792" i="11"/>
  <c r="A787" i="11"/>
  <c r="A782" i="11"/>
  <c r="A776" i="11"/>
  <c r="A771" i="11"/>
  <c r="A766" i="11"/>
  <c r="A760" i="11"/>
  <c r="A755" i="11"/>
  <c r="A750" i="11"/>
  <c r="A744" i="11"/>
  <c r="A739" i="11"/>
  <c r="A734" i="11"/>
  <c r="A728" i="11"/>
  <c r="A723" i="11"/>
  <c r="A718" i="11"/>
  <c r="A712" i="11"/>
  <c r="A707" i="11"/>
  <c r="A702" i="11"/>
  <c r="A696" i="11"/>
  <c r="A691" i="11"/>
  <c r="A686" i="11"/>
  <c r="A680" i="11"/>
  <c r="A675" i="11"/>
  <c r="A670" i="11"/>
  <c r="A664" i="11"/>
  <c r="A659" i="11"/>
  <c r="A654" i="11"/>
  <c r="A648" i="11"/>
  <c r="A643" i="11"/>
  <c r="A638" i="11"/>
  <c r="A632" i="11"/>
  <c r="A627" i="11"/>
  <c r="A622" i="11"/>
  <c r="A616" i="11"/>
  <c r="A611" i="11"/>
  <c r="A606" i="11"/>
  <c r="A600" i="11"/>
  <c r="A595" i="11"/>
  <c r="A590" i="11"/>
  <c r="A584" i="11"/>
  <c r="A579" i="11"/>
  <c r="A574" i="11"/>
  <c r="A568" i="11"/>
  <c r="A563" i="11"/>
  <c r="A558" i="11"/>
  <c r="A552" i="11"/>
  <c r="A547" i="11"/>
  <c r="A542" i="11"/>
  <c r="A536" i="11"/>
  <c r="A531" i="11"/>
  <c r="A526" i="11"/>
  <c r="A520" i="11"/>
  <c r="A515" i="11"/>
  <c r="A510" i="11"/>
  <c r="A504" i="11"/>
  <c r="A499" i="11"/>
  <c r="A494" i="11"/>
  <c r="A488" i="11"/>
  <c r="A483" i="11"/>
  <c r="A478" i="11"/>
  <c r="A472" i="11"/>
  <c r="A467" i="11"/>
  <c r="A462" i="11"/>
  <c r="A456" i="11"/>
  <c r="A451" i="11"/>
  <c r="A446" i="11"/>
  <c r="A440" i="11"/>
  <c r="A435" i="11"/>
  <c r="A430" i="11"/>
  <c r="A424" i="11"/>
  <c r="A419" i="11"/>
  <c r="A414" i="11"/>
  <c r="A408" i="11"/>
  <c r="A403" i="11"/>
  <c r="A398" i="11"/>
  <c r="A392" i="11"/>
  <c r="A387" i="11"/>
  <c r="A382" i="11"/>
  <c r="A376" i="11"/>
  <c r="A371" i="11"/>
  <c r="A366" i="11"/>
  <c r="A360" i="11"/>
  <c r="A355" i="11"/>
  <c r="A350" i="11"/>
  <c r="A344" i="11"/>
  <c r="A339" i="11"/>
  <c r="A332" i="11"/>
  <c r="A324" i="11"/>
  <c r="A317" i="11"/>
  <c r="A311" i="11"/>
  <c r="A303" i="11"/>
  <c r="A296" i="11"/>
  <c r="A289" i="11"/>
  <c r="A281" i="11"/>
  <c r="A275" i="11"/>
  <c r="A268" i="11"/>
  <c r="A259" i="11"/>
  <c r="A245" i="11"/>
  <c r="A225" i="11"/>
  <c r="A201" i="11"/>
  <c r="A181" i="11"/>
  <c r="A161" i="11"/>
  <c r="A137" i="11"/>
  <c r="A117" i="11"/>
  <c r="A97" i="11"/>
  <c r="A73" i="11"/>
  <c r="A53" i="11"/>
  <c r="A33" i="11"/>
  <c r="A9" i="11"/>
  <c r="C2" i="11"/>
  <c r="C5" i="11"/>
  <c r="C21" i="11"/>
  <c r="C37" i="11"/>
  <c r="C53" i="11"/>
  <c r="C69" i="11"/>
  <c r="C85" i="11"/>
  <c r="C101" i="11"/>
  <c r="C117" i="11"/>
  <c r="C133" i="11"/>
  <c r="C149" i="11"/>
  <c r="C165" i="11"/>
  <c r="C177" i="11"/>
  <c r="C185" i="11"/>
  <c r="C193" i="11"/>
  <c r="C201" i="11"/>
  <c r="C209" i="11"/>
  <c r="C217" i="11"/>
  <c r="C225" i="11"/>
  <c r="C233" i="11"/>
  <c r="C241" i="11"/>
  <c r="C249" i="11"/>
  <c r="C257" i="11"/>
  <c r="C265" i="11"/>
  <c r="C273" i="11"/>
  <c r="C281" i="11"/>
  <c r="C289" i="11"/>
  <c r="C297" i="11"/>
  <c r="C305" i="11"/>
  <c r="C313" i="11"/>
  <c r="C321" i="11"/>
  <c r="C329" i="11"/>
  <c r="C337" i="11"/>
  <c r="C343" i="11"/>
  <c r="C347" i="11"/>
  <c r="C351" i="11"/>
  <c r="C355" i="11"/>
  <c r="C359" i="11"/>
  <c r="C363" i="11"/>
  <c r="C367" i="11"/>
  <c r="C371" i="11"/>
  <c r="C375" i="11"/>
  <c r="C379" i="11"/>
  <c r="C383" i="11"/>
  <c r="C387" i="11"/>
  <c r="C391" i="11"/>
  <c r="C395" i="11"/>
  <c r="C399" i="11"/>
  <c r="C403" i="11"/>
  <c r="C407" i="11"/>
  <c r="C411" i="11"/>
  <c r="C415" i="11"/>
  <c r="C419" i="11"/>
  <c r="C423" i="11"/>
  <c r="C427" i="11"/>
  <c r="C431" i="11"/>
  <c r="C435" i="11"/>
  <c r="C439" i="11"/>
  <c r="C443" i="11"/>
  <c r="C447" i="11"/>
  <c r="C451" i="11"/>
  <c r="C455" i="11"/>
  <c r="C459" i="11"/>
  <c r="C463" i="11"/>
  <c r="C467" i="11"/>
  <c r="C471" i="11"/>
  <c r="C475" i="11"/>
  <c r="C479" i="11"/>
  <c r="C483" i="11"/>
  <c r="C487" i="11"/>
  <c r="C491" i="11"/>
  <c r="C495" i="11"/>
  <c r="C499" i="11"/>
  <c r="C503" i="11"/>
  <c r="C507" i="11"/>
  <c r="C511" i="11"/>
  <c r="C515" i="11"/>
  <c r="C519" i="11"/>
  <c r="C523" i="11"/>
  <c r="C527" i="11"/>
  <c r="C531" i="11"/>
  <c r="C535" i="11"/>
  <c r="C539" i="11"/>
  <c r="C543" i="11"/>
  <c r="C547" i="11"/>
  <c r="C551" i="11"/>
  <c r="C555" i="11"/>
  <c r="C559" i="11"/>
  <c r="C563" i="11"/>
  <c r="C567" i="11"/>
  <c r="C571" i="11"/>
  <c r="C575" i="11"/>
  <c r="C579" i="11"/>
  <c r="C583" i="11"/>
  <c r="C587" i="11"/>
  <c r="C591" i="11"/>
  <c r="C595" i="11"/>
  <c r="C599" i="11"/>
  <c r="C603" i="11"/>
  <c r="C607" i="11"/>
  <c r="C611" i="11"/>
  <c r="C615" i="11"/>
  <c r="C619" i="11"/>
  <c r="C623" i="11"/>
  <c r="C627" i="11"/>
  <c r="C631" i="11"/>
  <c r="C635" i="11"/>
  <c r="C639" i="11"/>
  <c r="C643" i="11"/>
  <c r="C647" i="11"/>
  <c r="C651" i="11"/>
  <c r="C655" i="11"/>
  <c r="C659" i="11"/>
  <c r="C663" i="11"/>
  <c r="C667" i="11"/>
  <c r="C671" i="11"/>
  <c r="C675" i="11"/>
  <c r="C679" i="11"/>
  <c r="C683" i="11"/>
  <c r="C687" i="11"/>
  <c r="C691" i="11"/>
  <c r="C695" i="11"/>
  <c r="C699" i="11"/>
  <c r="C703" i="11"/>
  <c r="C707" i="11"/>
  <c r="C711" i="11"/>
  <c r="C715" i="11"/>
  <c r="C719" i="11"/>
  <c r="C723" i="11"/>
  <c r="C727" i="11"/>
  <c r="C731" i="11"/>
  <c r="C735" i="11"/>
  <c r="C739" i="11"/>
  <c r="C743" i="11"/>
  <c r="C747" i="11"/>
  <c r="C751" i="11"/>
  <c r="C755" i="11"/>
  <c r="C759" i="11"/>
  <c r="C763" i="11"/>
  <c r="C767" i="11"/>
  <c r="C771" i="11"/>
  <c r="C775" i="11"/>
  <c r="C779" i="11"/>
  <c r="C783" i="11"/>
  <c r="C787" i="11"/>
  <c r="C791" i="11"/>
  <c r="C795" i="11"/>
  <c r="C799" i="11"/>
  <c r="C803" i="11"/>
  <c r="C807" i="11"/>
  <c r="C811" i="11"/>
  <c r="C815" i="11"/>
  <c r="C819" i="11"/>
  <c r="C823" i="11"/>
  <c r="C827" i="11"/>
  <c r="C831" i="11"/>
  <c r="C835" i="11"/>
  <c r="C839" i="11"/>
  <c r="C843" i="11"/>
  <c r="C847" i="11"/>
  <c r="C851" i="11"/>
  <c r="C855" i="11"/>
  <c r="C859" i="11"/>
  <c r="C863" i="11"/>
  <c r="C867" i="11"/>
  <c r="C871" i="11"/>
  <c r="C875" i="11"/>
  <c r="C879" i="11"/>
  <c r="C883" i="11"/>
  <c r="C887" i="11"/>
  <c r="C891" i="11"/>
  <c r="C895" i="11"/>
  <c r="C899" i="11"/>
  <c r="C903" i="11"/>
  <c r="C907" i="11"/>
  <c r="C911" i="11"/>
  <c r="C915" i="11"/>
  <c r="C919" i="11"/>
  <c r="C923" i="11"/>
  <c r="C927" i="11"/>
  <c r="C931" i="11"/>
  <c r="C935" i="11"/>
  <c r="C939" i="11"/>
  <c r="C943" i="11"/>
  <c r="C947" i="11"/>
  <c r="C951" i="11"/>
  <c r="C955" i="11"/>
  <c r="C959" i="11"/>
  <c r="C963" i="11"/>
  <c r="C967" i="11"/>
  <c r="C971" i="11"/>
  <c r="C975" i="11"/>
  <c r="C979" i="11"/>
  <c r="C983" i="11"/>
  <c r="C987" i="11"/>
  <c r="C991" i="11"/>
  <c r="C995" i="11"/>
  <c r="C999" i="11"/>
  <c r="C1003" i="11"/>
  <c r="C1007" i="11"/>
  <c r="C1011" i="11"/>
  <c r="C1015" i="11"/>
  <c r="C1019" i="11"/>
  <c r="C1023" i="11"/>
  <c r="C1027" i="11"/>
  <c r="C1031" i="11"/>
  <c r="C1035" i="11"/>
  <c r="C1039" i="11"/>
  <c r="C1043" i="11"/>
  <c r="C1047" i="11"/>
  <c r="C1051" i="11"/>
  <c r="C1055" i="11"/>
  <c r="C1059" i="11"/>
  <c r="C1063" i="11"/>
  <c r="C1067" i="11"/>
  <c r="C1071" i="11"/>
  <c r="C1075" i="11"/>
  <c r="C1079" i="11"/>
  <c r="C1083" i="11"/>
  <c r="C1087" i="11"/>
  <c r="C1091" i="11"/>
  <c r="C1095" i="11"/>
  <c r="C1099" i="11"/>
  <c r="C1103" i="11"/>
  <c r="C1107" i="11"/>
  <c r="C1111" i="11"/>
  <c r="C1115" i="11"/>
  <c r="C1119" i="11"/>
  <c r="C1123" i="11"/>
  <c r="C1127" i="11"/>
  <c r="C1131" i="11"/>
  <c r="C1135" i="11"/>
  <c r="C1139" i="11"/>
  <c r="C1143" i="11"/>
  <c r="C1147" i="11"/>
  <c r="C1151" i="11"/>
  <c r="C1155" i="11"/>
  <c r="C1159" i="11"/>
  <c r="C1163" i="11"/>
  <c r="C1167" i="11"/>
  <c r="C1171" i="11"/>
  <c r="C1175" i="11"/>
  <c r="C1179" i="11"/>
  <c r="C1183" i="11"/>
  <c r="C1187" i="11"/>
  <c r="C1191" i="11"/>
  <c r="C1195" i="11"/>
  <c r="C1199" i="11"/>
  <c r="C1203" i="11"/>
  <c r="C1207" i="11"/>
  <c r="C1211" i="11"/>
  <c r="C1215" i="11"/>
  <c r="C1219" i="11"/>
  <c r="C1223" i="11"/>
  <c r="C1227" i="11"/>
  <c r="C1231" i="11"/>
  <c r="C1235" i="11"/>
  <c r="C1239" i="11"/>
  <c r="C1243" i="11"/>
  <c r="C1247" i="11"/>
  <c r="C1251" i="11"/>
  <c r="C1255" i="11"/>
  <c r="C1259" i="11"/>
  <c r="C1263" i="11"/>
  <c r="C1267" i="11"/>
  <c r="C1271" i="11"/>
  <c r="C1275" i="11"/>
  <c r="C1279" i="11"/>
  <c r="C1283" i="11"/>
  <c r="C1287" i="11"/>
  <c r="C1291" i="11"/>
  <c r="C1295" i="11"/>
  <c r="C1299" i="11"/>
  <c r="C1303" i="11"/>
  <c r="C1307" i="11"/>
  <c r="C1311" i="11"/>
  <c r="C1315" i="11"/>
  <c r="C1319" i="11"/>
  <c r="C1323" i="11"/>
  <c r="C1327" i="11"/>
  <c r="C1331" i="11"/>
  <c r="C1335" i="11"/>
  <c r="C1339" i="11"/>
  <c r="C1343" i="11"/>
  <c r="C1347" i="11"/>
  <c r="C1351" i="11"/>
  <c r="C1355" i="11"/>
  <c r="C1359" i="11"/>
  <c r="C1363" i="11"/>
  <c r="C1367" i="11"/>
  <c r="C1371" i="11"/>
  <c r="C1375" i="11"/>
  <c r="C1379" i="11"/>
  <c r="C1383" i="11"/>
  <c r="C1387" i="11"/>
  <c r="C1391" i="11"/>
  <c r="C1395" i="11"/>
  <c r="C1399" i="11"/>
  <c r="C1403" i="11"/>
  <c r="C1407" i="11"/>
  <c r="C1411" i="11"/>
  <c r="C1415" i="11"/>
  <c r="C1419" i="11"/>
  <c r="C1423" i="11"/>
  <c r="C1427" i="11"/>
  <c r="C1431" i="11"/>
  <c r="C1435" i="11"/>
  <c r="C1439" i="11"/>
  <c r="C1443" i="11"/>
  <c r="C1447" i="11"/>
  <c r="C1451" i="11"/>
  <c r="C1455" i="11"/>
  <c r="C1459" i="11"/>
  <c r="C1463" i="11"/>
  <c r="C1467" i="11"/>
  <c r="C1471" i="11"/>
  <c r="C1475" i="11"/>
  <c r="C1479" i="11"/>
  <c r="C1483" i="11"/>
  <c r="C1487" i="11"/>
  <c r="C1491" i="11"/>
  <c r="C1495" i="11"/>
  <c r="C1499" i="11"/>
  <c r="C1503" i="11"/>
  <c r="C1507" i="11"/>
  <c r="C1511" i="11"/>
  <c r="C1515" i="11"/>
  <c r="C1519" i="11"/>
  <c r="C1523" i="11"/>
  <c r="C1527" i="11"/>
  <c r="C1531" i="11"/>
  <c r="C1535" i="11"/>
  <c r="C1539" i="11"/>
  <c r="C1543" i="11"/>
  <c r="C1547" i="11"/>
  <c r="C1551" i="11"/>
  <c r="C1555" i="11"/>
  <c r="C1559" i="11"/>
  <c r="C1563" i="11"/>
  <c r="C1567" i="11"/>
  <c r="C1571" i="11"/>
  <c r="C1575" i="11"/>
  <c r="C1579" i="11"/>
  <c r="C1583" i="11"/>
  <c r="C1587" i="11"/>
  <c r="C1591" i="11"/>
  <c r="C1595" i="11"/>
  <c r="C1599" i="11"/>
  <c r="C1603" i="11"/>
  <c r="C1607" i="11"/>
  <c r="C1611" i="11"/>
  <c r="C1615" i="11"/>
  <c r="C1619" i="11"/>
  <c r="C1623" i="11"/>
  <c r="C1627" i="11"/>
  <c r="C1631" i="11"/>
  <c r="C1635" i="11"/>
  <c r="C1639" i="11"/>
  <c r="C1643" i="11"/>
  <c r="C1647" i="11"/>
  <c r="C1651" i="11"/>
  <c r="C1655" i="11"/>
  <c r="C1659" i="11"/>
  <c r="C1663" i="11"/>
  <c r="C1667" i="11"/>
  <c r="C1671" i="11"/>
  <c r="C1675" i="11"/>
  <c r="C1679" i="11"/>
  <c r="C1683" i="11"/>
  <c r="C1687" i="11"/>
  <c r="C1691" i="11"/>
  <c r="C1695" i="11"/>
  <c r="C1699" i="11"/>
  <c r="C1703" i="11"/>
  <c r="C1707" i="11"/>
  <c r="C1711" i="11"/>
  <c r="C1715" i="11"/>
  <c r="C1719" i="11"/>
  <c r="C1723" i="11"/>
  <c r="C1727" i="11"/>
  <c r="C1731" i="11"/>
  <c r="C1735" i="11"/>
  <c r="C1739" i="11"/>
  <c r="C1743" i="11"/>
  <c r="C1747" i="11"/>
  <c r="C1751" i="11"/>
  <c r="C1755" i="11"/>
  <c r="C1759" i="11"/>
  <c r="C1763" i="11"/>
  <c r="C1767" i="11"/>
  <c r="C1771" i="11"/>
  <c r="C1775" i="11"/>
  <c r="C1779" i="11"/>
  <c r="C1783" i="11"/>
  <c r="C1787" i="11"/>
  <c r="C1791" i="11"/>
  <c r="C1795" i="11"/>
  <c r="C1799" i="11"/>
  <c r="C1803" i="11"/>
  <c r="C1807" i="11"/>
  <c r="C1811" i="11"/>
  <c r="C1815" i="11"/>
  <c r="C1819" i="11"/>
  <c r="C1823" i="11"/>
  <c r="C1827" i="11"/>
  <c r="C1831" i="11"/>
  <c r="C1835" i="11"/>
  <c r="C1839" i="11"/>
  <c r="C1843" i="11"/>
  <c r="C1847" i="11"/>
  <c r="C1851" i="11"/>
  <c r="C1855" i="11"/>
  <c r="C1859" i="11"/>
  <c r="C1863" i="11"/>
  <c r="C1867" i="11"/>
  <c r="C1871" i="11"/>
  <c r="C1875" i="11"/>
  <c r="C1879" i="11"/>
  <c r="C1883" i="11"/>
  <c r="C1887" i="11"/>
  <c r="C1891" i="11"/>
  <c r="C1895" i="11"/>
  <c r="C1899" i="11"/>
  <c r="C1903" i="11"/>
  <c r="C1907" i="11"/>
  <c r="C1911" i="11"/>
  <c r="C1915" i="11"/>
  <c r="C1919" i="11"/>
  <c r="C1923" i="11"/>
  <c r="C1927" i="11"/>
  <c r="C1931" i="11"/>
  <c r="C1935" i="11"/>
  <c r="C1939" i="11"/>
  <c r="C1943" i="11"/>
  <c r="C1947" i="11"/>
  <c r="C1951" i="11"/>
  <c r="C1955" i="11"/>
  <c r="C1959" i="11"/>
  <c r="C1963" i="11"/>
  <c r="C1967" i="11"/>
  <c r="C1971" i="11"/>
  <c r="C1975" i="11"/>
  <c r="C1979" i="11"/>
  <c r="C1983" i="11"/>
  <c r="C1987" i="11"/>
  <c r="C1991" i="11"/>
  <c r="C1995" i="11"/>
  <c r="C1999" i="11"/>
  <c r="C2003" i="11"/>
  <c r="C2007" i="11"/>
  <c r="C2011" i="11"/>
  <c r="C2015" i="11"/>
  <c r="C2019" i="11"/>
  <c r="C2023" i="11"/>
  <c r="C2027" i="11"/>
  <c r="C2031" i="11"/>
  <c r="C2035" i="11"/>
  <c r="C2039" i="11"/>
  <c r="C2043" i="11"/>
  <c r="C2047" i="11"/>
  <c r="C2051" i="11"/>
  <c r="C2055" i="11"/>
  <c r="C2059" i="11"/>
  <c r="C2063" i="11"/>
  <c r="C2067" i="11"/>
  <c r="C2071" i="11"/>
  <c r="C2075" i="11"/>
  <c r="C2079" i="11"/>
  <c r="C2083" i="11"/>
  <c r="C2087" i="11"/>
  <c r="C2091" i="11"/>
  <c r="C2095" i="11"/>
  <c r="C2099" i="11"/>
  <c r="C2103" i="11"/>
  <c r="C2107" i="11"/>
  <c r="C2111" i="11"/>
  <c r="C2115" i="11"/>
  <c r="C2119" i="11"/>
  <c r="C2123" i="11"/>
  <c r="C2127" i="11"/>
  <c r="C2131" i="11"/>
  <c r="C2135" i="11"/>
  <c r="C2139" i="11"/>
  <c r="C2143" i="11"/>
  <c r="C2147" i="11"/>
  <c r="C2151" i="11"/>
  <c r="C2155" i="11"/>
  <c r="C2159" i="11"/>
  <c r="C2163" i="11"/>
  <c r="C2167" i="11"/>
  <c r="C2171" i="11"/>
  <c r="C2175" i="11"/>
  <c r="C2179" i="11"/>
  <c r="C2183" i="11"/>
  <c r="C2187" i="11"/>
  <c r="C2191" i="11"/>
  <c r="C2195" i="11"/>
  <c r="C2199" i="11"/>
  <c r="C2203" i="11"/>
  <c r="C2207" i="11"/>
  <c r="C2211" i="11"/>
  <c r="C2215" i="11"/>
  <c r="C2219" i="11"/>
  <c r="C2223" i="11"/>
  <c r="C2227" i="11"/>
  <c r="C2231" i="11"/>
  <c r="C2235" i="11"/>
  <c r="C2239" i="11"/>
  <c r="C2243" i="11"/>
  <c r="C2247" i="11"/>
  <c r="C2251" i="11"/>
  <c r="C2255" i="11"/>
  <c r="C2259" i="11"/>
  <c r="C2263" i="11"/>
  <c r="C2267" i="11"/>
  <c r="C2271" i="11"/>
  <c r="C2275" i="11"/>
  <c r="C2279" i="11"/>
  <c r="C2283" i="11"/>
  <c r="C2287" i="11"/>
  <c r="C2291" i="11"/>
  <c r="C2295" i="11"/>
  <c r="C2299" i="11"/>
  <c r="C2303" i="11"/>
  <c r="C2307" i="11"/>
  <c r="C2311" i="11"/>
  <c r="C2315" i="11"/>
  <c r="C2319" i="11"/>
  <c r="C2323" i="11"/>
  <c r="C2327" i="11"/>
  <c r="C2331" i="11"/>
  <c r="C2335" i="11"/>
  <c r="C2339" i="11"/>
  <c r="C2343" i="11"/>
  <c r="C2347" i="11"/>
  <c r="C2351" i="11"/>
  <c r="C2355" i="11"/>
  <c r="C2359" i="11"/>
  <c r="C2363" i="11"/>
  <c r="C2367" i="11"/>
  <c r="C2371" i="11"/>
  <c r="C2375" i="11"/>
  <c r="C2379" i="11"/>
  <c r="C2383" i="11"/>
  <c r="C2387" i="11"/>
  <c r="C2391" i="11"/>
  <c r="C2395" i="11"/>
  <c r="C2399" i="11"/>
  <c r="C2403" i="11"/>
  <c r="C2407" i="11"/>
  <c r="C2411" i="11"/>
  <c r="C2415" i="11"/>
  <c r="C2419" i="11"/>
  <c r="C2423" i="11"/>
  <c r="C2427" i="11"/>
  <c r="C2431" i="11"/>
  <c r="C2435" i="11"/>
  <c r="C2439" i="11"/>
  <c r="C2443" i="11"/>
  <c r="C2447" i="11"/>
  <c r="C2451" i="11"/>
  <c r="C2455" i="11"/>
  <c r="C2459" i="11"/>
  <c r="C2463" i="11"/>
  <c r="C2467" i="11"/>
  <c r="C2471" i="11"/>
  <c r="C2475" i="11"/>
  <c r="C2479" i="11"/>
  <c r="C2483" i="11"/>
  <c r="C2487" i="11"/>
  <c r="C2491" i="11"/>
  <c r="C2495" i="11"/>
  <c r="C2499" i="11"/>
  <c r="C2503" i="11"/>
  <c r="C2507" i="11"/>
  <c r="C2511" i="11"/>
  <c r="C2515" i="11"/>
  <c r="C2519" i="11"/>
  <c r="C2523" i="11"/>
  <c r="C2527" i="11"/>
  <c r="C2531" i="11"/>
  <c r="C2535" i="11"/>
  <c r="C2539" i="11"/>
  <c r="C2543" i="11"/>
  <c r="C2547" i="11"/>
  <c r="C2551" i="11"/>
  <c r="C2555" i="11"/>
  <c r="C2559" i="11"/>
  <c r="C2563" i="11"/>
  <c r="C2567" i="11"/>
  <c r="C2571" i="11"/>
  <c r="C2575" i="11"/>
  <c r="C2579" i="11"/>
  <c r="C2583" i="11"/>
  <c r="C2587" i="11"/>
  <c r="C2591" i="11"/>
  <c r="C2595" i="11"/>
  <c r="C2599" i="11"/>
  <c r="C2603" i="11"/>
  <c r="C2607" i="11"/>
  <c r="C2611" i="11"/>
  <c r="C2615" i="11"/>
  <c r="C2619" i="11"/>
  <c r="C2623" i="11"/>
  <c r="C2627" i="11"/>
  <c r="C2631" i="11"/>
  <c r="C2635" i="11"/>
  <c r="C2639" i="11"/>
  <c r="C2643" i="11"/>
  <c r="C2647" i="11"/>
  <c r="C2651" i="11"/>
  <c r="C2655" i="11"/>
  <c r="C2659" i="11"/>
  <c r="C2663" i="11"/>
  <c r="C2667" i="11"/>
  <c r="C2671" i="11"/>
  <c r="C2675" i="11"/>
  <c r="C2679" i="11"/>
  <c r="C2683" i="11"/>
  <c r="C2687" i="11"/>
  <c r="C2691" i="11"/>
  <c r="C2695" i="11"/>
  <c r="C2699" i="11"/>
  <c r="C2703" i="11"/>
  <c r="C2707" i="11"/>
  <c r="C2711" i="11"/>
  <c r="C2715" i="11"/>
  <c r="C2719" i="11"/>
  <c r="C2723" i="11"/>
  <c r="C2727" i="11"/>
  <c r="C2731" i="11"/>
  <c r="C2735" i="11"/>
  <c r="C2739" i="11"/>
  <c r="C2743" i="11"/>
  <c r="C2747" i="11"/>
  <c r="C2751" i="11"/>
  <c r="C2755" i="11"/>
  <c r="C2759" i="11"/>
  <c r="C2763" i="11"/>
  <c r="C2767" i="11"/>
  <c r="C2771" i="11"/>
  <c r="C2775" i="11"/>
  <c r="C2779" i="11"/>
  <c r="C2783" i="11"/>
  <c r="C2787" i="11"/>
  <c r="C2791" i="11"/>
  <c r="C2795" i="11"/>
  <c r="C2799" i="11"/>
  <c r="C2803" i="11"/>
  <c r="C2807" i="11"/>
  <c r="C2811" i="11"/>
  <c r="C2815" i="11"/>
  <c r="C2819" i="11"/>
  <c r="C2823" i="11"/>
  <c r="C2827" i="11"/>
  <c r="C2831" i="11"/>
  <c r="C2835" i="11"/>
  <c r="C2839" i="11"/>
  <c r="C2843" i="11"/>
  <c r="C2847" i="11"/>
  <c r="C2851" i="11"/>
  <c r="C2855" i="11"/>
  <c r="C2859" i="11"/>
  <c r="C2863" i="11"/>
  <c r="C2867" i="11"/>
  <c r="C2871" i="11"/>
  <c r="C2875" i="11"/>
  <c r="C2879" i="11"/>
  <c r="C2883" i="11"/>
  <c r="C2887" i="11"/>
  <c r="C2891" i="11"/>
  <c r="C2895" i="11"/>
  <c r="C2899" i="11"/>
  <c r="C2903" i="11"/>
  <c r="C2907" i="11"/>
  <c r="C2911" i="11"/>
  <c r="C2915" i="11"/>
  <c r="C2919" i="11"/>
  <c r="C2923" i="11"/>
  <c r="C2927" i="11"/>
  <c r="C2931" i="11"/>
  <c r="C2935" i="11"/>
  <c r="C2939" i="11"/>
  <c r="C2943" i="11"/>
  <c r="C2947" i="11"/>
  <c r="C2951" i="11"/>
  <c r="C2955" i="11"/>
  <c r="C2959" i="11"/>
  <c r="C2963" i="11"/>
  <c r="C2967" i="11"/>
  <c r="C2971" i="11"/>
  <c r="C2975" i="11"/>
  <c r="C2979" i="11"/>
  <c r="C2983" i="11"/>
  <c r="C2987" i="11"/>
  <c r="C2991" i="11"/>
  <c r="C2995" i="11"/>
  <c r="C2999" i="11"/>
  <c r="C3003" i="11"/>
  <c r="C3007" i="11"/>
  <c r="C3011" i="11"/>
  <c r="C3015" i="11"/>
  <c r="C3019" i="11"/>
  <c r="C3023" i="11"/>
  <c r="C3027" i="11"/>
  <c r="C3031" i="11"/>
  <c r="C3035" i="11"/>
  <c r="C3039" i="11"/>
  <c r="C3043" i="11"/>
  <c r="C3047" i="11"/>
  <c r="C3051" i="11"/>
  <c r="C3055" i="11"/>
  <c r="C3059" i="11"/>
  <c r="C3063" i="11"/>
  <c r="C3067" i="11"/>
  <c r="C3071" i="11"/>
  <c r="C3075" i="11"/>
  <c r="C3079" i="11"/>
  <c r="C3083" i="11"/>
  <c r="C3087" i="11"/>
  <c r="C3091" i="11"/>
  <c r="C3095" i="11"/>
  <c r="C3099" i="11"/>
  <c r="C3103" i="11"/>
  <c r="C3107" i="11"/>
  <c r="C3111" i="11"/>
  <c r="C3115" i="11"/>
  <c r="C3119" i="11"/>
  <c r="C3123" i="11"/>
  <c r="C3127" i="11"/>
  <c r="C3131" i="11"/>
  <c r="C3135" i="11"/>
  <c r="C3139" i="11"/>
  <c r="C3143" i="11"/>
  <c r="C3147" i="11"/>
  <c r="C3151" i="11"/>
  <c r="C3155" i="11"/>
  <c r="C3159" i="11"/>
  <c r="C3163" i="11"/>
  <c r="C3167" i="11"/>
  <c r="C3171" i="11"/>
  <c r="C3175" i="11"/>
  <c r="C3179" i="11"/>
  <c r="C3183" i="11"/>
  <c r="C3187" i="11"/>
  <c r="C3191" i="11"/>
  <c r="C3195" i="11"/>
  <c r="C3199" i="11"/>
  <c r="C3203" i="11"/>
  <c r="C3207" i="11"/>
  <c r="C3211" i="11"/>
  <c r="C3215" i="11"/>
  <c r="C3219" i="11"/>
  <c r="C3223" i="11"/>
  <c r="C3227" i="11"/>
  <c r="C3231" i="11"/>
  <c r="C3235" i="11"/>
  <c r="C3239" i="11"/>
  <c r="C3243" i="11"/>
  <c r="C3247" i="11"/>
  <c r="C3251" i="11"/>
  <c r="C3255" i="11"/>
  <c r="C3259" i="11"/>
  <c r="C3263" i="11"/>
  <c r="C3267" i="11"/>
  <c r="C3271" i="11"/>
  <c r="C3275" i="11"/>
  <c r="C3279" i="11"/>
  <c r="C3283" i="11"/>
  <c r="C3287" i="11"/>
  <c r="C3291" i="11"/>
  <c r="C3295" i="11"/>
  <c r="C3299" i="11"/>
  <c r="C3303" i="11"/>
  <c r="C3307" i="11"/>
  <c r="C3311" i="11"/>
  <c r="C3315" i="11"/>
  <c r="C3319" i="11"/>
  <c r="C3323" i="11"/>
  <c r="C3327" i="11"/>
  <c r="C3331" i="11"/>
  <c r="C3335" i="11"/>
  <c r="C3339" i="11"/>
  <c r="C3343" i="11"/>
  <c r="C3347" i="11"/>
  <c r="C3351" i="11"/>
  <c r="C3355" i="11"/>
  <c r="C3359" i="11"/>
  <c r="C3363" i="11"/>
  <c r="C3367" i="11"/>
  <c r="C3371" i="11"/>
  <c r="C3375" i="11"/>
  <c r="C3379" i="11"/>
  <c r="C3383" i="11"/>
  <c r="C3387" i="11"/>
  <c r="C3391" i="11"/>
  <c r="C3395" i="11"/>
  <c r="C3399" i="11"/>
  <c r="C3403" i="11"/>
  <c r="C3407" i="11"/>
  <c r="C3411" i="11"/>
  <c r="C3415" i="11"/>
  <c r="C3419" i="11"/>
  <c r="C3423" i="11"/>
  <c r="C3427" i="11"/>
  <c r="C3431" i="11"/>
  <c r="C3435" i="11"/>
  <c r="C3439" i="11"/>
  <c r="C3443" i="11"/>
  <c r="C3447" i="11"/>
  <c r="C3451" i="11"/>
  <c r="C3455" i="11"/>
  <c r="C3459" i="11"/>
  <c r="C3463" i="11"/>
  <c r="C3467" i="11"/>
  <c r="C3471" i="11"/>
  <c r="C3475" i="11"/>
  <c r="C3479" i="11"/>
  <c r="C3483" i="11"/>
  <c r="C3487" i="11"/>
  <c r="C3491" i="11"/>
  <c r="C3495" i="11"/>
  <c r="C3499" i="11"/>
  <c r="C13" i="11"/>
  <c r="C33" i="11"/>
  <c r="C57" i="11"/>
  <c r="C77" i="11"/>
  <c r="C97" i="11"/>
  <c r="C121" i="11"/>
  <c r="C141" i="11"/>
  <c r="C161" i="11"/>
  <c r="C179" i="11"/>
  <c r="C189" i="11"/>
  <c r="C199" i="11"/>
  <c r="C211" i="11"/>
  <c r="C221" i="11"/>
  <c r="C231" i="11"/>
  <c r="C243" i="11"/>
  <c r="C253" i="11"/>
  <c r="C263" i="11"/>
  <c r="C275" i="11"/>
  <c r="C285" i="11"/>
  <c r="C295" i="11"/>
  <c r="C307" i="11"/>
  <c r="C317" i="11"/>
  <c r="C327" i="11"/>
  <c r="C339" i="11"/>
  <c r="C345" i="11"/>
  <c r="C350" i="11"/>
  <c r="C356" i="11"/>
  <c r="C361" i="11"/>
  <c r="C366" i="11"/>
  <c r="C372" i="11"/>
  <c r="C377" i="11"/>
  <c r="C382" i="11"/>
  <c r="C388" i="11"/>
  <c r="C393" i="11"/>
  <c r="C398" i="11"/>
  <c r="C404" i="11"/>
  <c r="C409" i="11"/>
  <c r="C414" i="11"/>
  <c r="C420" i="11"/>
  <c r="C425" i="11"/>
  <c r="C430" i="11"/>
  <c r="C436" i="11"/>
  <c r="C441" i="11"/>
  <c r="C446" i="11"/>
  <c r="C452" i="11"/>
  <c r="C457" i="11"/>
  <c r="C462" i="11"/>
  <c r="C468" i="11"/>
  <c r="C473" i="11"/>
  <c r="C478" i="11"/>
  <c r="C484" i="11"/>
  <c r="C489" i="11"/>
  <c r="C494" i="11"/>
  <c r="C500" i="11"/>
  <c r="C505" i="11"/>
  <c r="C510" i="11"/>
  <c r="C516" i="11"/>
  <c r="C521" i="11"/>
  <c r="C526" i="11"/>
  <c r="C532" i="11"/>
  <c r="C537" i="11"/>
  <c r="C542" i="11"/>
  <c r="C548" i="11"/>
  <c r="C553" i="11"/>
  <c r="C558" i="11"/>
  <c r="C564" i="11"/>
  <c r="C569" i="11"/>
  <c r="C574" i="11"/>
  <c r="C580" i="11"/>
  <c r="C585" i="11"/>
  <c r="C590" i="11"/>
  <c r="C596" i="11"/>
  <c r="C601" i="11"/>
  <c r="C606" i="11"/>
  <c r="C612" i="11"/>
  <c r="C617" i="11"/>
  <c r="C622" i="11"/>
  <c r="C628" i="11"/>
  <c r="C633" i="11"/>
  <c r="C638" i="11"/>
  <c r="C644" i="11"/>
  <c r="C649" i="11"/>
  <c r="C654" i="11"/>
  <c r="C660" i="11"/>
  <c r="C665" i="11"/>
  <c r="C670" i="11"/>
  <c r="C676" i="11"/>
  <c r="C681" i="11"/>
  <c r="C686" i="11"/>
  <c r="C692" i="11"/>
  <c r="C697" i="11"/>
  <c r="C702" i="11"/>
  <c r="C708" i="11"/>
  <c r="C713" i="11"/>
  <c r="C718" i="11"/>
  <c r="C724" i="11"/>
  <c r="C729" i="11"/>
  <c r="C734" i="11"/>
  <c r="C740" i="11"/>
  <c r="C745" i="11"/>
  <c r="C750" i="11"/>
  <c r="C756" i="11"/>
  <c r="C761" i="11"/>
  <c r="C766" i="11"/>
  <c r="C772" i="11"/>
  <c r="C777" i="11"/>
  <c r="C782" i="11"/>
  <c r="C788" i="11"/>
  <c r="C793" i="11"/>
  <c r="C798" i="11"/>
  <c r="C804" i="11"/>
  <c r="C809" i="11"/>
  <c r="C814" i="11"/>
  <c r="C820" i="11"/>
  <c r="C825" i="11"/>
  <c r="C830" i="11"/>
  <c r="C836" i="11"/>
  <c r="C841" i="11"/>
  <c r="C846" i="11"/>
  <c r="C852" i="11"/>
  <c r="C857" i="11"/>
  <c r="C862" i="11"/>
  <c r="C868" i="11"/>
  <c r="C873" i="11"/>
  <c r="C878" i="11"/>
  <c r="C884" i="11"/>
  <c r="C889" i="11"/>
  <c r="C894" i="11"/>
  <c r="C900" i="11"/>
  <c r="C905" i="11"/>
  <c r="C910" i="11"/>
  <c r="C916" i="11"/>
  <c r="C921" i="11"/>
  <c r="C926" i="11"/>
  <c r="C932" i="11"/>
  <c r="C937" i="11"/>
  <c r="C942" i="11"/>
  <c r="C948" i="11"/>
  <c r="C953" i="11"/>
  <c r="C958" i="11"/>
  <c r="C964" i="11"/>
  <c r="C969" i="11"/>
  <c r="C974" i="11"/>
  <c r="C980" i="11"/>
  <c r="C985" i="11"/>
  <c r="C990" i="11"/>
  <c r="C996" i="11"/>
  <c r="C1001" i="11"/>
  <c r="C1006" i="11"/>
  <c r="C1012" i="11"/>
  <c r="C1017" i="11"/>
  <c r="C1022" i="11"/>
  <c r="C1028" i="11"/>
  <c r="C1033" i="11"/>
  <c r="C1038" i="11"/>
  <c r="C1044" i="11"/>
  <c r="C1049" i="11"/>
  <c r="C1054" i="11"/>
  <c r="C1060" i="11"/>
  <c r="C1065" i="11"/>
  <c r="C1070" i="11"/>
  <c r="C1076" i="11"/>
  <c r="C1081" i="11"/>
  <c r="C1086" i="11"/>
  <c r="C1092" i="11"/>
  <c r="C1097" i="11"/>
  <c r="C1102" i="11"/>
  <c r="C1108" i="11"/>
  <c r="C1113" i="11"/>
  <c r="C1118" i="11"/>
  <c r="C1124" i="11"/>
  <c r="C1129" i="11"/>
  <c r="C1134" i="11"/>
  <c r="C1140" i="11"/>
  <c r="C1145" i="11"/>
  <c r="C1150" i="11"/>
  <c r="C1156" i="11"/>
  <c r="C1161" i="11"/>
  <c r="C1166" i="11"/>
  <c r="C1172" i="11"/>
  <c r="C1177" i="11"/>
  <c r="C1182" i="11"/>
  <c r="C1188" i="11"/>
  <c r="C1193" i="11"/>
  <c r="C1198" i="11"/>
  <c r="C1204" i="11"/>
  <c r="C1209" i="11"/>
  <c r="C1214" i="11"/>
  <c r="C1220" i="11"/>
  <c r="C1225" i="11"/>
  <c r="C1230" i="11"/>
  <c r="C1236" i="11"/>
  <c r="C1241" i="11"/>
  <c r="C1246" i="11"/>
  <c r="C1252" i="11"/>
  <c r="C1257" i="11"/>
  <c r="C1262" i="11"/>
  <c r="C1268" i="11"/>
  <c r="C1273" i="11"/>
  <c r="C1278" i="11"/>
  <c r="C1284" i="11"/>
  <c r="C1289" i="11"/>
  <c r="C1294" i="11"/>
  <c r="C1300" i="11"/>
  <c r="C1305" i="11"/>
  <c r="C1310" i="11"/>
  <c r="C1316" i="11"/>
  <c r="C1321" i="11"/>
  <c r="C1326" i="11"/>
  <c r="C1332" i="11"/>
  <c r="C1337" i="11"/>
  <c r="C1342" i="11"/>
  <c r="C1348" i="11"/>
  <c r="C1353" i="11"/>
  <c r="C1358" i="11"/>
  <c r="C1364" i="11"/>
  <c r="C1369" i="11"/>
  <c r="C1374" i="11"/>
  <c r="C1380" i="11"/>
  <c r="C1385" i="11"/>
  <c r="C1390" i="11"/>
  <c r="C1396" i="11"/>
  <c r="C1401" i="11"/>
  <c r="C1406" i="11"/>
  <c r="C1412" i="11"/>
  <c r="C1417" i="11"/>
  <c r="C1422" i="11"/>
  <c r="C1428" i="11"/>
  <c r="C1433" i="11"/>
  <c r="C1438" i="11"/>
  <c r="C1444" i="11"/>
  <c r="C1449" i="11"/>
  <c r="C1454" i="11"/>
  <c r="C1460" i="11"/>
  <c r="C1465" i="11"/>
  <c r="C1470" i="11"/>
  <c r="C1476" i="11"/>
  <c r="C1481" i="11"/>
  <c r="C1486" i="11"/>
  <c r="C1492" i="11"/>
  <c r="C1497" i="11"/>
  <c r="C1502" i="11"/>
  <c r="C1508" i="11"/>
  <c r="C1513" i="11"/>
  <c r="C1518" i="11"/>
  <c r="C1524" i="11"/>
  <c r="C1529" i="11"/>
  <c r="C1534" i="11"/>
  <c r="C1540" i="11"/>
  <c r="C1545" i="11"/>
  <c r="C1550" i="11"/>
  <c r="C1556" i="11"/>
  <c r="C1561" i="11"/>
  <c r="C1566" i="11"/>
  <c r="C1572" i="11"/>
  <c r="C1577" i="11"/>
  <c r="C1582" i="11"/>
  <c r="C1588" i="11"/>
  <c r="C1593" i="11"/>
  <c r="C1598" i="11"/>
  <c r="C1604" i="11"/>
  <c r="C1609" i="11"/>
  <c r="C1614" i="11"/>
  <c r="C1620" i="11"/>
  <c r="C1625" i="11"/>
  <c r="C1630" i="11"/>
  <c r="C1636" i="11"/>
  <c r="C1641" i="11"/>
  <c r="C1646" i="11"/>
  <c r="C1652" i="11"/>
  <c r="C1657" i="11"/>
  <c r="C1662" i="11"/>
  <c r="C1668" i="11"/>
  <c r="C1673" i="11"/>
  <c r="C1678" i="11"/>
  <c r="C1684" i="11"/>
  <c r="C1689" i="11"/>
  <c r="C1694" i="11"/>
  <c r="C1700" i="11"/>
  <c r="C1705" i="11"/>
  <c r="C1710" i="11"/>
  <c r="C1716" i="11"/>
  <c r="C1721" i="11"/>
  <c r="C1726" i="11"/>
  <c r="C1732" i="11"/>
  <c r="C1737" i="11"/>
  <c r="C1742" i="11"/>
  <c r="C1748" i="11"/>
  <c r="C1753" i="11"/>
  <c r="C1758" i="11"/>
  <c r="C1764" i="11"/>
  <c r="C1769" i="11"/>
  <c r="C1774" i="11"/>
  <c r="C1780" i="11"/>
  <c r="C1785" i="11"/>
  <c r="C1790" i="11"/>
  <c r="C1796" i="11"/>
  <c r="C1801" i="11"/>
  <c r="C1806" i="11"/>
  <c r="C1812" i="11"/>
  <c r="C1817" i="11"/>
  <c r="C1822" i="11"/>
  <c r="C1828" i="11"/>
  <c r="C1833" i="11"/>
  <c r="C1838" i="11"/>
  <c r="C1844" i="11"/>
  <c r="C1849" i="11"/>
  <c r="C1854" i="11"/>
  <c r="C1860" i="11"/>
  <c r="C1865" i="11"/>
  <c r="C1870" i="11"/>
  <c r="C1876" i="11"/>
  <c r="C1881" i="11"/>
  <c r="C1886" i="11"/>
  <c r="C1892" i="11"/>
  <c r="C1897" i="11"/>
  <c r="C1902" i="11"/>
  <c r="C1908" i="11"/>
  <c r="C1913" i="11"/>
  <c r="C1918" i="11"/>
  <c r="C1924" i="11"/>
  <c r="C1929" i="11"/>
  <c r="C1934" i="11"/>
  <c r="C1940" i="11"/>
  <c r="C1945" i="11"/>
  <c r="C1950" i="11"/>
  <c r="C1956" i="11"/>
  <c r="C1961" i="11"/>
  <c r="C1966" i="11"/>
  <c r="C1972" i="11"/>
  <c r="C1977" i="11"/>
  <c r="C1982" i="11"/>
  <c r="C1988" i="11"/>
  <c r="C1993" i="11"/>
  <c r="C1998" i="11"/>
  <c r="C2004" i="11"/>
  <c r="C2009" i="11"/>
  <c r="C2014" i="11"/>
  <c r="C2020" i="11"/>
  <c r="C2025" i="11"/>
  <c r="C2030" i="11"/>
  <c r="C2036" i="11"/>
  <c r="C2041" i="11"/>
  <c r="C2046" i="11"/>
  <c r="C2052" i="11"/>
  <c r="C2057" i="11"/>
  <c r="C2062" i="11"/>
  <c r="C2068" i="11"/>
  <c r="C2073" i="11"/>
  <c r="C2078" i="11"/>
  <c r="C2084" i="11"/>
  <c r="C2089" i="11"/>
  <c r="C2094" i="11"/>
  <c r="C2100" i="11"/>
  <c r="C2105" i="11"/>
  <c r="C2110" i="11"/>
  <c r="C2116" i="11"/>
  <c r="C2121" i="11"/>
  <c r="C2126" i="11"/>
  <c r="C2132" i="11"/>
  <c r="C2137" i="11"/>
  <c r="C2142" i="11"/>
  <c r="C2148" i="11"/>
  <c r="C2153" i="11"/>
  <c r="C2158" i="11"/>
  <c r="C2164" i="11"/>
  <c r="C2169" i="11"/>
  <c r="C2174" i="11"/>
  <c r="C2180" i="11"/>
  <c r="C2185" i="11"/>
  <c r="C2190" i="11"/>
  <c r="C2196" i="11"/>
  <c r="C2201" i="11"/>
  <c r="C2206" i="11"/>
  <c r="C2212" i="11"/>
  <c r="C2217" i="11"/>
  <c r="C2222" i="11"/>
  <c r="C2228" i="11"/>
  <c r="C2233" i="11"/>
  <c r="C2238" i="11"/>
  <c r="C2244" i="11"/>
  <c r="C2249" i="11"/>
  <c r="C2254" i="11"/>
  <c r="C2260" i="11"/>
  <c r="C2265" i="11"/>
  <c r="C2270" i="11"/>
  <c r="C2276" i="11"/>
  <c r="C2281" i="11"/>
  <c r="C2286" i="11"/>
  <c r="C2292" i="11"/>
  <c r="C2297" i="11"/>
  <c r="C2302" i="11"/>
  <c r="C2308" i="11"/>
  <c r="C2313" i="11"/>
  <c r="C2318" i="11"/>
  <c r="C2324" i="11"/>
  <c r="C2329" i="11"/>
  <c r="C2334" i="11"/>
  <c r="C2340" i="11"/>
  <c r="C2345" i="11"/>
  <c r="C2350" i="11"/>
  <c r="C2356" i="11"/>
  <c r="C2361" i="11"/>
  <c r="C2366" i="11"/>
  <c r="C2372" i="11"/>
  <c r="C2377" i="11"/>
  <c r="C2382" i="11"/>
  <c r="C2388" i="11"/>
  <c r="C2393" i="11"/>
  <c r="C2398" i="11"/>
  <c r="C2404" i="11"/>
  <c r="C2409" i="11"/>
  <c r="C2414" i="11"/>
  <c r="C2420" i="11"/>
  <c r="C2425" i="11"/>
  <c r="C2430" i="11"/>
  <c r="C2436" i="11"/>
  <c r="C2441" i="11"/>
  <c r="C2446" i="11"/>
  <c r="C2452" i="11"/>
  <c r="C2457" i="11"/>
  <c r="C2462" i="11"/>
  <c r="C2468" i="11"/>
  <c r="C2473" i="11"/>
  <c r="C2478" i="11"/>
  <c r="C2484" i="11"/>
  <c r="C2489" i="11"/>
  <c r="C2494" i="11"/>
  <c r="C2500" i="11"/>
  <c r="C2505" i="11"/>
  <c r="C2510" i="11"/>
  <c r="C2516" i="11"/>
  <c r="C2521" i="11"/>
  <c r="C2526" i="11"/>
  <c r="C2532" i="11"/>
  <c r="C2537" i="11"/>
  <c r="C2542" i="11"/>
  <c r="C2548" i="11"/>
  <c r="C2553" i="11"/>
  <c r="C2558" i="11"/>
  <c r="C2564" i="11"/>
  <c r="C2569" i="11"/>
  <c r="C2574" i="11"/>
  <c r="C2580" i="11"/>
  <c r="C2585" i="11"/>
  <c r="C2590" i="11"/>
  <c r="C2596" i="11"/>
  <c r="C2601" i="11"/>
  <c r="C2606" i="11"/>
  <c r="C2612" i="11"/>
  <c r="C2617" i="11"/>
  <c r="C2622" i="11"/>
  <c r="C2628" i="11"/>
  <c r="C2633" i="11"/>
  <c r="C2638" i="11"/>
  <c r="C2644" i="11"/>
  <c r="C2649" i="11"/>
  <c r="C2654" i="11"/>
  <c r="C2660" i="11"/>
  <c r="C2665" i="11"/>
  <c r="C2670" i="11"/>
  <c r="C2676" i="11"/>
  <c r="C2681" i="11"/>
  <c r="C2686" i="11"/>
  <c r="C2692" i="11"/>
  <c r="C2697" i="11"/>
  <c r="C2702" i="11"/>
  <c r="C2708" i="11"/>
  <c r="C2713" i="11"/>
  <c r="C2718" i="11"/>
  <c r="C2724" i="11"/>
  <c r="C2729" i="11"/>
  <c r="C2734" i="11"/>
  <c r="C2740" i="11"/>
  <c r="C2745" i="11"/>
  <c r="C2750" i="11"/>
  <c r="C2756" i="11"/>
  <c r="C2761" i="11"/>
  <c r="C2766" i="11"/>
  <c r="C2772" i="11"/>
  <c r="C2777" i="11"/>
  <c r="C2782" i="11"/>
  <c r="C2788" i="11"/>
  <c r="C2793" i="11"/>
  <c r="C2798" i="11"/>
  <c r="C2804" i="11"/>
  <c r="C2809" i="11"/>
  <c r="C2814" i="11"/>
  <c r="C2820" i="11"/>
  <c r="C2825" i="11"/>
  <c r="C2830" i="11"/>
  <c r="C2836" i="11"/>
  <c r="C2841" i="11"/>
  <c r="C2846" i="11"/>
  <c r="C2852" i="11"/>
  <c r="C2857" i="11"/>
  <c r="C2862" i="11"/>
  <c r="C2868" i="11"/>
  <c r="C2873" i="11"/>
  <c r="C2878" i="11"/>
  <c r="C2884" i="11"/>
  <c r="C2889" i="11"/>
  <c r="C2894" i="11"/>
  <c r="C2900" i="11"/>
  <c r="C2905" i="11"/>
  <c r="C2910" i="11"/>
  <c r="C2916" i="11"/>
  <c r="C2921" i="11"/>
  <c r="C2926" i="11"/>
  <c r="C2932" i="11"/>
  <c r="C2937" i="11"/>
  <c r="C2942" i="11"/>
  <c r="C2948" i="11"/>
  <c r="C2953" i="11"/>
  <c r="C2958" i="11"/>
  <c r="C2964" i="11"/>
  <c r="C2969" i="11"/>
  <c r="C2974" i="11"/>
  <c r="C2980" i="11"/>
  <c r="C2985" i="11"/>
  <c r="C2990" i="11"/>
  <c r="C2996" i="11"/>
  <c r="C3001" i="11"/>
  <c r="C3006" i="11"/>
  <c r="C3012" i="11"/>
  <c r="C3017" i="11"/>
  <c r="C3022" i="11"/>
  <c r="C3028" i="11"/>
  <c r="C3033" i="11"/>
  <c r="C3038" i="11"/>
  <c r="C3044" i="11"/>
  <c r="C3049" i="11"/>
  <c r="C3054" i="11"/>
  <c r="C3060" i="11"/>
  <c r="C3065" i="11"/>
  <c r="C3070" i="11"/>
  <c r="C3076" i="11"/>
  <c r="C3081" i="11"/>
  <c r="C3086" i="11"/>
  <c r="C3092" i="11"/>
  <c r="C3097" i="11"/>
  <c r="C3102" i="11"/>
  <c r="C3108" i="11"/>
  <c r="C3113" i="11"/>
  <c r="C3118" i="11"/>
  <c r="C3124" i="11"/>
  <c r="C3129" i="11"/>
  <c r="C3134" i="11"/>
  <c r="C3140" i="11"/>
  <c r="C3145" i="11"/>
  <c r="C3150" i="11"/>
  <c r="C3156" i="11"/>
  <c r="C3161" i="11"/>
  <c r="C3166" i="11"/>
  <c r="C3172" i="11"/>
  <c r="C3177" i="11"/>
  <c r="C3182" i="11"/>
  <c r="C3188" i="11"/>
  <c r="C3193" i="11"/>
  <c r="C3198" i="11"/>
  <c r="C3204" i="11"/>
  <c r="C3209" i="11"/>
  <c r="C3214" i="11"/>
  <c r="C3220" i="11"/>
  <c r="C3225" i="11"/>
  <c r="C3230" i="11"/>
  <c r="C3236" i="11"/>
  <c r="C3241" i="11"/>
  <c r="C3246" i="11"/>
  <c r="C3252" i="11"/>
  <c r="C3257" i="11"/>
  <c r="C3262" i="11"/>
  <c r="C3268" i="11"/>
  <c r="C3273" i="11"/>
  <c r="C3278" i="11"/>
  <c r="C3284" i="11"/>
  <c r="C3289" i="11"/>
  <c r="C3294" i="11"/>
  <c r="C3300" i="11"/>
  <c r="C3305" i="11"/>
  <c r="C3310" i="11"/>
  <c r="C3316" i="11"/>
  <c r="C3321" i="11"/>
  <c r="C3326" i="11"/>
  <c r="C3332" i="11"/>
  <c r="C3337" i="11"/>
  <c r="C3342" i="11"/>
  <c r="C3348" i="11"/>
  <c r="C3353" i="11"/>
  <c r="C3358" i="11"/>
  <c r="C3364" i="11"/>
  <c r="C3369" i="11"/>
  <c r="C3374" i="11"/>
  <c r="C3380" i="11"/>
  <c r="C3385" i="11"/>
  <c r="C3390" i="11"/>
  <c r="C3396" i="11"/>
  <c r="C3401" i="11"/>
  <c r="C3406" i="11"/>
  <c r="C3412" i="11"/>
  <c r="C3417" i="11"/>
  <c r="C3422" i="11"/>
  <c r="C3428" i="11"/>
  <c r="C3433" i="11"/>
  <c r="C3438" i="11"/>
  <c r="C3444" i="11"/>
  <c r="C3449" i="11"/>
  <c r="C3454" i="11"/>
  <c r="C3460" i="11"/>
  <c r="C3465" i="11"/>
  <c r="C3470" i="11"/>
  <c r="C3476" i="11"/>
  <c r="C3481" i="11"/>
  <c r="C3486" i="11"/>
  <c r="C3492" i="11"/>
  <c r="C3497" i="11"/>
  <c r="C17" i="11"/>
  <c r="C41" i="11"/>
  <c r="C61" i="11"/>
  <c r="C81" i="11"/>
  <c r="C105" i="11"/>
  <c r="C125" i="11"/>
  <c r="C145" i="11"/>
  <c r="C169" i="11"/>
  <c r="C181" i="11"/>
  <c r="C191" i="11"/>
  <c r="C203" i="11"/>
  <c r="C213" i="11"/>
  <c r="C223" i="11"/>
  <c r="C235" i="11"/>
  <c r="C245" i="11"/>
  <c r="C255" i="11"/>
  <c r="C267" i="11"/>
  <c r="C277" i="11"/>
  <c r="C287" i="11"/>
  <c r="C299" i="11"/>
  <c r="C309" i="11"/>
  <c r="C319" i="11"/>
  <c r="C331" i="11"/>
  <c r="C341" i="11"/>
  <c r="C346" i="11"/>
  <c r="C352" i="11"/>
  <c r="C357" i="11"/>
  <c r="C362" i="11"/>
  <c r="C368" i="11"/>
  <c r="C373" i="11"/>
  <c r="C378" i="11"/>
  <c r="C384" i="11"/>
  <c r="C389" i="11"/>
  <c r="C394" i="11"/>
  <c r="C400" i="11"/>
  <c r="C405" i="11"/>
  <c r="C410" i="11"/>
  <c r="C416" i="11"/>
  <c r="C421" i="11"/>
  <c r="C426" i="11"/>
  <c r="C432" i="11"/>
  <c r="C437" i="11"/>
  <c r="C442" i="11"/>
  <c r="C448" i="11"/>
  <c r="C453" i="11"/>
  <c r="C458" i="11"/>
  <c r="C464" i="11"/>
  <c r="C469" i="11"/>
  <c r="C474" i="11"/>
  <c r="C480" i="11"/>
  <c r="C485" i="11"/>
  <c r="C490" i="11"/>
  <c r="C496" i="11"/>
  <c r="C501" i="11"/>
  <c r="C506" i="11"/>
  <c r="C512" i="11"/>
  <c r="C517" i="11"/>
  <c r="C522" i="11"/>
  <c r="C528" i="11"/>
  <c r="C533" i="11"/>
  <c r="C538" i="11"/>
  <c r="C544" i="11"/>
  <c r="C549" i="11"/>
  <c r="C554" i="11"/>
  <c r="C560" i="11"/>
  <c r="C565" i="11"/>
  <c r="C570" i="11"/>
  <c r="C576" i="11"/>
  <c r="C581" i="11"/>
  <c r="C586" i="11"/>
  <c r="C592" i="11"/>
  <c r="C597" i="11"/>
  <c r="C602" i="11"/>
  <c r="C608" i="11"/>
  <c r="C613" i="11"/>
  <c r="C618" i="11"/>
  <c r="C624" i="11"/>
  <c r="C629" i="11"/>
  <c r="C634" i="11"/>
  <c r="C640" i="11"/>
  <c r="C645" i="11"/>
  <c r="C650" i="11"/>
  <c r="C656" i="11"/>
  <c r="C661" i="11"/>
  <c r="C666" i="11"/>
  <c r="C672" i="11"/>
  <c r="C677" i="11"/>
  <c r="C682" i="11"/>
  <c r="C688" i="11"/>
  <c r="C693" i="11"/>
  <c r="C698" i="11"/>
  <c r="C704" i="11"/>
  <c r="C709" i="11"/>
  <c r="C714" i="11"/>
  <c r="C720" i="11"/>
  <c r="C725" i="11"/>
  <c r="C730" i="11"/>
  <c r="C736" i="11"/>
  <c r="C741" i="11"/>
  <c r="C746" i="11"/>
  <c r="C752" i="11"/>
  <c r="C757" i="11"/>
  <c r="C762" i="11"/>
  <c r="C768" i="11"/>
  <c r="C773" i="11"/>
  <c r="C778" i="11"/>
  <c r="C784" i="11"/>
  <c r="C789" i="11"/>
  <c r="C794" i="11"/>
  <c r="C800" i="11"/>
  <c r="C805" i="11"/>
  <c r="C810" i="11"/>
  <c r="C816" i="11"/>
  <c r="C821" i="11"/>
  <c r="C826" i="11"/>
  <c r="C832" i="11"/>
  <c r="C837" i="11"/>
  <c r="C842" i="11"/>
  <c r="C848" i="11"/>
  <c r="C853" i="11"/>
  <c r="C858" i="11"/>
  <c r="C864" i="11"/>
  <c r="C869" i="11"/>
  <c r="C874" i="11"/>
  <c r="C880" i="11"/>
  <c r="C885" i="11"/>
  <c r="C890" i="11"/>
  <c r="C896" i="11"/>
  <c r="C901" i="11"/>
  <c r="C906" i="11"/>
  <c r="C912" i="11"/>
  <c r="C917" i="11"/>
  <c r="C922" i="11"/>
  <c r="C928" i="11"/>
  <c r="C933" i="11"/>
  <c r="C938" i="11"/>
  <c r="C944" i="11"/>
  <c r="C949" i="11"/>
  <c r="C954" i="11"/>
  <c r="C960" i="11"/>
  <c r="C965" i="11"/>
  <c r="C970" i="11"/>
  <c r="C976" i="11"/>
  <c r="C981" i="11"/>
  <c r="C986" i="11"/>
  <c r="C992" i="11"/>
  <c r="C997" i="11"/>
  <c r="C1002" i="11"/>
  <c r="C1008" i="11"/>
  <c r="C1013" i="11"/>
  <c r="C1018" i="11"/>
  <c r="C1024" i="11"/>
  <c r="C1029" i="11"/>
  <c r="C1034" i="11"/>
  <c r="C1040" i="11"/>
  <c r="C1045" i="11"/>
  <c r="C1050" i="11"/>
  <c r="C1056" i="11"/>
  <c r="C1061" i="11"/>
  <c r="C1066" i="11"/>
  <c r="C1072" i="11"/>
  <c r="C1077" i="11"/>
  <c r="C1082" i="11"/>
  <c r="C1088" i="11"/>
  <c r="C1093" i="11"/>
  <c r="C1098" i="11"/>
  <c r="C1104" i="11"/>
  <c r="C1109" i="11"/>
  <c r="C1114" i="11"/>
  <c r="C1120" i="11"/>
  <c r="C1125" i="11"/>
  <c r="C1130" i="11"/>
  <c r="C1136" i="11"/>
  <c r="C1141" i="11"/>
  <c r="C1146" i="11"/>
  <c r="C1152" i="11"/>
  <c r="C1157" i="11"/>
  <c r="C1162" i="11"/>
  <c r="C1168" i="11"/>
  <c r="C1173" i="11"/>
  <c r="C1178" i="11"/>
  <c r="C1184" i="11"/>
  <c r="C1189" i="11"/>
  <c r="C1194" i="11"/>
  <c r="C1200" i="11"/>
  <c r="C1205" i="11"/>
  <c r="C1210" i="11"/>
  <c r="C1216" i="11"/>
  <c r="C1221" i="11"/>
  <c r="C1226" i="11"/>
  <c r="C1232" i="11"/>
  <c r="C1237" i="11"/>
  <c r="C1242" i="11"/>
  <c r="C1248" i="11"/>
  <c r="C1253" i="11"/>
  <c r="C1258" i="11"/>
  <c r="C1264" i="11"/>
  <c r="C1269" i="11"/>
  <c r="C1274" i="11"/>
  <c r="C1280" i="11"/>
  <c r="C1285" i="11"/>
  <c r="C1290" i="11"/>
  <c r="C1296" i="11"/>
  <c r="C1301" i="11"/>
  <c r="C1306" i="11"/>
  <c r="C1312" i="11"/>
  <c r="C1317" i="11"/>
  <c r="C1322" i="11"/>
  <c r="C1328" i="11"/>
  <c r="C1333" i="11"/>
  <c r="C1338" i="11"/>
  <c r="C1344" i="11"/>
  <c r="C1349" i="11"/>
  <c r="C1354" i="11"/>
  <c r="C1360" i="11"/>
  <c r="C1365" i="11"/>
  <c r="C1370" i="11"/>
  <c r="C1376" i="11"/>
  <c r="C1381" i="11"/>
  <c r="C1386" i="11"/>
  <c r="C1392" i="11"/>
  <c r="C1397" i="11"/>
  <c r="C1402" i="11"/>
  <c r="C1408" i="11"/>
  <c r="C1413" i="11"/>
  <c r="C1418" i="11"/>
  <c r="C1424" i="11"/>
  <c r="C1429" i="11"/>
  <c r="C1434" i="11"/>
  <c r="C1440" i="11"/>
  <c r="C1445" i="11"/>
  <c r="C1450" i="11"/>
  <c r="C1456" i="11"/>
  <c r="C1461" i="11"/>
  <c r="C1466" i="11"/>
  <c r="C1472" i="11"/>
  <c r="C1477" i="11"/>
  <c r="C1482" i="11"/>
  <c r="C1488" i="11"/>
  <c r="C1493" i="11"/>
  <c r="C1498" i="11"/>
  <c r="C1504" i="11"/>
  <c r="C1509" i="11"/>
  <c r="C1514" i="11"/>
  <c r="C1520" i="11"/>
  <c r="C1525" i="11"/>
  <c r="C1530" i="11"/>
  <c r="C1536" i="11"/>
  <c r="C1541" i="11"/>
  <c r="C1546" i="11"/>
  <c r="C1552" i="11"/>
  <c r="C1557" i="11"/>
  <c r="C1562" i="11"/>
  <c r="C1568" i="11"/>
  <c r="C1573" i="11"/>
  <c r="C1578" i="11"/>
  <c r="C1584" i="11"/>
  <c r="C1589" i="11"/>
  <c r="C1594" i="11"/>
  <c r="C1600" i="11"/>
  <c r="C1605" i="11"/>
  <c r="C1610" i="11"/>
  <c r="C1616" i="11"/>
  <c r="C1621" i="11"/>
  <c r="C1626" i="11"/>
  <c r="C1632" i="11"/>
  <c r="C1637" i="11"/>
  <c r="C1642" i="11"/>
  <c r="C1648" i="11"/>
  <c r="C1653" i="11"/>
  <c r="C1658" i="11"/>
  <c r="C1664" i="11"/>
  <c r="C1669" i="11"/>
  <c r="C1674" i="11"/>
  <c r="C1680" i="11"/>
  <c r="C1685" i="11"/>
  <c r="C1690" i="11"/>
  <c r="C1696" i="11"/>
  <c r="C1701" i="11"/>
  <c r="C1706" i="11"/>
  <c r="C1712" i="11"/>
  <c r="C1717" i="11"/>
  <c r="C1722" i="11"/>
  <c r="C1728" i="11"/>
  <c r="C1733" i="11"/>
  <c r="C1738" i="11"/>
  <c r="C1744" i="11"/>
  <c r="C1749" i="11"/>
  <c r="C1754" i="11"/>
  <c r="C1760" i="11"/>
  <c r="C1765" i="11"/>
  <c r="C1770" i="11"/>
  <c r="C1776" i="11"/>
  <c r="C1781" i="11"/>
  <c r="C1786" i="11"/>
  <c r="C1792" i="11"/>
  <c r="C1797" i="11"/>
  <c r="C1802" i="11"/>
  <c r="C1808" i="11"/>
  <c r="C1813" i="11"/>
  <c r="C1818" i="11"/>
  <c r="C1824" i="11"/>
  <c r="C1829" i="11"/>
  <c r="C1834" i="11"/>
  <c r="C1840" i="11"/>
  <c r="C1845" i="11"/>
  <c r="C1850" i="11"/>
  <c r="C1856" i="11"/>
  <c r="C1861" i="11"/>
  <c r="C1866" i="11"/>
  <c r="C1872" i="11"/>
  <c r="C1877" i="11"/>
  <c r="C1882" i="11"/>
  <c r="C1888" i="11"/>
  <c r="C1893" i="11"/>
  <c r="C1898" i="11"/>
  <c r="C1904" i="11"/>
  <c r="C1909" i="11"/>
  <c r="C1914" i="11"/>
  <c r="C1920" i="11"/>
  <c r="C1925" i="11"/>
  <c r="C1930" i="11"/>
  <c r="C1936" i="11"/>
  <c r="C1941" i="11"/>
  <c r="C1946" i="11"/>
  <c r="C1952" i="11"/>
  <c r="C1957" i="11"/>
  <c r="C1962" i="11"/>
  <c r="C1968" i="11"/>
  <c r="C1973" i="11"/>
  <c r="C1978" i="11"/>
  <c r="C1984" i="11"/>
  <c r="C1989" i="11"/>
  <c r="C1994" i="11"/>
  <c r="C2000" i="11"/>
  <c r="C2005" i="11"/>
  <c r="C2010" i="11"/>
  <c r="C2016" i="11"/>
  <c r="C2021" i="11"/>
  <c r="C2026" i="11"/>
  <c r="C2032" i="11"/>
  <c r="C2037" i="11"/>
  <c r="C2042" i="11"/>
  <c r="C2048" i="11"/>
  <c r="C2053" i="11"/>
  <c r="C2058" i="11"/>
  <c r="C2064" i="11"/>
  <c r="C2069" i="11"/>
  <c r="C2074" i="11"/>
  <c r="C2080" i="11"/>
  <c r="C2085" i="11"/>
  <c r="C2090" i="11"/>
  <c r="C2096" i="11"/>
  <c r="C2101" i="11"/>
  <c r="C2106" i="11"/>
  <c r="C2112" i="11"/>
  <c r="C2117" i="11"/>
  <c r="C2122" i="11"/>
  <c r="C2128" i="11"/>
  <c r="C2133" i="11"/>
  <c r="C2138" i="11"/>
  <c r="C2144" i="11"/>
  <c r="C2149" i="11"/>
  <c r="C2154" i="11"/>
  <c r="C2160" i="11"/>
  <c r="C2165" i="11"/>
  <c r="C2170" i="11"/>
  <c r="C2176" i="11"/>
  <c r="C2181" i="11"/>
  <c r="C2186" i="11"/>
  <c r="C2192" i="11"/>
  <c r="C2197" i="11"/>
  <c r="C2202" i="11"/>
  <c r="C2208" i="11"/>
  <c r="C2213" i="11"/>
  <c r="C2218" i="11"/>
  <c r="C2224" i="11"/>
  <c r="C2229" i="11"/>
  <c r="C2234" i="11"/>
  <c r="C2240" i="11"/>
  <c r="C2245" i="11"/>
  <c r="C2250" i="11"/>
  <c r="C2256" i="11"/>
  <c r="C2261" i="11"/>
  <c r="C2266" i="11"/>
  <c r="C2272" i="11"/>
  <c r="C2277" i="11"/>
  <c r="C2282" i="11"/>
  <c r="C2288" i="11"/>
  <c r="C2293" i="11"/>
  <c r="C2298" i="11"/>
  <c r="C2304" i="11"/>
  <c r="C2309" i="11"/>
  <c r="C2314" i="11"/>
  <c r="C2320" i="11"/>
  <c r="C2325" i="11"/>
  <c r="C2330" i="11"/>
  <c r="C2336" i="11"/>
  <c r="C2341" i="11"/>
  <c r="C2346" i="11"/>
  <c r="C2352" i="11"/>
  <c r="C2357" i="11"/>
  <c r="C2362" i="11"/>
  <c r="C2368" i="11"/>
  <c r="C2373" i="11"/>
  <c r="C2378" i="11"/>
  <c r="C2384" i="11"/>
  <c r="C2389" i="11"/>
  <c r="C2394" i="11"/>
  <c r="C2400" i="11"/>
  <c r="C2405" i="11"/>
  <c r="C2410" i="11"/>
  <c r="C2416" i="11"/>
  <c r="C2421" i="11"/>
  <c r="C2426" i="11"/>
  <c r="C2432" i="11"/>
  <c r="C2437" i="11"/>
  <c r="C2442" i="11"/>
  <c r="C2448" i="11"/>
  <c r="C2453" i="11"/>
  <c r="C2458" i="11"/>
  <c r="C2464" i="11"/>
  <c r="C2469" i="11"/>
  <c r="C2474" i="11"/>
  <c r="C2480" i="11"/>
  <c r="C2485" i="11"/>
  <c r="C2490" i="11"/>
  <c r="C2496" i="11"/>
  <c r="C2501" i="11"/>
  <c r="C2506" i="11"/>
  <c r="C2512" i="11"/>
  <c r="C2517" i="11"/>
  <c r="C2522" i="11"/>
  <c r="C2528" i="11"/>
  <c r="C2533" i="11"/>
  <c r="C2538" i="11"/>
  <c r="C2544" i="11"/>
  <c r="C2549" i="11"/>
  <c r="C2554" i="11"/>
  <c r="C2560" i="11"/>
  <c r="C2565" i="11"/>
  <c r="C2570" i="11"/>
  <c r="C2576" i="11"/>
  <c r="C2581" i="11"/>
  <c r="C2586" i="11"/>
  <c r="C2592" i="11"/>
  <c r="C2597" i="11"/>
  <c r="C2602" i="11"/>
  <c r="C2608" i="11"/>
  <c r="C2613" i="11"/>
  <c r="C2618" i="11"/>
  <c r="C2624" i="11"/>
  <c r="C2629" i="11"/>
  <c r="C2634" i="11"/>
  <c r="C2640" i="11"/>
  <c r="C2645" i="11"/>
  <c r="C2650" i="11"/>
  <c r="C2656" i="11"/>
  <c r="C2661" i="11"/>
  <c r="C2666" i="11"/>
  <c r="C2672" i="11"/>
  <c r="C2677" i="11"/>
  <c r="C2682" i="11"/>
  <c r="C2688" i="11"/>
  <c r="C2693" i="11"/>
  <c r="C2698" i="11"/>
  <c r="C2704" i="11"/>
  <c r="C2709" i="11"/>
  <c r="C2714" i="11"/>
  <c r="C2720" i="11"/>
  <c r="C2725" i="11"/>
  <c r="C2730" i="11"/>
  <c r="C2736" i="11"/>
  <c r="C2741" i="11"/>
  <c r="C2746" i="11"/>
  <c r="C2752" i="11"/>
  <c r="C2757" i="11"/>
  <c r="C2762" i="11"/>
  <c r="C2768" i="11"/>
  <c r="C2773" i="11"/>
  <c r="C2778" i="11"/>
  <c r="C2784" i="11"/>
  <c r="C2789" i="11"/>
  <c r="C2794" i="11"/>
  <c r="C2800" i="11"/>
  <c r="C2805" i="11"/>
  <c r="C2810" i="11"/>
  <c r="C2816" i="11"/>
  <c r="C2821" i="11"/>
  <c r="C2826" i="11"/>
  <c r="C2832" i="11"/>
  <c r="C2837" i="11"/>
  <c r="C2842" i="11"/>
  <c r="C2848" i="11"/>
  <c r="C2853" i="11"/>
  <c r="C2858" i="11"/>
  <c r="C2864" i="11"/>
  <c r="C2869" i="11"/>
  <c r="C2874" i="11"/>
  <c r="C2880" i="11"/>
  <c r="C2885" i="11"/>
  <c r="C2890" i="11"/>
  <c r="C2896" i="11"/>
  <c r="C2901" i="11"/>
  <c r="C2906" i="11"/>
  <c r="C2912" i="11"/>
  <c r="C2917" i="11"/>
  <c r="C2922" i="11"/>
  <c r="C2928" i="11"/>
  <c r="C2933" i="11"/>
  <c r="C2938" i="11"/>
  <c r="C2944" i="11"/>
  <c r="C2949" i="11"/>
  <c r="C2954" i="11"/>
  <c r="C2960" i="11"/>
  <c r="C2965" i="11"/>
  <c r="C2970" i="11"/>
  <c r="C2976" i="11"/>
  <c r="C2981" i="11"/>
  <c r="C2986" i="11"/>
  <c r="C2992" i="11"/>
  <c r="C2997" i="11"/>
  <c r="C3002" i="11"/>
  <c r="C3008" i="11"/>
  <c r="C3013" i="11"/>
  <c r="C3018" i="11"/>
  <c r="C3024" i="11"/>
  <c r="C3029" i="11"/>
  <c r="C3034" i="11"/>
  <c r="C3040" i="11"/>
  <c r="C3045" i="11"/>
  <c r="C3050" i="11"/>
  <c r="C3056" i="11"/>
  <c r="C3061" i="11"/>
  <c r="C3066" i="11"/>
  <c r="C3072" i="11"/>
  <c r="C3077" i="11"/>
  <c r="C3082" i="11"/>
  <c r="C3088" i="11"/>
  <c r="C3093" i="11"/>
  <c r="C3098" i="11"/>
  <c r="C3104" i="11"/>
  <c r="C3109" i="11"/>
  <c r="C3114" i="11"/>
  <c r="C3120" i="11"/>
  <c r="C3125" i="11"/>
  <c r="C3130" i="11"/>
  <c r="C3136" i="11"/>
  <c r="C3141" i="11"/>
  <c r="C3146" i="11"/>
  <c r="C3152" i="11"/>
  <c r="C3157" i="11"/>
  <c r="C3162" i="11"/>
  <c r="C3168" i="11"/>
  <c r="C3173" i="11"/>
  <c r="C3178" i="11"/>
  <c r="C3184" i="11"/>
  <c r="C3189" i="11"/>
  <c r="C3194" i="11"/>
  <c r="C3200" i="11"/>
  <c r="C3205" i="11"/>
  <c r="C3210" i="11"/>
  <c r="C3216" i="11"/>
  <c r="C3221" i="11"/>
  <c r="C3226" i="11"/>
  <c r="C3232" i="11"/>
  <c r="C3237" i="11"/>
  <c r="C3242" i="11"/>
  <c r="C3248" i="11"/>
  <c r="C3253" i="11"/>
  <c r="C3258" i="11"/>
  <c r="C3264" i="11"/>
  <c r="C3269" i="11"/>
  <c r="C3274" i="11"/>
  <c r="C3280" i="11"/>
  <c r="C3285" i="11"/>
  <c r="C3290" i="11"/>
  <c r="C3296" i="11"/>
  <c r="C3301" i="11"/>
  <c r="C3306" i="11"/>
  <c r="C3312" i="11"/>
  <c r="C3317" i="11"/>
  <c r="C3322" i="11"/>
  <c r="C3328" i="11"/>
  <c r="C3333" i="11"/>
  <c r="C3338" i="11"/>
  <c r="C3344" i="11"/>
  <c r="C3349" i="11"/>
  <c r="C3354" i="11"/>
  <c r="C3360" i="11"/>
  <c r="C3365" i="11"/>
  <c r="C3370" i="11"/>
  <c r="C3376" i="11"/>
  <c r="C3381" i="11"/>
  <c r="C3386" i="11"/>
  <c r="C3392" i="11"/>
  <c r="C3397" i="11"/>
  <c r="C3402" i="11"/>
  <c r="C3408" i="11"/>
  <c r="C3413" i="11"/>
  <c r="C3418" i="11"/>
  <c r="C3424" i="11"/>
  <c r="C3429" i="11"/>
  <c r="C3434" i="11"/>
  <c r="C3440" i="11"/>
  <c r="C3445" i="11"/>
  <c r="C3450" i="11"/>
  <c r="C3456" i="11"/>
  <c r="C3461" i="11"/>
  <c r="C3466" i="11"/>
  <c r="C3472" i="11"/>
  <c r="C3477" i="11"/>
  <c r="C3482" i="11"/>
  <c r="C3488" i="11"/>
  <c r="C3493" i="11"/>
  <c r="C3498" i="11"/>
  <c r="B3501" i="11"/>
  <c r="B3497" i="11"/>
  <c r="B3493" i="11"/>
  <c r="B3489" i="11"/>
  <c r="B3485" i="11"/>
  <c r="B3481" i="11"/>
  <c r="B3477" i="11"/>
  <c r="B3473" i="11"/>
  <c r="B3469" i="11"/>
  <c r="B3465" i="11"/>
  <c r="B3461" i="11"/>
  <c r="B3457" i="11"/>
  <c r="B3453" i="11"/>
  <c r="B3449" i="11"/>
  <c r="B3445" i="11"/>
  <c r="B3441" i="11"/>
  <c r="B3437" i="11"/>
  <c r="B3433" i="11"/>
  <c r="B3429" i="11"/>
  <c r="B3425" i="11"/>
  <c r="B3421" i="11"/>
  <c r="B3417" i="11"/>
  <c r="B3413" i="11"/>
  <c r="B3409" i="11"/>
  <c r="B3405" i="11"/>
  <c r="B3401" i="11"/>
  <c r="B3397" i="11"/>
  <c r="B3393" i="11"/>
  <c r="B3389" i="11"/>
  <c r="B3385" i="11"/>
  <c r="B3381" i="11"/>
  <c r="B3377" i="11"/>
  <c r="B3373" i="11"/>
  <c r="B3369" i="11"/>
  <c r="B3365" i="11"/>
  <c r="B3361" i="11"/>
  <c r="B3357" i="11"/>
  <c r="B3353" i="11"/>
  <c r="B3349" i="11"/>
  <c r="B3345" i="11"/>
  <c r="B3341" i="11"/>
  <c r="B3337" i="11"/>
  <c r="B3333" i="11"/>
  <c r="B3329" i="11"/>
  <c r="B3325" i="11"/>
  <c r="B3321" i="11"/>
  <c r="B3317" i="11"/>
  <c r="B3313" i="11"/>
  <c r="B3309" i="11"/>
  <c r="B3305" i="11"/>
  <c r="B3301" i="11"/>
  <c r="B3297" i="11"/>
  <c r="B3293" i="11"/>
  <c r="B3289" i="11"/>
  <c r="B3285" i="11"/>
  <c r="B3281" i="11"/>
  <c r="B3277" i="11"/>
  <c r="B3273" i="11"/>
  <c r="B3269" i="11"/>
  <c r="B3265" i="11"/>
  <c r="B3261" i="11"/>
  <c r="B3257" i="11"/>
  <c r="B3253" i="11"/>
  <c r="B3249" i="11"/>
  <c r="B3245" i="11"/>
  <c r="B3241" i="11"/>
  <c r="B3237" i="11"/>
  <c r="B3233" i="11"/>
  <c r="B3229" i="11"/>
  <c r="B3225" i="11"/>
  <c r="B3221" i="11"/>
  <c r="B3217" i="11"/>
  <c r="B3213" i="11"/>
  <c r="B3209" i="11"/>
  <c r="B3205" i="11"/>
  <c r="B3201" i="11"/>
  <c r="B3197" i="11"/>
  <c r="B3193" i="11"/>
  <c r="B3189" i="11"/>
  <c r="B3185" i="11"/>
  <c r="B3181" i="11"/>
  <c r="B3177" i="11"/>
  <c r="B3173" i="11"/>
  <c r="B3169" i="11"/>
  <c r="B3165" i="11"/>
  <c r="B3161" i="11"/>
  <c r="B3157" i="11"/>
  <c r="B3153" i="11"/>
  <c r="B3149" i="11"/>
  <c r="B3145" i="11"/>
  <c r="B3141" i="11"/>
  <c r="B3137" i="11"/>
  <c r="B3133" i="11"/>
  <c r="B3129" i="11"/>
  <c r="B3125" i="11"/>
  <c r="B3121" i="11"/>
  <c r="B3117" i="11"/>
  <c r="B3113" i="11"/>
  <c r="B3109" i="11"/>
  <c r="B3105" i="11"/>
  <c r="B3101" i="11"/>
  <c r="B3097" i="11"/>
  <c r="B3093" i="11"/>
  <c r="B3089" i="11"/>
  <c r="B3085" i="11"/>
  <c r="B3081" i="11"/>
  <c r="B3077" i="11"/>
  <c r="B3073" i="11"/>
  <c r="B3069" i="11"/>
  <c r="B3065" i="11"/>
  <c r="B3061" i="11"/>
  <c r="B3057" i="11"/>
  <c r="B3053" i="11"/>
  <c r="B3049" i="11"/>
  <c r="B3045" i="11"/>
  <c r="B3041" i="11"/>
  <c r="B3037" i="11"/>
  <c r="B3033" i="11"/>
  <c r="B3029" i="11"/>
  <c r="B3025" i="11"/>
  <c r="B3021" i="11"/>
  <c r="B3017" i="11"/>
  <c r="B3013" i="11"/>
  <c r="B3009" i="11"/>
  <c r="B3005" i="11"/>
  <c r="B3001" i="11"/>
  <c r="B2997" i="11"/>
  <c r="B2993" i="11"/>
  <c r="B2989" i="11"/>
  <c r="B2985" i="11"/>
  <c r="B2981" i="11"/>
  <c r="B2977" i="11"/>
  <c r="B2973" i="11"/>
  <c r="B2969" i="11"/>
  <c r="B2965" i="11"/>
  <c r="B2961" i="11"/>
  <c r="B2957" i="11"/>
  <c r="B2953" i="11"/>
  <c r="B2949" i="11"/>
  <c r="B2945" i="11"/>
  <c r="B2941" i="11"/>
  <c r="B2937" i="11"/>
  <c r="B2933" i="11"/>
  <c r="B2929" i="11"/>
  <c r="B2925" i="11"/>
  <c r="B2921" i="11"/>
  <c r="B2917" i="11"/>
  <c r="B2913" i="11"/>
  <c r="B2909" i="11"/>
  <c r="B2905" i="11"/>
  <c r="B2901" i="11"/>
  <c r="B2897" i="11"/>
  <c r="B2893" i="11"/>
  <c r="B2889" i="11"/>
  <c r="B2885" i="11"/>
  <c r="B2881" i="11"/>
  <c r="B2877" i="11"/>
  <c r="B2873" i="11"/>
  <c r="B2869" i="11"/>
  <c r="B2865" i="11"/>
  <c r="B2861" i="11"/>
  <c r="B2857" i="11"/>
  <c r="B2853" i="11"/>
  <c r="B2849" i="11"/>
  <c r="B2845" i="11"/>
  <c r="B2841" i="11"/>
  <c r="B2837" i="11"/>
  <c r="B2833" i="11"/>
  <c r="B2829" i="11"/>
  <c r="B2825" i="11"/>
  <c r="B2821" i="11"/>
  <c r="B2817" i="11"/>
  <c r="B2813" i="11"/>
  <c r="B2809" i="11"/>
  <c r="B2805" i="11"/>
  <c r="B2801" i="11"/>
  <c r="B2797" i="11"/>
  <c r="B2793" i="11"/>
  <c r="B2789" i="11"/>
  <c r="B2785" i="11"/>
  <c r="B2781" i="11"/>
  <c r="B2777" i="11"/>
  <c r="B2773" i="11"/>
  <c r="B2769" i="11"/>
  <c r="B2765" i="11"/>
  <c r="B2761" i="11"/>
  <c r="B2757" i="11"/>
  <c r="B2753" i="11"/>
  <c r="B2749" i="11"/>
  <c r="B2745" i="11"/>
  <c r="B2741" i="11"/>
  <c r="B2737" i="11"/>
  <c r="B2733" i="11"/>
  <c r="B2729" i="11"/>
  <c r="B2725" i="11"/>
  <c r="B2721" i="11"/>
  <c r="B2717" i="11"/>
  <c r="B2713" i="11"/>
  <c r="B2709" i="11"/>
  <c r="B2705" i="11"/>
  <c r="B2701" i="11"/>
  <c r="B2697" i="11"/>
  <c r="B2693" i="11"/>
  <c r="B2689" i="11"/>
  <c r="B2685" i="11"/>
  <c r="B2681" i="11"/>
  <c r="B2677" i="11"/>
  <c r="B2673" i="11"/>
  <c r="B2669" i="11"/>
  <c r="B2665" i="11"/>
  <c r="B2661" i="11"/>
  <c r="B2657" i="11"/>
  <c r="B2653" i="11"/>
  <c r="B2649" i="11"/>
  <c r="B2645" i="11"/>
  <c r="B2641" i="11"/>
  <c r="B2637" i="11"/>
  <c r="B2633" i="11"/>
  <c r="B2629" i="11"/>
  <c r="B2625" i="11"/>
  <c r="B2621" i="11"/>
  <c r="B2617" i="11"/>
  <c r="B2613" i="11"/>
  <c r="B2609" i="11"/>
  <c r="B2605" i="11"/>
  <c r="B2601" i="11"/>
  <c r="B2597" i="11"/>
  <c r="B2593" i="11"/>
  <c r="B2589" i="11"/>
  <c r="B2585" i="11"/>
  <c r="B2581" i="11"/>
  <c r="B2577" i="11"/>
  <c r="B2573" i="11"/>
  <c r="B2569" i="11"/>
  <c r="B2565" i="11"/>
  <c r="B2561" i="11"/>
  <c r="B2557" i="11"/>
  <c r="B2553" i="11"/>
  <c r="B2549" i="11"/>
  <c r="B2545" i="11"/>
  <c r="B2541" i="11"/>
  <c r="B2537" i="11"/>
  <c r="B2533" i="11"/>
  <c r="B2529" i="11"/>
  <c r="B2525" i="11"/>
  <c r="B2521" i="11"/>
  <c r="B2517" i="11"/>
  <c r="B2513" i="11"/>
  <c r="B2509" i="11"/>
  <c r="B2505" i="11"/>
  <c r="B2501" i="11"/>
  <c r="B2497" i="11"/>
  <c r="B2493" i="11"/>
  <c r="B2489" i="11"/>
  <c r="B2485" i="11"/>
  <c r="B2481" i="11"/>
  <c r="B2477" i="11"/>
  <c r="B2473" i="11"/>
  <c r="B2469" i="11"/>
  <c r="B2465" i="11"/>
  <c r="B2461" i="11"/>
  <c r="B2457" i="11"/>
  <c r="B2453" i="11"/>
  <c r="B2449" i="11"/>
  <c r="B2445" i="11"/>
  <c r="B2441" i="11"/>
  <c r="B2437" i="11"/>
  <c r="B2433" i="11"/>
  <c r="B2429" i="11"/>
  <c r="B2425" i="11"/>
  <c r="B2421" i="11"/>
  <c r="B2417" i="11"/>
  <c r="B2413" i="11"/>
  <c r="B2409" i="11"/>
  <c r="B2405" i="11"/>
  <c r="B2401" i="11"/>
  <c r="B2397" i="11"/>
  <c r="B2393" i="11"/>
  <c r="B2389" i="11"/>
  <c r="B2385" i="11"/>
  <c r="B2381" i="11"/>
  <c r="B2377" i="11"/>
  <c r="B2373" i="11"/>
  <c r="B2369" i="11"/>
  <c r="B2365" i="11"/>
  <c r="B2361" i="11"/>
  <c r="B2357" i="11"/>
  <c r="B2353" i="11"/>
  <c r="B2349" i="11"/>
  <c r="B2345" i="11"/>
  <c r="B2341" i="11"/>
  <c r="B2337" i="11"/>
  <c r="B2333" i="11"/>
  <c r="B2329" i="11"/>
  <c r="B2325" i="11"/>
  <c r="B2321" i="11"/>
  <c r="B2317" i="11"/>
  <c r="B2313" i="11"/>
  <c r="B2309" i="11"/>
  <c r="B2305" i="11"/>
  <c r="B2301" i="11"/>
  <c r="B2297" i="11"/>
  <c r="B2293" i="11"/>
  <c r="B2289" i="11"/>
  <c r="B2285" i="11"/>
  <c r="B2281" i="11"/>
  <c r="B2277" i="11"/>
  <c r="B2273" i="11"/>
  <c r="B2269" i="11"/>
  <c r="B2265" i="11"/>
  <c r="B2261" i="11"/>
  <c r="B2257" i="11"/>
  <c r="B2253" i="11"/>
  <c r="B2249" i="11"/>
  <c r="B2245" i="11"/>
  <c r="B2241" i="11"/>
  <c r="B2237" i="11"/>
  <c r="B2233" i="11"/>
  <c r="B2229" i="11"/>
  <c r="B2225" i="11"/>
  <c r="B2221" i="11"/>
  <c r="B2217" i="11"/>
  <c r="B2213" i="11"/>
  <c r="B2209" i="11"/>
  <c r="B2205" i="11"/>
  <c r="B2201" i="11"/>
  <c r="B2197" i="11"/>
  <c r="B2193" i="11"/>
  <c r="B2189" i="11"/>
  <c r="B2185" i="11"/>
  <c r="B2181" i="11"/>
  <c r="B2177" i="11"/>
  <c r="B2173" i="11"/>
  <c r="B2169" i="11"/>
  <c r="B2165" i="11"/>
  <c r="B2161" i="11"/>
  <c r="B2157" i="11"/>
  <c r="B2153" i="11"/>
  <c r="B2149" i="11"/>
  <c r="B2145" i="11"/>
  <c r="B2141" i="11"/>
  <c r="B2137" i="11"/>
  <c r="B2133" i="11"/>
  <c r="B2129" i="11"/>
  <c r="B2125" i="11"/>
  <c r="B2121" i="11"/>
  <c r="B2117" i="11"/>
  <c r="B2113" i="11"/>
  <c r="B2109" i="11"/>
  <c r="B2105" i="11"/>
  <c r="B2101" i="11"/>
  <c r="B2097" i="11"/>
  <c r="B2093" i="11"/>
  <c r="B2089" i="11"/>
  <c r="B2085" i="11"/>
  <c r="B2081" i="11"/>
  <c r="B2077" i="11"/>
  <c r="B2073" i="11"/>
  <c r="B2069" i="11"/>
  <c r="B2065" i="11"/>
  <c r="B2061" i="11"/>
  <c r="B2057" i="11"/>
  <c r="B2053" i="11"/>
  <c r="B2049" i="11"/>
  <c r="B2045" i="11"/>
  <c r="B2041" i="11"/>
  <c r="B2037" i="11"/>
  <c r="B2033" i="11"/>
  <c r="B2029" i="11"/>
  <c r="B2025" i="11"/>
  <c r="B2021" i="11"/>
  <c r="B2017" i="11"/>
  <c r="B2013" i="11"/>
  <c r="B2009" i="11"/>
  <c r="B2005" i="11"/>
  <c r="B2001" i="11"/>
  <c r="B1997" i="11"/>
  <c r="B1993" i="11"/>
  <c r="B1989" i="11"/>
  <c r="B1985" i="11"/>
  <c r="B1981" i="11"/>
  <c r="B1977" i="11"/>
  <c r="B1973" i="11"/>
  <c r="B1969" i="11"/>
  <c r="B1965" i="11"/>
  <c r="B1961" i="11"/>
  <c r="B1957" i="11"/>
  <c r="B1953" i="11"/>
  <c r="B1949" i="11"/>
  <c r="B1945" i="11"/>
  <c r="B1941" i="11"/>
  <c r="B1937" i="11"/>
  <c r="B1933" i="11"/>
  <c r="B1929" i="11"/>
  <c r="B1925" i="11"/>
  <c r="B1921" i="11"/>
  <c r="B1917" i="11"/>
  <c r="B1913" i="11"/>
  <c r="B1909" i="11"/>
  <c r="B1905" i="11"/>
  <c r="B1901" i="11"/>
  <c r="B1897" i="11"/>
  <c r="B1893" i="11"/>
  <c r="B1889" i="11"/>
  <c r="B1885" i="11"/>
  <c r="B1881" i="11"/>
  <c r="B1877" i="11"/>
  <c r="B1873" i="11"/>
  <c r="B1869" i="11"/>
  <c r="B1865" i="11"/>
  <c r="B1861" i="11"/>
  <c r="B1857" i="11"/>
  <c r="B1853" i="11"/>
  <c r="B1849" i="11"/>
  <c r="B1845" i="11"/>
  <c r="B1841" i="11"/>
  <c r="B1837" i="11"/>
  <c r="B1833" i="11"/>
  <c r="B1829" i="11"/>
  <c r="B1825" i="11"/>
  <c r="B1821" i="11"/>
  <c r="B1817" i="11"/>
  <c r="B1813" i="11"/>
  <c r="B1809" i="11"/>
  <c r="B1805" i="11"/>
  <c r="B1801" i="11"/>
  <c r="B1797" i="11"/>
  <c r="B1793" i="11"/>
  <c r="B1789" i="11"/>
  <c r="B1785" i="11"/>
  <c r="B1781" i="11"/>
  <c r="B1777" i="11"/>
  <c r="B1773" i="11"/>
  <c r="B1769" i="11"/>
  <c r="B1765" i="11"/>
  <c r="B1761" i="11"/>
  <c r="B1757" i="11"/>
  <c r="B1753" i="11"/>
  <c r="B1749" i="11"/>
  <c r="B1745" i="11"/>
  <c r="B1741" i="11"/>
  <c r="B1737" i="11"/>
  <c r="B1733" i="11"/>
  <c r="B1729" i="11"/>
  <c r="B1725" i="11"/>
  <c r="B1721" i="11"/>
  <c r="B1717" i="11"/>
  <c r="B1713" i="11"/>
  <c r="B1709" i="11"/>
  <c r="B1705" i="11"/>
  <c r="B1701" i="11"/>
  <c r="B1697" i="11"/>
  <c r="B1693" i="11"/>
  <c r="B1689" i="11"/>
  <c r="B1685" i="11"/>
  <c r="B1681" i="11"/>
  <c r="B1677" i="11"/>
  <c r="B1673" i="11"/>
  <c r="B1669" i="11"/>
  <c r="B1665" i="11"/>
  <c r="B1661" i="11"/>
  <c r="B1657" i="11"/>
  <c r="B1653" i="11"/>
  <c r="B1649" i="11"/>
  <c r="B1645" i="11"/>
  <c r="B1641" i="11"/>
  <c r="B1637" i="11"/>
  <c r="B1633" i="11"/>
  <c r="B1629" i="11"/>
  <c r="B1625" i="11"/>
  <c r="B1621" i="11"/>
  <c r="B1617" i="11"/>
  <c r="B1613" i="11"/>
  <c r="B1609" i="11"/>
  <c r="B1605" i="11"/>
  <c r="B1601" i="11"/>
  <c r="B1597" i="11"/>
  <c r="B1593" i="11"/>
  <c r="B1589" i="11"/>
  <c r="B1585" i="11"/>
  <c r="B1581" i="11"/>
  <c r="B1577" i="11"/>
  <c r="B1573" i="11"/>
  <c r="B1569" i="11"/>
  <c r="B1565" i="11"/>
  <c r="B1561" i="11"/>
  <c r="B1557" i="11"/>
  <c r="B1553" i="11"/>
  <c r="B1549" i="11"/>
  <c r="B1545" i="11"/>
  <c r="B1541" i="11"/>
  <c r="B1537" i="11"/>
  <c r="B1533" i="11"/>
  <c r="B1529" i="11"/>
  <c r="B1525" i="11"/>
  <c r="B1521" i="11"/>
  <c r="B1517" i="11"/>
  <c r="B1513" i="11"/>
  <c r="B1509" i="11"/>
  <c r="B1505" i="11"/>
  <c r="B1501" i="11"/>
  <c r="B1497" i="11"/>
  <c r="B1493" i="11"/>
  <c r="B1489" i="11"/>
  <c r="B1485" i="11"/>
  <c r="B1481" i="11"/>
  <c r="B1477" i="11"/>
  <c r="B1473" i="11"/>
  <c r="B1469" i="11"/>
  <c r="B1465" i="11"/>
  <c r="B1461" i="11"/>
  <c r="B1457" i="11"/>
  <c r="B1453" i="11"/>
  <c r="B1449" i="11"/>
  <c r="B1445" i="11"/>
  <c r="B1441" i="11"/>
  <c r="B1437" i="11"/>
  <c r="B1433" i="11"/>
  <c r="B1429" i="11"/>
  <c r="B1425" i="11"/>
  <c r="B1421" i="11"/>
  <c r="B1417" i="11"/>
  <c r="B1413" i="11"/>
  <c r="B1409" i="11"/>
  <c r="B1405" i="11"/>
  <c r="B1401" i="11"/>
  <c r="B1397" i="11"/>
  <c r="B1393" i="11"/>
  <c r="B1389" i="11"/>
  <c r="B1385" i="11"/>
  <c r="B1381" i="11"/>
  <c r="B1377" i="11"/>
  <c r="B1373" i="11"/>
  <c r="B1369" i="11"/>
  <c r="B1365" i="11"/>
  <c r="B1361" i="11"/>
  <c r="B1357" i="11"/>
  <c r="B1353" i="11"/>
  <c r="B1349" i="11"/>
  <c r="B1345" i="11"/>
  <c r="B1341" i="11"/>
  <c r="B1337" i="11"/>
  <c r="B1333" i="11"/>
  <c r="B1329" i="11"/>
  <c r="B1325" i="11"/>
  <c r="B1321" i="11"/>
  <c r="B1317" i="11"/>
  <c r="B1313" i="11"/>
  <c r="B1309" i="11"/>
  <c r="B1305" i="11"/>
  <c r="B1301" i="11"/>
  <c r="B1296" i="11"/>
  <c r="B1291" i="11"/>
  <c r="B1285" i="11"/>
  <c r="B1280" i="11"/>
  <c r="B1275" i="11"/>
  <c r="B1269" i="11"/>
  <c r="B1264" i="11"/>
  <c r="B1259" i="11"/>
  <c r="B1253" i="11"/>
  <c r="B1248" i="11"/>
  <c r="B1243" i="11"/>
  <c r="B1237" i="11"/>
  <c r="B1232" i="11"/>
  <c r="B1227" i="11"/>
  <c r="B1221" i="11"/>
  <c r="B1216" i="11"/>
  <c r="B1211" i="11"/>
  <c r="B1205" i="11"/>
  <c r="B1200" i="11"/>
  <c r="B1195" i="11"/>
  <c r="B1189" i="11"/>
  <c r="B1184" i="11"/>
  <c r="B1179" i="11"/>
  <c r="B1173" i="11"/>
  <c r="B1168" i="11"/>
  <c r="B1163" i="11"/>
  <c r="B1157" i="11"/>
  <c r="B1152" i="11"/>
  <c r="B1147" i="11"/>
  <c r="B1141" i="11"/>
  <c r="B1136" i="11"/>
  <c r="B1131" i="11"/>
  <c r="B1125" i="11"/>
  <c r="B1120" i="11"/>
  <c r="B1115" i="11"/>
  <c r="B1109" i="11"/>
  <c r="B1104" i="11"/>
  <c r="B1099" i="11"/>
  <c r="B1093" i="11"/>
  <c r="B1088" i="11"/>
  <c r="B1083" i="11"/>
  <c r="B1077" i="11"/>
  <c r="B1072" i="11"/>
  <c r="B1067" i="11"/>
  <c r="B1061" i="11"/>
  <c r="B1056" i="11"/>
  <c r="B1051" i="11"/>
  <c r="B1045" i="11"/>
  <c r="B1040" i="11"/>
  <c r="B1035" i="11"/>
  <c r="B1029" i="11"/>
  <c r="B1024" i="11"/>
  <c r="B1019" i="11"/>
  <c r="B1013" i="11"/>
  <c r="B1008" i="11"/>
  <c r="B1003" i="11"/>
  <c r="B997" i="11"/>
  <c r="B992" i="11"/>
  <c r="B987" i="11"/>
  <c r="B981" i="11"/>
  <c r="B976" i="11"/>
  <c r="B971" i="11"/>
  <c r="B965" i="11"/>
  <c r="B960" i="11"/>
  <c r="B955" i="11"/>
  <c r="B949" i="11"/>
  <c r="B944" i="11"/>
  <c r="B939" i="11"/>
  <c r="B933" i="11"/>
  <c r="B928" i="11"/>
  <c r="B923" i="11"/>
  <c r="B917" i="11"/>
  <c r="B912" i="11"/>
  <c r="B907" i="11"/>
  <c r="B901" i="11"/>
  <c r="B896" i="11"/>
  <c r="B891" i="11"/>
  <c r="B885" i="11"/>
  <c r="B880" i="11"/>
  <c r="B875" i="11"/>
  <c r="B869" i="11"/>
  <c r="B864" i="11"/>
  <c r="B859" i="11"/>
  <c r="B853" i="11"/>
  <c r="B848" i="11"/>
  <c r="B843" i="11"/>
  <c r="B837" i="11"/>
  <c r="B832" i="11"/>
  <c r="B827" i="11"/>
  <c r="B821" i="11"/>
  <c r="B816" i="11"/>
  <c r="B811" i="11"/>
  <c r="B805" i="11"/>
  <c r="B800" i="11"/>
  <c r="B795" i="11"/>
  <c r="B789" i="11"/>
  <c r="B784" i="11"/>
  <c r="B779" i="11"/>
  <c r="B773" i="11"/>
  <c r="B768" i="11"/>
  <c r="B763" i="11"/>
  <c r="B757" i="11"/>
  <c r="B752" i="11"/>
  <c r="B747" i="11"/>
  <c r="B741" i="11"/>
  <c r="B736" i="11"/>
  <c r="B731" i="11"/>
  <c r="B725" i="11"/>
  <c r="B720" i="11"/>
  <c r="B715" i="11"/>
  <c r="B709" i="11"/>
  <c r="B704" i="11"/>
  <c r="B699" i="11"/>
  <c r="B693" i="11"/>
  <c r="B688" i="11"/>
  <c r="B683" i="11"/>
  <c r="B677" i="11"/>
  <c r="B672" i="11"/>
  <c r="B667" i="11"/>
  <c r="B661" i="11"/>
  <c r="B656" i="11"/>
  <c r="B651" i="11"/>
  <c r="B645" i="11"/>
  <c r="B640" i="11"/>
  <c r="B635" i="11"/>
  <c r="B629" i="11"/>
  <c r="B624" i="11"/>
  <c r="B619" i="11"/>
  <c r="B613" i="11"/>
  <c r="B608" i="11"/>
  <c r="B603" i="11"/>
  <c r="B597" i="11"/>
  <c r="B592" i="11"/>
  <c r="B587" i="11"/>
  <c r="B581" i="11"/>
  <c r="B576" i="11"/>
  <c r="B571" i="11"/>
  <c r="B565" i="11"/>
  <c r="B560" i="11"/>
  <c r="B555" i="11"/>
  <c r="B549" i="11"/>
  <c r="B544" i="11"/>
  <c r="B539" i="11"/>
  <c r="B533" i="11"/>
  <c r="B528" i="11"/>
  <c r="B523" i="11"/>
  <c r="B517" i="11"/>
  <c r="B512" i="11"/>
  <c r="B507" i="11"/>
  <c r="B501" i="11"/>
  <c r="B496" i="11"/>
  <c r="B491" i="11"/>
  <c r="B485" i="11"/>
  <c r="B480" i="11"/>
  <c r="B475" i="11"/>
  <c r="B469" i="11"/>
  <c r="B464" i="11"/>
  <c r="B459" i="11"/>
  <c r="B453" i="11"/>
  <c r="B448" i="11"/>
  <c r="B443" i="11"/>
  <c r="B437" i="11"/>
  <c r="B432" i="11"/>
  <c r="B427" i="11"/>
  <c r="B421" i="11"/>
  <c r="B416" i="11"/>
  <c r="B411" i="11"/>
  <c r="B405" i="11"/>
  <c r="B400" i="11"/>
  <c r="B395" i="11"/>
  <c r="B389" i="11"/>
  <c r="B384" i="11"/>
  <c r="B379" i="11"/>
  <c r="B373" i="11"/>
  <c r="B368" i="11"/>
  <c r="B363" i="11"/>
  <c r="B357" i="11"/>
  <c r="B352" i="11"/>
  <c r="B347" i="11"/>
  <c r="B341" i="11"/>
  <c r="B331" i="11"/>
  <c r="B321" i="11"/>
  <c r="B309" i="11"/>
  <c r="B299" i="11"/>
  <c r="B289" i="11"/>
  <c r="B277" i="11"/>
  <c r="B267" i="11"/>
  <c r="B257" i="11"/>
  <c r="B245" i="11"/>
  <c r="B235" i="11"/>
  <c r="B225" i="11"/>
  <c r="B213" i="11"/>
  <c r="B203" i="11"/>
  <c r="B193" i="11"/>
  <c r="B177" i="11"/>
  <c r="B157" i="11"/>
  <c r="B137" i="11"/>
  <c r="B113" i="11"/>
  <c r="B93" i="11"/>
  <c r="B73" i="11"/>
  <c r="B49" i="11"/>
  <c r="B29" i="11"/>
  <c r="D3" i="11"/>
  <c r="D7" i="11"/>
  <c r="D23" i="11"/>
  <c r="D39" i="11"/>
  <c r="D55" i="11"/>
  <c r="D71" i="11"/>
  <c r="D87" i="11"/>
  <c r="D103" i="11"/>
  <c r="D119" i="11"/>
  <c r="D135" i="11"/>
  <c r="D151" i="11"/>
  <c r="D167" i="11"/>
  <c r="D183" i="11"/>
  <c r="D199" i="11"/>
  <c r="D215" i="11"/>
  <c r="D231" i="11"/>
  <c r="D247" i="11"/>
  <c r="D263" i="11"/>
  <c r="D279" i="11"/>
  <c r="D295" i="11"/>
  <c r="D311" i="11"/>
  <c r="D323" i="11"/>
  <c r="D333" i="11"/>
  <c r="D343" i="11"/>
  <c r="D351" i="11"/>
  <c r="D359" i="11"/>
  <c r="D367" i="11"/>
  <c r="D375" i="11"/>
  <c r="D383" i="11"/>
  <c r="D391" i="11"/>
  <c r="D399" i="11"/>
  <c r="D407" i="11"/>
  <c r="D415" i="11"/>
  <c r="D423" i="11"/>
  <c r="D431" i="11"/>
  <c r="D439" i="11"/>
  <c r="D447" i="11"/>
  <c r="D455" i="11"/>
  <c r="D463" i="11"/>
  <c r="D471" i="11"/>
  <c r="D479" i="11"/>
  <c r="D487" i="11"/>
  <c r="D495" i="11"/>
  <c r="D503" i="11"/>
  <c r="D508" i="11"/>
  <c r="D514" i="11"/>
  <c r="D519" i="11"/>
  <c r="D524" i="11"/>
  <c r="D530" i="11"/>
  <c r="D535" i="11"/>
  <c r="D540" i="11"/>
  <c r="D546" i="11"/>
  <c r="D551" i="11"/>
  <c r="D556" i="11"/>
  <c r="D562" i="11"/>
  <c r="D567" i="11"/>
  <c r="D572" i="11"/>
  <c r="D578" i="11"/>
  <c r="D583" i="11"/>
  <c r="D588" i="11"/>
  <c r="D594" i="11"/>
  <c r="D599" i="11"/>
  <c r="D604" i="11"/>
  <c r="D610" i="11"/>
  <c r="D615" i="11"/>
  <c r="D620" i="11"/>
  <c r="D626" i="11"/>
  <c r="D631" i="11"/>
  <c r="D636" i="11"/>
  <c r="D642" i="11"/>
  <c r="D647" i="11"/>
  <c r="D651" i="11"/>
  <c r="D655" i="11"/>
  <c r="D659" i="11"/>
  <c r="D663" i="11"/>
  <c r="D667" i="11"/>
  <c r="D671" i="11"/>
  <c r="D675" i="11"/>
  <c r="D679" i="11"/>
  <c r="D683" i="11"/>
  <c r="D687" i="11"/>
  <c r="D691" i="11"/>
  <c r="D695" i="11"/>
  <c r="D699" i="11"/>
  <c r="D703" i="11"/>
  <c r="D707" i="11"/>
  <c r="D711" i="11"/>
  <c r="D715" i="11"/>
  <c r="D719" i="11"/>
  <c r="D723" i="11"/>
  <c r="D727" i="11"/>
  <c r="D731" i="11"/>
  <c r="D735" i="11"/>
  <c r="D739" i="11"/>
  <c r="D743" i="11"/>
  <c r="D747" i="11"/>
  <c r="D751" i="11"/>
  <c r="D755" i="11"/>
  <c r="D759" i="11"/>
  <c r="D763" i="11"/>
  <c r="D767" i="11"/>
  <c r="D771" i="11"/>
  <c r="D775" i="11"/>
  <c r="D779" i="11"/>
  <c r="D783" i="11"/>
  <c r="D787" i="11"/>
  <c r="D791" i="11"/>
  <c r="D795" i="11"/>
  <c r="D799" i="11"/>
  <c r="D803" i="11"/>
  <c r="D807" i="11"/>
  <c r="D811" i="11"/>
  <c r="D815" i="11"/>
  <c r="D819" i="11"/>
  <c r="D823" i="11"/>
  <c r="D827" i="11"/>
  <c r="D831" i="11"/>
  <c r="D835" i="11"/>
  <c r="D839" i="11"/>
  <c r="D843" i="11"/>
  <c r="D847" i="11"/>
  <c r="D851" i="11"/>
  <c r="D855" i="11"/>
  <c r="D859" i="11"/>
  <c r="D863" i="11"/>
  <c r="D867" i="11"/>
  <c r="D871" i="11"/>
  <c r="D875" i="11"/>
  <c r="D879" i="11"/>
  <c r="D883" i="11"/>
  <c r="D887" i="11"/>
  <c r="D891" i="11"/>
  <c r="D895" i="11"/>
  <c r="D899" i="11"/>
  <c r="D903" i="11"/>
  <c r="D907" i="11"/>
  <c r="D911" i="11"/>
  <c r="D915" i="11"/>
  <c r="D919" i="11"/>
  <c r="D923" i="11"/>
  <c r="D927" i="11"/>
  <c r="D931" i="11"/>
  <c r="D935" i="11"/>
  <c r="D939" i="11"/>
  <c r="D943" i="11"/>
  <c r="D947" i="11"/>
  <c r="D951" i="11"/>
  <c r="D955" i="11"/>
  <c r="D959" i="11"/>
  <c r="D963" i="11"/>
  <c r="D967" i="11"/>
  <c r="D971" i="11"/>
  <c r="D975" i="11"/>
  <c r="D979" i="11"/>
  <c r="D983" i="11"/>
  <c r="D987" i="11"/>
  <c r="D991" i="11"/>
  <c r="D995" i="11"/>
  <c r="D999" i="11"/>
  <c r="D1003" i="11"/>
  <c r="D1007" i="11"/>
  <c r="D1011" i="11"/>
  <c r="D1015" i="11"/>
  <c r="D1019" i="11"/>
  <c r="D1023" i="11"/>
  <c r="D1027" i="11"/>
  <c r="D1031" i="11"/>
  <c r="D1035" i="11"/>
  <c r="D1039" i="11"/>
  <c r="D1043" i="11"/>
  <c r="D1047" i="11"/>
  <c r="D1051" i="11"/>
  <c r="D1055" i="11"/>
  <c r="D1059" i="11"/>
  <c r="D1063" i="11"/>
  <c r="D1067" i="11"/>
  <c r="D1071" i="11"/>
  <c r="D1075" i="11"/>
  <c r="D1079" i="11"/>
  <c r="D1083" i="11"/>
  <c r="D1087" i="11"/>
  <c r="D1091" i="11"/>
  <c r="D1095" i="11"/>
  <c r="D1099" i="11"/>
  <c r="D1103" i="11"/>
  <c r="D1107" i="11"/>
  <c r="D1111" i="11"/>
  <c r="D1115" i="11"/>
  <c r="D1119" i="11"/>
  <c r="D1123" i="11"/>
  <c r="D1127" i="11"/>
  <c r="D1131" i="11"/>
  <c r="D1135" i="11"/>
  <c r="D1139" i="11"/>
  <c r="D1143" i="11"/>
  <c r="D1147" i="11"/>
  <c r="D1151" i="11"/>
  <c r="D1155" i="11"/>
  <c r="D1159" i="11"/>
  <c r="D1163" i="11"/>
  <c r="D1167" i="11"/>
  <c r="D1171" i="11"/>
  <c r="D1175" i="11"/>
  <c r="D1179" i="11"/>
  <c r="D1183" i="11"/>
  <c r="D1187" i="11"/>
  <c r="D1191" i="11"/>
  <c r="D1195" i="11"/>
  <c r="D1199" i="11"/>
  <c r="D1203" i="11"/>
  <c r="D1207" i="11"/>
  <c r="D1211" i="11"/>
  <c r="D1215" i="11"/>
  <c r="D1219" i="11"/>
  <c r="D1223" i="11"/>
  <c r="D1227" i="11"/>
  <c r="D1231" i="11"/>
  <c r="D1235" i="11"/>
  <c r="D1239" i="11"/>
  <c r="D1243" i="11"/>
  <c r="D1247" i="11"/>
  <c r="D1251" i="11"/>
  <c r="D1255" i="11"/>
  <c r="D1259" i="11"/>
  <c r="D1263" i="11"/>
  <c r="D1267" i="11"/>
  <c r="D1271" i="11"/>
  <c r="D1275" i="11"/>
  <c r="D1279" i="11"/>
  <c r="D1283" i="11"/>
  <c r="D1287" i="11"/>
  <c r="D1291" i="11"/>
  <c r="D1295" i="11"/>
  <c r="D1299" i="11"/>
  <c r="D1303" i="11"/>
  <c r="D1307" i="11"/>
  <c r="D1311" i="11"/>
  <c r="D1315" i="11"/>
  <c r="D1319" i="11"/>
  <c r="D1323" i="11"/>
  <c r="D1327" i="11"/>
  <c r="D1331" i="11"/>
  <c r="D1335" i="11"/>
  <c r="D1339" i="11"/>
  <c r="D1343" i="11"/>
  <c r="D1347" i="11"/>
  <c r="D1351" i="11"/>
  <c r="D1355" i="11"/>
  <c r="D1359" i="11"/>
  <c r="D1363" i="11"/>
  <c r="D1367" i="11"/>
  <c r="D1371" i="11"/>
  <c r="D1375" i="11"/>
  <c r="D1379" i="11"/>
  <c r="D1383" i="11"/>
  <c r="D1387" i="11"/>
  <c r="D1391" i="11"/>
  <c r="D1395" i="11"/>
  <c r="D1399" i="11"/>
  <c r="D1403" i="11"/>
  <c r="D1407" i="11"/>
  <c r="D1411" i="11"/>
  <c r="D1415" i="11"/>
  <c r="D1419" i="11"/>
  <c r="D1423" i="11"/>
  <c r="D1427" i="11"/>
  <c r="D1431" i="11"/>
  <c r="D1435" i="11"/>
  <c r="D1439" i="11"/>
  <c r="D1443" i="11"/>
  <c r="D1447" i="11"/>
  <c r="D1451" i="11"/>
  <c r="D1455" i="11"/>
  <c r="D1459" i="11"/>
  <c r="D1463" i="11"/>
  <c r="D1467" i="11"/>
  <c r="D1471" i="11"/>
  <c r="D1475" i="11"/>
  <c r="D1479" i="11"/>
  <c r="D1483" i="11"/>
  <c r="D1487" i="11"/>
  <c r="D1491" i="11"/>
  <c r="D1495" i="11"/>
  <c r="D1499" i="11"/>
  <c r="D1503" i="11"/>
  <c r="D1507" i="11"/>
  <c r="D1511" i="11"/>
  <c r="D1515" i="11"/>
  <c r="D1519" i="11"/>
  <c r="D1523" i="11"/>
  <c r="D1527" i="11"/>
  <c r="D1531" i="11"/>
  <c r="D1535" i="11"/>
  <c r="D1539" i="11"/>
  <c r="D1543" i="11"/>
  <c r="D1547" i="11"/>
  <c r="D1551" i="11"/>
  <c r="D1555" i="11"/>
  <c r="D1559" i="11"/>
  <c r="D1563" i="11"/>
  <c r="D1567" i="11"/>
  <c r="D1571" i="11"/>
  <c r="D1575" i="11"/>
  <c r="D1579" i="11"/>
  <c r="D1583" i="11"/>
  <c r="D1587" i="11"/>
  <c r="D1591" i="11"/>
  <c r="D1595" i="11"/>
  <c r="D1599" i="11"/>
  <c r="D1603" i="11"/>
  <c r="D1607" i="11"/>
  <c r="D1611" i="11"/>
  <c r="D1615" i="11"/>
  <c r="D1619" i="11"/>
  <c r="D1623" i="11"/>
  <c r="D1627" i="11"/>
  <c r="D1631" i="11"/>
  <c r="D1635" i="11"/>
  <c r="D1639" i="11"/>
  <c r="D1643" i="11"/>
  <c r="D1647" i="11"/>
  <c r="D1651" i="11"/>
  <c r="D1655" i="11"/>
  <c r="D1659" i="11"/>
  <c r="D1663" i="11"/>
  <c r="D1667" i="11"/>
  <c r="D1671" i="11"/>
  <c r="D1675" i="11"/>
  <c r="D1679" i="11"/>
  <c r="D1683" i="11"/>
  <c r="D1687" i="11"/>
  <c r="D1691" i="11"/>
  <c r="D1695" i="11"/>
  <c r="D1699" i="11"/>
  <c r="D1703" i="11"/>
  <c r="D1707" i="11"/>
  <c r="D1711" i="11"/>
  <c r="D1715" i="11"/>
  <c r="D1719" i="11"/>
  <c r="D1723" i="11"/>
  <c r="D1727" i="11"/>
  <c r="D1731" i="11"/>
  <c r="D1735" i="11"/>
  <c r="D1739" i="11"/>
  <c r="D1743" i="11"/>
  <c r="D1747" i="11"/>
  <c r="D1751" i="11"/>
  <c r="D1755" i="11"/>
  <c r="D1759" i="11"/>
  <c r="D1763" i="11"/>
  <c r="D1767" i="11"/>
  <c r="D1771" i="11"/>
  <c r="D1775" i="11"/>
  <c r="D1779" i="11"/>
  <c r="D1783" i="11"/>
  <c r="D1787" i="11"/>
  <c r="D1791" i="11"/>
  <c r="D1795" i="11"/>
  <c r="D1799" i="11"/>
  <c r="D1803" i="11"/>
  <c r="D1807" i="11"/>
  <c r="D1811" i="11"/>
  <c r="D1815" i="11"/>
  <c r="D1819" i="11"/>
  <c r="D1823" i="11"/>
  <c r="D1827" i="11"/>
  <c r="D1831" i="11"/>
  <c r="D1835" i="11"/>
  <c r="D1839" i="11"/>
  <c r="D1843" i="11"/>
  <c r="D1847" i="11"/>
  <c r="D1851" i="11"/>
  <c r="D1855" i="11"/>
  <c r="D1859" i="11"/>
  <c r="D1863" i="11"/>
  <c r="D1867" i="11"/>
  <c r="D1871" i="11"/>
  <c r="D1875" i="11"/>
  <c r="D1879" i="11"/>
  <c r="D1883" i="11"/>
  <c r="D1887" i="11"/>
  <c r="D1891" i="11"/>
  <c r="D1895" i="11"/>
  <c r="D1899" i="11"/>
  <c r="D1903" i="11"/>
  <c r="D1907" i="11"/>
  <c r="D1911" i="11"/>
  <c r="D1915" i="11"/>
  <c r="D1919" i="11"/>
  <c r="D1923" i="11"/>
  <c r="D1927" i="11"/>
  <c r="D1931" i="11"/>
  <c r="D1935" i="11"/>
  <c r="D1939" i="11"/>
  <c r="D1943" i="11"/>
  <c r="D1947" i="11"/>
  <c r="D1951" i="11"/>
  <c r="D1955" i="11"/>
  <c r="D1959" i="11"/>
  <c r="D1963" i="11"/>
  <c r="D1967" i="11"/>
  <c r="D1971" i="11"/>
  <c r="D1975" i="11"/>
  <c r="D1979" i="11"/>
  <c r="D1983" i="11"/>
  <c r="D1987" i="11"/>
  <c r="D1991" i="11"/>
  <c r="D1995" i="11"/>
  <c r="D1999" i="11"/>
  <c r="D2003" i="11"/>
  <c r="D2007" i="11"/>
  <c r="D2011" i="11"/>
  <c r="D2015" i="11"/>
  <c r="D2019" i="11"/>
  <c r="D2023" i="11"/>
  <c r="D2027" i="11"/>
  <c r="D2031" i="11"/>
  <c r="D2035" i="11"/>
  <c r="D2039" i="11"/>
  <c r="D2043" i="11"/>
  <c r="D2047" i="11"/>
  <c r="D2051" i="11"/>
  <c r="D2055" i="11"/>
  <c r="D2059" i="11"/>
  <c r="D2063" i="11"/>
  <c r="D2067" i="11"/>
  <c r="D2071" i="11"/>
  <c r="D2075" i="11"/>
  <c r="D2079" i="11"/>
  <c r="D2083" i="11"/>
  <c r="D2087" i="11"/>
  <c r="D2091" i="11"/>
  <c r="D2095" i="11"/>
  <c r="D2099" i="11"/>
  <c r="D2103" i="11"/>
  <c r="D2107" i="11"/>
  <c r="D2111" i="11"/>
  <c r="D2115" i="11"/>
  <c r="D2119" i="11"/>
  <c r="D2123" i="11"/>
  <c r="D2127" i="11"/>
  <c r="D2131" i="11"/>
  <c r="D2135" i="11"/>
  <c r="D2139" i="11"/>
  <c r="D2143" i="11"/>
  <c r="D2147" i="11"/>
  <c r="D2151" i="11"/>
  <c r="D2155" i="11"/>
  <c r="D2159" i="11"/>
  <c r="D2163" i="11"/>
  <c r="D2167" i="11"/>
  <c r="D2171" i="11"/>
  <c r="D2175" i="11"/>
  <c r="D2179" i="11"/>
  <c r="D2183" i="11"/>
  <c r="D2187" i="11"/>
  <c r="D2191" i="11"/>
  <c r="D2195" i="11"/>
  <c r="D2199" i="11"/>
  <c r="D2203" i="11"/>
  <c r="D2207" i="11"/>
  <c r="D2211" i="11"/>
  <c r="D2215" i="11"/>
  <c r="D2219" i="11"/>
  <c r="D2223" i="11"/>
  <c r="D2227" i="11"/>
  <c r="D2231" i="11"/>
  <c r="D2235" i="11"/>
  <c r="D2239" i="11"/>
  <c r="D2243" i="11"/>
  <c r="D2247" i="11"/>
  <c r="D2251" i="11"/>
  <c r="D2255" i="11"/>
  <c r="D2259" i="11"/>
  <c r="D2263" i="11"/>
  <c r="D2267" i="11"/>
  <c r="D2271" i="11"/>
  <c r="D2275" i="11"/>
  <c r="D2279" i="11"/>
  <c r="D2283" i="11"/>
  <c r="D2287" i="11"/>
  <c r="D2291" i="11"/>
  <c r="D2295" i="11"/>
  <c r="D2299" i="11"/>
  <c r="D2303" i="11"/>
  <c r="D2307" i="11"/>
  <c r="D2311" i="11"/>
  <c r="D2315" i="11"/>
  <c r="D2319" i="11"/>
  <c r="D2323" i="11"/>
  <c r="D2327" i="11"/>
  <c r="D2331" i="11"/>
  <c r="D2335" i="11"/>
  <c r="D2339" i="11"/>
  <c r="D2343" i="11"/>
  <c r="D2347" i="11"/>
  <c r="D2351" i="11"/>
  <c r="D2355" i="11"/>
  <c r="D2359" i="11"/>
  <c r="D2363" i="11"/>
  <c r="D2367" i="11"/>
  <c r="D2371" i="11"/>
  <c r="D2375" i="11"/>
  <c r="D2379" i="11"/>
  <c r="D2383" i="11"/>
  <c r="D2387" i="11"/>
  <c r="D2391" i="11"/>
  <c r="D2395" i="11"/>
  <c r="D2399" i="11"/>
  <c r="D2403" i="11"/>
  <c r="D2407" i="11"/>
  <c r="D2411" i="11"/>
  <c r="D2415" i="11"/>
  <c r="D2419" i="11"/>
  <c r="D2423" i="11"/>
  <c r="D2427" i="11"/>
  <c r="D2431" i="11"/>
  <c r="D2435" i="11"/>
  <c r="D2439" i="11"/>
  <c r="D2443" i="11"/>
  <c r="D2447" i="11"/>
  <c r="D2451" i="11"/>
  <c r="D2455" i="11"/>
  <c r="D2459" i="11"/>
  <c r="D2463" i="11"/>
  <c r="D2467" i="11"/>
  <c r="D2471" i="11"/>
  <c r="D2475" i="11"/>
  <c r="D2479" i="11"/>
  <c r="D2483" i="11"/>
  <c r="D2487" i="11"/>
  <c r="D2491" i="11"/>
  <c r="D2495" i="11"/>
  <c r="D2499" i="11"/>
  <c r="D2503" i="11"/>
  <c r="D2507" i="11"/>
  <c r="D2511" i="11"/>
  <c r="D2515" i="11"/>
  <c r="D2519" i="11"/>
  <c r="D2523" i="11"/>
  <c r="D2527" i="11"/>
  <c r="D2531" i="11"/>
  <c r="D2535" i="11"/>
  <c r="D2539" i="11"/>
  <c r="D2543" i="11"/>
  <c r="D2547" i="11"/>
  <c r="D2551" i="11"/>
  <c r="D2555" i="11"/>
  <c r="D2559" i="11"/>
  <c r="D2563" i="11"/>
  <c r="D2567" i="11"/>
  <c r="D2571" i="11"/>
  <c r="D2575" i="11"/>
  <c r="D2579" i="11"/>
  <c r="D2583" i="11"/>
  <c r="D2587" i="11"/>
  <c r="D2591" i="11"/>
  <c r="D2595" i="11"/>
  <c r="D2599" i="11"/>
  <c r="D2603" i="11"/>
  <c r="D2607" i="11"/>
  <c r="D2611" i="11"/>
  <c r="D2615" i="11"/>
  <c r="D2619" i="11"/>
  <c r="D2623" i="11"/>
  <c r="D2627" i="11"/>
  <c r="D2631" i="11"/>
  <c r="D2635" i="11"/>
  <c r="D2639" i="11"/>
  <c r="D2643" i="11"/>
  <c r="D2647" i="11"/>
  <c r="D2651" i="11"/>
  <c r="D2655" i="11"/>
  <c r="D2659" i="11"/>
  <c r="D2663" i="11"/>
  <c r="D2667" i="11"/>
  <c r="D2671" i="11"/>
  <c r="D2675" i="11"/>
  <c r="D2679" i="11"/>
  <c r="D2683" i="11"/>
  <c r="D2687" i="11"/>
  <c r="D2691" i="11"/>
  <c r="D2695" i="11"/>
  <c r="D2699" i="11"/>
  <c r="D2703" i="11"/>
  <c r="D2707" i="11"/>
  <c r="D2711" i="11"/>
  <c r="D2715" i="11"/>
  <c r="D2719" i="11"/>
  <c r="D2723" i="11"/>
  <c r="D2727" i="11"/>
  <c r="D2731" i="11"/>
  <c r="D2735" i="11"/>
  <c r="D2739" i="11"/>
  <c r="D2743" i="11"/>
  <c r="D2747" i="11"/>
  <c r="D2751" i="11"/>
  <c r="D2755" i="11"/>
  <c r="D2759" i="11"/>
  <c r="D2763" i="11"/>
  <c r="D2767" i="11"/>
  <c r="D2771" i="11"/>
  <c r="D2775" i="11"/>
  <c r="D2779" i="11"/>
  <c r="D2783" i="11"/>
  <c r="D2787" i="11"/>
  <c r="D2791" i="11"/>
  <c r="D2795" i="11"/>
  <c r="D2799" i="11"/>
  <c r="D2803" i="11"/>
  <c r="D2807" i="11"/>
  <c r="D2811" i="11"/>
  <c r="D2815" i="11"/>
  <c r="D2819" i="11"/>
  <c r="D2823" i="11"/>
  <c r="D2827" i="11"/>
  <c r="D2831" i="11"/>
  <c r="D2835" i="11"/>
  <c r="D2839" i="11"/>
  <c r="D2843" i="11"/>
  <c r="D2847" i="11"/>
  <c r="D2851" i="11"/>
  <c r="D2855" i="11"/>
  <c r="D2859" i="11"/>
  <c r="D2863" i="11"/>
  <c r="D2867" i="11"/>
  <c r="D2871" i="11"/>
  <c r="D2875" i="11"/>
  <c r="D2879" i="11"/>
  <c r="D2883" i="11"/>
  <c r="D2887" i="11"/>
  <c r="D2891" i="11"/>
  <c r="D2895" i="11"/>
  <c r="D2899" i="11"/>
  <c r="D2903" i="11"/>
  <c r="D2907" i="11"/>
  <c r="D2911" i="11"/>
  <c r="D2915" i="11"/>
  <c r="D2919" i="11"/>
  <c r="D2923" i="11"/>
  <c r="D2927" i="11"/>
  <c r="D2931" i="11"/>
  <c r="D2935" i="11"/>
  <c r="D2939" i="11"/>
  <c r="D2943" i="11"/>
  <c r="D2947" i="11"/>
  <c r="D2951" i="11"/>
  <c r="D2955" i="11"/>
  <c r="D2959" i="11"/>
  <c r="D2963" i="11"/>
  <c r="D2967" i="11"/>
  <c r="D2971" i="11"/>
  <c r="D2975" i="11"/>
  <c r="D2979" i="11"/>
  <c r="D2983" i="11"/>
  <c r="D2987" i="11"/>
  <c r="D2991" i="11"/>
  <c r="D2995" i="11"/>
  <c r="D2999" i="11"/>
  <c r="D3003" i="11"/>
  <c r="D3007" i="11"/>
  <c r="D3011" i="11"/>
  <c r="D3015" i="11"/>
  <c r="D3019" i="11"/>
  <c r="D3023" i="11"/>
  <c r="D3027" i="11"/>
  <c r="D3031" i="11"/>
  <c r="D3035" i="11"/>
  <c r="D3039" i="11"/>
  <c r="D3043" i="11"/>
  <c r="D3047" i="11"/>
  <c r="D3051" i="11"/>
  <c r="D3055" i="11"/>
  <c r="D3059" i="11"/>
  <c r="D3063" i="11"/>
  <c r="D3067" i="11"/>
  <c r="D3071" i="11"/>
  <c r="D3075" i="11"/>
  <c r="D3079" i="11"/>
  <c r="D3083" i="11"/>
  <c r="D3087" i="11"/>
  <c r="D3091" i="11"/>
  <c r="D3095" i="11"/>
  <c r="D3099" i="11"/>
  <c r="D3103" i="11"/>
  <c r="D3107" i="11"/>
  <c r="D3111" i="11"/>
  <c r="D3115" i="11"/>
  <c r="D3119" i="11"/>
  <c r="D3123" i="11"/>
  <c r="D3127" i="11"/>
  <c r="D3131" i="11"/>
  <c r="D3135" i="11"/>
  <c r="D3139" i="11"/>
  <c r="D3143" i="11"/>
  <c r="D3147" i="11"/>
  <c r="D3151" i="11"/>
  <c r="D3155" i="11"/>
  <c r="D3159" i="11"/>
  <c r="D3163" i="11"/>
  <c r="D3167" i="11"/>
  <c r="D3171" i="11"/>
  <c r="D3175" i="11"/>
  <c r="D3179" i="11"/>
  <c r="D3183" i="11"/>
  <c r="D3187" i="11"/>
  <c r="D3191" i="11"/>
  <c r="D3195" i="11"/>
  <c r="D3199" i="11"/>
  <c r="D3203" i="11"/>
  <c r="D3207" i="11"/>
  <c r="D3211" i="11"/>
  <c r="D3215" i="11"/>
  <c r="D3219" i="11"/>
  <c r="D3223" i="11"/>
  <c r="D3227" i="11"/>
  <c r="D3231" i="11"/>
  <c r="D3235" i="11"/>
  <c r="D3239" i="11"/>
  <c r="D3243" i="11"/>
  <c r="D3247" i="11"/>
  <c r="D3251" i="11"/>
  <c r="D3255" i="11"/>
  <c r="D3259" i="11"/>
  <c r="D3263" i="11"/>
  <c r="D3267" i="11"/>
  <c r="D3271" i="11"/>
  <c r="D3275" i="11"/>
  <c r="D3279" i="11"/>
  <c r="D3283" i="11"/>
  <c r="D3287" i="11"/>
  <c r="D3291" i="11"/>
  <c r="D3295" i="11"/>
  <c r="D3299" i="11"/>
  <c r="D3303" i="11"/>
  <c r="D3307" i="11"/>
  <c r="D3311" i="11"/>
  <c r="D3315" i="11"/>
  <c r="D3319" i="11"/>
  <c r="D3323" i="11"/>
  <c r="D3327" i="11"/>
  <c r="D3331" i="11"/>
  <c r="D3335" i="11"/>
  <c r="D3339" i="11"/>
  <c r="D3343" i="11"/>
  <c r="D3347" i="11"/>
  <c r="D3351" i="11"/>
  <c r="D3355" i="11"/>
  <c r="D3359" i="11"/>
  <c r="D3363" i="11"/>
  <c r="D3367" i="11"/>
  <c r="D3371" i="11"/>
  <c r="D3375" i="11"/>
  <c r="D3379" i="11"/>
  <c r="D3383" i="11"/>
  <c r="D3387" i="11"/>
  <c r="D3391" i="11"/>
  <c r="D3395" i="11"/>
  <c r="D3399" i="11"/>
  <c r="D3403" i="11"/>
  <c r="D3407" i="11"/>
  <c r="D3411" i="11"/>
  <c r="D3415" i="11"/>
  <c r="D3419" i="11"/>
  <c r="D3423" i="11"/>
  <c r="D3427" i="11"/>
  <c r="D3431" i="11"/>
  <c r="D3435" i="11"/>
  <c r="D3439" i="11"/>
  <c r="D3443" i="11"/>
  <c r="D3447" i="11"/>
  <c r="D3451" i="11"/>
  <c r="D3455" i="11"/>
  <c r="D3459" i="11"/>
  <c r="D3463" i="11"/>
  <c r="D3467" i="11"/>
  <c r="D3471" i="11"/>
  <c r="D3475" i="11"/>
  <c r="D3479" i="11"/>
  <c r="D3483" i="11"/>
  <c r="D3487" i="11"/>
  <c r="D3491" i="11"/>
  <c r="D3495" i="11"/>
  <c r="D3499" i="11"/>
  <c r="E3497" i="11"/>
  <c r="E3492" i="11"/>
  <c r="E3486" i="11"/>
  <c r="E3481" i="11"/>
  <c r="E3476" i="11"/>
  <c r="E3470" i="11"/>
  <c r="E3465" i="11"/>
  <c r="E3460" i="11"/>
  <c r="E3454" i="11"/>
  <c r="E3449" i="11"/>
  <c r="E3444" i="11"/>
  <c r="E3438" i="11"/>
  <c r="E3433" i="11"/>
  <c r="E3428" i="11"/>
  <c r="E3422" i="11"/>
  <c r="E3417" i="11"/>
  <c r="E3412" i="11"/>
  <c r="E3406" i="11"/>
  <c r="E3401" i="11"/>
  <c r="E3396" i="11"/>
  <c r="E3390" i="11"/>
  <c r="E3385" i="11"/>
  <c r="E3380" i="11"/>
  <c r="E3374" i="11"/>
  <c r="E3369" i="11"/>
  <c r="E3364" i="11"/>
  <c r="E3358" i="11"/>
  <c r="E3353" i="11"/>
  <c r="E3348" i="11"/>
  <c r="E3342" i="11"/>
  <c r="E3337" i="11"/>
  <c r="E3332" i="11"/>
  <c r="E3326" i="11"/>
  <c r="E3321" i="11"/>
  <c r="E3316" i="11"/>
  <c r="E3310" i="11"/>
  <c r="E3305" i="11"/>
  <c r="E3300" i="11"/>
  <c r="E3294" i="11"/>
  <c r="E3289" i="11"/>
  <c r="E3284" i="11"/>
  <c r="E3278" i="11"/>
  <c r="E3273" i="11"/>
  <c r="E3268" i="11"/>
  <c r="E3262" i="11"/>
  <c r="E3257" i="11"/>
  <c r="E3252" i="11"/>
  <c r="E3246" i="11"/>
  <c r="E3241" i="11"/>
  <c r="E3236" i="11"/>
  <c r="E3230" i="11"/>
  <c r="E3225" i="11"/>
  <c r="E3220" i="11"/>
  <c r="E3214" i="11"/>
  <c r="E3209" i="11"/>
  <c r="E3204" i="11"/>
  <c r="E3198" i="11"/>
  <c r="E3193" i="11"/>
  <c r="E3188" i="11"/>
  <c r="E3182" i="11"/>
  <c r="E3177" i="11"/>
  <c r="E3172" i="11"/>
  <c r="E3166" i="11"/>
  <c r="E3161" i="11"/>
  <c r="E3156" i="11"/>
  <c r="E3150" i="11"/>
  <c r="E3145" i="11"/>
  <c r="E3140" i="11"/>
  <c r="E3134" i="11"/>
  <c r="E3129" i="11"/>
  <c r="E3124" i="11"/>
  <c r="E3118" i="11"/>
  <c r="E3113" i="11"/>
  <c r="E3108" i="11"/>
  <c r="E3102" i="11"/>
  <c r="E3097" i="11"/>
  <c r="E3092" i="11"/>
  <c r="E3086" i="11"/>
  <c r="E3081" i="11"/>
  <c r="E3076" i="11"/>
  <c r="E3070" i="11"/>
  <c r="E3065" i="11"/>
  <c r="E3060" i="11"/>
  <c r="E3054" i="11"/>
  <c r="E3049" i="11"/>
  <c r="E3044" i="11"/>
  <c r="E3038" i="11"/>
  <c r="E3033" i="11"/>
  <c r="E3028" i="11"/>
  <c r="E3022" i="11"/>
  <c r="E3017" i="11"/>
  <c r="E3012" i="11"/>
  <c r="E3006" i="11"/>
  <c r="E3001" i="11"/>
  <c r="E2996" i="11"/>
  <c r="E2990" i="11"/>
  <c r="E2985" i="11"/>
  <c r="E2980" i="11"/>
  <c r="E2974" i="11"/>
  <c r="E2969" i="11"/>
  <c r="E2964" i="11"/>
  <c r="E2958" i="11"/>
  <c r="E2953" i="11"/>
  <c r="E2948" i="11"/>
  <c r="E2942" i="11"/>
  <c r="E2937" i="11"/>
  <c r="E2932" i="11"/>
  <c r="E2926" i="11"/>
  <c r="E2921" i="11"/>
  <c r="E2916" i="11"/>
  <c r="E2910" i="11"/>
  <c r="E2905" i="11"/>
  <c r="E2900" i="11"/>
  <c r="E2894" i="11"/>
  <c r="E2889" i="11"/>
  <c r="E2884" i="11"/>
  <c r="E2878" i="11"/>
  <c r="E2873" i="11"/>
  <c r="E2868" i="11"/>
  <c r="E2862" i="11"/>
  <c r="E2857" i="11"/>
  <c r="E2852" i="11"/>
  <c r="E2846" i="11"/>
  <c r="E2841" i="11"/>
  <c r="E2836" i="11"/>
  <c r="E2830" i="11"/>
  <c r="E2825" i="11"/>
  <c r="E2820" i="11"/>
  <c r="E2814" i="11"/>
  <c r="E2809" i="11"/>
  <c r="E2804" i="11"/>
  <c r="E2798" i="11"/>
  <c r="E2793" i="11"/>
  <c r="E2788" i="11"/>
  <c r="E2782" i="11"/>
  <c r="E2777" i="11"/>
  <c r="E2772" i="11"/>
  <c r="E2766" i="11"/>
  <c r="E2761" i="11"/>
  <c r="E2756" i="11"/>
  <c r="E2750" i="11"/>
  <c r="E2745" i="11"/>
  <c r="E2740" i="11"/>
  <c r="E2734" i="11"/>
  <c r="E2729" i="11"/>
  <c r="E2724" i="11"/>
  <c r="E2718" i="11"/>
  <c r="E2713" i="11"/>
  <c r="E2708" i="11"/>
  <c r="E2702" i="11"/>
  <c r="E2697" i="11"/>
  <c r="E2692" i="11"/>
  <c r="E2686" i="11"/>
  <c r="E2681" i="11"/>
  <c r="E2676" i="11"/>
  <c r="E2670" i="11"/>
  <c r="E2665" i="11"/>
  <c r="E2660" i="11"/>
  <c r="E2654" i="11"/>
  <c r="E2649" i="11"/>
  <c r="E2644" i="11"/>
  <c r="E2638" i="11"/>
  <c r="E2633" i="11"/>
  <c r="E2628" i="11"/>
  <c r="E2622" i="11"/>
  <c r="E2617" i="11"/>
  <c r="E2612" i="11"/>
  <c r="E2606" i="11"/>
  <c r="E2601" i="11"/>
  <c r="E2596" i="11"/>
  <c r="E2590" i="11"/>
  <c r="E2585" i="11"/>
  <c r="E2580" i="11"/>
  <c r="E2574" i="11"/>
  <c r="E2569" i="11"/>
  <c r="E2564" i="11"/>
  <c r="E2558" i="11"/>
  <c r="E2553" i="11"/>
  <c r="E2548" i="11"/>
  <c r="E2542" i="11"/>
  <c r="E2537" i="11"/>
  <c r="E2532" i="11"/>
  <c r="E2526" i="11"/>
  <c r="E2521" i="11"/>
  <c r="E2516" i="11"/>
  <c r="E2510" i="11"/>
  <c r="E2505" i="11"/>
  <c r="E2500" i="11"/>
  <c r="E2494" i="11"/>
  <c r="E2489" i="11"/>
  <c r="E2484" i="11"/>
  <c r="E2478" i="11"/>
  <c r="E2473" i="11"/>
  <c r="E2468" i="11"/>
  <c r="E2462" i="11"/>
  <c r="E2457" i="11"/>
  <c r="E2452" i="11"/>
  <c r="E2446" i="11"/>
  <c r="E2441" i="11"/>
  <c r="E2436" i="11"/>
  <c r="E2430" i="11"/>
  <c r="E2425" i="11"/>
  <c r="E2420" i="11"/>
  <c r="E2414" i="11"/>
  <c r="E2409" i="11"/>
  <c r="E2404" i="11"/>
  <c r="E2398" i="11"/>
  <c r="E2393" i="11"/>
  <c r="E2388" i="11"/>
  <c r="E2382" i="11"/>
  <c r="E2377" i="11"/>
  <c r="E2372" i="11"/>
  <c r="E2366" i="11"/>
  <c r="E2361" i="11"/>
  <c r="E2356" i="11"/>
  <c r="E2350" i="11"/>
  <c r="E2345" i="11"/>
  <c r="E2340" i="11"/>
  <c r="E2334" i="11"/>
  <c r="E2329" i="11"/>
  <c r="E2324" i="11"/>
  <c r="E2318" i="11"/>
  <c r="E2313" i="11"/>
  <c r="E2308" i="11"/>
  <c r="E2302" i="11"/>
  <c r="E2297" i="11"/>
  <c r="E2292" i="11"/>
  <c r="E2286" i="11"/>
  <c r="E2281" i="11"/>
  <c r="E2276" i="11"/>
  <c r="E2270" i="11"/>
  <c r="E2265" i="11"/>
  <c r="E2260" i="11"/>
  <c r="E2254" i="11"/>
  <c r="E2249" i="11"/>
  <c r="E2244" i="11"/>
  <c r="E2238" i="11"/>
  <c r="E2233" i="11"/>
  <c r="E2228" i="11"/>
  <c r="E2222" i="11"/>
  <c r="E2217" i="11"/>
  <c r="E2212" i="11"/>
  <c r="E2206" i="11"/>
  <c r="E2201" i="11"/>
  <c r="E2196" i="11"/>
  <c r="E2190" i="11"/>
  <c r="E2185" i="11"/>
  <c r="E2180" i="11"/>
  <c r="E2174" i="11"/>
  <c r="E2169" i="11"/>
  <c r="E2164" i="11"/>
  <c r="E2158" i="11"/>
  <c r="E2153" i="11"/>
  <c r="E2148" i="11"/>
  <c r="E2142" i="11"/>
  <c r="E2137" i="11"/>
  <c r="E2132" i="11"/>
  <c r="E2126" i="11"/>
  <c r="E2121" i="11"/>
  <c r="E2116" i="11"/>
  <c r="E2110" i="11"/>
  <c r="E2105" i="11"/>
  <c r="E2100" i="11"/>
  <c r="E2094" i="11"/>
  <c r="E2089" i="11"/>
  <c r="E2084" i="11"/>
  <c r="E2078" i="11"/>
  <c r="E2073" i="11"/>
  <c r="E2068" i="11"/>
  <c r="E2062" i="11"/>
  <c r="E2057" i="11"/>
  <c r="E2052" i="11"/>
  <c r="E2046" i="11"/>
  <c r="E2041" i="11"/>
  <c r="E2036" i="11"/>
  <c r="E2030" i="11"/>
  <c r="E2025" i="11"/>
  <c r="E2020" i="11"/>
  <c r="E2014" i="11"/>
  <c r="E2009" i="11"/>
  <c r="E2004" i="11"/>
  <c r="E1998" i="11"/>
  <c r="E1993" i="11"/>
  <c r="E1988" i="11"/>
  <c r="E1982" i="11"/>
  <c r="E1977" i="11"/>
  <c r="E1972" i="11"/>
  <c r="E1966" i="11"/>
  <c r="E1961" i="11"/>
  <c r="E1956" i="11"/>
  <c r="E1950" i="11"/>
  <c r="E1945" i="11"/>
  <c r="E1940" i="11"/>
  <c r="E1934" i="11"/>
  <c r="E1929" i="11"/>
  <c r="E1924" i="11"/>
  <c r="E1918" i="11"/>
  <c r="E1913" i="11"/>
  <c r="E1908" i="11"/>
  <c r="E1902" i="11"/>
  <c r="E1897" i="11"/>
  <c r="E1892" i="11"/>
  <c r="E1886" i="11"/>
  <c r="E1881" i="11"/>
  <c r="E1876" i="11"/>
  <c r="E1870" i="11"/>
  <c r="E1865" i="11"/>
  <c r="E1860" i="11"/>
  <c r="E1854" i="11"/>
  <c r="E1849" i="11"/>
  <c r="E1844" i="11"/>
  <c r="E1838" i="11"/>
  <c r="E1833" i="11"/>
  <c r="E1828" i="11"/>
  <c r="E1822" i="11"/>
  <c r="E1817" i="11"/>
  <c r="E1812" i="11"/>
  <c r="E1806" i="11"/>
  <c r="E1801" i="11"/>
  <c r="E1796" i="11"/>
  <c r="E1790" i="11"/>
  <c r="E1785" i="11"/>
  <c r="E1780" i="11"/>
  <c r="E1774" i="11"/>
  <c r="E1769" i="11"/>
  <c r="E1764" i="11"/>
  <c r="E1758" i="11"/>
  <c r="E1753" i="11"/>
  <c r="E1748" i="11"/>
  <c r="E1742" i="11"/>
  <c r="E1737" i="11"/>
  <c r="E1732" i="11"/>
  <c r="E1726" i="11"/>
  <c r="E1721" i="11"/>
  <c r="E1716" i="11"/>
  <c r="E1710" i="11"/>
  <c r="E1705" i="11"/>
  <c r="E1700" i="11"/>
  <c r="E1694" i="11"/>
  <c r="E1689" i="11"/>
  <c r="E1684" i="11"/>
  <c r="E1678" i="11"/>
  <c r="E1673" i="11"/>
  <c r="E1668" i="11"/>
  <c r="E1662" i="11"/>
  <c r="E1657" i="11"/>
  <c r="E1652" i="11"/>
  <c r="E1646" i="11"/>
  <c r="E1641" i="11"/>
  <c r="E1636" i="11"/>
  <c r="E1630" i="11"/>
  <c r="E1625" i="11"/>
  <c r="E1620" i="11"/>
  <c r="E1614" i="11"/>
  <c r="E1609" i="11"/>
  <c r="E1604" i="11"/>
  <c r="E1598" i="11"/>
  <c r="E1593" i="11"/>
  <c r="E1588" i="11"/>
  <c r="E1582" i="11"/>
  <c r="E1577" i="11"/>
  <c r="E1572" i="11"/>
  <c r="E1566" i="11"/>
  <c r="E1561" i="11"/>
  <c r="E1556" i="11"/>
  <c r="E1550" i="11"/>
  <c r="E1545" i="11"/>
  <c r="E1540" i="11"/>
  <c r="E1534" i="11"/>
  <c r="E1529" i="11"/>
  <c r="E1524" i="11"/>
  <c r="E1518" i="11"/>
  <c r="E1513" i="11"/>
  <c r="E1508" i="11"/>
  <c r="E1502" i="11"/>
  <c r="E1497" i="11"/>
  <c r="E1492" i="11"/>
  <c r="E1486" i="11"/>
  <c r="E1481" i="11"/>
  <c r="E1476" i="11"/>
  <c r="E1470" i="11"/>
  <c r="E1465" i="11"/>
  <c r="E1460" i="11"/>
  <c r="E1454" i="11"/>
  <c r="E1449" i="11"/>
  <c r="E1444" i="11"/>
  <c r="E1438" i="11"/>
  <c r="E1433" i="11"/>
  <c r="E1428" i="11"/>
  <c r="E1422" i="11"/>
  <c r="E1417" i="11"/>
  <c r="E1412" i="11"/>
  <c r="E1406" i="11"/>
  <c r="E1401" i="11"/>
  <c r="E1396" i="11"/>
  <c r="E1390" i="11"/>
  <c r="E1385" i="11"/>
  <c r="E1380" i="11"/>
  <c r="E1374" i="11"/>
  <c r="E1369" i="11"/>
  <c r="E1364" i="11"/>
  <c r="E1358" i="11"/>
  <c r="E1353" i="11"/>
  <c r="E1348" i="11"/>
  <c r="E1342" i="11"/>
  <c r="E1337" i="11"/>
  <c r="E1332" i="11"/>
  <c r="E1326" i="11"/>
  <c r="E1321" i="11"/>
  <c r="E1316" i="11"/>
  <c r="E1310" i="11"/>
  <c r="E1305" i="11"/>
  <c r="E1300" i="11"/>
  <c r="E1294" i="11"/>
  <c r="E1289" i="11"/>
  <c r="E1284" i="11"/>
  <c r="E1278" i="11"/>
  <c r="E1273" i="11"/>
  <c r="E1268" i="11"/>
  <c r="E1262" i="11"/>
  <c r="E1257" i="11"/>
  <c r="E1252" i="11"/>
  <c r="E1246" i="11"/>
  <c r="E1241" i="11"/>
  <c r="E1236" i="11"/>
  <c r="E1230" i="11"/>
  <c r="E1225" i="11"/>
  <c r="E1220" i="11"/>
  <c r="E1214" i="11"/>
  <c r="E1209" i="11"/>
  <c r="E1204" i="11"/>
  <c r="E1198" i="11"/>
  <c r="E1193" i="11"/>
  <c r="E1188" i="11"/>
  <c r="E1182" i="11"/>
  <c r="E1177" i="11"/>
  <c r="E1172" i="11"/>
  <c r="E1166" i="11"/>
  <c r="E1161" i="11"/>
  <c r="E1156" i="11"/>
  <c r="E1150" i="11"/>
  <c r="E1145" i="11"/>
  <c r="E1140" i="11"/>
  <c r="E1134" i="11"/>
  <c r="E1129" i="11"/>
  <c r="E1124" i="11"/>
  <c r="E1118" i="11"/>
  <c r="E1113" i="11"/>
  <c r="E1108" i="11"/>
  <c r="E1102" i="11"/>
  <c r="E1097" i="11"/>
  <c r="E1092" i="11"/>
  <c r="E1086" i="11"/>
  <c r="E1081" i="11"/>
  <c r="E1076" i="11"/>
  <c r="E1070" i="11"/>
  <c r="E1065" i="11"/>
  <c r="E1060" i="11"/>
  <c r="E1054" i="11"/>
  <c r="E1049" i="11"/>
  <c r="E1044" i="11"/>
  <c r="E1038" i="11"/>
  <c r="E1033" i="11"/>
  <c r="E1028" i="11"/>
  <c r="E1022" i="11"/>
  <c r="E1017" i="11"/>
  <c r="E1012" i="11"/>
  <c r="E1006" i="11"/>
  <c r="E1001" i="11"/>
  <c r="E996" i="11"/>
  <c r="E990" i="11"/>
  <c r="E985" i="11"/>
  <c r="E980" i="11"/>
  <c r="E974" i="11"/>
  <c r="E969" i="11"/>
  <c r="E964" i="11"/>
  <c r="E958" i="11"/>
  <c r="E953" i="11"/>
  <c r="E948" i="11"/>
  <c r="E942" i="11"/>
  <c r="E937" i="11"/>
  <c r="E932" i="11"/>
  <c r="E926" i="11"/>
  <c r="E921" i="11"/>
  <c r="E916" i="11"/>
  <c r="E910" i="11"/>
  <c r="E905" i="11"/>
  <c r="E900" i="11"/>
  <c r="E894" i="11"/>
  <c r="E889" i="11"/>
  <c r="E884" i="11"/>
  <c r="E878" i="11"/>
  <c r="E873" i="11"/>
  <c r="E868" i="11"/>
  <c r="E862" i="11"/>
  <c r="E857" i="11"/>
  <c r="E852" i="11"/>
  <c r="E846" i="11"/>
  <c r="E841" i="11"/>
  <c r="E836" i="11"/>
  <c r="E830" i="11"/>
  <c r="E825" i="11"/>
  <c r="E820" i="11"/>
  <c r="E814" i="11"/>
  <c r="E809" i="11"/>
  <c r="E804" i="11"/>
  <c r="E798" i="11"/>
  <c r="E793" i="11"/>
  <c r="E788" i="11"/>
  <c r="E782" i="11"/>
  <c r="E777" i="11"/>
  <c r="E772" i="11"/>
  <c r="E766" i="11"/>
  <c r="E761" i="11"/>
  <c r="E756" i="11"/>
  <c r="E750" i="11"/>
  <c r="E745" i="11"/>
  <c r="E740" i="11"/>
  <c r="E734" i="11"/>
  <c r="E729" i="11"/>
  <c r="E724" i="11"/>
  <c r="E718" i="11"/>
  <c r="E713" i="11"/>
  <c r="E708" i="11"/>
  <c r="E702" i="11"/>
  <c r="E697" i="11"/>
  <c r="E692" i="11"/>
  <c r="E686" i="11"/>
  <c r="E681" i="11"/>
  <c r="E676" i="11"/>
  <c r="E670" i="11"/>
  <c r="E665" i="11"/>
  <c r="E660" i="11"/>
  <c r="E654" i="11"/>
  <c r="E649" i="11"/>
  <c r="E644" i="11"/>
  <c r="E638" i="11"/>
  <c r="E633" i="11"/>
  <c r="E628" i="11"/>
  <c r="E622" i="11"/>
  <c r="E617" i="11"/>
  <c r="E612" i="11"/>
  <c r="E606" i="11"/>
  <c r="E601" i="11"/>
  <c r="E596" i="11"/>
  <c r="E590" i="11"/>
  <c r="E585" i="11"/>
  <c r="E580" i="11"/>
  <c r="E574" i="11"/>
  <c r="E569" i="11"/>
  <c r="E564" i="11"/>
  <c r="E558" i="11"/>
  <c r="E553" i="11"/>
  <c r="E548" i="11"/>
  <c r="E542" i="11"/>
  <c r="E537" i="11"/>
  <c r="E532" i="11"/>
  <c r="E526" i="11"/>
  <c r="E521" i="11"/>
  <c r="E516" i="11"/>
  <c r="E510" i="11"/>
  <c r="E505" i="11"/>
  <c r="E500" i="11"/>
  <c r="E494" i="11"/>
  <c r="E489" i="11"/>
  <c r="E484" i="11"/>
  <c r="E478" i="11"/>
  <c r="E473" i="11"/>
  <c r="E468" i="11"/>
  <c r="E462" i="11"/>
  <c r="E457" i="11"/>
  <c r="E452" i="11"/>
  <c r="E446" i="11"/>
  <c r="E441" i="11"/>
  <c r="E436" i="11"/>
  <c r="E430" i="11"/>
  <c r="E425" i="11"/>
  <c r="E420" i="11"/>
  <c r="E414" i="11"/>
  <c r="E409" i="11"/>
  <c r="E404" i="11"/>
  <c r="E398" i="11"/>
  <c r="E393" i="11"/>
  <c r="E388" i="11"/>
  <c r="E382" i="11"/>
  <c r="E377" i="11"/>
  <c r="E372" i="11"/>
  <c r="E366" i="11"/>
  <c r="E361" i="11"/>
  <c r="E356" i="11"/>
  <c r="E350" i="11"/>
  <c r="E345" i="11"/>
  <c r="E340" i="11"/>
  <c r="E331" i="11"/>
  <c r="E321" i="11"/>
  <c r="E311" i="11"/>
  <c r="E299" i="11"/>
  <c r="E289" i="11"/>
  <c r="E279" i="11"/>
  <c r="E267" i="11"/>
  <c r="E257" i="11"/>
  <c r="E247" i="11"/>
  <c r="E235" i="11"/>
  <c r="E225" i="11"/>
  <c r="E215" i="11"/>
  <c r="E203" i="11"/>
  <c r="E193" i="11"/>
  <c r="E183" i="11"/>
  <c r="E171" i="11"/>
  <c r="E161" i="11"/>
  <c r="E151" i="11"/>
  <c r="E139" i="11"/>
  <c r="E129" i="11"/>
  <c r="E119" i="11"/>
  <c r="E107" i="11"/>
  <c r="E97" i="11"/>
  <c r="E87" i="11"/>
  <c r="E69" i="11"/>
  <c r="E49" i="11"/>
  <c r="E29" i="11"/>
  <c r="B2" i="11"/>
  <c r="B5" i="11"/>
  <c r="B21" i="11"/>
  <c r="B37" i="11"/>
  <c r="B53" i="11"/>
  <c r="B69" i="11"/>
  <c r="B85" i="11"/>
  <c r="B101" i="11"/>
  <c r="B117" i="11"/>
  <c r="B133" i="11"/>
  <c r="B149" i="11"/>
  <c r="B165" i="11"/>
  <c r="B181" i="11"/>
  <c r="B191" i="11"/>
  <c r="B199" i="11"/>
  <c r="B207" i="11"/>
  <c r="B215" i="11"/>
  <c r="B223" i="11"/>
  <c r="B231" i="11"/>
  <c r="B239" i="11"/>
  <c r="B247" i="11"/>
  <c r="B255" i="11"/>
  <c r="B263" i="11"/>
  <c r="B271" i="11"/>
  <c r="B279" i="11"/>
  <c r="B287" i="11"/>
  <c r="B295" i="11"/>
  <c r="B303" i="11"/>
  <c r="B311" i="11"/>
  <c r="B319" i="11"/>
  <c r="B327" i="11"/>
  <c r="B335" i="11"/>
  <c r="B342" i="11"/>
  <c r="B346" i="11"/>
  <c r="B350" i="11"/>
  <c r="B354" i="11"/>
  <c r="B358" i="11"/>
  <c r="B362" i="11"/>
  <c r="B366" i="11"/>
  <c r="B370" i="11"/>
  <c r="B374" i="11"/>
  <c r="B378" i="11"/>
  <c r="B382" i="11"/>
  <c r="B386" i="11"/>
  <c r="B390" i="11"/>
  <c r="B394" i="11"/>
  <c r="B398" i="11"/>
  <c r="B402" i="11"/>
  <c r="B406" i="11"/>
  <c r="B410" i="11"/>
  <c r="B414" i="11"/>
  <c r="B418" i="11"/>
  <c r="B422" i="11"/>
  <c r="B426" i="11"/>
  <c r="B430" i="11"/>
  <c r="B434" i="11"/>
  <c r="B438" i="11"/>
  <c r="B442" i="11"/>
  <c r="B446" i="11"/>
  <c r="B450" i="11"/>
  <c r="B454" i="11"/>
  <c r="B458" i="11"/>
  <c r="B462" i="11"/>
  <c r="B466" i="11"/>
  <c r="B470" i="11"/>
  <c r="B474" i="11"/>
  <c r="B478" i="11"/>
  <c r="B482" i="11"/>
  <c r="B486" i="11"/>
  <c r="B490" i="11"/>
  <c r="B494" i="11"/>
  <c r="B498" i="11"/>
  <c r="B502" i="11"/>
  <c r="B506" i="11"/>
  <c r="B510" i="11"/>
  <c r="B514" i="11"/>
  <c r="B518" i="11"/>
  <c r="B522" i="11"/>
  <c r="B526" i="11"/>
  <c r="B530" i="11"/>
  <c r="B534" i="11"/>
  <c r="B538" i="11"/>
  <c r="B542" i="11"/>
  <c r="B546" i="11"/>
  <c r="B550" i="11"/>
  <c r="B554" i="11"/>
  <c r="B558" i="11"/>
  <c r="B562" i="11"/>
  <c r="B566" i="11"/>
  <c r="B570" i="11"/>
  <c r="B574" i="11"/>
  <c r="B578" i="11"/>
  <c r="B582" i="11"/>
  <c r="B586" i="11"/>
  <c r="B590" i="11"/>
  <c r="B594" i="11"/>
  <c r="B598" i="11"/>
  <c r="B602" i="11"/>
  <c r="B606" i="11"/>
  <c r="B610" i="11"/>
  <c r="B614" i="11"/>
  <c r="B618" i="11"/>
  <c r="B622" i="11"/>
  <c r="B626" i="11"/>
  <c r="B630" i="11"/>
  <c r="B634" i="11"/>
  <c r="B638" i="11"/>
  <c r="B642" i="11"/>
  <c r="B646" i="11"/>
  <c r="B650" i="11"/>
  <c r="B654" i="11"/>
  <c r="B658" i="11"/>
  <c r="B662" i="11"/>
  <c r="B666" i="11"/>
  <c r="B670" i="11"/>
  <c r="B674" i="11"/>
  <c r="B678" i="11"/>
  <c r="B682" i="11"/>
  <c r="B686" i="11"/>
  <c r="B690" i="11"/>
  <c r="B694" i="11"/>
  <c r="B698" i="11"/>
  <c r="B702" i="11"/>
  <c r="B706" i="11"/>
  <c r="B710" i="11"/>
  <c r="B714" i="11"/>
  <c r="B718" i="11"/>
  <c r="B722" i="11"/>
  <c r="B726" i="11"/>
  <c r="B730" i="11"/>
  <c r="B734" i="11"/>
  <c r="B738" i="11"/>
  <c r="B742" i="11"/>
  <c r="B746" i="11"/>
  <c r="B750" i="11"/>
  <c r="B754" i="11"/>
  <c r="B758" i="11"/>
  <c r="B762" i="11"/>
  <c r="B766" i="11"/>
  <c r="B770" i="11"/>
  <c r="B774" i="11"/>
  <c r="B778" i="11"/>
  <c r="B782" i="11"/>
  <c r="B786" i="11"/>
  <c r="B790" i="11"/>
  <c r="B794" i="11"/>
  <c r="B798" i="11"/>
  <c r="B802" i="11"/>
  <c r="B806" i="11"/>
  <c r="B810" i="11"/>
  <c r="B814" i="11"/>
  <c r="B818" i="11"/>
  <c r="B822" i="11"/>
  <c r="B826" i="11"/>
  <c r="B830" i="11"/>
  <c r="B834" i="11"/>
  <c r="B838" i="11"/>
  <c r="B842" i="11"/>
  <c r="B846" i="11"/>
  <c r="B850" i="11"/>
  <c r="B854" i="11"/>
  <c r="B858" i="11"/>
  <c r="B862" i="11"/>
  <c r="B866" i="11"/>
  <c r="B870" i="11"/>
  <c r="B874" i="11"/>
  <c r="B878" i="11"/>
  <c r="B882" i="11"/>
  <c r="B886" i="11"/>
  <c r="B890" i="11"/>
  <c r="B894" i="11"/>
  <c r="B898" i="11"/>
  <c r="B902" i="11"/>
  <c r="B906" i="11"/>
  <c r="B910" i="11"/>
  <c r="B914" i="11"/>
  <c r="B918" i="11"/>
  <c r="B922" i="11"/>
  <c r="B926" i="11"/>
  <c r="B930" i="11"/>
  <c r="B934" i="11"/>
  <c r="B938" i="11"/>
  <c r="B942" i="11"/>
  <c r="B946" i="11"/>
  <c r="B950" i="11"/>
  <c r="B954" i="11"/>
  <c r="B958" i="11"/>
  <c r="B962" i="11"/>
  <c r="B966" i="11"/>
  <c r="B970" i="11"/>
  <c r="B974" i="11"/>
  <c r="B978" i="11"/>
  <c r="B982" i="11"/>
  <c r="B986" i="11"/>
  <c r="B990" i="11"/>
  <c r="B994" i="11"/>
  <c r="B998" i="11"/>
  <c r="B1002" i="11"/>
  <c r="B1006" i="11"/>
  <c r="B1010" i="11"/>
  <c r="B1014" i="11"/>
  <c r="B1018" i="11"/>
  <c r="B1022" i="11"/>
  <c r="B1026" i="11"/>
  <c r="B1030" i="11"/>
  <c r="B1034" i="11"/>
  <c r="B1038" i="11"/>
  <c r="B1042" i="11"/>
  <c r="B1046" i="11"/>
  <c r="B1050" i="11"/>
  <c r="B1054" i="11"/>
  <c r="B1058" i="11"/>
  <c r="B1062" i="11"/>
  <c r="B1066" i="11"/>
  <c r="B1070" i="11"/>
  <c r="B1074" i="11"/>
  <c r="B1078" i="11"/>
  <c r="B1082" i="11"/>
  <c r="B1086" i="11"/>
  <c r="B1090" i="11"/>
  <c r="B1094" i="11"/>
  <c r="B1098" i="11"/>
  <c r="B1102" i="11"/>
  <c r="B1106" i="11"/>
  <c r="B1110" i="11"/>
  <c r="B1114" i="11"/>
  <c r="B1118" i="11"/>
  <c r="B1122" i="11"/>
  <c r="B1126" i="11"/>
  <c r="B1130" i="11"/>
  <c r="B1134" i="11"/>
  <c r="B1138" i="11"/>
  <c r="B1142" i="11"/>
  <c r="B1146" i="11"/>
  <c r="B1150" i="11"/>
  <c r="B1154" i="11"/>
  <c r="B1158" i="11"/>
  <c r="B1162" i="11"/>
  <c r="B1166" i="11"/>
  <c r="B1170" i="11"/>
  <c r="B1174" i="11"/>
  <c r="B1178" i="11"/>
  <c r="B1182" i="11"/>
  <c r="B1186" i="11"/>
  <c r="B1190" i="11"/>
  <c r="B1194" i="11"/>
  <c r="B1198" i="11"/>
  <c r="B1202" i="11"/>
  <c r="B1206" i="11"/>
  <c r="B1210" i="11"/>
  <c r="B1214" i="11"/>
  <c r="B1218" i="11"/>
  <c r="B1222" i="11"/>
  <c r="B1226" i="11"/>
  <c r="B1230" i="11"/>
  <c r="B1234" i="11"/>
  <c r="B1238" i="11"/>
  <c r="B1242" i="11"/>
  <c r="B1246" i="11"/>
  <c r="B1250" i="11"/>
  <c r="B1254" i="11"/>
  <c r="B1258" i="11"/>
  <c r="B1262" i="11"/>
  <c r="B1266" i="11"/>
  <c r="B1270" i="11"/>
  <c r="B1274" i="11"/>
  <c r="B1278" i="11"/>
  <c r="B1282" i="11"/>
  <c r="B1286" i="11"/>
  <c r="B1290" i="11"/>
  <c r="B1294" i="11"/>
  <c r="B1298" i="11"/>
  <c r="D3500" i="11"/>
  <c r="D3494" i="11"/>
  <c r="D3489" i="11"/>
  <c r="D3484" i="11"/>
  <c r="D3478" i="11"/>
  <c r="D3473" i="11"/>
  <c r="D3468" i="11"/>
  <c r="D3462" i="11"/>
  <c r="D3457" i="11"/>
  <c r="D3452" i="11"/>
  <c r="D3446" i="11"/>
  <c r="D3441" i="11"/>
  <c r="D3436" i="11"/>
  <c r="D3430" i="11"/>
  <c r="D3425" i="11"/>
  <c r="D3420" i="11"/>
  <c r="D3414" i="11"/>
  <c r="D3409" i="11"/>
  <c r="D3404" i="11"/>
  <c r="D3398" i="11"/>
  <c r="D3393" i="11"/>
  <c r="D3388" i="11"/>
  <c r="D3382" i="11"/>
  <c r="D3377" i="11"/>
  <c r="D3372" i="11"/>
  <c r="D3366" i="11"/>
  <c r="D3361" i="11"/>
  <c r="D3356" i="11"/>
  <c r="D3350" i="11"/>
  <c r="D3345" i="11"/>
  <c r="D3340" i="11"/>
  <c r="D3334" i="11"/>
  <c r="D3329" i="11"/>
  <c r="D3324" i="11"/>
  <c r="D3318" i="11"/>
  <c r="D3313" i="11"/>
  <c r="D3308" i="11"/>
  <c r="D3302" i="11"/>
  <c r="D3297" i="11"/>
  <c r="D3292" i="11"/>
  <c r="D3286" i="11"/>
  <c r="D3281" i="11"/>
  <c r="D3276" i="11"/>
  <c r="D3270" i="11"/>
  <c r="D3265" i="11"/>
  <c r="D3260" i="11"/>
  <c r="D3254" i="11"/>
  <c r="D3249" i="11"/>
  <c r="D3244" i="11"/>
  <c r="D3238" i="11"/>
  <c r="D3233" i="11"/>
  <c r="D3228" i="11"/>
  <c r="D3222" i="11"/>
  <c r="D3217" i="11"/>
  <c r="D3212" i="11"/>
  <c r="D3206" i="11"/>
  <c r="D3201" i="11"/>
  <c r="D3196" i="11"/>
  <c r="D3190" i="11"/>
  <c r="D3185" i="11"/>
  <c r="D3180" i="11"/>
  <c r="D3174" i="11"/>
  <c r="D3169" i="11"/>
  <c r="D3164" i="11"/>
  <c r="D3158" i="11"/>
  <c r="D3153" i="11"/>
  <c r="D3148" i="11"/>
  <c r="D3142" i="11"/>
  <c r="D3137" i="11"/>
  <c r="D3132" i="11"/>
  <c r="D3126" i="11"/>
  <c r="D3121" i="11"/>
  <c r="D3116" i="11"/>
  <c r="D3110" i="11"/>
  <c r="D3105" i="11"/>
  <c r="D3100" i="11"/>
  <c r="D3094" i="11"/>
  <c r="D3089" i="11"/>
  <c r="D3084" i="11"/>
  <c r="D3078" i="11"/>
  <c r="D3073" i="11"/>
  <c r="D3068" i="11"/>
  <c r="D3062" i="11"/>
  <c r="D3057" i="11"/>
  <c r="D3052" i="11"/>
  <c r="D3046" i="11"/>
  <c r="D3041" i="11"/>
  <c r="D3036" i="11"/>
  <c r="D3030" i="11"/>
  <c r="D3025" i="11"/>
  <c r="D3020" i="11"/>
  <c r="D3014" i="11"/>
  <c r="D3009" i="11"/>
  <c r="D3004" i="11"/>
  <c r="D2998" i="11"/>
  <c r="D2993" i="11"/>
  <c r="D2988" i="11"/>
  <c r="D2982" i="11"/>
  <c r="D2977" i="11"/>
  <c r="D2972" i="11"/>
  <c r="D2966" i="11"/>
  <c r="D2961" i="11"/>
  <c r="D2956" i="11"/>
  <c r="D2950" i="11"/>
  <c r="D2945" i="11"/>
  <c r="D2940" i="11"/>
  <c r="D2934" i="11"/>
  <c r="D2929" i="11"/>
  <c r="D2924" i="11"/>
  <c r="D2918" i="11"/>
  <c r="D2913" i="11"/>
  <c r="D2908" i="11"/>
  <c r="D2902" i="11"/>
  <c r="D2897" i="11"/>
  <c r="D2892" i="11"/>
  <c r="D2886" i="11"/>
  <c r="D2881" i="11"/>
  <c r="D2876" i="11"/>
  <c r="D2870" i="11"/>
  <c r="D2865" i="11"/>
  <c r="D2860" i="11"/>
  <c r="D2854" i="11"/>
  <c r="D2849" i="11"/>
  <c r="D2844" i="11"/>
  <c r="D2838" i="11"/>
  <c r="D2833" i="11"/>
  <c r="D2828" i="11"/>
  <c r="D2822" i="11"/>
  <c r="D2817" i="11"/>
  <c r="D2812" i="11"/>
  <c r="D2806" i="11"/>
  <c r="D2801" i="11"/>
  <c r="D2796" i="11"/>
  <c r="D2790" i="11"/>
  <c r="D2785" i="11"/>
  <c r="D2780" i="11"/>
  <c r="D2774" i="11"/>
  <c r="D2769" i="11"/>
  <c r="D2764" i="11"/>
  <c r="D2758" i="11"/>
  <c r="D2753" i="11"/>
  <c r="D2748" i="11"/>
  <c r="D2742" i="11"/>
  <c r="D2737" i="11"/>
  <c r="D2732" i="11"/>
  <c r="D2726" i="11"/>
  <c r="D2721" i="11"/>
  <c r="D2716" i="11"/>
  <c r="D2710" i="11"/>
  <c r="D2705" i="11"/>
  <c r="D2700" i="11"/>
  <c r="D2694" i="11"/>
  <c r="D2689" i="11"/>
  <c r="D2684" i="11"/>
  <c r="D2678" i="11"/>
  <c r="D2673" i="11"/>
  <c r="D2668" i="11"/>
  <c r="D2662" i="11"/>
  <c r="D2657" i="11"/>
  <c r="D2652" i="11"/>
  <c r="D2646" i="11"/>
  <c r="D2641" i="11"/>
  <c r="D2636" i="11"/>
  <c r="D2630" i="11"/>
  <c r="D2625" i="11"/>
  <c r="D2620" i="11"/>
  <c r="D2614" i="11"/>
  <c r="D2609" i="11"/>
  <c r="D2604" i="11"/>
  <c r="D2598" i="11"/>
  <c r="D2593" i="11"/>
  <c r="D2588" i="11"/>
  <c r="D2582" i="11"/>
  <c r="D2577" i="11"/>
  <c r="D2572" i="11"/>
  <c r="D2566" i="11"/>
  <c r="D2561" i="11"/>
  <c r="D2556" i="11"/>
  <c r="D2550" i="11"/>
  <c r="D2545" i="11"/>
  <c r="D2540" i="11"/>
  <c r="D2534" i="11"/>
  <c r="D2529" i="11"/>
  <c r="D2524" i="11"/>
  <c r="D2518" i="11"/>
  <c r="D2513" i="11"/>
  <c r="D2508" i="11"/>
  <c r="D2502" i="11"/>
  <c r="D2497" i="11"/>
  <c r="D2492" i="11"/>
  <c r="D2486" i="11"/>
  <c r="D2481" i="11"/>
  <c r="D2476" i="11"/>
  <c r="D2470" i="11"/>
  <c r="D2465" i="11"/>
  <c r="D2460" i="11"/>
  <c r="D2454" i="11"/>
  <c r="D2449" i="11"/>
  <c r="D2444" i="11"/>
  <c r="D2438" i="11"/>
  <c r="D2433" i="11"/>
  <c r="D2428" i="11"/>
  <c r="D2422" i="11"/>
  <c r="D2417" i="11"/>
  <c r="D2412" i="11"/>
  <c r="D2406" i="11"/>
  <c r="D2401" i="11"/>
  <c r="D2396" i="11"/>
  <c r="D2390" i="11"/>
  <c r="D2385" i="11"/>
  <c r="D2380" i="11"/>
  <c r="D2374" i="11"/>
  <c r="D2369" i="11"/>
  <c r="D2364" i="11"/>
  <c r="D2358" i="11"/>
  <c r="D2353" i="11"/>
  <c r="D2348" i="11"/>
  <c r="D2342" i="11"/>
  <c r="D2337" i="11"/>
  <c r="D2332" i="11"/>
  <c r="D2326" i="11"/>
  <c r="D2321" i="11"/>
  <c r="D2316" i="11"/>
  <c r="D2310" i="11"/>
  <c r="D2305" i="11"/>
  <c r="D2300" i="11"/>
  <c r="D2294" i="11"/>
  <c r="D2289" i="11"/>
  <c r="D2284" i="11"/>
  <c r="D2278" i="11"/>
  <c r="D2273" i="11"/>
  <c r="D2268" i="11"/>
  <c r="D2262" i="11"/>
  <c r="D2257" i="11"/>
  <c r="D2252" i="11"/>
  <c r="D2246" i="11"/>
  <c r="D2241" i="11"/>
  <c r="D2236" i="11"/>
  <c r="D2230" i="11"/>
  <c r="D2225" i="11"/>
  <c r="D2220" i="11"/>
  <c r="D2214" i="11"/>
  <c r="D2209" i="11"/>
  <c r="D2204" i="11"/>
  <c r="D2198" i="11"/>
  <c r="D2193" i="11"/>
  <c r="D2188" i="11"/>
  <c r="D2182" i="11"/>
  <c r="D2177" i="11"/>
  <c r="D2172" i="11"/>
  <c r="D2166" i="11"/>
  <c r="D2161" i="11"/>
  <c r="D2156" i="11"/>
  <c r="D2150" i="11"/>
  <c r="D2145" i="11"/>
  <c r="D2140" i="11"/>
  <c r="D2134" i="11"/>
  <c r="D2129" i="11"/>
  <c r="D2124" i="11"/>
  <c r="D2118" i="11"/>
  <c r="D2113" i="11"/>
  <c r="D2108" i="11"/>
  <c r="D2102" i="11"/>
  <c r="D2097" i="11"/>
  <c r="D2092" i="11"/>
  <c r="D2086" i="11"/>
  <c r="D2081" i="11"/>
  <c r="D2076" i="11"/>
  <c r="D2070" i="11"/>
  <c r="D2065" i="11"/>
  <c r="D2060" i="11"/>
  <c r="D2054" i="11"/>
  <c r="D2049" i="11"/>
  <c r="D2044" i="11"/>
  <c r="D2038" i="11"/>
  <c r="D2033" i="11"/>
  <c r="D2028" i="11"/>
  <c r="D2022" i="11"/>
  <c r="D2017" i="11"/>
  <c r="D2012" i="11"/>
  <c r="D2006" i="11"/>
  <c r="D2001" i="11"/>
  <c r="D1996" i="11"/>
  <c r="D1990" i="11"/>
  <c r="D1985" i="11"/>
  <c r="D1980" i="11"/>
  <c r="D1974" i="11"/>
  <c r="D1969" i="11"/>
  <c r="D1964" i="11"/>
  <c r="D1958" i="11"/>
  <c r="D1953" i="11"/>
  <c r="D1948" i="11"/>
  <c r="D1942" i="11"/>
  <c r="D1937" i="11"/>
  <c r="D1932" i="11"/>
  <c r="D1926" i="11"/>
  <c r="D1921" i="11"/>
  <c r="D1916" i="11"/>
  <c r="D1910" i="11"/>
  <c r="D1905" i="11"/>
  <c r="D1900" i="11"/>
  <c r="D1894" i="11"/>
  <c r="D1889" i="11"/>
  <c r="D1884" i="11"/>
  <c r="D1878" i="11"/>
  <c r="D1873" i="11"/>
  <c r="D1868" i="11"/>
  <c r="D1862" i="11"/>
  <c r="D1857" i="11"/>
  <c r="D1852" i="11"/>
  <c r="D1846" i="11"/>
  <c r="D1841" i="11"/>
  <c r="D1836" i="11"/>
  <c r="D1830" i="11"/>
  <c r="D1825" i="11"/>
  <c r="D1820" i="11"/>
  <c r="D1814" i="11"/>
  <c r="D1809" i="11"/>
  <c r="D1804" i="11"/>
  <c r="D1798" i="11"/>
  <c r="D1793" i="11"/>
  <c r="D1788" i="11"/>
  <c r="D1782" i="11"/>
  <c r="D1777" i="11"/>
  <c r="D1772" i="11"/>
  <c r="D1766" i="11"/>
  <c r="D1761" i="11"/>
  <c r="D1756" i="11"/>
  <c r="D1750" i="11"/>
  <c r="D1745" i="11"/>
  <c r="D1740" i="11"/>
  <c r="D1734" i="11"/>
  <c r="D1729" i="11"/>
  <c r="D1724" i="11"/>
  <c r="D1718" i="11"/>
  <c r="D1713" i="11"/>
  <c r="D1708" i="11"/>
  <c r="D1702" i="11"/>
  <c r="D1697" i="11"/>
  <c r="D1692" i="11"/>
  <c r="D1686" i="11"/>
  <c r="D1681" i="11"/>
  <c r="D1676" i="11"/>
  <c r="D1670" i="11"/>
  <c r="D1665" i="11"/>
  <c r="D1660" i="11"/>
  <c r="D1654" i="11"/>
  <c r="D1649" i="11"/>
  <c r="D1644" i="11"/>
  <c r="D1638" i="11"/>
  <c r="D1633" i="11"/>
  <c r="D1628" i="11"/>
  <c r="D1622" i="11"/>
  <c r="D1617" i="11"/>
  <c r="D1612" i="11"/>
  <c r="D1606" i="11"/>
  <c r="D1601" i="11"/>
  <c r="D1596" i="11"/>
  <c r="D1590" i="11"/>
  <c r="D1585" i="11"/>
  <c r="D1580" i="11"/>
  <c r="D1574" i="11"/>
  <c r="D1569" i="11"/>
  <c r="D1564" i="11"/>
  <c r="D1558" i="11"/>
  <c r="D1553" i="11"/>
  <c r="D1548" i="11"/>
  <c r="D1542" i="11"/>
  <c r="D1537" i="11"/>
  <c r="D1532" i="11"/>
  <c r="D1526" i="11"/>
  <c r="D1521" i="11"/>
  <c r="D1516" i="11"/>
  <c r="D1510" i="11"/>
  <c r="D1505" i="11"/>
  <c r="D1500" i="11"/>
  <c r="D1494" i="11"/>
  <c r="D1489" i="11"/>
  <c r="D1484" i="11"/>
  <c r="D1478" i="11"/>
  <c r="D1473" i="11"/>
  <c r="D1468" i="11"/>
  <c r="D1462" i="11"/>
  <c r="D1457" i="11"/>
  <c r="D1452" i="11"/>
  <c r="D1446" i="11"/>
  <c r="D1441" i="11"/>
  <c r="D1436" i="11"/>
  <c r="D1430" i="11"/>
  <c r="D1425" i="11"/>
  <c r="D1420" i="11"/>
  <c r="D1414" i="11"/>
  <c r="D1409" i="11"/>
  <c r="D1404" i="11"/>
  <c r="D1398" i="11"/>
  <c r="D1393" i="11"/>
  <c r="D1388" i="11"/>
  <c r="D1382" i="11"/>
  <c r="D1377" i="11"/>
  <c r="D1372" i="11"/>
  <c r="D1366" i="11"/>
  <c r="D1361" i="11"/>
  <c r="D1356" i="11"/>
  <c r="D1350" i="11"/>
  <c r="D1345" i="11"/>
  <c r="D1340" i="11"/>
  <c r="D1334" i="11"/>
  <c r="D1329" i="11"/>
  <c r="D1324" i="11"/>
  <c r="D1318" i="11"/>
  <c r="D1313" i="11"/>
  <c r="D1308" i="11"/>
  <c r="D1302" i="11"/>
  <c r="D1297" i="11"/>
  <c r="D1292" i="11"/>
  <c r="D1286" i="11"/>
  <c r="D1281" i="11"/>
  <c r="D1276" i="11"/>
  <c r="D1270" i="11"/>
  <c r="D1265" i="11"/>
  <c r="D1260" i="11"/>
  <c r="D1254" i="11"/>
  <c r="D1249" i="11"/>
  <c r="D1244" i="11"/>
  <c r="D1238" i="11"/>
  <c r="D1233" i="11"/>
  <c r="D1228" i="11"/>
  <c r="D1222" i="11"/>
  <c r="D1217" i="11"/>
  <c r="D1212" i="11"/>
  <c r="D1206" i="11"/>
  <c r="D1201" i="11"/>
  <c r="D1196" i="11"/>
  <c r="D1190" i="11"/>
  <c r="D1185" i="11"/>
  <c r="D1180" i="11"/>
  <c r="D1174" i="11"/>
  <c r="D1169" i="11"/>
  <c r="D1164" i="11"/>
  <c r="D1158" i="11"/>
  <c r="D1153" i="11"/>
  <c r="D1148" i="11"/>
  <c r="D1142" i="11"/>
  <c r="D1137" i="11"/>
  <c r="D1132" i="11"/>
  <c r="D1126" i="11"/>
  <c r="D1121" i="11"/>
  <c r="D1116" i="11"/>
  <c r="D1110" i="11"/>
  <c r="D1105" i="11"/>
  <c r="D1100" i="11"/>
  <c r="D1094" i="11"/>
  <c r="D1089" i="11"/>
  <c r="D1084" i="11"/>
  <c r="D1078" i="11"/>
  <c r="D1073" i="11"/>
  <c r="D1068" i="11"/>
  <c r="D1062" i="11"/>
  <c r="D1057" i="11"/>
  <c r="D1052" i="11"/>
  <c r="D1046" i="11"/>
  <c r="D1041" i="11"/>
  <c r="D1036" i="11"/>
  <c r="D1030" i="11"/>
  <c r="D1025" i="11"/>
  <c r="D1020" i="11"/>
  <c r="D1014" i="11"/>
  <c r="D1009" i="11"/>
  <c r="D1004" i="11"/>
  <c r="D998" i="11"/>
  <c r="D993" i="11"/>
  <c r="D988" i="11"/>
  <c r="D982" i="11"/>
  <c r="D977" i="11"/>
  <c r="D972" i="11"/>
  <c r="D966" i="11"/>
  <c r="D961" i="11"/>
  <c r="D956" i="11"/>
  <c r="D950" i="11"/>
  <c r="D945" i="11"/>
  <c r="D940" i="11"/>
  <c r="D934" i="11"/>
  <c r="D929" i="11"/>
  <c r="D924" i="11"/>
  <c r="D918" i="11"/>
  <c r="D913" i="11"/>
  <c r="D908" i="11"/>
  <c r="D902" i="11"/>
  <c r="D897" i="11"/>
  <c r="D892" i="11"/>
  <c r="D886" i="11"/>
  <c r="D881" i="11"/>
  <c r="D876" i="11"/>
  <c r="D870" i="11"/>
  <c r="D865" i="11"/>
  <c r="D860" i="11"/>
  <c r="D854" i="11"/>
  <c r="D849" i="11"/>
  <c r="D844" i="11"/>
  <c r="D838" i="11"/>
  <c r="D833" i="11"/>
  <c r="D828" i="11"/>
  <c r="D822" i="11"/>
  <c r="D817" i="11"/>
  <c r="D812" i="11"/>
  <c r="D806" i="11"/>
  <c r="D801" i="11"/>
  <c r="D796" i="11"/>
  <c r="D790" i="11"/>
  <c r="D785" i="11"/>
  <c r="D780" i="11"/>
  <c r="D774" i="11"/>
  <c r="D769" i="11"/>
  <c r="D764" i="11"/>
  <c r="D758" i="11"/>
  <c r="D753" i="11"/>
  <c r="D748" i="11"/>
  <c r="D742" i="11"/>
  <c r="D737" i="11"/>
  <c r="D732" i="11"/>
  <c r="D726" i="11"/>
  <c r="D721" i="11"/>
  <c r="D716" i="11"/>
  <c r="D710" i="11"/>
  <c r="D705" i="11"/>
  <c r="D700" i="11"/>
  <c r="D694" i="11"/>
  <c r="D689" i="11"/>
  <c r="D684" i="11"/>
  <c r="D678" i="11"/>
  <c r="D673" i="11"/>
  <c r="D668" i="11"/>
  <c r="D662" i="11"/>
  <c r="D657" i="11"/>
  <c r="D652" i="11"/>
  <c r="D646" i="11"/>
  <c r="D639" i="11"/>
  <c r="D632" i="11"/>
  <c r="D624" i="11"/>
  <c r="D618" i="11"/>
  <c r="D611" i="11"/>
  <c r="D603" i="11"/>
  <c r="D596" i="11"/>
  <c r="D590" i="11"/>
  <c r="D582" i="11"/>
  <c r="D575" i="11"/>
  <c r="D568" i="11"/>
  <c r="D560" i="11"/>
  <c r="D554" i="11"/>
  <c r="D547" i="11"/>
  <c r="D539" i="11"/>
  <c r="D532" i="11"/>
  <c r="D526" i="11"/>
  <c r="D518" i="11"/>
  <c r="D511" i="11"/>
  <c r="D504" i="11"/>
  <c r="D492" i="11"/>
  <c r="D483" i="11"/>
  <c r="D472" i="11"/>
  <c r="D460" i="11"/>
  <c r="D451" i="11"/>
  <c r="D440" i="11"/>
  <c r="D428" i="11"/>
  <c r="D419" i="11"/>
  <c r="D408" i="11"/>
  <c r="D396" i="11"/>
  <c r="D387" i="11"/>
  <c r="D376" i="11"/>
  <c r="D364" i="11"/>
  <c r="D355" i="11"/>
  <c r="D344" i="11"/>
  <c r="D329" i="11"/>
  <c r="D317" i="11"/>
  <c r="D297" i="11"/>
  <c r="D273" i="11"/>
  <c r="D255" i="11"/>
  <c r="D233" i="11"/>
  <c r="D209" i="11"/>
  <c r="D191" i="11"/>
  <c r="D169" i="11"/>
  <c r="D145" i="11"/>
  <c r="D127" i="11"/>
  <c r="D105" i="11"/>
  <c r="D81" i="11"/>
  <c r="D63" i="11"/>
  <c r="D41" i="11"/>
  <c r="D17" i="11"/>
  <c r="E2" i="11"/>
  <c r="E9" i="11"/>
  <c r="E25" i="11"/>
  <c r="E41" i="11"/>
  <c r="E57" i="11"/>
  <c r="E73" i="11"/>
  <c r="E85" i="11"/>
  <c r="E93" i="11"/>
  <c r="E101" i="11"/>
  <c r="E109" i="11"/>
  <c r="E117" i="11"/>
  <c r="E125" i="11"/>
  <c r="E133" i="11"/>
  <c r="E141" i="11"/>
  <c r="E149" i="11"/>
  <c r="E157" i="11"/>
  <c r="E165" i="11"/>
  <c r="E173" i="11"/>
  <c r="E181" i="11"/>
  <c r="E189" i="11"/>
  <c r="E197" i="11"/>
  <c r="E205" i="11"/>
  <c r="E213" i="11"/>
  <c r="E221" i="11"/>
  <c r="E229" i="11"/>
  <c r="E237" i="11"/>
  <c r="E245" i="11"/>
  <c r="E253" i="11"/>
  <c r="E261" i="11"/>
  <c r="E269" i="11"/>
  <c r="E277" i="11"/>
  <c r="E285" i="11"/>
  <c r="E293" i="11"/>
  <c r="E301" i="11"/>
  <c r="E309" i="11"/>
  <c r="E317" i="11"/>
  <c r="E325" i="11"/>
  <c r="E333" i="11"/>
  <c r="E339" i="11"/>
  <c r="E343" i="11"/>
  <c r="E347" i="11"/>
  <c r="E351" i="11"/>
  <c r="E355" i="11"/>
  <c r="E359" i="11"/>
  <c r="E363" i="11"/>
  <c r="E367" i="11"/>
  <c r="E371" i="11"/>
  <c r="E375" i="11"/>
  <c r="E379" i="11"/>
  <c r="E383" i="11"/>
  <c r="E387" i="11"/>
  <c r="E391" i="11"/>
  <c r="E395" i="11"/>
  <c r="E399" i="11"/>
  <c r="E403" i="11"/>
  <c r="E407" i="11"/>
  <c r="E411" i="11"/>
  <c r="E415" i="11"/>
  <c r="E419" i="11"/>
  <c r="E423" i="11"/>
  <c r="E427" i="11"/>
  <c r="E431" i="11"/>
  <c r="E435" i="11"/>
  <c r="E439" i="11"/>
  <c r="E443" i="11"/>
  <c r="E447" i="11"/>
  <c r="E451" i="11"/>
  <c r="E455" i="11"/>
  <c r="E459" i="11"/>
  <c r="E463" i="11"/>
  <c r="E467" i="11"/>
  <c r="E471" i="11"/>
  <c r="E475" i="11"/>
  <c r="E479" i="11"/>
  <c r="E483" i="11"/>
  <c r="E487" i="11"/>
  <c r="E491" i="11"/>
  <c r="E495" i="11"/>
  <c r="E499" i="11"/>
  <c r="E503" i="11"/>
  <c r="E507" i="11"/>
  <c r="E511" i="11"/>
  <c r="E515" i="11"/>
  <c r="E519" i="11"/>
  <c r="E523" i="11"/>
  <c r="E527" i="11"/>
  <c r="E531" i="11"/>
  <c r="E535" i="11"/>
  <c r="E539" i="11"/>
  <c r="E543" i="11"/>
  <c r="E547" i="11"/>
  <c r="E551" i="11"/>
  <c r="E555" i="11"/>
  <c r="E559" i="11"/>
  <c r="E563" i="11"/>
  <c r="E567" i="11"/>
  <c r="E571" i="11"/>
  <c r="E575" i="11"/>
  <c r="E579" i="11"/>
  <c r="E583" i="11"/>
  <c r="E587" i="11"/>
  <c r="E591" i="11"/>
  <c r="E595" i="11"/>
  <c r="E599" i="11"/>
  <c r="E603" i="11"/>
  <c r="E607" i="11"/>
  <c r="E611" i="11"/>
  <c r="E615" i="11"/>
  <c r="E619" i="11"/>
  <c r="E623" i="11"/>
  <c r="E627" i="11"/>
  <c r="E631" i="11"/>
  <c r="E635" i="11"/>
  <c r="E639" i="11"/>
  <c r="E643" i="11"/>
  <c r="E647" i="11"/>
  <c r="E651" i="11"/>
  <c r="E655" i="11"/>
  <c r="E659" i="11"/>
  <c r="E663" i="11"/>
  <c r="E667" i="11"/>
  <c r="E671" i="11"/>
  <c r="E675" i="11"/>
  <c r="E679" i="11"/>
  <c r="E683" i="11"/>
  <c r="E687" i="11"/>
  <c r="E691" i="11"/>
  <c r="E695" i="11"/>
  <c r="E699" i="11"/>
  <c r="E703" i="11"/>
  <c r="E707" i="11"/>
  <c r="E711" i="11"/>
  <c r="E715" i="11"/>
  <c r="E719" i="11"/>
  <c r="E723" i="11"/>
  <c r="E727" i="11"/>
  <c r="E731" i="11"/>
  <c r="E735" i="11"/>
  <c r="E739" i="11"/>
  <c r="E743" i="11"/>
  <c r="E747" i="11"/>
  <c r="E751" i="11"/>
  <c r="E755" i="11"/>
  <c r="E759" i="11"/>
  <c r="E763" i="11"/>
  <c r="E767" i="11"/>
  <c r="E771" i="11"/>
  <c r="E775" i="11"/>
  <c r="E779" i="11"/>
  <c r="E783" i="11"/>
  <c r="E787" i="11"/>
  <c r="E791" i="11"/>
  <c r="E795" i="11"/>
  <c r="E799" i="11"/>
  <c r="E803" i="11"/>
  <c r="E807" i="11"/>
  <c r="E811" i="11"/>
  <c r="E815" i="11"/>
  <c r="E819" i="11"/>
  <c r="E823" i="11"/>
  <c r="E827" i="11"/>
  <c r="E831" i="11"/>
  <c r="E835" i="11"/>
  <c r="E839" i="11"/>
  <c r="E843" i="11"/>
  <c r="E847" i="11"/>
  <c r="E851" i="11"/>
  <c r="E855" i="11"/>
  <c r="E859" i="11"/>
  <c r="E863" i="11"/>
  <c r="E867" i="11"/>
  <c r="E871" i="11"/>
  <c r="E875" i="11"/>
  <c r="E879" i="11"/>
  <c r="E883" i="11"/>
  <c r="E887" i="11"/>
  <c r="E891" i="11"/>
  <c r="E895" i="11"/>
  <c r="E899" i="11"/>
  <c r="E903" i="11"/>
  <c r="E907" i="11"/>
  <c r="E911" i="11"/>
  <c r="E915" i="11"/>
  <c r="E919" i="11"/>
  <c r="E923" i="11"/>
  <c r="E927" i="11"/>
  <c r="E931" i="11"/>
  <c r="E935" i="11"/>
  <c r="E939" i="11"/>
  <c r="E943" i="11"/>
  <c r="E947" i="11"/>
  <c r="E951" i="11"/>
  <c r="E955" i="11"/>
  <c r="E959" i="11"/>
  <c r="E963" i="11"/>
  <c r="E967" i="11"/>
  <c r="E971" i="11"/>
  <c r="E975" i="11"/>
  <c r="E979" i="11"/>
  <c r="E983" i="11"/>
  <c r="E987" i="11"/>
  <c r="E991" i="11"/>
  <c r="E995" i="11"/>
  <c r="E999" i="11"/>
  <c r="E1003" i="11"/>
  <c r="E1007" i="11"/>
  <c r="E1011" i="11"/>
  <c r="E1015" i="11"/>
  <c r="E1019" i="11"/>
  <c r="E1023" i="11"/>
  <c r="E1027" i="11"/>
  <c r="E1031" i="11"/>
  <c r="E1035" i="11"/>
  <c r="E1039" i="11"/>
  <c r="E1043" i="11"/>
  <c r="E1047" i="11"/>
  <c r="E1051" i="11"/>
  <c r="E1055" i="11"/>
  <c r="E1059" i="11"/>
  <c r="E1063" i="11"/>
  <c r="E1067" i="11"/>
  <c r="E1071" i="11"/>
  <c r="E1075" i="11"/>
  <c r="E1079" i="11"/>
  <c r="E1083" i="11"/>
  <c r="E1087" i="11"/>
  <c r="E1091" i="11"/>
  <c r="E1095" i="11"/>
  <c r="E1099" i="11"/>
  <c r="E1103" i="11"/>
  <c r="E1107" i="11"/>
  <c r="E1111" i="11"/>
  <c r="E1115" i="11"/>
  <c r="E1119" i="11"/>
  <c r="E1123" i="11"/>
  <c r="E1127" i="11"/>
  <c r="E1131" i="11"/>
  <c r="E1135" i="11"/>
  <c r="E1139" i="11"/>
  <c r="E1143" i="11"/>
  <c r="E1147" i="11"/>
  <c r="E1151" i="11"/>
  <c r="E1155" i="11"/>
  <c r="E1159" i="11"/>
  <c r="E1163" i="11"/>
  <c r="E1167" i="11"/>
  <c r="E1171" i="11"/>
  <c r="E1175" i="11"/>
  <c r="E1179" i="11"/>
  <c r="E1183" i="11"/>
  <c r="E1187" i="11"/>
  <c r="E1191" i="11"/>
  <c r="E1195" i="11"/>
  <c r="E1199" i="11"/>
  <c r="E1203" i="11"/>
  <c r="E1207" i="11"/>
  <c r="E1211" i="11"/>
  <c r="E1215" i="11"/>
  <c r="E1219" i="11"/>
  <c r="E1223" i="11"/>
  <c r="E1227" i="11"/>
  <c r="E1231" i="11"/>
  <c r="E1235" i="11"/>
  <c r="E1239" i="11"/>
  <c r="E1243" i="11"/>
  <c r="E1247" i="11"/>
  <c r="E1251" i="11"/>
  <c r="E1255" i="11"/>
  <c r="E1259" i="11"/>
  <c r="E1263" i="11"/>
  <c r="E1267" i="11"/>
  <c r="E1271" i="11"/>
  <c r="E1275" i="11"/>
  <c r="E1279" i="11"/>
  <c r="E1283" i="11"/>
  <c r="E1287" i="11"/>
  <c r="E1291" i="11"/>
  <c r="E1295" i="11"/>
  <c r="E1299" i="11"/>
  <c r="E1303" i="11"/>
  <c r="E1307" i="11"/>
  <c r="E1311" i="11"/>
  <c r="E1315" i="11"/>
  <c r="E1319" i="11"/>
  <c r="E1323" i="11"/>
  <c r="E1327" i="11"/>
  <c r="E1331" i="11"/>
  <c r="E1335" i="11"/>
  <c r="E1339" i="11"/>
  <c r="E1343" i="11"/>
  <c r="E1347" i="11"/>
  <c r="E1351" i="11"/>
  <c r="E1355" i="11"/>
  <c r="E1359" i="11"/>
  <c r="E1363" i="11"/>
  <c r="E1367" i="11"/>
  <c r="E1371" i="11"/>
  <c r="E1375" i="11"/>
  <c r="E1379" i="11"/>
  <c r="E1383" i="11"/>
  <c r="E1387" i="11"/>
  <c r="E1391" i="11"/>
  <c r="E1395" i="11"/>
  <c r="E1399" i="11"/>
  <c r="E1403" i="11"/>
  <c r="E1407" i="11"/>
  <c r="E1411" i="11"/>
  <c r="E1415" i="11"/>
  <c r="E1419" i="11"/>
  <c r="E1423" i="11"/>
  <c r="E1427" i="11"/>
  <c r="E1431" i="11"/>
  <c r="E1435" i="11"/>
  <c r="E1439" i="11"/>
  <c r="E1443" i="11"/>
  <c r="E1447" i="11"/>
  <c r="E1451" i="11"/>
  <c r="E1455" i="11"/>
  <c r="E1459" i="11"/>
  <c r="E1463" i="11"/>
  <c r="E1467" i="11"/>
  <c r="E1471" i="11"/>
  <c r="E1475" i="11"/>
  <c r="E1479" i="11"/>
  <c r="E1483" i="11"/>
  <c r="E1487" i="11"/>
  <c r="E1491" i="11"/>
  <c r="E1495" i="11"/>
  <c r="E1499" i="11"/>
  <c r="E1503" i="11"/>
  <c r="E1507" i="11"/>
  <c r="E1511" i="11"/>
  <c r="E1515" i="11"/>
  <c r="E1519" i="11"/>
  <c r="E1523" i="11"/>
  <c r="E1527" i="11"/>
  <c r="E1531" i="11"/>
  <c r="E1535" i="11"/>
  <c r="E1539" i="11"/>
  <c r="E1543" i="11"/>
  <c r="E1547" i="11"/>
  <c r="E1551" i="11"/>
  <c r="E1555" i="11"/>
  <c r="E1559" i="11"/>
  <c r="E1563" i="11"/>
  <c r="E1567" i="11"/>
  <c r="E1571" i="11"/>
  <c r="E1575" i="11"/>
  <c r="E1579" i="11"/>
  <c r="E1583" i="11"/>
  <c r="E1587" i="11"/>
  <c r="E1591" i="11"/>
  <c r="E1595" i="11"/>
  <c r="E1599" i="11"/>
  <c r="E1603" i="11"/>
  <c r="E1607" i="11"/>
  <c r="E1611" i="11"/>
  <c r="E1615" i="11"/>
  <c r="E1619" i="11"/>
  <c r="E1623" i="11"/>
  <c r="E1627" i="11"/>
  <c r="E1631" i="11"/>
  <c r="E1635" i="11"/>
  <c r="E1639" i="11"/>
  <c r="E1643" i="11"/>
  <c r="E1647" i="11"/>
  <c r="E1651" i="11"/>
  <c r="E1655" i="11"/>
  <c r="E1659" i="11"/>
  <c r="E1663" i="11"/>
  <c r="E1667" i="11"/>
  <c r="E1671" i="11"/>
  <c r="E1675" i="11"/>
  <c r="E1679" i="11"/>
  <c r="E1683" i="11"/>
  <c r="E1687" i="11"/>
  <c r="E1691" i="11"/>
  <c r="E1695" i="11"/>
  <c r="E1699" i="11"/>
  <c r="E1703" i="11"/>
  <c r="E1707" i="11"/>
  <c r="E1711" i="11"/>
  <c r="E1715" i="11"/>
  <c r="E1719" i="11"/>
  <c r="E1723" i="11"/>
  <c r="E1727" i="11"/>
  <c r="E1731" i="11"/>
  <c r="E1735" i="11"/>
  <c r="E1739" i="11"/>
  <c r="E1743" i="11"/>
  <c r="E1747" i="11"/>
  <c r="E1751" i="11"/>
  <c r="E1755" i="11"/>
  <c r="E1759" i="11"/>
  <c r="E1763" i="11"/>
  <c r="E1767" i="11"/>
  <c r="E1771" i="11"/>
  <c r="E1775" i="11"/>
  <c r="E1779" i="11"/>
  <c r="E1783" i="11"/>
  <c r="E1787" i="11"/>
  <c r="E1791" i="11"/>
  <c r="E1795" i="11"/>
  <c r="E1799" i="11"/>
  <c r="E1803" i="11"/>
  <c r="E1807" i="11"/>
  <c r="E1811" i="11"/>
  <c r="E1815" i="11"/>
  <c r="E1819" i="11"/>
  <c r="E1823" i="11"/>
  <c r="E1827" i="11"/>
  <c r="E1831" i="11"/>
  <c r="E1835" i="11"/>
  <c r="E1839" i="11"/>
  <c r="E1843" i="11"/>
  <c r="E1847" i="11"/>
  <c r="E1851" i="11"/>
  <c r="E1855" i="11"/>
  <c r="E1859" i="11"/>
  <c r="E1863" i="11"/>
  <c r="E1867" i="11"/>
  <c r="E1871" i="11"/>
  <c r="E1875" i="11"/>
  <c r="E1879" i="11"/>
  <c r="E1883" i="11"/>
  <c r="E1887" i="11"/>
  <c r="E1891" i="11"/>
  <c r="E1895" i="11"/>
  <c r="E1899" i="11"/>
  <c r="E1903" i="11"/>
  <c r="E1907" i="11"/>
  <c r="E1911" i="11"/>
  <c r="E1915" i="11"/>
  <c r="E1919" i="11"/>
  <c r="E1923" i="11"/>
  <c r="E1927" i="11"/>
  <c r="E1931" i="11"/>
  <c r="E1935" i="11"/>
  <c r="E1939" i="11"/>
  <c r="E1943" i="11"/>
  <c r="E1947" i="11"/>
  <c r="E1951" i="11"/>
  <c r="E1955" i="11"/>
  <c r="E1959" i="11"/>
  <c r="E1963" i="11"/>
  <c r="E1967" i="11"/>
  <c r="E1971" i="11"/>
  <c r="E1975" i="11"/>
  <c r="E1979" i="11"/>
  <c r="E1983" i="11"/>
  <c r="E1987" i="11"/>
  <c r="E1991" i="11"/>
  <c r="E1995" i="11"/>
  <c r="E1999" i="11"/>
  <c r="E2003" i="11"/>
  <c r="E2007" i="11"/>
  <c r="E2011" i="11"/>
  <c r="E2015" i="11"/>
  <c r="E2019" i="11"/>
  <c r="E2023" i="11"/>
  <c r="E2027" i="11"/>
  <c r="E2031" i="11"/>
  <c r="E2035" i="11"/>
  <c r="E2039" i="11"/>
  <c r="E2043" i="11"/>
  <c r="E2047" i="11"/>
  <c r="E2051" i="11"/>
  <c r="E2055" i="11"/>
  <c r="E2059" i="11"/>
  <c r="E2063" i="11"/>
  <c r="E2067" i="11"/>
  <c r="E2071" i="11"/>
  <c r="E2075" i="11"/>
  <c r="E2079" i="11"/>
  <c r="E2083" i="11"/>
  <c r="E2087" i="11"/>
  <c r="E2091" i="11"/>
  <c r="E2095" i="11"/>
  <c r="E2099" i="11"/>
  <c r="E2103" i="11"/>
  <c r="E2107" i="11"/>
  <c r="E2111" i="11"/>
  <c r="E2115" i="11"/>
  <c r="E2119" i="11"/>
  <c r="E2123" i="11"/>
  <c r="E2127" i="11"/>
  <c r="E2131" i="11"/>
  <c r="E2135" i="11"/>
  <c r="E2139" i="11"/>
  <c r="E2143" i="11"/>
  <c r="E2147" i="11"/>
  <c r="E2151" i="11"/>
  <c r="E2155" i="11"/>
  <c r="E2159" i="11"/>
  <c r="E2163" i="11"/>
  <c r="E2167" i="11"/>
  <c r="E2171" i="11"/>
  <c r="E2175" i="11"/>
  <c r="E2179" i="11"/>
  <c r="E2183" i="11"/>
  <c r="E2187" i="11"/>
  <c r="E2191" i="11"/>
  <c r="E2195" i="11"/>
  <c r="E2199" i="11"/>
  <c r="E2203" i="11"/>
  <c r="E2207" i="11"/>
  <c r="E2211" i="11"/>
  <c r="E2215" i="11"/>
  <c r="E2219" i="11"/>
  <c r="E2223" i="11"/>
  <c r="E2227" i="11"/>
  <c r="E2231" i="11"/>
  <c r="E2235" i="11"/>
  <c r="E2239" i="11"/>
  <c r="E2243" i="11"/>
  <c r="E2247" i="11"/>
  <c r="E2251" i="11"/>
  <c r="E2255" i="11"/>
  <c r="E2259" i="11"/>
  <c r="E2263" i="11"/>
  <c r="E2267" i="11"/>
  <c r="E2271" i="11"/>
  <c r="E2275" i="11"/>
  <c r="E2279" i="11"/>
  <c r="E2283" i="11"/>
  <c r="E2287" i="11"/>
  <c r="E2291" i="11"/>
  <c r="E2295" i="11"/>
  <c r="E2299" i="11"/>
  <c r="E2303" i="11"/>
  <c r="E2307" i="11"/>
  <c r="E2311" i="11"/>
  <c r="E2315" i="11"/>
  <c r="E2319" i="11"/>
  <c r="E2323" i="11"/>
  <c r="E2327" i="11"/>
  <c r="E2331" i="11"/>
  <c r="E2335" i="11"/>
  <c r="E2339" i="11"/>
  <c r="E2343" i="11"/>
  <c r="E2347" i="11"/>
  <c r="E2351" i="11"/>
  <c r="E2355" i="11"/>
  <c r="E2359" i="11"/>
  <c r="E2363" i="11"/>
  <c r="E2367" i="11"/>
  <c r="E2371" i="11"/>
  <c r="E2375" i="11"/>
  <c r="E2379" i="11"/>
  <c r="E2383" i="11"/>
  <c r="E2387" i="11"/>
  <c r="E2391" i="11"/>
  <c r="E2395" i="11"/>
  <c r="E2399" i="11"/>
  <c r="E2403" i="11"/>
  <c r="E2407" i="11"/>
  <c r="E2411" i="11"/>
  <c r="E2415" i="11"/>
  <c r="E2419" i="11"/>
  <c r="E2423" i="11"/>
  <c r="E2427" i="11"/>
  <c r="E2431" i="11"/>
  <c r="E2435" i="11"/>
  <c r="E2439" i="11"/>
  <c r="E2443" i="11"/>
  <c r="E2447" i="11"/>
  <c r="E2451" i="11"/>
  <c r="E2455" i="11"/>
  <c r="E2459" i="11"/>
  <c r="E2463" i="11"/>
  <c r="E2467" i="11"/>
  <c r="E2471" i="11"/>
  <c r="E2475" i="11"/>
  <c r="E2479" i="11"/>
  <c r="E2483" i="11"/>
  <c r="E2487" i="11"/>
  <c r="E2491" i="11"/>
  <c r="E2495" i="11"/>
  <c r="E2499" i="11"/>
  <c r="E2503" i="11"/>
  <c r="E2507" i="11"/>
  <c r="E2511" i="11"/>
  <c r="E2515" i="11"/>
  <c r="E2519" i="11"/>
  <c r="E2523" i="11"/>
  <c r="E2527" i="11"/>
  <c r="E2531" i="11"/>
  <c r="E2535" i="11"/>
  <c r="E2539" i="11"/>
  <c r="E2543" i="11"/>
  <c r="E2547" i="11"/>
  <c r="E2551" i="11"/>
  <c r="E2555" i="11"/>
  <c r="E2559" i="11"/>
  <c r="E2563" i="11"/>
  <c r="E2567" i="11"/>
  <c r="E2571" i="11"/>
  <c r="E2575" i="11"/>
  <c r="E2579" i="11"/>
  <c r="E2583" i="11"/>
  <c r="E2587" i="11"/>
  <c r="E2591" i="11"/>
  <c r="E2595" i="11"/>
  <c r="E2599" i="11"/>
  <c r="E2603" i="11"/>
  <c r="E2607" i="11"/>
  <c r="E2611" i="11"/>
  <c r="E2615" i="11"/>
  <c r="E2619" i="11"/>
  <c r="E2623" i="11"/>
  <c r="E2627" i="11"/>
  <c r="E2631" i="11"/>
  <c r="E2635" i="11"/>
  <c r="E2639" i="11"/>
  <c r="E2643" i="11"/>
  <c r="E2647" i="11"/>
  <c r="E2651" i="11"/>
  <c r="E2655" i="11"/>
  <c r="E2659" i="11"/>
  <c r="E2663" i="11"/>
  <c r="E2667" i="11"/>
  <c r="E2671" i="11"/>
  <c r="E2675" i="11"/>
  <c r="E2679" i="11"/>
  <c r="E2683" i="11"/>
  <c r="E2687" i="11"/>
  <c r="E2691" i="11"/>
  <c r="E2695" i="11"/>
  <c r="E2699" i="11"/>
  <c r="E2703" i="11"/>
  <c r="E2707" i="11"/>
  <c r="E2711" i="11"/>
  <c r="E2715" i="11"/>
  <c r="E2719" i="11"/>
  <c r="E2723" i="11"/>
  <c r="E2727" i="11"/>
  <c r="E2731" i="11"/>
  <c r="E2735" i="11"/>
  <c r="E2739" i="11"/>
  <c r="E2743" i="11"/>
  <c r="E2747" i="11"/>
  <c r="E2751" i="11"/>
  <c r="E2755" i="11"/>
  <c r="E2759" i="11"/>
  <c r="E2763" i="11"/>
  <c r="E2767" i="11"/>
  <c r="E2771" i="11"/>
  <c r="E2775" i="11"/>
  <c r="E2779" i="11"/>
  <c r="E2783" i="11"/>
  <c r="E2787" i="11"/>
  <c r="E2791" i="11"/>
  <c r="E2795" i="11"/>
  <c r="E2799" i="11"/>
  <c r="E2803" i="11"/>
  <c r="E2807" i="11"/>
  <c r="E2811" i="11"/>
  <c r="E2815" i="11"/>
  <c r="E2819" i="11"/>
  <c r="E2823" i="11"/>
  <c r="E2827" i="11"/>
  <c r="E2831" i="11"/>
  <c r="E2835" i="11"/>
  <c r="E2839" i="11"/>
  <c r="E2843" i="11"/>
  <c r="E2847" i="11"/>
  <c r="E2851" i="11"/>
  <c r="E2855" i="11"/>
  <c r="E2859" i="11"/>
  <c r="E2863" i="11"/>
  <c r="E2867" i="11"/>
  <c r="E2871" i="11"/>
  <c r="E2875" i="11"/>
  <c r="E2879" i="11"/>
  <c r="E2883" i="11"/>
  <c r="E2887" i="11"/>
  <c r="E2891" i="11"/>
  <c r="E2895" i="11"/>
  <c r="E2899" i="11"/>
  <c r="E2903" i="11"/>
  <c r="E2907" i="11"/>
  <c r="E2911" i="11"/>
  <c r="E2915" i="11"/>
  <c r="E2919" i="11"/>
  <c r="E2923" i="11"/>
  <c r="E2927" i="11"/>
  <c r="E2931" i="11"/>
  <c r="E2935" i="11"/>
  <c r="E2939" i="11"/>
  <c r="E2943" i="11"/>
  <c r="E2947" i="11"/>
  <c r="E2951" i="11"/>
  <c r="E2955" i="11"/>
  <c r="E2959" i="11"/>
  <c r="E2963" i="11"/>
  <c r="E2967" i="11"/>
  <c r="E2971" i="11"/>
  <c r="E2975" i="11"/>
  <c r="E2979" i="11"/>
  <c r="E2983" i="11"/>
  <c r="E2987" i="11"/>
  <c r="E2991" i="11"/>
  <c r="E2995" i="11"/>
  <c r="E2999" i="11"/>
  <c r="E3003" i="11"/>
  <c r="E3007" i="11"/>
  <c r="E3011" i="11"/>
  <c r="E3015" i="11"/>
  <c r="E3019" i="11"/>
  <c r="E3023" i="11"/>
  <c r="E3027" i="11"/>
  <c r="E3031" i="11"/>
  <c r="E3035" i="11"/>
  <c r="E3039" i="11"/>
  <c r="E3043" i="11"/>
  <c r="E3047" i="11"/>
  <c r="E3051" i="11"/>
  <c r="E3055" i="11"/>
  <c r="E3059" i="11"/>
  <c r="E3063" i="11"/>
  <c r="E3067" i="11"/>
  <c r="E3071" i="11"/>
  <c r="E3075" i="11"/>
  <c r="E3079" i="11"/>
  <c r="E3083" i="11"/>
  <c r="E3087" i="11"/>
  <c r="E3091" i="11"/>
  <c r="E3095" i="11"/>
  <c r="E3099" i="11"/>
  <c r="E3103" i="11"/>
  <c r="E3107" i="11"/>
  <c r="E3111" i="11"/>
  <c r="E3115" i="11"/>
  <c r="E3119" i="11"/>
  <c r="E3123" i="11"/>
  <c r="E3127" i="11"/>
  <c r="E3131" i="11"/>
  <c r="E3135" i="11"/>
  <c r="E3139" i="11"/>
  <c r="E3143" i="11"/>
  <c r="E3147" i="11"/>
  <c r="E3151" i="11"/>
  <c r="E3155" i="11"/>
  <c r="E3159" i="11"/>
  <c r="E3163" i="11"/>
  <c r="E3167" i="11"/>
  <c r="E3171" i="11"/>
  <c r="E3175" i="11"/>
  <c r="E3179" i="11"/>
  <c r="E3183" i="11"/>
  <c r="E3187" i="11"/>
  <c r="E3191" i="11"/>
  <c r="E3195" i="11"/>
  <c r="E3199" i="11"/>
  <c r="E3203" i="11"/>
  <c r="E3207" i="11"/>
  <c r="E3211" i="11"/>
  <c r="E3215" i="11"/>
  <c r="E3219" i="11"/>
  <c r="E3223" i="11"/>
  <c r="E3227" i="11"/>
  <c r="E3231" i="11"/>
  <c r="E3235" i="11"/>
  <c r="E3239" i="11"/>
  <c r="E3243" i="11"/>
  <c r="E3247" i="11"/>
  <c r="E3251" i="11"/>
  <c r="E3255" i="11"/>
  <c r="E3259" i="11"/>
  <c r="E3263" i="11"/>
  <c r="E3267" i="11"/>
  <c r="E3271" i="11"/>
  <c r="E3275" i="11"/>
  <c r="E3279" i="11"/>
  <c r="E3283" i="11"/>
  <c r="E3287" i="11"/>
  <c r="E3291" i="11"/>
  <c r="E3295" i="11"/>
  <c r="E3299" i="11"/>
  <c r="E3303" i="11"/>
  <c r="E3307" i="11"/>
  <c r="E3311" i="11"/>
  <c r="E3315" i="11"/>
  <c r="E3319" i="11"/>
  <c r="E3323" i="11"/>
  <c r="E3327" i="11"/>
  <c r="E3331" i="11"/>
  <c r="E3335" i="11"/>
  <c r="E3339" i="11"/>
  <c r="E3343" i="11"/>
  <c r="E3347" i="11"/>
  <c r="E3351" i="11"/>
  <c r="E3355" i="11"/>
  <c r="E3359" i="11"/>
  <c r="E3363" i="11"/>
  <c r="E3367" i="11"/>
  <c r="E3371" i="11"/>
  <c r="E3375" i="11"/>
  <c r="E3379" i="11"/>
  <c r="E3383" i="11"/>
  <c r="E3387" i="11"/>
  <c r="E3391" i="11"/>
  <c r="E3395" i="11"/>
  <c r="E3399" i="11"/>
  <c r="E3403" i="11"/>
  <c r="E3407" i="11"/>
  <c r="E3411" i="11"/>
  <c r="E3415" i="11"/>
  <c r="E3419" i="11"/>
  <c r="E3423" i="11"/>
  <c r="E3427" i="11"/>
  <c r="E3431" i="11"/>
  <c r="E3435" i="11"/>
  <c r="E3439" i="11"/>
  <c r="E3443" i="11"/>
  <c r="E3447" i="11"/>
  <c r="E3451" i="11"/>
  <c r="E3455" i="11"/>
  <c r="E3459" i="11"/>
  <c r="E3463" i="11"/>
  <c r="E3467" i="11"/>
  <c r="E3471" i="11"/>
  <c r="E3475" i="11"/>
  <c r="E3479" i="11"/>
  <c r="E3483" i="11"/>
  <c r="E3487" i="11"/>
  <c r="E3491" i="11"/>
  <c r="E3495" i="11"/>
  <c r="E3499" i="11"/>
  <c r="G3498" i="11"/>
  <c r="G3494" i="11"/>
  <c r="G3490" i="11"/>
  <c r="G3486" i="11"/>
  <c r="G3482" i="11"/>
  <c r="G3478" i="11"/>
  <c r="G3474" i="11"/>
  <c r="G3470" i="11"/>
  <c r="G3466" i="11"/>
  <c r="G3462" i="11"/>
  <c r="G3458" i="11"/>
  <c r="G3454" i="11"/>
  <c r="G3450" i="11"/>
  <c r="G3446" i="11"/>
  <c r="G3442" i="11"/>
  <c r="G3438" i="11"/>
  <c r="G3434" i="11"/>
  <c r="G3430" i="11"/>
  <c r="G3426" i="11"/>
  <c r="G3422" i="11"/>
  <c r="G3418" i="11"/>
  <c r="G3414" i="11"/>
  <c r="G3410" i="11"/>
  <c r="G3406" i="11"/>
  <c r="G3402" i="11"/>
  <c r="G3398" i="11"/>
  <c r="G3394" i="11"/>
  <c r="G3390" i="11"/>
  <c r="G3386" i="11"/>
  <c r="G3382" i="11"/>
  <c r="G3378" i="11"/>
  <c r="G3374" i="11"/>
  <c r="G3370" i="11"/>
  <c r="G3366" i="11"/>
  <c r="G3362" i="11"/>
  <c r="G3358" i="11"/>
  <c r="G3354" i="11"/>
  <c r="G3350" i="11"/>
  <c r="G3346" i="11"/>
  <c r="G3342" i="11"/>
  <c r="G3338" i="11"/>
  <c r="G3334" i="11"/>
  <c r="G3330" i="11"/>
  <c r="G3326" i="11"/>
  <c r="G3322" i="11"/>
  <c r="G3318" i="11"/>
  <c r="G3314" i="11"/>
  <c r="G3310" i="11"/>
  <c r="G3306" i="11"/>
  <c r="G3302" i="11"/>
  <c r="G3298" i="11"/>
  <c r="G3294" i="11"/>
  <c r="G3290" i="11"/>
  <c r="G3286" i="11"/>
  <c r="G3282" i="11"/>
  <c r="G3278" i="11"/>
  <c r="G3274" i="11"/>
  <c r="G3270" i="11"/>
  <c r="G3266" i="11"/>
  <c r="G3262" i="11"/>
  <c r="G3258" i="11"/>
  <c r="G3254" i="11"/>
  <c r="G3250" i="11"/>
  <c r="G3246" i="11"/>
  <c r="G3242" i="11"/>
  <c r="G3238" i="11"/>
  <c r="G3234" i="11"/>
  <c r="G3230" i="11"/>
  <c r="G3226" i="11"/>
  <c r="G3222" i="11"/>
  <c r="G3218" i="11"/>
  <c r="G3214" i="11"/>
  <c r="G3210" i="11"/>
  <c r="G3206" i="11"/>
  <c r="G3202" i="11"/>
  <c r="G3198" i="11"/>
  <c r="G3194" i="11"/>
  <c r="G3190" i="11"/>
  <c r="G3186" i="11"/>
  <c r="G3182" i="11"/>
  <c r="G3178" i="11"/>
  <c r="G3174" i="11"/>
  <c r="G3170" i="11"/>
  <c r="G3166" i="11"/>
  <c r="G3162" i="11"/>
  <c r="G3158" i="11"/>
  <c r="G3154" i="11"/>
  <c r="G3150" i="11"/>
  <c r="G3146" i="11"/>
  <c r="G3142" i="11"/>
  <c r="G3138" i="11"/>
  <c r="G3134" i="11"/>
  <c r="G3130" i="11"/>
  <c r="G3126" i="11"/>
  <c r="G3122" i="11"/>
  <c r="G3118" i="11"/>
  <c r="G3114" i="11"/>
  <c r="G3110" i="11"/>
  <c r="G3106" i="11"/>
  <c r="G3102" i="11"/>
  <c r="G3098" i="11"/>
  <c r="G3094" i="11"/>
  <c r="G3090" i="11"/>
  <c r="G3086" i="11"/>
  <c r="G3082" i="11"/>
  <c r="G3078" i="11"/>
  <c r="G3074" i="11"/>
  <c r="G3070" i="11"/>
  <c r="G3066" i="11"/>
  <c r="G3062" i="11"/>
  <c r="G3058" i="11"/>
  <c r="G3054" i="11"/>
  <c r="G3050" i="11"/>
  <c r="G3046" i="11"/>
  <c r="G3042" i="11"/>
  <c r="G3038" i="11"/>
  <c r="G3034" i="11"/>
  <c r="G3030" i="11"/>
  <c r="G3026" i="11"/>
  <c r="G3022" i="11"/>
  <c r="G3018" i="11"/>
  <c r="G3014" i="11"/>
  <c r="G3010" i="11"/>
  <c r="G3006" i="11"/>
  <c r="G3002" i="11"/>
  <c r="G2998" i="11"/>
  <c r="G2994" i="11"/>
  <c r="G2990" i="11"/>
  <c r="G2986" i="11"/>
  <c r="G2982" i="11"/>
  <c r="G2978" i="11"/>
  <c r="G2974" i="11"/>
  <c r="G2970" i="11"/>
  <c r="G2966" i="11"/>
  <c r="G2962" i="11"/>
  <c r="G2958" i="11"/>
  <c r="G2954" i="11"/>
  <c r="G2950" i="11"/>
  <c r="G2946" i="11"/>
  <c r="G2942" i="11"/>
  <c r="G2938" i="11"/>
  <c r="G2934" i="11"/>
  <c r="G2930" i="11"/>
  <c r="G2926" i="11"/>
  <c r="G2922" i="11"/>
  <c r="G2918" i="11"/>
  <c r="G2914" i="11"/>
  <c r="G2910" i="11"/>
  <c r="G2906" i="11"/>
  <c r="G2902" i="11"/>
  <c r="G2898" i="11"/>
  <c r="G2894" i="11"/>
  <c r="G2890" i="11"/>
  <c r="G2886" i="11"/>
  <c r="G2882" i="11"/>
  <c r="G2878" i="11"/>
  <c r="G2874" i="11"/>
  <c r="G2870" i="11"/>
  <c r="G2866" i="11"/>
  <c r="G2862" i="11"/>
  <c r="G2858" i="11"/>
  <c r="G2854" i="11"/>
  <c r="G2850" i="11"/>
  <c r="G2846" i="11"/>
  <c r="G2842" i="11"/>
  <c r="G2838" i="11"/>
  <c r="G2834" i="11"/>
  <c r="G2830" i="11"/>
  <c r="G2826" i="11"/>
  <c r="G2822" i="11"/>
  <c r="G2818" i="11"/>
  <c r="G2814" i="11"/>
  <c r="G2810" i="11"/>
  <c r="G2806" i="11"/>
  <c r="G2802" i="11"/>
  <c r="G2798" i="11"/>
  <c r="G2794" i="11"/>
  <c r="G2790" i="11"/>
  <c r="G2786" i="11"/>
  <c r="G2782" i="11"/>
  <c r="G2778" i="11"/>
  <c r="G2774" i="11"/>
  <c r="G2770" i="11"/>
  <c r="G2766" i="11"/>
  <c r="G2762" i="11"/>
  <c r="G2758" i="11"/>
  <c r="G2754" i="11"/>
  <c r="G2750" i="11"/>
  <c r="G2746" i="11"/>
  <c r="G2742" i="11"/>
  <c r="G2738" i="11"/>
  <c r="G2734" i="11"/>
  <c r="G2730" i="11"/>
  <c r="G2726" i="11"/>
  <c r="G2722" i="11"/>
  <c r="G2718" i="11"/>
  <c r="G2714" i="11"/>
  <c r="G2710" i="11"/>
  <c r="G2706" i="11"/>
  <c r="G2702" i="11"/>
  <c r="G2698" i="11"/>
  <c r="G2694" i="11"/>
  <c r="G2690" i="11"/>
  <c r="G2686" i="11"/>
  <c r="G2682" i="11"/>
  <c r="G2678" i="11"/>
  <c r="G2674" i="11"/>
  <c r="G2670" i="11"/>
  <c r="G2666" i="11"/>
  <c r="G2662" i="11"/>
  <c r="G2658" i="11"/>
  <c r="G2654" i="11"/>
  <c r="G2650" i="11"/>
  <c r="G2646" i="11"/>
  <c r="G2642" i="11"/>
  <c r="G2638" i="11"/>
  <c r="G2634" i="11"/>
  <c r="G2630" i="11"/>
  <c r="G2626" i="11"/>
  <c r="G2622" i="11"/>
  <c r="G2618" i="11"/>
  <c r="G2614" i="11"/>
  <c r="G2610" i="11"/>
  <c r="G2606" i="11"/>
  <c r="G2602" i="11"/>
  <c r="G2598" i="11"/>
  <c r="G2594" i="11"/>
  <c r="G2590" i="11"/>
  <c r="G2586" i="11"/>
  <c r="G2582" i="11"/>
  <c r="G2578" i="11"/>
  <c r="G2574" i="11"/>
  <c r="G2570" i="11"/>
  <c r="G2566" i="11"/>
  <c r="G2562" i="11"/>
  <c r="G2558" i="11"/>
  <c r="G2554" i="11"/>
  <c r="G2550" i="11"/>
  <c r="G2546" i="11"/>
  <c r="G2542" i="11"/>
  <c r="G2538" i="11"/>
  <c r="G2534" i="11"/>
  <c r="G2530" i="11"/>
  <c r="G2526" i="11"/>
  <c r="G2522" i="11"/>
  <c r="G2518" i="11"/>
  <c r="G2514" i="11"/>
  <c r="G2510" i="11"/>
  <c r="G2506" i="11"/>
  <c r="G2502" i="11"/>
  <c r="G2498" i="11"/>
  <c r="G2494" i="11"/>
  <c r="G2490" i="11"/>
  <c r="G2486" i="11"/>
  <c r="G2482" i="11"/>
  <c r="G2478" i="11"/>
  <c r="G2474" i="11"/>
  <c r="G2470" i="11"/>
  <c r="G2466" i="11"/>
  <c r="G2462" i="11"/>
  <c r="G2458" i="11"/>
  <c r="G2454" i="11"/>
  <c r="G2450" i="11"/>
  <c r="G2446" i="11"/>
  <c r="G2442" i="11"/>
  <c r="G2438" i="11"/>
  <c r="G2434" i="11"/>
  <c r="G2430" i="11"/>
  <c r="G2426" i="11"/>
  <c r="G2422" i="11"/>
  <c r="G2418" i="11"/>
  <c r="G2414" i="11"/>
  <c r="G2410" i="11"/>
  <c r="G2406" i="11"/>
  <c r="G2402" i="11"/>
  <c r="G2398" i="11"/>
  <c r="G2394" i="11"/>
  <c r="G2390" i="11"/>
  <c r="G2386" i="11"/>
  <c r="G2382" i="11"/>
  <c r="G2378" i="11"/>
  <c r="G2373" i="11"/>
  <c r="G2368" i="11"/>
  <c r="G2363" i="11"/>
  <c r="G2357" i="11"/>
  <c r="G2352" i="11"/>
  <c r="G2347" i="11"/>
  <c r="G2341" i="11"/>
  <c r="G2336" i="11"/>
  <c r="G2331" i="11"/>
  <c r="G2325" i="11"/>
  <c r="G2320" i="11"/>
  <c r="G2315" i="11"/>
  <c r="G2309" i="11"/>
  <c r="G2304" i="11"/>
  <c r="G2299" i="11"/>
  <c r="G2293" i="11"/>
  <c r="G2288" i="11"/>
  <c r="G2283" i="11"/>
  <c r="G2277" i="11"/>
  <c r="G2272" i="11"/>
  <c r="G2267" i="11"/>
  <c r="G2261" i="11"/>
  <c r="G2256" i="11"/>
  <c r="G2251" i="11"/>
  <c r="G2245" i="11"/>
  <c r="G2240" i="11"/>
  <c r="G2235" i="11"/>
  <c r="G2229" i="11"/>
  <c r="G2224" i="11"/>
  <c r="G2219" i="11"/>
  <c r="G2213" i="11"/>
  <c r="G2208" i="11"/>
  <c r="G2203" i="11"/>
  <c r="G2197" i="11"/>
  <c r="G2192" i="11"/>
  <c r="G2187" i="11"/>
  <c r="G2181" i="11"/>
  <c r="G2176" i="11"/>
  <c r="G2171" i="11"/>
  <c r="G2165" i="11"/>
  <c r="G2160" i="11"/>
  <c r="G2155" i="11"/>
  <c r="G2149" i="11"/>
  <c r="G2144" i="11"/>
  <c r="G2139" i="11"/>
  <c r="G2133" i="11"/>
  <c r="G2128" i="11"/>
  <c r="G2123" i="11"/>
  <c r="G2117" i="11"/>
  <c r="G2112" i="11"/>
  <c r="G2107" i="11"/>
  <c r="G2101" i="11"/>
  <c r="G2096" i="11"/>
  <c r="G2091" i="11"/>
  <c r="G2085" i="11"/>
  <c r="G2080" i="11"/>
  <c r="G2075" i="11"/>
  <c r="G2069" i="11"/>
  <c r="G2064" i="11"/>
  <c r="G2059" i="11"/>
  <c r="G2053" i="11"/>
  <c r="G2048" i="11"/>
  <c r="G2043" i="11"/>
  <c r="G2037" i="11"/>
  <c r="G2032" i="11"/>
  <c r="G2027" i="11"/>
  <c r="G2021" i="11"/>
  <c r="G2016" i="11"/>
  <c r="G2011" i="11"/>
  <c r="G2005" i="11"/>
  <c r="G2000" i="11"/>
  <c r="G1995" i="11"/>
  <c r="G1989" i="11"/>
  <c r="G1984" i="11"/>
  <c r="G1979" i="11"/>
  <c r="G1973" i="11"/>
  <c r="G1968" i="11"/>
  <c r="G1963" i="11"/>
  <c r="G1957" i="11"/>
  <c r="G1952" i="11"/>
  <c r="G1947" i="11"/>
  <c r="G1941" i="11"/>
  <c r="G1936" i="11"/>
  <c r="G1931" i="11"/>
  <c r="G1925" i="11"/>
  <c r="G1920" i="11"/>
  <c r="G1915" i="11"/>
  <c r="G1909" i="11"/>
  <c r="G1904" i="11"/>
  <c r="G1899" i="11"/>
  <c r="G1893" i="11"/>
  <c r="G1888" i="11"/>
  <c r="G1883" i="11"/>
  <c r="G1877" i="11"/>
  <c r="G1872" i="11"/>
  <c r="G1867" i="11"/>
  <c r="G1861" i="11"/>
  <c r="G1856" i="11"/>
  <c r="G1851" i="11"/>
  <c r="G1845" i="11"/>
  <c r="G1840" i="11"/>
  <c r="G1835" i="11"/>
  <c r="G1829" i="11"/>
  <c r="G1824" i="11"/>
  <c r="G1819" i="11"/>
  <c r="G1813" i="11"/>
  <c r="G1808" i="11"/>
  <c r="G1803" i="11"/>
  <c r="G1797" i="11"/>
  <c r="G1792" i="11"/>
  <c r="G1787" i="11"/>
  <c r="G1781" i="11"/>
  <c r="G1776" i="11"/>
  <c r="G1771" i="11"/>
  <c r="G1765" i="11"/>
  <c r="G1760" i="11"/>
  <c r="G1755" i="11"/>
  <c r="G1749" i="11"/>
  <c r="G1744" i="11"/>
  <c r="G1739" i="11"/>
  <c r="G1733" i="11"/>
  <c r="G1728" i="11"/>
  <c r="G1723" i="11"/>
  <c r="G1717" i="11"/>
  <c r="G1712" i="11"/>
  <c r="G1707" i="11"/>
  <c r="G1701" i="11"/>
  <c r="G1696" i="11"/>
  <c r="G1691" i="11"/>
  <c r="G1685" i="11"/>
  <c r="G1680" i="11"/>
  <c r="G1675" i="11"/>
  <c r="G1669" i="11"/>
  <c r="G1664" i="11"/>
  <c r="G1659" i="11"/>
  <c r="G1653" i="11"/>
  <c r="G1648" i="11"/>
  <c r="G1643" i="11"/>
  <c r="G1637" i="11"/>
  <c r="G1632" i="11"/>
  <c r="G1627" i="11"/>
  <c r="G1621" i="11"/>
  <c r="G1616" i="11"/>
  <c r="G1611" i="11"/>
  <c r="G1605" i="11"/>
  <c r="G1600" i="11"/>
  <c r="G1595" i="11"/>
  <c r="G1589" i="11"/>
  <c r="G1584" i="11"/>
  <c r="G1579" i="11"/>
  <c r="G1573" i="11"/>
  <c r="G1568" i="11"/>
  <c r="G1563" i="11"/>
  <c r="G1557" i="11"/>
  <c r="G1552" i="11"/>
  <c r="G1547" i="11"/>
  <c r="G1541" i="11"/>
  <c r="G1536" i="11"/>
  <c r="G1531" i="11"/>
  <c r="G1525" i="11"/>
  <c r="G1520" i="11"/>
  <c r="G1515" i="11"/>
  <c r="G1509" i="11"/>
  <c r="G1504" i="11"/>
  <c r="G1499" i="11"/>
  <c r="G1493" i="11"/>
  <c r="G1488" i="11"/>
  <c r="G1483" i="11"/>
  <c r="G1477" i="11"/>
  <c r="G1472" i="11"/>
  <c r="G1467" i="11"/>
  <c r="G1461" i="11"/>
  <c r="G1456" i="11"/>
  <c r="G1451" i="11"/>
  <c r="G1445" i="11"/>
  <c r="G1440" i="11"/>
  <c r="G1435" i="11"/>
  <c r="G1429" i="11"/>
  <c r="G1424" i="11"/>
  <c r="G1419" i="11"/>
  <c r="G1413" i="11"/>
  <c r="G1408" i="11"/>
  <c r="G1403" i="11"/>
  <c r="G1397" i="11"/>
  <c r="G1392" i="11"/>
  <c r="G1387" i="11"/>
  <c r="G1381" i="11"/>
  <c r="G1376" i="11"/>
  <c r="G1371" i="11"/>
  <c r="G1365" i="11"/>
  <c r="G1360" i="11"/>
  <c r="G1355" i="11"/>
  <c r="G1349" i="11"/>
  <c r="G1344" i="11"/>
  <c r="G1339" i="11"/>
  <c r="G1333" i="11"/>
  <c r="G1328" i="11"/>
  <c r="G1323" i="11"/>
  <c r="G1317" i="11"/>
  <c r="G1312" i="11"/>
  <c r="G1307" i="11"/>
  <c r="G1301" i="11"/>
  <c r="G1296" i="11"/>
  <c r="G1291" i="11"/>
  <c r="G1285" i="11"/>
  <c r="G1280" i="11"/>
  <c r="G1275" i="11"/>
  <c r="G1269" i="11"/>
  <c r="G1264" i="11"/>
  <c r="G1259" i="11"/>
  <c r="G1253" i="11"/>
  <c r="G1248" i="11"/>
  <c r="G1243" i="11"/>
  <c r="G1237" i="11"/>
  <c r="G1232" i="11"/>
  <c r="G1227" i="11"/>
  <c r="G1221" i="11"/>
  <c r="G1216" i="11"/>
  <c r="G1211" i="11"/>
  <c r="G1205" i="11"/>
  <c r="G1200" i="11"/>
  <c r="G1195" i="11"/>
  <c r="G1189" i="11"/>
  <c r="G1184" i="11"/>
  <c r="G1179" i="11"/>
  <c r="G1173" i="11"/>
  <c r="G1168" i="11"/>
  <c r="G1163" i="11"/>
  <c r="G1157" i="11"/>
  <c r="G1152" i="11"/>
  <c r="G1147" i="11"/>
  <c r="G1141" i="11"/>
  <c r="G1136" i="11"/>
  <c r="G1131" i="11"/>
  <c r="G1125" i="11"/>
  <c r="G1120" i="11"/>
  <c r="G1115" i="11"/>
  <c r="G1109" i="11"/>
  <c r="G1104" i="11"/>
  <c r="G1099" i="11"/>
  <c r="G1093" i="11"/>
  <c r="G1088" i="11"/>
  <c r="G1083" i="11"/>
  <c r="G1077" i="11"/>
  <c r="G1072" i="11"/>
  <c r="G1067" i="11"/>
  <c r="G1061" i="11"/>
  <c r="G1056" i="11"/>
  <c r="G1051" i="11"/>
  <c r="G1045" i="11"/>
  <c r="G1040" i="11"/>
  <c r="G1035" i="11"/>
  <c r="G1029" i="11"/>
  <c r="G1024" i="11"/>
  <c r="G1019" i="11"/>
  <c r="G1013" i="11"/>
  <c r="G1008" i="11"/>
  <c r="G1003" i="11"/>
  <c r="G997" i="11"/>
  <c r="G992" i="11"/>
  <c r="G987" i="11"/>
  <c r="G981" i="11"/>
  <c r="G976" i="11"/>
  <c r="G971" i="11"/>
  <c r="G965" i="11"/>
  <c r="G960" i="11"/>
  <c r="G955" i="11"/>
  <c r="G949" i="11"/>
  <c r="G944" i="11"/>
  <c r="G939" i="11"/>
  <c r="G933" i="11"/>
  <c r="G928" i="11"/>
  <c r="G923" i="11"/>
  <c r="G917" i="11"/>
  <c r="G912" i="11"/>
  <c r="G907" i="11"/>
  <c r="G901" i="11"/>
  <c r="G896" i="11"/>
  <c r="G891" i="11"/>
  <c r="G885" i="11"/>
  <c r="G880" i="11"/>
  <c r="G875" i="11"/>
  <c r="G869" i="11"/>
  <c r="G864" i="11"/>
  <c r="G859" i="11"/>
  <c r="G853" i="11"/>
  <c r="G848" i="11"/>
  <c r="G843" i="11"/>
  <c r="G837" i="11"/>
  <c r="G832" i="11"/>
  <c r="G827" i="11"/>
  <c r="G821" i="11"/>
  <c r="G816" i="11"/>
  <c r="G811" i="11"/>
  <c r="G805" i="11"/>
  <c r="G800" i="11"/>
  <c r="G795" i="11"/>
  <c r="G789" i="11"/>
  <c r="G784" i="11"/>
  <c r="G779" i="11"/>
  <c r="G773" i="11"/>
  <c r="G768" i="11"/>
  <c r="G763" i="11"/>
  <c r="G757" i="11"/>
  <c r="G752" i="11"/>
  <c r="G747" i="11"/>
  <c r="G741" i="11"/>
  <c r="G736" i="11"/>
  <c r="G731" i="11"/>
  <c r="G725" i="11"/>
  <c r="G720" i="11"/>
  <c r="G715" i="11"/>
  <c r="G709" i="11"/>
  <c r="G704" i="11"/>
  <c r="G699" i="11"/>
  <c r="G693" i="11"/>
  <c r="G688" i="11"/>
  <c r="G683" i="11"/>
  <c r="G677" i="11"/>
  <c r="G672" i="11"/>
  <c r="G667" i="11"/>
  <c r="G661" i="11"/>
  <c r="G656" i="11"/>
  <c r="G651" i="11"/>
  <c r="G645" i="11"/>
  <c r="G640" i="11"/>
  <c r="G635" i="11"/>
  <c r="G629" i="11"/>
  <c r="G624" i="11"/>
  <c r="G619" i="11"/>
  <c r="G613" i="11"/>
  <c r="G608" i="11"/>
  <c r="G603" i="11"/>
  <c r="G597" i="11"/>
  <c r="G592" i="11"/>
  <c r="G587" i="11"/>
  <c r="G581" i="11"/>
  <c r="G576" i="11"/>
  <c r="G571" i="11"/>
  <c r="G565" i="11"/>
  <c r="G560" i="11"/>
  <c r="G555" i="11"/>
  <c r="G549" i="11"/>
  <c r="G544" i="11"/>
  <c r="G539" i="11"/>
  <c r="G533" i="11"/>
  <c r="G528" i="11"/>
  <c r="G523" i="11"/>
  <c r="G517" i="11"/>
  <c r="G512" i="11"/>
  <c r="G507" i="11"/>
  <c r="G501" i="11"/>
  <c r="G496" i="11"/>
  <c r="G491" i="11"/>
  <c r="G485" i="11"/>
  <c r="G480" i="11"/>
  <c r="G475" i="11"/>
  <c r="G469" i="11"/>
  <c r="G464" i="11"/>
  <c r="G459" i="11"/>
  <c r="G453" i="11"/>
  <c r="G448" i="11"/>
  <c r="G443" i="11"/>
  <c r="G437" i="11"/>
  <c r="G432" i="11"/>
  <c r="G427" i="11"/>
  <c r="G421" i="11"/>
  <c r="G416" i="11"/>
  <c r="G411" i="11"/>
  <c r="G405" i="11"/>
  <c r="G400" i="11"/>
  <c r="G395" i="11"/>
  <c r="G389" i="11"/>
  <c r="G384" i="11"/>
  <c r="G379" i="11"/>
  <c r="G373" i="11"/>
  <c r="G368" i="11"/>
  <c r="G363" i="11"/>
  <c r="G357" i="11"/>
  <c r="G352" i="11"/>
  <c r="G347" i="11"/>
  <c r="G341" i="11"/>
  <c r="G335" i="11"/>
  <c r="G328" i="11"/>
  <c r="G320" i="11"/>
  <c r="G313" i="11"/>
  <c r="G307" i="11"/>
  <c r="G299" i="11"/>
  <c r="G292" i="11"/>
  <c r="G285" i="11"/>
  <c r="G277" i="11"/>
  <c r="G271" i="11"/>
  <c r="G264" i="11"/>
  <c r="G256" i="11"/>
  <c r="G249" i="11"/>
  <c r="G243" i="11"/>
  <c r="G235" i="11"/>
  <c r="G228" i="11"/>
  <c r="G221" i="11"/>
  <c r="G213" i="11"/>
  <c r="G197" i="11"/>
  <c r="G177" i="11"/>
  <c r="G153" i="11"/>
  <c r="G133" i="11"/>
  <c r="G113" i="11"/>
  <c r="G89" i="11"/>
  <c r="G69" i="11"/>
  <c r="G49" i="11"/>
  <c r="G25" i="11"/>
  <c r="H3498" i="11"/>
  <c r="H3492" i="11"/>
  <c r="H3487" i="11"/>
  <c r="H3482" i="11"/>
  <c r="H3476" i="11"/>
  <c r="H3471" i="11"/>
  <c r="H3466" i="11"/>
  <c r="H3460" i="11"/>
  <c r="H3455" i="11"/>
  <c r="H3450" i="11"/>
  <c r="H3444" i="11"/>
  <c r="H3439" i="11"/>
  <c r="H3434" i="11"/>
  <c r="H3428" i="11"/>
  <c r="H3423" i="11"/>
  <c r="H3418" i="11"/>
  <c r="H3412" i="11"/>
  <c r="H3407" i="11"/>
  <c r="H3402" i="11"/>
  <c r="H3396" i="11"/>
  <c r="H3391" i="11"/>
  <c r="H3386" i="11"/>
  <c r="H3380" i="11"/>
  <c r="H3375" i="11"/>
  <c r="H3370" i="11"/>
  <c r="H3364" i="11"/>
  <c r="H3359" i="11"/>
  <c r="H3354" i="11"/>
  <c r="H3348" i="11"/>
  <c r="H3343" i="11"/>
  <c r="H3338" i="11"/>
  <c r="H3332" i="11"/>
  <c r="H3327" i="11"/>
  <c r="H3322" i="11"/>
  <c r="H3316" i="11"/>
  <c r="H3311" i="11"/>
  <c r="H3306" i="11"/>
  <c r="H3300" i="11"/>
  <c r="H3295" i="11"/>
  <c r="H3290" i="11"/>
  <c r="H3284" i="11"/>
  <c r="H3279" i="11"/>
  <c r="H3274" i="11"/>
  <c r="H3268" i="11"/>
  <c r="H3263" i="11"/>
  <c r="H3258" i="11"/>
  <c r="H3252" i="11"/>
  <c r="H3247" i="11"/>
  <c r="H3242" i="11"/>
  <c r="H3236" i="11"/>
  <c r="H3231" i="11"/>
  <c r="H3226" i="11"/>
  <c r="H3220" i="11"/>
  <c r="H3215" i="11"/>
  <c r="H3210" i="11"/>
  <c r="H3204" i="11"/>
  <c r="H3199" i="11"/>
  <c r="H3194" i="11"/>
  <c r="H3188" i="11"/>
  <c r="H3183" i="11"/>
  <c r="H3178" i="11"/>
  <c r="H3172" i="11"/>
  <c r="H3167" i="11"/>
  <c r="H3162" i="11"/>
  <c r="H3156" i="11"/>
  <c r="H3151" i="11"/>
  <c r="H3146" i="11"/>
  <c r="H3140" i="11"/>
  <c r="H3135" i="11"/>
  <c r="H3130" i="11"/>
  <c r="H3124" i="11"/>
  <c r="H3119" i="11"/>
  <c r="H3114" i="11"/>
  <c r="H3108" i="11"/>
  <c r="H3103" i="11"/>
  <c r="H3098" i="11"/>
  <c r="H3092" i="11"/>
  <c r="H3087" i="11"/>
  <c r="H3082" i="11"/>
  <c r="H3076" i="11"/>
  <c r="H3071" i="11"/>
  <c r="H3066" i="11"/>
  <c r="H3060" i="11"/>
  <c r="H3055" i="11"/>
  <c r="H3050" i="11"/>
  <c r="H3044" i="11"/>
  <c r="H3039" i="11"/>
  <c r="H3034" i="11"/>
  <c r="H3028" i="11"/>
  <c r="H3023" i="11"/>
  <c r="H3018" i="11"/>
  <c r="H3012" i="11"/>
  <c r="H3007" i="11"/>
  <c r="H3002" i="11"/>
  <c r="H2996" i="11"/>
  <c r="H2991" i="11"/>
  <c r="H2986" i="11"/>
  <c r="H2980" i="11"/>
  <c r="H2975" i="11"/>
  <c r="H2970" i="11"/>
  <c r="H2964" i="11"/>
  <c r="H2959" i="11"/>
  <c r="H2954" i="11"/>
  <c r="H2948" i="11"/>
  <c r="H2943" i="11"/>
  <c r="H2938" i="11"/>
  <c r="H2932" i="11"/>
  <c r="H2927" i="11"/>
  <c r="H2922" i="11"/>
  <c r="H2916" i="11"/>
  <c r="H2911" i="11"/>
  <c r="H2906" i="11"/>
  <c r="H2900" i="11"/>
  <c r="H2895" i="11"/>
  <c r="H2890" i="11"/>
  <c r="H2884" i="11"/>
  <c r="H2879" i="11"/>
  <c r="H2874" i="11"/>
  <c r="H2868" i="11"/>
  <c r="H2863" i="11"/>
  <c r="H2858" i="11"/>
  <c r="H2852" i="11"/>
  <c r="H2847" i="11"/>
  <c r="H2842" i="11"/>
  <c r="H2836" i="11"/>
  <c r="H2831" i="11"/>
  <c r="H2826" i="11"/>
  <c r="H2820" i="11"/>
  <c r="H2815" i="11"/>
  <c r="H2810" i="11"/>
  <c r="H2804" i="11"/>
  <c r="H2799" i="11"/>
  <c r="H2794" i="11"/>
  <c r="H2788" i="11"/>
  <c r="H2783" i="11"/>
  <c r="H2778" i="11"/>
  <c r="H2772" i="11"/>
  <c r="H2767" i="11"/>
  <c r="H2762" i="11"/>
  <c r="H2756" i="11"/>
  <c r="H2751" i="11"/>
  <c r="H2746" i="11"/>
  <c r="H2740" i="11"/>
  <c r="H2735" i="11"/>
  <c r="H2730" i="11"/>
  <c r="H2724" i="11"/>
  <c r="H2719" i="11"/>
  <c r="H2714" i="11"/>
  <c r="H2708" i="11"/>
  <c r="H2703" i="11"/>
  <c r="H2698" i="11"/>
  <c r="H2692" i="11"/>
  <c r="H2687" i="11"/>
  <c r="H2682" i="11"/>
  <c r="H2676" i="11"/>
  <c r="H2671" i="11"/>
  <c r="H2666" i="11"/>
  <c r="H2660" i="11"/>
  <c r="H2655" i="11"/>
  <c r="H2650" i="11"/>
  <c r="H2644" i="11"/>
  <c r="H2639" i="11"/>
  <c r="H2634" i="11"/>
  <c r="H2628" i="11"/>
  <c r="H2623" i="11"/>
  <c r="H2618" i="11"/>
  <c r="H2612" i="11"/>
  <c r="H2607" i="11"/>
  <c r="H2602" i="11"/>
  <c r="H2596" i="11"/>
  <c r="H2591" i="11"/>
  <c r="H2586" i="11"/>
  <c r="H2580" i="11"/>
  <c r="H2575" i="11"/>
  <c r="H2570" i="11"/>
  <c r="H2564" i="11"/>
  <c r="H2559" i="11"/>
  <c r="H2554" i="11"/>
  <c r="H2548" i="11"/>
  <c r="H2543" i="11"/>
  <c r="H2538" i="11"/>
  <c r="H2532" i="11"/>
  <c r="H2527" i="11"/>
  <c r="H2522" i="11"/>
  <c r="H2516" i="11"/>
  <c r="H2511" i="11"/>
  <c r="H2506" i="11"/>
  <c r="H2500" i="11"/>
  <c r="H2495" i="11"/>
  <c r="H2490" i="11"/>
  <c r="H2484" i="11"/>
  <c r="H2479" i="11"/>
  <c r="H2474" i="11"/>
  <c r="H2468" i="11"/>
  <c r="H2463" i="11"/>
  <c r="H2458" i="11"/>
  <c r="H2452" i="11"/>
  <c r="H2447" i="11"/>
  <c r="H2442" i="11"/>
  <c r="H2436" i="11"/>
  <c r="H2431" i="11"/>
  <c r="H2426" i="11"/>
  <c r="H2420" i="11"/>
  <c r="H2415" i="11"/>
  <c r="H2410" i="11"/>
  <c r="H2404" i="11"/>
  <c r="H2399" i="11"/>
  <c r="H2394" i="11"/>
  <c r="H2388" i="11"/>
  <c r="H2383" i="11"/>
  <c r="H2378" i="11"/>
  <c r="H2372" i="11"/>
  <c r="H2367" i="11"/>
  <c r="H2362" i="11"/>
  <c r="H2356" i="11"/>
  <c r="H2351" i="11"/>
  <c r="H2346" i="11"/>
  <c r="H2340" i="11"/>
  <c r="H2335" i="11"/>
  <c r="H2330" i="11"/>
  <c r="H2324" i="11"/>
  <c r="H2319" i="11"/>
  <c r="H2314" i="11"/>
  <c r="H2308" i="11"/>
  <c r="H2303" i="11"/>
  <c r="H2298" i="11"/>
  <c r="H2292" i="11"/>
  <c r="H2287" i="11"/>
  <c r="H2282" i="11"/>
  <c r="H2276" i="11"/>
  <c r="H2271" i="11"/>
  <c r="H2266" i="11"/>
  <c r="H2260" i="11"/>
  <c r="H2255" i="11"/>
  <c r="H2250" i="11"/>
  <c r="H2244" i="11"/>
  <c r="H2239" i="11"/>
  <c r="H2234" i="11"/>
  <c r="H2228" i="11"/>
  <c r="H2223" i="11"/>
  <c r="H2218" i="11"/>
  <c r="H2212" i="11"/>
  <c r="H2207" i="11"/>
  <c r="H2202" i="11"/>
  <c r="H2196" i="11"/>
  <c r="H2191" i="11"/>
  <c r="H2186" i="11"/>
  <c r="H2180" i="11"/>
  <c r="H2175" i="11"/>
  <c r="H2170" i="11"/>
  <c r="H2164" i="11"/>
  <c r="H2159" i="11"/>
  <c r="H2154" i="11"/>
  <c r="H2148" i="11"/>
  <c r="H2143" i="11"/>
  <c r="H2138" i="11"/>
  <c r="H2132" i="11"/>
  <c r="H2127" i="11"/>
  <c r="H2122" i="11"/>
  <c r="H2116" i="11"/>
  <c r="H2111" i="11"/>
  <c r="H2106" i="11"/>
  <c r="H2100" i="11"/>
  <c r="H2095" i="11"/>
  <c r="H2090" i="11"/>
  <c r="H2084" i="11"/>
  <c r="H2079" i="11"/>
  <c r="H2074" i="11"/>
  <c r="H2068" i="11"/>
  <c r="H2063" i="11"/>
  <c r="H2058" i="11"/>
  <c r="H2052" i="11"/>
  <c r="H2047" i="11"/>
  <c r="H2042" i="11"/>
  <c r="H2036" i="11"/>
  <c r="H2031" i="11"/>
  <c r="H2026" i="11"/>
  <c r="H2020" i="11"/>
  <c r="H2015" i="11"/>
  <c r="H2010" i="11"/>
  <c r="H2004" i="11"/>
  <c r="H1999" i="11"/>
  <c r="H1994" i="11"/>
  <c r="H1988" i="11"/>
  <c r="H1983" i="11"/>
  <c r="H1978" i="11"/>
  <c r="H1972" i="11"/>
  <c r="H1967" i="11"/>
  <c r="H1962" i="11"/>
  <c r="H1956" i="11"/>
  <c r="H1951" i="11"/>
  <c r="H1946" i="11"/>
  <c r="H1940" i="11"/>
  <c r="H1935" i="11"/>
  <c r="H1930" i="11"/>
  <c r="H1924" i="11"/>
  <c r="H1919" i="11"/>
  <c r="H1914" i="11"/>
  <c r="H1908" i="11"/>
  <c r="H1903" i="11"/>
  <c r="H1898" i="11"/>
  <c r="H1892" i="11"/>
  <c r="H1887" i="11"/>
  <c r="H1882" i="11"/>
  <c r="H1876" i="11"/>
  <c r="H1871" i="11"/>
  <c r="H1866" i="11"/>
  <c r="H1860" i="11"/>
  <c r="H1855" i="11"/>
  <c r="H1850" i="11"/>
  <c r="H1844" i="11"/>
  <c r="H1839" i="11"/>
  <c r="H1834" i="11"/>
  <c r="H1828" i="11"/>
  <c r="H1823" i="11"/>
  <c r="H1818" i="11"/>
  <c r="H1812" i="11"/>
  <c r="H1807" i="11"/>
  <c r="H1802" i="11"/>
  <c r="H1796" i="11"/>
  <c r="H1791" i="11"/>
  <c r="H1786" i="11"/>
  <c r="H1780" i="11"/>
  <c r="H1775" i="11"/>
  <c r="H1770" i="11"/>
  <c r="H1764" i="11"/>
  <c r="H1759" i="11"/>
  <c r="H1754" i="11"/>
  <c r="H1748" i="11"/>
  <c r="H1743" i="11"/>
  <c r="H1738" i="11"/>
  <c r="H1732" i="11"/>
  <c r="H1727" i="11"/>
  <c r="H1722" i="11"/>
  <c r="H1716" i="11"/>
  <c r="H1711" i="11"/>
  <c r="H1706" i="11"/>
  <c r="H1700" i="11"/>
  <c r="H1695" i="11"/>
  <c r="H1690" i="11"/>
  <c r="H1684" i="11"/>
  <c r="H1679" i="11"/>
  <c r="H1674" i="11"/>
  <c r="H1668" i="11"/>
  <c r="H1663" i="11"/>
  <c r="H1658" i="11"/>
  <c r="H1652" i="11"/>
  <c r="H1647" i="11"/>
  <c r="H1642" i="11"/>
  <c r="H1636" i="11"/>
  <c r="H1631" i="11"/>
  <c r="H1626" i="11"/>
  <c r="H1620" i="11"/>
  <c r="H1615" i="11"/>
  <c r="H1610" i="11"/>
  <c r="H1604" i="11"/>
  <c r="H1599" i="11"/>
  <c r="H1594" i="11"/>
  <c r="H1588" i="11"/>
  <c r="H1583" i="11"/>
  <c r="H1578" i="11"/>
  <c r="H1572" i="11"/>
  <c r="H1567" i="11"/>
  <c r="H1562" i="11"/>
  <c r="H1556" i="11"/>
  <c r="H1551" i="11"/>
  <c r="H1546" i="11"/>
  <c r="H1540" i="11"/>
  <c r="H1535" i="11"/>
  <c r="H1530" i="11"/>
  <c r="H1524" i="11"/>
  <c r="H1519" i="11"/>
  <c r="H1514" i="11"/>
  <c r="H1508" i="11"/>
  <c r="H1503" i="11"/>
  <c r="H1498" i="11"/>
  <c r="H1492" i="11"/>
  <c r="H1487" i="11"/>
  <c r="H1482" i="11"/>
  <c r="H1476" i="11"/>
  <c r="H1471" i="11"/>
  <c r="H1466" i="11"/>
  <c r="H1460" i="11"/>
  <c r="H1455" i="11"/>
  <c r="H1450" i="11"/>
  <c r="H1444" i="11"/>
  <c r="H1439" i="11"/>
  <c r="H1434" i="11"/>
  <c r="H1428" i="11"/>
  <c r="H1423" i="11"/>
  <c r="H1418" i="11"/>
  <c r="H1412" i="11"/>
  <c r="H1407" i="11"/>
  <c r="H1402" i="11"/>
  <c r="H1396" i="11"/>
  <c r="H1391" i="11"/>
  <c r="H1386" i="11"/>
  <c r="H1380" i="11"/>
  <c r="H1375" i="11"/>
  <c r="H1370" i="11"/>
  <c r="H1364" i="11"/>
  <c r="H1359" i="11"/>
  <c r="H1354" i="11"/>
  <c r="H1348" i="11"/>
  <c r="H1343" i="11"/>
  <c r="H1338" i="11"/>
  <c r="H1332" i="11"/>
  <c r="H1327" i="11"/>
  <c r="H1322" i="11"/>
  <c r="H1316" i="11"/>
  <c r="H1311" i="11"/>
  <c r="H1306" i="11"/>
  <c r="H1300" i="11"/>
  <c r="H1295" i="11"/>
  <c r="H1290" i="11"/>
  <c r="H1284" i="11"/>
  <c r="H1279" i="11"/>
  <c r="H1274" i="11"/>
  <c r="H1268" i="11"/>
  <c r="H1263" i="11"/>
  <c r="H1258" i="11"/>
  <c r="H1252" i="11"/>
  <c r="H1247" i="11"/>
  <c r="H1242" i="11"/>
  <c r="H1236" i="11"/>
  <c r="H1231" i="11"/>
  <c r="H1226" i="11"/>
  <c r="H1220" i="11"/>
  <c r="H1215" i="11"/>
  <c r="H1210" i="11"/>
  <c r="H1204" i="11"/>
  <c r="H1199" i="11"/>
  <c r="H1194" i="11"/>
  <c r="H1188" i="11"/>
  <c r="H1183" i="11"/>
  <c r="H1178" i="11"/>
  <c r="H1172" i="11"/>
  <c r="H1167" i="11"/>
  <c r="H1162" i="11"/>
  <c r="H1156" i="11"/>
  <c r="H1151" i="11"/>
  <c r="H1146" i="11"/>
  <c r="H1140" i="11"/>
  <c r="H1135" i="11"/>
  <c r="H1130" i="11"/>
  <c r="H1124" i="11"/>
  <c r="H1119" i="11"/>
  <c r="H1114" i="11"/>
  <c r="H1108" i="11"/>
  <c r="H1103" i="11"/>
  <c r="H1098" i="11"/>
  <c r="H1092" i="11"/>
  <c r="H1087" i="11"/>
  <c r="H1082" i="11"/>
  <c r="H1076" i="11"/>
  <c r="H1071" i="11"/>
  <c r="H1066" i="11"/>
  <c r="H1060" i="11"/>
  <c r="H1055" i="11"/>
  <c r="H1050" i="11"/>
  <c r="H1044" i="11"/>
  <c r="H1039" i="11"/>
  <c r="H1034" i="11"/>
  <c r="H1028" i="11"/>
  <c r="H1023" i="11"/>
  <c r="H1018" i="11"/>
  <c r="H1012" i="11"/>
  <c r="H1007" i="11"/>
  <c r="H1002" i="11"/>
  <c r="H996" i="11"/>
  <c r="H991" i="11"/>
  <c r="H986" i="11"/>
  <c r="H980" i="11"/>
  <c r="H975" i="11"/>
  <c r="H970" i="11"/>
  <c r="H964" i="11"/>
  <c r="H959" i="11"/>
  <c r="H954" i="11"/>
  <c r="H948" i="11"/>
  <c r="H943" i="11"/>
  <c r="H938" i="11"/>
  <c r="H932" i="11"/>
  <c r="H927" i="11"/>
  <c r="H922" i="11"/>
  <c r="H916" i="11"/>
  <c r="H911" i="11"/>
  <c r="H906" i="11"/>
  <c r="H900" i="11"/>
  <c r="H895" i="11"/>
  <c r="H890" i="11"/>
  <c r="H884" i="11"/>
  <c r="H879" i="11"/>
  <c r="H874" i="11"/>
  <c r="H868" i="11"/>
  <c r="H863" i="11"/>
  <c r="H858" i="11"/>
  <c r="H852" i="11"/>
  <c r="H847" i="11"/>
  <c r="H842" i="11"/>
  <c r="H836" i="11"/>
  <c r="H831" i="11"/>
  <c r="H826" i="11"/>
  <c r="H820" i="11"/>
  <c r="H815" i="11"/>
  <c r="H810" i="11"/>
  <c r="H804" i="11"/>
  <c r="H799" i="11"/>
  <c r="H794" i="11"/>
  <c r="H788" i="11"/>
  <c r="H783" i="11"/>
  <c r="H778" i="11"/>
  <c r="H772" i="11"/>
  <c r="H767" i="11"/>
  <c r="H762" i="11"/>
  <c r="H756" i="11"/>
  <c r="H751" i="11"/>
  <c r="H746" i="11"/>
  <c r="H740" i="11"/>
  <c r="H735" i="11"/>
  <c r="H730" i="11"/>
  <c r="H724" i="11"/>
  <c r="H719" i="11"/>
  <c r="H714" i="11"/>
  <c r="H708" i="11"/>
  <c r="H703" i="11"/>
  <c r="H698" i="11"/>
  <c r="H692" i="11"/>
  <c r="H687" i="11"/>
  <c r="H682" i="11"/>
  <c r="H676" i="11"/>
  <c r="H671" i="11"/>
  <c r="H666" i="11"/>
  <c r="H660" i="11"/>
  <c r="H655" i="11"/>
  <c r="H650" i="11"/>
  <c r="H644" i="11"/>
  <c r="H639" i="11"/>
  <c r="H634" i="11"/>
  <c r="H628" i="11"/>
  <c r="H623" i="11"/>
  <c r="H618" i="11"/>
  <c r="H612" i="11"/>
  <c r="H607" i="11"/>
  <c r="H602" i="11"/>
  <c r="H596" i="11"/>
  <c r="H591" i="11"/>
  <c r="H586" i="11"/>
  <c r="H580" i="11"/>
  <c r="H575" i="11"/>
  <c r="H570" i="11"/>
  <c r="H564" i="11"/>
  <c r="H559" i="11"/>
  <c r="H554" i="11"/>
  <c r="H548" i="11"/>
  <c r="H543" i="11"/>
  <c r="H538" i="11"/>
  <c r="H532" i="11"/>
  <c r="H527" i="11"/>
  <c r="H522" i="11"/>
  <c r="H516" i="11"/>
  <c r="H511" i="11"/>
  <c r="H506" i="11"/>
  <c r="H500" i="11"/>
  <c r="H495" i="11"/>
  <c r="H490" i="11"/>
  <c r="H484" i="11"/>
  <c r="H478" i="11"/>
  <c r="H471" i="11"/>
  <c r="H463" i="11"/>
  <c r="H457" i="11"/>
  <c r="H450" i="11"/>
  <c r="H442" i="11"/>
  <c r="H435" i="11"/>
  <c r="H429" i="11"/>
  <c r="H421" i="11"/>
  <c r="H414" i="11"/>
  <c r="H407" i="11"/>
  <c r="H399" i="11"/>
  <c r="H393" i="11"/>
  <c r="H386" i="11"/>
  <c r="H378" i="11"/>
  <c r="H371" i="11"/>
  <c r="H365" i="11"/>
  <c r="H357" i="11"/>
  <c r="H350" i="11"/>
  <c r="H343" i="11"/>
  <c r="H333" i="11"/>
  <c r="H325" i="11"/>
  <c r="H316" i="11"/>
  <c r="H305" i="11"/>
  <c r="H296" i="11"/>
  <c r="H288" i="11"/>
  <c r="H277" i="11"/>
  <c r="H267" i="11"/>
  <c r="H252" i="11"/>
  <c r="H236" i="11"/>
  <c r="H223" i="11"/>
  <c r="H201" i="11"/>
  <c r="H177" i="11"/>
  <c r="H159" i="11"/>
  <c r="H137" i="11"/>
  <c r="H113" i="11"/>
  <c r="H95" i="11"/>
  <c r="H73" i="11"/>
  <c r="H49" i="11"/>
  <c r="H31" i="11"/>
  <c r="G2" i="11"/>
  <c r="G13" i="11"/>
  <c r="G29" i="11"/>
  <c r="G45" i="11"/>
  <c r="G61" i="11"/>
  <c r="G77" i="11"/>
  <c r="G93" i="11"/>
  <c r="G109" i="11"/>
  <c r="G125" i="11"/>
  <c r="G141" i="11"/>
  <c r="G157" i="11"/>
  <c r="G173" i="11"/>
  <c r="G189" i="11"/>
  <c r="G205" i="11"/>
  <c r="G215" i="11"/>
  <c r="G220" i="11"/>
  <c r="G225" i="11"/>
  <c r="G231" i="11"/>
  <c r="G236" i="11"/>
  <c r="G241" i="11"/>
  <c r="G247" i="11"/>
  <c r="G252" i="11"/>
  <c r="G257" i="11"/>
  <c r="G263" i="11"/>
  <c r="G268" i="11"/>
  <c r="G273" i="11"/>
  <c r="G279" i="11"/>
  <c r="G284" i="11"/>
  <c r="G289" i="11"/>
  <c r="G295" i="11"/>
  <c r="G300" i="11"/>
  <c r="G305" i="11"/>
  <c r="G311" i="11"/>
  <c r="G316" i="11"/>
  <c r="G321" i="11"/>
  <c r="G327" i="11"/>
  <c r="G332" i="11"/>
  <c r="G337" i="11"/>
  <c r="G342" i="11"/>
  <c r="G346" i="11"/>
  <c r="G350" i="11"/>
  <c r="G354" i="11"/>
  <c r="G358" i="11"/>
  <c r="G362" i="11"/>
  <c r="G366" i="11"/>
  <c r="G370" i="11"/>
  <c r="G374" i="11"/>
  <c r="G378" i="11"/>
  <c r="G382" i="11"/>
  <c r="G386" i="11"/>
  <c r="G390" i="11"/>
  <c r="G394" i="11"/>
  <c r="G398" i="11"/>
  <c r="G402" i="11"/>
  <c r="G406" i="11"/>
  <c r="G410" i="11"/>
  <c r="G414" i="11"/>
  <c r="G418" i="11"/>
  <c r="G422" i="11"/>
  <c r="G426" i="11"/>
  <c r="G430" i="11"/>
  <c r="G434" i="11"/>
  <c r="G438" i="11"/>
  <c r="G442" i="11"/>
  <c r="G446" i="11"/>
  <c r="G450" i="11"/>
  <c r="G454" i="11"/>
  <c r="G458" i="11"/>
  <c r="G462" i="11"/>
  <c r="G466" i="11"/>
  <c r="G470" i="11"/>
  <c r="G474" i="11"/>
  <c r="G478" i="11"/>
  <c r="G482" i="11"/>
  <c r="G486" i="11"/>
  <c r="G490" i="11"/>
  <c r="G494" i="11"/>
  <c r="G498" i="11"/>
  <c r="G502" i="11"/>
  <c r="G506" i="11"/>
  <c r="G510" i="11"/>
  <c r="G514" i="11"/>
  <c r="G518" i="11"/>
  <c r="G522" i="11"/>
  <c r="G526" i="11"/>
  <c r="G530" i="11"/>
  <c r="G534" i="11"/>
  <c r="G538" i="11"/>
  <c r="G542" i="11"/>
  <c r="G546" i="11"/>
  <c r="G550" i="11"/>
  <c r="G554" i="11"/>
  <c r="G558" i="11"/>
  <c r="G562" i="11"/>
  <c r="G566" i="11"/>
  <c r="G570" i="11"/>
  <c r="G574" i="11"/>
  <c r="G578" i="11"/>
  <c r="G582" i="11"/>
  <c r="G586" i="11"/>
  <c r="G590" i="11"/>
  <c r="G594" i="11"/>
  <c r="G598" i="11"/>
  <c r="G602" i="11"/>
  <c r="G606" i="11"/>
  <c r="G610" i="11"/>
  <c r="G614" i="11"/>
  <c r="G618" i="11"/>
  <c r="G622" i="11"/>
  <c r="G626" i="11"/>
  <c r="G630" i="11"/>
  <c r="G634" i="11"/>
  <c r="G638" i="11"/>
  <c r="G642" i="11"/>
  <c r="G646" i="11"/>
  <c r="G650" i="11"/>
  <c r="G654" i="11"/>
  <c r="G658" i="11"/>
  <c r="G662" i="11"/>
  <c r="G666" i="11"/>
  <c r="G670" i="11"/>
  <c r="G674" i="11"/>
  <c r="G678" i="11"/>
  <c r="G682" i="11"/>
  <c r="G686" i="11"/>
  <c r="G690" i="11"/>
  <c r="G694" i="11"/>
  <c r="G698" i="11"/>
  <c r="G702" i="11"/>
  <c r="G706" i="11"/>
  <c r="G710" i="11"/>
  <c r="G714" i="11"/>
  <c r="G718" i="11"/>
  <c r="G722" i="11"/>
  <c r="G726" i="11"/>
  <c r="G730" i="11"/>
  <c r="G734" i="11"/>
  <c r="G738" i="11"/>
  <c r="G742" i="11"/>
  <c r="G746" i="11"/>
  <c r="G750" i="11"/>
  <c r="G754" i="11"/>
  <c r="G758" i="11"/>
  <c r="G762" i="11"/>
  <c r="G766" i="11"/>
  <c r="G770" i="11"/>
  <c r="G774" i="11"/>
  <c r="G778" i="11"/>
  <c r="G782" i="11"/>
  <c r="G786" i="11"/>
  <c r="G790" i="11"/>
  <c r="G794" i="11"/>
  <c r="G798" i="11"/>
  <c r="G802" i="11"/>
  <c r="G806" i="11"/>
  <c r="G810" i="11"/>
  <c r="G814" i="11"/>
  <c r="G818" i="11"/>
  <c r="G822" i="11"/>
  <c r="G826" i="11"/>
  <c r="G830" i="11"/>
  <c r="G834" i="11"/>
  <c r="G838" i="11"/>
  <c r="G842" i="11"/>
  <c r="G846" i="11"/>
  <c r="G850" i="11"/>
  <c r="G854" i="11"/>
  <c r="G858" i="11"/>
  <c r="G862" i="11"/>
  <c r="G866" i="11"/>
  <c r="G870" i="11"/>
  <c r="G874" i="11"/>
  <c r="G878" i="11"/>
  <c r="G882" i="11"/>
  <c r="G886" i="11"/>
  <c r="G890" i="11"/>
  <c r="G894" i="11"/>
  <c r="G898" i="11"/>
  <c r="G902" i="11"/>
  <c r="G906" i="11"/>
  <c r="G910" i="11"/>
  <c r="G914" i="11"/>
  <c r="G918" i="11"/>
  <c r="G922" i="11"/>
  <c r="G926" i="11"/>
  <c r="G930" i="11"/>
  <c r="G934" i="11"/>
  <c r="G938" i="11"/>
  <c r="G942" i="11"/>
  <c r="G946" i="11"/>
  <c r="G950" i="11"/>
  <c r="G954" i="11"/>
  <c r="G958" i="11"/>
  <c r="G962" i="11"/>
  <c r="G966" i="11"/>
  <c r="G970" i="11"/>
  <c r="G974" i="11"/>
  <c r="G978" i="11"/>
  <c r="G982" i="11"/>
  <c r="G986" i="11"/>
  <c r="G990" i="11"/>
  <c r="G994" i="11"/>
  <c r="G998" i="11"/>
  <c r="G1002" i="11"/>
  <c r="G1006" i="11"/>
  <c r="G1010" i="11"/>
  <c r="G1014" i="11"/>
  <c r="G1018" i="11"/>
  <c r="G1022" i="11"/>
  <c r="G1026" i="11"/>
  <c r="G1030" i="11"/>
  <c r="G1034" i="11"/>
  <c r="G1038" i="11"/>
  <c r="G1042" i="11"/>
  <c r="G1046" i="11"/>
  <c r="G1050" i="11"/>
  <c r="G1054" i="11"/>
  <c r="G1058" i="11"/>
  <c r="G1062" i="11"/>
  <c r="G1066" i="11"/>
  <c r="G1070" i="11"/>
  <c r="G1074" i="11"/>
  <c r="G1078" i="11"/>
  <c r="G1082" i="11"/>
  <c r="G1086" i="11"/>
  <c r="G1090" i="11"/>
  <c r="G1094" i="11"/>
  <c r="G1098" i="11"/>
  <c r="G1102" i="11"/>
  <c r="G1106" i="11"/>
  <c r="G1110" i="11"/>
  <c r="G1114" i="11"/>
  <c r="G1118" i="11"/>
  <c r="G1122" i="11"/>
  <c r="G1126" i="11"/>
  <c r="G1130" i="11"/>
  <c r="G1134" i="11"/>
  <c r="G1138" i="11"/>
  <c r="G1142" i="11"/>
  <c r="G1146" i="11"/>
  <c r="G1150" i="11"/>
  <c r="G1154" i="11"/>
  <c r="G1158" i="11"/>
  <c r="G1162" i="11"/>
  <c r="G1166" i="11"/>
  <c r="G1170" i="11"/>
  <c r="G1174" i="11"/>
  <c r="G1178" i="11"/>
  <c r="G1182" i="11"/>
  <c r="G1186" i="11"/>
  <c r="G1190" i="11"/>
  <c r="G1194" i="11"/>
  <c r="G1198" i="11"/>
  <c r="G1202" i="11"/>
  <c r="G1206" i="11"/>
  <c r="G1210" i="11"/>
  <c r="G1214" i="11"/>
  <c r="G1218" i="11"/>
  <c r="G1222" i="11"/>
  <c r="G1226" i="11"/>
  <c r="G1230" i="11"/>
  <c r="G1234" i="11"/>
  <c r="G1238" i="11"/>
  <c r="G1242" i="11"/>
  <c r="G1246" i="11"/>
  <c r="G1250" i="11"/>
  <c r="G1254" i="11"/>
  <c r="G1258" i="11"/>
  <c r="G1262" i="11"/>
  <c r="G1266" i="11"/>
  <c r="G1270" i="11"/>
  <c r="G1274" i="11"/>
  <c r="G1278" i="11"/>
  <c r="G1282" i="11"/>
  <c r="G1286" i="11"/>
  <c r="G1290" i="11"/>
  <c r="G1294" i="11"/>
  <c r="G1298" i="11"/>
  <c r="G1302" i="11"/>
  <c r="G1306" i="11"/>
  <c r="G1310" i="11"/>
  <c r="G1314" i="11"/>
  <c r="G1318" i="11"/>
  <c r="G1322" i="11"/>
  <c r="G1326" i="11"/>
  <c r="G1330" i="11"/>
  <c r="G1334" i="11"/>
  <c r="G1338" i="11"/>
  <c r="G1342" i="11"/>
  <c r="G1346" i="11"/>
  <c r="G1350" i="11"/>
  <c r="G1354" i="11"/>
  <c r="G1358" i="11"/>
  <c r="G1362" i="11"/>
  <c r="G1366" i="11"/>
  <c r="G1370" i="11"/>
  <c r="G1374" i="11"/>
  <c r="G1378" i="11"/>
  <c r="G1382" i="11"/>
  <c r="G1386" i="11"/>
  <c r="G1390" i="11"/>
  <c r="G1394" i="11"/>
  <c r="G1398" i="11"/>
  <c r="G1402" i="11"/>
  <c r="G1406" i="11"/>
  <c r="G1410" i="11"/>
  <c r="G1414" i="11"/>
  <c r="G1418" i="11"/>
  <c r="G1422" i="11"/>
  <c r="G1426" i="11"/>
  <c r="G1430" i="11"/>
  <c r="G1434" i="11"/>
  <c r="G1438" i="11"/>
  <c r="G1442" i="11"/>
  <c r="G1446" i="11"/>
  <c r="G1450" i="11"/>
  <c r="G1454" i="11"/>
  <c r="G1458" i="11"/>
  <c r="G1462" i="11"/>
  <c r="G1466" i="11"/>
  <c r="G1470" i="11"/>
  <c r="G1474" i="11"/>
  <c r="G1478" i="11"/>
  <c r="G1482" i="11"/>
  <c r="G1486" i="11"/>
  <c r="G1490" i="11"/>
  <c r="G1494" i="11"/>
  <c r="G1498" i="11"/>
  <c r="G1502" i="11"/>
  <c r="G1506" i="11"/>
  <c r="G1510" i="11"/>
  <c r="G1514" i="11"/>
  <c r="G1518" i="11"/>
  <c r="G1522" i="11"/>
  <c r="G1526" i="11"/>
  <c r="G1530" i="11"/>
  <c r="G1534" i="11"/>
  <c r="G1538" i="11"/>
  <c r="G1542" i="11"/>
  <c r="G1546" i="11"/>
  <c r="G1550" i="11"/>
  <c r="G1554" i="11"/>
  <c r="G1558" i="11"/>
  <c r="G1562" i="11"/>
  <c r="G1566" i="11"/>
  <c r="G1570" i="11"/>
  <c r="G1574" i="11"/>
  <c r="G1578" i="11"/>
  <c r="G1582" i="11"/>
  <c r="G1586" i="11"/>
  <c r="G1590" i="11"/>
  <c r="G1594" i="11"/>
  <c r="G1598" i="11"/>
  <c r="G1602" i="11"/>
  <c r="G1606" i="11"/>
  <c r="G1610" i="11"/>
  <c r="G1614" i="11"/>
  <c r="G1618" i="11"/>
  <c r="G1622" i="11"/>
  <c r="G1626" i="11"/>
  <c r="G1630" i="11"/>
  <c r="G1634" i="11"/>
  <c r="G1638" i="11"/>
  <c r="G1642" i="11"/>
  <c r="G1646" i="11"/>
  <c r="G1650" i="11"/>
  <c r="G1654" i="11"/>
  <c r="G1658" i="11"/>
  <c r="G1662" i="11"/>
  <c r="G1666" i="11"/>
  <c r="G1670" i="11"/>
  <c r="G1674" i="11"/>
  <c r="G1678" i="11"/>
  <c r="G1682" i="11"/>
  <c r="G1686" i="11"/>
  <c r="G1690" i="11"/>
  <c r="G1694" i="11"/>
  <c r="G1698" i="11"/>
  <c r="G1702" i="11"/>
  <c r="G1706" i="11"/>
  <c r="G1710" i="11"/>
  <c r="G1714" i="11"/>
  <c r="G1718" i="11"/>
  <c r="G1722" i="11"/>
  <c r="G1726" i="11"/>
  <c r="G1730" i="11"/>
  <c r="G1734" i="11"/>
  <c r="G1738" i="11"/>
  <c r="G1742" i="11"/>
  <c r="G1746" i="11"/>
  <c r="G1750" i="11"/>
  <c r="G1754" i="11"/>
  <c r="G1758" i="11"/>
  <c r="G1762" i="11"/>
  <c r="G1766" i="11"/>
  <c r="G1770" i="11"/>
  <c r="G1774" i="11"/>
  <c r="G1778" i="11"/>
  <c r="G1782" i="11"/>
  <c r="G1786" i="11"/>
  <c r="G1790" i="11"/>
  <c r="G1794" i="11"/>
  <c r="G1798" i="11"/>
  <c r="G1802" i="11"/>
  <c r="G1806" i="11"/>
  <c r="G1810" i="11"/>
  <c r="G1814" i="11"/>
  <c r="G1818" i="11"/>
  <c r="G1822" i="11"/>
  <c r="G1826" i="11"/>
  <c r="G1830" i="11"/>
  <c r="G1834" i="11"/>
  <c r="G1838" i="11"/>
  <c r="G1842" i="11"/>
  <c r="G1846" i="11"/>
  <c r="G1850" i="11"/>
  <c r="G1854" i="11"/>
  <c r="G1858" i="11"/>
  <c r="G1862" i="11"/>
  <c r="G1866" i="11"/>
  <c r="G1870" i="11"/>
  <c r="G1874" i="11"/>
  <c r="G1878" i="11"/>
  <c r="G1882" i="11"/>
  <c r="G1886" i="11"/>
  <c r="G1890" i="11"/>
  <c r="G1894" i="11"/>
  <c r="G1898" i="11"/>
  <c r="G1902" i="11"/>
  <c r="G1906" i="11"/>
  <c r="G1910" i="11"/>
  <c r="G1914" i="11"/>
  <c r="G1918" i="11"/>
  <c r="G1922" i="11"/>
  <c r="G1926" i="11"/>
  <c r="G1930" i="11"/>
  <c r="G1934" i="11"/>
  <c r="G1938" i="11"/>
  <c r="G1942" i="11"/>
  <c r="G1946" i="11"/>
  <c r="G1950" i="11"/>
  <c r="G1954" i="11"/>
  <c r="G1958" i="11"/>
  <c r="G1962" i="11"/>
  <c r="G1966" i="11"/>
  <c r="G1970" i="11"/>
  <c r="G1974" i="11"/>
  <c r="G1978" i="11"/>
  <c r="G1982" i="11"/>
  <c r="G1986" i="11"/>
  <c r="G1990" i="11"/>
  <c r="G1994" i="11"/>
  <c r="G1998" i="11"/>
  <c r="G2002" i="11"/>
  <c r="G2006" i="11"/>
  <c r="G2010" i="11"/>
  <c r="G2014" i="11"/>
  <c r="G2018" i="11"/>
  <c r="G2022" i="11"/>
  <c r="G2026" i="11"/>
  <c r="G2030" i="11"/>
  <c r="G2034" i="11"/>
  <c r="G2038" i="11"/>
  <c r="G2042" i="11"/>
  <c r="G2046" i="11"/>
  <c r="G2050" i="11"/>
  <c r="G2054" i="11"/>
  <c r="G2058" i="11"/>
  <c r="G2062" i="11"/>
  <c r="G2066" i="11"/>
  <c r="G2070" i="11"/>
  <c r="G2074" i="11"/>
  <c r="G2078" i="11"/>
  <c r="G2082" i="11"/>
  <c r="G2086" i="11"/>
  <c r="G2090" i="11"/>
  <c r="G2094" i="11"/>
  <c r="G2098" i="11"/>
  <c r="G2102" i="11"/>
  <c r="G2106" i="11"/>
  <c r="G2110" i="11"/>
  <c r="G2114" i="11"/>
  <c r="G2118" i="11"/>
  <c r="G2122" i="11"/>
  <c r="G2126" i="11"/>
  <c r="G2130" i="11"/>
  <c r="G2134" i="11"/>
  <c r="G2138" i="11"/>
  <c r="G2142" i="11"/>
  <c r="G2146" i="11"/>
  <c r="G2150" i="11"/>
  <c r="G2154" i="11"/>
  <c r="G2158" i="11"/>
  <c r="G2162" i="11"/>
  <c r="G2166" i="11"/>
  <c r="G2170" i="11"/>
  <c r="G2174" i="11"/>
  <c r="G2178" i="11"/>
  <c r="G2182" i="11"/>
  <c r="G2186" i="11"/>
  <c r="G2190" i="11"/>
  <c r="G2194" i="11"/>
  <c r="G2198" i="11"/>
  <c r="G2202" i="11"/>
  <c r="G2206" i="11"/>
  <c r="G2210" i="11"/>
  <c r="G2214" i="11"/>
  <c r="G2218" i="11"/>
  <c r="G2222" i="11"/>
  <c r="G2226" i="11"/>
  <c r="G2230" i="11"/>
  <c r="G2234" i="11"/>
  <c r="G2238" i="11"/>
  <c r="G2242" i="11"/>
  <c r="G2246" i="11"/>
  <c r="G2250" i="11"/>
  <c r="G2254" i="11"/>
  <c r="G2258" i="11"/>
  <c r="G2262" i="11"/>
  <c r="G2266" i="11"/>
  <c r="G2270" i="11"/>
  <c r="G2274" i="11"/>
  <c r="G2278" i="11"/>
  <c r="G2282" i="11"/>
  <c r="G2286" i="11"/>
  <c r="G2290" i="11"/>
  <c r="G2294" i="11"/>
  <c r="G2298" i="11"/>
  <c r="G2302" i="11"/>
  <c r="G2306" i="11"/>
  <c r="G2310" i="11"/>
  <c r="G2314" i="11"/>
  <c r="G2318" i="11"/>
  <c r="G2322" i="11"/>
  <c r="G2326" i="11"/>
  <c r="G2330" i="11"/>
  <c r="G2334" i="11"/>
  <c r="G2338" i="11"/>
  <c r="G2342" i="11"/>
  <c r="G2346" i="11"/>
  <c r="G2350" i="11"/>
  <c r="G2354" i="11"/>
  <c r="G2358" i="11"/>
  <c r="G2362" i="11"/>
  <c r="G2366" i="11"/>
  <c r="G2370" i="11"/>
  <c r="G2374" i="11"/>
  <c r="H3" i="11"/>
  <c r="H7" i="11"/>
  <c r="H23" i="11"/>
  <c r="H39" i="11"/>
  <c r="H55" i="11"/>
  <c r="H71" i="11"/>
  <c r="H87" i="11"/>
  <c r="H103" i="11"/>
  <c r="H119" i="11"/>
  <c r="H135" i="11"/>
  <c r="H151" i="11"/>
  <c r="H167" i="11"/>
  <c r="H183" i="11"/>
  <c r="H199" i="11"/>
  <c r="H215" i="11"/>
  <c r="H229" i="11"/>
  <c r="H240" i="11"/>
  <c r="H251" i="11"/>
  <c r="H261" i="11"/>
  <c r="H272" i="11"/>
  <c r="H279" i="11"/>
  <c r="H285" i="11"/>
  <c r="H293" i="11"/>
  <c r="H300" i="11"/>
  <c r="H307" i="11"/>
  <c r="H315" i="11"/>
  <c r="H321" i="11"/>
  <c r="H328" i="11"/>
  <c r="H336" i="11"/>
  <c r="H342" i="11"/>
  <c r="H347" i="11"/>
  <c r="H353" i="11"/>
  <c r="H358" i="11"/>
  <c r="H363" i="11"/>
  <c r="H369" i="11"/>
  <c r="H374" i="11"/>
  <c r="H379" i="11"/>
  <c r="H385" i="11"/>
  <c r="H390" i="11"/>
  <c r="H395" i="11"/>
  <c r="H401" i="11"/>
  <c r="H406" i="11"/>
  <c r="H411" i="11"/>
  <c r="H417" i="11"/>
  <c r="H422" i="11"/>
  <c r="H427" i="11"/>
  <c r="H433" i="11"/>
  <c r="H438" i="11"/>
  <c r="H443" i="11"/>
  <c r="H449" i="11"/>
  <c r="H454" i="11"/>
  <c r="H459" i="11"/>
  <c r="H465" i="11"/>
  <c r="H470" i="11"/>
  <c r="H475" i="11"/>
  <c r="H481" i="11"/>
  <c r="H485" i="11"/>
  <c r="H489" i="11"/>
  <c r="H493" i="11"/>
  <c r="H497" i="11"/>
  <c r="H501" i="11"/>
  <c r="H505" i="11"/>
  <c r="H509" i="11"/>
  <c r="H513" i="11"/>
  <c r="H517" i="11"/>
  <c r="H521" i="11"/>
  <c r="H525" i="11"/>
  <c r="H529" i="11"/>
  <c r="H533" i="11"/>
  <c r="H537" i="11"/>
  <c r="H541" i="11"/>
  <c r="H545" i="11"/>
  <c r="H549" i="11"/>
  <c r="H553" i="11"/>
  <c r="H557" i="11"/>
  <c r="H561" i="11"/>
  <c r="H565" i="11"/>
  <c r="H569" i="11"/>
  <c r="H573" i="11"/>
  <c r="H577" i="11"/>
  <c r="H581" i="11"/>
  <c r="H585" i="11"/>
  <c r="H589" i="11"/>
  <c r="H593" i="11"/>
  <c r="H597" i="11"/>
  <c r="H601" i="11"/>
  <c r="H605" i="11"/>
  <c r="H609" i="11"/>
  <c r="H613" i="11"/>
  <c r="H617" i="11"/>
  <c r="H621" i="11"/>
  <c r="H625" i="11"/>
  <c r="H629" i="11"/>
  <c r="H633" i="11"/>
  <c r="H637" i="11"/>
  <c r="H641" i="11"/>
  <c r="H645" i="11"/>
  <c r="H649" i="11"/>
  <c r="H653" i="11"/>
  <c r="H657" i="11"/>
  <c r="H661" i="11"/>
  <c r="H665" i="11"/>
  <c r="H669" i="11"/>
  <c r="H673" i="11"/>
  <c r="H677" i="11"/>
  <c r="H681" i="11"/>
  <c r="H685" i="11"/>
  <c r="H689" i="11"/>
  <c r="H693" i="11"/>
  <c r="H697" i="11"/>
  <c r="H701" i="11"/>
  <c r="H705" i="11"/>
  <c r="H709" i="11"/>
  <c r="H713" i="11"/>
  <c r="H717" i="11"/>
  <c r="H721" i="11"/>
  <c r="H725" i="11"/>
  <c r="H729" i="11"/>
  <c r="H733" i="11"/>
  <c r="H737" i="11"/>
  <c r="H741" i="11"/>
  <c r="H745" i="11"/>
  <c r="H749" i="11"/>
  <c r="H753" i="11"/>
  <c r="H757" i="11"/>
  <c r="H761" i="11"/>
  <c r="H765" i="11"/>
  <c r="H769" i="11"/>
  <c r="H773" i="11"/>
  <c r="H777" i="11"/>
  <c r="H781" i="11"/>
  <c r="H785" i="11"/>
  <c r="H789" i="11"/>
  <c r="H793" i="11"/>
  <c r="H797" i="11"/>
  <c r="H801" i="11"/>
  <c r="H805" i="11"/>
  <c r="H809" i="11"/>
  <c r="H813" i="11"/>
  <c r="H817" i="11"/>
  <c r="H821" i="11"/>
  <c r="H825" i="11"/>
  <c r="H829" i="11"/>
  <c r="H833" i="11"/>
  <c r="H837" i="11"/>
  <c r="H841" i="11"/>
  <c r="H845" i="11"/>
  <c r="H849" i="11"/>
  <c r="H853" i="11"/>
  <c r="H857" i="11"/>
  <c r="H861" i="11"/>
  <c r="H865" i="11"/>
  <c r="H869" i="11"/>
  <c r="H873" i="11"/>
  <c r="H877" i="11"/>
  <c r="H881" i="11"/>
  <c r="H885" i="11"/>
  <c r="H889" i="11"/>
  <c r="H893" i="11"/>
  <c r="H897" i="11"/>
  <c r="H901" i="11"/>
  <c r="H905" i="11"/>
  <c r="H909" i="11"/>
  <c r="H913" i="11"/>
  <c r="H917" i="11"/>
  <c r="H921" i="11"/>
  <c r="H925" i="11"/>
  <c r="H929" i="11"/>
  <c r="H933" i="11"/>
  <c r="H937" i="11"/>
  <c r="H941" i="11"/>
  <c r="H945" i="11"/>
  <c r="H949" i="11"/>
  <c r="H953" i="11"/>
  <c r="H957" i="11"/>
  <c r="H961" i="11"/>
  <c r="H965" i="11"/>
  <c r="H969" i="11"/>
  <c r="H973" i="11"/>
  <c r="H977" i="11"/>
  <c r="H981" i="11"/>
  <c r="H985" i="11"/>
  <c r="H989" i="11"/>
  <c r="H993" i="11"/>
  <c r="H997" i="11"/>
  <c r="H1001" i="11"/>
  <c r="H1005" i="11"/>
  <c r="H1009" i="11"/>
  <c r="H1013" i="11"/>
  <c r="H1017" i="11"/>
  <c r="H1021" i="11"/>
  <c r="H1025" i="11"/>
  <c r="H1029" i="11"/>
  <c r="H1033" i="11"/>
  <c r="H1037" i="11"/>
  <c r="H1041" i="11"/>
  <c r="H1045" i="11"/>
  <c r="H1049" i="11"/>
  <c r="H1053" i="11"/>
  <c r="H1057" i="11"/>
  <c r="H1061" i="11"/>
  <c r="H1065" i="11"/>
  <c r="H1069" i="11"/>
  <c r="H1073" i="11"/>
  <c r="H1077" i="11"/>
  <c r="H1081" i="11"/>
  <c r="H1085" i="11"/>
  <c r="H1089" i="11"/>
  <c r="H1093" i="11"/>
  <c r="H1097" i="11"/>
  <c r="H1101" i="11"/>
  <c r="H1105" i="11"/>
  <c r="H1109" i="11"/>
  <c r="H1113" i="11"/>
  <c r="H1117" i="11"/>
  <c r="H1121" i="11"/>
  <c r="H1125" i="11"/>
  <c r="H1129" i="11"/>
  <c r="H1133" i="11"/>
  <c r="H1137" i="11"/>
  <c r="H1141" i="11"/>
  <c r="H1145" i="11"/>
  <c r="H1149" i="11"/>
  <c r="H1153" i="11"/>
  <c r="H1157" i="11"/>
  <c r="H1161" i="11"/>
  <c r="H1165" i="11"/>
  <c r="H1169" i="11"/>
  <c r="H1173" i="11"/>
  <c r="H1177" i="11"/>
  <c r="H1181" i="11"/>
  <c r="H1185" i="11"/>
  <c r="H1189" i="11"/>
  <c r="H1193" i="11"/>
  <c r="H1197" i="11"/>
  <c r="H1201" i="11"/>
  <c r="H1205" i="11"/>
  <c r="H1209" i="11"/>
  <c r="H1213" i="11"/>
  <c r="H1217" i="11"/>
  <c r="H1221" i="11"/>
  <c r="H1225" i="11"/>
  <c r="H1229" i="11"/>
  <c r="H1233" i="11"/>
  <c r="H1237" i="11"/>
  <c r="H1241" i="11"/>
  <c r="H1245" i="11"/>
  <c r="H1249" i="11"/>
  <c r="H1253" i="11"/>
  <c r="H1257" i="11"/>
  <c r="H1261" i="11"/>
  <c r="H1265" i="11"/>
  <c r="H1269" i="11"/>
  <c r="H1273" i="11"/>
  <c r="H1277" i="11"/>
  <c r="H1281" i="11"/>
  <c r="H1285" i="11"/>
  <c r="H1289" i="11"/>
  <c r="H1293" i="11"/>
  <c r="H1297" i="11"/>
  <c r="H1301" i="11"/>
  <c r="H1305" i="11"/>
  <c r="H1309" i="11"/>
  <c r="H1313" i="11"/>
  <c r="H1317" i="11"/>
  <c r="H1321" i="11"/>
  <c r="H1325" i="11"/>
  <c r="H1329" i="11"/>
  <c r="H1333" i="11"/>
  <c r="H1337" i="11"/>
  <c r="H1341" i="11"/>
  <c r="H1345" i="11"/>
  <c r="H1349" i="11"/>
  <c r="H1353" i="11"/>
  <c r="H1357" i="11"/>
  <c r="H1361" i="11"/>
  <c r="H1365" i="11"/>
  <c r="H1369" i="11"/>
  <c r="H1373" i="11"/>
  <c r="H1377" i="11"/>
  <c r="H1381" i="11"/>
  <c r="H1385" i="11"/>
  <c r="H1389" i="11"/>
  <c r="H1393" i="11"/>
  <c r="H1397" i="11"/>
  <c r="H1401" i="11"/>
  <c r="H1405" i="11"/>
  <c r="H1409" i="11"/>
  <c r="H1413" i="11"/>
  <c r="H1417" i="11"/>
  <c r="H1421" i="11"/>
  <c r="H1425" i="11"/>
  <c r="H1429" i="11"/>
  <c r="H1433" i="11"/>
  <c r="H1437" i="11"/>
  <c r="H1441" i="11"/>
  <c r="H1445" i="11"/>
  <c r="H1449" i="11"/>
  <c r="H1453" i="11"/>
  <c r="H1457" i="11"/>
  <c r="H1461" i="11"/>
  <c r="H1465" i="11"/>
  <c r="H1469" i="11"/>
  <c r="H1473" i="11"/>
  <c r="H1477" i="11"/>
  <c r="H1481" i="11"/>
  <c r="H1485" i="11"/>
  <c r="H1489" i="11"/>
  <c r="H1493" i="11"/>
  <c r="H1497" i="11"/>
  <c r="H1501" i="11"/>
  <c r="H1505" i="11"/>
  <c r="H1509" i="11"/>
  <c r="H1513" i="11"/>
  <c r="H1517" i="11"/>
  <c r="H1521" i="11"/>
  <c r="H1525" i="11"/>
  <c r="H1529" i="11"/>
  <c r="H1533" i="11"/>
  <c r="H1537" i="11"/>
  <c r="H1541" i="11"/>
  <c r="H1545" i="11"/>
  <c r="H1549" i="11"/>
  <c r="H1553" i="11"/>
  <c r="H1557" i="11"/>
  <c r="H1561" i="11"/>
  <c r="H1565" i="11"/>
  <c r="H1569" i="11"/>
  <c r="H1573" i="11"/>
  <c r="H1577" i="11"/>
  <c r="H1581" i="11"/>
  <c r="H1585" i="11"/>
  <c r="H1589" i="11"/>
  <c r="H1593" i="11"/>
  <c r="H1597" i="11"/>
  <c r="H1601" i="11"/>
  <c r="H1605" i="11"/>
  <c r="H1609" i="11"/>
  <c r="H1613" i="11"/>
  <c r="H1617" i="11"/>
  <c r="H1621" i="11"/>
  <c r="H1625" i="11"/>
  <c r="H1629" i="11"/>
  <c r="H1633" i="11"/>
  <c r="H1637" i="11"/>
  <c r="H1641" i="11"/>
  <c r="H1645" i="11"/>
  <c r="H1649" i="11"/>
  <c r="H1653" i="11"/>
  <c r="H1657" i="11"/>
  <c r="H1661" i="11"/>
  <c r="H1665" i="11"/>
  <c r="H1669" i="11"/>
  <c r="H1673" i="11"/>
  <c r="H1677" i="11"/>
  <c r="H1681" i="11"/>
  <c r="H1685" i="11"/>
  <c r="H1689" i="11"/>
  <c r="H1693" i="11"/>
  <c r="H1697" i="11"/>
  <c r="H1701" i="11"/>
  <c r="H1705" i="11"/>
  <c r="H1709" i="11"/>
  <c r="H1713" i="11"/>
  <c r="H1717" i="11"/>
  <c r="H1721" i="11"/>
  <c r="H1725" i="11"/>
  <c r="H1729" i="11"/>
  <c r="H1733" i="11"/>
  <c r="H1737" i="11"/>
  <c r="H1741" i="11"/>
  <c r="H1745" i="11"/>
  <c r="H1749" i="11"/>
  <c r="H1753" i="11"/>
  <c r="H1757" i="11"/>
  <c r="H1761" i="11"/>
  <c r="H1765" i="11"/>
  <c r="H1769" i="11"/>
  <c r="H1773" i="11"/>
  <c r="H1777" i="11"/>
  <c r="H1781" i="11"/>
  <c r="H1785" i="11"/>
  <c r="H1789" i="11"/>
  <c r="H1793" i="11"/>
  <c r="H1797" i="11"/>
  <c r="H1801" i="11"/>
  <c r="H1805" i="11"/>
  <c r="H1809" i="11"/>
  <c r="H1813" i="11"/>
  <c r="H1817" i="11"/>
  <c r="H1821" i="11"/>
  <c r="H1825" i="11"/>
  <c r="H1829" i="11"/>
  <c r="H1833" i="11"/>
  <c r="H1837" i="11"/>
  <c r="H1841" i="11"/>
  <c r="H1845" i="11"/>
  <c r="H1849" i="11"/>
  <c r="H1853" i="11"/>
  <c r="H1857" i="11"/>
  <c r="H1861" i="11"/>
  <c r="H1865" i="11"/>
  <c r="H1869" i="11"/>
  <c r="H1873" i="11"/>
  <c r="H1877" i="11"/>
  <c r="H1881" i="11"/>
  <c r="H1885" i="11"/>
  <c r="H1889" i="11"/>
  <c r="H1893" i="11"/>
  <c r="H1897" i="11"/>
  <c r="H1901" i="11"/>
  <c r="H1905" i="11"/>
  <c r="H1909" i="11"/>
  <c r="H1913" i="11"/>
  <c r="H1917" i="11"/>
  <c r="H1921" i="11"/>
  <c r="H1925" i="11"/>
  <c r="H1929" i="11"/>
  <c r="H1933" i="11"/>
  <c r="H1937" i="11"/>
  <c r="H1941" i="11"/>
  <c r="H1945" i="11"/>
  <c r="H1949" i="11"/>
  <c r="H1953" i="11"/>
  <c r="H1957" i="11"/>
  <c r="H1961" i="11"/>
  <c r="H1965" i="11"/>
  <c r="H1969" i="11"/>
  <c r="H1973" i="11"/>
  <c r="H1977" i="11"/>
  <c r="H1981" i="11"/>
  <c r="H1985" i="11"/>
  <c r="H1989" i="11"/>
  <c r="H1993" i="11"/>
  <c r="H1997" i="11"/>
  <c r="H2001" i="11"/>
  <c r="H2005" i="11"/>
  <c r="H2009" i="11"/>
  <c r="H2013" i="11"/>
  <c r="H2017" i="11"/>
  <c r="H2021" i="11"/>
  <c r="H2025" i="11"/>
  <c r="H2029" i="11"/>
  <c r="H2033" i="11"/>
  <c r="H2037" i="11"/>
  <c r="H2041" i="11"/>
  <c r="H2045" i="11"/>
  <c r="H2049" i="11"/>
  <c r="H2053" i="11"/>
  <c r="H2057" i="11"/>
  <c r="H2061" i="11"/>
  <c r="H2065" i="11"/>
  <c r="H2069" i="11"/>
  <c r="H2073" i="11"/>
  <c r="H2077" i="11"/>
  <c r="H2081" i="11"/>
  <c r="H2085" i="11"/>
  <c r="H2089" i="11"/>
  <c r="H2093" i="11"/>
  <c r="H2097" i="11"/>
  <c r="H2101" i="11"/>
  <c r="H2105" i="11"/>
  <c r="H2109" i="11"/>
  <c r="H2113" i="11"/>
  <c r="H2117" i="11"/>
  <c r="H2121" i="11"/>
  <c r="H2125" i="11"/>
  <c r="H2129" i="11"/>
  <c r="H2133" i="11"/>
  <c r="H2137" i="11"/>
  <c r="H2141" i="11"/>
  <c r="H2145" i="11"/>
  <c r="H2149" i="11"/>
  <c r="H2153" i="11"/>
  <c r="H2157" i="11"/>
  <c r="H2161" i="11"/>
  <c r="H2165" i="11"/>
  <c r="H2169" i="11"/>
  <c r="H2173" i="11"/>
  <c r="H2177" i="11"/>
  <c r="H2181" i="11"/>
  <c r="H2185" i="11"/>
  <c r="H2189" i="11"/>
  <c r="H2193" i="11"/>
  <c r="H2197" i="11"/>
  <c r="H2201" i="11"/>
  <c r="H2205" i="11"/>
  <c r="H2209" i="11"/>
  <c r="H2213" i="11"/>
  <c r="H2217" i="11"/>
  <c r="H2221" i="11"/>
  <c r="H2225" i="11"/>
  <c r="H2229" i="11"/>
  <c r="H2233" i="11"/>
  <c r="H2237" i="11"/>
  <c r="H2241" i="11"/>
  <c r="H2245" i="11"/>
  <c r="H2249" i="11"/>
  <c r="H2253" i="11"/>
  <c r="H2257" i="11"/>
  <c r="H2261" i="11"/>
  <c r="H2265" i="11"/>
  <c r="H2269" i="11"/>
  <c r="H2273" i="11"/>
  <c r="H2277" i="11"/>
  <c r="H2281" i="11"/>
  <c r="H2285" i="11"/>
  <c r="H2289" i="11"/>
  <c r="H2293" i="11"/>
  <c r="H2297" i="11"/>
  <c r="H2301" i="11"/>
  <c r="H2305" i="11"/>
  <c r="H2309" i="11"/>
  <c r="H2313" i="11"/>
  <c r="H2317" i="11"/>
  <c r="H2321" i="11"/>
  <c r="H2325" i="11"/>
  <c r="H2329" i="11"/>
  <c r="H2333" i="11"/>
  <c r="H2337" i="11"/>
  <c r="H2341" i="11"/>
  <c r="H2345" i="11"/>
  <c r="H2349" i="11"/>
  <c r="H2353" i="11"/>
  <c r="H2357" i="11"/>
  <c r="H2361" i="11"/>
  <c r="H2365" i="11"/>
  <c r="H2369" i="11"/>
  <c r="H2373" i="11"/>
  <c r="H2377" i="11"/>
  <c r="H2381" i="11"/>
  <c r="H2385" i="11"/>
  <c r="H2389" i="11"/>
  <c r="H2393" i="11"/>
  <c r="H2397" i="11"/>
  <c r="H2401" i="11"/>
  <c r="H2405" i="11"/>
  <c r="H2409" i="11"/>
  <c r="H2413" i="11"/>
  <c r="H2417" i="11"/>
  <c r="H2421" i="11"/>
  <c r="H2425" i="11"/>
  <c r="H2429" i="11"/>
  <c r="H2433" i="11"/>
  <c r="H2437" i="11"/>
  <c r="H2441" i="11"/>
  <c r="H2445" i="11"/>
  <c r="H2449" i="11"/>
  <c r="H2453" i="11"/>
  <c r="H2457" i="11"/>
  <c r="H2461" i="11"/>
  <c r="H2465" i="11"/>
  <c r="H2469" i="11"/>
  <c r="H2473" i="11"/>
  <c r="H2477" i="11"/>
  <c r="H2481" i="11"/>
  <c r="H2485" i="11"/>
  <c r="H2489" i="11"/>
  <c r="H2493" i="11"/>
  <c r="H2497" i="11"/>
  <c r="H2501" i="11"/>
  <c r="H2505" i="11"/>
  <c r="H2509" i="11"/>
  <c r="H2513" i="11"/>
  <c r="H2517" i="11"/>
  <c r="H2521" i="11"/>
  <c r="H2525" i="11"/>
  <c r="H2529" i="11"/>
  <c r="H2533" i="11"/>
  <c r="H2537" i="11"/>
  <c r="H2541" i="11"/>
  <c r="H2545" i="11"/>
  <c r="H2549" i="11"/>
  <c r="H2553" i="11"/>
  <c r="H2557" i="11"/>
  <c r="H2561" i="11"/>
  <c r="H2565" i="11"/>
  <c r="H2569" i="11"/>
  <c r="H2573" i="11"/>
  <c r="H2577" i="11"/>
  <c r="H2581" i="11"/>
  <c r="H2585" i="11"/>
  <c r="H2589" i="11"/>
  <c r="H2593" i="11"/>
  <c r="H2597" i="11"/>
  <c r="H2601" i="11"/>
  <c r="H2605" i="11"/>
  <c r="H2609" i="11"/>
  <c r="H2613" i="11"/>
  <c r="H2617" i="11"/>
  <c r="H2621" i="11"/>
  <c r="H2625" i="11"/>
  <c r="H2629" i="11"/>
  <c r="H2633" i="11"/>
  <c r="H2637" i="11"/>
  <c r="H2641" i="11"/>
  <c r="H2645" i="11"/>
  <c r="H2649" i="11"/>
  <c r="H2653" i="11"/>
  <c r="H2657" i="11"/>
  <c r="H2661" i="11"/>
  <c r="H2665" i="11"/>
  <c r="H2669" i="11"/>
  <c r="H2673" i="11"/>
  <c r="H2677" i="11"/>
  <c r="H2681" i="11"/>
  <c r="H2685" i="11"/>
  <c r="H2689" i="11"/>
  <c r="H2693" i="11"/>
  <c r="H2697" i="11"/>
  <c r="H2701" i="11"/>
  <c r="H2705" i="11"/>
  <c r="H2709" i="11"/>
  <c r="H2713" i="11"/>
  <c r="H2717" i="11"/>
  <c r="H2721" i="11"/>
  <c r="H2725" i="11"/>
  <c r="H2729" i="11"/>
  <c r="H2733" i="11"/>
  <c r="H2737" i="11"/>
  <c r="H2741" i="11"/>
  <c r="H2745" i="11"/>
  <c r="H2749" i="11"/>
  <c r="H2753" i="11"/>
  <c r="H2757" i="11"/>
  <c r="H2761" i="11"/>
  <c r="H2765" i="11"/>
  <c r="H2769" i="11"/>
  <c r="H2773" i="11"/>
  <c r="H2777" i="11"/>
  <c r="H2781" i="11"/>
  <c r="H2785" i="11"/>
  <c r="H2789" i="11"/>
  <c r="H2793" i="11"/>
  <c r="H2797" i="11"/>
  <c r="H2801" i="11"/>
  <c r="H2805" i="11"/>
  <c r="H2809" i="11"/>
  <c r="H2813" i="11"/>
  <c r="H2817" i="11"/>
  <c r="H2821" i="11"/>
  <c r="H2825" i="11"/>
  <c r="H2829" i="11"/>
  <c r="H2833" i="11"/>
  <c r="H2837" i="11"/>
  <c r="H2841" i="11"/>
  <c r="H2845" i="11"/>
  <c r="H2849" i="11"/>
  <c r="H2853" i="11"/>
  <c r="H2857" i="11"/>
  <c r="H2861" i="11"/>
  <c r="H2865" i="11"/>
  <c r="H2869" i="11"/>
  <c r="H2873" i="11"/>
  <c r="H2877" i="11"/>
  <c r="H2881" i="11"/>
  <c r="H2885" i="11"/>
  <c r="H2889" i="11"/>
  <c r="H2893" i="11"/>
  <c r="H2897" i="11"/>
  <c r="H2901" i="11"/>
  <c r="H2905" i="11"/>
  <c r="H2909" i="11"/>
  <c r="H2913" i="11"/>
  <c r="H2917" i="11"/>
  <c r="H2921" i="11"/>
  <c r="H2925" i="11"/>
  <c r="H2929" i="11"/>
  <c r="H2933" i="11"/>
  <c r="H2937" i="11"/>
  <c r="H2941" i="11"/>
  <c r="H2945" i="11"/>
  <c r="H2949" i="11"/>
  <c r="H2953" i="11"/>
  <c r="H2957" i="11"/>
  <c r="H2961" i="11"/>
  <c r="H2965" i="11"/>
  <c r="H2969" i="11"/>
  <c r="H2973" i="11"/>
  <c r="H2977" i="11"/>
  <c r="H2981" i="11"/>
  <c r="H2985" i="11"/>
  <c r="H2989" i="11"/>
  <c r="H2993" i="11"/>
  <c r="H2997" i="11"/>
  <c r="H3001" i="11"/>
  <c r="H3005" i="11"/>
  <c r="H3009" i="11"/>
  <c r="H3013" i="11"/>
  <c r="H3017" i="11"/>
  <c r="H3021" i="11"/>
  <c r="H3025" i="11"/>
  <c r="H3029" i="11"/>
  <c r="H3033" i="11"/>
  <c r="H3037" i="11"/>
  <c r="H3041" i="11"/>
  <c r="H3045" i="11"/>
  <c r="H3049" i="11"/>
  <c r="H3053" i="11"/>
  <c r="H3057" i="11"/>
  <c r="H3061" i="11"/>
  <c r="H3065" i="11"/>
  <c r="H3069" i="11"/>
  <c r="H3073" i="11"/>
  <c r="H3077" i="11"/>
  <c r="H3081" i="11"/>
  <c r="H3085" i="11"/>
  <c r="H3089" i="11"/>
  <c r="H3093" i="11"/>
  <c r="H3097" i="11"/>
  <c r="H3101" i="11"/>
  <c r="H3105" i="11"/>
  <c r="H3109" i="11"/>
  <c r="H3113" i="11"/>
  <c r="H3117" i="11"/>
  <c r="H3121" i="11"/>
  <c r="H3125" i="11"/>
  <c r="H3129" i="11"/>
  <c r="H3133" i="11"/>
  <c r="H3137" i="11"/>
  <c r="H3141" i="11"/>
  <c r="H3145" i="11"/>
  <c r="H3149" i="11"/>
  <c r="H3153" i="11"/>
  <c r="H3157" i="11"/>
  <c r="H3161" i="11"/>
  <c r="H3165" i="11"/>
  <c r="H3169" i="11"/>
  <c r="H3173" i="11"/>
  <c r="H3177" i="11"/>
  <c r="H3181" i="11"/>
  <c r="H3185" i="11"/>
  <c r="H3189" i="11"/>
  <c r="H3193" i="11"/>
  <c r="H3197" i="11"/>
  <c r="H3201" i="11"/>
  <c r="H3205" i="11"/>
  <c r="H3209" i="11"/>
  <c r="H3213" i="11"/>
  <c r="H3217" i="11"/>
  <c r="H3221" i="11"/>
  <c r="H3225" i="11"/>
  <c r="H3229" i="11"/>
  <c r="H3233" i="11"/>
  <c r="H3237" i="11"/>
  <c r="H3241" i="11"/>
  <c r="H3245" i="11"/>
  <c r="H3249" i="11"/>
  <c r="H3253" i="11"/>
  <c r="H3257" i="11"/>
  <c r="H3261" i="11"/>
  <c r="H3265" i="11"/>
  <c r="H3269" i="11"/>
  <c r="H3273" i="11"/>
  <c r="H3277" i="11"/>
  <c r="H3281" i="11"/>
  <c r="H3285" i="11"/>
  <c r="H3289" i="11"/>
  <c r="H3293" i="11"/>
  <c r="H3297" i="11"/>
  <c r="H3301" i="11"/>
  <c r="H3305" i="11"/>
  <c r="H3309" i="11"/>
  <c r="H3313" i="11"/>
  <c r="H3317" i="11"/>
  <c r="H3321" i="11"/>
  <c r="H3325" i="11"/>
  <c r="H3329" i="11"/>
  <c r="H3333" i="11"/>
  <c r="H3337" i="11"/>
  <c r="H3341" i="11"/>
  <c r="H3345" i="11"/>
  <c r="H3349" i="11"/>
  <c r="H3353" i="11"/>
  <c r="H3357" i="11"/>
  <c r="H3361" i="11"/>
  <c r="H3365" i="11"/>
  <c r="H3369" i="11"/>
  <c r="H3373" i="11"/>
  <c r="H3377" i="11"/>
  <c r="H3381" i="11"/>
  <c r="H3385" i="11"/>
  <c r="H3389" i="11"/>
  <c r="H3393" i="11"/>
  <c r="H3397" i="11"/>
  <c r="H3401" i="11"/>
  <c r="H3405" i="11"/>
  <c r="H3409" i="11"/>
  <c r="H3413" i="11"/>
  <c r="H3417" i="11"/>
  <c r="H3421" i="11"/>
  <c r="H3425" i="11"/>
  <c r="H3429" i="11"/>
  <c r="H3433" i="11"/>
  <c r="H3437" i="11"/>
  <c r="H3441" i="11"/>
  <c r="H3445" i="11"/>
  <c r="H3449" i="11"/>
  <c r="H3453" i="11"/>
  <c r="H3457" i="11"/>
  <c r="H3461" i="11"/>
  <c r="H3465" i="11"/>
  <c r="H3469" i="11"/>
  <c r="H3473" i="11"/>
  <c r="H3477" i="11"/>
  <c r="H3481" i="11"/>
  <c r="H3485" i="11"/>
  <c r="H3489" i="11"/>
  <c r="H3493" i="11"/>
  <c r="H3497" i="11"/>
  <c r="H3501" i="11"/>
  <c r="H480" i="11"/>
  <c r="H476" i="11"/>
  <c r="H472" i="11"/>
  <c r="H468" i="11"/>
  <c r="H464" i="11"/>
  <c r="H460" i="11"/>
  <c r="H456" i="11"/>
  <c r="H452" i="11"/>
  <c r="H448" i="11"/>
  <c r="H444" i="11"/>
  <c r="H440" i="11"/>
  <c r="H436" i="11"/>
  <c r="H432" i="11"/>
  <c r="H428" i="11"/>
  <c r="H424" i="11"/>
  <c r="H420" i="11"/>
  <c r="H416" i="11"/>
  <c r="H412" i="11"/>
  <c r="H408" i="11"/>
  <c r="H404" i="11"/>
  <c r="H400" i="11"/>
  <c r="H396" i="11"/>
  <c r="H392" i="11"/>
  <c r="H388" i="11"/>
  <c r="H384" i="11"/>
  <c r="H380" i="11"/>
  <c r="H376" i="11"/>
  <c r="H372" i="11"/>
  <c r="H368" i="11"/>
  <c r="H364" i="11"/>
  <c r="H360" i="11"/>
  <c r="H356" i="11"/>
  <c r="H352" i="11"/>
  <c r="H348" i="11"/>
  <c r="H344" i="11"/>
  <c r="H340" i="11"/>
  <c r="H335" i="11"/>
  <c r="H329" i="11"/>
  <c r="H324" i="11"/>
  <c r="H319" i="11"/>
  <c r="H313" i="11"/>
  <c r="H308" i="11"/>
  <c r="H303" i="11"/>
  <c r="H297" i="11"/>
  <c r="H292" i="11"/>
  <c r="H287" i="11"/>
  <c r="H281" i="11"/>
  <c r="H276" i="11"/>
  <c r="H271" i="11"/>
  <c r="H265" i="11"/>
  <c r="H260" i="11"/>
  <c r="H255" i="11"/>
  <c r="H249" i="11"/>
  <c r="H244" i="11"/>
  <c r="H239" i="11"/>
  <c r="H233" i="11"/>
  <c r="H228" i="11"/>
  <c r="H221" i="11"/>
  <c r="H213" i="11"/>
  <c r="H205" i="11"/>
  <c r="H197" i="11"/>
  <c r="H189" i="11"/>
  <c r="H181" i="11"/>
  <c r="H173" i="11"/>
  <c r="H165" i="11"/>
  <c r="H157" i="11"/>
  <c r="H149" i="11"/>
  <c r="H141" i="11"/>
  <c r="H133" i="11"/>
  <c r="H125" i="11"/>
  <c r="H117" i="11"/>
  <c r="H109" i="11"/>
  <c r="H101" i="11"/>
  <c r="H93" i="11"/>
  <c r="H85" i="11"/>
  <c r="H77" i="11"/>
  <c r="H69" i="11"/>
  <c r="H61" i="11"/>
  <c r="H53" i="11"/>
  <c r="H45" i="11"/>
  <c r="H37" i="11"/>
  <c r="H29" i="11"/>
  <c r="H21" i="11"/>
  <c r="H13" i="11"/>
  <c r="H5" i="11"/>
  <c r="H269" i="11"/>
  <c r="H264" i="11"/>
  <c r="H259" i="11"/>
  <c r="H253" i="11"/>
  <c r="H248" i="11"/>
  <c r="H243" i="11"/>
  <c r="H237" i="11"/>
  <c r="H232" i="11"/>
  <c r="H227" i="11"/>
  <c r="H219" i="11"/>
  <c r="H211" i="11"/>
  <c r="H203" i="11"/>
  <c r="H195" i="11"/>
  <c r="H187" i="11"/>
  <c r="H179" i="11"/>
  <c r="H171" i="11"/>
  <c r="H163" i="11"/>
  <c r="H155" i="11"/>
  <c r="H147" i="11"/>
  <c r="H139" i="11"/>
  <c r="H131" i="11"/>
  <c r="H123" i="11"/>
  <c r="H115" i="11"/>
  <c r="H107" i="11"/>
  <c r="H99" i="11"/>
  <c r="H91" i="11"/>
  <c r="H83" i="11"/>
  <c r="H75" i="11"/>
  <c r="H67" i="11"/>
  <c r="H59" i="11"/>
  <c r="H51" i="11"/>
  <c r="H43" i="11"/>
  <c r="H35" i="11"/>
  <c r="H27" i="11"/>
  <c r="H19" i="11"/>
  <c r="H11" i="11"/>
  <c r="H2" i="11"/>
  <c r="H6" i="11"/>
  <c r="H10" i="11"/>
  <c r="H14" i="11"/>
  <c r="H18" i="11"/>
  <c r="H22" i="11"/>
  <c r="H26" i="11"/>
  <c r="H30" i="11"/>
  <c r="H34" i="11"/>
  <c r="H38" i="11"/>
  <c r="H42" i="11"/>
  <c r="H46" i="11"/>
  <c r="H50" i="11"/>
  <c r="H54" i="11"/>
  <c r="H58" i="11"/>
  <c r="H62" i="11"/>
  <c r="H66" i="11"/>
  <c r="H70" i="11"/>
  <c r="H74" i="11"/>
  <c r="H78" i="11"/>
  <c r="H82" i="11"/>
  <c r="H86" i="11"/>
  <c r="H90" i="11"/>
  <c r="H94" i="11"/>
  <c r="H98" i="11"/>
  <c r="H102" i="11"/>
  <c r="H106" i="11"/>
  <c r="H110" i="11"/>
  <c r="H114" i="11"/>
  <c r="H118" i="11"/>
  <c r="H122" i="11"/>
  <c r="H126" i="11"/>
  <c r="H130" i="11"/>
  <c r="H134" i="11"/>
  <c r="H138" i="11"/>
  <c r="H142" i="11"/>
  <c r="H146" i="11"/>
  <c r="H150" i="11"/>
  <c r="H154" i="11"/>
  <c r="H158" i="11"/>
  <c r="H162" i="11"/>
  <c r="H166" i="11"/>
  <c r="H170" i="11"/>
  <c r="H174" i="11"/>
  <c r="H178" i="11"/>
  <c r="H182" i="11"/>
  <c r="H186" i="11"/>
  <c r="H190" i="11"/>
  <c r="H194" i="11"/>
  <c r="H198" i="11"/>
  <c r="H202" i="11"/>
  <c r="H206" i="11"/>
  <c r="H210" i="11"/>
  <c r="H214" i="11"/>
  <c r="H218" i="11"/>
  <c r="H222" i="11"/>
  <c r="H226" i="11"/>
  <c r="H230" i="11"/>
  <c r="H234" i="11"/>
  <c r="H238" i="11"/>
  <c r="H242" i="11"/>
  <c r="H246" i="11"/>
  <c r="H250" i="11"/>
  <c r="H254" i="11"/>
  <c r="H258" i="11"/>
  <c r="H262" i="11"/>
  <c r="H266" i="11"/>
  <c r="H270" i="11"/>
  <c r="H274" i="11"/>
  <c r="H278" i="11"/>
  <c r="H282" i="11"/>
  <c r="H286" i="11"/>
  <c r="H290" i="11"/>
  <c r="H294" i="11"/>
  <c r="H298" i="11"/>
  <c r="H302" i="11"/>
  <c r="H306" i="11"/>
  <c r="H310" i="11"/>
  <c r="H314" i="11"/>
  <c r="H318" i="11"/>
  <c r="H322" i="11"/>
  <c r="H326" i="11"/>
  <c r="H330" i="11"/>
  <c r="H334" i="11"/>
  <c r="H338" i="11"/>
  <c r="H4" i="11"/>
  <c r="H8" i="11"/>
  <c r="H12" i="11"/>
  <c r="H16" i="11"/>
  <c r="H20" i="11"/>
  <c r="H24" i="11"/>
  <c r="H28" i="11"/>
  <c r="H32" i="11"/>
  <c r="H36" i="11"/>
  <c r="H40" i="11"/>
  <c r="H44" i="11"/>
  <c r="H48" i="11"/>
  <c r="H52" i="11"/>
  <c r="H56" i="11"/>
  <c r="H60" i="11"/>
  <c r="H64" i="11"/>
  <c r="H68" i="11"/>
  <c r="H72" i="11"/>
  <c r="H76" i="11"/>
  <c r="H80" i="11"/>
  <c r="H84" i="11"/>
  <c r="H88" i="11"/>
  <c r="H92" i="11"/>
  <c r="H96" i="11"/>
  <c r="H100" i="11"/>
  <c r="H104" i="11"/>
  <c r="H108" i="11"/>
  <c r="H112" i="11"/>
  <c r="H116" i="11"/>
  <c r="H120" i="11"/>
  <c r="H124" i="11"/>
  <c r="H128" i="11"/>
  <c r="H132" i="11"/>
  <c r="H136" i="11"/>
  <c r="H140" i="11"/>
  <c r="H144" i="11"/>
  <c r="H148" i="11"/>
  <c r="H152" i="11"/>
  <c r="H156" i="11"/>
  <c r="H160" i="11"/>
  <c r="H164" i="11"/>
  <c r="H168" i="11"/>
  <c r="H172" i="11"/>
  <c r="H176" i="11"/>
  <c r="H180" i="11"/>
  <c r="H184" i="11"/>
  <c r="H188" i="11"/>
  <c r="H192" i="11"/>
  <c r="H196" i="11"/>
  <c r="H200" i="11"/>
  <c r="H204" i="11"/>
  <c r="H208" i="11"/>
  <c r="H212" i="11"/>
  <c r="H216" i="11"/>
  <c r="H220" i="11"/>
  <c r="H224" i="11"/>
  <c r="G208" i="11"/>
  <c r="G204" i="11"/>
  <c r="G200" i="11"/>
  <c r="G196" i="11"/>
  <c r="G192" i="11"/>
  <c r="G188" i="11"/>
  <c r="G184" i="11"/>
  <c r="G180" i="11"/>
  <c r="G176" i="11"/>
  <c r="G172" i="11"/>
  <c r="G168" i="11"/>
  <c r="G164" i="11"/>
  <c r="G160" i="11"/>
  <c r="G156" i="11"/>
  <c r="G152" i="11"/>
  <c r="G148" i="11"/>
  <c r="G144" i="11"/>
  <c r="G140" i="11"/>
  <c r="G136" i="11"/>
  <c r="G132" i="11"/>
  <c r="G128" i="11"/>
  <c r="G124" i="11"/>
  <c r="G120" i="11"/>
  <c r="G116" i="11"/>
  <c r="G112" i="11"/>
  <c r="G108" i="11"/>
  <c r="G104" i="11"/>
  <c r="G100" i="11"/>
  <c r="G96" i="11"/>
  <c r="G92" i="11"/>
  <c r="G88" i="11"/>
  <c r="G84" i="11"/>
  <c r="G80" i="11"/>
  <c r="G76" i="11"/>
  <c r="G72" i="11"/>
  <c r="G68" i="11"/>
  <c r="G64" i="11"/>
  <c r="G60" i="11"/>
  <c r="G56" i="11"/>
  <c r="G52" i="11"/>
  <c r="G48" i="11"/>
  <c r="G44" i="11"/>
  <c r="G40" i="11"/>
  <c r="G36" i="11"/>
  <c r="G32" i="11"/>
  <c r="G28" i="11"/>
  <c r="G24" i="11"/>
  <c r="G20" i="11"/>
  <c r="G16" i="11"/>
  <c r="G12" i="11"/>
  <c r="G8" i="11"/>
  <c r="G4" i="11"/>
  <c r="G211" i="11"/>
  <c r="G207" i="11"/>
  <c r="G203" i="11"/>
  <c r="G199" i="11"/>
  <c r="G195" i="11"/>
  <c r="G191" i="11"/>
  <c r="G187" i="11"/>
  <c r="G183" i="11"/>
  <c r="G179" i="11"/>
  <c r="G175" i="11"/>
  <c r="G171" i="11"/>
  <c r="G167" i="11"/>
  <c r="G163" i="11"/>
  <c r="G159" i="11"/>
  <c r="G155" i="11"/>
  <c r="G151" i="11"/>
  <c r="G147" i="11"/>
  <c r="G143" i="11"/>
  <c r="G139" i="11"/>
  <c r="G135" i="11"/>
  <c r="G131" i="11"/>
  <c r="G127" i="11"/>
  <c r="G123" i="11"/>
  <c r="G119" i="11"/>
  <c r="G115" i="11"/>
  <c r="G111" i="11"/>
  <c r="G107" i="11"/>
  <c r="G103" i="11"/>
  <c r="G99" i="11"/>
  <c r="G95" i="11"/>
  <c r="G91" i="11"/>
  <c r="G87" i="11"/>
  <c r="G83" i="11"/>
  <c r="G79" i="11"/>
  <c r="G75" i="11"/>
  <c r="G71" i="11"/>
  <c r="G67" i="11"/>
  <c r="G63" i="11"/>
  <c r="G59" i="11"/>
  <c r="G55" i="11"/>
  <c r="G51" i="11"/>
  <c r="G47" i="11"/>
  <c r="G43" i="11"/>
  <c r="G39" i="11"/>
  <c r="G35" i="11"/>
  <c r="G31" i="11"/>
  <c r="G27" i="11"/>
  <c r="G23" i="11"/>
  <c r="G19" i="11"/>
  <c r="G15" i="11"/>
  <c r="G11" i="11"/>
  <c r="G7" i="11"/>
  <c r="G3" i="11"/>
  <c r="G338" i="11"/>
  <c r="G334" i="11"/>
  <c r="G330" i="11"/>
  <c r="G326" i="11"/>
  <c r="G322" i="11"/>
  <c r="G318" i="11"/>
  <c r="G314" i="11"/>
  <c r="G310" i="11"/>
  <c r="G306" i="11"/>
  <c r="G302" i="11"/>
  <c r="G298" i="11"/>
  <c r="G294" i="11"/>
  <c r="G290" i="11"/>
  <c r="G286" i="11"/>
  <c r="G282" i="11"/>
  <c r="G278" i="11"/>
  <c r="G274" i="11"/>
  <c r="G270" i="11"/>
  <c r="G266" i="11"/>
  <c r="G262" i="11"/>
  <c r="G258" i="11"/>
  <c r="G254" i="11"/>
  <c r="G250" i="11"/>
  <c r="G246" i="11"/>
  <c r="G242" i="11"/>
  <c r="G238" i="11"/>
  <c r="G234" i="11"/>
  <c r="G230" i="11"/>
  <c r="G226" i="11"/>
  <c r="G222" i="11"/>
  <c r="G218" i="11"/>
  <c r="G214" i="11"/>
  <c r="G210" i="11"/>
  <c r="G206" i="11"/>
  <c r="G202" i="11"/>
  <c r="G198" i="11"/>
  <c r="G194" i="11"/>
  <c r="G190" i="11"/>
  <c r="G186" i="11"/>
  <c r="G182" i="11"/>
  <c r="G178" i="11"/>
  <c r="G174" i="11"/>
  <c r="G170" i="11"/>
  <c r="G166" i="11"/>
  <c r="G162" i="11"/>
  <c r="G158" i="11"/>
  <c r="G154" i="11"/>
  <c r="G150" i="11"/>
  <c r="G146" i="11"/>
  <c r="G142" i="11"/>
  <c r="G138" i="11"/>
  <c r="G134" i="11"/>
  <c r="G130" i="11"/>
  <c r="G126" i="11"/>
  <c r="G122" i="11"/>
  <c r="G118" i="11"/>
  <c r="G114" i="11"/>
  <c r="G110" i="11"/>
  <c r="G106" i="11"/>
  <c r="G102" i="11"/>
  <c r="G98" i="11"/>
  <c r="G94" i="11"/>
  <c r="G90" i="11"/>
  <c r="G86" i="11"/>
  <c r="G82" i="11"/>
  <c r="G78" i="11"/>
  <c r="G74" i="11"/>
  <c r="G70" i="11"/>
  <c r="G66" i="11"/>
  <c r="G62" i="11"/>
  <c r="G58" i="11"/>
  <c r="G54" i="11"/>
  <c r="G50" i="11"/>
  <c r="G46" i="11"/>
  <c r="G42" i="11"/>
  <c r="G38" i="11"/>
  <c r="G34" i="11"/>
  <c r="G30" i="11"/>
  <c r="G26" i="11"/>
  <c r="G22" i="11"/>
  <c r="G18" i="11"/>
  <c r="G14" i="11"/>
  <c r="G10" i="11"/>
  <c r="G6" i="11"/>
  <c r="F324" i="11"/>
  <c r="F320" i="11"/>
  <c r="F316" i="11"/>
  <c r="F312" i="11"/>
  <c r="F308" i="11"/>
  <c r="F304" i="11"/>
  <c r="F300" i="11"/>
  <c r="F296" i="11"/>
  <c r="F292" i="11"/>
  <c r="F288" i="11"/>
  <c r="F284" i="11"/>
  <c r="F280" i="11"/>
  <c r="F276" i="11"/>
  <c r="F272" i="11"/>
  <c r="F268" i="11"/>
  <c r="F264" i="11"/>
  <c r="F260" i="11"/>
  <c r="F256" i="11"/>
  <c r="F252" i="11"/>
  <c r="F248" i="11"/>
  <c r="F244" i="11"/>
  <c r="F240" i="11"/>
  <c r="F236" i="11"/>
  <c r="F232" i="11"/>
  <c r="F228" i="11"/>
  <c r="F224" i="11"/>
  <c r="F220" i="11"/>
  <c r="F216" i="11"/>
  <c r="F212" i="11"/>
  <c r="F208" i="11"/>
  <c r="F204" i="11"/>
  <c r="F200" i="11"/>
  <c r="F196" i="11"/>
  <c r="F192" i="11"/>
  <c r="F188" i="11"/>
  <c r="F184" i="11"/>
  <c r="F180" i="11"/>
  <c r="F176" i="11"/>
  <c r="F172" i="11"/>
  <c r="F168" i="11"/>
  <c r="F164" i="11"/>
  <c r="F160" i="11"/>
  <c r="F156" i="11"/>
  <c r="F152" i="11"/>
  <c r="F148" i="11"/>
  <c r="F144" i="11"/>
  <c r="F140" i="11"/>
  <c r="F136" i="11"/>
  <c r="F132" i="11"/>
  <c r="F128" i="11"/>
  <c r="F124" i="11"/>
  <c r="F120" i="11"/>
  <c r="F116" i="11"/>
  <c r="F112" i="11"/>
  <c r="F108" i="11"/>
  <c r="F104" i="11"/>
  <c r="F100" i="11"/>
  <c r="F96" i="11"/>
  <c r="F92" i="11"/>
  <c r="F88" i="11"/>
  <c r="F84" i="11"/>
  <c r="F80" i="11"/>
  <c r="F76" i="11"/>
  <c r="F72" i="11"/>
  <c r="F68" i="11"/>
  <c r="F64" i="11"/>
  <c r="F60" i="11"/>
  <c r="F56" i="11"/>
  <c r="F52" i="11"/>
  <c r="F48" i="11"/>
  <c r="F44" i="11"/>
  <c r="F40" i="11"/>
  <c r="F36" i="11"/>
  <c r="F32" i="11"/>
  <c r="F28" i="11"/>
  <c r="F24" i="11"/>
  <c r="F20" i="11"/>
  <c r="F16" i="11"/>
  <c r="F12" i="11"/>
  <c r="F8" i="11"/>
  <c r="F4" i="11"/>
  <c r="F163" i="11"/>
  <c r="F159" i="11"/>
  <c r="F155" i="11"/>
  <c r="F151" i="11"/>
  <c r="F147" i="11"/>
  <c r="F143" i="11"/>
  <c r="F139" i="11"/>
  <c r="F135" i="11"/>
  <c r="F131" i="11"/>
  <c r="F127" i="11"/>
  <c r="F123" i="11"/>
  <c r="F119" i="11"/>
  <c r="F115" i="11"/>
  <c r="F111" i="11"/>
  <c r="F107" i="11"/>
  <c r="F103" i="11"/>
  <c r="F99" i="11"/>
  <c r="F95" i="11"/>
  <c r="F91" i="11"/>
  <c r="F87" i="11"/>
  <c r="F83" i="11"/>
  <c r="F79" i="11"/>
  <c r="F75" i="11"/>
  <c r="F71" i="11"/>
  <c r="F67" i="11"/>
  <c r="F63" i="11"/>
  <c r="F59" i="11"/>
  <c r="F55" i="11"/>
  <c r="F51" i="11"/>
  <c r="F47" i="11"/>
  <c r="F43" i="11"/>
  <c r="F39" i="11"/>
  <c r="F35" i="11"/>
  <c r="F31" i="11"/>
  <c r="F27" i="11"/>
  <c r="F23" i="11"/>
  <c r="F19" i="11"/>
  <c r="F15" i="11"/>
  <c r="F11" i="11"/>
  <c r="F7" i="11"/>
  <c r="F3" i="11"/>
  <c r="F338" i="11"/>
  <c r="F334" i="11"/>
  <c r="F330" i="11"/>
  <c r="F326" i="11"/>
  <c r="F322" i="11"/>
  <c r="F318" i="11"/>
  <c r="F314" i="11"/>
  <c r="F310" i="11"/>
  <c r="F306" i="11"/>
  <c r="F302" i="11"/>
  <c r="F298" i="11"/>
  <c r="F294" i="11"/>
  <c r="F290" i="11"/>
  <c r="F286" i="11"/>
  <c r="F282" i="11"/>
  <c r="F278" i="11"/>
  <c r="F274" i="11"/>
  <c r="F270" i="11"/>
  <c r="F266" i="11"/>
  <c r="F262" i="11"/>
  <c r="F258" i="11"/>
  <c r="F254" i="11"/>
  <c r="F250" i="11"/>
  <c r="F246" i="11"/>
  <c r="F242" i="11"/>
  <c r="F238" i="11"/>
  <c r="F234" i="11"/>
  <c r="F230" i="11"/>
  <c r="F226" i="11"/>
  <c r="F222" i="11"/>
  <c r="F218" i="11"/>
  <c r="F214" i="11"/>
  <c r="F210" i="11"/>
  <c r="F206" i="11"/>
  <c r="F202" i="11"/>
  <c r="F198" i="11"/>
  <c r="F194" i="11"/>
  <c r="F190" i="11"/>
  <c r="F186" i="11"/>
  <c r="F182" i="11"/>
  <c r="F178" i="11"/>
  <c r="F174" i="11"/>
  <c r="F170" i="11"/>
  <c r="F166" i="11"/>
  <c r="F162" i="11"/>
  <c r="F158" i="11"/>
  <c r="F154" i="11"/>
  <c r="F150" i="11"/>
  <c r="F146" i="11"/>
  <c r="F142" i="11"/>
  <c r="F138" i="11"/>
  <c r="F134" i="11"/>
  <c r="F130" i="11"/>
  <c r="F126" i="11"/>
  <c r="F122" i="11"/>
  <c r="F118" i="11"/>
  <c r="F114" i="11"/>
  <c r="F110" i="11"/>
  <c r="F106" i="11"/>
  <c r="F102" i="11"/>
  <c r="F98" i="11"/>
  <c r="F94" i="11"/>
  <c r="F90" i="11"/>
  <c r="F86" i="11"/>
  <c r="F82" i="11"/>
  <c r="F78" i="11"/>
  <c r="F74" i="11"/>
  <c r="F70" i="11"/>
  <c r="F66" i="11"/>
  <c r="F62" i="11"/>
  <c r="F58" i="11"/>
  <c r="F54" i="11"/>
  <c r="F50" i="11"/>
  <c r="F46" i="11"/>
  <c r="F42" i="11"/>
  <c r="F38" i="11"/>
  <c r="F34" i="11"/>
  <c r="F30" i="11"/>
  <c r="F26" i="11"/>
  <c r="F22" i="11"/>
  <c r="F18" i="11"/>
  <c r="F14" i="11"/>
  <c r="F10" i="11"/>
  <c r="F6" i="11"/>
  <c r="E332" i="11"/>
  <c r="E328" i="11"/>
  <c r="E324" i="11"/>
  <c r="E320" i="11"/>
  <c r="E316" i="11"/>
  <c r="E312" i="11"/>
  <c r="E308" i="11"/>
  <c r="E304" i="11"/>
  <c r="E300" i="11"/>
  <c r="E296" i="11"/>
  <c r="E292" i="11"/>
  <c r="E288" i="11"/>
  <c r="E284" i="11"/>
  <c r="E280" i="11"/>
  <c r="E276" i="11"/>
  <c r="E272" i="11"/>
  <c r="E268" i="11"/>
  <c r="E264" i="11"/>
  <c r="E260" i="11"/>
  <c r="E256" i="11"/>
  <c r="E252" i="11"/>
  <c r="E248" i="11"/>
  <c r="E244" i="11"/>
  <c r="E240" i="11"/>
  <c r="E236" i="11"/>
  <c r="E232" i="11"/>
  <c r="E228" i="11"/>
  <c r="E224" i="11"/>
  <c r="E220" i="11"/>
  <c r="E216" i="11"/>
  <c r="E212" i="11"/>
  <c r="E208" i="11"/>
  <c r="E204" i="11"/>
  <c r="E200" i="11"/>
  <c r="E196" i="11"/>
  <c r="E192" i="11"/>
  <c r="E188" i="11"/>
  <c r="E184" i="11"/>
  <c r="E180" i="11"/>
  <c r="E176" i="11"/>
  <c r="E172" i="11"/>
  <c r="E168" i="11"/>
  <c r="E164" i="11"/>
  <c r="E160" i="11"/>
  <c r="E156" i="11"/>
  <c r="E152" i="11"/>
  <c r="E148" i="11"/>
  <c r="E144" i="11"/>
  <c r="E140" i="11"/>
  <c r="E136" i="11"/>
  <c r="E132" i="11"/>
  <c r="E128" i="11"/>
  <c r="E124" i="11"/>
  <c r="E120" i="11"/>
  <c r="E116" i="11"/>
  <c r="E112" i="11"/>
  <c r="E108" i="11"/>
  <c r="E104" i="11"/>
  <c r="E100" i="11"/>
  <c r="E96" i="11"/>
  <c r="E92" i="11"/>
  <c r="E88" i="11"/>
  <c r="E84" i="11"/>
  <c r="E80" i="11"/>
  <c r="E76" i="11"/>
  <c r="E72" i="11"/>
  <c r="E68" i="11"/>
  <c r="E64" i="11"/>
  <c r="E60" i="11"/>
  <c r="E56" i="11"/>
  <c r="E52" i="11"/>
  <c r="E48" i="11"/>
  <c r="E44" i="11"/>
  <c r="E40" i="11"/>
  <c r="E36" i="11"/>
  <c r="E32" i="11"/>
  <c r="E28" i="11"/>
  <c r="E24" i="11"/>
  <c r="E20" i="11"/>
  <c r="E16" i="11"/>
  <c r="E12" i="11"/>
  <c r="E8" i="11"/>
  <c r="E4" i="11"/>
  <c r="E79" i="11"/>
  <c r="E75" i="11"/>
  <c r="E71" i="11"/>
  <c r="E67" i="11"/>
  <c r="E63" i="11"/>
  <c r="E59" i="11"/>
  <c r="E55" i="11"/>
  <c r="E51" i="11"/>
  <c r="E47" i="11"/>
  <c r="E43" i="11"/>
  <c r="E39" i="11"/>
  <c r="E35" i="11"/>
  <c r="E31" i="11"/>
  <c r="E27" i="11"/>
  <c r="E23" i="11"/>
  <c r="E19" i="11"/>
  <c r="E15" i="11"/>
  <c r="E11" i="11"/>
  <c r="E7" i="11"/>
  <c r="E3" i="11"/>
  <c r="E338" i="11"/>
  <c r="E334" i="11"/>
  <c r="E330" i="11"/>
  <c r="E326" i="11"/>
  <c r="E322" i="11"/>
  <c r="E318" i="11"/>
  <c r="E314" i="11"/>
  <c r="E310" i="11"/>
  <c r="E306" i="11"/>
  <c r="E302" i="11"/>
  <c r="E298" i="11"/>
  <c r="E294" i="11"/>
  <c r="E290" i="11"/>
  <c r="E286" i="11"/>
  <c r="E282" i="11"/>
  <c r="E278" i="11"/>
  <c r="E274" i="11"/>
  <c r="E270" i="11"/>
  <c r="E266" i="11"/>
  <c r="E262" i="11"/>
  <c r="E258" i="11"/>
  <c r="E254" i="11"/>
  <c r="E250" i="11"/>
  <c r="E246" i="11"/>
  <c r="E242" i="11"/>
  <c r="E238" i="11"/>
  <c r="E234" i="11"/>
  <c r="E230" i="11"/>
  <c r="E226" i="11"/>
  <c r="E222" i="11"/>
  <c r="E218" i="11"/>
  <c r="E214" i="11"/>
  <c r="E210" i="11"/>
  <c r="E206" i="11"/>
  <c r="E202" i="11"/>
  <c r="E198" i="11"/>
  <c r="E194" i="11"/>
  <c r="E190" i="11"/>
  <c r="E186" i="11"/>
  <c r="E182" i="11"/>
  <c r="E178" i="11"/>
  <c r="E174" i="11"/>
  <c r="E170" i="11"/>
  <c r="E166" i="11"/>
  <c r="E162" i="11"/>
  <c r="E158" i="11"/>
  <c r="E154" i="11"/>
  <c r="E150" i="11"/>
  <c r="E146" i="11"/>
  <c r="E142" i="11"/>
  <c r="E138" i="11"/>
  <c r="E134" i="11"/>
  <c r="E130" i="11"/>
  <c r="E126" i="11"/>
  <c r="E122" i="11"/>
  <c r="E118" i="11"/>
  <c r="E114" i="11"/>
  <c r="E110" i="11"/>
  <c r="E106" i="11"/>
  <c r="E102" i="11"/>
  <c r="E98" i="11"/>
  <c r="E94" i="11"/>
  <c r="E90" i="11"/>
  <c r="E86" i="11"/>
  <c r="E82" i="11"/>
  <c r="E78" i="11"/>
  <c r="E74" i="11"/>
  <c r="E70" i="11"/>
  <c r="E66" i="11"/>
  <c r="E62" i="11"/>
  <c r="E58" i="11"/>
  <c r="E54" i="11"/>
  <c r="E50" i="11"/>
  <c r="E46" i="11"/>
  <c r="E42" i="11"/>
  <c r="E38" i="11"/>
  <c r="E34" i="11"/>
  <c r="E30" i="11"/>
  <c r="E26" i="11"/>
  <c r="E22" i="11"/>
  <c r="E18" i="11"/>
  <c r="E14" i="11"/>
  <c r="E10" i="11"/>
  <c r="E6" i="11"/>
  <c r="D502" i="11"/>
  <c r="D498" i="11"/>
  <c r="D494" i="11"/>
  <c r="D490" i="11"/>
  <c r="D486" i="11"/>
  <c r="D482" i="11"/>
  <c r="D478" i="11"/>
  <c r="D474" i="11"/>
  <c r="D470" i="11"/>
  <c r="D466" i="11"/>
  <c r="D462" i="11"/>
  <c r="D458" i="11"/>
  <c r="D454" i="11"/>
  <c r="D450" i="11"/>
  <c r="D446" i="11"/>
  <c r="D442" i="11"/>
  <c r="D438" i="11"/>
  <c r="D434" i="11"/>
  <c r="D430" i="11"/>
  <c r="D426" i="11"/>
  <c r="D422" i="11"/>
  <c r="D418" i="11"/>
  <c r="D414" i="11"/>
  <c r="D410" i="11"/>
  <c r="D406" i="11"/>
  <c r="D402" i="11"/>
  <c r="D398" i="11"/>
  <c r="D394" i="11"/>
  <c r="D390" i="11"/>
  <c r="D386" i="11"/>
  <c r="D382" i="11"/>
  <c r="D378" i="11"/>
  <c r="D374" i="11"/>
  <c r="D370" i="11"/>
  <c r="D366" i="11"/>
  <c r="D362" i="11"/>
  <c r="D358" i="11"/>
  <c r="D354" i="11"/>
  <c r="D350" i="11"/>
  <c r="D346" i="11"/>
  <c r="D342" i="11"/>
  <c r="D337" i="11"/>
  <c r="D332" i="11"/>
  <c r="D327" i="11"/>
  <c r="D321" i="11"/>
  <c r="D316" i="11"/>
  <c r="D309" i="11"/>
  <c r="D301" i="11"/>
  <c r="D293" i="11"/>
  <c r="D285" i="11"/>
  <c r="D277" i="11"/>
  <c r="D269" i="11"/>
  <c r="D261" i="11"/>
  <c r="D253" i="11"/>
  <c r="D245" i="11"/>
  <c r="D237" i="11"/>
  <c r="D229" i="11"/>
  <c r="D221" i="11"/>
  <c r="D213" i="11"/>
  <c r="D205" i="11"/>
  <c r="D197" i="11"/>
  <c r="D189" i="11"/>
  <c r="D181" i="11"/>
  <c r="D173" i="11"/>
  <c r="D165" i="11"/>
  <c r="D157" i="11"/>
  <c r="D149" i="11"/>
  <c r="D141" i="11"/>
  <c r="D133" i="11"/>
  <c r="D125" i="11"/>
  <c r="D117" i="11"/>
  <c r="D109" i="11"/>
  <c r="D101" i="11"/>
  <c r="D93" i="11"/>
  <c r="D85" i="11"/>
  <c r="D77" i="11"/>
  <c r="D69" i="11"/>
  <c r="D61" i="11"/>
  <c r="D53" i="11"/>
  <c r="D45" i="11"/>
  <c r="D37" i="11"/>
  <c r="D29" i="11"/>
  <c r="D21" i="11"/>
  <c r="D13" i="11"/>
  <c r="D5" i="11"/>
  <c r="D645" i="11"/>
  <c r="D641" i="11"/>
  <c r="D637" i="11"/>
  <c r="D633" i="11"/>
  <c r="D629" i="11"/>
  <c r="D625" i="11"/>
  <c r="D621" i="11"/>
  <c r="D617" i="11"/>
  <c r="D613" i="11"/>
  <c r="D609" i="11"/>
  <c r="D605" i="11"/>
  <c r="D601" i="11"/>
  <c r="D597" i="11"/>
  <c r="D593" i="11"/>
  <c r="D589" i="11"/>
  <c r="D585" i="11"/>
  <c r="D581" i="11"/>
  <c r="D577" i="11"/>
  <c r="D573" i="11"/>
  <c r="D569" i="11"/>
  <c r="D565" i="11"/>
  <c r="D561" i="11"/>
  <c r="D557" i="11"/>
  <c r="D553" i="11"/>
  <c r="D549" i="11"/>
  <c r="D545" i="11"/>
  <c r="D541" i="11"/>
  <c r="D537" i="11"/>
  <c r="D533" i="11"/>
  <c r="D529" i="11"/>
  <c r="D525" i="11"/>
  <c r="D521" i="11"/>
  <c r="D517" i="11"/>
  <c r="D513" i="11"/>
  <c r="D509" i="11"/>
  <c r="D505" i="11"/>
  <c r="D501" i="11"/>
  <c r="D497" i="11"/>
  <c r="D493" i="11"/>
  <c r="D489" i="11"/>
  <c r="D485" i="11"/>
  <c r="D481" i="11"/>
  <c r="D477" i="11"/>
  <c r="D473" i="11"/>
  <c r="D469" i="11"/>
  <c r="D465" i="11"/>
  <c r="D461" i="11"/>
  <c r="D457" i="11"/>
  <c r="D453" i="11"/>
  <c r="D449" i="11"/>
  <c r="D445" i="11"/>
  <c r="D441" i="11"/>
  <c r="D437" i="11"/>
  <c r="D433" i="11"/>
  <c r="D429" i="11"/>
  <c r="D425" i="11"/>
  <c r="D421" i="11"/>
  <c r="D417" i="11"/>
  <c r="D413" i="11"/>
  <c r="D409" i="11"/>
  <c r="D405" i="11"/>
  <c r="D401" i="11"/>
  <c r="D397" i="11"/>
  <c r="D393" i="11"/>
  <c r="D389" i="11"/>
  <c r="D385" i="11"/>
  <c r="D381" i="11"/>
  <c r="D377" i="11"/>
  <c r="D373" i="11"/>
  <c r="D369" i="11"/>
  <c r="D365" i="11"/>
  <c r="D361" i="11"/>
  <c r="D357" i="11"/>
  <c r="D353" i="11"/>
  <c r="D349" i="11"/>
  <c r="D345" i="11"/>
  <c r="D341" i="11"/>
  <c r="D336" i="11"/>
  <c r="D331" i="11"/>
  <c r="D325" i="11"/>
  <c r="D320" i="11"/>
  <c r="D315" i="11"/>
  <c r="D307" i="11"/>
  <c r="D299" i="11"/>
  <c r="D291" i="11"/>
  <c r="D283" i="11"/>
  <c r="D275" i="11"/>
  <c r="D267" i="11"/>
  <c r="D259" i="11"/>
  <c r="D251" i="11"/>
  <c r="D243" i="11"/>
  <c r="D235" i="11"/>
  <c r="D227" i="11"/>
  <c r="D219" i="11"/>
  <c r="D211" i="11"/>
  <c r="D203" i="11"/>
  <c r="D195" i="11"/>
  <c r="D187" i="11"/>
  <c r="D179" i="11"/>
  <c r="D171" i="11"/>
  <c r="D163" i="11"/>
  <c r="D155" i="11"/>
  <c r="D147" i="11"/>
  <c r="D139" i="11"/>
  <c r="D131" i="11"/>
  <c r="D123" i="11"/>
  <c r="D115" i="11"/>
  <c r="D107" i="11"/>
  <c r="D99" i="11"/>
  <c r="D91" i="11"/>
  <c r="D83" i="11"/>
  <c r="D75" i="11"/>
  <c r="D67" i="11"/>
  <c r="D59" i="11"/>
  <c r="D51" i="11"/>
  <c r="D43" i="11"/>
  <c r="D35" i="11"/>
  <c r="D27" i="11"/>
  <c r="D19" i="11"/>
  <c r="D11" i="11"/>
  <c r="D2" i="11"/>
  <c r="D6" i="11"/>
  <c r="D10" i="11"/>
  <c r="D14" i="11"/>
  <c r="D18" i="11"/>
  <c r="D22" i="11"/>
  <c r="D26" i="11"/>
  <c r="D30" i="11"/>
  <c r="D34" i="11"/>
  <c r="D38" i="11"/>
  <c r="D42" i="11"/>
  <c r="D46" i="11"/>
  <c r="D50" i="11"/>
  <c r="D54" i="11"/>
  <c r="D58" i="11"/>
  <c r="D62" i="11"/>
  <c r="D66" i="11"/>
  <c r="D70" i="11"/>
  <c r="D74" i="11"/>
  <c r="D78" i="11"/>
  <c r="D82" i="11"/>
  <c r="D86" i="11"/>
  <c r="D90" i="11"/>
  <c r="D94" i="11"/>
  <c r="D98" i="11"/>
  <c r="D102" i="11"/>
  <c r="D106" i="11"/>
  <c r="D110" i="11"/>
  <c r="D114" i="11"/>
  <c r="D118" i="11"/>
  <c r="D122" i="11"/>
  <c r="D126" i="11"/>
  <c r="D130" i="11"/>
  <c r="D134" i="11"/>
  <c r="D138" i="11"/>
  <c r="D142" i="11"/>
  <c r="D146" i="11"/>
  <c r="D150" i="11"/>
  <c r="D154" i="11"/>
  <c r="D158" i="11"/>
  <c r="D162" i="11"/>
  <c r="D166" i="11"/>
  <c r="D170" i="11"/>
  <c r="D174" i="11"/>
  <c r="D178" i="11"/>
  <c r="D182" i="11"/>
  <c r="D186" i="11"/>
  <c r="D190" i="11"/>
  <c r="D194" i="11"/>
  <c r="D198" i="11"/>
  <c r="D202" i="11"/>
  <c r="D206" i="11"/>
  <c r="D210" i="11"/>
  <c r="D214" i="11"/>
  <c r="D218" i="11"/>
  <c r="D222" i="11"/>
  <c r="D226" i="11"/>
  <c r="D230" i="11"/>
  <c r="D234" i="11"/>
  <c r="D238" i="11"/>
  <c r="D242" i="11"/>
  <c r="D246" i="11"/>
  <c r="D250" i="11"/>
  <c r="D254" i="11"/>
  <c r="D258" i="11"/>
  <c r="D262" i="11"/>
  <c r="D266" i="11"/>
  <c r="D270" i="11"/>
  <c r="D274" i="11"/>
  <c r="D278" i="11"/>
  <c r="D282" i="11"/>
  <c r="D286" i="11"/>
  <c r="D290" i="11"/>
  <c r="D294" i="11"/>
  <c r="D298" i="11"/>
  <c r="D302" i="11"/>
  <c r="D306" i="11"/>
  <c r="D310" i="11"/>
  <c r="D314" i="11"/>
  <c r="D318" i="11"/>
  <c r="D322" i="11"/>
  <c r="D326" i="11"/>
  <c r="D330" i="11"/>
  <c r="D334" i="11"/>
  <c r="D338" i="11"/>
  <c r="D4" i="11"/>
  <c r="D8" i="11"/>
  <c r="D12" i="11"/>
  <c r="D16" i="11"/>
  <c r="D20" i="11"/>
  <c r="D24" i="11"/>
  <c r="D28" i="11"/>
  <c r="D32" i="11"/>
  <c r="D36" i="11"/>
  <c r="D40" i="11"/>
  <c r="D44" i="11"/>
  <c r="D48" i="11"/>
  <c r="D52" i="11"/>
  <c r="D56" i="11"/>
  <c r="D60" i="11"/>
  <c r="D64" i="11"/>
  <c r="D68" i="11"/>
  <c r="D72" i="11"/>
  <c r="D76" i="11"/>
  <c r="D80" i="11"/>
  <c r="D84" i="11"/>
  <c r="D88" i="11"/>
  <c r="D92" i="11"/>
  <c r="D96" i="11"/>
  <c r="D100" i="11"/>
  <c r="D104" i="11"/>
  <c r="D108" i="11"/>
  <c r="D112" i="11"/>
  <c r="D116" i="11"/>
  <c r="D120" i="11"/>
  <c r="D124" i="11"/>
  <c r="D128" i="11"/>
  <c r="D132" i="11"/>
  <c r="D136" i="11"/>
  <c r="D140" i="11"/>
  <c r="D144" i="11"/>
  <c r="D148" i="11"/>
  <c r="D152" i="11"/>
  <c r="D156" i="11"/>
  <c r="D160" i="11"/>
  <c r="D164" i="11"/>
  <c r="D168" i="11"/>
  <c r="D172" i="11"/>
  <c r="D176" i="11"/>
  <c r="D180" i="11"/>
  <c r="D184" i="11"/>
  <c r="D188" i="11"/>
  <c r="D192" i="11"/>
  <c r="D196" i="11"/>
  <c r="D200" i="11"/>
  <c r="D204" i="11"/>
  <c r="D208" i="11"/>
  <c r="D212" i="11"/>
  <c r="D216" i="11"/>
  <c r="D220" i="11"/>
  <c r="D224" i="11"/>
  <c r="D228" i="11"/>
  <c r="D232" i="11"/>
  <c r="D236" i="11"/>
  <c r="D240" i="11"/>
  <c r="D244" i="11"/>
  <c r="D248" i="11"/>
  <c r="D252" i="11"/>
  <c r="D256" i="11"/>
  <c r="D260" i="11"/>
  <c r="D264" i="11"/>
  <c r="D268" i="11"/>
  <c r="D272" i="11"/>
  <c r="D276" i="11"/>
  <c r="D280" i="11"/>
  <c r="D284" i="11"/>
  <c r="D288" i="11"/>
  <c r="D292" i="11"/>
  <c r="D296" i="11"/>
  <c r="D300" i="11"/>
  <c r="D304" i="11"/>
  <c r="D308" i="11"/>
  <c r="D312" i="11"/>
  <c r="C340" i="11"/>
  <c r="C336" i="11"/>
  <c r="C332" i="11"/>
  <c r="C328" i="11"/>
  <c r="C324" i="11"/>
  <c r="C320" i="11"/>
  <c r="C316" i="11"/>
  <c r="C312" i="11"/>
  <c r="C308" i="11"/>
  <c r="C304" i="11"/>
  <c r="C300" i="11"/>
  <c r="C296" i="11"/>
  <c r="C292" i="11"/>
  <c r="C288" i="11"/>
  <c r="C284" i="11"/>
  <c r="C280" i="11"/>
  <c r="C276" i="11"/>
  <c r="C272" i="11"/>
  <c r="C268" i="11"/>
  <c r="C264" i="11"/>
  <c r="C260" i="11"/>
  <c r="C256" i="11"/>
  <c r="C252" i="11"/>
  <c r="C248" i="11"/>
  <c r="C244" i="11"/>
  <c r="C240" i="11"/>
  <c r="C236" i="11"/>
  <c r="C232" i="11"/>
  <c r="C228" i="11"/>
  <c r="C224" i="11"/>
  <c r="C220" i="11"/>
  <c r="C216" i="11"/>
  <c r="C212" i="11"/>
  <c r="C208" i="11"/>
  <c r="C204" i="11"/>
  <c r="C200" i="11"/>
  <c r="C196" i="11"/>
  <c r="C192" i="11"/>
  <c r="C188" i="11"/>
  <c r="C184" i="11"/>
  <c r="C180" i="11"/>
  <c r="C176" i="11"/>
  <c r="C172" i="11"/>
  <c r="C168" i="11"/>
  <c r="C164" i="11"/>
  <c r="C160" i="11"/>
  <c r="C156" i="11"/>
  <c r="C152" i="11"/>
  <c r="C148" i="11"/>
  <c r="C144" i="11"/>
  <c r="C140" i="11"/>
  <c r="C136" i="11"/>
  <c r="C132" i="11"/>
  <c r="C128" i="11"/>
  <c r="C124" i="11"/>
  <c r="C120" i="11"/>
  <c r="C116" i="11"/>
  <c r="C112" i="11"/>
  <c r="C108" i="11"/>
  <c r="C104" i="11"/>
  <c r="C100" i="11"/>
  <c r="C96" i="11"/>
  <c r="C92" i="11"/>
  <c r="C88" i="11"/>
  <c r="C84" i="11"/>
  <c r="C80" i="11"/>
  <c r="C76" i="11"/>
  <c r="C72" i="11"/>
  <c r="C68" i="11"/>
  <c r="C64" i="11"/>
  <c r="C60" i="11"/>
  <c r="C56" i="11"/>
  <c r="C52" i="11"/>
  <c r="C48" i="11"/>
  <c r="C44" i="11"/>
  <c r="C40" i="11"/>
  <c r="C36" i="11"/>
  <c r="C32" i="11"/>
  <c r="C28" i="11"/>
  <c r="C24" i="11"/>
  <c r="C20" i="11"/>
  <c r="C16" i="11"/>
  <c r="C12" i="11"/>
  <c r="C8" i="11"/>
  <c r="C4" i="11"/>
  <c r="C171" i="11"/>
  <c r="C167" i="11"/>
  <c r="C163" i="11"/>
  <c r="C159" i="11"/>
  <c r="C155" i="11"/>
  <c r="C151" i="11"/>
  <c r="C147" i="11"/>
  <c r="C143" i="11"/>
  <c r="C139" i="11"/>
  <c r="C135" i="11"/>
  <c r="C131" i="11"/>
  <c r="C127" i="11"/>
  <c r="C123" i="11"/>
  <c r="C119" i="11"/>
  <c r="C115" i="11"/>
  <c r="C111" i="11"/>
  <c r="C107" i="11"/>
  <c r="C103" i="11"/>
  <c r="C99" i="11"/>
  <c r="C95" i="11"/>
  <c r="C91" i="11"/>
  <c r="C87" i="11"/>
  <c r="C83" i="11"/>
  <c r="C79" i="11"/>
  <c r="C75" i="11"/>
  <c r="C71" i="11"/>
  <c r="C67" i="11"/>
  <c r="C63" i="11"/>
  <c r="C59" i="11"/>
  <c r="C55" i="11"/>
  <c r="C51" i="11"/>
  <c r="C47" i="11"/>
  <c r="C43" i="11"/>
  <c r="C39" i="11"/>
  <c r="C35" i="11"/>
  <c r="C31" i="11"/>
  <c r="C27" i="11"/>
  <c r="C23" i="11"/>
  <c r="C19" i="11"/>
  <c r="C15" i="11"/>
  <c r="C11" i="11"/>
  <c r="C7" i="11"/>
  <c r="C3" i="11"/>
  <c r="C338" i="11"/>
  <c r="C334" i="11"/>
  <c r="C330" i="11"/>
  <c r="C326" i="11"/>
  <c r="C322" i="11"/>
  <c r="C318" i="11"/>
  <c r="C314" i="11"/>
  <c r="C310" i="11"/>
  <c r="C306" i="11"/>
  <c r="C302" i="11"/>
  <c r="C298" i="11"/>
  <c r="C294" i="11"/>
  <c r="C290" i="11"/>
  <c r="C286" i="11"/>
  <c r="C282" i="11"/>
  <c r="C278" i="11"/>
  <c r="C274" i="11"/>
  <c r="C270" i="11"/>
  <c r="C266" i="11"/>
  <c r="C262" i="11"/>
  <c r="C258" i="11"/>
  <c r="C254" i="11"/>
  <c r="C250" i="11"/>
  <c r="C246" i="11"/>
  <c r="C242" i="11"/>
  <c r="C238" i="11"/>
  <c r="C234" i="11"/>
  <c r="C230" i="11"/>
  <c r="C226" i="11"/>
  <c r="C222" i="11"/>
  <c r="C218" i="11"/>
  <c r="C214" i="11"/>
  <c r="C210" i="11"/>
  <c r="C206" i="11"/>
  <c r="C202" i="11"/>
  <c r="C198" i="11"/>
  <c r="C194" i="11"/>
  <c r="C190" i="11"/>
  <c r="C186" i="11"/>
  <c r="C182" i="11"/>
  <c r="C178" i="11"/>
  <c r="C174" i="11"/>
  <c r="C170" i="11"/>
  <c r="C166" i="11"/>
  <c r="C162" i="11"/>
  <c r="C158" i="11"/>
  <c r="C154" i="11"/>
  <c r="C150" i="11"/>
  <c r="C146" i="11"/>
  <c r="C142" i="11"/>
  <c r="C138" i="11"/>
  <c r="C134" i="11"/>
  <c r="C130" i="11"/>
  <c r="C126" i="11"/>
  <c r="C122" i="11"/>
  <c r="C118" i="11"/>
  <c r="C114" i="11"/>
  <c r="C110" i="11"/>
  <c r="C106" i="11"/>
  <c r="C102" i="11"/>
  <c r="C98" i="11"/>
  <c r="C94" i="11"/>
  <c r="C90" i="11"/>
  <c r="C86" i="11"/>
  <c r="C82" i="11"/>
  <c r="C78" i="11"/>
  <c r="C74" i="11"/>
  <c r="C70" i="11"/>
  <c r="C66" i="11"/>
  <c r="C62" i="11"/>
  <c r="C58" i="11"/>
  <c r="C54" i="11"/>
  <c r="C50" i="11"/>
  <c r="C46" i="11"/>
  <c r="C42" i="11"/>
  <c r="C38" i="11"/>
  <c r="C34" i="11"/>
  <c r="C30" i="11"/>
  <c r="C26" i="11"/>
  <c r="C22" i="11"/>
  <c r="C18" i="11"/>
  <c r="C14" i="11"/>
  <c r="C10" i="11"/>
  <c r="C6" i="11"/>
  <c r="B340" i="11"/>
  <c r="B336" i="11"/>
  <c r="B332" i="11"/>
  <c r="B328" i="11"/>
  <c r="B324" i="11"/>
  <c r="B320" i="11"/>
  <c r="B316" i="11"/>
  <c r="B312" i="11"/>
  <c r="B308" i="11"/>
  <c r="B304" i="11"/>
  <c r="B300" i="11"/>
  <c r="B296" i="11"/>
  <c r="B292" i="11"/>
  <c r="B288" i="11"/>
  <c r="B284" i="11"/>
  <c r="B280" i="11"/>
  <c r="B276" i="11"/>
  <c r="B272" i="11"/>
  <c r="B268" i="11"/>
  <c r="B264" i="11"/>
  <c r="B260" i="11"/>
  <c r="B256" i="11"/>
  <c r="B252" i="11"/>
  <c r="B248" i="11"/>
  <c r="B244" i="11"/>
  <c r="B240" i="11"/>
  <c r="B236" i="11"/>
  <c r="B232" i="11"/>
  <c r="B228" i="11"/>
  <c r="B224" i="11"/>
  <c r="B220" i="11"/>
  <c r="B216" i="11"/>
  <c r="B212" i="11"/>
  <c r="B208" i="11"/>
  <c r="B204" i="11"/>
  <c r="B200" i="11"/>
  <c r="B196" i="11"/>
  <c r="B192" i="11"/>
  <c r="B188" i="11"/>
  <c r="B184" i="11"/>
  <c r="B180" i="11"/>
  <c r="B176" i="11"/>
  <c r="B172" i="11"/>
  <c r="B168" i="11"/>
  <c r="B164" i="11"/>
  <c r="B160" i="11"/>
  <c r="B156" i="11"/>
  <c r="B152" i="11"/>
  <c r="B148" i="11"/>
  <c r="B144" i="11"/>
  <c r="B140" i="11"/>
  <c r="B136" i="11"/>
  <c r="B132" i="11"/>
  <c r="B128" i="11"/>
  <c r="B124" i="11"/>
  <c r="B120" i="11"/>
  <c r="B116" i="11"/>
  <c r="B112" i="11"/>
  <c r="B108" i="11"/>
  <c r="B104" i="11"/>
  <c r="B100" i="11"/>
  <c r="B96" i="11"/>
  <c r="B92" i="11"/>
  <c r="B88" i="11"/>
  <c r="B84" i="11"/>
  <c r="B80" i="11"/>
  <c r="B76" i="11"/>
  <c r="B72" i="11"/>
  <c r="B68" i="11"/>
  <c r="B64" i="11"/>
  <c r="B60" i="11"/>
  <c r="B56" i="11"/>
  <c r="B52" i="11"/>
  <c r="B48" i="11"/>
  <c r="B44" i="11"/>
  <c r="B40" i="11"/>
  <c r="B36" i="11"/>
  <c r="B32" i="11"/>
  <c r="B28" i="11"/>
  <c r="B24" i="11"/>
  <c r="B20" i="11"/>
  <c r="B16" i="11"/>
  <c r="B12" i="11"/>
  <c r="B8" i="11"/>
  <c r="B4" i="11"/>
  <c r="B183" i="11"/>
  <c r="B179" i="11"/>
  <c r="B175" i="11"/>
  <c r="B171" i="11"/>
  <c r="B167" i="11"/>
  <c r="B163" i="11"/>
  <c r="B159" i="11"/>
  <c r="B155" i="11"/>
  <c r="B151" i="11"/>
  <c r="B147" i="11"/>
  <c r="B143" i="11"/>
  <c r="B139" i="11"/>
  <c r="B135" i="11"/>
  <c r="B131" i="11"/>
  <c r="B127" i="11"/>
  <c r="B123" i="11"/>
  <c r="B119" i="11"/>
  <c r="B115" i="11"/>
  <c r="B111" i="11"/>
  <c r="B107" i="11"/>
  <c r="B103" i="11"/>
  <c r="B99" i="11"/>
  <c r="B95" i="11"/>
  <c r="B91" i="11"/>
  <c r="B87" i="11"/>
  <c r="B83" i="11"/>
  <c r="B79" i="11"/>
  <c r="B75" i="11"/>
  <c r="B71" i="11"/>
  <c r="B67" i="11"/>
  <c r="B63" i="11"/>
  <c r="B59" i="11"/>
  <c r="B55" i="11"/>
  <c r="B51" i="11"/>
  <c r="B47" i="11"/>
  <c r="B43" i="11"/>
  <c r="B39" i="11"/>
  <c r="B35" i="11"/>
  <c r="B31" i="11"/>
  <c r="B27" i="11"/>
  <c r="B23" i="11"/>
  <c r="B19" i="11"/>
  <c r="B15" i="11"/>
  <c r="B11" i="11"/>
  <c r="B7" i="11"/>
  <c r="B3" i="11"/>
  <c r="B338" i="11"/>
  <c r="B334" i="11"/>
  <c r="B330" i="11"/>
  <c r="B326" i="11"/>
  <c r="B322" i="11"/>
  <c r="B318" i="11"/>
  <c r="B314" i="11"/>
  <c r="B310" i="11"/>
  <c r="B306" i="11"/>
  <c r="B302" i="11"/>
  <c r="B298" i="11"/>
  <c r="B294" i="11"/>
  <c r="B290" i="11"/>
  <c r="B286" i="11"/>
  <c r="B282" i="11"/>
  <c r="B278" i="11"/>
  <c r="B274" i="11"/>
  <c r="B270" i="11"/>
  <c r="B266" i="11"/>
  <c r="B262" i="11"/>
  <c r="B258" i="11"/>
  <c r="B254" i="11"/>
  <c r="B250" i="11"/>
  <c r="B246" i="11"/>
  <c r="B242" i="11"/>
  <c r="B238" i="11"/>
  <c r="B234" i="11"/>
  <c r="B230" i="11"/>
  <c r="B226" i="11"/>
  <c r="B222" i="11"/>
  <c r="B218" i="11"/>
  <c r="B214" i="11"/>
  <c r="B210" i="11"/>
  <c r="B206" i="11"/>
  <c r="B202" i="11"/>
  <c r="B198" i="11"/>
  <c r="B194" i="11"/>
  <c r="B190" i="11"/>
  <c r="B186" i="11"/>
  <c r="B182" i="11"/>
  <c r="B178" i="11"/>
  <c r="B174" i="11"/>
  <c r="B170" i="11"/>
  <c r="B166" i="11"/>
  <c r="B162" i="11"/>
  <c r="B158" i="11"/>
  <c r="B154" i="11"/>
  <c r="B150" i="11"/>
  <c r="B146" i="11"/>
  <c r="B142" i="11"/>
  <c r="B138" i="11"/>
  <c r="B134" i="11"/>
  <c r="B130" i="11"/>
  <c r="B126" i="11"/>
  <c r="B122" i="11"/>
  <c r="B118" i="11"/>
  <c r="B114" i="11"/>
  <c r="B110" i="11"/>
  <c r="B106" i="11"/>
  <c r="B102" i="11"/>
  <c r="B98" i="11"/>
  <c r="B94" i="11"/>
  <c r="B90" i="11"/>
  <c r="B86" i="11"/>
  <c r="B82" i="11"/>
  <c r="B78" i="11"/>
  <c r="B74" i="11"/>
  <c r="B70" i="11"/>
  <c r="B66" i="11"/>
  <c r="B62" i="11"/>
  <c r="B58" i="11"/>
  <c r="B54" i="11"/>
  <c r="B50" i="11"/>
  <c r="B46" i="11"/>
  <c r="B42" i="11"/>
  <c r="B38" i="11"/>
  <c r="B34" i="11"/>
  <c r="B30" i="11"/>
  <c r="B26" i="11"/>
  <c r="B22" i="11"/>
  <c r="B18" i="11"/>
  <c r="B14" i="11"/>
  <c r="B10" i="11"/>
  <c r="B6" i="11"/>
  <c r="A260" i="11"/>
  <c r="A256" i="11"/>
  <c r="A252" i="11"/>
  <c r="A248" i="11"/>
  <c r="A244" i="11"/>
  <c r="A240" i="11"/>
  <c r="A236" i="11"/>
  <c r="A232" i="11"/>
  <c r="A228" i="11"/>
  <c r="A224" i="11"/>
  <c r="A220" i="11"/>
  <c r="A216" i="11"/>
  <c r="A212" i="11"/>
  <c r="A208" i="11"/>
  <c r="A204" i="11"/>
  <c r="A200" i="11"/>
  <c r="A196" i="11"/>
  <c r="A192" i="11"/>
  <c r="A188" i="11"/>
  <c r="A184" i="11"/>
  <c r="A180" i="11"/>
  <c r="A176" i="11"/>
  <c r="A172" i="11"/>
  <c r="A168" i="11"/>
  <c r="A164" i="11"/>
  <c r="A160" i="11"/>
  <c r="A156" i="11"/>
  <c r="A152" i="11"/>
  <c r="A148" i="11"/>
  <c r="A144" i="11"/>
  <c r="A140" i="11"/>
  <c r="A136" i="11"/>
  <c r="A132" i="11"/>
  <c r="A128" i="11"/>
  <c r="A124" i="11"/>
  <c r="A120" i="11"/>
  <c r="A116" i="11"/>
  <c r="A112" i="11"/>
  <c r="A108" i="11"/>
  <c r="A104" i="11"/>
  <c r="A100" i="11"/>
  <c r="A96" i="11"/>
  <c r="A92" i="11"/>
  <c r="A88" i="11"/>
  <c r="A84" i="11"/>
  <c r="A80" i="11"/>
  <c r="A76" i="11"/>
  <c r="A72" i="11"/>
  <c r="A68" i="11"/>
  <c r="A64" i="11"/>
  <c r="A60" i="11"/>
  <c r="A56" i="11"/>
  <c r="A52" i="11"/>
  <c r="A48" i="11"/>
  <c r="A44" i="11"/>
  <c r="A40" i="11"/>
  <c r="A36" i="11"/>
  <c r="A32" i="11"/>
  <c r="A28" i="11"/>
  <c r="A24" i="11"/>
  <c r="A20" i="11"/>
  <c r="A16" i="11"/>
  <c r="A12" i="11"/>
  <c r="A8" i="11"/>
  <c r="A4" i="11"/>
  <c r="A251" i="11"/>
  <c r="A247" i="11"/>
  <c r="A243" i="11"/>
  <c r="A239" i="11"/>
  <c r="A235" i="11"/>
  <c r="A231" i="11"/>
  <c r="A227" i="11"/>
  <c r="A223" i="11"/>
  <c r="A219" i="11"/>
  <c r="A215" i="11"/>
  <c r="A211" i="11"/>
  <c r="A207" i="11"/>
  <c r="A203" i="11"/>
  <c r="A199" i="11"/>
  <c r="A195" i="11"/>
  <c r="A191" i="11"/>
  <c r="A187" i="11"/>
  <c r="A183" i="11"/>
  <c r="A179" i="11"/>
  <c r="A175" i="11"/>
  <c r="A171" i="11"/>
  <c r="A167" i="11"/>
  <c r="A163" i="11"/>
  <c r="A159" i="11"/>
  <c r="A155" i="11"/>
  <c r="A151" i="11"/>
  <c r="A147" i="11"/>
  <c r="A143" i="11"/>
  <c r="A139" i="11"/>
  <c r="A135" i="11"/>
  <c r="A131" i="11"/>
  <c r="A127" i="11"/>
  <c r="A123" i="11"/>
  <c r="A119" i="11"/>
  <c r="A115" i="11"/>
  <c r="A111" i="11"/>
  <c r="A107" i="11"/>
  <c r="A103" i="11"/>
  <c r="A99" i="11"/>
  <c r="A95" i="11"/>
  <c r="A91" i="11"/>
  <c r="A87" i="11"/>
  <c r="A83" i="11"/>
  <c r="A79" i="11"/>
  <c r="A75" i="11"/>
  <c r="A71" i="11"/>
  <c r="A67" i="11"/>
  <c r="A63" i="11"/>
  <c r="A59" i="11"/>
  <c r="A55" i="11"/>
  <c r="A51" i="11"/>
  <c r="A47" i="11"/>
  <c r="A43" i="11"/>
  <c r="A39" i="11"/>
  <c r="A35" i="11"/>
  <c r="A31" i="11"/>
  <c r="A27" i="11"/>
  <c r="A23" i="11"/>
  <c r="A19" i="11"/>
  <c r="A15" i="11"/>
  <c r="A11" i="11"/>
  <c r="A7" i="11"/>
  <c r="A3" i="11"/>
  <c r="A338" i="11"/>
  <c r="A334" i="11"/>
  <c r="A330" i="11"/>
  <c r="A326" i="11"/>
  <c r="A322" i="11"/>
  <c r="A318" i="11"/>
  <c r="A314" i="11"/>
  <c r="A310" i="11"/>
  <c r="A306" i="11"/>
  <c r="A302" i="11"/>
  <c r="A298" i="11"/>
  <c r="A294" i="11"/>
  <c r="A290" i="11"/>
  <c r="A286" i="11"/>
  <c r="A282" i="11"/>
  <c r="A278" i="11"/>
  <c r="A274" i="11"/>
  <c r="A270" i="11"/>
  <c r="A266" i="11"/>
  <c r="A262" i="11"/>
  <c r="A258" i="11"/>
  <c r="A254" i="11"/>
  <c r="A250" i="11"/>
  <c r="A246" i="11"/>
  <c r="A242" i="11"/>
  <c r="A238" i="11"/>
  <c r="A234" i="11"/>
  <c r="A230" i="11"/>
  <c r="A226" i="11"/>
  <c r="A222" i="11"/>
  <c r="A218" i="11"/>
  <c r="A214" i="11"/>
  <c r="A210" i="11"/>
  <c r="A206" i="11"/>
  <c r="A202" i="11"/>
  <c r="A198" i="11"/>
  <c r="A194" i="11"/>
  <c r="A190" i="11"/>
  <c r="A186" i="11"/>
  <c r="A182" i="11"/>
  <c r="A178" i="11"/>
  <c r="A174" i="11"/>
  <c r="A170" i="11"/>
  <c r="A166" i="11"/>
  <c r="A162" i="11"/>
  <c r="A158" i="11"/>
  <c r="A154" i="11"/>
  <c r="A150" i="11"/>
  <c r="A146" i="11"/>
  <c r="A142" i="11"/>
  <c r="A138" i="11"/>
  <c r="A134" i="11"/>
  <c r="A130" i="11"/>
  <c r="A126" i="11"/>
  <c r="A122" i="11"/>
  <c r="A118" i="11"/>
  <c r="A114" i="11"/>
  <c r="A110" i="11"/>
  <c r="A106" i="11"/>
  <c r="A102" i="11"/>
  <c r="A98" i="11"/>
  <c r="A94" i="11"/>
  <c r="A90" i="11"/>
  <c r="A86" i="11"/>
  <c r="A82" i="11"/>
  <c r="A78" i="11"/>
  <c r="A74" i="11"/>
  <c r="A70" i="11"/>
  <c r="A66" i="11"/>
  <c r="A62" i="11"/>
  <c r="A58" i="11"/>
  <c r="A54" i="11"/>
  <c r="A50" i="11"/>
  <c r="A46" i="11"/>
  <c r="A42" i="11"/>
  <c r="A38" i="11"/>
  <c r="A34" i="11"/>
  <c r="A30" i="11"/>
  <c r="A26" i="11"/>
  <c r="A22" i="11"/>
  <c r="A18" i="11"/>
  <c r="A14" i="11"/>
  <c r="A10" i="11"/>
  <c r="A6" i="11"/>
  <c r="ALA22" i="3"/>
  <c r="AKK22" i="3"/>
  <c r="AJU22" i="3"/>
  <c r="AJE22" i="3"/>
  <c r="AIO22" i="3"/>
  <c r="AHY22" i="3"/>
  <c r="AHI22" i="3"/>
  <c r="AGS22" i="3"/>
  <c r="AGC22" i="3"/>
  <c r="AFM22" i="3"/>
  <c r="AEW22" i="3"/>
  <c r="AEG22" i="3"/>
  <c r="ADQ22" i="3"/>
  <c r="ADA22" i="3"/>
  <c r="ACK22" i="3"/>
  <c r="ABU22" i="3"/>
  <c r="ABE22" i="3"/>
  <c r="AAO22" i="3"/>
  <c r="ZY22" i="3"/>
  <c r="ZI22" i="3"/>
  <c r="YS22" i="3"/>
  <c r="YC22" i="3"/>
  <c r="XM22" i="3"/>
  <c r="WW22" i="3"/>
  <c r="WG22" i="3"/>
  <c r="VQ22" i="3"/>
  <c r="VA22" i="3"/>
  <c r="UK22" i="3"/>
  <c r="TU22" i="3"/>
  <c r="TE22" i="3"/>
  <c r="SO22" i="3"/>
  <c r="RY22" i="3"/>
  <c r="RI22" i="3"/>
  <c r="QS22" i="3"/>
  <c r="QC22" i="3"/>
  <c r="PM22" i="3"/>
  <c r="OW22" i="3"/>
  <c r="OG22" i="3"/>
  <c r="NQ22" i="3"/>
  <c r="NA22" i="3"/>
  <c r="MK22" i="3"/>
  <c r="LU22" i="3"/>
  <c r="LE22" i="3"/>
  <c r="KO22" i="3"/>
  <c r="B1" i="3"/>
  <c r="B23" i="3" s="1"/>
  <c r="F1" i="3"/>
  <c r="F23" i="3" s="1"/>
  <c r="J1" i="3"/>
  <c r="J23" i="3" s="1"/>
  <c r="N1" i="3"/>
  <c r="N23" i="3" s="1"/>
  <c r="R1" i="3"/>
  <c r="R23" i="3" s="1"/>
  <c r="V1" i="3"/>
  <c r="V23" i="3" s="1"/>
  <c r="Z1" i="3"/>
  <c r="Z23" i="3" s="1"/>
  <c r="AD1" i="3"/>
  <c r="AD23" i="3" s="1"/>
  <c r="AH1" i="3"/>
  <c r="AH23" i="3" s="1"/>
  <c r="AL1" i="3"/>
  <c r="AL23" i="3" s="1"/>
  <c r="AP1" i="3"/>
  <c r="AP23" i="3" s="1"/>
  <c r="AT1" i="3"/>
  <c r="AT23" i="3" s="1"/>
  <c r="AX1" i="3"/>
  <c r="AX23" i="3" s="1"/>
  <c r="BB1" i="3"/>
  <c r="BB23" i="3" s="1"/>
  <c r="BF1" i="3"/>
  <c r="BF23" i="3" s="1"/>
  <c r="BJ1" i="3"/>
  <c r="BJ23" i="3" s="1"/>
  <c r="BN1" i="3"/>
  <c r="BN23" i="3" s="1"/>
  <c r="BR1" i="3"/>
  <c r="BR23" i="3" s="1"/>
  <c r="BV1" i="3"/>
  <c r="BV23" i="3" s="1"/>
  <c r="BZ1" i="3"/>
  <c r="BZ23" i="3" s="1"/>
  <c r="CD1" i="3"/>
  <c r="CD23" i="3" s="1"/>
  <c r="CH1" i="3"/>
  <c r="CH23" i="3" s="1"/>
  <c r="CL1" i="3"/>
  <c r="CL23" i="3" s="1"/>
  <c r="CP1" i="3"/>
  <c r="CP23" i="3" s="1"/>
  <c r="CT1" i="3"/>
  <c r="CT23" i="3" s="1"/>
  <c r="CX1" i="3"/>
  <c r="CX23" i="3" s="1"/>
  <c r="DB1" i="3"/>
  <c r="DB23" i="3" s="1"/>
  <c r="DF1" i="3"/>
  <c r="DF23" i="3" s="1"/>
  <c r="DJ1" i="3"/>
  <c r="DJ23" i="3" s="1"/>
  <c r="DN1" i="3"/>
  <c r="DN23" i="3" s="1"/>
  <c r="DR1" i="3"/>
  <c r="DR23" i="3" s="1"/>
  <c r="DV1" i="3"/>
  <c r="DV23" i="3" s="1"/>
  <c r="DZ1" i="3"/>
  <c r="DZ23" i="3" s="1"/>
  <c r="ED1" i="3"/>
  <c r="ED23" i="3" s="1"/>
  <c r="EH1" i="3"/>
  <c r="EH23" i="3" s="1"/>
  <c r="EL1" i="3"/>
  <c r="EL23" i="3" s="1"/>
  <c r="EP1" i="3"/>
  <c r="EP23" i="3" s="1"/>
  <c r="ET1" i="3"/>
  <c r="ET23" i="3" s="1"/>
  <c r="EX1" i="3"/>
  <c r="EX23" i="3" s="1"/>
  <c r="FB1" i="3"/>
  <c r="FB23" i="3" s="1"/>
  <c r="FF1" i="3"/>
  <c r="FF23" i="3" s="1"/>
  <c r="FJ1" i="3"/>
  <c r="FJ23" i="3" s="1"/>
  <c r="FN1" i="3"/>
  <c r="FN23" i="3" s="1"/>
  <c r="FR1" i="3"/>
  <c r="FR23" i="3" s="1"/>
  <c r="FV1" i="3"/>
  <c r="FV23" i="3" s="1"/>
  <c r="FZ1" i="3"/>
  <c r="FZ23" i="3" s="1"/>
  <c r="GD1" i="3"/>
  <c r="GD23" i="3" s="1"/>
  <c r="GH1" i="3"/>
  <c r="GH23" i="3" s="1"/>
  <c r="GL1" i="3"/>
  <c r="GL23" i="3" s="1"/>
  <c r="GP1" i="3"/>
  <c r="GP23" i="3" s="1"/>
  <c r="GT1" i="3"/>
  <c r="GT23" i="3" s="1"/>
  <c r="GX1" i="3"/>
  <c r="GX23" i="3" s="1"/>
  <c r="HB1" i="3"/>
  <c r="HB23" i="3" s="1"/>
  <c r="HF1" i="3"/>
  <c r="HF23" i="3" s="1"/>
  <c r="HJ1" i="3"/>
  <c r="HJ23" i="3" s="1"/>
  <c r="HN1" i="3"/>
  <c r="HN23" i="3" s="1"/>
  <c r="HR1" i="3"/>
  <c r="HR23" i="3" s="1"/>
  <c r="HV1" i="3"/>
  <c r="HV23" i="3" s="1"/>
  <c r="HZ1" i="3"/>
  <c r="HZ23" i="3" s="1"/>
  <c r="ID1" i="3"/>
  <c r="ID23" i="3" s="1"/>
  <c r="IH1" i="3"/>
  <c r="IH23" i="3" s="1"/>
  <c r="IL1" i="3"/>
  <c r="IL23" i="3" s="1"/>
  <c r="IP1" i="3"/>
  <c r="IP23" i="3" s="1"/>
  <c r="IT1" i="3"/>
  <c r="IT23" i="3" s="1"/>
  <c r="IX1" i="3"/>
  <c r="IX23" i="3" s="1"/>
  <c r="JB1" i="3"/>
  <c r="JB23" i="3" s="1"/>
  <c r="JF1" i="3"/>
  <c r="JF23" i="3" s="1"/>
  <c r="JJ1" i="3"/>
  <c r="JJ23" i="3" s="1"/>
  <c r="JN1" i="3"/>
  <c r="JN23" i="3" s="1"/>
  <c r="JR1" i="3"/>
  <c r="JR23" i="3" s="1"/>
  <c r="JV1" i="3"/>
  <c r="JV23" i="3" s="1"/>
  <c r="JZ1" i="3"/>
  <c r="JZ23" i="3" s="1"/>
  <c r="KD1" i="3"/>
  <c r="KD23" i="3" s="1"/>
  <c r="KH1" i="3"/>
  <c r="KH23" i="3" s="1"/>
  <c r="KL1" i="3"/>
  <c r="KL23" i="3" s="1"/>
  <c r="KP1" i="3"/>
  <c r="KP23" i="3" s="1"/>
  <c r="KT1" i="3"/>
  <c r="KT23" i="3" s="1"/>
  <c r="KX1" i="3"/>
  <c r="KX23" i="3" s="1"/>
  <c r="LB1" i="3"/>
  <c r="LB23" i="3" s="1"/>
  <c r="LF1" i="3"/>
  <c r="LF23" i="3" s="1"/>
  <c r="LJ1" i="3"/>
  <c r="LJ23" i="3" s="1"/>
  <c r="C1" i="3"/>
  <c r="C23" i="3" s="1"/>
  <c r="G1" i="3"/>
  <c r="G23" i="3" s="1"/>
  <c r="K1" i="3"/>
  <c r="K23" i="3" s="1"/>
  <c r="O1" i="3"/>
  <c r="O23" i="3" s="1"/>
  <c r="S1" i="3"/>
  <c r="S23" i="3" s="1"/>
  <c r="W1" i="3"/>
  <c r="W23" i="3" s="1"/>
  <c r="AA1" i="3"/>
  <c r="AA23" i="3" s="1"/>
  <c r="AE1" i="3"/>
  <c r="AE23" i="3" s="1"/>
  <c r="AI1" i="3"/>
  <c r="AI23" i="3" s="1"/>
  <c r="AM1" i="3"/>
  <c r="AM23" i="3" s="1"/>
  <c r="AQ1" i="3"/>
  <c r="AQ23" i="3" s="1"/>
  <c r="AU1" i="3"/>
  <c r="AU23" i="3" s="1"/>
  <c r="AY1" i="3"/>
  <c r="AY23" i="3" s="1"/>
  <c r="BC1" i="3"/>
  <c r="BC23" i="3" s="1"/>
  <c r="BG1" i="3"/>
  <c r="BG23" i="3" s="1"/>
  <c r="BK1" i="3"/>
  <c r="BK23" i="3" s="1"/>
  <c r="BO1" i="3"/>
  <c r="BO23" i="3" s="1"/>
  <c r="BS1" i="3"/>
  <c r="BS23" i="3" s="1"/>
  <c r="BW1" i="3"/>
  <c r="BW23" i="3" s="1"/>
  <c r="CA1" i="3"/>
  <c r="CA23" i="3" s="1"/>
  <c r="CE1" i="3"/>
  <c r="CE23" i="3" s="1"/>
  <c r="CI1" i="3"/>
  <c r="CI23" i="3" s="1"/>
  <c r="CM1" i="3"/>
  <c r="CM23" i="3" s="1"/>
  <c r="CQ1" i="3"/>
  <c r="CQ23" i="3" s="1"/>
  <c r="CU1" i="3"/>
  <c r="CU23" i="3" s="1"/>
  <c r="CY1" i="3"/>
  <c r="CY23" i="3" s="1"/>
  <c r="DC1" i="3"/>
  <c r="DC23" i="3" s="1"/>
  <c r="DG1" i="3"/>
  <c r="DG23" i="3" s="1"/>
  <c r="DK1" i="3"/>
  <c r="DK23" i="3" s="1"/>
  <c r="DO1" i="3"/>
  <c r="DO23" i="3" s="1"/>
  <c r="DS1" i="3"/>
  <c r="DS23" i="3" s="1"/>
  <c r="DW1" i="3"/>
  <c r="DW23" i="3" s="1"/>
  <c r="EA1" i="3"/>
  <c r="EA23" i="3" s="1"/>
  <c r="EE1" i="3"/>
  <c r="EE23" i="3" s="1"/>
  <c r="EI1" i="3"/>
  <c r="EI23" i="3" s="1"/>
  <c r="EM1" i="3"/>
  <c r="EM23" i="3" s="1"/>
  <c r="EQ1" i="3"/>
  <c r="EQ23" i="3" s="1"/>
  <c r="EU1" i="3"/>
  <c r="EU23" i="3" s="1"/>
  <c r="EY1" i="3"/>
  <c r="EY23" i="3" s="1"/>
  <c r="FC1" i="3"/>
  <c r="FC23" i="3" s="1"/>
  <c r="FG1" i="3"/>
  <c r="FG23" i="3" s="1"/>
  <c r="FK1" i="3"/>
  <c r="FK23" i="3" s="1"/>
  <c r="FO1" i="3"/>
  <c r="FO23" i="3" s="1"/>
  <c r="FS1" i="3"/>
  <c r="FS23" i="3" s="1"/>
  <c r="FW1" i="3"/>
  <c r="FW23" i="3" s="1"/>
  <c r="GA1" i="3"/>
  <c r="GA23" i="3" s="1"/>
  <c r="GE1" i="3"/>
  <c r="GE23" i="3" s="1"/>
  <c r="GI1" i="3"/>
  <c r="GI23" i="3" s="1"/>
  <c r="GM1" i="3"/>
  <c r="GM23" i="3" s="1"/>
  <c r="GQ1" i="3"/>
  <c r="GQ23" i="3" s="1"/>
  <c r="GU1" i="3"/>
  <c r="GU23" i="3" s="1"/>
  <c r="GY1" i="3"/>
  <c r="GY23" i="3" s="1"/>
  <c r="HC1" i="3"/>
  <c r="HC23" i="3" s="1"/>
  <c r="HG1" i="3"/>
  <c r="HG23" i="3" s="1"/>
  <c r="HK1" i="3"/>
  <c r="HK23" i="3" s="1"/>
  <c r="HO1" i="3"/>
  <c r="HO23" i="3" s="1"/>
  <c r="HS1" i="3"/>
  <c r="HS23" i="3" s="1"/>
  <c r="HW1" i="3"/>
  <c r="HW23" i="3" s="1"/>
  <c r="IA1" i="3"/>
  <c r="IA23" i="3" s="1"/>
  <c r="IE1" i="3"/>
  <c r="IE23" i="3" s="1"/>
  <c r="II1" i="3"/>
  <c r="II23" i="3" s="1"/>
  <c r="IM1" i="3"/>
  <c r="IM23" i="3" s="1"/>
  <c r="IQ1" i="3"/>
  <c r="IQ23" i="3" s="1"/>
  <c r="IU1" i="3"/>
  <c r="IU23" i="3" s="1"/>
  <c r="IY1" i="3"/>
  <c r="IY23" i="3" s="1"/>
  <c r="JC1" i="3"/>
  <c r="JC23" i="3" s="1"/>
  <c r="JG1" i="3"/>
  <c r="JG23" i="3" s="1"/>
  <c r="JK1" i="3"/>
  <c r="JK23" i="3" s="1"/>
  <c r="JO1" i="3"/>
  <c r="JO23" i="3" s="1"/>
  <c r="JS1" i="3"/>
  <c r="JS23" i="3" s="1"/>
  <c r="JW1" i="3"/>
  <c r="JW23" i="3" s="1"/>
  <c r="KA1" i="3"/>
  <c r="KA23" i="3" s="1"/>
  <c r="KE1" i="3"/>
  <c r="KE23" i="3" s="1"/>
  <c r="KI1" i="3"/>
  <c r="KI23" i="3" s="1"/>
  <c r="KM1" i="3"/>
  <c r="KM23" i="3" s="1"/>
  <c r="KQ1" i="3"/>
  <c r="KQ23" i="3" s="1"/>
  <c r="KU1" i="3"/>
  <c r="KU23" i="3" s="1"/>
  <c r="KY1" i="3"/>
  <c r="KY23" i="3" s="1"/>
  <c r="LC1" i="3"/>
  <c r="LC23" i="3" s="1"/>
  <c r="LG1" i="3"/>
  <c r="LG23" i="3" s="1"/>
  <c r="LK1" i="3"/>
  <c r="LK23" i="3" s="1"/>
  <c r="LO1" i="3"/>
  <c r="LO23" i="3" s="1"/>
  <c r="LS1" i="3"/>
  <c r="LS23" i="3" s="1"/>
  <c r="LW1" i="3"/>
  <c r="LW23" i="3" s="1"/>
  <c r="MA1" i="3"/>
  <c r="MA23" i="3" s="1"/>
  <c r="D1" i="3"/>
  <c r="D23" i="3" s="1"/>
  <c r="H1" i="3"/>
  <c r="H23" i="3" s="1"/>
  <c r="L1" i="3"/>
  <c r="L23" i="3" s="1"/>
  <c r="P1" i="3"/>
  <c r="P23" i="3" s="1"/>
  <c r="T1" i="3"/>
  <c r="T23" i="3" s="1"/>
  <c r="X1" i="3"/>
  <c r="X23" i="3" s="1"/>
  <c r="AB1" i="3"/>
  <c r="AB23" i="3" s="1"/>
  <c r="AF1" i="3"/>
  <c r="AF23" i="3" s="1"/>
  <c r="AJ1" i="3"/>
  <c r="AJ23" i="3" s="1"/>
  <c r="AN1" i="3"/>
  <c r="AN23" i="3" s="1"/>
  <c r="AR1" i="3"/>
  <c r="AR23" i="3" s="1"/>
  <c r="AV1" i="3"/>
  <c r="AV23" i="3" s="1"/>
  <c r="AZ1" i="3"/>
  <c r="AZ23" i="3" s="1"/>
  <c r="BD1" i="3"/>
  <c r="BD23" i="3" s="1"/>
  <c r="BH1" i="3"/>
  <c r="BH23" i="3" s="1"/>
  <c r="BL1" i="3"/>
  <c r="BL23" i="3" s="1"/>
  <c r="BP1" i="3"/>
  <c r="BP23" i="3" s="1"/>
  <c r="BT1" i="3"/>
  <c r="BT23" i="3" s="1"/>
  <c r="BX1" i="3"/>
  <c r="BX23" i="3" s="1"/>
  <c r="CB1" i="3"/>
  <c r="CB23" i="3" s="1"/>
  <c r="CF1" i="3"/>
  <c r="CF23" i="3" s="1"/>
  <c r="CJ1" i="3"/>
  <c r="CJ23" i="3" s="1"/>
  <c r="CN1" i="3"/>
  <c r="CN23" i="3" s="1"/>
  <c r="CR1" i="3"/>
  <c r="CR23" i="3" s="1"/>
  <c r="CV1" i="3"/>
  <c r="CV23" i="3" s="1"/>
  <c r="CZ1" i="3"/>
  <c r="CZ23" i="3" s="1"/>
  <c r="DD1" i="3"/>
  <c r="DD23" i="3" s="1"/>
  <c r="DH1" i="3"/>
  <c r="DH23" i="3" s="1"/>
  <c r="DL1" i="3"/>
  <c r="DL23" i="3" s="1"/>
  <c r="DP1" i="3"/>
  <c r="DP23" i="3" s="1"/>
  <c r="DT1" i="3"/>
  <c r="DT23" i="3" s="1"/>
  <c r="DX1" i="3"/>
  <c r="DX23" i="3" s="1"/>
  <c r="EB1" i="3"/>
  <c r="EB23" i="3" s="1"/>
  <c r="EF1" i="3"/>
  <c r="EF23" i="3" s="1"/>
  <c r="EJ1" i="3"/>
  <c r="EJ23" i="3" s="1"/>
  <c r="EN1" i="3"/>
  <c r="EN23" i="3" s="1"/>
  <c r="ER1" i="3"/>
  <c r="ER23" i="3" s="1"/>
  <c r="EV1" i="3"/>
  <c r="EV23" i="3" s="1"/>
  <c r="EZ1" i="3"/>
  <c r="EZ23" i="3" s="1"/>
  <c r="FD1" i="3"/>
  <c r="FD23" i="3" s="1"/>
  <c r="FH1" i="3"/>
  <c r="FH23" i="3" s="1"/>
  <c r="FL1" i="3"/>
  <c r="FL23" i="3" s="1"/>
  <c r="FP1" i="3"/>
  <c r="FP23" i="3" s="1"/>
  <c r="FT1" i="3"/>
  <c r="FT23" i="3" s="1"/>
  <c r="FX1" i="3"/>
  <c r="FX23" i="3" s="1"/>
  <c r="GB1" i="3"/>
  <c r="GB23" i="3" s="1"/>
  <c r="GF1" i="3"/>
  <c r="GF23" i="3" s="1"/>
  <c r="GJ1" i="3"/>
  <c r="GJ23" i="3" s="1"/>
  <c r="GN1" i="3"/>
  <c r="GN23" i="3" s="1"/>
  <c r="GR1" i="3"/>
  <c r="GR23" i="3" s="1"/>
  <c r="GV1" i="3"/>
  <c r="GV23" i="3" s="1"/>
  <c r="GZ1" i="3"/>
  <c r="GZ23" i="3" s="1"/>
  <c r="HD1" i="3"/>
  <c r="HD23" i="3" s="1"/>
  <c r="HH1" i="3"/>
  <c r="HH23" i="3" s="1"/>
  <c r="HL1" i="3"/>
  <c r="HL23" i="3" s="1"/>
  <c r="HP1" i="3"/>
  <c r="HP23" i="3" s="1"/>
  <c r="HT1" i="3"/>
  <c r="HT23" i="3" s="1"/>
  <c r="HX1" i="3"/>
  <c r="HX23" i="3" s="1"/>
  <c r="IB1" i="3"/>
  <c r="IB23" i="3" s="1"/>
  <c r="IF1" i="3"/>
  <c r="IF23" i="3" s="1"/>
  <c r="IJ1" i="3"/>
  <c r="IJ23" i="3" s="1"/>
  <c r="IN1" i="3"/>
  <c r="IN23" i="3" s="1"/>
  <c r="IR1" i="3"/>
  <c r="IR23" i="3" s="1"/>
  <c r="IV1" i="3"/>
  <c r="IV23" i="3" s="1"/>
  <c r="IZ1" i="3"/>
  <c r="IZ23" i="3" s="1"/>
  <c r="JD1" i="3"/>
  <c r="JD23" i="3" s="1"/>
  <c r="JH1" i="3"/>
  <c r="JH23" i="3" s="1"/>
  <c r="JL1" i="3"/>
  <c r="JL23" i="3" s="1"/>
  <c r="JP1" i="3"/>
  <c r="JP23" i="3" s="1"/>
  <c r="JT1" i="3"/>
  <c r="JT23" i="3" s="1"/>
  <c r="JX1" i="3"/>
  <c r="JX23" i="3" s="1"/>
  <c r="KB1" i="3"/>
  <c r="KB23" i="3" s="1"/>
  <c r="KF1" i="3"/>
  <c r="KF23" i="3" s="1"/>
  <c r="KJ1" i="3"/>
  <c r="KJ23" i="3" s="1"/>
  <c r="KN1" i="3"/>
  <c r="KN23" i="3" s="1"/>
  <c r="KR1" i="3"/>
  <c r="KR23" i="3" s="1"/>
  <c r="KV1" i="3"/>
  <c r="KV23" i="3" s="1"/>
  <c r="KZ1" i="3"/>
  <c r="KZ23" i="3" s="1"/>
  <c r="LD1" i="3"/>
  <c r="LD23" i="3" s="1"/>
  <c r="LH1" i="3"/>
  <c r="LH23" i="3" s="1"/>
  <c r="LL1" i="3"/>
  <c r="LL23" i="3" s="1"/>
  <c r="LP1" i="3"/>
  <c r="LP23" i="3" s="1"/>
  <c r="LT1" i="3"/>
  <c r="LT23" i="3" s="1"/>
  <c r="LX1" i="3"/>
  <c r="LX23" i="3" s="1"/>
  <c r="MB1" i="3"/>
  <c r="MB23" i="3" s="1"/>
  <c r="E1" i="3"/>
  <c r="E23" i="3" s="1"/>
  <c r="U1" i="3"/>
  <c r="U23" i="3" s="1"/>
  <c r="AK1" i="3"/>
  <c r="AK23" i="3" s="1"/>
  <c r="BA1" i="3"/>
  <c r="BA23" i="3" s="1"/>
  <c r="BQ1" i="3"/>
  <c r="BQ23" i="3" s="1"/>
  <c r="CG1" i="3"/>
  <c r="CG23" i="3" s="1"/>
  <c r="CW1" i="3"/>
  <c r="CW23" i="3" s="1"/>
  <c r="DM1" i="3"/>
  <c r="DM23" i="3" s="1"/>
  <c r="EC1" i="3"/>
  <c r="EC23" i="3" s="1"/>
  <c r="ES1" i="3"/>
  <c r="ES23" i="3" s="1"/>
  <c r="FI1" i="3"/>
  <c r="FI23" i="3" s="1"/>
  <c r="FY1" i="3"/>
  <c r="FY23" i="3" s="1"/>
  <c r="GO1" i="3"/>
  <c r="GO23" i="3" s="1"/>
  <c r="HE1" i="3"/>
  <c r="HE23" i="3" s="1"/>
  <c r="HU1" i="3"/>
  <c r="HU23" i="3" s="1"/>
  <c r="IK1" i="3"/>
  <c r="IK23" i="3" s="1"/>
  <c r="JA1" i="3"/>
  <c r="JA23" i="3" s="1"/>
  <c r="JQ1" i="3"/>
  <c r="JQ23" i="3" s="1"/>
  <c r="KG1" i="3"/>
  <c r="KG23" i="3" s="1"/>
  <c r="KW1" i="3"/>
  <c r="KW23" i="3" s="1"/>
  <c r="LM1" i="3"/>
  <c r="LM23" i="3" s="1"/>
  <c r="LU1" i="3"/>
  <c r="LU23" i="3" s="1"/>
  <c r="MC1" i="3"/>
  <c r="MC23" i="3" s="1"/>
  <c r="MG1" i="3"/>
  <c r="MG23" i="3" s="1"/>
  <c r="MK1" i="3"/>
  <c r="MK23" i="3" s="1"/>
  <c r="MO1" i="3"/>
  <c r="MO23" i="3" s="1"/>
  <c r="MS1" i="3"/>
  <c r="MS23" i="3" s="1"/>
  <c r="MW1" i="3"/>
  <c r="MW23" i="3" s="1"/>
  <c r="NA1" i="3"/>
  <c r="NA23" i="3" s="1"/>
  <c r="NE1" i="3"/>
  <c r="NE23" i="3" s="1"/>
  <c r="NI1" i="3"/>
  <c r="NI23" i="3" s="1"/>
  <c r="NM1" i="3"/>
  <c r="NM23" i="3" s="1"/>
  <c r="NQ1" i="3"/>
  <c r="NQ23" i="3" s="1"/>
  <c r="NU1" i="3"/>
  <c r="NU23" i="3" s="1"/>
  <c r="NY1" i="3"/>
  <c r="NY23" i="3" s="1"/>
  <c r="OC1" i="3"/>
  <c r="OC23" i="3" s="1"/>
  <c r="OG1" i="3"/>
  <c r="OG23" i="3" s="1"/>
  <c r="OK1" i="3"/>
  <c r="OK23" i="3" s="1"/>
  <c r="OO1" i="3"/>
  <c r="OO23" i="3" s="1"/>
  <c r="OS1" i="3"/>
  <c r="OS23" i="3" s="1"/>
  <c r="OW1" i="3"/>
  <c r="OW23" i="3" s="1"/>
  <c r="PA1" i="3"/>
  <c r="PA23" i="3" s="1"/>
  <c r="PE1" i="3"/>
  <c r="PE23" i="3" s="1"/>
  <c r="PI1" i="3"/>
  <c r="PI23" i="3" s="1"/>
  <c r="PM1" i="3"/>
  <c r="PM23" i="3" s="1"/>
  <c r="PQ1" i="3"/>
  <c r="PQ23" i="3" s="1"/>
  <c r="PU1" i="3"/>
  <c r="PU23" i="3" s="1"/>
  <c r="PY1" i="3"/>
  <c r="PY23" i="3" s="1"/>
  <c r="QC1" i="3"/>
  <c r="QC23" i="3" s="1"/>
  <c r="QG1" i="3"/>
  <c r="QG23" i="3" s="1"/>
  <c r="QK1" i="3"/>
  <c r="QK23" i="3" s="1"/>
  <c r="QO1" i="3"/>
  <c r="QO23" i="3" s="1"/>
  <c r="QS1" i="3"/>
  <c r="QS23" i="3" s="1"/>
  <c r="QW1" i="3"/>
  <c r="QW23" i="3" s="1"/>
  <c r="RA1" i="3"/>
  <c r="RA23" i="3" s="1"/>
  <c r="RE1" i="3"/>
  <c r="RE23" i="3" s="1"/>
  <c r="RI1" i="3"/>
  <c r="RI23" i="3" s="1"/>
  <c r="RM1" i="3"/>
  <c r="RM23" i="3" s="1"/>
  <c r="RQ1" i="3"/>
  <c r="RQ23" i="3" s="1"/>
  <c r="RU1" i="3"/>
  <c r="RU23" i="3" s="1"/>
  <c r="RY1" i="3"/>
  <c r="RY23" i="3" s="1"/>
  <c r="SC1" i="3"/>
  <c r="SC23" i="3" s="1"/>
  <c r="SG1" i="3"/>
  <c r="SG23" i="3" s="1"/>
  <c r="SK1" i="3"/>
  <c r="SK23" i="3" s="1"/>
  <c r="SO1" i="3"/>
  <c r="SO23" i="3" s="1"/>
  <c r="SS1" i="3"/>
  <c r="SS23" i="3" s="1"/>
  <c r="SW1" i="3"/>
  <c r="SW23" i="3" s="1"/>
  <c r="TA1" i="3"/>
  <c r="TA23" i="3" s="1"/>
  <c r="TE1" i="3"/>
  <c r="TE23" i="3" s="1"/>
  <c r="TI1" i="3"/>
  <c r="TI23" i="3" s="1"/>
  <c r="TM1" i="3"/>
  <c r="TM23" i="3" s="1"/>
  <c r="TQ1" i="3"/>
  <c r="TQ23" i="3" s="1"/>
  <c r="TU1" i="3"/>
  <c r="TU23" i="3" s="1"/>
  <c r="TY1" i="3"/>
  <c r="TY23" i="3" s="1"/>
  <c r="UC1" i="3"/>
  <c r="UC23" i="3" s="1"/>
  <c r="UG1" i="3"/>
  <c r="UG23" i="3" s="1"/>
  <c r="UK1" i="3"/>
  <c r="UK23" i="3" s="1"/>
  <c r="UO1" i="3"/>
  <c r="UO23" i="3" s="1"/>
  <c r="US1" i="3"/>
  <c r="US23" i="3" s="1"/>
  <c r="UW1" i="3"/>
  <c r="UW23" i="3" s="1"/>
  <c r="VA1" i="3"/>
  <c r="VA23" i="3" s="1"/>
  <c r="VE1" i="3"/>
  <c r="VE23" i="3" s="1"/>
  <c r="VI1" i="3"/>
  <c r="VI23" i="3" s="1"/>
  <c r="VM1" i="3"/>
  <c r="VM23" i="3" s="1"/>
  <c r="VQ1" i="3"/>
  <c r="VQ23" i="3" s="1"/>
  <c r="I1" i="3"/>
  <c r="I23" i="3" s="1"/>
  <c r="Y1" i="3"/>
  <c r="Y23" i="3" s="1"/>
  <c r="AO1" i="3"/>
  <c r="AO23" i="3" s="1"/>
  <c r="BE1" i="3"/>
  <c r="BE23" i="3" s="1"/>
  <c r="BU1" i="3"/>
  <c r="BU23" i="3" s="1"/>
  <c r="CK1" i="3"/>
  <c r="CK23" i="3" s="1"/>
  <c r="DA1" i="3"/>
  <c r="DA23" i="3" s="1"/>
  <c r="DQ1" i="3"/>
  <c r="DQ23" i="3" s="1"/>
  <c r="EG1" i="3"/>
  <c r="EG23" i="3" s="1"/>
  <c r="EW1" i="3"/>
  <c r="EW23" i="3" s="1"/>
  <c r="FM1" i="3"/>
  <c r="FM23" i="3" s="1"/>
  <c r="GC1" i="3"/>
  <c r="GC23" i="3" s="1"/>
  <c r="GS1" i="3"/>
  <c r="GS23" i="3" s="1"/>
  <c r="HI1" i="3"/>
  <c r="HI23" i="3" s="1"/>
  <c r="HY1" i="3"/>
  <c r="HY23" i="3" s="1"/>
  <c r="IO1" i="3"/>
  <c r="IO23" i="3" s="1"/>
  <c r="JE1" i="3"/>
  <c r="JE23" i="3" s="1"/>
  <c r="JU1" i="3"/>
  <c r="JU23" i="3" s="1"/>
  <c r="KK1" i="3"/>
  <c r="KK23" i="3" s="1"/>
  <c r="LA1" i="3"/>
  <c r="LA23" i="3" s="1"/>
  <c r="LN1" i="3"/>
  <c r="LN23" i="3" s="1"/>
  <c r="LV1" i="3"/>
  <c r="LV23" i="3" s="1"/>
  <c r="MD1" i="3"/>
  <c r="MD23" i="3" s="1"/>
  <c r="MH1" i="3"/>
  <c r="MH23" i="3" s="1"/>
  <c r="ML1" i="3"/>
  <c r="ML23" i="3" s="1"/>
  <c r="MP1" i="3"/>
  <c r="MP23" i="3" s="1"/>
  <c r="MT1" i="3"/>
  <c r="MT23" i="3" s="1"/>
  <c r="MX1" i="3"/>
  <c r="MX23" i="3" s="1"/>
  <c r="NB1" i="3"/>
  <c r="NB23" i="3" s="1"/>
  <c r="NF1" i="3"/>
  <c r="NF23" i="3" s="1"/>
  <c r="NJ1" i="3"/>
  <c r="NJ23" i="3" s="1"/>
  <c r="NN1" i="3"/>
  <c r="NN23" i="3" s="1"/>
  <c r="NR1" i="3"/>
  <c r="NR23" i="3" s="1"/>
  <c r="NV1" i="3"/>
  <c r="NV23" i="3" s="1"/>
  <c r="NZ1" i="3"/>
  <c r="NZ23" i="3" s="1"/>
  <c r="OD1" i="3"/>
  <c r="OD23" i="3" s="1"/>
  <c r="OH1" i="3"/>
  <c r="OH23" i="3" s="1"/>
  <c r="OL1" i="3"/>
  <c r="OL23" i="3" s="1"/>
  <c r="OP1" i="3"/>
  <c r="OP23" i="3" s="1"/>
  <c r="OT1" i="3"/>
  <c r="OT23" i="3" s="1"/>
  <c r="OX1" i="3"/>
  <c r="OX23" i="3" s="1"/>
  <c r="PB1" i="3"/>
  <c r="PB23" i="3" s="1"/>
  <c r="PF1" i="3"/>
  <c r="PF23" i="3" s="1"/>
  <c r="PJ1" i="3"/>
  <c r="PJ23" i="3" s="1"/>
  <c r="PN1" i="3"/>
  <c r="PN23" i="3" s="1"/>
  <c r="PR1" i="3"/>
  <c r="PR23" i="3" s="1"/>
  <c r="PV1" i="3"/>
  <c r="PV23" i="3" s="1"/>
  <c r="PZ1" i="3"/>
  <c r="PZ23" i="3" s="1"/>
  <c r="QD1" i="3"/>
  <c r="QD23" i="3" s="1"/>
  <c r="QH1" i="3"/>
  <c r="QH23" i="3" s="1"/>
  <c r="QL1" i="3"/>
  <c r="QL23" i="3" s="1"/>
  <c r="QP1" i="3"/>
  <c r="QP23" i="3" s="1"/>
  <c r="QT1" i="3"/>
  <c r="QT23" i="3" s="1"/>
  <c r="QX1" i="3"/>
  <c r="QX23" i="3" s="1"/>
  <c r="RB1" i="3"/>
  <c r="RB23" i="3" s="1"/>
  <c r="RF1" i="3"/>
  <c r="RF23" i="3" s="1"/>
  <c r="RJ1" i="3"/>
  <c r="RJ23" i="3" s="1"/>
  <c r="RN1" i="3"/>
  <c r="RN23" i="3" s="1"/>
  <c r="RR1" i="3"/>
  <c r="RR23" i="3" s="1"/>
  <c r="RV1" i="3"/>
  <c r="RV23" i="3" s="1"/>
  <c r="RZ1" i="3"/>
  <c r="RZ23" i="3" s="1"/>
  <c r="SD1" i="3"/>
  <c r="SD23" i="3" s="1"/>
  <c r="SH1" i="3"/>
  <c r="SH23" i="3" s="1"/>
  <c r="SL1" i="3"/>
  <c r="SL23" i="3" s="1"/>
  <c r="SP1" i="3"/>
  <c r="SP23" i="3" s="1"/>
  <c r="ST1" i="3"/>
  <c r="ST23" i="3" s="1"/>
  <c r="SX1" i="3"/>
  <c r="SX23" i="3" s="1"/>
  <c r="TB1" i="3"/>
  <c r="TB23" i="3" s="1"/>
  <c r="TF1" i="3"/>
  <c r="TF23" i="3" s="1"/>
  <c r="TJ1" i="3"/>
  <c r="TJ23" i="3" s="1"/>
  <c r="TN1" i="3"/>
  <c r="TN23" i="3" s="1"/>
  <c r="TR1" i="3"/>
  <c r="TR23" i="3" s="1"/>
  <c r="TV1" i="3"/>
  <c r="TV23" i="3" s="1"/>
  <c r="TZ1" i="3"/>
  <c r="TZ23" i="3" s="1"/>
  <c r="UD1" i="3"/>
  <c r="UD23" i="3" s="1"/>
  <c r="UH1" i="3"/>
  <c r="UH23" i="3" s="1"/>
  <c r="UL1" i="3"/>
  <c r="UL23" i="3" s="1"/>
  <c r="UP1" i="3"/>
  <c r="UP23" i="3" s="1"/>
  <c r="UT1" i="3"/>
  <c r="UT23" i="3" s="1"/>
  <c r="UX1" i="3"/>
  <c r="UX23" i="3" s="1"/>
  <c r="VB1" i="3"/>
  <c r="VB23" i="3" s="1"/>
  <c r="VF1" i="3"/>
  <c r="VF23" i="3" s="1"/>
  <c r="VJ1" i="3"/>
  <c r="VJ23" i="3" s="1"/>
  <c r="VN1" i="3"/>
  <c r="VN23" i="3" s="1"/>
  <c r="VR1" i="3"/>
  <c r="VR23" i="3" s="1"/>
  <c r="VV1" i="3"/>
  <c r="VV23" i="3" s="1"/>
  <c r="M1" i="3"/>
  <c r="M23" i="3" s="1"/>
  <c r="AC1" i="3"/>
  <c r="AC23" i="3" s="1"/>
  <c r="AS1" i="3"/>
  <c r="AS23" i="3" s="1"/>
  <c r="BI1" i="3"/>
  <c r="BI23" i="3" s="1"/>
  <c r="BY1" i="3"/>
  <c r="BY23" i="3" s="1"/>
  <c r="CO1" i="3"/>
  <c r="CO23" i="3" s="1"/>
  <c r="DE1" i="3"/>
  <c r="DE23" i="3" s="1"/>
  <c r="DU1" i="3"/>
  <c r="DU23" i="3" s="1"/>
  <c r="EK1" i="3"/>
  <c r="EK23" i="3" s="1"/>
  <c r="FA1" i="3"/>
  <c r="FA23" i="3" s="1"/>
  <c r="FQ1" i="3"/>
  <c r="FQ23" i="3" s="1"/>
  <c r="GG1" i="3"/>
  <c r="GG23" i="3" s="1"/>
  <c r="GW1" i="3"/>
  <c r="GW23" i="3" s="1"/>
  <c r="HM1" i="3"/>
  <c r="HM23" i="3" s="1"/>
  <c r="IC1" i="3"/>
  <c r="IC23" i="3" s="1"/>
  <c r="IS1" i="3"/>
  <c r="IS23" i="3" s="1"/>
  <c r="JI1" i="3"/>
  <c r="JI23" i="3" s="1"/>
  <c r="JY1" i="3"/>
  <c r="JY23" i="3" s="1"/>
  <c r="KO1" i="3"/>
  <c r="KO23" i="3" s="1"/>
  <c r="LE1" i="3"/>
  <c r="LE23" i="3" s="1"/>
  <c r="LQ1" i="3"/>
  <c r="LQ23" i="3" s="1"/>
  <c r="LY1" i="3"/>
  <c r="LY23" i="3" s="1"/>
  <c r="ME1" i="3"/>
  <c r="ME23" i="3" s="1"/>
  <c r="MI1" i="3"/>
  <c r="MI23" i="3" s="1"/>
  <c r="MM1" i="3"/>
  <c r="MM23" i="3" s="1"/>
  <c r="MQ1" i="3"/>
  <c r="MQ23" i="3" s="1"/>
  <c r="MU1" i="3"/>
  <c r="MU23" i="3" s="1"/>
  <c r="MY1" i="3"/>
  <c r="MY23" i="3" s="1"/>
  <c r="NC1" i="3"/>
  <c r="NC23" i="3" s="1"/>
  <c r="NG1" i="3"/>
  <c r="NG23" i="3" s="1"/>
  <c r="NK1" i="3"/>
  <c r="NK23" i="3" s="1"/>
  <c r="NO1" i="3"/>
  <c r="NO23" i="3" s="1"/>
  <c r="NS1" i="3"/>
  <c r="NS23" i="3" s="1"/>
  <c r="NW1" i="3"/>
  <c r="NW23" i="3" s="1"/>
  <c r="OA1" i="3"/>
  <c r="OA23" i="3" s="1"/>
  <c r="OE1" i="3"/>
  <c r="OE23" i="3" s="1"/>
  <c r="OI1" i="3"/>
  <c r="OI23" i="3" s="1"/>
  <c r="OM1" i="3"/>
  <c r="OM23" i="3" s="1"/>
  <c r="OQ1" i="3"/>
  <c r="OQ23" i="3" s="1"/>
  <c r="OU1" i="3"/>
  <c r="OU23" i="3" s="1"/>
  <c r="OY1" i="3"/>
  <c r="OY23" i="3" s="1"/>
  <c r="PC1" i="3"/>
  <c r="PC23" i="3" s="1"/>
  <c r="PG1" i="3"/>
  <c r="PG23" i="3" s="1"/>
  <c r="PK1" i="3"/>
  <c r="PK23" i="3" s="1"/>
  <c r="PO1" i="3"/>
  <c r="PO23" i="3" s="1"/>
  <c r="PS1" i="3"/>
  <c r="PS23" i="3" s="1"/>
  <c r="PW1" i="3"/>
  <c r="PW23" i="3" s="1"/>
  <c r="QA1" i="3"/>
  <c r="QA23" i="3" s="1"/>
  <c r="QE1" i="3"/>
  <c r="QE23" i="3" s="1"/>
  <c r="QI1" i="3"/>
  <c r="QI23" i="3" s="1"/>
  <c r="Q1" i="3"/>
  <c r="Q23" i="3" s="1"/>
  <c r="CC1" i="3"/>
  <c r="CC23" i="3" s="1"/>
  <c r="EO1" i="3"/>
  <c r="EO23" i="3" s="1"/>
  <c r="HA1" i="3"/>
  <c r="HA23" i="3" s="1"/>
  <c r="JM1" i="3"/>
  <c r="JM23" i="3" s="1"/>
  <c r="LR1" i="3"/>
  <c r="LR23" i="3" s="1"/>
  <c r="MN1" i="3"/>
  <c r="MN23" i="3" s="1"/>
  <c r="ND1" i="3"/>
  <c r="ND23" i="3" s="1"/>
  <c r="NT1" i="3"/>
  <c r="NT23" i="3" s="1"/>
  <c r="OJ1" i="3"/>
  <c r="OJ23" i="3" s="1"/>
  <c r="OZ1" i="3"/>
  <c r="OZ23" i="3" s="1"/>
  <c r="PP1" i="3"/>
  <c r="PP23" i="3" s="1"/>
  <c r="QF1" i="3"/>
  <c r="QF23" i="3" s="1"/>
  <c r="QQ1" i="3"/>
  <c r="QQ23" i="3" s="1"/>
  <c r="QY1" i="3"/>
  <c r="QY23" i="3" s="1"/>
  <c r="RG1" i="3"/>
  <c r="RG23" i="3" s="1"/>
  <c r="RO1" i="3"/>
  <c r="RO23" i="3" s="1"/>
  <c r="RW1" i="3"/>
  <c r="RW23" i="3" s="1"/>
  <c r="SE1" i="3"/>
  <c r="SE23" i="3" s="1"/>
  <c r="SM1" i="3"/>
  <c r="SM23" i="3" s="1"/>
  <c r="SU1" i="3"/>
  <c r="SU23" i="3" s="1"/>
  <c r="TC1" i="3"/>
  <c r="TC23" i="3" s="1"/>
  <c r="TK1" i="3"/>
  <c r="TK23" i="3" s="1"/>
  <c r="TS1" i="3"/>
  <c r="TS23" i="3" s="1"/>
  <c r="UA1" i="3"/>
  <c r="UA23" i="3" s="1"/>
  <c r="UI1" i="3"/>
  <c r="UI23" i="3" s="1"/>
  <c r="UQ1" i="3"/>
  <c r="UQ23" i="3" s="1"/>
  <c r="UY1" i="3"/>
  <c r="UY23" i="3" s="1"/>
  <c r="VG1" i="3"/>
  <c r="VG23" i="3" s="1"/>
  <c r="VO1" i="3"/>
  <c r="VO23" i="3" s="1"/>
  <c r="VU1" i="3"/>
  <c r="VU23" i="3" s="1"/>
  <c r="VZ1" i="3"/>
  <c r="VZ23" i="3" s="1"/>
  <c r="WD1" i="3"/>
  <c r="WD23" i="3" s="1"/>
  <c r="WH1" i="3"/>
  <c r="WH23" i="3" s="1"/>
  <c r="WL1" i="3"/>
  <c r="WL23" i="3" s="1"/>
  <c r="WP1" i="3"/>
  <c r="WP23" i="3" s="1"/>
  <c r="WT1" i="3"/>
  <c r="WT23" i="3" s="1"/>
  <c r="WX1" i="3"/>
  <c r="WX23" i="3" s="1"/>
  <c r="XB1" i="3"/>
  <c r="XB23" i="3" s="1"/>
  <c r="XF1" i="3"/>
  <c r="XF23" i="3" s="1"/>
  <c r="XJ1" i="3"/>
  <c r="XJ23" i="3" s="1"/>
  <c r="XN1" i="3"/>
  <c r="XN23" i="3" s="1"/>
  <c r="XR1" i="3"/>
  <c r="XR23" i="3" s="1"/>
  <c r="XV1" i="3"/>
  <c r="XV23" i="3" s="1"/>
  <c r="XZ1" i="3"/>
  <c r="XZ23" i="3" s="1"/>
  <c r="YD1" i="3"/>
  <c r="YD23" i="3" s="1"/>
  <c r="YH1" i="3"/>
  <c r="YH23" i="3" s="1"/>
  <c r="YL1" i="3"/>
  <c r="YL23" i="3" s="1"/>
  <c r="YP1" i="3"/>
  <c r="YP23" i="3" s="1"/>
  <c r="YT1" i="3"/>
  <c r="YT23" i="3" s="1"/>
  <c r="YX1" i="3"/>
  <c r="YX23" i="3" s="1"/>
  <c r="ZB1" i="3"/>
  <c r="ZB23" i="3" s="1"/>
  <c r="ZF1" i="3"/>
  <c r="ZF23" i="3" s="1"/>
  <c r="ZJ1" i="3"/>
  <c r="ZJ23" i="3" s="1"/>
  <c r="ZN1" i="3"/>
  <c r="ZN23" i="3" s="1"/>
  <c r="ZR1" i="3"/>
  <c r="ZR23" i="3" s="1"/>
  <c r="ZV1" i="3"/>
  <c r="ZV23" i="3" s="1"/>
  <c r="ZZ1" i="3"/>
  <c r="ZZ23" i="3" s="1"/>
  <c r="AAD1" i="3"/>
  <c r="AAD23" i="3" s="1"/>
  <c r="AAH1" i="3"/>
  <c r="AAH23" i="3" s="1"/>
  <c r="AAL1" i="3"/>
  <c r="AAL23" i="3" s="1"/>
  <c r="AAP1" i="3"/>
  <c r="AAP23" i="3" s="1"/>
  <c r="AAT1" i="3"/>
  <c r="AAT23" i="3" s="1"/>
  <c r="AAX1" i="3"/>
  <c r="AAX23" i="3" s="1"/>
  <c r="ABB1" i="3"/>
  <c r="ABB23" i="3" s="1"/>
  <c r="ABF1" i="3"/>
  <c r="ABF23" i="3" s="1"/>
  <c r="ABJ1" i="3"/>
  <c r="ABJ23" i="3" s="1"/>
  <c r="ABN1" i="3"/>
  <c r="ABN23" i="3" s="1"/>
  <c r="ABR1" i="3"/>
  <c r="ABR23" i="3" s="1"/>
  <c r="ABV1" i="3"/>
  <c r="ABV23" i="3" s="1"/>
  <c r="ABZ1" i="3"/>
  <c r="ABZ23" i="3" s="1"/>
  <c r="ACD1" i="3"/>
  <c r="ACD23" i="3" s="1"/>
  <c r="ACH1" i="3"/>
  <c r="ACH23" i="3" s="1"/>
  <c r="ACL1" i="3"/>
  <c r="ACL23" i="3" s="1"/>
  <c r="ACP1" i="3"/>
  <c r="ACP23" i="3" s="1"/>
  <c r="ACT1" i="3"/>
  <c r="ACT23" i="3" s="1"/>
  <c r="ACX1" i="3"/>
  <c r="ACX23" i="3" s="1"/>
  <c r="ADB1" i="3"/>
  <c r="ADB23" i="3" s="1"/>
  <c r="ADF1" i="3"/>
  <c r="ADF23" i="3" s="1"/>
  <c r="ADJ1" i="3"/>
  <c r="ADJ23" i="3" s="1"/>
  <c r="ADN1" i="3"/>
  <c r="ADN23" i="3" s="1"/>
  <c r="ADR1" i="3"/>
  <c r="ADR23" i="3" s="1"/>
  <c r="ADV1" i="3"/>
  <c r="ADV23" i="3" s="1"/>
  <c r="ADZ1" i="3"/>
  <c r="ADZ23" i="3" s="1"/>
  <c r="AED1" i="3"/>
  <c r="AED23" i="3" s="1"/>
  <c r="AEH1" i="3"/>
  <c r="AEH23" i="3" s="1"/>
  <c r="AEL1" i="3"/>
  <c r="AEL23" i="3" s="1"/>
  <c r="AEP1" i="3"/>
  <c r="AEP23" i="3" s="1"/>
  <c r="AET1" i="3"/>
  <c r="AET23" i="3" s="1"/>
  <c r="AEX1" i="3"/>
  <c r="AEX23" i="3" s="1"/>
  <c r="AFB1" i="3"/>
  <c r="AFB23" i="3" s="1"/>
  <c r="AFF1" i="3"/>
  <c r="AFF23" i="3" s="1"/>
  <c r="AFJ1" i="3"/>
  <c r="AFJ23" i="3" s="1"/>
  <c r="AFN1" i="3"/>
  <c r="AFN23" i="3" s="1"/>
  <c r="AFR1" i="3"/>
  <c r="AFR23" i="3" s="1"/>
  <c r="AFV1" i="3"/>
  <c r="AFV23" i="3" s="1"/>
  <c r="AFZ1" i="3"/>
  <c r="AFZ23" i="3" s="1"/>
  <c r="AGD1" i="3"/>
  <c r="AGD23" i="3" s="1"/>
  <c r="AGH1" i="3"/>
  <c r="AGH23" i="3" s="1"/>
  <c r="AGL1" i="3"/>
  <c r="AGL23" i="3" s="1"/>
  <c r="AGP1" i="3"/>
  <c r="AGP23" i="3" s="1"/>
  <c r="AGT1" i="3"/>
  <c r="AGT23" i="3" s="1"/>
  <c r="AGX1" i="3"/>
  <c r="AGX23" i="3" s="1"/>
  <c r="AHB1" i="3"/>
  <c r="AHB23" i="3" s="1"/>
  <c r="AHF1" i="3"/>
  <c r="AHF23" i="3" s="1"/>
  <c r="AHJ1" i="3"/>
  <c r="AHJ23" i="3" s="1"/>
  <c r="AHN1" i="3"/>
  <c r="AHN23" i="3" s="1"/>
  <c r="AG1" i="3"/>
  <c r="AG23" i="3" s="1"/>
  <c r="CS1" i="3"/>
  <c r="CS23" i="3" s="1"/>
  <c r="FE1" i="3"/>
  <c r="FE23" i="3" s="1"/>
  <c r="HQ1" i="3"/>
  <c r="HQ23" i="3" s="1"/>
  <c r="KC1" i="3"/>
  <c r="KC23" i="3" s="1"/>
  <c r="LZ1" i="3"/>
  <c r="LZ23" i="3" s="1"/>
  <c r="MR1" i="3"/>
  <c r="MR23" i="3" s="1"/>
  <c r="NH1" i="3"/>
  <c r="NH23" i="3" s="1"/>
  <c r="NX1" i="3"/>
  <c r="NX23" i="3" s="1"/>
  <c r="ON1" i="3"/>
  <c r="ON23" i="3" s="1"/>
  <c r="PD1" i="3"/>
  <c r="PD23" i="3" s="1"/>
  <c r="PT1" i="3"/>
  <c r="PT23" i="3" s="1"/>
  <c r="QJ1" i="3"/>
  <c r="QJ23" i="3" s="1"/>
  <c r="QR1" i="3"/>
  <c r="QR23" i="3" s="1"/>
  <c r="QZ1" i="3"/>
  <c r="QZ23" i="3" s="1"/>
  <c r="RH1" i="3"/>
  <c r="RH23" i="3" s="1"/>
  <c r="RP1" i="3"/>
  <c r="RP23" i="3" s="1"/>
  <c r="RX1" i="3"/>
  <c r="RX23" i="3" s="1"/>
  <c r="SF1" i="3"/>
  <c r="SF23" i="3" s="1"/>
  <c r="SN1" i="3"/>
  <c r="SN23" i="3" s="1"/>
  <c r="SV1" i="3"/>
  <c r="SV23" i="3" s="1"/>
  <c r="TD1" i="3"/>
  <c r="TD23" i="3" s="1"/>
  <c r="TL1" i="3"/>
  <c r="TL23" i="3" s="1"/>
  <c r="TT1" i="3"/>
  <c r="TT23" i="3" s="1"/>
  <c r="UB1" i="3"/>
  <c r="UB23" i="3" s="1"/>
  <c r="UJ1" i="3"/>
  <c r="UJ23" i="3" s="1"/>
  <c r="UR1" i="3"/>
  <c r="UR23" i="3" s="1"/>
  <c r="UZ1" i="3"/>
  <c r="UZ23" i="3" s="1"/>
  <c r="VH1" i="3"/>
  <c r="VH23" i="3" s="1"/>
  <c r="VP1" i="3"/>
  <c r="VP23" i="3" s="1"/>
  <c r="VW1" i="3"/>
  <c r="VW23" i="3" s="1"/>
  <c r="WA1" i="3"/>
  <c r="WA23" i="3" s="1"/>
  <c r="WE1" i="3"/>
  <c r="WE23" i="3" s="1"/>
  <c r="WI1" i="3"/>
  <c r="WI23" i="3" s="1"/>
  <c r="WM1" i="3"/>
  <c r="WM23" i="3" s="1"/>
  <c r="WQ1" i="3"/>
  <c r="WQ23" i="3" s="1"/>
  <c r="WU1" i="3"/>
  <c r="WU23" i="3" s="1"/>
  <c r="WY1" i="3"/>
  <c r="WY23" i="3" s="1"/>
  <c r="XC1" i="3"/>
  <c r="XC23" i="3" s="1"/>
  <c r="XG1" i="3"/>
  <c r="XG23" i="3" s="1"/>
  <c r="XK1" i="3"/>
  <c r="XK23" i="3" s="1"/>
  <c r="XO1" i="3"/>
  <c r="XO23" i="3" s="1"/>
  <c r="XS1" i="3"/>
  <c r="XS23" i="3" s="1"/>
  <c r="XW1" i="3"/>
  <c r="XW23" i="3" s="1"/>
  <c r="YA1" i="3"/>
  <c r="YA23" i="3" s="1"/>
  <c r="YE1" i="3"/>
  <c r="YE23" i="3" s="1"/>
  <c r="YI1" i="3"/>
  <c r="YI23" i="3" s="1"/>
  <c r="YM1" i="3"/>
  <c r="YM23" i="3" s="1"/>
  <c r="YQ1" i="3"/>
  <c r="YQ23" i="3" s="1"/>
  <c r="YU1" i="3"/>
  <c r="YU23" i="3" s="1"/>
  <c r="YY1" i="3"/>
  <c r="YY23" i="3" s="1"/>
  <c r="ZC1" i="3"/>
  <c r="ZC23" i="3" s="1"/>
  <c r="ZG1" i="3"/>
  <c r="ZG23" i="3" s="1"/>
  <c r="ZK1" i="3"/>
  <c r="ZK23" i="3" s="1"/>
  <c r="ZO1" i="3"/>
  <c r="ZO23" i="3" s="1"/>
  <c r="ZS1" i="3"/>
  <c r="ZS23" i="3" s="1"/>
  <c r="ZW1" i="3"/>
  <c r="ZW23" i="3" s="1"/>
  <c r="AAA1" i="3"/>
  <c r="AAA23" i="3" s="1"/>
  <c r="AAE1" i="3"/>
  <c r="AAE23" i="3" s="1"/>
  <c r="AAI1" i="3"/>
  <c r="AAI23" i="3" s="1"/>
  <c r="AAM1" i="3"/>
  <c r="AAM23" i="3" s="1"/>
  <c r="AAQ1" i="3"/>
  <c r="AAQ23" i="3" s="1"/>
  <c r="AAU1" i="3"/>
  <c r="AAU23" i="3" s="1"/>
  <c r="AAY1" i="3"/>
  <c r="AAY23" i="3" s="1"/>
  <c r="ABC1" i="3"/>
  <c r="ABC23" i="3" s="1"/>
  <c r="ABG1" i="3"/>
  <c r="ABG23" i="3" s="1"/>
  <c r="ABK1" i="3"/>
  <c r="ABK23" i="3" s="1"/>
  <c r="ABO1" i="3"/>
  <c r="ABO23" i="3" s="1"/>
  <c r="ABS1" i="3"/>
  <c r="ABS23" i="3" s="1"/>
  <c r="ABW1" i="3"/>
  <c r="ABW23" i="3" s="1"/>
  <c r="ACA1" i="3"/>
  <c r="ACA23" i="3" s="1"/>
  <c r="ACE1" i="3"/>
  <c r="ACE23" i="3" s="1"/>
  <c r="ACI1" i="3"/>
  <c r="ACI23" i="3" s="1"/>
  <c r="ACM1" i="3"/>
  <c r="ACM23" i="3" s="1"/>
  <c r="ACQ1" i="3"/>
  <c r="ACQ23" i="3" s="1"/>
  <c r="ACU1" i="3"/>
  <c r="ACU23" i="3" s="1"/>
  <c r="ACY1" i="3"/>
  <c r="ACY23" i="3" s="1"/>
  <c r="ADC1" i="3"/>
  <c r="ADC23" i="3" s="1"/>
  <c r="ADG1" i="3"/>
  <c r="ADG23" i="3" s="1"/>
  <c r="ADK1" i="3"/>
  <c r="ADK23" i="3" s="1"/>
  <c r="ADO1" i="3"/>
  <c r="ADO23" i="3" s="1"/>
  <c r="ADS1" i="3"/>
  <c r="ADS23" i="3" s="1"/>
  <c r="ADW1" i="3"/>
  <c r="ADW23" i="3" s="1"/>
  <c r="AEA1" i="3"/>
  <c r="AEA23" i="3" s="1"/>
  <c r="AEE1" i="3"/>
  <c r="AEE23" i="3" s="1"/>
  <c r="AEI1" i="3"/>
  <c r="AEI23" i="3" s="1"/>
  <c r="AEM1" i="3"/>
  <c r="AEM23" i="3" s="1"/>
  <c r="AEQ1" i="3"/>
  <c r="AEQ23" i="3" s="1"/>
  <c r="AEU1" i="3"/>
  <c r="AEU23" i="3" s="1"/>
  <c r="AEY1" i="3"/>
  <c r="AEY23" i="3" s="1"/>
  <c r="AFC1" i="3"/>
  <c r="AFC23" i="3" s="1"/>
  <c r="AFG1" i="3"/>
  <c r="AFG23" i="3" s="1"/>
  <c r="AFK1" i="3"/>
  <c r="AFK23" i="3" s="1"/>
  <c r="AFO1" i="3"/>
  <c r="AFO23" i="3" s="1"/>
  <c r="AFS1" i="3"/>
  <c r="AFS23" i="3" s="1"/>
  <c r="AFW1" i="3"/>
  <c r="AFW23" i="3" s="1"/>
  <c r="AGA1" i="3"/>
  <c r="AGA23" i="3" s="1"/>
  <c r="AW1" i="3"/>
  <c r="AW23" i="3" s="1"/>
  <c r="DI1" i="3"/>
  <c r="DI23" i="3" s="1"/>
  <c r="FU1" i="3"/>
  <c r="FU23" i="3" s="1"/>
  <c r="IG1" i="3"/>
  <c r="IG23" i="3" s="1"/>
  <c r="KS1" i="3"/>
  <c r="KS23" i="3" s="1"/>
  <c r="MF1" i="3"/>
  <c r="MF23" i="3" s="1"/>
  <c r="MV1" i="3"/>
  <c r="MV23" i="3" s="1"/>
  <c r="NL1" i="3"/>
  <c r="NL23" i="3" s="1"/>
  <c r="OB1" i="3"/>
  <c r="OB23" i="3" s="1"/>
  <c r="OR1" i="3"/>
  <c r="OR23" i="3" s="1"/>
  <c r="PH1" i="3"/>
  <c r="PH23" i="3" s="1"/>
  <c r="PX1" i="3"/>
  <c r="PX23" i="3" s="1"/>
  <c r="QM1" i="3"/>
  <c r="QM23" i="3" s="1"/>
  <c r="QU1" i="3"/>
  <c r="QU23" i="3" s="1"/>
  <c r="RC1" i="3"/>
  <c r="RC23" i="3" s="1"/>
  <c r="RK1" i="3"/>
  <c r="RK23" i="3" s="1"/>
  <c r="RS1" i="3"/>
  <c r="RS23" i="3" s="1"/>
  <c r="SA1" i="3"/>
  <c r="SA23" i="3" s="1"/>
  <c r="SI1" i="3"/>
  <c r="SI23" i="3" s="1"/>
  <c r="SQ1" i="3"/>
  <c r="SQ23" i="3" s="1"/>
  <c r="SY1" i="3"/>
  <c r="SY23" i="3" s="1"/>
  <c r="TG1" i="3"/>
  <c r="TG23" i="3" s="1"/>
  <c r="TO1" i="3"/>
  <c r="TO23" i="3" s="1"/>
  <c r="TW1" i="3"/>
  <c r="TW23" i="3" s="1"/>
  <c r="UE1" i="3"/>
  <c r="UE23" i="3" s="1"/>
  <c r="UM1" i="3"/>
  <c r="UM23" i="3" s="1"/>
  <c r="UU1" i="3"/>
  <c r="UU23" i="3" s="1"/>
  <c r="VC1" i="3"/>
  <c r="VC23" i="3" s="1"/>
  <c r="VK1" i="3"/>
  <c r="VK23" i="3" s="1"/>
  <c r="VS1" i="3"/>
  <c r="VS23" i="3" s="1"/>
  <c r="VX1" i="3"/>
  <c r="VX23" i="3" s="1"/>
  <c r="WB1" i="3"/>
  <c r="WB23" i="3" s="1"/>
  <c r="WF1" i="3"/>
  <c r="WF23" i="3" s="1"/>
  <c r="WJ1" i="3"/>
  <c r="WJ23" i="3" s="1"/>
  <c r="WN1" i="3"/>
  <c r="WN23" i="3" s="1"/>
  <c r="WR1" i="3"/>
  <c r="WR23" i="3" s="1"/>
  <c r="WV1" i="3"/>
  <c r="WV23" i="3" s="1"/>
  <c r="WZ1" i="3"/>
  <c r="WZ23" i="3" s="1"/>
  <c r="XD1" i="3"/>
  <c r="XD23" i="3" s="1"/>
  <c r="XH1" i="3"/>
  <c r="XH23" i="3" s="1"/>
  <c r="XL1" i="3"/>
  <c r="XL23" i="3" s="1"/>
  <c r="XP1" i="3"/>
  <c r="XP23" i="3" s="1"/>
  <c r="XT1" i="3"/>
  <c r="XT23" i="3" s="1"/>
  <c r="XX1" i="3"/>
  <c r="XX23" i="3" s="1"/>
  <c r="YB1" i="3"/>
  <c r="YB23" i="3" s="1"/>
  <c r="YF1" i="3"/>
  <c r="YF23" i="3" s="1"/>
  <c r="YJ1" i="3"/>
  <c r="YJ23" i="3" s="1"/>
  <c r="YN1" i="3"/>
  <c r="YN23" i="3" s="1"/>
  <c r="YR1" i="3"/>
  <c r="YR23" i="3" s="1"/>
  <c r="YV1" i="3"/>
  <c r="YV23" i="3" s="1"/>
  <c r="YZ1" i="3"/>
  <c r="YZ23" i="3" s="1"/>
  <c r="ZD1" i="3"/>
  <c r="ZD23" i="3" s="1"/>
  <c r="ZH1" i="3"/>
  <c r="ZH23" i="3" s="1"/>
  <c r="ZL1" i="3"/>
  <c r="ZL23" i="3" s="1"/>
  <c r="ZP1" i="3"/>
  <c r="ZP23" i="3" s="1"/>
  <c r="ZT1" i="3"/>
  <c r="ZT23" i="3" s="1"/>
  <c r="ZX1" i="3"/>
  <c r="ZX23" i="3" s="1"/>
  <c r="AAB1" i="3"/>
  <c r="AAB23" i="3" s="1"/>
  <c r="AAF1" i="3"/>
  <c r="AAF23" i="3" s="1"/>
  <c r="AAJ1" i="3"/>
  <c r="AAJ23" i="3" s="1"/>
  <c r="AAN1" i="3"/>
  <c r="AAN23" i="3" s="1"/>
  <c r="AAR1" i="3"/>
  <c r="AAR23" i="3" s="1"/>
  <c r="AAV1" i="3"/>
  <c r="AAV23" i="3" s="1"/>
  <c r="AAZ1" i="3"/>
  <c r="AAZ23" i="3" s="1"/>
  <c r="ABD1" i="3"/>
  <c r="ABD23" i="3" s="1"/>
  <c r="ABH1" i="3"/>
  <c r="ABH23" i="3" s="1"/>
  <c r="ABL1" i="3"/>
  <c r="ABL23" i="3" s="1"/>
  <c r="ABP1" i="3"/>
  <c r="ABP23" i="3" s="1"/>
  <c r="ABT1" i="3"/>
  <c r="ABT23" i="3" s="1"/>
  <c r="ABX1" i="3"/>
  <c r="ABX23" i="3" s="1"/>
  <c r="ACB1" i="3"/>
  <c r="ACB23" i="3" s="1"/>
  <c r="ACF1" i="3"/>
  <c r="ACF23" i="3" s="1"/>
  <c r="ACJ1" i="3"/>
  <c r="ACJ23" i="3" s="1"/>
  <c r="ACN1" i="3"/>
  <c r="ACN23" i="3" s="1"/>
  <c r="ACR1" i="3"/>
  <c r="ACR23" i="3" s="1"/>
  <c r="ACV1" i="3"/>
  <c r="ACV23" i="3" s="1"/>
  <c r="ACZ1" i="3"/>
  <c r="ACZ23" i="3" s="1"/>
  <c r="ADD1" i="3"/>
  <c r="ADD23" i="3" s="1"/>
  <c r="ADH1" i="3"/>
  <c r="ADH23" i="3" s="1"/>
  <c r="ADL1" i="3"/>
  <c r="ADL23" i="3" s="1"/>
  <c r="ADP1" i="3"/>
  <c r="ADP23" i="3" s="1"/>
  <c r="ADT1" i="3"/>
  <c r="ADT23" i="3" s="1"/>
  <c r="ADX1" i="3"/>
  <c r="ADX23" i="3" s="1"/>
  <c r="AEB1" i="3"/>
  <c r="AEB23" i="3" s="1"/>
  <c r="AEF1" i="3"/>
  <c r="AEF23" i="3" s="1"/>
  <c r="BM1" i="3"/>
  <c r="BM23" i="3" s="1"/>
  <c r="LI1" i="3"/>
  <c r="LI23" i="3" s="1"/>
  <c r="OF1" i="3"/>
  <c r="OF23" i="3" s="1"/>
  <c r="QN1" i="3"/>
  <c r="QN23" i="3" s="1"/>
  <c r="RT1" i="3"/>
  <c r="RT23" i="3" s="1"/>
  <c r="SZ1" i="3"/>
  <c r="SZ23" i="3" s="1"/>
  <c r="UF1" i="3"/>
  <c r="UF23" i="3" s="1"/>
  <c r="VL1" i="3"/>
  <c r="VL23" i="3" s="1"/>
  <c r="WG1" i="3"/>
  <c r="WG23" i="3" s="1"/>
  <c r="WW1" i="3"/>
  <c r="WW23" i="3" s="1"/>
  <c r="XM1" i="3"/>
  <c r="XM23" i="3" s="1"/>
  <c r="YC1" i="3"/>
  <c r="YC23" i="3" s="1"/>
  <c r="YS1" i="3"/>
  <c r="YS23" i="3" s="1"/>
  <c r="ZI1" i="3"/>
  <c r="ZI23" i="3" s="1"/>
  <c r="ZY1" i="3"/>
  <c r="ZY23" i="3" s="1"/>
  <c r="AAO1" i="3"/>
  <c r="AAO23" i="3" s="1"/>
  <c r="ABE1" i="3"/>
  <c r="ABE23" i="3" s="1"/>
  <c r="ABU1" i="3"/>
  <c r="ABU23" i="3" s="1"/>
  <c r="ACK1" i="3"/>
  <c r="ACK23" i="3" s="1"/>
  <c r="ADA1" i="3"/>
  <c r="ADA23" i="3" s="1"/>
  <c r="ADQ1" i="3"/>
  <c r="ADQ23" i="3" s="1"/>
  <c r="AEG1" i="3"/>
  <c r="AEG23" i="3" s="1"/>
  <c r="AEO1" i="3"/>
  <c r="AEO23" i="3" s="1"/>
  <c r="AEW1" i="3"/>
  <c r="AEW23" i="3" s="1"/>
  <c r="AFE1" i="3"/>
  <c r="AFE23" i="3" s="1"/>
  <c r="AFM1" i="3"/>
  <c r="AFM23" i="3" s="1"/>
  <c r="AFU1" i="3"/>
  <c r="AFU23" i="3" s="1"/>
  <c r="AGC1" i="3"/>
  <c r="AGC23" i="3" s="1"/>
  <c r="AGI1" i="3"/>
  <c r="AGI23" i="3" s="1"/>
  <c r="AGN1" i="3"/>
  <c r="AGN23" i="3" s="1"/>
  <c r="AGS1" i="3"/>
  <c r="AGS23" i="3" s="1"/>
  <c r="AGY1" i="3"/>
  <c r="AGY60" i="3" s="1"/>
  <c r="AHD1" i="3"/>
  <c r="AHD23" i="3" s="1"/>
  <c r="AHI1" i="3"/>
  <c r="AHI23" i="3" s="1"/>
  <c r="AHO1" i="3"/>
  <c r="AHO60" i="3" s="1"/>
  <c r="AHS1" i="3"/>
  <c r="AHS60" i="3" s="1"/>
  <c r="AHW1" i="3"/>
  <c r="AHW60" i="3" s="1"/>
  <c r="AIA1" i="3"/>
  <c r="AIA60" i="3" s="1"/>
  <c r="AIE1" i="3"/>
  <c r="AIE60" i="3" s="1"/>
  <c r="AII1" i="3"/>
  <c r="AII60" i="3" s="1"/>
  <c r="AIM1" i="3"/>
  <c r="AIM60" i="3" s="1"/>
  <c r="AIQ1" i="3"/>
  <c r="AIQ60" i="3" s="1"/>
  <c r="AIU1" i="3"/>
  <c r="AIU60" i="3" s="1"/>
  <c r="AIY1" i="3"/>
  <c r="AIY60" i="3" s="1"/>
  <c r="AJC1" i="3"/>
  <c r="AJC60" i="3" s="1"/>
  <c r="AJG1" i="3"/>
  <c r="AJG60" i="3" s="1"/>
  <c r="AJK1" i="3"/>
  <c r="AJK60" i="3" s="1"/>
  <c r="AJO1" i="3"/>
  <c r="AJO60" i="3" s="1"/>
  <c r="AJS1" i="3"/>
  <c r="AJS60" i="3" s="1"/>
  <c r="AJW1" i="3"/>
  <c r="AJW60" i="3" s="1"/>
  <c r="AKA1" i="3"/>
  <c r="AKA60" i="3" s="1"/>
  <c r="AKE1" i="3"/>
  <c r="AKE60" i="3" s="1"/>
  <c r="AKI1" i="3"/>
  <c r="AKI60" i="3" s="1"/>
  <c r="AKM1" i="3"/>
  <c r="AKM60" i="3" s="1"/>
  <c r="AKQ1" i="3"/>
  <c r="AKQ60" i="3" s="1"/>
  <c r="AKU1" i="3"/>
  <c r="AKU60" i="3" s="1"/>
  <c r="AKY1" i="3"/>
  <c r="AKY60" i="3" s="1"/>
  <c r="ALC1" i="3"/>
  <c r="ALC60" i="3" s="1"/>
  <c r="ALG1" i="3"/>
  <c r="ALG60" i="3" s="1"/>
  <c r="ALK1" i="3"/>
  <c r="ALK60" i="3" s="1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E2" i="3"/>
  <c r="CI2" i="3"/>
  <c r="CM2" i="3"/>
  <c r="CQ2" i="3"/>
  <c r="CU2" i="3"/>
  <c r="CY2" i="3"/>
  <c r="DC2" i="3"/>
  <c r="DG2" i="3"/>
  <c r="DK2" i="3"/>
  <c r="DO2" i="3"/>
  <c r="DS2" i="3"/>
  <c r="DW2" i="3"/>
  <c r="EA2" i="3"/>
  <c r="EE2" i="3"/>
  <c r="EI2" i="3"/>
  <c r="EM2" i="3"/>
  <c r="EQ2" i="3"/>
  <c r="EU2" i="3"/>
  <c r="EY2" i="3"/>
  <c r="FC2" i="3"/>
  <c r="FG2" i="3"/>
  <c r="FK2" i="3"/>
  <c r="FO2" i="3"/>
  <c r="FS2" i="3"/>
  <c r="FW2" i="3"/>
  <c r="GA2" i="3"/>
  <c r="GE2" i="3"/>
  <c r="GI2" i="3"/>
  <c r="GM2" i="3"/>
  <c r="GQ2" i="3"/>
  <c r="GU2" i="3"/>
  <c r="GY2" i="3"/>
  <c r="HC2" i="3"/>
  <c r="HG2" i="3"/>
  <c r="HK2" i="3"/>
  <c r="HO2" i="3"/>
  <c r="HS2" i="3"/>
  <c r="HW2" i="3"/>
  <c r="IA2" i="3"/>
  <c r="IE2" i="3"/>
  <c r="II2" i="3"/>
  <c r="IM2" i="3"/>
  <c r="IQ2" i="3"/>
  <c r="IU2" i="3"/>
  <c r="IY2" i="3"/>
  <c r="JC2" i="3"/>
  <c r="JG2" i="3"/>
  <c r="JK2" i="3"/>
  <c r="JO2" i="3"/>
  <c r="JS2" i="3"/>
  <c r="JW2" i="3"/>
  <c r="KA2" i="3"/>
  <c r="KE2" i="3"/>
  <c r="KI2" i="3"/>
  <c r="KM2" i="3"/>
  <c r="KQ2" i="3"/>
  <c r="KU2" i="3"/>
  <c r="KY2" i="3"/>
  <c r="LC2" i="3"/>
  <c r="LG2" i="3"/>
  <c r="LK2" i="3"/>
  <c r="LO2" i="3"/>
  <c r="LS2" i="3"/>
  <c r="LW2" i="3"/>
  <c r="MA2" i="3"/>
  <c r="ME2" i="3"/>
  <c r="MI2" i="3"/>
  <c r="MM2" i="3"/>
  <c r="MQ2" i="3"/>
  <c r="MU2" i="3"/>
  <c r="MY2" i="3"/>
  <c r="NC2" i="3"/>
  <c r="NG2" i="3"/>
  <c r="NK2" i="3"/>
  <c r="NO2" i="3"/>
  <c r="NS2" i="3"/>
  <c r="NW2" i="3"/>
  <c r="OA2" i="3"/>
  <c r="OE2" i="3"/>
  <c r="OI2" i="3"/>
  <c r="OM2" i="3"/>
  <c r="OQ2" i="3"/>
  <c r="OU2" i="3"/>
  <c r="OY2" i="3"/>
  <c r="PC2" i="3"/>
  <c r="PG2" i="3"/>
  <c r="PK2" i="3"/>
  <c r="PO2" i="3"/>
  <c r="PS2" i="3"/>
  <c r="PW2" i="3"/>
  <c r="DY1" i="3"/>
  <c r="DY23" i="3" s="1"/>
  <c r="MJ1" i="3"/>
  <c r="MJ23" i="3" s="1"/>
  <c r="OV1" i="3"/>
  <c r="OV23" i="3" s="1"/>
  <c r="QV1" i="3"/>
  <c r="QV23" i="3" s="1"/>
  <c r="SB1" i="3"/>
  <c r="SB23" i="3" s="1"/>
  <c r="TH1" i="3"/>
  <c r="TH23" i="3" s="1"/>
  <c r="UN1" i="3"/>
  <c r="UN23" i="3" s="1"/>
  <c r="VT1" i="3"/>
  <c r="VT23" i="3" s="1"/>
  <c r="WK1" i="3"/>
  <c r="WK23" i="3" s="1"/>
  <c r="XA1" i="3"/>
  <c r="XA23" i="3" s="1"/>
  <c r="XQ1" i="3"/>
  <c r="XQ23" i="3" s="1"/>
  <c r="YG1" i="3"/>
  <c r="YG23" i="3" s="1"/>
  <c r="YW1" i="3"/>
  <c r="YW23" i="3" s="1"/>
  <c r="ZM1" i="3"/>
  <c r="ZM23" i="3" s="1"/>
  <c r="AAC1" i="3"/>
  <c r="AAC23" i="3" s="1"/>
  <c r="AAS1" i="3"/>
  <c r="AAS23" i="3" s="1"/>
  <c r="ABI1" i="3"/>
  <c r="ABI23" i="3" s="1"/>
  <c r="ABY1" i="3"/>
  <c r="ABY23" i="3" s="1"/>
  <c r="ACO1" i="3"/>
  <c r="ACO23" i="3" s="1"/>
  <c r="ADE1" i="3"/>
  <c r="ADE23" i="3" s="1"/>
  <c r="ADU1" i="3"/>
  <c r="ADU23" i="3" s="1"/>
  <c r="AEJ1" i="3"/>
  <c r="AEJ23" i="3" s="1"/>
  <c r="AER1" i="3"/>
  <c r="AER23" i="3" s="1"/>
  <c r="AEZ1" i="3"/>
  <c r="AEZ23" i="3" s="1"/>
  <c r="AFH1" i="3"/>
  <c r="AFH23" i="3" s="1"/>
  <c r="AFP1" i="3"/>
  <c r="AFP23" i="3" s="1"/>
  <c r="AFX1" i="3"/>
  <c r="AFX23" i="3" s="1"/>
  <c r="AGE1" i="3"/>
  <c r="AGE23" i="3" s="1"/>
  <c r="AGJ1" i="3"/>
  <c r="AGJ23" i="3" s="1"/>
  <c r="AGO1" i="3"/>
  <c r="AGO23" i="3" s="1"/>
  <c r="AGU1" i="3"/>
  <c r="AGU60" i="3" s="1"/>
  <c r="AGZ1" i="3"/>
  <c r="AGZ23" i="3" s="1"/>
  <c r="AHE1" i="3"/>
  <c r="AHE23" i="3" s="1"/>
  <c r="AHK1" i="3"/>
  <c r="AHK60" i="3" s="1"/>
  <c r="AHP1" i="3"/>
  <c r="AHP23" i="3" s="1"/>
  <c r="AHT1" i="3"/>
  <c r="AHT23" i="3" s="1"/>
  <c r="AHX1" i="3"/>
  <c r="AHX23" i="3" s="1"/>
  <c r="AIB1" i="3"/>
  <c r="AIB23" i="3" s="1"/>
  <c r="AIF1" i="3"/>
  <c r="AIF23" i="3" s="1"/>
  <c r="AIJ1" i="3"/>
  <c r="AIJ23" i="3" s="1"/>
  <c r="AIN1" i="3"/>
  <c r="AIN23" i="3" s="1"/>
  <c r="AIR1" i="3"/>
  <c r="AIR23" i="3" s="1"/>
  <c r="AIV1" i="3"/>
  <c r="AIV23" i="3" s="1"/>
  <c r="AIZ1" i="3"/>
  <c r="AIZ23" i="3" s="1"/>
  <c r="AJD1" i="3"/>
  <c r="AJD23" i="3" s="1"/>
  <c r="AJH1" i="3"/>
  <c r="AJH23" i="3" s="1"/>
  <c r="AJL1" i="3"/>
  <c r="AJL23" i="3" s="1"/>
  <c r="AJP1" i="3"/>
  <c r="AJP23" i="3" s="1"/>
  <c r="AJT1" i="3"/>
  <c r="AJT23" i="3" s="1"/>
  <c r="AJX1" i="3"/>
  <c r="AJX23" i="3" s="1"/>
  <c r="AKB1" i="3"/>
  <c r="AKB23" i="3" s="1"/>
  <c r="AKF1" i="3"/>
  <c r="AKF23" i="3" s="1"/>
  <c r="AKJ1" i="3"/>
  <c r="AKJ23" i="3" s="1"/>
  <c r="AKN1" i="3"/>
  <c r="AKN23" i="3" s="1"/>
  <c r="AKR1" i="3"/>
  <c r="AKR23" i="3" s="1"/>
  <c r="AKV1" i="3"/>
  <c r="AKV23" i="3" s="1"/>
  <c r="AKZ1" i="3"/>
  <c r="AKZ23" i="3" s="1"/>
  <c r="ALD1" i="3"/>
  <c r="ALD23" i="3" s="1"/>
  <c r="ALH1" i="3"/>
  <c r="ALH23" i="3" s="1"/>
  <c r="ALL1" i="3"/>
  <c r="ALL23" i="3" s="1"/>
  <c r="D2" i="3"/>
  <c r="H2" i="3"/>
  <c r="L2" i="3"/>
  <c r="P2" i="3"/>
  <c r="T2" i="3"/>
  <c r="X2" i="3"/>
  <c r="AB2" i="3"/>
  <c r="AF2" i="3"/>
  <c r="AJ2" i="3"/>
  <c r="AN2" i="3"/>
  <c r="AR2" i="3"/>
  <c r="AV2" i="3"/>
  <c r="AZ2" i="3"/>
  <c r="BD2" i="3"/>
  <c r="BH2" i="3"/>
  <c r="BL2" i="3"/>
  <c r="BP2" i="3"/>
  <c r="BT2" i="3"/>
  <c r="BX2" i="3"/>
  <c r="CB2" i="3"/>
  <c r="CF2" i="3"/>
  <c r="CJ2" i="3"/>
  <c r="CN2" i="3"/>
  <c r="CR2" i="3"/>
  <c r="CV2" i="3"/>
  <c r="CZ2" i="3"/>
  <c r="DD2" i="3"/>
  <c r="DH2" i="3"/>
  <c r="DL2" i="3"/>
  <c r="DP2" i="3"/>
  <c r="DT2" i="3"/>
  <c r="DX2" i="3"/>
  <c r="EB2" i="3"/>
  <c r="EF2" i="3"/>
  <c r="EJ2" i="3"/>
  <c r="EN2" i="3"/>
  <c r="ER2" i="3"/>
  <c r="EV2" i="3"/>
  <c r="EZ2" i="3"/>
  <c r="FD2" i="3"/>
  <c r="FH2" i="3"/>
  <c r="FL2" i="3"/>
  <c r="FP2" i="3"/>
  <c r="FT2" i="3"/>
  <c r="FX2" i="3"/>
  <c r="GB2" i="3"/>
  <c r="GF2" i="3"/>
  <c r="GJ2" i="3"/>
  <c r="GN2" i="3"/>
  <c r="GR2" i="3"/>
  <c r="GV2" i="3"/>
  <c r="GZ2" i="3"/>
  <c r="HD2" i="3"/>
  <c r="HH2" i="3"/>
  <c r="HL2" i="3"/>
  <c r="HP2" i="3"/>
  <c r="HT2" i="3"/>
  <c r="HX2" i="3"/>
  <c r="IB2" i="3"/>
  <c r="IF2" i="3"/>
  <c r="IJ2" i="3"/>
  <c r="IN2" i="3"/>
  <c r="IR2" i="3"/>
  <c r="IV2" i="3"/>
  <c r="IZ2" i="3"/>
  <c r="JD2" i="3"/>
  <c r="JH2" i="3"/>
  <c r="JL2" i="3"/>
  <c r="JP2" i="3"/>
  <c r="JT2" i="3"/>
  <c r="JX2" i="3"/>
  <c r="KB2" i="3"/>
  <c r="KF2" i="3"/>
  <c r="KJ2" i="3"/>
  <c r="KN2" i="3"/>
  <c r="KR2" i="3"/>
  <c r="KV2" i="3"/>
  <c r="KZ2" i="3"/>
  <c r="LD2" i="3"/>
  <c r="LH2" i="3"/>
  <c r="LL2" i="3"/>
  <c r="LP2" i="3"/>
  <c r="LT2" i="3"/>
  <c r="LX2" i="3"/>
  <c r="MB2" i="3"/>
  <c r="MF2" i="3"/>
  <c r="MJ2" i="3"/>
  <c r="MN2" i="3"/>
  <c r="MR2" i="3"/>
  <c r="MV2" i="3"/>
  <c r="MZ2" i="3"/>
  <c r="ND2" i="3"/>
  <c r="NH2" i="3"/>
  <c r="NL2" i="3"/>
  <c r="NP2" i="3"/>
  <c r="NT2" i="3"/>
  <c r="NX2" i="3"/>
  <c r="OB2" i="3"/>
  <c r="OF2" i="3"/>
  <c r="OJ2" i="3"/>
  <c r="ON2" i="3"/>
  <c r="OR2" i="3"/>
  <c r="OV2" i="3"/>
  <c r="OZ2" i="3"/>
  <c r="PD2" i="3"/>
  <c r="PH2" i="3"/>
  <c r="PL2" i="3"/>
  <c r="PP2" i="3"/>
  <c r="PT2" i="3"/>
  <c r="PX2" i="3"/>
  <c r="GK1" i="3"/>
  <c r="GK23" i="3" s="1"/>
  <c r="MZ1" i="3"/>
  <c r="MZ23" i="3" s="1"/>
  <c r="PL1" i="3"/>
  <c r="PL23" i="3" s="1"/>
  <c r="RD1" i="3"/>
  <c r="RD23" i="3" s="1"/>
  <c r="SJ1" i="3"/>
  <c r="SJ23" i="3" s="1"/>
  <c r="TP1" i="3"/>
  <c r="TP23" i="3" s="1"/>
  <c r="UV1" i="3"/>
  <c r="UV23" i="3" s="1"/>
  <c r="VY1" i="3"/>
  <c r="VY23" i="3" s="1"/>
  <c r="WO1" i="3"/>
  <c r="WO23" i="3" s="1"/>
  <c r="XE1" i="3"/>
  <c r="XE23" i="3" s="1"/>
  <c r="XU1" i="3"/>
  <c r="XU23" i="3" s="1"/>
  <c r="YK1" i="3"/>
  <c r="YK23" i="3" s="1"/>
  <c r="ZA1" i="3"/>
  <c r="ZA23" i="3" s="1"/>
  <c r="ZQ1" i="3"/>
  <c r="ZQ23" i="3" s="1"/>
  <c r="AAG1" i="3"/>
  <c r="AAG23" i="3" s="1"/>
  <c r="AAW1" i="3"/>
  <c r="AAW23" i="3" s="1"/>
  <c r="ABM1" i="3"/>
  <c r="ABM23" i="3" s="1"/>
  <c r="ACC1" i="3"/>
  <c r="ACC23" i="3" s="1"/>
  <c r="ACS1" i="3"/>
  <c r="ACS23" i="3" s="1"/>
  <c r="ADI1" i="3"/>
  <c r="ADI23" i="3" s="1"/>
  <c r="ADY1" i="3"/>
  <c r="ADY23" i="3" s="1"/>
  <c r="AEK1" i="3"/>
  <c r="AEK23" i="3" s="1"/>
  <c r="AES1" i="3"/>
  <c r="AES23" i="3" s="1"/>
  <c r="AFA1" i="3"/>
  <c r="AFA23" i="3" s="1"/>
  <c r="AFI1" i="3"/>
  <c r="AFI23" i="3" s="1"/>
  <c r="AFQ1" i="3"/>
  <c r="AFQ23" i="3" s="1"/>
  <c r="AFY1" i="3"/>
  <c r="AFY23" i="3" s="1"/>
  <c r="AGF1" i="3"/>
  <c r="AGF23" i="3" s="1"/>
  <c r="AGK1" i="3"/>
  <c r="AGK23" i="3" s="1"/>
  <c r="AGQ1" i="3"/>
  <c r="AGQ60" i="3" s="1"/>
  <c r="AGV1" i="3"/>
  <c r="AGV23" i="3" s="1"/>
  <c r="AHA1" i="3"/>
  <c r="AHA23" i="3" s="1"/>
  <c r="AHG1" i="3"/>
  <c r="AHG60" i="3" s="1"/>
  <c r="AHL1" i="3"/>
  <c r="AHL23" i="3" s="1"/>
  <c r="AHQ1" i="3"/>
  <c r="AHQ23" i="3" s="1"/>
  <c r="AHU1" i="3"/>
  <c r="AHU23" i="3" s="1"/>
  <c r="AHY1" i="3"/>
  <c r="AHY23" i="3" s="1"/>
  <c r="AIC1" i="3"/>
  <c r="AIC23" i="3" s="1"/>
  <c r="AIG1" i="3"/>
  <c r="AIG23" i="3" s="1"/>
  <c r="AIK1" i="3"/>
  <c r="AIK23" i="3" s="1"/>
  <c r="AIO1" i="3"/>
  <c r="AIO23" i="3" s="1"/>
  <c r="AIS1" i="3"/>
  <c r="AIS23" i="3" s="1"/>
  <c r="AIW1" i="3"/>
  <c r="AIW23" i="3" s="1"/>
  <c r="AJA1" i="3"/>
  <c r="AJA23" i="3" s="1"/>
  <c r="AJE1" i="3"/>
  <c r="AJE23" i="3" s="1"/>
  <c r="AJI1" i="3"/>
  <c r="AJI23" i="3" s="1"/>
  <c r="AJM1" i="3"/>
  <c r="AJM23" i="3" s="1"/>
  <c r="AJQ1" i="3"/>
  <c r="AJQ23" i="3" s="1"/>
  <c r="AJU1" i="3"/>
  <c r="AJU23" i="3" s="1"/>
  <c r="AJY1" i="3"/>
  <c r="AJY23" i="3" s="1"/>
  <c r="AKC1" i="3"/>
  <c r="AKC23" i="3" s="1"/>
  <c r="AKG1" i="3"/>
  <c r="AKG23" i="3" s="1"/>
  <c r="AKK1" i="3"/>
  <c r="AKK23" i="3" s="1"/>
  <c r="AKO1" i="3"/>
  <c r="AKO23" i="3" s="1"/>
  <c r="AKS1" i="3"/>
  <c r="AKS23" i="3" s="1"/>
  <c r="AKW1" i="3"/>
  <c r="AKW23" i="3" s="1"/>
  <c r="ALA1" i="3"/>
  <c r="ALA23" i="3" s="1"/>
  <c r="ALE1" i="3"/>
  <c r="ALE23" i="3" s="1"/>
  <c r="ALI1" i="3"/>
  <c r="ALI23" i="3" s="1"/>
  <c r="ALM1" i="3"/>
  <c r="ALM23" i="3" s="1"/>
  <c r="E2" i="3"/>
  <c r="I2" i="3"/>
  <c r="M2" i="3"/>
  <c r="Q2" i="3"/>
  <c r="U2" i="3"/>
  <c r="Y2" i="3"/>
  <c r="AC2" i="3"/>
  <c r="AG2" i="3"/>
  <c r="AK2" i="3"/>
  <c r="AO2" i="3"/>
  <c r="AS2" i="3"/>
  <c r="AW2" i="3"/>
  <c r="BA2" i="3"/>
  <c r="BE2" i="3"/>
  <c r="BI2" i="3"/>
  <c r="BM2" i="3"/>
  <c r="BQ2" i="3"/>
  <c r="BU2" i="3"/>
  <c r="BY2" i="3"/>
  <c r="CC2" i="3"/>
  <c r="CG2" i="3"/>
  <c r="CK2" i="3"/>
  <c r="CO2" i="3"/>
  <c r="CS2" i="3"/>
  <c r="CW2" i="3"/>
  <c r="DA2" i="3"/>
  <c r="DE2" i="3"/>
  <c r="DI2" i="3"/>
  <c r="DM2" i="3"/>
  <c r="DQ2" i="3"/>
  <c r="DU2" i="3"/>
  <c r="DY2" i="3"/>
  <c r="EC2" i="3"/>
  <c r="EG2" i="3"/>
  <c r="EK2" i="3"/>
  <c r="EO2" i="3"/>
  <c r="ES2" i="3"/>
  <c r="EW2" i="3"/>
  <c r="FA2" i="3"/>
  <c r="FE2" i="3"/>
  <c r="FI2" i="3"/>
  <c r="FM2" i="3"/>
  <c r="FQ2" i="3"/>
  <c r="FU2" i="3"/>
  <c r="FY2" i="3"/>
  <c r="GC2" i="3"/>
  <c r="GG2" i="3"/>
  <c r="GK2" i="3"/>
  <c r="GO2" i="3"/>
  <c r="GS2" i="3"/>
  <c r="GW2" i="3"/>
  <c r="HA2" i="3"/>
  <c r="HE2" i="3"/>
  <c r="HI2" i="3"/>
  <c r="HM2" i="3"/>
  <c r="HQ2" i="3"/>
  <c r="HU2" i="3"/>
  <c r="HY2" i="3"/>
  <c r="IC2" i="3"/>
  <c r="IG2" i="3"/>
  <c r="IK2" i="3"/>
  <c r="IO2" i="3"/>
  <c r="IS2" i="3"/>
  <c r="IW2" i="3"/>
  <c r="JA2" i="3"/>
  <c r="JE2" i="3"/>
  <c r="JI2" i="3"/>
  <c r="JM2" i="3"/>
  <c r="JQ2" i="3"/>
  <c r="JU2" i="3"/>
  <c r="JY2" i="3"/>
  <c r="KC2" i="3"/>
  <c r="KG2" i="3"/>
  <c r="KK2" i="3"/>
  <c r="KO2" i="3"/>
  <c r="KS2" i="3"/>
  <c r="KW2" i="3"/>
  <c r="LA2" i="3"/>
  <c r="LE2" i="3"/>
  <c r="LI2" i="3"/>
  <c r="IW1" i="3"/>
  <c r="IW23" i="3" s="1"/>
  <c r="SR1" i="3"/>
  <c r="SR23" i="3" s="1"/>
  <c r="WS1" i="3"/>
  <c r="WS23" i="3" s="1"/>
  <c r="ZE1" i="3"/>
  <c r="ZE23" i="3" s="1"/>
  <c r="ABQ1" i="3"/>
  <c r="ABQ23" i="3" s="1"/>
  <c r="AEC1" i="3"/>
  <c r="AEC23" i="3" s="1"/>
  <c r="AFL1" i="3"/>
  <c r="AFL23" i="3" s="1"/>
  <c r="AGM1" i="3"/>
  <c r="AGM23" i="3" s="1"/>
  <c r="AHH1" i="3"/>
  <c r="AHH23" i="3" s="1"/>
  <c r="AHZ1" i="3"/>
  <c r="AHZ23" i="3" s="1"/>
  <c r="AIP1" i="3"/>
  <c r="AIP23" i="3" s="1"/>
  <c r="AJF1" i="3"/>
  <c r="AJF23" i="3" s="1"/>
  <c r="AJV1" i="3"/>
  <c r="AJV23" i="3" s="1"/>
  <c r="AKL1" i="3"/>
  <c r="AKL23" i="3" s="1"/>
  <c r="ALB1" i="3"/>
  <c r="ALB23" i="3" s="1"/>
  <c r="F2" i="3"/>
  <c r="V2" i="3"/>
  <c r="AL2" i="3"/>
  <c r="BB2" i="3"/>
  <c r="BR2" i="3"/>
  <c r="CH2" i="3"/>
  <c r="CX2" i="3"/>
  <c r="DN2" i="3"/>
  <c r="ED2" i="3"/>
  <c r="ET2" i="3"/>
  <c r="FJ2" i="3"/>
  <c r="FZ2" i="3"/>
  <c r="GP2" i="3"/>
  <c r="HF2" i="3"/>
  <c r="HV2" i="3"/>
  <c r="IL2" i="3"/>
  <c r="JB2" i="3"/>
  <c r="JR2" i="3"/>
  <c r="KH2" i="3"/>
  <c r="KX2" i="3"/>
  <c r="LM2" i="3"/>
  <c r="LU2" i="3"/>
  <c r="MC2" i="3"/>
  <c r="MK2" i="3"/>
  <c r="MS2" i="3"/>
  <c r="NA2" i="3"/>
  <c r="NI2" i="3"/>
  <c r="NQ2" i="3"/>
  <c r="NY2" i="3"/>
  <c r="OG2" i="3"/>
  <c r="OO2" i="3"/>
  <c r="OW2" i="3"/>
  <c r="PE2" i="3"/>
  <c r="PM2" i="3"/>
  <c r="PU2" i="3"/>
  <c r="QA2" i="3"/>
  <c r="QE2" i="3"/>
  <c r="QI2" i="3"/>
  <c r="QM2" i="3"/>
  <c r="QQ2" i="3"/>
  <c r="QU2" i="3"/>
  <c r="QY2" i="3"/>
  <c r="RC2" i="3"/>
  <c r="RG2" i="3"/>
  <c r="RK2" i="3"/>
  <c r="RO2" i="3"/>
  <c r="RS2" i="3"/>
  <c r="RW2" i="3"/>
  <c r="SA2" i="3"/>
  <c r="SE2" i="3"/>
  <c r="SI2" i="3"/>
  <c r="SM2" i="3"/>
  <c r="SQ2" i="3"/>
  <c r="SU2" i="3"/>
  <c r="SY2" i="3"/>
  <c r="TC2" i="3"/>
  <c r="TG2" i="3"/>
  <c r="TK2" i="3"/>
  <c r="TO2" i="3"/>
  <c r="TS2" i="3"/>
  <c r="TW2" i="3"/>
  <c r="UA2" i="3"/>
  <c r="UE2" i="3"/>
  <c r="UI2" i="3"/>
  <c r="UM2" i="3"/>
  <c r="UQ2" i="3"/>
  <c r="UU2" i="3"/>
  <c r="UY2" i="3"/>
  <c r="VC2" i="3"/>
  <c r="VG2" i="3"/>
  <c r="VK2" i="3"/>
  <c r="VO2" i="3"/>
  <c r="VS2" i="3"/>
  <c r="VW2" i="3"/>
  <c r="WA2" i="3"/>
  <c r="WE2" i="3"/>
  <c r="WI2" i="3"/>
  <c r="WM2" i="3"/>
  <c r="WQ2" i="3"/>
  <c r="WU2" i="3"/>
  <c r="WY2" i="3"/>
  <c r="XC2" i="3"/>
  <c r="XG2" i="3"/>
  <c r="XK2" i="3"/>
  <c r="XO2" i="3"/>
  <c r="XS2" i="3"/>
  <c r="XW2" i="3"/>
  <c r="YA2" i="3"/>
  <c r="YE2" i="3"/>
  <c r="YI2" i="3"/>
  <c r="YM2" i="3"/>
  <c r="YQ2" i="3"/>
  <c r="YU2" i="3"/>
  <c r="YY2" i="3"/>
  <c r="ZC2" i="3"/>
  <c r="ZG2" i="3"/>
  <c r="ZK2" i="3"/>
  <c r="ZO2" i="3"/>
  <c r="ZS2" i="3"/>
  <c r="ZW2" i="3"/>
  <c r="AAA2" i="3"/>
  <c r="AAE2" i="3"/>
  <c r="AAI2" i="3"/>
  <c r="AAM2" i="3"/>
  <c r="AAQ2" i="3"/>
  <c r="AAU2" i="3"/>
  <c r="AAY2" i="3"/>
  <c r="ABC2" i="3"/>
  <c r="ABG2" i="3"/>
  <c r="ABK2" i="3"/>
  <c r="ABO2" i="3"/>
  <c r="ABS2" i="3"/>
  <c r="ABW2" i="3"/>
  <c r="ACA2" i="3"/>
  <c r="ACE2" i="3"/>
  <c r="ACI2" i="3"/>
  <c r="ACM2" i="3"/>
  <c r="ACQ2" i="3"/>
  <c r="ACU2" i="3"/>
  <c r="ACY2" i="3"/>
  <c r="ADC2" i="3"/>
  <c r="ADG2" i="3"/>
  <c r="ADK2" i="3"/>
  <c r="ADO2" i="3"/>
  <c r="ADS2" i="3"/>
  <c r="ADW2" i="3"/>
  <c r="AEA2" i="3"/>
  <c r="AEE2" i="3"/>
  <c r="AEI2" i="3"/>
  <c r="AEM2" i="3"/>
  <c r="AEQ2" i="3"/>
  <c r="AEU2" i="3"/>
  <c r="AEY2" i="3"/>
  <c r="AFC2" i="3"/>
  <c r="AFG2" i="3"/>
  <c r="AFK2" i="3"/>
  <c r="AFO2" i="3"/>
  <c r="AFS2" i="3"/>
  <c r="AFW2" i="3"/>
  <c r="AGA2" i="3"/>
  <c r="AGE2" i="3"/>
  <c r="NP1" i="3"/>
  <c r="NP23" i="3" s="1"/>
  <c r="TX1" i="3"/>
  <c r="TX23" i="3" s="1"/>
  <c r="XI1" i="3"/>
  <c r="XI23" i="3" s="1"/>
  <c r="ZU1" i="3"/>
  <c r="ZU23" i="3" s="1"/>
  <c r="ACG1" i="3"/>
  <c r="ACG23" i="3" s="1"/>
  <c r="AEN1" i="3"/>
  <c r="AEN23" i="3" s="1"/>
  <c r="AFT1" i="3"/>
  <c r="AFT23" i="3" s="1"/>
  <c r="AGR1" i="3"/>
  <c r="AGR23" i="3" s="1"/>
  <c r="AHM1" i="3"/>
  <c r="AHM23" i="3" s="1"/>
  <c r="AID1" i="3"/>
  <c r="AID23" i="3" s="1"/>
  <c r="AIT1" i="3"/>
  <c r="AIT23" i="3" s="1"/>
  <c r="AJJ1" i="3"/>
  <c r="AJJ23" i="3" s="1"/>
  <c r="AJZ1" i="3"/>
  <c r="AJZ23" i="3" s="1"/>
  <c r="AKP1" i="3"/>
  <c r="AKP23" i="3" s="1"/>
  <c r="ALF1" i="3"/>
  <c r="ALF23" i="3" s="1"/>
  <c r="J2" i="3"/>
  <c r="Z2" i="3"/>
  <c r="AP2" i="3"/>
  <c r="BF2" i="3"/>
  <c r="BV2" i="3"/>
  <c r="CL2" i="3"/>
  <c r="DB2" i="3"/>
  <c r="DR2" i="3"/>
  <c r="EH2" i="3"/>
  <c r="EX2" i="3"/>
  <c r="FN2" i="3"/>
  <c r="GD2" i="3"/>
  <c r="GT2" i="3"/>
  <c r="HJ2" i="3"/>
  <c r="HZ2" i="3"/>
  <c r="IP2" i="3"/>
  <c r="JF2" i="3"/>
  <c r="JV2" i="3"/>
  <c r="KL2" i="3"/>
  <c r="LB2" i="3"/>
  <c r="LN2" i="3"/>
  <c r="LV2" i="3"/>
  <c r="MD2" i="3"/>
  <c r="ML2" i="3"/>
  <c r="MT2" i="3"/>
  <c r="NB2" i="3"/>
  <c r="NJ2" i="3"/>
  <c r="NR2" i="3"/>
  <c r="NZ2" i="3"/>
  <c r="OH2" i="3"/>
  <c r="OP2" i="3"/>
  <c r="OX2" i="3"/>
  <c r="PF2" i="3"/>
  <c r="PN2" i="3"/>
  <c r="PV2" i="3"/>
  <c r="QB2" i="3"/>
  <c r="QF2" i="3"/>
  <c r="QJ2" i="3"/>
  <c r="QN2" i="3"/>
  <c r="QR2" i="3"/>
  <c r="QV2" i="3"/>
  <c r="QZ2" i="3"/>
  <c r="RD2" i="3"/>
  <c r="RH2" i="3"/>
  <c r="RL2" i="3"/>
  <c r="RP2" i="3"/>
  <c r="RT2" i="3"/>
  <c r="RX2" i="3"/>
  <c r="SB2" i="3"/>
  <c r="SF2" i="3"/>
  <c r="SJ2" i="3"/>
  <c r="SN2" i="3"/>
  <c r="SR2" i="3"/>
  <c r="SV2" i="3"/>
  <c r="SZ2" i="3"/>
  <c r="TD2" i="3"/>
  <c r="TH2" i="3"/>
  <c r="TL2" i="3"/>
  <c r="TP2" i="3"/>
  <c r="TT2" i="3"/>
  <c r="TX2" i="3"/>
  <c r="UB2" i="3"/>
  <c r="UF2" i="3"/>
  <c r="UJ2" i="3"/>
  <c r="UN2" i="3"/>
  <c r="UR2" i="3"/>
  <c r="UV2" i="3"/>
  <c r="UZ2" i="3"/>
  <c r="VD2" i="3"/>
  <c r="VH2" i="3"/>
  <c r="VL2" i="3"/>
  <c r="VP2" i="3"/>
  <c r="VT2" i="3"/>
  <c r="VX2" i="3"/>
  <c r="WB2" i="3"/>
  <c r="WF2" i="3"/>
  <c r="WJ2" i="3"/>
  <c r="WN2" i="3"/>
  <c r="WR2" i="3"/>
  <c r="WV2" i="3"/>
  <c r="WZ2" i="3"/>
  <c r="XD2" i="3"/>
  <c r="XH2" i="3"/>
  <c r="XL2" i="3"/>
  <c r="XP2" i="3"/>
  <c r="XT2" i="3"/>
  <c r="XX2" i="3"/>
  <c r="YB2" i="3"/>
  <c r="YF2" i="3"/>
  <c r="YJ2" i="3"/>
  <c r="YN2" i="3"/>
  <c r="YR2" i="3"/>
  <c r="YV2" i="3"/>
  <c r="YZ2" i="3"/>
  <c r="ZD2" i="3"/>
  <c r="ZH2" i="3"/>
  <c r="ZL2" i="3"/>
  <c r="ZP2" i="3"/>
  <c r="ZT2" i="3"/>
  <c r="ZX2" i="3"/>
  <c r="AAB2" i="3"/>
  <c r="AAF2" i="3"/>
  <c r="AAJ2" i="3"/>
  <c r="AAN2" i="3"/>
  <c r="AAR2" i="3"/>
  <c r="AAV2" i="3"/>
  <c r="AAZ2" i="3"/>
  <c r="ABD2" i="3"/>
  <c r="ABH2" i="3"/>
  <c r="ABL2" i="3"/>
  <c r="ABP2" i="3"/>
  <c r="ABT2" i="3"/>
  <c r="ABX2" i="3"/>
  <c r="ACB2" i="3"/>
  <c r="ACF2" i="3"/>
  <c r="ACJ2" i="3"/>
  <c r="ACN2" i="3"/>
  <c r="ACR2" i="3"/>
  <c r="ACV2" i="3"/>
  <c r="ACZ2" i="3"/>
  <c r="ADD2" i="3"/>
  <c r="ADH2" i="3"/>
  <c r="ADL2" i="3"/>
  <c r="ADP2" i="3"/>
  <c r="ADT2" i="3"/>
  <c r="ADX2" i="3"/>
  <c r="AEB2" i="3"/>
  <c r="AEF2" i="3"/>
  <c r="AEJ2" i="3"/>
  <c r="AEN2" i="3"/>
  <c r="AER2" i="3"/>
  <c r="AEV2" i="3"/>
  <c r="AEZ2" i="3"/>
  <c r="AFD2" i="3"/>
  <c r="AFH2" i="3"/>
  <c r="AFL2" i="3"/>
  <c r="AFP2" i="3"/>
  <c r="AFT2" i="3"/>
  <c r="AFX2" i="3"/>
  <c r="AGB2" i="3"/>
  <c r="AGF2" i="3"/>
  <c r="AGJ2" i="3"/>
  <c r="AGN2" i="3"/>
  <c r="AGR2" i="3"/>
  <c r="AGV2" i="3"/>
  <c r="AGZ2" i="3"/>
  <c r="AHD2" i="3"/>
  <c r="AHH2" i="3"/>
  <c r="AHL2" i="3"/>
  <c r="AHP2" i="3"/>
  <c r="AHT2" i="3"/>
  <c r="AHX2" i="3"/>
  <c r="AIB2" i="3"/>
  <c r="AIF2" i="3"/>
  <c r="AIJ2" i="3"/>
  <c r="QB1" i="3"/>
  <c r="QB23" i="3" s="1"/>
  <c r="VD1" i="3"/>
  <c r="VD23" i="3" s="1"/>
  <c r="XY1" i="3"/>
  <c r="XY23" i="3" s="1"/>
  <c r="AAK1" i="3"/>
  <c r="AAK23" i="3" s="1"/>
  <c r="ACW1" i="3"/>
  <c r="ACW23" i="3" s="1"/>
  <c r="AEV1" i="3"/>
  <c r="AEV23" i="3" s="1"/>
  <c r="AGB1" i="3"/>
  <c r="AGB23" i="3" s="1"/>
  <c r="AGW1" i="3"/>
  <c r="AGW23" i="3" s="1"/>
  <c r="AHR1" i="3"/>
  <c r="AHR23" i="3" s="1"/>
  <c r="AIH1" i="3"/>
  <c r="AIH23" i="3" s="1"/>
  <c r="AIX1" i="3"/>
  <c r="AIX23" i="3" s="1"/>
  <c r="AJN1" i="3"/>
  <c r="AJN23" i="3" s="1"/>
  <c r="AKD1" i="3"/>
  <c r="AKD23" i="3" s="1"/>
  <c r="AKT1" i="3"/>
  <c r="AKT23" i="3" s="1"/>
  <c r="ALJ1" i="3"/>
  <c r="ALJ23" i="3" s="1"/>
  <c r="N2" i="3"/>
  <c r="AD2" i="3"/>
  <c r="AT2" i="3"/>
  <c r="BJ2" i="3"/>
  <c r="BZ2" i="3"/>
  <c r="CP2" i="3"/>
  <c r="DF2" i="3"/>
  <c r="DV2" i="3"/>
  <c r="EL2" i="3"/>
  <c r="FB2" i="3"/>
  <c r="FR2" i="3"/>
  <c r="GH2" i="3"/>
  <c r="GX2" i="3"/>
  <c r="HN2" i="3"/>
  <c r="ID2" i="3"/>
  <c r="IT2" i="3"/>
  <c r="JJ2" i="3"/>
  <c r="JZ2" i="3"/>
  <c r="KP2" i="3"/>
  <c r="LF2" i="3"/>
  <c r="LQ2" i="3"/>
  <c r="LY2" i="3"/>
  <c r="MG2" i="3"/>
  <c r="MO2" i="3"/>
  <c r="MW2" i="3"/>
  <c r="NE2" i="3"/>
  <c r="NM2" i="3"/>
  <c r="NU2" i="3"/>
  <c r="OC2" i="3"/>
  <c r="OK2" i="3"/>
  <c r="OS2" i="3"/>
  <c r="PA2" i="3"/>
  <c r="PI2" i="3"/>
  <c r="PQ2" i="3"/>
  <c r="PY2" i="3"/>
  <c r="QC2" i="3"/>
  <c r="QG2" i="3"/>
  <c r="QK2" i="3"/>
  <c r="QO2" i="3"/>
  <c r="QS2" i="3"/>
  <c r="QW2" i="3"/>
  <c r="RA2" i="3"/>
  <c r="RE2" i="3"/>
  <c r="RI2" i="3"/>
  <c r="RM2" i="3"/>
  <c r="RQ2" i="3"/>
  <c r="RU2" i="3"/>
  <c r="RY2" i="3"/>
  <c r="SC2" i="3"/>
  <c r="SG2" i="3"/>
  <c r="SK2" i="3"/>
  <c r="SO2" i="3"/>
  <c r="SS2" i="3"/>
  <c r="SW2" i="3"/>
  <c r="TA2" i="3"/>
  <c r="TE2" i="3"/>
  <c r="TI2" i="3"/>
  <c r="TM2" i="3"/>
  <c r="TQ2" i="3"/>
  <c r="RL1" i="3"/>
  <c r="RL23" i="3" s="1"/>
  <c r="ADM1" i="3"/>
  <c r="ADM23" i="3" s="1"/>
  <c r="AHV1" i="3"/>
  <c r="AHV23" i="3" s="1"/>
  <c r="AKH1" i="3"/>
  <c r="AKH23" i="3" s="1"/>
  <c r="AH2" i="3"/>
  <c r="CT2" i="3"/>
  <c r="FF2" i="3"/>
  <c r="HR2" i="3"/>
  <c r="KD2" i="3"/>
  <c r="LZ2" i="3"/>
  <c r="NF2" i="3"/>
  <c r="OL2" i="3"/>
  <c r="PR2" i="3"/>
  <c r="QL2" i="3"/>
  <c r="RB2" i="3"/>
  <c r="RR2" i="3"/>
  <c r="SH2" i="3"/>
  <c r="SX2" i="3"/>
  <c r="TN2" i="3"/>
  <c r="TY2" i="3"/>
  <c r="UG2" i="3"/>
  <c r="UO2" i="3"/>
  <c r="UW2" i="3"/>
  <c r="VE2" i="3"/>
  <c r="VM2" i="3"/>
  <c r="VU2" i="3"/>
  <c r="WC2" i="3"/>
  <c r="WK2" i="3"/>
  <c r="WS2" i="3"/>
  <c r="XA2" i="3"/>
  <c r="XI2" i="3"/>
  <c r="XQ2" i="3"/>
  <c r="XY2" i="3"/>
  <c r="YG2" i="3"/>
  <c r="YO2" i="3"/>
  <c r="YW2" i="3"/>
  <c r="ZE2" i="3"/>
  <c r="ZM2" i="3"/>
  <c r="ZU2" i="3"/>
  <c r="AAC2" i="3"/>
  <c r="AAK2" i="3"/>
  <c r="AAS2" i="3"/>
  <c r="ABA2" i="3"/>
  <c r="ABI2" i="3"/>
  <c r="ABQ2" i="3"/>
  <c r="ABY2" i="3"/>
  <c r="ACG2" i="3"/>
  <c r="ACO2" i="3"/>
  <c r="ACW2" i="3"/>
  <c r="ADE2" i="3"/>
  <c r="ADM2" i="3"/>
  <c r="ADU2" i="3"/>
  <c r="AEC2" i="3"/>
  <c r="AEK2" i="3"/>
  <c r="AES2" i="3"/>
  <c r="AFA2" i="3"/>
  <c r="AFI2" i="3"/>
  <c r="AFQ2" i="3"/>
  <c r="AFY2" i="3"/>
  <c r="AGG2" i="3"/>
  <c r="AGL2" i="3"/>
  <c r="AGQ2" i="3"/>
  <c r="AGW2" i="3"/>
  <c r="AHB2" i="3"/>
  <c r="AHG2" i="3"/>
  <c r="AHM2" i="3"/>
  <c r="AHR2" i="3"/>
  <c r="AHW2" i="3"/>
  <c r="AIC2" i="3"/>
  <c r="AIH2" i="3"/>
  <c r="AIM2" i="3"/>
  <c r="AIQ2" i="3"/>
  <c r="AIU2" i="3"/>
  <c r="AIY2" i="3"/>
  <c r="AJC2" i="3"/>
  <c r="AJG2" i="3"/>
  <c r="AJK2" i="3"/>
  <c r="AJO2" i="3"/>
  <c r="AJS2" i="3"/>
  <c r="AJW2" i="3"/>
  <c r="AKA2" i="3"/>
  <c r="AKE2" i="3"/>
  <c r="AKI2" i="3"/>
  <c r="AKM2" i="3"/>
  <c r="AKQ2" i="3"/>
  <c r="AKU2" i="3"/>
  <c r="AKY2" i="3"/>
  <c r="ALC2" i="3"/>
  <c r="ALG2" i="3"/>
  <c r="ALK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CE3" i="3"/>
  <c r="CI3" i="3"/>
  <c r="CM3" i="3"/>
  <c r="CQ3" i="3"/>
  <c r="CU3" i="3"/>
  <c r="CY3" i="3"/>
  <c r="DC3" i="3"/>
  <c r="DG3" i="3"/>
  <c r="DK3" i="3"/>
  <c r="DO3" i="3"/>
  <c r="DS3" i="3"/>
  <c r="DW3" i="3"/>
  <c r="EA3" i="3"/>
  <c r="EE3" i="3"/>
  <c r="EI3" i="3"/>
  <c r="EM3" i="3"/>
  <c r="EQ3" i="3"/>
  <c r="EU3" i="3"/>
  <c r="EY3" i="3"/>
  <c r="FC3" i="3"/>
  <c r="FG3" i="3"/>
  <c r="FK3" i="3"/>
  <c r="FO3" i="3"/>
  <c r="FS3" i="3"/>
  <c r="FW3" i="3"/>
  <c r="GA3" i="3"/>
  <c r="GE3" i="3"/>
  <c r="GI3" i="3"/>
  <c r="GM3" i="3"/>
  <c r="GQ3" i="3"/>
  <c r="GU3" i="3"/>
  <c r="GY3" i="3"/>
  <c r="HC3" i="3"/>
  <c r="HG3" i="3"/>
  <c r="HK3" i="3"/>
  <c r="HO3" i="3"/>
  <c r="HS3" i="3"/>
  <c r="HW3" i="3"/>
  <c r="IA3" i="3"/>
  <c r="IE3" i="3"/>
  <c r="II3" i="3"/>
  <c r="IM3" i="3"/>
  <c r="IQ3" i="3"/>
  <c r="IU3" i="3"/>
  <c r="IY3" i="3"/>
  <c r="JC3" i="3"/>
  <c r="JG3" i="3"/>
  <c r="JK3" i="3"/>
  <c r="JO3" i="3"/>
  <c r="JS3" i="3"/>
  <c r="JW3" i="3"/>
  <c r="KA3" i="3"/>
  <c r="KE3" i="3"/>
  <c r="KI3" i="3"/>
  <c r="KM3" i="3"/>
  <c r="KQ3" i="3"/>
  <c r="KU3" i="3"/>
  <c r="KY3" i="3"/>
  <c r="LC3" i="3"/>
  <c r="LG3" i="3"/>
  <c r="LK3" i="3"/>
  <c r="LO3" i="3"/>
  <c r="LS3" i="3"/>
  <c r="LW3" i="3"/>
  <c r="MA3" i="3"/>
  <c r="ME3" i="3"/>
  <c r="MI3" i="3"/>
  <c r="MM3" i="3"/>
  <c r="MQ3" i="3"/>
  <c r="MU3" i="3"/>
  <c r="MY3" i="3"/>
  <c r="NC3" i="3"/>
  <c r="NG3" i="3"/>
  <c r="NK3" i="3"/>
  <c r="NO3" i="3"/>
  <c r="NS3" i="3"/>
  <c r="NW3" i="3"/>
  <c r="OA3" i="3"/>
  <c r="OE3" i="3"/>
  <c r="OI3" i="3"/>
  <c r="OM3" i="3"/>
  <c r="OQ3" i="3"/>
  <c r="OU3" i="3"/>
  <c r="OY3" i="3"/>
  <c r="PC3" i="3"/>
  <c r="PG3" i="3"/>
  <c r="PK3" i="3"/>
  <c r="PO3" i="3"/>
  <c r="PS3" i="3"/>
  <c r="PW3" i="3"/>
  <c r="QA3" i="3"/>
  <c r="QE3" i="3"/>
  <c r="QI3" i="3"/>
  <c r="QM3" i="3"/>
  <c r="QQ3" i="3"/>
  <c r="QU3" i="3"/>
  <c r="QY3" i="3"/>
  <c r="RC3" i="3"/>
  <c r="RG3" i="3"/>
  <c r="RK3" i="3"/>
  <c r="RO3" i="3"/>
  <c r="RS3" i="3"/>
  <c r="RW3" i="3"/>
  <c r="SA3" i="3"/>
  <c r="SE3" i="3"/>
  <c r="SI3" i="3"/>
  <c r="SM3" i="3"/>
  <c r="SQ3" i="3"/>
  <c r="SU3" i="3"/>
  <c r="SY3" i="3"/>
  <c r="TC3" i="3"/>
  <c r="TG3" i="3"/>
  <c r="TK3" i="3"/>
  <c r="TO3" i="3"/>
  <c r="TS3" i="3"/>
  <c r="TW3" i="3"/>
  <c r="UA3" i="3"/>
  <c r="UE3" i="3"/>
  <c r="UI3" i="3"/>
  <c r="UM3" i="3"/>
  <c r="UQ3" i="3"/>
  <c r="UU3" i="3"/>
  <c r="UY3" i="3"/>
  <c r="VC3" i="3"/>
  <c r="VG3" i="3"/>
  <c r="VK3" i="3"/>
  <c r="VO3" i="3"/>
  <c r="VS3" i="3"/>
  <c r="VW3" i="3"/>
  <c r="WA3" i="3"/>
  <c r="WE3" i="3"/>
  <c r="WI3" i="3"/>
  <c r="WM3" i="3"/>
  <c r="WQ3" i="3"/>
  <c r="WU3" i="3"/>
  <c r="WY3" i="3"/>
  <c r="XC3" i="3"/>
  <c r="XG3" i="3"/>
  <c r="XK3" i="3"/>
  <c r="XO3" i="3"/>
  <c r="XS3" i="3"/>
  <c r="XW3" i="3"/>
  <c r="YA3" i="3"/>
  <c r="YE3" i="3"/>
  <c r="YI3" i="3"/>
  <c r="YM3" i="3"/>
  <c r="YQ3" i="3"/>
  <c r="YU3" i="3"/>
  <c r="YY3" i="3"/>
  <c r="ZC3" i="3"/>
  <c r="ZG3" i="3"/>
  <c r="ZK3" i="3"/>
  <c r="ZO3" i="3"/>
  <c r="ZS3" i="3"/>
  <c r="ZW3" i="3"/>
  <c r="AAA3" i="3"/>
  <c r="AAE3" i="3"/>
  <c r="AAI3" i="3"/>
  <c r="AAM3" i="3"/>
  <c r="AAQ3" i="3"/>
  <c r="AAU3" i="3"/>
  <c r="AAY3" i="3"/>
  <c r="ABC3" i="3"/>
  <c r="ABG3" i="3"/>
  <c r="ABK3" i="3"/>
  <c r="ABO3" i="3"/>
  <c r="ABS3" i="3"/>
  <c r="ABW3" i="3"/>
  <c r="ACA3" i="3"/>
  <c r="ACE3" i="3"/>
  <c r="ACI3" i="3"/>
  <c r="ACM3" i="3"/>
  <c r="ACQ3" i="3"/>
  <c r="ACU3" i="3"/>
  <c r="ACY3" i="3"/>
  <c r="ADC3" i="3"/>
  <c r="ADG3" i="3"/>
  <c r="ADK3" i="3"/>
  <c r="ADO3" i="3"/>
  <c r="ADS3" i="3"/>
  <c r="ADW3" i="3"/>
  <c r="AEA3" i="3"/>
  <c r="AEE3" i="3"/>
  <c r="AEI3" i="3"/>
  <c r="AEM3" i="3"/>
  <c r="AEQ3" i="3"/>
  <c r="AEU3" i="3"/>
  <c r="AEY3" i="3"/>
  <c r="AFC3" i="3"/>
  <c r="AFG3" i="3"/>
  <c r="AFK3" i="3"/>
  <c r="AFO3" i="3"/>
  <c r="AFS3" i="3"/>
  <c r="AFW3" i="3"/>
  <c r="AGA3" i="3"/>
  <c r="AGE3" i="3"/>
  <c r="AGI3" i="3"/>
  <c r="AGM3" i="3"/>
  <c r="AGQ3" i="3"/>
  <c r="AGU3" i="3"/>
  <c r="AGY3" i="3"/>
  <c r="AHC3" i="3"/>
  <c r="AHG3" i="3"/>
  <c r="AHK3" i="3"/>
  <c r="AHO3" i="3"/>
  <c r="AHS3" i="3"/>
  <c r="AHW3" i="3"/>
  <c r="AIA3" i="3"/>
  <c r="AIE3" i="3"/>
  <c r="AII3" i="3"/>
  <c r="AIM3" i="3"/>
  <c r="AIQ3" i="3"/>
  <c r="AIU3" i="3"/>
  <c r="AIY3" i="3"/>
  <c r="AJC3" i="3"/>
  <c r="AJG3" i="3"/>
  <c r="AJK3" i="3"/>
  <c r="AJO3" i="3"/>
  <c r="AJS3" i="3"/>
  <c r="AJW3" i="3"/>
  <c r="AKA3" i="3"/>
  <c r="AKE3" i="3"/>
  <c r="AKI3" i="3"/>
  <c r="AKM3" i="3"/>
  <c r="AKQ3" i="3"/>
  <c r="AKU3" i="3"/>
  <c r="AKY3" i="3"/>
  <c r="ALC3" i="3"/>
  <c r="ALG3" i="3"/>
  <c r="ALK3" i="3"/>
  <c r="C4" i="3"/>
  <c r="WC1" i="3"/>
  <c r="WC23" i="3" s="1"/>
  <c r="AFD1" i="3"/>
  <c r="AFD23" i="3" s="1"/>
  <c r="AIL1" i="3"/>
  <c r="AIL23" i="3" s="1"/>
  <c r="AKX1" i="3"/>
  <c r="AKX23" i="3" s="1"/>
  <c r="AX2" i="3"/>
  <c r="DJ2" i="3"/>
  <c r="FV2" i="3"/>
  <c r="IH2" i="3"/>
  <c r="KT2" i="3"/>
  <c r="MH2" i="3"/>
  <c r="NN2" i="3"/>
  <c r="OT2" i="3"/>
  <c r="PZ2" i="3"/>
  <c r="QP2" i="3"/>
  <c r="RF2" i="3"/>
  <c r="RV2" i="3"/>
  <c r="SL2" i="3"/>
  <c r="TB2" i="3"/>
  <c r="TR2" i="3"/>
  <c r="TZ2" i="3"/>
  <c r="UH2" i="3"/>
  <c r="UP2" i="3"/>
  <c r="UX2" i="3"/>
  <c r="VF2" i="3"/>
  <c r="VN2" i="3"/>
  <c r="VV2" i="3"/>
  <c r="WD2" i="3"/>
  <c r="WL2" i="3"/>
  <c r="WT2" i="3"/>
  <c r="XB2" i="3"/>
  <c r="XJ2" i="3"/>
  <c r="XR2" i="3"/>
  <c r="XZ2" i="3"/>
  <c r="YH2" i="3"/>
  <c r="YP2" i="3"/>
  <c r="YX2" i="3"/>
  <c r="ZF2" i="3"/>
  <c r="ZN2" i="3"/>
  <c r="ZV2" i="3"/>
  <c r="AAD2" i="3"/>
  <c r="AAL2" i="3"/>
  <c r="AAT2" i="3"/>
  <c r="ABB2" i="3"/>
  <c r="ABJ2" i="3"/>
  <c r="ABR2" i="3"/>
  <c r="ABZ2" i="3"/>
  <c r="ACH2" i="3"/>
  <c r="ACP2" i="3"/>
  <c r="ACX2" i="3"/>
  <c r="ADF2" i="3"/>
  <c r="ADN2" i="3"/>
  <c r="ADV2" i="3"/>
  <c r="AED2" i="3"/>
  <c r="AEL2" i="3"/>
  <c r="AET2" i="3"/>
  <c r="AFB2" i="3"/>
  <c r="AFJ2" i="3"/>
  <c r="AFR2" i="3"/>
  <c r="AFZ2" i="3"/>
  <c r="AGH2" i="3"/>
  <c r="AGM2" i="3"/>
  <c r="AGS2" i="3"/>
  <c r="AGX2" i="3"/>
  <c r="AHC2" i="3"/>
  <c r="AHI2" i="3"/>
  <c r="AHN2" i="3"/>
  <c r="AHS2" i="3"/>
  <c r="AHY2" i="3"/>
  <c r="AID2" i="3"/>
  <c r="AII2" i="3"/>
  <c r="AIN2" i="3"/>
  <c r="AIR2" i="3"/>
  <c r="AIV2" i="3"/>
  <c r="AIZ2" i="3"/>
  <c r="AJD2" i="3"/>
  <c r="AJH2" i="3"/>
  <c r="AJL2" i="3"/>
  <c r="AJP2" i="3"/>
  <c r="AJT2" i="3"/>
  <c r="AJX2" i="3"/>
  <c r="AKB2" i="3"/>
  <c r="AKF2" i="3"/>
  <c r="AKJ2" i="3"/>
  <c r="AKN2" i="3"/>
  <c r="AKR2" i="3"/>
  <c r="AKV2" i="3"/>
  <c r="AKZ2" i="3"/>
  <c r="ALD2" i="3"/>
  <c r="ALH2" i="3"/>
  <c r="ALL2" i="3"/>
  <c r="D3" i="3"/>
  <c r="H3" i="3"/>
  <c r="L3" i="3"/>
  <c r="P3" i="3"/>
  <c r="T3" i="3"/>
  <c r="X3" i="3"/>
  <c r="AB3" i="3"/>
  <c r="AF3" i="3"/>
  <c r="AJ3" i="3"/>
  <c r="AN3" i="3"/>
  <c r="AR3" i="3"/>
  <c r="AV3" i="3"/>
  <c r="AZ3" i="3"/>
  <c r="BD3" i="3"/>
  <c r="BH3" i="3"/>
  <c r="BL3" i="3"/>
  <c r="BP3" i="3"/>
  <c r="BT3" i="3"/>
  <c r="BX3" i="3"/>
  <c r="CB3" i="3"/>
  <c r="CF3" i="3"/>
  <c r="CJ3" i="3"/>
  <c r="CN3" i="3"/>
  <c r="CR3" i="3"/>
  <c r="CV3" i="3"/>
  <c r="CZ3" i="3"/>
  <c r="DD3" i="3"/>
  <c r="DH3" i="3"/>
  <c r="DL3" i="3"/>
  <c r="DP3" i="3"/>
  <c r="DT3" i="3"/>
  <c r="DX3" i="3"/>
  <c r="EB3" i="3"/>
  <c r="EF3" i="3"/>
  <c r="EJ3" i="3"/>
  <c r="EN3" i="3"/>
  <c r="ER3" i="3"/>
  <c r="EV3" i="3"/>
  <c r="EZ3" i="3"/>
  <c r="FD3" i="3"/>
  <c r="FH3" i="3"/>
  <c r="FL3" i="3"/>
  <c r="FP3" i="3"/>
  <c r="FT3" i="3"/>
  <c r="FX3" i="3"/>
  <c r="GB3" i="3"/>
  <c r="GF3" i="3"/>
  <c r="GJ3" i="3"/>
  <c r="GN3" i="3"/>
  <c r="GR3" i="3"/>
  <c r="GV3" i="3"/>
  <c r="GZ3" i="3"/>
  <c r="HD3" i="3"/>
  <c r="HH3" i="3"/>
  <c r="HL3" i="3"/>
  <c r="HP3" i="3"/>
  <c r="HT3" i="3"/>
  <c r="HX3" i="3"/>
  <c r="IB3" i="3"/>
  <c r="IF3" i="3"/>
  <c r="IJ3" i="3"/>
  <c r="IN3" i="3"/>
  <c r="IR3" i="3"/>
  <c r="IV3" i="3"/>
  <c r="IZ3" i="3"/>
  <c r="JD3" i="3"/>
  <c r="JH3" i="3"/>
  <c r="JL3" i="3"/>
  <c r="JP3" i="3"/>
  <c r="JT3" i="3"/>
  <c r="JX3" i="3"/>
  <c r="KB3" i="3"/>
  <c r="KF3" i="3"/>
  <c r="KJ3" i="3"/>
  <c r="KN3" i="3"/>
  <c r="KR3" i="3"/>
  <c r="KV3" i="3"/>
  <c r="KZ3" i="3"/>
  <c r="LD3" i="3"/>
  <c r="LH3" i="3"/>
  <c r="LL3" i="3"/>
  <c r="LP3" i="3"/>
  <c r="LT3" i="3"/>
  <c r="LX3" i="3"/>
  <c r="MB3" i="3"/>
  <c r="MF3" i="3"/>
  <c r="MJ3" i="3"/>
  <c r="MN3" i="3"/>
  <c r="MR3" i="3"/>
  <c r="MV3" i="3"/>
  <c r="MZ3" i="3"/>
  <c r="ND3" i="3"/>
  <c r="NH3" i="3"/>
  <c r="NL3" i="3"/>
  <c r="NP3" i="3"/>
  <c r="NT3" i="3"/>
  <c r="NX3" i="3"/>
  <c r="OB3" i="3"/>
  <c r="OF3" i="3"/>
  <c r="OJ3" i="3"/>
  <c r="ON3" i="3"/>
  <c r="OR3" i="3"/>
  <c r="OV3" i="3"/>
  <c r="OZ3" i="3"/>
  <c r="PD3" i="3"/>
  <c r="PH3" i="3"/>
  <c r="PL3" i="3"/>
  <c r="PP3" i="3"/>
  <c r="PT3" i="3"/>
  <c r="PX3" i="3"/>
  <c r="QB3" i="3"/>
  <c r="QF3" i="3"/>
  <c r="QJ3" i="3"/>
  <c r="QN3" i="3"/>
  <c r="QR3" i="3"/>
  <c r="QV3" i="3"/>
  <c r="QZ3" i="3"/>
  <c r="RD3" i="3"/>
  <c r="RH3" i="3"/>
  <c r="RL3" i="3"/>
  <c r="RP3" i="3"/>
  <c r="RT3" i="3"/>
  <c r="RX3" i="3"/>
  <c r="SB3" i="3"/>
  <c r="SF3" i="3"/>
  <c r="SJ3" i="3"/>
  <c r="SN3" i="3"/>
  <c r="SR3" i="3"/>
  <c r="SV3" i="3"/>
  <c r="SZ3" i="3"/>
  <c r="TD3" i="3"/>
  <c r="TH3" i="3"/>
  <c r="TL3" i="3"/>
  <c r="TP3" i="3"/>
  <c r="TT3" i="3"/>
  <c r="TX3" i="3"/>
  <c r="UB3" i="3"/>
  <c r="UF3" i="3"/>
  <c r="UJ3" i="3"/>
  <c r="UN3" i="3"/>
  <c r="UR3" i="3"/>
  <c r="UV3" i="3"/>
  <c r="UZ3" i="3"/>
  <c r="VD3" i="3"/>
  <c r="VH3" i="3"/>
  <c r="VL3" i="3"/>
  <c r="VP3" i="3"/>
  <c r="VT3" i="3"/>
  <c r="VX3" i="3"/>
  <c r="WB3" i="3"/>
  <c r="WF3" i="3"/>
  <c r="WJ3" i="3"/>
  <c r="WN3" i="3"/>
  <c r="WR3" i="3"/>
  <c r="WV3" i="3"/>
  <c r="WZ3" i="3"/>
  <c r="XD3" i="3"/>
  <c r="XH3" i="3"/>
  <c r="XL3" i="3"/>
  <c r="XP3" i="3"/>
  <c r="XT3" i="3"/>
  <c r="XX3" i="3"/>
  <c r="YB3" i="3"/>
  <c r="YF3" i="3"/>
  <c r="YJ3" i="3"/>
  <c r="YN3" i="3"/>
  <c r="YR3" i="3"/>
  <c r="YV3" i="3"/>
  <c r="YZ3" i="3"/>
  <c r="ZD3" i="3"/>
  <c r="ZH3" i="3"/>
  <c r="ZL3" i="3"/>
  <c r="ZP3" i="3"/>
  <c r="ZT3" i="3"/>
  <c r="ZX3" i="3"/>
  <c r="AAB3" i="3"/>
  <c r="AAF3" i="3"/>
  <c r="AAJ3" i="3"/>
  <c r="AAN3" i="3"/>
  <c r="AAR3" i="3"/>
  <c r="AAV3" i="3"/>
  <c r="AAZ3" i="3"/>
  <c r="ABD3" i="3"/>
  <c r="ABH3" i="3"/>
  <c r="ABL3" i="3"/>
  <c r="ABP3" i="3"/>
  <c r="ABT3" i="3"/>
  <c r="ABX3" i="3"/>
  <c r="ACB3" i="3"/>
  <c r="ACF3" i="3"/>
  <c r="ACJ3" i="3"/>
  <c r="ACN3" i="3"/>
  <c r="ACR3" i="3"/>
  <c r="ACV3" i="3"/>
  <c r="ACZ3" i="3"/>
  <c r="ADD3" i="3"/>
  <c r="ADH3" i="3"/>
  <c r="ADL3" i="3"/>
  <c r="ADP3" i="3"/>
  <c r="ADT3" i="3"/>
  <c r="ADX3" i="3"/>
  <c r="AEB3" i="3"/>
  <c r="AEF3" i="3"/>
  <c r="AEJ3" i="3"/>
  <c r="AEN3" i="3"/>
  <c r="AER3" i="3"/>
  <c r="AEV3" i="3"/>
  <c r="AEZ3" i="3"/>
  <c r="AFD3" i="3"/>
  <c r="AFH3" i="3"/>
  <c r="AFL3" i="3"/>
  <c r="AFP3" i="3"/>
  <c r="AFT3" i="3"/>
  <c r="AFX3" i="3"/>
  <c r="AGB3" i="3"/>
  <c r="AGF3" i="3"/>
  <c r="AGJ3" i="3"/>
  <c r="AGN3" i="3"/>
  <c r="AGR3" i="3"/>
  <c r="AGV3" i="3"/>
  <c r="AGZ3" i="3"/>
  <c r="AHD3" i="3"/>
  <c r="AHH3" i="3"/>
  <c r="AHL3" i="3"/>
  <c r="AHP3" i="3"/>
  <c r="AHT3" i="3"/>
  <c r="AHX3" i="3"/>
  <c r="AIB3" i="3"/>
  <c r="AIF3" i="3"/>
  <c r="AIJ3" i="3"/>
  <c r="AIN3" i="3"/>
  <c r="AIR3" i="3"/>
  <c r="AIV3" i="3"/>
  <c r="AIZ3" i="3"/>
  <c r="AJD3" i="3"/>
  <c r="AJH3" i="3"/>
  <c r="AJL3" i="3"/>
  <c r="AJP3" i="3"/>
  <c r="AJT3" i="3"/>
  <c r="AJX3" i="3"/>
  <c r="AKB3" i="3"/>
  <c r="AKF3" i="3"/>
  <c r="AKJ3" i="3"/>
  <c r="AKN3" i="3"/>
  <c r="YO1" i="3"/>
  <c r="YO23" i="3" s="1"/>
  <c r="AJB1" i="3"/>
  <c r="AJB23" i="3" s="1"/>
  <c r="BN2" i="3"/>
  <c r="GL2" i="3"/>
  <c r="LJ2" i="3"/>
  <c r="NV2" i="3"/>
  <c r="QD2" i="3"/>
  <c r="RJ2" i="3"/>
  <c r="SP2" i="3"/>
  <c r="TU2" i="3"/>
  <c r="UK2" i="3"/>
  <c r="VA2" i="3"/>
  <c r="VQ2" i="3"/>
  <c r="WG2" i="3"/>
  <c r="WW2" i="3"/>
  <c r="XM2" i="3"/>
  <c r="YC2" i="3"/>
  <c r="YS2" i="3"/>
  <c r="ZI2" i="3"/>
  <c r="ZY2" i="3"/>
  <c r="AAO2" i="3"/>
  <c r="ABE2" i="3"/>
  <c r="ABU2" i="3"/>
  <c r="ACK2" i="3"/>
  <c r="ADA2" i="3"/>
  <c r="ADQ2" i="3"/>
  <c r="AEG2" i="3"/>
  <c r="AEW2" i="3"/>
  <c r="AFM2" i="3"/>
  <c r="AGC2" i="3"/>
  <c r="AGO2" i="3"/>
  <c r="AGY2" i="3"/>
  <c r="AHJ2" i="3"/>
  <c r="AHU2" i="3"/>
  <c r="AIE2" i="3"/>
  <c r="AIO2" i="3"/>
  <c r="AIW2" i="3"/>
  <c r="AJE2" i="3"/>
  <c r="AJM2" i="3"/>
  <c r="AJU2" i="3"/>
  <c r="AKC2" i="3"/>
  <c r="AKK2" i="3"/>
  <c r="AKS2" i="3"/>
  <c r="ALA2" i="3"/>
  <c r="ALI2" i="3"/>
  <c r="E3" i="3"/>
  <c r="M3" i="3"/>
  <c r="U3" i="3"/>
  <c r="AC3" i="3"/>
  <c r="AK3" i="3"/>
  <c r="AS3" i="3"/>
  <c r="BA3" i="3"/>
  <c r="BI3" i="3"/>
  <c r="BQ3" i="3"/>
  <c r="BY3" i="3"/>
  <c r="CG3" i="3"/>
  <c r="CO3" i="3"/>
  <c r="CW3" i="3"/>
  <c r="DE3" i="3"/>
  <c r="DM3" i="3"/>
  <c r="DU3" i="3"/>
  <c r="EC3" i="3"/>
  <c r="EK3" i="3"/>
  <c r="ES3" i="3"/>
  <c r="FA3" i="3"/>
  <c r="FI3" i="3"/>
  <c r="FQ3" i="3"/>
  <c r="FY3" i="3"/>
  <c r="GG3" i="3"/>
  <c r="GO3" i="3"/>
  <c r="GW3" i="3"/>
  <c r="HE3" i="3"/>
  <c r="HM3" i="3"/>
  <c r="HU3" i="3"/>
  <c r="IC3" i="3"/>
  <c r="IK3" i="3"/>
  <c r="IS3" i="3"/>
  <c r="JA3" i="3"/>
  <c r="JI3" i="3"/>
  <c r="JQ3" i="3"/>
  <c r="JY3" i="3"/>
  <c r="KG3" i="3"/>
  <c r="KO3" i="3"/>
  <c r="KW3" i="3"/>
  <c r="LE3" i="3"/>
  <c r="LM3" i="3"/>
  <c r="LU3" i="3"/>
  <c r="MC3" i="3"/>
  <c r="MK3" i="3"/>
  <c r="MS3" i="3"/>
  <c r="NA3" i="3"/>
  <c r="NI3" i="3"/>
  <c r="NQ3" i="3"/>
  <c r="NY3" i="3"/>
  <c r="OG3" i="3"/>
  <c r="OO3" i="3"/>
  <c r="OW3" i="3"/>
  <c r="PE3" i="3"/>
  <c r="PM3" i="3"/>
  <c r="PU3" i="3"/>
  <c r="QC3" i="3"/>
  <c r="QK3" i="3"/>
  <c r="QS3" i="3"/>
  <c r="RA3" i="3"/>
  <c r="RI3" i="3"/>
  <c r="RQ3" i="3"/>
  <c r="RY3" i="3"/>
  <c r="SG3" i="3"/>
  <c r="SO3" i="3"/>
  <c r="SW3" i="3"/>
  <c r="TE3" i="3"/>
  <c r="TM3" i="3"/>
  <c r="TU3" i="3"/>
  <c r="UC3" i="3"/>
  <c r="ABA1" i="3"/>
  <c r="ABA23" i="3" s="1"/>
  <c r="AJR1" i="3"/>
  <c r="AJR23" i="3" s="1"/>
  <c r="CD2" i="3"/>
  <c r="HB2" i="3"/>
  <c r="LR2" i="3"/>
  <c r="OD2" i="3"/>
  <c r="QH2" i="3"/>
  <c r="RN2" i="3"/>
  <c r="ST2" i="3"/>
  <c r="TV2" i="3"/>
  <c r="UL2" i="3"/>
  <c r="VB2" i="3"/>
  <c r="VR2" i="3"/>
  <c r="WH2" i="3"/>
  <c r="WX2" i="3"/>
  <c r="XN2" i="3"/>
  <c r="YD2" i="3"/>
  <c r="YT2" i="3"/>
  <c r="ZJ2" i="3"/>
  <c r="ZZ2" i="3"/>
  <c r="AAP2" i="3"/>
  <c r="ABF2" i="3"/>
  <c r="ABV2" i="3"/>
  <c r="ACL2" i="3"/>
  <c r="ADB2" i="3"/>
  <c r="ADR2" i="3"/>
  <c r="AEH2" i="3"/>
  <c r="AEX2" i="3"/>
  <c r="AFN2" i="3"/>
  <c r="AGD2" i="3"/>
  <c r="AGP2" i="3"/>
  <c r="AHA2" i="3"/>
  <c r="AHK2" i="3"/>
  <c r="AHV2" i="3"/>
  <c r="AIG2" i="3"/>
  <c r="AIP2" i="3"/>
  <c r="AIX2" i="3"/>
  <c r="AJF2" i="3"/>
  <c r="AJN2" i="3"/>
  <c r="AJV2" i="3"/>
  <c r="AKD2" i="3"/>
  <c r="AKL2" i="3"/>
  <c r="AKT2" i="3"/>
  <c r="ALB2" i="3"/>
  <c r="ALJ2" i="3"/>
  <c r="F3" i="3"/>
  <c r="N3" i="3"/>
  <c r="V3" i="3"/>
  <c r="AD3" i="3"/>
  <c r="AL3" i="3"/>
  <c r="AT3" i="3"/>
  <c r="BB3" i="3"/>
  <c r="BJ3" i="3"/>
  <c r="BR3" i="3"/>
  <c r="BZ3" i="3"/>
  <c r="CH3" i="3"/>
  <c r="CP3" i="3"/>
  <c r="CX3" i="3"/>
  <c r="DF3" i="3"/>
  <c r="DN3" i="3"/>
  <c r="DV3" i="3"/>
  <c r="ED3" i="3"/>
  <c r="EL3" i="3"/>
  <c r="ET3" i="3"/>
  <c r="FB3" i="3"/>
  <c r="FJ3" i="3"/>
  <c r="FR3" i="3"/>
  <c r="FZ3" i="3"/>
  <c r="GH3" i="3"/>
  <c r="GP3" i="3"/>
  <c r="GX3" i="3"/>
  <c r="HF3" i="3"/>
  <c r="HN3" i="3"/>
  <c r="HV3" i="3"/>
  <c r="ID3" i="3"/>
  <c r="IL3" i="3"/>
  <c r="IT3" i="3"/>
  <c r="JB3" i="3"/>
  <c r="JJ3" i="3"/>
  <c r="JR3" i="3"/>
  <c r="JZ3" i="3"/>
  <c r="KH3" i="3"/>
  <c r="KP3" i="3"/>
  <c r="KX3" i="3"/>
  <c r="LF3" i="3"/>
  <c r="LN3" i="3"/>
  <c r="LV3" i="3"/>
  <c r="MD3" i="3"/>
  <c r="ML3" i="3"/>
  <c r="MT3" i="3"/>
  <c r="NB3" i="3"/>
  <c r="NJ3" i="3"/>
  <c r="NR3" i="3"/>
  <c r="NZ3" i="3"/>
  <c r="OH3" i="3"/>
  <c r="OP3" i="3"/>
  <c r="OX3" i="3"/>
  <c r="PF3" i="3"/>
  <c r="PN3" i="3"/>
  <c r="PV3" i="3"/>
  <c r="QD3" i="3"/>
  <c r="QL3" i="3"/>
  <c r="QT3" i="3"/>
  <c r="RB3" i="3"/>
  <c r="RJ3" i="3"/>
  <c r="RR3" i="3"/>
  <c r="RZ3" i="3"/>
  <c r="SH3" i="3"/>
  <c r="SP3" i="3"/>
  <c r="SX3" i="3"/>
  <c r="TF3" i="3"/>
  <c r="TN3" i="3"/>
  <c r="AGG1" i="3"/>
  <c r="AGG23" i="3" s="1"/>
  <c r="B2" i="3"/>
  <c r="DZ2" i="3"/>
  <c r="IX2" i="3"/>
  <c r="MP2" i="3"/>
  <c r="PB2" i="3"/>
  <c r="QT2" i="3"/>
  <c r="RZ2" i="3"/>
  <c r="TF2" i="3"/>
  <c r="UC2" i="3"/>
  <c r="US2" i="3"/>
  <c r="VI2" i="3"/>
  <c r="VY2" i="3"/>
  <c r="WO2" i="3"/>
  <c r="XE2" i="3"/>
  <c r="XU2" i="3"/>
  <c r="YK2" i="3"/>
  <c r="ZA2" i="3"/>
  <c r="ZQ2" i="3"/>
  <c r="AAG2" i="3"/>
  <c r="AAW2" i="3"/>
  <c r="ABM2" i="3"/>
  <c r="ACC2" i="3"/>
  <c r="ACS2" i="3"/>
  <c r="ADI2" i="3"/>
  <c r="ADY2" i="3"/>
  <c r="AEO2" i="3"/>
  <c r="AFE2" i="3"/>
  <c r="AFU2" i="3"/>
  <c r="AGI2" i="3"/>
  <c r="AGT2" i="3"/>
  <c r="AHE2" i="3"/>
  <c r="AHO2" i="3"/>
  <c r="AHZ2" i="3"/>
  <c r="AIK2" i="3"/>
  <c r="AIS2" i="3"/>
  <c r="AJA2" i="3"/>
  <c r="AJI2" i="3"/>
  <c r="AJQ2" i="3"/>
  <c r="AJY2" i="3"/>
  <c r="AKG2" i="3"/>
  <c r="AKO2" i="3"/>
  <c r="AKW2" i="3"/>
  <c r="ALE2" i="3"/>
  <c r="ALM2" i="3"/>
  <c r="I3" i="3"/>
  <c r="Q3" i="3"/>
  <c r="Y3" i="3"/>
  <c r="AG3" i="3"/>
  <c r="AO3" i="3"/>
  <c r="AW3" i="3"/>
  <c r="BE3" i="3"/>
  <c r="BM3" i="3"/>
  <c r="BU3" i="3"/>
  <c r="CC3" i="3"/>
  <c r="CK3" i="3"/>
  <c r="CS3" i="3"/>
  <c r="DA3" i="3"/>
  <c r="DI3" i="3"/>
  <c r="DQ3" i="3"/>
  <c r="DY3" i="3"/>
  <c r="EG3" i="3"/>
  <c r="EO3" i="3"/>
  <c r="EW3" i="3"/>
  <c r="FE3" i="3"/>
  <c r="FM3" i="3"/>
  <c r="FU3" i="3"/>
  <c r="GC3" i="3"/>
  <c r="GK3" i="3"/>
  <c r="GS3" i="3"/>
  <c r="HA3" i="3"/>
  <c r="HI3" i="3"/>
  <c r="HQ3" i="3"/>
  <c r="HY3" i="3"/>
  <c r="IG3" i="3"/>
  <c r="IO3" i="3"/>
  <c r="IW3" i="3"/>
  <c r="JE3" i="3"/>
  <c r="JM3" i="3"/>
  <c r="JU3" i="3"/>
  <c r="KC3" i="3"/>
  <c r="KK3" i="3"/>
  <c r="KS3" i="3"/>
  <c r="LA3" i="3"/>
  <c r="LI3" i="3"/>
  <c r="LQ3" i="3"/>
  <c r="LY3" i="3"/>
  <c r="MG3" i="3"/>
  <c r="MO3" i="3"/>
  <c r="MW3" i="3"/>
  <c r="NE3" i="3"/>
  <c r="NM3" i="3"/>
  <c r="NU3" i="3"/>
  <c r="OC3" i="3"/>
  <c r="OK3" i="3"/>
  <c r="OS3" i="3"/>
  <c r="PA3" i="3"/>
  <c r="PI3" i="3"/>
  <c r="PQ3" i="3"/>
  <c r="AHC1" i="3"/>
  <c r="AHC60" i="3" s="1"/>
  <c r="R2" i="3"/>
  <c r="EP2" i="3"/>
  <c r="JN2" i="3"/>
  <c r="MX2" i="3"/>
  <c r="PJ2" i="3"/>
  <c r="QX2" i="3"/>
  <c r="SD2" i="3"/>
  <c r="TJ2" i="3"/>
  <c r="UD2" i="3"/>
  <c r="UT2" i="3"/>
  <c r="VJ2" i="3"/>
  <c r="VZ2" i="3"/>
  <c r="WP2" i="3"/>
  <c r="XF2" i="3"/>
  <c r="XV2" i="3"/>
  <c r="YL2" i="3"/>
  <c r="ZB2" i="3"/>
  <c r="ZR2" i="3"/>
  <c r="AAH2" i="3"/>
  <c r="AAX2" i="3"/>
  <c r="ABN2" i="3"/>
  <c r="ACD2" i="3"/>
  <c r="ACT2" i="3"/>
  <c r="ADJ2" i="3"/>
  <c r="ADZ2" i="3"/>
  <c r="AEP2" i="3"/>
  <c r="AFF2" i="3"/>
  <c r="AFV2" i="3"/>
  <c r="AGK2" i="3"/>
  <c r="AGU2" i="3"/>
  <c r="AHF2" i="3"/>
  <c r="AHQ2" i="3"/>
  <c r="AIA2" i="3"/>
  <c r="AIL2" i="3"/>
  <c r="AIT2" i="3"/>
  <c r="AJB2" i="3"/>
  <c r="AJJ2" i="3"/>
  <c r="AJR2" i="3"/>
  <c r="AJZ2" i="3"/>
  <c r="AKH2" i="3"/>
  <c r="AKP2" i="3"/>
  <c r="AKX2" i="3"/>
  <c r="ALF2" i="3"/>
  <c r="B3" i="3"/>
  <c r="J3" i="3"/>
  <c r="R3" i="3"/>
  <c r="Z3" i="3"/>
  <c r="AH3" i="3"/>
  <c r="AP3" i="3"/>
  <c r="AX3" i="3"/>
  <c r="BF3" i="3"/>
  <c r="BN3" i="3"/>
  <c r="BV3" i="3"/>
  <c r="CD3" i="3"/>
  <c r="CL3" i="3"/>
  <c r="CT3" i="3"/>
  <c r="DB3" i="3"/>
  <c r="DJ3" i="3"/>
  <c r="DR3" i="3"/>
  <c r="DZ3" i="3"/>
  <c r="EH3" i="3"/>
  <c r="EP3" i="3"/>
  <c r="EX3" i="3"/>
  <c r="FF3" i="3"/>
  <c r="FN3" i="3"/>
  <c r="FV3" i="3"/>
  <c r="GD3" i="3"/>
  <c r="GL3" i="3"/>
  <c r="GT3" i="3"/>
  <c r="HB3" i="3"/>
  <c r="HJ3" i="3"/>
  <c r="HR3" i="3"/>
  <c r="HZ3" i="3"/>
  <c r="IH3" i="3"/>
  <c r="IP3" i="3"/>
  <c r="IX3" i="3"/>
  <c r="JF3" i="3"/>
  <c r="JN3" i="3"/>
  <c r="JV3" i="3"/>
  <c r="KD3" i="3"/>
  <c r="KL3" i="3"/>
  <c r="KT3" i="3"/>
  <c r="LB3" i="3"/>
  <c r="LJ3" i="3"/>
  <c r="LR3" i="3"/>
  <c r="MX3" i="3"/>
  <c r="OD3" i="3"/>
  <c r="PJ3" i="3"/>
  <c r="QG3" i="3"/>
  <c r="QW3" i="3"/>
  <c r="RM3" i="3"/>
  <c r="SC3" i="3"/>
  <c r="SS3" i="3"/>
  <c r="TI3" i="3"/>
  <c r="TV3" i="3"/>
  <c r="UG3" i="3"/>
  <c r="UO3" i="3"/>
  <c r="UW3" i="3"/>
  <c r="VE3" i="3"/>
  <c r="VM3" i="3"/>
  <c r="VU3" i="3"/>
  <c r="WC3" i="3"/>
  <c r="WK3" i="3"/>
  <c r="WS3" i="3"/>
  <c r="XA3" i="3"/>
  <c r="XI3" i="3"/>
  <c r="XQ3" i="3"/>
  <c r="XY3" i="3"/>
  <c r="YG3" i="3"/>
  <c r="YO3" i="3"/>
  <c r="YW3" i="3"/>
  <c r="ZE3" i="3"/>
  <c r="ZM3" i="3"/>
  <c r="ZU3" i="3"/>
  <c r="AAC3" i="3"/>
  <c r="AAK3" i="3"/>
  <c r="AAS3" i="3"/>
  <c r="ABA3" i="3"/>
  <c r="ABI3" i="3"/>
  <c r="ABQ3" i="3"/>
  <c r="ABY3" i="3"/>
  <c r="ACG3" i="3"/>
  <c r="ACO3" i="3"/>
  <c r="ACW3" i="3"/>
  <c r="ADE3" i="3"/>
  <c r="ADM3" i="3"/>
  <c r="ADU3" i="3"/>
  <c r="AEC3" i="3"/>
  <c r="AEK3" i="3"/>
  <c r="AES3" i="3"/>
  <c r="AFA3" i="3"/>
  <c r="AFI3" i="3"/>
  <c r="AFQ3" i="3"/>
  <c r="AFY3" i="3"/>
  <c r="AGG3" i="3"/>
  <c r="AGO3" i="3"/>
  <c r="AGW3" i="3"/>
  <c r="AHE3" i="3"/>
  <c r="AHM3" i="3"/>
  <c r="AHU3" i="3"/>
  <c r="AIC3" i="3"/>
  <c r="AIK3" i="3"/>
  <c r="AIS3" i="3"/>
  <c r="AJA3" i="3"/>
  <c r="AJI3" i="3"/>
  <c r="AJQ3" i="3"/>
  <c r="AJY3" i="3"/>
  <c r="AKG3" i="3"/>
  <c r="AKO3" i="3"/>
  <c r="AKT3" i="3"/>
  <c r="AKZ3" i="3"/>
  <c r="ALE3" i="3"/>
  <c r="ALJ3" i="3"/>
  <c r="D4" i="3"/>
  <c r="H4" i="3"/>
  <c r="L4" i="3"/>
  <c r="P4" i="3"/>
  <c r="T4" i="3"/>
  <c r="X4" i="3"/>
  <c r="AB4" i="3"/>
  <c r="AF4" i="3"/>
  <c r="AJ4" i="3"/>
  <c r="AN4" i="3"/>
  <c r="AR4" i="3"/>
  <c r="AV4" i="3"/>
  <c r="AZ4" i="3"/>
  <c r="BD4" i="3"/>
  <c r="BH4" i="3"/>
  <c r="BL4" i="3"/>
  <c r="BP4" i="3"/>
  <c r="BT4" i="3"/>
  <c r="BX4" i="3"/>
  <c r="CB4" i="3"/>
  <c r="CF4" i="3"/>
  <c r="CJ4" i="3"/>
  <c r="CN4" i="3"/>
  <c r="CR4" i="3"/>
  <c r="CV4" i="3"/>
  <c r="CZ4" i="3"/>
  <c r="DD4" i="3"/>
  <c r="DH4" i="3"/>
  <c r="DL4" i="3"/>
  <c r="DP4" i="3"/>
  <c r="DT4" i="3"/>
  <c r="DX4" i="3"/>
  <c r="EB4" i="3"/>
  <c r="EF4" i="3"/>
  <c r="EJ4" i="3"/>
  <c r="EN4" i="3"/>
  <c r="ER4" i="3"/>
  <c r="EV4" i="3"/>
  <c r="EZ4" i="3"/>
  <c r="FD4" i="3"/>
  <c r="FH4" i="3"/>
  <c r="FL4" i="3"/>
  <c r="FP4" i="3"/>
  <c r="FT4" i="3"/>
  <c r="FX4" i="3"/>
  <c r="GB4" i="3"/>
  <c r="GF4" i="3"/>
  <c r="GJ4" i="3"/>
  <c r="GN4" i="3"/>
  <c r="GR4" i="3"/>
  <c r="GV4" i="3"/>
  <c r="GZ4" i="3"/>
  <c r="HD4" i="3"/>
  <c r="HH4" i="3"/>
  <c r="HL4" i="3"/>
  <c r="HP4" i="3"/>
  <c r="HT4" i="3"/>
  <c r="HX4" i="3"/>
  <c r="IB4" i="3"/>
  <c r="IF4" i="3"/>
  <c r="IJ4" i="3"/>
  <c r="IN4" i="3"/>
  <c r="IR4" i="3"/>
  <c r="IV4" i="3"/>
  <c r="IZ4" i="3"/>
  <c r="JD4" i="3"/>
  <c r="JH4" i="3"/>
  <c r="JL4" i="3"/>
  <c r="JP4" i="3"/>
  <c r="JT4" i="3"/>
  <c r="JX4" i="3"/>
  <c r="KB4" i="3"/>
  <c r="KF4" i="3"/>
  <c r="KJ4" i="3"/>
  <c r="KN4" i="3"/>
  <c r="KR4" i="3"/>
  <c r="KV4" i="3"/>
  <c r="KZ4" i="3"/>
  <c r="LD4" i="3"/>
  <c r="LH4" i="3"/>
  <c r="LL4" i="3"/>
  <c r="LP4" i="3"/>
  <c r="LT4" i="3"/>
  <c r="LX4" i="3"/>
  <c r="MB4" i="3"/>
  <c r="MF4" i="3"/>
  <c r="MJ4" i="3"/>
  <c r="MN4" i="3"/>
  <c r="MR4" i="3"/>
  <c r="MV4" i="3"/>
  <c r="MZ4" i="3"/>
  <c r="ND4" i="3"/>
  <c r="NH4" i="3"/>
  <c r="NL4" i="3"/>
  <c r="NP4" i="3"/>
  <c r="NT4" i="3"/>
  <c r="NX4" i="3"/>
  <c r="OB4" i="3"/>
  <c r="OF4" i="3"/>
  <c r="OJ4" i="3"/>
  <c r="ON4" i="3"/>
  <c r="OR4" i="3"/>
  <c r="OV4" i="3"/>
  <c r="OZ4" i="3"/>
  <c r="PD4" i="3"/>
  <c r="PH4" i="3"/>
  <c r="PL4" i="3"/>
  <c r="PP4" i="3"/>
  <c r="PT4" i="3"/>
  <c r="PX4" i="3"/>
  <c r="QB4" i="3"/>
  <c r="QF4" i="3"/>
  <c r="QJ4" i="3"/>
  <c r="QN4" i="3"/>
  <c r="QR4" i="3"/>
  <c r="QV4" i="3"/>
  <c r="QZ4" i="3"/>
  <c r="RD4" i="3"/>
  <c r="RH4" i="3"/>
  <c r="RL4" i="3"/>
  <c r="RP4" i="3"/>
  <c r="RT4" i="3"/>
  <c r="LZ3" i="3"/>
  <c r="NF3" i="3"/>
  <c r="OL3" i="3"/>
  <c r="PR3" i="3"/>
  <c r="QH3" i="3"/>
  <c r="QX3" i="3"/>
  <c r="RN3" i="3"/>
  <c r="SD3" i="3"/>
  <c r="ST3" i="3"/>
  <c r="TJ3" i="3"/>
  <c r="TY3" i="3"/>
  <c r="UH3" i="3"/>
  <c r="UP3" i="3"/>
  <c r="UX3" i="3"/>
  <c r="VF3" i="3"/>
  <c r="VN3" i="3"/>
  <c r="VV3" i="3"/>
  <c r="WD3" i="3"/>
  <c r="WL3" i="3"/>
  <c r="WT3" i="3"/>
  <c r="XB3" i="3"/>
  <c r="XJ3" i="3"/>
  <c r="XR3" i="3"/>
  <c r="XZ3" i="3"/>
  <c r="YH3" i="3"/>
  <c r="YP3" i="3"/>
  <c r="YX3" i="3"/>
  <c r="ZF3" i="3"/>
  <c r="ZN3" i="3"/>
  <c r="ZV3" i="3"/>
  <c r="AAD3" i="3"/>
  <c r="AAL3" i="3"/>
  <c r="AAT3" i="3"/>
  <c r="ABB3" i="3"/>
  <c r="ABJ3" i="3"/>
  <c r="ABR3" i="3"/>
  <c r="ABZ3" i="3"/>
  <c r="ACH3" i="3"/>
  <c r="ACP3" i="3"/>
  <c r="ACX3" i="3"/>
  <c r="ADF3" i="3"/>
  <c r="ADN3" i="3"/>
  <c r="ADV3" i="3"/>
  <c r="AED3" i="3"/>
  <c r="AEL3" i="3"/>
  <c r="AET3" i="3"/>
  <c r="AFB3" i="3"/>
  <c r="AFJ3" i="3"/>
  <c r="AFR3" i="3"/>
  <c r="AFZ3" i="3"/>
  <c r="AGH3" i="3"/>
  <c r="AGP3" i="3"/>
  <c r="AGX3" i="3"/>
  <c r="AHF3" i="3"/>
  <c r="AHN3" i="3"/>
  <c r="AHV3" i="3"/>
  <c r="AID3" i="3"/>
  <c r="AIL3" i="3"/>
  <c r="AIT3" i="3"/>
  <c r="AJB3" i="3"/>
  <c r="AJJ3" i="3"/>
  <c r="AJR3" i="3"/>
  <c r="AJZ3" i="3"/>
  <c r="AKH3" i="3"/>
  <c r="AKP3" i="3"/>
  <c r="AKV3" i="3"/>
  <c r="ALA3" i="3"/>
  <c r="ALF3" i="3"/>
  <c r="ALL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CG4" i="3"/>
  <c r="CK4" i="3"/>
  <c r="CO4" i="3"/>
  <c r="CS4" i="3"/>
  <c r="CW4" i="3"/>
  <c r="DA4" i="3"/>
  <c r="DE4" i="3"/>
  <c r="DI4" i="3"/>
  <c r="DM4" i="3"/>
  <c r="DQ4" i="3"/>
  <c r="DU4" i="3"/>
  <c r="DY4" i="3"/>
  <c r="EC4" i="3"/>
  <c r="EG4" i="3"/>
  <c r="EK4" i="3"/>
  <c r="EO4" i="3"/>
  <c r="ES4" i="3"/>
  <c r="EW4" i="3"/>
  <c r="FA4" i="3"/>
  <c r="FE4" i="3"/>
  <c r="FI4" i="3"/>
  <c r="FM4" i="3"/>
  <c r="FQ4" i="3"/>
  <c r="FU4" i="3"/>
  <c r="FY4" i="3"/>
  <c r="GC4" i="3"/>
  <c r="GG4" i="3"/>
  <c r="GK4" i="3"/>
  <c r="GO4" i="3"/>
  <c r="GS4" i="3"/>
  <c r="GW4" i="3"/>
  <c r="HA4" i="3"/>
  <c r="HE4" i="3"/>
  <c r="HI4" i="3"/>
  <c r="HM4" i="3"/>
  <c r="HQ4" i="3"/>
  <c r="HU4" i="3"/>
  <c r="HY4" i="3"/>
  <c r="IC4" i="3"/>
  <c r="IG4" i="3"/>
  <c r="IK4" i="3"/>
  <c r="IO4" i="3"/>
  <c r="IS4" i="3"/>
  <c r="IW4" i="3"/>
  <c r="JA4" i="3"/>
  <c r="JE4" i="3"/>
  <c r="JI4" i="3"/>
  <c r="JM4" i="3"/>
  <c r="JQ4" i="3"/>
  <c r="JU4" i="3"/>
  <c r="JY4" i="3"/>
  <c r="KC4" i="3"/>
  <c r="KG4" i="3"/>
  <c r="KK4" i="3"/>
  <c r="KO4" i="3"/>
  <c r="KS4" i="3"/>
  <c r="KW4" i="3"/>
  <c r="LA4" i="3"/>
  <c r="LE4" i="3"/>
  <c r="LI4" i="3"/>
  <c r="LM4" i="3"/>
  <c r="LQ4" i="3"/>
  <c r="LU4" i="3"/>
  <c r="LY4" i="3"/>
  <c r="MC4" i="3"/>
  <c r="MG4" i="3"/>
  <c r="MK4" i="3"/>
  <c r="MO4" i="3"/>
  <c r="MS4" i="3"/>
  <c r="MW4" i="3"/>
  <c r="NA4" i="3"/>
  <c r="NE4" i="3"/>
  <c r="NI4" i="3"/>
  <c r="NM4" i="3"/>
  <c r="NQ4" i="3"/>
  <c r="NU4" i="3"/>
  <c r="NY4" i="3"/>
  <c r="OC4" i="3"/>
  <c r="OG4" i="3"/>
  <c r="OK4" i="3"/>
  <c r="OO4" i="3"/>
  <c r="OS4" i="3"/>
  <c r="OW4" i="3"/>
  <c r="PA4" i="3"/>
  <c r="PE4" i="3"/>
  <c r="PI4" i="3"/>
  <c r="PM4" i="3"/>
  <c r="PQ4" i="3"/>
  <c r="PU4" i="3"/>
  <c r="PY4" i="3"/>
  <c r="QC4" i="3"/>
  <c r="QG4" i="3"/>
  <c r="QK4" i="3"/>
  <c r="QO4" i="3"/>
  <c r="QS4" i="3"/>
  <c r="QW4" i="3"/>
  <c r="RA4" i="3"/>
  <c r="RE4" i="3"/>
  <c r="MH3" i="3"/>
  <c r="NN3" i="3"/>
  <c r="OT3" i="3"/>
  <c r="PY3" i="3"/>
  <c r="QO3" i="3"/>
  <c r="RE3" i="3"/>
  <c r="RU3" i="3"/>
  <c r="SK3" i="3"/>
  <c r="TA3" i="3"/>
  <c r="TQ3" i="3"/>
  <c r="TZ3" i="3"/>
  <c r="UK3" i="3"/>
  <c r="US3" i="3"/>
  <c r="VA3" i="3"/>
  <c r="VI3" i="3"/>
  <c r="VQ3" i="3"/>
  <c r="VY3" i="3"/>
  <c r="WG3" i="3"/>
  <c r="WO3" i="3"/>
  <c r="WW3" i="3"/>
  <c r="XE3" i="3"/>
  <c r="XM3" i="3"/>
  <c r="XU3" i="3"/>
  <c r="YC3" i="3"/>
  <c r="YK3" i="3"/>
  <c r="YS3" i="3"/>
  <c r="ZA3" i="3"/>
  <c r="ZI3" i="3"/>
  <c r="ZQ3" i="3"/>
  <c r="ZY3" i="3"/>
  <c r="AAG3" i="3"/>
  <c r="AAO3" i="3"/>
  <c r="AAW3" i="3"/>
  <c r="ABE3" i="3"/>
  <c r="ABM3" i="3"/>
  <c r="ABU3" i="3"/>
  <c r="ACC3" i="3"/>
  <c r="ACK3" i="3"/>
  <c r="ACS3" i="3"/>
  <c r="ADA3" i="3"/>
  <c r="ADI3" i="3"/>
  <c r="ADQ3" i="3"/>
  <c r="ADY3" i="3"/>
  <c r="AEG3" i="3"/>
  <c r="AEO3" i="3"/>
  <c r="AEW3" i="3"/>
  <c r="AFE3" i="3"/>
  <c r="AFM3" i="3"/>
  <c r="AFU3" i="3"/>
  <c r="AGC3" i="3"/>
  <c r="AGK3" i="3"/>
  <c r="AGS3" i="3"/>
  <c r="AHA3" i="3"/>
  <c r="AHI3" i="3"/>
  <c r="AHQ3" i="3"/>
  <c r="AHY3" i="3"/>
  <c r="AIG3" i="3"/>
  <c r="AIO3" i="3"/>
  <c r="AIW3" i="3"/>
  <c r="AJE3" i="3"/>
  <c r="AJM3" i="3"/>
  <c r="AJU3" i="3"/>
  <c r="AKC3" i="3"/>
  <c r="AKK3" i="3"/>
  <c r="AKR3" i="3"/>
  <c r="AKW3" i="3"/>
  <c r="ALB3" i="3"/>
  <c r="ALH3" i="3"/>
  <c r="ALM3" i="3"/>
  <c r="F4" i="3"/>
  <c r="J4" i="3"/>
  <c r="N4" i="3"/>
  <c r="R4" i="3"/>
  <c r="V4" i="3"/>
  <c r="Z4" i="3"/>
  <c r="AD4" i="3"/>
  <c r="AH4" i="3"/>
  <c r="AL4" i="3"/>
  <c r="AP4" i="3"/>
  <c r="AT4" i="3"/>
  <c r="AX4" i="3"/>
  <c r="BB4" i="3"/>
  <c r="BF4" i="3"/>
  <c r="BJ4" i="3"/>
  <c r="BN4" i="3"/>
  <c r="BR4" i="3"/>
  <c r="BV4" i="3"/>
  <c r="BZ4" i="3"/>
  <c r="CD4" i="3"/>
  <c r="CH4" i="3"/>
  <c r="CL4" i="3"/>
  <c r="CP4" i="3"/>
  <c r="CT4" i="3"/>
  <c r="CX4" i="3"/>
  <c r="DB4" i="3"/>
  <c r="DF4" i="3"/>
  <c r="DJ4" i="3"/>
  <c r="DN4" i="3"/>
  <c r="DR4" i="3"/>
  <c r="DV4" i="3"/>
  <c r="DZ4" i="3"/>
  <c r="ED4" i="3"/>
  <c r="EH4" i="3"/>
  <c r="EL4" i="3"/>
  <c r="EP4" i="3"/>
  <c r="ET4" i="3"/>
  <c r="EX4" i="3"/>
  <c r="FB4" i="3"/>
  <c r="FF4" i="3"/>
  <c r="FJ4" i="3"/>
  <c r="FN4" i="3"/>
  <c r="FR4" i="3"/>
  <c r="FV4" i="3"/>
  <c r="FZ4" i="3"/>
  <c r="GD4" i="3"/>
  <c r="GH4" i="3"/>
  <c r="GL4" i="3"/>
  <c r="GP4" i="3"/>
  <c r="GT4" i="3"/>
  <c r="GX4" i="3"/>
  <c r="HB4" i="3"/>
  <c r="HF4" i="3"/>
  <c r="HJ4" i="3"/>
  <c r="HN4" i="3"/>
  <c r="HR4" i="3"/>
  <c r="HV4" i="3"/>
  <c r="HZ4" i="3"/>
  <c r="ID4" i="3"/>
  <c r="IH4" i="3"/>
  <c r="IL4" i="3"/>
  <c r="IP4" i="3"/>
  <c r="IT4" i="3"/>
  <c r="IX4" i="3"/>
  <c r="JB4" i="3"/>
  <c r="JF4" i="3"/>
  <c r="JJ4" i="3"/>
  <c r="JN4" i="3"/>
  <c r="JR4" i="3"/>
  <c r="JV4" i="3"/>
  <c r="JZ4" i="3"/>
  <c r="KD4" i="3"/>
  <c r="KH4" i="3"/>
  <c r="KL4" i="3"/>
  <c r="KP4" i="3"/>
  <c r="KT4" i="3"/>
  <c r="KX4" i="3"/>
  <c r="LB4" i="3"/>
  <c r="LF4" i="3"/>
  <c r="LJ4" i="3"/>
  <c r="LN4" i="3"/>
  <c r="LR4" i="3"/>
  <c r="LV4" i="3"/>
  <c r="LZ4" i="3"/>
  <c r="MD4" i="3"/>
  <c r="MH4" i="3"/>
  <c r="ML4" i="3"/>
  <c r="MP4" i="3"/>
  <c r="MT4" i="3"/>
  <c r="MX4" i="3"/>
  <c r="NB4" i="3"/>
  <c r="NF4" i="3"/>
  <c r="NJ4" i="3"/>
  <c r="NN4" i="3"/>
  <c r="NR4" i="3"/>
  <c r="NV4" i="3"/>
  <c r="NZ4" i="3"/>
  <c r="OD4" i="3"/>
  <c r="OH4" i="3"/>
  <c r="OL4" i="3"/>
  <c r="OP4" i="3"/>
  <c r="MP3" i="3"/>
  <c r="NV3" i="3"/>
  <c r="PB3" i="3"/>
  <c r="PZ3" i="3"/>
  <c r="QP3" i="3"/>
  <c r="RF3" i="3"/>
  <c r="RV3" i="3"/>
  <c r="SL3" i="3"/>
  <c r="TB3" i="3"/>
  <c r="TR3" i="3"/>
  <c r="UD3" i="3"/>
  <c r="UL3" i="3"/>
  <c r="UT3" i="3"/>
  <c r="VB3" i="3"/>
  <c r="VJ3" i="3"/>
  <c r="VR3" i="3"/>
  <c r="VZ3" i="3"/>
  <c r="WH3" i="3"/>
  <c r="WP3" i="3"/>
  <c r="WX3" i="3"/>
  <c r="XF3" i="3"/>
  <c r="XN3" i="3"/>
  <c r="XV3" i="3"/>
  <c r="YD3" i="3"/>
  <c r="YL3" i="3"/>
  <c r="YT3" i="3"/>
  <c r="ZB3" i="3"/>
  <c r="ZJ3" i="3"/>
  <c r="ZR3" i="3"/>
  <c r="ZZ3" i="3"/>
  <c r="AAH3" i="3"/>
  <c r="AAP3" i="3"/>
  <c r="AAX3" i="3"/>
  <c r="ABF3" i="3"/>
  <c r="ABN3" i="3"/>
  <c r="ABV3" i="3"/>
  <c r="ACD3" i="3"/>
  <c r="ACL3" i="3"/>
  <c r="ACT3" i="3"/>
  <c r="ADB3" i="3"/>
  <c r="ADJ3" i="3"/>
  <c r="ADR3" i="3"/>
  <c r="ADZ3" i="3"/>
  <c r="AEH3" i="3"/>
  <c r="AEP3" i="3"/>
  <c r="AEX3" i="3"/>
  <c r="AFF3" i="3"/>
  <c r="AFN3" i="3"/>
  <c r="AFV3" i="3"/>
  <c r="AGD3" i="3"/>
  <c r="AGL3" i="3"/>
  <c r="AGT3" i="3"/>
  <c r="AHB3" i="3"/>
  <c r="AHJ3" i="3"/>
  <c r="AHR3" i="3"/>
  <c r="AHZ3" i="3"/>
  <c r="AIH3" i="3"/>
  <c r="AIP3" i="3"/>
  <c r="AIX3" i="3"/>
  <c r="AJF3" i="3"/>
  <c r="AJN3" i="3"/>
  <c r="AJV3" i="3"/>
  <c r="AKD3" i="3"/>
  <c r="AKL3" i="3"/>
  <c r="AKS3" i="3"/>
  <c r="AKX3" i="3"/>
  <c r="ALD3" i="3"/>
  <c r="ALI3" i="3"/>
  <c r="B4" i="3"/>
  <c r="G4" i="3"/>
  <c r="K4" i="3"/>
  <c r="O4" i="3"/>
  <c r="S4" i="3"/>
  <c r="W4" i="3"/>
  <c r="AA4" i="3"/>
  <c r="AE4" i="3"/>
  <c r="AI4" i="3"/>
  <c r="AM4" i="3"/>
  <c r="AQ4" i="3"/>
  <c r="AU4" i="3"/>
  <c r="AY4" i="3"/>
  <c r="BC4" i="3"/>
  <c r="BG4" i="3"/>
  <c r="BK4" i="3"/>
  <c r="BO4" i="3"/>
  <c r="BS4" i="3"/>
  <c r="BW4" i="3"/>
  <c r="CA4" i="3"/>
  <c r="CE4" i="3"/>
  <c r="CI4" i="3"/>
  <c r="CM4" i="3"/>
  <c r="CQ4" i="3"/>
  <c r="CU4" i="3"/>
  <c r="CY4" i="3"/>
  <c r="DC4" i="3"/>
  <c r="DG4" i="3"/>
  <c r="DK4" i="3"/>
  <c r="DO4" i="3"/>
  <c r="DS4" i="3"/>
  <c r="DW4" i="3"/>
  <c r="EA4" i="3"/>
  <c r="EE4" i="3"/>
  <c r="EI4" i="3"/>
  <c r="EM4" i="3"/>
  <c r="EQ4" i="3"/>
  <c r="EU4" i="3"/>
  <c r="EY4" i="3"/>
  <c r="FC4" i="3"/>
  <c r="FG4" i="3"/>
  <c r="FK4" i="3"/>
  <c r="FO4" i="3"/>
  <c r="FS4" i="3"/>
  <c r="FW4" i="3"/>
  <c r="GA4" i="3"/>
  <c r="GE4" i="3"/>
  <c r="GI4" i="3"/>
  <c r="GM4" i="3"/>
  <c r="GQ4" i="3"/>
  <c r="GU4" i="3"/>
  <c r="GY4" i="3"/>
  <c r="HC4" i="3"/>
  <c r="HG4" i="3"/>
  <c r="HK4" i="3"/>
  <c r="HO4" i="3"/>
  <c r="HS4" i="3"/>
  <c r="HW4" i="3"/>
  <c r="IA4" i="3"/>
  <c r="IE4" i="3"/>
  <c r="II4" i="3"/>
  <c r="IM4" i="3"/>
  <c r="IQ4" i="3"/>
  <c r="IU4" i="3"/>
  <c r="IY4" i="3"/>
  <c r="JC4" i="3"/>
  <c r="JG4" i="3"/>
  <c r="JK4" i="3"/>
  <c r="JO4" i="3"/>
  <c r="JS4" i="3"/>
  <c r="JW4" i="3"/>
  <c r="KA4" i="3"/>
  <c r="KE4" i="3"/>
  <c r="KI4" i="3"/>
  <c r="KM4" i="3"/>
  <c r="KQ4" i="3"/>
  <c r="KU4" i="3"/>
  <c r="KY4" i="3"/>
  <c r="LC4" i="3"/>
  <c r="LG4" i="3"/>
  <c r="LW4" i="3"/>
  <c r="MM4" i="3"/>
  <c r="NC4" i="3"/>
  <c r="NS4" i="3"/>
  <c r="OI4" i="3"/>
  <c r="OU4" i="3"/>
  <c r="PC4" i="3"/>
  <c r="PK4" i="3"/>
  <c r="PS4" i="3"/>
  <c r="QA4" i="3"/>
  <c r="QI4" i="3"/>
  <c r="QQ4" i="3"/>
  <c r="QY4" i="3"/>
  <c r="RG4" i="3"/>
  <c r="RM4" i="3"/>
  <c r="RR4" i="3"/>
  <c r="RW4" i="3"/>
  <c r="SA4" i="3"/>
  <c r="SE4" i="3"/>
  <c r="SI4" i="3"/>
  <c r="SM4" i="3"/>
  <c r="SQ4" i="3"/>
  <c r="SU4" i="3"/>
  <c r="SY4" i="3"/>
  <c r="TC4" i="3"/>
  <c r="TG4" i="3"/>
  <c r="TK4" i="3"/>
  <c r="TO4" i="3"/>
  <c r="TS4" i="3"/>
  <c r="TW4" i="3"/>
  <c r="UA4" i="3"/>
  <c r="UE4" i="3"/>
  <c r="UI4" i="3"/>
  <c r="UM4" i="3"/>
  <c r="UQ4" i="3"/>
  <c r="UU4" i="3"/>
  <c r="UY4" i="3"/>
  <c r="VC4" i="3"/>
  <c r="VG4" i="3"/>
  <c r="VK4" i="3"/>
  <c r="VO4" i="3"/>
  <c r="VS4" i="3"/>
  <c r="VW4" i="3"/>
  <c r="WA4" i="3"/>
  <c r="WE4" i="3"/>
  <c r="WI4" i="3"/>
  <c r="WM4" i="3"/>
  <c r="WQ4" i="3"/>
  <c r="WU4" i="3"/>
  <c r="WY4" i="3"/>
  <c r="XC4" i="3"/>
  <c r="XG4" i="3"/>
  <c r="XK4" i="3"/>
  <c r="XO4" i="3"/>
  <c r="XS4" i="3"/>
  <c r="XW4" i="3"/>
  <c r="YA4" i="3"/>
  <c r="YE4" i="3"/>
  <c r="YI4" i="3"/>
  <c r="YM4" i="3"/>
  <c r="YQ4" i="3"/>
  <c r="YU4" i="3"/>
  <c r="YY4" i="3"/>
  <c r="ZC4" i="3"/>
  <c r="ZG4" i="3"/>
  <c r="ZK4" i="3"/>
  <c r="ZO4" i="3"/>
  <c r="ZS4" i="3"/>
  <c r="ZW4" i="3"/>
  <c r="AAA4" i="3"/>
  <c r="AAE4" i="3"/>
  <c r="AAI4" i="3"/>
  <c r="AAM4" i="3"/>
  <c r="AAQ4" i="3"/>
  <c r="AAU4" i="3"/>
  <c r="AAY4" i="3"/>
  <c r="ABC4" i="3"/>
  <c r="ABG4" i="3"/>
  <c r="ABK4" i="3"/>
  <c r="ABO4" i="3"/>
  <c r="ABS4" i="3"/>
  <c r="ABW4" i="3"/>
  <c r="ACA4" i="3"/>
  <c r="ACE4" i="3"/>
  <c r="ACI4" i="3"/>
  <c r="ACM4" i="3"/>
  <c r="ACQ4" i="3"/>
  <c r="ACU4" i="3"/>
  <c r="ACY4" i="3"/>
  <c r="ADC4" i="3"/>
  <c r="ADG4" i="3"/>
  <c r="ADK4" i="3"/>
  <c r="ADO4" i="3"/>
  <c r="ADS4" i="3"/>
  <c r="ADW4" i="3"/>
  <c r="AEA4" i="3"/>
  <c r="AEE4" i="3"/>
  <c r="AEI4" i="3"/>
  <c r="AEM4" i="3"/>
  <c r="AEQ4" i="3"/>
  <c r="AEU4" i="3"/>
  <c r="AEY4" i="3"/>
  <c r="AFC4" i="3"/>
  <c r="AFG4" i="3"/>
  <c r="AFK4" i="3"/>
  <c r="AFO4" i="3"/>
  <c r="AFS4" i="3"/>
  <c r="AFW4" i="3"/>
  <c r="AGA4" i="3"/>
  <c r="AGE4" i="3"/>
  <c r="AGI4" i="3"/>
  <c r="AGM4" i="3"/>
  <c r="AGQ4" i="3"/>
  <c r="AGU4" i="3"/>
  <c r="AGY4" i="3"/>
  <c r="AHC4" i="3"/>
  <c r="AHG4" i="3"/>
  <c r="AHK4" i="3"/>
  <c r="AHO4" i="3"/>
  <c r="AHS4" i="3"/>
  <c r="AHW4" i="3"/>
  <c r="AIA4" i="3"/>
  <c r="AIE4" i="3"/>
  <c r="AII4" i="3"/>
  <c r="AIM4" i="3"/>
  <c r="AIQ4" i="3"/>
  <c r="AIU4" i="3"/>
  <c r="AIY4" i="3"/>
  <c r="AJC4" i="3"/>
  <c r="AJG4" i="3"/>
  <c r="AJK4" i="3"/>
  <c r="AJO4" i="3"/>
  <c r="AJS4" i="3"/>
  <c r="AJW4" i="3"/>
  <c r="AKA4" i="3"/>
  <c r="AKE4" i="3"/>
  <c r="AKI4" i="3"/>
  <c r="AKM4" i="3"/>
  <c r="AKQ4" i="3"/>
  <c r="AKU4" i="3"/>
  <c r="AKY4" i="3"/>
  <c r="ALC4" i="3"/>
  <c r="ALG4" i="3"/>
  <c r="ALK4" i="3"/>
  <c r="C5" i="3"/>
  <c r="G5" i="3"/>
  <c r="K5" i="3"/>
  <c r="O5" i="3"/>
  <c r="S5" i="3"/>
  <c r="W5" i="3"/>
  <c r="AA5" i="3"/>
  <c r="AE5" i="3"/>
  <c r="AI5" i="3"/>
  <c r="AM5" i="3"/>
  <c r="AQ5" i="3"/>
  <c r="AU5" i="3"/>
  <c r="AY5" i="3"/>
  <c r="BC5" i="3"/>
  <c r="BG5" i="3"/>
  <c r="BK5" i="3"/>
  <c r="BO5" i="3"/>
  <c r="BS5" i="3"/>
  <c r="BW5" i="3"/>
  <c r="CA5" i="3"/>
  <c r="CE5" i="3"/>
  <c r="CI5" i="3"/>
  <c r="CM5" i="3"/>
  <c r="CQ5" i="3"/>
  <c r="CU5" i="3"/>
  <c r="CY5" i="3"/>
  <c r="DC5" i="3"/>
  <c r="DG5" i="3"/>
  <c r="DK5" i="3"/>
  <c r="DO5" i="3"/>
  <c r="DS5" i="3"/>
  <c r="DW5" i="3"/>
  <c r="EA5" i="3"/>
  <c r="EE5" i="3"/>
  <c r="EI5" i="3"/>
  <c r="EM5" i="3"/>
  <c r="EQ5" i="3"/>
  <c r="EU5" i="3"/>
  <c r="EY5" i="3"/>
  <c r="FC5" i="3"/>
  <c r="FG5" i="3"/>
  <c r="FK5" i="3"/>
  <c r="FO5" i="3"/>
  <c r="FS5" i="3"/>
  <c r="FW5" i="3"/>
  <c r="GA5" i="3"/>
  <c r="GE5" i="3"/>
  <c r="GI5" i="3"/>
  <c r="GM5" i="3"/>
  <c r="GQ5" i="3"/>
  <c r="GU5" i="3"/>
  <c r="GY5" i="3"/>
  <c r="HC5" i="3"/>
  <c r="HG5" i="3"/>
  <c r="HK5" i="3"/>
  <c r="HO5" i="3"/>
  <c r="HS5" i="3"/>
  <c r="HW5" i="3"/>
  <c r="IA5" i="3"/>
  <c r="IE5" i="3"/>
  <c r="II5" i="3"/>
  <c r="IM5" i="3"/>
  <c r="LK4" i="3"/>
  <c r="MA4" i="3"/>
  <c r="MQ4" i="3"/>
  <c r="NG4" i="3"/>
  <c r="NW4" i="3"/>
  <c r="OM4" i="3"/>
  <c r="OX4" i="3"/>
  <c r="PF4" i="3"/>
  <c r="PN4" i="3"/>
  <c r="PV4" i="3"/>
  <c r="QD4" i="3"/>
  <c r="QL4" i="3"/>
  <c r="QT4" i="3"/>
  <c r="RB4" i="3"/>
  <c r="RI4" i="3"/>
  <c r="RN4" i="3"/>
  <c r="RS4" i="3"/>
  <c r="RX4" i="3"/>
  <c r="SB4" i="3"/>
  <c r="SF4" i="3"/>
  <c r="SJ4" i="3"/>
  <c r="SN4" i="3"/>
  <c r="SR4" i="3"/>
  <c r="SV4" i="3"/>
  <c r="SZ4" i="3"/>
  <c r="TD4" i="3"/>
  <c r="TH4" i="3"/>
  <c r="TL4" i="3"/>
  <c r="TP4" i="3"/>
  <c r="TT4" i="3"/>
  <c r="TX4" i="3"/>
  <c r="UB4" i="3"/>
  <c r="UF4" i="3"/>
  <c r="UJ4" i="3"/>
  <c r="UN4" i="3"/>
  <c r="UR4" i="3"/>
  <c r="UV4" i="3"/>
  <c r="UZ4" i="3"/>
  <c r="VD4" i="3"/>
  <c r="VH4" i="3"/>
  <c r="VL4" i="3"/>
  <c r="VP4" i="3"/>
  <c r="VT4" i="3"/>
  <c r="VX4" i="3"/>
  <c r="WB4" i="3"/>
  <c r="WF4" i="3"/>
  <c r="WJ4" i="3"/>
  <c r="WN4" i="3"/>
  <c r="WR4" i="3"/>
  <c r="WV4" i="3"/>
  <c r="WZ4" i="3"/>
  <c r="XD4" i="3"/>
  <c r="XH4" i="3"/>
  <c r="XL4" i="3"/>
  <c r="XP4" i="3"/>
  <c r="XT4" i="3"/>
  <c r="XX4" i="3"/>
  <c r="YB4" i="3"/>
  <c r="YF4" i="3"/>
  <c r="YJ4" i="3"/>
  <c r="YN4" i="3"/>
  <c r="YR4" i="3"/>
  <c r="YV4" i="3"/>
  <c r="YZ4" i="3"/>
  <c r="ZD4" i="3"/>
  <c r="ZH4" i="3"/>
  <c r="ZL4" i="3"/>
  <c r="ZP4" i="3"/>
  <c r="ZT4" i="3"/>
  <c r="ZX4" i="3"/>
  <c r="AAB4" i="3"/>
  <c r="AAF4" i="3"/>
  <c r="AAJ4" i="3"/>
  <c r="AAN4" i="3"/>
  <c r="AAR4" i="3"/>
  <c r="AAV4" i="3"/>
  <c r="AAZ4" i="3"/>
  <c r="ABD4" i="3"/>
  <c r="ABH4" i="3"/>
  <c r="ABL4" i="3"/>
  <c r="ABP4" i="3"/>
  <c r="ABT4" i="3"/>
  <c r="ABX4" i="3"/>
  <c r="ACB4" i="3"/>
  <c r="ACF4" i="3"/>
  <c r="ACJ4" i="3"/>
  <c r="ACN4" i="3"/>
  <c r="ACR4" i="3"/>
  <c r="ACV4" i="3"/>
  <c r="ACZ4" i="3"/>
  <c r="ADD4" i="3"/>
  <c r="ADH4" i="3"/>
  <c r="ADL4" i="3"/>
  <c r="ADP4" i="3"/>
  <c r="ADT4" i="3"/>
  <c r="ADX4" i="3"/>
  <c r="AEB4" i="3"/>
  <c r="AEF4" i="3"/>
  <c r="AEJ4" i="3"/>
  <c r="AEN4" i="3"/>
  <c r="AER4" i="3"/>
  <c r="AEV4" i="3"/>
  <c r="AEZ4" i="3"/>
  <c r="AFD4" i="3"/>
  <c r="AFH4" i="3"/>
  <c r="AFL4" i="3"/>
  <c r="AFP4" i="3"/>
  <c r="AFT4" i="3"/>
  <c r="AFX4" i="3"/>
  <c r="AGB4" i="3"/>
  <c r="AGF4" i="3"/>
  <c r="AGJ4" i="3"/>
  <c r="AGN4" i="3"/>
  <c r="AGR4" i="3"/>
  <c r="AGV4" i="3"/>
  <c r="AGZ4" i="3"/>
  <c r="AHD4" i="3"/>
  <c r="AHH4" i="3"/>
  <c r="AHL4" i="3"/>
  <c r="AHP4" i="3"/>
  <c r="AHT4" i="3"/>
  <c r="AHX4" i="3"/>
  <c r="AIB4" i="3"/>
  <c r="AIF4" i="3"/>
  <c r="AIJ4" i="3"/>
  <c r="AIN4" i="3"/>
  <c r="AIR4" i="3"/>
  <c r="AIV4" i="3"/>
  <c r="AIZ4" i="3"/>
  <c r="AJD4" i="3"/>
  <c r="AJH4" i="3"/>
  <c r="AJL4" i="3"/>
  <c r="AJP4" i="3"/>
  <c r="AJT4" i="3"/>
  <c r="AJX4" i="3"/>
  <c r="AKB4" i="3"/>
  <c r="AKF4" i="3"/>
  <c r="AKJ4" i="3"/>
  <c r="AKN4" i="3"/>
  <c r="AKR4" i="3"/>
  <c r="AKV4" i="3"/>
  <c r="AKZ4" i="3"/>
  <c r="ALD4" i="3"/>
  <c r="ALH4" i="3"/>
  <c r="ALL4" i="3"/>
  <c r="D5" i="3"/>
  <c r="H5" i="3"/>
  <c r="L5" i="3"/>
  <c r="P5" i="3"/>
  <c r="T5" i="3"/>
  <c r="X5" i="3"/>
  <c r="AB5" i="3"/>
  <c r="AF5" i="3"/>
  <c r="AJ5" i="3"/>
  <c r="AN5" i="3"/>
  <c r="AR5" i="3"/>
  <c r="AV5" i="3"/>
  <c r="AZ5" i="3"/>
  <c r="BD5" i="3"/>
  <c r="BH5" i="3"/>
  <c r="BL5" i="3"/>
  <c r="BP5" i="3"/>
  <c r="BT5" i="3"/>
  <c r="BX5" i="3"/>
  <c r="CB5" i="3"/>
  <c r="CF5" i="3"/>
  <c r="CJ5" i="3"/>
  <c r="CN5" i="3"/>
  <c r="CR5" i="3"/>
  <c r="CV5" i="3"/>
  <c r="CZ5" i="3"/>
  <c r="DD5" i="3"/>
  <c r="DH5" i="3"/>
  <c r="DL5" i="3"/>
  <c r="DP5" i="3"/>
  <c r="DT5" i="3"/>
  <c r="DX5" i="3"/>
  <c r="EB5" i="3"/>
  <c r="EF5" i="3"/>
  <c r="EJ5" i="3"/>
  <c r="EN5" i="3"/>
  <c r="ER5" i="3"/>
  <c r="EV5" i="3"/>
  <c r="EZ5" i="3"/>
  <c r="FD5" i="3"/>
  <c r="FH5" i="3"/>
  <c r="FL5" i="3"/>
  <c r="FP5" i="3"/>
  <c r="FT5" i="3"/>
  <c r="FX5" i="3"/>
  <c r="GB5" i="3"/>
  <c r="GF5" i="3"/>
  <c r="GJ5" i="3"/>
  <c r="GN5" i="3"/>
  <c r="LO4" i="3"/>
  <c r="ME4" i="3"/>
  <c r="MU4" i="3"/>
  <c r="NK4" i="3"/>
  <c r="OA4" i="3"/>
  <c r="OQ4" i="3"/>
  <c r="OY4" i="3"/>
  <c r="PG4" i="3"/>
  <c r="PO4" i="3"/>
  <c r="PW4" i="3"/>
  <c r="QE4" i="3"/>
  <c r="QM4" i="3"/>
  <c r="QU4" i="3"/>
  <c r="RC4" i="3"/>
  <c r="RJ4" i="3"/>
  <c r="RO4" i="3"/>
  <c r="RU4" i="3"/>
  <c r="RY4" i="3"/>
  <c r="SC4" i="3"/>
  <c r="SG4" i="3"/>
  <c r="SK4" i="3"/>
  <c r="SO4" i="3"/>
  <c r="SS4" i="3"/>
  <c r="SW4" i="3"/>
  <c r="TA4" i="3"/>
  <c r="TE4" i="3"/>
  <c r="TI4" i="3"/>
  <c r="TM4" i="3"/>
  <c r="TQ4" i="3"/>
  <c r="TU4" i="3"/>
  <c r="TY4" i="3"/>
  <c r="UC4" i="3"/>
  <c r="UG4" i="3"/>
  <c r="UK4" i="3"/>
  <c r="UO4" i="3"/>
  <c r="US4" i="3"/>
  <c r="UW4" i="3"/>
  <c r="VA4" i="3"/>
  <c r="VE4" i="3"/>
  <c r="VI4" i="3"/>
  <c r="VM4" i="3"/>
  <c r="VQ4" i="3"/>
  <c r="VU4" i="3"/>
  <c r="VY4" i="3"/>
  <c r="WC4" i="3"/>
  <c r="WG4" i="3"/>
  <c r="WK4" i="3"/>
  <c r="WO4" i="3"/>
  <c r="WS4" i="3"/>
  <c r="WW4" i="3"/>
  <c r="XA4" i="3"/>
  <c r="XE4" i="3"/>
  <c r="XI4" i="3"/>
  <c r="XM4" i="3"/>
  <c r="XQ4" i="3"/>
  <c r="XU4" i="3"/>
  <c r="XY4" i="3"/>
  <c r="YC4" i="3"/>
  <c r="YG4" i="3"/>
  <c r="YK4" i="3"/>
  <c r="YO4" i="3"/>
  <c r="YS4" i="3"/>
  <c r="YW4" i="3"/>
  <c r="ZA4" i="3"/>
  <c r="ZE4" i="3"/>
  <c r="ZI4" i="3"/>
  <c r="ZM4" i="3"/>
  <c r="ZQ4" i="3"/>
  <c r="ZU4" i="3"/>
  <c r="ZY4" i="3"/>
  <c r="AAC4" i="3"/>
  <c r="AAG4" i="3"/>
  <c r="AAK4" i="3"/>
  <c r="AAO4" i="3"/>
  <c r="AAS4" i="3"/>
  <c r="AAW4" i="3"/>
  <c r="ABA4" i="3"/>
  <c r="ABE4" i="3"/>
  <c r="ABI4" i="3"/>
  <c r="ABM4" i="3"/>
  <c r="ABQ4" i="3"/>
  <c r="ABU4" i="3"/>
  <c r="ABY4" i="3"/>
  <c r="ACC4" i="3"/>
  <c r="ACG4" i="3"/>
  <c r="ACK4" i="3"/>
  <c r="ACO4" i="3"/>
  <c r="ACS4" i="3"/>
  <c r="ACW4" i="3"/>
  <c r="ADA4" i="3"/>
  <c r="ADE4" i="3"/>
  <c r="ADI4" i="3"/>
  <c r="ADM4" i="3"/>
  <c r="ADQ4" i="3"/>
  <c r="ADU4" i="3"/>
  <c r="ADY4" i="3"/>
  <c r="AEC4" i="3"/>
  <c r="AEG4" i="3"/>
  <c r="AEK4" i="3"/>
  <c r="AEO4" i="3"/>
  <c r="AES4" i="3"/>
  <c r="AEW4" i="3"/>
  <c r="AFA4" i="3"/>
  <c r="AFE4" i="3"/>
  <c r="AFI4" i="3"/>
  <c r="AFM4" i="3"/>
  <c r="AFQ4" i="3"/>
  <c r="AFU4" i="3"/>
  <c r="AFY4" i="3"/>
  <c r="AGC4" i="3"/>
  <c r="AGG4" i="3"/>
  <c r="AGK4" i="3"/>
  <c r="AGO4" i="3"/>
  <c r="AGS4" i="3"/>
  <c r="AGW4" i="3"/>
  <c r="AHA4" i="3"/>
  <c r="AHE4" i="3"/>
  <c r="AHI4" i="3"/>
  <c r="AHM4" i="3"/>
  <c r="AHQ4" i="3"/>
  <c r="AHU4" i="3"/>
  <c r="AHY4" i="3"/>
  <c r="AIC4" i="3"/>
  <c r="AIG4" i="3"/>
  <c r="AIK4" i="3"/>
  <c r="AIO4" i="3"/>
  <c r="AIS4" i="3"/>
  <c r="AIW4" i="3"/>
  <c r="AJA4" i="3"/>
  <c r="AJE4" i="3"/>
  <c r="AJI4" i="3"/>
  <c r="AJM4" i="3"/>
  <c r="AJQ4" i="3"/>
  <c r="AJU4" i="3"/>
  <c r="AJY4" i="3"/>
  <c r="AKC4" i="3"/>
  <c r="AKG4" i="3"/>
  <c r="AKK4" i="3"/>
  <c r="AKO4" i="3"/>
  <c r="AKS4" i="3"/>
  <c r="AKW4" i="3"/>
  <c r="ALA4" i="3"/>
  <c r="ALE4" i="3"/>
  <c r="ALI4" i="3"/>
  <c r="ALM4" i="3"/>
  <c r="E5" i="3"/>
  <c r="I5" i="3"/>
  <c r="M5" i="3"/>
  <c r="Q5" i="3"/>
  <c r="U5" i="3"/>
  <c r="Y5" i="3"/>
  <c r="AC5" i="3"/>
  <c r="AG5" i="3"/>
  <c r="AK5" i="3"/>
  <c r="AO5" i="3"/>
  <c r="AS5" i="3"/>
  <c r="AW5" i="3"/>
  <c r="BA5" i="3"/>
  <c r="BE5" i="3"/>
  <c r="BI5" i="3"/>
  <c r="BM5" i="3"/>
  <c r="BQ5" i="3"/>
  <c r="BU5" i="3"/>
  <c r="BY5" i="3"/>
  <c r="CC5" i="3"/>
  <c r="CG5" i="3"/>
  <c r="CK5" i="3"/>
  <c r="CO5" i="3"/>
  <c r="CS5" i="3"/>
  <c r="CW5" i="3"/>
  <c r="DA5" i="3"/>
  <c r="DE5" i="3"/>
  <c r="DI5" i="3"/>
  <c r="DM5" i="3"/>
  <c r="DQ5" i="3"/>
  <c r="DU5" i="3"/>
  <c r="DY5" i="3"/>
  <c r="EC5" i="3"/>
  <c r="EG5" i="3"/>
  <c r="EK5" i="3"/>
  <c r="EO5" i="3"/>
  <c r="ES5" i="3"/>
  <c r="EW5" i="3"/>
  <c r="LS4" i="3"/>
  <c r="MI4" i="3"/>
  <c r="MY4" i="3"/>
  <c r="NO4" i="3"/>
  <c r="OE4" i="3"/>
  <c r="OT4" i="3"/>
  <c r="PB4" i="3"/>
  <c r="PJ4" i="3"/>
  <c r="PR4" i="3"/>
  <c r="PZ4" i="3"/>
  <c r="QH4" i="3"/>
  <c r="QP4" i="3"/>
  <c r="QX4" i="3"/>
  <c r="RF4" i="3"/>
  <c r="RK4" i="3"/>
  <c r="RQ4" i="3"/>
  <c r="RV4" i="3"/>
  <c r="RZ4" i="3"/>
  <c r="SD4" i="3"/>
  <c r="SH4" i="3"/>
  <c r="SL4" i="3"/>
  <c r="SP4" i="3"/>
  <c r="ST4" i="3"/>
  <c r="SX4" i="3"/>
  <c r="TB4" i="3"/>
  <c r="TF4" i="3"/>
  <c r="TJ4" i="3"/>
  <c r="TN4" i="3"/>
  <c r="TR4" i="3"/>
  <c r="TV4" i="3"/>
  <c r="TZ4" i="3"/>
  <c r="UD4" i="3"/>
  <c r="UH4" i="3"/>
  <c r="UL4" i="3"/>
  <c r="UP4" i="3"/>
  <c r="UT4" i="3"/>
  <c r="UX4" i="3"/>
  <c r="VB4" i="3"/>
  <c r="VF4" i="3"/>
  <c r="VJ4" i="3"/>
  <c r="VN4" i="3"/>
  <c r="VR4" i="3"/>
  <c r="VV4" i="3"/>
  <c r="VZ4" i="3"/>
  <c r="WD4" i="3"/>
  <c r="WH4" i="3"/>
  <c r="WL4" i="3"/>
  <c r="WP4" i="3"/>
  <c r="WT4" i="3"/>
  <c r="WX4" i="3"/>
  <c r="XB4" i="3"/>
  <c r="XF4" i="3"/>
  <c r="XJ4" i="3"/>
  <c r="XN4" i="3"/>
  <c r="XR4" i="3"/>
  <c r="XV4" i="3"/>
  <c r="XZ4" i="3"/>
  <c r="YD4" i="3"/>
  <c r="YH4" i="3"/>
  <c r="YL4" i="3"/>
  <c r="YP4" i="3"/>
  <c r="YT4" i="3"/>
  <c r="YX4" i="3"/>
  <c r="ZB4" i="3"/>
  <c r="ZF4" i="3"/>
  <c r="ZJ4" i="3"/>
  <c r="ZN4" i="3"/>
  <c r="ZR4" i="3"/>
  <c r="ZV4" i="3"/>
  <c r="ZZ4" i="3"/>
  <c r="AAD4" i="3"/>
  <c r="AAH4" i="3"/>
  <c r="AAL4" i="3"/>
  <c r="AAP4" i="3"/>
  <c r="AAT4" i="3"/>
  <c r="AAX4" i="3"/>
  <c r="ABB4" i="3"/>
  <c r="ABF4" i="3"/>
  <c r="ABJ4" i="3"/>
  <c r="ABN4" i="3"/>
  <c r="ABR4" i="3"/>
  <c r="ABV4" i="3"/>
  <c r="ABZ4" i="3"/>
  <c r="ACD4" i="3"/>
  <c r="ACH4" i="3"/>
  <c r="ACL4" i="3"/>
  <c r="ACP4" i="3"/>
  <c r="ACT4" i="3"/>
  <c r="ACX4" i="3"/>
  <c r="ADB4" i="3"/>
  <c r="ADF4" i="3"/>
  <c r="ADJ4" i="3"/>
  <c r="ADN4" i="3"/>
  <c r="ADR4" i="3"/>
  <c r="ADV4" i="3"/>
  <c r="ADZ4" i="3"/>
  <c r="AED4" i="3"/>
  <c r="AEH4" i="3"/>
  <c r="AEL4" i="3"/>
  <c r="AEP4" i="3"/>
  <c r="AET4" i="3"/>
  <c r="AEX4" i="3"/>
  <c r="AFB4" i="3"/>
  <c r="AFF4" i="3"/>
  <c r="AFJ4" i="3"/>
  <c r="AFN4" i="3"/>
  <c r="AFR4" i="3"/>
  <c r="AFV4" i="3"/>
  <c r="AFZ4" i="3"/>
  <c r="AGD4" i="3"/>
  <c r="AGH4" i="3"/>
  <c r="AGL4" i="3"/>
  <c r="AGP4" i="3"/>
  <c r="AGT4" i="3"/>
  <c r="AGX4" i="3"/>
  <c r="AHB4" i="3"/>
  <c r="AHF4" i="3"/>
  <c r="AHJ4" i="3"/>
  <c r="AHN4" i="3"/>
  <c r="AHR4" i="3"/>
  <c r="AHV4" i="3"/>
  <c r="AHZ4" i="3"/>
  <c r="AID4" i="3"/>
  <c r="AIH4" i="3"/>
  <c r="AIL4" i="3"/>
  <c r="AIP4" i="3"/>
  <c r="AIT4" i="3"/>
  <c r="AIX4" i="3"/>
  <c r="AJB4" i="3"/>
  <c r="AJF4" i="3"/>
  <c r="AJJ4" i="3"/>
  <c r="AJN4" i="3"/>
  <c r="AJR4" i="3"/>
  <c r="AJV4" i="3"/>
  <c r="AJZ4" i="3"/>
  <c r="AKD4" i="3"/>
  <c r="AKH4" i="3"/>
  <c r="AKL4" i="3"/>
  <c r="AKP4" i="3"/>
  <c r="AKT4" i="3"/>
  <c r="AKX4" i="3"/>
  <c r="ALB4" i="3"/>
  <c r="ALF4" i="3"/>
  <c r="ALJ4" i="3"/>
  <c r="B5" i="3"/>
  <c r="F5" i="3"/>
  <c r="J5" i="3"/>
  <c r="N5" i="3"/>
  <c r="R5" i="3"/>
  <c r="V5" i="3"/>
  <c r="Z5" i="3"/>
  <c r="AD5" i="3"/>
  <c r="AH5" i="3"/>
  <c r="AL5" i="3"/>
  <c r="AP5" i="3"/>
  <c r="AT5" i="3"/>
  <c r="AX5" i="3"/>
  <c r="BB5" i="3"/>
  <c r="BF5" i="3"/>
  <c r="BJ5" i="3"/>
  <c r="BN5" i="3"/>
  <c r="BR5" i="3"/>
  <c r="BV5" i="3"/>
  <c r="BZ5" i="3"/>
  <c r="CD5" i="3"/>
  <c r="CH5" i="3"/>
  <c r="CL5" i="3"/>
  <c r="CP5" i="3"/>
  <c r="CT5" i="3"/>
  <c r="CX5" i="3"/>
  <c r="DB5" i="3"/>
  <c r="DR5" i="3"/>
  <c r="EH5" i="3"/>
  <c r="EX5" i="3"/>
  <c r="FF5" i="3"/>
  <c r="FN5" i="3"/>
  <c r="FV5" i="3"/>
  <c r="GD5" i="3"/>
  <c r="GL5" i="3"/>
  <c r="GS5" i="3"/>
  <c r="GX5" i="3"/>
  <c r="HD5" i="3"/>
  <c r="HI5" i="3"/>
  <c r="HN5" i="3"/>
  <c r="HT5" i="3"/>
  <c r="HY5" i="3"/>
  <c r="ID5" i="3"/>
  <c r="IJ5" i="3"/>
  <c r="IO5" i="3"/>
  <c r="IS5" i="3"/>
  <c r="IW5" i="3"/>
  <c r="JA5" i="3"/>
  <c r="JE5" i="3"/>
  <c r="JI5" i="3"/>
  <c r="JM5" i="3"/>
  <c r="JQ5" i="3"/>
  <c r="JU5" i="3"/>
  <c r="JY5" i="3"/>
  <c r="KC5" i="3"/>
  <c r="KG5" i="3"/>
  <c r="KK5" i="3"/>
  <c r="KO5" i="3"/>
  <c r="KS5" i="3"/>
  <c r="KW5" i="3"/>
  <c r="LA5" i="3"/>
  <c r="LE5" i="3"/>
  <c r="LI5" i="3"/>
  <c r="LM5" i="3"/>
  <c r="LQ5" i="3"/>
  <c r="LU5" i="3"/>
  <c r="LY5" i="3"/>
  <c r="MC5" i="3"/>
  <c r="MG5" i="3"/>
  <c r="MK5" i="3"/>
  <c r="MO5" i="3"/>
  <c r="MS5" i="3"/>
  <c r="MW5" i="3"/>
  <c r="NA5" i="3"/>
  <c r="NE5" i="3"/>
  <c r="NI5" i="3"/>
  <c r="NM5" i="3"/>
  <c r="NQ5" i="3"/>
  <c r="NU5" i="3"/>
  <c r="NY5" i="3"/>
  <c r="OC5" i="3"/>
  <c r="OG5" i="3"/>
  <c r="OK5" i="3"/>
  <c r="OO5" i="3"/>
  <c r="OS5" i="3"/>
  <c r="OW5" i="3"/>
  <c r="PA5" i="3"/>
  <c r="PE5" i="3"/>
  <c r="PI5" i="3"/>
  <c r="PM5" i="3"/>
  <c r="PQ5" i="3"/>
  <c r="PU5" i="3"/>
  <c r="PY5" i="3"/>
  <c r="QC5" i="3"/>
  <c r="QG5" i="3"/>
  <c r="QK5" i="3"/>
  <c r="QO5" i="3"/>
  <c r="QS5" i="3"/>
  <c r="QW5" i="3"/>
  <c r="RA5" i="3"/>
  <c r="RE5" i="3"/>
  <c r="RI5" i="3"/>
  <c r="RM5" i="3"/>
  <c r="RQ5" i="3"/>
  <c r="RU5" i="3"/>
  <c r="RY5" i="3"/>
  <c r="SC5" i="3"/>
  <c r="SG5" i="3"/>
  <c r="SK5" i="3"/>
  <c r="SO5" i="3"/>
  <c r="SS5" i="3"/>
  <c r="SW5" i="3"/>
  <c r="TA5" i="3"/>
  <c r="TE5" i="3"/>
  <c r="TI5" i="3"/>
  <c r="TM5" i="3"/>
  <c r="TQ5" i="3"/>
  <c r="TU5" i="3"/>
  <c r="TY5" i="3"/>
  <c r="UC5" i="3"/>
  <c r="UG5" i="3"/>
  <c r="UK5" i="3"/>
  <c r="UO5" i="3"/>
  <c r="US5" i="3"/>
  <c r="UW5" i="3"/>
  <c r="VA5" i="3"/>
  <c r="VE5" i="3"/>
  <c r="VI5" i="3"/>
  <c r="VM5" i="3"/>
  <c r="VQ5" i="3"/>
  <c r="VU5" i="3"/>
  <c r="VY5" i="3"/>
  <c r="WC5" i="3"/>
  <c r="WG5" i="3"/>
  <c r="WK5" i="3"/>
  <c r="WO5" i="3"/>
  <c r="WS5" i="3"/>
  <c r="WW5" i="3"/>
  <c r="XA5" i="3"/>
  <c r="XE5" i="3"/>
  <c r="XI5" i="3"/>
  <c r="XM5" i="3"/>
  <c r="XQ5" i="3"/>
  <c r="XU5" i="3"/>
  <c r="XY5" i="3"/>
  <c r="YC5" i="3"/>
  <c r="YG5" i="3"/>
  <c r="YK5" i="3"/>
  <c r="YO5" i="3"/>
  <c r="YS5" i="3"/>
  <c r="YW5" i="3"/>
  <c r="ZA5" i="3"/>
  <c r="ZE5" i="3"/>
  <c r="ZI5" i="3"/>
  <c r="ZM5" i="3"/>
  <c r="ZQ5" i="3"/>
  <c r="ZU5" i="3"/>
  <c r="ZY5" i="3"/>
  <c r="AAC5" i="3"/>
  <c r="AAG5" i="3"/>
  <c r="AAK5" i="3"/>
  <c r="AAO5" i="3"/>
  <c r="AAS5" i="3"/>
  <c r="AAW5" i="3"/>
  <c r="ABA5" i="3"/>
  <c r="ABE5" i="3"/>
  <c r="ABI5" i="3"/>
  <c r="ABM5" i="3"/>
  <c r="ABQ5" i="3"/>
  <c r="ABU5" i="3"/>
  <c r="ABY5" i="3"/>
  <c r="ACC5" i="3"/>
  <c r="ACG5" i="3"/>
  <c r="ACK5" i="3"/>
  <c r="ACO5" i="3"/>
  <c r="ACS5" i="3"/>
  <c r="ACW5" i="3"/>
  <c r="ADA5" i="3"/>
  <c r="ADE5" i="3"/>
  <c r="ADI5" i="3"/>
  <c r="ADM5" i="3"/>
  <c r="ADQ5" i="3"/>
  <c r="ADU5" i="3"/>
  <c r="ADY5" i="3"/>
  <c r="AEC5" i="3"/>
  <c r="AEG5" i="3"/>
  <c r="AEK5" i="3"/>
  <c r="AEO5" i="3"/>
  <c r="AES5" i="3"/>
  <c r="AEW5" i="3"/>
  <c r="AFA5" i="3"/>
  <c r="AFE5" i="3"/>
  <c r="AFI5" i="3"/>
  <c r="AFM5" i="3"/>
  <c r="AFQ5" i="3"/>
  <c r="AFU5" i="3"/>
  <c r="AFY5" i="3"/>
  <c r="AGC5" i="3"/>
  <c r="AGG5" i="3"/>
  <c r="AGK5" i="3"/>
  <c r="AGO5" i="3"/>
  <c r="AGS5" i="3"/>
  <c r="AGW5" i="3"/>
  <c r="AHA5" i="3"/>
  <c r="AHE5" i="3"/>
  <c r="AHI5" i="3"/>
  <c r="AHM5" i="3"/>
  <c r="AHQ5" i="3"/>
  <c r="AHU5" i="3"/>
  <c r="AHY5" i="3"/>
  <c r="AIC5" i="3"/>
  <c r="AIG5" i="3"/>
  <c r="AIK5" i="3"/>
  <c r="AIO5" i="3"/>
  <c r="AIS5" i="3"/>
  <c r="AIW5" i="3"/>
  <c r="AJA5" i="3"/>
  <c r="AJE5" i="3"/>
  <c r="AJI5" i="3"/>
  <c r="AJM5" i="3"/>
  <c r="AJQ5" i="3"/>
  <c r="AJU5" i="3"/>
  <c r="AJY5" i="3"/>
  <c r="AKC5" i="3"/>
  <c r="AKG5" i="3"/>
  <c r="AKK5" i="3"/>
  <c r="AKO5" i="3"/>
  <c r="AKS5" i="3"/>
  <c r="AKW5" i="3"/>
  <c r="ALA5" i="3"/>
  <c r="ALE5" i="3"/>
  <c r="ALI5" i="3"/>
  <c r="ALM5" i="3"/>
  <c r="E6" i="3"/>
  <c r="I6" i="3"/>
  <c r="M6" i="3"/>
  <c r="Q6" i="3"/>
  <c r="U6" i="3"/>
  <c r="Y6" i="3"/>
  <c r="AC6" i="3"/>
  <c r="AG6" i="3"/>
  <c r="AK6" i="3"/>
  <c r="AO6" i="3"/>
  <c r="AS6" i="3"/>
  <c r="AW6" i="3"/>
  <c r="BA6" i="3"/>
  <c r="BE6" i="3"/>
  <c r="BI6" i="3"/>
  <c r="BM6" i="3"/>
  <c r="BQ6" i="3"/>
  <c r="BU6" i="3"/>
  <c r="BY6" i="3"/>
  <c r="CC6" i="3"/>
  <c r="CG6" i="3"/>
  <c r="CK6" i="3"/>
  <c r="CO6" i="3"/>
  <c r="CS6" i="3"/>
  <c r="CW6" i="3"/>
  <c r="DA6" i="3"/>
  <c r="DE6" i="3"/>
  <c r="DI6" i="3"/>
  <c r="DM6" i="3"/>
  <c r="DQ6" i="3"/>
  <c r="DU6" i="3"/>
  <c r="DY6" i="3"/>
  <c r="EC6" i="3"/>
  <c r="EG6" i="3"/>
  <c r="EK6" i="3"/>
  <c r="EO6" i="3"/>
  <c r="ES6" i="3"/>
  <c r="EW6" i="3"/>
  <c r="FA6" i="3"/>
  <c r="FE6" i="3"/>
  <c r="FI6" i="3"/>
  <c r="FM6" i="3"/>
  <c r="FQ6" i="3"/>
  <c r="FU6" i="3"/>
  <c r="FY6" i="3"/>
  <c r="GC6" i="3"/>
  <c r="GG6" i="3"/>
  <c r="GK6" i="3"/>
  <c r="GO6" i="3"/>
  <c r="GS6" i="3"/>
  <c r="GW6" i="3"/>
  <c r="HA6" i="3"/>
  <c r="HE6" i="3"/>
  <c r="HI6" i="3"/>
  <c r="HM6" i="3"/>
  <c r="HQ6" i="3"/>
  <c r="HU6" i="3"/>
  <c r="HY6" i="3"/>
  <c r="IC6" i="3"/>
  <c r="IG6" i="3"/>
  <c r="IK6" i="3"/>
  <c r="IO6" i="3"/>
  <c r="IS6" i="3"/>
  <c r="IW6" i="3"/>
  <c r="JA6" i="3"/>
  <c r="JE6" i="3"/>
  <c r="JI6" i="3"/>
  <c r="JM6" i="3"/>
  <c r="JQ6" i="3"/>
  <c r="JU6" i="3"/>
  <c r="JY6" i="3"/>
  <c r="KC6" i="3"/>
  <c r="KG6" i="3"/>
  <c r="KK6" i="3"/>
  <c r="KO6" i="3"/>
  <c r="KS6" i="3"/>
  <c r="KW6" i="3"/>
  <c r="LA6" i="3"/>
  <c r="LE6" i="3"/>
  <c r="LI6" i="3"/>
  <c r="LM6" i="3"/>
  <c r="LQ6" i="3"/>
  <c r="LU6" i="3"/>
  <c r="LY6" i="3"/>
  <c r="MC6" i="3"/>
  <c r="MG6" i="3"/>
  <c r="MK6" i="3"/>
  <c r="MO6" i="3"/>
  <c r="MS6" i="3"/>
  <c r="MW6" i="3"/>
  <c r="NA6" i="3"/>
  <c r="NE6" i="3"/>
  <c r="NI6" i="3"/>
  <c r="NM6" i="3"/>
  <c r="NQ6" i="3"/>
  <c r="NU6" i="3"/>
  <c r="NY6" i="3"/>
  <c r="OC6" i="3"/>
  <c r="OG6" i="3"/>
  <c r="OK6" i="3"/>
  <c r="OO6" i="3"/>
  <c r="OS6" i="3"/>
  <c r="OW6" i="3"/>
  <c r="PA6" i="3"/>
  <c r="PE6" i="3"/>
  <c r="PI6" i="3"/>
  <c r="PM6" i="3"/>
  <c r="PQ6" i="3"/>
  <c r="PU6" i="3"/>
  <c r="PY6" i="3"/>
  <c r="QC6" i="3"/>
  <c r="QG6" i="3"/>
  <c r="QK6" i="3"/>
  <c r="QO6" i="3"/>
  <c r="QS6" i="3"/>
  <c r="QW6" i="3"/>
  <c r="RA6" i="3"/>
  <c r="RE6" i="3"/>
  <c r="RI6" i="3"/>
  <c r="RM6" i="3"/>
  <c r="RQ6" i="3"/>
  <c r="RU6" i="3"/>
  <c r="RY6" i="3"/>
  <c r="SC6" i="3"/>
  <c r="SG6" i="3"/>
  <c r="SK6" i="3"/>
  <c r="SO6" i="3"/>
  <c r="SS6" i="3"/>
  <c r="SW6" i="3"/>
  <c r="TA6" i="3"/>
  <c r="TE6" i="3"/>
  <c r="TI6" i="3"/>
  <c r="TM6" i="3"/>
  <c r="TQ6" i="3"/>
  <c r="DF5" i="3"/>
  <c r="DV5" i="3"/>
  <c r="EL5" i="3"/>
  <c r="FA5" i="3"/>
  <c r="FI5" i="3"/>
  <c r="FQ5" i="3"/>
  <c r="FY5" i="3"/>
  <c r="GG5" i="3"/>
  <c r="GO5" i="3"/>
  <c r="GT5" i="3"/>
  <c r="GZ5" i="3"/>
  <c r="HE5" i="3"/>
  <c r="HJ5" i="3"/>
  <c r="HP5" i="3"/>
  <c r="HU5" i="3"/>
  <c r="HZ5" i="3"/>
  <c r="IF5" i="3"/>
  <c r="IK5" i="3"/>
  <c r="IP5" i="3"/>
  <c r="IT5" i="3"/>
  <c r="IX5" i="3"/>
  <c r="JB5" i="3"/>
  <c r="JF5" i="3"/>
  <c r="JJ5" i="3"/>
  <c r="JN5" i="3"/>
  <c r="JR5" i="3"/>
  <c r="JV5" i="3"/>
  <c r="JZ5" i="3"/>
  <c r="KD5" i="3"/>
  <c r="KH5" i="3"/>
  <c r="KL5" i="3"/>
  <c r="KP5" i="3"/>
  <c r="KT5" i="3"/>
  <c r="KX5" i="3"/>
  <c r="LB5" i="3"/>
  <c r="LF5" i="3"/>
  <c r="LJ5" i="3"/>
  <c r="LN5" i="3"/>
  <c r="LR5" i="3"/>
  <c r="LV5" i="3"/>
  <c r="LZ5" i="3"/>
  <c r="MD5" i="3"/>
  <c r="MH5" i="3"/>
  <c r="ML5" i="3"/>
  <c r="MP5" i="3"/>
  <c r="MT5" i="3"/>
  <c r="MX5" i="3"/>
  <c r="NB5" i="3"/>
  <c r="NF5" i="3"/>
  <c r="NJ5" i="3"/>
  <c r="NN5" i="3"/>
  <c r="NR5" i="3"/>
  <c r="NV5" i="3"/>
  <c r="NZ5" i="3"/>
  <c r="OD5" i="3"/>
  <c r="OH5" i="3"/>
  <c r="OL5" i="3"/>
  <c r="OP5" i="3"/>
  <c r="OT5" i="3"/>
  <c r="OX5" i="3"/>
  <c r="PB5" i="3"/>
  <c r="PF5" i="3"/>
  <c r="PJ5" i="3"/>
  <c r="PN5" i="3"/>
  <c r="PR5" i="3"/>
  <c r="PV5" i="3"/>
  <c r="PZ5" i="3"/>
  <c r="QD5" i="3"/>
  <c r="QH5" i="3"/>
  <c r="QL5" i="3"/>
  <c r="QP5" i="3"/>
  <c r="QT5" i="3"/>
  <c r="QX5" i="3"/>
  <c r="RB5" i="3"/>
  <c r="RF5" i="3"/>
  <c r="RJ5" i="3"/>
  <c r="RN5" i="3"/>
  <c r="RR5" i="3"/>
  <c r="RV5" i="3"/>
  <c r="RZ5" i="3"/>
  <c r="SD5" i="3"/>
  <c r="SH5" i="3"/>
  <c r="SL5" i="3"/>
  <c r="SP5" i="3"/>
  <c r="ST5" i="3"/>
  <c r="SX5" i="3"/>
  <c r="TB5" i="3"/>
  <c r="TF5" i="3"/>
  <c r="TJ5" i="3"/>
  <c r="TN5" i="3"/>
  <c r="TR5" i="3"/>
  <c r="TV5" i="3"/>
  <c r="TZ5" i="3"/>
  <c r="UD5" i="3"/>
  <c r="UH5" i="3"/>
  <c r="UL5" i="3"/>
  <c r="UP5" i="3"/>
  <c r="UT5" i="3"/>
  <c r="UX5" i="3"/>
  <c r="VB5" i="3"/>
  <c r="VF5" i="3"/>
  <c r="VJ5" i="3"/>
  <c r="VN5" i="3"/>
  <c r="VR5" i="3"/>
  <c r="VV5" i="3"/>
  <c r="VZ5" i="3"/>
  <c r="WD5" i="3"/>
  <c r="WH5" i="3"/>
  <c r="WL5" i="3"/>
  <c r="WP5" i="3"/>
  <c r="WT5" i="3"/>
  <c r="WX5" i="3"/>
  <c r="XB5" i="3"/>
  <c r="XF5" i="3"/>
  <c r="XJ5" i="3"/>
  <c r="XN5" i="3"/>
  <c r="XR5" i="3"/>
  <c r="XV5" i="3"/>
  <c r="XZ5" i="3"/>
  <c r="YD5" i="3"/>
  <c r="YH5" i="3"/>
  <c r="YL5" i="3"/>
  <c r="YP5" i="3"/>
  <c r="YT5" i="3"/>
  <c r="YX5" i="3"/>
  <c r="ZB5" i="3"/>
  <c r="ZF5" i="3"/>
  <c r="ZJ5" i="3"/>
  <c r="ZN5" i="3"/>
  <c r="ZR5" i="3"/>
  <c r="ZV5" i="3"/>
  <c r="ZZ5" i="3"/>
  <c r="AAD5" i="3"/>
  <c r="AAH5" i="3"/>
  <c r="AAL5" i="3"/>
  <c r="AAP5" i="3"/>
  <c r="AAT5" i="3"/>
  <c r="AAX5" i="3"/>
  <c r="ABB5" i="3"/>
  <c r="ABF5" i="3"/>
  <c r="ABJ5" i="3"/>
  <c r="ABN5" i="3"/>
  <c r="ABR5" i="3"/>
  <c r="ABV5" i="3"/>
  <c r="ABZ5" i="3"/>
  <c r="ACD5" i="3"/>
  <c r="ACH5" i="3"/>
  <c r="ACL5" i="3"/>
  <c r="ACP5" i="3"/>
  <c r="ACT5" i="3"/>
  <c r="ACX5" i="3"/>
  <c r="ADB5" i="3"/>
  <c r="ADF5" i="3"/>
  <c r="ADJ5" i="3"/>
  <c r="ADN5" i="3"/>
  <c r="ADR5" i="3"/>
  <c r="ADV5" i="3"/>
  <c r="ADZ5" i="3"/>
  <c r="AED5" i="3"/>
  <c r="AEH5" i="3"/>
  <c r="AEL5" i="3"/>
  <c r="AEP5" i="3"/>
  <c r="AET5" i="3"/>
  <c r="AEX5" i="3"/>
  <c r="AFB5" i="3"/>
  <c r="AFF5" i="3"/>
  <c r="AFJ5" i="3"/>
  <c r="AFN5" i="3"/>
  <c r="AFR5" i="3"/>
  <c r="AFV5" i="3"/>
  <c r="AFZ5" i="3"/>
  <c r="AGD5" i="3"/>
  <c r="AGH5" i="3"/>
  <c r="AGL5" i="3"/>
  <c r="AGP5" i="3"/>
  <c r="AGT5" i="3"/>
  <c r="AGX5" i="3"/>
  <c r="AHB5" i="3"/>
  <c r="AHF5" i="3"/>
  <c r="AHJ5" i="3"/>
  <c r="AHN5" i="3"/>
  <c r="AHR5" i="3"/>
  <c r="AHV5" i="3"/>
  <c r="AHZ5" i="3"/>
  <c r="AID5" i="3"/>
  <c r="AIH5" i="3"/>
  <c r="AIL5" i="3"/>
  <c r="AIP5" i="3"/>
  <c r="AIT5" i="3"/>
  <c r="AIX5" i="3"/>
  <c r="AJB5" i="3"/>
  <c r="AJF5" i="3"/>
  <c r="AJJ5" i="3"/>
  <c r="AJN5" i="3"/>
  <c r="AJR5" i="3"/>
  <c r="AJV5" i="3"/>
  <c r="AJZ5" i="3"/>
  <c r="AKD5" i="3"/>
  <c r="AKH5" i="3"/>
  <c r="AKL5" i="3"/>
  <c r="AKP5" i="3"/>
  <c r="AKT5" i="3"/>
  <c r="AKX5" i="3"/>
  <c r="ALB5" i="3"/>
  <c r="ALF5" i="3"/>
  <c r="ALJ5" i="3"/>
  <c r="B6" i="3"/>
  <c r="F6" i="3"/>
  <c r="J6" i="3"/>
  <c r="N6" i="3"/>
  <c r="R6" i="3"/>
  <c r="V6" i="3"/>
  <c r="Z6" i="3"/>
  <c r="AD6" i="3"/>
  <c r="AH6" i="3"/>
  <c r="AL6" i="3"/>
  <c r="AP6" i="3"/>
  <c r="AT6" i="3"/>
  <c r="AX6" i="3"/>
  <c r="BB6" i="3"/>
  <c r="BF6" i="3"/>
  <c r="BJ6" i="3"/>
  <c r="BN6" i="3"/>
  <c r="BR6" i="3"/>
  <c r="BV6" i="3"/>
  <c r="BZ6" i="3"/>
  <c r="CD6" i="3"/>
  <c r="CH6" i="3"/>
  <c r="CL6" i="3"/>
  <c r="CP6" i="3"/>
  <c r="CT6" i="3"/>
  <c r="CX6" i="3"/>
  <c r="DB6" i="3"/>
  <c r="DF6" i="3"/>
  <c r="DJ6" i="3"/>
  <c r="DN6" i="3"/>
  <c r="DR6" i="3"/>
  <c r="DV6" i="3"/>
  <c r="DZ6" i="3"/>
  <c r="ED6" i="3"/>
  <c r="EH6" i="3"/>
  <c r="EL6" i="3"/>
  <c r="EP6" i="3"/>
  <c r="ET6" i="3"/>
  <c r="EX6" i="3"/>
  <c r="FB6" i="3"/>
  <c r="FF6" i="3"/>
  <c r="FJ6" i="3"/>
  <c r="FN6" i="3"/>
  <c r="FR6" i="3"/>
  <c r="FV6" i="3"/>
  <c r="FZ6" i="3"/>
  <c r="GD6" i="3"/>
  <c r="GH6" i="3"/>
  <c r="GL6" i="3"/>
  <c r="GP6" i="3"/>
  <c r="GT6" i="3"/>
  <c r="GX6" i="3"/>
  <c r="HB6" i="3"/>
  <c r="HF6" i="3"/>
  <c r="HJ6" i="3"/>
  <c r="HN6" i="3"/>
  <c r="HR6" i="3"/>
  <c r="HV6" i="3"/>
  <c r="HZ6" i="3"/>
  <c r="ID6" i="3"/>
  <c r="IH6" i="3"/>
  <c r="IL6" i="3"/>
  <c r="IP6" i="3"/>
  <c r="IT6" i="3"/>
  <c r="IX6" i="3"/>
  <c r="JB6" i="3"/>
  <c r="JF6" i="3"/>
  <c r="JJ6" i="3"/>
  <c r="JN6" i="3"/>
  <c r="JR6" i="3"/>
  <c r="JV6" i="3"/>
  <c r="JZ6" i="3"/>
  <c r="KD6" i="3"/>
  <c r="KH6" i="3"/>
  <c r="KL6" i="3"/>
  <c r="KP6" i="3"/>
  <c r="KT6" i="3"/>
  <c r="KX6" i="3"/>
  <c r="LB6" i="3"/>
  <c r="LF6" i="3"/>
  <c r="LJ6" i="3"/>
  <c r="LN6" i="3"/>
  <c r="LR6" i="3"/>
  <c r="LV6" i="3"/>
  <c r="LZ6" i="3"/>
  <c r="MD6" i="3"/>
  <c r="MH6" i="3"/>
  <c r="ML6" i="3"/>
  <c r="MP6" i="3"/>
  <c r="MT6" i="3"/>
  <c r="MX6" i="3"/>
  <c r="NB6" i="3"/>
  <c r="NF6" i="3"/>
  <c r="NJ6" i="3"/>
  <c r="NN6" i="3"/>
  <c r="NR6" i="3"/>
  <c r="NV6" i="3"/>
  <c r="NZ6" i="3"/>
  <c r="OD6" i="3"/>
  <c r="OH6" i="3"/>
  <c r="OL6" i="3"/>
  <c r="OP6" i="3"/>
  <c r="OT6" i="3"/>
  <c r="OX6" i="3"/>
  <c r="PB6" i="3"/>
  <c r="PF6" i="3"/>
  <c r="PJ6" i="3"/>
  <c r="PN6" i="3"/>
  <c r="PR6" i="3"/>
  <c r="PV6" i="3"/>
  <c r="PZ6" i="3"/>
  <c r="QD6" i="3"/>
  <c r="QH6" i="3"/>
  <c r="QL6" i="3"/>
  <c r="QP6" i="3"/>
  <c r="QT6" i="3"/>
  <c r="QX6" i="3"/>
  <c r="RB6" i="3"/>
  <c r="RF6" i="3"/>
  <c r="RJ6" i="3"/>
  <c r="RN6" i="3"/>
  <c r="RR6" i="3"/>
  <c r="RV6" i="3"/>
  <c r="RZ6" i="3"/>
  <c r="SD6" i="3"/>
  <c r="SH6" i="3"/>
  <c r="SL6" i="3"/>
  <c r="SP6" i="3"/>
  <c r="ST6" i="3"/>
  <c r="SX6" i="3"/>
  <c r="TB6" i="3"/>
  <c r="TF6" i="3"/>
  <c r="TJ6" i="3"/>
  <c r="TN6" i="3"/>
  <c r="TR6" i="3"/>
  <c r="DJ5" i="3"/>
  <c r="DZ5" i="3"/>
  <c r="EP5" i="3"/>
  <c r="FB5" i="3"/>
  <c r="FJ5" i="3"/>
  <c r="FR5" i="3"/>
  <c r="FZ5" i="3"/>
  <c r="GH5" i="3"/>
  <c r="GP5" i="3"/>
  <c r="GV5" i="3"/>
  <c r="HA5" i="3"/>
  <c r="HF5" i="3"/>
  <c r="HL5" i="3"/>
  <c r="HQ5" i="3"/>
  <c r="HV5" i="3"/>
  <c r="IB5" i="3"/>
  <c r="IG5" i="3"/>
  <c r="IL5" i="3"/>
  <c r="IQ5" i="3"/>
  <c r="IU5" i="3"/>
  <c r="IY5" i="3"/>
  <c r="JC5" i="3"/>
  <c r="JG5" i="3"/>
  <c r="JK5" i="3"/>
  <c r="JO5" i="3"/>
  <c r="JS5" i="3"/>
  <c r="JW5" i="3"/>
  <c r="KA5" i="3"/>
  <c r="KE5" i="3"/>
  <c r="KI5" i="3"/>
  <c r="KM5" i="3"/>
  <c r="KQ5" i="3"/>
  <c r="KU5" i="3"/>
  <c r="KY5" i="3"/>
  <c r="LC5" i="3"/>
  <c r="LG5" i="3"/>
  <c r="LK5" i="3"/>
  <c r="LO5" i="3"/>
  <c r="LS5" i="3"/>
  <c r="LW5" i="3"/>
  <c r="MA5" i="3"/>
  <c r="ME5" i="3"/>
  <c r="MI5" i="3"/>
  <c r="MM5" i="3"/>
  <c r="MQ5" i="3"/>
  <c r="MU5" i="3"/>
  <c r="MY5" i="3"/>
  <c r="NC5" i="3"/>
  <c r="NG5" i="3"/>
  <c r="NK5" i="3"/>
  <c r="NO5" i="3"/>
  <c r="NS5" i="3"/>
  <c r="NW5" i="3"/>
  <c r="OA5" i="3"/>
  <c r="OE5" i="3"/>
  <c r="OI5" i="3"/>
  <c r="OM5" i="3"/>
  <c r="OQ5" i="3"/>
  <c r="OU5" i="3"/>
  <c r="OY5" i="3"/>
  <c r="PC5" i="3"/>
  <c r="PG5" i="3"/>
  <c r="PK5" i="3"/>
  <c r="PO5" i="3"/>
  <c r="PS5" i="3"/>
  <c r="PW5" i="3"/>
  <c r="QA5" i="3"/>
  <c r="QE5" i="3"/>
  <c r="QI5" i="3"/>
  <c r="QM5" i="3"/>
  <c r="QQ5" i="3"/>
  <c r="QU5" i="3"/>
  <c r="QY5" i="3"/>
  <c r="RC5" i="3"/>
  <c r="RG5" i="3"/>
  <c r="RK5" i="3"/>
  <c r="RO5" i="3"/>
  <c r="RS5" i="3"/>
  <c r="RW5" i="3"/>
  <c r="SA5" i="3"/>
  <c r="SE5" i="3"/>
  <c r="SI5" i="3"/>
  <c r="SM5" i="3"/>
  <c r="SQ5" i="3"/>
  <c r="SU5" i="3"/>
  <c r="SY5" i="3"/>
  <c r="TC5" i="3"/>
  <c r="TG5" i="3"/>
  <c r="TK5" i="3"/>
  <c r="TO5" i="3"/>
  <c r="TS5" i="3"/>
  <c r="TW5" i="3"/>
  <c r="UA5" i="3"/>
  <c r="UE5" i="3"/>
  <c r="UI5" i="3"/>
  <c r="UM5" i="3"/>
  <c r="UQ5" i="3"/>
  <c r="UU5" i="3"/>
  <c r="UY5" i="3"/>
  <c r="VC5" i="3"/>
  <c r="VG5" i="3"/>
  <c r="VK5" i="3"/>
  <c r="VO5" i="3"/>
  <c r="VS5" i="3"/>
  <c r="VW5" i="3"/>
  <c r="WA5" i="3"/>
  <c r="WE5" i="3"/>
  <c r="WI5" i="3"/>
  <c r="WM5" i="3"/>
  <c r="WQ5" i="3"/>
  <c r="WU5" i="3"/>
  <c r="WY5" i="3"/>
  <c r="XC5" i="3"/>
  <c r="XG5" i="3"/>
  <c r="XK5" i="3"/>
  <c r="XO5" i="3"/>
  <c r="XS5" i="3"/>
  <c r="XW5" i="3"/>
  <c r="YA5" i="3"/>
  <c r="YE5" i="3"/>
  <c r="YI5" i="3"/>
  <c r="YM5" i="3"/>
  <c r="YQ5" i="3"/>
  <c r="YU5" i="3"/>
  <c r="YY5" i="3"/>
  <c r="ZC5" i="3"/>
  <c r="ZG5" i="3"/>
  <c r="ZK5" i="3"/>
  <c r="ZO5" i="3"/>
  <c r="ZS5" i="3"/>
  <c r="ZW5" i="3"/>
  <c r="AAA5" i="3"/>
  <c r="AAE5" i="3"/>
  <c r="AAI5" i="3"/>
  <c r="AAM5" i="3"/>
  <c r="AAQ5" i="3"/>
  <c r="AAU5" i="3"/>
  <c r="AAY5" i="3"/>
  <c r="ABC5" i="3"/>
  <c r="ABG5" i="3"/>
  <c r="ABK5" i="3"/>
  <c r="ABO5" i="3"/>
  <c r="ABS5" i="3"/>
  <c r="ABW5" i="3"/>
  <c r="ACA5" i="3"/>
  <c r="ACE5" i="3"/>
  <c r="ACI5" i="3"/>
  <c r="ACM5" i="3"/>
  <c r="ACQ5" i="3"/>
  <c r="ACU5" i="3"/>
  <c r="ACY5" i="3"/>
  <c r="ADC5" i="3"/>
  <c r="ADG5" i="3"/>
  <c r="ADK5" i="3"/>
  <c r="ADO5" i="3"/>
  <c r="ADS5" i="3"/>
  <c r="ADW5" i="3"/>
  <c r="AEA5" i="3"/>
  <c r="AEE5" i="3"/>
  <c r="AEI5" i="3"/>
  <c r="AEM5" i="3"/>
  <c r="AEQ5" i="3"/>
  <c r="AEU5" i="3"/>
  <c r="AEY5" i="3"/>
  <c r="AFC5" i="3"/>
  <c r="AFG5" i="3"/>
  <c r="AFK5" i="3"/>
  <c r="AFO5" i="3"/>
  <c r="AFS5" i="3"/>
  <c r="AFW5" i="3"/>
  <c r="AGA5" i="3"/>
  <c r="AGE5" i="3"/>
  <c r="AGI5" i="3"/>
  <c r="AGM5" i="3"/>
  <c r="AGQ5" i="3"/>
  <c r="AGU5" i="3"/>
  <c r="AGY5" i="3"/>
  <c r="AHC5" i="3"/>
  <c r="AHG5" i="3"/>
  <c r="AHK5" i="3"/>
  <c r="AHO5" i="3"/>
  <c r="AHS5" i="3"/>
  <c r="AHW5" i="3"/>
  <c r="AIA5" i="3"/>
  <c r="AIE5" i="3"/>
  <c r="AII5" i="3"/>
  <c r="AIM5" i="3"/>
  <c r="AIQ5" i="3"/>
  <c r="AIU5" i="3"/>
  <c r="AIY5" i="3"/>
  <c r="AJC5" i="3"/>
  <c r="AJG5" i="3"/>
  <c r="AJK5" i="3"/>
  <c r="AJO5" i="3"/>
  <c r="AJS5" i="3"/>
  <c r="AJW5" i="3"/>
  <c r="AKA5" i="3"/>
  <c r="AKE5" i="3"/>
  <c r="AKI5" i="3"/>
  <c r="AKM5" i="3"/>
  <c r="AKQ5" i="3"/>
  <c r="AKU5" i="3"/>
  <c r="AKY5" i="3"/>
  <c r="ALC5" i="3"/>
  <c r="ALG5" i="3"/>
  <c r="ALK5" i="3"/>
  <c r="C6" i="3"/>
  <c r="G6" i="3"/>
  <c r="K6" i="3"/>
  <c r="O6" i="3"/>
  <c r="S6" i="3"/>
  <c r="W6" i="3"/>
  <c r="AA6" i="3"/>
  <c r="AE6" i="3"/>
  <c r="AI6" i="3"/>
  <c r="AM6" i="3"/>
  <c r="AQ6" i="3"/>
  <c r="AU6" i="3"/>
  <c r="AY6" i="3"/>
  <c r="BC6" i="3"/>
  <c r="BG6" i="3"/>
  <c r="BK6" i="3"/>
  <c r="BO6" i="3"/>
  <c r="BS6" i="3"/>
  <c r="BW6" i="3"/>
  <c r="CA6" i="3"/>
  <c r="CE6" i="3"/>
  <c r="CI6" i="3"/>
  <c r="CM6" i="3"/>
  <c r="CQ6" i="3"/>
  <c r="CU6" i="3"/>
  <c r="CY6" i="3"/>
  <c r="DC6" i="3"/>
  <c r="DG6" i="3"/>
  <c r="DK6" i="3"/>
  <c r="DO6" i="3"/>
  <c r="DS6" i="3"/>
  <c r="DW6" i="3"/>
  <c r="EA6" i="3"/>
  <c r="EE6" i="3"/>
  <c r="EI6" i="3"/>
  <c r="EM6" i="3"/>
  <c r="EQ6" i="3"/>
  <c r="EU6" i="3"/>
  <c r="EY6" i="3"/>
  <c r="FC6" i="3"/>
  <c r="FG6" i="3"/>
  <c r="FK6" i="3"/>
  <c r="FO6" i="3"/>
  <c r="FS6" i="3"/>
  <c r="FW6" i="3"/>
  <c r="GA6" i="3"/>
  <c r="GE6" i="3"/>
  <c r="GI6" i="3"/>
  <c r="GM6" i="3"/>
  <c r="GQ6" i="3"/>
  <c r="GU6" i="3"/>
  <c r="GY6" i="3"/>
  <c r="HC6" i="3"/>
  <c r="HG6" i="3"/>
  <c r="HK6" i="3"/>
  <c r="HO6" i="3"/>
  <c r="HS6" i="3"/>
  <c r="HW6" i="3"/>
  <c r="IA6" i="3"/>
  <c r="IE6" i="3"/>
  <c r="II6" i="3"/>
  <c r="IM6" i="3"/>
  <c r="IQ6" i="3"/>
  <c r="IU6" i="3"/>
  <c r="IY6" i="3"/>
  <c r="JC6" i="3"/>
  <c r="JG6" i="3"/>
  <c r="JK6" i="3"/>
  <c r="JO6" i="3"/>
  <c r="JS6" i="3"/>
  <c r="JW6" i="3"/>
  <c r="KA6" i="3"/>
  <c r="KE6" i="3"/>
  <c r="KI6" i="3"/>
  <c r="KM6" i="3"/>
  <c r="KQ6" i="3"/>
  <c r="KU6" i="3"/>
  <c r="KY6" i="3"/>
  <c r="LC6" i="3"/>
  <c r="LG6" i="3"/>
  <c r="LK6" i="3"/>
  <c r="LO6" i="3"/>
  <c r="LS6" i="3"/>
  <c r="LW6" i="3"/>
  <c r="MA6" i="3"/>
  <c r="ME6" i="3"/>
  <c r="MI6" i="3"/>
  <c r="MM6" i="3"/>
  <c r="MQ6" i="3"/>
  <c r="MU6" i="3"/>
  <c r="MY6" i="3"/>
  <c r="NC6" i="3"/>
  <c r="NG6" i="3"/>
  <c r="NK6" i="3"/>
  <c r="NO6" i="3"/>
  <c r="NS6" i="3"/>
  <c r="NW6" i="3"/>
  <c r="OA6" i="3"/>
  <c r="OE6" i="3"/>
  <c r="OI6" i="3"/>
  <c r="OM6" i="3"/>
  <c r="OQ6" i="3"/>
  <c r="OU6" i="3"/>
  <c r="OY6" i="3"/>
  <c r="PC6" i="3"/>
  <c r="PG6" i="3"/>
  <c r="PK6" i="3"/>
  <c r="PO6" i="3"/>
  <c r="PS6" i="3"/>
  <c r="PW6" i="3"/>
  <c r="QA6" i="3"/>
  <c r="QE6" i="3"/>
  <c r="QI6" i="3"/>
  <c r="QM6" i="3"/>
  <c r="QQ6" i="3"/>
  <c r="QU6" i="3"/>
  <c r="QY6" i="3"/>
  <c r="RC6" i="3"/>
  <c r="RG6" i="3"/>
  <c r="RK6" i="3"/>
  <c r="RO6" i="3"/>
  <c r="RS6" i="3"/>
  <c r="RW6" i="3"/>
  <c r="SA6" i="3"/>
  <c r="SE6" i="3"/>
  <c r="SI6" i="3"/>
  <c r="SM6" i="3"/>
  <c r="SQ6" i="3"/>
  <c r="SU6" i="3"/>
  <c r="SY6" i="3"/>
  <c r="TC6" i="3"/>
  <c r="TG6" i="3"/>
  <c r="TK6" i="3"/>
  <c r="TO6" i="3"/>
  <c r="TS6" i="3"/>
  <c r="DN5" i="3"/>
  <c r="ED5" i="3"/>
  <c r="ET5" i="3"/>
  <c r="FE5" i="3"/>
  <c r="FM5" i="3"/>
  <c r="FU5" i="3"/>
  <c r="GC5" i="3"/>
  <c r="GK5" i="3"/>
  <c r="GR5" i="3"/>
  <c r="GW5" i="3"/>
  <c r="HB5" i="3"/>
  <c r="HH5" i="3"/>
  <c r="HM5" i="3"/>
  <c r="HR5" i="3"/>
  <c r="HX5" i="3"/>
  <c r="IC5" i="3"/>
  <c r="IH5" i="3"/>
  <c r="IN5" i="3"/>
  <c r="IR5" i="3"/>
  <c r="IV5" i="3"/>
  <c r="IZ5" i="3"/>
  <c r="JD5" i="3"/>
  <c r="JH5" i="3"/>
  <c r="JL5" i="3"/>
  <c r="JP5" i="3"/>
  <c r="JT5" i="3"/>
  <c r="JX5" i="3"/>
  <c r="KB5" i="3"/>
  <c r="KF5" i="3"/>
  <c r="KJ5" i="3"/>
  <c r="KN5" i="3"/>
  <c r="KR5" i="3"/>
  <c r="KV5" i="3"/>
  <c r="KZ5" i="3"/>
  <c r="LD5" i="3"/>
  <c r="LH5" i="3"/>
  <c r="LL5" i="3"/>
  <c r="LP5" i="3"/>
  <c r="LT5" i="3"/>
  <c r="LX5" i="3"/>
  <c r="MB5" i="3"/>
  <c r="MF5" i="3"/>
  <c r="MJ5" i="3"/>
  <c r="MN5" i="3"/>
  <c r="MR5" i="3"/>
  <c r="MV5" i="3"/>
  <c r="MZ5" i="3"/>
  <c r="ND5" i="3"/>
  <c r="NH5" i="3"/>
  <c r="NL5" i="3"/>
  <c r="NP5" i="3"/>
  <c r="NT5" i="3"/>
  <c r="NX5" i="3"/>
  <c r="OB5" i="3"/>
  <c r="OF5" i="3"/>
  <c r="OJ5" i="3"/>
  <c r="ON5" i="3"/>
  <c r="OR5" i="3"/>
  <c r="OV5" i="3"/>
  <c r="OZ5" i="3"/>
  <c r="PD5" i="3"/>
  <c r="PH5" i="3"/>
  <c r="PL5" i="3"/>
  <c r="PP5" i="3"/>
  <c r="PT5" i="3"/>
  <c r="PX5" i="3"/>
  <c r="QB5" i="3"/>
  <c r="QF5" i="3"/>
  <c r="QJ5" i="3"/>
  <c r="QN5" i="3"/>
  <c r="QR5" i="3"/>
  <c r="QV5" i="3"/>
  <c r="QZ5" i="3"/>
  <c r="RD5" i="3"/>
  <c r="RH5" i="3"/>
  <c r="RL5" i="3"/>
  <c r="RP5" i="3"/>
  <c r="RT5" i="3"/>
  <c r="RX5" i="3"/>
  <c r="SB5" i="3"/>
  <c r="SF5" i="3"/>
  <c r="SJ5" i="3"/>
  <c r="SN5" i="3"/>
  <c r="SR5" i="3"/>
  <c r="SV5" i="3"/>
  <c r="SZ5" i="3"/>
  <c r="TD5" i="3"/>
  <c r="TH5" i="3"/>
  <c r="TL5" i="3"/>
  <c r="TP5" i="3"/>
  <c r="TT5" i="3"/>
  <c r="TX5" i="3"/>
  <c r="UB5" i="3"/>
  <c r="UF5" i="3"/>
  <c r="UJ5" i="3"/>
  <c r="UN5" i="3"/>
  <c r="UR5" i="3"/>
  <c r="UV5" i="3"/>
  <c r="UZ5" i="3"/>
  <c r="VD5" i="3"/>
  <c r="VH5" i="3"/>
  <c r="VL5" i="3"/>
  <c r="VP5" i="3"/>
  <c r="VT5" i="3"/>
  <c r="VX5" i="3"/>
  <c r="WB5" i="3"/>
  <c r="WF5" i="3"/>
  <c r="WJ5" i="3"/>
  <c r="WN5" i="3"/>
  <c r="WR5" i="3"/>
  <c r="WV5" i="3"/>
  <c r="WZ5" i="3"/>
  <c r="XD5" i="3"/>
  <c r="XH5" i="3"/>
  <c r="XL5" i="3"/>
  <c r="XP5" i="3"/>
  <c r="XT5" i="3"/>
  <c r="XX5" i="3"/>
  <c r="YB5" i="3"/>
  <c r="YF5" i="3"/>
  <c r="YJ5" i="3"/>
  <c r="YN5" i="3"/>
  <c r="YR5" i="3"/>
  <c r="YV5" i="3"/>
  <c r="YZ5" i="3"/>
  <c r="ZD5" i="3"/>
  <c r="ZH5" i="3"/>
  <c r="ZL5" i="3"/>
  <c r="ZP5" i="3"/>
  <c r="ZT5" i="3"/>
  <c r="ZX5" i="3"/>
  <c r="AAB5" i="3"/>
  <c r="AAF5" i="3"/>
  <c r="AAJ5" i="3"/>
  <c r="AAN5" i="3"/>
  <c r="AAR5" i="3"/>
  <c r="AAV5" i="3"/>
  <c r="AAZ5" i="3"/>
  <c r="ABD5" i="3"/>
  <c r="ABH5" i="3"/>
  <c r="ABL5" i="3"/>
  <c r="ABP5" i="3"/>
  <c r="ABT5" i="3"/>
  <c r="ABX5" i="3"/>
  <c r="ACB5" i="3"/>
  <c r="ACF5" i="3"/>
  <c r="ACJ5" i="3"/>
  <c r="ACN5" i="3"/>
  <c r="ACR5" i="3"/>
  <c r="ACV5" i="3"/>
  <c r="ACZ5" i="3"/>
  <c r="ADD5" i="3"/>
  <c r="ADH5" i="3"/>
  <c r="ADL5" i="3"/>
  <c r="ADP5" i="3"/>
  <c r="ADT5" i="3"/>
  <c r="ADX5" i="3"/>
  <c r="AEB5" i="3"/>
  <c r="AEF5" i="3"/>
  <c r="AEJ5" i="3"/>
  <c r="AEN5" i="3"/>
  <c r="AER5" i="3"/>
  <c r="AEV5" i="3"/>
  <c r="AEZ5" i="3"/>
  <c r="AFD5" i="3"/>
  <c r="AFH5" i="3"/>
  <c r="AFL5" i="3"/>
  <c r="AFP5" i="3"/>
  <c r="AFT5" i="3"/>
  <c r="AFX5" i="3"/>
  <c r="AGB5" i="3"/>
  <c r="AGF5" i="3"/>
  <c r="AGJ5" i="3"/>
  <c r="AGN5" i="3"/>
  <c r="AGR5" i="3"/>
  <c r="AGV5" i="3"/>
  <c r="AGZ5" i="3"/>
  <c r="AHD5" i="3"/>
  <c r="AHH5" i="3"/>
  <c r="AHL5" i="3"/>
  <c r="AHP5" i="3"/>
  <c r="AHT5" i="3"/>
  <c r="AHX5" i="3"/>
  <c r="AIB5" i="3"/>
  <c r="AIF5" i="3"/>
  <c r="AIJ5" i="3"/>
  <c r="AIN5" i="3"/>
  <c r="AIR5" i="3"/>
  <c r="AIV5" i="3"/>
  <c r="AIZ5" i="3"/>
  <c r="AJD5" i="3"/>
  <c r="AJH5" i="3"/>
  <c r="AJL5" i="3"/>
  <c r="AJP5" i="3"/>
  <c r="AJT5" i="3"/>
  <c r="AJX5" i="3"/>
  <c r="AKB5" i="3"/>
  <c r="AKF5" i="3"/>
  <c r="AKJ5" i="3"/>
  <c r="AKN5" i="3"/>
  <c r="AKR5" i="3"/>
  <c r="AKV5" i="3"/>
  <c r="AKZ5" i="3"/>
  <c r="ALD5" i="3"/>
  <c r="ALH5" i="3"/>
  <c r="ALL5" i="3"/>
  <c r="D6" i="3"/>
  <c r="H6" i="3"/>
  <c r="L6" i="3"/>
  <c r="P6" i="3"/>
  <c r="T6" i="3"/>
  <c r="X6" i="3"/>
  <c r="AB6" i="3"/>
  <c r="AF6" i="3"/>
  <c r="AJ6" i="3"/>
  <c r="AN6" i="3"/>
  <c r="AR6" i="3"/>
  <c r="AV6" i="3"/>
  <c r="AZ6" i="3"/>
  <c r="BD6" i="3"/>
  <c r="BH6" i="3"/>
  <c r="BL6" i="3"/>
  <c r="BP6" i="3"/>
  <c r="BT6" i="3"/>
  <c r="BX6" i="3"/>
  <c r="CB6" i="3"/>
  <c r="CF6" i="3"/>
  <c r="CJ6" i="3"/>
  <c r="CN6" i="3"/>
  <c r="CR6" i="3"/>
  <c r="CV6" i="3"/>
  <c r="CZ6" i="3"/>
  <c r="DD6" i="3"/>
  <c r="DH6" i="3"/>
  <c r="DL6" i="3"/>
  <c r="DP6" i="3"/>
  <c r="DT6" i="3"/>
  <c r="DX6" i="3"/>
  <c r="EB6" i="3"/>
  <c r="EF6" i="3"/>
  <c r="EJ6" i="3"/>
  <c r="EN6" i="3"/>
  <c r="ER6" i="3"/>
  <c r="EV6" i="3"/>
  <c r="EZ6" i="3"/>
  <c r="FD6" i="3"/>
  <c r="FH6" i="3"/>
  <c r="FL6" i="3"/>
  <c r="FP6" i="3"/>
  <c r="FT6" i="3"/>
  <c r="FX6" i="3"/>
  <c r="GB6" i="3"/>
  <c r="GF6" i="3"/>
  <c r="GJ6" i="3"/>
  <c r="GN6" i="3"/>
  <c r="GR6" i="3"/>
  <c r="GV6" i="3"/>
  <c r="GZ6" i="3"/>
  <c r="HD6" i="3"/>
  <c r="HH6" i="3"/>
  <c r="HL6" i="3"/>
  <c r="HP6" i="3"/>
  <c r="HT6" i="3"/>
  <c r="HX6" i="3"/>
  <c r="IB6" i="3"/>
  <c r="IF6" i="3"/>
  <c r="IJ6" i="3"/>
  <c r="IN6" i="3"/>
  <c r="IR6" i="3"/>
  <c r="IV6" i="3"/>
  <c r="IZ6" i="3"/>
  <c r="JD6" i="3"/>
  <c r="JH6" i="3"/>
  <c r="JL6" i="3"/>
  <c r="JP6" i="3"/>
  <c r="JT6" i="3"/>
  <c r="JX6" i="3"/>
  <c r="KB6" i="3"/>
  <c r="KF6" i="3"/>
  <c r="KJ6" i="3"/>
  <c r="KN6" i="3"/>
  <c r="KR6" i="3"/>
  <c r="KV6" i="3"/>
  <c r="KZ6" i="3"/>
  <c r="LD6" i="3"/>
  <c r="LH6" i="3"/>
  <c r="LL6" i="3"/>
  <c r="LP6" i="3"/>
  <c r="LT6" i="3"/>
  <c r="LX6" i="3"/>
  <c r="MB6" i="3"/>
  <c r="MF6" i="3"/>
  <c r="MJ6" i="3"/>
  <c r="MN6" i="3"/>
  <c r="MR6" i="3"/>
  <c r="MV6" i="3"/>
  <c r="MZ6" i="3"/>
  <c r="ND6" i="3"/>
  <c r="NH6" i="3"/>
  <c r="NL6" i="3"/>
  <c r="NP6" i="3"/>
  <c r="NT6" i="3"/>
  <c r="NX6" i="3"/>
  <c r="OB6" i="3"/>
  <c r="OF6" i="3"/>
  <c r="OJ6" i="3"/>
  <c r="ON6" i="3"/>
  <c r="OR6" i="3"/>
  <c r="OV6" i="3"/>
  <c r="OZ6" i="3"/>
  <c r="PD6" i="3"/>
  <c r="PH6" i="3"/>
  <c r="PL6" i="3"/>
  <c r="PP6" i="3"/>
  <c r="PT6" i="3"/>
  <c r="PX6" i="3"/>
  <c r="QB6" i="3"/>
  <c r="QF6" i="3"/>
  <c r="QJ6" i="3"/>
  <c r="QN6" i="3"/>
  <c r="QR6" i="3"/>
  <c r="QV6" i="3"/>
  <c r="QZ6" i="3"/>
  <c r="RD6" i="3"/>
  <c r="RH6" i="3"/>
  <c r="RL6" i="3"/>
  <c r="RP6" i="3"/>
  <c r="RT6" i="3"/>
  <c r="RX6" i="3"/>
  <c r="SB6" i="3"/>
  <c r="SF6" i="3"/>
  <c r="SJ6" i="3"/>
  <c r="SN6" i="3"/>
  <c r="SR6" i="3"/>
  <c r="SV6" i="3"/>
  <c r="SZ6" i="3"/>
  <c r="TD6" i="3"/>
  <c r="TH6" i="3"/>
  <c r="TL6" i="3"/>
  <c r="TP6" i="3"/>
  <c r="TT6" i="3"/>
  <c r="TU6" i="3"/>
  <c r="TY6" i="3"/>
  <c r="UC6" i="3"/>
  <c r="UG6" i="3"/>
  <c r="UK6" i="3"/>
  <c r="UO6" i="3"/>
  <c r="US6" i="3"/>
  <c r="UW6" i="3"/>
  <c r="VA6" i="3"/>
  <c r="VE6" i="3"/>
  <c r="VI6" i="3"/>
  <c r="VM6" i="3"/>
  <c r="VQ6" i="3"/>
  <c r="VU6" i="3"/>
  <c r="VY6" i="3"/>
  <c r="WC6" i="3"/>
  <c r="WG6" i="3"/>
  <c r="WK6" i="3"/>
  <c r="WO6" i="3"/>
  <c r="WS6" i="3"/>
  <c r="WW6" i="3"/>
  <c r="XA6" i="3"/>
  <c r="XE6" i="3"/>
  <c r="XI6" i="3"/>
  <c r="XM6" i="3"/>
  <c r="XQ6" i="3"/>
  <c r="XU6" i="3"/>
  <c r="XY6" i="3"/>
  <c r="YC6" i="3"/>
  <c r="YG6" i="3"/>
  <c r="YK6" i="3"/>
  <c r="YO6" i="3"/>
  <c r="YS6" i="3"/>
  <c r="YW6" i="3"/>
  <c r="ZA6" i="3"/>
  <c r="ZE6" i="3"/>
  <c r="ZI6" i="3"/>
  <c r="ZM6" i="3"/>
  <c r="ZQ6" i="3"/>
  <c r="ZU6" i="3"/>
  <c r="ZY6" i="3"/>
  <c r="AAC6" i="3"/>
  <c r="AAG6" i="3"/>
  <c r="AAK6" i="3"/>
  <c r="AAO6" i="3"/>
  <c r="AAS6" i="3"/>
  <c r="AAW6" i="3"/>
  <c r="ABA6" i="3"/>
  <c r="ABE6" i="3"/>
  <c r="ABI6" i="3"/>
  <c r="ABM6" i="3"/>
  <c r="ABQ6" i="3"/>
  <c r="ABU6" i="3"/>
  <c r="ABY6" i="3"/>
  <c r="ACC6" i="3"/>
  <c r="ACG6" i="3"/>
  <c r="ACK6" i="3"/>
  <c r="ACO6" i="3"/>
  <c r="ACS6" i="3"/>
  <c r="ACW6" i="3"/>
  <c r="ADA6" i="3"/>
  <c r="ADE6" i="3"/>
  <c r="ADI6" i="3"/>
  <c r="ADM6" i="3"/>
  <c r="ADQ6" i="3"/>
  <c r="ADU6" i="3"/>
  <c r="ADY6" i="3"/>
  <c r="AEC6" i="3"/>
  <c r="AEG6" i="3"/>
  <c r="AEK6" i="3"/>
  <c r="AEO6" i="3"/>
  <c r="AES6" i="3"/>
  <c r="AEW6" i="3"/>
  <c r="AFA6" i="3"/>
  <c r="AFE6" i="3"/>
  <c r="AFI6" i="3"/>
  <c r="AFM6" i="3"/>
  <c r="AFQ6" i="3"/>
  <c r="AFU6" i="3"/>
  <c r="AFY6" i="3"/>
  <c r="AGC6" i="3"/>
  <c r="AGG6" i="3"/>
  <c r="AGK6" i="3"/>
  <c r="AGO6" i="3"/>
  <c r="AGS6" i="3"/>
  <c r="AGW6" i="3"/>
  <c r="AHA6" i="3"/>
  <c r="AHE6" i="3"/>
  <c r="AHI6" i="3"/>
  <c r="AHM6" i="3"/>
  <c r="AHQ6" i="3"/>
  <c r="AHU6" i="3"/>
  <c r="AHY6" i="3"/>
  <c r="AIC6" i="3"/>
  <c r="AIG6" i="3"/>
  <c r="AIK6" i="3"/>
  <c r="AIO6" i="3"/>
  <c r="AIS6" i="3"/>
  <c r="AIW6" i="3"/>
  <c r="AJA6" i="3"/>
  <c r="AJE6" i="3"/>
  <c r="AJI6" i="3"/>
  <c r="AJM6" i="3"/>
  <c r="AJQ6" i="3"/>
  <c r="AJU6" i="3"/>
  <c r="AJY6" i="3"/>
  <c r="AKC6" i="3"/>
  <c r="AKG6" i="3"/>
  <c r="AKK6" i="3"/>
  <c r="AKO6" i="3"/>
  <c r="AKS6" i="3"/>
  <c r="AKW6" i="3"/>
  <c r="ALA6" i="3"/>
  <c r="ALE6" i="3"/>
  <c r="ALI6" i="3"/>
  <c r="ALM6" i="3"/>
  <c r="E7" i="3"/>
  <c r="I7" i="3"/>
  <c r="M7" i="3"/>
  <c r="Q7" i="3"/>
  <c r="U7" i="3"/>
  <c r="Y7" i="3"/>
  <c r="AC7" i="3"/>
  <c r="AG7" i="3"/>
  <c r="AK7" i="3"/>
  <c r="AO7" i="3"/>
  <c r="AS7" i="3"/>
  <c r="AW7" i="3"/>
  <c r="BA7" i="3"/>
  <c r="BE7" i="3"/>
  <c r="BI7" i="3"/>
  <c r="BM7" i="3"/>
  <c r="BQ7" i="3"/>
  <c r="BU7" i="3"/>
  <c r="BY7" i="3"/>
  <c r="CC7" i="3"/>
  <c r="CG7" i="3"/>
  <c r="CK7" i="3"/>
  <c r="CO7" i="3"/>
  <c r="CS7" i="3"/>
  <c r="CW7" i="3"/>
  <c r="DA7" i="3"/>
  <c r="DE7" i="3"/>
  <c r="DI7" i="3"/>
  <c r="DM7" i="3"/>
  <c r="DQ7" i="3"/>
  <c r="DU7" i="3"/>
  <c r="DY7" i="3"/>
  <c r="EC7" i="3"/>
  <c r="EG7" i="3"/>
  <c r="EK7" i="3"/>
  <c r="EO7" i="3"/>
  <c r="ES7" i="3"/>
  <c r="EW7" i="3"/>
  <c r="FA7" i="3"/>
  <c r="FE7" i="3"/>
  <c r="FI7" i="3"/>
  <c r="FM7" i="3"/>
  <c r="FQ7" i="3"/>
  <c r="FU7" i="3"/>
  <c r="FY7" i="3"/>
  <c r="GC7" i="3"/>
  <c r="GG7" i="3"/>
  <c r="GK7" i="3"/>
  <c r="GO7" i="3"/>
  <c r="GS7" i="3"/>
  <c r="GW7" i="3"/>
  <c r="HA7" i="3"/>
  <c r="HE7" i="3"/>
  <c r="HI7" i="3"/>
  <c r="HM7" i="3"/>
  <c r="HQ7" i="3"/>
  <c r="HU7" i="3"/>
  <c r="HY7" i="3"/>
  <c r="IC7" i="3"/>
  <c r="IG7" i="3"/>
  <c r="IK7" i="3"/>
  <c r="IO7" i="3"/>
  <c r="IS7" i="3"/>
  <c r="IW7" i="3"/>
  <c r="JA7" i="3"/>
  <c r="JE7" i="3"/>
  <c r="JI7" i="3"/>
  <c r="JM7" i="3"/>
  <c r="JQ7" i="3"/>
  <c r="JU7" i="3"/>
  <c r="JY7" i="3"/>
  <c r="KC7" i="3"/>
  <c r="KG7" i="3"/>
  <c r="KK7" i="3"/>
  <c r="KO7" i="3"/>
  <c r="KS7" i="3"/>
  <c r="KW7" i="3"/>
  <c r="LA7" i="3"/>
  <c r="LE7" i="3"/>
  <c r="LI7" i="3"/>
  <c r="LM7" i="3"/>
  <c r="LQ7" i="3"/>
  <c r="LU7" i="3"/>
  <c r="LY7" i="3"/>
  <c r="MC7" i="3"/>
  <c r="MG7" i="3"/>
  <c r="MK7" i="3"/>
  <c r="MO7" i="3"/>
  <c r="MS7" i="3"/>
  <c r="MW7" i="3"/>
  <c r="NA7" i="3"/>
  <c r="NE7" i="3"/>
  <c r="NI7" i="3"/>
  <c r="NM7" i="3"/>
  <c r="NQ7" i="3"/>
  <c r="NU7" i="3"/>
  <c r="NY7" i="3"/>
  <c r="OC7" i="3"/>
  <c r="OG7" i="3"/>
  <c r="OK7" i="3"/>
  <c r="OO7" i="3"/>
  <c r="OS7" i="3"/>
  <c r="OW7" i="3"/>
  <c r="PA7" i="3"/>
  <c r="PE7" i="3"/>
  <c r="PI7" i="3"/>
  <c r="PM7" i="3"/>
  <c r="PQ7" i="3"/>
  <c r="PU7" i="3"/>
  <c r="PY7" i="3"/>
  <c r="QC7" i="3"/>
  <c r="QG7" i="3"/>
  <c r="QK7" i="3"/>
  <c r="QO7" i="3"/>
  <c r="QS7" i="3"/>
  <c r="QW7" i="3"/>
  <c r="RA7" i="3"/>
  <c r="RE7" i="3"/>
  <c r="RI7" i="3"/>
  <c r="RM7" i="3"/>
  <c r="RQ7" i="3"/>
  <c r="RU7" i="3"/>
  <c r="RY7" i="3"/>
  <c r="SC7" i="3"/>
  <c r="SG7" i="3"/>
  <c r="SK7" i="3"/>
  <c r="SO7" i="3"/>
  <c r="SS7" i="3"/>
  <c r="SW7" i="3"/>
  <c r="TA7" i="3"/>
  <c r="TE7" i="3"/>
  <c r="TI7" i="3"/>
  <c r="TM7" i="3"/>
  <c r="TQ7" i="3"/>
  <c r="TU7" i="3"/>
  <c r="TY7" i="3"/>
  <c r="UC7" i="3"/>
  <c r="UG7" i="3"/>
  <c r="UK7" i="3"/>
  <c r="UO7" i="3"/>
  <c r="US7" i="3"/>
  <c r="UW7" i="3"/>
  <c r="VA7" i="3"/>
  <c r="VE7" i="3"/>
  <c r="VI7" i="3"/>
  <c r="VM7" i="3"/>
  <c r="VQ7" i="3"/>
  <c r="VU7" i="3"/>
  <c r="VY7" i="3"/>
  <c r="WC7" i="3"/>
  <c r="WG7" i="3"/>
  <c r="WK7" i="3"/>
  <c r="WO7" i="3"/>
  <c r="WS7" i="3"/>
  <c r="WW7" i="3"/>
  <c r="XA7" i="3"/>
  <c r="XE7" i="3"/>
  <c r="XI7" i="3"/>
  <c r="XM7" i="3"/>
  <c r="XQ7" i="3"/>
  <c r="XU7" i="3"/>
  <c r="XY7" i="3"/>
  <c r="YC7" i="3"/>
  <c r="YG7" i="3"/>
  <c r="YK7" i="3"/>
  <c r="YO7" i="3"/>
  <c r="YS7" i="3"/>
  <c r="YW7" i="3"/>
  <c r="ZA7" i="3"/>
  <c r="ZE7" i="3"/>
  <c r="ZI7" i="3"/>
  <c r="ZM7" i="3"/>
  <c r="ZQ7" i="3"/>
  <c r="ZU7" i="3"/>
  <c r="ZY7" i="3"/>
  <c r="AAC7" i="3"/>
  <c r="AAG7" i="3"/>
  <c r="AAK7" i="3"/>
  <c r="AAO7" i="3"/>
  <c r="AAS7" i="3"/>
  <c r="AAW7" i="3"/>
  <c r="ABA7" i="3"/>
  <c r="ABE7" i="3"/>
  <c r="ABI7" i="3"/>
  <c r="ABM7" i="3"/>
  <c r="ABQ7" i="3"/>
  <c r="ABU7" i="3"/>
  <c r="ABY7" i="3"/>
  <c r="ACC7" i="3"/>
  <c r="ACG7" i="3"/>
  <c r="ACK7" i="3"/>
  <c r="ACO7" i="3"/>
  <c r="ACS7" i="3"/>
  <c r="ACW7" i="3"/>
  <c r="ADA7" i="3"/>
  <c r="ADE7" i="3"/>
  <c r="ADI7" i="3"/>
  <c r="ADM7" i="3"/>
  <c r="ADQ7" i="3"/>
  <c r="ADU7" i="3"/>
  <c r="ADY7" i="3"/>
  <c r="AEC7" i="3"/>
  <c r="AEG7" i="3"/>
  <c r="AEK7" i="3"/>
  <c r="AEO7" i="3"/>
  <c r="AES7" i="3"/>
  <c r="AEW7" i="3"/>
  <c r="AFA7" i="3"/>
  <c r="AFE7" i="3"/>
  <c r="AFI7" i="3"/>
  <c r="AFM7" i="3"/>
  <c r="AFQ7" i="3"/>
  <c r="AFU7" i="3"/>
  <c r="AFY7" i="3"/>
  <c r="AGC7" i="3"/>
  <c r="AGG7" i="3"/>
  <c r="AGK7" i="3"/>
  <c r="AGO7" i="3"/>
  <c r="AGS7" i="3"/>
  <c r="AGW7" i="3"/>
  <c r="AHA7" i="3"/>
  <c r="AHE7" i="3"/>
  <c r="AHI7" i="3"/>
  <c r="AHM7" i="3"/>
  <c r="AHQ7" i="3"/>
  <c r="TV6" i="3"/>
  <c r="TZ6" i="3"/>
  <c r="UD6" i="3"/>
  <c r="UH6" i="3"/>
  <c r="UL6" i="3"/>
  <c r="UP6" i="3"/>
  <c r="UT6" i="3"/>
  <c r="UX6" i="3"/>
  <c r="VB6" i="3"/>
  <c r="VF6" i="3"/>
  <c r="VJ6" i="3"/>
  <c r="VN6" i="3"/>
  <c r="VR6" i="3"/>
  <c r="VV6" i="3"/>
  <c r="VZ6" i="3"/>
  <c r="WD6" i="3"/>
  <c r="WH6" i="3"/>
  <c r="WL6" i="3"/>
  <c r="WP6" i="3"/>
  <c r="WT6" i="3"/>
  <c r="WX6" i="3"/>
  <c r="XB6" i="3"/>
  <c r="XF6" i="3"/>
  <c r="XJ6" i="3"/>
  <c r="XN6" i="3"/>
  <c r="XR6" i="3"/>
  <c r="XV6" i="3"/>
  <c r="XZ6" i="3"/>
  <c r="YD6" i="3"/>
  <c r="YH6" i="3"/>
  <c r="YL6" i="3"/>
  <c r="YP6" i="3"/>
  <c r="YT6" i="3"/>
  <c r="YX6" i="3"/>
  <c r="ZB6" i="3"/>
  <c r="ZF6" i="3"/>
  <c r="ZJ6" i="3"/>
  <c r="ZN6" i="3"/>
  <c r="ZR6" i="3"/>
  <c r="ZV6" i="3"/>
  <c r="ZZ6" i="3"/>
  <c r="AAD6" i="3"/>
  <c r="AAH6" i="3"/>
  <c r="AAL6" i="3"/>
  <c r="AAP6" i="3"/>
  <c r="AAT6" i="3"/>
  <c r="AAX6" i="3"/>
  <c r="ABB6" i="3"/>
  <c r="ABF6" i="3"/>
  <c r="ABJ6" i="3"/>
  <c r="ABN6" i="3"/>
  <c r="ABR6" i="3"/>
  <c r="ABV6" i="3"/>
  <c r="ABZ6" i="3"/>
  <c r="ACD6" i="3"/>
  <c r="ACH6" i="3"/>
  <c r="ACL6" i="3"/>
  <c r="ACP6" i="3"/>
  <c r="ACT6" i="3"/>
  <c r="ACX6" i="3"/>
  <c r="ADB6" i="3"/>
  <c r="ADF6" i="3"/>
  <c r="ADJ6" i="3"/>
  <c r="ADN6" i="3"/>
  <c r="ADR6" i="3"/>
  <c r="ADV6" i="3"/>
  <c r="ADZ6" i="3"/>
  <c r="AED6" i="3"/>
  <c r="AEH6" i="3"/>
  <c r="AEL6" i="3"/>
  <c r="AEP6" i="3"/>
  <c r="AET6" i="3"/>
  <c r="AEX6" i="3"/>
  <c r="AFB6" i="3"/>
  <c r="AFF6" i="3"/>
  <c r="AFJ6" i="3"/>
  <c r="AFN6" i="3"/>
  <c r="AFR6" i="3"/>
  <c r="AFV6" i="3"/>
  <c r="AFZ6" i="3"/>
  <c r="AGD6" i="3"/>
  <c r="AGH6" i="3"/>
  <c r="AGL6" i="3"/>
  <c r="AGP6" i="3"/>
  <c r="AGT6" i="3"/>
  <c r="AGX6" i="3"/>
  <c r="AHB6" i="3"/>
  <c r="AHF6" i="3"/>
  <c r="AHJ6" i="3"/>
  <c r="AHN6" i="3"/>
  <c r="AHR6" i="3"/>
  <c r="AHV6" i="3"/>
  <c r="AHZ6" i="3"/>
  <c r="AID6" i="3"/>
  <c r="AIH6" i="3"/>
  <c r="AIL6" i="3"/>
  <c r="AIP6" i="3"/>
  <c r="AIT6" i="3"/>
  <c r="AIX6" i="3"/>
  <c r="AJB6" i="3"/>
  <c r="AJF6" i="3"/>
  <c r="AJJ6" i="3"/>
  <c r="AJN6" i="3"/>
  <c r="AJR6" i="3"/>
  <c r="AJV6" i="3"/>
  <c r="AJZ6" i="3"/>
  <c r="AKD6" i="3"/>
  <c r="AKH6" i="3"/>
  <c r="AKL6" i="3"/>
  <c r="AKP6" i="3"/>
  <c r="AKT6" i="3"/>
  <c r="AKX6" i="3"/>
  <c r="ALB6" i="3"/>
  <c r="ALF6" i="3"/>
  <c r="ALJ6" i="3"/>
  <c r="B7" i="3"/>
  <c r="F7" i="3"/>
  <c r="J7" i="3"/>
  <c r="N7" i="3"/>
  <c r="R7" i="3"/>
  <c r="V7" i="3"/>
  <c r="Z7" i="3"/>
  <c r="AD7" i="3"/>
  <c r="AH7" i="3"/>
  <c r="AL7" i="3"/>
  <c r="AP7" i="3"/>
  <c r="AT7" i="3"/>
  <c r="AX7" i="3"/>
  <c r="BB7" i="3"/>
  <c r="BF7" i="3"/>
  <c r="BJ7" i="3"/>
  <c r="BN7" i="3"/>
  <c r="BR7" i="3"/>
  <c r="BV7" i="3"/>
  <c r="BZ7" i="3"/>
  <c r="CD7" i="3"/>
  <c r="CH7" i="3"/>
  <c r="CL7" i="3"/>
  <c r="CP7" i="3"/>
  <c r="CT7" i="3"/>
  <c r="CX7" i="3"/>
  <c r="DB7" i="3"/>
  <c r="DF7" i="3"/>
  <c r="DJ7" i="3"/>
  <c r="DN7" i="3"/>
  <c r="DR7" i="3"/>
  <c r="DV7" i="3"/>
  <c r="DZ7" i="3"/>
  <c r="ED7" i="3"/>
  <c r="EH7" i="3"/>
  <c r="EL7" i="3"/>
  <c r="EP7" i="3"/>
  <c r="ET7" i="3"/>
  <c r="EX7" i="3"/>
  <c r="FB7" i="3"/>
  <c r="FF7" i="3"/>
  <c r="FJ7" i="3"/>
  <c r="FN7" i="3"/>
  <c r="FR7" i="3"/>
  <c r="FV7" i="3"/>
  <c r="FZ7" i="3"/>
  <c r="GD7" i="3"/>
  <c r="GH7" i="3"/>
  <c r="GL7" i="3"/>
  <c r="GP7" i="3"/>
  <c r="GT7" i="3"/>
  <c r="GX7" i="3"/>
  <c r="HB7" i="3"/>
  <c r="HF7" i="3"/>
  <c r="HJ7" i="3"/>
  <c r="HN7" i="3"/>
  <c r="HR7" i="3"/>
  <c r="HV7" i="3"/>
  <c r="HZ7" i="3"/>
  <c r="ID7" i="3"/>
  <c r="IH7" i="3"/>
  <c r="IL7" i="3"/>
  <c r="IP7" i="3"/>
  <c r="IT7" i="3"/>
  <c r="IX7" i="3"/>
  <c r="JB7" i="3"/>
  <c r="JF7" i="3"/>
  <c r="JJ7" i="3"/>
  <c r="JN7" i="3"/>
  <c r="JR7" i="3"/>
  <c r="JV7" i="3"/>
  <c r="JZ7" i="3"/>
  <c r="KD7" i="3"/>
  <c r="KH7" i="3"/>
  <c r="KL7" i="3"/>
  <c r="KP7" i="3"/>
  <c r="KT7" i="3"/>
  <c r="KX7" i="3"/>
  <c r="LB7" i="3"/>
  <c r="LF7" i="3"/>
  <c r="LJ7" i="3"/>
  <c r="LN7" i="3"/>
  <c r="LR7" i="3"/>
  <c r="LV7" i="3"/>
  <c r="LZ7" i="3"/>
  <c r="MD7" i="3"/>
  <c r="MH7" i="3"/>
  <c r="ML7" i="3"/>
  <c r="MP7" i="3"/>
  <c r="MT7" i="3"/>
  <c r="MX7" i="3"/>
  <c r="NB7" i="3"/>
  <c r="NF7" i="3"/>
  <c r="NJ7" i="3"/>
  <c r="NN7" i="3"/>
  <c r="NR7" i="3"/>
  <c r="NV7" i="3"/>
  <c r="NZ7" i="3"/>
  <c r="OD7" i="3"/>
  <c r="OH7" i="3"/>
  <c r="OL7" i="3"/>
  <c r="OP7" i="3"/>
  <c r="OT7" i="3"/>
  <c r="OX7" i="3"/>
  <c r="PB7" i="3"/>
  <c r="PF7" i="3"/>
  <c r="PJ7" i="3"/>
  <c r="PN7" i="3"/>
  <c r="PR7" i="3"/>
  <c r="PV7" i="3"/>
  <c r="PZ7" i="3"/>
  <c r="QD7" i="3"/>
  <c r="QH7" i="3"/>
  <c r="QL7" i="3"/>
  <c r="QP7" i="3"/>
  <c r="QT7" i="3"/>
  <c r="QX7" i="3"/>
  <c r="RB7" i="3"/>
  <c r="RF7" i="3"/>
  <c r="RJ7" i="3"/>
  <c r="RN7" i="3"/>
  <c r="RR7" i="3"/>
  <c r="RV7" i="3"/>
  <c r="RZ7" i="3"/>
  <c r="SD7" i="3"/>
  <c r="SH7" i="3"/>
  <c r="SL7" i="3"/>
  <c r="SP7" i="3"/>
  <c r="ST7" i="3"/>
  <c r="SX7" i="3"/>
  <c r="TB7" i="3"/>
  <c r="TF7" i="3"/>
  <c r="TJ7" i="3"/>
  <c r="TN7" i="3"/>
  <c r="TR7" i="3"/>
  <c r="TV7" i="3"/>
  <c r="TZ7" i="3"/>
  <c r="UD7" i="3"/>
  <c r="UH7" i="3"/>
  <c r="UL7" i="3"/>
  <c r="UP7" i="3"/>
  <c r="UT7" i="3"/>
  <c r="UX7" i="3"/>
  <c r="VB7" i="3"/>
  <c r="VF7" i="3"/>
  <c r="VJ7" i="3"/>
  <c r="VN7" i="3"/>
  <c r="VR7" i="3"/>
  <c r="VV7" i="3"/>
  <c r="VZ7" i="3"/>
  <c r="WD7" i="3"/>
  <c r="WH7" i="3"/>
  <c r="WL7" i="3"/>
  <c r="WP7" i="3"/>
  <c r="WT7" i="3"/>
  <c r="WX7" i="3"/>
  <c r="XB7" i="3"/>
  <c r="XF7" i="3"/>
  <c r="XJ7" i="3"/>
  <c r="XN7" i="3"/>
  <c r="XR7" i="3"/>
  <c r="XV7" i="3"/>
  <c r="XZ7" i="3"/>
  <c r="YD7" i="3"/>
  <c r="YH7" i="3"/>
  <c r="YL7" i="3"/>
  <c r="YP7" i="3"/>
  <c r="YT7" i="3"/>
  <c r="YX7" i="3"/>
  <c r="ZB7" i="3"/>
  <c r="ZF7" i="3"/>
  <c r="ZJ7" i="3"/>
  <c r="ZN7" i="3"/>
  <c r="ZR7" i="3"/>
  <c r="ZV7" i="3"/>
  <c r="ZZ7" i="3"/>
  <c r="AAD7" i="3"/>
  <c r="AAH7" i="3"/>
  <c r="AAL7" i="3"/>
  <c r="AAP7" i="3"/>
  <c r="AAT7" i="3"/>
  <c r="AAX7" i="3"/>
  <c r="ABB7" i="3"/>
  <c r="ABF7" i="3"/>
  <c r="ABJ7" i="3"/>
  <c r="ABN7" i="3"/>
  <c r="ABR7" i="3"/>
  <c r="ABV7" i="3"/>
  <c r="ABZ7" i="3"/>
  <c r="ACD7" i="3"/>
  <c r="ACH7" i="3"/>
  <c r="ACL7" i="3"/>
  <c r="ACP7" i="3"/>
  <c r="ACT7" i="3"/>
  <c r="ACX7" i="3"/>
  <c r="ADB7" i="3"/>
  <c r="ADF7" i="3"/>
  <c r="ADJ7" i="3"/>
  <c r="ADN7" i="3"/>
  <c r="ADR7" i="3"/>
  <c r="ADV7" i="3"/>
  <c r="ADZ7" i="3"/>
  <c r="AED7" i="3"/>
  <c r="AEH7" i="3"/>
  <c r="AEL7" i="3"/>
  <c r="AEP7" i="3"/>
  <c r="AET7" i="3"/>
  <c r="AEX7" i="3"/>
  <c r="AFB7" i="3"/>
  <c r="AFF7" i="3"/>
  <c r="AFJ7" i="3"/>
  <c r="AFN7" i="3"/>
  <c r="AFR7" i="3"/>
  <c r="AFV7" i="3"/>
  <c r="AFZ7" i="3"/>
  <c r="AGD7" i="3"/>
  <c r="AGH7" i="3"/>
  <c r="AGL7" i="3"/>
  <c r="AGP7" i="3"/>
  <c r="AGT7" i="3"/>
  <c r="AGX7" i="3"/>
  <c r="AHB7" i="3"/>
  <c r="AHF7" i="3"/>
  <c r="AHJ7" i="3"/>
  <c r="AHN7" i="3"/>
  <c r="AHR7" i="3"/>
  <c r="TW6" i="3"/>
  <c r="UA6" i="3"/>
  <c r="UE6" i="3"/>
  <c r="UI6" i="3"/>
  <c r="UM6" i="3"/>
  <c r="UQ6" i="3"/>
  <c r="UU6" i="3"/>
  <c r="UY6" i="3"/>
  <c r="VC6" i="3"/>
  <c r="VG6" i="3"/>
  <c r="VK6" i="3"/>
  <c r="VO6" i="3"/>
  <c r="VS6" i="3"/>
  <c r="VW6" i="3"/>
  <c r="WA6" i="3"/>
  <c r="WE6" i="3"/>
  <c r="WI6" i="3"/>
  <c r="WM6" i="3"/>
  <c r="WQ6" i="3"/>
  <c r="WU6" i="3"/>
  <c r="WY6" i="3"/>
  <c r="XC6" i="3"/>
  <c r="XG6" i="3"/>
  <c r="XK6" i="3"/>
  <c r="XO6" i="3"/>
  <c r="XS6" i="3"/>
  <c r="XW6" i="3"/>
  <c r="YA6" i="3"/>
  <c r="YE6" i="3"/>
  <c r="YI6" i="3"/>
  <c r="YM6" i="3"/>
  <c r="YQ6" i="3"/>
  <c r="YU6" i="3"/>
  <c r="YY6" i="3"/>
  <c r="ZC6" i="3"/>
  <c r="ZG6" i="3"/>
  <c r="ZK6" i="3"/>
  <c r="ZO6" i="3"/>
  <c r="ZS6" i="3"/>
  <c r="ZW6" i="3"/>
  <c r="AAA6" i="3"/>
  <c r="AAE6" i="3"/>
  <c r="AAI6" i="3"/>
  <c r="AAM6" i="3"/>
  <c r="AAQ6" i="3"/>
  <c r="AAU6" i="3"/>
  <c r="AAY6" i="3"/>
  <c r="ABC6" i="3"/>
  <c r="ABG6" i="3"/>
  <c r="ABK6" i="3"/>
  <c r="ABO6" i="3"/>
  <c r="ABS6" i="3"/>
  <c r="ABW6" i="3"/>
  <c r="ACA6" i="3"/>
  <c r="ACE6" i="3"/>
  <c r="ACI6" i="3"/>
  <c r="ACM6" i="3"/>
  <c r="ACQ6" i="3"/>
  <c r="ACU6" i="3"/>
  <c r="ACY6" i="3"/>
  <c r="ADC6" i="3"/>
  <c r="ADG6" i="3"/>
  <c r="ADK6" i="3"/>
  <c r="ADO6" i="3"/>
  <c r="ADS6" i="3"/>
  <c r="ADW6" i="3"/>
  <c r="AEA6" i="3"/>
  <c r="AEE6" i="3"/>
  <c r="AEI6" i="3"/>
  <c r="AEM6" i="3"/>
  <c r="AEQ6" i="3"/>
  <c r="AEU6" i="3"/>
  <c r="AEY6" i="3"/>
  <c r="AFC6" i="3"/>
  <c r="AFG6" i="3"/>
  <c r="AFK6" i="3"/>
  <c r="AFO6" i="3"/>
  <c r="AFS6" i="3"/>
  <c r="AFW6" i="3"/>
  <c r="AGA6" i="3"/>
  <c r="AGE6" i="3"/>
  <c r="AGI6" i="3"/>
  <c r="AGM6" i="3"/>
  <c r="AGQ6" i="3"/>
  <c r="AGU6" i="3"/>
  <c r="AGY6" i="3"/>
  <c r="AHC6" i="3"/>
  <c r="AHG6" i="3"/>
  <c r="AHK6" i="3"/>
  <c r="AHO6" i="3"/>
  <c r="AHS6" i="3"/>
  <c r="AHW6" i="3"/>
  <c r="AIA6" i="3"/>
  <c r="AIE6" i="3"/>
  <c r="AII6" i="3"/>
  <c r="AIM6" i="3"/>
  <c r="AIQ6" i="3"/>
  <c r="AIU6" i="3"/>
  <c r="AIY6" i="3"/>
  <c r="AJC6" i="3"/>
  <c r="AJG6" i="3"/>
  <c r="AJK6" i="3"/>
  <c r="AJO6" i="3"/>
  <c r="AJS6" i="3"/>
  <c r="AJW6" i="3"/>
  <c r="AKA6" i="3"/>
  <c r="AKE6" i="3"/>
  <c r="AKI6" i="3"/>
  <c r="AKM6" i="3"/>
  <c r="AKQ6" i="3"/>
  <c r="AKU6" i="3"/>
  <c r="AKY6" i="3"/>
  <c r="ALC6" i="3"/>
  <c r="ALG6" i="3"/>
  <c r="ALK6" i="3"/>
  <c r="C7" i="3"/>
  <c r="G7" i="3"/>
  <c r="K7" i="3"/>
  <c r="O7" i="3"/>
  <c r="S7" i="3"/>
  <c r="W7" i="3"/>
  <c r="AA7" i="3"/>
  <c r="AE7" i="3"/>
  <c r="AI7" i="3"/>
  <c r="AM7" i="3"/>
  <c r="AQ7" i="3"/>
  <c r="AU7" i="3"/>
  <c r="AY7" i="3"/>
  <c r="BC7" i="3"/>
  <c r="BG7" i="3"/>
  <c r="BK7" i="3"/>
  <c r="BO7" i="3"/>
  <c r="BS7" i="3"/>
  <c r="BW7" i="3"/>
  <c r="CA7" i="3"/>
  <c r="CE7" i="3"/>
  <c r="CI7" i="3"/>
  <c r="CM7" i="3"/>
  <c r="CQ7" i="3"/>
  <c r="CU7" i="3"/>
  <c r="CY7" i="3"/>
  <c r="DC7" i="3"/>
  <c r="DG7" i="3"/>
  <c r="DK7" i="3"/>
  <c r="DO7" i="3"/>
  <c r="DS7" i="3"/>
  <c r="DW7" i="3"/>
  <c r="EA7" i="3"/>
  <c r="EE7" i="3"/>
  <c r="EI7" i="3"/>
  <c r="EM7" i="3"/>
  <c r="EQ7" i="3"/>
  <c r="EU7" i="3"/>
  <c r="EY7" i="3"/>
  <c r="FC7" i="3"/>
  <c r="FG7" i="3"/>
  <c r="FK7" i="3"/>
  <c r="FO7" i="3"/>
  <c r="FS7" i="3"/>
  <c r="FW7" i="3"/>
  <c r="GA7" i="3"/>
  <c r="GE7" i="3"/>
  <c r="GI7" i="3"/>
  <c r="GM7" i="3"/>
  <c r="GQ7" i="3"/>
  <c r="GU7" i="3"/>
  <c r="GY7" i="3"/>
  <c r="HC7" i="3"/>
  <c r="HG7" i="3"/>
  <c r="HK7" i="3"/>
  <c r="HO7" i="3"/>
  <c r="HS7" i="3"/>
  <c r="HW7" i="3"/>
  <c r="IA7" i="3"/>
  <c r="IE7" i="3"/>
  <c r="II7" i="3"/>
  <c r="IM7" i="3"/>
  <c r="IQ7" i="3"/>
  <c r="IU7" i="3"/>
  <c r="IY7" i="3"/>
  <c r="JC7" i="3"/>
  <c r="JG7" i="3"/>
  <c r="JK7" i="3"/>
  <c r="JO7" i="3"/>
  <c r="JS7" i="3"/>
  <c r="JW7" i="3"/>
  <c r="KA7" i="3"/>
  <c r="KE7" i="3"/>
  <c r="KI7" i="3"/>
  <c r="KM7" i="3"/>
  <c r="KQ7" i="3"/>
  <c r="KU7" i="3"/>
  <c r="KY7" i="3"/>
  <c r="LC7" i="3"/>
  <c r="LG7" i="3"/>
  <c r="LK7" i="3"/>
  <c r="LO7" i="3"/>
  <c r="LS7" i="3"/>
  <c r="LW7" i="3"/>
  <c r="MA7" i="3"/>
  <c r="ME7" i="3"/>
  <c r="MI7" i="3"/>
  <c r="MM7" i="3"/>
  <c r="MQ7" i="3"/>
  <c r="MU7" i="3"/>
  <c r="MY7" i="3"/>
  <c r="NC7" i="3"/>
  <c r="NG7" i="3"/>
  <c r="NK7" i="3"/>
  <c r="NO7" i="3"/>
  <c r="NS7" i="3"/>
  <c r="NW7" i="3"/>
  <c r="OA7" i="3"/>
  <c r="OE7" i="3"/>
  <c r="OI7" i="3"/>
  <c r="OM7" i="3"/>
  <c r="OQ7" i="3"/>
  <c r="OU7" i="3"/>
  <c r="OY7" i="3"/>
  <c r="PC7" i="3"/>
  <c r="PG7" i="3"/>
  <c r="PK7" i="3"/>
  <c r="PO7" i="3"/>
  <c r="PS7" i="3"/>
  <c r="PW7" i="3"/>
  <c r="QA7" i="3"/>
  <c r="QE7" i="3"/>
  <c r="QI7" i="3"/>
  <c r="QM7" i="3"/>
  <c r="QQ7" i="3"/>
  <c r="QU7" i="3"/>
  <c r="QY7" i="3"/>
  <c r="RC7" i="3"/>
  <c r="RG7" i="3"/>
  <c r="RK7" i="3"/>
  <c r="RO7" i="3"/>
  <c r="RS7" i="3"/>
  <c r="RW7" i="3"/>
  <c r="SA7" i="3"/>
  <c r="SE7" i="3"/>
  <c r="SI7" i="3"/>
  <c r="SM7" i="3"/>
  <c r="SQ7" i="3"/>
  <c r="SU7" i="3"/>
  <c r="SY7" i="3"/>
  <c r="TC7" i="3"/>
  <c r="TG7" i="3"/>
  <c r="TK7" i="3"/>
  <c r="TO7" i="3"/>
  <c r="TS7" i="3"/>
  <c r="TW7" i="3"/>
  <c r="UA7" i="3"/>
  <c r="UE7" i="3"/>
  <c r="UI7" i="3"/>
  <c r="UM7" i="3"/>
  <c r="UQ7" i="3"/>
  <c r="UU7" i="3"/>
  <c r="UY7" i="3"/>
  <c r="VC7" i="3"/>
  <c r="VG7" i="3"/>
  <c r="VK7" i="3"/>
  <c r="VO7" i="3"/>
  <c r="VS7" i="3"/>
  <c r="VW7" i="3"/>
  <c r="WA7" i="3"/>
  <c r="WE7" i="3"/>
  <c r="WI7" i="3"/>
  <c r="WM7" i="3"/>
  <c r="WQ7" i="3"/>
  <c r="WU7" i="3"/>
  <c r="WY7" i="3"/>
  <c r="XC7" i="3"/>
  <c r="XG7" i="3"/>
  <c r="XK7" i="3"/>
  <c r="XO7" i="3"/>
  <c r="XS7" i="3"/>
  <c r="XW7" i="3"/>
  <c r="YA7" i="3"/>
  <c r="YE7" i="3"/>
  <c r="YI7" i="3"/>
  <c r="YM7" i="3"/>
  <c r="YQ7" i="3"/>
  <c r="YU7" i="3"/>
  <c r="YY7" i="3"/>
  <c r="ZC7" i="3"/>
  <c r="ZG7" i="3"/>
  <c r="ZK7" i="3"/>
  <c r="ZO7" i="3"/>
  <c r="ZS7" i="3"/>
  <c r="ZW7" i="3"/>
  <c r="AAA7" i="3"/>
  <c r="AAE7" i="3"/>
  <c r="AAI7" i="3"/>
  <c r="AAM7" i="3"/>
  <c r="AAQ7" i="3"/>
  <c r="AAU7" i="3"/>
  <c r="AAY7" i="3"/>
  <c r="ABC7" i="3"/>
  <c r="ABG7" i="3"/>
  <c r="ABK7" i="3"/>
  <c r="ABO7" i="3"/>
  <c r="ABS7" i="3"/>
  <c r="ABW7" i="3"/>
  <c r="ACA7" i="3"/>
  <c r="ACE7" i="3"/>
  <c r="ACI7" i="3"/>
  <c r="ACM7" i="3"/>
  <c r="ACQ7" i="3"/>
  <c r="ACU7" i="3"/>
  <c r="ACY7" i="3"/>
  <c r="ADC7" i="3"/>
  <c r="ADG7" i="3"/>
  <c r="ADK7" i="3"/>
  <c r="ADO7" i="3"/>
  <c r="ADS7" i="3"/>
  <c r="ADW7" i="3"/>
  <c r="AEA7" i="3"/>
  <c r="AEE7" i="3"/>
  <c r="AEI7" i="3"/>
  <c r="AEM7" i="3"/>
  <c r="AEQ7" i="3"/>
  <c r="AEU7" i="3"/>
  <c r="AEY7" i="3"/>
  <c r="AFC7" i="3"/>
  <c r="AFG7" i="3"/>
  <c r="AFK7" i="3"/>
  <c r="AFO7" i="3"/>
  <c r="AFS7" i="3"/>
  <c r="AFW7" i="3"/>
  <c r="AGA7" i="3"/>
  <c r="AGE7" i="3"/>
  <c r="TX6" i="3"/>
  <c r="UB6" i="3"/>
  <c r="UF6" i="3"/>
  <c r="UJ6" i="3"/>
  <c r="UN6" i="3"/>
  <c r="UR6" i="3"/>
  <c r="UV6" i="3"/>
  <c r="UZ6" i="3"/>
  <c r="VD6" i="3"/>
  <c r="VH6" i="3"/>
  <c r="VL6" i="3"/>
  <c r="VP6" i="3"/>
  <c r="VT6" i="3"/>
  <c r="VX6" i="3"/>
  <c r="WB6" i="3"/>
  <c r="WF6" i="3"/>
  <c r="WJ6" i="3"/>
  <c r="WN6" i="3"/>
  <c r="WR6" i="3"/>
  <c r="WV6" i="3"/>
  <c r="WZ6" i="3"/>
  <c r="XD6" i="3"/>
  <c r="XH6" i="3"/>
  <c r="XL6" i="3"/>
  <c r="XP6" i="3"/>
  <c r="XT6" i="3"/>
  <c r="XX6" i="3"/>
  <c r="YB6" i="3"/>
  <c r="YF6" i="3"/>
  <c r="YJ6" i="3"/>
  <c r="YN6" i="3"/>
  <c r="YR6" i="3"/>
  <c r="YV6" i="3"/>
  <c r="YZ6" i="3"/>
  <c r="ZD6" i="3"/>
  <c r="ZH6" i="3"/>
  <c r="ZL6" i="3"/>
  <c r="ZP6" i="3"/>
  <c r="ZT6" i="3"/>
  <c r="ZX6" i="3"/>
  <c r="AAB6" i="3"/>
  <c r="AAF6" i="3"/>
  <c r="AAJ6" i="3"/>
  <c r="AAN6" i="3"/>
  <c r="AAR6" i="3"/>
  <c r="AAV6" i="3"/>
  <c r="AAZ6" i="3"/>
  <c r="ABD6" i="3"/>
  <c r="ABH6" i="3"/>
  <c r="ABL6" i="3"/>
  <c r="ABP6" i="3"/>
  <c r="ABT6" i="3"/>
  <c r="ABX6" i="3"/>
  <c r="ACB6" i="3"/>
  <c r="ACF6" i="3"/>
  <c r="ACJ6" i="3"/>
  <c r="ACN6" i="3"/>
  <c r="ACR6" i="3"/>
  <c r="ACV6" i="3"/>
  <c r="ACZ6" i="3"/>
  <c r="ADD6" i="3"/>
  <c r="ADH6" i="3"/>
  <c r="ADL6" i="3"/>
  <c r="ADP6" i="3"/>
  <c r="ADT6" i="3"/>
  <c r="ADX6" i="3"/>
  <c r="AEB6" i="3"/>
  <c r="AEF6" i="3"/>
  <c r="AEJ6" i="3"/>
  <c r="AEN6" i="3"/>
  <c r="AER6" i="3"/>
  <c r="AEV6" i="3"/>
  <c r="AEZ6" i="3"/>
  <c r="AFD6" i="3"/>
  <c r="AFH6" i="3"/>
  <c r="AFL6" i="3"/>
  <c r="AFP6" i="3"/>
  <c r="AFT6" i="3"/>
  <c r="AFX6" i="3"/>
  <c r="AGB6" i="3"/>
  <c r="AGF6" i="3"/>
  <c r="AGJ6" i="3"/>
  <c r="AGN6" i="3"/>
  <c r="AGR6" i="3"/>
  <c r="AGV6" i="3"/>
  <c r="AGZ6" i="3"/>
  <c r="AHD6" i="3"/>
  <c r="AHH6" i="3"/>
  <c r="AHL6" i="3"/>
  <c r="AHP6" i="3"/>
  <c r="AHT6" i="3"/>
  <c r="AHX6" i="3"/>
  <c r="AIB6" i="3"/>
  <c r="AIF6" i="3"/>
  <c r="AIJ6" i="3"/>
  <c r="AIN6" i="3"/>
  <c r="AIR6" i="3"/>
  <c r="AIV6" i="3"/>
  <c r="AIZ6" i="3"/>
  <c r="AJD6" i="3"/>
  <c r="AJH6" i="3"/>
  <c r="AJL6" i="3"/>
  <c r="AJP6" i="3"/>
  <c r="AJT6" i="3"/>
  <c r="AJX6" i="3"/>
  <c r="AKB6" i="3"/>
  <c r="AKF6" i="3"/>
  <c r="AKJ6" i="3"/>
  <c r="AKN6" i="3"/>
  <c r="AKR6" i="3"/>
  <c r="AKV6" i="3"/>
  <c r="AKZ6" i="3"/>
  <c r="ALD6" i="3"/>
  <c r="ALH6" i="3"/>
  <c r="ALL6" i="3"/>
  <c r="D7" i="3"/>
  <c r="H7" i="3"/>
  <c r="L7" i="3"/>
  <c r="P7" i="3"/>
  <c r="T7" i="3"/>
  <c r="X7" i="3"/>
  <c r="AB7" i="3"/>
  <c r="AF7" i="3"/>
  <c r="AJ7" i="3"/>
  <c r="AN7" i="3"/>
  <c r="AR7" i="3"/>
  <c r="AV7" i="3"/>
  <c r="AZ7" i="3"/>
  <c r="BD7" i="3"/>
  <c r="BH7" i="3"/>
  <c r="BL7" i="3"/>
  <c r="BP7" i="3"/>
  <c r="BT7" i="3"/>
  <c r="BX7" i="3"/>
  <c r="CB7" i="3"/>
  <c r="CF7" i="3"/>
  <c r="CJ7" i="3"/>
  <c r="CN7" i="3"/>
  <c r="CR7" i="3"/>
  <c r="CV7" i="3"/>
  <c r="CZ7" i="3"/>
  <c r="DD7" i="3"/>
  <c r="DH7" i="3"/>
  <c r="DL7" i="3"/>
  <c r="DP7" i="3"/>
  <c r="DT7" i="3"/>
  <c r="DX7" i="3"/>
  <c r="EB7" i="3"/>
  <c r="EF7" i="3"/>
  <c r="EJ7" i="3"/>
  <c r="EN7" i="3"/>
  <c r="ER7" i="3"/>
  <c r="EV7" i="3"/>
  <c r="EZ7" i="3"/>
  <c r="FD7" i="3"/>
  <c r="FH7" i="3"/>
  <c r="FL7" i="3"/>
  <c r="FP7" i="3"/>
  <c r="FT7" i="3"/>
  <c r="FX7" i="3"/>
  <c r="GB7" i="3"/>
  <c r="GF7" i="3"/>
  <c r="GJ7" i="3"/>
  <c r="GN7" i="3"/>
  <c r="GR7" i="3"/>
  <c r="GV7" i="3"/>
  <c r="GZ7" i="3"/>
  <c r="HD7" i="3"/>
  <c r="HH7" i="3"/>
  <c r="HL7" i="3"/>
  <c r="HP7" i="3"/>
  <c r="HT7" i="3"/>
  <c r="HX7" i="3"/>
  <c r="IB7" i="3"/>
  <c r="IF7" i="3"/>
  <c r="IJ7" i="3"/>
  <c r="IN7" i="3"/>
  <c r="IR7" i="3"/>
  <c r="IV7" i="3"/>
  <c r="IZ7" i="3"/>
  <c r="JD7" i="3"/>
  <c r="JH7" i="3"/>
  <c r="JL7" i="3"/>
  <c r="JP7" i="3"/>
  <c r="JT7" i="3"/>
  <c r="JX7" i="3"/>
  <c r="KB7" i="3"/>
  <c r="KF7" i="3"/>
  <c r="KJ7" i="3"/>
  <c r="KN7" i="3"/>
  <c r="KR7" i="3"/>
  <c r="KV7" i="3"/>
  <c r="KZ7" i="3"/>
  <c r="LD7" i="3"/>
  <c r="LH7" i="3"/>
  <c r="LL7" i="3"/>
  <c r="LP7" i="3"/>
  <c r="LT7" i="3"/>
  <c r="LX7" i="3"/>
  <c r="MB7" i="3"/>
  <c r="MF7" i="3"/>
  <c r="MJ7" i="3"/>
  <c r="MN7" i="3"/>
  <c r="MR7" i="3"/>
  <c r="MV7" i="3"/>
  <c r="MZ7" i="3"/>
  <c r="ND7" i="3"/>
  <c r="NH7" i="3"/>
  <c r="NL7" i="3"/>
  <c r="NP7" i="3"/>
  <c r="NT7" i="3"/>
  <c r="NX7" i="3"/>
  <c r="OB7" i="3"/>
  <c r="OF7" i="3"/>
  <c r="OJ7" i="3"/>
  <c r="ON7" i="3"/>
  <c r="OR7" i="3"/>
  <c r="OV7" i="3"/>
  <c r="OZ7" i="3"/>
  <c r="PD7" i="3"/>
  <c r="PH7" i="3"/>
  <c r="PL7" i="3"/>
  <c r="PP7" i="3"/>
  <c r="PT7" i="3"/>
  <c r="PX7" i="3"/>
  <c r="QB7" i="3"/>
  <c r="QF7" i="3"/>
  <c r="QJ7" i="3"/>
  <c r="QN7" i="3"/>
  <c r="QR7" i="3"/>
  <c r="QV7" i="3"/>
  <c r="QZ7" i="3"/>
  <c r="RD7" i="3"/>
  <c r="RH7" i="3"/>
  <c r="RL7" i="3"/>
  <c r="RP7" i="3"/>
  <c r="RT7" i="3"/>
  <c r="RX7" i="3"/>
  <c r="SB7" i="3"/>
  <c r="SF7" i="3"/>
  <c r="SJ7" i="3"/>
  <c r="SN7" i="3"/>
  <c r="SR7" i="3"/>
  <c r="SV7" i="3"/>
  <c r="SZ7" i="3"/>
  <c r="TD7" i="3"/>
  <c r="TH7" i="3"/>
  <c r="TL7" i="3"/>
  <c r="TP7" i="3"/>
  <c r="TT7" i="3"/>
  <c r="TX7" i="3"/>
  <c r="UB7" i="3"/>
  <c r="UF7" i="3"/>
  <c r="UJ7" i="3"/>
  <c r="UN7" i="3"/>
  <c r="UR7" i="3"/>
  <c r="UV7" i="3"/>
  <c r="UZ7" i="3"/>
  <c r="VD7" i="3"/>
  <c r="VH7" i="3"/>
  <c r="VL7" i="3"/>
  <c r="VP7" i="3"/>
  <c r="VT7" i="3"/>
  <c r="VX7" i="3"/>
  <c r="WB7" i="3"/>
  <c r="WF7" i="3"/>
  <c r="WJ7" i="3"/>
  <c r="WN7" i="3"/>
  <c r="WR7" i="3"/>
  <c r="WV7" i="3"/>
  <c r="WZ7" i="3"/>
  <c r="XD7" i="3"/>
  <c r="XH7" i="3"/>
  <c r="XL7" i="3"/>
  <c r="XP7" i="3"/>
  <c r="XT7" i="3"/>
  <c r="XX7" i="3"/>
  <c r="YB7" i="3"/>
  <c r="YF7" i="3"/>
  <c r="YJ7" i="3"/>
  <c r="YN7" i="3"/>
  <c r="YR7" i="3"/>
  <c r="YV7" i="3"/>
  <c r="YZ7" i="3"/>
  <c r="ZD7" i="3"/>
  <c r="ZH7" i="3"/>
  <c r="ZL7" i="3"/>
  <c r="ZP7" i="3"/>
  <c r="ZT7" i="3"/>
  <c r="ZX7" i="3"/>
  <c r="AAB7" i="3"/>
  <c r="AAF7" i="3"/>
  <c r="AAJ7" i="3"/>
  <c r="AAN7" i="3"/>
  <c r="AAR7" i="3"/>
  <c r="AAV7" i="3"/>
  <c r="AAZ7" i="3"/>
  <c r="ABD7" i="3"/>
  <c r="ABH7" i="3"/>
  <c r="ABL7" i="3"/>
  <c r="ABP7" i="3"/>
  <c r="ABT7" i="3"/>
  <c r="ABX7" i="3"/>
  <c r="ACB7" i="3"/>
  <c r="ACF7" i="3"/>
  <c r="ACJ7" i="3"/>
  <c r="ACN7" i="3"/>
  <c r="ACR7" i="3"/>
  <c r="ACV7" i="3"/>
  <c r="ACZ7" i="3"/>
  <c r="ADD7" i="3"/>
  <c r="ADH7" i="3"/>
  <c r="ADL7" i="3"/>
  <c r="ADP7" i="3"/>
  <c r="ADT7" i="3"/>
  <c r="ADX7" i="3"/>
  <c r="AEB7" i="3"/>
  <c r="AEF7" i="3"/>
  <c r="AEJ7" i="3"/>
  <c r="AEN7" i="3"/>
  <c r="AER7" i="3"/>
  <c r="AEV7" i="3"/>
  <c r="AEZ7" i="3"/>
  <c r="AFD7" i="3"/>
  <c r="AFH7" i="3"/>
  <c r="AFL7" i="3"/>
  <c r="AFP7" i="3"/>
  <c r="AFT7" i="3"/>
  <c r="AFX7" i="3"/>
  <c r="AGB7" i="3"/>
  <c r="AGF7" i="3"/>
  <c r="AGJ7" i="3"/>
  <c r="AGI7" i="3"/>
  <c r="AGR7" i="3"/>
  <c r="AGZ7" i="3"/>
  <c r="AHH7" i="3"/>
  <c r="AHP7" i="3"/>
  <c r="AHV7" i="3"/>
  <c r="AHZ7" i="3"/>
  <c r="AID7" i="3"/>
  <c r="AIH7" i="3"/>
  <c r="AIL7" i="3"/>
  <c r="AIP7" i="3"/>
  <c r="AIT7" i="3"/>
  <c r="AIX7" i="3"/>
  <c r="AJB7" i="3"/>
  <c r="AJF7" i="3"/>
  <c r="AJJ7" i="3"/>
  <c r="AJN7" i="3"/>
  <c r="AJR7" i="3"/>
  <c r="AJV7" i="3"/>
  <c r="AJZ7" i="3"/>
  <c r="AKD7" i="3"/>
  <c r="AKH7" i="3"/>
  <c r="AKL7" i="3"/>
  <c r="AKP7" i="3"/>
  <c r="AKT7" i="3"/>
  <c r="AKX7" i="3"/>
  <c r="ALB7" i="3"/>
  <c r="ALF7" i="3"/>
  <c r="ALJ7" i="3"/>
  <c r="B8" i="3"/>
  <c r="F8" i="3"/>
  <c r="J8" i="3"/>
  <c r="N8" i="3"/>
  <c r="R8" i="3"/>
  <c r="V8" i="3"/>
  <c r="Z8" i="3"/>
  <c r="AD8" i="3"/>
  <c r="AH8" i="3"/>
  <c r="AL8" i="3"/>
  <c r="AP8" i="3"/>
  <c r="AT8" i="3"/>
  <c r="AX8" i="3"/>
  <c r="BB8" i="3"/>
  <c r="BF8" i="3"/>
  <c r="BJ8" i="3"/>
  <c r="BN8" i="3"/>
  <c r="BR8" i="3"/>
  <c r="BV8" i="3"/>
  <c r="BZ8" i="3"/>
  <c r="CD8" i="3"/>
  <c r="CH8" i="3"/>
  <c r="CL8" i="3"/>
  <c r="CP8" i="3"/>
  <c r="CT8" i="3"/>
  <c r="CX8" i="3"/>
  <c r="DB8" i="3"/>
  <c r="DF8" i="3"/>
  <c r="DJ8" i="3"/>
  <c r="DN8" i="3"/>
  <c r="DR8" i="3"/>
  <c r="DV8" i="3"/>
  <c r="DZ8" i="3"/>
  <c r="ED8" i="3"/>
  <c r="EH8" i="3"/>
  <c r="EL8" i="3"/>
  <c r="EP8" i="3"/>
  <c r="ET8" i="3"/>
  <c r="EX8" i="3"/>
  <c r="FB8" i="3"/>
  <c r="FF8" i="3"/>
  <c r="FJ8" i="3"/>
  <c r="FN8" i="3"/>
  <c r="FR8" i="3"/>
  <c r="FV8" i="3"/>
  <c r="FZ8" i="3"/>
  <c r="GD8" i="3"/>
  <c r="GH8" i="3"/>
  <c r="GL8" i="3"/>
  <c r="GP8" i="3"/>
  <c r="GT8" i="3"/>
  <c r="GX8" i="3"/>
  <c r="HB8" i="3"/>
  <c r="HF8" i="3"/>
  <c r="HJ8" i="3"/>
  <c r="HN8" i="3"/>
  <c r="HR8" i="3"/>
  <c r="HV8" i="3"/>
  <c r="HZ8" i="3"/>
  <c r="ID8" i="3"/>
  <c r="IH8" i="3"/>
  <c r="IL8" i="3"/>
  <c r="IP8" i="3"/>
  <c r="IT8" i="3"/>
  <c r="IX8" i="3"/>
  <c r="JB8" i="3"/>
  <c r="JF8" i="3"/>
  <c r="JJ8" i="3"/>
  <c r="JN8" i="3"/>
  <c r="JR8" i="3"/>
  <c r="JV8" i="3"/>
  <c r="JZ8" i="3"/>
  <c r="KD8" i="3"/>
  <c r="KH8" i="3"/>
  <c r="KL8" i="3"/>
  <c r="KP8" i="3"/>
  <c r="KT8" i="3"/>
  <c r="KX8" i="3"/>
  <c r="LB8" i="3"/>
  <c r="LF8" i="3"/>
  <c r="LJ8" i="3"/>
  <c r="LN8" i="3"/>
  <c r="LR8" i="3"/>
  <c r="LV8" i="3"/>
  <c r="LZ8" i="3"/>
  <c r="MD8" i="3"/>
  <c r="MH8" i="3"/>
  <c r="ML8" i="3"/>
  <c r="MP8" i="3"/>
  <c r="MT8" i="3"/>
  <c r="MX8" i="3"/>
  <c r="NB8" i="3"/>
  <c r="NF8" i="3"/>
  <c r="NJ8" i="3"/>
  <c r="NN8" i="3"/>
  <c r="NR8" i="3"/>
  <c r="NV8" i="3"/>
  <c r="NZ8" i="3"/>
  <c r="OD8" i="3"/>
  <c r="OH8" i="3"/>
  <c r="OL8" i="3"/>
  <c r="OP8" i="3"/>
  <c r="OT8" i="3"/>
  <c r="OX8" i="3"/>
  <c r="PB8" i="3"/>
  <c r="PF8" i="3"/>
  <c r="PJ8" i="3"/>
  <c r="PN8" i="3"/>
  <c r="PR8" i="3"/>
  <c r="PV8" i="3"/>
  <c r="PZ8" i="3"/>
  <c r="QD8" i="3"/>
  <c r="QH8" i="3"/>
  <c r="QL8" i="3"/>
  <c r="QP8" i="3"/>
  <c r="QT8" i="3"/>
  <c r="QX8" i="3"/>
  <c r="RB8" i="3"/>
  <c r="RF8" i="3"/>
  <c r="RJ8" i="3"/>
  <c r="RN8" i="3"/>
  <c r="RR8" i="3"/>
  <c r="RV8" i="3"/>
  <c r="RZ8" i="3"/>
  <c r="SD8" i="3"/>
  <c r="SH8" i="3"/>
  <c r="SL8" i="3"/>
  <c r="SP8" i="3"/>
  <c r="ST8" i="3"/>
  <c r="SX8" i="3"/>
  <c r="TB8" i="3"/>
  <c r="TF8" i="3"/>
  <c r="TJ8" i="3"/>
  <c r="TN8" i="3"/>
  <c r="TR8" i="3"/>
  <c r="TV8" i="3"/>
  <c r="TZ8" i="3"/>
  <c r="UD8" i="3"/>
  <c r="UH8" i="3"/>
  <c r="UL8" i="3"/>
  <c r="UP8" i="3"/>
  <c r="UT8" i="3"/>
  <c r="UX8" i="3"/>
  <c r="VB8" i="3"/>
  <c r="VF8" i="3"/>
  <c r="VJ8" i="3"/>
  <c r="VN8" i="3"/>
  <c r="VR8" i="3"/>
  <c r="VV8" i="3"/>
  <c r="VZ8" i="3"/>
  <c r="WD8" i="3"/>
  <c r="WH8" i="3"/>
  <c r="WL8" i="3"/>
  <c r="WP8" i="3"/>
  <c r="WT8" i="3"/>
  <c r="WX8" i="3"/>
  <c r="XB8" i="3"/>
  <c r="XF8" i="3"/>
  <c r="XJ8" i="3"/>
  <c r="XN8" i="3"/>
  <c r="XR8" i="3"/>
  <c r="XV8" i="3"/>
  <c r="XZ8" i="3"/>
  <c r="YD8" i="3"/>
  <c r="YH8" i="3"/>
  <c r="YL8" i="3"/>
  <c r="YP8" i="3"/>
  <c r="YT8" i="3"/>
  <c r="YX8" i="3"/>
  <c r="ZB8" i="3"/>
  <c r="ZF8" i="3"/>
  <c r="ZJ8" i="3"/>
  <c r="ZN8" i="3"/>
  <c r="ZR8" i="3"/>
  <c r="ZV8" i="3"/>
  <c r="ZZ8" i="3"/>
  <c r="AAD8" i="3"/>
  <c r="AAH8" i="3"/>
  <c r="AAL8" i="3"/>
  <c r="AAP8" i="3"/>
  <c r="AAT8" i="3"/>
  <c r="AAX8" i="3"/>
  <c r="ABB8" i="3"/>
  <c r="ABF8" i="3"/>
  <c r="ABJ8" i="3"/>
  <c r="ABN8" i="3"/>
  <c r="ABR8" i="3"/>
  <c r="ABV8" i="3"/>
  <c r="ABZ8" i="3"/>
  <c r="ACD8" i="3"/>
  <c r="ACH8" i="3"/>
  <c r="ACL8" i="3"/>
  <c r="ACP8" i="3"/>
  <c r="ACT8" i="3"/>
  <c r="ACX8" i="3"/>
  <c r="ADB8" i="3"/>
  <c r="ADF8" i="3"/>
  <c r="ADJ8" i="3"/>
  <c r="ADN8" i="3"/>
  <c r="ADR8" i="3"/>
  <c r="ADV8" i="3"/>
  <c r="ADZ8" i="3"/>
  <c r="AED8" i="3"/>
  <c r="AEH8" i="3"/>
  <c r="AEL8" i="3"/>
  <c r="AEP8" i="3"/>
  <c r="AET8" i="3"/>
  <c r="AEX8" i="3"/>
  <c r="AFB8" i="3"/>
  <c r="AFF8" i="3"/>
  <c r="AFJ8" i="3"/>
  <c r="AFN8" i="3"/>
  <c r="AFR8" i="3"/>
  <c r="AFV8" i="3"/>
  <c r="AFZ8" i="3"/>
  <c r="AGD8" i="3"/>
  <c r="AGH8" i="3"/>
  <c r="AGL8" i="3"/>
  <c r="AGP8" i="3"/>
  <c r="AGT8" i="3"/>
  <c r="AGX8" i="3"/>
  <c r="AHB8" i="3"/>
  <c r="AHF8" i="3"/>
  <c r="AHJ8" i="3"/>
  <c r="AHN8" i="3"/>
  <c r="AHR8" i="3"/>
  <c r="AHV8" i="3"/>
  <c r="AHZ8" i="3"/>
  <c r="AID8" i="3"/>
  <c r="AIH8" i="3"/>
  <c r="AIL8" i="3"/>
  <c r="AIP8" i="3"/>
  <c r="AIT8" i="3"/>
  <c r="AIX8" i="3"/>
  <c r="AJB8" i="3"/>
  <c r="AJF8" i="3"/>
  <c r="AJJ8" i="3"/>
  <c r="AJN8" i="3"/>
  <c r="AJR8" i="3"/>
  <c r="AJV8" i="3"/>
  <c r="AJZ8" i="3"/>
  <c r="AKD8" i="3"/>
  <c r="AKH8" i="3"/>
  <c r="AKL8" i="3"/>
  <c r="AKP8" i="3"/>
  <c r="AKT8" i="3"/>
  <c r="AKX8" i="3"/>
  <c r="ALB8" i="3"/>
  <c r="ALF8" i="3"/>
  <c r="ALJ8" i="3"/>
  <c r="B9" i="3"/>
  <c r="F9" i="3"/>
  <c r="J9" i="3"/>
  <c r="N9" i="3"/>
  <c r="R9" i="3"/>
  <c r="V9" i="3"/>
  <c r="Z9" i="3"/>
  <c r="AD9" i="3"/>
  <c r="AH9" i="3"/>
  <c r="AL9" i="3"/>
  <c r="AP9" i="3"/>
  <c r="AT9" i="3"/>
  <c r="AX9" i="3"/>
  <c r="BB9" i="3"/>
  <c r="BF9" i="3"/>
  <c r="BJ9" i="3"/>
  <c r="BN9" i="3"/>
  <c r="BR9" i="3"/>
  <c r="BV9" i="3"/>
  <c r="BZ9" i="3"/>
  <c r="CD9" i="3"/>
  <c r="CH9" i="3"/>
  <c r="CL9" i="3"/>
  <c r="CP9" i="3"/>
  <c r="CT9" i="3"/>
  <c r="CX9" i="3"/>
  <c r="DB9" i="3"/>
  <c r="DF9" i="3"/>
  <c r="DJ9" i="3"/>
  <c r="DN9" i="3"/>
  <c r="DR9" i="3"/>
  <c r="DV9" i="3"/>
  <c r="DZ9" i="3"/>
  <c r="ED9" i="3"/>
  <c r="EH9" i="3"/>
  <c r="EL9" i="3"/>
  <c r="EP9" i="3"/>
  <c r="ET9" i="3"/>
  <c r="EX9" i="3"/>
  <c r="FB9" i="3"/>
  <c r="FF9" i="3"/>
  <c r="FJ9" i="3"/>
  <c r="FN9" i="3"/>
  <c r="FR9" i="3"/>
  <c r="FV9" i="3"/>
  <c r="FZ9" i="3"/>
  <c r="GD9" i="3"/>
  <c r="GH9" i="3"/>
  <c r="GL9" i="3"/>
  <c r="GP9" i="3"/>
  <c r="GT9" i="3"/>
  <c r="GX9" i="3"/>
  <c r="HB9" i="3"/>
  <c r="HF9" i="3"/>
  <c r="HJ9" i="3"/>
  <c r="HN9" i="3"/>
  <c r="HR9" i="3"/>
  <c r="HV9" i="3"/>
  <c r="HZ9" i="3"/>
  <c r="ID9" i="3"/>
  <c r="IH9" i="3"/>
  <c r="IL9" i="3"/>
  <c r="IP9" i="3"/>
  <c r="IT9" i="3"/>
  <c r="IX9" i="3"/>
  <c r="JB9" i="3"/>
  <c r="JF9" i="3"/>
  <c r="JJ9" i="3"/>
  <c r="JN9" i="3"/>
  <c r="JR9" i="3"/>
  <c r="JV9" i="3"/>
  <c r="JZ9" i="3"/>
  <c r="KD9" i="3"/>
  <c r="KH9" i="3"/>
  <c r="KL9" i="3"/>
  <c r="KP9" i="3"/>
  <c r="KT9" i="3"/>
  <c r="KX9" i="3"/>
  <c r="LB9" i="3"/>
  <c r="LF9" i="3"/>
  <c r="LJ9" i="3"/>
  <c r="LN9" i="3"/>
  <c r="LR9" i="3"/>
  <c r="LV9" i="3"/>
  <c r="LZ9" i="3"/>
  <c r="MD9" i="3"/>
  <c r="MH9" i="3"/>
  <c r="ML9" i="3"/>
  <c r="MP9" i="3"/>
  <c r="MT9" i="3"/>
  <c r="MX9" i="3"/>
  <c r="NB9" i="3"/>
  <c r="NF9" i="3"/>
  <c r="NJ9" i="3"/>
  <c r="NN9" i="3"/>
  <c r="NR9" i="3"/>
  <c r="NV9" i="3"/>
  <c r="NZ9" i="3"/>
  <c r="OD9" i="3"/>
  <c r="OH9" i="3"/>
  <c r="OL9" i="3"/>
  <c r="OP9" i="3"/>
  <c r="OT9" i="3"/>
  <c r="OX9" i="3"/>
  <c r="PB9" i="3"/>
  <c r="PF9" i="3"/>
  <c r="PJ9" i="3"/>
  <c r="PN9" i="3"/>
  <c r="PR9" i="3"/>
  <c r="PV9" i="3"/>
  <c r="PZ9" i="3"/>
  <c r="QD9" i="3"/>
  <c r="QH9" i="3"/>
  <c r="QL9" i="3"/>
  <c r="QP9" i="3"/>
  <c r="QT9" i="3"/>
  <c r="QX9" i="3"/>
  <c r="RB9" i="3"/>
  <c r="RF9" i="3"/>
  <c r="RJ9" i="3"/>
  <c r="RN9" i="3"/>
  <c r="RR9" i="3"/>
  <c r="RV9" i="3"/>
  <c r="RZ9" i="3"/>
  <c r="SD9" i="3"/>
  <c r="SH9" i="3"/>
  <c r="SL9" i="3"/>
  <c r="SP9" i="3"/>
  <c r="ST9" i="3"/>
  <c r="SX9" i="3"/>
  <c r="TB9" i="3"/>
  <c r="TF9" i="3"/>
  <c r="TJ9" i="3"/>
  <c r="TN9" i="3"/>
  <c r="TR9" i="3"/>
  <c r="TV9" i="3"/>
  <c r="TZ9" i="3"/>
  <c r="UD9" i="3"/>
  <c r="UH9" i="3"/>
  <c r="UL9" i="3"/>
  <c r="UP9" i="3"/>
  <c r="UT9" i="3"/>
  <c r="UX9" i="3"/>
  <c r="VB9" i="3"/>
  <c r="VF9" i="3"/>
  <c r="VJ9" i="3"/>
  <c r="VN9" i="3"/>
  <c r="VR9" i="3"/>
  <c r="VV9" i="3"/>
  <c r="VZ9" i="3"/>
  <c r="WD9" i="3"/>
  <c r="WH9" i="3"/>
  <c r="WL9" i="3"/>
  <c r="WP9" i="3"/>
  <c r="WT9" i="3"/>
  <c r="WX9" i="3"/>
  <c r="XB9" i="3"/>
  <c r="XF9" i="3"/>
  <c r="XJ9" i="3"/>
  <c r="XN9" i="3"/>
  <c r="XR9" i="3"/>
  <c r="XV9" i="3"/>
  <c r="XZ9" i="3"/>
  <c r="YD9" i="3"/>
  <c r="YH9" i="3"/>
  <c r="YL9" i="3"/>
  <c r="YP9" i="3"/>
  <c r="YT9" i="3"/>
  <c r="YX9" i="3"/>
  <c r="ZB9" i="3"/>
  <c r="ZF9" i="3"/>
  <c r="ZJ9" i="3"/>
  <c r="ZN9" i="3"/>
  <c r="ZR9" i="3"/>
  <c r="ZV9" i="3"/>
  <c r="ZZ9" i="3"/>
  <c r="AAD9" i="3"/>
  <c r="AAH9" i="3"/>
  <c r="AAL9" i="3"/>
  <c r="AAP9" i="3"/>
  <c r="AAT9" i="3"/>
  <c r="AAX9" i="3"/>
  <c r="ABB9" i="3"/>
  <c r="ABF9" i="3"/>
  <c r="ABJ9" i="3"/>
  <c r="ABN9" i="3"/>
  <c r="ABR9" i="3"/>
  <c r="ABV9" i="3"/>
  <c r="ABZ9" i="3"/>
  <c r="ACD9" i="3"/>
  <c r="ACH9" i="3"/>
  <c r="ACL9" i="3"/>
  <c r="ACP9" i="3"/>
  <c r="ACT9" i="3"/>
  <c r="ACX9" i="3"/>
  <c r="ADB9" i="3"/>
  <c r="ADF9" i="3"/>
  <c r="ADJ9" i="3"/>
  <c r="ADN9" i="3"/>
  <c r="ADR9" i="3"/>
  <c r="ADV9" i="3"/>
  <c r="ADZ9" i="3"/>
  <c r="AED9" i="3"/>
  <c r="AEH9" i="3"/>
  <c r="AEL9" i="3"/>
  <c r="AEP9" i="3"/>
  <c r="AET9" i="3"/>
  <c r="AEX9" i="3"/>
  <c r="AFB9" i="3"/>
  <c r="AFF9" i="3"/>
  <c r="AFJ9" i="3"/>
  <c r="AFN9" i="3"/>
  <c r="AFR9" i="3"/>
  <c r="AFV9" i="3"/>
  <c r="AFZ9" i="3"/>
  <c r="AGD9" i="3"/>
  <c r="AGH9" i="3"/>
  <c r="AGL9" i="3"/>
  <c r="AGP9" i="3"/>
  <c r="AGT9" i="3"/>
  <c r="AGX9" i="3"/>
  <c r="AHB9" i="3"/>
  <c r="AHF9" i="3"/>
  <c r="AHJ9" i="3"/>
  <c r="AHN9" i="3"/>
  <c r="AHR9" i="3"/>
  <c r="AHV9" i="3"/>
  <c r="AHZ9" i="3"/>
  <c r="AID9" i="3"/>
  <c r="AIH9" i="3"/>
  <c r="AIL9" i="3"/>
  <c r="AIP9" i="3"/>
  <c r="AIT9" i="3"/>
  <c r="AIX9" i="3"/>
  <c r="AJB9" i="3"/>
  <c r="AJF9" i="3"/>
  <c r="AJJ9" i="3"/>
  <c r="AJN9" i="3"/>
  <c r="AJR9" i="3"/>
  <c r="AJV9" i="3"/>
  <c r="AJZ9" i="3"/>
  <c r="AKD9" i="3"/>
  <c r="AKH9" i="3"/>
  <c r="AKL9" i="3"/>
  <c r="AKP9" i="3"/>
  <c r="AKT9" i="3"/>
  <c r="AKX9" i="3"/>
  <c r="ALB9" i="3"/>
  <c r="ALF9" i="3"/>
  <c r="ALJ9" i="3"/>
  <c r="B10" i="3"/>
  <c r="F10" i="3"/>
  <c r="J10" i="3"/>
  <c r="N10" i="3"/>
  <c r="R10" i="3"/>
  <c r="V10" i="3"/>
  <c r="Z10" i="3"/>
  <c r="AD10" i="3"/>
  <c r="AH10" i="3"/>
  <c r="AL10" i="3"/>
  <c r="AP10" i="3"/>
  <c r="AT10" i="3"/>
  <c r="AX10" i="3"/>
  <c r="BB10" i="3"/>
  <c r="BF10" i="3"/>
  <c r="BJ10" i="3"/>
  <c r="BN10" i="3"/>
  <c r="BR10" i="3"/>
  <c r="BV10" i="3"/>
  <c r="BZ10" i="3"/>
  <c r="CD10" i="3"/>
  <c r="CH10" i="3"/>
  <c r="CL10" i="3"/>
  <c r="CP10" i="3"/>
  <c r="CT10" i="3"/>
  <c r="CX10" i="3"/>
  <c r="DB10" i="3"/>
  <c r="DF10" i="3"/>
  <c r="DJ10" i="3"/>
  <c r="DN10" i="3"/>
  <c r="DR10" i="3"/>
  <c r="DV10" i="3"/>
  <c r="DZ10" i="3"/>
  <c r="ED10" i="3"/>
  <c r="EH10" i="3"/>
  <c r="EL10" i="3"/>
  <c r="EP10" i="3"/>
  <c r="ET10" i="3"/>
  <c r="EX10" i="3"/>
  <c r="FB10" i="3"/>
  <c r="FF10" i="3"/>
  <c r="FJ10" i="3"/>
  <c r="FN10" i="3"/>
  <c r="FR10" i="3"/>
  <c r="FV10" i="3"/>
  <c r="FZ10" i="3"/>
  <c r="GD10" i="3"/>
  <c r="GH10" i="3"/>
  <c r="GL10" i="3"/>
  <c r="GP10" i="3"/>
  <c r="GT10" i="3"/>
  <c r="GX10" i="3"/>
  <c r="HB10" i="3"/>
  <c r="HF10" i="3"/>
  <c r="HJ10" i="3"/>
  <c r="HN10" i="3"/>
  <c r="HR10" i="3"/>
  <c r="HV10" i="3"/>
  <c r="HZ10" i="3"/>
  <c r="ID10" i="3"/>
  <c r="IH10" i="3"/>
  <c r="IL10" i="3"/>
  <c r="IP10" i="3"/>
  <c r="IT10" i="3"/>
  <c r="IX10" i="3"/>
  <c r="JB10" i="3"/>
  <c r="JF10" i="3"/>
  <c r="JJ10" i="3"/>
  <c r="JN10" i="3"/>
  <c r="JR10" i="3"/>
  <c r="JV10" i="3"/>
  <c r="JZ10" i="3"/>
  <c r="KD10" i="3"/>
  <c r="KH10" i="3"/>
  <c r="KL10" i="3"/>
  <c r="AGM7" i="3"/>
  <c r="AGU7" i="3"/>
  <c r="AHC7" i="3"/>
  <c r="AHK7" i="3"/>
  <c r="AHS7" i="3"/>
  <c r="AHW7" i="3"/>
  <c r="AIA7" i="3"/>
  <c r="AIE7" i="3"/>
  <c r="AII7" i="3"/>
  <c r="AIM7" i="3"/>
  <c r="AIQ7" i="3"/>
  <c r="AIU7" i="3"/>
  <c r="AIY7" i="3"/>
  <c r="AJC7" i="3"/>
  <c r="AJG7" i="3"/>
  <c r="AJK7" i="3"/>
  <c r="AJO7" i="3"/>
  <c r="AJS7" i="3"/>
  <c r="AJW7" i="3"/>
  <c r="AKA7" i="3"/>
  <c r="AKE7" i="3"/>
  <c r="AKI7" i="3"/>
  <c r="AKM7" i="3"/>
  <c r="AKQ7" i="3"/>
  <c r="AKU7" i="3"/>
  <c r="AKY7" i="3"/>
  <c r="ALC7" i="3"/>
  <c r="ALG7" i="3"/>
  <c r="ALK7" i="3"/>
  <c r="C8" i="3"/>
  <c r="G8" i="3"/>
  <c r="K8" i="3"/>
  <c r="O8" i="3"/>
  <c r="S8" i="3"/>
  <c r="W8" i="3"/>
  <c r="AA8" i="3"/>
  <c r="AE8" i="3"/>
  <c r="AI8" i="3"/>
  <c r="AM8" i="3"/>
  <c r="AQ8" i="3"/>
  <c r="AU8" i="3"/>
  <c r="AY8" i="3"/>
  <c r="BC8" i="3"/>
  <c r="BG8" i="3"/>
  <c r="BK8" i="3"/>
  <c r="BO8" i="3"/>
  <c r="BS8" i="3"/>
  <c r="BW8" i="3"/>
  <c r="CA8" i="3"/>
  <c r="CE8" i="3"/>
  <c r="CI8" i="3"/>
  <c r="CM8" i="3"/>
  <c r="CQ8" i="3"/>
  <c r="CU8" i="3"/>
  <c r="CY8" i="3"/>
  <c r="DC8" i="3"/>
  <c r="DG8" i="3"/>
  <c r="DK8" i="3"/>
  <c r="DO8" i="3"/>
  <c r="DS8" i="3"/>
  <c r="DW8" i="3"/>
  <c r="EA8" i="3"/>
  <c r="EE8" i="3"/>
  <c r="EI8" i="3"/>
  <c r="EM8" i="3"/>
  <c r="EQ8" i="3"/>
  <c r="EU8" i="3"/>
  <c r="EY8" i="3"/>
  <c r="FC8" i="3"/>
  <c r="FG8" i="3"/>
  <c r="FK8" i="3"/>
  <c r="FO8" i="3"/>
  <c r="FS8" i="3"/>
  <c r="FW8" i="3"/>
  <c r="GA8" i="3"/>
  <c r="GE8" i="3"/>
  <c r="GI8" i="3"/>
  <c r="GM8" i="3"/>
  <c r="GQ8" i="3"/>
  <c r="GU8" i="3"/>
  <c r="GY8" i="3"/>
  <c r="HC8" i="3"/>
  <c r="HG8" i="3"/>
  <c r="HK8" i="3"/>
  <c r="HO8" i="3"/>
  <c r="HS8" i="3"/>
  <c r="HW8" i="3"/>
  <c r="IA8" i="3"/>
  <c r="IE8" i="3"/>
  <c r="II8" i="3"/>
  <c r="IM8" i="3"/>
  <c r="IQ8" i="3"/>
  <c r="IU8" i="3"/>
  <c r="IY8" i="3"/>
  <c r="JC8" i="3"/>
  <c r="JG8" i="3"/>
  <c r="JK8" i="3"/>
  <c r="JO8" i="3"/>
  <c r="JS8" i="3"/>
  <c r="JW8" i="3"/>
  <c r="KA8" i="3"/>
  <c r="KE8" i="3"/>
  <c r="KI8" i="3"/>
  <c r="KM8" i="3"/>
  <c r="KQ8" i="3"/>
  <c r="KU8" i="3"/>
  <c r="KY8" i="3"/>
  <c r="LC8" i="3"/>
  <c r="LG8" i="3"/>
  <c r="LK8" i="3"/>
  <c r="LO8" i="3"/>
  <c r="LS8" i="3"/>
  <c r="LW8" i="3"/>
  <c r="MA8" i="3"/>
  <c r="ME8" i="3"/>
  <c r="MI8" i="3"/>
  <c r="MM8" i="3"/>
  <c r="MQ8" i="3"/>
  <c r="MU8" i="3"/>
  <c r="MY8" i="3"/>
  <c r="NC8" i="3"/>
  <c r="NG8" i="3"/>
  <c r="NK8" i="3"/>
  <c r="NO8" i="3"/>
  <c r="NS8" i="3"/>
  <c r="NW8" i="3"/>
  <c r="OA8" i="3"/>
  <c r="OE8" i="3"/>
  <c r="OI8" i="3"/>
  <c r="OM8" i="3"/>
  <c r="OQ8" i="3"/>
  <c r="OU8" i="3"/>
  <c r="OY8" i="3"/>
  <c r="PC8" i="3"/>
  <c r="PG8" i="3"/>
  <c r="PK8" i="3"/>
  <c r="PO8" i="3"/>
  <c r="PS8" i="3"/>
  <c r="PW8" i="3"/>
  <c r="QA8" i="3"/>
  <c r="QE8" i="3"/>
  <c r="QI8" i="3"/>
  <c r="QM8" i="3"/>
  <c r="QQ8" i="3"/>
  <c r="QU8" i="3"/>
  <c r="QY8" i="3"/>
  <c r="RC8" i="3"/>
  <c r="RG8" i="3"/>
  <c r="RK8" i="3"/>
  <c r="RO8" i="3"/>
  <c r="RS8" i="3"/>
  <c r="RW8" i="3"/>
  <c r="SA8" i="3"/>
  <c r="SE8" i="3"/>
  <c r="SI8" i="3"/>
  <c r="SM8" i="3"/>
  <c r="SQ8" i="3"/>
  <c r="SU8" i="3"/>
  <c r="SY8" i="3"/>
  <c r="TC8" i="3"/>
  <c r="TG8" i="3"/>
  <c r="TK8" i="3"/>
  <c r="TO8" i="3"/>
  <c r="TS8" i="3"/>
  <c r="TW8" i="3"/>
  <c r="UA8" i="3"/>
  <c r="UE8" i="3"/>
  <c r="UI8" i="3"/>
  <c r="UM8" i="3"/>
  <c r="UQ8" i="3"/>
  <c r="UU8" i="3"/>
  <c r="UY8" i="3"/>
  <c r="VC8" i="3"/>
  <c r="VG8" i="3"/>
  <c r="VK8" i="3"/>
  <c r="VO8" i="3"/>
  <c r="VS8" i="3"/>
  <c r="VW8" i="3"/>
  <c r="WA8" i="3"/>
  <c r="WE8" i="3"/>
  <c r="WI8" i="3"/>
  <c r="WM8" i="3"/>
  <c r="WQ8" i="3"/>
  <c r="WU8" i="3"/>
  <c r="WY8" i="3"/>
  <c r="XC8" i="3"/>
  <c r="XG8" i="3"/>
  <c r="XK8" i="3"/>
  <c r="XO8" i="3"/>
  <c r="XS8" i="3"/>
  <c r="XW8" i="3"/>
  <c r="YA8" i="3"/>
  <c r="YE8" i="3"/>
  <c r="YI8" i="3"/>
  <c r="YM8" i="3"/>
  <c r="YQ8" i="3"/>
  <c r="YU8" i="3"/>
  <c r="YY8" i="3"/>
  <c r="ZC8" i="3"/>
  <c r="ZG8" i="3"/>
  <c r="ZK8" i="3"/>
  <c r="ZO8" i="3"/>
  <c r="ZS8" i="3"/>
  <c r="ZW8" i="3"/>
  <c r="AAA8" i="3"/>
  <c r="AAE8" i="3"/>
  <c r="AAI8" i="3"/>
  <c r="AAM8" i="3"/>
  <c r="AAQ8" i="3"/>
  <c r="AAU8" i="3"/>
  <c r="AAY8" i="3"/>
  <c r="ABC8" i="3"/>
  <c r="ABG8" i="3"/>
  <c r="ABK8" i="3"/>
  <c r="ABO8" i="3"/>
  <c r="ABS8" i="3"/>
  <c r="ABW8" i="3"/>
  <c r="ACA8" i="3"/>
  <c r="ACE8" i="3"/>
  <c r="ACI8" i="3"/>
  <c r="ACM8" i="3"/>
  <c r="ACQ8" i="3"/>
  <c r="ACU8" i="3"/>
  <c r="ACY8" i="3"/>
  <c r="ADC8" i="3"/>
  <c r="ADG8" i="3"/>
  <c r="ADK8" i="3"/>
  <c r="ADO8" i="3"/>
  <c r="ADS8" i="3"/>
  <c r="ADW8" i="3"/>
  <c r="AEA8" i="3"/>
  <c r="AEE8" i="3"/>
  <c r="AEI8" i="3"/>
  <c r="AEM8" i="3"/>
  <c r="AEQ8" i="3"/>
  <c r="AEU8" i="3"/>
  <c r="AEY8" i="3"/>
  <c r="AFC8" i="3"/>
  <c r="AFG8" i="3"/>
  <c r="AFK8" i="3"/>
  <c r="AFO8" i="3"/>
  <c r="AFS8" i="3"/>
  <c r="AFW8" i="3"/>
  <c r="AGA8" i="3"/>
  <c r="AGE8" i="3"/>
  <c r="AGI8" i="3"/>
  <c r="AGM8" i="3"/>
  <c r="AGQ8" i="3"/>
  <c r="AGU8" i="3"/>
  <c r="AGY8" i="3"/>
  <c r="AHC8" i="3"/>
  <c r="AHG8" i="3"/>
  <c r="AHK8" i="3"/>
  <c r="AHO8" i="3"/>
  <c r="AHS8" i="3"/>
  <c r="AHW8" i="3"/>
  <c r="AIA8" i="3"/>
  <c r="AIE8" i="3"/>
  <c r="AII8" i="3"/>
  <c r="AIM8" i="3"/>
  <c r="AIQ8" i="3"/>
  <c r="AIU8" i="3"/>
  <c r="AIY8" i="3"/>
  <c r="AJC8" i="3"/>
  <c r="AJG8" i="3"/>
  <c r="AJK8" i="3"/>
  <c r="AJO8" i="3"/>
  <c r="AJS8" i="3"/>
  <c r="AJW8" i="3"/>
  <c r="AKA8" i="3"/>
  <c r="AKE8" i="3"/>
  <c r="AKI8" i="3"/>
  <c r="AKM8" i="3"/>
  <c r="AKQ8" i="3"/>
  <c r="AKU8" i="3"/>
  <c r="AKY8" i="3"/>
  <c r="ALC8" i="3"/>
  <c r="ALG8" i="3"/>
  <c r="ALK8" i="3"/>
  <c r="C9" i="3"/>
  <c r="G9" i="3"/>
  <c r="K9" i="3"/>
  <c r="O9" i="3"/>
  <c r="S9" i="3"/>
  <c r="W9" i="3"/>
  <c r="AA9" i="3"/>
  <c r="AE9" i="3"/>
  <c r="AI9" i="3"/>
  <c r="AM9" i="3"/>
  <c r="AQ9" i="3"/>
  <c r="AU9" i="3"/>
  <c r="AY9" i="3"/>
  <c r="BC9" i="3"/>
  <c r="BG9" i="3"/>
  <c r="BK9" i="3"/>
  <c r="BO9" i="3"/>
  <c r="BS9" i="3"/>
  <c r="BW9" i="3"/>
  <c r="CA9" i="3"/>
  <c r="CE9" i="3"/>
  <c r="CI9" i="3"/>
  <c r="CM9" i="3"/>
  <c r="CQ9" i="3"/>
  <c r="CU9" i="3"/>
  <c r="CY9" i="3"/>
  <c r="DC9" i="3"/>
  <c r="DG9" i="3"/>
  <c r="DK9" i="3"/>
  <c r="DO9" i="3"/>
  <c r="DS9" i="3"/>
  <c r="DW9" i="3"/>
  <c r="EA9" i="3"/>
  <c r="EE9" i="3"/>
  <c r="EI9" i="3"/>
  <c r="EM9" i="3"/>
  <c r="EQ9" i="3"/>
  <c r="EU9" i="3"/>
  <c r="EY9" i="3"/>
  <c r="FC9" i="3"/>
  <c r="FG9" i="3"/>
  <c r="FK9" i="3"/>
  <c r="FO9" i="3"/>
  <c r="FS9" i="3"/>
  <c r="FW9" i="3"/>
  <c r="GA9" i="3"/>
  <c r="GE9" i="3"/>
  <c r="GI9" i="3"/>
  <c r="GM9" i="3"/>
  <c r="GQ9" i="3"/>
  <c r="GU9" i="3"/>
  <c r="GY9" i="3"/>
  <c r="HC9" i="3"/>
  <c r="HG9" i="3"/>
  <c r="HK9" i="3"/>
  <c r="HO9" i="3"/>
  <c r="HS9" i="3"/>
  <c r="HW9" i="3"/>
  <c r="IA9" i="3"/>
  <c r="IE9" i="3"/>
  <c r="II9" i="3"/>
  <c r="IM9" i="3"/>
  <c r="IQ9" i="3"/>
  <c r="IU9" i="3"/>
  <c r="IY9" i="3"/>
  <c r="JC9" i="3"/>
  <c r="JG9" i="3"/>
  <c r="JK9" i="3"/>
  <c r="JO9" i="3"/>
  <c r="JS9" i="3"/>
  <c r="JW9" i="3"/>
  <c r="KA9" i="3"/>
  <c r="KE9" i="3"/>
  <c r="KI9" i="3"/>
  <c r="KM9" i="3"/>
  <c r="KQ9" i="3"/>
  <c r="KU9" i="3"/>
  <c r="KY9" i="3"/>
  <c r="LC9" i="3"/>
  <c r="LG9" i="3"/>
  <c r="LK9" i="3"/>
  <c r="LO9" i="3"/>
  <c r="LS9" i="3"/>
  <c r="LW9" i="3"/>
  <c r="MA9" i="3"/>
  <c r="ME9" i="3"/>
  <c r="MI9" i="3"/>
  <c r="MM9" i="3"/>
  <c r="MQ9" i="3"/>
  <c r="MU9" i="3"/>
  <c r="MY9" i="3"/>
  <c r="NC9" i="3"/>
  <c r="NG9" i="3"/>
  <c r="NK9" i="3"/>
  <c r="NO9" i="3"/>
  <c r="NS9" i="3"/>
  <c r="NW9" i="3"/>
  <c r="OA9" i="3"/>
  <c r="OE9" i="3"/>
  <c r="OI9" i="3"/>
  <c r="OM9" i="3"/>
  <c r="OQ9" i="3"/>
  <c r="OU9" i="3"/>
  <c r="OY9" i="3"/>
  <c r="PC9" i="3"/>
  <c r="PG9" i="3"/>
  <c r="PK9" i="3"/>
  <c r="PO9" i="3"/>
  <c r="PS9" i="3"/>
  <c r="PW9" i="3"/>
  <c r="QA9" i="3"/>
  <c r="QE9" i="3"/>
  <c r="QI9" i="3"/>
  <c r="QM9" i="3"/>
  <c r="QQ9" i="3"/>
  <c r="QU9" i="3"/>
  <c r="QY9" i="3"/>
  <c r="RC9" i="3"/>
  <c r="RG9" i="3"/>
  <c r="RK9" i="3"/>
  <c r="RO9" i="3"/>
  <c r="RS9" i="3"/>
  <c r="RW9" i="3"/>
  <c r="SA9" i="3"/>
  <c r="SE9" i="3"/>
  <c r="SI9" i="3"/>
  <c r="SM9" i="3"/>
  <c r="SQ9" i="3"/>
  <c r="SU9" i="3"/>
  <c r="SY9" i="3"/>
  <c r="TC9" i="3"/>
  <c r="TG9" i="3"/>
  <c r="TK9" i="3"/>
  <c r="TO9" i="3"/>
  <c r="TS9" i="3"/>
  <c r="TW9" i="3"/>
  <c r="UA9" i="3"/>
  <c r="UE9" i="3"/>
  <c r="UI9" i="3"/>
  <c r="UM9" i="3"/>
  <c r="UQ9" i="3"/>
  <c r="UU9" i="3"/>
  <c r="UY9" i="3"/>
  <c r="VC9" i="3"/>
  <c r="VG9" i="3"/>
  <c r="VK9" i="3"/>
  <c r="VO9" i="3"/>
  <c r="VS9" i="3"/>
  <c r="VW9" i="3"/>
  <c r="WA9" i="3"/>
  <c r="WE9" i="3"/>
  <c r="WI9" i="3"/>
  <c r="WM9" i="3"/>
  <c r="WQ9" i="3"/>
  <c r="WU9" i="3"/>
  <c r="WY9" i="3"/>
  <c r="XC9" i="3"/>
  <c r="XG9" i="3"/>
  <c r="XK9" i="3"/>
  <c r="XO9" i="3"/>
  <c r="XS9" i="3"/>
  <c r="XW9" i="3"/>
  <c r="YA9" i="3"/>
  <c r="YE9" i="3"/>
  <c r="YI9" i="3"/>
  <c r="YM9" i="3"/>
  <c r="YQ9" i="3"/>
  <c r="YU9" i="3"/>
  <c r="YY9" i="3"/>
  <c r="ZC9" i="3"/>
  <c r="ZG9" i="3"/>
  <c r="ZK9" i="3"/>
  <c r="ZO9" i="3"/>
  <c r="ZS9" i="3"/>
  <c r="ZW9" i="3"/>
  <c r="AAA9" i="3"/>
  <c r="AAE9" i="3"/>
  <c r="AAI9" i="3"/>
  <c r="AAM9" i="3"/>
  <c r="AAQ9" i="3"/>
  <c r="AAU9" i="3"/>
  <c r="AAY9" i="3"/>
  <c r="ABC9" i="3"/>
  <c r="ABG9" i="3"/>
  <c r="ABK9" i="3"/>
  <c r="ABO9" i="3"/>
  <c r="ABS9" i="3"/>
  <c r="ABW9" i="3"/>
  <c r="ACA9" i="3"/>
  <c r="ACE9" i="3"/>
  <c r="ACI9" i="3"/>
  <c r="ACM9" i="3"/>
  <c r="ACQ9" i="3"/>
  <c r="ACU9" i="3"/>
  <c r="ACY9" i="3"/>
  <c r="ADC9" i="3"/>
  <c r="ADG9" i="3"/>
  <c r="ADK9" i="3"/>
  <c r="ADO9" i="3"/>
  <c r="ADS9" i="3"/>
  <c r="ADW9" i="3"/>
  <c r="AEA9" i="3"/>
  <c r="AEE9" i="3"/>
  <c r="AEI9" i="3"/>
  <c r="AEM9" i="3"/>
  <c r="AEQ9" i="3"/>
  <c r="AEU9" i="3"/>
  <c r="AEY9" i="3"/>
  <c r="AFC9" i="3"/>
  <c r="AFG9" i="3"/>
  <c r="AFK9" i="3"/>
  <c r="AFO9" i="3"/>
  <c r="AFS9" i="3"/>
  <c r="AFW9" i="3"/>
  <c r="AGA9" i="3"/>
  <c r="AGE9" i="3"/>
  <c r="AGI9" i="3"/>
  <c r="AGM9" i="3"/>
  <c r="AGQ9" i="3"/>
  <c r="AGU9" i="3"/>
  <c r="AGY9" i="3"/>
  <c r="AHC9" i="3"/>
  <c r="AHG9" i="3"/>
  <c r="AHK9" i="3"/>
  <c r="AHO9" i="3"/>
  <c r="AHS9" i="3"/>
  <c r="AHW9" i="3"/>
  <c r="AIA9" i="3"/>
  <c r="AIE9" i="3"/>
  <c r="AII9" i="3"/>
  <c r="AIM9" i="3"/>
  <c r="AIQ9" i="3"/>
  <c r="AIU9" i="3"/>
  <c r="AIY9" i="3"/>
  <c r="AJC9" i="3"/>
  <c r="AJG9" i="3"/>
  <c r="AJK9" i="3"/>
  <c r="AJO9" i="3"/>
  <c r="AJS9" i="3"/>
  <c r="AJW9" i="3"/>
  <c r="AKA9" i="3"/>
  <c r="AKE9" i="3"/>
  <c r="AKI9" i="3"/>
  <c r="AKM9" i="3"/>
  <c r="AKQ9" i="3"/>
  <c r="AKU9" i="3"/>
  <c r="AKY9" i="3"/>
  <c r="ALC9" i="3"/>
  <c r="ALG9" i="3"/>
  <c r="ALK9" i="3"/>
  <c r="C10" i="3"/>
  <c r="G10" i="3"/>
  <c r="K10" i="3"/>
  <c r="O10" i="3"/>
  <c r="S10" i="3"/>
  <c r="W10" i="3"/>
  <c r="AA10" i="3"/>
  <c r="AE10" i="3"/>
  <c r="AI10" i="3"/>
  <c r="AM10" i="3"/>
  <c r="AQ10" i="3"/>
  <c r="AU10" i="3"/>
  <c r="AY10" i="3"/>
  <c r="BC10" i="3"/>
  <c r="BG10" i="3"/>
  <c r="BK10" i="3"/>
  <c r="BO10" i="3"/>
  <c r="BS10" i="3"/>
  <c r="BW10" i="3"/>
  <c r="CA10" i="3"/>
  <c r="CE10" i="3"/>
  <c r="CI10" i="3"/>
  <c r="CM10" i="3"/>
  <c r="CQ10" i="3"/>
  <c r="CU10" i="3"/>
  <c r="CY10" i="3"/>
  <c r="DC10" i="3"/>
  <c r="DG10" i="3"/>
  <c r="DK10" i="3"/>
  <c r="DO10" i="3"/>
  <c r="DS10" i="3"/>
  <c r="DW10" i="3"/>
  <c r="EA10" i="3"/>
  <c r="EE10" i="3"/>
  <c r="EI10" i="3"/>
  <c r="EM10" i="3"/>
  <c r="EQ10" i="3"/>
  <c r="EU10" i="3"/>
  <c r="EY10" i="3"/>
  <c r="FC10" i="3"/>
  <c r="FG10" i="3"/>
  <c r="FK10" i="3"/>
  <c r="FO10" i="3"/>
  <c r="FS10" i="3"/>
  <c r="FW10" i="3"/>
  <c r="GA10" i="3"/>
  <c r="GE10" i="3"/>
  <c r="GI10" i="3"/>
  <c r="GM10" i="3"/>
  <c r="GQ10" i="3"/>
  <c r="GU10" i="3"/>
  <c r="GY10" i="3"/>
  <c r="HC10" i="3"/>
  <c r="HG10" i="3"/>
  <c r="HK10" i="3"/>
  <c r="HO10" i="3"/>
  <c r="HS10" i="3"/>
  <c r="HW10" i="3"/>
  <c r="IA10" i="3"/>
  <c r="IE10" i="3"/>
  <c r="II10" i="3"/>
  <c r="IM10" i="3"/>
  <c r="IQ10" i="3"/>
  <c r="IU10" i="3"/>
  <c r="IY10" i="3"/>
  <c r="JC10" i="3"/>
  <c r="JG10" i="3"/>
  <c r="JK10" i="3"/>
  <c r="JO10" i="3"/>
  <c r="JS10" i="3"/>
  <c r="JW10" i="3"/>
  <c r="KA10" i="3"/>
  <c r="KE10" i="3"/>
  <c r="KI10" i="3"/>
  <c r="KM10" i="3"/>
  <c r="KQ10" i="3"/>
  <c r="KU10" i="3"/>
  <c r="KY10" i="3"/>
  <c r="LC10" i="3"/>
  <c r="LG10" i="3"/>
  <c r="LK10" i="3"/>
  <c r="LO10" i="3"/>
  <c r="LS10" i="3"/>
  <c r="LW10" i="3"/>
  <c r="MA10" i="3"/>
  <c r="ME10" i="3"/>
  <c r="MI10" i="3"/>
  <c r="MM10" i="3"/>
  <c r="MQ10" i="3"/>
  <c r="MU10" i="3"/>
  <c r="MY10" i="3"/>
  <c r="NC10" i="3"/>
  <c r="NG10" i="3"/>
  <c r="NK10" i="3"/>
  <c r="NO10" i="3"/>
  <c r="NS10" i="3"/>
  <c r="NW10" i="3"/>
  <c r="OA10" i="3"/>
  <c r="OE10" i="3"/>
  <c r="OI10" i="3"/>
  <c r="OM10" i="3"/>
  <c r="OQ10" i="3"/>
  <c r="OU10" i="3"/>
  <c r="OY10" i="3"/>
  <c r="PC10" i="3"/>
  <c r="PG10" i="3"/>
  <c r="PK10" i="3"/>
  <c r="PO10" i="3"/>
  <c r="PS10" i="3"/>
  <c r="PW10" i="3"/>
  <c r="QA10" i="3"/>
  <c r="QE10" i="3"/>
  <c r="QI10" i="3"/>
  <c r="QM10" i="3"/>
  <c r="QQ10" i="3"/>
  <c r="QU10" i="3"/>
  <c r="QY10" i="3"/>
  <c r="RC10" i="3"/>
  <c r="RG10" i="3"/>
  <c r="RK10" i="3"/>
  <c r="RO10" i="3"/>
  <c r="RS10" i="3"/>
  <c r="RW10" i="3"/>
  <c r="SA10" i="3"/>
  <c r="SE10" i="3"/>
  <c r="SI10" i="3"/>
  <c r="SM10" i="3"/>
  <c r="SQ10" i="3"/>
  <c r="SU10" i="3"/>
  <c r="SY10" i="3"/>
  <c r="TC10" i="3"/>
  <c r="TG10" i="3"/>
  <c r="TK10" i="3"/>
  <c r="TO10" i="3"/>
  <c r="TS10" i="3"/>
  <c r="TW10" i="3"/>
  <c r="UA10" i="3"/>
  <c r="UE10" i="3"/>
  <c r="UI10" i="3"/>
  <c r="UM10" i="3"/>
  <c r="UQ10" i="3"/>
  <c r="UU10" i="3"/>
  <c r="UY10" i="3"/>
  <c r="VC10" i="3"/>
  <c r="VG10" i="3"/>
  <c r="VK10" i="3"/>
  <c r="VO10" i="3"/>
  <c r="VS10" i="3"/>
  <c r="VW10" i="3"/>
  <c r="WA10" i="3"/>
  <c r="WE10" i="3"/>
  <c r="WI10" i="3"/>
  <c r="WM10" i="3"/>
  <c r="AGN7" i="3"/>
  <c r="AGV7" i="3"/>
  <c r="AHD7" i="3"/>
  <c r="AHL7" i="3"/>
  <c r="AHT7" i="3"/>
  <c r="AHX7" i="3"/>
  <c r="AIB7" i="3"/>
  <c r="AIF7" i="3"/>
  <c r="AIJ7" i="3"/>
  <c r="AIN7" i="3"/>
  <c r="AIR7" i="3"/>
  <c r="AIV7" i="3"/>
  <c r="AIZ7" i="3"/>
  <c r="AJD7" i="3"/>
  <c r="AJH7" i="3"/>
  <c r="AJL7" i="3"/>
  <c r="AJP7" i="3"/>
  <c r="AJT7" i="3"/>
  <c r="AJX7" i="3"/>
  <c r="AKB7" i="3"/>
  <c r="AKF7" i="3"/>
  <c r="AKJ7" i="3"/>
  <c r="AKN7" i="3"/>
  <c r="AKR7" i="3"/>
  <c r="AKV7" i="3"/>
  <c r="AKZ7" i="3"/>
  <c r="ALD7" i="3"/>
  <c r="ALH7" i="3"/>
  <c r="ALL7" i="3"/>
  <c r="D8" i="3"/>
  <c r="H8" i="3"/>
  <c r="L8" i="3"/>
  <c r="P8" i="3"/>
  <c r="T8" i="3"/>
  <c r="X8" i="3"/>
  <c r="AB8" i="3"/>
  <c r="AF8" i="3"/>
  <c r="AJ8" i="3"/>
  <c r="AN8" i="3"/>
  <c r="AR8" i="3"/>
  <c r="AV8" i="3"/>
  <c r="AZ8" i="3"/>
  <c r="BD8" i="3"/>
  <c r="BH8" i="3"/>
  <c r="BL8" i="3"/>
  <c r="BP8" i="3"/>
  <c r="BT8" i="3"/>
  <c r="BX8" i="3"/>
  <c r="CB8" i="3"/>
  <c r="CF8" i="3"/>
  <c r="CJ8" i="3"/>
  <c r="CN8" i="3"/>
  <c r="CR8" i="3"/>
  <c r="CV8" i="3"/>
  <c r="CZ8" i="3"/>
  <c r="DD8" i="3"/>
  <c r="DH8" i="3"/>
  <c r="DL8" i="3"/>
  <c r="DP8" i="3"/>
  <c r="DT8" i="3"/>
  <c r="DX8" i="3"/>
  <c r="EB8" i="3"/>
  <c r="EF8" i="3"/>
  <c r="EJ8" i="3"/>
  <c r="EN8" i="3"/>
  <c r="ER8" i="3"/>
  <c r="EV8" i="3"/>
  <c r="EZ8" i="3"/>
  <c r="FD8" i="3"/>
  <c r="FH8" i="3"/>
  <c r="FL8" i="3"/>
  <c r="FP8" i="3"/>
  <c r="FT8" i="3"/>
  <c r="FX8" i="3"/>
  <c r="GB8" i="3"/>
  <c r="GF8" i="3"/>
  <c r="GJ8" i="3"/>
  <c r="GN8" i="3"/>
  <c r="GR8" i="3"/>
  <c r="GV8" i="3"/>
  <c r="GZ8" i="3"/>
  <c r="HD8" i="3"/>
  <c r="HH8" i="3"/>
  <c r="HL8" i="3"/>
  <c r="HP8" i="3"/>
  <c r="HT8" i="3"/>
  <c r="HX8" i="3"/>
  <c r="IB8" i="3"/>
  <c r="IF8" i="3"/>
  <c r="IJ8" i="3"/>
  <c r="IN8" i="3"/>
  <c r="IR8" i="3"/>
  <c r="IV8" i="3"/>
  <c r="IZ8" i="3"/>
  <c r="JD8" i="3"/>
  <c r="JH8" i="3"/>
  <c r="JL8" i="3"/>
  <c r="JP8" i="3"/>
  <c r="JT8" i="3"/>
  <c r="JX8" i="3"/>
  <c r="KB8" i="3"/>
  <c r="KF8" i="3"/>
  <c r="KJ8" i="3"/>
  <c r="KN8" i="3"/>
  <c r="KR8" i="3"/>
  <c r="KV8" i="3"/>
  <c r="KZ8" i="3"/>
  <c r="LD8" i="3"/>
  <c r="LH8" i="3"/>
  <c r="LL8" i="3"/>
  <c r="LP8" i="3"/>
  <c r="LT8" i="3"/>
  <c r="LX8" i="3"/>
  <c r="MB8" i="3"/>
  <c r="MF8" i="3"/>
  <c r="MJ8" i="3"/>
  <c r="MN8" i="3"/>
  <c r="MR8" i="3"/>
  <c r="MV8" i="3"/>
  <c r="MZ8" i="3"/>
  <c r="ND8" i="3"/>
  <c r="NH8" i="3"/>
  <c r="NL8" i="3"/>
  <c r="NP8" i="3"/>
  <c r="NT8" i="3"/>
  <c r="NX8" i="3"/>
  <c r="OB8" i="3"/>
  <c r="OF8" i="3"/>
  <c r="OJ8" i="3"/>
  <c r="ON8" i="3"/>
  <c r="OR8" i="3"/>
  <c r="OV8" i="3"/>
  <c r="OZ8" i="3"/>
  <c r="PD8" i="3"/>
  <c r="PH8" i="3"/>
  <c r="PL8" i="3"/>
  <c r="PP8" i="3"/>
  <c r="PT8" i="3"/>
  <c r="PX8" i="3"/>
  <c r="QB8" i="3"/>
  <c r="QF8" i="3"/>
  <c r="QJ8" i="3"/>
  <c r="QN8" i="3"/>
  <c r="QR8" i="3"/>
  <c r="QV8" i="3"/>
  <c r="QZ8" i="3"/>
  <c r="RD8" i="3"/>
  <c r="RH8" i="3"/>
  <c r="RL8" i="3"/>
  <c r="RP8" i="3"/>
  <c r="RT8" i="3"/>
  <c r="RX8" i="3"/>
  <c r="SB8" i="3"/>
  <c r="SF8" i="3"/>
  <c r="SJ8" i="3"/>
  <c r="SN8" i="3"/>
  <c r="SR8" i="3"/>
  <c r="SV8" i="3"/>
  <c r="SZ8" i="3"/>
  <c r="TD8" i="3"/>
  <c r="TH8" i="3"/>
  <c r="TL8" i="3"/>
  <c r="TP8" i="3"/>
  <c r="TT8" i="3"/>
  <c r="TX8" i="3"/>
  <c r="UB8" i="3"/>
  <c r="UF8" i="3"/>
  <c r="UJ8" i="3"/>
  <c r="UN8" i="3"/>
  <c r="UR8" i="3"/>
  <c r="UV8" i="3"/>
  <c r="UZ8" i="3"/>
  <c r="VD8" i="3"/>
  <c r="VH8" i="3"/>
  <c r="VL8" i="3"/>
  <c r="VP8" i="3"/>
  <c r="VT8" i="3"/>
  <c r="VX8" i="3"/>
  <c r="WB8" i="3"/>
  <c r="WF8" i="3"/>
  <c r="WJ8" i="3"/>
  <c r="WN8" i="3"/>
  <c r="WR8" i="3"/>
  <c r="WV8" i="3"/>
  <c r="WZ8" i="3"/>
  <c r="XD8" i="3"/>
  <c r="XH8" i="3"/>
  <c r="XL8" i="3"/>
  <c r="XP8" i="3"/>
  <c r="XT8" i="3"/>
  <c r="XX8" i="3"/>
  <c r="YB8" i="3"/>
  <c r="YF8" i="3"/>
  <c r="YJ8" i="3"/>
  <c r="YN8" i="3"/>
  <c r="YR8" i="3"/>
  <c r="YV8" i="3"/>
  <c r="YZ8" i="3"/>
  <c r="ZD8" i="3"/>
  <c r="ZH8" i="3"/>
  <c r="ZL8" i="3"/>
  <c r="ZP8" i="3"/>
  <c r="ZT8" i="3"/>
  <c r="ZX8" i="3"/>
  <c r="AAB8" i="3"/>
  <c r="AAF8" i="3"/>
  <c r="AAJ8" i="3"/>
  <c r="AAN8" i="3"/>
  <c r="AAR8" i="3"/>
  <c r="AAV8" i="3"/>
  <c r="AAZ8" i="3"/>
  <c r="ABD8" i="3"/>
  <c r="ABH8" i="3"/>
  <c r="ABL8" i="3"/>
  <c r="ABP8" i="3"/>
  <c r="ABT8" i="3"/>
  <c r="ABX8" i="3"/>
  <c r="ACB8" i="3"/>
  <c r="ACF8" i="3"/>
  <c r="ACJ8" i="3"/>
  <c r="ACN8" i="3"/>
  <c r="ACR8" i="3"/>
  <c r="ACV8" i="3"/>
  <c r="ACZ8" i="3"/>
  <c r="ADD8" i="3"/>
  <c r="ADH8" i="3"/>
  <c r="ADL8" i="3"/>
  <c r="ADP8" i="3"/>
  <c r="ADT8" i="3"/>
  <c r="ADX8" i="3"/>
  <c r="AEB8" i="3"/>
  <c r="AEF8" i="3"/>
  <c r="AEJ8" i="3"/>
  <c r="AEN8" i="3"/>
  <c r="AER8" i="3"/>
  <c r="AEV8" i="3"/>
  <c r="AEZ8" i="3"/>
  <c r="AFD8" i="3"/>
  <c r="AFH8" i="3"/>
  <c r="AFL8" i="3"/>
  <c r="AFP8" i="3"/>
  <c r="AFT8" i="3"/>
  <c r="AFX8" i="3"/>
  <c r="AGB8" i="3"/>
  <c r="AGF8" i="3"/>
  <c r="AGJ8" i="3"/>
  <c r="AGN8" i="3"/>
  <c r="AGR8" i="3"/>
  <c r="AGV8" i="3"/>
  <c r="AGZ8" i="3"/>
  <c r="AHD8" i="3"/>
  <c r="AHH8" i="3"/>
  <c r="AHL8" i="3"/>
  <c r="AHP8" i="3"/>
  <c r="AHT8" i="3"/>
  <c r="AHX8" i="3"/>
  <c r="AIB8" i="3"/>
  <c r="AIF8" i="3"/>
  <c r="AIJ8" i="3"/>
  <c r="AIN8" i="3"/>
  <c r="AIR8" i="3"/>
  <c r="AIV8" i="3"/>
  <c r="AIZ8" i="3"/>
  <c r="AJD8" i="3"/>
  <c r="AJH8" i="3"/>
  <c r="AJL8" i="3"/>
  <c r="AJP8" i="3"/>
  <c r="AJT8" i="3"/>
  <c r="AJX8" i="3"/>
  <c r="AKB8" i="3"/>
  <c r="AKF8" i="3"/>
  <c r="AKJ8" i="3"/>
  <c r="AKN8" i="3"/>
  <c r="AKR8" i="3"/>
  <c r="AKV8" i="3"/>
  <c r="AKZ8" i="3"/>
  <c r="ALD8" i="3"/>
  <c r="ALH8" i="3"/>
  <c r="ALL8" i="3"/>
  <c r="D9" i="3"/>
  <c r="H9" i="3"/>
  <c r="L9" i="3"/>
  <c r="P9" i="3"/>
  <c r="T9" i="3"/>
  <c r="X9" i="3"/>
  <c r="AB9" i="3"/>
  <c r="AF9" i="3"/>
  <c r="AJ9" i="3"/>
  <c r="AN9" i="3"/>
  <c r="AR9" i="3"/>
  <c r="AV9" i="3"/>
  <c r="AZ9" i="3"/>
  <c r="BD9" i="3"/>
  <c r="BH9" i="3"/>
  <c r="BL9" i="3"/>
  <c r="BP9" i="3"/>
  <c r="BT9" i="3"/>
  <c r="BX9" i="3"/>
  <c r="CB9" i="3"/>
  <c r="CF9" i="3"/>
  <c r="CJ9" i="3"/>
  <c r="CN9" i="3"/>
  <c r="CR9" i="3"/>
  <c r="CV9" i="3"/>
  <c r="CZ9" i="3"/>
  <c r="DD9" i="3"/>
  <c r="DH9" i="3"/>
  <c r="DL9" i="3"/>
  <c r="DP9" i="3"/>
  <c r="DT9" i="3"/>
  <c r="DX9" i="3"/>
  <c r="EB9" i="3"/>
  <c r="EF9" i="3"/>
  <c r="EJ9" i="3"/>
  <c r="EN9" i="3"/>
  <c r="ER9" i="3"/>
  <c r="EV9" i="3"/>
  <c r="EZ9" i="3"/>
  <c r="FD9" i="3"/>
  <c r="FH9" i="3"/>
  <c r="FL9" i="3"/>
  <c r="FP9" i="3"/>
  <c r="FT9" i="3"/>
  <c r="FX9" i="3"/>
  <c r="GB9" i="3"/>
  <c r="GF9" i="3"/>
  <c r="GJ9" i="3"/>
  <c r="GN9" i="3"/>
  <c r="GR9" i="3"/>
  <c r="GV9" i="3"/>
  <c r="GZ9" i="3"/>
  <c r="HD9" i="3"/>
  <c r="HH9" i="3"/>
  <c r="HL9" i="3"/>
  <c r="HP9" i="3"/>
  <c r="HT9" i="3"/>
  <c r="HX9" i="3"/>
  <c r="IB9" i="3"/>
  <c r="IF9" i="3"/>
  <c r="IJ9" i="3"/>
  <c r="IN9" i="3"/>
  <c r="IR9" i="3"/>
  <c r="IV9" i="3"/>
  <c r="IZ9" i="3"/>
  <c r="JD9" i="3"/>
  <c r="JH9" i="3"/>
  <c r="JL9" i="3"/>
  <c r="JP9" i="3"/>
  <c r="JT9" i="3"/>
  <c r="JX9" i="3"/>
  <c r="KB9" i="3"/>
  <c r="KF9" i="3"/>
  <c r="KJ9" i="3"/>
  <c r="KN9" i="3"/>
  <c r="KR9" i="3"/>
  <c r="KV9" i="3"/>
  <c r="KZ9" i="3"/>
  <c r="LD9" i="3"/>
  <c r="LH9" i="3"/>
  <c r="LL9" i="3"/>
  <c r="LP9" i="3"/>
  <c r="LT9" i="3"/>
  <c r="LX9" i="3"/>
  <c r="MB9" i="3"/>
  <c r="MF9" i="3"/>
  <c r="MJ9" i="3"/>
  <c r="MN9" i="3"/>
  <c r="MR9" i="3"/>
  <c r="MV9" i="3"/>
  <c r="MZ9" i="3"/>
  <c r="ND9" i="3"/>
  <c r="NH9" i="3"/>
  <c r="NL9" i="3"/>
  <c r="NP9" i="3"/>
  <c r="NT9" i="3"/>
  <c r="NX9" i="3"/>
  <c r="OB9" i="3"/>
  <c r="OF9" i="3"/>
  <c r="OJ9" i="3"/>
  <c r="ON9" i="3"/>
  <c r="OR9" i="3"/>
  <c r="OV9" i="3"/>
  <c r="OZ9" i="3"/>
  <c r="PD9" i="3"/>
  <c r="PH9" i="3"/>
  <c r="PL9" i="3"/>
  <c r="PP9" i="3"/>
  <c r="PT9" i="3"/>
  <c r="PX9" i="3"/>
  <c r="QB9" i="3"/>
  <c r="QF9" i="3"/>
  <c r="QJ9" i="3"/>
  <c r="QN9" i="3"/>
  <c r="QR9" i="3"/>
  <c r="QV9" i="3"/>
  <c r="QZ9" i="3"/>
  <c r="RD9" i="3"/>
  <c r="RH9" i="3"/>
  <c r="RL9" i="3"/>
  <c r="RP9" i="3"/>
  <c r="RT9" i="3"/>
  <c r="RX9" i="3"/>
  <c r="SB9" i="3"/>
  <c r="SF9" i="3"/>
  <c r="SJ9" i="3"/>
  <c r="SN9" i="3"/>
  <c r="SR9" i="3"/>
  <c r="SV9" i="3"/>
  <c r="SZ9" i="3"/>
  <c r="TD9" i="3"/>
  <c r="TH9" i="3"/>
  <c r="TL9" i="3"/>
  <c r="TP9" i="3"/>
  <c r="TT9" i="3"/>
  <c r="TX9" i="3"/>
  <c r="UB9" i="3"/>
  <c r="UF9" i="3"/>
  <c r="UJ9" i="3"/>
  <c r="UN9" i="3"/>
  <c r="UR9" i="3"/>
  <c r="UV9" i="3"/>
  <c r="UZ9" i="3"/>
  <c r="VD9" i="3"/>
  <c r="VH9" i="3"/>
  <c r="VL9" i="3"/>
  <c r="VP9" i="3"/>
  <c r="VT9" i="3"/>
  <c r="VX9" i="3"/>
  <c r="WB9" i="3"/>
  <c r="WF9" i="3"/>
  <c r="WJ9" i="3"/>
  <c r="WN9" i="3"/>
  <c r="WR9" i="3"/>
  <c r="WV9" i="3"/>
  <c r="WZ9" i="3"/>
  <c r="XD9" i="3"/>
  <c r="XH9" i="3"/>
  <c r="XL9" i="3"/>
  <c r="XP9" i="3"/>
  <c r="XT9" i="3"/>
  <c r="XX9" i="3"/>
  <c r="YB9" i="3"/>
  <c r="YF9" i="3"/>
  <c r="YJ9" i="3"/>
  <c r="YN9" i="3"/>
  <c r="YR9" i="3"/>
  <c r="YV9" i="3"/>
  <c r="YZ9" i="3"/>
  <c r="ZD9" i="3"/>
  <c r="ZH9" i="3"/>
  <c r="ZL9" i="3"/>
  <c r="ZP9" i="3"/>
  <c r="ZT9" i="3"/>
  <c r="ZX9" i="3"/>
  <c r="AAB9" i="3"/>
  <c r="AAF9" i="3"/>
  <c r="AAJ9" i="3"/>
  <c r="AAN9" i="3"/>
  <c r="AAR9" i="3"/>
  <c r="AAV9" i="3"/>
  <c r="AAZ9" i="3"/>
  <c r="ABD9" i="3"/>
  <c r="ABH9" i="3"/>
  <c r="ABL9" i="3"/>
  <c r="ABP9" i="3"/>
  <c r="ABT9" i="3"/>
  <c r="ABX9" i="3"/>
  <c r="ACB9" i="3"/>
  <c r="ACF9" i="3"/>
  <c r="ACJ9" i="3"/>
  <c r="ACN9" i="3"/>
  <c r="ACR9" i="3"/>
  <c r="ACV9" i="3"/>
  <c r="ACZ9" i="3"/>
  <c r="ADD9" i="3"/>
  <c r="ADH9" i="3"/>
  <c r="ADL9" i="3"/>
  <c r="ADP9" i="3"/>
  <c r="ADT9" i="3"/>
  <c r="ADX9" i="3"/>
  <c r="AEB9" i="3"/>
  <c r="AEF9" i="3"/>
  <c r="AEJ9" i="3"/>
  <c r="AEN9" i="3"/>
  <c r="AER9" i="3"/>
  <c r="AEV9" i="3"/>
  <c r="AEZ9" i="3"/>
  <c r="AFD9" i="3"/>
  <c r="AFH9" i="3"/>
  <c r="AFL9" i="3"/>
  <c r="AFP9" i="3"/>
  <c r="AFT9" i="3"/>
  <c r="AFX9" i="3"/>
  <c r="AGB9" i="3"/>
  <c r="AGF9" i="3"/>
  <c r="AGJ9" i="3"/>
  <c r="AGN9" i="3"/>
  <c r="AGR9" i="3"/>
  <c r="AGV9" i="3"/>
  <c r="AGZ9" i="3"/>
  <c r="AHD9" i="3"/>
  <c r="AHH9" i="3"/>
  <c r="AHL9" i="3"/>
  <c r="AHP9" i="3"/>
  <c r="AHT9" i="3"/>
  <c r="AHX9" i="3"/>
  <c r="AIB9" i="3"/>
  <c r="AIF9" i="3"/>
  <c r="AIJ9" i="3"/>
  <c r="AIN9" i="3"/>
  <c r="AIR9" i="3"/>
  <c r="AIV9" i="3"/>
  <c r="AIZ9" i="3"/>
  <c r="AJD9" i="3"/>
  <c r="AJH9" i="3"/>
  <c r="AJL9" i="3"/>
  <c r="AJP9" i="3"/>
  <c r="AJT9" i="3"/>
  <c r="AJX9" i="3"/>
  <c r="AKB9" i="3"/>
  <c r="AKF9" i="3"/>
  <c r="AKJ9" i="3"/>
  <c r="AKN9" i="3"/>
  <c r="AKR9" i="3"/>
  <c r="AKV9" i="3"/>
  <c r="AKZ9" i="3"/>
  <c r="ALD9" i="3"/>
  <c r="ALH9" i="3"/>
  <c r="ALL9" i="3"/>
  <c r="D10" i="3"/>
  <c r="H10" i="3"/>
  <c r="L10" i="3"/>
  <c r="P10" i="3"/>
  <c r="T10" i="3"/>
  <c r="X10" i="3"/>
  <c r="AB10" i="3"/>
  <c r="AF10" i="3"/>
  <c r="AJ10" i="3"/>
  <c r="AN10" i="3"/>
  <c r="AR10" i="3"/>
  <c r="AV10" i="3"/>
  <c r="AZ10" i="3"/>
  <c r="BD10" i="3"/>
  <c r="BH10" i="3"/>
  <c r="BL10" i="3"/>
  <c r="BP10" i="3"/>
  <c r="BT10" i="3"/>
  <c r="BX10" i="3"/>
  <c r="CB10" i="3"/>
  <c r="CF10" i="3"/>
  <c r="CJ10" i="3"/>
  <c r="CN10" i="3"/>
  <c r="CR10" i="3"/>
  <c r="CV10" i="3"/>
  <c r="CZ10" i="3"/>
  <c r="DD10" i="3"/>
  <c r="DH10" i="3"/>
  <c r="DL10" i="3"/>
  <c r="DP10" i="3"/>
  <c r="DT10" i="3"/>
  <c r="DX10" i="3"/>
  <c r="EB10" i="3"/>
  <c r="EF10" i="3"/>
  <c r="EJ10" i="3"/>
  <c r="EN10" i="3"/>
  <c r="ER10" i="3"/>
  <c r="EV10" i="3"/>
  <c r="EZ10" i="3"/>
  <c r="FD10" i="3"/>
  <c r="FH10" i="3"/>
  <c r="FL10" i="3"/>
  <c r="FP10" i="3"/>
  <c r="FT10" i="3"/>
  <c r="FX10" i="3"/>
  <c r="GB10" i="3"/>
  <c r="GF10" i="3"/>
  <c r="GJ10" i="3"/>
  <c r="GN10" i="3"/>
  <c r="GR10" i="3"/>
  <c r="GV10" i="3"/>
  <c r="GZ10" i="3"/>
  <c r="HD10" i="3"/>
  <c r="HH10" i="3"/>
  <c r="HL10" i="3"/>
  <c r="HP10" i="3"/>
  <c r="HT10" i="3"/>
  <c r="HX10" i="3"/>
  <c r="IB10" i="3"/>
  <c r="IF10" i="3"/>
  <c r="IJ10" i="3"/>
  <c r="IN10" i="3"/>
  <c r="IR10" i="3"/>
  <c r="IV10" i="3"/>
  <c r="IZ10" i="3"/>
  <c r="JD10" i="3"/>
  <c r="JH10" i="3"/>
  <c r="JL10" i="3"/>
  <c r="JP10" i="3"/>
  <c r="JT10" i="3"/>
  <c r="JX10" i="3"/>
  <c r="KB10" i="3"/>
  <c r="KF10" i="3"/>
  <c r="KJ10" i="3"/>
  <c r="KN10" i="3"/>
  <c r="KR10" i="3"/>
  <c r="KV10" i="3"/>
  <c r="KZ10" i="3"/>
  <c r="LD10" i="3"/>
  <c r="LH10" i="3"/>
  <c r="LL10" i="3"/>
  <c r="LP10" i="3"/>
  <c r="LT10" i="3"/>
  <c r="LX10" i="3"/>
  <c r="MB10" i="3"/>
  <c r="MF10" i="3"/>
  <c r="MJ10" i="3"/>
  <c r="MN10" i="3"/>
  <c r="MR10" i="3"/>
  <c r="MV10" i="3"/>
  <c r="MZ10" i="3"/>
  <c r="ND10" i="3"/>
  <c r="NH10" i="3"/>
  <c r="NL10" i="3"/>
  <c r="NP10" i="3"/>
  <c r="NT10" i="3"/>
  <c r="NX10" i="3"/>
  <c r="OB10" i="3"/>
  <c r="OF10" i="3"/>
  <c r="OJ10" i="3"/>
  <c r="ON10" i="3"/>
  <c r="OR10" i="3"/>
  <c r="OV10" i="3"/>
  <c r="OZ10" i="3"/>
  <c r="PD10" i="3"/>
  <c r="PH10" i="3"/>
  <c r="PL10" i="3"/>
  <c r="PP10" i="3"/>
  <c r="PT10" i="3"/>
  <c r="PX10" i="3"/>
  <c r="QB10" i="3"/>
  <c r="QF10" i="3"/>
  <c r="QJ10" i="3"/>
  <c r="QN10" i="3"/>
  <c r="QR10" i="3"/>
  <c r="QV10" i="3"/>
  <c r="QZ10" i="3"/>
  <c r="RD10" i="3"/>
  <c r="RH10" i="3"/>
  <c r="RL10" i="3"/>
  <c r="RP10" i="3"/>
  <c r="RT10" i="3"/>
  <c r="RX10" i="3"/>
  <c r="SB10" i="3"/>
  <c r="SF10" i="3"/>
  <c r="SJ10" i="3"/>
  <c r="SN10" i="3"/>
  <c r="SR10" i="3"/>
  <c r="SV10" i="3"/>
  <c r="SZ10" i="3"/>
  <c r="TD10" i="3"/>
  <c r="TH10" i="3"/>
  <c r="TL10" i="3"/>
  <c r="TP10" i="3"/>
  <c r="TT10" i="3"/>
  <c r="TX10" i="3"/>
  <c r="UB10" i="3"/>
  <c r="UF10" i="3"/>
  <c r="UJ10" i="3"/>
  <c r="UN10" i="3"/>
  <c r="UR10" i="3"/>
  <c r="UV10" i="3"/>
  <c r="UZ10" i="3"/>
  <c r="VD10" i="3"/>
  <c r="VH10" i="3"/>
  <c r="VL10" i="3"/>
  <c r="VP10" i="3"/>
  <c r="VT10" i="3"/>
  <c r="VX10" i="3"/>
  <c r="WB10" i="3"/>
  <c r="WF10" i="3"/>
  <c r="WJ10" i="3"/>
  <c r="WN10" i="3"/>
  <c r="AGQ7" i="3"/>
  <c r="AHU7" i="3"/>
  <c r="AIK7" i="3"/>
  <c r="AJA7" i="3"/>
  <c r="AJQ7" i="3"/>
  <c r="AKG7" i="3"/>
  <c r="AKW7" i="3"/>
  <c r="ALM7" i="3"/>
  <c r="Q8" i="3"/>
  <c r="AG8" i="3"/>
  <c r="AW8" i="3"/>
  <c r="BM8" i="3"/>
  <c r="CC8" i="3"/>
  <c r="CS8" i="3"/>
  <c r="DI8" i="3"/>
  <c r="DY8" i="3"/>
  <c r="EO8" i="3"/>
  <c r="FE8" i="3"/>
  <c r="FU8" i="3"/>
  <c r="GK8" i="3"/>
  <c r="HA8" i="3"/>
  <c r="HQ8" i="3"/>
  <c r="IG8" i="3"/>
  <c r="IW8" i="3"/>
  <c r="JM8" i="3"/>
  <c r="KC8" i="3"/>
  <c r="KS8" i="3"/>
  <c r="LI8" i="3"/>
  <c r="LY8" i="3"/>
  <c r="MO8" i="3"/>
  <c r="NE8" i="3"/>
  <c r="NU8" i="3"/>
  <c r="OK8" i="3"/>
  <c r="PA8" i="3"/>
  <c r="PQ8" i="3"/>
  <c r="QG8" i="3"/>
  <c r="QW8" i="3"/>
  <c r="RM8" i="3"/>
  <c r="SC8" i="3"/>
  <c r="SS8" i="3"/>
  <c r="TI8" i="3"/>
  <c r="TY8" i="3"/>
  <c r="UO8" i="3"/>
  <c r="VE8" i="3"/>
  <c r="VU8" i="3"/>
  <c r="WK8" i="3"/>
  <c r="XA8" i="3"/>
  <c r="XQ8" i="3"/>
  <c r="YG8" i="3"/>
  <c r="YW8" i="3"/>
  <c r="ZM8" i="3"/>
  <c r="AAC8" i="3"/>
  <c r="AAS8" i="3"/>
  <c r="ABI8" i="3"/>
  <c r="ABY8" i="3"/>
  <c r="ACO8" i="3"/>
  <c r="ADE8" i="3"/>
  <c r="ADU8" i="3"/>
  <c r="AEK8" i="3"/>
  <c r="AFA8" i="3"/>
  <c r="AFQ8" i="3"/>
  <c r="AGG8" i="3"/>
  <c r="AGW8" i="3"/>
  <c r="AHM8" i="3"/>
  <c r="AIC8" i="3"/>
  <c r="AIS8" i="3"/>
  <c r="AJI8" i="3"/>
  <c r="AJY8" i="3"/>
  <c r="AKO8" i="3"/>
  <c r="ALE8" i="3"/>
  <c r="I9" i="3"/>
  <c r="Y9" i="3"/>
  <c r="AO9" i="3"/>
  <c r="BE9" i="3"/>
  <c r="BU9" i="3"/>
  <c r="CK9" i="3"/>
  <c r="DA9" i="3"/>
  <c r="DQ9" i="3"/>
  <c r="EG9" i="3"/>
  <c r="EW9" i="3"/>
  <c r="FM9" i="3"/>
  <c r="GC9" i="3"/>
  <c r="GS9" i="3"/>
  <c r="HI9" i="3"/>
  <c r="HY9" i="3"/>
  <c r="IO9" i="3"/>
  <c r="JE9" i="3"/>
  <c r="JU9" i="3"/>
  <c r="KK9" i="3"/>
  <c r="LA9" i="3"/>
  <c r="LQ9" i="3"/>
  <c r="MG9" i="3"/>
  <c r="MW9" i="3"/>
  <c r="NM9" i="3"/>
  <c r="OC9" i="3"/>
  <c r="OS9" i="3"/>
  <c r="PI9" i="3"/>
  <c r="PY9" i="3"/>
  <c r="QO9" i="3"/>
  <c r="RE9" i="3"/>
  <c r="RU9" i="3"/>
  <c r="SK9" i="3"/>
  <c r="TA9" i="3"/>
  <c r="TQ9" i="3"/>
  <c r="UG9" i="3"/>
  <c r="UW9" i="3"/>
  <c r="VM9" i="3"/>
  <c r="WC9" i="3"/>
  <c r="WS9" i="3"/>
  <c r="XI9" i="3"/>
  <c r="XY9" i="3"/>
  <c r="YO9" i="3"/>
  <c r="ZE9" i="3"/>
  <c r="ZU9" i="3"/>
  <c r="AAK9" i="3"/>
  <c r="ABA9" i="3"/>
  <c r="ABQ9" i="3"/>
  <c r="ACG9" i="3"/>
  <c r="ACW9" i="3"/>
  <c r="ADM9" i="3"/>
  <c r="AEC9" i="3"/>
  <c r="AES9" i="3"/>
  <c r="AFI9" i="3"/>
  <c r="AFY9" i="3"/>
  <c r="AGO9" i="3"/>
  <c r="AHE9" i="3"/>
  <c r="AHU9" i="3"/>
  <c r="AIK9" i="3"/>
  <c r="AJA9" i="3"/>
  <c r="AJQ9" i="3"/>
  <c r="AKG9" i="3"/>
  <c r="AKW9" i="3"/>
  <c r="ALM9" i="3"/>
  <c r="Q10" i="3"/>
  <c r="AG10" i="3"/>
  <c r="AW10" i="3"/>
  <c r="BM10" i="3"/>
  <c r="CC10" i="3"/>
  <c r="CS10" i="3"/>
  <c r="DI10" i="3"/>
  <c r="DY10" i="3"/>
  <c r="EO10" i="3"/>
  <c r="FE10" i="3"/>
  <c r="FU10" i="3"/>
  <c r="GK10" i="3"/>
  <c r="HA10" i="3"/>
  <c r="HQ10" i="3"/>
  <c r="IG10" i="3"/>
  <c r="IW10" i="3"/>
  <c r="JM10" i="3"/>
  <c r="KC10" i="3"/>
  <c r="KP10" i="3"/>
  <c r="KX10" i="3"/>
  <c r="LF10" i="3"/>
  <c r="LN10" i="3"/>
  <c r="LV10" i="3"/>
  <c r="MD10" i="3"/>
  <c r="ML10" i="3"/>
  <c r="MT10" i="3"/>
  <c r="NB10" i="3"/>
  <c r="NJ10" i="3"/>
  <c r="NR10" i="3"/>
  <c r="NZ10" i="3"/>
  <c r="OH10" i="3"/>
  <c r="OP10" i="3"/>
  <c r="OX10" i="3"/>
  <c r="PF10" i="3"/>
  <c r="PN10" i="3"/>
  <c r="PV10" i="3"/>
  <c r="QD10" i="3"/>
  <c r="QL10" i="3"/>
  <c r="QT10" i="3"/>
  <c r="RB10" i="3"/>
  <c r="RJ10" i="3"/>
  <c r="RR10" i="3"/>
  <c r="RZ10" i="3"/>
  <c r="SH10" i="3"/>
  <c r="SP10" i="3"/>
  <c r="SX10" i="3"/>
  <c r="TF10" i="3"/>
  <c r="TN10" i="3"/>
  <c r="TV10" i="3"/>
  <c r="UD10" i="3"/>
  <c r="UL10" i="3"/>
  <c r="UT10" i="3"/>
  <c r="VB10" i="3"/>
  <c r="VJ10" i="3"/>
  <c r="VR10" i="3"/>
  <c r="VZ10" i="3"/>
  <c r="WH10" i="3"/>
  <c r="WP10" i="3"/>
  <c r="WT10" i="3"/>
  <c r="WX10" i="3"/>
  <c r="XB10" i="3"/>
  <c r="XF10" i="3"/>
  <c r="XJ10" i="3"/>
  <c r="XN10" i="3"/>
  <c r="XR10" i="3"/>
  <c r="XV10" i="3"/>
  <c r="XZ10" i="3"/>
  <c r="YD10" i="3"/>
  <c r="YH10" i="3"/>
  <c r="YL10" i="3"/>
  <c r="YP10" i="3"/>
  <c r="YT10" i="3"/>
  <c r="YX10" i="3"/>
  <c r="ZB10" i="3"/>
  <c r="ZF10" i="3"/>
  <c r="ZJ10" i="3"/>
  <c r="ZN10" i="3"/>
  <c r="ZR10" i="3"/>
  <c r="ZV10" i="3"/>
  <c r="ZZ10" i="3"/>
  <c r="AAD10" i="3"/>
  <c r="AAH10" i="3"/>
  <c r="AAL10" i="3"/>
  <c r="AAP10" i="3"/>
  <c r="AAT10" i="3"/>
  <c r="AAX10" i="3"/>
  <c r="ABB10" i="3"/>
  <c r="ABF10" i="3"/>
  <c r="ABJ10" i="3"/>
  <c r="ABN10" i="3"/>
  <c r="ABR10" i="3"/>
  <c r="ABV10" i="3"/>
  <c r="ABZ10" i="3"/>
  <c r="ACD10" i="3"/>
  <c r="ACH10" i="3"/>
  <c r="ACL10" i="3"/>
  <c r="ACP10" i="3"/>
  <c r="ACT10" i="3"/>
  <c r="ACX10" i="3"/>
  <c r="ADB10" i="3"/>
  <c r="ADF10" i="3"/>
  <c r="ADJ10" i="3"/>
  <c r="ADN10" i="3"/>
  <c r="ADR10" i="3"/>
  <c r="ADV10" i="3"/>
  <c r="ADZ10" i="3"/>
  <c r="AED10" i="3"/>
  <c r="AEH10" i="3"/>
  <c r="AEL10" i="3"/>
  <c r="AEP10" i="3"/>
  <c r="AET10" i="3"/>
  <c r="AEX10" i="3"/>
  <c r="AFB10" i="3"/>
  <c r="AFF10" i="3"/>
  <c r="AFJ10" i="3"/>
  <c r="AFN10" i="3"/>
  <c r="AFR10" i="3"/>
  <c r="AFV10" i="3"/>
  <c r="AFZ10" i="3"/>
  <c r="AGD10" i="3"/>
  <c r="AGH10" i="3"/>
  <c r="AGL10" i="3"/>
  <c r="AGP10" i="3"/>
  <c r="AGT10" i="3"/>
  <c r="AGX10" i="3"/>
  <c r="AHB10" i="3"/>
  <c r="AHF10" i="3"/>
  <c r="AHJ10" i="3"/>
  <c r="AHN10" i="3"/>
  <c r="AHR10" i="3"/>
  <c r="AHV10" i="3"/>
  <c r="AHZ10" i="3"/>
  <c r="AID10" i="3"/>
  <c r="AIH10" i="3"/>
  <c r="AIL10" i="3"/>
  <c r="AIP10" i="3"/>
  <c r="AIT10" i="3"/>
  <c r="AIX10" i="3"/>
  <c r="AJB10" i="3"/>
  <c r="AJF10" i="3"/>
  <c r="AJJ10" i="3"/>
  <c r="AJN10" i="3"/>
  <c r="AJR10" i="3"/>
  <c r="AJV10" i="3"/>
  <c r="AJZ10" i="3"/>
  <c r="AKD10" i="3"/>
  <c r="AKH10" i="3"/>
  <c r="AKL10" i="3"/>
  <c r="AKP10" i="3"/>
  <c r="AKT10" i="3"/>
  <c r="AKX10" i="3"/>
  <c r="ALB10" i="3"/>
  <c r="ALF10" i="3"/>
  <c r="ALJ10" i="3"/>
  <c r="B11" i="3"/>
  <c r="F11" i="3"/>
  <c r="J11" i="3"/>
  <c r="N11" i="3"/>
  <c r="R11" i="3"/>
  <c r="V11" i="3"/>
  <c r="Z11" i="3"/>
  <c r="AD11" i="3"/>
  <c r="AH11" i="3"/>
  <c r="AL11" i="3"/>
  <c r="AP11" i="3"/>
  <c r="AT11" i="3"/>
  <c r="AX11" i="3"/>
  <c r="BB11" i="3"/>
  <c r="BF11" i="3"/>
  <c r="BJ11" i="3"/>
  <c r="BN11" i="3"/>
  <c r="BR11" i="3"/>
  <c r="BV11" i="3"/>
  <c r="BZ11" i="3"/>
  <c r="CD11" i="3"/>
  <c r="CH11" i="3"/>
  <c r="CL11" i="3"/>
  <c r="CP11" i="3"/>
  <c r="CT11" i="3"/>
  <c r="CX11" i="3"/>
  <c r="DB11" i="3"/>
  <c r="DF11" i="3"/>
  <c r="DJ11" i="3"/>
  <c r="DN11" i="3"/>
  <c r="DR11" i="3"/>
  <c r="DV11" i="3"/>
  <c r="DZ11" i="3"/>
  <c r="ED11" i="3"/>
  <c r="EH11" i="3"/>
  <c r="EL11" i="3"/>
  <c r="EP11" i="3"/>
  <c r="ET11" i="3"/>
  <c r="EX11" i="3"/>
  <c r="FB11" i="3"/>
  <c r="FF11" i="3"/>
  <c r="FJ11" i="3"/>
  <c r="FN11" i="3"/>
  <c r="FR11" i="3"/>
  <c r="FV11" i="3"/>
  <c r="FZ11" i="3"/>
  <c r="GD11" i="3"/>
  <c r="GH11" i="3"/>
  <c r="GL11" i="3"/>
  <c r="GP11" i="3"/>
  <c r="GT11" i="3"/>
  <c r="GX11" i="3"/>
  <c r="HB11" i="3"/>
  <c r="HF11" i="3"/>
  <c r="HJ11" i="3"/>
  <c r="HN11" i="3"/>
  <c r="HR11" i="3"/>
  <c r="HV11" i="3"/>
  <c r="HZ11" i="3"/>
  <c r="ID11" i="3"/>
  <c r="IH11" i="3"/>
  <c r="IL11" i="3"/>
  <c r="IP11" i="3"/>
  <c r="IT11" i="3"/>
  <c r="IX11" i="3"/>
  <c r="JB11" i="3"/>
  <c r="JF11" i="3"/>
  <c r="JJ11" i="3"/>
  <c r="JN11" i="3"/>
  <c r="JR11" i="3"/>
  <c r="JV11" i="3"/>
  <c r="JZ11" i="3"/>
  <c r="KD11" i="3"/>
  <c r="KH11" i="3"/>
  <c r="KL11" i="3"/>
  <c r="KP11" i="3"/>
  <c r="KT11" i="3"/>
  <c r="AGY7" i="3"/>
  <c r="AHY7" i="3"/>
  <c r="AIO7" i="3"/>
  <c r="AJE7" i="3"/>
  <c r="AJU7" i="3"/>
  <c r="AKK7" i="3"/>
  <c r="ALA7" i="3"/>
  <c r="E8" i="3"/>
  <c r="U8" i="3"/>
  <c r="AK8" i="3"/>
  <c r="BA8" i="3"/>
  <c r="BQ8" i="3"/>
  <c r="CG8" i="3"/>
  <c r="CW8" i="3"/>
  <c r="DM8" i="3"/>
  <c r="EC8" i="3"/>
  <c r="ES8" i="3"/>
  <c r="FI8" i="3"/>
  <c r="FY8" i="3"/>
  <c r="GO8" i="3"/>
  <c r="HE8" i="3"/>
  <c r="HU8" i="3"/>
  <c r="IK8" i="3"/>
  <c r="JA8" i="3"/>
  <c r="JQ8" i="3"/>
  <c r="KG8" i="3"/>
  <c r="KW8" i="3"/>
  <c r="LM8" i="3"/>
  <c r="MC8" i="3"/>
  <c r="MS8" i="3"/>
  <c r="NI8" i="3"/>
  <c r="NY8" i="3"/>
  <c r="OO8" i="3"/>
  <c r="PE8" i="3"/>
  <c r="PU8" i="3"/>
  <c r="QK8" i="3"/>
  <c r="RA8" i="3"/>
  <c r="RQ8" i="3"/>
  <c r="SG8" i="3"/>
  <c r="SW8" i="3"/>
  <c r="TM8" i="3"/>
  <c r="UC8" i="3"/>
  <c r="US8" i="3"/>
  <c r="VI8" i="3"/>
  <c r="VY8" i="3"/>
  <c r="WO8" i="3"/>
  <c r="XE8" i="3"/>
  <c r="XU8" i="3"/>
  <c r="YK8" i="3"/>
  <c r="ZA8" i="3"/>
  <c r="ZQ8" i="3"/>
  <c r="AAG8" i="3"/>
  <c r="AAW8" i="3"/>
  <c r="ABM8" i="3"/>
  <c r="ACC8" i="3"/>
  <c r="ACS8" i="3"/>
  <c r="ADI8" i="3"/>
  <c r="ADY8" i="3"/>
  <c r="AEO8" i="3"/>
  <c r="AFE8" i="3"/>
  <c r="AFU8" i="3"/>
  <c r="AGK8" i="3"/>
  <c r="AHA8" i="3"/>
  <c r="AHQ8" i="3"/>
  <c r="AIG8" i="3"/>
  <c r="AIW8" i="3"/>
  <c r="AJM8" i="3"/>
  <c r="AKC8" i="3"/>
  <c r="AKS8" i="3"/>
  <c r="ALI8" i="3"/>
  <c r="M9" i="3"/>
  <c r="AC9" i="3"/>
  <c r="AS9" i="3"/>
  <c r="BI9" i="3"/>
  <c r="BY9" i="3"/>
  <c r="CO9" i="3"/>
  <c r="DE9" i="3"/>
  <c r="DU9" i="3"/>
  <c r="EK9" i="3"/>
  <c r="FA9" i="3"/>
  <c r="FQ9" i="3"/>
  <c r="GG9" i="3"/>
  <c r="GW9" i="3"/>
  <c r="HM9" i="3"/>
  <c r="IC9" i="3"/>
  <c r="IS9" i="3"/>
  <c r="JI9" i="3"/>
  <c r="JY9" i="3"/>
  <c r="KO9" i="3"/>
  <c r="LE9" i="3"/>
  <c r="LU9" i="3"/>
  <c r="MK9" i="3"/>
  <c r="NA9" i="3"/>
  <c r="NQ9" i="3"/>
  <c r="OG9" i="3"/>
  <c r="OW9" i="3"/>
  <c r="PM9" i="3"/>
  <c r="QC9" i="3"/>
  <c r="QS9" i="3"/>
  <c r="RI9" i="3"/>
  <c r="RY9" i="3"/>
  <c r="SO9" i="3"/>
  <c r="TE9" i="3"/>
  <c r="TU9" i="3"/>
  <c r="UK9" i="3"/>
  <c r="VA9" i="3"/>
  <c r="VQ9" i="3"/>
  <c r="WG9" i="3"/>
  <c r="WW9" i="3"/>
  <c r="XM9" i="3"/>
  <c r="YC9" i="3"/>
  <c r="YS9" i="3"/>
  <c r="ZI9" i="3"/>
  <c r="ZY9" i="3"/>
  <c r="AAO9" i="3"/>
  <c r="ABE9" i="3"/>
  <c r="ABU9" i="3"/>
  <c r="ACK9" i="3"/>
  <c r="ADA9" i="3"/>
  <c r="ADQ9" i="3"/>
  <c r="AEG9" i="3"/>
  <c r="AEW9" i="3"/>
  <c r="AFM9" i="3"/>
  <c r="AGC9" i="3"/>
  <c r="AGS9" i="3"/>
  <c r="AHI9" i="3"/>
  <c r="AHY9" i="3"/>
  <c r="AIO9" i="3"/>
  <c r="AJE9" i="3"/>
  <c r="AJU9" i="3"/>
  <c r="AKK9" i="3"/>
  <c r="ALA9" i="3"/>
  <c r="E10" i="3"/>
  <c r="U10" i="3"/>
  <c r="AK10" i="3"/>
  <c r="BA10" i="3"/>
  <c r="BQ10" i="3"/>
  <c r="CG10" i="3"/>
  <c r="CW10" i="3"/>
  <c r="DM10" i="3"/>
  <c r="EC10" i="3"/>
  <c r="ES10" i="3"/>
  <c r="FI10" i="3"/>
  <c r="FY10" i="3"/>
  <c r="GO10" i="3"/>
  <c r="HE10" i="3"/>
  <c r="HU10" i="3"/>
  <c r="IK10" i="3"/>
  <c r="JA10" i="3"/>
  <c r="JQ10" i="3"/>
  <c r="KG10" i="3"/>
  <c r="KS10" i="3"/>
  <c r="LA10" i="3"/>
  <c r="LI10" i="3"/>
  <c r="LQ10" i="3"/>
  <c r="LY10" i="3"/>
  <c r="MG10" i="3"/>
  <c r="MO10" i="3"/>
  <c r="MW10" i="3"/>
  <c r="NE10" i="3"/>
  <c r="NM10" i="3"/>
  <c r="NU10" i="3"/>
  <c r="OC10" i="3"/>
  <c r="OK10" i="3"/>
  <c r="OS10" i="3"/>
  <c r="PA10" i="3"/>
  <c r="PI10" i="3"/>
  <c r="PQ10" i="3"/>
  <c r="PY10" i="3"/>
  <c r="QG10" i="3"/>
  <c r="QO10" i="3"/>
  <c r="QW10" i="3"/>
  <c r="RE10" i="3"/>
  <c r="RM10" i="3"/>
  <c r="RU10" i="3"/>
  <c r="SC10" i="3"/>
  <c r="SK10" i="3"/>
  <c r="SS10" i="3"/>
  <c r="TA10" i="3"/>
  <c r="TI10" i="3"/>
  <c r="TQ10" i="3"/>
  <c r="TY10" i="3"/>
  <c r="UG10" i="3"/>
  <c r="UO10" i="3"/>
  <c r="UW10" i="3"/>
  <c r="VE10" i="3"/>
  <c r="VM10" i="3"/>
  <c r="VU10" i="3"/>
  <c r="WC10" i="3"/>
  <c r="WK10" i="3"/>
  <c r="WQ10" i="3"/>
  <c r="WU10" i="3"/>
  <c r="WY10" i="3"/>
  <c r="XC10" i="3"/>
  <c r="XG10" i="3"/>
  <c r="XK10" i="3"/>
  <c r="XO10" i="3"/>
  <c r="XS10" i="3"/>
  <c r="XW10" i="3"/>
  <c r="YA10" i="3"/>
  <c r="YE10" i="3"/>
  <c r="YI10" i="3"/>
  <c r="YM10" i="3"/>
  <c r="YQ10" i="3"/>
  <c r="YU10" i="3"/>
  <c r="YY10" i="3"/>
  <c r="ZC10" i="3"/>
  <c r="ZG10" i="3"/>
  <c r="ZK10" i="3"/>
  <c r="ZO10" i="3"/>
  <c r="ZS10" i="3"/>
  <c r="ZW10" i="3"/>
  <c r="AAA10" i="3"/>
  <c r="AAE10" i="3"/>
  <c r="AAI10" i="3"/>
  <c r="AAM10" i="3"/>
  <c r="AAQ10" i="3"/>
  <c r="AAU10" i="3"/>
  <c r="AAY10" i="3"/>
  <c r="ABC10" i="3"/>
  <c r="ABG10" i="3"/>
  <c r="ABK10" i="3"/>
  <c r="ABO10" i="3"/>
  <c r="ABS10" i="3"/>
  <c r="ABW10" i="3"/>
  <c r="ACA10" i="3"/>
  <c r="ACE10" i="3"/>
  <c r="ACI10" i="3"/>
  <c r="ACM10" i="3"/>
  <c r="ACQ10" i="3"/>
  <c r="ACU10" i="3"/>
  <c r="ACY10" i="3"/>
  <c r="ADC10" i="3"/>
  <c r="ADG10" i="3"/>
  <c r="ADK10" i="3"/>
  <c r="ADO10" i="3"/>
  <c r="ADS10" i="3"/>
  <c r="ADW10" i="3"/>
  <c r="AEA10" i="3"/>
  <c r="AEE10" i="3"/>
  <c r="AEI10" i="3"/>
  <c r="AEM10" i="3"/>
  <c r="AEQ10" i="3"/>
  <c r="AEU10" i="3"/>
  <c r="AEY10" i="3"/>
  <c r="AFC10" i="3"/>
  <c r="AFG10" i="3"/>
  <c r="AFK10" i="3"/>
  <c r="AFO10" i="3"/>
  <c r="AFS10" i="3"/>
  <c r="AFW10" i="3"/>
  <c r="AGA10" i="3"/>
  <c r="AGE10" i="3"/>
  <c r="AGI10" i="3"/>
  <c r="AGM10" i="3"/>
  <c r="AGQ10" i="3"/>
  <c r="AGU10" i="3"/>
  <c r="AGY10" i="3"/>
  <c r="AHC10" i="3"/>
  <c r="AHG10" i="3"/>
  <c r="AHK10" i="3"/>
  <c r="AHO10" i="3"/>
  <c r="AHS10" i="3"/>
  <c r="AHW10" i="3"/>
  <c r="AIA10" i="3"/>
  <c r="AIE10" i="3"/>
  <c r="AII10" i="3"/>
  <c r="AIM10" i="3"/>
  <c r="AIQ10" i="3"/>
  <c r="AIU10" i="3"/>
  <c r="AIY10" i="3"/>
  <c r="AJC10" i="3"/>
  <c r="AJG10" i="3"/>
  <c r="AJK10" i="3"/>
  <c r="AJO10" i="3"/>
  <c r="AJS10" i="3"/>
  <c r="AJW10" i="3"/>
  <c r="AKA10" i="3"/>
  <c r="AKE10" i="3"/>
  <c r="AKI10" i="3"/>
  <c r="AKM10" i="3"/>
  <c r="AKQ10" i="3"/>
  <c r="AKU10" i="3"/>
  <c r="AKY10" i="3"/>
  <c r="ALC10" i="3"/>
  <c r="ALG10" i="3"/>
  <c r="ALK10" i="3"/>
  <c r="C11" i="3"/>
  <c r="G11" i="3"/>
  <c r="K11" i="3"/>
  <c r="O11" i="3"/>
  <c r="S11" i="3"/>
  <c r="W11" i="3"/>
  <c r="AA11" i="3"/>
  <c r="AE11" i="3"/>
  <c r="AI11" i="3"/>
  <c r="AM11" i="3"/>
  <c r="AQ11" i="3"/>
  <c r="AU11" i="3"/>
  <c r="AY11" i="3"/>
  <c r="BC11" i="3"/>
  <c r="BG11" i="3"/>
  <c r="BK11" i="3"/>
  <c r="BO11" i="3"/>
  <c r="BS11" i="3"/>
  <c r="BW11" i="3"/>
  <c r="CA11" i="3"/>
  <c r="CE11" i="3"/>
  <c r="CI11" i="3"/>
  <c r="CM11" i="3"/>
  <c r="CQ11" i="3"/>
  <c r="CU11" i="3"/>
  <c r="CY11" i="3"/>
  <c r="DC11" i="3"/>
  <c r="DG11" i="3"/>
  <c r="DK11" i="3"/>
  <c r="DO11" i="3"/>
  <c r="DS11" i="3"/>
  <c r="DW11" i="3"/>
  <c r="EA11" i="3"/>
  <c r="EE11" i="3"/>
  <c r="EI11" i="3"/>
  <c r="EM11" i="3"/>
  <c r="EQ11" i="3"/>
  <c r="EU11" i="3"/>
  <c r="EY11" i="3"/>
  <c r="FC11" i="3"/>
  <c r="FG11" i="3"/>
  <c r="FK11" i="3"/>
  <c r="FO11" i="3"/>
  <c r="FS11" i="3"/>
  <c r="FW11" i="3"/>
  <c r="GA11" i="3"/>
  <c r="GE11" i="3"/>
  <c r="GI11" i="3"/>
  <c r="GM11" i="3"/>
  <c r="GQ11" i="3"/>
  <c r="GU11" i="3"/>
  <c r="GY11" i="3"/>
  <c r="HC11" i="3"/>
  <c r="HG11" i="3"/>
  <c r="HK11" i="3"/>
  <c r="HO11" i="3"/>
  <c r="HS11" i="3"/>
  <c r="HW11" i="3"/>
  <c r="IA11" i="3"/>
  <c r="IE11" i="3"/>
  <c r="II11" i="3"/>
  <c r="IM11" i="3"/>
  <c r="IQ11" i="3"/>
  <c r="IU11" i="3"/>
  <c r="IY11" i="3"/>
  <c r="JC11" i="3"/>
  <c r="JG11" i="3"/>
  <c r="AHG7" i="3"/>
  <c r="AIC7" i="3"/>
  <c r="AIS7" i="3"/>
  <c r="AJI7" i="3"/>
  <c r="AJY7" i="3"/>
  <c r="AKO7" i="3"/>
  <c r="ALE7" i="3"/>
  <c r="I8" i="3"/>
  <c r="Y8" i="3"/>
  <c r="AO8" i="3"/>
  <c r="BE8" i="3"/>
  <c r="BU8" i="3"/>
  <c r="CK8" i="3"/>
  <c r="DA8" i="3"/>
  <c r="DQ8" i="3"/>
  <c r="EG8" i="3"/>
  <c r="EW8" i="3"/>
  <c r="FM8" i="3"/>
  <c r="GC8" i="3"/>
  <c r="GS8" i="3"/>
  <c r="HI8" i="3"/>
  <c r="HY8" i="3"/>
  <c r="IO8" i="3"/>
  <c r="JE8" i="3"/>
  <c r="JU8" i="3"/>
  <c r="KK8" i="3"/>
  <c r="LA8" i="3"/>
  <c r="LQ8" i="3"/>
  <c r="MG8" i="3"/>
  <c r="MW8" i="3"/>
  <c r="NM8" i="3"/>
  <c r="OC8" i="3"/>
  <c r="OS8" i="3"/>
  <c r="PI8" i="3"/>
  <c r="PY8" i="3"/>
  <c r="QO8" i="3"/>
  <c r="RE8" i="3"/>
  <c r="RU8" i="3"/>
  <c r="SK8" i="3"/>
  <c r="TA8" i="3"/>
  <c r="TQ8" i="3"/>
  <c r="UG8" i="3"/>
  <c r="UW8" i="3"/>
  <c r="VM8" i="3"/>
  <c r="WC8" i="3"/>
  <c r="WS8" i="3"/>
  <c r="XI8" i="3"/>
  <c r="XY8" i="3"/>
  <c r="YO8" i="3"/>
  <c r="ZE8" i="3"/>
  <c r="ZU8" i="3"/>
  <c r="AAK8" i="3"/>
  <c r="ABA8" i="3"/>
  <c r="ABQ8" i="3"/>
  <c r="ACG8" i="3"/>
  <c r="ACW8" i="3"/>
  <c r="ADM8" i="3"/>
  <c r="AEC8" i="3"/>
  <c r="AES8" i="3"/>
  <c r="AFI8" i="3"/>
  <c r="AFY8" i="3"/>
  <c r="AGO8" i="3"/>
  <c r="AHE8" i="3"/>
  <c r="AHU8" i="3"/>
  <c r="AIK8" i="3"/>
  <c r="AJA8" i="3"/>
  <c r="AJQ8" i="3"/>
  <c r="AKG8" i="3"/>
  <c r="AKW8" i="3"/>
  <c r="ALM8" i="3"/>
  <c r="Q9" i="3"/>
  <c r="AG9" i="3"/>
  <c r="AW9" i="3"/>
  <c r="BM9" i="3"/>
  <c r="CC9" i="3"/>
  <c r="CS9" i="3"/>
  <c r="DI9" i="3"/>
  <c r="DY9" i="3"/>
  <c r="EO9" i="3"/>
  <c r="FE9" i="3"/>
  <c r="FU9" i="3"/>
  <c r="GK9" i="3"/>
  <c r="HA9" i="3"/>
  <c r="HQ9" i="3"/>
  <c r="IG9" i="3"/>
  <c r="IW9" i="3"/>
  <c r="JM9" i="3"/>
  <c r="KC9" i="3"/>
  <c r="KS9" i="3"/>
  <c r="LI9" i="3"/>
  <c r="LY9" i="3"/>
  <c r="MO9" i="3"/>
  <c r="NE9" i="3"/>
  <c r="NU9" i="3"/>
  <c r="OK9" i="3"/>
  <c r="PA9" i="3"/>
  <c r="PQ9" i="3"/>
  <c r="QG9" i="3"/>
  <c r="QW9" i="3"/>
  <c r="RM9" i="3"/>
  <c r="SC9" i="3"/>
  <c r="SS9" i="3"/>
  <c r="TI9" i="3"/>
  <c r="TY9" i="3"/>
  <c r="UO9" i="3"/>
  <c r="VE9" i="3"/>
  <c r="VU9" i="3"/>
  <c r="WK9" i="3"/>
  <c r="XA9" i="3"/>
  <c r="XQ9" i="3"/>
  <c r="YG9" i="3"/>
  <c r="YW9" i="3"/>
  <c r="ZM9" i="3"/>
  <c r="AAC9" i="3"/>
  <c r="AAS9" i="3"/>
  <c r="ABI9" i="3"/>
  <c r="ABY9" i="3"/>
  <c r="ACO9" i="3"/>
  <c r="ADE9" i="3"/>
  <c r="ADU9" i="3"/>
  <c r="AEK9" i="3"/>
  <c r="AFA9" i="3"/>
  <c r="AFQ9" i="3"/>
  <c r="AGG9" i="3"/>
  <c r="AGW9" i="3"/>
  <c r="AHM9" i="3"/>
  <c r="AIC9" i="3"/>
  <c r="AIS9" i="3"/>
  <c r="AJI9" i="3"/>
  <c r="AJY9" i="3"/>
  <c r="AKO9" i="3"/>
  <c r="ALE9" i="3"/>
  <c r="I10" i="3"/>
  <c r="Y10" i="3"/>
  <c r="AO10" i="3"/>
  <c r="BE10" i="3"/>
  <c r="BU10" i="3"/>
  <c r="CK10" i="3"/>
  <c r="DA10" i="3"/>
  <c r="DQ10" i="3"/>
  <c r="EG10" i="3"/>
  <c r="EW10" i="3"/>
  <c r="FM10" i="3"/>
  <c r="GC10" i="3"/>
  <c r="GS10" i="3"/>
  <c r="HI10" i="3"/>
  <c r="HY10" i="3"/>
  <c r="IO10" i="3"/>
  <c r="JE10" i="3"/>
  <c r="JU10" i="3"/>
  <c r="KK10" i="3"/>
  <c r="KT10" i="3"/>
  <c r="LB10" i="3"/>
  <c r="LJ10" i="3"/>
  <c r="LR10" i="3"/>
  <c r="LZ10" i="3"/>
  <c r="MH10" i="3"/>
  <c r="MP10" i="3"/>
  <c r="MX10" i="3"/>
  <c r="NF10" i="3"/>
  <c r="NN10" i="3"/>
  <c r="NV10" i="3"/>
  <c r="OD10" i="3"/>
  <c r="OL10" i="3"/>
  <c r="OT10" i="3"/>
  <c r="PB10" i="3"/>
  <c r="PJ10" i="3"/>
  <c r="PR10" i="3"/>
  <c r="PZ10" i="3"/>
  <c r="QH10" i="3"/>
  <c r="QP10" i="3"/>
  <c r="QX10" i="3"/>
  <c r="RF10" i="3"/>
  <c r="RN10" i="3"/>
  <c r="RV10" i="3"/>
  <c r="SD10" i="3"/>
  <c r="SL10" i="3"/>
  <c r="ST10" i="3"/>
  <c r="TB10" i="3"/>
  <c r="TJ10" i="3"/>
  <c r="TR10" i="3"/>
  <c r="TZ10" i="3"/>
  <c r="UH10" i="3"/>
  <c r="UP10" i="3"/>
  <c r="UX10" i="3"/>
  <c r="VF10" i="3"/>
  <c r="VN10" i="3"/>
  <c r="VV10" i="3"/>
  <c r="WD10" i="3"/>
  <c r="WL10" i="3"/>
  <c r="WR10" i="3"/>
  <c r="WV10" i="3"/>
  <c r="WZ10" i="3"/>
  <c r="XD10" i="3"/>
  <c r="XH10" i="3"/>
  <c r="XL10" i="3"/>
  <c r="XP10" i="3"/>
  <c r="XT10" i="3"/>
  <c r="XX10" i="3"/>
  <c r="YB10" i="3"/>
  <c r="YF10" i="3"/>
  <c r="YJ10" i="3"/>
  <c r="YN10" i="3"/>
  <c r="YR10" i="3"/>
  <c r="YV10" i="3"/>
  <c r="YZ10" i="3"/>
  <c r="ZD10" i="3"/>
  <c r="ZH10" i="3"/>
  <c r="ZL10" i="3"/>
  <c r="ZP10" i="3"/>
  <c r="ZT10" i="3"/>
  <c r="ZX10" i="3"/>
  <c r="AAB10" i="3"/>
  <c r="AAF10" i="3"/>
  <c r="AAJ10" i="3"/>
  <c r="AAN10" i="3"/>
  <c r="AAR10" i="3"/>
  <c r="AAV10" i="3"/>
  <c r="AAZ10" i="3"/>
  <c r="ABD10" i="3"/>
  <c r="ABH10" i="3"/>
  <c r="ABL10" i="3"/>
  <c r="ABP10" i="3"/>
  <c r="ABT10" i="3"/>
  <c r="ABX10" i="3"/>
  <c r="ACB10" i="3"/>
  <c r="ACF10" i="3"/>
  <c r="ACJ10" i="3"/>
  <c r="ACN10" i="3"/>
  <c r="ACR10" i="3"/>
  <c r="ACV10" i="3"/>
  <c r="ACZ10" i="3"/>
  <c r="ADD10" i="3"/>
  <c r="ADH10" i="3"/>
  <c r="ADL10" i="3"/>
  <c r="ADP10" i="3"/>
  <c r="ADT10" i="3"/>
  <c r="ADX10" i="3"/>
  <c r="AEB10" i="3"/>
  <c r="AEF10" i="3"/>
  <c r="AEJ10" i="3"/>
  <c r="AEN10" i="3"/>
  <c r="AER10" i="3"/>
  <c r="AEV10" i="3"/>
  <c r="AEZ10" i="3"/>
  <c r="AFD10" i="3"/>
  <c r="AFH10" i="3"/>
  <c r="AFL10" i="3"/>
  <c r="AFP10" i="3"/>
  <c r="AFT10" i="3"/>
  <c r="AFX10" i="3"/>
  <c r="AGB10" i="3"/>
  <c r="AGF10" i="3"/>
  <c r="AGJ10" i="3"/>
  <c r="AGN10" i="3"/>
  <c r="AGR10" i="3"/>
  <c r="AGV10" i="3"/>
  <c r="AGZ10" i="3"/>
  <c r="AHD10" i="3"/>
  <c r="AHH10" i="3"/>
  <c r="AHL10" i="3"/>
  <c r="AHP10" i="3"/>
  <c r="AHT10" i="3"/>
  <c r="AHX10" i="3"/>
  <c r="AIB10" i="3"/>
  <c r="AIF10" i="3"/>
  <c r="AIJ10" i="3"/>
  <c r="AIN10" i="3"/>
  <c r="AIR10" i="3"/>
  <c r="AIV10" i="3"/>
  <c r="AIZ10" i="3"/>
  <c r="AJD10" i="3"/>
  <c r="AJH10" i="3"/>
  <c r="AJL10" i="3"/>
  <c r="AJP10" i="3"/>
  <c r="AJT10" i="3"/>
  <c r="AJX10" i="3"/>
  <c r="AKB10" i="3"/>
  <c r="AKF10" i="3"/>
  <c r="AKJ10" i="3"/>
  <c r="AKN10" i="3"/>
  <c r="AKR10" i="3"/>
  <c r="AKV10" i="3"/>
  <c r="AKZ10" i="3"/>
  <c r="ALD10" i="3"/>
  <c r="ALH10" i="3"/>
  <c r="ALL10" i="3"/>
  <c r="D11" i="3"/>
  <c r="H11" i="3"/>
  <c r="L11" i="3"/>
  <c r="P11" i="3"/>
  <c r="T11" i="3"/>
  <c r="X11" i="3"/>
  <c r="AB11" i="3"/>
  <c r="AF11" i="3"/>
  <c r="AJ11" i="3"/>
  <c r="AN11" i="3"/>
  <c r="AR11" i="3"/>
  <c r="AV11" i="3"/>
  <c r="AZ11" i="3"/>
  <c r="BD11" i="3"/>
  <c r="BH11" i="3"/>
  <c r="BL11" i="3"/>
  <c r="BP11" i="3"/>
  <c r="BT11" i="3"/>
  <c r="BX11" i="3"/>
  <c r="CB11" i="3"/>
  <c r="CF11" i="3"/>
  <c r="CJ11" i="3"/>
  <c r="CN11" i="3"/>
  <c r="CR11" i="3"/>
  <c r="CV11" i="3"/>
  <c r="CZ11" i="3"/>
  <c r="DD11" i="3"/>
  <c r="DH11" i="3"/>
  <c r="DL11" i="3"/>
  <c r="DP11" i="3"/>
  <c r="DT11" i="3"/>
  <c r="DX11" i="3"/>
  <c r="EB11" i="3"/>
  <c r="EF11" i="3"/>
  <c r="EJ11" i="3"/>
  <c r="EN11" i="3"/>
  <c r="ER11" i="3"/>
  <c r="EV11" i="3"/>
  <c r="EZ11" i="3"/>
  <c r="FD11" i="3"/>
  <c r="FH11" i="3"/>
  <c r="FL11" i="3"/>
  <c r="FP11" i="3"/>
  <c r="FT11" i="3"/>
  <c r="FX11" i="3"/>
  <c r="GB11" i="3"/>
  <c r="GF11" i="3"/>
  <c r="GJ11" i="3"/>
  <c r="GN11" i="3"/>
  <c r="GR11" i="3"/>
  <c r="GV11" i="3"/>
  <c r="GZ11" i="3"/>
  <c r="HD11" i="3"/>
  <c r="HH11" i="3"/>
  <c r="HL11" i="3"/>
  <c r="HP11" i="3"/>
  <c r="HT11" i="3"/>
  <c r="HX11" i="3"/>
  <c r="IB11" i="3"/>
  <c r="IF11" i="3"/>
  <c r="IJ11" i="3"/>
  <c r="IN11" i="3"/>
  <c r="IR11" i="3"/>
  <c r="IV11" i="3"/>
  <c r="IZ11" i="3"/>
  <c r="JD11" i="3"/>
  <c r="JH11" i="3"/>
  <c r="JL11" i="3"/>
  <c r="JP11" i="3"/>
  <c r="JT11" i="3"/>
  <c r="JX11" i="3"/>
  <c r="KB11" i="3"/>
  <c r="KF11" i="3"/>
  <c r="KJ11" i="3"/>
  <c r="KN11" i="3"/>
  <c r="KR11" i="3"/>
  <c r="AHO7" i="3"/>
  <c r="AIG7" i="3"/>
  <c r="AIW7" i="3"/>
  <c r="AJM7" i="3"/>
  <c r="AKC7" i="3"/>
  <c r="AKS7" i="3"/>
  <c r="ALI7" i="3"/>
  <c r="M8" i="3"/>
  <c r="AC8" i="3"/>
  <c r="AS8" i="3"/>
  <c r="BI8" i="3"/>
  <c r="BY8" i="3"/>
  <c r="CO8" i="3"/>
  <c r="DE8" i="3"/>
  <c r="DU8" i="3"/>
  <c r="EK8" i="3"/>
  <c r="FA8" i="3"/>
  <c r="FQ8" i="3"/>
  <c r="GG8" i="3"/>
  <c r="GW8" i="3"/>
  <c r="HM8" i="3"/>
  <c r="IC8" i="3"/>
  <c r="IS8" i="3"/>
  <c r="JI8" i="3"/>
  <c r="JY8" i="3"/>
  <c r="KO8" i="3"/>
  <c r="LE8" i="3"/>
  <c r="LU8" i="3"/>
  <c r="MK8" i="3"/>
  <c r="NA8" i="3"/>
  <c r="NQ8" i="3"/>
  <c r="OG8" i="3"/>
  <c r="OW8" i="3"/>
  <c r="PM8" i="3"/>
  <c r="QC8" i="3"/>
  <c r="QS8" i="3"/>
  <c r="RI8" i="3"/>
  <c r="RY8" i="3"/>
  <c r="SO8" i="3"/>
  <c r="TE8" i="3"/>
  <c r="TU8" i="3"/>
  <c r="UK8" i="3"/>
  <c r="VA8" i="3"/>
  <c r="VQ8" i="3"/>
  <c r="WG8" i="3"/>
  <c r="WW8" i="3"/>
  <c r="XM8" i="3"/>
  <c r="YC8" i="3"/>
  <c r="YS8" i="3"/>
  <c r="ZI8" i="3"/>
  <c r="ZY8" i="3"/>
  <c r="AAO8" i="3"/>
  <c r="ABE8" i="3"/>
  <c r="ABU8" i="3"/>
  <c r="ACK8" i="3"/>
  <c r="ADA8" i="3"/>
  <c r="ADQ8" i="3"/>
  <c r="AEG8" i="3"/>
  <c r="AEW8" i="3"/>
  <c r="AFM8" i="3"/>
  <c r="AGC8" i="3"/>
  <c r="AGS8" i="3"/>
  <c r="AHI8" i="3"/>
  <c r="AHY8" i="3"/>
  <c r="AIO8" i="3"/>
  <c r="AJE8" i="3"/>
  <c r="AJU8" i="3"/>
  <c r="AKK8" i="3"/>
  <c r="ALA8" i="3"/>
  <c r="E9" i="3"/>
  <c r="U9" i="3"/>
  <c r="AK9" i="3"/>
  <c r="BA9" i="3"/>
  <c r="BQ9" i="3"/>
  <c r="CG9" i="3"/>
  <c r="CW9" i="3"/>
  <c r="DM9" i="3"/>
  <c r="EC9" i="3"/>
  <c r="ES9" i="3"/>
  <c r="FI9" i="3"/>
  <c r="FY9" i="3"/>
  <c r="GO9" i="3"/>
  <c r="HE9" i="3"/>
  <c r="HU9" i="3"/>
  <c r="IK9" i="3"/>
  <c r="JA9" i="3"/>
  <c r="JQ9" i="3"/>
  <c r="KG9" i="3"/>
  <c r="KW9" i="3"/>
  <c r="LM9" i="3"/>
  <c r="MC9" i="3"/>
  <c r="MS9" i="3"/>
  <c r="NI9" i="3"/>
  <c r="NY9" i="3"/>
  <c r="OO9" i="3"/>
  <c r="PE9" i="3"/>
  <c r="PU9" i="3"/>
  <c r="QK9" i="3"/>
  <c r="RA9" i="3"/>
  <c r="RQ9" i="3"/>
  <c r="SG9" i="3"/>
  <c r="SW9" i="3"/>
  <c r="TM9" i="3"/>
  <c r="UC9" i="3"/>
  <c r="US9" i="3"/>
  <c r="VI9" i="3"/>
  <c r="VY9" i="3"/>
  <c r="WO9" i="3"/>
  <c r="XE9" i="3"/>
  <c r="XU9" i="3"/>
  <c r="YK9" i="3"/>
  <c r="ZA9" i="3"/>
  <c r="ZQ9" i="3"/>
  <c r="AAG9" i="3"/>
  <c r="AAW9" i="3"/>
  <c r="ABM9" i="3"/>
  <c r="ACC9" i="3"/>
  <c r="ACS9" i="3"/>
  <c r="ADI9" i="3"/>
  <c r="ADY9" i="3"/>
  <c r="AEO9" i="3"/>
  <c r="AFE9" i="3"/>
  <c r="AFU9" i="3"/>
  <c r="AGK9" i="3"/>
  <c r="AHA9" i="3"/>
  <c r="AHQ9" i="3"/>
  <c r="AIG9" i="3"/>
  <c r="AIW9" i="3"/>
  <c r="AJM9" i="3"/>
  <c r="AKC9" i="3"/>
  <c r="AKS9" i="3"/>
  <c r="ALI9" i="3"/>
  <c r="M10" i="3"/>
  <c r="AC10" i="3"/>
  <c r="AS10" i="3"/>
  <c r="BI10" i="3"/>
  <c r="BY10" i="3"/>
  <c r="CO10" i="3"/>
  <c r="DE10" i="3"/>
  <c r="DU10" i="3"/>
  <c r="EK10" i="3"/>
  <c r="FA10" i="3"/>
  <c r="FQ10" i="3"/>
  <c r="GG10" i="3"/>
  <c r="GW10" i="3"/>
  <c r="HM10" i="3"/>
  <c r="IC10" i="3"/>
  <c r="IS10" i="3"/>
  <c r="JI10" i="3"/>
  <c r="JY10" i="3"/>
  <c r="KO10" i="3"/>
  <c r="KW10" i="3"/>
  <c r="LE10" i="3"/>
  <c r="LM10" i="3"/>
  <c r="LU10" i="3"/>
  <c r="MC10" i="3"/>
  <c r="MK10" i="3"/>
  <c r="MS10" i="3"/>
  <c r="NA10" i="3"/>
  <c r="NI10" i="3"/>
  <c r="NQ10" i="3"/>
  <c r="NY10" i="3"/>
  <c r="OG10" i="3"/>
  <c r="OO10" i="3"/>
  <c r="OW10" i="3"/>
  <c r="PE10" i="3"/>
  <c r="PM10" i="3"/>
  <c r="PU10" i="3"/>
  <c r="QC10" i="3"/>
  <c r="QK10" i="3"/>
  <c r="QS10" i="3"/>
  <c r="RA10" i="3"/>
  <c r="RI10" i="3"/>
  <c r="RQ10" i="3"/>
  <c r="RY10" i="3"/>
  <c r="SG10" i="3"/>
  <c r="SO10" i="3"/>
  <c r="SW10" i="3"/>
  <c r="TE10" i="3"/>
  <c r="TM10" i="3"/>
  <c r="TU10" i="3"/>
  <c r="UC10" i="3"/>
  <c r="UK10" i="3"/>
  <c r="US10" i="3"/>
  <c r="VA10" i="3"/>
  <c r="VI10" i="3"/>
  <c r="VQ10" i="3"/>
  <c r="VY10" i="3"/>
  <c r="WG10" i="3"/>
  <c r="WO10" i="3"/>
  <c r="WS10" i="3"/>
  <c r="WW10" i="3"/>
  <c r="XA10" i="3"/>
  <c r="XE10" i="3"/>
  <c r="XI10" i="3"/>
  <c r="XM10" i="3"/>
  <c r="XQ10" i="3"/>
  <c r="XU10" i="3"/>
  <c r="XY10" i="3"/>
  <c r="YC10" i="3"/>
  <c r="YG10" i="3"/>
  <c r="YK10" i="3"/>
  <c r="YO10" i="3"/>
  <c r="YS10" i="3"/>
  <c r="YW10" i="3"/>
  <c r="ZA10" i="3"/>
  <c r="ZE10" i="3"/>
  <c r="ZI10" i="3"/>
  <c r="ZM10" i="3"/>
  <c r="ZQ10" i="3"/>
  <c r="ZU10" i="3"/>
  <c r="ZY10" i="3"/>
  <c r="AAC10" i="3"/>
  <c r="AAG10" i="3"/>
  <c r="AAK10" i="3"/>
  <c r="AAO10" i="3"/>
  <c r="AAS10" i="3"/>
  <c r="AAW10" i="3"/>
  <c r="ABA10" i="3"/>
  <c r="ABE10" i="3"/>
  <c r="ABI10" i="3"/>
  <c r="ABM10" i="3"/>
  <c r="ABQ10" i="3"/>
  <c r="ABU10" i="3"/>
  <c r="ABY10" i="3"/>
  <c r="ACC10" i="3"/>
  <c r="ACG10" i="3"/>
  <c r="ACK10" i="3"/>
  <c r="ACO10" i="3"/>
  <c r="ACS10" i="3"/>
  <c r="ACW10" i="3"/>
  <c r="ADA10" i="3"/>
  <c r="ADE10" i="3"/>
  <c r="ADI10" i="3"/>
  <c r="ADM10" i="3"/>
  <c r="ADQ10" i="3"/>
  <c r="ADU10" i="3"/>
  <c r="ADY10" i="3"/>
  <c r="AEC10" i="3"/>
  <c r="AEG10" i="3"/>
  <c r="AEK10" i="3"/>
  <c r="AEO10" i="3"/>
  <c r="AES10" i="3"/>
  <c r="AEW10" i="3"/>
  <c r="AFA10" i="3"/>
  <c r="AFE10" i="3"/>
  <c r="AFI10" i="3"/>
  <c r="AFM10" i="3"/>
  <c r="AFQ10" i="3"/>
  <c r="AFU10" i="3"/>
  <c r="AFY10" i="3"/>
  <c r="AGC10" i="3"/>
  <c r="AGG10" i="3"/>
  <c r="AGK10" i="3"/>
  <c r="AGO10" i="3"/>
  <c r="AGS10" i="3"/>
  <c r="AGW10" i="3"/>
  <c r="AHA10" i="3"/>
  <c r="AHE10" i="3"/>
  <c r="AHI10" i="3"/>
  <c r="AHM10" i="3"/>
  <c r="AHQ10" i="3"/>
  <c r="AHU10" i="3"/>
  <c r="AHY10" i="3"/>
  <c r="AIC10" i="3"/>
  <c r="AIG10" i="3"/>
  <c r="AIK10" i="3"/>
  <c r="AIO10" i="3"/>
  <c r="AIS10" i="3"/>
  <c r="AIW10" i="3"/>
  <c r="AJA10" i="3"/>
  <c r="AJE10" i="3"/>
  <c r="AJI10" i="3"/>
  <c r="AJM10" i="3"/>
  <c r="AJQ10" i="3"/>
  <c r="AJU10" i="3"/>
  <c r="AJY10" i="3"/>
  <c r="AKC10" i="3"/>
  <c r="AKG10" i="3"/>
  <c r="AKK10" i="3"/>
  <c r="AKO10" i="3"/>
  <c r="AKS10" i="3"/>
  <c r="AKW10" i="3"/>
  <c r="ALA10" i="3"/>
  <c r="ALE10" i="3"/>
  <c r="ALI10" i="3"/>
  <c r="ALM10" i="3"/>
  <c r="E11" i="3"/>
  <c r="I11" i="3"/>
  <c r="M11" i="3"/>
  <c r="Q11" i="3"/>
  <c r="U11" i="3"/>
  <c r="Y11" i="3"/>
  <c r="AC11" i="3"/>
  <c r="AG11" i="3"/>
  <c r="AK11" i="3"/>
  <c r="AO11" i="3"/>
  <c r="AS11" i="3"/>
  <c r="AW11" i="3"/>
  <c r="BA11" i="3"/>
  <c r="BE11" i="3"/>
  <c r="BI11" i="3"/>
  <c r="BM11" i="3"/>
  <c r="BQ11" i="3"/>
  <c r="BU11" i="3"/>
  <c r="BY11" i="3"/>
  <c r="CC11" i="3"/>
  <c r="CG11" i="3"/>
  <c r="CK11" i="3"/>
  <c r="CO11" i="3"/>
  <c r="CS11" i="3"/>
  <c r="CW11" i="3"/>
  <c r="DA11" i="3"/>
  <c r="DE11" i="3"/>
  <c r="DI11" i="3"/>
  <c r="DM11" i="3"/>
  <c r="DQ11" i="3"/>
  <c r="DU11" i="3"/>
  <c r="DY11" i="3"/>
  <c r="EC11" i="3"/>
  <c r="EG11" i="3"/>
  <c r="EK11" i="3"/>
  <c r="EO11" i="3"/>
  <c r="ES11" i="3"/>
  <c r="EW11" i="3"/>
  <c r="FA11" i="3"/>
  <c r="FE11" i="3"/>
  <c r="FI11" i="3"/>
  <c r="FM11" i="3"/>
  <c r="FQ11" i="3"/>
  <c r="FU11" i="3"/>
  <c r="FY11" i="3"/>
  <c r="GC11" i="3"/>
  <c r="GG11" i="3"/>
  <c r="GK11" i="3"/>
  <c r="GO11" i="3"/>
  <c r="GS11" i="3"/>
  <c r="GW11" i="3"/>
  <c r="HA11" i="3"/>
  <c r="HE11" i="3"/>
  <c r="HI11" i="3"/>
  <c r="HM11" i="3"/>
  <c r="IC11" i="3"/>
  <c r="IS11" i="3"/>
  <c r="JI11" i="3"/>
  <c r="JQ11" i="3"/>
  <c r="JY11" i="3"/>
  <c r="KG11" i="3"/>
  <c r="KO11" i="3"/>
  <c r="KV11" i="3"/>
  <c r="KZ11" i="3"/>
  <c r="LD11" i="3"/>
  <c r="LH11" i="3"/>
  <c r="LL11" i="3"/>
  <c r="LP11" i="3"/>
  <c r="LT11" i="3"/>
  <c r="LX11" i="3"/>
  <c r="MB11" i="3"/>
  <c r="MF11" i="3"/>
  <c r="MJ11" i="3"/>
  <c r="MN11" i="3"/>
  <c r="MR11" i="3"/>
  <c r="MV11" i="3"/>
  <c r="MZ11" i="3"/>
  <c r="ND11" i="3"/>
  <c r="NH11" i="3"/>
  <c r="NL11" i="3"/>
  <c r="NP11" i="3"/>
  <c r="NT11" i="3"/>
  <c r="NX11" i="3"/>
  <c r="OB11" i="3"/>
  <c r="OF11" i="3"/>
  <c r="OJ11" i="3"/>
  <c r="ON11" i="3"/>
  <c r="OR11" i="3"/>
  <c r="OV11" i="3"/>
  <c r="OZ11" i="3"/>
  <c r="PD11" i="3"/>
  <c r="PH11" i="3"/>
  <c r="PL11" i="3"/>
  <c r="PP11" i="3"/>
  <c r="PT11" i="3"/>
  <c r="PX11" i="3"/>
  <c r="QB11" i="3"/>
  <c r="QF11" i="3"/>
  <c r="QJ11" i="3"/>
  <c r="QN11" i="3"/>
  <c r="QR11" i="3"/>
  <c r="QV11" i="3"/>
  <c r="QZ11" i="3"/>
  <c r="RD11" i="3"/>
  <c r="RH11" i="3"/>
  <c r="RL11" i="3"/>
  <c r="RP11" i="3"/>
  <c r="RT11" i="3"/>
  <c r="RX11" i="3"/>
  <c r="SB11" i="3"/>
  <c r="SF11" i="3"/>
  <c r="SJ11" i="3"/>
  <c r="SN11" i="3"/>
  <c r="SR11" i="3"/>
  <c r="SV11" i="3"/>
  <c r="SZ11" i="3"/>
  <c r="TD11" i="3"/>
  <c r="TH11" i="3"/>
  <c r="TL11" i="3"/>
  <c r="TP11" i="3"/>
  <c r="TT11" i="3"/>
  <c r="TX11" i="3"/>
  <c r="UB11" i="3"/>
  <c r="UF11" i="3"/>
  <c r="UJ11" i="3"/>
  <c r="UN11" i="3"/>
  <c r="UR11" i="3"/>
  <c r="UV11" i="3"/>
  <c r="UZ11" i="3"/>
  <c r="VD11" i="3"/>
  <c r="VH11" i="3"/>
  <c r="VL11" i="3"/>
  <c r="VP11" i="3"/>
  <c r="VT11" i="3"/>
  <c r="VX11" i="3"/>
  <c r="WB11" i="3"/>
  <c r="WF11" i="3"/>
  <c r="WJ11" i="3"/>
  <c r="WN11" i="3"/>
  <c r="WR11" i="3"/>
  <c r="WV11" i="3"/>
  <c r="WZ11" i="3"/>
  <c r="XD11" i="3"/>
  <c r="XH11" i="3"/>
  <c r="XL11" i="3"/>
  <c r="XP11" i="3"/>
  <c r="XT11" i="3"/>
  <c r="XX11" i="3"/>
  <c r="YB11" i="3"/>
  <c r="YF11" i="3"/>
  <c r="YJ11" i="3"/>
  <c r="YN11" i="3"/>
  <c r="YR11" i="3"/>
  <c r="YV11" i="3"/>
  <c r="YZ11" i="3"/>
  <c r="ZD11" i="3"/>
  <c r="ZH11" i="3"/>
  <c r="ZL11" i="3"/>
  <c r="ZP11" i="3"/>
  <c r="ZT11" i="3"/>
  <c r="ZX11" i="3"/>
  <c r="AAB11" i="3"/>
  <c r="AAF11" i="3"/>
  <c r="AAJ11" i="3"/>
  <c r="AAN11" i="3"/>
  <c r="AAR11" i="3"/>
  <c r="AAV11" i="3"/>
  <c r="AAZ11" i="3"/>
  <c r="ABD11" i="3"/>
  <c r="ABH11" i="3"/>
  <c r="ABL11" i="3"/>
  <c r="ABP11" i="3"/>
  <c r="ABT11" i="3"/>
  <c r="ABX11" i="3"/>
  <c r="ACB11" i="3"/>
  <c r="ACF11" i="3"/>
  <c r="ACJ11" i="3"/>
  <c r="ACN11" i="3"/>
  <c r="ACR11" i="3"/>
  <c r="ACV11" i="3"/>
  <c r="ACZ11" i="3"/>
  <c r="ADD11" i="3"/>
  <c r="ADH11" i="3"/>
  <c r="ADL11" i="3"/>
  <c r="ADP11" i="3"/>
  <c r="ADT11" i="3"/>
  <c r="ADX11" i="3"/>
  <c r="AEB11" i="3"/>
  <c r="AEF11" i="3"/>
  <c r="AEJ11" i="3"/>
  <c r="AEN11" i="3"/>
  <c r="AER11" i="3"/>
  <c r="AEV11" i="3"/>
  <c r="AEZ11" i="3"/>
  <c r="AFD11" i="3"/>
  <c r="AFH11" i="3"/>
  <c r="AFL11" i="3"/>
  <c r="AFP11" i="3"/>
  <c r="AFT11" i="3"/>
  <c r="AFX11" i="3"/>
  <c r="AGB11" i="3"/>
  <c r="AGF11" i="3"/>
  <c r="AGJ11" i="3"/>
  <c r="AGN11" i="3"/>
  <c r="AGR11" i="3"/>
  <c r="AGV11" i="3"/>
  <c r="AGZ11" i="3"/>
  <c r="AHD11" i="3"/>
  <c r="AHH11" i="3"/>
  <c r="AHL11" i="3"/>
  <c r="AHP11" i="3"/>
  <c r="AHT11" i="3"/>
  <c r="AHX11" i="3"/>
  <c r="AIB11" i="3"/>
  <c r="AIF11" i="3"/>
  <c r="AIJ11" i="3"/>
  <c r="AIN11" i="3"/>
  <c r="AIR11" i="3"/>
  <c r="AIV11" i="3"/>
  <c r="AIZ11" i="3"/>
  <c r="AJD11" i="3"/>
  <c r="AJH11" i="3"/>
  <c r="AJL11" i="3"/>
  <c r="AJP11" i="3"/>
  <c r="AJT11" i="3"/>
  <c r="AJX11" i="3"/>
  <c r="AKB11" i="3"/>
  <c r="AKF11" i="3"/>
  <c r="AKJ11" i="3"/>
  <c r="AKN11" i="3"/>
  <c r="AKR11" i="3"/>
  <c r="AKV11" i="3"/>
  <c r="AKZ11" i="3"/>
  <c r="ALD11" i="3"/>
  <c r="ALH11" i="3"/>
  <c r="ALL11" i="3"/>
  <c r="D12" i="3"/>
  <c r="H12" i="3"/>
  <c r="L12" i="3"/>
  <c r="P12" i="3"/>
  <c r="T12" i="3"/>
  <c r="X12" i="3"/>
  <c r="AB12" i="3"/>
  <c r="AF12" i="3"/>
  <c r="AJ12" i="3"/>
  <c r="AN12" i="3"/>
  <c r="AR12" i="3"/>
  <c r="AV12" i="3"/>
  <c r="AZ12" i="3"/>
  <c r="BD12" i="3"/>
  <c r="BH12" i="3"/>
  <c r="BL12" i="3"/>
  <c r="BP12" i="3"/>
  <c r="BT12" i="3"/>
  <c r="BX12" i="3"/>
  <c r="CB12" i="3"/>
  <c r="CF12" i="3"/>
  <c r="CJ12" i="3"/>
  <c r="CN12" i="3"/>
  <c r="CR12" i="3"/>
  <c r="CV12" i="3"/>
  <c r="CZ12" i="3"/>
  <c r="DD12" i="3"/>
  <c r="DH12" i="3"/>
  <c r="DL12" i="3"/>
  <c r="DP12" i="3"/>
  <c r="DT12" i="3"/>
  <c r="DX12" i="3"/>
  <c r="EB12" i="3"/>
  <c r="EF12" i="3"/>
  <c r="EJ12" i="3"/>
  <c r="EN12" i="3"/>
  <c r="ER12" i="3"/>
  <c r="EV12" i="3"/>
  <c r="EZ12" i="3"/>
  <c r="FD12" i="3"/>
  <c r="FH12" i="3"/>
  <c r="FL12" i="3"/>
  <c r="FP12" i="3"/>
  <c r="FT12" i="3"/>
  <c r="FX12" i="3"/>
  <c r="GB12" i="3"/>
  <c r="GF12" i="3"/>
  <c r="GJ12" i="3"/>
  <c r="GN12" i="3"/>
  <c r="GR12" i="3"/>
  <c r="GV12" i="3"/>
  <c r="GZ12" i="3"/>
  <c r="HD12" i="3"/>
  <c r="HH12" i="3"/>
  <c r="HL12" i="3"/>
  <c r="HP12" i="3"/>
  <c r="HT12" i="3"/>
  <c r="HX12" i="3"/>
  <c r="IB12" i="3"/>
  <c r="IF12" i="3"/>
  <c r="IJ12" i="3"/>
  <c r="IN12" i="3"/>
  <c r="IR12" i="3"/>
  <c r="IV12" i="3"/>
  <c r="IZ12" i="3"/>
  <c r="JD12" i="3"/>
  <c r="JH12" i="3"/>
  <c r="JL12" i="3"/>
  <c r="JP12" i="3"/>
  <c r="JT12" i="3"/>
  <c r="JX12" i="3"/>
  <c r="KB12" i="3"/>
  <c r="KF12" i="3"/>
  <c r="KJ12" i="3"/>
  <c r="KN12" i="3"/>
  <c r="KR12" i="3"/>
  <c r="KV12" i="3"/>
  <c r="KZ12" i="3"/>
  <c r="LD12" i="3"/>
  <c r="LH12" i="3"/>
  <c r="LL12" i="3"/>
  <c r="LP12" i="3"/>
  <c r="LT12" i="3"/>
  <c r="LX12" i="3"/>
  <c r="MB12" i="3"/>
  <c r="MF12" i="3"/>
  <c r="MJ12" i="3"/>
  <c r="MN12" i="3"/>
  <c r="MR12" i="3"/>
  <c r="MV12" i="3"/>
  <c r="MZ12" i="3"/>
  <c r="ND12" i="3"/>
  <c r="NH12" i="3"/>
  <c r="NL12" i="3"/>
  <c r="NP12" i="3"/>
  <c r="NT12" i="3"/>
  <c r="NX12" i="3"/>
  <c r="OB12" i="3"/>
  <c r="OF12" i="3"/>
  <c r="OJ12" i="3"/>
  <c r="ON12" i="3"/>
  <c r="OR12" i="3"/>
  <c r="OV12" i="3"/>
  <c r="OZ12" i="3"/>
  <c r="PD12" i="3"/>
  <c r="PH12" i="3"/>
  <c r="PL12" i="3"/>
  <c r="PP12" i="3"/>
  <c r="PT12" i="3"/>
  <c r="PX12" i="3"/>
  <c r="QB12" i="3"/>
  <c r="QF12" i="3"/>
  <c r="QJ12" i="3"/>
  <c r="QN12" i="3"/>
  <c r="QR12" i="3"/>
  <c r="QV12" i="3"/>
  <c r="QZ12" i="3"/>
  <c r="RD12" i="3"/>
  <c r="RH12" i="3"/>
  <c r="RL12" i="3"/>
  <c r="RP12" i="3"/>
  <c r="RT12" i="3"/>
  <c r="RX12" i="3"/>
  <c r="SB12" i="3"/>
  <c r="SF12" i="3"/>
  <c r="SJ12" i="3"/>
  <c r="SN12" i="3"/>
  <c r="SR12" i="3"/>
  <c r="SV12" i="3"/>
  <c r="SZ12" i="3"/>
  <c r="TD12" i="3"/>
  <c r="TH12" i="3"/>
  <c r="TL12" i="3"/>
  <c r="TP12" i="3"/>
  <c r="TT12" i="3"/>
  <c r="TX12" i="3"/>
  <c r="UB12" i="3"/>
  <c r="UF12" i="3"/>
  <c r="UJ12" i="3"/>
  <c r="UN12" i="3"/>
  <c r="UR12" i="3"/>
  <c r="UV12" i="3"/>
  <c r="UZ12" i="3"/>
  <c r="VD12" i="3"/>
  <c r="VH12" i="3"/>
  <c r="VL12" i="3"/>
  <c r="VP12" i="3"/>
  <c r="VT12" i="3"/>
  <c r="VX12" i="3"/>
  <c r="WB12" i="3"/>
  <c r="WF12" i="3"/>
  <c r="WJ12" i="3"/>
  <c r="WN12" i="3"/>
  <c r="WR12" i="3"/>
  <c r="WV12" i="3"/>
  <c r="WZ12" i="3"/>
  <c r="XD12" i="3"/>
  <c r="XH12" i="3"/>
  <c r="XL12" i="3"/>
  <c r="XP12" i="3"/>
  <c r="XT12" i="3"/>
  <c r="XX12" i="3"/>
  <c r="YB12" i="3"/>
  <c r="YF12" i="3"/>
  <c r="YJ12" i="3"/>
  <c r="YN12" i="3"/>
  <c r="YR12" i="3"/>
  <c r="YV12" i="3"/>
  <c r="YZ12" i="3"/>
  <c r="ZD12" i="3"/>
  <c r="ZH12" i="3"/>
  <c r="ZL12" i="3"/>
  <c r="ZP12" i="3"/>
  <c r="ZT12" i="3"/>
  <c r="ZX12" i="3"/>
  <c r="AAB12" i="3"/>
  <c r="AAF12" i="3"/>
  <c r="AAJ12" i="3"/>
  <c r="AAN12" i="3"/>
  <c r="AAR12" i="3"/>
  <c r="AAV12" i="3"/>
  <c r="AAZ12" i="3"/>
  <c r="ABD12" i="3"/>
  <c r="ABH12" i="3"/>
  <c r="ABL12" i="3"/>
  <c r="ABP12" i="3"/>
  <c r="ABT12" i="3"/>
  <c r="ABX12" i="3"/>
  <c r="ACB12" i="3"/>
  <c r="ACF12" i="3"/>
  <c r="ACJ12" i="3"/>
  <c r="ACN12" i="3"/>
  <c r="ACR12" i="3"/>
  <c r="ACV12" i="3"/>
  <c r="ACZ12" i="3"/>
  <c r="ADD12" i="3"/>
  <c r="ADH12" i="3"/>
  <c r="ADL12" i="3"/>
  <c r="ADP12" i="3"/>
  <c r="ADT12" i="3"/>
  <c r="ADX12" i="3"/>
  <c r="AEB12" i="3"/>
  <c r="AEF12" i="3"/>
  <c r="AEJ12" i="3"/>
  <c r="AEN12" i="3"/>
  <c r="AER12" i="3"/>
  <c r="AEV12" i="3"/>
  <c r="AEZ12" i="3"/>
  <c r="AFD12" i="3"/>
  <c r="AFH12" i="3"/>
  <c r="AFL12" i="3"/>
  <c r="AFP12" i="3"/>
  <c r="AFT12" i="3"/>
  <c r="AFX12" i="3"/>
  <c r="AGB12" i="3"/>
  <c r="AGF12" i="3"/>
  <c r="AGJ12" i="3"/>
  <c r="AGN12" i="3"/>
  <c r="AGR12" i="3"/>
  <c r="AGV12" i="3"/>
  <c r="AGZ12" i="3"/>
  <c r="AHD12" i="3"/>
  <c r="AHH12" i="3"/>
  <c r="AHL12" i="3"/>
  <c r="AHP12" i="3"/>
  <c r="AHT12" i="3"/>
  <c r="AHX12" i="3"/>
  <c r="AIB12" i="3"/>
  <c r="AIF12" i="3"/>
  <c r="AIJ12" i="3"/>
  <c r="AIN12" i="3"/>
  <c r="AIR12" i="3"/>
  <c r="AIV12" i="3"/>
  <c r="AIZ12" i="3"/>
  <c r="AJD12" i="3"/>
  <c r="AJH12" i="3"/>
  <c r="AJL12" i="3"/>
  <c r="AJP12" i="3"/>
  <c r="AJT12" i="3"/>
  <c r="AJX12" i="3"/>
  <c r="AKB12" i="3"/>
  <c r="AKF12" i="3"/>
  <c r="AKJ12" i="3"/>
  <c r="AKN12" i="3"/>
  <c r="AKR12" i="3"/>
  <c r="AKV12" i="3"/>
  <c r="AKZ12" i="3"/>
  <c r="ALD12" i="3"/>
  <c r="ALH12" i="3"/>
  <c r="ALL12" i="3"/>
  <c r="D13" i="3"/>
  <c r="H13" i="3"/>
  <c r="L13" i="3"/>
  <c r="P13" i="3"/>
  <c r="T13" i="3"/>
  <c r="X13" i="3"/>
  <c r="AB13" i="3"/>
  <c r="AF13" i="3"/>
  <c r="AJ13" i="3"/>
  <c r="AN13" i="3"/>
  <c r="AR13" i="3"/>
  <c r="AV13" i="3"/>
  <c r="AZ13" i="3"/>
  <c r="BD13" i="3"/>
  <c r="BH13" i="3"/>
  <c r="BL13" i="3"/>
  <c r="BP13" i="3"/>
  <c r="BT13" i="3"/>
  <c r="BX13" i="3"/>
  <c r="CB13" i="3"/>
  <c r="CF13" i="3"/>
  <c r="CJ13" i="3"/>
  <c r="CN13" i="3"/>
  <c r="CR13" i="3"/>
  <c r="CV13" i="3"/>
  <c r="CZ13" i="3"/>
  <c r="DD13" i="3"/>
  <c r="DH13" i="3"/>
  <c r="DL13" i="3"/>
  <c r="DP13" i="3"/>
  <c r="DT13" i="3"/>
  <c r="DX13" i="3"/>
  <c r="EB13" i="3"/>
  <c r="EF13" i="3"/>
  <c r="EJ13" i="3"/>
  <c r="EN13" i="3"/>
  <c r="ER13" i="3"/>
  <c r="EV13" i="3"/>
  <c r="EZ13" i="3"/>
  <c r="FD13" i="3"/>
  <c r="FH13" i="3"/>
  <c r="FL13" i="3"/>
  <c r="FP13" i="3"/>
  <c r="FT13" i="3"/>
  <c r="FX13" i="3"/>
  <c r="GB13" i="3"/>
  <c r="GF13" i="3"/>
  <c r="GJ13" i="3"/>
  <c r="GN13" i="3"/>
  <c r="GR13" i="3"/>
  <c r="GV13" i="3"/>
  <c r="GZ13" i="3"/>
  <c r="HD13" i="3"/>
  <c r="HH13" i="3"/>
  <c r="HL13" i="3"/>
  <c r="HP13" i="3"/>
  <c r="HT13" i="3"/>
  <c r="HX13" i="3"/>
  <c r="IB13" i="3"/>
  <c r="IF13" i="3"/>
  <c r="IJ13" i="3"/>
  <c r="IN13" i="3"/>
  <c r="IR13" i="3"/>
  <c r="IV13" i="3"/>
  <c r="IZ13" i="3"/>
  <c r="JD13" i="3"/>
  <c r="JH13" i="3"/>
  <c r="JL13" i="3"/>
  <c r="JP13" i="3"/>
  <c r="JT13" i="3"/>
  <c r="JX13" i="3"/>
  <c r="KB13" i="3"/>
  <c r="KF13" i="3"/>
  <c r="KJ13" i="3"/>
  <c r="KN13" i="3"/>
  <c r="KR13" i="3"/>
  <c r="KV13" i="3"/>
  <c r="KZ13" i="3"/>
  <c r="LD13" i="3"/>
  <c r="LH13" i="3"/>
  <c r="LL13" i="3"/>
  <c r="LP13" i="3"/>
  <c r="LT13" i="3"/>
  <c r="LX13" i="3"/>
  <c r="MB13" i="3"/>
  <c r="MF13" i="3"/>
  <c r="MJ13" i="3"/>
  <c r="MN13" i="3"/>
  <c r="MR13" i="3"/>
  <c r="MV13" i="3"/>
  <c r="MZ13" i="3"/>
  <c r="ND13" i="3"/>
  <c r="NH13" i="3"/>
  <c r="NL13" i="3"/>
  <c r="NP13" i="3"/>
  <c r="NT13" i="3"/>
  <c r="NX13" i="3"/>
  <c r="OB13" i="3"/>
  <c r="OF13" i="3"/>
  <c r="OJ13" i="3"/>
  <c r="ON13" i="3"/>
  <c r="OR13" i="3"/>
  <c r="OV13" i="3"/>
  <c r="OZ13" i="3"/>
  <c r="PD13" i="3"/>
  <c r="PH13" i="3"/>
  <c r="PL13" i="3"/>
  <c r="PP13" i="3"/>
  <c r="PT13" i="3"/>
  <c r="PX13" i="3"/>
  <c r="QB13" i="3"/>
  <c r="QF13" i="3"/>
  <c r="QJ13" i="3"/>
  <c r="QN13" i="3"/>
  <c r="QR13" i="3"/>
  <c r="QV13" i="3"/>
  <c r="QZ13" i="3"/>
  <c r="RD13" i="3"/>
  <c r="RH13" i="3"/>
  <c r="RL13" i="3"/>
  <c r="RP13" i="3"/>
  <c r="RT13" i="3"/>
  <c r="RX13" i="3"/>
  <c r="SB13" i="3"/>
  <c r="SF13" i="3"/>
  <c r="SJ13" i="3"/>
  <c r="SN13" i="3"/>
  <c r="SR13" i="3"/>
  <c r="SV13" i="3"/>
  <c r="SZ13" i="3"/>
  <c r="TD13" i="3"/>
  <c r="TH13" i="3"/>
  <c r="TL13" i="3"/>
  <c r="TP13" i="3"/>
  <c r="TT13" i="3"/>
  <c r="TX13" i="3"/>
  <c r="UB13" i="3"/>
  <c r="UF13" i="3"/>
  <c r="UJ13" i="3"/>
  <c r="UN13" i="3"/>
  <c r="UR13" i="3"/>
  <c r="UV13" i="3"/>
  <c r="UZ13" i="3"/>
  <c r="VD13" i="3"/>
  <c r="VH13" i="3"/>
  <c r="VL13" i="3"/>
  <c r="VP13" i="3"/>
  <c r="VT13" i="3"/>
  <c r="VX13" i="3"/>
  <c r="WB13" i="3"/>
  <c r="WF13" i="3"/>
  <c r="WJ13" i="3"/>
  <c r="WN13" i="3"/>
  <c r="WR13" i="3"/>
  <c r="WV13" i="3"/>
  <c r="WZ13" i="3"/>
  <c r="XD13" i="3"/>
  <c r="XH13" i="3"/>
  <c r="XL13" i="3"/>
  <c r="XP13" i="3"/>
  <c r="XT13" i="3"/>
  <c r="XX13" i="3"/>
  <c r="YB13" i="3"/>
  <c r="YF13" i="3"/>
  <c r="YJ13" i="3"/>
  <c r="YN13" i="3"/>
  <c r="YR13" i="3"/>
  <c r="YV13" i="3"/>
  <c r="YZ13" i="3"/>
  <c r="ZD13" i="3"/>
  <c r="ZH13" i="3"/>
  <c r="ZL13" i="3"/>
  <c r="ZP13" i="3"/>
  <c r="ZT13" i="3"/>
  <c r="ZX13" i="3"/>
  <c r="AAB13" i="3"/>
  <c r="AAF13" i="3"/>
  <c r="AAJ13" i="3"/>
  <c r="AAN13" i="3"/>
  <c r="AAR13" i="3"/>
  <c r="AAV13" i="3"/>
  <c r="AAZ13" i="3"/>
  <c r="ABD13" i="3"/>
  <c r="ABH13" i="3"/>
  <c r="ABL13" i="3"/>
  <c r="ABP13" i="3"/>
  <c r="ABT13" i="3"/>
  <c r="ABX13" i="3"/>
  <c r="ACB13" i="3"/>
  <c r="ACF13" i="3"/>
  <c r="ACJ13" i="3"/>
  <c r="ACN13" i="3"/>
  <c r="ACR13" i="3"/>
  <c r="ACV13" i="3"/>
  <c r="ACZ13" i="3"/>
  <c r="ADD13" i="3"/>
  <c r="ADH13" i="3"/>
  <c r="ADL13" i="3"/>
  <c r="ADP13" i="3"/>
  <c r="ADT13" i="3"/>
  <c r="ADX13" i="3"/>
  <c r="AEB13" i="3"/>
  <c r="AEF13" i="3"/>
  <c r="AEJ13" i="3"/>
  <c r="AEN13" i="3"/>
  <c r="AER13" i="3"/>
  <c r="AEV13" i="3"/>
  <c r="AEZ13" i="3"/>
  <c r="AFD13" i="3"/>
  <c r="AFH13" i="3"/>
  <c r="AFL13" i="3"/>
  <c r="AFP13" i="3"/>
  <c r="AFT13" i="3"/>
  <c r="AFX13" i="3"/>
  <c r="AGB13" i="3"/>
  <c r="AGF13" i="3"/>
  <c r="AGJ13" i="3"/>
  <c r="AGN13" i="3"/>
  <c r="AGR13" i="3"/>
  <c r="AGV13" i="3"/>
  <c r="AGZ13" i="3"/>
  <c r="AHD13" i="3"/>
  <c r="AHH13" i="3"/>
  <c r="AHL13" i="3"/>
  <c r="AHP13" i="3"/>
  <c r="AHT13" i="3"/>
  <c r="AHX13" i="3"/>
  <c r="AIB13" i="3"/>
  <c r="AIF13" i="3"/>
  <c r="AIJ13" i="3"/>
  <c r="AIN13" i="3"/>
  <c r="AIR13" i="3"/>
  <c r="AIV13" i="3"/>
  <c r="AIZ13" i="3"/>
  <c r="AJD13" i="3"/>
  <c r="AJH13" i="3"/>
  <c r="AJL13" i="3"/>
  <c r="AJP13" i="3"/>
  <c r="AJT13" i="3"/>
  <c r="AJX13" i="3"/>
  <c r="AKB13" i="3"/>
  <c r="AKF13" i="3"/>
  <c r="AKJ13" i="3"/>
  <c r="AKN13" i="3"/>
  <c r="AKR13" i="3"/>
  <c r="HQ11" i="3"/>
  <c r="IG11" i="3"/>
  <c r="IW11" i="3"/>
  <c r="JK11" i="3"/>
  <c r="JS11" i="3"/>
  <c r="KA11" i="3"/>
  <c r="KI11" i="3"/>
  <c r="KQ11" i="3"/>
  <c r="KW11" i="3"/>
  <c r="LA11" i="3"/>
  <c r="LE11" i="3"/>
  <c r="LI11" i="3"/>
  <c r="LM11" i="3"/>
  <c r="LQ11" i="3"/>
  <c r="LU11" i="3"/>
  <c r="LY11" i="3"/>
  <c r="MC11" i="3"/>
  <c r="MG11" i="3"/>
  <c r="MK11" i="3"/>
  <c r="MO11" i="3"/>
  <c r="MS11" i="3"/>
  <c r="MW11" i="3"/>
  <c r="NA11" i="3"/>
  <c r="NE11" i="3"/>
  <c r="NI11" i="3"/>
  <c r="NM11" i="3"/>
  <c r="NQ11" i="3"/>
  <c r="NU11" i="3"/>
  <c r="NY11" i="3"/>
  <c r="OC11" i="3"/>
  <c r="OG11" i="3"/>
  <c r="OK11" i="3"/>
  <c r="OO11" i="3"/>
  <c r="OS11" i="3"/>
  <c r="OW11" i="3"/>
  <c r="PA11" i="3"/>
  <c r="PE11" i="3"/>
  <c r="PI11" i="3"/>
  <c r="PM11" i="3"/>
  <c r="PQ11" i="3"/>
  <c r="PU11" i="3"/>
  <c r="PY11" i="3"/>
  <c r="QC11" i="3"/>
  <c r="QG11" i="3"/>
  <c r="QK11" i="3"/>
  <c r="QO11" i="3"/>
  <c r="QS11" i="3"/>
  <c r="QW11" i="3"/>
  <c r="RA11" i="3"/>
  <c r="RE11" i="3"/>
  <c r="RI11" i="3"/>
  <c r="RM11" i="3"/>
  <c r="RQ11" i="3"/>
  <c r="RU11" i="3"/>
  <c r="RY11" i="3"/>
  <c r="SC11" i="3"/>
  <c r="SG11" i="3"/>
  <c r="SK11" i="3"/>
  <c r="SO11" i="3"/>
  <c r="SS11" i="3"/>
  <c r="SW11" i="3"/>
  <c r="TA11" i="3"/>
  <c r="TE11" i="3"/>
  <c r="TI11" i="3"/>
  <c r="TM11" i="3"/>
  <c r="TQ11" i="3"/>
  <c r="TU11" i="3"/>
  <c r="TY11" i="3"/>
  <c r="UC11" i="3"/>
  <c r="UG11" i="3"/>
  <c r="UK11" i="3"/>
  <c r="UO11" i="3"/>
  <c r="US11" i="3"/>
  <c r="UW11" i="3"/>
  <c r="VA11" i="3"/>
  <c r="VE11" i="3"/>
  <c r="VI11" i="3"/>
  <c r="VM11" i="3"/>
  <c r="VQ11" i="3"/>
  <c r="VU11" i="3"/>
  <c r="VY11" i="3"/>
  <c r="WC11" i="3"/>
  <c r="WG11" i="3"/>
  <c r="WK11" i="3"/>
  <c r="WO11" i="3"/>
  <c r="WS11" i="3"/>
  <c r="WW11" i="3"/>
  <c r="XA11" i="3"/>
  <c r="XE11" i="3"/>
  <c r="XI11" i="3"/>
  <c r="XM11" i="3"/>
  <c r="XQ11" i="3"/>
  <c r="XU11" i="3"/>
  <c r="XY11" i="3"/>
  <c r="YC11" i="3"/>
  <c r="YG11" i="3"/>
  <c r="YK11" i="3"/>
  <c r="YO11" i="3"/>
  <c r="YS11" i="3"/>
  <c r="YW11" i="3"/>
  <c r="ZA11" i="3"/>
  <c r="ZE11" i="3"/>
  <c r="ZI11" i="3"/>
  <c r="ZM11" i="3"/>
  <c r="ZQ11" i="3"/>
  <c r="ZU11" i="3"/>
  <c r="ZY11" i="3"/>
  <c r="AAC11" i="3"/>
  <c r="AAG11" i="3"/>
  <c r="AAK11" i="3"/>
  <c r="AAO11" i="3"/>
  <c r="AAS11" i="3"/>
  <c r="AAW11" i="3"/>
  <c r="ABA11" i="3"/>
  <c r="ABE11" i="3"/>
  <c r="ABI11" i="3"/>
  <c r="ABM11" i="3"/>
  <c r="ABQ11" i="3"/>
  <c r="ABU11" i="3"/>
  <c r="ABY11" i="3"/>
  <c r="ACC11" i="3"/>
  <c r="ACG11" i="3"/>
  <c r="ACK11" i="3"/>
  <c r="ACO11" i="3"/>
  <c r="ACS11" i="3"/>
  <c r="ACW11" i="3"/>
  <c r="ADA11" i="3"/>
  <c r="ADE11" i="3"/>
  <c r="ADI11" i="3"/>
  <c r="ADM11" i="3"/>
  <c r="ADQ11" i="3"/>
  <c r="ADU11" i="3"/>
  <c r="ADY11" i="3"/>
  <c r="AEC11" i="3"/>
  <c r="AEG11" i="3"/>
  <c r="AEK11" i="3"/>
  <c r="AEO11" i="3"/>
  <c r="AES11" i="3"/>
  <c r="AEW11" i="3"/>
  <c r="AFA11" i="3"/>
  <c r="AFE11" i="3"/>
  <c r="AFI11" i="3"/>
  <c r="AFM11" i="3"/>
  <c r="AFQ11" i="3"/>
  <c r="AFU11" i="3"/>
  <c r="AFY11" i="3"/>
  <c r="AGC11" i="3"/>
  <c r="AGG11" i="3"/>
  <c r="AGK11" i="3"/>
  <c r="AGO11" i="3"/>
  <c r="AGS11" i="3"/>
  <c r="AGW11" i="3"/>
  <c r="AHA11" i="3"/>
  <c r="AHE11" i="3"/>
  <c r="AHI11" i="3"/>
  <c r="AHM11" i="3"/>
  <c r="AHQ11" i="3"/>
  <c r="AHU11" i="3"/>
  <c r="AHY11" i="3"/>
  <c r="AIC11" i="3"/>
  <c r="AIG11" i="3"/>
  <c r="AIK11" i="3"/>
  <c r="AIO11" i="3"/>
  <c r="AIS11" i="3"/>
  <c r="AIW11" i="3"/>
  <c r="AJA11" i="3"/>
  <c r="AJE11" i="3"/>
  <c r="AJI11" i="3"/>
  <c r="AJM11" i="3"/>
  <c r="AJQ11" i="3"/>
  <c r="AJU11" i="3"/>
  <c r="AJY11" i="3"/>
  <c r="AKC11" i="3"/>
  <c r="AKG11" i="3"/>
  <c r="AKK11" i="3"/>
  <c r="AKO11" i="3"/>
  <c r="AKS11" i="3"/>
  <c r="AKW11" i="3"/>
  <c r="ALA11" i="3"/>
  <c r="ALE11" i="3"/>
  <c r="ALI11" i="3"/>
  <c r="ALM11" i="3"/>
  <c r="E12" i="3"/>
  <c r="I12" i="3"/>
  <c r="M12" i="3"/>
  <c r="Q12" i="3"/>
  <c r="U12" i="3"/>
  <c r="Y12" i="3"/>
  <c r="AC12" i="3"/>
  <c r="AG12" i="3"/>
  <c r="AK12" i="3"/>
  <c r="AO12" i="3"/>
  <c r="AS12" i="3"/>
  <c r="AW12" i="3"/>
  <c r="BA12" i="3"/>
  <c r="BE12" i="3"/>
  <c r="BI12" i="3"/>
  <c r="BM12" i="3"/>
  <c r="BQ12" i="3"/>
  <c r="BU12" i="3"/>
  <c r="BY12" i="3"/>
  <c r="CC12" i="3"/>
  <c r="CG12" i="3"/>
  <c r="CK12" i="3"/>
  <c r="CO12" i="3"/>
  <c r="CS12" i="3"/>
  <c r="CW12" i="3"/>
  <c r="DA12" i="3"/>
  <c r="DE12" i="3"/>
  <c r="DI12" i="3"/>
  <c r="DM12" i="3"/>
  <c r="DQ12" i="3"/>
  <c r="DU12" i="3"/>
  <c r="DY12" i="3"/>
  <c r="EC12" i="3"/>
  <c r="EG12" i="3"/>
  <c r="EK12" i="3"/>
  <c r="EO12" i="3"/>
  <c r="ES12" i="3"/>
  <c r="EW12" i="3"/>
  <c r="FA12" i="3"/>
  <c r="FE12" i="3"/>
  <c r="FI12" i="3"/>
  <c r="FM12" i="3"/>
  <c r="FQ12" i="3"/>
  <c r="FU12" i="3"/>
  <c r="FY12" i="3"/>
  <c r="GC12" i="3"/>
  <c r="GG12" i="3"/>
  <c r="GK12" i="3"/>
  <c r="GO12" i="3"/>
  <c r="GS12" i="3"/>
  <c r="GW12" i="3"/>
  <c r="HA12" i="3"/>
  <c r="HE12" i="3"/>
  <c r="HI12" i="3"/>
  <c r="HM12" i="3"/>
  <c r="HQ12" i="3"/>
  <c r="HU12" i="3"/>
  <c r="HY12" i="3"/>
  <c r="IC12" i="3"/>
  <c r="IG12" i="3"/>
  <c r="IK12" i="3"/>
  <c r="IO12" i="3"/>
  <c r="IS12" i="3"/>
  <c r="IW12" i="3"/>
  <c r="JA12" i="3"/>
  <c r="JE12" i="3"/>
  <c r="JI12" i="3"/>
  <c r="JM12" i="3"/>
  <c r="JQ12" i="3"/>
  <c r="JU12" i="3"/>
  <c r="JY12" i="3"/>
  <c r="KC12" i="3"/>
  <c r="KG12" i="3"/>
  <c r="KK12" i="3"/>
  <c r="KO12" i="3"/>
  <c r="KS12" i="3"/>
  <c r="KW12" i="3"/>
  <c r="LA12" i="3"/>
  <c r="LE12" i="3"/>
  <c r="LI12" i="3"/>
  <c r="LM12" i="3"/>
  <c r="LQ12" i="3"/>
  <c r="LU12" i="3"/>
  <c r="LY12" i="3"/>
  <c r="MC12" i="3"/>
  <c r="MG12" i="3"/>
  <c r="MK12" i="3"/>
  <c r="MO12" i="3"/>
  <c r="MS12" i="3"/>
  <c r="MW12" i="3"/>
  <c r="NA12" i="3"/>
  <c r="NE12" i="3"/>
  <c r="NI12" i="3"/>
  <c r="NM12" i="3"/>
  <c r="NQ12" i="3"/>
  <c r="NU12" i="3"/>
  <c r="NY12" i="3"/>
  <c r="OC12" i="3"/>
  <c r="OG12" i="3"/>
  <c r="OK12" i="3"/>
  <c r="OO12" i="3"/>
  <c r="OS12" i="3"/>
  <c r="OW12" i="3"/>
  <c r="PA12" i="3"/>
  <c r="PE12" i="3"/>
  <c r="PI12" i="3"/>
  <c r="PM12" i="3"/>
  <c r="PQ12" i="3"/>
  <c r="PU12" i="3"/>
  <c r="PY12" i="3"/>
  <c r="QC12" i="3"/>
  <c r="QG12" i="3"/>
  <c r="QK12" i="3"/>
  <c r="QO12" i="3"/>
  <c r="QS12" i="3"/>
  <c r="QW12" i="3"/>
  <c r="RA12" i="3"/>
  <c r="RE12" i="3"/>
  <c r="RI12" i="3"/>
  <c r="RM12" i="3"/>
  <c r="RQ12" i="3"/>
  <c r="RU12" i="3"/>
  <c r="RY12" i="3"/>
  <c r="SC12" i="3"/>
  <c r="SG12" i="3"/>
  <c r="SK12" i="3"/>
  <c r="SO12" i="3"/>
  <c r="SS12" i="3"/>
  <c r="SW12" i="3"/>
  <c r="TA12" i="3"/>
  <c r="TE12" i="3"/>
  <c r="TI12" i="3"/>
  <c r="TM12" i="3"/>
  <c r="TQ12" i="3"/>
  <c r="TU12" i="3"/>
  <c r="TY12" i="3"/>
  <c r="UC12" i="3"/>
  <c r="UG12" i="3"/>
  <c r="UK12" i="3"/>
  <c r="UO12" i="3"/>
  <c r="US12" i="3"/>
  <c r="UW12" i="3"/>
  <c r="VA12" i="3"/>
  <c r="VE12" i="3"/>
  <c r="VI12" i="3"/>
  <c r="VM12" i="3"/>
  <c r="VQ12" i="3"/>
  <c r="VU12" i="3"/>
  <c r="VY12" i="3"/>
  <c r="WC12" i="3"/>
  <c r="WG12" i="3"/>
  <c r="WK12" i="3"/>
  <c r="WO12" i="3"/>
  <c r="WS12" i="3"/>
  <c r="WW12" i="3"/>
  <c r="XA12" i="3"/>
  <c r="XE12" i="3"/>
  <c r="XI12" i="3"/>
  <c r="XM12" i="3"/>
  <c r="XQ12" i="3"/>
  <c r="XU12" i="3"/>
  <c r="XY12" i="3"/>
  <c r="YC12" i="3"/>
  <c r="YG12" i="3"/>
  <c r="YK12" i="3"/>
  <c r="YO12" i="3"/>
  <c r="YS12" i="3"/>
  <c r="YW12" i="3"/>
  <c r="ZA12" i="3"/>
  <c r="ZE12" i="3"/>
  <c r="ZI12" i="3"/>
  <c r="ZM12" i="3"/>
  <c r="ZQ12" i="3"/>
  <c r="ZU12" i="3"/>
  <c r="ZY12" i="3"/>
  <c r="AAC12" i="3"/>
  <c r="AAG12" i="3"/>
  <c r="AAK12" i="3"/>
  <c r="AAO12" i="3"/>
  <c r="AAS12" i="3"/>
  <c r="AAW12" i="3"/>
  <c r="ABA12" i="3"/>
  <c r="ABE12" i="3"/>
  <c r="ABI12" i="3"/>
  <c r="ABM12" i="3"/>
  <c r="ABQ12" i="3"/>
  <c r="ABU12" i="3"/>
  <c r="ABY12" i="3"/>
  <c r="ACC12" i="3"/>
  <c r="ACG12" i="3"/>
  <c r="ACK12" i="3"/>
  <c r="ACO12" i="3"/>
  <c r="ACS12" i="3"/>
  <c r="ACW12" i="3"/>
  <c r="ADA12" i="3"/>
  <c r="ADE12" i="3"/>
  <c r="ADI12" i="3"/>
  <c r="ADM12" i="3"/>
  <c r="ADQ12" i="3"/>
  <c r="ADU12" i="3"/>
  <c r="ADY12" i="3"/>
  <c r="AEC12" i="3"/>
  <c r="AEG12" i="3"/>
  <c r="AEK12" i="3"/>
  <c r="AEO12" i="3"/>
  <c r="AES12" i="3"/>
  <c r="AEW12" i="3"/>
  <c r="AFA12" i="3"/>
  <c r="AFE12" i="3"/>
  <c r="AFI12" i="3"/>
  <c r="AFM12" i="3"/>
  <c r="AFQ12" i="3"/>
  <c r="AFU12" i="3"/>
  <c r="AFY12" i="3"/>
  <c r="AGC12" i="3"/>
  <c r="AGG12" i="3"/>
  <c r="AGK12" i="3"/>
  <c r="AGO12" i="3"/>
  <c r="AGS12" i="3"/>
  <c r="AGW12" i="3"/>
  <c r="AHA12" i="3"/>
  <c r="AHE12" i="3"/>
  <c r="AHI12" i="3"/>
  <c r="AHM12" i="3"/>
  <c r="AHQ12" i="3"/>
  <c r="AHU12" i="3"/>
  <c r="AHY12" i="3"/>
  <c r="AIC12" i="3"/>
  <c r="AIG12" i="3"/>
  <c r="AIK12" i="3"/>
  <c r="AIO12" i="3"/>
  <c r="AIS12" i="3"/>
  <c r="AIW12" i="3"/>
  <c r="AJA12" i="3"/>
  <c r="AJE12" i="3"/>
  <c r="AJI12" i="3"/>
  <c r="AJM12" i="3"/>
  <c r="AJQ12" i="3"/>
  <c r="AJU12" i="3"/>
  <c r="AJY12" i="3"/>
  <c r="AKC12" i="3"/>
  <c r="AKG12" i="3"/>
  <c r="AKK12" i="3"/>
  <c r="AKO12" i="3"/>
  <c r="AKS12" i="3"/>
  <c r="AKW12" i="3"/>
  <c r="ALA12" i="3"/>
  <c r="ALE12" i="3"/>
  <c r="ALI12" i="3"/>
  <c r="ALM12" i="3"/>
  <c r="E13" i="3"/>
  <c r="I13" i="3"/>
  <c r="M13" i="3"/>
  <c r="Q13" i="3"/>
  <c r="U13" i="3"/>
  <c r="Y13" i="3"/>
  <c r="AC13" i="3"/>
  <c r="AG13" i="3"/>
  <c r="AK13" i="3"/>
  <c r="AO13" i="3"/>
  <c r="AS13" i="3"/>
  <c r="AW13" i="3"/>
  <c r="BA13" i="3"/>
  <c r="BE13" i="3"/>
  <c r="BI13" i="3"/>
  <c r="BM13" i="3"/>
  <c r="BQ13" i="3"/>
  <c r="BU13" i="3"/>
  <c r="BY13" i="3"/>
  <c r="CC13" i="3"/>
  <c r="CG13" i="3"/>
  <c r="CK13" i="3"/>
  <c r="CO13" i="3"/>
  <c r="CS13" i="3"/>
  <c r="CW13" i="3"/>
  <c r="DA13" i="3"/>
  <c r="DE13" i="3"/>
  <c r="DI13" i="3"/>
  <c r="DM13" i="3"/>
  <c r="DQ13" i="3"/>
  <c r="DU13" i="3"/>
  <c r="DY13" i="3"/>
  <c r="EC13" i="3"/>
  <c r="EG13" i="3"/>
  <c r="EK13" i="3"/>
  <c r="EO13" i="3"/>
  <c r="ES13" i="3"/>
  <c r="EW13" i="3"/>
  <c r="FA13" i="3"/>
  <c r="FE13" i="3"/>
  <c r="FI13" i="3"/>
  <c r="FM13" i="3"/>
  <c r="FQ13" i="3"/>
  <c r="FU13" i="3"/>
  <c r="FY13" i="3"/>
  <c r="GC13" i="3"/>
  <c r="GG13" i="3"/>
  <c r="GK13" i="3"/>
  <c r="GO13" i="3"/>
  <c r="GS13" i="3"/>
  <c r="GW13" i="3"/>
  <c r="HA13" i="3"/>
  <c r="HE13" i="3"/>
  <c r="HI13" i="3"/>
  <c r="HM13" i="3"/>
  <c r="HQ13" i="3"/>
  <c r="HU13" i="3"/>
  <c r="HY13" i="3"/>
  <c r="IC13" i="3"/>
  <c r="IG13" i="3"/>
  <c r="IK13" i="3"/>
  <c r="IO13" i="3"/>
  <c r="IS13" i="3"/>
  <c r="IW13" i="3"/>
  <c r="JA13" i="3"/>
  <c r="JE13" i="3"/>
  <c r="JI13" i="3"/>
  <c r="JM13" i="3"/>
  <c r="JQ13" i="3"/>
  <c r="JU13" i="3"/>
  <c r="JY13" i="3"/>
  <c r="KC13" i="3"/>
  <c r="KG13" i="3"/>
  <c r="KK13" i="3"/>
  <c r="KO13" i="3"/>
  <c r="KS13" i="3"/>
  <c r="KW13" i="3"/>
  <c r="LA13" i="3"/>
  <c r="LE13" i="3"/>
  <c r="LI13" i="3"/>
  <c r="LM13" i="3"/>
  <c r="LQ13" i="3"/>
  <c r="LU13" i="3"/>
  <c r="LY13" i="3"/>
  <c r="MC13" i="3"/>
  <c r="MG13" i="3"/>
  <c r="MK13" i="3"/>
  <c r="MO13" i="3"/>
  <c r="MS13" i="3"/>
  <c r="MW13" i="3"/>
  <c r="NA13" i="3"/>
  <c r="NE13" i="3"/>
  <c r="NI13" i="3"/>
  <c r="NM13" i="3"/>
  <c r="NQ13" i="3"/>
  <c r="NU13" i="3"/>
  <c r="NY13" i="3"/>
  <c r="OC13" i="3"/>
  <c r="OG13" i="3"/>
  <c r="OK13" i="3"/>
  <c r="OO13" i="3"/>
  <c r="OS13" i="3"/>
  <c r="OW13" i="3"/>
  <c r="PA13" i="3"/>
  <c r="PE13" i="3"/>
  <c r="PI13" i="3"/>
  <c r="PM13" i="3"/>
  <c r="PQ13" i="3"/>
  <c r="PU13" i="3"/>
  <c r="PY13" i="3"/>
  <c r="QC13" i="3"/>
  <c r="QG13" i="3"/>
  <c r="QK13" i="3"/>
  <c r="QO13" i="3"/>
  <c r="QS13" i="3"/>
  <c r="QW13" i="3"/>
  <c r="RA13" i="3"/>
  <c r="RE13" i="3"/>
  <c r="RI13" i="3"/>
  <c r="RM13" i="3"/>
  <c r="RQ13" i="3"/>
  <c r="RU13" i="3"/>
  <c r="RY13" i="3"/>
  <c r="SC13" i="3"/>
  <c r="SG13" i="3"/>
  <c r="SK13" i="3"/>
  <c r="SO13" i="3"/>
  <c r="SS13" i="3"/>
  <c r="SW13" i="3"/>
  <c r="TA13" i="3"/>
  <c r="TE13" i="3"/>
  <c r="TI13" i="3"/>
  <c r="TM13" i="3"/>
  <c r="TQ13" i="3"/>
  <c r="TU13" i="3"/>
  <c r="TY13" i="3"/>
  <c r="UC13" i="3"/>
  <c r="UG13" i="3"/>
  <c r="UK13" i="3"/>
  <c r="UO13" i="3"/>
  <c r="US13" i="3"/>
  <c r="UW13" i="3"/>
  <c r="VA13" i="3"/>
  <c r="VE13" i="3"/>
  <c r="VI13" i="3"/>
  <c r="VM13" i="3"/>
  <c r="VQ13" i="3"/>
  <c r="VU13" i="3"/>
  <c r="VY13" i="3"/>
  <c r="WC13" i="3"/>
  <c r="WG13" i="3"/>
  <c r="WK13" i="3"/>
  <c r="WO13" i="3"/>
  <c r="WS13" i="3"/>
  <c r="WW13" i="3"/>
  <c r="XA13" i="3"/>
  <c r="XE13" i="3"/>
  <c r="XI13" i="3"/>
  <c r="XM13" i="3"/>
  <c r="XQ13" i="3"/>
  <c r="XU13" i="3"/>
  <c r="XY13" i="3"/>
  <c r="YC13" i="3"/>
  <c r="YG13" i="3"/>
  <c r="YK13" i="3"/>
  <c r="YO13" i="3"/>
  <c r="YS13" i="3"/>
  <c r="YW13" i="3"/>
  <c r="ZA13" i="3"/>
  <c r="ZE13" i="3"/>
  <c r="ZI13" i="3"/>
  <c r="ZM13" i="3"/>
  <c r="ZQ13" i="3"/>
  <c r="ZU13" i="3"/>
  <c r="ZY13" i="3"/>
  <c r="AAC13" i="3"/>
  <c r="AAG13" i="3"/>
  <c r="AAK13" i="3"/>
  <c r="AAO13" i="3"/>
  <c r="AAS13" i="3"/>
  <c r="AAW13" i="3"/>
  <c r="ABA13" i="3"/>
  <c r="ABE13" i="3"/>
  <c r="ABI13" i="3"/>
  <c r="ABM13" i="3"/>
  <c r="ABQ13" i="3"/>
  <c r="ABU13" i="3"/>
  <c r="ABY13" i="3"/>
  <c r="ACC13" i="3"/>
  <c r="ACG13" i="3"/>
  <c r="ACK13" i="3"/>
  <c r="ACO13" i="3"/>
  <c r="ACS13" i="3"/>
  <c r="ACW13" i="3"/>
  <c r="ADA13" i="3"/>
  <c r="ADE13" i="3"/>
  <c r="ADI13" i="3"/>
  <c r="ADM13" i="3"/>
  <c r="ADQ13" i="3"/>
  <c r="ADU13" i="3"/>
  <c r="ADY13" i="3"/>
  <c r="AEC13" i="3"/>
  <c r="AEG13" i="3"/>
  <c r="AEK13" i="3"/>
  <c r="AEO13" i="3"/>
  <c r="AES13" i="3"/>
  <c r="AEW13" i="3"/>
  <c r="AFA13" i="3"/>
  <c r="AFE13" i="3"/>
  <c r="AFI13" i="3"/>
  <c r="AFM13" i="3"/>
  <c r="AFQ13" i="3"/>
  <c r="AFU13" i="3"/>
  <c r="AFY13" i="3"/>
  <c r="AGC13" i="3"/>
  <c r="AGG13" i="3"/>
  <c r="AGK13" i="3"/>
  <c r="AGO13" i="3"/>
  <c r="AGS13" i="3"/>
  <c r="AGW13" i="3"/>
  <c r="AHA13" i="3"/>
  <c r="AHE13" i="3"/>
  <c r="AHI13" i="3"/>
  <c r="AHM13" i="3"/>
  <c r="AHQ13" i="3"/>
  <c r="AHU13" i="3"/>
  <c r="AHY13" i="3"/>
  <c r="AIC13" i="3"/>
  <c r="AIG13" i="3"/>
  <c r="AIK13" i="3"/>
  <c r="AIO13" i="3"/>
  <c r="AIS13" i="3"/>
  <c r="AIW13" i="3"/>
  <c r="AJA13" i="3"/>
  <c r="AJE13" i="3"/>
  <c r="AJI13" i="3"/>
  <c r="AJM13" i="3"/>
  <c r="AJQ13" i="3"/>
  <c r="AJU13" i="3"/>
  <c r="AJY13" i="3"/>
  <c r="AKC13" i="3"/>
  <c r="AKG13" i="3"/>
  <c r="AKK13" i="3"/>
  <c r="AKO13" i="3"/>
  <c r="AKS13" i="3"/>
  <c r="AKW13" i="3"/>
  <c r="ALA13" i="3"/>
  <c r="ALE13" i="3"/>
  <c r="ALI13" i="3"/>
  <c r="ALM13" i="3"/>
  <c r="E14" i="3"/>
  <c r="I14" i="3"/>
  <c r="M14" i="3"/>
  <c r="Q14" i="3"/>
  <c r="U14" i="3"/>
  <c r="Y14" i="3"/>
  <c r="AC14" i="3"/>
  <c r="AG14" i="3"/>
  <c r="AK14" i="3"/>
  <c r="AO14" i="3"/>
  <c r="AS14" i="3"/>
  <c r="AW14" i="3"/>
  <c r="BA14" i="3"/>
  <c r="BE14" i="3"/>
  <c r="BI14" i="3"/>
  <c r="BM14" i="3"/>
  <c r="BQ14" i="3"/>
  <c r="BU14" i="3"/>
  <c r="BY14" i="3"/>
  <c r="CC14" i="3"/>
  <c r="CG14" i="3"/>
  <c r="CK14" i="3"/>
  <c r="CO14" i="3"/>
  <c r="CS14" i="3"/>
  <c r="CW14" i="3"/>
  <c r="DA14" i="3"/>
  <c r="DE14" i="3"/>
  <c r="DI14" i="3"/>
  <c r="DM14" i="3"/>
  <c r="DQ14" i="3"/>
  <c r="DU14" i="3"/>
  <c r="DY14" i="3"/>
  <c r="EC14" i="3"/>
  <c r="EG14" i="3"/>
  <c r="EK14" i="3"/>
  <c r="EO14" i="3"/>
  <c r="ES14" i="3"/>
  <c r="EW14" i="3"/>
  <c r="FA14" i="3"/>
  <c r="FE14" i="3"/>
  <c r="FI14" i="3"/>
  <c r="FM14" i="3"/>
  <c r="FQ14" i="3"/>
  <c r="FU14" i="3"/>
  <c r="FY14" i="3"/>
  <c r="GC14" i="3"/>
  <c r="GG14" i="3"/>
  <c r="GK14" i="3"/>
  <c r="GO14" i="3"/>
  <c r="GS14" i="3"/>
  <c r="GW14" i="3"/>
  <c r="HA14" i="3"/>
  <c r="HE14" i="3"/>
  <c r="HI14" i="3"/>
  <c r="HM14" i="3"/>
  <c r="HQ14" i="3"/>
  <c r="HU14" i="3"/>
  <c r="HY14" i="3"/>
  <c r="IC14" i="3"/>
  <c r="IG14" i="3"/>
  <c r="IK14" i="3"/>
  <c r="IO14" i="3"/>
  <c r="IS14" i="3"/>
  <c r="IW14" i="3"/>
  <c r="JA14" i="3"/>
  <c r="JE14" i="3"/>
  <c r="JI14" i="3"/>
  <c r="JM14" i="3"/>
  <c r="JQ14" i="3"/>
  <c r="JU14" i="3"/>
  <c r="JY14" i="3"/>
  <c r="KC14" i="3"/>
  <c r="KG14" i="3"/>
  <c r="KK14" i="3"/>
  <c r="KO14" i="3"/>
  <c r="KS14" i="3"/>
  <c r="KW14" i="3"/>
  <c r="LA14" i="3"/>
  <c r="LE14" i="3"/>
  <c r="LI14" i="3"/>
  <c r="LM14" i="3"/>
  <c r="LQ14" i="3"/>
  <c r="LU14" i="3"/>
  <c r="LY14" i="3"/>
  <c r="MC14" i="3"/>
  <c r="MG14" i="3"/>
  <c r="MK14" i="3"/>
  <c r="MO14" i="3"/>
  <c r="MS14" i="3"/>
  <c r="MW14" i="3"/>
  <c r="NA14" i="3"/>
  <c r="NE14" i="3"/>
  <c r="NI14" i="3"/>
  <c r="NM14" i="3"/>
  <c r="NQ14" i="3"/>
  <c r="NU14" i="3"/>
  <c r="NY14" i="3"/>
  <c r="OC14" i="3"/>
  <c r="OG14" i="3"/>
  <c r="OK14" i="3"/>
  <c r="OO14" i="3"/>
  <c r="OS14" i="3"/>
  <c r="OW14" i="3"/>
  <c r="PA14" i="3"/>
  <c r="PE14" i="3"/>
  <c r="PI14" i="3"/>
  <c r="PM14" i="3"/>
  <c r="PQ14" i="3"/>
  <c r="PU14" i="3"/>
  <c r="PY14" i="3"/>
  <c r="QC14" i="3"/>
  <c r="QG14" i="3"/>
  <c r="QK14" i="3"/>
  <c r="QO14" i="3"/>
  <c r="QS14" i="3"/>
  <c r="QW14" i="3"/>
  <c r="RA14" i="3"/>
  <c r="RE14" i="3"/>
  <c r="RI14" i="3"/>
  <c r="RM14" i="3"/>
  <c r="RQ14" i="3"/>
  <c r="RU14" i="3"/>
  <c r="RY14" i="3"/>
  <c r="SC14" i="3"/>
  <c r="SG14" i="3"/>
  <c r="SK14" i="3"/>
  <c r="SO14" i="3"/>
  <c r="SS14" i="3"/>
  <c r="HU11" i="3"/>
  <c r="IK11" i="3"/>
  <c r="JA11" i="3"/>
  <c r="JM11" i="3"/>
  <c r="JU11" i="3"/>
  <c r="KC11" i="3"/>
  <c r="KK11" i="3"/>
  <c r="KS11" i="3"/>
  <c r="KX11" i="3"/>
  <c r="LB11" i="3"/>
  <c r="LF11" i="3"/>
  <c r="LJ11" i="3"/>
  <c r="LN11" i="3"/>
  <c r="LR11" i="3"/>
  <c r="LV11" i="3"/>
  <c r="LZ11" i="3"/>
  <c r="MD11" i="3"/>
  <c r="MH11" i="3"/>
  <c r="ML11" i="3"/>
  <c r="MP11" i="3"/>
  <c r="MT11" i="3"/>
  <c r="MX11" i="3"/>
  <c r="NB11" i="3"/>
  <c r="NF11" i="3"/>
  <c r="NJ11" i="3"/>
  <c r="NN11" i="3"/>
  <c r="NR11" i="3"/>
  <c r="NV11" i="3"/>
  <c r="NZ11" i="3"/>
  <c r="OD11" i="3"/>
  <c r="OH11" i="3"/>
  <c r="OL11" i="3"/>
  <c r="OP11" i="3"/>
  <c r="OT11" i="3"/>
  <c r="OX11" i="3"/>
  <c r="PB11" i="3"/>
  <c r="PF11" i="3"/>
  <c r="PJ11" i="3"/>
  <c r="PN11" i="3"/>
  <c r="PR11" i="3"/>
  <c r="PV11" i="3"/>
  <c r="PZ11" i="3"/>
  <c r="QD11" i="3"/>
  <c r="QH11" i="3"/>
  <c r="QL11" i="3"/>
  <c r="QP11" i="3"/>
  <c r="QT11" i="3"/>
  <c r="QX11" i="3"/>
  <c r="RB11" i="3"/>
  <c r="RF11" i="3"/>
  <c r="RJ11" i="3"/>
  <c r="RN11" i="3"/>
  <c r="RR11" i="3"/>
  <c r="RV11" i="3"/>
  <c r="RZ11" i="3"/>
  <c r="SD11" i="3"/>
  <c r="SH11" i="3"/>
  <c r="SL11" i="3"/>
  <c r="SP11" i="3"/>
  <c r="ST11" i="3"/>
  <c r="SX11" i="3"/>
  <c r="TB11" i="3"/>
  <c r="TF11" i="3"/>
  <c r="TJ11" i="3"/>
  <c r="TN11" i="3"/>
  <c r="TR11" i="3"/>
  <c r="TV11" i="3"/>
  <c r="TZ11" i="3"/>
  <c r="UD11" i="3"/>
  <c r="UH11" i="3"/>
  <c r="UL11" i="3"/>
  <c r="UP11" i="3"/>
  <c r="UT11" i="3"/>
  <c r="UX11" i="3"/>
  <c r="VB11" i="3"/>
  <c r="VF11" i="3"/>
  <c r="VJ11" i="3"/>
  <c r="VN11" i="3"/>
  <c r="VR11" i="3"/>
  <c r="VV11" i="3"/>
  <c r="VZ11" i="3"/>
  <c r="WD11" i="3"/>
  <c r="WH11" i="3"/>
  <c r="WL11" i="3"/>
  <c r="WP11" i="3"/>
  <c r="WT11" i="3"/>
  <c r="WX11" i="3"/>
  <c r="XB11" i="3"/>
  <c r="XF11" i="3"/>
  <c r="XJ11" i="3"/>
  <c r="XN11" i="3"/>
  <c r="XR11" i="3"/>
  <c r="XV11" i="3"/>
  <c r="XZ11" i="3"/>
  <c r="YD11" i="3"/>
  <c r="YH11" i="3"/>
  <c r="YL11" i="3"/>
  <c r="YP11" i="3"/>
  <c r="YT11" i="3"/>
  <c r="YX11" i="3"/>
  <c r="ZB11" i="3"/>
  <c r="ZF11" i="3"/>
  <c r="ZJ11" i="3"/>
  <c r="ZN11" i="3"/>
  <c r="ZR11" i="3"/>
  <c r="ZV11" i="3"/>
  <c r="ZZ11" i="3"/>
  <c r="AAD11" i="3"/>
  <c r="AAH11" i="3"/>
  <c r="AAL11" i="3"/>
  <c r="AAP11" i="3"/>
  <c r="AAT11" i="3"/>
  <c r="AAX11" i="3"/>
  <c r="ABB11" i="3"/>
  <c r="ABF11" i="3"/>
  <c r="ABJ11" i="3"/>
  <c r="ABN11" i="3"/>
  <c r="ABR11" i="3"/>
  <c r="ABV11" i="3"/>
  <c r="ABZ11" i="3"/>
  <c r="ACD11" i="3"/>
  <c r="ACH11" i="3"/>
  <c r="ACL11" i="3"/>
  <c r="ACP11" i="3"/>
  <c r="ACT11" i="3"/>
  <c r="ACX11" i="3"/>
  <c r="ADB11" i="3"/>
  <c r="ADF11" i="3"/>
  <c r="ADJ11" i="3"/>
  <c r="ADN11" i="3"/>
  <c r="ADR11" i="3"/>
  <c r="ADV11" i="3"/>
  <c r="ADZ11" i="3"/>
  <c r="AED11" i="3"/>
  <c r="AEH11" i="3"/>
  <c r="AEL11" i="3"/>
  <c r="AEP11" i="3"/>
  <c r="AET11" i="3"/>
  <c r="AEX11" i="3"/>
  <c r="AFB11" i="3"/>
  <c r="AFF11" i="3"/>
  <c r="AFJ11" i="3"/>
  <c r="AFN11" i="3"/>
  <c r="AFR11" i="3"/>
  <c r="AFV11" i="3"/>
  <c r="AFZ11" i="3"/>
  <c r="AGD11" i="3"/>
  <c r="AGH11" i="3"/>
  <c r="AGL11" i="3"/>
  <c r="AGP11" i="3"/>
  <c r="AGT11" i="3"/>
  <c r="AGX11" i="3"/>
  <c r="AHB11" i="3"/>
  <c r="AHF11" i="3"/>
  <c r="AHJ11" i="3"/>
  <c r="AHN11" i="3"/>
  <c r="AHR11" i="3"/>
  <c r="AHV11" i="3"/>
  <c r="AHZ11" i="3"/>
  <c r="AID11" i="3"/>
  <c r="AIH11" i="3"/>
  <c r="AIL11" i="3"/>
  <c r="AIP11" i="3"/>
  <c r="AIT11" i="3"/>
  <c r="AIX11" i="3"/>
  <c r="AJB11" i="3"/>
  <c r="AJF11" i="3"/>
  <c r="AJJ11" i="3"/>
  <c r="AJN11" i="3"/>
  <c r="AJR11" i="3"/>
  <c r="AJV11" i="3"/>
  <c r="AJZ11" i="3"/>
  <c r="AKD11" i="3"/>
  <c r="AKH11" i="3"/>
  <c r="AKL11" i="3"/>
  <c r="AKP11" i="3"/>
  <c r="AKT11" i="3"/>
  <c r="AKX11" i="3"/>
  <c r="ALB11" i="3"/>
  <c r="ALF11" i="3"/>
  <c r="ALJ11" i="3"/>
  <c r="B12" i="3"/>
  <c r="F12" i="3"/>
  <c r="J12" i="3"/>
  <c r="N12" i="3"/>
  <c r="R12" i="3"/>
  <c r="V12" i="3"/>
  <c r="Z12" i="3"/>
  <c r="AD12" i="3"/>
  <c r="AH12" i="3"/>
  <c r="AL12" i="3"/>
  <c r="AP12" i="3"/>
  <c r="AT12" i="3"/>
  <c r="AX12" i="3"/>
  <c r="BB12" i="3"/>
  <c r="BF12" i="3"/>
  <c r="BJ12" i="3"/>
  <c r="BN12" i="3"/>
  <c r="BR12" i="3"/>
  <c r="BV12" i="3"/>
  <c r="BZ12" i="3"/>
  <c r="CD12" i="3"/>
  <c r="CH12" i="3"/>
  <c r="CL12" i="3"/>
  <c r="CP12" i="3"/>
  <c r="CT12" i="3"/>
  <c r="CX12" i="3"/>
  <c r="DB12" i="3"/>
  <c r="DF12" i="3"/>
  <c r="DJ12" i="3"/>
  <c r="DN12" i="3"/>
  <c r="DR12" i="3"/>
  <c r="DV12" i="3"/>
  <c r="DZ12" i="3"/>
  <c r="ED12" i="3"/>
  <c r="EH12" i="3"/>
  <c r="EL12" i="3"/>
  <c r="EP12" i="3"/>
  <c r="ET12" i="3"/>
  <c r="EX12" i="3"/>
  <c r="FB12" i="3"/>
  <c r="FF12" i="3"/>
  <c r="FJ12" i="3"/>
  <c r="FN12" i="3"/>
  <c r="FR12" i="3"/>
  <c r="FV12" i="3"/>
  <c r="FZ12" i="3"/>
  <c r="GD12" i="3"/>
  <c r="GH12" i="3"/>
  <c r="GL12" i="3"/>
  <c r="GP12" i="3"/>
  <c r="GT12" i="3"/>
  <c r="GX12" i="3"/>
  <c r="HB12" i="3"/>
  <c r="HF12" i="3"/>
  <c r="HJ12" i="3"/>
  <c r="HN12" i="3"/>
  <c r="HR12" i="3"/>
  <c r="HV12" i="3"/>
  <c r="HZ12" i="3"/>
  <c r="ID12" i="3"/>
  <c r="IH12" i="3"/>
  <c r="IL12" i="3"/>
  <c r="IP12" i="3"/>
  <c r="IT12" i="3"/>
  <c r="IX12" i="3"/>
  <c r="JB12" i="3"/>
  <c r="JF12" i="3"/>
  <c r="JJ12" i="3"/>
  <c r="JN12" i="3"/>
  <c r="JR12" i="3"/>
  <c r="JV12" i="3"/>
  <c r="JZ12" i="3"/>
  <c r="KD12" i="3"/>
  <c r="KH12" i="3"/>
  <c r="KL12" i="3"/>
  <c r="KP12" i="3"/>
  <c r="KT12" i="3"/>
  <c r="KX12" i="3"/>
  <c r="LB12" i="3"/>
  <c r="LF12" i="3"/>
  <c r="LJ12" i="3"/>
  <c r="LN12" i="3"/>
  <c r="LR12" i="3"/>
  <c r="LV12" i="3"/>
  <c r="LZ12" i="3"/>
  <c r="MD12" i="3"/>
  <c r="MH12" i="3"/>
  <c r="ML12" i="3"/>
  <c r="MP12" i="3"/>
  <c r="MT12" i="3"/>
  <c r="MX12" i="3"/>
  <c r="NB12" i="3"/>
  <c r="NF12" i="3"/>
  <c r="NJ12" i="3"/>
  <c r="NN12" i="3"/>
  <c r="NR12" i="3"/>
  <c r="NV12" i="3"/>
  <c r="NZ12" i="3"/>
  <c r="OD12" i="3"/>
  <c r="OH12" i="3"/>
  <c r="OL12" i="3"/>
  <c r="OP12" i="3"/>
  <c r="OT12" i="3"/>
  <c r="OX12" i="3"/>
  <c r="PB12" i="3"/>
  <c r="PF12" i="3"/>
  <c r="PJ12" i="3"/>
  <c r="PN12" i="3"/>
  <c r="PR12" i="3"/>
  <c r="PV12" i="3"/>
  <c r="PZ12" i="3"/>
  <c r="QD12" i="3"/>
  <c r="QH12" i="3"/>
  <c r="QL12" i="3"/>
  <c r="QP12" i="3"/>
  <c r="QT12" i="3"/>
  <c r="QX12" i="3"/>
  <c r="RB12" i="3"/>
  <c r="RF12" i="3"/>
  <c r="RJ12" i="3"/>
  <c r="RN12" i="3"/>
  <c r="RR12" i="3"/>
  <c r="RV12" i="3"/>
  <c r="RZ12" i="3"/>
  <c r="SD12" i="3"/>
  <c r="SH12" i="3"/>
  <c r="SL12" i="3"/>
  <c r="SP12" i="3"/>
  <c r="ST12" i="3"/>
  <c r="SX12" i="3"/>
  <c r="TB12" i="3"/>
  <c r="TF12" i="3"/>
  <c r="TJ12" i="3"/>
  <c r="TN12" i="3"/>
  <c r="TR12" i="3"/>
  <c r="TV12" i="3"/>
  <c r="TZ12" i="3"/>
  <c r="UD12" i="3"/>
  <c r="UH12" i="3"/>
  <c r="UL12" i="3"/>
  <c r="UP12" i="3"/>
  <c r="UT12" i="3"/>
  <c r="UX12" i="3"/>
  <c r="VB12" i="3"/>
  <c r="VF12" i="3"/>
  <c r="VJ12" i="3"/>
  <c r="VN12" i="3"/>
  <c r="VR12" i="3"/>
  <c r="VV12" i="3"/>
  <c r="VZ12" i="3"/>
  <c r="WD12" i="3"/>
  <c r="WH12" i="3"/>
  <c r="WL12" i="3"/>
  <c r="WP12" i="3"/>
  <c r="WT12" i="3"/>
  <c r="WX12" i="3"/>
  <c r="XB12" i="3"/>
  <c r="XF12" i="3"/>
  <c r="XJ12" i="3"/>
  <c r="XN12" i="3"/>
  <c r="XR12" i="3"/>
  <c r="XV12" i="3"/>
  <c r="XZ12" i="3"/>
  <c r="YD12" i="3"/>
  <c r="YH12" i="3"/>
  <c r="YL12" i="3"/>
  <c r="YP12" i="3"/>
  <c r="YT12" i="3"/>
  <c r="YX12" i="3"/>
  <c r="ZB12" i="3"/>
  <c r="ZF12" i="3"/>
  <c r="ZJ12" i="3"/>
  <c r="ZN12" i="3"/>
  <c r="ZR12" i="3"/>
  <c r="ZV12" i="3"/>
  <c r="ZZ12" i="3"/>
  <c r="AAD12" i="3"/>
  <c r="AAH12" i="3"/>
  <c r="AAL12" i="3"/>
  <c r="AAP12" i="3"/>
  <c r="AAT12" i="3"/>
  <c r="AAX12" i="3"/>
  <c r="ABB12" i="3"/>
  <c r="ABF12" i="3"/>
  <c r="ABJ12" i="3"/>
  <c r="ABN12" i="3"/>
  <c r="ABR12" i="3"/>
  <c r="ABV12" i="3"/>
  <c r="ABZ12" i="3"/>
  <c r="ACD12" i="3"/>
  <c r="ACH12" i="3"/>
  <c r="ACL12" i="3"/>
  <c r="ACP12" i="3"/>
  <c r="ACT12" i="3"/>
  <c r="ACX12" i="3"/>
  <c r="ADB12" i="3"/>
  <c r="ADF12" i="3"/>
  <c r="ADJ12" i="3"/>
  <c r="ADN12" i="3"/>
  <c r="ADR12" i="3"/>
  <c r="ADV12" i="3"/>
  <c r="ADZ12" i="3"/>
  <c r="AED12" i="3"/>
  <c r="AEH12" i="3"/>
  <c r="AEL12" i="3"/>
  <c r="AEP12" i="3"/>
  <c r="AET12" i="3"/>
  <c r="AEX12" i="3"/>
  <c r="AFB12" i="3"/>
  <c r="AFF12" i="3"/>
  <c r="AFJ12" i="3"/>
  <c r="AFN12" i="3"/>
  <c r="AFR12" i="3"/>
  <c r="AFV12" i="3"/>
  <c r="AFZ12" i="3"/>
  <c r="AGD12" i="3"/>
  <c r="AGH12" i="3"/>
  <c r="AGL12" i="3"/>
  <c r="AGP12" i="3"/>
  <c r="AGT12" i="3"/>
  <c r="AGX12" i="3"/>
  <c r="AHB12" i="3"/>
  <c r="AHF12" i="3"/>
  <c r="AHJ12" i="3"/>
  <c r="AHN12" i="3"/>
  <c r="AHR12" i="3"/>
  <c r="AHV12" i="3"/>
  <c r="AHZ12" i="3"/>
  <c r="AID12" i="3"/>
  <c r="AIH12" i="3"/>
  <c r="AIL12" i="3"/>
  <c r="AIP12" i="3"/>
  <c r="AIT12" i="3"/>
  <c r="AIX12" i="3"/>
  <c r="AJB12" i="3"/>
  <c r="AJF12" i="3"/>
  <c r="AJJ12" i="3"/>
  <c r="AJN12" i="3"/>
  <c r="AJR12" i="3"/>
  <c r="AJV12" i="3"/>
  <c r="AJZ12" i="3"/>
  <c r="AKD12" i="3"/>
  <c r="AKH12" i="3"/>
  <c r="AKL12" i="3"/>
  <c r="AKP12" i="3"/>
  <c r="AKT12" i="3"/>
  <c r="AKX12" i="3"/>
  <c r="ALB12" i="3"/>
  <c r="ALF12" i="3"/>
  <c r="ALJ12" i="3"/>
  <c r="B13" i="3"/>
  <c r="F13" i="3"/>
  <c r="J13" i="3"/>
  <c r="N13" i="3"/>
  <c r="R13" i="3"/>
  <c r="V13" i="3"/>
  <c r="Z13" i="3"/>
  <c r="AD13" i="3"/>
  <c r="AH13" i="3"/>
  <c r="AL13" i="3"/>
  <c r="AP13" i="3"/>
  <c r="AT13" i="3"/>
  <c r="AX13" i="3"/>
  <c r="BB13" i="3"/>
  <c r="BF13" i="3"/>
  <c r="BJ13" i="3"/>
  <c r="BN13" i="3"/>
  <c r="BR13" i="3"/>
  <c r="BV13" i="3"/>
  <c r="BZ13" i="3"/>
  <c r="CD13" i="3"/>
  <c r="CH13" i="3"/>
  <c r="CL13" i="3"/>
  <c r="CP13" i="3"/>
  <c r="CT13" i="3"/>
  <c r="CX13" i="3"/>
  <c r="DB13" i="3"/>
  <c r="DF13" i="3"/>
  <c r="DJ13" i="3"/>
  <c r="DN13" i="3"/>
  <c r="DR13" i="3"/>
  <c r="DV13" i="3"/>
  <c r="DZ13" i="3"/>
  <c r="ED13" i="3"/>
  <c r="EH13" i="3"/>
  <c r="EL13" i="3"/>
  <c r="EP13" i="3"/>
  <c r="ET13" i="3"/>
  <c r="EX13" i="3"/>
  <c r="FB13" i="3"/>
  <c r="FF13" i="3"/>
  <c r="FJ13" i="3"/>
  <c r="FN13" i="3"/>
  <c r="FR13" i="3"/>
  <c r="FV13" i="3"/>
  <c r="FZ13" i="3"/>
  <c r="GD13" i="3"/>
  <c r="GH13" i="3"/>
  <c r="GL13" i="3"/>
  <c r="GP13" i="3"/>
  <c r="GT13" i="3"/>
  <c r="GX13" i="3"/>
  <c r="HB13" i="3"/>
  <c r="HF13" i="3"/>
  <c r="HJ13" i="3"/>
  <c r="HN13" i="3"/>
  <c r="HR13" i="3"/>
  <c r="HV13" i="3"/>
  <c r="HZ13" i="3"/>
  <c r="ID13" i="3"/>
  <c r="IH13" i="3"/>
  <c r="IL13" i="3"/>
  <c r="IP13" i="3"/>
  <c r="IT13" i="3"/>
  <c r="IX13" i="3"/>
  <c r="JB13" i="3"/>
  <c r="JF13" i="3"/>
  <c r="JJ13" i="3"/>
  <c r="JN13" i="3"/>
  <c r="JR13" i="3"/>
  <c r="JV13" i="3"/>
  <c r="JZ13" i="3"/>
  <c r="KD13" i="3"/>
  <c r="KH13" i="3"/>
  <c r="KL13" i="3"/>
  <c r="KP13" i="3"/>
  <c r="KT13" i="3"/>
  <c r="KX13" i="3"/>
  <c r="LB13" i="3"/>
  <c r="LF13" i="3"/>
  <c r="LJ13" i="3"/>
  <c r="LN13" i="3"/>
  <c r="LR13" i="3"/>
  <c r="LV13" i="3"/>
  <c r="LZ13" i="3"/>
  <c r="MD13" i="3"/>
  <c r="MH13" i="3"/>
  <c r="ML13" i="3"/>
  <c r="MP13" i="3"/>
  <c r="MT13" i="3"/>
  <c r="MX13" i="3"/>
  <c r="NB13" i="3"/>
  <c r="NF13" i="3"/>
  <c r="NJ13" i="3"/>
  <c r="NN13" i="3"/>
  <c r="NR13" i="3"/>
  <c r="NV13" i="3"/>
  <c r="NZ13" i="3"/>
  <c r="OD13" i="3"/>
  <c r="OH13" i="3"/>
  <c r="OL13" i="3"/>
  <c r="OP13" i="3"/>
  <c r="OT13" i="3"/>
  <c r="OX13" i="3"/>
  <c r="PB13" i="3"/>
  <c r="PF13" i="3"/>
  <c r="PJ13" i="3"/>
  <c r="PN13" i="3"/>
  <c r="PR13" i="3"/>
  <c r="PV13" i="3"/>
  <c r="PZ13" i="3"/>
  <c r="QD13" i="3"/>
  <c r="QH13" i="3"/>
  <c r="QL13" i="3"/>
  <c r="QP13" i="3"/>
  <c r="QT13" i="3"/>
  <c r="QX13" i="3"/>
  <c r="RB13" i="3"/>
  <c r="RF13" i="3"/>
  <c r="RJ13" i="3"/>
  <c r="RN13" i="3"/>
  <c r="RR13" i="3"/>
  <c r="RV13" i="3"/>
  <c r="RZ13" i="3"/>
  <c r="SD13" i="3"/>
  <c r="SH13" i="3"/>
  <c r="SL13" i="3"/>
  <c r="SP13" i="3"/>
  <c r="ST13" i="3"/>
  <c r="SX13" i="3"/>
  <c r="TB13" i="3"/>
  <c r="TF13" i="3"/>
  <c r="TJ13" i="3"/>
  <c r="TN13" i="3"/>
  <c r="TR13" i="3"/>
  <c r="TV13" i="3"/>
  <c r="TZ13" i="3"/>
  <c r="UD13" i="3"/>
  <c r="UH13" i="3"/>
  <c r="UL13" i="3"/>
  <c r="UP13" i="3"/>
  <c r="UT13" i="3"/>
  <c r="UX13" i="3"/>
  <c r="VB13" i="3"/>
  <c r="VF13" i="3"/>
  <c r="VJ13" i="3"/>
  <c r="VN13" i="3"/>
  <c r="VR13" i="3"/>
  <c r="VV13" i="3"/>
  <c r="VZ13" i="3"/>
  <c r="WD13" i="3"/>
  <c r="WH13" i="3"/>
  <c r="WL13" i="3"/>
  <c r="WP13" i="3"/>
  <c r="WT13" i="3"/>
  <c r="WX13" i="3"/>
  <c r="XB13" i="3"/>
  <c r="XF13" i="3"/>
  <c r="XJ13" i="3"/>
  <c r="XN13" i="3"/>
  <c r="XR13" i="3"/>
  <c r="XV13" i="3"/>
  <c r="XZ13" i="3"/>
  <c r="YD13" i="3"/>
  <c r="YH13" i="3"/>
  <c r="YL13" i="3"/>
  <c r="YP13" i="3"/>
  <c r="YT13" i="3"/>
  <c r="YX13" i="3"/>
  <c r="ZB13" i="3"/>
  <c r="ZF13" i="3"/>
  <c r="ZJ13" i="3"/>
  <c r="ZN13" i="3"/>
  <c r="ZR13" i="3"/>
  <c r="ZV13" i="3"/>
  <c r="ZZ13" i="3"/>
  <c r="AAD13" i="3"/>
  <c r="AAH13" i="3"/>
  <c r="AAL13" i="3"/>
  <c r="AAP13" i="3"/>
  <c r="AAT13" i="3"/>
  <c r="HY11" i="3"/>
  <c r="IO11" i="3"/>
  <c r="JE11" i="3"/>
  <c r="JO11" i="3"/>
  <c r="JW11" i="3"/>
  <c r="KE11" i="3"/>
  <c r="KM11" i="3"/>
  <c r="KU11" i="3"/>
  <c r="KY11" i="3"/>
  <c r="LC11" i="3"/>
  <c r="LG11" i="3"/>
  <c r="LK11" i="3"/>
  <c r="LO11" i="3"/>
  <c r="LS11" i="3"/>
  <c r="LW11" i="3"/>
  <c r="MA11" i="3"/>
  <c r="ME11" i="3"/>
  <c r="MI11" i="3"/>
  <c r="MM11" i="3"/>
  <c r="MQ11" i="3"/>
  <c r="MU11" i="3"/>
  <c r="MY11" i="3"/>
  <c r="NC11" i="3"/>
  <c r="NG11" i="3"/>
  <c r="NK11" i="3"/>
  <c r="NO11" i="3"/>
  <c r="NS11" i="3"/>
  <c r="NW11" i="3"/>
  <c r="OA11" i="3"/>
  <c r="OE11" i="3"/>
  <c r="OI11" i="3"/>
  <c r="OM11" i="3"/>
  <c r="OQ11" i="3"/>
  <c r="OU11" i="3"/>
  <c r="OY11" i="3"/>
  <c r="PC11" i="3"/>
  <c r="PG11" i="3"/>
  <c r="PK11" i="3"/>
  <c r="PO11" i="3"/>
  <c r="PS11" i="3"/>
  <c r="PW11" i="3"/>
  <c r="QA11" i="3"/>
  <c r="QE11" i="3"/>
  <c r="QI11" i="3"/>
  <c r="QM11" i="3"/>
  <c r="QQ11" i="3"/>
  <c r="QU11" i="3"/>
  <c r="QY11" i="3"/>
  <c r="RC11" i="3"/>
  <c r="RG11" i="3"/>
  <c r="RK11" i="3"/>
  <c r="RO11" i="3"/>
  <c r="RS11" i="3"/>
  <c r="RW11" i="3"/>
  <c r="SA11" i="3"/>
  <c r="SE11" i="3"/>
  <c r="SI11" i="3"/>
  <c r="SM11" i="3"/>
  <c r="SQ11" i="3"/>
  <c r="SU11" i="3"/>
  <c r="SY11" i="3"/>
  <c r="TC11" i="3"/>
  <c r="TG11" i="3"/>
  <c r="TK11" i="3"/>
  <c r="TO11" i="3"/>
  <c r="TS11" i="3"/>
  <c r="TW11" i="3"/>
  <c r="UA11" i="3"/>
  <c r="UE11" i="3"/>
  <c r="UI11" i="3"/>
  <c r="UM11" i="3"/>
  <c r="UQ11" i="3"/>
  <c r="UU11" i="3"/>
  <c r="UY11" i="3"/>
  <c r="VC11" i="3"/>
  <c r="VG11" i="3"/>
  <c r="VK11" i="3"/>
  <c r="VO11" i="3"/>
  <c r="VS11" i="3"/>
  <c r="VW11" i="3"/>
  <c r="WA11" i="3"/>
  <c r="WE11" i="3"/>
  <c r="WI11" i="3"/>
  <c r="WM11" i="3"/>
  <c r="WQ11" i="3"/>
  <c r="WU11" i="3"/>
  <c r="WY11" i="3"/>
  <c r="XC11" i="3"/>
  <c r="XG11" i="3"/>
  <c r="XK11" i="3"/>
  <c r="XO11" i="3"/>
  <c r="XS11" i="3"/>
  <c r="XW11" i="3"/>
  <c r="YA11" i="3"/>
  <c r="YE11" i="3"/>
  <c r="YI11" i="3"/>
  <c r="YM11" i="3"/>
  <c r="YQ11" i="3"/>
  <c r="YU11" i="3"/>
  <c r="YY11" i="3"/>
  <c r="ZC11" i="3"/>
  <c r="ZG11" i="3"/>
  <c r="ZK11" i="3"/>
  <c r="ZO11" i="3"/>
  <c r="ZS11" i="3"/>
  <c r="ZW11" i="3"/>
  <c r="AAA11" i="3"/>
  <c r="AAE11" i="3"/>
  <c r="AAI11" i="3"/>
  <c r="AAM11" i="3"/>
  <c r="AAQ11" i="3"/>
  <c r="AAU11" i="3"/>
  <c r="AAY11" i="3"/>
  <c r="ABC11" i="3"/>
  <c r="ABG11" i="3"/>
  <c r="ABK11" i="3"/>
  <c r="ABO11" i="3"/>
  <c r="ABS11" i="3"/>
  <c r="ABW11" i="3"/>
  <c r="ACA11" i="3"/>
  <c r="ACE11" i="3"/>
  <c r="ACI11" i="3"/>
  <c r="ACM11" i="3"/>
  <c r="ACQ11" i="3"/>
  <c r="ACU11" i="3"/>
  <c r="ACY11" i="3"/>
  <c r="ADC11" i="3"/>
  <c r="ADG11" i="3"/>
  <c r="ADK11" i="3"/>
  <c r="ADO11" i="3"/>
  <c r="ADS11" i="3"/>
  <c r="ADW11" i="3"/>
  <c r="AEA11" i="3"/>
  <c r="AEE11" i="3"/>
  <c r="AEI11" i="3"/>
  <c r="AEM11" i="3"/>
  <c r="AEQ11" i="3"/>
  <c r="AEU11" i="3"/>
  <c r="AEY11" i="3"/>
  <c r="AFC11" i="3"/>
  <c r="AFG11" i="3"/>
  <c r="AFK11" i="3"/>
  <c r="AFO11" i="3"/>
  <c r="AFS11" i="3"/>
  <c r="AFW11" i="3"/>
  <c r="AGA11" i="3"/>
  <c r="AGE11" i="3"/>
  <c r="AGI11" i="3"/>
  <c r="AGM11" i="3"/>
  <c r="AGQ11" i="3"/>
  <c r="AGU11" i="3"/>
  <c r="AGY11" i="3"/>
  <c r="AHC11" i="3"/>
  <c r="AHG11" i="3"/>
  <c r="AHK11" i="3"/>
  <c r="AHO11" i="3"/>
  <c r="AHS11" i="3"/>
  <c r="AHW11" i="3"/>
  <c r="AIA11" i="3"/>
  <c r="AIE11" i="3"/>
  <c r="AII11" i="3"/>
  <c r="AIM11" i="3"/>
  <c r="AIQ11" i="3"/>
  <c r="AIU11" i="3"/>
  <c r="AIY11" i="3"/>
  <c r="AJC11" i="3"/>
  <c r="AJG11" i="3"/>
  <c r="AJK11" i="3"/>
  <c r="AJO11" i="3"/>
  <c r="AJS11" i="3"/>
  <c r="AJW11" i="3"/>
  <c r="AKA11" i="3"/>
  <c r="AKE11" i="3"/>
  <c r="AKI11" i="3"/>
  <c r="AKM11" i="3"/>
  <c r="AKQ11" i="3"/>
  <c r="AKU11" i="3"/>
  <c r="AKY11" i="3"/>
  <c r="ALC11" i="3"/>
  <c r="ALG11" i="3"/>
  <c r="ALK11" i="3"/>
  <c r="C12" i="3"/>
  <c r="G12" i="3"/>
  <c r="K12" i="3"/>
  <c r="O12" i="3"/>
  <c r="S12" i="3"/>
  <c r="W12" i="3"/>
  <c r="AA12" i="3"/>
  <c r="AE12" i="3"/>
  <c r="AI12" i="3"/>
  <c r="AM12" i="3"/>
  <c r="AQ12" i="3"/>
  <c r="AU12" i="3"/>
  <c r="AY12" i="3"/>
  <c r="BC12" i="3"/>
  <c r="BG12" i="3"/>
  <c r="BK12" i="3"/>
  <c r="BO12" i="3"/>
  <c r="BS12" i="3"/>
  <c r="BW12" i="3"/>
  <c r="CA12" i="3"/>
  <c r="CE12" i="3"/>
  <c r="CI12" i="3"/>
  <c r="CM12" i="3"/>
  <c r="CQ12" i="3"/>
  <c r="CU12" i="3"/>
  <c r="CY12" i="3"/>
  <c r="DC12" i="3"/>
  <c r="DG12" i="3"/>
  <c r="DK12" i="3"/>
  <c r="DO12" i="3"/>
  <c r="DS12" i="3"/>
  <c r="DW12" i="3"/>
  <c r="EA12" i="3"/>
  <c r="EE12" i="3"/>
  <c r="EI12" i="3"/>
  <c r="EM12" i="3"/>
  <c r="EQ12" i="3"/>
  <c r="EU12" i="3"/>
  <c r="EY12" i="3"/>
  <c r="FC12" i="3"/>
  <c r="FG12" i="3"/>
  <c r="FK12" i="3"/>
  <c r="FO12" i="3"/>
  <c r="FS12" i="3"/>
  <c r="FW12" i="3"/>
  <c r="GA12" i="3"/>
  <c r="GE12" i="3"/>
  <c r="GI12" i="3"/>
  <c r="GM12" i="3"/>
  <c r="GQ12" i="3"/>
  <c r="GU12" i="3"/>
  <c r="GY12" i="3"/>
  <c r="HC12" i="3"/>
  <c r="HG12" i="3"/>
  <c r="HK12" i="3"/>
  <c r="HO12" i="3"/>
  <c r="HS12" i="3"/>
  <c r="HW12" i="3"/>
  <c r="IA12" i="3"/>
  <c r="IE12" i="3"/>
  <c r="II12" i="3"/>
  <c r="IM12" i="3"/>
  <c r="IQ12" i="3"/>
  <c r="IU12" i="3"/>
  <c r="IY12" i="3"/>
  <c r="JC12" i="3"/>
  <c r="JG12" i="3"/>
  <c r="JK12" i="3"/>
  <c r="JO12" i="3"/>
  <c r="JS12" i="3"/>
  <c r="JW12" i="3"/>
  <c r="KA12" i="3"/>
  <c r="KE12" i="3"/>
  <c r="KI12" i="3"/>
  <c r="KM12" i="3"/>
  <c r="KQ12" i="3"/>
  <c r="KU12" i="3"/>
  <c r="KY12" i="3"/>
  <c r="LC12" i="3"/>
  <c r="LG12" i="3"/>
  <c r="LK12" i="3"/>
  <c r="LO12" i="3"/>
  <c r="LS12" i="3"/>
  <c r="LW12" i="3"/>
  <c r="MA12" i="3"/>
  <c r="ME12" i="3"/>
  <c r="MI12" i="3"/>
  <c r="MM12" i="3"/>
  <c r="MQ12" i="3"/>
  <c r="MU12" i="3"/>
  <c r="MY12" i="3"/>
  <c r="NC12" i="3"/>
  <c r="NG12" i="3"/>
  <c r="NK12" i="3"/>
  <c r="NO12" i="3"/>
  <c r="NS12" i="3"/>
  <c r="NW12" i="3"/>
  <c r="OA12" i="3"/>
  <c r="OE12" i="3"/>
  <c r="OI12" i="3"/>
  <c r="OM12" i="3"/>
  <c r="OQ12" i="3"/>
  <c r="OU12" i="3"/>
  <c r="OY12" i="3"/>
  <c r="PC12" i="3"/>
  <c r="PG12" i="3"/>
  <c r="PK12" i="3"/>
  <c r="PO12" i="3"/>
  <c r="PS12" i="3"/>
  <c r="PW12" i="3"/>
  <c r="QA12" i="3"/>
  <c r="QE12" i="3"/>
  <c r="QI12" i="3"/>
  <c r="QM12" i="3"/>
  <c r="QQ12" i="3"/>
  <c r="QU12" i="3"/>
  <c r="QY12" i="3"/>
  <c r="RC12" i="3"/>
  <c r="RG12" i="3"/>
  <c r="RK12" i="3"/>
  <c r="RO12" i="3"/>
  <c r="RS12" i="3"/>
  <c r="RW12" i="3"/>
  <c r="SA12" i="3"/>
  <c r="SE12" i="3"/>
  <c r="SI12" i="3"/>
  <c r="SM12" i="3"/>
  <c r="SQ12" i="3"/>
  <c r="SU12" i="3"/>
  <c r="SY12" i="3"/>
  <c r="TC12" i="3"/>
  <c r="TG12" i="3"/>
  <c r="TK12" i="3"/>
  <c r="TO12" i="3"/>
  <c r="TS12" i="3"/>
  <c r="TW12" i="3"/>
  <c r="UA12" i="3"/>
  <c r="UE12" i="3"/>
  <c r="UI12" i="3"/>
  <c r="UM12" i="3"/>
  <c r="UQ12" i="3"/>
  <c r="UU12" i="3"/>
  <c r="UY12" i="3"/>
  <c r="VC12" i="3"/>
  <c r="VG12" i="3"/>
  <c r="VK12" i="3"/>
  <c r="VO12" i="3"/>
  <c r="VS12" i="3"/>
  <c r="VW12" i="3"/>
  <c r="WA12" i="3"/>
  <c r="WE12" i="3"/>
  <c r="WI12" i="3"/>
  <c r="WM12" i="3"/>
  <c r="WQ12" i="3"/>
  <c r="WU12" i="3"/>
  <c r="WY12" i="3"/>
  <c r="XC12" i="3"/>
  <c r="XG12" i="3"/>
  <c r="XK12" i="3"/>
  <c r="XO12" i="3"/>
  <c r="XS12" i="3"/>
  <c r="XW12" i="3"/>
  <c r="YA12" i="3"/>
  <c r="YE12" i="3"/>
  <c r="YI12" i="3"/>
  <c r="YM12" i="3"/>
  <c r="YQ12" i="3"/>
  <c r="YU12" i="3"/>
  <c r="YY12" i="3"/>
  <c r="ZC12" i="3"/>
  <c r="ZG12" i="3"/>
  <c r="ZK12" i="3"/>
  <c r="ZO12" i="3"/>
  <c r="ZS12" i="3"/>
  <c r="ZW12" i="3"/>
  <c r="AAA12" i="3"/>
  <c r="AAE12" i="3"/>
  <c r="AAI12" i="3"/>
  <c r="AAM12" i="3"/>
  <c r="AAQ12" i="3"/>
  <c r="AAU12" i="3"/>
  <c r="AAY12" i="3"/>
  <c r="ABC12" i="3"/>
  <c r="ABG12" i="3"/>
  <c r="ABK12" i="3"/>
  <c r="ABO12" i="3"/>
  <c r="ABS12" i="3"/>
  <c r="ABW12" i="3"/>
  <c r="ACA12" i="3"/>
  <c r="ACE12" i="3"/>
  <c r="ACI12" i="3"/>
  <c r="ACM12" i="3"/>
  <c r="ACQ12" i="3"/>
  <c r="ACU12" i="3"/>
  <c r="ACY12" i="3"/>
  <c r="ADC12" i="3"/>
  <c r="ADG12" i="3"/>
  <c r="ADK12" i="3"/>
  <c r="ADO12" i="3"/>
  <c r="ADS12" i="3"/>
  <c r="ADW12" i="3"/>
  <c r="AEA12" i="3"/>
  <c r="AEE12" i="3"/>
  <c r="AEI12" i="3"/>
  <c r="AEM12" i="3"/>
  <c r="AEQ12" i="3"/>
  <c r="AEU12" i="3"/>
  <c r="AEY12" i="3"/>
  <c r="AFC12" i="3"/>
  <c r="AFG12" i="3"/>
  <c r="AFK12" i="3"/>
  <c r="AFO12" i="3"/>
  <c r="AFS12" i="3"/>
  <c r="AFW12" i="3"/>
  <c r="AGA12" i="3"/>
  <c r="AGE12" i="3"/>
  <c r="AGI12" i="3"/>
  <c r="AGM12" i="3"/>
  <c r="AGQ12" i="3"/>
  <c r="AGU12" i="3"/>
  <c r="AGY12" i="3"/>
  <c r="AHC12" i="3"/>
  <c r="AHG12" i="3"/>
  <c r="AHK12" i="3"/>
  <c r="AHO12" i="3"/>
  <c r="AHS12" i="3"/>
  <c r="AHW12" i="3"/>
  <c r="AIA12" i="3"/>
  <c r="AIE12" i="3"/>
  <c r="AII12" i="3"/>
  <c r="AIM12" i="3"/>
  <c r="AIQ12" i="3"/>
  <c r="AIU12" i="3"/>
  <c r="AIY12" i="3"/>
  <c r="AJC12" i="3"/>
  <c r="AJG12" i="3"/>
  <c r="AJK12" i="3"/>
  <c r="AJO12" i="3"/>
  <c r="AJS12" i="3"/>
  <c r="AJW12" i="3"/>
  <c r="AKA12" i="3"/>
  <c r="AKE12" i="3"/>
  <c r="AKI12" i="3"/>
  <c r="AKM12" i="3"/>
  <c r="AKQ12" i="3"/>
  <c r="AKU12" i="3"/>
  <c r="AKY12" i="3"/>
  <c r="ALC12" i="3"/>
  <c r="ALG12" i="3"/>
  <c r="ALK12" i="3"/>
  <c r="C13" i="3"/>
  <c r="G13" i="3"/>
  <c r="K13" i="3"/>
  <c r="O13" i="3"/>
  <c r="S13" i="3"/>
  <c r="W13" i="3"/>
  <c r="AA13" i="3"/>
  <c r="AE13" i="3"/>
  <c r="AI13" i="3"/>
  <c r="AM13" i="3"/>
  <c r="AQ13" i="3"/>
  <c r="AU13" i="3"/>
  <c r="AY13" i="3"/>
  <c r="BC13" i="3"/>
  <c r="BG13" i="3"/>
  <c r="BK13" i="3"/>
  <c r="BO13" i="3"/>
  <c r="BS13" i="3"/>
  <c r="BW13" i="3"/>
  <c r="CA13" i="3"/>
  <c r="CE13" i="3"/>
  <c r="CI13" i="3"/>
  <c r="CM13" i="3"/>
  <c r="CQ13" i="3"/>
  <c r="CU13" i="3"/>
  <c r="CY13" i="3"/>
  <c r="DC13" i="3"/>
  <c r="DG13" i="3"/>
  <c r="DK13" i="3"/>
  <c r="DO13" i="3"/>
  <c r="DS13" i="3"/>
  <c r="DW13" i="3"/>
  <c r="EA13" i="3"/>
  <c r="EE13" i="3"/>
  <c r="EI13" i="3"/>
  <c r="EM13" i="3"/>
  <c r="EQ13" i="3"/>
  <c r="EU13" i="3"/>
  <c r="EY13" i="3"/>
  <c r="FC13" i="3"/>
  <c r="FG13" i="3"/>
  <c r="FK13" i="3"/>
  <c r="FO13" i="3"/>
  <c r="FS13" i="3"/>
  <c r="FW13" i="3"/>
  <c r="GA13" i="3"/>
  <c r="GE13" i="3"/>
  <c r="GI13" i="3"/>
  <c r="GM13" i="3"/>
  <c r="GQ13" i="3"/>
  <c r="GU13" i="3"/>
  <c r="GY13" i="3"/>
  <c r="HC13" i="3"/>
  <c r="HG13" i="3"/>
  <c r="HK13" i="3"/>
  <c r="HO13" i="3"/>
  <c r="HS13" i="3"/>
  <c r="HW13" i="3"/>
  <c r="IA13" i="3"/>
  <c r="IE13" i="3"/>
  <c r="II13" i="3"/>
  <c r="IM13" i="3"/>
  <c r="IQ13" i="3"/>
  <c r="IU13" i="3"/>
  <c r="IY13" i="3"/>
  <c r="JC13" i="3"/>
  <c r="JG13" i="3"/>
  <c r="JK13" i="3"/>
  <c r="JO13" i="3"/>
  <c r="JS13" i="3"/>
  <c r="JW13" i="3"/>
  <c r="KA13" i="3"/>
  <c r="KE13" i="3"/>
  <c r="KI13" i="3"/>
  <c r="KM13" i="3"/>
  <c r="KQ13" i="3"/>
  <c r="KU13" i="3"/>
  <c r="KY13" i="3"/>
  <c r="LC13" i="3"/>
  <c r="LG13" i="3"/>
  <c r="LK13" i="3"/>
  <c r="LO13" i="3"/>
  <c r="LS13" i="3"/>
  <c r="LW13" i="3"/>
  <c r="MA13" i="3"/>
  <c r="ME13" i="3"/>
  <c r="MI13" i="3"/>
  <c r="MM13" i="3"/>
  <c r="MQ13" i="3"/>
  <c r="MU13" i="3"/>
  <c r="MY13" i="3"/>
  <c r="NC13" i="3"/>
  <c r="NG13" i="3"/>
  <c r="NK13" i="3"/>
  <c r="NO13" i="3"/>
  <c r="NS13" i="3"/>
  <c r="NW13" i="3"/>
  <c r="OA13" i="3"/>
  <c r="OE13" i="3"/>
  <c r="OI13" i="3"/>
  <c r="OM13" i="3"/>
  <c r="OQ13" i="3"/>
  <c r="OU13" i="3"/>
  <c r="OY13" i="3"/>
  <c r="PC13" i="3"/>
  <c r="PG13" i="3"/>
  <c r="PK13" i="3"/>
  <c r="PO13" i="3"/>
  <c r="PS13" i="3"/>
  <c r="PW13" i="3"/>
  <c r="QA13" i="3"/>
  <c r="QE13" i="3"/>
  <c r="QI13" i="3"/>
  <c r="QM13" i="3"/>
  <c r="QQ13" i="3"/>
  <c r="QU13" i="3"/>
  <c r="QY13" i="3"/>
  <c r="RC13" i="3"/>
  <c r="RG13" i="3"/>
  <c r="RK13" i="3"/>
  <c r="RO13" i="3"/>
  <c r="RS13" i="3"/>
  <c r="RW13" i="3"/>
  <c r="SA13" i="3"/>
  <c r="SE13" i="3"/>
  <c r="SI13" i="3"/>
  <c r="SM13" i="3"/>
  <c r="SQ13" i="3"/>
  <c r="SU13" i="3"/>
  <c r="SY13" i="3"/>
  <c r="TC13" i="3"/>
  <c r="TG13" i="3"/>
  <c r="TK13" i="3"/>
  <c r="TO13" i="3"/>
  <c r="TS13" i="3"/>
  <c r="TW13" i="3"/>
  <c r="UA13" i="3"/>
  <c r="UE13" i="3"/>
  <c r="UI13" i="3"/>
  <c r="UM13" i="3"/>
  <c r="UQ13" i="3"/>
  <c r="UU13" i="3"/>
  <c r="UY13" i="3"/>
  <c r="VC13" i="3"/>
  <c r="VG13" i="3"/>
  <c r="VK13" i="3"/>
  <c r="VO13" i="3"/>
  <c r="VS13" i="3"/>
  <c r="VW13" i="3"/>
  <c r="WA13" i="3"/>
  <c r="WE13" i="3"/>
  <c r="WI13" i="3"/>
  <c r="WM13" i="3"/>
  <c r="WQ13" i="3"/>
  <c r="WU13" i="3"/>
  <c r="WY13" i="3"/>
  <c r="XC13" i="3"/>
  <c r="XG13" i="3"/>
  <c r="XK13" i="3"/>
  <c r="XO13" i="3"/>
  <c r="XS13" i="3"/>
  <c r="XW13" i="3"/>
  <c r="YA13" i="3"/>
  <c r="YE13" i="3"/>
  <c r="YI13" i="3"/>
  <c r="YM13" i="3"/>
  <c r="YQ13" i="3"/>
  <c r="YU13" i="3"/>
  <c r="YY13" i="3"/>
  <c r="ZC13" i="3"/>
  <c r="ZG13" i="3"/>
  <c r="ZK13" i="3"/>
  <c r="ZO13" i="3"/>
  <c r="ZS13" i="3"/>
  <c r="ZW13" i="3"/>
  <c r="AAA13" i="3"/>
  <c r="AAE13" i="3"/>
  <c r="AAI13" i="3"/>
  <c r="AAM13" i="3"/>
  <c r="AAQ13" i="3"/>
  <c r="AAU13" i="3"/>
  <c r="AAY13" i="3"/>
  <c r="ABC13" i="3"/>
  <c r="ABG13" i="3"/>
  <c r="ABK13" i="3"/>
  <c r="ABO13" i="3"/>
  <c r="ABS13" i="3"/>
  <c r="ABW13" i="3"/>
  <c r="ACA13" i="3"/>
  <c r="ACE13" i="3"/>
  <c r="ACI13" i="3"/>
  <c r="ACM13" i="3"/>
  <c r="ACQ13" i="3"/>
  <c r="ACU13" i="3"/>
  <c r="ACY13" i="3"/>
  <c r="ADC13" i="3"/>
  <c r="ADG13" i="3"/>
  <c r="ADK13" i="3"/>
  <c r="ADO13" i="3"/>
  <c r="ADS13" i="3"/>
  <c r="ADW13" i="3"/>
  <c r="AEA13" i="3"/>
  <c r="AEE13" i="3"/>
  <c r="AEI13" i="3"/>
  <c r="AEM13" i="3"/>
  <c r="AEQ13" i="3"/>
  <c r="AEU13" i="3"/>
  <c r="AEY13" i="3"/>
  <c r="AFC13" i="3"/>
  <c r="AFG13" i="3"/>
  <c r="AFK13" i="3"/>
  <c r="AFO13" i="3"/>
  <c r="AFS13" i="3"/>
  <c r="AFW13" i="3"/>
  <c r="AGA13" i="3"/>
  <c r="AGE13" i="3"/>
  <c r="AGI13" i="3"/>
  <c r="AGM13" i="3"/>
  <c r="AGQ13" i="3"/>
  <c r="AGU13" i="3"/>
  <c r="AGY13" i="3"/>
  <c r="AHC13" i="3"/>
  <c r="AHG13" i="3"/>
  <c r="AHK13" i="3"/>
  <c r="AHO13" i="3"/>
  <c r="AHS13" i="3"/>
  <c r="AHW13" i="3"/>
  <c r="AIA13" i="3"/>
  <c r="AIE13" i="3"/>
  <c r="AII13" i="3"/>
  <c r="AIM13" i="3"/>
  <c r="AIQ13" i="3"/>
  <c r="AIU13" i="3"/>
  <c r="AIY13" i="3"/>
  <c r="AJC13" i="3"/>
  <c r="AJG13" i="3"/>
  <c r="AJK13" i="3"/>
  <c r="AJO13" i="3"/>
  <c r="AJS13" i="3"/>
  <c r="AJW13" i="3"/>
  <c r="AKA13" i="3"/>
  <c r="AKE13" i="3"/>
  <c r="AKI13" i="3"/>
  <c r="AKM13" i="3"/>
  <c r="AKQ13" i="3"/>
  <c r="AKU13" i="3"/>
  <c r="AKY13" i="3"/>
  <c r="ALC13" i="3"/>
  <c r="ALG13" i="3"/>
  <c r="ALK13" i="3"/>
  <c r="C14" i="3"/>
  <c r="AAX13" i="3"/>
  <c r="ABN13" i="3"/>
  <c r="ACD13" i="3"/>
  <c r="ACT13" i="3"/>
  <c r="ADJ13" i="3"/>
  <c r="ADZ13" i="3"/>
  <c r="AEP13" i="3"/>
  <c r="AFF13" i="3"/>
  <c r="AFV13" i="3"/>
  <c r="AGL13" i="3"/>
  <c r="AHB13" i="3"/>
  <c r="AHR13" i="3"/>
  <c r="AIH13" i="3"/>
  <c r="AIX13" i="3"/>
  <c r="AJN13" i="3"/>
  <c r="AKD13" i="3"/>
  <c r="AKT13" i="3"/>
  <c r="ALB13" i="3"/>
  <c r="ALJ13" i="3"/>
  <c r="F14" i="3"/>
  <c r="K14" i="3"/>
  <c r="P14" i="3"/>
  <c r="V14" i="3"/>
  <c r="AA14" i="3"/>
  <c r="AF14" i="3"/>
  <c r="AL14" i="3"/>
  <c r="AQ14" i="3"/>
  <c r="AV14" i="3"/>
  <c r="BB14" i="3"/>
  <c r="BG14" i="3"/>
  <c r="BL14" i="3"/>
  <c r="BR14" i="3"/>
  <c r="BW14" i="3"/>
  <c r="CB14" i="3"/>
  <c r="CH14" i="3"/>
  <c r="CM14" i="3"/>
  <c r="CR14" i="3"/>
  <c r="CX14" i="3"/>
  <c r="DC14" i="3"/>
  <c r="DH14" i="3"/>
  <c r="DN14" i="3"/>
  <c r="DS14" i="3"/>
  <c r="DX14" i="3"/>
  <c r="ED14" i="3"/>
  <c r="EI14" i="3"/>
  <c r="EN14" i="3"/>
  <c r="ET14" i="3"/>
  <c r="EY14" i="3"/>
  <c r="FD14" i="3"/>
  <c r="FJ14" i="3"/>
  <c r="FO14" i="3"/>
  <c r="FT14" i="3"/>
  <c r="FZ14" i="3"/>
  <c r="GE14" i="3"/>
  <c r="GJ14" i="3"/>
  <c r="GP14" i="3"/>
  <c r="GU14" i="3"/>
  <c r="GZ14" i="3"/>
  <c r="HF14" i="3"/>
  <c r="HK14" i="3"/>
  <c r="HP14" i="3"/>
  <c r="HV14" i="3"/>
  <c r="IA14" i="3"/>
  <c r="IF14" i="3"/>
  <c r="IL14" i="3"/>
  <c r="IQ14" i="3"/>
  <c r="IV14" i="3"/>
  <c r="JB14" i="3"/>
  <c r="JG14" i="3"/>
  <c r="JL14" i="3"/>
  <c r="JR14" i="3"/>
  <c r="JW14" i="3"/>
  <c r="KB14" i="3"/>
  <c r="KH14" i="3"/>
  <c r="KM14" i="3"/>
  <c r="KR14" i="3"/>
  <c r="KX14" i="3"/>
  <c r="LC14" i="3"/>
  <c r="LH14" i="3"/>
  <c r="LN14" i="3"/>
  <c r="LS14" i="3"/>
  <c r="LX14" i="3"/>
  <c r="MD14" i="3"/>
  <c r="MI14" i="3"/>
  <c r="MN14" i="3"/>
  <c r="MT14" i="3"/>
  <c r="MY14" i="3"/>
  <c r="ND14" i="3"/>
  <c r="NJ14" i="3"/>
  <c r="NO14" i="3"/>
  <c r="NT14" i="3"/>
  <c r="NZ14" i="3"/>
  <c r="OE14" i="3"/>
  <c r="OJ14" i="3"/>
  <c r="OP14" i="3"/>
  <c r="OU14" i="3"/>
  <c r="OZ14" i="3"/>
  <c r="PF14" i="3"/>
  <c r="PK14" i="3"/>
  <c r="PP14" i="3"/>
  <c r="PV14" i="3"/>
  <c r="QA14" i="3"/>
  <c r="QF14" i="3"/>
  <c r="QL14" i="3"/>
  <c r="QQ14" i="3"/>
  <c r="QV14" i="3"/>
  <c r="RB14" i="3"/>
  <c r="RG14" i="3"/>
  <c r="RL14" i="3"/>
  <c r="RR14" i="3"/>
  <c r="RW14" i="3"/>
  <c r="SB14" i="3"/>
  <c r="SH14" i="3"/>
  <c r="SM14" i="3"/>
  <c r="SR14" i="3"/>
  <c r="SW14" i="3"/>
  <c r="TA14" i="3"/>
  <c r="TE14" i="3"/>
  <c r="TI14" i="3"/>
  <c r="TM14" i="3"/>
  <c r="TQ14" i="3"/>
  <c r="TU14" i="3"/>
  <c r="TY14" i="3"/>
  <c r="UC14" i="3"/>
  <c r="UG14" i="3"/>
  <c r="UK14" i="3"/>
  <c r="UO14" i="3"/>
  <c r="US14" i="3"/>
  <c r="UW14" i="3"/>
  <c r="VA14" i="3"/>
  <c r="VE14" i="3"/>
  <c r="VI14" i="3"/>
  <c r="VM14" i="3"/>
  <c r="VQ14" i="3"/>
  <c r="VU14" i="3"/>
  <c r="VY14" i="3"/>
  <c r="WC14" i="3"/>
  <c r="WG14" i="3"/>
  <c r="WK14" i="3"/>
  <c r="WO14" i="3"/>
  <c r="WS14" i="3"/>
  <c r="WW14" i="3"/>
  <c r="XA14" i="3"/>
  <c r="XE14" i="3"/>
  <c r="XI14" i="3"/>
  <c r="XM14" i="3"/>
  <c r="XQ14" i="3"/>
  <c r="XU14" i="3"/>
  <c r="XY14" i="3"/>
  <c r="YC14" i="3"/>
  <c r="YG14" i="3"/>
  <c r="YK14" i="3"/>
  <c r="YO14" i="3"/>
  <c r="YS14" i="3"/>
  <c r="YW14" i="3"/>
  <c r="ZA14" i="3"/>
  <c r="ZE14" i="3"/>
  <c r="ZI14" i="3"/>
  <c r="ZM14" i="3"/>
  <c r="ZQ14" i="3"/>
  <c r="ZU14" i="3"/>
  <c r="ZY14" i="3"/>
  <c r="AAC14" i="3"/>
  <c r="AAG14" i="3"/>
  <c r="AAK14" i="3"/>
  <c r="AAO14" i="3"/>
  <c r="AAS14" i="3"/>
  <c r="AAW14" i="3"/>
  <c r="ABA14" i="3"/>
  <c r="ABE14" i="3"/>
  <c r="ABI14" i="3"/>
  <c r="ABM14" i="3"/>
  <c r="ABQ14" i="3"/>
  <c r="ABU14" i="3"/>
  <c r="ABY14" i="3"/>
  <c r="ACC14" i="3"/>
  <c r="ACG14" i="3"/>
  <c r="ACK14" i="3"/>
  <c r="ACO14" i="3"/>
  <c r="ACS14" i="3"/>
  <c r="ACW14" i="3"/>
  <c r="ADA14" i="3"/>
  <c r="ADE14" i="3"/>
  <c r="ADI14" i="3"/>
  <c r="ADM14" i="3"/>
  <c r="ADQ14" i="3"/>
  <c r="ADU14" i="3"/>
  <c r="ADY14" i="3"/>
  <c r="AEC14" i="3"/>
  <c r="AEG14" i="3"/>
  <c r="AEK14" i="3"/>
  <c r="AEO14" i="3"/>
  <c r="AES14" i="3"/>
  <c r="AEW14" i="3"/>
  <c r="AFA14" i="3"/>
  <c r="AFE14" i="3"/>
  <c r="AFI14" i="3"/>
  <c r="AFM14" i="3"/>
  <c r="AFQ14" i="3"/>
  <c r="AFU14" i="3"/>
  <c r="AFY14" i="3"/>
  <c r="AGC14" i="3"/>
  <c r="AGG14" i="3"/>
  <c r="AGK14" i="3"/>
  <c r="AGO14" i="3"/>
  <c r="AGS14" i="3"/>
  <c r="AGW14" i="3"/>
  <c r="AHA14" i="3"/>
  <c r="AHE14" i="3"/>
  <c r="AHI14" i="3"/>
  <c r="AHM14" i="3"/>
  <c r="AHQ14" i="3"/>
  <c r="AHU14" i="3"/>
  <c r="AHY14" i="3"/>
  <c r="AIC14" i="3"/>
  <c r="AIG14" i="3"/>
  <c r="AIK14" i="3"/>
  <c r="AIO14" i="3"/>
  <c r="AIS14" i="3"/>
  <c r="AIW14" i="3"/>
  <c r="AJA14" i="3"/>
  <c r="AJE14" i="3"/>
  <c r="AJI14" i="3"/>
  <c r="AJM14" i="3"/>
  <c r="AJQ14" i="3"/>
  <c r="AJU14" i="3"/>
  <c r="AJY14" i="3"/>
  <c r="AKC14" i="3"/>
  <c r="AKG14" i="3"/>
  <c r="AKK14" i="3"/>
  <c r="AKO14" i="3"/>
  <c r="AKS14" i="3"/>
  <c r="AKW14" i="3"/>
  <c r="ALA14" i="3"/>
  <c r="ALE14" i="3"/>
  <c r="ALI14" i="3"/>
  <c r="ALM14" i="3"/>
  <c r="E15" i="3"/>
  <c r="I15" i="3"/>
  <c r="M15" i="3"/>
  <c r="Q15" i="3"/>
  <c r="U15" i="3"/>
  <c r="Y15" i="3"/>
  <c r="AC15" i="3"/>
  <c r="AG15" i="3"/>
  <c r="AK15" i="3"/>
  <c r="AO15" i="3"/>
  <c r="AS15" i="3"/>
  <c r="AW15" i="3"/>
  <c r="BA15" i="3"/>
  <c r="BE15" i="3"/>
  <c r="BI15" i="3"/>
  <c r="BM15" i="3"/>
  <c r="BQ15" i="3"/>
  <c r="BU15" i="3"/>
  <c r="BY15" i="3"/>
  <c r="CC15" i="3"/>
  <c r="CG15" i="3"/>
  <c r="CK15" i="3"/>
  <c r="CO15" i="3"/>
  <c r="CS15" i="3"/>
  <c r="CW15" i="3"/>
  <c r="DA15" i="3"/>
  <c r="DE15" i="3"/>
  <c r="DI15" i="3"/>
  <c r="DM15" i="3"/>
  <c r="DQ15" i="3"/>
  <c r="DU15" i="3"/>
  <c r="DY15" i="3"/>
  <c r="EC15" i="3"/>
  <c r="EG15" i="3"/>
  <c r="EK15" i="3"/>
  <c r="EO15" i="3"/>
  <c r="ES15" i="3"/>
  <c r="EW15" i="3"/>
  <c r="FA15" i="3"/>
  <c r="FE15" i="3"/>
  <c r="FI15" i="3"/>
  <c r="FM15" i="3"/>
  <c r="FQ15" i="3"/>
  <c r="FU15" i="3"/>
  <c r="FY15" i="3"/>
  <c r="GC15" i="3"/>
  <c r="GG15" i="3"/>
  <c r="GK15" i="3"/>
  <c r="GO15" i="3"/>
  <c r="GS15" i="3"/>
  <c r="GW15" i="3"/>
  <c r="HA15" i="3"/>
  <c r="HE15" i="3"/>
  <c r="HI15" i="3"/>
  <c r="HM15" i="3"/>
  <c r="HQ15" i="3"/>
  <c r="HU15" i="3"/>
  <c r="HY15" i="3"/>
  <c r="IC15" i="3"/>
  <c r="IG15" i="3"/>
  <c r="IK15" i="3"/>
  <c r="IO15" i="3"/>
  <c r="IS15" i="3"/>
  <c r="IW15" i="3"/>
  <c r="JA15" i="3"/>
  <c r="JE15" i="3"/>
  <c r="JI15" i="3"/>
  <c r="JM15" i="3"/>
  <c r="JQ15" i="3"/>
  <c r="JU15" i="3"/>
  <c r="JY15" i="3"/>
  <c r="KC15" i="3"/>
  <c r="KG15" i="3"/>
  <c r="KK15" i="3"/>
  <c r="KO15" i="3"/>
  <c r="KS15" i="3"/>
  <c r="KW15" i="3"/>
  <c r="LA15" i="3"/>
  <c r="LE15" i="3"/>
  <c r="LI15" i="3"/>
  <c r="LM15" i="3"/>
  <c r="LQ15" i="3"/>
  <c r="LU15" i="3"/>
  <c r="LY15" i="3"/>
  <c r="MC15" i="3"/>
  <c r="MG15" i="3"/>
  <c r="MK15" i="3"/>
  <c r="MO15" i="3"/>
  <c r="MS15" i="3"/>
  <c r="MW15" i="3"/>
  <c r="NA15" i="3"/>
  <c r="NE15" i="3"/>
  <c r="NI15" i="3"/>
  <c r="NM15" i="3"/>
  <c r="NQ15" i="3"/>
  <c r="NU15" i="3"/>
  <c r="NY15" i="3"/>
  <c r="OC15" i="3"/>
  <c r="OG15" i="3"/>
  <c r="OK15" i="3"/>
  <c r="OO15" i="3"/>
  <c r="OS15" i="3"/>
  <c r="OW15" i="3"/>
  <c r="PA15" i="3"/>
  <c r="PE15" i="3"/>
  <c r="PI15" i="3"/>
  <c r="PM15" i="3"/>
  <c r="PQ15" i="3"/>
  <c r="PU15" i="3"/>
  <c r="PY15" i="3"/>
  <c r="QC15" i="3"/>
  <c r="QG15" i="3"/>
  <c r="QK15" i="3"/>
  <c r="QO15" i="3"/>
  <c r="QS15" i="3"/>
  <c r="QW15" i="3"/>
  <c r="RA15" i="3"/>
  <c r="RE15" i="3"/>
  <c r="RI15" i="3"/>
  <c r="RM15" i="3"/>
  <c r="RQ15" i="3"/>
  <c r="RU15" i="3"/>
  <c r="RY15" i="3"/>
  <c r="SC15" i="3"/>
  <c r="SG15" i="3"/>
  <c r="SK15" i="3"/>
  <c r="SO15" i="3"/>
  <c r="SS15" i="3"/>
  <c r="SW15" i="3"/>
  <c r="TA15" i="3"/>
  <c r="TE15" i="3"/>
  <c r="TI15" i="3"/>
  <c r="TM15" i="3"/>
  <c r="TQ15" i="3"/>
  <c r="TU15" i="3"/>
  <c r="TY15" i="3"/>
  <c r="UC15" i="3"/>
  <c r="UG15" i="3"/>
  <c r="UK15" i="3"/>
  <c r="UO15" i="3"/>
  <c r="US15" i="3"/>
  <c r="UW15" i="3"/>
  <c r="VA15" i="3"/>
  <c r="VE15" i="3"/>
  <c r="VI15" i="3"/>
  <c r="VM15" i="3"/>
  <c r="VQ15" i="3"/>
  <c r="VU15" i="3"/>
  <c r="VY15" i="3"/>
  <c r="WC15" i="3"/>
  <c r="WG15" i="3"/>
  <c r="WK15" i="3"/>
  <c r="WO15" i="3"/>
  <c r="WS15" i="3"/>
  <c r="WW15" i="3"/>
  <c r="XA15" i="3"/>
  <c r="XE15" i="3"/>
  <c r="XI15" i="3"/>
  <c r="XM15" i="3"/>
  <c r="XQ15" i="3"/>
  <c r="XU15" i="3"/>
  <c r="XY15" i="3"/>
  <c r="YC15" i="3"/>
  <c r="YG15" i="3"/>
  <c r="YK15" i="3"/>
  <c r="YO15" i="3"/>
  <c r="YS15" i="3"/>
  <c r="YW15" i="3"/>
  <c r="ZA15" i="3"/>
  <c r="ZE15" i="3"/>
  <c r="ZI15" i="3"/>
  <c r="ZM15" i="3"/>
  <c r="ZQ15" i="3"/>
  <c r="ZU15" i="3"/>
  <c r="ZY15" i="3"/>
  <c r="AAC15" i="3"/>
  <c r="AAG15" i="3"/>
  <c r="AAK15" i="3"/>
  <c r="AAO15" i="3"/>
  <c r="AAS15" i="3"/>
  <c r="AAW15" i="3"/>
  <c r="ABA15" i="3"/>
  <c r="ABE15" i="3"/>
  <c r="ABI15" i="3"/>
  <c r="ABM15" i="3"/>
  <c r="ABQ15" i="3"/>
  <c r="ABU15" i="3"/>
  <c r="ABY15" i="3"/>
  <c r="ACC15" i="3"/>
  <c r="ACG15" i="3"/>
  <c r="ACK15" i="3"/>
  <c r="ACO15" i="3"/>
  <c r="ACS15" i="3"/>
  <c r="ACW15" i="3"/>
  <c r="ADA15" i="3"/>
  <c r="ADE15" i="3"/>
  <c r="ADI15" i="3"/>
  <c r="ADM15" i="3"/>
  <c r="ADQ15" i="3"/>
  <c r="ADU15" i="3"/>
  <c r="ADY15" i="3"/>
  <c r="AEC15" i="3"/>
  <c r="AEG15" i="3"/>
  <c r="AEK15" i="3"/>
  <c r="AEO15" i="3"/>
  <c r="AES15" i="3"/>
  <c r="AEW15" i="3"/>
  <c r="AFA15" i="3"/>
  <c r="AFE15" i="3"/>
  <c r="AFI15" i="3"/>
  <c r="AFM15" i="3"/>
  <c r="AFQ15" i="3"/>
  <c r="AFU15" i="3"/>
  <c r="AFY15" i="3"/>
  <c r="AGC15" i="3"/>
  <c r="AGG15" i="3"/>
  <c r="AGK15" i="3"/>
  <c r="AGO15" i="3"/>
  <c r="AGS15" i="3"/>
  <c r="AGW15" i="3"/>
  <c r="AHA15" i="3"/>
  <c r="AHE15" i="3"/>
  <c r="AHI15" i="3"/>
  <c r="AHM15" i="3"/>
  <c r="AHQ15" i="3"/>
  <c r="AHU15" i="3"/>
  <c r="AHY15" i="3"/>
  <c r="AIC15" i="3"/>
  <c r="AIG15" i="3"/>
  <c r="AIK15" i="3"/>
  <c r="AIO15" i="3"/>
  <c r="AIS15" i="3"/>
  <c r="AIW15" i="3"/>
  <c r="AJA15" i="3"/>
  <c r="AJE15" i="3"/>
  <c r="AJI15" i="3"/>
  <c r="AJM15" i="3"/>
  <c r="AJQ15" i="3"/>
  <c r="AJU15" i="3"/>
  <c r="AJY15" i="3"/>
  <c r="AKC15" i="3"/>
  <c r="AKG15" i="3"/>
  <c r="AKK15" i="3"/>
  <c r="AKO15" i="3"/>
  <c r="AKS15" i="3"/>
  <c r="AKW15" i="3"/>
  <c r="ALA15" i="3"/>
  <c r="ALE15" i="3"/>
  <c r="ALI15" i="3"/>
  <c r="ALM15" i="3"/>
  <c r="E16" i="3"/>
  <c r="I16" i="3"/>
  <c r="M16" i="3"/>
  <c r="Q16" i="3"/>
  <c r="U16" i="3"/>
  <c r="Y16" i="3"/>
  <c r="AC16" i="3"/>
  <c r="AG16" i="3"/>
  <c r="AK16" i="3"/>
  <c r="AO16" i="3"/>
  <c r="AS16" i="3"/>
  <c r="AW16" i="3"/>
  <c r="BA16" i="3"/>
  <c r="BE16" i="3"/>
  <c r="BI16" i="3"/>
  <c r="BM16" i="3"/>
  <c r="BQ16" i="3"/>
  <c r="BU16" i="3"/>
  <c r="BY16" i="3"/>
  <c r="CC16" i="3"/>
  <c r="CG16" i="3"/>
  <c r="CK16" i="3"/>
  <c r="CO16" i="3"/>
  <c r="CS16" i="3"/>
  <c r="CW16" i="3"/>
  <c r="DA16" i="3"/>
  <c r="DE16" i="3"/>
  <c r="DI16" i="3"/>
  <c r="DM16" i="3"/>
  <c r="DQ16" i="3"/>
  <c r="DU16" i="3"/>
  <c r="DY16" i="3"/>
  <c r="EC16" i="3"/>
  <c r="EG16" i="3"/>
  <c r="EK16" i="3"/>
  <c r="EO16" i="3"/>
  <c r="ES16" i="3"/>
  <c r="EW16" i="3"/>
  <c r="FA16" i="3"/>
  <c r="FE16" i="3"/>
  <c r="FI16" i="3"/>
  <c r="FM16" i="3"/>
  <c r="FQ16" i="3"/>
  <c r="FU16" i="3"/>
  <c r="FY16" i="3"/>
  <c r="GC16" i="3"/>
  <c r="GG16" i="3"/>
  <c r="GK16" i="3"/>
  <c r="GO16" i="3"/>
  <c r="GS16" i="3"/>
  <c r="GW16" i="3"/>
  <c r="HA16" i="3"/>
  <c r="HE16" i="3"/>
  <c r="HI16" i="3"/>
  <c r="HM16" i="3"/>
  <c r="HQ16" i="3"/>
  <c r="HU16" i="3"/>
  <c r="HY16" i="3"/>
  <c r="IC16" i="3"/>
  <c r="IG16" i="3"/>
  <c r="IK16" i="3"/>
  <c r="IO16" i="3"/>
  <c r="IS16" i="3"/>
  <c r="IW16" i="3"/>
  <c r="JA16" i="3"/>
  <c r="JE16" i="3"/>
  <c r="JI16" i="3"/>
  <c r="JM16" i="3"/>
  <c r="JQ16" i="3"/>
  <c r="JU16" i="3"/>
  <c r="JY16" i="3"/>
  <c r="KC16" i="3"/>
  <c r="KG16" i="3"/>
  <c r="KK16" i="3"/>
  <c r="KO16" i="3"/>
  <c r="KS16" i="3"/>
  <c r="KW16" i="3"/>
  <c r="LA16" i="3"/>
  <c r="LE16" i="3"/>
  <c r="LI16" i="3"/>
  <c r="LM16" i="3"/>
  <c r="LQ16" i="3"/>
  <c r="LU16" i="3"/>
  <c r="LY16" i="3"/>
  <c r="MC16" i="3"/>
  <c r="MG16" i="3"/>
  <c r="MK16" i="3"/>
  <c r="MO16" i="3"/>
  <c r="MS16" i="3"/>
  <c r="MW16" i="3"/>
  <c r="NA16" i="3"/>
  <c r="NE16" i="3"/>
  <c r="NI16" i="3"/>
  <c r="NM16" i="3"/>
  <c r="NQ16" i="3"/>
  <c r="NU16" i="3"/>
  <c r="NY16" i="3"/>
  <c r="OC16" i="3"/>
  <c r="OG16" i="3"/>
  <c r="OK16" i="3"/>
  <c r="OO16" i="3"/>
  <c r="OS16" i="3"/>
  <c r="OW16" i="3"/>
  <c r="PA16" i="3"/>
  <c r="PE16" i="3"/>
  <c r="PI16" i="3"/>
  <c r="PM16" i="3"/>
  <c r="PQ16" i="3"/>
  <c r="PU16" i="3"/>
  <c r="PY16" i="3"/>
  <c r="QC16" i="3"/>
  <c r="QG16" i="3"/>
  <c r="QK16" i="3"/>
  <c r="QO16" i="3"/>
  <c r="QS16" i="3"/>
  <c r="QW16" i="3"/>
  <c r="RA16" i="3"/>
  <c r="RE16" i="3"/>
  <c r="RI16" i="3"/>
  <c r="RM16" i="3"/>
  <c r="RQ16" i="3"/>
  <c r="RU16" i="3"/>
  <c r="RY16" i="3"/>
  <c r="SC16" i="3"/>
  <c r="SG16" i="3"/>
  <c r="SK16" i="3"/>
  <c r="SO16" i="3"/>
  <c r="SS16" i="3"/>
  <c r="SW16" i="3"/>
  <c r="TA16" i="3"/>
  <c r="TE16" i="3"/>
  <c r="TI16" i="3"/>
  <c r="TM16" i="3"/>
  <c r="TQ16" i="3"/>
  <c r="TU16" i="3"/>
  <c r="TY16" i="3"/>
  <c r="UC16" i="3"/>
  <c r="UG16" i="3"/>
  <c r="UK16" i="3"/>
  <c r="UO16" i="3"/>
  <c r="US16" i="3"/>
  <c r="UW16" i="3"/>
  <c r="VA16" i="3"/>
  <c r="VE16" i="3"/>
  <c r="VI16" i="3"/>
  <c r="VM16" i="3"/>
  <c r="VQ16" i="3"/>
  <c r="VU16" i="3"/>
  <c r="VY16" i="3"/>
  <c r="WC16" i="3"/>
  <c r="WG16" i="3"/>
  <c r="WK16" i="3"/>
  <c r="WO16" i="3"/>
  <c r="WS16" i="3"/>
  <c r="WW16" i="3"/>
  <c r="XA16" i="3"/>
  <c r="XE16" i="3"/>
  <c r="XI16" i="3"/>
  <c r="XM16" i="3"/>
  <c r="XQ16" i="3"/>
  <c r="XU16" i="3"/>
  <c r="XY16" i="3"/>
  <c r="YC16" i="3"/>
  <c r="YG16" i="3"/>
  <c r="YK16" i="3"/>
  <c r="YO16" i="3"/>
  <c r="YS16" i="3"/>
  <c r="YW16" i="3"/>
  <c r="ZA16" i="3"/>
  <c r="ZE16" i="3"/>
  <c r="ZI16" i="3"/>
  <c r="ZM16" i="3"/>
  <c r="ZQ16" i="3"/>
  <c r="ZU16" i="3"/>
  <c r="ZY16" i="3"/>
  <c r="AAC16" i="3"/>
  <c r="AAG16" i="3"/>
  <c r="AAK16" i="3"/>
  <c r="AAO16" i="3"/>
  <c r="AAS16" i="3"/>
  <c r="AAW16" i="3"/>
  <c r="ABA16" i="3"/>
  <c r="ABE16" i="3"/>
  <c r="ABI16" i="3"/>
  <c r="ABM16" i="3"/>
  <c r="ABQ16" i="3"/>
  <c r="ABU16" i="3"/>
  <c r="ABY16" i="3"/>
  <c r="ACC16" i="3"/>
  <c r="ACG16" i="3"/>
  <c r="ACK16" i="3"/>
  <c r="ACO16" i="3"/>
  <c r="ACS16" i="3"/>
  <c r="ACW16" i="3"/>
  <c r="ADA16" i="3"/>
  <c r="ABB13" i="3"/>
  <c r="ABR13" i="3"/>
  <c r="ACH13" i="3"/>
  <c r="ACX13" i="3"/>
  <c r="ADN13" i="3"/>
  <c r="AED13" i="3"/>
  <c r="AET13" i="3"/>
  <c r="AFJ13" i="3"/>
  <c r="AFZ13" i="3"/>
  <c r="AGP13" i="3"/>
  <c r="AHF13" i="3"/>
  <c r="AHV13" i="3"/>
  <c r="AIL13" i="3"/>
  <c r="AJB13" i="3"/>
  <c r="AJR13" i="3"/>
  <c r="AKH13" i="3"/>
  <c r="AKV13" i="3"/>
  <c r="ALD13" i="3"/>
  <c r="ALL13" i="3"/>
  <c r="G14" i="3"/>
  <c r="L14" i="3"/>
  <c r="R14" i="3"/>
  <c r="W14" i="3"/>
  <c r="AB14" i="3"/>
  <c r="AH14" i="3"/>
  <c r="AM14" i="3"/>
  <c r="AR14" i="3"/>
  <c r="AX14" i="3"/>
  <c r="BC14" i="3"/>
  <c r="BH14" i="3"/>
  <c r="BN14" i="3"/>
  <c r="BS14" i="3"/>
  <c r="BX14" i="3"/>
  <c r="CD14" i="3"/>
  <c r="CD33" i="3" s="1"/>
  <c r="CI14" i="3"/>
  <c r="CN14" i="3"/>
  <c r="CT14" i="3"/>
  <c r="CY14" i="3"/>
  <c r="DD14" i="3"/>
  <c r="DJ14" i="3"/>
  <c r="DO14" i="3"/>
  <c r="DT14" i="3"/>
  <c r="DZ14" i="3"/>
  <c r="EE14" i="3"/>
  <c r="EJ14" i="3"/>
  <c r="EP14" i="3"/>
  <c r="EU14" i="3"/>
  <c r="EZ14" i="3"/>
  <c r="FF14" i="3"/>
  <c r="FK14" i="3"/>
  <c r="FP14" i="3"/>
  <c r="FV14" i="3"/>
  <c r="GA14" i="3"/>
  <c r="GF14" i="3"/>
  <c r="GL14" i="3"/>
  <c r="GQ14" i="3"/>
  <c r="GV14" i="3"/>
  <c r="HB14" i="3"/>
  <c r="HG14" i="3"/>
  <c r="HL14" i="3"/>
  <c r="HR14" i="3"/>
  <c r="HW14" i="3"/>
  <c r="IB14" i="3"/>
  <c r="IH14" i="3"/>
  <c r="IM14" i="3"/>
  <c r="IR14" i="3"/>
  <c r="IX14" i="3"/>
  <c r="JC14" i="3"/>
  <c r="JH14" i="3"/>
  <c r="JN14" i="3"/>
  <c r="JS14" i="3"/>
  <c r="JX14" i="3"/>
  <c r="KD14" i="3"/>
  <c r="KI14" i="3"/>
  <c r="KN14" i="3"/>
  <c r="KT14" i="3"/>
  <c r="KY14" i="3"/>
  <c r="LD14" i="3"/>
  <c r="LJ14" i="3"/>
  <c r="LO14" i="3"/>
  <c r="LT14" i="3"/>
  <c r="LZ14" i="3"/>
  <c r="ME14" i="3"/>
  <c r="MJ14" i="3"/>
  <c r="MP14" i="3"/>
  <c r="MU14" i="3"/>
  <c r="MZ14" i="3"/>
  <c r="NF14" i="3"/>
  <c r="NK14" i="3"/>
  <c r="NP14" i="3"/>
  <c r="NV14" i="3"/>
  <c r="OA14" i="3"/>
  <c r="OF14" i="3"/>
  <c r="OL14" i="3"/>
  <c r="OQ14" i="3"/>
  <c r="OV14" i="3"/>
  <c r="PB14" i="3"/>
  <c r="PG14" i="3"/>
  <c r="PL14" i="3"/>
  <c r="PR14" i="3"/>
  <c r="PW14" i="3"/>
  <c r="QB14" i="3"/>
  <c r="QH14" i="3"/>
  <c r="QM14" i="3"/>
  <c r="QR14" i="3"/>
  <c r="QX14" i="3"/>
  <c r="RC14" i="3"/>
  <c r="RH14" i="3"/>
  <c r="RN14" i="3"/>
  <c r="RS14" i="3"/>
  <c r="RX14" i="3"/>
  <c r="SD14" i="3"/>
  <c r="SI14" i="3"/>
  <c r="SN14" i="3"/>
  <c r="ST14" i="3"/>
  <c r="SX14" i="3"/>
  <c r="TB14" i="3"/>
  <c r="TF14" i="3"/>
  <c r="TJ14" i="3"/>
  <c r="TN14" i="3"/>
  <c r="TR14" i="3"/>
  <c r="TV14" i="3"/>
  <c r="TZ14" i="3"/>
  <c r="UD14" i="3"/>
  <c r="UH14" i="3"/>
  <c r="UL14" i="3"/>
  <c r="UP14" i="3"/>
  <c r="UT14" i="3"/>
  <c r="UX14" i="3"/>
  <c r="VB14" i="3"/>
  <c r="VF14" i="3"/>
  <c r="VJ14" i="3"/>
  <c r="VN14" i="3"/>
  <c r="VR14" i="3"/>
  <c r="VV14" i="3"/>
  <c r="VZ14" i="3"/>
  <c r="WD14" i="3"/>
  <c r="WH14" i="3"/>
  <c r="WL14" i="3"/>
  <c r="WP14" i="3"/>
  <c r="WT14" i="3"/>
  <c r="WX14" i="3"/>
  <c r="XB14" i="3"/>
  <c r="XF14" i="3"/>
  <c r="XJ14" i="3"/>
  <c r="XN14" i="3"/>
  <c r="XR14" i="3"/>
  <c r="XV14" i="3"/>
  <c r="XZ14" i="3"/>
  <c r="YD14" i="3"/>
  <c r="YH14" i="3"/>
  <c r="YL14" i="3"/>
  <c r="YP14" i="3"/>
  <c r="YT14" i="3"/>
  <c r="YX14" i="3"/>
  <c r="ZB14" i="3"/>
  <c r="ZF14" i="3"/>
  <c r="ZJ14" i="3"/>
  <c r="ZN14" i="3"/>
  <c r="ZR14" i="3"/>
  <c r="ZV14" i="3"/>
  <c r="ZZ14" i="3"/>
  <c r="AAD14" i="3"/>
  <c r="AAH14" i="3"/>
  <c r="AAL14" i="3"/>
  <c r="AAP14" i="3"/>
  <c r="AAT14" i="3"/>
  <c r="AAX14" i="3"/>
  <c r="ABB14" i="3"/>
  <c r="ABF14" i="3"/>
  <c r="ABJ14" i="3"/>
  <c r="ABN14" i="3"/>
  <c r="ABR14" i="3"/>
  <c r="ABV14" i="3"/>
  <c r="ABZ14" i="3"/>
  <c r="ACD14" i="3"/>
  <c r="ACH14" i="3"/>
  <c r="ACL14" i="3"/>
  <c r="ACP14" i="3"/>
  <c r="ACT14" i="3"/>
  <c r="ACX14" i="3"/>
  <c r="ADB14" i="3"/>
  <c r="ADF14" i="3"/>
  <c r="ADJ14" i="3"/>
  <c r="ADN14" i="3"/>
  <c r="ADR14" i="3"/>
  <c r="ADV14" i="3"/>
  <c r="ADZ14" i="3"/>
  <c r="AED14" i="3"/>
  <c r="AEH14" i="3"/>
  <c r="AEL14" i="3"/>
  <c r="AEP14" i="3"/>
  <c r="AET14" i="3"/>
  <c r="AEX14" i="3"/>
  <c r="AFB14" i="3"/>
  <c r="AFF14" i="3"/>
  <c r="AFJ14" i="3"/>
  <c r="AFN14" i="3"/>
  <c r="AFR14" i="3"/>
  <c r="AFV14" i="3"/>
  <c r="AFZ14" i="3"/>
  <c r="AGD14" i="3"/>
  <c r="AGH14" i="3"/>
  <c r="AGL14" i="3"/>
  <c r="AGP14" i="3"/>
  <c r="AGT14" i="3"/>
  <c r="AGX14" i="3"/>
  <c r="AHB14" i="3"/>
  <c r="AHF14" i="3"/>
  <c r="AHJ14" i="3"/>
  <c r="AHN14" i="3"/>
  <c r="AHR14" i="3"/>
  <c r="AHV14" i="3"/>
  <c r="AHZ14" i="3"/>
  <c r="AID14" i="3"/>
  <c r="AIH14" i="3"/>
  <c r="AIL14" i="3"/>
  <c r="AIP14" i="3"/>
  <c r="AIT14" i="3"/>
  <c r="AIX14" i="3"/>
  <c r="AJB14" i="3"/>
  <c r="AJF14" i="3"/>
  <c r="AJJ14" i="3"/>
  <c r="AJN14" i="3"/>
  <c r="AJR14" i="3"/>
  <c r="AJV14" i="3"/>
  <c r="AJZ14" i="3"/>
  <c r="AKD14" i="3"/>
  <c r="AKH14" i="3"/>
  <c r="AKL14" i="3"/>
  <c r="AKP14" i="3"/>
  <c r="AKT14" i="3"/>
  <c r="AKX14" i="3"/>
  <c r="ALB14" i="3"/>
  <c r="ALF14" i="3"/>
  <c r="ALJ14" i="3"/>
  <c r="B15" i="3"/>
  <c r="F15" i="3"/>
  <c r="J15" i="3"/>
  <c r="N15" i="3"/>
  <c r="R15" i="3"/>
  <c r="V15" i="3"/>
  <c r="Z15" i="3"/>
  <c r="AD15" i="3"/>
  <c r="AH15" i="3"/>
  <c r="AL15" i="3"/>
  <c r="AP15" i="3"/>
  <c r="AT15" i="3"/>
  <c r="AX15" i="3"/>
  <c r="BB15" i="3"/>
  <c r="BF15" i="3"/>
  <c r="BJ15" i="3"/>
  <c r="BN15" i="3"/>
  <c r="BR15" i="3"/>
  <c r="BV15" i="3"/>
  <c r="BZ15" i="3"/>
  <c r="CD15" i="3"/>
  <c r="CH15" i="3"/>
  <c r="CL15" i="3"/>
  <c r="CP15" i="3"/>
  <c r="CT15" i="3"/>
  <c r="CX15" i="3"/>
  <c r="DB15" i="3"/>
  <c r="DF15" i="3"/>
  <c r="DJ15" i="3"/>
  <c r="DN15" i="3"/>
  <c r="DR15" i="3"/>
  <c r="DV15" i="3"/>
  <c r="DZ15" i="3"/>
  <c r="ED15" i="3"/>
  <c r="EH15" i="3"/>
  <c r="EL15" i="3"/>
  <c r="EP15" i="3"/>
  <c r="ET15" i="3"/>
  <c r="EX15" i="3"/>
  <c r="FB15" i="3"/>
  <c r="FF15" i="3"/>
  <c r="FJ15" i="3"/>
  <c r="FN15" i="3"/>
  <c r="FR15" i="3"/>
  <c r="FV15" i="3"/>
  <c r="FZ15" i="3"/>
  <c r="GD15" i="3"/>
  <c r="GH15" i="3"/>
  <c r="GL15" i="3"/>
  <c r="GP15" i="3"/>
  <c r="GT15" i="3"/>
  <c r="GX15" i="3"/>
  <c r="HB15" i="3"/>
  <c r="HF15" i="3"/>
  <c r="HJ15" i="3"/>
  <c r="HN15" i="3"/>
  <c r="HR15" i="3"/>
  <c r="HV15" i="3"/>
  <c r="HZ15" i="3"/>
  <c r="ID15" i="3"/>
  <c r="IH15" i="3"/>
  <c r="IL15" i="3"/>
  <c r="IP15" i="3"/>
  <c r="IT15" i="3"/>
  <c r="IX15" i="3"/>
  <c r="JB15" i="3"/>
  <c r="JF15" i="3"/>
  <c r="JJ15" i="3"/>
  <c r="JN15" i="3"/>
  <c r="JR15" i="3"/>
  <c r="JV15" i="3"/>
  <c r="JZ15" i="3"/>
  <c r="KD15" i="3"/>
  <c r="KH15" i="3"/>
  <c r="KL15" i="3"/>
  <c r="KP15" i="3"/>
  <c r="KT15" i="3"/>
  <c r="KX15" i="3"/>
  <c r="LB15" i="3"/>
  <c r="LF15" i="3"/>
  <c r="LJ15" i="3"/>
  <c r="LN15" i="3"/>
  <c r="LR15" i="3"/>
  <c r="LV15" i="3"/>
  <c r="LZ15" i="3"/>
  <c r="MD15" i="3"/>
  <c r="MH15" i="3"/>
  <c r="ML15" i="3"/>
  <c r="MP15" i="3"/>
  <c r="MT15" i="3"/>
  <c r="MX15" i="3"/>
  <c r="NB15" i="3"/>
  <c r="NF15" i="3"/>
  <c r="NJ15" i="3"/>
  <c r="NN15" i="3"/>
  <c r="NR15" i="3"/>
  <c r="NV15" i="3"/>
  <c r="NZ15" i="3"/>
  <c r="OD15" i="3"/>
  <c r="OH15" i="3"/>
  <c r="OL15" i="3"/>
  <c r="OP15" i="3"/>
  <c r="OT15" i="3"/>
  <c r="OX15" i="3"/>
  <c r="PB15" i="3"/>
  <c r="PF15" i="3"/>
  <c r="PJ15" i="3"/>
  <c r="PN15" i="3"/>
  <c r="PR15" i="3"/>
  <c r="PV15" i="3"/>
  <c r="PZ15" i="3"/>
  <c r="QD15" i="3"/>
  <c r="QH15" i="3"/>
  <c r="QL15" i="3"/>
  <c r="QP15" i="3"/>
  <c r="QT15" i="3"/>
  <c r="QX15" i="3"/>
  <c r="RB15" i="3"/>
  <c r="RF15" i="3"/>
  <c r="RJ15" i="3"/>
  <c r="RN15" i="3"/>
  <c r="RR15" i="3"/>
  <c r="RV15" i="3"/>
  <c r="RZ15" i="3"/>
  <c r="SD15" i="3"/>
  <c r="SH15" i="3"/>
  <c r="SL15" i="3"/>
  <c r="SP15" i="3"/>
  <c r="ST15" i="3"/>
  <c r="SX15" i="3"/>
  <c r="TB15" i="3"/>
  <c r="TF15" i="3"/>
  <c r="TJ15" i="3"/>
  <c r="TN15" i="3"/>
  <c r="TR15" i="3"/>
  <c r="TV15" i="3"/>
  <c r="TZ15" i="3"/>
  <c r="UD15" i="3"/>
  <c r="UH15" i="3"/>
  <c r="UL15" i="3"/>
  <c r="UP15" i="3"/>
  <c r="UT15" i="3"/>
  <c r="UX15" i="3"/>
  <c r="VB15" i="3"/>
  <c r="VF15" i="3"/>
  <c r="VJ15" i="3"/>
  <c r="VN15" i="3"/>
  <c r="VR15" i="3"/>
  <c r="VV15" i="3"/>
  <c r="VZ15" i="3"/>
  <c r="WD15" i="3"/>
  <c r="WH15" i="3"/>
  <c r="WL15" i="3"/>
  <c r="WP15" i="3"/>
  <c r="WT15" i="3"/>
  <c r="WX15" i="3"/>
  <c r="XB15" i="3"/>
  <c r="XF15" i="3"/>
  <c r="XJ15" i="3"/>
  <c r="XN15" i="3"/>
  <c r="XR15" i="3"/>
  <c r="XV15" i="3"/>
  <c r="XZ15" i="3"/>
  <c r="YD15" i="3"/>
  <c r="YH15" i="3"/>
  <c r="YL15" i="3"/>
  <c r="YP15" i="3"/>
  <c r="YT15" i="3"/>
  <c r="YX15" i="3"/>
  <c r="ZB15" i="3"/>
  <c r="ZF15" i="3"/>
  <c r="ZJ15" i="3"/>
  <c r="ZN15" i="3"/>
  <c r="ZR15" i="3"/>
  <c r="ZV15" i="3"/>
  <c r="ZZ15" i="3"/>
  <c r="AAD15" i="3"/>
  <c r="AAH15" i="3"/>
  <c r="AAL15" i="3"/>
  <c r="AAP15" i="3"/>
  <c r="AAT15" i="3"/>
  <c r="AAX15" i="3"/>
  <c r="ABB15" i="3"/>
  <c r="ABF15" i="3"/>
  <c r="ABJ15" i="3"/>
  <c r="ABN15" i="3"/>
  <c r="ABR15" i="3"/>
  <c r="ABV15" i="3"/>
  <c r="ABZ15" i="3"/>
  <c r="ACD15" i="3"/>
  <c r="ACH15" i="3"/>
  <c r="ACL15" i="3"/>
  <c r="ACP15" i="3"/>
  <c r="ACT15" i="3"/>
  <c r="ACX15" i="3"/>
  <c r="ADB15" i="3"/>
  <c r="ADF15" i="3"/>
  <c r="ADJ15" i="3"/>
  <c r="ADN15" i="3"/>
  <c r="ADR15" i="3"/>
  <c r="ADV15" i="3"/>
  <c r="ADZ15" i="3"/>
  <c r="AED15" i="3"/>
  <c r="AEH15" i="3"/>
  <c r="AEL15" i="3"/>
  <c r="AEP15" i="3"/>
  <c r="AET15" i="3"/>
  <c r="AEX15" i="3"/>
  <c r="AFB15" i="3"/>
  <c r="AFF15" i="3"/>
  <c r="AFJ15" i="3"/>
  <c r="AFN15" i="3"/>
  <c r="AFR15" i="3"/>
  <c r="AFV15" i="3"/>
  <c r="AFZ15" i="3"/>
  <c r="AGD15" i="3"/>
  <c r="AGH15" i="3"/>
  <c r="AGL15" i="3"/>
  <c r="AGP15" i="3"/>
  <c r="AGT15" i="3"/>
  <c r="AGX15" i="3"/>
  <c r="AHB15" i="3"/>
  <c r="AHF15" i="3"/>
  <c r="AHJ15" i="3"/>
  <c r="AHN15" i="3"/>
  <c r="AHR15" i="3"/>
  <c r="AHV15" i="3"/>
  <c r="AHZ15" i="3"/>
  <c r="AID15" i="3"/>
  <c r="AIH15" i="3"/>
  <c r="AIL15" i="3"/>
  <c r="AIP15" i="3"/>
  <c r="AIT15" i="3"/>
  <c r="AIX15" i="3"/>
  <c r="AJB15" i="3"/>
  <c r="AJF15" i="3"/>
  <c r="AJJ15" i="3"/>
  <c r="AJN15" i="3"/>
  <c r="AJR15" i="3"/>
  <c r="AJV15" i="3"/>
  <c r="AJZ15" i="3"/>
  <c r="AKD15" i="3"/>
  <c r="AKH15" i="3"/>
  <c r="AKL15" i="3"/>
  <c r="AKP15" i="3"/>
  <c r="AKT15" i="3"/>
  <c r="AKX15" i="3"/>
  <c r="ALB15" i="3"/>
  <c r="ALF15" i="3"/>
  <c r="ALJ15" i="3"/>
  <c r="B16" i="3"/>
  <c r="F16" i="3"/>
  <c r="J16" i="3"/>
  <c r="N16" i="3"/>
  <c r="R16" i="3"/>
  <c r="V16" i="3"/>
  <c r="Z16" i="3"/>
  <c r="AD16" i="3"/>
  <c r="AH16" i="3"/>
  <c r="AL16" i="3"/>
  <c r="AP16" i="3"/>
  <c r="AT16" i="3"/>
  <c r="AX16" i="3"/>
  <c r="BB16" i="3"/>
  <c r="BF16" i="3"/>
  <c r="BJ16" i="3"/>
  <c r="BN16" i="3"/>
  <c r="BR16" i="3"/>
  <c r="BV16" i="3"/>
  <c r="BZ16" i="3"/>
  <c r="CD16" i="3"/>
  <c r="CH16" i="3"/>
  <c r="CL16" i="3"/>
  <c r="CP16" i="3"/>
  <c r="CT16" i="3"/>
  <c r="CX16" i="3"/>
  <c r="DB16" i="3"/>
  <c r="DF16" i="3"/>
  <c r="DJ16" i="3"/>
  <c r="DN16" i="3"/>
  <c r="DR16" i="3"/>
  <c r="DV16" i="3"/>
  <c r="DZ16" i="3"/>
  <c r="ED16" i="3"/>
  <c r="EH16" i="3"/>
  <c r="EL16" i="3"/>
  <c r="EP16" i="3"/>
  <c r="ET16" i="3"/>
  <c r="EX16" i="3"/>
  <c r="FB16" i="3"/>
  <c r="FF16" i="3"/>
  <c r="FJ16" i="3"/>
  <c r="FN16" i="3"/>
  <c r="FR16" i="3"/>
  <c r="FV16" i="3"/>
  <c r="FZ16" i="3"/>
  <c r="GD16" i="3"/>
  <c r="GH16" i="3"/>
  <c r="GL16" i="3"/>
  <c r="GP16" i="3"/>
  <c r="GT16" i="3"/>
  <c r="GX16" i="3"/>
  <c r="HB16" i="3"/>
  <c r="HF16" i="3"/>
  <c r="HJ16" i="3"/>
  <c r="HN16" i="3"/>
  <c r="HR16" i="3"/>
  <c r="HV16" i="3"/>
  <c r="HZ16" i="3"/>
  <c r="ID16" i="3"/>
  <c r="IH16" i="3"/>
  <c r="IL16" i="3"/>
  <c r="IP16" i="3"/>
  <c r="IT16" i="3"/>
  <c r="IX16" i="3"/>
  <c r="JB16" i="3"/>
  <c r="JF16" i="3"/>
  <c r="JJ16" i="3"/>
  <c r="JN16" i="3"/>
  <c r="JR16" i="3"/>
  <c r="JV16" i="3"/>
  <c r="JZ16" i="3"/>
  <c r="KD16" i="3"/>
  <c r="KH16" i="3"/>
  <c r="KL16" i="3"/>
  <c r="KP16" i="3"/>
  <c r="KT16" i="3"/>
  <c r="KX16" i="3"/>
  <c r="LB16" i="3"/>
  <c r="LF16" i="3"/>
  <c r="LJ16" i="3"/>
  <c r="LN16" i="3"/>
  <c r="LR16" i="3"/>
  <c r="LV16" i="3"/>
  <c r="LZ16" i="3"/>
  <c r="MD16" i="3"/>
  <c r="MH16" i="3"/>
  <c r="ML16" i="3"/>
  <c r="MP16" i="3"/>
  <c r="MT16" i="3"/>
  <c r="MX16" i="3"/>
  <c r="NB16" i="3"/>
  <c r="NF16" i="3"/>
  <c r="NJ16" i="3"/>
  <c r="NN16" i="3"/>
  <c r="NR16" i="3"/>
  <c r="NV16" i="3"/>
  <c r="NZ16" i="3"/>
  <c r="OD16" i="3"/>
  <c r="OH16" i="3"/>
  <c r="OL16" i="3"/>
  <c r="OP16" i="3"/>
  <c r="OT16" i="3"/>
  <c r="OX16" i="3"/>
  <c r="PB16" i="3"/>
  <c r="PF16" i="3"/>
  <c r="PJ16" i="3"/>
  <c r="PN16" i="3"/>
  <c r="PR16" i="3"/>
  <c r="PV16" i="3"/>
  <c r="PZ16" i="3"/>
  <c r="QD16" i="3"/>
  <c r="QH16" i="3"/>
  <c r="QL16" i="3"/>
  <c r="QP16" i="3"/>
  <c r="QT16" i="3"/>
  <c r="QX16" i="3"/>
  <c r="RB16" i="3"/>
  <c r="RF16" i="3"/>
  <c r="RJ16" i="3"/>
  <c r="RN16" i="3"/>
  <c r="RR16" i="3"/>
  <c r="RV16" i="3"/>
  <c r="RZ16" i="3"/>
  <c r="SD16" i="3"/>
  <c r="SH16" i="3"/>
  <c r="SL16" i="3"/>
  <c r="SP16" i="3"/>
  <c r="ST16" i="3"/>
  <c r="SX16" i="3"/>
  <c r="TB16" i="3"/>
  <c r="TF16" i="3"/>
  <c r="TJ16" i="3"/>
  <c r="TN16" i="3"/>
  <c r="TR16" i="3"/>
  <c r="TV16" i="3"/>
  <c r="TZ16" i="3"/>
  <c r="UD16" i="3"/>
  <c r="UH16" i="3"/>
  <c r="UL16" i="3"/>
  <c r="UP16" i="3"/>
  <c r="UT16" i="3"/>
  <c r="UX16" i="3"/>
  <c r="VB16" i="3"/>
  <c r="VF16" i="3"/>
  <c r="VJ16" i="3"/>
  <c r="VN16" i="3"/>
  <c r="VR16" i="3"/>
  <c r="VV16" i="3"/>
  <c r="VZ16" i="3"/>
  <c r="WD16" i="3"/>
  <c r="WH16" i="3"/>
  <c r="WL16" i="3"/>
  <c r="WP16" i="3"/>
  <c r="WT16" i="3"/>
  <c r="WX16" i="3"/>
  <c r="XB16" i="3"/>
  <c r="XF16" i="3"/>
  <c r="XJ16" i="3"/>
  <c r="XN16" i="3"/>
  <c r="XR16" i="3"/>
  <c r="XV16" i="3"/>
  <c r="XZ16" i="3"/>
  <c r="YD16" i="3"/>
  <c r="YH16" i="3"/>
  <c r="YL16" i="3"/>
  <c r="YP16" i="3"/>
  <c r="YT16" i="3"/>
  <c r="YX16" i="3"/>
  <c r="ZB16" i="3"/>
  <c r="ZF16" i="3"/>
  <c r="ZJ16" i="3"/>
  <c r="ZN16" i="3"/>
  <c r="ZR16" i="3"/>
  <c r="ZV16" i="3"/>
  <c r="ZZ16" i="3"/>
  <c r="AAD16" i="3"/>
  <c r="AAH16" i="3"/>
  <c r="AAL16" i="3"/>
  <c r="AAP16" i="3"/>
  <c r="AAT16" i="3"/>
  <c r="AAX16" i="3"/>
  <c r="ABB16" i="3"/>
  <c r="ABF16" i="3"/>
  <c r="ABJ16" i="3"/>
  <c r="ABN16" i="3"/>
  <c r="ABR16" i="3"/>
  <c r="ABV16" i="3"/>
  <c r="ABZ16" i="3"/>
  <c r="ACD16" i="3"/>
  <c r="ACH16" i="3"/>
  <c r="ACL16" i="3"/>
  <c r="ACP16" i="3"/>
  <c r="ACT16" i="3"/>
  <c r="ACX16" i="3"/>
  <c r="ADB16" i="3"/>
  <c r="ADF16" i="3"/>
  <c r="ABF13" i="3"/>
  <c r="ABV13" i="3"/>
  <c r="ACL13" i="3"/>
  <c r="ADB13" i="3"/>
  <c r="ADR13" i="3"/>
  <c r="AEH13" i="3"/>
  <c r="AEX13" i="3"/>
  <c r="AFN13" i="3"/>
  <c r="AGD13" i="3"/>
  <c r="AGT13" i="3"/>
  <c r="AHJ13" i="3"/>
  <c r="AHZ13" i="3"/>
  <c r="AIP13" i="3"/>
  <c r="AJF13" i="3"/>
  <c r="AJV13" i="3"/>
  <c r="AKL13" i="3"/>
  <c r="AKX13" i="3"/>
  <c r="ALF13" i="3"/>
  <c r="B14" i="3"/>
  <c r="H14" i="3"/>
  <c r="N14" i="3"/>
  <c r="S14" i="3"/>
  <c r="X14" i="3"/>
  <c r="AD14" i="3"/>
  <c r="AI14" i="3"/>
  <c r="AN14" i="3"/>
  <c r="AT14" i="3"/>
  <c r="AY14" i="3"/>
  <c r="BD14" i="3"/>
  <c r="BJ14" i="3"/>
  <c r="BO14" i="3"/>
  <c r="BT14" i="3"/>
  <c r="BZ14" i="3"/>
  <c r="CE14" i="3"/>
  <c r="CJ14" i="3"/>
  <c r="CP14" i="3"/>
  <c r="CU14" i="3"/>
  <c r="CZ14" i="3"/>
  <c r="DF14" i="3"/>
  <c r="DK14" i="3"/>
  <c r="DP14" i="3"/>
  <c r="DV14" i="3"/>
  <c r="EA14" i="3"/>
  <c r="EF14" i="3"/>
  <c r="EL14" i="3"/>
  <c r="EQ14" i="3"/>
  <c r="EV14" i="3"/>
  <c r="FB14" i="3"/>
  <c r="FG14" i="3"/>
  <c r="FL14" i="3"/>
  <c r="FR14" i="3"/>
  <c r="FW14" i="3"/>
  <c r="GB14" i="3"/>
  <c r="GH14" i="3"/>
  <c r="GM14" i="3"/>
  <c r="GR14" i="3"/>
  <c r="GX14" i="3"/>
  <c r="HC14" i="3"/>
  <c r="HH14" i="3"/>
  <c r="HN14" i="3"/>
  <c r="HS14" i="3"/>
  <c r="HX14" i="3"/>
  <c r="ID14" i="3"/>
  <c r="II14" i="3"/>
  <c r="IN14" i="3"/>
  <c r="IT14" i="3"/>
  <c r="IY14" i="3"/>
  <c r="JD14" i="3"/>
  <c r="JJ14" i="3"/>
  <c r="JO14" i="3"/>
  <c r="JT14" i="3"/>
  <c r="JZ14" i="3"/>
  <c r="KE14" i="3"/>
  <c r="KJ14" i="3"/>
  <c r="KP14" i="3"/>
  <c r="KU14" i="3"/>
  <c r="KZ14" i="3"/>
  <c r="LF14" i="3"/>
  <c r="LK14" i="3"/>
  <c r="LP14" i="3"/>
  <c r="LV14" i="3"/>
  <c r="MA14" i="3"/>
  <c r="MF14" i="3"/>
  <c r="ML14" i="3"/>
  <c r="MQ14" i="3"/>
  <c r="MV14" i="3"/>
  <c r="NB14" i="3"/>
  <c r="NG14" i="3"/>
  <c r="NL14" i="3"/>
  <c r="NR14" i="3"/>
  <c r="NW14" i="3"/>
  <c r="OB14" i="3"/>
  <c r="OH14" i="3"/>
  <c r="OM14" i="3"/>
  <c r="OR14" i="3"/>
  <c r="OX14" i="3"/>
  <c r="PC14" i="3"/>
  <c r="PH14" i="3"/>
  <c r="PN14" i="3"/>
  <c r="PS14" i="3"/>
  <c r="PX14" i="3"/>
  <c r="QD14" i="3"/>
  <c r="QI14" i="3"/>
  <c r="QN14" i="3"/>
  <c r="QT14" i="3"/>
  <c r="QY14" i="3"/>
  <c r="RD14" i="3"/>
  <c r="RJ14" i="3"/>
  <c r="RO14" i="3"/>
  <c r="RT14" i="3"/>
  <c r="RZ14" i="3"/>
  <c r="SE14" i="3"/>
  <c r="SJ14" i="3"/>
  <c r="SP14" i="3"/>
  <c r="SU14" i="3"/>
  <c r="SY14" i="3"/>
  <c r="TC14" i="3"/>
  <c r="TG14" i="3"/>
  <c r="TK14" i="3"/>
  <c r="TO14" i="3"/>
  <c r="TS14" i="3"/>
  <c r="TW14" i="3"/>
  <c r="UA14" i="3"/>
  <c r="UE14" i="3"/>
  <c r="UI14" i="3"/>
  <c r="UM14" i="3"/>
  <c r="UQ14" i="3"/>
  <c r="UU14" i="3"/>
  <c r="UY14" i="3"/>
  <c r="VC14" i="3"/>
  <c r="VG14" i="3"/>
  <c r="VK14" i="3"/>
  <c r="VO14" i="3"/>
  <c r="VS14" i="3"/>
  <c r="VW14" i="3"/>
  <c r="WA14" i="3"/>
  <c r="WE14" i="3"/>
  <c r="WI14" i="3"/>
  <c r="WM14" i="3"/>
  <c r="WQ14" i="3"/>
  <c r="WU14" i="3"/>
  <c r="WY14" i="3"/>
  <c r="XC14" i="3"/>
  <c r="XG14" i="3"/>
  <c r="XK14" i="3"/>
  <c r="XO14" i="3"/>
  <c r="XS14" i="3"/>
  <c r="XW14" i="3"/>
  <c r="YA14" i="3"/>
  <c r="YE14" i="3"/>
  <c r="YI14" i="3"/>
  <c r="YM14" i="3"/>
  <c r="YQ14" i="3"/>
  <c r="YU14" i="3"/>
  <c r="YY14" i="3"/>
  <c r="ZC14" i="3"/>
  <c r="ZG14" i="3"/>
  <c r="ZK14" i="3"/>
  <c r="ZO14" i="3"/>
  <c r="ZS14" i="3"/>
  <c r="ZW14" i="3"/>
  <c r="AAA14" i="3"/>
  <c r="AAE14" i="3"/>
  <c r="AAI14" i="3"/>
  <c r="AAM14" i="3"/>
  <c r="AAQ14" i="3"/>
  <c r="AAU14" i="3"/>
  <c r="AAY14" i="3"/>
  <c r="ABC14" i="3"/>
  <c r="ABG14" i="3"/>
  <c r="ABK14" i="3"/>
  <c r="ABO14" i="3"/>
  <c r="ABS14" i="3"/>
  <c r="ABW14" i="3"/>
  <c r="ACA14" i="3"/>
  <c r="ACE14" i="3"/>
  <c r="ACI14" i="3"/>
  <c r="ACM14" i="3"/>
  <c r="ACQ14" i="3"/>
  <c r="ACU14" i="3"/>
  <c r="ACY14" i="3"/>
  <c r="ADC14" i="3"/>
  <c r="ADG14" i="3"/>
  <c r="ADK14" i="3"/>
  <c r="ADO14" i="3"/>
  <c r="ADS14" i="3"/>
  <c r="ADW14" i="3"/>
  <c r="AEA14" i="3"/>
  <c r="AEE14" i="3"/>
  <c r="AEI14" i="3"/>
  <c r="AEM14" i="3"/>
  <c r="AEQ14" i="3"/>
  <c r="AEU14" i="3"/>
  <c r="AEY14" i="3"/>
  <c r="AFC14" i="3"/>
  <c r="AFG14" i="3"/>
  <c r="AFK14" i="3"/>
  <c r="AFO14" i="3"/>
  <c r="AFS14" i="3"/>
  <c r="AFW14" i="3"/>
  <c r="AGA14" i="3"/>
  <c r="AGE14" i="3"/>
  <c r="AGI14" i="3"/>
  <c r="AGM14" i="3"/>
  <c r="AGQ14" i="3"/>
  <c r="AGU14" i="3"/>
  <c r="AGY14" i="3"/>
  <c r="AHC14" i="3"/>
  <c r="AHG14" i="3"/>
  <c r="AHK14" i="3"/>
  <c r="AHO14" i="3"/>
  <c r="AHS14" i="3"/>
  <c r="AHW14" i="3"/>
  <c r="AIA14" i="3"/>
  <c r="AIE14" i="3"/>
  <c r="AII14" i="3"/>
  <c r="AIM14" i="3"/>
  <c r="AIQ14" i="3"/>
  <c r="AIU14" i="3"/>
  <c r="AIY14" i="3"/>
  <c r="AJC14" i="3"/>
  <c r="AJG14" i="3"/>
  <c r="AJK14" i="3"/>
  <c r="AJO14" i="3"/>
  <c r="AJS14" i="3"/>
  <c r="AJW14" i="3"/>
  <c r="AKA14" i="3"/>
  <c r="AKE14" i="3"/>
  <c r="AKI14" i="3"/>
  <c r="AKM14" i="3"/>
  <c r="AKQ14" i="3"/>
  <c r="AKU14" i="3"/>
  <c r="AKY14" i="3"/>
  <c r="ALC14" i="3"/>
  <c r="ALG14" i="3"/>
  <c r="ALK14" i="3"/>
  <c r="C15" i="3"/>
  <c r="G15" i="3"/>
  <c r="K15" i="3"/>
  <c r="O15" i="3"/>
  <c r="S15" i="3"/>
  <c r="W15" i="3"/>
  <c r="AA15" i="3"/>
  <c r="AE15" i="3"/>
  <c r="AI15" i="3"/>
  <c r="AM15" i="3"/>
  <c r="AQ15" i="3"/>
  <c r="AU15" i="3"/>
  <c r="AY15" i="3"/>
  <c r="BC15" i="3"/>
  <c r="BG15" i="3"/>
  <c r="BK15" i="3"/>
  <c r="BO15" i="3"/>
  <c r="BS15" i="3"/>
  <c r="BW15" i="3"/>
  <c r="CA15" i="3"/>
  <c r="CE15" i="3"/>
  <c r="CI15" i="3"/>
  <c r="CM15" i="3"/>
  <c r="CQ15" i="3"/>
  <c r="CU15" i="3"/>
  <c r="CY15" i="3"/>
  <c r="DC15" i="3"/>
  <c r="DG15" i="3"/>
  <c r="DK15" i="3"/>
  <c r="DO15" i="3"/>
  <c r="ABJ13" i="3"/>
  <c r="ABZ13" i="3"/>
  <c r="ACP13" i="3"/>
  <c r="ADF13" i="3"/>
  <c r="ADV13" i="3"/>
  <c r="AEL13" i="3"/>
  <c r="AFB13" i="3"/>
  <c r="AFR13" i="3"/>
  <c r="AGH13" i="3"/>
  <c r="AGX13" i="3"/>
  <c r="AHN13" i="3"/>
  <c r="AID13" i="3"/>
  <c r="AIT13" i="3"/>
  <c r="AJJ13" i="3"/>
  <c r="AJZ13" i="3"/>
  <c r="AKP13" i="3"/>
  <c r="AKZ13" i="3"/>
  <c r="ALH13" i="3"/>
  <c r="D14" i="3"/>
  <c r="J14" i="3"/>
  <c r="O14" i="3"/>
  <c r="T14" i="3"/>
  <c r="Z14" i="3"/>
  <c r="AE14" i="3"/>
  <c r="AJ14" i="3"/>
  <c r="AP14" i="3"/>
  <c r="AU14" i="3"/>
  <c r="AZ14" i="3"/>
  <c r="BF14" i="3"/>
  <c r="BK14" i="3"/>
  <c r="BP14" i="3"/>
  <c r="BV14" i="3"/>
  <c r="CA14" i="3"/>
  <c r="CF14" i="3"/>
  <c r="CL14" i="3"/>
  <c r="CQ14" i="3"/>
  <c r="CV14" i="3"/>
  <c r="DB14" i="3"/>
  <c r="DG14" i="3"/>
  <c r="DL14" i="3"/>
  <c r="DR14" i="3"/>
  <c r="DW14" i="3"/>
  <c r="EB14" i="3"/>
  <c r="EH14" i="3"/>
  <c r="EM14" i="3"/>
  <c r="ER14" i="3"/>
  <c r="EX14" i="3"/>
  <c r="FC14" i="3"/>
  <c r="FH14" i="3"/>
  <c r="FN14" i="3"/>
  <c r="FS14" i="3"/>
  <c r="FX14" i="3"/>
  <c r="GD14" i="3"/>
  <c r="GI14" i="3"/>
  <c r="GN14" i="3"/>
  <c r="GT14" i="3"/>
  <c r="GY14" i="3"/>
  <c r="HD14" i="3"/>
  <c r="HJ14" i="3"/>
  <c r="HO14" i="3"/>
  <c r="HT14" i="3"/>
  <c r="HZ14" i="3"/>
  <c r="IE14" i="3"/>
  <c r="IJ14" i="3"/>
  <c r="IP14" i="3"/>
  <c r="IU14" i="3"/>
  <c r="IZ14" i="3"/>
  <c r="JF14" i="3"/>
  <c r="JK14" i="3"/>
  <c r="JP14" i="3"/>
  <c r="JV14" i="3"/>
  <c r="KA14" i="3"/>
  <c r="KF14" i="3"/>
  <c r="KL14" i="3"/>
  <c r="KQ14" i="3"/>
  <c r="KV14" i="3"/>
  <c r="LB14" i="3"/>
  <c r="LG14" i="3"/>
  <c r="LL14" i="3"/>
  <c r="LR14" i="3"/>
  <c r="LW14" i="3"/>
  <c r="MB14" i="3"/>
  <c r="MH14" i="3"/>
  <c r="MM14" i="3"/>
  <c r="MR14" i="3"/>
  <c r="MX14" i="3"/>
  <c r="NC14" i="3"/>
  <c r="NH14" i="3"/>
  <c r="NN14" i="3"/>
  <c r="NS14" i="3"/>
  <c r="NX14" i="3"/>
  <c r="OD14" i="3"/>
  <c r="OI14" i="3"/>
  <c r="ON14" i="3"/>
  <c r="OT14" i="3"/>
  <c r="OY14" i="3"/>
  <c r="PD14" i="3"/>
  <c r="PJ14" i="3"/>
  <c r="PO14" i="3"/>
  <c r="PT14" i="3"/>
  <c r="PZ14" i="3"/>
  <c r="QE14" i="3"/>
  <c r="QJ14" i="3"/>
  <c r="QP14" i="3"/>
  <c r="QU14" i="3"/>
  <c r="QZ14" i="3"/>
  <c r="RF14" i="3"/>
  <c r="RK14" i="3"/>
  <c r="RP14" i="3"/>
  <c r="RV14" i="3"/>
  <c r="SA14" i="3"/>
  <c r="SF14" i="3"/>
  <c r="SL14" i="3"/>
  <c r="TD14" i="3"/>
  <c r="TT14" i="3"/>
  <c r="UJ14" i="3"/>
  <c r="UZ14" i="3"/>
  <c r="VP14" i="3"/>
  <c r="WF14" i="3"/>
  <c r="WV14" i="3"/>
  <c r="XL14" i="3"/>
  <c r="YB14" i="3"/>
  <c r="YR14" i="3"/>
  <c r="ZH14" i="3"/>
  <c r="ZX14" i="3"/>
  <c r="AAN14" i="3"/>
  <c r="ABD14" i="3"/>
  <c r="ABT14" i="3"/>
  <c r="ACJ14" i="3"/>
  <c r="ACZ14" i="3"/>
  <c r="ADP14" i="3"/>
  <c r="AEF14" i="3"/>
  <c r="AEV14" i="3"/>
  <c r="AFL14" i="3"/>
  <c r="AGB14" i="3"/>
  <c r="AGR14" i="3"/>
  <c r="AHH14" i="3"/>
  <c r="AHX14" i="3"/>
  <c r="AIN14" i="3"/>
  <c r="AJD14" i="3"/>
  <c r="AJT14" i="3"/>
  <c r="AKJ14" i="3"/>
  <c r="AKZ14" i="3"/>
  <c r="D15" i="3"/>
  <c r="T15" i="3"/>
  <c r="AJ15" i="3"/>
  <c r="AZ15" i="3"/>
  <c r="BP15" i="3"/>
  <c r="CF15" i="3"/>
  <c r="CV15" i="3"/>
  <c r="DL15" i="3"/>
  <c r="DW15" i="3"/>
  <c r="EE15" i="3"/>
  <c r="EM15" i="3"/>
  <c r="EU15" i="3"/>
  <c r="FC15" i="3"/>
  <c r="FK15" i="3"/>
  <c r="FS15" i="3"/>
  <c r="GA15" i="3"/>
  <c r="GI15" i="3"/>
  <c r="GQ15" i="3"/>
  <c r="GY15" i="3"/>
  <c r="HG15" i="3"/>
  <c r="HO15" i="3"/>
  <c r="HW15" i="3"/>
  <c r="IE15" i="3"/>
  <c r="IM15" i="3"/>
  <c r="IU15" i="3"/>
  <c r="JC15" i="3"/>
  <c r="JK15" i="3"/>
  <c r="JS15" i="3"/>
  <c r="KA15" i="3"/>
  <c r="KI15" i="3"/>
  <c r="KQ15" i="3"/>
  <c r="KY15" i="3"/>
  <c r="LG15" i="3"/>
  <c r="LO15" i="3"/>
  <c r="LW15" i="3"/>
  <c r="ME15" i="3"/>
  <c r="MM15" i="3"/>
  <c r="MU15" i="3"/>
  <c r="NC15" i="3"/>
  <c r="NK15" i="3"/>
  <c r="NS15" i="3"/>
  <c r="OA15" i="3"/>
  <c r="OI15" i="3"/>
  <c r="OQ15" i="3"/>
  <c r="OY15" i="3"/>
  <c r="PG15" i="3"/>
  <c r="PO15" i="3"/>
  <c r="PW15" i="3"/>
  <c r="QE15" i="3"/>
  <c r="QM15" i="3"/>
  <c r="QU15" i="3"/>
  <c r="RC15" i="3"/>
  <c r="RK15" i="3"/>
  <c r="RS15" i="3"/>
  <c r="SA15" i="3"/>
  <c r="SI15" i="3"/>
  <c r="SQ15" i="3"/>
  <c r="SY15" i="3"/>
  <c r="TG15" i="3"/>
  <c r="TO15" i="3"/>
  <c r="TW15" i="3"/>
  <c r="UE15" i="3"/>
  <c r="UM15" i="3"/>
  <c r="UU15" i="3"/>
  <c r="VC15" i="3"/>
  <c r="VK15" i="3"/>
  <c r="VS15" i="3"/>
  <c r="WA15" i="3"/>
  <c r="WI15" i="3"/>
  <c r="WQ15" i="3"/>
  <c r="WY15" i="3"/>
  <c r="XG15" i="3"/>
  <c r="XO15" i="3"/>
  <c r="XW15" i="3"/>
  <c r="YE15" i="3"/>
  <c r="YM15" i="3"/>
  <c r="YU15" i="3"/>
  <c r="ZC15" i="3"/>
  <c r="ZK15" i="3"/>
  <c r="ZS15" i="3"/>
  <c r="AAA15" i="3"/>
  <c r="AAI15" i="3"/>
  <c r="AAQ15" i="3"/>
  <c r="AAY15" i="3"/>
  <c r="ABG15" i="3"/>
  <c r="ABO15" i="3"/>
  <c r="ABW15" i="3"/>
  <c r="ACE15" i="3"/>
  <c r="ACM15" i="3"/>
  <c r="ACU15" i="3"/>
  <c r="ADC15" i="3"/>
  <c r="ADK15" i="3"/>
  <c r="ADS15" i="3"/>
  <c r="AEA15" i="3"/>
  <c r="AEI15" i="3"/>
  <c r="AEQ15" i="3"/>
  <c r="AEY15" i="3"/>
  <c r="AFG15" i="3"/>
  <c r="AFO15" i="3"/>
  <c r="AFW15" i="3"/>
  <c r="AGE15" i="3"/>
  <c r="AGM15" i="3"/>
  <c r="AGU15" i="3"/>
  <c r="AHC15" i="3"/>
  <c r="AHK15" i="3"/>
  <c r="AHS15" i="3"/>
  <c r="AIA15" i="3"/>
  <c r="AII15" i="3"/>
  <c r="AIQ15" i="3"/>
  <c r="AIY15" i="3"/>
  <c r="AJG15" i="3"/>
  <c r="AJO15" i="3"/>
  <c r="AJW15" i="3"/>
  <c r="AKE15" i="3"/>
  <c r="AKM15" i="3"/>
  <c r="AKU15" i="3"/>
  <c r="ALC15" i="3"/>
  <c r="ALK15" i="3"/>
  <c r="G16" i="3"/>
  <c r="O16" i="3"/>
  <c r="W16" i="3"/>
  <c r="AE16" i="3"/>
  <c r="AM16" i="3"/>
  <c r="AU16" i="3"/>
  <c r="BC16" i="3"/>
  <c r="BK16" i="3"/>
  <c r="BS16" i="3"/>
  <c r="CA16" i="3"/>
  <c r="CI16" i="3"/>
  <c r="CQ16" i="3"/>
  <c r="CY16" i="3"/>
  <c r="DG16" i="3"/>
  <c r="DO16" i="3"/>
  <c r="DW16" i="3"/>
  <c r="EE16" i="3"/>
  <c r="EM16" i="3"/>
  <c r="EU16" i="3"/>
  <c r="FC16" i="3"/>
  <c r="FK16" i="3"/>
  <c r="FS16" i="3"/>
  <c r="GA16" i="3"/>
  <c r="GI16" i="3"/>
  <c r="GQ16" i="3"/>
  <c r="GY16" i="3"/>
  <c r="HG16" i="3"/>
  <c r="HO16" i="3"/>
  <c r="HW16" i="3"/>
  <c r="IE16" i="3"/>
  <c r="IM16" i="3"/>
  <c r="IU16" i="3"/>
  <c r="JC16" i="3"/>
  <c r="JK16" i="3"/>
  <c r="JS16" i="3"/>
  <c r="KA16" i="3"/>
  <c r="KI16" i="3"/>
  <c r="KQ16" i="3"/>
  <c r="KY16" i="3"/>
  <c r="LG16" i="3"/>
  <c r="LO16" i="3"/>
  <c r="LW16" i="3"/>
  <c r="ME16" i="3"/>
  <c r="MM16" i="3"/>
  <c r="MU16" i="3"/>
  <c r="NC16" i="3"/>
  <c r="NK16" i="3"/>
  <c r="NS16" i="3"/>
  <c r="OA16" i="3"/>
  <c r="OI16" i="3"/>
  <c r="OQ16" i="3"/>
  <c r="OY16" i="3"/>
  <c r="PG16" i="3"/>
  <c r="PO16" i="3"/>
  <c r="PW16" i="3"/>
  <c r="QE16" i="3"/>
  <c r="QM16" i="3"/>
  <c r="QU16" i="3"/>
  <c r="RC16" i="3"/>
  <c r="RK16" i="3"/>
  <c r="RS16" i="3"/>
  <c r="SA16" i="3"/>
  <c r="SI16" i="3"/>
  <c r="SQ16" i="3"/>
  <c r="SY16" i="3"/>
  <c r="TG16" i="3"/>
  <c r="TO16" i="3"/>
  <c r="TW16" i="3"/>
  <c r="UE16" i="3"/>
  <c r="UM16" i="3"/>
  <c r="UU16" i="3"/>
  <c r="VC16" i="3"/>
  <c r="VK16" i="3"/>
  <c r="VS16" i="3"/>
  <c r="WA16" i="3"/>
  <c r="WI16" i="3"/>
  <c r="WQ16" i="3"/>
  <c r="WY16" i="3"/>
  <c r="XG16" i="3"/>
  <c r="XO16" i="3"/>
  <c r="XW16" i="3"/>
  <c r="YE16" i="3"/>
  <c r="YM16" i="3"/>
  <c r="YU16" i="3"/>
  <c r="ZC16" i="3"/>
  <c r="ZK16" i="3"/>
  <c r="ZS16" i="3"/>
  <c r="AAA16" i="3"/>
  <c r="AAI16" i="3"/>
  <c r="AAQ16" i="3"/>
  <c r="AAY16" i="3"/>
  <c r="ABG16" i="3"/>
  <c r="ABO16" i="3"/>
  <c r="ABW16" i="3"/>
  <c r="ACE16" i="3"/>
  <c r="ACM16" i="3"/>
  <c r="ACU16" i="3"/>
  <c r="ADC16" i="3"/>
  <c r="ADH16" i="3"/>
  <c r="ADL16" i="3"/>
  <c r="ADP16" i="3"/>
  <c r="ADT16" i="3"/>
  <c r="ADX16" i="3"/>
  <c r="AEB16" i="3"/>
  <c r="AEF16" i="3"/>
  <c r="AEJ16" i="3"/>
  <c r="AEN16" i="3"/>
  <c r="AER16" i="3"/>
  <c r="AEV16" i="3"/>
  <c r="AEZ16" i="3"/>
  <c r="AFD16" i="3"/>
  <c r="AFH16" i="3"/>
  <c r="AFL16" i="3"/>
  <c r="AFP16" i="3"/>
  <c r="AFT16" i="3"/>
  <c r="AFX16" i="3"/>
  <c r="AGB16" i="3"/>
  <c r="AGF16" i="3"/>
  <c r="AGJ16" i="3"/>
  <c r="AGN16" i="3"/>
  <c r="AGR16" i="3"/>
  <c r="AGV16" i="3"/>
  <c r="AGZ16" i="3"/>
  <c r="AHD16" i="3"/>
  <c r="AHH16" i="3"/>
  <c r="AHL16" i="3"/>
  <c r="AHP16" i="3"/>
  <c r="AHT16" i="3"/>
  <c r="AHX16" i="3"/>
  <c r="AIB16" i="3"/>
  <c r="AIF16" i="3"/>
  <c r="AIJ16" i="3"/>
  <c r="AIN16" i="3"/>
  <c r="AIR16" i="3"/>
  <c r="AIV16" i="3"/>
  <c r="AIZ16" i="3"/>
  <c r="AJD16" i="3"/>
  <c r="AJH16" i="3"/>
  <c r="AJL16" i="3"/>
  <c r="AJP16" i="3"/>
  <c r="AJT16" i="3"/>
  <c r="AJX16" i="3"/>
  <c r="AKB16" i="3"/>
  <c r="AKF16" i="3"/>
  <c r="AKJ16" i="3"/>
  <c r="AKN16" i="3"/>
  <c r="AKR16" i="3"/>
  <c r="AKV16" i="3"/>
  <c r="AKZ16" i="3"/>
  <c r="ALD16" i="3"/>
  <c r="ALH16" i="3"/>
  <c r="ALL16" i="3"/>
  <c r="D17" i="3"/>
  <c r="H17" i="3"/>
  <c r="L17" i="3"/>
  <c r="P17" i="3"/>
  <c r="T17" i="3"/>
  <c r="X17" i="3"/>
  <c r="AB17" i="3"/>
  <c r="AF17" i="3"/>
  <c r="AJ17" i="3"/>
  <c r="AN17" i="3"/>
  <c r="AR17" i="3"/>
  <c r="AV17" i="3"/>
  <c r="AZ17" i="3"/>
  <c r="BD17" i="3"/>
  <c r="BH17" i="3"/>
  <c r="BL17" i="3"/>
  <c r="BP17" i="3"/>
  <c r="BT17" i="3"/>
  <c r="BX17" i="3"/>
  <c r="CB17" i="3"/>
  <c r="CF17" i="3"/>
  <c r="CJ17" i="3"/>
  <c r="CN17" i="3"/>
  <c r="CR17" i="3"/>
  <c r="CV17" i="3"/>
  <c r="CZ17" i="3"/>
  <c r="DD17" i="3"/>
  <c r="DH17" i="3"/>
  <c r="DL17" i="3"/>
  <c r="DP17" i="3"/>
  <c r="DT17" i="3"/>
  <c r="DX17" i="3"/>
  <c r="EB17" i="3"/>
  <c r="EF17" i="3"/>
  <c r="EJ17" i="3"/>
  <c r="EN17" i="3"/>
  <c r="ER17" i="3"/>
  <c r="EV17" i="3"/>
  <c r="EZ17" i="3"/>
  <c r="FD17" i="3"/>
  <c r="FH17" i="3"/>
  <c r="FL17" i="3"/>
  <c r="FP17" i="3"/>
  <c r="FT17" i="3"/>
  <c r="FX17" i="3"/>
  <c r="GB17" i="3"/>
  <c r="GF17" i="3"/>
  <c r="GJ17" i="3"/>
  <c r="GN17" i="3"/>
  <c r="GR17" i="3"/>
  <c r="GV17" i="3"/>
  <c r="GZ17" i="3"/>
  <c r="HD17" i="3"/>
  <c r="HH17" i="3"/>
  <c r="HL17" i="3"/>
  <c r="HP17" i="3"/>
  <c r="HT17" i="3"/>
  <c r="HX17" i="3"/>
  <c r="IB17" i="3"/>
  <c r="IF17" i="3"/>
  <c r="IJ17" i="3"/>
  <c r="IN17" i="3"/>
  <c r="IR17" i="3"/>
  <c r="IV17" i="3"/>
  <c r="IZ17" i="3"/>
  <c r="JD17" i="3"/>
  <c r="JH17" i="3"/>
  <c r="JL17" i="3"/>
  <c r="JP17" i="3"/>
  <c r="JT17" i="3"/>
  <c r="JX17" i="3"/>
  <c r="KB17" i="3"/>
  <c r="KF17" i="3"/>
  <c r="KJ17" i="3"/>
  <c r="KN17" i="3"/>
  <c r="KR17" i="3"/>
  <c r="KV17" i="3"/>
  <c r="KZ17" i="3"/>
  <c r="LD17" i="3"/>
  <c r="LH17" i="3"/>
  <c r="LL17" i="3"/>
  <c r="LP17" i="3"/>
  <c r="LT17" i="3"/>
  <c r="LX17" i="3"/>
  <c r="MB17" i="3"/>
  <c r="MF17" i="3"/>
  <c r="MJ17" i="3"/>
  <c r="MN17" i="3"/>
  <c r="MR17" i="3"/>
  <c r="MV17" i="3"/>
  <c r="MZ17" i="3"/>
  <c r="ND17" i="3"/>
  <c r="NH17" i="3"/>
  <c r="NL17" i="3"/>
  <c r="NP17" i="3"/>
  <c r="NT17" i="3"/>
  <c r="NX17" i="3"/>
  <c r="OB17" i="3"/>
  <c r="OF17" i="3"/>
  <c r="OJ17" i="3"/>
  <c r="ON17" i="3"/>
  <c r="OR17" i="3"/>
  <c r="OV17" i="3"/>
  <c r="OZ17" i="3"/>
  <c r="PD17" i="3"/>
  <c r="PH17" i="3"/>
  <c r="PL17" i="3"/>
  <c r="PP17" i="3"/>
  <c r="PT17" i="3"/>
  <c r="PX17" i="3"/>
  <c r="QB17" i="3"/>
  <c r="QF17" i="3"/>
  <c r="QJ17" i="3"/>
  <c r="QN17" i="3"/>
  <c r="QR17" i="3"/>
  <c r="QV17" i="3"/>
  <c r="QZ17" i="3"/>
  <c r="RD17" i="3"/>
  <c r="RH17" i="3"/>
  <c r="RL17" i="3"/>
  <c r="RP17" i="3"/>
  <c r="RT17" i="3"/>
  <c r="RX17" i="3"/>
  <c r="SB17" i="3"/>
  <c r="SF17" i="3"/>
  <c r="SJ17" i="3"/>
  <c r="SN17" i="3"/>
  <c r="SR17" i="3"/>
  <c r="SV17" i="3"/>
  <c r="SZ17" i="3"/>
  <c r="TD17" i="3"/>
  <c r="TH17" i="3"/>
  <c r="TL17" i="3"/>
  <c r="TP17" i="3"/>
  <c r="TT17" i="3"/>
  <c r="TX17" i="3"/>
  <c r="UB17" i="3"/>
  <c r="UF17" i="3"/>
  <c r="UJ17" i="3"/>
  <c r="UN17" i="3"/>
  <c r="UR17" i="3"/>
  <c r="UV17" i="3"/>
  <c r="UZ17" i="3"/>
  <c r="VD17" i="3"/>
  <c r="VH17" i="3"/>
  <c r="VL17" i="3"/>
  <c r="VP17" i="3"/>
  <c r="VT17" i="3"/>
  <c r="VX17" i="3"/>
  <c r="WB17" i="3"/>
  <c r="WF17" i="3"/>
  <c r="WJ17" i="3"/>
  <c r="WN17" i="3"/>
  <c r="WR17" i="3"/>
  <c r="WV17" i="3"/>
  <c r="WZ17" i="3"/>
  <c r="XD17" i="3"/>
  <c r="XH17" i="3"/>
  <c r="XL17" i="3"/>
  <c r="XP17" i="3"/>
  <c r="XT17" i="3"/>
  <c r="XX17" i="3"/>
  <c r="YB17" i="3"/>
  <c r="YF17" i="3"/>
  <c r="YJ17" i="3"/>
  <c r="YN17" i="3"/>
  <c r="YR17" i="3"/>
  <c r="YV17" i="3"/>
  <c r="YZ17" i="3"/>
  <c r="ZD17" i="3"/>
  <c r="ZH17" i="3"/>
  <c r="ZL17" i="3"/>
  <c r="ZP17" i="3"/>
  <c r="ZT17" i="3"/>
  <c r="ZX17" i="3"/>
  <c r="AAB17" i="3"/>
  <c r="AAF17" i="3"/>
  <c r="AAJ17" i="3"/>
  <c r="AAN17" i="3"/>
  <c r="AAR17" i="3"/>
  <c r="AAV17" i="3"/>
  <c r="AAZ17" i="3"/>
  <c r="ABD17" i="3"/>
  <c r="ABH17" i="3"/>
  <c r="ABL17" i="3"/>
  <c r="ABP17" i="3"/>
  <c r="ABT17" i="3"/>
  <c r="ABX17" i="3"/>
  <c r="ACB17" i="3"/>
  <c r="ACF17" i="3"/>
  <c r="ACJ17" i="3"/>
  <c r="ACN17" i="3"/>
  <c r="ACR17" i="3"/>
  <c r="ACV17" i="3"/>
  <c r="ACZ17" i="3"/>
  <c r="ADD17" i="3"/>
  <c r="ADH17" i="3"/>
  <c r="ADL17" i="3"/>
  <c r="ADP17" i="3"/>
  <c r="ADT17" i="3"/>
  <c r="ADX17" i="3"/>
  <c r="AEB17" i="3"/>
  <c r="AEF17" i="3"/>
  <c r="AEJ17" i="3"/>
  <c r="AEN17" i="3"/>
  <c r="AER17" i="3"/>
  <c r="AEV17" i="3"/>
  <c r="AEZ17" i="3"/>
  <c r="AFD17" i="3"/>
  <c r="AFH17" i="3"/>
  <c r="AFL17" i="3"/>
  <c r="AFP17" i="3"/>
  <c r="AFT17" i="3"/>
  <c r="AFX17" i="3"/>
  <c r="AGB17" i="3"/>
  <c r="AGF17" i="3"/>
  <c r="AGJ17" i="3"/>
  <c r="AGN17" i="3"/>
  <c r="AGR17" i="3"/>
  <c r="AGV17" i="3"/>
  <c r="AGZ17" i="3"/>
  <c r="AHD17" i="3"/>
  <c r="AHH17" i="3"/>
  <c r="AHL17" i="3"/>
  <c r="AHP17" i="3"/>
  <c r="AHT17" i="3"/>
  <c r="AHX17" i="3"/>
  <c r="AIB17" i="3"/>
  <c r="AIF17" i="3"/>
  <c r="AIJ17" i="3"/>
  <c r="AIN17" i="3"/>
  <c r="AIR17" i="3"/>
  <c r="AIV17" i="3"/>
  <c r="AIZ17" i="3"/>
  <c r="AJD17" i="3"/>
  <c r="AJH17" i="3"/>
  <c r="AJL17" i="3"/>
  <c r="AJP17" i="3"/>
  <c r="AJT17" i="3"/>
  <c r="AJX17" i="3"/>
  <c r="AKB17" i="3"/>
  <c r="AKF17" i="3"/>
  <c r="AKJ17" i="3"/>
  <c r="AKN17" i="3"/>
  <c r="AKR17" i="3"/>
  <c r="AKV17" i="3"/>
  <c r="AKZ17" i="3"/>
  <c r="ALD17" i="3"/>
  <c r="ALH17" i="3"/>
  <c r="ALL17" i="3"/>
  <c r="D18" i="3"/>
  <c r="H18" i="3"/>
  <c r="L18" i="3"/>
  <c r="P18" i="3"/>
  <c r="T18" i="3"/>
  <c r="X18" i="3"/>
  <c r="AB18" i="3"/>
  <c r="AF18" i="3"/>
  <c r="AJ18" i="3"/>
  <c r="AN18" i="3"/>
  <c r="AR18" i="3"/>
  <c r="AV18" i="3"/>
  <c r="AZ18" i="3"/>
  <c r="BD18" i="3"/>
  <c r="BH18" i="3"/>
  <c r="BL18" i="3"/>
  <c r="BP18" i="3"/>
  <c r="BT18" i="3"/>
  <c r="BX18" i="3"/>
  <c r="CB18" i="3"/>
  <c r="CF18" i="3"/>
  <c r="CJ18" i="3"/>
  <c r="CN18" i="3"/>
  <c r="CR18" i="3"/>
  <c r="CV18" i="3"/>
  <c r="CZ18" i="3"/>
  <c r="DD18" i="3"/>
  <c r="DH18" i="3"/>
  <c r="DL18" i="3"/>
  <c r="DP18" i="3"/>
  <c r="DT18" i="3"/>
  <c r="DX18" i="3"/>
  <c r="EB18" i="3"/>
  <c r="EF18" i="3"/>
  <c r="EJ18" i="3"/>
  <c r="EN18" i="3"/>
  <c r="ER18" i="3"/>
  <c r="EV18" i="3"/>
  <c r="EZ18" i="3"/>
  <c r="FD18" i="3"/>
  <c r="FH18" i="3"/>
  <c r="FL18" i="3"/>
  <c r="FP18" i="3"/>
  <c r="FT18" i="3"/>
  <c r="FX18" i="3"/>
  <c r="GB18" i="3"/>
  <c r="GF18" i="3"/>
  <c r="GJ18" i="3"/>
  <c r="GN18" i="3"/>
  <c r="GR18" i="3"/>
  <c r="GV18" i="3"/>
  <c r="GZ18" i="3"/>
  <c r="HD18" i="3"/>
  <c r="HH18" i="3"/>
  <c r="HL18" i="3"/>
  <c r="HP18" i="3"/>
  <c r="HT18" i="3"/>
  <c r="HX18" i="3"/>
  <c r="IB18" i="3"/>
  <c r="IF18" i="3"/>
  <c r="IJ18" i="3"/>
  <c r="IN18" i="3"/>
  <c r="IR18" i="3"/>
  <c r="IV18" i="3"/>
  <c r="IZ18" i="3"/>
  <c r="JD18" i="3"/>
  <c r="JH18" i="3"/>
  <c r="JL18" i="3"/>
  <c r="JP18" i="3"/>
  <c r="JT18" i="3"/>
  <c r="JX18" i="3"/>
  <c r="KB18" i="3"/>
  <c r="KF18" i="3"/>
  <c r="KJ18" i="3"/>
  <c r="KN18" i="3"/>
  <c r="KR18" i="3"/>
  <c r="KV18" i="3"/>
  <c r="KZ18" i="3"/>
  <c r="LD18" i="3"/>
  <c r="LH18" i="3"/>
  <c r="LL18" i="3"/>
  <c r="LP18" i="3"/>
  <c r="LT18" i="3"/>
  <c r="LX18" i="3"/>
  <c r="MB18" i="3"/>
  <c r="MF18" i="3"/>
  <c r="MJ18" i="3"/>
  <c r="MN18" i="3"/>
  <c r="MR18" i="3"/>
  <c r="MV18" i="3"/>
  <c r="MZ18" i="3"/>
  <c r="ND18" i="3"/>
  <c r="NH18" i="3"/>
  <c r="NL18" i="3"/>
  <c r="NP18" i="3"/>
  <c r="NT18" i="3"/>
  <c r="NX18" i="3"/>
  <c r="OB18" i="3"/>
  <c r="OF18" i="3"/>
  <c r="OJ18" i="3"/>
  <c r="ON18" i="3"/>
  <c r="OR18" i="3"/>
  <c r="OV18" i="3"/>
  <c r="OZ18" i="3"/>
  <c r="PD18" i="3"/>
  <c r="PH18" i="3"/>
  <c r="PL18" i="3"/>
  <c r="PP18" i="3"/>
  <c r="PT18" i="3"/>
  <c r="PX18" i="3"/>
  <c r="QB18" i="3"/>
  <c r="QF18" i="3"/>
  <c r="QJ18" i="3"/>
  <c r="QN18" i="3"/>
  <c r="QR18" i="3"/>
  <c r="QV18" i="3"/>
  <c r="QZ18" i="3"/>
  <c r="RD18" i="3"/>
  <c r="RH18" i="3"/>
  <c r="RL18" i="3"/>
  <c r="RP18" i="3"/>
  <c r="RT18" i="3"/>
  <c r="RX18" i="3"/>
  <c r="SB18" i="3"/>
  <c r="SF18" i="3"/>
  <c r="SJ18" i="3"/>
  <c r="SN18" i="3"/>
  <c r="SR18" i="3"/>
  <c r="SV18" i="3"/>
  <c r="SZ18" i="3"/>
  <c r="TD18" i="3"/>
  <c r="TH18" i="3"/>
  <c r="TL18" i="3"/>
  <c r="TP18" i="3"/>
  <c r="TT18" i="3"/>
  <c r="TX18" i="3"/>
  <c r="UB18" i="3"/>
  <c r="UF18" i="3"/>
  <c r="UJ18" i="3"/>
  <c r="UN18" i="3"/>
  <c r="UR18" i="3"/>
  <c r="UV18" i="3"/>
  <c r="UZ18" i="3"/>
  <c r="VD18" i="3"/>
  <c r="VH18" i="3"/>
  <c r="VL18" i="3"/>
  <c r="VP18" i="3"/>
  <c r="VT18" i="3"/>
  <c r="VX18" i="3"/>
  <c r="WB18" i="3"/>
  <c r="WF18" i="3"/>
  <c r="WJ18" i="3"/>
  <c r="WN18" i="3"/>
  <c r="WR18" i="3"/>
  <c r="WV18" i="3"/>
  <c r="WZ18" i="3"/>
  <c r="XD18" i="3"/>
  <c r="XH18" i="3"/>
  <c r="XL18" i="3"/>
  <c r="XP18" i="3"/>
  <c r="XT18" i="3"/>
  <c r="XX18" i="3"/>
  <c r="YB18" i="3"/>
  <c r="YF18" i="3"/>
  <c r="YJ18" i="3"/>
  <c r="YN18" i="3"/>
  <c r="YR18" i="3"/>
  <c r="YV18" i="3"/>
  <c r="YZ18" i="3"/>
  <c r="ZD18" i="3"/>
  <c r="ZH18" i="3"/>
  <c r="ZL18" i="3"/>
  <c r="ZP18" i="3"/>
  <c r="ZT18" i="3"/>
  <c r="ZX18" i="3"/>
  <c r="AAB18" i="3"/>
  <c r="AAF18" i="3"/>
  <c r="AAJ18" i="3"/>
  <c r="AAN18" i="3"/>
  <c r="AAR18" i="3"/>
  <c r="AAV18" i="3"/>
  <c r="AAZ18" i="3"/>
  <c r="ABD18" i="3"/>
  <c r="ABH18" i="3"/>
  <c r="ABL18" i="3"/>
  <c r="ABP18" i="3"/>
  <c r="ABT18" i="3"/>
  <c r="ABX18" i="3"/>
  <c r="ACB18" i="3"/>
  <c r="ACF18" i="3"/>
  <c r="ACJ18" i="3"/>
  <c r="ACN18" i="3"/>
  <c r="ACR18" i="3"/>
  <c r="ACV18" i="3"/>
  <c r="ACZ18" i="3"/>
  <c r="ADD18" i="3"/>
  <c r="ADH18" i="3"/>
  <c r="ADL18" i="3"/>
  <c r="ADP18" i="3"/>
  <c r="ADT18" i="3"/>
  <c r="ADX18" i="3"/>
  <c r="AEB18" i="3"/>
  <c r="SQ14" i="3"/>
  <c r="TH14" i="3"/>
  <c r="TX14" i="3"/>
  <c r="UN14" i="3"/>
  <c r="VD14" i="3"/>
  <c r="VT14" i="3"/>
  <c r="WJ14" i="3"/>
  <c r="WZ14" i="3"/>
  <c r="XP14" i="3"/>
  <c r="YF14" i="3"/>
  <c r="YV14" i="3"/>
  <c r="ZL14" i="3"/>
  <c r="AAB14" i="3"/>
  <c r="AAR14" i="3"/>
  <c r="ABH14" i="3"/>
  <c r="ABX14" i="3"/>
  <c r="ACN14" i="3"/>
  <c r="ADD14" i="3"/>
  <c r="ADT14" i="3"/>
  <c r="AEJ14" i="3"/>
  <c r="AEZ14" i="3"/>
  <c r="AFP14" i="3"/>
  <c r="AGF14" i="3"/>
  <c r="AGV14" i="3"/>
  <c r="AHL14" i="3"/>
  <c r="AIB14" i="3"/>
  <c r="AIR14" i="3"/>
  <c r="AJH14" i="3"/>
  <c r="AJX14" i="3"/>
  <c r="AKN14" i="3"/>
  <c r="ALD14" i="3"/>
  <c r="H15" i="3"/>
  <c r="X15" i="3"/>
  <c r="AN15" i="3"/>
  <c r="BD15" i="3"/>
  <c r="BT15" i="3"/>
  <c r="CJ15" i="3"/>
  <c r="CZ15" i="3"/>
  <c r="DP15" i="3"/>
  <c r="DX15" i="3"/>
  <c r="EF15" i="3"/>
  <c r="EN15" i="3"/>
  <c r="EV15" i="3"/>
  <c r="FD15" i="3"/>
  <c r="FL15" i="3"/>
  <c r="FT15" i="3"/>
  <c r="GB15" i="3"/>
  <c r="GJ15" i="3"/>
  <c r="GR15" i="3"/>
  <c r="GZ15" i="3"/>
  <c r="HH15" i="3"/>
  <c r="HP15" i="3"/>
  <c r="HX15" i="3"/>
  <c r="IF15" i="3"/>
  <c r="IN15" i="3"/>
  <c r="IV15" i="3"/>
  <c r="JD15" i="3"/>
  <c r="JL15" i="3"/>
  <c r="JT15" i="3"/>
  <c r="KB15" i="3"/>
  <c r="KJ15" i="3"/>
  <c r="KR15" i="3"/>
  <c r="KZ15" i="3"/>
  <c r="LH15" i="3"/>
  <c r="LP15" i="3"/>
  <c r="LX15" i="3"/>
  <c r="MF15" i="3"/>
  <c r="MN15" i="3"/>
  <c r="MV15" i="3"/>
  <c r="ND15" i="3"/>
  <c r="NL15" i="3"/>
  <c r="NT15" i="3"/>
  <c r="OB15" i="3"/>
  <c r="OJ15" i="3"/>
  <c r="OR15" i="3"/>
  <c r="OZ15" i="3"/>
  <c r="PH15" i="3"/>
  <c r="PP15" i="3"/>
  <c r="PX15" i="3"/>
  <c r="QF15" i="3"/>
  <c r="QN15" i="3"/>
  <c r="QV15" i="3"/>
  <c r="RD15" i="3"/>
  <c r="RL15" i="3"/>
  <c r="RT15" i="3"/>
  <c r="SB15" i="3"/>
  <c r="SJ15" i="3"/>
  <c r="SR15" i="3"/>
  <c r="SZ15" i="3"/>
  <c r="TH15" i="3"/>
  <c r="TP15" i="3"/>
  <c r="TX15" i="3"/>
  <c r="UF15" i="3"/>
  <c r="UN15" i="3"/>
  <c r="UV15" i="3"/>
  <c r="VD15" i="3"/>
  <c r="VL15" i="3"/>
  <c r="VT15" i="3"/>
  <c r="WB15" i="3"/>
  <c r="WJ15" i="3"/>
  <c r="WR15" i="3"/>
  <c r="WZ15" i="3"/>
  <c r="XH15" i="3"/>
  <c r="XP15" i="3"/>
  <c r="XX15" i="3"/>
  <c r="YF15" i="3"/>
  <c r="YN15" i="3"/>
  <c r="YV15" i="3"/>
  <c r="ZD15" i="3"/>
  <c r="ZL15" i="3"/>
  <c r="ZT15" i="3"/>
  <c r="AAB15" i="3"/>
  <c r="AAJ15" i="3"/>
  <c r="AAR15" i="3"/>
  <c r="AAZ15" i="3"/>
  <c r="ABH15" i="3"/>
  <c r="ABP15" i="3"/>
  <c r="ABX15" i="3"/>
  <c r="ACF15" i="3"/>
  <c r="ACN15" i="3"/>
  <c r="ACV15" i="3"/>
  <c r="ADD15" i="3"/>
  <c r="ADL15" i="3"/>
  <c r="ADT15" i="3"/>
  <c r="AEB15" i="3"/>
  <c r="AEJ15" i="3"/>
  <c r="AER15" i="3"/>
  <c r="AEZ15" i="3"/>
  <c r="AFH15" i="3"/>
  <c r="AFP15" i="3"/>
  <c r="AFX15" i="3"/>
  <c r="AGF15" i="3"/>
  <c r="AGN15" i="3"/>
  <c r="AGV15" i="3"/>
  <c r="AHD15" i="3"/>
  <c r="AHL15" i="3"/>
  <c r="AHT15" i="3"/>
  <c r="AIB15" i="3"/>
  <c r="AIJ15" i="3"/>
  <c r="AIR15" i="3"/>
  <c r="AIZ15" i="3"/>
  <c r="AJH15" i="3"/>
  <c r="AJP15" i="3"/>
  <c r="AJX15" i="3"/>
  <c r="AKF15" i="3"/>
  <c r="AKN15" i="3"/>
  <c r="AKV15" i="3"/>
  <c r="ALD15" i="3"/>
  <c r="ALL15" i="3"/>
  <c r="H16" i="3"/>
  <c r="P16" i="3"/>
  <c r="X16" i="3"/>
  <c r="AF16" i="3"/>
  <c r="AN16" i="3"/>
  <c r="AV16" i="3"/>
  <c r="BD16" i="3"/>
  <c r="BL16" i="3"/>
  <c r="BT16" i="3"/>
  <c r="CB16" i="3"/>
  <c r="CJ16" i="3"/>
  <c r="CR16" i="3"/>
  <c r="CZ16" i="3"/>
  <c r="DH16" i="3"/>
  <c r="DP16" i="3"/>
  <c r="DX16" i="3"/>
  <c r="EF16" i="3"/>
  <c r="EN16" i="3"/>
  <c r="EV16" i="3"/>
  <c r="FD16" i="3"/>
  <c r="FL16" i="3"/>
  <c r="FT16" i="3"/>
  <c r="GB16" i="3"/>
  <c r="GJ16" i="3"/>
  <c r="GR16" i="3"/>
  <c r="GZ16" i="3"/>
  <c r="HH16" i="3"/>
  <c r="HP16" i="3"/>
  <c r="HX16" i="3"/>
  <c r="IF16" i="3"/>
  <c r="IN16" i="3"/>
  <c r="IV16" i="3"/>
  <c r="JD16" i="3"/>
  <c r="JL16" i="3"/>
  <c r="JT16" i="3"/>
  <c r="KB16" i="3"/>
  <c r="KJ16" i="3"/>
  <c r="KR16" i="3"/>
  <c r="KZ16" i="3"/>
  <c r="LH16" i="3"/>
  <c r="LP16" i="3"/>
  <c r="LX16" i="3"/>
  <c r="MF16" i="3"/>
  <c r="MN16" i="3"/>
  <c r="MV16" i="3"/>
  <c r="ND16" i="3"/>
  <c r="NL16" i="3"/>
  <c r="NT16" i="3"/>
  <c r="OB16" i="3"/>
  <c r="OJ16" i="3"/>
  <c r="OR16" i="3"/>
  <c r="OZ16" i="3"/>
  <c r="PH16" i="3"/>
  <c r="PP16" i="3"/>
  <c r="PX16" i="3"/>
  <c r="QF16" i="3"/>
  <c r="QN16" i="3"/>
  <c r="QV16" i="3"/>
  <c r="RD16" i="3"/>
  <c r="RL16" i="3"/>
  <c r="RT16" i="3"/>
  <c r="SB16" i="3"/>
  <c r="SJ16" i="3"/>
  <c r="SR16" i="3"/>
  <c r="SZ16" i="3"/>
  <c r="TH16" i="3"/>
  <c r="TP16" i="3"/>
  <c r="TX16" i="3"/>
  <c r="UF16" i="3"/>
  <c r="UN16" i="3"/>
  <c r="UV16" i="3"/>
  <c r="VD16" i="3"/>
  <c r="VL16" i="3"/>
  <c r="VT16" i="3"/>
  <c r="WB16" i="3"/>
  <c r="WJ16" i="3"/>
  <c r="WR16" i="3"/>
  <c r="WZ16" i="3"/>
  <c r="XH16" i="3"/>
  <c r="XP16" i="3"/>
  <c r="XX16" i="3"/>
  <c r="YF16" i="3"/>
  <c r="YN16" i="3"/>
  <c r="YV16" i="3"/>
  <c r="ZD16" i="3"/>
  <c r="ZL16" i="3"/>
  <c r="ZT16" i="3"/>
  <c r="AAB16" i="3"/>
  <c r="AAJ16" i="3"/>
  <c r="AAR16" i="3"/>
  <c r="AAZ16" i="3"/>
  <c r="ABH16" i="3"/>
  <c r="ABP16" i="3"/>
  <c r="ABX16" i="3"/>
  <c r="ACF16" i="3"/>
  <c r="ACN16" i="3"/>
  <c r="ACV16" i="3"/>
  <c r="ADD16" i="3"/>
  <c r="ADI16" i="3"/>
  <c r="ADM16" i="3"/>
  <c r="ADQ16" i="3"/>
  <c r="ADU16" i="3"/>
  <c r="ADY16" i="3"/>
  <c r="AEC16" i="3"/>
  <c r="AEG16" i="3"/>
  <c r="AEK16" i="3"/>
  <c r="AEO16" i="3"/>
  <c r="AES16" i="3"/>
  <c r="AEW16" i="3"/>
  <c r="AFA16" i="3"/>
  <c r="AFE16" i="3"/>
  <c r="AFI16" i="3"/>
  <c r="AFM16" i="3"/>
  <c r="AFQ16" i="3"/>
  <c r="AFU16" i="3"/>
  <c r="AFY16" i="3"/>
  <c r="AGC16" i="3"/>
  <c r="AGG16" i="3"/>
  <c r="AGK16" i="3"/>
  <c r="AGO16" i="3"/>
  <c r="AGS16" i="3"/>
  <c r="AGW16" i="3"/>
  <c r="AHA16" i="3"/>
  <c r="AHE16" i="3"/>
  <c r="AHI16" i="3"/>
  <c r="AHM16" i="3"/>
  <c r="AHQ16" i="3"/>
  <c r="AHU16" i="3"/>
  <c r="AHY16" i="3"/>
  <c r="AIC16" i="3"/>
  <c r="AIG16" i="3"/>
  <c r="AIK16" i="3"/>
  <c r="AIO16" i="3"/>
  <c r="AIS16" i="3"/>
  <c r="AIW16" i="3"/>
  <c r="AJA16" i="3"/>
  <c r="AJE16" i="3"/>
  <c r="AJI16" i="3"/>
  <c r="AJM16" i="3"/>
  <c r="AJQ16" i="3"/>
  <c r="AJU16" i="3"/>
  <c r="AJY16" i="3"/>
  <c r="AKC16" i="3"/>
  <c r="AKG16" i="3"/>
  <c r="AKK16" i="3"/>
  <c r="AKO16" i="3"/>
  <c r="AKS16" i="3"/>
  <c r="AKW16" i="3"/>
  <c r="ALA16" i="3"/>
  <c r="ALE16" i="3"/>
  <c r="ALI16" i="3"/>
  <c r="ALM16" i="3"/>
  <c r="E17" i="3"/>
  <c r="I17" i="3"/>
  <c r="M17" i="3"/>
  <c r="Q17" i="3"/>
  <c r="U17" i="3"/>
  <c r="Y17" i="3"/>
  <c r="AC17" i="3"/>
  <c r="AG17" i="3"/>
  <c r="AK17" i="3"/>
  <c r="AO17" i="3"/>
  <c r="AS17" i="3"/>
  <c r="AW17" i="3"/>
  <c r="BA17" i="3"/>
  <c r="BE17" i="3"/>
  <c r="BI17" i="3"/>
  <c r="BM17" i="3"/>
  <c r="BQ17" i="3"/>
  <c r="BU17" i="3"/>
  <c r="BY17" i="3"/>
  <c r="CC17" i="3"/>
  <c r="CG17" i="3"/>
  <c r="CK17" i="3"/>
  <c r="CO17" i="3"/>
  <c r="CS17" i="3"/>
  <c r="CW17" i="3"/>
  <c r="DA17" i="3"/>
  <c r="DE17" i="3"/>
  <c r="DI17" i="3"/>
  <c r="DM17" i="3"/>
  <c r="DQ17" i="3"/>
  <c r="DU17" i="3"/>
  <c r="DY17" i="3"/>
  <c r="EC17" i="3"/>
  <c r="EG17" i="3"/>
  <c r="EK17" i="3"/>
  <c r="EO17" i="3"/>
  <c r="ES17" i="3"/>
  <c r="EW17" i="3"/>
  <c r="FA17" i="3"/>
  <c r="FE17" i="3"/>
  <c r="FI17" i="3"/>
  <c r="FM17" i="3"/>
  <c r="FQ17" i="3"/>
  <c r="FU17" i="3"/>
  <c r="FY17" i="3"/>
  <c r="GC17" i="3"/>
  <c r="GG17" i="3"/>
  <c r="GK17" i="3"/>
  <c r="GO17" i="3"/>
  <c r="GS17" i="3"/>
  <c r="GW17" i="3"/>
  <c r="HA17" i="3"/>
  <c r="HE17" i="3"/>
  <c r="HI17" i="3"/>
  <c r="HM17" i="3"/>
  <c r="HQ17" i="3"/>
  <c r="HU17" i="3"/>
  <c r="HY17" i="3"/>
  <c r="IC17" i="3"/>
  <c r="IG17" i="3"/>
  <c r="IK17" i="3"/>
  <c r="IO17" i="3"/>
  <c r="IS17" i="3"/>
  <c r="IW17" i="3"/>
  <c r="JA17" i="3"/>
  <c r="JE17" i="3"/>
  <c r="JI17" i="3"/>
  <c r="JM17" i="3"/>
  <c r="JQ17" i="3"/>
  <c r="JU17" i="3"/>
  <c r="JY17" i="3"/>
  <c r="KC17" i="3"/>
  <c r="KG17" i="3"/>
  <c r="KK17" i="3"/>
  <c r="KO17" i="3"/>
  <c r="KS17" i="3"/>
  <c r="KW17" i="3"/>
  <c r="LA17" i="3"/>
  <c r="LE17" i="3"/>
  <c r="LI17" i="3"/>
  <c r="LM17" i="3"/>
  <c r="LQ17" i="3"/>
  <c r="LU17" i="3"/>
  <c r="LY17" i="3"/>
  <c r="MC17" i="3"/>
  <c r="MG17" i="3"/>
  <c r="MK17" i="3"/>
  <c r="MO17" i="3"/>
  <c r="MS17" i="3"/>
  <c r="MW17" i="3"/>
  <c r="NA17" i="3"/>
  <c r="NE17" i="3"/>
  <c r="NI17" i="3"/>
  <c r="NM17" i="3"/>
  <c r="NQ17" i="3"/>
  <c r="NU17" i="3"/>
  <c r="NY17" i="3"/>
  <c r="OC17" i="3"/>
  <c r="OG17" i="3"/>
  <c r="OK17" i="3"/>
  <c r="OO17" i="3"/>
  <c r="OS17" i="3"/>
  <c r="OW17" i="3"/>
  <c r="PA17" i="3"/>
  <c r="PE17" i="3"/>
  <c r="PI17" i="3"/>
  <c r="PM17" i="3"/>
  <c r="PQ17" i="3"/>
  <c r="PU17" i="3"/>
  <c r="PY17" i="3"/>
  <c r="QC17" i="3"/>
  <c r="QG17" i="3"/>
  <c r="QK17" i="3"/>
  <c r="QO17" i="3"/>
  <c r="QS17" i="3"/>
  <c r="QW17" i="3"/>
  <c r="RA17" i="3"/>
  <c r="RE17" i="3"/>
  <c r="RI17" i="3"/>
  <c r="RM17" i="3"/>
  <c r="RQ17" i="3"/>
  <c r="RU17" i="3"/>
  <c r="RY17" i="3"/>
  <c r="SC17" i="3"/>
  <c r="SG17" i="3"/>
  <c r="SK17" i="3"/>
  <c r="SO17" i="3"/>
  <c r="SS17" i="3"/>
  <c r="SW17" i="3"/>
  <c r="TA17" i="3"/>
  <c r="TE17" i="3"/>
  <c r="TI17" i="3"/>
  <c r="TM17" i="3"/>
  <c r="TQ17" i="3"/>
  <c r="TU17" i="3"/>
  <c r="TY17" i="3"/>
  <c r="UC17" i="3"/>
  <c r="UG17" i="3"/>
  <c r="UK17" i="3"/>
  <c r="UO17" i="3"/>
  <c r="US17" i="3"/>
  <c r="UW17" i="3"/>
  <c r="VA17" i="3"/>
  <c r="VE17" i="3"/>
  <c r="VI17" i="3"/>
  <c r="VM17" i="3"/>
  <c r="VQ17" i="3"/>
  <c r="VU17" i="3"/>
  <c r="VY17" i="3"/>
  <c r="WC17" i="3"/>
  <c r="WG17" i="3"/>
  <c r="WK17" i="3"/>
  <c r="WO17" i="3"/>
  <c r="WS17" i="3"/>
  <c r="WW17" i="3"/>
  <c r="XA17" i="3"/>
  <c r="XE17" i="3"/>
  <c r="XI17" i="3"/>
  <c r="XM17" i="3"/>
  <c r="XQ17" i="3"/>
  <c r="XU17" i="3"/>
  <c r="XY17" i="3"/>
  <c r="YC17" i="3"/>
  <c r="YG17" i="3"/>
  <c r="YK17" i="3"/>
  <c r="YO17" i="3"/>
  <c r="YS17" i="3"/>
  <c r="YW17" i="3"/>
  <c r="ZA17" i="3"/>
  <c r="ZE17" i="3"/>
  <c r="ZI17" i="3"/>
  <c r="ZM17" i="3"/>
  <c r="ZQ17" i="3"/>
  <c r="ZU17" i="3"/>
  <c r="ZY17" i="3"/>
  <c r="AAC17" i="3"/>
  <c r="AAG17" i="3"/>
  <c r="AAK17" i="3"/>
  <c r="AAO17" i="3"/>
  <c r="AAS17" i="3"/>
  <c r="AAW17" i="3"/>
  <c r="ABA17" i="3"/>
  <c r="ABE17" i="3"/>
  <c r="ABI17" i="3"/>
  <c r="ABM17" i="3"/>
  <c r="ABQ17" i="3"/>
  <c r="ABU17" i="3"/>
  <c r="ABY17" i="3"/>
  <c r="ACC17" i="3"/>
  <c r="ACG17" i="3"/>
  <c r="ACK17" i="3"/>
  <c r="ACO17" i="3"/>
  <c r="ACS17" i="3"/>
  <c r="ACW17" i="3"/>
  <c r="ADA17" i="3"/>
  <c r="ADE17" i="3"/>
  <c r="ADI17" i="3"/>
  <c r="ADM17" i="3"/>
  <c r="ADQ17" i="3"/>
  <c r="ADU17" i="3"/>
  <c r="ADY17" i="3"/>
  <c r="AEC17" i="3"/>
  <c r="AEG17" i="3"/>
  <c r="AEK17" i="3"/>
  <c r="AEO17" i="3"/>
  <c r="AES17" i="3"/>
  <c r="AEW17" i="3"/>
  <c r="AFA17" i="3"/>
  <c r="AFE17" i="3"/>
  <c r="AFI17" i="3"/>
  <c r="AFM17" i="3"/>
  <c r="AFQ17" i="3"/>
  <c r="AFU17" i="3"/>
  <c r="AFY17" i="3"/>
  <c r="AGC17" i="3"/>
  <c r="AGG17" i="3"/>
  <c r="AGK17" i="3"/>
  <c r="AGO17" i="3"/>
  <c r="AGS17" i="3"/>
  <c r="AGW17" i="3"/>
  <c r="AHA17" i="3"/>
  <c r="AHE17" i="3"/>
  <c r="AHI17" i="3"/>
  <c r="AHM17" i="3"/>
  <c r="AHQ17" i="3"/>
  <c r="AHU17" i="3"/>
  <c r="AHY17" i="3"/>
  <c r="AIC17" i="3"/>
  <c r="AIG17" i="3"/>
  <c r="AIK17" i="3"/>
  <c r="AIO17" i="3"/>
  <c r="AIS17" i="3"/>
  <c r="AIW17" i="3"/>
  <c r="AJA17" i="3"/>
  <c r="AJE17" i="3"/>
  <c r="AJI17" i="3"/>
  <c r="AJM17" i="3"/>
  <c r="AJQ17" i="3"/>
  <c r="AJU17" i="3"/>
  <c r="AJY17" i="3"/>
  <c r="AKC17" i="3"/>
  <c r="AKG17" i="3"/>
  <c r="AKK17" i="3"/>
  <c r="AKO17" i="3"/>
  <c r="AKS17" i="3"/>
  <c r="AKW17" i="3"/>
  <c r="ALA17" i="3"/>
  <c r="ALE17" i="3"/>
  <c r="ALI17" i="3"/>
  <c r="ALM17" i="3"/>
  <c r="E18" i="3"/>
  <c r="I18" i="3"/>
  <c r="M18" i="3"/>
  <c r="Q18" i="3"/>
  <c r="U18" i="3"/>
  <c r="Y18" i="3"/>
  <c r="AC18" i="3"/>
  <c r="AG18" i="3"/>
  <c r="AK18" i="3"/>
  <c r="AO18" i="3"/>
  <c r="AS18" i="3"/>
  <c r="AW18" i="3"/>
  <c r="BA18" i="3"/>
  <c r="BE18" i="3"/>
  <c r="BI18" i="3"/>
  <c r="BM18" i="3"/>
  <c r="BQ18" i="3"/>
  <c r="BU18" i="3"/>
  <c r="BY18" i="3"/>
  <c r="CC18" i="3"/>
  <c r="CG18" i="3"/>
  <c r="CK18" i="3"/>
  <c r="CO18" i="3"/>
  <c r="CS18" i="3"/>
  <c r="CW18" i="3"/>
  <c r="DA18" i="3"/>
  <c r="DE18" i="3"/>
  <c r="DI18" i="3"/>
  <c r="DM18" i="3"/>
  <c r="DQ18" i="3"/>
  <c r="DU18" i="3"/>
  <c r="DY18" i="3"/>
  <c r="EC18" i="3"/>
  <c r="EG18" i="3"/>
  <c r="EK18" i="3"/>
  <c r="EO18" i="3"/>
  <c r="ES18" i="3"/>
  <c r="EW18" i="3"/>
  <c r="FA18" i="3"/>
  <c r="FE18" i="3"/>
  <c r="FI18" i="3"/>
  <c r="FM18" i="3"/>
  <c r="FQ18" i="3"/>
  <c r="FU18" i="3"/>
  <c r="FY18" i="3"/>
  <c r="GC18" i="3"/>
  <c r="GG18" i="3"/>
  <c r="GK18" i="3"/>
  <c r="GO18" i="3"/>
  <c r="GS18" i="3"/>
  <c r="GW18" i="3"/>
  <c r="HA18" i="3"/>
  <c r="HE18" i="3"/>
  <c r="HI18" i="3"/>
  <c r="HM18" i="3"/>
  <c r="HQ18" i="3"/>
  <c r="HU18" i="3"/>
  <c r="HY18" i="3"/>
  <c r="IC18" i="3"/>
  <c r="IG18" i="3"/>
  <c r="IK18" i="3"/>
  <c r="IO18" i="3"/>
  <c r="IS18" i="3"/>
  <c r="IW18" i="3"/>
  <c r="JA18" i="3"/>
  <c r="JE18" i="3"/>
  <c r="JI18" i="3"/>
  <c r="JM18" i="3"/>
  <c r="JQ18" i="3"/>
  <c r="JU18" i="3"/>
  <c r="JY18" i="3"/>
  <c r="KC18" i="3"/>
  <c r="KG18" i="3"/>
  <c r="KK18" i="3"/>
  <c r="KO18" i="3"/>
  <c r="KS18" i="3"/>
  <c r="KW18" i="3"/>
  <c r="LA18" i="3"/>
  <c r="LE18" i="3"/>
  <c r="LI18" i="3"/>
  <c r="LM18" i="3"/>
  <c r="LQ18" i="3"/>
  <c r="LU18" i="3"/>
  <c r="LY18" i="3"/>
  <c r="MC18" i="3"/>
  <c r="MG18" i="3"/>
  <c r="MK18" i="3"/>
  <c r="MO18" i="3"/>
  <c r="MS18" i="3"/>
  <c r="MW18" i="3"/>
  <c r="NA18" i="3"/>
  <c r="NE18" i="3"/>
  <c r="NI18" i="3"/>
  <c r="NM18" i="3"/>
  <c r="NQ18" i="3"/>
  <c r="NU18" i="3"/>
  <c r="NY18" i="3"/>
  <c r="OC18" i="3"/>
  <c r="OG18" i="3"/>
  <c r="OK18" i="3"/>
  <c r="OO18" i="3"/>
  <c r="OS18" i="3"/>
  <c r="OW18" i="3"/>
  <c r="PA18" i="3"/>
  <c r="PE18" i="3"/>
  <c r="PI18" i="3"/>
  <c r="PM18" i="3"/>
  <c r="PQ18" i="3"/>
  <c r="PU18" i="3"/>
  <c r="PY18" i="3"/>
  <c r="QC18" i="3"/>
  <c r="SV14" i="3"/>
  <c r="TL14" i="3"/>
  <c r="UB14" i="3"/>
  <c r="UR14" i="3"/>
  <c r="VH14" i="3"/>
  <c r="VX14" i="3"/>
  <c r="WN14" i="3"/>
  <c r="XD14" i="3"/>
  <c r="XT14" i="3"/>
  <c r="YJ14" i="3"/>
  <c r="YZ14" i="3"/>
  <c r="ZP14" i="3"/>
  <c r="AAF14" i="3"/>
  <c r="AAV14" i="3"/>
  <c r="ABL14" i="3"/>
  <c r="ACB14" i="3"/>
  <c r="ACR14" i="3"/>
  <c r="ADH14" i="3"/>
  <c r="ADX14" i="3"/>
  <c r="AEN14" i="3"/>
  <c r="AFD14" i="3"/>
  <c r="AFT14" i="3"/>
  <c r="AGJ14" i="3"/>
  <c r="AGZ14" i="3"/>
  <c r="AHP14" i="3"/>
  <c r="AIF14" i="3"/>
  <c r="AIV14" i="3"/>
  <c r="AJL14" i="3"/>
  <c r="AKB14" i="3"/>
  <c r="AKR14" i="3"/>
  <c r="ALH14" i="3"/>
  <c r="L15" i="3"/>
  <c r="AB15" i="3"/>
  <c r="AR15" i="3"/>
  <c r="BH15" i="3"/>
  <c r="BX15" i="3"/>
  <c r="CN15" i="3"/>
  <c r="DD15" i="3"/>
  <c r="DS15" i="3"/>
  <c r="EA15" i="3"/>
  <c r="EI15" i="3"/>
  <c r="EQ15" i="3"/>
  <c r="EY15" i="3"/>
  <c r="FG15" i="3"/>
  <c r="FO15" i="3"/>
  <c r="FW15" i="3"/>
  <c r="GE15" i="3"/>
  <c r="GM15" i="3"/>
  <c r="GU15" i="3"/>
  <c r="HC15" i="3"/>
  <c r="HK15" i="3"/>
  <c r="HS15" i="3"/>
  <c r="IA15" i="3"/>
  <c r="II15" i="3"/>
  <c r="IQ15" i="3"/>
  <c r="IY15" i="3"/>
  <c r="JG15" i="3"/>
  <c r="JO15" i="3"/>
  <c r="JW15" i="3"/>
  <c r="KE15" i="3"/>
  <c r="KM15" i="3"/>
  <c r="KU15" i="3"/>
  <c r="LC15" i="3"/>
  <c r="LK15" i="3"/>
  <c r="LS15" i="3"/>
  <c r="MA15" i="3"/>
  <c r="MI15" i="3"/>
  <c r="MQ15" i="3"/>
  <c r="MY15" i="3"/>
  <c r="NG15" i="3"/>
  <c r="NO15" i="3"/>
  <c r="NW15" i="3"/>
  <c r="OE15" i="3"/>
  <c r="OM15" i="3"/>
  <c r="OU15" i="3"/>
  <c r="PC15" i="3"/>
  <c r="PK15" i="3"/>
  <c r="PS15" i="3"/>
  <c r="QA15" i="3"/>
  <c r="QI15" i="3"/>
  <c r="QQ15" i="3"/>
  <c r="QY15" i="3"/>
  <c r="RG15" i="3"/>
  <c r="RO15" i="3"/>
  <c r="RW15" i="3"/>
  <c r="SE15" i="3"/>
  <c r="SM15" i="3"/>
  <c r="SU15" i="3"/>
  <c r="TC15" i="3"/>
  <c r="TK15" i="3"/>
  <c r="TS15" i="3"/>
  <c r="UA15" i="3"/>
  <c r="UI15" i="3"/>
  <c r="UQ15" i="3"/>
  <c r="UY15" i="3"/>
  <c r="VG15" i="3"/>
  <c r="VO15" i="3"/>
  <c r="VW15" i="3"/>
  <c r="WE15" i="3"/>
  <c r="WM15" i="3"/>
  <c r="WU15" i="3"/>
  <c r="XC15" i="3"/>
  <c r="XK15" i="3"/>
  <c r="XS15" i="3"/>
  <c r="YA15" i="3"/>
  <c r="YI15" i="3"/>
  <c r="YQ15" i="3"/>
  <c r="YY15" i="3"/>
  <c r="ZG15" i="3"/>
  <c r="ZO15" i="3"/>
  <c r="ZW15" i="3"/>
  <c r="AAE15" i="3"/>
  <c r="AAM15" i="3"/>
  <c r="AAU15" i="3"/>
  <c r="ABC15" i="3"/>
  <c r="ABK15" i="3"/>
  <c r="ABS15" i="3"/>
  <c r="ACA15" i="3"/>
  <c r="ACI15" i="3"/>
  <c r="ACQ15" i="3"/>
  <c r="ACY15" i="3"/>
  <c r="ADG15" i="3"/>
  <c r="ADO15" i="3"/>
  <c r="ADW15" i="3"/>
  <c r="AEE15" i="3"/>
  <c r="AEM15" i="3"/>
  <c r="AEU15" i="3"/>
  <c r="AFC15" i="3"/>
  <c r="AFK15" i="3"/>
  <c r="AFS15" i="3"/>
  <c r="AGA15" i="3"/>
  <c r="AGI15" i="3"/>
  <c r="AGQ15" i="3"/>
  <c r="AGY15" i="3"/>
  <c r="AHG15" i="3"/>
  <c r="AHO15" i="3"/>
  <c r="AHW15" i="3"/>
  <c r="AIE15" i="3"/>
  <c r="AIM15" i="3"/>
  <c r="AIU15" i="3"/>
  <c r="AJC15" i="3"/>
  <c r="AJK15" i="3"/>
  <c r="AJS15" i="3"/>
  <c r="AKA15" i="3"/>
  <c r="AKI15" i="3"/>
  <c r="AKQ15" i="3"/>
  <c r="AKY15" i="3"/>
  <c r="ALG15" i="3"/>
  <c r="C16" i="3"/>
  <c r="K16" i="3"/>
  <c r="S16" i="3"/>
  <c r="AA16" i="3"/>
  <c r="AI16" i="3"/>
  <c r="AQ16" i="3"/>
  <c r="AY16" i="3"/>
  <c r="BG16" i="3"/>
  <c r="BO16" i="3"/>
  <c r="BW16" i="3"/>
  <c r="CE16" i="3"/>
  <c r="CM16" i="3"/>
  <c r="CU16" i="3"/>
  <c r="DC16" i="3"/>
  <c r="DK16" i="3"/>
  <c r="DS16" i="3"/>
  <c r="EA16" i="3"/>
  <c r="EI16" i="3"/>
  <c r="EQ16" i="3"/>
  <c r="EY16" i="3"/>
  <c r="FG16" i="3"/>
  <c r="FO16" i="3"/>
  <c r="FW16" i="3"/>
  <c r="GE16" i="3"/>
  <c r="GM16" i="3"/>
  <c r="GU16" i="3"/>
  <c r="HC16" i="3"/>
  <c r="HK16" i="3"/>
  <c r="HS16" i="3"/>
  <c r="IA16" i="3"/>
  <c r="II16" i="3"/>
  <c r="IQ16" i="3"/>
  <c r="IY16" i="3"/>
  <c r="JG16" i="3"/>
  <c r="JO16" i="3"/>
  <c r="JW16" i="3"/>
  <c r="KE16" i="3"/>
  <c r="KM16" i="3"/>
  <c r="KU16" i="3"/>
  <c r="LC16" i="3"/>
  <c r="LK16" i="3"/>
  <c r="LS16" i="3"/>
  <c r="MA16" i="3"/>
  <c r="MI16" i="3"/>
  <c r="MQ16" i="3"/>
  <c r="MY16" i="3"/>
  <c r="NG16" i="3"/>
  <c r="NO16" i="3"/>
  <c r="NW16" i="3"/>
  <c r="OE16" i="3"/>
  <c r="OM16" i="3"/>
  <c r="OU16" i="3"/>
  <c r="PC16" i="3"/>
  <c r="PK16" i="3"/>
  <c r="PS16" i="3"/>
  <c r="QA16" i="3"/>
  <c r="QI16" i="3"/>
  <c r="QQ16" i="3"/>
  <c r="QY16" i="3"/>
  <c r="RG16" i="3"/>
  <c r="RO16" i="3"/>
  <c r="RW16" i="3"/>
  <c r="SE16" i="3"/>
  <c r="SM16" i="3"/>
  <c r="SU16" i="3"/>
  <c r="TC16" i="3"/>
  <c r="TK16" i="3"/>
  <c r="TS16" i="3"/>
  <c r="UA16" i="3"/>
  <c r="UI16" i="3"/>
  <c r="UQ16" i="3"/>
  <c r="UY16" i="3"/>
  <c r="VG16" i="3"/>
  <c r="VO16" i="3"/>
  <c r="VW16" i="3"/>
  <c r="WE16" i="3"/>
  <c r="WM16" i="3"/>
  <c r="WU16" i="3"/>
  <c r="XC16" i="3"/>
  <c r="XK16" i="3"/>
  <c r="XS16" i="3"/>
  <c r="YA16" i="3"/>
  <c r="YI16" i="3"/>
  <c r="YQ16" i="3"/>
  <c r="YY16" i="3"/>
  <c r="ZG16" i="3"/>
  <c r="ZO16" i="3"/>
  <c r="ZW16" i="3"/>
  <c r="AAE16" i="3"/>
  <c r="AAM16" i="3"/>
  <c r="AAU16" i="3"/>
  <c r="ABC16" i="3"/>
  <c r="ABK16" i="3"/>
  <c r="ABS16" i="3"/>
  <c r="ACA16" i="3"/>
  <c r="ACI16" i="3"/>
  <c r="ACQ16" i="3"/>
  <c r="ACY16" i="3"/>
  <c r="ADE16" i="3"/>
  <c r="ADJ16" i="3"/>
  <c r="ADN16" i="3"/>
  <c r="ADR16" i="3"/>
  <c r="ADV16" i="3"/>
  <c r="ADZ16" i="3"/>
  <c r="AED16" i="3"/>
  <c r="AEH16" i="3"/>
  <c r="AEL16" i="3"/>
  <c r="AEP16" i="3"/>
  <c r="AET16" i="3"/>
  <c r="AEX16" i="3"/>
  <c r="AFB16" i="3"/>
  <c r="AFF16" i="3"/>
  <c r="AFJ16" i="3"/>
  <c r="AFN16" i="3"/>
  <c r="AFR16" i="3"/>
  <c r="AFV16" i="3"/>
  <c r="AFZ16" i="3"/>
  <c r="AGD16" i="3"/>
  <c r="AGH16" i="3"/>
  <c r="AGL16" i="3"/>
  <c r="AGP16" i="3"/>
  <c r="AGT16" i="3"/>
  <c r="AGX16" i="3"/>
  <c r="AHB16" i="3"/>
  <c r="AHF16" i="3"/>
  <c r="AHJ16" i="3"/>
  <c r="AHN16" i="3"/>
  <c r="AHR16" i="3"/>
  <c r="AHV16" i="3"/>
  <c r="AHZ16" i="3"/>
  <c r="AID16" i="3"/>
  <c r="AIH16" i="3"/>
  <c r="AIL16" i="3"/>
  <c r="AIP16" i="3"/>
  <c r="AIT16" i="3"/>
  <c r="AIX16" i="3"/>
  <c r="AJB16" i="3"/>
  <c r="AJF16" i="3"/>
  <c r="AJJ16" i="3"/>
  <c r="AJN16" i="3"/>
  <c r="AJR16" i="3"/>
  <c r="AJV16" i="3"/>
  <c r="AJZ16" i="3"/>
  <c r="AKD16" i="3"/>
  <c r="AKH16" i="3"/>
  <c r="AKL16" i="3"/>
  <c r="AKP16" i="3"/>
  <c r="AKT16" i="3"/>
  <c r="AKX16" i="3"/>
  <c r="ALB16" i="3"/>
  <c r="ALF16" i="3"/>
  <c r="ALJ16" i="3"/>
  <c r="B17" i="3"/>
  <c r="F17" i="3"/>
  <c r="J17" i="3"/>
  <c r="N17" i="3"/>
  <c r="R17" i="3"/>
  <c r="V17" i="3"/>
  <c r="Z17" i="3"/>
  <c r="AD17" i="3"/>
  <c r="AH17" i="3"/>
  <c r="AL17" i="3"/>
  <c r="AP17" i="3"/>
  <c r="AT17" i="3"/>
  <c r="AX17" i="3"/>
  <c r="BB17" i="3"/>
  <c r="BF17" i="3"/>
  <c r="BJ17" i="3"/>
  <c r="BN17" i="3"/>
  <c r="BR17" i="3"/>
  <c r="BV17" i="3"/>
  <c r="BZ17" i="3"/>
  <c r="CD17" i="3"/>
  <c r="CH17" i="3"/>
  <c r="CL17" i="3"/>
  <c r="CP17" i="3"/>
  <c r="CT17" i="3"/>
  <c r="CX17" i="3"/>
  <c r="DB17" i="3"/>
  <c r="DF17" i="3"/>
  <c r="DJ17" i="3"/>
  <c r="DN17" i="3"/>
  <c r="DR17" i="3"/>
  <c r="DV17" i="3"/>
  <c r="DZ17" i="3"/>
  <c r="ED17" i="3"/>
  <c r="EH17" i="3"/>
  <c r="EL17" i="3"/>
  <c r="EP17" i="3"/>
  <c r="ET17" i="3"/>
  <c r="EX17" i="3"/>
  <c r="FB17" i="3"/>
  <c r="FF17" i="3"/>
  <c r="FJ17" i="3"/>
  <c r="FN17" i="3"/>
  <c r="FR17" i="3"/>
  <c r="FV17" i="3"/>
  <c r="FZ17" i="3"/>
  <c r="GD17" i="3"/>
  <c r="GH17" i="3"/>
  <c r="GL17" i="3"/>
  <c r="GP17" i="3"/>
  <c r="GT17" i="3"/>
  <c r="GX17" i="3"/>
  <c r="HB17" i="3"/>
  <c r="HF17" i="3"/>
  <c r="HJ17" i="3"/>
  <c r="HN17" i="3"/>
  <c r="HR17" i="3"/>
  <c r="HV17" i="3"/>
  <c r="HZ17" i="3"/>
  <c r="ID17" i="3"/>
  <c r="IH17" i="3"/>
  <c r="IL17" i="3"/>
  <c r="IP17" i="3"/>
  <c r="IT17" i="3"/>
  <c r="IX17" i="3"/>
  <c r="JB17" i="3"/>
  <c r="JF17" i="3"/>
  <c r="JJ17" i="3"/>
  <c r="JN17" i="3"/>
  <c r="JR17" i="3"/>
  <c r="JV17" i="3"/>
  <c r="JZ17" i="3"/>
  <c r="KD17" i="3"/>
  <c r="KH17" i="3"/>
  <c r="KL17" i="3"/>
  <c r="KP17" i="3"/>
  <c r="KT17" i="3"/>
  <c r="KX17" i="3"/>
  <c r="LB17" i="3"/>
  <c r="LF17" i="3"/>
  <c r="LJ17" i="3"/>
  <c r="LN17" i="3"/>
  <c r="LR17" i="3"/>
  <c r="LV17" i="3"/>
  <c r="LZ17" i="3"/>
  <c r="MD17" i="3"/>
  <c r="MH17" i="3"/>
  <c r="ML17" i="3"/>
  <c r="MP17" i="3"/>
  <c r="MT17" i="3"/>
  <c r="MX17" i="3"/>
  <c r="NB17" i="3"/>
  <c r="NF17" i="3"/>
  <c r="NJ17" i="3"/>
  <c r="NN17" i="3"/>
  <c r="NR17" i="3"/>
  <c r="NV17" i="3"/>
  <c r="NZ17" i="3"/>
  <c r="OD17" i="3"/>
  <c r="OH17" i="3"/>
  <c r="OL17" i="3"/>
  <c r="OP17" i="3"/>
  <c r="OT17" i="3"/>
  <c r="OX17" i="3"/>
  <c r="PB17" i="3"/>
  <c r="PF17" i="3"/>
  <c r="PJ17" i="3"/>
  <c r="PN17" i="3"/>
  <c r="PR17" i="3"/>
  <c r="PV17" i="3"/>
  <c r="PZ17" i="3"/>
  <c r="QD17" i="3"/>
  <c r="QH17" i="3"/>
  <c r="QL17" i="3"/>
  <c r="QP17" i="3"/>
  <c r="QT17" i="3"/>
  <c r="QX17" i="3"/>
  <c r="RB17" i="3"/>
  <c r="RF17" i="3"/>
  <c r="RJ17" i="3"/>
  <c r="RN17" i="3"/>
  <c r="RR17" i="3"/>
  <c r="RV17" i="3"/>
  <c r="RZ17" i="3"/>
  <c r="SD17" i="3"/>
  <c r="SH17" i="3"/>
  <c r="SL17" i="3"/>
  <c r="SP17" i="3"/>
  <c r="ST17" i="3"/>
  <c r="SX17" i="3"/>
  <c r="TB17" i="3"/>
  <c r="TF17" i="3"/>
  <c r="TJ17" i="3"/>
  <c r="TN17" i="3"/>
  <c r="TR17" i="3"/>
  <c r="TV17" i="3"/>
  <c r="TZ17" i="3"/>
  <c r="UD17" i="3"/>
  <c r="UH17" i="3"/>
  <c r="UL17" i="3"/>
  <c r="UP17" i="3"/>
  <c r="UT17" i="3"/>
  <c r="UX17" i="3"/>
  <c r="VB17" i="3"/>
  <c r="VF17" i="3"/>
  <c r="VJ17" i="3"/>
  <c r="VN17" i="3"/>
  <c r="VR17" i="3"/>
  <c r="VV17" i="3"/>
  <c r="VZ17" i="3"/>
  <c r="WD17" i="3"/>
  <c r="WH17" i="3"/>
  <c r="WL17" i="3"/>
  <c r="WP17" i="3"/>
  <c r="WT17" i="3"/>
  <c r="WX17" i="3"/>
  <c r="XB17" i="3"/>
  <c r="XF17" i="3"/>
  <c r="XJ17" i="3"/>
  <c r="XN17" i="3"/>
  <c r="XR17" i="3"/>
  <c r="XV17" i="3"/>
  <c r="XZ17" i="3"/>
  <c r="YD17" i="3"/>
  <c r="YH17" i="3"/>
  <c r="YL17" i="3"/>
  <c r="YP17" i="3"/>
  <c r="YT17" i="3"/>
  <c r="YX17" i="3"/>
  <c r="ZB17" i="3"/>
  <c r="ZF17" i="3"/>
  <c r="ZJ17" i="3"/>
  <c r="ZN17" i="3"/>
  <c r="ZR17" i="3"/>
  <c r="ZV17" i="3"/>
  <c r="ZZ17" i="3"/>
  <c r="AAD17" i="3"/>
  <c r="AAH17" i="3"/>
  <c r="AAL17" i="3"/>
  <c r="AAP17" i="3"/>
  <c r="AAT17" i="3"/>
  <c r="AAX17" i="3"/>
  <c r="ABB17" i="3"/>
  <c r="ABF17" i="3"/>
  <c r="ABJ17" i="3"/>
  <c r="ABN17" i="3"/>
  <c r="ABR17" i="3"/>
  <c r="ABV17" i="3"/>
  <c r="ABZ17" i="3"/>
  <c r="ACD17" i="3"/>
  <c r="ACH17" i="3"/>
  <c r="ACL17" i="3"/>
  <c r="ACP17" i="3"/>
  <c r="ACT17" i="3"/>
  <c r="ACX17" i="3"/>
  <c r="ADB17" i="3"/>
  <c r="ADF17" i="3"/>
  <c r="ADJ17" i="3"/>
  <c r="ADN17" i="3"/>
  <c r="ADR17" i="3"/>
  <c r="ADV17" i="3"/>
  <c r="ADZ17" i="3"/>
  <c r="AED17" i="3"/>
  <c r="AEH17" i="3"/>
  <c r="AEL17" i="3"/>
  <c r="AEP17" i="3"/>
  <c r="AET17" i="3"/>
  <c r="AEX17" i="3"/>
  <c r="AFB17" i="3"/>
  <c r="AFF17" i="3"/>
  <c r="AFJ17" i="3"/>
  <c r="AFN17" i="3"/>
  <c r="AFR17" i="3"/>
  <c r="AFV17" i="3"/>
  <c r="AFZ17" i="3"/>
  <c r="AGD17" i="3"/>
  <c r="AGH17" i="3"/>
  <c r="AGL17" i="3"/>
  <c r="AGP17" i="3"/>
  <c r="AGT17" i="3"/>
  <c r="AGX17" i="3"/>
  <c r="AHB17" i="3"/>
  <c r="AHF17" i="3"/>
  <c r="AHJ17" i="3"/>
  <c r="AHN17" i="3"/>
  <c r="AHR17" i="3"/>
  <c r="AHV17" i="3"/>
  <c r="AHZ17" i="3"/>
  <c r="AID17" i="3"/>
  <c r="AIH17" i="3"/>
  <c r="AIL17" i="3"/>
  <c r="AIP17" i="3"/>
  <c r="AIT17" i="3"/>
  <c r="AIX17" i="3"/>
  <c r="AJB17" i="3"/>
  <c r="AJF17" i="3"/>
  <c r="AJJ17" i="3"/>
  <c r="AJN17" i="3"/>
  <c r="AJR17" i="3"/>
  <c r="AJV17" i="3"/>
  <c r="AJZ17" i="3"/>
  <c r="AKD17" i="3"/>
  <c r="AKH17" i="3"/>
  <c r="AKL17" i="3"/>
  <c r="AKP17" i="3"/>
  <c r="AKT17" i="3"/>
  <c r="AKX17" i="3"/>
  <c r="ALB17" i="3"/>
  <c r="ALF17" i="3"/>
  <c r="ALJ17" i="3"/>
  <c r="B18" i="3"/>
  <c r="F18" i="3"/>
  <c r="J18" i="3"/>
  <c r="N18" i="3"/>
  <c r="R18" i="3"/>
  <c r="V18" i="3"/>
  <c r="Z18" i="3"/>
  <c r="AD18" i="3"/>
  <c r="AH18" i="3"/>
  <c r="AL18" i="3"/>
  <c r="AP18" i="3"/>
  <c r="AT18" i="3"/>
  <c r="AX18" i="3"/>
  <c r="BB18" i="3"/>
  <c r="BF18" i="3"/>
  <c r="BJ18" i="3"/>
  <c r="BN18" i="3"/>
  <c r="BR18" i="3"/>
  <c r="BV18" i="3"/>
  <c r="BZ18" i="3"/>
  <c r="CD18" i="3"/>
  <c r="CH18" i="3"/>
  <c r="CL18" i="3"/>
  <c r="CP18" i="3"/>
  <c r="CT18" i="3"/>
  <c r="CX18" i="3"/>
  <c r="DB18" i="3"/>
  <c r="DF18" i="3"/>
  <c r="DJ18" i="3"/>
  <c r="DN18" i="3"/>
  <c r="DR18" i="3"/>
  <c r="DV18" i="3"/>
  <c r="DZ18" i="3"/>
  <c r="ED18" i="3"/>
  <c r="EH18" i="3"/>
  <c r="EL18" i="3"/>
  <c r="EP18" i="3"/>
  <c r="ET18" i="3"/>
  <c r="EX18" i="3"/>
  <c r="FB18" i="3"/>
  <c r="FF18" i="3"/>
  <c r="FJ18" i="3"/>
  <c r="FN18" i="3"/>
  <c r="FR18" i="3"/>
  <c r="FV18" i="3"/>
  <c r="FZ18" i="3"/>
  <c r="GD18" i="3"/>
  <c r="GH18" i="3"/>
  <c r="GL18" i="3"/>
  <c r="GP18" i="3"/>
  <c r="GT18" i="3"/>
  <c r="GX18" i="3"/>
  <c r="HB18" i="3"/>
  <c r="HF18" i="3"/>
  <c r="HJ18" i="3"/>
  <c r="HN18" i="3"/>
  <c r="HR18" i="3"/>
  <c r="HV18" i="3"/>
  <c r="HZ18" i="3"/>
  <c r="ID18" i="3"/>
  <c r="IH18" i="3"/>
  <c r="IL18" i="3"/>
  <c r="IP18" i="3"/>
  <c r="IT18" i="3"/>
  <c r="IX18" i="3"/>
  <c r="JB18" i="3"/>
  <c r="JF18" i="3"/>
  <c r="JJ18" i="3"/>
  <c r="JN18" i="3"/>
  <c r="JR18" i="3"/>
  <c r="JV18" i="3"/>
  <c r="JZ18" i="3"/>
  <c r="KD18" i="3"/>
  <c r="KH18" i="3"/>
  <c r="KL18" i="3"/>
  <c r="KP18" i="3"/>
  <c r="KT18" i="3"/>
  <c r="KX18" i="3"/>
  <c r="LB18" i="3"/>
  <c r="LF18" i="3"/>
  <c r="LJ18" i="3"/>
  <c r="LN18" i="3"/>
  <c r="LR18" i="3"/>
  <c r="LV18" i="3"/>
  <c r="LZ18" i="3"/>
  <c r="MD18" i="3"/>
  <c r="MH18" i="3"/>
  <c r="ML18" i="3"/>
  <c r="MP18" i="3"/>
  <c r="MT18" i="3"/>
  <c r="MX18" i="3"/>
  <c r="NB18" i="3"/>
  <c r="NF18" i="3"/>
  <c r="NJ18" i="3"/>
  <c r="NN18" i="3"/>
  <c r="NR18" i="3"/>
  <c r="NV18" i="3"/>
  <c r="NZ18" i="3"/>
  <c r="OD18" i="3"/>
  <c r="OH18" i="3"/>
  <c r="OL18" i="3"/>
  <c r="OP18" i="3"/>
  <c r="OT18" i="3"/>
  <c r="OX18" i="3"/>
  <c r="PB18" i="3"/>
  <c r="PF18" i="3"/>
  <c r="PJ18" i="3"/>
  <c r="PN18" i="3"/>
  <c r="PR18" i="3"/>
  <c r="PV18" i="3"/>
  <c r="PZ18" i="3"/>
  <c r="QD18" i="3"/>
  <c r="QH18" i="3"/>
  <c r="QL18" i="3"/>
  <c r="QP18" i="3"/>
  <c r="QT18" i="3"/>
  <c r="QX18" i="3"/>
  <c r="RB18" i="3"/>
  <c r="RF18" i="3"/>
  <c r="RJ18" i="3"/>
  <c r="RN18" i="3"/>
  <c r="RR18" i="3"/>
  <c r="RV18" i="3"/>
  <c r="RZ18" i="3"/>
  <c r="SD18" i="3"/>
  <c r="SH18" i="3"/>
  <c r="SL18" i="3"/>
  <c r="SP18" i="3"/>
  <c r="ST18" i="3"/>
  <c r="SX18" i="3"/>
  <c r="TB18" i="3"/>
  <c r="TF18" i="3"/>
  <c r="SZ14" i="3"/>
  <c r="TP14" i="3"/>
  <c r="UF14" i="3"/>
  <c r="UV14" i="3"/>
  <c r="VL14" i="3"/>
  <c r="WB14" i="3"/>
  <c r="WR14" i="3"/>
  <c r="XH14" i="3"/>
  <c r="XX14" i="3"/>
  <c r="YN14" i="3"/>
  <c r="ZD14" i="3"/>
  <c r="ZT14" i="3"/>
  <c r="AAJ14" i="3"/>
  <c r="AAZ14" i="3"/>
  <c r="ABP14" i="3"/>
  <c r="ACF14" i="3"/>
  <c r="ACV14" i="3"/>
  <c r="ADL14" i="3"/>
  <c r="AEB14" i="3"/>
  <c r="AER14" i="3"/>
  <c r="AFH14" i="3"/>
  <c r="AFX14" i="3"/>
  <c r="AGN14" i="3"/>
  <c r="AHD14" i="3"/>
  <c r="AHT14" i="3"/>
  <c r="AIJ14" i="3"/>
  <c r="AIZ14" i="3"/>
  <c r="AJP14" i="3"/>
  <c r="AKF14" i="3"/>
  <c r="AKV14" i="3"/>
  <c r="ALL14" i="3"/>
  <c r="P15" i="3"/>
  <c r="AF15" i="3"/>
  <c r="AV15" i="3"/>
  <c r="BL15" i="3"/>
  <c r="CB15" i="3"/>
  <c r="CR15" i="3"/>
  <c r="DH15" i="3"/>
  <c r="DT15" i="3"/>
  <c r="EB15" i="3"/>
  <c r="EJ15" i="3"/>
  <c r="ER15" i="3"/>
  <c r="EZ15" i="3"/>
  <c r="FH15" i="3"/>
  <c r="FP15" i="3"/>
  <c r="FX15" i="3"/>
  <c r="GF15" i="3"/>
  <c r="GN15" i="3"/>
  <c r="GV15" i="3"/>
  <c r="HD15" i="3"/>
  <c r="HL15" i="3"/>
  <c r="HT15" i="3"/>
  <c r="IB15" i="3"/>
  <c r="IJ15" i="3"/>
  <c r="IR15" i="3"/>
  <c r="IZ15" i="3"/>
  <c r="JH15" i="3"/>
  <c r="JP15" i="3"/>
  <c r="JX15" i="3"/>
  <c r="KF15" i="3"/>
  <c r="KN15" i="3"/>
  <c r="KV15" i="3"/>
  <c r="LD15" i="3"/>
  <c r="LL15" i="3"/>
  <c r="LT15" i="3"/>
  <c r="MB15" i="3"/>
  <c r="MJ15" i="3"/>
  <c r="MR15" i="3"/>
  <c r="MZ15" i="3"/>
  <c r="NH15" i="3"/>
  <c r="NP15" i="3"/>
  <c r="NX15" i="3"/>
  <c r="OF15" i="3"/>
  <c r="ON15" i="3"/>
  <c r="OV15" i="3"/>
  <c r="PD15" i="3"/>
  <c r="PL15" i="3"/>
  <c r="PT15" i="3"/>
  <c r="QB15" i="3"/>
  <c r="QJ15" i="3"/>
  <c r="QR15" i="3"/>
  <c r="QZ15" i="3"/>
  <c r="RH15" i="3"/>
  <c r="RP15" i="3"/>
  <c r="RX15" i="3"/>
  <c r="SF15" i="3"/>
  <c r="SN15" i="3"/>
  <c r="SV15" i="3"/>
  <c r="TD15" i="3"/>
  <c r="TL15" i="3"/>
  <c r="TT15" i="3"/>
  <c r="UB15" i="3"/>
  <c r="UJ15" i="3"/>
  <c r="UR15" i="3"/>
  <c r="UZ15" i="3"/>
  <c r="VH15" i="3"/>
  <c r="VP15" i="3"/>
  <c r="VX15" i="3"/>
  <c r="WF15" i="3"/>
  <c r="WN15" i="3"/>
  <c r="WV15" i="3"/>
  <c r="XD15" i="3"/>
  <c r="XL15" i="3"/>
  <c r="XT15" i="3"/>
  <c r="YB15" i="3"/>
  <c r="YJ15" i="3"/>
  <c r="YR15" i="3"/>
  <c r="YZ15" i="3"/>
  <c r="ZH15" i="3"/>
  <c r="ZP15" i="3"/>
  <c r="ZX15" i="3"/>
  <c r="AAF15" i="3"/>
  <c r="AAN15" i="3"/>
  <c r="AAV15" i="3"/>
  <c r="ABD15" i="3"/>
  <c r="ABL15" i="3"/>
  <c r="ABT15" i="3"/>
  <c r="ACB15" i="3"/>
  <c r="ACJ15" i="3"/>
  <c r="ACR15" i="3"/>
  <c r="ACZ15" i="3"/>
  <c r="ADH15" i="3"/>
  <c r="ADP15" i="3"/>
  <c r="ADX15" i="3"/>
  <c r="AEF15" i="3"/>
  <c r="AEN15" i="3"/>
  <c r="AEV15" i="3"/>
  <c r="AFD15" i="3"/>
  <c r="AFL15" i="3"/>
  <c r="AFT15" i="3"/>
  <c r="AGB15" i="3"/>
  <c r="AGJ15" i="3"/>
  <c r="AGR15" i="3"/>
  <c r="AGZ15" i="3"/>
  <c r="AHH15" i="3"/>
  <c r="AHP15" i="3"/>
  <c r="AHX15" i="3"/>
  <c r="AIF15" i="3"/>
  <c r="AIN15" i="3"/>
  <c r="AIV15" i="3"/>
  <c r="AJD15" i="3"/>
  <c r="AJL15" i="3"/>
  <c r="AJT15" i="3"/>
  <c r="AKB15" i="3"/>
  <c r="AKJ15" i="3"/>
  <c r="AKR15" i="3"/>
  <c r="AKZ15" i="3"/>
  <c r="ALH15" i="3"/>
  <c r="D16" i="3"/>
  <c r="L16" i="3"/>
  <c r="T16" i="3"/>
  <c r="AB16" i="3"/>
  <c r="AJ16" i="3"/>
  <c r="AR16" i="3"/>
  <c r="AZ16" i="3"/>
  <c r="BH16" i="3"/>
  <c r="BP16" i="3"/>
  <c r="BX16" i="3"/>
  <c r="CF16" i="3"/>
  <c r="CN16" i="3"/>
  <c r="CV16" i="3"/>
  <c r="DD16" i="3"/>
  <c r="DL16" i="3"/>
  <c r="DT16" i="3"/>
  <c r="EB16" i="3"/>
  <c r="EJ16" i="3"/>
  <c r="ER16" i="3"/>
  <c r="EZ16" i="3"/>
  <c r="FH16" i="3"/>
  <c r="FP16" i="3"/>
  <c r="FX16" i="3"/>
  <c r="GF16" i="3"/>
  <c r="GN16" i="3"/>
  <c r="GV16" i="3"/>
  <c r="HD16" i="3"/>
  <c r="HL16" i="3"/>
  <c r="HT16" i="3"/>
  <c r="IB16" i="3"/>
  <c r="IJ16" i="3"/>
  <c r="IR16" i="3"/>
  <c r="IZ16" i="3"/>
  <c r="JH16" i="3"/>
  <c r="JP16" i="3"/>
  <c r="JX16" i="3"/>
  <c r="KF16" i="3"/>
  <c r="KN16" i="3"/>
  <c r="KV16" i="3"/>
  <c r="LD16" i="3"/>
  <c r="LL16" i="3"/>
  <c r="LT16" i="3"/>
  <c r="MB16" i="3"/>
  <c r="MJ16" i="3"/>
  <c r="MR16" i="3"/>
  <c r="MZ16" i="3"/>
  <c r="NH16" i="3"/>
  <c r="NP16" i="3"/>
  <c r="NX16" i="3"/>
  <c r="OF16" i="3"/>
  <c r="ON16" i="3"/>
  <c r="OV16" i="3"/>
  <c r="PD16" i="3"/>
  <c r="PL16" i="3"/>
  <c r="PT16" i="3"/>
  <c r="QB16" i="3"/>
  <c r="QJ16" i="3"/>
  <c r="QR16" i="3"/>
  <c r="QZ16" i="3"/>
  <c r="RH16" i="3"/>
  <c r="RP16" i="3"/>
  <c r="RX16" i="3"/>
  <c r="SF16" i="3"/>
  <c r="SN16" i="3"/>
  <c r="SV16" i="3"/>
  <c r="TD16" i="3"/>
  <c r="TL16" i="3"/>
  <c r="TT16" i="3"/>
  <c r="UB16" i="3"/>
  <c r="UJ16" i="3"/>
  <c r="UR16" i="3"/>
  <c r="UZ16" i="3"/>
  <c r="VH16" i="3"/>
  <c r="VP16" i="3"/>
  <c r="VX16" i="3"/>
  <c r="WF16" i="3"/>
  <c r="WN16" i="3"/>
  <c r="WV16" i="3"/>
  <c r="XD16" i="3"/>
  <c r="XL16" i="3"/>
  <c r="XT16" i="3"/>
  <c r="YB16" i="3"/>
  <c r="YJ16" i="3"/>
  <c r="YR16" i="3"/>
  <c r="YZ16" i="3"/>
  <c r="ZH16" i="3"/>
  <c r="ZP16" i="3"/>
  <c r="ZX16" i="3"/>
  <c r="AAF16" i="3"/>
  <c r="AAN16" i="3"/>
  <c r="AAV16" i="3"/>
  <c r="ABD16" i="3"/>
  <c r="ABL16" i="3"/>
  <c r="ABT16" i="3"/>
  <c r="ACB16" i="3"/>
  <c r="ACJ16" i="3"/>
  <c r="ACR16" i="3"/>
  <c r="ACZ16" i="3"/>
  <c r="ADG16" i="3"/>
  <c r="ADK16" i="3"/>
  <c r="ADO16" i="3"/>
  <c r="ADS16" i="3"/>
  <c r="ADW16" i="3"/>
  <c r="AEA16" i="3"/>
  <c r="AEE16" i="3"/>
  <c r="AEI16" i="3"/>
  <c r="AEM16" i="3"/>
  <c r="AEQ16" i="3"/>
  <c r="AEU16" i="3"/>
  <c r="AEY16" i="3"/>
  <c r="AFC16" i="3"/>
  <c r="AFG16" i="3"/>
  <c r="AFK16" i="3"/>
  <c r="AFO16" i="3"/>
  <c r="AFS16" i="3"/>
  <c r="AFW16" i="3"/>
  <c r="AGA16" i="3"/>
  <c r="AGE16" i="3"/>
  <c r="AGI16" i="3"/>
  <c r="AGM16" i="3"/>
  <c r="AGQ16" i="3"/>
  <c r="AGU16" i="3"/>
  <c r="AGY16" i="3"/>
  <c r="AHC16" i="3"/>
  <c r="AHG16" i="3"/>
  <c r="AHK16" i="3"/>
  <c r="AHO16" i="3"/>
  <c r="AHS16" i="3"/>
  <c r="AHW16" i="3"/>
  <c r="AIA16" i="3"/>
  <c r="AIE16" i="3"/>
  <c r="AII16" i="3"/>
  <c r="AIM16" i="3"/>
  <c r="AIQ16" i="3"/>
  <c r="AIU16" i="3"/>
  <c r="AIY16" i="3"/>
  <c r="AJC16" i="3"/>
  <c r="AJG16" i="3"/>
  <c r="AJK16" i="3"/>
  <c r="AJO16" i="3"/>
  <c r="AJS16" i="3"/>
  <c r="AJW16" i="3"/>
  <c r="AKA16" i="3"/>
  <c r="AKE16" i="3"/>
  <c r="AKI16" i="3"/>
  <c r="AKM16" i="3"/>
  <c r="AKQ16" i="3"/>
  <c r="AKU16" i="3"/>
  <c r="AKY16" i="3"/>
  <c r="ALC16" i="3"/>
  <c r="ALG16" i="3"/>
  <c r="ALK16" i="3"/>
  <c r="C17" i="3"/>
  <c r="G17" i="3"/>
  <c r="K17" i="3"/>
  <c r="O17" i="3"/>
  <c r="S17" i="3"/>
  <c r="W17" i="3"/>
  <c r="AA17" i="3"/>
  <c r="AE17" i="3"/>
  <c r="AI17" i="3"/>
  <c r="AM17" i="3"/>
  <c r="AQ17" i="3"/>
  <c r="AU17" i="3"/>
  <c r="AY17" i="3"/>
  <c r="BC17" i="3"/>
  <c r="BG17" i="3"/>
  <c r="BK17" i="3"/>
  <c r="BO17" i="3"/>
  <c r="BS17" i="3"/>
  <c r="BW17" i="3"/>
  <c r="CA17" i="3"/>
  <c r="CE17" i="3"/>
  <c r="CI17" i="3"/>
  <c r="CM17" i="3"/>
  <c r="CQ17" i="3"/>
  <c r="CU17" i="3"/>
  <c r="CY17" i="3"/>
  <c r="DC17" i="3"/>
  <c r="DG17" i="3"/>
  <c r="DK17" i="3"/>
  <c r="DO17" i="3"/>
  <c r="DS17" i="3"/>
  <c r="DW17" i="3"/>
  <c r="EA17" i="3"/>
  <c r="EE17" i="3"/>
  <c r="EI17" i="3"/>
  <c r="EM17" i="3"/>
  <c r="EQ17" i="3"/>
  <c r="EU17" i="3"/>
  <c r="EY17" i="3"/>
  <c r="FC17" i="3"/>
  <c r="FG17" i="3"/>
  <c r="FK17" i="3"/>
  <c r="FO17" i="3"/>
  <c r="FS17" i="3"/>
  <c r="FW17" i="3"/>
  <c r="GA17" i="3"/>
  <c r="GE17" i="3"/>
  <c r="GI17" i="3"/>
  <c r="GM17" i="3"/>
  <c r="GQ17" i="3"/>
  <c r="GU17" i="3"/>
  <c r="GY17" i="3"/>
  <c r="HC17" i="3"/>
  <c r="HG17" i="3"/>
  <c r="HK17" i="3"/>
  <c r="HO17" i="3"/>
  <c r="HS17" i="3"/>
  <c r="HW17" i="3"/>
  <c r="IA17" i="3"/>
  <c r="IE17" i="3"/>
  <c r="II17" i="3"/>
  <c r="IM17" i="3"/>
  <c r="IQ17" i="3"/>
  <c r="IU17" i="3"/>
  <c r="IY17" i="3"/>
  <c r="JC17" i="3"/>
  <c r="JG17" i="3"/>
  <c r="JK17" i="3"/>
  <c r="JO17" i="3"/>
  <c r="JS17" i="3"/>
  <c r="JW17" i="3"/>
  <c r="KA17" i="3"/>
  <c r="KE17" i="3"/>
  <c r="KI17" i="3"/>
  <c r="KM17" i="3"/>
  <c r="KQ17" i="3"/>
  <c r="KU17" i="3"/>
  <c r="KY17" i="3"/>
  <c r="LC17" i="3"/>
  <c r="LG17" i="3"/>
  <c r="LK17" i="3"/>
  <c r="LO17" i="3"/>
  <c r="LS17" i="3"/>
  <c r="LW17" i="3"/>
  <c r="MA17" i="3"/>
  <c r="ME17" i="3"/>
  <c r="MI17" i="3"/>
  <c r="MM17" i="3"/>
  <c r="MQ17" i="3"/>
  <c r="MU17" i="3"/>
  <c r="MY17" i="3"/>
  <c r="NC17" i="3"/>
  <c r="NG17" i="3"/>
  <c r="NK17" i="3"/>
  <c r="NO17" i="3"/>
  <c r="NS17" i="3"/>
  <c r="NW17" i="3"/>
  <c r="OA17" i="3"/>
  <c r="OE17" i="3"/>
  <c r="OI17" i="3"/>
  <c r="OM17" i="3"/>
  <c r="OQ17" i="3"/>
  <c r="OU17" i="3"/>
  <c r="OY17" i="3"/>
  <c r="PC17" i="3"/>
  <c r="PG17" i="3"/>
  <c r="PK17" i="3"/>
  <c r="PO17" i="3"/>
  <c r="PS17" i="3"/>
  <c r="PW17" i="3"/>
  <c r="QA17" i="3"/>
  <c r="QE17" i="3"/>
  <c r="QI17" i="3"/>
  <c r="QM17" i="3"/>
  <c r="QQ17" i="3"/>
  <c r="QU17" i="3"/>
  <c r="QY17" i="3"/>
  <c r="RC17" i="3"/>
  <c r="RG17" i="3"/>
  <c r="RK17" i="3"/>
  <c r="RO17" i="3"/>
  <c r="RS17" i="3"/>
  <c r="RW17" i="3"/>
  <c r="SA17" i="3"/>
  <c r="SE17" i="3"/>
  <c r="SI17" i="3"/>
  <c r="SM17" i="3"/>
  <c r="SQ17" i="3"/>
  <c r="SU17" i="3"/>
  <c r="SY17" i="3"/>
  <c r="TC17" i="3"/>
  <c r="TG17" i="3"/>
  <c r="TK17" i="3"/>
  <c r="TO17" i="3"/>
  <c r="TS17" i="3"/>
  <c r="TW17" i="3"/>
  <c r="UA17" i="3"/>
  <c r="UE17" i="3"/>
  <c r="UI17" i="3"/>
  <c r="UM17" i="3"/>
  <c r="UQ17" i="3"/>
  <c r="UU17" i="3"/>
  <c r="UY17" i="3"/>
  <c r="VC17" i="3"/>
  <c r="VG17" i="3"/>
  <c r="VK17" i="3"/>
  <c r="VO17" i="3"/>
  <c r="VS17" i="3"/>
  <c r="VW17" i="3"/>
  <c r="WA17" i="3"/>
  <c r="WE17" i="3"/>
  <c r="WI17" i="3"/>
  <c r="WM17" i="3"/>
  <c r="WQ17" i="3"/>
  <c r="WU17" i="3"/>
  <c r="WY17" i="3"/>
  <c r="XC17" i="3"/>
  <c r="XG17" i="3"/>
  <c r="XK17" i="3"/>
  <c r="XO17" i="3"/>
  <c r="XS17" i="3"/>
  <c r="XW17" i="3"/>
  <c r="YA17" i="3"/>
  <c r="YE17" i="3"/>
  <c r="YI17" i="3"/>
  <c r="YM17" i="3"/>
  <c r="YQ17" i="3"/>
  <c r="YU17" i="3"/>
  <c r="YY17" i="3"/>
  <c r="ZC17" i="3"/>
  <c r="ZG17" i="3"/>
  <c r="ZK17" i="3"/>
  <c r="ZO17" i="3"/>
  <c r="ZS17" i="3"/>
  <c r="ZW17" i="3"/>
  <c r="AAA17" i="3"/>
  <c r="AAE17" i="3"/>
  <c r="AAI17" i="3"/>
  <c r="AAM17" i="3"/>
  <c r="AAQ17" i="3"/>
  <c r="AAU17" i="3"/>
  <c r="AAY17" i="3"/>
  <c r="ABC17" i="3"/>
  <c r="ABG17" i="3"/>
  <c r="ABK17" i="3"/>
  <c r="ABO17" i="3"/>
  <c r="ABS17" i="3"/>
  <c r="ABW17" i="3"/>
  <c r="ACA17" i="3"/>
  <c r="ACE17" i="3"/>
  <c r="ACI17" i="3"/>
  <c r="ACM17" i="3"/>
  <c r="ACQ17" i="3"/>
  <c r="ACU17" i="3"/>
  <c r="ACY17" i="3"/>
  <c r="ADC17" i="3"/>
  <c r="ADG17" i="3"/>
  <c r="ADK17" i="3"/>
  <c r="ADO17" i="3"/>
  <c r="ADS17" i="3"/>
  <c r="ADW17" i="3"/>
  <c r="AEA17" i="3"/>
  <c r="AEE17" i="3"/>
  <c r="AEI17" i="3"/>
  <c r="AEM17" i="3"/>
  <c r="AEQ17" i="3"/>
  <c r="AEU17" i="3"/>
  <c r="AEY17" i="3"/>
  <c r="AFC17" i="3"/>
  <c r="AFG17" i="3"/>
  <c r="AFK17" i="3"/>
  <c r="AFO17" i="3"/>
  <c r="AFS17" i="3"/>
  <c r="AFW17" i="3"/>
  <c r="AGA17" i="3"/>
  <c r="AGE17" i="3"/>
  <c r="AGI17" i="3"/>
  <c r="AGM17" i="3"/>
  <c r="AGQ17" i="3"/>
  <c r="AGU17" i="3"/>
  <c r="AGY17" i="3"/>
  <c r="AHC17" i="3"/>
  <c r="AHG17" i="3"/>
  <c r="AHK17" i="3"/>
  <c r="AHO17" i="3"/>
  <c r="AHS17" i="3"/>
  <c r="AHW17" i="3"/>
  <c r="AIA17" i="3"/>
  <c r="AIE17" i="3"/>
  <c r="AII17" i="3"/>
  <c r="AIM17" i="3"/>
  <c r="AIQ17" i="3"/>
  <c r="AIU17" i="3"/>
  <c r="AIY17" i="3"/>
  <c r="AJC17" i="3"/>
  <c r="AJG17" i="3"/>
  <c r="AJK17" i="3"/>
  <c r="AJO17" i="3"/>
  <c r="AJS17" i="3"/>
  <c r="AJW17" i="3"/>
  <c r="AKA17" i="3"/>
  <c r="AKE17" i="3"/>
  <c r="AKI17" i="3"/>
  <c r="AKM17" i="3"/>
  <c r="AKQ17" i="3"/>
  <c r="AKU17" i="3"/>
  <c r="AKY17" i="3"/>
  <c r="ALC17" i="3"/>
  <c r="ALG17" i="3"/>
  <c r="ALK17" i="3"/>
  <c r="C18" i="3"/>
  <c r="G18" i="3"/>
  <c r="K18" i="3"/>
  <c r="O18" i="3"/>
  <c r="S18" i="3"/>
  <c r="W18" i="3"/>
  <c r="AA18" i="3"/>
  <c r="AE18" i="3"/>
  <c r="AI18" i="3"/>
  <c r="AM18" i="3"/>
  <c r="AQ18" i="3"/>
  <c r="AU18" i="3"/>
  <c r="AY18" i="3"/>
  <c r="BC18" i="3"/>
  <c r="BG18" i="3"/>
  <c r="BK18" i="3"/>
  <c r="BO18" i="3"/>
  <c r="BS18" i="3"/>
  <c r="BW18" i="3"/>
  <c r="CA18" i="3"/>
  <c r="CE18" i="3"/>
  <c r="CI18" i="3"/>
  <c r="CM18" i="3"/>
  <c r="CQ18" i="3"/>
  <c r="CU18" i="3"/>
  <c r="CY18" i="3"/>
  <c r="DC18" i="3"/>
  <c r="DG18" i="3"/>
  <c r="DK18" i="3"/>
  <c r="DO18" i="3"/>
  <c r="DS18" i="3"/>
  <c r="DW18" i="3"/>
  <c r="EA18" i="3"/>
  <c r="EE18" i="3"/>
  <c r="EI18" i="3"/>
  <c r="EM18" i="3"/>
  <c r="EQ18" i="3"/>
  <c r="EU18" i="3"/>
  <c r="EY18" i="3"/>
  <c r="FC18" i="3"/>
  <c r="FG18" i="3"/>
  <c r="FK18" i="3"/>
  <c r="FO18" i="3"/>
  <c r="FS18" i="3"/>
  <c r="FW18" i="3"/>
  <c r="GA18" i="3"/>
  <c r="GE18" i="3"/>
  <c r="GI18" i="3"/>
  <c r="GM18" i="3"/>
  <c r="GQ18" i="3"/>
  <c r="GU18" i="3"/>
  <c r="GY18" i="3"/>
  <c r="HC18" i="3"/>
  <c r="HG18" i="3"/>
  <c r="HK18" i="3"/>
  <c r="HO18" i="3"/>
  <c r="HS18" i="3"/>
  <c r="HW18" i="3"/>
  <c r="IA18" i="3"/>
  <c r="IE18" i="3"/>
  <c r="II18" i="3"/>
  <c r="IM18" i="3"/>
  <c r="IQ18" i="3"/>
  <c r="IU18" i="3"/>
  <c r="IY18" i="3"/>
  <c r="JC18" i="3"/>
  <c r="JG18" i="3"/>
  <c r="JK18" i="3"/>
  <c r="JO18" i="3"/>
  <c r="JS18" i="3"/>
  <c r="JW18" i="3"/>
  <c r="KA18" i="3"/>
  <c r="KE18" i="3"/>
  <c r="KI18" i="3"/>
  <c r="KM18" i="3"/>
  <c r="KQ18" i="3"/>
  <c r="KU18" i="3"/>
  <c r="KY18" i="3"/>
  <c r="LC18" i="3"/>
  <c r="LG18" i="3"/>
  <c r="LK18" i="3"/>
  <c r="LO18" i="3"/>
  <c r="LS18" i="3"/>
  <c r="LW18" i="3"/>
  <c r="MA18" i="3"/>
  <c r="ME18" i="3"/>
  <c r="MI18" i="3"/>
  <c r="MM18" i="3"/>
  <c r="MQ18" i="3"/>
  <c r="MU18" i="3"/>
  <c r="MY18" i="3"/>
  <c r="NC18" i="3"/>
  <c r="NG18" i="3"/>
  <c r="NW18" i="3"/>
  <c r="OM18" i="3"/>
  <c r="PC18" i="3"/>
  <c r="PS18" i="3"/>
  <c r="QG18" i="3"/>
  <c r="QO18" i="3"/>
  <c r="QW18" i="3"/>
  <c r="RE18" i="3"/>
  <c r="RM18" i="3"/>
  <c r="RU18" i="3"/>
  <c r="SC18" i="3"/>
  <c r="SK18" i="3"/>
  <c r="SS18" i="3"/>
  <c r="TA18" i="3"/>
  <c r="TI18" i="3"/>
  <c r="TN18" i="3"/>
  <c r="TS18" i="3"/>
  <c r="TY18" i="3"/>
  <c r="UD18" i="3"/>
  <c r="UI18" i="3"/>
  <c r="UO18" i="3"/>
  <c r="UT18" i="3"/>
  <c r="UY18" i="3"/>
  <c r="VE18" i="3"/>
  <c r="VJ18" i="3"/>
  <c r="VO18" i="3"/>
  <c r="VU18" i="3"/>
  <c r="VZ18" i="3"/>
  <c r="WE18" i="3"/>
  <c r="WK18" i="3"/>
  <c r="WP18" i="3"/>
  <c r="WU18" i="3"/>
  <c r="XA18" i="3"/>
  <c r="XF18" i="3"/>
  <c r="XK18" i="3"/>
  <c r="XQ18" i="3"/>
  <c r="XV18" i="3"/>
  <c r="YA18" i="3"/>
  <c r="YG18" i="3"/>
  <c r="YL18" i="3"/>
  <c r="YQ18" i="3"/>
  <c r="YW18" i="3"/>
  <c r="ZB18" i="3"/>
  <c r="ZG18" i="3"/>
  <c r="ZM18" i="3"/>
  <c r="ZR18" i="3"/>
  <c r="ZW18" i="3"/>
  <c r="AAC18" i="3"/>
  <c r="AAH18" i="3"/>
  <c r="AAM18" i="3"/>
  <c r="AAS18" i="3"/>
  <c r="AAX18" i="3"/>
  <c r="ABC18" i="3"/>
  <c r="ABI18" i="3"/>
  <c r="ABN18" i="3"/>
  <c r="ABS18" i="3"/>
  <c r="ABY18" i="3"/>
  <c r="ACD18" i="3"/>
  <c r="ACI18" i="3"/>
  <c r="ACO18" i="3"/>
  <c r="ACT18" i="3"/>
  <c r="ACY18" i="3"/>
  <c r="ADE18" i="3"/>
  <c r="ADJ18" i="3"/>
  <c r="ADO18" i="3"/>
  <c r="ADU18" i="3"/>
  <c r="ADZ18" i="3"/>
  <c r="AEE18" i="3"/>
  <c r="AEI18" i="3"/>
  <c r="AEM18" i="3"/>
  <c r="AEQ18" i="3"/>
  <c r="AEU18" i="3"/>
  <c r="AEY18" i="3"/>
  <c r="AFC18" i="3"/>
  <c r="AFG18" i="3"/>
  <c r="AFK18" i="3"/>
  <c r="AFO18" i="3"/>
  <c r="AFS18" i="3"/>
  <c r="AFW18" i="3"/>
  <c r="AGA18" i="3"/>
  <c r="AGE18" i="3"/>
  <c r="AGI18" i="3"/>
  <c r="AGM18" i="3"/>
  <c r="AGQ18" i="3"/>
  <c r="AGU18" i="3"/>
  <c r="AGY18" i="3"/>
  <c r="AHC18" i="3"/>
  <c r="AHG18" i="3"/>
  <c r="AHK18" i="3"/>
  <c r="AHO18" i="3"/>
  <c r="AHS18" i="3"/>
  <c r="AHW18" i="3"/>
  <c r="AIA18" i="3"/>
  <c r="AIE18" i="3"/>
  <c r="AII18" i="3"/>
  <c r="AIM18" i="3"/>
  <c r="AIQ18" i="3"/>
  <c r="AIU18" i="3"/>
  <c r="AIY18" i="3"/>
  <c r="AJC18" i="3"/>
  <c r="AJG18" i="3"/>
  <c r="AJK18" i="3"/>
  <c r="AJO18" i="3"/>
  <c r="AJS18" i="3"/>
  <c r="AJW18" i="3"/>
  <c r="AKA18" i="3"/>
  <c r="AKE18" i="3"/>
  <c r="AKI18" i="3"/>
  <c r="AKM18" i="3"/>
  <c r="AKQ18" i="3"/>
  <c r="AKU18" i="3"/>
  <c r="AKY18" i="3"/>
  <c r="ALC18" i="3"/>
  <c r="ALG18" i="3"/>
  <c r="ALK18" i="3"/>
  <c r="C19" i="3"/>
  <c r="G19" i="3"/>
  <c r="K19" i="3"/>
  <c r="O19" i="3"/>
  <c r="S19" i="3"/>
  <c r="W19" i="3"/>
  <c r="AA19" i="3"/>
  <c r="AE19" i="3"/>
  <c r="AI19" i="3"/>
  <c r="AM19" i="3"/>
  <c r="AQ19" i="3"/>
  <c r="AU19" i="3"/>
  <c r="AY19" i="3"/>
  <c r="BC19" i="3"/>
  <c r="BG19" i="3"/>
  <c r="BK19" i="3"/>
  <c r="BO19" i="3"/>
  <c r="BS19" i="3"/>
  <c r="BW19" i="3"/>
  <c r="CA19" i="3"/>
  <c r="CE19" i="3"/>
  <c r="CI19" i="3"/>
  <c r="CM19" i="3"/>
  <c r="CQ19" i="3"/>
  <c r="CU19" i="3"/>
  <c r="CY19" i="3"/>
  <c r="DC19" i="3"/>
  <c r="DG19" i="3"/>
  <c r="DK19" i="3"/>
  <c r="DO19" i="3"/>
  <c r="DS19" i="3"/>
  <c r="DW19" i="3"/>
  <c r="EA19" i="3"/>
  <c r="EE19" i="3"/>
  <c r="EI19" i="3"/>
  <c r="EM19" i="3"/>
  <c r="EQ19" i="3"/>
  <c r="EU19" i="3"/>
  <c r="EY19" i="3"/>
  <c r="FC19" i="3"/>
  <c r="FG19" i="3"/>
  <c r="FK19" i="3"/>
  <c r="FO19" i="3"/>
  <c r="FS19" i="3"/>
  <c r="FW19" i="3"/>
  <c r="GA19" i="3"/>
  <c r="GE19" i="3"/>
  <c r="GI19" i="3"/>
  <c r="GM19" i="3"/>
  <c r="GQ19" i="3"/>
  <c r="GU19" i="3"/>
  <c r="GY19" i="3"/>
  <c r="HC19" i="3"/>
  <c r="HG19" i="3"/>
  <c r="HK19" i="3"/>
  <c r="HO19" i="3"/>
  <c r="HS19" i="3"/>
  <c r="HW19" i="3"/>
  <c r="IA19" i="3"/>
  <c r="IE19" i="3"/>
  <c r="II19" i="3"/>
  <c r="IM19" i="3"/>
  <c r="IQ19" i="3"/>
  <c r="IU19" i="3"/>
  <c r="IY19" i="3"/>
  <c r="JC19" i="3"/>
  <c r="JG19" i="3"/>
  <c r="JK19" i="3"/>
  <c r="JO19" i="3"/>
  <c r="JS19" i="3"/>
  <c r="JW19" i="3"/>
  <c r="KA19" i="3"/>
  <c r="KE19" i="3"/>
  <c r="KI19" i="3"/>
  <c r="KM19" i="3"/>
  <c r="KQ19" i="3"/>
  <c r="KU19" i="3"/>
  <c r="KY19" i="3"/>
  <c r="LC19" i="3"/>
  <c r="LG19" i="3"/>
  <c r="LK19" i="3"/>
  <c r="LO19" i="3"/>
  <c r="LS19" i="3"/>
  <c r="LW19" i="3"/>
  <c r="MA19" i="3"/>
  <c r="ME19" i="3"/>
  <c r="MI19" i="3"/>
  <c r="MM19" i="3"/>
  <c r="MQ19" i="3"/>
  <c r="MU19" i="3"/>
  <c r="MY19" i="3"/>
  <c r="NC19" i="3"/>
  <c r="NG19" i="3"/>
  <c r="NK19" i="3"/>
  <c r="NO19" i="3"/>
  <c r="NS19" i="3"/>
  <c r="NW19" i="3"/>
  <c r="OA19" i="3"/>
  <c r="OE19" i="3"/>
  <c r="OI19" i="3"/>
  <c r="OM19" i="3"/>
  <c r="OQ19" i="3"/>
  <c r="OU19" i="3"/>
  <c r="OY19" i="3"/>
  <c r="PC19" i="3"/>
  <c r="PG19" i="3"/>
  <c r="PK19" i="3"/>
  <c r="PO19" i="3"/>
  <c r="PS19" i="3"/>
  <c r="PW19" i="3"/>
  <c r="QA19" i="3"/>
  <c r="QE19" i="3"/>
  <c r="QI19" i="3"/>
  <c r="QM19" i="3"/>
  <c r="QQ19" i="3"/>
  <c r="QU19" i="3"/>
  <c r="QY19" i="3"/>
  <c r="RC19" i="3"/>
  <c r="RG19" i="3"/>
  <c r="RK19" i="3"/>
  <c r="RO19" i="3"/>
  <c r="RS19" i="3"/>
  <c r="RW19" i="3"/>
  <c r="SA19" i="3"/>
  <c r="SE19" i="3"/>
  <c r="SI19" i="3"/>
  <c r="SM19" i="3"/>
  <c r="SQ19" i="3"/>
  <c r="SU19" i="3"/>
  <c r="SY19" i="3"/>
  <c r="TC19" i="3"/>
  <c r="TG19" i="3"/>
  <c r="TK19" i="3"/>
  <c r="TO19" i="3"/>
  <c r="TS19" i="3"/>
  <c r="TW19" i="3"/>
  <c r="UA19" i="3"/>
  <c r="UE19" i="3"/>
  <c r="UI19" i="3"/>
  <c r="UM19" i="3"/>
  <c r="UQ19" i="3"/>
  <c r="UU19" i="3"/>
  <c r="UY19" i="3"/>
  <c r="VC19" i="3"/>
  <c r="VG19" i="3"/>
  <c r="VK19" i="3"/>
  <c r="VO19" i="3"/>
  <c r="VS19" i="3"/>
  <c r="VW19" i="3"/>
  <c r="WA19" i="3"/>
  <c r="WE19" i="3"/>
  <c r="WI19" i="3"/>
  <c r="WM19" i="3"/>
  <c r="WQ19" i="3"/>
  <c r="WU19" i="3"/>
  <c r="WY19" i="3"/>
  <c r="XC19" i="3"/>
  <c r="XG19" i="3"/>
  <c r="XK19" i="3"/>
  <c r="XO19" i="3"/>
  <c r="XS19" i="3"/>
  <c r="XW19" i="3"/>
  <c r="YA19" i="3"/>
  <c r="YE19" i="3"/>
  <c r="YI19" i="3"/>
  <c r="YM19" i="3"/>
  <c r="YQ19" i="3"/>
  <c r="YU19" i="3"/>
  <c r="YY19" i="3"/>
  <c r="ZC19" i="3"/>
  <c r="ZG19" i="3"/>
  <c r="ZK19" i="3"/>
  <c r="ZO19" i="3"/>
  <c r="ZS19" i="3"/>
  <c r="ZW19" i="3"/>
  <c r="AAA19" i="3"/>
  <c r="AAE19" i="3"/>
  <c r="AAI19" i="3"/>
  <c r="AAM19" i="3"/>
  <c r="AAQ19" i="3"/>
  <c r="AAU19" i="3"/>
  <c r="AAY19" i="3"/>
  <c r="ABC19" i="3"/>
  <c r="ABG19" i="3"/>
  <c r="ABK19" i="3"/>
  <c r="ABO19" i="3"/>
  <c r="ABS19" i="3"/>
  <c r="ABW19" i="3"/>
  <c r="ACA19" i="3"/>
  <c r="ACE19" i="3"/>
  <c r="ACI19" i="3"/>
  <c r="ACM19" i="3"/>
  <c r="ACQ19" i="3"/>
  <c r="ACU19" i="3"/>
  <c r="ACY19" i="3"/>
  <c r="ADC19" i="3"/>
  <c r="ADG19" i="3"/>
  <c r="ADK19" i="3"/>
  <c r="ADO19" i="3"/>
  <c r="ADS19" i="3"/>
  <c r="ADW19" i="3"/>
  <c r="AEA19" i="3"/>
  <c r="AEE19" i="3"/>
  <c r="AEI19" i="3"/>
  <c r="AEM19" i="3"/>
  <c r="AEQ19" i="3"/>
  <c r="AEU19" i="3"/>
  <c r="AEY19" i="3"/>
  <c r="AFC19" i="3"/>
  <c r="AFG19" i="3"/>
  <c r="AFK19" i="3"/>
  <c r="AFO19" i="3"/>
  <c r="AFS19" i="3"/>
  <c r="AFW19" i="3"/>
  <c r="AGA19" i="3"/>
  <c r="AGE19" i="3"/>
  <c r="AGI19" i="3"/>
  <c r="AGM19" i="3"/>
  <c r="AGQ19" i="3"/>
  <c r="AGU19" i="3"/>
  <c r="AGY19" i="3"/>
  <c r="AHC19" i="3"/>
  <c r="AHG19" i="3"/>
  <c r="AHK19" i="3"/>
  <c r="AHO19" i="3"/>
  <c r="AHS19" i="3"/>
  <c r="AHW19" i="3"/>
  <c r="AIA19" i="3"/>
  <c r="AIE19" i="3"/>
  <c r="AII19" i="3"/>
  <c r="AIM19" i="3"/>
  <c r="AIQ19" i="3"/>
  <c r="AIU19" i="3"/>
  <c r="AIY19" i="3"/>
  <c r="AJC19" i="3"/>
  <c r="AJG19" i="3"/>
  <c r="AJK19" i="3"/>
  <c r="AJO19" i="3"/>
  <c r="AJS19" i="3"/>
  <c r="AJW19" i="3"/>
  <c r="AKA19" i="3"/>
  <c r="AKE19" i="3"/>
  <c r="AKI19" i="3"/>
  <c r="AKM19" i="3"/>
  <c r="AKQ19" i="3"/>
  <c r="AKU19" i="3"/>
  <c r="AKY19" i="3"/>
  <c r="ALC19" i="3"/>
  <c r="ALG19" i="3"/>
  <c r="ALK19" i="3"/>
  <c r="C20" i="3"/>
  <c r="G20" i="3"/>
  <c r="K20" i="3"/>
  <c r="O20" i="3"/>
  <c r="S20" i="3"/>
  <c r="W20" i="3"/>
  <c r="AA20" i="3"/>
  <c r="AE20" i="3"/>
  <c r="AI20" i="3"/>
  <c r="AM20" i="3"/>
  <c r="AQ20" i="3"/>
  <c r="AU20" i="3"/>
  <c r="AY20" i="3"/>
  <c r="BC20" i="3"/>
  <c r="BG20" i="3"/>
  <c r="BK20" i="3"/>
  <c r="BO20" i="3"/>
  <c r="BS20" i="3"/>
  <c r="BW20" i="3"/>
  <c r="CA20" i="3"/>
  <c r="CE20" i="3"/>
  <c r="CI20" i="3"/>
  <c r="CM20" i="3"/>
  <c r="CQ20" i="3"/>
  <c r="CU20" i="3"/>
  <c r="CY20" i="3"/>
  <c r="DC20" i="3"/>
  <c r="DG20" i="3"/>
  <c r="DK20" i="3"/>
  <c r="DO20" i="3"/>
  <c r="DS20" i="3"/>
  <c r="DW20" i="3"/>
  <c r="EA20" i="3"/>
  <c r="EE20" i="3"/>
  <c r="EI20" i="3"/>
  <c r="EM20" i="3"/>
  <c r="EQ20" i="3"/>
  <c r="EU20" i="3"/>
  <c r="EY20" i="3"/>
  <c r="FC20" i="3"/>
  <c r="FG20" i="3"/>
  <c r="FK20" i="3"/>
  <c r="FO20" i="3"/>
  <c r="FS20" i="3"/>
  <c r="FW20" i="3"/>
  <c r="GA20" i="3"/>
  <c r="GE20" i="3"/>
  <c r="GI20" i="3"/>
  <c r="GM20" i="3"/>
  <c r="GQ20" i="3"/>
  <c r="GU20" i="3"/>
  <c r="GY20" i="3"/>
  <c r="HC20" i="3"/>
  <c r="HG20" i="3"/>
  <c r="HK20" i="3"/>
  <c r="HO20" i="3"/>
  <c r="HS20" i="3"/>
  <c r="HW20" i="3"/>
  <c r="IA20" i="3"/>
  <c r="IE20" i="3"/>
  <c r="II20" i="3"/>
  <c r="IM20" i="3"/>
  <c r="IQ20" i="3"/>
  <c r="IU20" i="3"/>
  <c r="IY20" i="3"/>
  <c r="JC20" i="3"/>
  <c r="JG20" i="3"/>
  <c r="JK20" i="3"/>
  <c r="JO20" i="3"/>
  <c r="JS20" i="3"/>
  <c r="JW20" i="3"/>
  <c r="KA20" i="3"/>
  <c r="KE20" i="3"/>
  <c r="KI20" i="3"/>
  <c r="KM20" i="3"/>
  <c r="KQ20" i="3"/>
  <c r="KU20" i="3"/>
  <c r="KY20" i="3"/>
  <c r="LC20" i="3"/>
  <c r="LG20" i="3"/>
  <c r="LK20" i="3"/>
  <c r="LO20" i="3"/>
  <c r="LS20" i="3"/>
  <c r="LW20" i="3"/>
  <c r="MA20" i="3"/>
  <c r="ME20" i="3"/>
  <c r="MI20" i="3"/>
  <c r="MM20" i="3"/>
  <c r="MQ20" i="3"/>
  <c r="MU20" i="3"/>
  <c r="MY20" i="3"/>
  <c r="NC20" i="3"/>
  <c r="NG20" i="3"/>
  <c r="NK20" i="3"/>
  <c r="NO20" i="3"/>
  <c r="NS20" i="3"/>
  <c r="NW20" i="3"/>
  <c r="OA20" i="3"/>
  <c r="OE20" i="3"/>
  <c r="OI20" i="3"/>
  <c r="OM20" i="3"/>
  <c r="OQ20" i="3"/>
  <c r="OU20" i="3"/>
  <c r="OY20" i="3"/>
  <c r="PC20" i="3"/>
  <c r="PG20" i="3"/>
  <c r="PK20" i="3"/>
  <c r="PO20" i="3"/>
  <c r="PS20" i="3"/>
  <c r="PW20" i="3"/>
  <c r="QA20" i="3"/>
  <c r="QE20" i="3"/>
  <c r="QI20" i="3"/>
  <c r="QM20" i="3"/>
  <c r="QQ20" i="3"/>
  <c r="QU20" i="3"/>
  <c r="QY20" i="3"/>
  <c r="RC20" i="3"/>
  <c r="RG20" i="3"/>
  <c r="RK20" i="3"/>
  <c r="RO20" i="3"/>
  <c r="RS20" i="3"/>
  <c r="RW20" i="3"/>
  <c r="SA20" i="3"/>
  <c r="SE20" i="3"/>
  <c r="SI20" i="3"/>
  <c r="SM20" i="3"/>
  <c r="SQ20" i="3"/>
  <c r="SU20" i="3"/>
  <c r="SY20" i="3"/>
  <c r="TC20" i="3"/>
  <c r="TG20" i="3"/>
  <c r="TK20" i="3"/>
  <c r="TO20" i="3"/>
  <c r="TS20" i="3"/>
  <c r="TW20" i="3"/>
  <c r="UA20" i="3"/>
  <c r="UE20" i="3"/>
  <c r="UI20" i="3"/>
  <c r="UM20" i="3"/>
  <c r="UQ20" i="3"/>
  <c r="UU20" i="3"/>
  <c r="UY20" i="3"/>
  <c r="VC20" i="3"/>
  <c r="VG20" i="3"/>
  <c r="VK20" i="3"/>
  <c r="VO20" i="3"/>
  <c r="VS20" i="3"/>
  <c r="VW20" i="3"/>
  <c r="WA20" i="3"/>
  <c r="WE20" i="3"/>
  <c r="WI20" i="3"/>
  <c r="WM20" i="3"/>
  <c r="WQ20" i="3"/>
  <c r="WU20" i="3"/>
  <c r="WY20" i="3"/>
  <c r="XC20" i="3"/>
  <c r="XG20" i="3"/>
  <c r="XK20" i="3"/>
  <c r="XO20" i="3"/>
  <c r="XS20" i="3"/>
  <c r="XW20" i="3"/>
  <c r="YA20" i="3"/>
  <c r="YE20" i="3"/>
  <c r="YI20" i="3"/>
  <c r="YM20" i="3"/>
  <c r="YQ20" i="3"/>
  <c r="YU20" i="3"/>
  <c r="YY20" i="3"/>
  <c r="ZC20" i="3"/>
  <c r="ZG20" i="3"/>
  <c r="ZK20" i="3"/>
  <c r="ZO20" i="3"/>
  <c r="ZS20" i="3"/>
  <c r="ZW20" i="3"/>
  <c r="AAA20" i="3"/>
  <c r="AAE20" i="3"/>
  <c r="AAI20" i="3"/>
  <c r="AAM20" i="3"/>
  <c r="AAQ20" i="3"/>
  <c r="AAU20" i="3"/>
  <c r="AAY20" i="3"/>
  <c r="ABC20" i="3"/>
  <c r="ABG20" i="3"/>
  <c r="ABK20" i="3"/>
  <c r="ABO20" i="3"/>
  <c r="ABS20" i="3"/>
  <c r="ABW20" i="3"/>
  <c r="ACA20" i="3"/>
  <c r="ACE20" i="3"/>
  <c r="ACI20" i="3"/>
  <c r="ACM20" i="3"/>
  <c r="ACQ20" i="3"/>
  <c r="ACU20" i="3"/>
  <c r="ACY20" i="3"/>
  <c r="ADC20" i="3"/>
  <c r="ADG20" i="3"/>
  <c r="ADK20" i="3"/>
  <c r="ADO20" i="3"/>
  <c r="ADS20" i="3"/>
  <c r="ADW20" i="3"/>
  <c r="AEA20" i="3"/>
  <c r="AEE20" i="3"/>
  <c r="AEI20" i="3"/>
  <c r="AEM20" i="3"/>
  <c r="AEQ20" i="3"/>
  <c r="AEU20" i="3"/>
  <c r="AEY20" i="3"/>
  <c r="AFC20" i="3"/>
  <c r="AFG20" i="3"/>
  <c r="AFK20" i="3"/>
  <c r="AFO20" i="3"/>
  <c r="AFS20" i="3"/>
  <c r="AFW20" i="3"/>
  <c r="AGA20" i="3"/>
  <c r="AGE20" i="3"/>
  <c r="AGI20" i="3"/>
  <c r="AGM20" i="3"/>
  <c r="AGQ20" i="3"/>
  <c r="AGU20" i="3"/>
  <c r="AGY20" i="3"/>
  <c r="AHC20" i="3"/>
  <c r="AHG20" i="3"/>
  <c r="AHK20" i="3"/>
  <c r="AHO20" i="3"/>
  <c r="AHS20" i="3"/>
  <c r="AHW20" i="3"/>
  <c r="AIA20" i="3"/>
  <c r="AIE20" i="3"/>
  <c r="AII20" i="3"/>
  <c r="AIM20" i="3"/>
  <c r="AIQ20" i="3"/>
  <c r="AIU20" i="3"/>
  <c r="AIY20" i="3"/>
  <c r="AJC20" i="3"/>
  <c r="AJG20" i="3"/>
  <c r="AJK20" i="3"/>
  <c r="AJO20" i="3"/>
  <c r="AJS20" i="3"/>
  <c r="AJW20" i="3"/>
  <c r="AKA20" i="3"/>
  <c r="AKE20" i="3"/>
  <c r="AKI20" i="3"/>
  <c r="AKM20" i="3"/>
  <c r="AKQ20" i="3"/>
  <c r="AKU20" i="3"/>
  <c r="AKY20" i="3"/>
  <c r="ALC20" i="3"/>
  <c r="ALG20" i="3"/>
  <c r="ALK20" i="3"/>
  <c r="C21" i="3"/>
  <c r="G21" i="3"/>
  <c r="K21" i="3"/>
  <c r="O21" i="3"/>
  <c r="S21" i="3"/>
  <c r="W21" i="3"/>
  <c r="AA21" i="3"/>
  <c r="AE21" i="3"/>
  <c r="AI21" i="3"/>
  <c r="AM21" i="3"/>
  <c r="AQ21" i="3"/>
  <c r="AU21" i="3"/>
  <c r="AY21" i="3"/>
  <c r="BC21" i="3"/>
  <c r="BG21" i="3"/>
  <c r="BK21" i="3"/>
  <c r="BO21" i="3"/>
  <c r="BS21" i="3"/>
  <c r="BW21" i="3"/>
  <c r="CA21" i="3"/>
  <c r="CE21" i="3"/>
  <c r="CI21" i="3"/>
  <c r="CM21" i="3"/>
  <c r="CQ21" i="3"/>
  <c r="CU21" i="3"/>
  <c r="CY21" i="3"/>
  <c r="DC21" i="3"/>
  <c r="DG21" i="3"/>
  <c r="DK21" i="3"/>
  <c r="DO21" i="3"/>
  <c r="DS21" i="3"/>
  <c r="DW21" i="3"/>
  <c r="EA21" i="3"/>
  <c r="EE21" i="3"/>
  <c r="EI21" i="3"/>
  <c r="EM21" i="3"/>
  <c r="EQ21" i="3"/>
  <c r="EU21" i="3"/>
  <c r="EY21" i="3"/>
  <c r="FC21" i="3"/>
  <c r="FG21" i="3"/>
  <c r="FK21" i="3"/>
  <c r="FO21" i="3"/>
  <c r="FS21" i="3"/>
  <c r="FW21" i="3"/>
  <c r="GA21" i="3"/>
  <c r="GE21" i="3"/>
  <c r="GI21" i="3"/>
  <c r="GM21" i="3"/>
  <c r="GQ21" i="3"/>
  <c r="GU21" i="3"/>
  <c r="GY21" i="3"/>
  <c r="HC21" i="3"/>
  <c r="HG21" i="3"/>
  <c r="HK21" i="3"/>
  <c r="HO21" i="3"/>
  <c r="HS21" i="3"/>
  <c r="HW21" i="3"/>
  <c r="IA21" i="3"/>
  <c r="IE21" i="3"/>
  <c r="II21" i="3"/>
  <c r="IM21" i="3"/>
  <c r="IQ21" i="3"/>
  <c r="IU21" i="3"/>
  <c r="IY21" i="3"/>
  <c r="JC21" i="3"/>
  <c r="JG21" i="3"/>
  <c r="JK21" i="3"/>
  <c r="JO21" i="3"/>
  <c r="JS21" i="3"/>
  <c r="JW21" i="3"/>
  <c r="KA21" i="3"/>
  <c r="KE21" i="3"/>
  <c r="KI21" i="3"/>
  <c r="KM21" i="3"/>
  <c r="KQ21" i="3"/>
  <c r="KU21" i="3"/>
  <c r="KY21" i="3"/>
  <c r="LC21" i="3"/>
  <c r="LG21" i="3"/>
  <c r="LK21" i="3"/>
  <c r="LO21" i="3"/>
  <c r="LS21" i="3"/>
  <c r="LW21" i="3"/>
  <c r="MA21" i="3"/>
  <c r="ME21" i="3"/>
  <c r="MI21" i="3"/>
  <c r="MM21" i="3"/>
  <c r="MQ21" i="3"/>
  <c r="MU21" i="3"/>
  <c r="MY21" i="3"/>
  <c r="NC21" i="3"/>
  <c r="NG21" i="3"/>
  <c r="NK21" i="3"/>
  <c r="NO21" i="3"/>
  <c r="NS21" i="3"/>
  <c r="NW21" i="3"/>
  <c r="OA21" i="3"/>
  <c r="OE21" i="3"/>
  <c r="OI21" i="3"/>
  <c r="OM21" i="3"/>
  <c r="OQ21" i="3"/>
  <c r="OU21" i="3"/>
  <c r="OY21" i="3"/>
  <c r="PC21" i="3"/>
  <c r="PG21" i="3"/>
  <c r="PK21" i="3"/>
  <c r="PO21" i="3"/>
  <c r="PS21" i="3"/>
  <c r="PW21" i="3"/>
  <c r="QA21" i="3"/>
  <c r="QE21" i="3"/>
  <c r="QI21" i="3"/>
  <c r="QM21" i="3"/>
  <c r="QQ21" i="3"/>
  <c r="QU21" i="3"/>
  <c r="QY21" i="3"/>
  <c r="RC21" i="3"/>
  <c r="RG21" i="3"/>
  <c r="RK21" i="3"/>
  <c r="RO21" i="3"/>
  <c r="RS21" i="3"/>
  <c r="RW21" i="3"/>
  <c r="SA21" i="3"/>
  <c r="SE21" i="3"/>
  <c r="SI21" i="3"/>
  <c r="SM21" i="3"/>
  <c r="SQ21" i="3"/>
  <c r="SU21" i="3"/>
  <c r="SY21" i="3"/>
  <c r="TC21" i="3"/>
  <c r="TG21" i="3"/>
  <c r="TK21" i="3"/>
  <c r="TO21" i="3"/>
  <c r="TS21" i="3"/>
  <c r="TW21" i="3"/>
  <c r="UA21" i="3"/>
  <c r="UE21" i="3"/>
  <c r="UI21" i="3"/>
  <c r="UM21" i="3"/>
  <c r="UQ21" i="3"/>
  <c r="UU21" i="3"/>
  <c r="UY21" i="3"/>
  <c r="VC21" i="3"/>
  <c r="VG21" i="3"/>
  <c r="VK21" i="3"/>
  <c r="VO21" i="3"/>
  <c r="VS21" i="3"/>
  <c r="VW21" i="3"/>
  <c r="WA21" i="3"/>
  <c r="WE21" i="3"/>
  <c r="WI21" i="3"/>
  <c r="WM21" i="3"/>
  <c r="WQ21" i="3"/>
  <c r="WU21" i="3"/>
  <c r="WY21" i="3"/>
  <c r="XC21" i="3"/>
  <c r="XG21" i="3"/>
  <c r="XK21" i="3"/>
  <c r="XO21" i="3"/>
  <c r="XS21" i="3"/>
  <c r="XW21" i="3"/>
  <c r="YA21" i="3"/>
  <c r="YE21" i="3"/>
  <c r="YI21" i="3"/>
  <c r="YM21" i="3"/>
  <c r="YQ21" i="3"/>
  <c r="YU21" i="3"/>
  <c r="YY21" i="3"/>
  <c r="ZC21" i="3"/>
  <c r="ZG21" i="3"/>
  <c r="ZK21" i="3"/>
  <c r="ZO21" i="3"/>
  <c r="ZS21" i="3"/>
  <c r="ZW21" i="3"/>
  <c r="AAA21" i="3"/>
  <c r="AAE21" i="3"/>
  <c r="AAI21" i="3"/>
  <c r="AAM21" i="3"/>
  <c r="AAQ21" i="3"/>
  <c r="AAU21" i="3"/>
  <c r="AAY21" i="3"/>
  <c r="ABC21" i="3"/>
  <c r="ABG21" i="3"/>
  <c r="ABK21" i="3"/>
  <c r="ABO21" i="3"/>
  <c r="ABS21" i="3"/>
  <c r="ABW21" i="3"/>
  <c r="ACA21" i="3"/>
  <c r="ACE21" i="3"/>
  <c r="ACI21" i="3"/>
  <c r="ACM21" i="3"/>
  <c r="ACQ21" i="3"/>
  <c r="ACU21" i="3"/>
  <c r="ACY21" i="3"/>
  <c r="ADC21" i="3"/>
  <c r="ADG21" i="3"/>
  <c r="ADK21" i="3"/>
  <c r="ADO21" i="3"/>
  <c r="ADS21" i="3"/>
  <c r="ADW21" i="3"/>
  <c r="AEA21" i="3"/>
  <c r="AEE21" i="3"/>
  <c r="AEI21" i="3"/>
  <c r="AEM21" i="3"/>
  <c r="AEQ21" i="3"/>
  <c r="AEU21" i="3"/>
  <c r="AEY21" i="3"/>
  <c r="AFC21" i="3"/>
  <c r="AFG21" i="3"/>
  <c r="AFK21" i="3"/>
  <c r="AFO21" i="3"/>
  <c r="AFS21" i="3"/>
  <c r="AFW21" i="3"/>
  <c r="AGA21" i="3"/>
  <c r="AGE21" i="3"/>
  <c r="AGI21" i="3"/>
  <c r="AGM21" i="3"/>
  <c r="AGQ21" i="3"/>
  <c r="AGU21" i="3"/>
  <c r="AGY21" i="3"/>
  <c r="AHC21" i="3"/>
  <c r="AHG21" i="3"/>
  <c r="AHK21" i="3"/>
  <c r="AHO21" i="3"/>
  <c r="AHS21" i="3"/>
  <c r="AHW21" i="3"/>
  <c r="AIA21" i="3"/>
  <c r="AIE21" i="3"/>
  <c r="AII21" i="3"/>
  <c r="AIM21" i="3"/>
  <c r="AIQ21" i="3"/>
  <c r="AIU21" i="3"/>
  <c r="AIY21" i="3"/>
  <c r="AJC21" i="3"/>
  <c r="AJG21" i="3"/>
  <c r="AJK21" i="3"/>
  <c r="AJO21" i="3"/>
  <c r="AJS21" i="3"/>
  <c r="AJW21" i="3"/>
  <c r="AKA21" i="3"/>
  <c r="AKE21" i="3"/>
  <c r="AKI21" i="3"/>
  <c r="AKM21" i="3"/>
  <c r="AKQ21" i="3"/>
  <c r="AKU21" i="3"/>
  <c r="AKY21" i="3"/>
  <c r="ALC21" i="3"/>
  <c r="ALG21" i="3"/>
  <c r="ALK21" i="3"/>
  <c r="C22" i="3"/>
  <c r="G22" i="3"/>
  <c r="K22" i="3"/>
  <c r="O22" i="3"/>
  <c r="S22" i="3"/>
  <c r="W22" i="3"/>
  <c r="AA22" i="3"/>
  <c r="AE22" i="3"/>
  <c r="AI22" i="3"/>
  <c r="AM22" i="3"/>
  <c r="AQ22" i="3"/>
  <c r="AU22" i="3"/>
  <c r="AY22" i="3"/>
  <c r="BC22" i="3"/>
  <c r="BG22" i="3"/>
  <c r="BK22" i="3"/>
  <c r="BO22" i="3"/>
  <c r="BS22" i="3"/>
  <c r="BW22" i="3"/>
  <c r="CA22" i="3"/>
  <c r="CE22" i="3"/>
  <c r="CI22" i="3"/>
  <c r="CM22" i="3"/>
  <c r="CQ22" i="3"/>
  <c r="CU22" i="3"/>
  <c r="CY22" i="3"/>
  <c r="DC22" i="3"/>
  <c r="DG22" i="3"/>
  <c r="DK22" i="3"/>
  <c r="DO22" i="3"/>
  <c r="DS22" i="3"/>
  <c r="DW22" i="3"/>
  <c r="EA22" i="3"/>
  <c r="EE22" i="3"/>
  <c r="EI22" i="3"/>
  <c r="EM22" i="3"/>
  <c r="EQ22" i="3"/>
  <c r="EU22" i="3"/>
  <c r="EY22" i="3"/>
  <c r="FC22" i="3"/>
  <c r="FG22" i="3"/>
  <c r="FK22" i="3"/>
  <c r="FO22" i="3"/>
  <c r="FS22" i="3"/>
  <c r="FW22" i="3"/>
  <c r="GA22" i="3"/>
  <c r="GE22" i="3"/>
  <c r="GI22" i="3"/>
  <c r="GM22" i="3"/>
  <c r="GQ22" i="3"/>
  <c r="GU22" i="3"/>
  <c r="GY22" i="3"/>
  <c r="HC22" i="3"/>
  <c r="HG22" i="3"/>
  <c r="HK22" i="3"/>
  <c r="HO22" i="3"/>
  <c r="HS22" i="3"/>
  <c r="HW22" i="3"/>
  <c r="IA22" i="3"/>
  <c r="IE22" i="3"/>
  <c r="II22" i="3"/>
  <c r="IM22" i="3"/>
  <c r="IQ22" i="3"/>
  <c r="IU22" i="3"/>
  <c r="IY22" i="3"/>
  <c r="JC22" i="3"/>
  <c r="JG22" i="3"/>
  <c r="JK22" i="3"/>
  <c r="JO22" i="3"/>
  <c r="JS22" i="3"/>
  <c r="JW22" i="3"/>
  <c r="KA22" i="3"/>
  <c r="KE22" i="3"/>
  <c r="KI22" i="3"/>
  <c r="KM22" i="3"/>
  <c r="KQ22" i="3"/>
  <c r="KU22" i="3"/>
  <c r="KY22" i="3"/>
  <c r="LC22" i="3"/>
  <c r="LG22" i="3"/>
  <c r="LK22" i="3"/>
  <c r="LO22" i="3"/>
  <c r="LS22" i="3"/>
  <c r="LW22" i="3"/>
  <c r="MA22" i="3"/>
  <c r="ME22" i="3"/>
  <c r="MI22" i="3"/>
  <c r="MM22" i="3"/>
  <c r="MQ22" i="3"/>
  <c r="MU22" i="3"/>
  <c r="MY22" i="3"/>
  <c r="NC22" i="3"/>
  <c r="NG22" i="3"/>
  <c r="NK22" i="3"/>
  <c r="NO22" i="3"/>
  <c r="NS22" i="3"/>
  <c r="NW22" i="3"/>
  <c r="OA22" i="3"/>
  <c r="OE22" i="3"/>
  <c r="OI22" i="3"/>
  <c r="OM22" i="3"/>
  <c r="OQ22" i="3"/>
  <c r="OU22" i="3"/>
  <c r="OY22" i="3"/>
  <c r="PC22" i="3"/>
  <c r="PG22" i="3"/>
  <c r="PK22" i="3"/>
  <c r="PO22" i="3"/>
  <c r="PS22" i="3"/>
  <c r="PW22" i="3"/>
  <c r="QA22" i="3"/>
  <c r="QE22" i="3"/>
  <c r="QI22" i="3"/>
  <c r="QM22" i="3"/>
  <c r="QQ22" i="3"/>
  <c r="QU22" i="3"/>
  <c r="QY22" i="3"/>
  <c r="RC22" i="3"/>
  <c r="RG22" i="3"/>
  <c r="RK22" i="3"/>
  <c r="RO22" i="3"/>
  <c r="RS22" i="3"/>
  <c r="RW22" i="3"/>
  <c r="SA22" i="3"/>
  <c r="SE22" i="3"/>
  <c r="SI22" i="3"/>
  <c r="SM22" i="3"/>
  <c r="SQ22" i="3"/>
  <c r="SU22" i="3"/>
  <c r="SY22" i="3"/>
  <c r="TC22" i="3"/>
  <c r="TG22" i="3"/>
  <c r="TK22" i="3"/>
  <c r="TO22" i="3"/>
  <c r="TS22" i="3"/>
  <c r="TW22" i="3"/>
  <c r="UA22" i="3"/>
  <c r="UE22" i="3"/>
  <c r="UI22" i="3"/>
  <c r="UM22" i="3"/>
  <c r="UQ22" i="3"/>
  <c r="UU22" i="3"/>
  <c r="UY22" i="3"/>
  <c r="VC22" i="3"/>
  <c r="VG22" i="3"/>
  <c r="VK22" i="3"/>
  <c r="VO22" i="3"/>
  <c r="VS22" i="3"/>
  <c r="VW22" i="3"/>
  <c r="WA22" i="3"/>
  <c r="WE22" i="3"/>
  <c r="WI22" i="3"/>
  <c r="WM22" i="3"/>
  <c r="WQ22" i="3"/>
  <c r="WU22" i="3"/>
  <c r="WY22" i="3"/>
  <c r="XC22" i="3"/>
  <c r="XG22" i="3"/>
  <c r="XK22" i="3"/>
  <c r="XO22" i="3"/>
  <c r="XS22" i="3"/>
  <c r="XW22" i="3"/>
  <c r="YA22" i="3"/>
  <c r="YE22" i="3"/>
  <c r="YI22" i="3"/>
  <c r="YM22" i="3"/>
  <c r="YQ22" i="3"/>
  <c r="YU22" i="3"/>
  <c r="YY22" i="3"/>
  <c r="ZC22" i="3"/>
  <c r="ZG22" i="3"/>
  <c r="ZK22" i="3"/>
  <c r="ZO22" i="3"/>
  <c r="ZS22" i="3"/>
  <c r="ZW22" i="3"/>
  <c r="AAA22" i="3"/>
  <c r="AAE22" i="3"/>
  <c r="AAI22" i="3"/>
  <c r="AAM22" i="3"/>
  <c r="AAQ22" i="3"/>
  <c r="AAU22" i="3"/>
  <c r="AAY22" i="3"/>
  <c r="ABC22" i="3"/>
  <c r="ABG22" i="3"/>
  <c r="ABK22" i="3"/>
  <c r="ABO22" i="3"/>
  <c r="ABS22" i="3"/>
  <c r="ABW22" i="3"/>
  <c r="ACA22" i="3"/>
  <c r="ACE22" i="3"/>
  <c r="ACI22" i="3"/>
  <c r="ACM22" i="3"/>
  <c r="ACQ22" i="3"/>
  <c r="ACU22" i="3"/>
  <c r="ACY22" i="3"/>
  <c r="ADC22" i="3"/>
  <c r="ADG22" i="3"/>
  <c r="ADK22" i="3"/>
  <c r="ADO22" i="3"/>
  <c r="ADS22" i="3"/>
  <c r="ADW22" i="3"/>
  <c r="AEA22" i="3"/>
  <c r="AEE22" i="3"/>
  <c r="AEI22" i="3"/>
  <c r="AEM22" i="3"/>
  <c r="AEQ22" i="3"/>
  <c r="AEU22" i="3"/>
  <c r="AEY22" i="3"/>
  <c r="AFC22" i="3"/>
  <c r="AFG22" i="3"/>
  <c r="AFK22" i="3"/>
  <c r="AFO22" i="3"/>
  <c r="AFS22" i="3"/>
  <c r="AFW22" i="3"/>
  <c r="AGA22" i="3"/>
  <c r="AGE22" i="3"/>
  <c r="AGI22" i="3"/>
  <c r="AGM22" i="3"/>
  <c r="AGQ22" i="3"/>
  <c r="AGU22" i="3"/>
  <c r="AGY22" i="3"/>
  <c r="AHC22" i="3"/>
  <c r="AHG22" i="3"/>
  <c r="AHK22" i="3"/>
  <c r="AHO22" i="3"/>
  <c r="AHS22" i="3"/>
  <c r="AHW22" i="3"/>
  <c r="AIA22" i="3"/>
  <c r="AIE22" i="3"/>
  <c r="AII22" i="3"/>
  <c r="AIM22" i="3"/>
  <c r="AIQ22" i="3"/>
  <c r="AIU22" i="3"/>
  <c r="AIY22" i="3"/>
  <c r="AJC22" i="3"/>
  <c r="AJG22" i="3"/>
  <c r="AJK22" i="3"/>
  <c r="AJO22" i="3"/>
  <c r="AJS22" i="3"/>
  <c r="AJW22" i="3"/>
  <c r="AKA22" i="3"/>
  <c r="AKE22" i="3"/>
  <c r="AKI22" i="3"/>
  <c r="AKM22" i="3"/>
  <c r="AKQ22" i="3"/>
  <c r="AKU22" i="3"/>
  <c r="AKY22" i="3"/>
  <c r="ALC22" i="3"/>
  <c r="ALG22" i="3"/>
  <c r="ALK22" i="3"/>
  <c r="NK18" i="3"/>
  <c r="OA18" i="3"/>
  <c r="OQ18" i="3"/>
  <c r="PG18" i="3"/>
  <c r="PW18" i="3"/>
  <c r="QI18" i="3"/>
  <c r="QQ18" i="3"/>
  <c r="QY18" i="3"/>
  <c r="RG18" i="3"/>
  <c r="RO18" i="3"/>
  <c r="RW18" i="3"/>
  <c r="SE18" i="3"/>
  <c r="SM18" i="3"/>
  <c r="SU18" i="3"/>
  <c r="TC18" i="3"/>
  <c r="TJ18" i="3"/>
  <c r="TO18" i="3"/>
  <c r="TU18" i="3"/>
  <c r="TZ18" i="3"/>
  <c r="UE18" i="3"/>
  <c r="UK18" i="3"/>
  <c r="UP18" i="3"/>
  <c r="UU18" i="3"/>
  <c r="VA18" i="3"/>
  <c r="VF18" i="3"/>
  <c r="VK18" i="3"/>
  <c r="VQ18" i="3"/>
  <c r="VV18" i="3"/>
  <c r="WA18" i="3"/>
  <c r="WG18" i="3"/>
  <c r="WL18" i="3"/>
  <c r="WQ18" i="3"/>
  <c r="WW18" i="3"/>
  <c r="XB18" i="3"/>
  <c r="XG18" i="3"/>
  <c r="XM18" i="3"/>
  <c r="XR18" i="3"/>
  <c r="XW18" i="3"/>
  <c r="YC18" i="3"/>
  <c r="YH18" i="3"/>
  <c r="YM18" i="3"/>
  <c r="YS18" i="3"/>
  <c r="YX18" i="3"/>
  <c r="ZC18" i="3"/>
  <c r="ZI18" i="3"/>
  <c r="ZN18" i="3"/>
  <c r="ZS18" i="3"/>
  <c r="ZY18" i="3"/>
  <c r="AAD18" i="3"/>
  <c r="AAI18" i="3"/>
  <c r="AAO18" i="3"/>
  <c r="AAT18" i="3"/>
  <c r="AAY18" i="3"/>
  <c r="ABE18" i="3"/>
  <c r="ABJ18" i="3"/>
  <c r="ABO18" i="3"/>
  <c r="ABU18" i="3"/>
  <c r="ABZ18" i="3"/>
  <c r="ACE18" i="3"/>
  <c r="ACK18" i="3"/>
  <c r="ACP18" i="3"/>
  <c r="ACU18" i="3"/>
  <c r="ADA18" i="3"/>
  <c r="ADF18" i="3"/>
  <c r="ADK18" i="3"/>
  <c r="ADQ18" i="3"/>
  <c r="ADV18" i="3"/>
  <c r="AEA18" i="3"/>
  <c r="AEF18" i="3"/>
  <c r="AEJ18" i="3"/>
  <c r="AEN18" i="3"/>
  <c r="AER18" i="3"/>
  <c r="AEV18" i="3"/>
  <c r="AEZ18" i="3"/>
  <c r="AFD18" i="3"/>
  <c r="AFH18" i="3"/>
  <c r="AFL18" i="3"/>
  <c r="AFP18" i="3"/>
  <c r="AFT18" i="3"/>
  <c r="AFX18" i="3"/>
  <c r="AGB18" i="3"/>
  <c r="AGF18" i="3"/>
  <c r="AGJ18" i="3"/>
  <c r="AGN18" i="3"/>
  <c r="AGR18" i="3"/>
  <c r="AGV18" i="3"/>
  <c r="AGZ18" i="3"/>
  <c r="AHD18" i="3"/>
  <c r="AHH18" i="3"/>
  <c r="AHL18" i="3"/>
  <c r="AHP18" i="3"/>
  <c r="AHT18" i="3"/>
  <c r="AHX18" i="3"/>
  <c r="AIB18" i="3"/>
  <c r="AIF18" i="3"/>
  <c r="AIJ18" i="3"/>
  <c r="AIN18" i="3"/>
  <c r="AIR18" i="3"/>
  <c r="AIV18" i="3"/>
  <c r="AIZ18" i="3"/>
  <c r="AJD18" i="3"/>
  <c r="AJH18" i="3"/>
  <c r="AJL18" i="3"/>
  <c r="AJP18" i="3"/>
  <c r="AJT18" i="3"/>
  <c r="AJX18" i="3"/>
  <c r="AKB18" i="3"/>
  <c r="AKF18" i="3"/>
  <c r="AKJ18" i="3"/>
  <c r="AKN18" i="3"/>
  <c r="AKR18" i="3"/>
  <c r="AKV18" i="3"/>
  <c r="AKZ18" i="3"/>
  <c r="ALD18" i="3"/>
  <c r="ALH18" i="3"/>
  <c r="ALL18" i="3"/>
  <c r="D19" i="3"/>
  <c r="H19" i="3"/>
  <c r="L19" i="3"/>
  <c r="P19" i="3"/>
  <c r="T19" i="3"/>
  <c r="X19" i="3"/>
  <c r="AB19" i="3"/>
  <c r="AF19" i="3"/>
  <c r="AJ19" i="3"/>
  <c r="AN19" i="3"/>
  <c r="AR19" i="3"/>
  <c r="AV19" i="3"/>
  <c r="AZ19" i="3"/>
  <c r="BD19" i="3"/>
  <c r="BH19" i="3"/>
  <c r="BL19" i="3"/>
  <c r="BP19" i="3"/>
  <c r="BT19" i="3"/>
  <c r="BX19" i="3"/>
  <c r="CB19" i="3"/>
  <c r="CF19" i="3"/>
  <c r="CJ19" i="3"/>
  <c r="CN19" i="3"/>
  <c r="CR19" i="3"/>
  <c r="CV19" i="3"/>
  <c r="CZ19" i="3"/>
  <c r="DD19" i="3"/>
  <c r="DH19" i="3"/>
  <c r="DL19" i="3"/>
  <c r="DP19" i="3"/>
  <c r="DT19" i="3"/>
  <c r="DX19" i="3"/>
  <c r="EB19" i="3"/>
  <c r="EF19" i="3"/>
  <c r="EJ19" i="3"/>
  <c r="EN19" i="3"/>
  <c r="ER19" i="3"/>
  <c r="EV19" i="3"/>
  <c r="EZ19" i="3"/>
  <c r="FD19" i="3"/>
  <c r="FH19" i="3"/>
  <c r="FL19" i="3"/>
  <c r="FP19" i="3"/>
  <c r="FT19" i="3"/>
  <c r="FX19" i="3"/>
  <c r="GB19" i="3"/>
  <c r="GF19" i="3"/>
  <c r="GJ19" i="3"/>
  <c r="GN19" i="3"/>
  <c r="GR19" i="3"/>
  <c r="GV19" i="3"/>
  <c r="GZ19" i="3"/>
  <c r="HD19" i="3"/>
  <c r="HH19" i="3"/>
  <c r="HL19" i="3"/>
  <c r="HP19" i="3"/>
  <c r="HT19" i="3"/>
  <c r="HX19" i="3"/>
  <c r="IB19" i="3"/>
  <c r="IF19" i="3"/>
  <c r="IJ19" i="3"/>
  <c r="IN19" i="3"/>
  <c r="IR19" i="3"/>
  <c r="IV19" i="3"/>
  <c r="IZ19" i="3"/>
  <c r="JD19" i="3"/>
  <c r="JH19" i="3"/>
  <c r="JL19" i="3"/>
  <c r="JP19" i="3"/>
  <c r="JT19" i="3"/>
  <c r="JX19" i="3"/>
  <c r="KB19" i="3"/>
  <c r="KF19" i="3"/>
  <c r="KJ19" i="3"/>
  <c r="KN19" i="3"/>
  <c r="KR19" i="3"/>
  <c r="KV19" i="3"/>
  <c r="KZ19" i="3"/>
  <c r="LD19" i="3"/>
  <c r="LH19" i="3"/>
  <c r="LL19" i="3"/>
  <c r="LP19" i="3"/>
  <c r="LT19" i="3"/>
  <c r="LX19" i="3"/>
  <c r="MB19" i="3"/>
  <c r="MF19" i="3"/>
  <c r="MJ19" i="3"/>
  <c r="MN19" i="3"/>
  <c r="MR19" i="3"/>
  <c r="MV19" i="3"/>
  <c r="MZ19" i="3"/>
  <c r="ND19" i="3"/>
  <c r="NH19" i="3"/>
  <c r="NL19" i="3"/>
  <c r="NP19" i="3"/>
  <c r="NT19" i="3"/>
  <c r="NX19" i="3"/>
  <c r="OB19" i="3"/>
  <c r="OF19" i="3"/>
  <c r="OJ19" i="3"/>
  <c r="ON19" i="3"/>
  <c r="OR19" i="3"/>
  <c r="OV19" i="3"/>
  <c r="OZ19" i="3"/>
  <c r="PD19" i="3"/>
  <c r="PH19" i="3"/>
  <c r="PL19" i="3"/>
  <c r="PP19" i="3"/>
  <c r="PT19" i="3"/>
  <c r="PX19" i="3"/>
  <c r="QB19" i="3"/>
  <c r="QF19" i="3"/>
  <c r="QJ19" i="3"/>
  <c r="QN19" i="3"/>
  <c r="QR19" i="3"/>
  <c r="QV19" i="3"/>
  <c r="QZ19" i="3"/>
  <c r="RD19" i="3"/>
  <c r="RH19" i="3"/>
  <c r="RL19" i="3"/>
  <c r="RP19" i="3"/>
  <c r="RT19" i="3"/>
  <c r="RX19" i="3"/>
  <c r="SB19" i="3"/>
  <c r="SF19" i="3"/>
  <c r="SJ19" i="3"/>
  <c r="SN19" i="3"/>
  <c r="SR19" i="3"/>
  <c r="SV19" i="3"/>
  <c r="SZ19" i="3"/>
  <c r="TD19" i="3"/>
  <c r="TH19" i="3"/>
  <c r="TL19" i="3"/>
  <c r="TP19" i="3"/>
  <c r="TT19" i="3"/>
  <c r="TX19" i="3"/>
  <c r="UB19" i="3"/>
  <c r="UF19" i="3"/>
  <c r="UJ19" i="3"/>
  <c r="UN19" i="3"/>
  <c r="UR19" i="3"/>
  <c r="UV19" i="3"/>
  <c r="UZ19" i="3"/>
  <c r="VD19" i="3"/>
  <c r="VH19" i="3"/>
  <c r="VL19" i="3"/>
  <c r="VP19" i="3"/>
  <c r="VT19" i="3"/>
  <c r="VX19" i="3"/>
  <c r="WB19" i="3"/>
  <c r="WF19" i="3"/>
  <c r="WJ19" i="3"/>
  <c r="WN19" i="3"/>
  <c r="WR19" i="3"/>
  <c r="WV19" i="3"/>
  <c r="WZ19" i="3"/>
  <c r="XD19" i="3"/>
  <c r="XH19" i="3"/>
  <c r="XL19" i="3"/>
  <c r="XP19" i="3"/>
  <c r="XT19" i="3"/>
  <c r="XX19" i="3"/>
  <c r="YB19" i="3"/>
  <c r="YF19" i="3"/>
  <c r="YJ19" i="3"/>
  <c r="YN19" i="3"/>
  <c r="YR19" i="3"/>
  <c r="YV19" i="3"/>
  <c r="YZ19" i="3"/>
  <c r="ZD19" i="3"/>
  <c r="ZH19" i="3"/>
  <c r="ZL19" i="3"/>
  <c r="ZP19" i="3"/>
  <c r="ZT19" i="3"/>
  <c r="ZX19" i="3"/>
  <c r="AAB19" i="3"/>
  <c r="AAF19" i="3"/>
  <c r="AAJ19" i="3"/>
  <c r="AAN19" i="3"/>
  <c r="AAR19" i="3"/>
  <c r="AAV19" i="3"/>
  <c r="AAZ19" i="3"/>
  <c r="ABD19" i="3"/>
  <c r="ABH19" i="3"/>
  <c r="ABL19" i="3"/>
  <c r="ABP19" i="3"/>
  <c r="ABT19" i="3"/>
  <c r="ABX19" i="3"/>
  <c r="ACB19" i="3"/>
  <c r="ACF19" i="3"/>
  <c r="ACJ19" i="3"/>
  <c r="ACN19" i="3"/>
  <c r="ACR19" i="3"/>
  <c r="ACV19" i="3"/>
  <c r="ACZ19" i="3"/>
  <c r="ADD19" i="3"/>
  <c r="ADH19" i="3"/>
  <c r="ADL19" i="3"/>
  <c r="ADP19" i="3"/>
  <c r="ADT19" i="3"/>
  <c r="ADX19" i="3"/>
  <c r="AEB19" i="3"/>
  <c r="AEF19" i="3"/>
  <c r="AEJ19" i="3"/>
  <c r="AEN19" i="3"/>
  <c r="AER19" i="3"/>
  <c r="AEV19" i="3"/>
  <c r="AEZ19" i="3"/>
  <c r="AFD19" i="3"/>
  <c r="AFH19" i="3"/>
  <c r="AFL19" i="3"/>
  <c r="AFP19" i="3"/>
  <c r="AFT19" i="3"/>
  <c r="AFX19" i="3"/>
  <c r="AGB19" i="3"/>
  <c r="AGF19" i="3"/>
  <c r="AGJ19" i="3"/>
  <c r="AGN19" i="3"/>
  <c r="AGR19" i="3"/>
  <c r="AGV19" i="3"/>
  <c r="AGZ19" i="3"/>
  <c r="AHD19" i="3"/>
  <c r="AHH19" i="3"/>
  <c r="AHL19" i="3"/>
  <c r="AHP19" i="3"/>
  <c r="AHT19" i="3"/>
  <c r="AHX19" i="3"/>
  <c r="AIB19" i="3"/>
  <c r="AIF19" i="3"/>
  <c r="AIJ19" i="3"/>
  <c r="AIN19" i="3"/>
  <c r="AIR19" i="3"/>
  <c r="AIV19" i="3"/>
  <c r="AIZ19" i="3"/>
  <c r="AJD19" i="3"/>
  <c r="AJH19" i="3"/>
  <c r="AJL19" i="3"/>
  <c r="AJP19" i="3"/>
  <c r="AJT19" i="3"/>
  <c r="AJX19" i="3"/>
  <c r="AKB19" i="3"/>
  <c r="AKF19" i="3"/>
  <c r="AKJ19" i="3"/>
  <c r="AKN19" i="3"/>
  <c r="AKR19" i="3"/>
  <c r="AKV19" i="3"/>
  <c r="AKZ19" i="3"/>
  <c r="ALD19" i="3"/>
  <c r="ALH19" i="3"/>
  <c r="ALL19" i="3"/>
  <c r="D20" i="3"/>
  <c r="H20" i="3"/>
  <c r="L20" i="3"/>
  <c r="P20" i="3"/>
  <c r="T20" i="3"/>
  <c r="X20" i="3"/>
  <c r="AB20" i="3"/>
  <c r="AF20" i="3"/>
  <c r="AJ20" i="3"/>
  <c r="AN20" i="3"/>
  <c r="AR20" i="3"/>
  <c r="AV20" i="3"/>
  <c r="AZ20" i="3"/>
  <c r="BD20" i="3"/>
  <c r="BH20" i="3"/>
  <c r="BL20" i="3"/>
  <c r="BP20" i="3"/>
  <c r="BT20" i="3"/>
  <c r="BX20" i="3"/>
  <c r="CB20" i="3"/>
  <c r="CF20" i="3"/>
  <c r="CJ20" i="3"/>
  <c r="CN20" i="3"/>
  <c r="CR20" i="3"/>
  <c r="CV20" i="3"/>
  <c r="CZ20" i="3"/>
  <c r="DD20" i="3"/>
  <c r="DH20" i="3"/>
  <c r="DL20" i="3"/>
  <c r="DP20" i="3"/>
  <c r="DT20" i="3"/>
  <c r="DX20" i="3"/>
  <c r="EB20" i="3"/>
  <c r="EF20" i="3"/>
  <c r="EJ20" i="3"/>
  <c r="EN20" i="3"/>
  <c r="ER20" i="3"/>
  <c r="EV20" i="3"/>
  <c r="EZ20" i="3"/>
  <c r="FD20" i="3"/>
  <c r="FH20" i="3"/>
  <c r="FL20" i="3"/>
  <c r="FP20" i="3"/>
  <c r="FT20" i="3"/>
  <c r="FX20" i="3"/>
  <c r="GB20" i="3"/>
  <c r="GF20" i="3"/>
  <c r="GJ20" i="3"/>
  <c r="GN20" i="3"/>
  <c r="GR20" i="3"/>
  <c r="GV20" i="3"/>
  <c r="GZ20" i="3"/>
  <c r="HD20" i="3"/>
  <c r="HH20" i="3"/>
  <c r="HL20" i="3"/>
  <c r="HP20" i="3"/>
  <c r="HT20" i="3"/>
  <c r="HX20" i="3"/>
  <c r="IB20" i="3"/>
  <c r="IF20" i="3"/>
  <c r="IJ20" i="3"/>
  <c r="IN20" i="3"/>
  <c r="IR20" i="3"/>
  <c r="IV20" i="3"/>
  <c r="IZ20" i="3"/>
  <c r="JD20" i="3"/>
  <c r="JH20" i="3"/>
  <c r="JL20" i="3"/>
  <c r="JP20" i="3"/>
  <c r="JT20" i="3"/>
  <c r="JX20" i="3"/>
  <c r="KB20" i="3"/>
  <c r="KF20" i="3"/>
  <c r="KJ20" i="3"/>
  <c r="KN20" i="3"/>
  <c r="KR20" i="3"/>
  <c r="KV20" i="3"/>
  <c r="KZ20" i="3"/>
  <c r="LD20" i="3"/>
  <c r="LH20" i="3"/>
  <c r="LL20" i="3"/>
  <c r="LP20" i="3"/>
  <c r="LT20" i="3"/>
  <c r="LX20" i="3"/>
  <c r="MB20" i="3"/>
  <c r="MF20" i="3"/>
  <c r="MJ20" i="3"/>
  <c r="MN20" i="3"/>
  <c r="MR20" i="3"/>
  <c r="MV20" i="3"/>
  <c r="MZ20" i="3"/>
  <c r="ND20" i="3"/>
  <c r="NH20" i="3"/>
  <c r="NL20" i="3"/>
  <c r="NP20" i="3"/>
  <c r="NT20" i="3"/>
  <c r="NX20" i="3"/>
  <c r="OB20" i="3"/>
  <c r="OF20" i="3"/>
  <c r="OJ20" i="3"/>
  <c r="ON20" i="3"/>
  <c r="OR20" i="3"/>
  <c r="OV20" i="3"/>
  <c r="OZ20" i="3"/>
  <c r="PD20" i="3"/>
  <c r="PH20" i="3"/>
  <c r="PL20" i="3"/>
  <c r="PP20" i="3"/>
  <c r="PT20" i="3"/>
  <c r="PX20" i="3"/>
  <c r="QB20" i="3"/>
  <c r="QF20" i="3"/>
  <c r="QJ20" i="3"/>
  <c r="QN20" i="3"/>
  <c r="QR20" i="3"/>
  <c r="QV20" i="3"/>
  <c r="QZ20" i="3"/>
  <c r="RD20" i="3"/>
  <c r="RH20" i="3"/>
  <c r="RL20" i="3"/>
  <c r="RP20" i="3"/>
  <c r="RT20" i="3"/>
  <c r="RX20" i="3"/>
  <c r="SB20" i="3"/>
  <c r="SF20" i="3"/>
  <c r="SJ20" i="3"/>
  <c r="SN20" i="3"/>
  <c r="SR20" i="3"/>
  <c r="SV20" i="3"/>
  <c r="SZ20" i="3"/>
  <c r="TD20" i="3"/>
  <c r="TH20" i="3"/>
  <c r="TL20" i="3"/>
  <c r="TP20" i="3"/>
  <c r="TT20" i="3"/>
  <c r="TX20" i="3"/>
  <c r="UB20" i="3"/>
  <c r="UF20" i="3"/>
  <c r="UJ20" i="3"/>
  <c r="UN20" i="3"/>
  <c r="UR20" i="3"/>
  <c r="UV20" i="3"/>
  <c r="UZ20" i="3"/>
  <c r="VD20" i="3"/>
  <c r="VH20" i="3"/>
  <c r="VL20" i="3"/>
  <c r="VP20" i="3"/>
  <c r="VT20" i="3"/>
  <c r="VX20" i="3"/>
  <c r="WB20" i="3"/>
  <c r="WF20" i="3"/>
  <c r="WJ20" i="3"/>
  <c r="WN20" i="3"/>
  <c r="WR20" i="3"/>
  <c r="WV20" i="3"/>
  <c r="WZ20" i="3"/>
  <c r="XD20" i="3"/>
  <c r="XH20" i="3"/>
  <c r="XL20" i="3"/>
  <c r="XP20" i="3"/>
  <c r="XT20" i="3"/>
  <c r="XX20" i="3"/>
  <c r="YB20" i="3"/>
  <c r="YF20" i="3"/>
  <c r="YJ20" i="3"/>
  <c r="YN20" i="3"/>
  <c r="YR20" i="3"/>
  <c r="YV20" i="3"/>
  <c r="YZ20" i="3"/>
  <c r="ZD20" i="3"/>
  <c r="ZH20" i="3"/>
  <c r="ZL20" i="3"/>
  <c r="ZP20" i="3"/>
  <c r="ZT20" i="3"/>
  <c r="ZX20" i="3"/>
  <c r="AAB20" i="3"/>
  <c r="AAF20" i="3"/>
  <c r="AAJ20" i="3"/>
  <c r="AAN20" i="3"/>
  <c r="AAR20" i="3"/>
  <c r="AAV20" i="3"/>
  <c r="AAZ20" i="3"/>
  <c r="ABD20" i="3"/>
  <c r="ABH20" i="3"/>
  <c r="ABL20" i="3"/>
  <c r="ABP20" i="3"/>
  <c r="ABT20" i="3"/>
  <c r="ABX20" i="3"/>
  <c r="ACB20" i="3"/>
  <c r="ACF20" i="3"/>
  <c r="ACJ20" i="3"/>
  <c r="ACN20" i="3"/>
  <c r="ACR20" i="3"/>
  <c r="ACV20" i="3"/>
  <c r="ACZ20" i="3"/>
  <c r="ADD20" i="3"/>
  <c r="ADH20" i="3"/>
  <c r="ADL20" i="3"/>
  <c r="ADP20" i="3"/>
  <c r="ADT20" i="3"/>
  <c r="ADX20" i="3"/>
  <c r="AEB20" i="3"/>
  <c r="AEF20" i="3"/>
  <c r="AEJ20" i="3"/>
  <c r="AEN20" i="3"/>
  <c r="AER20" i="3"/>
  <c r="AEV20" i="3"/>
  <c r="AEZ20" i="3"/>
  <c r="AFD20" i="3"/>
  <c r="AFH20" i="3"/>
  <c r="AFL20" i="3"/>
  <c r="AFP20" i="3"/>
  <c r="AFT20" i="3"/>
  <c r="AFX20" i="3"/>
  <c r="AGB20" i="3"/>
  <c r="AGF20" i="3"/>
  <c r="AGJ20" i="3"/>
  <c r="AGN20" i="3"/>
  <c r="AGR20" i="3"/>
  <c r="AGV20" i="3"/>
  <c r="AGZ20" i="3"/>
  <c r="AHD20" i="3"/>
  <c r="AHH20" i="3"/>
  <c r="AHL20" i="3"/>
  <c r="AHP20" i="3"/>
  <c r="AHT20" i="3"/>
  <c r="AHX20" i="3"/>
  <c r="AIB20" i="3"/>
  <c r="AIF20" i="3"/>
  <c r="AIJ20" i="3"/>
  <c r="AIN20" i="3"/>
  <c r="AIR20" i="3"/>
  <c r="AIV20" i="3"/>
  <c r="AIZ20" i="3"/>
  <c r="AJD20" i="3"/>
  <c r="AJH20" i="3"/>
  <c r="AJL20" i="3"/>
  <c r="AJP20" i="3"/>
  <c r="AJT20" i="3"/>
  <c r="AJX20" i="3"/>
  <c r="AKB20" i="3"/>
  <c r="AKF20" i="3"/>
  <c r="AKJ20" i="3"/>
  <c r="AKN20" i="3"/>
  <c r="AKR20" i="3"/>
  <c r="AKV20" i="3"/>
  <c r="AKZ20" i="3"/>
  <c r="ALD20" i="3"/>
  <c r="ALH20" i="3"/>
  <c r="ALL20" i="3"/>
  <c r="D21" i="3"/>
  <c r="H21" i="3"/>
  <c r="L21" i="3"/>
  <c r="P21" i="3"/>
  <c r="T21" i="3"/>
  <c r="X21" i="3"/>
  <c r="AB21" i="3"/>
  <c r="AF21" i="3"/>
  <c r="AJ21" i="3"/>
  <c r="AN21" i="3"/>
  <c r="AR21" i="3"/>
  <c r="AV21" i="3"/>
  <c r="AZ21" i="3"/>
  <c r="BD21" i="3"/>
  <c r="BH21" i="3"/>
  <c r="BL21" i="3"/>
  <c r="BP21" i="3"/>
  <c r="BT21" i="3"/>
  <c r="BX21" i="3"/>
  <c r="CB21" i="3"/>
  <c r="CF21" i="3"/>
  <c r="CJ21" i="3"/>
  <c r="CN21" i="3"/>
  <c r="CR21" i="3"/>
  <c r="CV21" i="3"/>
  <c r="CZ21" i="3"/>
  <c r="DD21" i="3"/>
  <c r="DH21" i="3"/>
  <c r="DL21" i="3"/>
  <c r="DP21" i="3"/>
  <c r="DT21" i="3"/>
  <c r="DX21" i="3"/>
  <c r="EB21" i="3"/>
  <c r="EF21" i="3"/>
  <c r="EJ21" i="3"/>
  <c r="EN21" i="3"/>
  <c r="ER21" i="3"/>
  <c r="EV21" i="3"/>
  <c r="EZ21" i="3"/>
  <c r="FD21" i="3"/>
  <c r="FH21" i="3"/>
  <c r="FL21" i="3"/>
  <c r="FP21" i="3"/>
  <c r="FT21" i="3"/>
  <c r="FX21" i="3"/>
  <c r="GB21" i="3"/>
  <c r="GF21" i="3"/>
  <c r="GJ21" i="3"/>
  <c r="GN21" i="3"/>
  <c r="GR21" i="3"/>
  <c r="GV21" i="3"/>
  <c r="GZ21" i="3"/>
  <c r="HD21" i="3"/>
  <c r="HH21" i="3"/>
  <c r="HL21" i="3"/>
  <c r="HP21" i="3"/>
  <c r="HT21" i="3"/>
  <c r="HX21" i="3"/>
  <c r="IB21" i="3"/>
  <c r="IF21" i="3"/>
  <c r="IJ21" i="3"/>
  <c r="IN21" i="3"/>
  <c r="IR21" i="3"/>
  <c r="IV21" i="3"/>
  <c r="IZ21" i="3"/>
  <c r="JD21" i="3"/>
  <c r="JH21" i="3"/>
  <c r="JL21" i="3"/>
  <c r="JP21" i="3"/>
  <c r="JT21" i="3"/>
  <c r="JX21" i="3"/>
  <c r="KB21" i="3"/>
  <c r="KF21" i="3"/>
  <c r="KJ21" i="3"/>
  <c r="KN21" i="3"/>
  <c r="KR21" i="3"/>
  <c r="KV21" i="3"/>
  <c r="KZ21" i="3"/>
  <c r="LD21" i="3"/>
  <c r="LH21" i="3"/>
  <c r="LL21" i="3"/>
  <c r="LP21" i="3"/>
  <c r="LT21" i="3"/>
  <c r="LX21" i="3"/>
  <c r="MB21" i="3"/>
  <c r="MF21" i="3"/>
  <c r="MJ21" i="3"/>
  <c r="MN21" i="3"/>
  <c r="MR21" i="3"/>
  <c r="MV21" i="3"/>
  <c r="MZ21" i="3"/>
  <c r="ND21" i="3"/>
  <c r="NH21" i="3"/>
  <c r="NL21" i="3"/>
  <c r="NP21" i="3"/>
  <c r="NT21" i="3"/>
  <c r="NX21" i="3"/>
  <c r="OB21" i="3"/>
  <c r="OF21" i="3"/>
  <c r="OJ21" i="3"/>
  <c r="ON21" i="3"/>
  <c r="OR21" i="3"/>
  <c r="OV21" i="3"/>
  <c r="OZ21" i="3"/>
  <c r="PD21" i="3"/>
  <c r="PH21" i="3"/>
  <c r="PL21" i="3"/>
  <c r="PP21" i="3"/>
  <c r="PT21" i="3"/>
  <c r="PX21" i="3"/>
  <c r="QB21" i="3"/>
  <c r="QF21" i="3"/>
  <c r="QJ21" i="3"/>
  <c r="QN21" i="3"/>
  <c r="QR21" i="3"/>
  <c r="QV21" i="3"/>
  <c r="QZ21" i="3"/>
  <c r="RD21" i="3"/>
  <c r="RH21" i="3"/>
  <c r="RL21" i="3"/>
  <c r="RP21" i="3"/>
  <c r="RT21" i="3"/>
  <c r="RX21" i="3"/>
  <c r="SB21" i="3"/>
  <c r="SF21" i="3"/>
  <c r="SJ21" i="3"/>
  <c r="SN21" i="3"/>
  <c r="SR21" i="3"/>
  <c r="SV21" i="3"/>
  <c r="SZ21" i="3"/>
  <c r="TD21" i="3"/>
  <c r="TH21" i="3"/>
  <c r="TL21" i="3"/>
  <c r="TP21" i="3"/>
  <c r="TT21" i="3"/>
  <c r="TX21" i="3"/>
  <c r="UB21" i="3"/>
  <c r="UF21" i="3"/>
  <c r="UJ21" i="3"/>
  <c r="UN21" i="3"/>
  <c r="UR21" i="3"/>
  <c r="UV21" i="3"/>
  <c r="UZ21" i="3"/>
  <c r="VD21" i="3"/>
  <c r="VH21" i="3"/>
  <c r="VL21" i="3"/>
  <c r="VP21" i="3"/>
  <c r="VT21" i="3"/>
  <c r="VX21" i="3"/>
  <c r="WB21" i="3"/>
  <c r="WF21" i="3"/>
  <c r="WJ21" i="3"/>
  <c r="WN21" i="3"/>
  <c r="WR21" i="3"/>
  <c r="WV21" i="3"/>
  <c r="WZ21" i="3"/>
  <c r="XD21" i="3"/>
  <c r="XH21" i="3"/>
  <c r="XL21" i="3"/>
  <c r="XP21" i="3"/>
  <c r="XT21" i="3"/>
  <c r="XX21" i="3"/>
  <c r="YB21" i="3"/>
  <c r="YF21" i="3"/>
  <c r="YJ21" i="3"/>
  <c r="YN21" i="3"/>
  <c r="YR21" i="3"/>
  <c r="YV21" i="3"/>
  <c r="YZ21" i="3"/>
  <c r="ZD21" i="3"/>
  <c r="ZH21" i="3"/>
  <c r="ZL21" i="3"/>
  <c r="ZP21" i="3"/>
  <c r="ZT21" i="3"/>
  <c r="ZX21" i="3"/>
  <c r="AAB21" i="3"/>
  <c r="AAF21" i="3"/>
  <c r="AAJ21" i="3"/>
  <c r="AAN21" i="3"/>
  <c r="AAR21" i="3"/>
  <c r="AAV21" i="3"/>
  <c r="AAZ21" i="3"/>
  <c r="ABD21" i="3"/>
  <c r="ABH21" i="3"/>
  <c r="ABL21" i="3"/>
  <c r="ABP21" i="3"/>
  <c r="ABT21" i="3"/>
  <c r="ABX21" i="3"/>
  <c r="ACB21" i="3"/>
  <c r="ACF21" i="3"/>
  <c r="ACJ21" i="3"/>
  <c r="ACN21" i="3"/>
  <c r="ACR21" i="3"/>
  <c r="ACV21" i="3"/>
  <c r="ACZ21" i="3"/>
  <c r="ADD21" i="3"/>
  <c r="ADH21" i="3"/>
  <c r="ADL21" i="3"/>
  <c r="ADP21" i="3"/>
  <c r="ADT21" i="3"/>
  <c r="ADX21" i="3"/>
  <c r="AEB21" i="3"/>
  <c r="AEF21" i="3"/>
  <c r="AEJ21" i="3"/>
  <c r="AEN21" i="3"/>
  <c r="AER21" i="3"/>
  <c r="AEV21" i="3"/>
  <c r="AEZ21" i="3"/>
  <c r="AFD21" i="3"/>
  <c r="AFH21" i="3"/>
  <c r="AFL21" i="3"/>
  <c r="AFP21" i="3"/>
  <c r="AFT21" i="3"/>
  <c r="AFX21" i="3"/>
  <c r="AGB21" i="3"/>
  <c r="AGF21" i="3"/>
  <c r="AGJ21" i="3"/>
  <c r="AGN21" i="3"/>
  <c r="AGR21" i="3"/>
  <c r="AGV21" i="3"/>
  <c r="AGZ21" i="3"/>
  <c r="AHD21" i="3"/>
  <c r="AHH21" i="3"/>
  <c r="AHL21" i="3"/>
  <c r="AHP21" i="3"/>
  <c r="AHT21" i="3"/>
  <c r="AHX21" i="3"/>
  <c r="AIB21" i="3"/>
  <c r="AIF21" i="3"/>
  <c r="AIJ21" i="3"/>
  <c r="AIN21" i="3"/>
  <c r="AIR21" i="3"/>
  <c r="AIV21" i="3"/>
  <c r="AIZ21" i="3"/>
  <c r="AJD21" i="3"/>
  <c r="AJH21" i="3"/>
  <c r="AJL21" i="3"/>
  <c r="AJP21" i="3"/>
  <c r="AJT21" i="3"/>
  <c r="AJX21" i="3"/>
  <c r="AKB21" i="3"/>
  <c r="AKF21" i="3"/>
  <c r="AKJ21" i="3"/>
  <c r="AKN21" i="3"/>
  <c r="AKR21" i="3"/>
  <c r="AKV21" i="3"/>
  <c r="AKZ21" i="3"/>
  <c r="ALD21" i="3"/>
  <c r="ALH21" i="3"/>
  <c r="ALL21" i="3"/>
  <c r="D22" i="3"/>
  <c r="H22" i="3"/>
  <c r="L22" i="3"/>
  <c r="P22" i="3"/>
  <c r="T22" i="3"/>
  <c r="X22" i="3"/>
  <c r="AB22" i="3"/>
  <c r="AF22" i="3"/>
  <c r="AJ22" i="3"/>
  <c r="AN22" i="3"/>
  <c r="AR22" i="3"/>
  <c r="AV22" i="3"/>
  <c r="AZ22" i="3"/>
  <c r="BD22" i="3"/>
  <c r="BH22" i="3"/>
  <c r="BL22" i="3"/>
  <c r="BP22" i="3"/>
  <c r="BT22" i="3"/>
  <c r="BX22" i="3"/>
  <c r="CB22" i="3"/>
  <c r="CF22" i="3"/>
  <c r="CJ22" i="3"/>
  <c r="CN22" i="3"/>
  <c r="CR22" i="3"/>
  <c r="CV22" i="3"/>
  <c r="CZ22" i="3"/>
  <c r="DD22" i="3"/>
  <c r="DH22" i="3"/>
  <c r="DL22" i="3"/>
  <c r="DP22" i="3"/>
  <c r="DT22" i="3"/>
  <c r="DX22" i="3"/>
  <c r="EB22" i="3"/>
  <c r="EF22" i="3"/>
  <c r="EJ22" i="3"/>
  <c r="EN22" i="3"/>
  <c r="ER22" i="3"/>
  <c r="EV22" i="3"/>
  <c r="EZ22" i="3"/>
  <c r="FD22" i="3"/>
  <c r="FH22" i="3"/>
  <c r="FL22" i="3"/>
  <c r="FP22" i="3"/>
  <c r="FT22" i="3"/>
  <c r="FX22" i="3"/>
  <c r="GB22" i="3"/>
  <c r="GF22" i="3"/>
  <c r="GJ22" i="3"/>
  <c r="GN22" i="3"/>
  <c r="GR22" i="3"/>
  <c r="GV22" i="3"/>
  <c r="GZ22" i="3"/>
  <c r="HD22" i="3"/>
  <c r="HH22" i="3"/>
  <c r="HL22" i="3"/>
  <c r="HP22" i="3"/>
  <c r="HT22" i="3"/>
  <c r="HX22" i="3"/>
  <c r="IB22" i="3"/>
  <c r="IF22" i="3"/>
  <c r="IJ22" i="3"/>
  <c r="IN22" i="3"/>
  <c r="IR22" i="3"/>
  <c r="IV22" i="3"/>
  <c r="IZ22" i="3"/>
  <c r="JD22" i="3"/>
  <c r="JH22" i="3"/>
  <c r="JL22" i="3"/>
  <c r="JP22" i="3"/>
  <c r="JT22" i="3"/>
  <c r="JX22" i="3"/>
  <c r="KB22" i="3"/>
  <c r="KF22" i="3"/>
  <c r="KJ22" i="3"/>
  <c r="KN22" i="3"/>
  <c r="KR22" i="3"/>
  <c r="KV22" i="3"/>
  <c r="KZ22" i="3"/>
  <c r="LD22" i="3"/>
  <c r="LH22" i="3"/>
  <c r="LL22" i="3"/>
  <c r="LP22" i="3"/>
  <c r="LT22" i="3"/>
  <c r="LX22" i="3"/>
  <c r="MB22" i="3"/>
  <c r="MF22" i="3"/>
  <c r="MJ22" i="3"/>
  <c r="MN22" i="3"/>
  <c r="MR22" i="3"/>
  <c r="MV22" i="3"/>
  <c r="MZ22" i="3"/>
  <c r="ND22" i="3"/>
  <c r="NH22" i="3"/>
  <c r="NL22" i="3"/>
  <c r="NP22" i="3"/>
  <c r="NT22" i="3"/>
  <c r="NX22" i="3"/>
  <c r="OB22" i="3"/>
  <c r="OF22" i="3"/>
  <c r="OJ22" i="3"/>
  <c r="ON22" i="3"/>
  <c r="OR22" i="3"/>
  <c r="OV22" i="3"/>
  <c r="OZ22" i="3"/>
  <c r="PD22" i="3"/>
  <c r="PH22" i="3"/>
  <c r="PL22" i="3"/>
  <c r="PP22" i="3"/>
  <c r="PT22" i="3"/>
  <c r="PX22" i="3"/>
  <c r="QB22" i="3"/>
  <c r="QF22" i="3"/>
  <c r="QJ22" i="3"/>
  <c r="QN22" i="3"/>
  <c r="QR22" i="3"/>
  <c r="QV22" i="3"/>
  <c r="QZ22" i="3"/>
  <c r="RD22" i="3"/>
  <c r="RH22" i="3"/>
  <c r="RL22" i="3"/>
  <c r="RP22" i="3"/>
  <c r="RT22" i="3"/>
  <c r="RX22" i="3"/>
  <c r="SB22" i="3"/>
  <c r="SF22" i="3"/>
  <c r="SJ22" i="3"/>
  <c r="SN22" i="3"/>
  <c r="SR22" i="3"/>
  <c r="SV22" i="3"/>
  <c r="SZ22" i="3"/>
  <c r="TD22" i="3"/>
  <c r="TH22" i="3"/>
  <c r="TL22" i="3"/>
  <c r="TP22" i="3"/>
  <c r="TT22" i="3"/>
  <c r="TX22" i="3"/>
  <c r="UB22" i="3"/>
  <c r="UF22" i="3"/>
  <c r="UJ22" i="3"/>
  <c r="UN22" i="3"/>
  <c r="UR22" i="3"/>
  <c r="UV22" i="3"/>
  <c r="UZ22" i="3"/>
  <c r="VD22" i="3"/>
  <c r="VH22" i="3"/>
  <c r="VL22" i="3"/>
  <c r="VP22" i="3"/>
  <c r="VT22" i="3"/>
  <c r="VX22" i="3"/>
  <c r="WB22" i="3"/>
  <c r="WF22" i="3"/>
  <c r="WJ22" i="3"/>
  <c r="WN22" i="3"/>
  <c r="WR22" i="3"/>
  <c r="WV22" i="3"/>
  <c r="WZ22" i="3"/>
  <c r="XD22" i="3"/>
  <c r="XH22" i="3"/>
  <c r="XL22" i="3"/>
  <c r="XP22" i="3"/>
  <c r="XT22" i="3"/>
  <c r="XX22" i="3"/>
  <c r="YB22" i="3"/>
  <c r="YF22" i="3"/>
  <c r="YJ22" i="3"/>
  <c r="YN22" i="3"/>
  <c r="YR22" i="3"/>
  <c r="YV22" i="3"/>
  <c r="YZ22" i="3"/>
  <c r="ZD22" i="3"/>
  <c r="ZH22" i="3"/>
  <c r="ZL22" i="3"/>
  <c r="ZP22" i="3"/>
  <c r="ZT22" i="3"/>
  <c r="ZX22" i="3"/>
  <c r="AAB22" i="3"/>
  <c r="AAF22" i="3"/>
  <c r="AAJ22" i="3"/>
  <c r="AAN22" i="3"/>
  <c r="AAR22" i="3"/>
  <c r="AAV22" i="3"/>
  <c r="AAZ22" i="3"/>
  <c r="ABD22" i="3"/>
  <c r="ABH22" i="3"/>
  <c r="ABL22" i="3"/>
  <c r="ABP22" i="3"/>
  <c r="ABT22" i="3"/>
  <c r="ABX22" i="3"/>
  <c r="ACB22" i="3"/>
  <c r="ACF22" i="3"/>
  <c r="ACJ22" i="3"/>
  <c r="ACN22" i="3"/>
  <c r="ACR22" i="3"/>
  <c r="ACV22" i="3"/>
  <c r="ACZ22" i="3"/>
  <c r="ADD22" i="3"/>
  <c r="ADH22" i="3"/>
  <c r="ADL22" i="3"/>
  <c r="ADP22" i="3"/>
  <c r="ADT22" i="3"/>
  <c r="ADX22" i="3"/>
  <c r="AEB22" i="3"/>
  <c r="AEF22" i="3"/>
  <c r="AEJ22" i="3"/>
  <c r="AEN22" i="3"/>
  <c r="AER22" i="3"/>
  <c r="AEV22" i="3"/>
  <c r="AEZ22" i="3"/>
  <c r="AFD22" i="3"/>
  <c r="AFH22" i="3"/>
  <c r="AFL22" i="3"/>
  <c r="AFP22" i="3"/>
  <c r="AFT22" i="3"/>
  <c r="AFX22" i="3"/>
  <c r="AGB22" i="3"/>
  <c r="AGF22" i="3"/>
  <c r="AGJ22" i="3"/>
  <c r="AGN22" i="3"/>
  <c r="AGR22" i="3"/>
  <c r="AGV22" i="3"/>
  <c r="AGZ22" i="3"/>
  <c r="AHD22" i="3"/>
  <c r="AHH22" i="3"/>
  <c r="AHL22" i="3"/>
  <c r="AHP22" i="3"/>
  <c r="AHT22" i="3"/>
  <c r="AHX22" i="3"/>
  <c r="AIB22" i="3"/>
  <c r="AIF22" i="3"/>
  <c r="AIJ22" i="3"/>
  <c r="AIN22" i="3"/>
  <c r="AIR22" i="3"/>
  <c r="AIV22" i="3"/>
  <c r="AIZ22" i="3"/>
  <c r="AJD22" i="3"/>
  <c r="AJH22" i="3"/>
  <c r="AJL22" i="3"/>
  <c r="AJP22" i="3"/>
  <c r="AJT22" i="3"/>
  <c r="AJX22" i="3"/>
  <c r="AKB22" i="3"/>
  <c r="AKF22" i="3"/>
  <c r="AKJ22" i="3"/>
  <c r="AKN22" i="3"/>
  <c r="AKR22" i="3"/>
  <c r="AKV22" i="3"/>
  <c r="AKZ22" i="3"/>
  <c r="ALD22" i="3"/>
  <c r="ALH22" i="3"/>
  <c r="ALL22" i="3"/>
  <c r="XU20" i="3"/>
  <c r="JU21" i="3"/>
  <c r="LU21" i="3"/>
  <c r="MC21" i="3"/>
  <c r="MK21" i="3"/>
  <c r="MS21" i="3"/>
  <c r="MW21" i="3"/>
  <c r="NE21" i="3"/>
  <c r="NM21" i="3"/>
  <c r="NU21" i="3"/>
  <c r="OC21" i="3"/>
  <c r="OK21" i="3"/>
  <c r="OO21" i="3"/>
  <c r="PA21" i="3"/>
  <c r="PI21" i="3"/>
  <c r="PQ21" i="3"/>
  <c r="PY21" i="3"/>
  <c r="QG21" i="3"/>
  <c r="QO21" i="3"/>
  <c r="QW21" i="3"/>
  <c r="RA21" i="3"/>
  <c r="RI21" i="3"/>
  <c r="RQ21" i="3"/>
  <c r="RY21" i="3"/>
  <c r="SC21" i="3"/>
  <c r="SK21" i="3"/>
  <c r="SS21" i="3"/>
  <c r="TA21" i="3"/>
  <c r="TE21" i="3"/>
  <c r="TM21" i="3"/>
  <c r="TU21" i="3"/>
  <c r="UC21" i="3"/>
  <c r="UK21" i="3"/>
  <c r="UO21" i="3"/>
  <c r="UW21" i="3"/>
  <c r="VE21" i="3"/>
  <c r="VM21" i="3"/>
  <c r="VU21" i="3"/>
  <c r="WC21" i="3"/>
  <c r="WK21" i="3"/>
  <c r="WS21" i="3"/>
  <c r="XA21" i="3"/>
  <c r="XE21" i="3"/>
  <c r="XM21" i="3"/>
  <c r="XU21" i="3"/>
  <c r="XY21" i="3"/>
  <c r="YG21" i="3"/>
  <c r="YO21" i="3"/>
  <c r="YS21" i="3"/>
  <c r="ZA21" i="3"/>
  <c r="ZI21" i="3"/>
  <c r="ZQ21" i="3"/>
  <c r="ZY21" i="3"/>
  <c r="AAG21" i="3"/>
  <c r="AAO21" i="3"/>
  <c r="AAW21" i="3"/>
  <c r="ABE21" i="3"/>
  <c r="ABQ21" i="3"/>
  <c r="ABY21" i="3"/>
  <c r="ACG21" i="3"/>
  <c r="ACO21" i="3"/>
  <c r="ADA21" i="3"/>
  <c r="ADI21" i="3"/>
  <c r="ADQ21" i="3"/>
  <c r="ADY21" i="3"/>
  <c r="AEG21" i="3"/>
  <c r="AEO21" i="3"/>
  <c r="AEW21" i="3"/>
  <c r="AFE21" i="3"/>
  <c r="AFM21" i="3"/>
  <c r="AFU21" i="3"/>
  <c r="AGC21" i="3"/>
  <c r="AGK21" i="3"/>
  <c r="AGS21" i="3"/>
  <c r="AHA21" i="3"/>
  <c r="AHI21" i="3"/>
  <c r="AHQ21" i="3"/>
  <c r="AHY21" i="3"/>
  <c r="AIG21" i="3"/>
  <c r="AIO21" i="3"/>
  <c r="AIW21" i="3"/>
  <c r="AJE21" i="3"/>
  <c r="AJM21" i="3"/>
  <c r="AJU21" i="3"/>
  <c r="AKC21" i="3"/>
  <c r="AKK21" i="3"/>
  <c r="AKS21" i="3"/>
  <c r="ALA21" i="3"/>
  <c r="ALI21" i="3"/>
  <c r="E22" i="3"/>
  <c r="M22" i="3"/>
  <c r="U22" i="3"/>
  <c r="AC22" i="3"/>
  <c r="AK22" i="3"/>
  <c r="AS22" i="3"/>
  <c r="BA22" i="3"/>
  <c r="BI22" i="3"/>
  <c r="BU22" i="3"/>
  <c r="CC22" i="3"/>
  <c r="CK22" i="3"/>
  <c r="CS22" i="3"/>
  <c r="DA22" i="3"/>
  <c r="DI22" i="3"/>
  <c r="DQ22" i="3"/>
  <c r="DY22" i="3"/>
  <c r="EG22" i="3"/>
  <c r="EO22" i="3"/>
  <c r="EW22" i="3"/>
  <c r="FE22" i="3"/>
  <c r="FM22" i="3"/>
  <c r="FU22" i="3"/>
  <c r="GC22" i="3"/>
  <c r="GK22" i="3"/>
  <c r="GS22" i="3"/>
  <c r="HA22" i="3"/>
  <c r="HI22" i="3"/>
  <c r="HQ22" i="3"/>
  <c r="HY22" i="3"/>
  <c r="IG22" i="3"/>
  <c r="IO22" i="3"/>
  <c r="IW22" i="3"/>
  <c r="JE22" i="3"/>
  <c r="JM22" i="3"/>
  <c r="NO18" i="3"/>
  <c r="OE18" i="3"/>
  <c r="OU18" i="3"/>
  <c r="PK18" i="3"/>
  <c r="QA18" i="3"/>
  <c r="QK18" i="3"/>
  <c r="QS18" i="3"/>
  <c r="RA18" i="3"/>
  <c r="RI18" i="3"/>
  <c r="RQ18" i="3"/>
  <c r="RY18" i="3"/>
  <c r="SG18" i="3"/>
  <c r="SO18" i="3"/>
  <c r="SW18" i="3"/>
  <c r="TE18" i="3"/>
  <c r="TK18" i="3"/>
  <c r="TQ18" i="3"/>
  <c r="TV18" i="3"/>
  <c r="UA18" i="3"/>
  <c r="UG18" i="3"/>
  <c r="UL18" i="3"/>
  <c r="UQ18" i="3"/>
  <c r="UW18" i="3"/>
  <c r="VB18" i="3"/>
  <c r="VG18" i="3"/>
  <c r="VM18" i="3"/>
  <c r="VR18" i="3"/>
  <c r="VW18" i="3"/>
  <c r="WC18" i="3"/>
  <c r="WH18" i="3"/>
  <c r="WM18" i="3"/>
  <c r="WS18" i="3"/>
  <c r="WX18" i="3"/>
  <c r="XC18" i="3"/>
  <c r="XI18" i="3"/>
  <c r="XN18" i="3"/>
  <c r="XS18" i="3"/>
  <c r="XY18" i="3"/>
  <c r="YD18" i="3"/>
  <c r="YI18" i="3"/>
  <c r="YO18" i="3"/>
  <c r="YT18" i="3"/>
  <c r="YY18" i="3"/>
  <c r="ZE18" i="3"/>
  <c r="ZJ18" i="3"/>
  <c r="ZO18" i="3"/>
  <c r="ZU18" i="3"/>
  <c r="ZZ18" i="3"/>
  <c r="AAE18" i="3"/>
  <c r="AAK18" i="3"/>
  <c r="AAP18" i="3"/>
  <c r="AAU18" i="3"/>
  <c r="ABA18" i="3"/>
  <c r="ABF18" i="3"/>
  <c r="ABK18" i="3"/>
  <c r="ABQ18" i="3"/>
  <c r="ABV18" i="3"/>
  <c r="ACA18" i="3"/>
  <c r="ACG18" i="3"/>
  <c r="ACL18" i="3"/>
  <c r="ACQ18" i="3"/>
  <c r="ACW18" i="3"/>
  <c r="ADB18" i="3"/>
  <c r="ADG18" i="3"/>
  <c r="ADM18" i="3"/>
  <c r="ADR18" i="3"/>
  <c r="ADW18" i="3"/>
  <c r="AEC18" i="3"/>
  <c r="AEG18" i="3"/>
  <c r="AEK18" i="3"/>
  <c r="AEO18" i="3"/>
  <c r="AES18" i="3"/>
  <c r="AEW18" i="3"/>
  <c r="AFA18" i="3"/>
  <c r="AFE18" i="3"/>
  <c r="AFI18" i="3"/>
  <c r="AFM18" i="3"/>
  <c r="AFQ18" i="3"/>
  <c r="AFU18" i="3"/>
  <c r="AFY18" i="3"/>
  <c r="AGC18" i="3"/>
  <c r="AGG18" i="3"/>
  <c r="AGK18" i="3"/>
  <c r="AGO18" i="3"/>
  <c r="AGS18" i="3"/>
  <c r="AGW18" i="3"/>
  <c r="AHA18" i="3"/>
  <c r="AHE18" i="3"/>
  <c r="AHI18" i="3"/>
  <c r="AHM18" i="3"/>
  <c r="AHQ18" i="3"/>
  <c r="AHU18" i="3"/>
  <c r="AHY18" i="3"/>
  <c r="AIC18" i="3"/>
  <c r="AIG18" i="3"/>
  <c r="AIK18" i="3"/>
  <c r="AIO18" i="3"/>
  <c r="AIS18" i="3"/>
  <c r="AIW18" i="3"/>
  <c r="AJA18" i="3"/>
  <c r="AJE18" i="3"/>
  <c r="AJI18" i="3"/>
  <c r="AJM18" i="3"/>
  <c r="AJQ18" i="3"/>
  <c r="AJU18" i="3"/>
  <c r="AJY18" i="3"/>
  <c r="AKC18" i="3"/>
  <c r="AKG18" i="3"/>
  <c r="AKK18" i="3"/>
  <c r="AKO18" i="3"/>
  <c r="AKS18" i="3"/>
  <c r="AKW18" i="3"/>
  <c r="ALA18" i="3"/>
  <c r="ALE18" i="3"/>
  <c r="ALI18" i="3"/>
  <c r="ALM18" i="3"/>
  <c r="E19" i="3"/>
  <c r="I19" i="3"/>
  <c r="M19" i="3"/>
  <c r="Q19" i="3"/>
  <c r="U19" i="3"/>
  <c r="Y19" i="3"/>
  <c r="AC19" i="3"/>
  <c r="AG19" i="3"/>
  <c r="AK19" i="3"/>
  <c r="AO19" i="3"/>
  <c r="AS19" i="3"/>
  <c r="AW19" i="3"/>
  <c r="BA19" i="3"/>
  <c r="BE19" i="3"/>
  <c r="BI19" i="3"/>
  <c r="BM19" i="3"/>
  <c r="BQ19" i="3"/>
  <c r="BU19" i="3"/>
  <c r="BY19" i="3"/>
  <c r="CC19" i="3"/>
  <c r="CG19" i="3"/>
  <c r="CK19" i="3"/>
  <c r="CO19" i="3"/>
  <c r="CS19" i="3"/>
  <c r="CW19" i="3"/>
  <c r="DA19" i="3"/>
  <c r="DE19" i="3"/>
  <c r="DI19" i="3"/>
  <c r="DM19" i="3"/>
  <c r="DQ19" i="3"/>
  <c r="DU19" i="3"/>
  <c r="DY19" i="3"/>
  <c r="EC19" i="3"/>
  <c r="EG19" i="3"/>
  <c r="EK19" i="3"/>
  <c r="EO19" i="3"/>
  <c r="ES19" i="3"/>
  <c r="EW19" i="3"/>
  <c r="FA19" i="3"/>
  <c r="FE19" i="3"/>
  <c r="FI19" i="3"/>
  <c r="FM19" i="3"/>
  <c r="FQ19" i="3"/>
  <c r="FU19" i="3"/>
  <c r="FY19" i="3"/>
  <c r="GC19" i="3"/>
  <c r="GG19" i="3"/>
  <c r="GK19" i="3"/>
  <c r="GO19" i="3"/>
  <c r="GS19" i="3"/>
  <c r="GW19" i="3"/>
  <c r="HA19" i="3"/>
  <c r="HE19" i="3"/>
  <c r="HI19" i="3"/>
  <c r="HM19" i="3"/>
  <c r="HQ19" i="3"/>
  <c r="HU19" i="3"/>
  <c r="HY19" i="3"/>
  <c r="IC19" i="3"/>
  <c r="IG19" i="3"/>
  <c r="IK19" i="3"/>
  <c r="IO19" i="3"/>
  <c r="IS19" i="3"/>
  <c r="IW19" i="3"/>
  <c r="JA19" i="3"/>
  <c r="JE19" i="3"/>
  <c r="JI19" i="3"/>
  <c r="JM19" i="3"/>
  <c r="JQ19" i="3"/>
  <c r="JU19" i="3"/>
  <c r="JY19" i="3"/>
  <c r="KC19" i="3"/>
  <c r="KG19" i="3"/>
  <c r="KK19" i="3"/>
  <c r="KO19" i="3"/>
  <c r="KS19" i="3"/>
  <c r="KW19" i="3"/>
  <c r="LA19" i="3"/>
  <c r="LE19" i="3"/>
  <c r="LI19" i="3"/>
  <c r="LM19" i="3"/>
  <c r="LQ19" i="3"/>
  <c r="LU19" i="3"/>
  <c r="LY19" i="3"/>
  <c r="MC19" i="3"/>
  <c r="MG19" i="3"/>
  <c r="MK19" i="3"/>
  <c r="MO19" i="3"/>
  <c r="MS19" i="3"/>
  <c r="MW19" i="3"/>
  <c r="NA19" i="3"/>
  <c r="NE19" i="3"/>
  <c r="NI19" i="3"/>
  <c r="NM19" i="3"/>
  <c r="NQ19" i="3"/>
  <c r="NU19" i="3"/>
  <c r="NY19" i="3"/>
  <c r="OC19" i="3"/>
  <c r="OG19" i="3"/>
  <c r="OK19" i="3"/>
  <c r="OO19" i="3"/>
  <c r="OS19" i="3"/>
  <c r="OW19" i="3"/>
  <c r="PA19" i="3"/>
  <c r="PE19" i="3"/>
  <c r="PI19" i="3"/>
  <c r="PM19" i="3"/>
  <c r="PQ19" i="3"/>
  <c r="PU19" i="3"/>
  <c r="PY19" i="3"/>
  <c r="QC19" i="3"/>
  <c r="QG19" i="3"/>
  <c r="QK19" i="3"/>
  <c r="QO19" i="3"/>
  <c r="QS19" i="3"/>
  <c r="QW19" i="3"/>
  <c r="RA19" i="3"/>
  <c r="RE19" i="3"/>
  <c r="RI19" i="3"/>
  <c r="RM19" i="3"/>
  <c r="RQ19" i="3"/>
  <c r="RU19" i="3"/>
  <c r="RY19" i="3"/>
  <c r="SC19" i="3"/>
  <c r="SG19" i="3"/>
  <c r="SK19" i="3"/>
  <c r="SO19" i="3"/>
  <c r="SS19" i="3"/>
  <c r="SW19" i="3"/>
  <c r="TA19" i="3"/>
  <c r="TE19" i="3"/>
  <c r="TI19" i="3"/>
  <c r="TM19" i="3"/>
  <c r="TQ19" i="3"/>
  <c r="TU19" i="3"/>
  <c r="TY19" i="3"/>
  <c r="UC19" i="3"/>
  <c r="UG19" i="3"/>
  <c r="UK19" i="3"/>
  <c r="UO19" i="3"/>
  <c r="US19" i="3"/>
  <c r="UW19" i="3"/>
  <c r="VA19" i="3"/>
  <c r="VE19" i="3"/>
  <c r="VI19" i="3"/>
  <c r="VM19" i="3"/>
  <c r="VQ19" i="3"/>
  <c r="VU19" i="3"/>
  <c r="VY19" i="3"/>
  <c r="WC19" i="3"/>
  <c r="WG19" i="3"/>
  <c r="WK19" i="3"/>
  <c r="WO19" i="3"/>
  <c r="WS19" i="3"/>
  <c r="WW19" i="3"/>
  <c r="XA19" i="3"/>
  <c r="XE19" i="3"/>
  <c r="XI19" i="3"/>
  <c r="XM19" i="3"/>
  <c r="XQ19" i="3"/>
  <c r="XU19" i="3"/>
  <c r="XY19" i="3"/>
  <c r="YC19" i="3"/>
  <c r="YG19" i="3"/>
  <c r="YK19" i="3"/>
  <c r="YO19" i="3"/>
  <c r="YS19" i="3"/>
  <c r="YW19" i="3"/>
  <c r="ZA19" i="3"/>
  <c r="ZE19" i="3"/>
  <c r="ZI19" i="3"/>
  <c r="ZM19" i="3"/>
  <c r="ZQ19" i="3"/>
  <c r="ZU19" i="3"/>
  <c r="ZY19" i="3"/>
  <c r="AAC19" i="3"/>
  <c r="AAG19" i="3"/>
  <c r="AAK19" i="3"/>
  <c r="AAO19" i="3"/>
  <c r="AAS19" i="3"/>
  <c r="AAW19" i="3"/>
  <c r="ABA19" i="3"/>
  <c r="ABE19" i="3"/>
  <c r="ABI19" i="3"/>
  <c r="ABM19" i="3"/>
  <c r="ABQ19" i="3"/>
  <c r="ABU19" i="3"/>
  <c r="ABY19" i="3"/>
  <c r="ACC19" i="3"/>
  <c r="ACG19" i="3"/>
  <c r="ACK19" i="3"/>
  <c r="ACO19" i="3"/>
  <c r="ACS19" i="3"/>
  <c r="ACW19" i="3"/>
  <c r="ADA19" i="3"/>
  <c r="ADE19" i="3"/>
  <c r="ADI19" i="3"/>
  <c r="ADM19" i="3"/>
  <c r="ADQ19" i="3"/>
  <c r="ADU19" i="3"/>
  <c r="ADY19" i="3"/>
  <c r="AEC19" i="3"/>
  <c r="AEG19" i="3"/>
  <c r="AEK19" i="3"/>
  <c r="AEO19" i="3"/>
  <c r="AES19" i="3"/>
  <c r="AEW19" i="3"/>
  <c r="AFA19" i="3"/>
  <c r="AFE19" i="3"/>
  <c r="AFI19" i="3"/>
  <c r="AFM19" i="3"/>
  <c r="AFQ19" i="3"/>
  <c r="AFU19" i="3"/>
  <c r="AFY19" i="3"/>
  <c r="AGC19" i="3"/>
  <c r="AGG19" i="3"/>
  <c r="AGK19" i="3"/>
  <c r="AGO19" i="3"/>
  <c r="AGS19" i="3"/>
  <c r="AGW19" i="3"/>
  <c r="AHA19" i="3"/>
  <c r="AHE19" i="3"/>
  <c r="AHI19" i="3"/>
  <c r="AHM19" i="3"/>
  <c r="AHQ19" i="3"/>
  <c r="AHU19" i="3"/>
  <c r="AHY19" i="3"/>
  <c r="AIC19" i="3"/>
  <c r="AIG19" i="3"/>
  <c r="AIK19" i="3"/>
  <c r="AIO19" i="3"/>
  <c r="AIS19" i="3"/>
  <c r="AIW19" i="3"/>
  <c r="AJA19" i="3"/>
  <c r="AJE19" i="3"/>
  <c r="AJI19" i="3"/>
  <c r="AJM19" i="3"/>
  <c r="AJQ19" i="3"/>
  <c r="AJU19" i="3"/>
  <c r="AJY19" i="3"/>
  <c r="AKC19" i="3"/>
  <c r="AKG19" i="3"/>
  <c r="AKK19" i="3"/>
  <c r="AKO19" i="3"/>
  <c r="AKS19" i="3"/>
  <c r="AKW19" i="3"/>
  <c r="ALA19" i="3"/>
  <c r="ALE19" i="3"/>
  <c r="ALI19" i="3"/>
  <c r="ALM19" i="3"/>
  <c r="E20" i="3"/>
  <c r="I20" i="3"/>
  <c r="M20" i="3"/>
  <c r="Q20" i="3"/>
  <c r="U20" i="3"/>
  <c r="Y20" i="3"/>
  <c r="AC20" i="3"/>
  <c r="AG20" i="3"/>
  <c r="AK20" i="3"/>
  <c r="AO20" i="3"/>
  <c r="AS20" i="3"/>
  <c r="AW20" i="3"/>
  <c r="BA20" i="3"/>
  <c r="BE20" i="3"/>
  <c r="BI20" i="3"/>
  <c r="BM20" i="3"/>
  <c r="BQ20" i="3"/>
  <c r="BU20" i="3"/>
  <c r="BY20" i="3"/>
  <c r="CC20" i="3"/>
  <c r="CG20" i="3"/>
  <c r="CK20" i="3"/>
  <c r="CO20" i="3"/>
  <c r="CS20" i="3"/>
  <c r="CW20" i="3"/>
  <c r="DA20" i="3"/>
  <c r="DE20" i="3"/>
  <c r="DI20" i="3"/>
  <c r="DM20" i="3"/>
  <c r="DQ20" i="3"/>
  <c r="DU20" i="3"/>
  <c r="DY20" i="3"/>
  <c r="EC20" i="3"/>
  <c r="EG20" i="3"/>
  <c r="EK20" i="3"/>
  <c r="EO20" i="3"/>
  <c r="ES20" i="3"/>
  <c r="EW20" i="3"/>
  <c r="FA20" i="3"/>
  <c r="FE20" i="3"/>
  <c r="FI20" i="3"/>
  <c r="FM20" i="3"/>
  <c r="FQ20" i="3"/>
  <c r="FU20" i="3"/>
  <c r="FY20" i="3"/>
  <c r="GC20" i="3"/>
  <c r="GG20" i="3"/>
  <c r="GK20" i="3"/>
  <c r="GO20" i="3"/>
  <c r="GS20" i="3"/>
  <c r="GW20" i="3"/>
  <c r="HA20" i="3"/>
  <c r="HE20" i="3"/>
  <c r="HI20" i="3"/>
  <c r="HM20" i="3"/>
  <c r="HQ20" i="3"/>
  <c r="HU20" i="3"/>
  <c r="HY20" i="3"/>
  <c r="IC20" i="3"/>
  <c r="IG20" i="3"/>
  <c r="IK20" i="3"/>
  <c r="IO20" i="3"/>
  <c r="IS20" i="3"/>
  <c r="IW20" i="3"/>
  <c r="JA20" i="3"/>
  <c r="JE20" i="3"/>
  <c r="JI20" i="3"/>
  <c r="JM20" i="3"/>
  <c r="JQ20" i="3"/>
  <c r="JU20" i="3"/>
  <c r="JY20" i="3"/>
  <c r="KC20" i="3"/>
  <c r="KG20" i="3"/>
  <c r="KK20" i="3"/>
  <c r="KO20" i="3"/>
  <c r="KS20" i="3"/>
  <c r="KW20" i="3"/>
  <c r="LA20" i="3"/>
  <c r="LE20" i="3"/>
  <c r="LI20" i="3"/>
  <c r="LM20" i="3"/>
  <c r="LQ20" i="3"/>
  <c r="LU20" i="3"/>
  <c r="LY20" i="3"/>
  <c r="MC20" i="3"/>
  <c r="MG20" i="3"/>
  <c r="MK20" i="3"/>
  <c r="MO20" i="3"/>
  <c r="MS20" i="3"/>
  <c r="MW20" i="3"/>
  <c r="NA20" i="3"/>
  <c r="NE20" i="3"/>
  <c r="NI20" i="3"/>
  <c r="NM20" i="3"/>
  <c r="NQ20" i="3"/>
  <c r="NU20" i="3"/>
  <c r="NY20" i="3"/>
  <c r="OC20" i="3"/>
  <c r="OG20" i="3"/>
  <c r="OK20" i="3"/>
  <c r="OO20" i="3"/>
  <c r="OS20" i="3"/>
  <c r="OW20" i="3"/>
  <c r="PA20" i="3"/>
  <c r="PE20" i="3"/>
  <c r="PI20" i="3"/>
  <c r="PM20" i="3"/>
  <c r="PQ20" i="3"/>
  <c r="PU20" i="3"/>
  <c r="PY20" i="3"/>
  <c r="QC20" i="3"/>
  <c r="QG20" i="3"/>
  <c r="QK20" i="3"/>
  <c r="QO20" i="3"/>
  <c r="QS20" i="3"/>
  <c r="QW20" i="3"/>
  <c r="RA20" i="3"/>
  <c r="RE20" i="3"/>
  <c r="RI20" i="3"/>
  <c r="RM20" i="3"/>
  <c r="RQ20" i="3"/>
  <c r="RU20" i="3"/>
  <c r="RY20" i="3"/>
  <c r="SC20" i="3"/>
  <c r="SG20" i="3"/>
  <c r="SK20" i="3"/>
  <c r="SO20" i="3"/>
  <c r="SS20" i="3"/>
  <c r="SW20" i="3"/>
  <c r="TA20" i="3"/>
  <c r="TE20" i="3"/>
  <c r="TI20" i="3"/>
  <c r="TM20" i="3"/>
  <c r="TQ20" i="3"/>
  <c r="TU20" i="3"/>
  <c r="TY20" i="3"/>
  <c r="UC20" i="3"/>
  <c r="UG20" i="3"/>
  <c r="UK20" i="3"/>
  <c r="UO20" i="3"/>
  <c r="US20" i="3"/>
  <c r="UW20" i="3"/>
  <c r="VA20" i="3"/>
  <c r="VE20" i="3"/>
  <c r="VI20" i="3"/>
  <c r="VM20" i="3"/>
  <c r="VQ20" i="3"/>
  <c r="VU20" i="3"/>
  <c r="VY20" i="3"/>
  <c r="WC20" i="3"/>
  <c r="WG20" i="3"/>
  <c r="WK20" i="3"/>
  <c r="WO20" i="3"/>
  <c r="WS20" i="3"/>
  <c r="WW20" i="3"/>
  <c r="XA20" i="3"/>
  <c r="XE20" i="3"/>
  <c r="XI20" i="3"/>
  <c r="XM20" i="3"/>
  <c r="XQ20" i="3"/>
  <c r="XY20" i="3"/>
  <c r="YC20" i="3"/>
  <c r="YG20" i="3"/>
  <c r="YK20" i="3"/>
  <c r="YO20" i="3"/>
  <c r="YS20" i="3"/>
  <c r="YW20" i="3"/>
  <c r="ZA20" i="3"/>
  <c r="ZE20" i="3"/>
  <c r="ZI20" i="3"/>
  <c r="ZM20" i="3"/>
  <c r="ZQ20" i="3"/>
  <c r="ZU20" i="3"/>
  <c r="ZY20" i="3"/>
  <c r="AAC20" i="3"/>
  <c r="AAG20" i="3"/>
  <c r="AAK20" i="3"/>
  <c r="AAO20" i="3"/>
  <c r="AAS20" i="3"/>
  <c r="AAW20" i="3"/>
  <c r="ABA20" i="3"/>
  <c r="ABE20" i="3"/>
  <c r="ABI20" i="3"/>
  <c r="ABM20" i="3"/>
  <c r="ABQ20" i="3"/>
  <c r="ABU20" i="3"/>
  <c r="ABY20" i="3"/>
  <c r="ACC20" i="3"/>
  <c r="ACG20" i="3"/>
  <c r="ACK20" i="3"/>
  <c r="ACO20" i="3"/>
  <c r="ACS20" i="3"/>
  <c r="ACW20" i="3"/>
  <c r="ADA20" i="3"/>
  <c r="ADE20" i="3"/>
  <c r="ADI20" i="3"/>
  <c r="ADM20" i="3"/>
  <c r="ADQ20" i="3"/>
  <c r="ADU20" i="3"/>
  <c r="ADY20" i="3"/>
  <c r="AEC20" i="3"/>
  <c r="AEG20" i="3"/>
  <c r="AEK20" i="3"/>
  <c r="AEO20" i="3"/>
  <c r="AES20" i="3"/>
  <c r="AEW20" i="3"/>
  <c r="AFA20" i="3"/>
  <c r="AFE20" i="3"/>
  <c r="AFI20" i="3"/>
  <c r="AFM20" i="3"/>
  <c r="AFQ20" i="3"/>
  <c r="AFU20" i="3"/>
  <c r="AFY20" i="3"/>
  <c r="AGC20" i="3"/>
  <c r="AGG20" i="3"/>
  <c r="AGK20" i="3"/>
  <c r="AGO20" i="3"/>
  <c r="AGS20" i="3"/>
  <c r="AGW20" i="3"/>
  <c r="AHA20" i="3"/>
  <c r="AHE20" i="3"/>
  <c r="AHI20" i="3"/>
  <c r="AHM20" i="3"/>
  <c r="AHQ20" i="3"/>
  <c r="AHU20" i="3"/>
  <c r="AHY20" i="3"/>
  <c r="AIC20" i="3"/>
  <c r="AIG20" i="3"/>
  <c r="AIK20" i="3"/>
  <c r="AIO20" i="3"/>
  <c r="AIS20" i="3"/>
  <c r="AIW20" i="3"/>
  <c r="AJA20" i="3"/>
  <c r="AJE20" i="3"/>
  <c r="AJI20" i="3"/>
  <c r="AJM20" i="3"/>
  <c r="AJQ20" i="3"/>
  <c r="AJU20" i="3"/>
  <c r="AJY20" i="3"/>
  <c r="AKC20" i="3"/>
  <c r="AKG20" i="3"/>
  <c r="AKK20" i="3"/>
  <c r="AKO20" i="3"/>
  <c r="AKS20" i="3"/>
  <c r="AKW20" i="3"/>
  <c r="ALA20" i="3"/>
  <c r="ALE20" i="3"/>
  <c r="ALI20" i="3"/>
  <c r="ALM20" i="3"/>
  <c r="E21" i="3"/>
  <c r="I21" i="3"/>
  <c r="M21" i="3"/>
  <c r="Q21" i="3"/>
  <c r="U21" i="3"/>
  <c r="Y21" i="3"/>
  <c r="AC21" i="3"/>
  <c r="AG21" i="3"/>
  <c r="AK21" i="3"/>
  <c r="AO21" i="3"/>
  <c r="AS21" i="3"/>
  <c r="AW21" i="3"/>
  <c r="BA21" i="3"/>
  <c r="BE21" i="3"/>
  <c r="BI21" i="3"/>
  <c r="BM21" i="3"/>
  <c r="BQ21" i="3"/>
  <c r="BU21" i="3"/>
  <c r="BY21" i="3"/>
  <c r="CC21" i="3"/>
  <c r="CG21" i="3"/>
  <c r="CK21" i="3"/>
  <c r="CO21" i="3"/>
  <c r="CS21" i="3"/>
  <c r="CW21" i="3"/>
  <c r="DA21" i="3"/>
  <c r="DE21" i="3"/>
  <c r="DI21" i="3"/>
  <c r="DM21" i="3"/>
  <c r="DQ21" i="3"/>
  <c r="DU21" i="3"/>
  <c r="DY21" i="3"/>
  <c r="EC21" i="3"/>
  <c r="EG21" i="3"/>
  <c r="EK21" i="3"/>
  <c r="EO21" i="3"/>
  <c r="ES21" i="3"/>
  <c r="EW21" i="3"/>
  <c r="FA21" i="3"/>
  <c r="FE21" i="3"/>
  <c r="FI21" i="3"/>
  <c r="FM21" i="3"/>
  <c r="FQ21" i="3"/>
  <c r="FU21" i="3"/>
  <c r="FY21" i="3"/>
  <c r="GC21" i="3"/>
  <c r="GG21" i="3"/>
  <c r="GK21" i="3"/>
  <c r="GO21" i="3"/>
  <c r="GS21" i="3"/>
  <c r="GW21" i="3"/>
  <c r="HA21" i="3"/>
  <c r="HE21" i="3"/>
  <c r="HI21" i="3"/>
  <c r="HM21" i="3"/>
  <c r="HQ21" i="3"/>
  <c r="HU21" i="3"/>
  <c r="HY21" i="3"/>
  <c r="IC21" i="3"/>
  <c r="IG21" i="3"/>
  <c r="IK21" i="3"/>
  <c r="IO21" i="3"/>
  <c r="IS21" i="3"/>
  <c r="IW21" i="3"/>
  <c r="JA21" i="3"/>
  <c r="JE21" i="3"/>
  <c r="JI21" i="3"/>
  <c r="JM21" i="3"/>
  <c r="JQ21" i="3"/>
  <c r="JY21" i="3"/>
  <c r="KC21" i="3"/>
  <c r="KG21" i="3"/>
  <c r="KK21" i="3"/>
  <c r="KO21" i="3"/>
  <c r="KS21" i="3"/>
  <c r="KW21" i="3"/>
  <c r="LA21" i="3"/>
  <c r="LE21" i="3"/>
  <c r="LI21" i="3"/>
  <c r="LM21" i="3"/>
  <c r="LQ21" i="3"/>
  <c r="LY21" i="3"/>
  <c r="MG21" i="3"/>
  <c r="MO21" i="3"/>
  <c r="NA21" i="3"/>
  <c r="NI21" i="3"/>
  <c r="NQ21" i="3"/>
  <c r="NY21" i="3"/>
  <c r="OG21" i="3"/>
  <c r="OS21" i="3"/>
  <c r="OW21" i="3"/>
  <c r="PE21" i="3"/>
  <c r="PM21" i="3"/>
  <c r="PU21" i="3"/>
  <c r="QC21" i="3"/>
  <c r="QK21" i="3"/>
  <c r="QS21" i="3"/>
  <c r="RE21" i="3"/>
  <c r="RM21" i="3"/>
  <c r="RU21" i="3"/>
  <c r="SG21" i="3"/>
  <c r="SO21" i="3"/>
  <c r="SW21" i="3"/>
  <c r="TI21" i="3"/>
  <c r="TQ21" i="3"/>
  <c r="TY21" i="3"/>
  <c r="UG21" i="3"/>
  <c r="US21" i="3"/>
  <c r="VA21" i="3"/>
  <c r="VI21" i="3"/>
  <c r="VQ21" i="3"/>
  <c r="VY21" i="3"/>
  <c r="WG21" i="3"/>
  <c r="WO21" i="3"/>
  <c r="WW21" i="3"/>
  <c r="XI21" i="3"/>
  <c r="XQ21" i="3"/>
  <c r="YC21" i="3"/>
  <c r="YK21" i="3"/>
  <c r="YW21" i="3"/>
  <c r="ZE21" i="3"/>
  <c r="ZM21" i="3"/>
  <c r="ZU21" i="3"/>
  <c r="AAC21" i="3"/>
  <c r="AAK21" i="3"/>
  <c r="AAS21" i="3"/>
  <c r="ABA21" i="3"/>
  <c r="ABM21" i="3"/>
  <c r="ABU21" i="3"/>
  <c r="ACC21" i="3"/>
  <c r="ACK21" i="3"/>
  <c r="ACW21" i="3"/>
  <c r="ADE21" i="3"/>
  <c r="ADM21" i="3"/>
  <c r="ADU21" i="3"/>
  <c r="AEC21" i="3"/>
  <c r="AEK21" i="3"/>
  <c r="AES21" i="3"/>
  <c r="AFA21" i="3"/>
  <c r="AFI21" i="3"/>
  <c r="AFQ21" i="3"/>
  <c r="AFY21" i="3"/>
  <c r="AGG21" i="3"/>
  <c r="AGO21" i="3"/>
  <c r="AGW21" i="3"/>
  <c r="AHE21" i="3"/>
  <c r="AHM21" i="3"/>
  <c r="AHU21" i="3"/>
  <c r="AIC21" i="3"/>
  <c r="AIK21" i="3"/>
  <c r="AIS21" i="3"/>
  <c r="AJA21" i="3"/>
  <c r="AJI21" i="3"/>
  <c r="AJQ21" i="3"/>
  <c r="AJY21" i="3"/>
  <c r="AKG21" i="3"/>
  <c r="AKO21" i="3"/>
  <c r="AKW21" i="3"/>
  <c r="ALE21" i="3"/>
  <c r="ALM21" i="3"/>
  <c r="I22" i="3"/>
  <c r="Q22" i="3"/>
  <c r="Y22" i="3"/>
  <c r="AG22" i="3"/>
  <c r="AO22" i="3"/>
  <c r="AW22" i="3"/>
  <c r="BE22" i="3"/>
  <c r="BM22" i="3"/>
  <c r="BQ22" i="3"/>
  <c r="BY22" i="3"/>
  <c r="CG22" i="3"/>
  <c r="CO22" i="3"/>
  <c r="CW22" i="3"/>
  <c r="DE22" i="3"/>
  <c r="DM22" i="3"/>
  <c r="DU22" i="3"/>
  <c r="EC22" i="3"/>
  <c r="EK22" i="3"/>
  <c r="ES22" i="3"/>
  <c r="FA22" i="3"/>
  <c r="FI22" i="3"/>
  <c r="FQ22" i="3"/>
  <c r="FY22" i="3"/>
  <c r="GG22" i="3"/>
  <c r="GO22" i="3"/>
  <c r="GW22" i="3"/>
  <c r="HE22" i="3"/>
  <c r="HM22" i="3"/>
  <c r="HU22" i="3"/>
  <c r="IC22" i="3"/>
  <c r="IK22" i="3"/>
  <c r="IS22" i="3"/>
  <c r="JA22" i="3"/>
  <c r="JI22" i="3"/>
  <c r="JQ22" i="3"/>
  <c r="NS18" i="3"/>
  <c r="OI18" i="3"/>
  <c r="OY18" i="3"/>
  <c r="PO18" i="3"/>
  <c r="QE18" i="3"/>
  <c r="QM18" i="3"/>
  <c r="QU18" i="3"/>
  <c r="RC18" i="3"/>
  <c r="RK18" i="3"/>
  <c r="RS18" i="3"/>
  <c r="SA18" i="3"/>
  <c r="SI18" i="3"/>
  <c r="SQ18" i="3"/>
  <c r="SY18" i="3"/>
  <c r="TG18" i="3"/>
  <c r="TM18" i="3"/>
  <c r="TR18" i="3"/>
  <c r="TW18" i="3"/>
  <c r="UC18" i="3"/>
  <c r="UH18" i="3"/>
  <c r="UM18" i="3"/>
  <c r="US18" i="3"/>
  <c r="UX18" i="3"/>
  <c r="VC18" i="3"/>
  <c r="VI18" i="3"/>
  <c r="VN18" i="3"/>
  <c r="VS18" i="3"/>
  <c r="VY18" i="3"/>
  <c r="WD18" i="3"/>
  <c r="WI18" i="3"/>
  <c r="WO18" i="3"/>
  <c r="WT18" i="3"/>
  <c r="WY18" i="3"/>
  <c r="XE18" i="3"/>
  <c r="XJ18" i="3"/>
  <c r="XO18" i="3"/>
  <c r="XU18" i="3"/>
  <c r="XZ18" i="3"/>
  <c r="YE18" i="3"/>
  <c r="YK18" i="3"/>
  <c r="YP18" i="3"/>
  <c r="YU18" i="3"/>
  <c r="ZA18" i="3"/>
  <c r="ZF18" i="3"/>
  <c r="ZK18" i="3"/>
  <c r="ZQ18" i="3"/>
  <c r="ZV18" i="3"/>
  <c r="AAA18" i="3"/>
  <c r="AAG18" i="3"/>
  <c r="AAL18" i="3"/>
  <c r="AAQ18" i="3"/>
  <c r="AAW18" i="3"/>
  <c r="ABB18" i="3"/>
  <c r="ABG18" i="3"/>
  <c r="ABM18" i="3"/>
  <c r="ABR18" i="3"/>
  <c r="ABW18" i="3"/>
  <c r="ACC18" i="3"/>
  <c r="ACH18" i="3"/>
  <c r="ACM18" i="3"/>
  <c r="ACS18" i="3"/>
  <c r="ACX18" i="3"/>
  <c r="ADC18" i="3"/>
  <c r="ADI18" i="3"/>
  <c r="ADN18" i="3"/>
  <c r="ADS18" i="3"/>
  <c r="ADY18" i="3"/>
  <c r="AED18" i="3"/>
  <c r="AEH18" i="3"/>
  <c r="AEL18" i="3"/>
  <c r="AEP18" i="3"/>
  <c r="AET18" i="3"/>
  <c r="AEX18" i="3"/>
  <c r="AFB18" i="3"/>
  <c r="AFF18" i="3"/>
  <c r="AFJ18" i="3"/>
  <c r="AFN18" i="3"/>
  <c r="AFR18" i="3"/>
  <c r="AFV18" i="3"/>
  <c r="AFZ18" i="3"/>
  <c r="AGD18" i="3"/>
  <c r="AGH18" i="3"/>
  <c r="AGL18" i="3"/>
  <c r="AGP18" i="3"/>
  <c r="AGT18" i="3"/>
  <c r="AGX18" i="3"/>
  <c r="AHB18" i="3"/>
  <c r="AHF18" i="3"/>
  <c r="AHJ18" i="3"/>
  <c r="AHN18" i="3"/>
  <c r="AHR18" i="3"/>
  <c r="AHV18" i="3"/>
  <c r="AHZ18" i="3"/>
  <c r="AID18" i="3"/>
  <c r="AIH18" i="3"/>
  <c r="AIL18" i="3"/>
  <c r="AIP18" i="3"/>
  <c r="AIT18" i="3"/>
  <c r="AIX18" i="3"/>
  <c r="AJB18" i="3"/>
  <c r="AJF18" i="3"/>
  <c r="AJJ18" i="3"/>
  <c r="AJN18" i="3"/>
  <c r="AJR18" i="3"/>
  <c r="AJV18" i="3"/>
  <c r="AJZ18" i="3"/>
  <c r="AKD18" i="3"/>
  <c r="AKH18" i="3"/>
  <c r="AKL18" i="3"/>
  <c r="AKP18" i="3"/>
  <c r="AKT18" i="3"/>
  <c r="AKX18" i="3"/>
  <c r="ALB18" i="3"/>
  <c r="ALF18" i="3"/>
  <c r="ALJ18" i="3"/>
  <c r="B19" i="3"/>
  <c r="F19" i="3"/>
  <c r="J19" i="3"/>
  <c r="N19" i="3"/>
  <c r="R19" i="3"/>
  <c r="V19" i="3"/>
  <c r="Z19" i="3"/>
  <c r="AD19" i="3"/>
  <c r="AH19" i="3"/>
  <c r="AL19" i="3"/>
  <c r="AP19" i="3"/>
  <c r="AT19" i="3"/>
  <c r="AX19" i="3"/>
  <c r="BB19" i="3"/>
  <c r="BF19" i="3"/>
  <c r="BJ19" i="3"/>
  <c r="BN19" i="3"/>
  <c r="BR19" i="3"/>
  <c r="BV19" i="3"/>
  <c r="BZ19" i="3"/>
  <c r="CD19" i="3"/>
  <c r="CH19" i="3"/>
  <c r="CL19" i="3"/>
  <c r="CP19" i="3"/>
  <c r="CT19" i="3"/>
  <c r="CX19" i="3"/>
  <c r="DB19" i="3"/>
  <c r="DF19" i="3"/>
  <c r="DJ19" i="3"/>
  <c r="DN19" i="3"/>
  <c r="DR19" i="3"/>
  <c r="DV19" i="3"/>
  <c r="DZ19" i="3"/>
  <c r="ED19" i="3"/>
  <c r="EH19" i="3"/>
  <c r="EL19" i="3"/>
  <c r="EP19" i="3"/>
  <c r="ET19" i="3"/>
  <c r="EX19" i="3"/>
  <c r="FB19" i="3"/>
  <c r="FF19" i="3"/>
  <c r="FJ19" i="3"/>
  <c r="FN19" i="3"/>
  <c r="FR19" i="3"/>
  <c r="FV19" i="3"/>
  <c r="FZ19" i="3"/>
  <c r="GD19" i="3"/>
  <c r="GH19" i="3"/>
  <c r="GL19" i="3"/>
  <c r="GP19" i="3"/>
  <c r="GT19" i="3"/>
  <c r="GX19" i="3"/>
  <c r="HB19" i="3"/>
  <c r="HF19" i="3"/>
  <c r="HJ19" i="3"/>
  <c r="HN19" i="3"/>
  <c r="HR19" i="3"/>
  <c r="HV19" i="3"/>
  <c r="HZ19" i="3"/>
  <c r="ID19" i="3"/>
  <c r="IH19" i="3"/>
  <c r="IL19" i="3"/>
  <c r="IP19" i="3"/>
  <c r="IT19" i="3"/>
  <c r="IX19" i="3"/>
  <c r="JB19" i="3"/>
  <c r="JF19" i="3"/>
  <c r="JJ19" i="3"/>
  <c r="JN19" i="3"/>
  <c r="JR19" i="3"/>
  <c r="JV19" i="3"/>
  <c r="JZ19" i="3"/>
  <c r="KD19" i="3"/>
  <c r="KH19" i="3"/>
  <c r="KL19" i="3"/>
  <c r="KP19" i="3"/>
  <c r="KT19" i="3"/>
  <c r="KX19" i="3"/>
  <c r="LB19" i="3"/>
  <c r="LF19" i="3"/>
  <c r="LJ19" i="3"/>
  <c r="LN19" i="3"/>
  <c r="LR19" i="3"/>
  <c r="LV19" i="3"/>
  <c r="LZ19" i="3"/>
  <c r="MD19" i="3"/>
  <c r="MH19" i="3"/>
  <c r="ML19" i="3"/>
  <c r="MP19" i="3"/>
  <c r="MT19" i="3"/>
  <c r="MX19" i="3"/>
  <c r="NB19" i="3"/>
  <c r="NF19" i="3"/>
  <c r="NJ19" i="3"/>
  <c r="NN19" i="3"/>
  <c r="NR19" i="3"/>
  <c r="NV19" i="3"/>
  <c r="NZ19" i="3"/>
  <c r="OD19" i="3"/>
  <c r="OH19" i="3"/>
  <c r="OL19" i="3"/>
  <c r="OP19" i="3"/>
  <c r="OT19" i="3"/>
  <c r="OX19" i="3"/>
  <c r="PB19" i="3"/>
  <c r="PF19" i="3"/>
  <c r="PJ19" i="3"/>
  <c r="PN19" i="3"/>
  <c r="PR19" i="3"/>
  <c r="PV19" i="3"/>
  <c r="PZ19" i="3"/>
  <c r="QD19" i="3"/>
  <c r="QH19" i="3"/>
  <c r="QL19" i="3"/>
  <c r="QP19" i="3"/>
  <c r="QT19" i="3"/>
  <c r="QX19" i="3"/>
  <c r="RB19" i="3"/>
  <c r="RF19" i="3"/>
  <c r="RJ19" i="3"/>
  <c r="RN19" i="3"/>
  <c r="RR19" i="3"/>
  <c r="RV19" i="3"/>
  <c r="RZ19" i="3"/>
  <c r="SD19" i="3"/>
  <c r="SH19" i="3"/>
  <c r="SL19" i="3"/>
  <c r="SP19" i="3"/>
  <c r="ST19" i="3"/>
  <c r="SX19" i="3"/>
  <c r="TB19" i="3"/>
  <c r="TF19" i="3"/>
  <c r="TJ19" i="3"/>
  <c r="TN19" i="3"/>
  <c r="TR19" i="3"/>
  <c r="TV19" i="3"/>
  <c r="TZ19" i="3"/>
  <c r="UD19" i="3"/>
  <c r="UH19" i="3"/>
  <c r="UL19" i="3"/>
  <c r="UP19" i="3"/>
  <c r="UT19" i="3"/>
  <c r="UX19" i="3"/>
  <c r="VB19" i="3"/>
  <c r="VF19" i="3"/>
  <c r="VJ19" i="3"/>
  <c r="VN19" i="3"/>
  <c r="VR19" i="3"/>
  <c r="VV19" i="3"/>
  <c r="VZ19" i="3"/>
  <c r="WD19" i="3"/>
  <c r="WH19" i="3"/>
  <c r="WL19" i="3"/>
  <c r="WP19" i="3"/>
  <c r="WT19" i="3"/>
  <c r="WX19" i="3"/>
  <c r="XB19" i="3"/>
  <c r="XF19" i="3"/>
  <c r="XJ19" i="3"/>
  <c r="XN19" i="3"/>
  <c r="XR19" i="3"/>
  <c r="XV19" i="3"/>
  <c r="XZ19" i="3"/>
  <c r="YD19" i="3"/>
  <c r="YH19" i="3"/>
  <c r="YL19" i="3"/>
  <c r="YP19" i="3"/>
  <c r="YT19" i="3"/>
  <c r="YX19" i="3"/>
  <c r="ZB19" i="3"/>
  <c r="ZF19" i="3"/>
  <c r="ZJ19" i="3"/>
  <c r="ZN19" i="3"/>
  <c r="ZR19" i="3"/>
  <c r="ZV19" i="3"/>
  <c r="ZZ19" i="3"/>
  <c r="AAD19" i="3"/>
  <c r="AAH19" i="3"/>
  <c r="AAL19" i="3"/>
  <c r="AAP19" i="3"/>
  <c r="AAT19" i="3"/>
  <c r="AAX19" i="3"/>
  <c r="ABB19" i="3"/>
  <c r="ABF19" i="3"/>
  <c r="ABJ19" i="3"/>
  <c r="ABN19" i="3"/>
  <c r="ABR19" i="3"/>
  <c r="ABV19" i="3"/>
  <c r="ABZ19" i="3"/>
  <c r="ACD19" i="3"/>
  <c r="ACH19" i="3"/>
  <c r="ACL19" i="3"/>
  <c r="ACP19" i="3"/>
  <c r="ACT19" i="3"/>
  <c r="ACX19" i="3"/>
  <c r="ADB19" i="3"/>
  <c r="ADF19" i="3"/>
  <c r="ADJ19" i="3"/>
  <c r="ADN19" i="3"/>
  <c r="ADR19" i="3"/>
  <c r="ADV19" i="3"/>
  <c r="ADZ19" i="3"/>
  <c r="AED19" i="3"/>
  <c r="AEH19" i="3"/>
  <c r="AEL19" i="3"/>
  <c r="AEP19" i="3"/>
  <c r="AET19" i="3"/>
  <c r="AEX19" i="3"/>
  <c r="AFB19" i="3"/>
  <c r="AFF19" i="3"/>
  <c r="AFJ19" i="3"/>
  <c r="AFN19" i="3"/>
  <c r="AFR19" i="3"/>
  <c r="AFV19" i="3"/>
  <c r="AFZ19" i="3"/>
  <c r="AGD19" i="3"/>
  <c r="AGH19" i="3"/>
  <c r="AGL19" i="3"/>
  <c r="AGP19" i="3"/>
  <c r="AGT19" i="3"/>
  <c r="AGX19" i="3"/>
  <c r="AHB19" i="3"/>
  <c r="AHF19" i="3"/>
  <c r="AHJ19" i="3"/>
  <c r="AHN19" i="3"/>
  <c r="AHR19" i="3"/>
  <c r="AHV19" i="3"/>
  <c r="AHZ19" i="3"/>
  <c r="AID19" i="3"/>
  <c r="AIH19" i="3"/>
  <c r="AIL19" i="3"/>
  <c r="AIP19" i="3"/>
  <c r="AIT19" i="3"/>
  <c r="AIX19" i="3"/>
  <c r="AJB19" i="3"/>
  <c r="AJF19" i="3"/>
  <c r="AJJ19" i="3"/>
  <c r="AJN19" i="3"/>
  <c r="AJR19" i="3"/>
  <c r="AJV19" i="3"/>
  <c r="AJZ19" i="3"/>
  <c r="AKD19" i="3"/>
  <c r="AKH19" i="3"/>
  <c r="AKL19" i="3"/>
  <c r="AKP19" i="3"/>
  <c r="AKT19" i="3"/>
  <c r="AKX19" i="3"/>
  <c r="ALB19" i="3"/>
  <c r="ALF19" i="3"/>
  <c r="ALJ19" i="3"/>
  <c r="B20" i="3"/>
  <c r="F20" i="3"/>
  <c r="J20" i="3"/>
  <c r="N20" i="3"/>
  <c r="R20" i="3"/>
  <c r="V20" i="3"/>
  <c r="Z20" i="3"/>
  <c r="AD20" i="3"/>
  <c r="AH20" i="3"/>
  <c r="AL20" i="3"/>
  <c r="AP20" i="3"/>
  <c r="AT20" i="3"/>
  <c r="AX20" i="3"/>
  <c r="BB20" i="3"/>
  <c r="BF20" i="3"/>
  <c r="BJ20" i="3"/>
  <c r="BN20" i="3"/>
  <c r="BR20" i="3"/>
  <c r="BV20" i="3"/>
  <c r="BZ20" i="3"/>
  <c r="CD20" i="3"/>
  <c r="CH20" i="3"/>
  <c r="CL20" i="3"/>
  <c r="CP20" i="3"/>
  <c r="CT20" i="3"/>
  <c r="CX20" i="3"/>
  <c r="DB20" i="3"/>
  <c r="DF20" i="3"/>
  <c r="DJ20" i="3"/>
  <c r="DN20" i="3"/>
  <c r="DR20" i="3"/>
  <c r="DV20" i="3"/>
  <c r="DZ20" i="3"/>
  <c r="ED20" i="3"/>
  <c r="EH20" i="3"/>
  <c r="EL20" i="3"/>
  <c r="EP20" i="3"/>
  <c r="ET20" i="3"/>
  <c r="EX20" i="3"/>
  <c r="FB20" i="3"/>
  <c r="FF20" i="3"/>
  <c r="FJ20" i="3"/>
  <c r="FN20" i="3"/>
  <c r="FR20" i="3"/>
  <c r="FV20" i="3"/>
  <c r="FZ20" i="3"/>
  <c r="GD20" i="3"/>
  <c r="GH20" i="3"/>
  <c r="GL20" i="3"/>
  <c r="GP20" i="3"/>
  <c r="GT20" i="3"/>
  <c r="GX20" i="3"/>
  <c r="HB20" i="3"/>
  <c r="HF20" i="3"/>
  <c r="HJ20" i="3"/>
  <c r="HN20" i="3"/>
  <c r="HR20" i="3"/>
  <c r="HV20" i="3"/>
  <c r="HZ20" i="3"/>
  <c r="ID20" i="3"/>
  <c r="IH20" i="3"/>
  <c r="IL20" i="3"/>
  <c r="IP20" i="3"/>
  <c r="IT20" i="3"/>
  <c r="IX20" i="3"/>
  <c r="JB20" i="3"/>
  <c r="JF20" i="3"/>
  <c r="JJ20" i="3"/>
  <c r="JN20" i="3"/>
  <c r="JR20" i="3"/>
  <c r="JV20" i="3"/>
  <c r="JZ20" i="3"/>
  <c r="KD20" i="3"/>
  <c r="KH20" i="3"/>
  <c r="KL20" i="3"/>
  <c r="KP20" i="3"/>
  <c r="KT20" i="3"/>
  <c r="KX20" i="3"/>
  <c r="LB20" i="3"/>
  <c r="LF20" i="3"/>
  <c r="LJ20" i="3"/>
  <c r="LN20" i="3"/>
  <c r="LR20" i="3"/>
  <c r="LV20" i="3"/>
  <c r="LZ20" i="3"/>
  <c r="MD20" i="3"/>
  <c r="MH20" i="3"/>
  <c r="ML20" i="3"/>
  <c r="MP20" i="3"/>
  <c r="MT20" i="3"/>
  <c r="MX20" i="3"/>
  <c r="NB20" i="3"/>
  <c r="NF20" i="3"/>
  <c r="NJ20" i="3"/>
  <c r="NN20" i="3"/>
  <c r="NR20" i="3"/>
  <c r="NV20" i="3"/>
  <c r="NZ20" i="3"/>
  <c r="OD20" i="3"/>
  <c r="OH20" i="3"/>
  <c r="OL20" i="3"/>
  <c r="OP20" i="3"/>
  <c r="OT20" i="3"/>
  <c r="OX20" i="3"/>
  <c r="PB20" i="3"/>
  <c r="PF20" i="3"/>
  <c r="PJ20" i="3"/>
  <c r="PN20" i="3"/>
  <c r="PR20" i="3"/>
  <c r="PV20" i="3"/>
  <c r="PZ20" i="3"/>
  <c r="QD20" i="3"/>
  <c r="QH20" i="3"/>
  <c r="QL20" i="3"/>
  <c r="QP20" i="3"/>
  <c r="QT20" i="3"/>
  <c r="QX20" i="3"/>
  <c r="RB20" i="3"/>
  <c r="RF20" i="3"/>
  <c r="RJ20" i="3"/>
  <c r="RN20" i="3"/>
  <c r="RR20" i="3"/>
  <c r="RV20" i="3"/>
  <c r="RZ20" i="3"/>
  <c r="SD20" i="3"/>
  <c r="SH20" i="3"/>
  <c r="SL20" i="3"/>
  <c r="SP20" i="3"/>
  <c r="ST20" i="3"/>
  <c r="SX20" i="3"/>
  <c r="TB20" i="3"/>
  <c r="TF20" i="3"/>
  <c r="TJ20" i="3"/>
  <c r="TN20" i="3"/>
  <c r="TR20" i="3"/>
  <c r="TV20" i="3"/>
  <c r="TZ20" i="3"/>
  <c r="UD20" i="3"/>
  <c r="UH20" i="3"/>
  <c r="UL20" i="3"/>
  <c r="UP20" i="3"/>
  <c r="UT20" i="3"/>
  <c r="UX20" i="3"/>
  <c r="VB20" i="3"/>
  <c r="VF20" i="3"/>
  <c r="VJ20" i="3"/>
  <c r="VN20" i="3"/>
  <c r="VR20" i="3"/>
  <c r="VV20" i="3"/>
  <c r="VZ20" i="3"/>
  <c r="WD20" i="3"/>
  <c r="WH20" i="3"/>
  <c r="WL20" i="3"/>
  <c r="WP20" i="3"/>
  <c r="WT20" i="3"/>
  <c r="WX20" i="3"/>
  <c r="XB20" i="3"/>
  <c r="XF20" i="3"/>
  <c r="XJ20" i="3"/>
  <c r="XN20" i="3"/>
  <c r="XR20" i="3"/>
  <c r="XV20" i="3"/>
  <c r="XZ20" i="3"/>
  <c r="YD20" i="3"/>
  <c r="YH20" i="3"/>
  <c r="YL20" i="3"/>
  <c r="YP20" i="3"/>
  <c r="YT20" i="3"/>
  <c r="YX20" i="3"/>
  <c r="ZB20" i="3"/>
  <c r="ZF20" i="3"/>
  <c r="ZJ20" i="3"/>
  <c r="ZN20" i="3"/>
  <c r="ZR20" i="3"/>
  <c r="ZV20" i="3"/>
  <c r="ZZ20" i="3"/>
  <c r="AAD20" i="3"/>
  <c r="AAH20" i="3"/>
  <c r="AAL20" i="3"/>
  <c r="AAP20" i="3"/>
  <c r="AAT20" i="3"/>
  <c r="AAX20" i="3"/>
  <c r="ABB20" i="3"/>
  <c r="ABF20" i="3"/>
  <c r="ABJ20" i="3"/>
  <c r="ABN20" i="3"/>
  <c r="ABR20" i="3"/>
  <c r="ABV20" i="3"/>
  <c r="ABZ20" i="3"/>
  <c r="ACD20" i="3"/>
  <c r="ACH20" i="3"/>
  <c r="ACL20" i="3"/>
  <c r="ACP20" i="3"/>
  <c r="ACT20" i="3"/>
  <c r="ACX20" i="3"/>
  <c r="ADB20" i="3"/>
  <c r="ADF20" i="3"/>
  <c r="ADJ20" i="3"/>
  <c r="ADN20" i="3"/>
  <c r="ADR20" i="3"/>
  <c r="ADV20" i="3"/>
  <c r="ADZ20" i="3"/>
  <c r="AED20" i="3"/>
  <c r="AEH20" i="3"/>
  <c r="AEL20" i="3"/>
  <c r="AEP20" i="3"/>
  <c r="AET20" i="3"/>
  <c r="AEX20" i="3"/>
  <c r="AFB20" i="3"/>
  <c r="AFF20" i="3"/>
  <c r="AFJ20" i="3"/>
  <c r="AFN20" i="3"/>
  <c r="AFR20" i="3"/>
  <c r="AFV20" i="3"/>
  <c r="AFZ20" i="3"/>
  <c r="AGD20" i="3"/>
  <c r="AGH20" i="3"/>
  <c r="AGL20" i="3"/>
  <c r="AGP20" i="3"/>
  <c r="AGT20" i="3"/>
  <c r="AGX20" i="3"/>
  <c r="AHB20" i="3"/>
  <c r="AHF20" i="3"/>
  <c r="AHJ20" i="3"/>
  <c r="AHN20" i="3"/>
  <c r="AHR20" i="3"/>
  <c r="AHV20" i="3"/>
  <c r="AHZ20" i="3"/>
  <c r="AID20" i="3"/>
  <c r="AIH20" i="3"/>
  <c r="AIL20" i="3"/>
  <c r="AIP20" i="3"/>
  <c r="AIT20" i="3"/>
  <c r="AIX20" i="3"/>
  <c r="AJB20" i="3"/>
  <c r="AJF20" i="3"/>
  <c r="AJJ20" i="3"/>
  <c r="AJN20" i="3"/>
  <c r="AJR20" i="3"/>
  <c r="AJV20" i="3"/>
  <c r="AJZ20" i="3"/>
  <c r="AKD20" i="3"/>
  <c r="AKH20" i="3"/>
  <c r="AKL20" i="3"/>
  <c r="AKP20" i="3"/>
  <c r="AKT20" i="3"/>
  <c r="AKX20" i="3"/>
  <c r="ALB20" i="3"/>
  <c r="ALF20" i="3"/>
  <c r="ALJ20" i="3"/>
  <c r="B21" i="3"/>
  <c r="F21" i="3"/>
  <c r="J21" i="3"/>
  <c r="N21" i="3"/>
  <c r="R21" i="3"/>
  <c r="V21" i="3"/>
  <c r="Z21" i="3"/>
  <c r="AD21" i="3"/>
  <c r="AH21" i="3"/>
  <c r="AL21" i="3"/>
  <c r="AP21" i="3"/>
  <c r="AT21" i="3"/>
  <c r="AX21" i="3"/>
  <c r="BB21" i="3"/>
  <c r="BF21" i="3"/>
  <c r="BJ21" i="3"/>
  <c r="BN21" i="3"/>
  <c r="BR21" i="3"/>
  <c r="BV21" i="3"/>
  <c r="BZ21" i="3"/>
  <c r="CD21" i="3"/>
  <c r="CH21" i="3"/>
  <c r="CL21" i="3"/>
  <c r="CP21" i="3"/>
  <c r="CT21" i="3"/>
  <c r="CX21" i="3"/>
  <c r="DB21" i="3"/>
  <c r="DF21" i="3"/>
  <c r="DJ21" i="3"/>
  <c r="DN21" i="3"/>
  <c r="DR21" i="3"/>
  <c r="DV21" i="3"/>
  <c r="DZ21" i="3"/>
  <c r="ED21" i="3"/>
  <c r="EH21" i="3"/>
  <c r="EL21" i="3"/>
  <c r="EP21" i="3"/>
  <c r="ET21" i="3"/>
  <c r="EX21" i="3"/>
  <c r="FB21" i="3"/>
  <c r="FF21" i="3"/>
  <c r="FJ21" i="3"/>
  <c r="FN21" i="3"/>
  <c r="FR21" i="3"/>
  <c r="FV21" i="3"/>
  <c r="FZ21" i="3"/>
  <c r="GD21" i="3"/>
  <c r="GH21" i="3"/>
  <c r="GL21" i="3"/>
  <c r="GP21" i="3"/>
  <c r="GT21" i="3"/>
  <c r="GX21" i="3"/>
  <c r="HB21" i="3"/>
  <c r="HF21" i="3"/>
  <c r="HJ21" i="3"/>
  <c r="HN21" i="3"/>
  <c r="HR21" i="3"/>
  <c r="HV21" i="3"/>
  <c r="HZ21" i="3"/>
  <c r="ID21" i="3"/>
  <c r="IH21" i="3"/>
  <c r="IL21" i="3"/>
  <c r="IP21" i="3"/>
  <c r="IT21" i="3"/>
  <c r="IX21" i="3"/>
  <c r="JB21" i="3"/>
  <c r="JF21" i="3"/>
  <c r="JJ21" i="3"/>
  <c r="JN21" i="3"/>
  <c r="JR21" i="3"/>
  <c r="JV21" i="3"/>
  <c r="JZ21" i="3"/>
  <c r="KD21" i="3"/>
  <c r="KH21" i="3"/>
  <c r="KL21" i="3"/>
  <c r="KP21" i="3"/>
  <c r="KT21" i="3"/>
  <c r="KX21" i="3"/>
  <c r="LB21" i="3"/>
  <c r="LF21" i="3"/>
  <c r="LJ21" i="3"/>
  <c r="LN21" i="3"/>
  <c r="LR21" i="3"/>
  <c r="LV21" i="3"/>
  <c r="LZ21" i="3"/>
  <c r="MD21" i="3"/>
  <c r="MH21" i="3"/>
  <c r="ML21" i="3"/>
  <c r="MP21" i="3"/>
  <c r="MT21" i="3"/>
  <c r="MX21" i="3"/>
  <c r="NB21" i="3"/>
  <c r="NF21" i="3"/>
  <c r="NJ21" i="3"/>
  <c r="NN21" i="3"/>
  <c r="NR21" i="3"/>
  <c r="NV21" i="3"/>
  <c r="NZ21" i="3"/>
  <c r="OD21" i="3"/>
  <c r="OH21" i="3"/>
  <c r="OL21" i="3"/>
  <c r="OP21" i="3"/>
  <c r="OT21" i="3"/>
  <c r="OX21" i="3"/>
  <c r="PB21" i="3"/>
  <c r="PF21" i="3"/>
  <c r="PJ21" i="3"/>
  <c r="PN21" i="3"/>
  <c r="PR21" i="3"/>
  <c r="PV21" i="3"/>
  <c r="PZ21" i="3"/>
  <c r="QD21" i="3"/>
  <c r="QH21" i="3"/>
  <c r="QL21" i="3"/>
  <c r="QP21" i="3"/>
  <c r="QT21" i="3"/>
  <c r="QX21" i="3"/>
  <c r="RB21" i="3"/>
  <c r="RF21" i="3"/>
  <c r="RJ21" i="3"/>
  <c r="RN21" i="3"/>
  <c r="RR21" i="3"/>
  <c r="RV21" i="3"/>
  <c r="RZ21" i="3"/>
  <c r="SD21" i="3"/>
  <c r="SH21" i="3"/>
  <c r="SL21" i="3"/>
  <c r="SP21" i="3"/>
  <c r="ST21" i="3"/>
  <c r="SX21" i="3"/>
  <c r="TB21" i="3"/>
  <c r="TF21" i="3"/>
  <c r="TJ21" i="3"/>
  <c r="TN21" i="3"/>
  <c r="TR21" i="3"/>
  <c r="TV21" i="3"/>
  <c r="TZ21" i="3"/>
  <c r="UD21" i="3"/>
  <c r="UH21" i="3"/>
  <c r="UL21" i="3"/>
  <c r="UP21" i="3"/>
  <c r="UT21" i="3"/>
  <c r="UX21" i="3"/>
  <c r="VB21" i="3"/>
  <c r="VF21" i="3"/>
  <c r="VJ21" i="3"/>
  <c r="VN21" i="3"/>
  <c r="VR21" i="3"/>
  <c r="VV21" i="3"/>
  <c r="VZ21" i="3"/>
  <c r="WD21" i="3"/>
  <c r="WH21" i="3"/>
  <c r="WL21" i="3"/>
  <c r="WP21" i="3"/>
  <c r="WT21" i="3"/>
  <c r="WX21" i="3"/>
  <c r="XB21" i="3"/>
  <c r="XF21" i="3"/>
  <c r="XJ21" i="3"/>
  <c r="XN21" i="3"/>
  <c r="XR21" i="3"/>
  <c r="XV21" i="3"/>
  <c r="XZ21" i="3"/>
  <c r="YD21" i="3"/>
  <c r="YH21" i="3"/>
  <c r="YL21" i="3"/>
  <c r="YP21" i="3"/>
  <c r="YT21" i="3"/>
  <c r="YX21" i="3"/>
  <c r="ZB21" i="3"/>
  <c r="ZF21" i="3"/>
  <c r="ZJ21" i="3"/>
  <c r="ZN21" i="3"/>
  <c r="ZR21" i="3"/>
  <c r="ZV21" i="3"/>
  <c r="ZZ21" i="3"/>
  <c r="AAD21" i="3"/>
  <c r="AAH21" i="3"/>
  <c r="AAL21" i="3"/>
  <c r="AAP21" i="3"/>
  <c r="AAT21" i="3"/>
  <c r="AAX21" i="3"/>
  <c r="ABB21" i="3"/>
  <c r="ABF21" i="3"/>
  <c r="ABJ21" i="3"/>
  <c r="ABN21" i="3"/>
  <c r="ABR21" i="3"/>
  <c r="ABV21" i="3"/>
  <c r="ABZ21" i="3"/>
  <c r="ACD21" i="3"/>
  <c r="ACH21" i="3"/>
  <c r="ACL21" i="3"/>
  <c r="ACP21" i="3"/>
  <c r="ACT21" i="3"/>
  <c r="ACX21" i="3"/>
  <c r="ADB21" i="3"/>
  <c r="ADF21" i="3"/>
  <c r="ADJ21" i="3"/>
  <c r="ADN21" i="3"/>
  <c r="ADR21" i="3"/>
  <c r="ADV21" i="3"/>
  <c r="ADZ21" i="3"/>
  <c r="AED21" i="3"/>
  <c r="AEH21" i="3"/>
  <c r="AEL21" i="3"/>
  <c r="AEP21" i="3"/>
  <c r="AET21" i="3"/>
  <c r="AEX21" i="3"/>
  <c r="AFB21" i="3"/>
  <c r="AFF21" i="3"/>
  <c r="AFJ21" i="3"/>
  <c r="AFN21" i="3"/>
  <c r="AFR21" i="3"/>
  <c r="AFV21" i="3"/>
  <c r="AFZ21" i="3"/>
  <c r="AGD21" i="3"/>
  <c r="AGH21" i="3"/>
  <c r="AGL21" i="3"/>
  <c r="AGP21" i="3"/>
  <c r="AGT21" i="3"/>
  <c r="AGX21" i="3"/>
  <c r="AHB21" i="3"/>
  <c r="AHF21" i="3"/>
  <c r="AHJ21" i="3"/>
  <c r="AHN21" i="3"/>
  <c r="AHR21" i="3"/>
  <c r="AHV21" i="3"/>
  <c r="AHZ21" i="3"/>
  <c r="AID21" i="3"/>
  <c r="AIH21" i="3"/>
  <c r="AIL21" i="3"/>
  <c r="AIP21" i="3"/>
  <c r="AIT21" i="3"/>
  <c r="AIX21" i="3"/>
  <c r="AJB21" i="3"/>
  <c r="AJF21" i="3"/>
  <c r="AJJ21" i="3"/>
  <c r="AJN21" i="3"/>
  <c r="AJR21" i="3"/>
  <c r="AJV21" i="3"/>
  <c r="AJZ21" i="3"/>
  <c r="AKD21" i="3"/>
  <c r="AKH21" i="3"/>
  <c r="AKL21" i="3"/>
  <c r="AKP21" i="3"/>
  <c r="AKT21" i="3"/>
  <c r="AKX21" i="3"/>
  <c r="ALB21" i="3"/>
  <c r="ALF21" i="3"/>
  <c r="ALJ21" i="3"/>
  <c r="B22" i="3"/>
  <c r="F22" i="3"/>
  <c r="J22" i="3"/>
  <c r="N22" i="3"/>
  <c r="R22" i="3"/>
  <c r="V22" i="3"/>
  <c r="Z22" i="3"/>
  <c r="AD22" i="3"/>
  <c r="AH22" i="3"/>
  <c r="AL22" i="3"/>
  <c r="AP22" i="3"/>
  <c r="AT22" i="3"/>
  <c r="AX22" i="3"/>
  <c r="BB22" i="3"/>
  <c r="BF22" i="3"/>
  <c r="BJ22" i="3"/>
  <c r="BN22" i="3"/>
  <c r="BR22" i="3"/>
  <c r="BV22" i="3"/>
  <c r="BZ22" i="3"/>
  <c r="CD22" i="3"/>
  <c r="CH22" i="3"/>
  <c r="CL22" i="3"/>
  <c r="CP22" i="3"/>
  <c r="CT22" i="3"/>
  <c r="CX22" i="3"/>
  <c r="DB22" i="3"/>
  <c r="DF22" i="3"/>
  <c r="DJ22" i="3"/>
  <c r="DN22" i="3"/>
  <c r="DR22" i="3"/>
  <c r="DV22" i="3"/>
  <c r="DZ22" i="3"/>
  <c r="ED22" i="3"/>
  <c r="EH22" i="3"/>
  <c r="EL22" i="3"/>
  <c r="EP22" i="3"/>
  <c r="ET22" i="3"/>
  <c r="EX22" i="3"/>
  <c r="FB22" i="3"/>
  <c r="FF22" i="3"/>
  <c r="FJ22" i="3"/>
  <c r="FN22" i="3"/>
  <c r="FR22" i="3"/>
  <c r="FV22" i="3"/>
  <c r="FZ22" i="3"/>
  <c r="GD22" i="3"/>
  <c r="GH22" i="3"/>
  <c r="GL22" i="3"/>
  <c r="GP22" i="3"/>
  <c r="GT22" i="3"/>
  <c r="GX22" i="3"/>
  <c r="HB22" i="3"/>
  <c r="HF22" i="3"/>
  <c r="HJ22" i="3"/>
  <c r="HN22" i="3"/>
  <c r="HR22" i="3"/>
  <c r="HV22" i="3"/>
  <c r="HZ22" i="3"/>
  <c r="ID22" i="3"/>
  <c r="IH22" i="3"/>
  <c r="IL22" i="3"/>
  <c r="IP22" i="3"/>
  <c r="IT22" i="3"/>
  <c r="IX22" i="3"/>
  <c r="JB22" i="3"/>
  <c r="JF22" i="3"/>
  <c r="JJ22" i="3"/>
  <c r="JN22" i="3"/>
  <c r="JR22" i="3"/>
  <c r="JV22" i="3"/>
  <c r="JZ22" i="3"/>
  <c r="KD22" i="3"/>
  <c r="KH22" i="3"/>
  <c r="KL22" i="3"/>
  <c r="KP22" i="3"/>
  <c r="KT22" i="3"/>
  <c r="KX22" i="3"/>
  <c r="LB22" i="3"/>
  <c r="LF22" i="3"/>
  <c r="LJ22" i="3"/>
  <c r="LN22" i="3"/>
  <c r="LR22" i="3"/>
  <c r="LV22" i="3"/>
  <c r="LZ22" i="3"/>
  <c r="MD22" i="3"/>
  <c r="MH22" i="3"/>
  <c r="ML22" i="3"/>
  <c r="MP22" i="3"/>
  <c r="MT22" i="3"/>
  <c r="MX22" i="3"/>
  <c r="NB22" i="3"/>
  <c r="NF22" i="3"/>
  <c r="NJ22" i="3"/>
  <c r="NN22" i="3"/>
  <c r="NR22" i="3"/>
  <c r="NV22" i="3"/>
  <c r="NZ22" i="3"/>
  <c r="OD22" i="3"/>
  <c r="OH22" i="3"/>
  <c r="OL22" i="3"/>
  <c r="OP22" i="3"/>
  <c r="OT22" i="3"/>
  <c r="OX22" i="3"/>
  <c r="PB22" i="3"/>
  <c r="PF22" i="3"/>
  <c r="PJ22" i="3"/>
  <c r="PN22" i="3"/>
  <c r="PR22" i="3"/>
  <c r="PV22" i="3"/>
  <c r="PZ22" i="3"/>
  <c r="QD22" i="3"/>
  <c r="QH22" i="3"/>
  <c r="QL22" i="3"/>
  <c r="QP22" i="3"/>
  <c r="QT22" i="3"/>
  <c r="QX22" i="3"/>
  <c r="RB22" i="3"/>
  <c r="RF22" i="3"/>
  <c r="RJ22" i="3"/>
  <c r="RN22" i="3"/>
  <c r="RR22" i="3"/>
  <c r="RV22" i="3"/>
  <c r="RZ22" i="3"/>
  <c r="SD22" i="3"/>
  <c r="SH22" i="3"/>
  <c r="SL22" i="3"/>
  <c r="SP22" i="3"/>
  <c r="ST22" i="3"/>
  <c r="SX22" i="3"/>
  <c r="TB22" i="3"/>
  <c r="TF22" i="3"/>
  <c r="TJ22" i="3"/>
  <c r="TN22" i="3"/>
  <c r="TR22" i="3"/>
  <c r="TV22" i="3"/>
  <c r="TZ22" i="3"/>
  <c r="UD22" i="3"/>
  <c r="UH22" i="3"/>
  <c r="UL22" i="3"/>
  <c r="UP22" i="3"/>
  <c r="UT22" i="3"/>
  <c r="UX22" i="3"/>
  <c r="VB22" i="3"/>
  <c r="VF22" i="3"/>
  <c r="VJ22" i="3"/>
  <c r="VN22" i="3"/>
  <c r="VR22" i="3"/>
  <c r="VV22" i="3"/>
  <c r="VZ22" i="3"/>
  <c r="WD22" i="3"/>
  <c r="WH22" i="3"/>
  <c r="WL22" i="3"/>
  <c r="WP22" i="3"/>
  <c r="WT22" i="3"/>
  <c r="WX22" i="3"/>
  <c r="XB22" i="3"/>
  <c r="XF22" i="3"/>
  <c r="XJ22" i="3"/>
  <c r="XN22" i="3"/>
  <c r="XR22" i="3"/>
  <c r="XV22" i="3"/>
  <c r="XZ22" i="3"/>
  <c r="YD22" i="3"/>
  <c r="YH22" i="3"/>
  <c r="YL22" i="3"/>
  <c r="YP22" i="3"/>
  <c r="YT22" i="3"/>
  <c r="YX22" i="3"/>
  <c r="ZB22" i="3"/>
  <c r="ZF22" i="3"/>
  <c r="ZJ22" i="3"/>
  <c r="ZN22" i="3"/>
  <c r="ZR22" i="3"/>
  <c r="ZV22" i="3"/>
  <c r="ZZ22" i="3"/>
  <c r="AAD22" i="3"/>
  <c r="AAH22" i="3"/>
  <c r="AAL22" i="3"/>
  <c r="AAP22" i="3"/>
  <c r="AAT22" i="3"/>
  <c r="AAX22" i="3"/>
  <c r="ABB22" i="3"/>
  <c r="ABF22" i="3"/>
  <c r="ABJ22" i="3"/>
  <c r="ABN22" i="3"/>
  <c r="ABR22" i="3"/>
  <c r="ABV22" i="3"/>
  <c r="ABZ22" i="3"/>
  <c r="ACD22" i="3"/>
  <c r="ACH22" i="3"/>
  <c r="ACL22" i="3"/>
  <c r="ACP22" i="3"/>
  <c r="ACT22" i="3"/>
  <c r="ACX22" i="3"/>
  <c r="ADB22" i="3"/>
  <c r="ADF22" i="3"/>
  <c r="ADJ22" i="3"/>
  <c r="ADN22" i="3"/>
  <c r="ADR22" i="3"/>
  <c r="ADV22" i="3"/>
  <c r="ADZ22" i="3"/>
  <c r="AED22" i="3"/>
  <c r="AEH22" i="3"/>
  <c r="AEL22" i="3"/>
  <c r="AEP22" i="3"/>
  <c r="AET22" i="3"/>
  <c r="AEX22" i="3"/>
  <c r="AFB22" i="3"/>
  <c r="AFF22" i="3"/>
  <c r="AFJ22" i="3"/>
  <c r="AFN22" i="3"/>
  <c r="AFR22" i="3"/>
  <c r="AFV22" i="3"/>
  <c r="AFZ22" i="3"/>
  <c r="AGD22" i="3"/>
  <c r="AGH22" i="3"/>
  <c r="AGL22" i="3"/>
  <c r="AGP22" i="3"/>
  <c r="AGT22" i="3"/>
  <c r="AGX22" i="3"/>
  <c r="AHB22" i="3"/>
  <c r="AHF22" i="3"/>
  <c r="AHJ22" i="3"/>
  <c r="AHN22" i="3"/>
  <c r="AHR22" i="3"/>
  <c r="AHV22" i="3"/>
  <c r="AHZ22" i="3"/>
  <c r="AID22" i="3"/>
  <c r="AIH22" i="3"/>
  <c r="AIL22" i="3"/>
  <c r="AIP22" i="3"/>
  <c r="AIT22" i="3"/>
  <c r="AIX22" i="3"/>
  <c r="AJB22" i="3"/>
  <c r="AJF22" i="3"/>
  <c r="AJJ22" i="3"/>
  <c r="AJN22" i="3"/>
  <c r="AJR22" i="3"/>
  <c r="AJV22" i="3"/>
  <c r="AJZ22" i="3"/>
  <c r="AKD22" i="3"/>
  <c r="AKH22" i="3"/>
  <c r="AKL22" i="3"/>
  <c r="AKP22" i="3"/>
  <c r="AKT22" i="3"/>
  <c r="AKX22" i="3"/>
  <c r="ALB22" i="3"/>
  <c r="ALF22" i="3"/>
  <c r="ALJ22" i="3"/>
  <c r="ALM22" i="3"/>
  <c r="AKW22" i="3"/>
  <c r="AKG22" i="3"/>
  <c r="AJQ22" i="3"/>
  <c r="AJA22" i="3"/>
  <c r="AIK22" i="3"/>
  <c r="AHU22" i="3"/>
  <c r="AHE22" i="3"/>
  <c r="AGO22" i="3"/>
  <c r="AFY22" i="3"/>
  <c r="AFI22" i="3"/>
  <c r="AES22" i="3"/>
  <c r="AEC22" i="3"/>
  <c r="ADM22" i="3"/>
  <c r="ACW22" i="3"/>
  <c r="ACG22" i="3"/>
  <c r="ABQ22" i="3"/>
  <c r="ABA22" i="3"/>
  <c r="AAK22" i="3"/>
  <c r="ZU22" i="3"/>
  <c r="ZE22" i="3"/>
  <c r="YO22" i="3"/>
  <c r="XY22" i="3"/>
  <c r="XI22" i="3"/>
  <c r="WS22" i="3"/>
  <c r="WC22" i="3"/>
  <c r="VM22" i="3"/>
  <c r="UW22" i="3"/>
  <c r="UG22" i="3"/>
  <c r="TQ22" i="3"/>
  <c r="TA22" i="3"/>
  <c r="SK22" i="3"/>
  <c r="RU22" i="3"/>
  <c r="RE22" i="3"/>
  <c r="QO22" i="3"/>
  <c r="PY22" i="3"/>
  <c r="PI22" i="3"/>
  <c r="OS22" i="3"/>
  <c r="OC22" i="3"/>
  <c r="NM22" i="3"/>
  <c r="MW22" i="3"/>
  <c r="MG22" i="3"/>
  <c r="LQ22" i="3"/>
  <c r="LA22" i="3"/>
  <c r="KK22" i="3"/>
  <c r="JU22" i="3"/>
  <c r="ALI22" i="3"/>
  <c r="AKS22" i="3"/>
  <c r="AKC22" i="3"/>
  <c r="AJM22" i="3"/>
  <c r="AIW22" i="3"/>
  <c r="AIG22" i="3"/>
  <c r="AHQ22" i="3"/>
  <c r="AHA22" i="3"/>
  <c r="AGK22" i="3"/>
  <c r="AFU22" i="3"/>
  <c r="AFE22" i="3"/>
  <c r="AEO22" i="3"/>
  <c r="ADY22" i="3"/>
  <c r="ADI22" i="3"/>
  <c r="ACS22" i="3"/>
  <c r="ACC22" i="3"/>
  <c r="ABM22" i="3"/>
  <c r="AAW22" i="3"/>
  <c r="AAG22" i="3"/>
  <c r="ZQ22" i="3"/>
  <c r="ZA22" i="3"/>
  <c r="YK22" i="3"/>
  <c r="XU22" i="3"/>
  <c r="XE22" i="3"/>
  <c r="WO22" i="3"/>
  <c r="VY22" i="3"/>
  <c r="VI22" i="3"/>
  <c r="US22" i="3"/>
  <c r="UC22" i="3"/>
  <c r="TM22" i="3"/>
  <c r="SW22" i="3"/>
  <c r="SG22" i="3"/>
  <c r="RQ22" i="3"/>
  <c r="RA22" i="3"/>
  <c r="QK22" i="3"/>
  <c r="PU22" i="3"/>
  <c r="PE22" i="3"/>
  <c r="OO22" i="3"/>
  <c r="NY22" i="3"/>
  <c r="NI22" i="3"/>
  <c r="MS22" i="3"/>
  <c r="MC22" i="3"/>
  <c r="LM22" i="3"/>
  <c r="KW22" i="3"/>
  <c r="KG22" i="3"/>
  <c r="ACS21" i="3"/>
  <c r="ALE22" i="3"/>
  <c r="AKO22" i="3"/>
  <c r="AJY22" i="3"/>
  <c r="AJI22" i="3"/>
  <c r="AIS22" i="3"/>
  <c r="AIC22" i="3"/>
  <c r="AHM22" i="3"/>
  <c r="AGW22" i="3"/>
  <c r="AGG22" i="3"/>
  <c r="AFQ22" i="3"/>
  <c r="AFA22" i="3"/>
  <c r="AEK22" i="3"/>
  <c r="ADU22" i="3"/>
  <c r="ADE22" i="3"/>
  <c r="ACO22" i="3"/>
  <c r="ABY22" i="3"/>
  <c r="ABI22" i="3"/>
  <c r="AAS22" i="3"/>
  <c r="AAC22" i="3"/>
  <c r="ZM22" i="3"/>
  <c r="YW22" i="3"/>
  <c r="YG22" i="3"/>
  <c r="XQ22" i="3"/>
  <c r="XA22" i="3"/>
  <c r="WK22" i="3"/>
  <c r="VU22" i="3"/>
  <c r="VE22" i="3"/>
  <c r="UO22" i="3"/>
  <c r="TY22" i="3"/>
  <c r="TI22" i="3"/>
  <c r="SS22" i="3"/>
  <c r="SC22" i="3"/>
  <c r="RM22" i="3"/>
  <c r="QW22" i="3"/>
  <c r="QG22" i="3"/>
  <c r="PQ22" i="3"/>
  <c r="PA22" i="3"/>
  <c r="OK22" i="3"/>
  <c r="NU22" i="3"/>
  <c r="NE22" i="3"/>
  <c r="MO22" i="3"/>
  <c r="LY22" i="3"/>
  <c r="LI22" i="3"/>
  <c r="KS22" i="3"/>
  <c r="KC22" i="3"/>
  <c r="ABI21" i="3"/>
  <c r="GG38" i="3" l="1"/>
  <c r="ZZ60" i="3"/>
  <c r="ADT60" i="3"/>
  <c r="AFN60" i="3"/>
  <c r="AAC60" i="3"/>
  <c r="AGI58" i="3"/>
  <c r="AFS60" i="3"/>
  <c r="AEG60" i="3"/>
  <c r="ACP60" i="3"/>
  <c r="ABO58" i="3"/>
  <c r="ADH60" i="3"/>
  <c r="ACU60" i="3"/>
  <c r="ZS58" i="3"/>
  <c r="ZS25" i="3" s="1"/>
  <c r="AAB60" i="3"/>
  <c r="AAE25" i="3"/>
  <c r="ACQ58" i="3"/>
  <c r="AFE60" i="3"/>
  <c r="ADB60" i="3"/>
  <c r="ABL60" i="3"/>
  <c r="ADX60" i="3"/>
  <c r="ABU60" i="3"/>
  <c r="AFQ60" i="3"/>
  <c r="AAT60" i="3"/>
  <c r="ADV60" i="3"/>
  <c r="AAY60" i="3"/>
  <c r="AEQ58" i="3"/>
  <c r="AFW25" i="3"/>
  <c r="ACB60" i="3"/>
  <c r="AGN60" i="3"/>
  <c r="ADM60" i="3"/>
  <c r="ABJ60" i="3"/>
  <c r="AEL60" i="3"/>
  <c r="ABO60" i="3"/>
  <c r="AEQ25" i="3"/>
  <c r="ADK58" i="3"/>
  <c r="AAF60" i="3"/>
  <c r="ABA60" i="3"/>
  <c r="AAD60" i="3"/>
  <c r="AFR60" i="3"/>
  <c r="AFG60" i="3"/>
  <c r="ACU25" i="3"/>
  <c r="ACE25" i="3"/>
  <c r="ABO25" i="3"/>
  <c r="ZN60" i="3"/>
  <c r="ACN60" i="3"/>
  <c r="ADQ60" i="3"/>
  <c r="ABV60" i="3"/>
  <c r="AFX60" i="3"/>
  <c r="ABE60" i="3"/>
  <c r="ABK60" i="3"/>
  <c r="AEH60" i="3"/>
  <c r="ABH60" i="3"/>
  <c r="ADW60" i="3"/>
  <c r="AAP60" i="3"/>
  <c r="ADG58" i="3"/>
  <c r="AFS58" i="3"/>
  <c r="ACG60" i="3"/>
  <c r="ACA58" i="3"/>
  <c r="AAV60" i="3"/>
  <c r="AAI60" i="3"/>
  <c r="AFW60" i="3"/>
  <c r="ABZ60" i="3"/>
  <c r="AGH60" i="3"/>
  <c r="AEA60" i="3"/>
  <c r="AAI25" i="3"/>
  <c r="AAY58" i="3"/>
  <c r="ACR60" i="3"/>
  <c r="AGG60" i="3"/>
  <c r="ADF60" i="3"/>
  <c r="AFB60" i="3"/>
  <c r="ZS60" i="3"/>
  <c r="ADK60" i="3"/>
  <c r="AEA25" i="3"/>
  <c r="AGE58" i="3"/>
  <c r="ZP60" i="3"/>
  <c r="ACY58" i="3"/>
  <c r="ACY25" i="3"/>
  <c r="AAK60" i="3"/>
  <c r="AFG58" i="3"/>
  <c r="AAM25" i="3"/>
  <c r="AGJ60" i="3"/>
  <c r="AFU60" i="3"/>
  <c r="ACI58" i="3"/>
  <c r="AAG60" i="3"/>
  <c r="ACS60" i="3"/>
  <c r="AES60" i="3"/>
  <c r="AEE60" i="3"/>
  <c r="AEU60" i="3"/>
  <c r="ACI25" i="3"/>
  <c r="AFT60" i="3"/>
  <c r="AFK60" i="3"/>
  <c r="AAM58" i="3"/>
  <c r="AGB60" i="3"/>
  <c r="ABM60" i="3"/>
  <c r="ADY60" i="3"/>
  <c r="AGK60" i="3"/>
  <c r="AGI25" i="3"/>
  <c r="ACQ25" i="3"/>
  <c r="ADW58" i="3"/>
  <c r="AAR60" i="3"/>
  <c r="ADD60" i="3"/>
  <c r="ABQ60" i="3"/>
  <c r="AEM60" i="3"/>
  <c r="AAU58" i="3"/>
  <c r="AEM25" i="3"/>
  <c r="ADW25" i="3"/>
  <c r="ACO60" i="3"/>
  <c r="AFI60" i="3"/>
  <c r="ACA60" i="3"/>
  <c r="AFC60" i="3"/>
  <c r="ABK58" i="3"/>
  <c r="ADG25" i="3"/>
  <c r="AFC58" i="3"/>
  <c r="AEM58" i="3"/>
  <c r="ACA25" i="3"/>
  <c r="AFS25" i="3"/>
  <c r="ABX60" i="3"/>
  <c r="AER60" i="3"/>
  <c r="ACQ60" i="3"/>
  <c r="AAE60" i="3"/>
  <c r="ABK25" i="3"/>
  <c r="AFC25" i="3"/>
  <c r="ZO58" i="3"/>
  <c r="AAU60" i="3"/>
  <c r="ADG60" i="3"/>
  <c r="ABF60" i="3"/>
  <c r="ACL60" i="3"/>
  <c r="ADR60" i="3"/>
  <c r="AEX60" i="3"/>
  <c r="AGD60" i="3"/>
  <c r="AGI60" i="3"/>
  <c r="AAE58" i="3"/>
  <c r="AAU25" i="3"/>
  <c r="ZO60" i="3"/>
  <c r="AEZ60" i="3"/>
  <c r="ACC60" i="3"/>
  <c r="ADE60" i="3"/>
  <c r="AEC60" i="3"/>
  <c r="AEQ60" i="3"/>
  <c r="AGE60" i="3"/>
  <c r="ACE60" i="3"/>
  <c r="ACU58" i="3"/>
  <c r="AEA58" i="3"/>
  <c r="AAI58" i="3"/>
  <c r="ACE58" i="3"/>
  <c r="AFW58" i="3"/>
  <c r="AAY25" i="3"/>
  <c r="ADK25" i="3"/>
  <c r="AFG25" i="3"/>
  <c r="AGE25" i="3"/>
  <c r="AEN60" i="3"/>
  <c r="ZQ60" i="3"/>
  <c r="AAS60" i="3"/>
  <c r="AEK60" i="3"/>
  <c r="AFM60" i="3"/>
  <c r="ZL60" i="3"/>
  <c r="AEY60" i="3"/>
  <c r="ABR60" i="3"/>
  <c r="ADI60" i="3"/>
  <c r="AED60" i="3"/>
  <c r="ABG60" i="3"/>
  <c r="AAW60" i="3"/>
  <c r="AAQ60" i="3"/>
  <c r="AGM60" i="3"/>
  <c r="ABB60" i="3"/>
  <c r="AFZ60" i="3"/>
  <c r="AFD60" i="3"/>
  <c r="ACW60" i="3"/>
  <c r="AFY60" i="3"/>
  <c r="AAL60" i="3"/>
  <c r="AFJ60" i="3"/>
  <c r="ADS60" i="3"/>
  <c r="AAQ58" i="3"/>
  <c r="AGA58" i="3"/>
  <c r="ABS58" i="3"/>
  <c r="ZW58" i="3"/>
  <c r="ZW25" i="3" s="1"/>
  <c r="AGO60" i="3"/>
  <c r="ADN60" i="3"/>
  <c r="AAA60" i="3"/>
  <c r="AEJ60" i="3"/>
  <c r="ACY60" i="3"/>
  <c r="ACX60" i="3"/>
  <c r="ACM58" i="3"/>
  <c r="ADC58" i="3"/>
  <c r="AFK58" i="3"/>
  <c r="AEI58" i="3"/>
  <c r="AFP60" i="3"/>
  <c r="AGF60" i="3"/>
  <c r="ZU60" i="3"/>
  <c r="AEO60" i="3"/>
  <c r="ABS60" i="3"/>
  <c r="ZV60" i="3"/>
  <c r="ACH60" i="3"/>
  <c r="AET60" i="3"/>
  <c r="ACM60" i="3"/>
  <c r="AGA60" i="3"/>
  <c r="AAQ25" i="3"/>
  <c r="ACM25" i="3"/>
  <c r="AGA25" i="3"/>
  <c r="ABS25" i="3"/>
  <c r="ADC25" i="3"/>
  <c r="AFK25" i="3"/>
  <c r="AEI25" i="3"/>
  <c r="ZT60" i="3"/>
  <c r="AAJ60" i="3"/>
  <c r="AAZ60" i="3"/>
  <c r="ABP60" i="3"/>
  <c r="ACF60" i="3"/>
  <c r="ACV60" i="3"/>
  <c r="ADL60" i="3"/>
  <c r="AEB60" i="3"/>
  <c r="AFH60" i="3"/>
  <c r="ZY60" i="3"/>
  <c r="AAO60" i="3"/>
  <c r="ACK60" i="3"/>
  <c r="ADA60" i="3"/>
  <c r="AEW60" i="3"/>
  <c r="AGC60" i="3"/>
  <c r="ABC58" i="3"/>
  <c r="ABW58" i="3"/>
  <c r="ADO58" i="3"/>
  <c r="AFO58" i="3"/>
  <c r="AGM58" i="3"/>
  <c r="ABG58" i="3"/>
  <c r="ADS58" i="3"/>
  <c r="AEY58" i="3"/>
  <c r="AAA58" i="3"/>
  <c r="AEE58" i="3"/>
  <c r="AEU58" i="3"/>
  <c r="ZX60" i="3"/>
  <c r="AAN60" i="3"/>
  <c r="ABD60" i="3"/>
  <c r="ABT60" i="3"/>
  <c r="ACJ60" i="3"/>
  <c r="ACZ60" i="3"/>
  <c r="ADP60" i="3"/>
  <c r="AEF60" i="3"/>
  <c r="AEV60" i="3"/>
  <c r="AFL60" i="3"/>
  <c r="ZM60" i="3"/>
  <c r="ABI60" i="3"/>
  <c r="ABY60" i="3"/>
  <c r="ADU60" i="3"/>
  <c r="AFA60" i="3"/>
  <c r="ZW60" i="3"/>
  <c r="ABC60" i="3"/>
  <c r="ACI60" i="3"/>
  <c r="ADO60" i="3"/>
  <c r="ZR60" i="3"/>
  <c r="AAH60" i="3"/>
  <c r="AAX60" i="3"/>
  <c r="ABN60" i="3"/>
  <c r="ACD60" i="3"/>
  <c r="ACT60" i="3"/>
  <c r="ADJ60" i="3"/>
  <c r="ADZ60" i="3"/>
  <c r="AEP60" i="3"/>
  <c r="AFF60" i="3"/>
  <c r="AFV60" i="3"/>
  <c r="AGL60" i="3"/>
  <c r="AAM60" i="3"/>
  <c r="ABW60" i="3"/>
  <c r="ADC60" i="3"/>
  <c r="AEI60" i="3"/>
  <c r="AFO60" i="3"/>
  <c r="ABC25" i="3"/>
  <c r="ABW25" i="3"/>
  <c r="ADO25" i="3"/>
  <c r="AFO25" i="3"/>
  <c r="AGM25" i="3"/>
  <c r="ABG25" i="3"/>
  <c r="ADS25" i="3"/>
  <c r="AEY25" i="3"/>
  <c r="AAA25" i="3"/>
  <c r="AEE25" i="3"/>
  <c r="AEU25" i="3"/>
  <c r="AHC58" i="3"/>
  <c r="AHC23" i="3"/>
  <c r="AHG58" i="3"/>
  <c r="AHG23" i="3"/>
  <c r="AGU58" i="3"/>
  <c r="AGU23" i="3"/>
  <c r="AKY58" i="3"/>
  <c r="AKY23" i="3"/>
  <c r="AKI58" i="3"/>
  <c r="AKI23" i="3"/>
  <c r="AJS58" i="3"/>
  <c r="AJS23" i="3"/>
  <c r="AJC58" i="3"/>
  <c r="AJC23" i="3"/>
  <c r="AIM58" i="3"/>
  <c r="AIM23" i="3"/>
  <c r="AHW58" i="3"/>
  <c r="AHW23" i="3"/>
  <c r="AHK58" i="3"/>
  <c r="AHK23" i="3"/>
  <c r="ALK58" i="3"/>
  <c r="ALK23" i="3"/>
  <c r="AKU58" i="3"/>
  <c r="AKU23" i="3"/>
  <c r="AKE58" i="3"/>
  <c r="AKE23" i="3"/>
  <c r="AJO58" i="3"/>
  <c r="AJO23" i="3"/>
  <c r="AIY58" i="3"/>
  <c r="AIY23" i="3"/>
  <c r="AII58" i="3"/>
  <c r="AII23" i="3"/>
  <c r="AHS58" i="3"/>
  <c r="AHS23" i="3"/>
  <c r="AGY58" i="3"/>
  <c r="AGY23" i="3"/>
  <c r="B28" i="3"/>
  <c r="B44" i="3" s="1"/>
  <c r="ALG58" i="3"/>
  <c r="ALG23" i="3"/>
  <c r="AKQ58" i="3"/>
  <c r="AKQ23" i="3"/>
  <c r="AKA58" i="3"/>
  <c r="AKA23" i="3"/>
  <c r="AJK58" i="3"/>
  <c r="AJK23" i="3"/>
  <c r="AIU58" i="3"/>
  <c r="AIU23" i="3"/>
  <c r="AIE58" i="3"/>
  <c r="AIE23" i="3"/>
  <c r="AHO58" i="3"/>
  <c r="AHO23" i="3"/>
  <c r="AGQ58" i="3"/>
  <c r="AGQ23" i="3"/>
  <c r="ALC58" i="3"/>
  <c r="ALC23" i="3"/>
  <c r="AKM58" i="3"/>
  <c r="AKM23" i="3"/>
  <c r="AJW58" i="3"/>
  <c r="AJW23" i="3"/>
  <c r="AJG58" i="3"/>
  <c r="AJG23" i="3"/>
  <c r="AIQ58" i="3"/>
  <c r="AIQ23" i="3"/>
  <c r="AIA58" i="3"/>
  <c r="AIA23" i="3"/>
  <c r="I2" i="11" a="1"/>
  <c r="I147" i="11" s="1"/>
  <c r="Q338" i="11"/>
  <c r="Q1862" i="11"/>
  <c r="Q292" i="11"/>
  <c r="Q768" i="11"/>
  <c r="Q1984" i="11"/>
  <c r="Q2786" i="11"/>
  <c r="Q3314" i="11"/>
  <c r="Q29" i="11"/>
  <c r="Q2258" i="11"/>
  <c r="Q1986" i="11"/>
  <c r="Q1714" i="11"/>
  <c r="Q1442" i="11"/>
  <c r="Q1170" i="11"/>
  <c r="Q898" i="11"/>
  <c r="Q626" i="11"/>
  <c r="Q337" i="11"/>
  <c r="Q453" i="11"/>
  <c r="Q795" i="11"/>
  <c r="Q1136" i="11"/>
  <c r="Q1477" i="11"/>
  <c r="Q1819" i="11"/>
  <c r="Q2160" i="11"/>
  <c r="Q2470" i="11"/>
  <c r="Q2726" i="11"/>
  <c r="Q2982" i="11"/>
  <c r="Q3238" i="11"/>
  <c r="Q3494" i="11"/>
  <c r="Q973" i="11"/>
  <c r="Q57" i="11"/>
  <c r="Q2286" i="11"/>
  <c r="Q1966" i="11"/>
  <c r="Q1646" i="11"/>
  <c r="Q1390" i="11"/>
  <c r="Q1214" i="11"/>
  <c r="Q1022" i="11"/>
  <c r="Q878" i="11"/>
  <c r="Q670" i="11"/>
  <c r="Q494" i="11"/>
  <c r="Q366" i="11"/>
  <c r="Q2" i="11" a="1"/>
  <c r="Q254" i="11" s="1"/>
  <c r="Q243" i="11"/>
  <c r="Q299" i="11"/>
  <c r="Q373" i="11"/>
  <c r="Q459" i="11"/>
  <c r="Q501" i="11"/>
  <c r="Q565" i="11"/>
  <c r="Q629" i="11"/>
  <c r="Q672" i="11"/>
  <c r="Q736" i="11"/>
  <c r="Q800" i="11"/>
  <c r="Q843" i="11"/>
  <c r="Q907" i="11"/>
  <c r="Q971" i="11"/>
  <c r="Q1013" i="11"/>
  <c r="Q1077" i="11"/>
  <c r="Q1141" i="11"/>
  <c r="Q1184" i="11"/>
  <c r="Q1248" i="11"/>
  <c r="Q1312" i="11"/>
  <c r="Q1355" i="11"/>
  <c r="Q1419" i="11"/>
  <c r="Q1483" i="11"/>
  <c r="Q1525" i="11"/>
  <c r="Q1589" i="11"/>
  <c r="Q1653" i="11"/>
  <c r="Q1696" i="11"/>
  <c r="Q1760" i="11"/>
  <c r="Q1824" i="11"/>
  <c r="Q1867" i="11"/>
  <c r="Q1931" i="11"/>
  <c r="Q1995" i="11"/>
  <c r="Q2037" i="11"/>
  <c r="Q2101" i="11"/>
  <c r="Q2165" i="11"/>
  <c r="Q2208" i="11"/>
  <c r="Q2272" i="11"/>
  <c r="Q2336" i="11"/>
  <c r="Q2378" i="11"/>
  <c r="Q2426" i="11"/>
  <c r="Q2458" i="11"/>
  <c r="Q2490" i="11"/>
  <c r="Q2522" i="11"/>
  <c r="Q2554" i="11"/>
  <c r="Q2586" i="11"/>
  <c r="Q2618" i="11"/>
  <c r="Q2650" i="11"/>
  <c r="Q2682" i="11"/>
  <c r="Q2714" i="11"/>
  <c r="Q2746" i="11"/>
  <c r="Q2778" i="11"/>
  <c r="Q2826" i="11"/>
  <c r="Q2858" i="11"/>
  <c r="Q2890" i="11"/>
  <c r="Q2922" i="11"/>
  <c r="Q2954" i="11"/>
  <c r="Q2986" i="11"/>
  <c r="Q3018" i="11"/>
  <c r="Q3050" i="11"/>
  <c r="Q3082" i="11"/>
  <c r="Q3114" i="11"/>
  <c r="Q3146" i="11"/>
  <c r="Q3178" i="11"/>
  <c r="Q3210" i="11"/>
  <c r="Q3242" i="11"/>
  <c r="Q3274" i="11"/>
  <c r="Q3306" i="11"/>
  <c r="Q3338" i="11"/>
  <c r="Q3370" i="11"/>
  <c r="Q3402" i="11"/>
  <c r="Q3434" i="11"/>
  <c r="Q3466" i="11"/>
  <c r="Q3498" i="11"/>
  <c r="Q543" i="11"/>
  <c r="Q607" i="11"/>
  <c r="Q655" i="11"/>
  <c r="Q240" i="11"/>
  <c r="Q304" i="11"/>
  <c r="Q187" i="11"/>
  <c r="Q2362" i="11"/>
  <c r="Q2314" i="11"/>
  <c r="Q2234" i="11"/>
  <c r="Q2202" i="11"/>
  <c r="Q2170" i="11"/>
  <c r="Q2138" i="11"/>
  <c r="Q2106" i="11"/>
  <c r="Q2058" i="11"/>
  <c r="Q2010" i="11"/>
  <c r="Q1946" i="11"/>
  <c r="Q1914" i="11"/>
  <c r="Q1882" i="11"/>
  <c r="Q1850" i="11"/>
  <c r="Q1818" i="11"/>
  <c r="Q1786" i="11"/>
  <c r="Q1754" i="11"/>
  <c r="Q1738" i="11"/>
  <c r="Q1690" i="11"/>
  <c r="Q1674" i="11"/>
  <c r="Q1658" i="11"/>
  <c r="Q1642" i="11"/>
  <c r="Q1626" i="11"/>
  <c r="Q1610" i="11"/>
  <c r="Q1594" i="11"/>
  <c r="Q1578" i="11"/>
  <c r="Q1562" i="11"/>
  <c r="Q1530" i="11"/>
  <c r="Q1482" i="11"/>
  <c r="Q1466" i="11"/>
  <c r="Q1434" i="11"/>
  <c r="Q1418" i="11"/>
  <c r="Q1402" i="11"/>
  <c r="Q1386" i="11"/>
  <c r="Q1370" i="11"/>
  <c r="Q1354" i="11"/>
  <c r="Q1338" i="11"/>
  <c r="Q1322" i="11"/>
  <c r="Q1290" i="11"/>
  <c r="Q1258" i="11"/>
  <c r="Q1210" i="11"/>
  <c r="Q1194" i="11"/>
  <c r="Q1178" i="11"/>
  <c r="Q1162" i="11"/>
  <c r="Q1146" i="11"/>
  <c r="Q1130" i="11"/>
  <c r="Q1114" i="11"/>
  <c r="Q1098" i="11"/>
  <c r="Q1082" i="11"/>
  <c r="Q1066" i="11"/>
  <c r="Q1034" i="11"/>
  <c r="Q1002" i="11"/>
  <c r="Q986" i="11"/>
  <c r="Q938" i="11"/>
  <c r="Q922" i="11"/>
  <c r="Q906" i="11"/>
  <c r="Q890" i="11"/>
  <c r="Q874" i="11"/>
  <c r="Q858" i="11"/>
  <c r="Q842" i="11"/>
  <c r="Q826" i="11"/>
  <c r="Q810" i="11"/>
  <c r="Q794" i="11"/>
  <c r="Q762" i="11"/>
  <c r="Q730" i="11"/>
  <c r="Q714" i="11"/>
  <c r="Q666" i="11"/>
  <c r="Q650" i="11"/>
  <c r="Q634" i="11"/>
  <c r="Q618" i="11"/>
  <c r="Q602" i="11"/>
  <c r="Q586" i="11"/>
  <c r="Q570" i="11"/>
  <c r="Q554" i="11"/>
  <c r="Q538" i="11"/>
  <c r="Q506" i="11"/>
  <c r="Q490" i="11"/>
  <c r="Q442" i="11"/>
  <c r="Q426" i="11"/>
  <c r="Q410" i="11"/>
  <c r="Q394" i="11"/>
  <c r="Q378" i="11"/>
  <c r="Q362" i="11"/>
  <c r="Q346" i="11"/>
  <c r="Q305" i="11"/>
  <c r="Q153" i="11"/>
  <c r="Q249" i="11"/>
  <c r="Q357" i="11"/>
  <c r="Q421" i="11"/>
  <c r="Q443" i="11"/>
  <c r="Q464" i="11"/>
  <c r="Q485" i="11"/>
  <c r="Q507" i="11"/>
  <c r="Q528" i="11"/>
  <c r="Q549" i="11"/>
  <c r="Q571" i="11"/>
  <c r="Q592" i="11"/>
  <c r="Q613" i="11"/>
  <c r="Q656" i="11"/>
  <c r="Q677" i="11"/>
  <c r="Q699" i="11"/>
  <c r="Q720" i="11"/>
  <c r="Q741" i="11"/>
  <c r="Q784" i="11"/>
  <c r="Q805" i="11"/>
  <c r="Q827" i="11"/>
  <c r="Q848" i="11"/>
  <c r="Q869" i="11"/>
  <c r="Q912" i="11"/>
  <c r="Q933" i="11"/>
  <c r="Q955" i="11"/>
  <c r="Q976" i="11"/>
  <c r="Q997" i="11"/>
  <c r="Q1040" i="11"/>
  <c r="Q1083" i="11"/>
  <c r="Q1104" i="11"/>
  <c r="Q1125" i="11"/>
  <c r="Q1168" i="11"/>
  <c r="Q1189" i="11"/>
  <c r="Q1211" i="11"/>
  <c r="Q1232" i="11"/>
  <c r="Q1253" i="11"/>
  <c r="Q1296" i="11"/>
  <c r="Q1317" i="11"/>
  <c r="Q1339" i="11"/>
  <c r="Q1360" i="11"/>
  <c r="Q1381" i="11"/>
  <c r="Q1424" i="11"/>
  <c r="Q1445" i="11"/>
  <c r="Q1467" i="11"/>
  <c r="Q1488" i="11"/>
  <c r="Q1509" i="11"/>
  <c r="Q1531" i="11"/>
  <c r="Q1552" i="11"/>
  <c r="Q1573" i="11"/>
  <c r="Q1595" i="11"/>
  <c r="Q1616" i="11"/>
  <c r="Q1637" i="11"/>
  <c r="Q1659" i="11"/>
  <c r="Q1680" i="11"/>
  <c r="Q1701" i="11"/>
  <c r="Q1723" i="11"/>
  <c r="Q1744" i="11"/>
  <c r="Q1787" i="11"/>
  <c r="Q1808" i="11"/>
  <c r="Q1829" i="11"/>
  <c r="Q1851" i="11"/>
  <c r="Q1872" i="11"/>
  <c r="Q1893" i="11"/>
  <c r="Q1915" i="11"/>
  <c r="Q1936" i="11"/>
  <c r="Q1979" i="11"/>
  <c r="Q2000" i="11"/>
  <c r="Q2021" i="11"/>
  <c r="Q2043" i="11"/>
  <c r="Q2064" i="11"/>
  <c r="Q2085" i="11"/>
  <c r="Q2107" i="11"/>
  <c r="Q2128" i="11"/>
  <c r="Q2171" i="11"/>
  <c r="Q2192" i="11"/>
  <c r="Q2213" i="11"/>
  <c r="Q2235" i="11"/>
  <c r="Q2256" i="11"/>
  <c r="Q2277" i="11"/>
  <c r="Q2299" i="11"/>
  <c r="Q2320" i="11"/>
  <c r="Q2341" i="11"/>
  <c r="Q2363" i="11"/>
  <c r="Q2398" i="11"/>
  <c r="Q2414" i="11"/>
  <c r="Q2430" i="11"/>
  <c r="Q2446" i="11"/>
  <c r="Q2462" i="11"/>
  <c r="Q2478" i="11"/>
  <c r="Q2494" i="11"/>
  <c r="Q2510" i="11"/>
  <c r="Q2526" i="11"/>
  <c r="Q2542" i="11"/>
  <c r="Q2558" i="11"/>
  <c r="Q2574" i="11"/>
  <c r="Q2590" i="11"/>
  <c r="Q2606" i="11"/>
  <c r="Q2638" i="11"/>
  <c r="Q2654" i="11"/>
  <c r="Q2670" i="11"/>
  <c r="Q2686" i="11"/>
  <c r="Q2702" i="11"/>
  <c r="Q2718" i="11"/>
  <c r="Q2734" i="11"/>
  <c r="Q2750" i="11"/>
  <c r="Q2766" i="11"/>
  <c r="Q2782" i="11"/>
  <c r="Q2798" i="11"/>
  <c r="Q2814" i="11"/>
  <c r="Q2830" i="11"/>
  <c r="Q2846" i="11"/>
  <c r="Q2878" i="11"/>
  <c r="Q2894" i="11"/>
  <c r="Q2910" i="11"/>
  <c r="Q2926" i="11"/>
  <c r="Q2942" i="11"/>
  <c r="Q2958" i="11"/>
  <c r="Q2974" i="11"/>
  <c r="Q2990" i="11"/>
  <c r="Q3006" i="11"/>
  <c r="Q3022" i="11"/>
  <c r="Q3038" i="11"/>
  <c r="Q3054" i="11"/>
  <c r="Q3070" i="11"/>
  <c r="Q3086" i="11"/>
  <c r="Q3118" i="11"/>
  <c r="Q3134" i="11"/>
  <c r="Q3150" i="11"/>
  <c r="Q3166" i="11"/>
  <c r="Q3182" i="11"/>
  <c r="Q3198" i="11"/>
  <c r="Q3214" i="11"/>
  <c r="Q3230" i="11"/>
  <c r="Q3246" i="11"/>
  <c r="Q3278" i="11"/>
  <c r="Q3294" i="11"/>
  <c r="Q3310" i="11"/>
  <c r="Q3326" i="11"/>
  <c r="Q3358" i="11"/>
  <c r="Q3390" i="11"/>
  <c r="Q3406" i="11"/>
  <c r="Q3422" i="11"/>
  <c r="Q3438" i="11"/>
  <c r="Q3454" i="11"/>
  <c r="Q3470" i="11"/>
  <c r="Q3486" i="11"/>
  <c r="Q1528" i="11"/>
  <c r="Q1357" i="11"/>
  <c r="Q1272" i="11"/>
  <c r="Q1129" i="11"/>
  <c r="Q1016" i="11"/>
  <c r="Q873" i="11"/>
  <c r="Q817" i="11"/>
  <c r="Q717" i="11"/>
  <c r="Q564" i="11"/>
  <c r="Q489" i="11"/>
  <c r="Q601" i="11"/>
  <c r="Q545" i="11"/>
  <c r="Q345" i="11"/>
  <c r="Q233" i="11"/>
  <c r="Q349" i="11"/>
  <c r="Q397" i="11"/>
  <c r="Q429" i="11"/>
  <c r="Q493" i="11"/>
  <c r="Q1507" i="11"/>
  <c r="Q1479" i="11"/>
  <c r="Q1449" i="11"/>
  <c r="Q1421" i="11"/>
  <c r="Q1279" i="11"/>
  <c r="Q1165" i="11"/>
  <c r="Q1023" i="11"/>
  <c r="Q881" i="11"/>
  <c r="Q824" i="11"/>
  <c r="Q689" i="11"/>
  <c r="Q649" i="11"/>
  <c r="Q575" i="11"/>
  <c r="Q297" i="11"/>
  <c r="Q751" i="11"/>
  <c r="Q665" i="11"/>
  <c r="Q409" i="11"/>
  <c r="Q381" i="11"/>
  <c r="Q33" i="11"/>
  <c r="Q369" i="11"/>
  <c r="Q449" i="11"/>
  <c r="Q497" i="11"/>
  <c r="Q9" i="11"/>
  <c r="Q1521" i="11"/>
  <c r="Q1464" i="11"/>
  <c r="Q1407" i="11"/>
  <c r="Q1351" i="11"/>
  <c r="Q1321" i="11"/>
  <c r="Q1293" i="11"/>
  <c r="Q1265" i="11"/>
  <c r="Q1208" i="11"/>
  <c r="Q1151" i="11"/>
  <c r="Q1095" i="11"/>
  <c r="Q1065" i="11"/>
  <c r="Q1037" i="11"/>
  <c r="Q1009" i="11"/>
  <c r="Q952" i="11"/>
  <c r="Q895" i="11"/>
  <c r="Q839" i="11"/>
  <c r="Q809" i="11"/>
  <c r="Q781" i="11"/>
  <c r="Q745" i="11"/>
  <c r="Q669" i="11"/>
  <c r="Q632" i="11"/>
  <c r="Q593" i="11"/>
  <c r="Q556" i="11"/>
  <c r="Q519" i="11"/>
  <c r="Q479" i="11"/>
  <c r="Q441" i="11"/>
  <c r="Q404" i="11"/>
  <c r="Q365" i="11"/>
  <c r="Q275" i="11"/>
  <c r="Q223" i="11"/>
  <c r="Q765" i="11"/>
  <c r="Q737" i="11"/>
  <c r="Q708" i="11"/>
  <c r="Q680" i="11"/>
  <c r="Q623" i="11"/>
  <c r="Q595" i="11"/>
  <c r="Q567" i="11"/>
  <c r="Q537" i="11"/>
  <c r="Q509" i="11"/>
  <c r="Q481" i="11"/>
  <c r="Q424" i="11"/>
  <c r="Q367" i="11"/>
  <c r="Q301" i="11"/>
  <c r="Q261" i="11"/>
  <c r="Q137" i="11"/>
  <c r="Q361" i="11"/>
  <c r="Q425" i="11"/>
  <c r="Q457" i="11"/>
  <c r="Q505" i="11"/>
  <c r="Q41" i="11"/>
  <c r="I51" i="11"/>
  <c r="I99" i="11"/>
  <c r="I44" i="11"/>
  <c r="I76" i="11"/>
  <c r="I188" i="11"/>
  <c r="I236" i="11"/>
  <c r="I327" i="11"/>
  <c r="I295" i="11"/>
  <c r="I199" i="11"/>
  <c r="I35" i="11"/>
  <c r="I163" i="11"/>
  <c r="I28" i="11"/>
  <c r="I172" i="11"/>
  <c r="I204" i="11"/>
  <c r="I316" i="11"/>
  <c r="I276" i="11"/>
  <c r="I115" i="11"/>
  <c r="I12" i="11"/>
  <c r="I220" i="11"/>
  <c r="I300" i="11"/>
  <c r="I3232" i="11"/>
  <c r="I3146" i="11"/>
  <c r="I2378" i="11"/>
  <c r="I2250" i="11"/>
  <c r="I1802" i="11"/>
  <c r="I1482" i="11"/>
  <c r="I3358" i="11"/>
  <c r="I3188" i="11"/>
  <c r="I2846" i="11"/>
  <c r="I2590" i="11"/>
  <c r="I2078" i="11"/>
  <c r="I1822" i="11"/>
  <c r="I33" i="11"/>
  <c r="I3475" i="11"/>
  <c r="I3363" i="11"/>
  <c r="I3347" i="11"/>
  <c r="I3203" i="11"/>
  <c r="I3107" i="11"/>
  <c r="I3011" i="11"/>
  <c r="I2947" i="11"/>
  <c r="I2787" i="11"/>
  <c r="I2691" i="11"/>
  <c r="I2483" i="11"/>
  <c r="I2387" i="11"/>
  <c r="I2227" i="11"/>
  <c r="I2131" i="11"/>
  <c r="I1971" i="11"/>
  <c r="I1923" i="11"/>
  <c r="I1763" i="11"/>
  <c r="I1667" i="11"/>
  <c r="I1331" i="11"/>
  <c r="I1283" i="11"/>
  <c r="I1059" i="11"/>
  <c r="I995" i="11"/>
  <c r="I755" i="11"/>
  <c r="I707" i="11"/>
  <c r="I515" i="11"/>
  <c r="I483" i="11"/>
  <c r="I241" i="11"/>
  <c r="I1731" i="11"/>
  <c r="I1459" i="11"/>
  <c r="I1379" i="11"/>
  <c r="I1219" i="11"/>
  <c r="I1155" i="11"/>
  <c r="I867" i="11"/>
  <c r="I835" i="11"/>
  <c r="I611" i="11"/>
  <c r="I579" i="11"/>
  <c r="I403" i="11"/>
  <c r="I355" i="11"/>
  <c r="I90" i="11"/>
  <c r="I122" i="11"/>
  <c r="I282" i="11"/>
  <c r="I7" i="11"/>
  <c r="I183" i="11"/>
  <c r="I3482" i="11"/>
  <c r="I3248" i="11"/>
  <c r="I3184" i="11"/>
  <c r="I2970" i="11"/>
  <c r="I2906" i="11"/>
  <c r="I2672" i="11"/>
  <c r="I2608" i="11"/>
  <c r="I2394" i="11"/>
  <c r="I2330" i="11"/>
  <c r="I2096" i="11"/>
  <c r="I2032" i="11"/>
  <c r="I1840" i="11"/>
  <c r="I1776" i="11"/>
  <c r="I1520" i="11"/>
  <c r="I1434" i="11"/>
  <c r="I105" i="11"/>
  <c r="I3438" i="11"/>
  <c r="I3204" i="11"/>
  <c r="I3140" i="11"/>
  <c r="I2948" i="11"/>
  <c r="I2884" i="11"/>
  <c r="I2628" i="11"/>
  <c r="I2564" i="11"/>
  <c r="I2436" i="11"/>
  <c r="I2308" i="11"/>
  <c r="I2244" i="11"/>
  <c r="I2180" i="11"/>
  <c r="I2030" i="11"/>
  <c r="I1966" i="11"/>
  <c r="I1902" i="11"/>
  <c r="I1732" i="11"/>
  <c r="I1668" i="11"/>
  <c r="I1582" i="11"/>
  <c r="I1454" i="11"/>
  <c r="I1348" i="11"/>
  <c r="I1284" i="11"/>
  <c r="I985" i="11"/>
  <c r="I921" i="11"/>
  <c r="I836" i="11"/>
  <c r="I665" i="11"/>
  <c r="I601" i="11"/>
  <c r="I537" i="11"/>
  <c r="I221" i="11"/>
  <c r="I13" i="11"/>
  <c r="I3471" i="11"/>
  <c r="I3407" i="11"/>
  <c r="I3375" i="11"/>
  <c r="I3343" i="11"/>
  <c r="I3279" i="11"/>
  <c r="I3247" i="11"/>
  <c r="I3199" i="11"/>
  <c r="I3151" i="11"/>
  <c r="I3119" i="11"/>
  <c r="I3087" i="11"/>
  <c r="I3023" i="11"/>
  <c r="I2991" i="11"/>
  <c r="I2943" i="11"/>
  <c r="I2895" i="11"/>
  <c r="I2847" i="11"/>
  <c r="I2799" i="11"/>
  <c r="I2719" i="11"/>
  <c r="I2703" i="11"/>
  <c r="I2671" i="11"/>
  <c r="I2607" i="11"/>
  <c r="I2575" i="11"/>
  <c r="I2543" i="11"/>
  <c r="I2479" i="11"/>
  <c r="I2447" i="11"/>
  <c r="I2415" i="11"/>
  <c r="I2351" i="11"/>
  <c r="I2303" i="11"/>
  <c r="I2271" i="11"/>
  <c r="I2207" i="11"/>
  <c r="I2191" i="11"/>
  <c r="I2159" i="11"/>
  <c r="I2095" i="11"/>
  <c r="I2063" i="11"/>
  <c r="I2031" i="11"/>
  <c r="I1967" i="11"/>
  <c r="I1935" i="11"/>
  <c r="I1903" i="11"/>
  <c r="I1839" i="11"/>
  <c r="I1791" i="11"/>
  <c r="I1759" i="11"/>
  <c r="I1695" i="11"/>
  <c r="I1679" i="11"/>
  <c r="I1647" i="11"/>
  <c r="I1583" i="11"/>
  <c r="I1551" i="11"/>
  <c r="I1519" i="11"/>
  <c r="I1455" i="11"/>
  <c r="I1407" i="11"/>
  <c r="I1375" i="11"/>
  <c r="I1311" i="11"/>
  <c r="I1279" i="11"/>
  <c r="I1247" i="11"/>
  <c r="I1167" i="11"/>
  <c r="I1151" i="11"/>
  <c r="I1103" i="11"/>
  <c r="I1039" i="11"/>
  <c r="I1007" i="11"/>
  <c r="I975" i="11"/>
  <c r="I911" i="11"/>
  <c r="I863" i="11"/>
  <c r="I831" i="11"/>
  <c r="I751" i="11"/>
  <c r="I703" i="11"/>
  <c r="I671" i="11"/>
  <c r="I607" i="11"/>
  <c r="I543" i="11"/>
  <c r="I495" i="11"/>
  <c r="I399" i="11"/>
  <c r="I351" i="11"/>
  <c r="I297" i="11"/>
  <c r="I267" i="11"/>
  <c r="I3498" i="11"/>
  <c r="I3456" i="11"/>
  <c r="I3392" i="11"/>
  <c r="I3370" i="11"/>
  <c r="I3328" i="11"/>
  <c r="I3242" i="11"/>
  <c r="I3200" i="11"/>
  <c r="I3114" i="11"/>
  <c r="I2922" i="11"/>
  <c r="I2858" i="11"/>
  <c r="I2794" i="11"/>
  <c r="I2666" i="11"/>
  <c r="I2602" i="11"/>
  <c r="I2538" i="11"/>
  <c r="I2410" i="11"/>
  <c r="I2346" i="11"/>
  <c r="I2282" i="11"/>
  <c r="I2154" i="11"/>
  <c r="I2090" i="11"/>
  <c r="I2026" i="11"/>
  <c r="I1898" i="11"/>
  <c r="I1770" i="11"/>
  <c r="I1706" i="11"/>
  <c r="I1642" i="11"/>
  <c r="I1514" i="11"/>
  <c r="I1450" i="11"/>
  <c r="I1386" i="11"/>
  <c r="I1322" i="11"/>
  <c r="I490" i="11"/>
  <c r="I426" i="11"/>
  <c r="I362" i="11"/>
  <c r="I169" i="11"/>
  <c r="I3476" i="11"/>
  <c r="I3454" i="11"/>
  <c r="I3390" i="11"/>
  <c r="I3348" i="11"/>
  <c r="I3262" i="11"/>
  <c r="I3220" i="11"/>
  <c r="I3198" i="11"/>
  <c r="I3134" i="11"/>
  <c r="I3006" i="11"/>
  <c r="I2942" i="11"/>
  <c r="I2878" i="11"/>
  <c r="I2750" i="11"/>
  <c r="I2686" i="11"/>
  <c r="I2494" i="11"/>
  <c r="I2430" i="11"/>
  <c r="I2366" i="11"/>
  <c r="I2238" i="11"/>
  <c r="I2174" i="11"/>
  <c r="I2110" i="11"/>
  <c r="I1982" i="11"/>
  <c r="I1918" i="11"/>
  <c r="I1854" i="11"/>
  <c r="I1726" i="11"/>
  <c r="I1662" i="11"/>
  <c r="I1534" i="11"/>
  <c r="I1470" i="11"/>
  <c r="I1406" i="11"/>
  <c r="I1001" i="11"/>
  <c r="I937" i="11"/>
  <c r="I873" i="11"/>
  <c r="I809" i="11"/>
  <c r="I745" i="11"/>
  <c r="I681" i="11"/>
  <c r="I489" i="11"/>
  <c r="I468" i="11"/>
  <c r="I404" i="11"/>
  <c r="I253" i="11"/>
  <c r="I211" i="11"/>
  <c r="I161" i="11"/>
  <c r="I77" i="11"/>
  <c r="I3499" i="11"/>
  <c r="I3483" i="11"/>
  <c r="I3467" i="11"/>
  <c r="I3435" i="11"/>
  <c r="I3419" i="11"/>
  <c r="I3387" i="11"/>
  <c r="I3371" i="11"/>
  <c r="I3355" i="11"/>
  <c r="I3339" i="11"/>
  <c r="I3307" i="11"/>
  <c r="I3291" i="11"/>
  <c r="I3259" i="11"/>
  <c r="I3243" i="11"/>
  <c r="I3227" i="11"/>
  <c r="I3211" i="11"/>
  <c r="I3179" i="11"/>
  <c r="I3163" i="11"/>
  <c r="I3147" i="11"/>
  <c r="I3131" i="11"/>
  <c r="I3099" i="11"/>
  <c r="I3083" i="11"/>
  <c r="I3051" i="11"/>
  <c r="I3035" i="11"/>
  <c r="I3019" i="11"/>
  <c r="I3003" i="11"/>
  <c r="I2971" i="11"/>
  <c r="I2955" i="11"/>
  <c r="I2923" i="11"/>
  <c r="I2907" i="11"/>
  <c r="I2891" i="11"/>
  <c r="I2875" i="11"/>
  <c r="I2843" i="11"/>
  <c r="I2827" i="11"/>
  <c r="I2795" i="11"/>
  <c r="I2779" i="11"/>
  <c r="I2763" i="11"/>
  <c r="I2747" i="11"/>
  <c r="I2715" i="11"/>
  <c r="I2699" i="11"/>
  <c r="I2667" i="11"/>
  <c r="I2651" i="11"/>
  <c r="I2635" i="11"/>
  <c r="I2619" i="11"/>
  <c r="I2587" i="11"/>
  <c r="I2571" i="11"/>
  <c r="I2539" i="11"/>
  <c r="I2523" i="11"/>
  <c r="I2507" i="11"/>
  <c r="I2491" i="11"/>
  <c r="I2459" i="11"/>
  <c r="I2443" i="11"/>
  <c r="I2411" i="11"/>
  <c r="I2395" i="11"/>
  <c r="I2379" i="11"/>
  <c r="I2363" i="11"/>
  <c r="I2331" i="11"/>
  <c r="I2315" i="11"/>
  <c r="I2283" i="11"/>
  <c r="I2267" i="11"/>
  <c r="I2251" i="11"/>
  <c r="I2235" i="11"/>
  <c r="I2203" i="11"/>
  <c r="I2187" i="11"/>
  <c r="I2155" i="11"/>
  <c r="I2139" i="11"/>
  <c r="I2123" i="11"/>
  <c r="I2107" i="11"/>
  <c r="I2075" i="11"/>
  <c r="I2059" i="11"/>
  <c r="I2027" i="11"/>
  <c r="I2011" i="11"/>
  <c r="I1995" i="11"/>
  <c r="I1979" i="11"/>
  <c r="I1947" i="11"/>
  <c r="I1931" i="11"/>
  <c r="I1899" i="11"/>
  <c r="I1883" i="11"/>
  <c r="I1867" i="11"/>
  <c r="I1851" i="11"/>
  <c r="I1819" i="11"/>
  <c r="I1803" i="11"/>
  <c r="I1771" i="11"/>
  <c r="I1755" i="11"/>
  <c r="I1739" i="11"/>
  <c r="I1723" i="11"/>
  <c r="I1691" i="11"/>
  <c r="I1675" i="11"/>
  <c r="I1643" i="11"/>
  <c r="I1627" i="11"/>
  <c r="I1611" i="11"/>
  <c r="I1595" i="11"/>
  <c r="I1563" i="11"/>
  <c r="I1547" i="11"/>
  <c r="I1515" i="11"/>
  <c r="I1499" i="11"/>
  <c r="I1483" i="11"/>
  <c r="I1467" i="11"/>
  <c r="I1435" i="11"/>
  <c r="I1419" i="11"/>
  <c r="I1403" i="11"/>
  <c r="I1387" i="11"/>
  <c r="I1371" i="11"/>
  <c r="I1355" i="11"/>
  <c r="I1339" i="11"/>
  <c r="I1323" i="11"/>
  <c r="I1307" i="11"/>
  <c r="I3488" i="11"/>
  <c r="I3466" i="11"/>
  <c r="I3402" i="11"/>
  <c r="I3338" i="11"/>
  <c r="I3082" i="11"/>
  <c r="I2506" i="11"/>
  <c r="I2314" i="11"/>
  <c r="I1930" i="11"/>
  <c r="I1546" i="11"/>
  <c r="I3380" i="11"/>
  <c r="I3252" i="11"/>
  <c r="I3102" i="11"/>
  <c r="I2654" i="11"/>
  <c r="I2334" i="11"/>
  <c r="I1886" i="11"/>
  <c r="I1502" i="11"/>
  <c r="I3459" i="11"/>
  <c r="I3427" i="11"/>
  <c r="I3315" i="11"/>
  <c r="I3267" i="11"/>
  <c r="I3155" i="11"/>
  <c r="I3059" i="11"/>
  <c r="I2995" i="11"/>
  <c r="I2899" i="11"/>
  <c r="I2803" i="11"/>
  <c r="I2739" i="11"/>
  <c r="I2627" i="11"/>
  <c r="I2595" i="11"/>
  <c r="I2531" i="11"/>
  <c r="I2499" i="11"/>
  <c r="I2435" i="11"/>
  <c r="I2339" i="11"/>
  <c r="I2291" i="11"/>
  <c r="I2243" i="11"/>
  <c r="I2179" i="11"/>
  <c r="I2083" i="11"/>
  <c r="I2019" i="11"/>
  <c r="I1987" i="11"/>
  <c r="I1875" i="11"/>
  <c r="I1811" i="11"/>
  <c r="I1715" i="11"/>
  <c r="I1603" i="11"/>
  <c r="I1411" i="11"/>
  <c r="I1299" i="11"/>
  <c r="I1235" i="11"/>
  <c r="I1139" i="11"/>
  <c r="I1011" i="11"/>
  <c r="I883" i="11"/>
  <c r="I273" i="11"/>
  <c r="I58" i="11"/>
  <c r="I154" i="11"/>
  <c r="I218" i="11"/>
  <c r="I314" i="11"/>
  <c r="I23" i="11"/>
  <c r="I55" i="11"/>
  <c r="I87" i="11"/>
  <c r="I103" i="11"/>
  <c r="I119" i="11"/>
  <c r="I135" i="11"/>
  <c r="I151" i="11"/>
  <c r="I167" i="11"/>
  <c r="Q236" i="11"/>
  <c r="Q300" i="11"/>
  <c r="I3440" i="11"/>
  <c r="I3418" i="11"/>
  <c r="I3354" i="11"/>
  <c r="I3290" i="11"/>
  <c r="I3226" i="11"/>
  <c r="I3162" i="11"/>
  <c r="I3098" i="11"/>
  <c r="I3056" i="11"/>
  <c r="I2992" i="11"/>
  <c r="I2928" i="11"/>
  <c r="I2864" i="11"/>
  <c r="I2800" i="11"/>
  <c r="I2778" i="11"/>
  <c r="I2714" i="11"/>
  <c r="I2650" i="11"/>
  <c r="I2586" i="11"/>
  <c r="I2522" i="11"/>
  <c r="I2480" i="11"/>
  <c r="I2416" i="11"/>
  <c r="I2352" i="11"/>
  <c r="I2288" i="11"/>
  <c r="I2266" i="11"/>
  <c r="I2202" i="11"/>
  <c r="I2138" i="11"/>
  <c r="I2074" i="11"/>
  <c r="I2010" i="11"/>
  <c r="I1946" i="11"/>
  <c r="I1882" i="11"/>
  <c r="I1818" i="11"/>
  <c r="I1754" i="11"/>
  <c r="I1712" i="11"/>
  <c r="I1648" i="11"/>
  <c r="I1584" i="11"/>
  <c r="I1562" i="11"/>
  <c r="I1498" i="11"/>
  <c r="I1456" i="11"/>
  <c r="I1370" i="11"/>
  <c r="I474" i="11"/>
  <c r="I346" i="11"/>
  <c r="I17" i="11"/>
  <c r="I3460" i="11"/>
  <c r="I3396" i="11"/>
  <c r="I3332" i="11"/>
  <c r="I3268" i="11"/>
  <c r="I3246" i="11"/>
  <c r="I3182" i="11"/>
  <c r="I3118" i="11"/>
  <c r="I3054" i="11"/>
  <c r="I3012" i="11"/>
  <c r="I2926" i="11"/>
  <c r="I2862" i="11"/>
  <c r="I2820" i="11"/>
  <c r="I2756" i="11"/>
  <c r="I2692" i="11"/>
  <c r="I2670" i="11"/>
  <c r="I2606" i="11"/>
  <c r="I2542" i="11"/>
  <c r="I2500" i="11"/>
  <c r="I2478" i="11"/>
  <c r="I2414" i="11"/>
  <c r="I2350" i="11"/>
  <c r="I2286" i="11"/>
  <c r="I2222" i="11"/>
  <c r="I2158" i="11"/>
  <c r="I2094" i="11"/>
  <c r="I2052" i="11"/>
  <c r="I1988" i="11"/>
  <c r="I1924" i="11"/>
  <c r="I1860" i="11"/>
  <c r="I1838" i="11"/>
  <c r="I1774" i="11"/>
  <c r="I1710" i="11"/>
  <c r="I1646" i="11"/>
  <c r="I1604" i="11"/>
  <c r="I1540" i="11"/>
  <c r="I1476" i="11"/>
  <c r="I1412" i="11"/>
  <c r="I1390" i="11"/>
  <c r="I1326" i="11"/>
  <c r="I1220" i="11"/>
  <c r="I1092" i="11"/>
  <c r="I1028" i="11"/>
  <c r="I964" i="11"/>
  <c r="I900" i="11"/>
  <c r="I857" i="11"/>
  <c r="I793" i="11"/>
  <c r="I729" i="11"/>
  <c r="I708" i="11"/>
  <c r="I644" i="11"/>
  <c r="I580" i="11"/>
  <c r="I516" i="11"/>
  <c r="I409" i="11"/>
  <c r="I307" i="11"/>
  <c r="I97" i="11"/>
  <c r="I3487" i="11"/>
  <c r="I3455" i="11"/>
  <c r="I3423" i="11"/>
  <c r="I3391" i="11"/>
  <c r="I3359" i="11"/>
  <c r="I3327" i="11"/>
  <c r="I3295" i="11"/>
  <c r="I3263" i="11"/>
  <c r="I3231" i="11"/>
  <c r="I3215" i="11"/>
  <c r="I3183" i="11"/>
  <c r="I3135" i="11"/>
  <c r="I3103" i="11"/>
  <c r="I3071" i="11"/>
  <c r="I3039" i="11"/>
  <c r="I3007" i="11"/>
  <c r="I2975" i="11"/>
  <c r="I2959" i="11"/>
  <c r="I2927" i="11"/>
  <c r="I2879" i="11"/>
  <c r="I2863" i="11"/>
  <c r="I2831" i="11"/>
  <c r="I2815" i="11"/>
  <c r="I2783" i="11"/>
  <c r="I2767" i="11"/>
  <c r="I2735" i="11"/>
  <c r="I2687" i="11"/>
  <c r="I2655" i="11"/>
  <c r="I2623" i="11"/>
  <c r="I2591" i="11"/>
  <c r="I2559" i="11"/>
  <c r="I2527" i="11"/>
  <c r="I2495" i="11"/>
  <c r="I2463" i="11"/>
  <c r="I2431" i="11"/>
  <c r="I2399" i="11"/>
  <c r="I2367" i="11"/>
  <c r="I2335" i="11"/>
  <c r="I2319" i="11"/>
  <c r="I2287" i="11"/>
  <c r="I2239" i="11"/>
  <c r="I2223" i="11"/>
  <c r="I2175" i="11"/>
  <c r="I2143" i="11"/>
  <c r="I2111" i="11"/>
  <c r="I2079" i="11"/>
  <c r="I2047" i="11"/>
  <c r="I2015" i="11"/>
  <c r="I1983" i="11"/>
  <c r="I1951" i="11"/>
  <c r="I1919" i="11"/>
  <c r="I1887" i="11"/>
  <c r="I1855" i="11"/>
  <c r="I1823" i="11"/>
  <c r="I1807" i="11"/>
  <c r="I1775" i="11"/>
  <c r="I1727" i="11"/>
  <c r="I1711" i="11"/>
  <c r="I1663" i="11"/>
  <c r="I1631" i="11"/>
  <c r="I1599" i="11"/>
  <c r="I1567" i="11"/>
  <c r="I1535" i="11"/>
  <c r="I1503" i="11"/>
  <c r="I1471" i="11"/>
  <c r="I1439" i="11"/>
  <c r="I1423" i="11"/>
  <c r="I1391" i="11"/>
  <c r="I1343" i="11"/>
  <c r="I1327" i="11"/>
  <c r="I1295" i="11"/>
  <c r="I1263" i="11"/>
  <c r="I1231" i="11"/>
  <c r="I1199" i="11"/>
  <c r="I1183" i="11"/>
  <c r="I1135" i="11"/>
  <c r="I1119" i="11"/>
  <c r="I1087" i="11"/>
  <c r="I1055" i="11"/>
  <c r="I1023" i="11"/>
  <c r="I991" i="11"/>
  <c r="I959" i="11"/>
  <c r="I927" i="11"/>
  <c r="I895" i="11"/>
  <c r="I879" i="11"/>
  <c r="I847" i="11"/>
  <c r="I815" i="11"/>
  <c r="I783" i="11"/>
  <c r="I767" i="11"/>
  <c r="I735" i="11"/>
  <c r="I719" i="11"/>
  <c r="I687" i="11"/>
  <c r="I655" i="11"/>
  <c r="I623" i="11"/>
  <c r="I575" i="11"/>
  <c r="I559" i="11"/>
  <c r="I511" i="11"/>
  <c r="I415" i="11"/>
  <c r="I383" i="11"/>
  <c r="I367" i="11"/>
  <c r="I201" i="11"/>
  <c r="I18" i="11"/>
  <c r="I34" i="11"/>
  <c r="I50" i="11"/>
  <c r="I66" i="11"/>
  <c r="I82" i="11"/>
  <c r="I98" i="11"/>
  <c r="I114" i="11"/>
  <c r="I130" i="11"/>
  <c r="I146" i="11"/>
  <c r="I162" i="11"/>
  <c r="I178" i="11"/>
  <c r="I194" i="11"/>
  <c r="I210" i="11"/>
  <c r="I226" i="11"/>
  <c r="I242" i="11"/>
  <c r="I258" i="11"/>
  <c r="I274" i="11"/>
  <c r="I290" i="11"/>
  <c r="I306" i="11"/>
  <c r="I322" i="11"/>
  <c r="I15" i="11"/>
  <c r="I31" i="11"/>
  <c r="I47" i="11"/>
  <c r="I63" i="11"/>
  <c r="I79" i="11"/>
  <c r="I95" i="11"/>
  <c r="I111" i="11"/>
  <c r="I127" i="11"/>
  <c r="I143" i="11"/>
  <c r="I159" i="11"/>
  <c r="I175" i="11"/>
  <c r="I8" i="11"/>
  <c r="I24" i="11"/>
  <c r="I40" i="11"/>
  <c r="I56" i="11"/>
  <c r="I72" i="11"/>
  <c r="I88" i="11"/>
  <c r="I104" i="11"/>
  <c r="I120" i="11"/>
  <c r="I136" i="11"/>
  <c r="I152" i="11"/>
  <c r="I168" i="11"/>
  <c r="I184" i="11"/>
  <c r="I200" i="11"/>
  <c r="I216" i="11"/>
  <c r="I232" i="11"/>
  <c r="I248" i="11"/>
  <c r="I264" i="11"/>
  <c r="I280" i="11"/>
  <c r="I296" i="11"/>
  <c r="I312" i="11"/>
  <c r="I328" i="11"/>
  <c r="I2" i="11"/>
  <c r="Q10" i="11"/>
  <c r="Q26" i="11"/>
  <c r="Q42" i="11"/>
  <c r="Q58" i="11"/>
  <c r="Q74" i="11"/>
  <c r="Q90" i="11"/>
  <c r="Q106" i="11"/>
  <c r="Q122" i="11"/>
  <c r="Q138" i="11"/>
  <c r="Q154" i="11"/>
  <c r="Q170" i="11"/>
  <c r="Q186" i="11"/>
  <c r="Q202" i="11"/>
  <c r="Q218" i="11"/>
  <c r="Q234" i="11"/>
  <c r="Q250" i="11"/>
  <c r="Q266" i="11"/>
  <c r="Q282" i="11"/>
  <c r="Q298" i="11"/>
  <c r="Q314" i="11"/>
  <c r="Q330" i="11"/>
  <c r="Q7" i="11"/>
  <c r="Q23" i="11"/>
  <c r="Q39" i="11"/>
  <c r="Q55" i="11"/>
  <c r="Q71" i="11"/>
  <c r="Q87" i="11"/>
  <c r="Q103" i="11"/>
  <c r="Q119" i="11"/>
  <c r="Q135" i="11"/>
  <c r="Q151" i="11"/>
  <c r="Q4" i="11"/>
  <c r="Q20" i="11"/>
  <c r="Q36" i="11"/>
  <c r="Q52" i="11"/>
  <c r="Q68" i="11"/>
  <c r="Q84" i="11"/>
  <c r="Q100" i="11"/>
  <c r="Q116" i="11"/>
  <c r="Q132" i="11"/>
  <c r="Q148" i="11"/>
  <c r="Q164" i="11"/>
  <c r="Q180" i="11"/>
  <c r="Q196" i="11"/>
  <c r="Q260" i="11"/>
  <c r="Q324" i="11"/>
  <c r="Q34" i="11"/>
  <c r="Q66" i="11"/>
  <c r="Q98" i="11"/>
  <c r="Q130" i="11"/>
  <c r="Q162" i="11"/>
  <c r="Q194" i="11"/>
  <c r="Q226" i="11"/>
  <c r="Q258" i="11"/>
  <c r="Q290" i="11"/>
  <c r="Q322" i="11"/>
  <c r="Q320" i="11"/>
  <c r="I498" i="11"/>
  <c r="I482" i="11"/>
  <c r="I466" i="11"/>
  <c r="I450" i="11"/>
  <c r="I434" i="11"/>
  <c r="I418" i="11"/>
  <c r="I402" i="11"/>
  <c r="I386" i="11"/>
  <c r="I370" i="11"/>
  <c r="I354" i="11"/>
  <c r="I3472" i="11"/>
  <c r="I3344" i="11"/>
  <c r="I3322" i="11"/>
  <c r="I3258" i="11"/>
  <c r="I3216" i="11"/>
  <c r="I3130" i="11"/>
  <c r="I3002" i="11"/>
  <c r="I2810" i="11"/>
  <c r="I2746" i="11"/>
  <c r="I2682" i="11"/>
  <c r="I2554" i="11"/>
  <c r="I2490" i="11"/>
  <c r="I2426" i="11"/>
  <c r="I2362" i="11"/>
  <c r="I2298" i="11"/>
  <c r="I2042" i="11"/>
  <c r="I1914" i="11"/>
  <c r="I1786" i="11"/>
  <c r="I1658" i="11"/>
  <c r="I1594" i="11"/>
  <c r="I1530" i="11"/>
  <c r="I61" i="11"/>
  <c r="I3428" i="11"/>
  <c r="I3406" i="11"/>
  <c r="I3364" i="11"/>
  <c r="I3300" i="11"/>
  <c r="I3214" i="11"/>
  <c r="I3150" i="11"/>
  <c r="I2958" i="11"/>
  <c r="I2894" i="11"/>
  <c r="I2702" i="11"/>
  <c r="I2638" i="11"/>
  <c r="I2574" i="11"/>
  <c r="I2446" i="11"/>
  <c r="I2382" i="11"/>
  <c r="I2190" i="11"/>
  <c r="I2126" i="11"/>
  <c r="I1934" i="11"/>
  <c r="I1870" i="11"/>
  <c r="I1678" i="11"/>
  <c r="I1614" i="11"/>
  <c r="I1550" i="11"/>
  <c r="I1358" i="11"/>
  <c r="I57" i="11"/>
  <c r="I3495" i="11"/>
  <c r="I3479" i="11"/>
  <c r="I3431" i="11"/>
  <c r="I3399" i="11"/>
  <c r="I3383" i="11"/>
  <c r="I3351" i="11"/>
  <c r="I3303" i="11"/>
  <c r="I3287" i="11"/>
  <c r="I3239" i="11"/>
  <c r="I3223" i="11"/>
  <c r="I3175" i="11"/>
  <c r="I3159" i="11"/>
  <c r="I3111" i="11"/>
  <c r="I3095" i="11"/>
  <c r="I3047" i="11"/>
  <c r="I3031" i="11"/>
  <c r="I2983" i="11"/>
  <c r="I2951" i="11"/>
  <c r="I2935" i="11"/>
  <c r="I2903" i="11"/>
  <c r="I2855" i="11"/>
  <c r="I2839" i="11"/>
  <c r="I2791" i="11"/>
  <c r="I2775" i="11"/>
  <c r="I2727" i="11"/>
  <c r="I2711" i="11"/>
  <c r="I2663" i="11"/>
  <c r="I2647" i="11"/>
  <c r="I2599" i="11"/>
  <c r="I2583" i="11"/>
  <c r="I2535" i="11"/>
  <c r="I2519" i="11"/>
  <c r="I2471" i="11"/>
  <c r="I2455" i="11"/>
  <c r="I2407" i="11"/>
  <c r="I2391" i="11"/>
  <c r="I2343" i="11"/>
  <c r="I2327" i="11"/>
  <c r="I2279" i="11"/>
  <c r="I2263" i="11"/>
  <c r="I2215" i="11"/>
  <c r="I2199" i="11"/>
  <c r="I2151" i="11"/>
  <c r="I2135" i="11"/>
  <c r="I2103" i="11"/>
  <c r="I2055" i="11"/>
  <c r="I2039" i="11"/>
  <c r="I1991" i="11"/>
  <c r="I1959" i="11"/>
  <c r="I1943" i="11"/>
  <c r="I1895" i="11"/>
  <c r="I1879" i="11"/>
  <c r="I1831" i="11"/>
  <c r="I1815" i="11"/>
  <c r="I1767" i="11"/>
  <c r="I1751" i="11"/>
  <c r="I1719" i="11"/>
  <c r="I1671" i="11"/>
  <c r="I1655" i="11"/>
  <c r="I1607" i="11"/>
  <c r="I1591" i="11"/>
  <c r="I1543" i="11"/>
  <c r="I1527" i="11"/>
  <c r="I1479" i="11"/>
  <c r="I1447" i="11"/>
  <c r="I1431" i="11"/>
  <c r="I1383" i="11"/>
  <c r="I1367" i="11"/>
  <c r="I1335" i="11"/>
  <c r="I1303" i="11"/>
  <c r="I1175" i="11"/>
  <c r="I1143" i="11"/>
  <c r="I1127" i="11"/>
  <c r="I1079" i="11"/>
  <c r="I1063" i="11"/>
  <c r="I1047" i="11"/>
  <c r="I951" i="11"/>
  <c r="I935" i="11"/>
  <c r="I919" i="11"/>
  <c r="I903" i="11"/>
  <c r="I807" i="11"/>
  <c r="I791" i="11"/>
  <c r="I775" i="11"/>
  <c r="I679" i="11"/>
  <c r="I663" i="11"/>
  <c r="I647" i="11"/>
  <c r="I535" i="11"/>
  <c r="I519" i="11"/>
  <c r="I503" i="11"/>
  <c r="I487" i="11"/>
  <c r="I439" i="11"/>
  <c r="I391" i="11"/>
  <c r="I281" i="11"/>
  <c r="I1282" i="11"/>
  <c r="I1234" i="11"/>
  <c r="I1202" i="11"/>
  <c r="I1154" i="11"/>
  <c r="I1122" i="11"/>
  <c r="I1090" i="11"/>
  <c r="I1042" i="11"/>
  <c r="I1010" i="11"/>
  <c r="I978" i="11"/>
  <c r="I930" i="11"/>
  <c r="I898" i="11"/>
  <c r="I866" i="11"/>
  <c r="I818" i="11"/>
  <c r="I786" i="11"/>
  <c r="I738" i="11"/>
  <c r="I706" i="11"/>
  <c r="I674" i="11"/>
  <c r="I642" i="11"/>
  <c r="I610" i="11"/>
  <c r="I578" i="11"/>
  <c r="I530" i="11"/>
  <c r="I335" i="11"/>
  <c r="I101" i="11"/>
  <c r="I25" i="11"/>
  <c r="I189" i="11"/>
  <c r="I329" i="11"/>
  <c r="I393" i="11"/>
  <c r="I447" i="11"/>
  <c r="I527" i="11"/>
  <c r="I569" i="11"/>
  <c r="I612" i="11"/>
  <c r="I692" i="11"/>
  <c r="I756" i="11"/>
  <c r="I820" i="11"/>
  <c r="I916" i="11"/>
  <c r="I980" i="11"/>
  <c r="I1044" i="11"/>
  <c r="I1108" i="11"/>
  <c r="I1204" i="11"/>
  <c r="I1268" i="11"/>
  <c r="I1332" i="11"/>
  <c r="I1396" i="11"/>
  <c r="I1460" i="11"/>
  <c r="I1556" i="11"/>
  <c r="I1620" i="11"/>
  <c r="I1684" i="11"/>
  <c r="I1748" i="11"/>
  <c r="I1844" i="11"/>
  <c r="I1908" i="11"/>
  <c r="I1972" i="11"/>
  <c r="I2036" i="11"/>
  <c r="I2100" i="11"/>
  <c r="I2196" i="11"/>
  <c r="I2260" i="11"/>
  <c r="I2324" i="11"/>
  <c r="I2388" i="11"/>
  <c r="I2484" i="11"/>
  <c r="I2548" i="11"/>
  <c r="I2612" i="11"/>
  <c r="I2708" i="11"/>
  <c r="I2772" i="11"/>
  <c r="I2836" i="11"/>
  <c r="I2900" i="11"/>
  <c r="I2996" i="11"/>
  <c r="I3060" i="11"/>
  <c r="I3156" i="11"/>
  <c r="I225" i="11"/>
  <c r="I347" i="11"/>
  <c r="I389" i="11"/>
  <c r="I432" i="11"/>
  <c r="I496" i="11"/>
  <c r="I539" i="11"/>
  <c r="I581" i="11"/>
  <c r="I624" i="11"/>
  <c r="I688" i="11"/>
  <c r="I731" i="11"/>
  <c r="I773" i="11"/>
  <c r="I837" i="11"/>
  <c r="I880" i="11"/>
  <c r="I923" i="11"/>
  <c r="I987" i="11"/>
  <c r="I1029" i="11"/>
  <c r="I1072" i="11"/>
  <c r="I1136" i="11"/>
  <c r="I1179" i="11"/>
  <c r="I1221" i="11"/>
  <c r="I1285" i="11"/>
  <c r="I1321" i="11"/>
  <c r="I1353" i="11"/>
  <c r="I1385" i="11"/>
  <c r="I1433" i="11"/>
  <c r="I1465" i="11"/>
  <c r="I1497" i="11"/>
  <c r="I1529" i="11"/>
  <c r="I1561" i="11"/>
  <c r="I1609" i="11"/>
  <c r="I1641" i="11"/>
  <c r="I1673" i="11"/>
  <c r="I1705" i="11"/>
  <c r="I1737" i="11"/>
  <c r="I1785" i="11"/>
  <c r="I1817" i="11"/>
  <c r="I1849" i="11"/>
  <c r="I1881" i="11"/>
  <c r="I1929" i="11"/>
  <c r="I1961" i="11"/>
  <c r="I1993" i="11"/>
  <c r="I2041" i="11"/>
  <c r="I2073" i="11"/>
  <c r="I2105" i="11"/>
  <c r="I2137" i="11"/>
  <c r="I2185" i="11"/>
  <c r="I2217" i="11"/>
  <c r="I2249" i="11"/>
  <c r="I2297" i="11"/>
  <c r="I2329" i="11"/>
  <c r="I2361" i="11"/>
  <c r="I2409" i="11"/>
  <c r="I2441" i="11"/>
  <c r="I2473" i="11"/>
  <c r="I2521" i="11"/>
  <c r="I2553" i="11"/>
  <c r="I2601" i="11"/>
  <c r="I2633" i="11"/>
  <c r="I2665" i="11"/>
  <c r="I2697" i="11"/>
  <c r="I2729" i="11"/>
  <c r="I2777" i="11"/>
  <c r="I2809" i="11"/>
  <c r="I2841" i="11"/>
  <c r="I2889" i="11"/>
  <c r="I2921" i="11"/>
  <c r="I2969" i="11"/>
  <c r="I3001" i="11"/>
  <c r="I3033" i="11"/>
  <c r="I3065" i="11"/>
  <c r="I3097" i="11"/>
  <c r="I3145" i="11"/>
  <c r="I3177" i="11"/>
  <c r="I3209" i="11"/>
  <c r="I3257" i="11"/>
  <c r="I3289" i="11"/>
  <c r="I3337" i="11"/>
  <c r="I3369" i="11"/>
  <c r="I3385" i="11"/>
  <c r="I3417" i="11"/>
  <c r="I3465" i="11"/>
  <c r="I3497" i="11"/>
  <c r="I1328" i="11"/>
  <c r="I1241" i="11"/>
  <c r="I1049" i="11"/>
  <c r="I345" i="11"/>
  <c r="I431" i="11"/>
  <c r="I343" i="11"/>
  <c r="I449" i="11"/>
  <c r="I556" i="11"/>
  <c r="I641" i="11"/>
  <c r="I727" i="11"/>
  <c r="I855" i="11"/>
  <c r="I940" i="11"/>
  <c r="I1068" i="11"/>
  <c r="I1153" i="11"/>
  <c r="I1239" i="11"/>
  <c r="I1318" i="11"/>
  <c r="I1414" i="11"/>
  <c r="I1494" i="11"/>
  <c r="I1579" i="11"/>
  <c r="I1659" i="11"/>
  <c r="I1787" i="11"/>
  <c r="I1878" i="11"/>
  <c r="I1963" i="11"/>
  <c r="I2091" i="11"/>
  <c r="I2171" i="11"/>
  <c r="I2262" i="11"/>
  <c r="I2347" i="11"/>
  <c r="I2475" i="11"/>
  <c r="I2555" i="11"/>
  <c r="I2646" i="11"/>
  <c r="I2731" i="11"/>
  <c r="I2859" i="11"/>
  <c r="I2939" i="11"/>
  <c r="I3067" i="11"/>
  <c r="I3158" i="11"/>
  <c r="I3222" i="11"/>
  <c r="I3323" i="11"/>
  <c r="I3403" i="11"/>
  <c r="I3478" i="11"/>
  <c r="I81" i="11"/>
  <c r="I493" i="11"/>
  <c r="I743" i="11"/>
  <c r="I977" i="11"/>
  <c r="I1276" i="11"/>
  <c r="I1394" i="11"/>
  <c r="I1575" i="11"/>
  <c r="I1735" i="11"/>
  <c r="I1863" i="11"/>
  <c r="I1996" i="11"/>
  <c r="I2119" i="11"/>
  <c r="I2311" i="11"/>
  <c r="I2418" i="11"/>
  <c r="I2540" i="11"/>
  <c r="I2732" i="11"/>
  <c r="I2860" i="11"/>
  <c r="I2988" i="11"/>
  <c r="I3116" i="11"/>
  <c r="I3244" i="11"/>
  <c r="I3367" i="11"/>
  <c r="I3447" i="11"/>
  <c r="I9" i="11"/>
  <c r="I552" i="11"/>
  <c r="I680" i="11"/>
  <c r="I801" i="11"/>
  <c r="I1015" i="11"/>
  <c r="I1256" i="11"/>
  <c r="I1352" i="11"/>
  <c r="I1491" i="11"/>
  <c r="I1640" i="11"/>
  <c r="I1694" i="11"/>
  <c r="I1795" i="11"/>
  <c r="I1896" i="11"/>
  <c r="I2046" i="11"/>
  <c r="I2152" i="11"/>
  <c r="I2307" i="11"/>
  <c r="I2408" i="11"/>
  <c r="I2510" i="11"/>
  <c r="I2664" i="11"/>
  <c r="I2766" i="11"/>
  <c r="I2867" i="11"/>
  <c r="I3016" i="11"/>
  <c r="I3171" i="11"/>
  <c r="I3272" i="11"/>
  <c r="I3422" i="11"/>
  <c r="I125" i="11"/>
  <c r="I369" i="11"/>
  <c r="I497" i="11"/>
  <c r="I583" i="11"/>
  <c r="I668" i="11"/>
  <c r="I796" i="11"/>
  <c r="I881" i="11"/>
  <c r="I967" i="11"/>
  <c r="I1159" i="11"/>
  <c r="I1287" i="11"/>
  <c r="I1402" i="11"/>
  <c r="I1674" i="11"/>
  <c r="I1994" i="11"/>
  <c r="I2218" i="11"/>
  <c r="I2698" i="11"/>
  <c r="I2826" i="11"/>
  <c r="I2938" i="11"/>
  <c r="I3412" i="11"/>
  <c r="I365" i="11"/>
  <c r="I551" i="11"/>
  <c r="I849" i="11"/>
  <c r="I1091" i="11"/>
  <c r="I1255" i="11"/>
  <c r="I1399" i="11"/>
  <c r="I1554" i="11"/>
  <c r="I1687" i="11"/>
  <c r="I1842" i="11"/>
  <c r="I1970" i="11"/>
  <c r="I2162" i="11"/>
  <c r="I2290" i="11"/>
  <c r="I2423" i="11"/>
  <c r="I2551" i="11"/>
  <c r="I2743" i="11"/>
  <c r="I2871" i="11"/>
  <c r="I3063" i="11"/>
  <c r="I3191" i="11"/>
  <c r="I3319" i="11"/>
  <c r="I121" i="11"/>
  <c r="I609" i="11"/>
  <c r="I872" i="11"/>
  <c r="I1100" i="11"/>
  <c r="I1292" i="11"/>
  <c r="I1422" i="11"/>
  <c r="I1523" i="11"/>
  <c r="I1630" i="11"/>
  <c r="I1790" i="11"/>
  <c r="I1891" i="11"/>
  <c r="I2051" i="11"/>
  <c r="I2147" i="11"/>
  <c r="I2302" i="11"/>
  <c r="I2451" i="11"/>
  <c r="I2558" i="11"/>
  <c r="I2659" i="11"/>
  <c r="I2755" i="11"/>
  <c r="I2915" i="11"/>
  <c r="I3022" i="11"/>
  <c r="I3176" i="11"/>
  <c r="I3278" i="11"/>
  <c r="I3379" i="11"/>
  <c r="I1123" i="11"/>
  <c r="I1962" i="11"/>
  <c r="I3018" i="11"/>
  <c r="I3284" i="11"/>
  <c r="I269" i="11"/>
  <c r="I3160" i="11"/>
  <c r="I2306" i="11"/>
  <c r="I3356" i="11"/>
  <c r="I1862" i="11"/>
  <c r="I2758" i="11"/>
  <c r="I3192" i="11"/>
  <c r="I1560" i="11"/>
  <c r="I2904" i="11"/>
  <c r="I1602" i="11"/>
  <c r="I2434" i="11"/>
  <c r="I3266" i="11"/>
  <c r="I3484" i="11"/>
  <c r="I1670" i="11"/>
  <c r="I1884" i="11"/>
  <c r="I2118" i="11"/>
  <c r="I2332" i="11"/>
  <c r="I2566" i="11"/>
  <c r="I2780" i="11"/>
  <c r="I3014" i="11"/>
  <c r="I3256" i="11"/>
  <c r="I6" i="11"/>
  <c r="I38" i="11"/>
  <c r="I70" i="11"/>
  <c r="I102" i="11"/>
  <c r="I134" i="11"/>
  <c r="I166" i="11"/>
  <c r="I198" i="11"/>
  <c r="I230" i="11"/>
  <c r="I262" i="11"/>
  <c r="I294" i="11"/>
  <c r="I310" i="11"/>
  <c r="I336" i="11"/>
  <c r="I304" i="11"/>
  <c r="I272" i="11"/>
  <c r="I240" i="11"/>
  <c r="I208" i="11"/>
  <c r="I176" i="11"/>
  <c r="I144" i="11"/>
  <c r="I112" i="11"/>
  <c r="I80" i="11"/>
  <c r="I48" i="11"/>
  <c r="I16" i="11"/>
  <c r="I315" i="11"/>
  <c r="I283" i="11"/>
  <c r="I251" i="11"/>
  <c r="I219" i="11"/>
  <c r="I187" i="11"/>
  <c r="I155" i="11"/>
  <c r="I123" i="11"/>
  <c r="I91" i="11"/>
  <c r="I59" i="11"/>
  <c r="I27" i="11"/>
  <c r="I1294" i="11"/>
  <c r="I1278" i="11"/>
  <c r="I1262" i="11"/>
  <c r="I1246" i="11"/>
  <c r="I1230" i="11"/>
  <c r="I1214" i="11"/>
  <c r="I1198" i="11"/>
  <c r="I1182" i="11"/>
  <c r="I1166" i="11"/>
  <c r="I1150" i="11"/>
  <c r="I1134" i="11"/>
  <c r="I1118" i="11"/>
  <c r="I1102" i="11"/>
  <c r="I1086" i="11"/>
  <c r="I1070" i="11"/>
  <c r="I1054" i="11"/>
  <c r="I1038" i="11"/>
  <c r="I1022" i="11"/>
  <c r="I1006" i="11"/>
  <c r="I990" i="11"/>
  <c r="I974" i="11"/>
  <c r="I958" i="11"/>
  <c r="I942" i="11"/>
  <c r="I926" i="11"/>
  <c r="I910" i="11"/>
  <c r="I894" i="11"/>
  <c r="I878" i="11"/>
  <c r="I862" i="11"/>
  <c r="I846" i="11"/>
  <c r="I830" i="11"/>
  <c r="I814" i="11"/>
  <c r="I798" i="11"/>
  <c r="I782" i="11"/>
  <c r="I766" i="11"/>
  <c r="I750" i="11"/>
  <c r="I734" i="11"/>
  <c r="I718" i="11"/>
  <c r="I702" i="11"/>
  <c r="I686" i="11"/>
  <c r="I670" i="11"/>
  <c r="I654" i="11"/>
  <c r="I638" i="11"/>
  <c r="I622" i="11"/>
  <c r="I606" i="11"/>
  <c r="I590" i="11"/>
  <c r="I574" i="11"/>
  <c r="I558" i="11"/>
  <c r="I542" i="11"/>
  <c r="I526" i="11"/>
  <c r="I510" i="11"/>
  <c r="I149" i="11"/>
  <c r="I85" i="11"/>
  <c r="I21" i="11"/>
  <c r="I45" i="11"/>
  <c r="I285" i="11"/>
  <c r="I372" i="11"/>
  <c r="I457" i="11"/>
  <c r="I553" i="11"/>
  <c r="I596" i="11"/>
  <c r="I1308" i="11"/>
  <c r="I1372" i="11"/>
  <c r="I1440" i="11"/>
  <c r="I1504" i="11"/>
  <c r="I1568" i="11"/>
  <c r="I1632" i="11"/>
  <c r="I1696" i="11"/>
  <c r="I1760" i="11"/>
  <c r="I1824" i="11"/>
  <c r="I1888" i="11"/>
  <c r="I1952" i="11"/>
  <c r="I2016" i="11"/>
  <c r="I2080" i="11"/>
  <c r="I2144" i="11"/>
  <c r="I2208" i="11"/>
  <c r="I2272" i="11"/>
  <c r="I2336" i="11"/>
  <c r="I2400" i="11"/>
  <c r="I2464" i="11"/>
  <c r="I2528" i="11"/>
  <c r="I2592" i="11"/>
  <c r="I2656" i="11"/>
  <c r="I2720" i="11"/>
  <c r="I2784" i="11"/>
  <c r="I2848" i="11"/>
  <c r="I2912" i="11"/>
  <c r="I2944" i="11"/>
  <c r="I3008" i="11"/>
  <c r="I3072" i="11"/>
  <c r="I3168" i="11"/>
  <c r="I29" i="11"/>
  <c r="I193" i="11"/>
  <c r="I321" i="11"/>
  <c r="I373" i="11"/>
  <c r="I416" i="11"/>
  <c r="I459" i="11"/>
  <c r="I501" i="11"/>
  <c r="I544" i="11"/>
  <c r="I587" i="11"/>
  <c r="I629" i="11"/>
  <c r="I672" i="11"/>
  <c r="I715" i="11"/>
  <c r="I757" i="11"/>
  <c r="I800" i="11"/>
  <c r="I843" i="11"/>
  <c r="I885" i="11"/>
  <c r="I928" i="11"/>
  <c r="I971" i="11"/>
  <c r="I1013" i="11"/>
  <c r="I1056" i="11"/>
  <c r="I1099" i="11"/>
  <c r="I1141" i="11"/>
  <c r="I1184" i="11"/>
  <c r="I1227" i="11"/>
  <c r="I1269" i="11"/>
  <c r="I1309" i="11"/>
  <c r="I1341" i="11"/>
  <c r="I1373" i="11"/>
  <c r="I1405" i="11"/>
  <c r="I1437" i="11"/>
  <c r="I1469" i="11"/>
  <c r="I1501" i="11"/>
  <c r="I1533" i="11"/>
  <c r="I1565" i="11"/>
  <c r="I1597" i="11"/>
  <c r="I1629" i="11"/>
  <c r="I1661" i="11"/>
  <c r="I1693" i="11"/>
  <c r="I1725" i="11"/>
  <c r="I1757" i="11"/>
  <c r="I1789" i="11"/>
  <c r="I1821" i="11"/>
  <c r="I1853" i="11"/>
  <c r="I1885" i="11"/>
  <c r="I1901" i="11"/>
  <c r="I1933" i="11"/>
  <c r="I1965" i="11"/>
  <c r="I1997" i="11"/>
  <c r="I2045" i="11"/>
  <c r="I2077" i="11"/>
  <c r="I2109" i="11"/>
  <c r="I2141" i="11"/>
  <c r="I2173" i="11"/>
  <c r="I2205" i="11"/>
  <c r="I2237" i="11"/>
  <c r="I2269" i="11"/>
  <c r="I2301" i="11"/>
  <c r="I2333" i="11"/>
  <c r="I2349" i="11"/>
  <c r="I2381" i="11"/>
  <c r="I2413" i="11"/>
  <c r="I2445" i="11"/>
  <c r="I2477" i="11"/>
  <c r="I2509" i="11"/>
  <c r="I2541" i="11"/>
  <c r="I2573" i="11"/>
  <c r="I2605" i="11"/>
  <c r="I2637" i="11"/>
  <c r="I2669" i="11"/>
  <c r="I2701" i="11"/>
  <c r="I2733" i="11"/>
  <c r="I2765" i="11"/>
  <c r="I2797" i="11"/>
  <c r="I2829" i="11"/>
  <c r="I2861" i="11"/>
  <c r="I2893" i="11"/>
  <c r="I2925" i="11"/>
  <c r="I2957" i="11"/>
  <c r="I2989" i="11"/>
  <c r="I3021" i="11"/>
  <c r="I3037" i="11"/>
  <c r="I3069" i="11"/>
  <c r="I3101" i="11"/>
  <c r="I3133" i="11"/>
  <c r="I3165" i="11"/>
  <c r="I3197" i="11"/>
  <c r="I3229" i="11"/>
  <c r="I3261" i="11"/>
  <c r="I3293" i="11"/>
  <c r="I3325" i="11"/>
  <c r="I3357" i="11"/>
  <c r="I3389" i="11"/>
  <c r="I3421" i="11"/>
  <c r="I3453" i="11"/>
  <c r="I3501" i="11"/>
  <c r="I1408" i="11"/>
  <c r="I1193" i="11"/>
  <c r="I1129" i="11"/>
  <c r="I229" i="11"/>
  <c r="I407" i="11"/>
  <c r="I520" i="11"/>
  <c r="I563" i="11"/>
  <c r="I648" i="11"/>
  <c r="I733" i="11"/>
  <c r="I819" i="11"/>
  <c r="I861" i="11"/>
  <c r="I989" i="11"/>
  <c r="I1032" i="11"/>
  <c r="I1160" i="11"/>
  <c r="I1245" i="11"/>
  <c r="I1462" i="11"/>
  <c r="I1590" i="11"/>
  <c r="I2102" i="11"/>
  <c r="I2230" i="11"/>
  <c r="I2358" i="11"/>
  <c r="I2614" i="11"/>
  <c r="I2998" i="11"/>
  <c r="I3280" i="11"/>
  <c r="I3382" i="11"/>
  <c r="I380" i="11"/>
  <c r="I536" i="11"/>
  <c r="I771" i="11"/>
  <c r="I1027" i="11"/>
  <c r="I1212" i="11"/>
  <c r="I1362" i="11"/>
  <c r="I1495" i="11"/>
  <c r="I1639" i="11"/>
  <c r="I1746" i="11"/>
  <c r="I1810" i="11"/>
  <c r="I1938" i="11"/>
  <c r="I2087" i="11"/>
  <c r="I2194" i="11"/>
  <c r="I2322" i="11"/>
  <c r="I2444" i="11"/>
  <c r="I2567" i="11"/>
  <c r="I2759" i="11"/>
  <c r="I2887" i="11"/>
  <c r="I3015" i="11"/>
  <c r="I3143" i="11"/>
  <c r="I3271" i="11"/>
  <c r="I3335" i="11"/>
  <c r="I3463" i="11"/>
  <c r="I353" i="11"/>
  <c r="I567" i="11"/>
  <c r="I759" i="11"/>
  <c r="I908" i="11"/>
  <c r="I1021" i="11"/>
  <c r="I1185" i="11"/>
  <c r="I1320" i="11"/>
  <c r="I1400" i="11"/>
  <c r="I1507" i="11"/>
  <c r="I1608" i="11"/>
  <c r="I1704" i="11"/>
  <c r="I1758" i="11"/>
  <c r="I1859" i="11"/>
  <c r="I1960" i="11"/>
  <c r="I2056" i="11"/>
  <c r="I2163" i="11"/>
  <c r="I2270" i="11"/>
  <c r="I2371" i="11"/>
  <c r="I2472" i="11"/>
  <c r="I2579" i="11"/>
  <c r="I2675" i="11"/>
  <c r="I2782" i="11"/>
  <c r="I2883" i="11"/>
  <c r="I2979" i="11"/>
  <c r="I3086" i="11"/>
  <c r="I3235" i="11"/>
  <c r="I3336" i="11"/>
  <c r="I3432" i="11"/>
  <c r="I185" i="11"/>
  <c r="I376" i="11"/>
  <c r="I461" i="11"/>
  <c r="I547" i="11"/>
  <c r="I632" i="11"/>
  <c r="I717" i="11"/>
  <c r="I803" i="11"/>
  <c r="I888" i="11"/>
  <c r="I973" i="11"/>
  <c r="I1095" i="11"/>
  <c r="I1229" i="11"/>
  <c r="I1466" i="11"/>
  <c r="I1738" i="11"/>
  <c r="I2122" i="11"/>
  <c r="I2234" i="11"/>
  <c r="I2954" i="11"/>
  <c r="I3386" i="11"/>
  <c r="I305" i="11"/>
  <c r="I508" i="11"/>
  <c r="I621" i="11"/>
  <c r="I899" i="11"/>
  <c r="I1105" i="11"/>
  <c r="I1261" i="11"/>
  <c r="I1330" i="11"/>
  <c r="I1522" i="11"/>
  <c r="I1644" i="11"/>
  <c r="I1783" i="11"/>
  <c r="I1911" i="11"/>
  <c r="I2023" i="11"/>
  <c r="I2167" i="11"/>
  <c r="I2295" i="11"/>
  <c r="I2439" i="11"/>
  <c r="I2572" i="11"/>
  <c r="I2700" i="11"/>
  <c r="I2834" i="11"/>
  <c r="I2967" i="11"/>
  <c r="I3084" i="11"/>
  <c r="I3276" i="11"/>
  <c r="I3468" i="11"/>
  <c r="I237" i="11"/>
  <c r="I467" i="11"/>
  <c r="I637" i="11"/>
  <c r="I787" i="11"/>
  <c r="I887" i="11"/>
  <c r="I1128" i="11"/>
  <c r="I1310" i="11"/>
  <c r="I1395" i="11"/>
  <c r="I1486" i="11"/>
  <c r="I1587" i="11"/>
  <c r="I1699" i="11"/>
  <c r="I1800" i="11"/>
  <c r="I2014" i="11"/>
  <c r="I2115" i="11"/>
  <c r="I2259" i="11"/>
  <c r="I2515" i="11"/>
  <c r="I2563" i="11"/>
  <c r="I2723" i="11"/>
  <c r="I2824" i="11"/>
  <c r="I2984" i="11"/>
  <c r="I3080" i="11"/>
  <c r="I3187" i="11"/>
  <c r="I3294" i="11"/>
  <c r="I3395" i="11"/>
  <c r="I1144" i="11"/>
  <c r="I1354" i="11"/>
  <c r="I1978" i="11"/>
  <c r="I2058" i="11"/>
  <c r="I2618" i="11"/>
  <c r="I3194" i="11"/>
  <c r="I3450" i="11"/>
  <c r="I456" i="11"/>
  <c r="I1432" i="11"/>
  <c r="I2072" i="11"/>
  <c r="I2712" i="11"/>
  <c r="I728" i="11"/>
  <c r="I1794" i="11"/>
  <c r="I2498" i="11"/>
  <c r="I3074" i="11"/>
  <c r="I3458" i="11"/>
  <c r="I1628" i="11"/>
  <c r="I1926" i="11"/>
  <c r="I2246" i="11"/>
  <c r="I2524" i="11"/>
  <c r="I2844" i="11"/>
  <c r="I3142" i="11"/>
  <c r="I3288" i="11"/>
  <c r="I413" i="11"/>
  <c r="I1688" i="11"/>
  <c r="I2136" i="11"/>
  <c r="I2520" i="11"/>
  <c r="I3032" i="11"/>
  <c r="I941" i="11"/>
  <c r="I1730" i="11"/>
  <c r="I2178" i="11"/>
  <c r="I2562" i="11"/>
  <c r="I3010" i="11"/>
  <c r="I3330" i="11"/>
  <c r="I1478" i="11"/>
  <c r="I1734" i="11"/>
  <c r="I1948" i="11"/>
  <c r="I2182" i="11"/>
  <c r="I2374" i="11"/>
  <c r="I2630" i="11"/>
  <c r="I2822" i="11"/>
  <c r="I3036" i="11"/>
  <c r="I3320" i="11"/>
  <c r="I311" i="11"/>
  <c r="I279" i="11"/>
  <c r="I247" i="11"/>
  <c r="I215" i="11"/>
  <c r="I342" i="11"/>
  <c r="I358" i="11"/>
  <c r="I374" i="11"/>
  <c r="I390" i="11"/>
  <c r="I406" i="11"/>
  <c r="I422" i="11"/>
  <c r="I438" i="11"/>
  <c r="I454" i="11"/>
  <c r="I470" i="11"/>
  <c r="I486" i="11"/>
  <c r="I502" i="11"/>
  <c r="I1290" i="11"/>
  <c r="I1274" i="11"/>
  <c r="I1258" i="11"/>
  <c r="I1242" i="11"/>
  <c r="I1226" i="11"/>
  <c r="I1210" i="11"/>
  <c r="I1194" i="11"/>
  <c r="I1178" i="11"/>
  <c r="I1162" i="11"/>
  <c r="I1146" i="11"/>
  <c r="I1130" i="11"/>
  <c r="I1114" i="11"/>
  <c r="I1098" i="11"/>
  <c r="I1082" i="11"/>
  <c r="I1066" i="11"/>
  <c r="I1050" i="11"/>
  <c r="I1034" i="11"/>
  <c r="I1018" i="11"/>
  <c r="I1002" i="11"/>
  <c r="I986" i="11"/>
  <c r="I970" i="11"/>
  <c r="I954" i="11"/>
  <c r="I938" i="11"/>
  <c r="I922" i="11"/>
  <c r="I906" i="11"/>
  <c r="I890" i="11"/>
  <c r="I874" i="11"/>
  <c r="I858" i="11"/>
  <c r="I842" i="11"/>
  <c r="I826" i="11"/>
  <c r="I810" i="11"/>
  <c r="I794" i="11"/>
  <c r="I778" i="11"/>
  <c r="I762" i="11"/>
  <c r="I746" i="11"/>
  <c r="I730" i="11"/>
  <c r="I714" i="11"/>
  <c r="I698" i="11"/>
  <c r="I682" i="11"/>
  <c r="I666" i="11"/>
  <c r="I650" i="11"/>
  <c r="I634" i="11"/>
  <c r="I618" i="11"/>
  <c r="I602" i="11"/>
  <c r="I586" i="11"/>
  <c r="I570" i="11"/>
  <c r="I554" i="11"/>
  <c r="I538" i="11"/>
  <c r="I522" i="11"/>
  <c r="I133" i="11"/>
  <c r="I69" i="11"/>
  <c r="I65" i="11"/>
  <c r="I153" i="11"/>
  <c r="I377" i="11"/>
  <c r="I436" i="11"/>
  <c r="I649" i="11"/>
  <c r="I713" i="11"/>
  <c r="I777" i="11"/>
  <c r="I841" i="11"/>
  <c r="I905" i="11"/>
  <c r="I969" i="11"/>
  <c r="I1060" i="11"/>
  <c r="I1124" i="11"/>
  <c r="I1188" i="11"/>
  <c r="I1252" i="11"/>
  <c r="I1316" i="11"/>
  <c r="I1380" i="11"/>
  <c r="I1444" i="11"/>
  <c r="I1508" i="11"/>
  <c r="I1572" i="11"/>
  <c r="I1636" i="11"/>
  <c r="I1700" i="11"/>
  <c r="I1764" i="11"/>
  <c r="I1828" i="11"/>
  <c r="I1892" i="11"/>
  <c r="I1956" i="11"/>
  <c r="I2020" i="11"/>
  <c r="I2084" i="11"/>
  <c r="I2148" i="11"/>
  <c r="I2212" i="11"/>
  <c r="I2276" i="11"/>
  <c r="I2340" i="11"/>
  <c r="I2404" i="11"/>
  <c r="I2468" i="11"/>
  <c r="I2532" i="11"/>
  <c r="I2596" i="11"/>
  <c r="I2660" i="11"/>
  <c r="I2724" i="11"/>
  <c r="I2788" i="11"/>
  <c r="I2852" i="11"/>
  <c r="I2916" i="11"/>
  <c r="I2980" i="11"/>
  <c r="I3044" i="11"/>
  <c r="I3108" i="11"/>
  <c r="I3172" i="11"/>
  <c r="I49" i="11"/>
  <c r="I137" i="11"/>
  <c r="I245" i="11"/>
  <c r="I289" i="11"/>
  <c r="I357" i="11"/>
  <c r="I379" i="11"/>
  <c r="I400" i="11"/>
  <c r="I421" i="11"/>
  <c r="I443" i="11"/>
  <c r="I464" i="11"/>
  <c r="I485" i="11"/>
  <c r="I507" i="11"/>
  <c r="I528" i="11"/>
  <c r="I549" i="11"/>
  <c r="I571" i="11"/>
  <c r="I592" i="11"/>
  <c r="I613" i="11"/>
  <c r="I635" i="11"/>
  <c r="I656" i="11"/>
  <c r="I677" i="11"/>
  <c r="I699" i="11"/>
  <c r="I720" i="11"/>
  <c r="I741" i="11"/>
  <c r="I763" i="11"/>
  <c r="I784" i="11"/>
  <c r="I805" i="11"/>
  <c r="I827" i="11"/>
  <c r="I848" i="11"/>
  <c r="I869" i="11"/>
  <c r="I891" i="11"/>
  <c r="I912" i="11"/>
  <c r="I933" i="11"/>
  <c r="I955" i="11"/>
  <c r="I976" i="11"/>
  <c r="I997" i="11"/>
  <c r="I1019" i="11"/>
  <c r="I1040" i="11"/>
  <c r="I1061" i="11"/>
  <c r="I1083" i="11"/>
  <c r="I1104" i="11"/>
  <c r="I1125" i="11"/>
  <c r="I1147" i="11"/>
  <c r="I1168" i="11"/>
  <c r="I1189" i="11"/>
  <c r="I1211" i="11"/>
  <c r="I1232" i="11"/>
  <c r="I1253" i="11"/>
  <c r="I1275" i="11"/>
  <c r="I1296" i="11"/>
  <c r="I1313" i="11"/>
  <c r="I1329" i="11"/>
  <c r="I1345" i="11"/>
  <c r="I1361" i="11"/>
  <c r="I1377" i="11"/>
  <c r="I1393" i="11"/>
  <c r="I1409" i="11"/>
  <c r="I1425" i="11"/>
  <c r="I1441" i="11"/>
  <c r="I1457" i="11"/>
  <c r="I1473" i="11"/>
  <c r="I1489" i="11"/>
  <c r="I1505" i="11"/>
  <c r="I1521" i="11"/>
  <c r="I1537" i="11"/>
  <c r="I1553" i="11"/>
  <c r="I1569" i="11"/>
  <c r="I1585" i="11"/>
  <c r="I1601" i="11"/>
  <c r="I1617" i="11"/>
  <c r="I1633" i="11"/>
  <c r="I1649" i="11"/>
  <c r="I1665" i="11"/>
  <c r="I1681" i="11"/>
  <c r="I1697" i="11"/>
  <c r="I1713" i="11"/>
  <c r="I1729" i="11"/>
  <c r="I1745" i="11"/>
  <c r="I1761" i="11"/>
  <c r="I1777" i="11"/>
  <c r="I1793" i="11"/>
  <c r="I1809" i="11"/>
  <c r="I1825" i="11"/>
  <c r="I1841" i="11"/>
  <c r="I1857" i="11"/>
  <c r="I1873" i="11"/>
  <c r="I1889" i="11"/>
  <c r="I1905" i="11"/>
  <c r="I1921" i="11"/>
  <c r="I1937" i="11"/>
  <c r="I1953" i="11"/>
  <c r="I1969" i="11"/>
  <c r="I1985" i="11"/>
  <c r="I2001" i="11"/>
  <c r="I2017" i="11"/>
  <c r="I2033" i="11"/>
  <c r="I2049" i="11"/>
  <c r="I2065" i="11"/>
  <c r="I2081" i="11"/>
  <c r="I2097" i="11"/>
  <c r="I2113" i="11"/>
  <c r="I2129" i="11"/>
  <c r="I2145" i="11"/>
  <c r="I2161" i="11"/>
  <c r="I2177" i="11"/>
  <c r="I2193" i="11"/>
  <c r="I2209" i="11"/>
  <c r="I2225" i="11"/>
  <c r="I2241" i="11"/>
  <c r="I2257" i="11"/>
  <c r="I2273" i="11"/>
  <c r="I2289" i="11"/>
  <c r="I2305" i="11"/>
  <c r="I2321" i="11"/>
  <c r="I2337" i="11"/>
  <c r="I2353" i="11"/>
  <c r="I2369" i="11"/>
  <c r="I2385" i="11"/>
  <c r="I2401" i="11"/>
  <c r="I2417" i="11"/>
  <c r="I2433" i="11"/>
  <c r="I2449" i="11"/>
  <c r="I2465" i="11"/>
  <c r="I2481" i="11"/>
  <c r="I2497" i="11"/>
  <c r="I2513" i="11"/>
  <c r="I2529" i="11"/>
  <c r="I2545" i="11"/>
  <c r="I2561" i="11"/>
  <c r="I2577" i="11"/>
  <c r="I2593" i="11"/>
  <c r="I2609" i="11"/>
  <c r="I2625" i="11"/>
  <c r="I2641" i="11"/>
  <c r="I2657" i="11"/>
  <c r="I2673" i="11"/>
  <c r="I2689" i="11"/>
  <c r="I2705" i="11"/>
  <c r="I2721" i="11"/>
  <c r="I2737" i="11"/>
  <c r="I2753" i="11"/>
  <c r="I2769" i="11"/>
  <c r="I2785" i="11"/>
  <c r="I2801" i="11"/>
  <c r="I2817" i="11"/>
  <c r="I2833" i="11"/>
  <c r="I2849" i="11"/>
  <c r="I2865" i="11"/>
  <c r="I2881" i="11"/>
  <c r="I2897" i="11"/>
  <c r="I2913" i="11"/>
  <c r="I2929" i="11"/>
  <c r="I2945" i="11"/>
  <c r="I2961" i="11"/>
  <c r="I2977" i="11"/>
  <c r="I2993" i="11"/>
  <c r="I3009" i="11"/>
  <c r="I3025" i="11"/>
  <c r="I3041" i="11"/>
  <c r="I3057" i="11"/>
  <c r="I3073" i="11"/>
  <c r="I3089" i="11"/>
  <c r="I3105" i="11"/>
  <c r="I3121" i="11"/>
  <c r="I3137" i="11"/>
  <c r="I3153" i="11"/>
  <c r="I3169" i="11"/>
  <c r="I3185" i="11"/>
  <c r="I3201" i="11"/>
  <c r="I3217" i="11"/>
  <c r="I3233" i="11"/>
  <c r="I3249" i="11"/>
  <c r="I3265" i="11"/>
  <c r="I3281" i="11"/>
  <c r="I3297" i="11"/>
  <c r="I3313" i="11"/>
  <c r="I3329" i="11"/>
  <c r="I3345" i="11"/>
  <c r="I3361" i="11"/>
  <c r="I3377" i="11"/>
  <c r="I3393" i="11"/>
  <c r="I3409" i="11"/>
  <c r="I3425" i="11"/>
  <c r="I3441" i="11"/>
  <c r="I3457" i="11"/>
  <c r="I3473" i="11"/>
  <c r="I3489" i="11"/>
  <c r="I1424" i="11"/>
  <c r="I1360" i="11"/>
  <c r="I1273" i="11"/>
  <c r="I1209" i="11"/>
  <c r="I1145" i="11"/>
  <c r="I1081" i="11"/>
  <c r="I1017" i="11"/>
  <c r="I996" i="11"/>
  <c r="I953" i="11"/>
  <c r="I932" i="11"/>
  <c r="I889" i="11"/>
  <c r="I868" i="11"/>
  <c r="I825" i="11"/>
  <c r="I804" i="11"/>
  <c r="I761" i="11"/>
  <c r="I740" i="11"/>
  <c r="I697" i="11"/>
  <c r="I676" i="11"/>
  <c r="I364" i="11"/>
  <c r="I428" i="11"/>
  <c r="I477" i="11"/>
  <c r="I577" i="11"/>
  <c r="I620" i="11"/>
  <c r="I705" i="11"/>
  <c r="I748" i="11"/>
  <c r="I833" i="11"/>
  <c r="I876" i="11"/>
  <c r="I961" i="11"/>
  <c r="I1004" i="11"/>
  <c r="I1089" i="11"/>
  <c r="I1132" i="11"/>
  <c r="I1217" i="11"/>
  <c r="I1260" i="11"/>
  <c r="I1302" i="11"/>
  <c r="I1334" i="11"/>
  <c r="I1366" i="11"/>
  <c r="I1398" i="11"/>
  <c r="I1430" i="11"/>
  <c r="I1558" i="11"/>
  <c r="I1686" i="11"/>
  <c r="I1814" i="11"/>
  <c r="I1942" i="11"/>
  <c r="I2070" i="11"/>
  <c r="I2198" i="11"/>
  <c r="I2326" i="11"/>
  <c r="I2454" i="11"/>
  <c r="I2582" i="11"/>
  <c r="I2710" i="11"/>
  <c r="I2838" i="11"/>
  <c r="I2966" i="11"/>
  <c r="I3094" i="11"/>
  <c r="I3286" i="11"/>
  <c r="I3414" i="11"/>
  <c r="I205" i="11"/>
  <c r="I465" i="11"/>
  <c r="I557" i="11"/>
  <c r="I1041" i="11"/>
  <c r="I1133" i="11"/>
  <c r="I1314" i="11"/>
  <c r="I1516" i="11"/>
  <c r="I1650" i="11"/>
  <c r="I1714" i="11"/>
  <c r="I2098" i="11"/>
  <c r="I2252" i="11"/>
  <c r="I2514" i="11"/>
  <c r="I2578" i="11"/>
  <c r="I2706" i="11"/>
  <c r="I2770" i="11"/>
  <c r="I2828" i="11"/>
  <c r="I2898" i="11"/>
  <c r="I3026" i="11"/>
  <c r="I3090" i="11"/>
  <c r="I3154" i="11"/>
  <c r="I3218" i="11"/>
  <c r="I3282" i="11"/>
  <c r="I3346" i="11"/>
  <c r="I3474" i="11"/>
  <c r="I381" i="11"/>
  <c r="I445" i="11"/>
  <c r="I509" i="11"/>
  <c r="I588" i="11"/>
  <c r="I701" i="11"/>
  <c r="I765" i="11"/>
  <c r="I844" i="11"/>
  <c r="I936" i="11"/>
  <c r="I1121" i="11"/>
  <c r="I1213" i="11"/>
  <c r="I1277" i="11"/>
  <c r="I1416" i="11"/>
  <c r="I1768" i="11"/>
  <c r="I2120" i="11"/>
  <c r="I2280" i="11"/>
  <c r="I2536" i="11"/>
  <c r="I2792" i="11"/>
  <c r="I3144" i="11"/>
  <c r="I3400" i="11"/>
  <c r="I3496" i="11"/>
  <c r="I197" i="11"/>
  <c r="I348" i="11"/>
  <c r="I433" i="11"/>
  <c r="I476" i="11"/>
  <c r="I561" i="11"/>
  <c r="I604" i="11"/>
  <c r="I689" i="11"/>
  <c r="I732" i="11"/>
  <c r="I817" i="11"/>
  <c r="I860" i="11"/>
  <c r="I945" i="11"/>
  <c r="I1052" i="11"/>
  <c r="I1116" i="11"/>
  <c r="I333" i="11"/>
  <c r="I444" i="11"/>
  <c r="I657" i="11"/>
  <c r="I785" i="11"/>
  <c r="I913" i="11"/>
  <c r="I1048" i="11"/>
  <c r="I1197" i="11"/>
  <c r="I1346" i="11"/>
  <c r="I1426" i="11"/>
  <c r="I1580" i="11"/>
  <c r="I1740" i="11"/>
  <c r="I1804" i="11"/>
  <c r="I1868" i="11"/>
  <c r="I1932" i="11"/>
  <c r="I2034" i="11"/>
  <c r="I2124" i="11"/>
  <c r="I2188" i="11"/>
  <c r="I2316" i="11"/>
  <c r="I2380" i="11"/>
  <c r="I2450" i="11"/>
  <c r="I2642" i="11"/>
  <c r="I2924" i="11"/>
  <c r="I3372" i="11"/>
  <c r="I360" i="11"/>
  <c r="I424" i="11"/>
  <c r="I481" i="11"/>
  <c r="I573" i="11"/>
  <c r="I652" i="11"/>
  <c r="I957" i="11"/>
  <c r="I1064" i="11"/>
  <c r="I1228" i="11"/>
  <c r="I1448" i="11"/>
  <c r="I1864" i="11"/>
  <c r="I2024" i="11"/>
  <c r="I2376" i="11"/>
  <c r="I2888" i="11"/>
  <c r="I3048" i="11"/>
  <c r="I3304" i="11"/>
  <c r="I3464" i="11"/>
  <c r="I1080" i="11"/>
  <c r="I1180" i="11"/>
  <c r="I1624" i="11"/>
  <c r="I2264" i="11"/>
  <c r="I2840" i="11"/>
  <c r="I856" i="11"/>
  <c r="I1986" i="11"/>
  <c r="I2626" i="11"/>
  <c r="I3228" i="11"/>
  <c r="I1436" i="11"/>
  <c r="I1692" i="11"/>
  <c r="I2012" i="11"/>
  <c r="I2310" i="11"/>
  <c r="I2588" i="11"/>
  <c r="I2908" i="11"/>
  <c r="I3206" i="11"/>
  <c r="I3352" i="11"/>
  <c r="I1816" i="11"/>
  <c r="I2200" i="11"/>
  <c r="I2648" i="11"/>
  <c r="I3096" i="11"/>
  <c r="I984" i="11"/>
  <c r="I1858" i="11"/>
  <c r="I2242" i="11"/>
  <c r="I2690" i="11"/>
  <c r="I3138" i="11"/>
  <c r="I3394" i="11"/>
  <c r="I1564" i="11"/>
  <c r="I1756" i="11"/>
  <c r="I1990" i="11"/>
  <c r="I2204" i="11"/>
  <c r="I2438" i="11"/>
  <c r="I2694" i="11"/>
  <c r="I2886" i="11"/>
  <c r="I3100" i="11"/>
  <c r="I3462" i="11"/>
  <c r="I338" i="11"/>
  <c r="I340" i="11"/>
  <c r="I324" i="11"/>
  <c r="I308" i="11"/>
  <c r="I292" i="11"/>
  <c r="I260" i="11"/>
  <c r="I244" i="11"/>
  <c r="I228" i="11"/>
  <c r="I212" i="11"/>
  <c r="I196" i="11"/>
  <c r="I180" i="11"/>
  <c r="I164" i="11"/>
  <c r="I148" i="11"/>
  <c r="I132" i="11"/>
  <c r="I116" i="11"/>
  <c r="I100" i="11"/>
  <c r="I84" i="11"/>
  <c r="I68" i="11"/>
  <c r="I52" i="11"/>
  <c r="I36" i="11"/>
  <c r="I20" i="11"/>
  <c r="I4" i="11"/>
  <c r="I319" i="11"/>
  <c r="I303" i="11"/>
  <c r="I287" i="11"/>
  <c r="I271" i="11"/>
  <c r="I255" i="11"/>
  <c r="I239" i="11"/>
  <c r="I223" i="11"/>
  <c r="I207" i="11"/>
  <c r="I191" i="11"/>
  <c r="I10" i="11"/>
  <c r="I42" i="11"/>
  <c r="I74" i="11"/>
  <c r="I106" i="11"/>
  <c r="I138" i="11"/>
  <c r="I170" i="11"/>
  <c r="I202" i="11"/>
  <c r="I234" i="11"/>
  <c r="I266" i="11"/>
  <c r="I298" i="11"/>
  <c r="I330" i="11"/>
  <c r="I350" i="11"/>
  <c r="I366" i="11"/>
  <c r="I382" i="11"/>
  <c r="I398" i="11"/>
  <c r="I414" i="11"/>
  <c r="I430" i="11"/>
  <c r="I446" i="11"/>
  <c r="I462" i="11"/>
  <c r="I478" i="11"/>
  <c r="I494" i="11"/>
  <c r="I5" i="11"/>
  <c r="I1298" i="11"/>
  <c r="I1266" i="11"/>
  <c r="I1250" i="11"/>
  <c r="I1218" i="11"/>
  <c r="I1186" i="11"/>
  <c r="I1170" i="11"/>
  <c r="I1138" i="11"/>
  <c r="I1106" i="11"/>
  <c r="I1074" i="11"/>
  <c r="I1058" i="11"/>
  <c r="I1026" i="11"/>
  <c r="I994" i="11"/>
  <c r="I962" i="11"/>
  <c r="I946" i="11"/>
  <c r="I914" i="11"/>
  <c r="I882" i="11"/>
  <c r="I850" i="11"/>
  <c r="I834" i="11"/>
  <c r="I802" i="11"/>
  <c r="I770" i="11"/>
  <c r="I754" i="11"/>
  <c r="I722" i="11"/>
  <c r="I690" i="11"/>
  <c r="I658" i="11"/>
  <c r="I626" i="11"/>
  <c r="I594" i="11"/>
  <c r="I562" i="11"/>
  <c r="I546" i="11"/>
  <c r="I514" i="11"/>
  <c r="I165" i="11"/>
  <c r="I37" i="11"/>
  <c r="I109" i="11"/>
  <c r="I265" i="11"/>
  <c r="I361" i="11"/>
  <c r="I420" i="11"/>
  <c r="I479" i="11"/>
  <c r="I505" i="11"/>
  <c r="I548" i="11"/>
  <c r="I591" i="11"/>
  <c r="I633" i="11"/>
  <c r="I660" i="11"/>
  <c r="I724" i="11"/>
  <c r="I788" i="11"/>
  <c r="I852" i="11"/>
  <c r="I884" i="11"/>
  <c r="I948" i="11"/>
  <c r="I1012" i="11"/>
  <c r="I1076" i="11"/>
  <c r="I1140" i="11"/>
  <c r="I1172" i="11"/>
  <c r="I1236" i="11"/>
  <c r="I1300" i="11"/>
  <c r="I1364" i="11"/>
  <c r="I1428" i="11"/>
  <c r="I1492" i="11"/>
  <c r="I1524" i="11"/>
  <c r="I1588" i="11"/>
  <c r="I1652" i="11"/>
  <c r="I1716" i="11"/>
  <c r="I1780" i="11"/>
  <c r="I1812" i="11"/>
  <c r="I1876" i="11"/>
  <c r="I1940" i="11"/>
  <c r="I2004" i="11"/>
  <c r="I2068" i="11"/>
  <c r="I2132" i="11"/>
  <c r="I2164" i="11"/>
  <c r="I2228" i="11"/>
  <c r="I2292" i="11"/>
  <c r="I2356" i="11"/>
  <c r="I2420" i="11"/>
  <c r="I2452" i="11"/>
  <c r="I2516" i="11"/>
  <c r="I2580" i="11"/>
  <c r="I2644" i="11"/>
  <c r="I2676" i="11"/>
  <c r="I2740" i="11"/>
  <c r="I2804" i="11"/>
  <c r="I2868" i="11"/>
  <c r="I2932" i="11"/>
  <c r="I2964" i="11"/>
  <c r="I3028" i="11"/>
  <c r="I3092" i="11"/>
  <c r="I3124" i="11"/>
  <c r="I93" i="11"/>
  <c r="I177" i="11"/>
  <c r="I309" i="11"/>
  <c r="I368" i="11"/>
  <c r="I411" i="11"/>
  <c r="I453" i="11"/>
  <c r="I475" i="11"/>
  <c r="I517" i="11"/>
  <c r="I560" i="11"/>
  <c r="I603" i="11"/>
  <c r="I645" i="11"/>
  <c r="I667" i="11"/>
  <c r="I709" i="11"/>
  <c r="I752" i="11"/>
  <c r="I795" i="11"/>
  <c r="I816" i="11"/>
  <c r="I859" i="11"/>
  <c r="I901" i="11"/>
  <c r="I944" i="11"/>
  <c r="I965" i="11"/>
  <c r="I1008" i="11"/>
  <c r="I1051" i="11"/>
  <c r="I1093" i="11"/>
  <c r="I1115" i="11"/>
  <c r="I1157" i="11"/>
  <c r="I1200" i="11"/>
  <c r="I1243" i="11"/>
  <c r="I1264" i="11"/>
  <c r="I1305" i="11"/>
  <c r="I1337" i="11"/>
  <c r="I1369" i="11"/>
  <c r="I1401" i="11"/>
  <c r="I1417" i="11"/>
  <c r="I1449" i="11"/>
  <c r="I1481" i="11"/>
  <c r="I1513" i="11"/>
  <c r="I1545" i="11"/>
  <c r="I1577" i="11"/>
  <c r="I1593" i="11"/>
  <c r="I1625" i="11"/>
  <c r="I1657" i="11"/>
  <c r="I1689" i="11"/>
  <c r="I1721" i="11"/>
  <c r="I1753" i="11"/>
  <c r="I1769" i="11"/>
  <c r="I1801" i="11"/>
  <c r="I1833" i="11"/>
  <c r="I1865" i="11"/>
  <c r="I1897" i="11"/>
  <c r="I1913" i="11"/>
  <c r="I1945" i="11"/>
  <c r="I1977" i="11"/>
  <c r="I2009" i="11"/>
  <c r="I2025" i="11"/>
  <c r="I2057" i="11"/>
  <c r="I2089" i="11"/>
  <c r="I2121" i="11"/>
  <c r="I2153" i="11"/>
  <c r="I2169" i="11"/>
  <c r="I2201" i="11"/>
  <c r="I2233" i="11"/>
  <c r="I2265" i="11"/>
  <c r="I2281" i="11"/>
  <c r="I2313" i="11"/>
  <c r="I2345" i="11"/>
  <c r="I2377" i="11"/>
  <c r="I2393" i="11"/>
  <c r="I2425" i="11"/>
  <c r="I2457" i="11"/>
  <c r="I2489" i="11"/>
  <c r="I2505" i="11"/>
  <c r="I2537" i="11"/>
  <c r="I2569" i="11"/>
  <c r="I2585" i="11"/>
  <c r="I2617" i="11"/>
  <c r="I2649" i="11"/>
  <c r="I2681" i="11"/>
  <c r="I2713" i="11"/>
  <c r="I2745" i="11"/>
  <c r="I2761" i="11"/>
  <c r="I2793" i="11"/>
  <c r="I2825" i="11"/>
  <c r="I2857" i="11"/>
  <c r="I2873" i="11"/>
  <c r="I2905" i="11"/>
  <c r="I2937" i="11"/>
  <c r="I2953" i="11"/>
  <c r="I2985" i="11"/>
  <c r="I3017" i="11"/>
  <c r="I3049" i="11"/>
  <c r="I3081" i="11"/>
  <c r="I3113" i="11"/>
  <c r="I3129" i="11"/>
  <c r="I3161" i="11"/>
  <c r="I3193" i="11"/>
  <c r="I3225" i="11"/>
  <c r="I3241" i="11"/>
  <c r="I3273" i="11"/>
  <c r="I3305" i="11"/>
  <c r="I3321" i="11"/>
  <c r="I3353" i="11"/>
  <c r="I3401" i="11"/>
  <c r="I3433" i="11"/>
  <c r="I3449" i="11"/>
  <c r="I3481" i="11"/>
  <c r="I1392" i="11"/>
  <c r="I1177" i="11"/>
  <c r="I1113" i="11"/>
  <c r="I473" i="11"/>
  <c r="I388" i="11"/>
  <c r="I233" i="11"/>
  <c r="I217" i="11"/>
  <c r="I392" i="11"/>
  <c r="I513" i="11"/>
  <c r="I599" i="11"/>
  <c r="I684" i="11"/>
  <c r="I769" i="11"/>
  <c r="I812" i="11"/>
  <c r="I897" i="11"/>
  <c r="I983" i="11"/>
  <c r="I1025" i="11"/>
  <c r="I1111" i="11"/>
  <c r="I1196" i="11"/>
  <c r="I1281" i="11"/>
  <c r="I1350" i="11"/>
  <c r="I1382" i="11"/>
  <c r="I1451" i="11"/>
  <c r="I1531" i="11"/>
  <c r="I1622" i="11"/>
  <c r="I1707" i="11"/>
  <c r="I1750" i="11"/>
  <c r="I1835" i="11"/>
  <c r="I1915" i="11"/>
  <c r="I2006" i="11"/>
  <c r="I2043" i="11"/>
  <c r="I2134" i="11"/>
  <c r="I2219" i="11"/>
  <c r="I2299" i="11"/>
  <c r="I2390" i="11"/>
  <c r="I2427" i="11"/>
  <c r="I2518" i="11"/>
  <c r="I2603" i="11"/>
  <c r="I2683" i="11"/>
  <c r="I2774" i="11"/>
  <c r="I2811" i="11"/>
  <c r="I2902" i="11"/>
  <c r="I2987" i="11"/>
  <c r="I3030" i="11"/>
  <c r="I3115" i="11"/>
  <c r="I3195" i="11"/>
  <c r="I3275" i="11"/>
  <c r="I3296" i="11"/>
  <c r="I3350" i="11"/>
  <c r="I3424" i="11"/>
  <c r="I3451" i="11"/>
  <c r="I359" i="11"/>
  <c r="I423" i="11"/>
  <c r="I636" i="11"/>
  <c r="I871" i="11"/>
  <c r="I1069" i="11"/>
  <c r="I1176" i="11"/>
  <c r="I1351" i="11"/>
  <c r="I1484" i="11"/>
  <c r="I1623" i="11"/>
  <c r="I1676" i="11"/>
  <c r="I1799" i="11"/>
  <c r="I1927" i="11"/>
  <c r="I2071" i="11"/>
  <c r="I2183" i="11"/>
  <c r="I2226" i="11"/>
  <c r="I2375" i="11"/>
  <c r="I2487" i="11"/>
  <c r="I2604" i="11"/>
  <c r="I2679" i="11"/>
  <c r="I2802" i="11"/>
  <c r="I2919" i="11"/>
  <c r="I3052" i="11"/>
  <c r="I3180" i="11"/>
  <c r="I3308" i="11"/>
  <c r="I3410" i="11"/>
  <c r="I3500" i="11"/>
  <c r="I293" i="11"/>
  <c r="I488" i="11"/>
  <c r="I631" i="11"/>
  <c r="I744" i="11"/>
  <c r="I893" i="11"/>
  <c r="I1085" i="11"/>
  <c r="I1171" i="11"/>
  <c r="I1304" i="11"/>
  <c r="I1443" i="11"/>
  <c r="I1544" i="11"/>
  <c r="I1598" i="11"/>
  <c r="I1742" i="11"/>
  <c r="I1843" i="11"/>
  <c r="I1950" i="11"/>
  <c r="I1992" i="11"/>
  <c r="I2206" i="11"/>
  <c r="I2254" i="11"/>
  <c r="I2355" i="11"/>
  <c r="I2462" i="11"/>
  <c r="I2568" i="11"/>
  <c r="I2622" i="11"/>
  <c r="I2718" i="11"/>
  <c r="I2819" i="11"/>
  <c r="I2920" i="11"/>
  <c r="I2974" i="11"/>
  <c r="I3075" i="11"/>
  <c r="I3219" i="11"/>
  <c r="I3326" i="11"/>
  <c r="I3470" i="11"/>
  <c r="I313" i="11"/>
  <c r="I412" i="11"/>
  <c r="I455" i="11"/>
  <c r="I540" i="11"/>
  <c r="I625" i="11"/>
  <c r="I711" i="11"/>
  <c r="I753" i="11"/>
  <c r="I839" i="11"/>
  <c r="I924" i="11"/>
  <c r="I1016" i="11"/>
  <c r="I1073" i="11"/>
  <c r="I1223" i="11"/>
  <c r="I1338" i="11"/>
  <c r="I1610" i="11"/>
  <c r="I1722" i="11"/>
  <c r="I1834" i="11"/>
  <c r="I2106" i="11"/>
  <c r="I2634" i="11"/>
  <c r="I2762" i="11"/>
  <c r="I2874" i="11"/>
  <c r="I3050" i="11"/>
  <c r="I3236" i="11"/>
  <c r="I3306" i="11"/>
  <c r="I249" i="11"/>
  <c r="I472" i="11"/>
  <c r="I615" i="11"/>
  <c r="I721" i="11"/>
  <c r="I999" i="11"/>
  <c r="I1169" i="11"/>
  <c r="I1319" i="11"/>
  <c r="I1458" i="11"/>
  <c r="I1511" i="11"/>
  <c r="I1612" i="11"/>
  <c r="I1778" i="11"/>
  <c r="I1906" i="11"/>
  <c r="I2007" i="11"/>
  <c r="I2060" i="11"/>
  <c r="I2247" i="11"/>
  <c r="I2354" i="11"/>
  <c r="I2476" i="11"/>
  <c r="I2615" i="11"/>
  <c r="I2668" i="11"/>
  <c r="I2823" i="11"/>
  <c r="I2962" i="11"/>
  <c r="I2999" i="11"/>
  <c r="I3127" i="11"/>
  <c r="I3255" i="11"/>
  <c r="I3436" i="11"/>
  <c r="I375" i="11"/>
  <c r="I531" i="11"/>
  <c r="I823" i="11"/>
  <c r="I993" i="11"/>
  <c r="I1192" i="11"/>
  <c r="I1342" i="11"/>
  <c r="I1384" i="11"/>
  <c r="I1475" i="11"/>
  <c r="I1576" i="11"/>
  <c r="I1683" i="11"/>
  <c r="I1736" i="11"/>
  <c r="I1939" i="11"/>
  <c r="I1998" i="11"/>
  <c r="I2099" i="11"/>
  <c r="I2195" i="11"/>
  <c r="I2248" i="11"/>
  <c r="I2403" i="11"/>
  <c r="I2504" i="11"/>
  <c r="I2600" i="11"/>
  <c r="I2707" i="11"/>
  <c r="I2814" i="11"/>
  <c r="I2963" i="11"/>
  <c r="I3070" i="11"/>
  <c r="I3123" i="11"/>
  <c r="I3230" i="11"/>
  <c r="I3331" i="11"/>
  <c r="I3491" i="11"/>
  <c r="I988" i="11"/>
  <c r="I1244" i="11"/>
  <c r="I1578" i="11"/>
  <c r="I3178" i="11"/>
  <c r="I3492" i="11"/>
  <c r="I1880" i="11"/>
  <c r="I2584" i="11"/>
  <c r="I1666" i="11"/>
  <c r="I2882" i="11"/>
  <c r="I1542" i="11"/>
  <c r="I2140" i="11"/>
  <c r="I2460" i="11"/>
  <c r="I3078" i="11"/>
  <c r="I3480" i="11"/>
  <c r="I2008" i="11"/>
  <c r="I2456" i="11"/>
  <c r="I813" i="11"/>
  <c r="I2050" i="11"/>
  <c r="I2946" i="11"/>
  <c r="I3270" i="11"/>
  <c r="I22" i="11"/>
  <c r="I54" i="11"/>
  <c r="I86" i="11"/>
  <c r="I118" i="11"/>
  <c r="I150" i="11"/>
  <c r="I182" i="11"/>
  <c r="I214" i="11"/>
  <c r="I246" i="11"/>
  <c r="I278" i="11"/>
  <c r="I326" i="11"/>
  <c r="I320" i="11"/>
  <c r="I288" i="11"/>
  <c r="I256" i="11"/>
  <c r="I224" i="11"/>
  <c r="I192" i="11"/>
  <c r="I160" i="11"/>
  <c r="I128" i="11"/>
  <c r="I96" i="11"/>
  <c r="I64" i="11"/>
  <c r="I32" i="11"/>
  <c r="I331" i="11"/>
  <c r="I299" i="11"/>
  <c r="I235" i="11"/>
  <c r="I203" i="11"/>
  <c r="I171" i="11"/>
  <c r="I139" i="11"/>
  <c r="I107" i="11"/>
  <c r="I75" i="11"/>
  <c r="I43" i="11"/>
  <c r="I11" i="11"/>
  <c r="I337" i="11"/>
  <c r="I129" i="11"/>
  <c r="I339" i="11"/>
  <c r="I425" i="11"/>
  <c r="I484" i="11"/>
  <c r="I532" i="11"/>
  <c r="I617" i="11"/>
  <c r="I1340" i="11"/>
  <c r="I1404" i="11"/>
  <c r="I1472" i="11"/>
  <c r="I1536" i="11"/>
  <c r="I1600" i="11"/>
  <c r="I1664" i="11"/>
  <c r="I1728" i="11"/>
  <c r="I1792" i="11"/>
  <c r="I1856" i="11"/>
  <c r="I1920" i="11"/>
  <c r="I1984" i="11"/>
  <c r="I2048" i="11"/>
  <c r="I2112" i="11"/>
  <c r="I2176" i="11"/>
  <c r="I2240" i="11"/>
  <c r="I2304" i="11"/>
  <c r="I2368" i="11"/>
  <c r="I2432" i="11"/>
  <c r="I2496" i="11"/>
  <c r="I2560" i="11"/>
  <c r="I2624" i="11"/>
  <c r="I2688" i="11"/>
  <c r="I2752" i="11"/>
  <c r="I2816" i="11"/>
  <c r="I2880" i="11"/>
  <c r="I2976" i="11"/>
  <c r="I3040" i="11"/>
  <c r="I3104" i="11"/>
  <c r="I3136" i="11"/>
  <c r="I113" i="11"/>
  <c r="I277" i="11"/>
  <c r="I352" i="11"/>
  <c r="I395" i="11"/>
  <c r="I437" i="11"/>
  <c r="I480" i="11"/>
  <c r="I523" i="11"/>
  <c r="I565" i="11"/>
  <c r="I608" i="11"/>
  <c r="I651" i="11"/>
  <c r="I693" i="11"/>
  <c r="I736" i="11"/>
  <c r="I779" i="11"/>
  <c r="I821" i="11"/>
  <c r="I864" i="11"/>
  <c r="I907" i="11"/>
  <c r="I949" i="11"/>
  <c r="I992" i="11"/>
  <c r="I1035" i="11"/>
  <c r="I1077" i="11"/>
  <c r="I1120" i="11"/>
  <c r="I1163" i="11"/>
  <c r="I1205" i="11"/>
  <c r="I1248" i="11"/>
  <c r="I1291" i="11"/>
  <c r="I1325" i="11"/>
  <c r="I1357" i="11"/>
  <c r="I1389" i="11"/>
  <c r="I1421" i="11"/>
  <c r="I1453" i="11"/>
  <c r="I1485" i="11"/>
  <c r="I1517" i="11"/>
  <c r="I1549" i="11"/>
  <c r="I1581" i="11"/>
  <c r="I1613" i="11"/>
  <c r="I1645" i="11"/>
  <c r="I1677" i="11"/>
  <c r="I1709" i="11"/>
  <c r="I1741" i="11"/>
  <c r="I1773" i="11"/>
  <c r="I1805" i="11"/>
  <c r="I1837" i="11"/>
  <c r="I1869" i="11"/>
  <c r="I1917" i="11"/>
  <c r="I1949" i="11"/>
  <c r="I1981" i="11"/>
  <c r="I2013" i="11"/>
  <c r="I2029" i="11"/>
  <c r="I2061" i="11"/>
  <c r="I2093" i="11"/>
  <c r="I2125" i="11"/>
  <c r="I2157" i="11"/>
  <c r="I2189" i="11"/>
  <c r="I2221" i="11"/>
  <c r="I2253" i="11"/>
  <c r="I2285" i="11"/>
  <c r="I2317" i="11"/>
  <c r="I2365" i="11"/>
  <c r="I2397" i="11"/>
  <c r="I2429" i="11"/>
  <c r="I2461" i="11"/>
  <c r="I2493" i="11"/>
  <c r="I2525" i="11"/>
  <c r="I2557" i="11"/>
  <c r="I2589" i="11"/>
  <c r="I2621" i="11"/>
  <c r="I2653" i="11"/>
  <c r="I2685" i="11"/>
  <c r="I2717" i="11"/>
  <c r="I2749" i="11"/>
  <c r="I2781" i="11"/>
  <c r="I2813" i="11"/>
  <c r="I2845" i="11"/>
  <c r="I2877" i="11"/>
  <c r="I2909" i="11"/>
  <c r="I2941" i="11"/>
  <c r="I2973" i="11"/>
  <c r="I3005" i="11"/>
  <c r="I3053" i="11"/>
  <c r="I3085" i="11"/>
  <c r="I3117" i="11"/>
  <c r="I3149" i="11"/>
  <c r="I3181" i="11"/>
  <c r="I3213" i="11"/>
  <c r="I3245" i="11"/>
  <c r="I3277" i="11"/>
  <c r="I3309" i="11"/>
  <c r="I3341" i="11"/>
  <c r="I3373" i="11"/>
  <c r="I3405" i="11"/>
  <c r="I3437" i="11"/>
  <c r="I3469" i="11"/>
  <c r="I3485" i="11"/>
  <c r="I1344" i="11"/>
  <c r="I1257" i="11"/>
  <c r="I1065" i="11"/>
  <c r="I349" i="11"/>
  <c r="I471" i="11"/>
  <c r="I605" i="11"/>
  <c r="I691" i="11"/>
  <c r="I776" i="11"/>
  <c r="I904" i="11"/>
  <c r="I947" i="11"/>
  <c r="I1075" i="11"/>
  <c r="I1117" i="11"/>
  <c r="I1203" i="11"/>
  <c r="I1288" i="11"/>
  <c r="I1718" i="11"/>
  <c r="I1846" i="11"/>
  <c r="I1974" i="11"/>
  <c r="I2486" i="11"/>
  <c r="I2742" i="11"/>
  <c r="I2870" i="11"/>
  <c r="I3126" i="11"/>
  <c r="I3254" i="11"/>
  <c r="I3408" i="11"/>
  <c r="I141" i="11"/>
  <c r="I429" i="11"/>
  <c r="I643" i="11"/>
  <c r="I892" i="11"/>
  <c r="I1112" i="11"/>
  <c r="I1297" i="11"/>
  <c r="I1410" i="11"/>
  <c r="I1586" i="11"/>
  <c r="I1703" i="11"/>
  <c r="I1874" i="11"/>
  <c r="I2028" i="11"/>
  <c r="I2130" i="11"/>
  <c r="I2231" i="11"/>
  <c r="I2386" i="11"/>
  <c r="I2503" i="11"/>
  <c r="I2636" i="11"/>
  <c r="I2695" i="11"/>
  <c r="I2807" i="11"/>
  <c r="I2930" i="11"/>
  <c r="I3079" i="11"/>
  <c r="I3207" i="11"/>
  <c r="I3378" i="11"/>
  <c r="I3415" i="11"/>
  <c r="I145" i="11"/>
  <c r="I417" i="11"/>
  <c r="I695" i="11"/>
  <c r="I829" i="11"/>
  <c r="I979" i="11"/>
  <c r="I1107" i="11"/>
  <c r="I1271" i="11"/>
  <c r="I1363" i="11"/>
  <c r="I1555" i="11"/>
  <c r="I1651" i="11"/>
  <c r="I1806" i="11"/>
  <c r="I1907" i="11"/>
  <c r="I2003" i="11"/>
  <c r="I2216" i="11"/>
  <c r="I2318" i="11"/>
  <c r="I2419" i="11"/>
  <c r="I2526" i="11"/>
  <c r="I2632" i="11"/>
  <c r="I2728" i="11"/>
  <c r="I2830" i="11"/>
  <c r="I2931" i="11"/>
  <c r="I3027" i="11"/>
  <c r="I3283" i="11"/>
  <c r="I3486" i="11"/>
  <c r="I325" i="11"/>
  <c r="I419" i="11"/>
  <c r="I504" i="11"/>
  <c r="I589" i="11"/>
  <c r="I675" i="11"/>
  <c r="I760" i="11"/>
  <c r="I845" i="11"/>
  <c r="I931" i="11"/>
  <c r="I1031" i="11"/>
  <c r="I1165" i="11"/>
  <c r="I1293" i="11"/>
  <c r="I1418" i="11"/>
  <c r="I1850" i="11"/>
  <c r="I2170" i="11"/>
  <c r="I2890" i="11"/>
  <c r="I3066" i="11"/>
  <c r="I3210" i="11"/>
  <c r="I3316" i="11"/>
  <c r="I408" i="11"/>
  <c r="I572" i="11"/>
  <c r="I764" i="11"/>
  <c r="I1020" i="11"/>
  <c r="I1191" i="11"/>
  <c r="I1415" i="11"/>
  <c r="I1463" i="11"/>
  <c r="I1559" i="11"/>
  <c r="I1708" i="11"/>
  <c r="I1847" i="11"/>
  <c r="I1975" i="11"/>
  <c r="I2092" i="11"/>
  <c r="I2258" i="11"/>
  <c r="I2359" i="11"/>
  <c r="I2508" i="11"/>
  <c r="I2631" i="11"/>
  <c r="I2764" i="11"/>
  <c r="I2892" i="11"/>
  <c r="I3020" i="11"/>
  <c r="I3148" i="11"/>
  <c r="I3212" i="11"/>
  <c r="I3340" i="11"/>
  <c r="I396" i="11"/>
  <c r="I545" i="11"/>
  <c r="I723" i="11"/>
  <c r="I929" i="11"/>
  <c r="I1036" i="11"/>
  <c r="I1207" i="11"/>
  <c r="I1347" i="11"/>
  <c r="I1438" i="11"/>
  <c r="I1539" i="11"/>
  <c r="I1747" i="11"/>
  <c r="I1955" i="11"/>
  <c r="I2062" i="11"/>
  <c r="I2211" i="11"/>
  <c r="I2312" i="11"/>
  <c r="I2467" i="11"/>
  <c r="I2611" i="11"/>
  <c r="I2771" i="11"/>
  <c r="I3038" i="11"/>
  <c r="I3139" i="11"/>
  <c r="I3240" i="11"/>
  <c r="I3342" i="11"/>
  <c r="I1037" i="11"/>
  <c r="I1272" i="11"/>
  <c r="I3398" i="11"/>
  <c r="I14" i="11"/>
  <c r="I30" i="11"/>
  <c r="I46" i="11"/>
  <c r="I62" i="11"/>
  <c r="I78" i="11"/>
  <c r="I94" i="11"/>
  <c r="I110" i="11"/>
  <c r="I126" i="11"/>
  <c r="I142" i="11"/>
  <c r="I158" i="11"/>
  <c r="I174" i="11"/>
  <c r="I190" i="11"/>
  <c r="I206" i="11"/>
  <c r="I222" i="11"/>
  <c r="I238" i="11"/>
  <c r="I254" i="11"/>
  <c r="I270" i="11"/>
  <c r="I286" i="11"/>
  <c r="I302" i="11"/>
  <c r="I318" i="11"/>
  <c r="I334" i="11"/>
  <c r="Q6" i="11"/>
  <c r="Q22" i="11"/>
  <c r="Q38" i="11"/>
  <c r="Q54" i="11"/>
  <c r="Q70" i="11"/>
  <c r="Q86" i="11"/>
  <c r="Q102" i="11"/>
  <c r="Q118" i="11"/>
  <c r="Q134" i="11"/>
  <c r="Q150" i="11"/>
  <c r="Q166" i="11"/>
  <c r="Q182" i="11"/>
  <c r="Q198" i="11"/>
  <c r="Q214" i="11"/>
  <c r="Q230" i="11"/>
  <c r="Q246" i="11"/>
  <c r="Q262" i="11"/>
  <c r="Q278" i="11"/>
  <c r="Q294" i="11"/>
  <c r="Q310" i="11"/>
  <c r="Q326" i="11"/>
  <c r="I323" i="11"/>
  <c r="I291" i="11"/>
  <c r="I275" i="11"/>
  <c r="I259" i="11"/>
  <c r="I243" i="11"/>
  <c r="I227" i="11"/>
  <c r="I195" i="11"/>
  <c r="I3" i="11"/>
  <c r="I378" i="11"/>
  <c r="I394" i="11"/>
  <c r="I442" i="11"/>
  <c r="I458" i="11"/>
  <c r="I1286" i="11"/>
  <c r="I1270" i="11"/>
  <c r="I1254" i="11"/>
  <c r="I1238" i="11"/>
  <c r="I1222" i="11"/>
  <c r="I1206" i="11"/>
  <c r="I1190" i="11"/>
  <c r="I1174" i="11"/>
  <c r="I1158" i="11"/>
  <c r="I1142" i="11"/>
  <c r="I1126" i="11"/>
  <c r="I1110" i="11"/>
  <c r="I1094" i="11"/>
  <c r="I1078" i="11"/>
  <c r="I1062" i="11"/>
  <c r="I1046" i="11"/>
  <c r="I1030" i="11"/>
  <c r="I1014" i="11"/>
  <c r="I998" i="11"/>
  <c r="I982" i="11"/>
  <c r="I966" i="11"/>
  <c r="I950" i="11"/>
  <c r="I934" i="11"/>
  <c r="I918" i="11"/>
  <c r="I902" i="11"/>
  <c r="I886" i="11"/>
  <c r="I870" i="11"/>
  <c r="I854" i="11"/>
  <c r="I838" i="11"/>
  <c r="I822" i="11"/>
  <c r="I806" i="11"/>
  <c r="I790" i="11"/>
  <c r="I774" i="11"/>
  <c r="I758" i="11"/>
  <c r="I742" i="11"/>
  <c r="I726" i="11"/>
  <c r="I710" i="11"/>
  <c r="I694" i="11"/>
  <c r="I678" i="11"/>
  <c r="I662" i="11"/>
  <c r="I646" i="11"/>
  <c r="I630" i="11"/>
  <c r="I614" i="11"/>
  <c r="I598" i="11"/>
  <c r="I582" i="11"/>
  <c r="I566" i="11"/>
  <c r="I550" i="11"/>
  <c r="I534" i="11"/>
  <c r="I518" i="11"/>
  <c r="I181" i="11"/>
  <c r="I117" i="11"/>
  <c r="I53" i="11"/>
  <c r="I1442" i="11"/>
  <c r="I1464" i="11"/>
  <c r="I1506" i="11"/>
  <c r="I1528" i="11"/>
  <c r="I1570" i="11"/>
  <c r="I1592" i="11"/>
  <c r="I1634" i="11"/>
  <c r="I1656" i="11"/>
  <c r="I1698" i="11"/>
  <c r="I1720" i="11"/>
  <c r="I1762" i="11"/>
  <c r="I1784" i="11"/>
  <c r="I1826" i="11"/>
  <c r="I1848" i="11"/>
  <c r="I1890" i="11"/>
  <c r="I1912" i="11"/>
  <c r="I1954" i="11"/>
  <c r="I1976" i="11"/>
  <c r="I2018" i="11"/>
  <c r="I2040" i="11"/>
  <c r="I2104" i="11"/>
  <c r="I2146" i="11"/>
  <c r="I2168" i="11"/>
  <c r="I2232" i="11"/>
  <c r="I2296" i="11"/>
  <c r="I2338" i="11"/>
  <c r="I2424" i="11"/>
  <c r="I2466" i="11"/>
  <c r="I2552" i="11"/>
  <c r="I2594" i="11"/>
  <c r="I2680" i="11"/>
  <c r="I2722" i="11"/>
  <c r="I2808" i="11"/>
  <c r="I2872" i="11"/>
  <c r="I2914" i="11"/>
  <c r="I2978" i="11"/>
  <c r="I3064" i="11"/>
  <c r="I3106" i="11"/>
  <c r="I3234" i="11"/>
  <c r="I664" i="11"/>
  <c r="I749" i="11"/>
  <c r="I792" i="11"/>
  <c r="I877" i="11"/>
  <c r="I920" i="11"/>
  <c r="I1005" i="11"/>
  <c r="I1446" i="11"/>
  <c r="I1468" i="11"/>
  <c r="I1510" i="11"/>
  <c r="I1532" i="11"/>
  <c r="I1574" i="11"/>
  <c r="I1596" i="11"/>
  <c r="I1638" i="11"/>
  <c r="I1660" i="11"/>
  <c r="I1702" i="11"/>
  <c r="I1724" i="11"/>
  <c r="I1766" i="11"/>
  <c r="I1788" i="11"/>
  <c r="I1830" i="11"/>
  <c r="I1852" i="11"/>
  <c r="I1894" i="11"/>
  <c r="I1916" i="11"/>
  <c r="I1958" i="11"/>
  <c r="I1980" i="11"/>
  <c r="I2022" i="11"/>
  <c r="I2044" i="11"/>
  <c r="I2086" i="11"/>
  <c r="I2108" i="11"/>
  <c r="I2150" i="11"/>
  <c r="I2172" i="11"/>
  <c r="I2214" i="11"/>
  <c r="I2236" i="11"/>
  <c r="I2278" i="11"/>
  <c r="I2342" i="11"/>
  <c r="I2364" i="11"/>
  <c r="I2406" i="11"/>
  <c r="I2428" i="11"/>
  <c r="I2470" i="11"/>
  <c r="I2492" i="11"/>
  <c r="I2534" i="11"/>
  <c r="I2556" i="11"/>
  <c r="I2598" i="11"/>
  <c r="I2620" i="11"/>
  <c r="I2662" i="11"/>
  <c r="I2684" i="11"/>
  <c r="I2726" i="11"/>
  <c r="I2748" i="11"/>
  <c r="I2790" i="11"/>
  <c r="I2812" i="11"/>
  <c r="I2854" i="11"/>
  <c r="I2876" i="11"/>
  <c r="I2918" i="11"/>
  <c r="I2940" i="11"/>
  <c r="I2982" i="11"/>
  <c r="I3004" i="11"/>
  <c r="I3046" i="11"/>
  <c r="I3068" i="11"/>
  <c r="I3110" i="11"/>
  <c r="I3132" i="11"/>
  <c r="I3174" i="11"/>
  <c r="I3196" i="11"/>
  <c r="I3238" i="11"/>
  <c r="I3260" i="11"/>
  <c r="I3302" i="11"/>
  <c r="I3324" i="11"/>
  <c r="I3366" i="11"/>
  <c r="I3388" i="11"/>
  <c r="I3430" i="11"/>
  <c r="I3452" i="11"/>
  <c r="I3494" i="11"/>
  <c r="I2082" i="11"/>
  <c r="I2210" i="11"/>
  <c r="I2274" i="11"/>
  <c r="I2360" i="11"/>
  <c r="I2402" i="11"/>
  <c r="I2488" i="11"/>
  <c r="I2530" i="11"/>
  <c r="I2616" i="11"/>
  <c r="I2658" i="11"/>
  <c r="I2744" i="11"/>
  <c r="I2786" i="11"/>
  <c r="I2850" i="11"/>
  <c r="I2936" i="11"/>
  <c r="I3000" i="11"/>
  <c r="I3042" i="11"/>
  <c r="I3128" i="11"/>
  <c r="I3170" i="11"/>
  <c r="I3298" i="11"/>
  <c r="I3362" i="11"/>
  <c r="I3426" i="11"/>
  <c r="I3490" i="11"/>
  <c r="I2300" i="11"/>
  <c r="I89" i="11"/>
  <c r="I173" i="11"/>
  <c r="I317" i="11"/>
  <c r="I356" i="11"/>
  <c r="I441" i="11"/>
  <c r="I500" i="11"/>
  <c r="I521" i="11"/>
  <c r="I564" i="11"/>
  <c r="I585" i="11"/>
  <c r="I628" i="11"/>
  <c r="I1324" i="11"/>
  <c r="I1356" i="11"/>
  <c r="I1388" i="11"/>
  <c r="I1420" i="11"/>
  <c r="I1488" i="11"/>
  <c r="I1552" i="11"/>
  <c r="I1616" i="11"/>
  <c r="I1680" i="11"/>
  <c r="I1744" i="11"/>
  <c r="I1808" i="11"/>
  <c r="I1872" i="11"/>
  <c r="I1936" i="11"/>
  <c r="I2000" i="11"/>
  <c r="I2064" i="11"/>
  <c r="I2128" i="11"/>
  <c r="I2192" i="11"/>
  <c r="I2256" i="11"/>
  <c r="I2320" i="11"/>
  <c r="I2384" i="11"/>
  <c r="I2448" i="11"/>
  <c r="I2512" i="11"/>
  <c r="I2576" i="11"/>
  <c r="I2640" i="11"/>
  <c r="I2704" i="11"/>
  <c r="I2768" i="11"/>
  <c r="I2832" i="11"/>
  <c r="I2896" i="11"/>
  <c r="I2960" i="11"/>
  <c r="I3024" i="11"/>
  <c r="I3088" i="11"/>
  <c r="I3152" i="11"/>
  <c r="I73" i="11"/>
  <c r="I157" i="11"/>
  <c r="I213" i="11"/>
  <c r="I257" i="11"/>
  <c r="I341" i="11"/>
  <c r="I363" i="11"/>
  <c r="I384" i="11"/>
  <c r="I405" i="11"/>
  <c r="I427" i="11"/>
  <c r="I448" i="11"/>
  <c r="I469" i="11"/>
  <c r="I491" i="11"/>
  <c r="I512" i="11"/>
  <c r="I533" i="11"/>
  <c r="I555" i="11"/>
  <c r="I576" i="11"/>
  <c r="I597" i="11"/>
  <c r="I619" i="11"/>
  <c r="I640" i="11"/>
  <c r="I661" i="11"/>
  <c r="I683" i="11"/>
  <c r="I704" i="11"/>
  <c r="I725" i="11"/>
  <c r="I747" i="11"/>
  <c r="I768" i="11"/>
  <c r="I789" i="11"/>
  <c r="I811" i="11"/>
  <c r="I832" i="11"/>
  <c r="I853" i="11"/>
  <c r="I875" i="11"/>
  <c r="I896" i="11"/>
  <c r="I917" i="11"/>
  <c r="I939" i="11"/>
  <c r="I960" i="11"/>
  <c r="I981" i="11"/>
  <c r="I1003" i="11"/>
  <c r="I1024" i="11"/>
  <c r="I1045" i="11"/>
  <c r="I1067" i="11"/>
  <c r="I1088" i="11"/>
  <c r="I1109" i="11"/>
  <c r="I1131" i="11"/>
  <c r="I1152" i="11"/>
  <c r="I1173" i="11"/>
  <c r="I1195" i="11"/>
  <c r="I1216" i="11"/>
  <c r="I1237" i="11"/>
  <c r="I1259" i="11"/>
  <c r="I1280" i="11"/>
  <c r="I1301" i="11"/>
  <c r="I1317" i="11"/>
  <c r="I1333" i="11"/>
  <c r="I1349" i="11"/>
  <c r="I1365" i="11"/>
  <c r="I1381" i="11"/>
  <c r="I1397" i="11"/>
  <c r="I1413" i="11"/>
  <c r="I1429" i="11"/>
  <c r="I1445" i="11"/>
  <c r="I1461" i="11"/>
  <c r="I1477" i="11"/>
  <c r="I1493" i="11"/>
  <c r="I1509" i="11"/>
  <c r="I1525" i="11"/>
  <c r="I1541" i="11"/>
  <c r="I1557" i="11"/>
  <c r="I1573" i="11"/>
  <c r="I1589" i="11"/>
  <c r="I1605" i="11"/>
  <c r="I1621" i="11"/>
  <c r="I1637" i="11"/>
  <c r="I1653" i="11"/>
  <c r="I1669" i="11"/>
  <c r="I1685" i="11"/>
  <c r="I1701" i="11"/>
  <c r="I1717" i="11"/>
  <c r="I1733" i="11"/>
  <c r="I1749" i="11"/>
  <c r="I1765" i="11"/>
  <c r="I1781" i="11"/>
  <c r="I1797" i="11"/>
  <c r="I1813" i="11"/>
  <c r="I1829" i="11"/>
  <c r="I1845" i="11"/>
  <c r="I1861" i="11"/>
  <c r="I1877" i="11"/>
  <c r="I1893" i="11"/>
  <c r="I1909" i="11"/>
  <c r="I1925" i="11"/>
  <c r="I1941" i="11"/>
  <c r="I1957" i="11"/>
  <c r="I1973" i="11"/>
  <c r="I1989" i="11"/>
  <c r="I2005" i="11"/>
  <c r="I2021" i="11"/>
  <c r="I2037" i="11"/>
  <c r="I2053" i="11"/>
  <c r="I2069" i="11"/>
  <c r="I2085" i="11"/>
  <c r="I2101" i="11"/>
  <c r="I2117" i="11"/>
  <c r="I2133" i="11"/>
  <c r="I2149" i="11"/>
  <c r="I2165" i="11"/>
  <c r="I2181" i="11"/>
  <c r="I2197" i="11"/>
  <c r="I2213" i="11"/>
  <c r="I2229" i="11"/>
  <c r="I2245" i="11"/>
  <c r="I2261" i="11"/>
  <c r="I2277" i="11"/>
  <c r="I2293" i="11"/>
  <c r="I2309" i="11"/>
  <c r="I2325" i="11"/>
  <c r="I2341" i="11"/>
  <c r="I2357" i="11"/>
  <c r="I2373" i="11"/>
  <c r="I2389" i="11"/>
  <c r="I2405" i="11"/>
  <c r="I2421" i="11"/>
  <c r="I2437" i="11"/>
  <c r="I2453" i="11"/>
  <c r="I2469" i="11"/>
  <c r="I2485" i="11"/>
  <c r="I2501" i="11"/>
  <c r="I2517" i="11"/>
  <c r="I2533" i="11"/>
  <c r="I2549" i="11"/>
  <c r="I2565" i="11"/>
  <c r="I2581" i="11"/>
  <c r="I2597" i="11"/>
  <c r="I2613" i="11"/>
  <c r="I2629" i="11"/>
  <c r="I2645" i="11"/>
  <c r="I2661" i="11"/>
  <c r="I2677" i="11"/>
  <c r="I2693" i="11"/>
  <c r="I2709" i="11"/>
  <c r="I2725" i="11"/>
  <c r="I2741" i="11"/>
  <c r="I2757" i="11"/>
  <c r="I2773" i="11"/>
  <c r="I2789" i="11"/>
  <c r="I2805" i="11"/>
  <c r="I2821" i="11"/>
  <c r="I2837" i="11"/>
  <c r="I2853" i="11"/>
  <c r="I2869" i="11"/>
  <c r="I2885" i="11"/>
  <c r="I2901" i="11"/>
  <c r="I2917" i="11"/>
  <c r="I2933" i="11"/>
  <c r="I2949" i="11"/>
  <c r="I2965" i="11"/>
  <c r="I2981" i="11"/>
  <c r="I2997" i="11"/>
  <c r="I3013" i="11"/>
  <c r="I3029" i="11"/>
  <c r="I3045" i="11"/>
  <c r="I3061" i="11"/>
  <c r="I3077" i="11"/>
  <c r="I3093" i="11"/>
  <c r="I3109" i="11"/>
  <c r="I3125" i="11"/>
  <c r="I3141" i="11"/>
  <c r="I3157" i="11"/>
  <c r="I3173" i="11"/>
  <c r="I3189" i="11"/>
  <c r="I3205" i="11"/>
  <c r="I3221" i="11"/>
  <c r="I3237" i="11"/>
  <c r="I3253" i="11"/>
  <c r="I3269" i="11"/>
  <c r="I3285" i="11"/>
  <c r="I3301" i="11"/>
  <c r="I3317" i="11"/>
  <c r="I3333" i="11"/>
  <c r="I3349" i="11"/>
  <c r="I3365" i="11"/>
  <c r="I3381" i="11"/>
  <c r="I3397" i="11"/>
  <c r="I3413" i="11"/>
  <c r="I3429" i="11"/>
  <c r="I3445" i="11"/>
  <c r="I3461" i="11"/>
  <c r="I3477" i="11"/>
  <c r="I3493" i="11"/>
  <c r="I1376" i="11"/>
  <c r="I1312" i="11"/>
  <c r="I1289" i="11"/>
  <c r="I1225" i="11"/>
  <c r="I1161" i="11"/>
  <c r="I1097" i="11"/>
  <c r="I1033" i="11"/>
  <c r="I371" i="11"/>
  <c r="I301" i="11"/>
  <c r="I385" i="11"/>
  <c r="I492" i="11"/>
  <c r="I541" i="11"/>
  <c r="I584" i="11"/>
  <c r="I669" i="11"/>
  <c r="I712" i="11"/>
  <c r="I797" i="11"/>
  <c r="I840" i="11"/>
  <c r="I925" i="11"/>
  <c r="I968" i="11"/>
  <c r="I1053" i="11"/>
  <c r="I1096" i="11"/>
  <c r="I1181" i="11"/>
  <c r="I1224" i="11"/>
  <c r="I1526" i="11"/>
  <c r="I1654" i="11"/>
  <c r="I1782" i="11"/>
  <c r="I1910" i="11"/>
  <c r="I2038" i="11"/>
  <c r="I2166" i="11"/>
  <c r="I2294" i="11"/>
  <c r="I2422" i="11"/>
  <c r="I2550" i="11"/>
  <c r="I2678" i="11"/>
  <c r="I2806" i="11"/>
  <c r="I2934" i="11"/>
  <c r="I3062" i="11"/>
  <c r="I3190" i="11"/>
  <c r="I3318" i="11"/>
  <c r="I3446" i="11"/>
  <c r="I261" i="11"/>
  <c r="I401" i="11"/>
  <c r="I600" i="11"/>
  <c r="I1240" i="11"/>
  <c r="I1452" i="11"/>
  <c r="I1548" i="11"/>
  <c r="I1618" i="11"/>
  <c r="I1772" i="11"/>
  <c r="I1836" i="11"/>
  <c r="I1900" i="11"/>
  <c r="I1964" i="11"/>
  <c r="I2066" i="11"/>
  <c r="I2156" i="11"/>
  <c r="I2284" i="11"/>
  <c r="I2348" i="11"/>
  <c r="I2482" i="11"/>
  <c r="I2674" i="11"/>
  <c r="I2956" i="11"/>
  <c r="I3442" i="11"/>
  <c r="I460" i="11"/>
  <c r="I524" i="11"/>
  <c r="I616" i="11"/>
  <c r="I716" i="11"/>
  <c r="I780" i="11"/>
  <c r="I865" i="11"/>
  <c r="I1000" i="11"/>
  <c r="I1057" i="11"/>
  <c r="I1149" i="11"/>
  <c r="I1336" i="11"/>
  <c r="I1480" i="11"/>
  <c r="I1832" i="11"/>
  <c r="I2344" i="11"/>
  <c r="I2760" i="11"/>
  <c r="I2856" i="11"/>
  <c r="I3112" i="11"/>
  <c r="I3208" i="11"/>
  <c r="I397" i="11"/>
  <c r="I440" i="11"/>
  <c r="I525" i="11"/>
  <c r="I568" i="11"/>
  <c r="I653" i="11"/>
  <c r="I696" i="11"/>
  <c r="I781" i="11"/>
  <c r="I824" i="11"/>
  <c r="I909" i="11"/>
  <c r="I952" i="11"/>
  <c r="I1009" i="11"/>
  <c r="I1137" i="11"/>
  <c r="I1201" i="11"/>
  <c r="I1265" i="11"/>
  <c r="I344" i="11"/>
  <c r="I529" i="11"/>
  <c r="I593" i="11"/>
  <c r="I700" i="11"/>
  <c r="I828" i="11"/>
  <c r="I956" i="11"/>
  <c r="I1084" i="11"/>
  <c r="I1148" i="11"/>
  <c r="I1233" i="11"/>
  <c r="I1378" i="11"/>
  <c r="I1490" i="11"/>
  <c r="I1682" i="11"/>
  <c r="I2002" i="11"/>
  <c r="I2220" i="11"/>
  <c r="I2412" i="11"/>
  <c r="I2546" i="11"/>
  <c r="I2610" i="11"/>
  <c r="I2738" i="11"/>
  <c r="I2796" i="11"/>
  <c r="I2866" i="11"/>
  <c r="I2994" i="11"/>
  <c r="I3058" i="11"/>
  <c r="I3122" i="11"/>
  <c r="I3186" i="11"/>
  <c r="I3250" i="11"/>
  <c r="I3314" i="11"/>
  <c r="I3404" i="11"/>
  <c r="I673" i="11"/>
  <c r="I737" i="11"/>
  <c r="I808" i="11"/>
  <c r="I972" i="11"/>
  <c r="I1164" i="11"/>
  <c r="I1249" i="11"/>
  <c r="I1368" i="11"/>
  <c r="I1512" i="11"/>
  <c r="I1672" i="11"/>
  <c r="I1928" i="11"/>
  <c r="I2088" i="11"/>
  <c r="I2184" i="11"/>
  <c r="I2440" i="11"/>
  <c r="I2696" i="11"/>
  <c r="I2952" i="11"/>
  <c r="I3368" i="11"/>
  <c r="I1101" i="11"/>
  <c r="I1208" i="11"/>
  <c r="I1752" i="11"/>
  <c r="I2392" i="11"/>
  <c r="I2968" i="11"/>
  <c r="I1474" i="11"/>
  <c r="I2114" i="11"/>
  <c r="I2754" i="11"/>
  <c r="I3292" i="11"/>
  <c r="I1500" i="11"/>
  <c r="I1798" i="11"/>
  <c r="I2076" i="11"/>
  <c r="I2396" i="11"/>
  <c r="I2652" i="11"/>
  <c r="I2972" i="11"/>
  <c r="I3334" i="11"/>
  <c r="I3416" i="11"/>
  <c r="I1496" i="11"/>
  <c r="I1944" i="11"/>
  <c r="I2328" i="11"/>
  <c r="I2776" i="11"/>
  <c r="I685" i="11"/>
  <c r="I1538" i="11"/>
  <c r="I1922" i="11"/>
  <c r="I2370" i="11"/>
  <c r="I2818" i="11"/>
  <c r="I3202" i="11"/>
  <c r="I3420" i="11"/>
  <c r="I1606" i="11"/>
  <c r="I1820" i="11"/>
  <c r="I2054" i="11"/>
  <c r="I2268" i="11"/>
  <c r="I2502" i="11"/>
  <c r="I2716" i="11"/>
  <c r="I2950" i="11"/>
  <c r="I3164" i="11"/>
  <c r="I3224" i="11"/>
  <c r="I3448" i="11"/>
  <c r="K2" i="11" a="1"/>
  <c r="J2" i="11" a="1"/>
  <c r="AJR60" i="3"/>
  <c r="AJR58" i="3"/>
  <c r="AFD25" i="3"/>
  <c r="AFD58" i="3"/>
  <c r="AHV60" i="3"/>
  <c r="AHV58" i="3"/>
  <c r="AKD60" i="3"/>
  <c r="AKD58" i="3"/>
  <c r="AHR60" i="3"/>
  <c r="AHR58" i="3"/>
  <c r="ACW25" i="3"/>
  <c r="ACW58" i="3"/>
  <c r="ALF58" i="3"/>
  <c r="ALF60" i="3"/>
  <c r="AIT58" i="3"/>
  <c r="AIT60" i="3"/>
  <c r="AFT25" i="3"/>
  <c r="AFT58" i="3"/>
  <c r="ALB58" i="3"/>
  <c r="ALB60" i="3"/>
  <c r="AIP58" i="3"/>
  <c r="AIP60" i="3"/>
  <c r="AFL58" i="3"/>
  <c r="AFL25" i="3"/>
  <c r="ALI60" i="3"/>
  <c r="ALI58" i="3"/>
  <c r="AKS60" i="3"/>
  <c r="AKS58" i="3"/>
  <c r="AKC60" i="3"/>
  <c r="AKC58" i="3"/>
  <c r="AJM60" i="3"/>
  <c r="AJM58" i="3"/>
  <c r="AIW60" i="3"/>
  <c r="AIW58" i="3"/>
  <c r="AIG60" i="3"/>
  <c r="AIG58" i="3"/>
  <c r="AHQ60" i="3"/>
  <c r="AHQ58" i="3"/>
  <c r="AGV60" i="3"/>
  <c r="AGV58" i="3"/>
  <c r="AFY25" i="3"/>
  <c r="AFY58" i="3"/>
  <c r="AES25" i="3"/>
  <c r="AES58" i="3"/>
  <c r="ACS25" i="3"/>
  <c r="ACS58" i="3"/>
  <c r="AAG25" i="3"/>
  <c r="AAG58" i="3"/>
  <c r="AKZ60" i="3"/>
  <c r="AKZ58" i="3"/>
  <c r="AKJ58" i="3"/>
  <c r="AKJ60" i="3"/>
  <c r="AJT60" i="3"/>
  <c r="AJT58" i="3"/>
  <c r="AJD60" i="3"/>
  <c r="AJD58" i="3"/>
  <c r="AIN58" i="3"/>
  <c r="AIN60" i="3"/>
  <c r="AHX58" i="3"/>
  <c r="AHX60" i="3"/>
  <c r="AHE58" i="3"/>
  <c r="AHE60" i="3"/>
  <c r="AGJ25" i="3"/>
  <c r="AGJ58" i="3"/>
  <c r="AFH58" i="3"/>
  <c r="AFH25" i="3"/>
  <c r="ADU58" i="3"/>
  <c r="ADU25" i="3"/>
  <c r="ABI58" i="3"/>
  <c r="ABI25" i="3"/>
  <c r="AGS58" i="3"/>
  <c r="AGS60" i="3"/>
  <c r="AFU25" i="3"/>
  <c r="AFU58" i="3"/>
  <c r="AEO25" i="3"/>
  <c r="AEO58" i="3"/>
  <c r="ACK58" i="3"/>
  <c r="ACK25" i="3"/>
  <c r="ZY58" i="3"/>
  <c r="ZY25" i="3"/>
  <c r="AEB58" i="3"/>
  <c r="AEB25" i="3"/>
  <c r="ADL58" i="3"/>
  <c r="ADL25" i="3"/>
  <c r="ACV58" i="3"/>
  <c r="ACV25" i="3"/>
  <c r="ACF58" i="3"/>
  <c r="ACF25" i="3"/>
  <c r="ABP58" i="3"/>
  <c r="ABP25" i="3"/>
  <c r="AAZ58" i="3"/>
  <c r="AAZ25" i="3"/>
  <c r="AAJ58" i="3"/>
  <c r="AAJ25" i="3"/>
  <c r="ZT58" i="3"/>
  <c r="ZT25" i="3" s="1"/>
  <c r="AHB58" i="3"/>
  <c r="AHB60" i="3"/>
  <c r="AGL58" i="3"/>
  <c r="AGL25" i="3"/>
  <c r="AFV58" i="3"/>
  <c r="AFV25" i="3"/>
  <c r="AFF58" i="3"/>
  <c r="AFF25" i="3"/>
  <c r="AEP58" i="3"/>
  <c r="AEP25" i="3"/>
  <c r="ADZ58" i="3"/>
  <c r="ADZ25" i="3"/>
  <c r="ADJ58" i="3"/>
  <c r="ADJ25" i="3"/>
  <c r="ACT58" i="3"/>
  <c r="ACT25" i="3"/>
  <c r="ACD58" i="3"/>
  <c r="ACD25" i="3"/>
  <c r="ABN58" i="3"/>
  <c r="ABN25" i="3"/>
  <c r="AAX58" i="3"/>
  <c r="AAX25" i="3"/>
  <c r="AAH58" i="3"/>
  <c r="AAH25" i="3"/>
  <c r="ZR58" i="3"/>
  <c r="ZR25" i="3" s="1"/>
  <c r="AGG58" i="3"/>
  <c r="AGG25" i="3"/>
  <c r="ABA25" i="3"/>
  <c r="ABA58" i="3"/>
  <c r="ADM25" i="3"/>
  <c r="ADM58" i="3"/>
  <c r="AJN58" i="3"/>
  <c r="AJN60" i="3"/>
  <c r="AGW60" i="3"/>
  <c r="AGW58" i="3"/>
  <c r="AAK25" i="3"/>
  <c r="AAK58" i="3"/>
  <c r="AKP58" i="3"/>
  <c r="AKP60" i="3"/>
  <c r="AID58" i="3"/>
  <c r="AID60" i="3"/>
  <c r="AEN25" i="3"/>
  <c r="AEN58" i="3"/>
  <c r="AKL58" i="3"/>
  <c r="AKL60" i="3"/>
  <c r="AHZ58" i="3"/>
  <c r="AHZ60" i="3"/>
  <c r="AEC25" i="3"/>
  <c r="AEC58" i="3"/>
  <c r="ALE58" i="3"/>
  <c r="ALE60" i="3"/>
  <c r="AKO60" i="3"/>
  <c r="AKO58" i="3"/>
  <c r="AJY58" i="3"/>
  <c r="AJY60" i="3"/>
  <c r="AJI58" i="3"/>
  <c r="AJI60" i="3"/>
  <c r="AIS60" i="3"/>
  <c r="AIS58" i="3"/>
  <c r="AIC60" i="3"/>
  <c r="AIC58" i="3"/>
  <c r="AHL60" i="3"/>
  <c r="AHL58" i="3"/>
  <c r="AFQ58" i="3"/>
  <c r="AFQ25" i="3"/>
  <c r="AEK58" i="3"/>
  <c r="AEK25" i="3"/>
  <c r="ACC25" i="3"/>
  <c r="ACC58" i="3"/>
  <c r="ZQ58" i="3"/>
  <c r="ZQ25" i="3" s="1"/>
  <c r="ALL58" i="3"/>
  <c r="ALL60" i="3"/>
  <c r="AKV58" i="3"/>
  <c r="AKV60" i="3"/>
  <c r="AKF58" i="3"/>
  <c r="AKF60" i="3"/>
  <c r="AJP58" i="3"/>
  <c r="AJP60" i="3"/>
  <c r="AIZ58" i="3"/>
  <c r="AIZ60" i="3"/>
  <c r="AIJ58" i="3"/>
  <c r="AIJ60" i="3"/>
  <c r="AHT58" i="3"/>
  <c r="AHT60" i="3"/>
  <c r="AGZ58" i="3"/>
  <c r="AGZ60" i="3"/>
  <c r="AEZ25" i="3"/>
  <c r="AEZ58" i="3"/>
  <c r="ADE58" i="3"/>
  <c r="ADE25" i="3"/>
  <c r="AAS58" i="3"/>
  <c r="AAS25" i="3"/>
  <c r="AHI58" i="3"/>
  <c r="AHI60" i="3"/>
  <c r="AGN58" i="3"/>
  <c r="AGN25" i="3"/>
  <c r="AFM58" i="3"/>
  <c r="AFM25" i="3"/>
  <c r="AEG58" i="3"/>
  <c r="AEG25" i="3"/>
  <c r="ABU58" i="3"/>
  <c r="ABU25" i="3"/>
  <c r="ADX25" i="3"/>
  <c r="ADX58" i="3"/>
  <c r="ADH25" i="3"/>
  <c r="ADH58" i="3"/>
  <c r="ACR25" i="3"/>
  <c r="ACR58" i="3"/>
  <c r="ACB25" i="3"/>
  <c r="ACB58" i="3"/>
  <c r="ABL25" i="3"/>
  <c r="ABL58" i="3"/>
  <c r="AAV25" i="3"/>
  <c r="AAV58" i="3"/>
  <c r="AAF25" i="3"/>
  <c r="AAF58" i="3"/>
  <c r="ZP58" i="3"/>
  <c r="AHN58" i="3"/>
  <c r="AHN60" i="3"/>
  <c r="AGX58" i="3"/>
  <c r="AGX60" i="3"/>
  <c r="AGH58" i="3"/>
  <c r="AGH25" i="3"/>
  <c r="AFR58" i="3"/>
  <c r="AFR25" i="3"/>
  <c r="AFB58" i="3"/>
  <c r="AFB25" i="3"/>
  <c r="AEL58" i="3"/>
  <c r="AEL25" i="3"/>
  <c r="ADV58" i="3"/>
  <c r="ADV25" i="3"/>
  <c r="ADF58" i="3"/>
  <c r="ADF25" i="3"/>
  <c r="ACP58" i="3"/>
  <c r="ACP25" i="3"/>
  <c r="ABZ58" i="3"/>
  <c r="ABZ25" i="3"/>
  <c r="ABJ58" i="3"/>
  <c r="ABJ25" i="3"/>
  <c r="AAT58" i="3"/>
  <c r="AAT25" i="3"/>
  <c r="AAD58" i="3"/>
  <c r="AAD25" i="3"/>
  <c r="ZN58" i="3"/>
  <c r="AJB60" i="3"/>
  <c r="AJB58" i="3"/>
  <c r="AKX60" i="3"/>
  <c r="AKX58" i="3"/>
  <c r="ALJ60" i="3"/>
  <c r="ALJ58" i="3"/>
  <c r="AIX58" i="3"/>
  <c r="AIX60" i="3"/>
  <c r="AGB58" i="3"/>
  <c r="AGB25" i="3"/>
  <c r="AJZ58" i="3"/>
  <c r="AJZ60" i="3"/>
  <c r="AHM58" i="3"/>
  <c r="AHM60" i="3"/>
  <c r="ACG25" i="3"/>
  <c r="ACG58" i="3"/>
  <c r="AJV58" i="3"/>
  <c r="AJV60" i="3"/>
  <c r="AHH60" i="3"/>
  <c r="AHH58" i="3"/>
  <c r="ABQ25" i="3"/>
  <c r="ABQ58" i="3"/>
  <c r="ALA58" i="3"/>
  <c r="ALA60" i="3"/>
  <c r="AKK58" i="3"/>
  <c r="AKK60" i="3"/>
  <c r="AJU58" i="3"/>
  <c r="AJU60" i="3"/>
  <c r="AJE58" i="3"/>
  <c r="AJE60" i="3"/>
  <c r="AIO58" i="3"/>
  <c r="AIO60" i="3"/>
  <c r="AHY58" i="3"/>
  <c r="AHY60" i="3"/>
  <c r="AGK25" i="3"/>
  <c r="AGK58" i="3"/>
  <c r="AFI25" i="3"/>
  <c r="AFI58" i="3"/>
  <c r="ADY25" i="3"/>
  <c r="ADY58" i="3"/>
  <c r="ABM25" i="3"/>
  <c r="ABM58" i="3"/>
  <c r="ALH58" i="3"/>
  <c r="ALH60" i="3"/>
  <c r="AKR58" i="3"/>
  <c r="AKR60" i="3"/>
  <c r="AKB58" i="3"/>
  <c r="AKB60" i="3"/>
  <c r="AJL58" i="3"/>
  <c r="AJL60" i="3"/>
  <c r="AIV58" i="3"/>
  <c r="AIV60" i="3"/>
  <c r="AIF58" i="3"/>
  <c r="AIF60" i="3"/>
  <c r="AHP58" i="3"/>
  <c r="AHP60" i="3"/>
  <c r="AFX58" i="3"/>
  <c r="AFX25" i="3"/>
  <c r="AER58" i="3"/>
  <c r="AER25" i="3"/>
  <c r="ACO58" i="3"/>
  <c r="ACO25" i="3"/>
  <c r="AAC58" i="3"/>
  <c r="AAC25" i="3"/>
  <c r="AHD58" i="3"/>
  <c r="AHD60" i="3"/>
  <c r="AFE25" i="3"/>
  <c r="AFE58" i="3"/>
  <c r="ADQ58" i="3"/>
  <c r="ADQ25" i="3"/>
  <c r="ABE58" i="3"/>
  <c r="ABE25" i="3"/>
  <c r="ADT25" i="3"/>
  <c r="ADT58" i="3"/>
  <c r="ADD25" i="3"/>
  <c r="ADD58" i="3"/>
  <c r="ACN25" i="3"/>
  <c r="ACN58" i="3"/>
  <c r="ABX25" i="3"/>
  <c r="ABX58" i="3"/>
  <c r="ABH25" i="3"/>
  <c r="ABH58" i="3"/>
  <c r="AAR25" i="3"/>
  <c r="AAR58" i="3"/>
  <c r="AAB25" i="3"/>
  <c r="AAB58" i="3"/>
  <c r="ZL58" i="3"/>
  <c r="AHJ58" i="3"/>
  <c r="AHJ60" i="3"/>
  <c r="AGT58" i="3"/>
  <c r="AGT60" i="3"/>
  <c r="AGD25" i="3"/>
  <c r="AGD58" i="3"/>
  <c r="AFN25" i="3"/>
  <c r="AFN58" i="3"/>
  <c r="AEX25" i="3"/>
  <c r="AEX58" i="3"/>
  <c r="AEH25" i="3"/>
  <c r="AEH58" i="3"/>
  <c r="ADR25" i="3"/>
  <c r="ADR58" i="3"/>
  <c r="ADB25" i="3"/>
  <c r="ADB58" i="3"/>
  <c r="ACL25" i="3"/>
  <c r="ACL58" i="3"/>
  <c r="ABV25" i="3"/>
  <c r="ABV58" i="3"/>
  <c r="ABF25" i="3"/>
  <c r="ABF58" i="3"/>
  <c r="AAP25" i="3"/>
  <c r="AAP58" i="3"/>
  <c r="ZZ25" i="3"/>
  <c r="ZZ58" i="3"/>
  <c r="AIL60" i="3"/>
  <c r="AIL58" i="3"/>
  <c r="AKH60" i="3"/>
  <c r="AKH58" i="3"/>
  <c r="AKT60" i="3"/>
  <c r="AKT58" i="3"/>
  <c r="AIH58" i="3"/>
  <c r="AIH60" i="3"/>
  <c r="AEV58" i="3"/>
  <c r="AEV25" i="3"/>
  <c r="AJJ58" i="3"/>
  <c r="AJJ60" i="3"/>
  <c r="AGR58" i="3"/>
  <c r="AGR60" i="3"/>
  <c r="ZU58" i="3"/>
  <c r="ZU25" i="3" s="1"/>
  <c r="AJF58" i="3"/>
  <c r="AJF60" i="3"/>
  <c r="ALM58" i="3"/>
  <c r="ALM60" i="3"/>
  <c r="AKW58" i="3"/>
  <c r="AKW60" i="3"/>
  <c r="AKG58" i="3"/>
  <c r="AKG60" i="3"/>
  <c r="AJQ58" i="3"/>
  <c r="AJQ60" i="3"/>
  <c r="AJA58" i="3"/>
  <c r="AJA60" i="3"/>
  <c r="AIK58" i="3"/>
  <c r="AIK60" i="3"/>
  <c r="AHU58" i="3"/>
  <c r="AHU60" i="3"/>
  <c r="AHA60" i="3"/>
  <c r="AHA58" i="3"/>
  <c r="AGF25" i="3"/>
  <c r="AGF58" i="3"/>
  <c r="AFA58" i="3"/>
  <c r="AFA25" i="3"/>
  <c r="ADI25" i="3"/>
  <c r="ADI58" i="3"/>
  <c r="AAW25" i="3"/>
  <c r="AAW58" i="3"/>
  <c r="ALD60" i="3"/>
  <c r="ALD58" i="3"/>
  <c r="AKN60" i="3"/>
  <c r="AKN58" i="3"/>
  <c r="AJX60" i="3"/>
  <c r="AJX58" i="3"/>
  <c r="AJH60" i="3"/>
  <c r="AJH58" i="3"/>
  <c r="AIR60" i="3"/>
  <c r="AIR58" i="3"/>
  <c r="AIB60" i="3"/>
  <c r="AIB58" i="3"/>
  <c r="AGO25" i="3"/>
  <c r="AGO58" i="3"/>
  <c r="AFP25" i="3"/>
  <c r="AFP58" i="3"/>
  <c r="AEJ25" i="3"/>
  <c r="AEJ58" i="3"/>
  <c r="ABY58" i="3"/>
  <c r="ABY25" i="3"/>
  <c r="ZM58" i="3"/>
  <c r="AGC58" i="3"/>
  <c r="AGC25" i="3"/>
  <c r="AEW58" i="3"/>
  <c r="AEW25" i="3"/>
  <c r="ADA58" i="3"/>
  <c r="ADA25" i="3"/>
  <c r="AAO58" i="3"/>
  <c r="AAO25" i="3"/>
  <c r="AEF58" i="3"/>
  <c r="AEF25" i="3"/>
  <c r="ADP58" i="3"/>
  <c r="ADP25" i="3"/>
  <c r="ACZ58" i="3"/>
  <c r="ACZ25" i="3"/>
  <c r="ACJ58" i="3"/>
  <c r="ACJ25" i="3"/>
  <c r="ABT58" i="3"/>
  <c r="ABT25" i="3"/>
  <c r="ABD58" i="3"/>
  <c r="ABD25" i="3"/>
  <c r="AAN58" i="3"/>
  <c r="AAN25" i="3"/>
  <c r="ZX58" i="3"/>
  <c r="ZX25" i="3"/>
  <c r="AHF60" i="3"/>
  <c r="AHF58" i="3"/>
  <c r="AGP60" i="3"/>
  <c r="AGP58" i="3"/>
  <c r="AFZ25" i="3"/>
  <c r="AFZ58" i="3"/>
  <c r="AFJ25" i="3"/>
  <c r="AFJ58" i="3"/>
  <c r="AET25" i="3"/>
  <c r="AET58" i="3"/>
  <c r="AED25" i="3"/>
  <c r="AED58" i="3"/>
  <c r="ADN25" i="3"/>
  <c r="ADN58" i="3"/>
  <c r="ACX25" i="3"/>
  <c r="ACX58" i="3"/>
  <c r="ACH25" i="3"/>
  <c r="ACH58" i="3"/>
  <c r="ABR25" i="3"/>
  <c r="ABR58" i="3"/>
  <c r="ABB25" i="3"/>
  <c r="ABB58" i="3"/>
  <c r="AAL25" i="3"/>
  <c r="AAL58" i="3"/>
  <c r="ZV58" i="3"/>
  <c r="ZV25" i="3" s="1"/>
  <c r="Q1866" i="11" l="1"/>
  <c r="Q1930" i="11"/>
  <c r="Q2026" i="11"/>
  <c r="Q2122" i="11"/>
  <c r="Q2186" i="11"/>
  <c r="Q2282" i="11"/>
  <c r="Q203" i="11"/>
  <c r="Q288" i="11"/>
  <c r="Q639" i="11"/>
  <c r="Q511" i="11"/>
  <c r="Q3450" i="11"/>
  <c r="Q3386" i="11"/>
  <c r="Q3322" i="11"/>
  <c r="Q3258" i="11"/>
  <c r="Q3194" i="11"/>
  <c r="Q3130" i="11"/>
  <c r="Q3066" i="11"/>
  <c r="Q3002" i="11"/>
  <c r="Q2938" i="11"/>
  <c r="Q2874" i="11"/>
  <c r="Q2810" i="11"/>
  <c r="Q2730" i="11"/>
  <c r="Q2666" i="11"/>
  <c r="Q2602" i="11"/>
  <c r="Q2538" i="11"/>
  <c r="Q2474" i="11"/>
  <c r="Q2410" i="11"/>
  <c r="Q2293" i="11"/>
  <c r="Q2187" i="11"/>
  <c r="Q2080" i="11"/>
  <c r="Q1952" i="11"/>
  <c r="Q1845" i="11"/>
  <c r="Q1739" i="11"/>
  <c r="Q1611" i="11"/>
  <c r="Q1504" i="11"/>
  <c r="Q1397" i="11"/>
  <c r="Q1269" i="11"/>
  <c r="Q1163" i="11"/>
  <c r="Q1056" i="11"/>
  <c r="Q928" i="11"/>
  <c r="Q821" i="11"/>
  <c r="Q715" i="11"/>
  <c r="Q587" i="11"/>
  <c r="Q480" i="11"/>
  <c r="Q352" i="11"/>
  <c r="Q49" i="11"/>
  <c r="Q398" i="11"/>
  <c r="Q574" i="11"/>
  <c r="Q702" i="11"/>
  <c r="Q910" i="11"/>
  <c r="Q1070" i="11"/>
  <c r="Q1246" i="11"/>
  <c r="Q1422" i="11"/>
  <c r="Q1710" i="11"/>
  <c r="Q2046" i="11"/>
  <c r="Q121" i="11"/>
  <c r="Q433" i="11"/>
  <c r="Q1087" i="11"/>
  <c r="Q3430" i="11"/>
  <c r="Q3174" i="11"/>
  <c r="Q2918" i="11"/>
  <c r="Q2662" i="11"/>
  <c r="Q2406" i="11"/>
  <c r="Q2075" i="11"/>
  <c r="Q1733" i="11"/>
  <c r="Q1392" i="11"/>
  <c r="Q1051" i="11"/>
  <c r="Q709" i="11"/>
  <c r="Q368" i="11"/>
  <c r="Q418" i="11"/>
  <c r="Q690" i="11"/>
  <c r="Q962" i="11"/>
  <c r="Q1234" i="11"/>
  <c r="Q1506" i="11"/>
  <c r="Q1778" i="11"/>
  <c r="Q2050" i="11"/>
  <c r="Q2322" i="11"/>
  <c r="Q257" i="11"/>
  <c r="Q3250" i="11"/>
  <c r="Q2610" i="11"/>
  <c r="Q1728" i="11"/>
  <c r="Q486" i="11"/>
  <c r="Q264" i="11"/>
  <c r="Q2118" i="11"/>
  <c r="Q115" i="11"/>
  <c r="Q430" i="11"/>
  <c r="Q606" i="11"/>
  <c r="Q734" i="11"/>
  <c r="Q942" i="11"/>
  <c r="Q1150" i="11"/>
  <c r="Q1294" i="11"/>
  <c r="Q1454" i="11"/>
  <c r="Q1790" i="11"/>
  <c r="Q2158" i="11"/>
  <c r="Q388" i="11"/>
  <c r="Q660" i="11"/>
  <c r="Q1229" i="11"/>
  <c r="Q3366" i="11"/>
  <c r="Q3110" i="11"/>
  <c r="Q2854" i="11"/>
  <c r="Q2598" i="11"/>
  <c r="Q2331" i="11"/>
  <c r="Q1989" i="11"/>
  <c r="Q1648" i="11"/>
  <c r="Q1307" i="11"/>
  <c r="Q965" i="11"/>
  <c r="Q624" i="11"/>
  <c r="Q113" i="11"/>
  <c r="Q482" i="11"/>
  <c r="Q754" i="11"/>
  <c r="Q1026" i="11"/>
  <c r="Q1298" i="11"/>
  <c r="Q1570" i="11"/>
  <c r="Q1842" i="11"/>
  <c r="Q2114" i="11"/>
  <c r="Q208" i="11"/>
  <c r="Q3490" i="11"/>
  <c r="Q3122" i="11"/>
  <c r="Q2482" i="11"/>
  <c r="Q1472" i="11"/>
  <c r="Q742" i="11"/>
  <c r="Q1350" i="11"/>
  <c r="Q2374" i="11"/>
  <c r="Q8" i="11"/>
  <c r="Q1834" i="11"/>
  <c r="Q1898" i="11"/>
  <c r="Q1962" i="11"/>
  <c r="Q2090" i="11"/>
  <c r="Q2154" i="11"/>
  <c r="Q2218" i="11"/>
  <c r="Q2346" i="11"/>
  <c r="Q171" i="11"/>
  <c r="Q224" i="11"/>
  <c r="Q591" i="11"/>
  <c r="Q3482" i="11"/>
  <c r="Q3418" i="11"/>
  <c r="Q3354" i="11"/>
  <c r="Q3290" i="11"/>
  <c r="Q3226" i="11"/>
  <c r="Q3162" i="11"/>
  <c r="Q3098" i="11"/>
  <c r="Q3034" i="11"/>
  <c r="Q2970" i="11"/>
  <c r="Q2906" i="11"/>
  <c r="Q2842" i="11"/>
  <c r="Q2762" i="11"/>
  <c r="Q2698" i="11"/>
  <c r="Q2634" i="11"/>
  <c r="Q2570" i="11"/>
  <c r="Q2506" i="11"/>
  <c r="Q2442" i="11"/>
  <c r="Q2357" i="11"/>
  <c r="Q2251" i="11"/>
  <c r="Q2123" i="11"/>
  <c r="Q2016" i="11"/>
  <c r="Q1909" i="11"/>
  <c r="Q1781" i="11"/>
  <c r="Q1675" i="11"/>
  <c r="Q1568" i="11"/>
  <c r="Q1440" i="11"/>
  <c r="Q1333" i="11"/>
  <c r="Q1227" i="11"/>
  <c r="Q1099" i="11"/>
  <c r="Q992" i="11"/>
  <c r="Q885" i="11"/>
  <c r="Q757" i="11"/>
  <c r="Q651" i="11"/>
  <c r="Q544" i="11"/>
  <c r="Q416" i="11"/>
  <c r="Q271" i="11"/>
  <c r="Q289" i="11"/>
  <c r="Q462" i="11"/>
  <c r="Q638" i="11"/>
  <c r="Q798" i="11"/>
  <c r="Q974" i="11"/>
  <c r="Q1182" i="11"/>
  <c r="Q1342" i="11"/>
  <c r="Q1518" i="11"/>
  <c r="Q1902" i="11"/>
  <c r="Q2222" i="11"/>
  <c r="Q616" i="11"/>
  <c r="Q831" i="11"/>
  <c r="Q1400" i="11"/>
  <c r="Q3302" i="11"/>
  <c r="Q3046" i="11"/>
  <c r="Q2790" i="11"/>
  <c r="Q2534" i="11"/>
  <c r="Q2245" i="11"/>
  <c r="Q1904" i="11"/>
  <c r="Q1563" i="11"/>
  <c r="Q1221" i="11"/>
  <c r="Q880" i="11"/>
  <c r="Q539" i="11"/>
  <c r="Q141" i="11"/>
  <c r="Q546" i="11"/>
  <c r="Q818" i="11"/>
  <c r="Q1090" i="11"/>
  <c r="Q1362" i="11"/>
  <c r="Q1650" i="11"/>
  <c r="Q1922" i="11"/>
  <c r="Q2194" i="11"/>
  <c r="Q144" i="11"/>
  <c r="Q3410" i="11"/>
  <c r="Q2930" i="11"/>
  <c r="Q2261" i="11"/>
  <c r="Q1088" i="11"/>
  <c r="Q998" i="11"/>
  <c r="Q1606" i="11"/>
  <c r="Q92" i="11"/>
  <c r="I2474" i="11"/>
  <c r="I2730" i="11"/>
  <c r="I2986" i="11"/>
  <c r="I3264" i="11"/>
  <c r="I3434" i="11"/>
  <c r="I3384" i="11"/>
  <c r="I463" i="11"/>
  <c r="I639" i="11"/>
  <c r="I799" i="11"/>
  <c r="I943" i="11"/>
  <c r="I1071" i="11"/>
  <c r="I1215" i="11"/>
  <c r="I1359" i="11"/>
  <c r="I1487" i="11"/>
  <c r="I1615" i="11"/>
  <c r="I1743" i="11"/>
  <c r="I1871" i="11"/>
  <c r="I1999" i="11"/>
  <c r="I2127" i="11"/>
  <c r="I2255" i="11"/>
  <c r="I2383" i="11"/>
  <c r="I2511" i="11"/>
  <c r="I2639" i="11"/>
  <c r="I2751" i="11"/>
  <c r="I2911" i="11"/>
  <c r="I3055" i="11"/>
  <c r="I3167" i="11"/>
  <c r="I3311" i="11"/>
  <c r="I3439" i="11"/>
  <c r="I452" i="11"/>
  <c r="I772" i="11"/>
  <c r="I1156" i="11"/>
  <c r="I1518" i="11"/>
  <c r="I1796" i="11"/>
  <c r="I2116" i="11"/>
  <c r="I2372" i="11"/>
  <c r="I2734" i="11"/>
  <c r="I2990" i="11"/>
  <c r="I3310" i="11"/>
  <c r="I410" i="11"/>
  <c r="I1626" i="11"/>
  <c r="I1904" i="11"/>
  <c r="I2160" i="11"/>
  <c r="I2458" i="11"/>
  <c r="I2736" i="11"/>
  <c r="I3034" i="11"/>
  <c r="I3312" i="11"/>
  <c r="I71" i="11"/>
  <c r="I250" i="11"/>
  <c r="I26" i="11"/>
  <c r="I451" i="11"/>
  <c r="I659" i="11"/>
  <c r="I963" i="11"/>
  <c r="I1267" i="11"/>
  <c r="I1571" i="11"/>
  <c r="I387" i="11"/>
  <c r="I595" i="11"/>
  <c r="I851" i="11"/>
  <c r="I1187" i="11"/>
  <c r="I1427" i="11"/>
  <c r="I1779" i="11"/>
  <c r="I2035" i="11"/>
  <c r="I2275" i="11"/>
  <c r="I2547" i="11"/>
  <c r="I2835" i="11"/>
  <c r="I3043" i="11"/>
  <c r="I3251" i="11"/>
  <c r="I3411" i="11"/>
  <c r="I1374" i="11"/>
  <c r="I2142" i="11"/>
  <c r="I2910" i="11"/>
  <c r="I3444" i="11"/>
  <c r="I1866" i="11"/>
  <c r="I2442" i="11"/>
  <c r="I3274" i="11"/>
  <c r="I140" i="11"/>
  <c r="I67" i="11"/>
  <c r="I268" i="11"/>
  <c r="I108" i="11"/>
  <c r="I131" i="11"/>
  <c r="I231" i="11"/>
  <c r="I332" i="11"/>
  <c r="I156" i="11"/>
  <c r="I179" i="11"/>
  <c r="I19" i="11"/>
  <c r="I2798" i="11"/>
  <c r="I3076" i="11"/>
  <c r="I3374" i="11"/>
  <c r="I1306" i="11"/>
  <c r="I1690" i="11"/>
  <c r="I1968" i="11"/>
  <c r="I2224" i="11"/>
  <c r="I2544" i="11"/>
  <c r="I2842" i="11"/>
  <c r="I3120" i="11"/>
  <c r="I3376" i="11"/>
  <c r="I39" i="11"/>
  <c r="I186" i="11"/>
  <c r="I209" i="11"/>
  <c r="I499" i="11"/>
  <c r="I739" i="11"/>
  <c r="I1043" i="11"/>
  <c r="I1315" i="11"/>
  <c r="I1635" i="11"/>
  <c r="I435" i="11"/>
  <c r="I627" i="11"/>
  <c r="I915" i="11"/>
  <c r="I1251" i="11"/>
  <c r="I1619" i="11"/>
  <c r="I1827" i="11"/>
  <c r="I2067" i="11"/>
  <c r="I2323" i="11"/>
  <c r="I2643" i="11"/>
  <c r="I2851" i="11"/>
  <c r="I3091" i="11"/>
  <c r="I3299" i="11"/>
  <c r="I3443" i="11"/>
  <c r="I1566" i="11"/>
  <c r="I2398" i="11"/>
  <c r="I3166" i="11"/>
  <c r="I41" i="11"/>
  <c r="I2186" i="11"/>
  <c r="I2570" i="11"/>
  <c r="I3360" i="11"/>
  <c r="I92" i="11"/>
  <c r="I506" i="11"/>
  <c r="I252" i="11"/>
  <c r="I60" i="11"/>
  <c r="I83" i="11"/>
  <c r="I263" i="11"/>
  <c r="I284" i="11"/>
  <c r="I124" i="11"/>
  <c r="Q3413" i="11"/>
  <c r="Q3065" i="11"/>
  <c r="Q3331" i="11"/>
  <c r="Q3033" i="11"/>
  <c r="Q2693" i="11"/>
  <c r="Q2337" i="11"/>
  <c r="Q3027" i="11"/>
  <c r="Q2515" i="11"/>
  <c r="Q2033" i="11"/>
  <c r="Q1581" i="11"/>
  <c r="Q985" i="11"/>
  <c r="Q2083" i="11"/>
  <c r="Q1571" i="11"/>
  <c r="Q3421" i="11"/>
  <c r="Q2909" i="11"/>
  <c r="Q2381" i="11"/>
  <c r="Q1721" i="11"/>
  <c r="Q1137" i="11"/>
  <c r="Q461" i="11"/>
  <c r="Q948" i="11"/>
  <c r="Q3259" i="11"/>
  <c r="Q3003" i="11"/>
  <c r="Q2747" i="11"/>
  <c r="Q2491" i="11"/>
  <c r="Q2295" i="11"/>
  <c r="Q2067" i="11"/>
  <c r="Q1847" i="11"/>
  <c r="Q1619" i="11"/>
  <c r="Q3342" i="11"/>
  <c r="Q2434" i="11"/>
  <c r="Q1994" i="11"/>
  <c r="Q1514" i="11"/>
  <c r="Q1018" i="11"/>
  <c r="Q522" i="11"/>
  <c r="Q3448" i="11"/>
  <c r="Q3364" i="11"/>
  <c r="Q3276" i="11"/>
  <c r="Q3192" i="11"/>
  <c r="Q3108" i="11"/>
  <c r="Q3020" i="11"/>
  <c r="Q2936" i="11"/>
  <c r="Q2852" i="11"/>
  <c r="Q2780" i="11"/>
  <c r="Q2708" i="11"/>
  <c r="Q2636" i="11"/>
  <c r="Q2564" i="11"/>
  <c r="Q2492" i="11"/>
  <c r="Q2412" i="11"/>
  <c r="Q2328" i="11"/>
  <c r="Q2220" i="11"/>
  <c r="Q2132" i="11"/>
  <c r="Q2024" i="11"/>
  <c r="Q1928" i="11"/>
  <c r="Q1828" i="11"/>
  <c r="Q1732" i="11"/>
  <c r="Q1628" i="11"/>
  <c r="Q1532" i="11"/>
  <c r="Q1420" i="11"/>
  <c r="Q1320" i="11"/>
  <c r="Q1224" i="11"/>
  <c r="Q1116" i="11"/>
  <c r="Q1020" i="11"/>
  <c r="Q908" i="11"/>
  <c r="Q808" i="11"/>
  <c r="Q712" i="11"/>
  <c r="Q584" i="11"/>
  <c r="Q65" i="11"/>
  <c r="Q1363" i="11"/>
  <c r="Q1235" i="11"/>
  <c r="Q1127" i="11"/>
  <c r="Q999" i="11"/>
  <c r="Q887" i="11"/>
  <c r="Q759" i="11"/>
  <c r="Q647" i="11"/>
  <c r="Q515" i="11"/>
  <c r="Q3329" i="11"/>
  <c r="Q3203" i="11"/>
  <c r="Q2949" i="11"/>
  <c r="Q2609" i="11"/>
  <c r="Q2221" i="11"/>
  <c r="Q2899" i="11"/>
  <c r="Q2387" i="11"/>
  <c r="Q1929" i="11"/>
  <c r="Q1417" i="11"/>
  <c r="Q825" i="11"/>
  <c r="Q1955" i="11"/>
  <c r="Q1375" i="11"/>
  <c r="Q2040" i="11"/>
  <c r="Q1215" i="11"/>
  <c r="Q3293" i="11"/>
  <c r="Q2781" i="11"/>
  <c r="Q2233" i="11"/>
  <c r="Q1537" i="11"/>
  <c r="Q941" i="11"/>
  <c r="Q3232" i="11"/>
  <c r="Q3220" i="11"/>
  <c r="Q3451" i="11"/>
  <c r="Q3195" i="11"/>
  <c r="Q2939" i="11"/>
  <c r="Q2683" i="11"/>
  <c r="Q2447" i="11"/>
  <c r="Q2243" i="11"/>
  <c r="Q2023" i="11"/>
  <c r="Q1783" i="11"/>
  <c r="Q1555" i="11"/>
  <c r="Q3102" i="11"/>
  <c r="Q2330" i="11"/>
  <c r="Q1838" i="11"/>
  <c r="Q1358" i="11"/>
  <c r="Q882" i="11"/>
  <c r="Q386" i="11"/>
  <c r="Q3428" i="11"/>
  <c r="Q3340" i="11"/>
  <c r="Q3256" i="11"/>
  <c r="Q3172" i="11"/>
  <c r="Q3084" i="11"/>
  <c r="Q3000" i="11"/>
  <c r="Q2916" i="11"/>
  <c r="Q2836" i="11"/>
  <c r="Q2764" i="11"/>
  <c r="Q2692" i="11"/>
  <c r="Q2620" i="11"/>
  <c r="Q2540" i="11"/>
  <c r="Q2468" i="11"/>
  <c r="Q2396" i="11"/>
  <c r="Q2308" i="11"/>
  <c r="Q2200" i="11"/>
  <c r="Q2108" i="11"/>
  <c r="Q2004" i="11"/>
  <c r="Q1900" i="11"/>
  <c r="Q1804" i="11"/>
  <c r="Q1700" i="11"/>
  <c r="Q1608" i="11"/>
  <c r="Q1500" i="11"/>
  <c r="Q1404" i="11"/>
  <c r="Q1300" i="11"/>
  <c r="Q1192" i="11"/>
  <c r="Q1096" i="11"/>
  <c r="Q988" i="11"/>
  <c r="Q892" i="11"/>
  <c r="Q788" i="11"/>
  <c r="Q668" i="11"/>
  <c r="Q548" i="11"/>
  <c r="Q1443" i="11"/>
  <c r="Q1323" i="11"/>
  <c r="Q1203" i="11"/>
  <c r="Q1091" i="11"/>
  <c r="Q967" i="11"/>
  <c r="Q867" i="11"/>
  <c r="Q739" i="11"/>
  <c r="Q627" i="11"/>
  <c r="Q241" i="11"/>
  <c r="Q3237" i="11"/>
  <c r="Q2865" i="11"/>
  <c r="Q2521" i="11"/>
  <c r="Q3412" i="11"/>
  <c r="Q2771" i="11"/>
  <c r="Q2255" i="11"/>
  <c r="Q1809" i="11"/>
  <c r="Q1289" i="11"/>
  <c r="Q2900" i="11"/>
  <c r="Q1827" i="11"/>
  <c r="Q1039" i="11"/>
  <c r="Q2912" i="11"/>
  <c r="Q3165" i="11"/>
  <c r="Q2637" i="11"/>
  <c r="Q2049" i="11"/>
  <c r="Q1425" i="11"/>
  <c r="Q769" i="11"/>
  <c r="Q2232" i="11"/>
  <c r="Q2197" i="11"/>
  <c r="Q3387" i="11"/>
  <c r="Q3131" i="11"/>
  <c r="Q2875" i="11"/>
  <c r="Q2619" i="11"/>
  <c r="Q2411" i="11"/>
  <c r="Q2179" i="11"/>
  <c r="Q1959" i="11"/>
  <c r="Q1731" i="11"/>
  <c r="Q1511" i="11"/>
  <c r="Q2866" i="11"/>
  <c r="Q2250" i="11"/>
  <c r="Q1770" i="11"/>
  <c r="Q1274" i="11"/>
  <c r="Q778" i="11"/>
  <c r="Q3492" i="11"/>
  <c r="Q3404" i="11"/>
  <c r="Q3320" i="11"/>
  <c r="Q3236" i="11"/>
  <c r="Q3148" i="11"/>
  <c r="Q3064" i="11"/>
  <c r="Q2980" i="11"/>
  <c r="Q2892" i="11"/>
  <c r="Q2820" i="11"/>
  <c r="Q2748" i="11"/>
  <c r="Q2668" i="11"/>
  <c r="Q2596" i="11"/>
  <c r="Q2524" i="11"/>
  <c r="Q2452" i="11"/>
  <c r="Q2380" i="11"/>
  <c r="Q2276" i="11"/>
  <c r="Q2180" i="11"/>
  <c r="Q2076" i="11"/>
  <c r="Q1980" i="11"/>
  <c r="Q1880" i="11"/>
  <c r="Q1772" i="11"/>
  <c r="Q1676" i="11"/>
  <c r="Q1576" i="11"/>
  <c r="Q1480" i="11"/>
  <c r="Q1372" i="11"/>
  <c r="Q1276" i="11"/>
  <c r="Q1164" i="11"/>
  <c r="Q1064" i="11"/>
  <c r="Q968" i="11"/>
  <c r="Q860" i="11"/>
  <c r="Q764" i="11"/>
  <c r="Q640" i="11"/>
  <c r="Q524" i="11"/>
  <c r="Q1411" i="11"/>
  <c r="Q1283" i="11"/>
  <c r="Q1175" i="11"/>
  <c r="Q1063" i="11"/>
  <c r="Q939" i="11"/>
  <c r="Q823" i="11"/>
  <c r="Q707" i="11"/>
  <c r="Q599" i="11"/>
  <c r="Q185" i="11"/>
  <c r="Q3497" i="11"/>
  <c r="Q3153" i="11"/>
  <c r="Q3459" i="11"/>
  <c r="Q2777" i="11"/>
  <c r="Q2437" i="11"/>
  <c r="Q3155" i="11"/>
  <c r="Q2643" i="11"/>
  <c r="Q2127" i="11"/>
  <c r="Q1697" i="11"/>
  <c r="Q1113" i="11"/>
  <c r="Q1844" i="11"/>
  <c r="Q1699" i="11"/>
  <c r="Q671" i="11"/>
  <c r="Q3037" i="11"/>
  <c r="Q2509" i="11"/>
  <c r="Q1885" i="11"/>
  <c r="Q1245" i="11"/>
  <c r="Q609" i="11"/>
  <c r="Q1460" i="11"/>
  <c r="Q1118" i="11"/>
  <c r="Q3264" i="11"/>
  <c r="Q3323" i="11"/>
  <c r="Q3067" i="11"/>
  <c r="Q2811" i="11"/>
  <c r="Q2555" i="11"/>
  <c r="Q2359" i="11"/>
  <c r="Q2131" i="11"/>
  <c r="Q1899" i="11"/>
  <c r="Q1667" i="11"/>
  <c r="Q3474" i="11"/>
  <c r="Q1102" i="11"/>
  <c r="Q3300" i="11"/>
  <c r="Q2956" i="11"/>
  <c r="Q2652" i="11"/>
  <c r="Q2348" i="11"/>
  <c r="Q1948" i="11"/>
  <c r="Q1556" i="11"/>
  <c r="Q1148" i="11"/>
  <c r="Q732" i="11"/>
  <c r="Q1259" i="11"/>
  <c r="Q791" i="11"/>
  <c r="Q2658" i="11"/>
  <c r="Q682" i="11"/>
  <c r="Q3212" i="11"/>
  <c r="Q2872" i="11"/>
  <c r="Q2580" i="11"/>
  <c r="Q2252" i="11"/>
  <c r="Q1860" i="11"/>
  <c r="Q1448" i="11"/>
  <c r="Q1044" i="11"/>
  <c r="Q604" i="11"/>
  <c r="Q1147" i="11"/>
  <c r="Q679" i="11"/>
  <c r="Q2074" i="11"/>
  <c r="Q3468" i="11"/>
  <c r="Q3128" i="11"/>
  <c r="Q2796" i="11"/>
  <c r="Q2508" i="11"/>
  <c r="Q2152" i="11"/>
  <c r="Q1752" i="11"/>
  <c r="Q1352" i="11"/>
  <c r="Q936" i="11"/>
  <c r="Q145" i="11"/>
  <c r="Q1019" i="11"/>
  <c r="Q555" i="11"/>
  <c r="Q1582" i="11"/>
  <c r="Q2436" i="11"/>
  <c r="Q840" i="11"/>
  <c r="Q508" i="11"/>
  <c r="Q468" i="11"/>
  <c r="Q428" i="11"/>
  <c r="Q380" i="11"/>
  <c r="Q333" i="11"/>
  <c r="Q253" i="11"/>
  <c r="Q173" i="11"/>
  <c r="Q69" i="11"/>
  <c r="Q495" i="11"/>
  <c r="Q447" i="11"/>
  <c r="Q407" i="11"/>
  <c r="Q375" i="11"/>
  <c r="Q227" i="11"/>
  <c r="Q267" i="11"/>
  <c r="Q323" i="11"/>
  <c r="Q336" i="11"/>
  <c r="Q1244" i="11"/>
  <c r="Q516" i="11"/>
  <c r="Q440" i="11"/>
  <c r="Q344" i="11"/>
  <c r="Q189" i="11"/>
  <c r="Q503" i="11"/>
  <c r="Q419" i="11"/>
  <c r="Q343" i="11"/>
  <c r="Q315" i="11"/>
  <c r="Q3384" i="11"/>
  <c r="Q2056" i="11"/>
  <c r="Q1387" i="11"/>
  <c r="Q2" i="11"/>
  <c r="Q500" i="11"/>
  <c r="Q456" i="11"/>
  <c r="Q412" i="11"/>
  <c r="Q372" i="11"/>
  <c r="Q317" i="11"/>
  <c r="Q237" i="11"/>
  <c r="Q149" i="11"/>
  <c r="Q53" i="11"/>
  <c r="Q487" i="11"/>
  <c r="Q435" i="11"/>
  <c r="Q399" i="11"/>
  <c r="Q363" i="11"/>
  <c r="Q239" i="11"/>
  <c r="Q287" i="11"/>
  <c r="Q331" i="11"/>
  <c r="Q3044" i="11"/>
  <c r="Q1660" i="11"/>
  <c r="Q915" i="11"/>
  <c r="Q488" i="11"/>
  <c r="Q448" i="11"/>
  <c r="Q400" i="11"/>
  <c r="Q360" i="11"/>
  <c r="Q293" i="11"/>
  <c r="Q221" i="11"/>
  <c r="Q117" i="11"/>
  <c r="Q37" i="11"/>
  <c r="Q467" i="11"/>
  <c r="Q427" i="11"/>
  <c r="Q391" i="11"/>
  <c r="Q355" i="11"/>
  <c r="Q251" i="11"/>
  <c r="Q307" i="11"/>
  <c r="Q339" i="11"/>
  <c r="Q2724" i="11"/>
  <c r="Q476" i="11"/>
  <c r="Q392" i="11"/>
  <c r="Q277" i="11"/>
  <c r="Q101" i="11"/>
  <c r="Q455" i="11"/>
  <c r="Q383" i="11"/>
  <c r="Q259" i="11"/>
  <c r="Q272" i="11"/>
  <c r="Q14" i="11"/>
  <c r="Q78" i="11"/>
  <c r="Q142" i="11"/>
  <c r="Q206" i="11"/>
  <c r="Q270" i="11"/>
  <c r="Q334" i="11"/>
  <c r="Q59" i="11"/>
  <c r="Q123" i="11"/>
  <c r="Q24" i="11"/>
  <c r="Q88" i="11"/>
  <c r="Q216" i="11"/>
  <c r="Q19" i="11"/>
  <c r="Q147" i="11"/>
  <c r="Q80" i="11"/>
  <c r="Q114" i="11"/>
  <c r="Q242" i="11"/>
  <c r="Q15" i="11"/>
  <c r="Q79" i="11"/>
  <c r="Q143" i="11"/>
  <c r="Q44" i="11"/>
  <c r="Q108" i="11"/>
  <c r="Q172" i="11"/>
  <c r="Q252" i="11"/>
  <c r="Q167" i="11"/>
  <c r="Q2358" i="11"/>
  <c r="Q2294" i="11"/>
  <c r="Q2230" i="11"/>
  <c r="Q2166" i="11"/>
  <c r="Q2102" i="11"/>
  <c r="Q2038" i="11"/>
  <c r="Q1974" i="11"/>
  <c r="Q1910" i="11"/>
  <c r="Q1846" i="11"/>
  <c r="Q1782" i="11"/>
  <c r="Q1718" i="11"/>
  <c r="Q1654" i="11"/>
  <c r="Q1590" i="11"/>
  <c r="Q1526" i="11"/>
  <c r="Q1462" i="11"/>
  <c r="Q1398" i="11"/>
  <c r="Q1334" i="11"/>
  <c r="Q1270" i="11"/>
  <c r="Q1206" i="11"/>
  <c r="Q168" i="11"/>
  <c r="Q296" i="11"/>
  <c r="Q99" i="11"/>
  <c r="Q16" i="11"/>
  <c r="Q228" i="11"/>
  <c r="Q308" i="11"/>
  <c r="Q1174" i="11"/>
  <c r="Q1110" i="11"/>
  <c r="Q1046" i="11"/>
  <c r="Q982" i="11"/>
  <c r="Q918" i="11"/>
  <c r="Q854" i="11"/>
  <c r="Q790" i="11"/>
  <c r="Q726" i="11"/>
  <c r="Q662" i="11"/>
  <c r="Q598" i="11"/>
  <c r="Q534" i="11"/>
  <c r="Q470" i="11"/>
  <c r="Q406" i="11"/>
  <c r="Q89" i="11"/>
  <c r="Q597" i="11"/>
  <c r="Q789" i="11"/>
  <c r="Q981" i="11"/>
  <c r="Q1173" i="11"/>
  <c r="Q1301" i="11"/>
  <c r="Q1493" i="11"/>
  <c r="Q1600" i="11"/>
  <c r="Q1749" i="11"/>
  <c r="Q1856" i="11"/>
  <c r="Q2048" i="11"/>
  <c r="Q2133" i="11"/>
  <c r="Q2304" i="11"/>
  <c r="Q2402" i="11"/>
  <c r="Q2498" i="11"/>
  <c r="Q2562" i="11"/>
  <c r="Q2642" i="11"/>
  <c r="Q2738" i="11"/>
  <c r="Q2802" i="11"/>
  <c r="Q2882" i="11"/>
  <c r="Q2946" i="11"/>
  <c r="Q3058" i="11"/>
  <c r="Q3154" i="11"/>
  <c r="Q30" i="11"/>
  <c r="Q94" i="11"/>
  <c r="Q158" i="11"/>
  <c r="Q222" i="11"/>
  <c r="Q286" i="11"/>
  <c r="Q11" i="11"/>
  <c r="Q75" i="11"/>
  <c r="Q139" i="11"/>
  <c r="Q40" i="11"/>
  <c r="Q120" i="11"/>
  <c r="Q248" i="11"/>
  <c r="Q67" i="11"/>
  <c r="Q179" i="11"/>
  <c r="Q18" i="11"/>
  <c r="Q146" i="11"/>
  <c r="Q274" i="11"/>
  <c r="Q31" i="11"/>
  <c r="Q95" i="11"/>
  <c r="Q159" i="11"/>
  <c r="Q60" i="11"/>
  <c r="Q124" i="11"/>
  <c r="Q188" i="11"/>
  <c r="Q268" i="11"/>
  <c r="Q183" i="11"/>
  <c r="Q2342" i="11"/>
  <c r="Q2278" i="11"/>
  <c r="Q2214" i="11"/>
  <c r="Q2150" i="11"/>
  <c r="Q2086" i="11"/>
  <c r="Q2022" i="11"/>
  <c r="Q1958" i="11"/>
  <c r="Q1894" i="11"/>
  <c r="Q1830" i="11"/>
  <c r="Q1766" i="11"/>
  <c r="Q1702" i="11"/>
  <c r="Q1638" i="11"/>
  <c r="Q1574" i="11"/>
  <c r="Q1510" i="11"/>
  <c r="Q1446" i="11"/>
  <c r="Q1382" i="11"/>
  <c r="Q1318" i="11"/>
  <c r="Q1254" i="11"/>
  <c r="Q1190" i="11"/>
  <c r="Q200" i="11"/>
  <c r="Q3" i="11"/>
  <c r="Q131" i="11"/>
  <c r="Q48" i="11"/>
  <c r="Q244" i="11"/>
  <c r="Q175" i="11"/>
  <c r="Q1158" i="11"/>
  <c r="Q1094" i="11"/>
  <c r="Q1030" i="11"/>
  <c r="Q966" i="11"/>
  <c r="Q902" i="11"/>
  <c r="Q838" i="11"/>
  <c r="Q774" i="11"/>
  <c r="Q710" i="11"/>
  <c r="Q646" i="11"/>
  <c r="Q582" i="11"/>
  <c r="Q518" i="11"/>
  <c r="Q454" i="11"/>
  <c r="Q390" i="11"/>
  <c r="Q469" i="11"/>
  <c r="Q704" i="11"/>
  <c r="Q832" i="11"/>
  <c r="Q1024" i="11"/>
  <c r="Q1216" i="11"/>
  <c r="Q1344" i="11"/>
  <c r="Q1536" i="11"/>
  <c r="Q1685" i="11"/>
  <c r="Q1792" i="11"/>
  <c r="Q1941" i="11"/>
  <c r="Q2069" i="11"/>
  <c r="Q2219" i="11"/>
  <c r="Q2325" i="11"/>
  <c r="Q2418" i="11"/>
  <c r="Q2514" i="11"/>
  <c r="Q2578" i="11"/>
  <c r="Q2690" i="11"/>
  <c r="Q2754" i="11"/>
  <c r="Q2818" i="11"/>
  <c r="Q2898" i="11"/>
  <c r="Q2978" i="11"/>
  <c r="Q3074" i="11"/>
  <c r="Q3170" i="11"/>
  <c r="Q46" i="11"/>
  <c r="Q110" i="11"/>
  <c r="Q174" i="11"/>
  <c r="Q238" i="11"/>
  <c r="Q302" i="11"/>
  <c r="Q27" i="11"/>
  <c r="Q91" i="11"/>
  <c r="Q155" i="11"/>
  <c r="Q56" i="11"/>
  <c r="Q152" i="11"/>
  <c r="Q280" i="11"/>
  <c r="Q83" i="11"/>
  <c r="Q211" i="11"/>
  <c r="Q50" i="11"/>
  <c r="Q178" i="11"/>
  <c r="Q306" i="11"/>
  <c r="Q47" i="11"/>
  <c r="Q111" i="11"/>
  <c r="Q12" i="11"/>
  <c r="Q76" i="11"/>
  <c r="Q140" i="11"/>
  <c r="Q204" i="11"/>
  <c r="Q284" i="11"/>
  <c r="Q199" i="11"/>
  <c r="Q2326" i="11"/>
  <c r="Q2262" i="11"/>
  <c r="Q2198" i="11"/>
  <c r="Q2134" i="11"/>
  <c r="Q2070" i="11"/>
  <c r="Q2006" i="11"/>
  <c r="Q1942" i="11"/>
  <c r="Q1878" i="11"/>
  <c r="Q1814" i="11"/>
  <c r="Q1750" i="11"/>
  <c r="Q1686" i="11"/>
  <c r="Q1622" i="11"/>
  <c r="Q1558" i="11"/>
  <c r="Q1494" i="11"/>
  <c r="Q1430" i="11"/>
  <c r="Q1366" i="11"/>
  <c r="Q1302" i="11"/>
  <c r="Q1238" i="11"/>
  <c r="Q104" i="11"/>
  <c r="Q232" i="11"/>
  <c r="Q35" i="11"/>
  <c r="Q163" i="11"/>
  <c r="Q64" i="11"/>
  <c r="Q276" i="11"/>
  <c r="Q191" i="11"/>
  <c r="Q1142" i="11"/>
  <c r="Q1078" i="11"/>
  <c r="Q1014" i="11"/>
  <c r="Q950" i="11"/>
  <c r="Q886" i="11"/>
  <c r="Q822" i="11"/>
  <c r="Q758" i="11"/>
  <c r="Q694" i="11"/>
  <c r="Q630" i="11"/>
  <c r="Q566" i="11"/>
  <c r="Q502" i="11"/>
  <c r="Q438" i="11"/>
  <c r="Q374" i="11"/>
  <c r="Q533" i="11"/>
  <c r="Q725" i="11"/>
  <c r="Q382" i="11"/>
  <c r="Q446" i="11"/>
  <c r="Q526" i="11"/>
  <c r="Q622" i="11"/>
  <c r="Q686" i="11"/>
  <c r="Q766" i="11"/>
  <c r="Q894" i="11"/>
  <c r="Q958" i="11"/>
  <c r="Q1054" i="11"/>
  <c r="Q1166" i="11"/>
  <c r="Q1230" i="11"/>
  <c r="Q1326" i="11"/>
  <c r="Q1406" i="11"/>
  <c r="Q1470" i="11"/>
  <c r="Q1550" i="11"/>
  <c r="Q1662" i="11"/>
  <c r="Q1726" i="11"/>
  <c r="Q1822" i="11"/>
  <c r="Q1918" i="11"/>
  <c r="Q1982" i="11"/>
  <c r="Q2078" i="11"/>
  <c r="Q2174" i="11"/>
  <c r="Q2238" i="11"/>
  <c r="Q2318" i="11"/>
  <c r="Q5" i="11"/>
  <c r="Q417" i="11"/>
  <c r="Q644" i="11"/>
  <c r="Q209" i="11"/>
  <c r="Q471" i="11"/>
  <c r="Q735" i="11"/>
  <c r="Q888" i="11"/>
  <c r="Q1001" i="11"/>
  <c r="Q1144" i="11"/>
  <c r="Q1287" i="11"/>
  <c r="Q1428" i="11"/>
  <c r="Q3478" i="11"/>
  <c r="Q3414" i="11"/>
  <c r="Q3350" i="11"/>
  <c r="Q3286" i="11"/>
  <c r="Q3222" i="11"/>
  <c r="Q3158" i="11"/>
  <c r="Q3094" i="11"/>
  <c r="Q3030" i="11"/>
  <c r="Q2966" i="11"/>
  <c r="Q2902" i="11"/>
  <c r="Q2838" i="11"/>
  <c r="Q2774" i="11"/>
  <c r="Q2710" i="11"/>
  <c r="Q2646" i="11"/>
  <c r="Q2582" i="11"/>
  <c r="Q2518" i="11"/>
  <c r="Q2454" i="11"/>
  <c r="Q2390" i="11"/>
  <c r="Q2309" i="11"/>
  <c r="Q2224" i="11"/>
  <c r="Q2139" i="11"/>
  <c r="Q2053" i="11"/>
  <c r="Q1968" i="11"/>
  <c r="Q1883" i="11"/>
  <c r="Q1797" i="11"/>
  <c r="Q1712" i="11"/>
  <c r="Q1627" i="11"/>
  <c r="Q1541" i="11"/>
  <c r="Q1456" i="11"/>
  <c r="Q1371" i="11"/>
  <c r="Q1285" i="11"/>
  <c r="Q1200" i="11"/>
  <c r="Q1115" i="11"/>
  <c r="Q1029" i="11"/>
  <c r="Q944" i="11"/>
  <c r="Q859" i="11"/>
  <c r="Q773" i="11"/>
  <c r="Q688" i="11"/>
  <c r="Q603" i="11"/>
  <c r="Q517" i="11"/>
  <c r="Q432" i="11"/>
  <c r="Q347" i="11"/>
  <c r="Q25" i="11"/>
  <c r="Q205" i="11"/>
  <c r="Q354" i="11"/>
  <c r="Q434" i="11"/>
  <c r="Q498" i="11"/>
  <c r="Q562" i="11"/>
  <c r="Q642" i="11"/>
  <c r="Q706" i="11"/>
  <c r="Q770" i="11"/>
  <c r="Q834" i="11"/>
  <c r="Q914" i="11"/>
  <c r="Q978" i="11"/>
  <c r="Q1042" i="11"/>
  <c r="Q1106" i="11"/>
  <c r="Q1186" i="11"/>
  <c r="Q1250" i="11"/>
  <c r="Q1314" i="11"/>
  <c r="Q1378" i="11"/>
  <c r="Q1458" i="11"/>
  <c r="Q1522" i="11"/>
  <c r="Q1586" i="11"/>
  <c r="Q1666" i="11"/>
  <c r="Q1730" i="11"/>
  <c r="Q1794" i="11"/>
  <c r="Q1858" i="11"/>
  <c r="Q1938" i="11"/>
  <c r="Q2002" i="11"/>
  <c r="Q2066" i="11"/>
  <c r="Q2130" i="11"/>
  <c r="Q2210" i="11"/>
  <c r="Q2274" i="11"/>
  <c r="Q2338" i="11"/>
  <c r="Q192" i="11"/>
  <c r="Q128" i="11"/>
  <c r="Q93" i="11"/>
  <c r="Q279" i="11"/>
  <c r="Q3458" i="11"/>
  <c r="Q3394" i="11"/>
  <c r="Q3298" i="11"/>
  <c r="Q3218" i="11"/>
  <c r="Q3090" i="11"/>
  <c r="Q2914" i="11"/>
  <c r="Q2770" i="11"/>
  <c r="Q2594" i="11"/>
  <c r="Q2466" i="11"/>
  <c r="Q2240" i="11"/>
  <c r="Q1963" i="11"/>
  <c r="Q1707" i="11"/>
  <c r="Q1429" i="11"/>
  <c r="Q1045" i="11"/>
  <c r="Q576" i="11"/>
  <c r="Q550" i="11"/>
  <c r="Q806" i="11"/>
  <c r="Q1062" i="11"/>
  <c r="Q212" i="11"/>
  <c r="Q136" i="11"/>
  <c r="Q1414" i="11"/>
  <c r="Q1670" i="11"/>
  <c r="Q1926" i="11"/>
  <c r="Q2182" i="11"/>
  <c r="Q316" i="11"/>
  <c r="Q28" i="11"/>
  <c r="Q210" i="11"/>
  <c r="Q312" i="11"/>
  <c r="Q107" i="11"/>
  <c r="Q190" i="11"/>
  <c r="Q1486" i="11"/>
  <c r="Q1598" i="11"/>
  <c r="Q1678" i="11"/>
  <c r="Q1742" i="11"/>
  <c r="Q1870" i="11"/>
  <c r="Q1934" i="11"/>
  <c r="Q1998" i="11"/>
  <c r="Q2094" i="11"/>
  <c r="Q2190" i="11"/>
  <c r="Q2254" i="11"/>
  <c r="Q2350" i="11"/>
  <c r="Q105" i="11"/>
  <c r="Q473" i="11"/>
  <c r="Q673" i="11"/>
  <c r="Q356" i="11"/>
  <c r="Q547" i="11"/>
  <c r="Q775" i="11"/>
  <c r="Q916" i="11"/>
  <c r="Q1031" i="11"/>
  <c r="Q1172" i="11"/>
  <c r="Q1315" i="11"/>
  <c r="Q1485" i="11"/>
  <c r="Q3462" i="11"/>
  <c r="Q3398" i="11"/>
  <c r="Q3334" i="11"/>
  <c r="Q3270" i="11"/>
  <c r="Q3206" i="11"/>
  <c r="Q3142" i="11"/>
  <c r="Q3078" i="11"/>
  <c r="Q3014" i="11"/>
  <c r="Q2950" i="11"/>
  <c r="Q2886" i="11"/>
  <c r="Q2822" i="11"/>
  <c r="Q2758" i="11"/>
  <c r="Q2694" i="11"/>
  <c r="Q2630" i="11"/>
  <c r="Q2566" i="11"/>
  <c r="Q2502" i="11"/>
  <c r="Q2438" i="11"/>
  <c r="Q2373" i="11"/>
  <c r="Q2288" i="11"/>
  <c r="Q2203" i="11"/>
  <c r="Q2117" i="11"/>
  <c r="Q2032" i="11"/>
  <c r="Q1947" i="11"/>
  <c r="Q1861" i="11"/>
  <c r="Q1776" i="11"/>
  <c r="Q1691" i="11"/>
  <c r="Q1605" i="11"/>
  <c r="Q1520" i="11"/>
  <c r="Q1435" i="11"/>
  <c r="Q1349" i="11"/>
  <c r="Q1264" i="11"/>
  <c r="Q1179" i="11"/>
  <c r="Q1093" i="11"/>
  <c r="Q1008" i="11"/>
  <c r="Q923" i="11"/>
  <c r="Q837" i="11"/>
  <c r="Q752" i="11"/>
  <c r="Q667" i="11"/>
  <c r="Q581" i="11"/>
  <c r="Q496" i="11"/>
  <c r="Q411" i="11"/>
  <c r="Q235" i="11"/>
  <c r="Q13" i="11"/>
  <c r="Q273" i="11"/>
  <c r="Q370" i="11"/>
  <c r="Q450" i="11"/>
  <c r="Q514" i="11"/>
  <c r="Q578" i="11"/>
  <c r="Q658" i="11"/>
  <c r="Q722" i="11"/>
  <c r="Q786" i="11"/>
  <c r="Q850" i="11"/>
  <c r="Q930" i="11"/>
  <c r="Q994" i="11"/>
  <c r="Q1058" i="11"/>
  <c r="Q1122" i="11"/>
  <c r="Q1202" i="11"/>
  <c r="Q1266" i="11"/>
  <c r="Q1330" i="11"/>
  <c r="Q1394" i="11"/>
  <c r="Q1474" i="11"/>
  <c r="Q1538" i="11"/>
  <c r="Q1602" i="11"/>
  <c r="Q1682" i="11"/>
  <c r="Q1746" i="11"/>
  <c r="Q1810" i="11"/>
  <c r="Q1874" i="11"/>
  <c r="Q1954" i="11"/>
  <c r="Q2018" i="11"/>
  <c r="Q2082" i="11"/>
  <c r="Q2146" i="11"/>
  <c r="Q2226" i="11"/>
  <c r="Q2290" i="11"/>
  <c r="Q2354" i="11"/>
  <c r="Q176" i="11"/>
  <c r="Q112" i="11"/>
  <c r="Q157" i="11"/>
  <c r="Q321" i="11"/>
  <c r="Q3442" i="11"/>
  <c r="Q3362" i="11"/>
  <c r="Q3282" i="11"/>
  <c r="Q3202" i="11"/>
  <c r="Q3042" i="11"/>
  <c r="Q2850" i="11"/>
  <c r="Q2722" i="11"/>
  <c r="Q2546" i="11"/>
  <c r="Q2368" i="11"/>
  <c r="Q2112" i="11"/>
  <c r="Q1835" i="11"/>
  <c r="Q1579" i="11"/>
  <c r="Q1280" i="11"/>
  <c r="Q960" i="11"/>
  <c r="Q358" i="11"/>
  <c r="Q614" i="11"/>
  <c r="Q870" i="11"/>
  <c r="Q1126" i="11"/>
  <c r="Q195" i="11"/>
  <c r="Q1222" i="11"/>
  <c r="Q1478" i="11"/>
  <c r="Q1734" i="11"/>
  <c r="Q1990" i="11"/>
  <c r="Q2246" i="11"/>
  <c r="Q220" i="11"/>
  <c r="Q127" i="11"/>
  <c r="Q82" i="11"/>
  <c r="Q184" i="11"/>
  <c r="Q43" i="11"/>
  <c r="Q126" i="11"/>
  <c r="Q2394" i="11"/>
  <c r="Q2315" i="11"/>
  <c r="Q2229" i="11"/>
  <c r="Q2144" i="11"/>
  <c r="Q2059" i="11"/>
  <c r="Q1973" i="11"/>
  <c r="Q1888" i="11"/>
  <c r="Q1803" i="11"/>
  <c r="Q1717" i="11"/>
  <c r="Q1632" i="11"/>
  <c r="Q1547" i="11"/>
  <c r="Q1461" i="11"/>
  <c r="Q1376" i="11"/>
  <c r="Q1291" i="11"/>
  <c r="Q1205" i="11"/>
  <c r="Q1120" i="11"/>
  <c r="Q1035" i="11"/>
  <c r="Q949" i="11"/>
  <c r="Q864" i="11"/>
  <c r="Q779" i="11"/>
  <c r="Q693" i="11"/>
  <c r="Q608" i="11"/>
  <c r="Q523" i="11"/>
  <c r="Q437" i="11"/>
  <c r="Q328" i="11"/>
  <c r="Q133" i="11"/>
  <c r="Q350" i="11"/>
  <c r="Q414" i="11"/>
  <c r="Q478" i="11"/>
  <c r="Q590" i="11"/>
  <c r="Q654" i="11"/>
  <c r="Q718" i="11"/>
  <c r="Q846" i="11"/>
  <c r="Q926" i="11"/>
  <c r="Q990" i="11"/>
  <c r="Q1134" i="11"/>
  <c r="Q1198" i="11"/>
  <c r="Q1262" i="11"/>
  <c r="Q1374" i="11"/>
  <c r="Q1438" i="11"/>
  <c r="Q1502" i="11"/>
  <c r="Q1614" i="11"/>
  <c r="Q1694" i="11"/>
  <c r="Q1758" i="11"/>
  <c r="Q1886" i="11"/>
  <c r="Q1950" i="11"/>
  <c r="Q2014" i="11"/>
  <c r="Q2142" i="11"/>
  <c r="Q2206" i="11"/>
  <c r="Q2270" i="11"/>
  <c r="Q2366" i="11"/>
  <c r="Q291" i="11"/>
  <c r="Q559" i="11"/>
  <c r="Q701" i="11"/>
  <c r="Q393" i="11"/>
  <c r="Q621" i="11"/>
  <c r="Q803" i="11"/>
  <c r="Q945" i="11"/>
  <c r="Q1059" i="11"/>
  <c r="Q1201" i="11"/>
  <c r="Q1343" i="11"/>
  <c r="Q1513" i="11"/>
  <c r="Q3446" i="11"/>
  <c r="Q3382" i="11"/>
  <c r="Q3318" i="11"/>
  <c r="Q3254" i="11"/>
  <c r="Q3190" i="11"/>
  <c r="Q3126" i="11"/>
  <c r="Q3062" i="11"/>
  <c r="Q2998" i="11"/>
  <c r="Q2934" i="11"/>
  <c r="Q2870" i="11"/>
  <c r="Q2806" i="11"/>
  <c r="Q2742" i="11"/>
  <c r="Q2678" i="11"/>
  <c r="Q2614" i="11"/>
  <c r="Q2550" i="11"/>
  <c r="Q2486" i="11"/>
  <c r="Q2422" i="11"/>
  <c r="Q2352" i="11"/>
  <c r="Q2267" i="11"/>
  <c r="Q2181" i="11"/>
  <c r="Q2096" i="11"/>
  <c r="Q2011" i="11"/>
  <c r="Q1925" i="11"/>
  <c r="Q1840" i="11"/>
  <c r="Q1755" i="11"/>
  <c r="Q1669" i="11"/>
  <c r="Q1584" i="11"/>
  <c r="Q1499" i="11"/>
  <c r="Q1413" i="11"/>
  <c r="Q1328" i="11"/>
  <c r="Q1243" i="11"/>
  <c r="Q1157" i="11"/>
  <c r="Q1072" i="11"/>
  <c r="Q987" i="11"/>
  <c r="Q901" i="11"/>
  <c r="Q816" i="11"/>
  <c r="Q731" i="11"/>
  <c r="Q645" i="11"/>
  <c r="Q560" i="11"/>
  <c r="Q475" i="11"/>
  <c r="Q389" i="11"/>
  <c r="Q197" i="11"/>
  <c r="Q77" i="11"/>
  <c r="Q295" i="11"/>
  <c r="Q402" i="11"/>
  <c r="Q466" i="11"/>
  <c r="Q530" i="11"/>
  <c r="Q594" i="11"/>
  <c r="Q674" i="11"/>
  <c r="Q738" i="11"/>
  <c r="Q802" i="11"/>
  <c r="Q866" i="11"/>
  <c r="Q946" i="11"/>
  <c r="Q1010" i="11"/>
  <c r="Q1074" i="11"/>
  <c r="Q1138" i="11"/>
  <c r="Q1218" i="11"/>
  <c r="Q1282" i="11"/>
  <c r="Q1346" i="11"/>
  <c r="Q1410" i="11"/>
  <c r="Q1490" i="11"/>
  <c r="Q1554" i="11"/>
  <c r="Q1618" i="11"/>
  <c r="Q1698" i="11"/>
  <c r="Q1762" i="11"/>
  <c r="Q1826" i="11"/>
  <c r="Q1890" i="11"/>
  <c r="Q1970" i="11"/>
  <c r="Q2034" i="11"/>
  <c r="Q2098" i="11"/>
  <c r="Q2162" i="11"/>
  <c r="Q2242" i="11"/>
  <c r="Q2306" i="11"/>
  <c r="Q2370" i="11"/>
  <c r="Q160" i="11"/>
  <c r="Q96" i="11"/>
  <c r="Q215" i="11"/>
  <c r="Q342" i="11"/>
  <c r="Q3426" i="11"/>
  <c r="Q3330" i="11"/>
  <c r="Q3266" i="11"/>
  <c r="Q3186" i="11"/>
  <c r="Q3026" i="11"/>
  <c r="Q2834" i="11"/>
  <c r="Q2706" i="11"/>
  <c r="Q2530" i="11"/>
  <c r="Q2347" i="11"/>
  <c r="Q2091" i="11"/>
  <c r="Q1813" i="11"/>
  <c r="Q1557" i="11"/>
  <c r="Q1237" i="11"/>
  <c r="Q917" i="11"/>
  <c r="Q422" i="11"/>
  <c r="Q678" i="11"/>
  <c r="Q934" i="11"/>
  <c r="Q207" i="11"/>
  <c r="Q51" i="11"/>
  <c r="Q1286" i="11"/>
  <c r="Q1542" i="11"/>
  <c r="Q1798" i="11"/>
  <c r="Q2054" i="11"/>
  <c r="Q2310" i="11"/>
  <c r="Q156" i="11"/>
  <c r="Q63" i="11"/>
  <c r="Q32" i="11"/>
  <c r="Q72" i="11"/>
  <c r="Q318" i="11"/>
  <c r="Q62" i="11"/>
  <c r="Q3241" i="11"/>
  <c r="Q3493" i="11"/>
  <c r="Q3473" i="11"/>
  <c r="Q3449" i="11"/>
  <c r="Q3429" i="11"/>
  <c r="Q3409" i="11"/>
  <c r="Q3385" i="11"/>
  <c r="Q3365" i="11"/>
  <c r="Q3345" i="11"/>
  <c r="Q3321" i="11"/>
  <c r="Q3301" i="11"/>
  <c r="Q3281" i="11"/>
  <c r="Q3257" i="11"/>
  <c r="Q3233" i="11"/>
  <c r="Q3209" i="11"/>
  <c r="Q3189" i="11"/>
  <c r="Q3169" i="11"/>
  <c r="Q3145" i="11"/>
  <c r="Q3125" i="11"/>
  <c r="Q3105" i="11"/>
  <c r="Q3081" i="11"/>
  <c r="Q3479" i="11"/>
  <c r="Q3447" i="11"/>
  <c r="Q3415" i="11"/>
  <c r="Q3383" i="11"/>
  <c r="Q3351" i="11"/>
  <c r="Q3319" i="11"/>
  <c r="Q3287" i="11"/>
  <c r="Q3255" i="11"/>
  <c r="Q3223" i="11"/>
  <c r="Q3049" i="11"/>
  <c r="Q3029" i="11"/>
  <c r="Q3009" i="11"/>
  <c r="Q2985" i="11"/>
  <c r="Q2965" i="11"/>
  <c r="Q2945" i="11"/>
  <c r="Q2921" i="11"/>
  <c r="Q2901" i="11"/>
  <c r="Q2881" i="11"/>
  <c r="Q2857" i="11"/>
  <c r="Q2837" i="11"/>
  <c r="Q2817" i="11"/>
  <c r="Q2793" i="11"/>
  <c r="Q2773" i="11"/>
  <c r="Q2753" i="11"/>
  <c r="Q2729" i="11"/>
  <c r="Q2709" i="11"/>
  <c r="Q2689" i="11"/>
  <c r="Q2665" i="11"/>
  <c r="Q2645" i="11"/>
  <c r="Q2625" i="11"/>
  <c r="Q2601" i="11"/>
  <c r="Q2581" i="11"/>
  <c r="Q2561" i="11"/>
  <c r="Q2537" i="11"/>
  <c r="Q2517" i="11"/>
  <c r="Q2497" i="11"/>
  <c r="Q2473" i="11"/>
  <c r="Q2453" i="11"/>
  <c r="Q2433" i="11"/>
  <c r="Q2409" i="11"/>
  <c r="Q2389" i="11"/>
  <c r="Q2353" i="11"/>
  <c r="Q2329" i="11"/>
  <c r="Q2301" i="11"/>
  <c r="Q2273" i="11"/>
  <c r="Q2249" i="11"/>
  <c r="Q2217" i="11"/>
  <c r="Q2189" i="11"/>
  <c r="Q2157" i="11"/>
  <c r="Q2129" i="11"/>
  <c r="Q3380" i="11"/>
  <c r="Q3188" i="11"/>
  <c r="Q3028" i="11"/>
  <c r="Q3175" i="11"/>
  <c r="Q3143" i="11"/>
  <c r="Q3111" i="11"/>
  <c r="Q3079" i="11"/>
  <c r="Q3047" i="11"/>
  <c r="Q3015" i="11"/>
  <c r="Q2983" i="11"/>
  <c r="Q2951" i="11"/>
  <c r="Q2919" i="11"/>
  <c r="Q2887" i="11"/>
  <c r="Q2855" i="11"/>
  <c r="Q2823" i="11"/>
  <c r="Q2791" i="11"/>
  <c r="Q2759" i="11"/>
  <c r="Q2727" i="11"/>
  <c r="Q2695" i="11"/>
  <c r="Q2663" i="11"/>
  <c r="Q2631" i="11"/>
  <c r="Q2599" i="11"/>
  <c r="Q2567" i="11"/>
  <c r="Q2535" i="11"/>
  <c r="Q2503" i="11"/>
  <c r="Q2471" i="11"/>
  <c r="Q2439" i="11"/>
  <c r="Q2407" i="11"/>
  <c r="Q2375" i="11"/>
  <c r="Q2339" i="11"/>
  <c r="Q2311" i="11"/>
  <c r="Q2275" i="11"/>
  <c r="Q2247" i="11"/>
  <c r="Q2211" i="11"/>
  <c r="Q2183" i="11"/>
  <c r="Q2147" i="11"/>
  <c r="Q657" i="11"/>
  <c r="Q2121" i="11"/>
  <c r="Q2089" i="11"/>
  <c r="Q2061" i="11"/>
  <c r="Q2029" i="11"/>
  <c r="Q2001" i="11"/>
  <c r="Q1969" i="11"/>
  <c r="Q1945" i="11"/>
  <c r="Q1917" i="11"/>
  <c r="Q1889" i="11"/>
  <c r="Q1865" i="11"/>
  <c r="Q1833" i="11"/>
  <c r="Q1805" i="11"/>
  <c r="Q1773" i="11"/>
  <c r="Q1745" i="11"/>
  <c r="Q1713" i="11"/>
  <c r="Q1689" i="11"/>
  <c r="Q1661" i="11"/>
  <c r="Q1633" i="11"/>
  <c r="Q1609" i="11"/>
  <c r="Q1577" i="11"/>
  <c r="Q1549" i="11"/>
  <c r="Q1505" i="11"/>
  <c r="Q1465" i="11"/>
  <c r="Q1409" i="11"/>
  <c r="Q1369" i="11"/>
  <c r="Q1341" i="11"/>
  <c r="Q1309" i="11"/>
  <c r="Q1281" i="11"/>
  <c r="Q1241" i="11"/>
  <c r="Q1185" i="11"/>
  <c r="Q1145" i="11"/>
  <c r="Q1105" i="11"/>
  <c r="Q1081" i="11"/>
  <c r="Q1049" i="11"/>
  <c r="Q1021" i="11"/>
  <c r="Q977" i="11"/>
  <c r="Q925" i="11"/>
  <c r="Q877" i="11"/>
  <c r="Q841" i="11"/>
  <c r="Q813" i="11"/>
  <c r="Q785" i="11"/>
  <c r="Q749" i="11"/>
  <c r="Q685" i="11"/>
  <c r="Q2868" i="11"/>
  <c r="Q2548" i="11"/>
  <c r="Q2228" i="11"/>
  <c r="Q1972" i="11"/>
  <c r="Q1780" i="11"/>
  <c r="Q1332" i="11"/>
  <c r="Q633" i="11"/>
  <c r="Q2111" i="11"/>
  <c r="Q2079" i="11"/>
  <c r="Q2047" i="11"/>
  <c r="Q2015" i="11"/>
  <c r="Q1983" i="11"/>
  <c r="Q1951" i="11"/>
  <c r="Q1919" i="11"/>
  <c r="Q1887" i="11"/>
  <c r="Q1855" i="11"/>
  <c r="Q1823" i="11"/>
  <c r="Q1791" i="11"/>
  <c r="Q1759" i="11"/>
  <c r="Q1727" i="11"/>
  <c r="Q1695" i="11"/>
  <c r="Q1663" i="11"/>
  <c r="Q1631" i="11"/>
  <c r="Q1599" i="11"/>
  <c r="Q1567" i="11"/>
  <c r="Q1535" i="11"/>
  <c r="Q1495" i="11"/>
  <c r="Q1439" i="11"/>
  <c r="Q1359" i="11"/>
  <c r="Q1263" i="11"/>
  <c r="Q1183" i="11"/>
  <c r="Q1103" i="11"/>
  <c r="Q1007" i="11"/>
  <c r="Q927" i="11"/>
  <c r="Q847" i="11"/>
  <c r="Q767" i="11"/>
  <c r="Q653" i="11"/>
  <c r="Q513" i="11"/>
  <c r="Q2168" i="11"/>
  <c r="Q3360" i="11"/>
  <c r="Q3040" i="11"/>
  <c r="Q2552" i="11"/>
  <c r="Q959" i="11"/>
  <c r="Q169" i="11"/>
  <c r="Q3501" i="11"/>
  <c r="Q3437" i="11"/>
  <c r="Q3373" i="11"/>
  <c r="Q3309" i="11"/>
  <c r="Q3245" i="11"/>
  <c r="Q3181" i="11"/>
  <c r="Q3117" i="11"/>
  <c r="Q3053" i="11"/>
  <c r="Q2989" i="11"/>
  <c r="Q2925" i="11"/>
  <c r="Q2861" i="11"/>
  <c r="Q2797" i="11"/>
  <c r="Q2717" i="11"/>
  <c r="Q2653" i="11"/>
  <c r="Q2589" i="11"/>
  <c r="Q2525" i="11"/>
  <c r="Q2461" i="11"/>
  <c r="Q2397" i="11"/>
  <c r="Q2333" i="11"/>
  <c r="Q2241" i="11"/>
  <c r="Q2169" i="11"/>
  <c r="Q2077" i="11"/>
  <c r="Q1985" i="11"/>
  <c r="Q1913" i="11"/>
  <c r="Q1821" i="11"/>
  <c r="Q1729" i="11"/>
  <c r="Q1657" i="11"/>
  <c r="Q1565" i="11"/>
  <c r="Q1481" i="11"/>
  <c r="Q1433" i="11"/>
  <c r="Q1385" i="11"/>
  <c r="Q1257" i="11"/>
  <c r="Q1197" i="11"/>
  <c r="Q1149" i="11"/>
  <c r="Q1073" i="11"/>
  <c r="Q961" i="11"/>
  <c r="Q913" i="11"/>
  <c r="Q845" i="11"/>
  <c r="Q697" i="11"/>
  <c r="Q617" i="11"/>
  <c r="Q553" i="11"/>
  <c r="Q465" i="11"/>
  <c r="Q401" i="11"/>
  <c r="Q3488" i="11"/>
  <c r="Q2680" i="11"/>
  <c r="Q2360" i="11"/>
  <c r="Q1848" i="11"/>
  <c r="Q1524" i="11"/>
  <c r="Q1268" i="11"/>
  <c r="Q1012" i="11"/>
  <c r="Q692" i="11"/>
  <c r="Q3348" i="11"/>
  <c r="Q2740" i="11"/>
  <c r="Q862" i="11"/>
  <c r="Q1765" i="11"/>
  <c r="Q1630" i="11"/>
  <c r="Q1621" i="11"/>
  <c r="Q341" i="11"/>
  <c r="Q3456" i="11"/>
  <c r="Q3200" i="11"/>
  <c r="Q2944" i="11"/>
  <c r="Q3487" i="11"/>
  <c r="Q3455" i="11"/>
  <c r="Q3423" i="11"/>
  <c r="Q3391" i="11"/>
  <c r="Q3359" i="11"/>
  <c r="Q3327" i="11"/>
  <c r="Q3295" i="11"/>
  <c r="Q3263" i="11"/>
  <c r="Q3231" i="11"/>
  <c r="Q3199" i="11"/>
  <c r="Q3167" i="11"/>
  <c r="Q3135" i="11"/>
  <c r="Q3103" i="11"/>
  <c r="Q3071" i="11"/>
  <c r="Q3039" i="11"/>
  <c r="Q3007" i="11"/>
  <c r="Q2975" i="11"/>
  <c r="Q2943" i="11"/>
  <c r="Q2911" i="11"/>
  <c r="Q2879" i="11"/>
  <c r="Q2847" i="11"/>
  <c r="Q2815" i="11"/>
  <c r="Q2783" i="11"/>
  <c r="Q2751" i="11"/>
  <c r="Q2719" i="11"/>
  <c r="Q2687" i="11"/>
  <c r="Q2655" i="11"/>
  <c r="Q2623" i="11"/>
  <c r="Q2591" i="11"/>
  <c r="Q2559" i="11"/>
  <c r="Q2527" i="11"/>
  <c r="Q2495" i="11"/>
  <c r="Q2463" i="11"/>
  <c r="Q2431" i="11"/>
  <c r="Q2399" i="11"/>
  <c r="Q2371" i="11"/>
  <c r="Q3489" i="11"/>
  <c r="Q3465" i="11"/>
  <c r="Q3445" i="11"/>
  <c r="Q3425" i="11"/>
  <c r="Q3401" i="11"/>
  <c r="Q3381" i="11"/>
  <c r="Q3361" i="11"/>
  <c r="Q3337" i="11"/>
  <c r="Q3317" i="11"/>
  <c r="Q3297" i="11"/>
  <c r="Q3273" i="11"/>
  <c r="Q3253" i="11"/>
  <c r="Q3225" i="11"/>
  <c r="Q3205" i="11"/>
  <c r="Q3185" i="11"/>
  <c r="Q3161" i="11"/>
  <c r="Q3141" i="11"/>
  <c r="Q3121" i="11"/>
  <c r="Q3097" i="11"/>
  <c r="Q3077" i="11"/>
  <c r="Q3475" i="11"/>
  <c r="Q3443" i="11"/>
  <c r="Q3411" i="11"/>
  <c r="Q3379" i="11"/>
  <c r="Q3347" i="11"/>
  <c r="Q3315" i="11"/>
  <c r="Q3283" i="11"/>
  <c r="Q3251" i="11"/>
  <c r="Q3219" i="11"/>
  <c r="Q3045" i="11"/>
  <c r="Q3025" i="11"/>
  <c r="Q3001" i="11"/>
  <c r="Q2981" i="11"/>
  <c r="Q2961" i="11"/>
  <c r="Q2937" i="11"/>
  <c r="Q2917" i="11"/>
  <c r="Q2897" i="11"/>
  <c r="Q2873" i="11"/>
  <c r="Q2853" i="11"/>
  <c r="Q2833" i="11"/>
  <c r="Q2809" i="11"/>
  <c r="Q2789" i="11"/>
  <c r="Q2769" i="11"/>
  <c r="Q2745" i="11"/>
  <c r="Q2725" i="11"/>
  <c r="Q2705" i="11"/>
  <c r="Q2681" i="11"/>
  <c r="Q2661" i="11"/>
  <c r="Q2641" i="11"/>
  <c r="Q2617" i="11"/>
  <c r="Q2597" i="11"/>
  <c r="Q2577" i="11"/>
  <c r="Q2553" i="11"/>
  <c r="Q2533" i="11"/>
  <c r="Q2513" i="11"/>
  <c r="Q2489" i="11"/>
  <c r="Q2469" i="11"/>
  <c r="Q2449" i="11"/>
  <c r="Q2425" i="11"/>
  <c r="Q2405" i="11"/>
  <c r="Q2385" i="11"/>
  <c r="Q2349" i="11"/>
  <c r="Q2321" i="11"/>
  <c r="Q2289" i="11"/>
  <c r="Q2265" i="11"/>
  <c r="Q2237" i="11"/>
  <c r="Q2209" i="11"/>
  <c r="Q2185" i="11"/>
  <c r="Q2153" i="11"/>
  <c r="Q2125" i="11"/>
  <c r="Q3316" i="11"/>
  <c r="Q3156" i="11"/>
  <c r="Q2996" i="11"/>
  <c r="Q3171" i="11"/>
  <c r="Q3139" i="11"/>
  <c r="Q3107" i="11"/>
  <c r="Q3075" i="11"/>
  <c r="Q3043" i="11"/>
  <c r="Q3011" i="11"/>
  <c r="Q2979" i="11"/>
  <c r="Q2947" i="11"/>
  <c r="Q2915" i="11"/>
  <c r="Q2883" i="11"/>
  <c r="Q2851" i="11"/>
  <c r="Q2819" i="11"/>
  <c r="Q2787" i="11"/>
  <c r="Q2755" i="11"/>
  <c r="Q2723" i="11"/>
  <c r="Q2691" i="11"/>
  <c r="Q2659" i="11"/>
  <c r="Q2627" i="11"/>
  <c r="Q2595" i="11"/>
  <c r="Q2563" i="11"/>
  <c r="Q2531" i="11"/>
  <c r="Q2499" i="11"/>
  <c r="Q2467" i="11"/>
  <c r="Q2435" i="11"/>
  <c r="Q2403" i="11"/>
  <c r="Q2367" i="11"/>
  <c r="Q2335" i="11"/>
  <c r="Q2303" i="11"/>
  <c r="Q2271" i="11"/>
  <c r="Q2239" i="11"/>
  <c r="Q2207" i="11"/>
  <c r="Q2175" i="11"/>
  <c r="Q2143" i="11"/>
  <c r="Q625" i="11"/>
  <c r="Q2109" i="11"/>
  <c r="Q2081" i="11"/>
  <c r="Q2057" i="11"/>
  <c r="Q2025" i="11"/>
  <c r="Q1997" i="11"/>
  <c r="Q1965" i="11"/>
  <c r="Q1937" i="11"/>
  <c r="Q1905" i="11"/>
  <c r="Q1881" i="11"/>
  <c r="Q1853" i="11"/>
  <c r="Q1825" i="11"/>
  <c r="Q1801" i="11"/>
  <c r="Q1769" i="11"/>
  <c r="Q1741" i="11"/>
  <c r="Q1709" i="11"/>
  <c r="Q1681" i="11"/>
  <c r="Q1649" i="11"/>
  <c r="Q1625" i="11"/>
  <c r="Q1597" i="11"/>
  <c r="Q1569" i="11"/>
  <c r="Q1545" i="11"/>
  <c r="Q1497" i="11"/>
  <c r="Q1441" i="11"/>
  <c r="Q1401" i="11"/>
  <c r="Q1361" i="11"/>
  <c r="Q1337" i="11"/>
  <c r="Q1305" i="11"/>
  <c r="Q1277" i="11"/>
  <c r="Q1233" i="11"/>
  <c r="Q1181" i="11"/>
  <c r="Q1133" i="11"/>
  <c r="Q1097" i="11"/>
  <c r="Q1069" i="11"/>
  <c r="Q1041" i="11"/>
  <c r="Q1005" i="11"/>
  <c r="Q957" i="11"/>
  <c r="Q905" i="11"/>
  <c r="Q861" i="11"/>
  <c r="Q833" i="11"/>
  <c r="Q801" i="11"/>
  <c r="Q777" i="11"/>
  <c r="Q733" i="11"/>
  <c r="Q525" i="11"/>
  <c r="Q2804" i="11"/>
  <c r="Q2420" i="11"/>
  <c r="Q2164" i="11"/>
  <c r="Q1912" i="11"/>
  <c r="Q1716" i="11"/>
  <c r="Q1076" i="11"/>
  <c r="Q585" i="11"/>
  <c r="Q2099" i="11"/>
  <c r="Q2071" i="11"/>
  <c r="Q2035" i="11"/>
  <c r="Q2007" i="11"/>
  <c r="Q1971" i="11"/>
  <c r="Q1943" i="11"/>
  <c r="Q1907" i="11"/>
  <c r="Q1879" i="11"/>
  <c r="Q1843" i="11"/>
  <c r="Q1815" i="11"/>
  <c r="Q1779" i="11"/>
  <c r="Q1751" i="11"/>
  <c r="Q1715" i="11"/>
  <c r="Q1687" i="11"/>
  <c r="Q1651" i="11"/>
  <c r="Q1623" i="11"/>
  <c r="Q1587" i="11"/>
  <c r="Q1559" i="11"/>
  <c r="Q1523" i="11"/>
  <c r="Q1487" i="11"/>
  <c r="Q1423" i="11"/>
  <c r="Q1327" i="11"/>
  <c r="Q1247" i="11"/>
  <c r="Q1167" i="11"/>
  <c r="Q1071" i="11"/>
  <c r="Q991" i="11"/>
  <c r="Q911" i="11"/>
  <c r="Q815" i="11"/>
  <c r="Q719" i="11"/>
  <c r="Q589" i="11"/>
  <c r="Q3481" i="11"/>
  <c r="Q3461" i="11"/>
  <c r="Q3441" i="11"/>
  <c r="Q3417" i="11"/>
  <c r="Q3397" i="11"/>
  <c r="Q3377" i="11"/>
  <c r="Q3353" i="11"/>
  <c r="Q3333" i="11"/>
  <c r="Q3313" i="11"/>
  <c r="Q3289" i="11"/>
  <c r="Q3269" i="11"/>
  <c r="Q3249" i="11"/>
  <c r="Q3221" i="11"/>
  <c r="Q3201" i="11"/>
  <c r="Q3177" i="11"/>
  <c r="Q3157" i="11"/>
  <c r="Q3137" i="11"/>
  <c r="Q3113" i="11"/>
  <c r="Q3093" i="11"/>
  <c r="Q3073" i="11"/>
  <c r="Q3495" i="11"/>
  <c r="Q3463" i="11"/>
  <c r="Q3431" i="11"/>
  <c r="Q3399" i="11"/>
  <c r="Q3367" i="11"/>
  <c r="Q3335" i="11"/>
  <c r="Q3303" i="11"/>
  <c r="Q3271" i="11"/>
  <c r="Q3239" i="11"/>
  <c r="Q3207" i="11"/>
  <c r="Q3061" i="11"/>
  <c r="Q3041" i="11"/>
  <c r="Q3017" i="11"/>
  <c r="Q2997" i="11"/>
  <c r="Q2977" i="11"/>
  <c r="Q2953" i="11"/>
  <c r="Q2933" i="11"/>
  <c r="Q2913" i="11"/>
  <c r="Q2889" i="11"/>
  <c r="Q2869" i="11"/>
  <c r="Q2849" i="11"/>
  <c r="Q2825" i="11"/>
  <c r="Q2805" i="11"/>
  <c r="Q2785" i="11"/>
  <c r="Q2761" i="11"/>
  <c r="Q2741" i="11"/>
  <c r="Q2721" i="11"/>
  <c r="Q2697" i="11"/>
  <c r="Q2677" i="11"/>
  <c r="Q2657" i="11"/>
  <c r="Q2633" i="11"/>
  <c r="Q2613" i="11"/>
  <c r="Q2593" i="11"/>
  <c r="Q2569" i="11"/>
  <c r="Q2549" i="11"/>
  <c r="Q2529" i="11"/>
  <c r="Q2505" i="11"/>
  <c r="Q2485" i="11"/>
  <c r="Q2465" i="11"/>
  <c r="Q2441" i="11"/>
  <c r="Q2421" i="11"/>
  <c r="Q2401" i="11"/>
  <c r="Q2377" i="11"/>
  <c r="Q2345" i="11"/>
  <c r="Q2317" i="11"/>
  <c r="Q2285" i="11"/>
  <c r="Q2257" i="11"/>
  <c r="Q2225" i="11"/>
  <c r="Q2201" i="11"/>
  <c r="Q2173" i="11"/>
  <c r="Q2145" i="11"/>
  <c r="Q3444" i="11"/>
  <c r="Q3284" i="11"/>
  <c r="Q3124" i="11"/>
  <c r="Q3191" i="11"/>
  <c r="Q3159" i="11"/>
  <c r="Q3127" i="11"/>
  <c r="Q3095" i="11"/>
  <c r="Q3063" i="11"/>
  <c r="Q3031" i="11"/>
  <c r="Q2999" i="11"/>
  <c r="Q2967" i="11"/>
  <c r="Q2935" i="11"/>
  <c r="Q2903" i="11"/>
  <c r="Q2871" i="11"/>
  <c r="Q2839" i="11"/>
  <c r="Q2807" i="11"/>
  <c r="Q2775" i="11"/>
  <c r="Q2743" i="11"/>
  <c r="Q2711" i="11"/>
  <c r="Q2679" i="11"/>
  <c r="Q2647" i="11"/>
  <c r="Q2615" i="11"/>
  <c r="Q2583" i="11"/>
  <c r="Q2551" i="11"/>
  <c r="Q2519" i="11"/>
  <c r="Q2487" i="11"/>
  <c r="Q2455" i="11"/>
  <c r="Q2423" i="11"/>
  <c r="Q2391" i="11"/>
  <c r="Q2355" i="11"/>
  <c r="Q2327" i="11"/>
  <c r="Q2291" i="11"/>
  <c r="Q2263" i="11"/>
  <c r="Q2227" i="11"/>
  <c r="Q2199" i="11"/>
  <c r="Q2163" i="11"/>
  <c r="Q2135" i="11"/>
  <c r="Q577" i="11"/>
  <c r="Q2097" i="11"/>
  <c r="Q2073" i="11"/>
  <c r="Q2045" i="11"/>
  <c r="Q2017" i="11"/>
  <c r="Q1993" i="11"/>
  <c r="Q1961" i="11"/>
  <c r="Q1933" i="11"/>
  <c r="Q1901" i="11"/>
  <c r="Q1873" i="11"/>
  <c r="Q1841" i="11"/>
  <c r="Q1817" i="11"/>
  <c r="Q1789" i="11"/>
  <c r="Q1761" i="11"/>
  <c r="Q1737" i="11"/>
  <c r="Q1705" i="11"/>
  <c r="Q1677" i="11"/>
  <c r="Q1645" i="11"/>
  <c r="Q1617" i="11"/>
  <c r="Q1585" i="11"/>
  <c r="Q1561" i="11"/>
  <c r="Q1533" i="11"/>
  <c r="Q1489" i="11"/>
  <c r="Q1437" i="11"/>
  <c r="Q1389" i="11"/>
  <c r="Q1353" i="11"/>
  <c r="Q1325" i="11"/>
  <c r="Q1297" i="11"/>
  <c r="Q1261" i="11"/>
  <c r="Q1213" i="11"/>
  <c r="Q1161" i="11"/>
  <c r="Q1117" i="11"/>
  <c r="Q1089" i="11"/>
  <c r="Q1057" i="11"/>
  <c r="Q1033" i="11"/>
  <c r="Q993" i="11"/>
  <c r="Q953" i="11"/>
  <c r="Q897" i="11"/>
  <c r="Q857" i="11"/>
  <c r="Q829" i="11"/>
  <c r="Q797" i="11"/>
  <c r="Q761" i="11"/>
  <c r="Q721" i="11"/>
  <c r="Q2932" i="11"/>
  <c r="Q2676" i="11"/>
  <c r="Q2356" i="11"/>
  <c r="Q2100" i="11"/>
  <c r="Q1908" i="11"/>
  <c r="Q1652" i="11"/>
  <c r="Q820" i="11"/>
  <c r="Q569" i="11"/>
  <c r="Q2095" i="11"/>
  <c r="Q2063" i="11"/>
  <c r="Q2031" i="11"/>
  <c r="Q1999" i="11"/>
  <c r="Q1967" i="11"/>
  <c r="Q1935" i="11"/>
  <c r="Q1903" i="11"/>
  <c r="Q1871" i="11"/>
  <c r="Q1839" i="11"/>
  <c r="Q1807" i="11"/>
  <c r="Q1775" i="11"/>
  <c r="Q1743" i="11"/>
  <c r="Q1711" i="11"/>
  <c r="Q1679" i="11"/>
  <c r="Q1647" i="11"/>
  <c r="Q1615" i="11"/>
  <c r="Q1583" i="11"/>
  <c r="Q1551" i="11"/>
  <c r="Q1519" i="11"/>
  <c r="Q1459" i="11"/>
  <c r="Q1391" i="11"/>
  <c r="Q1311" i="11"/>
  <c r="Q1231" i="11"/>
  <c r="Q1135" i="11"/>
  <c r="Q1055" i="11"/>
  <c r="Q975" i="11"/>
  <c r="Q879" i="11"/>
  <c r="Q799" i="11"/>
  <c r="Q703" i="11"/>
  <c r="Q557" i="11"/>
  <c r="Q1784" i="11"/>
  <c r="Q3168" i="11"/>
  <c r="Q1471" i="11"/>
  <c r="Q527" i="11"/>
  <c r="Q3469" i="11"/>
  <c r="Q3405" i="11"/>
  <c r="Q3341" i="11"/>
  <c r="Q3277" i="11"/>
  <c r="Q3213" i="11"/>
  <c r="Q3149" i="11"/>
  <c r="Q3085" i="11"/>
  <c r="Q3021" i="11"/>
  <c r="Q2957" i="11"/>
  <c r="Q2893" i="11"/>
  <c r="Q2829" i="11"/>
  <c r="Q2749" i="11"/>
  <c r="Q2685" i="11"/>
  <c r="Q2621" i="11"/>
  <c r="Q2557" i="11"/>
  <c r="Q2493" i="11"/>
  <c r="Q2429" i="11"/>
  <c r="Q2369" i="11"/>
  <c r="Q2297" i="11"/>
  <c r="Q2205" i="11"/>
  <c r="Q2113" i="11"/>
  <c r="Q2041" i="11"/>
  <c r="Q1949" i="11"/>
  <c r="Q1857" i="11"/>
  <c r="Q1785" i="11"/>
  <c r="Q1693" i="11"/>
  <c r="Q1601" i="11"/>
  <c r="Q1529" i="11"/>
  <c r="Q1457" i="11"/>
  <c r="Q1405" i="11"/>
  <c r="Q1329" i="11"/>
  <c r="Q1225" i="11"/>
  <c r="Q1177" i="11"/>
  <c r="Q1121" i="11"/>
  <c r="Q989" i="11"/>
  <c r="Q937" i="11"/>
  <c r="Q893" i="11"/>
  <c r="Q729" i="11"/>
  <c r="Q641" i="11"/>
  <c r="Q605" i="11"/>
  <c r="Q529" i="11"/>
  <c r="Q445" i="11"/>
  <c r="Q377" i="11"/>
  <c r="Q2976" i="11"/>
  <c r="Q2488" i="11"/>
  <c r="Q2104" i="11"/>
  <c r="Q1656" i="11"/>
  <c r="Q1396" i="11"/>
  <c r="Q1140" i="11"/>
  <c r="Q884" i="11"/>
  <c r="Q568" i="11"/>
  <c r="Q3092" i="11"/>
  <c r="Q760" i="11"/>
  <c r="Q2149" i="11"/>
  <c r="Q1109" i="11"/>
  <c r="Q2005" i="11"/>
  <c r="Q853" i="11"/>
  <c r="Q3328" i="11"/>
  <c r="Q3072" i="11"/>
  <c r="Q3471" i="11"/>
  <c r="Q3439" i="11"/>
  <c r="Q3407" i="11"/>
  <c r="Q3375" i="11"/>
  <c r="Q3343" i="11"/>
  <c r="Q3311" i="11"/>
  <c r="Q3279" i="11"/>
  <c r="Q3247" i="11"/>
  <c r="Q3215" i="11"/>
  <c r="Q3183" i="11"/>
  <c r="Q3151" i="11"/>
  <c r="Q3119" i="11"/>
  <c r="Q3087" i="11"/>
  <c r="Q3055" i="11"/>
  <c r="Q3023" i="11"/>
  <c r="Q2991" i="11"/>
  <c r="Q2959" i="11"/>
  <c r="Q2927" i="11"/>
  <c r="Q2895" i="11"/>
  <c r="Q2863" i="11"/>
  <c r="Q2831" i="11"/>
  <c r="Q2799" i="11"/>
  <c r="Q2767" i="11"/>
  <c r="Q2735" i="11"/>
  <c r="Q2703" i="11"/>
  <c r="Q2671" i="11"/>
  <c r="Q2639" i="11"/>
  <c r="Q2607" i="11"/>
  <c r="Q2575" i="11"/>
  <c r="Q2543" i="11"/>
  <c r="Q2511" i="11"/>
  <c r="Q3477" i="11"/>
  <c r="Q3393" i="11"/>
  <c r="Q3305" i="11"/>
  <c r="Q3217" i="11"/>
  <c r="Q3129" i="11"/>
  <c r="Q3427" i="11"/>
  <c r="Q3299" i="11"/>
  <c r="Q3013" i="11"/>
  <c r="Q2929" i="11"/>
  <c r="Q2841" i="11"/>
  <c r="Q2757" i="11"/>
  <c r="Q2673" i="11"/>
  <c r="Q2585" i="11"/>
  <c r="Q2501" i="11"/>
  <c r="Q2417" i="11"/>
  <c r="Q2313" i="11"/>
  <c r="Q2193" i="11"/>
  <c r="Q3252" i="11"/>
  <c r="Q3123" i="11"/>
  <c r="Q2995" i="11"/>
  <c r="Q2867" i="11"/>
  <c r="Q2739" i="11"/>
  <c r="Q2611" i="11"/>
  <c r="Q2483" i="11"/>
  <c r="Q2351" i="11"/>
  <c r="Q2223" i="11"/>
  <c r="Q561" i="11"/>
  <c r="Q2009" i="11"/>
  <c r="Q1897" i="11"/>
  <c r="Q1777" i="11"/>
  <c r="Q1673" i="11"/>
  <c r="Q1553" i="11"/>
  <c r="Q1373" i="11"/>
  <c r="Q1249" i="11"/>
  <c r="Q1085" i="11"/>
  <c r="Q929" i="11"/>
  <c r="Q793" i="11"/>
  <c r="Q2612" i="11"/>
  <c r="Q1588" i="11"/>
  <c r="Q2055" i="11"/>
  <c r="Q1927" i="11"/>
  <c r="Q1799" i="11"/>
  <c r="Q1671" i="11"/>
  <c r="Q1543" i="11"/>
  <c r="Q1295" i="11"/>
  <c r="Q943" i="11"/>
  <c r="Q521" i="11"/>
  <c r="Q3424" i="11"/>
  <c r="Q687" i="11"/>
  <c r="Q2765" i="11"/>
  <c r="Q3389" i="11"/>
  <c r="Q3261" i="11"/>
  <c r="Q3133" i="11"/>
  <c r="Q3005" i="11"/>
  <c r="Q2877" i="11"/>
  <c r="Q2733" i="11"/>
  <c r="Q2605" i="11"/>
  <c r="Q2477" i="11"/>
  <c r="Q2361" i="11"/>
  <c r="Q2177" i="11"/>
  <c r="Q2013" i="11"/>
  <c r="Q1849" i="11"/>
  <c r="Q1665" i="11"/>
  <c r="Q1501" i="11"/>
  <c r="Q1393" i="11"/>
  <c r="Q1217" i="11"/>
  <c r="Q1101" i="11"/>
  <c r="Q921" i="11"/>
  <c r="Q705" i="11"/>
  <c r="Q573" i="11"/>
  <c r="Q413" i="11"/>
  <c r="Q2744" i="11"/>
  <c r="Q1976" i="11"/>
  <c r="Q1336" i="11"/>
  <c r="Q756" i="11"/>
  <c r="Q2964" i="11"/>
  <c r="Q1877" i="11"/>
  <c r="Q1957" i="11"/>
  <c r="Q3136" i="11"/>
  <c r="Q3499" i="11"/>
  <c r="Q3435" i="11"/>
  <c r="Q3371" i="11"/>
  <c r="Q3307" i="11"/>
  <c r="Q3243" i="11"/>
  <c r="Q3179" i="11"/>
  <c r="Q3115" i="11"/>
  <c r="Q3051" i="11"/>
  <c r="Q2987" i="11"/>
  <c r="Q2923" i="11"/>
  <c r="Q2859" i="11"/>
  <c r="Q2795" i="11"/>
  <c r="Q2731" i="11"/>
  <c r="Q2667" i="11"/>
  <c r="Q2603" i="11"/>
  <c r="Q2539" i="11"/>
  <c r="Q2479" i="11"/>
  <c r="Q2443" i="11"/>
  <c r="Q2395" i="11"/>
  <c r="Q2343" i="11"/>
  <c r="Q2283" i="11"/>
  <c r="Q2231" i="11"/>
  <c r="Q2167" i="11"/>
  <c r="Q2115" i="11"/>
  <c r="Q2051" i="11"/>
  <c r="Q2003" i="11"/>
  <c r="Q1939" i="11"/>
  <c r="Q1895" i="11"/>
  <c r="Q1831" i="11"/>
  <c r="Q1771" i="11"/>
  <c r="Q1719" i="11"/>
  <c r="Q1655" i="11"/>
  <c r="Q1603" i="11"/>
  <c r="Q1539" i="11"/>
  <c r="Q1491" i="11"/>
  <c r="Q3378" i="11"/>
  <c r="Q3234" i="11"/>
  <c r="Q3010" i="11"/>
  <c r="Q2862" i="11"/>
  <c r="Q2626" i="11"/>
  <c r="Q2386" i="11"/>
  <c r="Q2302" i="11"/>
  <c r="Q2178" i="11"/>
  <c r="Q2062" i="11"/>
  <c r="Q1978" i="11"/>
  <c r="Q1806" i="11"/>
  <c r="Q1722" i="11"/>
  <c r="Q1566" i="11"/>
  <c r="Q1498" i="11"/>
  <c r="Q1310" i="11"/>
  <c r="Q1242" i="11"/>
  <c r="Q1086" i="11"/>
  <c r="Q1006" i="11"/>
  <c r="Q830" i="11"/>
  <c r="Q750" i="11"/>
  <c r="Q610" i="11"/>
  <c r="Q510" i="11"/>
  <c r="Q73" i="11"/>
  <c r="Q3484" i="11"/>
  <c r="Q3464" i="11"/>
  <c r="Q3440" i="11"/>
  <c r="Q3420" i="11"/>
  <c r="Q3400" i="11"/>
  <c r="Q3376" i="11"/>
  <c r="Q3356" i="11"/>
  <c r="Q3336" i="11"/>
  <c r="Q3312" i="11"/>
  <c r="Q3292" i="11"/>
  <c r="Q3272" i="11"/>
  <c r="Q3248" i="11"/>
  <c r="Q3228" i="11"/>
  <c r="Q3208" i="11"/>
  <c r="Q3184" i="11"/>
  <c r="Q3164" i="11"/>
  <c r="Q3144" i="11"/>
  <c r="Q3120" i="11"/>
  <c r="Q3100" i="11"/>
  <c r="Q3080" i="11"/>
  <c r="Q3056" i="11"/>
  <c r="Q3036" i="11"/>
  <c r="Q3016" i="11"/>
  <c r="Q2992" i="11"/>
  <c r="Q2972" i="11"/>
  <c r="Q2952" i="11"/>
  <c r="Q2928" i="11"/>
  <c r="Q2908" i="11"/>
  <c r="Q2888" i="11"/>
  <c r="Q2864" i="11"/>
  <c r="Q2848" i="11"/>
  <c r="Q2832" i="11"/>
  <c r="Q2816" i="11"/>
  <c r="Q2792" i="11"/>
  <c r="Q2776" i="11"/>
  <c r="Q2760" i="11"/>
  <c r="Q2736" i="11"/>
  <c r="Q2720" i="11"/>
  <c r="Q2704" i="11"/>
  <c r="Q2688" i="11"/>
  <c r="Q2664" i="11"/>
  <c r="Q2648" i="11"/>
  <c r="Q2632" i="11"/>
  <c r="Q2608" i="11"/>
  <c r="Q2592" i="11"/>
  <c r="Q2576" i="11"/>
  <c r="Q2560" i="11"/>
  <c r="Q2536" i="11"/>
  <c r="Q2520" i="11"/>
  <c r="Q2504" i="11"/>
  <c r="Q2480" i="11"/>
  <c r="Q2464" i="11"/>
  <c r="Q2448" i="11"/>
  <c r="Q2432" i="11"/>
  <c r="Q2408" i="11"/>
  <c r="Q2392" i="11"/>
  <c r="Q2376" i="11"/>
  <c r="Q2344" i="11"/>
  <c r="Q2324" i="11"/>
  <c r="Q2300" i="11"/>
  <c r="Q2268" i="11"/>
  <c r="Q2248" i="11"/>
  <c r="Q2216" i="11"/>
  <c r="Q2196" i="11"/>
  <c r="Q2176" i="11"/>
  <c r="Q2148" i="11"/>
  <c r="Q2124" i="11"/>
  <c r="Q2092" i="11"/>
  <c r="Q2072" i="11"/>
  <c r="Q2052" i="11"/>
  <c r="Q2020" i="11"/>
  <c r="Q1996" i="11"/>
  <c r="Q1964" i="11"/>
  <c r="Q1944" i="11"/>
  <c r="Q1924" i="11"/>
  <c r="Q1896" i="11"/>
  <c r="Q1876" i="11"/>
  <c r="Q1852" i="11"/>
  <c r="Q1820" i="11"/>
  <c r="Q1800" i="11"/>
  <c r="Q1768" i="11"/>
  <c r="Q1748" i="11"/>
  <c r="Q1724" i="11"/>
  <c r="Q1692" i="11"/>
  <c r="Q1672" i="11"/>
  <c r="Q1644" i="11"/>
  <c r="Q1624" i="11"/>
  <c r="Q1604" i="11"/>
  <c r="Q1572" i="11"/>
  <c r="Q1548" i="11"/>
  <c r="Q1516" i="11"/>
  <c r="Q1496" i="11"/>
  <c r="Q1476" i="11"/>
  <c r="Q1444" i="11"/>
  <c r="Q1416" i="11"/>
  <c r="Q1388" i="11"/>
  <c r="Q1368" i="11"/>
  <c r="Q1348" i="11"/>
  <c r="Q1316" i="11"/>
  <c r="Q1292" i="11"/>
  <c r="Q1260" i="11"/>
  <c r="Q1240" i="11"/>
  <c r="Q1220" i="11"/>
  <c r="Q1188" i="11"/>
  <c r="Q1160" i="11"/>
  <c r="Q1132" i="11"/>
  <c r="Q1112" i="11"/>
  <c r="Q1092" i="11"/>
  <c r="Q1060" i="11"/>
  <c r="Q1036" i="11"/>
  <c r="Q1004" i="11"/>
  <c r="Q984" i="11"/>
  <c r="Q964" i="11"/>
  <c r="Q932" i="11"/>
  <c r="Q904" i="11"/>
  <c r="Q876" i="11"/>
  <c r="Q856" i="11"/>
  <c r="Q836" i="11"/>
  <c r="Q804" i="11"/>
  <c r="Q780" i="11"/>
  <c r="Q748" i="11"/>
  <c r="Q728" i="11"/>
  <c r="Q700" i="11"/>
  <c r="Q664" i="11"/>
  <c r="Q636" i="11"/>
  <c r="Q600" i="11"/>
  <c r="Q580" i="11"/>
  <c r="Q540" i="11"/>
  <c r="Q520" i="11"/>
  <c r="Q129" i="11"/>
  <c r="Q17" i="11"/>
  <c r="Q1431" i="11"/>
  <c r="Q1403" i="11"/>
  <c r="Q1383" i="11"/>
  <c r="Q1347" i="11"/>
  <c r="Q1319" i="11"/>
  <c r="Q1275" i="11"/>
  <c r="Q1255" i="11"/>
  <c r="Q1223" i="11"/>
  <c r="Q1195" i="11"/>
  <c r="Q1171" i="11"/>
  <c r="Q1143" i="11"/>
  <c r="Q1123" i="11"/>
  <c r="Q1079" i="11"/>
  <c r="Q1047" i="11"/>
  <c r="Q1015" i="11"/>
  <c r="Q995" i="11"/>
  <c r="Q963" i="11"/>
  <c r="Q935" i="11"/>
  <c r="Q903" i="11"/>
  <c r="Q883" i="11"/>
  <c r="Q855" i="11"/>
  <c r="Q819" i="11"/>
  <c r="Q787" i="11"/>
  <c r="Q755" i="11"/>
  <c r="Q727" i="11"/>
  <c r="Q695" i="11"/>
  <c r="Q675" i="11"/>
  <c r="Q643" i="11"/>
  <c r="Q619" i="11"/>
  <c r="Q583" i="11"/>
  <c r="Q551" i="11"/>
  <c r="Q313" i="11"/>
  <c r="Q225" i="11"/>
  <c r="Q177" i="11"/>
  <c r="Q504" i="11"/>
  <c r="Q484" i="11"/>
  <c r="Q460" i="11"/>
  <c r="Q444" i="11"/>
  <c r="Q420" i="11"/>
  <c r="Q396" i="11"/>
  <c r="Q376" i="11"/>
  <c r="Q348" i="11"/>
  <c r="Q325" i="11"/>
  <c r="Q285" i="11"/>
  <c r="Q245" i="11"/>
  <c r="Q213" i="11"/>
  <c r="Q165" i="11"/>
  <c r="Q109" i="11"/>
  <c r="Q61" i="11"/>
  <c r="Q21" i="11"/>
  <c r="Q491" i="11"/>
  <c r="Q463" i="11"/>
  <c r="Q439" i="11"/>
  <c r="Q423" i="11"/>
  <c r="Q403" i="11"/>
  <c r="Q387" i="11"/>
  <c r="Q371" i="11"/>
  <c r="Q351" i="11"/>
  <c r="Q231" i="11"/>
  <c r="Q255" i="11"/>
  <c r="Q283" i="11"/>
  <c r="Q311" i="11"/>
  <c r="Q327" i="11"/>
  <c r="Q256" i="11"/>
  <c r="Q3457" i="11"/>
  <c r="Q3369" i="11"/>
  <c r="Q3285" i="11"/>
  <c r="Q3193" i="11"/>
  <c r="Q3109" i="11"/>
  <c r="Q3395" i="11"/>
  <c r="Q3267" i="11"/>
  <c r="Q2993" i="11"/>
  <c r="Q2905" i="11"/>
  <c r="Q2821" i="11"/>
  <c r="Q2737" i="11"/>
  <c r="Q2649" i="11"/>
  <c r="Q2565" i="11"/>
  <c r="Q2481" i="11"/>
  <c r="Q2393" i="11"/>
  <c r="Q2281" i="11"/>
  <c r="Q2161" i="11"/>
  <c r="Q3060" i="11"/>
  <c r="Q3091" i="11"/>
  <c r="Q2963" i="11"/>
  <c r="Q2835" i="11"/>
  <c r="Q2707" i="11"/>
  <c r="Q2579" i="11"/>
  <c r="Q2451" i="11"/>
  <c r="Q2319" i="11"/>
  <c r="Q2191" i="11"/>
  <c r="Q2093" i="11"/>
  <c r="Q1981" i="11"/>
  <c r="Q1869" i="11"/>
  <c r="Q1753" i="11"/>
  <c r="Q1641" i="11"/>
  <c r="Q1517" i="11"/>
  <c r="Q1345" i="11"/>
  <c r="Q1209" i="11"/>
  <c r="Q1053" i="11"/>
  <c r="Q889" i="11"/>
  <c r="Q753" i="11"/>
  <c r="Q2292" i="11"/>
  <c r="Q696" i="11"/>
  <c r="Q2019" i="11"/>
  <c r="Q1891" i="11"/>
  <c r="Q1763" i="11"/>
  <c r="Q1635" i="11"/>
  <c r="Q1503" i="11"/>
  <c r="Q1199" i="11"/>
  <c r="Q863" i="11"/>
  <c r="Q3296" i="11"/>
  <c r="Q2808" i="11"/>
  <c r="Q193" i="11"/>
  <c r="Q3485" i="11"/>
  <c r="Q3357" i="11"/>
  <c r="Q3229" i="11"/>
  <c r="Q3101" i="11"/>
  <c r="Q2973" i="11"/>
  <c r="Q2845" i="11"/>
  <c r="Q2701" i="11"/>
  <c r="Q2573" i="11"/>
  <c r="Q2445" i="11"/>
  <c r="Q2305" i="11"/>
  <c r="Q2141" i="11"/>
  <c r="Q1977" i="11"/>
  <c r="Q1793" i="11"/>
  <c r="Q1629" i="11"/>
  <c r="Q1473" i="11"/>
  <c r="Q1377" i="11"/>
  <c r="Q1193" i="11"/>
  <c r="Q1017" i="11"/>
  <c r="Q909" i="11"/>
  <c r="Q681" i="11"/>
  <c r="Q541" i="11"/>
  <c r="Q385" i="11"/>
  <c r="Q2616" i="11"/>
  <c r="Q1720" i="11"/>
  <c r="Q1204" i="11"/>
  <c r="Q628" i="11"/>
  <c r="Q2484" i="11"/>
  <c r="Q1365" i="11"/>
  <c r="Q1061" i="11"/>
  <c r="Q3008" i="11"/>
  <c r="Q3483" i="11"/>
  <c r="Q3419" i="11"/>
  <c r="Q3355" i="11"/>
  <c r="Q3291" i="11"/>
  <c r="Q3227" i="11"/>
  <c r="Q3163" i="11"/>
  <c r="Q3099" i="11"/>
  <c r="Q3035" i="11"/>
  <c r="Q2971" i="11"/>
  <c r="Q2907" i="11"/>
  <c r="Q2843" i="11"/>
  <c r="Q2779" i="11"/>
  <c r="Q2715" i="11"/>
  <c r="Q2651" i="11"/>
  <c r="Q2587" i="11"/>
  <c r="Q2523" i="11"/>
  <c r="Q2475" i="11"/>
  <c r="Q2427" i="11"/>
  <c r="Q2383" i="11"/>
  <c r="Q2323" i="11"/>
  <c r="Q2279" i="11"/>
  <c r="Q2215" i="11"/>
  <c r="Q2155" i="11"/>
  <c r="Q2103" i="11"/>
  <c r="Q2039" i="11"/>
  <c r="Q1987" i="11"/>
  <c r="Q1923" i="11"/>
  <c r="Q1875" i="11"/>
  <c r="Q1811" i="11"/>
  <c r="Q1767" i="11"/>
  <c r="Q1703" i="11"/>
  <c r="Q1643" i="11"/>
  <c r="Q1591" i="11"/>
  <c r="Q1527" i="11"/>
  <c r="Q1475" i="11"/>
  <c r="Q3374" i="11"/>
  <c r="Q3138" i="11"/>
  <c r="Q2994" i="11"/>
  <c r="Q2794" i="11"/>
  <c r="Q2622" i="11"/>
  <c r="Q2382" i="11"/>
  <c r="Q2298" i="11"/>
  <c r="Q2126" i="11"/>
  <c r="Q2042" i="11"/>
  <c r="Q1906" i="11"/>
  <c r="Q1802" i="11"/>
  <c r="Q1706" i="11"/>
  <c r="Q1546" i="11"/>
  <c r="Q1450" i="11"/>
  <c r="Q1306" i="11"/>
  <c r="Q1226" i="11"/>
  <c r="Q1050" i="11"/>
  <c r="Q970" i="11"/>
  <c r="Q814" i="11"/>
  <c r="Q746" i="11"/>
  <c r="Q558" i="11"/>
  <c r="Q474" i="11"/>
  <c r="Q3500" i="11"/>
  <c r="Q3480" i="11"/>
  <c r="Q3460" i="11"/>
  <c r="Q3436" i="11"/>
  <c r="Q3416" i="11"/>
  <c r="Q3396" i="11"/>
  <c r="Q3372" i="11"/>
  <c r="Q3352" i="11"/>
  <c r="Q3332" i="11"/>
  <c r="Q3308" i="11"/>
  <c r="Q3288" i="11"/>
  <c r="Q3268" i="11"/>
  <c r="Q3244" i="11"/>
  <c r="Q3224" i="11"/>
  <c r="Q3204" i="11"/>
  <c r="Q3180" i="11"/>
  <c r="Q3160" i="11"/>
  <c r="Q3140" i="11"/>
  <c r="Q3116" i="11"/>
  <c r="Q3096" i="11"/>
  <c r="Q3076" i="11"/>
  <c r="Q3052" i="11"/>
  <c r="Q3032" i="11"/>
  <c r="Q3012" i="11"/>
  <c r="Q2988" i="11"/>
  <c r="Q2968" i="11"/>
  <c r="Q2948" i="11"/>
  <c r="Q2924" i="11"/>
  <c r="Q2904" i="11"/>
  <c r="Q2884" i="11"/>
  <c r="Q2860" i="11"/>
  <c r="Q2844" i="11"/>
  <c r="Q2828" i="11"/>
  <c r="Q2812" i="11"/>
  <c r="Q2788" i="11"/>
  <c r="Q2772" i="11"/>
  <c r="Q2756" i="11"/>
  <c r="Q2732" i="11"/>
  <c r="Q2716" i="11"/>
  <c r="Q2700" i="11"/>
  <c r="Q2684" i="11"/>
  <c r="Q2660" i="11"/>
  <c r="Q2644" i="11"/>
  <c r="Q2628" i="11"/>
  <c r="Q2604" i="11"/>
  <c r="Q2588" i="11"/>
  <c r="Q2572" i="11"/>
  <c r="Q2556" i="11"/>
  <c r="Q2532" i="11"/>
  <c r="Q2516" i="11"/>
  <c r="Q2500" i="11"/>
  <c r="Q2476" i="11"/>
  <c r="Q2460" i="11"/>
  <c r="Q2444" i="11"/>
  <c r="Q2428" i="11"/>
  <c r="Q2404" i="11"/>
  <c r="Q2388" i="11"/>
  <c r="Q2372" i="11"/>
  <c r="Q2340" i="11"/>
  <c r="Q2316" i="11"/>
  <c r="Q2284" i="11"/>
  <c r="Q2264" i="11"/>
  <c r="Q2244" i="11"/>
  <c r="Q2212" i="11"/>
  <c r="Q2188" i="11"/>
  <c r="Q2172" i="11"/>
  <c r="Q2140" i="11"/>
  <c r="Q2120" i="11"/>
  <c r="Q2088" i="11"/>
  <c r="Q2068" i="11"/>
  <c r="Q2044" i="11"/>
  <c r="Q2012" i="11"/>
  <c r="Q1992" i="11"/>
  <c r="Q1960" i="11"/>
  <c r="Q1940" i="11"/>
  <c r="Q1920" i="11"/>
  <c r="Q1892" i="11"/>
  <c r="Q1868" i="11"/>
  <c r="Q1836" i="11"/>
  <c r="Q1816" i="11"/>
  <c r="Q1796" i="11"/>
  <c r="Q1764" i="11"/>
  <c r="Q1740" i="11"/>
  <c r="Q1708" i="11"/>
  <c r="Q1688" i="11"/>
  <c r="Q1668" i="11"/>
  <c r="Q1640" i="11"/>
  <c r="Q1620" i="11"/>
  <c r="Q1596" i="11"/>
  <c r="Q1564" i="11"/>
  <c r="Q1544" i="11"/>
  <c r="Q1512" i="11"/>
  <c r="Q1492" i="11"/>
  <c r="Q1468" i="11"/>
  <c r="Q1436" i="11"/>
  <c r="Q1412" i="11"/>
  <c r="Q1384" i="11"/>
  <c r="Q1364" i="11"/>
  <c r="Q1340" i="11"/>
  <c r="Q1308" i="11"/>
  <c r="Q1288" i="11"/>
  <c r="Q1256" i="11"/>
  <c r="Q1236" i="11"/>
  <c r="Q1212" i="11"/>
  <c r="Q1180" i="11"/>
  <c r="Q1156" i="11"/>
  <c r="Q1128" i="11"/>
  <c r="Q1108" i="11"/>
  <c r="Q1084" i="11"/>
  <c r="Q1052" i="11"/>
  <c r="Q1032" i="11"/>
  <c r="Q1000" i="11"/>
  <c r="Q980" i="11"/>
  <c r="Q956" i="11"/>
  <c r="Q924" i="11"/>
  <c r="Q900" i="11"/>
  <c r="Q872" i="11"/>
  <c r="Q852" i="11"/>
  <c r="Q828" i="11"/>
  <c r="Q796" i="11"/>
  <c r="Q776" i="11"/>
  <c r="Q744" i="11"/>
  <c r="Q724" i="11"/>
  <c r="Q684" i="11"/>
  <c r="Q652" i="11"/>
  <c r="Q620" i="11"/>
  <c r="Q596" i="11"/>
  <c r="Q572" i="11"/>
  <c r="Q536" i="11"/>
  <c r="Q329" i="11"/>
  <c r="Q97" i="11"/>
  <c r="Q1451" i="11"/>
  <c r="Q1427" i="11"/>
  <c r="Q1399" i="11"/>
  <c r="Q1379" i="11"/>
  <c r="Q1335" i="11"/>
  <c r="Q1303" i="11"/>
  <c r="Q1271" i="11"/>
  <c r="Q1251" i="11"/>
  <c r="Q1219" i="11"/>
  <c r="Q1191" i="11"/>
  <c r="Q1159" i="11"/>
  <c r="Q1139" i="11"/>
  <c r="Q1111" i="11"/>
  <c r="Q1075" i="11"/>
  <c r="Q1043" i="11"/>
  <c r="Q1011" i="11"/>
  <c r="Q983" i="11"/>
  <c r="Q951" i="11"/>
  <c r="Q931" i="11"/>
  <c r="Q899" i="11"/>
  <c r="Q875" i="11"/>
  <c r="Q851" i="11"/>
  <c r="Q811" i="11"/>
  <c r="Q771" i="11"/>
  <c r="Q747" i="11"/>
  <c r="Q723" i="11"/>
  <c r="Q691" i="11"/>
  <c r="Q663" i="11"/>
  <c r="Q635" i="11"/>
  <c r="Q615" i="11"/>
  <c r="Q579" i="11"/>
  <c r="Q535" i="11"/>
  <c r="Q281" i="11"/>
  <c r="Q217" i="11"/>
  <c r="Q3433" i="11"/>
  <c r="Q3349" i="11"/>
  <c r="Q3265" i="11"/>
  <c r="Q3173" i="11"/>
  <c r="Q3089" i="11"/>
  <c r="Q3491" i="11"/>
  <c r="Q3363" i="11"/>
  <c r="Q3235" i="11"/>
  <c r="Q3057" i="11"/>
  <c r="Q2969" i="11"/>
  <c r="Q2885" i="11"/>
  <c r="Q2801" i="11"/>
  <c r="Q2713" i="11"/>
  <c r="Q2629" i="11"/>
  <c r="Q2545" i="11"/>
  <c r="Q2457" i="11"/>
  <c r="Q2365" i="11"/>
  <c r="Q2253" i="11"/>
  <c r="Q2137" i="11"/>
  <c r="Q3187" i="11"/>
  <c r="Q3059" i="11"/>
  <c r="Q2931" i="11"/>
  <c r="Q2803" i="11"/>
  <c r="Q2675" i="11"/>
  <c r="Q2547" i="11"/>
  <c r="Q2419" i="11"/>
  <c r="Q2287" i="11"/>
  <c r="Q2159" i="11"/>
  <c r="Q2065" i="11"/>
  <c r="Q1953" i="11"/>
  <c r="Q1837" i="11"/>
  <c r="Q1725" i="11"/>
  <c r="Q1613" i="11"/>
  <c r="Q1469" i="11"/>
  <c r="Q1313" i="11"/>
  <c r="Q1153" i="11"/>
  <c r="Q1025" i="11"/>
  <c r="Q849" i="11"/>
  <c r="Q713" i="11"/>
  <c r="Q2036" i="11"/>
  <c r="Q2119" i="11"/>
  <c r="Q1991" i="11"/>
  <c r="Q1863" i="11"/>
  <c r="Q1735" i="11"/>
  <c r="Q1607" i="11"/>
  <c r="Q1455" i="11"/>
  <c r="Q1119" i="11"/>
  <c r="Q783" i="11"/>
  <c r="Q2296" i="11"/>
  <c r="Q3104" i="11"/>
  <c r="Q3453" i="11"/>
  <c r="Q3325" i="11"/>
  <c r="Q3197" i="11"/>
  <c r="Q3069" i="11"/>
  <c r="Q2941" i="11"/>
  <c r="Q2813" i="11"/>
  <c r="Q2669" i="11"/>
  <c r="Q2541" i="11"/>
  <c r="Q2413" i="11"/>
  <c r="Q2269" i="11"/>
  <c r="Q2105" i="11"/>
  <c r="Q1921" i="11"/>
  <c r="Q1757" i="11"/>
  <c r="Q1593" i="11"/>
  <c r="Q1453" i="11"/>
  <c r="Q1273" i="11"/>
  <c r="Q1169" i="11"/>
  <c r="Q969" i="11"/>
  <c r="Q865" i="11"/>
  <c r="Q637" i="11"/>
  <c r="Q477" i="11"/>
  <c r="Q353" i="11"/>
  <c r="Q2424" i="11"/>
  <c r="Q1592" i="11"/>
  <c r="Q1080" i="11"/>
  <c r="Q3476" i="11"/>
  <c r="Q3262" i="11"/>
  <c r="Q405" i="11"/>
  <c r="Q661" i="11"/>
  <c r="Q3392" i="11"/>
  <c r="Q2880" i="11"/>
  <c r="Q3467" i="11"/>
  <c r="Q3403" i="11"/>
  <c r="Q3339" i="11"/>
  <c r="Q3275" i="11"/>
  <c r="Q3211" i="11"/>
  <c r="Q3147" i="11"/>
  <c r="Q3083" i="11"/>
  <c r="Q3019" i="11"/>
  <c r="Q2955" i="11"/>
  <c r="Q2891" i="11"/>
  <c r="Q2827" i="11"/>
  <c r="Q2763" i="11"/>
  <c r="Q2699" i="11"/>
  <c r="Q2635" i="11"/>
  <c r="Q2571" i="11"/>
  <c r="Q2507" i="11"/>
  <c r="Q2459" i="11"/>
  <c r="Q2415" i="11"/>
  <c r="Q2379" i="11"/>
  <c r="Q2307" i="11"/>
  <c r="Q2259" i="11"/>
  <c r="Q2195" i="11"/>
  <c r="Q2151" i="11"/>
  <c r="Q2087" i="11"/>
  <c r="Q2027" i="11"/>
  <c r="Q1975" i="11"/>
  <c r="Q1911" i="11"/>
  <c r="Q1859" i="11"/>
  <c r="Q1795" i="11"/>
  <c r="Q1747" i="11"/>
  <c r="Q1683" i="11"/>
  <c r="Q1639" i="11"/>
  <c r="Q1575" i="11"/>
  <c r="Q1515" i="11"/>
  <c r="Q1463" i="11"/>
  <c r="Q3346" i="11"/>
  <c r="Q3106" i="11"/>
  <c r="Q2962" i="11"/>
  <c r="Q2674" i="11"/>
  <c r="Q2450" i="11"/>
  <c r="Q2334" i="11"/>
  <c r="Q2266" i="11"/>
  <c r="Q2110" i="11"/>
  <c r="Q2030" i="11"/>
  <c r="Q1854" i="11"/>
  <c r="Q1774" i="11"/>
  <c r="Q1634" i="11"/>
  <c r="Q1534" i="11"/>
  <c r="Q1426" i="11"/>
  <c r="Q1278" i="11"/>
  <c r="Q1154" i="11"/>
  <c r="Q1038" i="11"/>
  <c r="Q954" i="11"/>
  <c r="Q782" i="11"/>
  <c r="Q698" i="11"/>
  <c r="Q542" i="11"/>
  <c r="Q458" i="11"/>
  <c r="Q3496" i="11"/>
  <c r="Q3472" i="11"/>
  <c r="Q3452" i="11"/>
  <c r="Q3432" i="11"/>
  <c r="Q3408" i="11"/>
  <c r="Q3388" i="11"/>
  <c r="Q3368" i="11"/>
  <c r="Q3344" i="11"/>
  <c r="Q3324" i="11"/>
  <c r="Q3304" i="11"/>
  <c r="Q3280" i="11"/>
  <c r="Q3260" i="11"/>
  <c r="Q3240" i="11"/>
  <c r="Q3216" i="11"/>
  <c r="Q3196" i="11"/>
  <c r="Q3176" i="11"/>
  <c r="Q3152" i="11"/>
  <c r="Q3132" i="11"/>
  <c r="Q3112" i="11"/>
  <c r="Q3088" i="11"/>
  <c r="Q3068" i="11"/>
  <c r="Q3048" i="11"/>
  <c r="Q3024" i="11"/>
  <c r="Q3004" i="11"/>
  <c r="Q2984" i="11"/>
  <c r="Q2960" i="11"/>
  <c r="Q2940" i="11"/>
  <c r="Q2920" i="11"/>
  <c r="Q2896" i="11"/>
  <c r="Q2876" i="11"/>
  <c r="Q2856" i="11"/>
  <c r="Q2840" i="11"/>
  <c r="Q2824" i="11"/>
  <c r="Q2800" i="11"/>
  <c r="Q2784" i="11"/>
  <c r="Q2768" i="11"/>
  <c r="Q2752" i="11"/>
  <c r="Q2728" i="11"/>
  <c r="Q2712" i="11"/>
  <c r="Q2696" i="11"/>
  <c r="Q2672" i="11"/>
  <c r="Q2656" i="11"/>
  <c r="Q2640" i="11"/>
  <c r="Q2624" i="11"/>
  <c r="Q2600" i="11"/>
  <c r="Q2584" i="11"/>
  <c r="Q2568" i="11"/>
  <c r="Q2544" i="11"/>
  <c r="Q2528" i="11"/>
  <c r="Q2512" i="11"/>
  <c r="Q2496" i="11"/>
  <c r="Q2472" i="11"/>
  <c r="Q2456" i="11"/>
  <c r="Q2440" i="11"/>
  <c r="Q2416" i="11"/>
  <c r="Q2400" i="11"/>
  <c r="Q2384" i="11"/>
  <c r="Q2364" i="11"/>
  <c r="Q2332" i="11"/>
  <c r="Q2312" i="11"/>
  <c r="Q2280" i="11"/>
  <c r="Q2260" i="11"/>
  <c r="Q2236" i="11"/>
  <c r="Q2204" i="11"/>
  <c r="Q2184" i="11"/>
  <c r="Q2156" i="11"/>
  <c r="Q2136" i="11"/>
  <c r="Q2116" i="11"/>
  <c r="Q2084" i="11"/>
  <c r="Q2060" i="11"/>
  <c r="Q2028" i="11"/>
  <c r="Q2008" i="11"/>
  <c r="Q1988" i="11"/>
  <c r="Q1956" i="11"/>
  <c r="Q1932" i="11"/>
  <c r="Q1916" i="11"/>
  <c r="Q1884" i="11"/>
  <c r="Q1864" i="11"/>
  <c r="Q1832" i="11"/>
  <c r="Q1812" i="11"/>
  <c r="Q1788" i="11"/>
  <c r="Q1756" i="11"/>
  <c r="Q1736" i="11"/>
  <c r="Q1704" i="11"/>
  <c r="Q1684" i="11"/>
  <c r="Q1664" i="11"/>
  <c r="Q1636" i="11"/>
  <c r="Q1612" i="11"/>
  <c r="Q1580" i="11"/>
  <c r="Q1560" i="11"/>
  <c r="Q1540" i="11"/>
  <c r="Q1508" i="11"/>
  <c r="Q1484" i="11"/>
  <c r="Q1452" i="11"/>
  <c r="Q1432" i="11"/>
  <c r="Q1408" i="11"/>
  <c r="Q1380" i="11"/>
  <c r="Q1356" i="11"/>
  <c r="Q1324" i="11"/>
  <c r="Q1304" i="11"/>
  <c r="Q1284" i="11"/>
  <c r="Q1252" i="11"/>
  <c r="Q1228" i="11"/>
  <c r="Q1196" i="11"/>
  <c r="Q1176" i="11"/>
  <c r="Q1152" i="11"/>
  <c r="Q1124" i="11"/>
  <c r="Q1100" i="11"/>
  <c r="Q1068" i="11"/>
  <c r="Q1048" i="11"/>
  <c r="Q1028" i="11"/>
  <c r="Q996" i="11"/>
  <c r="Q972" i="11"/>
  <c r="Q940" i="11"/>
  <c r="Q920" i="11"/>
  <c r="Q896" i="11"/>
  <c r="Q868" i="11"/>
  <c r="Q844" i="11"/>
  <c r="Q812" i="11"/>
  <c r="Q792" i="11"/>
  <c r="Q772" i="11"/>
  <c r="Q740" i="11"/>
  <c r="Q716" i="11"/>
  <c r="Q676" i="11"/>
  <c r="Q648" i="11"/>
  <c r="Q612" i="11"/>
  <c r="Q588" i="11"/>
  <c r="Q552" i="11"/>
  <c r="Q532" i="11"/>
  <c r="Q161" i="11"/>
  <c r="Q81" i="11"/>
  <c r="Q1447" i="11"/>
  <c r="Q1415" i="11"/>
  <c r="Q1395" i="11"/>
  <c r="Q1367" i="11"/>
  <c r="Q1331" i="11"/>
  <c r="Q1299" i="11"/>
  <c r="Q1267" i="11"/>
  <c r="Q1239" i="11"/>
  <c r="Q1207" i="11"/>
  <c r="Q1187" i="11"/>
  <c r="Q1155" i="11"/>
  <c r="Q1131" i="11"/>
  <c r="Q1107" i="11"/>
  <c r="Q1067" i="11"/>
  <c r="Q1027" i="11"/>
  <c r="Q1003" i="11"/>
  <c r="Q979" i="11"/>
  <c r="Q947" i="11"/>
  <c r="Q919" i="11"/>
  <c r="Q891" i="11"/>
  <c r="Q871" i="11"/>
  <c r="Q835" i="11"/>
  <c r="Q807" i="11"/>
  <c r="Q763" i="11"/>
  <c r="Q743" i="11"/>
  <c r="Q711" i="11"/>
  <c r="Q683" i="11"/>
  <c r="Q659" i="11"/>
  <c r="Q631" i="11"/>
  <c r="Q611" i="11"/>
  <c r="Q563" i="11"/>
  <c r="Q531" i="11"/>
  <c r="Q265" i="11"/>
  <c r="Q201" i="11"/>
  <c r="Q512" i="11"/>
  <c r="Q492" i="11"/>
  <c r="Q472" i="11"/>
  <c r="Q452" i="11"/>
  <c r="Q436" i="11"/>
  <c r="Q408" i="11"/>
  <c r="Q384" i="11"/>
  <c r="Q364" i="11"/>
  <c r="Q340" i="11"/>
  <c r="Q309" i="11"/>
  <c r="Q269" i="11"/>
  <c r="Q229" i="11"/>
  <c r="Q181" i="11"/>
  <c r="Q125" i="11"/>
  <c r="Q85" i="11"/>
  <c r="Q45" i="11"/>
  <c r="Q499" i="11"/>
  <c r="Q483" i="11"/>
  <c r="Q451" i="11"/>
  <c r="Q431" i="11"/>
  <c r="Q415" i="11"/>
  <c r="Q395" i="11"/>
  <c r="Q379" i="11"/>
  <c r="Q359" i="11"/>
  <c r="Q219" i="11"/>
  <c r="Q247" i="11"/>
  <c r="Q263" i="11"/>
  <c r="Q303" i="11"/>
  <c r="Q319" i="11"/>
  <c r="Q335" i="11"/>
  <c r="Q332" i="11"/>
  <c r="J3499" i="11"/>
  <c r="J3495" i="11"/>
  <c r="J3491" i="11"/>
  <c r="J3487" i="11"/>
  <c r="J3483" i="11"/>
  <c r="J3479" i="11"/>
  <c r="J3475" i="11"/>
  <c r="J3471" i="11"/>
  <c r="J3467" i="11"/>
  <c r="J3463" i="11"/>
  <c r="J3459" i="11"/>
  <c r="J3455" i="11"/>
  <c r="J3451" i="11"/>
  <c r="J3447" i="11"/>
  <c r="J3443" i="11"/>
  <c r="J3439" i="11"/>
  <c r="J3435" i="11"/>
  <c r="J3431" i="11"/>
  <c r="J3427" i="11"/>
  <c r="J3423" i="11"/>
  <c r="J3419" i="11"/>
  <c r="J3415" i="11"/>
  <c r="J3411" i="11"/>
  <c r="J3407" i="11"/>
  <c r="J3403" i="11"/>
  <c r="J3399" i="11"/>
  <c r="J3395" i="11"/>
  <c r="J3391" i="11"/>
  <c r="J3387" i="11"/>
  <c r="J3383" i="11"/>
  <c r="J3379" i="11"/>
  <c r="J3375" i="11"/>
  <c r="J3371" i="11"/>
  <c r="J3367" i="11"/>
  <c r="J3363" i="11"/>
  <c r="J3359" i="11"/>
  <c r="J3355" i="11"/>
  <c r="J3351" i="11"/>
  <c r="J3347" i="11"/>
  <c r="J3343" i="11"/>
  <c r="J3339" i="11"/>
  <c r="J3335" i="11"/>
  <c r="J3331" i="11"/>
  <c r="J3327" i="11"/>
  <c r="J3323" i="11"/>
  <c r="J3319" i="11"/>
  <c r="J3315" i="11"/>
  <c r="J3311" i="11"/>
  <c r="J3307" i="11"/>
  <c r="J3303" i="11"/>
  <c r="J3299" i="11"/>
  <c r="J3295" i="11"/>
  <c r="J3291" i="11"/>
  <c r="J3287" i="11"/>
  <c r="J3283" i="11"/>
  <c r="J3279" i="11"/>
  <c r="J3275" i="11"/>
  <c r="J3271" i="11"/>
  <c r="J3267" i="11"/>
  <c r="J3263" i="11"/>
  <c r="J3259" i="11"/>
  <c r="J3255" i="11"/>
  <c r="J3251" i="11"/>
  <c r="J3247" i="11"/>
  <c r="J3243" i="11"/>
  <c r="J3239" i="11"/>
  <c r="J3235" i="11"/>
  <c r="J3231" i="11"/>
  <c r="J3227" i="11"/>
  <c r="J3223" i="11"/>
  <c r="J3219" i="11"/>
  <c r="J3215" i="11"/>
  <c r="J3211" i="11"/>
  <c r="J3207" i="11"/>
  <c r="J3203" i="11"/>
  <c r="J3199" i="11"/>
  <c r="J3195" i="11"/>
  <c r="J3191" i="11"/>
  <c r="J3187" i="11"/>
  <c r="J3183" i="11"/>
  <c r="J3179" i="11"/>
  <c r="J3175" i="11"/>
  <c r="J3171" i="11"/>
  <c r="J3167" i="11"/>
  <c r="J3163" i="11"/>
  <c r="J3159" i="11"/>
  <c r="J3155" i="11"/>
  <c r="J3151" i="11"/>
  <c r="J3147" i="11"/>
  <c r="J3143" i="11"/>
  <c r="J3139" i="11"/>
  <c r="J3135" i="11"/>
  <c r="J3131" i="11"/>
  <c r="J3127" i="11"/>
  <c r="J3123" i="11"/>
  <c r="J3119" i="11"/>
  <c r="J3115" i="11"/>
  <c r="J3111" i="11"/>
  <c r="J3107" i="11"/>
  <c r="J3103" i="11"/>
  <c r="J3099" i="11"/>
  <c r="J3095" i="11"/>
  <c r="J3091" i="11"/>
  <c r="J3087" i="11"/>
  <c r="J3083" i="11"/>
  <c r="J3079" i="11"/>
  <c r="J3075" i="11"/>
  <c r="J3071" i="11"/>
  <c r="J3067" i="11"/>
  <c r="J3063" i="11"/>
  <c r="J3059" i="11"/>
  <c r="J3055" i="11"/>
  <c r="J3051" i="11"/>
  <c r="J3047" i="11"/>
  <c r="J3043" i="11"/>
  <c r="J3039" i="11"/>
  <c r="J3035" i="11"/>
  <c r="J3031" i="11"/>
  <c r="J3027" i="11"/>
  <c r="J3023" i="11"/>
  <c r="J3019" i="11"/>
  <c r="J3015" i="11"/>
  <c r="J3011" i="11"/>
  <c r="J3007" i="11"/>
  <c r="J3003" i="11"/>
  <c r="J2999" i="11"/>
  <c r="J2995" i="11"/>
  <c r="J2991" i="11"/>
  <c r="J2987" i="11"/>
  <c r="J2983" i="11"/>
  <c r="J2979" i="11"/>
  <c r="J2975" i="11"/>
  <c r="J2971" i="11"/>
  <c r="J2967" i="11"/>
  <c r="J2963" i="11"/>
  <c r="J2959" i="11"/>
  <c r="J2955" i="11"/>
  <c r="J2951" i="11"/>
  <c r="J2947" i="11"/>
  <c r="J2943" i="11"/>
  <c r="J2939" i="11"/>
  <c r="J2935" i="11"/>
  <c r="J2931" i="11"/>
  <c r="J2927" i="11"/>
  <c r="J2923" i="11"/>
  <c r="J2919" i="11"/>
  <c r="J2915" i="11"/>
  <c r="J2911" i="11"/>
  <c r="J2907" i="11"/>
  <c r="J2903" i="11"/>
  <c r="J2899" i="11"/>
  <c r="J2895" i="11"/>
  <c r="J2891" i="11"/>
  <c r="J2887" i="11"/>
  <c r="J2883" i="11"/>
  <c r="J2879" i="11"/>
  <c r="J2875" i="11"/>
  <c r="J2871" i="11"/>
  <c r="J2867" i="11"/>
  <c r="J2863" i="11"/>
  <c r="J2859" i="11"/>
  <c r="J2855" i="11"/>
  <c r="J2851" i="11"/>
  <c r="J2847" i="11"/>
  <c r="J2843" i="11"/>
  <c r="J2839" i="11"/>
  <c r="J2835" i="11"/>
  <c r="J2831" i="11"/>
  <c r="J2827" i="11"/>
  <c r="J2823" i="11"/>
  <c r="J2819" i="11"/>
  <c r="J2815" i="11"/>
  <c r="J2811" i="11"/>
  <c r="J2807" i="11"/>
  <c r="J2803" i="11"/>
  <c r="J2799" i="11"/>
  <c r="J2795" i="11"/>
  <c r="J2791" i="11"/>
  <c r="J2787" i="11"/>
  <c r="J2783" i="11"/>
  <c r="J2779" i="11"/>
  <c r="J2775" i="11"/>
  <c r="J2771" i="11"/>
  <c r="J2767" i="11"/>
  <c r="J2763" i="11"/>
  <c r="J2759" i="11"/>
  <c r="J2755" i="11"/>
  <c r="J2751" i="11"/>
  <c r="J2747" i="11"/>
  <c r="J2743" i="11"/>
  <c r="J2739" i="11"/>
  <c r="J2735" i="11"/>
  <c r="J2731" i="11"/>
  <c r="J2727" i="11"/>
  <c r="J2723" i="11"/>
  <c r="J2719" i="11"/>
  <c r="J2715" i="11"/>
  <c r="J2711" i="11"/>
  <c r="J2707" i="11"/>
  <c r="J2703" i="11"/>
  <c r="J2699" i="11"/>
  <c r="J2695" i="11"/>
  <c r="J2691" i="11"/>
  <c r="J2687" i="11"/>
  <c r="J2683" i="11"/>
  <c r="J2679" i="11"/>
  <c r="J2675" i="11"/>
  <c r="J2671" i="11"/>
  <c r="J2667" i="11"/>
  <c r="J2663" i="11"/>
  <c r="J2659" i="11"/>
  <c r="J2655" i="11"/>
  <c r="J2651" i="11"/>
  <c r="J2647" i="11"/>
  <c r="J2643" i="11"/>
  <c r="J2639" i="11"/>
  <c r="J2635" i="11"/>
  <c r="J2631" i="11"/>
  <c r="J2627" i="11"/>
  <c r="J2623" i="11"/>
  <c r="J2619" i="11"/>
  <c r="J2615" i="11"/>
  <c r="J2611" i="11"/>
  <c r="J2607" i="11"/>
  <c r="J2603" i="11"/>
  <c r="J2599" i="11"/>
  <c r="J2595" i="11"/>
  <c r="J2591" i="11"/>
  <c r="J2587" i="11"/>
  <c r="J2583" i="11"/>
  <c r="J2579" i="11"/>
  <c r="J2575" i="11"/>
  <c r="J2571" i="11"/>
  <c r="J2567" i="11"/>
  <c r="J2563" i="11"/>
  <c r="J2559" i="11"/>
  <c r="J2555" i="11"/>
  <c r="J2551" i="11"/>
  <c r="J2547" i="11"/>
  <c r="J2543" i="11"/>
  <c r="J2539" i="11"/>
  <c r="J2535" i="11"/>
  <c r="J2531" i="11"/>
  <c r="J2527" i="11"/>
  <c r="J2523" i="11"/>
  <c r="J2519" i="11"/>
  <c r="J2515" i="11"/>
  <c r="J2511" i="11"/>
  <c r="J2507" i="11"/>
  <c r="J2503" i="11"/>
  <c r="J2499" i="11"/>
  <c r="J2495" i="11"/>
  <c r="J2491" i="11"/>
  <c r="J2487" i="11"/>
  <c r="J2483" i="11"/>
  <c r="J2479" i="11"/>
  <c r="J2475" i="11"/>
  <c r="J2471" i="11"/>
  <c r="J2467" i="11"/>
  <c r="J2463" i="11"/>
  <c r="J2459" i="11"/>
  <c r="J2455" i="11"/>
  <c r="J2451" i="11"/>
  <c r="J2447" i="11"/>
  <c r="J2443" i="11"/>
  <c r="J2439" i="11"/>
  <c r="J2435" i="11"/>
  <c r="J2431" i="11"/>
  <c r="J2427" i="11"/>
  <c r="J2423" i="11"/>
  <c r="J2419" i="11"/>
  <c r="J2415" i="11"/>
  <c r="J2411" i="11"/>
  <c r="J2407" i="11"/>
  <c r="J2403" i="11"/>
  <c r="J2399" i="11"/>
  <c r="J2395" i="11"/>
  <c r="J2391" i="11"/>
  <c r="J2387" i="11"/>
  <c r="J2383" i="11"/>
  <c r="J2379" i="11"/>
  <c r="J2375" i="11"/>
  <c r="J2371" i="11"/>
  <c r="J2367" i="11"/>
  <c r="J2363" i="11"/>
  <c r="J2359" i="11"/>
  <c r="J2355" i="11"/>
  <c r="J2351" i="11"/>
  <c r="J2347" i="11"/>
  <c r="J2343" i="11"/>
  <c r="J2339" i="11"/>
  <c r="J2335" i="11"/>
  <c r="J2331" i="11"/>
  <c r="J2327" i="11"/>
  <c r="J2323" i="11"/>
  <c r="J2319" i="11"/>
  <c r="J2315" i="11"/>
  <c r="J2311" i="11"/>
  <c r="J2307" i="11"/>
  <c r="J2303" i="11"/>
  <c r="J2299" i="11"/>
  <c r="J2295" i="11"/>
  <c r="J2291" i="11"/>
  <c r="J2287" i="11"/>
  <c r="J2283" i="11"/>
  <c r="J2279" i="11"/>
  <c r="J2275" i="11"/>
  <c r="J2271" i="11"/>
  <c r="J2267" i="11"/>
  <c r="J2263" i="11"/>
  <c r="J2259" i="11"/>
  <c r="J2255" i="11"/>
  <c r="J2251" i="11"/>
  <c r="J2247" i="11"/>
  <c r="J2243" i="11"/>
  <c r="J2239" i="11"/>
  <c r="J2235" i="11"/>
  <c r="J2231" i="11"/>
  <c r="J2227" i="11"/>
  <c r="J2223" i="11"/>
  <c r="J2219" i="11"/>
  <c r="J2215" i="11"/>
  <c r="J2211" i="11"/>
  <c r="J2207" i="11"/>
  <c r="J2203" i="11"/>
  <c r="J2199" i="11"/>
  <c r="J2195" i="11"/>
  <c r="J2191" i="11"/>
  <c r="J2187" i="11"/>
  <c r="J2183" i="11"/>
  <c r="J2179" i="11"/>
  <c r="J2175" i="11"/>
  <c r="J2171" i="11"/>
  <c r="J2167" i="11"/>
  <c r="J2163" i="11"/>
  <c r="J2159" i="11"/>
  <c r="J2155" i="11"/>
  <c r="J2151" i="11"/>
  <c r="J2147" i="11"/>
  <c r="J2143" i="11"/>
  <c r="J2139" i="11"/>
  <c r="J2135" i="11"/>
  <c r="J2131" i="11"/>
  <c r="J2127" i="11"/>
  <c r="J2123" i="11"/>
  <c r="J2119" i="11"/>
  <c r="J2115" i="11"/>
  <c r="J2111" i="11"/>
  <c r="J2107" i="11"/>
  <c r="J2103" i="11"/>
  <c r="J2099" i="11"/>
  <c r="J2095" i="11"/>
  <c r="J2091" i="11"/>
  <c r="J2087" i="11"/>
  <c r="J2083" i="11"/>
  <c r="J2079" i="11"/>
  <c r="J2075" i="11"/>
  <c r="J2071" i="11"/>
  <c r="J2067" i="11"/>
  <c r="J2063" i="11"/>
  <c r="J2059" i="11"/>
  <c r="J2055" i="11"/>
  <c r="J2051" i="11"/>
  <c r="J2047" i="11"/>
  <c r="J2043" i="11"/>
  <c r="J2039" i="11"/>
  <c r="J2035" i="11"/>
  <c r="J2031" i="11"/>
  <c r="J2027" i="11"/>
  <c r="J2023" i="11"/>
  <c r="J2019" i="11"/>
  <c r="J2015" i="11"/>
  <c r="J2011" i="11"/>
  <c r="J2007" i="11"/>
  <c r="J2003" i="11"/>
  <c r="J1999" i="11"/>
  <c r="J1995" i="11"/>
  <c r="J1991" i="11"/>
  <c r="J1987" i="11"/>
  <c r="J1983" i="11"/>
  <c r="J1979" i="11"/>
  <c r="J1975" i="11"/>
  <c r="J1971" i="11"/>
  <c r="J1967" i="11"/>
  <c r="J1963" i="11"/>
  <c r="J1959" i="11"/>
  <c r="J1955" i="11"/>
  <c r="J1951" i="11"/>
  <c r="J1947" i="11"/>
  <c r="J1943" i="11"/>
  <c r="J1939" i="11"/>
  <c r="J1935" i="11"/>
  <c r="J1931" i="11"/>
  <c r="J1927" i="11"/>
  <c r="J1923" i="11"/>
  <c r="J1919" i="11"/>
  <c r="J1915" i="11"/>
  <c r="J1911" i="11"/>
  <c r="J1907" i="11"/>
  <c r="J1903" i="11"/>
  <c r="J1899" i="11"/>
  <c r="J1895" i="11"/>
  <c r="J1891" i="11"/>
  <c r="J1887" i="11"/>
  <c r="J1883" i="11"/>
  <c r="J1879" i="11"/>
  <c r="J1875" i="11"/>
  <c r="J1871" i="11"/>
  <c r="J1867" i="11"/>
  <c r="J1863" i="11"/>
  <c r="J1859" i="11"/>
  <c r="J1855" i="11"/>
  <c r="J1851" i="11"/>
  <c r="J1847" i="11"/>
  <c r="J1843" i="11"/>
  <c r="J1839" i="11"/>
  <c r="J1835" i="11"/>
  <c r="J1831" i="11"/>
  <c r="J1827" i="11"/>
  <c r="J1823" i="11"/>
  <c r="J1819" i="11"/>
  <c r="J1815" i="11"/>
  <c r="J1811" i="11"/>
  <c r="J1807" i="11"/>
  <c r="J1803" i="11"/>
  <c r="J1799" i="11"/>
  <c r="J1795" i="11"/>
  <c r="J1791" i="11"/>
  <c r="J1787" i="11"/>
  <c r="J1783" i="11"/>
  <c r="J1779" i="11"/>
  <c r="J1775" i="11"/>
  <c r="J1771" i="11"/>
  <c r="J1767" i="11"/>
  <c r="J1763" i="11"/>
  <c r="J1759" i="11"/>
  <c r="J1755" i="11"/>
  <c r="J1751" i="11"/>
  <c r="J1747" i="11"/>
  <c r="J1743" i="11"/>
  <c r="J1739" i="11"/>
  <c r="J1735" i="11"/>
  <c r="J1731" i="11"/>
  <c r="J1727" i="11"/>
  <c r="J1723" i="11"/>
  <c r="J1719" i="11"/>
  <c r="J1715" i="11"/>
  <c r="J1711" i="11"/>
  <c r="J1707" i="11"/>
  <c r="J1703" i="11"/>
  <c r="J1699" i="11"/>
  <c r="J1695" i="11"/>
  <c r="J1691" i="11"/>
  <c r="J1687" i="11"/>
  <c r="J1683" i="11"/>
  <c r="J1679" i="11"/>
  <c r="J1675" i="11"/>
  <c r="J1671" i="11"/>
  <c r="J1667" i="11"/>
  <c r="J1663" i="11"/>
  <c r="J1659" i="11"/>
  <c r="J1655" i="11"/>
  <c r="J1651" i="11"/>
  <c r="J1647" i="11"/>
  <c r="J1643" i="11"/>
  <c r="J1639" i="11"/>
  <c r="J1635" i="11"/>
  <c r="J1631" i="11"/>
  <c r="J1627" i="11"/>
  <c r="J1623" i="11"/>
  <c r="J1619" i="11"/>
  <c r="J1615" i="11"/>
  <c r="J1611" i="11"/>
  <c r="J1607" i="11"/>
  <c r="J1603" i="11"/>
  <c r="J1599" i="11"/>
  <c r="J1595" i="11"/>
  <c r="J1591" i="11"/>
  <c r="J1587" i="11"/>
  <c r="J1583" i="11"/>
  <c r="J1579" i="11"/>
  <c r="J1575" i="11"/>
  <c r="J1571" i="11"/>
  <c r="J1567" i="11"/>
  <c r="J1563" i="11"/>
  <c r="J1559" i="11"/>
  <c r="J1555" i="11"/>
  <c r="J1551" i="11"/>
  <c r="J1547" i="11"/>
  <c r="J1543" i="11"/>
  <c r="J1539" i="11"/>
  <c r="J1535" i="11"/>
  <c r="J1531" i="11"/>
  <c r="J1527" i="11"/>
  <c r="J1523" i="11"/>
  <c r="J1519" i="11"/>
  <c r="J1515" i="11"/>
  <c r="J1511" i="11"/>
  <c r="J1507" i="11"/>
  <c r="J1503" i="11"/>
  <c r="J1499" i="11"/>
  <c r="J1495" i="11"/>
  <c r="J1491" i="11"/>
  <c r="J1487" i="11"/>
  <c r="J1483" i="11"/>
  <c r="J1479" i="11"/>
  <c r="J1475" i="11"/>
  <c r="J1471" i="11"/>
  <c r="J1467" i="11"/>
  <c r="J1463" i="11"/>
  <c r="J1459" i="11"/>
  <c r="J1455" i="11"/>
  <c r="J1451" i="11"/>
  <c r="J1447" i="11"/>
  <c r="J1443" i="11"/>
  <c r="J1439" i="11"/>
  <c r="J1435" i="11"/>
  <c r="J1431" i="11"/>
  <c r="J1427" i="11"/>
  <c r="J1423" i="11"/>
  <c r="J1419" i="11"/>
  <c r="J1415" i="11"/>
  <c r="J1411" i="11"/>
  <c r="J1407" i="11"/>
  <c r="J1403" i="11"/>
  <c r="J1399" i="11"/>
  <c r="J1395" i="11"/>
  <c r="J1391" i="11"/>
  <c r="J1387" i="11"/>
  <c r="J1383" i="11"/>
  <c r="J1379" i="11"/>
  <c r="J1375" i="11"/>
  <c r="J1371" i="11"/>
  <c r="J1367" i="11"/>
  <c r="J1363" i="11"/>
  <c r="J1359" i="11"/>
  <c r="J1355" i="11"/>
  <c r="J1351" i="11"/>
  <c r="J1347" i="11"/>
  <c r="J1343" i="11"/>
  <c r="J1339" i="11"/>
  <c r="J1335" i="11"/>
  <c r="J1331" i="11"/>
  <c r="J1327" i="11"/>
  <c r="J1323" i="11"/>
  <c r="J1319" i="11"/>
  <c r="J1315" i="11"/>
  <c r="J1311" i="11"/>
  <c r="J1307" i="11"/>
  <c r="J1303" i="11"/>
  <c r="J1299" i="11"/>
  <c r="J1295" i="11"/>
  <c r="J1291" i="11"/>
  <c r="J1287" i="11"/>
  <c r="J1283" i="11"/>
  <c r="J1279" i="11"/>
  <c r="J1275" i="11"/>
  <c r="J1271" i="11"/>
  <c r="J1267" i="11"/>
  <c r="J1263" i="11"/>
  <c r="J1259" i="11"/>
  <c r="J1255" i="11"/>
  <c r="J1251" i="11"/>
  <c r="J1247" i="11"/>
  <c r="J1243" i="11"/>
  <c r="J1239" i="11"/>
  <c r="J1235" i="11"/>
  <c r="J1231" i="11"/>
  <c r="J1227" i="11"/>
  <c r="J1223" i="11"/>
  <c r="J1219" i="11"/>
  <c r="J1215" i="11"/>
  <c r="J1211" i="11"/>
  <c r="J1207" i="11"/>
  <c r="J1203" i="11"/>
  <c r="J1199" i="11"/>
  <c r="J1195" i="11"/>
  <c r="J1191" i="11"/>
  <c r="J1187" i="11"/>
  <c r="J1183" i="11"/>
  <c r="J1179" i="11"/>
  <c r="J1175" i="11"/>
  <c r="J1171" i="11"/>
  <c r="J1167" i="11"/>
  <c r="J1163" i="11"/>
  <c r="J1159" i="11"/>
  <c r="J1155" i="11"/>
  <c r="J1151" i="11"/>
  <c r="J1147" i="11"/>
  <c r="J1143" i="11"/>
  <c r="J1139" i="11"/>
  <c r="J1135" i="11"/>
  <c r="J1131" i="11"/>
  <c r="J1127" i="11"/>
  <c r="J1123" i="11"/>
  <c r="J1119" i="11"/>
  <c r="J1115" i="11"/>
  <c r="J1111" i="11"/>
  <c r="J1107" i="11"/>
  <c r="J1103" i="11"/>
  <c r="J1099" i="11"/>
  <c r="J1095" i="11"/>
  <c r="J1091" i="11"/>
  <c r="J1087" i="11"/>
  <c r="J1083" i="11"/>
  <c r="J1079" i="11"/>
  <c r="J1075" i="11"/>
  <c r="J1071" i="11"/>
  <c r="J1067" i="11"/>
  <c r="J1063" i="11"/>
  <c r="J1059" i="11"/>
  <c r="J1055" i="11"/>
  <c r="J1051" i="11"/>
  <c r="J1047" i="11"/>
  <c r="J1043" i="11"/>
  <c r="J1039" i="11"/>
  <c r="J1035" i="11"/>
  <c r="J1031" i="11"/>
  <c r="J1027" i="11"/>
  <c r="J1023" i="11"/>
  <c r="J1019" i="11"/>
  <c r="J1015" i="11"/>
  <c r="J1011" i="11"/>
  <c r="J1007" i="11"/>
  <c r="J1003" i="11"/>
  <c r="J999" i="11"/>
  <c r="J995" i="11"/>
  <c r="J991" i="11"/>
  <c r="J987" i="11"/>
  <c r="J983" i="11"/>
  <c r="J979" i="11"/>
  <c r="J975" i="11"/>
  <c r="J971" i="11"/>
  <c r="J967" i="11"/>
  <c r="J963" i="11"/>
  <c r="J959" i="11"/>
  <c r="J955" i="11"/>
  <c r="J951" i="11"/>
  <c r="J947" i="11"/>
  <c r="J943" i="11"/>
  <c r="J939" i="11"/>
  <c r="J935" i="11"/>
  <c r="J931" i="11"/>
  <c r="J927" i="11"/>
  <c r="J923" i="11"/>
  <c r="J919" i="11"/>
  <c r="J915" i="11"/>
  <c r="J911" i="11"/>
  <c r="J907" i="11"/>
  <c r="J903" i="11"/>
  <c r="J899" i="11"/>
  <c r="J895" i="11"/>
  <c r="J891" i="11"/>
  <c r="J887" i="11"/>
  <c r="J883" i="11"/>
  <c r="J879" i="11"/>
  <c r="J875" i="11"/>
  <c r="J871" i="11"/>
  <c r="J867" i="11"/>
  <c r="J863" i="11"/>
  <c r="J859" i="11"/>
  <c r="J855" i="11"/>
  <c r="J851" i="11"/>
  <c r="J847" i="11"/>
  <c r="J843" i="11"/>
  <c r="J839" i="11"/>
  <c r="J835" i="11"/>
  <c r="J831" i="11"/>
  <c r="J827" i="11"/>
  <c r="J823" i="11"/>
  <c r="J819" i="11"/>
  <c r="J815" i="11"/>
  <c r="J811" i="11"/>
  <c r="J807" i="11"/>
  <c r="J803" i="11"/>
  <c r="J799" i="11"/>
  <c r="J795" i="11"/>
  <c r="J791" i="11"/>
  <c r="J787" i="11"/>
  <c r="J783" i="11"/>
  <c r="J779" i="11"/>
  <c r="J775" i="11"/>
  <c r="J771" i="11"/>
  <c r="J767" i="11"/>
  <c r="J763" i="11"/>
  <c r="J759" i="11"/>
  <c r="J755" i="11"/>
  <c r="J751" i="11"/>
  <c r="J747" i="11"/>
  <c r="J743" i="11"/>
  <c r="J739" i="11"/>
  <c r="J735" i="11"/>
  <c r="J731" i="11"/>
  <c r="J727" i="11"/>
  <c r="J723" i="11"/>
  <c r="J719" i="11"/>
  <c r="J715" i="11"/>
  <c r="J711" i="11"/>
  <c r="J707" i="11"/>
  <c r="J703" i="11"/>
  <c r="J699" i="11"/>
  <c r="J695" i="11"/>
  <c r="J691" i="11"/>
  <c r="J687" i="11"/>
  <c r="J683" i="11"/>
  <c r="J679" i="11"/>
  <c r="J675" i="11"/>
  <c r="J671" i="11"/>
  <c r="J667" i="11"/>
  <c r="J663" i="11"/>
  <c r="J659" i="11"/>
  <c r="J655" i="11"/>
  <c r="J651" i="11"/>
  <c r="J647" i="11"/>
  <c r="J643" i="11"/>
  <c r="J639" i="11"/>
  <c r="J635" i="11"/>
  <c r="J631" i="11"/>
  <c r="J627" i="11"/>
  <c r="J623" i="11"/>
  <c r="J619" i="11"/>
  <c r="J615" i="11"/>
  <c r="J611" i="11"/>
  <c r="J607" i="11"/>
  <c r="J603" i="11"/>
  <c r="J599" i="11"/>
  <c r="J595" i="11"/>
  <c r="J591" i="11"/>
  <c r="J587" i="11"/>
  <c r="J583" i="11"/>
  <c r="J579" i="11"/>
  <c r="J575" i="11"/>
  <c r="J571" i="11"/>
  <c r="J567" i="11"/>
  <c r="J563" i="11"/>
  <c r="J559" i="11"/>
  <c r="J555" i="11"/>
  <c r="J551" i="11"/>
  <c r="J547" i="11"/>
  <c r="J543" i="11"/>
  <c r="J539" i="11"/>
  <c r="J535" i="11"/>
  <c r="J531" i="11"/>
  <c r="J527" i="11"/>
  <c r="J523" i="11"/>
  <c r="J519" i="11"/>
  <c r="J515" i="11"/>
  <c r="J511" i="11"/>
  <c r="J507" i="11"/>
  <c r="J503" i="11"/>
  <c r="J499" i="11"/>
  <c r="J495" i="11"/>
  <c r="J491" i="11"/>
  <c r="J487" i="11"/>
  <c r="J483" i="11"/>
  <c r="J479" i="11"/>
  <c r="J475" i="11"/>
  <c r="J471" i="11"/>
  <c r="J467" i="11"/>
  <c r="J463" i="11"/>
  <c r="J459" i="11"/>
  <c r="J455" i="11"/>
  <c r="J451" i="11"/>
  <c r="J447" i="11"/>
  <c r="J443" i="11"/>
  <c r="J439" i="11"/>
  <c r="J435" i="11"/>
  <c r="J431" i="11"/>
  <c r="J427" i="11"/>
  <c r="J423" i="11"/>
  <c r="J419" i="11"/>
  <c r="J415" i="11"/>
  <c r="J411" i="11"/>
  <c r="J407" i="11"/>
  <c r="J403" i="11"/>
  <c r="J399" i="11"/>
  <c r="J395" i="11"/>
  <c r="J391" i="11"/>
  <c r="J387" i="11"/>
  <c r="J383" i="11"/>
  <c r="J379" i="11"/>
  <c r="J375" i="11"/>
  <c r="J371" i="11"/>
  <c r="J367" i="11"/>
  <c r="J363" i="11"/>
  <c r="J359" i="11"/>
  <c r="J355" i="11"/>
  <c r="J351" i="11"/>
  <c r="J347" i="11"/>
  <c r="J343" i="11"/>
  <c r="J339" i="11"/>
  <c r="J335" i="11"/>
  <c r="J331" i="11"/>
  <c r="J327" i="11"/>
  <c r="J323" i="11"/>
  <c r="J319" i="11"/>
  <c r="J315" i="11"/>
  <c r="J311" i="11"/>
  <c r="J307" i="11"/>
  <c r="J303" i="11"/>
  <c r="J299" i="11"/>
  <c r="J295" i="11"/>
  <c r="J291" i="11"/>
  <c r="J287" i="11"/>
  <c r="J283" i="11"/>
  <c r="J279" i="11"/>
  <c r="J275" i="11"/>
  <c r="J271" i="11"/>
  <c r="J267" i="11"/>
  <c r="J263" i="11"/>
  <c r="J259" i="11"/>
  <c r="J255" i="11"/>
  <c r="J251" i="11"/>
  <c r="J247" i="11"/>
  <c r="J243" i="11"/>
  <c r="J239" i="11"/>
  <c r="J235" i="11"/>
  <c r="J231" i="11"/>
  <c r="J227" i="11"/>
  <c r="J223" i="11"/>
  <c r="J219" i="11"/>
  <c r="J215" i="11"/>
  <c r="J211" i="11"/>
  <c r="J207" i="11"/>
  <c r="J203" i="11"/>
  <c r="J199" i="11"/>
  <c r="J195" i="11"/>
  <c r="J191" i="11"/>
  <c r="J187" i="11"/>
  <c r="J183" i="11"/>
  <c r="J179" i="11"/>
  <c r="J175" i="11"/>
  <c r="J171" i="11"/>
  <c r="J167" i="11"/>
  <c r="J163" i="11"/>
  <c r="J159" i="11"/>
  <c r="J155" i="11"/>
  <c r="J151" i="11"/>
  <c r="J147" i="11"/>
  <c r="J143" i="11"/>
  <c r="J139" i="11"/>
  <c r="J135" i="11"/>
  <c r="J131" i="11"/>
  <c r="J127" i="11"/>
  <c r="J123" i="11"/>
  <c r="J119" i="11"/>
  <c r="J115" i="11"/>
  <c r="J111" i="11"/>
  <c r="J107" i="11"/>
  <c r="J103" i="11"/>
  <c r="J99" i="11"/>
  <c r="J95" i="11"/>
  <c r="J91" i="11"/>
  <c r="J87" i="11"/>
  <c r="J83" i="11"/>
  <c r="J79" i="11"/>
  <c r="J75" i="11"/>
  <c r="J71" i="11"/>
  <c r="J67" i="11"/>
  <c r="J63" i="11"/>
  <c r="J59" i="11"/>
  <c r="J55" i="11"/>
  <c r="J51" i="11"/>
  <c r="J47" i="11"/>
  <c r="J43" i="11"/>
  <c r="J39" i="11"/>
  <c r="J35" i="11"/>
  <c r="J31" i="11"/>
  <c r="J27" i="11"/>
  <c r="J23" i="11"/>
  <c r="J19" i="11"/>
  <c r="J15" i="11"/>
  <c r="J11" i="11"/>
  <c r="J7" i="11"/>
  <c r="J3" i="11"/>
  <c r="J3501" i="11"/>
  <c r="J3497" i="11"/>
  <c r="J3493" i="11"/>
  <c r="J3489" i="11"/>
  <c r="J3485" i="11"/>
  <c r="J3481" i="11"/>
  <c r="J3477" i="11"/>
  <c r="J3473" i="11"/>
  <c r="J3469" i="11"/>
  <c r="J3465" i="11"/>
  <c r="J3461" i="11"/>
  <c r="J3457" i="11"/>
  <c r="J3453" i="11"/>
  <c r="J3449" i="11"/>
  <c r="J3445" i="11"/>
  <c r="J3441" i="11"/>
  <c r="J3437" i="11"/>
  <c r="J3433" i="11"/>
  <c r="J3429" i="11"/>
  <c r="J3425" i="11"/>
  <c r="J3421" i="11"/>
  <c r="J3417" i="11"/>
  <c r="J3413" i="11"/>
  <c r="J3409" i="11"/>
  <c r="J3405" i="11"/>
  <c r="J3401" i="11"/>
  <c r="J3397" i="11"/>
  <c r="J3393" i="11"/>
  <c r="J3389" i="11"/>
  <c r="J3385" i="11"/>
  <c r="J3381" i="11"/>
  <c r="J3377" i="11"/>
  <c r="J3373" i="11"/>
  <c r="J3369" i="11"/>
  <c r="J3365" i="11"/>
  <c r="J3361" i="11"/>
  <c r="J3357" i="11"/>
  <c r="J3353" i="11"/>
  <c r="J3349" i="11"/>
  <c r="J3345" i="11"/>
  <c r="J3341" i="11"/>
  <c r="J3337" i="11"/>
  <c r="J3333" i="11"/>
  <c r="J3329" i="11"/>
  <c r="J3325" i="11"/>
  <c r="J3321" i="11"/>
  <c r="J3317" i="11"/>
  <c r="J3313" i="11"/>
  <c r="J3309" i="11"/>
  <c r="J3305" i="11"/>
  <c r="J3301" i="11"/>
  <c r="J3297" i="11"/>
  <c r="J3293" i="11"/>
  <c r="J3289" i="11"/>
  <c r="J3285" i="11"/>
  <c r="J3281" i="11"/>
  <c r="J3277" i="11"/>
  <c r="J3273" i="11"/>
  <c r="J3269" i="11"/>
  <c r="J3265" i="11"/>
  <c r="J3261" i="11"/>
  <c r="J3257" i="11"/>
  <c r="J3253" i="11"/>
  <c r="J3249" i="11"/>
  <c r="J3245" i="11"/>
  <c r="J3241" i="11"/>
  <c r="J3237" i="11"/>
  <c r="J3233" i="11"/>
  <c r="J3229" i="11"/>
  <c r="J3225" i="11"/>
  <c r="J3221" i="11"/>
  <c r="J3217" i="11"/>
  <c r="J3213" i="11"/>
  <c r="J3209" i="11"/>
  <c r="J3205" i="11"/>
  <c r="J3201" i="11"/>
  <c r="J3197" i="11"/>
  <c r="J3193" i="11"/>
  <c r="J3189" i="11"/>
  <c r="J3185" i="11"/>
  <c r="J3181" i="11"/>
  <c r="J3177" i="11"/>
  <c r="J3173" i="11"/>
  <c r="J3169" i="11"/>
  <c r="J3165" i="11"/>
  <c r="J3161" i="11"/>
  <c r="J3157" i="11"/>
  <c r="J3153" i="11"/>
  <c r="J3149" i="11"/>
  <c r="J3145" i="11"/>
  <c r="J3141" i="11"/>
  <c r="J3137" i="11"/>
  <c r="J3133" i="11"/>
  <c r="J3129" i="11"/>
  <c r="J3125" i="11"/>
  <c r="J3121" i="11"/>
  <c r="J3117" i="11"/>
  <c r="J3113" i="11"/>
  <c r="J3109" i="11"/>
  <c r="J3105" i="11"/>
  <c r="J3101" i="11"/>
  <c r="J3097" i="11"/>
  <c r="J3093" i="11"/>
  <c r="J3089" i="11"/>
  <c r="J3085" i="11"/>
  <c r="J3081" i="11"/>
  <c r="J3077" i="11"/>
  <c r="J3073" i="11"/>
  <c r="J3069" i="11"/>
  <c r="J3065" i="11"/>
  <c r="J3061" i="11"/>
  <c r="J3057" i="11"/>
  <c r="J3053" i="11"/>
  <c r="J3049" i="11"/>
  <c r="J3045" i="11"/>
  <c r="J3041" i="11"/>
  <c r="J3037" i="11"/>
  <c r="J3033" i="11"/>
  <c r="J3029" i="11"/>
  <c r="J3025" i="11"/>
  <c r="J3021" i="11"/>
  <c r="J3017" i="11"/>
  <c r="J3013" i="11"/>
  <c r="J3009" i="11"/>
  <c r="J3005" i="11"/>
  <c r="J3001" i="11"/>
  <c r="J2997" i="11"/>
  <c r="J2993" i="11"/>
  <c r="J2989" i="11"/>
  <c r="J2985" i="11"/>
  <c r="J2981" i="11"/>
  <c r="J2977" i="11"/>
  <c r="J2973" i="11"/>
  <c r="J2969" i="11"/>
  <c r="J2965" i="11"/>
  <c r="J2961" i="11"/>
  <c r="J2957" i="11"/>
  <c r="J2953" i="11"/>
  <c r="J2949" i="11"/>
  <c r="J2945" i="11"/>
  <c r="J2941" i="11"/>
  <c r="J2937" i="11"/>
  <c r="J2933" i="11"/>
  <c r="J2929" i="11"/>
  <c r="J2925" i="11"/>
  <c r="J2921" i="11"/>
  <c r="J2917" i="11"/>
  <c r="J2913" i="11"/>
  <c r="J2909" i="11"/>
  <c r="J2905" i="11"/>
  <c r="J2901" i="11"/>
  <c r="J2897" i="11"/>
  <c r="J2893" i="11"/>
  <c r="J2889" i="11"/>
  <c r="J2885" i="11"/>
  <c r="J2881" i="11"/>
  <c r="J2877" i="11"/>
  <c r="J2873" i="11"/>
  <c r="J2869" i="11"/>
  <c r="J2865" i="11"/>
  <c r="J2861" i="11"/>
  <c r="J2857" i="11"/>
  <c r="J2853" i="11"/>
  <c r="J2849" i="11"/>
  <c r="J2845" i="11"/>
  <c r="J2841" i="11"/>
  <c r="J2837" i="11"/>
  <c r="J2833" i="11"/>
  <c r="J2829" i="11"/>
  <c r="J2825" i="11"/>
  <c r="J2821" i="11"/>
  <c r="J2817" i="11"/>
  <c r="J2813" i="11"/>
  <c r="J2809" i="11"/>
  <c r="J2805" i="11"/>
  <c r="J2801" i="11"/>
  <c r="J2797" i="11"/>
  <c r="J2793" i="11"/>
  <c r="J2789" i="11"/>
  <c r="J2785" i="11"/>
  <c r="J2781" i="11"/>
  <c r="J2777" i="11"/>
  <c r="J2773" i="11"/>
  <c r="J2769" i="11"/>
  <c r="J2765" i="11"/>
  <c r="J2761" i="11"/>
  <c r="J2757" i="11"/>
  <c r="J2753" i="11"/>
  <c r="J2749" i="11"/>
  <c r="J2745" i="11"/>
  <c r="J2741" i="11"/>
  <c r="J2737" i="11"/>
  <c r="J2733" i="11"/>
  <c r="J2729" i="11"/>
  <c r="J2725" i="11"/>
  <c r="J2721" i="11"/>
  <c r="J2717" i="11"/>
  <c r="J2713" i="11"/>
  <c r="J2709" i="11"/>
  <c r="J2705" i="11"/>
  <c r="J2701" i="11"/>
  <c r="J2697" i="11"/>
  <c r="J2693" i="11"/>
  <c r="J2689" i="11"/>
  <c r="J2685" i="11"/>
  <c r="J2681" i="11"/>
  <c r="J2677" i="11"/>
  <c r="J2673" i="11"/>
  <c r="J2669" i="11"/>
  <c r="J2665" i="11"/>
  <c r="J2661" i="11"/>
  <c r="J2657" i="11"/>
  <c r="J2653" i="11"/>
  <c r="J2649" i="11"/>
  <c r="J2645" i="11"/>
  <c r="J2641" i="11"/>
  <c r="J2637" i="11"/>
  <c r="J2633" i="11"/>
  <c r="J2629" i="11"/>
  <c r="J2625" i="11"/>
  <c r="J2621" i="11"/>
  <c r="J2617" i="11"/>
  <c r="J2613" i="11"/>
  <c r="J2609" i="11"/>
  <c r="J2605" i="11"/>
  <c r="J2601" i="11"/>
  <c r="J2597" i="11"/>
  <c r="J2593" i="11"/>
  <c r="J2589" i="11"/>
  <c r="J2585" i="11"/>
  <c r="J2581" i="11"/>
  <c r="J2577" i="11"/>
  <c r="J2573" i="11"/>
  <c r="J2569" i="11"/>
  <c r="J2565" i="11"/>
  <c r="J2561" i="11"/>
  <c r="J2557" i="11"/>
  <c r="J2553" i="11"/>
  <c r="J2549" i="11"/>
  <c r="J2545" i="11"/>
  <c r="J2541" i="11"/>
  <c r="J2537" i="11"/>
  <c r="J2533" i="11"/>
  <c r="J2529" i="11"/>
  <c r="J2525" i="11"/>
  <c r="J2521" i="11"/>
  <c r="J2517" i="11"/>
  <c r="J2513" i="11"/>
  <c r="J2509" i="11"/>
  <c r="J2505" i="11"/>
  <c r="J2501" i="11"/>
  <c r="J2497" i="11"/>
  <c r="J2493" i="11"/>
  <c r="J2489" i="11"/>
  <c r="J2485" i="11"/>
  <c r="J2481" i="11"/>
  <c r="J2477" i="11"/>
  <c r="J2473" i="11"/>
  <c r="J2469" i="11"/>
  <c r="J2465" i="11"/>
  <c r="J2461" i="11"/>
  <c r="J2457" i="11"/>
  <c r="J2453" i="11"/>
  <c r="J2449" i="11"/>
  <c r="J2445" i="11"/>
  <c r="J2441" i="11"/>
  <c r="J2437" i="11"/>
  <c r="J2433" i="11"/>
  <c r="J2429" i="11"/>
  <c r="J2425" i="11"/>
  <c r="J2421" i="11"/>
  <c r="J2417" i="11"/>
  <c r="J2413" i="11"/>
  <c r="J2409" i="11"/>
  <c r="J2405" i="11"/>
  <c r="J2401" i="11"/>
  <c r="J2397" i="11"/>
  <c r="J2393" i="11"/>
  <c r="J2389" i="11"/>
  <c r="J2385" i="11"/>
  <c r="J2381" i="11"/>
  <c r="J2377" i="11"/>
  <c r="J2373" i="11"/>
  <c r="J2369" i="11"/>
  <c r="J2365" i="11"/>
  <c r="J2361" i="11"/>
  <c r="J2357" i="11"/>
  <c r="J2353" i="11"/>
  <c r="J2349" i="11"/>
  <c r="J2345" i="11"/>
  <c r="J2341" i="11"/>
  <c r="J2337" i="11"/>
  <c r="J2333" i="11"/>
  <c r="J2329" i="11"/>
  <c r="J2325" i="11"/>
  <c r="J2321" i="11"/>
  <c r="J2317" i="11"/>
  <c r="J2313" i="11"/>
  <c r="J2309" i="11"/>
  <c r="J2305" i="11"/>
  <c r="J2301" i="11"/>
  <c r="J2297" i="11"/>
  <c r="J2293" i="11"/>
  <c r="J2289" i="11"/>
  <c r="J2285" i="11"/>
  <c r="J2281" i="11"/>
  <c r="J2277" i="11"/>
  <c r="J2273" i="11"/>
  <c r="J2269" i="11"/>
  <c r="J2265" i="11"/>
  <c r="J2261" i="11"/>
  <c r="J2257" i="11"/>
  <c r="J2253" i="11"/>
  <c r="J2249" i="11"/>
  <c r="J2245" i="11"/>
  <c r="J2241" i="11"/>
  <c r="J2237" i="11"/>
  <c r="J2233" i="11"/>
  <c r="J2229" i="11"/>
  <c r="J2225" i="11"/>
  <c r="J2221" i="11"/>
  <c r="J2217" i="11"/>
  <c r="J2213" i="11"/>
  <c r="J2209" i="11"/>
  <c r="J2205" i="11"/>
  <c r="J2201" i="11"/>
  <c r="J2197" i="11"/>
  <c r="J2193" i="11"/>
  <c r="J2189" i="11"/>
  <c r="J2185" i="11"/>
  <c r="J2181" i="11"/>
  <c r="J2177" i="11"/>
  <c r="J2173" i="11"/>
  <c r="J2169" i="11"/>
  <c r="J2165" i="11"/>
  <c r="J2161" i="11"/>
  <c r="J2157" i="11"/>
  <c r="J2153" i="11"/>
  <c r="J2149" i="11"/>
  <c r="J2145" i="11"/>
  <c r="J2141" i="11"/>
  <c r="J2137" i="11"/>
  <c r="J2133" i="11"/>
  <c r="J2129" i="11"/>
  <c r="J2125" i="11"/>
  <c r="J2121" i="11"/>
  <c r="J2117" i="11"/>
  <c r="J2113" i="11"/>
  <c r="J2109" i="11"/>
  <c r="J2105" i="11"/>
  <c r="J2101" i="11"/>
  <c r="J2097" i="11"/>
  <c r="J2093" i="11"/>
  <c r="J2089" i="11"/>
  <c r="J2085" i="11"/>
  <c r="J2081" i="11"/>
  <c r="J2077" i="11"/>
  <c r="J2073" i="11"/>
  <c r="J2069" i="11"/>
  <c r="J2065" i="11"/>
  <c r="J2061" i="11"/>
  <c r="J2057" i="11"/>
  <c r="J2053" i="11"/>
  <c r="J2049" i="11"/>
  <c r="J2045" i="11"/>
  <c r="J2041" i="11"/>
  <c r="J2037" i="11"/>
  <c r="J2033" i="11"/>
  <c r="J2029" i="11"/>
  <c r="J2025" i="11"/>
  <c r="J2021" i="11"/>
  <c r="J2017" i="11"/>
  <c r="J2013" i="11"/>
  <c r="J2009" i="11"/>
  <c r="J2005" i="11"/>
  <c r="J2001" i="11"/>
  <c r="J1997" i="11"/>
  <c r="J1993" i="11"/>
  <c r="J1989" i="11"/>
  <c r="J1985" i="11"/>
  <c r="J1981" i="11"/>
  <c r="J1977" i="11"/>
  <c r="J1973" i="11"/>
  <c r="J1969" i="11"/>
  <c r="J1965" i="11"/>
  <c r="J1961" i="11"/>
  <c r="J1957" i="11"/>
  <c r="J1953" i="11"/>
  <c r="J1949" i="11"/>
  <c r="J1945" i="11"/>
  <c r="J1941" i="11"/>
  <c r="J1937" i="11"/>
  <c r="J1933" i="11"/>
  <c r="J1929" i="11"/>
  <c r="J1925" i="11"/>
  <c r="J1921" i="11"/>
  <c r="J1917" i="11"/>
  <c r="J1913" i="11"/>
  <c r="J1909" i="11"/>
  <c r="J1905" i="11"/>
  <c r="J1901" i="11"/>
  <c r="J1897" i="11"/>
  <c r="J1893" i="11"/>
  <c r="J1889" i="11"/>
  <c r="J1885" i="11"/>
  <c r="J1881" i="11"/>
  <c r="J1877" i="11"/>
  <c r="J1873" i="11"/>
  <c r="J1869" i="11"/>
  <c r="J1865" i="11"/>
  <c r="J1861" i="11"/>
  <c r="J1857" i="11"/>
  <c r="J1853" i="11"/>
  <c r="J1849" i="11"/>
  <c r="J1845" i="11"/>
  <c r="J1841" i="11"/>
  <c r="J1837" i="11"/>
  <c r="J1833" i="11"/>
  <c r="J1829" i="11"/>
  <c r="J1825" i="11"/>
  <c r="J1821" i="11"/>
  <c r="J1817" i="11"/>
  <c r="J1813" i="11"/>
  <c r="J1809" i="11"/>
  <c r="J1805" i="11"/>
  <c r="J1801" i="11"/>
  <c r="J1797" i="11"/>
  <c r="J1793" i="11"/>
  <c r="J1789" i="11"/>
  <c r="J1785" i="11"/>
  <c r="J1781" i="11"/>
  <c r="J1777" i="11"/>
  <c r="J1773" i="11"/>
  <c r="J1769" i="11"/>
  <c r="J1765" i="11"/>
  <c r="J1761" i="11"/>
  <c r="J1757" i="11"/>
  <c r="J1753" i="11"/>
  <c r="J1749" i="11"/>
  <c r="J1745" i="11"/>
  <c r="J1741" i="11"/>
  <c r="J1737" i="11"/>
  <c r="J1733" i="11"/>
  <c r="J1729" i="11"/>
  <c r="J1725" i="11"/>
  <c r="J1721" i="11"/>
  <c r="J1717" i="11"/>
  <c r="J1713" i="11"/>
  <c r="J1709" i="11"/>
  <c r="J1705" i="11"/>
  <c r="J1701" i="11"/>
  <c r="J1697" i="11"/>
  <c r="J1693" i="11"/>
  <c r="J1689" i="11"/>
  <c r="J1685" i="11"/>
  <c r="J1681" i="11"/>
  <c r="J1677" i="11"/>
  <c r="J1673" i="11"/>
  <c r="J1669" i="11"/>
  <c r="J1665" i="11"/>
  <c r="J1661" i="11"/>
  <c r="J1657" i="11"/>
  <c r="J1653" i="11"/>
  <c r="J1649" i="11"/>
  <c r="J1645" i="11"/>
  <c r="J1641" i="11"/>
  <c r="J1637" i="11"/>
  <c r="J1633" i="11"/>
  <c r="J1629" i="11"/>
  <c r="J1625" i="11"/>
  <c r="J1621" i="11"/>
  <c r="J1617" i="11"/>
  <c r="J1613" i="11"/>
  <c r="J1609" i="11"/>
  <c r="J1605" i="11"/>
  <c r="J1601" i="11"/>
  <c r="J1597" i="11"/>
  <c r="J1593" i="11"/>
  <c r="J1589" i="11"/>
  <c r="J1585" i="11"/>
  <c r="J1581" i="11"/>
  <c r="J1577" i="11"/>
  <c r="J1573" i="11"/>
  <c r="J1569" i="11"/>
  <c r="J1565" i="11"/>
  <c r="J1561" i="11"/>
  <c r="J1557" i="11"/>
  <c r="J1553" i="11"/>
  <c r="J1549" i="11"/>
  <c r="J1545" i="11"/>
  <c r="J1541" i="11"/>
  <c r="J1537" i="11"/>
  <c r="J1533" i="11"/>
  <c r="J1529" i="11"/>
  <c r="J1525" i="11"/>
  <c r="J1521" i="11"/>
  <c r="J1517" i="11"/>
  <c r="J1513" i="11"/>
  <c r="J1509" i="11"/>
  <c r="J1505" i="11"/>
  <c r="J1501" i="11"/>
  <c r="J1497" i="11"/>
  <c r="J1493" i="11"/>
  <c r="J1489" i="11"/>
  <c r="J1485" i="11"/>
  <c r="J1481" i="11"/>
  <c r="J1477" i="11"/>
  <c r="J1473" i="11"/>
  <c r="J1469" i="11"/>
  <c r="J1465" i="11"/>
  <c r="J1461" i="11"/>
  <c r="J1457" i="11"/>
  <c r="J1453" i="11"/>
  <c r="J1449" i="11"/>
  <c r="J1445" i="11"/>
  <c r="J1441" i="11"/>
  <c r="J1437" i="11"/>
  <c r="J1433" i="11"/>
  <c r="J1429" i="11"/>
  <c r="J1425" i="11"/>
  <c r="J1421" i="11"/>
  <c r="J1417" i="11"/>
  <c r="J1413" i="11"/>
  <c r="J1409" i="11"/>
  <c r="J1405" i="11"/>
  <c r="J1401" i="11"/>
  <c r="J1397" i="11"/>
  <c r="J1393" i="11"/>
  <c r="J1389" i="11"/>
  <c r="J1385" i="11"/>
  <c r="J1381" i="11"/>
  <c r="J1377" i="11"/>
  <c r="J1373" i="11"/>
  <c r="J1369" i="11"/>
  <c r="J1365" i="11"/>
  <c r="J1361" i="11"/>
  <c r="J1357" i="11"/>
  <c r="J1353" i="11"/>
  <c r="J1349" i="11"/>
  <c r="J1345" i="11"/>
  <c r="J1341" i="11"/>
  <c r="J1337" i="11"/>
  <c r="J1333" i="11"/>
  <c r="J1329" i="11"/>
  <c r="J1325" i="11"/>
  <c r="J1321" i="11"/>
  <c r="J1317" i="11"/>
  <c r="J1313" i="11"/>
  <c r="J1309" i="11"/>
  <c r="J1305" i="11"/>
  <c r="J1301" i="11"/>
  <c r="J1297" i="11"/>
  <c r="J1293" i="11"/>
  <c r="J1289" i="11"/>
  <c r="J1285" i="11"/>
  <c r="J1281" i="11"/>
  <c r="J1277" i="11"/>
  <c r="J1273" i="11"/>
  <c r="J1269" i="11"/>
  <c r="J1265" i="11"/>
  <c r="J1261" i="11"/>
  <c r="J1257" i="11"/>
  <c r="J1253" i="11"/>
  <c r="J1249" i="11"/>
  <c r="J1245" i="11"/>
  <c r="J1241" i="11"/>
  <c r="J1237" i="11"/>
  <c r="J1233" i="11"/>
  <c r="J1229" i="11"/>
  <c r="J1225" i="11"/>
  <c r="J1221" i="11"/>
  <c r="J1217" i="11"/>
  <c r="J1213" i="11"/>
  <c r="J1209" i="11"/>
  <c r="J1205" i="11"/>
  <c r="J1201" i="11"/>
  <c r="J1197" i="11"/>
  <c r="J1193" i="11"/>
  <c r="J1189" i="11"/>
  <c r="J1185" i="11"/>
  <c r="J1181" i="11"/>
  <c r="J1177" i="11"/>
  <c r="J1173" i="11"/>
  <c r="J1169" i="11"/>
  <c r="J1165" i="11"/>
  <c r="J1161" i="11"/>
  <c r="J1157" i="11"/>
  <c r="J1153" i="11"/>
  <c r="J1149" i="11"/>
  <c r="J1145" i="11"/>
  <c r="J1141" i="11"/>
  <c r="J1137" i="11"/>
  <c r="J1133" i="11"/>
  <c r="J1129" i="11"/>
  <c r="J1125" i="11"/>
  <c r="J1121" i="11"/>
  <c r="J1117" i="11"/>
  <c r="J1113" i="11"/>
  <c r="J1109" i="11"/>
  <c r="J1105" i="11"/>
  <c r="J1101" i="11"/>
  <c r="J1097" i="11"/>
  <c r="J1093" i="11"/>
  <c r="J1089" i="11"/>
  <c r="J1085" i="11"/>
  <c r="J1081" i="11"/>
  <c r="J1077" i="11"/>
  <c r="J1073" i="11"/>
  <c r="J1069" i="11"/>
  <c r="J1065" i="11"/>
  <c r="J1061" i="11"/>
  <c r="J1057" i="11"/>
  <c r="J1053" i="11"/>
  <c r="J1049" i="11"/>
  <c r="J1045" i="11"/>
  <c r="J1041" i="11"/>
  <c r="J1037" i="11"/>
  <c r="J1033" i="11"/>
  <c r="J1029" i="11"/>
  <c r="J1025" i="11"/>
  <c r="J1021" i="11"/>
  <c r="J1017" i="11"/>
  <c r="J1013" i="11"/>
  <c r="J1009" i="11"/>
  <c r="J1005" i="11"/>
  <c r="J1001" i="11"/>
  <c r="J997" i="11"/>
  <c r="J993" i="11"/>
  <c r="J989" i="11"/>
  <c r="J985" i="11"/>
  <c r="J981" i="11"/>
  <c r="J977" i="11"/>
  <c r="J973" i="11"/>
  <c r="J969" i="11"/>
  <c r="J965" i="11"/>
  <c r="J961" i="11"/>
  <c r="J957" i="11"/>
  <c r="J953" i="11"/>
  <c r="J949" i="11"/>
  <c r="J945" i="11"/>
  <c r="J941" i="11"/>
  <c r="J937" i="11"/>
  <c r="J933" i="11"/>
  <c r="J929" i="11"/>
  <c r="J925" i="11"/>
  <c r="J921" i="11"/>
  <c r="J917" i="11"/>
  <c r="J913" i="11"/>
  <c r="J909" i="11"/>
  <c r="J905" i="11"/>
  <c r="J901" i="11"/>
  <c r="J897" i="11"/>
  <c r="J893" i="11"/>
  <c r="J889" i="11"/>
  <c r="J885" i="11"/>
  <c r="J881" i="11"/>
  <c r="J877" i="11"/>
  <c r="J873" i="11"/>
  <c r="J869" i="11"/>
  <c r="J865" i="11"/>
  <c r="J861" i="11"/>
  <c r="J857" i="11"/>
  <c r="J853" i="11"/>
  <c r="J849" i="11"/>
  <c r="J845" i="11"/>
  <c r="J841" i="11"/>
  <c r="J837" i="11"/>
  <c r="J833" i="11"/>
  <c r="J829" i="11"/>
  <c r="J825" i="11"/>
  <c r="J821" i="11"/>
  <c r="J817" i="11"/>
  <c r="J813" i="11"/>
  <c r="J809" i="11"/>
  <c r="J805" i="11"/>
  <c r="J801" i="11"/>
  <c r="J797" i="11"/>
  <c r="J793" i="11"/>
  <c r="J789" i="11"/>
  <c r="J785" i="11"/>
  <c r="J781" i="11"/>
  <c r="J777" i="11"/>
  <c r="J773" i="11"/>
  <c r="J769" i="11"/>
  <c r="J765" i="11"/>
  <c r="J761" i="11"/>
  <c r="J757" i="11"/>
  <c r="J753" i="11"/>
  <c r="J749" i="11"/>
  <c r="J745" i="11"/>
  <c r="J741" i="11"/>
  <c r="J737" i="11"/>
  <c r="J733" i="11"/>
  <c r="J729" i="11"/>
  <c r="J725" i="11"/>
  <c r="J721" i="11"/>
  <c r="J717" i="11"/>
  <c r="J713" i="11"/>
  <c r="J709" i="11"/>
  <c r="J705" i="11"/>
  <c r="J701" i="11"/>
  <c r="J697" i="11"/>
  <c r="J693" i="11"/>
  <c r="J689" i="11"/>
  <c r="J685" i="11"/>
  <c r="J681" i="11"/>
  <c r="J677" i="11"/>
  <c r="J673" i="11"/>
  <c r="J669" i="11"/>
  <c r="J665" i="11"/>
  <c r="J661" i="11"/>
  <c r="J657" i="11"/>
  <c r="J653" i="11"/>
  <c r="J649" i="11"/>
  <c r="J645" i="11"/>
  <c r="J641" i="11"/>
  <c r="J637" i="11"/>
  <c r="J633" i="11"/>
  <c r="J629" i="11"/>
  <c r="J625" i="11"/>
  <c r="J621" i="11"/>
  <c r="J617" i="11"/>
  <c r="J613" i="11"/>
  <c r="J609" i="11"/>
  <c r="J605" i="11"/>
  <c r="J601" i="11"/>
  <c r="J597" i="11"/>
  <c r="J593" i="11"/>
  <c r="J589" i="11"/>
  <c r="J585" i="11"/>
  <c r="J581" i="11"/>
  <c r="J577" i="11"/>
  <c r="J573" i="11"/>
  <c r="J569" i="11"/>
  <c r="J565" i="11"/>
  <c r="J561" i="11"/>
  <c r="J557" i="11"/>
  <c r="J553" i="11"/>
  <c r="J549" i="11"/>
  <c r="J545" i="11"/>
  <c r="J541" i="11"/>
  <c r="J537" i="11"/>
  <c r="J533" i="11"/>
  <c r="J529" i="11"/>
  <c r="J525" i="11"/>
  <c r="J521" i="11"/>
  <c r="J517" i="11"/>
  <c r="J513" i="11"/>
  <c r="J509" i="11"/>
  <c r="J505" i="11"/>
  <c r="J501" i="11"/>
  <c r="J497" i="11"/>
  <c r="J493" i="11"/>
  <c r="J489" i="11"/>
  <c r="J485" i="11"/>
  <c r="J481" i="11"/>
  <c r="J477" i="11"/>
  <c r="J473" i="11"/>
  <c r="J469" i="11"/>
  <c r="J465" i="11"/>
  <c r="J461" i="11"/>
  <c r="J457" i="11"/>
  <c r="J453" i="11"/>
  <c r="J449" i="11"/>
  <c r="J445" i="11"/>
  <c r="J441" i="11"/>
  <c r="J437" i="11"/>
  <c r="J433" i="11"/>
  <c r="J429" i="11"/>
  <c r="J425" i="11"/>
  <c r="J421" i="11"/>
  <c r="J417" i="11"/>
  <c r="J413" i="11"/>
  <c r="J409" i="11"/>
  <c r="J405" i="11"/>
  <c r="J401" i="11"/>
  <c r="J397" i="11"/>
  <c r="J393" i="11"/>
  <c r="J389" i="11"/>
  <c r="J385" i="11"/>
  <c r="J381" i="11"/>
  <c r="J377" i="11"/>
  <c r="J373" i="11"/>
  <c r="J369" i="11"/>
  <c r="J365" i="11"/>
  <c r="J361" i="11"/>
  <c r="J357" i="11"/>
  <c r="J353" i="11"/>
  <c r="J349" i="11"/>
  <c r="J345" i="11"/>
  <c r="J341" i="11"/>
  <c r="J337" i="11"/>
  <c r="J333" i="11"/>
  <c r="J329" i="11"/>
  <c r="J325" i="11"/>
  <c r="J321" i="11"/>
  <c r="J317" i="11"/>
  <c r="J313" i="11"/>
  <c r="J309" i="11"/>
  <c r="J305" i="11"/>
  <c r="J301" i="11"/>
  <c r="J297" i="11"/>
  <c r="J293" i="11"/>
  <c r="J289" i="11"/>
  <c r="J285" i="11"/>
  <c r="J281" i="11"/>
  <c r="J277" i="11"/>
  <c r="J273" i="11"/>
  <c r="J269" i="11"/>
  <c r="J265" i="11"/>
  <c r="J261" i="11"/>
  <c r="J257" i="11"/>
  <c r="J253" i="11"/>
  <c r="J249" i="11"/>
  <c r="J245" i="11"/>
  <c r="J241" i="11"/>
  <c r="J237" i="11"/>
  <c r="J233" i="11"/>
  <c r="J229" i="11"/>
  <c r="J225" i="11"/>
  <c r="J221" i="11"/>
  <c r="J217" i="11"/>
  <c r="J213" i="11"/>
  <c r="J209" i="11"/>
  <c r="J205" i="11"/>
  <c r="J201" i="11"/>
  <c r="J197" i="11"/>
  <c r="J193" i="11"/>
  <c r="J189" i="11"/>
  <c r="J185" i="11"/>
  <c r="J181" i="11"/>
  <c r="J177" i="11"/>
  <c r="J173" i="11"/>
  <c r="J169" i="11"/>
  <c r="J165" i="11"/>
  <c r="J161" i="11"/>
  <c r="J157" i="11"/>
  <c r="J153" i="11"/>
  <c r="J149" i="11"/>
  <c r="J145" i="11"/>
  <c r="J141" i="11"/>
  <c r="J137" i="11"/>
  <c r="J133" i="11"/>
  <c r="J129" i="11"/>
  <c r="J125" i="11"/>
  <c r="J121" i="11"/>
  <c r="J117" i="11"/>
  <c r="J113" i="11"/>
  <c r="J109" i="11"/>
  <c r="J105" i="11"/>
  <c r="J101" i="11"/>
  <c r="J97" i="11"/>
  <c r="J93" i="11"/>
  <c r="J89" i="11"/>
  <c r="J85" i="11"/>
  <c r="J81" i="11"/>
  <c r="J77" i="11"/>
  <c r="J73" i="11"/>
  <c r="J69" i="11"/>
  <c r="J65" i="11"/>
  <c r="J61" i="11"/>
  <c r="J57" i="11"/>
  <c r="J53" i="11"/>
  <c r="J49" i="11"/>
  <c r="J45" i="11"/>
  <c r="J41" i="11"/>
  <c r="J37" i="11"/>
  <c r="J33" i="11"/>
  <c r="J29" i="11"/>
  <c r="J25" i="11"/>
  <c r="J21" i="11"/>
  <c r="J17" i="11"/>
  <c r="J13" i="11"/>
  <c r="J9" i="11"/>
  <c r="J5" i="11"/>
  <c r="J3498" i="11"/>
  <c r="J3490" i="11"/>
  <c r="J3482" i="11"/>
  <c r="J3474" i="11"/>
  <c r="J3466" i="11"/>
  <c r="J3458" i="11"/>
  <c r="J3450" i="11"/>
  <c r="J3442" i="11"/>
  <c r="J3434" i="11"/>
  <c r="J3426" i="11"/>
  <c r="J3418" i="11"/>
  <c r="J3410" i="11"/>
  <c r="J3402" i="11"/>
  <c r="J3394" i="11"/>
  <c r="J3386" i="11"/>
  <c r="J3378" i="11"/>
  <c r="J3370" i="11"/>
  <c r="J3362" i="11"/>
  <c r="J3354" i="11"/>
  <c r="J3346" i="11"/>
  <c r="J3338" i="11"/>
  <c r="J3330" i="11"/>
  <c r="J3322" i="11"/>
  <c r="J3314" i="11"/>
  <c r="J3306" i="11"/>
  <c r="J3298" i="11"/>
  <c r="J3290" i="11"/>
  <c r="J3282" i="11"/>
  <c r="J3274" i="11"/>
  <c r="J3266" i="11"/>
  <c r="J3258" i="11"/>
  <c r="J3250" i="11"/>
  <c r="J3242" i="11"/>
  <c r="J3234" i="11"/>
  <c r="J3226" i="11"/>
  <c r="J3218" i="11"/>
  <c r="J3210" i="11"/>
  <c r="J3202" i="11"/>
  <c r="J3194" i="11"/>
  <c r="J3186" i="11"/>
  <c r="J3178" i="11"/>
  <c r="J3170" i="11"/>
  <c r="J3162" i="11"/>
  <c r="J3154" i="11"/>
  <c r="J3146" i="11"/>
  <c r="J3138" i="11"/>
  <c r="J3130" i="11"/>
  <c r="J3122" i="11"/>
  <c r="J3114" i="11"/>
  <c r="J3106" i="11"/>
  <c r="J3098" i="11"/>
  <c r="J3090" i="11"/>
  <c r="J3082" i="11"/>
  <c r="J3074" i="11"/>
  <c r="J3066" i="11"/>
  <c r="J3058" i="11"/>
  <c r="J3050" i="11"/>
  <c r="J3042" i="11"/>
  <c r="J3034" i="11"/>
  <c r="J3026" i="11"/>
  <c r="J3018" i="11"/>
  <c r="J3010" i="11"/>
  <c r="J3002" i="11"/>
  <c r="J2994" i="11"/>
  <c r="J2986" i="11"/>
  <c r="J2978" i="11"/>
  <c r="J2970" i="11"/>
  <c r="J2962" i="11"/>
  <c r="J2954" i="11"/>
  <c r="J2946" i="11"/>
  <c r="J2938" i="11"/>
  <c r="J2930" i="11"/>
  <c r="J2922" i="11"/>
  <c r="J2914" i="11"/>
  <c r="J2906" i="11"/>
  <c r="J2898" i="11"/>
  <c r="J2890" i="11"/>
  <c r="J2882" i="11"/>
  <c r="J2874" i="11"/>
  <c r="J2866" i="11"/>
  <c r="J2858" i="11"/>
  <c r="J2850" i="11"/>
  <c r="J2842" i="11"/>
  <c r="J2834" i="11"/>
  <c r="J2826" i="11"/>
  <c r="J2818" i="11"/>
  <c r="J2810" i="11"/>
  <c r="J2802" i="11"/>
  <c r="J2794" i="11"/>
  <c r="J2786" i="11"/>
  <c r="J2778" i="11"/>
  <c r="J2770" i="11"/>
  <c r="J2762" i="11"/>
  <c r="J2754" i="11"/>
  <c r="J2746" i="11"/>
  <c r="J2738" i="11"/>
  <c r="J2730" i="11"/>
  <c r="J2722" i="11"/>
  <c r="J2714" i="11"/>
  <c r="J2706" i="11"/>
  <c r="J2698" i="11"/>
  <c r="J2690" i="11"/>
  <c r="J2682" i="11"/>
  <c r="J2674" i="11"/>
  <c r="J2666" i="11"/>
  <c r="J2658" i="11"/>
  <c r="J2650" i="11"/>
  <c r="J2642" i="11"/>
  <c r="J2634" i="11"/>
  <c r="J2626" i="11"/>
  <c r="J2618" i="11"/>
  <c r="J2610" i="11"/>
  <c r="J2602" i="11"/>
  <c r="J2594" i="11"/>
  <c r="J2586" i="11"/>
  <c r="J2578" i="11"/>
  <c r="J2570" i="11"/>
  <c r="J2562" i="11"/>
  <c r="J2554" i="11"/>
  <c r="J2546" i="11"/>
  <c r="J2538" i="11"/>
  <c r="J2530" i="11"/>
  <c r="J2522" i="11"/>
  <c r="J2514" i="11"/>
  <c r="J2506" i="11"/>
  <c r="J2498" i="11"/>
  <c r="J2490" i="11"/>
  <c r="J2482" i="11"/>
  <c r="J2474" i="11"/>
  <c r="J2466" i="11"/>
  <c r="J2458" i="11"/>
  <c r="J2450" i="11"/>
  <c r="J2442" i="11"/>
  <c r="J2434" i="11"/>
  <c r="J2426" i="11"/>
  <c r="J2418" i="11"/>
  <c r="J2410" i="11"/>
  <c r="J2402" i="11"/>
  <c r="J2394" i="11"/>
  <c r="J2386" i="11"/>
  <c r="J2378" i="11"/>
  <c r="J2370" i="11"/>
  <c r="J2362" i="11"/>
  <c r="J2354" i="11"/>
  <c r="J2346" i="11"/>
  <c r="J2338" i="11"/>
  <c r="J2330" i="11"/>
  <c r="J2322" i="11"/>
  <c r="J2314" i="11"/>
  <c r="J2306" i="11"/>
  <c r="J2298" i="11"/>
  <c r="J2290" i="11"/>
  <c r="J2282" i="11"/>
  <c r="J2274" i="11"/>
  <c r="J2266" i="11"/>
  <c r="J2258" i="11"/>
  <c r="J2250" i="11"/>
  <c r="J2242" i="11"/>
  <c r="J2234" i="11"/>
  <c r="J2226" i="11"/>
  <c r="J2218" i="11"/>
  <c r="J2210" i="11"/>
  <c r="J2202" i="11"/>
  <c r="J2194" i="11"/>
  <c r="J2186" i="11"/>
  <c r="J2178" i="11"/>
  <c r="J2170" i="11"/>
  <c r="J2162" i="11"/>
  <c r="J2154" i="11"/>
  <c r="J2146" i="11"/>
  <c r="J2138" i="11"/>
  <c r="J2130" i="11"/>
  <c r="J2122" i="11"/>
  <c r="J2114" i="11"/>
  <c r="J2106" i="11"/>
  <c r="J2098" i="11"/>
  <c r="J2090" i="11"/>
  <c r="J2082" i="11"/>
  <c r="J2074" i="11"/>
  <c r="J2066" i="11"/>
  <c r="J2058" i="11"/>
  <c r="J2050" i="11"/>
  <c r="J2042" i="11"/>
  <c r="J2034" i="11"/>
  <c r="J2026" i="11"/>
  <c r="J2018" i="11"/>
  <c r="J2010" i="11"/>
  <c r="J2002" i="11"/>
  <c r="J1994" i="11"/>
  <c r="J1986" i="11"/>
  <c r="J1978" i="11"/>
  <c r="J1970" i="11"/>
  <c r="J1962" i="11"/>
  <c r="J1954" i="11"/>
  <c r="J1946" i="11"/>
  <c r="J1938" i="11"/>
  <c r="J1930" i="11"/>
  <c r="J1922" i="11"/>
  <c r="J1914" i="11"/>
  <c r="J1906" i="11"/>
  <c r="J1898" i="11"/>
  <c r="J1890" i="11"/>
  <c r="J1882" i="11"/>
  <c r="J1874" i="11"/>
  <c r="J1866" i="11"/>
  <c r="J1858" i="11"/>
  <c r="J1850" i="11"/>
  <c r="J1842" i="11"/>
  <c r="J1834" i="11"/>
  <c r="J1826" i="11"/>
  <c r="J1818" i="11"/>
  <c r="J1810" i="11"/>
  <c r="J1802" i="11"/>
  <c r="J1794" i="11"/>
  <c r="J1786" i="11"/>
  <c r="J1778" i="11"/>
  <c r="J1770" i="11"/>
  <c r="J1762" i="11"/>
  <c r="J1754" i="11"/>
  <c r="J1746" i="11"/>
  <c r="J1738" i="11"/>
  <c r="J1730" i="11"/>
  <c r="J1722" i="11"/>
  <c r="J1714" i="11"/>
  <c r="J1706" i="11"/>
  <c r="J1698" i="11"/>
  <c r="J1690" i="11"/>
  <c r="J1682" i="11"/>
  <c r="J1674" i="11"/>
  <c r="J1666" i="11"/>
  <c r="J1658" i="11"/>
  <c r="J1650" i="11"/>
  <c r="J1642" i="11"/>
  <c r="J1634" i="11"/>
  <c r="J1626" i="11"/>
  <c r="J1618" i="11"/>
  <c r="J1610" i="11"/>
  <c r="J1602" i="11"/>
  <c r="J1594" i="11"/>
  <c r="J1586" i="11"/>
  <c r="J1578" i="11"/>
  <c r="J1570" i="11"/>
  <c r="J1562" i="11"/>
  <c r="J1554" i="11"/>
  <c r="J1546" i="11"/>
  <c r="J1538" i="11"/>
  <c r="J1530" i="11"/>
  <c r="J1522" i="11"/>
  <c r="J1514" i="11"/>
  <c r="J1506" i="11"/>
  <c r="J1498" i="11"/>
  <c r="J1490" i="11"/>
  <c r="J1482" i="11"/>
  <c r="J1474" i="11"/>
  <c r="J1466" i="11"/>
  <c r="J1458" i="11"/>
  <c r="J1450" i="11"/>
  <c r="J1442" i="11"/>
  <c r="J1434" i="11"/>
  <c r="J1426" i="11"/>
  <c r="J1418" i="11"/>
  <c r="J1410" i="11"/>
  <c r="J1402" i="11"/>
  <c r="J1394" i="11"/>
  <c r="J1386" i="11"/>
  <c r="J1378" i="11"/>
  <c r="J1370" i="11"/>
  <c r="J1362" i="11"/>
  <c r="J1354" i="11"/>
  <c r="J1346" i="11"/>
  <c r="J1338" i="11"/>
  <c r="J1330" i="11"/>
  <c r="J1322" i="11"/>
  <c r="J1314" i="11"/>
  <c r="J1306" i="11"/>
  <c r="J1298" i="11"/>
  <c r="J1290" i="11"/>
  <c r="J1282" i="11"/>
  <c r="J1274" i="11"/>
  <c r="J1266" i="11"/>
  <c r="J1258" i="11"/>
  <c r="J1250" i="11"/>
  <c r="J1242" i="11"/>
  <c r="J1234" i="11"/>
  <c r="J1226" i="11"/>
  <c r="J1218" i="11"/>
  <c r="J1210" i="11"/>
  <c r="J1202" i="11"/>
  <c r="J1194" i="11"/>
  <c r="J1186" i="11"/>
  <c r="J1178" i="11"/>
  <c r="J1170" i="11"/>
  <c r="J1162" i="11"/>
  <c r="J1154" i="11"/>
  <c r="J1146" i="11"/>
  <c r="J1138" i="11"/>
  <c r="J1130" i="11"/>
  <c r="J1122" i="11"/>
  <c r="J1114" i="11"/>
  <c r="J1106" i="11"/>
  <c r="J1098" i="11"/>
  <c r="J1090" i="11"/>
  <c r="J1082" i="11"/>
  <c r="J1074" i="11"/>
  <c r="J1066" i="11"/>
  <c r="J1058" i="11"/>
  <c r="J1050" i="11"/>
  <c r="J1042" i="11"/>
  <c r="J1034" i="11"/>
  <c r="J1026" i="11"/>
  <c r="J1018" i="11"/>
  <c r="J1010" i="11"/>
  <c r="J1002" i="11"/>
  <c r="J994" i="11"/>
  <c r="J986" i="11"/>
  <c r="J978" i="11"/>
  <c r="J970" i="11"/>
  <c r="J962" i="11"/>
  <c r="J954" i="11"/>
  <c r="J946" i="11"/>
  <c r="J938" i="11"/>
  <c r="J930" i="11"/>
  <c r="J922" i="11"/>
  <c r="J914" i="11"/>
  <c r="J906" i="11"/>
  <c r="J898" i="11"/>
  <c r="J890" i="11"/>
  <c r="J882" i="11"/>
  <c r="J874" i="11"/>
  <c r="J866" i="11"/>
  <c r="J858" i="11"/>
  <c r="J850" i="11"/>
  <c r="J842" i="11"/>
  <c r="J834" i="11"/>
  <c r="J826" i="11"/>
  <c r="J818" i="11"/>
  <c r="J810" i="11"/>
  <c r="J802" i="11"/>
  <c r="J794" i="11"/>
  <c r="J786" i="11"/>
  <c r="J778" i="11"/>
  <c r="J770" i="11"/>
  <c r="J762" i="11"/>
  <c r="J754" i="11"/>
  <c r="J746" i="11"/>
  <c r="J738" i="11"/>
  <c r="J730" i="11"/>
  <c r="J722" i="11"/>
  <c r="J714" i="11"/>
  <c r="J706" i="11"/>
  <c r="J698" i="11"/>
  <c r="J690" i="11"/>
  <c r="J682" i="11"/>
  <c r="J674" i="11"/>
  <c r="J666" i="11"/>
  <c r="J658" i="11"/>
  <c r="J650" i="11"/>
  <c r="J642" i="11"/>
  <c r="J634" i="11"/>
  <c r="J626" i="11"/>
  <c r="J618" i="11"/>
  <c r="J610" i="11"/>
  <c r="J602" i="11"/>
  <c r="J594" i="11"/>
  <c r="J586" i="11"/>
  <c r="J578" i="11"/>
  <c r="J570" i="11"/>
  <c r="J562" i="11"/>
  <c r="J554" i="11"/>
  <c r="J546" i="11"/>
  <c r="J538" i="11"/>
  <c r="J530" i="11"/>
  <c r="J522" i="11"/>
  <c r="J514" i="11"/>
  <c r="J506" i="11"/>
  <c r="J498" i="11"/>
  <c r="J490" i="11"/>
  <c r="J482" i="11"/>
  <c r="J474" i="11"/>
  <c r="J466" i="11"/>
  <c r="J458" i="11"/>
  <c r="J450" i="11"/>
  <c r="J442" i="11"/>
  <c r="J434" i="11"/>
  <c r="J426" i="11"/>
  <c r="J418" i="11"/>
  <c r="J410" i="11"/>
  <c r="J402" i="11"/>
  <c r="J394" i="11"/>
  <c r="J386" i="11"/>
  <c r="J378" i="11"/>
  <c r="J370" i="11"/>
  <c r="J362" i="11"/>
  <c r="J354" i="11"/>
  <c r="J346" i="11"/>
  <c r="J338" i="11"/>
  <c r="J330" i="11"/>
  <c r="J322" i="11"/>
  <c r="J314" i="11"/>
  <c r="J306" i="11"/>
  <c r="J298" i="11"/>
  <c r="J290" i="11"/>
  <c r="J282" i="11"/>
  <c r="J274" i="11"/>
  <c r="J266" i="11"/>
  <c r="J258" i="11"/>
  <c r="J250" i="11"/>
  <c r="J242" i="11"/>
  <c r="J234" i="11"/>
  <c r="J226" i="11"/>
  <c r="J218" i="11"/>
  <c r="J210" i="11"/>
  <c r="J202" i="11"/>
  <c r="J194" i="11"/>
  <c r="J186" i="11"/>
  <c r="J178" i="11"/>
  <c r="J170" i="11"/>
  <c r="J162" i="11"/>
  <c r="J154" i="11"/>
  <c r="J146" i="11"/>
  <c r="J138" i="11"/>
  <c r="J130" i="11"/>
  <c r="J122" i="11"/>
  <c r="J114" i="11"/>
  <c r="J106" i="11"/>
  <c r="J98" i="11"/>
  <c r="J90" i="11"/>
  <c r="J82" i="11"/>
  <c r="J74" i="11"/>
  <c r="J66" i="11"/>
  <c r="J58" i="11"/>
  <c r="J50" i="11"/>
  <c r="J42" i="11"/>
  <c r="J34" i="11"/>
  <c r="J26" i="11"/>
  <c r="J18" i="11"/>
  <c r="J10" i="11"/>
  <c r="J2" i="11"/>
  <c r="J3496" i="11"/>
  <c r="J3488" i="11"/>
  <c r="J3480" i="11"/>
  <c r="J3472" i="11"/>
  <c r="J3464" i="11"/>
  <c r="J3456" i="11"/>
  <c r="J3448" i="11"/>
  <c r="J3440" i="11"/>
  <c r="J3432" i="11"/>
  <c r="J3424" i="11"/>
  <c r="J3416" i="11"/>
  <c r="J3408" i="11"/>
  <c r="J3400" i="11"/>
  <c r="J3392" i="11"/>
  <c r="J3384" i="11"/>
  <c r="J3376" i="11"/>
  <c r="J3368" i="11"/>
  <c r="J3360" i="11"/>
  <c r="J3352" i="11"/>
  <c r="J3344" i="11"/>
  <c r="J3336" i="11"/>
  <c r="J3328" i="11"/>
  <c r="J3320" i="11"/>
  <c r="J3312" i="11"/>
  <c r="J3304" i="11"/>
  <c r="J3296" i="11"/>
  <c r="J3288" i="11"/>
  <c r="J3280" i="11"/>
  <c r="J3272" i="11"/>
  <c r="J3264" i="11"/>
  <c r="J3256" i="11"/>
  <c r="J3248" i="11"/>
  <c r="J3240" i="11"/>
  <c r="J3232" i="11"/>
  <c r="J3224" i="11"/>
  <c r="J3216" i="11"/>
  <c r="J3208" i="11"/>
  <c r="J3200" i="11"/>
  <c r="J3192" i="11"/>
  <c r="J3184" i="11"/>
  <c r="J3176" i="11"/>
  <c r="J3168" i="11"/>
  <c r="J3160" i="11"/>
  <c r="J3152" i="11"/>
  <c r="J3144" i="11"/>
  <c r="J3136" i="11"/>
  <c r="J3128" i="11"/>
  <c r="J3120" i="11"/>
  <c r="J3112" i="11"/>
  <c r="J3104" i="11"/>
  <c r="J3096" i="11"/>
  <c r="J3088" i="11"/>
  <c r="J3080" i="11"/>
  <c r="J3072" i="11"/>
  <c r="J3064" i="11"/>
  <c r="J3056" i="11"/>
  <c r="J3048" i="11"/>
  <c r="J3040" i="11"/>
  <c r="J3032" i="11"/>
  <c r="J3024" i="11"/>
  <c r="J3016" i="11"/>
  <c r="J3008" i="11"/>
  <c r="J3000" i="11"/>
  <c r="J2992" i="11"/>
  <c r="J2984" i="11"/>
  <c r="J2976" i="11"/>
  <c r="J2968" i="11"/>
  <c r="J2960" i="11"/>
  <c r="J2952" i="11"/>
  <c r="J2944" i="11"/>
  <c r="J2936" i="11"/>
  <c r="J2928" i="11"/>
  <c r="J2920" i="11"/>
  <c r="J2912" i="11"/>
  <c r="J2904" i="11"/>
  <c r="J2896" i="11"/>
  <c r="J2888" i="11"/>
  <c r="J2880" i="11"/>
  <c r="J2872" i="11"/>
  <c r="J2864" i="11"/>
  <c r="J2856" i="11"/>
  <c r="J2848" i="11"/>
  <c r="J2840" i="11"/>
  <c r="J2832" i="11"/>
  <c r="J2824" i="11"/>
  <c r="J2816" i="11"/>
  <c r="J2808" i="11"/>
  <c r="J2800" i="11"/>
  <c r="J2792" i="11"/>
  <c r="J2784" i="11"/>
  <c r="J2776" i="11"/>
  <c r="J2768" i="11"/>
  <c r="J2760" i="11"/>
  <c r="J2752" i="11"/>
  <c r="J2744" i="11"/>
  <c r="J2736" i="11"/>
  <c r="J2728" i="11"/>
  <c r="J2720" i="11"/>
  <c r="J2712" i="11"/>
  <c r="J2704" i="11"/>
  <c r="J2696" i="11"/>
  <c r="J2688" i="11"/>
  <c r="J2680" i="11"/>
  <c r="J2672" i="11"/>
  <c r="J2664" i="11"/>
  <c r="J2656" i="11"/>
  <c r="J2648" i="11"/>
  <c r="J2640" i="11"/>
  <c r="J2632" i="11"/>
  <c r="J2624" i="11"/>
  <c r="J2616" i="11"/>
  <c r="J2608" i="11"/>
  <c r="J2600" i="11"/>
  <c r="J2592" i="11"/>
  <c r="J2584" i="11"/>
  <c r="J2576" i="11"/>
  <c r="J2568" i="11"/>
  <c r="J2560" i="11"/>
  <c r="J2552" i="11"/>
  <c r="J2544" i="11"/>
  <c r="J2536" i="11"/>
  <c r="J2528" i="11"/>
  <c r="J2520" i="11"/>
  <c r="J2512" i="11"/>
  <c r="J2504" i="11"/>
  <c r="J2496" i="11"/>
  <c r="J2488" i="11"/>
  <c r="J2480" i="11"/>
  <c r="J2472" i="11"/>
  <c r="J2464" i="11"/>
  <c r="J2456" i="11"/>
  <c r="J2448" i="11"/>
  <c r="J2440" i="11"/>
  <c r="J2432" i="11"/>
  <c r="J2424" i="11"/>
  <c r="J2416" i="11"/>
  <c r="J2408" i="11"/>
  <c r="J2400" i="11"/>
  <c r="J2392" i="11"/>
  <c r="J2384" i="11"/>
  <c r="J2376" i="11"/>
  <c r="J2368" i="11"/>
  <c r="J2360" i="11"/>
  <c r="J2352" i="11"/>
  <c r="J2344" i="11"/>
  <c r="J2336" i="11"/>
  <c r="J2328" i="11"/>
  <c r="J2320" i="11"/>
  <c r="J2312" i="11"/>
  <c r="J2304" i="11"/>
  <c r="J2296" i="11"/>
  <c r="J2288" i="11"/>
  <c r="J2280" i="11"/>
  <c r="J2272" i="11"/>
  <c r="J2264" i="11"/>
  <c r="J2256" i="11"/>
  <c r="J2248" i="11"/>
  <c r="J2240" i="11"/>
  <c r="J2232" i="11"/>
  <c r="J2224" i="11"/>
  <c r="J2216" i="11"/>
  <c r="J2208" i="11"/>
  <c r="J2200" i="11"/>
  <c r="J2192" i="11"/>
  <c r="J2184" i="11"/>
  <c r="J2176" i="11"/>
  <c r="J2168" i="11"/>
  <c r="J2160" i="11"/>
  <c r="J2152" i="11"/>
  <c r="J2144" i="11"/>
  <c r="J2136" i="11"/>
  <c r="J2128" i="11"/>
  <c r="J2120" i="11"/>
  <c r="J2112" i="11"/>
  <c r="J2104" i="11"/>
  <c r="J2096" i="11"/>
  <c r="J2088" i="11"/>
  <c r="J2080" i="11"/>
  <c r="J2072" i="11"/>
  <c r="J2064" i="11"/>
  <c r="J2056" i="11"/>
  <c r="J2048" i="11"/>
  <c r="J2040" i="11"/>
  <c r="J2032" i="11"/>
  <c r="J2024" i="11"/>
  <c r="J2016" i="11"/>
  <c r="J2008" i="11"/>
  <c r="J2000" i="11"/>
  <c r="J1992" i="11"/>
  <c r="J1984" i="11"/>
  <c r="J1976" i="11"/>
  <c r="J1968" i="11"/>
  <c r="J1960" i="11"/>
  <c r="J1952" i="11"/>
  <c r="J1944" i="11"/>
  <c r="J1936" i="11"/>
  <c r="J1928" i="11"/>
  <c r="J1920" i="11"/>
  <c r="J1912" i="11"/>
  <c r="J1904" i="11"/>
  <c r="J1896" i="11"/>
  <c r="J1888" i="11"/>
  <c r="J1880" i="11"/>
  <c r="J1872" i="11"/>
  <c r="J1864" i="11"/>
  <c r="J1856" i="11"/>
  <c r="J1848" i="11"/>
  <c r="J1840" i="11"/>
  <c r="J1832" i="11"/>
  <c r="J1824" i="11"/>
  <c r="J1816" i="11"/>
  <c r="J1808" i="11"/>
  <c r="J1800" i="11"/>
  <c r="J1792" i="11"/>
  <c r="J1784" i="11"/>
  <c r="J1776" i="11"/>
  <c r="J1768" i="11"/>
  <c r="J1760" i="11"/>
  <c r="J1752" i="11"/>
  <c r="J1744" i="11"/>
  <c r="J1736" i="11"/>
  <c r="J1728" i="11"/>
  <c r="J1720" i="11"/>
  <c r="J1712" i="11"/>
  <c r="J1704" i="11"/>
  <c r="J1696" i="11"/>
  <c r="J1688" i="11"/>
  <c r="J1680" i="11"/>
  <c r="J1672" i="11"/>
  <c r="J1664" i="11"/>
  <c r="J1656" i="11"/>
  <c r="J1648" i="11"/>
  <c r="J1640" i="11"/>
  <c r="J1632" i="11"/>
  <c r="J1624" i="11"/>
  <c r="J1616" i="11"/>
  <c r="J1608" i="11"/>
  <c r="J1600" i="11"/>
  <c r="J1592" i="11"/>
  <c r="J1584" i="11"/>
  <c r="J1576" i="11"/>
  <c r="J1568" i="11"/>
  <c r="J1560" i="11"/>
  <c r="J1552" i="11"/>
  <c r="J1544" i="11"/>
  <c r="J1536" i="11"/>
  <c r="J1528" i="11"/>
  <c r="J1520" i="11"/>
  <c r="J1512" i="11"/>
  <c r="J1504" i="11"/>
  <c r="J1496" i="11"/>
  <c r="J1488" i="11"/>
  <c r="J1480" i="11"/>
  <c r="J1472" i="11"/>
  <c r="J1464" i="11"/>
  <c r="J1456" i="11"/>
  <c r="J1448" i="11"/>
  <c r="J1440" i="11"/>
  <c r="J1432" i="11"/>
  <c r="J1424" i="11"/>
  <c r="J1416" i="11"/>
  <c r="J1408" i="11"/>
  <c r="J1400" i="11"/>
  <c r="J1392" i="11"/>
  <c r="J1384" i="11"/>
  <c r="J1376" i="11"/>
  <c r="J1368" i="11"/>
  <c r="J1360" i="11"/>
  <c r="J1352" i="11"/>
  <c r="J1344" i="11"/>
  <c r="J1336" i="11"/>
  <c r="J1328" i="11"/>
  <c r="J1320" i="11"/>
  <c r="J1312" i="11"/>
  <c r="J1304" i="11"/>
  <c r="J1296" i="11"/>
  <c r="J1288" i="11"/>
  <c r="J1280" i="11"/>
  <c r="J1272" i="11"/>
  <c r="J1264" i="11"/>
  <c r="J1256" i="11"/>
  <c r="J1248" i="11"/>
  <c r="J1240" i="11"/>
  <c r="J1232" i="11"/>
  <c r="J1224" i="11"/>
  <c r="J1216" i="11"/>
  <c r="J1208" i="11"/>
  <c r="J1200" i="11"/>
  <c r="J1192" i="11"/>
  <c r="J1184" i="11"/>
  <c r="J1176" i="11"/>
  <c r="J1168" i="11"/>
  <c r="J1160" i="11"/>
  <c r="J1152" i="11"/>
  <c r="J1144" i="11"/>
  <c r="J1136" i="11"/>
  <c r="J1128" i="11"/>
  <c r="J1120" i="11"/>
  <c r="J1112" i="11"/>
  <c r="J1104" i="11"/>
  <c r="J1096" i="11"/>
  <c r="J1088" i="11"/>
  <c r="J1080" i="11"/>
  <c r="J1072" i="11"/>
  <c r="J1064" i="11"/>
  <c r="J1056" i="11"/>
  <c r="J1048" i="11"/>
  <c r="J1040" i="11"/>
  <c r="J1032" i="11"/>
  <c r="J1024" i="11"/>
  <c r="J1016" i="11"/>
  <c r="J1008" i="11"/>
  <c r="J1000" i="11"/>
  <c r="J992" i="11"/>
  <c r="J984" i="11"/>
  <c r="J976" i="11"/>
  <c r="J968" i="11"/>
  <c r="J960" i="11"/>
  <c r="J952" i="11"/>
  <c r="J944" i="11"/>
  <c r="J936" i="11"/>
  <c r="J928" i="11"/>
  <c r="J920" i="11"/>
  <c r="J912" i="11"/>
  <c r="J904" i="11"/>
  <c r="J896" i="11"/>
  <c r="J888" i="11"/>
  <c r="J880" i="11"/>
  <c r="J872" i="11"/>
  <c r="J864" i="11"/>
  <c r="J856" i="11"/>
  <c r="J848" i="11"/>
  <c r="J840" i="11"/>
  <c r="J832" i="11"/>
  <c r="J824" i="11"/>
  <c r="J816" i="11"/>
  <c r="J808" i="11"/>
  <c r="J800" i="11"/>
  <c r="J792" i="11"/>
  <c r="J784" i="11"/>
  <c r="J776" i="11"/>
  <c r="J768" i="11"/>
  <c r="J760" i="11"/>
  <c r="J752" i="11"/>
  <c r="J744" i="11"/>
  <c r="J736" i="11"/>
  <c r="J728" i="11"/>
  <c r="J720" i="11"/>
  <c r="J712" i="11"/>
  <c r="J704" i="11"/>
  <c r="J696" i="11"/>
  <c r="J688" i="11"/>
  <c r="J680" i="11"/>
  <c r="J672" i="11"/>
  <c r="J664" i="11"/>
  <c r="J656" i="11"/>
  <c r="J648" i="11"/>
  <c r="J640" i="11"/>
  <c r="J632" i="11"/>
  <c r="J624" i="11"/>
  <c r="J616" i="11"/>
  <c r="J608" i="11"/>
  <c r="J600" i="11"/>
  <c r="J592" i="11"/>
  <c r="J584" i="11"/>
  <c r="J576" i="11"/>
  <c r="J568" i="11"/>
  <c r="J560" i="11"/>
  <c r="J552" i="11"/>
  <c r="J544" i="11"/>
  <c r="J536" i="11"/>
  <c r="J528" i="11"/>
  <c r="J520" i="11"/>
  <c r="J512" i="11"/>
  <c r="J504" i="11"/>
  <c r="J496" i="11"/>
  <c r="J488" i="11"/>
  <c r="J480" i="11"/>
  <c r="J472" i="11"/>
  <c r="J464" i="11"/>
  <c r="J456" i="11"/>
  <c r="J448" i="11"/>
  <c r="J440" i="11"/>
  <c r="J432" i="11"/>
  <c r="J424" i="11"/>
  <c r="J416" i="11"/>
  <c r="J408" i="11"/>
  <c r="J400" i="11"/>
  <c r="J392" i="11"/>
  <c r="J384" i="11"/>
  <c r="J376" i="11"/>
  <c r="J368" i="11"/>
  <c r="J360" i="11"/>
  <c r="J352" i="11"/>
  <c r="J344" i="11"/>
  <c r="J336" i="11"/>
  <c r="J328" i="11"/>
  <c r="J320" i="11"/>
  <c r="J312" i="11"/>
  <c r="J304" i="11"/>
  <c r="J296" i="11"/>
  <c r="J288" i="11"/>
  <c r="J280" i="11"/>
  <c r="J272" i="11"/>
  <c r="J264" i="11"/>
  <c r="J256" i="11"/>
  <c r="J248" i="11"/>
  <c r="J240" i="11"/>
  <c r="J232" i="11"/>
  <c r="J224" i="11"/>
  <c r="J216" i="11"/>
  <c r="J208" i="11"/>
  <c r="J200" i="11"/>
  <c r="J192" i="11"/>
  <c r="J184" i="11"/>
  <c r="J176" i="11"/>
  <c r="J168" i="11"/>
  <c r="J160" i="11"/>
  <c r="J152" i="11"/>
  <c r="J144" i="11"/>
  <c r="J136" i="11"/>
  <c r="J128" i="11"/>
  <c r="J120" i="11"/>
  <c r="J112" i="11"/>
  <c r="J104" i="11"/>
  <c r="J96" i="11"/>
  <c r="J88" i="11"/>
  <c r="J80" i="11"/>
  <c r="J72" i="11"/>
  <c r="J64" i="11"/>
  <c r="J56" i="11"/>
  <c r="J48" i="11"/>
  <c r="J40" i="11"/>
  <c r="J32" i="11"/>
  <c r="J24" i="11"/>
  <c r="J16" i="11"/>
  <c r="J8" i="11"/>
  <c r="J3494" i="11"/>
  <c r="J3486" i="11"/>
  <c r="J3478" i="11"/>
  <c r="J3470" i="11"/>
  <c r="J3462" i="11"/>
  <c r="J3454" i="11"/>
  <c r="J3446" i="11"/>
  <c r="J3438" i="11"/>
  <c r="J3430" i="11"/>
  <c r="J3422" i="11"/>
  <c r="J3414" i="11"/>
  <c r="J3406" i="11"/>
  <c r="J3398" i="11"/>
  <c r="J3390" i="11"/>
  <c r="J3382" i="11"/>
  <c r="J3374" i="11"/>
  <c r="J3366" i="11"/>
  <c r="J3358" i="11"/>
  <c r="J3350" i="11"/>
  <c r="J3342" i="11"/>
  <c r="J3334" i="11"/>
  <c r="J3326" i="11"/>
  <c r="J3318" i="11"/>
  <c r="J3310" i="11"/>
  <c r="J3302" i="11"/>
  <c r="J3294" i="11"/>
  <c r="J3286" i="11"/>
  <c r="J3278" i="11"/>
  <c r="J3270" i="11"/>
  <c r="J3262" i="11"/>
  <c r="J3254" i="11"/>
  <c r="J3246" i="11"/>
  <c r="J3238" i="11"/>
  <c r="J3230" i="11"/>
  <c r="J3222" i="11"/>
  <c r="J3214" i="11"/>
  <c r="J3206" i="11"/>
  <c r="J3198" i="11"/>
  <c r="J3190" i="11"/>
  <c r="J3182" i="11"/>
  <c r="J3174" i="11"/>
  <c r="J3166" i="11"/>
  <c r="J3158" i="11"/>
  <c r="J3150" i="11"/>
  <c r="J3142" i="11"/>
  <c r="J3134" i="11"/>
  <c r="J3126" i="11"/>
  <c r="J3118" i="11"/>
  <c r="J3110" i="11"/>
  <c r="J3102" i="11"/>
  <c r="J3094" i="11"/>
  <c r="J3086" i="11"/>
  <c r="J3078" i="11"/>
  <c r="J3070" i="11"/>
  <c r="J3062" i="11"/>
  <c r="J3054" i="11"/>
  <c r="J3046" i="11"/>
  <c r="J3038" i="11"/>
  <c r="J3030" i="11"/>
  <c r="J3022" i="11"/>
  <c r="J3014" i="11"/>
  <c r="J3006" i="11"/>
  <c r="J2998" i="11"/>
  <c r="J2990" i="11"/>
  <c r="J2982" i="11"/>
  <c r="J2974" i="11"/>
  <c r="J2966" i="11"/>
  <c r="J2958" i="11"/>
  <c r="J2950" i="11"/>
  <c r="J2942" i="11"/>
  <c r="J2934" i="11"/>
  <c r="J2926" i="11"/>
  <c r="J2918" i="11"/>
  <c r="J2910" i="11"/>
  <c r="J2902" i="11"/>
  <c r="J2894" i="11"/>
  <c r="J2886" i="11"/>
  <c r="J2878" i="11"/>
  <c r="J2870" i="11"/>
  <c r="J2862" i="11"/>
  <c r="J2854" i="11"/>
  <c r="J2846" i="11"/>
  <c r="J2838" i="11"/>
  <c r="J2830" i="11"/>
  <c r="J2822" i="11"/>
  <c r="J2814" i="11"/>
  <c r="J2806" i="11"/>
  <c r="J2798" i="11"/>
  <c r="J2790" i="11"/>
  <c r="J2782" i="11"/>
  <c r="J2774" i="11"/>
  <c r="J2766" i="11"/>
  <c r="J2758" i="11"/>
  <c r="J2750" i="11"/>
  <c r="J2742" i="11"/>
  <c r="J2734" i="11"/>
  <c r="J2726" i="11"/>
  <c r="J2718" i="11"/>
  <c r="J2710" i="11"/>
  <c r="J2702" i="11"/>
  <c r="J2694" i="11"/>
  <c r="J2686" i="11"/>
  <c r="J2678" i="11"/>
  <c r="J2670" i="11"/>
  <c r="J2662" i="11"/>
  <c r="J2654" i="11"/>
  <c r="J2646" i="11"/>
  <c r="J2638" i="11"/>
  <c r="J2630" i="11"/>
  <c r="J2622" i="11"/>
  <c r="J2614" i="11"/>
  <c r="J2606" i="11"/>
  <c r="J2598" i="11"/>
  <c r="J2590" i="11"/>
  <c r="J2582" i="11"/>
  <c r="J2574" i="11"/>
  <c r="J2566" i="11"/>
  <c r="J2558" i="11"/>
  <c r="J2550" i="11"/>
  <c r="J2542" i="11"/>
  <c r="J2534" i="11"/>
  <c r="J2526" i="11"/>
  <c r="J2518" i="11"/>
  <c r="J2510" i="11"/>
  <c r="J2502" i="11"/>
  <c r="J2494" i="11"/>
  <c r="J2486" i="11"/>
  <c r="J2478" i="11"/>
  <c r="J2470" i="11"/>
  <c r="J2462" i="11"/>
  <c r="J2454" i="11"/>
  <c r="J2446" i="11"/>
  <c r="J2438" i="11"/>
  <c r="J2430" i="11"/>
  <c r="J2422" i="11"/>
  <c r="J2414" i="11"/>
  <c r="J2406" i="11"/>
  <c r="J2398" i="11"/>
  <c r="J2390" i="11"/>
  <c r="J2382" i="11"/>
  <c r="J2374" i="11"/>
  <c r="J2366" i="11"/>
  <c r="J2358" i="11"/>
  <c r="J2350" i="11"/>
  <c r="J2342" i="11"/>
  <c r="J2334" i="11"/>
  <c r="J2326" i="11"/>
  <c r="J2318" i="11"/>
  <c r="J2310" i="11"/>
  <c r="J2302" i="11"/>
  <c r="J2294" i="11"/>
  <c r="J2286" i="11"/>
  <c r="J2278" i="11"/>
  <c r="J2270" i="11"/>
  <c r="J2262" i="11"/>
  <c r="J2254" i="11"/>
  <c r="J2246" i="11"/>
  <c r="J2238" i="11"/>
  <c r="J2230" i="11"/>
  <c r="J2222" i="11"/>
  <c r="J2214" i="11"/>
  <c r="J2206" i="11"/>
  <c r="J2198" i="11"/>
  <c r="J2190" i="11"/>
  <c r="J2182" i="11"/>
  <c r="J2174" i="11"/>
  <c r="J2166" i="11"/>
  <c r="J2158" i="11"/>
  <c r="J2150" i="11"/>
  <c r="J2142" i="11"/>
  <c r="J2134" i="11"/>
  <c r="J2126" i="11"/>
  <c r="J2118" i="11"/>
  <c r="J2110" i="11"/>
  <c r="J2102" i="11"/>
  <c r="J2094" i="11"/>
  <c r="J2086" i="11"/>
  <c r="J2078" i="11"/>
  <c r="J2070" i="11"/>
  <c r="J2062" i="11"/>
  <c r="J2054" i="11"/>
  <c r="J2046" i="11"/>
  <c r="J2038" i="11"/>
  <c r="J2030" i="11"/>
  <c r="J2022" i="11"/>
  <c r="J2014" i="11"/>
  <c r="J2006" i="11"/>
  <c r="J1998" i="11"/>
  <c r="J1990" i="11"/>
  <c r="J1982" i="11"/>
  <c r="J1974" i="11"/>
  <c r="J1966" i="11"/>
  <c r="J1958" i="11"/>
  <c r="J1950" i="11"/>
  <c r="J1942" i="11"/>
  <c r="J1934" i="11"/>
  <c r="J1926" i="11"/>
  <c r="J1918" i="11"/>
  <c r="J1910" i="11"/>
  <c r="J1902" i="11"/>
  <c r="J1894" i="11"/>
  <c r="J1886" i="11"/>
  <c r="J1878" i="11"/>
  <c r="J1870" i="11"/>
  <c r="J1862" i="11"/>
  <c r="J1854" i="11"/>
  <c r="J1846" i="11"/>
  <c r="J1838" i="11"/>
  <c r="J1830" i="11"/>
  <c r="J1822" i="11"/>
  <c r="J1814" i="11"/>
  <c r="J1806" i="11"/>
  <c r="J1798" i="11"/>
  <c r="J1790" i="11"/>
  <c r="J1782" i="11"/>
  <c r="J1774" i="11"/>
  <c r="J1766" i="11"/>
  <c r="J1758" i="11"/>
  <c r="J1750" i="11"/>
  <c r="J1742" i="11"/>
  <c r="J1734" i="11"/>
  <c r="J1726" i="11"/>
  <c r="J1718" i="11"/>
  <c r="J1710" i="11"/>
  <c r="J1702" i="11"/>
  <c r="J1694" i="11"/>
  <c r="J1686" i="11"/>
  <c r="J1678" i="11"/>
  <c r="J1670" i="11"/>
  <c r="J1662" i="11"/>
  <c r="J1654" i="11"/>
  <c r="J1646" i="11"/>
  <c r="J1638" i="11"/>
  <c r="J1630" i="11"/>
  <c r="J1622" i="11"/>
  <c r="J1614" i="11"/>
  <c r="J1606" i="11"/>
  <c r="J1598" i="11"/>
  <c r="J1590" i="11"/>
  <c r="J1582" i="11"/>
  <c r="J1574" i="11"/>
  <c r="J1566" i="11"/>
  <c r="J1558" i="11"/>
  <c r="J1550" i="11"/>
  <c r="J1542" i="11"/>
  <c r="J1534" i="11"/>
  <c r="J1526" i="11"/>
  <c r="J1518" i="11"/>
  <c r="J1510" i="11"/>
  <c r="J1502" i="11"/>
  <c r="J1494" i="11"/>
  <c r="J1486" i="11"/>
  <c r="J1478" i="11"/>
  <c r="J1470" i="11"/>
  <c r="J1462" i="11"/>
  <c r="J1454" i="11"/>
  <c r="J1446" i="11"/>
  <c r="J1438" i="11"/>
  <c r="J1430" i="11"/>
  <c r="J1422" i="11"/>
  <c r="J1414" i="11"/>
  <c r="J1406" i="11"/>
  <c r="J1398" i="11"/>
  <c r="J1390" i="11"/>
  <c r="J1382" i="11"/>
  <c r="J1374" i="11"/>
  <c r="J1366" i="11"/>
  <c r="J1358" i="11"/>
  <c r="J1350" i="11"/>
  <c r="J1342" i="11"/>
  <c r="J1334" i="11"/>
  <c r="J1326" i="11"/>
  <c r="J1318" i="11"/>
  <c r="J1310" i="11"/>
  <c r="J1302" i="11"/>
  <c r="J1294" i="11"/>
  <c r="J1286" i="11"/>
  <c r="J1278" i="11"/>
  <c r="J1270" i="11"/>
  <c r="J1262" i="11"/>
  <c r="J1254" i="11"/>
  <c r="J1246" i="11"/>
  <c r="J1238" i="11"/>
  <c r="J1230" i="11"/>
  <c r="J1222" i="11"/>
  <c r="J1214" i="11"/>
  <c r="J1206" i="11"/>
  <c r="J1198" i="11"/>
  <c r="J1190" i="11"/>
  <c r="J1182" i="11"/>
  <c r="J1174" i="11"/>
  <c r="J1166" i="11"/>
  <c r="J1158" i="11"/>
  <c r="J1150" i="11"/>
  <c r="J1142" i="11"/>
  <c r="J1134" i="11"/>
  <c r="J1126" i="11"/>
  <c r="J1118" i="11"/>
  <c r="J1110" i="11"/>
  <c r="J1102" i="11"/>
  <c r="J1094" i="11"/>
  <c r="J1086" i="11"/>
  <c r="J1078" i="11"/>
  <c r="J1070" i="11"/>
  <c r="J1062" i="11"/>
  <c r="J1054" i="11"/>
  <c r="J1046" i="11"/>
  <c r="J1038" i="11"/>
  <c r="J1030" i="11"/>
  <c r="J1022" i="11"/>
  <c r="J1014" i="11"/>
  <c r="J1006" i="11"/>
  <c r="J998" i="11"/>
  <c r="J990" i="11"/>
  <c r="J982" i="11"/>
  <c r="J974" i="11"/>
  <c r="J966" i="11"/>
  <c r="J958" i="11"/>
  <c r="J950" i="11"/>
  <c r="J942" i="11"/>
  <c r="J934" i="11"/>
  <c r="J926" i="11"/>
  <c r="J918" i="11"/>
  <c r="J910" i="11"/>
  <c r="J902" i="11"/>
  <c r="J894" i="11"/>
  <c r="J886" i="11"/>
  <c r="J878" i="11"/>
  <c r="J870" i="11"/>
  <c r="J862" i="11"/>
  <c r="J854" i="11"/>
  <c r="J846" i="11"/>
  <c r="J838" i="11"/>
  <c r="J830" i="11"/>
  <c r="J822" i="11"/>
  <c r="J814" i="11"/>
  <c r="J806" i="11"/>
  <c r="J798" i="11"/>
  <c r="J790" i="11"/>
  <c r="J782" i="11"/>
  <c r="J774" i="11"/>
  <c r="J766" i="11"/>
  <c r="J758" i="11"/>
  <c r="J750" i="11"/>
  <c r="J742" i="11"/>
  <c r="J734" i="11"/>
  <c r="J726" i="11"/>
  <c r="J718" i="11"/>
  <c r="J710" i="11"/>
  <c r="J702" i="11"/>
  <c r="J694" i="11"/>
  <c r="J686" i="11"/>
  <c r="J678" i="11"/>
  <c r="J670" i="11"/>
  <c r="J662" i="11"/>
  <c r="J654" i="11"/>
  <c r="J646" i="11"/>
  <c r="J638" i="11"/>
  <c r="J630" i="11"/>
  <c r="J622" i="11"/>
  <c r="J614" i="11"/>
  <c r="J606" i="11"/>
  <c r="J598" i="11"/>
  <c r="J590" i="11"/>
  <c r="J582" i="11"/>
  <c r="J574" i="11"/>
  <c r="J566" i="11"/>
  <c r="J558" i="11"/>
  <c r="J550" i="11"/>
  <c r="J542" i="11"/>
  <c r="J534" i="11"/>
  <c r="J526" i="11"/>
  <c r="J518" i="11"/>
  <c r="J510" i="11"/>
  <c r="J502" i="11"/>
  <c r="J494" i="11"/>
  <c r="J486" i="11"/>
  <c r="J478" i="11"/>
  <c r="J470" i="11"/>
  <c r="J462" i="11"/>
  <c r="J454" i="11"/>
  <c r="J446" i="11"/>
  <c r="J438" i="11"/>
  <c r="J430" i="11"/>
  <c r="J422" i="11"/>
  <c r="J414" i="11"/>
  <c r="J406" i="11"/>
  <c r="J398" i="11"/>
  <c r="J390" i="11"/>
  <c r="J382" i="11"/>
  <c r="J374" i="11"/>
  <c r="J366" i="11"/>
  <c r="J358" i="11"/>
  <c r="J350" i="11"/>
  <c r="J342" i="11"/>
  <c r="J334" i="11"/>
  <c r="J326" i="11"/>
  <c r="J318" i="11"/>
  <c r="J310" i="11"/>
  <c r="J302" i="11"/>
  <c r="J294" i="11"/>
  <c r="J286" i="11"/>
  <c r="J278" i="11"/>
  <c r="J270" i="11"/>
  <c r="J262" i="11"/>
  <c r="J254" i="11"/>
  <c r="J246" i="11"/>
  <c r="J238" i="11"/>
  <c r="J230" i="11"/>
  <c r="J222" i="11"/>
  <c r="J214" i="11"/>
  <c r="J206" i="11"/>
  <c r="J198" i="11"/>
  <c r="J190" i="11"/>
  <c r="J182" i="11"/>
  <c r="J174" i="11"/>
  <c r="J166" i="11"/>
  <c r="J158" i="11"/>
  <c r="J150" i="11"/>
  <c r="J142" i="11"/>
  <c r="J134" i="11"/>
  <c r="J126" i="11"/>
  <c r="J118" i="11"/>
  <c r="J110" i="11"/>
  <c r="J102" i="11"/>
  <c r="J94" i="11"/>
  <c r="J86" i="11"/>
  <c r="J78" i="11"/>
  <c r="J70" i="11"/>
  <c r="J62" i="11"/>
  <c r="J54" i="11"/>
  <c r="J46" i="11"/>
  <c r="J38" i="11"/>
  <c r="J30" i="11"/>
  <c r="J22" i="11"/>
  <c r="J14" i="11"/>
  <c r="J6" i="11"/>
  <c r="J3476" i="11"/>
  <c r="J3444" i="11"/>
  <c r="J3412" i="11"/>
  <c r="J3380" i="11"/>
  <c r="J3348" i="11"/>
  <c r="J3316" i="11"/>
  <c r="J3284" i="11"/>
  <c r="J3252" i="11"/>
  <c r="J3220" i="11"/>
  <c r="J3188" i="11"/>
  <c r="J3156" i="11"/>
  <c r="J3124" i="11"/>
  <c r="J3092" i="11"/>
  <c r="J3060" i="11"/>
  <c r="J3028" i="11"/>
  <c r="J2996" i="11"/>
  <c r="J2964" i="11"/>
  <c r="J2932" i="11"/>
  <c r="J2900" i="11"/>
  <c r="J2868" i="11"/>
  <c r="J2836" i="11"/>
  <c r="J2804" i="11"/>
  <c r="J2772" i="11"/>
  <c r="J2740" i="11"/>
  <c r="J2708" i="11"/>
  <c r="J2676" i="11"/>
  <c r="J2644" i="11"/>
  <c r="J2612" i="11"/>
  <c r="J2580" i="11"/>
  <c r="J2548" i="11"/>
  <c r="J2516" i="11"/>
  <c r="J2484" i="11"/>
  <c r="J2452" i="11"/>
  <c r="J2420" i="11"/>
  <c r="J2388" i="11"/>
  <c r="J2356" i="11"/>
  <c r="J2324" i="11"/>
  <c r="J2292" i="11"/>
  <c r="J2260" i="11"/>
  <c r="J2228" i="11"/>
  <c r="J2196" i="11"/>
  <c r="J2164" i="11"/>
  <c r="J2132" i="11"/>
  <c r="J2100" i="11"/>
  <c r="J2068" i="11"/>
  <c r="J2036" i="11"/>
  <c r="J2004" i="11"/>
  <c r="J1972" i="11"/>
  <c r="J1940" i="11"/>
  <c r="J1908" i="11"/>
  <c r="J1876" i="11"/>
  <c r="J1844" i="11"/>
  <c r="J1812" i="11"/>
  <c r="J1780" i="11"/>
  <c r="J1748" i="11"/>
  <c r="J1716" i="11"/>
  <c r="J1684" i="11"/>
  <c r="J1652" i="11"/>
  <c r="J1620" i="11"/>
  <c r="J1588" i="11"/>
  <c r="J1556" i="11"/>
  <c r="J1524" i="11"/>
  <c r="J1492" i="11"/>
  <c r="J1460" i="11"/>
  <c r="J1428" i="11"/>
  <c r="J1396" i="11"/>
  <c r="J1364" i="11"/>
  <c r="J1332" i="11"/>
  <c r="J1300" i="11"/>
  <c r="J1268" i="11"/>
  <c r="J1236" i="11"/>
  <c r="J1204" i="11"/>
  <c r="J1172" i="11"/>
  <c r="J1140" i="11"/>
  <c r="J1108" i="11"/>
  <c r="J1076" i="11"/>
  <c r="J1044" i="11"/>
  <c r="J1012" i="11"/>
  <c r="J980" i="11"/>
  <c r="J948" i="11"/>
  <c r="J916" i="11"/>
  <c r="J884" i="11"/>
  <c r="J852" i="11"/>
  <c r="J820" i="11"/>
  <c r="J788" i="11"/>
  <c r="J756" i="11"/>
  <c r="J724" i="11"/>
  <c r="J692" i="11"/>
  <c r="J660" i="11"/>
  <c r="J628" i="11"/>
  <c r="J596" i="11"/>
  <c r="J564" i="11"/>
  <c r="J532" i="11"/>
  <c r="J500" i="11"/>
  <c r="J468" i="11"/>
  <c r="J436" i="11"/>
  <c r="J404" i="11"/>
  <c r="J372" i="11"/>
  <c r="J340" i="11"/>
  <c r="J308" i="11"/>
  <c r="J276" i="11"/>
  <c r="J244" i="11"/>
  <c r="J212" i="11"/>
  <c r="J180" i="11"/>
  <c r="J148" i="11"/>
  <c r="J116" i="11"/>
  <c r="J84" i="11"/>
  <c r="J52" i="11"/>
  <c r="J20" i="11"/>
  <c r="J3500" i="11"/>
  <c r="J3468" i="11"/>
  <c r="J3436" i="11"/>
  <c r="J3404" i="11"/>
  <c r="J3372" i="11"/>
  <c r="J3340" i="11"/>
  <c r="J3308" i="11"/>
  <c r="J3276" i="11"/>
  <c r="J3244" i="11"/>
  <c r="J3212" i="11"/>
  <c r="J3180" i="11"/>
  <c r="J3148" i="11"/>
  <c r="J3116" i="11"/>
  <c r="J3084" i="11"/>
  <c r="J3052" i="11"/>
  <c r="J3020" i="11"/>
  <c r="J2988" i="11"/>
  <c r="J2956" i="11"/>
  <c r="J2924" i="11"/>
  <c r="J2892" i="11"/>
  <c r="J2860" i="11"/>
  <c r="J2828" i="11"/>
  <c r="J2796" i="11"/>
  <c r="J2764" i="11"/>
  <c r="J2732" i="11"/>
  <c r="J2700" i="11"/>
  <c r="J2668" i="11"/>
  <c r="J2636" i="11"/>
  <c r="J2604" i="11"/>
  <c r="J2572" i="11"/>
  <c r="J2540" i="11"/>
  <c r="J2508" i="11"/>
  <c r="J2476" i="11"/>
  <c r="J2444" i="11"/>
  <c r="J2412" i="11"/>
  <c r="J2380" i="11"/>
  <c r="J2348" i="11"/>
  <c r="J2316" i="11"/>
  <c r="J2284" i="11"/>
  <c r="J2252" i="11"/>
  <c r="J2220" i="11"/>
  <c r="J2188" i="11"/>
  <c r="J2156" i="11"/>
  <c r="J2124" i="11"/>
  <c r="J2092" i="11"/>
  <c r="J2060" i="11"/>
  <c r="J2028" i="11"/>
  <c r="J1996" i="11"/>
  <c r="J1964" i="11"/>
  <c r="J1932" i="11"/>
  <c r="J1900" i="11"/>
  <c r="J1868" i="11"/>
  <c r="J1836" i="11"/>
  <c r="J1804" i="11"/>
  <c r="J1772" i="11"/>
  <c r="J1740" i="11"/>
  <c r="J1708" i="11"/>
  <c r="J1676" i="11"/>
  <c r="J1644" i="11"/>
  <c r="J1612" i="11"/>
  <c r="J1580" i="11"/>
  <c r="J1548" i="11"/>
  <c r="J1516" i="11"/>
  <c r="J1484" i="11"/>
  <c r="J1452" i="11"/>
  <c r="J1420" i="11"/>
  <c r="J1388" i="11"/>
  <c r="J1356" i="11"/>
  <c r="J1324" i="11"/>
  <c r="J1292" i="11"/>
  <c r="J1260" i="11"/>
  <c r="J1228" i="11"/>
  <c r="J1196" i="11"/>
  <c r="J1164" i="11"/>
  <c r="J1132" i="11"/>
  <c r="J1100" i="11"/>
  <c r="J1068" i="11"/>
  <c r="J1036" i="11"/>
  <c r="J1004" i="11"/>
  <c r="J972" i="11"/>
  <c r="J940" i="11"/>
  <c r="J908" i="11"/>
  <c r="J876" i="11"/>
  <c r="J844" i="11"/>
  <c r="J812" i="11"/>
  <c r="J780" i="11"/>
  <c r="J748" i="11"/>
  <c r="J716" i="11"/>
  <c r="J684" i="11"/>
  <c r="J652" i="11"/>
  <c r="J620" i="11"/>
  <c r="J588" i="11"/>
  <c r="J556" i="11"/>
  <c r="J524" i="11"/>
  <c r="J492" i="11"/>
  <c r="J460" i="11"/>
  <c r="J428" i="11"/>
  <c r="J396" i="11"/>
  <c r="J364" i="11"/>
  <c r="J332" i="11"/>
  <c r="J300" i="11"/>
  <c r="J268" i="11"/>
  <c r="J236" i="11"/>
  <c r="J204" i="11"/>
  <c r="J172" i="11"/>
  <c r="J140" i="11"/>
  <c r="J108" i="11"/>
  <c r="J76" i="11"/>
  <c r="J44" i="11"/>
  <c r="J12" i="11"/>
  <c r="J3492" i="11"/>
  <c r="J3428" i="11"/>
  <c r="J3364" i="11"/>
  <c r="J3300" i="11"/>
  <c r="J3236" i="11"/>
  <c r="J3172" i="11"/>
  <c r="J3108" i="11"/>
  <c r="J3044" i="11"/>
  <c r="J2980" i="11"/>
  <c r="J2916" i="11"/>
  <c r="J2852" i="11"/>
  <c r="J2788" i="11"/>
  <c r="J2724" i="11"/>
  <c r="J2660" i="11"/>
  <c r="J2596" i="11"/>
  <c r="J2532" i="11"/>
  <c r="J2468" i="11"/>
  <c r="J2404" i="11"/>
  <c r="J2340" i="11"/>
  <c r="J2276" i="11"/>
  <c r="J2212" i="11"/>
  <c r="J2148" i="11"/>
  <c r="J2084" i="11"/>
  <c r="J2020" i="11"/>
  <c r="J1956" i="11"/>
  <c r="J1892" i="11"/>
  <c r="J1828" i="11"/>
  <c r="J1764" i="11"/>
  <c r="J1700" i="11"/>
  <c r="J1636" i="11"/>
  <c r="J1572" i="11"/>
  <c r="J1508" i="11"/>
  <c r="J1444" i="11"/>
  <c r="J1380" i="11"/>
  <c r="J1316" i="11"/>
  <c r="J1252" i="11"/>
  <c r="J1188" i="11"/>
  <c r="J1124" i="11"/>
  <c r="J1060" i="11"/>
  <c r="J996" i="11"/>
  <c r="J932" i="11"/>
  <c r="J868" i="11"/>
  <c r="J804" i="11"/>
  <c r="J740" i="11"/>
  <c r="J676" i="11"/>
  <c r="J612" i="11"/>
  <c r="J548" i="11"/>
  <c r="J484" i="11"/>
  <c r="J420" i="11"/>
  <c r="J356" i="11"/>
  <c r="J292" i="11"/>
  <c r="J228" i="11"/>
  <c r="J164" i="11"/>
  <c r="J100" i="11"/>
  <c r="J36" i="11"/>
  <c r="J3484" i="11"/>
  <c r="J3420" i="11"/>
  <c r="J3356" i="11"/>
  <c r="J3292" i="11"/>
  <c r="J3228" i="11"/>
  <c r="J3164" i="11"/>
  <c r="J3100" i="11"/>
  <c r="J3036" i="11"/>
  <c r="J2972" i="11"/>
  <c r="J2908" i="11"/>
  <c r="J2844" i="11"/>
  <c r="J2780" i="11"/>
  <c r="J2716" i="11"/>
  <c r="J2652" i="11"/>
  <c r="J2588" i="11"/>
  <c r="J2524" i="11"/>
  <c r="J2460" i="11"/>
  <c r="J2396" i="11"/>
  <c r="J2332" i="11"/>
  <c r="J2268" i="11"/>
  <c r="J2204" i="11"/>
  <c r="J2140" i="11"/>
  <c r="J2076" i="11"/>
  <c r="J2012" i="11"/>
  <c r="J1948" i="11"/>
  <c r="J1884" i="11"/>
  <c r="J1820" i="11"/>
  <c r="J1756" i="11"/>
  <c r="J1692" i="11"/>
  <c r="J1628" i="11"/>
  <c r="J1564" i="11"/>
  <c r="J1500" i="11"/>
  <c r="J1436" i="11"/>
  <c r="J1372" i="11"/>
  <c r="J1308" i="11"/>
  <c r="J1244" i="11"/>
  <c r="J1180" i="11"/>
  <c r="J1116" i="11"/>
  <c r="J1052" i="11"/>
  <c r="J988" i="11"/>
  <c r="J924" i="11"/>
  <c r="J860" i="11"/>
  <c r="J796" i="11"/>
  <c r="J732" i="11"/>
  <c r="J668" i="11"/>
  <c r="J604" i="11"/>
  <c r="J540" i="11"/>
  <c r="J476" i="11"/>
  <c r="J412" i="11"/>
  <c r="J348" i="11"/>
  <c r="J284" i="11"/>
  <c r="J220" i="11"/>
  <c r="J156" i="11"/>
  <c r="J92" i="11"/>
  <c r="J28" i="11"/>
  <c r="J3460" i="11"/>
  <c r="J3396" i="11"/>
  <c r="J3332" i="11"/>
  <c r="J3268" i="11"/>
  <c r="J3204" i="11"/>
  <c r="J3140" i="11"/>
  <c r="J3076" i="11"/>
  <c r="J3012" i="11"/>
  <c r="J2948" i="11"/>
  <c r="J2884" i="11"/>
  <c r="J2820" i="11"/>
  <c r="J2756" i="11"/>
  <c r="J2692" i="11"/>
  <c r="J2628" i="11"/>
  <c r="J2564" i="11"/>
  <c r="J2500" i="11"/>
  <c r="J2436" i="11"/>
  <c r="J2372" i="11"/>
  <c r="J2308" i="11"/>
  <c r="J2244" i="11"/>
  <c r="J2180" i="11"/>
  <c r="J2116" i="11"/>
  <c r="J2052" i="11"/>
  <c r="J1988" i="11"/>
  <c r="J1924" i="11"/>
  <c r="J1860" i="11"/>
  <c r="J1796" i="11"/>
  <c r="J1732" i="11"/>
  <c r="J1668" i="11"/>
  <c r="J1604" i="11"/>
  <c r="J1540" i="11"/>
  <c r="J1476" i="11"/>
  <c r="J1412" i="11"/>
  <c r="J1348" i="11"/>
  <c r="J1284" i="11"/>
  <c r="J1220" i="11"/>
  <c r="J1156" i="11"/>
  <c r="J1092" i="11"/>
  <c r="J1028" i="11"/>
  <c r="J964" i="11"/>
  <c r="J900" i="11"/>
  <c r="J836" i="11"/>
  <c r="J772" i="11"/>
  <c r="J708" i="11"/>
  <c r="J644" i="11"/>
  <c r="J580" i="11"/>
  <c r="J516" i="11"/>
  <c r="J452" i="11"/>
  <c r="J388" i="11"/>
  <c r="J324" i="11"/>
  <c r="J260" i="11"/>
  <c r="J196" i="11"/>
  <c r="J132" i="11"/>
  <c r="J68" i="11"/>
  <c r="J4" i="11"/>
  <c r="J3388" i="11"/>
  <c r="J3132" i="11"/>
  <c r="J2876" i="11"/>
  <c r="J2620" i="11"/>
  <c r="J2364" i="11"/>
  <c r="J2108" i="11"/>
  <c r="J1852" i="11"/>
  <c r="J1596" i="11"/>
  <c r="J1340" i="11"/>
  <c r="J1084" i="11"/>
  <c r="J828" i="11"/>
  <c r="J572" i="11"/>
  <c r="J316" i="11"/>
  <c r="J60" i="11"/>
  <c r="J3324" i="11"/>
  <c r="J3068" i="11"/>
  <c r="J2812" i="11"/>
  <c r="J2556" i="11"/>
  <c r="J2300" i="11"/>
  <c r="J2044" i="11"/>
  <c r="J1788" i="11"/>
  <c r="J1532" i="11"/>
  <c r="J1276" i="11"/>
  <c r="J1020" i="11"/>
  <c r="J764" i="11"/>
  <c r="J508" i="11"/>
  <c r="J252" i="11"/>
  <c r="J3260" i="11"/>
  <c r="J3004" i="11"/>
  <c r="J2748" i="11"/>
  <c r="J2492" i="11"/>
  <c r="J2236" i="11"/>
  <c r="J1980" i="11"/>
  <c r="J1724" i="11"/>
  <c r="J1468" i="11"/>
  <c r="J1212" i="11"/>
  <c r="J956" i="11"/>
  <c r="J700" i="11"/>
  <c r="J444" i="11"/>
  <c r="J188" i="11"/>
  <c r="J3452" i="11"/>
  <c r="J3196" i="11"/>
  <c r="J2940" i="11"/>
  <c r="J2684" i="11"/>
  <c r="J2428" i="11"/>
  <c r="J2172" i="11"/>
  <c r="J1916" i="11"/>
  <c r="J1660" i="11"/>
  <c r="J1404" i="11"/>
  <c r="J1148" i="11"/>
  <c r="J892" i="11"/>
  <c r="J636" i="11"/>
  <c r="J380" i="11"/>
  <c r="J124" i="11"/>
  <c r="K3501" i="11"/>
  <c r="K3497" i="11"/>
  <c r="K3493" i="11"/>
  <c r="K3489" i="11"/>
  <c r="K3485" i="11"/>
  <c r="K3481" i="11"/>
  <c r="K3477" i="11"/>
  <c r="K3473" i="11"/>
  <c r="K3469" i="11"/>
  <c r="K3465" i="11"/>
  <c r="K3461" i="11"/>
  <c r="K3457" i="11"/>
  <c r="K3453" i="11"/>
  <c r="K3449" i="11"/>
  <c r="K3445" i="11"/>
  <c r="K3441" i="11"/>
  <c r="K3437" i="11"/>
  <c r="K3433" i="11"/>
  <c r="K3429" i="11"/>
  <c r="K3425" i="11"/>
  <c r="K3421" i="11"/>
  <c r="K3417" i="11"/>
  <c r="K3413" i="11"/>
  <c r="K3409" i="11"/>
  <c r="K3405" i="11"/>
  <c r="K3401" i="11"/>
  <c r="K3397" i="11"/>
  <c r="K3393" i="11"/>
  <c r="K3389" i="11"/>
  <c r="K3385" i="11"/>
  <c r="K3381" i="11"/>
  <c r="K3377" i="11"/>
  <c r="K3373" i="11"/>
  <c r="K3369" i="11"/>
  <c r="K3365" i="11"/>
  <c r="K3361" i="11"/>
  <c r="K3357" i="11"/>
  <c r="K3353" i="11"/>
  <c r="K3349" i="11"/>
  <c r="K3345" i="11"/>
  <c r="K3341" i="11"/>
  <c r="K3337" i="11"/>
  <c r="K3333" i="11"/>
  <c r="K3329" i="11"/>
  <c r="K3325" i="11"/>
  <c r="K3321" i="11"/>
  <c r="K3317" i="11"/>
  <c r="K3313" i="11"/>
  <c r="K3309" i="11"/>
  <c r="K3305" i="11"/>
  <c r="K3301" i="11"/>
  <c r="K3297" i="11"/>
  <c r="K3293" i="11"/>
  <c r="K3289" i="11"/>
  <c r="K3285" i="11"/>
  <c r="K3281" i="11"/>
  <c r="K3277" i="11"/>
  <c r="K3273" i="11"/>
  <c r="K3269" i="11"/>
  <c r="K3265" i="11"/>
  <c r="K3261" i="11"/>
  <c r="K3257" i="11"/>
  <c r="K3253" i="11"/>
  <c r="K3249" i="11"/>
  <c r="K3245" i="11"/>
  <c r="K3241" i="11"/>
  <c r="K3237" i="11"/>
  <c r="K3233" i="11"/>
  <c r="K3229" i="11"/>
  <c r="K3225" i="11"/>
  <c r="K3221" i="11"/>
  <c r="K3217" i="11"/>
  <c r="K3213" i="11"/>
  <c r="K3209" i="11"/>
  <c r="K3205" i="11"/>
  <c r="K3201" i="11"/>
  <c r="K3197" i="11"/>
  <c r="K3193" i="11"/>
  <c r="K3189" i="11"/>
  <c r="K3185" i="11"/>
  <c r="K3181" i="11"/>
  <c r="K3177" i="11"/>
  <c r="K3173" i="11"/>
  <c r="K3169" i="11"/>
  <c r="K3165" i="11"/>
  <c r="K3161" i="11"/>
  <c r="K3157" i="11"/>
  <c r="K3153" i="11"/>
  <c r="K3149" i="11"/>
  <c r="K3145" i="11"/>
  <c r="K3141" i="11"/>
  <c r="K3137" i="11"/>
  <c r="K3133" i="11"/>
  <c r="K3129" i="11"/>
  <c r="K3125" i="11"/>
  <c r="K3121" i="11"/>
  <c r="K3117" i="11"/>
  <c r="K3113" i="11"/>
  <c r="K3109" i="11"/>
  <c r="K3105" i="11"/>
  <c r="K3101" i="11"/>
  <c r="K3097" i="11"/>
  <c r="K3093" i="11"/>
  <c r="K3089" i="11"/>
  <c r="K3085" i="11"/>
  <c r="K3081" i="11"/>
  <c r="K3077" i="11"/>
  <c r="K3073" i="11"/>
  <c r="K3069" i="11"/>
  <c r="K3065" i="11"/>
  <c r="K3061" i="11"/>
  <c r="K3057" i="11"/>
  <c r="K3053" i="11"/>
  <c r="K3049" i="11"/>
  <c r="K3045" i="11"/>
  <c r="K3041" i="11"/>
  <c r="K3037" i="11"/>
  <c r="K3033" i="11"/>
  <c r="K3029" i="11"/>
  <c r="K3025" i="11"/>
  <c r="K3021" i="11"/>
  <c r="K3017" i="11"/>
  <c r="K3013" i="11"/>
  <c r="K3009" i="11"/>
  <c r="K3005" i="11"/>
  <c r="K3001" i="11"/>
  <c r="K2997" i="11"/>
  <c r="K2993" i="11"/>
  <c r="K2989" i="11"/>
  <c r="K2985" i="11"/>
  <c r="K2981" i="11"/>
  <c r="K2977" i="11"/>
  <c r="K2973" i="11"/>
  <c r="K2969" i="11"/>
  <c r="K2965" i="11"/>
  <c r="K2961" i="11"/>
  <c r="K2957" i="11"/>
  <c r="K2953" i="11"/>
  <c r="K2949" i="11"/>
  <c r="K2945" i="11"/>
  <c r="K2941" i="11"/>
  <c r="K2937" i="11"/>
  <c r="K2933" i="11"/>
  <c r="K2929" i="11"/>
  <c r="K2925" i="11"/>
  <c r="K2921" i="11"/>
  <c r="K2917" i="11"/>
  <c r="K2913" i="11"/>
  <c r="K2909" i="11"/>
  <c r="K2905" i="11"/>
  <c r="K2901" i="11"/>
  <c r="K2897" i="11"/>
  <c r="K2893" i="11"/>
  <c r="K2889" i="11"/>
  <c r="K2885" i="11"/>
  <c r="K2881" i="11"/>
  <c r="K2877" i="11"/>
  <c r="K2873" i="11"/>
  <c r="K2869" i="11"/>
  <c r="K2865" i="11"/>
  <c r="K2861" i="11"/>
  <c r="K2857" i="11"/>
  <c r="K2853" i="11"/>
  <c r="K2849" i="11"/>
  <c r="K2845" i="11"/>
  <c r="K2841" i="11"/>
  <c r="K2837" i="11"/>
  <c r="K2833" i="11"/>
  <c r="K2829" i="11"/>
  <c r="K2825" i="11"/>
  <c r="K2821" i="11"/>
  <c r="K2817" i="11"/>
  <c r="K2813" i="11"/>
  <c r="K2809" i="11"/>
  <c r="K2805" i="11"/>
  <c r="K2801" i="11"/>
  <c r="K2797" i="11"/>
  <c r="K2793" i="11"/>
  <c r="K2789" i="11"/>
  <c r="K2785" i="11"/>
  <c r="K2781" i="11"/>
  <c r="K2777" i="11"/>
  <c r="K2773" i="11"/>
  <c r="K2769" i="11"/>
  <c r="K2765" i="11"/>
  <c r="K2761" i="11"/>
  <c r="K2757" i="11"/>
  <c r="K2753" i="11"/>
  <c r="K2749" i="11"/>
  <c r="K2745" i="11"/>
  <c r="K2741" i="11"/>
  <c r="K2737" i="11"/>
  <c r="K2733" i="11"/>
  <c r="K2729" i="11"/>
  <c r="K2725" i="11"/>
  <c r="K2721" i="11"/>
  <c r="K2717" i="11"/>
  <c r="K3500" i="11"/>
  <c r="K3496" i="11"/>
  <c r="K3492" i="11"/>
  <c r="K3488" i="11"/>
  <c r="K3484" i="11"/>
  <c r="K3480" i="11"/>
  <c r="K3476" i="11"/>
  <c r="K3472" i="11"/>
  <c r="K3468" i="11"/>
  <c r="K3464" i="11"/>
  <c r="K3460" i="11"/>
  <c r="K3456" i="11"/>
  <c r="K3452" i="11"/>
  <c r="K3448" i="11"/>
  <c r="K3444" i="11"/>
  <c r="K3440" i="11"/>
  <c r="K3436" i="11"/>
  <c r="K3432" i="11"/>
  <c r="K3428" i="11"/>
  <c r="K3424" i="11"/>
  <c r="K3420" i="11"/>
  <c r="K3416" i="11"/>
  <c r="K3412" i="11"/>
  <c r="K3408" i="11"/>
  <c r="K3404" i="11"/>
  <c r="K3400" i="11"/>
  <c r="K3396" i="11"/>
  <c r="K3392" i="11"/>
  <c r="K3388" i="11"/>
  <c r="K3384" i="11"/>
  <c r="K3380" i="11"/>
  <c r="K3376" i="11"/>
  <c r="K3372" i="11"/>
  <c r="K3368" i="11"/>
  <c r="K3364" i="11"/>
  <c r="K3360" i="11"/>
  <c r="K3356" i="11"/>
  <c r="K3352" i="11"/>
  <c r="K3348" i="11"/>
  <c r="K3344" i="11"/>
  <c r="K3340" i="11"/>
  <c r="K3336" i="11"/>
  <c r="K3332" i="11"/>
  <c r="K3328" i="11"/>
  <c r="K3324" i="11"/>
  <c r="K3320" i="11"/>
  <c r="K3316" i="11"/>
  <c r="K3312" i="11"/>
  <c r="K3308" i="11"/>
  <c r="K3304" i="11"/>
  <c r="K3300" i="11"/>
  <c r="K3296" i="11"/>
  <c r="K3292" i="11"/>
  <c r="K3288" i="11"/>
  <c r="K3284" i="11"/>
  <c r="K3280" i="11"/>
  <c r="K3276" i="11"/>
  <c r="K3272" i="11"/>
  <c r="K3268" i="11"/>
  <c r="K3264" i="11"/>
  <c r="K3260" i="11"/>
  <c r="K3256" i="11"/>
  <c r="K3252" i="11"/>
  <c r="K3248" i="11"/>
  <c r="K3244" i="11"/>
  <c r="K3240" i="11"/>
  <c r="K3236" i="11"/>
  <c r="K3232" i="11"/>
  <c r="K3228" i="11"/>
  <c r="K3224" i="11"/>
  <c r="K3220" i="11"/>
  <c r="K3216" i="11"/>
  <c r="K3212" i="11"/>
  <c r="K3208" i="11"/>
  <c r="K3204" i="11"/>
  <c r="K3200" i="11"/>
  <c r="K3196" i="11"/>
  <c r="K3192" i="11"/>
  <c r="K3188" i="11"/>
  <c r="K3184" i="11"/>
  <c r="K3180" i="11"/>
  <c r="K3176" i="11"/>
  <c r="K3172" i="11"/>
  <c r="K3168" i="11"/>
  <c r="K3164" i="11"/>
  <c r="K3160" i="11"/>
  <c r="K3156" i="11"/>
  <c r="K3152" i="11"/>
  <c r="K3148" i="11"/>
  <c r="K3144" i="11"/>
  <c r="K3140" i="11"/>
  <c r="K3136" i="11"/>
  <c r="K3132" i="11"/>
  <c r="K3128" i="11"/>
  <c r="K3124" i="11"/>
  <c r="K3120" i="11"/>
  <c r="K3116" i="11"/>
  <c r="K3112" i="11"/>
  <c r="K3108" i="11"/>
  <c r="K3104" i="11"/>
  <c r="K3100" i="11"/>
  <c r="K3096" i="11"/>
  <c r="K3092" i="11"/>
  <c r="K3088" i="11"/>
  <c r="K3084" i="11"/>
  <c r="K3080" i="11"/>
  <c r="K3076" i="11"/>
  <c r="K3072" i="11"/>
  <c r="K3068" i="11"/>
  <c r="K3064" i="11"/>
  <c r="K3060" i="11"/>
  <c r="K3056" i="11"/>
  <c r="K3052" i="11"/>
  <c r="K3048" i="11"/>
  <c r="K3044" i="11"/>
  <c r="K3040" i="11"/>
  <c r="K3036" i="11"/>
  <c r="K3032" i="11"/>
  <c r="K3028" i="11"/>
  <c r="K3024" i="11"/>
  <c r="K3020" i="11"/>
  <c r="K3016" i="11"/>
  <c r="K3012" i="11"/>
  <c r="K3008" i="11"/>
  <c r="K3004" i="11"/>
  <c r="K3000" i="11"/>
  <c r="K2996" i="11"/>
  <c r="K2992" i="11"/>
  <c r="K2988" i="11"/>
  <c r="K2984" i="11"/>
  <c r="K2980" i="11"/>
  <c r="K2976" i="11"/>
  <c r="K2972" i="11"/>
  <c r="K2968" i="11"/>
  <c r="K2964" i="11"/>
  <c r="K2960" i="11"/>
  <c r="K2956" i="11"/>
  <c r="K2952" i="11"/>
  <c r="K2948" i="11"/>
  <c r="K2944" i="11"/>
  <c r="K2940" i="11"/>
  <c r="K2936" i="11"/>
  <c r="K2932" i="11"/>
  <c r="K2928" i="11"/>
  <c r="K2924" i="11"/>
  <c r="K2920" i="11"/>
  <c r="K2916" i="11"/>
  <c r="K2912" i="11"/>
  <c r="K2908" i="11"/>
  <c r="K2904" i="11"/>
  <c r="K2900" i="11"/>
  <c r="K2896" i="11"/>
  <c r="K2892" i="11"/>
  <c r="K2888" i="11"/>
  <c r="K2884" i="11"/>
  <c r="K2880" i="11"/>
  <c r="K2876" i="11"/>
  <c r="K2872" i="11"/>
  <c r="K2868" i="11"/>
  <c r="K2864" i="11"/>
  <c r="K2860" i="11"/>
  <c r="K2856" i="11"/>
  <c r="K2852" i="11"/>
  <c r="K2848" i="11"/>
  <c r="K2844" i="11"/>
  <c r="K2840" i="11"/>
  <c r="K2836" i="11"/>
  <c r="K2832" i="11"/>
  <c r="K2828" i="11"/>
  <c r="K2824" i="11"/>
  <c r="K2820" i="11"/>
  <c r="K2816" i="11"/>
  <c r="K2812" i="11"/>
  <c r="K2808" i="11"/>
  <c r="K2804" i="11"/>
  <c r="K2800" i="11"/>
  <c r="K2796" i="11"/>
  <c r="K2792" i="11"/>
  <c r="K2788" i="11"/>
  <c r="K2784" i="11"/>
  <c r="K2780" i="11"/>
  <c r="K2776" i="11"/>
  <c r="K2772" i="11"/>
  <c r="K2768" i="11"/>
  <c r="K2764" i="11"/>
  <c r="K2760" i="11"/>
  <c r="K2756" i="11"/>
  <c r="K2752" i="11"/>
  <c r="K2748" i="11"/>
  <c r="K2744" i="11"/>
  <c r="K2740" i="11"/>
  <c r="K2736" i="11"/>
  <c r="K2732" i="11"/>
  <c r="K2728" i="11"/>
  <c r="K2724" i="11"/>
  <c r="K2720" i="11"/>
  <c r="K3499" i="11"/>
  <c r="K3495" i="11"/>
  <c r="K3491" i="11"/>
  <c r="K3487" i="11"/>
  <c r="K3483" i="11"/>
  <c r="K3479" i="11"/>
  <c r="K3475" i="11"/>
  <c r="K3471" i="11"/>
  <c r="K3467" i="11"/>
  <c r="K3463" i="11"/>
  <c r="K3459" i="11"/>
  <c r="K3455" i="11"/>
  <c r="K3451" i="11"/>
  <c r="K3447" i="11"/>
  <c r="K3443" i="11"/>
  <c r="K3439" i="11"/>
  <c r="K3435" i="11"/>
  <c r="K3431" i="11"/>
  <c r="K3427" i="11"/>
  <c r="K3423" i="11"/>
  <c r="K3419" i="11"/>
  <c r="K3415" i="11"/>
  <c r="K3411" i="11"/>
  <c r="K3407" i="11"/>
  <c r="K3403" i="11"/>
  <c r="K3399" i="11"/>
  <c r="K3395" i="11"/>
  <c r="K3391" i="11"/>
  <c r="K3387" i="11"/>
  <c r="K3383" i="11"/>
  <c r="K3379" i="11"/>
  <c r="K3375" i="11"/>
  <c r="K3371" i="11"/>
  <c r="K3367" i="11"/>
  <c r="K3363" i="11"/>
  <c r="K3359" i="11"/>
  <c r="K3355" i="11"/>
  <c r="K3351" i="11"/>
  <c r="K3347" i="11"/>
  <c r="K3343" i="11"/>
  <c r="K3339" i="11"/>
  <c r="K3335" i="11"/>
  <c r="K3331" i="11"/>
  <c r="K3327" i="11"/>
  <c r="K3323" i="11"/>
  <c r="K3319" i="11"/>
  <c r="K3315" i="11"/>
  <c r="K3311" i="11"/>
  <c r="K3307" i="11"/>
  <c r="K3303" i="11"/>
  <c r="K3299" i="11"/>
  <c r="K3295" i="11"/>
  <c r="K3291" i="11"/>
  <c r="K3287" i="11"/>
  <c r="K3283" i="11"/>
  <c r="K3279" i="11"/>
  <c r="K3275" i="11"/>
  <c r="K3271" i="11"/>
  <c r="K3267" i="11"/>
  <c r="K3263" i="11"/>
  <c r="K3259" i="11"/>
  <c r="K3255" i="11"/>
  <c r="K3251" i="11"/>
  <c r="K3247" i="11"/>
  <c r="K3243" i="11"/>
  <c r="K3239" i="11"/>
  <c r="K3235" i="11"/>
  <c r="K3231" i="11"/>
  <c r="K3227" i="11"/>
  <c r="K3223" i="11"/>
  <c r="K3219" i="11"/>
  <c r="K3215" i="11"/>
  <c r="K3211" i="11"/>
  <c r="K3207" i="11"/>
  <c r="K3203" i="11"/>
  <c r="K3199" i="11"/>
  <c r="K3195" i="11"/>
  <c r="K3191" i="11"/>
  <c r="K3187" i="11"/>
  <c r="K3183" i="11"/>
  <c r="K3179" i="11"/>
  <c r="K3175" i="11"/>
  <c r="K3171" i="11"/>
  <c r="K3167" i="11"/>
  <c r="K3163" i="11"/>
  <c r="K3159" i="11"/>
  <c r="K3155" i="11"/>
  <c r="K3151" i="11"/>
  <c r="K3147" i="11"/>
  <c r="K3143" i="11"/>
  <c r="K3139" i="11"/>
  <c r="K3135" i="11"/>
  <c r="K3131" i="11"/>
  <c r="K3127" i="11"/>
  <c r="K3123" i="11"/>
  <c r="K3119" i="11"/>
  <c r="K3115" i="11"/>
  <c r="K3111" i="11"/>
  <c r="K3107" i="11"/>
  <c r="K3103" i="11"/>
  <c r="K3099" i="11"/>
  <c r="K3095" i="11"/>
  <c r="K3091" i="11"/>
  <c r="K3087" i="11"/>
  <c r="K3083" i="11"/>
  <c r="K3079" i="11"/>
  <c r="K3075" i="11"/>
  <c r="K3071" i="11"/>
  <c r="K3067" i="11"/>
  <c r="K3063" i="11"/>
  <c r="K3059" i="11"/>
  <c r="K3055" i="11"/>
  <c r="K3051" i="11"/>
  <c r="K3047" i="11"/>
  <c r="K3043" i="11"/>
  <c r="K3039" i="11"/>
  <c r="K3035" i="11"/>
  <c r="K3031" i="11"/>
  <c r="K3027" i="11"/>
  <c r="K3023" i="11"/>
  <c r="K3019" i="11"/>
  <c r="K3015" i="11"/>
  <c r="K3011" i="11"/>
  <c r="K3007" i="11"/>
  <c r="K3003" i="11"/>
  <c r="K2999" i="11"/>
  <c r="K2995" i="11"/>
  <c r="K2991" i="11"/>
  <c r="K2987" i="11"/>
  <c r="K2983" i="11"/>
  <c r="K2979" i="11"/>
  <c r="K2975" i="11"/>
  <c r="K2971" i="11"/>
  <c r="K2967" i="11"/>
  <c r="K2963" i="11"/>
  <c r="K2959" i="11"/>
  <c r="K2955" i="11"/>
  <c r="K2951" i="11"/>
  <c r="K2947" i="11"/>
  <c r="K2943" i="11"/>
  <c r="K2939" i="11"/>
  <c r="K2935" i="11"/>
  <c r="K2931" i="11"/>
  <c r="K2927" i="11"/>
  <c r="K2923" i="11"/>
  <c r="K2919" i="11"/>
  <c r="K2915" i="11"/>
  <c r="K2911" i="11"/>
  <c r="K2907" i="11"/>
  <c r="K2903" i="11"/>
  <c r="K2899" i="11"/>
  <c r="K2895" i="11"/>
  <c r="K2891" i="11"/>
  <c r="K2887" i="11"/>
  <c r="K2883" i="11"/>
  <c r="K2879" i="11"/>
  <c r="K2875" i="11"/>
  <c r="K2871" i="11"/>
  <c r="K2867" i="11"/>
  <c r="K2863" i="11"/>
  <c r="K2859" i="11"/>
  <c r="K2855" i="11"/>
  <c r="K2851" i="11"/>
  <c r="K2847" i="11"/>
  <c r="K2843" i="11"/>
  <c r="K2839" i="11"/>
  <c r="K2835" i="11"/>
  <c r="K2831" i="11"/>
  <c r="K2827" i="11"/>
  <c r="K2823" i="11"/>
  <c r="K2819" i="11"/>
  <c r="K2815" i="11"/>
  <c r="K2811" i="11"/>
  <c r="K2807" i="11"/>
  <c r="K2803" i="11"/>
  <c r="K2799" i="11"/>
  <c r="K2795" i="11"/>
  <c r="K2791" i="11"/>
  <c r="K2787" i="11"/>
  <c r="K2783" i="11"/>
  <c r="K2779" i="11"/>
  <c r="K2775" i="11"/>
  <c r="K2771" i="11"/>
  <c r="K2767" i="11"/>
  <c r="K2763" i="11"/>
  <c r="K2759" i="11"/>
  <c r="K2755" i="11"/>
  <c r="K2751" i="11"/>
  <c r="K2747" i="11"/>
  <c r="K2743" i="11"/>
  <c r="K2739" i="11"/>
  <c r="K2735" i="11"/>
  <c r="K2731" i="11"/>
  <c r="K2727" i="11"/>
  <c r="K2723" i="11"/>
  <c r="K2719" i="11"/>
  <c r="K2715" i="11"/>
  <c r="K2711" i="11"/>
  <c r="K3498" i="11"/>
  <c r="K3482" i="11"/>
  <c r="K3466" i="11"/>
  <c r="K3450" i="11"/>
  <c r="K3434" i="11"/>
  <c r="K3418" i="11"/>
  <c r="K3402" i="11"/>
  <c r="K3386" i="11"/>
  <c r="K3370" i="11"/>
  <c r="K3354" i="11"/>
  <c r="K3338" i="11"/>
  <c r="K3322" i="11"/>
  <c r="K3306" i="11"/>
  <c r="K3290" i="11"/>
  <c r="K3274" i="11"/>
  <c r="K3258" i="11"/>
  <c r="K3242" i="11"/>
  <c r="K3226" i="11"/>
  <c r="K3210" i="11"/>
  <c r="K3194" i="11"/>
  <c r="K3178" i="11"/>
  <c r="K3162" i="11"/>
  <c r="K3146" i="11"/>
  <c r="K3130" i="11"/>
  <c r="K3114" i="11"/>
  <c r="K3098" i="11"/>
  <c r="K3082" i="11"/>
  <c r="K3066" i="11"/>
  <c r="K3050" i="11"/>
  <c r="K3034" i="11"/>
  <c r="K3018" i="11"/>
  <c r="K3002" i="11"/>
  <c r="K2986" i="11"/>
  <c r="K2970" i="11"/>
  <c r="K2954" i="11"/>
  <c r="K2938" i="11"/>
  <c r="K2922" i="11"/>
  <c r="K2906" i="11"/>
  <c r="K2890" i="11"/>
  <c r="K2874" i="11"/>
  <c r="K2858" i="11"/>
  <c r="K2842" i="11"/>
  <c r="K2826" i="11"/>
  <c r="K2810" i="11"/>
  <c r="K2794" i="11"/>
  <c r="K2778" i="11"/>
  <c r="K2762" i="11"/>
  <c r="K2746" i="11"/>
  <c r="K2730" i="11"/>
  <c r="K2716" i="11"/>
  <c r="K2710" i="11"/>
  <c r="K2706" i="11"/>
  <c r="K2702" i="11"/>
  <c r="K2698" i="11"/>
  <c r="K2694" i="11"/>
  <c r="K2690" i="11"/>
  <c r="K2686" i="11"/>
  <c r="K2682" i="11"/>
  <c r="K2678" i="11"/>
  <c r="K2674" i="11"/>
  <c r="K2670" i="11"/>
  <c r="K2666" i="11"/>
  <c r="K2662" i="11"/>
  <c r="K2658" i="11"/>
  <c r="K2654" i="11"/>
  <c r="K2650" i="11"/>
  <c r="K2646" i="11"/>
  <c r="K2642" i="11"/>
  <c r="K2638" i="11"/>
  <c r="K2634" i="11"/>
  <c r="K2630" i="11"/>
  <c r="K2626" i="11"/>
  <c r="K2622" i="11"/>
  <c r="K2618" i="11"/>
  <c r="K2614" i="11"/>
  <c r="K2610" i="11"/>
  <c r="K2606" i="11"/>
  <c r="K2602" i="11"/>
  <c r="K2598" i="11"/>
  <c r="K2594" i="11"/>
  <c r="K2590" i="11"/>
  <c r="K2586" i="11"/>
  <c r="K2582" i="11"/>
  <c r="K2578" i="11"/>
  <c r="K2574" i="11"/>
  <c r="K2570" i="11"/>
  <c r="K2566" i="11"/>
  <c r="K2562" i="11"/>
  <c r="K2558" i="11"/>
  <c r="K2554" i="11"/>
  <c r="K2550" i="11"/>
  <c r="K2546" i="11"/>
  <c r="K2542" i="11"/>
  <c r="K2538" i="11"/>
  <c r="K2534" i="11"/>
  <c r="K2530" i="11"/>
  <c r="K2526" i="11"/>
  <c r="K2522" i="11"/>
  <c r="K2518" i="11"/>
  <c r="K2514" i="11"/>
  <c r="K2510" i="11"/>
  <c r="K2506" i="11"/>
  <c r="K2502" i="11"/>
  <c r="K2498" i="11"/>
  <c r="K2494" i="11"/>
  <c r="K2490" i="11"/>
  <c r="K2486" i="11"/>
  <c r="K2482" i="11"/>
  <c r="K2478" i="11"/>
  <c r="K2474" i="11"/>
  <c r="K2470" i="11"/>
  <c r="K2466" i="11"/>
  <c r="K2462" i="11"/>
  <c r="K2458" i="11"/>
  <c r="K2454" i="11"/>
  <c r="K2450" i="11"/>
  <c r="K2446" i="11"/>
  <c r="K2442" i="11"/>
  <c r="K2438" i="11"/>
  <c r="K2434" i="11"/>
  <c r="K2430" i="11"/>
  <c r="K2426" i="11"/>
  <c r="K2422" i="11"/>
  <c r="K2418" i="11"/>
  <c r="K2414" i="11"/>
  <c r="K2410" i="11"/>
  <c r="K2406" i="11"/>
  <c r="K2402" i="11"/>
  <c r="K2398" i="11"/>
  <c r="K2394" i="11"/>
  <c r="K2390" i="11"/>
  <c r="K2386" i="11"/>
  <c r="K2382" i="11"/>
  <c r="K2378" i="11"/>
  <c r="K2374" i="11"/>
  <c r="K2370" i="11"/>
  <c r="K2366" i="11"/>
  <c r="K2362" i="11"/>
  <c r="K2358" i="11"/>
  <c r="K2354" i="11"/>
  <c r="K2350" i="11"/>
  <c r="K2346" i="11"/>
  <c r="K2342" i="11"/>
  <c r="K2338" i="11"/>
  <c r="K2334" i="11"/>
  <c r="K2330" i="11"/>
  <c r="K2326" i="11"/>
  <c r="K2322" i="11"/>
  <c r="K2318" i="11"/>
  <c r="K2314" i="11"/>
  <c r="K2310" i="11"/>
  <c r="K2306" i="11"/>
  <c r="K2302" i="11"/>
  <c r="K2298" i="11"/>
  <c r="K2294" i="11"/>
  <c r="K2290" i="11"/>
  <c r="K2286" i="11"/>
  <c r="K2282" i="11"/>
  <c r="K2278" i="11"/>
  <c r="K2274" i="11"/>
  <c r="K2270" i="11"/>
  <c r="K2266" i="11"/>
  <c r="K2262" i="11"/>
  <c r="K2258" i="11"/>
  <c r="K2254" i="11"/>
  <c r="K2250" i="11"/>
  <c r="K2246" i="11"/>
  <c r="K2242" i="11"/>
  <c r="K2238" i="11"/>
  <c r="K2234" i="11"/>
  <c r="K2230" i="11"/>
  <c r="K2226" i="11"/>
  <c r="K2222" i="11"/>
  <c r="K2218" i="11"/>
  <c r="K2214" i="11"/>
  <c r="K2210" i="11"/>
  <c r="K2206" i="11"/>
  <c r="K2202" i="11"/>
  <c r="K2198" i="11"/>
  <c r="K2194" i="11"/>
  <c r="K2190" i="11"/>
  <c r="K2186" i="11"/>
  <c r="K2182" i="11"/>
  <c r="K2178" i="11"/>
  <c r="K2174" i="11"/>
  <c r="K2170" i="11"/>
  <c r="K2166" i="11"/>
  <c r="K2162" i="11"/>
  <c r="K2158" i="11"/>
  <c r="K2154" i="11"/>
  <c r="K2150" i="11"/>
  <c r="K2146" i="11"/>
  <c r="K2142" i="11"/>
  <c r="K2138" i="11"/>
  <c r="K2134" i="11"/>
  <c r="K2130" i="11"/>
  <c r="K2126" i="11"/>
  <c r="K2122" i="11"/>
  <c r="K2118" i="11"/>
  <c r="K2114" i="11"/>
  <c r="K2110" i="11"/>
  <c r="K2106" i="11"/>
  <c r="K2102" i="11"/>
  <c r="K2098" i="11"/>
  <c r="K2094" i="11"/>
  <c r="K2090" i="11"/>
  <c r="K2086" i="11"/>
  <c r="K2082" i="11"/>
  <c r="K2078" i="11"/>
  <c r="K2074" i="11"/>
  <c r="K2070" i="11"/>
  <c r="K2066" i="11"/>
  <c r="K2062" i="11"/>
  <c r="K2058" i="11"/>
  <c r="K2054" i="11"/>
  <c r="K2050" i="11"/>
  <c r="K2046" i="11"/>
  <c r="K2042" i="11"/>
  <c r="K2038" i="11"/>
  <c r="K2034" i="11"/>
  <c r="K2030" i="11"/>
  <c r="K2026" i="11"/>
  <c r="K2022" i="11"/>
  <c r="K2018" i="11"/>
  <c r="K2014" i="11"/>
  <c r="K2010" i="11"/>
  <c r="K2006" i="11"/>
  <c r="K2002" i="11"/>
  <c r="K1998" i="11"/>
  <c r="K1994" i="11"/>
  <c r="K1990" i="11"/>
  <c r="K1986" i="11"/>
  <c r="K1982" i="11"/>
  <c r="K1978" i="11"/>
  <c r="K1974" i="11"/>
  <c r="K1970" i="11"/>
  <c r="K1966" i="11"/>
  <c r="K1962" i="11"/>
  <c r="K1958" i="11"/>
  <c r="K1954" i="11"/>
  <c r="K1950" i="11"/>
  <c r="K1946" i="11"/>
  <c r="K1942" i="11"/>
  <c r="K1938" i="11"/>
  <c r="K1934" i="11"/>
  <c r="K1930" i="11"/>
  <c r="K1926" i="11"/>
  <c r="K1922" i="11"/>
  <c r="K1918" i="11"/>
  <c r="K1914" i="11"/>
  <c r="K1910" i="11"/>
  <c r="K1906" i="11"/>
  <c r="K1902" i="11"/>
  <c r="K1898" i="11"/>
  <c r="K1894" i="11"/>
  <c r="K1890" i="11"/>
  <c r="K1886" i="11"/>
  <c r="K1882" i="11"/>
  <c r="K1878" i="11"/>
  <c r="K1874" i="11"/>
  <c r="K1870" i="11"/>
  <c r="K1866" i="11"/>
  <c r="K1862" i="11"/>
  <c r="K1858" i="11"/>
  <c r="K1854" i="11"/>
  <c r="K1850" i="11"/>
  <c r="K1846" i="11"/>
  <c r="K1842" i="11"/>
  <c r="K1838" i="11"/>
  <c r="K1834" i="11"/>
  <c r="K1830" i="11"/>
  <c r="K1826" i="11"/>
  <c r="K1822" i="11"/>
  <c r="K1818" i="11"/>
  <c r="K1814" i="11"/>
  <c r="K1810" i="11"/>
  <c r="K1806" i="11"/>
  <c r="K1802" i="11"/>
  <c r="K1798" i="11"/>
  <c r="K1794" i="11"/>
  <c r="K1790" i="11"/>
  <c r="K1786" i="11"/>
  <c r="K1782" i="11"/>
  <c r="K1778" i="11"/>
  <c r="K1774" i="11"/>
  <c r="K1770" i="11"/>
  <c r="K1766" i="11"/>
  <c r="K1762" i="11"/>
  <c r="K1758" i="11"/>
  <c r="K1754" i="11"/>
  <c r="K1750" i="11"/>
  <c r="K1746" i="11"/>
  <c r="K1742" i="11"/>
  <c r="K1738" i="11"/>
  <c r="K1734" i="11"/>
  <c r="K1730" i="11"/>
  <c r="K1726" i="11"/>
  <c r="K1722" i="11"/>
  <c r="K1718" i="11"/>
  <c r="K1714" i="11"/>
  <c r="K1710" i="11"/>
  <c r="K1706" i="11"/>
  <c r="K1702" i="11"/>
  <c r="K1698" i="11"/>
  <c r="K1694" i="11"/>
  <c r="K1690" i="11"/>
  <c r="K1686" i="11"/>
  <c r="K1682" i="11"/>
  <c r="K1678" i="11"/>
  <c r="K1674" i="11"/>
  <c r="K1670" i="11"/>
  <c r="K1666" i="11"/>
  <c r="K1662" i="11"/>
  <c r="K1658" i="11"/>
  <c r="K1654" i="11"/>
  <c r="K1650" i="11"/>
  <c r="K1646" i="11"/>
  <c r="K1642" i="11"/>
  <c r="K1638" i="11"/>
  <c r="K1634" i="11"/>
  <c r="K1630" i="11"/>
  <c r="K1626" i="11"/>
  <c r="K1622" i="11"/>
  <c r="K1618" i="11"/>
  <c r="K1614" i="11"/>
  <c r="K1610" i="11"/>
  <c r="K1606" i="11"/>
  <c r="K1602" i="11"/>
  <c r="K1598" i="11"/>
  <c r="K1594" i="11"/>
  <c r="K1590" i="11"/>
  <c r="K1586" i="11"/>
  <c r="K1582" i="11"/>
  <c r="K1578" i="11"/>
  <c r="K1574" i="11"/>
  <c r="K1570" i="11"/>
  <c r="K1566" i="11"/>
  <c r="K1562" i="11"/>
  <c r="K1558" i="11"/>
  <c r="K1554" i="11"/>
  <c r="K1550" i="11"/>
  <c r="K1546" i="11"/>
  <c r="K1542" i="11"/>
  <c r="K1538" i="11"/>
  <c r="K1534" i="11"/>
  <c r="K1530" i="11"/>
  <c r="K1526" i="11"/>
  <c r="K1522" i="11"/>
  <c r="K1518" i="11"/>
  <c r="K1514" i="11"/>
  <c r="K1510" i="11"/>
  <c r="K1506" i="11"/>
  <c r="K1502" i="11"/>
  <c r="K1498" i="11"/>
  <c r="K1494" i="11"/>
  <c r="K1490" i="11"/>
  <c r="K1486" i="11"/>
  <c r="K1482" i="11"/>
  <c r="K1478" i="11"/>
  <c r="K1474" i="11"/>
  <c r="K1470" i="11"/>
  <c r="K1466" i="11"/>
  <c r="K1462" i="11"/>
  <c r="K1458" i="11"/>
  <c r="K1454" i="11"/>
  <c r="K1450" i="11"/>
  <c r="K1446" i="11"/>
  <c r="K1442" i="11"/>
  <c r="K1438" i="11"/>
  <c r="K1434" i="11"/>
  <c r="K1430" i="11"/>
  <c r="K1426" i="11"/>
  <c r="K1422" i="11"/>
  <c r="K1418" i="11"/>
  <c r="K1414" i="11"/>
  <c r="K1410" i="11"/>
  <c r="K1406" i="11"/>
  <c r="K1402" i="11"/>
  <c r="K1398" i="11"/>
  <c r="K1394" i="11"/>
  <c r="K1390" i="11"/>
  <c r="K1386" i="11"/>
  <c r="K1382" i="11"/>
  <c r="K1378" i="11"/>
  <c r="K1374" i="11"/>
  <c r="K1370" i="11"/>
  <c r="K1366" i="11"/>
  <c r="K1362" i="11"/>
  <c r="K1358" i="11"/>
  <c r="K1354" i="11"/>
  <c r="K1350" i="11"/>
  <c r="K1346" i="11"/>
  <c r="K1342" i="11"/>
  <c r="K1338" i="11"/>
  <c r="K1334" i="11"/>
  <c r="K1330" i="11"/>
  <c r="K1326" i="11"/>
  <c r="K1322" i="11"/>
  <c r="K1318" i="11"/>
  <c r="K1314" i="11"/>
  <c r="K1310" i="11"/>
  <c r="K1306" i="11"/>
  <c r="K1302" i="11"/>
  <c r="K1298" i="11"/>
  <c r="K1294" i="11"/>
  <c r="K1290" i="11"/>
  <c r="K1286" i="11"/>
  <c r="K1282" i="11"/>
  <c r="K1278" i="11"/>
  <c r="K1274" i="11"/>
  <c r="K1270" i="11"/>
  <c r="K1266" i="11"/>
  <c r="K1262" i="11"/>
  <c r="K1258" i="11"/>
  <c r="K1254" i="11"/>
  <c r="K1250" i="11"/>
  <c r="K1246" i="11"/>
  <c r="K1242" i="11"/>
  <c r="K1238" i="11"/>
  <c r="K1234" i="11"/>
  <c r="K1230" i="11"/>
  <c r="K1226" i="11"/>
  <c r="K1222" i="11"/>
  <c r="K1218" i="11"/>
  <c r="K1214" i="11"/>
  <c r="K1210" i="11"/>
  <c r="K1206" i="11"/>
  <c r="K1202" i="11"/>
  <c r="K1198" i="11"/>
  <c r="K1194" i="11"/>
  <c r="K1190" i="11"/>
  <c r="K1186" i="11"/>
  <c r="K1182" i="11"/>
  <c r="K1178" i="11"/>
  <c r="K1174" i="11"/>
  <c r="K1170" i="11"/>
  <c r="K1166" i="11"/>
  <c r="K1162" i="11"/>
  <c r="K1158" i="11"/>
  <c r="K1154" i="11"/>
  <c r="K1150" i="11"/>
  <c r="K1146" i="11"/>
  <c r="K1142" i="11"/>
  <c r="K1138" i="11"/>
  <c r="K1134" i="11"/>
  <c r="K1130" i="11"/>
  <c r="K1126" i="11"/>
  <c r="K1122" i="11"/>
  <c r="K1118" i="11"/>
  <c r="K1114" i="11"/>
  <c r="K1110" i="11"/>
  <c r="K1106" i="11"/>
  <c r="K1102" i="11"/>
  <c r="K1098" i="11"/>
  <c r="K1094" i="11"/>
  <c r="K1090" i="11"/>
  <c r="K1086" i="11"/>
  <c r="K1082" i="11"/>
  <c r="K1078" i="11"/>
  <c r="K1074" i="11"/>
  <c r="K1070" i="11"/>
  <c r="K1066" i="11"/>
  <c r="K1062" i="11"/>
  <c r="K1058" i="11"/>
  <c r="K1054" i="11"/>
  <c r="K1050" i="11"/>
  <c r="K1046" i="11"/>
  <c r="K1042" i="11"/>
  <c r="K1038" i="11"/>
  <c r="K1034" i="11"/>
  <c r="K1030" i="11"/>
  <c r="K1026" i="11"/>
  <c r="K1022" i="11"/>
  <c r="K1018" i="11"/>
  <c r="K1014" i="11"/>
  <c r="K1010" i="11"/>
  <c r="K1006" i="11"/>
  <c r="K1002" i="11"/>
  <c r="K998" i="11"/>
  <c r="K994" i="11"/>
  <c r="K990" i="11"/>
  <c r="K986" i="11"/>
  <c r="K982" i="11"/>
  <c r="K978" i="11"/>
  <c r="K974" i="11"/>
  <c r="K970" i="11"/>
  <c r="K966" i="11"/>
  <c r="K962" i="11"/>
  <c r="K958" i="11"/>
  <c r="K954" i="11"/>
  <c r="K950" i="11"/>
  <c r="K946" i="11"/>
  <c r="K942" i="11"/>
  <c r="K938" i="11"/>
  <c r="K934" i="11"/>
  <c r="K930" i="11"/>
  <c r="K926" i="11"/>
  <c r="K922" i="11"/>
  <c r="K918" i="11"/>
  <c r="K914" i="11"/>
  <c r="K910" i="11"/>
  <c r="K906" i="11"/>
  <c r="K902" i="11"/>
  <c r="K898" i="11"/>
  <c r="K894" i="11"/>
  <c r="K890" i="11"/>
  <c r="K886" i="11"/>
  <c r="K882" i="11"/>
  <c r="K878" i="11"/>
  <c r="K874" i="11"/>
  <c r="K870" i="11"/>
  <c r="K866" i="11"/>
  <c r="K862" i="11"/>
  <c r="K858" i="11"/>
  <c r="K854" i="11"/>
  <c r="K850" i="11"/>
  <c r="K846" i="11"/>
  <c r="K842" i="11"/>
  <c r="K838" i="11"/>
  <c r="K834" i="11"/>
  <c r="K830" i="11"/>
  <c r="K826" i="11"/>
  <c r="K822" i="11"/>
  <c r="K818" i="11"/>
  <c r="K814" i="11"/>
  <c r="K810" i="11"/>
  <c r="K806" i="11"/>
  <c r="K802" i="11"/>
  <c r="K798" i="11"/>
  <c r="K794" i="11"/>
  <c r="K790" i="11"/>
  <c r="K786" i="11"/>
  <c r="K782" i="11"/>
  <c r="K778" i="11"/>
  <c r="K774" i="11"/>
  <c r="K770" i="11"/>
  <c r="K766" i="11"/>
  <c r="K762" i="11"/>
  <c r="K758" i="11"/>
  <c r="K754" i="11"/>
  <c r="K750" i="11"/>
  <c r="K746" i="11"/>
  <c r="K742" i="11"/>
  <c r="K738" i="11"/>
  <c r="K734" i="11"/>
  <c r="K730" i="11"/>
  <c r="K726" i="11"/>
  <c r="K722" i="11"/>
  <c r="K718" i="11"/>
  <c r="K714" i="11"/>
  <c r="K710" i="11"/>
  <c r="K706" i="11"/>
  <c r="K702" i="11"/>
  <c r="K698" i="11"/>
  <c r="K694" i="11"/>
  <c r="K690" i="11"/>
  <c r="K686" i="11"/>
  <c r="K682" i="11"/>
  <c r="K678" i="11"/>
  <c r="K674" i="11"/>
  <c r="K670" i="11"/>
  <c r="K666" i="11"/>
  <c r="K662" i="11"/>
  <c r="K658" i="11"/>
  <c r="K654" i="11"/>
  <c r="K650" i="11"/>
  <c r="K646" i="11"/>
  <c r="K642" i="11"/>
  <c r="K638" i="11"/>
  <c r="K634" i="11"/>
  <c r="K630" i="11"/>
  <c r="K626" i="11"/>
  <c r="K622" i="11"/>
  <c r="K618" i="11"/>
  <c r="K614" i="11"/>
  <c r="K610" i="11"/>
  <c r="K606" i="11"/>
  <c r="K602" i="11"/>
  <c r="K598" i="11"/>
  <c r="K594" i="11"/>
  <c r="K590" i="11"/>
  <c r="K586" i="11"/>
  <c r="K582" i="11"/>
  <c r="K578" i="11"/>
  <c r="K574" i="11"/>
  <c r="K570" i="11"/>
  <c r="K566" i="11"/>
  <c r="K562" i="11"/>
  <c r="K558" i="11"/>
  <c r="K554" i="11"/>
  <c r="K550" i="11"/>
  <c r="K546" i="11"/>
  <c r="K542" i="11"/>
  <c r="K538" i="11"/>
  <c r="K534" i="11"/>
  <c r="K530" i="11"/>
  <c r="K526" i="11"/>
  <c r="K522" i="11"/>
  <c r="K518" i="11"/>
  <c r="K514" i="11"/>
  <c r="K510" i="11"/>
  <c r="K506" i="11"/>
  <c r="K502" i="11"/>
  <c r="K498" i="11"/>
  <c r="K494" i="11"/>
  <c r="K490" i="11"/>
  <c r="K486" i="11"/>
  <c r="K482" i="11"/>
  <c r="K478" i="11"/>
  <c r="K474" i="11"/>
  <c r="K470" i="11"/>
  <c r="K466" i="11"/>
  <c r="K462" i="11"/>
  <c r="K458" i="11"/>
  <c r="K454" i="11"/>
  <c r="K450" i="11"/>
  <c r="K446" i="11"/>
  <c r="K442" i="11"/>
  <c r="K438" i="11"/>
  <c r="K434" i="11"/>
  <c r="K430" i="11"/>
  <c r="K426" i="11"/>
  <c r="K422" i="11"/>
  <c r="K418" i="11"/>
  <c r="K414" i="11"/>
  <c r="K410" i="11"/>
  <c r="K406" i="11"/>
  <c r="K402" i="11"/>
  <c r="K398" i="11"/>
  <c r="K394" i="11"/>
  <c r="K390" i="11"/>
  <c r="K386" i="11"/>
  <c r="K382" i="11"/>
  <c r="K378" i="11"/>
  <c r="K374" i="11"/>
  <c r="K370" i="11"/>
  <c r="K366" i="11"/>
  <c r="K362" i="11"/>
  <c r="K358" i="11"/>
  <c r="K354" i="11"/>
  <c r="K350" i="11"/>
  <c r="K346" i="11"/>
  <c r="K342" i="11"/>
  <c r="K338" i="11"/>
  <c r="K334" i="11"/>
  <c r="K330" i="11"/>
  <c r="K326" i="11"/>
  <c r="K322" i="11"/>
  <c r="K318" i="11"/>
  <c r="K314" i="11"/>
  <c r="K310" i="11"/>
  <c r="K306" i="11"/>
  <c r="K302" i="11"/>
  <c r="K298" i="11"/>
  <c r="K294" i="11"/>
  <c r="K290" i="11"/>
  <c r="K286" i="11"/>
  <c r="K282" i="11"/>
  <c r="K278" i="11"/>
  <c r="K274" i="11"/>
  <c r="K270" i="11"/>
  <c r="K266" i="11"/>
  <c r="K262" i="11"/>
  <c r="K258" i="11"/>
  <c r="K254" i="11"/>
  <c r="K250" i="11"/>
  <c r="K246" i="11"/>
  <c r="K242" i="11"/>
  <c r="K238" i="11"/>
  <c r="K234" i="11"/>
  <c r="K230" i="11"/>
  <c r="K226" i="11"/>
  <c r="K222" i="11"/>
  <c r="K218" i="11"/>
  <c r="K214" i="11"/>
  <c r="K210" i="11"/>
  <c r="K206" i="11"/>
  <c r="K202" i="11"/>
  <c r="K198" i="11"/>
  <c r="K194" i="11"/>
  <c r="K190" i="11"/>
  <c r="K186" i="11"/>
  <c r="K182" i="11"/>
  <c r="K178" i="11"/>
  <c r="K174" i="11"/>
  <c r="K170" i="11"/>
  <c r="K166" i="11"/>
  <c r="K162" i="11"/>
  <c r="K158" i="11"/>
  <c r="K154" i="11"/>
  <c r="K150" i="11"/>
  <c r="K146" i="11"/>
  <c r="K142" i="11"/>
  <c r="K138" i="11"/>
  <c r="K134" i="11"/>
  <c r="K130" i="11"/>
  <c r="K126" i="11"/>
  <c r="K122" i="11"/>
  <c r="K118" i="11"/>
  <c r="K114" i="11"/>
  <c r="K110" i="11"/>
  <c r="K106" i="11"/>
  <c r="K102" i="11"/>
  <c r="K98" i="11"/>
  <c r="K94" i="11"/>
  <c r="K90" i="11"/>
  <c r="K86" i="11"/>
  <c r="K82" i="11"/>
  <c r="K78" i="11"/>
  <c r="K74" i="11"/>
  <c r="K70" i="11"/>
  <c r="K66" i="11"/>
  <c r="K62" i="11"/>
  <c r="K58" i="11"/>
  <c r="K54" i="11"/>
  <c r="K50" i="11"/>
  <c r="K46" i="11"/>
  <c r="K42" i="11"/>
  <c r="K38" i="11"/>
  <c r="K34" i="11"/>
  <c r="K30" i="11"/>
  <c r="K26" i="11"/>
  <c r="K22" i="11"/>
  <c r="K18" i="11"/>
  <c r="K14" i="11"/>
  <c r="K10" i="11"/>
  <c r="K6" i="11"/>
  <c r="K2" i="11"/>
  <c r="K3494" i="11"/>
  <c r="K3478" i="11"/>
  <c r="K3462" i="11"/>
  <c r="K3446" i="11"/>
  <c r="K3430" i="11"/>
  <c r="K3414" i="11"/>
  <c r="K3398" i="11"/>
  <c r="K3382" i="11"/>
  <c r="K3366" i="11"/>
  <c r="K3350" i="11"/>
  <c r="K3334" i="11"/>
  <c r="K3318" i="11"/>
  <c r="K3302" i="11"/>
  <c r="K3286" i="11"/>
  <c r="K3270" i="11"/>
  <c r="K3254" i="11"/>
  <c r="K3238" i="11"/>
  <c r="K3222" i="11"/>
  <c r="K3206" i="11"/>
  <c r="K3190" i="11"/>
  <c r="K3174" i="11"/>
  <c r="K3158" i="11"/>
  <c r="K3142" i="11"/>
  <c r="K3126" i="11"/>
  <c r="K3110" i="11"/>
  <c r="K3094" i="11"/>
  <c r="K3078" i="11"/>
  <c r="K3062" i="11"/>
  <c r="K3046" i="11"/>
  <c r="K3030" i="11"/>
  <c r="K3014" i="11"/>
  <c r="K2998" i="11"/>
  <c r="K2982" i="11"/>
  <c r="K2966" i="11"/>
  <c r="K2950" i="11"/>
  <c r="K2934" i="11"/>
  <c r="K2918" i="11"/>
  <c r="K2902" i="11"/>
  <c r="K2886" i="11"/>
  <c r="K2870" i="11"/>
  <c r="K2854" i="11"/>
  <c r="K2838" i="11"/>
  <c r="K2822" i="11"/>
  <c r="K2806" i="11"/>
  <c r="K2790" i="11"/>
  <c r="K2774" i="11"/>
  <c r="K2758" i="11"/>
  <c r="K2742" i="11"/>
  <c r="K2726" i="11"/>
  <c r="K2714" i="11"/>
  <c r="K2709" i="11"/>
  <c r="K2705" i="11"/>
  <c r="K2701" i="11"/>
  <c r="K2697" i="11"/>
  <c r="K2693" i="11"/>
  <c r="K2689" i="11"/>
  <c r="K2685" i="11"/>
  <c r="K2681" i="11"/>
  <c r="K2677" i="11"/>
  <c r="K2673" i="11"/>
  <c r="K2669" i="11"/>
  <c r="K2665" i="11"/>
  <c r="K2661" i="11"/>
  <c r="K2657" i="11"/>
  <c r="K2653" i="11"/>
  <c r="K2649" i="11"/>
  <c r="K2645" i="11"/>
  <c r="K2641" i="11"/>
  <c r="K2637" i="11"/>
  <c r="K2633" i="11"/>
  <c r="K2629" i="11"/>
  <c r="K2625" i="11"/>
  <c r="K2621" i="11"/>
  <c r="K2617" i="11"/>
  <c r="K2613" i="11"/>
  <c r="K2609" i="11"/>
  <c r="K2605" i="11"/>
  <c r="K2601" i="11"/>
  <c r="K2597" i="11"/>
  <c r="K2593" i="11"/>
  <c r="K2589" i="11"/>
  <c r="K2585" i="11"/>
  <c r="K2581" i="11"/>
  <c r="K2577" i="11"/>
  <c r="K2573" i="11"/>
  <c r="K2569" i="11"/>
  <c r="K2565" i="11"/>
  <c r="K2561" i="11"/>
  <c r="K2557" i="11"/>
  <c r="K2553" i="11"/>
  <c r="K2549" i="11"/>
  <c r="K2545" i="11"/>
  <c r="K2541" i="11"/>
  <c r="K2537" i="11"/>
  <c r="K2533" i="11"/>
  <c r="K2529" i="11"/>
  <c r="K2525" i="11"/>
  <c r="K2521" i="11"/>
  <c r="K2517" i="11"/>
  <c r="K2513" i="11"/>
  <c r="K2509" i="11"/>
  <c r="K2505" i="11"/>
  <c r="K2501" i="11"/>
  <c r="K2497" i="11"/>
  <c r="K2493" i="11"/>
  <c r="K2489" i="11"/>
  <c r="K2485" i="11"/>
  <c r="K2481" i="11"/>
  <c r="K2477" i="11"/>
  <c r="K2473" i="11"/>
  <c r="K2469" i="11"/>
  <c r="K2465" i="11"/>
  <c r="K2461" i="11"/>
  <c r="K2457" i="11"/>
  <c r="K2453" i="11"/>
  <c r="K2449" i="11"/>
  <c r="K2445" i="11"/>
  <c r="K2441" i="11"/>
  <c r="K2437" i="11"/>
  <c r="K2433" i="11"/>
  <c r="K2429" i="11"/>
  <c r="K2425" i="11"/>
  <c r="K2421" i="11"/>
  <c r="K2417" i="11"/>
  <c r="K2413" i="11"/>
  <c r="K2409" i="11"/>
  <c r="K2405" i="11"/>
  <c r="K2401" i="11"/>
  <c r="K2397" i="11"/>
  <c r="K2393" i="11"/>
  <c r="K2389" i="11"/>
  <c r="K2385" i="11"/>
  <c r="K2381" i="11"/>
  <c r="K2377" i="11"/>
  <c r="K2373" i="11"/>
  <c r="K2369" i="11"/>
  <c r="K2365" i="11"/>
  <c r="K2361" i="11"/>
  <c r="K2357" i="11"/>
  <c r="K2353" i="11"/>
  <c r="K2349" i="11"/>
  <c r="K2345" i="11"/>
  <c r="K2341" i="11"/>
  <c r="K2337" i="11"/>
  <c r="K2333" i="11"/>
  <c r="K2329" i="11"/>
  <c r="K2325" i="11"/>
  <c r="K2321" i="11"/>
  <c r="K2317" i="11"/>
  <c r="K2313" i="11"/>
  <c r="K2309" i="11"/>
  <c r="K2305" i="11"/>
  <c r="K2301" i="11"/>
  <c r="K2297" i="11"/>
  <c r="K2293" i="11"/>
  <c r="K2289" i="11"/>
  <c r="K2285" i="11"/>
  <c r="K2281" i="11"/>
  <c r="K2277" i="11"/>
  <c r="K2273" i="11"/>
  <c r="K2269" i="11"/>
  <c r="K2265" i="11"/>
  <c r="K2261" i="11"/>
  <c r="K2257" i="11"/>
  <c r="K2253" i="11"/>
  <c r="K2249" i="11"/>
  <c r="K2245" i="11"/>
  <c r="K2241" i="11"/>
  <c r="K2237" i="11"/>
  <c r="K2233" i="11"/>
  <c r="K2229" i="11"/>
  <c r="K2225" i="11"/>
  <c r="K2221" i="11"/>
  <c r="K2217" i="11"/>
  <c r="K2213" i="11"/>
  <c r="K2209" i="11"/>
  <c r="K2205" i="11"/>
  <c r="K2201" i="11"/>
  <c r="K2197" i="11"/>
  <c r="K2193" i="11"/>
  <c r="K2189" i="11"/>
  <c r="K2185" i="11"/>
  <c r="K2181" i="11"/>
  <c r="K2177" i="11"/>
  <c r="K2173" i="11"/>
  <c r="K2169" i="11"/>
  <c r="K2165" i="11"/>
  <c r="K2161" i="11"/>
  <c r="K2157" i="11"/>
  <c r="K2153" i="11"/>
  <c r="K2149" i="11"/>
  <c r="K2145" i="11"/>
  <c r="K2141" i="11"/>
  <c r="K2137" i="11"/>
  <c r="K2133" i="11"/>
  <c r="K2129" i="11"/>
  <c r="K2125" i="11"/>
  <c r="K2121" i="11"/>
  <c r="K2117" i="11"/>
  <c r="K2113" i="11"/>
  <c r="K2109" i="11"/>
  <c r="K2105" i="11"/>
  <c r="K2101" i="11"/>
  <c r="K2097" i="11"/>
  <c r="K2093" i="11"/>
  <c r="K2089" i="11"/>
  <c r="K2085" i="11"/>
  <c r="K2081" i="11"/>
  <c r="K2077" i="11"/>
  <c r="K2073" i="11"/>
  <c r="K2069" i="11"/>
  <c r="K2065" i="11"/>
  <c r="K2061" i="11"/>
  <c r="K2057" i="11"/>
  <c r="K2053" i="11"/>
  <c r="K2049" i="11"/>
  <c r="K2045" i="11"/>
  <c r="K2041" i="11"/>
  <c r="K2037" i="11"/>
  <c r="K2033" i="11"/>
  <c r="K2029" i="11"/>
  <c r="K2025" i="11"/>
  <c r="K2021" i="11"/>
  <c r="K2017" i="11"/>
  <c r="K2013" i="11"/>
  <c r="K2009" i="11"/>
  <c r="K2005" i="11"/>
  <c r="K2001" i="11"/>
  <c r="K1997" i="11"/>
  <c r="K1993" i="11"/>
  <c r="K1989" i="11"/>
  <c r="K1985" i="11"/>
  <c r="K1981" i="11"/>
  <c r="K1977" i="11"/>
  <c r="K1973" i="11"/>
  <c r="K1969" i="11"/>
  <c r="K1965" i="11"/>
  <c r="K1961" i="11"/>
  <c r="K1957" i="11"/>
  <c r="K1953" i="11"/>
  <c r="K1949" i="11"/>
  <c r="K1945" i="11"/>
  <c r="K1941" i="11"/>
  <c r="K1937" i="11"/>
  <c r="K1933" i="11"/>
  <c r="K1929" i="11"/>
  <c r="K1925" i="11"/>
  <c r="K1921" i="11"/>
  <c r="K1917" i="11"/>
  <c r="K1913" i="11"/>
  <c r="K1909" i="11"/>
  <c r="K1905" i="11"/>
  <c r="K1901" i="11"/>
  <c r="K1897" i="11"/>
  <c r="K1893" i="11"/>
  <c r="K1889" i="11"/>
  <c r="K1885" i="11"/>
  <c r="K1881" i="11"/>
  <c r="K1877" i="11"/>
  <c r="K1873" i="11"/>
  <c r="K1869" i="11"/>
  <c r="K1865" i="11"/>
  <c r="K1861" i="11"/>
  <c r="K1857" i="11"/>
  <c r="K1853" i="11"/>
  <c r="K1849" i="11"/>
  <c r="K1845" i="11"/>
  <c r="K1841" i="11"/>
  <c r="K1837" i="11"/>
  <c r="K1833" i="11"/>
  <c r="K1829" i="11"/>
  <c r="K1825" i="11"/>
  <c r="K1821" i="11"/>
  <c r="K1817" i="11"/>
  <c r="K1813" i="11"/>
  <c r="K1809" i="11"/>
  <c r="K1805" i="11"/>
  <c r="K1801" i="11"/>
  <c r="K1797" i="11"/>
  <c r="K1793" i="11"/>
  <c r="K1789" i="11"/>
  <c r="K1785" i="11"/>
  <c r="K1781" i="11"/>
  <c r="K1777" i="11"/>
  <c r="K1773" i="11"/>
  <c r="K1769" i="11"/>
  <c r="K1765" i="11"/>
  <c r="K1761" i="11"/>
  <c r="K1757" i="11"/>
  <c r="K1753" i="11"/>
  <c r="K1749" i="11"/>
  <c r="K1745" i="11"/>
  <c r="K1741" i="11"/>
  <c r="K1737" i="11"/>
  <c r="K1733" i="11"/>
  <c r="K1729" i="11"/>
  <c r="K1725" i="11"/>
  <c r="K1721" i="11"/>
  <c r="K1717" i="11"/>
  <c r="K1713" i="11"/>
  <c r="K1709" i="11"/>
  <c r="K1705" i="11"/>
  <c r="K1701" i="11"/>
  <c r="K1697" i="11"/>
  <c r="K1693" i="11"/>
  <c r="K1689" i="11"/>
  <c r="K1685" i="11"/>
  <c r="K1681" i="11"/>
  <c r="K1677" i="11"/>
  <c r="K1673" i="11"/>
  <c r="K1669" i="11"/>
  <c r="K1665" i="11"/>
  <c r="K1661" i="11"/>
  <c r="K1657" i="11"/>
  <c r="K1653" i="11"/>
  <c r="K1649" i="11"/>
  <c r="K1645" i="11"/>
  <c r="K1641" i="11"/>
  <c r="K1637" i="11"/>
  <c r="K1633" i="11"/>
  <c r="K1629" i="11"/>
  <c r="K1625" i="11"/>
  <c r="K1621" i="11"/>
  <c r="K1617" i="11"/>
  <c r="K1613" i="11"/>
  <c r="K1609" i="11"/>
  <c r="K1605" i="11"/>
  <c r="K1601" i="11"/>
  <c r="K1597" i="11"/>
  <c r="K1593" i="11"/>
  <c r="K1589" i="11"/>
  <c r="K1585" i="11"/>
  <c r="K1581" i="11"/>
  <c r="K1577" i="11"/>
  <c r="K1573" i="11"/>
  <c r="K1569" i="11"/>
  <c r="K1565" i="11"/>
  <c r="K1561" i="11"/>
  <c r="K1557" i="11"/>
  <c r="K1553" i="11"/>
  <c r="K1549" i="11"/>
  <c r="K1545" i="11"/>
  <c r="K1541" i="11"/>
  <c r="K1537" i="11"/>
  <c r="K1533" i="11"/>
  <c r="K1529" i="11"/>
  <c r="K1525" i="11"/>
  <c r="K1521" i="11"/>
  <c r="K1517" i="11"/>
  <c r="K1513" i="11"/>
  <c r="K1509" i="11"/>
  <c r="K1505" i="11"/>
  <c r="K1501" i="11"/>
  <c r="K1497" i="11"/>
  <c r="K1493" i="11"/>
  <c r="K1489" i="11"/>
  <c r="K1485" i="11"/>
  <c r="K1481" i="11"/>
  <c r="K1477" i="11"/>
  <c r="K1473" i="11"/>
  <c r="K1469" i="11"/>
  <c r="K1465" i="11"/>
  <c r="K1461" i="11"/>
  <c r="K1457" i="11"/>
  <c r="K1453" i="11"/>
  <c r="K1449" i="11"/>
  <c r="K1445" i="11"/>
  <c r="K1441" i="11"/>
  <c r="K1437" i="11"/>
  <c r="K1433" i="11"/>
  <c r="K1429" i="11"/>
  <c r="K1425" i="11"/>
  <c r="K1421" i="11"/>
  <c r="K1417" i="11"/>
  <c r="K1413" i="11"/>
  <c r="K1409" i="11"/>
  <c r="K1405" i="11"/>
  <c r="K1401" i="11"/>
  <c r="K1397" i="11"/>
  <c r="K1393" i="11"/>
  <c r="K1389" i="11"/>
  <c r="K1385" i="11"/>
  <c r="K1381" i="11"/>
  <c r="K1377" i="11"/>
  <c r="K1373" i="11"/>
  <c r="K1369" i="11"/>
  <c r="K1365" i="11"/>
  <c r="K1361" i="11"/>
  <c r="K1357" i="11"/>
  <c r="K1353" i="11"/>
  <c r="K1349" i="11"/>
  <c r="K1345" i="11"/>
  <c r="K1341" i="11"/>
  <c r="K1337" i="11"/>
  <c r="K1333" i="11"/>
  <c r="K1329" i="11"/>
  <c r="K1325" i="11"/>
  <c r="K1321" i="11"/>
  <c r="K1317" i="11"/>
  <c r="K1313" i="11"/>
  <c r="K1309" i="11"/>
  <c r="K1305" i="11"/>
  <c r="K1301" i="11"/>
  <c r="K1297" i="11"/>
  <c r="K1293" i="11"/>
  <c r="K1289" i="11"/>
  <c r="K1285" i="11"/>
  <c r="K1281" i="11"/>
  <c r="K1277" i="11"/>
  <c r="K1273" i="11"/>
  <c r="K1269" i="11"/>
  <c r="K1265" i="11"/>
  <c r="K1261" i="11"/>
  <c r="K1257" i="11"/>
  <c r="K1253" i="11"/>
  <c r="K1249" i="11"/>
  <c r="K1245" i="11"/>
  <c r="K1241" i="11"/>
  <c r="K1237" i="11"/>
  <c r="K1233" i="11"/>
  <c r="K1229" i="11"/>
  <c r="K1225" i="11"/>
  <c r="K1221" i="11"/>
  <c r="K1217" i="11"/>
  <c r="K1213" i="11"/>
  <c r="K1209" i="11"/>
  <c r="K1205" i="11"/>
  <c r="K1201" i="11"/>
  <c r="K1197" i="11"/>
  <c r="K1193" i="11"/>
  <c r="K1189" i="11"/>
  <c r="K1185" i="11"/>
  <c r="K1181" i="11"/>
  <c r="K1177" i="11"/>
  <c r="K1173" i="11"/>
  <c r="K1169" i="11"/>
  <c r="K1165" i="11"/>
  <c r="K1161" i="11"/>
  <c r="K1157" i="11"/>
  <c r="K1153" i="11"/>
  <c r="K1149" i="11"/>
  <c r="K1145" i="11"/>
  <c r="K1141" i="11"/>
  <c r="K1137" i="11"/>
  <c r="K1133" i="11"/>
  <c r="K1129" i="11"/>
  <c r="K1125" i="11"/>
  <c r="K1121" i="11"/>
  <c r="K1117" i="11"/>
  <c r="K1113" i="11"/>
  <c r="K1109" i="11"/>
  <c r="K1105" i="11"/>
  <c r="K1101" i="11"/>
  <c r="K1097" i="11"/>
  <c r="K1093" i="11"/>
  <c r="K1089" i="11"/>
  <c r="K1085" i="11"/>
  <c r="K1081" i="11"/>
  <c r="K1077" i="11"/>
  <c r="K1073" i="11"/>
  <c r="K1069" i="11"/>
  <c r="K1065" i="11"/>
  <c r="K1061" i="11"/>
  <c r="K1057" i="11"/>
  <c r="K1053" i="11"/>
  <c r="K1049" i="11"/>
  <c r="K1045" i="11"/>
  <c r="K1041" i="11"/>
  <c r="K1037" i="11"/>
  <c r="K1033" i="11"/>
  <c r="K1029" i="11"/>
  <c r="K1025" i="11"/>
  <c r="K1021" i="11"/>
  <c r="K1017" i="11"/>
  <c r="K1013" i="11"/>
  <c r="K1009" i="11"/>
  <c r="K1005" i="11"/>
  <c r="K1001" i="11"/>
  <c r="K997" i="11"/>
  <c r="K993" i="11"/>
  <c r="K989" i="11"/>
  <c r="K985" i="11"/>
  <c r="K981" i="11"/>
  <c r="K977" i="11"/>
  <c r="K973" i="11"/>
  <c r="K969" i="11"/>
  <c r="K965" i="11"/>
  <c r="K961" i="11"/>
  <c r="K957" i="11"/>
  <c r="K953" i="11"/>
  <c r="K949" i="11"/>
  <c r="K945" i="11"/>
  <c r="K941" i="11"/>
  <c r="K937" i="11"/>
  <c r="K933" i="11"/>
  <c r="K929" i="11"/>
  <c r="K925" i="11"/>
  <c r="K921" i="11"/>
  <c r="K917" i="11"/>
  <c r="K913" i="11"/>
  <c r="K909" i="11"/>
  <c r="K905" i="11"/>
  <c r="K901" i="11"/>
  <c r="K897" i="11"/>
  <c r="K893" i="11"/>
  <c r="K889" i="11"/>
  <c r="K885" i="11"/>
  <c r="K881" i="11"/>
  <c r="K877" i="11"/>
  <c r="K873" i="11"/>
  <c r="K869" i="11"/>
  <c r="K865" i="11"/>
  <c r="K861" i="11"/>
  <c r="K857" i="11"/>
  <c r="K853" i="11"/>
  <c r="K849" i="11"/>
  <c r="K845" i="11"/>
  <c r="K841" i="11"/>
  <c r="K837" i="11"/>
  <c r="K833" i="11"/>
  <c r="K829" i="11"/>
  <c r="K825" i="11"/>
  <c r="K821" i="11"/>
  <c r="K817" i="11"/>
  <c r="K813" i="11"/>
  <c r="K809" i="11"/>
  <c r="K805" i="11"/>
  <c r="K801" i="11"/>
  <c r="K797" i="11"/>
  <c r="K793" i="11"/>
  <c r="K789" i="11"/>
  <c r="K785" i="11"/>
  <c r="K781" i="11"/>
  <c r="K777" i="11"/>
  <c r="K773" i="11"/>
  <c r="K769" i="11"/>
  <c r="K765" i="11"/>
  <c r="K761" i="11"/>
  <c r="K757" i="11"/>
  <c r="K753" i="11"/>
  <c r="K749" i="11"/>
  <c r="K745" i="11"/>
  <c r="K741" i="11"/>
  <c r="K737" i="11"/>
  <c r="K733" i="11"/>
  <c r="K729" i="11"/>
  <c r="K725" i="11"/>
  <c r="K721" i="11"/>
  <c r="K717" i="11"/>
  <c r="K713" i="11"/>
  <c r="K709" i="11"/>
  <c r="K705" i="11"/>
  <c r="K701" i="11"/>
  <c r="K697" i="11"/>
  <c r="K693" i="11"/>
  <c r="K689" i="11"/>
  <c r="K685" i="11"/>
  <c r="K681" i="11"/>
  <c r="K677" i="11"/>
  <c r="K673" i="11"/>
  <c r="K669" i="11"/>
  <c r="K665" i="11"/>
  <c r="K661" i="11"/>
  <c r="K657" i="11"/>
  <c r="K653" i="11"/>
  <c r="K649" i="11"/>
  <c r="K645" i="11"/>
  <c r="K641" i="11"/>
  <c r="K637" i="11"/>
  <c r="K633" i="11"/>
  <c r="K629" i="11"/>
  <c r="K625" i="11"/>
  <c r="K621" i="11"/>
  <c r="K617" i="11"/>
  <c r="K613" i="11"/>
  <c r="K609" i="11"/>
  <c r="K605" i="11"/>
  <c r="K601" i="11"/>
  <c r="K597" i="11"/>
  <c r="K593" i="11"/>
  <c r="K589" i="11"/>
  <c r="K585" i="11"/>
  <c r="K581" i="11"/>
  <c r="K577" i="11"/>
  <c r="K573" i="11"/>
  <c r="K569" i="11"/>
  <c r="K565" i="11"/>
  <c r="K561" i="11"/>
  <c r="K557" i="11"/>
  <c r="K553" i="11"/>
  <c r="K549" i="11"/>
  <c r="K545" i="11"/>
  <c r="K541" i="11"/>
  <c r="K537" i="11"/>
  <c r="K533" i="11"/>
  <c r="K529" i="11"/>
  <c r="K525" i="11"/>
  <c r="K521" i="11"/>
  <c r="K517" i="11"/>
  <c r="K513" i="11"/>
  <c r="K509" i="11"/>
  <c r="K505" i="11"/>
  <c r="K501" i="11"/>
  <c r="K497" i="11"/>
  <c r="K493" i="11"/>
  <c r="K489" i="11"/>
  <c r="K485" i="11"/>
  <c r="K481" i="11"/>
  <c r="K477" i="11"/>
  <c r="K473" i="11"/>
  <c r="K469" i="11"/>
  <c r="K465" i="11"/>
  <c r="K461" i="11"/>
  <c r="K457" i="11"/>
  <c r="K453" i="11"/>
  <c r="K449" i="11"/>
  <c r="K445" i="11"/>
  <c r="K441" i="11"/>
  <c r="K437" i="11"/>
  <c r="K433" i="11"/>
  <c r="K429" i="11"/>
  <c r="K425" i="11"/>
  <c r="K421" i="11"/>
  <c r="K417" i="11"/>
  <c r="K413" i="11"/>
  <c r="K409" i="11"/>
  <c r="K405" i="11"/>
  <c r="K401" i="11"/>
  <c r="K397" i="11"/>
  <c r="K393" i="11"/>
  <c r="K389" i="11"/>
  <c r="K385" i="11"/>
  <c r="K381" i="11"/>
  <c r="K377" i="11"/>
  <c r="K373" i="11"/>
  <c r="K369" i="11"/>
  <c r="K365" i="11"/>
  <c r="K361" i="11"/>
  <c r="K357" i="11"/>
  <c r="K353" i="11"/>
  <c r="K349" i="11"/>
  <c r="K345" i="11"/>
  <c r="K341" i="11"/>
  <c r="K337" i="11"/>
  <c r="K333" i="11"/>
  <c r="K329" i="11"/>
  <c r="K325" i="11"/>
  <c r="K321" i="11"/>
  <c r="K317" i="11"/>
  <c r="K313" i="11"/>
  <c r="K309" i="11"/>
  <c r="K305" i="11"/>
  <c r="K301" i="11"/>
  <c r="K297" i="11"/>
  <c r="K293" i="11"/>
  <c r="K289" i="11"/>
  <c r="K285" i="11"/>
  <c r="K281" i="11"/>
  <c r="K277" i="11"/>
  <c r="K273" i="11"/>
  <c r="K269" i="11"/>
  <c r="K265" i="11"/>
  <c r="K261" i="11"/>
  <c r="K257" i="11"/>
  <c r="K253" i="11"/>
  <c r="K249" i="11"/>
  <c r="K245" i="11"/>
  <c r="K241" i="11"/>
  <c r="K237" i="11"/>
  <c r="K233" i="11"/>
  <c r="K229" i="11"/>
  <c r="K225" i="11"/>
  <c r="K221" i="11"/>
  <c r="K217" i="11"/>
  <c r="K213" i="11"/>
  <c r="K209" i="11"/>
  <c r="K205" i="11"/>
  <c r="K201" i="11"/>
  <c r="K197" i="11"/>
  <c r="K193" i="11"/>
  <c r="K189" i="11"/>
  <c r="K185" i="11"/>
  <c r="K181" i="11"/>
  <c r="K177" i="11"/>
  <c r="K173" i="11"/>
  <c r="K169" i="11"/>
  <c r="K165" i="11"/>
  <c r="K161" i="11"/>
  <c r="K157" i="11"/>
  <c r="K153" i="11"/>
  <c r="K149" i="11"/>
  <c r="K145" i="11"/>
  <c r="K141" i="11"/>
  <c r="K137" i="11"/>
  <c r="K133" i="11"/>
  <c r="K129" i="11"/>
  <c r="K125" i="11"/>
  <c r="K121" i="11"/>
  <c r="K117" i="11"/>
  <c r="K113" i="11"/>
  <c r="K109" i="11"/>
  <c r="K105" i="11"/>
  <c r="K101" i="11"/>
  <c r="K97" i="11"/>
  <c r="K93" i="11"/>
  <c r="K89" i="11"/>
  <c r="K85" i="11"/>
  <c r="K81" i="11"/>
  <c r="K77" i="11"/>
  <c r="K73" i="11"/>
  <c r="K69" i="11"/>
  <c r="K65" i="11"/>
  <c r="K61" i="11"/>
  <c r="K57" i="11"/>
  <c r="K53" i="11"/>
  <c r="K49" i="11"/>
  <c r="K45" i="11"/>
  <c r="K41" i="11"/>
  <c r="K37" i="11"/>
  <c r="K33" i="11"/>
  <c r="K29" i="11"/>
  <c r="K25" i="11"/>
  <c r="K21" i="11"/>
  <c r="K17" i="11"/>
  <c r="K13" i="11"/>
  <c r="K9" i="11"/>
  <c r="K5" i="11"/>
  <c r="K3490" i="11"/>
  <c r="K3474" i="11"/>
  <c r="K3458" i="11"/>
  <c r="K3442" i="11"/>
  <c r="K3426" i="11"/>
  <c r="K3410" i="11"/>
  <c r="K3394" i="11"/>
  <c r="K3378" i="11"/>
  <c r="K3362" i="11"/>
  <c r="K3346" i="11"/>
  <c r="K3330" i="11"/>
  <c r="K3314" i="11"/>
  <c r="K3298" i="11"/>
  <c r="K3282" i="11"/>
  <c r="K3266" i="11"/>
  <c r="K3250" i="11"/>
  <c r="K3234" i="11"/>
  <c r="K3218" i="11"/>
  <c r="K3202" i="11"/>
  <c r="K3186" i="11"/>
  <c r="K3170" i="11"/>
  <c r="K3154" i="11"/>
  <c r="K3138" i="11"/>
  <c r="K3122" i="11"/>
  <c r="K3106" i="11"/>
  <c r="K3090" i="11"/>
  <c r="K3074" i="11"/>
  <c r="K3058" i="11"/>
  <c r="K3042" i="11"/>
  <c r="K3026" i="11"/>
  <c r="K3010" i="11"/>
  <c r="K2994" i="11"/>
  <c r="K2978" i="11"/>
  <c r="K2962" i="11"/>
  <c r="K2946" i="11"/>
  <c r="K2930" i="11"/>
  <c r="K2914" i="11"/>
  <c r="K2898" i="11"/>
  <c r="K2882" i="11"/>
  <c r="K2866" i="11"/>
  <c r="K2850" i="11"/>
  <c r="K2834" i="11"/>
  <c r="K2818" i="11"/>
  <c r="K2802" i="11"/>
  <c r="K2786" i="11"/>
  <c r="K2770" i="11"/>
  <c r="K2754" i="11"/>
  <c r="K2738" i="11"/>
  <c r="K2722" i="11"/>
  <c r="K2713" i="11"/>
  <c r="K2708" i="11"/>
  <c r="K2704" i="11"/>
  <c r="K2700" i="11"/>
  <c r="K2696" i="11"/>
  <c r="K2692" i="11"/>
  <c r="K2688" i="11"/>
  <c r="K2684" i="11"/>
  <c r="K2680" i="11"/>
  <c r="K2676" i="11"/>
  <c r="K2672" i="11"/>
  <c r="K2668" i="11"/>
  <c r="K2664" i="11"/>
  <c r="K2660" i="11"/>
  <c r="K2656" i="11"/>
  <c r="K2652" i="11"/>
  <c r="K2648" i="11"/>
  <c r="K2644" i="11"/>
  <c r="K2640" i="11"/>
  <c r="K2636" i="11"/>
  <c r="K2632" i="11"/>
  <c r="K2628" i="11"/>
  <c r="K2624" i="11"/>
  <c r="K2620" i="11"/>
  <c r="K2616" i="11"/>
  <c r="K2612" i="11"/>
  <c r="K2608" i="11"/>
  <c r="K2604" i="11"/>
  <c r="K2600" i="11"/>
  <c r="K2596" i="11"/>
  <c r="K2592" i="11"/>
  <c r="K2588" i="11"/>
  <c r="K2584" i="11"/>
  <c r="K2580" i="11"/>
  <c r="K2576" i="11"/>
  <c r="K2572" i="11"/>
  <c r="K2568" i="11"/>
  <c r="K2564" i="11"/>
  <c r="K2560" i="11"/>
  <c r="K2556" i="11"/>
  <c r="K2552" i="11"/>
  <c r="K2548" i="11"/>
  <c r="K2544" i="11"/>
  <c r="K2540" i="11"/>
  <c r="K2536" i="11"/>
  <c r="K2532" i="11"/>
  <c r="K2528" i="11"/>
  <c r="K2524" i="11"/>
  <c r="K2520" i="11"/>
  <c r="K2516" i="11"/>
  <c r="K2512" i="11"/>
  <c r="K2508" i="11"/>
  <c r="K2504" i="11"/>
  <c r="K2500" i="11"/>
  <c r="K2496" i="11"/>
  <c r="K2492" i="11"/>
  <c r="K2488" i="11"/>
  <c r="K2484" i="11"/>
  <c r="K2480" i="11"/>
  <c r="K2476" i="11"/>
  <c r="K2472" i="11"/>
  <c r="K2468" i="11"/>
  <c r="K2464" i="11"/>
  <c r="K2460" i="11"/>
  <c r="K2456" i="11"/>
  <c r="K2452" i="11"/>
  <c r="K2448" i="11"/>
  <c r="K2444" i="11"/>
  <c r="K2440" i="11"/>
  <c r="K2436" i="11"/>
  <c r="K2432" i="11"/>
  <c r="K2428" i="11"/>
  <c r="K2424" i="11"/>
  <c r="K2420" i="11"/>
  <c r="K2416" i="11"/>
  <c r="K2412" i="11"/>
  <c r="K2408" i="11"/>
  <c r="K2404" i="11"/>
  <c r="K2400" i="11"/>
  <c r="K2396" i="11"/>
  <c r="K2392" i="11"/>
  <c r="K2388" i="11"/>
  <c r="K2384" i="11"/>
  <c r="K2380" i="11"/>
  <c r="K2376" i="11"/>
  <c r="K2372" i="11"/>
  <c r="K2368" i="11"/>
  <c r="K2364" i="11"/>
  <c r="K2360" i="11"/>
  <c r="K2356" i="11"/>
  <c r="K2352" i="11"/>
  <c r="K2348" i="11"/>
  <c r="K2344" i="11"/>
  <c r="K2340" i="11"/>
  <c r="K2336" i="11"/>
  <c r="K2332" i="11"/>
  <c r="K2328" i="11"/>
  <c r="K2324" i="11"/>
  <c r="K2320" i="11"/>
  <c r="K2316" i="11"/>
  <c r="K2312" i="11"/>
  <c r="K2308" i="11"/>
  <c r="K2304" i="11"/>
  <c r="K2300" i="11"/>
  <c r="K2296" i="11"/>
  <c r="K2292" i="11"/>
  <c r="K2288" i="11"/>
  <c r="K2284" i="11"/>
  <c r="K2280" i="11"/>
  <c r="K2276" i="11"/>
  <c r="K2272" i="11"/>
  <c r="K2268" i="11"/>
  <c r="K2264" i="11"/>
  <c r="K2260" i="11"/>
  <c r="K2256" i="11"/>
  <c r="K2252" i="11"/>
  <c r="K2248" i="11"/>
  <c r="K2244" i="11"/>
  <c r="K2240" i="11"/>
  <c r="K2236" i="11"/>
  <c r="K2232" i="11"/>
  <c r="K2228" i="11"/>
  <c r="K2224" i="11"/>
  <c r="K2220" i="11"/>
  <c r="K2216" i="11"/>
  <c r="K2212" i="11"/>
  <c r="K2208" i="11"/>
  <c r="K2204" i="11"/>
  <c r="K2200" i="11"/>
  <c r="K2196" i="11"/>
  <c r="K2192" i="11"/>
  <c r="K2188" i="11"/>
  <c r="K2184" i="11"/>
  <c r="K2180" i="11"/>
  <c r="K2176" i="11"/>
  <c r="K2172" i="11"/>
  <c r="K2168" i="11"/>
  <c r="K2164" i="11"/>
  <c r="K2160" i="11"/>
  <c r="K2156" i="11"/>
  <c r="K2152" i="11"/>
  <c r="K2148" i="11"/>
  <c r="K2144" i="11"/>
  <c r="K2140" i="11"/>
  <c r="K2136" i="11"/>
  <c r="K2132" i="11"/>
  <c r="K2128" i="11"/>
  <c r="K2124" i="11"/>
  <c r="K2120" i="11"/>
  <c r="K2116" i="11"/>
  <c r="K2112" i="11"/>
  <c r="K2108" i="11"/>
  <c r="K2104" i="11"/>
  <c r="K2100" i="11"/>
  <c r="K2096" i="11"/>
  <c r="K2092" i="11"/>
  <c r="K2088" i="11"/>
  <c r="K2084" i="11"/>
  <c r="K2080" i="11"/>
  <c r="K2076" i="11"/>
  <c r="K2072" i="11"/>
  <c r="K2068" i="11"/>
  <c r="K2064" i="11"/>
  <c r="K2060" i="11"/>
  <c r="K2056" i="11"/>
  <c r="K2052" i="11"/>
  <c r="K2048" i="11"/>
  <c r="K2044" i="11"/>
  <c r="K2040" i="11"/>
  <c r="K2036" i="11"/>
  <c r="K2032" i="11"/>
  <c r="K2028" i="11"/>
  <c r="K2024" i="11"/>
  <c r="K2020" i="11"/>
  <c r="K2016" i="11"/>
  <c r="K2012" i="11"/>
  <c r="K2008" i="11"/>
  <c r="K2004" i="11"/>
  <c r="K2000" i="11"/>
  <c r="K1996" i="11"/>
  <c r="K1992" i="11"/>
  <c r="K1988" i="11"/>
  <c r="K1984" i="11"/>
  <c r="K1980" i="11"/>
  <c r="K1976" i="11"/>
  <c r="K1972" i="11"/>
  <c r="K1968" i="11"/>
  <c r="K1964" i="11"/>
  <c r="K1960" i="11"/>
  <c r="K1956" i="11"/>
  <c r="K1952" i="11"/>
  <c r="K1948" i="11"/>
  <c r="K1944" i="11"/>
  <c r="K1940" i="11"/>
  <c r="K1936" i="11"/>
  <c r="K1932" i="11"/>
  <c r="K1928" i="11"/>
  <c r="K1924" i="11"/>
  <c r="K1920" i="11"/>
  <c r="K1916" i="11"/>
  <c r="K1912" i="11"/>
  <c r="K1908" i="11"/>
  <c r="K1904" i="11"/>
  <c r="K1900" i="11"/>
  <c r="K1896" i="11"/>
  <c r="K1892" i="11"/>
  <c r="K1888" i="11"/>
  <c r="K1884" i="11"/>
  <c r="K1880" i="11"/>
  <c r="K1876" i="11"/>
  <c r="K1872" i="11"/>
  <c r="K1868" i="11"/>
  <c r="K1864" i="11"/>
  <c r="K1860" i="11"/>
  <c r="K1856" i="11"/>
  <c r="K1852" i="11"/>
  <c r="K1848" i="11"/>
  <c r="K1844" i="11"/>
  <c r="K1840" i="11"/>
  <c r="K1836" i="11"/>
  <c r="K1832" i="11"/>
  <c r="K1828" i="11"/>
  <c r="K1824" i="11"/>
  <c r="K1820" i="11"/>
  <c r="K1816" i="11"/>
  <c r="K1812" i="11"/>
  <c r="K1808" i="11"/>
  <c r="K1804" i="11"/>
  <c r="K1800" i="11"/>
  <c r="K1796" i="11"/>
  <c r="K1792" i="11"/>
  <c r="K1788" i="11"/>
  <c r="K1784" i="11"/>
  <c r="K1780" i="11"/>
  <c r="K1776" i="11"/>
  <c r="K1772" i="11"/>
  <c r="K1768" i="11"/>
  <c r="K1764" i="11"/>
  <c r="K1760" i="11"/>
  <c r="K1756" i="11"/>
  <c r="K1752" i="11"/>
  <c r="K1748" i="11"/>
  <c r="K1744" i="11"/>
  <c r="K1740" i="11"/>
  <c r="K1736" i="11"/>
  <c r="K1732" i="11"/>
  <c r="K1728" i="11"/>
  <c r="K1724" i="11"/>
  <c r="K1720" i="11"/>
  <c r="K1716" i="11"/>
  <c r="K1712" i="11"/>
  <c r="K1708" i="11"/>
  <c r="K1704" i="11"/>
  <c r="K1700" i="11"/>
  <c r="K1696" i="11"/>
  <c r="K1692" i="11"/>
  <c r="K1688" i="11"/>
  <c r="K1684" i="11"/>
  <c r="K1680" i="11"/>
  <c r="K1676" i="11"/>
  <c r="K1672" i="11"/>
  <c r="K1668" i="11"/>
  <c r="K1664" i="11"/>
  <c r="K1660" i="11"/>
  <c r="K1656" i="11"/>
  <c r="K1652" i="11"/>
  <c r="K1648" i="11"/>
  <c r="K1644" i="11"/>
  <c r="K1640" i="11"/>
  <c r="K1636" i="11"/>
  <c r="K1632" i="11"/>
  <c r="K1628" i="11"/>
  <c r="K1624" i="11"/>
  <c r="K1620" i="11"/>
  <c r="K1616" i="11"/>
  <c r="K1612" i="11"/>
  <c r="K1608" i="11"/>
  <c r="K1604" i="11"/>
  <c r="K1600" i="11"/>
  <c r="K1596" i="11"/>
  <c r="K1592" i="11"/>
  <c r="K1588" i="11"/>
  <c r="K1584" i="11"/>
  <c r="K1580" i="11"/>
  <c r="K1576" i="11"/>
  <c r="K1572" i="11"/>
  <c r="K1568" i="11"/>
  <c r="K1564" i="11"/>
  <c r="K1560" i="11"/>
  <c r="K1556" i="11"/>
  <c r="K1552" i="11"/>
  <c r="K1548" i="11"/>
  <c r="K1544" i="11"/>
  <c r="K1540" i="11"/>
  <c r="K1536" i="11"/>
  <c r="K1532" i="11"/>
  <c r="K1528" i="11"/>
  <c r="K1524" i="11"/>
  <c r="K1520" i="11"/>
  <c r="K1516" i="11"/>
  <c r="K1512" i="11"/>
  <c r="K1508" i="11"/>
  <c r="K1504" i="11"/>
  <c r="K1500" i="11"/>
  <c r="K1496" i="11"/>
  <c r="K1492" i="11"/>
  <c r="K1488" i="11"/>
  <c r="K1484" i="11"/>
  <c r="K1480" i="11"/>
  <c r="K1476" i="11"/>
  <c r="K1472" i="11"/>
  <c r="K1468" i="11"/>
  <c r="K1464" i="11"/>
  <c r="K1460" i="11"/>
  <c r="K1456" i="11"/>
  <c r="K1452" i="11"/>
  <c r="K1448" i="11"/>
  <c r="K1444" i="11"/>
  <c r="K1440" i="11"/>
  <c r="K1436" i="11"/>
  <c r="K1432" i="11"/>
  <c r="K1428" i="11"/>
  <c r="K1424" i="11"/>
  <c r="K1420" i="11"/>
  <c r="K1416" i="11"/>
  <c r="K1412" i="11"/>
  <c r="K1408" i="11"/>
  <c r="K1404" i="11"/>
  <c r="K1400" i="11"/>
  <c r="K1396" i="11"/>
  <c r="K1392" i="11"/>
  <c r="K1388" i="11"/>
  <c r="K1384" i="11"/>
  <c r="K1380" i="11"/>
  <c r="K1376" i="11"/>
  <c r="K1372" i="11"/>
  <c r="K1368" i="11"/>
  <c r="K1364" i="11"/>
  <c r="K1360" i="11"/>
  <c r="K1356" i="11"/>
  <c r="K1352" i="11"/>
  <c r="K1348" i="11"/>
  <c r="K1344" i="11"/>
  <c r="K1340" i="11"/>
  <c r="K1336" i="11"/>
  <c r="K1332" i="11"/>
  <c r="K1328" i="11"/>
  <c r="K1324" i="11"/>
  <c r="K1320" i="11"/>
  <c r="K1316" i="11"/>
  <c r="K1312" i="11"/>
  <c r="K1308" i="11"/>
  <c r="K1304" i="11"/>
  <c r="K1300" i="11"/>
  <c r="K1296" i="11"/>
  <c r="K1292" i="11"/>
  <c r="K1288" i="11"/>
  <c r="K1284" i="11"/>
  <c r="K1280" i="11"/>
  <c r="K1276" i="11"/>
  <c r="K1272" i="11"/>
  <c r="K1268" i="11"/>
  <c r="K1264" i="11"/>
  <c r="K1260" i="11"/>
  <c r="K1256" i="11"/>
  <c r="K1252" i="11"/>
  <c r="K1248" i="11"/>
  <c r="K1244" i="11"/>
  <c r="K1240" i="11"/>
  <c r="K1236" i="11"/>
  <c r="K1232" i="11"/>
  <c r="K1228" i="11"/>
  <c r="K1224" i="11"/>
  <c r="K1220" i="11"/>
  <c r="K1216" i="11"/>
  <c r="K1212" i="11"/>
  <c r="K1208" i="11"/>
  <c r="K1204" i="11"/>
  <c r="K1200" i="11"/>
  <c r="K1196" i="11"/>
  <c r="K1192" i="11"/>
  <c r="K1188" i="11"/>
  <c r="K1184" i="11"/>
  <c r="K1180" i="11"/>
  <c r="K1176" i="11"/>
  <c r="K1172" i="11"/>
  <c r="K1168" i="11"/>
  <c r="K1164" i="11"/>
  <c r="K1160" i="11"/>
  <c r="K1156" i="11"/>
  <c r="K1152" i="11"/>
  <c r="K1148" i="11"/>
  <c r="K1144" i="11"/>
  <c r="K1140" i="11"/>
  <c r="K1136" i="11"/>
  <c r="K1132" i="11"/>
  <c r="K1128" i="11"/>
  <c r="K1124" i="11"/>
  <c r="K1120" i="11"/>
  <c r="K1116" i="11"/>
  <c r="K1112" i="11"/>
  <c r="K1108" i="11"/>
  <c r="K1104" i="11"/>
  <c r="K1100" i="11"/>
  <c r="K1096" i="11"/>
  <c r="K1092" i="11"/>
  <c r="K1088" i="11"/>
  <c r="K1084" i="11"/>
  <c r="K1080" i="11"/>
  <c r="K1076" i="11"/>
  <c r="K1072" i="11"/>
  <c r="K1068" i="11"/>
  <c r="K1064" i="11"/>
  <c r="K1060" i="11"/>
  <c r="K1056" i="11"/>
  <c r="K1052" i="11"/>
  <c r="K1048" i="11"/>
  <c r="K1044" i="11"/>
  <c r="K1040" i="11"/>
  <c r="K1036" i="11"/>
  <c r="K1032" i="11"/>
  <c r="K1028" i="11"/>
  <c r="K1024" i="11"/>
  <c r="K1020" i="11"/>
  <c r="K1016" i="11"/>
  <c r="K1012" i="11"/>
  <c r="K1008" i="11"/>
  <c r="K1004" i="11"/>
  <c r="K1000" i="11"/>
  <c r="K996" i="11"/>
  <c r="K992" i="11"/>
  <c r="K988" i="11"/>
  <c r="K984" i="11"/>
  <c r="K980" i="11"/>
  <c r="K976" i="11"/>
  <c r="K972" i="11"/>
  <c r="K968" i="11"/>
  <c r="K964" i="11"/>
  <c r="K960" i="11"/>
  <c r="K956" i="11"/>
  <c r="K952" i="11"/>
  <c r="K948" i="11"/>
  <c r="K944" i="11"/>
  <c r="K940" i="11"/>
  <c r="K936" i="11"/>
  <c r="K932" i="11"/>
  <c r="K928" i="11"/>
  <c r="K924" i="11"/>
  <c r="K920" i="11"/>
  <c r="K916" i="11"/>
  <c r="K912" i="11"/>
  <c r="K908" i="11"/>
  <c r="K904" i="11"/>
  <c r="K900" i="11"/>
  <c r="K896" i="11"/>
  <c r="K892" i="11"/>
  <c r="K888" i="11"/>
  <c r="K884" i="11"/>
  <c r="K880" i="11"/>
  <c r="K876" i="11"/>
  <c r="K872" i="11"/>
  <c r="K868" i="11"/>
  <c r="K864" i="11"/>
  <c r="K860" i="11"/>
  <c r="K856" i="11"/>
  <c r="K852" i="11"/>
  <c r="K848" i="11"/>
  <c r="K844" i="11"/>
  <c r="K840" i="11"/>
  <c r="K836" i="11"/>
  <c r="K832" i="11"/>
  <c r="K828" i="11"/>
  <c r="K824" i="11"/>
  <c r="K820" i="11"/>
  <c r="K816" i="11"/>
  <c r="K812" i="11"/>
  <c r="K808" i="11"/>
  <c r="K804" i="11"/>
  <c r="K800" i="11"/>
  <c r="K796" i="11"/>
  <c r="K792" i="11"/>
  <c r="K788" i="11"/>
  <c r="K784" i="11"/>
  <c r="K780" i="11"/>
  <c r="K776" i="11"/>
  <c r="K772" i="11"/>
  <c r="K768" i="11"/>
  <c r="K764" i="11"/>
  <c r="K760" i="11"/>
  <c r="K756" i="11"/>
  <c r="K752" i="11"/>
  <c r="K748" i="11"/>
  <c r="K744" i="11"/>
  <c r="K740" i="11"/>
  <c r="K736" i="11"/>
  <c r="K732" i="11"/>
  <c r="K728" i="11"/>
  <c r="K724" i="11"/>
  <c r="K720" i="11"/>
  <c r="K716" i="11"/>
  <c r="K712" i="11"/>
  <c r="K708" i="11"/>
  <c r="K704" i="11"/>
  <c r="K700" i="11"/>
  <c r="K696" i="11"/>
  <c r="K692" i="11"/>
  <c r="K688" i="11"/>
  <c r="K684" i="11"/>
  <c r="K680" i="11"/>
  <c r="K676" i="11"/>
  <c r="K672" i="11"/>
  <c r="K668" i="11"/>
  <c r="K664" i="11"/>
  <c r="K660" i="11"/>
  <c r="K656" i="11"/>
  <c r="K652" i="11"/>
  <c r="K648" i="11"/>
  <c r="K644" i="11"/>
  <c r="K640" i="11"/>
  <c r="K636" i="11"/>
  <c r="K632" i="11"/>
  <c r="K628" i="11"/>
  <c r="K624" i="11"/>
  <c r="K620" i="11"/>
  <c r="K616" i="11"/>
  <c r="K612" i="11"/>
  <c r="K608" i="11"/>
  <c r="K604" i="11"/>
  <c r="K600" i="11"/>
  <c r="K596" i="11"/>
  <c r="K592" i="11"/>
  <c r="K588" i="11"/>
  <c r="K584" i="11"/>
  <c r="K580" i="11"/>
  <c r="K576" i="11"/>
  <c r="K572" i="11"/>
  <c r="K568" i="11"/>
  <c r="K564" i="11"/>
  <c r="K560" i="11"/>
  <c r="K556" i="11"/>
  <c r="K552" i="11"/>
  <c r="K548" i="11"/>
  <c r="K544" i="11"/>
  <c r="K540" i="11"/>
  <c r="K536" i="11"/>
  <c r="K532" i="11"/>
  <c r="K528" i="11"/>
  <c r="K524" i="11"/>
  <c r="K520" i="11"/>
  <c r="K516" i="11"/>
  <c r="K512" i="11"/>
  <c r="K508" i="11"/>
  <c r="K504" i="11"/>
  <c r="K500" i="11"/>
  <c r="K496" i="11"/>
  <c r="K492" i="11"/>
  <c r="K488" i="11"/>
  <c r="K484" i="11"/>
  <c r="K480" i="11"/>
  <c r="K476" i="11"/>
  <c r="K472" i="11"/>
  <c r="K468" i="11"/>
  <c r="K464" i="11"/>
  <c r="K460" i="11"/>
  <c r="K456" i="11"/>
  <c r="K452" i="11"/>
  <c r="K448" i="11"/>
  <c r="K444" i="11"/>
  <c r="K440" i="11"/>
  <c r="K436" i="11"/>
  <c r="K432" i="11"/>
  <c r="K428" i="11"/>
  <c r="K424" i="11"/>
  <c r="K420" i="11"/>
  <c r="K416" i="11"/>
  <c r="K412" i="11"/>
  <c r="K408" i="11"/>
  <c r="K404" i="11"/>
  <c r="K400" i="11"/>
  <c r="K396" i="11"/>
  <c r="K392" i="11"/>
  <c r="K388" i="11"/>
  <c r="K384" i="11"/>
  <c r="K380" i="11"/>
  <c r="K376" i="11"/>
  <c r="K372" i="11"/>
  <c r="K368" i="11"/>
  <c r="K364" i="11"/>
  <c r="K360" i="11"/>
  <c r="K356" i="11"/>
  <c r="K352" i="11"/>
  <c r="K348" i="11"/>
  <c r="K344" i="11"/>
  <c r="K340" i="11"/>
  <c r="K336" i="11"/>
  <c r="K332" i="11"/>
  <c r="K328" i="11"/>
  <c r="K324" i="11"/>
  <c r="K320" i="11"/>
  <c r="K316" i="11"/>
  <c r="K312" i="11"/>
  <c r="K308" i="11"/>
  <c r="K304" i="11"/>
  <c r="K300" i="11"/>
  <c r="K296" i="11"/>
  <c r="K292" i="11"/>
  <c r="K288" i="11"/>
  <c r="K284" i="11"/>
  <c r="K280" i="11"/>
  <c r="K276" i="11"/>
  <c r="K272" i="11"/>
  <c r="K268" i="11"/>
  <c r="K264" i="11"/>
  <c r="K260" i="11"/>
  <c r="K256" i="11"/>
  <c r="K252" i="11"/>
  <c r="K248" i="11"/>
  <c r="K244" i="11"/>
  <c r="K240" i="11"/>
  <c r="K236" i="11"/>
  <c r="K232" i="11"/>
  <c r="K228" i="11"/>
  <c r="K224" i="11"/>
  <c r="K220" i="11"/>
  <c r="K216" i="11"/>
  <c r="K212" i="11"/>
  <c r="K208" i="11"/>
  <c r="K204" i="11"/>
  <c r="K200" i="11"/>
  <c r="K196" i="11"/>
  <c r="K192" i="11"/>
  <c r="K188" i="11"/>
  <c r="K184" i="11"/>
  <c r="K180" i="11"/>
  <c r="K176" i="11"/>
  <c r="K172" i="11"/>
  <c r="K168" i="11"/>
  <c r="K164" i="11"/>
  <c r="K160" i="11"/>
  <c r="K156" i="11"/>
  <c r="K152" i="11"/>
  <c r="K148" i="11"/>
  <c r="K144" i="11"/>
  <c r="K140" i="11"/>
  <c r="K136" i="11"/>
  <c r="K132" i="11"/>
  <c r="K128" i="11"/>
  <c r="K124" i="11"/>
  <c r="K120" i="11"/>
  <c r="K116" i="11"/>
  <c r="K112" i="11"/>
  <c r="K108" i="11"/>
  <c r="K104" i="11"/>
  <c r="K100" i="11"/>
  <c r="K96" i="11"/>
  <c r="K92" i="11"/>
  <c r="K88" i="11"/>
  <c r="K84" i="11"/>
  <c r="K80" i="11"/>
  <c r="K76" i="11"/>
  <c r="K72" i="11"/>
  <c r="K68" i="11"/>
  <c r="K64" i="11"/>
  <c r="K60" i="11"/>
  <c r="K56" i="11"/>
  <c r="K52" i="11"/>
  <c r="K48" i="11"/>
  <c r="K44" i="11"/>
  <c r="K40" i="11"/>
  <c r="K36" i="11"/>
  <c r="K32" i="11"/>
  <c r="K28" i="11"/>
  <c r="K24" i="11"/>
  <c r="K20" i="11"/>
  <c r="K16" i="11"/>
  <c r="K12" i="11"/>
  <c r="K8" i="11"/>
  <c r="K4" i="11"/>
  <c r="K3486" i="11"/>
  <c r="K3422" i="11"/>
  <c r="K3358" i="11"/>
  <c r="K3294" i="11"/>
  <c r="K3230" i="11"/>
  <c r="K3166" i="11"/>
  <c r="K3102" i="11"/>
  <c r="K3038" i="11"/>
  <c r="K2974" i="11"/>
  <c r="K2910" i="11"/>
  <c r="K2846" i="11"/>
  <c r="K2782" i="11"/>
  <c r="K2718" i="11"/>
  <c r="K2699" i="11"/>
  <c r="K2683" i="11"/>
  <c r="K2667" i="11"/>
  <c r="K2651" i="11"/>
  <c r="K2635" i="11"/>
  <c r="K2619" i="11"/>
  <c r="K2603" i="11"/>
  <c r="K2587" i="11"/>
  <c r="K2571" i="11"/>
  <c r="K2555" i="11"/>
  <c r="K2539" i="11"/>
  <c r="K2523" i="11"/>
  <c r="K2507" i="11"/>
  <c r="K2491" i="11"/>
  <c r="K2475" i="11"/>
  <c r="K2459" i="11"/>
  <c r="K2443" i="11"/>
  <c r="K2427" i="11"/>
  <c r="K2411" i="11"/>
  <c r="K2395" i="11"/>
  <c r="K2379" i="11"/>
  <c r="K2363" i="11"/>
  <c r="K2347" i="11"/>
  <c r="K2331" i="11"/>
  <c r="K2315" i="11"/>
  <c r="K2299" i="11"/>
  <c r="K2283" i="11"/>
  <c r="K2267" i="11"/>
  <c r="K2251" i="11"/>
  <c r="K2235" i="11"/>
  <c r="K2219" i="11"/>
  <c r="K2203" i="11"/>
  <c r="K2187" i="11"/>
  <c r="K2171" i="11"/>
  <c r="K2155" i="11"/>
  <c r="K2139" i="11"/>
  <c r="K2123" i="11"/>
  <c r="K2107" i="11"/>
  <c r="K2091" i="11"/>
  <c r="K2075" i="11"/>
  <c r="K2059" i="11"/>
  <c r="K2043" i="11"/>
  <c r="K2027" i="11"/>
  <c r="K2011" i="11"/>
  <c r="K1995" i="11"/>
  <c r="K1979" i="11"/>
  <c r="K1963" i="11"/>
  <c r="K1947" i="11"/>
  <c r="K1931" i="11"/>
  <c r="K1915" i="11"/>
  <c r="K1899" i="11"/>
  <c r="K1883" i="11"/>
  <c r="K1867" i="11"/>
  <c r="K1851" i="11"/>
  <c r="K1835" i="11"/>
  <c r="K1819" i="11"/>
  <c r="K1803" i="11"/>
  <c r="K1787" i="11"/>
  <c r="K1771" i="11"/>
  <c r="K1755" i="11"/>
  <c r="K1739" i="11"/>
  <c r="K1723" i="11"/>
  <c r="K1707" i="11"/>
  <c r="K1691" i="11"/>
  <c r="K1675" i="11"/>
  <c r="K1659" i="11"/>
  <c r="K1643" i="11"/>
  <c r="K1627" i="11"/>
  <c r="K1611" i="11"/>
  <c r="K1595" i="11"/>
  <c r="K1579" i="11"/>
  <c r="K1563" i="11"/>
  <c r="K1547" i="11"/>
  <c r="K1531" i="11"/>
  <c r="K1515" i="11"/>
  <c r="K1499" i="11"/>
  <c r="K1483" i="11"/>
  <c r="K1467" i="11"/>
  <c r="K1451" i="11"/>
  <c r="K1435" i="11"/>
  <c r="K1419" i="11"/>
  <c r="K1403" i="11"/>
  <c r="K1387" i="11"/>
  <c r="K1371" i="11"/>
  <c r="K1355" i="11"/>
  <c r="K1339" i="11"/>
  <c r="K1323" i="11"/>
  <c r="K1307" i="11"/>
  <c r="K1291" i="11"/>
  <c r="K1275" i="11"/>
  <c r="K1259" i="11"/>
  <c r="K1243" i="11"/>
  <c r="K1227" i="11"/>
  <c r="K1211" i="11"/>
  <c r="K1195" i="11"/>
  <c r="K1179" i="11"/>
  <c r="K1163" i="11"/>
  <c r="K1147" i="11"/>
  <c r="K1131" i="11"/>
  <c r="K1115" i="11"/>
  <c r="K1099" i="11"/>
  <c r="K1083" i="11"/>
  <c r="K1067" i="11"/>
  <c r="K1051" i="11"/>
  <c r="K1035" i="11"/>
  <c r="K1019" i="11"/>
  <c r="K1003" i="11"/>
  <c r="K987" i="11"/>
  <c r="K971" i="11"/>
  <c r="K955" i="11"/>
  <c r="K939" i="11"/>
  <c r="K923" i="11"/>
  <c r="K907" i="11"/>
  <c r="K891" i="11"/>
  <c r="K875" i="11"/>
  <c r="K859" i="11"/>
  <c r="K843" i="11"/>
  <c r="K827" i="11"/>
  <c r="K811" i="11"/>
  <c r="K795" i="11"/>
  <c r="K779" i="11"/>
  <c r="K763" i="11"/>
  <c r="K747" i="11"/>
  <c r="K731" i="11"/>
  <c r="K715" i="11"/>
  <c r="K699" i="11"/>
  <c r="K683" i="11"/>
  <c r="K667" i="11"/>
  <c r="K651" i="11"/>
  <c r="K635" i="11"/>
  <c r="K619" i="11"/>
  <c r="K603" i="11"/>
  <c r="K587" i="11"/>
  <c r="K571" i="11"/>
  <c r="K555" i="11"/>
  <c r="K539" i="11"/>
  <c r="K523" i="11"/>
  <c r="K507" i="11"/>
  <c r="K491" i="11"/>
  <c r="K475" i="11"/>
  <c r="K459" i="11"/>
  <c r="K443" i="11"/>
  <c r="K427" i="11"/>
  <c r="K411" i="11"/>
  <c r="K395" i="11"/>
  <c r="K379" i="11"/>
  <c r="K363" i="11"/>
  <c r="K347" i="11"/>
  <c r="K331" i="11"/>
  <c r="K315" i="11"/>
  <c r="K299" i="11"/>
  <c r="K283" i="11"/>
  <c r="K267" i="11"/>
  <c r="K251" i="11"/>
  <c r="K235" i="11"/>
  <c r="K219" i="11"/>
  <c r="K203" i="11"/>
  <c r="K187" i="11"/>
  <c r="K171" i="11"/>
  <c r="K155" i="11"/>
  <c r="K139" i="11"/>
  <c r="K123" i="11"/>
  <c r="K107" i="11"/>
  <c r="K91" i="11"/>
  <c r="K75" i="11"/>
  <c r="K59" i="11"/>
  <c r="K43" i="11"/>
  <c r="K27" i="11"/>
  <c r="K11" i="11"/>
  <c r="K3470" i="11"/>
  <c r="K3406" i="11"/>
  <c r="K3342" i="11"/>
  <c r="K3278" i="11"/>
  <c r="K3214" i="11"/>
  <c r="K3150" i="11"/>
  <c r="K3086" i="11"/>
  <c r="K3022" i="11"/>
  <c r="K2958" i="11"/>
  <c r="K2894" i="11"/>
  <c r="K2830" i="11"/>
  <c r="K2766" i="11"/>
  <c r="K2712" i="11"/>
  <c r="K2695" i="11"/>
  <c r="K2679" i="11"/>
  <c r="K2663" i="11"/>
  <c r="K2647" i="11"/>
  <c r="K2631" i="11"/>
  <c r="K2615" i="11"/>
  <c r="K2599" i="11"/>
  <c r="K2583" i="11"/>
  <c r="K2567" i="11"/>
  <c r="K2551" i="11"/>
  <c r="K2535" i="11"/>
  <c r="K2519" i="11"/>
  <c r="K2503" i="11"/>
  <c r="K2487" i="11"/>
  <c r="K2471" i="11"/>
  <c r="K2455" i="11"/>
  <c r="K2439" i="11"/>
  <c r="K2423" i="11"/>
  <c r="K2407" i="11"/>
  <c r="K2391" i="11"/>
  <c r="K2375" i="11"/>
  <c r="K2359" i="11"/>
  <c r="K2343" i="11"/>
  <c r="K2327" i="11"/>
  <c r="K2311" i="11"/>
  <c r="K2295" i="11"/>
  <c r="K2279" i="11"/>
  <c r="K2263" i="11"/>
  <c r="K2247" i="11"/>
  <c r="K2231" i="11"/>
  <c r="K2215" i="11"/>
  <c r="K2199" i="11"/>
  <c r="K2183" i="11"/>
  <c r="K2167" i="11"/>
  <c r="K2151" i="11"/>
  <c r="K2135" i="11"/>
  <c r="K2119" i="11"/>
  <c r="K2103" i="11"/>
  <c r="K2087" i="11"/>
  <c r="K2071" i="11"/>
  <c r="K2055" i="11"/>
  <c r="K2039" i="11"/>
  <c r="K2023" i="11"/>
  <c r="K2007" i="11"/>
  <c r="K1991" i="11"/>
  <c r="K1975" i="11"/>
  <c r="K1959" i="11"/>
  <c r="K1943" i="11"/>
  <c r="K1927" i="11"/>
  <c r="K1911" i="11"/>
  <c r="K1895" i="11"/>
  <c r="K1879" i="11"/>
  <c r="K1863" i="11"/>
  <c r="K1847" i="11"/>
  <c r="K1831" i="11"/>
  <c r="K1815" i="11"/>
  <c r="K1799" i="11"/>
  <c r="K1783" i="11"/>
  <c r="K1767" i="11"/>
  <c r="K1751" i="11"/>
  <c r="K1735" i="11"/>
  <c r="K1719" i="11"/>
  <c r="K1703" i="11"/>
  <c r="K1687" i="11"/>
  <c r="K1671" i="11"/>
  <c r="K1655" i="11"/>
  <c r="K1639" i="11"/>
  <c r="K1623" i="11"/>
  <c r="K1607" i="11"/>
  <c r="K1591" i="11"/>
  <c r="K1575" i="11"/>
  <c r="K1559" i="11"/>
  <c r="K1543" i="11"/>
  <c r="K1527" i="11"/>
  <c r="K1511" i="11"/>
  <c r="K1495" i="11"/>
  <c r="K1479" i="11"/>
  <c r="K1463" i="11"/>
  <c r="K1447" i="11"/>
  <c r="K1431" i="11"/>
  <c r="K1415" i="11"/>
  <c r="K1399" i="11"/>
  <c r="K1383" i="11"/>
  <c r="K1367" i="11"/>
  <c r="K1351" i="11"/>
  <c r="K1335" i="11"/>
  <c r="K1319" i="11"/>
  <c r="K1303" i="11"/>
  <c r="K1287" i="11"/>
  <c r="K1271" i="11"/>
  <c r="K1255" i="11"/>
  <c r="K1239" i="11"/>
  <c r="K1223" i="11"/>
  <c r="K1207" i="11"/>
  <c r="K1191" i="11"/>
  <c r="K1175" i="11"/>
  <c r="K1159" i="11"/>
  <c r="K1143" i="11"/>
  <c r="K1127" i="11"/>
  <c r="K1111" i="11"/>
  <c r="K1095" i="11"/>
  <c r="K1079" i="11"/>
  <c r="K1063" i="11"/>
  <c r="K1047" i="11"/>
  <c r="K1031" i="11"/>
  <c r="K1015" i="11"/>
  <c r="K999" i="11"/>
  <c r="K983" i="11"/>
  <c r="K967" i="11"/>
  <c r="K951" i="11"/>
  <c r="K935" i="11"/>
  <c r="K919" i="11"/>
  <c r="K903" i="11"/>
  <c r="K887" i="11"/>
  <c r="K871" i="11"/>
  <c r="K855" i="11"/>
  <c r="K839" i="11"/>
  <c r="K823" i="11"/>
  <c r="K807" i="11"/>
  <c r="K791" i="11"/>
  <c r="K775" i="11"/>
  <c r="K759" i="11"/>
  <c r="K743" i="11"/>
  <c r="K727" i="11"/>
  <c r="K711" i="11"/>
  <c r="K695" i="11"/>
  <c r="K679" i="11"/>
  <c r="K663" i="11"/>
  <c r="K647" i="11"/>
  <c r="K631" i="11"/>
  <c r="K615" i="11"/>
  <c r="K599" i="11"/>
  <c r="K583" i="11"/>
  <c r="K567" i="11"/>
  <c r="K551" i="11"/>
  <c r="K535" i="11"/>
  <c r="K519" i="11"/>
  <c r="K503" i="11"/>
  <c r="K487" i="11"/>
  <c r="K471" i="11"/>
  <c r="K455" i="11"/>
  <c r="K439" i="11"/>
  <c r="K423" i="11"/>
  <c r="K407" i="11"/>
  <c r="K391" i="11"/>
  <c r="K375" i="11"/>
  <c r="K359" i="11"/>
  <c r="K343" i="11"/>
  <c r="K327" i="11"/>
  <c r="K311" i="11"/>
  <c r="K295" i="11"/>
  <c r="K279" i="11"/>
  <c r="K263" i="11"/>
  <c r="K247" i="11"/>
  <c r="K231" i="11"/>
  <c r="K215" i="11"/>
  <c r="K199" i="11"/>
  <c r="K183" i="11"/>
  <c r="K167" i="11"/>
  <c r="K151" i="11"/>
  <c r="K135" i="11"/>
  <c r="K119" i="11"/>
  <c r="K103" i="11"/>
  <c r="K87" i="11"/>
  <c r="K71" i="11"/>
  <c r="K55" i="11"/>
  <c r="K39" i="11"/>
  <c r="K23" i="11"/>
  <c r="K7" i="11"/>
  <c r="K3454" i="11"/>
  <c r="K3390" i="11"/>
  <c r="K3326" i="11"/>
  <c r="K3262" i="11"/>
  <c r="K3198" i="11"/>
  <c r="K3134" i="11"/>
  <c r="K3070" i="11"/>
  <c r="K3006" i="11"/>
  <c r="K2942" i="11"/>
  <c r="K2878" i="11"/>
  <c r="K2814" i="11"/>
  <c r="K2750" i="11"/>
  <c r="K2707" i="11"/>
  <c r="K2691" i="11"/>
  <c r="K2675" i="11"/>
  <c r="K2659" i="11"/>
  <c r="K2643" i="11"/>
  <c r="K2627" i="11"/>
  <c r="K2611" i="11"/>
  <c r="K2595" i="11"/>
  <c r="K2579" i="11"/>
  <c r="K2563" i="11"/>
  <c r="K2547" i="11"/>
  <c r="K2531" i="11"/>
  <c r="K2515" i="11"/>
  <c r="K2499" i="11"/>
  <c r="K2483" i="11"/>
  <c r="K2467" i="11"/>
  <c r="K2451" i="11"/>
  <c r="K2435" i="11"/>
  <c r="K2419" i="11"/>
  <c r="K2403" i="11"/>
  <c r="K2387" i="11"/>
  <c r="K2371" i="11"/>
  <c r="K2355" i="11"/>
  <c r="K2339" i="11"/>
  <c r="K2323" i="11"/>
  <c r="K2307" i="11"/>
  <c r="K2291" i="11"/>
  <c r="K2275" i="11"/>
  <c r="K2259" i="11"/>
  <c r="K2243" i="11"/>
  <c r="K2227" i="11"/>
  <c r="K2211" i="11"/>
  <c r="K2195" i="11"/>
  <c r="K2179" i="11"/>
  <c r="K2163" i="11"/>
  <c r="K2147" i="11"/>
  <c r="K2131" i="11"/>
  <c r="K2115" i="11"/>
  <c r="K2099" i="11"/>
  <c r="K2083" i="11"/>
  <c r="K2067" i="11"/>
  <c r="K2051" i="11"/>
  <c r="K2035" i="11"/>
  <c r="K2019" i="11"/>
  <c r="K2003" i="11"/>
  <c r="K1987" i="11"/>
  <c r="K1971" i="11"/>
  <c r="K1955" i="11"/>
  <c r="K1939" i="11"/>
  <c r="K1923" i="11"/>
  <c r="K1907" i="11"/>
  <c r="K1891" i="11"/>
  <c r="K1875" i="11"/>
  <c r="K1859" i="11"/>
  <c r="K1843" i="11"/>
  <c r="K1827" i="11"/>
  <c r="K1811" i="11"/>
  <c r="K1795" i="11"/>
  <c r="K1779" i="11"/>
  <c r="K1763" i="11"/>
  <c r="K1747" i="11"/>
  <c r="K1731" i="11"/>
  <c r="K1715" i="11"/>
  <c r="K1699" i="11"/>
  <c r="K1683" i="11"/>
  <c r="K1667" i="11"/>
  <c r="K1651" i="11"/>
  <c r="K1635" i="11"/>
  <c r="K1619" i="11"/>
  <c r="K1603" i="11"/>
  <c r="K1587" i="11"/>
  <c r="K1571" i="11"/>
  <c r="K1555" i="11"/>
  <c r="K1539" i="11"/>
  <c r="K1523" i="11"/>
  <c r="K1507" i="11"/>
  <c r="K1491" i="11"/>
  <c r="K1475" i="11"/>
  <c r="K1459" i="11"/>
  <c r="K1443" i="11"/>
  <c r="K1427" i="11"/>
  <c r="K1411" i="11"/>
  <c r="K1395" i="11"/>
  <c r="K1379" i="11"/>
  <c r="K1363" i="11"/>
  <c r="K1347" i="11"/>
  <c r="K1331" i="11"/>
  <c r="K1315" i="11"/>
  <c r="K1299" i="11"/>
  <c r="K1283" i="11"/>
  <c r="K1267" i="11"/>
  <c r="K1251" i="11"/>
  <c r="K1235" i="11"/>
  <c r="K1219" i="11"/>
  <c r="K1203" i="11"/>
  <c r="K1187" i="11"/>
  <c r="K1171" i="11"/>
  <c r="K1155" i="11"/>
  <c r="K1139" i="11"/>
  <c r="K1123" i="11"/>
  <c r="K1107" i="11"/>
  <c r="K1091" i="11"/>
  <c r="K1075" i="11"/>
  <c r="K1059" i="11"/>
  <c r="K1043" i="11"/>
  <c r="K1027" i="11"/>
  <c r="K1011" i="11"/>
  <c r="K995" i="11"/>
  <c r="K979" i="11"/>
  <c r="K963" i="11"/>
  <c r="K947" i="11"/>
  <c r="K931" i="11"/>
  <c r="K915" i="11"/>
  <c r="K899" i="11"/>
  <c r="K883" i="11"/>
  <c r="K867" i="11"/>
  <c r="K851" i="11"/>
  <c r="K835" i="11"/>
  <c r="K819" i="11"/>
  <c r="K803" i="11"/>
  <c r="K787" i="11"/>
  <c r="K771" i="11"/>
  <c r="K755" i="11"/>
  <c r="K739" i="11"/>
  <c r="K723" i="11"/>
  <c r="K707" i="11"/>
  <c r="K691" i="11"/>
  <c r="K675" i="11"/>
  <c r="K659" i="11"/>
  <c r="K643" i="11"/>
  <c r="K627" i="11"/>
  <c r="K611" i="11"/>
  <c r="K595" i="11"/>
  <c r="K579" i="11"/>
  <c r="K563" i="11"/>
  <c r="K547" i="11"/>
  <c r="K531" i="11"/>
  <c r="K515" i="11"/>
  <c r="K499" i="11"/>
  <c r="K483" i="11"/>
  <c r="K467" i="11"/>
  <c r="K451" i="11"/>
  <c r="K435" i="11"/>
  <c r="K419" i="11"/>
  <c r="K403" i="11"/>
  <c r="K387" i="11"/>
  <c r="K371" i="11"/>
  <c r="K355" i="11"/>
  <c r="K339" i="11"/>
  <c r="K323" i="11"/>
  <c r="K307" i="11"/>
  <c r="K291" i="11"/>
  <c r="K275" i="11"/>
  <c r="K259" i="11"/>
  <c r="K243" i="11"/>
  <c r="K227" i="11"/>
  <c r="K211" i="11"/>
  <c r="K195" i="11"/>
  <c r="K179" i="11"/>
  <c r="K163" i="11"/>
  <c r="K147" i="11"/>
  <c r="K131" i="11"/>
  <c r="K115" i="11"/>
  <c r="K99" i="11"/>
  <c r="K83" i="11"/>
  <c r="K67" i="11"/>
  <c r="K51" i="11"/>
  <c r="K35" i="11"/>
  <c r="K19" i="11"/>
  <c r="K3" i="11"/>
  <c r="K3438" i="11"/>
  <c r="K3182" i="11"/>
  <c r="K2926" i="11"/>
  <c r="K2703" i="11"/>
  <c r="K2639" i="11"/>
  <c r="K2575" i="11"/>
  <c r="K2511" i="11"/>
  <c r="K2447" i="11"/>
  <c r="K2383" i="11"/>
  <c r="K2319" i="11"/>
  <c r="K2255" i="11"/>
  <c r="K2191" i="11"/>
  <c r="K2127" i="11"/>
  <c r="K2063" i="11"/>
  <c r="K1999" i="11"/>
  <c r="K1935" i="11"/>
  <c r="K1871" i="11"/>
  <c r="K1807" i="11"/>
  <c r="K1743" i="11"/>
  <c r="K1679" i="11"/>
  <c r="K1615" i="11"/>
  <c r="K1551" i="11"/>
  <c r="K1487" i="11"/>
  <c r="K1423" i="11"/>
  <c r="K1359" i="11"/>
  <c r="K1295" i="11"/>
  <c r="K1231" i="11"/>
  <c r="K1167" i="11"/>
  <c r="K1103" i="11"/>
  <c r="K1039" i="11"/>
  <c r="K975" i="11"/>
  <c r="K911" i="11"/>
  <c r="K847" i="11"/>
  <c r="K783" i="11"/>
  <c r="K719" i="11"/>
  <c r="K655" i="11"/>
  <c r="K591" i="11"/>
  <c r="K527" i="11"/>
  <c r="K463" i="11"/>
  <c r="K399" i="11"/>
  <c r="K335" i="11"/>
  <c r="K271" i="11"/>
  <c r="K207" i="11"/>
  <c r="K143" i="11"/>
  <c r="K79" i="11"/>
  <c r="K15" i="11"/>
  <c r="K3374" i="11"/>
  <c r="K3118" i="11"/>
  <c r="K2862" i="11"/>
  <c r="K2687" i="11"/>
  <c r="K2623" i="11"/>
  <c r="K2559" i="11"/>
  <c r="K2495" i="11"/>
  <c r="K2431" i="11"/>
  <c r="K2367" i="11"/>
  <c r="K2303" i="11"/>
  <c r="K2239" i="11"/>
  <c r="K2175" i="11"/>
  <c r="K2111" i="11"/>
  <c r="K2047" i="11"/>
  <c r="K1983" i="11"/>
  <c r="K1919" i="11"/>
  <c r="K1855" i="11"/>
  <c r="K1791" i="11"/>
  <c r="K1727" i="11"/>
  <c r="K1663" i="11"/>
  <c r="K1599" i="11"/>
  <c r="K1535" i="11"/>
  <c r="K1471" i="11"/>
  <c r="K1407" i="11"/>
  <c r="K1343" i="11"/>
  <c r="K1279" i="11"/>
  <c r="K1215" i="11"/>
  <c r="K1151" i="11"/>
  <c r="K1087" i="11"/>
  <c r="K1023" i="11"/>
  <c r="K959" i="11"/>
  <c r="K895" i="11"/>
  <c r="K831" i="11"/>
  <c r="K767" i="11"/>
  <c r="K703" i="11"/>
  <c r="K639" i="11"/>
  <c r="K575" i="11"/>
  <c r="K511" i="11"/>
  <c r="K447" i="11"/>
  <c r="K383" i="11"/>
  <c r="K319" i="11"/>
  <c r="K255" i="11"/>
  <c r="K191" i="11"/>
  <c r="K127" i="11"/>
  <c r="K63" i="11"/>
  <c r="K3054" i="11"/>
  <c r="K2671" i="11"/>
  <c r="K2543" i="11"/>
  <c r="K2415" i="11"/>
  <c r="K2287" i="11"/>
  <c r="K2159" i="11"/>
  <c r="K2031" i="11"/>
  <c r="K1903" i="11"/>
  <c r="K1775" i="11"/>
  <c r="K1647" i="11"/>
  <c r="K1519" i="11"/>
  <c r="K1391" i="11"/>
  <c r="K1263" i="11"/>
  <c r="K1135" i="11"/>
  <c r="K1007" i="11"/>
  <c r="K879" i="11"/>
  <c r="K751" i="11"/>
  <c r="K623" i="11"/>
  <c r="K495" i="11"/>
  <c r="K367" i="11"/>
  <c r="K239" i="11"/>
  <c r="K111" i="11"/>
  <c r="K2990" i="11"/>
  <c r="K2655" i="11"/>
  <c r="K2527" i="11"/>
  <c r="K2399" i="11"/>
  <c r="K2271" i="11"/>
  <c r="K2143" i="11"/>
  <c r="K2015" i="11"/>
  <c r="K1887" i="11"/>
  <c r="K1759" i="11"/>
  <c r="K1631" i="11"/>
  <c r="K1503" i="11"/>
  <c r="K1375" i="11"/>
  <c r="K1247" i="11"/>
  <c r="K1119" i="11"/>
  <c r="K991" i="11"/>
  <c r="K863" i="11"/>
  <c r="K735" i="11"/>
  <c r="K607" i="11"/>
  <c r="K479" i="11"/>
  <c r="K351" i="11"/>
  <c r="K223" i="11"/>
  <c r="K95" i="11"/>
  <c r="K3310" i="11"/>
  <c r="K2798" i="11"/>
  <c r="K2607" i="11"/>
  <c r="K2479" i="11"/>
  <c r="K2351" i="11"/>
  <c r="K2223" i="11"/>
  <c r="K2095" i="11"/>
  <c r="K1967" i="11"/>
  <c r="K1839" i="11"/>
  <c r="K1711" i="11"/>
  <c r="K1583" i="11"/>
  <c r="K1455" i="11"/>
  <c r="K1327" i="11"/>
  <c r="K1199" i="11"/>
  <c r="K1071" i="11"/>
  <c r="K943" i="11"/>
  <c r="K815" i="11"/>
  <c r="K687" i="11"/>
  <c r="K559" i="11"/>
  <c r="K431" i="11"/>
  <c r="K303" i="11"/>
  <c r="K175" i="11"/>
  <c r="K47" i="11"/>
  <c r="K3246" i="11"/>
  <c r="K2335" i="11"/>
  <c r="K1823" i="11"/>
  <c r="K1311" i="11"/>
  <c r="K799" i="11"/>
  <c r="K287" i="11"/>
  <c r="K2734" i="11"/>
  <c r="K2207" i="11"/>
  <c r="K1695" i="11"/>
  <c r="K1183" i="11"/>
  <c r="K671" i="11"/>
  <c r="K159" i="11"/>
  <c r="K2591" i="11"/>
  <c r="K2079" i="11"/>
  <c r="K1567" i="11"/>
  <c r="K1055" i="11"/>
  <c r="K543" i="11"/>
  <c r="K31" i="11"/>
  <c r="K2463" i="11"/>
  <c r="K1951" i="11"/>
  <c r="K1439" i="11"/>
  <c r="K927" i="11"/>
  <c r="K415" i="11"/>
  <c r="M2" i="11" l="1" a="1"/>
  <c r="M27" i="11" s="1"/>
  <c r="M173" i="11"/>
  <c r="M379" i="11"/>
  <c r="M507" i="11"/>
  <c r="M635" i="11"/>
  <c r="M763" i="11"/>
  <c r="M147" i="11"/>
  <c r="M409" i="11"/>
  <c r="M580" i="11"/>
  <c r="M267" i="11"/>
  <c r="M469" i="11"/>
  <c r="M640" i="11"/>
  <c r="M348" i="11"/>
  <c r="M518" i="11"/>
  <c r="M689" i="11"/>
  <c r="M856" i="11"/>
  <c r="M984" i="11"/>
  <c r="M1112" i="11"/>
  <c r="M637" i="11"/>
  <c r="M861" i="11"/>
  <c r="M1031" i="11"/>
  <c r="M392" i="11"/>
  <c r="M782" i="11"/>
  <c r="M969" i="11"/>
  <c r="M770" i="11"/>
  <c r="M1097" i="11"/>
  <c r="M402" i="11"/>
  <c r="M971" i="11"/>
  <c r="M1190" i="11"/>
  <c r="M805" i="11"/>
  <c r="M1114" i="11"/>
  <c r="M1259" i="11"/>
  <c r="M1387" i="11"/>
  <c r="M1515" i="11"/>
  <c r="M665" i="11"/>
  <c r="M1045" i="11"/>
  <c r="M1220" i="11"/>
  <c r="M1348" i="11"/>
  <c r="M1476" i="11"/>
  <c r="M1246" i="11"/>
  <c r="M1502" i="11"/>
  <c r="M1676" i="11"/>
  <c r="M1804" i="11"/>
  <c r="M3" i="11"/>
  <c r="M53" i="11"/>
  <c r="M181" i="11"/>
  <c r="M309" i="11"/>
  <c r="M383" i="11"/>
  <c r="M447" i="11"/>
  <c r="M511" i="11"/>
  <c r="M575" i="11"/>
  <c r="M639" i="11"/>
  <c r="M703" i="11"/>
  <c r="M767" i="11"/>
  <c r="M831" i="11"/>
  <c r="M159" i="11"/>
  <c r="M325" i="11"/>
  <c r="M414" i="11"/>
  <c r="M500" i="11"/>
  <c r="M585" i="11"/>
  <c r="M107" i="11"/>
  <c r="M279" i="11"/>
  <c r="M389" i="11"/>
  <c r="M474" i="11"/>
  <c r="M560" i="11"/>
  <c r="M15" i="11"/>
  <c r="M207" i="11"/>
  <c r="M353" i="11"/>
  <c r="M438" i="11"/>
  <c r="M524" i="11"/>
  <c r="M609" i="11"/>
  <c r="M694" i="11"/>
  <c r="M780" i="11"/>
  <c r="M860" i="11"/>
  <c r="M924" i="11"/>
  <c r="M988" i="11"/>
  <c r="M1052" i="11"/>
  <c r="M1116" i="11"/>
  <c r="M315" i="11"/>
  <c r="M645" i="11"/>
  <c r="M760" i="11"/>
  <c r="M866" i="11"/>
  <c r="M951" i="11"/>
  <c r="M1037" i="11"/>
  <c r="M1122" i="11"/>
  <c r="M413" i="11"/>
  <c r="M498" i="11"/>
  <c r="M584" i="11"/>
  <c r="M648" i="11"/>
  <c r="M676" i="11"/>
  <c r="M704" i="11"/>
  <c r="M733" i="11"/>
  <c r="M761" i="11"/>
  <c r="M789" i="11"/>
  <c r="M818" i="11"/>
  <c r="M846" i="11"/>
  <c r="M867" i="11"/>
  <c r="M889" i="11"/>
  <c r="M910" i="11"/>
  <c r="M931" i="11"/>
  <c r="M953" i="11"/>
  <c r="M974" i="11"/>
  <c r="M995" i="11"/>
  <c r="M1017" i="11"/>
  <c r="M123" i="11"/>
  <c r="M397" i="11"/>
  <c r="M568" i="11"/>
  <c r="M670" i="11"/>
  <c r="M728" i="11"/>
  <c r="M784" i="11"/>
  <c r="M841" i="11"/>
  <c r="M885" i="11"/>
  <c r="M927" i="11"/>
  <c r="M970" i="11"/>
  <c r="M1013" i="11"/>
  <c r="M1046" i="11"/>
  <c r="M1075" i="11"/>
  <c r="M1103" i="11"/>
  <c r="M1131" i="11"/>
  <c r="M1157" i="11"/>
  <c r="M1173" i="11"/>
  <c r="M1189" i="11"/>
  <c r="M1205" i="11"/>
  <c r="M1221" i="11"/>
  <c r="M219" i="11"/>
  <c r="M445" i="11"/>
  <c r="M616" i="11"/>
  <c r="M686" i="11"/>
  <c r="M744" i="11"/>
  <c r="M800" i="11"/>
  <c r="M854" i="11"/>
  <c r="M897" i="11"/>
  <c r="M939" i="11"/>
  <c r="M982" i="11"/>
  <c r="M1025" i="11"/>
  <c r="M1055" i="11"/>
  <c r="M1083" i="11"/>
  <c r="M1113" i="11"/>
  <c r="M1141" i="11"/>
  <c r="M1162" i="11"/>
  <c r="M1178" i="11"/>
  <c r="M1194" i="11"/>
  <c r="M1210" i="11"/>
  <c r="M1226" i="11"/>
  <c r="M331" i="11"/>
  <c r="M504" i="11"/>
  <c r="M649" i="11"/>
  <c r="M706" i="11"/>
  <c r="M762" i="11"/>
  <c r="M820" i="11"/>
  <c r="M869" i="11"/>
  <c r="M911" i="11"/>
  <c r="M954" i="11"/>
  <c r="M997" i="11"/>
  <c r="M1035" i="11"/>
  <c r="M1065" i="11"/>
  <c r="M1093" i="11"/>
  <c r="M1121" i="11"/>
  <c r="M1150" i="11"/>
  <c r="M1167" i="11"/>
  <c r="M1183" i="11"/>
  <c r="M1199" i="11"/>
  <c r="M1215" i="11"/>
  <c r="M1231" i="11"/>
  <c r="M1247" i="11"/>
  <c r="M1263" i="11"/>
  <c r="M1279" i="11"/>
  <c r="M1295" i="11"/>
  <c r="M1311" i="11"/>
  <c r="M1327" i="11"/>
  <c r="M1343" i="11"/>
  <c r="M1359" i="11"/>
  <c r="M1375" i="11"/>
  <c r="M1391" i="11"/>
  <c r="M1407" i="11"/>
  <c r="M1423" i="11"/>
  <c r="M1439" i="11"/>
  <c r="M1455" i="11"/>
  <c r="M1471" i="11"/>
  <c r="M1487" i="11"/>
  <c r="M1503" i="11"/>
  <c r="M1519" i="11"/>
  <c r="M1535" i="11"/>
  <c r="M1551" i="11"/>
  <c r="M1567" i="11"/>
  <c r="M1583" i="11"/>
  <c r="M177" i="11"/>
  <c r="M424" i="11"/>
  <c r="M594" i="11"/>
  <c r="M680" i="11"/>
  <c r="M736" i="11"/>
  <c r="M793" i="11"/>
  <c r="M849" i="11"/>
  <c r="M891" i="11"/>
  <c r="M934" i="11"/>
  <c r="M977" i="11"/>
  <c r="M1019" i="11"/>
  <c r="M1051" i="11"/>
  <c r="M1081" i="11"/>
  <c r="M1109" i="11"/>
  <c r="M1137" i="11"/>
  <c r="M1160" i="11"/>
  <c r="M1176" i="11"/>
  <c r="M1192" i="11"/>
  <c r="M1208" i="11"/>
  <c r="M1224" i="11"/>
  <c r="M1240" i="11"/>
  <c r="M1256" i="11"/>
  <c r="M1272" i="11"/>
  <c r="M1288" i="11"/>
  <c r="M1304" i="11"/>
  <c r="M1320" i="11"/>
  <c r="M1336" i="11"/>
  <c r="M1352" i="11"/>
  <c r="M1368" i="11"/>
  <c r="M1384" i="11"/>
  <c r="M1400" i="11"/>
  <c r="M1416" i="11"/>
  <c r="M1432" i="11"/>
  <c r="M1448" i="11"/>
  <c r="M1464" i="11"/>
  <c r="M1480" i="11"/>
  <c r="M1496" i="11"/>
  <c r="M1512" i="11"/>
  <c r="M1528" i="11"/>
  <c r="M1544" i="11"/>
  <c r="M1560" i="11"/>
  <c r="M1576" i="11"/>
  <c r="M1592" i="11"/>
  <c r="M1254" i="11"/>
  <c r="M1286" i="11"/>
  <c r="M1318" i="11"/>
  <c r="M1350" i="11"/>
  <c r="M1382" i="11"/>
  <c r="M1414" i="11"/>
  <c r="M1446" i="11"/>
  <c r="M1478" i="11"/>
  <c r="M1510" i="11"/>
  <c r="M1542" i="11"/>
  <c r="M1574" i="11"/>
  <c r="M1600" i="11"/>
  <c r="M1616" i="11"/>
  <c r="M1632" i="11"/>
  <c r="M1648" i="11"/>
  <c r="M1664" i="11"/>
  <c r="M1680" i="11"/>
  <c r="M1696" i="11"/>
  <c r="M1712" i="11"/>
  <c r="M1728" i="11"/>
  <c r="M1744" i="11"/>
  <c r="M1760" i="11"/>
  <c r="M1776" i="11"/>
  <c r="M1792" i="11"/>
  <c r="M1808" i="11"/>
  <c r="M1824" i="11"/>
  <c r="M1840" i="11"/>
  <c r="M1856" i="11"/>
  <c r="M1872" i="11"/>
  <c r="M11" i="11"/>
  <c r="M43" i="11"/>
  <c r="M75" i="11"/>
  <c r="M29" i="11"/>
  <c r="M61" i="11"/>
  <c r="M93" i="11"/>
  <c r="M125" i="11"/>
  <c r="M157" i="11"/>
  <c r="M189" i="11"/>
  <c r="M221" i="11"/>
  <c r="M253" i="11"/>
  <c r="M285" i="11"/>
  <c r="M317" i="11"/>
  <c r="M339" i="11"/>
  <c r="M355" i="11"/>
  <c r="M371" i="11"/>
  <c r="M387" i="11"/>
  <c r="M403" i="11"/>
  <c r="M419" i="11"/>
  <c r="M435" i="11"/>
  <c r="M451" i="11"/>
  <c r="M467" i="11"/>
  <c r="M483" i="11"/>
  <c r="M499" i="11"/>
  <c r="M515" i="11"/>
  <c r="M531" i="11"/>
  <c r="M547" i="11"/>
  <c r="M563" i="11"/>
  <c r="M579" i="11"/>
  <c r="M595" i="11"/>
  <c r="M611" i="11"/>
  <c r="M627" i="11"/>
  <c r="M643" i="11"/>
  <c r="M659" i="11"/>
  <c r="M675" i="11"/>
  <c r="M691" i="11"/>
  <c r="M707" i="11"/>
  <c r="M723" i="11"/>
  <c r="M739" i="11"/>
  <c r="M755" i="11"/>
  <c r="M771" i="11"/>
  <c r="M787" i="11"/>
  <c r="M803" i="11"/>
  <c r="M819" i="11"/>
  <c r="M835" i="11"/>
  <c r="M23" i="11"/>
  <c r="M83" i="11"/>
  <c r="M127" i="11"/>
  <c r="M169" i="11"/>
  <c r="M211" i="11"/>
  <c r="M255" i="11"/>
  <c r="M297" i="11"/>
  <c r="M332" i="11"/>
  <c r="M356" i="11"/>
  <c r="M377" i="11"/>
  <c r="M398" i="11"/>
  <c r="M420" i="11"/>
  <c r="M441" i="11"/>
  <c r="M462" i="11"/>
  <c r="M484" i="11"/>
  <c r="M505" i="11"/>
  <c r="M526" i="11"/>
  <c r="M548" i="11"/>
  <c r="M569" i="11"/>
  <c r="M590" i="11"/>
  <c r="M612" i="11"/>
  <c r="M9" i="11"/>
  <c r="M73" i="11"/>
  <c r="M119" i="11"/>
  <c r="M161" i="11"/>
  <c r="M203" i="11"/>
  <c r="M247" i="11"/>
  <c r="M289" i="11"/>
  <c r="M327" i="11"/>
  <c r="M352" i="11"/>
  <c r="M373" i="11"/>
  <c r="M394" i="11"/>
  <c r="M416" i="11"/>
  <c r="M437" i="11"/>
  <c r="M458" i="11"/>
  <c r="M480" i="11"/>
  <c r="M501" i="11"/>
  <c r="M522" i="11"/>
  <c r="M544" i="11"/>
  <c r="M565" i="11"/>
  <c r="M586" i="11"/>
  <c r="M608" i="11"/>
  <c r="M629" i="11"/>
  <c r="M31" i="11"/>
  <c r="M89" i="11"/>
  <c r="M131" i="11"/>
  <c r="M175" i="11"/>
  <c r="M217" i="11"/>
  <c r="M259" i="11"/>
  <c r="M303" i="11"/>
  <c r="M336" i="11"/>
  <c r="M358" i="11"/>
  <c r="M380" i="11"/>
  <c r="M401" i="11"/>
  <c r="M422" i="11"/>
  <c r="M444" i="11"/>
  <c r="M465" i="11"/>
  <c r="M486" i="11"/>
  <c r="M508" i="11"/>
  <c r="M529" i="11"/>
  <c r="M550" i="11"/>
  <c r="M572" i="11"/>
  <c r="M593" i="11"/>
  <c r="M614" i="11"/>
  <c r="M636" i="11"/>
  <c r="M657" i="11"/>
  <c r="M678" i="11"/>
  <c r="M700" i="11"/>
  <c r="M721" i="11"/>
  <c r="M742" i="11"/>
  <c r="M764" i="11"/>
  <c r="M785" i="11"/>
  <c r="M806" i="11"/>
  <c r="M828" i="11"/>
  <c r="M848" i="11"/>
  <c r="M864" i="11"/>
  <c r="M880" i="11"/>
  <c r="M896" i="11"/>
  <c r="M912" i="11"/>
  <c r="M928" i="11"/>
  <c r="M944" i="11"/>
  <c r="M960" i="11"/>
  <c r="M976" i="11"/>
  <c r="M992" i="11"/>
  <c r="M1008" i="11"/>
  <c r="M1024" i="11"/>
  <c r="M1040" i="11"/>
  <c r="M1056" i="11"/>
  <c r="M1072" i="11"/>
  <c r="M1088" i="11"/>
  <c r="M1104" i="11"/>
  <c r="M1120" i="11"/>
  <c r="M1136" i="11"/>
  <c r="M1152" i="11"/>
  <c r="M187" i="11"/>
  <c r="M344" i="11"/>
  <c r="M429" i="11"/>
  <c r="M514" i="11"/>
  <c r="M600" i="11"/>
  <c r="M653" i="11"/>
  <c r="M681" i="11"/>
  <c r="M709" i="11"/>
  <c r="M738" i="11"/>
  <c r="M766" i="11"/>
  <c r="M794" i="11"/>
  <c r="M824" i="11"/>
  <c r="M850" i="11"/>
  <c r="M871" i="11"/>
  <c r="M893" i="11"/>
  <c r="M914" i="11"/>
  <c r="M935" i="11"/>
  <c r="M957" i="11"/>
  <c r="M978" i="11"/>
  <c r="M999" i="11"/>
  <c r="M1021" i="11"/>
  <c r="M1042" i="11"/>
  <c r="M1063" i="11"/>
  <c r="M1085" i="11"/>
  <c r="M1106" i="11"/>
  <c r="M1127" i="11"/>
  <c r="M1149" i="11"/>
  <c r="M37" i="11"/>
  <c r="M165" i="11"/>
  <c r="M293" i="11"/>
  <c r="M375" i="11"/>
  <c r="M439" i="11"/>
  <c r="M503" i="11"/>
  <c r="M567" i="11"/>
  <c r="M631" i="11"/>
  <c r="M695" i="11"/>
  <c r="M759" i="11"/>
  <c r="M823" i="11"/>
  <c r="M137" i="11"/>
  <c r="M307" i="11"/>
  <c r="M404" i="11"/>
  <c r="M489" i="11"/>
  <c r="M574" i="11"/>
  <c r="M87" i="11"/>
  <c r="M257" i="11"/>
  <c r="M378" i="11"/>
  <c r="M464" i="11"/>
  <c r="M549" i="11"/>
  <c r="M634" i="11"/>
  <c r="M185" i="11"/>
  <c r="M342" i="11"/>
  <c r="M428" i="11"/>
  <c r="M513" i="11"/>
  <c r="M598" i="11"/>
  <c r="M684" i="11"/>
  <c r="M769" i="11"/>
  <c r="M852" i="11"/>
  <c r="M916" i="11"/>
  <c r="M980" i="11"/>
  <c r="M1044" i="11"/>
  <c r="M1108" i="11"/>
  <c r="M231" i="11"/>
  <c r="M621" i="11"/>
  <c r="M745" i="11"/>
  <c r="M855" i="11"/>
  <c r="M941" i="11"/>
  <c r="M1026" i="11"/>
  <c r="M1111" i="11"/>
  <c r="M241" i="11"/>
  <c r="M456" i="11"/>
  <c r="M626" i="11"/>
  <c r="M690" i="11"/>
  <c r="M746" i="11"/>
  <c r="M804" i="11"/>
  <c r="M857" i="11"/>
  <c r="M899" i="11"/>
  <c r="M942" i="11"/>
  <c r="M985" i="11"/>
  <c r="M1027" i="11"/>
  <c r="M482" i="11"/>
  <c r="M698" i="11"/>
  <c r="M813" i="11"/>
  <c r="M906" i="11"/>
  <c r="M991" i="11"/>
  <c r="M1061" i="11"/>
  <c r="M1118" i="11"/>
  <c r="M1165" i="11"/>
  <c r="M1197" i="11"/>
  <c r="M33" i="11"/>
  <c r="M530" i="11"/>
  <c r="M714" i="11"/>
  <c r="M829" i="11"/>
  <c r="M918" i="11"/>
  <c r="M1003" i="11"/>
  <c r="M1070" i="11"/>
  <c r="M1126" i="11"/>
  <c r="M1170" i="11"/>
  <c r="M1202" i="11"/>
  <c r="M167" i="11"/>
  <c r="M589" i="11"/>
  <c r="M734" i="11"/>
  <c r="M847" i="11"/>
  <c r="M933" i="11"/>
  <c r="M1018" i="11"/>
  <c r="M1078" i="11"/>
  <c r="M1135" i="11"/>
  <c r="M1175" i="11"/>
  <c r="M1207" i="11"/>
  <c r="M1239" i="11"/>
  <c r="M1271" i="11"/>
  <c r="M1303" i="11"/>
  <c r="M1335" i="11"/>
  <c r="M1367" i="11"/>
  <c r="M1399" i="11"/>
  <c r="M1431" i="11"/>
  <c r="M1463" i="11"/>
  <c r="M1495" i="11"/>
  <c r="M1527" i="11"/>
  <c r="M1559" i="11"/>
  <c r="M1591" i="11"/>
  <c r="M509" i="11"/>
  <c r="M708" i="11"/>
  <c r="M821" i="11"/>
  <c r="M913" i="11"/>
  <c r="M998" i="11"/>
  <c r="M1066" i="11"/>
  <c r="M1123" i="11"/>
  <c r="M1168" i="11"/>
  <c r="M1200" i="11"/>
  <c r="M1232" i="11"/>
  <c r="M1264" i="11"/>
  <c r="M1296" i="11"/>
  <c r="M1328" i="11"/>
  <c r="M1360" i="11"/>
  <c r="M1392" i="11"/>
  <c r="M1424" i="11"/>
  <c r="M1456" i="11"/>
  <c r="M1488" i="11"/>
  <c r="M1520" i="11"/>
  <c r="M1552" i="11"/>
  <c r="M1584" i="11"/>
  <c r="M1270" i="11"/>
  <c r="M1334" i="11"/>
  <c r="M1398" i="11"/>
  <c r="M1462" i="11"/>
  <c r="M1526" i="11"/>
  <c r="M1590" i="11"/>
  <c r="M1624" i="11"/>
  <c r="M1656" i="11"/>
  <c r="M1688" i="11"/>
  <c r="M1720" i="11"/>
  <c r="M1752" i="11"/>
  <c r="M1784" i="11"/>
  <c r="M1816" i="11"/>
  <c r="M1848" i="11"/>
  <c r="M1880" i="11"/>
  <c r="M1900" i="11"/>
  <c r="M1916" i="11"/>
  <c r="M1932" i="11"/>
  <c r="M1948" i="11"/>
  <c r="M1964" i="11"/>
  <c r="M1980" i="11"/>
  <c r="M1996" i="11"/>
  <c r="M2012" i="11"/>
  <c r="M2028" i="11"/>
  <c r="M2044" i="11"/>
  <c r="M2060" i="11"/>
  <c r="M2076" i="11"/>
  <c r="M1234" i="11"/>
  <c r="M1266" i="11"/>
  <c r="M1298" i="11"/>
  <c r="M1330" i="11"/>
  <c r="M1362" i="11"/>
  <c r="M1394" i="11"/>
  <c r="M1426" i="11"/>
  <c r="M1458" i="11"/>
  <c r="M1490" i="11"/>
  <c r="M1522" i="11"/>
  <c r="M1554" i="11"/>
  <c r="M1586" i="11"/>
  <c r="M1606" i="11"/>
  <c r="M1622" i="11"/>
  <c r="M1638" i="11"/>
  <c r="M1654" i="11"/>
  <c r="M1670" i="11"/>
  <c r="M1686" i="11"/>
  <c r="M19" i="11"/>
  <c r="M69" i="11"/>
  <c r="M197" i="11"/>
  <c r="M323" i="11"/>
  <c r="M391" i="11"/>
  <c r="M455" i="11"/>
  <c r="M519" i="11"/>
  <c r="M583" i="11"/>
  <c r="M647" i="11"/>
  <c r="M711" i="11"/>
  <c r="M775" i="11"/>
  <c r="M839" i="11"/>
  <c r="M179" i="11"/>
  <c r="M340" i="11"/>
  <c r="M425" i="11"/>
  <c r="M510" i="11"/>
  <c r="M596" i="11"/>
  <c r="M129" i="11"/>
  <c r="M299" i="11"/>
  <c r="M400" i="11"/>
  <c r="M485" i="11"/>
  <c r="M570" i="11"/>
  <c r="M47" i="11"/>
  <c r="M227" i="11"/>
  <c r="M364" i="11"/>
  <c r="M449" i="11"/>
  <c r="M534" i="11"/>
  <c r="M620" i="11"/>
  <c r="M705" i="11"/>
  <c r="M790" i="11"/>
  <c r="M868" i="11"/>
  <c r="M932" i="11"/>
  <c r="M996" i="11"/>
  <c r="M1060" i="11"/>
  <c r="M1124" i="11"/>
  <c r="M365" i="11"/>
  <c r="M660" i="11"/>
  <c r="M773" i="11"/>
  <c r="M877" i="11"/>
  <c r="M962" i="11"/>
  <c r="M1047" i="11"/>
  <c r="M1133" i="11"/>
  <c r="M349" i="11"/>
  <c r="M520" i="11"/>
  <c r="M654" i="11"/>
  <c r="M712" i="11"/>
  <c r="M768" i="11"/>
  <c r="M825" i="11"/>
  <c r="M873" i="11"/>
  <c r="M915" i="11"/>
  <c r="M958" i="11"/>
  <c r="M1001" i="11"/>
  <c r="M209" i="11"/>
  <c r="M610" i="11"/>
  <c r="M741" i="11"/>
  <c r="M853" i="11"/>
  <c r="M938" i="11"/>
  <c r="M1023" i="11"/>
  <c r="M1082" i="11"/>
  <c r="M1139" i="11"/>
  <c r="M1177" i="11"/>
  <c r="M1209" i="11"/>
  <c r="M305" i="11"/>
  <c r="M644" i="11"/>
  <c r="M757" i="11"/>
  <c r="M865" i="11"/>
  <c r="M950" i="11"/>
  <c r="M1034" i="11"/>
  <c r="M1091" i="11"/>
  <c r="M1147" i="11"/>
  <c r="M1182" i="11"/>
  <c r="M1214" i="11"/>
  <c r="M376" i="11"/>
  <c r="M664" i="11"/>
  <c r="M777" i="11"/>
  <c r="M879" i="11"/>
  <c r="M965" i="11"/>
  <c r="M1043" i="11"/>
  <c r="M1099" i="11"/>
  <c r="M1155" i="11"/>
  <c r="M1187" i="11"/>
  <c r="M1219" i="11"/>
  <c r="M1251" i="11"/>
  <c r="M1283" i="11"/>
  <c r="M1315" i="11"/>
  <c r="M1347" i="11"/>
  <c r="M1379" i="11"/>
  <c r="M1411" i="11"/>
  <c r="M1443" i="11"/>
  <c r="M1475" i="11"/>
  <c r="M1507" i="11"/>
  <c r="M1539" i="11"/>
  <c r="M1571" i="11"/>
  <c r="M263" i="11"/>
  <c r="M633" i="11"/>
  <c r="M750" i="11"/>
  <c r="M859" i="11"/>
  <c r="M945" i="11"/>
  <c r="M1030" i="11"/>
  <c r="M1087" i="11"/>
  <c r="M1145" i="11"/>
  <c r="M1180" i="11"/>
  <c r="M1212" i="11"/>
  <c r="M1244" i="11"/>
  <c r="M1276" i="11"/>
  <c r="M1308" i="11"/>
  <c r="M1340" i="11"/>
  <c r="M1372" i="11"/>
  <c r="M1404" i="11"/>
  <c r="M1436" i="11"/>
  <c r="M1468" i="11"/>
  <c r="M1500" i="11"/>
  <c r="M1532" i="11"/>
  <c r="M1564" i="11"/>
  <c r="M1230" i="11"/>
  <c r="M1294" i="11"/>
  <c r="M1358" i="11"/>
  <c r="M1422" i="11"/>
  <c r="M1486" i="11"/>
  <c r="M1550" i="11"/>
  <c r="M1604" i="11"/>
  <c r="M1636" i="11"/>
  <c r="M1668" i="11"/>
  <c r="M1700" i="11"/>
  <c r="M1732" i="11"/>
  <c r="M1764" i="11"/>
  <c r="M1796" i="11"/>
  <c r="M1828" i="11"/>
  <c r="M1860" i="11"/>
  <c r="M1888" i="11"/>
  <c r="M1904" i="11"/>
  <c r="M1920" i="11"/>
  <c r="M1936" i="11"/>
  <c r="M1952" i="11"/>
  <c r="M1968" i="11"/>
  <c r="M1984" i="11"/>
  <c r="M2000" i="11"/>
  <c r="M2016" i="11"/>
  <c r="M2032" i="11"/>
  <c r="M2048" i="11"/>
  <c r="M2064" i="11"/>
  <c r="M2080" i="11"/>
  <c r="M1242" i="11"/>
  <c r="M1274" i="11"/>
  <c r="M1306" i="11"/>
  <c r="M1338" i="11"/>
  <c r="M1370" i="11"/>
  <c r="M1402" i="11"/>
  <c r="M1434" i="11"/>
  <c r="M1466" i="11"/>
  <c r="M1498" i="11"/>
  <c r="M1530" i="11"/>
  <c r="M1562" i="11"/>
  <c r="M1594" i="11"/>
  <c r="M1610" i="11"/>
  <c r="M1626" i="11"/>
  <c r="M1642" i="11"/>
  <c r="M1658" i="11"/>
  <c r="M1674" i="11"/>
  <c r="M1690" i="11"/>
  <c r="M1706" i="11"/>
  <c r="M1722" i="11"/>
  <c r="M1738" i="11"/>
  <c r="M1754" i="11"/>
  <c r="M1770" i="11"/>
  <c r="M1786" i="11"/>
  <c r="M1802" i="11"/>
  <c r="M1818" i="11"/>
  <c r="M1834" i="11"/>
  <c r="M1850" i="11"/>
  <c r="M1866" i="11"/>
  <c r="M1882" i="11"/>
  <c r="M1898" i="11"/>
  <c r="M1914" i="11"/>
  <c r="M1930" i="11"/>
  <c r="M1946" i="11"/>
  <c r="M1962" i="11"/>
  <c r="M1978" i="11"/>
  <c r="M1994" i="11"/>
  <c r="M2010" i="11"/>
  <c r="M2026" i="11"/>
  <c r="M2042" i="11"/>
  <c r="M1229" i="11"/>
  <c r="M1293" i="11"/>
  <c r="M1357" i="11"/>
  <c r="M1421" i="11"/>
  <c r="M1485" i="11"/>
  <c r="M1549" i="11"/>
  <c r="M1603" i="11"/>
  <c r="M1635" i="11"/>
  <c r="M1667" i="11"/>
  <c r="M1699" i="11"/>
  <c r="M1731" i="11"/>
  <c r="M1763" i="11"/>
  <c r="M1795" i="11"/>
  <c r="M1827" i="11"/>
  <c r="M1859" i="11"/>
  <c r="M1891" i="11"/>
  <c r="M1923" i="11"/>
  <c r="M1955" i="11"/>
  <c r="M1987" i="11"/>
  <c r="M2019" i="11"/>
  <c r="M2051" i="11"/>
  <c r="M2074" i="11"/>
  <c r="M2094" i="11"/>
  <c r="M2110" i="11"/>
  <c r="M2126" i="11"/>
  <c r="M2142" i="11"/>
  <c r="M2158" i="11"/>
  <c r="M2174" i="11"/>
  <c r="M2190" i="11"/>
  <c r="M2206" i="11"/>
  <c r="M2222" i="11"/>
  <c r="M2238" i="11"/>
  <c r="M2254" i="11"/>
  <c r="M1281" i="11"/>
  <c r="M1345" i="11"/>
  <c r="M1409" i="11"/>
  <c r="M1473" i="11"/>
  <c r="M1537" i="11"/>
  <c r="M1597" i="11"/>
  <c r="M1629" i="11"/>
  <c r="M1661" i="11"/>
  <c r="M1693" i="11"/>
  <c r="M1725" i="11"/>
  <c r="M1757" i="11"/>
  <c r="M1789" i="11"/>
  <c r="M1821" i="11"/>
  <c r="M1853" i="11"/>
  <c r="M1885" i="11"/>
  <c r="M1917" i="11"/>
  <c r="M1949" i="11"/>
  <c r="M1981" i="11"/>
  <c r="M2013" i="11"/>
  <c r="M2045" i="11"/>
  <c r="M2070" i="11"/>
  <c r="M2091" i="11"/>
  <c r="M2107" i="11"/>
  <c r="M2123" i="11"/>
  <c r="M2139" i="11"/>
  <c r="M2155" i="11"/>
  <c r="M2171" i="11"/>
  <c r="M2187" i="11"/>
  <c r="M2203" i="11"/>
  <c r="M2219" i="11"/>
  <c r="M2235" i="11"/>
  <c r="M2251" i="11"/>
  <c r="M2267" i="11"/>
  <c r="M2283" i="11"/>
  <c r="M2299" i="11"/>
  <c r="M2315" i="11"/>
  <c r="M2331" i="11"/>
  <c r="M2347" i="11"/>
  <c r="M2363" i="11"/>
  <c r="M2379" i="11"/>
  <c r="M2395" i="11"/>
  <c r="M2411" i="11"/>
  <c r="M2427" i="11"/>
  <c r="M2443" i="11"/>
  <c r="M2459" i="11"/>
  <c r="M2475" i="11"/>
  <c r="M2491" i="11"/>
  <c r="M2507" i="11"/>
  <c r="M2523" i="11"/>
  <c r="M2539" i="11"/>
  <c r="M2555" i="11"/>
  <c r="M2571" i="11"/>
  <c r="M2587" i="11"/>
  <c r="M2603" i="11"/>
  <c r="M2619" i="11"/>
  <c r="M2635" i="11"/>
  <c r="M2651" i="11"/>
  <c r="M2667" i="11"/>
  <c r="M2683" i="11"/>
  <c r="M2699" i="11"/>
  <c r="M2715" i="11"/>
  <c r="M2731" i="11"/>
  <c r="M2747" i="11"/>
  <c r="M2763" i="11"/>
  <c r="M2779" i="11"/>
  <c r="M2795" i="11"/>
  <c r="M2811" i="11"/>
  <c r="M2827" i="11"/>
  <c r="M2843" i="11"/>
  <c r="M2859" i="11"/>
  <c r="M2875" i="11"/>
  <c r="M2891" i="11"/>
  <c r="M2907" i="11"/>
  <c r="M2923" i="11"/>
  <c r="M2939" i="11"/>
  <c r="M2955" i="11"/>
  <c r="M2971" i="11"/>
  <c r="M2987" i="11"/>
  <c r="M3003" i="11"/>
  <c r="M3019" i="11"/>
  <c r="M3035" i="11"/>
  <c r="M3051" i="11"/>
  <c r="M3067" i="11"/>
  <c r="M3083" i="11"/>
  <c r="M3099" i="11"/>
  <c r="M1269" i="11"/>
  <c r="M1333" i="11"/>
  <c r="M1397" i="11"/>
  <c r="M1461" i="11"/>
  <c r="M1525" i="11"/>
  <c r="M1589" i="11"/>
  <c r="M1623" i="11"/>
  <c r="M1655" i="11"/>
  <c r="M1687" i="11"/>
  <c r="M1719" i="11"/>
  <c r="M1751" i="11"/>
  <c r="M1783" i="11"/>
  <c r="M1815" i="11"/>
  <c r="M1847" i="11"/>
  <c r="M1879" i="11"/>
  <c r="M1911" i="11"/>
  <c r="M1943" i="11"/>
  <c r="M1975" i="11"/>
  <c r="M2007" i="11"/>
  <c r="M2039" i="11"/>
  <c r="M2066" i="11"/>
  <c r="M2087" i="11"/>
  <c r="M2104" i="11"/>
  <c r="M2120" i="11"/>
  <c r="M2136" i="11"/>
  <c r="M2152" i="11"/>
  <c r="M2168" i="11"/>
  <c r="M2184" i="11"/>
  <c r="M2200" i="11"/>
  <c r="M2216" i="11"/>
  <c r="M2232" i="11"/>
  <c r="M2248" i="11"/>
  <c r="M1289" i="11"/>
  <c r="M1353" i="11"/>
  <c r="M1417" i="11"/>
  <c r="M1481" i="11"/>
  <c r="M1545" i="11"/>
  <c r="M1601" i="11"/>
  <c r="M1633" i="11"/>
  <c r="M1665" i="11"/>
  <c r="M1697" i="11"/>
  <c r="M1729" i="11"/>
  <c r="M1761" i="11"/>
  <c r="M1793" i="11"/>
  <c r="M1825" i="11"/>
  <c r="M1857" i="11"/>
  <c r="M1889" i="11"/>
  <c r="M1921" i="11"/>
  <c r="M1953" i="11"/>
  <c r="M1985" i="11"/>
  <c r="M2017" i="11"/>
  <c r="M2049" i="11"/>
  <c r="M2073" i="11"/>
  <c r="M2093" i="11"/>
  <c r="M2109" i="11"/>
  <c r="M2125" i="11"/>
  <c r="M2141" i="11"/>
  <c r="M2157" i="11"/>
  <c r="M2173" i="11"/>
  <c r="M2189" i="11"/>
  <c r="M2205" i="11"/>
  <c r="M2221" i="11"/>
  <c r="M2237" i="11"/>
  <c r="M2253" i="11"/>
  <c r="M2269" i="11"/>
  <c r="M2285" i="11"/>
  <c r="M2301" i="11"/>
  <c r="M2317" i="11"/>
  <c r="M2333" i="11"/>
  <c r="M2349" i="11"/>
  <c r="M2365" i="11"/>
  <c r="M2381" i="11"/>
  <c r="M2397" i="11"/>
  <c r="M2413" i="11"/>
  <c r="M2429" i="11"/>
  <c r="M2445" i="11"/>
  <c r="M2461" i="11"/>
  <c r="M2477" i="11"/>
  <c r="M2493" i="11"/>
  <c r="M2509" i="11"/>
  <c r="M2525" i="11"/>
  <c r="M2541" i="11"/>
  <c r="M2557" i="11"/>
  <c r="M2573" i="11"/>
  <c r="M2589" i="11"/>
  <c r="M2605" i="11"/>
  <c r="M2621" i="11"/>
  <c r="M2637" i="11"/>
  <c r="M2653" i="11"/>
  <c r="M2669" i="11"/>
  <c r="M2685" i="11"/>
  <c r="M2701" i="11"/>
  <c r="M2717" i="11"/>
  <c r="M2733" i="11"/>
  <c r="M2749" i="11"/>
  <c r="M2765" i="11"/>
  <c r="M2781" i="11"/>
  <c r="M2797" i="11"/>
  <c r="M2813" i="11"/>
  <c r="M2829" i="11"/>
  <c r="M2845" i="11"/>
  <c r="M2861" i="11"/>
  <c r="M2877" i="11"/>
  <c r="M2893" i="11"/>
  <c r="M2909" i="11"/>
  <c r="M2925" i="11"/>
  <c r="M2941" i="11"/>
  <c r="M2957" i="11"/>
  <c r="M2973" i="11"/>
  <c r="M2989" i="11"/>
  <c r="M3005" i="11"/>
  <c r="M3021" i="11"/>
  <c r="M3037" i="11"/>
  <c r="M3053" i="11"/>
  <c r="M3069" i="11"/>
  <c r="M3085" i="11"/>
  <c r="M2270" i="11"/>
  <c r="M2302" i="11"/>
  <c r="M2334" i="11"/>
  <c r="M2366" i="11"/>
  <c r="M2398" i="11"/>
  <c r="M2430" i="11"/>
  <c r="M2462" i="11"/>
  <c r="M2494" i="11"/>
  <c r="M2526" i="11"/>
  <c r="M2558" i="11"/>
  <c r="M2590" i="11"/>
  <c r="M2622" i="11"/>
  <c r="M2654" i="11"/>
  <c r="M2686" i="11"/>
  <c r="M2718" i="11"/>
  <c r="M2750" i="11"/>
  <c r="M2782" i="11"/>
  <c r="M2814" i="11"/>
  <c r="M2846" i="11"/>
  <c r="M2878" i="11"/>
  <c r="M2910" i="11"/>
  <c r="M2942" i="11"/>
  <c r="M2974" i="11"/>
  <c r="M3006" i="11"/>
  <c r="M3038" i="11"/>
  <c r="M3070" i="11"/>
  <c r="M3098" i="11"/>
  <c r="M3116" i="11"/>
  <c r="M3132" i="11"/>
  <c r="M3148" i="11"/>
  <c r="M3164" i="11"/>
  <c r="M3180" i="11"/>
  <c r="M3196" i="11"/>
  <c r="M3212" i="11"/>
  <c r="M3228" i="11"/>
  <c r="M3244" i="11"/>
  <c r="M3260" i="11"/>
  <c r="M3276" i="11"/>
  <c r="M3292" i="11"/>
  <c r="M3308" i="11"/>
  <c r="M3324" i="11"/>
  <c r="M3340" i="11"/>
  <c r="M2256" i="11"/>
  <c r="M2288" i="11"/>
  <c r="M2320" i="11"/>
  <c r="M2352" i="11"/>
  <c r="M2384" i="11"/>
  <c r="M2416" i="11"/>
  <c r="M2448" i="11"/>
  <c r="M2480" i="11"/>
  <c r="M2512" i="11"/>
  <c r="M2544" i="11"/>
  <c r="M2576" i="11"/>
  <c r="M2608" i="11"/>
  <c r="M2640" i="11"/>
  <c r="M2672" i="11"/>
  <c r="M2704" i="11"/>
  <c r="M2736" i="11"/>
  <c r="M2768" i="11"/>
  <c r="M2800" i="11"/>
  <c r="M2832" i="11"/>
  <c r="M2864" i="11"/>
  <c r="M2896" i="11"/>
  <c r="M2928" i="11"/>
  <c r="M2960" i="11"/>
  <c r="M2992" i="11"/>
  <c r="M3024" i="11"/>
  <c r="M3056" i="11"/>
  <c r="M3088" i="11"/>
  <c r="M3109" i="11"/>
  <c r="M3125" i="11"/>
  <c r="M3141" i="11"/>
  <c r="M51" i="11"/>
  <c r="M101" i="11"/>
  <c r="M229" i="11"/>
  <c r="M343" i="11"/>
  <c r="M407" i="11"/>
  <c r="M471" i="11"/>
  <c r="M535" i="11"/>
  <c r="M599" i="11"/>
  <c r="M663" i="11"/>
  <c r="M727" i="11"/>
  <c r="M791" i="11"/>
  <c r="M39" i="11"/>
  <c r="M223" i="11"/>
  <c r="M361" i="11"/>
  <c r="M446" i="11"/>
  <c r="M532" i="11"/>
  <c r="M617" i="11"/>
  <c r="M171" i="11"/>
  <c r="M335" i="11"/>
  <c r="M421" i="11"/>
  <c r="M506" i="11"/>
  <c r="M592" i="11"/>
  <c r="M99" i="11"/>
  <c r="M271" i="11"/>
  <c r="M385" i="11"/>
  <c r="M470" i="11"/>
  <c r="M556" i="11"/>
  <c r="M641" i="11"/>
  <c r="M726" i="11"/>
  <c r="M812" i="11"/>
  <c r="M884" i="11"/>
  <c r="M948" i="11"/>
  <c r="M1012" i="11"/>
  <c r="M1076" i="11"/>
  <c r="M1140" i="11"/>
  <c r="M450" i="11"/>
  <c r="M688" i="11"/>
  <c r="M802" i="11"/>
  <c r="M898" i="11"/>
  <c r="M983" i="11"/>
  <c r="M1069" i="11"/>
  <c r="M65" i="11"/>
  <c r="M370" i="11"/>
  <c r="M541" i="11"/>
  <c r="M661" i="11"/>
  <c r="M718" i="11"/>
  <c r="M776" i="11"/>
  <c r="M832" i="11"/>
  <c r="M878" i="11"/>
  <c r="M921" i="11"/>
  <c r="M963" i="11"/>
  <c r="M1006" i="11"/>
  <c r="M295" i="11"/>
  <c r="M642" i="11"/>
  <c r="M756" i="11"/>
  <c r="M863" i="11"/>
  <c r="M949" i="11"/>
  <c r="M1033" i="11"/>
  <c r="M1089" i="11"/>
  <c r="M1146" i="11"/>
  <c r="M1181" i="11"/>
  <c r="M1213" i="11"/>
  <c r="M360" i="11"/>
  <c r="M658" i="11"/>
  <c r="M772" i="11"/>
  <c r="M875" i="11"/>
  <c r="M961" i="11"/>
  <c r="M1041" i="11"/>
  <c r="M1098" i="11"/>
  <c r="M1154" i="11"/>
  <c r="M1186" i="11"/>
  <c r="M1218" i="11"/>
  <c r="M418" i="11"/>
  <c r="M677" i="11"/>
  <c r="M792" i="11"/>
  <c r="M890" i="11"/>
  <c r="M975" i="11"/>
  <c r="M1050" i="11"/>
  <c r="M1107" i="11"/>
  <c r="M1159" i="11"/>
  <c r="M1191" i="11"/>
  <c r="M1223" i="11"/>
  <c r="M1255" i="11"/>
  <c r="M1287" i="11"/>
  <c r="M1319" i="11"/>
  <c r="M1351" i="11"/>
  <c r="M1383" i="11"/>
  <c r="M1415" i="11"/>
  <c r="M1447" i="11"/>
  <c r="M1479" i="11"/>
  <c r="M1511" i="11"/>
  <c r="M1543" i="11"/>
  <c r="M1575" i="11"/>
  <c r="M337" i="11"/>
  <c r="M650" i="11"/>
  <c r="M765" i="11"/>
  <c r="M870" i="11"/>
  <c r="M955" i="11"/>
  <c r="M1038" i="11"/>
  <c r="M1094" i="11"/>
  <c r="M1151" i="11"/>
  <c r="M1184" i="11"/>
  <c r="M1216" i="11"/>
  <c r="M1248" i="11"/>
  <c r="M1280" i="11"/>
  <c r="M1312" i="11"/>
  <c r="M1344" i="11"/>
  <c r="M1376" i="11"/>
  <c r="M1408" i="11"/>
  <c r="M1440" i="11"/>
  <c r="M1472" i="11"/>
  <c r="M1504" i="11"/>
  <c r="M1536" i="11"/>
  <c r="M1568" i="11"/>
  <c r="M1238" i="11"/>
  <c r="M1302" i="11"/>
  <c r="M1366" i="11"/>
  <c r="M1430" i="11"/>
  <c r="M1494" i="11"/>
  <c r="M1558" i="11"/>
  <c r="M1608" i="11"/>
  <c r="M1640" i="11"/>
  <c r="M1672" i="11"/>
  <c r="M1704" i="11"/>
  <c r="M1736" i="11"/>
  <c r="M1768" i="11"/>
  <c r="M1800" i="11"/>
  <c r="M1832" i="11"/>
  <c r="M1864" i="11"/>
  <c r="M1892" i="11"/>
  <c r="M1908" i="11"/>
  <c r="M1924" i="11"/>
  <c r="M1940" i="11"/>
  <c r="M1956" i="11"/>
  <c r="M1972" i="11"/>
  <c r="M1988" i="11"/>
  <c r="M2004" i="11"/>
  <c r="M2020" i="11"/>
  <c r="M2036" i="11"/>
  <c r="M2052" i="11"/>
  <c r="M2068" i="11"/>
  <c r="M2084" i="11"/>
  <c r="M1250" i="11"/>
  <c r="M1282" i="11"/>
  <c r="M1314" i="11"/>
  <c r="M1346" i="11"/>
  <c r="M1378" i="11"/>
  <c r="M1410" i="11"/>
  <c r="M1442" i="11"/>
  <c r="M1474" i="11"/>
  <c r="M1506" i="11"/>
  <c r="M1538" i="11"/>
  <c r="M1570" i="11"/>
  <c r="M1598" i="11"/>
  <c r="M1614" i="11"/>
  <c r="M1630" i="11"/>
  <c r="M1646" i="11"/>
  <c r="M1662" i="11"/>
  <c r="M1678" i="11"/>
  <c r="M1694" i="11"/>
  <c r="M1710" i="11"/>
  <c r="M1726" i="11"/>
  <c r="M1742" i="11"/>
  <c r="M1758" i="11"/>
  <c r="M1774" i="11"/>
  <c r="M1790" i="11"/>
  <c r="M1806" i="11"/>
  <c r="M1822" i="11"/>
  <c r="M1838" i="11"/>
  <c r="M1854" i="11"/>
  <c r="M359" i="11"/>
  <c r="M615" i="11"/>
  <c r="M95" i="11"/>
  <c r="M553" i="11"/>
  <c r="M442" i="11"/>
  <c r="M313" i="11"/>
  <c r="M662" i="11"/>
  <c r="M964" i="11"/>
  <c r="M536" i="11"/>
  <c r="M1005" i="11"/>
  <c r="M605" i="11"/>
  <c r="M851" i="11"/>
  <c r="M1022" i="11"/>
  <c r="M895" i="11"/>
  <c r="M1161" i="11"/>
  <c r="M701" i="11"/>
  <c r="M1062" i="11"/>
  <c r="M81" i="11"/>
  <c r="M922" i="11"/>
  <c r="M1171" i="11"/>
  <c r="M1299" i="11"/>
  <c r="M1427" i="11"/>
  <c r="M1555" i="11"/>
  <c r="M808" i="11"/>
  <c r="M1115" i="11"/>
  <c r="M1260" i="11"/>
  <c r="M1388" i="11"/>
  <c r="M1516" i="11"/>
  <c r="M1326" i="11"/>
  <c r="M1582" i="11"/>
  <c r="M1716" i="11"/>
  <c r="M1844" i="11"/>
  <c r="M1928" i="11"/>
  <c r="M1992" i="11"/>
  <c r="M2056" i="11"/>
  <c r="M1290" i="11"/>
  <c r="M1418" i="11"/>
  <c r="M1546" i="11"/>
  <c r="M1634" i="11"/>
  <c r="M1698" i="11"/>
  <c r="M1730" i="11"/>
  <c r="M1762" i="11"/>
  <c r="M1794" i="11"/>
  <c r="M1826" i="11"/>
  <c r="M1858" i="11"/>
  <c r="M1878" i="11"/>
  <c r="M1902" i="11"/>
  <c r="M1922" i="11"/>
  <c r="M1942" i="11"/>
  <c r="M1966" i="11"/>
  <c r="M1986" i="11"/>
  <c r="M2006" i="11"/>
  <c r="M2030" i="11"/>
  <c r="M2050" i="11"/>
  <c r="M1277" i="11"/>
  <c r="M1373" i="11"/>
  <c r="M1453" i="11"/>
  <c r="M1533" i="11"/>
  <c r="M1611" i="11"/>
  <c r="M1651" i="11"/>
  <c r="M1691" i="11"/>
  <c r="M1739" i="11"/>
  <c r="M1779" i="11"/>
  <c r="M1819" i="11"/>
  <c r="M1867" i="11"/>
  <c r="M1907" i="11"/>
  <c r="M1947" i="11"/>
  <c r="M1995" i="11"/>
  <c r="M2035" i="11"/>
  <c r="M2069" i="11"/>
  <c r="M2098" i="11"/>
  <c r="M2118" i="11"/>
  <c r="M2138" i="11"/>
  <c r="M2162" i="11"/>
  <c r="M2182" i="11"/>
  <c r="M2202" i="11"/>
  <c r="M2226" i="11"/>
  <c r="M2246" i="11"/>
  <c r="M1265" i="11"/>
  <c r="M1361" i="11"/>
  <c r="M1441" i="11"/>
  <c r="M1521" i="11"/>
  <c r="M1605" i="11"/>
  <c r="M1645" i="11"/>
  <c r="M1685" i="11"/>
  <c r="M1733" i="11"/>
  <c r="M1773" i="11"/>
  <c r="M1813" i="11"/>
  <c r="M1861" i="11"/>
  <c r="M1901" i="11"/>
  <c r="M1941" i="11"/>
  <c r="M1989" i="11"/>
  <c r="M2029" i="11"/>
  <c r="M2065" i="11"/>
  <c r="M2095" i="11"/>
  <c r="M2115" i="11"/>
  <c r="M2135" i="11"/>
  <c r="M2159" i="11"/>
  <c r="M2179" i="11"/>
  <c r="M2199" i="11"/>
  <c r="M2223" i="11"/>
  <c r="M2243" i="11"/>
  <c r="M2263" i="11"/>
  <c r="M2287" i="11"/>
  <c r="M2307" i="11"/>
  <c r="M2327" i="11"/>
  <c r="M2351" i="11"/>
  <c r="M2371" i="11"/>
  <c r="M2391" i="11"/>
  <c r="M2415" i="11"/>
  <c r="M2435" i="11"/>
  <c r="M2455" i="11"/>
  <c r="M2479" i="11"/>
  <c r="M2499" i="11"/>
  <c r="M2519" i="11"/>
  <c r="M2543" i="11"/>
  <c r="M2563" i="11"/>
  <c r="M2583" i="11"/>
  <c r="M2607" i="11"/>
  <c r="M2627" i="11"/>
  <c r="M2647" i="11"/>
  <c r="M2671" i="11"/>
  <c r="M2691" i="11"/>
  <c r="M2711" i="11"/>
  <c r="M2735" i="11"/>
  <c r="M2755" i="11"/>
  <c r="M2775" i="11"/>
  <c r="M2799" i="11"/>
  <c r="M2819" i="11"/>
  <c r="M2839" i="11"/>
  <c r="M2863" i="11"/>
  <c r="M2883" i="11"/>
  <c r="M2903" i="11"/>
  <c r="M2927" i="11"/>
  <c r="M2947" i="11"/>
  <c r="M2967" i="11"/>
  <c r="M2991" i="11"/>
  <c r="M3011" i="11"/>
  <c r="M3031" i="11"/>
  <c r="M3055" i="11"/>
  <c r="M3075" i="11"/>
  <c r="M3095" i="11"/>
  <c r="M1285" i="11"/>
  <c r="M1365" i="11"/>
  <c r="M1445" i="11"/>
  <c r="M1541" i="11"/>
  <c r="M1607" i="11"/>
  <c r="M1647" i="11"/>
  <c r="M1695" i="11"/>
  <c r="M1735" i="11"/>
  <c r="M1775" i="11"/>
  <c r="M1823" i="11"/>
  <c r="M1863" i="11"/>
  <c r="M1903" i="11"/>
  <c r="M1951" i="11"/>
  <c r="M1991" i="11"/>
  <c r="M2031" i="11"/>
  <c r="M2071" i="11"/>
  <c r="M2096" i="11"/>
  <c r="M2116" i="11"/>
  <c r="M2140" i="11"/>
  <c r="M2160" i="11"/>
  <c r="M2180" i="11"/>
  <c r="M2204" i="11"/>
  <c r="M2224" i="11"/>
  <c r="M2244" i="11"/>
  <c r="M1305" i="11"/>
  <c r="M1385" i="11"/>
  <c r="M1465" i="11"/>
  <c r="M1561" i="11"/>
  <c r="M1617" i="11"/>
  <c r="M1657" i="11"/>
  <c r="M1705" i="11"/>
  <c r="M1745" i="11"/>
  <c r="M1785" i="11"/>
  <c r="M1833" i="11"/>
  <c r="M1873" i="11"/>
  <c r="M1913" i="11"/>
  <c r="M1961" i="11"/>
  <c r="M2001" i="11"/>
  <c r="M2041" i="11"/>
  <c r="M2078" i="11"/>
  <c r="M2101" i="11"/>
  <c r="M2121" i="11"/>
  <c r="M2145" i="11"/>
  <c r="M2165" i="11"/>
  <c r="M2185" i="11"/>
  <c r="M2209" i="11"/>
  <c r="M2229" i="11"/>
  <c r="M2249" i="11"/>
  <c r="M2273" i="11"/>
  <c r="M2293" i="11"/>
  <c r="M2313" i="11"/>
  <c r="M2337" i="11"/>
  <c r="M2357" i="11"/>
  <c r="M2377" i="11"/>
  <c r="M2401" i="11"/>
  <c r="M2421" i="11"/>
  <c r="M2441" i="11"/>
  <c r="M2465" i="11"/>
  <c r="M2485" i="11"/>
  <c r="M2505" i="11"/>
  <c r="M2529" i="11"/>
  <c r="M2549" i="11"/>
  <c r="M2569" i="11"/>
  <c r="M2593" i="11"/>
  <c r="M2613" i="11"/>
  <c r="M2633" i="11"/>
  <c r="M2657" i="11"/>
  <c r="M2677" i="11"/>
  <c r="M2697" i="11"/>
  <c r="M2721" i="11"/>
  <c r="M2741" i="11"/>
  <c r="M2761" i="11"/>
  <c r="M2785" i="11"/>
  <c r="M2805" i="11"/>
  <c r="M2825" i="11"/>
  <c r="M2849" i="11"/>
  <c r="M2869" i="11"/>
  <c r="M2889" i="11"/>
  <c r="M2913" i="11"/>
  <c r="M2933" i="11"/>
  <c r="M2953" i="11"/>
  <c r="M2977" i="11"/>
  <c r="M2997" i="11"/>
  <c r="M3017" i="11"/>
  <c r="M3041" i="11"/>
  <c r="M3061" i="11"/>
  <c r="M3081" i="11"/>
  <c r="M2278" i="11"/>
  <c r="M2318" i="11"/>
  <c r="M2358" i="11"/>
  <c r="M2406" i="11"/>
  <c r="M2446" i="11"/>
  <c r="M2486" i="11"/>
  <c r="M2534" i="11"/>
  <c r="M2574" i="11"/>
  <c r="M2614" i="11"/>
  <c r="M2662" i="11"/>
  <c r="M2702" i="11"/>
  <c r="M2742" i="11"/>
  <c r="M2790" i="11"/>
  <c r="M2830" i="11"/>
  <c r="M2870" i="11"/>
  <c r="M2918" i="11"/>
  <c r="M2958" i="11"/>
  <c r="M2998" i="11"/>
  <c r="M3046" i="11"/>
  <c r="M3086" i="11"/>
  <c r="M3112" i="11"/>
  <c r="M3136" i="11"/>
  <c r="M3156" i="11"/>
  <c r="M3176" i="11"/>
  <c r="M3200" i="11"/>
  <c r="M3220" i="11"/>
  <c r="M3240" i="11"/>
  <c r="M3264" i="11"/>
  <c r="M3284" i="11"/>
  <c r="M3304" i="11"/>
  <c r="M3328" i="11"/>
  <c r="M3348" i="11"/>
  <c r="M2280" i="11"/>
  <c r="M2328" i="11"/>
  <c r="M2368" i="11"/>
  <c r="M2408" i="11"/>
  <c r="M2456" i="11"/>
  <c r="M2496" i="11"/>
  <c r="M2536" i="11"/>
  <c r="M2584" i="11"/>
  <c r="M2624" i="11"/>
  <c r="M2664" i="11"/>
  <c r="M2712" i="11"/>
  <c r="M2752" i="11"/>
  <c r="M2792" i="11"/>
  <c r="M2840" i="11"/>
  <c r="M2880" i="11"/>
  <c r="M2920" i="11"/>
  <c r="M2968" i="11"/>
  <c r="M3008" i="11"/>
  <c r="M3048" i="11"/>
  <c r="M3094" i="11"/>
  <c r="M3117" i="11"/>
  <c r="M3137" i="11"/>
  <c r="M3157" i="11"/>
  <c r="M3173" i="11"/>
  <c r="M3189" i="11"/>
  <c r="M3205" i="11"/>
  <c r="M3221" i="11"/>
  <c r="M3237" i="11"/>
  <c r="M3253" i="11"/>
  <c r="M3269" i="11"/>
  <c r="M3285" i="11"/>
  <c r="M3301" i="11"/>
  <c r="M3317" i="11"/>
  <c r="M3333" i="11"/>
  <c r="M3349" i="11"/>
  <c r="M2258" i="11"/>
  <c r="M2290" i="11"/>
  <c r="M2322" i="11"/>
  <c r="M2354" i="11"/>
  <c r="M2386" i="11"/>
  <c r="M2418" i="11"/>
  <c r="M2450" i="11"/>
  <c r="M2482" i="11"/>
  <c r="M2514" i="11"/>
  <c r="M2546" i="11"/>
  <c r="M2578" i="11"/>
  <c r="M2610" i="11"/>
  <c r="M2642" i="11"/>
  <c r="M2674" i="11"/>
  <c r="M2706" i="11"/>
  <c r="M2738" i="11"/>
  <c r="M2770" i="11"/>
  <c r="M2802" i="11"/>
  <c r="M2834" i="11"/>
  <c r="M2866" i="11"/>
  <c r="M2898" i="11"/>
  <c r="M2930" i="11"/>
  <c r="M2962" i="11"/>
  <c r="M2994" i="11"/>
  <c r="M3026" i="11"/>
  <c r="M3058" i="11"/>
  <c r="M3090" i="11"/>
  <c r="M3110" i="11"/>
  <c r="M3126" i="11"/>
  <c r="M3142" i="11"/>
  <c r="M3158" i="11"/>
  <c r="M3174" i="11"/>
  <c r="M3190" i="11"/>
  <c r="M3206" i="11"/>
  <c r="M3222" i="11"/>
  <c r="M3238" i="11"/>
  <c r="M3254" i="11"/>
  <c r="M3270" i="11"/>
  <c r="M3286" i="11"/>
  <c r="M3302" i="11"/>
  <c r="M3318" i="11"/>
  <c r="M3334" i="11"/>
  <c r="M3350" i="11"/>
  <c r="M3366" i="11"/>
  <c r="M3382" i="11"/>
  <c r="M5" i="11"/>
  <c r="M423" i="11"/>
  <c r="M679" i="11"/>
  <c r="M265" i="11"/>
  <c r="M25" i="11"/>
  <c r="M528" i="11"/>
  <c r="M406" i="11"/>
  <c r="M748" i="11"/>
  <c r="M1028" i="11"/>
  <c r="M717" i="11"/>
  <c r="M1090" i="11"/>
  <c r="M682" i="11"/>
  <c r="M894" i="11"/>
  <c r="M440" i="11"/>
  <c r="M981" i="11"/>
  <c r="M1193" i="11"/>
  <c r="M814" i="11"/>
  <c r="M1119" i="11"/>
  <c r="M546" i="11"/>
  <c r="M1007" i="11"/>
  <c r="M1203" i="11"/>
  <c r="M1331" i="11"/>
  <c r="M1459" i="11"/>
  <c r="M1587" i="11"/>
  <c r="M902" i="11"/>
  <c r="M1164" i="11"/>
  <c r="M1292" i="11"/>
  <c r="M1420" i="11"/>
  <c r="M1548" i="11"/>
  <c r="M1390" i="11"/>
  <c r="M1620" i="11"/>
  <c r="M1748" i="11"/>
  <c r="M1876" i="11"/>
  <c r="M1944" i="11"/>
  <c r="M2008" i="11"/>
  <c r="M2072" i="11"/>
  <c r="M1322" i="11"/>
  <c r="M1450" i="11"/>
  <c r="M1578" i="11"/>
  <c r="M1650" i="11"/>
  <c r="M1702" i="11"/>
  <c r="M1734" i="11"/>
  <c r="M1766" i="11"/>
  <c r="M1798" i="11"/>
  <c r="M1830" i="11"/>
  <c r="M1862" i="11"/>
  <c r="M1886" i="11"/>
  <c r="M1906" i="11"/>
  <c r="M1926" i="11"/>
  <c r="M1950" i="11"/>
  <c r="M1970" i="11"/>
  <c r="M1990" i="11"/>
  <c r="M2014" i="11"/>
  <c r="M2034" i="11"/>
  <c r="M2054" i="11"/>
  <c r="M1309" i="11"/>
  <c r="M1389" i="11"/>
  <c r="M1469" i="11"/>
  <c r="M1565" i="11"/>
  <c r="M1619" i="11"/>
  <c r="M1659" i="11"/>
  <c r="M1707" i="11"/>
  <c r="M1747" i="11"/>
  <c r="M1787" i="11"/>
  <c r="M1835" i="11"/>
  <c r="M1875" i="11"/>
  <c r="M1915" i="11"/>
  <c r="M1963" i="11"/>
  <c r="M2003" i="11"/>
  <c r="M2043" i="11"/>
  <c r="M2079" i="11"/>
  <c r="M2102" i="11"/>
  <c r="M2122" i="11"/>
  <c r="M2146" i="11"/>
  <c r="M2166" i="11"/>
  <c r="M2186" i="11"/>
  <c r="M2210" i="11"/>
  <c r="M2230" i="11"/>
  <c r="M2250" i="11"/>
  <c r="M1297" i="11"/>
  <c r="M1377" i="11"/>
  <c r="M1457" i="11"/>
  <c r="M1553" i="11"/>
  <c r="M1613" i="11"/>
  <c r="M1653" i="11"/>
  <c r="M1701" i="11"/>
  <c r="M1741" i="11"/>
  <c r="M1781" i="11"/>
  <c r="M1829" i="11"/>
  <c r="M1869" i="11"/>
  <c r="M1909" i="11"/>
  <c r="M1957" i="11"/>
  <c r="M1997" i="11"/>
  <c r="M2037" i="11"/>
  <c r="M2075" i="11"/>
  <c r="M2099" i="11"/>
  <c r="M2119" i="11"/>
  <c r="M2143" i="11"/>
  <c r="M2163" i="11"/>
  <c r="M2183" i="11"/>
  <c r="M2207" i="11"/>
  <c r="M2227" i="11"/>
  <c r="M2247" i="11"/>
  <c r="M2271" i="11"/>
  <c r="M2291" i="11"/>
  <c r="M2311" i="11"/>
  <c r="M2335" i="11"/>
  <c r="M2355" i="11"/>
  <c r="M2375" i="11"/>
  <c r="M2399" i="11"/>
  <c r="M2419" i="11"/>
  <c r="M2439" i="11"/>
  <c r="M2463" i="11"/>
  <c r="M2483" i="11"/>
  <c r="M2503" i="11"/>
  <c r="M2527" i="11"/>
  <c r="M2547" i="11"/>
  <c r="M2567" i="11"/>
  <c r="M2591" i="11"/>
  <c r="M2611" i="11"/>
  <c r="M2631" i="11"/>
  <c r="M2655" i="11"/>
  <c r="M2675" i="11"/>
  <c r="M2695" i="11"/>
  <c r="M2719" i="11"/>
  <c r="M2739" i="11"/>
  <c r="M2759" i="11"/>
  <c r="M2783" i="11"/>
  <c r="M2803" i="11"/>
  <c r="M2823" i="11"/>
  <c r="M2847" i="11"/>
  <c r="M2867" i="11"/>
  <c r="M2887" i="11"/>
  <c r="M2911" i="11"/>
  <c r="M2931" i="11"/>
  <c r="M2951" i="11"/>
  <c r="M2975" i="11"/>
  <c r="M2995" i="11"/>
  <c r="M3015" i="11"/>
  <c r="M3039" i="11"/>
  <c r="M3059" i="11"/>
  <c r="M3079" i="11"/>
  <c r="M3103" i="11"/>
  <c r="M1301" i="11"/>
  <c r="M1381" i="11"/>
  <c r="M1477" i="11"/>
  <c r="M1557" i="11"/>
  <c r="M1615" i="11"/>
  <c r="M1663" i="11"/>
  <c r="M1703" i="11"/>
  <c r="M1743" i="11"/>
  <c r="M1791" i="11"/>
  <c r="M1831" i="11"/>
  <c r="M1871" i="11"/>
  <c r="M1919" i="11"/>
  <c r="M1959" i="11"/>
  <c r="M1999" i="11"/>
  <c r="M2047" i="11"/>
  <c r="M2077" i="11"/>
  <c r="M2100" i="11"/>
  <c r="M2124" i="11"/>
  <c r="M2144" i="11"/>
  <c r="M2164" i="11"/>
  <c r="M2188" i="11"/>
  <c r="M2208" i="11"/>
  <c r="M2228" i="11"/>
  <c r="M1241" i="11"/>
  <c r="M1321" i="11"/>
  <c r="M1401" i="11"/>
  <c r="M1497" i="11"/>
  <c r="M1577" i="11"/>
  <c r="M1625" i="11"/>
  <c r="M1673" i="11"/>
  <c r="M1713" i="11"/>
  <c r="M1753" i="11"/>
  <c r="M1801" i="11"/>
  <c r="M1841" i="11"/>
  <c r="M1881" i="11"/>
  <c r="M1929" i="11"/>
  <c r="M1969" i="11"/>
  <c r="M2009" i="11"/>
  <c r="M2057" i="11"/>
  <c r="M2083" i="11"/>
  <c r="M2105" i="11"/>
  <c r="M2129" i="11"/>
  <c r="M2149" i="11"/>
  <c r="M2169" i="11"/>
  <c r="M2193" i="11"/>
  <c r="M2213" i="11"/>
  <c r="M2233" i="11"/>
  <c r="M2257" i="11"/>
  <c r="M2277" i="11"/>
  <c r="M2297" i="11"/>
  <c r="M2321" i="11"/>
  <c r="M2341" i="11"/>
  <c r="M2361" i="11"/>
  <c r="M2385" i="11"/>
  <c r="M2405" i="11"/>
  <c r="M2425" i="11"/>
  <c r="M2449" i="11"/>
  <c r="M2469" i="11"/>
  <c r="M2489" i="11"/>
  <c r="M2513" i="11"/>
  <c r="M2533" i="11"/>
  <c r="M2553" i="11"/>
  <c r="M2577" i="11"/>
  <c r="M2597" i="11"/>
  <c r="M2617" i="11"/>
  <c r="M2641" i="11"/>
  <c r="M2661" i="11"/>
  <c r="M2681" i="11"/>
  <c r="M2705" i="11"/>
  <c r="M2725" i="11"/>
  <c r="M2745" i="11"/>
  <c r="M2769" i="11"/>
  <c r="M2789" i="11"/>
  <c r="M2809" i="11"/>
  <c r="M2833" i="11"/>
  <c r="M2853" i="11"/>
  <c r="M2873" i="11"/>
  <c r="M2897" i="11"/>
  <c r="M2917" i="11"/>
  <c r="M2937" i="11"/>
  <c r="M2961" i="11"/>
  <c r="M2981" i="11"/>
  <c r="M3001" i="11"/>
  <c r="M3025" i="11"/>
  <c r="M3045" i="11"/>
  <c r="M3065" i="11"/>
  <c r="M3089" i="11"/>
  <c r="M2286" i="11"/>
  <c r="M2326" i="11"/>
  <c r="M2374" i="11"/>
  <c r="M2414" i="11"/>
  <c r="M2454" i="11"/>
  <c r="M2502" i="11"/>
  <c r="M2542" i="11"/>
  <c r="M2582" i="11"/>
  <c r="M2630" i="11"/>
  <c r="M2670" i="11"/>
  <c r="M2710" i="11"/>
  <c r="M2758" i="11"/>
  <c r="M2798" i="11"/>
  <c r="M2838" i="11"/>
  <c r="M2886" i="11"/>
  <c r="M2926" i="11"/>
  <c r="M2966" i="11"/>
  <c r="M3014" i="11"/>
  <c r="M3054" i="11"/>
  <c r="M3093" i="11"/>
  <c r="M3120" i="11"/>
  <c r="M3140" i="11"/>
  <c r="M3160" i="11"/>
  <c r="M3184" i="11"/>
  <c r="M3204" i="11"/>
  <c r="M3224" i="11"/>
  <c r="M3248" i="11"/>
  <c r="M3268" i="11"/>
  <c r="M3288" i="11"/>
  <c r="M3312" i="11"/>
  <c r="M3332" i="11"/>
  <c r="M3352" i="11"/>
  <c r="M2296" i="11"/>
  <c r="M2336" i="11"/>
  <c r="M2376" i="11"/>
  <c r="M2424" i="11"/>
  <c r="M2464" i="11"/>
  <c r="M2504" i="11"/>
  <c r="M2552" i="11"/>
  <c r="M2592" i="11"/>
  <c r="M2632" i="11"/>
  <c r="M2680" i="11"/>
  <c r="M2720" i="11"/>
  <c r="M2760" i="11"/>
  <c r="M2808" i="11"/>
  <c r="M2848" i="11"/>
  <c r="M2888" i="11"/>
  <c r="M2936" i="11"/>
  <c r="M2976" i="11"/>
  <c r="M3016" i="11"/>
  <c r="M3064" i="11"/>
  <c r="M3100" i="11"/>
  <c r="M3121" i="11"/>
  <c r="M3145" i="11"/>
  <c r="M3161" i="11"/>
  <c r="M3177" i="11"/>
  <c r="M3193" i="11"/>
  <c r="M3209" i="11"/>
  <c r="M3225" i="11"/>
  <c r="M3241" i="11"/>
  <c r="M3257" i="11"/>
  <c r="M3273" i="11"/>
  <c r="M3289" i="11"/>
  <c r="M3305" i="11"/>
  <c r="M3321" i="11"/>
  <c r="M3337" i="11"/>
  <c r="M3353" i="11"/>
  <c r="M2266" i="11"/>
  <c r="M2298" i="11"/>
  <c r="M2330" i="11"/>
  <c r="M2362" i="11"/>
  <c r="M2394" i="11"/>
  <c r="M2426" i="11"/>
  <c r="M2458" i="11"/>
  <c r="M2490" i="11"/>
  <c r="M2522" i="11"/>
  <c r="M2554" i="11"/>
  <c r="M2586" i="11"/>
  <c r="M2618" i="11"/>
  <c r="M2650" i="11"/>
  <c r="M2682" i="11"/>
  <c r="M2714" i="11"/>
  <c r="M2746" i="11"/>
  <c r="M2778" i="11"/>
  <c r="M2810" i="11"/>
  <c r="M2842" i="11"/>
  <c r="M2874" i="11"/>
  <c r="M2906" i="11"/>
  <c r="M2938" i="11"/>
  <c r="M2970" i="11"/>
  <c r="M3002" i="11"/>
  <c r="M3034" i="11"/>
  <c r="M3066" i="11"/>
  <c r="M3096" i="11"/>
  <c r="M3114" i="11"/>
  <c r="M3130" i="11"/>
  <c r="M3146" i="11"/>
  <c r="M3162" i="11"/>
  <c r="M3178" i="11"/>
  <c r="M3194" i="11"/>
  <c r="M3210" i="11"/>
  <c r="M3226" i="11"/>
  <c r="M3242" i="11"/>
  <c r="M3258" i="11"/>
  <c r="M3274" i="11"/>
  <c r="M3290" i="11"/>
  <c r="M3306" i="11"/>
  <c r="M3322" i="11"/>
  <c r="M3338" i="11"/>
  <c r="M3354" i="11"/>
  <c r="M3370" i="11"/>
  <c r="M3386" i="11"/>
  <c r="M3402" i="11"/>
  <c r="M3418" i="11"/>
  <c r="M551" i="11"/>
  <c r="M468" i="11"/>
  <c r="M143" i="11"/>
  <c r="M900" i="11"/>
  <c r="M919" i="11"/>
  <c r="M797" i="11"/>
  <c r="M798" i="11"/>
  <c r="M488" i="11"/>
  <c r="M1198" i="11"/>
  <c r="M1129" i="11"/>
  <c r="M1395" i="11"/>
  <c r="M693" i="11"/>
  <c r="M1228" i="11"/>
  <c r="M1484" i="11"/>
  <c r="M1518" i="11"/>
  <c r="M1812" i="11"/>
  <c r="M1976" i="11"/>
  <c r="M1258" i="11"/>
  <c r="M1514" i="11"/>
  <c r="M1682" i="11"/>
  <c r="M1750" i="11"/>
  <c r="M1814" i="11"/>
  <c r="M1874" i="11"/>
  <c r="M1918" i="11"/>
  <c r="M1958" i="11"/>
  <c r="M2002" i="11"/>
  <c r="M2046" i="11"/>
  <c r="M1341" i="11"/>
  <c r="M1517" i="11"/>
  <c r="M1643" i="11"/>
  <c r="M1723" i="11"/>
  <c r="M1811" i="11"/>
  <c r="M1899" i="11"/>
  <c r="M1979" i="11"/>
  <c r="M2063" i="11"/>
  <c r="M2114" i="11"/>
  <c r="M2154" i="11"/>
  <c r="M2198" i="11"/>
  <c r="M2242" i="11"/>
  <c r="M1329" i="11"/>
  <c r="M1505" i="11"/>
  <c r="M1637" i="11"/>
  <c r="M1717" i="11"/>
  <c r="M1805" i="11"/>
  <c r="M1893" i="11"/>
  <c r="M1973" i="11"/>
  <c r="M2059" i="11"/>
  <c r="M2111" i="11"/>
  <c r="M2151" i="11"/>
  <c r="M2195" i="11"/>
  <c r="M2239" i="11"/>
  <c r="M2279" i="11"/>
  <c r="M2323" i="11"/>
  <c r="M2367" i="11"/>
  <c r="M2407" i="11"/>
  <c r="M2451" i="11"/>
  <c r="M2495" i="11"/>
  <c r="M2535" i="11"/>
  <c r="M2579" i="11"/>
  <c r="M2623" i="11"/>
  <c r="M2663" i="11"/>
  <c r="M2707" i="11"/>
  <c r="M2751" i="11"/>
  <c r="M2791" i="11"/>
  <c r="M2835" i="11"/>
  <c r="M2879" i="11"/>
  <c r="M2919" i="11"/>
  <c r="M2963" i="11"/>
  <c r="M3007" i="11"/>
  <c r="M3047" i="11"/>
  <c r="M3091" i="11"/>
  <c r="M1349" i="11"/>
  <c r="M1509" i="11"/>
  <c r="M1639" i="11"/>
  <c r="M1727" i="11"/>
  <c r="M1807" i="11"/>
  <c r="M1895" i="11"/>
  <c r="M1983" i="11"/>
  <c r="M2061" i="11"/>
  <c r="M2112" i="11"/>
  <c r="M2156" i="11"/>
  <c r="M2196" i="11"/>
  <c r="M2240" i="11"/>
  <c r="M1369" i="11"/>
  <c r="M1529" i="11"/>
  <c r="M1649" i="11"/>
  <c r="M1737" i="11"/>
  <c r="M1817" i="11"/>
  <c r="M1905" i="11"/>
  <c r="M1993" i="11"/>
  <c r="M2067" i="11"/>
  <c r="M2117" i="11"/>
  <c r="M2161" i="11"/>
  <c r="M2201" i="11"/>
  <c r="M2245" i="11"/>
  <c r="M2289" i="11"/>
  <c r="M2329" i="11"/>
  <c r="M2373" i="11"/>
  <c r="M2417" i="11"/>
  <c r="M2457" i="11"/>
  <c r="M2501" i="11"/>
  <c r="M2545" i="11"/>
  <c r="M2585" i="11"/>
  <c r="M2629" i="11"/>
  <c r="M2673" i="11"/>
  <c r="M2713" i="11"/>
  <c r="M2757" i="11"/>
  <c r="M2801" i="11"/>
  <c r="M2841" i="11"/>
  <c r="M2885" i="11"/>
  <c r="M2929" i="11"/>
  <c r="M2969" i="11"/>
  <c r="M3013" i="11"/>
  <c r="M3057" i="11"/>
  <c r="M2262" i="11"/>
  <c r="M2350" i="11"/>
  <c r="M2438" i="11"/>
  <c r="M2518" i="11"/>
  <c r="M2606" i="11"/>
  <c r="M2694" i="11"/>
  <c r="M2774" i="11"/>
  <c r="M2862" i="11"/>
  <c r="M2950" i="11"/>
  <c r="M3030" i="11"/>
  <c r="M3108" i="11"/>
  <c r="M3152" i="11"/>
  <c r="M3192" i="11"/>
  <c r="M3236" i="11"/>
  <c r="M3280" i="11"/>
  <c r="M3320" i="11"/>
  <c r="M2272" i="11"/>
  <c r="M2360" i="11"/>
  <c r="M2440" i="11"/>
  <c r="M2528" i="11"/>
  <c r="M2616" i="11"/>
  <c r="M2696" i="11"/>
  <c r="M2784" i="11"/>
  <c r="M2872" i="11"/>
  <c r="M2952" i="11"/>
  <c r="M3040" i="11"/>
  <c r="M3113" i="11"/>
  <c r="M3153" i="11"/>
  <c r="M3185" i="11"/>
  <c r="M3217" i="11"/>
  <c r="M3249" i="11"/>
  <c r="M3281" i="11"/>
  <c r="M3313" i="11"/>
  <c r="M3345" i="11"/>
  <c r="M2282" i="11"/>
  <c r="M2346" i="11"/>
  <c r="M2410" i="11"/>
  <c r="M2474" i="11"/>
  <c r="M2538" i="11"/>
  <c r="M2602" i="11"/>
  <c r="M2666" i="11"/>
  <c r="M2730" i="11"/>
  <c r="M2794" i="11"/>
  <c r="M2858" i="11"/>
  <c r="M2922" i="11"/>
  <c r="M2986" i="11"/>
  <c r="M3050" i="11"/>
  <c r="M3106" i="11"/>
  <c r="M3138" i="11"/>
  <c r="M3170" i="11"/>
  <c r="M3202" i="11"/>
  <c r="M3234" i="11"/>
  <c r="M3266" i="11"/>
  <c r="M3298" i="11"/>
  <c r="M3330" i="11"/>
  <c r="M3362" i="11"/>
  <c r="M3394" i="11"/>
  <c r="M3414" i="11"/>
  <c r="M3434" i="11"/>
  <c r="M3450" i="11"/>
  <c r="M3466" i="11"/>
  <c r="M3482" i="11"/>
  <c r="M3498" i="11"/>
  <c r="M2284" i="11"/>
  <c r="M2316" i="11"/>
  <c r="M2348" i="11"/>
  <c r="M2380" i="11"/>
  <c r="M2412" i="11"/>
  <c r="M2444" i="11"/>
  <c r="M2476" i="11"/>
  <c r="M2508" i="11"/>
  <c r="M2540" i="11"/>
  <c r="M2572" i="11"/>
  <c r="M2604" i="11"/>
  <c r="M2636" i="11"/>
  <c r="M2668" i="11"/>
  <c r="M2700" i="11"/>
  <c r="M2732" i="11"/>
  <c r="M2764" i="11"/>
  <c r="M2796" i="11"/>
  <c r="M2828" i="11"/>
  <c r="M2860" i="11"/>
  <c r="M2892" i="11"/>
  <c r="M2924" i="11"/>
  <c r="M2956" i="11"/>
  <c r="M2988" i="11"/>
  <c r="M3020" i="11"/>
  <c r="M3052" i="11"/>
  <c r="M3084" i="11"/>
  <c r="M3107" i="11"/>
  <c r="M3123" i="11"/>
  <c r="M3139" i="11"/>
  <c r="M3155" i="11"/>
  <c r="M3171" i="11"/>
  <c r="M3187" i="11"/>
  <c r="M3203" i="11"/>
  <c r="M3219" i="11"/>
  <c r="M3235" i="11"/>
  <c r="M3251" i="11"/>
  <c r="M3267" i="11"/>
  <c r="M3283" i="11"/>
  <c r="M3299" i="11"/>
  <c r="M3315" i="11"/>
  <c r="M3331" i="11"/>
  <c r="M3347" i="11"/>
  <c r="M3363" i="11"/>
  <c r="M3379" i="11"/>
  <c r="M3395" i="11"/>
  <c r="M3411" i="11"/>
  <c r="M3427" i="11"/>
  <c r="M3443" i="11"/>
  <c r="M3459" i="11"/>
  <c r="M3475" i="11"/>
  <c r="M3491" i="11"/>
  <c r="M3368" i="11"/>
  <c r="M3400" i="11"/>
  <c r="M3432" i="11"/>
  <c r="M3464" i="11"/>
  <c r="M3496" i="11"/>
  <c r="M3385" i="11"/>
  <c r="M3417" i="11"/>
  <c r="M3449" i="11"/>
  <c r="M3481" i="11"/>
  <c r="M3372" i="11"/>
  <c r="M3404" i="11"/>
  <c r="M3436" i="11"/>
  <c r="M3468" i="11"/>
  <c r="M3500" i="11"/>
  <c r="M3389" i="11"/>
  <c r="M3421" i="11"/>
  <c r="M3453" i="11"/>
  <c r="M3485" i="11"/>
  <c r="M268" i="11"/>
  <c r="M76" i="11"/>
  <c r="M238" i="11"/>
  <c r="M62" i="11"/>
  <c r="M280" i="11"/>
  <c r="M216" i="11"/>
  <c r="M152" i="11"/>
  <c r="M88" i="11"/>
  <c r="M24" i="11"/>
  <c r="M298" i="11"/>
  <c r="M234" i="11"/>
  <c r="M170" i="11"/>
  <c r="M106" i="11"/>
  <c r="M42" i="11"/>
  <c r="M236" i="11"/>
  <c r="M44" i="11"/>
  <c r="M174" i="11"/>
  <c r="M30" i="11"/>
  <c r="M260" i="11"/>
  <c r="M196" i="11"/>
  <c r="M132" i="11"/>
  <c r="M68" i="11"/>
  <c r="M4" i="11"/>
  <c r="M278" i="11"/>
  <c r="M214" i="11"/>
  <c r="M150" i="11"/>
  <c r="M86" i="11"/>
  <c r="M22" i="11"/>
  <c r="M204" i="11"/>
  <c r="M12" i="11"/>
  <c r="M158" i="11"/>
  <c r="M272" i="11"/>
  <c r="M208" i="11"/>
  <c r="M144" i="11"/>
  <c r="M80" i="11"/>
  <c r="M16" i="11"/>
  <c r="M290" i="11"/>
  <c r="M226" i="11"/>
  <c r="M162" i="11"/>
  <c r="M98" i="11"/>
  <c r="M34" i="11"/>
  <c r="M133" i="11"/>
  <c r="M743" i="11"/>
  <c r="M215" i="11"/>
  <c r="M492" i="11"/>
  <c r="M1092" i="11"/>
  <c r="M199" i="11"/>
  <c r="M937" i="11"/>
  <c r="M1054" i="11"/>
  <c r="M907" i="11"/>
  <c r="M720" i="11"/>
  <c r="M1235" i="11"/>
  <c r="M1491" i="11"/>
  <c r="M987" i="11"/>
  <c r="M1324" i="11"/>
  <c r="M1580" i="11"/>
  <c r="M1652" i="11"/>
  <c r="M1896" i="11"/>
  <c r="M2024" i="11"/>
  <c r="M1354" i="11"/>
  <c r="M1602" i="11"/>
  <c r="M1714" i="11"/>
  <c r="M1778" i="11"/>
  <c r="M1842" i="11"/>
  <c r="M1890" i="11"/>
  <c r="M1934" i="11"/>
  <c r="M1974" i="11"/>
  <c r="M2018" i="11"/>
  <c r="M1245" i="11"/>
  <c r="M1405" i="11"/>
  <c r="M1581" i="11"/>
  <c r="M1675" i="11"/>
  <c r="M1755" i="11"/>
  <c r="M1843" i="11"/>
  <c r="M1931" i="11"/>
  <c r="M2011" i="11"/>
  <c r="M2085" i="11"/>
  <c r="M2130" i="11"/>
  <c r="M2170" i="11"/>
  <c r="M2214" i="11"/>
  <c r="M1233" i="11"/>
  <c r="M1393" i="11"/>
  <c r="M1569" i="11"/>
  <c r="M1669" i="11"/>
  <c r="M1749" i="11"/>
  <c r="M1837" i="11"/>
  <c r="M1925" i="11"/>
  <c r="M2005" i="11"/>
  <c r="M2081" i="11"/>
  <c r="M2127" i="11"/>
  <c r="M2167" i="11"/>
  <c r="M2211" i="11"/>
  <c r="M2255" i="11"/>
  <c r="M2295" i="11"/>
  <c r="M2339" i="11"/>
  <c r="M2383" i="11"/>
  <c r="M2423" i="11"/>
  <c r="M2467" i="11"/>
  <c r="M2511" i="11"/>
  <c r="M2551" i="11"/>
  <c r="M2595" i="11"/>
  <c r="M2639" i="11"/>
  <c r="M2679" i="11"/>
  <c r="M2723" i="11"/>
  <c r="M2767" i="11"/>
  <c r="M2807" i="11"/>
  <c r="M2851" i="11"/>
  <c r="M2895" i="11"/>
  <c r="M2935" i="11"/>
  <c r="M2979" i="11"/>
  <c r="M3023" i="11"/>
  <c r="M3063" i="11"/>
  <c r="M1237" i="11"/>
  <c r="M1413" i="11"/>
  <c r="M1573" i="11"/>
  <c r="M1671" i="11"/>
  <c r="M1759" i="11"/>
  <c r="M1839" i="11"/>
  <c r="M1927" i="11"/>
  <c r="M2015" i="11"/>
  <c r="M2082" i="11"/>
  <c r="M2128" i="11"/>
  <c r="M2172" i="11"/>
  <c r="M2212" i="11"/>
  <c r="M1257" i="11"/>
  <c r="M1433" i="11"/>
  <c r="M1593" i="11"/>
  <c r="M1681" i="11"/>
  <c r="M1769" i="11"/>
  <c r="M1849" i="11"/>
  <c r="M1937" i="11"/>
  <c r="M2025" i="11"/>
  <c r="M2089" i="11"/>
  <c r="M2133" i="11"/>
  <c r="M2177" i="11"/>
  <c r="M2217" i="11"/>
  <c r="M2261" i="11"/>
  <c r="M2305" i="11"/>
  <c r="M2345" i="11"/>
  <c r="M2389" i="11"/>
  <c r="M2433" i="11"/>
  <c r="M2473" i="11"/>
  <c r="M2517" i="11"/>
  <c r="M2561" i="11"/>
  <c r="M2601" i="11"/>
  <c r="M2645" i="11"/>
  <c r="M2689" i="11"/>
  <c r="M2729" i="11"/>
  <c r="M2773" i="11"/>
  <c r="M2817" i="11"/>
  <c r="M2857" i="11"/>
  <c r="M2901" i="11"/>
  <c r="M2945" i="11"/>
  <c r="M2985" i="11"/>
  <c r="M3029" i="11"/>
  <c r="M3073" i="11"/>
  <c r="M2294" i="11"/>
  <c r="M2382" i="11"/>
  <c r="M2470" i="11"/>
  <c r="M2550" i="11"/>
  <c r="M2638" i="11"/>
  <c r="M2726" i="11"/>
  <c r="M2806" i="11"/>
  <c r="M2894" i="11"/>
  <c r="M2982" i="11"/>
  <c r="M3062" i="11"/>
  <c r="M3124" i="11"/>
  <c r="M3168" i="11"/>
  <c r="M3208" i="11"/>
  <c r="M3252" i="11"/>
  <c r="M3296" i="11"/>
  <c r="M3336" i="11"/>
  <c r="M2304" i="11"/>
  <c r="M2392" i="11"/>
  <c r="M2472" i="11"/>
  <c r="M2560" i="11"/>
  <c r="M2648" i="11"/>
  <c r="M2728" i="11"/>
  <c r="M2816" i="11"/>
  <c r="M2904" i="11"/>
  <c r="M2984" i="11"/>
  <c r="M3072" i="11"/>
  <c r="M3129" i="11"/>
  <c r="M3165" i="11"/>
  <c r="M3197" i="11"/>
  <c r="M3229" i="11"/>
  <c r="M3261" i="11"/>
  <c r="M3293" i="11"/>
  <c r="M3325" i="11"/>
  <c r="M3357" i="11"/>
  <c r="M2306" i="11"/>
  <c r="M2370" i="11"/>
  <c r="M2434" i="11"/>
  <c r="M2498" i="11"/>
  <c r="M2562" i="11"/>
  <c r="M2626" i="11"/>
  <c r="M2690" i="11"/>
  <c r="M2754" i="11"/>
  <c r="M2818" i="11"/>
  <c r="M2882" i="11"/>
  <c r="M2946" i="11"/>
  <c r="M3010" i="11"/>
  <c r="M3074" i="11"/>
  <c r="M3118" i="11"/>
  <c r="M3150" i="11"/>
  <c r="M3182" i="11"/>
  <c r="M3214" i="11"/>
  <c r="M3246" i="11"/>
  <c r="M3278" i="11"/>
  <c r="M3310" i="11"/>
  <c r="M3342" i="11"/>
  <c r="M3374" i="11"/>
  <c r="M3398" i="11"/>
  <c r="M3422" i="11"/>
  <c r="M3438" i="11"/>
  <c r="M3454" i="11"/>
  <c r="M3470" i="11"/>
  <c r="M3486" i="11"/>
  <c r="M2260" i="11"/>
  <c r="M2292" i="11"/>
  <c r="M2324" i="11"/>
  <c r="M2356" i="11"/>
  <c r="M2388" i="11"/>
  <c r="M2420" i="11"/>
  <c r="M2452" i="11"/>
  <c r="M2484" i="11"/>
  <c r="M2516" i="11"/>
  <c r="M2548" i="11"/>
  <c r="M2580" i="11"/>
  <c r="M2612" i="11"/>
  <c r="M2644" i="11"/>
  <c r="M2676" i="11"/>
  <c r="M2708" i="11"/>
  <c r="M2740" i="11"/>
  <c r="M2772" i="11"/>
  <c r="M2804" i="11"/>
  <c r="M2836" i="11"/>
  <c r="M2868" i="11"/>
  <c r="M2900" i="11"/>
  <c r="M2932" i="11"/>
  <c r="M2964" i="11"/>
  <c r="M2996" i="11"/>
  <c r="M3028" i="11"/>
  <c r="M3060" i="11"/>
  <c r="M3092" i="11"/>
  <c r="M3111" i="11"/>
  <c r="M3127" i="11"/>
  <c r="M3143" i="11"/>
  <c r="M3159" i="11"/>
  <c r="M3175" i="11"/>
  <c r="M3191" i="11"/>
  <c r="M3207" i="11"/>
  <c r="M3223" i="11"/>
  <c r="M3239" i="11"/>
  <c r="M3255" i="11"/>
  <c r="M3271" i="11"/>
  <c r="M3287" i="11"/>
  <c r="M3303" i="11"/>
  <c r="M3319" i="11"/>
  <c r="M3335" i="11"/>
  <c r="M3351" i="11"/>
  <c r="M3367" i="11"/>
  <c r="M3383" i="11"/>
  <c r="M3399" i="11"/>
  <c r="M3415" i="11"/>
  <c r="M3431" i="11"/>
  <c r="M3447" i="11"/>
  <c r="M3463" i="11"/>
  <c r="M3479" i="11"/>
  <c r="M3495" i="11"/>
  <c r="M3376" i="11"/>
  <c r="M3408" i="11"/>
  <c r="M3440" i="11"/>
  <c r="M3472" i="11"/>
  <c r="M3360" i="11"/>
  <c r="M3393" i="11"/>
  <c r="M3425" i="11"/>
  <c r="M3457" i="11"/>
  <c r="M3489" i="11"/>
  <c r="M3380" i="11"/>
  <c r="M3412" i="11"/>
  <c r="M3444" i="11"/>
  <c r="M3476" i="11"/>
  <c r="M3365" i="11"/>
  <c r="M3397" i="11"/>
  <c r="M3429" i="11"/>
  <c r="M3461" i="11"/>
  <c r="M3493" i="11"/>
  <c r="M220" i="11"/>
  <c r="M28" i="11"/>
  <c r="M190" i="11"/>
  <c r="M14" i="11"/>
  <c r="M264" i="11"/>
  <c r="M200" i="11"/>
  <c r="M136" i="11"/>
  <c r="M72" i="11"/>
  <c r="M8" i="11"/>
  <c r="M282" i="11"/>
  <c r="M218" i="11"/>
  <c r="M154" i="11"/>
  <c r="M90" i="11"/>
  <c r="M26" i="11"/>
  <c r="M188" i="11"/>
  <c r="M334" i="11"/>
  <c r="M126" i="11"/>
  <c r="M308" i="11"/>
  <c r="M244" i="11"/>
  <c r="M180" i="11"/>
  <c r="M116" i="11"/>
  <c r="M52" i="11"/>
  <c r="M326" i="11"/>
  <c r="M262" i="11"/>
  <c r="M198" i="11"/>
  <c r="M134" i="11"/>
  <c r="M70" i="11"/>
  <c r="M6" i="11"/>
  <c r="M156" i="11"/>
  <c r="M302" i="11"/>
  <c r="M46" i="11"/>
  <c r="M256" i="11"/>
  <c r="M192" i="11"/>
  <c r="M128" i="11"/>
  <c r="M64" i="11"/>
  <c r="M338" i="11"/>
  <c r="M274" i="11"/>
  <c r="M210" i="11"/>
  <c r="M146" i="11"/>
  <c r="M82" i="11"/>
  <c r="M18" i="11"/>
  <c r="M261" i="11"/>
  <c r="M807" i="11"/>
  <c r="M357" i="11"/>
  <c r="M577" i="11"/>
  <c r="M49" i="11"/>
  <c r="M434" i="11"/>
  <c r="M979" i="11"/>
  <c r="M1110" i="11"/>
  <c r="M993" i="11"/>
  <c r="M834" i="11"/>
  <c r="M1267" i="11"/>
  <c r="M1523" i="11"/>
  <c r="M1059" i="11"/>
  <c r="M1356" i="11"/>
  <c r="M1262" i="11"/>
  <c r="M1684" i="11"/>
  <c r="M1912" i="11"/>
  <c r="M2040" i="11"/>
  <c r="M1386" i="11"/>
  <c r="M1618" i="11"/>
  <c r="M1718" i="11"/>
  <c r="M1782" i="11"/>
  <c r="M1846" i="11"/>
  <c r="M1894" i="11"/>
  <c r="M1938" i="11"/>
  <c r="M1982" i="11"/>
  <c r="M2022" i="11"/>
  <c r="M1261" i="11"/>
  <c r="M1437" i="11"/>
  <c r="M1595" i="11"/>
  <c r="M1683" i="11"/>
  <c r="M1771" i="11"/>
  <c r="M1851" i="11"/>
  <c r="M1939" i="11"/>
  <c r="M2027" i="11"/>
  <c r="M2090" i="11"/>
  <c r="M2134" i="11"/>
  <c r="M2178" i="11"/>
  <c r="M2218" i="11"/>
  <c r="M1249" i="11"/>
  <c r="M1425" i="11"/>
  <c r="M1585" i="11"/>
  <c r="M1677" i="11"/>
  <c r="M1765" i="11"/>
  <c r="M1845" i="11"/>
  <c r="M1933" i="11"/>
  <c r="M2021" i="11"/>
  <c r="M2086" i="11"/>
  <c r="M2131" i="11"/>
  <c r="M2175" i="11"/>
  <c r="M2215" i="11"/>
  <c r="M2259" i="11"/>
  <c r="M2303" i="11"/>
  <c r="M2343" i="11"/>
  <c r="M2387" i="11"/>
  <c r="M2431" i="11"/>
  <c r="M2471" i="11"/>
  <c r="M2515" i="11"/>
  <c r="M2559" i="11"/>
  <c r="M2599" i="11"/>
  <c r="M2643" i="11"/>
  <c r="M2687" i="11"/>
  <c r="M2727" i="11"/>
  <c r="M2771" i="11"/>
  <c r="M2815" i="11"/>
  <c r="M2855" i="11"/>
  <c r="M2899" i="11"/>
  <c r="M2943" i="11"/>
  <c r="M2983" i="11"/>
  <c r="M3027" i="11"/>
  <c r="M3071" i="11"/>
  <c r="M1253" i="11"/>
  <c r="M1429" i="11"/>
  <c r="M1599" i="11"/>
  <c r="M1679" i="11"/>
  <c r="M1767" i="11"/>
  <c r="M1855" i="11"/>
  <c r="M1935" i="11"/>
  <c r="M2023" i="11"/>
  <c r="M2092" i="11"/>
  <c r="M2132" i="11"/>
  <c r="M2176" i="11"/>
  <c r="M2220" i="11"/>
  <c r="M1273" i="11"/>
  <c r="M1449" i="11"/>
  <c r="M1609" i="11"/>
  <c r="M1689" i="11"/>
  <c r="M1777" i="11"/>
  <c r="M1865" i="11"/>
  <c r="M1945" i="11"/>
  <c r="M2033" i="11"/>
  <c r="M2097" i="11"/>
  <c r="M2137" i="11"/>
  <c r="M2181" i="11"/>
  <c r="M2225" i="11"/>
  <c r="M2265" i="11"/>
  <c r="M2309" i="11"/>
  <c r="M2353" i="11"/>
  <c r="M2393" i="11"/>
  <c r="M2437" i="11"/>
  <c r="M2481" i="11"/>
  <c r="M2521" i="11"/>
  <c r="M2565" i="11"/>
  <c r="M2609" i="11"/>
  <c r="M2649" i="11"/>
  <c r="M2693" i="11"/>
  <c r="M2737" i="11"/>
  <c r="M2777" i="11"/>
  <c r="M2821" i="11"/>
  <c r="M2865" i="11"/>
  <c r="M2905" i="11"/>
  <c r="M2949" i="11"/>
  <c r="M2993" i="11"/>
  <c r="M3033" i="11"/>
  <c r="M3077" i="11"/>
  <c r="M2310" i="11"/>
  <c r="M2390" i="11"/>
  <c r="M2478" i="11"/>
  <c r="M2566" i="11"/>
  <c r="M2646" i="11"/>
  <c r="M2734" i="11"/>
  <c r="M2822" i="11"/>
  <c r="M2902" i="11"/>
  <c r="M2990" i="11"/>
  <c r="M3078" i="11"/>
  <c r="M3128" i="11"/>
  <c r="M3172" i="11"/>
  <c r="M3216" i="11"/>
  <c r="M3256" i="11"/>
  <c r="M3300" i="11"/>
  <c r="M3344" i="11"/>
  <c r="M2312" i="11"/>
  <c r="M2400" i="11"/>
  <c r="M2488" i="11"/>
  <c r="M2568" i="11"/>
  <c r="M2656" i="11"/>
  <c r="M2744" i="11"/>
  <c r="M2824" i="11"/>
  <c r="M2912" i="11"/>
  <c r="M3000" i="11"/>
  <c r="M3080" i="11"/>
  <c r="M3133" i="11"/>
  <c r="M3169" i="11"/>
  <c r="M3201" i="11"/>
  <c r="M3233" i="11"/>
  <c r="M3265" i="11"/>
  <c r="M3297" i="11"/>
  <c r="M3329" i="11"/>
  <c r="M3361" i="11"/>
  <c r="M2314" i="11"/>
  <c r="M2378" i="11"/>
  <c r="M2442" i="11"/>
  <c r="M2506" i="11"/>
  <c r="M2570" i="11"/>
  <c r="M2634" i="11"/>
  <c r="M2698" i="11"/>
  <c r="M2762" i="11"/>
  <c r="M2826" i="11"/>
  <c r="M2890" i="11"/>
  <c r="M2954" i="11"/>
  <c r="M3018" i="11"/>
  <c r="M3082" i="11"/>
  <c r="M3122" i="11"/>
  <c r="M3154" i="11"/>
  <c r="M3186" i="11"/>
  <c r="M3218" i="11"/>
  <c r="M3250" i="11"/>
  <c r="M3282" i="11"/>
  <c r="M3314" i="11"/>
  <c r="M3346" i="11"/>
  <c r="M3378" i="11"/>
  <c r="M3406" i="11"/>
  <c r="M3426" i="11"/>
  <c r="M3442" i="11"/>
  <c r="M3458" i="11"/>
  <c r="M3474" i="11"/>
  <c r="M3490" i="11"/>
  <c r="M2268" i="11"/>
  <c r="M2300" i="11"/>
  <c r="M2332" i="11"/>
  <c r="M2364" i="11"/>
  <c r="M2396" i="11"/>
  <c r="M2428" i="11"/>
  <c r="M2460" i="11"/>
  <c r="M2492" i="11"/>
  <c r="M2524" i="11"/>
  <c r="M2556" i="11"/>
  <c r="M2588" i="11"/>
  <c r="M2620" i="11"/>
  <c r="M2652" i="11"/>
  <c r="M2684" i="11"/>
  <c r="M2716" i="11"/>
  <c r="M2748" i="11"/>
  <c r="M2780" i="11"/>
  <c r="M2812" i="11"/>
  <c r="M2844" i="11"/>
  <c r="M2876" i="11"/>
  <c r="M2908" i="11"/>
  <c r="M2940" i="11"/>
  <c r="M2972" i="11"/>
  <c r="M3004" i="11"/>
  <c r="M3036" i="11"/>
  <c r="M3068" i="11"/>
  <c r="M3097" i="11"/>
  <c r="M3115" i="11"/>
  <c r="M3131" i="11"/>
  <c r="M3147" i="11"/>
  <c r="M3163" i="11"/>
  <c r="M3179" i="11"/>
  <c r="M3195" i="11"/>
  <c r="M3211" i="11"/>
  <c r="M3227" i="11"/>
  <c r="M3243" i="11"/>
  <c r="M3259" i="11"/>
  <c r="M3275" i="11"/>
  <c r="M3291" i="11"/>
  <c r="M3307" i="11"/>
  <c r="M3323" i="11"/>
  <c r="M3339" i="11"/>
  <c r="M3355" i="11"/>
  <c r="M3371" i="11"/>
  <c r="M3387" i="11"/>
  <c r="M3403" i="11"/>
  <c r="M3419" i="11"/>
  <c r="M3435" i="11"/>
  <c r="M3451" i="11"/>
  <c r="M3467" i="11"/>
  <c r="M3483" i="11"/>
  <c r="M3499" i="11"/>
  <c r="M3384" i="11"/>
  <c r="M3416" i="11"/>
  <c r="M3448" i="11"/>
  <c r="M3480" i="11"/>
  <c r="M3369" i="11"/>
  <c r="M3401" i="11"/>
  <c r="M3433" i="11"/>
  <c r="M3465" i="11"/>
  <c r="M3497" i="11"/>
  <c r="M3388" i="11"/>
  <c r="M3420" i="11"/>
  <c r="M3452" i="11"/>
  <c r="M3484" i="11"/>
  <c r="M3373" i="11"/>
  <c r="M3405" i="11"/>
  <c r="M3437" i="11"/>
  <c r="M3469" i="11"/>
  <c r="M3501" i="11"/>
  <c r="M172" i="11"/>
  <c r="M318" i="11"/>
  <c r="M142" i="11"/>
  <c r="M312" i="11"/>
  <c r="M248" i="11"/>
  <c r="M184" i="11"/>
  <c r="M120" i="11"/>
  <c r="M56" i="11"/>
  <c r="M330" i="11"/>
  <c r="M266" i="11"/>
  <c r="M202" i="11"/>
  <c r="M138" i="11"/>
  <c r="M74" i="11"/>
  <c r="M10" i="11"/>
  <c r="M124" i="11"/>
  <c r="M286" i="11"/>
  <c r="M110" i="11"/>
  <c r="M292" i="11"/>
  <c r="M228" i="11"/>
  <c r="M164" i="11"/>
  <c r="M100" i="11"/>
  <c r="M36" i="11"/>
  <c r="M310" i="11"/>
  <c r="M246" i="11"/>
  <c r="M182" i="11"/>
  <c r="M118" i="11"/>
  <c r="M54" i="11"/>
  <c r="M300" i="11"/>
  <c r="M108" i="11"/>
  <c r="M254" i="11"/>
  <c r="M304" i="11"/>
  <c r="M240" i="11"/>
  <c r="M176" i="11"/>
  <c r="M112" i="11"/>
  <c r="M48" i="11"/>
  <c r="M322" i="11"/>
  <c r="M258" i="11"/>
  <c r="M194" i="11"/>
  <c r="M130" i="11"/>
  <c r="M66" i="11"/>
  <c r="M2" i="11"/>
  <c r="M487" i="11"/>
  <c r="M382" i="11"/>
  <c r="M613" i="11"/>
  <c r="M833" i="11"/>
  <c r="M830" i="11"/>
  <c r="M740" i="11"/>
  <c r="M685" i="11"/>
  <c r="M1225" i="11"/>
  <c r="M1166" i="11"/>
  <c r="M1071" i="11"/>
  <c r="M1363" i="11"/>
  <c r="M466" i="11"/>
  <c r="M1196" i="11"/>
  <c r="M1452" i="11"/>
  <c r="M1454" i="11"/>
  <c r="M1780" i="11"/>
  <c r="M1960" i="11"/>
  <c r="M2088" i="11"/>
  <c r="M1482" i="11"/>
  <c r="M1666" i="11"/>
  <c r="M1746" i="11"/>
  <c r="M1810" i="11"/>
  <c r="M1870" i="11"/>
  <c r="M1910" i="11"/>
  <c r="M1954" i="11"/>
  <c r="M1998" i="11"/>
  <c r="M2038" i="11"/>
  <c r="M1325" i="11"/>
  <c r="M1501" i="11"/>
  <c r="M1627" i="11"/>
  <c r="M1715" i="11"/>
  <c r="M1803" i="11"/>
  <c r="M1883" i="11"/>
  <c r="M1971" i="11"/>
  <c r="M2058" i="11"/>
  <c r="M2106" i="11"/>
  <c r="M2150" i="11"/>
  <c r="M2194" i="11"/>
  <c r="M2234" i="11"/>
  <c r="M1313" i="11"/>
  <c r="M1489" i="11"/>
  <c r="M1621" i="11"/>
  <c r="M1709" i="11"/>
  <c r="M1797" i="11"/>
  <c r="M1877" i="11"/>
  <c r="M1965" i="11"/>
  <c r="M2053" i="11"/>
  <c r="M2103" i="11"/>
  <c r="M2147" i="11"/>
  <c r="M2191" i="11"/>
  <c r="M2231" i="11"/>
  <c r="M2275" i="11"/>
  <c r="M2319" i="11"/>
  <c r="M2359" i="11"/>
  <c r="M2403" i="11"/>
  <c r="M2447" i="11"/>
  <c r="M2487" i="11"/>
  <c r="M2531" i="11"/>
  <c r="M2575" i="11"/>
  <c r="M2615" i="11"/>
  <c r="M2659" i="11"/>
  <c r="M2703" i="11"/>
  <c r="M2743" i="11"/>
  <c r="M2787" i="11"/>
  <c r="M2831" i="11"/>
  <c r="M2871" i="11"/>
  <c r="M2915" i="11"/>
  <c r="M2959" i="11"/>
  <c r="M2999" i="11"/>
  <c r="M3043" i="11"/>
  <c r="M3087" i="11"/>
  <c r="M1317" i="11"/>
  <c r="M1493" i="11"/>
  <c r="M1631" i="11"/>
  <c r="M1711" i="11"/>
  <c r="M1799" i="11"/>
  <c r="M1887" i="11"/>
  <c r="M1967" i="11"/>
  <c r="M2055" i="11"/>
  <c r="M2108" i="11"/>
  <c r="M2148" i="11"/>
  <c r="M2192" i="11"/>
  <c r="M2236" i="11"/>
  <c r="M1337" i="11"/>
  <c r="M1513" i="11"/>
  <c r="M1641" i="11"/>
  <c r="M1721" i="11"/>
  <c r="M1809" i="11"/>
  <c r="M1897" i="11"/>
  <c r="M1977" i="11"/>
  <c r="M2062" i="11"/>
  <c r="M2113" i="11"/>
  <c r="M2153" i="11"/>
  <c r="M2197" i="11"/>
  <c r="M2241" i="11"/>
  <c r="M2281" i="11"/>
  <c r="M2325" i="11"/>
  <c r="M2369" i="11"/>
  <c r="M2409" i="11"/>
  <c r="M2453" i="11"/>
  <c r="M2497" i="11"/>
  <c r="M2537" i="11"/>
  <c r="M2581" i="11"/>
  <c r="M2625" i="11"/>
  <c r="M2665" i="11"/>
  <c r="M2709" i="11"/>
  <c r="M2881" i="11"/>
  <c r="M3049" i="11"/>
  <c r="M2510" i="11"/>
  <c r="M2854" i="11"/>
  <c r="M3144" i="11"/>
  <c r="M3316" i="11"/>
  <c r="M2520" i="11"/>
  <c r="M2856" i="11"/>
  <c r="M3149" i="11"/>
  <c r="M3277" i="11"/>
  <c r="M2338" i="11"/>
  <c r="M2594" i="11"/>
  <c r="M2850" i="11"/>
  <c r="M3101" i="11"/>
  <c r="M3230" i="11"/>
  <c r="M3358" i="11"/>
  <c r="M3446" i="11"/>
  <c r="M2276" i="11"/>
  <c r="M2404" i="11"/>
  <c r="M2532" i="11"/>
  <c r="M2660" i="11"/>
  <c r="M2788" i="11"/>
  <c r="M2916" i="11"/>
  <c r="M3044" i="11"/>
  <c r="M3135" i="11"/>
  <c r="M3199" i="11"/>
  <c r="M3263" i="11"/>
  <c r="M3327" i="11"/>
  <c r="M3391" i="11"/>
  <c r="M3455" i="11"/>
  <c r="M3392" i="11"/>
  <c r="M3377" i="11"/>
  <c r="M3364" i="11"/>
  <c r="M3492" i="11"/>
  <c r="M3477" i="11"/>
  <c r="M94" i="11"/>
  <c r="M104" i="11"/>
  <c r="M186" i="11"/>
  <c r="M92" i="11"/>
  <c r="M212" i="11"/>
  <c r="M294" i="11"/>
  <c r="M38" i="11"/>
  <c r="M288" i="11"/>
  <c r="M32" i="11"/>
  <c r="M114" i="11"/>
  <c r="M2753" i="11"/>
  <c r="M2921" i="11"/>
  <c r="M2252" i="11"/>
  <c r="M2598" i="11"/>
  <c r="M2934" i="11"/>
  <c r="M3188" i="11"/>
  <c r="M2264" i="11"/>
  <c r="M2600" i="11"/>
  <c r="M2944" i="11"/>
  <c r="M3181" i="11"/>
  <c r="M3309" i="11"/>
  <c r="M2402" i="11"/>
  <c r="M2658" i="11"/>
  <c r="M2914" i="11"/>
  <c r="M3134" i="11"/>
  <c r="M3262" i="11"/>
  <c r="M3390" i="11"/>
  <c r="M3462" i="11"/>
  <c r="M2308" i="11"/>
  <c r="M2436" i="11"/>
  <c r="M2564" i="11"/>
  <c r="M2692" i="11"/>
  <c r="M2820" i="11"/>
  <c r="M2948" i="11"/>
  <c r="M3076" i="11"/>
  <c r="M3151" i="11"/>
  <c r="M3215" i="11"/>
  <c r="M3279" i="11"/>
  <c r="M3343" i="11"/>
  <c r="M3407" i="11"/>
  <c r="M3471" i="11"/>
  <c r="M3424" i="11"/>
  <c r="M3409" i="11"/>
  <c r="M3396" i="11"/>
  <c r="M3381" i="11"/>
  <c r="M316" i="11"/>
  <c r="M296" i="11"/>
  <c r="M40" i="11"/>
  <c r="M122" i="11"/>
  <c r="M222" i="11"/>
  <c r="M148" i="11"/>
  <c r="M230" i="11"/>
  <c r="M252" i="11"/>
  <c r="M224" i="11"/>
  <c r="M306" i="11"/>
  <c r="M50" i="11"/>
  <c r="M2793" i="11"/>
  <c r="M2965" i="11"/>
  <c r="M2342" i="11"/>
  <c r="M2678" i="11"/>
  <c r="M3022" i="11"/>
  <c r="M3232" i="11"/>
  <c r="M2344" i="11"/>
  <c r="M2688" i="11"/>
  <c r="M3032" i="11"/>
  <c r="M3213" i="11"/>
  <c r="M3341" i="11"/>
  <c r="M2466" i="11"/>
  <c r="M2722" i="11"/>
  <c r="M2978" i="11"/>
  <c r="M3166" i="11"/>
  <c r="M3294" i="11"/>
  <c r="M3410" i="11"/>
  <c r="M3478" i="11"/>
  <c r="M2340" i="11"/>
  <c r="M2468" i="11"/>
  <c r="M2596" i="11"/>
  <c r="M2724" i="11"/>
  <c r="M2852" i="11"/>
  <c r="M2980" i="11"/>
  <c r="M3102" i="11"/>
  <c r="M3167" i="11"/>
  <c r="M3231" i="11"/>
  <c r="M3295" i="11"/>
  <c r="M3359" i="11"/>
  <c r="M3423" i="11"/>
  <c r="M3487" i="11"/>
  <c r="M3456" i="11"/>
  <c r="M3441" i="11"/>
  <c r="M3428" i="11"/>
  <c r="M3413" i="11"/>
  <c r="M140" i="11"/>
  <c r="M232" i="11"/>
  <c r="M314" i="11"/>
  <c r="M58" i="11"/>
  <c r="M78" i="11"/>
  <c r="M84" i="11"/>
  <c r="M166" i="11"/>
  <c r="M60" i="11"/>
  <c r="M160" i="11"/>
  <c r="M242" i="11"/>
  <c r="M2837" i="11"/>
  <c r="M3009" i="11"/>
  <c r="M2422" i="11"/>
  <c r="M2766" i="11"/>
  <c r="M3104" i="11"/>
  <c r="M3272" i="11"/>
  <c r="M2432" i="11"/>
  <c r="M2776" i="11"/>
  <c r="M3105" i="11"/>
  <c r="M3245" i="11"/>
  <c r="M2274" i="11"/>
  <c r="M2530" i="11"/>
  <c r="M2786" i="11"/>
  <c r="M3042" i="11"/>
  <c r="M3198" i="11"/>
  <c r="M3326" i="11"/>
  <c r="M3430" i="11"/>
  <c r="M3494" i="11"/>
  <c r="M2372" i="11"/>
  <c r="M2500" i="11"/>
  <c r="M2628" i="11"/>
  <c r="M2756" i="11"/>
  <c r="M2884" i="11"/>
  <c r="M3012" i="11"/>
  <c r="M3119" i="11"/>
  <c r="M3183" i="11"/>
  <c r="M3247" i="11"/>
  <c r="M3311" i="11"/>
  <c r="M3375" i="11"/>
  <c r="M3439" i="11"/>
  <c r="M3356" i="11"/>
  <c r="M3488" i="11"/>
  <c r="M3473" i="11"/>
  <c r="M3460" i="11"/>
  <c r="M3445" i="11"/>
  <c r="M270" i="11"/>
  <c r="M168" i="11"/>
  <c r="M250" i="11"/>
  <c r="M284" i="11"/>
  <c r="M276" i="11"/>
  <c r="M20" i="11"/>
  <c r="M102" i="11"/>
  <c r="M206" i="11"/>
  <c r="M96" i="11"/>
  <c r="M178" i="11"/>
  <c r="L2" i="11" a="1"/>
  <c r="L2482" i="11" s="1"/>
  <c r="L195" i="11" l="1"/>
  <c r="L110" i="11"/>
  <c r="L2780" i="11"/>
  <c r="L74" i="11"/>
  <c r="L86" i="11"/>
  <c r="L1212" i="11"/>
  <c r="L114" i="11"/>
  <c r="L231" i="11"/>
  <c r="L1052" i="11"/>
  <c r="L230" i="11"/>
  <c r="L235" i="11"/>
  <c r="L3260" i="11"/>
  <c r="L2197" i="11"/>
  <c r="L469" i="11"/>
  <c r="L1973" i="11"/>
  <c r="L3340" i="11"/>
  <c r="L2476" i="11"/>
  <c r="L1612" i="11"/>
  <c r="L588" i="11"/>
  <c r="L2981" i="11"/>
  <c r="L2117" i="11"/>
  <c r="L1093" i="11"/>
  <c r="L3476" i="11"/>
  <c r="L3060" i="11"/>
  <c r="L2548" i="11"/>
  <c r="L2116" i="11"/>
  <c r="L1684" i="11"/>
  <c r="L1172" i="11"/>
  <c r="L756" i="11"/>
  <c r="L193" i="11"/>
  <c r="L3037" i="11"/>
  <c r="L2605" i="11"/>
  <c r="L2157" i="11"/>
  <c r="L1357" i="11"/>
  <c r="L3457" i="11"/>
  <c r="L2889" i="11"/>
  <c r="L2209" i="11"/>
  <c r="L1641" i="11"/>
  <c r="L1065" i="11"/>
  <c r="L360" i="11"/>
  <c r="L3032" i="11"/>
  <c r="L2472" i="11"/>
  <c r="L1784" i="11"/>
  <c r="L1208" i="11"/>
  <c r="L648" i="11"/>
  <c r="L3191" i="11"/>
  <c r="L2619" i="11"/>
  <c r="L2055" i="11"/>
  <c r="L1135" i="11"/>
  <c r="L79" i="11"/>
  <c r="L170" i="11"/>
  <c r="L32" i="11"/>
  <c r="L194" i="11"/>
  <c r="L315" i="11"/>
  <c r="L127" i="11"/>
  <c r="L206" i="11"/>
  <c r="L311" i="11"/>
  <c r="L2620" i="11"/>
  <c r="L892" i="11"/>
  <c r="L2396" i="11"/>
  <c r="L293" i="11"/>
  <c r="L1877" i="11"/>
  <c r="L3317" i="11"/>
  <c r="L1269" i="11"/>
  <c r="L3148" i="11"/>
  <c r="L2316" i="11"/>
  <c r="L1292" i="11"/>
  <c r="L417" i="11"/>
  <c r="L2789" i="11"/>
  <c r="L1765" i="11"/>
  <c r="L933" i="11"/>
  <c r="L3396" i="11"/>
  <c r="L2884" i="11"/>
  <c r="L2452" i="11"/>
  <c r="L2036" i="11"/>
  <c r="L1524" i="11"/>
  <c r="L1092" i="11"/>
  <c r="L660" i="11"/>
  <c r="L3373" i="11"/>
  <c r="L2957" i="11"/>
  <c r="L2525" i="11"/>
  <c r="L1933" i="11"/>
  <c r="L1117" i="11"/>
  <c r="L3353" i="11"/>
  <c r="L2665" i="11"/>
  <c r="L2089" i="11"/>
  <c r="L1529" i="11"/>
  <c r="L841" i="11"/>
  <c r="L3496" i="11"/>
  <c r="L2920" i="11"/>
  <c r="L2232" i="11"/>
  <c r="L1672" i="11"/>
  <c r="L1104" i="11"/>
  <c r="L358" i="11"/>
  <c r="L3079" i="11"/>
  <c r="L2507" i="11"/>
  <c r="L1787" i="11"/>
  <c r="L515" i="11"/>
  <c r="L239" i="11"/>
  <c r="L19" i="11"/>
  <c r="L112" i="11"/>
  <c r="L290" i="11"/>
  <c r="L152" i="11"/>
  <c r="L287" i="11"/>
  <c r="L286" i="11"/>
  <c r="L148" i="11"/>
  <c r="L2236" i="11"/>
  <c r="L572" i="11"/>
  <c r="L1756" i="11"/>
  <c r="L3221" i="11"/>
  <c r="L1493" i="11"/>
  <c r="L2613" i="11"/>
  <c r="L949" i="11"/>
  <c r="L2988" i="11"/>
  <c r="L1964" i="11"/>
  <c r="L1100" i="11"/>
  <c r="L3493" i="11"/>
  <c r="L2469" i="11"/>
  <c r="L1605" i="11"/>
  <c r="L741" i="11"/>
  <c r="L3220" i="11"/>
  <c r="L2804" i="11"/>
  <c r="L2372" i="11"/>
  <c r="L1860" i="11"/>
  <c r="L1428" i="11"/>
  <c r="L1012" i="11"/>
  <c r="L500" i="11"/>
  <c r="L3293" i="11"/>
  <c r="L2861" i="11"/>
  <c r="L2349" i="11"/>
  <c r="L1821" i="11"/>
  <c r="L893" i="11"/>
  <c r="L3113" i="11"/>
  <c r="L2553" i="11"/>
  <c r="L1985" i="11"/>
  <c r="L1305" i="11"/>
  <c r="L729" i="11"/>
  <c r="L3376" i="11"/>
  <c r="L2696" i="11"/>
  <c r="L2128" i="11"/>
  <c r="L1552" i="11"/>
  <c r="L872" i="11"/>
  <c r="L3467" i="11"/>
  <c r="L2959" i="11"/>
  <c r="L2279" i="11"/>
  <c r="L1639" i="11"/>
  <c r="L3130" i="11"/>
  <c r="L236" i="11"/>
  <c r="L115" i="11"/>
  <c r="L192" i="11"/>
  <c r="L139" i="11"/>
  <c r="L232" i="11"/>
  <c r="L140" i="11"/>
  <c r="L151" i="11"/>
  <c r="L228" i="11"/>
  <c r="L1916" i="11"/>
  <c r="L3100" i="11"/>
  <c r="L1372" i="11"/>
  <c r="L2901" i="11"/>
  <c r="L853" i="11"/>
  <c r="L2293" i="11"/>
  <c r="L565" i="11"/>
  <c r="L2636" i="11"/>
  <c r="L1804" i="11"/>
  <c r="L940" i="11"/>
  <c r="L3141" i="11"/>
  <c r="L2277" i="11"/>
  <c r="L1445" i="11"/>
  <c r="L408" i="11"/>
  <c r="L3140" i="11"/>
  <c r="L2708" i="11"/>
  <c r="L2196" i="11"/>
  <c r="L1780" i="11"/>
  <c r="L1348" i="11"/>
  <c r="L836" i="11"/>
  <c r="L385" i="11"/>
  <c r="L3213" i="11"/>
  <c r="L2701" i="11"/>
  <c r="L2269" i="11"/>
  <c r="L1709" i="11"/>
  <c r="L440" i="11"/>
  <c r="L3009" i="11"/>
  <c r="L2433" i="11"/>
  <c r="L1753" i="11"/>
  <c r="L1185" i="11"/>
  <c r="L617" i="11"/>
  <c r="L3152" i="11"/>
  <c r="L2576" i="11"/>
  <c r="L2008" i="11"/>
  <c r="L1328" i="11"/>
  <c r="L760" i="11"/>
  <c r="L3387" i="11"/>
  <c r="L2735" i="11"/>
  <c r="L2167" i="11"/>
  <c r="L1483" i="11"/>
  <c r="L395" i="11"/>
  <c r="L38" i="11"/>
  <c r="L92" i="11"/>
  <c r="L250" i="11"/>
  <c r="L275" i="11"/>
  <c r="L34" i="11"/>
  <c r="L59" i="11"/>
  <c r="L56" i="11"/>
  <c r="L278" i="11"/>
  <c r="L30" i="11"/>
  <c r="L55" i="11"/>
  <c r="L68" i="11"/>
  <c r="L2940" i="11"/>
  <c r="L1596" i="11"/>
  <c r="L3420" i="11"/>
  <c r="L2076" i="11"/>
  <c r="L732" i="11"/>
  <c r="L2517" i="11"/>
  <c r="L1173" i="11"/>
  <c r="L2997" i="11"/>
  <c r="L1589" i="11"/>
  <c r="L3500" i="11"/>
  <c r="L2828" i="11"/>
  <c r="L2124" i="11"/>
  <c r="L1452" i="11"/>
  <c r="L780" i="11"/>
  <c r="L3301" i="11"/>
  <c r="L2629" i="11"/>
  <c r="L1957" i="11"/>
  <c r="L1253" i="11"/>
  <c r="L581" i="11"/>
  <c r="L3316" i="11"/>
  <c r="L2964" i="11"/>
  <c r="L2628" i="11"/>
  <c r="L2292" i="11"/>
  <c r="L1940" i="11"/>
  <c r="L1604" i="11"/>
  <c r="L1268" i="11"/>
  <c r="L916" i="11"/>
  <c r="L580" i="11"/>
  <c r="L3469" i="11"/>
  <c r="L3117" i="11"/>
  <c r="L2781" i="11"/>
  <c r="L2445" i="11"/>
  <c r="L2061" i="11"/>
  <c r="L1565" i="11"/>
  <c r="L669" i="11"/>
  <c r="L3233" i="11"/>
  <c r="L2777" i="11"/>
  <c r="L2329" i="11"/>
  <c r="L1865" i="11"/>
  <c r="L1409" i="11"/>
  <c r="L961" i="11"/>
  <c r="L505" i="11"/>
  <c r="L3256" i="11"/>
  <c r="L2808" i="11"/>
  <c r="L2352" i="11"/>
  <c r="L1896" i="11"/>
  <c r="L1448" i="11"/>
  <c r="L984" i="11"/>
  <c r="L520" i="11"/>
  <c r="L3303" i="11"/>
  <c r="L2847" i="11"/>
  <c r="L2395" i="11"/>
  <c r="L1935" i="11"/>
  <c r="L1335" i="11"/>
  <c r="L69" i="11"/>
  <c r="L372" i="11"/>
  <c r="L974" i="11"/>
  <c r="L1438" i="11"/>
  <c r="L1738" i="11"/>
  <c r="L1922" i="11"/>
  <c r="L2034" i="11"/>
  <c r="L2150" i="11"/>
  <c r="L2254" i="11"/>
  <c r="L2338" i="11"/>
  <c r="L2426" i="11"/>
  <c r="L2510" i="11"/>
  <c r="L2594" i="11"/>
  <c r="L2670" i="11"/>
  <c r="L2734" i="11"/>
  <c r="L2798" i="11"/>
  <c r="L2862" i="11"/>
  <c r="L2926" i="11"/>
  <c r="L2990" i="11"/>
  <c r="L3054" i="11"/>
  <c r="L3118" i="11"/>
  <c r="L3182" i="11"/>
  <c r="L3246" i="11"/>
  <c r="L3310" i="11"/>
  <c r="L3374" i="11"/>
  <c r="L3438" i="11"/>
  <c r="L17" i="11"/>
  <c r="L313" i="11"/>
  <c r="L405" i="11"/>
  <c r="L483" i="11"/>
  <c r="L547" i="11"/>
  <c r="L611" i="11"/>
  <c r="L675" i="11"/>
  <c r="L739" i="11"/>
  <c r="L803" i="11"/>
  <c r="L867" i="11"/>
  <c r="L931" i="11"/>
  <c r="L995" i="11"/>
  <c r="L1059" i="11"/>
  <c r="L1123" i="11"/>
  <c r="L1187" i="11"/>
  <c r="L1215" i="11"/>
  <c r="L1231" i="11"/>
  <c r="L1247" i="11"/>
  <c r="L1263" i="11"/>
  <c r="L1279" i="11"/>
  <c r="L1295" i="11"/>
  <c r="L1311" i="11"/>
  <c r="L1327" i="11"/>
  <c r="L1343" i="11"/>
  <c r="L1359" i="11"/>
  <c r="L1375" i="11"/>
  <c r="L1391" i="11"/>
  <c r="L1407" i="11"/>
  <c r="L1423" i="11"/>
  <c r="L1439" i="11"/>
  <c r="L1455" i="11"/>
  <c r="L1471" i="11"/>
  <c r="L1487" i="11"/>
  <c r="L1503" i="11"/>
  <c r="L1519" i="11"/>
  <c r="L1535" i="11"/>
  <c r="L1551" i="11"/>
  <c r="L1567" i="11"/>
  <c r="L1583" i="11"/>
  <c r="L1599" i="11"/>
  <c r="L1615" i="11"/>
  <c r="L1631" i="11"/>
  <c r="L1647" i="11"/>
  <c r="L1663" i="11"/>
  <c r="L1679" i="11"/>
  <c r="L1695" i="11"/>
  <c r="L1711" i="11"/>
  <c r="L1727" i="11"/>
  <c r="L1743" i="11"/>
  <c r="L1759" i="11"/>
  <c r="L1775" i="11"/>
  <c r="L1791" i="11"/>
  <c r="L1807" i="11"/>
  <c r="L1823" i="11"/>
  <c r="L1839" i="11"/>
  <c r="L1855" i="11"/>
  <c r="L1871" i="11"/>
  <c r="L1887" i="11"/>
  <c r="L1903" i="11"/>
  <c r="L1919" i="11"/>
  <c r="L562" i="11"/>
  <c r="L1202" i="11"/>
  <c r="L1658" i="11"/>
  <c r="L1942" i="11"/>
  <c r="L2090" i="11"/>
  <c r="L2226" i="11"/>
  <c r="L2354" i="11"/>
  <c r="L2466" i="11"/>
  <c r="L2570" i="11"/>
  <c r="L2682" i="11"/>
  <c r="L2766" i="11"/>
  <c r="L2842" i="11"/>
  <c r="L2938" i="11"/>
  <c r="L3022" i="11"/>
  <c r="L3098" i="11"/>
  <c r="L3194" i="11"/>
  <c r="L3278" i="11"/>
  <c r="L3354" i="11"/>
  <c r="L3450" i="11"/>
  <c r="L189" i="11"/>
  <c r="L378" i="11"/>
  <c r="L495" i="11"/>
  <c r="L579" i="11"/>
  <c r="L655" i="11"/>
  <c r="L751" i="11"/>
  <c r="L835" i="11"/>
  <c r="L911" i="11"/>
  <c r="L1007" i="11"/>
  <c r="L1091" i="11"/>
  <c r="L1167" i="11"/>
  <c r="L1219" i="11"/>
  <c r="L1239" i="11"/>
  <c r="L1259" i="11"/>
  <c r="L1283" i="11"/>
  <c r="L1303" i="11"/>
  <c r="L1323" i="11"/>
  <c r="L1347" i="11"/>
  <c r="L1367" i="11"/>
  <c r="L1387" i="11"/>
  <c r="L1411" i="11"/>
  <c r="L1431" i="11"/>
  <c r="L1451" i="11"/>
  <c r="L1475" i="11"/>
  <c r="L1495" i="11"/>
  <c r="L1515" i="11"/>
  <c r="L1539" i="11"/>
  <c r="L1559" i="11"/>
  <c r="L1579" i="11"/>
  <c r="L1603" i="11"/>
  <c r="L1623" i="11"/>
  <c r="L1643" i="11"/>
  <c r="L1667" i="11"/>
  <c r="L1687" i="11"/>
  <c r="L1707" i="11"/>
  <c r="L1731" i="11"/>
  <c r="L1751" i="11"/>
  <c r="L1771" i="11"/>
  <c r="L1795" i="11"/>
  <c r="L1815" i="11"/>
  <c r="L1835" i="11"/>
  <c r="L1859" i="11"/>
  <c r="L1879" i="11"/>
  <c r="L1899" i="11"/>
  <c r="L1923" i="11"/>
  <c r="L1939" i="11"/>
  <c r="L1955" i="11"/>
  <c r="L1971" i="11"/>
  <c r="L1987" i="11"/>
  <c r="L2003" i="11"/>
  <c r="L2019" i="11"/>
  <c r="L2035" i="11"/>
  <c r="L2051" i="11"/>
  <c r="L2067" i="11"/>
  <c r="L2083" i="11"/>
  <c r="L2099" i="11"/>
  <c r="L2115" i="11"/>
  <c r="L2131" i="11"/>
  <c r="L2147" i="11"/>
  <c r="L2163" i="11"/>
  <c r="L2179" i="11"/>
  <c r="L2195" i="11"/>
  <c r="L2211" i="11"/>
  <c r="L2227" i="11"/>
  <c r="L2243" i="11"/>
  <c r="L2259" i="11"/>
  <c r="L2275" i="11"/>
  <c r="L2291" i="11"/>
  <c r="L2307" i="11"/>
  <c r="L2323" i="11"/>
  <c r="L2339" i="11"/>
  <c r="L2355" i="11"/>
  <c r="L2371" i="11"/>
  <c r="L2387" i="11"/>
  <c r="L2403" i="11"/>
  <c r="L2419" i="11"/>
  <c r="L2435" i="11"/>
  <c r="L2451" i="11"/>
  <c r="L2467" i="11"/>
  <c r="L2483" i="11"/>
  <c r="L2499" i="11"/>
  <c r="L2515" i="11"/>
  <c r="L2531" i="11"/>
  <c r="L2547" i="11"/>
  <c r="L2563" i="11"/>
  <c r="L2579" i="11"/>
  <c r="L2595" i="11"/>
  <c r="L2611" i="11"/>
  <c r="L2627" i="11"/>
  <c r="L2643" i="11"/>
  <c r="L2659" i="11"/>
  <c r="L2675" i="11"/>
  <c r="L2691" i="11"/>
  <c r="L2707" i="11"/>
  <c r="L2723" i="11"/>
  <c r="L2739" i="11"/>
  <c r="L2755" i="11"/>
  <c r="L2771" i="11"/>
  <c r="L2787" i="11"/>
  <c r="L2803" i="11"/>
  <c r="L2819" i="11"/>
  <c r="L2835" i="11"/>
  <c r="L2851" i="11"/>
  <c r="L2867" i="11"/>
  <c r="L2883" i="11"/>
  <c r="L2899" i="11"/>
  <c r="L2915" i="11"/>
  <c r="L2931" i="11"/>
  <c r="L2947" i="11"/>
  <c r="L2963" i="11"/>
  <c r="L2979" i="11"/>
  <c r="L2995" i="11"/>
  <c r="L3011" i="11"/>
  <c r="L3027" i="11"/>
  <c r="L3043" i="11"/>
  <c r="L3059" i="11"/>
  <c r="L3075" i="11"/>
  <c r="L3091" i="11"/>
  <c r="L3107" i="11"/>
  <c r="L3123" i="11"/>
  <c r="L3139" i="11"/>
  <c r="L3155" i="11"/>
  <c r="L3171" i="11"/>
  <c r="L3187" i="11"/>
  <c r="L3203" i="11"/>
  <c r="L3219" i="11"/>
  <c r="L3235" i="11"/>
  <c r="L3251" i="11"/>
  <c r="L3267" i="11"/>
  <c r="L3283" i="11"/>
  <c r="L3299" i="11"/>
  <c r="L3315" i="11"/>
  <c r="L3331" i="11"/>
  <c r="L3347" i="11"/>
  <c r="L3363" i="11"/>
  <c r="L3379" i="11"/>
  <c r="L3395" i="11"/>
  <c r="L3411" i="11"/>
  <c r="L3427" i="11"/>
  <c r="L3443" i="11"/>
  <c r="L3459" i="11"/>
  <c r="L3475" i="11"/>
  <c r="L3491" i="11"/>
  <c r="L89" i="11"/>
  <c r="L257" i="11"/>
  <c r="L336" i="11"/>
  <c r="L380" i="11"/>
  <c r="L422" i="11"/>
  <c r="L464" i="11"/>
  <c r="L496" i="11"/>
  <c r="L528" i="11"/>
  <c r="L734" i="11"/>
  <c r="L1546" i="11"/>
  <c r="L1870" i="11"/>
  <c r="L2114" i="11"/>
  <c r="L2298" i="11"/>
  <c r="L2442" i="11"/>
  <c r="L2610" i="11"/>
  <c r="L2714" i="11"/>
  <c r="L2830" i="11"/>
  <c r="L2958" i="11"/>
  <c r="L3066" i="11"/>
  <c r="L3162" i="11"/>
  <c r="L3290" i="11"/>
  <c r="L3406" i="11"/>
  <c r="L81" i="11"/>
  <c r="L421" i="11"/>
  <c r="L527" i="11"/>
  <c r="L643" i="11"/>
  <c r="L771" i="11"/>
  <c r="L879" i="11"/>
  <c r="L975" i="11"/>
  <c r="L1103" i="11"/>
  <c r="L1207" i="11"/>
  <c r="L1235" i="11"/>
  <c r="L1267" i="11"/>
  <c r="L1291" i="11"/>
  <c r="L1319" i="11"/>
  <c r="L1351" i="11"/>
  <c r="L1379" i="11"/>
  <c r="L1403" i="11"/>
  <c r="L1435" i="11"/>
  <c r="L1463" i="11"/>
  <c r="L1491" i="11"/>
  <c r="L1523" i="11"/>
  <c r="L1547" i="11"/>
  <c r="L1575" i="11"/>
  <c r="L1607" i="11"/>
  <c r="L1635" i="11"/>
  <c r="L1659" i="11"/>
  <c r="L1691" i="11"/>
  <c r="L1719" i="11"/>
  <c r="L1747" i="11"/>
  <c r="L1779" i="11"/>
  <c r="L1803" i="11"/>
  <c r="L1831" i="11"/>
  <c r="L1863" i="11"/>
  <c r="L1891" i="11"/>
  <c r="L1915" i="11"/>
  <c r="L1943" i="11"/>
  <c r="L1963" i="11"/>
  <c r="L1983" i="11"/>
  <c r="L2007" i="11"/>
  <c r="L2027" i="11"/>
  <c r="L2047" i="11"/>
  <c r="L2071" i="11"/>
  <c r="L2091" i="11"/>
  <c r="L2111" i="11"/>
  <c r="L2135" i="11"/>
  <c r="L2155" i="11"/>
  <c r="L2175" i="11"/>
  <c r="L2199" i="11"/>
  <c r="L2219" i="11"/>
  <c r="L2239" i="11"/>
  <c r="L2263" i="11"/>
  <c r="L2283" i="11"/>
  <c r="L2303" i="11"/>
  <c r="L2327" i="11"/>
  <c r="L2347" i="11"/>
  <c r="L2367" i="11"/>
  <c r="L2391" i="11"/>
  <c r="L2411" i="11"/>
  <c r="L2431" i="11"/>
  <c r="L2455" i="11"/>
  <c r="L2475" i="11"/>
  <c r="L2495" i="11"/>
  <c r="L2519" i="11"/>
  <c r="L2539" i="11"/>
  <c r="L2559" i="11"/>
  <c r="L2583" i="11"/>
  <c r="L2603" i="11"/>
  <c r="L2623" i="11"/>
  <c r="L2647" i="11"/>
  <c r="L2667" i="11"/>
  <c r="L2687" i="11"/>
  <c r="L2711" i="11"/>
  <c r="L2731" i="11"/>
  <c r="L2751" i="11"/>
  <c r="L2775" i="11"/>
  <c r="L2795" i="11"/>
  <c r="L2815" i="11"/>
  <c r="L2839" i="11"/>
  <c r="L2859" i="11"/>
  <c r="L2879" i="11"/>
  <c r="L2903" i="11"/>
  <c r="L2923" i="11"/>
  <c r="L2943" i="11"/>
  <c r="L2967" i="11"/>
  <c r="L2987" i="11"/>
  <c r="L3007" i="11"/>
  <c r="L3031" i="11"/>
  <c r="L3051" i="11"/>
  <c r="L3071" i="11"/>
  <c r="L3095" i="11"/>
  <c r="L3115" i="11"/>
  <c r="L3135" i="11"/>
  <c r="L3159" i="11"/>
  <c r="L3179" i="11"/>
  <c r="L3199" i="11"/>
  <c r="L3223" i="11"/>
  <c r="L3243" i="11"/>
  <c r="L3263" i="11"/>
  <c r="L3287" i="11"/>
  <c r="L3307" i="11"/>
  <c r="L3327" i="11"/>
  <c r="L3351" i="11"/>
  <c r="L3371" i="11"/>
  <c r="L3391" i="11"/>
  <c r="L3415" i="11"/>
  <c r="L3435" i="11"/>
  <c r="L3455" i="11"/>
  <c r="L3479" i="11"/>
  <c r="L3499" i="11"/>
  <c r="L217" i="11"/>
  <c r="L348" i="11"/>
  <c r="L401" i="11"/>
  <c r="L454" i="11"/>
  <c r="L504" i="11"/>
  <c r="L544" i="11"/>
  <c r="L576" i="11"/>
  <c r="L608" i="11"/>
  <c r="L640" i="11"/>
  <c r="L672" i="11"/>
  <c r="L704" i="11"/>
  <c r="L736" i="11"/>
  <c r="L768" i="11"/>
  <c r="L800" i="11"/>
  <c r="L832" i="11"/>
  <c r="L864" i="11"/>
  <c r="L896" i="11"/>
  <c r="L928" i="11"/>
  <c r="L960" i="11"/>
  <c r="L992" i="11"/>
  <c r="L1024" i="11"/>
  <c r="L1056" i="11"/>
  <c r="L1088" i="11"/>
  <c r="L1120" i="11"/>
  <c r="L1152" i="11"/>
  <c r="L1184" i="11"/>
  <c r="L1216" i="11"/>
  <c r="L1248" i="11"/>
  <c r="L1280" i="11"/>
  <c r="L1312" i="11"/>
  <c r="L1344" i="11"/>
  <c r="L1376" i="11"/>
  <c r="L1408" i="11"/>
  <c r="L1440" i="11"/>
  <c r="L1472" i="11"/>
  <c r="L1504" i="11"/>
  <c r="L1536" i="11"/>
  <c r="L1568" i="11"/>
  <c r="L1600" i="11"/>
  <c r="L1632" i="11"/>
  <c r="L1664" i="11"/>
  <c r="L1696" i="11"/>
  <c r="L1728" i="11"/>
  <c r="L1760" i="11"/>
  <c r="L1792" i="11"/>
  <c r="L1824" i="11"/>
  <c r="L1856" i="11"/>
  <c r="L1888" i="11"/>
  <c r="L1920" i="11"/>
  <c r="L1952" i="11"/>
  <c r="L1984" i="11"/>
  <c r="L2016" i="11"/>
  <c r="L2048" i="11"/>
  <c r="L2080" i="11"/>
  <c r="L2112" i="11"/>
  <c r="L2144" i="11"/>
  <c r="L2176" i="11"/>
  <c r="L2208" i="11"/>
  <c r="L2240" i="11"/>
  <c r="L2272" i="11"/>
  <c r="L2304" i="11"/>
  <c r="L2336" i="11"/>
  <c r="L2368" i="11"/>
  <c r="L2400" i="11"/>
  <c r="L2432" i="11"/>
  <c r="L2464" i="11"/>
  <c r="L2496" i="11"/>
  <c r="L2528" i="11"/>
  <c r="L2560" i="11"/>
  <c r="L2592" i="11"/>
  <c r="L2624" i="11"/>
  <c r="L2656" i="11"/>
  <c r="L2688" i="11"/>
  <c r="L2720" i="11"/>
  <c r="L2752" i="11"/>
  <c r="L2784" i="11"/>
  <c r="L2816" i="11"/>
  <c r="L2848" i="11"/>
  <c r="L2880" i="11"/>
  <c r="L2912" i="11"/>
  <c r="L2944" i="11"/>
  <c r="L2976" i="11"/>
  <c r="L3008" i="11"/>
  <c r="L3040" i="11"/>
  <c r="L3072" i="11"/>
  <c r="L3104" i="11"/>
  <c r="L3136" i="11"/>
  <c r="L3168" i="11"/>
  <c r="L3200" i="11"/>
  <c r="L3232" i="11"/>
  <c r="L3264" i="11"/>
  <c r="L3296" i="11"/>
  <c r="L3328" i="11"/>
  <c r="L3360" i="11"/>
  <c r="L3392" i="11"/>
  <c r="L3424" i="11"/>
  <c r="L3456" i="11"/>
  <c r="L3488" i="11"/>
  <c r="L93" i="11"/>
  <c r="L265" i="11"/>
  <c r="L337" i="11"/>
  <c r="L381" i="11"/>
  <c r="L424" i="11"/>
  <c r="L465" i="11"/>
  <c r="L497" i="11"/>
  <c r="L529" i="11"/>
  <c r="L561" i="11"/>
  <c r="L593" i="11"/>
  <c r="L625" i="11"/>
  <c r="L657" i="11"/>
  <c r="L689" i="11"/>
  <c r="L721" i="11"/>
  <c r="L753" i="11"/>
  <c r="L785" i="11"/>
  <c r="L817" i="11"/>
  <c r="L849" i="11"/>
  <c r="L881" i="11"/>
  <c r="L913" i="11"/>
  <c r="L945" i="11"/>
  <c r="L977" i="11"/>
  <c r="L1009" i="11"/>
  <c r="L1041" i="11"/>
  <c r="L1073" i="11"/>
  <c r="L1105" i="11"/>
  <c r="L1137" i="11"/>
  <c r="L1169" i="11"/>
  <c r="L1201" i="11"/>
  <c r="L1233" i="11"/>
  <c r="L1265" i="11"/>
  <c r="L1297" i="11"/>
  <c r="L1329" i="11"/>
  <c r="L1361" i="11"/>
  <c r="L1393" i="11"/>
  <c r="L1425" i="11"/>
  <c r="L1457" i="11"/>
  <c r="L1489" i="11"/>
  <c r="L1521" i="11"/>
  <c r="L1553" i="11"/>
  <c r="L1585" i="11"/>
  <c r="L1617" i="11"/>
  <c r="L1649" i="11"/>
  <c r="L1681" i="11"/>
  <c r="L1713" i="11"/>
  <c r="L1745" i="11"/>
  <c r="L1777" i="11"/>
  <c r="L1809" i="11"/>
  <c r="L1841" i="11"/>
  <c r="L1873" i="11"/>
  <c r="L1905" i="11"/>
  <c r="L1937" i="11"/>
  <c r="L1969" i="11"/>
  <c r="L2001" i="11"/>
  <c r="L2033" i="11"/>
  <c r="L2065" i="11"/>
  <c r="L2097" i="11"/>
  <c r="L2129" i="11"/>
  <c r="L2161" i="11"/>
  <c r="L2193" i="11"/>
  <c r="L2225" i="11"/>
  <c r="L2257" i="11"/>
  <c r="L2289" i="11"/>
  <c r="L2321" i="11"/>
  <c r="L2353" i="11"/>
  <c r="L2385" i="11"/>
  <c r="L2417" i="11"/>
  <c r="L2449" i="11"/>
  <c r="L2481" i="11"/>
  <c r="L2513" i="11"/>
  <c r="L2545" i="11"/>
  <c r="L2577" i="11"/>
  <c r="L2609" i="11"/>
  <c r="L2641" i="11"/>
  <c r="L2673" i="11"/>
  <c r="L2705" i="11"/>
  <c r="L2737" i="11"/>
  <c r="L2769" i="11"/>
  <c r="L2801" i="11"/>
  <c r="L2833" i="11"/>
  <c r="L2865" i="11"/>
  <c r="L2897" i="11"/>
  <c r="L2929" i="11"/>
  <c r="L2961" i="11"/>
  <c r="L2993" i="11"/>
  <c r="L3025" i="11"/>
  <c r="L3057" i="11"/>
  <c r="L3089" i="11"/>
  <c r="L3121" i="11"/>
  <c r="L3153" i="11"/>
  <c r="L3185" i="11"/>
  <c r="L3217" i="11"/>
  <c r="L3249" i="11"/>
  <c r="L3281" i="11"/>
  <c r="L3313" i="11"/>
  <c r="L3345" i="11"/>
  <c r="L3377" i="11"/>
  <c r="L3409" i="11"/>
  <c r="L3441" i="11"/>
  <c r="L3473" i="11"/>
  <c r="L73" i="11"/>
  <c r="L330" i="11"/>
  <c r="L418" i="11"/>
  <c r="L493" i="11"/>
  <c r="L557" i="11"/>
  <c r="L621" i="11"/>
  <c r="L685" i="11"/>
  <c r="L749" i="11"/>
  <c r="L813" i="11"/>
  <c r="L877" i="11"/>
  <c r="L941" i="11"/>
  <c r="L1005" i="11"/>
  <c r="L1069" i="11"/>
  <c r="L1133" i="11"/>
  <c r="L1197" i="11"/>
  <c r="L1261" i="11"/>
  <c r="L1325" i="11"/>
  <c r="L1389" i="11"/>
  <c r="L1453" i="11"/>
  <c r="L1517" i="11"/>
  <c r="L1581" i="11"/>
  <c r="L862" i="11"/>
  <c r="L1778" i="11"/>
  <c r="L2054" i="11"/>
  <c r="L2314" i="11"/>
  <c r="L2526" i="11"/>
  <c r="L2702" i="11"/>
  <c r="L2874" i="11"/>
  <c r="L3002" i="11"/>
  <c r="L3150" i="11"/>
  <c r="L3322" i="11"/>
  <c r="L3470" i="11"/>
  <c r="L362" i="11"/>
  <c r="L559" i="11"/>
  <c r="L707" i="11"/>
  <c r="L847" i="11"/>
  <c r="L1027" i="11"/>
  <c r="L1155" i="11"/>
  <c r="L1227" i="11"/>
  <c r="L1271" i="11"/>
  <c r="L1307" i="11"/>
  <c r="L1339" i="11"/>
  <c r="L1383" i="11"/>
  <c r="L1419" i="11"/>
  <c r="L1459" i="11"/>
  <c r="L1499" i="11"/>
  <c r="L1531" i="11"/>
  <c r="L1571" i="11"/>
  <c r="L1611" i="11"/>
  <c r="L1651" i="11"/>
  <c r="L1683" i="11"/>
  <c r="L1723" i="11"/>
  <c r="L1763" i="11"/>
  <c r="L1799" i="11"/>
  <c r="L1843" i="11"/>
  <c r="L1875" i="11"/>
  <c r="L1911" i="11"/>
  <c r="L1947" i="11"/>
  <c r="L1975" i="11"/>
  <c r="L1999" i="11"/>
  <c r="L2031" i="11"/>
  <c r="L2059" i="11"/>
  <c r="L2087" i="11"/>
  <c r="L2119" i="11"/>
  <c r="L2143" i="11"/>
  <c r="L2171" i="11"/>
  <c r="L2203" i="11"/>
  <c r="L2231" i="11"/>
  <c r="L2255" i="11"/>
  <c r="L2287" i="11"/>
  <c r="L2315" i="11"/>
  <c r="L2343" i="11"/>
  <c r="L2375" i="11"/>
  <c r="L2399" i="11"/>
  <c r="L2427" i="11"/>
  <c r="L2459" i="11"/>
  <c r="L2487" i="11"/>
  <c r="L2511" i="11"/>
  <c r="L2543" i="11"/>
  <c r="L2571" i="11"/>
  <c r="L2599" i="11"/>
  <c r="L2631" i="11"/>
  <c r="L2655" i="11"/>
  <c r="L2683" i="11"/>
  <c r="L2715" i="11"/>
  <c r="L2743" i="11"/>
  <c r="L2767" i="11"/>
  <c r="L2799" i="11"/>
  <c r="L2827" i="11"/>
  <c r="L2855" i="11"/>
  <c r="L2887" i="11"/>
  <c r="L2911" i="11"/>
  <c r="L2939" i="11"/>
  <c r="L2971" i="11"/>
  <c r="L2999" i="11"/>
  <c r="L3023" i="11"/>
  <c r="L3055" i="11"/>
  <c r="L3083" i="11"/>
  <c r="L3111" i="11"/>
  <c r="L3143" i="11"/>
  <c r="L3167" i="11"/>
  <c r="L3195" i="11"/>
  <c r="L3227" i="11"/>
  <c r="L3255" i="11"/>
  <c r="L3279" i="11"/>
  <c r="L3311" i="11"/>
  <c r="L3339" i="11"/>
  <c r="L3367" i="11"/>
  <c r="L3399" i="11"/>
  <c r="L3423" i="11"/>
  <c r="L3451" i="11"/>
  <c r="L3483" i="11"/>
  <c r="L129" i="11"/>
  <c r="L321" i="11"/>
  <c r="L412" i="11"/>
  <c r="L480" i="11"/>
  <c r="L536" i="11"/>
  <c r="L584" i="11"/>
  <c r="L624" i="11"/>
  <c r="L664" i="11"/>
  <c r="L712" i="11"/>
  <c r="L752" i="11"/>
  <c r="L792" i="11"/>
  <c r="L840" i="11"/>
  <c r="L880" i="11"/>
  <c r="L920" i="11"/>
  <c r="L968" i="11"/>
  <c r="L1008" i="11"/>
  <c r="L1048" i="11"/>
  <c r="L1096" i="11"/>
  <c r="L1136" i="11"/>
  <c r="L1176" i="11"/>
  <c r="L1224" i="11"/>
  <c r="L1264" i="11"/>
  <c r="L1304" i="11"/>
  <c r="L1352" i="11"/>
  <c r="L1392" i="11"/>
  <c r="L1432" i="11"/>
  <c r="L1480" i="11"/>
  <c r="L1520" i="11"/>
  <c r="L1560" i="11"/>
  <c r="L1608" i="11"/>
  <c r="L1648" i="11"/>
  <c r="L1688" i="11"/>
  <c r="L1736" i="11"/>
  <c r="L1776" i="11"/>
  <c r="L1816" i="11"/>
  <c r="L1864" i="11"/>
  <c r="L1904" i="11"/>
  <c r="L1944" i="11"/>
  <c r="L1992" i="11"/>
  <c r="L2032" i="11"/>
  <c r="L2072" i="11"/>
  <c r="L2120" i="11"/>
  <c r="L2160" i="11"/>
  <c r="L2200" i="11"/>
  <c r="L2248" i="11"/>
  <c r="L2288" i="11"/>
  <c r="L2328" i="11"/>
  <c r="L2376" i="11"/>
  <c r="L2416" i="11"/>
  <c r="L2456" i="11"/>
  <c r="L2504" i="11"/>
  <c r="L2544" i="11"/>
  <c r="L2584" i="11"/>
  <c r="L2632" i="11"/>
  <c r="L2672" i="11"/>
  <c r="L2712" i="11"/>
  <c r="L2760" i="11"/>
  <c r="L2800" i="11"/>
  <c r="L2840" i="11"/>
  <c r="L2888" i="11"/>
  <c r="L2928" i="11"/>
  <c r="L2968" i="11"/>
  <c r="L3016" i="11"/>
  <c r="L3056" i="11"/>
  <c r="L3096" i="11"/>
  <c r="L3144" i="11"/>
  <c r="L3184" i="11"/>
  <c r="L3224" i="11"/>
  <c r="L3272" i="11"/>
  <c r="L3312" i="11"/>
  <c r="L3352" i="11"/>
  <c r="L3400" i="11"/>
  <c r="L3440" i="11"/>
  <c r="L3480" i="11"/>
  <c r="L137" i="11"/>
  <c r="L308" i="11"/>
  <c r="L370" i="11"/>
  <c r="L434" i="11"/>
  <c r="L481" i="11"/>
  <c r="L521" i="11"/>
  <c r="L569" i="11"/>
  <c r="L609" i="11"/>
  <c r="L649" i="11"/>
  <c r="L697" i="11"/>
  <c r="L737" i="11"/>
  <c r="L777" i="11"/>
  <c r="L825" i="11"/>
  <c r="L865" i="11"/>
  <c r="L905" i="11"/>
  <c r="L953" i="11"/>
  <c r="L993" i="11"/>
  <c r="L1033" i="11"/>
  <c r="L1081" i="11"/>
  <c r="L1121" i="11"/>
  <c r="L1161" i="11"/>
  <c r="L1209" i="11"/>
  <c r="L1249" i="11"/>
  <c r="L1289" i="11"/>
  <c r="L1337" i="11"/>
  <c r="L1377" i="11"/>
  <c r="L1417" i="11"/>
  <c r="L1465" i="11"/>
  <c r="L1505" i="11"/>
  <c r="L1545" i="11"/>
  <c r="L1593" i="11"/>
  <c r="L1633" i="11"/>
  <c r="L1673" i="11"/>
  <c r="L1721" i="11"/>
  <c r="L1761" i="11"/>
  <c r="L1801" i="11"/>
  <c r="L1849" i="11"/>
  <c r="L1889" i="11"/>
  <c r="L1929" i="11"/>
  <c r="L1977" i="11"/>
  <c r="L2017" i="11"/>
  <c r="L2057" i="11"/>
  <c r="L2105" i="11"/>
  <c r="L2145" i="11"/>
  <c r="L2185" i="11"/>
  <c r="L2233" i="11"/>
  <c r="L2273" i="11"/>
  <c r="L2313" i="11"/>
  <c r="L2361" i="11"/>
  <c r="L2401" i="11"/>
  <c r="L2441" i="11"/>
  <c r="L2489" i="11"/>
  <c r="L2529" i="11"/>
  <c r="L2569" i="11"/>
  <c r="L2617" i="11"/>
  <c r="L2657" i="11"/>
  <c r="L2697" i="11"/>
  <c r="L2745" i="11"/>
  <c r="L2785" i="11"/>
  <c r="L2825" i="11"/>
  <c r="L2873" i="11"/>
  <c r="L2913" i="11"/>
  <c r="L2953" i="11"/>
  <c r="L3001" i="11"/>
  <c r="L3041" i="11"/>
  <c r="L3081" i="11"/>
  <c r="L3129" i="11"/>
  <c r="L3169" i="11"/>
  <c r="L3209" i="11"/>
  <c r="L3257" i="11"/>
  <c r="L3297" i="11"/>
  <c r="L3337" i="11"/>
  <c r="L3385" i="11"/>
  <c r="L3425" i="11"/>
  <c r="L3465" i="11"/>
  <c r="L157" i="11"/>
  <c r="L376" i="11"/>
  <c r="L477" i="11"/>
  <c r="L573" i="11"/>
  <c r="L653" i="11"/>
  <c r="L733" i="11"/>
  <c r="L829" i="11"/>
  <c r="L909" i="11"/>
  <c r="L989" i="11"/>
  <c r="L1085" i="11"/>
  <c r="L1165" i="11"/>
  <c r="L1245" i="11"/>
  <c r="L1341" i="11"/>
  <c r="L1421" i="11"/>
  <c r="L1501" i="11"/>
  <c r="L1597" i="11"/>
  <c r="L1661" i="11"/>
  <c r="L1725" i="11"/>
  <c r="L1789" i="11"/>
  <c r="L1853" i="11"/>
  <c r="L1917" i="11"/>
  <c r="L1981" i="11"/>
  <c r="L2045" i="11"/>
  <c r="L2109" i="11"/>
  <c r="L2173" i="11"/>
  <c r="L2237" i="11"/>
  <c r="L2301" i="11"/>
  <c r="L2365" i="11"/>
  <c r="L2429" i="11"/>
  <c r="L2493" i="11"/>
  <c r="L2557" i="11"/>
  <c r="L2621" i="11"/>
  <c r="L2685" i="11"/>
  <c r="L2749" i="11"/>
  <c r="L2813" i="11"/>
  <c r="L2877" i="11"/>
  <c r="L2941" i="11"/>
  <c r="L3005" i="11"/>
  <c r="L3069" i="11"/>
  <c r="L3133" i="11"/>
  <c r="L3197" i="11"/>
  <c r="L3261" i="11"/>
  <c r="L3325" i="11"/>
  <c r="L3389" i="11"/>
  <c r="L3453" i="11"/>
  <c r="L25" i="11"/>
  <c r="L314" i="11"/>
  <c r="L406" i="11"/>
  <c r="L484" i="11"/>
  <c r="L548" i="11"/>
  <c r="L612" i="11"/>
  <c r="L676" i="11"/>
  <c r="L740" i="11"/>
  <c r="L804" i="11"/>
  <c r="L868" i="11"/>
  <c r="L932" i="11"/>
  <c r="L996" i="11"/>
  <c r="L1060" i="11"/>
  <c r="L1124" i="11"/>
  <c r="L1188" i="11"/>
  <c r="L1252" i="11"/>
  <c r="L1316" i="11"/>
  <c r="L1380" i="11"/>
  <c r="L1444" i="11"/>
  <c r="L1508" i="11"/>
  <c r="L1572" i="11"/>
  <c r="L1636" i="11"/>
  <c r="L1700" i="11"/>
  <c r="L1764" i="11"/>
  <c r="L1828" i="11"/>
  <c r="L1892" i="11"/>
  <c r="L1956" i="11"/>
  <c r="L2020" i="11"/>
  <c r="L2084" i="11"/>
  <c r="L2148" i="11"/>
  <c r="L2212" i="11"/>
  <c r="L2276" i="11"/>
  <c r="L2340" i="11"/>
  <c r="L2404" i="11"/>
  <c r="L2468" i="11"/>
  <c r="L2532" i="11"/>
  <c r="L2596" i="11"/>
  <c r="L2660" i="11"/>
  <c r="L2724" i="11"/>
  <c r="L2788" i="11"/>
  <c r="L2852" i="11"/>
  <c r="L2916" i="11"/>
  <c r="L2980" i="11"/>
  <c r="L3044" i="11"/>
  <c r="L3108" i="11"/>
  <c r="L3172" i="11"/>
  <c r="L3236" i="11"/>
  <c r="L3300" i="11"/>
  <c r="L3364" i="11"/>
  <c r="L3428" i="11"/>
  <c r="L3492" i="11"/>
  <c r="L365" i="11"/>
  <c r="L517" i="11"/>
  <c r="L645" i="11"/>
  <c r="L773" i="11"/>
  <c r="L901" i="11"/>
  <c r="L1029" i="11"/>
  <c r="L1157" i="11"/>
  <c r="L1285" i="11"/>
  <c r="L1413" i="11"/>
  <c r="L1541" i="11"/>
  <c r="L1669" i="11"/>
  <c r="L1797" i="11"/>
  <c r="L1925" i="11"/>
  <c r="L2053" i="11"/>
  <c r="L2181" i="11"/>
  <c r="L2309" i="11"/>
  <c r="L2437" i="11"/>
  <c r="L2565" i="11"/>
  <c r="L2693" i="11"/>
  <c r="L2821" i="11"/>
  <c r="L2949" i="11"/>
  <c r="L3077" i="11"/>
  <c r="L3205" i="11"/>
  <c r="L3333" i="11"/>
  <c r="L3461" i="11"/>
  <c r="L329" i="11"/>
  <c r="L492" i="11"/>
  <c r="L620" i="11"/>
  <c r="L748" i="11"/>
  <c r="L876" i="11"/>
  <c r="L1004" i="11"/>
  <c r="L1132" i="11"/>
  <c r="L1260" i="11"/>
  <c r="L1388" i="11"/>
  <c r="L1516" i="11"/>
  <c r="L1644" i="11"/>
  <c r="L1772" i="11"/>
  <c r="L1900" i="11"/>
  <c r="L2028" i="11"/>
  <c r="L2156" i="11"/>
  <c r="L2284" i="11"/>
  <c r="L2412" i="11"/>
  <c r="L2540" i="11"/>
  <c r="L2668" i="11"/>
  <c r="L2796" i="11"/>
  <c r="L2924" i="11"/>
  <c r="L3052" i="11"/>
  <c r="L3180" i="11"/>
  <c r="L3308" i="11"/>
  <c r="L3436" i="11"/>
  <c r="L344" i="11"/>
  <c r="L629" i="11"/>
  <c r="L885" i="11"/>
  <c r="L1141" i="11"/>
  <c r="L1397" i="11"/>
  <c r="L1653" i="11"/>
  <c r="L1909" i="11"/>
  <c r="L2165" i="11"/>
  <c r="L2421" i="11"/>
  <c r="L2677" i="11"/>
  <c r="L2933" i="11"/>
  <c r="L3189" i="11"/>
  <c r="L3445" i="11"/>
  <c r="L533" i="11"/>
  <c r="L789" i="11"/>
  <c r="L1045" i="11"/>
  <c r="L1301" i="11"/>
  <c r="L1557" i="11"/>
  <c r="L1813" i="11"/>
  <c r="L2069" i="11"/>
  <c r="L2325" i="11"/>
  <c r="L2581" i="11"/>
  <c r="L2837" i="11"/>
  <c r="L3093" i="11"/>
  <c r="L3349" i="11"/>
  <c r="L396" i="11"/>
  <c r="L668" i="11"/>
  <c r="L924" i="11"/>
  <c r="L1180" i="11"/>
  <c r="L1436" i="11"/>
  <c r="L1692" i="11"/>
  <c r="L1948" i="11"/>
  <c r="L2204" i="11"/>
  <c r="L2460" i="11"/>
  <c r="L2716" i="11"/>
  <c r="L2972" i="11"/>
  <c r="L3228" i="11"/>
  <c r="L3484" i="11"/>
  <c r="L508" i="11"/>
  <c r="L764" i="11"/>
  <c r="L1020" i="11"/>
  <c r="L1276" i="11"/>
  <c r="L1532" i="11"/>
  <c r="L1788" i="11"/>
  <c r="L2044" i="11"/>
  <c r="L2300" i="11"/>
  <c r="L2556" i="11"/>
  <c r="L2812" i="11"/>
  <c r="L3068" i="11"/>
  <c r="L3324" i="11"/>
  <c r="L244" i="11"/>
  <c r="L180" i="11"/>
  <c r="L116" i="11"/>
  <c r="L52" i="11"/>
  <c r="L327" i="11"/>
  <c r="L263" i="11"/>
  <c r="L199" i="11"/>
  <c r="L135" i="11"/>
  <c r="L71" i="11"/>
  <c r="L7" i="11"/>
  <c r="L254" i="11"/>
  <c r="L190" i="11"/>
  <c r="L126" i="11"/>
  <c r="L62" i="11"/>
  <c r="L252" i="11"/>
  <c r="L108" i="11"/>
  <c r="L319" i="11"/>
  <c r="L191" i="11"/>
  <c r="L63" i="11"/>
  <c r="L246" i="11"/>
  <c r="L118" i="11"/>
  <c r="L264" i="11"/>
  <c r="L200" i="11"/>
  <c r="L136" i="11"/>
  <c r="L72" i="11"/>
  <c r="L8" i="11"/>
  <c r="L283" i="11"/>
  <c r="L219" i="11"/>
  <c r="L155" i="11"/>
  <c r="L91" i="11"/>
  <c r="L27" i="11"/>
  <c r="L274" i="11"/>
  <c r="L210" i="11"/>
  <c r="L146" i="11"/>
  <c r="L82" i="11"/>
  <c r="L18" i="11"/>
  <c r="L208" i="11"/>
  <c r="L144" i="11"/>
  <c r="L80" i="11"/>
  <c r="L16" i="11"/>
  <c r="L291" i="11"/>
  <c r="L227" i="11"/>
  <c r="L163" i="11"/>
  <c r="L99" i="11"/>
  <c r="L35" i="11"/>
  <c r="L282" i="11"/>
  <c r="L218" i="11"/>
  <c r="L154" i="11"/>
  <c r="L90" i="11"/>
  <c r="L26" i="11"/>
  <c r="L188" i="11"/>
  <c r="L60" i="11"/>
  <c r="L271" i="11"/>
  <c r="L143" i="11"/>
  <c r="L15" i="11"/>
  <c r="L198" i="11"/>
  <c r="L70" i="11"/>
  <c r="L1098" i="11"/>
  <c r="L1842" i="11"/>
  <c r="L2170" i="11"/>
  <c r="L2382" i="11"/>
  <c r="L2554" i="11"/>
  <c r="L2746" i="11"/>
  <c r="L2894" i="11"/>
  <c r="L3034" i="11"/>
  <c r="L3214" i="11"/>
  <c r="L3342" i="11"/>
  <c r="L3482" i="11"/>
  <c r="L448" i="11"/>
  <c r="L591" i="11"/>
  <c r="L719" i="11"/>
  <c r="L899" i="11"/>
  <c r="L1039" i="11"/>
  <c r="L1199" i="11"/>
  <c r="L1243" i="11"/>
  <c r="L1275" i="11"/>
  <c r="L1315" i="11"/>
  <c r="L1355" i="11"/>
  <c r="L1395" i="11"/>
  <c r="L1427" i="11"/>
  <c r="L1467" i="11"/>
  <c r="L1507" i="11"/>
  <c r="L1543" i="11"/>
  <c r="L1587" i="11"/>
  <c r="L1619" i="11"/>
  <c r="L1655" i="11"/>
  <c r="L1699" i="11"/>
  <c r="L1735" i="11"/>
  <c r="L1767" i="11"/>
  <c r="L1811" i="11"/>
  <c r="L1847" i="11"/>
  <c r="L1883" i="11"/>
  <c r="L1927" i="11"/>
  <c r="L1951" i="11"/>
  <c r="L1979" i="11"/>
  <c r="L2011" i="11"/>
  <c r="L2039" i="11"/>
  <c r="L2063" i="11"/>
  <c r="L2095" i="11"/>
  <c r="L2123" i="11"/>
  <c r="L2151" i="11"/>
  <c r="L2183" i="11"/>
  <c r="L2207" i="11"/>
  <c r="L2235" i="11"/>
  <c r="L2267" i="11"/>
  <c r="L2295" i="11"/>
  <c r="L2319" i="11"/>
  <c r="L2351" i="11"/>
  <c r="L2379" i="11"/>
  <c r="L2407" i="11"/>
  <c r="L2439" i="11"/>
  <c r="L2463" i="11"/>
  <c r="L2491" i="11"/>
  <c r="L2523" i="11"/>
  <c r="L2551" i="11"/>
  <c r="L2575" i="11"/>
  <c r="L2607" i="11"/>
  <c r="L2635" i="11"/>
  <c r="L2663" i="11"/>
  <c r="L2695" i="11"/>
  <c r="L2719" i="11"/>
  <c r="L2747" i="11"/>
  <c r="L2779" i="11"/>
  <c r="L2807" i="11"/>
  <c r="L2831" i="11"/>
  <c r="L2863" i="11"/>
  <c r="L2891" i="11"/>
  <c r="L2919" i="11"/>
  <c r="L2951" i="11"/>
  <c r="L2975" i="11"/>
  <c r="L3003" i="11"/>
  <c r="L3035" i="11"/>
  <c r="L3063" i="11"/>
  <c r="L3087" i="11"/>
  <c r="L3119" i="11"/>
  <c r="L3147" i="11"/>
  <c r="L3175" i="11"/>
  <c r="L3207" i="11"/>
  <c r="L3231" i="11"/>
  <c r="L3259" i="11"/>
  <c r="L3291" i="11"/>
  <c r="L3319" i="11"/>
  <c r="L1314" i="11"/>
  <c r="L2202" i="11"/>
  <c r="L2638" i="11"/>
  <c r="L2906" i="11"/>
  <c r="L3226" i="11"/>
  <c r="L253" i="11"/>
  <c r="L623" i="11"/>
  <c r="L943" i="11"/>
  <c r="L1211" i="11"/>
  <c r="L1287" i="11"/>
  <c r="L1363" i="11"/>
  <c r="L1443" i="11"/>
  <c r="L1511" i="11"/>
  <c r="L1591" i="11"/>
  <c r="L1671" i="11"/>
  <c r="L1739" i="11"/>
  <c r="L1819" i="11"/>
  <c r="L1895" i="11"/>
  <c r="L1959" i="11"/>
  <c r="L2015" i="11"/>
  <c r="L2075" i="11"/>
  <c r="L2127" i="11"/>
  <c r="L2187" i="11"/>
  <c r="L2247" i="11"/>
  <c r="L2299" i="11"/>
  <c r="L2359" i="11"/>
  <c r="L2415" i="11"/>
  <c r="L2471" i="11"/>
  <c r="L2527" i="11"/>
  <c r="L2587" i="11"/>
  <c r="L2639" i="11"/>
  <c r="L2699" i="11"/>
  <c r="L2759" i="11"/>
  <c r="L2811" i="11"/>
  <c r="L2871" i="11"/>
  <c r="L2927" i="11"/>
  <c r="L2983" i="11"/>
  <c r="L3039" i="11"/>
  <c r="L3099" i="11"/>
  <c r="L3151" i="11"/>
  <c r="L3211" i="11"/>
  <c r="L3271" i="11"/>
  <c r="L3323" i="11"/>
  <c r="L3359" i="11"/>
  <c r="L3403" i="11"/>
  <c r="L3439" i="11"/>
  <c r="L3471" i="11"/>
  <c r="L173" i="11"/>
  <c r="L369" i="11"/>
  <c r="L472" i="11"/>
  <c r="L552" i="11"/>
  <c r="L600" i="11"/>
  <c r="L656" i="11"/>
  <c r="L720" i="11"/>
  <c r="L776" i="11"/>
  <c r="L824" i="11"/>
  <c r="L888" i="11"/>
  <c r="L944" i="11"/>
  <c r="L1000" i="11"/>
  <c r="L1064" i="11"/>
  <c r="L1112" i="11"/>
  <c r="L1168" i="11"/>
  <c r="L1232" i="11"/>
  <c r="L1288" i="11"/>
  <c r="L1336" i="11"/>
  <c r="L1400" i="11"/>
  <c r="L1456" i="11"/>
  <c r="L1512" i="11"/>
  <c r="L1576" i="11"/>
  <c r="L1624" i="11"/>
  <c r="L1680" i="11"/>
  <c r="L1744" i="11"/>
  <c r="L1800" i="11"/>
  <c r="L1848" i="11"/>
  <c r="L1912" i="11"/>
  <c r="L1968" i="11"/>
  <c r="L2024" i="11"/>
  <c r="L2088" i="11"/>
  <c r="L2136" i="11"/>
  <c r="L2192" i="11"/>
  <c r="L2256" i="11"/>
  <c r="L2312" i="11"/>
  <c r="L2360" i="11"/>
  <c r="L2424" i="11"/>
  <c r="L2480" i="11"/>
  <c r="L2536" i="11"/>
  <c r="L2600" i="11"/>
  <c r="L2648" i="11"/>
  <c r="L2704" i="11"/>
  <c r="L2768" i="11"/>
  <c r="L2824" i="11"/>
  <c r="L2872" i="11"/>
  <c r="L2936" i="11"/>
  <c r="L2992" i="11"/>
  <c r="L3048" i="11"/>
  <c r="L3112" i="11"/>
  <c r="L3160" i="11"/>
  <c r="L3216" i="11"/>
  <c r="L3280" i="11"/>
  <c r="L3336" i="11"/>
  <c r="L3384" i="11"/>
  <c r="L3448" i="11"/>
  <c r="L9" i="11"/>
  <c r="L285" i="11"/>
  <c r="L392" i="11"/>
  <c r="L456" i="11"/>
  <c r="L513" i="11"/>
  <c r="L577" i="11"/>
  <c r="L633" i="11"/>
  <c r="L681" i="11"/>
  <c r="L745" i="11"/>
  <c r="L801" i="11"/>
  <c r="L857" i="11"/>
  <c r="L921" i="11"/>
  <c r="L969" i="11"/>
  <c r="L1025" i="11"/>
  <c r="L1089" i="11"/>
  <c r="L1145" i="11"/>
  <c r="L1193" i="11"/>
  <c r="L1257" i="11"/>
  <c r="L1313" i="11"/>
  <c r="L1369" i="11"/>
  <c r="L1433" i="11"/>
  <c r="L1481" i="11"/>
  <c r="L1537" i="11"/>
  <c r="L1601" i="11"/>
  <c r="L1657" i="11"/>
  <c r="L1705" i="11"/>
  <c r="L1769" i="11"/>
  <c r="L1825" i="11"/>
  <c r="L1881" i="11"/>
  <c r="L1945" i="11"/>
  <c r="L1993" i="11"/>
  <c r="L2049" i="11"/>
  <c r="L2113" i="11"/>
  <c r="L2169" i="11"/>
  <c r="L2217" i="11"/>
  <c r="L2281" i="11"/>
  <c r="L2337" i="11"/>
  <c r="L2393" i="11"/>
  <c r="L2457" i="11"/>
  <c r="L2505" i="11"/>
  <c r="L2561" i="11"/>
  <c r="L2625" i="11"/>
  <c r="L2681" i="11"/>
  <c r="L2729" i="11"/>
  <c r="L2793" i="11"/>
  <c r="L2849" i="11"/>
  <c r="L2905" i="11"/>
  <c r="L2969" i="11"/>
  <c r="L3017" i="11"/>
  <c r="L3073" i="11"/>
  <c r="L3137" i="11"/>
  <c r="L3193" i="11"/>
  <c r="L3241" i="11"/>
  <c r="L3305" i="11"/>
  <c r="L3361" i="11"/>
  <c r="L3417" i="11"/>
  <c r="L3481" i="11"/>
  <c r="L297" i="11"/>
  <c r="L461" i="11"/>
  <c r="L589" i="11"/>
  <c r="L701" i="11"/>
  <c r="L797" i="11"/>
  <c r="L925" i="11"/>
  <c r="L1037" i="11"/>
  <c r="L1149" i="11"/>
  <c r="L1277" i="11"/>
  <c r="L1373" i="11"/>
  <c r="L1485" i="11"/>
  <c r="L1613" i="11"/>
  <c r="L1693" i="11"/>
  <c r="L1773" i="11"/>
  <c r="L1869" i="11"/>
  <c r="L1949" i="11"/>
  <c r="L2029" i="11"/>
  <c r="L2125" i="11"/>
  <c r="L2205" i="11"/>
  <c r="L1614" i="11"/>
  <c r="L2270" i="11"/>
  <c r="L2650" i="11"/>
  <c r="L2970" i="11"/>
  <c r="L3258" i="11"/>
  <c r="L334" i="11"/>
  <c r="L687" i="11"/>
  <c r="L963" i="11"/>
  <c r="L1223" i="11"/>
  <c r="L1299" i="11"/>
  <c r="L1371" i="11"/>
  <c r="L1447" i="11"/>
  <c r="L1527" i="11"/>
  <c r="L1595" i="11"/>
  <c r="L1675" i="11"/>
  <c r="L1755" i="11"/>
  <c r="L1827" i="11"/>
  <c r="L1907" i="11"/>
  <c r="L1967" i="11"/>
  <c r="L2023" i="11"/>
  <c r="L2079" i="11"/>
  <c r="L2139" i="11"/>
  <c r="L2191" i="11"/>
  <c r="L2251" i="11"/>
  <c r="L2311" i="11"/>
  <c r="L2363" i="11"/>
  <c r="L2423" i="11"/>
  <c r="L2479" i="11"/>
  <c r="L2535" i="11"/>
  <c r="L2591" i="11"/>
  <c r="L2651" i="11"/>
  <c r="L2703" i="11"/>
  <c r="L2763" i="11"/>
  <c r="L2823" i="11"/>
  <c r="L2875" i="11"/>
  <c r="L2935" i="11"/>
  <c r="L2991" i="11"/>
  <c r="L3047" i="11"/>
  <c r="L3103" i="11"/>
  <c r="L3163" i="11"/>
  <c r="L3215" i="11"/>
  <c r="L3275" i="11"/>
  <c r="L3335" i="11"/>
  <c r="L3375" i="11"/>
  <c r="L3407" i="11"/>
  <c r="L3447" i="11"/>
  <c r="L3487" i="11"/>
  <c r="L284" i="11"/>
  <c r="L390" i="11"/>
  <c r="L488" i="11"/>
  <c r="L560" i="11"/>
  <c r="L616" i="11"/>
  <c r="L680" i="11"/>
  <c r="L728" i="11"/>
  <c r="L784" i="11"/>
  <c r="L848" i="11"/>
  <c r="L904" i="11"/>
  <c r="L952" i="11"/>
  <c r="L1016" i="11"/>
  <c r="L1072" i="11"/>
  <c r="L1128" i="11"/>
  <c r="L1192" i="11"/>
  <c r="L1240" i="11"/>
  <c r="L1296" i="11"/>
  <c r="L1360" i="11"/>
  <c r="L1416" i="11"/>
  <c r="L1464" i="11"/>
  <c r="L1528" i="11"/>
  <c r="L1584" i="11"/>
  <c r="L1640" i="11"/>
  <c r="L1704" i="11"/>
  <c r="L1752" i="11"/>
  <c r="L1808" i="11"/>
  <c r="L1872" i="11"/>
  <c r="L1928" i="11"/>
  <c r="L1976" i="11"/>
  <c r="L2040" i="11"/>
  <c r="L2096" i="11"/>
  <c r="L2152" i="11"/>
  <c r="L2216" i="11"/>
  <c r="L2264" i="11"/>
  <c r="L2320" i="11"/>
  <c r="L2384" i="11"/>
  <c r="L2440" i="11"/>
  <c r="L2488" i="11"/>
  <c r="L2552" i="11"/>
  <c r="L2608" i="11"/>
  <c r="L2664" i="11"/>
  <c r="L2728" i="11"/>
  <c r="L2776" i="11"/>
  <c r="L2832" i="11"/>
  <c r="L2896" i="11"/>
  <c r="L2952" i="11"/>
  <c r="L3000" i="11"/>
  <c r="L3064" i="11"/>
  <c r="L3120" i="11"/>
  <c r="L3176" i="11"/>
  <c r="L3240" i="11"/>
  <c r="L3288" i="11"/>
  <c r="L3344" i="11"/>
  <c r="L3408" i="11"/>
  <c r="L3464" i="11"/>
  <c r="L49" i="11"/>
  <c r="L324" i="11"/>
  <c r="L402" i="11"/>
  <c r="L473" i="11"/>
  <c r="L537" i="11"/>
  <c r="L585" i="11"/>
  <c r="L641" i="11"/>
  <c r="L705" i="11"/>
  <c r="L761" i="11"/>
  <c r="L809" i="11"/>
  <c r="L873" i="11"/>
  <c r="L929" i="11"/>
  <c r="L985" i="11"/>
  <c r="L1049" i="11"/>
  <c r="L1097" i="11"/>
  <c r="L1153" i="11"/>
  <c r="L1217" i="11"/>
  <c r="L1273" i="11"/>
  <c r="L1321" i="11"/>
  <c r="L1385" i="11"/>
  <c r="L1441" i="11"/>
  <c r="L1497" i="11"/>
  <c r="L1561" i="11"/>
  <c r="L1609" i="11"/>
  <c r="L1665" i="11"/>
  <c r="L1729" i="11"/>
  <c r="L1785" i="11"/>
  <c r="L1833" i="11"/>
  <c r="L1897" i="11"/>
  <c r="L1953" i="11"/>
  <c r="L2009" i="11"/>
  <c r="L2073" i="11"/>
  <c r="L2121" i="11"/>
  <c r="L2177" i="11"/>
  <c r="L2241" i="11"/>
  <c r="L2297" i="11"/>
  <c r="L2345" i="11"/>
  <c r="L2409" i="11"/>
  <c r="L2465" i="11"/>
  <c r="L2521" i="11"/>
  <c r="L2585" i="11"/>
  <c r="L2633" i="11"/>
  <c r="L2689" i="11"/>
  <c r="L2753" i="11"/>
  <c r="L2809" i="11"/>
  <c r="L2857" i="11"/>
  <c r="L2921" i="11"/>
  <c r="L2977" i="11"/>
  <c r="L3033" i="11"/>
  <c r="L3097" i="11"/>
  <c r="L3145" i="11"/>
  <c r="L3201" i="11"/>
  <c r="L3265" i="11"/>
  <c r="L3321" i="11"/>
  <c r="L3369" i="11"/>
  <c r="L3433" i="11"/>
  <c r="L3489" i="11"/>
  <c r="L354" i="11"/>
  <c r="L509" i="11"/>
  <c r="L605" i="11"/>
  <c r="L717" i="11"/>
  <c r="L845" i="11"/>
  <c r="L957" i="11"/>
  <c r="L1053" i="11"/>
  <c r="L1181" i="11"/>
  <c r="L1293" i="11"/>
  <c r="L1405" i="11"/>
  <c r="L1533" i="11"/>
  <c r="L134" i="11"/>
  <c r="L294" i="11"/>
  <c r="L175" i="11"/>
  <c r="L335" i="11"/>
  <c r="L156" i="11"/>
  <c r="L42" i="11"/>
  <c r="L122" i="11"/>
  <c r="L202" i="11"/>
  <c r="L298" i="11"/>
  <c r="L67" i="11"/>
  <c r="L147" i="11"/>
  <c r="L243" i="11"/>
  <c r="L323" i="11"/>
  <c r="L64" i="11"/>
  <c r="L160" i="11"/>
  <c r="L240" i="11"/>
  <c r="L66" i="11"/>
  <c r="L162" i="11"/>
  <c r="L242" i="11"/>
  <c r="L11" i="11"/>
  <c r="L107" i="11"/>
  <c r="L187" i="11"/>
  <c r="L267" i="11"/>
  <c r="L24" i="11"/>
  <c r="L104" i="11"/>
  <c r="L184" i="11"/>
  <c r="L22" i="11"/>
  <c r="L182" i="11"/>
  <c r="L31" i="11"/>
  <c r="L223" i="11"/>
  <c r="L44" i="11"/>
  <c r="L204" i="11"/>
  <c r="L78" i="11"/>
  <c r="L158" i="11"/>
  <c r="L238" i="11"/>
  <c r="L23" i="11"/>
  <c r="L103" i="11"/>
  <c r="L183" i="11"/>
  <c r="L279" i="11"/>
  <c r="L20" i="11"/>
  <c r="L100" i="11"/>
  <c r="L196" i="11"/>
  <c r="L3452" i="11"/>
  <c r="L3132" i="11"/>
  <c r="L2748" i="11"/>
  <c r="L2428" i="11"/>
  <c r="L2108" i="11"/>
  <c r="L1724" i="11"/>
  <c r="L1404" i="11"/>
  <c r="L1084" i="11"/>
  <c r="L700" i="11"/>
  <c r="L353" i="11"/>
  <c r="L3292" i="11"/>
  <c r="L2908" i="11"/>
  <c r="L2588" i="11"/>
  <c r="L2268" i="11"/>
  <c r="L1884" i="11"/>
  <c r="L1564" i="11"/>
  <c r="L1244" i="11"/>
  <c r="L860" i="11"/>
  <c r="L540" i="11"/>
  <c r="L3413" i="11"/>
  <c r="L3029" i="11"/>
  <c r="L2709" i="11"/>
  <c r="L2389" i="11"/>
  <c r="L2005" i="11"/>
  <c r="L1685" i="11"/>
  <c r="L1365" i="11"/>
  <c r="L981" i="11"/>
  <c r="L661" i="11"/>
  <c r="L276" i="11"/>
  <c r="L3125" i="11"/>
  <c r="L2805" i="11"/>
  <c r="L2485" i="11"/>
  <c r="L2101" i="11"/>
  <c r="L1781" i="11"/>
  <c r="L1461" i="11"/>
  <c r="L1077" i="11"/>
  <c r="L757" i="11"/>
  <c r="L429" i="11"/>
  <c r="L3404" i="11"/>
  <c r="L3244" i="11"/>
  <c r="L3084" i="11"/>
  <c r="L2892" i="11"/>
  <c r="L2732" i="11"/>
  <c r="L2572" i="11"/>
  <c r="L2380" i="11"/>
  <c r="L2220" i="11"/>
  <c r="L2060" i="11"/>
  <c r="L1868" i="11"/>
  <c r="L1708" i="11"/>
  <c r="L1548" i="11"/>
  <c r="L1356" i="11"/>
  <c r="L1196" i="11"/>
  <c r="L1036" i="11"/>
  <c r="L844" i="11"/>
  <c r="L684" i="11"/>
  <c r="L524" i="11"/>
  <c r="L237" i="11"/>
  <c r="L3397" i="11"/>
  <c r="L3237" i="11"/>
  <c r="L3045" i="11"/>
  <c r="L2885" i="11"/>
  <c r="L2725" i="11"/>
  <c r="L2533" i="11"/>
  <c r="L2373" i="11"/>
  <c r="L2213" i="11"/>
  <c r="L2021" i="11"/>
  <c r="L1861" i="11"/>
  <c r="L1701" i="11"/>
  <c r="L1509" i="11"/>
  <c r="L1349" i="11"/>
  <c r="L1189" i="11"/>
  <c r="L997" i="11"/>
  <c r="L837" i="11"/>
  <c r="L677" i="11"/>
  <c r="L485" i="11"/>
  <c r="L201" i="11"/>
  <c r="L3444" i="11"/>
  <c r="L3348" i="11"/>
  <c r="L3268" i="11"/>
  <c r="L3188" i="11"/>
  <c r="L3092" i="11"/>
  <c r="L3012" i="11"/>
  <c r="L2932" i="11"/>
  <c r="L2836" i="11"/>
  <c r="L2756" i="11"/>
  <c r="L2676" i="11"/>
  <c r="L2580" i="11"/>
  <c r="L2500" i="11"/>
  <c r="L2420" i="11"/>
  <c r="L2324" i="11"/>
  <c r="L2244" i="11"/>
  <c r="L2164" i="11"/>
  <c r="L2068" i="11"/>
  <c r="L1988" i="11"/>
  <c r="L1908" i="11"/>
  <c r="L1812" i="11"/>
  <c r="L1732" i="11"/>
  <c r="L1652" i="11"/>
  <c r="L1556" i="11"/>
  <c r="L1476" i="11"/>
  <c r="L1396" i="11"/>
  <c r="L1300" i="11"/>
  <c r="L1220" i="11"/>
  <c r="L1140" i="11"/>
  <c r="L1044" i="11"/>
  <c r="L964" i="11"/>
  <c r="L884" i="11"/>
  <c r="L788" i="11"/>
  <c r="L708" i="11"/>
  <c r="L628" i="11"/>
  <c r="L532" i="11"/>
  <c r="L449" i="11"/>
  <c r="L342" i="11"/>
  <c r="L3501" i="11"/>
  <c r="L3421" i="11"/>
  <c r="L3341" i="11"/>
  <c r="L3245" i="11"/>
  <c r="L3165" i="11"/>
  <c r="L3085" i="11"/>
  <c r="L2989" i="11"/>
  <c r="L2909" i="11"/>
  <c r="L2829" i="11"/>
  <c r="L2733" i="11"/>
  <c r="L2653" i="11"/>
  <c r="L2573" i="11"/>
  <c r="L2477" i="11"/>
  <c r="L2397" i="11"/>
  <c r="L2317" i="11"/>
  <c r="L2221" i="11"/>
  <c r="L2093" i="11"/>
  <c r="L1997" i="11"/>
  <c r="L1885" i="11"/>
  <c r="L1757" i="11"/>
  <c r="L1645" i="11"/>
  <c r="L1469" i="11"/>
  <c r="L1229" i="11"/>
  <c r="L1021" i="11"/>
  <c r="L781" i="11"/>
  <c r="L541" i="11"/>
  <c r="L241" i="11"/>
  <c r="L3401" i="11"/>
  <c r="L3289" i="11"/>
  <c r="L3177" i="11"/>
  <c r="L3065" i="11"/>
  <c r="L2945" i="11"/>
  <c r="L2841" i="11"/>
  <c r="L2721" i="11"/>
  <c r="L2601" i="11"/>
  <c r="L2497" i="11"/>
  <c r="L2377" i="11"/>
  <c r="L2265" i="11"/>
  <c r="L2153" i="11"/>
  <c r="L2041" i="11"/>
  <c r="L1921" i="11"/>
  <c r="L1817" i="11"/>
  <c r="L1697" i="11"/>
  <c r="L1577" i="11"/>
  <c r="L1473" i="11"/>
  <c r="L1353" i="11"/>
  <c r="L1241" i="11"/>
  <c r="L1129" i="11"/>
  <c r="L1017" i="11"/>
  <c r="L897" i="11"/>
  <c r="L793" i="11"/>
  <c r="L673" i="11"/>
  <c r="L553" i="11"/>
  <c r="L445" i="11"/>
  <c r="L221" i="11"/>
  <c r="L3432" i="11"/>
  <c r="L3320" i="11"/>
  <c r="L3208" i="11"/>
  <c r="L3088" i="11"/>
  <c r="L2984" i="11"/>
  <c r="L2864" i="11"/>
  <c r="L2744" i="11"/>
  <c r="L2640" i="11"/>
  <c r="L2520" i="11"/>
  <c r="L2408" i="11"/>
  <c r="L2296" i="11"/>
  <c r="L2184" i="11"/>
  <c r="L2064" i="11"/>
  <c r="L1960" i="11"/>
  <c r="L1840" i="11"/>
  <c r="L1720" i="11"/>
  <c r="L1616" i="11"/>
  <c r="L1496" i="11"/>
  <c r="L1384" i="11"/>
  <c r="L1272" i="11"/>
  <c r="L1160" i="11"/>
  <c r="L1040" i="11"/>
  <c r="L936" i="11"/>
  <c r="L816" i="11"/>
  <c r="L696" i="11"/>
  <c r="L592" i="11"/>
  <c r="L444" i="11"/>
  <c r="L45" i="11"/>
  <c r="L3431" i="11"/>
  <c r="L3355" i="11"/>
  <c r="L3247" i="11"/>
  <c r="L3131" i="11"/>
  <c r="L3019" i="11"/>
  <c r="L2907" i="11"/>
  <c r="L2791" i="11"/>
  <c r="L2679" i="11"/>
  <c r="L2567" i="11"/>
  <c r="L2447" i="11"/>
  <c r="L2335" i="11"/>
  <c r="L2223" i="11"/>
  <c r="L2107" i="11"/>
  <c r="L1995" i="11"/>
  <c r="L1867" i="11"/>
  <c r="L1715" i="11"/>
  <c r="L1563" i="11"/>
  <c r="L1415" i="11"/>
  <c r="L1255" i="11"/>
  <c r="L815" i="11"/>
  <c r="L3418" i="11"/>
  <c r="L2810" i="11"/>
  <c r="L2002" i="11"/>
  <c r="L262" i="11"/>
  <c r="L303" i="11"/>
  <c r="L10" i="11"/>
  <c r="L106" i="11"/>
  <c r="L266" i="11"/>
  <c r="L131" i="11"/>
  <c r="L307" i="11"/>
  <c r="L128" i="11"/>
  <c r="L224" i="11"/>
  <c r="L130" i="11"/>
  <c r="L306" i="11"/>
  <c r="L171" i="11"/>
  <c r="L331" i="11"/>
  <c r="L168" i="11"/>
  <c r="L150" i="11"/>
  <c r="L159" i="11"/>
  <c r="L12" i="11"/>
  <c r="L46" i="11"/>
  <c r="L222" i="11"/>
  <c r="L302" i="11"/>
  <c r="L167" i="11"/>
  <c r="L4" i="11"/>
  <c r="L164" i="11"/>
  <c r="L3196" i="11"/>
  <c r="L2492" i="11"/>
  <c r="L1852" i="11"/>
  <c r="L1148" i="11"/>
  <c r="L438" i="11"/>
  <c r="L3036" i="11"/>
  <c r="L2332" i="11"/>
  <c r="L1628" i="11"/>
  <c r="L1308" i="11"/>
  <c r="L604" i="11"/>
  <c r="L3157" i="11"/>
  <c r="L2453" i="11"/>
  <c r="L1749" i="11"/>
  <c r="L1109" i="11"/>
  <c r="L725" i="11"/>
  <c r="L3253" i="11"/>
  <c r="L2549" i="11"/>
  <c r="L1845" i="11"/>
  <c r="L1205" i="11"/>
  <c r="L501" i="11"/>
  <c r="L3468" i="11"/>
  <c r="L3116" i="11"/>
  <c r="L2764" i="11"/>
  <c r="L2444" i="11"/>
  <c r="L2252" i="11"/>
  <c r="L1932" i="11"/>
  <c r="L1580" i="11"/>
  <c r="L1228" i="11"/>
  <c r="L908" i="11"/>
  <c r="L556" i="11"/>
  <c r="L3429" i="11"/>
  <c r="L3109" i="11"/>
  <c r="L2757" i="11"/>
  <c r="L2597" i="11"/>
  <c r="L2245" i="11"/>
  <c r="L1893" i="11"/>
  <c r="L1573" i="11"/>
  <c r="L1221" i="11"/>
  <c r="L869" i="11"/>
  <c r="L549" i="11"/>
  <c r="L3460" i="11"/>
  <c r="L3284" i="11"/>
  <c r="L3124" i="11"/>
  <c r="L2948" i="11"/>
  <c r="L2772" i="11"/>
  <c r="L2612" i="11"/>
  <c r="L2436" i="11"/>
  <c r="L2260" i="11"/>
  <c r="L2100" i="11"/>
  <c r="L1924" i="11"/>
  <c r="L1748" i="11"/>
  <c r="L1588" i="11"/>
  <c r="L1412" i="11"/>
  <c r="L1236" i="11"/>
  <c r="L1076" i="11"/>
  <c r="L980" i="11"/>
  <c r="L900" i="11"/>
  <c r="L724" i="11"/>
  <c r="L644" i="11"/>
  <c r="L564" i="11"/>
  <c r="L468" i="11"/>
  <c r="L364" i="11"/>
  <c r="L109" i="11"/>
  <c r="L3437" i="11"/>
  <c r="L3277" i="11"/>
  <c r="L3181" i="11"/>
  <c r="L3101" i="11"/>
  <c r="L3021" i="11"/>
  <c r="L2925" i="11"/>
  <c r="L2845" i="11"/>
  <c r="L2765" i="11"/>
  <c r="L2669" i="11"/>
  <c r="L2589" i="11"/>
  <c r="L2509" i="11"/>
  <c r="L2413" i="11"/>
  <c r="L2333" i="11"/>
  <c r="L2253" i="11"/>
  <c r="L2141" i="11"/>
  <c r="L2013" i="11"/>
  <c r="L1901" i="11"/>
  <c r="L1805" i="11"/>
  <c r="L1677" i="11"/>
  <c r="L1549" i="11"/>
  <c r="L1309" i="11"/>
  <c r="L1101" i="11"/>
  <c r="L861" i="11"/>
  <c r="L637" i="11"/>
  <c r="L397" i="11"/>
  <c r="L3449" i="11"/>
  <c r="L3329" i="11"/>
  <c r="L3225" i="11"/>
  <c r="L2985" i="11"/>
  <c r="L2881" i="11"/>
  <c r="L2761" i="11"/>
  <c r="L2649" i="11"/>
  <c r="L2537" i="11"/>
  <c r="L2425" i="11"/>
  <c r="L2305" i="11"/>
  <c r="L2201" i="11"/>
  <c r="L2081" i="11"/>
  <c r="L1961" i="11"/>
  <c r="L1857" i="11"/>
  <c r="L1737" i="11"/>
  <c r="L1625" i="11"/>
  <c r="L1513" i="11"/>
  <c r="L1401" i="11"/>
  <c r="L1281" i="11"/>
  <c r="L1177" i="11"/>
  <c r="L1057" i="11"/>
  <c r="L937" i="11"/>
  <c r="L833" i="11"/>
  <c r="L713" i="11"/>
  <c r="L601" i="11"/>
  <c r="L489" i="11"/>
  <c r="L349" i="11"/>
  <c r="L3472" i="11"/>
  <c r="L3368" i="11"/>
  <c r="L3248" i="11"/>
  <c r="L3128" i="11"/>
  <c r="L3024" i="11"/>
  <c r="L2904" i="11"/>
  <c r="L2792" i="11"/>
  <c r="L2680" i="11"/>
  <c r="L2568" i="11"/>
  <c r="L2448" i="11"/>
  <c r="L2344" i="11"/>
  <c r="L2224" i="11"/>
  <c r="L2104" i="11"/>
  <c r="L2000" i="11"/>
  <c r="L1880" i="11"/>
  <c r="L1768" i="11"/>
  <c r="L1656" i="11"/>
  <c r="L1544" i="11"/>
  <c r="L1424" i="11"/>
  <c r="L1320" i="11"/>
  <c r="L1200" i="11"/>
  <c r="L1080" i="11"/>
  <c r="L976" i="11"/>
  <c r="L856" i="11"/>
  <c r="L744" i="11"/>
  <c r="L632" i="11"/>
  <c r="L512" i="11"/>
  <c r="L305" i="11"/>
  <c r="L3463" i="11"/>
  <c r="L3383" i="11"/>
  <c r="L3295" i="11"/>
  <c r="L3183" i="11"/>
  <c r="L3067" i="11"/>
  <c r="L2955" i="11"/>
  <c r="L2843" i="11"/>
  <c r="L2727" i="11"/>
  <c r="L2615" i="11"/>
  <c r="L2503" i="11"/>
  <c r="L2383" i="11"/>
  <c r="L2271" i="11"/>
  <c r="L2159" i="11"/>
  <c r="L2043" i="11"/>
  <c r="L1931" i="11"/>
  <c r="L1783" i="11"/>
  <c r="L1627" i="11"/>
  <c r="L1479" i="11"/>
  <c r="L1331" i="11"/>
  <c r="L1071" i="11"/>
  <c r="L463" i="11"/>
  <c r="L3086" i="11"/>
  <c r="L2398" i="11"/>
  <c r="L6" i="11"/>
  <c r="L166" i="11"/>
  <c r="L47" i="11"/>
  <c r="L207" i="11"/>
  <c r="L28" i="11"/>
  <c r="L220" i="11"/>
  <c r="L58" i="11"/>
  <c r="L138" i="11"/>
  <c r="L234" i="11"/>
  <c r="L3" i="11"/>
  <c r="L83" i="11"/>
  <c r="L179" i="11"/>
  <c r="L259" i="11"/>
  <c r="L339" i="11"/>
  <c r="L96" i="11"/>
  <c r="L176" i="11"/>
  <c r="L256" i="11"/>
  <c r="L98" i="11"/>
  <c r="L178" i="11"/>
  <c r="L258" i="11"/>
  <c r="L43" i="11"/>
  <c r="L123" i="11"/>
  <c r="L203" i="11"/>
  <c r="L299" i="11"/>
  <c r="L40" i="11"/>
  <c r="L120" i="11"/>
  <c r="L216" i="11"/>
  <c r="L54" i="11"/>
  <c r="L214" i="11"/>
  <c r="L95" i="11"/>
  <c r="L255" i="11"/>
  <c r="L76" i="11"/>
  <c r="L14" i="11"/>
  <c r="L94" i="11"/>
  <c r="L174" i="11"/>
  <c r="L270" i="11"/>
  <c r="L39" i="11"/>
  <c r="L119" i="11"/>
  <c r="L215" i="11"/>
  <c r="L295" i="11"/>
  <c r="L36" i="11"/>
  <c r="L132" i="11"/>
  <c r="L212" i="11"/>
  <c r="L3388" i="11"/>
  <c r="L3004" i="11"/>
  <c r="L2684" i="11"/>
  <c r="L2364" i="11"/>
  <c r="L1980" i="11"/>
  <c r="L1660" i="11"/>
  <c r="L1340" i="11"/>
  <c r="L956" i="11"/>
  <c r="L636" i="11"/>
  <c r="L153" i="11"/>
  <c r="L3164" i="11"/>
  <c r="L2844" i="11"/>
  <c r="L2524" i="11"/>
  <c r="L2140" i="11"/>
  <c r="L1820" i="11"/>
  <c r="L1500" i="11"/>
  <c r="L1116" i="11"/>
  <c r="L796" i="11"/>
  <c r="L476" i="11"/>
  <c r="L3285" i="11"/>
  <c r="L2965" i="11"/>
  <c r="L2645" i="11"/>
  <c r="L2261" i="11"/>
  <c r="L1941" i="11"/>
  <c r="L1621" i="11"/>
  <c r="L1237" i="11"/>
  <c r="L917" i="11"/>
  <c r="L597" i="11"/>
  <c r="L3381" i="11"/>
  <c r="L3061" i="11"/>
  <c r="L2741" i="11"/>
  <c r="L2357" i="11"/>
  <c r="L2037" i="11"/>
  <c r="L1717" i="11"/>
  <c r="L1333" i="11"/>
  <c r="L1013" i="11"/>
  <c r="L693" i="11"/>
  <c r="L113" i="11"/>
  <c r="L3372" i="11"/>
  <c r="L3212" i="11"/>
  <c r="L3020" i="11"/>
  <c r="L2860" i="11"/>
  <c r="L2700" i="11"/>
  <c r="L2508" i="11"/>
  <c r="L2348" i="11"/>
  <c r="L2188" i="11"/>
  <c r="L1996" i="11"/>
  <c r="L1836" i="11"/>
  <c r="L1676" i="11"/>
  <c r="L1484" i="11"/>
  <c r="L1324" i="11"/>
  <c r="L1164" i="11"/>
  <c r="L972" i="11"/>
  <c r="L812" i="11"/>
  <c r="L652" i="11"/>
  <c r="L460" i="11"/>
  <c r="L65" i="11"/>
  <c r="L3365" i="11"/>
  <c r="L3173" i="11"/>
  <c r="L3013" i="11"/>
  <c r="L2853" i="11"/>
  <c r="L2661" i="11"/>
  <c r="L2501" i="11"/>
  <c r="L2341" i="11"/>
  <c r="L2149" i="11"/>
  <c r="L1989" i="11"/>
  <c r="L1829" i="11"/>
  <c r="L1637" i="11"/>
  <c r="L1477" i="11"/>
  <c r="L1317" i="11"/>
  <c r="L1125" i="11"/>
  <c r="L965" i="11"/>
  <c r="L805" i="11"/>
  <c r="L613" i="11"/>
  <c r="L450" i="11"/>
  <c r="L29" i="11"/>
  <c r="L3412" i="11"/>
  <c r="L3332" i="11"/>
  <c r="L3252" i="11"/>
  <c r="L3156" i="11"/>
  <c r="L3076" i="11"/>
  <c r="L2996" i="11"/>
  <c r="L2900" i="11"/>
  <c r="L2820" i="11"/>
  <c r="L2740" i="11"/>
  <c r="L2644" i="11"/>
  <c r="L2564" i="11"/>
  <c r="L2484" i="11"/>
  <c r="L2388" i="11"/>
  <c r="L2308" i="11"/>
  <c r="L2228" i="11"/>
  <c r="L2132" i="11"/>
  <c r="L2052" i="11"/>
  <c r="L1972" i="11"/>
  <c r="L1876" i="11"/>
  <c r="L1796" i="11"/>
  <c r="L1716" i="11"/>
  <c r="L1620" i="11"/>
  <c r="L1540" i="11"/>
  <c r="L1460" i="11"/>
  <c r="L1364" i="11"/>
  <c r="L1284" i="11"/>
  <c r="L1204" i="11"/>
  <c r="L1108" i="11"/>
  <c r="L1028" i="11"/>
  <c r="L948" i="11"/>
  <c r="L852" i="11"/>
  <c r="L772" i="11"/>
  <c r="L692" i="11"/>
  <c r="L596" i="11"/>
  <c r="L516" i="11"/>
  <c r="L428" i="11"/>
  <c r="L273" i="11"/>
  <c r="L3485" i="11"/>
  <c r="L3405" i="11"/>
  <c r="L3309" i="11"/>
  <c r="L3229" i="11"/>
  <c r="L3149" i="11"/>
  <c r="L3053" i="11"/>
  <c r="L2973" i="11"/>
  <c r="L2893" i="11"/>
  <c r="L2797" i="11"/>
  <c r="L2717" i="11"/>
  <c r="L2637" i="11"/>
  <c r="L2541" i="11"/>
  <c r="L2461" i="11"/>
  <c r="L2381" i="11"/>
  <c r="L2285" i="11"/>
  <c r="L2189" i="11"/>
  <c r="L2077" i="11"/>
  <c r="L1965" i="11"/>
  <c r="L1837" i="11"/>
  <c r="L1741" i="11"/>
  <c r="L1629" i="11"/>
  <c r="L1437" i="11"/>
  <c r="L1213" i="11"/>
  <c r="L973" i="11"/>
  <c r="L765" i="11"/>
  <c r="L525" i="11"/>
  <c r="L3497" i="11"/>
  <c r="L3393" i="11"/>
  <c r="L3273" i="11"/>
  <c r="L3161" i="11"/>
  <c r="L3049" i="11"/>
  <c r="L2937" i="11"/>
  <c r="L2817" i="11"/>
  <c r="L2713" i="11"/>
  <c r="L2593" i="11"/>
  <c r="L2473" i="11"/>
  <c r="L2369" i="11"/>
  <c r="L2249" i="11"/>
  <c r="L2137" i="11"/>
  <c r="L2025" i="11"/>
  <c r="L1913" i="11"/>
  <c r="L1793" i="11"/>
  <c r="L1689" i="11"/>
  <c r="L1569" i="11"/>
  <c r="L1449" i="11"/>
  <c r="L1345" i="11"/>
  <c r="L1225" i="11"/>
  <c r="L1113" i="11"/>
  <c r="L1001" i="11"/>
  <c r="L889" i="11"/>
  <c r="L769" i="11"/>
  <c r="L665" i="11"/>
  <c r="L545" i="11"/>
  <c r="L413" i="11"/>
  <c r="L177" i="11"/>
  <c r="L3416" i="11"/>
  <c r="L3304" i="11"/>
  <c r="L3192" i="11"/>
  <c r="L3080" i="11"/>
  <c r="L2960" i="11"/>
  <c r="L2856" i="11"/>
  <c r="L2736" i="11"/>
  <c r="L2616" i="11"/>
  <c r="L2512" i="11"/>
  <c r="L2392" i="11"/>
  <c r="L2280" i="11"/>
  <c r="L2168" i="11"/>
  <c r="L2056" i="11"/>
  <c r="L1936" i="11"/>
  <c r="L1832" i="11"/>
  <c r="L1712" i="11"/>
  <c r="L1592" i="11"/>
  <c r="L1488" i="11"/>
  <c r="L1368" i="11"/>
  <c r="L1256" i="11"/>
  <c r="L1144" i="11"/>
  <c r="L1032" i="11"/>
  <c r="L912" i="11"/>
  <c r="L808" i="11"/>
  <c r="L688" i="11"/>
  <c r="L568" i="11"/>
  <c r="L433" i="11"/>
  <c r="L3495" i="11"/>
  <c r="L3419" i="11"/>
  <c r="L3343" i="11"/>
  <c r="L3239" i="11"/>
  <c r="L3127" i="11"/>
  <c r="L3015" i="11"/>
  <c r="L2895" i="11"/>
  <c r="L2783" i="11"/>
  <c r="L2671" i="11"/>
  <c r="L2555" i="11"/>
  <c r="L2443" i="11"/>
  <c r="L2331" i="11"/>
  <c r="L2215" i="11"/>
  <c r="L2103" i="11"/>
  <c r="L1991" i="11"/>
  <c r="L1851" i="11"/>
  <c r="L1703" i="11"/>
  <c r="L1555" i="11"/>
  <c r="L1399" i="11"/>
  <c r="L1251" i="11"/>
  <c r="L783" i="11"/>
  <c r="L3386" i="11"/>
  <c r="L2778" i="11"/>
  <c r="L1978" i="11"/>
  <c r="L102" i="11"/>
  <c r="L111" i="11"/>
  <c r="L124" i="11"/>
  <c r="L186" i="11"/>
  <c r="L51" i="11"/>
  <c r="L211" i="11"/>
  <c r="L48" i="11"/>
  <c r="L50" i="11"/>
  <c r="L226" i="11"/>
  <c r="L75" i="11"/>
  <c r="L251" i="11"/>
  <c r="L88" i="11"/>
  <c r="L248" i="11"/>
  <c r="L310" i="11"/>
  <c r="L172" i="11"/>
  <c r="L142" i="11"/>
  <c r="L87" i="11"/>
  <c r="L247" i="11"/>
  <c r="L84" i="11"/>
  <c r="L260" i="11"/>
  <c r="L2876" i="11"/>
  <c r="L2172" i="11"/>
  <c r="L1468" i="11"/>
  <c r="L828" i="11"/>
  <c r="L3356" i="11"/>
  <c r="L2652" i="11"/>
  <c r="L2012" i="11"/>
  <c r="L988" i="11"/>
  <c r="L3477" i="11"/>
  <c r="L2773" i="11"/>
  <c r="L2133" i="11"/>
  <c r="L1429" i="11"/>
  <c r="L386" i="11"/>
  <c r="L2869" i="11"/>
  <c r="L2229" i="11"/>
  <c r="L1525" i="11"/>
  <c r="L821" i="11"/>
  <c r="L3276" i="11"/>
  <c r="L2956" i="11"/>
  <c r="L2604" i="11"/>
  <c r="L2092" i="11"/>
  <c r="L1740" i="11"/>
  <c r="L1420" i="11"/>
  <c r="L1068" i="11"/>
  <c r="L716" i="11"/>
  <c r="L374" i="11"/>
  <c r="L3269" i="11"/>
  <c r="L2917" i="11"/>
  <c r="L2405" i="11"/>
  <c r="L2085" i="11"/>
  <c r="L1733" i="11"/>
  <c r="L1381" i="11"/>
  <c r="L1061" i="11"/>
  <c r="L709" i="11"/>
  <c r="L316" i="11"/>
  <c r="L3380" i="11"/>
  <c r="L3204" i="11"/>
  <c r="L3028" i="11"/>
  <c r="L2868" i="11"/>
  <c r="L2692" i="11"/>
  <c r="L2516" i="11"/>
  <c r="L2356" i="11"/>
  <c r="L2180" i="11"/>
  <c r="L2004" i="11"/>
  <c r="L1844" i="11"/>
  <c r="L1668" i="11"/>
  <c r="L1492" i="11"/>
  <c r="L1332" i="11"/>
  <c r="L1156" i="11"/>
  <c r="L820" i="11"/>
  <c r="L3357" i="11"/>
  <c r="L3105" i="11"/>
  <c r="L1502" i="11"/>
  <c r="L1394" i="11"/>
  <c r="L1274" i="11"/>
  <c r="L1162" i="11"/>
  <c r="L1054" i="11"/>
  <c r="L930" i="11"/>
  <c r="L818" i="11"/>
  <c r="L670" i="11"/>
  <c r="L498" i="11"/>
  <c r="L225" i="11"/>
  <c r="L328" i="11"/>
  <c r="L1183" i="11"/>
  <c r="L1151" i="11"/>
  <c r="L1119" i="11"/>
  <c r="L1087" i="11"/>
  <c r="L1055" i="11"/>
  <c r="L1023" i="11"/>
  <c r="L991" i="11"/>
  <c r="L959" i="11"/>
  <c r="L927" i="11"/>
  <c r="L895" i="11"/>
  <c r="L863" i="11"/>
  <c r="L831" i="11"/>
  <c r="L799" i="11"/>
  <c r="L767" i="11"/>
  <c r="L735" i="11"/>
  <c r="L703" i="11"/>
  <c r="L671" i="11"/>
  <c r="L639" i="11"/>
  <c r="L607" i="11"/>
  <c r="L575" i="11"/>
  <c r="L543" i="11"/>
  <c r="L511" i="11"/>
  <c r="L479" i="11"/>
  <c r="L442" i="11"/>
  <c r="L400" i="11"/>
  <c r="L357" i="11"/>
  <c r="L301" i="11"/>
  <c r="L169" i="11"/>
  <c r="L3498" i="11"/>
  <c r="L3466" i="11"/>
  <c r="L3434" i="11"/>
  <c r="L3402" i="11"/>
  <c r="L3370" i="11"/>
  <c r="L3338" i="11"/>
  <c r="L3306" i="11"/>
  <c r="L3274" i="11"/>
  <c r="L3242" i="11"/>
  <c r="L3210" i="11"/>
  <c r="L3178" i="11"/>
  <c r="L3146" i="11"/>
  <c r="L3114" i="11"/>
  <c r="L3082" i="11"/>
  <c r="L3050" i="11"/>
  <c r="L3018" i="11"/>
  <c r="L2986" i="11"/>
  <c r="L2954" i="11"/>
  <c r="L2922" i="11"/>
  <c r="L2890" i="11"/>
  <c r="L2858" i="11"/>
  <c r="L2826" i="11"/>
  <c r="L2794" i="11"/>
  <c r="L2762" i="11"/>
  <c r="L2730" i="11"/>
  <c r="L2698" i="11"/>
  <c r="L2666" i="11"/>
  <c r="L2634" i="11"/>
  <c r="L2590" i="11"/>
  <c r="L2546" i="11"/>
  <c r="L2506" i="11"/>
  <c r="L2462" i="11"/>
  <c r="L2418" i="11"/>
  <c r="L2378" i="11"/>
  <c r="L2334" i="11"/>
  <c r="L2290" i="11"/>
  <c r="L2250" i="11"/>
  <c r="L2198" i="11"/>
  <c r="L2138" i="11"/>
  <c r="L2086" i="11"/>
  <c r="L2026" i="11"/>
  <c r="L1970" i="11"/>
  <c r="L1914" i="11"/>
  <c r="L1826" i="11"/>
  <c r="L1714" i="11"/>
  <c r="L1610" i="11"/>
  <c r="L1486" i="11"/>
  <c r="L1374" i="11"/>
  <c r="L1266" i="11"/>
  <c r="L1146" i="11"/>
  <c r="L1034" i="11"/>
  <c r="L926" i="11"/>
  <c r="L802" i="11"/>
  <c r="L650" i="11"/>
  <c r="L478" i="11"/>
  <c r="L97" i="11"/>
  <c r="L296" i="11"/>
  <c r="L1203" i="11"/>
  <c r="L1171" i="11"/>
  <c r="L1139" i="11"/>
  <c r="L1107" i="11"/>
  <c r="L1075" i="11"/>
  <c r="L1043" i="11"/>
  <c r="L1011" i="11"/>
  <c r="L979" i="11"/>
  <c r="L947" i="11"/>
  <c r="L915" i="11"/>
  <c r="L883" i="11"/>
  <c r="L851" i="11"/>
  <c r="L819" i="11"/>
  <c r="L787" i="11"/>
  <c r="L755" i="11"/>
  <c r="L723" i="11"/>
  <c r="L691" i="11"/>
  <c r="L659" i="11"/>
  <c r="L627" i="11"/>
  <c r="L595" i="11"/>
  <c r="L563" i="11"/>
  <c r="L531" i="11"/>
  <c r="L499" i="11"/>
  <c r="L467" i="11"/>
  <c r="L426" i="11"/>
  <c r="L384" i="11"/>
  <c r="L341" i="11"/>
  <c r="L269" i="11"/>
  <c r="L105" i="11"/>
  <c r="L3486" i="11"/>
  <c r="L3454" i="11"/>
  <c r="L3422" i="11"/>
  <c r="L3390" i="11"/>
  <c r="L3358" i="11"/>
  <c r="L3326" i="11"/>
  <c r="L3294" i="11"/>
  <c r="L3262" i="11"/>
  <c r="L3230" i="11"/>
  <c r="L3198" i="11"/>
  <c r="L3166" i="11"/>
  <c r="L3134" i="11"/>
  <c r="L3102" i="11"/>
  <c r="L3070" i="11"/>
  <c r="L3038" i="11"/>
  <c r="L3006" i="11"/>
  <c r="L2974" i="11"/>
  <c r="L2942" i="11"/>
  <c r="L2910" i="11"/>
  <c r="L2878" i="11"/>
  <c r="L2846" i="11"/>
  <c r="L2814" i="11"/>
  <c r="L2782" i="11"/>
  <c r="L2750" i="11"/>
  <c r="L2718" i="11"/>
  <c r="L2686" i="11"/>
  <c r="L2654" i="11"/>
  <c r="L2618" i="11"/>
  <c r="L2574" i="11"/>
  <c r="L2530" i="11"/>
  <c r="L2490" i="11"/>
  <c r="L2446" i="11"/>
  <c r="L2402" i="11"/>
  <c r="L2362" i="11"/>
  <c r="L2318" i="11"/>
  <c r="L2274" i="11"/>
  <c r="L2234" i="11"/>
  <c r="L2178" i="11"/>
  <c r="L2118" i="11"/>
  <c r="L2066" i="11"/>
  <c r="L2006" i="11"/>
  <c r="L1946" i="11"/>
  <c r="L1886" i="11"/>
  <c r="L1786" i="11"/>
  <c r="L1674" i="11"/>
  <c r="L1566" i="11"/>
  <c r="L1442" i="11"/>
  <c r="L1330" i="11"/>
  <c r="L1226" i="11"/>
  <c r="L1102" i="11"/>
  <c r="L990" i="11"/>
  <c r="L882" i="11"/>
  <c r="L754" i="11"/>
  <c r="L586" i="11"/>
  <c r="L398" i="11"/>
  <c r="L415" i="11"/>
  <c r="M324" i="11"/>
  <c r="M1101" i="11"/>
  <c r="M1015" i="11"/>
  <c r="M930" i="11"/>
  <c r="M845" i="11"/>
  <c r="M730" i="11"/>
  <c r="M578" i="11"/>
  <c r="M145" i="11"/>
  <c r="M1100" i="11"/>
  <c r="M1036" i="11"/>
  <c r="M972" i="11"/>
  <c r="M908" i="11"/>
  <c r="M844" i="11"/>
  <c r="M758" i="11"/>
  <c r="M673" i="11"/>
  <c r="M588" i="11"/>
  <c r="M502" i="11"/>
  <c r="M417" i="11"/>
  <c r="M329" i="11"/>
  <c r="M163" i="11"/>
  <c r="M624" i="11"/>
  <c r="M538" i="11"/>
  <c r="M453" i="11"/>
  <c r="M368" i="11"/>
  <c r="M235" i="11"/>
  <c r="M57" i="11"/>
  <c r="M564" i="11"/>
  <c r="M478" i="11"/>
  <c r="M393" i="11"/>
  <c r="M287" i="11"/>
  <c r="M115" i="11"/>
  <c r="M815" i="11"/>
  <c r="M751" i="11"/>
  <c r="M687" i="11"/>
  <c r="M623" i="11"/>
  <c r="M559" i="11"/>
  <c r="M495" i="11"/>
  <c r="M431" i="11"/>
  <c r="M367" i="11"/>
  <c r="M277" i="11"/>
  <c r="M149" i="11"/>
  <c r="M21" i="11"/>
  <c r="M1884" i="11"/>
  <c r="M1772" i="11"/>
  <c r="M1644" i="11"/>
  <c r="M1438" i="11"/>
  <c r="M1572" i="11"/>
  <c r="M1444" i="11"/>
  <c r="M1316" i="11"/>
  <c r="M1188" i="11"/>
  <c r="M966" i="11"/>
  <c r="M381" i="11"/>
  <c r="M1483" i="11"/>
  <c r="M1355" i="11"/>
  <c r="M1227" i="11"/>
  <c r="M1057" i="11"/>
  <c r="M692" i="11"/>
  <c r="M1158" i="11"/>
  <c r="M886" i="11"/>
  <c r="M1217" i="11"/>
  <c r="M1039" i="11"/>
  <c r="M656" i="11"/>
  <c r="M926" i="11"/>
  <c r="M725" i="11"/>
  <c r="M113" i="11"/>
  <c r="M989" i="11"/>
  <c r="M809" i="11"/>
  <c r="M472" i="11"/>
  <c r="M1080" i="11"/>
  <c r="M952" i="11"/>
  <c r="M817" i="11"/>
  <c r="M646" i="11"/>
  <c r="M476" i="11"/>
  <c r="M281" i="11"/>
  <c r="M597" i="11"/>
  <c r="M426" i="11"/>
  <c r="M183" i="11"/>
  <c r="M537" i="11"/>
  <c r="M366" i="11"/>
  <c r="M55" i="11"/>
  <c r="M731" i="11"/>
  <c r="M603" i="11"/>
  <c r="M475" i="11"/>
  <c r="M347" i="11"/>
  <c r="M109" i="11"/>
  <c r="M155" i="11"/>
  <c r="M1079" i="11"/>
  <c r="M994" i="11"/>
  <c r="M909" i="11"/>
  <c r="M816" i="11"/>
  <c r="M702" i="11"/>
  <c r="M493" i="11"/>
  <c r="M1148" i="11"/>
  <c r="M1084" i="11"/>
  <c r="M1020" i="11"/>
  <c r="M956" i="11"/>
  <c r="M892" i="11"/>
  <c r="M822" i="11"/>
  <c r="M737" i="11"/>
  <c r="M652" i="11"/>
  <c r="M566" i="11"/>
  <c r="M481" i="11"/>
  <c r="M396" i="11"/>
  <c r="M291" i="11"/>
  <c r="M121" i="11"/>
  <c r="M602" i="11"/>
  <c r="M517" i="11"/>
  <c r="M432" i="11"/>
  <c r="M346" i="11"/>
  <c r="M193" i="11"/>
  <c r="M628" i="11"/>
  <c r="M542" i="11"/>
  <c r="M457" i="11"/>
  <c r="M372" i="11"/>
  <c r="M243" i="11"/>
  <c r="M71" i="11"/>
  <c r="M799" i="11"/>
  <c r="M735" i="11"/>
  <c r="M671" i="11"/>
  <c r="M607" i="11"/>
  <c r="M543" i="11"/>
  <c r="M479" i="11"/>
  <c r="M415" i="11"/>
  <c r="M351" i="11"/>
  <c r="M245" i="11"/>
  <c r="M117" i="11"/>
  <c r="M67" i="11"/>
  <c r="M1868" i="11"/>
  <c r="M1740" i="11"/>
  <c r="M1612" i="11"/>
  <c r="M1374" i="11"/>
  <c r="M1540" i="11"/>
  <c r="M1412" i="11"/>
  <c r="M1284" i="11"/>
  <c r="M1156" i="11"/>
  <c r="M881" i="11"/>
  <c r="M1579" i="11"/>
  <c r="M1451" i="11"/>
  <c r="M1323" i="11"/>
  <c r="M1195" i="11"/>
  <c r="M986" i="11"/>
  <c r="M461" i="11"/>
  <c r="M1105" i="11"/>
  <c r="M786" i="11"/>
  <c r="M1185" i="11"/>
  <c r="M959" i="11"/>
  <c r="M354" i="11"/>
  <c r="M883" i="11"/>
  <c r="M669" i="11"/>
  <c r="M1117" i="11"/>
  <c r="M946" i="11"/>
  <c r="M752" i="11"/>
  <c r="M273" i="11"/>
  <c r="M1048" i="11"/>
  <c r="M920" i="11"/>
  <c r="M774" i="11"/>
  <c r="M604" i="11"/>
  <c r="M433" i="11"/>
  <c r="M195" i="11"/>
  <c r="M554" i="11"/>
  <c r="M384" i="11"/>
  <c r="M97" i="11"/>
  <c r="M494" i="11"/>
  <c r="M319" i="11"/>
  <c r="M827" i="11"/>
  <c r="M699" i="11"/>
  <c r="M571" i="11"/>
  <c r="M443" i="11"/>
  <c r="M301" i="11"/>
  <c r="M45" i="11"/>
  <c r="M1143" i="11"/>
  <c r="M1058" i="11"/>
  <c r="M973" i="11"/>
  <c r="M887" i="11"/>
  <c r="M788" i="11"/>
  <c r="M674" i="11"/>
  <c r="M408" i="11"/>
  <c r="M1132" i="11"/>
  <c r="M1068" i="11"/>
  <c r="M1004" i="11"/>
  <c r="M940" i="11"/>
  <c r="M876" i="11"/>
  <c r="M801" i="11"/>
  <c r="M716" i="11"/>
  <c r="M630" i="11"/>
  <c r="M545" i="11"/>
  <c r="M460" i="11"/>
  <c r="M374" i="11"/>
  <c r="M249" i="11"/>
  <c r="M79" i="11"/>
  <c r="M581" i="11"/>
  <c r="M496" i="11"/>
  <c r="M410" i="11"/>
  <c r="M320" i="11"/>
  <c r="M151" i="11"/>
  <c r="M606" i="11"/>
  <c r="M521" i="11"/>
  <c r="M436" i="11"/>
  <c r="M350" i="11"/>
  <c r="M201" i="11"/>
  <c r="M7" i="11"/>
  <c r="M783" i="11"/>
  <c r="M719" i="11"/>
  <c r="M655" i="11"/>
  <c r="M591" i="11"/>
  <c r="M527" i="11"/>
  <c r="M463" i="11"/>
  <c r="M399" i="11"/>
  <c r="M333" i="11"/>
  <c r="M213" i="11"/>
  <c r="M85" i="11"/>
  <c r="M35" i="11"/>
  <c r="M1836" i="11"/>
  <c r="M1708" i="11"/>
  <c r="M1566" i="11"/>
  <c r="M1310" i="11"/>
  <c r="M1508" i="11"/>
  <c r="M1380" i="11"/>
  <c r="M1252" i="11"/>
  <c r="M1102" i="11"/>
  <c r="M778" i="11"/>
  <c r="M1547" i="11"/>
  <c r="M1419" i="11"/>
  <c r="M1291" i="11"/>
  <c r="M1163" i="11"/>
  <c r="M901" i="11"/>
  <c r="M1222" i="11"/>
  <c r="M1049" i="11"/>
  <c r="M672" i="11"/>
  <c r="M1153" i="11"/>
  <c r="M874" i="11"/>
  <c r="M1011" i="11"/>
  <c r="M840" i="11"/>
  <c r="M562" i="11"/>
  <c r="M1074" i="11"/>
  <c r="M903" i="11"/>
  <c r="M696" i="11"/>
  <c r="M1144" i="11"/>
  <c r="M1016" i="11"/>
  <c r="M888" i="11"/>
  <c r="M732" i="11"/>
  <c r="M561" i="11"/>
  <c r="M390" i="11"/>
  <c r="M111" i="11"/>
  <c r="M512" i="11"/>
  <c r="M341" i="11"/>
  <c r="M622" i="11"/>
  <c r="M452" i="11"/>
  <c r="M233" i="11"/>
  <c r="M795" i="11"/>
  <c r="M667" i="11"/>
  <c r="M539" i="11"/>
  <c r="M411" i="11"/>
  <c r="M237" i="11"/>
  <c r="M59" i="11"/>
  <c r="L2" i="11"/>
  <c r="L21" i="11"/>
  <c r="L101" i="11"/>
  <c r="L197" i="11"/>
  <c r="L272" i="11"/>
  <c r="L312" i="11"/>
  <c r="L343" i="11"/>
  <c r="L363" i="11"/>
  <c r="L383" i="11"/>
  <c r="L407" i="11"/>
  <c r="L427" i="11"/>
  <c r="L447" i="11"/>
  <c r="L57" i="11"/>
  <c r="L161" i="11"/>
  <c r="L268" i="11"/>
  <c r="L325" i="11"/>
  <c r="L356" i="11"/>
  <c r="L382" i="11"/>
  <c r="L414" i="11"/>
  <c r="L441" i="11"/>
  <c r="L466" i="11"/>
  <c r="L490" i="11"/>
  <c r="L510" i="11"/>
  <c r="L530" i="11"/>
  <c r="L554" i="11"/>
  <c r="L574" i="11"/>
  <c r="L594" i="11"/>
  <c r="L618" i="11"/>
  <c r="L638" i="11"/>
  <c r="L658" i="11"/>
  <c r="L682" i="11"/>
  <c r="L702" i="11"/>
  <c r="L722" i="11"/>
  <c r="L746" i="11"/>
  <c r="L766" i="11"/>
  <c r="L786" i="11"/>
  <c r="L810" i="11"/>
  <c r="L830" i="11"/>
  <c r="L850" i="11"/>
  <c r="L874" i="11"/>
  <c r="L894" i="11"/>
  <c r="L914" i="11"/>
  <c r="L938" i="11"/>
  <c r="L958" i="11"/>
  <c r="L978" i="11"/>
  <c r="L1002" i="11"/>
  <c r="L1022" i="11"/>
  <c r="L1042" i="11"/>
  <c r="L1066" i="11"/>
  <c r="L1086" i="11"/>
  <c r="L1106" i="11"/>
  <c r="L1130" i="11"/>
  <c r="L1150" i="11"/>
  <c r="L1170" i="11"/>
  <c r="L1194" i="11"/>
  <c r="L1214" i="11"/>
  <c r="L1234" i="11"/>
  <c r="L1258" i="11"/>
  <c r="L1278" i="11"/>
  <c r="L1298" i="11"/>
  <c r="L1322" i="11"/>
  <c r="L1342" i="11"/>
  <c r="L1362" i="11"/>
  <c r="L1386" i="11"/>
  <c r="L1406" i="11"/>
  <c r="L1426" i="11"/>
  <c r="L1450" i="11"/>
  <c r="L1470" i="11"/>
  <c r="L1490" i="11"/>
  <c r="L1514" i="11"/>
  <c r="L1534" i="11"/>
  <c r="L1554" i="11"/>
  <c r="L1578" i="11"/>
  <c r="L1598" i="11"/>
  <c r="L1618" i="11"/>
  <c r="L1642" i="11"/>
  <c r="L1662" i="11"/>
  <c r="L1682" i="11"/>
  <c r="L1706" i="11"/>
  <c r="L1726" i="11"/>
  <c r="L1746" i="11"/>
  <c r="L1770" i="11"/>
  <c r="L1790" i="11"/>
  <c r="L1810" i="11"/>
  <c r="L1834" i="11"/>
  <c r="L1854" i="11"/>
  <c r="L1874" i="11"/>
  <c r="L1898" i="11"/>
  <c r="L1918" i="11"/>
  <c r="L1934" i="11"/>
  <c r="L1950" i="11"/>
  <c r="L1966" i="11"/>
  <c r="L1982" i="11"/>
  <c r="L1998" i="11"/>
  <c r="L2014" i="11"/>
  <c r="L2030" i="11"/>
  <c r="L2046" i="11"/>
  <c r="L2062" i="11"/>
  <c r="L2078" i="11"/>
  <c r="L2094" i="11"/>
  <c r="L2110" i="11"/>
  <c r="L2126" i="11"/>
  <c r="L2142" i="11"/>
  <c r="L2158" i="11"/>
  <c r="L2174" i="11"/>
  <c r="L2190" i="11"/>
  <c r="L2206" i="11"/>
  <c r="L2222" i="11"/>
  <c r="L37" i="11"/>
  <c r="L133" i="11"/>
  <c r="L213" i="11"/>
  <c r="L280" i="11"/>
  <c r="L322" i="11"/>
  <c r="L347" i="11"/>
  <c r="L367" i="11"/>
  <c r="L391" i="11"/>
  <c r="L411" i="11"/>
  <c r="L431" i="11"/>
  <c r="L455" i="11"/>
  <c r="L77" i="11"/>
  <c r="L185" i="11"/>
  <c r="L289" i="11"/>
  <c r="L332" i="11"/>
  <c r="L361" i="11"/>
  <c r="L393" i="11"/>
  <c r="L420" i="11"/>
  <c r="L446" i="11"/>
  <c r="L474" i="11"/>
  <c r="L494" i="11"/>
  <c r="L514" i="11"/>
  <c r="L538" i="11"/>
  <c r="L558" i="11"/>
  <c r="L578" i="11"/>
  <c r="L602" i="11"/>
  <c r="L622" i="11"/>
  <c r="L642" i="11"/>
  <c r="L666" i="11"/>
  <c r="L686" i="11"/>
  <c r="L706" i="11"/>
  <c r="L730" i="11"/>
  <c r="L750" i="11"/>
  <c r="L770" i="11"/>
  <c r="L794" i="11"/>
  <c r="L814" i="11"/>
  <c r="L834" i="11"/>
  <c r="L858" i="11"/>
  <c r="L878" i="11"/>
  <c r="L898" i="11"/>
  <c r="L922" i="11"/>
  <c r="L942" i="11"/>
  <c r="L962" i="11"/>
  <c r="L986" i="11"/>
  <c r="L1006" i="11"/>
  <c r="L1026" i="11"/>
  <c r="L1050" i="11"/>
  <c r="L1070" i="11"/>
  <c r="L1090" i="11"/>
  <c r="L1114" i="11"/>
  <c r="L1134" i="11"/>
  <c r="L1154" i="11"/>
  <c r="L1178" i="11"/>
  <c r="L1198" i="11"/>
  <c r="L1218" i="11"/>
  <c r="L1242" i="11"/>
  <c r="L1262" i="11"/>
  <c r="L1282" i="11"/>
  <c r="L1306" i="11"/>
  <c r="L1326" i="11"/>
  <c r="L1346" i="11"/>
  <c r="L1370" i="11"/>
  <c r="L1390" i="11"/>
  <c r="L1410" i="11"/>
  <c r="L1434" i="11"/>
  <c r="L1454" i="11"/>
  <c r="L1474" i="11"/>
  <c r="L1498" i="11"/>
  <c r="L1518" i="11"/>
  <c r="L1538" i="11"/>
  <c r="L1562" i="11"/>
  <c r="L1582" i="11"/>
  <c r="L1602" i="11"/>
  <c r="L1626" i="11"/>
  <c r="L1646" i="11"/>
  <c r="L1666" i="11"/>
  <c r="L1690" i="11"/>
  <c r="L1710" i="11"/>
  <c r="L1730" i="11"/>
  <c r="L1754" i="11"/>
  <c r="L1774" i="11"/>
  <c r="L1794" i="11"/>
  <c r="L1818" i="11"/>
  <c r="L1838" i="11"/>
  <c r="L5" i="11"/>
  <c r="L165" i="11"/>
  <c r="L304" i="11"/>
  <c r="L359" i="11"/>
  <c r="L399" i="11"/>
  <c r="L443" i="11"/>
  <c r="L141" i="11"/>
  <c r="L309" i="11"/>
  <c r="L377" i="11"/>
  <c r="L436" i="11"/>
  <c r="L482" i="11"/>
  <c r="L526" i="11"/>
  <c r="L570" i="11"/>
  <c r="L610" i="11"/>
  <c r="L654" i="11"/>
  <c r="L698" i="11"/>
  <c r="L738" i="11"/>
  <c r="L782" i="11"/>
  <c r="L826" i="11"/>
  <c r="L866" i="11"/>
  <c r="L910" i="11"/>
  <c r="L954" i="11"/>
  <c r="L994" i="11"/>
  <c r="L1038" i="11"/>
  <c r="L1082" i="11"/>
  <c r="L1122" i="11"/>
  <c r="L1166" i="11"/>
  <c r="L1210" i="11"/>
  <c r="L1250" i="11"/>
  <c r="L1294" i="11"/>
  <c r="L1338" i="11"/>
  <c r="L1378" i="11"/>
  <c r="L1422" i="11"/>
  <c r="L1466" i="11"/>
  <c r="L1506" i="11"/>
  <c r="L1550" i="11"/>
  <c r="L1594" i="11"/>
  <c r="L1634" i="11"/>
  <c r="L1678" i="11"/>
  <c r="L1722" i="11"/>
  <c r="L1762" i="11"/>
  <c r="L1806" i="11"/>
  <c r="L1850" i="11"/>
  <c r="L1882" i="11"/>
  <c r="L1906" i="11"/>
  <c r="L1930" i="11"/>
  <c r="L1954" i="11"/>
  <c r="L1974" i="11"/>
  <c r="L1994" i="11"/>
  <c r="L2018" i="11"/>
  <c r="L2038" i="11"/>
  <c r="L2058" i="11"/>
  <c r="L2082" i="11"/>
  <c r="L2102" i="11"/>
  <c r="L2122" i="11"/>
  <c r="L2146" i="11"/>
  <c r="L2166" i="11"/>
  <c r="L2186" i="11"/>
  <c r="L2210" i="11"/>
  <c r="L2230" i="11"/>
  <c r="L2246" i="11"/>
  <c r="L2262" i="11"/>
  <c r="L2278" i="11"/>
  <c r="L2294" i="11"/>
  <c r="L2310" i="11"/>
  <c r="L2326" i="11"/>
  <c r="L2342" i="11"/>
  <c r="L2358" i="11"/>
  <c r="L2374" i="11"/>
  <c r="L2390" i="11"/>
  <c r="L2406" i="11"/>
  <c r="L2422" i="11"/>
  <c r="L2438" i="11"/>
  <c r="L2454" i="11"/>
  <c r="L2470" i="11"/>
  <c r="L2486" i="11"/>
  <c r="L2502" i="11"/>
  <c r="L2518" i="11"/>
  <c r="L2534" i="11"/>
  <c r="L2550" i="11"/>
  <c r="L2566" i="11"/>
  <c r="L2582" i="11"/>
  <c r="L2598" i="11"/>
  <c r="L2614" i="11"/>
  <c r="L2630" i="11"/>
  <c r="L85" i="11"/>
  <c r="L261" i="11"/>
  <c r="L333" i="11"/>
  <c r="L379" i="11"/>
  <c r="L423" i="11"/>
  <c r="L13" i="11"/>
  <c r="L249" i="11"/>
  <c r="L350" i="11"/>
  <c r="L404" i="11"/>
  <c r="L462" i="11"/>
  <c r="L506" i="11"/>
  <c r="L546" i="11"/>
  <c r="L590" i="11"/>
  <c r="L634" i="11"/>
  <c r="L674" i="11"/>
  <c r="L718" i="11"/>
  <c r="L762" i="11"/>
  <c r="L1195" i="11"/>
  <c r="L1179" i="11"/>
  <c r="L1163" i="11"/>
  <c r="L1147" i="11"/>
  <c r="L1131" i="11"/>
  <c r="L1115" i="11"/>
  <c r="L1099" i="11"/>
  <c r="L1083" i="11"/>
  <c r="L1067" i="11"/>
  <c r="L1051" i="11"/>
  <c r="L1035" i="11"/>
  <c r="L1019" i="11"/>
  <c r="L1003" i="11"/>
  <c r="L987" i="11"/>
  <c r="L971" i="11"/>
  <c r="L955" i="11"/>
  <c r="L939" i="11"/>
  <c r="L923" i="11"/>
  <c r="L907" i="11"/>
  <c r="L891" i="11"/>
  <c r="L875" i="11"/>
  <c r="L859" i="11"/>
  <c r="L843" i="11"/>
  <c r="L827" i="11"/>
  <c r="L811" i="11"/>
  <c r="L795" i="11"/>
  <c r="L779" i="11"/>
  <c r="L763" i="11"/>
  <c r="L747" i="11"/>
  <c r="L731" i="11"/>
  <c r="L715" i="11"/>
  <c r="L699" i="11"/>
  <c r="L683" i="11"/>
  <c r="L667" i="11"/>
  <c r="L651" i="11"/>
  <c r="L635" i="11"/>
  <c r="L619" i="11"/>
  <c r="L603" i="11"/>
  <c r="L587" i="11"/>
  <c r="L571" i="11"/>
  <c r="L555" i="11"/>
  <c r="L539" i="11"/>
  <c r="L523" i="11"/>
  <c r="L507" i="11"/>
  <c r="L491" i="11"/>
  <c r="L475" i="11"/>
  <c r="L458" i="11"/>
  <c r="L437" i="11"/>
  <c r="L416" i="11"/>
  <c r="L394" i="11"/>
  <c r="L373" i="11"/>
  <c r="L352" i="11"/>
  <c r="L326" i="11"/>
  <c r="L292" i="11"/>
  <c r="L233" i="11"/>
  <c r="L145" i="11"/>
  <c r="L61" i="11"/>
  <c r="L3494" i="11"/>
  <c r="L3478" i="11"/>
  <c r="L3462" i="11"/>
  <c r="L3446" i="11"/>
  <c r="L3430" i="11"/>
  <c r="L3414" i="11"/>
  <c r="L3398" i="11"/>
  <c r="L3382" i="11"/>
  <c r="L3366" i="11"/>
  <c r="L3350" i="11"/>
  <c r="L3334" i="11"/>
  <c r="L3318" i="11"/>
  <c r="L3302" i="11"/>
  <c r="L3286" i="11"/>
  <c r="L3270" i="11"/>
  <c r="L3254" i="11"/>
  <c r="L3238" i="11"/>
  <c r="L3222" i="11"/>
  <c r="L3206" i="11"/>
  <c r="L3190" i="11"/>
  <c r="L3174" i="11"/>
  <c r="L3158" i="11"/>
  <c r="L3142" i="11"/>
  <c r="L3126" i="11"/>
  <c r="L3110" i="11"/>
  <c r="L3094" i="11"/>
  <c r="L3078" i="11"/>
  <c r="L3062" i="11"/>
  <c r="L3046" i="11"/>
  <c r="L3030" i="11"/>
  <c r="L3014" i="11"/>
  <c r="L2998" i="11"/>
  <c r="L2982" i="11"/>
  <c r="L2966" i="11"/>
  <c r="L2950" i="11"/>
  <c r="L2934" i="11"/>
  <c r="L2918" i="11"/>
  <c r="L2902" i="11"/>
  <c r="L2886" i="11"/>
  <c r="L2870" i="11"/>
  <c r="L2854" i="11"/>
  <c r="L2838" i="11"/>
  <c r="L2822" i="11"/>
  <c r="L2806" i="11"/>
  <c r="L2790" i="11"/>
  <c r="L2774" i="11"/>
  <c r="L2758" i="11"/>
  <c r="L2742" i="11"/>
  <c r="L2726" i="11"/>
  <c r="L2710" i="11"/>
  <c r="L2694" i="11"/>
  <c r="L2678" i="11"/>
  <c r="L2662" i="11"/>
  <c r="L2646" i="11"/>
  <c r="L2626" i="11"/>
  <c r="L2606" i="11"/>
  <c r="L2586" i="11"/>
  <c r="L2562" i="11"/>
  <c r="L2542" i="11"/>
  <c r="L2522" i="11"/>
  <c r="L2498" i="11"/>
  <c r="L2478" i="11"/>
  <c r="L2458" i="11"/>
  <c r="L2434" i="11"/>
  <c r="L2414" i="11"/>
  <c r="L2394" i="11"/>
  <c r="L2370" i="11"/>
  <c r="L2350" i="11"/>
  <c r="L2330" i="11"/>
  <c r="L2306" i="11"/>
  <c r="L2286" i="11"/>
  <c r="L2266" i="11"/>
  <c r="L2242" i="11"/>
  <c r="L2218" i="11"/>
  <c r="L2194" i="11"/>
  <c r="L2162" i="11"/>
  <c r="L2134" i="11"/>
  <c r="L2106" i="11"/>
  <c r="L2074" i="11"/>
  <c r="L2050" i="11"/>
  <c r="L2022" i="11"/>
  <c r="L1990" i="11"/>
  <c r="L1962" i="11"/>
  <c r="L1938" i="11"/>
  <c r="L1902" i="11"/>
  <c r="L1866" i="11"/>
  <c r="L1822" i="11"/>
  <c r="L1758" i="11"/>
  <c r="L1698" i="11"/>
  <c r="L1650" i="11"/>
  <c r="L1586" i="11"/>
  <c r="L1530" i="11"/>
  <c r="L1482" i="11"/>
  <c r="L1418" i="11"/>
  <c r="L1358" i="11"/>
  <c r="L1310" i="11"/>
  <c r="L1246" i="11"/>
  <c r="L1186" i="11"/>
  <c r="L1138" i="11"/>
  <c r="L1074" i="11"/>
  <c r="L1018" i="11"/>
  <c r="L970" i="11"/>
  <c r="L906" i="11"/>
  <c r="L846" i="11"/>
  <c r="L798" i="11"/>
  <c r="L714" i="11"/>
  <c r="L626" i="11"/>
  <c r="L542" i="11"/>
  <c r="L457" i="11"/>
  <c r="L340" i="11"/>
  <c r="L459" i="11"/>
  <c r="L375" i="11"/>
  <c r="L229" i="11"/>
  <c r="L1191" i="11"/>
  <c r="L1175" i="11"/>
  <c r="L1159" i="11"/>
  <c r="L1143" i="11"/>
  <c r="L1127" i="11"/>
  <c r="L1111" i="11"/>
  <c r="L1095" i="11"/>
  <c r="L1079" i="11"/>
  <c r="L1063" i="11"/>
  <c r="L1047" i="11"/>
  <c r="L1031" i="11"/>
  <c r="L1015" i="11"/>
  <c r="L999" i="11"/>
  <c r="L983" i="11"/>
  <c r="L967" i="11"/>
  <c r="L951" i="11"/>
  <c r="L935" i="11"/>
  <c r="L919" i="11"/>
  <c r="L903" i="11"/>
  <c r="L887" i="11"/>
  <c r="L871" i="11"/>
  <c r="L855" i="11"/>
  <c r="L839" i="11"/>
  <c r="L823" i="11"/>
  <c r="L807" i="11"/>
  <c r="L791" i="11"/>
  <c r="L775" i="11"/>
  <c r="L759" i="11"/>
  <c r="L743" i="11"/>
  <c r="L727" i="11"/>
  <c r="L711" i="11"/>
  <c r="L695" i="11"/>
  <c r="L679" i="11"/>
  <c r="L663" i="11"/>
  <c r="L647" i="11"/>
  <c r="L631" i="11"/>
  <c r="L615" i="11"/>
  <c r="L599" i="11"/>
  <c r="L583" i="11"/>
  <c r="L567" i="11"/>
  <c r="L551" i="11"/>
  <c r="L535" i="11"/>
  <c r="L519" i="11"/>
  <c r="L503" i="11"/>
  <c r="L487" i="11"/>
  <c r="L471" i="11"/>
  <c r="L453" i="11"/>
  <c r="L432" i="11"/>
  <c r="L410" i="11"/>
  <c r="L389" i="11"/>
  <c r="L368" i="11"/>
  <c r="L346" i="11"/>
  <c r="L320" i="11"/>
  <c r="L281" i="11"/>
  <c r="L209" i="11"/>
  <c r="L125" i="11"/>
  <c r="L41" i="11"/>
  <c r="L3490" i="11"/>
  <c r="L3474" i="11"/>
  <c r="L3458" i="11"/>
  <c r="L3442" i="11"/>
  <c r="L3426" i="11"/>
  <c r="L3410" i="11"/>
  <c r="L3394" i="11"/>
  <c r="L3378" i="11"/>
  <c r="L3362" i="11"/>
  <c r="L3346" i="11"/>
  <c r="L3330" i="11"/>
  <c r="L3314" i="11"/>
  <c r="L3298" i="11"/>
  <c r="L3282" i="11"/>
  <c r="L3266" i="11"/>
  <c r="L3250" i="11"/>
  <c r="L3234" i="11"/>
  <c r="L3218" i="11"/>
  <c r="L3202" i="11"/>
  <c r="L3186" i="11"/>
  <c r="L3170" i="11"/>
  <c r="L3154" i="11"/>
  <c r="L3138" i="11"/>
  <c r="L3122" i="11"/>
  <c r="L3106" i="11"/>
  <c r="L3090" i="11"/>
  <c r="L3074" i="11"/>
  <c r="L3058" i="11"/>
  <c r="L3042" i="11"/>
  <c r="L3026" i="11"/>
  <c r="L3010" i="11"/>
  <c r="L2994" i="11"/>
  <c r="L2978" i="11"/>
  <c r="L2962" i="11"/>
  <c r="L2946" i="11"/>
  <c r="L2930" i="11"/>
  <c r="L2914" i="11"/>
  <c r="L2898" i="11"/>
  <c r="L2882" i="11"/>
  <c r="L2866" i="11"/>
  <c r="L2850" i="11"/>
  <c r="L2834" i="11"/>
  <c r="L2818" i="11"/>
  <c r="L2802" i="11"/>
  <c r="L2786" i="11"/>
  <c r="L2770" i="11"/>
  <c r="L2754" i="11"/>
  <c r="L2738" i="11"/>
  <c r="L2722" i="11"/>
  <c r="L2706" i="11"/>
  <c r="L2690" i="11"/>
  <c r="L2674" i="11"/>
  <c r="L2658" i="11"/>
  <c r="L2642" i="11"/>
  <c r="L2622" i="11"/>
  <c r="L2602" i="11"/>
  <c r="L2578" i="11"/>
  <c r="L2558" i="11"/>
  <c r="L2538" i="11"/>
  <c r="L2514" i="11"/>
  <c r="L2494" i="11"/>
  <c r="L2474" i="11"/>
  <c r="L2450" i="11"/>
  <c r="L2430" i="11"/>
  <c r="L2410" i="11"/>
  <c r="L2386" i="11"/>
  <c r="L2366" i="11"/>
  <c r="L2346" i="11"/>
  <c r="L2322" i="11"/>
  <c r="L2302" i="11"/>
  <c r="L2282" i="11"/>
  <c r="L2258" i="11"/>
  <c r="L2238" i="11"/>
  <c r="L2214" i="11"/>
  <c r="L2182" i="11"/>
  <c r="L2154" i="11"/>
  <c r="L2130" i="11"/>
  <c r="L2098" i="11"/>
  <c r="L2070" i="11"/>
  <c r="L2042" i="11"/>
  <c r="L2010" i="11"/>
  <c r="L1986" i="11"/>
  <c r="L1958" i="11"/>
  <c r="L1926" i="11"/>
  <c r="L1890" i="11"/>
  <c r="L1858" i="11"/>
  <c r="L1802" i="11"/>
  <c r="L1742" i="11"/>
  <c r="L1694" i="11"/>
  <c r="L1630" i="11"/>
  <c r="L1570" i="11"/>
  <c r="L1522" i="11"/>
  <c r="L1458" i="11"/>
  <c r="L1402" i="11"/>
  <c r="L1354" i="11"/>
  <c r="L1290" i="11"/>
  <c r="L1230" i="11"/>
  <c r="L1182" i="11"/>
  <c r="L1118" i="11"/>
  <c r="L1058" i="11"/>
  <c r="L1010" i="11"/>
  <c r="L946" i="11"/>
  <c r="L890" i="11"/>
  <c r="L842" i="11"/>
  <c r="L778" i="11"/>
  <c r="L690" i="11"/>
  <c r="L606" i="11"/>
  <c r="L522" i="11"/>
  <c r="L425" i="11"/>
  <c r="L300" i="11"/>
  <c r="L439" i="11"/>
  <c r="L351" i="11"/>
  <c r="L149" i="11"/>
  <c r="M1852" i="11"/>
  <c r="M1788" i="11"/>
  <c r="M1724" i="11"/>
  <c r="M1660" i="11"/>
  <c r="M1596" i="11"/>
  <c r="M1470" i="11"/>
  <c r="M1342" i="11"/>
  <c r="M1588" i="11"/>
  <c r="M1524" i="11"/>
  <c r="M1460" i="11"/>
  <c r="M1396" i="11"/>
  <c r="M1332" i="11"/>
  <c r="M1268" i="11"/>
  <c r="M1204" i="11"/>
  <c r="M1130" i="11"/>
  <c r="M1009" i="11"/>
  <c r="M836" i="11"/>
  <c r="M552" i="11"/>
  <c r="M1563" i="11"/>
  <c r="M1499" i="11"/>
  <c r="M1435" i="11"/>
  <c r="M1371" i="11"/>
  <c r="M1307" i="11"/>
  <c r="M1243" i="11"/>
  <c r="M1179" i="11"/>
  <c r="M1086" i="11"/>
  <c r="M943" i="11"/>
  <c r="M749" i="11"/>
  <c r="M251" i="11"/>
  <c r="M1174" i="11"/>
  <c r="M1077" i="11"/>
  <c r="M929" i="11"/>
  <c r="M729" i="11"/>
  <c r="M135" i="11"/>
  <c r="M1169" i="11"/>
  <c r="M1067" i="11"/>
  <c r="M917" i="11"/>
  <c r="M713" i="11"/>
  <c r="M17" i="11"/>
  <c r="M947" i="11"/>
  <c r="M862" i="11"/>
  <c r="M754" i="11"/>
  <c r="M638" i="11"/>
  <c r="M283" i="11"/>
  <c r="M1095" i="11"/>
  <c r="M1010" i="11"/>
  <c r="M925" i="11"/>
  <c r="M837" i="11"/>
  <c r="M724" i="11"/>
  <c r="M557" i="11"/>
  <c r="M103" i="11"/>
  <c r="M1096" i="11"/>
  <c r="M1032" i="11"/>
  <c r="M968" i="11"/>
  <c r="M904" i="11"/>
  <c r="M838" i="11"/>
  <c r="M753" i="11"/>
  <c r="M668" i="11"/>
  <c r="M582" i="11"/>
  <c r="M497" i="11"/>
  <c r="M412" i="11"/>
  <c r="M321" i="11"/>
  <c r="M153" i="11"/>
  <c r="M618" i="11"/>
  <c r="M533" i="11"/>
  <c r="M448" i="11"/>
  <c r="M362" i="11"/>
  <c r="M225" i="11"/>
  <c r="M41" i="11"/>
  <c r="M558" i="11"/>
  <c r="M473" i="11"/>
  <c r="M388" i="11"/>
  <c r="M275" i="11"/>
  <c r="M105" i="11"/>
  <c r="M811" i="11"/>
  <c r="M747" i="11"/>
  <c r="M683" i="11"/>
  <c r="M619" i="11"/>
  <c r="M555" i="11"/>
  <c r="M491" i="11"/>
  <c r="M427" i="11"/>
  <c r="M363" i="11"/>
  <c r="M269" i="11"/>
  <c r="M141" i="11"/>
  <c r="M13" i="11"/>
  <c r="M1820" i="11"/>
  <c r="M1756" i="11"/>
  <c r="M1692" i="11"/>
  <c r="M1628" i="11"/>
  <c r="M1534" i="11"/>
  <c r="M1406" i="11"/>
  <c r="M1278" i="11"/>
  <c r="M1556" i="11"/>
  <c r="M1492" i="11"/>
  <c r="M1428" i="11"/>
  <c r="M1364" i="11"/>
  <c r="M1300" i="11"/>
  <c r="M1236" i="11"/>
  <c r="M1172" i="11"/>
  <c r="M1073" i="11"/>
  <c r="M923" i="11"/>
  <c r="M722" i="11"/>
  <c r="M91" i="11"/>
  <c r="M1531" i="11"/>
  <c r="M1467" i="11"/>
  <c r="M1403" i="11"/>
  <c r="M1339" i="11"/>
  <c r="M1275" i="11"/>
  <c r="M1211" i="11"/>
  <c r="M1142" i="11"/>
  <c r="M1029" i="11"/>
  <c r="M858" i="11"/>
  <c r="M632" i="11"/>
  <c r="M1206" i="11"/>
  <c r="M1134" i="11"/>
  <c r="M1014" i="11"/>
  <c r="M842" i="11"/>
  <c r="M573" i="11"/>
  <c r="M1201" i="11"/>
  <c r="M1125" i="11"/>
  <c r="M1002" i="11"/>
  <c r="M826" i="11"/>
  <c r="M525" i="11"/>
  <c r="M990" i="11"/>
  <c r="M905" i="11"/>
  <c r="M810" i="11"/>
  <c r="M697" i="11"/>
  <c r="M477" i="11"/>
  <c r="M1138" i="11"/>
  <c r="M1053" i="11"/>
  <c r="M967" i="11"/>
  <c r="M882" i="11"/>
  <c r="M781" i="11"/>
  <c r="M666" i="11"/>
  <c r="M386" i="11"/>
  <c r="M1128" i="11"/>
  <c r="M1064" i="11"/>
  <c r="M1000" i="11"/>
  <c r="M936" i="11"/>
  <c r="M872" i="11"/>
  <c r="M796" i="11"/>
  <c r="M710" i="11"/>
  <c r="M625" i="11"/>
  <c r="M540" i="11"/>
  <c r="M454" i="11"/>
  <c r="M369" i="11"/>
  <c r="M239" i="11"/>
  <c r="M63" i="11"/>
  <c r="M576" i="11"/>
  <c r="M490" i="11"/>
  <c r="M405" i="11"/>
  <c r="M311" i="11"/>
  <c r="M139" i="11"/>
  <c r="M601" i="11"/>
  <c r="M516" i="11"/>
  <c r="M430" i="11"/>
  <c r="M345" i="11"/>
  <c r="M191" i="11"/>
  <c r="M843" i="11"/>
  <c r="M779" i="11"/>
  <c r="M715" i="11"/>
  <c r="M651" i="11"/>
  <c r="M587" i="11"/>
  <c r="M523" i="11"/>
  <c r="M459" i="11"/>
  <c r="M395" i="11"/>
  <c r="M328" i="11"/>
  <c r="M205" i="11"/>
  <c r="M77" i="11"/>
  <c r="L1910" i="11"/>
  <c r="L1894" i="11"/>
  <c r="L1878" i="11"/>
  <c r="L1862" i="11"/>
  <c r="L1846" i="11"/>
  <c r="L1830" i="11"/>
  <c r="L1814" i="11"/>
  <c r="L1798" i="11"/>
  <c r="L1782" i="11"/>
  <c r="L1766" i="11"/>
  <c r="L1750" i="11"/>
  <c r="L1734" i="11"/>
  <c r="L1718" i="11"/>
  <c r="L1702" i="11"/>
  <c r="L1686" i="11"/>
  <c r="L1670" i="11"/>
  <c r="L1654" i="11"/>
  <c r="L1638" i="11"/>
  <c r="L1622" i="11"/>
  <c r="L1606" i="11"/>
  <c r="L1590" i="11"/>
  <c r="L1574" i="11"/>
  <c r="L1558" i="11"/>
  <c r="L1542" i="11"/>
  <c r="L1526" i="11"/>
  <c r="L1510" i="11"/>
  <c r="L1494" i="11"/>
  <c r="L1478" i="11"/>
  <c r="L1462" i="11"/>
  <c r="L1446" i="11"/>
  <c r="L1430" i="11"/>
  <c r="L1414" i="11"/>
  <c r="L1398" i="11"/>
  <c r="L1382" i="11"/>
  <c r="L1366" i="11"/>
  <c r="L1350" i="11"/>
  <c r="L1334" i="11"/>
  <c r="L1318" i="11"/>
  <c r="L1302" i="11"/>
  <c r="L1286" i="11"/>
  <c r="L1270" i="11"/>
  <c r="L1254" i="11"/>
  <c r="L1238" i="11"/>
  <c r="L1222" i="11"/>
  <c r="L1206" i="11"/>
  <c r="L1190" i="11"/>
  <c r="L1174" i="11"/>
  <c r="L1158" i="11"/>
  <c r="L1142" i="11"/>
  <c r="L1126" i="11"/>
  <c r="L1110" i="11"/>
  <c r="L1094" i="11"/>
  <c r="L1078" i="11"/>
  <c r="L1062" i="11"/>
  <c r="L1046" i="11"/>
  <c r="L1030" i="11"/>
  <c r="L1014" i="11"/>
  <c r="L998" i="11"/>
  <c r="L982" i="11"/>
  <c r="L966" i="11"/>
  <c r="L950" i="11"/>
  <c r="L934" i="11"/>
  <c r="L918" i="11"/>
  <c r="L902" i="11"/>
  <c r="L886" i="11"/>
  <c r="L870" i="11"/>
  <c r="L854" i="11"/>
  <c r="L838" i="11"/>
  <c r="L822" i="11"/>
  <c r="L806" i="11"/>
  <c r="L790" i="11"/>
  <c r="L774" i="11"/>
  <c r="L758" i="11"/>
  <c r="L742" i="11"/>
  <c r="L726" i="11"/>
  <c r="L710" i="11"/>
  <c r="L694" i="11"/>
  <c r="L678" i="11"/>
  <c r="L662" i="11"/>
  <c r="L646" i="11"/>
  <c r="L630" i="11"/>
  <c r="L614" i="11"/>
  <c r="L598" i="11"/>
  <c r="L582" i="11"/>
  <c r="L566" i="11"/>
  <c r="L550" i="11"/>
  <c r="L534" i="11"/>
  <c r="L518" i="11"/>
  <c r="L502" i="11"/>
  <c r="L486" i="11"/>
  <c r="L470" i="11"/>
  <c r="L452" i="11"/>
  <c r="L430" i="11"/>
  <c r="L409" i="11"/>
  <c r="L388" i="11"/>
  <c r="L366" i="11"/>
  <c r="L345" i="11"/>
  <c r="L318" i="11"/>
  <c r="L277" i="11"/>
  <c r="L205" i="11"/>
  <c r="L121" i="11"/>
  <c r="L33" i="11"/>
  <c r="L451" i="11"/>
  <c r="L435" i="11"/>
  <c r="L419" i="11"/>
  <c r="L403" i="11"/>
  <c r="L387" i="11"/>
  <c r="L371" i="11"/>
  <c r="L355" i="11"/>
  <c r="L338" i="11"/>
  <c r="L317" i="11"/>
  <c r="L288" i="11"/>
  <c r="L245" i="11"/>
  <c r="L181" i="11"/>
  <c r="L117" i="11"/>
  <c r="L53" i="11"/>
  <c r="P2" i="11" a="1"/>
  <c r="N2" i="11" l="1" a="1"/>
  <c r="P3500" i="11"/>
  <c r="P3496" i="11"/>
  <c r="P3492" i="11"/>
  <c r="P3488" i="11"/>
  <c r="P3484" i="11"/>
  <c r="P3480" i="11"/>
  <c r="P3476" i="11"/>
  <c r="P3472" i="11"/>
  <c r="P3468" i="11"/>
  <c r="P3464" i="11"/>
  <c r="P3460" i="11"/>
  <c r="P3456" i="11"/>
  <c r="P3452" i="11"/>
  <c r="P3448" i="11"/>
  <c r="P3444" i="11"/>
  <c r="P3440" i="11"/>
  <c r="P3436" i="11"/>
  <c r="P3432" i="11"/>
  <c r="P3428" i="11"/>
  <c r="P3424" i="11"/>
  <c r="P3420" i="11"/>
  <c r="P3416" i="11"/>
  <c r="P3412" i="11"/>
  <c r="P3408" i="11"/>
  <c r="P3499" i="11"/>
  <c r="P3495" i="11"/>
  <c r="P3491" i="11"/>
  <c r="P3487" i="11"/>
  <c r="P3483" i="11"/>
  <c r="P3479" i="11"/>
  <c r="P3475" i="11"/>
  <c r="P3471" i="11"/>
  <c r="P3467" i="11"/>
  <c r="P3463" i="11"/>
  <c r="P3459" i="11"/>
  <c r="P3455" i="11"/>
  <c r="P3451" i="11"/>
  <c r="P3447" i="11"/>
  <c r="P3443" i="11"/>
  <c r="P3439" i="11"/>
  <c r="P3435" i="11"/>
  <c r="P3431" i="11"/>
  <c r="P3427" i="11"/>
  <c r="P3423" i="11"/>
  <c r="P3419" i="11"/>
  <c r="P3415" i="11"/>
  <c r="P3411" i="11"/>
  <c r="P3407" i="11"/>
  <c r="P3403" i="11"/>
  <c r="P3399" i="11"/>
  <c r="P3497" i="11"/>
  <c r="P3489" i="11"/>
  <c r="P3481" i="11"/>
  <c r="P3473" i="11"/>
  <c r="P3465" i="11"/>
  <c r="P3457" i="11"/>
  <c r="P3449" i="11"/>
  <c r="P3441" i="11"/>
  <c r="P3433" i="11"/>
  <c r="P3425" i="11"/>
  <c r="P3417" i="11"/>
  <c r="P3409" i="11"/>
  <c r="P3402" i="11"/>
  <c r="P3397" i="11"/>
  <c r="P3393" i="11"/>
  <c r="P3389" i="11"/>
  <c r="P3385" i="11"/>
  <c r="P3381" i="11"/>
  <c r="P3377" i="11"/>
  <c r="P3373" i="11"/>
  <c r="P3369" i="11"/>
  <c r="P3365" i="11"/>
  <c r="P3361" i="11"/>
  <c r="P3357" i="11"/>
  <c r="P3353" i="11"/>
  <c r="P3349" i="11"/>
  <c r="P3345" i="11"/>
  <c r="P3341" i="11"/>
  <c r="P3337" i="11"/>
  <c r="P3333" i="11"/>
  <c r="P3329" i="11"/>
  <c r="P3325" i="11"/>
  <c r="P3321" i="11"/>
  <c r="P3317" i="11"/>
  <c r="P3313" i="11"/>
  <c r="P3309" i="11"/>
  <c r="P3305" i="11"/>
  <c r="P3301" i="11"/>
  <c r="P3297" i="11"/>
  <c r="P3293" i="11"/>
  <c r="P3289" i="11"/>
  <c r="P3285" i="11"/>
  <c r="P3281" i="11"/>
  <c r="P3277" i="11"/>
  <c r="P3273" i="11"/>
  <c r="P3269" i="11"/>
  <c r="P3265" i="11"/>
  <c r="P3261" i="11"/>
  <c r="P3257" i="11"/>
  <c r="P3253" i="11"/>
  <c r="P3249" i="11"/>
  <c r="P3245" i="11"/>
  <c r="P3241" i="11"/>
  <c r="P3237" i="11"/>
  <c r="P3233" i="11"/>
  <c r="P3229" i="11"/>
  <c r="P3225" i="11"/>
  <c r="P3221" i="11"/>
  <c r="P3217" i="11"/>
  <c r="P3213" i="11"/>
  <c r="P3209" i="11"/>
  <c r="P3205" i="11"/>
  <c r="P3201" i="11"/>
  <c r="P3197" i="11"/>
  <c r="P3193" i="11"/>
  <c r="P3189" i="11"/>
  <c r="P3185" i="11"/>
  <c r="P3181" i="11"/>
  <c r="P3177" i="11"/>
  <c r="P3173" i="11"/>
  <c r="P3169" i="11"/>
  <c r="P3165" i="11"/>
  <c r="P3161" i="11"/>
  <c r="P3157" i="11"/>
  <c r="P3153" i="11"/>
  <c r="P3149" i="11"/>
  <c r="P3145" i="11"/>
  <c r="P3141" i="11"/>
  <c r="P3137" i="11"/>
  <c r="P3133" i="11"/>
  <c r="P3129" i="11"/>
  <c r="P3125" i="11"/>
  <c r="P3121" i="11"/>
  <c r="P3117" i="11"/>
  <c r="P3113" i="11"/>
  <c r="P3109" i="11"/>
  <c r="P3105" i="11"/>
  <c r="P3101" i="11"/>
  <c r="P3097" i="11"/>
  <c r="P3093" i="11"/>
  <c r="P3089" i="11"/>
  <c r="P3085" i="11"/>
  <c r="P3081" i="11"/>
  <c r="P3077" i="11"/>
  <c r="P3073" i="11"/>
  <c r="P3069" i="11"/>
  <c r="P3065" i="11"/>
  <c r="P3061" i="11"/>
  <c r="P3057" i="11"/>
  <c r="P3053" i="11"/>
  <c r="P3049" i="11"/>
  <c r="P3045" i="11"/>
  <c r="P3041" i="11"/>
  <c r="P3037" i="11"/>
  <c r="P3033" i="11"/>
  <c r="P3029" i="11"/>
  <c r="P3025" i="11"/>
  <c r="P3021" i="11"/>
  <c r="P3017" i="11"/>
  <c r="P3013" i="11"/>
  <c r="P3009" i="11"/>
  <c r="P3005" i="11"/>
  <c r="P3001" i="11"/>
  <c r="P2997" i="11"/>
  <c r="P2993" i="11"/>
  <c r="P2989" i="11"/>
  <c r="P2985" i="11"/>
  <c r="P2981" i="11"/>
  <c r="P2977" i="11"/>
  <c r="P2973" i="11"/>
  <c r="P2969" i="11"/>
  <c r="P2965" i="11"/>
  <c r="P2961" i="11"/>
  <c r="P2957" i="11"/>
  <c r="P2953" i="11"/>
  <c r="P2949" i="11"/>
  <c r="P2945" i="11"/>
  <c r="P2941" i="11"/>
  <c r="P2937" i="11"/>
  <c r="P2933" i="11"/>
  <c r="P2929" i="11"/>
  <c r="P2925" i="11"/>
  <c r="P2921" i="11"/>
  <c r="P2917" i="11"/>
  <c r="P2913" i="11"/>
  <c r="P2909" i="11"/>
  <c r="P2905" i="11"/>
  <c r="P2901" i="11"/>
  <c r="P2897" i="11"/>
  <c r="P2893" i="11"/>
  <c r="P2889" i="11"/>
  <c r="P2885" i="11"/>
  <c r="P2881" i="11"/>
  <c r="P2877" i="11"/>
  <c r="P2873" i="11"/>
  <c r="P2869" i="11"/>
  <c r="P2865" i="11"/>
  <c r="P2861" i="11"/>
  <c r="P2857" i="11"/>
  <c r="P2853" i="11"/>
  <c r="P2849" i="11"/>
  <c r="P2845" i="11"/>
  <c r="P2841" i="11"/>
  <c r="P2837" i="11"/>
  <c r="P2833" i="11"/>
  <c r="P2829" i="11"/>
  <c r="P2825" i="11"/>
  <c r="P2821" i="11"/>
  <c r="P2817" i="11"/>
  <c r="P2813" i="11"/>
  <c r="P2809" i="11"/>
  <c r="P2805" i="11"/>
  <c r="P2801" i="11"/>
  <c r="P2797" i="11"/>
  <c r="P2793" i="11"/>
  <c r="P2789" i="11"/>
  <c r="P2785" i="11"/>
  <c r="P2781" i="11"/>
  <c r="P2777" i="11"/>
  <c r="P3494" i="11"/>
  <c r="P3486" i="11"/>
  <c r="P3478" i="11"/>
  <c r="P3470" i="11"/>
  <c r="P3462" i="11"/>
  <c r="P3454" i="11"/>
  <c r="P3446" i="11"/>
  <c r="P3438" i="11"/>
  <c r="P3430" i="11"/>
  <c r="P3422" i="11"/>
  <c r="P3414" i="11"/>
  <c r="P3406" i="11"/>
  <c r="P3401" i="11"/>
  <c r="P3396" i="11"/>
  <c r="P3392" i="11"/>
  <c r="P3388" i="11"/>
  <c r="P3384" i="11"/>
  <c r="P3380" i="11"/>
  <c r="P3376" i="11"/>
  <c r="P3372" i="11"/>
  <c r="P3368" i="11"/>
  <c r="P3364" i="11"/>
  <c r="P3360" i="11"/>
  <c r="P3356" i="11"/>
  <c r="P3352" i="11"/>
  <c r="P3348" i="11"/>
  <c r="P3344" i="11"/>
  <c r="P3340" i="11"/>
  <c r="P3336" i="11"/>
  <c r="P3332" i="11"/>
  <c r="P3328" i="11"/>
  <c r="P3324" i="11"/>
  <c r="P3320" i="11"/>
  <c r="P3316" i="11"/>
  <c r="P3312" i="11"/>
  <c r="P3308" i="11"/>
  <c r="P3304" i="11"/>
  <c r="P3300" i="11"/>
  <c r="P3296" i="11"/>
  <c r="P3292" i="11"/>
  <c r="P3288" i="11"/>
  <c r="P3284" i="11"/>
  <c r="P3280" i="11"/>
  <c r="P3276" i="11"/>
  <c r="P3272" i="11"/>
  <c r="P3268" i="11"/>
  <c r="P3264" i="11"/>
  <c r="P3260" i="11"/>
  <c r="P3256" i="11"/>
  <c r="P3252" i="11"/>
  <c r="P3248" i="11"/>
  <c r="P3244" i="11"/>
  <c r="P3240" i="11"/>
  <c r="P3236" i="11"/>
  <c r="P3232" i="11"/>
  <c r="P3228" i="11"/>
  <c r="P3224" i="11"/>
  <c r="P3220" i="11"/>
  <c r="P3216" i="11"/>
  <c r="P3212" i="11"/>
  <c r="P3208" i="11"/>
  <c r="P3204" i="11"/>
  <c r="P3200" i="11"/>
  <c r="P3196" i="11"/>
  <c r="P3192" i="11"/>
  <c r="P3188" i="11"/>
  <c r="P3184" i="11"/>
  <c r="P3180" i="11"/>
  <c r="P3176" i="11"/>
  <c r="P3172" i="11"/>
  <c r="P3168" i="11"/>
  <c r="P3164" i="11"/>
  <c r="P3160" i="11"/>
  <c r="P3156" i="11"/>
  <c r="P3152" i="11"/>
  <c r="P3148" i="11"/>
  <c r="P3144" i="11"/>
  <c r="P3140" i="11"/>
  <c r="P3136" i="11"/>
  <c r="P3132" i="11"/>
  <c r="P3128" i="11"/>
  <c r="P3124" i="11"/>
  <c r="P3120" i="11"/>
  <c r="P3116" i="11"/>
  <c r="P3112" i="11"/>
  <c r="P3108" i="11"/>
  <c r="P3104" i="11"/>
  <c r="P3100" i="11"/>
  <c r="P3096" i="11"/>
  <c r="P3092" i="11"/>
  <c r="P3088" i="11"/>
  <c r="P3084" i="11"/>
  <c r="P3080" i="11"/>
  <c r="P3076" i="11"/>
  <c r="P3072" i="11"/>
  <c r="P3068" i="11"/>
  <c r="P3064" i="11"/>
  <c r="P3060" i="11"/>
  <c r="P3056" i="11"/>
  <c r="P3052" i="11"/>
  <c r="P3048" i="11"/>
  <c r="P3044" i="11"/>
  <c r="P3040" i="11"/>
  <c r="P3036" i="11"/>
  <c r="P3032" i="11"/>
  <c r="P3028" i="11"/>
  <c r="P3024" i="11"/>
  <c r="P3020" i="11"/>
  <c r="P3016" i="11"/>
  <c r="P3012" i="11"/>
  <c r="P3008" i="11"/>
  <c r="P3004" i="11"/>
  <c r="P3000" i="11"/>
  <c r="P2996" i="11"/>
  <c r="P2992" i="11"/>
  <c r="P2988" i="11"/>
  <c r="P2984" i="11"/>
  <c r="P2980" i="11"/>
  <c r="P2976" i="11"/>
  <c r="P2972" i="11"/>
  <c r="P2968" i="11"/>
  <c r="P2964" i="11"/>
  <c r="P2960" i="11"/>
  <c r="P2956" i="11"/>
  <c r="P2952" i="11"/>
  <c r="P2948" i="11"/>
  <c r="P2944" i="11"/>
  <c r="P2940" i="11"/>
  <c r="P2936" i="11"/>
  <c r="P2932" i="11"/>
  <c r="P2928" i="11"/>
  <c r="P2924" i="11"/>
  <c r="P2920" i="11"/>
  <c r="P2916" i="11"/>
  <c r="P2912" i="11"/>
  <c r="P2908" i="11"/>
  <c r="P2904" i="11"/>
  <c r="P2900" i="11"/>
  <c r="P2896" i="11"/>
  <c r="P2892" i="11"/>
  <c r="P2888" i="11"/>
  <c r="P2884" i="11"/>
  <c r="P2880" i="11"/>
  <c r="P2876" i="11"/>
  <c r="P2872" i="11"/>
  <c r="P2868" i="11"/>
  <c r="P2864" i="11"/>
  <c r="P2860" i="11"/>
  <c r="P2856" i="11"/>
  <c r="P2852" i="11"/>
  <c r="P2848" i="11"/>
  <c r="P2844" i="11"/>
  <c r="P2840" i="11"/>
  <c r="P2836" i="11"/>
  <c r="P2832" i="11"/>
  <c r="P2828" i="11"/>
  <c r="P2824" i="11"/>
  <c r="P2820" i="11"/>
  <c r="P2816" i="11"/>
  <c r="P2812" i="11"/>
  <c r="P2808" i="11"/>
  <c r="P2804" i="11"/>
  <c r="P2800" i="11"/>
  <c r="P2796" i="11"/>
  <c r="P2792" i="11"/>
  <c r="P2788" i="11"/>
  <c r="P2784" i="11"/>
  <c r="P2780" i="11"/>
  <c r="P2776" i="11"/>
  <c r="P2772" i="11"/>
  <c r="P2768" i="11"/>
  <c r="P2764" i="11"/>
  <c r="P2760" i="11"/>
  <c r="P2756" i="11"/>
  <c r="P2752" i="11"/>
  <c r="P2748" i="11"/>
  <c r="P2744" i="11"/>
  <c r="P2740" i="11"/>
  <c r="P2736" i="11"/>
  <c r="P2732" i="11"/>
  <c r="P2728" i="11"/>
  <c r="P2724" i="11"/>
  <c r="P2720" i="11"/>
  <c r="P2716" i="11"/>
  <c r="P2712" i="11"/>
  <c r="P2708" i="11"/>
  <c r="P2704" i="11"/>
  <c r="P2700" i="11"/>
  <c r="P2696" i="11"/>
  <c r="P2692" i="11"/>
  <c r="P2688" i="11"/>
  <c r="P2684" i="11"/>
  <c r="P2680" i="11"/>
  <c r="P2676" i="11"/>
  <c r="P2672" i="11"/>
  <c r="P2668" i="11"/>
  <c r="P2664" i="11"/>
  <c r="P2660" i="11"/>
  <c r="P2656" i="11"/>
  <c r="P2652" i="11"/>
  <c r="P2648" i="11"/>
  <c r="P2644" i="11"/>
  <c r="P2640" i="11"/>
  <c r="P2636" i="11"/>
  <c r="P2632" i="11"/>
  <c r="P2628" i="11"/>
  <c r="P2624" i="11"/>
  <c r="P2620" i="11"/>
  <c r="P2616" i="11"/>
  <c r="P2612" i="11"/>
  <c r="P2608" i="11"/>
  <c r="P2604" i="11"/>
  <c r="P2600" i="11"/>
  <c r="P2596" i="11"/>
  <c r="P2592" i="11"/>
  <c r="P2588" i="11"/>
  <c r="P2584" i="11"/>
  <c r="P2580" i="11"/>
  <c r="P2576" i="11"/>
  <c r="P2572" i="11"/>
  <c r="P2568" i="11"/>
  <c r="P2564" i="11"/>
  <c r="P2560" i="11"/>
  <c r="P2556" i="11"/>
  <c r="P2552" i="11"/>
  <c r="P2548" i="11"/>
  <c r="P2544" i="11"/>
  <c r="P2540" i="11"/>
  <c r="P2536" i="11"/>
  <c r="P2532" i="11"/>
  <c r="P2528" i="11"/>
  <c r="P2524" i="11"/>
  <c r="P2520" i="11"/>
  <c r="P2516" i="11"/>
  <c r="P2512" i="11"/>
  <c r="P2508" i="11"/>
  <c r="P2504" i="11"/>
  <c r="P2500" i="11"/>
  <c r="P2496" i="11"/>
  <c r="P2492" i="11"/>
  <c r="P2488" i="11"/>
  <c r="P2484" i="11"/>
  <c r="P2480" i="11"/>
  <c r="P2476" i="11"/>
  <c r="P2472" i="11"/>
  <c r="P2468" i="11"/>
  <c r="P2464" i="11"/>
  <c r="P2460" i="11"/>
  <c r="P2456" i="11"/>
  <c r="P2452" i="11"/>
  <c r="P2448" i="11"/>
  <c r="P2444" i="11"/>
  <c r="P2440" i="11"/>
  <c r="P2436" i="11"/>
  <c r="P2432" i="11"/>
  <c r="P2428" i="11"/>
  <c r="P2424" i="11"/>
  <c r="P2420" i="11"/>
  <c r="P2416" i="11"/>
  <c r="P2412" i="11"/>
  <c r="P2408" i="11"/>
  <c r="P2404" i="11"/>
  <c r="P2400" i="11"/>
  <c r="P3501" i="11"/>
  <c r="P3493" i="11"/>
  <c r="P3485" i="11"/>
  <c r="P3477" i="11"/>
  <c r="P3469" i="11"/>
  <c r="P3461" i="11"/>
  <c r="P3453" i="11"/>
  <c r="P3445" i="11"/>
  <c r="P3437" i="11"/>
  <c r="P3429" i="11"/>
  <c r="P3421" i="11"/>
  <c r="P3413" i="11"/>
  <c r="P3405" i="11"/>
  <c r="P3400" i="11"/>
  <c r="P3395" i="11"/>
  <c r="P3391" i="11"/>
  <c r="P3387" i="11"/>
  <c r="P3383" i="11"/>
  <c r="P3379" i="11"/>
  <c r="P3375" i="11"/>
  <c r="P3371" i="11"/>
  <c r="P3367" i="11"/>
  <c r="P3363" i="11"/>
  <c r="P3359" i="11"/>
  <c r="P3355" i="11"/>
  <c r="P3351" i="11"/>
  <c r="P3347" i="11"/>
  <c r="P3343" i="11"/>
  <c r="P3339" i="11"/>
  <c r="P3335" i="11"/>
  <c r="P3331" i="11"/>
  <c r="P3327" i="11"/>
  <c r="P3323" i="11"/>
  <c r="P3319" i="11"/>
  <c r="P3315" i="11"/>
  <c r="P3311" i="11"/>
  <c r="P3307" i="11"/>
  <c r="P3303" i="11"/>
  <c r="P3299" i="11"/>
  <c r="P3295" i="11"/>
  <c r="P3291" i="11"/>
  <c r="P3287" i="11"/>
  <c r="P3283" i="11"/>
  <c r="P3279" i="11"/>
  <c r="P3275" i="11"/>
  <c r="P3271" i="11"/>
  <c r="P3267" i="11"/>
  <c r="P3263" i="11"/>
  <c r="P3259" i="11"/>
  <c r="P3255" i="11"/>
  <c r="P3251" i="11"/>
  <c r="P3247" i="11"/>
  <c r="P3243" i="11"/>
  <c r="P3239" i="11"/>
  <c r="P3235" i="11"/>
  <c r="P3231" i="11"/>
  <c r="P3227" i="11"/>
  <c r="P3223" i="11"/>
  <c r="P3219" i="11"/>
  <c r="P3215" i="11"/>
  <c r="P3211" i="11"/>
  <c r="P3207" i="11"/>
  <c r="P3203" i="11"/>
  <c r="P3199" i="11"/>
  <c r="P3195" i="11"/>
  <c r="P3191" i="11"/>
  <c r="P3187" i="11"/>
  <c r="P3183" i="11"/>
  <c r="P3179" i="11"/>
  <c r="P3175" i="11"/>
  <c r="P3171" i="11"/>
  <c r="P3167" i="11"/>
  <c r="P3163" i="11"/>
  <c r="P3159" i="11"/>
  <c r="P3155" i="11"/>
  <c r="P3151" i="11"/>
  <c r="P3147" i="11"/>
  <c r="P3143" i="11"/>
  <c r="P3139" i="11"/>
  <c r="P3135" i="11"/>
  <c r="P3131" i="11"/>
  <c r="P3127" i="11"/>
  <c r="P3123" i="11"/>
  <c r="P3119" i="11"/>
  <c r="P3115" i="11"/>
  <c r="P3111" i="11"/>
  <c r="P3107" i="11"/>
  <c r="P3103" i="11"/>
  <c r="P3099" i="11"/>
  <c r="P3095" i="11"/>
  <c r="P3091" i="11"/>
  <c r="P3087" i="11"/>
  <c r="P3083" i="11"/>
  <c r="P3079" i="11"/>
  <c r="P3075" i="11"/>
  <c r="P3071" i="11"/>
  <c r="P3067" i="11"/>
  <c r="P3063" i="11"/>
  <c r="P3059" i="11"/>
  <c r="P3055" i="11"/>
  <c r="P3051" i="11"/>
  <c r="P3047" i="11"/>
  <c r="P3043" i="11"/>
  <c r="P3039" i="11"/>
  <c r="P3035" i="11"/>
  <c r="P3031" i="11"/>
  <c r="P3027" i="11"/>
  <c r="P3023" i="11"/>
  <c r="P3019" i="11"/>
  <c r="P3015" i="11"/>
  <c r="P3011" i="11"/>
  <c r="P3007" i="11"/>
  <c r="P3003" i="11"/>
  <c r="P2999" i="11"/>
  <c r="P2995" i="11"/>
  <c r="P2991" i="11"/>
  <c r="P2987" i="11"/>
  <c r="P2983" i="11"/>
  <c r="P2979" i="11"/>
  <c r="P2975" i="11"/>
  <c r="P2971" i="11"/>
  <c r="P2967" i="11"/>
  <c r="P2963" i="11"/>
  <c r="P2959" i="11"/>
  <c r="P2955" i="11"/>
  <c r="P2951" i="11"/>
  <c r="P2947" i="11"/>
  <c r="P2943" i="11"/>
  <c r="P2939" i="11"/>
  <c r="P2935" i="11"/>
  <c r="P2931" i="11"/>
  <c r="P2927" i="11"/>
  <c r="P2923" i="11"/>
  <c r="P2919" i="11"/>
  <c r="P2915" i="11"/>
  <c r="P2911" i="11"/>
  <c r="P2907" i="11"/>
  <c r="P2903" i="11"/>
  <c r="P2899" i="11"/>
  <c r="P2895" i="11"/>
  <c r="P2891" i="11"/>
  <c r="P2887" i="11"/>
  <c r="P2883" i="11"/>
  <c r="P2879" i="11"/>
  <c r="P2875" i="11"/>
  <c r="P2871" i="11"/>
  <c r="P2867" i="11"/>
  <c r="P2863" i="11"/>
  <c r="P2859" i="11"/>
  <c r="P2855" i="11"/>
  <c r="P2851" i="11"/>
  <c r="P2847" i="11"/>
  <c r="P2843" i="11"/>
  <c r="P2839" i="11"/>
  <c r="P2835" i="11"/>
  <c r="P2831" i="11"/>
  <c r="P2827" i="11"/>
  <c r="P2823" i="11"/>
  <c r="P2819" i="11"/>
  <c r="P2815" i="11"/>
  <c r="P2811" i="11"/>
  <c r="P2807" i="11"/>
  <c r="P2803" i="11"/>
  <c r="P2799" i="11"/>
  <c r="P2795" i="11"/>
  <c r="P2791" i="11"/>
  <c r="P2787" i="11"/>
  <c r="P2783" i="11"/>
  <c r="P2779" i="11"/>
  <c r="P2775" i="11"/>
  <c r="P2771" i="11"/>
  <c r="P2767" i="11"/>
  <c r="P2763" i="11"/>
  <c r="P2759" i="11"/>
  <c r="P2755" i="11"/>
  <c r="P2751" i="11"/>
  <c r="P2747" i="11"/>
  <c r="P2743" i="11"/>
  <c r="P2739" i="11"/>
  <c r="P2735" i="11"/>
  <c r="P2731" i="11"/>
  <c r="P2727" i="11"/>
  <c r="P2723" i="11"/>
  <c r="P2719" i="11"/>
  <c r="P2715" i="11"/>
  <c r="P2711" i="11"/>
  <c r="P2707" i="11"/>
  <c r="P2703" i="11"/>
  <c r="P2699" i="11"/>
  <c r="P2695" i="11"/>
  <c r="P2691" i="11"/>
  <c r="P2687" i="11"/>
  <c r="P2683" i="11"/>
  <c r="P2679" i="11"/>
  <c r="P2675" i="11"/>
  <c r="P2671" i="11"/>
  <c r="P2667" i="11"/>
  <c r="P2663" i="11"/>
  <c r="P2659" i="11"/>
  <c r="P2655" i="11"/>
  <c r="P2651" i="11"/>
  <c r="P2647" i="11"/>
  <c r="P2643" i="11"/>
  <c r="P2639" i="11"/>
  <c r="P2635" i="11"/>
  <c r="P2631" i="11"/>
  <c r="P2627" i="11"/>
  <c r="P2623" i="11"/>
  <c r="P2619" i="11"/>
  <c r="P2615" i="11"/>
  <c r="P2611" i="11"/>
  <c r="P2607" i="11"/>
  <c r="P2603" i="11"/>
  <c r="P2599" i="11"/>
  <c r="P2595" i="11"/>
  <c r="P2591" i="11"/>
  <c r="P2587" i="11"/>
  <c r="P2583" i="11"/>
  <c r="P2579" i="11"/>
  <c r="P2575" i="11"/>
  <c r="P2571" i="11"/>
  <c r="P2567" i="11"/>
  <c r="P2563" i="11"/>
  <c r="P2559" i="11"/>
  <c r="P2555" i="11"/>
  <c r="P2551" i="11"/>
  <c r="P2547" i="11"/>
  <c r="P2543" i="11"/>
  <c r="P2539" i="11"/>
  <c r="P2535" i="11"/>
  <c r="P2531" i="11"/>
  <c r="P2527" i="11"/>
  <c r="P2523" i="11"/>
  <c r="P2519" i="11"/>
  <c r="P2515" i="11"/>
  <c r="P2511" i="11"/>
  <c r="P2507" i="11"/>
  <c r="P2503" i="11"/>
  <c r="P2499" i="11"/>
  <c r="P2495" i="11"/>
  <c r="P2491" i="11"/>
  <c r="P2487" i="11"/>
  <c r="P2483" i="11"/>
  <c r="P2479" i="11"/>
  <c r="P2475" i="11"/>
  <c r="P2471" i="11"/>
  <c r="P2467" i="11"/>
  <c r="P2463" i="11"/>
  <c r="P2459" i="11"/>
  <c r="P2455" i="11"/>
  <c r="P2451" i="11"/>
  <c r="P2447" i="11"/>
  <c r="P2443" i="11"/>
  <c r="P2439" i="11"/>
  <c r="P2435" i="11"/>
  <c r="P2431" i="11"/>
  <c r="P2427" i="11"/>
  <c r="P2423" i="11"/>
  <c r="P2419" i="11"/>
  <c r="P2415" i="11"/>
  <c r="P2411" i="11"/>
  <c r="P2407" i="11"/>
  <c r="P2403" i="11"/>
  <c r="P3482" i="11"/>
  <c r="P3450" i="11"/>
  <c r="P3418" i="11"/>
  <c r="P3394" i="11"/>
  <c r="P3378" i="11"/>
  <c r="P3362" i="11"/>
  <c r="P3346" i="11"/>
  <c r="P3330" i="11"/>
  <c r="P3314" i="11"/>
  <c r="P3298" i="11"/>
  <c r="P3282" i="11"/>
  <c r="P3266" i="11"/>
  <c r="P3250" i="11"/>
  <c r="P3234" i="11"/>
  <c r="P3218" i="11"/>
  <c r="P3202" i="11"/>
  <c r="P3186" i="11"/>
  <c r="P3170" i="11"/>
  <c r="P3154" i="11"/>
  <c r="P3138" i="11"/>
  <c r="P3122" i="11"/>
  <c r="P3106" i="11"/>
  <c r="P3090" i="11"/>
  <c r="P3074" i="11"/>
  <c r="P3058" i="11"/>
  <c r="P3042" i="11"/>
  <c r="P3026" i="11"/>
  <c r="P3010" i="11"/>
  <c r="P2994" i="11"/>
  <c r="P2978" i="11"/>
  <c r="P2962" i="11"/>
  <c r="P2946" i="11"/>
  <c r="P2930" i="11"/>
  <c r="P2914" i="11"/>
  <c r="P2898" i="11"/>
  <c r="P2882" i="11"/>
  <c r="P2866" i="11"/>
  <c r="P2850" i="11"/>
  <c r="P2834" i="11"/>
  <c r="P2818" i="11"/>
  <c r="P2802" i="11"/>
  <c r="P2786" i="11"/>
  <c r="P2773" i="11"/>
  <c r="P2765" i="11"/>
  <c r="P2757" i="11"/>
  <c r="P2749" i="11"/>
  <c r="P2741" i="11"/>
  <c r="P2733" i="11"/>
  <c r="P2725" i="11"/>
  <c r="P2717" i="11"/>
  <c r="P2709" i="11"/>
  <c r="P2701" i="11"/>
  <c r="P2693" i="11"/>
  <c r="P2685" i="11"/>
  <c r="P2677" i="11"/>
  <c r="P2669" i="11"/>
  <c r="P2661" i="11"/>
  <c r="P2653" i="11"/>
  <c r="P2645" i="11"/>
  <c r="P2637" i="11"/>
  <c r="P2629" i="11"/>
  <c r="P2621" i="11"/>
  <c r="P2613" i="11"/>
  <c r="P2605" i="11"/>
  <c r="P2597" i="11"/>
  <c r="P2589" i="11"/>
  <c r="P2581" i="11"/>
  <c r="P2573" i="11"/>
  <c r="P2565" i="11"/>
  <c r="P2557" i="11"/>
  <c r="P2549" i="11"/>
  <c r="P2541" i="11"/>
  <c r="P2533" i="11"/>
  <c r="P2525" i="11"/>
  <c r="P2517" i="11"/>
  <c r="P2509" i="11"/>
  <c r="P2501" i="11"/>
  <c r="P2493" i="11"/>
  <c r="P2485" i="11"/>
  <c r="P2477" i="11"/>
  <c r="P2469" i="11"/>
  <c r="P2461" i="11"/>
  <c r="P2453" i="11"/>
  <c r="P2445" i="11"/>
  <c r="P2437" i="11"/>
  <c r="P2429" i="11"/>
  <c r="P2421" i="11"/>
  <c r="P2413" i="11"/>
  <c r="P2405" i="11"/>
  <c r="P2398" i="11"/>
  <c r="P2394" i="11"/>
  <c r="P2390" i="11"/>
  <c r="P2386" i="11"/>
  <c r="P2382" i="11"/>
  <c r="P2378" i="11"/>
  <c r="P2374" i="11"/>
  <c r="P2370" i="11"/>
  <c r="P2366" i="11"/>
  <c r="P2362" i="11"/>
  <c r="P2358" i="11"/>
  <c r="P2354" i="11"/>
  <c r="P2350" i="11"/>
  <c r="P2346" i="11"/>
  <c r="P2342" i="11"/>
  <c r="P2338" i="11"/>
  <c r="P2334" i="11"/>
  <c r="P2330" i="11"/>
  <c r="P2326" i="11"/>
  <c r="P2322" i="11"/>
  <c r="P2318" i="11"/>
  <c r="P2314" i="11"/>
  <c r="P2310" i="11"/>
  <c r="P2306" i="11"/>
  <c r="P2302" i="11"/>
  <c r="P2298" i="11"/>
  <c r="P2294" i="11"/>
  <c r="P2290" i="11"/>
  <c r="P2286" i="11"/>
  <c r="P2282" i="11"/>
  <c r="P2278" i="11"/>
  <c r="P2274" i="11"/>
  <c r="P2270" i="11"/>
  <c r="P2266" i="11"/>
  <c r="P2262" i="11"/>
  <c r="P2258" i="11"/>
  <c r="P2254" i="11"/>
  <c r="P2250" i="11"/>
  <c r="P2246" i="11"/>
  <c r="P2242" i="11"/>
  <c r="P2238" i="11"/>
  <c r="P2234" i="11"/>
  <c r="P2230" i="11"/>
  <c r="P2226" i="11"/>
  <c r="P2222" i="11"/>
  <c r="P2218" i="11"/>
  <c r="P2214" i="11"/>
  <c r="P2210" i="11"/>
  <c r="P2206" i="11"/>
  <c r="P2202" i="11"/>
  <c r="P2198" i="11"/>
  <c r="P2194" i="11"/>
  <c r="P2190" i="11"/>
  <c r="P2186" i="11"/>
  <c r="P2182" i="11"/>
  <c r="P2178" i="11"/>
  <c r="P2174" i="11"/>
  <c r="P2170" i="11"/>
  <c r="P2166" i="11"/>
  <c r="P2162" i="11"/>
  <c r="P2158" i="11"/>
  <c r="P2154" i="11"/>
  <c r="P2150" i="11"/>
  <c r="P2146" i="11"/>
  <c r="P2142" i="11"/>
  <c r="P2138" i="11"/>
  <c r="P2134" i="11"/>
  <c r="P2130" i="11"/>
  <c r="P2126" i="11"/>
  <c r="P2122" i="11"/>
  <c r="P2118" i="11"/>
  <c r="P2114" i="11"/>
  <c r="P2110" i="11"/>
  <c r="P2106" i="11"/>
  <c r="P2102" i="11"/>
  <c r="P2098" i="11"/>
  <c r="P2094" i="11"/>
  <c r="P2090" i="11"/>
  <c r="P2086" i="11"/>
  <c r="P2082" i="11"/>
  <c r="P2078" i="11"/>
  <c r="P2074" i="11"/>
  <c r="P2070" i="11"/>
  <c r="P2066" i="11"/>
  <c r="P2062" i="11"/>
  <c r="P2058" i="11"/>
  <c r="P2054" i="11"/>
  <c r="P2050" i="11"/>
  <c r="P2046" i="11"/>
  <c r="P2042" i="11"/>
  <c r="P2038" i="11"/>
  <c r="P2034" i="11"/>
  <c r="P2030" i="11"/>
  <c r="P2026" i="11"/>
  <c r="P2022" i="11"/>
  <c r="P2018" i="11"/>
  <c r="P2014" i="11"/>
  <c r="P2010" i="11"/>
  <c r="P2006" i="11"/>
  <c r="P2002" i="11"/>
  <c r="P1998" i="11"/>
  <c r="P1994" i="11"/>
  <c r="P1990" i="11"/>
  <c r="P1986" i="11"/>
  <c r="P1982" i="11"/>
  <c r="P1978" i="11"/>
  <c r="P1974" i="11"/>
  <c r="P1970" i="11"/>
  <c r="P1966" i="11"/>
  <c r="P1962" i="11"/>
  <c r="P1958" i="11"/>
  <c r="P1954" i="11"/>
  <c r="P1950" i="11"/>
  <c r="P1946" i="11"/>
  <c r="P1942" i="11"/>
  <c r="P1938" i="11"/>
  <c r="P1934" i="11"/>
  <c r="P1930" i="11"/>
  <c r="P1926" i="11"/>
  <c r="P1922" i="11"/>
  <c r="P1918" i="11"/>
  <c r="P1914" i="11"/>
  <c r="P1910" i="11"/>
  <c r="P1906" i="11"/>
  <c r="P1902" i="11"/>
  <c r="P1898" i="11"/>
  <c r="P1894" i="11"/>
  <c r="P1890" i="11"/>
  <c r="P1886" i="11"/>
  <c r="P1882" i="11"/>
  <c r="P1878" i="11"/>
  <c r="P1874" i="11"/>
  <c r="P1870" i="11"/>
  <c r="P1866" i="11"/>
  <c r="P1862" i="11"/>
  <c r="P1858" i="11"/>
  <c r="P1854" i="11"/>
  <c r="P1850" i="11"/>
  <c r="P1846" i="11"/>
  <c r="P1842" i="11"/>
  <c r="P1838" i="11"/>
  <c r="P1834" i="11"/>
  <c r="P1830" i="11"/>
  <c r="P1826" i="11"/>
  <c r="P1822" i="11"/>
  <c r="P1818" i="11"/>
  <c r="P1814" i="11"/>
  <c r="P1810" i="11"/>
  <c r="P1806" i="11"/>
  <c r="P1802" i="11"/>
  <c r="P1798" i="11"/>
  <c r="P1794" i="11"/>
  <c r="P1790" i="11"/>
  <c r="P1786" i="11"/>
  <c r="P1782" i="11"/>
  <c r="P1778" i="11"/>
  <c r="P1774" i="11"/>
  <c r="P1770" i="11"/>
  <c r="P1766" i="11"/>
  <c r="P1762" i="11"/>
  <c r="P1758" i="11"/>
  <c r="P1754" i="11"/>
  <c r="P1750" i="11"/>
  <c r="P1746" i="11"/>
  <c r="P1742" i="11"/>
  <c r="P1738" i="11"/>
  <c r="P1734" i="11"/>
  <c r="P1730" i="11"/>
  <c r="P1726" i="11"/>
  <c r="P1722" i="11"/>
  <c r="P1718" i="11"/>
  <c r="P1714" i="11"/>
  <c r="P1710" i="11"/>
  <c r="P1706" i="11"/>
  <c r="P1702" i="11"/>
  <c r="P1698" i="11"/>
  <c r="P1694" i="11"/>
  <c r="P1690" i="11"/>
  <c r="P1686" i="11"/>
  <c r="P1682" i="11"/>
  <c r="P1678" i="11"/>
  <c r="P1674" i="11"/>
  <c r="P1670" i="11"/>
  <c r="P1666" i="11"/>
  <c r="P1662" i="11"/>
  <c r="P1658" i="11"/>
  <c r="P1654" i="11"/>
  <c r="P1650" i="11"/>
  <c r="P1646" i="11"/>
  <c r="P1642" i="11"/>
  <c r="P1638" i="11"/>
  <c r="P1634" i="11"/>
  <c r="P1630" i="11"/>
  <c r="P1626" i="11"/>
  <c r="P1622" i="11"/>
  <c r="P1618" i="11"/>
  <c r="P1614" i="11"/>
  <c r="P1610" i="11"/>
  <c r="P1606" i="11"/>
  <c r="P1602" i="11"/>
  <c r="P1598" i="11"/>
  <c r="P1594" i="11"/>
  <c r="P1590" i="11"/>
  <c r="P1586" i="11"/>
  <c r="P1582" i="11"/>
  <c r="P1578" i="11"/>
  <c r="P1574" i="11"/>
  <c r="P1570" i="11"/>
  <c r="P1566" i="11"/>
  <c r="P1562" i="11"/>
  <c r="P1558" i="11"/>
  <c r="P1554" i="11"/>
  <c r="P1550" i="11"/>
  <c r="P1546" i="11"/>
  <c r="P1542" i="11"/>
  <c r="P1538" i="11"/>
  <c r="P1534" i="11"/>
  <c r="P1530" i="11"/>
  <c r="P1526" i="11"/>
  <c r="P1522" i="11"/>
  <c r="P1518" i="11"/>
  <c r="P1514" i="11"/>
  <c r="P1510" i="11"/>
  <c r="P1506" i="11"/>
  <c r="P1502" i="11"/>
  <c r="P1498" i="11"/>
  <c r="P1494" i="11"/>
  <c r="P1490" i="11"/>
  <c r="P1486" i="11"/>
  <c r="P1482" i="11"/>
  <c r="P1478" i="11"/>
  <c r="P1474" i="11"/>
  <c r="P3474" i="11"/>
  <c r="P3442" i="11"/>
  <c r="P3410" i="11"/>
  <c r="P3390" i="11"/>
  <c r="P3374" i="11"/>
  <c r="P3358" i="11"/>
  <c r="P3342" i="11"/>
  <c r="P3326" i="11"/>
  <c r="P3310" i="11"/>
  <c r="P3294" i="11"/>
  <c r="P3278" i="11"/>
  <c r="P3262" i="11"/>
  <c r="P3246" i="11"/>
  <c r="P3230" i="11"/>
  <c r="P3214" i="11"/>
  <c r="P3198" i="11"/>
  <c r="P3182" i="11"/>
  <c r="P3166" i="11"/>
  <c r="P3150" i="11"/>
  <c r="P3134" i="11"/>
  <c r="P3118" i="11"/>
  <c r="P3102" i="11"/>
  <c r="P3086" i="11"/>
  <c r="P3070" i="11"/>
  <c r="P3054" i="11"/>
  <c r="P3038" i="11"/>
  <c r="P3022" i="11"/>
  <c r="P3006" i="11"/>
  <c r="P3466" i="11"/>
  <c r="P3404" i="11"/>
  <c r="P3370" i="11"/>
  <c r="P3338" i="11"/>
  <c r="P3306" i="11"/>
  <c r="P3274" i="11"/>
  <c r="P3242" i="11"/>
  <c r="P3210" i="11"/>
  <c r="P3178" i="11"/>
  <c r="P3146" i="11"/>
  <c r="P3114" i="11"/>
  <c r="P3082" i="11"/>
  <c r="P3050" i="11"/>
  <c r="P3018" i="11"/>
  <c r="P2990" i="11"/>
  <c r="P2970" i="11"/>
  <c r="P2950" i="11"/>
  <c r="P2926" i="11"/>
  <c r="P2906" i="11"/>
  <c r="P2886" i="11"/>
  <c r="P2862" i="11"/>
  <c r="P2842" i="11"/>
  <c r="P2822" i="11"/>
  <c r="P2798" i="11"/>
  <c r="P2778" i="11"/>
  <c r="P2766" i="11"/>
  <c r="P2754" i="11"/>
  <c r="P2745" i="11"/>
  <c r="P2734" i="11"/>
  <c r="P2722" i="11"/>
  <c r="P2713" i="11"/>
  <c r="P2702" i="11"/>
  <c r="P2690" i="11"/>
  <c r="P2681" i="11"/>
  <c r="P2670" i="11"/>
  <c r="P2658" i="11"/>
  <c r="P2649" i="11"/>
  <c r="P2638" i="11"/>
  <c r="P2626" i="11"/>
  <c r="P2617" i="11"/>
  <c r="P2606" i="11"/>
  <c r="P2594" i="11"/>
  <c r="P2585" i="11"/>
  <c r="P2574" i="11"/>
  <c r="P2562" i="11"/>
  <c r="P2553" i="11"/>
  <c r="P2542" i="11"/>
  <c r="P2530" i="11"/>
  <c r="P2521" i="11"/>
  <c r="P2510" i="11"/>
  <c r="P2498" i="11"/>
  <c r="P2489" i="11"/>
  <c r="P2478" i="11"/>
  <c r="P2466" i="11"/>
  <c r="P2457" i="11"/>
  <c r="P2446" i="11"/>
  <c r="P2434" i="11"/>
  <c r="P2425" i="11"/>
  <c r="P2414" i="11"/>
  <c r="P2402" i="11"/>
  <c r="P2396" i="11"/>
  <c r="P2391" i="11"/>
  <c r="P2385" i="11"/>
  <c r="P2380" i="11"/>
  <c r="P2375" i="11"/>
  <c r="P2369" i="11"/>
  <c r="P2364" i="11"/>
  <c r="P2359" i="11"/>
  <c r="P2353" i="11"/>
  <c r="P2348" i="11"/>
  <c r="P2343" i="11"/>
  <c r="P2337" i="11"/>
  <c r="P2332" i="11"/>
  <c r="P2327" i="11"/>
  <c r="P2321" i="11"/>
  <c r="P2316" i="11"/>
  <c r="P2311" i="11"/>
  <c r="P2305" i="11"/>
  <c r="P2300" i="11"/>
  <c r="P2295" i="11"/>
  <c r="P2289" i="11"/>
  <c r="P2284" i="11"/>
  <c r="P2279" i="11"/>
  <c r="P2273" i="11"/>
  <c r="P2268" i="11"/>
  <c r="P2263" i="11"/>
  <c r="P2257" i="11"/>
  <c r="P2252" i="11"/>
  <c r="P2247" i="11"/>
  <c r="P2241" i="11"/>
  <c r="P2236" i="11"/>
  <c r="P2231" i="11"/>
  <c r="P2225" i="11"/>
  <c r="P2220" i="11"/>
  <c r="P2215" i="11"/>
  <c r="P2209" i="11"/>
  <c r="P2204" i="11"/>
  <c r="P2199" i="11"/>
  <c r="P2193" i="11"/>
  <c r="P2188" i="11"/>
  <c r="P2183" i="11"/>
  <c r="P2177" i="11"/>
  <c r="P2172" i="11"/>
  <c r="P2167" i="11"/>
  <c r="P2161" i="11"/>
  <c r="P2156" i="11"/>
  <c r="P2151" i="11"/>
  <c r="P2145" i="11"/>
  <c r="P2140" i="11"/>
  <c r="P2135" i="11"/>
  <c r="P2129" i="11"/>
  <c r="P2124" i="11"/>
  <c r="P2119" i="11"/>
  <c r="P2113" i="11"/>
  <c r="P2108" i="11"/>
  <c r="P2103" i="11"/>
  <c r="P2097" i="11"/>
  <c r="P2092" i="11"/>
  <c r="P2087" i="11"/>
  <c r="P2081" i="11"/>
  <c r="P2076" i="11"/>
  <c r="P2071" i="11"/>
  <c r="P2065" i="11"/>
  <c r="P2060" i="11"/>
  <c r="P2055" i="11"/>
  <c r="P2049" i="11"/>
  <c r="P2044" i="11"/>
  <c r="P2039" i="11"/>
  <c r="P2033" i="11"/>
  <c r="P2028" i="11"/>
  <c r="P2023" i="11"/>
  <c r="P2017" i="11"/>
  <c r="P2012" i="11"/>
  <c r="P2007" i="11"/>
  <c r="P2001" i="11"/>
  <c r="P1996" i="11"/>
  <c r="P1991" i="11"/>
  <c r="P1985" i="11"/>
  <c r="P1980" i="11"/>
  <c r="P1975" i="11"/>
  <c r="P1969" i="11"/>
  <c r="P1964" i="11"/>
  <c r="P1959" i="11"/>
  <c r="P1953" i="11"/>
  <c r="P1948" i="11"/>
  <c r="P1943" i="11"/>
  <c r="P1937" i="11"/>
  <c r="P1932" i="11"/>
  <c r="P1927" i="11"/>
  <c r="P1921" i="11"/>
  <c r="P1916" i="11"/>
  <c r="P1911" i="11"/>
  <c r="P1905" i="11"/>
  <c r="P1900" i="11"/>
  <c r="P1895" i="11"/>
  <c r="P1889" i="11"/>
  <c r="P1884" i="11"/>
  <c r="P1879" i="11"/>
  <c r="P1873" i="11"/>
  <c r="P1868" i="11"/>
  <c r="P1863" i="11"/>
  <c r="P1857" i="11"/>
  <c r="P1852" i="11"/>
  <c r="P1847" i="11"/>
  <c r="P1841" i="11"/>
  <c r="P1836" i="11"/>
  <c r="P1831" i="11"/>
  <c r="P1825" i="11"/>
  <c r="P1820" i="11"/>
  <c r="P1815" i="11"/>
  <c r="P1809" i="11"/>
  <c r="P1804" i="11"/>
  <c r="P1799" i="11"/>
  <c r="P1793" i="11"/>
  <c r="P1788" i="11"/>
  <c r="P1783" i="11"/>
  <c r="P1777" i="11"/>
  <c r="P1772" i="11"/>
  <c r="P1767" i="11"/>
  <c r="P1761" i="11"/>
  <c r="P1756" i="11"/>
  <c r="P1751" i="11"/>
  <c r="P1745" i="11"/>
  <c r="P1740" i="11"/>
  <c r="P1735" i="11"/>
  <c r="P1729" i="11"/>
  <c r="P1724" i="11"/>
  <c r="P1719" i="11"/>
  <c r="P1713" i="11"/>
  <c r="P1708" i="11"/>
  <c r="P1703" i="11"/>
  <c r="P1697" i="11"/>
  <c r="P1692" i="11"/>
  <c r="P1687" i="11"/>
  <c r="P1681" i="11"/>
  <c r="P1676" i="11"/>
  <c r="P1671" i="11"/>
  <c r="P1665" i="11"/>
  <c r="P1660" i="11"/>
  <c r="P1655" i="11"/>
  <c r="P1649" i="11"/>
  <c r="P1644" i="11"/>
  <c r="P1639" i="11"/>
  <c r="P1633" i="11"/>
  <c r="P1628" i="11"/>
  <c r="P1623" i="11"/>
  <c r="P1617" i="11"/>
  <c r="P1612" i="11"/>
  <c r="P1607" i="11"/>
  <c r="P1601" i="11"/>
  <c r="P1596" i="11"/>
  <c r="P1591" i="11"/>
  <c r="P1585" i="11"/>
  <c r="P1580" i="11"/>
  <c r="P1575" i="11"/>
  <c r="P1569" i="11"/>
  <c r="P1564" i="11"/>
  <c r="P1559" i="11"/>
  <c r="P1553" i="11"/>
  <c r="P1548" i="11"/>
  <c r="P1543" i="11"/>
  <c r="P1537" i="11"/>
  <c r="P1532" i="11"/>
  <c r="P1527" i="11"/>
  <c r="P1521" i="11"/>
  <c r="P1516" i="11"/>
  <c r="P1511" i="11"/>
  <c r="P1505" i="11"/>
  <c r="P1500" i="11"/>
  <c r="P1495" i="11"/>
  <c r="P1489" i="11"/>
  <c r="P1484" i="11"/>
  <c r="P1479" i="11"/>
  <c r="P1473" i="11"/>
  <c r="P1469" i="11"/>
  <c r="P1465" i="11"/>
  <c r="P1461" i="11"/>
  <c r="P1457" i="11"/>
  <c r="P1453" i="11"/>
  <c r="P1449" i="11"/>
  <c r="P1445" i="11"/>
  <c r="P1441" i="11"/>
  <c r="P1437" i="11"/>
  <c r="P1433" i="11"/>
  <c r="P1429" i="11"/>
  <c r="P1425" i="11"/>
  <c r="P1421" i="11"/>
  <c r="P1417" i="11"/>
  <c r="P1413" i="11"/>
  <c r="P1409" i="11"/>
  <c r="P1405" i="11"/>
  <c r="P1401" i="11"/>
  <c r="P1397" i="11"/>
  <c r="P1393" i="11"/>
  <c r="P1389" i="11"/>
  <c r="P1385" i="11"/>
  <c r="P1381" i="11"/>
  <c r="P1377" i="11"/>
  <c r="P1373" i="11"/>
  <c r="P1369" i="11"/>
  <c r="P1365" i="11"/>
  <c r="P1361" i="11"/>
  <c r="P1357" i="11"/>
  <c r="P1353" i="11"/>
  <c r="P1349" i="11"/>
  <c r="P1345" i="11"/>
  <c r="P1341" i="11"/>
  <c r="P1337" i="11"/>
  <c r="P1333" i="11"/>
  <c r="P1329" i="11"/>
  <c r="P1325" i="11"/>
  <c r="P1321" i="11"/>
  <c r="P1317" i="11"/>
  <c r="P1313" i="11"/>
  <c r="P1309" i="11"/>
  <c r="P1305" i="11"/>
  <c r="P1301" i="11"/>
  <c r="P1297" i="11"/>
  <c r="P1293" i="11"/>
  <c r="P1289" i="11"/>
  <c r="P1285" i="11"/>
  <c r="P1281" i="11"/>
  <c r="P1277" i="11"/>
  <c r="P1273" i="11"/>
  <c r="P1269" i="11"/>
  <c r="P1265" i="11"/>
  <c r="P1261" i="11"/>
  <c r="P1257" i="11"/>
  <c r="P1253" i="11"/>
  <c r="P1249" i="11"/>
  <c r="P1245" i="11"/>
  <c r="P1241" i="11"/>
  <c r="P1237" i="11"/>
  <c r="P1233" i="11"/>
  <c r="P1229" i="11"/>
  <c r="P1225" i="11"/>
  <c r="P1221" i="11"/>
  <c r="P1217" i="11"/>
  <c r="P1213" i="11"/>
  <c r="P1209" i="11"/>
  <c r="P1205" i="11"/>
  <c r="P1201" i="11"/>
  <c r="P1197" i="11"/>
  <c r="P1193" i="11"/>
  <c r="P1189" i="11"/>
  <c r="P1185" i="11"/>
  <c r="P1181" i="11"/>
  <c r="P1177" i="11"/>
  <c r="P1173" i="11"/>
  <c r="P1169" i="11"/>
  <c r="P1165" i="11"/>
  <c r="P1161" i="11"/>
  <c r="P1157" i="11"/>
  <c r="P1153" i="11"/>
  <c r="P1149" i="11"/>
  <c r="P1145" i="11"/>
  <c r="P1141" i="11"/>
  <c r="P1137" i="11"/>
  <c r="P1133" i="11"/>
  <c r="P1129" i="11"/>
  <c r="P1125" i="11"/>
  <c r="P1121" i="11"/>
  <c r="P1117" i="11"/>
  <c r="P1113" i="11"/>
  <c r="P1109" i="11"/>
  <c r="P1105" i="11"/>
  <c r="P1101" i="11"/>
  <c r="P1097" i="11"/>
  <c r="P1093" i="11"/>
  <c r="P1089" i="11"/>
  <c r="P1085" i="11"/>
  <c r="P1081" i="11"/>
  <c r="P1077" i="11"/>
  <c r="P1073" i="11"/>
  <c r="P1069" i="11"/>
  <c r="P1065" i="11"/>
  <c r="P1061" i="11"/>
  <c r="P1057" i="11"/>
  <c r="P1053" i="11"/>
  <c r="P1049" i="11"/>
  <c r="P1045" i="11"/>
  <c r="P1041" i="11"/>
  <c r="P1037" i="11"/>
  <c r="P1033" i="11"/>
  <c r="P1029" i="11"/>
  <c r="P1025" i="11"/>
  <c r="P1021" i="11"/>
  <c r="P1017" i="11"/>
  <c r="P1013" i="11"/>
  <c r="P1009" i="11"/>
  <c r="P1005" i="11"/>
  <c r="P1001" i="11"/>
  <c r="P997" i="11"/>
  <c r="P993" i="11"/>
  <c r="P989" i="11"/>
  <c r="P985" i="11"/>
  <c r="P981" i="11"/>
  <c r="P977" i="11"/>
  <c r="P973" i="11"/>
  <c r="P969" i="11"/>
  <c r="P965" i="11"/>
  <c r="P961" i="11"/>
  <c r="P957" i="11"/>
  <c r="P953" i="11"/>
  <c r="P949" i="11"/>
  <c r="P945" i="11"/>
  <c r="P941" i="11"/>
  <c r="P937" i="11"/>
  <c r="P933" i="11"/>
  <c r="P929" i="11"/>
  <c r="P925" i="11"/>
  <c r="P921" i="11"/>
  <c r="P917" i="11"/>
  <c r="P913" i="11"/>
  <c r="P909" i="11"/>
  <c r="P905" i="11"/>
  <c r="P901" i="11"/>
  <c r="P897" i="11"/>
  <c r="P893" i="11"/>
  <c r="P889" i="11"/>
  <c r="P885" i="11"/>
  <c r="P881" i="11"/>
  <c r="P877" i="11"/>
  <c r="P873" i="11"/>
  <c r="P869" i="11"/>
  <c r="P865" i="11"/>
  <c r="P861" i="11"/>
  <c r="P857" i="11"/>
  <c r="P853" i="11"/>
  <c r="P849" i="11"/>
  <c r="P845" i="11"/>
  <c r="P841" i="11"/>
  <c r="P837" i="11"/>
  <c r="P833" i="11"/>
  <c r="P829" i="11"/>
  <c r="P825" i="11"/>
  <c r="P821" i="11"/>
  <c r="P817" i="11"/>
  <c r="P813" i="11"/>
  <c r="P809" i="11"/>
  <c r="P805" i="11"/>
  <c r="P801" i="11"/>
  <c r="P797" i="11"/>
  <c r="P793" i="11"/>
  <c r="P789" i="11"/>
  <c r="P785" i="11"/>
  <c r="P781" i="11"/>
  <c r="P777" i="11"/>
  <c r="P773" i="11"/>
  <c r="P769" i="11"/>
  <c r="P765" i="11"/>
  <c r="P761" i="11"/>
  <c r="P757" i="11"/>
  <c r="P753" i="11"/>
  <c r="P749" i="11"/>
  <c r="P745" i="11"/>
  <c r="P741" i="11"/>
  <c r="P737" i="11"/>
  <c r="P733" i="11"/>
  <c r="P729" i="11"/>
  <c r="P725" i="11"/>
  <c r="P721" i="11"/>
  <c r="P717" i="11"/>
  <c r="P713" i="11"/>
  <c r="P709" i="11"/>
  <c r="P705" i="11"/>
  <c r="P701" i="11"/>
  <c r="P697" i="11"/>
  <c r="P693" i="11"/>
  <c r="P689" i="11"/>
  <c r="P685" i="11"/>
  <c r="P681" i="11"/>
  <c r="P677" i="11"/>
  <c r="P673" i="11"/>
  <c r="P669" i="11"/>
  <c r="P665" i="11"/>
  <c r="P661" i="11"/>
  <c r="P657" i="11"/>
  <c r="P653" i="11"/>
  <c r="P649" i="11"/>
  <c r="P645" i="11"/>
  <c r="P641" i="11"/>
  <c r="P637" i="11"/>
  <c r="P633" i="11"/>
  <c r="P629" i="11"/>
  <c r="P625" i="11"/>
  <c r="P621" i="11"/>
  <c r="P617" i="11"/>
  <c r="P613" i="11"/>
  <c r="P609" i="11"/>
  <c r="P605" i="11"/>
  <c r="P601" i="11"/>
  <c r="P597" i="11"/>
  <c r="P593" i="11"/>
  <c r="P589" i="11"/>
  <c r="P585" i="11"/>
  <c r="P581" i="11"/>
  <c r="P577" i="11"/>
  <c r="P573" i="11"/>
  <c r="P569" i="11"/>
  <c r="P565" i="11"/>
  <c r="P561" i="11"/>
  <c r="P557" i="11"/>
  <c r="P553" i="11"/>
  <c r="P549" i="11"/>
  <c r="P545" i="11"/>
  <c r="P541" i="11"/>
  <c r="P537" i="11"/>
  <c r="P533" i="11"/>
  <c r="P529" i="11"/>
  <c r="P525" i="11"/>
  <c r="P521" i="11"/>
  <c r="P517" i="11"/>
  <c r="P513" i="11"/>
  <c r="P509" i="11"/>
  <c r="P505" i="11"/>
  <c r="P501" i="11"/>
  <c r="P497" i="11"/>
  <c r="P493" i="11"/>
  <c r="P489" i="11"/>
  <c r="P485" i="11"/>
  <c r="P481" i="11"/>
  <c r="P477" i="11"/>
  <c r="P473" i="11"/>
  <c r="P469" i="11"/>
  <c r="P465" i="11"/>
  <c r="P461" i="11"/>
  <c r="P457" i="11"/>
  <c r="P453" i="11"/>
  <c r="P449" i="11"/>
  <c r="P445" i="11"/>
  <c r="P441" i="11"/>
  <c r="P437" i="11"/>
  <c r="P433" i="11"/>
  <c r="P429" i="11"/>
  <c r="P425" i="11"/>
  <c r="P421" i="11"/>
  <c r="P417" i="11"/>
  <c r="P413" i="11"/>
  <c r="P409" i="11"/>
  <c r="P405" i="11"/>
  <c r="P401" i="11"/>
  <c r="P397" i="11"/>
  <c r="P393" i="11"/>
  <c r="P389" i="11"/>
  <c r="P385" i="11"/>
  <c r="P381" i="11"/>
  <c r="P377" i="11"/>
  <c r="P373" i="11"/>
  <c r="P369" i="11"/>
  <c r="P365" i="11"/>
  <c r="P361" i="11"/>
  <c r="P357" i="11"/>
  <c r="P353" i="11"/>
  <c r="P349" i="11"/>
  <c r="P345" i="11"/>
  <c r="P341" i="11"/>
  <c r="P337" i="11"/>
  <c r="P333" i="11"/>
  <c r="P329" i="11"/>
  <c r="P325" i="11"/>
  <c r="P321" i="11"/>
  <c r="P317" i="11"/>
  <c r="P313" i="11"/>
  <c r="P309" i="11"/>
  <c r="P305" i="11"/>
  <c r="P301" i="11"/>
  <c r="P297" i="11"/>
  <c r="P293" i="11"/>
  <c r="P289" i="11"/>
  <c r="P285" i="11"/>
  <c r="P281" i="11"/>
  <c r="P277" i="11"/>
  <c r="P273" i="11"/>
  <c r="P269" i="11"/>
  <c r="P265" i="11"/>
  <c r="P261" i="11"/>
  <c r="P257" i="11"/>
  <c r="P253" i="11"/>
  <c r="P249" i="11"/>
  <c r="P245" i="11"/>
  <c r="P241" i="11"/>
  <c r="P237" i="11"/>
  <c r="P233" i="11"/>
  <c r="P229" i="11"/>
  <c r="P225" i="11"/>
  <c r="P221" i="11"/>
  <c r="P217" i="11"/>
  <c r="P213" i="11"/>
  <c r="P209" i="11"/>
  <c r="P205" i="11"/>
  <c r="P201" i="11"/>
  <c r="P197" i="11"/>
  <c r="P193" i="11"/>
  <c r="P189" i="11"/>
  <c r="P185" i="11"/>
  <c r="P181" i="11"/>
  <c r="P177" i="11"/>
  <c r="P173" i="11"/>
  <c r="P169" i="11"/>
  <c r="P165" i="11"/>
  <c r="P161" i="11"/>
  <c r="P157" i="11"/>
  <c r="P153" i="11"/>
  <c r="P149" i="11"/>
  <c r="P145" i="11"/>
  <c r="P141" i="11"/>
  <c r="P137" i="11"/>
  <c r="P133" i="11"/>
  <c r="P129" i="11"/>
  <c r="P125" i="11"/>
  <c r="P121" i="11"/>
  <c r="P117" i="11"/>
  <c r="P113" i="11"/>
  <c r="P109" i="11"/>
  <c r="P105" i="11"/>
  <c r="P101" i="11"/>
  <c r="P97" i="11"/>
  <c r="P93" i="11"/>
  <c r="P89" i="11"/>
  <c r="P85" i="11"/>
  <c r="P81" i="11"/>
  <c r="P77" i="11"/>
  <c r="P73" i="11"/>
  <c r="P69" i="11"/>
  <c r="P65" i="11"/>
  <c r="P61" i="11"/>
  <c r="P57" i="11"/>
  <c r="P53" i="11"/>
  <c r="P49" i="11"/>
  <c r="P45" i="11"/>
  <c r="P41" i="11"/>
  <c r="P37" i="11"/>
  <c r="P33" i="11"/>
  <c r="P29" i="11"/>
  <c r="P25" i="11"/>
  <c r="P21" i="11"/>
  <c r="P17" i="11"/>
  <c r="P13" i="11"/>
  <c r="P9" i="11"/>
  <c r="P5" i="11"/>
  <c r="P3458" i="11"/>
  <c r="P3398" i="11"/>
  <c r="P3366" i="11"/>
  <c r="P3334" i="11"/>
  <c r="P3302" i="11"/>
  <c r="P3270" i="11"/>
  <c r="P3238" i="11"/>
  <c r="P3206" i="11"/>
  <c r="P3174" i="11"/>
  <c r="P3142" i="11"/>
  <c r="P3110" i="11"/>
  <c r="P3078" i="11"/>
  <c r="P3046" i="11"/>
  <c r="P3014" i="11"/>
  <c r="P2986" i="11"/>
  <c r="P2966" i="11"/>
  <c r="P2942" i="11"/>
  <c r="P2922" i="11"/>
  <c r="P2902" i="11"/>
  <c r="P2878" i="11"/>
  <c r="P2858" i="11"/>
  <c r="P2838" i="11"/>
  <c r="P2814" i="11"/>
  <c r="P2794" i="11"/>
  <c r="P2774" i="11"/>
  <c r="P2762" i="11"/>
  <c r="P2753" i="11"/>
  <c r="P2742" i="11"/>
  <c r="P2730" i="11"/>
  <c r="P2721" i="11"/>
  <c r="P2710" i="11"/>
  <c r="P2698" i="11"/>
  <c r="P2689" i="11"/>
  <c r="P2678" i="11"/>
  <c r="P2666" i="11"/>
  <c r="P2657" i="11"/>
  <c r="P2646" i="11"/>
  <c r="P2634" i="11"/>
  <c r="P2625" i="11"/>
  <c r="P2614" i="11"/>
  <c r="P2602" i="11"/>
  <c r="P2593" i="11"/>
  <c r="P2582" i="11"/>
  <c r="P2570" i="11"/>
  <c r="P2561" i="11"/>
  <c r="P2550" i="11"/>
  <c r="P2538" i="11"/>
  <c r="P2529" i="11"/>
  <c r="P2518" i="11"/>
  <c r="P2506" i="11"/>
  <c r="P2497" i="11"/>
  <c r="P2486" i="11"/>
  <c r="P2474" i="11"/>
  <c r="P2465" i="11"/>
  <c r="P2454" i="11"/>
  <c r="P2442" i="11"/>
  <c r="P2433" i="11"/>
  <c r="P2422" i="11"/>
  <c r="P2410" i="11"/>
  <c r="P2401" i="11"/>
  <c r="P2395" i="11"/>
  <c r="P2389" i="11"/>
  <c r="P2384" i="11"/>
  <c r="P2379" i="11"/>
  <c r="P2373" i="11"/>
  <c r="P2368" i="11"/>
  <c r="P2363" i="11"/>
  <c r="P2357" i="11"/>
  <c r="P2352" i="11"/>
  <c r="P2347" i="11"/>
  <c r="P2341" i="11"/>
  <c r="P2336" i="11"/>
  <c r="P2331" i="11"/>
  <c r="P2325" i="11"/>
  <c r="P2320" i="11"/>
  <c r="P2315" i="11"/>
  <c r="P2309" i="11"/>
  <c r="P2304" i="11"/>
  <c r="P2299" i="11"/>
  <c r="P2293" i="11"/>
  <c r="P2288" i="11"/>
  <c r="P2283" i="11"/>
  <c r="P2277" i="11"/>
  <c r="P2272" i="11"/>
  <c r="P2267" i="11"/>
  <c r="P2261" i="11"/>
  <c r="P2256" i="11"/>
  <c r="P2251" i="11"/>
  <c r="P2245" i="11"/>
  <c r="P2240" i="11"/>
  <c r="P2235" i="11"/>
  <c r="P2229" i="11"/>
  <c r="P2224" i="11"/>
  <c r="P2219" i="11"/>
  <c r="P2213" i="11"/>
  <c r="P2208" i="11"/>
  <c r="P2203" i="11"/>
  <c r="P2197" i="11"/>
  <c r="P2192" i="11"/>
  <c r="P2187" i="11"/>
  <c r="P2181" i="11"/>
  <c r="P2176" i="11"/>
  <c r="P2171" i="11"/>
  <c r="P2165" i="11"/>
  <c r="P2160" i="11"/>
  <c r="P2155" i="11"/>
  <c r="P2149" i="11"/>
  <c r="P2144" i="11"/>
  <c r="P2139" i="11"/>
  <c r="P2133" i="11"/>
  <c r="P2128" i="11"/>
  <c r="P2123" i="11"/>
  <c r="P2117" i="11"/>
  <c r="P2112" i="11"/>
  <c r="P2107" i="11"/>
  <c r="P2101" i="11"/>
  <c r="P2096" i="11"/>
  <c r="P2091" i="11"/>
  <c r="P2085" i="11"/>
  <c r="P2080" i="11"/>
  <c r="P2075" i="11"/>
  <c r="P2069" i="11"/>
  <c r="P2064" i="11"/>
  <c r="P2059" i="11"/>
  <c r="P2053" i="11"/>
  <c r="P2048" i="11"/>
  <c r="P2043" i="11"/>
  <c r="P2037" i="11"/>
  <c r="P2032" i="11"/>
  <c r="P2027" i="11"/>
  <c r="P2021" i="11"/>
  <c r="P2016" i="11"/>
  <c r="P2011" i="11"/>
  <c r="P2005" i="11"/>
  <c r="P2000" i="11"/>
  <c r="P1995" i="11"/>
  <c r="P1989" i="11"/>
  <c r="P1984" i="11"/>
  <c r="P1979" i="11"/>
  <c r="P1973" i="11"/>
  <c r="P1968" i="11"/>
  <c r="P1963" i="11"/>
  <c r="P1957" i="11"/>
  <c r="P1952" i="11"/>
  <c r="P1947" i="11"/>
  <c r="P1941" i="11"/>
  <c r="P1936" i="11"/>
  <c r="P1931" i="11"/>
  <c r="P1925" i="11"/>
  <c r="P1920" i="11"/>
  <c r="P1915" i="11"/>
  <c r="P1909" i="11"/>
  <c r="P1904" i="11"/>
  <c r="P1899" i="11"/>
  <c r="P1893" i="11"/>
  <c r="P1888" i="11"/>
  <c r="P1883" i="11"/>
  <c r="P1877" i="11"/>
  <c r="P1872" i="11"/>
  <c r="P1867" i="11"/>
  <c r="P1861" i="11"/>
  <c r="P1856" i="11"/>
  <c r="P1851" i="11"/>
  <c r="P1845" i="11"/>
  <c r="P1840" i="11"/>
  <c r="P1835" i="11"/>
  <c r="P1829" i="11"/>
  <c r="P1824" i="11"/>
  <c r="P1819" i="11"/>
  <c r="P1813" i="11"/>
  <c r="P1808" i="11"/>
  <c r="P1803" i="11"/>
  <c r="P1797" i="11"/>
  <c r="P1792" i="11"/>
  <c r="P1787" i="11"/>
  <c r="P1781" i="11"/>
  <c r="P1776" i="11"/>
  <c r="P1771" i="11"/>
  <c r="P1765" i="11"/>
  <c r="P1760" i="11"/>
  <c r="P1755" i="11"/>
  <c r="P1749" i="11"/>
  <c r="P1744" i="11"/>
  <c r="P1739" i="11"/>
  <c r="P1733" i="11"/>
  <c r="P1728" i="11"/>
  <c r="P1723" i="11"/>
  <c r="P1717" i="11"/>
  <c r="P1712" i="11"/>
  <c r="P1707" i="11"/>
  <c r="P1701" i="11"/>
  <c r="P1696" i="11"/>
  <c r="P1691" i="11"/>
  <c r="P1685" i="11"/>
  <c r="P1680" i="11"/>
  <c r="P1675" i="11"/>
  <c r="P1669" i="11"/>
  <c r="P1664" i="11"/>
  <c r="P1659" i="11"/>
  <c r="P1653" i="11"/>
  <c r="P1648" i="11"/>
  <c r="P1643" i="11"/>
  <c r="P1637" i="11"/>
  <c r="P1632" i="11"/>
  <c r="P1627" i="11"/>
  <c r="P1621" i="11"/>
  <c r="P1616" i="11"/>
  <c r="P1611" i="11"/>
  <c r="P1605" i="11"/>
  <c r="P1600" i="11"/>
  <c r="P1595" i="11"/>
  <c r="P1589" i="11"/>
  <c r="P1584" i="11"/>
  <c r="P1579" i="11"/>
  <c r="P1573" i="11"/>
  <c r="P1568" i="11"/>
  <c r="P1563" i="11"/>
  <c r="P1557" i="11"/>
  <c r="P1552" i="11"/>
  <c r="P1547" i="11"/>
  <c r="P1541" i="11"/>
  <c r="P1536" i="11"/>
  <c r="P1531" i="11"/>
  <c r="P1525" i="11"/>
  <c r="P1520" i="11"/>
  <c r="P1515" i="11"/>
  <c r="P1509" i="11"/>
  <c r="P1504" i="11"/>
  <c r="P1499" i="11"/>
  <c r="P1493" i="11"/>
  <c r="P1488" i="11"/>
  <c r="P1483" i="11"/>
  <c r="P1477" i="11"/>
  <c r="P1472" i="11"/>
  <c r="P1468" i="11"/>
  <c r="P1464" i="11"/>
  <c r="P1460" i="11"/>
  <c r="P1456" i="11"/>
  <c r="P1452" i="11"/>
  <c r="P1448" i="11"/>
  <c r="P1444" i="11"/>
  <c r="P1440" i="11"/>
  <c r="P1436" i="11"/>
  <c r="P1432" i="11"/>
  <c r="P1428" i="11"/>
  <c r="P1424" i="11"/>
  <c r="P1420" i="11"/>
  <c r="P1416" i="11"/>
  <c r="P1412" i="11"/>
  <c r="P1408" i="11"/>
  <c r="P1404" i="11"/>
  <c r="P1400" i="11"/>
  <c r="P1396" i="11"/>
  <c r="P1392" i="11"/>
  <c r="P1388" i="11"/>
  <c r="P1384" i="11"/>
  <c r="P1380" i="11"/>
  <c r="P1376" i="11"/>
  <c r="P1372" i="11"/>
  <c r="P1368" i="11"/>
  <c r="P1364" i="11"/>
  <c r="P1360" i="11"/>
  <c r="P1356" i="11"/>
  <c r="P1352" i="11"/>
  <c r="P1348" i="11"/>
  <c r="P1344" i="11"/>
  <c r="P1340" i="11"/>
  <c r="P1336" i="11"/>
  <c r="P1332" i="11"/>
  <c r="P1328" i="11"/>
  <c r="P1324" i="11"/>
  <c r="P1320" i="11"/>
  <c r="P1316" i="11"/>
  <c r="P1312" i="11"/>
  <c r="P1308" i="11"/>
  <c r="P1304" i="11"/>
  <c r="P1300" i="11"/>
  <c r="P1296" i="11"/>
  <c r="P1292" i="11"/>
  <c r="P1288" i="11"/>
  <c r="P1284" i="11"/>
  <c r="P1280" i="11"/>
  <c r="P1276" i="11"/>
  <c r="P1272" i="11"/>
  <c r="P1268" i="11"/>
  <c r="P1264" i="11"/>
  <c r="P1260" i="11"/>
  <c r="P1256" i="11"/>
  <c r="P1252" i="11"/>
  <c r="P1248" i="11"/>
  <c r="P1244" i="11"/>
  <c r="P1240" i="11"/>
  <c r="P1236" i="11"/>
  <c r="P1232" i="11"/>
  <c r="P1228" i="11"/>
  <c r="P1224" i="11"/>
  <c r="P1220" i="11"/>
  <c r="P1216" i="11"/>
  <c r="P1212" i="11"/>
  <c r="P1208" i="11"/>
  <c r="P1204" i="11"/>
  <c r="P1200" i="11"/>
  <c r="P1196" i="11"/>
  <c r="P1192" i="11"/>
  <c r="P1188" i="11"/>
  <c r="P1184" i="11"/>
  <c r="P1180" i="11"/>
  <c r="P1176" i="11"/>
  <c r="P1172" i="11"/>
  <c r="P1168" i="11"/>
  <c r="P1164" i="11"/>
  <c r="P1160" i="11"/>
  <c r="P1156" i="11"/>
  <c r="P1152" i="11"/>
  <c r="P1148" i="11"/>
  <c r="P1144" i="11"/>
  <c r="P1140" i="11"/>
  <c r="P1136" i="11"/>
  <c r="P1132" i="11"/>
  <c r="P1128" i="11"/>
  <c r="P1124" i="11"/>
  <c r="P1120" i="11"/>
  <c r="P1116" i="11"/>
  <c r="P1112" i="11"/>
  <c r="P1108" i="11"/>
  <c r="P1104" i="11"/>
  <c r="P1100" i="11"/>
  <c r="P1096" i="11"/>
  <c r="P1092" i="11"/>
  <c r="P1088" i="11"/>
  <c r="P1084" i="11"/>
  <c r="P1080" i="11"/>
  <c r="P1076" i="11"/>
  <c r="P1072" i="11"/>
  <c r="P1068" i="11"/>
  <c r="P1064" i="11"/>
  <c r="P1060" i="11"/>
  <c r="P1056" i="11"/>
  <c r="P1052" i="11"/>
  <c r="P1048" i="11"/>
  <c r="P1044" i="11"/>
  <c r="P1040" i="11"/>
  <c r="P1036" i="11"/>
  <c r="P1032" i="11"/>
  <c r="P1028" i="11"/>
  <c r="P1024" i="11"/>
  <c r="P1020" i="11"/>
  <c r="P1016" i="11"/>
  <c r="P1012" i="11"/>
  <c r="P1008" i="11"/>
  <c r="P1004" i="11"/>
  <c r="P1000" i="11"/>
  <c r="P996" i="11"/>
  <c r="P992" i="11"/>
  <c r="P988" i="11"/>
  <c r="P984" i="11"/>
  <c r="P980" i="11"/>
  <c r="P976" i="11"/>
  <c r="P972" i="11"/>
  <c r="P968" i="11"/>
  <c r="P964" i="11"/>
  <c r="P960" i="11"/>
  <c r="P956" i="11"/>
  <c r="P952" i="11"/>
  <c r="P948" i="11"/>
  <c r="P944" i="11"/>
  <c r="P940" i="11"/>
  <c r="P936" i="11"/>
  <c r="P932" i="11"/>
  <c r="P928" i="11"/>
  <c r="P924" i="11"/>
  <c r="P920" i="11"/>
  <c r="P916" i="11"/>
  <c r="P912" i="11"/>
  <c r="P908" i="11"/>
  <c r="P904" i="11"/>
  <c r="P900" i="11"/>
  <c r="P896" i="11"/>
  <c r="P892" i="11"/>
  <c r="P888" i="11"/>
  <c r="P884" i="11"/>
  <c r="P880" i="11"/>
  <c r="P876" i="11"/>
  <c r="P872" i="11"/>
  <c r="P868" i="11"/>
  <c r="P864" i="11"/>
  <c r="P860" i="11"/>
  <c r="P856" i="11"/>
  <c r="P852" i="11"/>
  <c r="P848" i="11"/>
  <c r="P844" i="11"/>
  <c r="P840" i="11"/>
  <c r="P836" i="11"/>
  <c r="P832" i="11"/>
  <c r="P828" i="11"/>
  <c r="P824" i="11"/>
  <c r="P820" i="11"/>
  <c r="P816" i="11"/>
  <c r="P812" i="11"/>
  <c r="P808" i="11"/>
  <c r="P804" i="11"/>
  <c r="P800" i="11"/>
  <c r="P796" i="11"/>
  <c r="P792" i="11"/>
  <c r="P788" i="11"/>
  <c r="P784" i="11"/>
  <c r="P780" i="11"/>
  <c r="P776" i="11"/>
  <c r="P772" i="11"/>
  <c r="P768" i="11"/>
  <c r="P764" i="11"/>
  <c r="P760" i="11"/>
  <c r="P756" i="11"/>
  <c r="P752" i="11"/>
  <c r="P748" i="11"/>
  <c r="P744" i="11"/>
  <c r="P740" i="11"/>
  <c r="P736" i="11"/>
  <c r="P732" i="11"/>
  <c r="P728" i="11"/>
  <c r="P724" i="11"/>
  <c r="P720" i="11"/>
  <c r="P716" i="11"/>
  <c r="P712" i="11"/>
  <c r="P708" i="11"/>
  <c r="P704" i="11"/>
  <c r="P700" i="11"/>
  <c r="P696" i="11"/>
  <c r="P692" i="11"/>
  <c r="P688" i="11"/>
  <c r="P684" i="11"/>
  <c r="P680" i="11"/>
  <c r="P676" i="11"/>
  <c r="P672" i="11"/>
  <c r="P668" i="11"/>
  <c r="P664" i="11"/>
  <c r="P660" i="11"/>
  <c r="P656" i="11"/>
  <c r="P652" i="11"/>
  <c r="P648" i="11"/>
  <c r="P644" i="11"/>
  <c r="P640" i="11"/>
  <c r="P636" i="11"/>
  <c r="P632" i="11"/>
  <c r="P628" i="11"/>
  <c r="P624" i="11"/>
  <c r="P620" i="11"/>
  <c r="P616" i="11"/>
  <c r="P612" i="11"/>
  <c r="P608" i="11"/>
  <c r="P604" i="11"/>
  <c r="P600" i="11"/>
  <c r="P596" i="11"/>
  <c r="P592" i="11"/>
  <c r="P588" i="11"/>
  <c r="P584" i="11"/>
  <c r="P580" i="11"/>
  <c r="P576" i="11"/>
  <c r="P572" i="11"/>
  <c r="P568" i="11"/>
  <c r="P564" i="11"/>
  <c r="P560" i="11"/>
  <c r="P556" i="11"/>
  <c r="P552" i="11"/>
  <c r="P548" i="11"/>
  <c r="P544" i="11"/>
  <c r="P540" i="11"/>
  <c r="P536" i="11"/>
  <c r="P532" i="11"/>
  <c r="P528" i="11"/>
  <c r="P524" i="11"/>
  <c r="P520" i="11"/>
  <c r="P516" i="11"/>
  <c r="P512" i="11"/>
  <c r="P508" i="11"/>
  <c r="P504" i="11"/>
  <c r="P500" i="11"/>
  <c r="P496" i="11"/>
  <c r="P492" i="11"/>
  <c r="P488" i="11"/>
  <c r="P484" i="11"/>
  <c r="P480" i="11"/>
  <c r="P476" i="11"/>
  <c r="P472" i="11"/>
  <c r="P468" i="11"/>
  <c r="P464" i="11"/>
  <c r="P460" i="11"/>
  <c r="P456" i="11"/>
  <c r="P452" i="11"/>
  <c r="P448" i="11"/>
  <c r="P444" i="11"/>
  <c r="P440" i="11"/>
  <c r="P436" i="11"/>
  <c r="P432" i="11"/>
  <c r="P428" i="11"/>
  <c r="P424" i="11"/>
  <c r="P420" i="11"/>
  <c r="P416" i="11"/>
  <c r="P412" i="11"/>
  <c r="P408" i="11"/>
  <c r="P404" i="11"/>
  <c r="P400" i="11"/>
  <c r="P396" i="11"/>
  <c r="P392" i="11"/>
  <c r="P388" i="11"/>
  <c r="P384" i="11"/>
  <c r="P380" i="11"/>
  <c r="P376" i="11"/>
  <c r="P372" i="11"/>
  <c r="P368" i="11"/>
  <c r="P364" i="11"/>
  <c r="P360" i="11"/>
  <c r="P356" i="11"/>
  <c r="P352" i="11"/>
  <c r="P348" i="11"/>
  <c r="P344" i="11"/>
  <c r="P340" i="11"/>
  <c r="P336" i="11"/>
  <c r="P332" i="11"/>
  <c r="P328" i="11"/>
  <c r="P324" i="11"/>
  <c r="P320" i="11"/>
  <c r="P316" i="11"/>
  <c r="P312" i="11"/>
  <c r="P308" i="11"/>
  <c r="P304" i="11"/>
  <c r="P300" i="11"/>
  <c r="P296" i="11"/>
  <c r="P292" i="11"/>
  <c r="P288" i="11"/>
  <c r="P284" i="11"/>
  <c r="P280" i="11"/>
  <c r="P276" i="11"/>
  <c r="P272" i="11"/>
  <c r="P268" i="11"/>
  <c r="P264" i="11"/>
  <c r="P260" i="11"/>
  <c r="P256" i="11"/>
  <c r="P252" i="11"/>
  <c r="P248" i="11"/>
  <c r="P244" i="11"/>
  <c r="P240" i="11"/>
  <c r="P236" i="11"/>
  <c r="P232" i="11"/>
  <c r="P228" i="11"/>
  <c r="P224" i="11"/>
  <c r="P220" i="11"/>
  <c r="P216" i="11"/>
  <c r="P212" i="11"/>
  <c r="P208" i="11"/>
  <c r="P204" i="11"/>
  <c r="P200" i="11"/>
  <c r="P196" i="11"/>
  <c r="P192" i="11"/>
  <c r="P188" i="11"/>
  <c r="P184" i="11"/>
  <c r="P180" i="11"/>
  <c r="P176" i="11"/>
  <c r="P172" i="11"/>
  <c r="P168" i="11"/>
  <c r="P164" i="11"/>
  <c r="P160" i="11"/>
  <c r="P156" i="11"/>
  <c r="P152" i="11"/>
  <c r="P148" i="11"/>
  <c r="P144" i="11"/>
  <c r="P140" i="11"/>
  <c r="P136" i="11"/>
  <c r="P132" i="11"/>
  <c r="P128" i="11"/>
  <c r="P124" i="11"/>
  <c r="P120" i="11"/>
  <c r="P116" i="11"/>
  <c r="P112" i="11"/>
  <c r="P108" i="11"/>
  <c r="P104" i="11"/>
  <c r="P100" i="11"/>
  <c r="P96" i="11"/>
  <c r="P92" i="11"/>
  <c r="P88" i="11"/>
  <c r="P84" i="11"/>
  <c r="P80" i="11"/>
  <c r="P76" i="11"/>
  <c r="P72" i="11"/>
  <c r="P68" i="11"/>
  <c r="P64" i="11"/>
  <c r="P60" i="11"/>
  <c r="P56" i="11"/>
  <c r="P52" i="11"/>
  <c r="P48" i="11"/>
  <c r="P44" i="11"/>
  <c r="P40" i="11"/>
  <c r="P36" i="11"/>
  <c r="P32" i="11"/>
  <c r="P28" i="11"/>
  <c r="P24" i="11"/>
  <c r="P20" i="11"/>
  <c r="P16" i="11"/>
  <c r="P12" i="11"/>
  <c r="P8" i="11"/>
  <c r="P4" i="11"/>
  <c r="P3434" i="11"/>
  <c r="P3354" i="11"/>
  <c r="P3290" i="11"/>
  <c r="P3226" i="11"/>
  <c r="P3162" i="11"/>
  <c r="P3098" i="11"/>
  <c r="P3034" i="11"/>
  <c r="P2982" i="11"/>
  <c r="P2938" i="11"/>
  <c r="P2894" i="11"/>
  <c r="P2854" i="11"/>
  <c r="P2810" i="11"/>
  <c r="P2770" i="11"/>
  <c r="P2750" i="11"/>
  <c r="P2729" i="11"/>
  <c r="P2706" i="11"/>
  <c r="P2686" i="11"/>
  <c r="P2665" i="11"/>
  <c r="P2642" i="11"/>
  <c r="P2622" i="11"/>
  <c r="P2601" i="11"/>
  <c r="P2578" i="11"/>
  <c r="P2558" i="11"/>
  <c r="P2537" i="11"/>
  <c r="P2514" i="11"/>
  <c r="P2494" i="11"/>
  <c r="P2473" i="11"/>
  <c r="P2450" i="11"/>
  <c r="P2430" i="11"/>
  <c r="P2409" i="11"/>
  <c r="P2393" i="11"/>
  <c r="P2383" i="11"/>
  <c r="P2372" i="11"/>
  <c r="P2361" i="11"/>
  <c r="P2351" i="11"/>
  <c r="P2340" i="11"/>
  <c r="P2329" i="11"/>
  <c r="P2319" i="11"/>
  <c r="P2308" i="11"/>
  <c r="P2297" i="11"/>
  <c r="P2287" i="11"/>
  <c r="P2276" i="11"/>
  <c r="P2265" i="11"/>
  <c r="P2255" i="11"/>
  <c r="P2244" i="11"/>
  <c r="P2233" i="11"/>
  <c r="P2223" i="11"/>
  <c r="P2212" i="11"/>
  <c r="P2201" i="11"/>
  <c r="P2191" i="11"/>
  <c r="P2180" i="11"/>
  <c r="P2169" i="11"/>
  <c r="P2159" i="11"/>
  <c r="P2148" i="11"/>
  <c r="P2137" i="11"/>
  <c r="P2127" i="11"/>
  <c r="P2116" i="11"/>
  <c r="P2105" i="11"/>
  <c r="P2095" i="11"/>
  <c r="P2084" i="11"/>
  <c r="P2073" i="11"/>
  <c r="P2063" i="11"/>
  <c r="P2052" i="11"/>
  <c r="P2041" i="11"/>
  <c r="P2031" i="11"/>
  <c r="P2020" i="11"/>
  <c r="P2009" i="11"/>
  <c r="P1999" i="11"/>
  <c r="P1988" i="11"/>
  <c r="P1977" i="11"/>
  <c r="P1967" i="11"/>
  <c r="P1956" i="11"/>
  <c r="P1945" i="11"/>
  <c r="P1935" i="11"/>
  <c r="P1924" i="11"/>
  <c r="P1913" i="11"/>
  <c r="P1903" i="11"/>
  <c r="P1892" i="11"/>
  <c r="P1881" i="11"/>
  <c r="P1871" i="11"/>
  <c r="P1860" i="11"/>
  <c r="P1849" i="11"/>
  <c r="P1839" i="11"/>
  <c r="P1828" i="11"/>
  <c r="P1817" i="11"/>
  <c r="P1807" i="11"/>
  <c r="P1796" i="11"/>
  <c r="P1785" i="11"/>
  <c r="P1775" i="11"/>
  <c r="P1764" i="11"/>
  <c r="P1753" i="11"/>
  <c r="P1743" i="11"/>
  <c r="P1732" i="11"/>
  <c r="P1721" i="11"/>
  <c r="P1711" i="11"/>
  <c r="P1700" i="11"/>
  <c r="P1689" i="11"/>
  <c r="P1679" i="11"/>
  <c r="P1668" i="11"/>
  <c r="P1657" i="11"/>
  <c r="P1647" i="11"/>
  <c r="P1636" i="11"/>
  <c r="P1625" i="11"/>
  <c r="P1615" i="11"/>
  <c r="P1604" i="11"/>
  <c r="P1593" i="11"/>
  <c r="P1583" i="11"/>
  <c r="P1572" i="11"/>
  <c r="P1561" i="11"/>
  <c r="P1551" i="11"/>
  <c r="P1540" i="11"/>
  <c r="P1529" i="11"/>
  <c r="P1519" i="11"/>
  <c r="P1508" i="11"/>
  <c r="P1497" i="11"/>
  <c r="P1487" i="11"/>
  <c r="P1476" i="11"/>
  <c r="P1467" i="11"/>
  <c r="P1459" i="11"/>
  <c r="P1451" i="11"/>
  <c r="P1443" i="11"/>
  <c r="P1435" i="11"/>
  <c r="P1427" i="11"/>
  <c r="P1419" i="11"/>
  <c r="P1411" i="11"/>
  <c r="P1403" i="11"/>
  <c r="P1395" i="11"/>
  <c r="P1387" i="11"/>
  <c r="P1379" i="11"/>
  <c r="P1371" i="11"/>
  <c r="P1363" i="11"/>
  <c r="P1355" i="11"/>
  <c r="P1347" i="11"/>
  <c r="P1339" i="11"/>
  <c r="P1331" i="11"/>
  <c r="P1323" i="11"/>
  <c r="P1315" i="11"/>
  <c r="P1307" i="11"/>
  <c r="P1299" i="11"/>
  <c r="P1291" i="11"/>
  <c r="P1283" i="11"/>
  <c r="P1275" i="11"/>
  <c r="P1267" i="11"/>
  <c r="P1259" i="11"/>
  <c r="P1251" i="11"/>
  <c r="P1243" i="11"/>
  <c r="P1235" i="11"/>
  <c r="P1227" i="11"/>
  <c r="P1219" i="11"/>
  <c r="P1211" i="11"/>
  <c r="P1203" i="11"/>
  <c r="P1195" i="11"/>
  <c r="P1187" i="11"/>
  <c r="P1179" i="11"/>
  <c r="P1171" i="11"/>
  <c r="P1163" i="11"/>
  <c r="P1155" i="11"/>
  <c r="P1147" i="11"/>
  <c r="P1139" i="11"/>
  <c r="P1131" i="11"/>
  <c r="P1123" i="11"/>
  <c r="P1115" i="11"/>
  <c r="P1107" i="11"/>
  <c r="P1099" i="11"/>
  <c r="P1091" i="11"/>
  <c r="P1083" i="11"/>
  <c r="P1075" i="11"/>
  <c r="P1067" i="11"/>
  <c r="P1059" i="11"/>
  <c r="P1051" i="11"/>
  <c r="P1043" i="11"/>
  <c r="P1035" i="11"/>
  <c r="P1027" i="11"/>
  <c r="P1019" i="11"/>
  <c r="P1011" i="11"/>
  <c r="P1003" i="11"/>
  <c r="P995" i="11"/>
  <c r="P987" i="11"/>
  <c r="P979" i="11"/>
  <c r="P971" i="11"/>
  <c r="P963" i="11"/>
  <c r="P955" i="11"/>
  <c r="P947" i="11"/>
  <c r="P939" i="11"/>
  <c r="P931" i="11"/>
  <c r="P923" i="11"/>
  <c r="P915" i="11"/>
  <c r="P907" i="11"/>
  <c r="P899" i="11"/>
  <c r="P891" i="11"/>
  <c r="P883" i="11"/>
  <c r="P875" i="11"/>
  <c r="P867" i="11"/>
  <c r="P859" i="11"/>
  <c r="P851" i="11"/>
  <c r="P843" i="11"/>
  <c r="P835" i="11"/>
  <c r="P827" i="11"/>
  <c r="P819" i="11"/>
  <c r="P811" i="11"/>
  <c r="P803" i="11"/>
  <c r="P795" i="11"/>
  <c r="P787" i="11"/>
  <c r="P779" i="11"/>
  <c r="P771" i="11"/>
  <c r="P763" i="11"/>
  <c r="P755" i="11"/>
  <c r="P747" i="11"/>
  <c r="P739" i="11"/>
  <c r="P731" i="11"/>
  <c r="P723" i="11"/>
  <c r="P715" i="11"/>
  <c r="P707" i="11"/>
  <c r="P699" i="11"/>
  <c r="P691" i="11"/>
  <c r="P683" i="11"/>
  <c r="P675" i="11"/>
  <c r="P667" i="11"/>
  <c r="P659" i="11"/>
  <c r="P651" i="11"/>
  <c r="P643" i="11"/>
  <c r="P635" i="11"/>
  <c r="P627" i="11"/>
  <c r="P619" i="11"/>
  <c r="P611" i="11"/>
  <c r="P603" i="11"/>
  <c r="P595" i="11"/>
  <c r="P587" i="11"/>
  <c r="P579" i="11"/>
  <c r="P571" i="11"/>
  <c r="P563" i="11"/>
  <c r="P555" i="11"/>
  <c r="P547" i="11"/>
  <c r="P539" i="11"/>
  <c r="P531" i="11"/>
  <c r="P523" i="11"/>
  <c r="P515" i="11"/>
  <c r="P507" i="11"/>
  <c r="P499" i="11"/>
  <c r="P491" i="11"/>
  <c r="P483" i="11"/>
  <c r="P475" i="11"/>
  <c r="P467" i="11"/>
  <c r="P459" i="11"/>
  <c r="P451" i="11"/>
  <c r="P443" i="11"/>
  <c r="P435" i="11"/>
  <c r="P427" i="11"/>
  <c r="P419" i="11"/>
  <c r="P411" i="11"/>
  <c r="P403" i="11"/>
  <c r="P395" i="11"/>
  <c r="P387" i="11"/>
  <c r="P379" i="11"/>
  <c r="P371" i="11"/>
  <c r="P363" i="11"/>
  <c r="P355" i="11"/>
  <c r="P347" i="11"/>
  <c r="P339" i="11"/>
  <c r="P331" i="11"/>
  <c r="P323" i="11"/>
  <c r="P315" i="11"/>
  <c r="P307" i="11"/>
  <c r="P299" i="11"/>
  <c r="P291" i="11"/>
  <c r="P283" i="11"/>
  <c r="P275" i="11"/>
  <c r="P267" i="11"/>
  <c r="P259" i="11"/>
  <c r="P251" i="11"/>
  <c r="P243" i="11"/>
  <c r="P235" i="11"/>
  <c r="P227" i="11"/>
  <c r="P219" i="11"/>
  <c r="P211" i="11"/>
  <c r="P203" i="11"/>
  <c r="P195" i="11"/>
  <c r="P187" i="11"/>
  <c r="P179" i="11"/>
  <c r="P171" i="11"/>
  <c r="P163" i="11"/>
  <c r="P155" i="11"/>
  <c r="P147" i="11"/>
  <c r="P139" i="11"/>
  <c r="P131" i="11"/>
  <c r="P123" i="11"/>
  <c r="P115" i="11"/>
  <c r="P107" i="11"/>
  <c r="P99" i="11"/>
  <c r="P91" i="11"/>
  <c r="P83" i="11"/>
  <c r="P75" i="11"/>
  <c r="P67" i="11"/>
  <c r="P59" i="11"/>
  <c r="P51" i="11"/>
  <c r="P43" i="11"/>
  <c r="P35" i="11"/>
  <c r="P27" i="11"/>
  <c r="P19" i="11"/>
  <c r="P11" i="11"/>
  <c r="P3" i="11"/>
  <c r="P3426" i="11"/>
  <c r="P3350" i="11"/>
  <c r="P3286" i="11"/>
  <c r="P3222" i="11"/>
  <c r="P3158" i="11"/>
  <c r="P3094" i="11"/>
  <c r="P3030" i="11"/>
  <c r="P2974" i="11"/>
  <c r="P2934" i="11"/>
  <c r="P2890" i="11"/>
  <c r="P2846" i="11"/>
  <c r="P2806" i="11"/>
  <c r="P2769" i="11"/>
  <c r="P2746" i="11"/>
  <c r="P2726" i="11"/>
  <c r="P2705" i="11"/>
  <c r="P2682" i="11"/>
  <c r="P2662" i="11"/>
  <c r="P2641" i="11"/>
  <c r="P2618" i="11"/>
  <c r="P2598" i="11"/>
  <c r="P2577" i="11"/>
  <c r="P2554" i="11"/>
  <c r="P2534" i="11"/>
  <c r="P2513" i="11"/>
  <c r="P2490" i="11"/>
  <c r="P2470" i="11"/>
  <c r="P2449" i="11"/>
  <c r="P2426" i="11"/>
  <c r="P2406" i="11"/>
  <c r="P2392" i="11"/>
  <c r="P2381" i="11"/>
  <c r="P2371" i="11"/>
  <c r="P2360" i="11"/>
  <c r="P2349" i="11"/>
  <c r="P2339" i="11"/>
  <c r="P2328" i="11"/>
  <c r="P2317" i="11"/>
  <c r="P2307" i="11"/>
  <c r="P2296" i="11"/>
  <c r="P2285" i="11"/>
  <c r="P2275" i="11"/>
  <c r="P2264" i="11"/>
  <c r="P2253" i="11"/>
  <c r="P2243" i="11"/>
  <c r="P2232" i="11"/>
  <c r="P2221" i="11"/>
  <c r="P2211" i="11"/>
  <c r="P2200" i="11"/>
  <c r="P2189" i="11"/>
  <c r="P2179" i="11"/>
  <c r="P2168" i="11"/>
  <c r="P2157" i="11"/>
  <c r="P2147" i="11"/>
  <c r="P2136" i="11"/>
  <c r="P2125" i="11"/>
  <c r="P2115" i="11"/>
  <c r="P2104" i="11"/>
  <c r="P2093" i="11"/>
  <c r="P2083" i="11"/>
  <c r="P2072" i="11"/>
  <c r="P2061" i="11"/>
  <c r="P2051" i="11"/>
  <c r="P2040" i="11"/>
  <c r="P2029" i="11"/>
  <c r="P2019" i="11"/>
  <c r="P2008" i="11"/>
  <c r="P1997" i="11"/>
  <c r="P1987" i="11"/>
  <c r="P1976" i="11"/>
  <c r="P1965" i="11"/>
  <c r="P1955" i="11"/>
  <c r="P1944" i="11"/>
  <c r="P1933" i="11"/>
  <c r="P1923" i="11"/>
  <c r="P1912" i="11"/>
  <c r="P1901" i="11"/>
  <c r="P1891" i="11"/>
  <c r="P1880" i="11"/>
  <c r="P1869" i="11"/>
  <c r="P1859" i="11"/>
  <c r="P1848" i="11"/>
  <c r="P1837" i="11"/>
  <c r="P1827" i="11"/>
  <c r="P1816" i="11"/>
  <c r="P1805" i="11"/>
  <c r="P1795" i="11"/>
  <c r="P1784" i="11"/>
  <c r="P1773" i="11"/>
  <c r="P1763" i="11"/>
  <c r="P1752" i="11"/>
  <c r="P1741" i="11"/>
  <c r="P1731" i="11"/>
  <c r="P1720" i="11"/>
  <c r="P1709" i="11"/>
  <c r="P1699" i="11"/>
  <c r="P1688" i="11"/>
  <c r="P1677" i="11"/>
  <c r="P1667" i="11"/>
  <c r="P1656" i="11"/>
  <c r="P1645" i="11"/>
  <c r="P1635" i="11"/>
  <c r="P1624" i="11"/>
  <c r="P1613" i="11"/>
  <c r="P1603" i="11"/>
  <c r="P1592" i="11"/>
  <c r="P1581" i="11"/>
  <c r="P1571" i="11"/>
  <c r="P1560" i="11"/>
  <c r="P1549" i="11"/>
  <c r="P1539" i="11"/>
  <c r="P1528" i="11"/>
  <c r="P1517" i="11"/>
  <c r="P1507" i="11"/>
  <c r="P1496" i="11"/>
  <c r="P1485" i="11"/>
  <c r="P1475" i="11"/>
  <c r="P1466" i="11"/>
  <c r="P1458" i="11"/>
  <c r="P1450" i="11"/>
  <c r="P1442" i="11"/>
  <c r="P1434" i="11"/>
  <c r="P1426" i="11"/>
  <c r="P1418" i="11"/>
  <c r="P1410" i="11"/>
  <c r="P1402" i="11"/>
  <c r="P1394" i="11"/>
  <c r="P1386" i="11"/>
  <c r="P1378" i="11"/>
  <c r="P1370" i="11"/>
  <c r="P1362" i="11"/>
  <c r="P1354" i="11"/>
  <c r="P1346" i="11"/>
  <c r="P1338" i="11"/>
  <c r="P1330" i="11"/>
  <c r="P1322" i="11"/>
  <c r="P1314" i="11"/>
  <c r="P1306" i="11"/>
  <c r="P1298" i="11"/>
  <c r="P1290" i="11"/>
  <c r="P1282" i="11"/>
  <c r="P1274" i="11"/>
  <c r="P1266" i="11"/>
  <c r="P1258" i="11"/>
  <c r="P1250" i="11"/>
  <c r="P1242" i="11"/>
  <c r="P1234" i="11"/>
  <c r="P1226" i="11"/>
  <c r="P1218" i="11"/>
  <c r="P1210" i="11"/>
  <c r="P1202" i="11"/>
  <c r="P1194" i="11"/>
  <c r="P1186" i="11"/>
  <c r="P1178" i="11"/>
  <c r="P1170" i="11"/>
  <c r="P1162" i="11"/>
  <c r="P1154" i="11"/>
  <c r="P1146" i="11"/>
  <c r="P1138" i="11"/>
  <c r="P1130" i="11"/>
  <c r="P1122" i="11"/>
  <c r="P1114" i="11"/>
  <c r="P1106" i="11"/>
  <c r="P1098" i="11"/>
  <c r="P1090" i="11"/>
  <c r="P1082" i="11"/>
  <c r="P1074" i="11"/>
  <c r="P1066" i="11"/>
  <c r="P1058" i="11"/>
  <c r="P1050" i="11"/>
  <c r="P1042" i="11"/>
  <c r="P1034" i="11"/>
  <c r="P1026" i="11"/>
  <c r="P1018" i="11"/>
  <c r="P1010" i="11"/>
  <c r="P1002" i="11"/>
  <c r="P994" i="11"/>
  <c r="P986" i="11"/>
  <c r="P978" i="11"/>
  <c r="P970" i="11"/>
  <c r="P962" i="11"/>
  <c r="P954" i="11"/>
  <c r="P946" i="11"/>
  <c r="P938" i="11"/>
  <c r="P930" i="11"/>
  <c r="P922" i="11"/>
  <c r="P914" i="11"/>
  <c r="P906" i="11"/>
  <c r="P898" i="11"/>
  <c r="P890" i="11"/>
  <c r="P882" i="11"/>
  <c r="P874" i="11"/>
  <c r="P866" i="11"/>
  <c r="P858" i="11"/>
  <c r="P850" i="11"/>
  <c r="P842" i="11"/>
  <c r="P834" i="11"/>
  <c r="P826" i="11"/>
  <c r="P818" i="11"/>
  <c r="P810" i="11"/>
  <c r="P802" i="11"/>
  <c r="P794" i="11"/>
  <c r="P786" i="11"/>
  <c r="P778" i="11"/>
  <c r="P770" i="11"/>
  <c r="P762" i="11"/>
  <c r="P754" i="11"/>
  <c r="P746" i="11"/>
  <c r="P738" i="11"/>
  <c r="P730" i="11"/>
  <c r="P722" i="11"/>
  <c r="P714" i="11"/>
  <c r="P706" i="11"/>
  <c r="P698" i="11"/>
  <c r="P690" i="11"/>
  <c r="P682" i="11"/>
  <c r="P674" i="11"/>
  <c r="P666" i="11"/>
  <c r="P658" i="11"/>
  <c r="P650" i="11"/>
  <c r="P642" i="11"/>
  <c r="P634" i="11"/>
  <c r="P626" i="11"/>
  <c r="P618" i="11"/>
  <c r="P610" i="11"/>
  <c r="P602" i="11"/>
  <c r="P594" i="11"/>
  <c r="P586" i="11"/>
  <c r="P578" i="11"/>
  <c r="P570" i="11"/>
  <c r="P562" i="11"/>
  <c r="P554" i="11"/>
  <c r="P546" i="11"/>
  <c r="P538" i="11"/>
  <c r="P530" i="11"/>
  <c r="P522" i="11"/>
  <c r="P514" i="11"/>
  <c r="P506" i="11"/>
  <c r="P498" i="11"/>
  <c r="P490" i="11"/>
  <c r="P482" i="11"/>
  <c r="P474" i="11"/>
  <c r="P466" i="11"/>
  <c r="P458" i="11"/>
  <c r="P450" i="11"/>
  <c r="P442" i="11"/>
  <c r="P434" i="11"/>
  <c r="P426" i="11"/>
  <c r="P418" i="11"/>
  <c r="P410" i="11"/>
  <c r="P402" i="11"/>
  <c r="P394" i="11"/>
  <c r="P386" i="11"/>
  <c r="P378" i="11"/>
  <c r="P370" i="11"/>
  <c r="P362" i="11"/>
  <c r="P354" i="11"/>
  <c r="P346" i="11"/>
  <c r="P338" i="11"/>
  <c r="P330" i="11"/>
  <c r="P322" i="11"/>
  <c r="P314" i="11"/>
  <c r="P306" i="11"/>
  <c r="P298" i="11"/>
  <c r="P290" i="11"/>
  <c r="P282" i="11"/>
  <c r="P274" i="11"/>
  <c r="P266" i="11"/>
  <c r="P258" i="11"/>
  <c r="P250" i="11"/>
  <c r="P242" i="11"/>
  <c r="P234" i="11"/>
  <c r="P226" i="11"/>
  <c r="P218" i="11"/>
  <c r="P210" i="11"/>
  <c r="P202" i="11"/>
  <c r="P194" i="11"/>
  <c r="P186" i="11"/>
  <c r="P178" i="11"/>
  <c r="P170" i="11"/>
  <c r="P162" i="11"/>
  <c r="P154" i="11"/>
  <c r="P146" i="11"/>
  <c r="P138" i="11"/>
  <c r="P130" i="11"/>
  <c r="P122" i="11"/>
  <c r="P114" i="11"/>
  <c r="P106" i="11"/>
  <c r="P98" i="11"/>
  <c r="P90" i="11"/>
  <c r="P82" i="11"/>
  <c r="P74" i="11"/>
  <c r="P66" i="11"/>
  <c r="P58" i="11"/>
  <c r="P50" i="11"/>
  <c r="P42" i="11"/>
  <c r="P34" i="11"/>
  <c r="P26" i="11"/>
  <c r="P18" i="11"/>
  <c r="P10" i="11"/>
  <c r="P2" i="11"/>
  <c r="P3498" i="11"/>
  <c r="P3386" i="11"/>
  <c r="P3322" i="11"/>
  <c r="P3258" i="11"/>
  <c r="P3194" i="11"/>
  <c r="P3130" i="11"/>
  <c r="P3066" i="11"/>
  <c r="P3002" i="11"/>
  <c r="P2958" i="11"/>
  <c r="P2918" i="11"/>
  <c r="P2874" i="11"/>
  <c r="P2830" i="11"/>
  <c r="P2790" i="11"/>
  <c r="P2761" i="11"/>
  <c r="P2738" i="11"/>
  <c r="P2718" i="11"/>
  <c r="P2697" i="11"/>
  <c r="P2674" i="11"/>
  <c r="P2654" i="11"/>
  <c r="P2633" i="11"/>
  <c r="P2610" i="11"/>
  <c r="P2590" i="11"/>
  <c r="P2569" i="11"/>
  <c r="P2546" i="11"/>
  <c r="P2526" i="11"/>
  <c r="P2505" i="11"/>
  <c r="P2482" i="11"/>
  <c r="P2462" i="11"/>
  <c r="P2441" i="11"/>
  <c r="P2418" i="11"/>
  <c r="P2399" i="11"/>
  <c r="P2388" i="11"/>
  <c r="P2377" i="11"/>
  <c r="P2367" i="11"/>
  <c r="P2356" i="11"/>
  <c r="P2345" i="11"/>
  <c r="P2335" i="11"/>
  <c r="P2324" i="11"/>
  <c r="P2313" i="11"/>
  <c r="P2303" i="11"/>
  <c r="P2292" i="11"/>
  <c r="P2281" i="11"/>
  <c r="P2271" i="11"/>
  <c r="P2260" i="11"/>
  <c r="P2249" i="11"/>
  <c r="P2239" i="11"/>
  <c r="P2228" i="11"/>
  <c r="P2217" i="11"/>
  <c r="P2207" i="11"/>
  <c r="P2196" i="11"/>
  <c r="P2185" i="11"/>
  <c r="P2175" i="11"/>
  <c r="P2164" i="11"/>
  <c r="P2153" i="11"/>
  <c r="P2143" i="11"/>
  <c r="P2132" i="11"/>
  <c r="P2121" i="11"/>
  <c r="P2111" i="11"/>
  <c r="P2100" i="11"/>
  <c r="P2089" i="11"/>
  <c r="P2079" i="11"/>
  <c r="P2068" i="11"/>
  <c r="P2057" i="11"/>
  <c r="P2047" i="11"/>
  <c r="P2036" i="11"/>
  <c r="P2025" i="11"/>
  <c r="P2015" i="11"/>
  <c r="P2004" i="11"/>
  <c r="P1993" i="11"/>
  <c r="P1983" i="11"/>
  <c r="P1972" i="11"/>
  <c r="P1961" i="11"/>
  <c r="P1951" i="11"/>
  <c r="P1940" i="11"/>
  <c r="P1929" i="11"/>
  <c r="P1919" i="11"/>
  <c r="P1908" i="11"/>
  <c r="P1897" i="11"/>
  <c r="P1887" i="11"/>
  <c r="P1876" i="11"/>
  <c r="P1865" i="11"/>
  <c r="P1855" i="11"/>
  <c r="P1844" i="11"/>
  <c r="P1833" i="11"/>
  <c r="P1823" i="11"/>
  <c r="P1812" i="11"/>
  <c r="P1801" i="11"/>
  <c r="P1791" i="11"/>
  <c r="P1780" i="11"/>
  <c r="P1769" i="11"/>
  <c r="P1759" i="11"/>
  <c r="P1748" i="11"/>
  <c r="P1737" i="11"/>
  <c r="P1727" i="11"/>
  <c r="P1716" i="11"/>
  <c r="P1705" i="11"/>
  <c r="P1695" i="11"/>
  <c r="P1684" i="11"/>
  <c r="P1673" i="11"/>
  <c r="P1663" i="11"/>
  <c r="P1652" i="11"/>
  <c r="P1641" i="11"/>
  <c r="P1631" i="11"/>
  <c r="P1620" i="11"/>
  <c r="P1609" i="11"/>
  <c r="P1599" i="11"/>
  <c r="P1588" i="11"/>
  <c r="P1577" i="11"/>
  <c r="P1567" i="11"/>
  <c r="P1556" i="11"/>
  <c r="P1545" i="11"/>
  <c r="P1535" i="11"/>
  <c r="P1524" i="11"/>
  <c r="P1513" i="11"/>
  <c r="P1503" i="11"/>
  <c r="P1492" i="11"/>
  <c r="P1481" i="11"/>
  <c r="P1471" i="11"/>
  <c r="P1463" i="11"/>
  <c r="P1455" i="11"/>
  <c r="P1447" i="11"/>
  <c r="P1439" i="11"/>
  <c r="P1431" i="11"/>
  <c r="P1423" i="11"/>
  <c r="P1415" i="11"/>
  <c r="P1407" i="11"/>
  <c r="P1399" i="11"/>
  <c r="P1391" i="11"/>
  <c r="P1383" i="11"/>
  <c r="P1375" i="11"/>
  <c r="P1367" i="11"/>
  <c r="P1359" i="11"/>
  <c r="P1351" i="11"/>
  <c r="P1343" i="11"/>
  <c r="P1335" i="11"/>
  <c r="P1327" i="11"/>
  <c r="P1319" i="11"/>
  <c r="P1311" i="11"/>
  <c r="P1303" i="11"/>
  <c r="P1295" i="11"/>
  <c r="P1287" i="11"/>
  <c r="P1279" i="11"/>
  <c r="P1271" i="11"/>
  <c r="P1263" i="11"/>
  <c r="P1255" i="11"/>
  <c r="P1247" i="11"/>
  <c r="P1239" i="11"/>
  <c r="P1231" i="11"/>
  <c r="P1223" i="11"/>
  <c r="P1215" i="11"/>
  <c r="P1207" i="11"/>
  <c r="P1199" i="11"/>
  <c r="P1191" i="11"/>
  <c r="P1183" i="11"/>
  <c r="P1175" i="11"/>
  <c r="P1167" i="11"/>
  <c r="P1159" i="11"/>
  <c r="P1151" i="11"/>
  <c r="P1143" i="11"/>
  <c r="P1135" i="11"/>
  <c r="P1127" i="11"/>
  <c r="P1119" i="11"/>
  <c r="P1111" i="11"/>
  <c r="P1103" i="11"/>
  <c r="P1095" i="11"/>
  <c r="P1087" i="11"/>
  <c r="P1079" i="11"/>
  <c r="P1071" i="11"/>
  <c r="P1063" i="11"/>
  <c r="P1055" i="11"/>
  <c r="P1047" i="11"/>
  <c r="P1039" i="11"/>
  <c r="P1031" i="11"/>
  <c r="P1023" i="11"/>
  <c r="P1015" i="11"/>
  <c r="P1007" i="11"/>
  <c r="P999" i="11"/>
  <c r="P991" i="11"/>
  <c r="P983" i="11"/>
  <c r="P975" i="11"/>
  <c r="P967" i="11"/>
  <c r="P959" i="11"/>
  <c r="P951" i="11"/>
  <c r="P943" i="11"/>
  <c r="P935" i="11"/>
  <c r="P927" i="11"/>
  <c r="P919" i="11"/>
  <c r="P911" i="11"/>
  <c r="P903" i="11"/>
  <c r="P895" i="11"/>
  <c r="P887" i="11"/>
  <c r="P879" i="11"/>
  <c r="P871" i="11"/>
  <c r="P863" i="11"/>
  <c r="P855" i="11"/>
  <c r="P847" i="11"/>
  <c r="P839" i="11"/>
  <c r="P831" i="11"/>
  <c r="P823" i="11"/>
  <c r="P815" i="11"/>
  <c r="P807" i="11"/>
  <c r="P799" i="11"/>
  <c r="P791" i="11"/>
  <c r="P783" i="11"/>
  <c r="P775" i="11"/>
  <c r="P767" i="11"/>
  <c r="P759" i="11"/>
  <c r="P751" i="11"/>
  <c r="P743" i="11"/>
  <c r="P735" i="11"/>
  <c r="P727" i="11"/>
  <c r="P719" i="11"/>
  <c r="P711" i="11"/>
  <c r="P703" i="11"/>
  <c r="P695" i="11"/>
  <c r="P687" i="11"/>
  <c r="P679" i="11"/>
  <c r="P671" i="11"/>
  <c r="P663" i="11"/>
  <c r="P655" i="11"/>
  <c r="P647" i="11"/>
  <c r="P639" i="11"/>
  <c r="P631" i="11"/>
  <c r="P623" i="11"/>
  <c r="P615" i="11"/>
  <c r="P607" i="11"/>
  <c r="P599" i="11"/>
  <c r="P591" i="11"/>
  <c r="P583" i="11"/>
  <c r="P575" i="11"/>
  <c r="P567" i="11"/>
  <c r="P559" i="11"/>
  <c r="P551" i="11"/>
  <c r="P543" i="11"/>
  <c r="P535" i="11"/>
  <c r="P527" i="11"/>
  <c r="P519" i="11"/>
  <c r="P511" i="11"/>
  <c r="P503" i="11"/>
  <c r="P495" i="11"/>
  <c r="P487" i="11"/>
  <c r="P479" i="11"/>
  <c r="P471" i="11"/>
  <c r="P463" i="11"/>
  <c r="P455" i="11"/>
  <c r="P447" i="11"/>
  <c r="P439" i="11"/>
  <c r="P431" i="11"/>
  <c r="P423" i="11"/>
  <c r="P415" i="11"/>
  <c r="P407" i="11"/>
  <c r="P399" i="11"/>
  <c r="P391" i="11"/>
  <c r="P383" i="11"/>
  <c r="P375" i="11"/>
  <c r="P367" i="11"/>
  <c r="P359" i="11"/>
  <c r="P351" i="11"/>
  <c r="P343" i="11"/>
  <c r="P335" i="11"/>
  <c r="P327" i="11"/>
  <c r="P319" i="11"/>
  <c r="P311" i="11"/>
  <c r="P303" i="11"/>
  <c r="P295" i="11"/>
  <c r="P287" i="11"/>
  <c r="P279" i="11"/>
  <c r="P271" i="11"/>
  <c r="P263" i="11"/>
  <c r="P255" i="11"/>
  <c r="P247" i="11"/>
  <c r="P239" i="11"/>
  <c r="P231" i="11"/>
  <c r="P223" i="11"/>
  <c r="P215" i="11"/>
  <c r="P207" i="11"/>
  <c r="P199" i="11"/>
  <c r="P191" i="11"/>
  <c r="P183" i="11"/>
  <c r="P175" i="11"/>
  <c r="P167" i="11"/>
  <c r="P159" i="11"/>
  <c r="P151" i="11"/>
  <c r="P143" i="11"/>
  <c r="P135" i="11"/>
  <c r="P127" i="11"/>
  <c r="P119" i="11"/>
  <c r="P111" i="11"/>
  <c r="P103" i="11"/>
  <c r="P95" i="11"/>
  <c r="P87" i="11"/>
  <c r="P79" i="11"/>
  <c r="P71" i="11"/>
  <c r="P63" i="11"/>
  <c r="P55" i="11"/>
  <c r="P47" i="11"/>
  <c r="P39" i="11"/>
  <c r="P31" i="11"/>
  <c r="P23" i="11"/>
  <c r="P15" i="11"/>
  <c r="P7" i="11"/>
  <c r="P3490" i="11"/>
  <c r="P3190" i="11"/>
  <c r="P2954" i="11"/>
  <c r="P2782" i="11"/>
  <c r="P2694" i="11"/>
  <c r="P2609" i="11"/>
  <c r="P2522" i="11"/>
  <c r="P2438" i="11"/>
  <c r="P2376" i="11"/>
  <c r="P2333" i="11"/>
  <c r="P2291" i="11"/>
  <c r="P2248" i="11"/>
  <c r="P2205" i="11"/>
  <c r="P2163" i="11"/>
  <c r="P2120" i="11"/>
  <c r="P2077" i="11"/>
  <c r="P2035" i="11"/>
  <c r="P1992" i="11"/>
  <c r="P1949" i="11"/>
  <c r="P1907" i="11"/>
  <c r="P1864" i="11"/>
  <c r="P1821" i="11"/>
  <c r="P1779" i="11"/>
  <c r="P1736" i="11"/>
  <c r="P1693" i="11"/>
  <c r="P1651" i="11"/>
  <c r="P1608" i="11"/>
  <c r="P1565" i="11"/>
  <c r="P1523" i="11"/>
  <c r="P1480" i="11"/>
  <c r="P1446" i="11"/>
  <c r="P1414" i="11"/>
  <c r="P1382" i="11"/>
  <c r="P1350" i="11"/>
  <c r="P1318" i="11"/>
  <c r="P1286" i="11"/>
  <c r="P1254" i="11"/>
  <c r="P1222" i="11"/>
  <c r="P1190" i="11"/>
  <c r="P1158" i="11"/>
  <c r="P1126" i="11"/>
  <c r="P1094" i="11"/>
  <c r="P1062" i="11"/>
  <c r="P1030" i="11"/>
  <c r="P998" i="11"/>
  <c r="P966" i="11"/>
  <c r="P934" i="11"/>
  <c r="P902" i="11"/>
  <c r="P870" i="11"/>
  <c r="P838" i="11"/>
  <c r="P806" i="11"/>
  <c r="P774" i="11"/>
  <c r="P742" i="11"/>
  <c r="P710" i="11"/>
  <c r="P678" i="11"/>
  <c r="P646" i="11"/>
  <c r="P614" i="11"/>
  <c r="P582" i="11"/>
  <c r="P550" i="11"/>
  <c r="P518" i="11"/>
  <c r="P486" i="11"/>
  <c r="P454" i="11"/>
  <c r="P422" i="11"/>
  <c r="P390" i="11"/>
  <c r="P358" i="11"/>
  <c r="P326" i="11"/>
  <c r="P294" i="11"/>
  <c r="P262" i="11"/>
  <c r="P230" i="11"/>
  <c r="P198" i="11"/>
  <c r="P166" i="11"/>
  <c r="P134" i="11"/>
  <c r="P102" i="11"/>
  <c r="P70" i="11"/>
  <c r="P38" i="11"/>
  <c r="P6" i="11"/>
  <c r="P3382" i="11"/>
  <c r="P3126" i="11"/>
  <c r="P2910" i="11"/>
  <c r="P2758" i="11"/>
  <c r="P2673" i="11"/>
  <c r="P2586" i="11"/>
  <c r="P2502" i="11"/>
  <c r="P2417" i="11"/>
  <c r="P2365" i="11"/>
  <c r="P2323" i="11"/>
  <c r="P2280" i="11"/>
  <c r="P2237" i="11"/>
  <c r="P2195" i="11"/>
  <c r="P2152" i="11"/>
  <c r="P2109" i="11"/>
  <c r="P2067" i="11"/>
  <c r="P2024" i="11"/>
  <c r="P1981" i="11"/>
  <c r="P1939" i="11"/>
  <c r="P1896" i="11"/>
  <c r="P1853" i="11"/>
  <c r="P1811" i="11"/>
  <c r="P1768" i="11"/>
  <c r="P1725" i="11"/>
  <c r="P1683" i="11"/>
  <c r="P1640" i="11"/>
  <c r="P1597" i="11"/>
  <c r="P1555" i="11"/>
  <c r="P1512" i="11"/>
  <c r="P1470" i="11"/>
  <c r="P1438" i="11"/>
  <c r="P1406" i="11"/>
  <c r="P1374" i="11"/>
  <c r="P1342" i="11"/>
  <c r="P1310" i="11"/>
  <c r="P1278" i="11"/>
  <c r="P1246" i="11"/>
  <c r="P1214" i="11"/>
  <c r="P1182" i="11"/>
  <c r="P1150" i="11"/>
  <c r="P1118" i="11"/>
  <c r="P1086" i="11"/>
  <c r="P1054" i="11"/>
  <c r="P1022" i="11"/>
  <c r="P990" i="11"/>
  <c r="P958" i="11"/>
  <c r="P926" i="11"/>
  <c r="P894" i="11"/>
  <c r="P862" i="11"/>
  <c r="P830" i="11"/>
  <c r="P798" i="11"/>
  <c r="P766" i="11"/>
  <c r="P734" i="11"/>
  <c r="P702" i="11"/>
  <c r="P670" i="11"/>
  <c r="P638" i="11"/>
  <c r="P606" i="11"/>
  <c r="P574" i="11"/>
  <c r="P542" i="11"/>
  <c r="P510" i="11"/>
  <c r="P478" i="11"/>
  <c r="P446" i="11"/>
  <c r="P414" i="11"/>
  <c r="P382" i="11"/>
  <c r="P350" i="11"/>
  <c r="P318" i="11"/>
  <c r="P286" i="11"/>
  <c r="P254" i="11"/>
  <c r="P222" i="11"/>
  <c r="P190" i="11"/>
  <c r="P158" i="11"/>
  <c r="P126" i="11"/>
  <c r="P94" i="11"/>
  <c r="P62" i="11"/>
  <c r="P30" i="11"/>
  <c r="P3318" i="11"/>
  <c r="P3062" i="11"/>
  <c r="P2870" i="11"/>
  <c r="P2737" i="11"/>
  <c r="P2650" i="11"/>
  <c r="P2566" i="11"/>
  <c r="P2481" i="11"/>
  <c r="P2397" i="11"/>
  <c r="P2355" i="11"/>
  <c r="P2312" i="11"/>
  <c r="P2269" i="11"/>
  <c r="P2227" i="11"/>
  <c r="P2184" i="11"/>
  <c r="P2141" i="11"/>
  <c r="P2099" i="11"/>
  <c r="P2056" i="11"/>
  <c r="P2013" i="11"/>
  <c r="P1971" i="11"/>
  <c r="P1928" i="11"/>
  <c r="P1885" i="11"/>
  <c r="P1843" i="11"/>
  <c r="P1800" i="11"/>
  <c r="P1757" i="11"/>
  <c r="P1715" i="11"/>
  <c r="P1672" i="11"/>
  <c r="P1629" i="11"/>
  <c r="P1587" i="11"/>
  <c r="P1544" i="11"/>
  <c r="P1501" i="11"/>
  <c r="P1462" i="11"/>
  <c r="P1430" i="11"/>
  <c r="P1398" i="11"/>
  <c r="P1366" i="11"/>
  <c r="P1334" i="11"/>
  <c r="P1302" i="11"/>
  <c r="P1270" i="11"/>
  <c r="P1238" i="11"/>
  <c r="P1206" i="11"/>
  <c r="P1174" i="11"/>
  <c r="P1142" i="11"/>
  <c r="P1110" i="11"/>
  <c r="P1078" i="11"/>
  <c r="P1046" i="11"/>
  <c r="P1014" i="11"/>
  <c r="P982" i="11"/>
  <c r="P950" i="11"/>
  <c r="P918" i="11"/>
  <c r="P886" i="11"/>
  <c r="P854" i="11"/>
  <c r="P822" i="11"/>
  <c r="P790" i="11"/>
  <c r="P758" i="11"/>
  <c r="P726" i="11"/>
  <c r="P694" i="11"/>
  <c r="P662" i="11"/>
  <c r="P630" i="11"/>
  <c r="P598" i="11"/>
  <c r="P566" i="11"/>
  <c r="P534" i="11"/>
  <c r="P502" i="11"/>
  <c r="P470" i="11"/>
  <c r="P438" i="11"/>
  <c r="P406" i="11"/>
  <c r="P374" i="11"/>
  <c r="P342" i="11"/>
  <c r="P310" i="11"/>
  <c r="P278" i="11"/>
  <c r="P246" i="11"/>
  <c r="P214" i="11"/>
  <c r="P182" i="11"/>
  <c r="P150" i="11"/>
  <c r="P118" i="11"/>
  <c r="P86" i="11"/>
  <c r="P54" i="11"/>
  <c r="P22" i="11"/>
  <c r="P2714" i="11"/>
  <c r="P2387" i="11"/>
  <c r="P2216" i="11"/>
  <c r="P2045" i="11"/>
  <c r="P1875" i="11"/>
  <c r="P1704" i="11"/>
  <c r="P1533" i="11"/>
  <c r="P1390" i="11"/>
  <c r="P1262" i="11"/>
  <c r="P1134" i="11"/>
  <c r="P1006" i="11"/>
  <c r="P878" i="11"/>
  <c r="P750" i="11"/>
  <c r="P622" i="11"/>
  <c r="P494" i="11"/>
  <c r="P366" i="11"/>
  <c r="P238" i="11"/>
  <c r="P110" i="11"/>
  <c r="P3254" i="11"/>
  <c r="P2630" i="11"/>
  <c r="P2344" i="11"/>
  <c r="P2173" i="11"/>
  <c r="P2003" i="11"/>
  <c r="P1832" i="11"/>
  <c r="P1661" i="11"/>
  <c r="P1491" i="11"/>
  <c r="P1358" i="11"/>
  <c r="P1230" i="11"/>
  <c r="P1102" i="11"/>
  <c r="P974" i="11"/>
  <c r="P846" i="11"/>
  <c r="P718" i="11"/>
  <c r="P590" i="11"/>
  <c r="P462" i="11"/>
  <c r="P334" i="11"/>
  <c r="P206" i="11"/>
  <c r="P78" i="11"/>
  <c r="P2998" i="11"/>
  <c r="P2545" i="11"/>
  <c r="P2301" i="11"/>
  <c r="P2131" i="11"/>
  <c r="P1960" i="11"/>
  <c r="P1789" i="11"/>
  <c r="P1619" i="11"/>
  <c r="P1454" i="11"/>
  <c r="P1326" i="11"/>
  <c r="P1198" i="11"/>
  <c r="P1070" i="11"/>
  <c r="P942" i="11"/>
  <c r="P814" i="11"/>
  <c r="P686" i="11"/>
  <c r="P558" i="11"/>
  <c r="P430" i="11"/>
  <c r="P302" i="11"/>
  <c r="P174" i="11"/>
  <c r="P46" i="11"/>
  <c r="P2826" i="11"/>
  <c r="P1917" i="11"/>
  <c r="P1294" i="11"/>
  <c r="P782" i="11"/>
  <c r="P270" i="11"/>
  <c r="P2458" i="11"/>
  <c r="P1747" i="11"/>
  <c r="P1166" i="11"/>
  <c r="P654" i="11"/>
  <c r="P142" i="11"/>
  <c r="P2259" i="11"/>
  <c r="P1576" i="11"/>
  <c r="P1038" i="11"/>
  <c r="P526" i="11"/>
  <c r="P14" i="11"/>
  <c r="P2088" i="11"/>
  <c r="P1422" i="11"/>
  <c r="P910" i="11"/>
  <c r="P398" i="11"/>
  <c r="O2" i="11" l="1" a="1"/>
  <c r="O36" i="11" s="1"/>
  <c r="N40" i="11"/>
  <c r="N125" i="11"/>
  <c r="N211" i="11"/>
  <c r="N296" i="11"/>
  <c r="N371" i="11"/>
  <c r="N435" i="11"/>
  <c r="N499" i="11"/>
  <c r="N92" i="11"/>
  <c r="N207" i="11"/>
  <c r="N320" i="11"/>
  <c r="N410" i="11"/>
  <c r="N496" i="11"/>
  <c r="N564" i="11"/>
  <c r="N628" i="11"/>
  <c r="N692" i="11"/>
  <c r="N756" i="11"/>
  <c r="N820" i="11"/>
  <c r="N884" i="11"/>
  <c r="N948" i="11"/>
  <c r="N1012" i="11"/>
  <c r="N1076" i="11"/>
  <c r="N24" i="11"/>
  <c r="N109" i="11"/>
  <c r="N195" i="11"/>
  <c r="N280" i="11"/>
  <c r="N359" i="11"/>
  <c r="N423" i="11"/>
  <c r="N487" i="11"/>
  <c r="N71" i="11"/>
  <c r="N185" i="11"/>
  <c r="N299" i="11"/>
  <c r="N394" i="11"/>
  <c r="N480" i="11"/>
  <c r="N552" i="11"/>
  <c r="N616" i="11"/>
  <c r="N680" i="11"/>
  <c r="N744" i="11"/>
  <c r="N808" i="11"/>
  <c r="N872" i="11"/>
  <c r="N936" i="11"/>
  <c r="N1000" i="11"/>
  <c r="N1064" i="11"/>
  <c r="N8" i="11"/>
  <c r="N93" i="11"/>
  <c r="N179" i="11"/>
  <c r="N264" i="11"/>
  <c r="N347" i="11"/>
  <c r="N411" i="11"/>
  <c r="N475" i="11"/>
  <c r="N49" i="11"/>
  <c r="N164" i="11"/>
  <c r="N277" i="11"/>
  <c r="N378" i="11"/>
  <c r="N464" i="11"/>
  <c r="N540" i="11"/>
  <c r="N604" i="11"/>
  <c r="N668" i="11"/>
  <c r="N732" i="11"/>
  <c r="N796" i="11"/>
  <c r="N860" i="11"/>
  <c r="N924" i="11"/>
  <c r="N988" i="11"/>
  <c r="N1052" i="11"/>
  <c r="N1116" i="11"/>
  <c r="N77" i="11"/>
  <c r="N163" i="11"/>
  <c r="N248" i="11"/>
  <c r="N333" i="11"/>
  <c r="N399" i="11"/>
  <c r="N463" i="11"/>
  <c r="N28" i="11"/>
  <c r="N143" i="11"/>
  <c r="N256" i="11"/>
  <c r="N362" i="11"/>
  <c r="N448" i="11"/>
  <c r="N528" i="11"/>
  <c r="N592" i="11"/>
  <c r="N656" i="11"/>
  <c r="N720" i="11"/>
  <c r="N784" i="11"/>
  <c r="N848" i="11"/>
  <c r="N912" i="11"/>
  <c r="N976" i="11"/>
  <c r="N1040" i="11"/>
  <c r="N1104" i="11"/>
  <c r="N1156" i="11"/>
  <c r="N87" i="11"/>
  <c r="N201" i="11"/>
  <c r="N315" i="11"/>
  <c r="N406" i="11"/>
  <c r="N492" i="11"/>
  <c r="N561" i="11"/>
  <c r="N625" i="11"/>
  <c r="N689" i="11"/>
  <c r="N753" i="11"/>
  <c r="N817" i="11"/>
  <c r="N881" i="11"/>
  <c r="N945" i="11"/>
  <c r="N1009" i="11"/>
  <c r="N1073" i="11"/>
  <c r="N1137" i="11"/>
  <c r="N60" i="11"/>
  <c r="N175" i="11"/>
  <c r="N288" i="11"/>
  <c r="N197" i="11"/>
  <c r="N462" i="11"/>
  <c r="N603" i="11"/>
  <c r="N731" i="11"/>
  <c r="N859" i="11"/>
  <c r="N987" i="11"/>
  <c r="N1115" i="11"/>
  <c r="N1207" i="11"/>
  <c r="N1144" i="11"/>
  <c r="N65" i="11"/>
  <c r="N180" i="11"/>
  <c r="N293" i="11"/>
  <c r="N390" i="11"/>
  <c r="N476" i="11"/>
  <c r="N549" i="11"/>
  <c r="N613" i="11"/>
  <c r="N677" i="11"/>
  <c r="N741" i="11"/>
  <c r="N805" i="11"/>
  <c r="N869" i="11"/>
  <c r="N933" i="11"/>
  <c r="N997" i="11"/>
  <c r="N1061" i="11"/>
  <c r="N1125" i="11"/>
  <c r="N1132" i="11"/>
  <c r="N44" i="11"/>
  <c r="N159" i="11"/>
  <c r="N272" i="11"/>
  <c r="N374" i="11"/>
  <c r="N460" i="11"/>
  <c r="N537" i="11"/>
  <c r="N601" i="11"/>
  <c r="N665" i="11"/>
  <c r="N729" i="11"/>
  <c r="N793" i="11"/>
  <c r="N857" i="11"/>
  <c r="N921" i="11"/>
  <c r="N985" i="11"/>
  <c r="N1049" i="11"/>
  <c r="N1113" i="11"/>
  <c r="N17" i="11"/>
  <c r="N23" i="11"/>
  <c r="N137" i="11"/>
  <c r="N251" i="11"/>
  <c r="N358" i="11"/>
  <c r="N444" i="11"/>
  <c r="N525" i="11"/>
  <c r="N589" i="11"/>
  <c r="N653" i="11"/>
  <c r="N717" i="11"/>
  <c r="N781" i="11"/>
  <c r="N845" i="11"/>
  <c r="N909" i="11"/>
  <c r="N973" i="11"/>
  <c r="N1037" i="11"/>
  <c r="N1101" i="11"/>
  <c r="N1165" i="11"/>
  <c r="N111" i="11"/>
  <c r="N224" i="11"/>
  <c r="N337" i="11"/>
  <c r="N366" i="11"/>
  <c r="N531" i="11"/>
  <c r="N153" i="11"/>
  <c r="N112" i="11"/>
  <c r="N579" i="11"/>
  <c r="N747" i="11"/>
  <c r="N915" i="11"/>
  <c r="N1091" i="11"/>
  <c r="N1215" i="11"/>
  <c r="N1287" i="11"/>
  <c r="N1351" i="11"/>
  <c r="N1415" i="11"/>
  <c r="N1479" i="11"/>
  <c r="N1543" i="11"/>
  <c r="N1607" i="11"/>
  <c r="N1671" i="11"/>
  <c r="N1735" i="11"/>
  <c r="N1799" i="11"/>
  <c r="N1863" i="11"/>
  <c r="N1927" i="11"/>
  <c r="N1991" i="11"/>
  <c r="N2055" i="11"/>
  <c r="N2119" i="11"/>
  <c r="N2183" i="11"/>
  <c r="N2247" i="11"/>
  <c r="N2311" i="11"/>
  <c r="N2375" i="11"/>
  <c r="N2439" i="11"/>
  <c r="N2503" i="11"/>
  <c r="N47" i="11"/>
  <c r="N273" i="11"/>
  <c r="N441" i="11"/>
  <c r="N675" i="11"/>
  <c r="N843" i="11"/>
  <c r="N1011" i="11"/>
  <c r="N1179" i="11"/>
  <c r="N1259" i="11"/>
  <c r="N1323" i="11"/>
  <c r="N1387" i="11"/>
  <c r="N1451" i="11"/>
  <c r="N1515" i="11"/>
  <c r="N1579" i="11"/>
  <c r="N1643" i="11"/>
  <c r="N1707" i="11"/>
  <c r="N1771" i="11"/>
  <c r="N1835" i="11"/>
  <c r="N1899" i="11"/>
  <c r="N1963" i="11"/>
  <c r="N2027" i="11"/>
  <c r="N2091" i="11"/>
  <c r="N2155" i="11"/>
  <c r="N239" i="11"/>
  <c r="N388" i="11"/>
  <c r="N643" i="11"/>
  <c r="N811" i="11"/>
  <c r="N979" i="11"/>
  <c r="N1155" i="11"/>
  <c r="N1247" i="11"/>
  <c r="N1311" i="11"/>
  <c r="N1375" i="11"/>
  <c r="N1439" i="11"/>
  <c r="N1503" i="11"/>
  <c r="N1567" i="11"/>
  <c r="N1631" i="11"/>
  <c r="N1695" i="11"/>
  <c r="N1759" i="11"/>
  <c r="N1823" i="11"/>
  <c r="N1887" i="11"/>
  <c r="N1951" i="11"/>
  <c r="N2015" i="11"/>
  <c r="N2079" i="11"/>
  <c r="N2143" i="11"/>
  <c r="N188" i="11"/>
  <c r="N255" i="11"/>
  <c r="N611" i="11"/>
  <c r="N779" i="11"/>
  <c r="N947" i="11"/>
  <c r="N1123" i="11"/>
  <c r="N1231" i="11"/>
  <c r="N1299" i="11"/>
  <c r="N1363" i="11"/>
  <c r="N1427" i="11"/>
  <c r="N1491" i="11"/>
  <c r="N1555" i="11"/>
  <c r="N1619" i="11"/>
  <c r="N1683" i="11"/>
  <c r="N1747" i="11"/>
  <c r="N1811" i="11"/>
  <c r="N1875" i="11"/>
  <c r="N1939" i="11"/>
  <c r="N2003" i="11"/>
  <c r="N2115" i="11"/>
  <c r="N2235" i="11"/>
  <c r="N2319" i="11"/>
  <c r="N2403" i="11"/>
  <c r="N2491" i="11"/>
  <c r="N2571" i="11"/>
  <c r="N2635" i="11"/>
  <c r="N2699" i="11"/>
  <c r="N2763" i="11"/>
  <c r="N2827" i="11"/>
  <c r="N2891" i="11"/>
  <c r="N2955" i="11"/>
  <c r="N3019" i="11"/>
  <c r="N3083" i="11"/>
  <c r="N3147" i="11"/>
  <c r="N3211" i="11"/>
  <c r="N3275" i="11"/>
  <c r="N3339" i="11"/>
  <c r="N261" i="11"/>
  <c r="N488" i="11"/>
  <c r="N622" i="11"/>
  <c r="N750" i="11"/>
  <c r="N2067" i="11"/>
  <c r="N2219" i="11"/>
  <c r="N2303" i="11"/>
  <c r="N2387" i="11"/>
  <c r="N2475" i="11"/>
  <c r="N2559" i="11"/>
  <c r="N2623" i="11"/>
  <c r="N2687" i="11"/>
  <c r="N2751" i="11"/>
  <c r="N2815" i="11"/>
  <c r="N2879" i="11"/>
  <c r="N2943" i="11"/>
  <c r="N3007" i="11"/>
  <c r="N3071" i="11"/>
  <c r="N3135" i="11"/>
  <c r="N3199" i="11"/>
  <c r="N3263" i="11"/>
  <c r="N3327" i="11"/>
  <c r="N176" i="11"/>
  <c r="N456" i="11"/>
  <c r="N598" i="11"/>
  <c r="N726" i="11"/>
  <c r="N2203" i="11"/>
  <c r="N2287" i="11"/>
  <c r="N2371" i="11"/>
  <c r="N2459" i="11"/>
  <c r="N2543" i="11"/>
  <c r="N2611" i="11"/>
  <c r="N2675" i="11"/>
  <c r="N2739" i="11"/>
  <c r="N2803" i="11"/>
  <c r="N2867" i="11"/>
  <c r="N2931" i="11"/>
  <c r="N2995" i="11"/>
  <c r="N3059" i="11"/>
  <c r="N3123" i="11"/>
  <c r="N3187" i="11"/>
  <c r="N3251" i="11"/>
  <c r="N3315" i="11"/>
  <c r="N91" i="11"/>
  <c r="N424" i="11"/>
  <c r="N574" i="11"/>
  <c r="N702" i="11"/>
  <c r="N2207" i="11"/>
  <c r="N2291" i="11"/>
  <c r="N2379" i="11"/>
  <c r="N2463" i="11"/>
  <c r="N2547" i="11"/>
  <c r="N2615" i="11"/>
  <c r="N2679" i="11"/>
  <c r="N2743" i="11"/>
  <c r="N2807" i="11"/>
  <c r="N2871" i="11"/>
  <c r="N2935" i="11"/>
  <c r="N2999" i="11"/>
  <c r="N3063" i="11"/>
  <c r="N3127" i="11"/>
  <c r="N3191" i="11"/>
  <c r="N3255" i="11"/>
  <c r="N3319" i="11"/>
  <c r="N614" i="11"/>
  <c r="N862" i="11"/>
  <c r="N990" i="11"/>
  <c r="N1118" i="11"/>
  <c r="N83" i="11"/>
  <c r="N189" i="11"/>
  <c r="N317" i="11"/>
  <c r="N403" i="11"/>
  <c r="N483" i="11"/>
  <c r="N121" i="11"/>
  <c r="N263" i="11"/>
  <c r="N389" i="11"/>
  <c r="N516" i="11"/>
  <c r="N596" i="11"/>
  <c r="N676" i="11"/>
  <c r="N772" i="11"/>
  <c r="N852" i="11"/>
  <c r="N932" i="11"/>
  <c r="N1028" i="11"/>
  <c r="N1108" i="11"/>
  <c r="N88" i="11"/>
  <c r="N216" i="11"/>
  <c r="N323" i="11"/>
  <c r="N407" i="11"/>
  <c r="N503" i="11"/>
  <c r="N128" i="11"/>
  <c r="N271" i="11"/>
  <c r="N416" i="11"/>
  <c r="N520" i="11"/>
  <c r="N600" i="11"/>
  <c r="N696" i="11"/>
  <c r="N776" i="11"/>
  <c r="N856" i="11"/>
  <c r="N952" i="11"/>
  <c r="N1032" i="11"/>
  <c r="N1112" i="11"/>
  <c r="N115" i="11"/>
  <c r="N221" i="11"/>
  <c r="N328" i="11"/>
  <c r="N427" i="11"/>
  <c r="N507" i="11"/>
  <c r="N135" i="11"/>
  <c r="N305" i="11"/>
  <c r="N421" i="11"/>
  <c r="N524" i="11"/>
  <c r="N620" i="11"/>
  <c r="N700" i="11"/>
  <c r="N780" i="11"/>
  <c r="N876" i="11"/>
  <c r="N956" i="11"/>
  <c r="N1036" i="11"/>
  <c r="N13" i="11"/>
  <c r="N120" i="11"/>
  <c r="N227" i="11"/>
  <c r="N351" i="11"/>
  <c r="N431" i="11"/>
  <c r="N511" i="11"/>
  <c r="N171" i="11"/>
  <c r="N313" i="11"/>
  <c r="N426" i="11"/>
  <c r="N544" i="11"/>
  <c r="N624" i="11"/>
  <c r="N704" i="11"/>
  <c r="N800" i="11"/>
  <c r="N880" i="11"/>
  <c r="N960" i="11"/>
  <c r="N1056" i="11"/>
  <c r="N1124" i="11"/>
  <c r="N59" i="11"/>
  <c r="N229" i="11"/>
  <c r="N364" i="11"/>
  <c r="N470" i="11"/>
  <c r="N577" i="11"/>
  <c r="N657" i="11"/>
  <c r="N737" i="11"/>
  <c r="N833" i="11"/>
  <c r="N913" i="11"/>
  <c r="N993" i="11"/>
  <c r="N1089" i="11"/>
  <c r="N4" i="11"/>
  <c r="N145" i="11"/>
  <c r="N316" i="11"/>
  <c r="N377" i="11"/>
  <c r="N571" i="11"/>
  <c r="N763" i="11"/>
  <c r="N923" i="11"/>
  <c r="N1083" i="11"/>
  <c r="N1223" i="11"/>
  <c r="N9" i="11"/>
  <c r="N151" i="11"/>
  <c r="N321" i="11"/>
  <c r="N433" i="11"/>
  <c r="N2" i="11"/>
  <c r="N104" i="11"/>
  <c r="N232" i="11"/>
  <c r="N339" i="11"/>
  <c r="N419" i="11"/>
  <c r="N7" i="11"/>
  <c r="N149" i="11"/>
  <c r="N292" i="11"/>
  <c r="N432" i="11"/>
  <c r="N532" i="11"/>
  <c r="N612" i="11"/>
  <c r="N708" i="11"/>
  <c r="N788" i="11"/>
  <c r="N868" i="11"/>
  <c r="N964" i="11"/>
  <c r="N1044" i="11"/>
  <c r="N3" i="11"/>
  <c r="N131" i="11"/>
  <c r="N237" i="11"/>
  <c r="N343" i="11"/>
  <c r="N439" i="11"/>
  <c r="N15" i="11"/>
  <c r="N156" i="11"/>
  <c r="N327" i="11"/>
  <c r="N437" i="11"/>
  <c r="N536" i="11"/>
  <c r="N632" i="11"/>
  <c r="N712" i="11"/>
  <c r="N792" i="11"/>
  <c r="N888" i="11"/>
  <c r="N968" i="11"/>
  <c r="N1048" i="11"/>
  <c r="N29" i="11"/>
  <c r="N136" i="11"/>
  <c r="N243" i="11"/>
  <c r="N363" i="11"/>
  <c r="N443" i="11"/>
  <c r="N21" i="11"/>
  <c r="N192" i="11"/>
  <c r="N335" i="11"/>
  <c r="N442" i="11"/>
  <c r="N556" i="11"/>
  <c r="N636" i="11"/>
  <c r="N716" i="11"/>
  <c r="N812" i="11"/>
  <c r="N892" i="11"/>
  <c r="N972" i="11"/>
  <c r="N1068" i="11"/>
  <c r="N35" i="11"/>
  <c r="N141" i="11"/>
  <c r="N269" i="11"/>
  <c r="N367" i="11"/>
  <c r="N447" i="11"/>
  <c r="N57" i="11"/>
  <c r="N199" i="11"/>
  <c r="N341" i="11"/>
  <c r="N469" i="11"/>
  <c r="N560" i="11"/>
  <c r="N640" i="11"/>
  <c r="N736" i="11"/>
  <c r="N816" i="11"/>
  <c r="N896" i="11"/>
  <c r="N992" i="11"/>
  <c r="N1072" i="11"/>
  <c r="N1140" i="11"/>
  <c r="N116" i="11"/>
  <c r="N257" i="11"/>
  <c r="N385" i="11"/>
  <c r="N513" i="11"/>
  <c r="N593" i="11"/>
  <c r="N673" i="11"/>
  <c r="N769" i="11"/>
  <c r="N849" i="11"/>
  <c r="N929" i="11"/>
  <c r="N1025" i="11"/>
  <c r="N1105" i="11"/>
  <c r="N32" i="11"/>
  <c r="N203" i="11"/>
  <c r="N344" i="11"/>
  <c r="N420" i="11"/>
  <c r="N635" i="11"/>
  <c r="N795" i="11"/>
  <c r="N955" i="11"/>
  <c r="N1147" i="11"/>
  <c r="N1239" i="11"/>
  <c r="N37" i="11"/>
  <c r="N208" i="11"/>
  <c r="N348" i="11"/>
  <c r="N454" i="11"/>
  <c r="N565" i="11"/>
  <c r="N645" i="11"/>
  <c r="N725" i="11"/>
  <c r="N821" i="11"/>
  <c r="N901" i="11"/>
  <c r="N981" i="11"/>
  <c r="N1077" i="11"/>
  <c r="N1157" i="11"/>
  <c r="N16" i="11"/>
  <c r="N187" i="11"/>
  <c r="N329" i="11"/>
  <c r="N438" i="11"/>
  <c r="N553" i="11"/>
  <c r="N633" i="11"/>
  <c r="N713" i="11"/>
  <c r="N809" i="11"/>
  <c r="N889" i="11"/>
  <c r="N969" i="11"/>
  <c r="N1065" i="11"/>
  <c r="N1145" i="11"/>
  <c r="N1168" i="11"/>
  <c r="N165" i="11"/>
  <c r="N308" i="11"/>
  <c r="N422" i="11"/>
  <c r="N541" i="11"/>
  <c r="N621" i="11"/>
  <c r="N701" i="11"/>
  <c r="N797" i="11"/>
  <c r="N877" i="11"/>
  <c r="N957" i="11"/>
  <c r="N1053" i="11"/>
  <c r="N1133" i="11"/>
  <c r="N81" i="11"/>
  <c r="N252" i="11"/>
  <c r="N169" i="11"/>
  <c r="N494" i="11"/>
  <c r="N209" i="11"/>
  <c r="N430" i="11"/>
  <c r="N707" i="11"/>
  <c r="N963" i="11"/>
  <c r="N1170" i="11"/>
  <c r="N1271" i="11"/>
  <c r="N1367" i="11"/>
  <c r="N1447" i="11"/>
  <c r="N1527" i="11"/>
  <c r="N1623" i="11"/>
  <c r="N1703" i="11"/>
  <c r="N1783" i="11"/>
  <c r="N1879" i="11"/>
  <c r="N1959" i="11"/>
  <c r="N2039" i="11"/>
  <c r="N2135" i="11"/>
  <c r="N2215" i="11"/>
  <c r="N2295" i="11"/>
  <c r="N2391" i="11"/>
  <c r="N2471" i="11"/>
  <c r="N2551" i="11"/>
  <c r="N331" i="11"/>
  <c r="N587" i="11"/>
  <c r="N803" i="11"/>
  <c r="N1059" i="11"/>
  <c r="N1219" i="11"/>
  <c r="N1307" i="11"/>
  <c r="N1403" i="11"/>
  <c r="N1483" i="11"/>
  <c r="N1563" i="11"/>
  <c r="N1659" i="11"/>
  <c r="N1739" i="11"/>
  <c r="N1819" i="11"/>
  <c r="N1915" i="11"/>
  <c r="N1995" i="11"/>
  <c r="N2075" i="11"/>
  <c r="N68" i="11"/>
  <c r="N349" i="11"/>
  <c r="N595" i="11"/>
  <c r="N851" i="11"/>
  <c r="N1067" i="11"/>
  <c r="N1227" i="11"/>
  <c r="N1327" i="11"/>
  <c r="N1407" i="11"/>
  <c r="N1487" i="11"/>
  <c r="N1583" i="11"/>
  <c r="N1663" i="11"/>
  <c r="N1743" i="11"/>
  <c r="N1839" i="11"/>
  <c r="N1919" i="11"/>
  <c r="N1999" i="11"/>
  <c r="N2095" i="11"/>
  <c r="N75" i="11"/>
  <c r="N27" i="11"/>
  <c r="N651" i="11"/>
  <c r="N867" i="11"/>
  <c r="N1075" i="11"/>
  <c r="N1251" i="11"/>
  <c r="N1331" i="11"/>
  <c r="N1411" i="11"/>
  <c r="N1507" i="11"/>
  <c r="N1587" i="11"/>
  <c r="N1667" i="11"/>
  <c r="N1763" i="11"/>
  <c r="N1843" i="11"/>
  <c r="N1923" i="11"/>
  <c r="N2019" i="11"/>
  <c r="N2191" i="11"/>
  <c r="N2299" i="11"/>
  <c r="N2427" i="11"/>
  <c r="N2531" i="11"/>
  <c r="N2619" i="11"/>
  <c r="N2715" i="11"/>
  <c r="N2795" i="11"/>
  <c r="N2875" i="11"/>
  <c r="N2971" i="11"/>
  <c r="N3051" i="11"/>
  <c r="N3131" i="11"/>
  <c r="N3227" i="11"/>
  <c r="N3307" i="11"/>
  <c r="N148" i="11"/>
  <c r="N526" i="11"/>
  <c r="N686" i="11"/>
  <c r="N846" i="11"/>
  <c r="N2239" i="11"/>
  <c r="N2347" i="11"/>
  <c r="N2451" i="11"/>
  <c r="N2575" i="11"/>
  <c r="N2655" i="11"/>
  <c r="N2735" i="11"/>
  <c r="N2831" i="11"/>
  <c r="N2911" i="11"/>
  <c r="N2991" i="11"/>
  <c r="N3087" i="11"/>
  <c r="N3167" i="11"/>
  <c r="N3247" i="11"/>
  <c r="N3343" i="11"/>
  <c r="N370" i="11"/>
  <c r="N566" i="11"/>
  <c r="N2083" i="11"/>
  <c r="N2243" i="11"/>
  <c r="N2351" i="11"/>
  <c r="N2479" i="11"/>
  <c r="N2579" i="11"/>
  <c r="N2659" i="11"/>
  <c r="N2755" i="11"/>
  <c r="N2835" i="11"/>
  <c r="N2915" i="11"/>
  <c r="N3011" i="11"/>
  <c r="N3091" i="11"/>
  <c r="N3171" i="11"/>
  <c r="N3267" i="11"/>
  <c r="N3347" i="11"/>
  <c r="N381" i="11"/>
  <c r="N606" i="11"/>
  <c r="N2163" i="11"/>
  <c r="N2271" i="11"/>
  <c r="N2399" i="11"/>
  <c r="N2507" i="11"/>
  <c r="N2599" i="11"/>
  <c r="N2695" i="11"/>
  <c r="N2775" i="11"/>
  <c r="N2855" i="11"/>
  <c r="N2951" i="11"/>
  <c r="N3031" i="11"/>
  <c r="N3111" i="11"/>
  <c r="N3207" i="11"/>
  <c r="N3287" i="11"/>
  <c r="N477" i="11"/>
  <c r="N894" i="11"/>
  <c r="N1054" i="11"/>
  <c r="N1192" i="11"/>
  <c r="N1256" i="11"/>
  <c r="N1320" i="11"/>
  <c r="N1384" i="11"/>
  <c r="N1448" i="11"/>
  <c r="N1512" i="11"/>
  <c r="N1576" i="11"/>
  <c r="N1640" i="11"/>
  <c r="N1704" i="11"/>
  <c r="N1768" i="11"/>
  <c r="N1832" i="11"/>
  <c r="N1896" i="11"/>
  <c r="N1960" i="11"/>
  <c r="N2024" i="11"/>
  <c r="N2088" i="11"/>
  <c r="N2152" i="11"/>
  <c r="N2216" i="11"/>
  <c r="N2280" i="11"/>
  <c r="N2344" i="11"/>
  <c r="N2408" i="11"/>
  <c r="N2472" i="11"/>
  <c r="N2536" i="11"/>
  <c r="N2600" i="11"/>
  <c r="N2664" i="11"/>
  <c r="N2728" i="11"/>
  <c r="N2792" i="11"/>
  <c r="N2856" i="11"/>
  <c r="N2920" i="11"/>
  <c r="N2984" i="11"/>
  <c r="N3048" i="11"/>
  <c r="N3112" i="11"/>
  <c r="N3176" i="11"/>
  <c r="N3240" i="11"/>
  <c r="N3304" i="11"/>
  <c r="N69" i="11"/>
  <c r="N567" i="11"/>
  <c r="N823" i="11"/>
  <c r="N1079" i="11"/>
  <c r="N646" i="11"/>
  <c r="N870" i="11"/>
  <c r="N998" i="11"/>
  <c r="N1126" i="11"/>
  <c r="N1212" i="11"/>
  <c r="N1276" i="11"/>
  <c r="N1340" i="11"/>
  <c r="N1404" i="11"/>
  <c r="N1468" i="11"/>
  <c r="N1532" i="11"/>
  <c r="N1596" i="11"/>
  <c r="N1660" i="11"/>
  <c r="N1724" i="11"/>
  <c r="N1788" i="11"/>
  <c r="N1852" i="11"/>
  <c r="N1916" i="11"/>
  <c r="N1980" i="11"/>
  <c r="N2044" i="11"/>
  <c r="N2108" i="11"/>
  <c r="N2172" i="11"/>
  <c r="N2236" i="11"/>
  <c r="N2300" i="11"/>
  <c r="N2364" i="11"/>
  <c r="N2428" i="11"/>
  <c r="N2492" i="11"/>
  <c r="N2556" i="11"/>
  <c r="N2620" i="11"/>
  <c r="N2684" i="11"/>
  <c r="N2748" i="11"/>
  <c r="N2812" i="11"/>
  <c r="N2876" i="11"/>
  <c r="N2940" i="11"/>
  <c r="N3004" i="11"/>
  <c r="N3068" i="11"/>
  <c r="N3132" i="11"/>
  <c r="N3196" i="11"/>
  <c r="N3260" i="11"/>
  <c r="N3324" i="11"/>
  <c r="N350" i="11"/>
  <c r="N647" i="11"/>
  <c r="N903" i="11"/>
  <c r="N1159" i="11"/>
  <c r="N392" i="11"/>
  <c r="N798" i="11"/>
  <c r="N942" i="11"/>
  <c r="N1070" i="11"/>
  <c r="N1184" i="11"/>
  <c r="N19" i="11"/>
  <c r="N147" i="11"/>
  <c r="N253" i="11"/>
  <c r="N355" i="11"/>
  <c r="N451" i="11"/>
  <c r="N36" i="11"/>
  <c r="N177" i="11"/>
  <c r="N346" i="11"/>
  <c r="N453" i="11"/>
  <c r="N548" i="11"/>
  <c r="N644" i="11"/>
  <c r="N724" i="11"/>
  <c r="N804" i="11"/>
  <c r="N900" i="11"/>
  <c r="N980" i="11"/>
  <c r="N1060" i="11"/>
  <c r="N45" i="11"/>
  <c r="N152" i="11"/>
  <c r="N259" i="11"/>
  <c r="N375" i="11"/>
  <c r="N455" i="11"/>
  <c r="N43" i="11"/>
  <c r="N213" i="11"/>
  <c r="N352" i="11"/>
  <c r="N458" i="11"/>
  <c r="N568" i="11"/>
  <c r="N648" i="11"/>
  <c r="N728" i="11"/>
  <c r="N824" i="11"/>
  <c r="N904" i="11"/>
  <c r="N984" i="11"/>
  <c r="N1080" i="11"/>
  <c r="N51" i="11"/>
  <c r="N157" i="11"/>
  <c r="N285" i="11"/>
  <c r="N379" i="11"/>
  <c r="N459" i="11"/>
  <c r="N387" i="11"/>
  <c r="N368" i="11"/>
  <c r="N740" i="11"/>
  <c r="N1092" i="11"/>
  <c r="N391" i="11"/>
  <c r="N373" i="11"/>
  <c r="N760" i="11"/>
  <c r="N1096" i="11"/>
  <c r="N395" i="11"/>
  <c r="N220" i="11"/>
  <c r="N485" i="11"/>
  <c r="N652" i="11"/>
  <c r="N828" i="11"/>
  <c r="N1004" i="11"/>
  <c r="N56" i="11"/>
  <c r="N291" i="11"/>
  <c r="N479" i="11"/>
  <c r="N228" i="11"/>
  <c r="N490" i="11"/>
  <c r="N672" i="11"/>
  <c r="N832" i="11"/>
  <c r="N1008" i="11"/>
  <c r="N1172" i="11"/>
  <c r="N287" i="11"/>
  <c r="N529" i="11"/>
  <c r="N705" i="11"/>
  <c r="N865" i="11"/>
  <c r="N1041" i="11"/>
  <c r="N89" i="11"/>
  <c r="N84" i="11"/>
  <c r="N667" i="11"/>
  <c r="N1019" i="11"/>
  <c r="N1128" i="11"/>
  <c r="N236" i="11"/>
  <c r="N497" i="11"/>
  <c r="N597" i="11"/>
  <c r="N709" i="11"/>
  <c r="N837" i="11"/>
  <c r="N949" i="11"/>
  <c r="N1045" i="11"/>
  <c r="N11" i="11"/>
  <c r="N101" i="11"/>
  <c r="N300" i="11"/>
  <c r="N481" i="11"/>
  <c r="N585" i="11"/>
  <c r="N697" i="11"/>
  <c r="N825" i="11"/>
  <c r="N937" i="11"/>
  <c r="N1033" i="11"/>
  <c r="N1161" i="11"/>
  <c r="N80" i="11"/>
  <c r="N279" i="11"/>
  <c r="N465" i="11"/>
  <c r="N573" i="11"/>
  <c r="N685" i="11"/>
  <c r="N813" i="11"/>
  <c r="N925" i="11"/>
  <c r="N1021" i="11"/>
  <c r="N1149" i="11"/>
  <c r="N167" i="11"/>
  <c r="N55" i="11"/>
  <c r="N563" i="11"/>
  <c r="N324" i="11"/>
  <c r="N659" i="11"/>
  <c r="N1003" i="11"/>
  <c r="N1235" i="11"/>
  <c r="N1335" i="11"/>
  <c r="N1463" i="11"/>
  <c r="N1575" i="11"/>
  <c r="N1687" i="11"/>
  <c r="N1815" i="11"/>
  <c r="N1911" i="11"/>
  <c r="N2023" i="11"/>
  <c r="N2151" i="11"/>
  <c r="N2263" i="11"/>
  <c r="N2359" i="11"/>
  <c r="N2487" i="11"/>
  <c r="N160" i="11"/>
  <c r="N523" i="11"/>
  <c r="N883" i="11"/>
  <c r="N1139" i="11"/>
  <c r="N1291" i="11"/>
  <c r="N1419" i="11"/>
  <c r="N1531" i="11"/>
  <c r="N1627" i="11"/>
  <c r="N1755" i="11"/>
  <c r="N1867" i="11"/>
  <c r="N1979" i="11"/>
  <c r="N2107" i="11"/>
  <c r="N181" i="11"/>
  <c r="N547" i="11"/>
  <c r="N899" i="11"/>
  <c r="N1183" i="11"/>
  <c r="N1295" i="11"/>
  <c r="N1423" i="11"/>
  <c r="N1535" i="11"/>
  <c r="N1647" i="11"/>
  <c r="N1775" i="11"/>
  <c r="N1871" i="11"/>
  <c r="N1983" i="11"/>
  <c r="N2111" i="11"/>
  <c r="N245" i="11"/>
  <c r="N555" i="11"/>
  <c r="N907" i="11"/>
  <c r="N1187" i="11"/>
  <c r="N1315" i="11"/>
  <c r="N1443" i="11"/>
  <c r="N1539" i="11"/>
  <c r="N1651" i="11"/>
  <c r="N1779" i="11"/>
  <c r="N1891" i="11"/>
  <c r="N1987" i="11"/>
  <c r="N2211" i="11"/>
  <c r="N2363" i="11"/>
  <c r="N2511" i="11"/>
  <c r="N2651" i="11"/>
  <c r="N2747" i="11"/>
  <c r="N2859" i="11"/>
  <c r="N2987" i="11"/>
  <c r="N3099" i="11"/>
  <c r="N3195" i="11"/>
  <c r="N3323" i="11"/>
  <c r="N402" i="11"/>
  <c r="N654" i="11"/>
  <c r="N2131" i="11"/>
  <c r="N2283" i="11"/>
  <c r="N2431" i="11"/>
  <c r="N2591" i="11"/>
  <c r="N2703" i="11"/>
  <c r="N2799" i="11"/>
  <c r="N2927" i="11"/>
  <c r="N3039" i="11"/>
  <c r="N3151" i="11"/>
  <c r="N3279" i="11"/>
  <c r="N63" i="11"/>
  <c r="N534" i="11"/>
  <c r="N2147" i="11"/>
  <c r="N2307" i="11"/>
  <c r="N2435" i="11"/>
  <c r="N2595" i="11"/>
  <c r="N2707" i="11"/>
  <c r="N2819" i="11"/>
  <c r="N2947" i="11"/>
  <c r="N3043" i="11"/>
  <c r="N3155" i="11"/>
  <c r="N3283" i="11"/>
  <c r="N204" i="11"/>
  <c r="N542" i="11"/>
  <c r="N2187" i="11"/>
  <c r="N2335" i="11"/>
  <c r="N2483" i="11"/>
  <c r="N2631" i="11"/>
  <c r="N2727" i="11"/>
  <c r="N2839" i="11"/>
  <c r="N2967" i="11"/>
  <c r="N3079" i="11"/>
  <c r="N3175" i="11"/>
  <c r="N3303" i="11"/>
  <c r="N774" i="11"/>
  <c r="N1022" i="11"/>
  <c r="N1208" i="11"/>
  <c r="N1288" i="11"/>
  <c r="N1368" i="11"/>
  <c r="N1464" i="11"/>
  <c r="N1544" i="11"/>
  <c r="N1624" i="11"/>
  <c r="N1720" i="11"/>
  <c r="N1800" i="11"/>
  <c r="N1880" i="11"/>
  <c r="N1976" i="11"/>
  <c r="N2056" i="11"/>
  <c r="N2136" i="11"/>
  <c r="N2232" i="11"/>
  <c r="N2312" i="11"/>
  <c r="N2392" i="11"/>
  <c r="N2488" i="11"/>
  <c r="N61" i="11"/>
  <c r="N467" i="11"/>
  <c r="N474" i="11"/>
  <c r="N836" i="11"/>
  <c r="N67" i="11"/>
  <c r="N471" i="11"/>
  <c r="N501" i="11"/>
  <c r="N840" i="11"/>
  <c r="N72" i="11"/>
  <c r="N491" i="11"/>
  <c r="N249" i="11"/>
  <c r="N506" i="11"/>
  <c r="N684" i="11"/>
  <c r="N844" i="11"/>
  <c r="N1020" i="11"/>
  <c r="N99" i="11"/>
  <c r="N312" i="11"/>
  <c r="N495" i="11"/>
  <c r="N284" i="11"/>
  <c r="N512" i="11"/>
  <c r="N688" i="11"/>
  <c r="N864" i="11"/>
  <c r="N1024" i="11"/>
  <c r="N31" i="11"/>
  <c r="N342" i="11"/>
  <c r="N545" i="11"/>
  <c r="N721" i="11"/>
  <c r="N897" i="11"/>
  <c r="N1057" i="11"/>
  <c r="N117" i="11"/>
  <c r="N311" i="11"/>
  <c r="N699" i="11"/>
  <c r="N1051" i="11"/>
  <c r="N1160" i="11"/>
  <c r="N265" i="11"/>
  <c r="N517" i="11"/>
  <c r="N629" i="11"/>
  <c r="N757" i="11"/>
  <c r="N853" i="11"/>
  <c r="N965" i="11"/>
  <c r="N1093" i="11"/>
  <c r="N1148" i="11"/>
  <c r="N129" i="11"/>
  <c r="N353" i="11"/>
  <c r="N502" i="11"/>
  <c r="N617" i="11"/>
  <c r="N745" i="11"/>
  <c r="N841" i="11"/>
  <c r="N953" i="11"/>
  <c r="N1081" i="11"/>
  <c r="N1136" i="11"/>
  <c r="N108" i="11"/>
  <c r="N336" i="11"/>
  <c r="N486" i="11"/>
  <c r="N605" i="11"/>
  <c r="N733" i="11"/>
  <c r="N829" i="11"/>
  <c r="N941" i="11"/>
  <c r="N1069" i="11"/>
  <c r="N25" i="11"/>
  <c r="N196" i="11"/>
  <c r="N283" i="11"/>
  <c r="N39" i="11"/>
  <c r="N340" i="11"/>
  <c r="N787" i="11"/>
  <c r="N1043" i="11"/>
  <c r="N1255" i="11"/>
  <c r="N1383" i="11"/>
  <c r="N1495" i="11"/>
  <c r="N1591" i="11"/>
  <c r="N1719" i="11"/>
  <c r="N1831" i="11"/>
  <c r="N1943" i="11"/>
  <c r="N2071" i="11"/>
  <c r="N2167" i="11"/>
  <c r="N2279" i="11"/>
  <c r="N2407" i="11"/>
  <c r="N2519" i="11"/>
  <c r="N217" i="11"/>
  <c r="N627" i="11"/>
  <c r="N931" i="11"/>
  <c r="N1199" i="11"/>
  <c r="N1339" i="11"/>
  <c r="N1435" i="11"/>
  <c r="N1547" i="11"/>
  <c r="N1675" i="11"/>
  <c r="N1787" i="11"/>
  <c r="N1883" i="11"/>
  <c r="N2011" i="11"/>
  <c r="N2123" i="11"/>
  <c r="N295" i="11"/>
  <c r="N683" i="11"/>
  <c r="N939" i="11"/>
  <c r="N1203" i="11"/>
  <c r="N1343" i="11"/>
  <c r="N1455" i="11"/>
  <c r="N1551" i="11"/>
  <c r="N1679" i="11"/>
  <c r="N1791" i="11"/>
  <c r="N1903" i="11"/>
  <c r="N2031" i="11"/>
  <c r="N2127" i="11"/>
  <c r="N303" i="11"/>
  <c r="N691" i="11"/>
  <c r="N995" i="11"/>
  <c r="N1211" i="11"/>
  <c r="N1347" i="11"/>
  <c r="N1459" i="11"/>
  <c r="N1571" i="11"/>
  <c r="N1699" i="11"/>
  <c r="N1795" i="11"/>
  <c r="N1907" i="11"/>
  <c r="N2035" i="11"/>
  <c r="N2255" i="11"/>
  <c r="N2383" i="11"/>
  <c r="N2555" i="11"/>
  <c r="N2667" i="11"/>
  <c r="N2779" i="11"/>
  <c r="N2907" i="11"/>
  <c r="N168" i="11"/>
  <c r="N64" i="11"/>
  <c r="N580" i="11"/>
  <c r="N916" i="11"/>
  <c r="N173" i="11"/>
  <c r="N100" i="11"/>
  <c r="N584" i="11"/>
  <c r="N920" i="11"/>
  <c r="N200" i="11"/>
  <c r="N79" i="11"/>
  <c r="N357" i="11"/>
  <c r="N572" i="11"/>
  <c r="N748" i="11"/>
  <c r="N908" i="11"/>
  <c r="N1084" i="11"/>
  <c r="N184" i="11"/>
  <c r="N383" i="11"/>
  <c r="N85" i="11"/>
  <c r="N384" i="11"/>
  <c r="N576" i="11"/>
  <c r="N752" i="11"/>
  <c r="N928" i="11"/>
  <c r="N1088" i="11"/>
  <c r="N144" i="11"/>
  <c r="N428" i="11"/>
  <c r="N609" i="11"/>
  <c r="N785" i="11"/>
  <c r="N961" i="11"/>
  <c r="N1121" i="11"/>
  <c r="N231" i="11"/>
  <c r="N505" i="11"/>
  <c r="N827" i="11"/>
  <c r="N1175" i="11"/>
  <c r="N95" i="11"/>
  <c r="N369" i="11"/>
  <c r="N533" i="11"/>
  <c r="N661" i="11"/>
  <c r="N773" i="11"/>
  <c r="N885" i="11"/>
  <c r="N1013" i="11"/>
  <c r="N1109" i="11"/>
  <c r="N1164" i="11"/>
  <c r="N215" i="11"/>
  <c r="N396" i="11"/>
  <c r="N521" i="11"/>
  <c r="N649" i="11"/>
  <c r="N761" i="11"/>
  <c r="N873" i="11"/>
  <c r="N1001" i="11"/>
  <c r="N1097" i="11"/>
  <c r="N1152" i="11"/>
  <c r="N193" i="11"/>
  <c r="N380" i="11"/>
  <c r="N508" i="11"/>
  <c r="N637" i="11"/>
  <c r="N749" i="11"/>
  <c r="N861" i="11"/>
  <c r="N989" i="11"/>
  <c r="N1085" i="11"/>
  <c r="N53" i="11"/>
  <c r="N281" i="11"/>
  <c r="N409" i="11"/>
  <c r="N96" i="11"/>
  <c r="N515" i="11"/>
  <c r="N835" i="11"/>
  <c r="N1131" i="11"/>
  <c r="N1303" i="11"/>
  <c r="N1399" i="11"/>
  <c r="N1511" i="11"/>
  <c r="N1639" i="11"/>
  <c r="N1751" i="11"/>
  <c r="N1847" i="11"/>
  <c r="N1975" i="11"/>
  <c r="N2087" i="11"/>
  <c r="N2199" i="11"/>
  <c r="N2327" i="11"/>
  <c r="N2423" i="11"/>
  <c r="N2535" i="11"/>
  <c r="N140" i="11"/>
  <c r="N715" i="11"/>
  <c r="N971" i="11"/>
  <c r="N1243" i="11"/>
  <c r="N1355" i="11"/>
  <c r="N1467" i="11"/>
  <c r="N1595" i="11"/>
  <c r="N1691" i="11"/>
  <c r="N1803" i="11"/>
  <c r="N1931" i="11"/>
  <c r="N2043" i="11"/>
  <c r="N2139" i="11"/>
  <c r="N225" i="11"/>
  <c r="N723" i="11"/>
  <c r="N1027" i="11"/>
  <c r="N1263" i="11"/>
  <c r="N1359" i="11"/>
  <c r="N1471" i="11"/>
  <c r="N1599" i="11"/>
  <c r="N1711" i="11"/>
  <c r="N1807" i="11"/>
  <c r="N1935" i="11"/>
  <c r="N2047" i="11"/>
  <c r="N2159" i="11"/>
  <c r="N398" i="11"/>
  <c r="N739" i="11"/>
  <c r="N1035" i="11"/>
  <c r="N1267" i="11"/>
  <c r="N1379" i="11"/>
  <c r="N1475" i="11"/>
  <c r="N1603" i="11"/>
  <c r="N1715" i="11"/>
  <c r="N1827" i="11"/>
  <c r="N1955" i="11"/>
  <c r="N2051" i="11"/>
  <c r="N2275" i="11"/>
  <c r="N2447" i="11"/>
  <c r="N2587" i="11"/>
  <c r="N2683" i="11"/>
  <c r="N2811" i="11"/>
  <c r="N2923" i="11"/>
  <c r="N3035" i="11"/>
  <c r="N3163" i="11"/>
  <c r="N3259" i="11"/>
  <c r="N33" i="11"/>
  <c r="N558" i="11"/>
  <c r="N782" i="11"/>
  <c r="N2195" i="11"/>
  <c r="N2367" i="11"/>
  <c r="N2515" i="11"/>
  <c r="N2639" i="11"/>
  <c r="N2767" i="11"/>
  <c r="N2863" i="11"/>
  <c r="N2975" i="11"/>
  <c r="N3103" i="11"/>
  <c r="N3215" i="11"/>
  <c r="N3311" i="11"/>
  <c r="N413" i="11"/>
  <c r="N662" i="11"/>
  <c r="N2223" i="11"/>
  <c r="N2395" i="11"/>
  <c r="N2523" i="11"/>
  <c r="N2643" i="11"/>
  <c r="N2771" i="11"/>
  <c r="N2883" i="11"/>
  <c r="N2979" i="11"/>
  <c r="N3107" i="11"/>
  <c r="N3219" i="11"/>
  <c r="N3331" i="11"/>
  <c r="N466" i="11"/>
  <c r="N670" i="11"/>
  <c r="N2251" i="11"/>
  <c r="N2419" i="11"/>
  <c r="N2567" i="11"/>
  <c r="N2663" i="11"/>
  <c r="N2791" i="11"/>
  <c r="N2903" i="11"/>
  <c r="N3015" i="11"/>
  <c r="N3143" i="11"/>
  <c r="N3239" i="11"/>
  <c r="N233" i="11"/>
  <c r="N926" i="11"/>
  <c r="N1150" i="11"/>
  <c r="N1240" i="11"/>
  <c r="N1336" i="11"/>
  <c r="N1416" i="11"/>
  <c r="N1496" i="11"/>
  <c r="N1592" i="11"/>
  <c r="N1672" i="11"/>
  <c r="N1752" i="11"/>
  <c r="N1848" i="11"/>
  <c r="N1928" i="11"/>
  <c r="N996" i="11"/>
  <c r="N1016" i="11"/>
  <c r="N588" i="11"/>
  <c r="N205" i="11"/>
  <c r="N608" i="11"/>
  <c r="N172" i="11"/>
  <c r="N977" i="11"/>
  <c r="N891" i="11"/>
  <c r="N581" i="11"/>
  <c r="N1029" i="11"/>
  <c r="N417" i="11"/>
  <c r="N905" i="11"/>
  <c r="N223" i="11"/>
  <c r="N765" i="11"/>
  <c r="N139" i="11"/>
  <c r="N619" i="11"/>
  <c r="N1431" i="11"/>
  <c r="N1895" i="11"/>
  <c r="N2343" i="11"/>
  <c r="N755" i="11"/>
  <c r="N1499" i="11"/>
  <c r="N1947" i="11"/>
  <c r="N771" i="11"/>
  <c r="N1519" i="11"/>
  <c r="N1967" i="11"/>
  <c r="N819" i="11"/>
  <c r="N1523" i="11"/>
  <c r="N1971" i="11"/>
  <c r="N2603" i="11"/>
  <c r="N3003" i="11"/>
  <c r="N3243" i="11"/>
  <c r="N445" i="11"/>
  <c r="N2175" i="11"/>
  <c r="N2495" i="11"/>
  <c r="N2719" i="11"/>
  <c r="N2959" i="11"/>
  <c r="N3183" i="11"/>
  <c r="N289" i="11"/>
  <c r="N2179" i="11"/>
  <c r="N2499" i="11"/>
  <c r="N2723" i="11"/>
  <c r="N2963" i="11"/>
  <c r="N3203" i="11"/>
  <c r="N319" i="11"/>
  <c r="N2227" i="11"/>
  <c r="N2527" i="11"/>
  <c r="N2759" i="11"/>
  <c r="N2983" i="11"/>
  <c r="N3223" i="11"/>
  <c r="N822" i="11"/>
  <c r="N1224" i="11"/>
  <c r="N1400" i="11"/>
  <c r="N1560" i="11"/>
  <c r="N1736" i="11"/>
  <c r="N1912" i="11"/>
  <c r="N2040" i="11"/>
  <c r="N2168" i="11"/>
  <c r="N2264" i="11"/>
  <c r="N2376" i="11"/>
  <c r="N2504" i="11"/>
  <c r="N2584" i="11"/>
  <c r="N2680" i="11"/>
  <c r="N2760" i="11"/>
  <c r="N2840" i="11"/>
  <c r="N2936" i="11"/>
  <c r="N3016" i="11"/>
  <c r="N3096" i="11"/>
  <c r="N3192" i="11"/>
  <c r="N3272" i="11"/>
  <c r="N3352" i="11"/>
  <c r="N631" i="11"/>
  <c r="N951" i="11"/>
  <c r="N518" i="11"/>
  <c r="N902" i="11"/>
  <c r="N1062" i="11"/>
  <c r="N1196" i="11"/>
  <c r="N1292" i="11"/>
  <c r="N1372" i="11"/>
  <c r="N1452" i="11"/>
  <c r="N1548" i="11"/>
  <c r="N1628" i="11"/>
  <c r="N1708" i="11"/>
  <c r="N1804" i="11"/>
  <c r="N1884" i="11"/>
  <c r="N1964" i="11"/>
  <c r="N2060" i="11"/>
  <c r="N2140" i="11"/>
  <c r="N2220" i="11"/>
  <c r="N2316" i="11"/>
  <c r="N2396" i="11"/>
  <c r="N2476" i="11"/>
  <c r="N2572" i="11"/>
  <c r="N2652" i="11"/>
  <c r="N2732" i="11"/>
  <c r="N2828" i="11"/>
  <c r="N2908" i="11"/>
  <c r="N2988" i="11"/>
  <c r="N3084" i="11"/>
  <c r="N3164" i="11"/>
  <c r="N3244" i="11"/>
  <c r="N3340" i="11"/>
  <c r="N519" i="11"/>
  <c r="N839" i="11"/>
  <c r="N1197" i="11"/>
  <c r="N678" i="11"/>
  <c r="N910" i="11"/>
  <c r="N1102" i="11"/>
  <c r="N1216" i="11"/>
  <c r="N1280" i="11"/>
  <c r="N1344" i="11"/>
  <c r="N1408" i="11"/>
  <c r="N1472" i="11"/>
  <c r="N1536" i="11"/>
  <c r="N1600" i="11"/>
  <c r="N1664" i="11"/>
  <c r="N1728" i="11"/>
  <c r="N1792" i="11"/>
  <c r="N1856" i="11"/>
  <c r="N1920" i="11"/>
  <c r="N1984" i="11"/>
  <c r="N2048" i="11"/>
  <c r="N2112" i="11"/>
  <c r="N2176" i="11"/>
  <c r="N2240" i="11"/>
  <c r="N2304" i="11"/>
  <c r="N2368" i="11"/>
  <c r="N2432" i="11"/>
  <c r="N2496" i="11"/>
  <c r="N2560" i="11"/>
  <c r="N2624" i="11"/>
  <c r="N2688" i="11"/>
  <c r="N2752" i="11"/>
  <c r="N2816" i="11"/>
  <c r="N2880" i="11"/>
  <c r="N2944" i="11"/>
  <c r="N3008" i="11"/>
  <c r="N3072" i="11"/>
  <c r="N3136" i="11"/>
  <c r="N3200" i="11"/>
  <c r="N3264" i="11"/>
  <c r="N3328" i="11"/>
  <c r="N372" i="11"/>
  <c r="N663" i="11"/>
  <c r="N919" i="11"/>
  <c r="N434" i="11"/>
  <c r="N806" i="11"/>
  <c r="N950" i="11"/>
  <c r="N1078" i="11"/>
  <c r="N1188" i="11"/>
  <c r="N1252" i="11"/>
  <c r="N1316" i="11"/>
  <c r="N1380" i="11"/>
  <c r="N1444" i="11"/>
  <c r="N1508" i="11"/>
  <c r="N1572" i="11"/>
  <c r="N1636" i="11"/>
  <c r="N1700" i="11"/>
  <c r="N1764" i="11"/>
  <c r="N1828" i="11"/>
  <c r="N1892" i="11"/>
  <c r="N1956" i="11"/>
  <c r="N2020" i="11"/>
  <c r="N2084" i="11"/>
  <c r="N2148" i="11"/>
  <c r="N2212" i="11"/>
  <c r="N2276" i="11"/>
  <c r="N2340" i="11"/>
  <c r="N2404" i="11"/>
  <c r="N2468" i="11"/>
  <c r="N2532" i="11"/>
  <c r="N2596" i="11"/>
  <c r="N2660" i="11"/>
  <c r="N2724" i="11"/>
  <c r="N2788" i="11"/>
  <c r="N2852" i="11"/>
  <c r="N2916" i="11"/>
  <c r="N2980" i="11"/>
  <c r="N3044" i="11"/>
  <c r="N3108" i="11"/>
  <c r="N3172" i="11"/>
  <c r="N3236" i="11"/>
  <c r="N3300" i="11"/>
  <c r="N12" i="11"/>
  <c r="N1173" i="11"/>
  <c r="N1317" i="11"/>
  <c r="N1445" i="11"/>
  <c r="N1573" i="11"/>
  <c r="N1701" i="11"/>
  <c r="N1829" i="11"/>
  <c r="N1957" i="11"/>
  <c r="N2085" i="11"/>
  <c r="N2213" i="11"/>
  <c r="N2341" i="11"/>
  <c r="N2469" i="11"/>
  <c r="N2597" i="11"/>
  <c r="N2725" i="11"/>
  <c r="N2853" i="11"/>
  <c r="N2981" i="11"/>
  <c r="N3109" i="11"/>
  <c r="N3237" i="11"/>
  <c r="N3364" i="11"/>
  <c r="N3428" i="11"/>
  <c r="N3492" i="11"/>
  <c r="N504" i="11"/>
  <c r="N762" i="11"/>
  <c r="N1018" i="11"/>
  <c r="N1222" i="11"/>
  <c r="N1350" i="11"/>
  <c r="N1478" i="11"/>
  <c r="N1606" i="11"/>
  <c r="N1734" i="11"/>
  <c r="N1862" i="11"/>
  <c r="N1990" i="11"/>
  <c r="N2118" i="11"/>
  <c r="N2246" i="11"/>
  <c r="N2374" i="11"/>
  <c r="N2502" i="11"/>
  <c r="N2630" i="11"/>
  <c r="N2758" i="11"/>
  <c r="N2886" i="11"/>
  <c r="N3014" i="11"/>
  <c r="N3142" i="11"/>
  <c r="N3270" i="11"/>
  <c r="N3381" i="11"/>
  <c r="N3445" i="11"/>
  <c r="N871" i="11"/>
  <c r="N1261" i="11"/>
  <c r="N1389" i="11"/>
  <c r="N1517" i="11"/>
  <c r="N1645" i="11"/>
  <c r="N1773" i="11"/>
  <c r="N1901" i="11"/>
  <c r="N2029" i="11"/>
  <c r="N2157" i="11"/>
  <c r="N2285" i="11"/>
  <c r="N2413" i="11"/>
  <c r="N2541" i="11"/>
  <c r="N2669" i="11"/>
  <c r="N2797" i="11"/>
  <c r="N2925" i="11"/>
  <c r="N3053" i="11"/>
  <c r="N3181" i="11"/>
  <c r="N3309" i="11"/>
  <c r="N3400" i="11"/>
  <c r="N3464" i="11"/>
  <c r="N354" i="11"/>
  <c r="N650" i="11"/>
  <c r="N906" i="11"/>
  <c r="N1162" i="11"/>
  <c r="N1294" i="11"/>
  <c r="N1422" i="11"/>
  <c r="N1550" i="11"/>
  <c r="N1678" i="11"/>
  <c r="N1806" i="11"/>
  <c r="N1934" i="11"/>
  <c r="N2062" i="11"/>
  <c r="N2190" i="11"/>
  <c r="N2318" i="11"/>
  <c r="N2446" i="11"/>
  <c r="N2574" i="11"/>
  <c r="N2702" i="11"/>
  <c r="N2830" i="11"/>
  <c r="N2958" i="11"/>
  <c r="N3086" i="11"/>
  <c r="N3214" i="11"/>
  <c r="N3342" i="11"/>
  <c r="N3417" i="11"/>
  <c r="N679" i="11"/>
  <c r="N1237" i="11"/>
  <c r="N1365" i="11"/>
  <c r="N1493" i="11"/>
  <c r="N1621" i="11"/>
  <c r="N1749" i="11"/>
  <c r="N1877" i="11"/>
  <c r="N2005" i="11"/>
  <c r="N2133" i="11"/>
  <c r="N2261" i="11"/>
  <c r="N2389" i="11"/>
  <c r="N2517" i="11"/>
  <c r="N2645" i="11"/>
  <c r="N2773" i="11"/>
  <c r="N2901" i="11"/>
  <c r="N3029" i="11"/>
  <c r="N3157" i="11"/>
  <c r="N3285" i="11"/>
  <c r="N3388" i="11"/>
  <c r="N3452" i="11"/>
  <c r="N191" i="11"/>
  <c r="N602" i="11"/>
  <c r="N858" i="11"/>
  <c r="N1114" i="11"/>
  <c r="N1270" i="11"/>
  <c r="N1398" i="11"/>
  <c r="N1526" i="11"/>
  <c r="N1654" i="11"/>
  <c r="N1782" i="11"/>
  <c r="N1910" i="11"/>
  <c r="N2038" i="11"/>
  <c r="N2166" i="11"/>
  <c r="N2294" i="11"/>
  <c r="N2422" i="11"/>
  <c r="N2550" i="11"/>
  <c r="N2678" i="11"/>
  <c r="N2806" i="11"/>
  <c r="N2934" i="11"/>
  <c r="N3062" i="11"/>
  <c r="N3190" i="11"/>
  <c r="N3318" i="11"/>
  <c r="N478" i="11"/>
  <c r="N1205" i="11"/>
  <c r="N1341" i="11"/>
  <c r="N1469" i="11"/>
  <c r="N1597" i="11"/>
  <c r="N1725" i="11"/>
  <c r="N1853" i="11"/>
  <c r="N1981" i="11"/>
  <c r="N2109" i="11"/>
  <c r="N2237" i="11"/>
  <c r="N2365" i="11"/>
  <c r="N2493" i="11"/>
  <c r="N2621" i="11"/>
  <c r="N2749" i="11"/>
  <c r="N2877" i="11"/>
  <c r="N3005" i="11"/>
  <c r="N3133" i="11"/>
  <c r="N3261" i="11"/>
  <c r="N3376" i="11"/>
  <c r="N3440" i="11"/>
  <c r="N20" i="11"/>
  <c r="N554" i="11"/>
  <c r="N810" i="11"/>
  <c r="N1066" i="11"/>
  <c r="N1246" i="11"/>
  <c r="N1374" i="11"/>
  <c r="N1502" i="11"/>
  <c r="N1630" i="11"/>
  <c r="N1758" i="11"/>
  <c r="N1886" i="11"/>
  <c r="N2014" i="11"/>
  <c r="N2142" i="11"/>
  <c r="N2270" i="11"/>
  <c r="N2398" i="11"/>
  <c r="N2526" i="11"/>
  <c r="N2654" i="11"/>
  <c r="N2782" i="11"/>
  <c r="N2910" i="11"/>
  <c r="N3038" i="11"/>
  <c r="N3166" i="11"/>
  <c r="N3294" i="11"/>
  <c r="N3393" i="11"/>
  <c r="N3469" i="11"/>
  <c r="N382" i="11"/>
  <c r="N671" i="11"/>
  <c r="N927" i="11"/>
  <c r="N275" i="11"/>
  <c r="N301" i="11"/>
  <c r="N307" i="11"/>
  <c r="N764" i="11"/>
  <c r="N415" i="11"/>
  <c r="N768" i="11"/>
  <c r="N449" i="11"/>
  <c r="N1153" i="11"/>
  <c r="N1191" i="11"/>
  <c r="N693" i="11"/>
  <c r="N1141" i="11"/>
  <c r="N569" i="11"/>
  <c r="N1017" i="11"/>
  <c r="N401" i="11"/>
  <c r="N893" i="11"/>
  <c r="N309" i="11"/>
  <c r="N875" i="11"/>
  <c r="N1559" i="11"/>
  <c r="N2007" i="11"/>
  <c r="N2455" i="11"/>
  <c r="N1099" i="11"/>
  <c r="N1611" i="11"/>
  <c r="N2059" i="11"/>
  <c r="N1107" i="11"/>
  <c r="N1615" i="11"/>
  <c r="N2063" i="11"/>
  <c r="N1163" i="11"/>
  <c r="N1635" i="11"/>
  <c r="N2171" i="11"/>
  <c r="N2731" i="11"/>
  <c r="N3067" i="11"/>
  <c r="N3291" i="11"/>
  <c r="N590" i="11"/>
  <c r="N2259" i="11"/>
  <c r="N2539" i="11"/>
  <c r="N2783" i="11"/>
  <c r="N3023" i="11"/>
  <c r="N3231" i="11"/>
  <c r="N498" i="11"/>
  <c r="N2267" i="11"/>
  <c r="N2563" i="11"/>
  <c r="N2787" i="11"/>
  <c r="N3027" i="11"/>
  <c r="N3235" i="11"/>
  <c r="N509" i="11"/>
  <c r="N2315" i="11"/>
  <c r="N2583" i="11"/>
  <c r="N2823" i="11"/>
  <c r="N3047" i="11"/>
  <c r="N3271" i="11"/>
  <c r="N958" i="11"/>
  <c r="N1272" i="11"/>
  <c r="N1432" i="11"/>
  <c r="N1608" i="11"/>
  <c r="N1784" i="11"/>
  <c r="N1944" i="11"/>
  <c r="N2072" i="11"/>
  <c r="N2184" i="11"/>
  <c r="N2296" i="11"/>
  <c r="N2424" i="11"/>
  <c r="N2520" i="11"/>
  <c r="N2616" i="11"/>
  <c r="N2696" i="11"/>
  <c r="N2776" i="11"/>
  <c r="N2872" i="11"/>
  <c r="N2952" i="11"/>
  <c r="N3032" i="11"/>
  <c r="N3128" i="11"/>
  <c r="N3208" i="11"/>
  <c r="N3288" i="11"/>
  <c r="N297" i="11"/>
  <c r="N695" i="11"/>
  <c r="N1015" i="11"/>
  <c r="N742" i="11"/>
  <c r="N934" i="11"/>
  <c r="N1094" i="11"/>
  <c r="N1228" i="11"/>
  <c r="N1308" i="11"/>
  <c r="N1388" i="11"/>
  <c r="N1484" i="11"/>
  <c r="N1564" i="11"/>
  <c r="N1644" i="11"/>
  <c r="N1740" i="11"/>
  <c r="N1820" i="11"/>
  <c r="N1900" i="11"/>
  <c r="N1996" i="11"/>
  <c r="N2076" i="11"/>
  <c r="N2156" i="11"/>
  <c r="N2252" i="11"/>
  <c r="N2332" i="11"/>
  <c r="N2412" i="11"/>
  <c r="N2508" i="11"/>
  <c r="N2588" i="11"/>
  <c r="N2668" i="11"/>
  <c r="N2764" i="11"/>
  <c r="N2844" i="11"/>
  <c r="N2924" i="11"/>
  <c r="N3020" i="11"/>
  <c r="N3100" i="11"/>
  <c r="N3180" i="11"/>
  <c r="N3276" i="11"/>
  <c r="N3356" i="11"/>
  <c r="N583" i="11"/>
  <c r="N967" i="11"/>
  <c r="N1229" i="11"/>
  <c r="N758" i="11"/>
  <c r="N974" i="11"/>
  <c r="N1134" i="11"/>
  <c r="N1232" i="11"/>
  <c r="N1296" i="11"/>
  <c r="N1360" i="11"/>
  <c r="N1424" i="11"/>
  <c r="N1488" i="11"/>
  <c r="N1552" i="11"/>
  <c r="N1616" i="11"/>
  <c r="N1680" i="11"/>
  <c r="N1744" i="11"/>
  <c r="N1808" i="11"/>
  <c r="N1872" i="11"/>
  <c r="N1936" i="11"/>
  <c r="N2000" i="11"/>
  <c r="N2064" i="11"/>
  <c r="N2128" i="11"/>
  <c r="N2192" i="11"/>
  <c r="N2256" i="11"/>
  <c r="N2320" i="11"/>
  <c r="N2384" i="11"/>
  <c r="N2448" i="11"/>
  <c r="N2512" i="11"/>
  <c r="N2576" i="11"/>
  <c r="N2640" i="11"/>
  <c r="N2704" i="11"/>
  <c r="N2768" i="11"/>
  <c r="N2832" i="11"/>
  <c r="N2896" i="11"/>
  <c r="N2960" i="11"/>
  <c r="N3024" i="11"/>
  <c r="N3088" i="11"/>
  <c r="N3152" i="11"/>
  <c r="N3216" i="11"/>
  <c r="N3280" i="11"/>
  <c r="N3344" i="11"/>
  <c r="N457" i="11"/>
  <c r="N727" i="11"/>
  <c r="N983" i="11"/>
  <c r="N582" i="11"/>
  <c r="N854" i="11"/>
  <c r="N982" i="11"/>
  <c r="N1110" i="11"/>
  <c r="N1204" i="11"/>
  <c r="N1268" i="11"/>
  <c r="N1332" i="11"/>
  <c r="N1396" i="11"/>
  <c r="N1460" i="11"/>
  <c r="N1524" i="11"/>
  <c r="N1588" i="11"/>
  <c r="N1652" i="11"/>
  <c r="N1716" i="11"/>
  <c r="N1780" i="11"/>
  <c r="N1844" i="11"/>
  <c r="N1908" i="11"/>
  <c r="N1972" i="11"/>
  <c r="N2036" i="11"/>
  <c r="N2100" i="11"/>
  <c r="N2164" i="11"/>
  <c r="N2228" i="11"/>
  <c r="N2292" i="11"/>
  <c r="N2356" i="11"/>
  <c r="N2420" i="11"/>
  <c r="N2484" i="11"/>
  <c r="N2548" i="11"/>
  <c r="N2612" i="11"/>
  <c r="N2676" i="11"/>
  <c r="N2740" i="11"/>
  <c r="N2804" i="11"/>
  <c r="N2868" i="11"/>
  <c r="N2932" i="11"/>
  <c r="N2996" i="11"/>
  <c r="N3060" i="11"/>
  <c r="N3124" i="11"/>
  <c r="N3188" i="11"/>
  <c r="N3252" i="11"/>
  <c r="N3316" i="11"/>
  <c r="N551" i="11"/>
  <c r="N1213" i="11"/>
  <c r="N1349" i="11"/>
  <c r="N1477" i="11"/>
  <c r="N1605" i="11"/>
  <c r="N1733" i="11"/>
  <c r="N1861" i="11"/>
  <c r="N1989" i="11"/>
  <c r="N2117" i="11"/>
  <c r="N2245" i="11"/>
  <c r="N2373" i="11"/>
  <c r="N2501" i="11"/>
  <c r="N2629" i="11"/>
  <c r="N2757" i="11"/>
  <c r="N2885" i="11"/>
  <c r="N3013" i="11"/>
  <c r="N3141" i="11"/>
  <c r="N3269" i="11"/>
  <c r="N3380" i="11"/>
  <c r="N3444" i="11"/>
  <c r="N76" i="11"/>
  <c r="N570" i="11"/>
  <c r="N826" i="11"/>
  <c r="N1082" i="11"/>
  <c r="N1254" i="11"/>
  <c r="N1382" i="11"/>
  <c r="N1510" i="11"/>
  <c r="N1638" i="11"/>
  <c r="N1766" i="11"/>
  <c r="N1894" i="11"/>
  <c r="N2022" i="11"/>
  <c r="N2150" i="11"/>
  <c r="N2278" i="11"/>
  <c r="N2406" i="11"/>
  <c r="N2534" i="11"/>
  <c r="N2662" i="11"/>
  <c r="N2790" i="11"/>
  <c r="N2918" i="11"/>
  <c r="N3046" i="11"/>
  <c r="N3174" i="11"/>
  <c r="N3302" i="11"/>
  <c r="N3397" i="11"/>
  <c r="N3461" i="11"/>
  <c r="N1111" i="11"/>
  <c r="N1293" i="11"/>
  <c r="N1421" i="11"/>
  <c r="N1549" i="11"/>
  <c r="N1677" i="11"/>
  <c r="N1805" i="11"/>
  <c r="N1933" i="11"/>
  <c r="N2061" i="11"/>
  <c r="N2189" i="11"/>
  <c r="N2317" i="11"/>
  <c r="N2445" i="11"/>
  <c r="N2573" i="11"/>
  <c r="N2701" i="11"/>
  <c r="N2829" i="11"/>
  <c r="N2957" i="11"/>
  <c r="N3085" i="11"/>
  <c r="N3213" i="11"/>
  <c r="N3341" i="11"/>
  <c r="N3416" i="11"/>
  <c r="N3480" i="11"/>
  <c r="N440" i="11"/>
  <c r="N714" i="11"/>
  <c r="N970" i="11"/>
  <c r="N1198" i="11"/>
  <c r="N1326" i="11"/>
  <c r="N1454" i="11"/>
  <c r="N1582" i="11"/>
  <c r="N1710" i="11"/>
  <c r="N1838" i="11"/>
  <c r="N1966" i="11"/>
  <c r="N2094" i="11"/>
  <c r="N2222" i="11"/>
  <c r="N2350" i="11"/>
  <c r="N2478" i="11"/>
  <c r="N2606" i="11"/>
  <c r="N2734" i="11"/>
  <c r="N2862" i="11"/>
  <c r="N2990" i="11"/>
  <c r="N3118" i="11"/>
  <c r="N3246" i="11"/>
  <c r="N3369" i="11"/>
  <c r="N3433" i="11"/>
  <c r="N935" i="11"/>
  <c r="N1269" i="11"/>
  <c r="N1397" i="11"/>
  <c r="N1525" i="11"/>
  <c r="N1653" i="11"/>
  <c r="N1781" i="11"/>
  <c r="N1909" i="11"/>
  <c r="N2037" i="11"/>
  <c r="N2165" i="11"/>
  <c r="N2293" i="11"/>
  <c r="N2421" i="11"/>
  <c r="N2549" i="11"/>
  <c r="N2677" i="11"/>
  <c r="N2805" i="11"/>
  <c r="N2933" i="11"/>
  <c r="N3061" i="11"/>
  <c r="N3189" i="11"/>
  <c r="N3317" i="11"/>
  <c r="N3404" i="11"/>
  <c r="N3468" i="11"/>
  <c r="N376" i="11"/>
  <c r="N666" i="11"/>
  <c r="N922" i="11"/>
  <c r="N1174" i="11"/>
  <c r="N1302" i="11"/>
  <c r="N1430" i="11"/>
  <c r="N1558" i="11"/>
  <c r="N1686" i="11"/>
  <c r="N1814" i="11"/>
  <c r="N1942" i="11"/>
  <c r="N2070" i="11"/>
  <c r="N2198" i="11"/>
  <c r="N2326" i="11"/>
  <c r="N2454" i="11"/>
  <c r="N2582" i="11"/>
  <c r="N2710" i="11"/>
  <c r="N2838" i="11"/>
  <c r="N2966" i="11"/>
  <c r="N3094" i="11"/>
  <c r="N3222" i="11"/>
  <c r="N3350" i="11"/>
  <c r="N743" i="11"/>
  <c r="N1245" i="11"/>
  <c r="N1373" i="11"/>
  <c r="N1501" i="11"/>
  <c r="N1629" i="11"/>
  <c r="N1757" i="11"/>
  <c r="N1885" i="11"/>
  <c r="N2013" i="11"/>
  <c r="N2141" i="11"/>
  <c r="N2269" i="11"/>
  <c r="N2397" i="11"/>
  <c r="N2525" i="11"/>
  <c r="N2653" i="11"/>
  <c r="N2781" i="11"/>
  <c r="N2909" i="11"/>
  <c r="N3037" i="11"/>
  <c r="N3165" i="11"/>
  <c r="N3293" i="11"/>
  <c r="N3392" i="11"/>
  <c r="N3456" i="11"/>
  <c r="N247" i="11"/>
  <c r="N618" i="11"/>
  <c r="N874" i="11"/>
  <c r="N1130" i="11"/>
  <c r="N1278" i="11"/>
  <c r="N1406" i="11"/>
  <c r="N1534" i="11"/>
  <c r="N1662" i="11"/>
  <c r="N1790" i="11"/>
  <c r="N1918" i="11"/>
  <c r="N2046" i="11"/>
  <c r="N2174" i="11"/>
  <c r="N2302" i="11"/>
  <c r="N2430" i="11"/>
  <c r="N2558" i="11"/>
  <c r="N2686" i="11"/>
  <c r="N2814" i="11"/>
  <c r="N2942" i="11"/>
  <c r="N3070" i="11"/>
  <c r="N3198" i="11"/>
  <c r="N3326" i="11"/>
  <c r="N3409" i="11"/>
  <c r="N3485" i="11"/>
  <c r="N468" i="11"/>
  <c r="N735" i="11"/>
  <c r="N991" i="11"/>
  <c r="N235" i="11"/>
  <c r="N241" i="11"/>
  <c r="N107" i="11"/>
  <c r="N940" i="11"/>
  <c r="N113" i="11"/>
  <c r="N944" i="11"/>
  <c r="N641" i="11"/>
  <c r="N260" i="11"/>
  <c r="N123" i="11"/>
  <c r="N789" i="11"/>
  <c r="N73" i="11"/>
  <c r="N681" i="11"/>
  <c r="N1129" i="11"/>
  <c r="N557" i="11"/>
  <c r="N1005" i="11"/>
  <c r="N452" i="11"/>
  <c r="N1195" i="11"/>
  <c r="N1655" i="11"/>
  <c r="N2103" i="11"/>
  <c r="N103" i="11"/>
  <c r="N1275" i="11"/>
  <c r="N1723" i="11"/>
  <c r="N124" i="11"/>
  <c r="N1279" i="11"/>
  <c r="N1727" i="11"/>
  <c r="N132" i="11"/>
  <c r="N1283" i="11"/>
  <c r="N1731" i="11"/>
  <c r="N2339" i="11"/>
  <c r="N2843" i="11"/>
  <c r="N3115" i="11"/>
  <c r="N3355" i="11"/>
  <c r="N718" i="11"/>
  <c r="N2323" i="11"/>
  <c r="N2607" i="11"/>
  <c r="N2847" i="11"/>
  <c r="N3055" i="11"/>
  <c r="N3295" i="11"/>
  <c r="N630" i="11"/>
  <c r="N2331" i="11"/>
  <c r="N2627" i="11"/>
  <c r="N2851" i="11"/>
  <c r="N3075" i="11"/>
  <c r="N3299" i="11"/>
  <c r="N638" i="11"/>
  <c r="N2355" i="11"/>
  <c r="N2647" i="11"/>
  <c r="N2887" i="11"/>
  <c r="N3095" i="11"/>
  <c r="N3335" i="11"/>
  <c r="N1086" i="11"/>
  <c r="N1304" i="11"/>
  <c r="N1480" i="11"/>
  <c r="N1656" i="11"/>
  <c r="N1816" i="11"/>
  <c r="N1992" i="11"/>
  <c r="N2104" i="11"/>
  <c r="N2200" i="11"/>
  <c r="N2328" i="11"/>
  <c r="N2440" i="11"/>
  <c r="N2552" i="11"/>
  <c r="N2632" i="11"/>
  <c r="N2712" i="11"/>
  <c r="N2808" i="11"/>
  <c r="N2888" i="11"/>
  <c r="N2968" i="11"/>
  <c r="N3064" i="11"/>
  <c r="N3144" i="11"/>
  <c r="N3224" i="11"/>
  <c r="N3320" i="11"/>
  <c r="N414" i="11"/>
  <c r="N759" i="11"/>
  <c r="N3351" i="11"/>
  <c r="N790" i="11"/>
  <c r="N966" i="11"/>
  <c r="N1158" i="11"/>
  <c r="N1244" i="11"/>
  <c r="N1324" i="11"/>
  <c r="N1420" i="11"/>
  <c r="N1500" i="11"/>
  <c r="N1580" i="11"/>
  <c r="N1676" i="11"/>
  <c r="N1756" i="11"/>
  <c r="N1836" i="11"/>
  <c r="N1932" i="11"/>
  <c r="N2012" i="11"/>
  <c r="N2092" i="11"/>
  <c r="N2188" i="11"/>
  <c r="N2268" i="11"/>
  <c r="N2348" i="11"/>
  <c r="N2444" i="11"/>
  <c r="N2524" i="11"/>
  <c r="N2604" i="11"/>
  <c r="N2700" i="11"/>
  <c r="N2780" i="11"/>
  <c r="N2860" i="11"/>
  <c r="N2956" i="11"/>
  <c r="N3036" i="11"/>
  <c r="N3116" i="11"/>
  <c r="N3212" i="11"/>
  <c r="N3292" i="11"/>
  <c r="N127" i="11"/>
  <c r="N711" i="11"/>
  <c r="N1031" i="11"/>
  <c r="N5" i="11"/>
  <c r="N838" i="11"/>
  <c r="N1006" i="11"/>
  <c r="N1166" i="11"/>
  <c r="N1248" i="11"/>
  <c r="N1312" i="11"/>
  <c r="N1376" i="11"/>
  <c r="N1440" i="11"/>
  <c r="N1504" i="11"/>
  <c r="N1568" i="11"/>
  <c r="N1632" i="11"/>
  <c r="N1696" i="11"/>
  <c r="N1760" i="11"/>
  <c r="N1824" i="11"/>
  <c r="N1888" i="11"/>
  <c r="N1952" i="11"/>
  <c r="N2016" i="11"/>
  <c r="N2080" i="11"/>
  <c r="N2144" i="11"/>
  <c r="N2208" i="11"/>
  <c r="N2272" i="11"/>
  <c r="N2336" i="11"/>
  <c r="N2400" i="11"/>
  <c r="N2464" i="11"/>
  <c r="N2528" i="11"/>
  <c r="N2592" i="11"/>
  <c r="N2656" i="11"/>
  <c r="N2720" i="11"/>
  <c r="N2784" i="11"/>
  <c r="N2848" i="11"/>
  <c r="N2912" i="11"/>
  <c r="N2976" i="11"/>
  <c r="N3040" i="11"/>
  <c r="N3104" i="11"/>
  <c r="N3168" i="11"/>
  <c r="N3232" i="11"/>
  <c r="N3296" i="11"/>
  <c r="N3360" i="11"/>
  <c r="N535" i="11"/>
  <c r="N791" i="11"/>
  <c r="N1047" i="11"/>
  <c r="N710" i="11"/>
  <c r="N886" i="11"/>
  <c r="N1014" i="11"/>
  <c r="N1142" i="11"/>
  <c r="N1220" i="11"/>
  <c r="N1284" i="11"/>
  <c r="N1348" i="11"/>
  <c r="N1412" i="11"/>
  <c r="N1476" i="11"/>
  <c r="N1540" i="11"/>
  <c r="N1604" i="11"/>
  <c r="N1668" i="11"/>
  <c r="N1732" i="11"/>
  <c r="N1796" i="11"/>
  <c r="N1860" i="11"/>
  <c r="N1924" i="11"/>
  <c r="N1988" i="11"/>
  <c r="N2052" i="11"/>
  <c r="N2116" i="11"/>
  <c r="N2180" i="11"/>
  <c r="N2244" i="11"/>
  <c r="N2308" i="11"/>
  <c r="N2372" i="11"/>
  <c r="N2436" i="11"/>
  <c r="N2500" i="11"/>
  <c r="N2564" i="11"/>
  <c r="N2628" i="11"/>
  <c r="N2692" i="11"/>
  <c r="N2756" i="11"/>
  <c r="N2820" i="11"/>
  <c r="N2884" i="11"/>
  <c r="N2948" i="11"/>
  <c r="N3012" i="11"/>
  <c r="N3076" i="11"/>
  <c r="N3140" i="11"/>
  <c r="N3204" i="11"/>
  <c r="N3268" i="11"/>
  <c r="N3332" i="11"/>
  <c r="N807" i="11"/>
  <c r="N1253" i="11"/>
  <c r="N1381" i="11"/>
  <c r="N1509" i="11"/>
  <c r="N1637" i="11"/>
  <c r="N1765" i="11"/>
  <c r="N1893" i="11"/>
  <c r="N2021" i="11"/>
  <c r="N2149" i="11"/>
  <c r="N2277" i="11"/>
  <c r="N2405" i="11"/>
  <c r="N2533" i="11"/>
  <c r="N2661" i="11"/>
  <c r="N2789" i="11"/>
  <c r="N2917" i="11"/>
  <c r="N3045" i="11"/>
  <c r="N3173" i="11"/>
  <c r="N3301" i="11"/>
  <c r="N3396" i="11"/>
  <c r="N3460" i="11"/>
  <c r="N304" i="11"/>
  <c r="N634" i="11"/>
  <c r="N890" i="11"/>
  <c r="N1146" i="11"/>
  <c r="N1286" i="11"/>
  <c r="N1414" i="11"/>
  <c r="N1542" i="11"/>
  <c r="N1670" i="11"/>
  <c r="N1798" i="11"/>
  <c r="N1926" i="11"/>
  <c r="N2054" i="11"/>
  <c r="N2182" i="11"/>
  <c r="N2310" i="11"/>
  <c r="N2438" i="11"/>
  <c r="N2566" i="11"/>
  <c r="N2694" i="11"/>
  <c r="N2822" i="11"/>
  <c r="N2950" i="11"/>
  <c r="N3078" i="11"/>
  <c r="N3206" i="11"/>
  <c r="N3334" i="11"/>
  <c r="N3413" i="11"/>
  <c r="N240" i="11"/>
  <c r="N1181" i="11"/>
  <c r="N1325" i="11"/>
  <c r="N1453" i="11"/>
  <c r="N1581" i="11"/>
  <c r="N1709" i="11"/>
  <c r="N1837" i="11"/>
  <c r="N1965" i="11"/>
  <c r="N2093" i="11"/>
  <c r="N2221" i="11"/>
  <c r="N2349" i="11"/>
  <c r="N2477" i="11"/>
  <c r="N2605" i="11"/>
  <c r="N2733" i="11"/>
  <c r="N2861" i="11"/>
  <c r="N2989" i="11"/>
  <c r="N3117" i="11"/>
  <c r="N3245" i="11"/>
  <c r="N3368" i="11"/>
  <c r="N3432" i="11"/>
  <c r="N3496" i="11"/>
  <c r="N522" i="11"/>
  <c r="N778" i="11"/>
  <c r="N1034" i="11"/>
  <c r="N1230" i="11"/>
  <c r="N1358" i="11"/>
  <c r="N1486" i="11"/>
  <c r="N1614" i="11"/>
  <c r="N1742" i="11"/>
  <c r="N1870" i="11"/>
  <c r="N1998" i="11"/>
  <c r="N2126" i="11"/>
  <c r="N2254" i="11"/>
  <c r="N2382" i="11"/>
  <c r="N2510" i="11"/>
  <c r="N2638" i="11"/>
  <c r="N2766" i="11"/>
  <c r="N2894" i="11"/>
  <c r="N3022" i="11"/>
  <c r="N3150" i="11"/>
  <c r="N3278" i="11"/>
  <c r="N3385" i="11"/>
  <c r="N3449" i="11"/>
  <c r="N1127" i="11"/>
  <c r="N1301" i="11"/>
  <c r="N1429" i="11"/>
  <c r="N1557" i="11"/>
  <c r="N1685" i="11"/>
  <c r="N1813" i="11"/>
  <c r="N1941" i="11"/>
  <c r="N2069" i="11"/>
  <c r="N2197" i="11"/>
  <c r="N2325" i="11"/>
  <c r="N2453" i="11"/>
  <c r="N2581" i="11"/>
  <c r="N2709" i="11"/>
  <c r="N2837" i="11"/>
  <c r="N2965" i="11"/>
  <c r="N3093" i="11"/>
  <c r="N3221" i="11"/>
  <c r="N3349" i="11"/>
  <c r="N3420" i="11"/>
  <c r="N3484" i="11"/>
  <c r="N461" i="11"/>
  <c r="N730" i="11"/>
  <c r="N986" i="11"/>
  <c r="N1206" i="11"/>
  <c r="N1334" i="11"/>
  <c r="N1462" i="11"/>
  <c r="N1590" i="11"/>
  <c r="N1718" i="11"/>
  <c r="N1846" i="11"/>
  <c r="N1974" i="11"/>
  <c r="N2102" i="11"/>
  <c r="N2230" i="11"/>
  <c r="N2358" i="11"/>
  <c r="N2486" i="11"/>
  <c r="N2614" i="11"/>
  <c r="N2742" i="11"/>
  <c r="N2870" i="11"/>
  <c r="N2998" i="11"/>
  <c r="N3126" i="11"/>
  <c r="N3254" i="11"/>
  <c r="N3373" i="11"/>
  <c r="N999" i="11"/>
  <c r="N1277" i="11"/>
  <c r="N1405" i="11"/>
  <c r="N1533" i="11"/>
  <c r="N1661" i="11"/>
  <c r="N1789" i="11"/>
  <c r="N1917" i="11"/>
  <c r="N2045" i="11"/>
  <c r="N2173" i="11"/>
  <c r="N2301" i="11"/>
  <c r="N2429" i="11"/>
  <c r="N2557" i="11"/>
  <c r="N2685" i="11"/>
  <c r="N2813" i="11"/>
  <c r="N2941" i="11"/>
  <c r="N3069" i="11"/>
  <c r="N3197" i="11"/>
  <c r="N3325" i="11"/>
  <c r="N3408" i="11"/>
  <c r="N3472" i="11"/>
  <c r="N397" i="11"/>
  <c r="N682" i="11"/>
  <c r="N938" i="11"/>
  <c r="N1182" i="11"/>
  <c r="N1310" i="11"/>
  <c r="N1438" i="11"/>
  <c r="N1566" i="11"/>
  <c r="N1694" i="11"/>
  <c r="N1822" i="11"/>
  <c r="N1950" i="11"/>
  <c r="N2078" i="11"/>
  <c r="N2206" i="11"/>
  <c r="N1100" i="11"/>
  <c r="N539" i="11"/>
  <c r="N777" i="11"/>
  <c r="N267" i="11"/>
  <c r="N356" i="11"/>
  <c r="N1391" i="11"/>
  <c r="N1859" i="11"/>
  <c r="N360" i="11"/>
  <c r="N2895" i="11"/>
  <c r="N2415" i="11"/>
  <c r="N3363" i="11"/>
  <c r="N2919" i="11"/>
  <c r="N1352" i="11"/>
  <c r="N2008" i="11"/>
  <c r="N2456" i="11"/>
  <c r="N2824" i="11"/>
  <c r="N3160" i="11"/>
  <c r="N887" i="11"/>
  <c r="N1180" i="11"/>
  <c r="N1516" i="11"/>
  <c r="N1868" i="11"/>
  <c r="N2204" i="11"/>
  <c r="N2540" i="11"/>
  <c r="N2892" i="11"/>
  <c r="N3228" i="11"/>
  <c r="N1095" i="11"/>
  <c r="N1200" i="11"/>
  <c r="N1456" i="11"/>
  <c r="N1712" i="11"/>
  <c r="N1968" i="11"/>
  <c r="N2224" i="11"/>
  <c r="N2480" i="11"/>
  <c r="N2736" i="11"/>
  <c r="N2992" i="11"/>
  <c r="N3248" i="11"/>
  <c r="N855" i="11"/>
  <c r="N1046" i="11"/>
  <c r="N1364" i="11"/>
  <c r="N1620" i="11"/>
  <c r="N1876" i="11"/>
  <c r="N2132" i="11"/>
  <c r="N2388" i="11"/>
  <c r="N2644" i="11"/>
  <c r="N2900" i="11"/>
  <c r="N3156" i="11"/>
  <c r="N1063" i="11"/>
  <c r="N1669" i="11"/>
  <c r="N2181" i="11"/>
  <c r="N2693" i="11"/>
  <c r="N3205" i="11"/>
  <c r="N418" i="11"/>
  <c r="N1318" i="11"/>
  <c r="N1830" i="11"/>
  <c r="N2342" i="11"/>
  <c r="N2854" i="11"/>
  <c r="N3365" i="11"/>
  <c r="N1357" i="11"/>
  <c r="N1869" i="11"/>
  <c r="N2381" i="11"/>
  <c r="N2893" i="11"/>
  <c r="N3384" i="11"/>
  <c r="N842" i="11"/>
  <c r="N1518" i="11"/>
  <c r="N2030" i="11"/>
  <c r="N2542" i="11"/>
  <c r="N3054" i="11"/>
  <c r="N393" i="11"/>
  <c r="N1589" i="11"/>
  <c r="N2101" i="11"/>
  <c r="N2613" i="11"/>
  <c r="N3125" i="11"/>
  <c r="N3500" i="11"/>
  <c r="N1238" i="11"/>
  <c r="N1750" i="11"/>
  <c r="N2262" i="11"/>
  <c r="N2774" i="11"/>
  <c r="N3286" i="11"/>
  <c r="N1437" i="11"/>
  <c r="N1949" i="11"/>
  <c r="N2461" i="11"/>
  <c r="N2973" i="11"/>
  <c r="N3424" i="11"/>
  <c r="N1002" i="11"/>
  <c r="N1598" i="11"/>
  <c r="N2110" i="11"/>
  <c r="N2462" i="11"/>
  <c r="N2718" i="11"/>
  <c r="N2974" i="11"/>
  <c r="N3230" i="11"/>
  <c r="N3405" i="11"/>
  <c r="N543" i="11"/>
  <c r="N1055" i="11"/>
  <c r="N1241" i="11"/>
  <c r="N1369" i="11"/>
  <c r="N1497" i="11"/>
  <c r="N1625" i="11"/>
  <c r="N1753" i="11"/>
  <c r="N1881" i="11"/>
  <c r="N2009" i="11"/>
  <c r="N2137" i="11"/>
  <c r="N2265" i="11"/>
  <c r="N2393" i="11"/>
  <c r="N2521" i="11"/>
  <c r="N2649" i="11"/>
  <c r="N2777" i="11"/>
  <c r="N2905" i="11"/>
  <c r="N3033" i="11"/>
  <c r="N3161" i="11"/>
  <c r="N3289" i="11"/>
  <c r="N626" i="11"/>
  <c r="N1410" i="11"/>
  <c r="N1922" i="11"/>
  <c r="N2434" i="11"/>
  <c r="N2946" i="11"/>
  <c r="N3390" i="11"/>
  <c r="N429" i="11"/>
  <c r="N1322" i="11"/>
  <c r="N1834" i="11"/>
  <c r="N2346" i="11"/>
  <c r="N2858" i="11"/>
  <c r="N3367" i="11"/>
  <c r="N3495" i="11"/>
  <c r="N1722" i="11"/>
  <c r="N2714" i="11"/>
  <c r="N3451" i="11"/>
  <c r="N1106" i="11"/>
  <c r="N1650" i="11"/>
  <c r="N2162" i="11"/>
  <c r="N2674" i="11"/>
  <c r="N3186" i="11"/>
  <c r="N3421" i="11"/>
  <c r="N41" i="11"/>
  <c r="N559" i="11"/>
  <c r="N815" i="11"/>
  <c r="N1071" i="11"/>
  <c r="N1249" i="11"/>
  <c r="N1377" i="11"/>
  <c r="N1505" i="11"/>
  <c r="N1633" i="11"/>
  <c r="N1761" i="11"/>
  <c r="N1889" i="11"/>
  <c r="N2017" i="11"/>
  <c r="N2145" i="11"/>
  <c r="N2273" i="11"/>
  <c r="N2401" i="11"/>
  <c r="N2529" i="11"/>
  <c r="N2657" i="11"/>
  <c r="N2785" i="11"/>
  <c r="N2913" i="11"/>
  <c r="N3041" i="11"/>
  <c r="N3169" i="11"/>
  <c r="N3297" i="11"/>
  <c r="N690" i="11"/>
  <c r="N1442" i="11"/>
  <c r="N1954" i="11"/>
  <c r="N2466" i="11"/>
  <c r="N2978" i="11"/>
  <c r="N3398" i="11"/>
  <c r="N514" i="11"/>
  <c r="N1354" i="11"/>
  <c r="N1866" i="11"/>
  <c r="N2378" i="11"/>
  <c r="N2890" i="11"/>
  <c r="N3375" i="11"/>
  <c r="N386" i="11"/>
  <c r="N1786" i="11"/>
  <c r="N2778" i="11"/>
  <c r="N3477" i="11"/>
  <c r="N425" i="11"/>
  <c r="N703" i="11"/>
  <c r="N959" i="11"/>
  <c r="N1193" i="11"/>
  <c r="N1321" i="11"/>
  <c r="N1449" i="11"/>
  <c r="N1577" i="11"/>
  <c r="N1705" i="11"/>
  <c r="N1833" i="11"/>
  <c r="N1961" i="11"/>
  <c r="N2089" i="11"/>
  <c r="N2217" i="11"/>
  <c r="N2345" i="11"/>
  <c r="N2473" i="11"/>
  <c r="N2601" i="11"/>
  <c r="N2729" i="11"/>
  <c r="N2857" i="11"/>
  <c r="N2985" i="11"/>
  <c r="N3113" i="11"/>
  <c r="N3241" i="11"/>
  <c r="N3366" i="11"/>
  <c r="N1218" i="11"/>
  <c r="N1730" i="11"/>
  <c r="N2242" i="11"/>
  <c r="N2754" i="11"/>
  <c r="N3266" i="11"/>
  <c r="N3470" i="11"/>
  <c r="N1090" i="11"/>
  <c r="N1642" i="11"/>
  <c r="N2154" i="11"/>
  <c r="N2666" i="11"/>
  <c r="N3178" i="11"/>
  <c r="N3447" i="11"/>
  <c r="N1338" i="11"/>
  <c r="N2362" i="11"/>
  <c r="N3437" i="11"/>
  <c r="N155" i="11"/>
  <c r="N591" i="11"/>
  <c r="N847" i="11"/>
  <c r="N1103" i="11"/>
  <c r="N1265" i="11"/>
  <c r="N1393" i="11"/>
  <c r="N1521" i="11"/>
  <c r="N1649" i="11"/>
  <c r="N1777" i="11"/>
  <c r="N1905" i="11"/>
  <c r="N2033" i="11"/>
  <c r="N2161" i="11"/>
  <c r="N2289" i="11"/>
  <c r="N2417" i="11"/>
  <c r="N2545" i="11"/>
  <c r="N2673" i="11"/>
  <c r="N2801" i="11"/>
  <c r="N2929" i="11"/>
  <c r="N3057" i="11"/>
  <c r="N3185" i="11"/>
  <c r="N3313" i="11"/>
  <c r="N818" i="11"/>
  <c r="N1506" i="11"/>
  <c r="N2018" i="11"/>
  <c r="N2530" i="11"/>
  <c r="N3042" i="11"/>
  <c r="N3414" i="11"/>
  <c r="N642" i="11"/>
  <c r="N1418" i="11"/>
  <c r="N1930" i="11"/>
  <c r="N2442" i="11"/>
  <c r="N2954" i="11"/>
  <c r="N3391" i="11"/>
  <c r="N674" i="11"/>
  <c r="N1914" i="11"/>
  <c r="N2906" i="11"/>
  <c r="N3499" i="11"/>
  <c r="N1234" i="11"/>
  <c r="N1746" i="11"/>
  <c r="N2258" i="11"/>
  <c r="N2770" i="11"/>
  <c r="N3282" i="11"/>
  <c r="N658" i="11"/>
  <c r="N1938" i="11"/>
  <c r="N2962" i="11"/>
  <c r="N3466" i="11"/>
  <c r="N1498" i="11"/>
  <c r="N2554" i="11"/>
  <c r="N3427" i="11"/>
  <c r="N154" i="11"/>
  <c r="N230" i="11"/>
  <c r="N322" i="11"/>
  <c r="N66" i="11"/>
  <c r="N142" i="11"/>
  <c r="N3483" i="11"/>
  <c r="N1714" i="11"/>
  <c r="N2738" i="11"/>
  <c r="N3442" i="11"/>
  <c r="N1274" i="11"/>
  <c r="N2330" i="11"/>
  <c r="N3371" i="11"/>
  <c r="N202" i="11"/>
  <c r="N278" i="11"/>
  <c r="N22" i="11"/>
  <c r="N114" i="11"/>
  <c r="N190" i="11"/>
  <c r="N914" i="11"/>
  <c r="N3090" i="11"/>
  <c r="N1626" i="11"/>
  <c r="N3459" i="11"/>
  <c r="N198" i="11"/>
  <c r="N34" i="11"/>
  <c r="N978" i="11"/>
  <c r="N3122" i="11"/>
  <c r="N1690" i="11"/>
  <c r="N3475" i="11"/>
  <c r="N182" i="11"/>
  <c r="N18" i="11"/>
  <c r="N1298" i="11"/>
  <c r="N3346" i="11"/>
  <c r="N1882" i="11"/>
  <c r="N314" i="11"/>
  <c r="N134" i="11"/>
  <c r="N302" i="11"/>
  <c r="N1330" i="11"/>
  <c r="N3370" i="11"/>
  <c r="N1946" i="11"/>
  <c r="N298" i="11"/>
  <c r="N118" i="11"/>
  <c r="N286" i="11"/>
  <c r="N660" i="11"/>
  <c r="N405" i="11"/>
  <c r="N412" i="11"/>
  <c r="N52" i="11"/>
  <c r="N1319" i="11"/>
  <c r="N1371" i="11"/>
  <c r="N1855" i="11"/>
  <c r="N2467" i="11"/>
  <c r="N814" i="11"/>
  <c r="N3119" i="11"/>
  <c r="N2691" i="11"/>
  <c r="N2099" i="11"/>
  <c r="N3159" i="11"/>
  <c r="N1528" i="11"/>
  <c r="N2120" i="11"/>
  <c r="N2568" i="11"/>
  <c r="N2904" i="11"/>
  <c r="N3256" i="11"/>
  <c r="N345" i="11"/>
  <c r="N1260" i="11"/>
  <c r="N1612" i="11"/>
  <c r="N1948" i="11"/>
  <c r="N2284" i="11"/>
  <c r="N2636" i="11"/>
  <c r="N2972" i="11"/>
  <c r="N3308" i="11"/>
  <c r="N550" i="11"/>
  <c r="N1264" i="11"/>
  <c r="N1520" i="11"/>
  <c r="N1776" i="11"/>
  <c r="N2032" i="11"/>
  <c r="N2288" i="11"/>
  <c r="N2544" i="11"/>
  <c r="N2800" i="11"/>
  <c r="N3056" i="11"/>
  <c r="N3312" i="11"/>
  <c r="N119" i="11"/>
  <c r="N1171" i="11"/>
  <c r="N1428" i="11"/>
  <c r="N1684" i="11"/>
  <c r="N1940" i="11"/>
  <c r="N2196" i="11"/>
  <c r="N2452" i="11"/>
  <c r="N2708" i="11"/>
  <c r="N2964" i="11"/>
  <c r="N3220" i="11"/>
  <c r="N1285" i="11"/>
  <c r="N1797" i="11"/>
  <c r="N2309" i="11"/>
  <c r="N2821" i="11"/>
  <c r="N3333" i="11"/>
  <c r="N698" i="11"/>
  <c r="N1446" i="11"/>
  <c r="N1958" i="11"/>
  <c r="N2470" i="11"/>
  <c r="N2982" i="11"/>
  <c r="N3429" i="11"/>
  <c r="N1485" i="11"/>
  <c r="N1997" i="11"/>
  <c r="N2509" i="11"/>
  <c r="N3021" i="11"/>
  <c r="N3448" i="11"/>
  <c r="N1098" i="11"/>
  <c r="N1646" i="11"/>
  <c r="N2158" i="11"/>
  <c r="N2670" i="11"/>
  <c r="N3182" i="11"/>
  <c r="N1189" i="11"/>
  <c r="N1717" i="11"/>
  <c r="N2229" i="11"/>
  <c r="N2741" i="11"/>
  <c r="N3253" i="11"/>
  <c r="N538" i="11"/>
  <c r="N1366" i="11"/>
  <c r="N1878" i="11"/>
  <c r="N2390" i="11"/>
  <c r="N2902" i="11"/>
  <c r="N3389" i="11"/>
  <c r="N1565" i="11"/>
  <c r="N2077" i="11"/>
  <c r="N2589" i="11"/>
  <c r="N3101" i="11"/>
  <c r="N3488" i="11"/>
  <c r="N1214" i="11"/>
  <c r="N1726" i="11"/>
  <c r="N2238" i="11"/>
  <c r="N2494" i="11"/>
  <c r="N2750" i="11"/>
  <c r="N3006" i="11"/>
  <c r="N3262" i="11"/>
  <c r="N3441" i="11"/>
  <c r="N607" i="11"/>
  <c r="N1119" i="11"/>
  <c r="N1273" i="11"/>
  <c r="N1401" i="11"/>
  <c r="N1529" i="11"/>
  <c r="N1657" i="11"/>
  <c r="N1785" i="11"/>
  <c r="N1913" i="11"/>
  <c r="N2041" i="11"/>
  <c r="N2169" i="11"/>
  <c r="N2297" i="11"/>
  <c r="N2425" i="11"/>
  <c r="N2553" i="11"/>
  <c r="N2681" i="11"/>
  <c r="N2809" i="11"/>
  <c r="N2937" i="11"/>
  <c r="N3065" i="11"/>
  <c r="N3193" i="11"/>
  <c r="N3321" i="11"/>
  <c r="N882" i="11"/>
  <c r="N1538" i="11"/>
  <c r="N2050" i="11"/>
  <c r="N2562" i="11"/>
  <c r="N3074" i="11"/>
  <c r="N3422" i="11"/>
  <c r="N706" i="11"/>
  <c r="N1450" i="11"/>
  <c r="N1962" i="11"/>
  <c r="N2474" i="11"/>
  <c r="N2986" i="11"/>
  <c r="N3399" i="11"/>
  <c r="N802" i="11"/>
  <c r="N1978" i="11"/>
  <c r="N2970" i="11"/>
  <c r="N161" i="11"/>
  <c r="N1266" i="11"/>
  <c r="N1778" i="11"/>
  <c r="N2290" i="11"/>
  <c r="N2802" i="11"/>
  <c r="N3314" i="11"/>
  <c r="N3453" i="11"/>
  <c r="N268" i="11"/>
  <c r="N623" i="11"/>
  <c r="N879" i="11"/>
  <c r="N1135" i="11"/>
  <c r="N1281" i="11"/>
  <c r="N1409" i="11"/>
  <c r="N1537" i="11"/>
  <c r="N1665" i="11"/>
  <c r="N1793" i="11"/>
  <c r="N1921" i="11"/>
  <c r="N2049" i="11"/>
  <c r="N2177" i="11"/>
  <c r="N2305" i="11"/>
  <c r="N2433" i="11"/>
  <c r="N2561" i="11"/>
  <c r="N2689" i="11"/>
  <c r="N2817" i="11"/>
  <c r="N2945" i="11"/>
  <c r="N3073" i="11"/>
  <c r="N3201" i="11"/>
  <c r="N3329" i="11"/>
  <c r="N946" i="11"/>
  <c r="N1570" i="11"/>
  <c r="N2082" i="11"/>
  <c r="N2594" i="11"/>
  <c r="N3106" i="11"/>
  <c r="N3430" i="11"/>
  <c r="N770" i="11"/>
  <c r="N1482" i="11"/>
  <c r="N1994" i="11"/>
  <c r="N2506" i="11"/>
  <c r="N3018" i="11"/>
  <c r="N3407" i="11"/>
  <c r="N930" i="11"/>
  <c r="N2042" i="11"/>
  <c r="N3034" i="11"/>
  <c r="N3493" i="11"/>
  <c r="N510" i="11"/>
  <c r="N767" i="11"/>
  <c r="N1023" i="11"/>
  <c r="N1225" i="11"/>
  <c r="N1353" i="11"/>
  <c r="N1481" i="11"/>
  <c r="N1609" i="11"/>
  <c r="N1737" i="11"/>
  <c r="N1865" i="11"/>
  <c r="N1993" i="11"/>
  <c r="N2121" i="11"/>
  <c r="N2249" i="11"/>
  <c r="N2377" i="11"/>
  <c r="N2505" i="11"/>
  <c r="N2633" i="11"/>
  <c r="N2761" i="11"/>
  <c r="N2889" i="11"/>
  <c r="N3017" i="11"/>
  <c r="N3145" i="11"/>
  <c r="N3273" i="11"/>
  <c r="N493" i="11"/>
  <c r="N1346" i="11"/>
  <c r="N1858" i="11"/>
  <c r="N2370" i="11"/>
  <c r="N2882" i="11"/>
  <c r="N3374" i="11"/>
  <c r="N105" i="11"/>
  <c r="N1258" i="11"/>
  <c r="N1770" i="11"/>
  <c r="N2282" i="11"/>
  <c r="N2794" i="11"/>
  <c r="N3306" i="11"/>
  <c r="N3479" i="11"/>
  <c r="N1594" i="11"/>
  <c r="N2586" i="11"/>
  <c r="N3465" i="11"/>
  <c r="N361" i="11"/>
  <c r="N655" i="11"/>
  <c r="N911" i="11"/>
  <c r="N1167" i="11"/>
  <c r="N1297" i="11"/>
  <c r="N1425" i="11"/>
  <c r="N1553" i="11"/>
  <c r="N1681" i="11"/>
  <c r="N1809" i="11"/>
  <c r="N1937" i="11"/>
  <c r="N2065" i="11"/>
  <c r="N2193" i="11"/>
  <c r="N2321" i="11"/>
  <c r="N2449" i="11"/>
  <c r="N2577" i="11"/>
  <c r="N2705" i="11"/>
  <c r="N2833" i="11"/>
  <c r="N2961" i="11"/>
  <c r="N3089" i="11"/>
  <c r="N3217" i="11"/>
  <c r="N3345" i="11"/>
  <c r="N1074" i="11"/>
  <c r="N1634" i="11"/>
  <c r="N2146" i="11"/>
  <c r="N2658" i="11"/>
  <c r="N3170" i="11"/>
  <c r="N3446" i="11"/>
  <c r="N898" i="11"/>
  <c r="N1546" i="11"/>
  <c r="N2058" i="11"/>
  <c r="N2570" i="11"/>
  <c r="N3082" i="11"/>
  <c r="N3423" i="11"/>
  <c r="N1178" i="11"/>
  <c r="N2170" i="11"/>
  <c r="N3194" i="11"/>
  <c r="N530" i="11"/>
  <c r="N1362" i="11"/>
  <c r="N1874" i="11"/>
  <c r="N2386" i="11"/>
  <c r="N2898" i="11"/>
  <c r="N3378" i="11"/>
  <c r="N1169" i="11"/>
  <c r="N2194" i="11"/>
  <c r="N3218" i="11"/>
  <c r="N3498" i="11"/>
  <c r="N1754" i="11"/>
  <c r="N2810" i="11"/>
  <c r="N3491" i="11"/>
  <c r="N90" i="11"/>
  <c r="N166" i="11"/>
  <c r="N258" i="11"/>
  <c r="N334" i="11"/>
  <c r="N78" i="11"/>
  <c r="N722" i="11"/>
  <c r="N1970" i="11"/>
  <c r="N2994" i="11"/>
  <c r="N3474" i="11"/>
  <c r="N1562" i="11"/>
  <c r="N2618" i="11"/>
  <c r="N3443" i="11"/>
  <c r="N138" i="11"/>
  <c r="N214" i="11"/>
  <c r="N306" i="11"/>
  <c r="N50" i="11"/>
  <c r="N126" i="11"/>
  <c r="N1554" i="11"/>
  <c r="N3410" i="11"/>
  <c r="N2138" i="11"/>
  <c r="N250" i="11"/>
  <c r="N70" i="11"/>
  <c r="N238" i="11"/>
  <c r="N1586" i="11"/>
  <c r="N3426" i="11"/>
  <c r="N2202" i="11"/>
  <c r="N234" i="11"/>
  <c r="N54" i="11"/>
  <c r="N222" i="11"/>
  <c r="N1810" i="11"/>
  <c r="N3450" i="11"/>
  <c r="N2394" i="11"/>
  <c r="N186" i="11"/>
  <c r="N6" i="11"/>
  <c r="N174" i="11"/>
  <c r="N1842" i="11"/>
  <c r="N3458" i="11"/>
  <c r="N2458" i="11"/>
  <c r="N170" i="11"/>
  <c r="N338" i="11"/>
  <c r="N158" i="11"/>
  <c r="N664" i="11"/>
  <c r="N1120" i="11"/>
  <c r="N917" i="11"/>
  <c r="N669" i="11"/>
  <c r="N1767" i="11"/>
  <c r="N1851" i="11"/>
  <c r="N484" i="11"/>
  <c r="N2939" i="11"/>
  <c r="N2411" i="11"/>
  <c r="N3359" i="11"/>
  <c r="N2899" i="11"/>
  <c r="N2443" i="11"/>
  <c r="N734" i="11"/>
  <c r="N1688" i="11"/>
  <c r="N2248" i="11"/>
  <c r="N2648" i="11"/>
  <c r="N3000" i="11"/>
  <c r="N3336" i="11"/>
  <c r="N830" i="11"/>
  <c r="N1356" i="11"/>
  <c r="N1692" i="11"/>
  <c r="N2028" i="11"/>
  <c r="N2380" i="11"/>
  <c r="N2716" i="11"/>
  <c r="N3052" i="11"/>
  <c r="N436" i="11"/>
  <c r="N878" i="11"/>
  <c r="N1328" i="11"/>
  <c r="N1584" i="11"/>
  <c r="N1840" i="11"/>
  <c r="N2096" i="11"/>
  <c r="N2352" i="11"/>
  <c r="N2608" i="11"/>
  <c r="N2864" i="11"/>
  <c r="N3120" i="11"/>
  <c r="N183" i="11"/>
  <c r="N766" i="11"/>
  <c r="N1236" i="11"/>
  <c r="N1492" i="11"/>
  <c r="N1748" i="11"/>
  <c r="N2004" i="11"/>
  <c r="N2260" i="11"/>
  <c r="N2516" i="11"/>
  <c r="N2772" i="11"/>
  <c r="N3028" i="11"/>
  <c r="N3284" i="11"/>
  <c r="N1413" i="11"/>
  <c r="N1925" i="11"/>
  <c r="N2437" i="11"/>
  <c r="N2949" i="11"/>
  <c r="N3412" i="11"/>
  <c r="N954" i="11"/>
  <c r="N1574" i="11"/>
  <c r="N2086" i="11"/>
  <c r="N2598" i="11"/>
  <c r="N3110" i="11"/>
  <c r="N615" i="11"/>
  <c r="N1613" i="11"/>
  <c r="N2125" i="11"/>
  <c r="N2637" i="11"/>
  <c r="N3149" i="11"/>
  <c r="N133" i="11"/>
  <c r="N1262" i="11"/>
  <c r="N1774" i="11"/>
  <c r="N2286" i="11"/>
  <c r="N2798" i="11"/>
  <c r="N3310" i="11"/>
  <c r="N1333" i="11"/>
  <c r="N1845" i="11"/>
  <c r="N2357" i="11"/>
  <c r="N2869" i="11"/>
  <c r="N3372" i="11"/>
  <c r="N794" i="11"/>
  <c r="N1494" i="11"/>
  <c r="N2006" i="11"/>
  <c r="N2518" i="11"/>
  <c r="N3030" i="11"/>
  <c r="N1143" i="11"/>
  <c r="N1693" i="11"/>
  <c r="N2205" i="11"/>
  <c r="N2717" i="11"/>
  <c r="N3229" i="11"/>
  <c r="N482" i="11"/>
  <c r="N1342" i="11"/>
  <c r="N1854" i="11"/>
  <c r="N2334" i="11"/>
  <c r="N2590" i="11"/>
  <c r="N2846" i="11"/>
  <c r="N3102" i="11"/>
  <c r="N3358" i="11"/>
  <c r="N3501" i="11"/>
  <c r="N799" i="11"/>
  <c r="N1177" i="11"/>
  <c r="N1305" i="11"/>
  <c r="N1433" i="11"/>
  <c r="N1561" i="11"/>
  <c r="N1689" i="11"/>
  <c r="N1817" i="11"/>
  <c r="N1945" i="11"/>
  <c r="N2073" i="11"/>
  <c r="N2201" i="11"/>
  <c r="N2329" i="11"/>
  <c r="N2457" i="11"/>
  <c r="N2585" i="11"/>
  <c r="N2713" i="11"/>
  <c r="N2841" i="11"/>
  <c r="N2969" i="11"/>
  <c r="N3097" i="11"/>
  <c r="N3225" i="11"/>
  <c r="N3353" i="11"/>
  <c r="N1138" i="11"/>
  <c r="N1666" i="11"/>
  <c r="N2178" i="11"/>
  <c r="N2690" i="11"/>
  <c r="N3202" i="11"/>
  <c r="N3454" i="11"/>
  <c r="N962" i="11"/>
  <c r="N1578" i="11"/>
  <c r="N2090" i="11"/>
  <c r="N2602" i="11"/>
  <c r="N3114" i="11"/>
  <c r="N3431" i="11"/>
  <c r="N1242" i="11"/>
  <c r="N2234" i="11"/>
  <c r="N3226" i="11"/>
  <c r="N594" i="11"/>
  <c r="N1394" i="11"/>
  <c r="N1906" i="11"/>
  <c r="N2418" i="11"/>
  <c r="N2930" i="11"/>
  <c r="N3386" i="11"/>
  <c r="N3473" i="11"/>
  <c r="N404" i="11"/>
  <c r="N687" i="11"/>
  <c r="N943" i="11"/>
  <c r="N1185" i="11"/>
  <c r="N1313" i="11"/>
  <c r="N1441" i="11"/>
  <c r="N1569" i="11"/>
  <c r="N1697" i="11"/>
  <c r="N1825" i="11"/>
  <c r="N1953" i="11"/>
  <c r="N2081" i="11"/>
  <c r="N2209" i="11"/>
  <c r="N2337" i="11"/>
  <c r="N2465" i="11"/>
  <c r="N2593" i="11"/>
  <c r="N2721" i="11"/>
  <c r="N2849" i="11"/>
  <c r="N2977" i="11"/>
  <c r="N3105" i="11"/>
  <c r="N3233" i="11"/>
  <c r="N3361" i="11"/>
  <c r="N1186" i="11"/>
  <c r="N1698" i="11"/>
  <c r="N2210" i="11"/>
  <c r="N2722" i="11"/>
  <c r="N3234" i="11"/>
  <c r="N3462" i="11"/>
  <c r="N1026" i="11"/>
  <c r="N1610" i="11"/>
  <c r="N2122" i="11"/>
  <c r="N2634" i="11"/>
  <c r="N3146" i="11"/>
  <c r="N3439" i="11"/>
  <c r="N1306" i="11"/>
  <c r="N2298" i="11"/>
  <c r="N3425" i="11"/>
  <c r="N97" i="11"/>
  <c r="N575" i="11"/>
  <c r="N831" i="11"/>
  <c r="N1087" i="11"/>
  <c r="N1257" i="11"/>
  <c r="N1385" i="11"/>
  <c r="N1513" i="11"/>
  <c r="N1641" i="11"/>
  <c r="N1769" i="11"/>
  <c r="N1897" i="11"/>
  <c r="N2025" i="11"/>
  <c r="N2153" i="11"/>
  <c r="N2281" i="11"/>
  <c r="N2409" i="11"/>
  <c r="N2537" i="11"/>
  <c r="N2665" i="11"/>
  <c r="N2793" i="11"/>
  <c r="N2921" i="11"/>
  <c r="N3049" i="11"/>
  <c r="N3177" i="11"/>
  <c r="N3305" i="11"/>
  <c r="N754" i="11"/>
  <c r="N1474" i="11"/>
  <c r="N1986" i="11"/>
  <c r="N2498" i="11"/>
  <c r="N3010" i="11"/>
  <c r="N3406" i="11"/>
  <c r="N578" i="11"/>
  <c r="N1386" i="11"/>
  <c r="N1898" i="11"/>
  <c r="N2410" i="11"/>
  <c r="N2922" i="11"/>
  <c r="N3383" i="11"/>
  <c r="N546" i="11"/>
  <c r="N1850" i="11"/>
  <c r="N2842" i="11"/>
  <c r="N3481" i="11"/>
  <c r="N446" i="11"/>
  <c r="N719" i="11"/>
  <c r="N975" i="11"/>
  <c r="N1201" i="11"/>
  <c r="N1329" i="11"/>
  <c r="N1457" i="11"/>
  <c r="N1585" i="11"/>
  <c r="N1713" i="11"/>
  <c r="N1841" i="11"/>
  <c r="N1969" i="11"/>
  <c r="N2097" i="11"/>
  <c r="N2225" i="11"/>
  <c r="N2353" i="11"/>
  <c r="N2481" i="11"/>
  <c r="N2609" i="11"/>
  <c r="N2737" i="11"/>
  <c r="N2865" i="11"/>
  <c r="N2993" i="11"/>
  <c r="N3121" i="11"/>
  <c r="N3249" i="11"/>
  <c r="N48" i="11"/>
  <c r="N1250" i="11"/>
  <c r="N1762" i="11"/>
  <c r="N2274" i="11"/>
  <c r="N2786" i="11"/>
  <c r="N3298" i="11"/>
  <c r="N3478" i="11"/>
  <c r="N1154" i="11"/>
  <c r="N1674" i="11"/>
  <c r="N2186" i="11"/>
  <c r="N2698" i="11"/>
  <c r="N3210" i="11"/>
  <c r="N3455" i="11"/>
  <c r="N1402" i="11"/>
  <c r="N2426" i="11"/>
  <c r="N3379" i="11"/>
  <c r="N786" i="11"/>
  <c r="N1490" i="11"/>
  <c r="N2002" i="11"/>
  <c r="N2514" i="11"/>
  <c r="N3026" i="11"/>
  <c r="N3290" i="11"/>
  <c r="N1426" i="11"/>
  <c r="N2450" i="11"/>
  <c r="N3394" i="11"/>
  <c r="N738" i="11"/>
  <c r="N2010" i="11"/>
  <c r="N3066" i="11"/>
  <c r="N282" i="11"/>
  <c r="N26" i="11"/>
  <c r="N102" i="11"/>
  <c r="N194" i="11"/>
  <c r="N270" i="11"/>
  <c r="N14" i="11"/>
  <c r="N1202" i="11"/>
  <c r="N2226" i="11"/>
  <c r="N3250" i="11"/>
  <c r="N219" i="11"/>
  <c r="N1818" i="11"/>
  <c r="N2874" i="11"/>
  <c r="N330" i="11"/>
  <c r="N74" i="11"/>
  <c r="N150" i="11"/>
  <c r="N242" i="11"/>
  <c r="N318" i="11"/>
  <c r="N62" i="11"/>
  <c r="N2066" i="11"/>
  <c r="N3482" i="11"/>
  <c r="N2682" i="11"/>
  <c r="N122" i="11"/>
  <c r="N290" i="11"/>
  <c r="N110" i="11"/>
  <c r="N2098" i="11"/>
  <c r="N3490" i="11"/>
  <c r="N2746" i="11"/>
  <c r="N106" i="11"/>
  <c r="N274" i="11"/>
  <c r="N94" i="11"/>
  <c r="N2322" i="11"/>
  <c r="N472" i="11"/>
  <c r="N2938" i="11"/>
  <c r="N58" i="11"/>
  <c r="N226" i="11"/>
  <c r="N46" i="11"/>
  <c r="N2354" i="11"/>
  <c r="N610" i="11"/>
  <c r="N3002" i="11"/>
  <c r="N42" i="11"/>
  <c r="N210" i="11"/>
  <c r="N30" i="11"/>
  <c r="N400" i="11"/>
  <c r="N801" i="11"/>
  <c r="N244" i="11"/>
  <c r="N1117" i="11"/>
  <c r="N2231" i="11"/>
  <c r="N473" i="11"/>
  <c r="N1395" i="11"/>
  <c r="N3179" i="11"/>
  <c r="N2671" i="11"/>
  <c r="N694" i="11"/>
  <c r="N3139" i="11"/>
  <c r="N2711" i="11"/>
  <c r="N1176" i="11"/>
  <c r="N1864" i="11"/>
  <c r="N2360" i="11"/>
  <c r="N2744" i="11"/>
  <c r="N3080" i="11"/>
  <c r="N500" i="11"/>
  <c r="N1030" i="11"/>
  <c r="N1436" i="11"/>
  <c r="N1772" i="11"/>
  <c r="N2124" i="11"/>
  <c r="N2460" i="11"/>
  <c r="N2796" i="11"/>
  <c r="N3148" i="11"/>
  <c r="N775" i="11"/>
  <c r="N1038" i="11"/>
  <c r="N1392" i="11"/>
  <c r="N1648" i="11"/>
  <c r="N1904" i="11"/>
  <c r="N2160" i="11"/>
  <c r="N2416" i="11"/>
  <c r="N2672" i="11"/>
  <c r="N2928" i="11"/>
  <c r="N3184" i="11"/>
  <c r="N599" i="11"/>
  <c r="N918" i="11"/>
  <c r="N1300" i="11"/>
  <c r="N1556" i="11"/>
  <c r="N1812" i="11"/>
  <c r="N2068" i="11"/>
  <c r="N2324" i="11"/>
  <c r="N2580" i="11"/>
  <c r="N2836" i="11"/>
  <c r="N3092" i="11"/>
  <c r="N3348" i="11"/>
  <c r="N1541" i="11"/>
  <c r="N2053" i="11"/>
  <c r="N2565" i="11"/>
  <c r="N3077" i="11"/>
  <c r="N3476" i="11"/>
  <c r="N1190" i="11"/>
  <c r="N1702" i="11"/>
  <c r="N2214" i="11"/>
  <c r="N2726" i="11"/>
  <c r="N3238" i="11"/>
  <c r="N1221" i="11"/>
  <c r="N1741" i="11"/>
  <c r="N2253" i="11"/>
  <c r="N2765" i="11"/>
  <c r="N3277" i="11"/>
  <c r="N586" i="11"/>
  <c r="N1390" i="11"/>
  <c r="N1902" i="11"/>
  <c r="N2414" i="11"/>
  <c r="N2926" i="11"/>
  <c r="N3401" i="11"/>
  <c r="N1461" i="11"/>
  <c r="N1973" i="11"/>
  <c r="N2485" i="11"/>
  <c r="N2997" i="11"/>
  <c r="N3436" i="11"/>
  <c r="N1050" i="11"/>
  <c r="N1622" i="11"/>
  <c r="N2134" i="11"/>
  <c r="N2646" i="11"/>
  <c r="N3158" i="11"/>
  <c r="N1309" i="11"/>
  <c r="N1821" i="11"/>
  <c r="N2333" i="11"/>
  <c r="N2845" i="11"/>
  <c r="N3357" i="11"/>
  <c r="N746" i="11"/>
  <c r="N1470" i="11"/>
  <c r="N1982" i="11"/>
  <c r="N3134" i="11"/>
  <c r="N1209" i="11"/>
  <c r="N1721" i="11"/>
  <c r="N2233" i="11"/>
  <c r="N2745" i="11"/>
  <c r="N3257" i="11"/>
  <c r="N2306" i="11"/>
  <c r="N1194" i="11"/>
  <c r="N3242" i="11"/>
  <c r="N3387" i="11"/>
  <c r="N2546" i="11"/>
  <c r="N489" i="11"/>
  <c r="N1345" i="11"/>
  <c r="N1857" i="11"/>
  <c r="N2369" i="11"/>
  <c r="N2881" i="11"/>
  <c r="N408" i="11"/>
  <c r="N2850" i="11"/>
  <c r="N1738" i="11"/>
  <c r="N3471" i="11"/>
  <c r="N325" i="11"/>
  <c r="N1289" i="11"/>
  <c r="N1801" i="11"/>
  <c r="N2313" i="11"/>
  <c r="N2825" i="11"/>
  <c r="N3337" i="11"/>
  <c r="N2626" i="11"/>
  <c r="N1514" i="11"/>
  <c r="N3415" i="11"/>
  <c r="N3497" i="11"/>
  <c r="N1233" i="11"/>
  <c r="N1745" i="11"/>
  <c r="N2257" i="11"/>
  <c r="N2769" i="11"/>
  <c r="N3281" i="11"/>
  <c r="N2402" i="11"/>
  <c r="N1290" i="11"/>
  <c r="N3338" i="11"/>
  <c r="N3435" i="11"/>
  <c r="N2642" i="11"/>
  <c r="N2706" i="11"/>
  <c r="N3322" i="11"/>
  <c r="N130" i="11"/>
  <c r="N2482" i="11"/>
  <c r="N3098" i="11"/>
  <c r="N178" i="11"/>
  <c r="N994" i="11"/>
  <c r="N3419" i="11"/>
  <c r="N310" i="11"/>
  <c r="N1370" i="11"/>
  <c r="N450" i="11"/>
  <c r="N246" i="11"/>
  <c r="N2366" i="11"/>
  <c r="N3377" i="11"/>
  <c r="N1337" i="11"/>
  <c r="N1849" i="11"/>
  <c r="N2361" i="11"/>
  <c r="N2873" i="11"/>
  <c r="N276" i="11"/>
  <c r="N2818" i="11"/>
  <c r="N1706" i="11"/>
  <c r="N3463" i="11"/>
  <c r="N850" i="11"/>
  <c r="N3058" i="11"/>
  <c r="N751" i="11"/>
  <c r="N1473" i="11"/>
  <c r="N1985" i="11"/>
  <c r="N2497" i="11"/>
  <c r="N3009" i="11"/>
  <c r="N1314" i="11"/>
  <c r="N3362" i="11"/>
  <c r="N2250" i="11"/>
  <c r="N1530" i="11"/>
  <c r="N639" i="11"/>
  <c r="N1417" i="11"/>
  <c r="N1929" i="11"/>
  <c r="N2441" i="11"/>
  <c r="N2953" i="11"/>
  <c r="N1010" i="11"/>
  <c r="N3138" i="11"/>
  <c r="N2026" i="11"/>
  <c r="N1058" i="11"/>
  <c r="N527" i="11"/>
  <c r="N1361" i="11"/>
  <c r="N1873" i="11"/>
  <c r="N2385" i="11"/>
  <c r="N2897" i="11"/>
  <c r="N562" i="11"/>
  <c r="N2914" i="11"/>
  <c r="N1802" i="11"/>
  <c r="N3487" i="11"/>
  <c r="N1042" i="11"/>
  <c r="N3154" i="11"/>
  <c r="N3434" i="11"/>
  <c r="N218" i="11"/>
  <c r="N206" i="11"/>
  <c r="N3402" i="11"/>
  <c r="N266" i="11"/>
  <c r="N254" i="11"/>
  <c r="N3162" i="11"/>
  <c r="N2610" i="11"/>
  <c r="N146" i="11"/>
  <c r="N3395" i="11"/>
  <c r="N2866" i="11"/>
  <c r="N82" i="11"/>
  <c r="N2622" i="11"/>
  <c r="N212" i="11"/>
  <c r="N1465" i="11"/>
  <c r="N1977" i="11"/>
  <c r="N2489" i="11"/>
  <c r="N3001" i="11"/>
  <c r="N1282" i="11"/>
  <c r="N3330" i="11"/>
  <c r="N2218" i="11"/>
  <c r="N1466" i="11"/>
  <c r="N1522" i="11"/>
  <c r="N3418" i="11"/>
  <c r="N1007" i="11"/>
  <c r="N1601" i="11"/>
  <c r="N2113" i="11"/>
  <c r="N2625" i="11"/>
  <c r="N3137" i="11"/>
  <c r="N1826" i="11"/>
  <c r="N3494" i="11"/>
  <c r="N2762" i="11"/>
  <c r="N2522" i="11"/>
  <c r="N895" i="11"/>
  <c r="N1545" i="11"/>
  <c r="N2057" i="11"/>
  <c r="N2569" i="11"/>
  <c r="N3081" i="11"/>
  <c r="N1602" i="11"/>
  <c r="N3438" i="11"/>
  <c r="N2538" i="11"/>
  <c r="N2106" i="11"/>
  <c r="N783" i="11"/>
  <c r="N1489" i="11"/>
  <c r="N2001" i="11"/>
  <c r="N2513" i="11"/>
  <c r="N3025" i="11"/>
  <c r="N1378" i="11"/>
  <c r="N3382" i="11"/>
  <c r="N2314" i="11"/>
  <c r="N1658" i="11"/>
  <c r="N1618" i="11"/>
  <c r="N3467" i="11"/>
  <c r="N1210" i="11"/>
  <c r="N294" i="11"/>
  <c r="N3354" i="11"/>
  <c r="N866" i="11"/>
  <c r="N10" i="11"/>
  <c r="N3403" i="11"/>
  <c r="N326" i="11"/>
  <c r="N1122" i="11"/>
  <c r="N365" i="11"/>
  <c r="N262" i="11"/>
  <c r="N1434" i="11"/>
  <c r="N2878" i="11"/>
  <c r="N863" i="11"/>
  <c r="N1593" i="11"/>
  <c r="N2105" i="11"/>
  <c r="N2617" i="11"/>
  <c r="N3129" i="11"/>
  <c r="N1794" i="11"/>
  <c r="N3486" i="11"/>
  <c r="N2730" i="11"/>
  <c r="N2490" i="11"/>
  <c r="N2034" i="11"/>
  <c r="N3489" i="11"/>
  <c r="N1217" i="11"/>
  <c r="N1729" i="11"/>
  <c r="N2241" i="11"/>
  <c r="N2753" i="11"/>
  <c r="N3265" i="11"/>
  <c r="N2338" i="11"/>
  <c r="N1226" i="11"/>
  <c r="N3274" i="11"/>
  <c r="N3457" i="11"/>
  <c r="N1151" i="11"/>
  <c r="N1673" i="11"/>
  <c r="N2185" i="11"/>
  <c r="N2697" i="11"/>
  <c r="N3209" i="11"/>
  <c r="N2114" i="11"/>
  <c r="N834" i="11"/>
  <c r="N3050" i="11"/>
  <c r="N3130" i="11"/>
  <c r="N1039" i="11"/>
  <c r="N1617" i="11"/>
  <c r="N2129" i="11"/>
  <c r="N2641" i="11"/>
  <c r="N3153" i="11"/>
  <c r="N1890" i="11"/>
  <c r="N332" i="11"/>
  <c r="N2826" i="11"/>
  <c r="N2650" i="11"/>
  <c r="N2130" i="11"/>
  <c r="N1682" i="11"/>
  <c r="N2266" i="11"/>
  <c r="N38" i="11"/>
  <c r="N1458" i="11"/>
  <c r="N2074" i="11"/>
  <c r="N86" i="11"/>
  <c r="N2578" i="11"/>
  <c r="N162" i="11"/>
  <c r="N3258" i="11"/>
  <c r="N2834" i="11"/>
  <c r="N98" i="11"/>
  <c r="N3411" i="11"/>
  <c r="Q60" i="3"/>
  <c r="Q58" i="3"/>
  <c r="ALL36" i="3"/>
  <c r="ALL52" i="3" s="1"/>
  <c r="ALH36" i="3"/>
  <c r="ALH52" i="3" s="1"/>
  <c r="ALD36" i="3"/>
  <c r="ALD52" i="3" s="1"/>
  <c r="AKZ36" i="3"/>
  <c r="AKZ52" i="3" s="1"/>
  <c r="AKV36" i="3"/>
  <c r="AKV52" i="3" s="1"/>
  <c r="AKR36" i="3"/>
  <c r="AKR52" i="3" s="1"/>
  <c r="AKN36" i="3"/>
  <c r="AKN52" i="3" s="1"/>
  <c r="AKJ36" i="3"/>
  <c r="AKJ52" i="3" s="1"/>
  <c r="AKF36" i="3"/>
  <c r="AKF52" i="3" s="1"/>
  <c r="AKB36" i="3"/>
  <c r="AKB52" i="3" s="1"/>
  <c r="AJX36" i="3"/>
  <c r="AJX52" i="3" s="1"/>
  <c r="AJT36" i="3"/>
  <c r="AJT52" i="3" s="1"/>
  <c r="AJP36" i="3"/>
  <c r="AJP52" i="3" s="1"/>
  <c r="AJL36" i="3"/>
  <c r="AJL52" i="3" s="1"/>
  <c r="AJH36" i="3"/>
  <c r="AJH52" i="3" s="1"/>
  <c r="AJD36" i="3"/>
  <c r="AJD52" i="3" s="1"/>
  <c r="AIZ36" i="3"/>
  <c r="AIZ52" i="3" s="1"/>
  <c r="AIV36" i="3"/>
  <c r="AIV52" i="3" s="1"/>
  <c r="AIR36" i="3"/>
  <c r="AIR52" i="3" s="1"/>
  <c r="AIN36" i="3"/>
  <c r="AIN52" i="3" s="1"/>
  <c r="AIJ36" i="3"/>
  <c r="AIJ52" i="3" s="1"/>
  <c r="AIF36" i="3"/>
  <c r="AIF52" i="3" s="1"/>
  <c r="AIB36" i="3"/>
  <c r="AIB52" i="3" s="1"/>
  <c r="AHX36" i="3"/>
  <c r="AHX52" i="3" s="1"/>
  <c r="AHT36" i="3"/>
  <c r="AHT52" i="3" s="1"/>
  <c r="AHP36" i="3"/>
  <c r="AHP52" i="3" s="1"/>
  <c r="AHL36" i="3"/>
  <c r="AHL52" i="3" s="1"/>
  <c r="AHH36" i="3"/>
  <c r="AHH52" i="3" s="1"/>
  <c r="AHD36" i="3"/>
  <c r="AHD52" i="3" s="1"/>
  <c r="AGZ36" i="3"/>
  <c r="AGZ52" i="3" s="1"/>
  <c r="AGV36" i="3"/>
  <c r="AGV52" i="3" s="1"/>
  <c r="AGR36" i="3"/>
  <c r="AGR52" i="3" s="1"/>
  <c r="AGN36" i="3"/>
  <c r="AGN52" i="3" s="1"/>
  <c r="AGJ36" i="3"/>
  <c r="AGJ52" i="3" s="1"/>
  <c r="AGF36" i="3"/>
  <c r="AGF52" i="3" s="1"/>
  <c r="AGB36" i="3"/>
  <c r="AGB52" i="3" s="1"/>
  <c r="AFX36" i="3"/>
  <c r="AFX52" i="3" s="1"/>
  <c r="AFT36" i="3"/>
  <c r="AFT52" i="3" s="1"/>
  <c r="AFP36" i="3"/>
  <c r="AFP52" i="3" s="1"/>
  <c r="AFL36" i="3"/>
  <c r="AFL52" i="3" s="1"/>
  <c r="AFH36" i="3"/>
  <c r="AFH52" i="3" s="1"/>
  <c r="AFD36" i="3"/>
  <c r="AFD52" i="3" s="1"/>
  <c r="AEZ36" i="3"/>
  <c r="AEZ52" i="3" s="1"/>
  <c r="AEV36" i="3"/>
  <c r="AEV52" i="3" s="1"/>
  <c r="AER36" i="3"/>
  <c r="AER52" i="3" s="1"/>
  <c r="AEN36" i="3"/>
  <c r="AEN52" i="3" s="1"/>
  <c r="AEJ36" i="3"/>
  <c r="AEJ52" i="3" s="1"/>
  <c r="AEF36" i="3"/>
  <c r="AEF52" i="3" s="1"/>
  <c r="AEB36" i="3"/>
  <c r="AEB52" i="3" s="1"/>
  <c r="ADX36" i="3"/>
  <c r="ADX52" i="3" s="1"/>
  <c r="ADT36" i="3"/>
  <c r="ADT52" i="3" s="1"/>
  <c r="ADP36" i="3"/>
  <c r="ADP52" i="3" s="1"/>
  <c r="ADL36" i="3"/>
  <c r="ADL52" i="3" s="1"/>
  <c r="ADH36" i="3"/>
  <c r="ADH52" i="3" s="1"/>
  <c r="ADD36" i="3"/>
  <c r="ADD52" i="3" s="1"/>
  <c r="ACZ36" i="3"/>
  <c r="ACZ52" i="3" s="1"/>
  <c r="ACV36" i="3"/>
  <c r="ACV52" i="3" s="1"/>
  <c r="ACN36" i="3"/>
  <c r="ACN52" i="3" s="1"/>
  <c r="ACJ36" i="3"/>
  <c r="ACJ52" i="3" s="1"/>
  <c r="ACF36" i="3"/>
  <c r="ACF52" i="3" s="1"/>
  <c r="ACB36" i="3"/>
  <c r="ACB52" i="3" s="1"/>
  <c r="ABX36" i="3"/>
  <c r="ABX52" i="3" s="1"/>
  <c r="ABT36" i="3"/>
  <c r="ABT52" i="3" s="1"/>
  <c r="ABP36" i="3"/>
  <c r="ABP52" i="3" s="1"/>
  <c r="ABL36" i="3"/>
  <c r="ABL52" i="3" s="1"/>
  <c r="ABH36" i="3"/>
  <c r="ABH52" i="3" s="1"/>
  <c r="ABD36" i="3"/>
  <c r="ABD52" i="3" s="1"/>
  <c r="AAZ36" i="3"/>
  <c r="AAZ52" i="3" s="1"/>
  <c r="AAV36" i="3"/>
  <c r="AAV52" i="3" s="1"/>
  <c r="AAR36" i="3"/>
  <c r="AAR52" i="3" s="1"/>
  <c r="AAN36" i="3"/>
  <c r="AAN52" i="3" s="1"/>
  <c r="AAJ36" i="3"/>
  <c r="AAJ52" i="3" s="1"/>
  <c r="AAF36" i="3"/>
  <c r="AAF52" i="3" s="1"/>
  <c r="AAB36" i="3"/>
  <c r="AAB52" i="3" s="1"/>
  <c r="ZX36" i="3"/>
  <c r="ZX52" i="3" s="1"/>
  <c r="ZT36" i="3"/>
  <c r="ZT52" i="3" s="1"/>
  <c r="ZP36" i="3"/>
  <c r="ZP52" i="3" s="1"/>
  <c r="ZL36" i="3"/>
  <c r="ZL52" i="3" s="1"/>
  <c r="ZH36" i="3"/>
  <c r="ZH52" i="3" s="1"/>
  <c r="ZD36" i="3"/>
  <c r="ZD52" i="3" s="1"/>
  <c r="YZ36" i="3"/>
  <c r="YZ52" i="3" s="1"/>
  <c r="YV36" i="3"/>
  <c r="YV52" i="3" s="1"/>
  <c r="YR36" i="3"/>
  <c r="YR52" i="3" s="1"/>
  <c r="YN36" i="3"/>
  <c r="YN52" i="3" s="1"/>
  <c r="YJ36" i="3"/>
  <c r="YJ52" i="3" s="1"/>
  <c r="YF36" i="3"/>
  <c r="YF52" i="3" s="1"/>
  <c r="YB36" i="3"/>
  <c r="YB52" i="3" s="1"/>
  <c r="XX36" i="3"/>
  <c r="XX52" i="3" s="1"/>
  <c r="XT36" i="3"/>
  <c r="XT52" i="3" s="1"/>
  <c r="XP36" i="3"/>
  <c r="XP52" i="3" s="1"/>
  <c r="XL36" i="3"/>
  <c r="XL52" i="3" s="1"/>
  <c r="XH36" i="3"/>
  <c r="XH52" i="3" s="1"/>
  <c r="XD36" i="3"/>
  <c r="XD52" i="3" s="1"/>
  <c r="WZ36" i="3"/>
  <c r="WZ52" i="3" s="1"/>
  <c r="WV36" i="3"/>
  <c r="WV52" i="3" s="1"/>
  <c r="WR36" i="3"/>
  <c r="WR52" i="3" s="1"/>
  <c r="WN36" i="3"/>
  <c r="WN52" i="3" s="1"/>
  <c r="WJ36" i="3"/>
  <c r="WJ52" i="3" s="1"/>
  <c r="WF36" i="3"/>
  <c r="WF52" i="3" s="1"/>
  <c r="WB36" i="3"/>
  <c r="WB52" i="3" s="1"/>
  <c r="VX36" i="3"/>
  <c r="VX52" i="3" s="1"/>
  <c r="VT36" i="3"/>
  <c r="VT52" i="3" s="1"/>
  <c r="VP36" i="3"/>
  <c r="VP52" i="3" s="1"/>
  <c r="VL36" i="3"/>
  <c r="VL52" i="3" s="1"/>
  <c r="VH36" i="3"/>
  <c r="VH52" i="3" s="1"/>
  <c r="VD36" i="3"/>
  <c r="VD52" i="3" s="1"/>
  <c r="UZ36" i="3"/>
  <c r="UZ52" i="3" s="1"/>
  <c r="UV36" i="3"/>
  <c r="UV52" i="3" s="1"/>
  <c r="UR36" i="3"/>
  <c r="UR52" i="3" s="1"/>
  <c r="UN36" i="3"/>
  <c r="UN52" i="3" s="1"/>
  <c r="UJ36" i="3"/>
  <c r="UJ52" i="3" s="1"/>
  <c r="UF36" i="3"/>
  <c r="UF52" i="3" s="1"/>
  <c r="UB36" i="3"/>
  <c r="UB52" i="3" s="1"/>
  <c r="TX36" i="3"/>
  <c r="TX52" i="3" s="1"/>
  <c r="TT36" i="3"/>
  <c r="TT52" i="3" s="1"/>
  <c r="TP36" i="3"/>
  <c r="TP52" i="3" s="1"/>
  <c r="TL36" i="3"/>
  <c r="TL52" i="3" s="1"/>
  <c r="TH36" i="3"/>
  <c r="TH52" i="3" s="1"/>
  <c r="TD36" i="3"/>
  <c r="TD52" i="3" s="1"/>
  <c r="SZ36" i="3"/>
  <c r="SZ52" i="3" s="1"/>
  <c r="SV36" i="3"/>
  <c r="SV52" i="3" s="1"/>
  <c r="SR36" i="3"/>
  <c r="SR52" i="3" s="1"/>
  <c r="SN36" i="3"/>
  <c r="SN52" i="3" s="1"/>
  <c r="SJ36" i="3"/>
  <c r="SJ52" i="3" s="1"/>
  <c r="SB36" i="3"/>
  <c r="SB52" i="3" s="1"/>
  <c r="QF36" i="3"/>
  <c r="QF52" i="3" s="1"/>
  <c r="PX36" i="3"/>
  <c r="PX52" i="3" s="1"/>
  <c r="PP36" i="3"/>
  <c r="PP52" i="3" s="1"/>
  <c r="PD36" i="3"/>
  <c r="PD52" i="3" s="1"/>
  <c r="MV36" i="3"/>
  <c r="MV52" i="3" s="1"/>
  <c r="MN36" i="3"/>
  <c r="MN52" i="3" s="1"/>
  <c r="MB36" i="3"/>
  <c r="MB52" i="3" s="1"/>
  <c r="LX36" i="3"/>
  <c r="LX52" i="3" s="1"/>
  <c r="KZ36" i="3"/>
  <c r="KZ52" i="3" s="1"/>
  <c r="KR36" i="3"/>
  <c r="KR52" i="3" s="1"/>
  <c r="IB36" i="3"/>
  <c r="IB52" i="3" s="1"/>
  <c r="HL36" i="3"/>
  <c r="HL52" i="3" s="1"/>
  <c r="GV36" i="3"/>
  <c r="GV52" i="3" s="1"/>
  <c r="FL36" i="3"/>
  <c r="FL52" i="3" s="1"/>
  <c r="CF36" i="3"/>
  <c r="CF52" i="3" s="1"/>
  <c r="BL36" i="3"/>
  <c r="BL52" i="3" s="1"/>
  <c r="AZ36" i="3"/>
  <c r="AZ52" i="3" s="1"/>
  <c r="ALL33" i="3"/>
  <c r="ALL49" i="3" s="1"/>
  <c r="ALH33" i="3"/>
  <c r="ALH49" i="3" s="1"/>
  <c r="AKZ33" i="3"/>
  <c r="AKZ49" i="3" s="1"/>
  <c r="AKV33" i="3"/>
  <c r="AKV49" i="3" s="1"/>
  <c r="AKR33" i="3"/>
  <c r="AKR49" i="3" s="1"/>
  <c r="AKF33" i="3"/>
  <c r="AKF49" i="3" s="1"/>
  <c r="AJX33" i="3"/>
  <c r="AJX49" i="3" s="1"/>
  <c r="AJT33" i="3"/>
  <c r="AJT49" i="3" s="1"/>
  <c r="AJH33" i="3"/>
  <c r="AJH49" i="3" s="1"/>
  <c r="AIV33" i="3"/>
  <c r="AIV49" i="3" s="1"/>
  <c r="AIN33" i="3"/>
  <c r="AIN49" i="3" s="1"/>
  <c r="AIF33" i="3"/>
  <c r="AIF49" i="3" s="1"/>
  <c r="AHX33" i="3"/>
  <c r="AHX49" i="3" s="1"/>
  <c r="AHP33" i="3"/>
  <c r="AHP49" i="3" s="1"/>
  <c r="AHH33" i="3"/>
  <c r="AHH49" i="3" s="1"/>
  <c r="AHD33" i="3"/>
  <c r="AHD49" i="3" s="1"/>
  <c r="AGZ33" i="3"/>
  <c r="AGZ49" i="3" s="1"/>
  <c r="AGR33" i="3"/>
  <c r="AGR49" i="3" s="1"/>
  <c r="AGJ33" i="3"/>
  <c r="AGJ49" i="3" s="1"/>
  <c r="AGB33" i="3"/>
  <c r="AGB49" i="3" s="1"/>
  <c r="AFT33" i="3"/>
  <c r="AFT49" i="3" s="1"/>
  <c r="AFL33" i="3"/>
  <c r="AFL49" i="3" s="1"/>
  <c r="AFH33" i="3"/>
  <c r="AFH49" i="3" s="1"/>
  <c r="AFD33" i="3"/>
  <c r="AFD49" i="3" s="1"/>
  <c r="AEZ33" i="3"/>
  <c r="AEZ49" i="3" s="1"/>
  <c r="AEV33" i="3"/>
  <c r="AEV49" i="3" s="1"/>
  <c r="AEN33" i="3"/>
  <c r="AEN49" i="3" s="1"/>
  <c r="AEJ33" i="3"/>
  <c r="AEJ49" i="3" s="1"/>
  <c r="AEB33" i="3"/>
  <c r="AEB49" i="3" s="1"/>
  <c r="ADT33" i="3"/>
  <c r="ADT49" i="3" s="1"/>
  <c r="ADL33" i="3"/>
  <c r="ADL49" i="3" s="1"/>
  <c r="ADD33" i="3"/>
  <c r="ADD49" i="3" s="1"/>
  <c r="ACZ33" i="3"/>
  <c r="ACZ49" i="3" s="1"/>
  <c r="ACR33" i="3"/>
  <c r="ACR49" i="3" s="1"/>
  <c r="ACJ33" i="3"/>
  <c r="ACJ49" i="3" s="1"/>
  <c r="ACB33" i="3"/>
  <c r="ACB49" i="3" s="1"/>
  <c r="ABT33" i="3"/>
  <c r="ABT49" i="3" s="1"/>
  <c r="ABH33" i="3"/>
  <c r="ABH49" i="3" s="1"/>
  <c r="AAZ33" i="3"/>
  <c r="AAZ49" i="3" s="1"/>
  <c r="AAN33" i="3"/>
  <c r="AAN49" i="3" s="1"/>
  <c r="AAF33" i="3"/>
  <c r="AAF49" i="3" s="1"/>
  <c r="ZX33" i="3"/>
  <c r="ZX49" i="3" s="1"/>
  <c r="ZP33" i="3"/>
  <c r="ZP49" i="3" s="1"/>
  <c r="ZL33" i="3"/>
  <c r="ZL49" i="3" s="1"/>
  <c r="YZ33" i="3"/>
  <c r="YZ49" i="3" s="1"/>
  <c r="YR33" i="3"/>
  <c r="YR49" i="3" s="1"/>
  <c r="YF33" i="3"/>
  <c r="YF49" i="3" s="1"/>
  <c r="XX33" i="3"/>
  <c r="XX49" i="3" s="1"/>
  <c r="XL33" i="3"/>
  <c r="XL49" i="3" s="1"/>
  <c r="XD33" i="3"/>
  <c r="XD49" i="3" s="1"/>
  <c r="WV33" i="3"/>
  <c r="WV49" i="3" s="1"/>
  <c r="WN33" i="3"/>
  <c r="WN49" i="3" s="1"/>
  <c r="WJ33" i="3"/>
  <c r="WJ49" i="3" s="1"/>
  <c r="WB33" i="3"/>
  <c r="WB49" i="3" s="1"/>
  <c r="VT33" i="3"/>
  <c r="VT49" i="3" s="1"/>
  <c r="VL33" i="3"/>
  <c r="VL49" i="3" s="1"/>
  <c r="VD33" i="3"/>
  <c r="VD49" i="3" s="1"/>
  <c r="UZ33" i="3"/>
  <c r="UZ49" i="3" s="1"/>
  <c r="UN33" i="3"/>
  <c r="UN49" i="3" s="1"/>
  <c r="UF33" i="3"/>
  <c r="UF49" i="3" s="1"/>
  <c r="TX33" i="3"/>
  <c r="TX49" i="3" s="1"/>
  <c r="TP33" i="3"/>
  <c r="TP49" i="3" s="1"/>
  <c r="TD33" i="3"/>
  <c r="TD49" i="3" s="1"/>
  <c r="SV33" i="3"/>
  <c r="SV49" i="3" s="1"/>
  <c r="SR33" i="3"/>
  <c r="SR49" i="3" s="1"/>
  <c r="SJ33" i="3"/>
  <c r="SJ49" i="3" s="1"/>
  <c r="RT33" i="3"/>
  <c r="RT49" i="3" s="1"/>
  <c r="RH33" i="3"/>
  <c r="RH49" i="3" s="1"/>
  <c r="QB33" i="3"/>
  <c r="QB49" i="3" s="1"/>
  <c r="PT33" i="3"/>
  <c r="PT49" i="3" s="1"/>
  <c r="OV33" i="3"/>
  <c r="OV49" i="3" s="1"/>
  <c r="KN33" i="3"/>
  <c r="KN49" i="3" s="1"/>
  <c r="IF33" i="3"/>
  <c r="IF49" i="3" s="1"/>
  <c r="HL33" i="3"/>
  <c r="HL49" i="3" s="1"/>
  <c r="FH33" i="3"/>
  <c r="FH49" i="3" s="1"/>
  <c r="DD33" i="3"/>
  <c r="DD49" i="3" s="1"/>
  <c r="BX33" i="3"/>
  <c r="BX49" i="3" s="1"/>
  <c r="AN33" i="3"/>
  <c r="AN49" i="3" s="1"/>
  <c r="ALB30" i="3"/>
  <c r="ALB46" i="3" s="1"/>
  <c r="AKL30" i="3"/>
  <c r="AKL46" i="3" s="1"/>
  <c r="AJV30" i="3"/>
  <c r="AJV46" i="3" s="1"/>
  <c r="AJF30" i="3"/>
  <c r="AJF46" i="3" s="1"/>
  <c r="AIP30" i="3"/>
  <c r="AIP46" i="3" s="1"/>
  <c r="AHZ30" i="3"/>
  <c r="AHZ46" i="3" s="1"/>
  <c r="AHJ30" i="3"/>
  <c r="AHJ46" i="3" s="1"/>
  <c r="AHB30" i="3"/>
  <c r="AHB46" i="3" s="1"/>
  <c r="AGT30" i="3"/>
  <c r="AGT46" i="3" s="1"/>
  <c r="AGL30" i="3"/>
  <c r="AGL46" i="3" s="1"/>
  <c r="AFV30" i="3"/>
  <c r="AFV46" i="3" s="1"/>
  <c r="AFN30" i="3"/>
  <c r="AFN46" i="3" s="1"/>
  <c r="AFF30" i="3"/>
  <c r="AFF46" i="3" s="1"/>
  <c r="AEP30" i="3"/>
  <c r="AEP46" i="3" s="1"/>
  <c r="AEH30" i="3"/>
  <c r="AEH46" i="3" s="1"/>
  <c r="ADR30" i="3"/>
  <c r="ADR46" i="3" s="1"/>
  <c r="ADB30" i="3"/>
  <c r="ADB46" i="3" s="1"/>
  <c r="ACL30" i="3"/>
  <c r="ACL46" i="3" s="1"/>
  <c r="ABV30" i="3"/>
  <c r="ABV46" i="3" s="1"/>
  <c r="ABF30" i="3"/>
  <c r="ABF46" i="3" s="1"/>
  <c r="AAP30" i="3"/>
  <c r="AAP46" i="3" s="1"/>
  <c r="ZZ30" i="3"/>
  <c r="ZZ46" i="3" s="1"/>
  <c r="ZR30" i="3"/>
  <c r="ZR46" i="3" s="1"/>
  <c r="ZB30" i="3"/>
  <c r="ZB46" i="3" s="1"/>
  <c r="YL30" i="3"/>
  <c r="YL46" i="3" s="1"/>
  <c r="XV30" i="3"/>
  <c r="XV46" i="3" s="1"/>
  <c r="XF30" i="3"/>
  <c r="XF46" i="3" s="1"/>
  <c r="WX30" i="3"/>
  <c r="WX46" i="3" s="1"/>
  <c r="WH30" i="3"/>
  <c r="WH46" i="3" s="1"/>
  <c r="VZ30" i="3"/>
  <c r="VZ46" i="3" s="1"/>
  <c r="VR30" i="3"/>
  <c r="VR46" i="3" s="1"/>
  <c r="VJ30" i="3"/>
  <c r="VJ46" i="3" s="1"/>
  <c r="UT30" i="3"/>
  <c r="UT46" i="3" s="1"/>
  <c r="UL30" i="3"/>
  <c r="UL46" i="3" s="1"/>
  <c r="TV30" i="3"/>
  <c r="TV46" i="3" s="1"/>
  <c r="TF30" i="3"/>
  <c r="TF46" i="3" s="1"/>
  <c r="SX30" i="3"/>
  <c r="SX46" i="3" s="1"/>
  <c r="SH30" i="3"/>
  <c r="SH46" i="3" s="1"/>
  <c r="MT30" i="3"/>
  <c r="MT46" i="3" s="1"/>
  <c r="LN30" i="3"/>
  <c r="LN46" i="3" s="1"/>
  <c r="ALJ27" i="3"/>
  <c r="ALJ43" i="3" s="1"/>
  <c r="ALB27" i="3"/>
  <c r="ALB43" i="3" s="1"/>
  <c r="AKL27" i="3"/>
  <c r="AKL43" i="3" s="1"/>
  <c r="AJV27" i="3"/>
  <c r="AJV43" i="3" s="1"/>
  <c r="AJF27" i="3"/>
  <c r="AJF43" i="3" s="1"/>
  <c r="AIX27" i="3"/>
  <c r="AIX43" i="3" s="1"/>
  <c r="AIH27" i="3"/>
  <c r="AIH43" i="3" s="1"/>
  <c r="AHZ27" i="3"/>
  <c r="AHZ43" i="3" s="1"/>
  <c r="AHJ27" i="3"/>
  <c r="AHJ43" i="3" s="1"/>
  <c r="AHB27" i="3"/>
  <c r="AHB43" i="3" s="1"/>
  <c r="AGT27" i="3"/>
  <c r="AGT43" i="3" s="1"/>
  <c r="AGD27" i="3"/>
  <c r="AGD43" i="3" s="1"/>
  <c r="AFN27" i="3"/>
  <c r="AFN43" i="3" s="1"/>
  <c r="AEX27" i="3"/>
  <c r="AEX43" i="3" s="1"/>
  <c r="AEH27" i="3"/>
  <c r="AEH43" i="3" s="1"/>
  <c r="ADZ27" i="3"/>
  <c r="ADZ43" i="3" s="1"/>
  <c r="ADR27" i="3"/>
  <c r="ADR43" i="3" s="1"/>
  <c r="ADJ27" i="3"/>
  <c r="ADJ43" i="3" s="1"/>
  <c r="ACT27" i="3"/>
  <c r="ACT43" i="3" s="1"/>
  <c r="ACL27" i="3"/>
  <c r="ACL43" i="3" s="1"/>
  <c r="ACD27" i="3"/>
  <c r="ACD43" i="3" s="1"/>
  <c r="ABV27" i="3"/>
  <c r="ABV43" i="3" s="1"/>
  <c r="ABF27" i="3"/>
  <c r="ABF43" i="3" s="1"/>
  <c r="AAX27" i="3"/>
  <c r="AAX43" i="3" s="1"/>
  <c r="AAH27" i="3"/>
  <c r="AAH43" i="3" s="1"/>
  <c r="ZR27" i="3"/>
  <c r="ZR43" i="3" s="1"/>
  <c r="ZJ27" i="3"/>
  <c r="ZJ43" i="3" s="1"/>
  <c r="ZB27" i="3"/>
  <c r="ZB43" i="3" s="1"/>
  <c r="YL27" i="3"/>
  <c r="YL43" i="3" s="1"/>
  <c r="YD27" i="3"/>
  <c r="YD43" i="3" s="1"/>
  <c r="XN27" i="3"/>
  <c r="XN43" i="3" s="1"/>
  <c r="WX27" i="3"/>
  <c r="WX43" i="3" s="1"/>
  <c r="WH27" i="3"/>
  <c r="WH43" i="3" s="1"/>
  <c r="VR27" i="3"/>
  <c r="VR43" i="3" s="1"/>
  <c r="VJ27" i="3"/>
  <c r="VJ43" i="3" s="1"/>
  <c r="UT27" i="3"/>
  <c r="UT43" i="3" s="1"/>
  <c r="UL27" i="3"/>
  <c r="UL43" i="3" s="1"/>
  <c r="TV27" i="3"/>
  <c r="TV43" i="3" s="1"/>
  <c r="TN27" i="3"/>
  <c r="TN43" i="3" s="1"/>
  <c r="TF27" i="3"/>
  <c r="TF43" i="3" s="1"/>
  <c r="SX27" i="3"/>
  <c r="SX43" i="3" s="1"/>
  <c r="SP27" i="3"/>
  <c r="SP43" i="3" s="1"/>
  <c r="SH27" i="3"/>
  <c r="SH43" i="3" s="1"/>
  <c r="RR27" i="3"/>
  <c r="RR43" i="3" s="1"/>
  <c r="PF27" i="3"/>
  <c r="PF43" i="3" s="1"/>
  <c r="LN27" i="3"/>
  <c r="LN43" i="3" s="1"/>
  <c r="BR27" i="3"/>
  <c r="BR43" i="3" s="1"/>
  <c r="ALJ39" i="3"/>
  <c r="ALJ55" i="3" s="1"/>
  <c r="ALF39" i="3"/>
  <c r="ALF55" i="3" s="1"/>
  <c r="ALB39" i="3"/>
  <c r="ALB55" i="3" s="1"/>
  <c r="AKX39" i="3"/>
  <c r="AKX55" i="3" s="1"/>
  <c r="AKT39" i="3"/>
  <c r="AKT55" i="3" s="1"/>
  <c r="AKP39" i="3"/>
  <c r="AKP55" i="3" s="1"/>
  <c r="AKL39" i="3"/>
  <c r="AKL55" i="3" s="1"/>
  <c r="AKH39" i="3"/>
  <c r="AKH55" i="3" s="1"/>
  <c r="AKD39" i="3"/>
  <c r="AKD55" i="3" s="1"/>
  <c r="AJZ39" i="3"/>
  <c r="AJZ55" i="3" s="1"/>
  <c r="AJV39" i="3"/>
  <c r="AJV55" i="3" s="1"/>
  <c r="AJR39" i="3"/>
  <c r="AJR55" i="3" s="1"/>
  <c r="AJN39" i="3"/>
  <c r="AJN55" i="3" s="1"/>
  <c r="AJJ39" i="3"/>
  <c r="AJJ55" i="3" s="1"/>
  <c r="AJF39" i="3"/>
  <c r="AJF55" i="3" s="1"/>
  <c r="AJB39" i="3"/>
  <c r="AJB55" i="3" s="1"/>
  <c r="AIX39" i="3"/>
  <c r="AIX55" i="3" s="1"/>
  <c r="AIT39" i="3"/>
  <c r="AIT55" i="3" s="1"/>
  <c r="AIP39" i="3"/>
  <c r="AIP55" i="3" s="1"/>
  <c r="AIL39" i="3"/>
  <c r="AIL55" i="3" s="1"/>
  <c r="AIH39" i="3"/>
  <c r="AIH55" i="3" s="1"/>
  <c r="AID39" i="3"/>
  <c r="AID55" i="3" s="1"/>
  <c r="AHZ39" i="3"/>
  <c r="AHZ55" i="3" s="1"/>
  <c r="AHV39" i="3"/>
  <c r="AHV55" i="3" s="1"/>
  <c r="AHR39" i="3"/>
  <c r="AHR55" i="3" s="1"/>
  <c r="AHN39" i="3"/>
  <c r="AHN55" i="3" s="1"/>
  <c r="AHJ39" i="3"/>
  <c r="AHJ55" i="3" s="1"/>
  <c r="AHF39" i="3"/>
  <c r="AHF55" i="3" s="1"/>
  <c r="AHB39" i="3"/>
  <c r="AHB55" i="3" s="1"/>
  <c r="AGX39" i="3"/>
  <c r="AGX55" i="3" s="1"/>
  <c r="AGT39" i="3"/>
  <c r="AGT55" i="3" s="1"/>
  <c r="AGP39" i="3"/>
  <c r="AGP55" i="3" s="1"/>
  <c r="AGL39" i="3"/>
  <c r="AGL55" i="3" s="1"/>
  <c r="AGH39" i="3"/>
  <c r="AGH55" i="3" s="1"/>
  <c r="AGD39" i="3"/>
  <c r="AGD55" i="3" s="1"/>
  <c r="AFZ39" i="3"/>
  <c r="AFZ55" i="3" s="1"/>
  <c r="AFV39" i="3"/>
  <c r="AFV55" i="3" s="1"/>
  <c r="AFR39" i="3"/>
  <c r="AFR55" i="3" s="1"/>
  <c r="AFN39" i="3"/>
  <c r="AFN55" i="3" s="1"/>
  <c r="AFJ39" i="3"/>
  <c r="AFJ55" i="3" s="1"/>
  <c r="AFF39" i="3"/>
  <c r="AFF55" i="3" s="1"/>
  <c r="AFB39" i="3"/>
  <c r="AFB55" i="3" s="1"/>
  <c r="AEX39" i="3"/>
  <c r="AEX55" i="3" s="1"/>
  <c r="AET39" i="3"/>
  <c r="AET55" i="3" s="1"/>
  <c r="AEP39" i="3"/>
  <c r="AEP55" i="3" s="1"/>
  <c r="AEL39" i="3"/>
  <c r="AEL55" i="3" s="1"/>
  <c r="AEH39" i="3"/>
  <c r="AEH55" i="3" s="1"/>
  <c r="AED39" i="3"/>
  <c r="AED55" i="3" s="1"/>
  <c r="ADZ39" i="3"/>
  <c r="ADZ55" i="3" s="1"/>
  <c r="ADV39" i="3"/>
  <c r="ADV55" i="3" s="1"/>
  <c r="ADR39" i="3"/>
  <c r="ADR55" i="3" s="1"/>
  <c r="ADN39" i="3"/>
  <c r="ADN55" i="3" s="1"/>
  <c r="ADJ39" i="3"/>
  <c r="ADJ55" i="3" s="1"/>
  <c r="ADF39" i="3"/>
  <c r="ADF55" i="3" s="1"/>
  <c r="ADB39" i="3"/>
  <c r="ADB55" i="3" s="1"/>
  <c r="ACX39" i="3"/>
  <c r="ACX55" i="3" s="1"/>
  <c r="ACT39" i="3"/>
  <c r="ACT55" i="3" s="1"/>
  <c r="ACP39" i="3"/>
  <c r="ACP55" i="3" s="1"/>
  <c r="ACL39" i="3"/>
  <c r="ACL55" i="3" s="1"/>
  <c r="ACH39" i="3"/>
  <c r="ACH55" i="3" s="1"/>
  <c r="ACD39" i="3"/>
  <c r="ACD55" i="3" s="1"/>
  <c r="ABZ39" i="3"/>
  <c r="ABZ55" i="3" s="1"/>
  <c r="ABV39" i="3"/>
  <c r="ABV55" i="3" s="1"/>
  <c r="ABR39" i="3"/>
  <c r="ABR55" i="3" s="1"/>
  <c r="ABN39" i="3"/>
  <c r="ABN55" i="3" s="1"/>
  <c r="ABJ39" i="3"/>
  <c r="ABJ55" i="3" s="1"/>
  <c r="ABF39" i="3"/>
  <c r="ABF55" i="3" s="1"/>
  <c r="ABB39" i="3"/>
  <c r="ABB55" i="3" s="1"/>
  <c r="AAX39" i="3"/>
  <c r="AAX55" i="3" s="1"/>
  <c r="AAT39" i="3"/>
  <c r="AAT55" i="3" s="1"/>
  <c r="AAP39" i="3"/>
  <c r="AAP55" i="3" s="1"/>
  <c r="AAL39" i="3"/>
  <c r="AAL55" i="3" s="1"/>
  <c r="AAH39" i="3"/>
  <c r="AAH55" i="3" s="1"/>
  <c r="AAD39" i="3"/>
  <c r="AAD55" i="3" s="1"/>
  <c r="ZZ39" i="3"/>
  <c r="ZZ55" i="3" s="1"/>
  <c r="ZV39" i="3"/>
  <c r="ZV55" i="3" s="1"/>
  <c r="ZR39" i="3"/>
  <c r="ZR55" i="3" s="1"/>
  <c r="ZN39" i="3"/>
  <c r="ZN55" i="3" s="1"/>
  <c r="ZJ39" i="3"/>
  <c r="ZJ55" i="3" s="1"/>
  <c r="ZF39" i="3"/>
  <c r="ZF55" i="3" s="1"/>
  <c r="ZB39" i="3"/>
  <c r="ZB55" i="3" s="1"/>
  <c r="YX39" i="3"/>
  <c r="YX55" i="3" s="1"/>
  <c r="YT39" i="3"/>
  <c r="YT55" i="3" s="1"/>
  <c r="YP39" i="3"/>
  <c r="YP55" i="3" s="1"/>
  <c r="YL39" i="3"/>
  <c r="YL55" i="3" s="1"/>
  <c r="YH39" i="3"/>
  <c r="YH55" i="3" s="1"/>
  <c r="YD39" i="3"/>
  <c r="YD55" i="3" s="1"/>
  <c r="XZ39" i="3"/>
  <c r="XZ55" i="3" s="1"/>
  <c r="XV39" i="3"/>
  <c r="XV55" i="3" s="1"/>
  <c r="XR39" i="3"/>
  <c r="XR55" i="3" s="1"/>
  <c r="XN39" i="3"/>
  <c r="XN55" i="3" s="1"/>
  <c r="XJ39" i="3"/>
  <c r="XJ55" i="3" s="1"/>
  <c r="XF39" i="3"/>
  <c r="XF55" i="3" s="1"/>
  <c r="XB39" i="3"/>
  <c r="XB55" i="3" s="1"/>
  <c r="WX39" i="3"/>
  <c r="WX55" i="3" s="1"/>
  <c r="WT39" i="3"/>
  <c r="WT55" i="3" s="1"/>
  <c r="WP39" i="3"/>
  <c r="WP55" i="3" s="1"/>
  <c r="WL39" i="3"/>
  <c r="WL55" i="3" s="1"/>
  <c r="WH39" i="3"/>
  <c r="WH55" i="3" s="1"/>
  <c r="WD39" i="3"/>
  <c r="WD55" i="3" s="1"/>
  <c r="VZ39" i="3"/>
  <c r="VZ55" i="3" s="1"/>
  <c r="VV39" i="3"/>
  <c r="VV55" i="3" s="1"/>
  <c r="VR39" i="3"/>
  <c r="VR55" i="3" s="1"/>
  <c r="VN39" i="3"/>
  <c r="VN55" i="3" s="1"/>
  <c r="VJ39" i="3"/>
  <c r="VJ55" i="3" s="1"/>
  <c r="VF39" i="3"/>
  <c r="VF55" i="3" s="1"/>
  <c r="VB39" i="3"/>
  <c r="VB55" i="3" s="1"/>
  <c r="UX39" i="3"/>
  <c r="UX55" i="3" s="1"/>
  <c r="UT39" i="3"/>
  <c r="UT55" i="3" s="1"/>
  <c r="UP39" i="3"/>
  <c r="UP55" i="3" s="1"/>
  <c r="UL39" i="3"/>
  <c r="UL55" i="3" s="1"/>
  <c r="UH39" i="3"/>
  <c r="UH55" i="3" s="1"/>
  <c r="UD39" i="3"/>
  <c r="UD55" i="3" s="1"/>
  <c r="TZ39" i="3"/>
  <c r="TZ55" i="3" s="1"/>
  <c r="TV39" i="3"/>
  <c r="TV55" i="3" s="1"/>
  <c r="TR39" i="3"/>
  <c r="TR55" i="3" s="1"/>
  <c r="TN39" i="3"/>
  <c r="TN55" i="3" s="1"/>
  <c r="TJ39" i="3"/>
  <c r="TJ55" i="3" s="1"/>
  <c r="TF39" i="3"/>
  <c r="TF55" i="3" s="1"/>
  <c r="TB39" i="3"/>
  <c r="TB55" i="3" s="1"/>
  <c r="SX39" i="3"/>
  <c r="SX55" i="3" s="1"/>
  <c r="ST39" i="3"/>
  <c r="ST55" i="3" s="1"/>
  <c r="SP39" i="3"/>
  <c r="SP55" i="3" s="1"/>
  <c r="SL39" i="3"/>
  <c r="SL55" i="3" s="1"/>
  <c r="SH39" i="3"/>
  <c r="SH55" i="3" s="1"/>
  <c r="RZ39" i="3"/>
  <c r="RZ55" i="3" s="1"/>
  <c r="QT39" i="3"/>
  <c r="QT55" i="3" s="1"/>
  <c r="OT39" i="3"/>
  <c r="OT55" i="3" s="1"/>
  <c r="NR39" i="3"/>
  <c r="NR55" i="3" s="1"/>
  <c r="NN39" i="3"/>
  <c r="NN55" i="3" s="1"/>
  <c r="MX39" i="3"/>
  <c r="MX55" i="3" s="1"/>
  <c r="MH39" i="3"/>
  <c r="MH55" i="3" s="1"/>
  <c r="LN39" i="3"/>
  <c r="LN55" i="3" s="1"/>
  <c r="JJ39" i="3"/>
  <c r="JJ55" i="3" s="1"/>
  <c r="HV39" i="3"/>
  <c r="HV55" i="3" s="1"/>
  <c r="GP39" i="3"/>
  <c r="GP55" i="3" s="1"/>
  <c r="AT39" i="3"/>
  <c r="AT55" i="3" s="1"/>
  <c r="B39" i="3"/>
  <c r="B55" i="3" s="1"/>
  <c r="ALJ36" i="3"/>
  <c r="ALJ52" i="3" s="1"/>
  <c r="ALF36" i="3"/>
  <c r="ALF52" i="3" s="1"/>
  <c r="ALB36" i="3"/>
  <c r="ALB52" i="3" s="1"/>
  <c r="AKX36" i="3"/>
  <c r="AKX52" i="3" s="1"/>
  <c r="AKT36" i="3"/>
  <c r="AKT52" i="3" s="1"/>
  <c r="AKP36" i="3"/>
  <c r="AKP52" i="3" s="1"/>
  <c r="AKL36" i="3"/>
  <c r="AKL52" i="3" s="1"/>
  <c r="AKH36" i="3"/>
  <c r="AKH52" i="3" s="1"/>
  <c r="AKD36" i="3"/>
  <c r="AKD52" i="3" s="1"/>
  <c r="AJZ36" i="3"/>
  <c r="AJZ52" i="3" s="1"/>
  <c r="AJV36" i="3"/>
  <c r="AJV52" i="3" s="1"/>
  <c r="AJR36" i="3"/>
  <c r="AJR52" i="3" s="1"/>
  <c r="AJN36" i="3"/>
  <c r="AJN52" i="3" s="1"/>
  <c r="AJJ36" i="3"/>
  <c r="AJJ52" i="3" s="1"/>
  <c r="AJF36" i="3"/>
  <c r="AJF52" i="3" s="1"/>
  <c r="AJB36" i="3"/>
  <c r="AJB52" i="3" s="1"/>
  <c r="AIX36" i="3"/>
  <c r="AIX52" i="3" s="1"/>
  <c r="AIT36" i="3"/>
  <c r="AIT52" i="3" s="1"/>
  <c r="AIP36" i="3"/>
  <c r="AIP52" i="3" s="1"/>
  <c r="AIL36" i="3"/>
  <c r="AIL52" i="3" s="1"/>
  <c r="AIH36" i="3"/>
  <c r="AIH52" i="3" s="1"/>
  <c r="AID36" i="3"/>
  <c r="AID52" i="3" s="1"/>
  <c r="AHZ36" i="3"/>
  <c r="AHZ52" i="3" s="1"/>
  <c r="AHV36" i="3"/>
  <c r="AHV52" i="3" s="1"/>
  <c r="AHR36" i="3"/>
  <c r="AHR52" i="3" s="1"/>
  <c r="AHN36" i="3"/>
  <c r="AHN52" i="3" s="1"/>
  <c r="AHJ36" i="3"/>
  <c r="AHJ52" i="3" s="1"/>
  <c r="AHF36" i="3"/>
  <c r="AHF52" i="3" s="1"/>
  <c r="AHB36" i="3"/>
  <c r="AHB52" i="3" s="1"/>
  <c r="AGX36" i="3"/>
  <c r="AGX52" i="3" s="1"/>
  <c r="AGT36" i="3"/>
  <c r="AGT52" i="3" s="1"/>
  <c r="AGP36" i="3"/>
  <c r="AGP52" i="3" s="1"/>
  <c r="AGL36" i="3"/>
  <c r="AGL52" i="3" s="1"/>
  <c r="AGH36" i="3"/>
  <c r="AGH52" i="3" s="1"/>
  <c r="AGD36" i="3"/>
  <c r="AGD52" i="3" s="1"/>
  <c r="AFZ36" i="3"/>
  <c r="AFZ52" i="3" s="1"/>
  <c r="AFV36" i="3"/>
  <c r="AFV52" i="3" s="1"/>
  <c r="AFR36" i="3"/>
  <c r="AFR52" i="3" s="1"/>
  <c r="AFN36" i="3"/>
  <c r="AFN52" i="3" s="1"/>
  <c r="AFJ36" i="3"/>
  <c r="AFJ52" i="3" s="1"/>
  <c r="AFF36" i="3"/>
  <c r="AFF52" i="3" s="1"/>
  <c r="AFB36" i="3"/>
  <c r="AFB52" i="3" s="1"/>
  <c r="AEX36" i="3"/>
  <c r="AEX52" i="3" s="1"/>
  <c r="AET36" i="3"/>
  <c r="AET52" i="3" s="1"/>
  <c r="AEP36" i="3"/>
  <c r="AEP52" i="3" s="1"/>
  <c r="AEL36" i="3"/>
  <c r="AEL52" i="3" s="1"/>
  <c r="AEH36" i="3"/>
  <c r="AEH52" i="3" s="1"/>
  <c r="AED36" i="3"/>
  <c r="AED52" i="3" s="1"/>
  <c r="ADZ36" i="3"/>
  <c r="ADZ52" i="3" s="1"/>
  <c r="ADV36" i="3"/>
  <c r="ADV52" i="3" s="1"/>
  <c r="ADR36" i="3"/>
  <c r="ADR52" i="3" s="1"/>
  <c r="ADN36" i="3"/>
  <c r="ADN52" i="3" s="1"/>
  <c r="ADJ36" i="3"/>
  <c r="ADJ52" i="3" s="1"/>
  <c r="ADF36" i="3"/>
  <c r="ADF52" i="3" s="1"/>
  <c r="ADB36" i="3"/>
  <c r="ADB52" i="3" s="1"/>
  <c r="ACX36" i="3"/>
  <c r="ACX52" i="3" s="1"/>
  <c r="ACT36" i="3"/>
  <c r="ACT52" i="3" s="1"/>
  <c r="ACP36" i="3"/>
  <c r="ACP52" i="3" s="1"/>
  <c r="ACL36" i="3"/>
  <c r="ACL52" i="3" s="1"/>
  <c r="ACH36" i="3"/>
  <c r="ACH52" i="3" s="1"/>
  <c r="ACD36" i="3"/>
  <c r="ACD52" i="3" s="1"/>
  <c r="ABZ36" i="3"/>
  <c r="ABZ52" i="3" s="1"/>
  <c r="ABV36" i="3"/>
  <c r="ABV52" i="3" s="1"/>
  <c r="ABR36" i="3"/>
  <c r="ABR52" i="3" s="1"/>
  <c r="ABN36" i="3"/>
  <c r="ABN52" i="3" s="1"/>
  <c r="ABJ36" i="3"/>
  <c r="ABJ52" i="3" s="1"/>
  <c r="ABF36" i="3"/>
  <c r="ABF52" i="3" s="1"/>
  <c r="ABB36" i="3"/>
  <c r="ABB52" i="3" s="1"/>
  <c r="AAX36" i="3"/>
  <c r="AAX52" i="3" s="1"/>
  <c r="AAT36" i="3"/>
  <c r="AAT52" i="3" s="1"/>
  <c r="AAP36" i="3"/>
  <c r="AAP52" i="3" s="1"/>
  <c r="AAL36" i="3"/>
  <c r="AAL52" i="3" s="1"/>
  <c r="AAH36" i="3"/>
  <c r="AAH52" i="3" s="1"/>
  <c r="AAD36" i="3"/>
  <c r="AAD52" i="3" s="1"/>
  <c r="ZZ36" i="3"/>
  <c r="ZZ52" i="3" s="1"/>
  <c r="ZV36" i="3"/>
  <c r="ZV52" i="3" s="1"/>
  <c r="ZR36" i="3"/>
  <c r="ZR52" i="3" s="1"/>
  <c r="ZN36" i="3"/>
  <c r="ZN52" i="3" s="1"/>
  <c r="ZJ36" i="3"/>
  <c r="ZJ52" i="3" s="1"/>
  <c r="ZF36" i="3"/>
  <c r="ZF52" i="3" s="1"/>
  <c r="ZB36" i="3"/>
  <c r="ZB52" i="3" s="1"/>
  <c r="YX36" i="3"/>
  <c r="YX52" i="3" s="1"/>
  <c r="YT36" i="3"/>
  <c r="YT52" i="3" s="1"/>
  <c r="YP36" i="3"/>
  <c r="YP52" i="3" s="1"/>
  <c r="YL36" i="3"/>
  <c r="YL52" i="3" s="1"/>
  <c r="YH36" i="3"/>
  <c r="YH52" i="3" s="1"/>
  <c r="YD36" i="3"/>
  <c r="YD52" i="3" s="1"/>
  <c r="XZ36" i="3"/>
  <c r="XZ52" i="3" s="1"/>
  <c r="XV36" i="3"/>
  <c r="XV52" i="3" s="1"/>
  <c r="XR36" i="3"/>
  <c r="XR52" i="3" s="1"/>
  <c r="XN36" i="3"/>
  <c r="XN52" i="3" s="1"/>
  <c r="XJ36" i="3"/>
  <c r="XJ52" i="3" s="1"/>
  <c r="XF36" i="3"/>
  <c r="XF52" i="3" s="1"/>
  <c r="XB36" i="3"/>
  <c r="XB52" i="3" s="1"/>
  <c r="WX36" i="3"/>
  <c r="WX52" i="3" s="1"/>
  <c r="WT36" i="3"/>
  <c r="WT52" i="3" s="1"/>
  <c r="WP36" i="3"/>
  <c r="WP52" i="3" s="1"/>
  <c r="WL36" i="3"/>
  <c r="WL52" i="3" s="1"/>
  <c r="WH36" i="3"/>
  <c r="WH52" i="3" s="1"/>
  <c r="WD36" i="3"/>
  <c r="WD52" i="3" s="1"/>
  <c r="VZ36" i="3"/>
  <c r="VZ52" i="3" s="1"/>
  <c r="VV36" i="3"/>
  <c r="VV52" i="3" s="1"/>
  <c r="VR36" i="3"/>
  <c r="VR52" i="3" s="1"/>
  <c r="VN36" i="3"/>
  <c r="VN52" i="3" s="1"/>
  <c r="VJ36" i="3"/>
  <c r="VJ52" i="3" s="1"/>
  <c r="VF36" i="3"/>
  <c r="VF52" i="3" s="1"/>
  <c r="VB36" i="3"/>
  <c r="VB52" i="3" s="1"/>
  <c r="UX36" i="3"/>
  <c r="UX52" i="3" s="1"/>
  <c r="UT36" i="3"/>
  <c r="UT52" i="3" s="1"/>
  <c r="UP36" i="3"/>
  <c r="UP52" i="3" s="1"/>
  <c r="UL36" i="3"/>
  <c r="UL52" i="3" s="1"/>
  <c r="UH36" i="3"/>
  <c r="UH52" i="3" s="1"/>
  <c r="UD36" i="3"/>
  <c r="UD52" i="3" s="1"/>
  <c r="TZ36" i="3"/>
  <c r="TZ52" i="3" s="1"/>
  <c r="TV36" i="3"/>
  <c r="TV52" i="3" s="1"/>
  <c r="TR36" i="3"/>
  <c r="TR52" i="3" s="1"/>
  <c r="TN36" i="3"/>
  <c r="TN52" i="3" s="1"/>
  <c r="TJ36" i="3"/>
  <c r="TJ52" i="3" s="1"/>
  <c r="TF36" i="3"/>
  <c r="TF52" i="3" s="1"/>
  <c r="TB36" i="3"/>
  <c r="TB52" i="3" s="1"/>
  <c r="SX36" i="3"/>
  <c r="SX52" i="3" s="1"/>
  <c r="ST36" i="3"/>
  <c r="ST52" i="3" s="1"/>
  <c r="SP36" i="3"/>
  <c r="SP52" i="3" s="1"/>
  <c r="SL36" i="3"/>
  <c r="SL52" i="3" s="1"/>
  <c r="SH36" i="3"/>
  <c r="SH52" i="3" s="1"/>
  <c r="OT36" i="3"/>
  <c r="OT52" i="3" s="1"/>
  <c r="OL36" i="3"/>
  <c r="OL52" i="3" s="1"/>
  <c r="OH36" i="3"/>
  <c r="OH52" i="3" s="1"/>
  <c r="NB36" i="3"/>
  <c r="NB52" i="3" s="1"/>
  <c r="MT36" i="3"/>
  <c r="MT52" i="3" s="1"/>
  <c r="MH36" i="3"/>
  <c r="MH52" i="3" s="1"/>
  <c r="LZ36" i="3"/>
  <c r="LZ52" i="3" s="1"/>
  <c r="LR36" i="3"/>
  <c r="LR52" i="3" s="1"/>
  <c r="KX36" i="3"/>
  <c r="KX52" i="3" s="1"/>
  <c r="KT36" i="3"/>
  <c r="KT52" i="3" s="1"/>
  <c r="JN36" i="3"/>
  <c r="JN52" i="3" s="1"/>
  <c r="JF36" i="3"/>
  <c r="JF52" i="3" s="1"/>
  <c r="IP36" i="3"/>
  <c r="IP52" i="3" s="1"/>
  <c r="IH36" i="3"/>
  <c r="IH52" i="3" s="1"/>
  <c r="ALJ33" i="3"/>
  <c r="ALJ49" i="3" s="1"/>
  <c r="ALF33" i="3"/>
  <c r="ALF49" i="3" s="1"/>
  <c r="ALB33" i="3"/>
  <c r="ALB49" i="3" s="1"/>
  <c r="AKX33" i="3"/>
  <c r="AKX49" i="3" s="1"/>
  <c r="AKT33" i="3"/>
  <c r="AKT49" i="3" s="1"/>
  <c r="AKP33" i="3"/>
  <c r="AKP49" i="3" s="1"/>
  <c r="AKL33" i="3"/>
  <c r="AKL49" i="3" s="1"/>
  <c r="AKH33" i="3"/>
  <c r="AKH49" i="3" s="1"/>
  <c r="AKD33" i="3"/>
  <c r="AKD49" i="3" s="1"/>
  <c r="AJZ33" i="3"/>
  <c r="AJZ49" i="3" s="1"/>
  <c r="AJV33" i="3"/>
  <c r="AJV49" i="3" s="1"/>
  <c r="AJR33" i="3"/>
  <c r="AJR49" i="3" s="1"/>
  <c r="AJN33" i="3"/>
  <c r="AJN49" i="3" s="1"/>
  <c r="AJJ33" i="3"/>
  <c r="AJJ49" i="3" s="1"/>
  <c r="AJF33" i="3"/>
  <c r="AJF49" i="3" s="1"/>
  <c r="AJB33" i="3"/>
  <c r="AJB49" i="3" s="1"/>
  <c r="AIX33" i="3"/>
  <c r="AIX49" i="3" s="1"/>
  <c r="AIT33" i="3"/>
  <c r="AIT49" i="3" s="1"/>
  <c r="AIP33" i="3"/>
  <c r="AIP49" i="3" s="1"/>
  <c r="AIL33" i="3"/>
  <c r="AIL49" i="3" s="1"/>
  <c r="AIH33" i="3"/>
  <c r="AIH49" i="3" s="1"/>
  <c r="AID33" i="3"/>
  <c r="AID49" i="3" s="1"/>
  <c r="AHZ33" i="3"/>
  <c r="AHZ49" i="3" s="1"/>
  <c r="AHV33" i="3"/>
  <c r="AHV49" i="3" s="1"/>
  <c r="AHR33" i="3"/>
  <c r="AHR49" i="3" s="1"/>
  <c r="AHN33" i="3"/>
  <c r="AHN49" i="3" s="1"/>
  <c r="AHJ33" i="3"/>
  <c r="AHJ49" i="3" s="1"/>
  <c r="AHF33" i="3"/>
  <c r="AHF49" i="3" s="1"/>
  <c r="AHB33" i="3"/>
  <c r="AHB49" i="3" s="1"/>
  <c r="AGX33" i="3"/>
  <c r="AGX49" i="3" s="1"/>
  <c r="AGT33" i="3"/>
  <c r="AGT49" i="3" s="1"/>
  <c r="AGP33" i="3"/>
  <c r="AGP49" i="3" s="1"/>
  <c r="AGL33" i="3"/>
  <c r="AGL49" i="3" s="1"/>
  <c r="AGH33" i="3"/>
  <c r="AGH49" i="3" s="1"/>
  <c r="AGD33" i="3"/>
  <c r="AGD49" i="3" s="1"/>
  <c r="AFZ33" i="3"/>
  <c r="AFZ49" i="3" s="1"/>
  <c r="AFV33" i="3"/>
  <c r="AFV49" i="3" s="1"/>
  <c r="AFR33" i="3"/>
  <c r="AFR49" i="3" s="1"/>
  <c r="AFN33" i="3"/>
  <c r="AFN49" i="3" s="1"/>
  <c r="AFJ33" i="3"/>
  <c r="AFJ49" i="3" s="1"/>
  <c r="AFF33" i="3"/>
  <c r="AFF49" i="3" s="1"/>
  <c r="AFB33" i="3"/>
  <c r="AFB49" i="3" s="1"/>
  <c r="AEX33" i="3"/>
  <c r="AEX49" i="3" s="1"/>
  <c r="AET33" i="3"/>
  <c r="AET49" i="3" s="1"/>
  <c r="AEP33" i="3"/>
  <c r="AEP49" i="3" s="1"/>
  <c r="AEL33" i="3"/>
  <c r="AEL49" i="3" s="1"/>
  <c r="AEH33" i="3"/>
  <c r="AEH49" i="3" s="1"/>
  <c r="AED33" i="3"/>
  <c r="AED49" i="3" s="1"/>
  <c r="ADZ33" i="3"/>
  <c r="ADZ49" i="3" s="1"/>
  <c r="ADV33" i="3"/>
  <c r="ADV49" i="3" s="1"/>
  <c r="ADR33" i="3"/>
  <c r="ADR49" i="3" s="1"/>
  <c r="ADN33" i="3"/>
  <c r="ADN49" i="3" s="1"/>
  <c r="ADJ33" i="3"/>
  <c r="ADJ49" i="3" s="1"/>
  <c r="ADF33" i="3"/>
  <c r="ADF49" i="3" s="1"/>
  <c r="ADB33" i="3"/>
  <c r="ADB49" i="3" s="1"/>
  <c r="ACX33" i="3"/>
  <c r="ACX49" i="3" s="1"/>
  <c r="ACT33" i="3"/>
  <c r="ACT49" i="3" s="1"/>
  <c r="ACP33" i="3"/>
  <c r="ACP49" i="3" s="1"/>
  <c r="ACL33" i="3"/>
  <c r="ACL49" i="3" s="1"/>
  <c r="ACH33" i="3"/>
  <c r="ACH49" i="3" s="1"/>
  <c r="ACD33" i="3"/>
  <c r="ACD49" i="3" s="1"/>
  <c r="ABZ33" i="3"/>
  <c r="ABZ49" i="3" s="1"/>
  <c r="ABV33" i="3"/>
  <c r="ABV49" i="3" s="1"/>
  <c r="ABR33" i="3"/>
  <c r="ABR49" i="3" s="1"/>
  <c r="ABN33" i="3"/>
  <c r="ABN49" i="3" s="1"/>
  <c r="ABJ33" i="3"/>
  <c r="ABJ49" i="3" s="1"/>
  <c r="ABF33" i="3"/>
  <c r="ABF49" i="3" s="1"/>
  <c r="ABB33" i="3"/>
  <c r="ABB49" i="3" s="1"/>
  <c r="AAX33" i="3"/>
  <c r="AAX49" i="3" s="1"/>
  <c r="AAT33" i="3"/>
  <c r="AAT49" i="3" s="1"/>
  <c r="AAP33" i="3"/>
  <c r="AAP49" i="3" s="1"/>
  <c r="AAL33" i="3"/>
  <c r="AAL49" i="3" s="1"/>
  <c r="AAH33" i="3"/>
  <c r="AAH49" i="3" s="1"/>
  <c r="AAD33" i="3"/>
  <c r="AAD49" i="3" s="1"/>
  <c r="ZZ33" i="3"/>
  <c r="ZZ49" i="3" s="1"/>
  <c r="ZV33" i="3"/>
  <c r="ZV49" i="3" s="1"/>
  <c r="ZR33" i="3"/>
  <c r="ZR49" i="3" s="1"/>
  <c r="ZN33" i="3"/>
  <c r="ZN49" i="3" s="1"/>
  <c r="ZJ33" i="3"/>
  <c r="ZJ49" i="3" s="1"/>
  <c r="ZF33" i="3"/>
  <c r="ZF49" i="3" s="1"/>
  <c r="ZB33" i="3"/>
  <c r="ZB49" i="3" s="1"/>
  <c r="YX33" i="3"/>
  <c r="YX49" i="3" s="1"/>
  <c r="YT33" i="3"/>
  <c r="YT49" i="3" s="1"/>
  <c r="YP33" i="3"/>
  <c r="YP49" i="3" s="1"/>
  <c r="YL33" i="3"/>
  <c r="YL49" i="3" s="1"/>
  <c r="YH33" i="3"/>
  <c r="YH49" i="3" s="1"/>
  <c r="YD33" i="3"/>
  <c r="YD49" i="3" s="1"/>
  <c r="XZ33" i="3"/>
  <c r="XZ49" i="3" s="1"/>
  <c r="XV33" i="3"/>
  <c r="XV49" i="3" s="1"/>
  <c r="XR33" i="3"/>
  <c r="XR49" i="3" s="1"/>
  <c r="XN33" i="3"/>
  <c r="XN49" i="3" s="1"/>
  <c r="XJ33" i="3"/>
  <c r="XJ49" i="3" s="1"/>
  <c r="XF33" i="3"/>
  <c r="XF49" i="3" s="1"/>
  <c r="XB33" i="3"/>
  <c r="XB49" i="3" s="1"/>
  <c r="WX33" i="3"/>
  <c r="WX49" i="3" s="1"/>
  <c r="WT33" i="3"/>
  <c r="WT49" i="3" s="1"/>
  <c r="WP33" i="3"/>
  <c r="WP49" i="3" s="1"/>
  <c r="WL33" i="3"/>
  <c r="WL49" i="3" s="1"/>
  <c r="WH33" i="3"/>
  <c r="WH49" i="3" s="1"/>
  <c r="WD33" i="3"/>
  <c r="WD49" i="3" s="1"/>
  <c r="VZ33" i="3"/>
  <c r="VZ49" i="3" s="1"/>
  <c r="VV33" i="3"/>
  <c r="VV49" i="3" s="1"/>
  <c r="VR33" i="3"/>
  <c r="VR49" i="3" s="1"/>
  <c r="VN33" i="3"/>
  <c r="VN49" i="3" s="1"/>
  <c r="VJ33" i="3"/>
  <c r="VJ49" i="3" s="1"/>
  <c r="VF33" i="3"/>
  <c r="VF49" i="3" s="1"/>
  <c r="VB33" i="3"/>
  <c r="VB49" i="3" s="1"/>
  <c r="UX33" i="3"/>
  <c r="UX49" i="3" s="1"/>
  <c r="UT33" i="3"/>
  <c r="UT49" i="3" s="1"/>
  <c r="UP33" i="3"/>
  <c r="UP49" i="3" s="1"/>
  <c r="UL33" i="3"/>
  <c r="UL49" i="3" s="1"/>
  <c r="UH33" i="3"/>
  <c r="UH49" i="3" s="1"/>
  <c r="UD33" i="3"/>
  <c r="UD49" i="3" s="1"/>
  <c r="TZ33" i="3"/>
  <c r="TZ49" i="3" s="1"/>
  <c r="TV33" i="3"/>
  <c r="TV49" i="3" s="1"/>
  <c r="TR33" i="3"/>
  <c r="TR49" i="3" s="1"/>
  <c r="TN33" i="3"/>
  <c r="TN49" i="3" s="1"/>
  <c r="TJ33" i="3"/>
  <c r="TJ49" i="3" s="1"/>
  <c r="TF33" i="3"/>
  <c r="TF49" i="3" s="1"/>
  <c r="TB33" i="3"/>
  <c r="TB49" i="3" s="1"/>
  <c r="SX33" i="3"/>
  <c r="SX49" i="3" s="1"/>
  <c r="ST33" i="3"/>
  <c r="ST49" i="3" s="1"/>
  <c r="SP33" i="3"/>
  <c r="SP49" i="3" s="1"/>
  <c r="SL33" i="3"/>
  <c r="SL49" i="3" s="1"/>
  <c r="SH33" i="3"/>
  <c r="SH49" i="3" s="1"/>
  <c r="IP33" i="3"/>
  <c r="IP49" i="3" s="1"/>
  <c r="ID33" i="3"/>
  <c r="ID49" i="3" s="1"/>
  <c r="ALF30" i="3"/>
  <c r="ALF46" i="3" s="1"/>
  <c r="AKX30" i="3"/>
  <c r="AKX46" i="3" s="1"/>
  <c r="AKP30" i="3"/>
  <c r="AKP46" i="3" s="1"/>
  <c r="AKH30" i="3"/>
  <c r="AKH46" i="3" s="1"/>
  <c r="AJZ30" i="3"/>
  <c r="AJZ46" i="3" s="1"/>
  <c r="AJR30" i="3"/>
  <c r="AJR46" i="3" s="1"/>
  <c r="AJJ30" i="3"/>
  <c r="AJJ46" i="3" s="1"/>
  <c r="AJB30" i="3"/>
  <c r="AJB46" i="3" s="1"/>
  <c r="AIT30" i="3"/>
  <c r="AIT46" i="3" s="1"/>
  <c r="AIL30" i="3"/>
  <c r="AIL46" i="3" s="1"/>
  <c r="AID30" i="3"/>
  <c r="AID46" i="3" s="1"/>
  <c r="AHV30" i="3"/>
  <c r="AHV46" i="3" s="1"/>
  <c r="AHN30" i="3"/>
  <c r="AHN46" i="3" s="1"/>
  <c r="AHF30" i="3"/>
  <c r="AHF46" i="3" s="1"/>
  <c r="AGX30" i="3"/>
  <c r="AGX46" i="3" s="1"/>
  <c r="AGP30" i="3"/>
  <c r="AGP46" i="3" s="1"/>
  <c r="AGH30" i="3"/>
  <c r="AGH46" i="3" s="1"/>
  <c r="AFZ30" i="3"/>
  <c r="AFZ46" i="3" s="1"/>
  <c r="AFR30" i="3"/>
  <c r="AFR46" i="3" s="1"/>
  <c r="AFJ30" i="3"/>
  <c r="AFJ46" i="3" s="1"/>
  <c r="AFB30" i="3"/>
  <c r="AFB46" i="3" s="1"/>
  <c r="AET30" i="3"/>
  <c r="AET46" i="3" s="1"/>
  <c r="AEL30" i="3"/>
  <c r="AEL46" i="3" s="1"/>
  <c r="AED30" i="3"/>
  <c r="AED46" i="3" s="1"/>
  <c r="ADV30" i="3"/>
  <c r="ADV46" i="3" s="1"/>
  <c r="ADN30" i="3"/>
  <c r="ADN46" i="3" s="1"/>
  <c r="ADF30" i="3"/>
  <c r="ADF46" i="3" s="1"/>
  <c r="ACX30" i="3"/>
  <c r="ACX46" i="3" s="1"/>
  <c r="ACP30" i="3"/>
  <c r="ACP46" i="3" s="1"/>
  <c r="ACH30" i="3"/>
  <c r="ACH46" i="3" s="1"/>
  <c r="ABZ30" i="3"/>
  <c r="ABZ46" i="3" s="1"/>
  <c r="ABR30" i="3"/>
  <c r="ABR46" i="3" s="1"/>
  <c r="ABJ30" i="3"/>
  <c r="ABJ46" i="3" s="1"/>
  <c r="ABB30" i="3"/>
  <c r="ABB46" i="3" s="1"/>
  <c r="AAT30" i="3"/>
  <c r="AAT46" i="3" s="1"/>
  <c r="AAL30" i="3"/>
  <c r="AAL46" i="3" s="1"/>
  <c r="AAD30" i="3"/>
  <c r="AAD46" i="3" s="1"/>
  <c r="ZV30" i="3"/>
  <c r="ZV46" i="3" s="1"/>
  <c r="ZN30" i="3"/>
  <c r="ZN46" i="3" s="1"/>
  <c r="ZF30" i="3"/>
  <c r="ZF46" i="3" s="1"/>
  <c r="YX30" i="3"/>
  <c r="YX46" i="3" s="1"/>
  <c r="YP30" i="3"/>
  <c r="YP46" i="3" s="1"/>
  <c r="YH30" i="3"/>
  <c r="YH46" i="3" s="1"/>
  <c r="XZ30" i="3"/>
  <c r="XZ46" i="3" s="1"/>
  <c r="XR30" i="3"/>
  <c r="XR46" i="3" s="1"/>
  <c r="XJ30" i="3"/>
  <c r="XJ46" i="3" s="1"/>
  <c r="XB30" i="3"/>
  <c r="XB46" i="3" s="1"/>
  <c r="WT30" i="3"/>
  <c r="WT46" i="3" s="1"/>
  <c r="WL30" i="3"/>
  <c r="WL46" i="3" s="1"/>
  <c r="WD30" i="3"/>
  <c r="WD46" i="3" s="1"/>
  <c r="VV30" i="3"/>
  <c r="VV46" i="3" s="1"/>
  <c r="VN30" i="3"/>
  <c r="VN46" i="3" s="1"/>
  <c r="VF30" i="3"/>
  <c r="VF46" i="3" s="1"/>
  <c r="UX30" i="3"/>
  <c r="UX46" i="3" s="1"/>
  <c r="UP30" i="3"/>
  <c r="UP46" i="3" s="1"/>
  <c r="UH30" i="3"/>
  <c r="UH46" i="3" s="1"/>
  <c r="TZ30" i="3"/>
  <c r="TZ46" i="3" s="1"/>
  <c r="TR30" i="3"/>
  <c r="TR46" i="3" s="1"/>
  <c r="TJ30" i="3"/>
  <c r="TJ46" i="3" s="1"/>
  <c r="TB30" i="3"/>
  <c r="TB46" i="3" s="1"/>
  <c r="ST30" i="3"/>
  <c r="ST46" i="3" s="1"/>
  <c r="SL30" i="3"/>
  <c r="SL46" i="3" s="1"/>
  <c r="QP30" i="3"/>
  <c r="QP46" i="3" s="1"/>
  <c r="NN30" i="3"/>
  <c r="NN46" i="3" s="1"/>
  <c r="MH30" i="3"/>
  <c r="MH46" i="3" s="1"/>
  <c r="JF30" i="3"/>
  <c r="JF46" i="3" s="1"/>
  <c r="IP30" i="3"/>
  <c r="IP46" i="3" s="1"/>
  <c r="B30" i="3"/>
  <c r="B46" i="3" s="1"/>
  <c r="ALF27" i="3"/>
  <c r="ALF43" i="3" s="1"/>
  <c r="AKX27" i="3"/>
  <c r="AKX43" i="3" s="1"/>
  <c r="AKP27" i="3"/>
  <c r="AKP43" i="3" s="1"/>
  <c r="AKH27" i="3"/>
  <c r="AKH43" i="3" s="1"/>
  <c r="AJZ27" i="3"/>
  <c r="AJZ43" i="3" s="1"/>
  <c r="AJR27" i="3"/>
  <c r="AJR43" i="3" s="1"/>
  <c r="AJJ27" i="3"/>
  <c r="AJJ43" i="3" s="1"/>
  <c r="AJB27" i="3"/>
  <c r="AJB43" i="3" s="1"/>
  <c r="AIT27" i="3"/>
  <c r="AIT43" i="3" s="1"/>
  <c r="AIL27" i="3"/>
  <c r="AIL43" i="3" s="1"/>
  <c r="AID27" i="3"/>
  <c r="AID43" i="3" s="1"/>
  <c r="AHV27" i="3"/>
  <c r="AHV43" i="3" s="1"/>
  <c r="AHN27" i="3"/>
  <c r="AHN43" i="3" s="1"/>
  <c r="AHF27" i="3"/>
  <c r="AHF43" i="3" s="1"/>
  <c r="AGX27" i="3"/>
  <c r="AGX43" i="3" s="1"/>
  <c r="AGP27" i="3"/>
  <c r="AGP43" i="3" s="1"/>
  <c r="AGH27" i="3"/>
  <c r="AGH43" i="3" s="1"/>
  <c r="AFZ27" i="3"/>
  <c r="AFZ43" i="3" s="1"/>
  <c r="AFR27" i="3"/>
  <c r="AFR43" i="3" s="1"/>
  <c r="AFJ27" i="3"/>
  <c r="AFJ43" i="3" s="1"/>
  <c r="AFB27" i="3"/>
  <c r="AFB43" i="3" s="1"/>
  <c r="AET27" i="3"/>
  <c r="AET43" i="3" s="1"/>
  <c r="AEL27" i="3"/>
  <c r="AEL43" i="3" s="1"/>
  <c r="AED27" i="3"/>
  <c r="AED43" i="3" s="1"/>
  <c r="ADV27" i="3"/>
  <c r="ADV43" i="3" s="1"/>
  <c r="ADN27" i="3"/>
  <c r="ADN43" i="3" s="1"/>
  <c r="ADF27" i="3"/>
  <c r="ADF43" i="3" s="1"/>
  <c r="ACX27" i="3"/>
  <c r="ACX43" i="3" s="1"/>
  <c r="ACP27" i="3"/>
  <c r="ACP43" i="3" s="1"/>
  <c r="ACH27" i="3"/>
  <c r="ACH43" i="3" s="1"/>
  <c r="ABZ27" i="3"/>
  <c r="ABZ43" i="3" s="1"/>
  <c r="ABR27" i="3"/>
  <c r="ABR43" i="3" s="1"/>
  <c r="ABJ27" i="3"/>
  <c r="ABJ43" i="3" s="1"/>
  <c r="ABB27" i="3"/>
  <c r="ABB43" i="3" s="1"/>
  <c r="AAT27" i="3"/>
  <c r="AAT43" i="3" s="1"/>
  <c r="AAL27" i="3"/>
  <c r="AAL43" i="3" s="1"/>
  <c r="AAD27" i="3"/>
  <c r="AAD43" i="3" s="1"/>
  <c r="ZV27" i="3"/>
  <c r="ZV43" i="3" s="1"/>
  <c r="ZN27" i="3"/>
  <c r="ZN43" i="3" s="1"/>
  <c r="ZF27" i="3"/>
  <c r="ZF43" i="3" s="1"/>
  <c r="YX27" i="3"/>
  <c r="YX43" i="3" s="1"/>
  <c r="YP27" i="3"/>
  <c r="YP43" i="3" s="1"/>
  <c r="YH27" i="3"/>
  <c r="YH43" i="3" s="1"/>
  <c r="XZ27" i="3"/>
  <c r="XZ43" i="3" s="1"/>
  <c r="XR27" i="3"/>
  <c r="XR43" i="3" s="1"/>
  <c r="XJ27" i="3"/>
  <c r="XJ43" i="3" s="1"/>
  <c r="XB27" i="3"/>
  <c r="XB43" i="3" s="1"/>
  <c r="WT27" i="3"/>
  <c r="WT43" i="3" s="1"/>
  <c r="WL27" i="3"/>
  <c r="WL43" i="3" s="1"/>
  <c r="WD27" i="3"/>
  <c r="WD43" i="3" s="1"/>
  <c r="VV27" i="3"/>
  <c r="VV43" i="3" s="1"/>
  <c r="VN27" i="3"/>
  <c r="VN43" i="3" s="1"/>
  <c r="VF27" i="3"/>
  <c r="VF43" i="3" s="1"/>
  <c r="UX27" i="3"/>
  <c r="UX43" i="3" s="1"/>
  <c r="UP27" i="3"/>
  <c r="UP43" i="3" s="1"/>
  <c r="UH27" i="3"/>
  <c r="UH43" i="3" s="1"/>
  <c r="TZ27" i="3"/>
  <c r="TZ43" i="3" s="1"/>
  <c r="TR27" i="3"/>
  <c r="TR43" i="3" s="1"/>
  <c r="TJ27" i="3"/>
  <c r="TJ43" i="3" s="1"/>
  <c r="TB27" i="3"/>
  <c r="TB43" i="3" s="1"/>
  <c r="ST27" i="3"/>
  <c r="ST43" i="3" s="1"/>
  <c r="SL27" i="3"/>
  <c r="SL43" i="3" s="1"/>
  <c r="QX27" i="3"/>
  <c r="QX43" i="3" s="1"/>
  <c r="QH27" i="3"/>
  <c r="QH43" i="3" s="1"/>
  <c r="OL27" i="3"/>
  <c r="OL43" i="3" s="1"/>
  <c r="OD27" i="3"/>
  <c r="OD43" i="3" s="1"/>
  <c r="NN27" i="3"/>
  <c r="NN43" i="3" s="1"/>
  <c r="MX27" i="3"/>
  <c r="MX43" i="3" s="1"/>
  <c r="KT27" i="3"/>
  <c r="KT43" i="3" s="1"/>
  <c r="HZ27" i="3"/>
  <c r="HZ43" i="3" s="1"/>
  <c r="B27" i="3"/>
  <c r="B43" i="3" s="1"/>
  <c r="RQ58" i="3"/>
  <c r="ALL39" i="3"/>
  <c r="ALL55" i="3" s="1"/>
  <c r="ALD39" i="3"/>
  <c r="ALD55" i="3" s="1"/>
  <c r="AKV39" i="3"/>
  <c r="AKV55" i="3" s="1"/>
  <c r="AKN39" i="3"/>
  <c r="AKN55" i="3" s="1"/>
  <c r="AKJ39" i="3"/>
  <c r="AKJ55" i="3" s="1"/>
  <c r="AKB39" i="3"/>
  <c r="AKB55" i="3" s="1"/>
  <c r="AJT39" i="3"/>
  <c r="AJT55" i="3" s="1"/>
  <c r="AJL39" i="3"/>
  <c r="AJL55" i="3" s="1"/>
  <c r="AJD39" i="3"/>
  <c r="AJD55" i="3" s="1"/>
  <c r="AIZ39" i="3"/>
  <c r="AIZ55" i="3" s="1"/>
  <c r="AIR39" i="3"/>
  <c r="AIR55" i="3" s="1"/>
  <c r="AIJ39" i="3"/>
  <c r="AIJ55" i="3" s="1"/>
  <c r="AIB39" i="3"/>
  <c r="AIB55" i="3" s="1"/>
  <c r="AHT39" i="3"/>
  <c r="AHT55" i="3" s="1"/>
  <c r="AHP39" i="3"/>
  <c r="AHP55" i="3" s="1"/>
  <c r="AHL39" i="3"/>
  <c r="AHL55" i="3" s="1"/>
  <c r="AHD39" i="3"/>
  <c r="AHD55" i="3" s="1"/>
  <c r="AGZ39" i="3"/>
  <c r="AGZ55" i="3" s="1"/>
  <c r="AGR39" i="3"/>
  <c r="AGR55" i="3" s="1"/>
  <c r="AGJ39" i="3"/>
  <c r="AGJ55" i="3" s="1"/>
  <c r="AGB39" i="3"/>
  <c r="AGB55" i="3" s="1"/>
  <c r="AFX39" i="3"/>
  <c r="AFX55" i="3" s="1"/>
  <c r="AFP39" i="3"/>
  <c r="AFP55" i="3" s="1"/>
  <c r="AFH39" i="3"/>
  <c r="AFH55" i="3" s="1"/>
  <c r="AEZ39" i="3"/>
  <c r="AEZ55" i="3" s="1"/>
  <c r="AEV39" i="3"/>
  <c r="AEV55" i="3" s="1"/>
  <c r="AEN39" i="3"/>
  <c r="AEN55" i="3" s="1"/>
  <c r="AEJ39" i="3"/>
  <c r="AEJ55" i="3" s="1"/>
  <c r="AEB39" i="3"/>
  <c r="AEB55" i="3" s="1"/>
  <c r="ADT39" i="3"/>
  <c r="ADT55" i="3" s="1"/>
  <c r="ADL39" i="3"/>
  <c r="ADL55" i="3" s="1"/>
  <c r="ADD39" i="3"/>
  <c r="ADD55" i="3" s="1"/>
  <c r="ACZ39" i="3"/>
  <c r="ACZ55" i="3" s="1"/>
  <c r="ACR39" i="3"/>
  <c r="ACR55" i="3" s="1"/>
  <c r="ACJ39" i="3"/>
  <c r="ACJ55" i="3" s="1"/>
  <c r="ACB39" i="3"/>
  <c r="ACB55" i="3" s="1"/>
  <c r="ABT39" i="3"/>
  <c r="ABT55" i="3" s="1"/>
  <c r="ABL39" i="3"/>
  <c r="ABL55" i="3" s="1"/>
  <c r="ABD39" i="3"/>
  <c r="ABD55" i="3" s="1"/>
  <c r="AAZ39" i="3"/>
  <c r="AAZ55" i="3" s="1"/>
  <c r="AAR39" i="3"/>
  <c r="AAR55" i="3" s="1"/>
  <c r="AAF39" i="3"/>
  <c r="AAF55" i="3" s="1"/>
  <c r="ZX39" i="3"/>
  <c r="ZX55" i="3" s="1"/>
  <c r="ZP39" i="3"/>
  <c r="ZP55" i="3" s="1"/>
  <c r="ZH39" i="3"/>
  <c r="ZH55" i="3" s="1"/>
  <c r="YB39" i="3"/>
  <c r="YB55" i="3" s="1"/>
  <c r="ACR36" i="3"/>
  <c r="ACR52" i="3" s="1"/>
  <c r="ALM39" i="3"/>
  <c r="ALM55" i="3" s="1"/>
  <c r="ALI39" i="3"/>
  <c r="ALI55" i="3" s="1"/>
  <c r="ALE39" i="3"/>
  <c r="ALE55" i="3" s="1"/>
  <c r="ALA39" i="3"/>
  <c r="ALA55" i="3" s="1"/>
  <c r="AKW39" i="3"/>
  <c r="AKW55" i="3" s="1"/>
  <c r="AKS39" i="3"/>
  <c r="AKS55" i="3" s="1"/>
  <c r="AKO39" i="3"/>
  <c r="AKO55" i="3" s="1"/>
  <c r="AKK39" i="3"/>
  <c r="AKK55" i="3" s="1"/>
  <c r="AKG39" i="3"/>
  <c r="AKG55" i="3" s="1"/>
  <c r="AKC39" i="3"/>
  <c r="AKC55" i="3" s="1"/>
  <c r="AJY39" i="3"/>
  <c r="AJY55" i="3" s="1"/>
  <c r="AJU39" i="3"/>
  <c r="AJU55" i="3" s="1"/>
  <c r="AJQ39" i="3"/>
  <c r="AJQ55" i="3" s="1"/>
  <c r="AJM39" i="3"/>
  <c r="AJM55" i="3" s="1"/>
  <c r="AJI39" i="3"/>
  <c r="AJI55" i="3" s="1"/>
  <c r="AJE39" i="3"/>
  <c r="AJE55" i="3" s="1"/>
  <c r="AJA39" i="3"/>
  <c r="AJA55" i="3" s="1"/>
  <c r="AIW39" i="3"/>
  <c r="AIW55" i="3" s="1"/>
  <c r="AIS39" i="3"/>
  <c r="AIS55" i="3" s="1"/>
  <c r="AIO39" i="3"/>
  <c r="AIO55" i="3" s="1"/>
  <c r="AIK39" i="3"/>
  <c r="AIK55" i="3" s="1"/>
  <c r="AIG39" i="3"/>
  <c r="AIG55" i="3" s="1"/>
  <c r="AIC39" i="3"/>
  <c r="AIC55" i="3" s="1"/>
  <c r="AHY39" i="3"/>
  <c r="AHY55" i="3" s="1"/>
  <c r="AHU39" i="3"/>
  <c r="AHU55" i="3" s="1"/>
  <c r="AHQ39" i="3"/>
  <c r="AHQ55" i="3" s="1"/>
  <c r="AHM39" i="3"/>
  <c r="AHM55" i="3" s="1"/>
  <c r="AHI39" i="3"/>
  <c r="AHI55" i="3" s="1"/>
  <c r="AHE39" i="3"/>
  <c r="AHE55" i="3" s="1"/>
  <c r="AHA39" i="3"/>
  <c r="AHA55" i="3" s="1"/>
  <c r="AGW39" i="3"/>
  <c r="AGW55" i="3" s="1"/>
  <c r="AGS39" i="3"/>
  <c r="AGS55" i="3" s="1"/>
  <c r="AGO39" i="3"/>
  <c r="AGO55" i="3" s="1"/>
  <c r="AGK39" i="3"/>
  <c r="AGK55" i="3" s="1"/>
  <c r="AGG39" i="3"/>
  <c r="AGG55" i="3" s="1"/>
  <c r="AGC39" i="3"/>
  <c r="AGC55" i="3" s="1"/>
  <c r="AFY39" i="3"/>
  <c r="AFY55" i="3" s="1"/>
  <c r="AFU39" i="3"/>
  <c r="AFU55" i="3" s="1"/>
  <c r="AFQ39" i="3"/>
  <c r="AFQ55" i="3" s="1"/>
  <c r="AFM39" i="3"/>
  <c r="AFM55" i="3" s="1"/>
  <c r="AFI39" i="3"/>
  <c r="AFI55" i="3" s="1"/>
  <c r="AFE39" i="3"/>
  <c r="AFE55" i="3" s="1"/>
  <c r="AFA39" i="3"/>
  <c r="AFA55" i="3" s="1"/>
  <c r="AEW39" i="3"/>
  <c r="AEW55" i="3" s="1"/>
  <c r="AES39" i="3"/>
  <c r="AES55" i="3" s="1"/>
  <c r="AEO39" i="3"/>
  <c r="AEO55" i="3" s="1"/>
  <c r="AEK39" i="3"/>
  <c r="AEK55" i="3" s="1"/>
  <c r="AEG39" i="3"/>
  <c r="AEG55" i="3" s="1"/>
  <c r="AEC39" i="3"/>
  <c r="AEC55" i="3" s="1"/>
  <c r="ADY39" i="3"/>
  <c r="ADY55" i="3" s="1"/>
  <c r="ADU39" i="3"/>
  <c r="ADU55" i="3" s="1"/>
  <c r="ADQ39" i="3"/>
  <c r="ADQ55" i="3" s="1"/>
  <c r="ADM39" i="3"/>
  <c r="ADM55" i="3" s="1"/>
  <c r="ADI39" i="3"/>
  <c r="ADI55" i="3" s="1"/>
  <c r="ADE39" i="3"/>
  <c r="ADE55" i="3" s="1"/>
  <c r="ADA39" i="3"/>
  <c r="ADA55" i="3" s="1"/>
  <c r="ACW39" i="3"/>
  <c r="ACW55" i="3" s="1"/>
  <c r="ACS39" i="3"/>
  <c r="ACS55" i="3" s="1"/>
  <c r="ACO39" i="3"/>
  <c r="ACO55" i="3" s="1"/>
  <c r="ACK39" i="3"/>
  <c r="ACK55" i="3" s="1"/>
  <c r="ACG39" i="3"/>
  <c r="ACG55" i="3" s="1"/>
  <c r="ACC39" i="3"/>
  <c r="ACC55" i="3" s="1"/>
  <c r="ABY39" i="3"/>
  <c r="ABY55" i="3" s="1"/>
  <c r="ABU39" i="3"/>
  <c r="ABU55" i="3" s="1"/>
  <c r="ABQ39" i="3"/>
  <c r="ABQ55" i="3" s="1"/>
  <c r="ABM39" i="3"/>
  <c r="ABM55" i="3" s="1"/>
  <c r="ABI39" i="3"/>
  <c r="ABI55" i="3" s="1"/>
  <c r="ABE39" i="3"/>
  <c r="ABE55" i="3" s="1"/>
  <c r="ABA39" i="3"/>
  <c r="ABA55" i="3" s="1"/>
  <c r="AAW39" i="3"/>
  <c r="AAW55" i="3" s="1"/>
  <c r="AAS39" i="3"/>
  <c r="AAS55" i="3" s="1"/>
  <c r="AAO39" i="3"/>
  <c r="AAO55" i="3" s="1"/>
  <c r="AAK39" i="3"/>
  <c r="AAK55" i="3" s="1"/>
  <c r="AAG39" i="3"/>
  <c r="AAG55" i="3" s="1"/>
  <c r="AAC39" i="3"/>
  <c r="AAC55" i="3" s="1"/>
  <c r="ZY39" i="3"/>
  <c r="ZY55" i="3" s="1"/>
  <c r="ZU39" i="3"/>
  <c r="ZU55" i="3" s="1"/>
  <c r="ZQ39" i="3"/>
  <c r="ZQ55" i="3" s="1"/>
  <c r="ZM39" i="3"/>
  <c r="ZM55" i="3" s="1"/>
  <c r="ZI39" i="3"/>
  <c r="ZI55" i="3" s="1"/>
  <c r="ZE39" i="3"/>
  <c r="ZE55" i="3" s="1"/>
  <c r="ZA39" i="3"/>
  <c r="ZA55" i="3" s="1"/>
  <c r="YW39" i="3"/>
  <c r="YW55" i="3" s="1"/>
  <c r="YS39" i="3"/>
  <c r="YS55" i="3" s="1"/>
  <c r="YO39" i="3"/>
  <c r="YO55" i="3" s="1"/>
  <c r="YK39" i="3"/>
  <c r="YK55" i="3" s="1"/>
  <c r="YG39" i="3"/>
  <c r="YG55" i="3" s="1"/>
  <c r="YC39" i="3"/>
  <c r="YC55" i="3" s="1"/>
  <c r="XY39" i="3"/>
  <c r="XY55" i="3" s="1"/>
  <c r="XU39" i="3"/>
  <c r="XU55" i="3" s="1"/>
  <c r="XQ39" i="3"/>
  <c r="XQ55" i="3" s="1"/>
  <c r="XM39" i="3"/>
  <c r="XM55" i="3" s="1"/>
  <c r="XI39" i="3"/>
  <c r="XI55" i="3" s="1"/>
  <c r="XE39" i="3"/>
  <c r="XE55" i="3" s="1"/>
  <c r="XA39" i="3"/>
  <c r="XA55" i="3" s="1"/>
  <c r="WW39" i="3"/>
  <c r="WW55" i="3" s="1"/>
  <c r="WS39" i="3"/>
  <c r="WS55" i="3" s="1"/>
  <c r="WO39" i="3"/>
  <c r="WO55" i="3" s="1"/>
  <c r="WK39" i="3"/>
  <c r="WK55" i="3" s="1"/>
  <c r="WG39" i="3"/>
  <c r="WG55" i="3" s="1"/>
  <c r="WC39" i="3"/>
  <c r="WC55" i="3" s="1"/>
  <c r="VY39" i="3"/>
  <c r="VY55" i="3" s="1"/>
  <c r="VU39" i="3"/>
  <c r="VU55" i="3" s="1"/>
  <c r="VQ39" i="3"/>
  <c r="VQ55" i="3" s="1"/>
  <c r="VM39" i="3"/>
  <c r="VM55" i="3" s="1"/>
  <c r="VI39" i="3"/>
  <c r="VI55" i="3" s="1"/>
  <c r="VE39" i="3"/>
  <c r="VE55" i="3" s="1"/>
  <c r="VA39" i="3"/>
  <c r="VA55" i="3" s="1"/>
  <c r="UW39" i="3"/>
  <c r="UW55" i="3" s="1"/>
  <c r="US39" i="3"/>
  <c r="US55" i="3" s="1"/>
  <c r="UO39" i="3"/>
  <c r="UO55" i="3" s="1"/>
  <c r="UK39" i="3"/>
  <c r="UK55" i="3" s="1"/>
  <c r="UG39" i="3"/>
  <c r="UG55" i="3" s="1"/>
  <c r="UC39" i="3"/>
  <c r="UC55" i="3" s="1"/>
  <c r="TY39" i="3"/>
  <c r="TY55" i="3" s="1"/>
  <c r="TU39" i="3"/>
  <c r="TU55" i="3" s="1"/>
  <c r="TQ39" i="3"/>
  <c r="TQ55" i="3" s="1"/>
  <c r="TM39" i="3"/>
  <c r="TM55" i="3" s="1"/>
  <c r="TI39" i="3"/>
  <c r="TI55" i="3" s="1"/>
  <c r="TE39" i="3"/>
  <c r="TE55" i="3" s="1"/>
  <c r="TA39" i="3"/>
  <c r="TA55" i="3" s="1"/>
  <c r="SW39" i="3"/>
  <c r="SW55" i="3" s="1"/>
  <c r="SS39" i="3"/>
  <c r="SS55" i="3" s="1"/>
  <c r="SO39" i="3"/>
  <c r="SO55" i="3" s="1"/>
  <c r="SK39" i="3"/>
  <c r="SK55" i="3" s="1"/>
  <c r="QK39" i="3"/>
  <c r="QK55" i="3" s="1"/>
  <c r="MK39" i="3"/>
  <c r="MK55" i="3" s="1"/>
  <c r="MG39" i="3"/>
  <c r="MG55" i="3" s="1"/>
  <c r="BQ39" i="3"/>
  <c r="BQ55" i="3" s="1"/>
  <c r="Q41" i="3"/>
  <c r="ALM36" i="3"/>
  <c r="ALM52" i="3" s="1"/>
  <c r="ALI36" i="3"/>
  <c r="ALI52" i="3" s="1"/>
  <c r="ALE36" i="3"/>
  <c r="ALE52" i="3" s="1"/>
  <c r="ALA36" i="3"/>
  <c r="ALA52" i="3" s="1"/>
  <c r="AKW36" i="3"/>
  <c r="AKW52" i="3" s="1"/>
  <c r="AKS36" i="3"/>
  <c r="AKS52" i="3" s="1"/>
  <c r="AKO36" i="3"/>
  <c r="AKO52" i="3" s="1"/>
  <c r="AKK36" i="3"/>
  <c r="AKK52" i="3" s="1"/>
  <c r="AKG36" i="3"/>
  <c r="AKG52" i="3" s="1"/>
  <c r="AKC36" i="3"/>
  <c r="AKC52" i="3" s="1"/>
  <c r="AJY36" i="3"/>
  <c r="AJY52" i="3" s="1"/>
  <c r="AJU36" i="3"/>
  <c r="AJU52" i="3" s="1"/>
  <c r="AJQ36" i="3"/>
  <c r="AJQ52" i="3" s="1"/>
  <c r="AJM36" i="3"/>
  <c r="AJM52" i="3" s="1"/>
  <c r="AJI36" i="3"/>
  <c r="AJI52" i="3" s="1"/>
  <c r="AJE36" i="3"/>
  <c r="AJE52" i="3" s="1"/>
  <c r="AJA36" i="3"/>
  <c r="AJA52" i="3" s="1"/>
  <c r="AIW36" i="3"/>
  <c r="AIW52" i="3" s="1"/>
  <c r="AIS36" i="3"/>
  <c r="AIS52" i="3" s="1"/>
  <c r="AIO36" i="3"/>
  <c r="AIO52" i="3" s="1"/>
  <c r="AIK36" i="3"/>
  <c r="AIK52" i="3" s="1"/>
  <c r="AIG36" i="3"/>
  <c r="AIG52" i="3" s="1"/>
  <c r="AIC36" i="3"/>
  <c r="AIC52" i="3" s="1"/>
  <c r="AHY36" i="3"/>
  <c r="AHY52" i="3" s="1"/>
  <c r="AHU36" i="3"/>
  <c r="AHU52" i="3" s="1"/>
  <c r="AHQ36" i="3"/>
  <c r="AHQ52" i="3" s="1"/>
  <c r="AHM36" i="3"/>
  <c r="AHM52" i="3" s="1"/>
  <c r="AHI36" i="3"/>
  <c r="AHI52" i="3" s="1"/>
  <c r="AHE36" i="3"/>
  <c r="AHE52" i="3" s="1"/>
  <c r="AHA36" i="3"/>
  <c r="AHA52" i="3" s="1"/>
  <c r="AGW36" i="3"/>
  <c r="AGW52" i="3" s="1"/>
  <c r="AGS36" i="3"/>
  <c r="AGS52" i="3" s="1"/>
  <c r="AGO36" i="3"/>
  <c r="AGO52" i="3" s="1"/>
  <c r="AGK36" i="3"/>
  <c r="AGK52" i="3" s="1"/>
  <c r="AGG36" i="3"/>
  <c r="AGG52" i="3" s="1"/>
  <c r="AGC36" i="3"/>
  <c r="AGC52" i="3" s="1"/>
  <c r="AFY36" i="3"/>
  <c r="AFY52" i="3" s="1"/>
  <c r="AFU36" i="3"/>
  <c r="AFU52" i="3" s="1"/>
  <c r="AFQ36" i="3"/>
  <c r="AFQ52" i="3" s="1"/>
  <c r="AFM36" i="3"/>
  <c r="AFM52" i="3" s="1"/>
  <c r="AFI36" i="3"/>
  <c r="AFI52" i="3" s="1"/>
  <c r="AFE36" i="3"/>
  <c r="AFE52" i="3" s="1"/>
  <c r="AFA36" i="3"/>
  <c r="AFA52" i="3" s="1"/>
  <c r="AEW36" i="3"/>
  <c r="AEW52" i="3" s="1"/>
  <c r="AES36" i="3"/>
  <c r="AES52" i="3" s="1"/>
  <c r="AEO36" i="3"/>
  <c r="AEO52" i="3" s="1"/>
  <c r="AEK36" i="3"/>
  <c r="AEK52" i="3" s="1"/>
  <c r="AEG36" i="3"/>
  <c r="AEG52" i="3" s="1"/>
  <c r="AEC36" i="3"/>
  <c r="AEC52" i="3" s="1"/>
  <c r="ADY36" i="3"/>
  <c r="ADY52" i="3" s="1"/>
  <c r="ADU36" i="3"/>
  <c r="ADU52" i="3" s="1"/>
  <c r="ADQ36" i="3"/>
  <c r="ADQ52" i="3" s="1"/>
  <c r="ADM36" i="3"/>
  <c r="ADM52" i="3" s="1"/>
  <c r="ADI36" i="3"/>
  <c r="ADI52" i="3" s="1"/>
  <c r="ADE36" i="3"/>
  <c r="ADE52" i="3" s="1"/>
  <c r="ADA36" i="3"/>
  <c r="ADA52" i="3" s="1"/>
  <c r="ACW36" i="3"/>
  <c r="ACW52" i="3" s="1"/>
  <c r="ACS36" i="3"/>
  <c r="ACS52" i="3" s="1"/>
  <c r="ACO36" i="3"/>
  <c r="ACO52" i="3" s="1"/>
  <c r="ACK36" i="3"/>
  <c r="ACK52" i="3" s="1"/>
  <c r="ACG36" i="3"/>
  <c r="ACG52" i="3" s="1"/>
  <c r="ACC36" i="3"/>
  <c r="ACC52" i="3" s="1"/>
  <c r="ABY36" i="3"/>
  <c r="ABY52" i="3" s="1"/>
  <c r="ABU36" i="3"/>
  <c r="ABU52" i="3" s="1"/>
  <c r="ABQ36" i="3"/>
  <c r="ABQ52" i="3" s="1"/>
  <c r="ABM36" i="3"/>
  <c r="ABM52" i="3" s="1"/>
  <c r="ABI36" i="3"/>
  <c r="ABI52" i="3" s="1"/>
  <c r="ABE36" i="3"/>
  <c r="ABE52" i="3" s="1"/>
  <c r="ABA36" i="3"/>
  <c r="ABA52" i="3" s="1"/>
  <c r="AAW36" i="3"/>
  <c r="AAW52" i="3" s="1"/>
  <c r="AAS36" i="3"/>
  <c r="AAS52" i="3" s="1"/>
  <c r="AAO36" i="3"/>
  <c r="AAO52" i="3" s="1"/>
  <c r="AAK36" i="3"/>
  <c r="AAK52" i="3" s="1"/>
  <c r="AAG36" i="3"/>
  <c r="AAG52" i="3" s="1"/>
  <c r="AAC36" i="3"/>
  <c r="AAC52" i="3" s="1"/>
  <c r="ZY36" i="3"/>
  <c r="ZY52" i="3" s="1"/>
  <c r="ZU36" i="3"/>
  <c r="ZU52" i="3" s="1"/>
  <c r="ZQ36" i="3"/>
  <c r="ZQ52" i="3" s="1"/>
  <c r="ZM36" i="3"/>
  <c r="ZM52" i="3" s="1"/>
  <c r="ZI36" i="3"/>
  <c r="ZI52" i="3" s="1"/>
  <c r="ZE36" i="3"/>
  <c r="ZE52" i="3" s="1"/>
  <c r="ZA36" i="3"/>
  <c r="ZA52" i="3" s="1"/>
  <c r="YW36" i="3"/>
  <c r="YW52" i="3" s="1"/>
  <c r="YS36" i="3"/>
  <c r="YS52" i="3" s="1"/>
  <c r="YO36" i="3"/>
  <c r="YO52" i="3" s="1"/>
  <c r="YK36" i="3"/>
  <c r="YK52" i="3" s="1"/>
  <c r="YG36" i="3"/>
  <c r="YG52" i="3" s="1"/>
  <c r="YC36" i="3"/>
  <c r="YC52" i="3" s="1"/>
  <c r="XY36" i="3"/>
  <c r="XY52" i="3" s="1"/>
  <c r="XU36" i="3"/>
  <c r="XU52" i="3" s="1"/>
  <c r="XQ36" i="3"/>
  <c r="XQ52" i="3" s="1"/>
  <c r="XM36" i="3"/>
  <c r="XM52" i="3" s="1"/>
  <c r="XI36" i="3"/>
  <c r="XI52" i="3" s="1"/>
  <c r="XE36" i="3"/>
  <c r="XE52" i="3" s="1"/>
  <c r="XA36" i="3"/>
  <c r="XA52" i="3" s="1"/>
  <c r="WW36" i="3"/>
  <c r="WW52" i="3" s="1"/>
  <c r="WS36" i="3"/>
  <c r="WS52" i="3" s="1"/>
  <c r="WO36" i="3"/>
  <c r="WO52" i="3" s="1"/>
  <c r="WK36" i="3"/>
  <c r="WK52" i="3" s="1"/>
  <c r="WG36" i="3"/>
  <c r="WG52" i="3" s="1"/>
  <c r="WC36" i="3"/>
  <c r="WC52" i="3" s="1"/>
  <c r="VY36" i="3"/>
  <c r="VY52" i="3" s="1"/>
  <c r="VU36" i="3"/>
  <c r="VU52" i="3" s="1"/>
  <c r="VQ36" i="3"/>
  <c r="VQ52" i="3" s="1"/>
  <c r="VM36" i="3"/>
  <c r="VM52" i="3" s="1"/>
  <c r="VI36" i="3"/>
  <c r="VI52" i="3" s="1"/>
  <c r="VE36" i="3"/>
  <c r="VE52" i="3" s="1"/>
  <c r="VA36" i="3"/>
  <c r="VA52" i="3" s="1"/>
  <c r="UW36" i="3"/>
  <c r="UW52" i="3" s="1"/>
  <c r="US36" i="3"/>
  <c r="US52" i="3" s="1"/>
  <c r="UO36" i="3"/>
  <c r="UO52" i="3" s="1"/>
  <c r="UK36" i="3"/>
  <c r="UK52" i="3" s="1"/>
  <c r="UG36" i="3"/>
  <c r="UG52" i="3" s="1"/>
  <c r="UC36" i="3"/>
  <c r="UC52" i="3" s="1"/>
  <c r="TY36" i="3"/>
  <c r="TY52" i="3" s="1"/>
  <c r="TU36" i="3"/>
  <c r="TU52" i="3" s="1"/>
  <c r="TQ36" i="3"/>
  <c r="TQ52" i="3" s="1"/>
  <c r="TM36" i="3"/>
  <c r="TM52" i="3" s="1"/>
  <c r="TI36" i="3"/>
  <c r="TI52" i="3" s="1"/>
  <c r="TE36" i="3"/>
  <c r="TE52" i="3" s="1"/>
  <c r="TA36" i="3"/>
  <c r="TA52" i="3" s="1"/>
  <c r="SW36" i="3"/>
  <c r="SW52" i="3" s="1"/>
  <c r="SS36" i="3"/>
  <c r="SS52" i="3" s="1"/>
  <c r="SO36" i="3"/>
  <c r="SO52" i="3" s="1"/>
  <c r="SK36" i="3"/>
  <c r="SK52" i="3" s="1"/>
  <c r="RQ36" i="3"/>
  <c r="RQ52" i="3" s="1"/>
  <c r="PI36" i="3"/>
  <c r="PI52" i="3" s="1"/>
  <c r="BY36" i="3"/>
  <c r="BY52" i="3" s="1"/>
  <c r="AS36" i="3"/>
  <c r="Q38" i="3"/>
  <c r="ALM33" i="3"/>
  <c r="ALM49" i="3" s="1"/>
  <c r="ALI33" i="3"/>
  <c r="ALI49" i="3" s="1"/>
  <c r="ALE33" i="3"/>
  <c r="ALE49" i="3" s="1"/>
  <c r="ALA33" i="3"/>
  <c r="ALA49" i="3" s="1"/>
  <c r="AKW33" i="3"/>
  <c r="AKW49" i="3" s="1"/>
  <c r="AKS33" i="3"/>
  <c r="AKS49" i="3" s="1"/>
  <c r="AKO33" i="3"/>
  <c r="AKO49" i="3" s="1"/>
  <c r="AKK33" i="3"/>
  <c r="AKK49" i="3" s="1"/>
  <c r="AKG33" i="3"/>
  <c r="AKG49" i="3" s="1"/>
  <c r="AKC33" i="3"/>
  <c r="AKC49" i="3" s="1"/>
  <c r="AJY33" i="3"/>
  <c r="AJY49" i="3" s="1"/>
  <c r="AJU33" i="3"/>
  <c r="AJU49" i="3" s="1"/>
  <c r="AJQ33" i="3"/>
  <c r="AJQ49" i="3" s="1"/>
  <c r="AJM33" i="3"/>
  <c r="AJM49" i="3" s="1"/>
  <c r="AJI33" i="3"/>
  <c r="AJI49" i="3" s="1"/>
  <c r="AJE33" i="3"/>
  <c r="AJE49" i="3" s="1"/>
  <c r="AJA33" i="3"/>
  <c r="AJA49" i="3" s="1"/>
  <c r="AIW33" i="3"/>
  <c r="AIW49" i="3" s="1"/>
  <c r="AIS33" i="3"/>
  <c r="AIS49" i="3" s="1"/>
  <c r="AIO33" i="3"/>
  <c r="AIO49" i="3" s="1"/>
  <c r="AIK33" i="3"/>
  <c r="AIK49" i="3" s="1"/>
  <c r="AIG33" i="3"/>
  <c r="AIG49" i="3" s="1"/>
  <c r="AIC33" i="3"/>
  <c r="AIC49" i="3" s="1"/>
  <c r="AHY33" i="3"/>
  <c r="AHY49" i="3" s="1"/>
  <c r="AHU33" i="3"/>
  <c r="AHU49" i="3" s="1"/>
  <c r="AHQ33" i="3"/>
  <c r="AHQ49" i="3" s="1"/>
  <c r="AHM33" i="3"/>
  <c r="AHM49" i="3" s="1"/>
  <c r="AHI33" i="3"/>
  <c r="AHI49" i="3" s="1"/>
  <c r="AHE33" i="3"/>
  <c r="AHE49" i="3" s="1"/>
  <c r="AHA33" i="3"/>
  <c r="AHA49" i="3" s="1"/>
  <c r="AGW33" i="3"/>
  <c r="AGW49" i="3" s="1"/>
  <c r="AGS33" i="3"/>
  <c r="AGS49" i="3" s="1"/>
  <c r="AGO33" i="3"/>
  <c r="AGO49" i="3" s="1"/>
  <c r="AGK33" i="3"/>
  <c r="AGK49" i="3" s="1"/>
  <c r="AGG33" i="3"/>
  <c r="AGG49" i="3" s="1"/>
  <c r="AGC33" i="3"/>
  <c r="AGC49" i="3" s="1"/>
  <c r="AFY33" i="3"/>
  <c r="AFY49" i="3" s="1"/>
  <c r="AFU33" i="3"/>
  <c r="AFU49" i="3" s="1"/>
  <c r="AFQ33" i="3"/>
  <c r="AFQ49" i="3" s="1"/>
  <c r="AFM33" i="3"/>
  <c r="AFM49" i="3" s="1"/>
  <c r="AFI33" i="3"/>
  <c r="AFI49" i="3" s="1"/>
  <c r="AFE33" i="3"/>
  <c r="AFE49" i="3" s="1"/>
  <c r="AFA33" i="3"/>
  <c r="AFA49" i="3" s="1"/>
  <c r="AEW33" i="3"/>
  <c r="AEW49" i="3" s="1"/>
  <c r="AES33" i="3"/>
  <c r="AES49" i="3" s="1"/>
  <c r="AEO33" i="3"/>
  <c r="AEO49" i="3" s="1"/>
  <c r="AEK33" i="3"/>
  <c r="AEK49" i="3" s="1"/>
  <c r="AEG33" i="3"/>
  <c r="AEG49" i="3" s="1"/>
  <c r="AEC33" i="3"/>
  <c r="AEC49" i="3" s="1"/>
  <c r="ADY33" i="3"/>
  <c r="ADY49" i="3" s="1"/>
  <c r="ADU33" i="3"/>
  <c r="ADU49" i="3" s="1"/>
  <c r="ADQ33" i="3"/>
  <c r="ADQ49" i="3" s="1"/>
  <c r="ADM33" i="3"/>
  <c r="ADM49" i="3" s="1"/>
  <c r="ADI33" i="3"/>
  <c r="ADI49" i="3" s="1"/>
  <c r="ADE33" i="3"/>
  <c r="ADE49" i="3" s="1"/>
  <c r="ADA33" i="3"/>
  <c r="ADA49" i="3" s="1"/>
  <c r="ACW33" i="3"/>
  <c r="ACW49" i="3" s="1"/>
  <c r="ACS33" i="3"/>
  <c r="ACS49" i="3" s="1"/>
  <c r="ACO33" i="3"/>
  <c r="ACO49" i="3" s="1"/>
  <c r="ACK33" i="3"/>
  <c r="ACK49" i="3" s="1"/>
  <c r="ACG33" i="3"/>
  <c r="ACG49" i="3" s="1"/>
  <c r="ACC33" i="3"/>
  <c r="ACC49" i="3" s="1"/>
  <c r="ABY33" i="3"/>
  <c r="ABY49" i="3" s="1"/>
  <c r="ABU33" i="3"/>
  <c r="ABU49" i="3" s="1"/>
  <c r="ABQ33" i="3"/>
  <c r="ABQ49" i="3" s="1"/>
  <c r="ABM33" i="3"/>
  <c r="ABM49" i="3" s="1"/>
  <c r="ABI33" i="3"/>
  <c r="ABI49" i="3" s="1"/>
  <c r="ABE33" i="3"/>
  <c r="ABE49" i="3" s="1"/>
  <c r="ABA33" i="3"/>
  <c r="ABA49" i="3" s="1"/>
  <c r="AAW33" i="3"/>
  <c r="AAW49" i="3" s="1"/>
  <c r="AAS33" i="3"/>
  <c r="AAS49" i="3" s="1"/>
  <c r="AAO33" i="3"/>
  <c r="AAO49" i="3" s="1"/>
  <c r="AAK33" i="3"/>
  <c r="AAK49" i="3" s="1"/>
  <c r="AAG33" i="3"/>
  <c r="AAG49" i="3" s="1"/>
  <c r="AAC33" i="3"/>
  <c r="AAC49" i="3" s="1"/>
  <c r="ZY33" i="3"/>
  <c r="ZY49" i="3" s="1"/>
  <c r="ZU33" i="3"/>
  <c r="ZU49" i="3" s="1"/>
  <c r="ZQ33" i="3"/>
  <c r="ZQ49" i="3" s="1"/>
  <c r="ZM33" i="3"/>
  <c r="ZM49" i="3" s="1"/>
  <c r="ZI33" i="3"/>
  <c r="ZI49" i="3" s="1"/>
  <c r="ZE33" i="3"/>
  <c r="ZE49" i="3" s="1"/>
  <c r="ZA33" i="3"/>
  <c r="ZA49" i="3" s="1"/>
  <c r="YW33" i="3"/>
  <c r="YW49" i="3" s="1"/>
  <c r="YS33" i="3"/>
  <c r="YS49" i="3" s="1"/>
  <c r="YO33" i="3"/>
  <c r="YO49" i="3" s="1"/>
  <c r="YK33" i="3"/>
  <c r="YK49" i="3" s="1"/>
  <c r="YG33" i="3"/>
  <c r="YG49" i="3" s="1"/>
  <c r="YC33" i="3"/>
  <c r="YC49" i="3" s="1"/>
  <c r="XY33" i="3"/>
  <c r="XY49" i="3" s="1"/>
  <c r="XU33" i="3"/>
  <c r="XU49" i="3" s="1"/>
  <c r="XQ33" i="3"/>
  <c r="XQ49" i="3" s="1"/>
  <c r="XM33" i="3"/>
  <c r="XM49" i="3" s="1"/>
  <c r="XI33" i="3"/>
  <c r="XI49" i="3" s="1"/>
  <c r="XE33" i="3"/>
  <c r="XE49" i="3" s="1"/>
  <c r="XA33" i="3"/>
  <c r="XA49" i="3" s="1"/>
  <c r="WW33" i="3"/>
  <c r="WW49" i="3" s="1"/>
  <c r="WS33" i="3"/>
  <c r="WS49" i="3" s="1"/>
  <c r="WO33" i="3"/>
  <c r="WO49" i="3" s="1"/>
  <c r="WK33" i="3"/>
  <c r="WK49" i="3" s="1"/>
  <c r="WG33" i="3"/>
  <c r="WG49" i="3" s="1"/>
  <c r="WC33" i="3"/>
  <c r="WC49" i="3" s="1"/>
  <c r="VY33" i="3"/>
  <c r="VY49" i="3" s="1"/>
  <c r="VU33" i="3"/>
  <c r="VU49" i="3" s="1"/>
  <c r="VQ33" i="3"/>
  <c r="VQ49" i="3" s="1"/>
  <c r="VM33" i="3"/>
  <c r="VM49" i="3" s="1"/>
  <c r="VI33" i="3"/>
  <c r="VI49" i="3" s="1"/>
  <c r="VE33" i="3"/>
  <c r="VE49" i="3" s="1"/>
  <c r="VA33" i="3"/>
  <c r="VA49" i="3" s="1"/>
  <c r="UW33" i="3"/>
  <c r="UW49" i="3" s="1"/>
  <c r="US33" i="3"/>
  <c r="US49" i="3" s="1"/>
  <c r="UO33" i="3"/>
  <c r="UO49" i="3" s="1"/>
  <c r="UK33" i="3"/>
  <c r="UK49" i="3" s="1"/>
  <c r="UG33" i="3"/>
  <c r="UG49" i="3" s="1"/>
  <c r="UC33" i="3"/>
  <c r="UC49" i="3" s="1"/>
  <c r="TY33" i="3"/>
  <c r="TY49" i="3" s="1"/>
  <c r="TU33" i="3"/>
  <c r="TU49" i="3" s="1"/>
  <c r="TQ33" i="3"/>
  <c r="TQ49" i="3" s="1"/>
  <c r="TM33" i="3"/>
  <c r="TM49" i="3" s="1"/>
  <c r="TI33" i="3"/>
  <c r="TI49" i="3" s="1"/>
  <c r="TE33" i="3"/>
  <c r="TE49" i="3" s="1"/>
  <c r="TA33" i="3"/>
  <c r="TA49" i="3" s="1"/>
  <c r="SW33" i="3"/>
  <c r="SW49" i="3" s="1"/>
  <c r="SS33" i="3"/>
  <c r="SS49" i="3" s="1"/>
  <c r="SO33" i="3"/>
  <c r="SO49" i="3" s="1"/>
  <c r="SK33" i="3"/>
  <c r="SK49" i="3" s="1"/>
  <c r="RI33" i="3"/>
  <c r="RI49" i="3" s="1"/>
  <c r="QK33" i="3"/>
  <c r="QK49" i="3" s="1"/>
  <c r="Q34" i="3"/>
  <c r="ALM30" i="3"/>
  <c r="ALM46" i="3" s="1"/>
  <c r="ALE30" i="3"/>
  <c r="ALE46" i="3" s="1"/>
  <c r="AKW30" i="3"/>
  <c r="AKW46" i="3" s="1"/>
  <c r="AKO30" i="3"/>
  <c r="AKO46" i="3" s="1"/>
  <c r="AKG30" i="3"/>
  <c r="AKG46" i="3" s="1"/>
  <c r="AJY30" i="3"/>
  <c r="AJY46" i="3" s="1"/>
  <c r="AJQ30" i="3"/>
  <c r="AJQ46" i="3" s="1"/>
  <c r="AJI30" i="3"/>
  <c r="AJI46" i="3" s="1"/>
  <c r="AJA30" i="3"/>
  <c r="AJA46" i="3" s="1"/>
  <c r="AIS30" i="3"/>
  <c r="AIS46" i="3" s="1"/>
  <c r="AIK30" i="3"/>
  <c r="AIK46" i="3" s="1"/>
  <c r="AIC30" i="3"/>
  <c r="AIC46" i="3" s="1"/>
  <c r="AHU30" i="3"/>
  <c r="AHU46" i="3" s="1"/>
  <c r="AHM30" i="3"/>
  <c r="AHM46" i="3" s="1"/>
  <c r="AHE30" i="3"/>
  <c r="AHE46" i="3" s="1"/>
  <c r="AGW30" i="3"/>
  <c r="AGW46" i="3" s="1"/>
  <c r="AGO30" i="3"/>
  <c r="AGO46" i="3" s="1"/>
  <c r="AGG30" i="3"/>
  <c r="AGG46" i="3" s="1"/>
  <c r="AFY30" i="3"/>
  <c r="AFY46" i="3" s="1"/>
  <c r="AFQ30" i="3"/>
  <c r="AFQ46" i="3" s="1"/>
  <c r="AFI30" i="3"/>
  <c r="AFI46" i="3" s="1"/>
  <c r="AFA30" i="3"/>
  <c r="AFA46" i="3" s="1"/>
  <c r="AES30" i="3"/>
  <c r="AES46" i="3" s="1"/>
  <c r="AEK30" i="3"/>
  <c r="AEK46" i="3" s="1"/>
  <c r="AEC30" i="3"/>
  <c r="AEC46" i="3" s="1"/>
  <c r="ADU30" i="3"/>
  <c r="ADU46" i="3" s="1"/>
  <c r="ADM30" i="3"/>
  <c r="ADM46" i="3" s="1"/>
  <c r="ADE30" i="3"/>
  <c r="ADE46" i="3" s="1"/>
  <c r="ACW30" i="3"/>
  <c r="ACW46" i="3" s="1"/>
  <c r="ACO30" i="3"/>
  <c r="ACO46" i="3" s="1"/>
  <c r="ACG30" i="3"/>
  <c r="ACG46" i="3" s="1"/>
  <c r="ABY30" i="3"/>
  <c r="ABY46" i="3" s="1"/>
  <c r="ABQ30" i="3"/>
  <c r="ABQ46" i="3" s="1"/>
  <c r="ABI30" i="3"/>
  <c r="ABI46" i="3" s="1"/>
  <c r="ABA30" i="3"/>
  <c r="ABA46" i="3" s="1"/>
  <c r="AAS30" i="3"/>
  <c r="AAS46" i="3" s="1"/>
  <c r="AAK30" i="3"/>
  <c r="AAK46" i="3" s="1"/>
  <c r="AAC30" i="3"/>
  <c r="AAC46" i="3" s="1"/>
  <c r="ZU30" i="3"/>
  <c r="ZU46" i="3" s="1"/>
  <c r="ZM30" i="3"/>
  <c r="ZM46" i="3" s="1"/>
  <c r="ZE30" i="3"/>
  <c r="ZE46" i="3" s="1"/>
  <c r="YW30" i="3"/>
  <c r="YW46" i="3" s="1"/>
  <c r="YO30" i="3"/>
  <c r="YO46" i="3" s="1"/>
  <c r="YG30" i="3"/>
  <c r="YG46" i="3" s="1"/>
  <c r="XY30" i="3"/>
  <c r="XY46" i="3" s="1"/>
  <c r="XQ30" i="3"/>
  <c r="XQ46" i="3" s="1"/>
  <c r="XI30" i="3"/>
  <c r="XI46" i="3" s="1"/>
  <c r="XA30" i="3"/>
  <c r="XA46" i="3" s="1"/>
  <c r="WS30" i="3"/>
  <c r="WS46" i="3" s="1"/>
  <c r="WK30" i="3"/>
  <c r="WK46" i="3" s="1"/>
  <c r="WC30" i="3"/>
  <c r="WC46" i="3" s="1"/>
  <c r="VU30" i="3"/>
  <c r="VU46" i="3" s="1"/>
  <c r="VM30" i="3"/>
  <c r="VM46" i="3" s="1"/>
  <c r="VE30" i="3"/>
  <c r="VE46" i="3" s="1"/>
  <c r="UW30" i="3"/>
  <c r="UW46" i="3" s="1"/>
  <c r="UO30" i="3"/>
  <c r="UO46" i="3" s="1"/>
  <c r="UG30" i="3"/>
  <c r="UG46" i="3" s="1"/>
  <c r="TY30" i="3"/>
  <c r="TY46" i="3" s="1"/>
  <c r="TQ30" i="3"/>
  <c r="TQ46" i="3" s="1"/>
  <c r="TI30" i="3"/>
  <c r="TI46" i="3" s="1"/>
  <c r="TA30" i="3"/>
  <c r="TA46" i="3" s="1"/>
  <c r="SS30" i="3"/>
  <c r="SS46" i="3" s="1"/>
  <c r="SK30" i="3"/>
  <c r="SK46" i="3" s="1"/>
  <c r="CK30" i="3"/>
  <c r="CK46" i="3" s="1"/>
  <c r="Q32" i="3"/>
  <c r="Q48" i="3" s="1"/>
  <c r="ALM27" i="3"/>
  <c r="ALM43" i="3" s="1"/>
  <c r="ALE27" i="3"/>
  <c r="ALE43" i="3" s="1"/>
  <c r="AKW27" i="3"/>
  <c r="AKW43" i="3" s="1"/>
  <c r="AKO27" i="3"/>
  <c r="AKO43" i="3" s="1"/>
  <c r="AKG27" i="3"/>
  <c r="AKG43" i="3" s="1"/>
  <c r="AJY27" i="3"/>
  <c r="AJY43" i="3" s="1"/>
  <c r="AJQ27" i="3"/>
  <c r="AJQ43" i="3" s="1"/>
  <c r="AJI27" i="3"/>
  <c r="AJI43" i="3" s="1"/>
  <c r="AJA27" i="3"/>
  <c r="AJA43" i="3" s="1"/>
  <c r="AIS27" i="3"/>
  <c r="AIS43" i="3" s="1"/>
  <c r="AIK27" i="3"/>
  <c r="AIK43" i="3" s="1"/>
  <c r="AIC27" i="3"/>
  <c r="AIC43" i="3" s="1"/>
  <c r="AHU27" i="3"/>
  <c r="AHU43" i="3" s="1"/>
  <c r="AHM27" i="3"/>
  <c r="AHM43" i="3" s="1"/>
  <c r="AHE27" i="3"/>
  <c r="AHE43" i="3" s="1"/>
  <c r="AGW27" i="3"/>
  <c r="AGW43" i="3" s="1"/>
  <c r="AGO27" i="3"/>
  <c r="AGO43" i="3" s="1"/>
  <c r="AGG27" i="3"/>
  <c r="AGG43" i="3" s="1"/>
  <c r="AFY27" i="3"/>
  <c r="AFY43" i="3" s="1"/>
  <c r="AFQ27" i="3"/>
  <c r="AFQ43" i="3" s="1"/>
  <c r="AFI27" i="3"/>
  <c r="AFI43" i="3" s="1"/>
  <c r="AFA27" i="3"/>
  <c r="AFA43" i="3" s="1"/>
  <c r="AES27" i="3"/>
  <c r="AES43" i="3" s="1"/>
  <c r="AEK27" i="3"/>
  <c r="AEK43" i="3" s="1"/>
  <c r="AEC27" i="3"/>
  <c r="AEC43" i="3" s="1"/>
  <c r="ADU27" i="3"/>
  <c r="ADU43" i="3" s="1"/>
  <c r="ADM27" i="3"/>
  <c r="ADM43" i="3" s="1"/>
  <c r="ADE27" i="3"/>
  <c r="ADE43" i="3" s="1"/>
  <c r="ACW27" i="3"/>
  <c r="ACW43" i="3" s="1"/>
  <c r="ACO27" i="3"/>
  <c r="ACO43" i="3" s="1"/>
  <c r="ACG27" i="3"/>
  <c r="ACG43" i="3" s="1"/>
  <c r="ABY27" i="3"/>
  <c r="ABY43" i="3" s="1"/>
  <c r="ABQ27" i="3"/>
  <c r="ABQ43" i="3" s="1"/>
  <c r="ABI27" i="3"/>
  <c r="ABI43" i="3" s="1"/>
  <c r="ABA27" i="3"/>
  <c r="ABA43" i="3" s="1"/>
  <c r="AAS27" i="3"/>
  <c r="AAS43" i="3" s="1"/>
  <c r="AAK27" i="3"/>
  <c r="AAK43" i="3" s="1"/>
  <c r="AAC27" i="3"/>
  <c r="AAC43" i="3" s="1"/>
  <c r="ZU27" i="3"/>
  <c r="ZU43" i="3" s="1"/>
  <c r="ZM27" i="3"/>
  <c r="ZM43" i="3" s="1"/>
  <c r="ZE27" i="3"/>
  <c r="ZE43" i="3" s="1"/>
  <c r="YW27" i="3"/>
  <c r="YW43" i="3" s="1"/>
  <c r="YO27" i="3"/>
  <c r="YO43" i="3" s="1"/>
  <c r="YG27" i="3"/>
  <c r="YG43" i="3" s="1"/>
  <c r="XY27" i="3"/>
  <c r="XY43" i="3" s="1"/>
  <c r="XQ27" i="3"/>
  <c r="XQ43" i="3" s="1"/>
  <c r="XI27" i="3"/>
  <c r="XI43" i="3" s="1"/>
  <c r="XA27" i="3"/>
  <c r="XA43" i="3" s="1"/>
  <c r="WS27" i="3"/>
  <c r="WS43" i="3" s="1"/>
  <c r="WK27" i="3"/>
  <c r="WK43" i="3" s="1"/>
  <c r="WC27" i="3"/>
  <c r="WC43" i="3" s="1"/>
  <c r="VU27" i="3"/>
  <c r="VU43" i="3" s="1"/>
  <c r="VM27" i="3"/>
  <c r="VM43" i="3" s="1"/>
  <c r="VE27" i="3"/>
  <c r="VE43" i="3" s="1"/>
  <c r="UW27" i="3"/>
  <c r="UW43" i="3" s="1"/>
  <c r="UO27" i="3"/>
  <c r="UO43" i="3" s="1"/>
  <c r="UG27" i="3"/>
  <c r="UG43" i="3" s="1"/>
  <c r="TY27" i="3"/>
  <c r="TY43" i="3" s="1"/>
  <c r="TQ27" i="3"/>
  <c r="TQ43" i="3" s="1"/>
  <c r="TI27" i="3"/>
  <c r="TI43" i="3" s="1"/>
  <c r="TA27" i="3"/>
  <c r="TA43" i="3" s="1"/>
  <c r="SS27" i="3"/>
  <c r="SS43" i="3" s="1"/>
  <c r="SK27" i="3"/>
  <c r="SK43" i="3" s="1"/>
  <c r="SC27" i="3"/>
  <c r="SC43" i="3" s="1"/>
  <c r="QG27" i="3"/>
  <c r="QG43" i="3" s="1"/>
  <c r="PQ27" i="3"/>
  <c r="PQ43" i="3" s="1"/>
  <c r="PA27" i="3"/>
  <c r="PA43" i="3" s="1"/>
  <c r="MG27" i="3"/>
  <c r="MG43" i="3" s="1"/>
  <c r="KS27" i="3"/>
  <c r="KS43" i="3" s="1"/>
  <c r="KC27" i="3"/>
  <c r="KC43" i="3" s="1"/>
  <c r="HA27" i="3"/>
  <c r="HA43" i="3" s="1"/>
  <c r="Q29" i="3"/>
  <c r="Q45" i="3" s="1"/>
  <c r="ALE28" i="3"/>
  <c r="ALE44" i="3" s="1"/>
  <c r="AIS28" i="3"/>
  <c r="AIS44" i="3" s="1"/>
  <c r="AGG28" i="3"/>
  <c r="AGG44" i="3" s="1"/>
  <c r="ADU28" i="3"/>
  <c r="ADU44" i="3" s="1"/>
  <c r="ABI28" i="3"/>
  <c r="ABI44" i="3" s="1"/>
  <c r="CK58" i="3"/>
  <c r="IG58" i="3"/>
  <c r="JM58" i="3"/>
  <c r="MQ58" i="3"/>
  <c r="NW58" i="3"/>
  <c r="OI58" i="3"/>
  <c r="OM58" i="3"/>
  <c r="QE58" i="3"/>
  <c r="QI58" i="3"/>
  <c r="QU58" i="3"/>
  <c r="SA58" i="3"/>
  <c r="AE27" i="3"/>
  <c r="AE43" i="3" s="1"/>
  <c r="AM27" i="3"/>
  <c r="AM43" i="3" s="1"/>
  <c r="AU27" i="3"/>
  <c r="AU43" i="3" s="1"/>
  <c r="BK27" i="3"/>
  <c r="BK43" i="3" s="1"/>
  <c r="DO27" i="3"/>
  <c r="DO43" i="3" s="1"/>
  <c r="FC27" i="3"/>
  <c r="FC43" i="3" s="1"/>
  <c r="FS27" i="3"/>
  <c r="FS43" i="3" s="1"/>
  <c r="GE27" i="3"/>
  <c r="GE43" i="3" s="1"/>
  <c r="GQ27" i="3"/>
  <c r="GQ43" i="3" s="1"/>
  <c r="HC27" i="3"/>
  <c r="HC43" i="3" s="1"/>
  <c r="HS27" i="3"/>
  <c r="HS43" i="3" s="1"/>
  <c r="IA27" i="3"/>
  <c r="IA43" i="3" s="1"/>
  <c r="IQ27" i="3"/>
  <c r="IQ43" i="3" s="1"/>
  <c r="JG27" i="3"/>
  <c r="JG43" i="3" s="1"/>
  <c r="KA27" i="3"/>
  <c r="KA43" i="3" s="1"/>
  <c r="KI27" i="3"/>
  <c r="KI43" i="3" s="1"/>
  <c r="KU27" i="3"/>
  <c r="KU43" i="3" s="1"/>
  <c r="LC27" i="3"/>
  <c r="LC43" i="3" s="1"/>
  <c r="LW27" i="3"/>
  <c r="LW43" i="3" s="1"/>
  <c r="MI27" i="3"/>
  <c r="MI43" i="3" s="1"/>
  <c r="MU27" i="3"/>
  <c r="MU43" i="3" s="1"/>
  <c r="NO27" i="3"/>
  <c r="NO43" i="3" s="1"/>
  <c r="PS27" i="3"/>
  <c r="PS43" i="3" s="1"/>
  <c r="QA27" i="3"/>
  <c r="QA43" i="3" s="1"/>
  <c r="QU27" i="3"/>
  <c r="QU43" i="3" s="1"/>
  <c r="QY27" i="3"/>
  <c r="QY43" i="3" s="1"/>
  <c r="RO27" i="3"/>
  <c r="RO43" i="3" s="1"/>
  <c r="SI27" i="3"/>
  <c r="SI43" i="3" s="1"/>
  <c r="SM27" i="3"/>
  <c r="SM43" i="3" s="1"/>
  <c r="SQ27" i="3"/>
  <c r="SQ43" i="3" s="1"/>
  <c r="SU27" i="3"/>
  <c r="SU43" i="3" s="1"/>
  <c r="SY27" i="3"/>
  <c r="SY43" i="3" s="1"/>
  <c r="TC27" i="3"/>
  <c r="TC43" i="3" s="1"/>
  <c r="TG27" i="3"/>
  <c r="TG43" i="3" s="1"/>
  <c r="TK27" i="3"/>
  <c r="TK43" i="3" s="1"/>
  <c r="TO27" i="3"/>
  <c r="TO43" i="3" s="1"/>
  <c r="TS27" i="3"/>
  <c r="TS43" i="3" s="1"/>
  <c r="TW27" i="3"/>
  <c r="TW43" i="3" s="1"/>
  <c r="UA27" i="3"/>
  <c r="UA43" i="3" s="1"/>
  <c r="UE27" i="3"/>
  <c r="UE43" i="3" s="1"/>
  <c r="UI27" i="3"/>
  <c r="UI43" i="3" s="1"/>
  <c r="UM27" i="3"/>
  <c r="UM43" i="3" s="1"/>
  <c r="UQ27" i="3"/>
  <c r="UQ43" i="3" s="1"/>
  <c r="UU27" i="3"/>
  <c r="UU43" i="3" s="1"/>
  <c r="UY27" i="3"/>
  <c r="UY43" i="3" s="1"/>
  <c r="VC27" i="3"/>
  <c r="VC43" i="3" s="1"/>
  <c r="VG27" i="3"/>
  <c r="VG43" i="3" s="1"/>
  <c r="VK27" i="3"/>
  <c r="VK43" i="3" s="1"/>
  <c r="VO27" i="3"/>
  <c r="VO43" i="3" s="1"/>
  <c r="VS27" i="3"/>
  <c r="VS43" i="3" s="1"/>
  <c r="VW27" i="3"/>
  <c r="VW43" i="3" s="1"/>
  <c r="WA27" i="3"/>
  <c r="WA43" i="3" s="1"/>
  <c r="WE27" i="3"/>
  <c r="WE43" i="3" s="1"/>
  <c r="WI27" i="3"/>
  <c r="WI43" i="3" s="1"/>
  <c r="WM27" i="3"/>
  <c r="WM43" i="3" s="1"/>
  <c r="WQ27" i="3"/>
  <c r="WQ43" i="3" s="1"/>
  <c r="WU27" i="3"/>
  <c r="WU43" i="3" s="1"/>
  <c r="WY27" i="3"/>
  <c r="WY43" i="3" s="1"/>
  <c r="XC27" i="3"/>
  <c r="XC43" i="3" s="1"/>
  <c r="XG27" i="3"/>
  <c r="XG43" i="3" s="1"/>
  <c r="XK27" i="3"/>
  <c r="XK43" i="3" s="1"/>
  <c r="XO27" i="3"/>
  <c r="XO43" i="3" s="1"/>
  <c r="XS27" i="3"/>
  <c r="XS43" i="3" s="1"/>
  <c r="XW27" i="3"/>
  <c r="XW43" i="3" s="1"/>
  <c r="YA27" i="3"/>
  <c r="YA43" i="3" s="1"/>
  <c r="YE27" i="3"/>
  <c r="YE43" i="3" s="1"/>
  <c r="YI27" i="3"/>
  <c r="YI43" i="3" s="1"/>
  <c r="YM27" i="3"/>
  <c r="YM43" i="3" s="1"/>
  <c r="YQ27" i="3"/>
  <c r="YQ43" i="3" s="1"/>
  <c r="YU27" i="3"/>
  <c r="YU43" i="3" s="1"/>
  <c r="YY27" i="3"/>
  <c r="YY43" i="3" s="1"/>
  <c r="ZC27" i="3"/>
  <c r="ZC43" i="3" s="1"/>
  <c r="ZG27" i="3"/>
  <c r="ZG43" i="3" s="1"/>
  <c r="ZK27" i="3"/>
  <c r="ZK43" i="3" s="1"/>
  <c r="ZO27" i="3"/>
  <c r="ZO43" i="3" s="1"/>
  <c r="ZS27" i="3"/>
  <c r="ZS43" i="3" s="1"/>
  <c r="ZW27" i="3"/>
  <c r="ZW43" i="3" s="1"/>
  <c r="AAA27" i="3"/>
  <c r="AAA43" i="3" s="1"/>
  <c r="AAE27" i="3"/>
  <c r="AAE43" i="3" s="1"/>
  <c r="AAI27" i="3"/>
  <c r="AAI43" i="3" s="1"/>
  <c r="AAM27" i="3"/>
  <c r="AAM43" i="3" s="1"/>
  <c r="AAQ27" i="3"/>
  <c r="AAQ43" i="3" s="1"/>
  <c r="AAU27" i="3"/>
  <c r="AAU43" i="3" s="1"/>
  <c r="AAY27" i="3"/>
  <c r="AAY43" i="3" s="1"/>
  <c r="ABC27" i="3"/>
  <c r="ABC43" i="3" s="1"/>
  <c r="ABG27" i="3"/>
  <c r="ABG43" i="3" s="1"/>
  <c r="ABK27" i="3"/>
  <c r="ABK43" i="3" s="1"/>
  <c r="ABO27" i="3"/>
  <c r="ABO43" i="3" s="1"/>
  <c r="ABS27" i="3"/>
  <c r="ABS43" i="3" s="1"/>
  <c r="ABW27" i="3"/>
  <c r="ABW43" i="3" s="1"/>
  <c r="ACA27" i="3"/>
  <c r="ACA43" i="3" s="1"/>
  <c r="ACE27" i="3"/>
  <c r="ACE43" i="3" s="1"/>
  <c r="ACI27" i="3"/>
  <c r="ACI43" i="3" s="1"/>
  <c r="ACM27" i="3"/>
  <c r="ACM43" i="3" s="1"/>
  <c r="ACQ27" i="3"/>
  <c r="ACQ43" i="3" s="1"/>
  <c r="ACU27" i="3"/>
  <c r="ACU43" i="3" s="1"/>
  <c r="ACY27" i="3"/>
  <c r="ACY43" i="3" s="1"/>
  <c r="ADC27" i="3"/>
  <c r="ADC43" i="3" s="1"/>
  <c r="ADG27" i="3"/>
  <c r="ADG43" i="3" s="1"/>
  <c r="ADK27" i="3"/>
  <c r="ADK43" i="3" s="1"/>
  <c r="ADO27" i="3"/>
  <c r="ADO43" i="3" s="1"/>
  <c r="ADS27" i="3"/>
  <c r="ADS43" i="3" s="1"/>
  <c r="ADW27" i="3"/>
  <c r="ADW43" i="3" s="1"/>
  <c r="AEA27" i="3"/>
  <c r="AEA43" i="3" s="1"/>
  <c r="AEE27" i="3"/>
  <c r="AEE43" i="3" s="1"/>
  <c r="AEI27" i="3"/>
  <c r="AEI43" i="3" s="1"/>
  <c r="AEM27" i="3"/>
  <c r="AEM43" i="3" s="1"/>
  <c r="AEQ27" i="3"/>
  <c r="AEQ43" i="3" s="1"/>
  <c r="AEU27" i="3"/>
  <c r="AEU43" i="3" s="1"/>
  <c r="AEY27" i="3"/>
  <c r="AEY43" i="3" s="1"/>
  <c r="AFC27" i="3"/>
  <c r="AFC43" i="3" s="1"/>
  <c r="AFG27" i="3"/>
  <c r="AFG43" i="3" s="1"/>
  <c r="AFK27" i="3"/>
  <c r="AFK43" i="3" s="1"/>
  <c r="AFO27" i="3"/>
  <c r="AFO43" i="3" s="1"/>
  <c r="AFS27" i="3"/>
  <c r="AFS43" i="3" s="1"/>
  <c r="AFW27" i="3"/>
  <c r="AFW43" i="3" s="1"/>
  <c r="AGA27" i="3"/>
  <c r="AGA43" i="3" s="1"/>
  <c r="AGE27" i="3"/>
  <c r="AGE43" i="3" s="1"/>
  <c r="AGI27" i="3"/>
  <c r="AGI43" i="3" s="1"/>
  <c r="AGM27" i="3"/>
  <c r="AGM43" i="3" s="1"/>
  <c r="AGQ27" i="3"/>
  <c r="AGQ43" i="3" s="1"/>
  <c r="AGU27" i="3"/>
  <c r="AGU43" i="3" s="1"/>
  <c r="AGY27" i="3"/>
  <c r="AGY43" i="3" s="1"/>
  <c r="AHC27" i="3"/>
  <c r="AHC43" i="3" s="1"/>
  <c r="AHG27" i="3"/>
  <c r="AHG43" i="3" s="1"/>
  <c r="AHK27" i="3"/>
  <c r="AHK43" i="3" s="1"/>
  <c r="AHO27" i="3"/>
  <c r="AHO43" i="3" s="1"/>
  <c r="AHS27" i="3"/>
  <c r="AHS43" i="3" s="1"/>
  <c r="AHW27" i="3"/>
  <c r="AHW43" i="3" s="1"/>
  <c r="AIA27" i="3"/>
  <c r="AIA43" i="3" s="1"/>
  <c r="AIE27" i="3"/>
  <c r="AIE43" i="3" s="1"/>
  <c r="AII27" i="3"/>
  <c r="AII43" i="3" s="1"/>
  <c r="AIM27" i="3"/>
  <c r="AIM43" i="3" s="1"/>
  <c r="AIQ27" i="3"/>
  <c r="AIQ43" i="3" s="1"/>
  <c r="AIU27" i="3"/>
  <c r="AIU43" i="3" s="1"/>
  <c r="AIY27" i="3"/>
  <c r="AIY43" i="3" s="1"/>
  <c r="AJC27" i="3"/>
  <c r="AJC43" i="3" s="1"/>
  <c r="AJG27" i="3"/>
  <c r="AJG43" i="3" s="1"/>
  <c r="AJK27" i="3"/>
  <c r="AJK43" i="3" s="1"/>
  <c r="AJO27" i="3"/>
  <c r="AJO43" i="3" s="1"/>
  <c r="AJS27" i="3"/>
  <c r="AJS43" i="3" s="1"/>
  <c r="AJW27" i="3"/>
  <c r="AJW43" i="3" s="1"/>
  <c r="AKA27" i="3"/>
  <c r="AKA43" i="3" s="1"/>
  <c r="AKE27" i="3"/>
  <c r="AKE43" i="3" s="1"/>
  <c r="AKI27" i="3"/>
  <c r="AKI43" i="3" s="1"/>
  <c r="AKM27" i="3"/>
  <c r="AKM43" i="3" s="1"/>
  <c r="AKQ27" i="3"/>
  <c r="AKQ43" i="3" s="1"/>
  <c r="AKU27" i="3"/>
  <c r="AKU43" i="3" s="1"/>
  <c r="AKY27" i="3"/>
  <c r="AKY43" i="3" s="1"/>
  <c r="ALC27" i="3"/>
  <c r="ALC43" i="3" s="1"/>
  <c r="ALG27" i="3"/>
  <c r="ALG43" i="3" s="1"/>
  <c r="ALK27" i="3"/>
  <c r="ALK43" i="3" s="1"/>
  <c r="O30" i="3"/>
  <c r="O46" i="3" s="1"/>
  <c r="AE30" i="3"/>
  <c r="AE46" i="3" s="1"/>
  <c r="AI30" i="3"/>
  <c r="AI46" i="3" s="1"/>
  <c r="AM30" i="3"/>
  <c r="AM46" i="3" s="1"/>
  <c r="AY30" i="3"/>
  <c r="AY46" i="3" s="1"/>
  <c r="CI30" i="3"/>
  <c r="CI46" i="3" s="1"/>
  <c r="CM30" i="3"/>
  <c r="CM46" i="3" s="1"/>
  <c r="CU30" i="3"/>
  <c r="CU46" i="3" s="1"/>
  <c r="CY30" i="3"/>
  <c r="CY46" i="3" s="1"/>
  <c r="DK30" i="3"/>
  <c r="DK46" i="3" s="1"/>
  <c r="FC30" i="3"/>
  <c r="FC46" i="3" s="1"/>
  <c r="GA30" i="3"/>
  <c r="GA46" i="3" s="1"/>
  <c r="GI30" i="3"/>
  <c r="GI46" i="3" s="1"/>
  <c r="GM30" i="3"/>
  <c r="GM46" i="3" s="1"/>
  <c r="GU30" i="3"/>
  <c r="GU46" i="3" s="1"/>
  <c r="HG30" i="3"/>
  <c r="HG46" i="3" s="1"/>
  <c r="HK30" i="3"/>
  <c r="HK46" i="3" s="1"/>
  <c r="II30" i="3"/>
  <c r="II46" i="3" s="1"/>
  <c r="KU30" i="3"/>
  <c r="KU46" i="3" s="1"/>
  <c r="KY30" i="3"/>
  <c r="KY46" i="3" s="1"/>
  <c r="LK30" i="3"/>
  <c r="LK46" i="3" s="1"/>
  <c r="NK30" i="3"/>
  <c r="NK46" i="3" s="1"/>
  <c r="NO30" i="3"/>
  <c r="NO46" i="3" s="1"/>
  <c r="NW30" i="3"/>
  <c r="NW46" i="3" s="1"/>
  <c r="OQ30" i="3"/>
  <c r="OQ46" i="3" s="1"/>
  <c r="PC30" i="3"/>
  <c r="PC46" i="3" s="1"/>
  <c r="PO30" i="3"/>
  <c r="PO46" i="3" s="1"/>
  <c r="QA30" i="3"/>
  <c r="QA46" i="3" s="1"/>
  <c r="QE30" i="3"/>
  <c r="QE46" i="3" s="1"/>
  <c r="QI30" i="3"/>
  <c r="QI46" i="3" s="1"/>
  <c r="QQ30" i="3"/>
  <c r="QQ46" i="3" s="1"/>
  <c r="QY30" i="3"/>
  <c r="QY46" i="3" s="1"/>
  <c r="RG30" i="3"/>
  <c r="RG46" i="3" s="1"/>
  <c r="RS30" i="3"/>
  <c r="RS46" i="3" s="1"/>
  <c r="SE30" i="3"/>
  <c r="SE46" i="3" s="1"/>
  <c r="SI30" i="3"/>
  <c r="SI46" i="3" s="1"/>
  <c r="SM30" i="3"/>
  <c r="SM46" i="3" s="1"/>
  <c r="SQ30" i="3"/>
  <c r="SQ46" i="3" s="1"/>
  <c r="SU30" i="3"/>
  <c r="SU46" i="3" s="1"/>
  <c r="SY30" i="3"/>
  <c r="SY46" i="3" s="1"/>
  <c r="TC30" i="3"/>
  <c r="TC46" i="3" s="1"/>
  <c r="TG30" i="3"/>
  <c r="TG46" i="3" s="1"/>
  <c r="TK30" i="3"/>
  <c r="TK46" i="3" s="1"/>
  <c r="TO30" i="3"/>
  <c r="TO46" i="3" s="1"/>
  <c r="TS30" i="3"/>
  <c r="TS46" i="3" s="1"/>
  <c r="TW30" i="3"/>
  <c r="TW46" i="3" s="1"/>
  <c r="UA30" i="3"/>
  <c r="UA46" i="3" s="1"/>
  <c r="UE30" i="3"/>
  <c r="UE46" i="3" s="1"/>
  <c r="UI30" i="3"/>
  <c r="UI46" i="3" s="1"/>
  <c r="UM30" i="3"/>
  <c r="UM46" i="3" s="1"/>
  <c r="UQ30" i="3"/>
  <c r="UQ46" i="3" s="1"/>
  <c r="UU30" i="3"/>
  <c r="UU46" i="3" s="1"/>
  <c r="UY30" i="3"/>
  <c r="UY46" i="3" s="1"/>
  <c r="VC30" i="3"/>
  <c r="VC46" i="3" s="1"/>
  <c r="VG30" i="3"/>
  <c r="VG46" i="3" s="1"/>
  <c r="VK30" i="3"/>
  <c r="VK46" i="3" s="1"/>
  <c r="VO30" i="3"/>
  <c r="VO46" i="3" s="1"/>
  <c r="VS30" i="3"/>
  <c r="VS46" i="3" s="1"/>
  <c r="VW30" i="3"/>
  <c r="VW46" i="3" s="1"/>
  <c r="WA30" i="3"/>
  <c r="WA46" i="3" s="1"/>
  <c r="WE30" i="3"/>
  <c r="WE46" i="3" s="1"/>
  <c r="WI30" i="3"/>
  <c r="WI46" i="3" s="1"/>
  <c r="WM30" i="3"/>
  <c r="WM46" i="3" s="1"/>
  <c r="WQ30" i="3"/>
  <c r="WQ46" i="3" s="1"/>
  <c r="WU30" i="3"/>
  <c r="WU46" i="3" s="1"/>
  <c r="WY30" i="3"/>
  <c r="WY46" i="3" s="1"/>
  <c r="XC30" i="3"/>
  <c r="XC46" i="3" s="1"/>
  <c r="XG30" i="3"/>
  <c r="XG46" i="3" s="1"/>
  <c r="XK30" i="3"/>
  <c r="XK46" i="3" s="1"/>
  <c r="XO30" i="3"/>
  <c r="XO46" i="3" s="1"/>
  <c r="XS30" i="3"/>
  <c r="XS46" i="3" s="1"/>
  <c r="XW30" i="3"/>
  <c r="XW46" i="3" s="1"/>
  <c r="YA30" i="3"/>
  <c r="YA46" i="3" s="1"/>
  <c r="YE30" i="3"/>
  <c r="YE46" i="3" s="1"/>
  <c r="YI30" i="3"/>
  <c r="YI46" i="3" s="1"/>
  <c r="YM30" i="3"/>
  <c r="YM46" i="3" s="1"/>
  <c r="YQ30" i="3"/>
  <c r="YQ46" i="3" s="1"/>
  <c r="YU30" i="3"/>
  <c r="YU46" i="3" s="1"/>
  <c r="YY30" i="3"/>
  <c r="YY46" i="3" s="1"/>
  <c r="ZC30" i="3"/>
  <c r="ZC46" i="3" s="1"/>
  <c r="ZG30" i="3"/>
  <c r="ZG46" i="3" s="1"/>
  <c r="ZK30" i="3"/>
  <c r="ZK46" i="3" s="1"/>
  <c r="ZO30" i="3"/>
  <c r="ZO46" i="3" s="1"/>
  <c r="ZS30" i="3"/>
  <c r="ZS46" i="3" s="1"/>
  <c r="ZW30" i="3"/>
  <c r="ZW46" i="3" s="1"/>
  <c r="AAA30" i="3"/>
  <c r="AAA46" i="3" s="1"/>
  <c r="AAE30" i="3"/>
  <c r="AAE46" i="3" s="1"/>
  <c r="AAI30" i="3"/>
  <c r="AAI46" i="3" s="1"/>
  <c r="AAM30" i="3"/>
  <c r="AAM46" i="3" s="1"/>
  <c r="AAQ30" i="3"/>
  <c r="AAQ46" i="3" s="1"/>
  <c r="AAU30" i="3"/>
  <c r="AAU46" i="3" s="1"/>
  <c r="AAY30" i="3"/>
  <c r="AAY46" i="3" s="1"/>
  <c r="ABC30" i="3"/>
  <c r="ABC46" i="3" s="1"/>
  <c r="ABG30" i="3"/>
  <c r="ABG46" i="3" s="1"/>
  <c r="ABK30" i="3"/>
  <c r="ABK46" i="3" s="1"/>
  <c r="ABO30" i="3"/>
  <c r="ABO46" i="3" s="1"/>
  <c r="ABS30" i="3"/>
  <c r="ABS46" i="3" s="1"/>
  <c r="ABW30" i="3"/>
  <c r="ABW46" i="3" s="1"/>
  <c r="ACA30" i="3"/>
  <c r="ACA46" i="3" s="1"/>
  <c r="ACE30" i="3"/>
  <c r="ACE46" i="3" s="1"/>
  <c r="ACI30" i="3"/>
  <c r="ACI46" i="3" s="1"/>
  <c r="ACM30" i="3"/>
  <c r="ACM46" i="3" s="1"/>
  <c r="ACQ30" i="3"/>
  <c r="ACQ46" i="3" s="1"/>
  <c r="ACU30" i="3"/>
  <c r="ACU46" i="3" s="1"/>
  <c r="ACY30" i="3"/>
  <c r="ACY46" i="3" s="1"/>
  <c r="ADC30" i="3"/>
  <c r="ADC46" i="3" s="1"/>
  <c r="ADG30" i="3"/>
  <c r="ADG46" i="3" s="1"/>
  <c r="ADK30" i="3"/>
  <c r="ADK46" i="3" s="1"/>
  <c r="ADO30" i="3"/>
  <c r="ADO46" i="3" s="1"/>
  <c r="ADS30" i="3"/>
  <c r="ADS46" i="3" s="1"/>
  <c r="ADW30" i="3"/>
  <c r="ADW46" i="3" s="1"/>
  <c r="AEA30" i="3"/>
  <c r="AEA46" i="3" s="1"/>
  <c r="AEE30" i="3"/>
  <c r="AEE46" i="3" s="1"/>
  <c r="AEI30" i="3"/>
  <c r="AEI46" i="3" s="1"/>
  <c r="AEM30" i="3"/>
  <c r="AEM46" i="3" s="1"/>
  <c r="AEQ30" i="3"/>
  <c r="AEQ46" i="3" s="1"/>
  <c r="AEU30" i="3"/>
  <c r="AEU46" i="3" s="1"/>
  <c r="AEY30" i="3"/>
  <c r="AEY46" i="3" s="1"/>
  <c r="AFC30" i="3"/>
  <c r="AFC46" i="3" s="1"/>
  <c r="AFG30" i="3"/>
  <c r="AFG46" i="3" s="1"/>
  <c r="AFK30" i="3"/>
  <c r="AFK46" i="3" s="1"/>
  <c r="AFO30" i="3"/>
  <c r="AFO46" i="3" s="1"/>
  <c r="AFS30" i="3"/>
  <c r="AFS46" i="3" s="1"/>
  <c r="AFW30" i="3"/>
  <c r="AFW46" i="3" s="1"/>
  <c r="AGA30" i="3"/>
  <c r="AGA46" i="3" s="1"/>
  <c r="AGE30" i="3"/>
  <c r="AGE46" i="3" s="1"/>
  <c r="AGI30" i="3"/>
  <c r="AGI46" i="3" s="1"/>
  <c r="AGM30" i="3"/>
  <c r="AGM46" i="3" s="1"/>
  <c r="AGQ30" i="3"/>
  <c r="AGQ46" i="3" s="1"/>
  <c r="AGU30" i="3"/>
  <c r="AGU46" i="3" s="1"/>
  <c r="AGY30" i="3"/>
  <c r="AGY46" i="3" s="1"/>
  <c r="AHC30" i="3"/>
  <c r="AHC46" i="3" s="1"/>
  <c r="AHG30" i="3"/>
  <c r="AHG46" i="3" s="1"/>
  <c r="AHK30" i="3"/>
  <c r="AHK46" i="3" s="1"/>
  <c r="AHO30" i="3"/>
  <c r="AHO46" i="3" s="1"/>
  <c r="AHS30" i="3"/>
  <c r="AHS46" i="3" s="1"/>
  <c r="AHW30" i="3"/>
  <c r="AHW46" i="3" s="1"/>
  <c r="AIA30" i="3"/>
  <c r="AIA46" i="3" s="1"/>
  <c r="AIE30" i="3"/>
  <c r="AIE46" i="3" s="1"/>
  <c r="AII30" i="3"/>
  <c r="AII46" i="3" s="1"/>
  <c r="AIM30" i="3"/>
  <c r="AIM46" i="3" s="1"/>
  <c r="AIQ30" i="3"/>
  <c r="AIQ46" i="3" s="1"/>
  <c r="AIU30" i="3"/>
  <c r="AIU46" i="3" s="1"/>
  <c r="AIY30" i="3"/>
  <c r="AIY46" i="3" s="1"/>
  <c r="AJC30" i="3"/>
  <c r="AJC46" i="3" s="1"/>
  <c r="AJG30" i="3"/>
  <c r="AJG46" i="3" s="1"/>
  <c r="AJK30" i="3"/>
  <c r="AJK46" i="3" s="1"/>
  <c r="AJO30" i="3"/>
  <c r="AJO46" i="3" s="1"/>
  <c r="AJS30" i="3"/>
  <c r="AJS46" i="3" s="1"/>
  <c r="AJW30" i="3"/>
  <c r="AJW46" i="3" s="1"/>
  <c r="AKA30" i="3"/>
  <c r="AKA46" i="3" s="1"/>
  <c r="AKE30" i="3"/>
  <c r="AKE46" i="3" s="1"/>
  <c r="AKI30" i="3"/>
  <c r="AKI46" i="3" s="1"/>
  <c r="AKM30" i="3"/>
  <c r="AKM46" i="3" s="1"/>
  <c r="AKQ30" i="3"/>
  <c r="AKQ46" i="3" s="1"/>
  <c r="AKU30" i="3"/>
  <c r="AKU46" i="3" s="1"/>
  <c r="AKY30" i="3"/>
  <c r="AKY46" i="3" s="1"/>
  <c r="ALC30" i="3"/>
  <c r="ALC46" i="3" s="1"/>
  <c r="ALG30" i="3"/>
  <c r="ALG46" i="3" s="1"/>
  <c r="ALK30" i="3"/>
  <c r="ALK46" i="3" s="1"/>
  <c r="HD58" i="3"/>
  <c r="IB58" i="3"/>
  <c r="KV58" i="3"/>
  <c r="LT58" i="3"/>
  <c r="ND58" i="3"/>
  <c r="NX58" i="3"/>
  <c r="PT58" i="3"/>
  <c r="RL58" i="3"/>
  <c r="L27" i="3"/>
  <c r="L43" i="3" s="1"/>
  <c r="AB27" i="3"/>
  <c r="AB43" i="3" s="1"/>
  <c r="AN27" i="3"/>
  <c r="AN43" i="3" s="1"/>
  <c r="AV27" i="3"/>
  <c r="AV43" i="3" s="1"/>
  <c r="BT27" i="3"/>
  <c r="BT43" i="3" s="1"/>
  <c r="BX27" i="3"/>
  <c r="BX43" i="3" s="1"/>
  <c r="CJ27" i="3"/>
  <c r="CJ43" i="3" s="1"/>
  <c r="DD27" i="3"/>
  <c r="DD43" i="3" s="1"/>
  <c r="DL27" i="3"/>
  <c r="DL43" i="3" s="1"/>
  <c r="DP27" i="3"/>
  <c r="DP43" i="3" s="1"/>
  <c r="EF27" i="3"/>
  <c r="EF43" i="3" s="1"/>
  <c r="EJ27" i="3"/>
  <c r="EJ43" i="3" s="1"/>
  <c r="FD27" i="3"/>
  <c r="FD43" i="3" s="1"/>
  <c r="GR27" i="3"/>
  <c r="GR43" i="3" s="1"/>
  <c r="GZ27" i="3"/>
  <c r="GZ43" i="3" s="1"/>
  <c r="IB27" i="3"/>
  <c r="IB43" i="3" s="1"/>
  <c r="IF27" i="3"/>
  <c r="IF43" i="3" s="1"/>
  <c r="IR27" i="3"/>
  <c r="IR43" i="3" s="1"/>
  <c r="IZ27" i="3"/>
  <c r="IZ43" i="3" s="1"/>
  <c r="JH27" i="3"/>
  <c r="JH43" i="3" s="1"/>
  <c r="JL27" i="3"/>
  <c r="JL43" i="3" s="1"/>
  <c r="JX27" i="3"/>
  <c r="JX43" i="3" s="1"/>
  <c r="KJ27" i="3"/>
  <c r="KJ43" i="3" s="1"/>
  <c r="KR27" i="3"/>
  <c r="KR43" i="3" s="1"/>
  <c r="LD27" i="3"/>
  <c r="LD43" i="3" s="1"/>
  <c r="LP27" i="3"/>
  <c r="LP43" i="3" s="1"/>
  <c r="LT27" i="3"/>
  <c r="LT43" i="3" s="1"/>
  <c r="LX27" i="3"/>
  <c r="LX43" i="3" s="1"/>
  <c r="MV27" i="3"/>
  <c r="MV43" i="3" s="1"/>
  <c r="NH27" i="3"/>
  <c r="NH43" i="3" s="1"/>
  <c r="NL27" i="3"/>
  <c r="NL43" i="3" s="1"/>
  <c r="OB27" i="3"/>
  <c r="OB43" i="3" s="1"/>
  <c r="OJ27" i="3"/>
  <c r="OJ43" i="3" s="1"/>
  <c r="OR27" i="3"/>
  <c r="OR43" i="3" s="1"/>
  <c r="OV27" i="3"/>
  <c r="OV43" i="3" s="1"/>
  <c r="PL27" i="3"/>
  <c r="PL43" i="3" s="1"/>
  <c r="PP27" i="3"/>
  <c r="PP43" i="3" s="1"/>
  <c r="PT27" i="3"/>
  <c r="PT43" i="3" s="1"/>
  <c r="PX27" i="3"/>
  <c r="PX43" i="3" s="1"/>
  <c r="QB27" i="3"/>
  <c r="QB43" i="3" s="1"/>
  <c r="QF27" i="3"/>
  <c r="QF43" i="3" s="1"/>
  <c r="QN27" i="3"/>
  <c r="QN43" i="3" s="1"/>
  <c r="QV27" i="3"/>
  <c r="QV43" i="3" s="1"/>
  <c r="RD27" i="3"/>
  <c r="RD43" i="3" s="1"/>
  <c r="SF27" i="3"/>
  <c r="SF43" i="3" s="1"/>
  <c r="SJ27" i="3"/>
  <c r="SJ43" i="3" s="1"/>
  <c r="SN27" i="3"/>
  <c r="SN43" i="3" s="1"/>
  <c r="SR27" i="3"/>
  <c r="SR43" i="3" s="1"/>
  <c r="SV27" i="3"/>
  <c r="SV43" i="3" s="1"/>
  <c r="SZ27" i="3"/>
  <c r="SZ43" i="3" s="1"/>
  <c r="TD27" i="3"/>
  <c r="TD43" i="3" s="1"/>
  <c r="TH27" i="3"/>
  <c r="TH43" i="3" s="1"/>
  <c r="TL27" i="3"/>
  <c r="TL43" i="3" s="1"/>
  <c r="TP27" i="3"/>
  <c r="TP43" i="3" s="1"/>
  <c r="TT27" i="3"/>
  <c r="TT43" i="3" s="1"/>
  <c r="TX27" i="3"/>
  <c r="TX43" i="3" s="1"/>
  <c r="UB27" i="3"/>
  <c r="UB43" i="3" s="1"/>
  <c r="UF27" i="3"/>
  <c r="UF43" i="3" s="1"/>
  <c r="UJ27" i="3"/>
  <c r="UJ43" i="3" s="1"/>
  <c r="UN27" i="3"/>
  <c r="UN43" i="3" s="1"/>
  <c r="UR27" i="3"/>
  <c r="UR43" i="3" s="1"/>
  <c r="UV27" i="3"/>
  <c r="UV43" i="3" s="1"/>
  <c r="UZ27" i="3"/>
  <c r="UZ43" i="3" s="1"/>
  <c r="VD27" i="3"/>
  <c r="VD43" i="3" s="1"/>
  <c r="VH27" i="3"/>
  <c r="VH43" i="3" s="1"/>
  <c r="VL27" i="3"/>
  <c r="VL43" i="3" s="1"/>
  <c r="VP27" i="3"/>
  <c r="VP43" i="3" s="1"/>
  <c r="VT27" i="3"/>
  <c r="VT43" i="3" s="1"/>
  <c r="VX27" i="3"/>
  <c r="VX43" i="3" s="1"/>
  <c r="WB27" i="3"/>
  <c r="WB43" i="3" s="1"/>
  <c r="WF27" i="3"/>
  <c r="WF43" i="3" s="1"/>
  <c r="WJ27" i="3"/>
  <c r="WJ43" i="3" s="1"/>
  <c r="WN27" i="3"/>
  <c r="WN43" i="3" s="1"/>
  <c r="WR27" i="3"/>
  <c r="WR43" i="3" s="1"/>
  <c r="WV27" i="3"/>
  <c r="WV43" i="3" s="1"/>
  <c r="WZ27" i="3"/>
  <c r="WZ43" i="3" s="1"/>
  <c r="XD27" i="3"/>
  <c r="XD43" i="3" s="1"/>
  <c r="XH27" i="3"/>
  <c r="XH43" i="3" s="1"/>
  <c r="XL27" i="3"/>
  <c r="XL43" i="3" s="1"/>
  <c r="XP27" i="3"/>
  <c r="XP43" i="3" s="1"/>
  <c r="XT27" i="3"/>
  <c r="XT43" i="3" s="1"/>
  <c r="XX27" i="3"/>
  <c r="XX43" i="3" s="1"/>
  <c r="YB27" i="3"/>
  <c r="YB43" i="3" s="1"/>
  <c r="YF27" i="3"/>
  <c r="YF43" i="3" s="1"/>
  <c r="YJ27" i="3"/>
  <c r="YJ43" i="3" s="1"/>
  <c r="YN27" i="3"/>
  <c r="YN43" i="3" s="1"/>
  <c r="YR27" i="3"/>
  <c r="YR43" i="3" s="1"/>
  <c r="YV27" i="3"/>
  <c r="YV43" i="3" s="1"/>
  <c r="YZ27" i="3"/>
  <c r="YZ43" i="3" s="1"/>
  <c r="ZD27" i="3"/>
  <c r="ZD43" i="3" s="1"/>
  <c r="ZH27" i="3"/>
  <c r="ZH43" i="3" s="1"/>
  <c r="ZL27" i="3"/>
  <c r="ZL43" i="3" s="1"/>
  <c r="ZP27" i="3"/>
  <c r="ZP43" i="3" s="1"/>
  <c r="ZT27" i="3"/>
  <c r="ZT43" i="3" s="1"/>
  <c r="ZX27" i="3"/>
  <c r="ZX43" i="3" s="1"/>
  <c r="AAB27" i="3"/>
  <c r="AAB43" i="3" s="1"/>
  <c r="AAF27" i="3"/>
  <c r="AAF43" i="3" s="1"/>
  <c r="AAJ27" i="3"/>
  <c r="AAJ43" i="3" s="1"/>
  <c r="AAN27" i="3"/>
  <c r="AAN43" i="3" s="1"/>
  <c r="AAR27" i="3"/>
  <c r="AAR43" i="3" s="1"/>
  <c r="AAV27" i="3"/>
  <c r="AAV43" i="3" s="1"/>
  <c r="AAZ27" i="3"/>
  <c r="AAZ43" i="3" s="1"/>
  <c r="ABD27" i="3"/>
  <c r="ABD43" i="3" s="1"/>
  <c r="ABH27" i="3"/>
  <c r="ABH43" i="3" s="1"/>
  <c r="ABL27" i="3"/>
  <c r="ABL43" i="3" s="1"/>
  <c r="ABP27" i="3"/>
  <c r="ABP43" i="3" s="1"/>
  <c r="ABT27" i="3"/>
  <c r="ABT43" i="3" s="1"/>
  <c r="ABX27" i="3"/>
  <c r="ABX43" i="3" s="1"/>
  <c r="ACB27" i="3"/>
  <c r="ACB43" i="3" s="1"/>
  <c r="ACF27" i="3"/>
  <c r="ACF43" i="3" s="1"/>
  <c r="ACJ27" i="3"/>
  <c r="ACJ43" i="3" s="1"/>
  <c r="ACN27" i="3"/>
  <c r="ACN43" i="3" s="1"/>
  <c r="ACR27" i="3"/>
  <c r="ACR43" i="3" s="1"/>
  <c r="ACV27" i="3"/>
  <c r="ACV43" i="3" s="1"/>
  <c r="ACZ27" i="3"/>
  <c r="ACZ43" i="3" s="1"/>
  <c r="ADD27" i="3"/>
  <c r="ADD43" i="3" s="1"/>
  <c r="ADH27" i="3"/>
  <c r="ADH43" i="3" s="1"/>
  <c r="ADL27" i="3"/>
  <c r="ADL43" i="3" s="1"/>
  <c r="ADP27" i="3"/>
  <c r="ADP43" i="3" s="1"/>
  <c r="ADT27" i="3"/>
  <c r="ADT43" i="3" s="1"/>
  <c r="ADX27" i="3"/>
  <c r="ADX43" i="3" s="1"/>
  <c r="AEB27" i="3"/>
  <c r="AEB43" i="3" s="1"/>
  <c r="AEF27" i="3"/>
  <c r="AEF43" i="3" s="1"/>
  <c r="AEJ27" i="3"/>
  <c r="AEJ43" i="3" s="1"/>
  <c r="AEN27" i="3"/>
  <c r="AEN43" i="3" s="1"/>
  <c r="AER27" i="3"/>
  <c r="AER43" i="3" s="1"/>
  <c r="AEV27" i="3"/>
  <c r="AEV43" i="3" s="1"/>
  <c r="AEZ27" i="3"/>
  <c r="AEZ43" i="3" s="1"/>
  <c r="AFD27" i="3"/>
  <c r="AFD43" i="3" s="1"/>
  <c r="AFH27" i="3"/>
  <c r="AFH43" i="3" s="1"/>
  <c r="AFL27" i="3"/>
  <c r="AFL43" i="3" s="1"/>
  <c r="AFP27" i="3"/>
  <c r="AFP43" i="3" s="1"/>
  <c r="AFT27" i="3"/>
  <c r="AFT43" i="3" s="1"/>
  <c r="AFX27" i="3"/>
  <c r="AFX43" i="3" s="1"/>
  <c r="AGB27" i="3"/>
  <c r="AGB43" i="3" s="1"/>
  <c r="AGF27" i="3"/>
  <c r="AGF43" i="3" s="1"/>
  <c r="AGJ27" i="3"/>
  <c r="AGJ43" i="3" s="1"/>
  <c r="AGN27" i="3"/>
  <c r="AGN43" i="3" s="1"/>
  <c r="AGR27" i="3"/>
  <c r="AGR43" i="3" s="1"/>
  <c r="AGV27" i="3"/>
  <c r="AGV43" i="3" s="1"/>
  <c r="AGZ27" i="3"/>
  <c r="AGZ43" i="3" s="1"/>
  <c r="AHD27" i="3"/>
  <c r="AHD43" i="3" s="1"/>
  <c r="AHH27" i="3"/>
  <c r="AHH43" i="3" s="1"/>
  <c r="AHL27" i="3"/>
  <c r="AHL43" i="3" s="1"/>
  <c r="AHP27" i="3"/>
  <c r="AHP43" i="3" s="1"/>
  <c r="AHT27" i="3"/>
  <c r="AHT43" i="3" s="1"/>
  <c r="AHX27" i="3"/>
  <c r="AHX43" i="3" s="1"/>
  <c r="AIB27" i="3"/>
  <c r="AIB43" i="3" s="1"/>
  <c r="AIF27" i="3"/>
  <c r="AIF43" i="3" s="1"/>
  <c r="AIJ27" i="3"/>
  <c r="AIJ43" i="3" s="1"/>
  <c r="AIN27" i="3"/>
  <c r="AIN43" i="3" s="1"/>
  <c r="AIR27" i="3"/>
  <c r="AIR43" i="3" s="1"/>
  <c r="AIV27" i="3"/>
  <c r="AIV43" i="3" s="1"/>
  <c r="AIZ27" i="3"/>
  <c r="AIZ43" i="3" s="1"/>
  <c r="AJD27" i="3"/>
  <c r="AJD43" i="3" s="1"/>
  <c r="AJH27" i="3"/>
  <c r="AJH43" i="3" s="1"/>
  <c r="AJL27" i="3"/>
  <c r="AJL43" i="3" s="1"/>
  <c r="AJP27" i="3"/>
  <c r="AJP43" i="3" s="1"/>
  <c r="AJT27" i="3"/>
  <c r="AJT43" i="3" s="1"/>
  <c r="AJX27" i="3"/>
  <c r="AJX43" i="3" s="1"/>
  <c r="AKB27" i="3"/>
  <c r="AKB43" i="3" s="1"/>
  <c r="AKF27" i="3"/>
  <c r="AKF43" i="3" s="1"/>
  <c r="AKJ27" i="3"/>
  <c r="AKJ43" i="3" s="1"/>
  <c r="AKN27" i="3"/>
  <c r="AKN43" i="3" s="1"/>
  <c r="AKR27" i="3"/>
  <c r="AKR43" i="3" s="1"/>
  <c r="AKV27" i="3"/>
  <c r="AKV43" i="3" s="1"/>
  <c r="AKZ27" i="3"/>
  <c r="AKZ43" i="3" s="1"/>
  <c r="ALD27" i="3"/>
  <c r="ALD43" i="3" s="1"/>
  <c r="ALH27" i="3"/>
  <c r="ALH43" i="3" s="1"/>
  <c r="ALL27" i="3"/>
  <c r="ALL43" i="3" s="1"/>
  <c r="D30" i="3"/>
  <c r="D46" i="3" s="1"/>
  <c r="AB30" i="3"/>
  <c r="AB46" i="3" s="1"/>
  <c r="AJ30" i="3"/>
  <c r="AJ46" i="3" s="1"/>
  <c r="AN30" i="3"/>
  <c r="AN46" i="3" s="1"/>
  <c r="AV30" i="3"/>
  <c r="AV46" i="3" s="1"/>
  <c r="AZ30" i="3"/>
  <c r="AZ46" i="3" s="1"/>
  <c r="BP30" i="3"/>
  <c r="BP46" i="3" s="1"/>
  <c r="CF30" i="3"/>
  <c r="CF46" i="3" s="1"/>
  <c r="DP30" i="3"/>
  <c r="DP46" i="3" s="1"/>
  <c r="EB30" i="3"/>
  <c r="EB46" i="3" s="1"/>
  <c r="ER30" i="3"/>
  <c r="ER46" i="3" s="1"/>
  <c r="FD30" i="3"/>
  <c r="FD46" i="3" s="1"/>
  <c r="FH30" i="3"/>
  <c r="FH46" i="3" s="1"/>
  <c r="FP30" i="3"/>
  <c r="FP46" i="3" s="1"/>
  <c r="GR30" i="3"/>
  <c r="GR46" i="3" s="1"/>
  <c r="HP30" i="3"/>
  <c r="HP46" i="3" s="1"/>
  <c r="IF30" i="3"/>
  <c r="IF46" i="3" s="1"/>
  <c r="IJ30" i="3"/>
  <c r="IJ46" i="3" s="1"/>
  <c r="IV30" i="3"/>
  <c r="IV46" i="3" s="1"/>
  <c r="JH30" i="3"/>
  <c r="JH46" i="3" s="1"/>
  <c r="JL30" i="3"/>
  <c r="JL46" i="3" s="1"/>
  <c r="JX30" i="3"/>
  <c r="JX46" i="3" s="1"/>
  <c r="KJ30" i="3"/>
  <c r="KJ46" i="3" s="1"/>
  <c r="KN30" i="3"/>
  <c r="KN46" i="3" s="1"/>
  <c r="KR30" i="3"/>
  <c r="KR46" i="3" s="1"/>
  <c r="LH30" i="3"/>
  <c r="LH46" i="3" s="1"/>
  <c r="LL30" i="3"/>
  <c r="LL46" i="3" s="1"/>
  <c r="LX30" i="3"/>
  <c r="LX46" i="3" s="1"/>
  <c r="MF30" i="3"/>
  <c r="MF46" i="3" s="1"/>
  <c r="MJ30" i="3"/>
  <c r="MJ46" i="3" s="1"/>
  <c r="MN30" i="3"/>
  <c r="MN46" i="3" s="1"/>
  <c r="MV30" i="3"/>
  <c r="MV46" i="3" s="1"/>
  <c r="NL30" i="3"/>
  <c r="NL46" i="3" s="1"/>
  <c r="NX30" i="3"/>
  <c r="NX46" i="3" s="1"/>
  <c r="OJ30" i="3"/>
  <c r="OJ46" i="3" s="1"/>
  <c r="ON30" i="3"/>
  <c r="ON46" i="3" s="1"/>
  <c r="OR30" i="3"/>
  <c r="OR46" i="3" s="1"/>
  <c r="OZ30" i="3"/>
  <c r="OZ46" i="3" s="1"/>
  <c r="PH30" i="3"/>
  <c r="PH46" i="3" s="1"/>
  <c r="PP30" i="3"/>
  <c r="PP46" i="3" s="1"/>
  <c r="PT30" i="3"/>
  <c r="PT46" i="3" s="1"/>
  <c r="QF30" i="3"/>
  <c r="QF46" i="3" s="1"/>
  <c r="QN30" i="3"/>
  <c r="QN46" i="3" s="1"/>
  <c r="RT30" i="3"/>
  <c r="RT46" i="3" s="1"/>
  <c r="SF30" i="3"/>
  <c r="SF46" i="3" s="1"/>
  <c r="SJ30" i="3"/>
  <c r="SJ46" i="3" s="1"/>
  <c r="SN30" i="3"/>
  <c r="SN46" i="3" s="1"/>
  <c r="SR30" i="3"/>
  <c r="SR46" i="3" s="1"/>
  <c r="SV30" i="3"/>
  <c r="SV46" i="3" s="1"/>
  <c r="SZ30" i="3"/>
  <c r="SZ46" i="3" s="1"/>
  <c r="TD30" i="3"/>
  <c r="TD46" i="3" s="1"/>
  <c r="TH30" i="3"/>
  <c r="TH46" i="3" s="1"/>
  <c r="TL30" i="3"/>
  <c r="TL46" i="3" s="1"/>
  <c r="TP30" i="3"/>
  <c r="TP46" i="3" s="1"/>
  <c r="TT30" i="3"/>
  <c r="TT46" i="3" s="1"/>
  <c r="TX30" i="3"/>
  <c r="TX46" i="3" s="1"/>
  <c r="UB30" i="3"/>
  <c r="UB46" i="3" s="1"/>
  <c r="UF30" i="3"/>
  <c r="UF46" i="3" s="1"/>
  <c r="UJ30" i="3"/>
  <c r="UJ46" i="3" s="1"/>
  <c r="UN30" i="3"/>
  <c r="UN46" i="3" s="1"/>
  <c r="UR30" i="3"/>
  <c r="UR46" i="3" s="1"/>
  <c r="UV30" i="3"/>
  <c r="UV46" i="3" s="1"/>
  <c r="UZ30" i="3"/>
  <c r="UZ46" i="3" s="1"/>
  <c r="VD30" i="3"/>
  <c r="VD46" i="3" s="1"/>
  <c r="VH30" i="3"/>
  <c r="VH46" i="3" s="1"/>
  <c r="VL30" i="3"/>
  <c r="VL46" i="3" s="1"/>
  <c r="VP30" i="3"/>
  <c r="VP46" i="3" s="1"/>
  <c r="VT30" i="3"/>
  <c r="VT46" i="3" s="1"/>
  <c r="VX30" i="3"/>
  <c r="VX46" i="3" s="1"/>
  <c r="WB30" i="3"/>
  <c r="WB46" i="3" s="1"/>
  <c r="WF30" i="3"/>
  <c r="WF46" i="3" s="1"/>
  <c r="WJ30" i="3"/>
  <c r="WJ46" i="3" s="1"/>
  <c r="WN30" i="3"/>
  <c r="WN46" i="3" s="1"/>
  <c r="WR30" i="3"/>
  <c r="WR46" i="3" s="1"/>
  <c r="WV30" i="3"/>
  <c r="WV46" i="3" s="1"/>
  <c r="WZ30" i="3"/>
  <c r="WZ46" i="3" s="1"/>
  <c r="XD30" i="3"/>
  <c r="XD46" i="3" s="1"/>
  <c r="XH30" i="3"/>
  <c r="XH46" i="3" s="1"/>
  <c r="XL30" i="3"/>
  <c r="XL46" i="3" s="1"/>
  <c r="XP30" i="3"/>
  <c r="XP46" i="3" s="1"/>
  <c r="XT30" i="3"/>
  <c r="XT46" i="3" s="1"/>
  <c r="XX30" i="3"/>
  <c r="XX46" i="3" s="1"/>
  <c r="YB30" i="3"/>
  <c r="YB46" i="3" s="1"/>
  <c r="YF30" i="3"/>
  <c r="YF46" i="3" s="1"/>
  <c r="YJ30" i="3"/>
  <c r="YJ46" i="3" s="1"/>
  <c r="YN30" i="3"/>
  <c r="YN46" i="3" s="1"/>
  <c r="YR30" i="3"/>
  <c r="YR46" i="3" s="1"/>
  <c r="YV30" i="3"/>
  <c r="YV46" i="3" s="1"/>
  <c r="YZ30" i="3"/>
  <c r="YZ46" i="3" s="1"/>
  <c r="ZD30" i="3"/>
  <c r="ZD46" i="3" s="1"/>
  <c r="ZH30" i="3"/>
  <c r="ZH46" i="3" s="1"/>
  <c r="ZL30" i="3"/>
  <c r="ZL46" i="3" s="1"/>
  <c r="ZP30" i="3"/>
  <c r="ZP46" i="3" s="1"/>
  <c r="ZT30" i="3"/>
  <c r="ZT46" i="3" s="1"/>
  <c r="ZX30" i="3"/>
  <c r="ZX46" i="3" s="1"/>
  <c r="AAB30" i="3"/>
  <c r="AAB46" i="3" s="1"/>
  <c r="AAF30" i="3"/>
  <c r="AAF46" i="3" s="1"/>
  <c r="AAJ30" i="3"/>
  <c r="AAJ46" i="3" s="1"/>
  <c r="AAN30" i="3"/>
  <c r="AAN46" i="3" s="1"/>
  <c r="AAR30" i="3"/>
  <c r="AAR46" i="3" s="1"/>
  <c r="AAV30" i="3"/>
  <c r="AAV46" i="3" s="1"/>
  <c r="AAZ30" i="3"/>
  <c r="AAZ46" i="3" s="1"/>
  <c r="ABD30" i="3"/>
  <c r="ABD46" i="3" s="1"/>
  <c r="ABH30" i="3"/>
  <c r="ABH46" i="3" s="1"/>
  <c r="ABL30" i="3"/>
  <c r="ABL46" i="3" s="1"/>
  <c r="ABP30" i="3"/>
  <c r="ABP46" i="3" s="1"/>
  <c r="ABT30" i="3"/>
  <c r="ABT46" i="3" s="1"/>
  <c r="ABX30" i="3"/>
  <c r="ABX46" i="3" s="1"/>
  <c r="ACB30" i="3"/>
  <c r="ACB46" i="3" s="1"/>
  <c r="ACF30" i="3"/>
  <c r="ACF46" i="3" s="1"/>
  <c r="ACJ30" i="3"/>
  <c r="ACJ46" i="3" s="1"/>
  <c r="ACN30" i="3"/>
  <c r="ACN46" i="3" s="1"/>
  <c r="ACR30" i="3"/>
  <c r="ACR46" i="3" s="1"/>
  <c r="ACV30" i="3"/>
  <c r="ACV46" i="3" s="1"/>
  <c r="ACZ30" i="3"/>
  <c r="ACZ46" i="3" s="1"/>
  <c r="ADD30" i="3"/>
  <c r="ADD46" i="3" s="1"/>
  <c r="ADH30" i="3"/>
  <c r="ADH46" i="3" s="1"/>
  <c r="ADL30" i="3"/>
  <c r="ADL46" i="3" s="1"/>
  <c r="ADP30" i="3"/>
  <c r="ADP46" i="3" s="1"/>
  <c r="ADT30" i="3"/>
  <c r="ADT46" i="3" s="1"/>
  <c r="ADX30" i="3"/>
  <c r="ADX46" i="3" s="1"/>
  <c r="AEB30" i="3"/>
  <c r="AEB46" i="3" s="1"/>
  <c r="AEF30" i="3"/>
  <c r="AEF46" i="3" s="1"/>
  <c r="AEJ30" i="3"/>
  <c r="AEJ46" i="3" s="1"/>
  <c r="AEN30" i="3"/>
  <c r="AEN46" i="3" s="1"/>
  <c r="AER30" i="3"/>
  <c r="AER46" i="3" s="1"/>
  <c r="AEV30" i="3"/>
  <c r="AEV46" i="3" s="1"/>
  <c r="AEZ30" i="3"/>
  <c r="AEZ46" i="3" s="1"/>
  <c r="AFD30" i="3"/>
  <c r="AFD46" i="3" s="1"/>
  <c r="AFH30" i="3"/>
  <c r="AFH46" i="3" s="1"/>
  <c r="AFL30" i="3"/>
  <c r="AFL46" i="3" s="1"/>
  <c r="AFP30" i="3"/>
  <c r="AFP46" i="3" s="1"/>
  <c r="AFT30" i="3"/>
  <c r="AFT46" i="3" s="1"/>
  <c r="AFX30" i="3"/>
  <c r="AFX46" i="3" s="1"/>
  <c r="AGB30" i="3"/>
  <c r="AGB46" i="3" s="1"/>
  <c r="AGF30" i="3"/>
  <c r="AGF46" i="3" s="1"/>
  <c r="AGJ30" i="3"/>
  <c r="AGJ46" i="3" s="1"/>
  <c r="AGN30" i="3"/>
  <c r="AGN46" i="3" s="1"/>
  <c r="AGR30" i="3"/>
  <c r="AGR46" i="3" s="1"/>
  <c r="AGV30" i="3"/>
  <c r="AGV46" i="3" s="1"/>
  <c r="AGZ30" i="3"/>
  <c r="AGZ46" i="3" s="1"/>
  <c r="AHD30" i="3"/>
  <c r="AHD46" i="3" s="1"/>
  <c r="AHH30" i="3"/>
  <c r="AHH46" i="3" s="1"/>
  <c r="AHL30" i="3"/>
  <c r="AHL46" i="3" s="1"/>
  <c r="AHP30" i="3"/>
  <c r="AHP46" i="3" s="1"/>
  <c r="AHT30" i="3"/>
  <c r="AHT46" i="3" s="1"/>
  <c r="AHX30" i="3"/>
  <c r="AHX46" i="3" s="1"/>
  <c r="AIB30" i="3"/>
  <c r="AIB46" i="3" s="1"/>
  <c r="AIF30" i="3"/>
  <c r="AIF46" i="3" s="1"/>
  <c r="AIJ30" i="3"/>
  <c r="AIJ46" i="3" s="1"/>
  <c r="AIN30" i="3"/>
  <c r="AIN46" i="3" s="1"/>
  <c r="AIR30" i="3"/>
  <c r="AIR46" i="3" s="1"/>
  <c r="AIV30" i="3"/>
  <c r="AIV46" i="3" s="1"/>
  <c r="AIZ30" i="3"/>
  <c r="AIZ46" i="3" s="1"/>
  <c r="AJD30" i="3"/>
  <c r="AJD46" i="3" s="1"/>
  <c r="AJH30" i="3"/>
  <c r="AJH46" i="3" s="1"/>
  <c r="AJL30" i="3"/>
  <c r="AJL46" i="3" s="1"/>
  <c r="AJP30" i="3"/>
  <c r="AJP46" i="3" s="1"/>
  <c r="AJT30" i="3"/>
  <c r="AJT46" i="3" s="1"/>
  <c r="AJX30" i="3"/>
  <c r="AJX46" i="3" s="1"/>
  <c r="AKB30" i="3"/>
  <c r="AKB46" i="3" s="1"/>
  <c r="AKF30" i="3"/>
  <c r="AKF46" i="3" s="1"/>
  <c r="AKJ30" i="3"/>
  <c r="AKJ46" i="3" s="1"/>
  <c r="AKN30" i="3"/>
  <c r="AKN46" i="3" s="1"/>
  <c r="AKR30" i="3"/>
  <c r="AKR46" i="3" s="1"/>
  <c r="AKV30" i="3"/>
  <c r="AKV46" i="3" s="1"/>
  <c r="AKZ30" i="3"/>
  <c r="AKZ46" i="3" s="1"/>
  <c r="ALD30" i="3"/>
  <c r="ALD46" i="3" s="1"/>
  <c r="ALH30" i="3"/>
  <c r="ALH46" i="3" s="1"/>
  <c r="ALL30" i="3"/>
  <c r="ALL46" i="3" s="1"/>
  <c r="HP58" i="3"/>
  <c r="IV58" i="3"/>
  <c r="KB58" i="3"/>
  <c r="LH58" i="3"/>
  <c r="MX58" i="3"/>
  <c r="PJ58" i="3"/>
  <c r="QP58" i="3"/>
  <c r="AAT28" i="3"/>
  <c r="AAT44" i="3" s="1"/>
  <c r="AAX28" i="3"/>
  <c r="AAX44" i="3" s="1"/>
  <c r="ABV28" i="3"/>
  <c r="ABV44" i="3" s="1"/>
  <c r="ABZ28" i="3"/>
  <c r="ABZ44" i="3" s="1"/>
  <c r="ADF28" i="3"/>
  <c r="ADF44" i="3" s="1"/>
  <c r="ADZ28" i="3"/>
  <c r="ADZ44" i="3" s="1"/>
  <c r="AEL28" i="3"/>
  <c r="AEL44" i="3" s="1"/>
  <c r="AEX28" i="3"/>
  <c r="AEX44" i="3" s="1"/>
  <c r="AFR28" i="3"/>
  <c r="AFR44" i="3" s="1"/>
  <c r="AGX28" i="3"/>
  <c r="AGX44" i="3" s="1"/>
  <c r="AID28" i="3"/>
  <c r="AID44" i="3" s="1"/>
  <c r="AJJ28" i="3"/>
  <c r="AJJ44" i="3" s="1"/>
  <c r="AKP28" i="3"/>
  <c r="AKP44" i="3" s="1"/>
  <c r="ALB28" i="3"/>
  <c r="ALB44" i="3" s="1"/>
  <c r="ALH39" i="3"/>
  <c r="ALH55" i="3" s="1"/>
  <c r="AKZ39" i="3"/>
  <c r="AKZ55" i="3" s="1"/>
  <c r="AKR39" i="3"/>
  <c r="AKR55" i="3" s="1"/>
  <c r="AKF39" i="3"/>
  <c r="AKF55" i="3" s="1"/>
  <c r="AJX39" i="3"/>
  <c r="AJX55" i="3" s="1"/>
  <c r="AJP39" i="3"/>
  <c r="AJP55" i="3" s="1"/>
  <c r="AJH39" i="3"/>
  <c r="AJH55" i="3" s="1"/>
  <c r="AIV39" i="3"/>
  <c r="AIV55" i="3" s="1"/>
  <c r="AIN39" i="3"/>
  <c r="AIN55" i="3" s="1"/>
  <c r="AIF39" i="3"/>
  <c r="AIF55" i="3" s="1"/>
  <c r="AHX39" i="3"/>
  <c r="AHX55" i="3" s="1"/>
  <c r="AHH39" i="3"/>
  <c r="AHH55" i="3" s="1"/>
  <c r="AGV39" i="3"/>
  <c r="AGV55" i="3" s="1"/>
  <c r="AGN39" i="3"/>
  <c r="AGN55" i="3" s="1"/>
  <c r="AGF39" i="3"/>
  <c r="AGF55" i="3" s="1"/>
  <c r="AFT39" i="3"/>
  <c r="AFT55" i="3" s="1"/>
  <c r="AFL39" i="3"/>
  <c r="AFL55" i="3" s="1"/>
  <c r="AFD39" i="3"/>
  <c r="AFD55" i="3" s="1"/>
  <c r="AER39" i="3"/>
  <c r="AER55" i="3" s="1"/>
  <c r="AEF39" i="3"/>
  <c r="AEF55" i="3" s="1"/>
  <c r="ADX39" i="3"/>
  <c r="ADX55" i="3" s="1"/>
  <c r="ADP39" i="3"/>
  <c r="ADP55" i="3" s="1"/>
  <c r="ADH39" i="3"/>
  <c r="ADH55" i="3" s="1"/>
  <c r="ACV39" i="3"/>
  <c r="ACV55" i="3" s="1"/>
  <c r="ACN39" i="3"/>
  <c r="ACN55" i="3" s="1"/>
  <c r="ACF39" i="3"/>
  <c r="ACF55" i="3" s="1"/>
  <c r="ABX39" i="3"/>
  <c r="ABX55" i="3" s="1"/>
  <c r="ABP39" i="3"/>
  <c r="ABP55" i="3" s="1"/>
  <c r="ABH39" i="3"/>
  <c r="ABH55" i="3" s="1"/>
  <c r="AAV39" i="3"/>
  <c r="AAV55" i="3" s="1"/>
  <c r="AAN39" i="3"/>
  <c r="AAN55" i="3" s="1"/>
  <c r="AAJ39" i="3"/>
  <c r="AAJ55" i="3" s="1"/>
  <c r="AAB39" i="3"/>
  <c r="AAB55" i="3" s="1"/>
  <c r="ZT39" i="3"/>
  <c r="ZT55" i="3" s="1"/>
  <c r="ZL39" i="3"/>
  <c r="ZL55" i="3" s="1"/>
  <c r="ZD39" i="3"/>
  <c r="ZD55" i="3" s="1"/>
  <c r="YZ39" i="3"/>
  <c r="YZ55" i="3" s="1"/>
  <c r="YV39" i="3"/>
  <c r="YV55" i="3" s="1"/>
  <c r="YR39" i="3"/>
  <c r="YR55" i="3" s="1"/>
  <c r="YN39" i="3"/>
  <c r="YN55" i="3" s="1"/>
  <c r="YJ39" i="3"/>
  <c r="YJ55" i="3" s="1"/>
  <c r="YF39" i="3"/>
  <c r="YF55" i="3" s="1"/>
  <c r="XX39" i="3"/>
  <c r="XX55" i="3" s="1"/>
  <c r="XT39" i="3"/>
  <c r="XT55" i="3" s="1"/>
  <c r="XP39" i="3"/>
  <c r="XP55" i="3" s="1"/>
  <c r="XL39" i="3"/>
  <c r="XL55" i="3" s="1"/>
  <c r="XH39" i="3"/>
  <c r="XH55" i="3" s="1"/>
  <c r="XD39" i="3"/>
  <c r="XD55" i="3" s="1"/>
  <c r="WZ39" i="3"/>
  <c r="WZ55" i="3" s="1"/>
  <c r="WV39" i="3"/>
  <c r="WV55" i="3" s="1"/>
  <c r="WR39" i="3"/>
  <c r="WR55" i="3" s="1"/>
  <c r="WN39" i="3"/>
  <c r="WN55" i="3" s="1"/>
  <c r="WJ39" i="3"/>
  <c r="WJ55" i="3" s="1"/>
  <c r="WF39" i="3"/>
  <c r="WF55" i="3" s="1"/>
  <c r="WB39" i="3"/>
  <c r="WB55" i="3" s="1"/>
  <c r="VX39" i="3"/>
  <c r="VX55" i="3" s="1"/>
  <c r="VT39" i="3"/>
  <c r="VT55" i="3" s="1"/>
  <c r="VP39" i="3"/>
  <c r="VP55" i="3" s="1"/>
  <c r="VL39" i="3"/>
  <c r="VL55" i="3" s="1"/>
  <c r="VH39" i="3"/>
  <c r="VH55" i="3" s="1"/>
  <c r="VD39" i="3"/>
  <c r="VD55" i="3" s="1"/>
  <c r="UZ39" i="3"/>
  <c r="UZ55" i="3" s="1"/>
  <c r="UV39" i="3"/>
  <c r="UV55" i="3" s="1"/>
  <c r="UR39" i="3"/>
  <c r="UR55" i="3" s="1"/>
  <c r="UN39" i="3"/>
  <c r="UN55" i="3" s="1"/>
  <c r="UJ39" i="3"/>
  <c r="UJ55" i="3" s="1"/>
  <c r="UF39" i="3"/>
  <c r="UF55" i="3" s="1"/>
  <c r="UB39" i="3"/>
  <c r="UB55" i="3" s="1"/>
  <c r="TX39" i="3"/>
  <c r="TX55" i="3" s="1"/>
  <c r="TT39" i="3"/>
  <c r="TT55" i="3" s="1"/>
  <c r="TP39" i="3"/>
  <c r="TP55" i="3" s="1"/>
  <c r="TL39" i="3"/>
  <c r="TL55" i="3" s="1"/>
  <c r="TH39" i="3"/>
  <c r="TH55" i="3" s="1"/>
  <c r="TD39" i="3"/>
  <c r="TD55" i="3" s="1"/>
  <c r="SZ39" i="3"/>
  <c r="SZ55" i="3" s="1"/>
  <c r="SV39" i="3"/>
  <c r="SV55" i="3" s="1"/>
  <c r="SR39" i="3"/>
  <c r="SR55" i="3" s="1"/>
  <c r="SN39" i="3"/>
  <c r="SN55" i="3" s="1"/>
  <c r="SJ39" i="3"/>
  <c r="SJ55" i="3" s="1"/>
  <c r="SF39" i="3"/>
  <c r="SF55" i="3" s="1"/>
  <c r="RT39" i="3"/>
  <c r="RT55" i="3" s="1"/>
  <c r="RD39" i="3"/>
  <c r="RD55" i="3" s="1"/>
  <c r="QR39" i="3"/>
  <c r="QR55" i="3" s="1"/>
  <c r="QJ39" i="3"/>
  <c r="QJ55" i="3" s="1"/>
  <c r="OJ39" i="3"/>
  <c r="OJ55" i="3" s="1"/>
  <c r="NX39" i="3"/>
  <c r="NX55" i="3" s="1"/>
  <c r="NT39" i="3"/>
  <c r="NT55" i="3" s="1"/>
  <c r="NL39" i="3"/>
  <c r="NL55" i="3" s="1"/>
  <c r="ND39" i="3"/>
  <c r="ND55" i="3" s="1"/>
  <c r="MF39" i="3"/>
  <c r="MF55" i="3" s="1"/>
  <c r="LX39" i="3"/>
  <c r="LX55" i="3" s="1"/>
  <c r="LD39" i="3"/>
  <c r="LD55" i="3" s="1"/>
  <c r="KR39" i="3"/>
  <c r="KR55" i="3" s="1"/>
  <c r="KJ39" i="3"/>
  <c r="KJ55" i="3" s="1"/>
  <c r="KF39" i="3"/>
  <c r="KF55" i="3" s="1"/>
  <c r="JP39" i="3"/>
  <c r="JP55" i="3" s="1"/>
  <c r="JL39" i="3"/>
  <c r="JL55" i="3" s="1"/>
  <c r="JD39" i="3"/>
  <c r="JD55" i="3" s="1"/>
  <c r="IR39" i="3"/>
  <c r="IR55" i="3" s="1"/>
  <c r="IJ39" i="3"/>
  <c r="IJ55" i="3" s="1"/>
  <c r="IF39" i="3"/>
  <c r="IF55" i="3" s="1"/>
  <c r="HX39" i="3"/>
  <c r="HX55" i="3" s="1"/>
  <c r="HL39" i="3"/>
  <c r="HL55" i="3" s="1"/>
  <c r="GZ39" i="3"/>
  <c r="GZ55" i="3" s="1"/>
  <c r="GR39" i="3"/>
  <c r="GR55" i="3" s="1"/>
  <c r="GF39" i="3"/>
  <c r="GF55" i="3" s="1"/>
  <c r="FT39" i="3"/>
  <c r="FT55" i="3" s="1"/>
  <c r="FD39" i="3"/>
  <c r="FD55" i="3" s="1"/>
  <c r="EF39" i="3"/>
  <c r="EF55" i="3" s="1"/>
  <c r="EB39" i="3"/>
  <c r="EB55" i="3" s="1"/>
  <c r="CR39" i="3"/>
  <c r="CR55" i="3" s="1"/>
  <c r="CJ39" i="3"/>
  <c r="CJ55" i="3" s="1"/>
  <c r="BT39" i="3"/>
  <c r="BT55" i="3" s="1"/>
  <c r="BL39" i="3"/>
  <c r="BL55" i="3" s="1"/>
  <c r="AZ39" i="3"/>
  <c r="AZ55" i="3" s="1"/>
  <c r="AV39" i="3"/>
  <c r="AV55" i="3" s="1"/>
  <c r="AR39" i="3"/>
  <c r="AR55" i="3" s="1"/>
  <c r="AN39" i="3"/>
  <c r="AN55" i="3" s="1"/>
  <c r="AJ39" i="3"/>
  <c r="AJ55" i="3" s="1"/>
  <c r="AF39" i="3"/>
  <c r="AF55" i="3" s="1"/>
  <c r="L39" i="3"/>
  <c r="L55" i="3" s="1"/>
  <c r="JX36" i="3"/>
  <c r="JX52" i="3" s="1"/>
  <c r="JL36" i="3"/>
  <c r="JL52" i="3" s="1"/>
  <c r="IJ36" i="3"/>
  <c r="IJ52" i="3" s="1"/>
  <c r="IF36" i="3"/>
  <c r="IF52" i="3" s="1"/>
  <c r="HH36" i="3"/>
  <c r="HH52" i="3" s="1"/>
  <c r="GZ36" i="3"/>
  <c r="GZ52" i="3" s="1"/>
  <c r="GR36" i="3"/>
  <c r="GR52" i="3" s="1"/>
  <c r="FX36" i="3"/>
  <c r="FX52" i="3" s="1"/>
  <c r="FP36" i="3"/>
  <c r="FP52" i="3" s="1"/>
  <c r="ER36" i="3"/>
  <c r="ER52" i="3" s="1"/>
  <c r="EB36" i="3"/>
  <c r="EB52" i="3" s="1"/>
  <c r="DX36" i="3"/>
  <c r="DX52" i="3" s="1"/>
  <c r="DP36" i="3"/>
  <c r="DP52" i="3" s="1"/>
  <c r="DH36" i="3"/>
  <c r="DH52" i="3" s="1"/>
  <c r="CB36" i="3"/>
  <c r="CB52" i="3" s="1"/>
  <c r="AV36" i="3"/>
  <c r="AV52" i="3" s="1"/>
  <c r="AR36" i="3"/>
  <c r="AR52" i="3" s="1"/>
  <c r="AB36" i="3"/>
  <c r="AB52" i="3" s="1"/>
  <c r="D36" i="3"/>
  <c r="D52" i="3" s="1"/>
  <c r="ALD33" i="3"/>
  <c r="ALD49" i="3" s="1"/>
  <c r="AKN33" i="3"/>
  <c r="AKN49" i="3" s="1"/>
  <c r="AKJ33" i="3"/>
  <c r="AKJ49" i="3" s="1"/>
  <c r="AKB33" i="3"/>
  <c r="AKB49" i="3" s="1"/>
  <c r="AJP33" i="3"/>
  <c r="AJP49" i="3" s="1"/>
  <c r="AJL33" i="3"/>
  <c r="AJL49" i="3" s="1"/>
  <c r="AJD33" i="3"/>
  <c r="AJD49" i="3" s="1"/>
  <c r="AIZ33" i="3"/>
  <c r="AIZ49" i="3" s="1"/>
  <c r="AIR33" i="3"/>
  <c r="AIR49" i="3" s="1"/>
  <c r="AIJ33" i="3"/>
  <c r="AIJ49" i="3" s="1"/>
  <c r="AIB33" i="3"/>
  <c r="AIB49" i="3" s="1"/>
  <c r="AHT33" i="3"/>
  <c r="AHT49" i="3" s="1"/>
  <c r="AHL33" i="3"/>
  <c r="AHL49" i="3" s="1"/>
  <c r="AGV33" i="3"/>
  <c r="AGV49" i="3" s="1"/>
  <c r="AGN33" i="3"/>
  <c r="AGN49" i="3" s="1"/>
  <c r="AGF33" i="3"/>
  <c r="AGF49" i="3" s="1"/>
  <c r="AFX33" i="3"/>
  <c r="AFX49" i="3" s="1"/>
  <c r="AFP33" i="3"/>
  <c r="AFP49" i="3" s="1"/>
  <c r="AER33" i="3"/>
  <c r="AER49" i="3" s="1"/>
  <c r="AEF33" i="3"/>
  <c r="AEF49" i="3" s="1"/>
  <c r="ADX33" i="3"/>
  <c r="ADX49" i="3" s="1"/>
  <c r="ADP33" i="3"/>
  <c r="ADP49" i="3" s="1"/>
  <c r="ADH33" i="3"/>
  <c r="ADH49" i="3" s="1"/>
  <c r="ACV33" i="3"/>
  <c r="ACV49" i="3" s="1"/>
  <c r="ACN33" i="3"/>
  <c r="ACN49" i="3" s="1"/>
  <c r="ACF33" i="3"/>
  <c r="ACF49" i="3" s="1"/>
  <c r="ABX33" i="3"/>
  <c r="ABX49" i="3" s="1"/>
  <c r="ABP33" i="3"/>
  <c r="ABP49" i="3" s="1"/>
  <c r="ABL33" i="3"/>
  <c r="ABL49" i="3" s="1"/>
  <c r="ABD33" i="3"/>
  <c r="ABD49" i="3" s="1"/>
  <c r="AAV33" i="3"/>
  <c r="AAV49" i="3" s="1"/>
  <c r="AAR33" i="3"/>
  <c r="AAR49" i="3" s="1"/>
  <c r="AAJ33" i="3"/>
  <c r="AAJ49" i="3" s="1"/>
  <c r="AAB33" i="3"/>
  <c r="AAB49" i="3" s="1"/>
  <c r="ZT33" i="3"/>
  <c r="ZT49" i="3" s="1"/>
  <c r="ZH33" i="3"/>
  <c r="ZH49" i="3" s="1"/>
  <c r="ZD33" i="3"/>
  <c r="ZD49" i="3" s="1"/>
  <c r="YV33" i="3"/>
  <c r="YV49" i="3" s="1"/>
  <c r="YN33" i="3"/>
  <c r="YN49" i="3" s="1"/>
  <c r="YJ33" i="3"/>
  <c r="YJ49" i="3" s="1"/>
  <c r="YB33" i="3"/>
  <c r="YB49" i="3" s="1"/>
  <c r="XT33" i="3"/>
  <c r="XT49" i="3" s="1"/>
  <c r="XP33" i="3"/>
  <c r="XP49" i="3" s="1"/>
  <c r="XH33" i="3"/>
  <c r="XH49" i="3" s="1"/>
  <c r="WZ33" i="3"/>
  <c r="WZ49" i="3" s="1"/>
  <c r="WR33" i="3"/>
  <c r="WR49" i="3" s="1"/>
  <c r="WF33" i="3"/>
  <c r="WF49" i="3" s="1"/>
  <c r="VX33" i="3"/>
  <c r="VX49" i="3" s="1"/>
  <c r="VP33" i="3"/>
  <c r="VP49" i="3" s="1"/>
  <c r="VH33" i="3"/>
  <c r="VH49" i="3" s="1"/>
  <c r="UV33" i="3"/>
  <c r="UV49" i="3" s="1"/>
  <c r="UR33" i="3"/>
  <c r="UR49" i="3" s="1"/>
  <c r="UJ33" i="3"/>
  <c r="UJ49" i="3" s="1"/>
  <c r="UB33" i="3"/>
  <c r="UB49" i="3" s="1"/>
  <c r="TT33" i="3"/>
  <c r="TT49" i="3" s="1"/>
  <c r="TL33" i="3"/>
  <c r="TL49" i="3" s="1"/>
  <c r="TH33" i="3"/>
  <c r="TH49" i="3" s="1"/>
  <c r="SZ33" i="3"/>
  <c r="SZ49" i="3" s="1"/>
  <c r="SN33" i="3"/>
  <c r="SN49" i="3" s="1"/>
  <c r="SF33" i="3"/>
  <c r="SF49" i="3" s="1"/>
  <c r="QJ33" i="3"/>
  <c r="QJ49" i="3" s="1"/>
  <c r="PP33" i="3"/>
  <c r="PP49" i="3" s="1"/>
  <c r="PH33" i="3"/>
  <c r="PH49" i="3" s="1"/>
  <c r="NH33" i="3"/>
  <c r="NH49" i="3" s="1"/>
  <c r="MN33" i="3"/>
  <c r="MN49" i="3" s="1"/>
  <c r="MF33" i="3"/>
  <c r="MF49" i="3" s="1"/>
  <c r="LX33" i="3"/>
  <c r="LX49" i="3" s="1"/>
  <c r="LD33" i="3"/>
  <c r="LD49" i="3" s="1"/>
  <c r="KR33" i="3"/>
  <c r="KR49" i="3" s="1"/>
  <c r="KJ33" i="3"/>
  <c r="KJ49" i="3" s="1"/>
  <c r="IJ33" i="3"/>
  <c r="IJ49" i="3" s="1"/>
  <c r="GZ33" i="3"/>
  <c r="GZ49" i="3" s="1"/>
  <c r="GR33" i="3"/>
  <c r="GR49" i="3" s="1"/>
  <c r="GB33" i="3"/>
  <c r="GB49" i="3" s="1"/>
  <c r="FP33" i="3"/>
  <c r="FP49" i="3" s="1"/>
  <c r="FD33" i="3"/>
  <c r="FD49" i="3" s="1"/>
  <c r="EV33" i="3"/>
  <c r="EV49" i="3" s="1"/>
  <c r="EF33" i="3"/>
  <c r="EF49" i="3" s="1"/>
  <c r="CJ33" i="3"/>
  <c r="CJ49" i="3" s="1"/>
  <c r="BT33" i="3"/>
  <c r="BT49" i="3" s="1"/>
  <c r="BH33" i="3"/>
  <c r="BH49" i="3" s="1"/>
  <c r="ALJ30" i="3"/>
  <c r="ALJ46" i="3" s="1"/>
  <c r="AKT30" i="3"/>
  <c r="AKT46" i="3" s="1"/>
  <c r="AKD30" i="3"/>
  <c r="AKD46" i="3" s="1"/>
  <c r="AJN30" i="3"/>
  <c r="AJN46" i="3" s="1"/>
  <c r="AIX30" i="3"/>
  <c r="AIX46" i="3" s="1"/>
  <c r="AIH30" i="3"/>
  <c r="AIH46" i="3" s="1"/>
  <c r="AHR30" i="3"/>
  <c r="AHR46" i="3" s="1"/>
  <c r="AGD30" i="3"/>
  <c r="AGD46" i="3" s="1"/>
  <c r="AEX30" i="3"/>
  <c r="AEX46" i="3" s="1"/>
  <c r="ADZ30" i="3"/>
  <c r="ADZ46" i="3" s="1"/>
  <c r="ADJ30" i="3"/>
  <c r="ADJ46" i="3" s="1"/>
  <c r="ACT30" i="3"/>
  <c r="ACT46" i="3" s="1"/>
  <c r="ACD30" i="3"/>
  <c r="ACD46" i="3" s="1"/>
  <c r="ABN30" i="3"/>
  <c r="ABN46" i="3" s="1"/>
  <c r="AAX30" i="3"/>
  <c r="AAX46" i="3" s="1"/>
  <c r="AAH30" i="3"/>
  <c r="AAH46" i="3" s="1"/>
  <c r="ZJ30" i="3"/>
  <c r="ZJ46" i="3" s="1"/>
  <c r="YT30" i="3"/>
  <c r="YT46" i="3" s="1"/>
  <c r="YD30" i="3"/>
  <c r="YD46" i="3" s="1"/>
  <c r="XN30" i="3"/>
  <c r="XN46" i="3" s="1"/>
  <c r="WP30" i="3"/>
  <c r="WP46" i="3" s="1"/>
  <c r="VB30" i="3"/>
  <c r="VB46" i="3" s="1"/>
  <c r="UD30" i="3"/>
  <c r="UD46" i="3" s="1"/>
  <c r="TN30" i="3"/>
  <c r="TN46" i="3" s="1"/>
  <c r="SP30" i="3"/>
  <c r="SP46" i="3" s="1"/>
  <c r="IT30" i="3"/>
  <c r="IT46" i="3" s="1"/>
  <c r="AKT27" i="3"/>
  <c r="AKT43" i="3" s="1"/>
  <c r="AKD27" i="3"/>
  <c r="AKD43" i="3" s="1"/>
  <c r="AJN27" i="3"/>
  <c r="AJN43" i="3" s="1"/>
  <c r="AIP27" i="3"/>
  <c r="AIP43" i="3" s="1"/>
  <c r="AHR27" i="3"/>
  <c r="AHR43" i="3" s="1"/>
  <c r="AGL27" i="3"/>
  <c r="AGL43" i="3" s="1"/>
  <c r="AFV27" i="3"/>
  <c r="AFV43" i="3" s="1"/>
  <c r="AFF27" i="3"/>
  <c r="AFF43" i="3" s="1"/>
  <c r="AEP27" i="3"/>
  <c r="AEP43" i="3" s="1"/>
  <c r="ADB27" i="3"/>
  <c r="ADB43" i="3" s="1"/>
  <c r="ABN27" i="3"/>
  <c r="ABN43" i="3" s="1"/>
  <c r="AAP27" i="3"/>
  <c r="AAP43" i="3" s="1"/>
  <c r="ZZ27" i="3"/>
  <c r="ZZ43" i="3" s="1"/>
  <c r="YT27" i="3"/>
  <c r="YT43" i="3" s="1"/>
  <c r="XV27" i="3"/>
  <c r="XV43" i="3" s="1"/>
  <c r="XF27" i="3"/>
  <c r="XF43" i="3" s="1"/>
  <c r="WP27" i="3"/>
  <c r="WP43" i="3" s="1"/>
  <c r="VZ27" i="3"/>
  <c r="VZ43" i="3" s="1"/>
  <c r="VB27" i="3"/>
  <c r="VB43" i="3" s="1"/>
  <c r="UD27" i="3"/>
  <c r="UD43" i="3" s="1"/>
  <c r="LV27" i="3"/>
  <c r="LV43" i="3" s="1"/>
  <c r="RI58" i="3"/>
  <c r="OW58" i="3"/>
  <c r="ALK39" i="3"/>
  <c r="ALK55" i="3" s="1"/>
  <c r="ALG39" i="3"/>
  <c r="ALG55" i="3" s="1"/>
  <c r="ALC39" i="3"/>
  <c r="ALC55" i="3" s="1"/>
  <c r="AKY39" i="3"/>
  <c r="AKY55" i="3" s="1"/>
  <c r="AKU39" i="3"/>
  <c r="AKU55" i="3" s="1"/>
  <c r="AKQ39" i="3"/>
  <c r="AKQ55" i="3" s="1"/>
  <c r="AKM39" i="3"/>
  <c r="AKM55" i="3" s="1"/>
  <c r="AKI39" i="3"/>
  <c r="AKI55" i="3" s="1"/>
  <c r="AKE39" i="3"/>
  <c r="AKE55" i="3" s="1"/>
  <c r="AKA39" i="3"/>
  <c r="AKA55" i="3" s="1"/>
  <c r="AJW39" i="3"/>
  <c r="AJW55" i="3" s="1"/>
  <c r="AJS39" i="3"/>
  <c r="AJS55" i="3" s="1"/>
  <c r="AJO39" i="3"/>
  <c r="AJO55" i="3" s="1"/>
  <c r="AJK39" i="3"/>
  <c r="AJK55" i="3" s="1"/>
  <c r="AJG39" i="3"/>
  <c r="AJG55" i="3" s="1"/>
  <c r="AJC39" i="3"/>
  <c r="AJC55" i="3" s="1"/>
  <c r="AIY39" i="3"/>
  <c r="AIY55" i="3" s="1"/>
  <c r="AIU39" i="3"/>
  <c r="AIU55" i="3" s="1"/>
  <c r="AIQ39" i="3"/>
  <c r="AIQ55" i="3" s="1"/>
  <c r="AIM39" i="3"/>
  <c r="AIM55" i="3" s="1"/>
  <c r="AII39" i="3"/>
  <c r="AII55" i="3" s="1"/>
  <c r="AIE39" i="3"/>
  <c r="AIE55" i="3" s="1"/>
  <c r="AIA39" i="3"/>
  <c r="AIA55" i="3" s="1"/>
  <c r="AHW39" i="3"/>
  <c r="AHW55" i="3" s="1"/>
  <c r="AHS39" i="3"/>
  <c r="AHS55" i="3" s="1"/>
  <c r="AHO39" i="3"/>
  <c r="AHO55" i="3" s="1"/>
  <c r="AHK39" i="3"/>
  <c r="AHK55" i="3" s="1"/>
  <c r="AHG39" i="3"/>
  <c r="AHG55" i="3" s="1"/>
  <c r="AHC39" i="3"/>
  <c r="AHC55" i="3" s="1"/>
  <c r="AGY39" i="3"/>
  <c r="AGY55" i="3" s="1"/>
  <c r="AGU39" i="3"/>
  <c r="AGU55" i="3" s="1"/>
  <c r="AGQ39" i="3"/>
  <c r="AGQ55" i="3" s="1"/>
  <c r="AGM39" i="3"/>
  <c r="AGM55" i="3" s="1"/>
  <c r="AGI39" i="3"/>
  <c r="AGI55" i="3" s="1"/>
  <c r="AGE39" i="3"/>
  <c r="AGE55" i="3" s="1"/>
  <c r="AGA39" i="3"/>
  <c r="AGA55" i="3" s="1"/>
  <c r="AFW39" i="3"/>
  <c r="AFW55" i="3" s="1"/>
  <c r="AFS39" i="3"/>
  <c r="AFS55" i="3" s="1"/>
  <c r="AFO39" i="3"/>
  <c r="AFO55" i="3" s="1"/>
  <c r="AFK39" i="3"/>
  <c r="AFK55" i="3" s="1"/>
  <c r="AFG39" i="3"/>
  <c r="AFG55" i="3" s="1"/>
  <c r="AFC39" i="3"/>
  <c r="AFC55" i="3" s="1"/>
  <c r="AEY39" i="3"/>
  <c r="AEY55" i="3" s="1"/>
  <c r="AEU39" i="3"/>
  <c r="AEU55" i="3" s="1"/>
  <c r="AEQ39" i="3"/>
  <c r="AEQ55" i="3" s="1"/>
  <c r="AEM39" i="3"/>
  <c r="AEM55" i="3" s="1"/>
  <c r="AEI39" i="3"/>
  <c r="AEI55" i="3" s="1"/>
  <c r="AEE39" i="3"/>
  <c r="AEE55" i="3" s="1"/>
  <c r="AEA39" i="3"/>
  <c r="AEA55" i="3" s="1"/>
  <c r="ADW39" i="3"/>
  <c r="ADW55" i="3" s="1"/>
  <c r="ADS39" i="3"/>
  <c r="ADS55" i="3" s="1"/>
  <c r="ADO39" i="3"/>
  <c r="ADO55" i="3" s="1"/>
  <c r="ADK39" i="3"/>
  <c r="ADK55" i="3" s="1"/>
  <c r="ADG39" i="3"/>
  <c r="ADG55" i="3" s="1"/>
  <c r="ADC39" i="3"/>
  <c r="ADC55" i="3" s="1"/>
  <c r="ACY39" i="3"/>
  <c r="ACY55" i="3" s="1"/>
  <c r="ACU39" i="3"/>
  <c r="ACU55" i="3" s="1"/>
  <c r="ACQ39" i="3"/>
  <c r="ACQ55" i="3" s="1"/>
  <c r="ACM39" i="3"/>
  <c r="ACM55" i="3" s="1"/>
  <c r="ACI39" i="3"/>
  <c r="ACI55" i="3" s="1"/>
  <c r="ACE39" i="3"/>
  <c r="ACE55" i="3" s="1"/>
  <c r="ACA39" i="3"/>
  <c r="ACA55" i="3" s="1"/>
  <c r="ABW39" i="3"/>
  <c r="ABW55" i="3" s="1"/>
  <c r="ABS39" i="3"/>
  <c r="ABS55" i="3" s="1"/>
  <c r="ABO39" i="3"/>
  <c r="ABO55" i="3" s="1"/>
  <c r="ABK39" i="3"/>
  <c r="ABK55" i="3" s="1"/>
  <c r="ABG39" i="3"/>
  <c r="ABG55" i="3" s="1"/>
  <c r="ABC39" i="3"/>
  <c r="ABC55" i="3" s="1"/>
  <c r="AAY39" i="3"/>
  <c r="AAY55" i="3" s="1"/>
  <c r="AAU39" i="3"/>
  <c r="AAU55" i="3" s="1"/>
  <c r="AAQ39" i="3"/>
  <c r="AAQ55" i="3" s="1"/>
  <c r="AAM39" i="3"/>
  <c r="AAM55" i="3" s="1"/>
  <c r="AAI39" i="3"/>
  <c r="AAI55" i="3" s="1"/>
  <c r="AAE39" i="3"/>
  <c r="AAE55" i="3" s="1"/>
  <c r="AAA39" i="3"/>
  <c r="AAA55" i="3" s="1"/>
  <c r="ZW39" i="3"/>
  <c r="ZW55" i="3" s="1"/>
  <c r="ZS39" i="3"/>
  <c r="ZS55" i="3" s="1"/>
  <c r="ZO39" i="3"/>
  <c r="ZO55" i="3" s="1"/>
  <c r="ZK39" i="3"/>
  <c r="ZK55" i="3" s="1"/>
  <c r="ZG39" i="3"/>
  <c r="ZG55" i="3" s="1"/>
  <c r="ZC39" i="3"/>
  <c r="ZC55" i="3" s="1"/>
  <c r="YY39" i="3"/>
  <c r="YY55" i="3" s="1"/>
  <c r="YU39" i="3"/>
  <c r="YU55" i="3" s="1"/>
  <c r="YQ39" i="3"/>
  <c r="YQ55" i="3" s="1"/>
  <c r="YM39" i="3"/>
  <c r="YM55" i="3" s="1"/>
  <c r="YI39" i="3"/>
  <c r="YI55" i="3" s="1"/>
  <c r="YE39" i="3"/>
  <c r="YE55" i="3" s="1"/>
  <c r="YA39" i="3"/>
  <c r="YA55" i="3" s="1"/>
  <c r="XW39" i="3"/>
  <c r="XW55" i="3" s="1"/>
  <c r="XS39" i="3"/>
  <c r="XS55" i="3" s="1"/>
  <c r="XO39" i="3"/>
  <c r="XO55" i="3" s="1"/>
  <c r="XK39" i="3"/>
  <c r="XK55" i="3" s="1"/>
  <c r="XG39" i="3"/>
  <c r="XG55" i="3" s="1"/>
  <c r="XC39" i="3"/>
  <c r="XC55" i="3" s="1"/>
  <c r="WY39" i="3"/>
  <c r="WY55" i="3" s="1"/>
  <c r="WU39" i="3"/>
  <c r="WU55" i="3" s="1"/>
  <c r="WQ39" i="3"/>
  <c r="WQ55" i="3" s="1"/>
  <c r="WM39" i="3"/>
  <c r="WM55" i="3" s="1"/>
  <c r="WI39" i="3"/>
  <c r="WI55" i="3" s="1"/>
  <c r="WE39" i="3"/>
  <c r="WE55" i="3" s="1"/>
  <c r="WA39" i="3"/>
  <c r="WA55" i="3" s="1"/>
  <c r="VW39" i="3"/>
  <c r="VW55" i="3" s="1"/>
  <c r="VS39" i="3"/>
  <c r="VS55" i="3" s="1"/>
  <c r="VO39" i="3"/>
  <c r="VO55" i="3" s="1"/>
  <c r="VK39" i="3"/>
  <c r="VK55" i="3" s="1"/>
  <c r="VG39" i="3"/>
  <c r="VG55" i="3" s="1"/>
  <c r="VC39" i="3"/>
  <c r="VC55" i="3" s="1"/>
  <c r="UY39" i="3"/>
  <c r="UY55" i="3" s="1"/>
  <c r="UU39" i="3"/>
  <c r="UU55" i="3" s="1"/>
  <c r="UQ39" i="3"/>
  <c r="UQ55" i="3" s="1"/>
  <c r="UM39" i="3"/>
  <c r="UM55" i="3" s="1"/>
  <c r="UI39" i="3"/>
  <c r="UI55" i="3" s="1"/>
  <c r="UE39" i="3"/>
  <c r="UE55" i="3" s="1"/>
  <c r="UA39" i="3"/>
  <c r="UA55" i="3" s="1"/>
  <c r="TW39" i="3"/>
  <c r="TW55" i="3" s="1"/>
  <c r="TS39" i="3"/>
  <c r="TS55" i="3" s="1"/>
  <c r="TO39" i="3"/>
  <c r="TO55" i="3" s="1"/>
  <c r="TK39" i="3"/>
  <c r="TK55" i="3" s="1"/>
  <c r="TG39" i="3"/>
  <c r="TG55" i="3" s="1"/>
  <c r="TC39" i="3"/>
  <c r="TC55" i="3" s="1"/>
  <c r="SY39" i="3"/>
  <c r="SY55" i="3" s="1"/>
  <c r="SU39" i="3"/>
  <c r="SU55" i="3" s="1"/>
  <c r="SQ39" i="3"/>
  <c r="SQ55" i="3" s="1"/>
  <c r="SM39" i="3"/>
  <c r="SM55" i="3" s="1"/>
  <c r="SI39" i="3"/>
  <c r="SI55" i="3" s="1"/>
  <c r="SE39" i="3"/>
  <c r="SE55" i="3" s="1"/>
  <c r="RW39" i="3"/>
  <c r="RW55" i="3" s="1"/>
  <c r="RO39" i="3"/>
  <c r="RO55" i="3" s="1"/>
  <c r="QY39" i="3"/>
  <c r="QY55" i="3" s="1"/>
  <c r="QM39" i="3"/>
  <c r="QM55" i="3" s="1"/>
  <c r="QA39" i="3"/>
  <c r="QA55" i="3" s="1"/>
  <c r="PO39" i="3"/>
  <c r="PO55" i="3" s="1"/>
  <c r="PC39" i="3"/>
  <c r="PC55" i="3" s="1"/>
  <c r="NK39" i="3"/>
  <c r="NK55" i="3" s="1"/>
  <c r="MY39" i="3"/>
  <c r="MY55" i="3" s="1"/>
  <c r="MI39" i="3"/>
  <c r="MI55" i="3" s="1"/>
  <c r="LW39" i="3"/>
  <c r="LW55" i="3" s="1"/>
  <c r="LG39" i="3"/>
  <c r="LG55" i="3" s="1"/>
  <c r="LC39" i="3"/>
  <c r="LC55" i="3" s="1"/>
  <c r="JK39" i="3"/>
  <c r="JK55" i="3" s="1"/>
  <c r="IY39" i="3"/>
  <c r="IY55" i="3" s="1"/>
  <c r="IM39" i="3"/>
  <c r="IM55" i="3" s="1"/>
  <c r="II39" i="3"/>
  <c r="II55" i="3" s="1"/>
  <c r="IA39" i="3"/>
  <c r="IA55" i="3" s="1"/>
  <c r="HW39" i="3"/>
  <c r="HW55" i="3" s="1"/>
  <c r="GY39" i="3"/>
  <c r="GY55" i="3" s="1"/>
  <c r="GU39" i="3"/>
  <c r="GU55" i="3" s="1"/>
  <c r="GI39" i="3"/>
  <c r="GI55" i="3" s="1"/>
  <c r="GE39" i="3"/>
  <c r="GE55" i="3" s="1"/>
  <c r="FC39" i="3"/>
  <c r="FC55" i="3" s="1"/>
  <c r="EU39" i="3"/>
  <c r="EU55" i="3" s="1"/>
  <c r="EQ39" i="3"/>
  <c r="EQ55" i="3" s="1"/>
  <c r="EM39" i="3"/>
  <c r="EM55" i="3" s="1"/>
  <c r="DO39" i="3"/>
  <c r="DO55" i="3" s="1"/>
  <c r="DC39" i="3"/>
  <c r="DC55" i="3" s="1"/>
  <c r="AY39" i="3"/>
  <c r="AY55" i="3" s="1"/>
  <c r="AU39" i="3"/>
  <c r="AU55" i="3" s="1"/>
  <c r="AQ39" i="3"/>
  <c r="AQ55" i="3" s="1"/>
  <c r="AM39" i="3"/>
  <c r="AM55" i="3" s="1"/>
  <c r="S39" i="3"/>
  <c r="S55" i="3" s="1"/>
  <c r="ALK36" i="3"/>
  <c r="ALK52" i="3" s="1"/>
  <c r="ALG36" i="3"/>
  <c r="ALG52" i="3" s="1"/>
  <c r="ALC36" i="3"/>
  <c r="ALC52" i="3" s="1"/>
  <c r="AKY36" i="3"/>
  <c r="AKY52" i="3" s="1"/>
  <c r="AKU36" i="3"/>
  <c r="AKU52" i="3" s="1"/>
  <c r="AKQ36" i="3"/>
  <c r="AKQ52" i="3" s="1"/>
  <c r="AKM36" i="3"/>
  <c r="AKM52" i="3" s="1"/>
  <c r="AKI36" i="3"/>
  <c r="AKI52" i="3" s="1"/>
  <c r="AKE36" i="3"/>
  <c r="AKE52" i="3" s="1"/>
  <c r="AKA36" i="3"/>
  <c r="AKA52" i="3" s="1"/>
  <c r="AJW36" i="3"/>
  <c r="AJW52" i="3" s="1"/>
  <c r="AJS36" i="3"/>
  <c r="AJS52" i="3" s="1"/>
  <c r="AJO36" i="3"/>
  <c r="AJO52" i="3" s="1"/>
  <c r="AJK36" i="3"/>
  <c r="AJK52" i="3" s="1"/>
  <c r="AJG36" i="3"/>
  <c r="AJG52" i="3" s="1"/>
  <c r="AJC36" i="3"/>
  <c r="AJC52" i="3" s="1"/>
  <c r="AIY36" i="3"/>
  <c r="AIY52" i="3" s="1"/>
  <c r="AIU36" i="3"/>
  <c r="AIU52" i="3" s="1"/>
  <c r="AIQ36" i="3"/>
  <c r="AIQ52" i="3" s="1"/>
  <c r="AIM36" i="3"/>
  <c r="AIM52" i="3" s="1"/>
  <c r="AII36" i="3"/>
  <c r="AII52" i="3" s="1"/>
  <c r="AIE36" i="3"/>
  <c r="AIE52" i="3" s="1"/>
  <c r="AIA36" i="3"/>
  <c r="AIA52" i="3" s="1"/>
  <c r="AHW36" i="3"/>
  <c r="AHW52" i="3" s="1"/>
  <c r="AHS36" i="3"/>
  <c r="AHS52" i="3" s="1"/>
  <c r="AHO36" i="3"/>
  <c r="AHO52" i="3" s="1"/>
  <c r="AHK36" i="3"/>
  <c r="AHK52" i="3" s="1"/>
  <c r="AHG36" i="3"/>
  <c r="AHG52" i="3" s="1"/>
  <c r="AHC36" i="3"/>
  <c r="AHC52" i="3" s="1"/>
  <c r="AGY36" i="3"/>
  <c r="AGY52" i="3" s="1"/>
  <c r="AGU36" i="3"/>
  <c r="AGU52" i="3" s="1"/>
  <c r="AGQ36" i="3"/>
  <c r="AGQ52" i="3" s="1"/>
  <c r="AGM36" i="3"/>
  <c r="AGM52" i="3" s="1"/>
  <c r="AGI36" i="3"/>
  <c r="AGI52" i="3" s="1"/>
  <c r="AGE36" i="3"/>
  <c r="AGE52" i="3" s="1"/>
  <c r="AGA36" i="3"/>
  <c r="AGA52" i="3" s="1"/>
  <c r="AFW36" i="3"/>
  <c r="AFW52" i="3" s="1"/>
  <c r="AFS36" i="3"/>
  <c r="AFS52" i="3" s="1"/>
  <c r="AFO36" i="3"/>
  <c r="AFO52" i="3" s="1"/>
  <c r="AFK36" i="3"/>
  <c r="AFK52" i="3" s="1"/>
  <c r="AFG36" i="3"/>
  <c r="AFG52" i="3" s="1"/>
  <c r="AFC36" i="3"/>
  <c r="AFC52" i="3" s="1"/>
  <c r="AEY36" i="3"/>
  <c r="AEY52" i="3" s="1"/>
  <c r="AEU36" i="3"/>
  <c r="AEU52" i="3" s="1"/>
  <c r="AEQ36" i="3"/>
  <c r="AEQ52" i="3" s="1"/>
  <c r="AEM36" i="3"/>
  <c r="AEM52" i="3" s="1"/>
  <c r="AEI36" i="3"/>
  <c r="AEI52" i="3" s="1"/>
  <c r="AEE36" i="3"/>
  <c r="AEE52" i="3" s="1"/>
  <c r="AEA36" i="3"/>
  <c r="AEA52" i="3" s="1"/>
  <c r="ADW36" i="3"/>
  <c r="ADW52" i="3" s="1"/>
  <c r="ADS36" i="3"/>
  <c r="ADS52" i="3" s="1"/>
  <c r="ADO36" i="3"/>
  <c r="ADO52" i="3" s="1"/>
  <c r="ADK36" i="3"/>
  <c r="ADK52" i="3" s="1"/>
  <c r="ADG36" i="3"/>
  <c r="ADG52" i="3" s="1"/>
  <c r="ADC36" i="3"/>
  <c r="ADC52" i="3" s="1"/>
  <c r="ACY36" i="3"/>
  <c r="ACY52" i="3" s="1"/>
  <c r="ACU36" i="3"/>
  <c r="ACU52" i="3" s="1"/>
  <c r="ACQ36" i="3"/>
  <c r="ACQ52" i="3" s="1"/>
  <c r="ACM36" i="3"/>
  <c r="ACM52" i="3" s="1"/>
  <c r="ACI36" i="3"/>
  <c r="ACI52" i="3" s="1"/>
  <c r="ACE36" i="3"/>
  <c r="ACE52" i="3" s="1"/>
  <c r="ACA36" i="3"/>
  <c r="ACA52" i="3" s="1"/>
  <c r="ABW36" i="3"/>
  <c r="ABW52" i="3" s="1"/>
  <c r="ABS36" i="3"/>
  <c r="ABS52" i="3" s="1"/>
  <c r="ABO36" i="3"/>
  <c r="ABO52" i="3" s="1"/>
  <c r="ABK36" i="3"/>
  <c r="ABK52" i="3" s="1"/>
  <c r="ABG36" i="3"/>
  <c r="ABG52" i="3" s="1"/>
  <c r="ABC36" i="3"/>
  <c r="ABC52" i="3" s="1"/>
  <c r="AAY36" i="3"/>
  <c r="AAY52" i="3" s="1"/>
  <c r="AAU36" i="3"/>
  <c r="AAU52" i="3" s="1"/>
  <c r="AAQ36" i="3"/>
  <c r="AAQ52" i="3" s="1"/>
  <c r="AAM36" i="3"/>
  <c r="AAM52" i="3" s="1"/>
  <c r="AAI36" i="3"/>
  <c r="AAI52" i="3" s="1"/>
  <c r="AAE36" i="3"/>
  <c r="AAE52" i="3" s="1"/>
  <c r="AAA36" i="3"/>
  <c r="AAA52" i="3" s="1"/>
  <c r="ZW36" i="3"/>
  <c r="ZW52" i="3" s="1"/>
  <c r="ZS36" i="3"/>
  <c r="ZS52" i="3" s="1"/>
  <c r="ZO36" i="3"/>
  <c r="ZO52" i="3" s="1"/>
  <c r="ZK36" i="3"/>
  <c r="ZK52" i="3" s="1"/>
  <c r="ZG36" i="3"/>
  <c r="ZG52" i="3" s="1"/>
  <c r="ZC36" i="3"/>
  <c r="ZC52" i="3" s="1"/>
  <c r="YY36" i="3"/>
  <c r="YY52" i="3" s="1"/>
  <c r="YU36" i="3"/>
  <c r="YU52" i="3" s="1"/>
  <c r="YQ36" i="3"/>
  <c r="YQ52" i="3" s="1"/>
  <c r="YM36" i="3"/>
  <c r="YM52" i="3" s="1"/>
  <c r="YI36" i="3"/>
  <c r="YI52" i="3" s="1"/>
  <c r="YE36" i="3"/>
  <c r="YE52" i="3" s="1"/>
  <c r="YA36" i="3"/>
  <c r="YA52" i="3" s="1"/>
  <c r="XW36" i="3"/>
  <c r="XW52" i="3" s="1"/>
  <c r="XS36" i="3"/>
  <c r="XS52" i="3" s="1"/>
  <c r="XO36" i="3"/>
  <c r="XO52" i="3" s="1"/>
  <c r="XK36" i="3"/>
  <c r="XK52" i="3" s="1"/>
  <c r="XG36" i="3"/>
  <c r="XG52" i="3" s="1"/>
  <c r="XC36" i="3"/>
  <c r="XC52" i="3" s="1"/>
  <c r="WY36" i="3"/>
  <c r="WY52" i="3" s="1"/>
  <c r="WU36" i="3"/>
  <c r="WU52" i="3" s="1"/>
  <c r="WQ36" i="3"/>
  <c r="WQ52" i="3" s="1"/>
  <c r="WM36" i="3"/>
  <c r="WM52" i="3" s="1"/>
  <c r="WI36" i="3"/>
  <c r="WI52" i="3" s="1"/>
  <c r="WE36" i="3"/>
  <c r="WE52" i="3" s="1"/>
  <c r="WA36" i="3"/>
  <c r="WA52" i="3" s="1"/>
  <c r="VW36" i="3"/>
  <c r="VW52" i="3" s="1"/>
  <c r="VS36" i="3"/>
  <c r="VS52" i="3" s="1"/>
  <c r="VO36" i="3"/>
  <c r="VO52" i="3" s="1"/>
  <c r="VK36" i="3"/>
  <c r="VK52" i="3" s="1"/>
  <c r="VG36" i="3"/>
  <c r="VG52" i="3" s="1"/>
  <c r="VC36" i="3"/>
  <c r="VC52" i="3" s="1"/>
  <c r="UY36" i="3"/>
  <c r="UY52" i="3" s="1"/>
  <c r="UU36" i="3"/>
  <c r="UU52" i="3" s="1"/>
  <c r="UQ36" i="3"/>
  <c r="UQ52" i="3" s="1"/>
  <c r="UM36" i="3"/>
  <c r="UM52" i="3" s="1"/>
  <c r="UI36" i="3"/>
  <c r="UI52" i="3" s="1"/>
  <c r="UE36" i="3"/>
  <c r="UE52" i="3" s="1"/>
  <c r="UA36" i="3"/>
  <c r="UA52" i="3" s="1"/>
  <c r="TW36" i="3"/>
  <c r="TW52" i="3" s="1"/>
  <c r="TS36" i="3"/>
  <c r="TS52" i="3" s="1"/>
  <c r="TO36" i="3"/>
  <c r="TO52" i="3" s="1"/>
  <c r="TK36" i="3"/>
  <c r="TK52" i="3" s="1"/>
  <c r="TG36" i="3"/>
  <c r="TG52" i="3" s="1"/>
  <c r="TC36" i="3"/>
  <c r="TC52" i="3" s="1"/>
  <c r="SY36" i="3"/>
  <c r="SY52" i="3" s="1"/>
  <c r="SU36" i="3"/>
  <c r="SU52" i="3" s="1"/>
  <c r="SQ36" i="3"/>
  <c r="SQ52" i="3" s="1"/>
  <c r="SM36" i="3"/>
  <c r="SM52" i="3" s="1"/>
  <c r="SI36" i="3"/>
  <c r="SI52" i="3" s="1"/>
  <c r="SE36" i="3"/>
  <c r="SE52" i="3" s="1"/>
  <c r="RO36" i="3"/>
  <c r="RO52" i="3" s="1"/>
  <c r="QI36" i="3"/>
  <c r="QI52" i="3" s="1"/>
  <c r="OY36" i="3"/>
  <c r="OY52" i="3" s="1"/>
  <c r="MA36" i="3"/>
  <c r="MA52" i="3" s="1"/>
  <c r="LW36" i="3"/>
  <c r="LW52" i="3" s="1"/>
  <c r="LO36" i="3"/>
  <c r="LO52" i="3" s="1"/>
  <c r="LC36" i="3"/>
  <c r="LC52" i="3" s="1"/>
  <c r="KM36" i="3"/>
  <c r="KM52" i="3" s="1"/>
  <c r="KI36" i="3"/>
  <c r="KI52" i="3" s="1"/>
  <c r="KA36" i="3"/>
  <c r="KA52" i="3" s="1"/>
  <c r="IM36" i="3"/>
  <c r="IM52" i="3" s="1"/>
  <c r="IE36" i="3"/>
  <c r="IE52" i="3" s="1"/>
  <c r="IA36" i="3"/>
  <c r="IA52" i="3" s="1"/>
  <c r="HW36" i="3"/>
  <c r="HW52" i="3" s="1"/>
  <c r="HS36" i="3"/>
  <c r="HS52" i="3" s="1"/>
  <c r="GU36" i="3"/>
  <c r="GU52" i="3" s="1"/>
  <c r="GQ36" i="3"/>
  <c r="GQ52" i="3" s="1"/>
  <c r="GI36" i="3"/>
  <c r="GI52" i="3" s="1"/>
  <c r="GA36" i="3"/>
  <c r="GA52" i="3" s="1"/>
  <c r="EU36" i="3"/>
  <c r="EU52" i="3" s="1"/>
  <c r="DS36" i="3"/>
  <c r="DS52" i="3" s="1"/>
  <c r="DO36" i="3"/>
  <c r="DO52" i="3" s="1"/>
  <c r="DK36" i="3"/>
  <c r="DK52" i="3" s="1"/>
  <c r="DC36" i="3"/>
  <c r="DC52" i="3" s="1"/>
  <c r="CY36" i="3"/>
  <c r="CY52" i="3" s="1"/>
  <c r="CU36" i="3"/>
  <c r="CU52" i="3" s="1"/>
  <c r="CI36" i="3"/>
  <c r="CI52" i="3" s="1"/>
  <c r="CE36" i="3"/>
  <c r="CE52" i="3" s="1"/>
  <c r="BO36" i="3"/>
  <c r="BO52" i="3" s="1"/>
  <c r="BG36" i="3"/>
  <c r="BG52" i="3" s="1"/>
  <c r="AM36" i="3"/>
  <c r="AM52" i="3" s="1"/>
  <c r="AI36" i="3"/>
  <c r="AI52" i="3" s="1"/>
  <c r="AA36" i="3"/>
  <c r="AA52" i="3" s="1"/>
  <c r="W36" i="3"/>
  <c r="W52" i="3" s="1"/>
  <c r="S36" i="3"/>
  <c r="S52" i="3" s="1"/>
  <c r="ALK33" i="3"/>
  <c r="ALK49" i="3" s="1"/>
  <c r="ALG33" i="3"/>
  <c r="ALG49" i="3" s="1"/>
  <c r="ALC33" i="3"/>
  <c r="ALC49" i="3" s="1"/>
  <c r="AKY33" i="3"/>
  <c r="AKY49" i="3" s="1"/>
  <c r="AKU33" i="3"/>
  <c r="AKU49" i="3" s="1"/>
  <c r="AKQ33" i="3"/>
  <c r="AKQ49" i="3" s="1"/>
  <c r="AKM33" i="3"/>
  <c r="AKM49" i="3" s="1"/>
  <c r="AKI33" i="3"/>
  <c r="AKI49" i="3" s="1"/>
  <c r="AKE33" i="3"/>
  <c r="AKE49" i="3" s="1"/>
  <c r="AKA33" i="3"/>
  <c r="AKA49" i="3" s="1"/>
  <c r="AJW33" i="3"/>
  <c r="AJW49" i="3" s="1"/>
  <c r="AJS33" i="3"/>
  <c r="AJS49" i="3" s="1"/>
  <c r="AJO33" i="3"/>
  <c r="AJO49" i="3" s="1"/>
  <c r="AJK33" i="3"/>
  <c r="AJK49" i="3" s="1"/>
  <c r="AJG33" i="3"/>
  <c r="AJG49" i="3" s="1"/>
  <c r="AJC33" i="3"/>
  <c r="AJC49" i="3" s="1"/>
  <c r="AIY33" i="3"/>
  <c r="AIY49" i="3" s="1"/>
  <c r="AIU33" i="3"/>
  <c r="AIU49" i="3" s="1"/>
  <c r="AIQ33" i="3"/>
  <c r="AIQ49" i="3" s="1"/>
  <c r="AIM33" i="3"/>
  <c r="AIM49" i="3" s="1"/>
  <c r="AII33" i="3"/>
  <c r="AII49" i="3" s="1"/>
  <c r="AIE33" i="3"/>
  <c r="AIE49" i="3" s="1"/>
  <c r="AIA33" i="3"/>
  <c r="AIA49" i="3" s="1"/>
  <c r="AHW33" i="3"/>
  <c r="AHW49" i="3" s="1"/>
  <c r="AHS33" i="3"/>
  <c r="AHS49" i="3" s="1"/>
  <c r="AHO33" i="3"/>
  <c r="AHO49" i="3" s="1"/>
  <c r="AHK33" i="3"/>
  <c r="AHK49" i="3" s="1"/>
  <c r="AHG33" i="3"/>
  <c r="AHG49" i="3" s="1"/>
  <c r="AHC33" i="3"/>
  <c r="AHC49" i="3" s="1"/>
  <c r="AGY33" i="3"/>
  <c r="AGY49" i="3" s="1"/>
  <c r="AGU33" i="3"/>
  <c r="AGU49" i="3" s="1"/>
  <c r="AGQ33" i="3"/>
  <c r="AGQ49" i="3" s="1"/>
  <c r="AGM33" i="3"/>
  <c r="AGM49" i="3" s="1"/>
  <c r="AGI33" i="3"/>
  <c r="AGI49" i="3" s="1"/>
  <c r="AGE33" i="3"/>
  <c r="AGE49" i="3" s="1"/>
  <c r="AGA33" i="3"/>
  <c r="AGA49" i="3" s="1"/>
  <c r="AFW33" i="3"/>
  <c r="AFW49" i="3" s="1"/>
  <c r="AFS33" i="3"/>
  <c r="AFS49" i="3" s="1"/>
  <c r="AFO33" i="3"/>
  <c r="AFO49" i="3" s="1"/>
  <c r="AFK33" i="3"/>
  <c r="AFK49" i="3" s="1"/>
  <c r="AFG33" i="3"/>
  <c r="AFG49" i="3" s="1"/>
  <c r="AFC33" i="3"/>
  <c r="AFC49" i="3" s="1"/>
  <c r="AEY33" i="3"/>
  <c r="AEY49" i="3" s="1"/>
  <c r="AEU33" i="3"/>
  <c r="AEU49" i="3" s="1"/>
  <c r="AEQ33" i="3"/>
  <c r="AEQ49" i="3" s="1"/>
  <c r="AEM33" i="3"/>
  <c r="AEM49" i="3" s="1"/>
  <c r="AEI33" i="3"/>
  <c r="AEI49" i="3" s="1"/>
  <c r="AEE33" i="3"/>
  <c r="AEE49" i="3" s="1"/>
  <c r="AEA33" i="3"/>
  <c r="AEA49" i="3" s="1"/>
  <c r="ADW33" i="3"/>
  <c r="ADW49" i="3" s="1"/>
  <c r="ADS33" i="3"/>
  <c r="ADS49" i="3" s="1"/>
  <c r="ADO33" i="3"/>
  <c r="ADO49" i="3" s="1"/>
  <c r="ADK33" i="3"/>
  <c r="ADK49" i="3" s="1"/>
  <c r="ADG33" i="3"/>
  <c r="ADG49" i="3" s="1"/>
  <c r="ADC33" i="3"/>
  <c r="ADC49" i="3" s="1"/>
  <c r="ACY33" i="3"/>
  <c r="ACY49" i="3" s="1"/>
  <c r="ACU33" i="3"/>
  <c r="ACU49" i="3" s="1"/>
  <c r="ACQ33" i="3"/>
  <c r="ACQ49" i="3" s="1"/>
  <c r="ACM33" i="3"/>
  <c r="ACM49" i="3" s="1"/>
  <c r="ACI33" i="3"/>
  <c r="ACI49" i="3" s="1"/>
  <c r="ACE33" i="3"/>
  <c r="ACE49" i="3" s="1"/>
  <c r="ACA33" i="3"/>
  <c r="ACA49" i="3" s="1"/>
  <c r="ABW33" i="3"/>
  <c r="ABW49" i="3" s="1"/>
  <c r="ABS33" i="3"/>
  <c r="ABS49" i="3" s="1"/>
  <c r="ABO33" i="3"/>
  <c r="ABO49" i="3" s="1"/>
  <c r="ABK33" i="3"/>
  <c r="ABK49" i="3" s="1"/>
  <c r="ABG33" i="3"/>
  <c r="ABG49" i="3" s="1"/>
  <c r="ABC33" i="3"/>
  <c r="ABC49" i="3" s="1"/>
  <c r="AAY33" i="3"/>
  <c r="AAY49" i="3" s="1"/>
  <c r="AAU33" i="3"/>
  <c r="AAU49" i="3" s="1"/>
  <c r="AAQ33" i="3"/>
  <c r="AAQ49" i="3" s="1"/>
  <c r="AAM33" i="3"/>
  <c r="AAM49" i="3" s="1"/>
  <c r="AAI33" i="3"/>
  <c r="AAI49" i="3" s="1"/>
  <c r="AAE33" i="3"/>
  <c r="AAE49" i="3" s="1"/>
  <c r="AAA33" i="3"/>
  <c r="AAA49" i="3" s="1"/>
  <c r="ZW33" i="3"/>
  <c r="ZW49" i="3" s="1"/>
  <c r="ZS33" i="3"/>
  <c r="ZS49" i="3" s="1"/>
  <c r="ZO33" i="3"/>
  <c r="ZO49" i="3" s="1"/>
  <c r="ZK33" i="3"/>
  <c r="ZK49" i="3" s="1"/>
  <c r="ZG33" i="3"/>
  <c r="ZG49" i="3" s="1"/>
  <c r="ZC33" i="3"/>
  <c r="ZC49" i="3" s="1"/>
  <c r="YY33" i="3"/>
  <c r="YY49" i="3" s="1"/>
  <c r="YU33" i="3"/>
  <c r="YU49" i="3" s="1"/>
  <c r="YQ33" i="3"/>
  <c r="YQ49" i="3" s="1"/>
  <c r="YM33" i="3"/>
  <c r="YM49" i="3" s="1"/>
  <c r="YI33" i="3"/>
  <c r="YI49" i="3" s="1"/>
  <c r="YE33" i="3"/>
  <c r="YE49" i="3" s="1"/>
  <c r="YA33" i="3"/>
  <c r="YA49" i="3" s="1"/>
  <c r="XW33" i="3"/>
  <c r="XW49" i="3" s="1"/>
  <c r="XS33" i="3"/>
  <c r="XS49" i="3" s="1"/>
  <c r="XO33" i="3"/>
  <c r="XO49" i="3" s="1"/>
  <c r="XK33" i="3"/>
  <c r="XK49" i="3" s="1"/>
  <c r="XG33" i="3"/>
  <c r="XG49" i="3" s="1"/>
  <c r="XC33" i="3"/>
  <c r="XC49" i="3" s="1"/>
  <c r="WY33" i="3"/>
  <c r="WY49" i="3" s="1"/>
  <c r="WU33" i="3"/>
  <c r="WU49" i="3" s="1"/>
  <c r="WQ33" i="3"/>
  <c r="WQ49" i="3" s="1"/>
  <c r="WM33" i="3"/>
  <c r="WM49" i="3" s="1"/>
  <c r="WI33" i="3"/>
  <c r="WI49" i="3" s="1"/>
  <c r="WE33" i="3"/>
  <c r="WE49" i="3" s="1"/>
  <c r="WA33" i="3"/>
  <c r="WA49" i="3" s="1"/>
  <c r="VW33" i="3"/>
  <c r="VW49" i="3" s="1"/>
  <c r="VS33" i="3"/>
  <c r="VS49" i="3" s="1"/>
  <c r="VO33" i="3"/>
  <c r="VO49" i="3" s="1"/>
  <c r="VK33" i="3"/>
  <c r="VK49" i="3" s="1"/>
  <c r="VG33" i="3"/>
  <c r="VG49" i="3" s="1"/>
  <c r="VC33" i="3"/>
  <c r="VC49" i="3" s="1"/>
  <c r="UY33" i="3"/>
  <c r="UY49" i="3" s="1"/>
  <c r="UU33" i="3"/>
  <c r="UU49" i="3" s="1"/>
  <c r="UQ33" i="3"/>
  <c r="UQ49" i="3" s="1"/>
  <c r="UM33" i="3"/>
  <c r="UM49" i="3" s="1"/>
  <c r="UI33" i="3"/>
  <c r="UI49" i="3" s="1"/>
  <c r="UE33" i="3"/>
  <c r="UE49" i="3" s="1"/>
  <c r="UA33" i="3"/>
  <c r="UA49" i="3" s="1"/>
  <c r="TW33" i="3"/>
  <c r="TW49" i="3" s="1"/>
  <c r="TS33" i="3"/>
  <c r="TS49" i="3" s="1"/>
  <c r="TO33" i="3"/>
  <c r="TO49" i="3" s="1"/>
  <c r="TK33" i="3"/>
  <c r="TK49" i="3" s="1"/>
  <c r="TG33" i="3"/>
  <c r="TG49" i="3" s="1"/>
  <c r="TC33" i="3"/>
  <c r="TC49" i="3" s="1"/>
  <c r="SY33" i="3"/>
  <c r="SY49" i="3" s="1"/>
  <c r="SU33" i="3"/>
  <c r="SU49" i="3" s="1"/>
  <c r="SQ33" i="3"/>
  <c r="SQ49" i="3" s="1"/>
  <c r="SM33" i="3"/>
  <c r="SM49" i="3" s="1"/>
  <c r="SI33" i="3"/>
  <c r="SI49" i="3" s="1"/>
  <c r="RW33" i="3"/>
  <c r="RW49" i="3" s="1"/>
  <c r="RG33" i="3"/>
  <c r="RG49" i="3" s="1"/>
  <c r="QQ33" i="3"/>
  <c r="QQ49" i="3" s="1"/>
  <c r="QI33" i="3"/>
  <c r="QI49" i="3" s="1"/>
  <c r="QA33" i="3"/>
  <c r="QA49" i="3" s="1"/>
  <c r="NO33" i="3"/>
  <c r="NO49" i="3" s="1"/>
  <c r="NK33" i="3"/>
  <c r="NK49" i="3" s="1"/>
  <c r="NC33" i="3"/>
  <c r="NC49" i="3" s="1"/>
  <c r="LO33" i="3"/>
  <c r="LO49" i="3" s="1"/>
  <c r="LC33" i="3"/>
  <c r="LC49" i="3" s="1"/>
  <c r="KU33" i="3"/>
  <c r="KU49" i="3" s="1"/>
  <c r="KM33" i="3"/>
  <c r="KM49" i="3" s="1"/>
  <c r="KA33" i="3"/>
  <c r="KA49" i="3" s="1"/>
  <c r="IY33" i="3"/>
  <c r="IY49" i="3" s="1"/>
  <c r="IM33" i="3"/>
  <c r="IM49" i="3" s="1"/>
  <c r="HK33" i="3"/>
  <c r="HK49" i="3" s="1"/>
  <c r="HC33" i="3"/>
  <c r="HC49" i="3" s="1"/>
  <c r="GU33" i="3"/>
  <c r="GU49" i="3" s="1"/>
  <c r="GM33" i="3"/>
  <c r="GM49" i="3" s="1"/>
  <c r="GI33" i="3"/>
  <c r="GI49" i="3" s="1"/>
  <c r="GE33" i="3"/>
  <c r="GE49" i="3" s="1"/>
  <c r="GA33" i="3"/>
  <c r="GA49" i="3" s="1"/>
  <c r="FW33" i="3"/>
  <c r="FW49" i="3" s="1"/>
  <c r="FS33" i="3"/>
  <c r="FS49" i="3" s="1"/>
  <c r="FG33" i="3"/>
  <c r="FG49" i="3" s="1"/>
  <c r="FC33" i="3"/>
  <c r="FC49" i="3" s="1"/>
  <c r="EQ33" i="3"/>
  <c r="EQ49" i="3" s="1"/>
  <c r="DK33" i="3"/>
  <c r="DK49" i="3" s="1"/>
  <c r="CU33" i="3"/>
  <c r="CU49" i="3" s="1"/>
  <c r="BS33" i="3"/>
  <c r="BS49" i="3" s="1"/>
  <c r="BK33" i="3"/>
  <c r="BK49" i="3" s="1"/>
  <c r="AY33" i="3"/>
  <c r="AY49" i="3" s="1"/>
  <c r="AU33" i="3"/>
  <c r="AU49" i="3" s="1"/>
  <c r="AM33" i="3"/>
  <c r="AM49" i="3" s="1"/>
  <c r="AI33" i="3"/>
  <c r="AI49" i="3" s="1"/>
  <c r="ALI30" i="3"/>
  <c r="ALI46" i="3" s="1"/>
  <c r="ALA30" i="3"/>
  <c r="ALA46" i="3" s="1"/>
  <c r="AKS30" i="3"/>
  <c r="AKS46" i="3" s="1"/>
  <c r="AKK30" i="3"/>
  <c r="AKK46" i="3" s="1"/>
  <c r="AKC30" i="3"/>
  <c r="AKC46" i="3" s="1"/>
  <c r="AJU30" i="3"/>
  <c r="AJU46" i="3" s="1"/>
  <c r="AJM30" i="3"/>
  <c r="AJM46" i="3" s="1"/>
  <c r="AJE30" i="3"/>
  <c r="AJE46" i="3" s="1"/>
  <c r="AIW30" i="3"/>
  <c r="AIW46" i="3" s="1"/>
  <c r="AIO30" i="3"/>
  <c r="AIO46" i="3" s="1"/>
  <c r="AIG30" i="3"/>
  <c r="AIG46" i="3" s="1"/>
  <c r="AHY30" i="3"/>
  <c r="AHY46" i="3" s="1"/>
  <c r="AHQ30" i="3"/>
  <c r="AHQ46" i="3" s="1"/>
  <c r="AHI30" i="3"/>
  <c r="AHI46" i="3" s="1"/>
  <c r="AHA30" i="3"/>
  <c r="AHA46" i="3" s="1"/>
  <c r="AGS30" i="3"/>
  <c r="AGS46" i="3" s="1"/>
  <c r="AGK30" i="3"/>
  <c r="AGK46" i="3" s="1"/>
  <c r="AGC30" i="3"/>
  <c r="AGC46" i="3" s="1"/>
  <c r="AFU30" i="3"/>
  <c r="AFU46" i="3" s="1"/>
  <c r="AFM30" i="3"/>
  <c r="AFM46" i="3" s="1"/>
  <c r="AFE30" i="3"/>
  <c r="AFE46" i="3" s="1"/>
  <c r="AEW30" i="3"/>
  <c r="AEW46" i="3" s="1"/>
  <c r="AEO30" i="3"/>
  <c r="AEO46" i="3" s="1"/>
  <c r="AEG30" i="3"/>
  <c r="AEG46" i="3" s="1"/>
  <c r="ADY30" i="3"/>
  <c r="ADY46" i="3" s="1"/>
  <c r="ADQ30" i="3"/>
  <c r="ADQ46" i="3" s="1"/>
  <c r="ADI30" i="3"/>
  <c r="ADI46" i="3" s="1"/>
  <c r="ADA30" i="3"/>
  <c r="ADA46" i="3" s="1"/>
  <c r="ACS30" i="3"/>
  <c r="ACS46" i="3" s="1"/>
  <c r="ACK30" i="3"/>
  <c r="ACK46" i="3" s="1"/>
  <c r="ACC30" i="3"/>
  <c r="ACC46" i="3" s="1"/>
  <c r="ABU30" i="3"/>
  <c r="ABU46" i="3" s="1"/>
  <c r="ABM30" i="3"/>
  <c r="ABM46" i="3" s="1"/>
  <c r="ABE30" i="3"/>
  <c r="ABE46" i="3" s="1"/>
  <c r="AAW30" i="3"/>
  <c r="AAW46" i="3" s="1"/>
  <c r="AAO30" i="3"/>
  <c r="AAO46" i="3" s="1"/>
  <c r="AAG30" i="3"/>
  <c r="AAG46" i="3" s="1"/>
  <c r="ZY30" i="3"/>
  <c r="ZY46" i="3" s="1"/>
  <c r="ZQ30" i="3"/>
  <c r="ZQ46" i="3" s="1"/>
  <c r="ZI30" i="3"/>
  <c r="ZI46" i="3" s="1"/>
  <c r="ZA30" i="3"/>
  <c r="ZA46" i="3" s="1"/>
  <c r="YS30" i="3"/>
  <c r="YS46" i="3" s="1"/>
  <c r="YK30" i="3"/>
  <c r="YK46" i="3" s="1"/>
  <c r="YC30" i="3"/>
  <c r="YC46" i="3" s="1"/>
  <c r="XU30" i="3"/>
  <c r="XU46" i="3" s="1"/>
  <c r="XM30" i="3"/>
  <c r="XM46" i="3" s="1"/>
  <c r="XE30" i="3"/>
  <c r="XE46" i="3" s="1"/>
  <c r="WW30" i="3"/>
  <c r="WW46" i="3" s="1"/>
  <c r="WO30" i="3"/>
  <c r="WO46" i="3" s="1"/>
  <c r="WG30" i="3"/>
  <c r="WG46" i="3" s="1"/>
  <c r="VY30" i="3"/>
  <c r="VY46" i="3" s="1"/>
  <c r="VQ30" i="3"/>
  <c r="VQ46" i="3" s="1"/>
  <c r="VI30" i="3"/>
  <c r="VI46" i="3" s="1"/>
  <c r="VA30" i="3"/>
  <c r="VA46" i="3" s="1"/>
  <c r="US30" i="3"/>
  <c r="US46" i="3" s="1"/>
  <c r="UK30" i="3"/>
  <c r="UK46" i="3" s="1"/>
  <c r="UC30" i="3"/>
  <c r="UC46" i="3" s="1"/>
  <c r="TU30" i="3"/>
  <c r="TU46" i="3" s="1"/>
  <c r="TM30" i="3"/>
  <c r="TM46" i="3" s="1"/>
  <c r="TE30" i="3"/>
  <c r="TE46" i="3" s="1"/>
  <c r="SW30" i="3"/>
  <c r="SW46" i="3" s="1"/>
  <c r="SO30" i="3"/>
  <c r="SO46" i="3" s="1"/>
  <c r="RQ30" i="3"/>
  <c r="RQ46" i="3" s="1"/>
  <c r="RI30" i="3"/>
  <c r="RI46" i="3" s="1"/>
  <c r="BQ30" i="3"/>
  <c r="BQ46" i="3" s="1"/>
  <c r="ALI27" i="3"/>
  <c r="ALI43" i="3" s="1"/>
  <c r="ALA27" i="3"/>
  <c r="ALA43" i="3" s="1"/>
  <c r="AKS27" i="3"/>
  <c r="AKS43" i="3" s="1"/>
  <c r="AKK27" i="3"/>
  <c r="AKK43" i="3" s="1"/>
  <c r="AKC27" i="3"/>
  <c r="AKC43" i="3" s="1"/>
  <c r="AJU27" i="3"/>
  <c r="AJU43" i="3" s="1"/>
  <c r="AJM27" i="3"/>
  <c r="AJM43" i="3" s="1"/>
  <c r="AJE27" i="3"/>
  <c r="AJE43" i="3" s="1"/>
  <c r="AIW27" i="3"/>
  <c r="AIW43" i="3" s="1"/>
  <c r="AIO27" i="3"/>
  <c r="AIO43" i="3" s="1"/>
  <c r="AIG27" i="3"/>
  <c r="AIG43" i="3" s="1"/>
  <c r="AHY27" i="3"/>
  <c r="AHY43" i="3" s="1"/>
  <c r="AHQ27" i="3"/>
  <c r="AHQ43" i="3" s="1"/>
  <c r="AHI27" i="3"/>
  <c r="AHI43" i="3" s="1"/>
  <c r="AHA27" i="3"/>
  <c r="AHA43" i="3" s="1"/>
  <c r="AGS27" i="3"/>
  <c r="AGS43" i="3" s="1"/>
  <c r="AGK27" i="3"/>
  <c r="AGK43" i="3" s="1"/>
  <c r="AGC27" i="3"/>
  <c r="AGC43" i="3" s="1"/>
  <c r="AFU27" i="3"/>
  <c r="AFU43" i="3" s="1"/>
  <c r="AFM27" i="3"/>
  <c r="AFM43" i="3" s="1"/>
  <c r="AFE27" i="3"/>
  <c r="AFE43" i="3" s="1"/>
  <c r="AEW27" i="3"/>
  <c r="AEW43" i="3" s="1"/>
  <c r="AEO27" i="3"/>
  <c r="AEO43" i="3" s="1"/>
  <c r="AEG27" i="3"/>
  <c r="AEG43" i="3" s="1"/>
  <c r="ADY27" i="3"/>
  <c r="ADY43" i="3" s="1"/>
  <c r="ADQ27" i="3"/>
  <c r="ADQ43" i="3" s="1"/>
  <c r="ADI27" i="3"/>
  <c r="ADI43" i="3" s="1"/>
  <c r="ADA27" i="3"/>
  <c r="ADA43" i="3" s="1"/>
  <c r="ACS27" i="3"/>
  <c r="ACS43" i="3" s="1"/>
  <c r="ACK27" i="3"/>
  <c r="ACK43" i="3" s="1"/>
  <c r="ACC27" i="3"/>
  <c r="ACC43" i="3" s="1"/>
  <c r="ABU27" i="3"/>
  <c r="ABU43" i="3" s="1"/>
  <c r="ABM27" i="3"/>
  <c r="ABM43" i="3" s="1"/>
  <c r="ABE27" i="3"/>
  <c r="ABE43" i="3" s="1"/>
  <c r="AAW27" i="3"/>
  <c r="AAW43" i="3" s="1"/>
  <c r="AAO27" i="3"/>
  <c r="AAO43" i="3" s="1"/>
  <c r="AAG27" i="3"/>
  <c r="AAG43" i="3" s="1"/>
  <c r="ZY27" i="3"/>
  <c r="ZY43" i="3" s="1"/>
  <c r="ZQ27" i="3"/>
  <c r="ZQ43" i="3" s="1"/>
  <c r="ZI27" i="3"/>
  <c r="ZI43" i="3" s="1"/>
  <c r="ZA27" i="3"/>
  <c r="ZA43" i="3" s="1"/>
  <c r="YS27" i="3"/>
  <c r="YS43" i="3" s="1"/>
  <c r="YK27" i="3"/>
  <c r="YK43" i="3" s="1"/>
  <c r="YC27" i="3"/>
  <c r="YC43" i="3" s="1"/>
  <c r="XU27" i="3"/>
  <c r="XU43" i="3" s="1"/>
  <c r="XM27" i="3"/>
  <c r="XM43" i="3" s="1"/>
  <c r="XE27" i="3"/>
  <c r="XE43" i="3" s="1"/>
  <c r="WW27" i="3"/>
  <c r="WW43" i="3" s="1"/>
  <c r="WO27" i="3"/>
  <c r="WO43" i="3" s="1"/>
  <c r="WG27" i="3"/>
  <c r="WG43" i="3" s="1"/>
  <c r="VY27" i="3"/>
  <c r="VY43" i="3" s="1"/>
  <c r="VQ27" i="3"/>
  <c r="VQ43" i="3" s="1"/>
  <c r="VI27" i="3"/>
  <c r="VI43" i="3" s="1"/>
  <c r="VA27" i="3"/>
  <c r="VA43" i="3" s="1"/>
  <c r="US27" i="3"/>
  <c r="US43" i="3" s="1"/>
  <c r="UK27" i="3"/>
  <c r="UK43" i="3" s="1"/>
  <c r="UC27" i="3"/>
  <c r="UC43" i="3" s="1"/>
  <c r="TU27" i="3"/>
  <c r="TU43" i="3" s="1"/>
  <c r="TM27" i="3"/>
  <c r="TM43" i="3" s="1"/>
  <c r="TE27" i="3"/>
  <c r="TE43" i="3" s="1"/>
  <c r="SW27" i="3"/>
  <c r="SW43" i="3" s="1"/>
  <c r="SO27" i="3"/>
  <c r="SO43" i="3" s="1"/>
  <c r="PM27" i="3"/>
  <c r="PM43" i="3" s="1"/>
  <c r="OG27" i="3"/>
  <c r="OG43" i="3" s="1"/>
  <c r="NA27" i="3"/>
  <c r="NA43" i="3" s="1"/>
  <c r="LE27" i="3"/>
  <c r="LE43" i="3" s="1"/>
  <c r="KG27" i="3"/>
  <c r="KG43" i="3" s="1"/>
  <c r="JA27" i="3"/>
  <c r="JA43" i="3" s="1"/>
  <c r="BQ27" i="3"/>
  <c r="BQ43" i="3" s="1"/>
  <c r="ALM28" i="3"/>
  <c r="ALM44" i="3" s="1"/>
  <c r="AKW28" i="3"/>
  <c r="AKW44" i="3" s="1"/>
  <c r="AJA28" i="3"/>
  <c r="AJA44" i="3" s="1"/>
  <c r="AIK28" i="3"/>
  <c r="AIK44" i="3" s="1"/>
  <c r="AGO28" i="3"/>
  <c r="AGO44" i="3" s="1"/>
  <c r="AFY28" i="3"/>
  <c r="AFY44" i="3" s="1"/>
  <c r="AEC28" i="3"/>
  <c r="AEC44" i="3" s="1"/>
  <c r="ADM28" i="3"/>
  <c r="ADM44" i="3" s="1"/>
  <c r="ABQ28" i="3"/>
  <c r="ABQ44" i="3" s="1"/>
  <c r="ABA28" i="3"/>
  <c r="ABA44" i="3" s="1"/>
  <c r="OS58" i="3"/>
  <c r="MG58" i="3"/>
  <c r="LE58" i="3"/>
  <c r="DX58" i="3"/>
  <c r="DH58" i="3"/>
  <c r="AF58" i="3"/>
  <c r="LK58" i="3"/>
  <c r="LQ27" i="3"/>
  <c r="LQ43" i="3" s="1"/>
  <c r="CS39" i="3"/>
  <c r="CS55" i="3" s="1"/>
  <c r="FF30" i="3"/>
  <c r="FF46" i="3" s="1"/>
  <c r="GX36" i="3"/>
  <c r="GX52" i="3" s="1"/>
  <c r="OI30" i="3"/>
  <c r="OI46" i="3" s="1"/>
  <c r="GP33" i="3"/>
  <c r="GP49" i="3" s="1"/>
  <c r="AD27" i="3"/>
  <c r="AD43" i="3" s="1"/>
  <c r="JH36" i="3"/>
  <c r="JH52" i="3" s="1"/>
  <c r="NL33" i="3"/>
  <c r="NL49" i="3" s="1"/>
  <c r="HP33" i="3"/>
  <c r="HP49" i="3" s="1"/>
  <c r="SC36" i="3"/>
  <c r="SC52" i="3" s="1"/>
  <c r="ED36" i="3"/>
  <c r="ED52" i="3" s="1"/>
  <c r="KT30" i="3"/>
  <c r="KT46" i="3" s="1"/>
  <c r="OB36" i="3"/>
  <c r="OB52" i="3" s="1"/>
  <c r="CF27" i="3"/>
  <c r="CF43" i="3" s="1"/>
  <c r="JF33" i="3"/>
  <c r="JF49" i="3" s="1"/>
  <c r="AN36" i="3"/>
  <c r="AN52" i="3" s="1"/>
  <c r="MK33" i="3"/>
  <c r="MK49" i="3" s="1"/>
  <c r="LW30" i="3"/>
  <c r="LW46" i="3" s="1"/>
  <c r="RD33" i="3"/>
  <c r="RD49" i="3" s="1"/>
  <c r="PF33" i="3"/>
  <c r="PF49" i="3" s="1"/>
  <c r="HD36" i="3"/>
  <c r="HD52" i="3" s="1"/>
  <c r="HD33" i="3"/>
  <c r="HD49" i="3" s="1"/>
  <c r="RP27" i="3"/>
  <c r="RP43" i="3" s="1"/>
  <c r="MR33" i="3"/>
  <c r="MR49" i="3" s="1"/>
  <c r="DT30" i="3"/>
  <c r="DT46" i="3" s="1"/>
  <c r="RF39" i="3"/>
  <c r="RF55" i="3" s="1"/>
  <c r="IM27" i="3"/>
  <c r="IM43" i="3" s="1"/>
  <c r="QP27" i="3"/>
  <c r="QP43" i="3" s="1"/>
  <c r="RH36" i="3"/>
  <c r="RH52" i="3" s="1"/>
  <c r="JF39" i="3"/>
  <c r="JF55" i="3" s="1"/>
  <c r="GF33" i="3"/>
  <c r="GF49" i="3" s="1"/>
  <c r="MR36" i="3"/>
  <c r="MR52" i="3" s="1"/>
  <c r="HH27" i="3"/>
  <c r="HH43" i="3" s="1"/>
  <c r="NX27" i="3"/>
  <c r="NX43" i="3" s="1"/>
  <c r="KC39" i="3"/>
  <c r="KC55" i="3" s="1"/>
  <c r="JW27" i="3"/>
  <c r="JW43" i="3" s="1"/>
  <c r="GY30" i="3"/>
  <c r="GY46" i="3" s="1"/>
  <c r="FD36" i="3"/>
  <c r="FD52" i="3" s="1"/>
  <c r="MT27" i="3"/>
  <c r="MT43" i="3" s="1"/>
  <c r="PL30" i="3"/>
  <c r="PL46" i="3" s="1"/>
  <c r="JZ30" i="3"/>
  <c r="JZ46" i="3" s="1"/>
  <c r="NH36" i="3"/>
  <c r="NH52" i="3" s="1"/>
  <c r="QB36" i="3"/>
  <c r="QB52" i="3" s="1"/>
  <c r="KT39" i="3"/>
  <c r="KT55" i="3" s="1"/>
  <c r="B33" i="3"/>
  <c r="B49" i="3" s="1"/>
  <c r="RX30" i="3"/>
  <c r="RX46" i="3" s="1"/>
  <c r="EF36" i="3"/>
  <c r="EF52" i="3" s="1"/>
  <c r="LT36" i="3"/>
  <c r="LT52" i="3" s="1"/>
  <c r="LR39" i="3"/>
  <c r="LR55" i="3" s="1"/>
  <c r="EP39" i="3"/>
  <c r="EP55" i="3" s="1"/>
  <c r="LL33" i="3"/>
  <c r="LL49" i="3" s="1"/>
  <c r="RC30" i="3"/>
  <c r="RC46" i="3" s="1"/>
  <c r="QT36" i="3"/>
  <c r="QT52" i="3" s="1"/>
  <c r="RV27" i="3"/>
  <c r="RV43" i="3" s="1"/>
  <c r="KL33" i="3"/>
  <c r="KL49" i="3" s="1"/>
  <c r="MO36" i="3"/>
  <c r="MO52" i="3" s="1"/>
  <c r="KY27" i="3"/>
  <c r="KY43" i="3" s="1"/>
  <c r="RE27" i="3"/>
  <c r="RE43" i="3" s="1"/>
  <c r="EP30" i="3"/>
  <c r="EP46" i="3" s="1"/>
  <c r="HV36" i="3"/>
  <c r="HV52" i="3" s="1"/>
  <c r="LG30" i="3"/>
  <c r="LG46" i="3" s="1"/>
  <c r="LZ30" i="3"/>
  <c r="LZ46" i="3" s="1"/>
  <c r="LZ39" i="3"/>
  <c r="LZ55" i="3" s="1"/>
  <c r="QU30" i="3"/>
  <c r="QU46" i="3" s="1"/>
  <c r="KA30" i="3"/>
  <c r="KA46" i="3" s="1"/>
  <c r="QZ33" i="3"/>
  <c r="QZ49" i="3" s="1"/>
  <c r="QJ36" i="3"/>
  <c r="QJ52" i="3" s="1"/>
  <c r="NP30" i="3"/>
  <c r="NP46" i="3" s="1"/>
  <c r="NP36" i="3"/>
  <c r="NP52" i="3" s="1"/>
  <c r="HW30" i="3"/>
  <c r="HW46" i="3" s="1"/>
  <c r="LT30" i="3"/>
  <c r="LT46" i="3" s="1"/>
  <c r="BR36" i="3"/>
  <c r="BR52" i="3" s="1"/>
  <c r="JK30" i="3"/>
  <c r="JK46" i="3" s="1"/>
  <c r="OD33" i="3"/>
  <c r="OD49" i="3" s="1"/>
  <c r="KN36" i="3"/>
  <c r="KN52" i="3" s="1"/>
  <c r="KN27" i="3"/>
  <c r="KN43" i="3" s="1"/>
  <c r="BR33" i="3"/>
  <c r="BR49" i="3" s="1"/>
  <c r="QX39" i="3"/>
  <c r="QX55" i="3" s="1"/>
  <c r="GF36" i="3"/>
  <c r="GF52" i="3" s="1"/>
  <c r="QP39" i="3"/>
  <c r="QP55" i="3" s="1"/>
  <c r="LH33" i="3"/>
  <c r="LH49" i="3" s="1"/>
  <c r="JV33" i="3"/>
  <c r="JV49" i="3" s="1"/>
  <c r="IR30" i="3"/>
  <c r="IR46" i="3" s="1"/>
  <c r="MH33" i="3"/>
  <c r="MH49" i="3" s="1"/>
  <c r="QP33" i="3"/>
  <c r="QP49" i="3" s="1"/>
  <c r="GQ30" i="3"/>
  <c r="GQ46" i="3" s="1"/>
  <c r="QB30" i="3"/>
  <c r="QB46" i="3" s="1"/>
  <c r="D33" i="3"/>
  <c r="D49" i="3" s="1"/>
  <c r="MZ27" i="3"/>
  <c r="MZ43" i="3" s="1"/>
  <c r="OV30" i="3"/>
  <c r="OV46" i="3" s="1"/>
  <c r="CE30" i="3"/>
  <c r="CE46" i="3" s="1"/>
  <c r="EZ30" i="3"/>
  <c r="EZ46" i="3" s="1"/>
  <c r="ME27" i="3"/>
  <c r="ME43" i="3" s="1"/>
  <c r="RX36" i="3"/>
  <c r="RX52" i="3" s="1"/>
  <c r="AP33" i="3"/>
  <c r="AP49" i="3" s="1"/>
  <c r="OT27" i="3"/>
  <c r="OT43" i="3" s="1"/>
  <c r="GT39" i="3"/>
  <c r="GT55" i="3" s="1"/>
  <c r="HL30" i="3"/>
  <c r="HL46" i="3" s="1"/>
  <c r="CM36" i="3"/>
  <c r="CM52" i="3" s="1"/>
  <c r="FS30" i="3"/>
  <c r="FS46" i="3" s="1"/>
  <c r="BT36" i="3"/>
  <c r="BT52" i="3" s="1"/>
  <c r="GF27" i="3"/>
  <c r="GF43" i="3" s="1"/>
  <c r="ER27" i="3"/>
  <c r="ER43" i="3" s="1"/>
  <c r="HG27" i="3"/>
  <c r="HG43" i="3" s="1"/>
  <c r="MH27" i="3"/>
  <c r="MH43" i="3" s="1"/>
  <c r="EU27" i="3"/>
  <c r="EU43" i="3" s="1"/>
  <c r="HL27" i="3"/>
  <c r="HL43" i="3" s="1"/>
  <c r="EJ33" i="3"/>
  <c r="EJ49" i="3" s="1"/>
  <c r="D27" i="3"/>
  <c r="D43" i="3" s="1"/>
  <c r="GA27" i="3"/>
  <c r="GA43" i="3" s="1"/>
  <c r="O3489" i="11" l="1"/>
  <c r="O90" i="11"/>
  <c r="O64" i="11"/>
  <c r="O91" i="11"/>
  <c r="O3202" i="11"/>
  <c r="O2797" i="11"/>
  <c r="O2567" i="11"/>
  <c r="O3010" i="11"/>
  <c r="O2413" i="11"/>
  <c r="O3037" i="11"/>
  <c r="O764" i="11"/>
  <c r="O2151" i="11"/>
  <c r="O807" i="11"/>
  <c r="O2103" i="11"/>
  <c r="O907" i="11"/>
  <c r="O3142" i="11"/>
  <c r="O3197" i="11"/>
  <c r="O3479" i="11"/>
  <c r="O3271" i="11"/>
  <c r="O116" i="11"/>
  <c r="O1676" i="11"/>
  <c r="O1761" i="11"/>
  <c r="O27" i="11"/>
  <c r="O3069" i="11"/>
  <c r="O2738" i="11"/>
  <c r="O2754" i="11"/>
  <c r="O1370" i="11"/>
  <c r="O1004" i="11"/>
  <c r="O1071" i="11"/>
  <c r="O2589" i="11"/>
  <c r="O1014" i="11"/>
  <c r="O2135" i="11"/>
  <c r="O7" i="11"/>
  <c r="O320" i="11"/>
  <c r="O20" i="11"/>
  <c r="O1974" i="11"/>
  <c r="O1228" i="11"/>
  <c r="O1833" i="11"/>
  <c r="O1520" i="11"/>
  <c r="O3447" i="11"/>
  <c r="O2391" i="11"/>
  <c r="O2663" i="11"/>
  <c r="O1733" i="11"/>
  <c r="O2701" i="11"/>
  <c r="O1669" i="11"/>
  <c r="O369" i="11"/>
  <c r="O2934" i="11"/>
  <c r="O1569" i="11"/>
  <c r="O2290" i="11"/>
  <c r="O2386" i="11"/>
  <c r="O822" i="11"/>
  <c r="O1840" i="11"/>
  <c r="O2295" i="11"/>
  <c r="O268" i="11"/>
  <c r="O327" i="11"/>
  <c r="O340" i="11"/>
  <c r="O3351" i="11"/>
  <c r="O3122" i="11"/>
  <c r="O2237" i="11"/>
  <c r="O2274" i="11"/>
  <c r="O3281" i="11"/>
  <c r="O2004" i="11"/>
  <c r="O30" i="11"/>
  <c r="O71" i="11"/>
  <c r="O110" i="11"/>
  <c r="O84" i="11"/>
  <c r="O1577" i="11"/>
  <c r="O3255" i="11"/>
  <c r="O1605" i="11"/>
  <c r="O1024" i="11"/>
  <c r="O3463" i="11"/>
  <c r="O2221" i="11"/>
  <c r="O2578" i="11"/>
  <c r="O1505" i="11"/>
  <c r="O2615" i="11"/>
  <c r="O1556" i="11"/>
  <c r="O3387" i="11"/>
  <c r="O292" i="11"/>
  <c r="O3021" i="11"/>
  <c r="O3005" i="11"/>
  <c r="O2509" i="11"/>
  <c r="O2205" i="11"/>
  <c r="O3243" i="11"/>
  <c r="O1348" i="11"/>
  <c r="O12" i="11"/>
  <c r="O154" i="11"/>
  <c r="O135" i="11"/>
  <c r="O192" i="11"/>
  <c r="O174" i="11"/>
  <c r="O155" i="11"/>
  <c r="O212" i="11"/>
  <c r="O3031" i="11"/>
  <c r="O1099" i="11"/>
  <c r="O2114" i="11"/>
  <c r="O3127" i="11"/>
  <c r="O2397" i="11"/>
  <c r="O1138" i="11"/>
  <c r="O2717" i="11"/>
  <c r="O3389" i="11"/>
  <c r="O1626" i="11"/>
  <c r="O3378" i="11"/>
  <c r="O2903" i="11"/>
  <c r="O1825" i="11"/>
  <c r="O2919" i="11"/>
  <c r="O2493" i="11"/>
  <c r="O1961" i="11"/>
  <c r="O1392" i="11"/>
  <c r="O2957" i="11"/>
  <c r="O2445" i="11"/>
  <c r="O2010" i="11"/>
  <c r="O1441" i="11"/>
  <c r="O634" i="11"/>
  <c r="O3451" i="11"/>
  <c r="O3345" i="11"/>
  <c r="O3201" i="11"/>
  <c r="O3057" i="11"/>
  <c r="O100" i="11"/>
  <c r="O3159" i="11"/>
  <c r="O1462" i="11"/>
  <c r="O2711" i="11"/>
  <c r="O3213" i="11"/>
  <c r="O2525" i="11"/>
  <c r="O1548" i="11"/>
  <c r="O2930" i="11"/>
  <c r="O836" i="11"/>
  <c r="O2327" i="11"/>
  <c r="O3442" i="11"/>
  <c r="O1996" i="11"/>
  <c r="O1590" i="11"/>
  <c r="O1300" i="11"/>
  <c r="O3222" i="11"/>
  <c r="O2503" i="11"/>
  <c r="O1492" i="11"/>
  <c r="O3362" i="11"/>
  <c r="O2791" i="11"/>
  <c r="O2573" i="11"/>
  <c r="O161" i="11"/>
  <c r="O10" i="11"/>
  <c r="O1342" i="11"/>
  <c r="O2886" i="11"/>
  <c r="O1994" i="11"/>
  <c r="O3473" i="11"/>
  <c r="O3366" i="11"/>
  <c r="O3254" i="11"/>
  <c r="O3083" i="11"/>
  <c r="O2891" i="11"/>
  <c r="O3501" i="11"/>
  <c r="O1861" i="11"/>
  <c r="O3026" i="11"/>
  <c r="O1090" i="11"/>
  <c r="O2695" i="11"/>
  <c r="O1776" i="11"/>
  <c r="O3309" i="11"/>
  <c r="O1406" i="11"/>
  <c r="O2669" i="11"/>
  <c r="O3405" i="11"/>
  <c r="O2690" i="11"/>
  <c r="O2045" i="11"/>
  <c r="O2167" i="11"/>
  <c r="O3318" i="11"/>
  <c r="O3458" i="11"/>
  <c r="O2994" i="11"/>
  <c r="O2242" i="11"/>
  <c r="O1257" i="11"/>
  <c r="O1221" i="11"/>
  <c r="O794" i="11"/>
  <c r="O3126" i="11"/>
  <c r="O286" i="11"/>
  <c r="O706" i="11"/>
  <c r="O140" i="11"/>
  <c r="O218" i="11"/>
  <c r="O263" i="11"/>
  <c r="O256" i="11"/>
  <c r="O238" i="11"/>
  <c r="O283" i="11"/>
  <c r="O276" i="11"/>
  <c r="O2674" i="11"/>
  <c r="O3239" i="11"/>
  <c r="O1684" i="11"/>
  <c r="O3042" i="11"/>
  <c r="O2055" i="11"/>
  <c r="O779" i="11"/>
  <c r="O2375" i="11"/>
  <c r="O3047" i="11"/>
  <c r="O1167" i="11"/>
  <c r="O3293" i="11"/>
  <c r="O2562" i="11"/>
  <c r="O1598" i="11"/>
  <c r="O2834" i="11"/>
  <c r="O2322" i="11"/>
  <c r="O1846" i="11"/>
  <c r="O1278" i="11"/>
  <c r="O2786" i="11"/>
  <c r="O2359" i="11"/>
  <c r="O1897" i="11"/>
  <c r="O1214" i="11"/>
  <c r="O521" i="11"/>
  <c r="O3430" i="11"/>
  <c r="O3302" i="11"/>
  <c r="O3169" i="11"/>
  <c r="O3019" i="11"/>
  <c r="O228" i="11"/>
  <c r="O2973" i="11"/>
  <c r="O948" i="11"/>
  <c r="O2025" i="11"/>
  <c r="O3106" i="11"/>
  <c r="O2354" i="11"/>
  <c r="O1062" i="11"/>
  <c r="O2631" i="11"/>
  <c r="O3346" i="11"/>
  <c r="O1513" i="11"/>
  <c r="O3357" i="11"/>
  <c r="O1052" i="11"/>
  <c r="O2850" i="11"/>
  <c r="O690" i="11"/>
  <c r="O3105" i="11"/>
  <c r="O2626" i="11"/>
  <c r="O3266" i="11"/>
  <c r="O3250" i="11"/>
  <c r="O2109" i="11"/>
  <c r="O2231" i="11"/>
  <c r="O3419" i="11"/>
  <c r="O266" i="11"/>
  <c r="O3394" i="11"/>
  <c r="O2545" i="11"/>
  <c r="O3039" i="11"/>
  <c r="O3237" i="11"/>
  <c r="O2998" i="11"/>
  <c r="O183" i="11"/>
  <c r="O203" i="11"/>
  <c r="O3490" i="11"/>
  <c r="O409" i="11"/>
  <c r="O2203" i="11"/>
  <c r="O1988" i="11"/>
  <c r="O26" i="11"/>
  <c r="O282" i="11"/>
  <c r="O199" i="11"/>
  <c r="O128" i="11"/>
  <c r="O46" i="11"/>
  <c r="O302" i="11"/>
  <c r="O219" i="11"/>
  <c r="O148" i="11"/>
  <c r="O3373" i="11"/>
  <c r="O2333" i="11"/>
  <c r="O3410" i="11"/>
  <c r="O2455" i="11"/>
  <c r="O3426" i="11"/>
  <c r="O2909" i="11"/>
  <c r="O2226" i="11"/>
  <c r="O1377" i="11"/>
  <c r="O3181" i="11"/>
  <c r="O2032" i="11"/>
  <c r="O3218" i="11"/>
  <c r="O2071" i="11"/>
  <c r="O3277" i="11"/>
  <c r="O3207" i="11"/>
  <c r="O2733" i="11"/>
  <c r="O2050" i="11"/>
  <c r="O1127" i="11"/>
  <c r="O2749" i="11"/>
  <c r="O2407" i="11"/>
  <c r="O2066" i="11"/>
  <c r="O1620" i="11"/>
  <c r="O1156" i="11"/>
  <c r="O2871" i="11"/>
  <c r="O2530" i="11"/>
  <c r="O2189" i="11"/>
  <c r="O1782" i="11"/>
  <c r="O1328" i="11"/>
  <c r="O709" i="11"/>
  <c r="O3494" i="11"/>
  <c r="O3409" i="11"/>
  <c r="O3323" i="11"/>
  <c r="O3227" i="11"/>
  <c r="O3115" i="11"/>
  <c r="O2977" i="11"/>
  <c r="O164" i="11"/>
  <c r="O3330" i="11"/>
  <c r="O2247" i="11"/>
  <c r="O3367" i="11"/>
  <c r="O2370" i="11"/>
  <c r="O3383" i="11"/>
  <c r="O2866" i="11"/>
  <c r="O2183" i="11"/>
  <c r="O1321" i="11"/>
  <c r="O3138" i="11"/>
  <c r="O1918" i="11"/>
  <c r="O3175" i="11"/>
  <c r="O1968" i="11"/>
  <c r="O3234" i="11"/>
  <c r="O3186" i="11"/>
  <c r="O2727" i="11"/>
  <c r="O1119" i="11"/>
  <c r="O1754" i="11"/>
  <c r="O3403" i="11"/>
  <c r="O2966" i="11"/>
  <c r="O3495" i="11"/>
  <c r="O2311" i="11"/>
  <c r="O3303" i="11"/>
  <c r="O2818" i="11"/>
  <c r="O2450" i="11"/>
  <c r="O2914" i="11"/>
  <c r="O1385" i="11"/>
  <c r="O3334" i="11"/>
  <c r="O179" i="11"/>
  <c r="O112" i="11"/>
  <c r="O324" i="11"/>
  <c r="O1428" i="11"/>
  <c r="O3147" i="11"/>
  <c r="O1802" i="11"/>
  <c r="O2511" i="11"/>
  <c r="O2486" i="11"/>
  <c r="O3101" i="11"/>
  <c r="O2519" i="11"/>
  <c r="O1769" i="11"/>
  <c r="O2983" i="11"/>
  <c r="O2642" i="11"/>
  <c r="O2301" i="11"/>
  <c r="O1932" i="11"/>
  <c r="O1477" i="11"/>
  <c r="O967" i="11"/>
  <c r="O2765" i="11"/>
  <c r="O2423" i="11"/>
  <c r="O2082" i="11"/>
  <c r="O1641" i="11"/>
  <c r="O1184" i="11"/>
  <c r="O614" i="11"/>
  <c r="O3467" i="11"/>
  <c r="O3382" i="11"/>
  <c r="O3297" i="11"/>
  <c r="O3190" i="11"/>
  <c r="O3078" i="11"/>
  <c r="O2923" i="11"/>
  <c r="O180" i="11"/>
  <c r="O3287" i="11"/>
  <c r="O2162" i="11"/>
  <c r="O3325" i="11"/>
  <c r="O2285" i="11"/>
  <c r="O3341" i="11"/>
  <c r="O2823" i="11"/>
  <c r="O2141" i="11"/>
  <c r="O1264" i="11"/>
  <c r="O3095" i="11"/>
  <c r="O1804" i="11"/>
  <c r="O3133" i="11"/>
  <c r="O1854" i="11"/>
  <c r="O3170" i="11"/>
  <c r="O3165" i="11"/>
  <c r="O2647" i="11"/>
  <c r="O1940" i="11"/>
  <c r="O976" i="11"/>
  <c r="O2706" i="11"/>
  <c r="O2365" i="11"/>
  <c r="O2017" i="11"/>
  <c r="O1562" i="11"/>
  <c r="O1082" i="11"/>
  <c r="O2829" i="11"/>
  <c r="O2487" i="11"/>
  <c r="O2146" i="11"/>
  <c r="O1726" i="11"/>
  <c r="O1270" i="11"/>
  <c r="O671" i="11"/>
  <c r="O3483" i="11"/>
  <c r="O3398" i="11"/>
  <c r="O3313" i="11"/>
  <c r="O3211" i="11"/>
  <c r="O3099" i="11"/>
  <c r="O2955" i="11"/>
  <c r="O307" i="11"/>
  <c r="O74" i="11"/>
  <c r="O330" i="11"/>
  <c r="O247" i="11"/>
  <c r="O176" i="11"/>
  <c r="O94" i="11"/>
  <c r="O11" i="11"/>
  <c r="O267" i="11"/>
  <c r="O2802" i="11"/>
  <c r="O3063" i="11"/>
  <c r="O2461" i="11"/>
  <c r="O3314" i="11"/>
  <c r="O2855" i="11"/>
  <c r="O1306" i="11"/>
  <c r="O1925" i="11"/>
  <c r="O3435" i="11"/>
  <c r="O3030" i="11"/>
  <c r="O2801" i="11"/>
  <c r="O2459" i="11"/>
  <c r="O2118" i="11"/>
  <c r="O1689" i="11"/>
  <c r="O1233" i="11"/>
  <c r="O3493" i="11"/>
  <c r="O3151" i="11"/>
  <c r="O2042" i="11"/>
  <c r="O1540" i="11"/>
  <c r="O2677" i="11"/>
  <c r="O1040" i="11"/>
  <c r="O1724" i="11"/>
  <c r="O3015" i="11"/>
  <c r="O2349" i="11"/>
  <c r="O1541" i="11"/>
  <c r="O2898" i="11"/>
  <c r="O2557" i="11"/>
  <c r="O2215" i="11"/>
  <c r="O1818" i="11"/>
  <c r="O1364" i="11"/>
  <c r="O747" i="11"/>
  <c r="O2679" i="11"/>
  <c r="O2338" i="11"/>
  <c r="O1982" i="11"/>
  <c r="O1526" i="11"/>
  <c r="O1034" i="11"/>
  <c r="O484" i="11"/>
  <c r="O3446" i="11"/>
  <c r="O3361" i="11"/>
  <c r="O3275" i="11"/>
  <c r="O3163" i="11"/>
  <c r="O3051" i="11"/>
  <c r="O2881" i="11"/>
  <c r="O244" i="11"/>
  <c r="O3117" i="11"/>
  <c r="O1748" i="11"/>
  <c r="O3154" i="11"/>
  <c r="O1910" i="11"/>
  <c r="O3191" i="11"/>
  <c r="O2653" i="11"/>
  <c r="O1946" i="11"/>
  <c r="O986" i="11"/>
  <c r="O2845" i="11"/>
  <c r="O1292" i="11"/>
  <c r="O2925" i="11"/>
  <c r="O1398" i="11"/>
  <c r="O3421" i="11"/>
  <c r="O3079" i="11"/>
  <c r="O2477" i="11"/>
  <c r="O1712" i="11"/>
  <c r="O2962" i="11"/>
  <c r="O2621" i="11"/>
  <c r="O2279" i="11"/>
  <c r="O1904" i="11"/>
  <c r="O1449" i="11"/>
  <c r="O922" i="11"/>
  <c r="O2743" i="11"/>
  <c r="O2402" i="11"/>
  <c r="O2061" i="11"/>
  <c r="O1612" i="11"/>
  <c r="O1147" i="11"/>
  <c r="O594" i="11"/>
  <c r="O3462" i="11"/>
  <c r="O3377" i="11"/>
  <c r="O3291" i="11"/>
  <c r="O3185" i="11"/>
  <c r="O3073" i="11"/>
  <c r="O2913" i="11"/>
  <c r="O108" i="11"/>
  <c r="O138" i="11"/>
  <c r="O55" i="11"/>
  <c r="O311" i="11"/>
  <c r="O240" i="11"/>
  <c r="O158" i="11"/>
  <c r="O75" i="11"/>
  <c r="O4" i="11"/>
  <c r="O1236" i="11"/>
  <c r="O2439" i="11"/>
  <c r="O3431" i="11"/>
  <c r="O2946" i="11"/>
  <c r="O2514" i="11"/>
  <c r="O2978" i="11"/>
  <c r="O1470" i="11"/>
  <c r="O3350" i="11"/>
  <c r="O2859" i="11"/>
  <c r="O2715" i="11"/>
  <c r="O2374" i="11"/>
  <c r="O2030" i="11"/>
  <c r="O1574" i="11"/>
  <c r="O1098" i="11"/>
  <c r="O3407" i="11"/>
  <c r="O3066" i="11"/>
  <c r="O2689" i="11"/>
  <c r="O1050" i="11"/>
  <c r="O1808" i="11"/>
  <c r="O3034" i="11"/>
  <c r="O2006" i="11"/>
  <c r="O2861" i="11"/>
  <c r="O2178" i="11"/>
  <c r="O1313" i="11"/>
  <c r="O2813" i="11"/>
  <c r="O2471" i="11"/>
  <c r="O2130" i="11"/>
  <c r="O1705" i="11"/>
  <c r="O1249" i="11"/>
  <c r="O2935" i="11"/>
  <c r="O2594" i="11"/>
  <c r="O2253" i="11"/>
  <c r="O1868" i="11"/>
  <c r="O1413" i="11"/>
  <c r="O850" i="11"/>
  <c r="O321" i="11"/>
  <c r="O3425" i="11"/>
  <c r="O3339" i="11"/>
  <c r="O3249" i="11"/>
  <c r="O3137" i="11"/>
  <c r="O3009" i="11"/>
  <c r="O52" i="11"/>
  <c r="O308" i="11"/>
  <c r="O2887" i="11"/>
  <c r="O1349" i="11"/>
  <c r="O2967" i="11"/>
  <c r="O1456" i="11"/>
  <c r="O3085" i="11"/>
  <c r="O2482" i="11"/>
  <c r="O1718" i="11"/>
  <c r="O3437" i="11"/>
  <c r="O2546" i="11"/>
  <c r="O3474" i="11"/>
  <c r="O2583" i="11"/>
  <c r="O935" i="11"/>
  <c r="O3335" i="11"/>
  <c r="O2989" i="11"/>
  <c r="O2306" i="11"/>
  <c r="O1484" i="11"/>
  <c r="O2877" i="11"/>
  <c r="O2535" i="11"/>
  <c r="O2194" i="11"/>
  <c r="O1790" i="11"/>
  <c r="O1334" i="11"/>
  <c r="O2999" i="11"/>
  <c r="O2658" i="11"/>
  <c r="O2317" i="11"/>
  <c r="O1953" i="11"/>
  <c r="O1498" i="11"/>
  <c r="O996" i="11"/>
  <c r="O445" i="11"/>
  <c r="O3441" i="11"/>
  <c r="O3355" i="11"/>
  <c r="O3270" i="11"/>
  <c r="O3158" i="11"/>
  <c r="O3041" i="11"/>
  <c r="O2870" i="11"/>
  <c r="O236" i="11"/>
  <c r="O202" i="11"/>
  <c r="O119" i="11"/>
  <c r="O48" i="11"/>
  <c r="O304" i="11"/>
  <c r="O222" i="11"/>
  <c r="O139" i="11"/>
  <c r="O68" i="11"/>
  <c r="O2882" i="11"/>
  <c r="O1662" i="11"/>
  <c r="O2498" i="11"/>
  <c r="O2263" i="11"/>
  <c r="O2173" i="11"/>
  <c r="O2637" i="11"/>
  <c r="O956" i="11"/>
  <c r="O3265" i="11"/>
  <c r="O2971" i="11"/>
  <c r="O2630" i="11"/>
  <c r="O2289" i="11"/>
  <c r="O1916" i="11"/>
  <c r="O1461" i="11"/>
  <c r="O946" i="11"/>
  <c r="O3322" i="11"/>
  <c r="O2917" i="11"/>
  <c r="O2347" i="11"/>
  <c r="O3381" i="11"/>
  <c r="O2683" i="11"/>
  <c r="O2213" i="11"/>
  <c r="O1238" i="11"/>
  <c r="O132" i="11"/>
  <c r="O3415" i="11"/>
  <c r="O2418" i="11"/>
  <c r="O3453" i="11"/>
  <c r="O2541" i="11"/>
  <c r="O3469" i="11"/>
  <c r="O2951" i="11"/>
  <c r="O2269" i="11"/>
  <c r="O1434" i="11"/>
  <c r="O3223" i="11"/>
  <c r="O2119" i="11"/>
  <c r="O3261" i="11"/>
  <c r="O2157" i="11"/>
  <c r="O3319" i="11"/>
  <c r="O3229" i="11"/>
  <c r="O2775" i="11"/>
  <c r="O2093" i="11"/>
  <c r="O1200" i="11"/>
  <c r="O2770" i="11"/>
  <c r="O2429" i="11"/>
  <c r="O2087" i="11"/>
  <c r="O1648" i="11"/>
  <c r="O1193" i="11"/>
  <c r="O2893" i="11"/>
  <c r="O2551" i="11"/>
  <c r="O2210" i="11"/>
  <c r="O1812" i="11"/>
  <c r="O1356" i="11"/>
  <c r="O727" i="11"/>
  <c r="O3499" i="11"/>
  <c r="O3414" i="11"/>
  <c r="O3329" i="11"/>
  <c r="O3233" i="11"/>
  <c r="O3121" i="11"/>
  <c r="O2987" i="11"/>
  <c r="O3035" i="11"/>
  <c r="O2950" i="11"/>
  <c r="O2865" i="11"/>
  <c r="O2779" i="11"/>
  <c r="O2694" i="11"/>
  <c r="O2609" i="11"/>
  <c r="O2523" i="11"/>
  <c r="O2438" i="11"/>
  <c r="O2353" i="11"/>
  <c r="O2267" i="11"/>
  <c r="O2182" i="11"/>
  <c r="O2097" i="11"/>
  <c r="O2001" i="11"/>
  <c r="O1888" i="11"/>
  <c r="O1774" i="11"/>
  <c r="O1660" i="11"/>
  <c r="O1546" i="11"/>
  <c r="O1433" i="11"/>
  <c r="O1318" i="11"/>
  <c r="O1205" i="11"/>
  <c r="O1060" i="11"/>
  <c r="O891" i="11"/>
  <c r="O630" i="11"/>
  <c r="O3471" i="11"/>
  <c r="O3386" i="11"/>
  <c r="O3301" i="11"/>
  <c r="O3215" i="11"/>
  <c r="O3130" i="11"/>
  <c r="O3045" i="11"/>
  <c r="O2831" i="11"/>
  <c r="O2399" i="11"/>
  <c r="O1814" i="11"/>
  <c r="O2603" i="11"/>
  <c r="O2262" i="11"/>
  <c r="O1881" i="11"/>
  <c r="O1425" i="11"/>
  <c r="O876" i="11"/>
  <c r="O3295" i="11"/>
  <c r="O2954" i="11"/>
  <c r="O2559" i="11"/>
  <c r="O3195" i="11"/>
  <c r="O2513" i="11"/>
  <c r="O1760" i="11"/>
  <c r="O593" i="11"/>
  <c r="O2863" i="11"/>
  <c r="O1900" i="11"/>
  <c r="O2315" i="11"/>
  <c r="O1497" i="11"/>
  <c r="O1124" i="11"/>
  <c r="O2670" i="11"/>
  <c r="O196" i="11"/>
  <c r="O3245" i="11"/>
  <c r="O2077" i="11"/>
  <c r="O3282" i="11"/>
  <c r="O2199" i="11"/>
  <c r="O3298" i="11"/>
  <c r="O2781" i="11"/>
  <c r="O2098" i="11"/>
  <c r="O1206" i="11"/>
  <c r="O3053" i="11"/>
  <c r="O1690" i="11"/>
  <c r="O3090" i="11"/>
  <c r="O1740" i="11"/>
  <c r="O3485" i="11"/>
  <c r="O3143" i="11"/>
  <c r="O2605" i="11"/>
  <c r="O1882" i="11"/>
  <c r="O879" i="11"/>
  <c r="O2685" i="11"/>
  <c r="O2343" i="11"/>
  <c r="O1989" i="11"/>
  <c r="O1534" i="11"/>
  <c r="O1042" i="11"/>
  <c r="O2807" i="11"/>
  <c r="O2466" i="11"/>
  <c r="O2125" i="11"/>
  <c r="O1697" i="11"/>
  <c r="O1242" i="11"/>
  <c r="O651" i="11"/>
  <c r="O3478" i="11"/>
  <c r="O3393" i="11"/>
  <c r="O3307" i="11"/>
  <c r="O3206" i="11"/>
  <c r="O3094" i="11"/>
  <c r="O2945" i="11"/>
  <c r="O3014" i="11"/>
  <c r="O2929" i="11"/>
  <c r="O2843" i="11"/>
  <c r="O2758" i="11"/>
  <c r="O2673" i="11"/>
  <c r="O2587" i="11"/>
  <c r="O2502" i="11"/>
  <c r="O2417" i="11"/>
  <c r="O2331" i="11"/>
  <c r="O2246" i="11"/>
  <c r="O2161" i="11"/>
  <c r="O2075" i="11"/>
  <c r="O1973" i="11"/>
  <c r="O1860" i="11"/>
  <c r="O1745" i="11"/>
  <c r="O1632" i="11"/>
  <c r="O1518" i="11"/>
  <c r="O1404" i="11"/>
  <c r="O1290" i="11"/>
  <c r="O1174" i="11"/>
  <c r="O1020" i="11"/>
  <c r="O834" i="11"/>
  <c r="O517" i="11"/>
  <c r="O3450" i="11"/>
  <c r="O3365" i="11"/>
  <c r="O3279" i="11"/>
  <c r="O3194" i="11"/>
  <c r="O3109" i="11"/>
  <c r="O3023" i="11"/>
  <c r="O2741" i="11"/>
  <c r="O2282" i="11"/>
  <c r="O1588" i="11"/>
  <c r="O2518" i="11"/>
  <c r="O2177" i="11"/>
  <c r="O1766" i="11"/>
  <c r="O1312" i="11"/>
  <c r="O613" i="11"/>
  <c r="O3210" i="11"/>
  <c r="O2869" i="11"/>
  <c r="O2389" i="11"/>
  <c r="O3025" i="11"/>
  <c r="O2342" i="11"/>
  <c r="O1532" i="11"/>
  <c r="O3375" i="11"/>
  <c r="O2666" i="11"/>
  <c r="O2827" i="11"/>
  <c r="O2145" i="11"/>
  <c r="O726" i="11"/>
  <c r="O2377" i="11"/>
  <c r="O2095" i="11"/>
  <c r="O260" i="11"/>
  <c r="O3074" i="11"/>
  <c r="O1633" i="11"/>
  <c r="O3111" i="11"/>
  <c r="O1797" i="11"/>
  <c r="O3149" i="11"/>
  <c r="O2610" i="11"/>
  <c r="O1889" i="11"/>
  <c r="O892" i="11"/>
  <c r="O2759" i="11"/>
  <c r="O1175" i="11"/>
  <c r="O2839" i="11"/>
  <c r="O1285" i="11"/>
  <c r="O3399" i="11"/>
  <c r="O3058" i="11"/>
  <c r="O2434" i="11"/>
  <c r="O1654" i="11"/>
  <c r="O2941" i="11"/>
  <c r="O2599" i="11"/>
  <c r="O2258" i="11"/>
  <c r="O1876" i="11"/>
  <c r="O1420" i="11"/>
  <c r="O864" i="11"/>
  <c r="O2722" i="11"/>
  <c r="O2381" i="11"/>
  <c r="O2038" i="11"/>
  <c r="O1584" i="11"/>
  <c r="O1110" i="11"/>
  <c r="O561" i="11"/>
  <c r="O3457" i="11"/>
  <c r="O3371" i="11"/>
  <c r="O3286" i="11"/>
  <c r="O3179" i="11"/>
  <c r="O3062" i="11"/>
  <c r="O2902" i="11"/>
  <c r="O2993" i="11"/>
  <c r="O2907" i="11"/>
  <c r="O2822" i="11"/>
  <c r="O2737" i="11"/>
  <c r="O2651" i="11"/>
  <c r="O2566" i="11"/>
  <c r="O2481" i="11"/>
  <c r="O2395" i="11"/>
  <c r="O2310" i="11"/>
  <c r="O2225" i="11"/>
  <c r="O2139" i="11"/>
  <c r="O2054" i="11"/>
  <c r="O1945" i="11"/>
  <c r="O1830" i="11"/>
  <c r="O1717" i="11"/>
  <c r="O1604" i="11"/>
  <c r="O1489" i="11"/>
  <c r="O1376" i="11"/>
  <c r="O1262" i="11"/>
  <c r="O1135" i="11"/>
  <c r="O983" i="11"/>
  <c r="O778" i="11"/>
  <c r="O365" i="11"/>
  <c r="O3429" i="11"/>
  <c r="O3343" i="11"/>
  <c r="O3258" i="11"/>
  <c r="O3173" i="11"/>
  <c r="O3087" i="11"/>
  <c r="O3002" i="11"/>
  <c r="O2623" i="11"/>
  <c r="O2170" i="11"/>
  <c r="O2774" i="11"/>
  <c r="O2433" i="11"/>
  <c r="O2091" i="11"/>
  <c r="O1653" i="11"/>
  <c r="O1198" i="11"/>
  <c r="O3466" i="11"/>
  <c r="O3125" i="11"/>
  <c r="O2783" i="11"/>
  <c r="O2165" i="11"/>
  <c r="O2854" i="11"/>
  <c r="O2171" i="11"/>
  <c r="O1305" i="11"/>
  <c r="O3205" i="11"/>
  <c r="O2442" i="11"/>
  <c r="O2657" i="11"/>
  <c r="O1952" i="11"/>
  <c r="O2901" i="11"/>
  <c r="O3246" i="11"/>
  <c r="O2563" i="11"/>
  <c r="O2981" i="11"/>
  <c r="O2895" i="11"/>
  <c r="O2810" i="11"/>
  <c r="O2709" i="11"/>
  <c r="O2597" i="11"/>
  <c r="O2485" i="11"/>
  <c r="O2367" i="11"/>
  <c r="O2255" i="11"/>
  <c r="O2143" i="11"/>
  <c r="O1985" i="11"/>
  <c r="O1758" i="11"/>
  <c r="O2838" i="11"/>
  <c r="O2753" i="11"/>
  <c r="O2667" i="11"/>
  <c r="O2582" i="11"/>
  <c r="O2497" i="11"/>
  <c r="O2411" i="11"/>
  <c r="O2326" i="11"/>
  <c r="O2241" i="11"/>
  <c r="O2155" i="11"/>
  <c r="O2070" i="11"/>
  <c r="O1966" i="11"/>
  <c r="O1852" i="11"/>
  <c r="O1738" i="11"/>
  <c r="O1625" i="11"/>
  <c r="O1510" i="11"/>
  <c r="O1397" i="11"/>
  <c r="O1284" i="11"/>
  <c r="O1163" i="11"/>
  <c r="O1012" i="11"/>
  <c r="O820" i="11"/>
  <c r="O477" i="11"/>
  <c r="O3445" i="11"/>
  <c r="O3359" i="11"/>
  <c r="O3274" i="11"/>
  <c r="O3189" i="11"/>
  <c r="O3103" i="11"/>
  <c r="O3018" i="11"/>
  <c r="O2933" i="11"/>
  <c r="O2847" i="11"/>
  <c r="O2762" i="11"/>
  <c r="O2645" i="11"/>
  <c r="O2533" i="11"/>
  <c r="O2362" i="11"/>
  <c r="O2133" i="11"/>
  <c r="O1750" i="11"/>
  <c r="O3174" i="11"/>
  <c r="O3003" i="11"/>
  <c r="O2833" i="11"/>
  <c r="O2662" i="11"/>
  <c r="O2491" i="11"/>
  <c r="O2321" i="11"/>
  <c r="O2150" i="11"/>
  <c r="O1958" i="11"/>
  <c r="O1732" i="11"/>
  <c r="O1504" i="11"/>
  <c r="O1276" i="11"/>
  <c r="O1003" i="11"/>
  <c r="O441" i="11"/>
  <c r="O3354" i="11"/>
  <c r="O3183" i="11"/>
  <c r="O3013" i="11"/>
  <c r="O2842" i="11"/>
  <c r="O2639" i="11"/>
  <c r="O2410" i="11"/>
  <c r="O2186" i="11"/>
  <c r="O1844" i="11"/>
  <c r="O2806" i="11"/>
  <c r="O2635" i="11"/>
  <c r="O2465" i="11"/>
  <c r="O2294" i="11"/>
  <c r="O2123" i="11"/>
  <c r="O1924" i="11"/>
  <c r="O1696" i="11"/>
  <c r="O1468" i="11"/>
  <c r="O3498" i="11"/>
  <c r="O2815" i="11"/>
  <c r="O1722" i="11"/>
  <c r="O914" i="11"/>
  <c r="O1920" i="11"/>
  <c r="O3075" i="11"/>
  <c r="O1067" i="11"/>
  <c r="O2249" i="11"/>
  <c r="O1658" i="11"/>
  <c r="O2137" i="11"/>
  <c r="O2959" i="11"/>
  <c r="O2874" i="11"/>
  <c r="O2789" i="11"/>
  <c r="O2682" i="11"/>
  <c r="O2570" i="11"/>
  <c r="O2453" i="11"/>
  <c r="O2341" i="11"/>
  <c r="O2229" i="11"/>
  <c r="O2111" i="11"/>
  <c r="O1929" i="11"/>
  <c r="O1701" i="11"/>
  <c r="O2817" i="11"/>
  <c r="O2731" i="11"/>
  <c r="O2646" i="11"/>
  <c r="O2561" i="11"/>
  <c r="O2475" i="11"/>
  <c r="O2390" i="11"/>
  <c r="O2305" i="11"/>
  <c r="O2219" i="11"/>
  <c r="O2134" i="11"/>
  <c r="O2049" i="11"/>
  <c r="O1937" i="11"/>
  <c r="O1824" i="11"/>
  <c r="O1710" i="11"/>
  <c r="O1596" i="11"/>
  <c r="O1482" i="11"/>
  <c r="O1369" i="11"/>
  <c r="O1254" i="11"/>
  <c r="O1126" i="11"/>
  <c r="O975" i="11"/>
  <c r="O763" i="11"/>
  <c r="O289" i="11"/>
  <c r="O3423" i="11"/>
  <c r="O3338" i="11"/>
  <c r="O3253" i="11"/>
  <c r="O3167" i="11"/>
  <c r="O3082" i="11"/>
  <c r="O2997" i="11"/>
  <c r="O2911" i="11"/>
  <c r="O2826" i="11"/>
  <c r="O2730" i="11"/>
  <c r="O2618" i="11"/>
  <c r="O2506" i="11"/>
  <c r="O2277" i="11"/>
  <c r="O2036" i="11"/>
  <c r="O1580" i="11"/>
  <c r="O3110" i="11"/>
  <c r="O2939" i="11"/>
  <c r="O2769" i="11"/>
  <c r="O2598" i="11"/>
  <c r="O2427" i="11"/>
  <c r="O2257" i="11"/>
  <c r="O2086" i="11"/>
  <c r="O1873" i="11"/>
  <c r="O1646" i="11"/>
  <c r="O1418" i="11"/>
  <c r="O1190" i="11"/>
  <c r="O863" i="11"/>
  <c r="O3461" i="11"/>
  <c r="O3290" i="11"/>
  <c r="O3119" i="11"/>
  <c r="O2949" i="11"/>
  <c r="O2778" i="11"/>
  <c r="O2554" i="11"/>
  <c r="O2325" i="11"/>
  <c r="O2101" i="11"/>
  <c r="O1673" i="11"/>
  <c r="O2742" i="11"/>
  <c r="O2571" i="11"/>
  <c r="O2401" i="11"/>
  <c r="O2230" i="11"/>
  <c r="O2059" i="11"/>
  <c r="O1838" i="11"/>
  <c r="O1610" i="11"/>
  <c r="O1326" i="11"/>
  <c r="O3242" i="11"/>
  <c r="O2490" i="11"/>
  <c r="O1737" i="11"/>
  <c r="O3198" i="11"/>
  <c r="O1189" i="11"/>
  <c r="O2526" i="11"/>
  <c r="O3294" i="11"/>
  <c r="O2586" i="11"/>
  <c r="O2142" i="11"/>
  <c r="O3408" i="11"/>
  <c r="O2938" i="11"/>
  <c r="O2853" i="11"/>
  <c r="O2767" i="11"/>
  <c r="O2655" i="11"/>
  <c r="O2538" i="11"/>
  <c r="O2426" i="11"/>
  <c r="O2314" i="11"/>
  <c r="O2197" i="11"/>
  <c r="O2085" i="11"/>
  <c r="O1872" i="11"/>
  <c r="O1644" i="11"/>
  <c r="O2795" i="11"/>
  <c r="O2710" i="11"/>
  <c r="O2625" i="11"/>
  <c r="O2539" i="11"/>
  <c r="O2454" i="11"/>
  <c r="O2369" i="11"/>
  <c r="O2283" i="11"/>
  <c r="O2198" i="11"/>
  <c r="O2113" i="11"/>
  <c r="O2022" i="11"/>
  <c r="O1909" i="11"/>
  <c r="O1796" i="11"/>
  <c r="O1681" i="11"/>
  <c r="O1568" i="11"/>
  <c r="O1454" i="11"/>
  <c r="O1340" i="11"/>
  <c r="O1226" i="11"/>
  <c r="O1088" i="11"/>
  <c r="O934" i="11"/>
  <c r="O687" i="11"/>
  <c r="O3487" i="11"/>
  <c r="O3402" i="11"/>
  <c r="O3317" i="11"/>
  <c r="O3231" i="11"/>
  <c r="O3146" i="11"/>
  <c r="O3061" i="11"/>
  <c r="O2975" i="11"/>
  <c r="O2890" i="11"/>
  <c r="O2805" i="11"/>
  <c r="O2703" i="11"/>
  <c r="O2591" i="11"/>
  <c r="O2474" i="11"/>
  <c r="O2250" i="11"/>
  <c r="O1978" i="11"/>
  <c r="O3259" i="11"/>
  <c r="O3089" i="11"/>
  <c r="O2918" i="11"/>
  <c r="O2747" i="11"/>
  <c r="O2577" i="11"/>
  <c r="O2406" i="11"/>
  <c r="O2235" i="11"/>
  <c r="O2065" i="11"/>
  <c r="O1845" i="11"/>
  <c r="O1617" i="11"/>
  <c r="O1390" i="11"/>
  <c r="O1154" i="11"/>
  <c r="O806" i="11"/>
  <c r="O3439" i="11"/>
  <c r="O3269" i="11"/>
  <c r="O3098" i="11"/>
  <c r="O2927" i="11"/>
  <c r="O2751" i="11"/>
  <c r="O2527" i="11"/>
  <c r="O2298" i="11"/>
  <c r="O2063" i="11"/>
  <c r="O1616" i="11"/>
  <c r="O2721" i="11"/>
  <c r="O2550" i="11"/>
  <c r="O2379" i="11"/>
  <c r="O2209" i="11"/>
  <c r="O2037" i="11"/>
  <c r="O1809" i="11"/>
  <c r="O1582" i="11"/>
  <c r="O1241" i="11"/>
  <c r="O3157" i="11"/>
  <c r="O2378" i="11"/>
  <c r="O1594" i="11"/>
  <c r="O3027" i="11"/>
  <c r="O999" i="11"/>
  <c r="O2099" i="11"/>
  <c r="O3123" i="11"/>
  <c r="O2479" i="11"/>
  <c r="O1063" i="11"/>
  <c r="O1365" i="11"/>
  <c r="O2447" i="11"/>
  <c r="O2335" i="11"/>
  <c r="O2218" i="11"/>
  <c r="O2106" i="11"/>
  <c r="O1921" i="11"/>
  <c r="O1694" i="11"/>
  <c r="O3238" i="11"/>
  <c r="O3153" i="11"/>
  <c r="O3067" i="11"/>
  <c r="O2982" i="11"/>
  <c r="O2897" i="11"/>
  <c r="O2811" i="11"/>
  <c r="O2726" i="11"/>
  <c r="O2641" i="11"/>
  <c r="O2555" i="11"/>
  <c r="O2470" i="11"/>
  <c r="O2385" i="11"/>
  <c r="O2299" i="11"/>
  <c r="O2214" i="11"/>
  <c r="O2129" i="11"/>
  <c r="O2043" i="11"/>
  <c r="O1930" i="11"/>
  <c r="O1817" i="11"/>
  <c r="O1702" i="11"/>
  <c r="O1589" i="11"/>
  <c r="O1476" i="11"/>
  <c r="O1361" i="11"/>
  <c r="O1248" i="11"/>
  <c r="O1116" i="11"/>
  <c r="O964" i="11"/>
  <c r="O743" i="11"/>
  <c r="O157" i="11"/>
  <c r="O3418" i="11"/>
  <c r="O3333" i="11"/>
  <c r="O3247" i="11"/>
  <c r="O3162" i="11"/>
  <c r="O3077" i="11"/>
  <c r="O2991" i="11"/>
  <c r="O2906" i="11"/>
  <c r="O2821" i="11"/>
  <c r="O2725" i="11"/>
  <c r="O2613" i="11"/>
  <c r="O2495" i="11"/>
  <c r="O2383" i="11"/>
  <c r="O2271" i="11"/>
  <c r="O2154" i="11"/>
  <c r="O2014" i="11"/>
  <c r="O1786" i="11"/>
  <c r="O1558" i="11"/>
  <c r="O2785" i="11"/>
  <c r="O2699" i="11"/>
  <c r="O2614" i="11"/>
  <c r="O2529" i="11"/>
  <c r="O2443" i="11"/>
  <c r="O2358" i="11"/>
  <c r="O2273" i="11"/>
  <c r="O2187" i="11"/>
  <c r="O2102" i="11"/>
  <c r="O2009" i="11"/>
  <c r="O1894" i="11"/>
  <c r="O1781" i="11"/>
  <c r="O1668" i="11"/>
  <c r="O1553" i="11"/>
  <c r="O1440" i="11"/>
  <c r="O1106" i="11"/>
  <c r="O3413" i="11"/>
  <c r="O3071" i="11"/>
  <c r="O2719" i="11"/>
  <c r="O2261" i="11"/>
  <c r="O2047" i="11"/>
  <c r="O1452" i="11"/>
  <c r="O3481" i="11"/>
  <c r="O2883" i="11"/>
  <c r="O1502" i="11"/>
  <c r="O465" i="11"/>
  <c r="O2931" i="11"/>
  <c r="O1550" i="11"/>
  <c r="O719" i="11"/>
  <c r="O2985" i="11"/>
  <c r="O1749" i="11"/>
  <c r="O2351" i="11"/>
  <c r="O1056" i="11"/>
  <c r="O436" i="11"/>
  <c r="O1486" i="11"/>
  <c r="O3278" i="11"/>
  <c r="O2421" i="11"/>
  <c r="O2303" i="11"/>
  <c r="O2191" i="11"/>
  <c r="O2079" i="11"/>
  <c r="O1865" i="11"/>
  <c r="O1637" i="11"/>
  <c r="O3217" i="11"/>
  <c r="O3131" i="11"/>
  <c r="O3046" i="11"/>
  <c r="O2961" i="11"/>
  <c r="O2875" i="11"/>
  <c r="O2790" i="11"/>
  <c r="O2705" i="11"/>
  <c r="O2619" i="11"/>
  <c r="O2534" i="11"/>
  <c r="O2449" i="11"/>
  <c r="O2363" i="11"/>
  <c r="O2278" i="11"/>
  <c r="O2193" i="11"/>
  <c r="O2107" i="11"/>
  <c r="O2016" i="11"/>
  <c r="O1902" i="11"/>
  <c r="O1788" i="11"/>
  <c r="O1674" i="11"/>
  <c r="O1561" i="11"/>
  <c r="O1446" i="11"/>
  <c r="O1333" i="11"/>
  <c r="O1220" i="11"/>
  <c r="O1078" i="11"/>
  <c r="O919" i="11"/>
  <c r="O669" i="11"/>
  <c r="O3482" i="11"/>
  <c r="O3397" i="11"/>
  <c r="O3311" i="11"/>
  <c r="O3226" i="11"/>
  <c r="O3141" i="11"/>
  <c r="O3055" i="11"/>
  <c r="O2970" i="11"/>
  <c r="O2885" i="11"/>
  <c r="O2799" i="11"/>
  <c r="O2698" i="11"/>
  <c r="O2581" i="11"/>
  <c r="O2469" i="11"/>
  <c r="O2357" i="11"/>
  <c r="O2239" i="11"/>
  <c r="O2127" i="11"/>
  <c r="O1957" i="11"/>
  <c r="O1729" i="11"/>
  <c r="O2849" i="11"/>
  <c r="O2763" i="11"/>
  <c r="O2678" i="11"/>
  <c r="O2593" i="11"/>
  <c r="O2507" i="11"/>
  <c r="O2422" i="11"/>
  <c r="O2337" i="11"/>
  <c r="O2251" i="11"/>
  <c r="O2166" i="11"/>
  <c r="O2081" i="11"/>
  <c r="O1980" i="11"/>
  <c r="O1866" i="11"/>
  <c r="O1753" i="11"/>
  <c r="O1638" i="11"/>
  <c r="O1525" i="11"/>
  <c r="O1354" i="11"/>
  <c r="O955" i="11"/>
  <c r="O3327" i="11"/>
  <c r="O2986" i="11"/>
  <c r="O2602" i="11"/>
  <c r="O2149" i="11"/>
  <c r="O1908" i="11"/>
  <c r="O1281" i="11"/>
  <c r="O3337" i="11"/>
  <c r="O2739" i="11"/>
  <c r="O1332" i="11"/>
  <c r="O3390" i="11"/>
  <c r="O2793" i="11"/>
  <c r="O1381" i="11"/>
  <c r="O3438" i="11"/>
  <c r="O2841" i="11"/>
  <c r="O2693" i="11"/>
  <c r="O2245" i="11"/>
  <c r="O3177" i="11"/>
  <c r="O2996" i="11"/>
  <c r="O770" i="11"/>
  <c r="O3440" i="11"/>
  <c r="O1212" i="11"/>
  <c r="O1068" i="11"/>
  <c r="O906" i="11"/>
  <c r="O650" i="11"/>
  <c r="O3477" i="11"/>
  <c r="O3391" i="11"/>
  <c r="O3306" i="11"/>
  <c r="O3221" i="11"/>
  <c r="O3135" i="11"/>
  <c r="O3050" i="11"/>
  <c r="O2965" i="11"/>
  <c r="O2879" i="11"/>
  <c r="O2794" i="11"/>
  <c r="O2687" i="11"/>
  <c r="O2575" i="11"/>
  <c r="O2463" i="11"/>
  <c r="O2346" i="11"/>
  <c r="O2234" i="11"/>
  <c r="O2122" i="11"/>
  <c r="O1950" i="11"/>
  <c r="O1665" i="11"/>
  <c r="O2021" i="11"/>
  <c r="O1850" i="11"/>
  <c r="O1708" i="11"/>
  <c r="O1566" i="11"/>
  <c r="O1396" i="11"/>
  <c r="O1253" i="11"/>
  <c r="O1084" i="11"/>
  <c r="O757" i="11"/>
  <c r="O3454" i="11"/>
  <c r="O3310" i="11"/>
  <c r="O3139" i="11"/>
  <c r="O2995" i="11"/>
  <c r="O2857" i="11"/>
  <c r="O2686" i="11"/>
  <c r="O2291" i="11"/>
  <c r="O1806" i="11"/>
  <c r="O1445" i="11"/>
  <c r="O1302" i="11"/>
  <c r="O1152" i="11"/>
  <c r="O900" i="11"/>
  <c r="O93" i="11"/>
  <c r="O3358" i="11"/>
  <c r="O3187" i="11"/>
  <c r="O3049" i="11"/>
  <c r="O2905" i="11"/>
  <c r="O2734" i="11"/>
  <c r="O2441" i="11"/>
  <c r="O2005" i="11"/>
  <c r="O1494" i="11"/>
  <c r="O1353" i="11"/>
  <c r="O1210" i="11"/>
  <c r="O991" i="11"/>
  <c r="O605" i="11"/>
  <c r="O3411" i="11"/>
  <c r="O3241" i="11"/>
  <c r="O3097" i="11"/>
  <c r="O2953" i="11"/>
  <c r="O2782" i="11"/>
  <c r="O2590" i="11"/>
  <c r="O2163" i="11"/>
  <c r="O1521" i="11"/>
  <c r="O2671" i="11"/>
  <c r="O2565" i="11"/>
  <c r="O2437" i="11"/>
  <c r="O2330" i="11"/>
  <c r="O2223" i="11"/>
  <c r="O2000" i="11"/>
  <c r="O1545" i="11"/>
  <c r="O858" i="11"/>
  <c r="O2947" i="11"/>
  <c r="O1721" i="11"/>
  <c r="O898" i="11"/>
  <c r="O3368" i="11"/>
  <c r="O2864" i="11"/>
  <c r="O2478" i="11"/>
  <c r="O1941" i="11"/>
  <c r="O1372" i="11"/>
  <c r="O65" i="11"/>
  <c r="O2784" i="11"/>
  <c r="O754" i="11"/>
  <c r="O2830" i="11"/>
  <c r="O1517" i="11"/>
  <c r="O1412" i="11"/>
  <c r="O1297" i="11"/>
  <c r="O1183" i="11"/>
  <c r="O1031" i="11"/>
  <c r="O848" i="11"/>
  <c r="O553" i="11"/>
  <c r="O3455" i="11"/>
  <c r="O3370" i="11"/>
  <c r="O3285" i="11"/>
  <c r="O3199" i="11"/>
  <c r="O3114" i="11"/>
  <c r="O3029" i="11"/>
  <c r="O2943" i="11"/>
  <c r="O2858" i="11"/>
  <c r="O2773" i="11"/>
  <c r="O2661" i="11"/>
  <c r="O2549" i="11"/>
  <c r="O2431" i="11"/>
  <c r="O2319" i="11"/>
  <c r="O2207" i="11"/>
  <c r="O2090" i="11"/>
  <c r="O1893" i="11"/>
  <c r="O1609" i="11"/>
  <c r="O1964" i="11"/>
  <c r="O1822" i="11"/>
  <c r="O1680" i="11"/>
  <c r="O1509" i="11"/>
  <c r="O1366" i="11"/>
  <c r="O1225" i="11"/>
  <c r="O1010" i="11"/>
  <c r="O662" i="11"/>
  <c r="O3422" i="11"/>
  <c r="O3251" i="11"/>
  <c r="O3113" i="11"/>
  <c r="O2969" i="11"/>
  <c r="O2798" i="11"/>
  <c r="O2633" i="11"/>
  <c r="O2206" i="11"/>
  <c r="O1578" i="11"/>
  <c r="O1417" i="11"/>
  <c r="O1274" i="11"/>
  <c r="O1076" i="11"/>
  <c r="O815" i="11"/>
  <c r="O3475" i="11"/>
  <c r="O3305" i="11"/>
  <c r="O3161" i="11"/>
  <c r="O3017" i="11"/>
  <c r="O2846" i="11"/>
  <c r="O2707" i="11"/>
  <c r="O2355" i="11"/>
  <c r="O1777" i="11"/>
  <c r="O1466" i="11"/>
  <c r="O1324" i="11"/>
  <c r="O1142" i="11"/>
  <c r="O954" i="11"/>
  <c r="O425" i="11"/>
  <c r="O3353" i="11"/>
  <c r="O3209" i="11"/>
  <c r="O3070" i="11"/>
  <c r="O2899" i="11"/>
  <c r="O2755" i="11"/>
  <c r="O2505" i="11"/>
  <c r="O1977" i="11"/>
  <c r="O2757" i="11"/>
  <c r="O2650" i="11"/>
  <c r="O2522" i="11"/>
  <c r="O2415" i="11"/>
  <c r="O2309" i="11"/>
  <c r="O2181" i="11"/>
  <c r="O1972" i="11"/>
  <c r="O1430" i="11"/>
  <c r="O3401" i="11"/>
  <c r="O2835" i="11"/>
  <c r="O1436" i="11"/>
  <c r="O882" i="11"/>
  <c r="O3284" i="11"/>
  <c r="O2608" i="11"/>
  <c r="O2307" i="11"/>
  <c r="O1828" i="11"/>
  <c r="O1258" i="11"/>
  <c r="O599" i="11"/>
  <c r="O2558" i="11"/>
  <c r="O3488" i="11"/>
  <c r="O1870" i="11"/>
  <c r="O1751" i="11"/>
  <c r="O1382" i="11"/>
  <c r="O1269" i="11"/>
  <c r="O1146" i="11"/>
  <c r="O992" i="11"/>
  <c r="O791" i="11"/>
  <c r="O404" i="11"/>
  <c r="O3434" i="11"/>
  <c r="O3349" i="11"/>
  <c r="O3263" i="11"/>
  <c r="O3178" i="11"/>
  <c r="O3093" i="11"/>
  <c r="O3007" i="11"/>
  <c r="O2922" i="11"/>
  <c r="O2837" i="11"/>
  <c r="O2746" i="11"/>
  <c r="O2634" i="11"/>
  <c r="O2517" i="11"/>
  <c r="O2405" i="11"/>
  <c r="O2293" i="11"/>
  <c r="O2175" i="11"/>
  <c r="O2058" i="11"/>
  <c r="O1836" i="11"/>
  <c r="O2069" i="11"/>
  <c r="O1936" i="11"/>
  <c r="O1793" i="11"/>
  <c r="O1622" i="11"/>
  <c r="O1481" i="11"/>
  <c r="O1338" i="11"/>
  <c r="O1162" i="11"/>
  <c r="O971" i="11"/>
  <c r="O540" i="11"/>
  <c r="O3369" i="11"/>
  <c r="O3225" i="11"/>
  <c r="O3081" i="11"/>
  <c r="O2910" i="11"/>
  <c r="O2771" i="11"/>
  <c r="O2547" i="11"/>
  <c r="O2033" i="11"/>
  <c r="O1530" i="11"/>
  <c r="O1388" i="11"/>
  <c r="O1217" i="11"/>
  <c r="O1039" i="11"/>
  <c r="O737" i="11"/>
  <c r="O3417" i="11"/>
  <c r="O3273" i="11"/>
  <c r="O3134" i="11"/>
  <c r="O2963" i="11"/>
  <c r="O2819" i="11"/>
  <c r="O2675" i="11"/>
  <c r="O2185" i="11"/>
  <c r="O1664" i="11"/>
  <c r="O1438" i="11"/>
  <c r="O1268" i="11"/>
  <c r="O1104" i="11"/>
  <c r="O871" i="11"/>
  <c r="O3465" i="11"/>
  <c r="O3326" i="11"/>
  <c r="O3182" i="11"/>
  <c r="O3011" i="11"/>
  <c r="O2867" i="11"/>
  <c r="O2729" i="11"/>
  <c r="O2334" i="11"/>
  <c r="O1862" i="11"/>
  <c r="O2735" i="11"/>
  <c r="O2607" i="11"/>
  <c r="O2501" i="11"/>
  <c r="O2394" i="11"/>
  <c r="O2266" i="11"/>
  <c r="O2159" i="11"/>
  <c r="O1886" i="11"/>
  <c r="O1204" i="11"/>
  <c r="O3289" i="11"/>
  <c r="O2718" i="11"/>
  <c r="O1209" i="11"/>
  <c r="O714" i="11"/>
  <c r="O3200" i="11"/>
  <c r="O2649" i="11"/>
  <c r="O2222" i="11"/>
  <c r="O1713" i="11"/>
  <c r="O978" i="11"/>
  <c r="O3492" i="11"/>
  <c r="O2217" i="11"/>
  <c r="O2320" i="11"/>
  <c r="O1273" i="11"/>
  <c r="O2332" i="11"/>
  <c r="O1780" i="11"/>
  <c r="O1552" i="11"/>
  <c r="O1993" i="11"/>
  <c r="O1878" i="11"/>
  <c r="O1765" i="11"/>
  <c r="O1652" i="11"/>
  <c r="O1537" i="11"/>
  <c r="O1424" i="11"/>
  <c r="O1310" i="11"/>
  <c r="O1196" i="11"/>
  <c r="O1047" i="11"/>
  <c r="O843" i="11"/>
  <c r="O241" i="11"/>
  <c r="O3395" i="11"/>
  <c r="O3283" i="11"/>
  <c r="O3166" i="11"/>
  <c r="O3054" i="11"/>
  <c r="O2942" i="11"/>
  <c r="O2825" i="11"/>
  <c r="O2713" i="11"/>
  <c r="O2462" i="11"/>
  <c r="O2121" i="11"/>
  <c r="O1692" i="11"/>
  <c r="O1473" i="11"/>
  <c r="O1360" i="11"/>
  <c r="O1246" i="11"/>
  <c r="O1114" i="11"/>
  <c r="O962" i="11"/>
  <c r="O642" i="11"/>
  <c r="O3443" i="11"/>
  <c r="O3331" i="11"/>
  <c r="O3219" i="11"/>
  <c r="O3102" i="11"/>
  <c r="O2990" i="11"/>
  <c r="O2878" i="11"/>
  <c r="O2761" i="11"/>
  <c r="O2611" i="11"/>
  <c r="O2270" i="11"/>
  <c r="O1892" i="11"/>
  <c r="O1524" i="11"/>
  <c r="O1409" i="11"/>
  <c r="O1296" i="11"/>
  <c r="O1180" i="11"/>
  <c r="O1028" i="11"/>
  <c r="O800" i="11"/>
  <c r="O3497" i="11"/>
  <c r="O3379" i="11"/>
  <c r="O3267" i="11"/>
  <c r="O3155" i="11"/>
  <c r="O3038" i="11"/>
  <c r="O2926" i="11"/>
  <c r="O2814" i="11"/>
  <c r="O2697" i="11"/>
  <c r="O2419" i="11"/>
  <c r="O2078" i="11"/>
  <c r="O1636" i="11"/>
  <c r="O2714" i="11"/>
  <c r="O2629" i="11"/>
  <c r="O2543" i="11"/>
  <c r="O2458" i="11"/>
  <c r="O2373" i="11"/>
  <c r="O2287" i="11"/>
  <c r="O2202" i="11"/>
  <c r="O2074" i="11"/>
  <c r="O1772" i="11"/>
  <c r="O1317" i="11"/>
  <c r="O389" i="11"/>
  <c r="O3059" i="11"/>
  <c r="O2483" i="11"/>
  <c r="O1322" i="11"/>
  <c r="O641" i="11"/>
  <c r="O3456" i="11"/>
  <c r="O3112" i="11"/>
  <c r="O2352" i="11"/>
  <c r="O2393" i="11"/>
  <c r="O2051" i="11"/>
  <c r="O1600" i="11"/>
  <c r="O1131" i="11"/>
  <c r="O796" i="11"/>
  <c r="O3256" i="11"/>
  <c r="O1820" i="11"/>
  <c r="O3144" i="11"/>
  <c r="O2382" i="11"/>
  <c r="O2304" i="11"/>
  <c r="O1506" i="11"/>
  <c r="O1857" i="11"/>
  <c r="O1744" i="11"/>
  <c r="O1630" i="11"/>
  <c r="O1516" i="11"/>
  <c r="O1402" i="11"/>
  <c r="O1289" i="11"/>
  <c r="O1170" i="11"/>
  <c r="O1019" i="11"/>
  <c r="O786" i="11"/>
  <c r="O3486" i="11"/>
  <c r="O3374" i="11"/>
  <c r="O3262" i="11"/>
  <c r="O3145" i="11"/>
  <c r="O3033" i="11"/>
  <c r="O2921" i="11"/>
  <c r="O2803" i="11"/>
  <c r="O2691" i="11"/>
  <c r="O2398" i="11"/>
  <c r="O2057" i="11"/>
  <c r="O1606" i="11"/>
  <c r="O1408" i="11"/>
  <c r="O1294" i="11"/>
  <c r="O1178" i="11"/>
  <c r="O1026" i="11"/>
  <c r="O842" i="11"/>
  <c r="O537" i="11"/>
  <c r="O839" i="11"/>
  <c r="O666" i="11"/>
  <c r="O339" i="11"/>
  <c r="O3432" i="11"/>
  <c r="O3348" i="11"/>
  <c r="O3264" i="11"/>
  <c r="O3176" i="11"/>
  <c r="O3092" i="11"/>
  <c r="O2964" i="11"/>
  <c r="O2800" i="11"/>
  <c r="O2544" i="11"/>
  <c r="O2288" i="11"/>
  <c r="O2627" i="11"/>
  <c r="O2542" i="11"/>
  <c r="O2457" i="11"/>
  <c r="O2371" i="11"/>
  <c r="O2286" i="11"/>
  <c r="O2201" i="11"/>
  <c r="O2115" i="11"/>
  <c r="O2026" i="11"/>
  <c r="O1913" i="11"/>
  <c r="O1798" i="11"/>
  <c r="O1685" i="11"/>
  <c r="O1572" i="11"/>
  <c r="O1457" i="11"/>
  <c r="O1344" i="11"/>
  <c r="O1230" i="11"/>
  <c r="O1092" i="11"/>
  <c r="O940" i="11"/>
  <c r="O698" i="11"/>
  <c r="O911" i="11"/>
  <c r="O751" i="11"/>
  <c r="O509" i="11"/>
  <c r="O3472" i="11"/>
  <c r="O3384" i="11"/>
  <c r="O3172" i="11"/>
  <c r="O2528" i="11"/>
  <c r="O2473" i="11"/>
  <c r="O2131" i="11"/>
  <c r="O1706" i="11"/>
  <c r="O1252" i="11"/>
  <c r="O939" i="11"/>
  <c r="O3400" i="11"/>
  <c r="O3044" i="11"/>
  <c r="O828" i="11"/>
  <c r="O3171" i="11"/>
  <c r="O2723" i="11"/>
  <c r="O2254" i="11"/>
  <c r="O1728" i="11"/>
  <c r="O1035" i="11"/>
  <c r="O3268" i="11"/>
  <c r="O2029" i="11"/>
  <c r="O1336" i="11"/>
  <c r="O903" i="11"/>
  <c r="O1746" i="11"/>
  <c r="O2436" i="11"/>
  <c r="O2138" i="11"/>
  <c r="O2053" i="11"/>
  <c r="O1942" i="11"/>
  <c r="O1829" i="11"/>
  <c r="O1716" i="11"/>
  <c r="O1601" i="11"/>
  <c r="O1488" i="11"/>
  <c r="O1374" i="11"/>
  <c r="O1260" i="11"/>
  <c r="O1132" i="11"/>
  <c r="O982" i="11"/>
  <c r="O679" i="11"/>
  <c r="O3459" i="11"/>
  <c r="O3347" i="11"/>
  <c r="O3230" i="11"/>
  <c r="O3118" i="11"/>
  <c r="O3006" i="11"/>
  <c r="O2889" i="11"/>
  <c r="O2777" i="11"/>
  <c r="O2654" i="11"/>
  <c r="O2313" i="11"/>
  <c r="O1948" i="11"/>
  <c r="O1493" i="11"/>
  <c r="O1380" i="11"/>
  <c r="O1265" i="11"/>
  <c r="O1140" i="11"/>
  <c r="O988" i="11"/>
  <c r="O784" i="11"/>
  <c r="O221" i="11"/>
  <c r="O804" i="11"/>
  <c r="O619" i="11"/>
  <c r="O3496" i="11"/>
  <c r="O3412" i="11"/>
  <c r="O3328" i="11"/>
  <c r="O3240" i="11"/>
  <c r="O3156" i="11"/>
  <c r="O3060" i="11"/>
  <c r="O2932" i="11"/>
  <c r="O2736" i="11"/>
  <c r="O2480" i="11"/>
  <c r="O2224" i="11"/>
  <c r="O2606" i="11"/>
  <c r="O2521" i="11"/>
  <c r="O2435" i="11"/>
  <c r="O2350" i="11"/>
  <c r="O2265" i="11"/>
  <c r="O2179" i="11"/>
  <c r="O2094" i="11"/>
  <c r="O1998" i="11"/>
  <c r="O1884" i="11"/>
  <c r="O1770" i="11"/>
  <c r="O1657" i="11"/>
  <c r="O1542" i="11"/>
  <c r="O1429" i="11"/>
  <c r="O1316" i="11"/>
  <c r="O1201" i="11"/>
  <c r="O1055" i="11"/>
  <c r="O884" i="11"/>
  <c r="O621" i="11"/>
  <c r="O868" i="11"/>
  <c r="O705" i="11"/>
  <c r="O420" i="11"/>
  <c r="O3448" i="11"/>
  <c r="O3364" i="11"/>
  <c r="O3088" i="11"/>
  <c r="O2272" i="11"/>
  <c r="O2387" i="11"/>
  <c r="O2046" i="11"/>
  <c r="O1593" i="11"/>
  <c r="O1120" i="11"/>
  <c r="O783" i="11"/>
  <c r="O3316" i="11"/>
  <c r="O2916" i="11"/>
  <c r="O349" i="11"/>
  <c r="O3065" i="11"/>
  <c r="O2595" i="11"/>
  <c r="O2147" i="11"/>
  <c r="O1585" i="11"/>
  <c r="O573" i="11"/>
  <c r="O3096" i="11"/>
  <c r="O1858" i="11"/>
  <c r="O1072" i="11"/>
  <c r="O3356" i="11"/>
  <c r="O780" i="11"/>
  <c r="O1130" i="11"/>
  <c r="O2117" i="11"/>
  <c r="O2028" i="11"/>
  <c r="O1914" i="11"/>
  <c r="O1801" i="11"/>
  <c r="O1686" i="11"/>
  <c r="O1573" i="11"/>
  <c r="O1460" i="11"/>
  <c r="O1345" i="11"/>
  <c r="O1232" i="11"/>
  <c r="O1095" i="11"/>
  <c r="O928" i="11"/>
  <c r="O580" i="11"/>
  <c r="O3433" i="11"/>
  <c r="O3315" i="11"/>
  <c r="O3203" i="11"/>
  <c r="O3091" i="11"/>
  <c r="O2974" i="11"/>
  <c r="O2862" i="11"/>
  <c r="O2750" i="11"/>
  <c r="O2569" i="11"/>
  <c r="O2227" i="11"/>
  <c r="O1834" i="11"/>
  <c r="O1465" i="11"/>
  <c r="O1350" i="11"/>
  <c r="O1237" i="11"/>
  <c r="O1103" i="11"/>
  <c r="O950" i="11"/>
  <c r="O715" i="11"/>
  <c r="O918" i="11"/>
  <c r="O768" i="11"/>
  <c r="O532" i="11"/>
  <c r="O3476" i="11"/>
  <c r="O3392" i="11"/>
  <c r="O3304" i="11"/>
  <c r="O3220" i="11"/>
  <c r="O3136" i="11"/>
  <c r="O3028" i="11"/>
  <c r="O2900" i="11"/>
  <c r="O2672" i="11"/>
  <c r="O2416" i="11"/>
  <c r="O2160" i="11"/>
  <c r="O2585" i="11"/>
  <c r="O2499" i="11"/>
  <c r="O2414" i="11"/>
  <c r="O2329" i="11"/>
  <c r="O2243" i="11"/>
  <c r="O2158" i="11"/>
  <c r="O2073" i="11"/>
  <c r="O1969" i="11"/>
  <c r="O1856" i="11"/>
  <c r="O1742" i="11"/>
  <c r="O1628" i="11"/>
  <c r="O1514" i="11"/>
  <c r="O1401" i="11"/>
  <c r="O1286" i="11"/>
  <c r="O1168" i="11"/>
  <c r="O1018" i="11"/>
  <c r="O827" i="11"/>
  <c r="O461" i="11"/>
  <c r="O832" i="11"/>
  <c r="O657" i="11"/>
  <c r="O209" i="11"/>
  <c r="O3428" i="11"/>
  <c r="O3344" i="11"/>
  <c r="O2960" i="11"/>
  <c r="O2643" i="11"/>
  <c r="O2302" i="11"/>
  <c r="O1934" i="11"/>
  <c r="O1478" i="11"/>
  <c r="O970" i="11"/>
  <c r="O589" i="11"/>
  <c r="O3232" i="11"/>
  <c r="O2640" i="11"/>
  <c r="O3406" i="11"/>
  <c r="O2937" i="11"/>
  <c r="O2489" i="11"/>
  <c r="O2041" i="11"/>
  <c r="O1414" i="11"/>
  <c r="O677" i="11"/>
  <c r="O2816" i="11"/>
  <c r="O1688" i="11"/>
  <c r="O548" i="11"/>
  <c r="O2844" i="11"/>
  <c r="O2664" i="11"/>
  <c r="O1855" i="11"/>
  <c r="O3320" i="11"/>
  <c r="O3236" i="11"/>
  <c r="O3152" i="11"/>
  <c r="O3056" i="11"/>
  <c r="O2928" i="11"/>
  <c r="O2720" i="11"/>
  <c r="O2464" i="11"/>
  <c r="O2208" i="11"/>
  <c r="O2622" i="11"/>
  <c r="O2537" i="11"/>
  <c r="O2451" i="11"/>
  <c r="O2366" i="11"/>
  <c r="O2281" i="11"/>
  <c r="O2195" i="11"/>
  <c r="O2110" i="11"/>
  <c r="O2020" i="11"/>
  <c r="O1905" i="11"/>
  <c r="O1792" i="11"/>
  <c r="O1678" i="11"/>
  <c r="O1564" i="11"/>
  <c r="O1450" i="11"/>
  <c r="O1337" i="11"/>
  <c r="O1222" i="11"/>
  <c r="O1083" i="11"/>
  <c r="O927" i="11"/>
  <c r="O678" i="11"/>
  <c r="O896" i="11"/>
  <c r="O742" i="11"/>
  <c r="O493" i="11"/>
  <c r="O3464" i="11"/>
  <c r="O3380" i="11"/>
  <c r="O3296" i="11"/>
  <c r="O3208" i="11"/>
  <c r="O3124" i="11"/>
  <c r="O3012" i="11"/>
  <c r="O2884" i="11"/>
  <c r="O2576" i="11"/>
  <c r="O2192" i="11"/>
  <c r="O772" i="11"/>
  <c r="O3491" i="11"/>
  <c r="O3363" i="11"/>
  <c r="O3257" i="11"/>
  <c r="O3150" i="11"/>
  <c r="O3022" i="11"/>
  <c r="O2915" i="11"/>
  <c r="O2809" i="11"/>
  <c r="O2681" i="11"/>
  <c r="O2574" i="11"/>
  <c r="O2467" i="11"/>
  <c r="O2339" i="11"/>
  <c r="O2233" i="11"/>
  <c r="O2126" i="11"/>
  <c r="O1984" i="11"/>
  <c r="O1841" i="11"/>
  <c r="O1700" i="11"/>
  <c r="O1529" i="11"/>
  <c r="O1386" i="11"/>
  <c r="O1244" i="11"/>
  <c r="O998" i="11"/>
  <c r="O381" i="11"/>
  <c r="O629" i="11"/>
  <c r="O3416" i="11"/>
  <c r="O3248" i="11"/>
  <c r="O3072" i="11"/>
  <c r="O2752" i="11"/>
  <c r="O2240" i="11"/>
  <c r="O2008" i="11"/>
  <c r="O1837" i="11"/>
  <c r="O1666" i="11"/>
  <c r="O1496" i="11"/>
  <c r="O1309" i="11"/>
  <c r="O1015" i="11"/>
  <c r="O393" i="11"/>
  <c r="O1679" i="11"/>
  <c r="O875" i="11"/>
  <c r="O3292" i="11"/>
  <c r="O2780" i="11"/>
  <c r="O2268" i="11"/>
  <c r="O1661" i="11"/>
  <c r="O377" i="11"/>
  <c r="O2536" i="11"/>
  <c r="O1320" i="11"/>
  <c r="O2308" i="11"/>
  <c r="O673" i="11"/>
  <c r="O926" i="11"/>
  <c r="O3300" i="11"/>
  <c r="O3216" i="11"/>
  <c r="O3128" i="11"/>
  <c r="O3024" i="11"/>
  <c r="O2896" i="11"/>
  <c r="O2656" i="11"/>
  <c r="O2400" i="11"/>
  <c r="O2144" i="11"/>
  <c r="O2601" i="11"/>
  <c r="O2515" i="11"/>
  <c r="O2430" i="11"/>
  <c r="O2345" i="11"/>
  <c r="O2259" i="11"/>
  <c r="O2174" i="11"/>
  <c r="O2089" i="11"/>
  <c r="O1990" i="11"/>
  <c r="O1877" i="11"/>
  <c r="O1764" i="11"/>
  <c r="O1649" i="11"/>
  <c r="O1536" i="11"/>
  <c r="O1422" i="11"/>
  <c r="O1308" i="11"/>
  <c r="O1194" i="11"/>
  <c r="O1046" i="11"/>
  <c r="O870" i="11"/>
  <c r="O602" i="11"/>
  <c r="O860" i="11"/>
  <c r="O694" i="11"/>
  <c r="O380" i="11"/>
  <c r="O3444" i="11"/>
  <c r="O3360" i="11"/>
  <c r="O3272" i="11"/>
  <c r="O3188" i="11"/>
  <c r="O3104" i="11"/>
  <c r="O2980" i="11"/>
  <c r="O2832" i="11"/>
  <c r="O2448" i="11"/>
  <c r="O2128" i="11"/>
  <c r="O699" i="11"/>
  <c r="O3449" i="11"/>
  <c r="O3342" i="11"/>
  <c r="O3235" i="11"/>
  <c r="O3107" i="11"/>
  <c r="O3001" i="11"/>
  <c r="O2894" i="11"/>
  <c r="O2766" i="11"/>
  <c r="O2659" i="11"/>
  <c r="O2553" i="11"/>
  <c r="O2425" i="11"/>
  <c r="O2318" i="11"/>
  <c r="O2211" i="11"/>
  <c r="O2083" i="11"/>
  <c r="O1956" i="11"/>
  <c r="O1813" i="11"/>
  <c r="O1642" i="11"/>
  <c r="O1500" i="11"/>
  <c r="O1358" i="11"/>
  <c r="O1188" i="11"/>
  <c r="O855" i="11"/>
  <c r="O854" i="11"/>
  <c r="O361" i="11"/>
  <c r="O3352" i="11"/>
  <c r="O3184" i="11"/>
  <c r="O2976" i="11"/>
  <c r="O2560" i="11"/>
  <c r="O2096" i="11"/>
  <c r="O1944" i="11"/>
  <c r="O1773" i="11"/>
  <c r="O1602" i="11"/>
  <c r="O1432" i="11"/>
  <c r="O1224" i="11"/>
  <c r="O844" i="11"/>
  <c r="O1975" i="11"/>
  <c r="O1295" i="11"/>
  <c r="O685" i="11"/>
  <c r="O3100" i="11"/>
  <c r="O2588" i="11"/>
  <c r="O2076" i="11"/>
  <c r="O1405" i="11"/>
  <c r="O3080" i="11"/>
  <c r="O2152" i="11"/>
  <c r="O1719" i="11"/>
  <c r="O1885" i="11"/>
  <c r="O1795" i="11"/>
  <c r="O1611" i="11"/>
  <c r="O3280" i="11"/>
  <c r="O3192" i="11"/>
  <c r="O3108" i="11"/>
  <c r="O2992" i="11"/>
  <c r="O2848" i="11"/>
  <c r="O2592" i="11"/>
  <c r="O2336" i="11"/>
  <c r="O2665" i="11"/>
  <c r="O2579" i="11"/>
  <c r="O2494" i="11"/>
  <c r="O2409" i="11"/>
  <c r="O2323" i="11"/>
  <c r="O2238" i="11"/>
  <c r="O2153" i="11"/>
  <c r="O2067" i="11"/>
  <c r="O1962" i="11"/>
  <c r="O1849" i="11"/>
  <c r="O1734" i="11"/>
  <c r="O1621" i="11"/>
  <c r="O1508" i="11"/>
  <c r="O1393" i="11"/>
  <c r="O1280" i="11"/>
  <c r="O1159" i="11"/>
  <c r="O1007" i="11"/>
  <c r="O812" i="11"/>
  <c r="O421" i="11"/>
  <c r="O826" i="11"/>
  <c r="O637" i="11"/>
  <c r="O125" i="11"/>
  <c r="O3424" i="11"/>
  <c r="O3336" i="11"/>
  <c r="O3252" i="11"/>
  <c r="O3168" i="11"/>
  <c r="O3076" i="11"/>
  <c r="O2948" i="11"/>
  <c r="O2704" i="11"/>
  <c r="O2384" i="11"/>
  <c r="O943" i="11"/>
  <c r="O505" i="11"/>
  <c r="O3427" i="11"/>
  <c r="O3321" i="11"/>
  <c r="O3193" i="11"/>
  <c r="O3086" i="11"/>
  <c r="O2979" i="11"/>
  <c r="O2851" i="11"/>
  <c r="O2745" i="11"/>
  <c r="O2638" i="11"/>
  <c r="O2510" i="11"/>
  <c r="O2403" i="11"/>
  <c r="O2297" i="11"/>
  <c r="O2169" i="11"/>
  <c r="O2062" i="11"/>
  <c r="O1926" i="11"/>
  <c r="O1756" i="11"/>
  <c r="O1614" i="11"/>
  <c r="O1472" i="11"/>
  <c r="O1301" i="11"/>
  <c r="O1148" i="11"/>
  <c r="O799" i="11"/>
  <c r="O811" i="11"/>
  <c r="O49" i="11"/>
  <c r="O3332" i="11"/>
  <c r="O3160" i="11"/>
  <c r="O2944" i="11"/>
  <c r="O2496" i="11"/>
  <c r="O2080" i="11"/>
  <c r="O1922" i="11"/>
  <c r="O1752" i="11"/>
  <c r="O1581" i="11"/>
  <c r="O1410" i="11"/>
  <c r="O1192" i="11"/>
  <c r="O788" i="11"/>
  <c r="O1943" i="11"/>
  <c r="O497" i="11"/>
  <c r="O476" i="11"/>
  <c r="O3036" i="11"/>
  <c r="O2524" i="11"/>
  <c r="O2002" i="11"/>
  <c r="O1298" i="11"/>
  <c r="O3016" i="11"/>
  <c r="O2018" i="11"/>
  <c r="O2820" i="11"/>
  <c r="O1714" i="11"/>
  <c r="O1635" i="11"/>
  <c r="O1097" i="11"/>
  <c r="O1111" i="11"/>
  <c r="O960" i="11"/>
  <c r="O735" i="11"/>
  <c r="O924" i="11"/>
  <c r="O775" i="11"/>
  <c r="O569" i="11"/>
  <c r="O3480" i="11"/>
  <c r="O3396" i="11"/>
  <c r="O3312" i="11"/>
  <c r="O3224" i="11"/>
  <c r="O3140" i="11"/>
  <c r="O3040" i="11"/>
  <c r="O2912" i="11"/>
  <c r="O2688" i="11"/>
  <c r="O2432" i="11"/>
  <c r="O2176" i="11"/>
  <c r="O2064" i="11"/>
  <c r="O1986" i="11"/>
  <c r="O1901" i="11"/>
  <c r="O1816" i="11"/>
  <c r="O1730" i="11"/>
  <c r="O1645" i="11"/>
  <c r="O1560" i="11"/>
  <c r="O1474" i="11"/>
  <c r="O1389" i="11"/>
  <c r="O1277" i="11"/>
  <c r="O1158" i="11"/>
  <c r="O959" i="11"/>
  <c r="O721" i="11"/>
  <c r="O2039" i="11"/>
  <c r="O1879" i="11"/>
  <c r="O1551" i="11"/>
  <c r="O348" i="11"/>
  <c r="O847" i="11"/>
  <c r="O3484" i="11"/>
  <c r="O3228" i="11"/>
  <c r="O2972" i="11"/>
  <c r="O2716" i="11"/>
  <c r="O2460" i="11"/>
  <c r="O2204" i="11"/>
  <c r="O1917" i="11"/>
  <c r="O1576" i="11"/>
  <c r="O1186" i="11"/>
  <c r="O1927" i="11"/>
  <c r="O2920" i="11"/>
  <c r="O2408" i="11"/>
  <c r="O1848" i="11"/>
  <c r="O1044" i="11"/>
  <c r="O2692" i="11"/>
  <c r="O2180" i="11"/>
  <c r="O1544" i="11"/>
  <c r="O1831" i="11"/>
  <c r="O888" i="11"/>
  <c r="O767" i="11"/>
  <c r="O761" i="11"/>
  <c r="O2768" i="11"/>
  <c r="O2512" i="11"/>
  <c r="O2256" i="11"/>
  <c r="O886" i="11"/>
  <c r="O623" i="11"/>
  <c r="O3470" i="11"/>
  <c r="O3385" i="11"/>
  <c r="O3299" i="11"/>
  <c r="O3214" i="11"/>
  <c r="O3129" i="11"/>
  <c r="O3043" i="11"/>
  <c r="O2958" i="11"/>
  <c r="O2873" i="11"/>
  <c r="O2787" i="11"/>
  <c r="O2702" i="11"/>
  <c r="O2617" i="11"/>
  <c r="O2531" i="11"/>
  <c r="O2446" i="11"/>
  <c r="O2361" i="11"/>
  <c r="O2275" i="11"/>
  <c r="O2190" i="11"/>
  <c r="O2105" i="11"/>
  <c r="O2012" i="11"/>
  <c r="O1898" i="11"/>
  <c r="O1785" i="11"/>
  <c r="O1670" i="11"/>
  <c r="O1557" i="11"/>
  <c r="O1444" i="11"/>
  <c r="O1329" i="11"/>
  <c r="O1216" i="11"/>
  <c r="O1074" i="11"/>
  <c r="O912" i="11"/>
  <c r="O658" i="11"/>
  <c r="O890" i="11"/>
  <c r="O733" i="11"/>
  <c r="O453" i="11"/>
  <c r="O3460" i="11"/>
  <c r="O3376" i="11"/>
  <c r="O3288" i="11"/>
  <c r="O3204" i="11"/>
  <c r="O3120" i="11"/>
  <c r="O3008" i="11"/>
  <c r="O2880" i="11"/>
  <c r="O2624" i="11"/>
  <c r="O2368" i="11"/>
  <c r="O2112" i="11"/>
  <c r="O2048" i="11"/>
  <c r="O1965" i="11"/>
  <c r="O1880" i="11"/>
  <c r="O1794" i="11"/>
  <c r="O1709" i="11"/>
  <c r="O1624" i="11"/>
  <c r="O1538" i="11"/>
  <c r="O1453" i="11"/>
  <c r="O1362" i="11"/>
  <c r="O1250" i="11"/>
  <c r="O1122" i="11"/>
  <c r="O902" i="11"/>
  <c r="O645" i="11"/>
  <c r="O2007" i="11"/>
  <c r="O1815" i="11"/>
  <c r="O1423" i="11"/>
  <c r="O932" i="11"/>
  <c r="O818" i="11"/>
  <c r="O3420" i="11"/>
  <c r="O3164" i="11"/>
  <c r="O2908" i="11"/>
  <c r="O2652" i="11"/>
  <c r="O2396" i="11"/>
  <c r="O2140" i="11"/>
  <c r="O1832" i="11"/>
  <c r="O1490" i="11"/>
  <c r="O1008" i="11"/>
  <c r="O1647" i="11"/>
  <c r="O2792" i="11"/>
  <c r="O2280" i="11"/>
  <c r="O1677" i="11"/>
  <c r="O468" i="11"/>
  <c r="O2564" i="11"/>
  <c r="O2052" i="11"/>
  <c r="O1373" i="11"/>
  <c r="O1923" i="11"/>
  <c r="O1087" i="11"/>
  <c r="O1331" i="11"/>
  <c r="O495" i="11"/>
  <c r="O790" i="11"/>
  <c r="O647" i="11"/>
  <c r="O397" i="11"/>
  <c r="O3468" i="11"/>
  <c r="O3404" i="11"/>
  <c r="O3340" i="11"/>
  <c r="O3276" i="11"/>
  <c r="O3212" i="11"/>
  <c r="O3148" i="11"/>
  <c r="O3084" i="11"/>
  <c r="O3020" i="11"/>
  <c r="O2956" i="11"/>
  <c r="O2892" i="11"/>
  <c r="O2828" i="11"/>
  <c r="O2764" i="11"/>
  <c r="O2700" i="11"/>
  <c r="O2636" i="11"/>
  <c r="O2572" i="11"/>
  <c r="O2508" i="11"/>
  <c r="O2444" i="11"/>
  <c r="O2380" i="11"/>
  <c r="O2316" i="11"/>
  <c r="O2252" i="11"/>
  <c r="O2188" i="11"/>
  <c r="O2124" i="11"/>
  <c r="O2060" i="11"/>
  <c r="O1981" i="11"/>
  <c r="O1896" i="11"/>
  <c r="O1810" i="11"/>
  <c r="O1725" i="11"/>
  <c r="O1640" i="11"/>
  <c r="O1554" i="11"/>
  <c r="O1469" i="11"/>
  <c r="O1384" i="11"/>
  <c r="O1272" i="11"/>
  <c r="O1151" i="11"/>
  <c r="O951" i="11"/>
  <c r="O711" i="11"/>
  <c r="O2035" i="11"/>
  <c r="O1863" i="11"/>
  <c r="O1519" i="11"/>
  <c r="O3064" i="11"/>
  <c r="O3000" i="11"/>
  <c r="O2872" i="11"/>
  <c r="O2744" i="11"/>
  <c r="O2616" i="11"/>
  <c r="O2488" i="11"/>
  <c r="O2360" i="11"/>
  <c r="O2232" i="11"/>
  <c r="O2104" i="11"/>
  <c r="O1954" i="11"/>
  <c r="O1784" i="11"/>
  <c r="O1613" i="11"/>
  <c r="O1442" i="11"/>
  <c r="O1234" i="11"/>
  <c r="O874" i="11"/>
  <c r="O1991" i="11"/>
  <c r="O1359" i="11"/>
  <c r="O2772" i="11"/>
  <c r="O2644" i="11"/>
  <c r="O2516" i="11"/>
  <c r="O2388" i="11"/>
  <c r="O2260" i="11"/>
  <c r="O2132" i="11"/>
  <c r="O1992" i="11"/>
  <c r="O1821" i="11"/>
  <c r="O1650" i="11"/>
  <c r="O1480" i="11"/>
  <c r="O1288" i="11"/>
  <c r="O980" i="11"/>
  <c r="O177" i="11"/>
  <c r="O1583" i="11"/>
  <c r="O1875" i="11"/>
  <c r="O1747" i="11"/>
  <c r="O1475" i="11"/>
  <c r="O1089" i="11"/>
  <c r="O741" i="11"/>
  <c r="O1631" i="11"/>
  <c r="O1117" i="11"/>
  <c r="O1995" i="11"/>
  <c r="O1073" i="11"/>
  <c r="O1227" i="11"/>
  <c r="O1527" i="11"/>
  <c r="O419" i="11"/>
  <c r="O752" i="11"/>
  <c r="O762" i="11"/>
  <c r="O609" i="11"/>
  <c r="O285" i="11"/>
  <c r="O3452" i="11"/>
  <c r="O3388" i="11"/>
  <c r="O3324" i="11"/>
  <c r="O3260" i="11"/>
  <c r="O3196" i="11"/>
  <c r="O3132" i="11"/>
  <c r="O3068" i="11"/>
  <c r="O3004" i="11"/>
  <c r="O2940" i="11"/>
  <c r="O2876" i="11"/>
  <c r="O2812" i="11"/>
  <c r="O2748" i="11"/>
  <c r="O2684" i="11"/>
  <c r="O2620" i="11"/>
  <c r="O2556" i="11"/>
  <c r="O2492" i="11"/>
  <c r="O2428" i="11"/>
  <c r="O2364" i="11"/>
  <c r="O2300" i="11"/>
  <c r="O2236" i="11"/>
  <c r="O2172" i="11"/>
  <c r="O2108" i="11"/>
  <c r="O2044" i="11"/>
  <c r="O1960" i="11"/>
  <c r="O1874" i="11"/>
  <c r="O1789" i="11"/>
  <c r="O1704" i="11"/>
  <c r="O1618" i="11"/>
  <c r="O1533" i="11"/>
  <c r="O1448" i="11"/>
  <c r="O1357" i="11"/>
  <c r="O1245" i="11"/>
  <c r="O1108" i="11"/>
  <c r="O895" i="11"/>
  <c r="O635" i="11"/>
  <c r="O2003" i="11"/>
  <c r="O1799" i="11"/>
  <c r="O1391" i="11"/>
  <c r="O3048" i="11"/>
  <c r="O2984" i="11"/>
  <c r="O2856" i="11"/>
  <c r="O2728" i="11"/>
  <c r="O2600" i="11"/>
  <c r="O2472" i="11"/>
  <c r="O2344" i="11"/>
  <c r="O2216" i="11"/>
  <c r="O2088" i="11"/>
  <c r="O1933" i="11"/>
  <c r="O1762" i="11"/>
  <c r="O1592" i="11"/>
  <c r="O1421" i="11"/>
  <c r="O1208" i="11"/>
  <c r="O816" i="11"/>
  <c r="O1959" i="11"/>
  <c r="O1231" i="11"/>
  <c r="O2756" i="11"/>
  <c r="O2628" i="11"/>
  <c r="O2500" i="11"/>
  <c r="O2372" i="11"/>
  <c r="O2244" i="11"/>
  <c r="O2116" i="11"/>
  <c r="O1970" i="11"/>
  <c r="O1800" i="11"/>
  <c r="O1629" i="11"/>
  <c r="O1458" i="11"/>
  <c r="O1256" i="11"/>
  <c r="O923" i="11"/>
  <c r="O2019" i="11"/>
  <c r="O1455" i="11"/>
  <c r="O1859" i="11"/>
  <c r="O1731" i="11"/>
  <c r="O1379" i="11"/>
  <c r="O961" i="11"/>
  <c r="O581" i="11"/>
  <c r="O1503" i="11"/>
  <c r="O989" i="11"/>
  <c r="O1931" i="11"/>
  <c r="O1160" i="11"/>
  <c r="O1070" i="11"/>
  <c r="O1271" i="11"/>
  <c r="O502" i="11"/>
  <c r="O829" i="11"/>
  <c r="O722" i="11"/>
  <c r="O549" i="11"/>
  <c r="O3500" i="11"/>
  <c r="O3436" i="11"/>
  <c r="O3372" i="11"/>
  <c r="O3308" i="11"/>
  <c r="O3244" i="11"/>
  <c r="O3180" i="11"/>
  <c r="O3116" i="11"/>
  <c r="O3052" i="11"/>
  <c r="O2988" i="11"/>
  <c r="O2924" i="11"/>
  <c r="O2860" i="11"/>
  <c r="O2796" i="11"/>
  <c r="O2732" i="11"/>
  <c r="O2668" i="11"/>
  <c r="O2604" i="11"/>
  <c r="O2540" i="11"/>
  <c r="O2476" i="11"/>
  <c r="O2412" i="11"/>
  <c r="O2348" i="11"/>
  <c r="O2284" i="11"/>
  <c r="O2220" i="11"/>
  <c r="O2156" i="11"/>
  <c r="O2092" i="11"/>
  <c r="O2024" i="11"/>
  <c r="O1938" i="11"/>
  <c r="O1853" i="11"/>
  <c r="O1768" i="11"/>
  <c r="O1682" i="11"/>
  <c r="O1597" i="11"/>
  <c r="O1512" i="11"/>
  <c r="O1426" i="11"/>
  <c r="O1330" i="11"/>
  <c r="O1213" i="11"/>
  <c r="O1066" i="11"/>
  <c r="O838" i="11"/>
  <c r="O525" i="11"/>
  <c r="O1971" i="11"/>
  <c r="O1735" i="11"/>
  <c r="O1263" i="11"/>
  <c r="O3032" i="11"/>
  <c r="O2936" i="11"/>
  <c r="O2808" i="11"/>
  <c r="O2680" i="11"/>
  <c r="O2552" i="11"/>
  <c r="O2424" i="11"/>
  <c r="O2296" i="11"/>
  <c r="O2168" i="11"/>
  <c r="O2040" i="11"/>
  <c r="O1869" i="11"/>
  <c r="O1698" i="11"/>
  <c r="O1528" i="11"/>
  <c r="O1352" i="11"/>
  <c r="O1100" i="11"/>
  <c r="O607" i="11"/>
  <c r="O1783" i="11"/>
  <c r="O2836" i="11"/>
  <c r="O2708" i="11"/>
  <c r="O2580" i="11"/>
  <c r="O2452" i="11"/>
  <c r="O2324" i="11"/>
  <c r="O2196" i="11"/>
  <c r="O2068" i="11"/>
  <c r="O1906" i="11"/>
  <c r="O1736" i="11"/>
  <c r="O1565" i="11"/>
  <c r="O1394" i="11"/>
  <c r="O1164" i="11"/>
  <c r="O749" i="11"/>
  <c r="O1895" i="11"/>
  <c r="O1939" i="11"/>
  <c r="O1811" i="11"/>
  <c r="O1667" i="11"/>
  <c r="O1059" i="11"/>
  <c r="O1197" i="11"/>
  <c r="O1919" i="11"/>
  <c r="O1096" i="11"/>
  <c r="O880" i="11"/>
  <c r="O1587" i="11"/>
  <c r="O909" i="11"/>
  <c r="O388" i="11"/>
  <c r="O1013" i="11"/>
  <c r="O568" i="11"/>
  <c r="O232" i="11"/>
  <c r="O2968" i="11"/>
  <c r="O2904" i="11"/>
  <c r="O2840" i="11"/>
  <c r="O2776" i="11"/>
  <c r="O2712" i="11"/>
  <c r="O2648" i="11"/>
  <c r="O2584" i="11"/>
  <c r="O2520" i="11"/>
  <c r="O2456" i="11"/>
  <c r="O2392" i="11"/>
  <c r="O2328" i="11"/>
  <c r="O2264" i="11"/>
  <c r="O2200" i="11"/>
  <c r="O2136" i="11"/>
  <c r="O2072" i="11"/>
  <c r="O1997" i="11"/>
  <c r="O1912" i="11"/>
  <c r="O1826" i="11"/>
  <c r="O1741" i="11"/>
  <c r="O1656" i="11"/>
  <c r="O1570" i="11"/>
  <c r="O1485" i="11"/>
  <c r="O1400" i="11"/>
  <c r="O1293" i="11"/>
  <c r="O1179" i="11"/>
  <c r="O987" i="11"/>
  <c r="O758" i="11"/>
  <c r="O257" i="11"/>
  <c r="O1911" i="11"/>
  <c r="O1615" i="11"/>
  <c r="O2868" i="11"/>
  <c r="O2804" i="11"/>
  <c r="O2740" i="11"/>
  <c r="O2676" i="11"/>
  <c r="O2612" i="11"/>
  <c r="O2548" i="11"/>
  <c r="O2484" i="11"/>
  <c r="O2420" i="11"/>
  <c r="O2356" i="11"/>
  <c r="O2292" i="11"/>
  <c r="O2228" i="11"/>
  <c r="O2164" i="11"/>
  <c r="O2100" i="11"/>
  <c r="O2034" i="11"/>
  <c r="O1949" i="11"/>
  <c r="O1864" i="11"/>
  <c r="O1778" i="11"/>
  <c r="O1693" i="11"/>
  <c r="O1608" i="11"/>
  <c r="O1522" i="11"/>
  <c r="O1437" i="11"/>
  <c r="O1341" i="11"/>
  <c r="O1229" i="11"/>
  <c r="O1094" i="11"/>
  <c r="O866" i="11"/>
  <c r="O598" i="11"/>
  <c r="O1987" i="11"/>
  <c r="O1767" i="11"/>
  <c r="O1327" i="11"/>
  <c r="O1907" i="11"/>
  <c r="O1843" i="11"/>
  <c r="O1779" i="11"/>
  <c r="O1715" i="11"/>
  <c r="O1603" i="11"/>
  <c r="O1347" i="11"/>
  <c r="O703" i="11"/>
  <c r="O1368" i="11"/>
  <c r="O972" i="11"/>
  <c r="O113" i="11"/>
  <c r="O1791" i="11"/>
  <c r="O1375" i="11"/>
  <c r="O753" i="11"/>
  <c r="O861" i="11"/>
  <c r="O615" i="11"/>
  <c r="O1867" i="11"/>
  <c r="O1038" i="11"/>
  <c r="O819" i="11"/>
  <c r="O1483" i="11"/>
  <c r="O899" i="11"/>
  <c r="O969" i="11"/>
  <c r="O958" i="11"/>
  <c r="O760" i="11"/>
  <c r="O837" i="11"/>
  <c r="O578" i="11"/>
  <c r="O570" i="11"/>
  <c r="O2952" i="11"/>
  <c r="O2888" i="11"/>
  <c r="O2824" i="11"/>
  <c r="O2760" i="11"/>
  <c r="O2696" i="11"/>
  <c r="O2632" i="11"/>
  <c r="O2568" i="11"/>
  <c r="O2504" i="11"/>
  <c r="O2440" i="11"/>
  <c r="O2376" i="11"/>
  <c r="O2312" i="11"/>
  <c r="O2248" i="11"/>
  <c r="O2184" i="11"/>
  <c r="O2120" i="11"/>
  <c r="O2056" i="11"/>
  <c r="O1976" i="11"/>
  <c r="O1890" i="11"/>
  <c r="O1805" i="11"/>
  <c r="O1720" i="11"/>
  <c r="O1634" i="11"/>
  <c r="O1549" i="11"/>
  <c r="O1464" i="11"/>
  <c r="O1378" i="11"/>
  <c r="O1266" i="11"/>
  <c r="O1136" i="11"/>
  <c r="O930" i="11"/>
  <c r="O683" i="11"/>
  <c r="O2023" i="11"/>
  <c r="O1847" i="11"/>
  <c r="O1487" i="11"/>
  <c r="O2852" i="11"/>
  <c r="O2788" i="11"/>
  <c r="O2724" i="11"/>
  <c r="O2660" i="11"/>
  <c r="O2596" i="11"/>
  <c r="O2532" i="11"/>
  <c r="O2468" i="11"/>
  <c r="O2404" i="11"/>
  <c r="O2340" i="11"/>
  <c r="O2276" i="11"/>
  <c r="O2212" i="11"/>
  <c r="O2148" i="11"/>
  <c r="O2084" i="11"/>
  <c r="O2013" i="11"/>
  <c r="O1928" i="11"/>
  <c r="O1842" i="11"/>
  <c r="O1757" i="11"/>
  <c r="O1672" i="11"/>
  <c r="O1586" i="11"/>
  <c r="O1501" i="11"/>
  <c r="O1416" i="11"/>
  <c r="O1314" i="11"/>
  <c r="O1202" i="11"/>
  <c r="O1036" i="11"/>
  <c r="O810" i="11"/>
  <c r="O452" i="11"/>
  <c r="O1955" i="11"/>
  <c r="O1703" i="11"/>
  <c r="O1199" i="11"/>
  <c r="O1891" i="11"/>
  <c r="O1827" i="11"/>
  <c r="O1763" i="11"/>
  <c r="O1699" i="11"/>
  <c r="O1507" i="11"/>
  <c r="O1219" i="11"/>
  <c r="O357" i="11"/>
  <c r="O1282" i="11"/>
  <c r="O859" i="11"/>
  <c r="O1983" i="11"/>
  <c r="O1727" i="11"/>
  <c r="O1247" i="11"/>
  <c r="O457" i="11"/>
  <c r="O994" i="11"/>
  <c r="O333" i="11"/>
  <c r="O1771" i="11"/>
  <c r="O674" i="11"/>
  <c r="O1165" i="11"/>
  <c r="O1355" i="11"/>
  <c r="O717" i="11"/>
  <c r="O1687" i="11"/>
  <c r="O541" i="11"/>
  <c r="O416" i="11"/>
  <c r="O449" i="11"/>
  <c r="O277" i="11"/>
  <c r="O146" i="11"/>
  <c r="O1571" i="11"/>
  <c r="O1443" i="11"/>
  <c r="O1315" i="11"/>
  <c r="O1187" i="11"/>
  <c r="O1016" i="11"/>
  <c r="O846" i="11"/>
  <c r="O646" i="11"/>
  <c r="O1185" i="11"/>
  <c r="O1057" i="11"/>
  <c r="O929" i="11"/>
  <c r="O1346" i="11"/>
  <c r="O1261" i="11"/>
  <c r="O1172" i="11"/>
  <c r="O1058" i="11"/>
  <c r="O944" i="11"/>
  <c r="O831" i="11"/>
  <c r="O701" i="11"/>
  <c r="O508" i="11"/>
  <c r="O2031" i="11"/>
  <c r="O1967" i="11"/>
  <c r="O1903" i="11"/>
  <c r="O1839" i="11"/>
  <c r="O1775" i="11"/>
  <c r="O1711" i="11"/>
  <c r="O1599" i="11"/>
  <c r="O1471" i="11"/>
  <c r="O1343" i="11"/>
  <c r="O1215" i="11"/>
  <c r="O1054" i="11"/>
  <c r="O883" i="11"/>
  <c r="O695" i="11"/>
  <c r="O345" i="11"/>
  <c r="O1085" i="11"/>
  <c r="O957" i="11"/>
  <c r="O1079" i="11"/>
  <c r="O966" i="11"/>
  <c r="O852" i="11"/>
  <c r="O730" i="11"/>
  <c r="O564" i="11"/>
  <c r="O33" i="11"/>
  <c r="O1979" i="11"/>
  <c r="O1915" i="11"/>
  <c r="O1851" i="11"/>
  <c r="O1755" i="11"/>
  <c r="O1555" i="11"/>
  <c r="O1299" i="11"/>
  <c r="O995" i="11"/>
  <c r="O618" i="11"/>
  <c r="O1041" i="11"/>
  <c r="O1118" i="11"/>
  <c r="O776" i="11"/>
  <c r="O1133" i="11"/>
  <c r="O877" i="11"/>
  <c r="O1595" i="11"/>
  <c r="O1467" i="11"/>
  <c r="O1339" i="11"/>
  <c r="O1211" i="11"/>
  <c r="O1048" i="11"/>
  <c r="O878" i="11"/>
  <c r="O689" i="11"/>
  <c r="O305" i="11"/>
  <c r="O1081" i="11"/>
  <c r="O953" i="11"/>
  <c r="O1671" i="11"/>
  <c r="O1511" i="11"/>
  <c r="O1255" i="11"/>
  <c r="O936" i="11"/>
  <c r="O485" i="11"/>
  <c r="O997" i="11"/>
  <c r="O739" i="11"/>
  <c r="O744" i="11"/>
  <c r="O384" i="11"/>
  <c r="O403" i="11"/>
  <c r="O486" i="11"/>
  <c r="O821" i="11"/>
  <c r="O405" i="11"/>
  <c r="O536" i="11"/>
  <c r="O479" i="11"/>
  <c r="O562" i="11"/>
  <c r="O213" i="11"/>
  <c r="O688" i="11"/>
  <c r="O765" i="11"/>
  <c r="O506" i="11"/>
  <c r="O319" i="11"/>
  <c r="O51" i="11"/>
  <c r="O1539" i="11"/>
  <c r="O1411" i="11"/>
  <c r="O1283" i="11"/>
  <c r="O1144" i="11"/>
  <c r="O974" i="11"/>
  <c r="O803" i="11"/>
  <c r="O585" i="11"/>
  <c r="O1153" i="11"/>
  <c r="O1025" i="11"/>
  <c r="O897" i="11"/>
  <c r="O1325" i="11"/>
  <c r="O1240" i="11"/>
  <c r="O1143" i="11"/>
  <c r="O1030" i="11"/>
  <c r="O916" i="11"/>
  <c r="O802" i="11"/>
  <c r="O663" i="11"/>
  <c r="O433" i="11"/>
  <c r="O2015" i="11"/>
  <c r="O1951" i="11"/>
  <c r="O1887" i="11"/>
  <c r="O1823" i="11"/>
  <c r="O1759" i="11"/>
  <c r="O1695" i="11"/>
  <c r="O1567" i="11"/>
  <c r="O1439" i="11"/>
  <c r="O1311" i="11"/>
  <c r="O1182" i="11"/>
  <c r="O1011" i="11"/>
  <c r="O840" i="11"/>
  <c r="O639" i="11"/>
  <c r="O1181" i="11"/>
  <c r="O1053" i="11"/>
  <c r="O925" i="11"/>
  <c r="O1051" i="11"/>
  <c r="O938" i="11"/>
  <c r="O823" i="11"/>
  <c r="O693" i="11"/>
  <c r="O489" i="11"/>
  <c r="O2027" i="11"/>
  <c r="O1963" i="11"/>
  <c r="O1899" i="11"/>
  <c r="O1835" i="11"/>
  <c r="O1707" i="11"/>
  <c r="O1459" i="11"/>
  <c r="O1203" i="11"/>
  <c r="O867" i="11"/>
  <c r="O193" i="11"/>
  <c r="O945" i="11"/>
  <c r="O990" i="11"/>
  <c r="O610" i="11"/>
  <c r="O1037" i="11"/>
  <c r="O1675" i="11"/>
  <c r="O1547" i="11"/>
  <c r="O1419" i="11"/>
  <c r="O1291" i="11"/>
  <c r="O1155" i="11"/>
  <c r="O984" i="11"/>
  <c r="O814" i="11"/>
  <c r="O603" i="11"/>
  <c r="O1161" i="11"/>
  <c r="O1033" i="11"/>
  <c r="O905" i="11"/>
  <c r="O1623" i="11"/>
  <c r="O1399" i="11"/>
  <c r="O1128" i="11"/>
  <c r="O787" i="11"/>
  <c r="O1141" i="11"/>
  <c r="O885" i="11"/>
  <c r="O588" i="11"/>
  <c r="O632" i="11"/>
  <c r="O547" i="11"/>
  <c r="O153" i="11"/>
  <c r="O374" i="11"/>
  <c r="O691" i="11"/>
  <c r="O708" i="11"/>
  <c r="O237" i="11"/>
  <c r="O367" i="11"/>
  <c r="O450" i="11"/>
  <c r="O750" i="11"/>
  <c r="O411" i="11"/>
  <c r="O552" i="11"/>
  <c r="O195" i="11"/>
  <c r="O151" i="11"/>
  <c r="O163" i="11"/>
  <c r="O1251" i="11"/>
  <c r="O1102" i="11"/>
  <c r="O931" i="11"/>
  <c r="O759" i="11"/>
  <c r="O473" i="11"/>
  <c r="O1121" i="11"/>
  <c r="O993" i="11"/>
  <c r="O865" i="11"/>
  <c r="O1304" i="11"/>
  <c r="O1218" i="11"/>
  <c r="O1115" i="11"/>
  <c r="O1002" i="11"/>
  <c r="O887" i="11"/>
  <c r="O774" i="11"/>
  <c r="O626" i="11"/>
  <c r="O356" i="11"/>
  <c r="O1999" i="11"/>
  <c r="O1935" i="11"/>
  <c r="O1871" i="11"/>
  <c r="O1807" i="11"/>
  <c r="O1743" i="11"/>
  <c r="O1663" i="11"/>
  <c r="O1535" i="11"/>
  <c r="O1407" i="11"/>
  <c r="O1279" i="11"/>
  <c r="O1139" i="11"/>
  <c r="O968" i="11"/>
  <c r="O798" i="11"/>
  <c r="O572" i="11"/>
  <c r="O1149" i="11"/>
  <c r="O1021" i="11"/>
  <c r="O893" i="11"/>
  <c r="O1023" i="11"/>
  <c r="O908" i="11"/>
  <c r="O795" i="11"/>
  <c r="O655" i="11"/>
  <c r="O412" i="11"/>
  <c r="O2011" i="11"/>
  <c r="O1947" i="11"/>
  <c r="O1883" i="11"/>
  <c r="O1819" i="11"/>
  <c r="O1683" i="11"/>
  <c r="O1427" i="11"/>
  <c r="O1166" i="11"/>
  <c r="O824" i="11"/>
  <c r="O1169" i="11"/>
  <c r="O913" i="11"/>
  <c r="O947" i="11"/>
  <c r="O516" i="11"/>
  <c r="O1005" i="11"/>
  <c r="O1659" i="11"/>
  <c r="O1531" i="11"/>
  <c r="O1403" i="11"/>
  <c r="O1275" i="11"/>
  <c r="O1134" i="11"/>
  <c r="O963" i="11"/>
  <c r="O792" i="11"/>
  <c r="O557" i="11"/>
  <c r="O1145" i="11"/>
  <c r="O1017" i="11"/>
  <c r="O889" i="11"/>
  <c r="O1607" i="11"/>
  <c r="O1383" i="11"/>
  <c r="O1107" i="11"/>
  <c r="O766" i="11"/>
  <c r="O1125" i="11"/>
  <c r="O869" i="11"/>
  <c r="O545" i="11"/>
  <c r="O616" i="11"/>
  <c r="O531" i="11"/>
  <c r="O89" i="11"/>
  <c r="O358" i="11"/>
  <c r="O670" i="11"/>
  <c r="O692" i="11"/>
  <c r="O109" i="11"/>
  <c r="O351" i="11"/>
  <c r="O434" i="11"/>
  <c r="O686" i="11"/>
  <c r="O347" i="11"/>
  <c r="O424" i="11"/>
  <c r="O66" i="11"/>
  <c r="O336" i="11"/>
  <c r="O34" i="11"/>
  <c r="O1803" i="11"/>
  <c r="O1739" i="11"/>
  <c r="O1651" i="11"/>
  <c r="O1523" i="11"/>
  <c r="O1395" i="11"/>
  <c r="O1267" i="11"/>
  <c r="O1123" i="11"/>
  <c r="O952" i="11"/>
  <c r="O782" i="11"/>
  <c r="O529" i="11"/>
  <c r="O1137" i="11"/>
  <c r="O1009" i="11"/>
  <c r="O881" i="11"/>
  <c r="O1075" i="11"/>
  <c r="O904" i="11"/>
  <c r="O725" i="11"/>
  <c r="O401" i="11"/>
  <c r="O1101" i="11"/>
  <c r="O973" i="11"/>
  <c r="O845" i="11"/>
  <c r="O1643" i="11"/>
  <c r="O1579" i="11"/>
  <c r="O1515" i="11"/>
  <c r="O1451" i="11"/>
  <c r="O1387" i="11"/>
  <c r="O1323" i="11"/>
  <c r="O1259" i="11"/>
  <c r="O1195" i="11"/>
  <c r="O1112" i="11"/>
  <c r="O1027" i="11"/>
  <c r="O942" i="11"/>
  <c r="O856" i="11"/>
  <c r="O771" i="11"/>
  <c r="O661" i="11"/>
  <c r="O500" i="11"/>
  <c r="O81" i="11"/>
  <c r="O1129" i="11"/>
  <c r="O1065" i="11"/>
  <c r="O1001" i="11"/>
  <c r="O937" i="11"/>
  <c r="O873" i="11"/>
  <c r="O1655" i="11"/>
  <c r="O1591" i="11"/>
  <c r="O1463" i="11"/>
  <c r="O1335" i="11"/>
  <c r="O1207" i="11"/>
  <c r="O1043" i="11"/>
  <c r="O872" i="11"/>
  <c r="O682" i="11"/>
  <c r="O253" i="11"/>
  <c r="O1077" i="11"/>
  <c r="O949" i="11"/>
  <c r="O825" i="11"/>
  <c r="O675" i="11"/>
  <c r="O417" i="11"/>
  <c r="O696" i="11"/>
  <c r="O544" i="11"/>
  <c r="O141" i="11"/>
  <c r="O483" i="11"/>
  <c r="O355" i="11"/>
  <c r="O566" i="11"/>
  <c r="O438" i="11"/>
  <c r="O229" i="11"/>
  <c r="O773" i="11"/>
  <c r="O606" i="11"/>
  <c r="O97" i="11"/>
  <c r="O644" i="11"/>
  <c r="O440" i="11"/>
  <c r="O559" i="11"/>
  <c r="O431" i="11"/>
  <c r="O201" i="11"/>
  <c r="O514" i="11"/>
  <c r="O386" i="11"/>
  <c r="O21" i="11"/>
  <c r="O565" i="11"/>
  <c r="O400" i="11"/>
  <c r="O494" i="11"/>
  <c r="O428" i="11"/>
  <c r="O487" i="11"/>
  <c r="O245" i="11"/>
  <c r="O275" i="11"/>
  <c r="O226" i="11"/>
  <c r="O152" i="11"/>
  <c r="O142" i="11"/>
  <c r="O243" i="11"/>
  <c r="O1787" i="11"/>
  <c r="O1723" i="11"/>
  <c r="O1619" i="11"/>
  <c r="O1491" i="11"/>
  <c r="O1363" i="11"/>
  <c r="O1235" i="11"/>
  <c r="O1080" i="11"/>
  <c r="O910" i="11"/>
  <c r="O731" i="11"/>
  <c r="O413" i="11"/>
  <c r="O1105" i="11"/>
  <c r="O977" i="11"/>
  <c r="O849" i="11"/>
  <c r="O1032" i="11"/>
  <c r="O862" i="11"/>
  <c r="O667" i="11"/>
  <c r="O129" i="11"/>
  <c r="O1069" i="11"/>
  <c r="O941" i="11"/>
  <c r="O1691" i="11"/>
  <c r="O1627" i="11"/>
  <c r="O1563" i="11"/>
  <c r="O1499" i="11"/>
  <c r="O1435" i="11"/>
  <c r="O1371" i="11"/>
  <c r="O1307" i="11"/>
  <c r="O1243" i="11"/>
  <c r="O1176" i="11"/>
  <c r="O1091" i="11"/>
  <c r="O1006" i="11"/>
  <c r="O920" i="11"/>
  <c r="O835" i="11"/>
  <c r="O746" i="11"/>
  <c r="O631" i="11"/>
  <c r="O444" i="11"/>
  <c r="O1177" i="11"/>
  <c r="O1113" i="11"/>
  <c r="O1049" i="11"/>
  <c r="O985" i="11"/>
  <c r="O921" i="11"/>
  <c r="O857" i="11"/>
  <c r="O1639" i="11"/>
  <c r="O1575" i="11"/>
  <c r="O1447" i="11"/>
  <c r="O1319" i="11"/>
  <c r="O1191" i="11"/>
  <c r="O1022" i="11"/>
  <c r="O851" i="11"/>
  <c r="O653" i="11"/>
  <c r="O29" i="11"/>
  <c r="O1061" i="11"/>
  <c r="O933" i="11"/>
  <c r="O809" i="11"/>
  <c r="O654" i="11"/>
  <c r="O373" i="11"/>
  <c r="O680" i="11"/>
  <c r="O512" i="11"/>
  <c r="O13" i="11"/>
  <c r="O467" i="11"/>
  <c r="O337" i="11"/>
  <c r="O550" i="11"/>
  <c r="O422" i="11"/>
  <c r="O165" i="11"/>
  <c r="O755" i="11"/>
  <c r="O577" i="11"/>
  <c r="O756" i="11"/>
  <c r="O628" i="11"/>
  <c r="O408" i="11"/>
  <c r="O543" i="11"/>
  <c r="O415" i="11"/>
  <c r="O137" i="11"/>
  <c r="O498" i="11"/>
  <c r="O370" i="11"/>
  <c r="O833" i="11"/>
  <c r="O437" i="11"/>
  <c r="O77" i="11"/>
  <c r="O430" i="11"/>
  <c r="O17" i="11"/>
  <c r="O423" i="11"/>
  <c r="O2" i="11"/>
  <c r="O314" i="11"/>
  <c r="O72" i="11"/>
  <c r="O3" i="11"/>
  <c r="O315" i="11"/>
  <c r="O298" i="11"/>
  <c r="O1559" i="11"/>
  <c r="O1495" i="11"/>
  <c r="O1431" i="11"/>
  <c r="O1367" i="11"/>
  <c r="O1303" i="11"/>
  <c r="O1239" i="11"/>
  <c r="O1171" i="11"/>
  <c r="O1086" i="11"/>
  <c r="O1000" i="11"/>
  <c r="O915" i="11"/>
  <c r="O830" i="11"/>
  <c r="O738" i="11"/>
  <c r="O625" i="11"/>
  <c r="O429" i="11"/>
  <c r="O1173" i="11"/>
  <c r="O1109" i="11"/>
  <c r="O1045" i="11"/>
  <c r="O981" i="11"/>
  <c r="O917" i="11"/>
  <c r="O853" i="11"/>
  <c r="O793" i="11"/>
  <c r="O718" i="11"/>
  <c r="O633" i="11"/>
  <c r="O501" i="11"/>
  <c r="O317" i="11"/>
  <c r="O728" i="11"/>
  <c r="O664" i="11"/>
  <c r="O600" i="11"/>
  <c r="O480" i="11"/>
  <c r="O352" i="11"/>
  <c r="O579" i="11"/>
  <c r="O515" i="11"/>
  <c r="O451" i="11"/>
  <c r="O387" i="11"/>
  <c r="O281" i="11"/>
  <c r="O25" i="11"/>
  <c r="O534" i="11"/>
  <c r="O470" i="11"/>
  <c r="O406" i="11"/>
  <c r="O342" i="11"/>
  <c r="O101" i="11"/>
  <c r="O805" i="11"/>
  <c r="O734" i="11"/>
  <c r="O649" i="11"/>
  <c r="O533" i="11"/>
  <c r="O364" i="11"/>
  <c r="O740" i="11"/>
  <c r="O676" i="11"/>
  <c r="O612" i="11"/>
  <c r="O504" i="11"/>
  <c r="O376" i="11"/>
  <c r="O591" i="11"/>
  <c r="O527" i="11"/>
  <c r="O463" i="11"/>
  <c r="O399" i="11"/>
  <c r="O329" i="11"/>
  <c r="O73" i="11"/>
  <c r="O546" i="11"/>
  <c r="O482" i="11"/>
  <c r="O418" i="11"/>
  <c r="O354" i="11"/>
  <c r="O149" i="11"/>
  <c r="O817" i="11"/>
  <c r="O665" i="11"/>
  <c r="O396" i="11"/>
  <c r="O624" i="11"/>
  <c r="O539" i="11"/>
  <c r="O121" i="11"/>
  <c r="O366" i="11"/>
  <c r="O681" i="11"/>
  <c r="O700" i="11"/>
  <c r="O173" i="11"/>
  <c r="O359" i="11"/>
  <c r="O442" i="11"/>
  <c r="O159" i="11"/>
  <c r="O239" i="11"/>
  <c r="O160" i="11"/>
  <c r="O182" i="11"/>
  <c r="O230" i="11"/>
  <c r="O171" i="11"/>
  <c r="O188" i="11"/>
  <c r="O122" i="11"/>
  <c r="O127" i="11"/>
  <c r="O207" i="11"/>
  <c r="O144" i="11"/>
  <c r="O1543" i="11"/>
  <c r="O1479" i="11"/>
  <c r="O1415" i="11"/>
  <c r="O1351" i="11"/>
  <c r="O1287" i="11"/>
  <c r="O1223" i="11"/>
  <c r="O1150" i="11"/>
  <c r="O1064" i="11"/>
  <c r="O979" i="11"/>
  <c r="O894" i="11"/>
  <c r="O808" i="11"/>
  <c r="O710" i="11"/>
  <c r="O597" i="11"/>
  <c r="O372" i="11"/>
  <c r="O1157" i="11"/>
  <c r="O1093" i="11"/>
  <c r="O1029" i="11"/>
  <c r="O965" i="11"/>
  <c r="O901" i="11"/>
  <c r="O841" i="11"/>
  <c r="O777" i="11"/>
  <c r="O697" i="11"/>
  <c r="O611" i="11"/>
  <c r="O460" i="11"/>
  <c r="O145" i="11"/>
  <c r="O712" i="11"/>
  <c r="O648" i="11"/>
  <c r="O576" i="11"/>
  <c r="O448" i="11"/>
  <c r="O269" i="11"/>
  <c r="O563" i="11"/>
  <c r="O499" i="11"/>
  <c r="O435" i="11"/>
  <c r="O371" i="11"/>
  <c r="O217" i="11"/>
  <c r="O582" i="11"/>
  <c r="O518" i="11"/>
  <c r="O454" i="11"/>
  <c r="O390" i="11"/>
  <c r="O293" i="11"/>
  <c r="O37" i="11"/>
  <c r="O789" i="11"/>
  <c r="O713" i="11"/>
  <c r="O627" i="11"/>
  <c r="O492" i="11"/>
  <c r="O273" i="11"/>
  <c r="O724" i="11"/>
  <c r="O660" i="11"/>
  <c r="O596" i="11"/>
  <c r="O472" i="11"/>
  <c r="O344" i="11"/>
  <c r="O575" i="11"/>
  <c r="O511" i="11"/>
  <c r="O447" i="11"/>
  <c r="O383" i="11"/>
  <c r="O265" i="11"/>
  <c r="O9" i="11"/>
  <c r="O530" i="11"/>
  <c r="O466" i="11"/>
  <c r="O402" i="11"/>
  <c r="O335" i="11"/>
  <c r="O85" i="11"/>
  <c r="O769" i="11"/>
  <c r="O601" i="11"/>
  <c r="O61" i="11"/>
  <c r="O528" i="11"/>
  <c r="O475" i="11"/>
  <c r="O558" i="11"/>
  <c r="O197" i="11"/>
  <c r="O595" i="11"/>
  <c r="O636" i="11"/>
  <c r="O551" i="11"/>
  <c r="O169" i="11"/>
  <c r="O378" i="11"/>
  <c r="O22" i="11"/>
  <c r="O70" i="11"/>
  <c r="O334" i="11"/>
  <c r="O28" i="11"/>
  <c r="O300" i="11"/>
  <c r="O306" i="11"/>
  <c r="O47" i="11"/>
  <c r="O295" i="11"/>
  <c r="O312" i="11"/>
  <c r="O38" i="11"/>
  <c r="O318" i="11"/>
  <c r="O801" i="11"/>
  <c r="O729" i="11"/>
  <c r="O643" i="11"/>
  <c r="O524" i="11"/>
  <c r="O353" i="11"/>
  <c r="O736" i="11"/>
  <c r="O672" i="11"/>
  <c r="O608" i="11"/>
  <c r="O496" i="11"/>
  <c r="O368" i="11"/>
  <c r="O587" i="11"/>
  <c r="O523" i="11"/>
  <c r="O459" i="11"/>
  <c r="O395" i="11"/>
  <c r="O313" i="11"/>
  <c r="O57" i="11"/>
  <c r="O542" i="11"/>
  <c r="O478" i="11"/>
  <c r="O414" i="11"/>
  <c r="O350" i="11"/>
  <c r="O133" i="11"/>
  <c r="O813" i="11"/>
  <c r="O745" i="11"/>
  <c r="O659" i="11"/>
  <c r="O556" i="11"/>
  <c r="O385" i="11"/>
  <c r="O748" i="11"/>
  <c r="O684" i="11"/>
  <c r="O620" i="11"/>
  <c r="O520" i="11"/>
  <c r="O392" i="11"/>
  <c r="O45" i="11"/>
  <c r="O535" i="11"/>
  <c r="O471" i="11"/>
  <c r="O407" i="11"/>
  <c r="O343" i="11"/>
  <c r="O105" i="11"/>
  <c r="O554" i="11"/>
  <c r="O490" i="11"/>
  <c r="O426" i="11"/>
  <c r="O362" i="11"/>
  <c r="O181" i="11"/>
  <c r="O114" i="11"/>
  <c r="O287" i="11"/>
  <c r="O150" i="11"/>
  <c r="O323" i="11"/>
  <c r="O194" i="11"/>
  <c r="O40" i="11"/>
  <c r="O198" i="11"/>
  <c r="O204" i="11"/>
  <c r="O103" i="11"/>
  <c r="O288" i="11"/>
  <c r="O123" i="11"/>
  <c r="O274" i="11"/>
  <c r="O120" i="11"/>
  <c r="O310" i="11"/>
  <c r="O156" i="11"/>
  <c r="O15" i="11"/>
  <c r="O200" i="11"/>
  <c r="O19" i="11"/>
  <c r="O106" i="11"/>
  <c r="O279" i="11"/>
  <c r="O126" i="11"/>
  <c r="O299" i="11"/>
  <c r="O95" i="11"/>
  <c r="O280" i="11"/>
  <c r="O131" i="11"/>
  <c r="O316" i="11"/>
  <c r="O175" i="11"/>
  <c r="O6" i="11"/>
  <c r="O211" i="11"/>
  <c r="O250" i="11"/>
  <c r="O96" i="11"/>
  <c r="O270" i="11"/>
  <c r="O82" i="11"/>
  <c r="O255" i="11"/>
  <c r="O118" i="11"/>
  <c r="O291" i="11"/>
  <c r="O162" i="11"/>
  <c r="O8" i="11"/>
  <c r="O166" i="11"/>
  <c r="O172" i="11"/>
  <c r="O87" i="11"/>
  <c r="O272" i="11"/>
  <c r="O107" i="11"/>
  <c r="O785" i="11"/>
  <c r="O707" i="11"/>
  <c r="O622" i="11"/>
  <c r="O481" i="11"/>
  <c r="O225" i="11"/>
  <c r="O720" i="11"/>
  <c r="O656" i="11"/>
  <c r="O592" i="11"/>
  <c r="O464" i="11"/>
  <c r="O331" i="11"/>
  <c r="O571" i="11"/>
  <c r="O507" i="11"/>
  <c r="O443" i="11"/>
  <c r="O379" i="11"/>
  <c r="O249" i="11"/>
  <c r="O590" i="11"/>
  <c r="O526" i="11"/>
  <c r="O462" i="11"/>
  <c r="O398" i="11"/>
  <c r="O325" i="11"/>
  <c r="O69" i="11"/>
  <c r="O797" i="11"/>
  <c r="O723" i="11"/>
  <c r="O638" i="11"/>
  <c r="O513" i="11"/>
  <c r="O341" i="11"/>
  <c r="O732" i="11"/>
  <c r="O668" i="11"/>
  <c r="O604" i="11"/>
  <c r="O488" i="11"/>
  <c r="O360" i="11"/>
  <c r="O583" i="11"/>
  <c r="O519" i="11"/>
  <c r="O455" i="11"/>
  <c r="O391" i="11"/>
  <c r="O297" i="11"/>
  <c r="O41" i="11"/>
  <c r="O538" i="11"/>
  <c r="O474" i="11"/>
  <c r="O410" i="11"/>
  <c r="O346" i="11"/>
  <c r="O117" i="11"/>
  <c r="O242" i="11"/>
  <c r="O88" i="11"/>
  <c r="O278" i="11"/>
  <c r="O124" i="11"/>
  <c r="O322" i="11"/>
  <c r="O168" i="11"/>
  <c r="O326" i="11"/>
  <c r="O58" i="11"/>
  <c r="O231" i="11"/>
  <c r="O78" i="11"/>
  <c r="O251" i="11"/>
  <c r="O63" i="11"/>
  <c r="O248" i="11"/>
  <c r="O99" i="11"/>
  <c r="O284" i="11"/>
  <c r="O143" i="11"/>
  <c r="O328" i="11"/>
  <c r="O147" i="11"/>
  <c r="O234" i="11"/>
  <c r="O80" i="11"/>
  <c r="O254" i="11"/>
  <c r="O50" i="11"/>
  <c r="O223" i="11"/>
  <c r="O86" i="11"/>
  <c r="O259" i="11"/>
  <c r="O130" i="11"/>
  <c r="O303" i="11"/>
  <c r="O134" i="11"/>
  <c r="O76" i="11"/>
  <c r="O39" i="11"/>
  <c r="O224" i="11"/>
  <c r="O59" i="11"/>
  <c r="O210" i="11"/>
  <c r="O56" i="11"/>
  <c r="O246" i="11"/>
  <c r="O92" i="11"/>
  <c r="O290" i="11"/>
  <c r="O136" i="11"/>
  <c r="O294" i="11"/>
  <c r="O42" i="11"/>
  <c r="O215" i="11"/>
  <c r="O62" i="11"/>
  <c r="O235" i="11"/>
  <c r="O704" i="11"/>
  <c r="O640" i="11"/>
  <c r="O560" i="11"/>
  <c r="O432" i="11"/>
  <c r="O205" i="11"/>
  <c r="O555" i="11"/>
  <c r="O491" i="11"/>
  <c r="O427" i="11"/>
  <c r="O363" i="11"/>
  <c r="O185" i="11"/>
  <c r="O574" i="11"/>
  <c r="O510" i="11"/>
  <c r="O446" i="11"/>
  <c r="O382" i="11"/>
  <c r="O261" i="11"/>
  <c r="O5" i="11"/>
  <c r="O781" i="11"/>
  <c r="O702" i="11"/>
  <c r="O617" i="11"/>
  <c r="O469" i="11"/>
  <c r="O189" i="11"/>
  <c r="O716" i="11"/>
  <c r="O652" i="11"/>
  <c r="O584" i="11"/>
  <c r="O456" i="11"/>
  <c r="O301" i="11"/>
  <c r="O567" i="11"/>
  <c r="O503" i="11"/>
  <c r="O439" i="11"/>
  <c r="O375" i="11"/>
  <c r="O233" i="11"/>
  <c r="O586" i="11"/>
  <c r="O522" i="11"/>
  <c r="O458" i="11"/>
  <c r="O394" i="11"/>
  <c r="O309" i="11"/>
  <c r="O53" i="11"/>
  <c r="O31" i="11"/>
  <c r="O216" i="11"/>
  <c r="O67" i="11"/>
  <c r="O252" i="11"/>
  <c r="O111" i="11"/>
  <c r="O296" i="11"/>
  <c r="O115" i="11"/>
  <c r="O186" i="11"/>
  <c r="O32" i="11"/>
  <c r="O206" i="11"/>
  <c r="O18" i="11"/>
  <c r="O191" i="11"/>
  <c r="O54" i="11"/>
  <c r="O227" i="11"/>
  <c r="O98" i="11"/>
  <c r="O271" i="11"/>
  <c r="O102" i="11"/>
  <c r="O44" i="11"/>
  <c r="O23" i="11"/>
  <c r="O208" i="11"/>
  <c r="O43" i="11"/>
  <c r="O178" i="11"/>
  <c r="O24" i="11"/>
  <c r="O214" i="11"/>
  <c r="O60" i="11"/>
  <c r="O258" i="11"/>
  <c r="O104" i="11"/>
  <c r="O262" i="11"/>
  <c r="O332" i="11"/>
  <c r="O167" i="11"/>
  <c r="O14" i="11"/>
  <c r="O187" i="11"/>
  <c r="O338" i="11"/>
  <c r="O184" i="11"/>
  <c r="O35" i="11"/>
  <c r="O220" i="11"/>
  <c r="O79" i="11"/>
  <c r="O264" i="11"/>
  <c r="O83" i="11"/>
  <c r="O170" i="11"/>
  <c r="O16" i="11"/>
  <c r="O190" i="11"/>
  <c r="U6" i="11"/>
  <c r="U5" i="11"/>
  <c r="R60" i="3"/>
  <c r="R58" i="3"/>
  <c r="AX60" i="3"/>
  <c r="AX58" i="3"/>
  <c r="CD60" i="3"/>
  <c r="CD58" i="3"/>
  <c r="DJ60" i="3"/>
  <c r="DJ58" i="3"/>
  <c r="EP60" i="3"/>
  <c r="EP58" i="3"/>
  <c r="FV60" i="3"/>
  <c r="FV58" i="3"/>
  <c r="HB60" i="3"/>
  <c r="HB58" i="3"/>
  <c r="IH60" i="3"/>
  <c r="IH58" i="3"/>
  <c r="KD60" i="3"/>
  <c r="KD58" i="3"/>
  <c r="KT60" i="3"/>
  <c r="KT58" i="3"/>
  <c r="LZ60" i="3"/>
  <c r="LZ58" i="3"/>
  <c r="BC60" i="3"/>
  <c r="BC58" i="3"/>
  <c r="CI60" i="3"/>
  <c r="CI58" i="3"/>
  <c r="DO60" i="3"/>
  <c r="DO58" i="3"/>
  <c r="EU60" i="3"/>
  <c r="EU58" i="3"/>
  <c r="GA60" i="3"/>
  <c r="GA58" i="3"/>
  <c r="HG60" i="3"/>
  <c r="HG58" i="3"/>
  <c r="IM60" i="3"/>
  <c r="IM58" i="3"/>
  <c r="JS60" i="3"/>
  <c r="JS58" i="3"/>
  <c r="KY60" i="3"/>
  <c r="KY58" i="3"/>
  <c r="D60" i="3"/>
  <c r="D58" i="3"/>
  <c r="AN60" i="3"/>
  <c r="AN58" i="3"/>
  <c r="BT60" i="3"/>
  <c r="BT58" i="3"/>
  <c r="CZ60" i="3"/>
  <c r="CZ58" i="3"/>
  <c r="EF60" i="3"/>
  <c r="EF58" i="3"/>
  <c r="FL60" i="3"/>
  <c r="FL58" i="3"/>
  <c r="GR60" i="3"/>
  <c r="GR58" i="3"/>
  <c r="RE60" i="3"/>
  <c r="RE58" i="3"/>
  <c r="TQ60" i="3"/>
  <c r="TQ58" i="3"/>
  <c r="WC60" i="3"/>
  <c r="WC58" i="3"/>
  <c r="YO60" i="3"/>
  <c r="YO58" i="3"/>
  <c r="XR60" i="3"/>
  <c r="XR58" i="3"/>
  <c r="UP60" i="3"/>
  <c r="UP58" i="3"/>
  <c r="ST60" i="3"/>
  <c r="ST58" i="3"/>
  <c r="PR60" i="3"/>
  <c r="PR58" i="3"/>
  <c r="NV60" i="3"/>
  <c r="NV58" i="3"/>
  <c r="JL60" i="3"/>
  <c r="JL58" i="3"/>
  <c r="CG60" i="3"/>
  <c r="CG58" i="3"/>
  <c r="YR60" i="3"/>
  <c r="YR58" i="3"/>
  <c r="WV60" i="3"/>
  <c r="WV58" i="3"/>
  <c r="UZ60" i="3"/>
  <c r="UZ58" i="3"/>
  <c r="RX60" i="3"/>
  <c r="RX58" i="3"/>
  <c r="QB60" i="3"/>
  <c r="QB58" i="3"/>
  <c r="OF60" i="3"/>
  <c r="OF58" i="3"/>
  <c r="KF60" i="3"/>
  <c r="KF58" i="3"/>
  <c r="GG60" i="3"/>
  <c r="GG58" i="3"/>
  <c r="ZC60" i="3"/>
  <c r="ZC58" i="3"/>
  <c r="WQ60" i="3"/>
  <c r="WQ58" i="3"/>
  <c r="TO60" i="3"/>
  <c r="TO58" i="3"/>
  <c r="ME60" i="3"/>
  <c r="ME58" i="3"/>
  <c r="IK60" i="3"/>
  <c r="IK58" i="3"/>
  <c r="PE60" i="3"/>
  <c r="PE58" i="3"/>
  <c r="GK60" i="3"/>
  <c r="GK58" i="3"/>
  <c r="V60" i="3"/>
  <c r="V58" i="3"/>
  <c r="AL60" i="3"/>
  <c r="AL58" i="3"/>
  <c r="BB60" i="3"/>
  <c r="BB58" i="3"/>
  <c r="BR60" i="3"/>
  <c r="BR58" i="3"/>
  <c r="CH60" i="3"/>
  <c r="CH58" i="3"/>
  <c r="CX60" i="3"/>
  <c r="CX58" i="3"/>
  <c r="DN60" i="3"/>
  <c r="DN58" i="3"/>
  <c r="ED60" i="3"/>
  <c r="ED58" i="3"/>
  <c r="ET60" i="3"/>
  <c r="ET58" i="3"/>
  <c r="FJ60" i="3"/>
  <c r="FJ58" i="3"/>
  <c r="FZ60" i="3"/>
  <c r="FZ58" i="3"/>
  <c r="GP60" i="3"/>
  <c r="GP58" i="3"/>
  <c r="HF60" i="3"/>
  <c r="HF58" i="3"/>
  <c r="HV60" i="3"/>
  <c r="HV58" i="3"/>
  <c r="IL60" i="3"/>
  <c r="IL58" i="3"/>
  <c r="JB60" i="3"/>
  <c r="JB58" i="3"/>
  <c r="JR60" i="3"/>
  <c r="JR58" i="3"/>
  <c r="KH60" i="3"/>
  <c r="KH58" i="3"/>
  <c r="KX60" i="3"/>
  <c r="KX58" i="3"/>
  <c r="LN60" i="3"/>
  <c r="LN58" i="3"/>
  <c r="K60" i="3"/>
  <c r="K58" i="3"/>
  <c r="AA60" i="3"/>
  <c r="AA58" i="3"/>
  <c r="AQ60" i="3"/>
  <c r="AQ58" i="3"/>
  <c r="BG60" i="3"/>
  <c r="BG58" i="3"/>
  <c r="BW60" i="3"/>
  <c r="BW58" i="3"/>
  <c r="CM60" i="3"/>
  <c r="CM58" i="3"/>
  <c r="DC60" i="3"/>
  <c r="DC58" i="3"/>
  <c r="DS60" i="3"/>
  <c r="DS58" i="3"/>
  <c r="EI60" i="3"/>
  <c r="EI58" i="3"/>
  <c r="EY60" i="3"/>
  <c r="EY58" i="3"/>
  <c r="FO60" i="3"/>
  <c r="FO58" i="3"/>
  <c r="GE60" i="3"/>
  <c r="GE58" i="3"/>
  <c r="GU60" i="3"/>
  <c r="GU58" i="3"/>
  <c r="HK60" i="3"/>
  <c r="HK58" i="3"/>
  <c r="IA60" i="3"/>
  <c r="IA58" i="3"/>
  <c r="IQ60" i="3"/>
  <c r="IQ58" i="3"/>
  <c r="JG60" i="3"/>
  <c r="JG58" i="3"/>
  <c r="JW60" i="3"/>
  <c r="JW58" i="3"/>
  <c r="KM60" i="3"/>
  <c r="KM58" i="3"/>
  <c r="LC60" i="3"/>
  <c r="LC58" i="3"/>
  <c r="LS60" i="3"/>
  <c r="LS58" i="3"/>
  <c r="L60" i="3"/>
  <c r="L58" i="3"/>
  <c r="AB60" i="3"/>
  <c r="AB58" i="3"/>
  <c r="AR60" i="3"/>
  <c r="AR58" i="3"/>
  <c r="BH60" i="3"/>
  <c r="BH58" i="3"/>
  <c r="BX60" i="3"/>
  <c r="BX58" i="3"/>
  <c r="CN60" i="3"/>
  <c r="CN58" i="3"/>
  <c r="DD60" i="3"/>
  <c r="DD58" i="3"/>
  <c r="DT60" i="3"/>
  <c r="DT58" i="3"/>
  <c r="EJ60" i="3"/>
  <c r="EJ58" i="3"/>
  <c r="EZ60" i="3"/>
  <c r="EZ58" i="3"/>
  <c r="FP60" i="3"/>
  <c r="FP58" i="3"/>
  <c r="GF60" i="3"/>
  <c r="GF58" i="3"/>
  <c r="AW60" i="3"/>
  <c r="AW58" i="3"/>
  <c r="IS60" i="3"/>
  <c r="IS58" i="3"/>
  <c r="MW60" i="3"/>
  <c r="MW58" i="3"/>
  <c r="PI60" i="3"/>
  <c r="PI58" i="3"/>
  <c r="RU60" i="3"/>
  <c r="RU58" i="3"/>
  <c r="UG60" i="3"/>
  <c r="UG58" i="3"/>
  <c r="WS60" i="3"/>
  <c r="WS58" i="3"/>
  <c r="ZE60" i="3"/>
  <c r="ZE58" i="3"/>
  <c r="BM60" i="3"/>
  <c r="BM58" i="3"/>
  <c r="LM60" i="3"/>
  <c r="LM58" i="3"/>
  <c r="OG60" i="3"/>
  <c r="OG58" i="3"/>
  <c r="QS60" i="3"/>
  <c r="QS58" i="3"/>
  <c r="TE60" i="3"/>
  <c r="TE58" i="3"/>
  <c r="VQ60" i="3"/>
  <c r="VQ58" i="3"/>
  <c r="YC60" i="3"/>
  <c r="YC58" i="3"/>
  <c r="ZJ60" i="3"/>
  <c r="ZJ58" i="3"/>
  <c r="YT60" i="3"/>
  <c r="YT58" i="3"/>
  <c r="YD60" i="3"/>
  <c r="YD58" i="3"/>
  <c r="XN60" i="3"/>
  <c r="XN58" i="3"/>
  <c r="WX60" i="3"/>
  <c r="WX58" i="3"/>
  <c r="WH60" i="3"/>
  <c r="WH58" i="3"/>
  <c r="VR60" i="3"/>
  <c r="VR58" i="3"/>
  <c r="VB60" i="3"/>
  <c r="VB58" i="3"/>
  <c r="UL60" i="3"/>
  <c r="UL58" i="3"/>
  <c r="TV60" i="3"/>
  <c r="TV58" i="3"/>
  <c r="TF60" i="3"/>
  <c r="TF58" i="3"/>
  <c r="SP60" i="3"/>
  <c r="SP58" i="3"/>
  <c r="RZ60" i="3"/>
  <c r="RZ58" i="3"/>
  <c r="RJ60" i="3"/>
  <c r="RJ58" i="3"/>
  <c r="QT60" i="3"/>
  <c r="QT58" i="3"/>
  <c r="QD60" i="3"/>
  <c r="QD58" i="3"/>
  <c r="PN60" i="3"/>
  <c r="PN58" i="3"/>
  <c r="OX60" i="3"/>
  <c r="OX58" i="3"/>
  <c r="OH60" i="3"/>
  <c r="OH58" i="3"/>
  <c r="NR60" i="3"/>
  <c r="NR58" i="3"/>
  <c r="NB60" i="3"/>
  <c r="NB58" i="3"/>
  <c r="ML60" i="3"/>
  <c r="ML58" i="3"/>
  <c r="LP60" i="3"/>
  <c r="LP58" i="3"/>
  <c r="KJ60" i="3"/>
  <c r="KJ58" i="3"/>
  <c r="JD60" i="3"/>
  <c r="JD58" i="3"/>
  <c r="HX60" i="3"/>
  <c r="HX58" i="3"/>
  <c r="GO60" i="3"/>
  <c r="GO58" i="3"/>
  <c r="EC60" i="3"/>
  <c r="EC58" i="3"/>
  <c r="BQ60" i="3"/>
  <c r="BQ58" i="3"/>
  <c r="ZD60" i="3"/>
  <c r="ZD58" i="3"/>
  <c r="YN60" i="3"/>
  <c r="YN58" i="3"/>
  <c r="XX60" i="3"/>
  <c r="XX58" i="3"/>
  <c r="XH60" i="3"/>
  <c r="XH58" i="3"/>
  <c r="WR60" i="3"/>
  <c r="WR58" i="3"/>
  <c r="WB60" i="3"/>
  <c r="WB58" i="3"/>
  <c r="VL60" i="3"/>
  <c r="VL58" i="3"/>
  <c r="UV60" i="3"/>
  <c r="UV58" i="3"/>
  <c r="UF60" i="3"/>
  <c r="UF58" i="3"/>
  <c r="TP60" i="3"/>
  <c r="TP58" i="3"/>
  <c r="SZ60" i="3"/>
  <c r="SZ58" i="3"/>
  <c r="SJ60" i="3"/>
  <c r="SJ58" i="3"/>
  <c r="RT60" i="3"/>
  <c r="RT58" i="3"/>
  <c r="RD60" i="3"/>
  <c r="RD58" i="3"/>
  <c r="QN60" i="3"/>
  <c r="QN58" i="3"/>
  <c r="PX60" i="3"/>
  <c r="PX58" i="3"/>
  <c r="PH60" i="3"/>
  <c r="PH58" i="3"/>
  <c r="OR60" i="3"/>
  <c r="OR58" i="3"/>
  <c r="OB60" i="3"/>
  <c r="OB58" i="3"/>
  <c r="NL60" i="3"/>
  <c r="NL58" i="3"/>
  <c r="MV60" i="3"/>
  <c r="MV58" i="3"/>
  <c r="MF60" i="3"/>
  <c r="MF58" i="3"/>
  <c r="LD60" i="3"/>
  <c r="LD58" i="3"/>
  <c r="JX60" i="3"/>
  <c r="JX58" i="3"/>
  <c r="IR60" i="3"/>
  <c r="IR58" i="3"/>
  <c r="HL60" i="3"/>
  <c r="HL58" i="3"/>
  <c r="FQ60" i="3"/>
  <c r="FQ58" i="3"/>
  <c r="DE60" i="3"/>
  <c r="DE58" i="3"/>
  <c r="AS60" i="3"/>
  <c r="AS58" i="3"/>
  <c r="YY60" i="3"/>
  <c r="YY58" i="3"/>
  <c r="YI60" i="3"/>
  <c r="YI58" i="3"/>
  <c r="XS60" i="3"/>
  <c r="XS58" i="3"/>
  <c r="XC60" i="3"/>
  <c r="XC58" i="3"/>
  <c r="WM60" i="3"/>
  <c r="WM58" i="3"/>
  <c r="VW60" i="3"/>
  <c r="VW58" i="3"/>
  <c r="VG60" i="3"/>
  <c r="VG58" i="3"/>
  <c r="UQ60" i="3"/>
  <c r="UQ58" i="3"/>
  <c r="UA60" i="3"/>
  <c r="UA58" i="3"/>
  <c r="TK60" i="3"/>
  <c r="TK58" i="3"/>
  <c r="SU60" i="3"/>
  <c r="SU58" i="3"/>
  <c r="SE60" i="3"/>
  <c r="SE58" i="3"/>
  <c r="RO60" i="3"/>
  <c r="RO58" i="3"/>
  <c r="QY60" i="3"/>
  <c r="QY58" i="3"/>
  <c r="PS60" i="3"/>
  <c r="PS58" i="3"/>
  <c r="PC60" i="3"/>
  <c r="PC58" i="3"/>
  <c r="NG60" i="3"/>
  <c r="NG58" i="3"/>
  <c r="LY60" i="3"/>
  <c r="LY58" i="3"/>
  <c r="KS60" i="3"/>
  <c r="KS58" i="3"/>
  <c r="HA60" i="3"/>
  <c r="HA58" i="3"/>
  <c r="EW60" i="3"/>
  <c r="EW58" i="3"/>
  <c r="Y60" i="3"/>
  <c r="Y58" i="3"/>
  <c r="GW60" i="3"/>
  <c r="GW58" i="3"/>
  <c r="LU60" i="3"/>
  <c r="LU58" i="3"/>
  <c r="OK60" i="3"/>
  <c r="OK58" i="3"/>
  <c r="QW60" i="3"/>
  <c r="QW58" i="3"/>
  <c r="TI60" i="3"/>
  <c r="TI58" i="3"/>
  <c r="VU60" i="3"/>
  <c r="VU58" i="3"/>
  <c r="YG60" i="3"/>
  <c r="YG58" i="3"/>
  <c r="CS60" i="3"/>
  <c r="CS58" i="3"/>
  <c r="JQ60" i="3"/>
  <c r="JQ58" i="3"/>
  <c r="NI60" i="3"/>
  <c r="NI58" i="3"/>
  <c r="PU60" i="3"/>
  <c r="PU58" i="3"/>
  <c r="SG60" i="3"/>
  <c r="SG58" i="3"/>
  <c r="US60" i="3"/>
  <c r="US58" i="3"/>
  <c r="XE60" i="3"/>
  <c r="XE58" i="3"/>
  <c r="KG60" i="3"/>
  <c r="KG58" i="3"/>
  <c r="QC60" i="3"/>
  <c r="QC58" i="3"/>
  <c r="XM60" i="3"/>
  <c r="XM58" i="3"/>
  <c r="YX60" i="3"/>
  <c r="YX58" i="3"/>
  <c r="XB60" i="3"/>
  <c r="XB58" i="3"/>
  <c r="VV60" i="3"/>
  <c r="VV58" i="3"/>
  <c r="TZ60" i="3"/>
  <c r="TZ58" i="3"/>
  <c r="SD60" i="3"/>
  <c r="SD58" i="3"/>
  <c r="QX60" i="3"/>
  <c r="QX58" i="3"/>
  <c r="PB60" i="3"/>
  <c r="PB58" i="3"/>
  <c r="NF60" i="3"/>
  <c r="NF58" i="3"/>
  <c r="LX60" i="3"/>
  <c r="LX58" i="3"/>
  <c r="IF60" i="3"/>
  <c r="IF58" i="3"/>
  <c r="ES60" i="3"/>
  <c r="ES58" i="3"/>
  <c r="ZH60" i="3"/>
  <c r="ZH58" i="3"/>
  <c r="XL60" i="3"/>
  <c r="XL58" i="3"/>
  <c r="VP60" i="3"/>
  <c r="VP58" i="3"/>
  <c r="TT60" i="3"/>
  <c r="TT58" i="3"/>
  <c r="SN60" i="3"/>
  <c r="SN58" i="3"/>
  <c r="RH60" i="3"/>
  <c r="RH58" i="3"/>
  <c r="PL60" i="3"/>
  <c r="PL58" i="3"/>
  <c r="NP60" i="3"/>
  <c r="NP58" i="3"/>
  <c r="MJ60" i="3"/>
  <c r="MJ58" i="3"/>
  <c r="IZ60" i="3"/>
  <c r="IZ58" i="3"/>
  <c r="DU60" i="3"/>
  <c r="DU58" i="3"/>
  <c r="YM60" i="3"/>
  <c r="YM58" i="3"/>
  <c r="XG60" i="3"/>
  <c r="XG58" i="3"/>
  <c r="VK60" i="3"/>
  <c r="VK58" i="3"/>
  <c r="UE60" i="3"/>
  <c r="UE58" i="3"/>
  <c r="SI60" i="3"/>
  <c r="SI58" i="3"/>
  <c r="RC60" i="3"/>
  <c r="RC58" i="3"/>
  <c r="PW60" i="3"/>
  <c r="PW58" i="3"/>
  <c r="OQ60" i="3"/>
  <c r="OQ58" i="3"/>
  <c r="NK60" i="3"/>
  <c r="NK58" i="3"/>
  <c r="LA60" i="3"/>
  <c r="LA58" i="3"/>
  <c r="IO60" i="3"/>
  <c r="IO58" i="3"/>
  <c r="FM60" i="3"/>
  <c r="FM58" i="3"/>
  <c r="AO60" i="3"/>
  <c r="AO58" i="3"/>
  <c r="KO60" i="3"/>
  <c r="KO58" i="3"/>
  <c r="QG60" i="3"/>
  <c r="QG58" i="3"/>
  <c r="VE60" i="3"/>
  <c r="VE58" i="3"/>
  <c r="DY60" i="3"/>
  <c r="DY58" i="3"/>
  <c r="AG60" i="3"/>
  <c r="AG58" i="3"/>
  <c r="MS60" i="3"/>
  <c r="MS58" i="3"/>
  <c r="UC60" i="3"/>
  <c r="UC58" i="3"/>
  <c r="ZA60" i="3"/>
  <c r="ZA58" i="3"/>
  <c r="BF60" i="3"/>
  <c r="BF58" i="3"/>
  <c r="DB60" i="3"/>
  <c r="DB58" i="3"/>
  <c r="EH60" i="3"/>
  <c r="EH58" i="3"/>
  <c r="FN60" i="3"/>
  <c r="FN58" i="3"/>
  <c r="HJ60" i="3"/>
  <c r="HJ58" i="3"/>
  <c r="IP60" i="3"/>
  <c r="IP58" i="3"/>
  <c r="JV60" i="3"/>
  <c r="JV58" i="3"/>
  <c r="LB60" i="3"/>
  <c r="LB58" i="3"/>
  <c r="LR60" i="3"/>
  <c r="LR58" i="3"/>
  <c r="AE60" i="3"/>
  <c r="AE58" i="3"/>
  <c r="AU60" i="3"/>
  <c r="AU58" i="3"/>
  <c r="BK60" i="3"/>
  <c r="BK58" i="3"/>
  <c r="CA60" i="3"/>
  <c r="CA58" i="3"/>
  <c r="CQ60" i="3"/>
  <c r="CQ58" i="3"/>
  <c r="DG60" i="3"/>
  <c r="DG58" i="3"/>
  <c r="DW60" i="3"/>
  <c r="DW58" i="3"/>
  <c r="EM60" i="3"/>
  <c r="EM58" i="3"/>
  <c r="FC60" i="3"/>
  <c r="FC58" i="3"/>
  <c r="FS60" i="3"/>
  <c r="FS58" i="3"/>
  <c r="GI60" i="3"/>
  <c r="GI58" i="3"/>
  <c r="GY60" i="3"/>
  <c r="GY58" i="3"/>
  <c r="HO60" i="3"/>
  <c r="HO58" i="3"/>
  <c r="IE60" i="3"/>
  <c r="IE58" i="3"/>
  <c r="IU60" i="3"/>
  <c r="IU58" i="3"/>
  <c r="JK60" i="3"/>
  <c r="JK58" i="3"/>
  <c r="KA60" i="3"/>
  <c r="KA58" i="3"/>
  <c r="KQ60" i="3"/>
  <c r="KQ58" i="3"/>
  <c r="LG60" i="3"/>
  <c r="LG58" i="3"/>
  <c r="LW60" i="3"/>
  <c r="LW58" i="3"/>
  <c r="P60" i="3"/>
  <c r="P58" i="3"/>
  <c r="FT60" i="3"/>
  <c r="FT58" i="3"/>
  <c r="DI60" i="3"/>
  <c r="DI58" i="3"/>
  <c r="PY60" i="3"/>
  <c r="PY58" i="3"/>
  <c r="UW60" i="3"/>
  <c r="UW58" i="3"/>
  <c r="HU60" i="3"/>
  <c r="HU58" i="3"/>
  <c r="MK60" i="3"/>
  <c r="MK58" i="3"/>
  <c r="TU60" i="3"/>
  <c r="TU58" i="3"/>
  <c r="WG60" i="3"/>
  <c r="WG58" i="3"/>
  <c r="ZF60" i="3"/>
  <c r="ZF58" i="3"/>
  <c r="XZ60" i="3"/>
  <c r="XZ58" i="3"/>
  <c r="XJ60" i="3"/>
  <c r="XJ58" i="3"/>
  <c r="WD60" i="3"/>
  <c r="WD58" i="3"/>
  <c r="VN60" i="3"/>
  <c r="VN58" i="3"/>
  <c r="UX60" i="3"/>
  <c r="UX58" i="3"/>
  <c r="UH60" i="3"/>
  <c r="UH58" i="3"/>
  <c r="TR60" i="3"/>
  <c r="TR58" i="3"/>
  <c r="TB60" i="3"/>
  <c r="TB58" i="3"/>
  <c r="SL60" i="3"/>
  <c r="SL58" i="3"/>
  <c r="RV60" i="3"/>
  <c r="RV58" i="3"/>
  <c r="RF60" i="3"/>
  <c r="RF58" i="3"/>
  <c r="OD60" i="3"/>
  <c r="OD58" i="3"/>
  <c r="MH60" i="3"/>
  <c r="MH58" i="3"/>
  <c r="FY60" i="3"/>
  <c r="FY58" i="3"/>
  <c r="DM60" i="3"/>
  <c r="DM58" i="3"/>
  <c r="BA60" i="3"/>
  <c r="BA58" i="3"/>
  <c r="YZ60" i="3"/>
  <c r="YZ58" i="3"/>
  <c r="YJ60" i="3"/>
  <c r="YJ58" i="3"/>
  <c r="XT60" i="3"/>
  <c r="XT58" i="3"/>
  <c r="XD60" i="3"/>
  <c r="XD58" i="3"/>
  <c r="WN60" i="3"/>
  <c r="WN58" i="3"/>
  <c r="VX60" i="3"/>
  <c r="VX58" i="3"/>
  <c r="VH60" i="3"/>
  <c r="VH58" i="3"/>
  <c r="UR60" i="3"/>
  <c r="UR58" i="3"/>
  <c r="UB60" i="3"/>
  <c r="UB58" i="3"/>
  <c r="TL60" i="3"/>
  <c r="TL58" i="3"/>
  <c r="SV60" i="3"/>
  <c r="SV58" i="3"/>
  <c r="SF60" i="3"/>
  <c r="SF58" i="3"/>
  <c r="RP60" i="3"/>
  <c r="RP58" i="3"/>
  <c r="QZ60" i="3"/>
  <c r="QZ58" i="3"/>
  <c r="QJ60" i="3"/>
  <c r="QJ58" i="3"/>
  <c r="PD60" i="3"/>
  <c r="PD58" i="3"/>
  <c r="ON60" i="3"/>
  <c r="ON58" i="3"/>
  <c r="NH60" i="3"/>
  <c r="NH58" i="3"/>
  <c r="MR60" i="3"/>
  <c r="MR58" i="3"/>
  <c r="MB60" i="3"/>
  <c r="MB58" i="3"/>
  <c r="JP60" i="3"/>
  <c r="JP58" i="3"/>
  <c r="IJ60" i="3"/>
  <c r="IJ58" i="3"/>
  <c r="FA60" i="3"/>
  <c r="FA58" i="3"/>
  <c r="CO60" i="3"/>
  <c r="CO58" i="3"/>
  <c r="AC60" i="3"/>
  <c r="AC58" i="3"/>
  <c r="ZK60" i="3"/>
  <c r="ZK58" i="3"/>
  <c r="YU60" i="3"/>
  <c r="YU58" i="3"/>
  <c r="YE60" i="3"/>
  <c r="YE58" i="3"/>
  <c r="XO60" i="3"/>
  <c r="XO58" i="3"/>
  <c r="WY60" i="3"/>
  <c r="WY58" i="3"/>
  <c r="WI60" i="3"/>
  <c r="WI58" i="3"/>
  <c r="VS60" i="3"/>
  <c r="VS58" i="3"/>
  <c r="VC60" i="3"/>
  <c r="VC58" i="3"/>
  <c r="UM60" i="3"/>
  <c r="UM58" i="3"/>
  <c r="TW60" i="3"/>
  <c r="TW58" i="3"/>
  <c r="TG60" i="3"/>
  <c r="TG58" i="3"/>
  <c r="SQ60" i="3"/>
  <c r="SQ58" i="3"/>
  <c r="RK60" i="3"/>
  <c r="RK58" i="3"/>
  <c r="PO60" i="3"/>
  <c r="PO58" i="3"/>
  <c r="OY60" i="3"/>
  <c r="OY58" i="3"/>
  <c r="NS60" i="3"/>
  <c r="NS58" i="3"/>
  <c r="NC60" i="3"/>
  <c r="NC58" i="3"/>
  <c r="MM60" i="3"/>
  <c r="MM58" i="3"/>
  <c r="LQ60" i="3"/>
  <c r="LQ58" i="3"/>
  <c r="KK60" i="3"/>
  <c r="KK58" i="3"/>
  <c r="JE60" i="3"/>
  <c r="JE58" i="3"/>
  <c r="HY60" i="3"/>
  <c r="HY58" i="3"/>
  <c r="GS60" i="3"/>
  <c r="GS58" i="3"/>
  <c r="EG60" i="3"/>
  <c r="EG58" i="3"/>
  <c r="BU60" i="3"/>
  <c r="BU58" i="3"/>
  <c r="B60" i="3"/>
  <c r="B58" i="3"/>
  <c r="IC60" i="3"/>
  <c r="IC58" i="3"/>
  <c r="MO60" i="3"/>
  <c r="MO58" i="3"/>
  <c r="PA60" i="3"/>
  <c r="PA58" i="3"/>
  <c r="RM60" i="3"/>
  <c r="RM58" i="3"/>
  <c r="TY60" i="3"/>
  <c r="TY58" i="3"/>
  <c r="WK60" i="3"/>
  <c r="WK58" i="3"/>
  <c r="YW60" i="3"/>
  <c r="YW58" i="3"/>
  <c r="FE60" i="3"/>
  <c r="FE58" i="3"/>
  <c r="KW60" i="3"/>
  <c r="KW58" i="3"/>
  <c r="NY60" i="3"/>
  <c r="NY58" i="3"/>
  <c r="QK60" i="3"/>
  <c r="QK58" i="3"/>
  <c r="SW60" i="3"/>
  <c r="SW58" i="3"/>
  <c r="VI60" i="3"/>
  <c r="VI58" i="3"/>
  <c r="XU60" i="3"/>
  <c r="XU58" i="3"/>
  <c r="AH60" i="3"/>
  <c r="AH58" i="3"/>
  <c r="BN60" i="3"/>
  <c r="BN58" i="3"/>
  <c r="CT60" i="3"/>
  <c r="CT58" i="3"/>
  <c r="DZ60" i="3"/>
  <c r="DZ58" i="3"/>
  <c r="FF60" i="3"/>
  <c r="FF58" i="3"/>
  <c r="GL60" i="3"/>
  <c r="GL58" i="3"/>
  <c r="HR60" i="3"/>
  <c r="HR58" i="3"/>
  <c r="IX60" i="3"/>
  <c r="IX58" i="3"/>
  <c r="JN60" i="3"/>
  <c r="JN58" i="3"/>
  <c r="LJ60" i="3"/>
  <c r="LJ58" i="3"/>
  <c r="W60" i="3"/>
  <c r="W58" i="3"/>
  <c r="AM60" i="3"/>
  <c r="AM58" i="3"/>
  <c r="BS60" i="3"/>
  <c r="BS58" i="3"/>
  <c r="CY60" i="3"/>
  <c r="CY58" i="3"/>
  <c r="EE60" i="3"/>
  <c r="EE58" i="3"/>
  <c r="FK60" i="3"/>
  <c r="FK58" i="3"/>
  <c r="GQ60" i="3"/>
  <c r="GQ58" i="3"/>
  <c r="HW60" i="3"/>
  <c r="HW58" i="3"/>
  <c r="JC60" i="3"/>
  <c r="JC58" i="3"/>
  <c r="KI60" i="3"/>
  <c r="KI58" i="3"/>
  <c r="LO60" i="3"/>
  <c r="LO58" i="3"/>
  <c r="X60" i="3"/>
  <c r="X58" i="3"/>
  <c r="BD60" i="3"/>
  <c r="BD58" i="3"/>
  <c r="CJ60" i="3"/>
  <c r="CJ58" i="3"/>
  <c r="DP60" i="3"/>
  <c r="DP58" i="3"/>
  <c r="EV60" i="3"/>
  <c r="EV58" i="3"/>
  <c r="GB60" i="3"/>
  <c r="GB58" i="3"/>
  <c r="HM60" i="3"/>
  <c r="HM58" i="3"/>
  <c r="NQ60" i="3"/>
  <c r="NQ58" i="3"/>
  <c r="SO60" i="3"/>
  <c r="SO58" i="3"/>
  <c r="VA60" i="3"/>
  <c r="VA58" i="3"/>
  <c r="YH60" i="3"/>
  <c r="YH58" i="3"/>
  <c r="WL60" i="3"/>
  <c r="WL58" i="3"/>
  <c r="VF60" i="3"/>
  <c r="VF58" i="3"/>
  <c r="TJ60" i="3"/>
  <c r="TJ58" i="3"/>
  <c r="RN60" i="3"/>
  <c r="RN58" i="3"/>
  <c r="QH60" i="3"/>
  <c r="QH58" i="3"/>
  <c r="OL60" i="3"/>
  <c r="OL58" i="3"/>
  <c r="MP60" i="3"/>
  <c r="MP58" i="3"/>
  <c r="KR60" i="3"/>
  <c r="KR58" i="3"/>
  <c r="GZ60" i="3"/>
  <c r="GZ58" i="3"/>
  <c r="U60" i="3"/>
  <c r="U58" i="3"/>
  <c r="YB60" i="3"/>
  <c r="YB58" i="3"/>
  <c r="WF60" i="3"/>
  <c r="WF58" i="3"/>
  <c r="UJ60" i="3"/>
  <c r="UJ58" i="3"/>
  <c r="TD60" i="3"/>
  <c r="TD58" i="3"/>
  <c r="QR60" i="3"/>
  <c r="QR58" i="3"/>
  <c r="OV60" i="3"/>
  <c r="OV58" i="3"/>
  <c r="MZ60" i="3"/>
  <c r="MZ58" i="3"/>
  <c r="LL60" i="3"/>
  <c r="LL58" i="3"/>
  <c r="HT60" i="3"/>
  <c r="HT58" i="3"/>
  <c r="BI60" i="3"/>
  <c r="BI58" i="3"/>
  <c r="XW60" i="3"/>
  <c r="XW58" i="3"/>
  <c r="WA60" i="3"/>
  <c r="WA58" i="3"/>
  <c r="UU60" i="3"/>
  <c r="UU58" i="3"/>
  <c r="SY60" i="3"/>
  <c r="SY58" i="3"/>
  <c r="RS60" i="3"/>
  <c r="RS58" i="3"/>
  <c r="QM60" i="3"/>
  <c r="QM58" i="3"/>
  <c r="PG60" i="3"/>
  <c r="PG58" i="3"/>
  <c r="OA60" i="3"/>
  <c r="OA58" i="3"/>
  <c r="MU60" i="3"/>
  <c r="MU58" i="3"/>
  <c r="JU60" i="3"/>
  <c r="JU58" i="3"/>
  <c r="HI60" i="3"/>
  <c r="HI58" i="3"/>
  <c r="DA60" i="3"/>
  <c r="DA58" i="3"/>
  <c r="EO60" i="3"/>
  <c r="EO58" i="3"/>
  <c r="NU60" i="3"/>
  <c r="NU58" i="3"/>
  <c r="SS60" i="3"/>
  <c r="SS58" i="3"/>
  <c r="XQ60" i="3"/>
  <c r="XQ58" i="3"/>
  <c r="WO60" i="3"/>
  <c r="WO58" i="3"/>
  <c r="Z60" i="3"/>
  <c r="Z58" i="3"/>
  <c r="AP60" i="3"/>
  <c r="AP58" i="3"/>
  <c r="BV60" i="3"/>
  <c r="BV58" i="3"/>
  <c r="CL60" i="3"/>
  <c r="CL58" i="3"/>
  <c r="DR60" i="3"/>
  <c r="DR58" i="3"/>
  <c r="EX60" i="3"/>
  <c r="EX58" i="3"/>
  <c r="GD60" i="3"/>
  <c r="GD58" i="3"/>
  <c r="GT60" i="3"/>
  <c r="GT58" i="3"/>
  <c r="HZ60" i="3"/>
  <c r="HZ58" i="3"/>
  <c r="JF60" i="3"/>
  <c r="JF58" i="3"/>
  <c r="KL60" i="3"/>
  <c r="KL58" i="3"/>
  <c r="O60" i="3"/>
  <c r="O58" i="3"/>
  <c r="AV60" i="3"/>
  <c r="AV58" i="3"/>
  <c r="BL60" i="3"/>
  <c r="BL58" i="3"/>
  <c r="CB60" i="3"/>
  <c r="CB58" i="3"/>
  <c r="CR60" i="3"/>
  <c r="CR58" i="3"/>
  <c r="EN60" i="3"/>
  <c r="EN58" i="3"/>
  <c r="FD60" i="3"/>
  <c r="FD58" i="3"/>
  <c r="GJ60" i="3"/>
  <c r="GJ58" i="3"/>
  <c r="JY60" i="3"/>
  <c r="JY58" i="3"/>
  <c r="NM60" i="3"/>
  <c r="NM58" i="3"/>
  <c r="SK60" i="3"/>
  <c r="SK58" i="3"/>
  <c r="XI60" i="3"/>
  <c r="XI58" i="3"/>
  <c r="YS60" i="3"/>
  <c r="YS58" i="3"/>
  <c r="YP60" i="3"/>
  <c r="YP58" i="3"/>
  <c r="WT60" i="3"/>
  <c r="WT58" i="3"/>
  <c r="PZ60" i="3"/>
  <c r="PZ58" i="3"/>
  <c r="OT60" i="3"/>
  <c r="OT58" i="3"/>
  <c r="NN60" i="3"/>
  <c r="NN58" i="3"/>
  <c r="N60" i="3"/>
  <c r="N58" i="3"/>
  <c r="AD60" i="3"/>
  <c r="AD58" i="3"/>
  <c r="AT60" i="3"/>
  <c r="AT58" i="3"/>
  <c r="BJ60" i="3"/>
  <c r="BJ58" i="3"/>
  <c r="BZ60" i="3"/>
  <c r="BZ58" i="3"/>
  <c r="CP60" i="3"/>
  <c r="CP58" i="3"/>
  <c r="DF60" i="3"/>
  <c r="DF58" i="3"/>
  <c r="DV60" i="3"/>
  <c r="DV58" i="3"/>
  <c r="EL60" i="3"/>
  <c r="EL58" i="3"/>
  <c r="FB60" i="3"/>
  <c r="FB58" i="3"/>
  <c r="FR60" i="3"/>
  <c r="FR58" i="3"/>
  <c r="GH60" i="3"/>
  <c r="GH58" i="3"/>
  <c r="GX60" i="3"/>
  <c r="GX58" i="3"/>
  <c r="HN60" i="3"/>
  <c r="HN58" i="3"/>
  <c r="ID60" i="3"/>
  <c r="ID58" i="3"/>
  <c r="IT60" i="3"/>
  <c r="IT58" i="3"/>
  <c r="JJ60" i="3"/>
  <c r="JJ58" i="3"/>
  <c r="JZ60" i="3"/>
  <c r="JZ58" i="3"/>
  <c r="KP60" i="3"/>
  <c r="KP58" i="3"/>
  <c r="LF60" i="3"/>
  <c r="LF58" i="3"/>
  <c r="LV60" i="3"/>
  <c r="LV58" i="3"/>
  <c r="S60" i="3"/>
  <c r="S58" i="3"/>
  <c r="AI60" i="3"/>
  <c r="AI58" i="3"/>
  <c r="AY60" i="3"/>
  <c r="AY58" i="3"/>
  <c r="BO60" i="3"/>
  <c r="BO58" i="3"/>
  <c r="CE60" i="3"/>
  <c r="CE58" i="3"/>
  <c r="CU60" i="3"/>
  <c r="CU58" i="3"/>
  <c r="DK60" i="3"/>
  <c r="DK58" i="3"/>
  <c r="EA60" i="3"/>
  <c r="EA58" i="3"/>
  <c r="EQ60" i="3"/>
  <c r="EQ58" i="3"/>
  <c r="FG60" i="3"/>
  <c r="FG58" i="3"/>
  <c r="FW60" i="3"/>
  <c r="FW58" i="3"/>
  <c r="GM60" i="3"/>
  <c r="GM58" i="3"/>
  <c r="HC60" i="3"/>
  <c r="HC58" i="3"/>
  <c r="HS60" i="3"/>
  <c r="HS58" i="3"/>
  <c r="II60" i="3"/>
  <c r="II58" i="3"/>
  <c r="IY60" i="3"/>
  <c r="IY58" i="3"/>
  <c r="JO60" i="3"/>
  <c r="JO58" i="3"/>
  <c r="KE60" i="3"/>
  <c r="KE58" i="3"/>
  <c r="KU60" i="3"/>
  <c r="KU58" i="3"/>
  <c r="MA60" i="3"/>
  <c r="MA58" i="3"/>
  <c r="T60" i="3"/>
  <c r="T58" i="3"/>
  <c r="AJ60" i="3"/>
  <c r="AJ58" i="3"/>
  <c r="AZ60" i="3"/>
  <c r="AZ58" i="3"/>
  <c r="BP60" i="3"/>
  <c r="BP58" i="3"/>
  <c r="CF60" i="3"/>
  <c r="CF58" i="3"/>
  <c r="CV60" i="3"/>
  <c r="CV58" i="3"/>
  <c r="DL60" i="3"/>
  <c r="DL58" i="3"/>
  <c r="EB60" i="3"/>
  <c r="EB58" i="3"/>
  <c r="ER60" i="3"/>
  <c r="ER58" i="3"/>
  <c r="FH60" i="3"/>
  <c r="FH58" i="3"/>
  <c r="FX60" i="3"/>
  <c r="FX58" i="3"/>
  <c r="GN60" i="3"/>
  <c r="GN58" i="3"/>
  <c r="FU60" i="3"/>
  <c r="FU58" i="3"/>
  <c r="OC60" i="3"/>
  <c r="OC58" i="3"/>
  <c r="QO60" i="3"/>
  <c r="QO58" i="3"/>
  <c r="TA60" i="3"/>
  <c r="TA58" i="3"/>
  <c r="VM60" i="3"/>
  <c r="VM58" i="3"/>
  <c r="XY60" i="3"/>
  <c r="XY58" i="3"/>
  <c r="JA60" i="3"/>
  <c r="JA58" i="3"/>
  <c r="NA60" i="3"/>
  <c r="NA58" i="3"/>
  <c r="PM60" i="3"/>
  <c r="PM58" i="3"/>
  <c r="RY60" i="3"/>
  <c r="RY58" i="3"/>
  <c r="UK60" i="3"/>
  <c r="UK58" i="3"/>
  <c r="WW60" i="3"/>
  <c r="WW58" i="3"/>
  <c r="ZI60" i="3"/>
  <c r="ZI58" i="3"/>
  <c r="ZB60" i="3"/>
  <c r="ZB58" i="3"/>
  <c r="YL60" i="3"/>
  <c r="YL58" i="3"/>
  <c r="XV60" i="3"/>
  <c r="XV58" i="3"/>
  <c r="XF60" i="3"/>
  <c r="XF58" i="3"/>
  <c r="WP60" i="3"/>
  <c r="WP58" i="3"/>
  <c r="VZ60" i="3"/>
  <c r="VZ58" i="3"/>
  <c r="VJ60" i="3"/>
  <c r="VJ58" i="3"/>
  <c r="UT60" i="3"/>
  <c r="UT58" i="3"/>
  <c r="UD60" i="3"/>
  <c r="UD58" i="3"/>
  <c r="TN60" i="3"/>
  <c r="TN58" i="3"/>
  <c r="SX60" i="3"/>
  <c r="SX58" i="3"/>
  <c r="SH60" i="3"/>
  <c r="SH58" i="3"/>
  <c r="RR60" i="3"/>
  <c r="RR58" i="3"/>
  <c r="RB60" i="3"/>
  <c r="RB58" i="3"/>
  <c r="QL60" i="3"/>
  <c r="QL58" i="3"/>
  <c r="PV60" i="3"/>
  <c r="PV58" i="3"/>
  <c r="PF60" i="3"/>
  <c r="PF58" i="3"/>
  <c r="OP60" i="3"/>
  <c r="OP58" i="3"/>
  <c r="NZ60" i="3"/>
  <c r="NZ58" i="3"/>
  <c r="NJ60" i="3"/>
  <c r="NJ58" i="3"/>
  <c r="MT60" i="3"/>
  <c r="MT58" i="3"/>
  <c r="MD60" i="3"/>
  <c r="MD58" i="3"/>
  <c r="KZ60" i="3"/>
  <c r="KZ58" i="3"/>
  <c r="JT60" i="3"/>
  <c r="JT58" i="3"/>
  <c r="IN60" i="3"/>
  <c r="IN58" i="3"/>
  <c r="HH60" i="3"/>
  <c r="HH58" i="3"/>
  <c r="FI60" i="3"/>
  <c r="FI58" i="3"/>
  <c r="CW60" i="3"/>
  <c r="CW58" i="3"/>
  <c r="AK60" i="3"/>
  <c r="AK58" i="3"/>
  <c r="YV60" i="3"/>
  <c r="YV58" i="3"/>
  <c r="YF60" i="3"/>
  <c r="YF58" i="3"/>
  <c r="XP60" i="3"/>
  <c r="XP58" i="3"/>
  <c r="WZ60" i="3"/>
  <c r="WZ58" i="3"/>
  <c r="WJ60" i="3"/>
  <c r="WJ58" i="3"/>
  <c r="VT60" i="3"/>
  <c r="VT58" i="3"/>
  <c r="VD60" i="3"/>
  <c r="VD58" i="3"/>
  <c r="UN60" i="3"/>
  <c r="UN58" i="3"/>
  <c r="TX60" i="3"/>
  <c r="TX58" i="3"/>
  <c r="TH60" i="3"/>
  <c r="TH58" i="3"/>
  <c r="SR60" i="3"/>
  <c r="SR58" i="3"/>
  <c r="SB60" i="3"/>
  <c r="SB58" i="3"/>
  <c r="QV60" i="3"/>
  <c r="QV58" i="3"/>
  <c r="QF60" i="3"/>
  <c r="QF58" i="3"/>
  <c r="PP60" i="3"/>
  <c r="PP58" i="3"/>
  <c r="OZ60" i="3"/>
  <c r="OZ58" i="3"/>
  <c r="OJ60" i="3"/>
  <c r="OJ58" i="3"/>
  <c r="NT60" i="3"/>
  <c r="NT58" i="3"/>
  <c r="MN60" i="3"/>
  <c r="MN58" i="3"/>
  <c r="KN60" i="3"/>
  <c r="KN58" i="3"/>
  <c r="JH60" i="3"/>
  <c r="JH58" i="3"/>
  <c r="GV60" i="3"/>
  <c r="GV58" i="3"/>
  <c r="EK60" i="3"/>
  <c r="EK58" i="3"/>
  <c r="BY60" i="3"/>
  <c r="BY58" i="3"/>
  <c r="M60" i="3"/>
  <c r="M58" i="3"/>
  <c r="ZG60" i="3"/>
  <c r="ZG58" i="3"/>
  <c r="YQ60" i="3"/>
  <c r="YQ58" i="3"/>
  <c r="YA60" i="3"/>
  <c r="YA58" i="3"/>
  <c r="XK60" i="3"/>
  <c r="XK58" i="3"/>
  <c r="WU60" i="3"/>
  <c r="WU58" i="3"/>
  <c r="WE60" i="3"/>
  <c r="WE58" i="3"/>
  <c r="VO60" i="3"/>
  <c r="VO58" i="3"/>
  <c r="UY60" i="3"/>
  <c r="UY58" i="3"/>
  <c r="UI60" i="3"/>
  <c r="UI58" i="3"/>
  <c r="TS60" i="3"/>
  <c r="TS58" i="3"/>
  <c r="TC60" i="3"/>
  <c r="TC58" i="3"/>
  <c r="SM60" i="3"/>
  <c r="SM58" i="3"/>
  <c r="RW60" i="3"/>
  <c r="RW58" i="3"/>
  <c r="RG60" i="3"/>
  <c r="RG58" i="3"/>
  <c r="QQ60" i="3"/>
  <c r="QQ58" i="3"/>
  <c r="QA60" i="3"/>
  <c r="QA58" i="3"/>
  <c r="PK60" i="3"/>
  <c r="PK58" i="3"/>
  <c r="OU60" i="3"/>
  <c r="OU58" i="3"/>
  <c r="OE60" i="3"/>
  <c r="OE58" i="3"/>
  <c r="NO60" i="3"/>
  <c r="NO58" i="3"/>
  <c r="MY60" i="3"/>
  <c r="MY58" i="3"/>
  <c r="MI60" i="3"/>
  <c r="MI58" i="3"/>
  <c r="LI60" i="3"/>
  <c r="LI58" i="3"/>
  <c r="KC60" i="3"/>
  <c r="KC58" i="3"/>
  <c r="IW60" i="3"/>
  <c r="IW58" i="3"/>
  <c r="HQ60" i="3"/>
  <c r="HQ58" i="3"/>
  <c r="GC60" i="3"/>
  <c r="GC58" i="3"/>
  <c r="DQ60" i="3"/>
  <c r="DQ58" i="3"/>
  <c r="BE60" i="3"/>
  <c r="BE58" i="3"/>
  <c r="CC60" i="3"/>
  <c r="CC58" i="3"/>
  <c r="JI60" i="3"/>
  <c r="JI58" i="3"/>
  <c r="NE60" i="3"/>
  <c r="NE58" i="3"/>
  <c r="PQ60" i="3"/>
  <c r="PQ58" i="3"/>
  <c r="SC60" i="3"/>
  <c r="SC58" i="3"/>
  <c r="UO60" i="3"/>
  <c r="UO58" i="3"/>
  <c r="XA60" i="3"/>
  <c r="XA58" i="3"/>
  <c r="HE60" i="3"/>
  <c r="HE58" i="3"/>
  <c r="MC60" i="3"/>
  <c r="MC58" i="3"/>
  <c r="OO60" i="3"/>
  <c r="OO58" i="3"/>
  <c r="RA60" i="3"/>
  <c r="RA58" i="3"/>
  <c r="TM60" i="3"/>
  <c r="TM58" i="3"/>
  <c r="VY60" i="3"/>
  <c r="VY58" i="3"/>
  <c r="YK60" i="3"/>
  <c r="YK58" i="3"/>
  <c r="AF60" i="3"/>
  <c r="RI60" i="3"/>
  <c r="QP60" i="3"/>
  <c r="NX60" i="3"/>
  <c r="KV60" i="3"/>
  <c r="LK60" i="3"/>
  <c r="LE60" i="3"/>
  <c r="RL60" i="3"/>
  <c r="ND60" i="3"/>
  <c r="LT60" i="3"/>
  <c r="IB60" i="3"/>
  <c r="LH60" i="3"/>
  <c r="KB60" i="3"/>
  <c r="IV60" i="3"/>
  <c r="HP60" i="3"/>
  <c r="PT60" i="3"/>
  <c r="SA60" i="3"/>
  <c r="OI60" i="3"/>
  <c r="MG60" i="3"/>
  <c r="OS60" i="3"/>
  <c r="RQ60" i="3"/>
  <c r="DH60" i="3"/>
  <c r="DX60" i="3"/>
  <c r="OW60" i="3"/>
  <c r="PJ60" i="3"/>
  <c r="MX60" i="3"/>
  <c r="HD60" i="3"/>
  <c r="QU60" i="3"/>
  <c r="QE60" i="3"/>
  <c r="QI60" i="3"/>
  <c r="OM60" i="3"/>
  <c r="NW60" i="3"/>
  <c r="MQ60" i="3"/>
  <c r="JM60" i="3"/>
  <c r="IG60" i="3"/>
  <c r="CK60" i="3"/>
  <c r="ALJ28" i="3"/>
  <c r="ALJ44" i="3" s="1"/>
  <c r="ACD28" i="3"/>
  <c r="ACD44" i="3" s="1"/>
  <c r="AAH28" i="3"/>
  <c r="AAH44" i="3" s="1"/>
  <c r="ALF28" i="3"/>
  <c r="ALF44" i="3" s="1"/>
  <c r="AJZ28" i="3"/>
  <c r="AJZ44" i="3" s="1"/>
  <c r="AIT28" i="3"/>
  <c r="AIT44" i="3" s="1"/>
  <c r="AHN28" i="3"/>
  <c r="AHN44" i="3" s="1"/>
  <c r="AGH28" i="3"/>
  <c r="AGH44" i="3" s="1"/>
  <c r="AFB28" i="3"/>
  <c r="AFB44" i="3" s="1"/>
  <c r="ADV28" i="3"/>
  <c r="ADV44" i="3" s="1"/>
  <c r="ACP28" i="3"/>
  <c r="ACP44" i="3" s="1"/>
  <c r="ABJ28" i="3"/>
  <c r="ABJ44" i="3" s="1"/>
  <c r="AAD28" i="3"/>
  <c r="AAD44" i="3" s="1"/>
  <c r="AJF28" i="3"/>
  <c r="AJF44" i="3" s="1"/>
  <c r="AHJ28" i="3"/>
  <c r="AHJ44" i="3" s="1"/>
  <c r="AFN28" i="3"/>
  <c r="AFN44" i="3" s="1"/>
  <c r="ADR28" i="3"/>
  <c r="ADR44" i="3" s="1"/>
  <c r="CT28" i="3"/>
  <c r="CT44" i="3" s="1"/>
  <c r="DZ28" i="3"/>
  <c r="DZ44" i="3" s="1"/>
  <c r="AW28" i="3"/>
  <c r="AW44" i="3" s="1"/>
  <c r="IS28" i="3"/>
  <c r="IS44" i="3" s="1"/>
  <c r="MW28" i="3"/>
  <c r="MW44" i="3" s="1"/>
  <c r="PI28" i="3"/>
  <c r="PI44" i="3" s="1"/>
  <c r="RU28" i="3"/>
  <c r="RU44" i="3" s="1"/>
  <c r="UG28" i="3"/>
  <c r="UG44" i="3" s="1"/>
  <c r="WS28" i="3"/>
  <c r="WS44" i="3" s="1"/>
  <c r="ZE28" i="3"/>
  <c r="ZE44" i="3" s="1"/>
  <c r="AH28" i="3"/>
  <c r="AH44" i="3" s="1"/>
  <c r="GL28" i="3"/>
  <c r="GL44" i="3" s="1"/>
  <c r="HR28" i="3"/>
  <c r="HR44" i="3" s="1"/>
  <c r="KD28" i="3"/>
  <c r="KD44" i="3" s="1"/>
  <c r="LJ28" i="3"/>
  <c r="LJ44" i="3" s="1"/>
  <c r="CH28" i="3"/>
  <c r="CH44" i="3" s="1"/>
  <c r="CX28" i="3"/>
  <c r="CX44" i="3" s="1"/>
  <c r="DN28" i="3"/>
  <c r="DN44" i="3" s="1"/>
  <c r="ED28" i="3"/>
  <c r="ED44" i="3" s="1"/>
  <c r="ET28" i="3"/>
  <c r="ET44" i="3" s="1"/>
  <c r="FJ28" i="3"/>
  <c r="FJ44" i="3" s="1"/>
  <c r="HF28" i="3"/>
  <c r="HF44" i="3" s="1"/>
  <c r="HV28" i="3"/>
  <c r="HV44" i="3" s="1"/>
  <c r="IL28" i="3"/>
  <c r="IL44" i="3" s="1"/>
  <c r="KH28" i="3"/>
  <c r="KH44" i="3" s="1"/>
  <c r="KX28" i="3"/>
  <c r="KX44" i="3" s="1"/>
  <c r="DI28" i="3"/>
  <c r="DI44" i="3" s="1"/>
  <c r="BN28" i="3"/>
  <c r="BN44" i="3" s="1"/>
  <c r="FF28" i="3"/>
  <c r="FF44" i="3" s="1"/>
  <c r="IX28" i="3"/>
  <c r="IX44" i="3" s="1"/>
  <c r="Z28" i="3"/>
  <c r="Z44" i="3" s="1"/>
  <c r="AP28" i="3"/>
  <c r="AP44" i="3" s="1"/>
  <c r="BF28" i="3"/>
  <c r="BF44" i="3" s="1"/>
  <c r="BV28" i="3"/>
  <c r="BV44" i="3" s="1"/>
  <c r="CL28" i="3"/>
  <c r="CL44" i="3" s="1"/>
  <c r="DB28" i="3"/>
  <c r="DB44" i="3" s="1"/>
  <c r="DR28" i="3"/>
  <c r="DR44" i="3" s="1"/>
  <c r="EH28" i="3"/>
  <c r="EH44" i="3" s="1"/>
  <c r="EX28" i="3"/>
  <c r="EX44" i="3" s="1"/>
  <c r="FN28" i="3"/>
  <c r="FN44" i="3" s="1"/>
  <c r="GD28" i="3"/>
  <c r="GD44" i="3" s="1"/>
  <c r="GT28" i="3"/>
  <c r="GT44" i="3" s="1"/>
  <c r="HJ28" i="3"/>
  <c r="HJ44" i="3" s="1"/>
  <c r="HZ28" i="3"/>
  <c r="HZ44" i="3" s="1"/>
  <c r="IP28" i="3"/>
  <c r="IP44" i="3" s="1"/>
  <c r="JF28" i="3"/>
  <c r="JF44" i="3" s="1"/>
  <c r="JV28" i="3"/>
  <c r="JV44" i="3" s="1"/>
  <c r="KL28" i="3"/>
  <c r="KL44" i="3" s="1"/>
  <c r="LB28" i="3"/>
  <c r="LB44" i="3" s="1"/>
  <c r="LR28" i="3"/>
  <c r="LR44" i="3" s="1"/>
  <c r="W28" i="3"/>
  <c r="W44" i="3" s="1"/>
  <c r="AM28" i="3"/>
  <c r="AM44" i="3" s="1"/>
  <c r="BC28" i="3"/>
  <c r="BC44" i="3" s="1"/>
  <c r="BS28" i="3"/>
  <c r="BS44" i="3" s="1"/>
  <c r="CI28" i="3"/>
  <c r="CI44" i="3" s="1"/>
  <c r="CY28" i="3"/>
  <c r="CY44" i="3" s="1"/>
  <c r="DO28" i="3"/>
  <c r="DO44" i="3" s="1"/>
  <c r="EE28" i="3"/>
  <c r="EE44" i="3" s="1"/>
  <c r="EU28" i="3"/>
  <c r="EU44" i="3" s="1"/>
  <c r="FK28" i="3"/>
  <c r="FK44" i="3" s="1"/>
  <c r="GA28" i="3"/>
  <c r="GA44" i="3" s="1"/>
  <c r="GQ28" i="3"/>
  <c r="GQ44" i="3" s="1"/>
  <c r="HG28" i="3"/>
  <c r="HG44" i="3" s="1"/>
  <c r="HW28" i="3"/>
  <c r="HW44" i="3" s="1"/>
  <c r="IM28" i="3"/>
  <c r="IM44" i="3" s="1"/>
  <c r="JC28" i="3"/>
  <c r="JC44" i="3" s="1"/>
  <c r="JS28" i="3"/>
  <c r="JS44" i="3" s="1"/>
  <c r="KI28" i="3"/>
  <c r="KI44" i="3" s="1"/>
  <c r="KY28" i="3"/>
  <c r="KY44" i="3" s="1"/>
  <c r="LO28" i="3"/>
  <c r="LO44" i="3" s="1"/>
  <c r="D28" i="3"/>
  <c r="D44" i="3" s="1"/>
  <c r="T28" i="3"/>
  <c r="T44" i="3" s="1"/>
  <c r="AJ28" i="3"/>
  <c r="AJ44" i="3" s="1"/>
  <c r="AZ28" i="3"/>
  <c r="AZ44" i="3" s="1"/>
  <c r="BP28" i="3"/>
  <c r="BP44" i="3" s="1"/>
  <c r="CF28" i="3"/>
  <c r="CF44" i="3" s="1"/>
  <c r="CV28" i="3"/>
  <c r="CV44" i="3" s="1"/>
  <c r="DL28" i="3"/>
  <c r="DL44" i="3" s="1"/>
  <c r="EB28" i="3"/>
  <c r="EB44" i="3" s="1"/>
  <c r="ER28" i="3"/>
  <c r="ER44" i="3" s="1"/>
  <c r="FH28" i="3"/>
  <c r="FH44" i="3" s="1"/>
  <c r="FX28" i="3"/>
  <c r="FX44" i="3" s="1"/>
  <c r="GN28" i="3"/>
  <c r="GN44" i="3" s="1"/>
  <c r="FU28" i="3"/>
  <c r="FU44" i="3" s="1"/>
  <c r="AD28" i="3"/>
  <c r="AD44" i="3" s="1"/>
  <c r="AT28" i="3"/>
  <c r="AT44" i="3" s="1"/>
  <c r="BZ28" i="3"/>
  <c r="BZ44" i="3" s="1"/>
  <c r="FB28" i="3"/>
  <c r="FB44" i="3" s="1"/>
  <c r="GH28" i="3"/>
  <c r="GH44" i="3" s="1"/>
  <c r="GX28" i="3"/>
  <c r="GX44" i="3" s="1"/>
  <c r="JZ28" i="3"/>
  <c r="JZ44" i="3" s="1"/>
  <c r="LV28" i="3"/>
  <c r="LV44" i="3" s="1"/>
  <c r="HM28" i="3"/>
  <c r="HM44" i="3" s="1"/>
  <c r="MG28" i="3"/>
  <c r="MG44" i="3" s="1"/>
  <c r="OS28" i="3"/>
  <c r="OS44" i="3" s="1"/>
  <c r="RE28" i="3"/>
  <c r="RE44" i="3" s="1"/>
  <c r="TQ28" i="3"/>
  <c r="TQ44" i="3" s="1"/>
  <c r="WC28" i="3"/>
  <c r="WC44" i="3" s="1"/>
  <c r="YO28" i="3"/>
  <c r="YO44" i="3" s="1"/>
  <c r="ZB28" i="3"/>
  <c r="ZB44" i="3" s="1"/>
  <c r="YL28" i="3"/>
  <c r="YL44" i="3" s="1"/>
  <c r="UT28" i="3"/>
  <c r="UT44" i="3" s="1"/>
  <c r="SX28" i="3"/>
  <c r="SX44" i="3" s="1"/>
  <c r="RR28" i="3"/>
  <c r="RR44" i="3" s="1"/>
  <c r="QL28" i="3"/>
  <c r="QL44" i="3" s="1"/>
  <c r="PF28" i="3"/>
  <c r="PF44" i="3" s="1"/>
  <c r="MT28" i="3"/>
  <c r="MT44" i="3" s="1"/>
  <c r="YD28" i="3"/>
  <c r="YD44" i="3" s="1"/>
  <c r="WH28" i="3"/>
  <c r="WH44" i="3" s="1"/>
  <c r="VR28" i="3"/>
  <c r="VR44" i="3" s="1"/>
  <c r="UL28" i="3"/>
  <c r="UL44" i="3" s="1"/>
  <c r="TV28" i="3"/>
  <c r="TV44" i="3" s="1"/>
  <c r="SP28" i="3"/>
  <c r="SP44" i="3" s="1"/>
  <c r="RJ28" i="3"/>
  <c r="RJ44" i="3" s="1"/>
  <c r="QD28" i="3"/>
  <c r="QD44" i="3" s="1"/>
  <c r="OX28" i="3"/>
  <c r="OX44" i="3" s="1"/>
  <c r="FM28" i="3"/>
  <c r="FM44" i="3" s="1"/>
  <c r="DA28" i="3"/>
  <c r="DA44" i="3" s="1"/>
  <c r="AO28" i="3"/>
  <c r="AO44" i="3" s="1"/>
  <c r="CC28" i="3"/>
  <c r="CC44" i="3" s="1"/>
  <c r="NE28" i="3"/>
  <c r="NE44" i="3" s="1"/>
  <c r="PQ28" i="3"/>
  <c r="PQ44" i="3" s="1"/>
  <c r="SC28" i="3"/>
  <c r="SC44" i="3" s="1"/>
  <c r="UO28" i="3"/>
  <c r="UO44" i="3" s="1"/>
  <c r="LY28" i="3"/>
  <c r="LY44" i="3" s="1"/>
  <c r="KS28" i="3"/>
  <c r="KS44" i="3" s="1"/>
  <c r="JM28" i="3"/>
  <c r="JM44" i="3" s="1"/>
  <c r="IG28" i="3"/>
  <c r="IG44" i="3" s="1"/>
  <c r="HA28" i="3"/>
  <c r="HA44" i="3" s="1"/>
  <c r="EO28" i="3"/>
  <c r="EO44" i="3" s="1"/>
  <c r="ZN28" i="3"/>
  <c r="ZN44" i="3" s="1"/>
  <c r="YX28" i="3"/>
  <c r="YX44" i="3" s="1"/>
  <c r="YH28" i="3"/>
  <c r="YH44" i="3" s="1"/>
  <c r="XR28" i="3"/>
  <c r="XR44" i="3" s="1"/>
  <c r="XB28" i="3"/>
  <c r="XB44" i="3" s="1"/>
  <c r="WL28" i="3"/>
  <c r="WL44" i="3" s="1"/>
  <c r="VV28" i="3"/>
  <c r="VV44" i="3" s="1"/>
  <c r="VF28" i="3"/>
  <c r="VF44" i="3" s="1"/>
  <c r="UP28" i="3"/>
  <c r="UP44" i="3" s="1"/>
  <c r="TZ28" i="3"/>
  <c r="TZ44" i="3" s="1"/>
  <c r="TJ28" i="3"/>
  <c r="TJ44" i="3" s="1"/>
  <c r="ST28" i="3"/>
  <c r="ST44" i="3" s="1"/>
  <c r="SD28" i="3"/>
  <c r="SD44" i="3" s="1"/>
  <c r="RN28" i="3"/>
  <c r="RN44" i="3" s="1"/>
  <c r="QX28" i="3"/>
  <c r="QX44" i="3" s="1"/>
  <c r="QH28" i="3"/>
  <c r="QH44" i="3" s="1"/>
  <c r="PR28" i="3"/>
  <c r="PR44" i="3" s="1"/>
  <c r="PB28" i="3"/>
  <c r="PB44" i="3" s="1"/>
  <c r="OL28" i="3"/>
  <c r="OL44" i="3" s="1"/>
  <c r="NV28" i="3"/>
  <c r="NV44" i="3" s="1"/>
  <c r="NF28" i="3"/>
  <c r="NF44" i="3" s="1"/>
  <c r="MP28" i="3"/>
  <c r="MP44" i="3" s="1"/>
  <c r="LX28" i="3"/>
  <c r="LX44" i="3" s="1"/>
  <c r="KR28" i="3"/>
  <c r="KR44" i="3" s="1"/>
  <c r="JL28" i="3"/>
  <c r="JL44" i="3" s="1"/>
  <c r="IF28" i="3"/>
  <c r="IF44" i="3" s="1"/>
  <c r="GZ28" i="3"/>
  <c r="GZ44" i="3" s="1"/>
  <c r="LI28" i="3"/>
  <c r="LI44" i="3" s="1"/>
  <c r="KC28" i="3"/>
  <c r="KC44" i="3" s="1"/>
  <c r="IW28" i="3"/>
  <c r="IW44" i="3" s="1"/>
  <c r="HQ28" i="3"/>
  <c r="HQ44" i="3" s="1"/>
  <c r="MO28" i="3"/>
  <c r="MO44" i="3" s="1"/>
  <c r="PA28" i="3"/>
  <c r="PA44" i="3" s="1"/>
  <c r="RM28" i="3"/>
  <c r="RM44" i="3" s="1"/>
  <c r="TY28" i="3"/>
  <c r="TY44" i="3" s="1"/>
  <c r="WK28" i="3"/>
  <c r="WK44" i="3" s="1"/>
  <c r="YW28" i="3"/>
  <c r="YW44" i="3" s="1"/>
  <c r="XA28" i="3"/>
  <c r="XA44" i="3" s="1"/>
  <c r="ZM28" i="3"/>
  <c r="ZM44" i="3" s="1"/>
  <c r="ABY28" i="3"/>
  <c r="ABY44" i="3" s="1"/>
  <c r="AEK28" i="3"/>
  <c r="AEK44" i="3" s="1"/>
  <c r="AGW28" i="3"/>
  <c r="AGW44" i="3" s="1"/>
  <c r="AJI28" i="3"/>
  <c r="AJI44" i="3" s="1"/>
  <c r="OC28" i="3"/>
  <c r="OC44" i="3" s="1"/>
  <c r="QO28" i="3"/>
  <c r="QO44" i="3" s="1"/>
  <c r="TA28" i="3"/>
  <c r="TA44" i="3" s="1"/>
  <c r="VM28" i="3"/>
  <c r="VM44" i="3" s="1"/>
  <c r="XY28" i="3"/>
  <c r="XY44" i="3" s="1"/>
  <c r="AAK28" i="3"/>
  <c r="AAK44" i="3" s="1"/>
  <c r="ACW28" i="3"/>
  <c r="ACW44" i="3" s="1"/>
  <c r="AFI28" i="3"/>
  <c r="AFI44" i="3" s="1"/>
  <c r="AHU28" i="3"/>
  <c r="AHU44" i="3" s="1"/>
  <c r="AKG28" i="3"/>
  <c r="AKG44" i="3" s="1"/>
  <c r="AKX28" i="3"/>
  <c r="AKX44" i="3" s="1"/>
  <c r="AJR28" i="3"/>
  <c r="AJR44" i="3" s="1"/>
  <c r="AIL28" i="3"/>
  <c r="AIL44" i="3" s="1"/>
  <c r="AHF28" i="3"/>
  <c r="AHF44" i="3" s="1"/>
  <c r="AFZ28" i="3"/>
  <c r="AFZ44" i="3" s="1"/>
  <c r="AET28" i="3"/>
  <c r="AET44" i="3" s="1"/>
  <c r="ADN28" i="3"/>
  <c r="ADN44" i="3" s="1"/>
  <c r="ACH28" i="3"/>
  <c r="ACH44" i="3" s="1"/>
  <c r="ABB28" i="3"/>
  <c r="ABB44" i="3" s="1"/>
  <c r="ZV28" i="3"/>
  <c r="ZV44" i="3" s="1"/>
  <c r="YP28" i="3"/>
  <c r="YP44" i="3" s="1"/>
  <c r="XJ28" i="3"/>
  <c r="XJ44" i="3" s="1"/>
  <c r="WD28" i="3"/>
  <c r="WD44" i="3" s="1"/>
  <c r="UX28" i="3"/>
  <c r="UX44" i="3" s="1"/>
  <c r="TR28" i="3"/>
  <c r="TR44" i="3" s="1"/>
  <c r="SL28" i="3"/>
  <c r="SL44" i="3" s="1"/>
  <c r="RF28" i="3"/>
  <c r="RF44" i="3" s="1"/>
  <c r="OT28" i="3"/>
  <c r="OT44" i="3" s="1"/>
  <c r="NN28" i="3"/>
  <c r="NN44" i="3" s="1"/>
  <c r="MH28" i="3"/>
  <c r="MH44" i="3" s="1"/>
  <c r="AIX28" i="3"/>
  <c r="AIX44" i="3" s="1"/>
  <c r="AHB28" i="3"/>
  <c r="AHB44" i="3" s="1"/>
  <c r="ADJ28" i="3"/>
  <c r="ADJ44" i="3" s="1"/>
  <c r="ZR28" i="3"/>
  <c r="ZR44" i="3" s="1"/>
  <c r="OP28" i="3"/>
  <c r="OP44" i="3" s="1"/>
  <c r="MD28" i="3"/>
  <c r="MD44" i="3" s="1"/>
  <c r="AL28" i="3"/>
  <c r="AL44" i="3" s="1"/>
  <c r="GP28" i="3"/>
  <c r="GP44" i="3" s="1"/>
  <c r="OA27" i="3"/>
  <c r="OA43" i="3" s="1"/>
  <c r="GC28" i="3"/>
  <c r="GC44" i="3" s="1"/>
  <c r="DQ28" i="3"/>
  <c r="DQ44" i="3" s="1"/>
  <c r="BE28" i="3"/>
  <c r="BE44" i="3" s="1"/>
  <c r="BJ28" i="3"/>
  <c r="BJ44" i="3" s="1"/>
  <c r="DF28" i="3"/>
  <c r="DF44" i="3" s="1"/>
  <c r="IT28" i="3"/>
  <c r="IT44" i="3" s="1"/>
  <c r="KP28" i="3"/>
  <c r="KP44" i="3" s="1"/>
  <c r="JY28" i="3"/>
  <c r="JY44" i="3" s="1"/>
  <c r="NM28" i="3"/>
  <c r="NM44" i="3" s="1"/>
  <c r="PY28" i="3"/>
  <c r="PY44" i="3" s="1"/>
  <c r="SK28" i="3"/>
  <c r="SK44" i="3" s="1"/>
  <c r="UW28" i="3"/>
  <c r="UW44" i="3" s="1"/>
  <c r="XI28" i="3"/>
  <c r="XI44" i="3" s="1"/>
  <c r="ZU28" i="3"/>
  <c r="ZU44" i="3" s="1"/>
  <c r="ACG28" i="3"/>
  <c r="ACG44" i="3" s="1"/>
  <c r="AES28" i="3"/>
  <c r="AES44" i="3" s="1"/>
  <c r="AHE28" i="3"/>
  <c r="AHE44" i="3" s="1"/>
  <c r="AJQ28" i="3"/>
  <c r="AJQ44" i="3" s="1"/>
  <c r="AJV28" i="3"/>
  <c r="AJV44" i="3" s="1"/>
  <c r="AHZ28" i="3"/>
  <c r="AHZ44" i="3" s="1"/>
  <c r="AGD28" i="3"/>
  <c r="AGD44" i="3" s="1"/>
  <c r="ACL28" i="3"/>
  <c r="ACL44" i="3" s="1"/>
  <c r="WX28" i="3"/>
  <c r="WX44" i="3" s="1"/>
  <c r="TF28" i="3"/>
  <c r="TF44" i="3" s="1"/>
  <c r="RZ28" i="3"/>
  <c r="RZ44" i="3" s="1"/>
  <c r="QT28" i="3"/>
  <c r="QT44" i="3" s="1"/>
  <c r="NB28" i="3"/>
  <c r="NB44" i="3" s="1"/>
  <c r="LA28" i="3"/>
  <c r="LA44" i="3" s="1"/>
  <c r="JU28" i="3"/>
  <c r="JU44" i="3" s="1"/>
  <c r="IO28" i="3"/>
  <c r="IO44" i="3" s="1"/>
  <c r="HI28" i="3"/>
  <c r="HI44" i="3" s="1"/>
  <c r="LE28" i="3"/>
  <c r="LE44" i="3" s="1"/>
  <c r="AKH28" i="3"/>
  <c r="AKH44" i="3" s="1"/>
  <c r="AJB28" i="3"/>
  <c r="AJB44" i="3" s="1"/>
  <c r="AHV28" i="3"/>
  <c r="AHV44" i="3" s="1"/>
  <c r="AGP28" i="3"/>
  <c r="AGP44" i="3" s="1"/>
  <c r="AFJ28" i="3"/>
  <c r="AFJ44" i="3" s="1"/>
  <c r="AED28" i="3"/>
  <c r="AED44" i="3" s="1"/>
  <c r="ACX28" i="3"/>
  <c r="ACX44" i="3" s="1"/>
  <c r="ABR28" i="3"/>
  <c r="ABR44" i="3" s="1"/>
  <c r="AAL28" i="3"/>
  <c r="AAL44" i="3" s="1"/>
  <c r="ZF28" i="3"/>
  <c r="ZF44" i="3" s="1"/>
  <c r="XZ28" i="3"/>
  <c r="XZ44" i="3" s="1"/>
  <c r="WT28" i="3"/>
  <c r="WT44" i="3" s="1"/>
  <c r="VN28" i="3"/>
  <c r="VN44" i="3" s="1"/>
  <c r="UH28" i="3"/>
  <c r="UH44" i="3" s="1"/>
  <c r="TB28" i="3"/>
  <c r="TB44" i="3" s="1"/>
  <c r="RV28" i="3"/>
  <c r="RV44" i="3" s="1"/>
  <c r="PJ28" i="3"/>
  <c r="PJ44" i="3" s="1"/>
  <c r="OD28" i="3"/>
  <c r="OD44" i="3" s="1"/>
  <c r="MX28" i="3"/>
  <c r="MX44" i="3" s="1"/>
  <c r="OK28" i="3"/>
  <c r="OK44" i="3" s="1"/>
  <c r="QW28" i="3"/>
  <c r="QW44" i="3" s="1"/>
  <c r="TI28" i="3"/>
  <c r="TI44" i="3" s="1"/>
  <c r="VU28" i="3"/>
  <c r="VU44" i="3" s="1"/>
  <c r="YG28" i="3"/>
  <c r="YG44" i="3" s="1"/>
  <c r="AAS28" i="3"/>
  <c r="AAS44" i="3" s="1"/>
  <c r="ADE28" i="3"/>
  <c r="ADE44" i="3" s="1"/>
  <c r="AFQ28" i="3"/>
  <c r="AFQ44" i="3" s="1"/>
  <c r="AIC28" i="3"/>
  <c r="AIC44" i="3" s="1"/>
  <c r="AKO28" i="3"/>
  <c r="AKO44" i="3" s="1"/>
  <c r="N28" i="3"/>
  <c r="N44" i="3" s="1"/>
  <c r="DV28" i="3"/>
  <c r="DV44" i="3" s="1"/>
  <c r="FR28" i="3"/>
  <c r="FR44" i="3" s="1"/>
  <c r="HN28" i="3"/>
  <c r="HN44" i="3" s="1"/>
  <c r="JJ28" i="3"/>
  <c r="JJ44" i="3" s="1"/>
  <c r="BM28" i="3"/>
  <c r="BM44" i="3" s="1"/>
  <c r="AKL28" i="3"/>
  <c r="AKL44" i="3" s="1"/>
  <c r="AGT28" i="3"/>
  <c r="AGT44" i="3" s="1"/>
  <c r="AEH28" i="3"/>
  <c r="AEH44" i="3" s="1"/>
  <c r="ABF28" i="3"/>
  <c r="ABF44" i="3" s="1"/>
  <c r="ZJ28" i="3"/>
  <c r="ZJ44" i="3" s="1"/>
  <c r="XN28" i="3"/>
  <c r="XN44" i="3" s="1"/>
  <c r="PN28" i="3"/>
  <c r="PN44" i="3" s="1"/>
  <c r="NR28" i="3"/>
  <c r="NR44" i="3" s="1"/>
  <c r="R28" i="3"/>
  <c r="R44" i="3" s="1"/>
  <c r="AX28" i="3"/>
  <c r="AX44" i="3" s="1"/>
  <c r="CD28" i="3"/>
  <c r="CD44" i="3" s="1"/>
  <c r="DJ28" i="3"/>
  <c r="DJ44" i="3" s="1"/>
  <c r="EP28" i="3"/>
  <c r="EP44" i="3" s="1"/>
  <c r="FV28" i="3"/>
  <c r="FV44" i="3" s="1"/>
  <c r="HB28" i="3"/>
  <c r="HB44" i="3" s="1"/>
  <c r="IH28" i="3"/>
  <c r="IH44" i="3" s="1"/>
  <c r="JN28" i="3"/>
  <c r="JN44" i="3" s="1"/>
  <c r="KT28" i="3"/>
  <c r="KT44" i="3" s="1"/>
  <c r="LZ28" i="3"/>
  <c r="LZ44" i="3" s="1"/>
  <c r="BR28" i="3"/>
  <c r="BR44" i="3" s="1"/>
  <c r="LN28" i="3"/>
  <c r="LN44" i="3" s="1"/>
  <c r="QP28" i="3"/>
  <c r="QP44" i="3" s="1"/>
  <c r="PZ28" i="3"/>
  <c r="PZ44" i="3" s="1"/>
  <c r="FZ27" i="3"/>
  <c r="FZ43" i="3" s="1"/>
  <c r="CP28" i="3"/>
  <c r="CP44" i="3" s="1"/>
  <c r="K28" i="3"/>
  <c r="K44" i="3" s="1"/>
  <c r="AA28" i="3"/>
  <c r="AA44" i="3" s="1"/>
  <c r="AQ28" i="3"/>
  <c r="AQ44" i="3" s="1"/>
  <c r="BG28" i="3"/>
  <c r="BG44" i="3" s="1"/>
  <c r="BW28" i="3"/>
  <c r="BW44" i="3" s="1"/>
  <c r="CM28" i="3"/>
  <c r="CM44" i="3" s="1"/>
  <c r="DC28" i="3"/>
  <c r="DC44" i="3" s="1"/>
  <c r="DS28" i="3"/>
  <c r="DS44" i="3" s="1"/>
  <c r="EI28" i="3"/>
  <c r="EI44" i="3" s="1"/>
  <c r="EY28" i="3"/>
  <c r="EY44" i="3" s="1"/>
  <c r="FO28" i="3"/>
  <c r="FO44" i="3" s="1"/>
  <c r="GE28" i="3"/>
  <c r="GE44" i="3" s="1"/>
  <c r="GU28" i="3"/>
  <c r="GU44" i="3" s="1"/>
  <c r="HK28" i="3"/>
  <c r="HK44" i="3" s="1"/>
  <c r="IA28" i="3"/>
  <c r="IA44" i="3" s="1"/>
  <c r="IQ28" i="3"/>
  <c r="IQ44" i="3" s="1"/>
  <c r="JW28" i="3"/>
  <c r="JW44" i="3" s="1"/>
  <c r="KM28" i="3"/>
  <c r="KM44" i="3" s="1"/>
  <c r="LC28" i="3"/>
  <c r="LC44" i="3" s="1"/>
  <c r="LS28" i="3"/>
  <c r="LS44" i="3" s="1"/>
  <c r="X28" i="3"/>
  <c r="X44" i="3" s="1"/>
  <c r="AN28" i="3"/>
  <c r="AN44" i="3" s="1"/>
  <c r="BD28" i="3"/>
  <c r="BD44" i="3" s="1"/>
  <c r="BT28" i="3"/>
  <c r="BT44" i="3" s="1"/>
  <c r="CZ28" i="3"/>
  <c r="CZ44" i="3" s="1"/>
  <c r="DP28" i="3"/>
  <c r="DP44" i="3" s="1"/>
  <c r="FL28" i="3"/>
  <c r="FL44" i="3" s="1"/>
  <c r="GB28" i="3"/>
  <c r="GB44" i="3" s="1"/>
  <c r="GR28" i="3"/>
  <c r="GR44" i="3" s="1"/>
  <c r="LP28" i="3"/>
  <c r="LP44" i="3" s="1"/>
  <c r="KJ28" i="3"/>
  <c r="KJ44" i="3" s="1"/>
  <c r="V28" i="3"/>
  <c r="V44" i="3" s="1"/>
  <c r="FZ28" i="3"/>
  <c r="FZ44" i="3" s="1"/>
  <c r="KZ28" i="3"/>
  <c r="KZ44" i="3" s="1"/>
  <c r="JT28" i="3"/>
  <c r="JT44" i="3" s="1"/>
  <c r="IN28" i="3"/>
  <c r="IN44" i="3" s="1"/>
  <c r="HH28" i="3"/>
  <c r="HH44" i="3" s="1"/>
  <c r="JR28" i="3"/>
  <c r="JR44" i="3" s="1"/>
  <c r="LQ28" i="3"/>
  <c r="LQ44" i="3" s="1"/>
  <c r="KK28" i="3"/>
  <c r="KK44" i="3" s="1"/>
  <c r="JE28" i="3"/>
  <c r="JE44" i="3" s="1"/>
  <c r="HY28" i="3"/>
  <c r="HY44" i="3" s="1"/>
  <c r="GS28" i="3"/>
  <c r="GS44" i="3" s="1"/>
  <c r="EG28" i="3"/>
  <c r="EG44" i="3" s="1"/>
  <c r="BU28" i="3"/>
  <c r="BU44" i="3" s="1"/>
  <c r="JG28" i="3"/>
  <c r="JG44" i="3" s="1"/>
  <c r="EV28" i="3"/>
  <c r="EV44" i="3" s="1"/>
  <c r="NQ28" i="3"/>
  <c r="NQ44" i="3" s="1"/>
  <c r="QC28" i="3"/>
  <c r="QC44" i="3" s="1"/>
  <c r="SO28" i="3"/>
  <c r="SO44" i="3" s="1"/>
  <c r="VA28" i="3"/>
  <c r="VA44" i="3" s="1"/>
  <c r="XM28" i="3"/>
  <c r="XM44" i="3" s="1"/>
  <c r="ZY28" i="3"/>
  <c r="ZY44" i="3" s="1"/>
  <c r="ACK28" i="3"/>
  <c r="ACK44" i="3" s="1"/>
  <c r="AEW28" i="3"/>
  <c r="AEW44" i="3" s="1"/>
  <c r="AHI28" i="3"/>
  <c r="AHI44" i="3" s="1"/>
  <c r="AJU28" i="3"/>
  <c r="AJU44" i="3" s="1"/>
  <c r="ES28" i="3"/>
  <c r="ES44" i="3" s="1"/>
  <c r="CG28" i="3"/>
  <c r="CG44" i="3" s="1"/>
  <c r="U28" i="3"/>
  <c r="U44" i="3" s="1"/>
  <c r="ALL28" i="3"/>
  <c r="ALL44" i="3" s="1"/>
  <c r="AKV28" i="3"/>
  <c r="AKV44" i="3" s="1"/>
  <c r="AKF28" i="3"/>
  <c r="AKF44" i="3" s="1"/>
  <c r="AJP28" i="3"/>
  <c r="AJP44" i="3" s="1"/>
  <c r="AIZ28" i="3"/>
  <c r="AIZ44" i="3" s="1"/>
  <c r="AIJ28" i="3"/>
  <c r="AIJ44" i="3" s="1"/>
  <c r="AHT28" i="3"/>
  <c r="AHT44" i="3" s="1"/>
  <c r="AHD28" i="3"/>
  <c r="AHD44" i="3" s="1"/>
  <c r="AGN28" i="3"/>
  <c r="AGN44" i="3" s="1"/>
  <c r="AFX28" i="3"/>
  <c r="AFX44" i="3" s="1"/>
  <c r="AFH28" i="3"/>
  <c r="AFH44" i="3" s="1"/>
  <c r="AER28" i="3"/>
  <c r="AER44" i="3" s="1"/>
  <c r="AEB28" i="3"/>
  <c r="AEB44" i="3" s="1"/>
  <c r="ADL28" i="3"/>
  <c r="ADL44" i="3" s="1"/>
  <c r="ACV28" i="3"/>
  <c r="ACV44" i="3" s="1"/>
  <c r="ACF28" i="3"/>
  <c r="ACF44" i="3" s="1"/>
  <c r="ABP28" i="3"/>
  <c r="ABP44" i="3" s="1"/>
  <c r="AAZ28" i="3"/>
  <c r="AAZ44" i="3" s="1"/>
  <c r="AAJ28" i="3"/>
  <c r="AAJ44" i="3" s="1"/>
  <c r="ZT28" i="3"/>
  <c r="ZT44" i="3" s="1"/>
  <c r="ZD28" i="3"/>
  <c r="ZD44" i="3" s="1"/>
  <c r="YN28" i="3"/>
  <c r="YN44" i="3" s="1"/>
  <c r="XX28" i="3"/>
  <c r="XX44" i="3" s="1"/>
  <c r="XH28" i="3"/>
  <c r="XH44" i="3" s="1"/>
  <c r="WR28" i="3"/>
  <c r="WR44" i="3" s="1"/>
  <c r="WB28" i="3"/>
  <c r="WB44" i="3" s="1"/>
  <c r="VL28" i="3"/>
  <c r="VL44" i="3" s="1"/>
  <c r="UV28" i="3"/>
  <c r="UV44" i="3" s="1"/>
  <c r="UF28" i="3"/>
  <c r="UF44" i="3" s="1"/>
  <c r="TP28" i="3"/>
  <c r="TP44" i="3" s="1"/>
  <c r="SZ28" i="3"/>
  <c r="SZ44" i="3" s="1"/>
  <c r="SJ28" i="3"/>
  <c r="SJ44" i="3" s="1"/>
  <c r="RT28" i="3"/>
  <c r="RT44" i="3" s="1"/>
  <c r="RD28" i="3"/>
  <c r="RD44" i="3" s="1"/>
  <c r="QN28" i="3"/>
  <c r="QN44" i="3" s="1"/>
  <c r="PX28" i="3"/>
  <c r="PX44" i="3" s="1"/>
  <c r="PH28" i="3"/>
  <c r="PH44" i="3" s="1"/>
  <c r="OR28" i="3"/>
  <c r="OR44" i="3" s="1"/>
  <c r="OB28" i="3"/>
  <c r="OB44" i="3" s="1"/>
  <c r="NL28" i="3"/>
  <c r="NL44" i="3" s="1"/>
  <c r="MV28" i="3"/>
  <c r="MV44" i="3" s="1"/>
  <c r="MF28" i="3"/>
  <c r="MF44" i="3" s="1"/>
  <c r="AKY28" i="3"/>
  <c r="AKY44" i="3" s="1"/>
  <c r="AKI28" i="3"/>
  <c r="AKI44" i="3" s="1"/>
  <c r="AJS28" i="3"/>
  <c r="AJS44" i="3" s="1"/>
  <c r="AJC28" i="3"/>
  <c r="AJC44" i="3" s="1"/>
  <c r="AIM28" i="3"/>
  <c r="AIM44" i="3" s="1"/>
  <c r="AHW28" i="3"/>
  <c r="AHW44" i="3" s="1"/>
  <c r="AHG28" i="3"/>
  <c r="AHG44" i="3" s="1"/>
  <c r="AGQ28" i="3"/>
  <c r="AGQ44" i="3" s="1"/>
  <c r="AGA28" i="3"/>
  <c r="AGA44" i="3" s="1"/>
  <c r="AFK28" i="3"/>
  <c r="AFK44" i="3" s="1"/>
  <c r="AEU28" i="3"/>
  <c r="AEU44" i="3" s="1"/>
  <c r="AEE28" i="3"/>
  <c r="AEE44" i="3" s="1"/>
  <c r="ADO28" i="3"/>
  <c r="ADO44" i="3" s="1"/>
  <c r="ACY28" i="3"/>
  <c r="ACY44" i="3" s="1"/>
  <c r="ACI28" i="3"/>
  <c r="ACI44" i="3" s="1"/>
  <c r="ABS28" i="3"/>
  <c r="ABS44" i="3" s="1"/>
  <c r="ABC28" i="3"/>
  <c r="ABC44" i="3" s="1"/>
  <c r="AAM28" i="3"/>
  <c r="AAM44" i="3" s="1"/>
  <c r="ZW28" i="3"/>
  <c r="ZW44" i="3" s="1"/>
  <c r="ZG28" i="3"/>
  <c r="ZG44" i="3" s="1"/>
  <c r="YQ28" i="3"/>
  <c r="YQ44" i="3" s="1"/>
  <c r="YA28" i="3"/>
  <c r="YA44" i="3" s="1"/>
  <c r="XK28" i="3"/>
  <c r="XK44" i="3" s="1"/>
  <c r="WU28" i="3"/>
  <c r="WU44" i="3" s="1"/>
  <c r="WE28" i="3"/>
  <c r="WE44" i="3" s="1"/>
  <c r="VO28" i="3"/>
  <c r="VO44" i="3" s="1"/>
  <c r="UY28" i="3"/>
  <c r="UY44" i="3" s="1"/>
  <c r="UI28" i="3"/>
  <c r="UI44" i="3" s="1"/>
  <c r="TS28" i="3"/>
  <c r="TS44" i="3" s="1"/>
  <c r="TC28" i="3"/>
  <c r="TC44" i="3" s="1"/>
  <c r="SM28" i="3"/>
  <c r="SM44" i="3" s="1"/>
  <c r="RW28" i="3"/>
  <c r="RW44" i="3" s="1"/>
  <c r="RG28" i="3"/>
  <c r="RG44" i="3" s="1"/>
  <c r="QQ28" i="3"/>
  <c r="QQ44" i="3" s="1"/>
  <c r="QA28" i="3"/>
  <c r="QA44" i="3" s="1"/>
  <c r="PK28" i="3"/>
  <c r="PK44" i="3" s="1"/>
  <c r="OU28" i="3"/>
  <c r="OU44" i="3" s="1"/>
  <c r="OE28" i="3"/>
  <c r="OE44" i="3" s="1"/>
  <c r="NO28" i="3"/>
  <c r="NO44" i="3" s="1"/>
  <c r="MY28" i="3"/>
  <c r="MY44" i="3" s="1"/>
  <c r="MI28" i="3"/>
  <c r="MI44" i="3" s="1"/>
  <c r="LD28" i="3"/>
  <c r="LD44" i="3" s="1"/>
  <c r="JX28" i="3"/>
  <c r="JX44" i="3" s="1"/>
  <c r="IR28" i="3"/>
  <c r="IR44" i="3" s="1"/>
  <c r="HL28" i="3"/>
  <c r="HL44" i="3" s="1"/>
  <c r="CJ28" i="3"/>
  <c r="CJ44" i="3" s="1"/>
  <c r="EF28" i="3"/>
  <c r="EF44" i="3" s="1"/>
  <c r="AY36" i="3"/>
  <c r="AY52" i="3" s="1"/>
  <c r="FG36" i="3"/>
  <c r="FG52" i="3" s="1"/>
  <c r="IY36" i="3"/>
  <c r="IY52" i="3" s="1"/>
  <c r="HH33" i="3"/>
  <c r="HH49" i="3" s="1"/>
  <c r="DH39" i="3"/>
  <c r="DH55" i="3" s="1"/>
  <c r="HP39" i="3"/>
  <c r="HP55" i="3" s="1"/>
  <c r="JD28" i="3"/>
  <c r="JD44" i="3" s="1"/>
  <c r="HX28" i="3"/>
  <c r="HX44" i="3" s="1"/>
  <c r="IZ30" i="3"/>
  <c r="IZ46" i="3" s="1"/>
  <c r="RX27" i="3"/>
  <c r="RX43" i="3" s="1"/>
  <c r="LP33" i="3"/>
  <c r="LP49" i="3" s="1"/>
  <c r="O28" i="3"/>
  <c r="O44" i="3" s="1"/>
  <c r="AE28" i="3"/>
  <c r="AE44" i="3" s="1"/>
  <c r="AU28" i="3"/>
  <c r="AU44" i="3" s="1"/>
  <c r="BK28" i="3"/>
  <c r="BK44" i="3" s="1"/>
  <c r="CA28" i="3"/>
  <c r="CA44" i="3" s="1"/>
  <c r="CQ28" i="3"/>
  <c r="CQ44" i="3" s="1"/>
  <c r="DG28" i="3"/>
  <c r="DG44" i="3" s="1"/>
  <c r="DW28" i="3"/>
  <c r="DW44" i="3" s="1"/>
  <c r="EM28" i="3"/>
  <c r="EM44" i="3" s="1"/>
  <c r="FC28" i="3"/>
  <c r="FC44" i="3" s="1"/>
  <c r="FS28" i="3"/>
  <c r="FS44" i="3" s="1"/>
  <c r="GI28" i="3"/>
  <c r="GI44" i="3" s="1"/>
  <c r="GY28" i="3"/>
  <c r="GY44" i="3" s="1"/>
  <c r="HO28" i="3"/>
  <c r="HO44" i="3" s="1"/>
  <c r="IE28" i="3"/>
  <c r="IE44" i="3" s="1"/>
  <c r="IU28" i="3"/>
  <c r="IU44" i="3" s="1"/>
  <c r="JK28" i="3"/>
  <c r="JK44" i="3" s="1"/>
  <c r="KA28" i="3"/>
  <c r="KA44" i="3" s="1"/>
  <c r="KQ28" i="3"/>
  <c r="KQ44" i="3" s="1"/>
  <c r="LG28" i="3"/>
  <c r="LG44" i="3" s="1"/>
  <c r="LW28" i="3"/>
  <c r="LW44" i="3" s="1"/>
  <c r="L28" i="3"/>
  <c r="L44" i="3" s="1"/>
  <c r="AB28" i="3"/>
  <c r="AB44" i="3" s="1"/>
  <c r="AR28" i="3"/>
  <c r="AR44" i="3" s="1"/>
  <c r="BH28" i="3"/>
  <c r="BH44" i="3" s="1"/>
  <c r="BX28" i="3"/>
  <c r="BX44" i="3" s="1"/>
  <c r="CN28" i="3"/>
  <c r="CN44" i="3" s="1"/>
  <c r="DD28" i="3"/>
  <c r="DD44" i="3" s="1"/>
  <c r="DT28" i="3"/>
  <c r="DT44" i="3" s="1"/>
  <c r="EJ28" i="3"/>
  <c r="EJ44" i="3" s="1"/>
  <c r="EZ28" i="3"/>
  <c r="EZ44" i="3" s="1"/>
  <c r="FP28" i="3"/>
  <c r="FP44" i="3" s="1"/>
  <c r="GF28" i="3"/>
  <c r="GF44" i="3" s="1"/>
  <c r="JB28" i="3"/>
  <c r="JB44" i="3" s="1"/>
  <c r="S28" i="3"/>
  <c r="S44" i="3" s="1"/>
  <c r="AI28" i="3"/>
  <c r="AI44" i="3" s="1"/>
  <c r="AY28" i="3"/>
  <c r="AY44" i="3" s="1"/>
  <c r="BO28" i="3"/>
  <c r="BO44" i="3" s="1"/>
  <c r="CE28" i="3"/>
  <c r="CE44" i="3" s="1"/>
  <c r="CU28" i="3"/>
  <c r="CU44" i="3" s="1"/>
  <c r="DK28" i="3"/>
  <c r="DK44" i="3" s="1"/>
  <c r="EA28" i="3"/>
  <c r="EA44" i="3" s="1"/>
  <c r="EQ28" i="3"/>
  <c r="EQ44" i="3" s="1"/>
  <c r="FG28" i="3"/>
  <c r="FG44" i="3" s="1"/>
  <c r="FW28" i="3"/>
  <c r="FW44" i="3" s="1"/>
  <c r="GM28" i="3"/>
  <c r="GM44" i="3" s="1"/>
  <c r="HC28" i="3"/>
  <c r="HC44" i="3" s="1"/>
  <c r="HS28" i="3"/>
  <c r="HS44" i="3" s="1"/>
  <c r="II28" i="3"/>
  <c r="II44" i="3" s="1"/>
  <c r="IY28" i="3"/>
  <c r="IY44" i="3" s="1"/>
  <c r="JO28" i="3"/>
  <c r="JO44" i="3" s="1"/>
  <c r="KE28" i="3"/>
  <c r="KE44" i="3" s="1"/>
  <c r="KU28" i="3"/>
  <c r="KU44" i="3" s="1"/>
  <c r="LK28" i="3"/>
  <c r="LK44" i="3" s="1"/>
  <c r="MA28" i="3"/>
  <c r="MA44" i="3" s="1"/>
  <c r="P28" i="3"/>
  <c r="P44" i="3" s="1"/>
  <c r="AF28" i="3"/>
  <c r="AF44" i="3" s="1"/>
  <c r="AV28" i="3"/>
  <c r="AV44" i="3" s="1"/>
  <c r="BL28" i="3"/>
  <c r="BL44" i="3" s="1"/>
  <c r="CB28" i="3"/>
  <c r="CB44" i="3" s="1"/>
  <c r="CR28" i="3"/>
  <c r="CR44" i="3" s="1"/>
  <c r="DH28" i="3"/>
  <c r="DH44" i="3" s="1"/>
  <c r="DX28" i="3"/>
  <c r="DX44" i="3" s="1"/>
  <c r="EN28" i="3"/>
  <c r="EN44" i="3" s="1"/>
  <c r="FD28" i="3"/>
  <c r="FD44" i="3" s="1"/>
  <c r="FT28" i="3"/>
  <c r="FT44" i="3" s="1"/>
  <c r="GJ28" i="3"/>
  <c r="GJ44" i="3" s="1"/>
  <c r="AIH28" i="3"/>
  <c r="AIH44" i="3" s="1"/>
  <c r="ACT28" i="3"/>
  <c r="ACT44" i="3" s="1"/>
  <c r="VJ28" i="3"/>
  <c r="VJ44" i="3" s="1"/>
  <c r="TN28" i="3"/>
  <c r="TN44" i="3" s="1"/>
  <c r="SH28" i="3"/>
  <c r="SH44" i="3" s="1"/>
  <c r="RB28" i="3"/>
  <c r="RB44" i="3" s="1"/>
  <c r="ALC28" i="3"/>
  <c r="ALC44" i="3" s="1"/>
  <c r="AKM28" i="3"/>
  <c r="AKM44" i="3" s="1"/>
  <c r="EL28" i="3"/>
  <c r="EL44" i="3" s="1"/>
  <c r="ID28" i="3"/>
  <c r="ID44" i="3" s="1"/>
  <c r="LF28" i="3"/>
  <c r="LF44" i="3" s="1"/>
  <c r="LM28" i="3"/>
  <c r="LM44" i="3" s="1"/>
  <c r="OG28" i="3"/>
  <c r="OG44" i="3" s="1"/>
  <c r="QS28" i="3"/>
  <c r="QS44" i="3" s="1"/>
  <c r="TE28" i="3"/>
  <c r="TE44" i="3" s="1"/>
  <c r="VQ28" i="3"/>
  <c r="VQ44" i="3" s="1"/>
  <c r="YC28" i="3"/>
  <c r="YC44" i="3" s="1"/>
  <c r="AAO28" i="3"/>
  <c r="AAO44" i="3" s="1"/>
  <c r="ADA28" i="3"/>
  <c r="ADA44" i="3" s="1"/>
  <c r="AFM28" i="3"/>
  <c r="AFM44" i="3" s="1"/>
  <c r="AHY28" i="3"/>
  <c r="AHY44" i="3" s="1"/>
  <c r="AKK28" i="3"/>
  <c r="AKK44" i="3" s="1"/>
  <c r="AIP28" i="3"/>
  <c r="AIP44" i="3" s="1"/>
  <c r="ADB28" i="3"/>
  <c r="ADB44" i="3" s="1"/>
  <c r="AAP28" i="3"/>
  <c r="AAP44" i="3" s="1"/>
  <c r="ZZ28" i="3"/>
  <c r="ZZ44" i="3" s="1"/>
  <c r="YT28" i="3"/>
  <c r="YT44" i="3" s="1"/>
  <c r="VB28" i="3"/>
  <c r="VB44" i="3" s="1"/>
  <c r="OH28" i="3"/>
  <c r="OH44" i="3" s="1"/>
  <c r="ML28" i="3"/>
  <c r="ML44" i="3" s="1"/>
  <c r="GO28" i="3"/>
  <c r="GO44" i="3" s="1"/>
  <c r="EC28" i="3"/>
  <c r="EC44" i="3" s="1"/>
  <c r="BQ28" i="3"/>
  <c r="BQ44" i="3" s="1"/>
  <c r="ALH28" i="3"/>
  <c r="ALH44" i="3" s="1"/>
  <c r="AKR28" i="3"/>
  <c r="AKR44" i="3" s="1"/>
  <c r="AKB28" i="3"/>
  <c r="AKB44" i="3" s="1"/>
  <c r="AJL28" i="3"/>
  <c r="AJL44" i="3" s="1"/>
  <c r="AIV28" i="3"/>
  <c r="AIV44" i="3" s="1"/>
  <c r="AIF28" i="3"/>
  <c r="AIF44" i="3" s="1"/>
  <c r="AHP28" i="3"/>
  <c r="AHP44" i="3" s="1"/>
  <c r="AGZ28" i="3"/>
  <c r="AGZ44" i="3" s="1"/>
  <c r="AGJ28" i="3"/>
  <c r="AGJ44" i="3" s="1"/>
  <c r="AFT28" i="3"/>
  <c r="AFT44" i="3" s="1"/>
  <c r="AFD28" i="3"/>
  <c r="AFD44" i="3" s="1"/>
  <c r="AEN28" i="3"/>
  <c r="AEN44" i="3" s="1"/>
  <c r="ADX28" i="3"/>
  <c r="ADX44" i="3" s="1"/>
  <c r="ADH28" i="3"/>
  <c r="ADH44" i="3" s="1"/>
  <c r="ACR28" i="3"/>
  <c r="ACR44" i="3" s="1"/>
  <c r="ACB28" i="3"/>
  <c r="ACB44" i="3" s="1"/>
  <c r="ABL28" i="3"/>
  <c r="ABL44" i="3" s="1"/>
  <c r="AAV28" i="3"/>
  <c r="AAV44" i="3" s="1"/>
  <c r="AAF28" i="3"/>
  <c r="AAF44" i="3" s="1"/>
  <c r="ZP28" i="3"/>
  <c r="ZP44" i="3" s="1"/>
  <c r="HU28" i="3"/>
  <c r="HU44" i="3" s="1"/>
  <c r="MK28" i="3"/>
  <c r="MK44" i="3" s="1"/>
  <c r="OW28" i="3"/>
  <c r="OW44" i="3" s="1"/>
  <c r="RI28" i="3"/>
  <c r="RI44" i="3" s="1"/>
  <c r="TU28" i="3"/>
  <c r="TU44" i="3" s="1"/>
  <c r="WG28" i="3"/>
  <c r="WG44" i="3" s="1"/>
  <c r="YS28" i="3"/>
  <c r="YS44" i="3" s="1"/>
  <c r="ABE28" i="3"/>
  <c r="ABE44" i="3" s="1"/>
  <c r="ADQ28" i="3"/>
  <c r="ADQ44" i="3" s="1"/>
  <c r="AGC28" i="3"/>
  <c r="AGC44" i="3" s="1"/>
  <c r="AIO28" i="3"/>
  <c r="AIO44" i="3" s="1"/>
  <c r="ALA28" i="3"/>
  <c r="ALA44" i="3" s="1"/>
  <c r="LH28" i="3"/>
  <c r="LH44" i="3" s="1"/>
  <c r="KB28" i="3"/>
  <c r="KB44" i="3" s="1"/>
  <c r="IV28" i="3"/>
  <c r="IV44" i="3" s="1"/>
  <c r="HP28" i="3"/>
  <c r="HP44" i="3" s="1"/>
  <c r="FY28" i="3"/>
  <c r="FY44" i="3" s="1"/>
  <c r="DM28" i="3"/>
  <c r="DM44" i="3" s="1"/>
  <c r="BA28" i="3"/>
  <c r="BA44" i="3" s="1"/>
  <c r="BB28" i="3"/>
  <c r="BB44" i="3" s="1"/>
  <c r="JA28" i="3"/>
  <c r="JA44" i="3" s="1"/>
  <c r="NA28" i="3"/>
  <c r="NA44" i="3" s="1"/>
  <c r="PM28" i="3"/>
  <c r="PM44" i="3" s="1"/>
  <c r="RY28" i="3"/>
  <c r="RY44" i="3" s="1"/>
  <c r="UK28" i="3"/>
  <c r="UK44" i="3" s="1"/>
  <c r="WW28" i="3"/>
  <c r="WW44" i="3" s="1"/>
  <c r="ZI28" i="3"/>
  <c r="ZI44" i="3" s="1"/>
  <c r="ABU28" i="3"/>
  <c r="ABU44" i="3" s="1"/>
  <c r="AEG28" i="3"/>
  <c r="AEG44" i="3" s="1"/>
  <c r="AGS28" i="3"/>
  <c r="AGS44" i="3" s="1"/>
  <c r="AJE28" i="3"/>
  <c r="AJE44" i="3" s="1"/>
  <c r="AKT28" i="3"/>
  <c r="AKT44" i="3" s="1"/>
  <c r="AKD28" i="3"/>
  <c r="AKD44" i="3" s="1"/>
  <c r="AJN28" i="3"/>
  <c r="AJN44" i="3" s="1"/>
  <c r="AHR28" i="3"/>
  <c r="AHR44" i="3" s="1"/>
  <c r="AGL28" i="3"/>
  <c r="AGL44" i="3" s="1"/>
  <c r="AFV28" i="3"/>
  <c r="AFV44" i="3" s="1"/>
  <c r="AFF28" i="3"/>
  <c r="AFF44" i="3" s="1"/>
  <c r="AEP28" i="3"/>
  <c r="AEP44" i="3" s="1"/>
  <c r="ABN28" i="3"/>
  <c r="ABN44" i="3" s="1"/>
  <c r="XV28" i="3"/>
  <c r="XV44" i="3" s="1"/>
  <c r="XF28" i="3"/>
  <c r="XF44" i="3" s="1"/>
  <c r="WP28" i="3"/>
  <c r="WP44" i="3" s="1"/>
  <c r="VZ28" i="3"/>
  <c r="VZ44" i="3" s="1"/>
  <c r="UD28" i="3"/>
  <c r="UD44" i="3" s="1"/>
  <c r="PV28" i="3"/>
  <c r="PV44" i="3" s="1"/>
  <c r="NZ28" i="3"/>
  <c r="NZ44" i="3" s="1"/>
  <c r="NJ28" i="3"/>
  <c r="NJ44" i="3" s="1"/>
  <c r="FI28" i="3"/>
  <c r="FI44" i="3" s="1"/>
  <c r="CW28" i="3"/>
  <c r="CW44" i="3" s="1"/>
  <c r="AK28" i="3"/>
  <c r="AK44" i="3" s="1"/>
  <c r="AKZ28" i="3"/>
  <c r="AKZ44" i="3" s="1"/>
  <c r="AKJ28" i="3"/>
  <c r="AKJ44" i="3" s="1"/>
  <c r="AJT28" i="3"/>
  <c r="AJT44" i="3" s="1"/>
  <c r="AJD28" i="3"/>
  <c r="AJD44" i="3" s="1"/>
  <c r="AIN28" i="3"/>
  <c r="AIN44" i="3" s="1"/>
  <c r="AHX28" i="3"/>
  <c r="AHX44" i="3" s="1"/>
  <c r="AHH28" i="3"/>
  <c r="AHH44" i="3" s="1"/>
  <c r="AGR28" i="3"/>
  <c r="AGR44" i="3" s="1"/>
  <c r="AGB28" i="3"/>
  <c r="AGB44" i="3" s="1"/>
  <c r="AFL28" i="3"/>
  <c r="AFL44" i="3" s="1"/>
  <c r="AEV28" i="3"/>
  <c r="AEV44" i="3" s="1"/>
  <c r="AEF28" i="3"/>
  <c r="AEF44" i="3" s="1"/>
  <c r="ADP28" i="3"/>
  <c r="ADP44" i="3" s="1"/>
  <c r="ACZ28" i="3"/>
  <c r="ACZ44" i="3" s="1"/>
  <c r="ACJ28" i="3"/>
  <c r="ACJ44" i="3" s="1"/>
  <c r="ABT28" i="3"/>
  <c r="ABT44" i="3" s="1"/>
  <c r="ABD28" i="3"/>
  <c r="ABD44" i="3" s="1"/>
  <c r="AAN28" i="3"/>
  <c r="AAN44" i="3" s="1"/>
  <c r="ZX28" i="3"/>
  <c r="ZX44" i="3" s="1"/>
  <c r="ZH28" i="3"/>
  <c r="ZH44" i="3" s="1"/>
  <c r="YR28" i="3"/>
  <c r="YR44" i="3" s="1"/>
  <c r="YB28" i="3"/>
  <c r="YB44" i="3" s="1"/>
  <c r="XL28" i="3"/>
  <c r="XL44" i="3" s="1"/>
  <c r="WV28" i="3"/>
  <c r="WV44" i="3" s="1"/>
  <c r="WF28" i="3"/>
  <c r="WF44" i="3" s="1"/>
  <c r="VP28" i="3"/>
  <c r="VP44" i="3" s="1"/>
  <c r="UZ28" i="3"/>
  <c r="UZ44" i="3" s="1"/>
  <c r="UJ28" i="3"/>
  <c r="UJ44" i="3" s="1"/>
  <c r="TT28" i="3"/>
  <c r="TT44" i="3" s="1"/>
  <c r="TD28" i="3"/>
  <c r="TD44" i="3" s="1"/>
  <c r="SN28" i="3"/>
  <c r="SN44" i="3" s="1"/>
  <c r="RX28" i="3"/>
  <c r="RX44" i="3" s="1"/>
  <c r="RH28" i="3"/>
  <c r="RH44" i="3" s="1"/>
  <c r="QR28" i="3"/>
  <c r="QR44" i="3" s="1"/>
  <c r="QB28" i="3"/>
  <c r="QB44" i="3" s="1"/>
  <c r="PL28" i="3"/>
  <c r="PL44" i="3" s="1"/>
  <c r="OV28" i="3"/>
  <c r="OV44" i="3" s="1"/>
  <c r="OF28" i="3"/>
  <c r="OF44" i="3" s="1"/>
  <c r="NP28" i="3"/>
  <c r="NP44" i="3" s="1"/>
  <c r="MZ28" i="3"/>
  <c r="MZ44" i="3" s="1"/>
  <c r="MJ28" i="3"/>
  <c r="MJ44" i="3" s="1"/>
  <c r="LL28" i="3"/>
  <c r="LL44" i="3" s="1"/>
  <c r="KF28" i="3"/>
  <c r="KF44" i="3" s="1"/>
  <c r="IZ28" i="3"/>
  <c r="IZ44" i="3" s="1"/>
  <c r="HT28" i="3"/>
  <c r="HT44" i="3" s="1"/>
  <c r="GG28" i="3"/>
  <c r="GG44" i="3" s="1"/>
  <c r="DU28" i="3"/>
  <c r="DU44" i="3" s="1"/>
  <c r="BI28" i="3"/>
  <c r="BI44" i="3" s="1"/>
  <c r="KG28" i="3"/>
  <c r="KG44" i="3" s="1"/>
  <c r="FQ28" i="3"/>
  <c r="FQ44" i="3" s="1"/>
  <c r="DE28" i="3"/>
  <c r="DE44" i="3" s="1"/>
  <c r="AS28" i="3"/>
  <c r="AS44" i="3" s="1"/>
  <c r="YZ28" i="3"/>
  <c r="YZ44" i="3" s="1"/>
  <c r="YJ28" i="3"/>
  <c r="YJ44" i="3" s="1"/>
  <c r="XT28" i="3"/>
  <c r="XT44" i="3" s="1"/>
  <c r="XD28" i="3"/>
  <c r="XD44" i="3" s="1"/>
  <c r="WN28" i="3"/>
  <c r="WN44" i="3" s="1"/>
  <c r="VX28" i="3"/>
  <c r="VX44" i="3" s="1"/>
  <c r="VH28" i="3"/>
  <c r="VH44" i="3" s="1"/>
  <c r="UR28" i="3"/>
  <c r="UR44" i="3" s="1"/>
  <c r="UB28" i="3"/>
  <c r="UB44" i="3" s="1"/>
  <c r="TL28" i="3"/>
  <c r="TL44" i="3" s="1"/>
  <c r="SV28" i="3"/>
  <c r="SV44" i="3" s="1"/>
  <c r="SF28" i="3"/>
  <c r="SF44" i="3" s="1"/>
  <c r="RP28" i="3"/>
  <c r="RP44" i="3" s="1"/>
  <c r="QZ28" i="3"/>
  <c r="QZ44" i="3" s="1"/>
  <c r="QJ28" i="3"/>
  <c r="QJ44" i="3" s="1"/>
  <c r="PT28" i="3"/>
  <c r="PT44" i="3" s="1"/>
  <c r="PD28" i="3"/>
  <c r="PD44" i="3" s="1"/>
  <c r="ON28" i="3"/>
  <c r="ON44" i="3" s="1"/>
  <c r="NX28" i="3"/>
  <c r="NX44" i="3" s="1"/>
  <c r="NH28" i="3"/>
  <c r="NH44" i="3" s="1"/>
  <c r="MR28" i="3"/>
  <c r="MR44" i="3" s="1"/>
  <c r="MB28" i="3"/>
  <c r="MB44" i="3" s="1"/>
  <c r="KV28" i="3"/>
  <c r="KV44" i="3" s="1"/>
  <c r="JP28" i="3"/>
  <c r="JP44" i="3" s="1"/>
  <c r="IJ28" i="3"/>
  <c r="IJ44" i="3" s="1"/>
  <c r="HD28" i="3"/>
  <c r="HD44" i="3" s="1"/>
  <c r="FA28" i="3"/>
  <c r="FA44" i="3" s="1"/>
  <c r="CO28" i="3"/>
  <c r="CO44" i="3" s="1"/>
  <c r="AC28" i="3"/>
  <c r="AC44" i="3" s="1"/>
  <c r="ALK28" i="3"/>
  <c r="ALK44" i="3" s="1"/>
  <c r="AKU28" i="3"/>
  <c r="AKU44" i="3" s="1"/>
  <c r="AKE28" i="3"/>
  <c r="AKE44" i="3" s="1"/>
  <c r="AJO28" i="3"/>
  <c r="AJO44" i="3" s="1"/>
  <c r="AIY28" i="3"/>
  <c r="AIY44" i="3" s="1"/>
  <c r="AII28" i="3"/>
  <c r="AII44" i="3" s="1"/>
  <c r="AHS28" i="3"/>
  <c r="AHS44" i="3" s="1"/>
  <c r="AHC28" i="3"/>
  <c r="AHC44" i="3" s="1"/>
  <c r="AGM28" i="3"/>
  <c r="AGM44" i="3" s="1"/>
  <c r="AFW28" i="3"/>
  <c r="AFW44" i="3" s="1"/>
  <c r="AFG28" i="3"/>
  <c r="AFG44" i="3" s="1"/>
  <c r="AEQ28" i="3"/>
  <c r="AEQ44" i="3" s="1"/>
  <c r="AEA28" i="3"/>
  <c r="AEA44" i="3" s="1"/>
  <c r="ADK28" i="3"/>
  <c r="ADK44" i="3" s="1"/>
  <c r="ACU28" i="3"/>
  <c r="ACU44" i="3" s="1"/>
  <c r="ACE28" i="3"/>
  <c r="ACE44" i="3" s="1"/>
  <c r="ABO28" i="3"/>
  <c r="ABO44" i="3" s="1"/>
  <c r="AAY28" i="3"/>
  <c r="AAY44" i="3" s="1"/>
  <c r="AAI28" i="3"/>
  <c r="AAI44" i="3" s="1"/>
  <c r="ZS28" i="3"/>
  <c r="ZS44" i="3" s="1"/>
  <c r="ZC28" i="3"/>
  <c r="ZC44" i="3" s="1"/>
  <c r="YM28" i="3"/>
  <c r="YM44" i="3" s="1"/>
  <c r="XW28" i="3"/>
  <c r="XW44" i="3" s="1"/>
  <c r="XG28" i="3"/>
  <c r="XG44" i="3" s="1"/>
  <c r="WQ28" i="3"/>
  <c r="WQ44" i="3" s="1"/>
  <c r="WA28" i="3"/>
  <c r="WA44" i="3" s="1"/>
  <c r="VK28" i="3"/>
  <c r="VK44" i="3" s="1"/>
  <c r="UU28" i="3"/>
  <c r="UU44" i="3" s="1"/>
  <c r="UE28" i="3"/>
  <c r="UE44" i="3" s="1"/>
  <c r="TO28" i="3"/>
  <c r="TO44" i="3" s="1"/>
  <c r="SY28" i="3"/>
  <c r="SY44" i="3" s="1"/>
  <c r="SI28" i="3"/>
  <c r="SI44" i="3" s="1"/>
  <c r="RS28" i="3"/>
  <c r="RS44" i="3" s="1"/>
  <c r="RC28" i="3"/>
  <c r="RC44" i="3" s="1"/>
  <c r="QM28" i="3"/>
  <c r="QM44" i="3" s="1"/>
  <c r="PW28" i="3"/>
  <c r="PW44" i="3" s="1"/>
  <c r="PG28" i="3"/>
  <c r="PG44" i="3" s="1"/>
  <c r="OQ28" i="3"/>
  <c r="OQ44" i="3" s="1"/>
  <c r="OA28" i="3"/>
  <c r="OA44" i="3" s="1"/>
  <c r="NK28" i="3"/>
  <c r="NK44" i="3" s="1"/>
  <c r="MU28" i="3"/>
  <c r="MU44" i="3" s="1"/>
  <c r="ME28" i="3"/>
  <c r="ME44" i="3" s="1"/>
  <c r="JI28" i="3"/>
  <c r="JI44" i="3" s="1"/>
  <c r="HE28" i="3"/>
  <c r="HE44" i="3" s="1"/>
  <c r="MC28" i="3"/>
  <c r="MC44" i="3" s="1"/>
  <c r="OO28" i="3"/>
  <c r="OO44" i="3" s="1"/>
  <c r="RA28" i="3"/>
  <c r="RA44" i="3" s="1"/>
  <c r="TM28" i="3"/>
  <c r="TM44" i="3" s="1"/>
  <c r="VY28" i="3"/>
  <c r="VY44" i="3" s="1"/>
  <c r="YK28" i="3"/>
  <c r="YK44" i="3" s="1"/>
  <c r="AAW28" i="3"/>
  <c r="AAW44" i="3" s="1"/>
  <c r="ADI28" i="3"/>
  <c r="ADI44" i="3" s="1"/>
  <c r="AFU28" i="3"/>
  <c r="AFU44" i="3" s="1"/>
  <c r="AIG28" i="3"/>
  <c r="AIG44" i="3" s="1"/>
  <c r="AKS28" i="3"/>
  <c r="AKS44" i="3" s="1"/>
  <c r="GK28" i="3"/>
  <c r="GK44" i="3" s="1"/>
  <c r="ALD28" i="3"/>
  <c r="ALD44" i="3" s="1"/>
  <c r="AKN28" i="3"/>
  <c r="AKN44" i="3" s="1"/>
  <c r="AJX28" i="3"/>
  <c r="AJX44" i="3" s="1"/>
  <c r="AJH28" i="3"/>
  <c r="AJH44" i="3" s="1"/>
  <c r="AIR28" i="3"/>
  <c r="AIR44" i="3" s="1"/>
  <c r="AIB28" i="3"/>
  <c r="AIB44" i="3" s="1"/>
  <c r="AHL28" i="3"/>
  <c r="AHL44" i="3" s="1"/>
  <c r="AGV28" i="3"/>
  <c r="AGV44" i="3" s="1"/>
  <c r="AGF28" i="3"/>
  <c r="AGF44" i="3" s="1"/>
  <c r="AFP28" i="3"/>
  <c r="AFP44" i="3" s="1"/>
  <c r="AEZ28" i="3"/>
  <c r="AEZ44" i="3" s="1"/>
  <c r="AEJ28" i="3"/>
  <c r="AEJ44" i="3" s="1"/>
  <c r="ADT28" i="3"/>
  <c r="ADT44" i="3" s="1"/>
  <c r="ADD28" i="3"/>
  <c r="ADD44" i="3" s="1"/>
  <c r="ACN28" i="3"/>
  <c r="ACN44" i="3" s="1"/>
  <c r="ABX28" i="3"/>
  <c r="ABX44" i="3" s="1"/>
  <c r="ABH28" i="3"/>
  <c r="ABH44" i="3" s="1"/>
  <c r="AAR28" i="3"/>
  <c r="AAR44" i="3" s="1"/>
  <c r="AAB28" i="3"/>
  <c r="AAB44" i="3" s="1"/>
  <c r="ZL28" i="3"/>
  <c r="ZL44" i="3" s="1"/>
  <c r="YV28" i="3"/>
  <c r="YV44" i="3" s="1"/>
  <c r="YF28" i="3"/>
  <c r="YF44" i="3" s="1"/>
  <c r="XP28" i="3"/>
  <c r="XP44" i="3" s="1"/>
  <c r="WZ28" i="3"/>
  <c r="WZ44" i="3" s="1"/>
  <c r="WJ28" i="3"/>
  <c r="WJ44" i="3" s="1"/>
  <c r="VT28" i="3"/>
  <c r="VT44" i="3" s="1"/>
  <c r="VD28" i="3"/>
  <c r="VD44" i="3" s="1"/>
  <c r="UN28" i="3"/>
  <c r="UN44" i="3" s="1"/>
  <c r="TX28" i="3"/>
  <c r="TX44" i="3" s="1"/>
  <c r="TH28" i="3"/>
  <c r="TH44" i="3" s="1"/>
  <c r="SR28" i="3"/>
  <c r="SR44" i="3" s="1"/>
  <c r="SB28" i="3"/>
  <c r="SB44" i="3" s="1"/>
  <c r="RL28" i="3"/>
  <c r="RL44" i="3" s="1"/>
  <c r="QV28" i="3"/>
  <c r="QV44" i="3" s="1"/>
  <c r="QF28" i="3"/>
  <c r="QF44" i="3" s="1"/>
  <c r="PP28" i="3"/>
  <c r="PP44" i="3" s="1"/>
  <c r="OZ28" i="3"/>
  <c r="OZ44" i="3" s="1"/>
  <c r="OJ28" i="3"/>
  <c r="OJ44" i="3" s="1"/>
  <c r="NT28" i="3"/>
  <c r="NT44" i="3" s="1"/>
  <c r="ND28" i="3"/>
  <c r="ND44" i="3" s="1"/>
  <c r="MN28" i="3"/>
  <c r="MN44" i="3" s="1"/>
  <c r="LT28" i="3"/>
  <c r="LT44" i="3" s="1"/>
  <c r="KN28" i="3"/>
  <c r="KN44" i="3" s="1"/>
  <c r="JH28" i="3"/>
  <c r="JH44" i="3" s="1"/>
  <c r="IB28" i="3"/>
  <c r="IB44" i="3" s="1"/>
  <c r="GV28" i="3"/>
  <c r="GV44" i="3" s="1"/>
  <c r="EK28" i="3"/>
  <c r="EK44" i="3" s="1"/>
  <c r="BY28" i="3"/>
  <c r="BY44" i="3" s="1"/>
  <c r="M28" i="3"/>
  <c r="M44" i="3" s="1"/>
  <c r="ALG28" i="3"/>
  <c r="ALG44" i="3" s="1"/>
  <c r="AKQ28" i="3"/>
  <c r="AKQ44" i="3" s="1"/>
  <c r="AKA28" i="3"/>
  <c r="AKA44" i="3" s="1"/>
  <c r="AJK28" i="3"/>
  <c r="AJK44" i="3" s="1"/>
  <c r="AIU28" i="3"/>
  <c r="AIU44" i="3" s="1"/>
  <c r="AIE28" i="3"/>
  <c r="AIE44" i="3" s="1"/>
  <c r="AHO28" i="3"/>
  <c r="AHO44" i="3" s="1"/>
  <c r="AGY28" i="3"/>
  <c r="AGY44" i="3" s="1"/>
  <c r="AGI28" i="3"/>
  <c r="AGI44" i="3" s="1"/>
  <c r="AFS28" i="3"/>
  <c r="AFS44" i="3" s="1"/>
  <c r="AFC28" i="3"/>
  <c r="AFC44" i="3" s="1"/>
  <c r="AEM28" i="3"/>
  <c r="AEM44" i="3" s="1"/>
  <c r="ADW28" i="3"/>
  <c r="ADW44" i="3" s="1"/>
  <c r="ADG28" i="3"/>
  <c r="ADG44" i="3" s="1"/>
  <c r="ACQ28" i="3"/>
  <c r="ACQ44" i="3" s="1"/>
  <c r="ACA28" i="3"/>
  <c r="ACA44" i="3" s="1"/>
  <c r="ABK28" i="3"/>
  <c r="ABK44" i="3" s="1"/>
  <c r="AAU28" i="3"/>
  <c r="AAU44" i="3" s="1"/>
  <c r="AAE28" i="3"/>
  <c r="AAE44" i="3" s="1"/>
  <c r="ZO28" i="3"/>
  <c r="ZO44" i="3" s="1"/>
  <c r="YY28" i="3"/>
  <c r="YY44" i="3" s="1"/>
  <c r="YI28" i="3"/>
  <c r="YI44" i="3" s="1"/>
  <c r="XS28" i="3"/>
  <c r="XS44" i="3" s="1"/>
  <c r="XC28" i="3"/>
  <c r="XC44" i="3" s="1"/>
  <c r="WM28" i="3"/>
  <c r="WM44" i="3" s="1"/>
  <c r="VW28" i="3"/>
  <c r="VW44" i="3" s="1"/>
  <c r="VG28" i="3"/>
  <c r="VG44" i="3" s="1"/>
  <c r="UQ28" i="3"/>
  <c r="UQ44" i="3" s="1"/>
  <c r="UA28" i="3"/>
  <c r="UA44" i="3" s="1"/>
  <c r="TK28" i="3"/>
  <c r="TK44" i="3" s="1"/>
  <c r="SU28" i="3"/>
  <c r="SU44" i="3" s="1"/>
  <c r="SE28" i="3"/>
  <c r="SE44" i="3" s="1"/>
  <c r="RO28" i="3"/>
  <c r="RO44" i="3" s="1"/>
  <c r="QY28" i="3"/>
  <c r="QY44" i="3" s="1"/>
  <c r="QI28" i="3"/>
  <c r="QI44" i="3" s="1"/>
  <c r="PS28" i="3"/>
  <c r="PS44" i="3" s="1"/>
  <c r="PC28" i="3"/>
  <c r="PC44" i="3" s="1"/>
  <c r="OM28" i="3"/>
  <c r="OM44" i="3" s="1"/>
  <c r="NW28" i="3"/>
  <c r="NW44" i="3" s="1"/>
  <c r="NG28" i="3"/>
  <c r="NG44" i="3" s="1"/>
  <c r="MQ28" i="3"/>
  <c r="MQ44" i="3" s="1"/>
  <c r="EW28" i="3"/>
  <c r="EW44" i="3" s="1"/>
  <c r="CK28" i="3"/>
  <c r="CK44" i="3" s="1"/>
  <c r="Y28" i="3"/>
  <c r="Y44" i="3" s="1"/>
  <c r="KO28" i="3"/>
  <c r="KO44" i="3" s="1"/>
  <c r="NU28" i="3"/>
  <c r="NU44" i="3" s="1"/>
  <c r="QG28" i="3"/>
  <c r="QG44" i="3" s="1"/>
  <c r="SS28" i="3"/>
  <c r="SS44" i="3" s="1"/>
  <c r="VE28" i="3"/>
  <c r="VE44" i="3" s="1"/>
  <c r="XQ28" i="3"/>
  <c r="XQ44" i="3" s="1"/>
  <c r="AAC28" i="3"/>
  <c r="AAC44" i="3" s="1"/>
  <c r="ACO28" i="3"/>
  <c r="ACO44" i="3" s="1"/>
  <c r="AFA28" i="3"/>
  <c r="AFA44" i="3" s="1"/>
  <c r="AHM28" i="3"/>
  <c r="AHM44" i="3" s="1"/>
  <c r="AJY28" i="3"/>
  <c r="AJY44" i="3" s="1"/>
  <c r="AG28" i="3"/>
  <c r="AG44" i="3" s="1"/>
  <c r="IK28" i="3"/>
  <c r="IK44" i="3" s="1"/>
  <c r="MS28" i="3"/>
  <c r="MS44" i="3" s="1"/>
  <c r="PE28" i="3"/>
  <c r="PE44" i="3" s="1"/>
  <c r="RQ28" i="3"/>
  <c r="RQ44" i="3" s="1"/>
  <c r="UC28" i="3"/>
  <c r="UC44" i="3" s="1"/>
  <c r="WO28" i="3"/>
  <c r="WO44" i="3" s="1"/>
  <c r="ZA28" i="3"/>
  <c r="ZA44" i="3" s="1"/>
  <c r="ABM28" i="3"/>
  <c r="ABM44" i="3" s="1"/>
  <c r="ADY28" i="3"/>
  <c r="ADY44" i="3" s="1"/>
  <c r="AGK28" i="3"/>
  <c r="AGK44" i="3" s="1"/>
  <c r="AIW28" i="3"/>
  <c r="AIW44" i="3" s="1"/>
  <c r="ALI28" i="3"/>
  <c r="ALI44" i="3" s="1"/>
  <c r="AJW28" i="3"/>
  <c r="AJW44" i="3" s="1"/>
  <c r="AJG28" i="3"/>
  <c r="AJG44" i="3" s="1"/>
  <c r="AIQ28" i="3"/>
  <c r="AIQ44" i="3" s="1"/>
  <c r="AIA28" i="3"/>
  <c r="AIA44" i="3" s="1"/>
  <c r="AHK28" i="3"/>
  <c r="AHK44" i="3" s="1"/>
  <c r="AGU28" i="3"/>
  <c r="AGU44" i="3" s="1"/>
  <c r="AGE28" i="3"/>
  <c r="AGE44" i="3" s="1"/>
  <c r="AFO28" i="3"/>
  <c r="AFO44" i="3" s="1"/>
  <c r="AEY28" i="3"/>
  <c r="AEY44" i="3" s="1"/>
  <c r="AEI28" i="3"/>
  <c r="AEI44" i="3" s="1"/>
  <c r="ADS28" i="3"/>
  <c r="ADS44" i="3" s="1"/>
  <c r="ADC28" i="3"/>
  <c r="ADC44" i="3" s="1"/>
  <c r="ACM28" i="3"/>
  <c r="ACM44" i="3" s="1"/>
  <c r="ABW28" i="3"/>
  <c r="ABW44" i="3" s="1"/>
  <c r="ABG28" i="3"/>
  <c r="ABG44" i="3" s="1"/>
  <c r="AAQ28" i="3"/>
  <c r="AAQ44" i="3" s="1"/>
  <c r="AAA28" i="3"/>
  <c r="AAA44" i="3" s="1"/>
  <c r="ZK28" i="3"/>
  <c r="ZK44" i="3" s="1"/>
  <c r="YU28" i="3"/>
  <c r="YU44" i="3" s="1"/>
  <c r="YE28" i="3"/>
  <c r="YE44" i="3" s="1"/>
  <c r="XO28" i="3"/>
  <c r="XO44" i="3" s="1"/>
  <c r="WY28" i="3"/>
  <c r="WY44" i="3" s="1"/>
  <c r="WI28" i="3"/>
  <c r="WI44" i="3" s="1"/>
  <c r="VS28" i="3"/>
  <c r="VS44" i="3" s="1"/>
  <c r="VC28" i="3"/>
  <c r="VC44" i="3" s="1"/>
  <c r="UM28" i="3"/>
  <c r="UM44" i="3" s="1"/>
  <c r="TW28" i="3"/>
  <c r="TW44" i="3" s="1"/>
  <c r="TG28" i="3"/>
  <c r="TG44" i="3" s="1"/>
  <c r="SQ28" i="3"/>
  <c r="SQ44" i="3" s="1"/>
  <c r="SA28" i="3"/>
  <c r="SA44" i="3" s="1"/>
  <c r="RK28" i="3"/>
  <c r="RK44" i="3" s="1"/>
  <c r="QU28" i="3"/>
  <c r="QU44" i="3" s="1"/>
  <c r="QE28" i="3"/>
  <c r="QE44" i="3" s="1"/>
  <c r="PO28" i="3"/>
  <c r="PO44" i="3" s="1"/>
  <c r="OY28" i="3"/>
  <c r="OY44" i="3" s="1"/>
  <c r="OI28" i="3"/>
  <c r="OI44" i="3" s="1"/>
  <c r="NS28" i="3"/>
  <c r="NS44" i="3" s="1"/>
  <c r="NC28" i="3"/>
  <c r="NC44" i="3" s="1"/>
  <c r="MM28" i="3"/>
  <c r="MM44" i="3" s="1"/>
  <c r="GW28" i="3"/>
  <c r="GW44" i="3" s="1"/>
  <c r="LU28" i="3"/>
  <c r="LU44" i="3" s="1"/>
  <c r="CS28" i="3"/>
  <c r="CS44" i="3" s="1"/>
  <c r="JQ28" i="3"/>
  <c r="JQ44" i="3" s="1"/>
  <c r="NI28" i="3"/>
  <c r="NI44" i="3" s="1"/>
  <c r="PU28" i="3"/>
  <c r="PU44" i="3" s="1"/>
  <c r="SG28" i="3"/>
  <c r="SG44" i="3" s="1"/>
  <c r="US28" i="3"/>
  <c r="US44" i="3" s="1"/>
  <c r="XE28" i="3"/>
  <c r="XE44" i="3" s="1"/>
  <c r="ZQ28" i="3"/>
  <c r="ZQ44" i="3" s="1"/>
  <c r="ACC28" i="3"/>
  <c r="ACC44" i="3" s="1"/>
  <c r="AEO28" i="3"/>
  <c r="AEO44" i="3" s="1"/>
  <c r="AHA28" i="3"/>
  <c r="AHA44" i="3" s="1"/>
  <c r="AJM28" i="3"/>
  <c r="AJM44" i="3" s="1"/>
  <c r="IC28" i="3"/>
  <c r="IC44" i="3" s="1"/>
  <c r="DY28" i="3"/>
  <c r="DY44" i="3" s="1"/>
  <c r="FE28" i="3"/>
  <c r="FE44" i="3" s="1"/>
  <c r="KW28" i="3"/>
  <c r="KW44" i="3" s="1"/>
  <c r="NY28" i="3"/>
  <c r="NY44" i="3" s="1"/>
  <c r="QK28" i="3"/>
  <c r="QK44" i="3" s="1"/>
  <c r="SW28" i="3"/>
  <c r="SW44" i="3" s="1"/>
  <c r="VI28" i="3"/>
  <c r="VI44" i="3" s="1"/>
  <c r="XU28" i="3"/>
  <c r="XU44" i="3" s="1"/>
  <c r="AAG28" i="3"/>
  <c r="AAG44" i="3" s="1"/>
  <c r="ACS28" i="3"/>
  <c r="ACS44" i="3" s="1"/>
  <c r="AFE28" i="3"/>
  <c r="AFE44" i="3" s="1"/>
  <c r="AHQ28" i="3"/>
  <c r="AHQ44" i="3" s="1"/>
  <c r="AKC28" i="3"/>
  <c r="AKC44" i="3" s="1"/>
  <c r="Q28" i="3"/>
  <c r="Q44" i="3" s="1"/>
  <c r="N41" i="3"/>
  <c r="N38" i="3"/>
  <c r="N37" i="3"/>
  <c r="N35" i="3"/>
  <c r="N34" i="3"/>
  <c r="N32" i="3"/>
  <c r="N48" i="3" s="1"/>
  <c r="N31" i="3"/>
  <c r="N47" i="3" s="1"/>
  <c r="N29" i="3"/>
  <c r="N45" i="3" s="1"/>
  <c r="AD41" i="3"/>
  <c r="AD38" i="3"/>
  <c r="AD37" i="3"/>
  <c r="AD35" i="3"/>
  <c r="AD34" i="3"/>
  <c r="AD32" i="3"/>
  <c r="AD48" i="3" s="1"/>
  <c r="AD31" i="3"/>
  <c r="AD47" i="3" s="1"/>
  <c r="AD29" i="3"/>
  <c r="AD45" i="3" s="1"/>
  <c r="AT41" i="3"/>
  <c r="AT38" i="3"/>
  <c r="AT37" i="3"/>
  <c r="AT35" i="3"/>
  <c r="AT34" i="3"/>
  <c r="AT32" i="3"/>
  <c r="AT48" i="3" s="1"/>
  <c r="AT31" i="3"/>
  <c r="AT47" i="3" s="1"/>
  <c r="AT29" i="3"/>
  <c r="AT45" i="3" s="1"/>
  <c r="BJ41" i="3"/>
  <c r="BJ38" i="3"/>
  <c r="BJ37" i="3"/>
  <c r="BJ35" i="3"/>
  <c r="BJ34" i="3"/>
  <c r="BJ32" i="3"/>
  <c r="BJ48" i="3" s="1"/>
  <c r="BJ31" i="3"/>
  <c r="BJ47" i="3" s="1"/>
  <c r="BJ29" i="3"/>
  <c r="BJ45" i="3" s="1"/>
  <c r="BZ41" i="3"/>
  <c r="BZ38" i="3"/>
  <c r="BZ37" i="3"/>
  <c r="BZ35" i="3"/>
  <c r="BZ34" i="3"/>
  <c r="BZ32" i="3"/>
  <c r="BZ48" i="3" s="1"/>
  <c r="BZ31" i="3"/>
  <c r="BZ47" i="3" s="1"/>
  <c r="BZ29" i="3"/>
  <c r="BZ45" i="3" s="1"/>
  <c r="CP41" i="3"/>
  <c r="CP38" i="3"/>
  <c r="CP37" i="3"/>
  <c r="CP35" i="3"/>
  <c r="CP34" i="3"/>
  <c r="CP32" i="3"/>
  <c r="CP48" i="3" s="1"/>
  <c r="CP31" i="3"/>
  <c r="CP47" i="3" s="1"/>
  <c r="CP29" i="3"/>
  <c r="CP45" i="3" s="1"/>
  <c r="DF41" i="3"/>
  <c r="DF38" i="3"/>
  <c r="DF37" i="3"/>
  <c r="DF35" i="3"/>
  <c r="DF34" i="3"/>
  <c r="DF32" i="3"/>
  <c r="DF48" i="3" s="1"/>
  <c r="DF31" i="3"/>
  <c r="DF47" i="3" s="1"/>
  <c r="DF29" i="3"/>
  <c r="DF45" i="3" s="1"/>
  <c r="DV41" i="3"/>
  <c r="DV38" i="3"/>
  <c r="DV35" i="3"/>
  <c r="DV37" i="3"/>
  <c r="DV34" i="3"/>
  <c r="DV32" i="3"/>
  <c r="DV48" i="3" s="1"/>
  <c r="DV31" i="3"/>
  <c r="DV47" i="3" s="1"/>
  <c r="DV29" i="3"/>
  <c r="DV45" i="3" s="1"/>
  <c r="EL41" i="3"/>
  <c r="EL38" i="3"/>
  <c r="EL35" i="3"/>
  <c r="EL37" i="3"/>
  <c r="EL34" i="3"/>
  <c r="EL32" i="3"/>
  <c r="EL48" i="3" s="1"/>
  <c r="EL31" i="3"/>
  <c r="EL47" i="3" s="1"/>
  <c r="EL29" i="3"/>
  <c r="EL45" i="3" s="1"/>
  <c r="FB41" i="3"/>
  <c r="FB38" i="3"/>
  <c r="FB35" i="3"/>
  <c r="FB37" i="3"/>
  <c r="FB34" i="3"/>
  <c r="FB32" i="3"/>
  <c r="FB48" i="3" s="1"/>
  <c r="FB31" i="3"/>
  <c r="FB47" i="3" s="1"/>
  <c r="FB29" i="3"/>
  <c r="FB45" i="3" s="1"/>
  <c r="FR41" i="3"/>
  <c r="FR38" i="3"/>
  <c r="FR35" i="3"/>
  <c r="FR37" i="3"/>
  <c r="FR34" i="3"/>
  <c r="FR32" i="3"/>
  <c r="FR48" i="3" s="1"/>
  <c r="FR31" i="3"/>
  <c r="FR47" i="3" s="1"/>
  <c r="FR29" i="3"/>
  <c r="FR45" i="3" s="1"/>
  <c r="GH41" i="3"/>
  <c r="GH38" i="3"/>
  <c r="GH35" i="3"/>
  <c r="GH37" i="3"/>
  <c r="GH34" i="3"/>
  <c r="GH32" i="3"/>
  <c r="GH48" i="3" s="1"/>
  <c r="GH31" i="3"/>
  <c r="GH47" i="3" s="1"/>
  <c r="GH29" i="3"/>
  <c r="GH45" i="3" s="1"/>
  <c r="GX41" i="3"/>
  <c r="GX38" i="3"/>
  <c r="GX35" i="3"/>
  <c r="GX37" i="3"/>
  <c r="GX34" i="3"/>
  <c r="GX32" i="3"/>
  <c r="GX48" i="3" s="1"/>
  <c r="GX31" i="3"/>
  <c r="GX47" i="3" s="1"/>
  <c r="GX29" i="3"/>
  <c r="GX45" i="3" s="1"/>
  <c r="HN41" i="3"/>
  <c r="HN38" i="3"/>
  <c r="HN35" i="3"/>
  <c r="HN37" i="3"/>
  <c r="HN34" i="3"/>
  <c r="HN32" i="3"/>
  <c r="HN48" i="3" s="1"/>
  <c r="HN31" i="3"/>
  <c r="HN47" i="3" s="1"/>
  <c r="HN29" i="3"/>
  <c r="HN45" i="3" s="1"/>
  <c r="ID41" i="3"/>
  <c r="ID38" i="3"/>
  <c r="ID35" i="3"/>
  <c r="ID37" i="3"/>
  <c r="ID34" i="3"/>
  <c r="ID32" i="3"/>
  <c r="ID48" i="3" s="1"/>
  <c r="ID31" i="3"/>
  <c r="ID47" i="3" s="1"/>
  <c r="ID29" i="3"/>
  <c r="ID45" i="3" s="1"/>
  <c r="IT41" i="3"/>
  <c r="IT38" i="3"/>
  <c r="IT35" i="3"/>
  <c r="IT37" i="3"/>
  <c r="IT34" i="3"/>
  <c r="IT32" i="3"/>
  <c r="IT48" i="3" s="1"/>
  <c r="IT31" i="3"/>
  <c r="IT47" i="3" s="1"/>
  <c r="IT29" i="3"/>
  <c r="IT45" i="3" s="1"/>
  <c r="JJ41" i="3"/>
  <c r="JJ57" i="3" s="1"/>
  <c r="JJ38" i="3"/>
  <c r="JJ35" i="3"/>
  <c r="JJ37" i="3"/>
  <c r="JJ34" i="3"/>
  <c r="JJ50" i="3" s="1"/>
  <c r="JJ32" i="3"/>
  <c r="JJ48" i="3" s="1"/>
  <c r="JJ31" i="3"/>
  <c r="JJ47" i="3" s="1"/>
  <c r="JJ29" i="3"/>
  <c r="JJ45" i="3" s="1"/>
  <c r="JZ41" i="3"/>
  <c r="JZ38" i="3"/>
  <c r="JZ35" i="3"/>
  <c r="JZ37" i="3"/>
  <c r="JZ34" i="3"/>
  <c r="JZ32" i="3"/>
  <c r="JZ48" i="3" s="1"/>
  <c r="JZ31" i="3"/>
  <c r="JZ47" i="3" s="1"/>
  <c r="JZ29" i="3"/>
  <c r="JZ45" i="3" s="1"/>
  <c r="KP41" i="3"/>
  <c r="KP38" i="3"/>
  <c r="KP35" i="3"/>
  <c r="KP37" i="3"/>
  <c r="KP34" i="3"/>
  <c r="KP32" i="3"/>
  <c r="KP48" i="3" s="1"/>
  <c r="KP31" i="3"/>
  <c r="KP47" i="3" s="1"/>
  <c r="KP29" i="3"/>
  <c r="KP45" i="3" s="1"/>
  <c r="LF41" i="3"/>
  <c r="LF38" i="3"/>
  <c r="LF35" i="3"/>
  <c r="LF51" i="3" s="1"/>
  <c r="LF37" i="3"/>
  <c r="LF34" i="3"/>
  <c r="LF50" i="3" s="1"/>
  <c r="LF32" i="3"/>
  <c r="LF48" i="3" s="1"/>
  <c r="LF31" i="3"/>
  <c r="LF47" i="3" s="1"/>
  <c r="LF29" i="3"/>
  <c r="LF45" i="3" s="1"/>
  <c r="LV41" i="3"/>
  <c r="LV38" i="3"/>
  <c r="LV35" i="3"/>
  <c r="LV37" i="3"/>
  <c r="LV34" i="3"/>
  <c r="LV32" i="3"/>
  <c r="LV48" i="3" s="1"/>
  <c r="LV31" i="3"/>
  <c r="LV47" i="3" s="1"/>
  <c r="LV29" i="3"/>
  <c r="LV45" i="3" s="1"/>
  <c r="K41" i="3"/>
  <c r="K38" i="3"/>
  <c r="K37" i="3"/>
  <c r="K35" i="3"/>
  <c r="K34" i="3"/>
  <c r="K32" i="3"/>
  <c r="K48" i="3" s="1"/>
  <c r="K31" i="3"/>
  <c r="K47" i="3" s="1"/>
  <c r="K29" i="3"/>
  <c r="K45" i="3" s="1"/>
  <c r="AA41" i="3"/>
  <c r="AA38" i="3"/>
  <c r="AA37" i="3"/>
  <c r="AA35" i="3"/>
  <c r="AA34" i="3"/>
  <c r="AA32" i="3"/>
  <c r="AA48" i="3" s="1"/>
  <c r="AA31" i="3"/>
  <c r="AA47" i="3" s="1"/>
  <c r="AA29" i="3"/>
  <c r="AA45" i="3" s="1"/>
  <c r="AQ41" i="3"/>
  <c r="AQ38" i="3"/>
  <c r="AQ37" i="3"/>
  <c r="AQ35" i="3"/>
  <c r="AQ34" i="3"/>
  <c r="AQ32" i="3"/>
  <c r="AQ48" i="3" s="1"/>
  <c r="AQ31" i="3"/>
  <c r="AQ47" i="3" s="1"/>
  <c r="AQ29" i="3"/>
  <c r="AQ45" i="3" s="1"/>
  <c r="BG41" i="3"/>
  <c r="BG38" i="3"/>
  <c r="BG37" i="3"/>
  <c r="BG35" i="3"/>
  <c r="BG51" i="3" s="1"/>
  <c r="BG34" i="3"/>
  <c r="BG32" i="3"/>
  <c r="BG48" i="3" s="1"/>
  <c r="BG31" i="3"/>
  <c r="BG47" i="3" s="1"/>
  <c r="BG29" i="3"/>
  <c r="BG45" i="3" s="1"/>
  <c r="BW41" i="3"/>
  <c r="BW38" i="3"/>
  <c r="BW37" i="3"/>
  <c r="BW35" i="3"/>
  <c r="BW34" i="3"/>
  <c r="BW32" i="3"/>
  <c r="BW48" i="3" s="1"/>
  <c r="BW31" i="3"/>
  <c r="BW47" i="3" s="1"/>
  <c r="BW29" i="3"/>
  <c r="BW45" i="3" s="1"/>
  <c r="CM41" i="3"/>
  <c r="CM38" i="3"/>
  <c r="CM37" i="3"/>
  <c r="CM35" i="3"/>
  <c r="CM34" i="3"/>
  <c r="CM32" i="3"/>
  <c r="CM48" i="3" s="1"/>
  <c r="CM31" i="3"/>
  <c r="CM47" i="3" s="1"/>
  <c r="CM29" i="3"/>
  <c r="CM45" i="3" s="1"/>
  <c r="DC41" i="3"/>
  <c r="DC57" i="3" s="1"/>
  <c r="DC38" i="3"/>
  <c r="DC54" i="3" s="1"/>
  <c r="DC37" i="3"/>
  <c r="DC53" i="3" s="1"/>
  <c r="DC35" i="3"/>
  <c r="DC51" i="3" s="1"/>
  <c r="DC34" i="3"/>
  <c r="DC50" i="3" s="1"/>
  <c r="DC32" i="3"/>
  <c r="DC48" i="3" s="1"/>
  <c r="DC31" i="3"/>
  <c r="DC47" i="3" s="1"/>
  <c r="DC29" i="3"/>
  <c r="DC45" i="3" s="1"/>
  <c r="DS41" i="3"/>
  <c r="DS38" i="3"/>
  <c r="DS35" i="3"/>
  <c r="DS37" i="3"/>
  <c r="DS34" i="3"/>
  <c r="DS32" i="3"/>
  <c r="DS48" i="3" s="1"/>
  <c r="DS31" i="3"/>
  <c r="DS47" i="3" s="1"/>
  <c r="DS29" i="3"/>
  <c r="DS45" i="3" s="1"/>
  <c r="EI41" i="3"/>
  <c r="EI57" i="3" s="1"/>
  <c r="EI38" i="3"/>
  <c r="EI35" i="3"/>
  <c r="EI51" i="3" s="1"/>
  <c r="EI37" i="3"/>
  <c r="EI53" i="3" s="1"/>
  <c r="EI34" i="3"/>
  <c r="EI32" i="3"/>
  <c r="EI48" i="3" s="1"/>
  <c r="EI31" i="3"/>
  <c r="EI47" i="3" s="1"/>
  <c r="EI29" i="3"/>
  <c r="EI45" i="3" s="1"/>
  <c r="EY41" i="3"/>
  <c r="EY57" i="3" s="1"/>
  <c r="EY38" i="3"/>
  <c r="EY35" i="3"/>
  <c r="EY51" i="3" s="1"/>
  <c r="EY37" i="3"/>
  <c r="EY34" i="3"/>
  <c r="EY50" i="3" s="1"/>
  <c r="EY32" i="3"/>
  <c r="EY48" i="3" s="1"/>
  <c r="EY31" i="3"/>
  <c r="EY47" i="3" s="1"/>
  <c r="EY29" i="3"/>
  <c r="EY45" i="3" s="1"/>
  <c r="FO41" i="3"/>
  <c r="FO38" i="3"/>
  <c r="FO35" i="3"/>
  <c r="FO37" i="3"/>
  <c r="FO34" i="3"/>
  <c r="FO32" i="3"/>
  <c r="FO48" i="3" s="1"/>
  <c r="FO31" i="3"/>
  <c r="FO47" i="3" s="1"/>
  <c r="FO29" i="3"/>
  <c r="FO45" i="3" s="1"/>
  <c r="GE41" i="3"/>
  <c r="GE57" i="3" s="1"/>
  <c r="GE38" i="3"/>
  <c r="GE35" i="3"/>
  <c r="GE37" i="3"/>
  <c r="GE34" i="3"/>
  <c r="GE50" i="3" s="1"/>
  <c r="GE32" i="3"/>
  <c r="GE48" i="3" s="1"/>
  <c r="GE31" i="3"/>
  <c r="GE47" i="3" s="1"/>
  <c r="GE29" i="3"/>
  <c r="GE45" i="3" s="1"/>
  <c r="GU41" i="3"/>
  <c r="GU38" i="3"/>
  <c r="GU35" i="3"/>
  <c r="GU37" i="3"/>
  <c r="GU34" i="3"/>
  <c r="GU32" i="3"/>
  <c r="GU48" i="3" s="1"/>
  <c r="GU31" i="3"/>
  <c r="GU47" i="3" s="1"/>
  <c r="GU29" i="3"/>
  <c r="GU45" i="3" s="1"/>
  <c r="HK41" i="3"/>
  <c r="HK38" i="3"/>
  <c r="HK35" i="3"/>
  <c r="HK37" i="3"/>
  <c r="HK34" i="3"/>
  <c r="HK32" i="3"/>
  <c r="HK48" i="3" s="1"/>
  <c r="HK31" i="3"/>
  <c r="HK47" i="3" s="1"/>
  <c r="HK29" i="3"/>
  <c r="HK45" i="3" s="1"/>
  <c r="IA41" i="3"/>
  <c r="IA57" i="3" s="1"/>
  <c r="IA38" i="3"/>
  <c r="IA54" i="3" s="1"/>
  <c r="IA35" i="3"/>
  <c r="IA37" i="3"/>
  <c r="IA53" i="3" s="1"/>
  <c r="IA34" i="3"/>
  <c r="IA32" i="3"/>
  <c r="IA48" i="3" s="1"/>
  <c r="IA31" i="3"/>
  <c r="IA47" i="3" s="1"/>
  <c r="IA29" i="3"/>
  <c r="IA45" i="3" s="1"/>
  <c r="IQ41" i="3"/>
  <c r="IQ38" i="3"/>
  <c r="IQ35" i="3"/>
  <c r="IQ37" i="3"/>
  <c r="IQ34" i="3"/>
  <c r="IQ32" i="3"/>
  <c r="IQ48" i="3" s="1"/>
  <c r="IQ31" i="3"/>
  <c r="IQ47" i="3" s="1"/>
  <c r="IQ29" i="3"/>
  <c r="IQ45" i="3" s="1"/>
  <c r="JG41" i="3"/>
  <c r="JG57" i="3" s="1"/>
  <c r="JG38" i="3"/>
  <c r="JG35" i="3"/>
  <c r="JG37" i="3"/>
  <c r="JG34" i="3"/>
  <c r="JG32" i="3"/>
  <c r="JG48" i="3" s="1"/>
  <c r="JG31" i="3"/>
  <c r="JG47" i="3" s="1"/>
  <c r="JG29" i="3"/>
  <c r="JG45" i="3" s="1"/>
  <c r="JW41" i="3"/>
  <c r="JW38" i="3"/>
  <c r="JW35" i="3"/>
  <c r="JW37" i="3"/>
  <c r="JW34" i="3"/>
  <c r="JW32" i="3"/>
  <c r="JW48" i="3" s="1"/>
  <c r="JW31" i="3"/>
  <c r="JW47" i="3" s="1"/>
  <c r="JW29" i="3"/>
  <c r="JW45" i="3" s="1"/>
  <c r="KM41" i="3"/>
  <c r="KM57" i="3" s="1"/>
  <c r="KM38" i="3"/>
  <c r="KM54" i="3" s="1"/>
  <c r="KM35" i="3"/>
  <c r="KM51" i="3" s="1"/>
  <c r="KM37" i="3"/>
  <c r="KM53" i="3" s="1"/>
  <c r="KM34" i="3"/>
  <c r="KM50" i="3" s="1"/>
  <c r="KM32" i="3"/>
  <c r="KM48" i="3" s="1"/>
  <c r="KM31" i="3"/>
  <c r="KM47" i="3" s="1"/>
  <c r="KM29" i="3"/>
  <c r="KM45" i="3" s="1"/>
  <c r="LC41" i="3"/>
  <c r="LC57" i="3" s="1"/>
  <c r="LC38" i="3"/>
  <c r="LC54" i="3" s="1"/>
  <c r="LC35" i="3"/>
  <c r="LC51" i="3" s="1"/>
  <c r="LC37" i="3"/>
  <c r="LC53" i="3" s="1"/>
  <c r="LC34" i="3"/>
  <c r="LC50" i="3" s="1"/>
  <c r="LC32" i="3"/>
  <c r="LC48" i="3" s="1"/>
  <c r="LC31" i="3"/>
  <c r="LC47" i="3" s="1"/>
  <c r="LC29" i="3"/>
  <c r="LC45" i="3" s="1"/>
  <c r="LS41" i="3"/>
  <c r="LS38" i="3"/>
  <c r="LS35" i="3"/>
  <c r="LS37" i="3"/>
  <c r="LS34" i="3"/>
  <c r="LS32" i="3"/>
  <c r="LS48" i="3" s="1"/>
  <c r="LS31" i="3"/>
  <c r="LS47" i="3" s="1"/>
  <c r="LS29" i="3"/>
  <c r="LS45" i="3" s="1"/>
  <c r="X41" i="3"/>
  <c r="X57" i="3" s="1"/>
  <c r="X38" i="3"/>
  <c r="X37" i="3"/>
  <c r="X35" i="3"/>
  <c r="X34" i="3"/>
  <c r="X32" i="3"/>
  <c r="X48" i="3" s="1"/>
  <c r="X31" i="3"/>
  <c r="X47" i="3" s="1"/>
  <c r="X29" i="3"/>
  <c r="X45" i="3" s="1"/>
  <c r="AN41" i="3"/>
  <c r="AN38" i="3"/>
  <c r="AN37" i="3"/>
  <c r="AN35" i="3"/>
  <c r="AN34" i="3"/>
  <c r="AN32" i="3"/>
  <c r="AN48" i="3" s="1"/>
  <c r="AN31" i="3"/>
  <c r="AN47" i="3" s="1"/>
  <c r="AN29" i="3"/>
  <c r="AN45" i="3" s="1"/>
  <c r="BD41" i="3"/>
  <c r="BD57" i="3" s="1"/>
  <c r="BD38" i="3"/>
  <c r="BD54" i="3" s="1"/>
  <c r="BD37" i="3"/>
  <c r="BD35" i="3"/>
  <c r="BD51" i="3" s="1"/>
  <c r="BD34" i="3"/>
  <c r="BD50" i="3" s="1"/>
  <c r="BD32" i="3"/>
  <c r="BD48" i="3" s="1"/>
  <c r="BD31" i="3"/>
  <c r="BD47" i="3" s="1"/>
  <c r="BD29" i="3"/>
  <c r="BD45" i="3" s="1"/>
  <c r="BT41" i="3"/>
  <c r="BT57" i="3" s="1"/>
  <c r="BT38" i="3"/>
  <c r="BT54" i="3" s="1"/>
  <c r="BT37" i="3"/>
  <c r="BT35" i="3"/>
  <c r="BT51" i="3" s="1"/>
  <c r="BT34" i="3"/>
  <c r="BT50" i="3" s="1"/>
  <c r="BT32" i="3"/>
  <c r="BT48" i="3" s="1"/>
  <c r="BT31" i="3"/>
  <c r="BT47" i="3" s="1"/>
  <c r="BT29" i="3"/>
  <c r="BT45" i="3" s="1"/>
  <c r="CJ41" i="3"/>
  <c r="CJ57" i="3" s="1"/>
  <c r="CJ38" i="3"/>
  <c r="CJ54" i="3" s="1"/>
  <c r="CJ37" i="3"/>
  <c r="CJ53" i="3" s="1"/>
  <c r="CJ35" i="3"/>
  <c r="CJ51" i="3" s="1"/>
  <c r="CJ34" i="3"/>
  <c r="CJ50" i="3" s="1"/>
  <c r="CJ32" i="3"/>
  <c r="CJ48" i="3" s="1"/>
  <c r="CJ31" i="3"/>
  <c r="CJ47" i="3" s="1"/>
  <c r="CJ29" i="3"/>
  <c r="CJ45" i="3" s="1"/>
  <c r="CZ41" i="3"/>
  <c r="CZ38" i="3"/>
  <c r="CZ37" i="3"/>
  <c r="CZ35" i="3"/>
  <c r="CZ34" i="3"/>
  <c r="CZ32" i="3"/>
  <c r="CZ48" i="3" s="1"/>
  <c r="CZ31" i="3"/>
  <c r="CZ47" i="3" s="1"/>
  <c r="CZ29" i="3"/>
  <c r="CZ45" i="3" s="1"/>
  <c r="DP41" i="3"/>
  <c r="DP38" i="3"/>
  <c r="DP54" i="3" s="1"/>
  <c r="DP35" i="3"/>
  <c r="DP37" i="3"/>
  <c r="DP53" i="3" s="1"/>
  <c r="DP34" i="3"/>
  <c r="DP32" i="3"/>
  <c r="DP48" i="3" s="1"/>
  <c r="DP31" i="3"/>
  <c r="DP47" i="3" s="1"/>
  <c r="DP29" i="3"/>
  <c r="DP45" i="3" s="1"/>
  <c r="EF41" i="3"/>
  <c r="EF57" i="3" s="1"/>
  <c r="EF38" i="3"/>
  <c r="EF54" i="3" s="1"/>
  <c r="EF35" i="3"/>
  <c r="EF51" i="3" s="1"/>
  <c r="EF37" i="3"/>
  <c r="EF53" i="3" s="1"/>
  <c r="EF34" i="3"/>
  <c r="EF50" i="3" s="1"/>
  <c r="EF32" i="3"/>
  <c r="EF48" i="3" s="1"/>
  <c r="EF31" i="3"/>
  <c r="EF47" i="3" s="1"/>
  <c r="EF29" i="3"/>
  <c r="EF45" i="3" s="1"/>
  <c r="EV41" i="3"/>
  <c r="EV57" i="3" s="1"/>
  <c r="EV38" i="3"/>
  <c r="EV54" i="3" s="1"/>
  <c r="EV35" i="3"/>
  <c r="EV37" i="3"/>
  <c r="EV53" i="3" s="1"/>
  <c r="EV34" i="3"/>
  <c r="EV50" i="3" s="1"/>
  <c r="EV32" i="3"/>
  <c r="EV48" i="3" s="1"/>
  <c r="EV31" i="3"/>
  <c r="EV47" i="3" s="1"/>
  <c r="EV29" i="3"/>
  <c r="EV45" i="3" s="1"/>
  <c r="FL41" i="3"/>
  <c r="FL38" i="3"/>
  <c r="FL35" i="3"/>
  <c r="FL37" i="3"/>
  <c r="FL34" i="3"/>
  <c r="FL50" i="3" s="1"/>
  <c r="FL32" i="3"/>
  <c r="FL48" i="3" s="1"/>
  <c r="FL31" i="3"/>
  <c r="FL47" i="3" s="1"/>
  <c r="FL29" i="3"/>
  <c r="FL45" i="3" s="1"/>
  <c r="GB41" i="3"/>
  <c r="GB38" i="3"/>
  <c r="GB35" i="3"/>
  <c r="GB37" i="3"/>
  <c r="GB34" i="3"/>
  <c r="GB32" i="3"/>
  <c r="GB48" i="3" s="1"/>
  <c r="GB31" i="3"/>
  <c r="GB47" i="3" s="1"/>
  <c r="GB29" i="3"/>
  <c r="GB45" i="3" s="1"/>
  <c r="GR41" i="3"/>
  <c r="GR38" i="3"/>
  <c r="GR35" i="3"/>
  <c r="GR37" i="3"/>
  <c r="GR34" i="3"/>
  <c r="GR32" i="3"/>
  <c r="GR48" i="3" s="1"/>
  <c r="GR31" i="3"/>
  <c r="GR47" i="3" s="1"/>
  <c r="GR29" i="3"/>
  <c r="GR45" i="3" s="1"/>
  <c r="DI41" i="3"/>
  <c r="DI38" i="3"/>
  <c r="DI37" i="3"/>
  <c r="DI34" i="3"/>
  <c r="DI35" i="3"/>
  <c r="DI32" i="3"/>
  <c r="DI48" i="3" s="1"/>
  <c r="DI31" i="3"/>
  <c r="DI47" i="3" s="1"/>
  <c r="DI29" i="3"/>
  <c r="DI45" i="3" s="1"/>
  <c r="JY41" i="3"/>
  <c r="JY38" i="3"/>
  <c r="JY37" i="3"/>
  <c r="JY34" i="3"/>
  <c r="JY35" i="3"/>
  <c r="JY32" i="3"/>
  <c r="JY48" i="3" s="1"/>
  <c r="JY31" i="3"/>
  <c r="JY47" i="3" s="1"/>
  <c r="JY29" i="3"/>
  <c r="JY45" i="3" s="1"/>
  <c r="NM41" i="3"/>
  <c r="NM38" i="3"/>
  <c r="NM37" i="3"/>
  <c r="NM34" i="3"/>
  <c r="NM35" i="3"/>
  <c r="NM32" i="3"/>
  <c r="NM48" i="3" s="1"/>
  <c r="NM31" i="3"/>
  <c r="NM47" i="3" s="1"/>
  <c r="NM29" i="3"/>
  <c r="NM45" i="3" s="1"/>
  <c r="PY41" i="3"/>
  <c r="PY38" i="3"/>
  <c r="PY37" i="3"/>
  <c r="PY34" i="3"/>
  <c r="PY35" i="3"/>
  <c r="PY32" i="3"/>
  <c r="PY48" i="3" s="1"/>
  <c r="PY31" i="3"/>
  <c r="PY47" i="3" s="1"/>
  <c r="PY29" i="3"/>
  <c r="PY45" i="3" s="1"/>
  <c r="SK41" i="3"/>
  <c r="SK57" i="3" s="1"/>
  <c r="SK38" i="3"/>
  <c r="SK37" i="3"/>
  <c r="SK53" i="3" s="1"/>
  <c r="SK34" i="3"/>
  <c r="SK50" i="3" s="1"/>
  <c r="SK35" i="3"/>
  <c r="SK51" i="3" s="1"/>
  <c r="SK32" i="3"/>
  <c r="SK48" i="3" s="1"/>
  <c r="SK31" i="3"/>
  <c r="SK47" i="3" s="1"/>
  <c r="SK29" i="3"/>
  <c r="SK45" i="3" s="1"/>
  <c r="UW41" i="3"/>
  <c r="UW57" i="3" s="1"/>
  <c r="UW38" i="3"/>
  <c r="UW54" i="3" s="1"/>
  <c r="UW37" i="3"/>
  <c r="UW34" i="3"/>
  <c r="UW50" i="3" s="1"/>
  <c r="UW35" i="3"/>
  <c r="UW51" i="3" s="1"/>
  <c r="UW32" i="3"/>
  <c r="UW48" i="3" s="1"/>
  <c r="UW31" i="3"/>
  <c r="UW47" i="3" s="1"/>
  <c r="UW29" i="3"/>
  <c r="UW45" i="3" s="1"/>
  <c r="XI41" i="3"/>
  <c r="XI57" i="3" s="1"/>
  <c r="XI38" i="3"/>
  <c r="XI54" i="3" s="1"/>
  <c r="XI37" i="3"/>
  <c r="XI53" i="3" s="1"/>
  <c r="XI34" i="3"/>
  <c r="XI50" i="3" s="1"/>
  <c r="XI35" i="3"/>
  <c r="XI51" i="3" s="1"/>
  <c r="XI32" i="3"/>
  <c r="XI48" i="3" s="1"/>
  <c r="XI31" i="3"/>
  <c r="XI47" i="3" s="1"/>
  <c r="XI29" i="3"/>
  <c r="XI45" i="3" s="1"/>
  <c r="ZU41" i="3"/>
  <c r="ZU57" i="3" s="1"/>
  <c r="ZU38" i="3"/>
  <c r="ZU54" i="3" s="1"/>
  <c r="ZU37" i="3"/>
  <c r="ZU35" i="3"/>
  <c r="ZU51" i="3" s="1"/>
  <c r="ZU34" i="3"/>
  <c r="ZU50" i="3" s="1"/>
  <c r="ZU32" i="3"/>
  <c r="ZU48" i="3" s="1"/>
  <c r="ZU31" i="3"/>
  <c r="ZU47" i="3" s="1"/>
  <c r="ZU29" i="3"/>
  <c r="ZU45" i="3" s="1"/>
  <c r="ACG41" i="3"/>
  <c r="ACG57" i="3" s="1"/>
  <c r="ACG38" i="3"/>
  <c r="ACG54" i="3" s="1"/>
  <c r="ACG37" i="3"/>
  <c r="ACG53" i="3" s="1"/>
  <c r="ACG35" i="3"/>
  <c r="ACG51" i="3" s="1"/>
  <c r="ACG34" i="3"/>
  <c r="ACG50" i="3" s="1"/>
  <c r="ACG32" i="3"/>
  <c r="ACG48" i="3" s="1"/>
  <c r="ACG31" i="3"/>
  <c r="ACG47" i="3" s="1"/>
  <c r="ACG29" i="3"/>
  <c r="ACG45" i="3" s="1"/>
  <c r="AES41" i="3"/>
  <c r="AES57" i="3" s="1"/>
  <c r="AES38" i="3"/>
  <c r="AES54" i="3" s="1"/>
  <c r="AES37" i="3"/>
  <c r="AES35" i="3"/>
  <c r="AES51" i="3" s="1"/>
  <c r="AES34" i="3"/>
  <c r="AES50" i="3" s="1"/>
  <c r="AES32" i="3"/>
  <c r="AES48" i="3" s="1"/>
  <c r="AES31" i="3"/>
  <c r="AES47" i="3" s="1"/>
  <c r="AES29" i="3"/>
  <c r="AES45" i="3" s="1"/>
  <c r="AHE41" i="3"/>
  <c r="AHE57" i="3" s="1"/>
  <c r="AHE38" i="3"/>
  <c r="AHE54" i="3" s="1"/>
  <c r="AHE37" i="3"/>
  <c r="AHE53" i="3" s="1"/>
  <c r="AHE35" i="3"/>
  <c r="AHE51" i="3" s="1"/>
  <c r="AHE34" i="3"/>
  <c r="AHE50" i="3" s="1"/>
  <c r="AHE32" i="3"/>
  <c r="AHE48" i="3" s="1"/>
  <c r="AHE31" i="3"/>
  <c r="AHE47" i="3" s="1"/>
  <c r="AHE29" i="3"/>
  <c r="AHE45" i="3" s="1"/>
  <c r="AJQ41" i="3"/>
  <c r="AJQ57" i="3" s="1"/>
  <c r="AJQ38" i="3"/>
  <c r="AJQ54" i="3" s="1"/>
  <c r="AJQ37" i="3"/>
  <c r="AJQ35" i="3"/>
  <c r="AJQ51" i="3" s="1"/>
  <c r="AJQ34" i="3"/>
  <c r="AJQ50" i="3" s="1"/>
  <c r="AJQ32" i="3"/>
  <c r="AJQ48" i="3" s="1"/>
  <c r="AJQ31" i="3"/>
  <c r="AJQ47" i="3" s="1"/>
  <c r="AJQ29" i="3"/>
  <c r="AJQ45" i="3" s="1"/>
  <c r="BM41" i="3"/>
  <c r="BM38" i="3"/>
  <c r="BM37" i="3"/>
  <c r="BM35" i="3"/>
  <c r="BM34" i="3"/>
  <c r="BM32" i="3"/>
  <c r="BM48" i="3" s="1"/>
  <c r="BM31" i="3"/>
  <c r="BM47" i="3" s="1"/>
  <c r="BM29" i="3"/>
  <c r="BM45" i="3" s="1"/>
  <c r="LM41" i="3"/>
  <c r="LM38" i="3"/>
  <c r="LM37" i="3"/>
  <c r="LM35" i="3"/>
  <c r="LM34" i="3"/>
  <c r="LM32" i="3"/>
  <c r="LM48" i="3" s="1"/>
  <c r="LM31" i="3"/>
  <c r="LM47" i="3" s="1"/>
  <c r="LM29" i="3"/>
  <c r="LM45" i="3" s="1"/>
  <c r="OG41" i="3"/>
  <c r="OG38" i="3"/>
  <c r="OG37" i="3"/>
  <c r="OG34" i="3"/>
  <c r="OG35" i="3"/>
  <c r="OG32" i="3"/>
  <c r="OG48" i="3" s="1"/>
  <c r="OG31" i="3"/>
  <c r="OG47" i="3" s="1"/>
  <c r="OG29" i="3"/>
  <c r="OG45" i="3" s="1"/>
  <c r="QS41" i="3"/>
  <c r="QS38" i="3"/>
  <c r="QS37" i="3"/>
  <c r="QS34" i="3"/>
  <c r="QS35" i="3"/>
  <c r="QS32" i="3"/>
  <c r="QS48" i="3" s="1"/>
  <c r="QS31" i="3"/>
  <c r="QS47" i="3" s="1"/>
  <c r="QS29" i="3"/>
  <c r="QS45" i="3" s="1"/>
  <c r="TE41" i="3"/>
  <c r="TE57" i="3" s="1"/>
  <c r="TE38" i="3"/>
  <c r="TE54" i="3" s="1"/>
  <c r="TE37" i="3"/>
  <c r="TE53" i="3" s="1"/>
  <c r="TE34" i="3"/>
  <c r="TE50" i="3" s="1"/>
  <c r="TE35" i="3"/>
  <c r="TE51" i="3" s="1"/>
  <c r="TE32" i="3"/>
  <c r="TE48" i="3" s="1"/>
  <c r="TE31" i="3"/>
  <c r="TE47" i="3" s="1"/>
  <c r="TE29" i="3"/>
  <c r="TE45" i="3" s="1"/>
  <c r="VQ41" i="3"/>
  <c r="VQ57" i="3" s="1"/>
  <c r="VQ38" i="3"/>
  <c r="VQ54" i="3" s="1"/>
  <c r="VQ37" i="3"/>
  <c r="VQ34" i="3"/>
  <c r="VQ50" i="3" s="1"/>
  <c r="VQ35" i="3"/>
  <c r="VQ51" i="3" s="1"/>
  <c r="VQ32" i="3"/>
  <c r="VQ48" i="3" s="1"/>
  <c r="VQ31" i="3"/>
  <c r="VQ47" i="3" s="1"/>
  <c r="VQ29" i="3"/>
  <c r="VQ45" i="3" s="1"/>
  <c r="YC41" i="3"/>
  <c r="YC57" i="3" s="1"/>
  <c r="YC38" i="3"/>
  <c r="YC37" i="3"/>
  <c r="YC34" i="3"/>
  <c r="YC50" i="3" s="1"/>
  <c r="YC35" i="3"/>
  <c r="YC51" i="3" s="1"/>
  <c r="YC32" i="3"/>
  <c r="YC48" i="3" s="1"/>
  <c r="YC31" i="3"/>
  <c r="YC47" i="3" s="1"/>
  <c r="YC29" i="3"/>
  <c r="YC45" i="3" s="1"/>
  <c r="AAO41" i="3"/>
  <c r="AAO57" i="3" s="1"/>
  <c r="AAO38" i="3"/>
  <c r="AAO54" i="3" s="1"/>
  <c r="AAO37" i="3"/>
  <c r="AAO53" i="3" s="1"/>
  <c r="AAO35" i="3"/>
  <c r="AAO51" i="3" s="1"/>
  <c r="AAO34" i="3"/>
  <c r="AAO50" i="3" s="1"/>
  <c r="AAO32" i="3"/>
  <c r="AAO48" i="3" s="1"/>
  <c r="AAO31" i="3"/>
  <c r="AAO47" i="3" s="1"/>
  <c r="AAO29" i="3"/>
  <c r="AAO45" i="3" s="1"/>
  <c r="ADA41" i="3"/>
  <c r="ADA57" i="3" s="1"/>
  <c r="ADA38" i="3"/>
  <c r="ADA54" i="3" s="1"/>
  <c r="ADA37" i="3"/>
  <c r="ADA35" i="3"/>
  <c r="ADA51" i="3" s="1"/>
  <c r="ADA34" i="3"/>
  <c r="ADA50" i="3" s="1"/>
  <c r="ADA32" i="3"/>
  <c r="ADA48" i="3" s="1"/>
  <c r="ADA31" i="3"/>
  <c r="ADA47" i="3" s="1"/>
  <c r="ADA29" i="3"/>
  <c r="ADA45" i="3" s="1"/>
  <c r="AFM41" i="3"/>
  <c r="AFM57" i="3" s="1"/>
  <c r="AFM38" i="3"/>
  <c r="AFM54" i="3" s="1"/>
  <c r="AFM37" i="3"/>
  <c r="AFM53" i="3" s="1"/>
  <c r="AFM35" i="3"/>
  <c r="AFM51" i="3" s="1"/>
  <c r="AFM34" i="3"/>
  <c r="AFM50" i="3" s="1"/>
  <c r="AFM32" i="3"/>
  <c r="AFM48" i="3" s="1"/>
  <c r="AFM31" i="3"/>
  <c r="AFM47" i="3" s="1"/>
  <c r="AFM29" i="3"/>
  <c r="AFM45" i="3" s="1"/>
  <c r="AHY41" i="3"/>
  <c r="AHY57" i="3" s="1"/>
  <c r="AHY38" i="3"/>
  <c r="AHY54" i="3" s="1"/>
  <c r="AHY37" i="3"/>
  <c r="AHY35" i="3"/>
  <c r="AHY51" i="3" s="1"/>
  <c r="AHY34" i="3"/>
  <c r="AHY50" i="3" s="1"/>
  <c r="AHY32" i="3"/>
  <c r="AHY48" i="3" s="1"/>
  <c r="AHY31" i="3"/>
  <c r="AHY47" i="3" s="1"/>
  <c r="AHY29" i="3"/>
  <c r="AHY45" i="3" s="1"/>
  <c r="AKK41" i="3"/>
  <c r="AKK57" i="3" s="1"/>
  <c r="AKK38" i="3"/>
  <c r="AKK37" i="3"/>
  <c r="AKK53" i="3" s="1"/>
  <c r="AKK35" i="3"/>
  <c r="AKK51" i="3" s="1"/>
  <c r="AKK34" i="3"/>
  <c r="AKK50" i="3" s="1"/>
  <c r="AKK32" i="3"/>
  <c r="AKK48" i="3" s="1"/>
  <c r="AKK31" i="3"/>
  <c r="AKK47" i="3" s="1"/>
  <c r="AKK29" i="3"/>
  <c r="AKK45" i="3" s="1"/>
  <c r="ALB41" i="3"/>
  <c r="ALB57" i="3" s="1"/>
  <c r="ALB38" i="3"/>
  <c r="ALB54" i="3" s="1"/>
  <c r="ALB37" i="3"/>
  <c r="ALB53" i="3" s="1"/>
  <c r="ALB35" i="3"/>
  <c r="ALB51" i="3" s="1"/>
  <c r="ALB34" i="3"/>
  <c r="ALB50" i="3" s="1"/>
  <c r="ALB32" i="3"/>
  <c r="ALB48" i="3" s="1"/>
  <c r="ALB31" i="3"/>
  <c r="ALB47" i="3" s="1"/>
  <c r="ALB29" i="3"/>
  <c r="ALB45" i="3" s="1"/>
  <c r="AKL41" i="3"/>
  <c r="AKL57" i="3" s="1"/>
  <c r="AKL38" i="3"/>
  <c r="AKL54" i="3" s="1"/>
  <c r="AKL37" i="3"/>
  <c r="AKL35" i="3"/>
  <c r="AKL51" i="3" s="1"/>
  <c r="AKL34" i="3"/>
  <c r="AKL50" i="3" s="1"/>
  <c r="AKL32" i="3"/>
  <c r="AKL48" i="3" s="1"/>
  <c r="AKL31" i="3"/>
  <c r="AKL47" i="3" s="1"/>
  <c r="AKL29" i="3"/>
  <c r="AKL45" i="3" s="1"/>
  <c r="AJV41" i="3"/>
  <c r="AJV57" i="3" s="1"/>
  <c r="AJV38" i="3"/>
  <c r="AJV54" i="3" s="1"/>
  <c r="AJV37" i="3"/>
  <c r="AJV53" i="3" s="1"/>
  <c r="AJV35" i="3"/>
  <c r="AJV51" i="3" s="1"/>
  <c r="AJV34" i="3"/>
  <c r="AJV50" i="3" s="1"/>
  <c r="AJV32" i="3"/>
  <c r="AJV48" i="3" s="1"/>
  <c r="AJV31" i="3"/>
  <c r="AJV47" i="3" s="1"/>
  <c r="AJV29" i="3"/>
  <c r="AJV45" i="3" s="1"/>
  <c r="AJF41" i="3"/>
  <c r="AJF57" i="3" s="1"/>
  <c r="AJF38" i="3"/>
  <c r="AJF54" i="3" s="1"/>
  <c r="AJF37" i="3"/>
  <c r="AJF35" i="3"/>
  <c r="AJF51" i="3" s="1"/>
  <c r="AJF34" i="3"/>
  <c r="AJF50" i="3" s="1"/>
  <c r="AJF32" i="3"/>
  <c r="AJF48" i="3" s="1"/>
  <c r="AJF31" i="3"/>
  <c r="AJF47" i="3" s="1"/>
  <c r="AJF29" i="3"/>
  <c r="AJF45" i="3" s="1"/>
  <c r="AIP41" i="3"/>
  <c r="AIP57" i="3" s="1"/>
  <c r="AIP38" i="3"/>
  <c r="AIP54" i="3" s="1"/>
  <c r="AIP37" i="3"/>
  <c r="AIP53" i="3" s="1"/>
  <c r="AIP35" i="3"/>
  <c r="AIP51" i="3" s="1"/>
  <c r="AIP34" i="3"/>
  <c r="AIP50" i="3" s="1"/>
  <c r="AIP32" i="3"/>
  <c r="AIP48" i="3" s="1"/>
  <c r="AIP31" i="3"/>
  <c r="AIP47" i="3" s="1"/>
  <c r="AIP29" i="3"/>
  <c r="AIP45" i="3" s="1"/>
  <c r="AHZ41" i="3"/>
  <c r="AHZ57" i="3" s="1"/>
  <c r="AHZ38" i="3"/>
  <c r="AHZ54" i="3" s="1"/>
  <c r="AHZ37" i="3"/>
  <c r="AHZ35" i="3"/>
  <c r="AHZ51" i="3" s="1"/>
  <c r="AHZ34" i="3"/>
  <c r="AHZ50" i="3" s="1"/>
  <c r="AHZ32" i="3"/>
  <c r="AHZ48" i="3" s="1"/>
  <c r="AHZ31" i="3"/>
  <c r="AHZ47" i="3" s="1"/>
  <c r="AHZ29" i="3"/>
  <c r="AHZ45" i="3" s="1"/>
  <c r="AHJ41" i="3"/>
  <c r="AHJ57" i="3" s="1"/>
  <c r="AHJ38" i="3"/>
  <c r="AHJ54" i="3" s="1"/>
  <c r="AHJ37" i="3"/>
  <c r="AHJ53" i="3" s="1"/>
  <c r="AHJ35" i="3"/>
  <c r="AHJ51" i="3" s="1"/>
  <c r="AHJ34" i="3"/>
  <c r="AHJ50" i="3" s="1"/>
  <c r="AHJ32" i="3"/>
  <c r="AHJ48" i="3" s="1"/>
  <c r="AHJ31" i="3"/>
  <c r="AHJ47" i="3" s="1"/>
  <c r="AHJ29" i="3"/>
  <c r="AHJ45" i="3" s="1"/>
  <c r="AGT41" i="3"/>
  <c r="AGT57" i="3" s="1"/>
  <c r="AGT38" i="3"/>
  <c r="AGT54" i="3" s="1"/>
  <c r="AGT37" i="3"/>
  <c r="AGT35" i="3"/>
  <c r="AGT51" i="3" s="1"/>
  <c r="AGT34" i="3"/>
  <c r="AGT50" i="3" s="1"/>
  <c r="AGT32" i="3"/>
  <c r="AGT48" i="3" s="1"/>
  <c r="AGT31" i="3"/>
  <c r="AGT47" i="3" s="1"/>
  <c r="AGT29" i="3"/>
  <c r="AGT45" i="3" s="1"/>
  <c r="AGD41" i="3"/>
  <c r="AGD57" i="3" s="1"/>
  <c r="AGD38" i="3"/>
  <c r="AGD54" i="3" s="1"/>
  <c r="AGD37" i="3"/>
  <c r="AGD53" i="3" s="1"/>
  <c r="AGD35" i="3"/>
  <c r="AGD51" i="3" s="1"/>
  <c r="AGD34" i="3"/>
  <c r="AGD50" i="3" s="1"/>
  <c r="AGD32" i="3"/>
  <c r="AGD48" i="3" s="1"/>
  <c r="AGD31" i="3"/>
  <c r="AGD47" i="3" s="1"/>
  <c r="AGD29" i="3"/>
  <c r="AGD45" i="3" s="1"/>
  <c r="AFN41" i="3"/>
  <c r="AFN57" i="3" s="1"/>
  <c r="AFN38" i="3"/>
  <c r="AFN54" i="3" s="1"/>
  <c r="AFN37" i="3"/>
  <c r="AFN35" i="3"/>
  <c r="AFN51" i="3" s="1"/>
  <c r="AFN34" i="3"/>
  <c r="AFN50" i="3" s="1"/>
  <c r="AFN32" i="3"/>
  <c r="AFN48" i="3" s="1"/>
  <c r="AFN31" i="3"/>
  <c r="AFN47" i="3" s="1"/>
  <c r="AFN29" i="3"/>
  <c r="AFN45" i="3" s="1"/>
  <c r="AEX41" i="3"/>
  <c r="AEX57" i="3" s="1"/>
  <c r="AEX38" i="3"/>
  <c r="AEX54" i="3" s="1"/>
  <c r="AEX37" i="3"/>
  <c r="AEX53" i="3" s="1"/>
  <c r="AEX35" i="3"/>
  <c r="AEX51" i="3" s="1"/>
  <c r="AEX34" i="3"/>
  <c r="AEX50" i="3" s="1"/>
  <c r="AEX32" i="3"/>
  <c r="AEX48" i="3" s="1"/>
  <c r="AEX31" i="3"/>
  <c r="AEX47" i="3" s="1"/>
  <c r="AEX29" i="3"/>
  <c r="AEX45" i="3" s="1"/>
  <c r="AEH41" i="3"/>
  <c r="AEH57" i="3" s="1"/>
  <c r="AEH38" i="3"/>
  <c r="AEH54" i="3" s="1"/>
  <c r="AEH37" i="3"/>
  <c r="AEH35" i="3"/>
  <c r="AEH51" i="3" s="1"/>
  <c r="AEH34" i="3"/>
  <c r="AEH50" i="3" s="1"/>
  <c r="AEH32" i="3"/>
  <c r="AEH48" i="3" s="1"/>
  <c r="AEH31" i="3"/>
  <c r="AEH47" i="3" s="1"/>
  <c r="AEH29" i="3"/>
  <c r="AEH45" i="3" s="1"/>
  <c r="ADR41" i="3"/>
  <c r="ADR57" i="3" s="1"/>
  <c r="ADR38" i="3"/>
  <c r="ADR54" i="3" s="1"/>
  <c r="ADR37" i="3"/>
  <c r="ADR53" i="3" s="1"/>
  <c r="ADR35" i="3"/>
  <c r="ADR51" i="3" s="1"/>
  <c r="ADR34" i="3"/>
  <c r="ADR50" i="3" s="1"/>
  <c r="ADR32" i="3"/>
  <c r="ADR48" i="3" s="1"/>
  <c r="ADR31" i="3"/>
  <c r="ADR47" i="3" s="1"/>
  <c r="ADR29" i="3"/>
  <c r="ADR45" i="3" s="1"/>
  <c r="ADB41" i="3"/>
  <c r="ADB57" i="3" s="1"/>
  <c r="ADB38" i="3"/>
  <c r="ADB54" i="3" s="1"/>
  <c r="ADB37" i="3"/>
  <c r="ADB35" i="3"/>
  <c r="ADB51" i="3" s="1"/>
  <c r="ADB34" i="3"/>
  <c r="ADB50" i="3" s="1"/>
  <c r="ADB32" i="3"/>
  <c r="ADB48" i="3" s="1"/>
  <c r="ADB31" i="3"/>
  <c r="ADB47" i="3" s="1"/>
  <c r="ADB29" i="3"/>
  <c r="ADB45" i="3" s="1"/>
  <c r="ACL41" i="3"/>
  <c r="ACL57" i="3" s="1"/>
  <c r="ACL38" i="3"/>
  <c r="ACL54" i="3" s="1"/>
  <c r="ACL37" i="3"/>
  <c r="ACL53" i="3" s="1"/>
  <c r="ACL35" i="3"/>
  <c r="ACL51" i="3" s="1"/>
  <c r="ACL34" i="3"/>
  <c r="ACL50" i="3" s="1"/>
  <c r="ACL32" i="3"/>
  <c r="ACL48" i="3" s="1"/>
  <c r="ACL31" i="3"/>
  <c r="ACL47" i="3" s="1"/>
  <c r="ACL29" i="3"/>
  <c r="ACL45" i="3" s="1"/>
  <c r="ABV41" i="3"/>
  <c r="ABV57" i="3" s="1"/>
  <c r="ABV38" i="3"/>
  <c r="ABV54" i="3" s="1"/>
  <c r="ABV37" i="3"/>
  <c r="ABV35" i="3"/>
  <c r="ABV51" i="3" s="1"/>
  <c r="ABV34" i="3"/>
  <c r="ABV50" i="3" s="1"/>
  <c r="ABV32" i="3"/>
  <c r="ABV48" i="3" s="1"/>
  <c r="ABV31" i="3"/>
  <c r="ABV47" i="3" s="1"/>
  <c r="ABV29" i="3"/>
  <c r="ABV45" i="3" s="1"/>
  <c r="ABF41" i="3"/>
  <c r="ABF57" i="3" s="1"/>
  <c r="ABF38" i="3"/>
  <c r="ABF54" i="3" s="1"/>
  <c r="ABF37" i="3"/>
  <c r="ABF53" i="3" s="1"/>
  <c r="ABF35" i="3"/>
  <c r="ABF51" i="3" s="1"/>
  <c r="ABF34" i="3"/>
  <c r="ABF50" i="3" s="1"/>
  <c r="ABF32" i="3"/>
  <c r="ABF48" i="3" s="1"/>
  <c r="ABF31" i="3"/>
  <c r="ABF47" i="3" s="1"/>
  <c r="ABF29" i="3"/>
  <c r="ABF45" i="3" s="1"/>
  <c r="AAP41" i="3"/>
  <c r="AAP57" i="3" s="1"/>
  <c r="AAP38" i="3"/>
  <c r="AAP54" i="3" s="1"/>
  <c r="AAP37" i="3"/>
  <c r="AAP35" i="3"/>
  <c r="AAP51" i="3" s="1"/>
  <c r="AAP34" i="3"/>
  <c r="AAP50" i="3" s="1"/>
  <c r="AAP32" i="3"/>
  <c r="AAP48" i="3" s="1"/>
  <c r="AAP31" i="3"/>
  <c r="AAP47" i="3" s="1"/>
  <c r="AAP29" i="3"/>
  <c r="AAP45" i="3" s="1"/>
  <c r="ZZ41" i="3"/>
  <c r="ZZ57" i="3" s="1"/>
  <c r="ZZ38" i="3"/>
  <c r="ZZ54" i="3" s="1"/>
  <c r="ZZ37" i="3"/>
  <c r="ZZ53" i="3" s="1"/>
  <c r="ZZ35" i="3"/>
  <c r="ZZ51" i="3" s="1"/>
  <c r="ZZ34" i="3"/>
  <c r="ZZ50" i="3" s="1"/>
  <c r="ZZ32" i="3"/>
  <c r="ZZ48" i="3" s="1"/>
  <c r="ZZ31" i="3"/>
  <c r="ZZ47" i="3" s="1"/>
  <c r="ZZ29" i="3"/>
  <c r="ZZ45" i="3" s="1"/>
  <c r="ZJ41" i="3"/>
  <c r="ZJ57" i="3" s="1"/>
  <c r="ZJ38" i="3"/>
  <c r="ZJ54" i="3" s="1"/>
  <c r="ZJ37" i="3"/>
  <c r="ZJ35" i="3"/>
  <c r="ZJ51" i="3" s="1"/>
  <c r="ZJ34" i="3"/>
  <c r="ZJ50" i="3" s="1"/>
  <c r="ZJ32" i="3"/>
  <c r="ZJ48" i="3" s="1"/>
  <c r="ZJ31" i="3"/>
  <c r="ZJ47" i="3" s="1"/>
  <c r="ZJ29" i="3"/>
  <c r="ZJ45" i="3" s="1"/>
  <c r="YT41" i="3"/>
  <c r="YT57" i="3" s="1"/>
  <c r="YT38" i="3"/>
  <c r="YT37" i="3"/>
  <c r="YT53" i="3" s="1"/>
  <c r="YT35" i="3"/>
  <c r="YT51" i="3" s="1"/>
  <c r="YT34" i="3"/>
  <c r="YT50" i="3" s="1"/>
  <c r="YT32" i="3"/>
  <c r="YT48" i="3" s="1"/>
  <c r="YT31" i="3"/>
  <c r="YT47" i="3" s="1"/>
  <c r="YT29" i="3"/>
  <c r="YT45" i="3" s="1"/>
  <c r="YD41" i="3"/>
  <c r="YD57" i="3" s="1"/>
  <c r="YD38" i="3"/>
  <c r="YD54" i="3" s="1"/>
  <c r="YD37" i="3"/>
  <c r="YD35" i="3"/>
  <c r="YD51" i="3" s="1"/>
  <c r="YD34" i="3"/>
  <c r="YD50" i="3" s="1"/>
  <c r="YD32" i="3"/>
  <c r="YD48" i="3" s="1"/>
  <c r="YD31" i="3"/>
  <c r="YD47" i="3" s="1"/>
  <c r="YD29" i="3"/>
  <c r="YD45" i="3" s="1"/>
  <c r="XN41" i="3"/>
  <c r="XN57" i="3" s="1"/>
  <c r="XN38" i="3"/>
  <c r="XN54" i="3" s="1"/>
  <c r="XN37" i="3"/>
  <c r="XN53" i="3" s="1"/>
  <c r="XN35" i="3"/>
  <c r="XN51" i="3" s="1"/>
  <c r="XN34" i="3"/>
  <c r="XN50" i="3" s="1"/>
  <c r="XN32" i="3"/>
  <c r="XN48" i="3" s="1"/>
  <c r="XN31" i="3"/>
  <c r="XN47" i="3" s="1"/>
  <c r="XN29" i="3"/>
  <c r="XN45" i="3" s="1"/>
  <c r="WX41" i="3"/>
  <c r="WX57" i="3" s="1"/>
  <c r="WX38" i="3"/>
  <c r="WX54" i="3" s="1"/>
  <c r="WX37" i="3"/>
  <c r="WX35" i="3"/>
  <c r="WX51" i="3" s="1"/>
  <c r="WX34" i="3"/>
  <c r="WX50" i="3" s="1"/>
  <c r="WX32" i="3"/>
  <c r="WX48" i="3" s="1"/>
  <c r="WX31" i="3"/>
  <c r="WX47" i="3" s="1"/>
  <c r="WX29" i="3"/>
  <c r="WX45" i="3" s="1"/>
  <c r="WH41" i="3"/>
  <c r="WH57" i="3" s="1"/>
  <c r="WH38" i="3"/>
  <c r="WH54" i="3" s="1"/>
  <c r="WH37" i="3"/>
  <c r="WH53" i="3" s="1"/>
  <c r="WH35" i="3"/>
  <c r="WH51" i="3" s="1"/>
  <c r="WH34" i="3"/>
  <c r="WH50" i="3" s="1"/>
  <c r="WH32" i="3"/>
  <c r="WH48" i="3" s="1"/>
  <c r="WH31" i="3"/>
  <c r="WH47" i="3" s="1"/>
  <c r="WH29" i="3"/>
  <c r="WH45" i="3" s="1"/>
  <c r="VR41" i="3"/>
  <c r="VR57" i="3" s="1"/>
  <c r="VR38" i="3"/>
  <c r="VR54" i="3" s="1"/>
  <c r="VR37" i="3"/>
  <c r="VR35" i="3"/>
  <c r="VR51" i="3" s="1"/>
  <c r="VR34" i="3"/>
  <c r="VR50" i="3" s="1"/>
  <c r="VR32" i="3"/>
  <c r="VR48" i="3" s="1"/>
  <c r="VR31" i="3"/>
  <c r="VR47" i="3" s="1"/>
  <c r="VR29" i="3"/>
  <c r="VR45" i="3" s="1"/>
  <c r="VB41" i="3"/>
  <c r="VB57" i="3" s="1"/>
  <c r="VB38" i="3"/>
  <c r="VB54" i="3" s="1"/>
  <c r="VB37" i="3"/>
  <c r="VB53" i="3" s="1"/>
  <c r="VB35" i="3"/>
  <c r="VB51" i="3" s="1"/>
  <c r="VB34" i="3"/>
  <c r="VB50" i="3" s="1"/>
  <c r="VB32" i="3"/>
  <c r="VB48" i="3" s="1"/>
  <c r="VB31" i="3"/>
  <c r="VB47" i="3" s="1"/>
  <c r="VB29" i="3"/>
  <c r="VB45" i="3" s="1"/>
  <c r="UL41" i="3"/>
  <c r="UL57" i="3" s="1"/>
  <c r="UL38" i="3"/>
  <c r="UL54" i="3" s="1"/>
  <c r="UL37" i="3"/>
  <c r="UL53" i="3" s="1"/>
  <c r="UL35" i="3"/>
  <c r="UL51" i="3" s="1"/>
  <c r="UL34" i="3"/>
  <c r="UL50" i="3" s="1"/>
  <c r="UL32" i="3"/>
  <c r="UL48" i="3" s="1"/>
  <c r="UL31" i="3"/>
  <c r="UL47" i="3" s="1"/>
  <c r="UL29" i="3"/>
  <c r="UL45" i="3" s="1"/>
  <c r="TV41" i="3"/>
  <c r="TV57" i="3" s="1"/>
  <c r="TV38" i="3"/>
  <c r="TV54" i="3" s="1"/>
  <c r="TV37" i="3"/>
  <c r="TV35" i="3"/>
  <c r="TV51" i="3" s="1"/>
  <c r="TV34" i="3"/>
  <c r="TV50" i="3" s="1"/>
  <c r="TV32" i="3"/>
  <c r="TV48" i="3" s="1"/>
  <c r="TV31" i="3"/>
  <c r="TV47" i="3" s="1"/>
  <c r="TV29" i="3"/>
  <c r="TV45" i="3" s="1"/>
  <c r="TF41" i="3"/>
  <c r="TF57" i="3" s="1"/>
  <c r="TF38" i="3"/>
  <c r="TF54" i="3" s="1"/>
  <c r="TF37" i="3"/>
  <c r="TF53" i="3" s="1"/>
  <c r="TF35" i="3"/>
  <c r="TF51" i="3" s="1"/>
  <c r="TF34" i="3"/>
  <c r="TF50" i="3" s="1"/>
  <c r="TF32" i="3"/>
  <c r="TF48" i="3" s="1"/>
  <c r="TF31" i="3"/>
  <c r="TF47" i="3" s="1"/>
  <c r="TF29" i="3"/>
  <c r="TF45" i="3" s="1"/>
  <c r="SP41" i="3"/>
  <c r="SP57" i="3" s="1"/>
  <c r="SP38" i="3"/>
  <c r="SP54" i="3" s="1"/>
  <c r="SP37" i="3"/>
  <c r="SP53" i="3" s="1"/>
  <c r="SP35" i="3"/>
  <c r="SP51" i="3" s="1"/>
  <c r="SP34" i="3"/>
  <c r="SP50" i="3" s="1"/>
  <c r="SP32" i="3"/>
  <c r="SP48" i="3" s="1"/>
  <c r="SP31" i="3"/>
  <c r="SP47" i="3" s="1"/>
  <c r="SP29" i="3"/>
  <c r="SP45" i="3" s="1"/>
  <c r="RZ41" i="3"/>
  <c r="RZ57" i="3" s="1"/>
  <c r="RZ38" i="3"/>
  <c r="RZ37" i="3"/>
  <c r="RZ35" i="3"/>
  <c r="RZ34" i="3"/>
  <c r="RZ32" i="3"/>
  <c r="RZ48" i="3" s="1"/>
  <c r="RZ31" i="3"/>
  <c r="RZ47" i="3" s="1"/>
  <c r="RZ29" i="3"/>
  <c r="RZ45" i="3" s="1"/>
  <c r="RJ41" i="3"/>
  <c r="RJ38" i="3"/>
  <c r="RJ37" i="3"/>
  <c r="RJ35" i="3"/>
  <c r="RJ34" i="3"/>
  <c r="RJ32" i="3"/>
  <c r="RJ48" i="3" s="1"/>
  <c r="RJ31" i="3"/>
  <c r="RJ47" i="3" s="1"/>
  <c r="RJ29" i="3"/>
  <c r="RJ45" i="3" s="1"/>
  <c r="QT41" i="3"/>
  <c r="QT57" i="3" s="1"/>
  <c r="QT38" i="3"/>
  <c r="QT54" i="3" s="1"/>
  <c r="QT37" i="3"/>
  <c r="QT53" i="3" s="1"/>
  <c r="QT35" i="3"/>
  <c r="QT34" i="3"/>
  <c r="QT32" i="3"/>
  <c r="QT48" i="3" s="1"/>
  <c r="QT31" i="3"/>
  <c r="QT47" i="3" s="1"/>
  <c r="QT29" i="3"/>
  <c r="QT45" i="3" s="1"/>
  <c r="QD41" i="3"/>
  <c r="QD38" i="3"/>
  <c r="QD37" i="3"/>
  <c r="QD35" i="3"/>
  <c r="QD34" i="3"/>
  <c r="QD32" i="3"/>
  <c r="QD48" i="3" s="1"/>
  <c r="QD31" i="3"/>
  <c r="QD47" i="3" s="1"/>
  <c r="QD29" i="3"/>
  <c r="QD45" i="3" s="1"/>
  <c r="PN41" i="3"/>
  <c r="PN38" i="3"/>
  <c r="PN54" i="3" s="1"/>
  <c r="PN37" i="3"/>
  <c r="PN53" i="3" s="1"/>
  <c r="PN35" i="3"/>
  <c r="PN34" i="3"/>
  <c r="PN32" i="3"/>
  <c r="PN48" i="3" s="1"/>
  <c r="PN31" i="3"/>
  <c r="PN47" i="3" s="1"/>
  <c r="PN29" i="3"/>
  <c r="PN45" i="3" s="1"/>
  <c r="OX41" i="3"/>
  <c r="OX38" i="3"/>
  <c r="OX37" i="3"/>
  <c r="OX53" i="3" s="1"/>
  <c r="OX35" i="3"/>
  <c r="OX34" i="3"/>
  <c r="OX32" i="3"/>
  <c r="OX48" i="3" s="1"/>
  <c r="OX31" i="3"/>
  <c r="OX47" i="3" s="1"/>
  <c r="OX29" i="3"/>
  <c r="OX45" i="3" s="1"/>
  <c r="OH41" i="3"/>
  <c r="OH38" i="3"/>
  <c r="OH37" i="3"/>
  <c r="OH35" i="3"/>
  <c r="OH34" i="3"/>
  <c r="OH32" i="3"/>
  <c r="OH48" i="3" s="1"/>
  <c r="OH31" i="3"/>
  <c r="OH47" i="3" s="1"/>
  <c r="OH29" i="3"/>
  <c r="OH45" i="3" s="1"/>
  <c r="NR41" i="3"/>
  <c r="NR57" i="3" s="1"/>
  <c r="NR38" i="3"/>
  <c r="NR37" i="3"/>
  <c r="NR35" i="3"/>
  <c r="NR34" i="3"/>
  <c r="NR32" i="3"/>
  <c r="NR48" i="3" s="1"/>
  <c r="NR31" i="3"/>
  <c r="NR47" i="3" s="1"/>
  <c r="NR29" i="3"/>
  <c r="NR45" i="3" s="1"/>
  <c r="NB41" i="3"/>
  <c r="NB38" i="3"/>
  <c r="NB37" i="3"/>
  <c r="NB35" i="3"/>
  <c r="NB34" i="3"/>
  <c r="NB32" i="3"/>
  <c r="NB48" i="3" s="1"/>
  <c r="NB31" i="3"/>
  <c r="NB47" i="3" s="1"/>
  <c r="NB29" i="3"/>
  <c r="NB45" i="3" s="1"/>
  <c r="ML41" i="3"/>
  <c r="ML38" i="3"/>
  <c r="ML35" i="3"/>
  <c r="ML37" i="3"/>
  <c r="ML34" i="3"/>
  <c r="ML32" i="3"/>
  <c r="ML48" i="3" s="1"/>
  <c r="ML31" i="3"/>
  <c r="ML47" i="3" s="1"/>
  <c r="ML29" i="3"/>
  <c r="ML45" i="3" s="1"/>
  <c r="LP41" i="3"/>
  <c r="LP38" i="3"/>
  <c r="LP35" i="3"/>
  <c r="LP51" i="3" s="1"/>
  <c r="LP37" i="3"/>
  <c r="LP34" i="3"/>
  <c r="LP50" i="3" s="1"/>
  <c r="LP32" i="3"/>
  <c r="LP48" i="3" s="1"/>
  <c r="LP31" i="3"/>
  <c r="LP47" i="3" s="1"/>
  <c r="LP29" i="3"/>
  <c r="LP45" i="3" s="1"/>
  <c r="KJ41" i="3"/>
  <c r="KJ38" i="3"/>
  <c r="KJ35" i="3"/>
  <c r="KJ37" i="3"/>
  <c r="KJ53" i="3" s="1"/>
  <c r="KJ34" i="3"/>
  <c r="KJ32" i="3"/>
  <c r="KJ48" i="3" s="1"/>
  <c r="KJ31" i="3"/>
  <c r="KJ47" i="3" s="1"/>
  <c r="KJ29" i="3"/>
  <c r="KJ45" i="3" s="1"/>
  <c r="JD41" i="3"/>
  <c r="JD57" i="3" s="1"/>
  <c r="JD38" i="3"/>
  <c r="JD54" i="3" s="1"/>
  <c r="JD35" i="3"/>
  <c r="JD51" i="3" s="1"/>
  <c r="JD37" i="3"/>
  <c r="JD34" i="3"/>
  <c r="JD50" i="3" s="1"/>
  <c r="JD32" i="3"/>
  <c r="JD48" i="3" s="1"/>
  <c r="JD31" i="3"/>
  <c r="JD47" i="3" s="1"/>
  <c r="JD29" i="3"/>
  <c r="JD45" i="3" s="1"/>
  <c r="HX41" i="3"/>
  <c r="HX57" i="3" s="1"/>
  <c r="HX38" i="3"/>
  <c r="HX35" i="3"/>
  <c r="HX37" i="3"/>
  <c r="HX34" i="3"/>
  <c r="HX50" i="3" s="1"/>
  <c r="HX32" i="3"/>
  <c r="HX48" i="3" s="1"/>
  <c r="HX31" i="3"/>
  <c r="HX47" i="3" s="1"/>
  <c r="HX29" i="3"/>
  <c r="HX45" i="3" s="1"/>
  <c r="GO41" i="3"/>
  <c r="GO38" i="3"/>
  <c r="GO37" i="3"/>
  <c r="GO35" i="3"/>
  <c r="GO34" i="3"/>
  <c r="GO32" i="3"/>
  <c r="GO48" i="3" s="1"/>
  <c r="GO31" i="3"/>
  <c r="GO47" i="3" s="1"/>
  <c r="GO29" i="3"/>
  <c r="GO45" i="3" s="1"/>
  <c r="EC41" i="3"/>
  <c r="EC38" i="3"/>
  <c r="EC37" i="3"/>
  <c r="EC35" i="3"/>
  <c r="EC34" i="3"/>
  <c r="EC32" i="3"/>
  <c r="EC48" i="3" s="1"/>
  <c r="EC31" i="3"/>
  <c r="EC47" i="3" s="1"/>
  <c r="EC29" i="3"/>
  <c r="EC45" i="3" s="1"/>
  <c r="BQ41" i="3"/>
  <c r="BQ38" i="3"/>
  <c r="BQ37" i="3"/>
  <c r="BQ35" i="3"/>
  <c r="BQ34" i="3"/>
  <c r="BQ50" i="3" s="1"/>
  <c r="BQ32" i="3"/>
  <c r="BQ48" i="3" s="1"/>
  <c r="BQ31" i="3"/>
  <c r="BQ47" i="3" s="1"/>
  <c r="BQ29" i="3"/>
  <c r="BQ45" i="3" s="1"/>
  <c r="ALH41" i="3"/>
  <c r="ALH57" i="3" s="1"/>
  <c r="ALH38" i="3"/>
  <c r="ALH54" i="3" s="1"/>
  <c r="ALH37" i="3"/>
  <c r="ALH35" i="3"/>
  <c r="ALH51" i="3" s="1"/>
  <c r="ALH34" i="3"/>
  <c r="ALH50" i="3" s="1"/>
  <c r="ALH32" i="3"/>
  <c r="ALH48" i="3" s="1"/>
  <c r="ALH31" i="3"/>
  <c r="ALH47" i="3" s="1"/>
  <c r="ALH29" i="3"/>
  <c r="ALH45" i="3" s="1"/>
  <c r="AKR41" i="3"/>
  <c r="AKR57" i="3" s="1"/>
  <c r="AKR38" i="3"/>
  <c r="AKR54" i="3" s="1"/>
  <c r="AKR37" i="3"/>
  <c r="AKR53" i="3" s="1"/>
  <c r="AKR35" i="3"/>
  <c r="AKR51" i="3" s="1"/>
  <c r="AKR34" i="3"/>
  <c r="AKR50" i="3" s="1"/>
  <c r="AKR32" i="3"/>
  <c r="AKR48" i="3" s="1"/>
  <c r="AKR31" i="3"/>
  <c r="AKR47" i="3" s="1"/>
  <c r="AKR29" i="3"/>
  <c r="AKR45" i="3" s="1"/>
  <c r="AKB41" i="3"/>
  <c r="AKB57" i="3" s="1"/>
  <c r="AKB38" i="3"/>
  <c r="AKB54" i="3" s="1"/>
  <c r="AKB37" i="3"/>
  <c r="AKB35" i="3"/>
  <c r="AKB51" i="3" s="1"/>
  <c r="AKB34" i="3"/>
  <c r="AKB50" i="3" s="1"/>
  <c r="AKB32" i="3"/>
  <c r="AKB48" i="3" s="1"/>
  <c r="AKB31" i="3"/>
  <c r="AKB47" i="3" s="1"/>
  <c r="AKB29" i="3"/>
  <c r="AKB45" i="3" s="1"/>
  <c r="AJL41" i="3"/>
  <c r="AJL57" i="3" s="1"/>
  <c r="AJL38" i="3"/>
  <c r="AJL54" i="3" s="1"/>
  <c r="AJL37" i="3"/>
  <c r="AJL53" i="3" s="1"/>
  <c r="AJL35" i="3"/>
  <c r="AJL51" i="3" s="1"/>
  <c r="AJL34" i="3"/>
  <c r="AJL50" i="3" s="1"/>
  <c r="AJL32" i="3"/>
  <c r="AJL48" i="3" s="1"/>
  <c r="AJL31" i="3"/>
  <c r="AJL47" i="3" s="1"/>
  <c r="AJL29" i="3"/>
  <c r="AJL45" i="3" s="1"/>
  <c r="AIV41" i="3"/>
  <c r="AIV57" i="3" s="1"/>
  <c r="AIV38" i="3"/>
  <c r="AIV54" i="3" s="1"/>
  <c r="AIV37" i="3"/>
  <c r="AIV53" i="3" s="1"/>
  <c r="AIV35" i="3"/>
  <c r="AIV51" i="3" s="1"/>
  <c r="AIV34" i="3"/>
  <c r="AIV50" i="3" s="1"/>
  <c r="AIV32" i="3"/>
  <c r="AIV48" i="3" s="1"/>
  <c r="AIV31" i="3"/>
  <c r="AIV47" i="3" s="1"/>
  <c r="AIV29" i="3"/>
  <c r="AIV45" i="3" s="1"/>
  <c r="AIF41" i="3"/>
  <c r="AIF57" i="3" s="1"/>
  <c r="AIF38" i="3"/>
  <c r="AIF37" i="3"/>
  <c r="AIF35" i="3"/>
  <c r="AIF51" i="3" s="1"/>
  <c r="AIF34" i="3"/>
  <c r="AIF50" i="3" s="1"/>
  <c r="AIF32" i="3"/>
  <c r="AIF48" i="3" s="1"/>
  <c r="AIF31" i="3"/>
  <c r="AIF47" i="3" s="1"/>
  <c r="AIF29" i="3"/>
  <c r="AIF45" i="3" s="1"/>
  <c r="AHP41" i="3"/>
  <c r="AHP57" i="3" s="1"/>
  <c r="AHP38" i="3"/>
  <c r="AHP54" i="3" s="1"/>
  <c r="AHP37" i="3"/>
  <c r="AHP53" i="3" s="1"/>
  <c r="AHP35" i="3"/>
  <c r="AHP51" i="3" s="1"/>
  <c r="AHP34" i="3"/>
  <c r="AHP50" i="3" s="1"/>
  <c r="AHP32" i="3"/>
  <c r="AHP48" i="3" s="1"/>
  <c r="AHP31" i="3"/>
  <c r="AHP47" i="3" s="1"/>
  <c r="AHP29" i="3"/>
  <c r="AHP45" i="3" s="1"/>
  <c r="AGZ41" i="3"/>
  <c r="AGZ57" i="3" s="1"/>
  <c r="AGZ38" i="3"/>
  <c r="AGZ54" i="3" s="1"/>
  <c r="AGZ37" i="3"/>
  <c r="AGZ53" i="3" s="1"/>
  <c r="AGZ35" i="3"/>
  <c r="AGZ51" i="3" s="1"/>
  <c r="AGZ34" i="3"/>
  <c r="AGZ50" i="3" s="1"/>
  <c r="AGZ32" i="3"/>
  <c r="AGZ48" i="3" s="1"/>
  <c r="AGZ31" i="3"/>
  <c r="AGZ47" i="3" s="1"/>
  <c r="AGZ29" i="3"/>
  <c r="AGZ45" i="3" s="1"/>
  <c r="AGJ41" i="3"/>
  <c r="AGJ57" i="3" s="1"/>
  <c r="AGJ38" i="3"/>
  <c r="AGJ54" i="3" s="1"/>
  <c r="AGJ37" i="3"/>
  <c r="AGJ35" i="3"/>
  <c r="AGJ51" i="3" s="1"/>
  <c r="AGJ34" i="3"/>
  <c r="AGJ50" i="3" s="1"/>
  <c r="AGJ32" i="3"/>
  <c r="AGJ48" i="3" s="1"/>
  <c r="AGJ31" i="3"/>
  <c r="AGJ47" i="3" s="1"/>
  <c r="AGJ29" i="3"/>
  <c r="AGJ45" i="3" s="1"/>
  <c r="AFT41" i="3"/>
  <c r="AFT57" i="3" s="1"/>
  <c r="AFT38" i="3"/>
  <c r="AFT54" i="3" s="1"/>
  <c r="AFT37" i="3"/>
  <c r="AFT53" i="3" s="1"/>
  <c r="AFT35" i="3"/>
  <c r="AFT51" i="3" s="1"/>
  <c r="AFT34" i="3"/>
  <c r="AFT50" i="3" s="1"/>
  <c r="AFT32" i="3"/>
  <c r="AFT48" i="3" s="1"/>
  <c r="AFT31" i="3"/>
  <c r="AFT47" i="3" s="1"/>
  <c r="AFT29" i="3"/>
  <c r="AFT45" i="3" s="1"/>
  <c r="AFD41" i="3"/>
  <c r="AFD57" i="3" s="1"/>
  <c r="AFD38" i="3"/>
  <c r="AFD54" i="3" s="1"/>
  <c r="AFD37" i="3"/>
  <c r="AFD35" i="3"/>
  <c r="AFD51" i="3" s="1"/>
  <c r="AFD34" i="3"/>
  <c r="AFD50" i="3" s="1"/>
  <c r="AFD32" i="3"/>
  <c r="AFD48" i="3" s="1"/>
  <c r="AFD31" i="3"/>
  <c r="AFD47" i="3" s="1"/>
  <c r="AFD29" i="3"/>
  <c r="AFD45" i="3" s="1"/>
  <c r="AEN41" i="3"/>
  <c r="AEN57" i="3" s="1"/>
  <c r="AEN38" i="3"/>
  <c r="AEN54" i="3" s="1"/>
  <c r="AEN37" i="3"/>
  <c r="AEN53" i="3" s="1"/>
  <c r="AEN35" i="3"/>
  <c r="AEN51" i="3" s="1"/>
  <c r="AEN34" i="3"/>
  <c r="AEN50" i="3" s="1"/>
  <c r="AEN32" i="3"/>
  <c r="AEN48" i="3" s="1"/>
  <c r="AEN31" i="3"/>
  <c r="AEN47" i="3" s="1"/>
  <c r="AEN29" i="3"/>
  <c r="AEN45" i="3" s="1"/>
  <c r="ADX41" i="3"/>
  <c r="ADX57" i="3" s="1"/>
  <c r="ADX38" i="3"/>
  <c r="ADX54" i="3" s="1"/>
  <c r="ADX37" i="3"/>
  <c r="ADX53" i="3" s="1"/>
  <c r="ADX35" i="3"/>
  <c r="ADX51" i="3" s="1"/>
  <c r="ADX34" i="3"/>
  <c r="ADX50" i="3" s="1"/>
  <c r="ADX32" i="3"/>
  <c r="ADX48" i="3" s="1"/>
  <c r="ADX31" i="3"/>
  <c r="ADX47" i="3" s="1"/>
  <c r="ADX29" i="3"/>
  <c r="ADX45" i="3" s="1"/>
  <c r="ADH41" i="3"/>
  <c r="ADH57" i="3" s="1"/>
  <c r="ADH38" i="3"/>
  <c r="ADH54" i="3" s="1"/>
  <c r="ADH37" i="3"/>
  <c r="ADH35" i="3"/>
  <c r="ADH51" i="3" s="1"/>
  <c r="ADH34" i="3"/>
  <c r="ADH50" i="3" s="1"/>
  <c r="ADH32" i="3"/>
  <c r="ADH48" i="3" s="1"/>
  <c r="ADH31" i="3"/>
  <c r="ADH47" i="3" s="1"/>
  <c r="ADH29" i="3"/>
  <c r="ADH45" i="3" s="1"/>
  <c r="ACR41" i="3"/>
  <c r="ACR57" i="3" s="1"/>
  <c r="ACR38" i="3"/>
  <c r="ACR54" i="3" s="1"/>
  <c r="ACR37" i="3"/>
  <c r="ACR53" i="3" s="1"/>
  <c r="ACR35" i="3"/>
  <c r="ACR51" i="3" s="1"/>
  <c r="ACR34" i="3"/>
  <c r="ACR50" i="3" s="1"/>
  <c r="ACR32" i="3"/>
  <c r="ACR48" i="3" s="1"/>
  <c r="ACR31" i="3"/>
  <c r="ACR47" i="3" s="1"/>
  <c r="ACR29" i="3"/>
  <c r="ACR45" i="3" s="1"/>
  <c r="ACB41" i="3"/>
  <c r="ACB57" i="3" s="1"/>
  <c r="ACB38" i="3"/>
  <c r="ACB54" i="3" s="1"/>
  <c r="ACB37" i="3"/>
  <c r="ACB53" i="3" s="1"/>
  <c r="ACB35" i="3"/>
  <c r="ACB51" i="3" s="1"/>
  <c r="ACB34" i="3"/>
  <c r="ACB50" i="3" s="1"/>
  <c r="ACB32" i="3"/>
  <c r="ACB48" i="3" s="1"/>
  <c r="ACB31" i="3"/>
  <c r="ACB47" i="3" s="1"/>
  <c r="ACB29" i="3"/>
  <c r="ACB45" i="3" s="1"/>
  <c r="ABL41" i="3"/>
  <c r="ABL57" i="3" s="1"/>
  <c r="ABL38" i="3"/>
  <c r="ABL54" i="3" s="1"/>
  <c r="ABL37" i="3"/>
  <c r="ABL35" i="3"/>
  <c r="ABL51" i="3" s="1"/>
  <c r="ABL34" i="3"/>
  <c r="ABL50" i="3" s="1"/>
  <c r="ABL32" i="3"/>
  <c r="ABL48" i="3" s="1"/>
  <c r="ABL31" i="3"/>
  <c r="ABL47" i="3" s="1"/>
  <c r="ABL29" i="3"/>
  <c r="ABL45" i="3" s="1"/>
  <c r="AAV41" i="3"/>
  <c r="AAV57" i="3" s="1"/>
  <c r="AAV38" i="3"/>
  <c r="AAV37" i="3"/>
  <c r="AAV53" i="3" s="1"/>
  <c r="AAV35" i="3"/>
  <c r="AAV51" i="3" s="1"/>
  <c r="AAV34" i="3"/>
  <c r="AAV50" i="3" s="1"/>
  <c r="AAV32" i="3"/>
  <c r="AAV48" i="3" s="1"/>
  <c r="AAV31" i="3"/>
  <c r="AAV47" i="3" s="1"/>
  <c r="AAV29" i="3"/>
  <c r="AAV45" i="3" s="1"/>
  <c r="AAF41" i="3"/>
  <c r="AAF57" i="3" s="1"/>
  <c r="AAF38" i="3"/>
  <c r="AAF54" i="3" s="1"/>
  <c r="AAF37" i="3"/>
  <c r="AAF35" i="3"/>
  <c r="AAF51" i="3" s="1"/>
  <c r="AAF34" i="3"/>
  <c r="AAF50" i="3" s="1"/>
  <c r="AAF32" i="3"/>
  <c r="AAF48" i="3" s="1"/>
  <c r="AAF31" i="3"/>
  <c r="AAF47" i="3" s="1"/>
  <c r="AAF29" i="3"/>
  <c r="AAF45" i="3" s="1"/>
  <c r="ZP41" i="3"/>
  <c r="ZP57" i="3" s="1"/>
  <c r="ZP38" i="3"/>
  <c r="ZP54" i="3" s="1"/>
  <c r="ZP37" i="3"/>
  <c r="ZP35" i="3"/>
  <c r="ZP51" i="3" s="1"/>
  <c r="ZP34" i="3"/>
  <c r="ZP50" i="3" s="1"/>
  <c r="ZP32" i="3"/>
  <c r="ZP48" i="3" s="1"/>
  <c r="ZP31" i="3"/>
  <c r="ZP47" i="3" s="1"/>
  <c r="ZP29" i="3"/>
  <c r="ZP45" i="3" s="1"/>
  <c r="YZ41" i="3"/>
  <c r="YZ57" i="3" s="1"/>
  <c r="YZ38" i="3"/>
  <c r="YZ54" i="3" s="1"/>
  <c r="YZ37" i="3"/>
  <c r="YZ53" i="3" s="1"/>
  <c r="YZ35" i="3"/>
  <c r="YZ51" i="3" s="1"/>
  <c r="YZ34" i="3"/>
  <c r="YZ50" i="3" s="1"/>
  <c r="YZ32" i="3"/>
  <c r="YZ48" i="3" s="1"/>
  <c r="YZ31" i="3"/>
  <c r="YZ47" i="3" s="1"/>
  <c r="YZ29" i="3"/>
  <c r="YZ45" i="3" s="1"/>
  <c r="YJ41" i="3"/>
  <c r="YJ57" i="3" s="1"/>
  <c r="YJ38" i="3"/>
  <c r="YJ54" i="3" s="1"/>
  <c r="YJ37" i="3"/>
  <c r="YJ35" i="3"/>
  <c r="YJ51" i="3" s="1"/>
  <c r="YJ34" i="3"/>
  <c r="YJ50" i="3" s="1"/>
  <c r="YJ32" i="3"/>
  <c r="YJ48" i="3" s="1"/>
  <c r="YJ31" i="3"/>
  <c r="YJ47" i="3" s="1"/>
  <c r="YJ29" i="3"/>
  <c r="YJ45" i="3" s="1"/>
  <c r="XT41" i="3"/>
  <c r="XT57" i="3" s="1"/>
  <c r="XT38" i="3"/>
  <c r="XT54" i="3" s="1"/>
  <c r="XT37" i="3"/>
  <c r="XT35" i="3"/>
  <c r="XT51" i="3" s="1"/>
  <c r="XT34" i="3"/>
  <c r="XT50" i="3" s="1"/>
  <c r="XT32" i="3"/>
  <c r="XT48" i="3" s="1"/>
  <c r="XT31" i="3"/>
  <c r="XT47" i="3" s="1"/>
  <c r="XT29" i="3"/>
  <c r="XT45" i="3" s="1"/>
  <c r="XD41" i="3"/>
  <c r="XD57" i="3" s="1"/>
  <c r="XD38" i="3"/>
  <c r="XD54" i="3" s="1"/>
  <c r="XD37" i="3"/>
  <c r="XD35" i="3"/>
  <c r="XD51" i="3" s="1"/>
  <c r="XD34" i="3"/>
  <c r="XD50" i="3" s="1"/>
  <c r="XD32" i="3"/>
  <c r="XD48" i="3" s="1"/>
  <c r="XD31" i="3"/>
  <c r="XD47" i="3" s="1"/>
  <c r="XD29" i="3"/>
  <c r="XD45" i="3" s="1"/>
  <c r="WN41" i="3"/>
  <c r="WN57" i="3" s="1"/>
  <c r="WN38" i="3"/>
  <c r="WN54" i="3" s="1"/>
  <c r="WN37" i="3"/>
  <c r="WN53" i="3" s="1"/>
  <c r="WN35" i="3"/>
  <c r="WN51" i="3" s="1"/>
  <c r="WN34" i="3"/>
  <c r="WN50" i="3" s="1"/>
  <c r="WN32" i="3"/>
  <c r="WN48" i="3" s="1"/>
  <c r="WN31" i="3"/>
  <c r="WN47" i="3" s="1"/>
  <c r="WN29" i="3"/>
  <c r="WN45" i="3" s="1"/>
  <c r="VX41" i="3"/>
  <c r="VX57" i="3" s="1"/>
  <c r="VX38" i="3"/>
  <c r="VX54" i="3" s="1"/>
  <c r="VX37" i="3"/>
  <c r="VX35" i="3"/>
  <c r="VX51" i="3" s="1"/>
  <c r="VX34" i="3"/>
  <c r="VX50" i="3" s="1"/>
  <c r="VX32" i="3"/>
  <c r="VX48" i="3" s="1"/>
  <c r="VX31" i="3"/>
  <c r="VX47" i="3" s="1"/>
  <c r="VX29" i="3"/>
  <c r="VX45" i="3" s="1"/>
  <c r="VH41" i="3"/>
  <c r="VH57" i="3" s="1"/>
  <c r="VH38" i="3"/>
  <c r="VH54" i="3" s="1"/>
  <c r="VH37" i="3"/>
  <c r="VH53" i="3" s="1"/>
  <c r="VH35" i="3"/>
  <c r="VH51" i="3" s="1"/>
  <c r="VH34" i="3"/>
  <c r="VH50" i="3" s="1"/>
  <c r="VH32" i="3"/>
  <c r="VH48" i="3" s="1"/>
  <c r="VH31" i="3"/>
  <c r="VH47" i="3" s="1"/>
  <c r="VH29" i="3"/>
  <c r="VH45" i="3" s="1"/>
  <c r="UR41" i="3"/>
  <c r="UR57" i="3" s="1"/>
  <c r="UR38" i="3"/>
  <c r="UR37" i="3"/>
  <c r="UR53" i="3" s="1"/>
  <c r="UR35" i="3"/>
  <c r="UR51" i="3" s="1"/>
  <c r="UR34" i="3"/>
  <c r="UR50" i="3" s="1"/>
  <c r="UR32" i="3"/>
  <c r="UR48" i="3" s="1"/>
  <c r="UR31" i="3"/>
  <c r="UR47" i="3" s="1"/>
  <c r="UR29" i="3"/>
  <c r="UR45" i="3" s="1"/>
  <c r="UB41" i="3"/>
  <c r="UB57" i="3" s="1"/>
  <c r="UB38" i="3"/>
  <c r="UB54" i="3" s="1"/>
  <c r="UB37" i="3"/>
  <c r="UB35" i="3"/>
  <c r="UB51" i="3" s="1"/>
  <c r="UB34" i="3"/>
  <c r="UB50" i="3" s="1"/>
  <c r="UB32" i="3"/>
  <c r="UB48" i="3" s="1"/>
  <c r="UB31" i="3"/>
  <c r="UB47" i="3" s="1"/>
  <c r="UB29" i="3"/>
  <c r="UB45" i="3" s="1"/>
  <c r="TL41" i="3"/>
  <c r="TL57" i="3" s="1"/>
  <c r="TL38" i="3"/>
  <c r="TL54" i="3" s="1"/>
  <c r="TL37" i="3"/>
  <c r="TL53" i="3" s="1"/>
  <c r="TL35" i="3"/>
  <c r="TL51" i="3" s="1"/>
  <c r="TL34" i="3"/>
  <c r="TL50" i="3" s="1"/>
  <c r="TL32" i="3"/>
  <c r="TL48" i="3" s="1"/>
  <c r="TL31" i="3"/>
  <c r="TL47" i="3" s="1"/>
  <c r="TL29" i="3"/>
  <c r="TL45" i="3" s="1"/>
  <c r="SV41" i="3"/>
  <c r="SV57" i="3" s="1"/>
  <c r="SV38" i="3"/>
  <c r="SV54" i="3" s="1"/>
  <c r="SV37" i="3"/>
  <c r="SV53" i="3" s="1"/>
  <c r="SV35" i="3"/>
  <c r="SV51" i="3" s="1"/>
  <c r="SV34" i="3"/>
  <c r="SV50" i="3" s="1"/>
  <c r="SV32" i="3"/>
  <c r="SV48" i="3" s="1"/>
  <c r="SV31" i="3"/>
  <c r="SV47" i="3" s="1"/>
  <c r="SV29" i="3"/>
  <c r="SV45" i="3" s="1"/>
  <c r="SF41" i="3"/>
  <c r="SF38" i="3"/>
  <c r="SF37" i="3"/>
  <c r="SF35" i="3"/>
  <c r="SF34" i="3"/>
  <c r="SF32" i="3"/>
  <c r="SF48" i="3" s="1"/>
  <c r="SF31" i="3"/>
  <c r="SF47" i="3" s="1"/>
  <c r="SF29" i="3"/>
  <c r="SF45" i="3" s="1"/>
  <c r="RP41" i="3"/>
  <c r="RP38" i="3"/>
  <c r="RP37" i="3"/>
  <c r="RP35" i="3"/>
  <c r="RP34" i="3"/>
  <c r="RP32" i="3"/>
  <c r="RP48" i="3" s="1"/>
  <c r="RP31" i="3"/>
  <c r="RP47" i="3" s="1"/>
  <c r="RP29" i="3"/>
  <c r="RP45" i="3" s="1"/>
  <c r="QZ41" i="3"/>
  <c r="QZ38" i="3"/>
  <c r="QZ37" i="3"/>
  <c r="QZ35" i="3"/>
  <c r="QZ34" i="3"/>
  <c r="QZ32" i="3"/>
  <c r="QZ48" i="3" s="1"/>
  <c r="QZ31" i="3"/>
  <c r="QZ47" i="3" s="1"/>
  <c r="QZ29" i="3"/>
  <c r="QZ45" i="3" s="1"/>
  <c r="QJ41" i="3"/>
  <c r="QJ38" i="3"/>
  <c r="QJ37" i="3"/>
  <c r="QJ35" i="3"/>
  <c r="QJ34" i="3"/>
  <c r="QJ32" i="3"/>
  <c r="QJ48" i="3" s="1"/>
  <c r="QJ31" i="3"/>
  <c r="QJ47" i="3" s="1"/>
  <c r="QJ29" i="3"/>
  <c r="QJ45" i="3" s="1"/>
  <c r="PT41" i="3"/>
  <c r="PT38" i="3"/>
  <c r="PT37" i="3"/>
  <c r="PT35" i="3"/>
  <c r="PT51" i="3" s="1"/>
  <c r="PT34" i="3"/>
  <c r="PT50" i="3" s="1"/>
  <c r="PT32" i="3"/>
  <c r="PT48" i="3" s="1"/>
  <c r="PT31" i="3"/>
  <c r="PT47" i="3" s="1"/>
  <c r="PT29" i="3"/>
  <c r="PT45" i="3" s="1"/>
  <c r="PD41" i="3"/>
  <c r="PD38" i="3"/>
  <c r="PD37" i="3"/>
  <c r="PD35" i="3"/>
  <c r="PD34" i="3"/>
  <c r="PD32" i="3"/>
  <c r="PD48" i="3" s="1"/>
  <c r="PD31" i="3"/>
  <c r="PD47" i="3" s="1"/>
  <c r="PD29" i="3"/>
  <c r="PD45" i="3" s="1"/>
  <c r="ON41" i="3"/>
  <c r="ON38" i="3"/>
  <c r="ON37" i="3"/>
  <c r="ON35" i="3"/>
  <c r="ON34" i="3"/>
  <c r="ON32" i="3"/>
  <c r="ON48" i="3" s="1"/>
  <c r="ON31" i="3"/>
  <c r="ON47" i="3" s="1"/>
  <c r="ON29" i="3"/>
  <c r="ON45" i="3" s="1"/>
  <c r="NX41" i="3"/>
  <c r="NX57" i="3" s="1"/>
  <c r="NX38" i="3"/>
  <c r="NX54" i="3" s="1"/>
  <c r="NX37" i="3"/>
  <c r="NX53" i="3" s="1"/>
  <c r="NX35" i="3"/>
  <c r="NX34" i="3"/>
  <c r="NX32" i="3"/>
  <c r="NX48" i="3" s="1"/>
  <c r="NX31" i="3"/>
  <c r="NX47" i="3" s="1"/>
  <c r="NX29" i="3"/>
  <c r="NX45" i="3" s="1"/>
  <c r="NH41" i="3"/>
  <c r="NH38" i="3"/>
  <c r="NH37" i="3"/>
  <c r="NH35" i="3"/>
  <c r="NH34" i="3"/>
  <c r="NH32" i="3"/>
  <c r="NH48" i="3" s="1"/>
  <c r="NH31" i="3"/>
  <c r="NH47" i="3" s="1"/>
  <c r="NH29" i="3"/>
  <c r="NH45" i="3" s="1"/>
  <c r="MR41" i="3"/>
  <c r="MR38" i="3"/>
  <c r="MR35" i="3"/>
  <c r="MR37" i="3"/>
  <c r="MR34" i="3"/>
  <c r="MR32" i="3"/>
  <c r="MR48" i="3" s="1"/>
  <c r="MR31" i="3"/>
  <c r="MR47" i="3" s="1"/>
  <c r="MR29" i="3"/>
  <c r="MR45" i="3" s="1"/>
  <c r="MB41" i="3"/>
  <c r="MB38" i="3"/>
  <c r="MB35" i="3"/>
  <c r="MB37" i="3"/>
  <c r="MB34" i="3"/>
  <c r="MB32" i="3"/>
  <c r="MB48" i="3" s="1"/>
  <c r="MB31" i="3"/>
  <c r="MB47" i="3" s="1"/>
  <c r="MB29" i="3"/>
  <c r="MB45" i="3" s="1"/>
  <c r="KV41" i="3"/>
  <c r="KV38" i="3"/>
  <c r="KV54" i="3" s="1"/>
  <c r="KV35" i="3"/>
  <c r="KV37" i="3"/>
  <c r="KV53" i="3" s="1"/>
  <c r="KV34" i="3"/>
  <c r="KV32" i="3"/>
  <c r="KV48" i="3" s="1"/>
  <c r="KV31" i="3"/>
  <c r="KV47" i="3" s="1"/>
  <c r="KV29" i="3"/>
  <c r="KV45" i="3" s="1"/>
  <c r="JP41" i="3"/>
  <c r="JP57" i="3" s="1"/>
  <c r="JP38" i="3"/>
  <c r="JP35" i="3"/>
  <c r="JP37" i="3"/>
  <c r="JP34" i="3"/>
  <c r="JP32" i="3"/>
  <c r="JP48" i="3" s="1"/>
  <c r="JP31" i="3"/>
  <c r="JP47" i="3" s="1"/>
  <c r="JP29" i="3"/>
  <c r="JP45" i="3" s="1"/>
  <c r="IJ41" i="3"/>
  <c r="IJ38" i="3"/>
  <c r="IJ35" i="3"/>
  <c r="IJ37" i="3"/>
  <c r="IJ34" i="3"/>
  <c r="IJ32" i="3"/>
  <c r="IJ48" i="3" s="1"/>
  <c r="IJ31" i="3"/>
  <c r="IJ47" i="3" s="1"/>
  <c r="IJ29" i="3"/>
  <c r="IJ45" i="3" s="1"/>
  <c r="HD41" i="3"/>
  <c r="HD38" i="3"/>
  <c r="HD54" i="3" s="1"/>
  <c r="HD35" i="3"/>
  <c r="HD37" i="3"/>
  <c r="HD53" i="3" s="1"/>
  <c r="HD34" i="3"/>
  <c r="HD50" i="3" s="1"/>
  <c r="HD32" i="3"/>
  <c r="HD48" i="3" s="1"/>
  <c r="HD31" i="3"/>
  <c r="HD47" i="3" s="1"/>
  <c r="HD29" i="3"/>
  <c r="HD45" i="3" s="1"/>
  <c r="FA41" i="3"/>
  <c r="FA38" i="3"/>
  <c r="FA37" i="3"/>
  <c r="FA34" i="3"/>
  <c r="FA35" i="3"/>
  <c r="FA32" i="3"/>
  <c r="FA48" i="3" s="1"/>
  <c r="FA31" i="3"/>
  <c r="FA47" i="3" s="1"/>
  <c r="FA29" i="3"/>
  <c r="FA45" i="3" s="1"/>
  <c r="CO41" i="3"/>
  <c r="CO38" i="3"/>
  <c r="CO37" i="3"/>
  <c r="CO35" i="3"/>
  <c r="CO34" i="3"/>
  <c r="CO32" i="3"/>
  <c r="CO48" i="3" s="1"/>
  <c r="CO31" i="3"/>
  <c r="CO47" i="3" s="1"/>
  <c r="CO29" i="3"/>
  <c r="CO45" i="3" s="1"/>
  <c r="AC41" i="3"/>
  <c r="AC38" i="3"/>
  <c r="AC37" i="3"/>
  <c r="AC35" i="3"/>
  <c r="AC34" i="3"/>
  <c r="AC32" i="3"/>
  <c r="AC48" i="3" s="1"/>
  <c r="AC31" i="3"/>
  <c r="AC47" i="3" s="1"/>
  <c r="AC29" i="3"/>
  <c r="AC45" i="3" s="1"/>
  <c r="ALK41" i="3"/>
  <c r="ALK57" i="3" s="1"/>
  <c r="ALK38" i="3"/>
  <c r="ALK54" i="3" s="1"/>
  <c r="ALK37" i="3"/>
  <c r="ALK53" i="3" s="1"/>
  <c r="ALK35" i="3"/>
  <c r="ALK51" i="3" s="1"/>
  <c r="ALK34" i="3"/>
  <c r="ALK50" i="3" s="1"/>
  <c r="ALK32" i="3"/>
  <c r="ALK48" i="3" s="1"/>
  <c r="ALK31" i="3"/>
  <c r="ALK47" i="3" s="1"/>
  <c r="ALK29" i="3"/>
  <c r="ALK45" i="3" s="1"/>
  <c r="AKU41" i="3"/>
  <c r="AKU57" i="3" s="1"/>
  <c r="AKU38" i="3"/>
  <c r="AKU54" i="3" s="1"/>
  <c r="AKU37" i="3"/>
  <c r="AKU53" i="3" s="1"/>
  <c r="AKU35" i="3"/>
  <c r="AKU51" i="3" s="1"/>
  <c r="AKU34" i="3"/>
  <c r="AKU50" i="3" s="1"/>
  <c r="AKU32" i="3"/>
  <c r="AKU48" i="3" s="1"/>
  <c r="AKU31" i="3"/>
  <c r="AKU47" i="3" s="1"/>
  <c r="AKU29" i="3"/>
  <c r="AKU45" i="3" s="1"/>
  <c r="AKE41" i="3"/>
  <c r="AKE57" i="3" s="1"/>
  <c r="AKE38" i="3"/>
  <c r="AKE54" i="3" s="1"/>
  <c r="AKE37" i="3"/>
  <c r="AKE35" i="3"/>
  <c r="AKE51" i="3" s="1"/>
  <c r="AKE34" i="3"/>
  <c r="AKE50" i="3" s="1"/>
  <c r="AKE32" i="3"/>
  <c r="AKE48" i="3" s="1"/>
  <c r="AKE31" i="3"/>
  <c r="AKE47" i="3" s="1"/>
  <c r="AKE29" i="3"/>
  <c r="AKE45" i="3" s="1"/>
  <c r="AJO41" i="3"/>
  <c r="AJO57" i="3" s="1"/>
  <c r="AJO38" i="3"/>
  <c r="AJO54" i="3" s="1"/>
  <c r="AJO37" i="3"/>
  <c r="AJO53" i="3" s="1"/>
  <c r="AJO35" i="3"/>
  <c r="AJO51" i="3" s="1"/>
  <c r="AJO34" i="3"/>
  <c r="AJO50" i="3" s="1"/>
  <c r="AJO32" i="3"/>
  <c r="AJO48" i="3" s="1"/>
  <c r="AJO31" i="3"/>
  <c r="AJO47" i="3" s="1"/>
  <c r="AJO29" i="3"/>
  <c r="AJO45" i="3" s="1"/>
  <c r="AIY41" i="3"/>
  <c r="AIY57" i="3" s="1"/>
  <c r="AIY38" i="3"/>
  <c r="AIY54" i="3" s="1"/>
  <c r="AIY37" i="3"/>
  <c r="AIY35" i="3"/>
  <c r="AIY51" i="3" s="1"/>
  <c r="AIY34" i="3"/>
  <c r="AIY50" i="3" s="1"/>
  <c r="AIY32" i="3"/>
  <c r="AIY48" i="3" s="1"/>
  <c r="AIY31" i="3"/>
  <c r="AIY47" i="3" s="1"/>
  <c r="AIY29" i="3"/>
  <c r="AIY45" i="3" s="1"/>
  <c r="AII41" i="3"/>
  <c r="AII57" i="3" s="1"/>
  <c r="AII38" i="3"/>
  <c r="AII54" i="3" s="1"/>
  <c r="AII37" i="3"/>
  <c r="AII35" i="3"/>
  <c r="AII51" i="3" s="1"/>
  <c r="AII34" i="3"/>
  <c r="AII50" i="3" s="1"/>
  <c r="AII32" i="3"/>
  <c r="AII48" i="3" s="1"/>
  <c r="AII31" i="3"/>
  <c r="AII47" i="3" s="1"/>
  <c r="AII29" i="3"/>
  <c r="AII45" i="3" s="1"/>
  <c r="AHS41" i="3"/>
  <c r="AHS57" i="3" s="1"/>
  <c r="AHS38" i="3"/>
  <c r="AHS54" i="3" s="1"/>
  <c r="AHS37" i="3"/>
  <c r="AHS35" i="3"/>
  <c r="AHS51" i="3" s="1"/>
  <c r="AHS34" i="3"/>
  <c r="AHS50" i="3" s="1"/>
  <c r="AHS32" i="3"/>
  <c r="AHS48" i="3" s="1"/>
  <c r="AHS31" i="3"/>
  <c r="AHS47" i="3" s="1"/>
  <c r="AHS29" i="3"/>
  <c r="AHS45" i="3" s="1"/>
  <c r="AHC41" i="3"/>
  <c r="AHC57" i="3" s="1"/>
  <c r="AHC38" i="3"/>
  <c r="AHC54" i="3" s="1"/>
  <c r="AHC37" i="3"/>
  <c r="AHC53" i="3" s="1"/>
  <c r="AHC35" i="3"/>
  <c r="AHC51" i="3" s="1"/>
  <c r="AHC34" i="3"/>
  <c r="AHC50" i="3" s="1"/>
  <c r="AHC32" i="3"/>
  <c r="AHC48" i="3" s="1"/>
  <c r="AHC31" i="3"/>
  <c r="AHC47" i="3" s="1"/>
  <c r="AHC29" i="3"/>
  <c r="AHC45" i="3" s="1"/>
  <c r="AGM41" i="3"/>
  <c r="AGM57" i="3" s="1"/>
  <c r="AGM38" i="3"/>
  <c r="AGM54" i="3" s="1"/>
  <c r="AGM37" i="3"/>
  <c r="AGM53" i="3" s="1"/>
  <c r="AGM35" i="3"/>
  <c r="AGM51" i="3" s="1"/>
  <c r="AGM34" i="3"/>
  <c r="AGM50" i="3" s="1"/>
  <c r="AGM32" i="3"/>
  <c r="AGM48" i="3" s="1"/>
  <c r="AGM31" i="3"/>
  <c r="AGM47" i="3" s="1"/>
  <c r="AGM29" i="3"/>
  <c r="AGM45" i="3" s="1"/>
  <c r="AFW41" i="3"/>
  <c r="AFW57" i="3" s="1"/>
  <c r="AFW38" i="3"/>
  <c r="AFW54" i="3" s="1"/>
  <c r="AFW37" i="3"/>
  <c r="AFW53" i="3" s="1"/>
  <c r="AFW35" i="3"/>
  <c r="AFW51" i="3" s="1"/>
  <c r="AFW34" i="3"/>
  <c r="AFW50" i="3" s="1"/>
  <c r="AFW32" i="3"/>
  <c r="AFW48" i="3" s="1"/>
  <c r="AFW31" i="3"/>
  <c r="AFW47" i="3" s="1"/>
  <c r="AFW29" i="3"/>
  <c r="AFW45" i="3" s="1"/>
  <c r="AFG41" i="3"/>
  <c r="AFG57" i="3" s="1"/>
  <c r="AFG38" i="3"/>
  <c r="AFG54" i="3" s="1"/>
  <c r="AFG37" i="3"/>
  <c r="AFG35" i="3"/>
  <c r="AFG51" i="3" s="1"/>
  <c r="AFG34" i="3"/>
  <c r="AFG50" i="3" s="1"/>
  <c r="AFG32" i="3"/>
  <c r="AFG48" i="3" s="1"/>
  <c r="AFG31" i="3"/>
  <c r="AFG47" i="3" s="1"/>
  <c r="AFG29" i="3"/>
  <c r="AFG45" i="3" s="1"/>
  <c r="AEQ41" i="3"/>
  <c r="AEQ57" i="3" s="1"/>
  <c r="AEQ38" i="3"/>
  <c r="AEQ54" i="3" s="1"/>
  <c r="AEQ37" i="3"/>
  <c r="AEQ35" i="3"/>
  <c r="AEQ51" i="3" s="1"/>
  <c r="AEQ34" i="3"/>
  <c r="AEQ50" i="3" s="1"/>
  <c r="AEQ32" i="3"/>
  <c r="AEQ48" i="3" s="1"/>
  <c r="AEQ31" i="3"/>
  <c r="AEQ47" i="3" s="1"/>
  <c r="AEQ29" i="3"/>
  <c r="AEQ45" i="3" s="1"/>
  <c r="AEA41" i="3"/>
  <c r="AEA57" i="3" s="1"/>
  <c r="AEA38" i="3"/>
  <c r="AEA54" i="3" s="1"/>
  <c r="AEA37" i="3"/>
  <c r="AEA53" i="3" s="1"/>
  <c r="AEA35" i="3"/>
  <c r="AEA51" i="3" s="1"/>
  <c r="AEA34" i="3"/>
  <c r="AEA50" i="3" s="1"/>
  <c r="AEA32" i="3"/>
  <c r="AEA48" i="3" s="1"/>
  <c r="AEA31" i="3"/>
  <c r="AEA47" i="3" s="1"/>
  <c r="AEA29" i="3"/>
  <c r="AEA45" i="3" s="1"/>
  <c r="ADK41" i="3"/>
  <c r="ADK57" i="3" s="1"/>
  <c r="ADK38" i="3"/>
  <c r="ADK54" i="3" s="1"/>
  <c r="ADK37" i="3"/>
  <c r="ADK53" i="3" s="1"/>
  <c r="ADK35" i="3"/>
  <c r="ADK51" i="3" s="1"/>
  <c r="ADK34" i="3"/>
  <c r="ADK50" i="3" s="1"/>
  <c r="ADK32" i="3"/>
  <c r="ADK48" i="3" s="1"/>
  <c r="ADK31" i="3"/>
  <c r="ADK47" i="3" s="1"/>
  <c r="ADK29" i="3"/>
  <c r="ADK45" i="3" s="1"/>
  <c r="ACU41" i="3"/>
  <c r="ACU57" i="3" s="1"/>
  <c r="ACU38" i="3"/>
  <c r="ACU54" i="3" s="1"/>
  <c r="ACU37" i="3"/>
  <c r="ACU53" i="3" s="1"/>
  <c r="ACU35" i="3"/>
  <c r="ACU51" i="3" s="1"/>
  <c r="ACU34" i="3"/>
  <c r="ACU50" i="3" s="1"/>
  <c r="ACU32" i="3"/>
  <c r="ACU48" i="3" s="1"/>
  <c r="ACU31" i="3"/>
  <c r="ACU47" i="3" s="1"/>
  <c r="ACU29" i="3"/>
  <c r="ACU45" i="3" s="1"/>
  <c r="ACE41" i="3"/>
  <c r="ACE57" i="3" s="1"/>
  <c r="ACE38" i="3"/>
  <c r="ACE54" i="3" s="1"/>
  <c r="ACE37" i="3"/>
  <c r="ACE35" i="3"/>
  <c r="ACE51" i="3" s="1"/>
  <c r="ACE34" i="3"/>
  <c r="ACE50" i="3" s="1"/>
  <c r="ACE32" i="3"/>
  <c r="ACE48" i="3" s="1"/>
  <c r="ACE31" i="3"/>
  <c r="ACE47" i="3" s="1"/>
  <c r="ACE29" i="3"/>
  <c r="ACE45" i="3" s="1"/>
  <c r="ABO41" i="3"/>
  <c r="ABO57" i="3" s="1"/>
  <c r="ABO38" i="3"/>
  <c r="ABO54" i="3" s="1"/>
  <c r="ABO37" i="3"/>
  <c r="ABO35" i="3"/>
  <c r="ABO51" i="3" s="1"/>
  <c r="ABO34" i="3"/>
  <c r="ABO50" i="3" s="1"/>
  <c r="ABO32" i="3"/>
  <c r="ABO48" i="3" s="1"/>
  <c r="ABO31" i="3"/>
  <c r="ABO47" i="3" s="1"/>
  <c r="ABO29" i="3"/>
  <c r="ABO45" i="3" s="1"/>
  <c r="AAY41" i="3"/>
  <c r="AAY57" i="3" s="1"/>
  <c r="AAY38" i="3"/>
  <c r="AAY54" i="3" s="1"/>
  <c r="AAY37" i="3"/>
  <c r="AAY35" i="3"/>
  <c r="AAY51" i="3" s="1"/>
  <c r="AAY34" i="3"/>
  <c r="AAY50" i="3" s="1"/>
  <c r="AAY32" i="3"/>
  <c r="AAY48" i="3" s="1"/>
  <c r="AAY31" i="3"/>
  <c r="AAY47" i="3" s="1"/>
  <c r="AAY29" i="3"/>
  <c r="AAY45" i="3" s="1"/>
  <c r="AAI41" i="3"/>
  <c r="AAI57" i="3" s="1"/>
  <c r="AAI38" i="3"/>
  <c r="AAI54" i="3" s="1"/>
  <c r="AAI37" i="3"/>
  <c r="AAI53" i="3" s="1"/>
  <c r="AAI35" i="3"/>
  <c r="AAI51" i="3" s="1"/>
  <c r="AAI34" i="3"/>
  <c r="AAI50" i="3" s="1"/>
  <c r="AAI32" i="3"/>
  <c r="AAI48" i="3" s="1"/>
  <c r="AAI31" i="3"/>
  <c r="AAI47" i="3" s="1"/>
  <c r="AAI29" i="3"/>
  <c r="AAI45" i="3" s="1"/>
  <c r="ZS41" i="3"/>
  <c r="ZS57" i="3" s="1"/>
  <c r="ZS38" i="3"/>
  <c r="ZS54" i="3" s="1"/>
  <c r="ZS37" i="3"/>
  <c r="ZS35" i="3"/>
  <c r="ZS51" i="3" s="1"/>
  <c r="ZS34" i="3"/>
  <c r="ZS50" i="3" s="1"/>
  <c r="ZS32" i="3"/>
  <c r="ZS48" i="3" s="1"/>
  <c r="ZS31" i="3"/>
  <c r="ZS47" i="3" s="1"/>
  <c r="ZS29" i="3"/>
  <c r="ZS45" i="3" s="1"/>
  <c r="ZC41" i="3"/>
  <c r="ZC57" i="3" s="1"/>
  <c r="ZC38" i="3"/>
  <c r="ZC54" i="3" s="1"/>
  <c r="ZC37" i="3"/>
  <c r="ZC53" i="3" s="1"/>
  <c r="ZC35" i="3"/>
  <c r="ZC51" i="3" s="1"/>
  <c r="ZC34" i="3"/>
  <c r="ZC50" i="3" s="1"/>
  <c r="ZC32" i="3"/>
  <c r="ZC48" i="3" s="1"/>
  <c r="ZC31" i="3"/>
  <c r="ZC47" i="3" s="1"/>
  <c r="ZC29" i="3"/>
  <c r="ZC45" i="3" s="1"/>
  <c r="YM41" i="3"/>
  <c r="YM57" i="3" s="1"/>
  <c r="YM38" i="3"/>
  <c r="YM54" i="3" s="1"/>
  <c r="YM37" i="3"/>
  <c r="YM53" i="3" s="1"/>
  <c r="YM35" i="3"/>
  <c r="YM51" i="3" s="1"/>
  <c r="YM34" i="3"/>
  <c r="YM50" i="3" s="1"/>
  <c r="YM32" i="3"/>
  <c r="YM48" i="3" s="1"/>
  <c r="YM31" i="3"/>
  <c r="YM47" i="3" s="1"/>
  <c r="YM29" i="3"/>
  <c r="YM45" i="3" s="1"/>
  <c r="XW41" i="3"/>
  <c r="XW57" i="3" s="1"/>
  <c r="XW38" i="3"/>
  <c r="XW54" i="3" s="1"/>
  <c r="XW37" i="3"/>
  <c r="XW53" i="3" s="1"/>
  <c r="XW35" i="3"/>
  <c r="XW51" i="3" s="1"/>
  <c r="XW34" i="3"/>
  <c r="XW50" i="3" s="1"/>
  <c r="XW32" i="3"/>
  <c r="XW48" i="3" s="1"/>
  <c r="XW31" i="3"/>
  <c r="XW47" i="3" s="1"/>
  <c r="XW29" i="3"/>
  <c r="XW45" i="3" s="1"/>
  <c r="XG41" i="3"/>
  <c r="XG57" i="3" s="1"/>
  <c r="XG38" i="3"/>
  <c r="XG54" i="3" s="1"/>
  <c r="XG37" i="3"/>
  <c r="XG35" i="3"/>
  <c r="XG51" i="3" s="1"/>
  <c r="XG34" i="3"/>
  <c r="XG50" i="3" s="1"/>
  <c r="XG32" i="3"/>
  <c r="XG48" i="3" s="1"/>
  <c r="XG31" i="3"/>
  <c r="XG47" i="3" s="1"/>
  <c r="XG29" i="3"/>
  <c r="XG45" i="3" s="1"/>
  <c r="WQ41" i="3"/>
  <c r="WQ57" i="3" s="1"/>
  <c r="WQ38" i="3"/>
  <c r="WQ54" i="3" s="1"/>
  <c r="WQ37" i="3"/>
  <c r="WQ35" i="3"/>
  <c r="WQ51" i="3" s="1"/>
  <c r="WQ34" i="3"/>
  <c r="WQ50" i="3" s="1"/>
  <c r="WQ32" i="3"/>
  <c r="WQ48" i="3" s="1"/>
  <c r="WQ31" i="3"/>
  <c r="WQ47" i="3" s="1"/>
  <c r="WQ29" i="3"/>
  <c r="WQ45" i="3" s="1"/>
  <c r="WA41" i="3"/>
  <c r="WA57" i="3" s="1"/>
  <c r="WA38" i="3"/>
  <c r="WA54" i="3" s="1"/>
  <c r="WA37" i="3"/>
  <c r="WA35" i="3"/>
  <c r="WA51" i="3" s="1"/>
  <c r="WA34" i="3"/>
  <c r="WA50" i="3" s="1"/>
  <c r="WA32" i="3"/>
  <c r="WA48" i="3" s="1"/>
  <c r="WA31" i="3"/>
  <c r="WA47" i="3" s="1"/>
  <c r="WA29" i="3"/>
  <c r="WA45" i="3" s="1"/>
  <c r="VK41" i="3"/>
  <c r="VK57" i="3" s="1"/>
  <c r="VK38" i="3"/>
  <c r="VK54" i="3" s="1"/>
  <c r="VK37" i="3"/>
  <c r="VK35" i="3"/>
  <c r="VK51" i="3" s="1"/>
  <c r="VK34" i="3"/>
  <c r="VK50" i="3" s="1"/>
  <c r="VK32" i="3"/>
  <c r="VK48" i="3" s="1"/>
  <c r="VK31" i="3"/>
  <c r="VK47" i="3" s="1"/>
  <c r="VK29" i="3"/>
  <c r="VK45" i="3" s="1"/>
  <c r="UU41" i="3"/>
  <c r="UU57" i="3" s="1"/>
  <c r="UU38" i="3"/>
  <c r="UU54" i="3" s="1"/>
  <c r="UU37" i="3"/>
  <c r="UU53" i="3" s="1"/>
  <c r="UU35" i="3"/>
  <c r="UU51" i="3" s="1"/>
  <c r="UU34" i="3"/>
  <c r="UU50" i="3" s="1"/>
  <c r="UU32" i="3"/>
  <c r="UU48" i="3" s="1"/>
  <c r="UU31" i="3"/>
  <c r="UU47" i="3" s="1"/>
  <c r="UU29" i="3"/>
  <c r="UU45" i="3" s="1"/>
  <c r="UE41" i="3"/>
  <c r="UE57" i="3" s="1"/>
  <c r="UE38" i="3"/>
  <c r="UE54" i="3" s="1"/>
  <c r="UE37" i="3"/>
  <c r="UE53" i="3" s="1"/>
  <c r="UE35" i="3"/>
  <c r="UE51" i="3" s="1"/>
  <c r="UE34" i="3"/>
  <c r="UE50" i="3" s="1"/>
  <c r="UE32" i="3"/>
  <c r="UE48" i="3" s="1"/>
  <c r="UE31" i="3"/>
  <c r="UE47" i="3" s="1"/>
  <c r="UE29" i="3"/>
  <c r="UE45" i="3" s="1"/>
  <c r="TO41" i="3"/>
  <c r="TO57" i="3" s="1"/>
  <c r="TO38" i="3"/>
  <c r="TO54" i="3" s="1"/>
  <c r="TO37" i="3"/>
  <c r="TO53" i="3" s="1"/>
  <c r="TO35" i="3"/>
  <c r="TO51" i="3" s="1"/>
  <c r="TO34" i="3"/>
  <c r="TO50" i="3" s="1"/>
  <c r="TO32" i="3"/>
  <c r="TO48" i="3" s="1"/>
  <c r="TO31" i="3"/>
  <c r="TO47" i="3" s="1"/>
  <c r="TO29" i="3"/>
  <c r="TO45" i="3" s="1"/>
  <c r="SY41" i="3"/>
  <c r="SY57" i="3" s="1"/>
  <c r="SY38" i="3"/>
  <c r="SY54" i="3" s="1"/>
  <c r="SY37" i="3"/>
  <c r="SY53" i="3" s="1"/>
  <c r="SY35" i="3"/>
  <c r="SY51" i="3" s="1"/>
  <c r="SY34" i="3"/>
  <c r="SY50" i="3" s="1"/>
  <c r="SY32" i="3"/>
  <c r="SY48" i="3" s="1"/>
  <c r="SY31" i="3"/>
  <c r="SY47" i="3" s="1"/>
  <c r="SY29" i="3"/>
  <c r="SY45" i="3" s="1"/>
  <c r="SI41" i="3"/>
  <c r="SI57" i="3" s="1"/>
  <c r="SI38" i="3"/>
  <c r="SI54" i="3" s="1"/>
  <c r="SI37" i="3"/>
  <c r="SI53" i="3" s="1"/>
  <c r="SI35" i="3"/>
  <c r="SI51" i="3" s="1"/>
  <c r="SI34" i="3"/>
  <c r="SI50" i="3" s="1"/>
  <c r="SI32" i="3"/>
  <c r="SI48" i="3" s="1"/>
  <c r="SI31" i="3"/>
  <c r="SI47" i="3" s="1"/>
  <c r="SI29" i="3"/>
  <c r="SI45" i="3" s="1"/>
  <c r="RS41" i="3"/>
  <c r="RS38" i="3"/>
  <c r="RS37" i="3"/>
  <c r="RS35" i="3"/>
  <c r="RS34" i="3"/>
  <c r="RS32" i="3"/>
  <c r="RS48" i="3" s="1"/>
  <c r="RS31" i="3"/>
  <c r="RS47" i="3" s="1"/>
  <c r="RS29" i="3"/>
  <c r="RS45" i="3" s="1"/>
  <c r="RC41" i="3"/>
  <c r="RC38" i="3"/>
  <c r="RC54" i="3" s="1"/>
  <c r="RC37" i="3"/>
  <c r="RC53" i="3" s="1"/>
  <c r="RC35" i="3"/>
  <c r="RC51" i="3" s="1"/>
  <c r="RC34" i="3"/>
  <c r="RC50" i="3" s="1"/>
  <c r="RC32" i="3"/>
  <c r="RC48" i="3" s="1"/>
  <c r="RC31" i="3"/>
  <c r="RC47" i="3" s="1"/>
  <c r="RC29" i="3"/>
  <c r="RC45" i="3" s="1"/>
  <c r="QM41" i="3"/>
  <c r="QM38" i="3"/>
  <c r="QM37" i="3"/>
  <c r="QM35" i="3"/>
  <c r="QM34" i="3"/>
  <c r="QM32" i="3"/>
  <c r="QM48" i="3" s="1"/>
  <c r="QM31" i="3"/>
  <c r="QM47" i="3" s="1"/>
  <c r="QM29" i="3"/>
  <c r="QM45" i="3" s="1"/>
  <c r="PW41" i="3"/>
  <c r="PW57" i="3" s="1"/>
  <c r="PW38" i="3"/>
  <c r="PW37" i="3"/>
  <c r="PW35" i="3"/>
  <c r="PW34" i="3"/>
  <c r="PW32" i="3"/>
  <c r="PW48" i="3" s="1"/>
  <c r="PW31" i="3"/>
  <c r="PW47" i="3" s="1"/>
  <c r="PW29" i="3"/>
  <c r="PW45" i="3" s="1"/>
  <c r="PG41" i="3"/>
  <c r="PG38" i="3"/>
  <c r="PG37" i="3"/>
  <c r="PG35" i="3"/>
  <c r="PG34" i="3"/>
  <c r="PG32" i="3"/>
  <c r="PG48" i="3" s="1"/>
  <c r="PG31" i="3"/>
  <c r="PG47" i="3" s="1"/>
  <c r="PG29" i="3"/>
  <c r="PG45" i="3" s="1"/>
  <c r="OQ41" i="3"/>
  <c r="OQ38" i="3"/>
  <c r="OQ37" i="3"/>
  <c r="OQ35" i="3"/>
  <c r="OQ34" i="3"/>
  <c r="OQ32" i="3"/>
  <c r="OQ48" i="3" s="1"/>
  <c r="OQ31" i="3"/>
  <c r="OQ47" i="3" s="1"/>
  <c r="OQ29" i="3"/>
  <c r="OQ45" i="3" s="1"/>
  <c r="OA41" i="3"/>
  <c r="OA38" i="3"/>
  <c r="OA54" i="3" s="1"/>
  <c r="OA37" i="3"/>
  <c r="OA53" i="3" s="1"/>
  <c r="OA35" i="3"/>
  <c r="OA51" i="3" s="1"/>
  <c r="OA34" i="3"/>
  <c r="OA32" i="3"/>
  <c r="OA48" i="3" s="1"/>
  <c r="OA31" i="3"/>
  <c r="OA47" i="3" s="1"/>
  <c r="OA29" i="3"/>
  <c r="OA45" i="3" s="1"/>
  <c r="NK41" i="3"/>
  <c r="NK38" i="3"/>
  <c r="NK37" i="3"/>
  <c r="NK35" i="3"/>
  <c r="NK34" i="3"/>
  <c r="NK32" i="3"/>
  <c r="NK48" i="3" s="1"/>
  <c r="NK31" i="3"/>
  <c r="NK47" i="3" s="1"/>
  <c r="NK29" i="3"/>
  <c r="NK45" i="3" s="1"/>
  <c r="MU41" i="3"/>
  <c r="MU38" i="3"/>
  <c r="MU35" i="3"/>
  <c r="MU37" i="3"/>
  <c r="MU34" i="3"/>
  <c r="MU50" i="3" s="1"/>
  <c r="MU32" i="3"/>
  <c r="MU48" i="3" s="1"/>
  <c r="MU31" i="3"/>
  <c r="MU47" i="3" s="1"/>
  <c r="MU29" i="3"/>
  <c r="MU45" i="3" s="1"/>
  <c r="ME41" i="3"/>
  <c r="ME57" i="3" s="1"/>
  <c r="ME38" i="3"/>
  <c r="ME35" i="3"/>
  <c r="ME37" i="3"/>
  <c r="ME34" i="3"/>
  <c r="ME32" i="3"/>
  <c r="ME48" i="3" s="1"/>
  <c r="ME31" i="3"/>
  <c r="ME47" i="3" s="1"/>
  <c r="ME29" i="3"/>
  <c r="ME45" i="3" s="1"/>
  <c r="LA41" i="3"/>
  <c r="LA38" i="3"/>
  <c r="LA37" i="3"/>
  <c r="LA34" i="3"/>
  <c r="LA35" i="3"/>
  <c r="LA51" i="3" s="1"/>
  <c r="LA32" i="3"/>
  <c r="LA48" i="3" s="1"/>
  <c r="LA31" i="3"/>
  <c r="LA47" i="3" s="1"/>
  <c r="LA29" i="3"/>
  <c r="LA45" i="3" s="1"/>
  <c r="JU41" i="3"/>
  <c r="JU38" i="3"/>
  <c r="JU37" i="3"/>
  <c r="JU34" i="3"/>
  <c r="JU35" i="3"/>
  <c r="JU32" i="3"/>
  <c r="JU48" i="3" s="1"/>
  <c r="JU31" i="3"/>
  <c r="JU47" i="3" s="1"/>
  <c r="JU29" i="3"/>
  <c r="JU45" i="3" s="1"/>
  <c r="IO41" i="3"/>
  <c r="IO38" i="3"/>
  <c r="IO37" i="3"/>
  <c r="IO34" i="3"/>
  <c r="IO35" i="3"/>
  <c r="IO32" i="3"/>
  <c r="IO48" i="3" s="1"/>
  <c r="IO31" i="3"/>
  <c r="IO47" i="3" s="1"/>
  <c r="IO29" i="3"/>
  <c r="IO45" i="3" s="1"/>
  <c r="HI41" i="3"/>
  <c r="HI38" i="3"/>
  <c r="HI37" i="3"/>
  <c r="HI34" i="3"/>
  <c r="HI35" i="3"/>
  <c r="HI32" i="3"/>
  <c r="HI48" i="3" s="1"/>
  <c r="HI31" i="3"/>
  <c r="HI47" i="3" s="1"/>
  <c r="HI29" i="3"/>
  <c r="HI45" i="3" s="1"/>
  <c r="FM41" i="3"/>
  <c r="FM38" i="3"/>
  <c r="FM37" i="3"/>
  <c r="FM34" i="3"/>
  <c r="FM35" i="3"/>
  <c r="FM32" i="3"/>
  <c r="FM48" i="3" s="1"/>
  <c r="FM31" i="3"/>
  <c r="FM47" i="3" s="1"/>
  <c r="FM29" i="3"/>
  <c r="FM45" i="3" s="1"/>
  <c r="DA41" i="3"/>
  <c r="DA38" i="3"/>
  <c r="DA37" i="3"/>
  <c r="DA35" i="3"/>
  <c r="DA34" i="3"/>
  <c r="DA32" i="3"/>
  <c r="DA48" i="3" s="1"/>
  <c r="DA31" i="3"/>
  <c r="DA47" i="3" s="1"/>
  <c r="DA29" i="3"/>
  <c r="DA45" i="3" s="1"/>
  <c r="AO41" i="3"/>
  <c r="AO38" i="3"/>
  <c r="AO37" i="3"/>
  <c r="AO35" i="3"/>
  <c r="AO34" i="3"/>
  <c r="AO32" i="3"/>
  <c r="AO48" i="3" s="1"/>
  <c r="AO31" i="3"/>
  <c r="AO47" i="3" s="1"/>
  <c r="AO29" i="3"/>
  <c r="AO45" i="3" s="1"/>
  <c r="CC41" i="3"/>
  <c r="CC38" i="3"/>
  <c r="CC37" i="3"/>
  <c r="CC35" i="3"/>
  <c r="CC34" i="3"/>
  <c r="CC32" i="3"/>
  <c r="CC48" i="3" s="1"/>
  <c r="CC31" i="3"/>
  <c r="CC47" i="3" s="1"/>
  <c r="CC29" i="3"/>
  <c r="CC45" i="3" s="1"/>
  <c r="JI41" i="3"/>
  <c r="JI38" i="3"/>
  <c r="JI37" i="3"/>
  <c r="JI34" i="3"/>
  <c r="JI35" i="3"/>
  <c r="JI32" i="3"/>
  <c r="JI48" i="3" s="1"/>
  <c r="JI31" i="3"/>
  <c r="JI47" i="3" s="1"/>
  <c r="JI29" i="3"/>
  <c r="JI45" i="3" s="1"/>
  <c r="NE41" i="3"/>
  <c r="NE38" i="3"/>
  <c r="NE37" i="3"/>
  <c r="NE34" i="3"/>
  <c r="NE35" i="3"/>
  <c r="NE32" i="3"/>
  <c r="NE48" i="3" s="1"/>
  <c r="NE31" i="3"/>
  <c r="NE47" i="3" s="1"/>
  <c r="NE29" i="3"/>
  <c r="NE45" i="3" s="1"/>
  <c r="PQ41" i="3"/>
  <c r="PQ38" i="3"/>
  <c r="PQ37" i="3"/>
  <c r="PQ34" i="3"/>
  <c r="PQ50" i="3" s="1"/>
  <c r="PQ35" i="3"/>
  <c r="PQ51" i="3" s="1"/>
  <c r="PQ32" i="3"/>
  <c r="PQ48" i="3" s="1"/>
  <c r="PQ31" i="3"/>
  <c r="PQ47" i="3" s="1"/>
  <c r="PQ29" i="3"/>
  <c r="PQ45" i="3" s="1"/>
  <c r="SC41" i="3"/>
  <c r="SC38" i="3"/>
  <c r="SC37" i="3"/>
  <c r="SC34" i="3"/>
  <c r="SC35" i="3"/>
  <c r="SC32" i="3"/>
  <c r="SC48" i="3" s="1"/>
  <c r="SC31" i="3"/>
  <c r="SC47" i="3" s="1"/>
  <c r="SC29" i="3"/>
  <c r="SC45" i="3" s="1"/>
  <c r="UO41" i="3"/>
  <c r="UO57" i="3" s="1"/>
  <c r="UO38" i="3"/>
  <c r="UO54" i="3" s="1"/>
  <c r="UO37" i="3"/>
  <c r="UO53" i="3" s="1"/>
  <c r="UO34" i="3"/>
  <c r="UO50" i="3" s="1"/>
  <c r="UO35" i="3"/>
  <c r="UO51" i="3" s="1"/>
  <c r="UO32" i="3"/>
  <c r="UO48" i="3" s="1"/>
  <c r="UO31" i="3"/>
  <c r="UO47" i="3" s="1"/>
  <c r="UO29" i="3"/>
  <c r="UO45" i="3" s="1"/>
  <c r="XA41" i="3"/>
  <c r="XA57" i="3" s="1"/>
  <c r="XA38" i="3"/>
  <c r="XA54" i="3" s="1"/>
  <c r="XA37" i="3"/>
  <c r="XA53" i="3" s="1"/>
  <c r="XA34" i="3"/>
  <c r="XA50" i="3" s="1"/>
  <c r="XA35" i="3"/>
  <c r="XA51" i="3" s="1"/>
  <c r="XA32" i="3"/>
  <c r="XA48" i="3" s="1"/>
  <c r="XA31" i="3"/>
  <c r="XA47" i="3" s="1"/>
  <c r="XA29" i="3"/>
  <c r="XA45" i="3" s="1"/>
  <c r="ZM41" i="3"/>
  <c r="ZM57" i="3" s="1"/>
  <c r="ZM38" i="3"/>
  <c r="ZM54" i="3" s="1"/>
  <c r="ZM37" i="3"/>
  <c r="ZM53" i="3" s="1"/>
  <c r="ZM35" i="3"/>
  <c r="ZM51" i="3" s="1"/>
  <c r="ZM34" i="3"/>
  <c r="ZM50" i="3" s="1"/>
  <c r="ZM32" i="3"/>
  <c r="ZM48" i="3" s="1"/>
  <c r="ZM31" i="3"/>
  <c r="ZM47" i="3" s="1"/>
  <c r="ZM29" i="3"/>
  <c r="ZM45" i="3" s="1"/>
  <c r="ABY41" i="3"/>
  <c r="ABY57" i="3" s="1"/>
  <c r="ABY38" i="3"/>
  <c r="ABY54" i="3" s="1"/>
  <c r="ABY37" i="3"/>
  <c r="ABY53" i="3" s="1"/>
  <c r="ABY35" i="3"/>
  <c r="ABY51" i="3" s="1"/>
  <c r="ABY34" i="3"/>
  <c r="ABY50" i="3" s="1"/>
  <c r="ABY32" i="3"/>
  <c r="ABY48" i="3" s="1"/>
  <c r="ABY31" i="3"/>
  <c r="ABY47" i="3" s="1"/>
  <c r="ABY29" i="3"/>
  <c r="ABY45" i="3" s="1"/>
  <c r="AEK41" i="3"/>
  <c r="AEK57" i="3" s="1"/>
  <c r="AEK38" i="3"/>
  <c r="AEK54" i="3" s="1"/>
  <c r="AEK37" i="3"/>
  <c r="AEK35" i="3"/>
  <c r="AEK51" i="3" s="1"/>
  <c r="AEK34" i="3"/>
  <c r="AEK50" i="3" s="1"/>
  <c r="AEK32" i="3"/>
  <c r="AEK48" i="3" s="1"/>
  <c r="AEK31" i="3"/>
  <c r="AEK47" i="3" s="1"/>
  <c r="AEK29" i="3"/>
  <c r="AEK45" i="3" s="1"/>
  <c r="AGW41" i="3"/>
  <c r="AGW57" i="3" s="1"/>
  <c r="AGW38" i="3"/>
  <c r="AGW54" i="3" s="1"/>
  <c r="AGW37" i="3"/>
  <c r="AGW35" i="3"/>
  <c r="AGW51" i="3" s="1"/>
  <c r="AGW34" i="3"/>
  <c r="AGW50" i="3" s="1"/>
  <c r="AGW32" i="3"/>
  <c r="AGW48" i="3" s="1"/>
  <c r="AGW31" i="3"/>
  <c r="AGW47" i="3" s="1"/>
  <c r="AGW29" i="3"/>
  <c r="AGW45" i="3" s="1"/>
  <c r="AJI41" i="3"/>
  <c r="AJI57" i="3" s="1"/>
  <c r="AJI38" i="3"/>
  <c r="AJI54" i="3" s="1"/>
  <c r="AJI37" i="3"/>
  <c r="AJI53" i="3" s="1"/>
  <c r="AJI35" i="3"/>
  <c r="AJI51" i="3" s="1"/>
  <c r="AJI34" i="3"/>
  <c r="AJI50" i="3" s="1"/>
  <c r="AJI32" i="3"/>
  <c r="AJI48" i="3" s="1"/>
  <c r="AJI31" i="3"/>
  <c r="AJI47" i="3" s="1"/>
  <c r="AJI29" i="3"/>
  <c r="AJI45" i="3" s="1"/>
  <c r="HE41" i="3"/>
  <c r="HE38" i="3"/>
  <c r="HE37" i="3"/>
  <c r="HE35" i="3"/>
  <c r="HE34" i="3"/>
  <c r="HE32" i="3"/>
  <c r="HE48" i="3" s="1"/>
  <c r="HE31" i="3"/>
  <c r="HE47" i="3" s="1"/>
  <c r="HE29" i="3"/>
  <c r="HE45" i="3" s="1"/>
  <c r="MC41" i="3"/>
  <c r="MC38" i="3"/>
  <c r="MC37" i="3"/>
  <c r="MC35" i="3"/>
  <c r="MC34" i="3"/>
  <c r="MC32" i="3"/>
  <c r="MC48" i="3" s="1"/>
  <c r="MC31" i="3"/>
  <c r="MC47" i="3" s="1"/>
  <c r="MC29" i="3"/>
  <c r="MC45" i="3" s="1"/>
  <c r="OO41" i="3"/>
  <c r="OO38" i="3"/>
  <c r="OO37" i="3"/>
  <c r="OO35" i="3"/>
  <c r="OO34" i="3"/>
  <c r="OO32" i="3"/>
  <c r="OO48" i="3" s="1"/>
  <c r="OO31" i="3"/>
  <c r="OO47" i="3" s="1"/>
  <c r="OO29" i="3"/>
  <c r="OO45" i="3" s="1"/>
  <c r="RA41" i="3"/>
  <c r="RA38" i="3"/>
  <c r="RA37" i="3"/>
  <c r="RA35" i="3"/>
  <c r="RA34" i="3"/>
  <c r="RA32" i="3"/>
  <c r="RA48" i="3" s="1"/>
  <c r="RA31" i="3"/>
  <c r="RA47" i="3" s="1"/>
  <c r="RA29" i="3"/>
  <c r="RA45" i="3" s="1"/>
  <c r="TM41" i="3"/>
  <c r="TM57" i="3" s="1"/>
  <c r="TM38" i="3"/>
  <c r="TM54" i="3" s="1"/>
  <c r="TM37" i="3"/>
  <c r="TM53" i="3" s="1"/>
  <c r="TM35" i="3"/>
  <c r="TM51" i="3" s="1"/>
  <c r="TM34" i="3"/>
  <c r="TM50" i="3" s="1"/>
  <c r="TM32" i="3"/>
  <c r="TM48" i="3" s="1"/>
  <c r="TM31" i="3"/>
  <c r="TM47" i="3" s="1"/>
  <c r="TM29" i="3"/>
  <c r="TM45" i="3" s="1"/>
  <c r="VY41" i="3"/>
  <c r="VY57" i="3" s="1"/>
  <c r="VY38" i="3"/>
  <c r="VY54" i="3" s="1"/>
  <c r="VY37" i="3"/>
  <c r="VY53" i="3" s="1"/>
  <c r="VY35" i="3"/>
  <c r="VY51" i="3" s="1"/>
  <c r="VY34" i="3"/>
  <c r="VY50" i="3" s="1"/>
  <c r="VY32" i="3"/>
  <c r="VY48" i="3" s="1"/>
  <c r="VY31" i="3"/>
  <c r="VY47" i="3" s="1"/>
  <c r="VY29" i="3"/>
  <c r="VY45" i="3" s="1"/>
  <c r="YK41" i="3"/>
  <c r="YK57" i="3" s="1"/>
  <c r="YK38" i="3"/>
  <c r="YK54" i="3" s="1"/>
  <c r="YK37" i="3"/>
  <c r="YK53" i="3" s="1"/>
  <c r="YK35" i="3"/>
  <c r="YK51" i="3" s="1"/>
  <c r="YK34" i="3"/>
  <c r="YK50" i="3" s="1"/>
  <c r="YK32" i="3"/>
  <c r="YK48" i="3" s="1"/>
  <c r="YK31" i="3"/>
  <c r="YK47" i="3" s="1"/>
  <c r="YK29" i="3"/>
  <c r="YK45" i="3" s="1"/>
  <c r="AAW41" i="3"/>
  <c r="AAW57" i="3" s="1"/>
  <c r="AAW38" i="3"/>
  <c r="AAW54" i="3" s="1"/>
  <c r="AAW37" i="3"/>
  <c r="AAW35" i="3"/>
  <c r="AAW51" i="3" s="1"/>
  <c r="AAW34" i="3"/>
  <c r="AAW50" i="3" s="1"/>
  <c r="AAW32" i="3"/>
  <c r="AAW48" i="3" s="1"/>
  <c r="AAW31" i="3"/>
  <c r="AAW47" i="3" s="1"/>
  <c r="AAW29" i="3"/>
  <c r="AAW45" i="3" s="1"/>
  <c r="ADI41" i="3"/>
  <c r="ADI57" i="3" s="1"/>
  <c r="ADI38" i="3"/>
  <c r="ADI54" i="3" s="1"/>
  <c r="ADI37" i="3"/>
  <c r="ADI53" i="3" s="1"/>
  <c r="ADI35" i="3"/>
  <c r="ADI51" i="3" s="1"/>
  <c r="ADI34" i="3"/>
  <c r="ADI50" i="3" s="1"/>
  <c r="ADI32" i="3"/>
  <c r="ADI48" i="3" s="1"/>
  <c r="ADI31" i="3"/>
  <c r="ADI47" i="3" s="1"/>
  <c r="ADI29" i="3"/>
  <c r="ADI45" i="3" s="1"/>
  <c r="AFU41" i="3"/>
  <c r="AFU57" i="3" s="1"/>
  <c r="AFU38" i="3"/>
  <c r="AFU54" i="3" s="1"/>
  <c r="AFU37" i="3"/>
  <c r="AFU53" i="3" s="1"/>
  <c r="AFU35" i="3"/>
  <c r="AFU51" i="3" s="1"/>
  <c r="AFU34" i="3"/>
  <c r="AFU50" i="3" s="1"/>
  <c r="AFU32" i="3"/>
  <c r="AFU48" i="3" s="1"/>
  <c r="AFU31" i="3"/>
  <c r="AFU47" i="3" s="1"/>
  <c r="AFU29" i="3"/>
  <c r="AFU45" i="3" s="1"/>
  <c r="AIG41" i="3"/>
  <c r="AIG57" i="3" s="1"/>
  <c r="AIG38" i="3"/>
  <c r="AIG54" i="3" s="1"/>
  <c r="AIG37" i="3"/>
  <c r="AIG35" i="3"/>
  <c r="AIG51" i="3" s="1"/>
  <c r="AIG34" i="3"/>
  <c r="AIG50" i="3" s="1"/>
  <c r="AIG32" i="3"/>
  <c r="AIG48" i="3" s="1"/>
  <c r="AIG31" i="3"/>
  <c r="AIG47" i="3" s="1"/>
  <c r="AIG29" i="3"/>
  <c r="AIG45" i="3" s="1"/>
  <c r="AKS41" i="3"/>
  <c r="AKS57" i="3" s="1"/>
  <c r="AKS38" i="3"/>
  <c r="AKS54" i="3" s="1"/>
  <c r="AKS37" i="3"/>
  <c r="AKS35" i="3"/>
  <c r="AKS51" i="3" s="1"/>
  <c r="AKS34" i="3"/>
  <c r="AKS50" i="3" s="1"/>
  <c r="AKS32" i="3"/>
  <c r="AKS48" i="3" s="1"/>
  <c r="AKS31" i="3"/>
  <c r="AKS47" i="3" s="1"/>
  <c r="AKS29" i="3"/>
  <c r="AKS45" i="3" s="1"/>
  <c r="GK41" i="3"/>
  <c r="GK38" i="3"/>
  <c r="GK37" i="3"/>
  <c r="GK34" i="3"/>
  <c r="GK35" i="3"/>
  <c r="GK32" i="3"/>
  <c r="GK48" i="3" s="1"/>
  <c r="GK31" i="3"/>
  <c r="GK47" i="3" s="1"/>
  <c r="GK29" i="3"/>
  <c r="GK45" i="3" s="1"/>
  <c r="Q35" i="3"/>
  <c r="R41" i="3"/>
  <c r="R38" i="3"/>
  <c r="R37" i="3"/>
  <c r="R35" i="3"/>
  <c r="R34" i="3"/>
  <c r="R32" i="3"/>
  <c r="R48" i="3" s="1"/>
  <c r="R31" i="3"/>
  <c r="R47" i="3" s="1"/>
  <c r="R29" i="3"/>
  <c r="R45" i="3" s="1"/>
  <c r="AH41" i="3"/>
  <c r="AH38" i="3"/>
  <c r="AH37" i="3"/>
  <c r="AH35" i="3"/>
  <c r="AH34" i="3"/>
  <c r="AH32" i="3"/>
  <c r="AH48" i="3" s="1"/>
  <c r="AH31" i="3"/>
  <c r="AH47" i="3" s="1"/>
  <c r="AH29" i="3"/>
  <c r="AH45" i="3" s="1"/>
  <c r="AX41" i="3"/>
  <c r="AX38" i="3"/>
  <c r="AX37" i="3"/>
  <c r="AX35" i="3"/>
  <c r="AX34" i="3"/>
  <c r="AX32" i="3"/>
  <c r="AX48" i="3" s="1"/>
  <c r="AX31" i="3"/>
  <c r="AX47" i="3" s="1"/>
  <c r="AX29" i="3"/>
  <c r="AX45" i="3" s="1"/>
  <c r="BN41" i="3"/>
  <c r="BN38" i="3"/>
  <c r="BN37" i="3"/>
  <c r="BN35" i="3"/>
  <c r="BN34" i="3"/>
  <c r="BN32" i="3"/>
  <c r="BN48" i="3" s="1"/>
  <c r="BN31" i="3"/>
  <c r="BN47" i="3" s="1"/>
  <c r="BN29" i="3"/>
  <c r="BN45" i="3" s="1"/>
  <c r="CD41" i="3"/>
  <c r="CD38" i="3"/>
  <c r="CD37" i="3"/>
  <c r="CD35" i="3"/>
  <c r="CD34" i="3"/>
  <c r="CD32" i="3"/>
  <c r="CD48" i="3" s="1"/>
  <c r="CD31" i="3"/>
  <c r="CD47" i="3" s="1"/>
  <c r="CD29" i="3"/>
  <c r="CD45" i="3" s="1"/>
  <c r="CT41" i="3"/>
  <c r="CT38" i="3"/>
  <c r="CT37" i="3"/>
  <c r="CT35" i="3"/>
  <c r="CT34" i="3"/>
  <c r="CT32" i="3"/>
  <c r="CT48" i="3" s="1"/>
  <c r="CT31" i="3"/>
  <c r="CT47" i="3" s="1"/>
  <c r="CT29" i="3"/>
  <c r="CT45" i="3" s="1"/>
  <c r="DJ41" i="3"/>
  <c r="DJ38" i="3"/>
  <c r="DJ35" i="3"/>
  <c r="DJ37" i="3"/>
  <c r="DJ34" i="3"/>
  <c r="DJ32" i="3"/>
  <c r="DJ48" i="3" s="1"/>
  <c r="DJ31" i="3"/>
  <c r="DJ47" i="3" s="1"/>
  <c r="DJ29" i="3"/>
  <c r="DJ45" i="3" s="1"/>
  <c r="DZ41" i="3"/>
  <c r="DZ38" i="3"/>
  <c r="DZ35" i="3"/>
  <c r="DZ37" i="3"/>
  <c r="DZ34" i="3"/>
  <c r="DZ32" i="3"/>
  <c r="DZ48" i="3" s="1"/>
  <c r="DZ31" i="3"/>
  <c r="DZ47" i="3" s="1"/>
  <c r="DZ29" i="3"/>
  <c r="DZ45" i="3" s="1"/>
  <c r="EP41" i="3"/>
  <c r="EP57" i="3" s="1"/>
  <c r="EP38" i="3"/>
  <c r="EP54" i="3" s="1"/>
  <c r="EP35" i="3"/>
  <c r="EP37" i="3"/>
  <c r="EP53" i="3" s="1"/>
  <c r="EP34" i="3"/>
  <c r="EP32" i="3"/>
  <c r="EP48" i="3" s="1"/>
  <c r="EP31" i="3"/>
  <c r="EP47" i="3" s="1"/>
  <c r="EP29" i="3"/>
  <c r="EP45" i="3" s="1"/>
  <c r="FF41" i="3"/>
  <c r="FF38" i="3"/>
  <c r="FF35" i="3"/>
  <c r="FF37" i="3"/>
  <c r="FF34" i="3"/>
  <c r="FF32" i="3"/>
  <c r="FF48" i="3" s="1"/>
  <c r="FF31" i="3"/>
  <c r="FF47" i="3" s="1"/>
  <c r="FF29" i="3"/>
  <c r="FF45" i="3" s="1"/>
  <c r="FV41" i="3"/>
  <c r="FV38" i="3"/>
  <c r="FV35" i="3"/>
  <c r="FV37" i="3"/>
  <c r="FV34" i="3"/>
  <c r="FV32" i="3"/>
  <c r="FV48" i="3" s="1"/>
  <c r="FV31" i="3"/>
  <c r="FV47" i="3" s="1"/>
  <c r="FV29" i="3"/>
  <c r="FV45" i="3" s="1"/>
  <c r="GL41" i="3"/>
  <c r="GL38" i="3"/>
  <c r="GL35" i="3"/>
  <c r="GL37" i="3"/>
  <c r="GL34" i="3"/>
  <c r="GL32" i="3"/>
  <c r="GL48" i="3" s="1"/>
  <c r="GL31" i="3"/>
  <c r="GL47" i="3" s="1"/>
  <c r="GL29" i="3"/>
  <c r="GL45" i="3" s="1"/>
  <c r="HB41" i="3"/>
  <c r="HB38" i="3"/>
  <c r="HB35" i="3"/>
  <c r="HB37" i="3"/>
  <c r="HB34" i="3"/>
  <c r="HB32" i="3"/>
  <c r="HB48" i="3" s="1"/>
  <c r="HB31" i="3"/>
  <c r="HB47" i="3" s="1"/>
  <c r="HB29" i="3"/>
  <c r="HB45" i="3" s="1"/>
  <c r="HR41" i="3"/>
  <c r="HR38" i="3"/>
  <c r="HR35" i="3"/>
  <c r="HR37" i="3"/>
  <c r="HR34" i="3"/>
  <c r="HR32" i="3"/>
  <c r="HR48" i="3" s="1"/>
  <c r="HR31" i="3"/>
  <c r="HR47" i="3" s="1"/>
  <c r="HR29" i="3"/>
  <c r="HR45" i="3" s="1"/>
  <c r="IH41" i="3"/>
  <c r="IH57" i="3" s="1"/>
  <c r="IH38" i="3"/>
  <c r="IH35" i="3"/>
  <c r="IH51" i="3" s="1"/>
  <c r="IH37" i="3"/>
  <c r="IH53" i="3" s="1"/>
  <c r="IH34" i="3"/>
  <c r="IH32" i="3"/>
  <c r="IH48" i="3" s="1"/>
  <c r="IH31" i="3"/>
  <c r="IH47" i="3" s="1"/>
  <c r="IH29" i="3"/>
  <c r="IH45" i="3" s="1"/>
  <c r="IX41" i="3"/>
  <c r="IX38" i="3"/>
  <c r="IX35" i="3"/>
  <c r="IX37" i="3"/>
  <c r="IX34" i="3"/>
  <c r="IX32" i="3"/>
  <c r="IX48" i="3" s="1"/>
  <c r="IX31" i="3"/>
  <c r="IX47" i="3" s="1"/>
  <c r="IX29" i="3"/>
  <c r="IX45" i="3" s="1"/>
  <c r="JN41" i="3"/>
  <c r="JN38" i="3"/>
  <c r="JN54" i="3" s="1"/>
  <c r="JN35" i="3"/>
  <c r="JN37" i="3"/>
  <c r="JN53" i="3" s="1"/>
  <c r="JN34" i="3"/>
  <c r="JN32" i="3"/>
  <c r="JN48" i="3" s="1"/>
  <c r="JN31" i="3"/>
  <c r="JN47" i="3" s="1"/>
  <c r="JN29" i="3"/>
  <c r="JN45" i="3" s="1"/>
  <c r="KD41" i="3"/>
  <c r="KD38" i="3"/>
  <c r="KD35" i="3"/>
  <c r="KD37" i="3"/>
  <c r="KD34" i="3"/>
  <c r="KD32" i="3"/>
  <c r="KD48" i="3" s="1"/>
  <c r="KD31" i="3"/>
  <c r="KD47" i="3" s="1"/>
  <c r="KD29" i="3"/>
  <c r="KD45" i="3" s="1"/>
  <c r="KT41" i="3"/>
  <c r="KT38" i="3"/>
  <c r="KT35" i="3"/>
  <c r="KT37" i="3"/>
  <c r="KT34" i="3"/>
  <c r="KT32" i="3"/>
  <c r="KT48" i="3" s="1"/>
  <c r="KT31" i="3"/>
  <c r="KT47" i="3" s="1"/>
  <c r="KT29" i="3"/>
  <c r="KT45" i="3" s="1"/>
  <c r="LJ41" i="3"/>
  <c r="LJ38" i="3"/>
  <c r="LJ35" i="3"/>
  <c r="LJ37" i="3"/>
  <c r="LJ34" i="3"/>
  <c r="LJ32" i="3"/>
  <c r="LJ48" i="3" s="1"/>
  <c r="LJ31" i="3"/>
  <c r="LJ47" i="3" s="1"/>
  <c r="LJ29" i="3"/>
  <c r="LJ45" i="3" s="1"/>
  <c r="LZ41" i="3"/>
  <c r="LZ57" i="3" s="1"/>
  <c r="LZ38" i="3"/>
  <c r="LZ35" i="3"/>
  <c r="LZ37" i="3"/>
  <c r="LZ53" i="3" s="1"/>
  <c r="LZ34" i="3"/>
  <c r="LZ32" i="3"/>
  <c r="LZ48" i="3" s="1"/>
  <c r="LZ31" i="3"/>
  <c r="LZ47" i="3" s="1"/>
  <c r="LZ29" i="3"/>
  <c r="LZ45" i="3" s="1"/>
  <c r="O41" i="3"/>
  <c r="O38" i="3"/>
  <c r="O37" i="3"/>
  <c r="O35" i="3"/>
  <c r="O34" i="3"/>
  <c r="O32" i="3"/>
  <c r="O48" i="3" s="1"/>
  <c r="O31" i="3"/>
  <c r="O47" i="3" s="1"/>
  <c r="O29" i="3"/>
  <c r="O45" i="3" s="1"/>
  <c r="AE41" i="3"/>
  <c r="AE38" i="3"/>
  <c r="AE54" i="3" s="1"/>
  <c r="AE37" i="3"/>
  <c r="AE53" i="3" s="1"/>
  <c r="AE35" i="3"/>
  <c r="AE34" i="3"/>
  <c r="AE32" i="3"/>
  <c r="AE48" i="3" s="1"/>
  <c r="AE31" i="3"/>
  <c r="AE47" i="3" s="1"/>
  <c r="AE29" i="3"/>
  <c r="AE45" i="3" s="1"/>
  <c r="AU41" i="3"/>
  <c r="AU57" i="3" s="1"/>
  <c r="AU38" i="3"/>
  <c r="AU37" i="3"/>
  <c r="AU35" i="3"/>
  <c r="AU51" i="3" s="1"/>
  <c r="AU34" i="3"/>
  <c r="AU50" i="3" s="1"/>
  <c r="AU32" i="3"/>
  <c r="AU48" i="3" s="1"/>
  <c r="AU31" i="3"/>
  <c r="AU47" i="3" s="1"/>
  <c r="AU29" i="3"/>
  <c r="AU45" i="3" s="1"/>
  <c r="BK41" i="3"/>
  <c r="BK38" i="3"/>
  <c r="BK37" i="3"/>
  <c r="BK35" i="3"/>
  <c r="BK34" i="3"/>
  <c r="BK32" i="3"/>
  <c r="BK48" i="3" s="1"/>
  <c r="BK31" i="3"/>
  <c r="BK47" i="3" s="1"/>
  <c r="BK29" i="3"/>
  <c r="BK45" i="3" s="1"/>
  <c r="CA41" i="3"/>
  <c r="CA38" i="3"/>
  <c r="CA37" i="3"/>
  <c r="CA35" i="3"/>
  <c r="CA34" i="3"/>
  <c r="CA32" i="3"/>
  <c r="CA48" i="3" s="1"/>
  <c r="CA31" i="3"/>
  <c r="CA47" i="3" s="1"/>
  <c r="CA29" i="3"/>
  <c r="CA45" i="3" s="1"/>
  <c r="CQ41" i="3"/>
  <c r="CQ38" i="3"/>
  <c r="CQ37" i="3"/>
  <c r="CQ35" i="3"/>
  <c r="CQ34" i="3"/>
  <c r="CQ32" i="3"/>
  <c r="CQ48" i="3" s="1"/>
  <c r="CQ31" i="3"/>
  <c r="CQ47" i="3" s="1"/>
  <c r="CQ29" i="3"/>
  <c r="CQ45" i="3" s="1"/>
  <c r="DG41" i="3"/>
  <c r="DG38" i="3"/>
  <c r="DG37" i="3"/>
  <c r="DG34" i="3"/>
  <c r="DG35" i="3"/>
  <c r="DG32" i="3"/>
  <c r="DG48" i="3" s="1"/>
  <c r="DG31" i="3"/>
  <c r="DG47" i="3" s="1"/>
  <c r="DG29" i="3"/>
  <c r="DG45" i="3" s="1"/>
  <c r="DW41" i="3"/>
  <c r="DW38" i="3"/>
  <c r="DW35" i="3"/>
  <c r="DW37" i="3"/>
  <c r="DW34" i="3"/>
  <c r="DW32" i="3"/>
  <c r="DW48" i="3" s="1"/>
  <c r="DW31" i="3"/>
  <c r="DW47" i="3" s="1"/>
  <c r="DW29" i="3"/>
  <c r="DW45" i="3" s="1"/>
  <c r="EM41" i="3"/>
  <c r="EM57" i="3" s="1"/>
  <c r="EM38" i="3"/>
  <c r="EM54" i="3" s="1"/>
  <c r="EM35" i="3"/>
  <c r="EM37" i="3"/>
  <c r="EM53" i="3" s="1"/>
  <c r="EM34" i="3"/>
  <c r="EM32" i="3"/>
  <c r="EM48" i="3" s="1"/>
  <c r="EM31" i="3"/>
  <c r="EM47" i="3" s="1"/>
  <c r="EM29" i="3"/>
  <c r="EM45" i="3" s="1"/>
  <c r="FC41" i="3"/>
  <c r="FC57" i="3" s="1"/>
  <c r="FC38" i="3"/>
  <c r="FC35" i="3"/>
  <c r="FC51" i="3" s="1"/>
  <c r="FC37" i="3"/>
  <c r="FC53" i="3" s="1"/>
  <c r="FC34" i="3"/>
  <c r="FC32" i="3"/>
  <c r="FC48" i="3" s="1"/>
  <c r="FC31" i="3"/>
  <c r="FC47" i="3" s="1"/>
  <c r="FC29" i="3"/>
  <c r="FC45" i="3" s="1"/>
  <c r="FS41" i="3"/>
  <c r="FS38" i="3"/>
  <c r="FS35" i="3"/>
  <c r="FS51" i="3" s="1"/>
  <c r="FS37" i="3"/>
  <c r="FS53" i="3" s="1"/>
  <c r="FS34" i="3"/>
  <c r="FS50" i="3" s="1"/>
  <c r="FS32" i="3"/>
  <c r="FS48" i="3" s="1"/>
  <c r="FS31" i="3"/>
  <c r="FS47" i="3" s="1"/>
  <c r="FS29" i="3"/>
  <c r="FS45" i="3" s="1"/>
  <c r="GI41" i="3"/>
  <c r="GI57" i="3" s="1"/>
  <c r="GI38" i="3"/>
  <c r="GI35" i="3"/>
  <c r="GI51" i="3" s="1"/>
  <c r="GI37" i="3"/>
  <c r="GI53" i="3" s="1"/>
  <c r="GI34" i="3"/>
  <c r="GI50" i="3" s="1"/>
  <c r="GI32" i="3"/>
  <c r="GI48" i="3" s="1"/>
  <c r="GI31" i="3"/>
  <c r="GI47" i="3" s="1"/>
  <c r="GI29" i="3"/>
  <c r="GI45" i="3" s="1"/>
  <c r="GY41" i="3"/>
  <c r="GY57" i="3" s="1"/>
  <c r="GY38" i="3"/>
  <c r="GY54" i="3" s="1"/>
  <c r="GY35" i="3"/>
  <c r="GY37" i="3"/>
  <c r="GY53" i="3" s="1"/>
  <c r="GY34" i="3"/>
  <c r="GY32" i="3"/>
  <c r="GY48" i="3" s="1"/>
  <c r="GY31" i="3"/>
  <c r="GY47" i="3" s="1"/>
  <c r="GY29" i="3"/>
  <c r="GY45" i="3" s="1"/>
  <c r="HO41" i="3"/>
  <c r="HO38" i="3"/>
  <c r="HO35" i="3"/>
  <c r="HO37" i="3"/>
  <c r="HO34" i="3"/>
  <c r="HO32" i="3"/>
  <c r="HO48" i="3" s="1"/>
  <c r="HO31" i="3"/>
  <c r="HO47" i="3" s="1"/>
  <c r="HO29" i="3"/>
  <c r="HO45" i="3" s="1"/>
  <c r="IE41" i="3"/>
  <c r="IE38" i="3"/>
  <c r="IE35" i="3"/>
  <c r="IE37" i="3"/>
  <c r="IE34" i="3"/>
  <c r="IE32" i="3"/>
  <c r="IE48" i="3" s="1"/>
  <c r="IE31" i="3"/>
  <c r="IE47" i="3" s="1"/>
  <c r="IE29" i="3"/>
  <c r="IE45" i="3" s="1"/>
  <c r="IU41" i="3"/>
  <c r="IU38" i="3"/>
  <c r="IU35" i="3"/>
  <c r="IU37" i="3"/>
  <c r="IU34" i="3"/>
  <c r="IU32" i="3"/>
  <c r="IU48" i="3" s="1"/>
  <c r="IU31" i="3"/>
  <c r="IU47" i="3" s="1"/>
  <c r="IU29" i="3"/>
  <c r="IU45" i="3" s="1"/>
  <c r="JK41" i="3"/>
  <c r="JK57" i="3" s="1"/>
  <c r="JK38" i="3"/>
  <c r="JK35" i="3"/>
  <c r="JK37" i="3"/>
  <c r="JK34" i="3"/>
  <c r="JK32" i="3"/>
  <c r="JK48" i="3" s="1"/>
  <c r="JK31" i="3"/>
  <c r="JK47" i="3" s="1"/>
  <c r="JK29" i="3"/>
  <c r="JK45" i="3" s="1"/>
  <c r="KA41" i="3"/>
  <c r="KA38" i="3"/>
  <c r="KA35" i="3"/>
  <c r="KA37" i="3"/>
  <c r="KA34" i="3"/>
  <c r="KA32" i="3"/>
  <c r="KA48" i="3" s="1"/>
  <c r="KA31" i="3"/>
  <c r="KA47" i="3" s="1"/>
  <c r="KA29" i="3"/>
  <c r="KA45" i="3" s="1"/>
  <c r="KQ41" i="3"/>
  <c r="KQ38" i="3"/>
  <c r="KQ35" i="3"/>
  <c r="KQ37" i="3"/>
  <c r="KQ34" i="3"/>
  <c r="KQ32" i="3"/>
  <c r="KQ48" i="3" s="1"/>
  <c r="KQ31" i="3"/>
  <c r="KQ47" i="3" s="1"/>
  <c r="KQ29" i="3"/>
  <c r="KQ45" i="3" s="1"/>
  <c r="LG41" i="3"/>
  <c r="LG57" i="3" s="1"/>
  <c r="LG38" i="3"/>
  <c r="LG35" i="3"/>
  <c r="LG37" i="3"/>
  <c r="LG34" i="3"/>
  <c r="LG32" i="3"/>
  <c r="LG48" i="3" s="1"/>
  <c r="LG31" i="3"/>
  <c r="LG47" i="3" s="1"/>
  <c r="LG29" i="3"/>
  <c r="LG45" i="3" s="1"/>
  <c r="LW41" i="3"/>
  <c r="LW38" i="3"/>
  <c r="LW35" i="3"/>
  <c r="LW37" i="3"/>
  <c r="LW34" i="3"/>
  <c r="LW32" i="3"/>
  <c r="LW48" i="3" s="1"/>
  <c r="LW31" i="3"/>
  <c r="LW47" i="3" s="1"/>
  <c r="LW29" i="3"/>
  <c r="LW45" i="3" s="1"/>
  <c r="L41" i="3"/>
  <c r="L38" i="3"/>
  <c r="L37" i="3"/>
  <c r="L35" i="3"/>
  <c r="L34" i="3"/>
  <c r="L32" i="3"/>
  <c r="L48" i="3" s="1"/>
  <c r="L31" i="3"/>
  <c r="L47" i="3" s="1"/>
  <c r="L29" i="3"/>
  <c r="L45" i="3" s="1"/>
  <c r="AB41" i="3"/>
  <c r="AB57" i="3" s="1"/>
  <c r="AB38" i="3"/>
  <c r="AB54" i="3" s="1"/>
  <c r="AB37" i="3"/>
  <c r="AB53" i="3" s="1"/>
  <c r="AB35" i="3"/>
  <c r="AB51" i="3" s="1"/>
  <c r="AB34" i="3"/>
  <c r="AB32" i="3"/>
  <c r="AB48" i="3" s="1"/>
  <c r="AB31" i="3"/>
  <c r="AB47" i="3" s="1"/>
  <c r="AB29" i="3"/>
  <c r="AB45" i="3" s="1"/>
  <c r="AR41" i="3"/>
  <c r="AR57" i="3" s="1"/>
  <c r="AR38" i="3"/>
  <c r="AR54" i="3" s="1"/>
  <c r="AR37" i="3"/>
  <c r="AR53" i="3" s="1"/>
  <c r="AR35" i="3"/>
  <c r="AR34" i="3"/>
  <c r="AR32" i="3"/>
  <c r="AR48" i="3" s="1"/>
  <c r="AR31" i="3"/>
  <c r="AR47" i="3" s="1"/>
  <c r="AR29" i="3"/>
  <c r="AR45" i="3" s="1"/>
  <c r="BH41" i="3"/>
  <c r="BH38" i="3"/>
  <c r="BH37" i="3"/>
  <c r="BH35" i="3"/>
  <c r="BH34" i="3"/>
  <c r="BH32" i="3"/>
  <c r="BH48" i="3" s="1"/>
  <c r="BH31" i="3"/>
  <c r="BH47" i="3" s="1"/>
  <c r="BH29" i="3"/>
  <c r="BH45" i="3" s="1"/>
  <c r="BX41" i="3"/>
  <c r="BX57" i="3" s="1"/>
  <c r="BX38" i="3"/>
  <c r="BX54" i="3" s="1"/>
  <c r="BX37" i="3"/>
  <c r="BX53" i="3" s="1"/>
  <c r="BX35" i="3"/>
  <c r="BX51" i="3" s="1"/>
  <c r="BX34" i="3"/>
  <c r="BX32" i="3"/>
  <c r="BX48" i="3" s="1"/>
  <c r="BX31" i="3"/>
  <c r="BX47" i="3" s="1"/>
  <c r="BX29" i="3"/>
  <c r="BX45" i="3" s="1"/>
  <c r="CN41" i="3"/>
  <c r="CN38" i="3"/>
  <c r="CN37" i="3"/>
  <c r="CN35" i="3"/>
  <c r="CN34" i="3"/>
  <c r="CN50" i="3" s="1"/>
  <c r="CN32" i="3"/>
  <c r="CN48" i="3" s="1"/>
  <c r="CN31" i="3"/>
  <c r="CN47" i="3" s="1"/>
  <c r="CN29" i="3"/>
  <c r="CN45" i="3" s="1"/>
  <c r="DD41" i="3"/>
  <c r="DD38" i="3"/>
  <c r="DD35" i="3"/>
  <c r="DD37" i="3"/>
  <c r="DD34" i="3"/>
  <c r="DD32" i="3"/>
  <c r="DD48" i="3" s="1"/>
  <c r="DD31" i="3"/>
  <c r="DD47" i="3" s="1"/>
  <c r="DD29" i="3"/>
  <c r="DD45" i="3" s="1"/>
  <c r="DT41" i="3"/>
  <c r="DT38" i="3"/>
  <c r="DT35" i="3"/>
  <c r="DT37" i="3"/>
  <c r="DT34" i="3"/>
  <c r="DT32" i="3"/>
  <c r="DT48" i="3" s="1"/>
  <c r="DT31" i="3"/>
  <c r="DT47" i="3" s="1"/>
  <c r="DT29" i="3"/>
  <c r="DT45" i="3" s="1"/>
  <c r="EJ41" i="3"/>
  <c r="EJ57" i="3" s="1"/>
  <c r="EJ38" i="3"/>
  <c r="EJ35" i="3"/>
  <c r="EJ51" i="3" s="1"/>
  <c r="EJ37" i="3"/>
  <c r="EJ53" i="3" s="1"/>
  <c r="EJ34" i="3"/>
  <c r="EJ32" i="3"/>
  <c r="EJ48" i="3" s="1"/>
  <c r="EJ31" i="3"/>
  <c r="EJ47" i="3" s="1"/>
  <c r="EJ29" i="3"/>
  <c r="EJ45" i="3" s="1"/>
  <c r="EZ41" i="3"/>
  <c r="EZ38" i="3"/>
  <c r="EZ35" i="3"/>
  <c r="EZ37" i="3"/>
  <c r="EZ34" i="3"/>
  <c r="EZ32" i="3"/>
  <c r="EZ48" i="3" s="1"/>
  <c r="EZ31" i="3"/>
  <c r="EZ47" i="3" s="1"/>
  <c r="EZ29" i="3"/>
  <c r="EZ45" i="3" s="1"/>
  <c r="FP41" i="3"/>
  <c r="FP38" i="3"/>
  <c r="FP35" i="3"/>
  <c r="FP37" i="3"/>
  <c r="FP34" i="3"/>
  <c r="FP32" i="3"/>
  <c r="FP48" i="3" s="1"/>
  <c r="FP31" i="3"/>
  <c r="FP47" i="3" s="1"/>
  <c r="FP29" i="3"/>
  <c r="FP45" i="3" s="1"/>
  <c r="GF41" i="3"/>
  <c r="GF38" i="3"/>
  <c r="GF35" i="3"/>
  <c r="GF37" i="3"/>
  <c r="GF34" i="3"/>
  <c r="GF32" i="3"/>
  <c r="GF48" i="3" s="1"/>
  <c r="GF31" i="3"/>
  <c r="GF47" i="3" s="1"/>
  <c r="GF29" i="3"/>
  <c r="GF45" i="3" s="1"/>
  <c r="FU41" i="3"/>
  <c r="FU38" i="3"/>
  <c r="FU37" i="3"/>
  <c r="FU34" i="3"/>
  <c r="FU35" i="3"/>
  <c r="FU32" i="3"/>
  <c r="FU48" i="3" s="1"/>
  <c r="FU31" i="3"/>
  <c r="FU47" i="3" s="1"/>
  <c r="FU29" i="3"/>
  <c r="FU45" i="3" s="1"/>
  <c r="LE41" i="3"/>
  <c r="LE38" i="3"/>
  <c r="LE37" i="3"/>
  <c r="LE34" i="3"/>
  <c r="LE35" i="3"/>
  <c r="LE32" i="3"/>
  <c r="LE48" i="3" s="1"/>
  <c r="LE31" i="3"/>
  <c r="LE47" i="3" s="1"/>
  <c r="LE29" i="3"/>
  <c r="LE45" i="3" s="1"/>
  <c r="OC41" i="3"/>
  <c r="OC38" i="3"/>
  <c r="OC37" i="3"/>
  <c r="OC34" i="3"/>
  <c r="OC35" i="3"/>
  <c r="OC32" i="3"/>
  <c r="OC48" i="3" s="1"/>
  <c r="OC31" i="3"/>
  <c r="OC47" i="3" s="1"/>
  <c r="OC29" i="3"/>
  <c r="OC45" i="3" s="1"/>
  <c r="QO41" i="3"/>
  <c r="QO38" i="3"/>
  <c r="QO37" i="3"/>
  <c r="QO34" i="3"/>
  <c r="QO35" i="3"/>
  <c r="QO32" i="3"/>
  <c r="QO48" i="3" s="1"/>
  <c r="QO31" i="3"/>
  <c r="QO47" i="3" s="1"/>
  <c r="QO29" i="3"/>
  <c r="QO45" i="3" s="1"/>
  <c r="TA41" i="3"/>
  <c r="TA57" i="3" s="1"/>
  <c r="TA38" i="3"/>
  <c r="TA37" i="3"/>
  <c r="TA53" i="3" s="1"/>
  <c r="TA34" i="3"/>
  <c r="TA50" i="3" s="1"/>
  <c r="TA35" i="3"/>
  <c r="TA32" i="3"/>
  <c r="TA48" i="3" s="1"/>
  <c r="TA31" i="3"/>
  <c r="TA47" i="3" s="1"/>
  <c r="TA29" i="3"/>
  <c r="TA45" i="3" s="1"/>
  <c r="VM41" i="3"/>
  <c r="VM57" i="3" s="1"/>
  <c r="VM38" i="3"/>
  <c r="VM54" i="3" s="1"/>
  <c r="VM37" i="3"/>
  <c r="VM53" i="3" s="1"/>
  <c r="VM34" i="3"/>
  <c r="VM50" i="3" s="1"/>
  <c r="VM35" i="3"/>
  <c r="VM51" i="3" s="1"/>
  <c r="VM32" i="3"/>
  <c r="VM48" i="3" s="1"/>
  <c r="VM31" i="3"/>
  <c r="VM47" i="3" s="1"/>
  <c r="VM29" i="3"/>
  <c r="VM45" i="3" s="1"/>
  <c r="XY41" i="3"/>
  <c r="XY57" i="3" s="1"/>
  <c r="XY38" i="3"/>
  <c r="XY54" i="3" s="1"/>
  <c r="XY37" i="3"/>
  <c r="XY53" i="3" s="1"/>
  <c r="XY34" i="3"/>
  <c r="XY50" i="3" s="1"/>
  <c r="XY35" i="3"/>
  <c r="XY32" i="3"/>
  <c r="XY48" i="3" s="1"/>
  <c r="XY31" i="3"/>
  <c r="XY47" i="3" s="1"/>
  <c r="XY29" i="3"/>
  <c r="XY45" i="3" s="1"/>
  <c r="AAK41" i="3"/>
  <c r="AAK57" i="3" s="1"/>
  <c r="AAK38" i="3"/>
  <c r="AAK54" i="3" s="1"/>
  <c r="AAK37" i="3"/>
  <c r="AAK53" i="3" s="1"/>
  <c r="AAK35" i="3"/>
  <c r="AAK51" i="3" s="1"/>
  <c r="AAK34" i="3"/>
  <c r="AAK32" i="3"/>
  <c r="AAK48" i="3" s="1"/>
  <c r="AAK31" i="3"/>
  <c r="AAK47" i="3" s="1"/>
  <c r="AAK29" i="3"/>
  <c r="AAK45" i="3" s="1"/>
  <c r="ACW41" i="3"/>
  <c r="ACW57" i="3" s="1"/>
  <c r="ACW38" i="3"/>
  <c r="ACW37" i="3"/>
  <c r="ACW53" i="3" s="1"/>
  <c r="ACW35" i="3"/>
  <c r="ACW51" i="3" s="1"/>
  <c r="ACW34" i="3"/>
  <c r="ACW32" i="3"/>
  <c r="ACW48" i="3" s="1"/>
  <c r="ACW31" i="3"/>
  <c r="ACW47" i="3" s="1"/>
  <c r="ACW29" i="3"/>
  <c r="ACW45" i="3" s="1"/>
  <c r="AFI41" i="3"/>
  <c r="AFI57" i="3" s="1"/>
  <c r="AFI38" i="3"/>
  <c r="AFI54" i="3" s="1"/>
  <c r="AFI37" i="3"/>
  <c r="AFI53" i="3" s="1"/>
  <c r="AFI35" i="3"/>
  <c r="AFI51" i="3" s="1"/>
  <c r="AFI34" i="3"/>
  <c r="AFI32" i="3"/>
  <c r="AFI48" i="3" s="1"/>
  <c r="AFI31" i="3"/>
  <c r="AFI47" i="3" s="1"/>
  <c r="AFI29" i="3"/>
  <c r="AFI45" i="3" s="1"/>
  <c r="AHU41" i="3"/>
  <c r="AHU57" i="3" s="1"/>
  <c r="AHU38" i="3"/>
  <c r="AHU37" i="3"/>
  <c r="AHU53" i="3" s="1"/>
  <c r="AHU35" i="3"/>
  <c r="AHU51" i="3" s="1"/>
  <c r="AHU34" i="3"/>
  <c r="AHU32" i="3"/>
  <c r="AHU48" i="3" s="1"/>
  <c r="AHU31" i="3"/>
  <c r="AHU47" i="3" s="1"/>
  <c r="AHU29" i="3"/>
  <c r="AHU45" i="3" s="1"/>
  <c r="AKG41" i="3"/>
  <c r="AKG57" i="3" s="1"/>
  <c r="AKG38" i="3"/>
  <c r="AKG54" i="3" s="1"/>
  <c r="AKG37" i="3"/>
  <c r="AKG53" i="3" s="1"/>
  <c r="AKG35" i="3"/>
  <c r="AKG51" i="3" s="1"/>
  <c r="AKG34" i="3"/>
  <c r="AKG50" i="3" s="1"/>
  <c r="AKG32" i="3"/>
  <c r="AKG48" i="3" s="1"/>
  <c r="AKG31" i="3"/>
  <c r="AKG47" i="3" s="1"/>
  <c r="AKG29" i="3"/>
  <c r="AKG45" i="3" s="1"/>
  <c r="HU41" i="3"/>
  <c r="HU38" i="3"/>
  <c r="HU37" i="3"/>
  <c r="HU35" i="3"/>
  <c r="HU34" i="3"/>
  <c r="HU32" i="3"/>
  <c r="HU48" i="3" s="1"/>
  <c r="HU31" i="3"/>
  <c r="HU47" i="3" s="1"/>
  <c r="HU29" i="3"/>
  <c r="HU45" i="3" s="1"/>
  <c r="MK41" i="3"/>
  <c r="MK38" i="3"/>
  <c r="MK37" i="3"/>
  <c r="MK34" i="3"/>
  <c r="MK50" i="3" s="1"/>
  <c r="MK35" i="3"/>
  <c r="MK32" i="3"/>
  <c r="MK48" i="3" s="1"/>
  <c r="MK31" i="3"/>
  <c r="MK47" i="3" s="1"/>
  <c r="MK29" i="3"/>
  <c r="MK45" i="3" s="1"/>
  <c r="OW41" i="3"/>
  <c r="OW38" i="3"/>
  <c r="OW37" i="3"/>
  <c r="OW53" i="3" s="1"/>
  <c r="OW34" i="3"/>
  <c r="OW35" i="3"/>
  <c r="OW32" i="3"/>
  <c r="OW48" i="3" s="1"/>
  <c r="OW31" i="3"/>
  <c r="OW47" i="3" s="1"/>
  <c r="OW29" i="3"/>
  <c r="OW45" i="3" s="1"/>
  <c r="RI41" i="3"/>
  <c r="RI38" i="3"/>
  <c r="RI37" i="3"/>
  <c r="RI34" i="3"/>
  <c r="RI50" i="3" s="1"/>
  <c r="RI35" i="3"/>
  <c r="RI32" i="3"/>
  <c r="RI48" i="3" s="1"/>
  <c r="RI31" i="3"/>
  <c r="RI47" i="3" s="1"/>
  <c r="RI29" i="3"/>
  <c r="RI45" i="3" s="1"/>
  <c r="TU41" i="3"/>
  <c r="TU57" i="3" s="1"/>
  <c r="TU38" i="3"/>
  <c r="TU54" i="3" s="1"/>
  <c r="TU37" i="3"/>
  <c r="TU53" i="3" s="1"/>
  <c r="TU34" i="3"/>
  <c r="TU50" i="3" s="1"/>
  <c r="TU35" i="3"/>
  <c r="TU32" i="3"/>
  <c r="TU48" i="3" s="1"/>
  <c r="TU31" i="3"/>
  <c r="TU47" i="3" s="1"/>
  <c r="TU29" i="3"/>
  <c r="TU45" i="3" s="1"/>
  <c r="WG41" i="3"/>
  <c r="WG57" i="3" s="1"/>
  <c r="WG38" i="3"/>
  <c r="WG54" i="3" s="1"/>
  <c r="WG37" i="3"/>
  <c r="WG53" i="3" s="1"/>
  <c r="WG34" i="3"/>
  <c r="WG50" i="3" s="1"/>
  <c r="WG35" i="3"/>
  <c r="WG32" i="3"/>
  <c r="WG48" i="3" s="1"/>
  <c r="WG31" i="3"/>
  <c r="WG47" i="3" s="1"/>
  <c r="WG29" i="3"/>
  <c r="WG45" i="3" s="1"/>
  <c r="YS41" i="3"/>
  <c r="YS57" i="3" s="1"/>
  <c r="YS38" i="3"/>
  <c r="YS54" i="3" s="1"/>
  <c r="YS37" i="3"/>
  <c r="YS53" i="3" s="1"/>
  <c r="YS34" i="3"/>
  <c r="YS50" i="3" s="1"/>
  <c r="YS35" i="3"/>
  <c r="YS32" i="3"/>
  <c r="YS48" i="3" s="1"/>
  <c r="YS31" i="3"/>
  <c r="YS47" i="3" s="1"/>
  <c r="YS29" i="3"/>
  <c r="YS45" i="3" s="1"/>
  <c r="ABE41" i="3"/>
  <c r="ABE57" i="3" s="1"/>
  <c r="ABE38" i="3"/>
  <c r="ABE54" i="3" s="1"/>
  <c r="ABE37" i="3"/>
  <c r="ABE53" i="3" s="1"/>
  <c r="ABE35" i="3"/>
  <c r="ABE51" i="3" s="1"/>
  <c r="ABE34" i="3"/>
  <c r="ABE32" i="3"/>
  <c r="ABE48" i="3" s="1"/>
  <c r="ABE31" i="3"/>
  <c r="ABE47" i="3" s="1"/>
  <c r="ABE29" i="3"/>
  <c r="ABE45" i="3" s="1"/>
  <c r="ADQ41" i="3"/>
  <c r="ADQ57" i="3" s="1"/>
  <c r="ADQ38" i="3"/>
  <c r="ADQ54" i="3" s="1"/>
  <c r="ADQ37" i="3"/>
  <c r="ADQ53" i="3" s="1"/>
  <c r="ADQ35" i="3"/>
  <c r="ADQ51" i="3" s="1"/>
  <c r="ADQ34" i="3"/>
  <c r="ADQ32" i="3"/>
  <c r="ADQ48" i="3" s="1"/>
  <c r="ADQ31" i="3"/>
  <c r="ADQ47" i="3" s="1"/>
  <c r="ADQ29" i="3"/>
  <c r="ADQ45" i="3" s="1"/>
  <c r="AGC41" i="3"/>
  <c r="AGC57" i="3" s="1"/>
  <c r="AGC38" i="3"/>
  <c r="AGC54" i="3" s="1"/>
  <c r="AGC37" i="3"/>
  <c r="AGC53" i="3" s="1"/>
  <c r="AGC35" i="3"/>
  <c r="AGC51" i="3" s="1"/>
  <c r="AGC34" i="3"/>
  <c r="AGC32" i="3"/>
  <c r="AGC48" i="3" s="1"/>
  <c r="AGC31" i="3"/>
  <c r="AGC47" i="3" s="1"/>
  <c r="AGC29" i="3"/>
  <c r="AGC45" i="3" s="1"/>
  <c r="AIO41" i="3"/>
  <c r="AIO57" i="3" s="1"/>
  <c r="AIO38" i="3"/>
  <c r="AIO37" i="3"/>
  <c r="AIO53" i="3" s="1"/>
  <c r="AIO35" i="3"/>
  <c r="AIO51" i="3" s="1"/>
  <c r="AIO34" i="3"/>
  <c r="AIO32" i="3"/>
  <c r="AIO48" i="3" s="1"/>
  <c r="AIO31" i="3"/>
  <c r="AIO47" i="3" s="1"/>
  <c r="AIO29" i="3"/>
  <c r="AIO45" i="3" s="1"/>
  <c r="ALA41" i="3"/>
  <c r="ALA57" i="3" s="1"/>
  <c r="ALA38" i="3"/>
  <c r="ALA54" i="3" s="1"/>
  <c r="ALA37" i="3"/>
  <c r="ALA53" i="3" s="1"/>
  <c r="ALA35" i="3"/>
  <c r="ALA51" i="3" s="1"/>
  <c r="ALA34" i="3"/>
  <c r="ALA32" i="3"/>
  <c r="ALA48" i="3" s="1"/>
  <c r="ALA31" i="3"/>
  <c r="ALA47" i="3" s="1"/>
  <c r="ALA29" i="3"/>
  <c r="ALA45" i="3" s="1"/>
  <c r="AKX41" i="3"/>
  <c r="AKX57" i="3" s="1"/>
  <c r="AKX38" i="3"/>
  <c r="AKX37" i="3"/>
  <c r="AKX53" i="3" s="1"/>
  <c r="AKX35" i="3"/>
  <c r="AKX51" i="3" s="1"/>
  <c r="AKX34" i="3"/>
  <c r="AKX32" i="3"/>
  <c r="AKX48" i="3" s="1"/>
  <c r="AKX31" i="3"/>
  <c r="AKX47" i="3" s="1"/>
  <c r="AKX29" i="3"/>
  <c r="AKX45" i="3" s="1"/>
  <c r="AKH41" i="3"/>
  <c r="AKH57" i="3" s="1"/>
  <c r="AKH38" i="3"/>
  <c r="AKH54" i="3" s="1"/>
  <c r="AKH37" i="3"/>
  <c r="AKH53" i="3" s="1"/>
  <c r="AKH35" i="3"/>
  <c r="AKH51" i="3" s="1"/>
  <c r="AKH34" i="3"/>
  <c r="AKH32" i="3"/>
  <c r="AKH48" i="3" s="1"/>
  <c r="AKH31" i="3"/>
  <c r="AKH47" i="3" s="1"/>
  <c r="AKH29" i="3"/>
  <c r="AKH45" i="3" s="1"/>
  <c r="AJR41" i="3"/>
  <c r="AJR57" i="3" s="1"/>
  <c r="AJR38" i="3"/>
  <c r="AJR54" i="3" s="1"/>
  <c r="AJR37" i="3"/>
  <c r="AJR53" i="3" s="1"/>
  <c r="AJR35" i="3"/>
  <c r="AJR51" i="3" s="1"/>
  <c r="AJR34" i="3"/>
  <c r="AJR32" i="3"/>
  <c r="AJR48" i="3" s="1"/>
  <c r="AJR31" i="3"/>
  <c r="AJR47" i="3" s="1"/>
  <c r="AJR29" i="3"/>
  <c r="AJR45" i="3" s="1"/>
  <c r="AJB41" i="3"/>
  <c r="AJB57" i="3" s="1"/>
  <c r="AJB38" i="3"/>
  <c r="AJB37" i="3"/>
  <c r="AJB53" i="3" s="1"/>
  <c r="AJB35" i="3"/>
  <c r="AJB51" i="3" s="1"/>
  <c r="AJB34" i="3"/>
  <c r="AJB32" i="3"/>
  <c r="AJB48" i="3" s="1"/>
  <c r="AJB31" i="3"/>
  <c r="AJB47" i="3" s="1"/>
  <c r="AJB29" i="3"/>
  <c r="AJB45" i="3" s="1"/>
  <c r="AIL41" i="3"/>
  <c r="AIL57" i="3" s="1"/>
  <c r="AIL38" i="3"/>
  <c r="AIL54" i="3" s="1"/>
  <c r="AIL37" i="3"/>
  <c r="AIL53" i="3" s="1"/>
  <c r="AIL35" i="3"/>
  <c r="AIL51" i="3" s="1"/>
  <c r="AIL34" i="3"/>
  <c r="AIL32" i="3"/>
  <c r="AIL48" i="3" s="1"/>
  <c r="AIL31" i="3"/>
  <c r="AIL47" i="3" s="1"/>
  <c r="AIL29" i="3"/>
  <c r="AIL45" i="3" s="1"/>
  <c r="AHV41" i="3"/>
  <c r="AHV57" i="3" s="1"/>
  <c r="AHV38" i="3"/>
  <c r="AHV37" i="3"/>
  <c r="AHV53" i="3" s="1"/>
  <c r="AHV35" i="3"/>
  <c r="AHV51" i="3" s="1"/>
  <c r="AHV34" i="3"/>
  <c r="AHV32" i="3"/>
  <c r="AHV48" i="3" s="1"/>
  <c r="AHV31" i="3"/>
  <c r="AHV47" i="3" s="1"/>
  <c r="AHV29" i="3"/>
  <c r="AHV45" i="3" s="1"/>
  <c r="AHF41" i="3"/>
  <c r="AHF57" i="3" s="1"/>
  <c r="AHF38" i="3"/>
  <c r="AHF37" i="3"/>
  <c r="AHF53" i="3" s="1"/>
  <c r="AHF35" i="3"/>
  <c r="AHF51" i="3" s="1"/>
  <c r="AHF34" i="3"/>
  <c r="AHF32" i="3"/>
  <c r="AHF48" i="3" s="1"/>
  <c r="AHF31" i="3"/>
  <c r="AHF47" i="3" s="1"/>
  <c r="AHF29" i="3"/>
  <c r="AHF45" i="3" s="1"/>
  <c r="AGP41" i="3"/>
  <c r="AGP57" i="3" s="1"/>
  <c r="AGP38" i="3"/>
  <c r="AGP37" i="3"/>
  <c r="AGP53" i="3" s="1"/>
  <c r="AGP35" i="3"/>
  <c r="AGP51" i="3" s="1"/>
  <c r="AGP34" i="3"/>
  <c r="AGP32" i="3"/>
  <c r="AGP48" i="3" s="1"/>
  <c r="AGP31" i="3"/>
  <c r="AGP47" i="3" s="1"/>
  <c r="AGP29" i="3"/>
  <c r="AGP45" i="3" s="1"/>
  <c r="AFZ41" i="3"/>
  <c r="AFZ57" i="3" s="1"/>
  <c r="AFZ38" i="3"/>
  <c r="AFZ37" i="3"/>
  <c r="AFZ53" i="3" s="1"/>
  <c r="AFZ35" i="3"/>
  <c r="AFZ51" i="3" s="1"/>
  <c r="AFZ34" i="3"/>
  <c r="AFZ50" i="3" s="1"/>
  <c r="AFZ32" i="3"/>
  <c r="AFZ48" i="3" s="1"/>
  <c r="AFZ31" i="3"/>
  <c r="AFZ47" i="3" s="1"/>
  <c r="AFZ29" i="3"/>
  <c r="AFZ45" i="3" s="1"/>
  <c r="AFJ41" i="3"/>
  <c r="AFJ57" i="3" s="1"/>
  <c r="AFJ38" i="3"/>
  <c r="AFJ37" i="3"/>
  <c r="AFJ53" i="3" s="1"/>
  <c r="AFJ35" i="3"/>
  <c r="AFJ51" i="3" s="1"/>
  <c r="AFJ34" i="3"/>
  <c r="AFJ32" i="3"/>
  <c r="AFJ48" i="3" s="1"/>
  <c r="AFJ31" i="3"/>
  <c r="AFJ47" i="3" s="1"/>
  <c r="AFJ29" i="3"/>
  <c r="AFJ45" i="3" s="1"/>
  <c r="AET41" i="3"/>
  <c r="AET57" i="3" s="1"/>
  <c r="AET38" i="3"/>
  <c r="AET54" i="3" s="1"/>
  <c r="AET37" i="3"/>
  <c r="AET53" i="3" s="1"/>
  <c r="AET35" i="3"/>
  <c r="AET51" i="3" s="1"/>
  <c r="AET34" i="3"/>
  <c r="AET32" i="3"/>
  <c r="AET48" i="3" s="1"/>
  <c r="AET31" i="3"/>
  <c r="AET47" i="3" s="1"/>
  <c r="AET29" i="3"/>
  <c r="AET45" i="3" s="1"/>
  <c r="AED41" i="3"/>
  <c r="AED57" i="3" s="1"/>
  <c r="AED38" i="3"/>
  <c r="AED54" i="3" s="1"/>
  <c r="AED37" i="3"/>
  <c r="AED53" i="3" s="1"/>
  <c r="AED35" i="3"/>
  <c r="AED51" i="3" s="1"/>
  <c r="AED34" i="3"/>
  <c r="AED32" i="3"/>
  <c r="AED48" i="3" s="1"/>
  <c r="AED31" i="3"/>
  <c r="AED47" i="3" s="1"/>
  <c r="AED29" i="3"/>
  <c r="AED45" i="3" s="1"/>
  <c r="ADN41" i="3"/>
  <c r="ADN57" i="3" s="1"/>
  <c r="ADN38" i="3"/>
  <c r="ADN54" i="3" s="1"/>
  <c r="ADN37" i="3"/>
  <c r="ADN53" i="3" s="1"/>
  <c r="ADN35" i="3"/>
  <c r="ADN51" i="3" s="1"/>
  <c r="ADN34" i="3"/>
  <c r="ADN32" i="3"/>
  <c r="ADN48" i="3" s="1"/>
  <c r="ADN31" i="3"/>
  <c r="ADN47" i="3" s="1"/>
  <c r="ADN29" i="3"/>
  <c r="ADN45" i="3" s="1"/>
  <c r="ACX41" i="3"/>
  <c r="ACX57" i="3" s="1"/>
  <c r="ACX38" i="3"/>
  <c r="ACX54" i="3" s="1"/>
  <c r="ACX37" i="3"/>
  <c r="ACX53" i="3" s="1"/>
  <c r="ACX35" i="3"/>
  <c r="ACX51" i="3" s="1"/>
  <c r="ACX34" i="3"/>
  <c r="ACX32" i="3"/>
  <c r="ACX48" i="3" s="1"/>
  <c r="ACX31" i="3"/>
  <c r="ACX47" i="3" s="1"/>
  <c r="ACX29" i="3"/>
  <c r="ACX45" i="3" s="1"/>
  <c r="ACH41" i="3"/>
  <c r="ACH57" i="3" s="1"/>
  <c r="ACH38" i="3"/>
  <c r="ACH54" i="3" s="1"/>
  <c r="ACH37" i="3"/>
  <c r="ACH53" i="3" s="1"/>
  <c r="ACH35" i="3"/>
  <c r="ACH51" i="3" s="1"/>
  <c r="ACH34" i="3"/>
  <c r="ACH50" i="3" s="1"/>
  <c r="ACH32" i="3"/>
  <c r="ACH48" i="3" s="1"/>
  <c r="ACH31" i="3"/>
  <c r="ACH47" i="3" s="1"/>
  <c r="ACH29" i="3"/>
  <c r="ACH45" i="3" s="1"/>
  <c r="ABR41" i="3"/>
  <c r="ABR57" i="3" s="1"/>
  <c r="ABR38" i="3"/>
  <c r="ABR37" i="3"/>
  <c r="ABR53" i="3" s="1"/>
  <c r="ABR35" i="3"/>
  <c r="ABR51" i="3" s="1"/>
  <c r="ABR34" i="3"/>
  <c r="ABR32" i="3"/>
  <c r="ABR48" i="3" s="1"/>
  <c r="ABR31" i="3"/>
  <c r="ABR47" i="3" s="1"/>
  <c r="ABR29" i="3"/>
  <c r="ABR45" i="3" s="1"/>
  <c r="ABB41" i="3"/>
  <c r="ABB57" i="3" s="1"/>
  <c r="ABB38" i="3"/>
  <c r="ABB37" i="3"/>
  <c r="ABB53" i="3" s="1"/>
  <c r="ABB35" i="3"/>
  <c r="ABB51" i="3" s="1"/>
  <c r="ABB34" i="3"/>
  <c r="ABB50" i="3" s="1"/>
  <c r="ABB32" i="3"/>
  <c r="ABB48" i="3" s="1"/>
  <c r="ABB31" i="3"/>
  <c r="ABB47" i="3" s="1"/>
  <c r="ABB29" i="3"/>
  <c r="ABB45" i="3" s="1"/>
  <c r="AAL41" i="3"/>
  <c r="AAL57" i="3" s="1"/>
  <c r="AAL38" i="3"/>
  <c r="AAL37" i="3"/>
  <c r="AAL53" i="3" s="1"/>
  <c r="AAL35" i="3"/>
  <c r="AAL51" i="3" s="1"/>
  <c r="AAL34" i="3"/>
  <c r="AAL32" i="3"/>
  <c r="AAL48" i="3" s="1"/>
  <c r="AAL31" i="3"/>
  <c r="AAL47" i="3" s="1"/>
  <c r="AAL29" i="3"/>
  <c r="AAL45" i="3" s="1"/>
  <c r="ZV41" i="3"/>
  <c r="ZV57" i="3" s="1"/>
  <c r="ZV38" i="3"/>
  <c r="ZV54" i="3" s="1"/>
  <c r="ZV37" i="3"/>
  <c r="ZV53" i="3" s="1"/>
  <c r="ZV35" i="3"/>
  <c r="ZV51" i="3" s="1"/>
  <c r="ZV34" i="3"/>
  <c r="ZV32" i="3"/>
  <c r="ZV48" i="3" s="1"/>
  <c r="ZV31" i="3"/>
  <c r="ZV47" i="3" s="1"/>
  <c r="ZV29" i="3"/>
  <c r="ZV45" i="3" s="1"/>
  <c r="ZF41" i="3"/>
  <c r="ZF57" i="3" s="1"/>
  <c r="ZF38" i="3"/>
  <c r="ZF54" i="3" s="1"/>
  <c r="ZF37" i="3"/>
  <c r="ZF53" i="3" s="1"/>
  <c r="ZF35" i="3"/>
  <c r="ZF51" i="3" s="1"/>
  <c r="ZF34" i="3"/>
  <c r="ZF50" i="3" s="1"/>
  <c r="ZF32" i="3"/>
  <c r="ZF48" i="3" s="1"/>
  <c r="ZF31" i="3"/>
  <c r="ZF47" i="3" s="1"/>
  <c r="ZF29" i="3"/>
  <c r="ZF45" i="3" s="1"/>
  <c r="YP41" i="3"/>
  <c r="YP57" i="3" s="1"/>
  <c r="YP38" i="3"/>
  <c r="YP54" i="3" s="1"/>
  <c r="YP37" i="3"/>
  <c r="YP53" i="3" s="1"/>
  <c r="YP35" i="3"/>
  <c r="YP51" i="3" s="1"/>
  <c r="YP34" i="3"/>
  <c r="YP32" i="3"/>
  <c r="YP48" i="3" s="1"/>
  <c r="YP31" i="3"/>
  <c r="YP47" i="3" s="1"/>
  <c r="YP29" i="3"/>
  <c r="YP45" i="3" s="1"/>
  <c r="XZ41" i="3"/>
  <c r="XZ57" i="3" s="1"/>
  <c r="XZ38" i="3"/>
  <c r="XZ54" i="3" s="1"/>
  <c r="XZ37" i="3"/>
  <c r="XZ53" i="3" s="1"/>
  <c r="XZ35" i="3"/>
  <c r="XZ51" i="3" s="1"/>
  <c r="XZ34" i="3"/>
  <c r="XZ32" i="3"/>
  <c r="XZ48" i="3" s="1"/>
  <c r="XZ31" i="3"/>
  <c r="XZ47" i="3" s="1"/>
  <c r="XZ29" i="3"/>
  <c r="XZ45" i="3" s="1"/>
  <c r="XJ41" i="3"/>
  <c r="XJ57" i="3" s="1"/>
  <c r="XJ38" i="3"/>
  <c r="XJ54" i="3" s="1"/>
  <c r="XJ37" i="3"/>
  <c r="XJ53" i="3" s="1"/>
  <c r="XJ35" i="3"/>
  <c r="XJ51" i="3" s="1"/>
  <c r="XJ34" i="3"/>
  <c r="XJ50" i="3" s="1"/>
  <c r="XJ32" i="3"/>
  <c r="XJ48" i="3" s="1"/>
  <c r="XJ31" i="3"/>
  <c r="XJ47" i="3" s="1"/>
  <c r="XJ29" i="3"/>
  <c r="XJ45" i="3" s="1"/>
  <c r="WT41" i="3"/>
  <c r="WT57" i="3" s="1"/>
  <c r="WT38" i="3"/>
  <c r="WT54" i="3" s="1"/>
  <c r="WT37" i="3"/>
  <c r="WT53" i="3" s="1"/>
  <c r="WT35" i="3"/>
  <c r="WT51" i="3" s="1"/>
  <c r="WT34" i="3"/>
  <c r="WT32" i="3"/>
  <c r="WT48" i="3" s="1"/>
  <c r="WT31" i="3"/>
  <c r="WT47" i="3" s="1"/>
  <c r="WT29" i="3"/>
  <c r="WT45" i="3" s="1"/>
  <c r="WD41" i="3"/>
  <c r="WD57" i="3" s="1"/>
  <c r="WD38" i="3"/>
  <c r="WD54" i="3" s="1"/>
  <c r="WD37" i="3"/>
  <c r="WD53" i="3" s="1"/>
  <c r="WD35" i="3"/>
  <c r="WD51" i="3" s="1"/>
  <c r="WD34" i="3"/>
  <c r="WD32" i="3"/>
  <c r="WD48" i="3" s="1"/>
  <c r="WD31" i="3"/>
  <c r="WD47" i="3" s="1"/>
  <c r="WD29" i="3"/>
  <c r="WD45" i="3" s="1"/>
  <c r="VN41" i="3"/>
  <c r="VN57" i="3" s="1"/>
  <c r="VN38" i="3"/>
  <c r="VN54" i="3" s="1"/>
  <c r="VN37" i="3"/>
  <c r="VN53" i="3" s="1"/>
  <c r="VN35" i="3"/>
  <c r="VN51" i="3" s="1"/>
  <c r="VN34" i="3"/>
  <c r="VN32" i="3"/>
  <c r="VN48" i="3" s="1"/>
  <c r="VN31" i="3"/>
  <c r="VN47" i="3" s="1"/>
  <c r="VN29" i="3"/>
  <c r="VN45" i="3" s="1"/>
  <c r="UX41" i="3"/>
  <c r="UX57" i="3" s="1"/>
  <c r="UX38" i="3"/>
  <c r="UX54" i="3" s="1"/>
  <c r="UX37" i="3"/>
  <c r="UX53" i="3" s="1"/>
  <c r="UX35" i="3"/>
  <c r="UX51" i="3" s="1"/>
  <c r="UX34" i="3"/>
  <c r="UX32" i="3"/>
  <c r="UX48" i="3" s="1"/>
  <c r="UX31" i="3"/>
  <c r="UX47" i="3" s="1"/>
  <c r="UX29" i="3"/>
  <c r="UX45" i="3" s="1"/>
  <c r="UH41" i="3"/>
  <c r="UH57" i="3" s="1"/>
  <c r="UH38" i="3"/>
  <c r="UH54" i="3" s="1"/>
  <c r="UH37" i="3"/>
  <c r="UH53" i="3" s="1"/>
  <c r="UH35" i="3"/>
  <c r="UH51" i="3" s="1"/>
  <c r="UH34" i="3"/>
  <c r="UH50" i="3" s="1"/>
  <c r="UH32" i="3"/>
  <c r="UH48" i="3" s="1"/>
  <c r="UH31" i="3"/>
  <c r="UH47" i="3" s="1"/>
  <c r="UH29" i="3"/>
  <c r="UH45" i="3" s="1"/>
  <c r="TR41" i="3"/>
  <c r="TR57" i="3" s="1"/>
  <c r="TR38" i="3"/>
  <c r="TR54" i="3" s="1"/>
  <c r="TR37" i="3"/>
  <c r="TR53" i="3" s="1"/>
  <c r="TR35" i="3"/>
  <c r="TR51" i="3" s="1"/>
  <c r="TR34" i="3"/>
  <c r="TR32" i="3"/>
  <c r="TR48" i="3" s="1"/>
  <c r="TR31" i="3"/>
  <c r="TR47" i="3" s="1"/>
  <c r="TR29" i="3"/>
  <c r="TR45" i="3" s="1"/>
  <c r="TB41" i="3"/>
  <c r="TB57" i="3" s="1"/>
  <c r="TB38" i="3"/>
  <c r="TB54" i="3" s="1"/>
  <c r="TB37" i="3"/>
  <c r="TB53" i="3" s="1"/>
  <c r="TB35" i="3"/>
  <c r="TB51" i="3" s="1"/>
  <c r="TB34" i="3"/>
  <c r="TB32" i="3"/>
  <c r="TB48" i="3" s="1"/>
  <c r="TB31" i="3"/>
  <c r="TB47" i="3" s="1"/>
  <c r="TB29" i="3"/>
  <c r="TB45" i="3" s="1"/>
  <c r="SL41" i="3"/>
  <c r="SL57" i="3" s="1"/>
  <c r="SL38" i="3"/>
  <c r="SL54" i="3" s="1"/>
  <c r="SL37" i="3"/>
  <c r="SL53" i="3" s="1"/>
  <c r="SL35" i="3"/>
  <c r="SL51" i="3" s="1"/>
  <c r="SL34" i="3"/>
  <c r="SL50" i="3" s="1"/>
  <c r="SL32" i="3"/>
  <c r="SL48" i="3" s="1"/>
  <c r="SL31" i="3"/>
  <c r="SL47" i="3" s="1"/>
  <c r="SL29" i="3"/>
  <c r="SL45" i="3" s="1"/>
  <c r="RV41" i="3"/>
  <c r="RV38" i="3"/>
  <c r="RV37" i="3"/>
  <c r="RV53" i="3" s="1"/>
  <c r="RV35" i="3"/>
  <c r="RV34" i="3"/>
  <c r="RV32" i="3"/>
  <c r="RV48" i="3" s="1"/>
  <c r="RV31" i="3"/>
  <c r="RV47" i="3" s="1"/>
  <c r="RV29" i="3"/>
  <c r="RV45" i="3" s="1"/>
  <c r="RF41" i="3"/>
  <c r="RF38" i="3"/>
  <c r="RF37" i="3"/>
  <c r="RF35" i="3"/>
  <c r="RF34" i="3"/>
  <c r="RF32" i="3"/>
  <c r="RF48" i="3" s="1"/>
  <c r="RF31" i="3"/>
  <c r="RF47" i="3" s="1"/>
  <c r="RF29" i="3"/>
  <c r="RF45" i="3" s="1"/>
  <c r="QP41" i="3"/>
  <c r="QP57" i="3" s="1"/>
  <c r="QP38" i="3"/>
  <c r="QP54" i="3" s="1"/>
  <c r="QP37" i="3"/>
  <c r="QP53" i="3" s="1"/>
  <c r="QP35" i="3"/>
  <c r="QP51" i="3" s="1"/>
  <c r="QP34" i="3"/>
  <c r="QP32" i="3"/>
  <c r="QP48" i="3" s="1"/>
  <c r="QP31" i="3"/>
  <c r="QP47" i="3" s="1"/>
  <c r="QP29" i="3"/>
  <c r="QP45" i="3" s="1"/>
  <c r="PZ41" i="3"/>
  <c r="PZ57" i="3" s="1"/>
  <c r="PZ38" i="3"/>
  <c r="PZ54" i="3" s="1"/>
  <c r="PZ37" i="3"/>
  <c r="PZ53" i="3" s="1"/>
  <c r="PZ35" i="3"/>
  <c r="PZ51" i="3" s="1"/>
  <c r="PZ34" i="3"/>
  <c r="PZ32" i="3"/>
  <c r="PZ48" i="3" s="1"/>
  <c r="PZ31" i="3"/>
  <c r="PZ47" i="3" s="1"/>
  <c r="PZ29" i="3"/>
  <c r="PZ45" i="3" s="1"/>
  <c r="PJ41" i="3"/>
  <c r="PJ38" i="3"/>
  <c r="PJ37" i="3"/>
  <c r="PJ35" i="3"/>
  <c r="PJ34" i="3"/>
  <c r="PJ32" i="3"/>
  <c r="PJ48" i="3" s="1"/>
  <c r="PJ31" i="3"/>
  <c r="PJ47" i="3" s="1"/>
  <c r="PJ29" i="3"/>
  <c r="PJ45" i="3" s="1"/>
  <c r="OT41" i="3"/>
  <c r="OT38" i="3"/>
  <c r="OT37" i="3"/>
  <c r="OT35" i="3"/>
  <c r="OT34" i="3"/>
  <c r="OT32" i="3"/>
  <c r="OT48" i="3" s="1"/>
  <c r="OT31" i="3"/>
  <c r="OT47" i="3" s="1"/>
  <c r="OT29" i="3"/>
  <c r="OT45" i="3" s="1"/>
  <c r="OD41" i="3"/>
  <c r="OD38" i="3"/>
  <c r="OD37" i="3"/>
  <c r="OD35" i="3"/>
  <c r="OD34" i="3"/>
  <c r="OD32" i="3"/>
  <c r="OD48" i="3" s="1"/>
  <c r="OD31" i="3"/>
  <c r="OD47" i="3" s="1"/>
  <c r="OD29" i="3"/>
  <c r="OD45" i="3" s="1"/>
  <c r="NN41" i="3"/>
  <c r="NN38" i="3"/>
  <c r="NN37" i="3"/>
  <c r="NN35" i="3"/>
  <c r="NN34" i="3"/>
  <c r="NN32" i="3"/>
  <c r="NN48" i="3" s="1"/>
  <c r="NN31" i="3"/>
  <c r="NN47" i="3" s="1"/>
  <c r="NN29" i="3"/>
  <c r="NN45" i="3" s="1"/>
  <c r="MX41" i="3"/>
  <c r="MX57" i="3" s="1"/>
  <c r="MX38" i="3"/>
  <c r="MX37" i="3"/>
  <c r="MX53" i="3" s="1"/>
  <c r="MX35" i="3"/>
  <c r="MX34" i="3"/>
  <c r="MX32" i="3"/>
  <c r="MX48" i="3" s="1"/>
  <c r="MX31" i="3"/>
  <c r="MX47" i="3" s="1"/>
  <c r="MX29" i="3"/>
  <c r="MX45" i="3" s="1"/>
  <c r="MH41" i="3"/>
  <c r="MH38" i="3"/>
  <c r="MH35" i="3"/>
  <c r="MH37" i="3"/>
  <c r="MH34" i="3"/>
  <c r="MH32" i="3"/>
  <c r="MH48" i="3" s="1"/>
  <c r="MH31" i="3"/>
  <c r="MH47" i="3" s="1"/>
  <c r="MH29" i="3"/>
  <c r="MH45" i="3" s="1"/>
  <c r="LH41" i="3"/>
  <c r="LH57" i="3" s="1"/>
  <c r="LH38" i="3"/>
  <c r="LH35" i="3"/>
  <c r="LH51" i="3" s="1"/>
  <c r="LH37" i="3"/>
  <c r="LH34" i="3"/>
  <c r="LH32" i="3"/>
  <c r="LH48" i="3" s="1"/>
  <c r="LH31" i="3"/>
  <c r="LH47" i="3" s="1"/>
  <c r="LH29" i="3"/>
  <c r="LH45" i="3" s="1"/>
  <c r="KB41" i="3"/>
  <c r="KB57" i="3" s="1"/>
  <c r="KB38" i="3"/>
  <c r="KB54" i="3" s="1"/>
  <c r="KB35" i="3"/>
  <c r="KB51" i="3" s="1"/>
  <c r="KB37" i="3"/>
  <c r="KB53" i="3" s="1"/>
  <c r="KB34" i="3"/>
  <c r="KB32" i="3"/>
  <c r="KB48" i="3" s="1"/>
  <c r="KB31" i="3"/>
  <c r="KB47" i="3" s="1"/>
  <c r="KB29" i="3"/>
  <c r="KB45" i="3" s="1"/>
  <c r="IV41" i="3"/>
  <c r="IV38" i="3"/>
  <c r="IV35" i="3"/>
  <c r="IV37" i="3"/>
  <c r="IV53" i="3" s="1"/>
  <c r="IV34" i="3"/>
  <c r="IV32" i="3"/>
  <c r="IV48" i="3" s="1"/>
  <c r="IV31" i="3"/>
  <c r="IV47" i="3" s="1"/>
  <c r="IV29" i="3"/>
  <c r="IV45" i="3" s="1"/>
  <c r="HP41" i="3"/>
  <c r="HP57" i="3" s="1"/>
  <c r="HP38" i="3"/>
  <c r="HP54" i="3" s="1"/>
  <c r="HP35" i="3"/>
  <c r="HP51" i="3" s="1"/>
  <c r="HP37" i="3"/>
  <c r="HP53" i="3" s="1"/>
  <c r="HP34" i="3"/>
  <c r="HP32" i="3"/>
  <c r="HP48" i="3" s="1"/>
  <c r="HP31" i="3"/>
  <c r="HP47" i="3" s="1"/>
  <c r="HP29" i="3"/>
  <c r="HP45" i="3" s="1"/>
  <c r="FY41" i="3"/>
  <c r="FY38" i="3"/>
  <c r="FY37" i="3"/>
  <c r="FY35" i="3"/>
  <c r="FY34" i="3"/>
  <c r="FY32" i="3"/>
  <c r="FY48" i="3" s="1"/>
  <c r="FY31" i="3"/>
  <c r="FY47" i="3" s="1"/>
  <c r="FY29" i="3"/>
  <c r="FY45" i="3" s="1"/>
  <c r="DM41" i="3"/>
  <c r="DM38" i="3"/>
  <c r="DM37" i="3"/>
  <c r="DM35" i="3"/>
  <c r="DM34" i="3"/>
  <c r="DM32" i="3"/>
  <c r="DM48" i="3" s="1"/>
  <c r="DM31" i="3"/>
  <c r="DM47" i="3" s="1"/>
  <c r="DM29" i="3"/>
  <c r="DM45" i="3" s="1"/>
  <c r="BA41" i="3"/>
  <c r="BA38" i="3"/>
  <c r="BA37" i="3"/>
  <c r="BA35" i="3"/>
  <c r="BA34" i="3"/>
  <c r="BA32" i="3"/>
  <c r="BA48" i="3" s="1"/>
  <c r="BA31" i="3"/>
  <c r="BA47" i="3" s="1"/>
  <c r="BA29" i="3"/>
  <c r="BA45" i="3" s="1"/>
  <c r="ALD41" i="3"/>
  <c r="ALD57" i="3" s="1"/>
  <c r="ALD38" i="3"/>
  <c r="ALD54" i="3" s="1"/>
  <c r="ALD37" i="3"/>
  <c r="ALD53" i="3" s="1"/>
  <c r="ALD35" i="3"/>
  <c r="ALD51" i="3" s="1"/>
  <c r="ALD34" i="3"/>
  <c r="ALD32" i="3"/>
  <c r="ALD48" i="3" s="1"/>
  <c r="ALD31" i="3"/>
  <c r="ALD47" i="3" s="1"/>
  <c r="ALD29" i="3"/>
  <c r="ALD45" i="3" s="1"/>
  <c r="AKN41" i="3"/>
  <c r="AKN57" i="3" s="1"/>
  <c r="AKN38" i="3"/>
  <c r="AKN54" i="3" s="1"/>
  <c r="AKN37" i="3"/>
  <c r="AKN53" i="3" s="1"/>
  <c r="AKN35" i="3"/>
  <c r="AKN51" i="3" s="1"/>
  <c r="AKN34" i="3"/>
  <c r="AKN32" i="3"/>
  <c r="AKN48" i="3" s="1"/>
  <c r="AKN31" i="3"/>
  <c r="AKN47" i="3" s="1"/>
  <c r="AKN29" i="3"/>
  <c r="AKN45" i="3" s="1"/>
  <c r="AJX41" i="3"/>
  <c r="AJX57" i="3" s="1"/>
  <c r="AJX38" i="3"/>
  <c r="AJX54" i="3" s="1"/>
  <c r="AJX37" i="3"/>
  <c r="AJX53" i="3" s="1"/>
  <c r="AJX35" i="3"/>
  <c r="AJX51" i="3" s="1"/>
  <c r="AJX34" i="3"/>
  <c r="AJX32" i="3"/>
  <c r="AJX48" i="3" s="1"/>
  <c r="AJX31" i="3"/>
  <c r="AJX47" i="3" s="1"/>
  <c r="AJX29" i="3"/>
  <c r="AJX45" i="3" s="1"/>
  <c r="AJH41" i="3"/>
  <c r="AJH57" i="3" s="1"/>
  <c r="AJH38" i="3"/>
  <c r="AJH54" i="3" s="1"/>
  <c r="AJH37" i="3"/>
  <c r="AJH53" i="3" s="1"/>
  <c r="AJH35" i="3"/>
  <c r="AJH51" i="3" s="1"/>
  <c r="AJH34" i="3"/>
  <c r="AJH32" i="3"/>
  <c r="AJH48" i="3" s="1"/>
  <c r="AJH31" i="3"/>
  <c r="AJH47" i="3" s="1"/>
  <c r="AJH29" i="3"/>
  <c r="AJH45" i="3" s="1"/>
  <c r="AIR41" i="3"/>
  <c r="AIR57" i="3" s="1"/>
  <c r="AIR38" i="3"/>
  <c r="AIR54" i="3" s="1"/>
  <c r="AIR37" i="3"/>
  <c r="AIR53" i="3" s="1"/>
  <c r="AIR35" i="3"/>
  <c r="AIR51" i="3" s="1"/>
  <c r="AIR34" i="3"/>
  <c r="AIR50" i="3" s="1"/>
  <c r="AIR32" i="3"/>
  <c r="AIR48" i="3" s="1"/>
  <c r="AIR31" i="3"/>
  <c r="AIR47" i="3" s="1"/>
  <c r="AIR29" i="3"/>
  <c r="AIR45" i="3" s="1"/>
  <c r="AIB41" i="3"/>
  <c r="AIB57" i="3" s="1"/>
  <c r="AIB38" i="3"/>
  <c r="AIB54" i="3" s="1"/>
  <c r="AIB37" i="3"/>
  <c r="AIB53" i="3" s="1"/>
  <c r="AIB35" i="3"/>
  <c r="AIB51" i="3" s="1"/>
  <c r="AIB34" i="3"/>
  <c r="AIB32" i="3"/>
  <c r="AIB48" i="3" s="1"/>
  <c r="AIB31" i="3"/>
  <c r="AIB47" i="3" s="1"/>
  <c r="AIB29" i="3"/>
  <c r="AIB45" i="3" s="1"/>
  <c r="AHL41" i="3"/>
  <c r="AHL57" i="3" s="1"/>
  <c r="AHL38" i="3"/>
  <c r="AHL54" i="3" s="1"/>
  <c r="AHL37" i="3"/>
  <c r="AHL53" i="3" s="1"/>
  <c r="AHL35" i="3"/>
  <c r="AHL51" i="3" s="1"/>
  <c r="AHL34" i="3"/>
  <c r="AHL32" i="3"/>
  <c r="AHL48" i="3" s="1"/>
  <c r="AHL31" i="3"/>
  <c r="AHL47" i="3" s="1"/>
  <c r="AHL29" i="3"/>
  <c r="AHL45" i="3" s="1"/>
  <c r="AGV41" i="3"/>
  <c r="AGV57" i="3" s="1"/>
  <c r="AGV38" i="3"/>
  <c r="AGV54" i="3" s="1"/>
  <c r="AGV37" i="3"/>
  <c r="AGV53" i="3" s="1"/>
  <c r="AGV35" i="3"/>
  <c r="AGV51" i="3" s="1"/>
  <c r="AGV34" i="3"/>
  <c r="AGV50" i="3" s="1"/>
  <c r="AGV32" i="3"/>
  <c r="AGV48" i="3" s="1"/>
  <c r="AGV31" i="3"/>
  <c r="AGV47" i="3" s="1"/>
  <c r="AGV29" i="3"/>
  <c r="AGV45" i="3" s="1"/>
  <c r="AGF41" i="3"/>
  <c r="AGF57" i="3" s="1"/>
  <c r="AGF38" i="3"/>
  <c r="AGF54" i="3" s="1"/>
  <c r="AGF37" i="3"/>
  <c r="AGF53" i="3" s="1"/>
  <c r="AGF35" i="3"/>
  <c r="AGF51" i="3" s="1"/>
  <c r="AGF34" i="3"/>
  <c r="AGF32" i="3"/>
  <c r="AGF48" i="3" s="1"/>
  <c r="AGF31" i="3"/>
  <c r="AGF47" i="3" s="1"/>
  <c r="AGF29" i="3"/>
  <c r="AGF45" i="3" s="1"/>
  <c r="AFP41" i="3"/>
  <c r="AFP57" i="3" s="1"/>
  <c r="AFP38" i="3"/>
  <c r="AFP54" i="3" s="1"/>
  <c r="AFP37" i="3"/>
  <c r="AFP53" i="3" s="1"/>
  <c r="AFP35" i="3"/>
  <c r="AFP51" i="3" s="1"/>
  <c r="AFP34" i="3"/>
  <c r="AFP32" i="3"/>
  <c r="AFP48" i="3" s="1"/>
  <c r="AFP31" i="3"/>
  <c r="AFP47" i="3" s="1"/>
  <c r="AFP29" i="3"/>
  <c r="AFP45" i="3" s="1"/>
  <c r="AEZ41" i="3"/>
  <c r="AEZ57" i="3" s="1"/>
  <c r="AEZ38" i="3"/>
  <c r="AEZ54" i="3" s="1"/>
  <c r="AEZ37" i="3"/>
  <c r="AEZ53" i="3" s="1"/>
  <c r="AEZ35" i="3"/>
  <c r="AEZ51" i="3" s="1"/>
  <c r="AEZ34" i="3"/>
  <c r="AEZ32" i="3"/>
  <c r="AEZ48" i="3" s="1"/>
  <c r="AEZ31" i="3"/>
  <c r="AEZ47" i="3" s="1"/>
  <c r="AEZ29" i="3"/>
  <c r="AEZ45" i="3" s="1"/>
  <c r="AEJ41" i="3"/>
  <c r="AEJ57" i="3" s="1"/>
  <c r="AEJ38" i="3"/>
  <c r="AEJ54" i="3" s="1"/>
  <c r="AEJ37" i="3"/>
  <c r="AEJ53" i="3" s="1"/>
  <c r="AEJ35" i="3"/>
  <c r="AEJ51" i="3" s="1"/>
  <c r="AEJ34" i="3"/>
  <c r="AEJ32" i="3"/>
  <c r="AEJ48" i="3" s="1"/>
  <c r="AEJ31" i="3"/>
  <c r="AEJ47" i="3" s="1"/>
  <c r="AEJ29" i="3"/>
  <c r="AEJ45" i="3" s="1"/>
  <c r="ADT41" i="3"/>
  <c r="ADT57" i="3" s="1"/>
  <c r="ADT38" i="3"/>
  <c r="ADT54" i="3" s="1"/>
  <c r="ADT37" i="3"/>
  <c r="ADT53" i="3" s="1"/>
  <c r="ADT35" i="3"/>
  <c r="ADT51" i="3" s="1"/>
  <c r="ADT34" i="3"/>
  <c r="ADT50" i="3" s="1"/>
  <c r="ADT32" i="3"/>
  <c r="ADT48" i="3" s="1"/>
  <c r="ADT31" i="3"/>
  <c r="ADT47" i="3" s="1"/>
  <c r="ADT29" i="3"/>
  <c r="ADT45" i="3" s="1"/>
  <c r="ADD41" i="3"/>
  <c r="ADD57" i="3" s="1"/>
  <c r="ADD38" i="3"/>
  <c r="ADD54" i="3" s="1"/>
  <c r="ADD37" i="3"/>
  <c r="ADD53" i="3" s="1"/>
  <c r="ADD35" i="3"/>
  <c r="ADD51" i="3" s="1"/>
  <c r="ADD34" i="3"/>
  <c r="ADD32" i="3"/>
  <c r="ADD48" i="3" s="1"/>
  <c r="ADD31" i="3"/>
  <c r="ADD47" i="3" s="1"/>
  <c r="ADD29" i="3"/>
  <c r="ADD45" i="3" s="1"/>
  <c r="ACN41" i="3"/>
  <c r="ACN57" i="3" s="1"/>
  <c r="ACN38" i="3"/>
  <c r="ACN37" i="3"/>
  <c r="ACN53" i="3" s="1"/>
  <c r="ACN35" i="3"/>
  <c r="ACN51" i="3" s="1"/>
  <c r="ACN34" i="3"/>
  <c r="ACN32" i="3"/>
  <c r="ACN48" i="3" s="1"/>
  <c r="ACN31" i="3"/>
  <c r="ACN47" i="3" s="1"/>
  <c r="ACN29" i="3"/>
  <c r="ACN45" i="3" s="1"/>
  <c r="ABX41" i="3"/>
  <c r="ABX57" i="3" s="1"/>
  <c r="ABX38" i="3"/>
  <c r="ABX54" i="3" s="1"/>
  <c r="ABX37" i="3"/>
  <c r="ABX53" i="3" s="1"/>
  <c r="ABX35" i="3"/>
  <c r="ABX51" i="3" s="1"/>
  <c r="ABX34" i="3"/>
  <c r="ABX32" i="3"/>
  <c r="ABX48" i="3" s="1"/>
  <c r="ABX31" i="3"/>
  <c r="ABX47" i="3" s="1"/>
  <c r="ABX29" i="3"/>
  <c r="ABX45" i="3" s="1"/>
  <c r="ABH41" i="3"/>
  <c r="ABH57" i="3" s="1"/>
  <c r="ABH38" i="3"/>
  <c r="ABH54" i="3" s="1"/>
  <c r="ABH37" i="3"/>
  <c r="ABH53" i="3" s="1"/>
  <c r="ABH35" i="3"/>
  <c r="ABH51" i="3" s="1"/>
  <c r="ABH34" i="3"/>
  <c r="ABH32" i="3"/>
  <c r="ABH48" i="3" s="1"/>
  <c r="ABH31" i="3"/>
  <c r="ABH47" i="3" s="1"/>
  <c r="ABH29" i="3"/>
  <c r="ABH45" i="3" s="1"/>
  <c r="AAR41" i="3"/>
  <c r="AAR57" i="3" s="1"/>
  <c r="AAR38" i="3"/>
  <c r="AAR54" i="3" s="1"/>
  <c r="AAR37" i="3"/>
  <c r="AAR53" i="3" s="1"/>
  <c r="AAR35" i="3"/>
  <c r="AAR51" i="3" s="1"/>
  <c r="AAR34" i="3"/>
  <c r="AAR32" i="3"/>
  <c r="AAR48" i="3" s="1"/>
  <c r="AAR31" i="3"/>
  <c r="AAR47" i="3" s="1"/>
  <c r="AAR29" i="3"/>
  <c r="AAR45" i="3" s="1"/>
  <c r="AAB41" i="3"/>
  <c r="AAB57" i="3" s="1"/>
  <c r="AAB38" i="3"/>
  <c r="AAB54" i="3" s="1"/>
  <c r="AAB37" i="3"/>
  <c r="AAB53" i="3" s="1"/>
  <c r="AAB35" i="3"/>
  <c r="AAB51" i="3" s="1"/>
  <c r="AAB34" i="3"/>
  <c r="AAB32" i="3"/>
  <c r="AAB48" i="3" s="1"/>
  <c r="AAB31" i="3"/>
  <c r="AAB47" i="3" s="1"/>
  <c r="AAB29" i="3"/>
  <c r="AAB45" i="3" s="1"/>
  <c r="ZL41" i="3"/>
  <c r="ZL57" i="3" s="1"/>
  <c r="ZL38" i="3"/>
  <c r="ZL54" i="3" s="1"/>
  <c r="ZL37" i="3"/>
  <c r="ZL53" i="3" s="1"/>
  <c r="ZL35" i="3"/>
  <c r="ZL51" i="3" s="1"/>
  <c r="ZL34" i="3"/>
  <c r="ZL50" i="3" s="1"/>
  <c r="ZL32" i="3"/>
  <c r="ZL48" i="3" s="1"/>
  <c r="ZL31" i="3"/>
  <c r="ZL47" i="3" s="1"/>
  <c r="ZL29" i="3"/>
  <c r="ZL45" i="3" s="1"/>
  <c r="YV41" i="3"/>
  <c r="YV57" i="3" s="1"/>
  <c r="YV38" i="3"/>
  <c r="YV54" i="3" s="1"/>
  <c r="YV37" i="3"/>
  <c r="YV53" i="3" s="1"/>
  <c r="YV35" i="3"/>
  <c r="YV51" i="3" s="1"/>
  <c r="YV34" i="3"/>
  <c r="YV32" i="3"/>
  <c r="YV48" i="3" s="1"/>
  <c r="YV31" i="3"/>
  <c r="YV47" i="3" s="1"/>
  <c r="YV29" i="3"/>
  <c r="YV45" i="3" s="1"/>
  <c r="YF41" i="3"/>
  <c r="YF57" i="3" s="1"/>
  <c r="YF38" i="3"/>
  <c r="YF54" i="3" s="1"/>
  <c r="YF37" i="3"/>
  <c r="YF53" i="3" s="1"/>
  <c r="YF35" i="3"/>
  <c r="YF51" i="3" s="1"/>
  <c r="YF34" i="3"/>
  <c r="YF32" i="3"/>
  <c r="YF48" i="3" s="1"/>
  <c r="YF31" i="3"/>
  <c r="YF47" i="3" s="1"/>
  <c r="YF29" i="3"/>
  <c r="YF45" i="3" s="1"/>
  <c r="XP41" i="3"/>
  <c r="XP57" i="3" s="1"/>
  <c r="XP38" i="3"/>
  <c r="XP37" i="3"/>
  <c r="XP53" i="3" s="1"/>
  <c r="XP35" i="3"/>
  <c r="XP51" i="3" s="1"/>
  <c r="XP34" i="3"/>
  <c r="XP50" i="3" s="1"/>
  <c r="XP32" i="3"/>
  <c r="XP48" i="3" s="1"/>
  <c r="XP31" i="3"/>
  <c r="XP47" i="3" s="1"/>
  <c r="XP29" i="3"/>
  <c r="XP45" i="3" s="1"/>
  <c r="WZ41" i="3"/>
  <c r="WZ57" i="3" s="1"/>
  <c r="WZ38" i="3"/>
  <c r="WZ54" i="3" s="1"/>
  <c r="WZ37" i="3"/>
  <c r="WZ53" i="3" s="1"/>
  <c r="WZ35" i="3"/>
  <c r="WZ51" i="3" s="1"/>
  <c r="WZ34" i="3"/>
  <c r="WZ32" i="3"/>
  <c r="WZ48" i="3" s="1"/>
  <c r="WZ31" i="3"/>
  <c r="WZ47" i="3" s="1"/>
  <c r="WZ29" i="3"/>
  <c r="WZ45" i="3" s="1"/>
  <c r="WJ41" i="3"/>
  <c r="WJ57" i="3" s="1"/>
  <c r="WJ38" i="3"/>
  <c r="WJ54" i="3" s="1"/>
  <c r="WJ37" i="3"/>
  <c r="WJ53" i="3" s="1"/>
  <c r="WJ35" i="3"/>
  <c r="WJ51" i="3" s="1"/>
  <c r="WJ34" i="3"/>
  <c r="WJ32" i="3"/>
  <c r="WJ48" i="3" s="1"/>
  <c r="WJ31" i="3"/>
  <c r="WJ47" i="3" s="1"/>
  <c r="WJ29" i="3"/>
  <c r="WJ45" i="3" s="1"/>
  <c r="VT41" i="3"/>
  <c r="VT57" i="3" s="1"/>
  <c r="VT38" i="3"/>
  <c r="VT54" i="3" s="1"/>
  <c r="VT37" i="3"/>
  <c r="VT53" i="3" s="1"/>
  <c r="VT35" i="3"/>
  <c r="VT51" i="3" s="1"/>
  <c r="VT34" i="3"/>
  <c r="VT32" i="3"/>
  <c r="VT48" i="3" s="1"/>
  <c r="VT31" i="3"/>
  <c r="VT47" i="3" s="1"/>
  <c r="VT29" i="3"/>
  <c r="VT45" i="3" s="1"/>
  <c r="VD41" i="3"/>
  <c r="VD57" i="3" s="1"/>
  <c r="VD38" i="3"/>
  <c r="VD54" i="3" s="1"/>
  <c r="VD37" i="3"/>
  <c r="VD53" i="3" s="1"/>
  <c r="VD35" i="3"/>
  <c r="VD51" i="3" s="1"/>
  <c r="VD34" i="3"/>
  <c r="VD50" i="3" s="1"/>
  <c r="VD32" i="3"/>
  <c r="VD48" i="3" s="1"/>
  <c r="VD31" i="3"/>
  <c r="VD47" i="3" s="1"/>
  <c r="VD29" i="3"/>
  <c r="VD45" i="3" s="1"/>
  <c r="UN41" i="3"/>
  <c r="UN57" i="3" s="1"/>
  <c r="UN38" i="3"/>
  <c r="UN54" i="3" s="1"/>
  <c r="UN37" i="3"/>
  <c r="UN53" i="3" s="1"/>
  <c r="UN35" i="3"/>
  <c r="UN51" i="3" s="1"/>
  <c r="UN34" i="3"/>
  <c r="UN32" i="3"/>
  <c r="UN48" i="3" s="1"/>
  <c r="UN31" i="3"/>
  <c r="UN47" i="3" s="1"/>
  <c r="UN29" i="3"/>
  <c r="UN45" i="3" s="1"/>
  <c r="TX41" i="3"/>
  <c r="TX57" i="3" s="1"/>
  <c r="TX38" i="3"/>
  <c r="TX54" i="3" s="1"/>
  <c r="TX37" i="3"/>
  <c r="TX53" i="3" s="1"/>
  <c r="TX35" i="3"/>
  <c r="TX51" i="3" s="1"/>
  <c r="TX34" i="3"/>
  <c r="TX32" i="3"/>
  <c r="TX48" i="3" s="1"/>
  <c r="TX31" i="3"/>
  <c r="TX47" i="3" s="1"/>
  <c r="TX29" i="3"/>
  <c r="TX45" i="3" s="1"/>
  <c r="TH41" i="3"/>
  <c r="TH57" i="3" s="1"/>
  <c r="TH38" i="3"/>
  <c r="TH54" i="3" s="1"/>
  <c r="TH37" i="3"/>
  <c r="TH53" i="3" s="1"/>
  <c r="TH35" i="3"/>
  <c r="TH51" i="3" s="1"/>
  <c r="TH34" i="3"/>
  <c r="TH50" i="3" s="1"/>
  <c r="TH32" i="3"/>
  <c r="TH48" i="3" s="1"/>
  <c r="TH31" i="3"/>
  <c r="TH47" i="3" s="1"/>
  <c r="TH29" i="3"/>
  <c r="TH45" i="3" s="1"/>
  <c r="SR41" i="3"/>
  <c r="SR57" i="3" s="1"/>
  <c r="SR38" i="3"/>
  <c r="SR37" i="3"/>
  <c r="SR53" i="3" s="1"/>
  <c r="SR35" i="3"/>
  <c r="SR51" i="3" s="1"/>
  <c r="SR34" i="3"/>
  <c r="SR32" i="3"/>
  <c r="SR48" i="3" s="1"/>
  <c r="SR31" i="3"/>
  <c r="SR47" i="3" s="1"/>
  <c r="SR29" i="3"/>
  <c r="SR45" i="3" s="1"/>
  <c r="SB41" i="3"/>
  <c r="SB38" i="3"/>
  <c r="SB37" i="3"/>
  <c r="SB35" i="3"/>
  <c r="SB34" i="3"/>
  <c r="SB50" i="3" s="1"/>
  <c r="SB32" i="3"/>
  <c r="SB48" i="3" s="1"/>
  <c r="SB31" i="3"/>
  <c r="SB47" i="3" s="1"/>
  <c r="SB29" i="3"/>
  <c r="SB45" i="3" s="1"/>
  <c r="RL41" i="3"/>
  <c r="RL57" i="3" s="1"/>
  <c r="RL38" i="3"/>
  <c r="RL54" i="3" s="1"/>
  <c r="RL37" i="3"/>
  <c r="RL53" i="3" s="1"/>
  <c r="RL35" i="3"/>
  <c r="RL51" i="3" s="1"/>
  <c r="RL34" i="3"/>
  <c r="RL32" i="3"/>
  <c r="RL48" i="3" s="1"/>
  <c r="RL31" i="3"/>
  <c r="RL47" i="3" s="1"/>
  <c r="RL29" i="3"/>
  <c r="RL45" i="3" s="1"/>
  <c r="QV41" i="3"/>
  <c r="QV38" i="3"/>
  <c r="QV37" i="3"/>
  <c r="QV35" i="3"/>
  <c r="QV34" i="3"/>
  <c r="QV32" i="3"/>
  <c r="QV48" i="3" s="1"/>
  <c r="QV31" i="3"/>
  <c r="QV47" i="3" s="1"/>
  <c r="QV29" i="3"/>
  <c r="QV45" i="3" s="1"/>
  <c r="QF41" i="3"/>
  <c r="QF38" i="3"/>
  <c r="QF37" i="3"/>
  <c r="QF35" i="3"/>
  <c r="QF34" i="3"/>
  <c r="QF32" i="3"/>
  <c r="QF48" i="3" s="1"/>
  <c r="QF31" i="3"/>
  <c r="QF47" i="3" s="1"/>
  <c r="QF29" i="3"/>
  <c r="QF45" i="3" s="1"/>
  <c r="PP41" i="3"/>
  <c r="PP38" i="3"/>
  <c r="PP37" i="3"/>
  <c r="PP35" i="3"/>
  <c r="PP34" i="3"/>
  <c r="PP32" i="3"/>
  <c r="PP48" i="3" s="1"/>
  <c r="PP31" i="3"/>
  <c r="PP47" i="3" s="1"/>
  <c r="PP29" i="3"/>
  <c r="PP45" i="3" s="1"/>
  <c r="OZ41" i="3"/>
  <c r="OZ38" i="3"/>
  <c r="OZ37" i="3"/>
  <c r="OZ53" i="3" s="1"/>
  <c r="OZ35" i="3"/>
  <c r="OZ51" i="3" s="1"/>
  <c r="OZ34" i="3"/>
  <c r="OZ32" i="3"/>
  <c r="OZ48" i="3" s="1"/>
  <c r="OZ31" i="3"/>
  <c r="OZ47" i="3" s="1"/>
  <c r="OZ29" i="3"/>
  <c r="OZ45" i="3" s="1"/>
  <c r="OJ41" i="3"/>
  <c r="OJ38" i="3"/>
  <c r="OJ54" i="3" s="1"/>
  <c r="OJ37" i="3"/>
  <c r="OJ35" i="3"/>
  <c r="OJ34" i="3"/>
  <c r="OJ32" i="3"/>
  <c r="OJ48" i="3" s="1"/>
  <c r="OJ31" i="3"/>
  <c r="OJ47" i="3" s="1"/>
  <c r="OJ29" i="3"/>
  <c r="OJ45" i="3" s="1"/>
  <c r="NT41" i="3"/>
  <c r="NT38" i="3"/>
  <c r="NT37" i="3"/>
  <c r="NT35" i="3"/>
  <c r="NT34" i="3"/>
  <c r="NT32" i="3"/>
  <c r="NT48" i="3" s="1"/>
  <c r="NT31" i="3"/>
  <c r="NT47" i="3" s="1"/>
  <c r="NT29" i="3"/>
  <c r="NT45" i="3" s="1"/>
  <c r="ND41" i="3"/>
  <c r="ND57" i="3" s="1"/>
  <c r="ND38" i="3"/>
  <c r="ND37" i="3"/>
  <c r="ND35" i="3"/>
  <c r="ND34" i="3"/>
  <c r="ND32" i="3"/>
  <c r="ND48" i="3" s="1"/>
  <c r="ND31" i="3"/>
  <c r="ND47" i="3" s="1"/>
  <c r="ND29" i="3"/>
  <c r="ND45" i="3" s="1"/>
  <c r="MN41" i="3"/>
  <c r="MN38" i="3"/>
  <c r="MN35" i="3"/>
  <c r="MN37" i="3"/>
  <c r="MN34" i="3"/>
  <c r="MN32" i="3"/>
  <c r="MN48" i="3" s="1"/>
  <c r="MN31" i="3"/>
  <c r="MN47" i="3" s="1"/>
  <c r="MN29" i="3"/>
  <c r="MN45" i="3" s="1"/>
  <c r="LT41" i="3"/>
  <c r="LT38" i="3"/>
  <c r="LT35" i="3"/>
  <c r="LT37" i="3"/>
  <c r="LT53" i="3" s="1"/>
  <c r="LT34" i="3"/>
  <c r="LT32" i="3"/>
  <c r="LT48" i="3" s="1"/>
  <c r="LT31" i="3"/>
  <c r="LT47" i="3" s="1"/>
  <c r="LT29" i="3"/>
  <c r="LT45" i="3" s="1"/>
  <c r="KN41" i="3"/>
  <c r="KN57" i="3" s="1"/>
  <c r="KN38" i="3"/>
  <c r="KN54" i="3" s="1"/>
  <c r="KN35" i="3"/>
  <c r="KN51" i="3" s="1"/>
  <c r="KN37" i="3"/>
  <c r="KN53" i="3" s="1"/>
  <c r="KN34" i="3"/>
  <c r="KN50" i="3" s="1"/>
  <c r="KN32" i="3"/>
  <c r="KN48" i="3" s="1"/>
  <c r="KN31" i="3"/>
  <c r="KN47" i="3" s="1"/>
  <c r="KN29" i="3"/>
  <c r="KN45" i="3" s="1"/>
  <c r="JH41" i="3"/>
  <c r="JH38" i="3"/>
  <c r="JH35" i="3"/>
  <c r="JH37" i="3"/>
  <c r="JH34" i="3"/>
  <c r="JH32" i="3"/>
  <c r="JH48" i="3" s="1"/>
  <c r="JH31" i="3"/>
  <c r="JH47" i="3" s="1"/>
  <c r="JH29" i="3"/>
  <c r="JH45" i="3" s="1"/>
  <c r="IB41" i="3"/>
  <c r="IB57" i="3" s="1"/>
  <c r="IB38" i="3"/>
  <c r="IB54" i="3" s="1"/>
  <c r="IB35" i="3"/>
  <c r="IB37" i="3"/>
  <c r="IB53" i="3" s="1"/>
  <c r="IB34" i="3"/>
  <c r="IB32" i="3"/>
  <c r="IB48" i="3" s="1"/>
  <c r="IB31" i="3"/>
  <c r="IB47" i="3" s="1"/>
  <c r="IB29" i="3"/>
  <c r="IB45" i="3" s="1"/>
  <c r="GV41" i="3"/>
  <c r="GV57" i="3" s="1"/>
  <c r="GV38" i="3"/>
  <c r="GV54" i="3" s="1"/>
  <c r="GV35" i="3"/>
  <c r="GV37" i="3"/>
  <c r="GV53" i="3" s="1"/>
  <c r="GV34" i="3"/>
  <c r="GV32" i="3"/>
  <c r="GV48" i="3" s="1"/>
  <c r="GV31" i="3"/>
  <c r="GV47" i="3" s="1"/>
  <c r="GV29" i="3"/>
  <c r="GV45" i="3" s="1"/>
  <c r="EK41" i="3"/>
  <c r="EK38" i="3"/>
  <c r="EK37" i="3"/>
  <c r="EK34" i="3"/>
  <c r="EK35" i="3"/>
  <c r="EK32" i="3"/>
  <c r="EK48" i="3" s="1"/>
  <c r="EK31" i="3"/>
  <c r="EK47" i="3" s="1"/>
  <c r="EK29" i="3"/>
  <c r="EK45" i="3" s="1"/>
  <c r="BY41" i="3"/>
  <c r="BY38" i="3"/>
  <c r="BY37" i="3"/>
  <c r="BY35" i="3"/>
  <c r="BY34" i="3"/>
  <c r="BY32" i="3"/>
  <c r="BY48" i="3" s="1"/>
  <c r="BY31" i="3"/>
  <c r="BY47" i="3" s="1"/>
  <c r="BY29" i="3"/>
  <c r="BY45" i="3" s="1"/>
  <c r="M41" i="3"/>
  <c r="M38" i="3"/>
  <c r="M37" i="3"/>
  <c r="M35" i="3"/>
  <c r="M34" i="3"/>
  <c r="M32" i="3"/>
  <c r="M48" i="3" s="1"/>
  <c r="M31" i="3"/>
  <c r="M47" i="3" s="1"/>
  <c r="M29" i="3"/>
  <c r="M45" i="3" s="1"/>
  <c r="ALG41" i="3"/>
  <c r="ALG57" i="3" s="1"/>
  <c r="ALG38" i="3"/>
  <c r="ALG54" i="3" s="1"/>
  <c r="ALG37" i="3"/>
  <c r="ALG53" i="3" s="1"/>
  <c r="ALG35" i="3"/>
  <c r="ALG51" i="3" s="1"/>
  <c r="ALG34" i="3"/>
  <c r="ALG32" i="3"/>
  <c r="ALG48" i="3" s="1"/>
  <c r="ALG31" i="3"/>
  <c r="ALG47" i="3" s="1"/>
  <c r="ALG29" i="3"/>
  <c r="ALG45" i="3" s="1"/>
  <c r="AKQ41" i="3"/>
  <c r="AKQ57" i="3" s="1"/>
  <c r="AKQ38" i="3"/>
  <c r="AKQ54" i="3" s="1"/>
  <c r="AKQ37" i="3"/>
  <c r="AKQ53" i="3" s="1"/>
  <c r="AKQ35" i="3"/>
  <c r="AKQ51" i="3" s="1"/>
  <c r="AKQ34" i="3"/>
  <c r="AKQ32" i="3"/>
  <c r="AKQ48" i="3" s="1"/>
  <c r="AKQ31" i="3"/>
  <c r="AKQ47" i="3" s="1"/>
  <c r="AKQ29" i="3"/>
  <c r="AKQ45" i="3" s="1"/>
  <c r="AKA41" i="3"/>
  <c r="AKA57" i="3" s="1"/>
  <c r="AKA38" i="3"/>
  <c r="AKA54" i="3" s="1"/>
  <c r="AKA37" i="3"/>
  <c r="AKA53" i="3" s="1"/>
  <c r="AKA35" i="3"/>
  <c r="AKA51" i="3" s="1"/>
  <c r="AKA34" i="3"/>
  <c r="AKA50" i="3" s="1"/>
  <c r="AKA32" i="3"/>
  <c r="AKA48" i="3" s="1"/>
  <c r="AKA31" i="3"/>
  <c r="AKA47" i="3" s="1"/>
  <c r="AKA29" i="3"/>
  <c r="AKA45" i="3" s="1"/>
  <c r="AJK41" i="3"/>
  <c r="AJK57" i="3" s="1"/>
  <c r="AJK38" i="3"/>
  <c r="AJK54" i="3" s="1"/>
  <c r="AJK37" i="3"/>
  <c r="AJK53" i="3" s="1"/>
  <c r="AJK35" i="3"/>
  <c r="AJK51" i="3" s="1"/>
  <c r="AJK34" i="3"/>
  <c r="AJK32" i="3"/>
  <c r="AJK48" i="3" s="1"/>
  <c r="AJK31" i="3"/>
  <c r="AJK47" i="3" s="1"/>
  <c r="AJK29" i="3"/>
  <c r="AJK45" i="3" s="1"/>
  <c r="AIU41" i="3"/>
  <c r="AIU57" i="3" s="1"/>
  <c r="AIU38" i="3"/>
  <c r="AIU54" i="3" s="1"/>
  <c r="AIU37" i="3"/>
  <c r="AIU53" i="3" s="1"/>
  <c r="AIU35" i="3"/>
  <c r="AIU51" i="3" s="1"/>
  <c r="AIU34" i="3"/>
  <c r="AIU32" i="3"/>
  <c r="AIU48" i="3" s="1"/>
  <c r="AIU31" i="3"/>
  <c r="AIU47" i="3" s="1"/>
  <c r="AIU29" i="3"/>
  <c r="AIU45" i="3" s="1"/>
  <c r="AIE41" i="3"/>
  <c r="AIE57" i="3" s="1"/>
  <c r="AIE38" i="3"/>
  <c r="AIE54" i="3" s="1"/>
  <c r="AIE37" i="3"/>
  <c r="AIE53" i="3" s="1"/>
  <c r="AIE35" i="3"/>
  <c r="AIE51" i="3" s="1"/>
  <c r="AIE34" i="3"/>
  <c r="AIE50" i="3" s="1"/>
  <c r="AIE32" i="3"/>
  <c r="AIE48" i="3" s="1"/>
  <c r="AIE31" i="3"/>
  <c r="AIE47" i="3" s="1"/>
  <c r="AIE29" i="3"/>
  <c r="AIE45" i="3" s="1"/>
  <c r="AHO41" i="3"/>
  <c r="AHO57" i="3" s="1"/>
  <c r="AHO38" i="3"/>
  <c r="AHO54" i="3" s="1"/>
  <c r="AHO37" i="3"/>
  <c r="AHO53" i="3" s="1"/>
  <c r="AHO35" i="3"/>
  <c r="AHO51" i="3" s="1"/>
  <c r="AHO34" i="3"/>
  <c r="AHO32" i="3"/>
  <c r="AHO48" i="3" s="1"/>
  <c r="AHO31" i="3"/>
  <c r="AHO47" i="3" s="1"/>
  <c r="AHO29" i="3"/>
  <c r="AHO45" i="3" s="1"/>
  <c r="AGY41" i="3"/>
  <c r="AGY57" i="3" s="1"/>
  <c r="AGY38" i="3"/>
  <c r="AGY54" i="3" s="1"/>
  <c r="AGY37" i="3"/>
  <c r="AGY53" i="3" s="1"/>
  <c r="AGY35" i="3"/>
  <c r="AGY51" i="3" s="1"/>
  <c r="AGY34" i="3"/>
  <c r="AGY32" i="3"/>
  <c r="AGY48" i="3" s="1"/>
  <c r="AGY31" i="3"/>
  <c r="AGY47" i="3" s="1"/>
  <c r="AGY29" i="3"/>
  <c r="AGY45" i="3" s="1"/>
  <c r="AGI41" i="3"/>
  <c r="AGI57" i="3" s="1"/>
  <c r="AGI38" i="3"/>
  <c r="AGI54" i="3" s="1"/>
  <c r="AGI37" i="3"/>
  <c r="AGI53" i="3" s="1"/>
  <c r="AGI35" i="3"/>
  <c r="AGI51" i="3" s="1"/>
  <c r="AGI34" i="3"/>
  <c r="AGI32" i="3"/>
  <c r="AGI48" i="3" s="1"/>
  <c r="AGI31" i="3"/>
  <c r="AGI47" i="3" s="1"/>
  <c r="AGI29" i="3"/>
  <c r="AGI45" i="3" s="1"/>
  <c r="AFS41" i="3"/>
  <c r="AFS57" i="3" s="1"/>
  <c r="AFS38" i="3"/>
  <c r="AFS54" i="3" s="1"/>
  <c r="AFS37" i="3"/>
  <c r="AFS53" i="3" s="1"/>
  <c r="AFS35" i="3"/>
  <c r="AFS51" i="3" s="1"/>
  <c r="AFS34" i="3"/>
  <c r="AFS32" i="3"/>
  <c r="AFS48" i="3" s="1"/>
  <c r="AFS31" i="3"/>
  <c r="AFS47" i="3" s="1"/>
  <c r="AFS29" i="3"/>
  <c r="AFS45" i="3" s="1"/>
  <c r="AFC41" i="3"/>
  <c r="AFC57" i="3" s="1"/>
  <c r="AFC38" i="3"/>
  <c r="AFC54" i="3" s="1"/>
  <c r="AFC37" i="3"/>
  <c r="AFC53" i="3" s="1"/>
  <c r="AFC35" i="3"/>
  <c r="AFC51" i="3" s="1"/>
  <c r="AFC34" i="3"/>
  <c r="AFC50" i="3" s="1"/>
  <c r="AFC32" i="3"/>
  <c r="AFC48" i="3" s="1"/>
  <c r="AFC31" i="3"/>
  <c r="AFC47" i="3" s="1"/>
  <c r="AFC29" i="3"/>
  <c r="AFC45" i="3" s="1"/>
  <c r="AEM41" i="3"/>
  <c r="AEM57" i="3" s="1"/>
  <c r="AEM38" i="3"/>
  <c r="AEM54" i="3" s="1"/>
  <c r="AEM37" i="3"/>
  <c r="AEM53" i="3" s="1"/>
  <c r="AEM35" i="3"/>
  <c r="AEM51" i="3" s="1"/>
  <c r="AEM34" i="3"/>
  <c r="AEM32" i="3"/>
  <c r="AEM48" i="3" s="1"/>
  <c r="AEM31" i="3"/>
  <c r="AEM47" i="3" s="1"/>
  <c r="AEM29" i="3"/>
  <c r="AEM45" i="3" s="1"/>
  <c r="ADW41" i="3"/>
  <c r="ADW57" i="3" s="1"/>
  <c r="ADW38" i="3"/>
  <c r="ADW54" i="3" s="1"/>
  <c r="ADW37" i="3"/>
  <c r="ADW53" i="3" s="1"/>
  <c r="ADW35" i="3"/>
  <c r="ADW51" i="3" s="1"/>
  <c r="ADW34" i="3"/>
  <c r="ADW32" i="3"/>
  <c r="ADW48" i="3" s="1"/>
  <c r="ADW31" i="3"/>
  <c r="ADW47" i="3" s="1"/>
  <c r="ADW29" i="3"/>
  <c r="ADW45" i="3" s="1"/>
  <c r="ADG41" i="3"/>
  <c r="ADG57" i="3" s="1"/>
  <c r="ADG38" i="3"/>
  <c r="ADG54" i="3" s="1"/>
  <c r="ADG37" i="3"/>
  <c r="ADG53" i="3" s="1"/>
  <c r="ADG35" i="3"/>
  <c r="ADG51" i="3" s="1"/>
  <c r="ADG34" i="3"/>
  <c r="ADG50" i="3" s="1"/>
  <c r="ADG32" i="3"/>
  <c r="ADG48" i="3" s="1"/>
  <c r="ADG31" i="3"/>
  <c r="ADG47" i="3" s="1"/>
  <c r="ADG29" i="3"/>
  <c r="ADG45" i="3" s="1"/>
  <c r="ACQ41" i="3"/>
  <c r="ACQ57" i="3" s="1"/>
  <c r="ACQ38" i="3"/>
  <c r="ACQ54" i="3" s="1"/>
  <c r="ACQ37" i="3"/>
  <c r="ACQ53" i="3" s="1"/>
  <c r="ACQ35" i="3"/>
  <c r="ACQ51" i="3" s="1"/>
  <c r="ACQ34" i="3"/>
  <c r="ACQ32" i="3"/>
  <c r="ACQ48" i="3" s="1"/>
  <c r="ACQ31" i="3"/>
  <c r="ACQ47" i="3" s="1"/>
  <c r="ACQ29" i="3"/>
  <c r="ACQ45" i="3" s="1"/>
  <c r="ACA41" i="3"/>
  <c r="ACA57" i="3" s="1"/>
  <c r="ACA38" i="3"/>
  <c r="ACA54" i="3" s="1"/>
  <c r="ACA37" i="3"/>
  <c r="ACA53" i="3" s="1"/>
  <c r="ACA35" i="3"/>
  <c r="ACA51" i="3" s="1"/>
  <c r="ACA34" i="3"/>
  <c r="ACA32" i="3"/>
  <c r="ACA48" i="3" s="1"/>
  <c r="ACA31" i="3"/>
  <c r="ACA47" i="3" s="1"/>
  <c r="ACA29" i="3"/>
  <c r="ACA45" i="3" s="1"/>
  <c r="ABK41" i="3"/>
  <c r="ABK57" i="3" s="1"/>
  <c r="ABK38" i="3"/>
  <c r="ABK54" i="3" s="1"/>
  <c r="ABK37" i="3"/>
  <c r="ABK53" i="3" s="1"/>
  <c r="ABK35" i="3"/>
  <c r="ABK51" i="3" s="1"/>
  <c r="ABK34" i="3"/>
  <c r="ABK32" i="3"/>
  <c r="ABK48" i="3" s="1"/>
  <c r="ABK31" i="3"/>
  <c r="ABK47" i="3" s="1"/>
  <c r="ABK29" i="3"/>
  <c r="ABK45" i="3" s="1"/>
  <c r="AAU41" i="3"/>
  <c r="AAU57" i="3" s="1"/>
  <c r="AAU38" i="3"/>
  <c r="AAU54" i="3" s="1"/>
  <c r="AAU37" i="3"/>
  <c r="AAU53" i="3" s="1"/>
  <c r="AAU35" i="3"/>
  <c r="AAU51" i="3" s="1"/>
  <c r="AAU34" i="3"/>
  <c r="AAU32" i="3"/>
  <c r="AAU48" i="3" s="1"/>
  <c r="AAU31" i="3"/>
  <c r="AAU47" i="3" s="1"/>
  <c r="AAU29" i="3"/>
  <c r="AAU45" i="3" s="1"/>
  <c r="AAE41" i="3"/>
  <c r="AAE57" i="3" s="1"/>
  <c r="AAE38" i="3"/>
  <c r="AAE54" i="3" s="1"/>
  <c r="AAE37" i="3"/>
  <c r="AAE53" i="3" s="1"/>
  <c r="AAE35" i="3"/>
  <c r="AAE51" i="3" s="1"/>
  <c r="AAE34" i="3"/>
  <c r="AAE50" i="3" s="1"/>
  <c r="AAE32" i="3"/>
  <c r="AAE48" i="3" s="1"/>
  <c r="AAE31" i="3"/>
  <c r="AAE47" i="3" s="1"/>
  <c r="AAE29" i="3"/>
  <c r="AAE45" i="3" s="1"/>
  <c r="ZO41" i="3"/>
  <c r="ZO57" i="3" s="1"/>
  <c r="ZO38" i="3"/>
  <c r="ZO54" i="3" s="1"/>
  <c r="ZO37" i="3"/>
  <c r="ZO53" i="3" s="1"/>
  <c r="ZO35" i="3"/>
  <c r="ZO51" i="3" s="1"/>
  <c r="ZO34" i="3"/>
  <c r="ZO32" i="3"/>
  <c r="ZO48" i="3" s="1"/>
  <c r="ZO31" i="3"/>
  <c r="ZO47" i="3" s="1"/>
  <c r="ZO29" i="3"/>
  <c r="ZO45" i="3" s="1"/>
  <c r="YY41" i="3"/>
  <c r="YY57" i="3" s="1"/>
  <c r="YY38" i="3"/>
  <c r="YY54" i="3" s="1"/>
  <c r="YY37" i="3"/>
  <c r="YY53" i="3" s="1"/>
  <c r="YY35" i="3"/>
  <c r="YY51" i="3" s="1"/>
  <c r="YY34" i="3"/>
  <c r="YY32" i="3"/>
  <c r="YY48" i="3" s="1"/>
  <c r="YY31" i="3"/>
  <c r="YY47" i="3" s="1"/>
  <c r="YY29" i="3"/>
  <c r="YY45" i="3" s="1"/>
  <c r="YI41" i="3"/>
  <c r="YI57" i="3" s="1"/>
  <c r="YI38" i="3"/>
  <c r="YI54" i="3" s="1"/>
  <c r="YI37" i="3"/>
  <c r="YI53" i="3" s="1"/>
  <c r="YI35" i="3"/>
  <c r="YI51" i="3" s="1"/>
  <c r="YI34" i="3"/>
  <c r="YI50" i="3" s="1"/>
  <c r="YI32" i="3"/>
  <c r="YI48" i="3" s="1"/>
  <c r="YI31" i="3"/>
  <c r="YI47" i="3" s="1"/>
  <c r="YI29" i="3"/>
  <c r="YI45" i="3" s="1"/>
  <c r="XS41" i="3"/>
  <c r="XS57" i="3" s="1"/>
  <c r="XS38" i="3"/>
  <c r="XS54" i="3" s="1"/>
  <c r="XS37" i="3"/>
  <c r="XS53" i="3" s="1"/>
  <c r="XS35" i="3"/>
  <c r="XS51" i="3" s="1"/>
  <c r="XS34" i="3"/>
  <c r="XS32" i="3"/>
  <c r="XS48" i="3" s="1"/>
  <c r="XS31" i="3"/>
  <c r="XS47" i="3" s="1"/>
  <c r="XS29" i="3"/>
  <c r="XS45" i="3" s="1"/>
  <c r="XC41" i="3"/>
  <c r="XC57" i="3" s="1"/>
  <c r="XC38" i="3"/>
  <c r="XC54" i="3" s="1"/>
  <c r="XC37" i="3"/>
  <c r="XC53" i="3" s="1"/>
  <c r="XC35" i="3"/>
  <c r="XC51" i="3" s="1"/>
  <c r="XC34" i="3"/>
  <c r="XC32" i="3"/>
  <c r="XC48" i="3" s="1"/>
  <c r="XC31" i="3"/>
  <c r="XC47" i="3" s="1"/>
  <c r="XC29" i="3"/>
  <c r="XC45" i="3" s="1"/>
  <c r="WM41" i="3"/>
  <c r="WM57" i="3" s="1"/>
  <c r="WM38" i="3"/>
  <c r="WM54" i="3" s="1"/>
  <c r="WM37" i="3"/>
  <c r="WM53" i="3" s="1"/>
  <c r="WM35" i="3"/>
  <c r="WM51" i="3" s="1"/>
  <c r="WM34" i="3"/>
  <c r="WM32" i="3"/>
  <c r="WM48" i="3" s="1"/>
  <c r="WM31" i="3"/>
  <c r="WM47" i="3" s="1"/>
  <c r="WM29" i="3"/>
  <c r="WM45" i="3" s="1"/>
  <c r="VW41" i="3"/>
  <c r="VW57" i="3" s="1"/>
  <c r="VW38" i="3"/>
  <c r="VW54" i="3" s="1"/>
  <c r="VW37" i="3"/>
  <c r="VW53" i="3" s="1"/>
  <c r="VW35" i="3"/>
  <c r="VW51" i="3" s="1"/>
  <c r="VW34" i="3"/>
  <c r="VW32" i="3"/>
  <c r="VW48" i="3" s="1"/>
  <c r="VW31" i="3"/>
  <c r="VW47" i="3" s="1"/>
  <c r="VW29" i="3"/>
  <c r="VW45" i="3" s="1"/>
  <c r="VG41" i="3"/>
  <c r="VG57" i="3" s="1"/>
  <c r="VG38" i="3"/>
  <c r="VG54" i="3" s="1"/>
  <c r="VG37" i="3"/>
  <c r="VG53" i="3" s="1"/>
  <c r="VG35" i="3"/>
  <c r="VG51" i="3" s="1"/>
  <c r="VG34" i="3"/>
  <c r="VG50" i="3" s="1"/>
  <c r="VG32" i="3"/>
  <c r="VG48" i="3" s="1"/>
  <c r="VG31" i="3"/>
  <c r="VG47" i="3" s="1"/>
  <c r="VG29" i="3"/>
  <c r="VG45" i="3" s="1"/>
  <c r="UQ41" i="3"/>
  <c r="UQ57" i="3" s="1"/>
  <c r="UQ38" i="3"/>
  <c r="UQ37" i="3"/>
  <c r="UQ53" i="3" s="1"/>
  <c r="UQ35" i="3"/>
  <c r="UQ51" i="3" s="1"/>
  <c r="UQ34" i="3"/>
  <c r="UQ32" i="3"/>
  <c r="UQ48" i="3" s="1"/>
  <c r="UQ31" i="3"/>
  <c r="UQ47" i="3" s="1"/>
  <c r="UQ29" i="3"/>
  <c r="UQ45" i="3" s="1"/>
  <c r="UA41" i="3"/>
  <c r="UA57" i="3" s="1"/>
  <c r="UA38" i="3"/>
  <c r="UA54" i="3" s="1"/>
  <c r="UA37" i="3"/>
  <c r="UA53" i="3" s="1"/>
  <c r="UA35" i="3"/>
  <c r="UA51" i="3" s="1"/>
  <c r="UA34" i="3"/>
  <c r="UA50" i="3" s="1"/>
  <c r="UA32" i="3"/>
  <c r="UA48" i="3" s="1"/>
  <c r="UA31" i="3"/>
  <c r="UA47" i="3" s="1"/>
  <c r="UA29" i="3"/>
  <c r="UA45" i="3" s="1"/>
  <c r="TK41" i="3"/>
  <c r="TK57" i="3" s="1"/>
  <c r="TK38" i="3"/>
  <c r="TK54" i="3" s="1"/>
  <c r="TK37" i="3"/>
  <c r="TK53" i="3" s="1"/>
  <c r="TK35" i="3"/>
  <c r="TK51" i="3" s="1"/>
  <c r="TK34" i="3"/>
  <c r="TK32" i="3"/>
  <c r="TK48" i="3" s="1"/>
  <c r="TK31" i="3"/>
  <c r="TK47" i="3" s="1"/>
  <c r="TK29" i="3"/>
  <c r="TK45" i="3" s="1"/>
  <c r="SU41" i="3"/>
  <c r="SU57" i="3" s="1"/>
  <c r="SU38" i="3"/>
  <c r="SU54" i="3" s="1"/>
  <c r="SU37" i="3"/>
  <c r="SU53" i="3" s="1"/>
  <c r="SU35" i="3"/>
  <c r="SU51" i="3" s="1"/>
  <c r="SU34" i="3"/>
  <c r="SU32" i="3"/>
  <c r="SU48" i="3" s="1"/>
  <c r="SU31" i="3"/>
  <c r="SU47" i="3" s="1"/>
  <c r="SU29" i="3"/>
  <c r="SU45" i="3" s="1"/>
  <c r="SE41" i="3"/>
  <c r="SE38" i="3"/>
  <c r="SE37" i="3"/>
  <c r="SE35" i="3"/>
  <c r="SE51" i="3" s="1"/>
  <c r="SE34" i="3"/>
  <c r="SE32" i="3"/>
  <c r="SE48" i="3" s="1"/>
  <c r="SE31" i="3"/>
  <c r="SE47" i="3" s="1"/>
  <c r="SE29" i="3"/>
  <c r="SE45" i="3" s="1"/>
  <c r="RO41" i="3"/>
  <c r="RO38" i="3"/>
  <c r="RO37" i="3"/>
  <c r="RO35" i="3"/>
  <c r="RO34" i="3"/>
  <c r="RO32" i="3"/>
  <c r="RO48" i="3" s="1"/>
  <c r="RO31" i="3"/>
  <c r="RO47" i="3" s="1"/>
  <c r="RO29" i="3"/>
  <c r="RO45" i="3" s="1"/>
  <c r="QY41" i="3"/>
  <c r="QY38" i="3"/>
  <c r="QY37" i="3"/>
  <c r="QY35" i="3"/>
  <c r="QY34" i="3"/>
  <c r="QY32" i="3"/>
  <c r="QY48" i="3" s="1"/>
  <c r="QY31" i="3"/>
  <c r="QY47" i="3" s="1"/>
  <c r="QY29" i="3"/>
  <c r="QY45" i="3" s="1"/>
  <c r="QI41" i="3"/>
  <c r="QI38" i="3"/>
  <c r="QI54" i="3" s="1"/>
  <c r="QI37" i="3"/>
  <c r="QI53" i="3" s="1"/>
  <c r="QI35" i="3"/>
  <c r="QI51" i="3" s="1"/>
  <c r="QI34" i="3"/>
  <c r="QI50" i="3" s="1"/>
  <c r="QI32" i="3"/>
  <c r="QI48" i="3" s="1"/>
  <c r="QI31" i="3"/>
  <c r="QI47" i="3" s="1"/>
  <c r="QI29" i="3"/>
  <c r="QI45" i="3" s="1"/>
  <c r="PS41" i="3"/>
  <c r="PS38" i="3"/>
  <c r="PS37" i="3"/>
  <c r="PS35" i="3"/>
  <c r="PS34" i="3"/>
  <c r="PS32" i="3"/>
  <c r="PS48" i="3" s="1"/>
  <c r="PS31" i="3"/>
  <c r="PS47" i="3" s="1"/>
  <c r="PS29" i="3"/>
  <c r="PS45" i="3" s="1"/>
  <c r="PC41" i="3"/>
  <c r="PC38" i="3"/>
  <c r="PC37" i="3"/>
  <c r="PC35" i="3"/>
  <c r="PC34" i="3"/>
  <c r="PC32" i="3"/>
  <c r="PC48" i="3" s="1"/>
  <c r="PC31" i="3"/>
  <c r="PC47" i="3" s="1"/>
  <c r="PC29" i="3"/>
  <c r="PC45" i="3" s="1"/>
  <c r="OM41" i="3"/>
  <c r="OM38" i="3"/>
  <c r="OM37" i="3"/>
  <c r="OM35" i="3"/>
  <c r="OM34" i="3"/>
  <c r="OM32" i="3"/>
  <c r="OM48" i="3" s="1"/>
  <c r="OM31" i="3"/>
  <c r="OM47" i="3" s="1"/>
  <c r="OM29" i="3"/>
  <c r="OM45" i="3" s="1"/>
  <c r="NW41" i="3"/>
  <c r="NW38" i="3"/>
  <c r="NW54" i="3" s="1"/>
  <c r="NW37" i="3"/>
  <c r="NW53" i="3" s="1"/>
  <c r="NW35" i="3"/>
  <c r="NW34" i="3"/>
  <c r="NW32" i="3"/>
  <c r="NW48" i="3" s="1"/>
  <c r="NW31" i="3"/>
  <c r="NW47" i="3" s="1"/>
  <c r="NW29" i="3"/>
  <c r="NW45" i="3" s="1"/>
  <c r="NG41" i="3"/>
  <c r="NG38" i="3"/>
  <c r="NG37" i="3"/>
  <c r="NG35" i="3"/>
  <c r="NG34" i="3"/>
  <c r="NG32" i="3"/>
  <c r="NG48" i="3" s="1"/>
  <c r="NG31" i="3"/>
  <c r="NG47" i="3" s="1"/>
  <c r="NG29" i="3"/>
  <c r="NG45" i="3" s="1"/>
  <c r="MQ41" i="3"/>
  <c r="MQ38" i="3"/>
  <c r="MQ54" i="3" s="1"/>
  <c r="MQ35" i="3"/>
  <c r="MQ51" i="3" s="1"/>
  <c r="MQ37" i="3"/>
  <c r="MQ53" i="3" s="1"/>
  <c r="MQ34" i="3"/>
  <c r="MQ32" i="3"/>
  <c r="MQ48" i="3" s="1"/>
  <c r="MQ31" i="3"/>
  <c r="MQ47" i="3" s="1"/>
  <c r="MQ29" i="3"/>
  <c r="MQ45" i="3" s="1"/>
  <c r="LY41" i="3"/>
  <c r="LY38" i="3"/>
  <c r="LY37" i="3"/>
  <c r="LY34" i="3"/>
  <c r="LY35" i="3"/>
  <c r="LY32" i="3"/>
  <c r="LY48" i="3" s="1"/>
  <c r="LY31" i="3"/>
  <c r="LY47" i="3" s="1"/>
  <c r="LY29" i="3"/>
  <c r="LY45" i="3" s="1"/>
  <c r="KS41" i="3"/>
  <c r="KS38" i="3"/>
  <c r="KS37" i="3"/>
  <c r="KS34" i="3"/>
  <c r="KS35" i="3"/>
  <c r="KS32" i="3"/>
  <c r="KS48" i="3" s="1"/>
  <c r="KS31" i="3"/>
  <c r="KS47" i="3" s="1"/>
  <c r="KS29" i="3"/>
  <c r="KS45" i="3" s="1"/>
  <c r="JM41" i="3"/>
  <c r="JM38" i="3"/>
  <c r="JM37" i="3"/>
  <c r="JM34" i="3"/>
  <c r="JM35" i="3"/>
  <c r="JM32" i="3"/>
  <c r="JM48" i="3" s="1"/>
  <c r="JM31" i="3"/>
  <c r="JM47" i="3" s="1"/>
  <c r="JM29" i="3"/>
  <c r="JM45" i="3" s="1"/>
  <c r="IG41" i="3"/>
  <c r="IG38" i="3"/>
  <c r="IG37" i="3"/>
  <c r="IG34" i="3"/>
  <c r="IG35" i="3"/>
  <c r="IG32" i="3"/>
  <c r="IG48" i="3" s="1"/>
  <c r="IG31" i="3"/>
  <c r="IG47" i="3" s="1"/>
  <c r="IG29" i="3"/>
  <c r="IG45" i="3" s="1"/>
  <c r="HA41" i="3"/>
  <c r="HA38" i="3"/>
  <c r="HA37" i="3"/>
  <c r="HA34" i="3"/>
  <c r="HA35" i="3"/>
  <c r="HA32" i="3"/>
  <c r="HA48" i="3" s="1"/>
  <c r="HA31" i="3"/>
  <c r="HA47" i="3" s="1"/>
  <c r="HA29" i="3"/>
  <c r="HA45" i="3" s="1"/>
  <c r="EW41" i="3"/>
  <c r="EW38" i="3"/>
  <c r="EW37" i="3"/>
  <c r="EW34" i="3"/>
  <c r="EW35" i="3"/>
  <c r="EW32" i="3"/>
  <c r="EW48" i="3" s="1"/>
  <c r="EW31" i="3"/>
  <c r="EW47" i="3" s="1"/>
  <c r="EW29" i="3"/>
  <c r="EW45" i="3" s="1"/>
  <c r="CK41" i="3"/>
  <c r="CK38" i="3"/>
  <c r="CK54" i="3" s="1"/>
  <c r="CK37" i="3"/>
  <c r="CK53" i="3" s="1"/>
  <c r="CK35" i="3"/>
  <c r="CK34" i="3"/>
  <c r="CK32" i="3"/>
  <c r="CK48" i="3" s="1"/>
  <c r="CK31" i="3"/>
  <c r="CK47" i="3" s="1"/>
  <c r="CK29" i="3"/>
  <c r="CK45" i="3" s="1"/>
  <c r="Y41" i="3"/>
  <c r="Y38" i="3"/>
  <c r="Y37" i="3"/>
  <c r="Y35" i="3"/>
  <c r="Y34" i="3"/>
  <c r="Y32" i="3"/>
  <c r="Y48" i="3" s="1"/>
  <c r="Y31" i="3"/>
  <c r="Y47" i="3" s="1"/>
  <c r="Y29" i="3"/>
  <c r="Y45" i="3" s="1"/>
  <c r="EO41" i="3"/>
  <c r="EO38" i="3"/>
  <c r="EO37" i="3"/>
  <c r="EO34" i="3"/>
  <c r="EO35" i="3"/>
  <c r="EO32" i="3"/>
  <c r="EO48" i="3" s="1"/>
  <c r="EO31" i="3"/>
  <c r="EO47" i="3" s="1"/>
  <c r="EO29" i="3"/>
  <c r="EO45" i="3" s="1"/>
  <c r="KO41" i="3"/>
  <c r="KO38" i="3"/>
  <c r="KO37" i="3"/>
  <c r="KO34" i="3"/>
  <c r="KO35" i="3"/>
  <c r="KO32" i="3"/>
  <c r="KO48" i="3" s="1"/>
  <c r="KO31" i="3"/>
  <c r="KO47" i="3" s="1"/>
  <c r="KO29" i="3"/>
  <c r="KO45" i="3" s="1"/>
  <c r="NU41" i="3"/>
  <c r="NU38" i="3"/>
  <c r="NU37" i="3"/>
  <c r="NU34" i="3"/>
  <c r="NU35" i="3"/>
  <c r="NU32" i="3"/>
  <c r="NU48" i="3" s="1"/>
  <c r="NU31" i="3"/>
  <c r="NU47" i="3" s="1"/>
  <c r="NU29" i="3"/>
  <c r="NU45" i="3" s="1"/>
  <c r="QG41" i="3"/>
  <c r="QG38" i="3"/>
  <c r="QG37" i="3"/>
  <c r="QG34" i="3"/>
  <c r="QG35" i="3"/>
  <c r="QG32" i="3"/>
  <c r="QG48" i="3" s="1"/>
  <c r="QG31" i="3"/>
  <c r="QG47" i="3" s="1"/>
  <c r="QG29" i="3"/>
  <c r="QG45" i="3" s="1"/>
  <c r="SS41" i="3"/>
  <c r="SS57" i="3" s="1"/>
  <c r="SS38" i="3"/>
  <c r="SS54" i="3" s="1"/>
  <c r="SS37" i="3"/>
  <c r="SS53" i="3" s="1"/>
  <c r="SS34" i="3"/>
  <c r="SS50" i="3" s="1"/>
  <c r="SS35" i="3"/>
  <c r="SS32" i="3"/>
  <c r="SS48" i="3" s="1"/>
  <c r="SS31" i="3"/>
  <c r="SS47" i="3" s="1"/>
  <c r="SS29" i="3"/>
  <c r="SS45" i="3" s="1"/>
  <c r="VE41" i="3"/>
  <c r="VE57" i="3" s="1"/>
  <c r="VE38" i="3"/>
  <c r="VE54" i="3" s="1"/>
  <c r="VE37" i="3"/>
  <c r="VE53" i="3" s="1"/>
  <c r="VE34" i="3"/>
  <c r="VE50" i="3" s="1"/>
  <c r="VE35" i="3"/>
  <c r="VE32" i="3"/>
  <c r="VE48" i="3" s="1"/>
  <c r="VE31" i="3"/>
  <c r="VE47" i="3" s="1"/>
  <c r="VE29" i="3"/>
  <c r="VE45" i="3" s="1"/>
  <c r="XQ41" i="3"/>
  <c r="XQ57" i="3" s="1"/>
  <c r="XQ38" i="3"/>
  <c r="XQ54" i="3" s="1"/>
  <c r="XQ37" i="3"/>
  <c r="XQ53" i="3" s="1"/>
  <c r="XQ34" i="3"/>
  <c r="XQ50" i="3" s="1"/>
  <c r="XQ35" i="3"/>
  <c r="XQ51" i="3" s="1"/>
  <c r="XQ32" i="3"/>
  <c r="XQ48" i="3" s="1"/>
  <c r="XQ31" i="3"/>
  <c r="XQ47" i="3" s="1"/>
  <c r="XQ29" i="3"/>
  <c r="XQ45" i="3" s="1"/>
  <c r="AAC41" i="3"/>
  <c r="AAC57" i="3" s="1"/>
  <c r="AAC38" i="3"/>
  <c r="AAC54" i="3" s="1"/>
  <c r="AAC37" i="3"/>
  <c r="AAC53" i="3" s="1"/>
  <c r="AAC35" i="3"/>
  <c r="AAC51" i="3" s="1"/>
  <c r="AAC34" i="3"/>
  <c r="AAC32" i="3"/>
  <c r="AAC48" i="3" s="1"/>
  <c r="AAC31" i="3"/>
  <c r="AAC47" i="3" s="1"/>
  <c r="AAC29" i="3"/>
  <c r="AAC45" i="3" s="1"/>
  <c r="ACO41" i="3"/>
  <c r="ACO57" i="3" s="1"/>
  <c r="ACO38" i="3"/>
  <c r="ACO54" i="3" s="1"/>
  <c r="ACO37" i="3"/>
  <c r="ACO53" i="3" s="1"/>
  <c r="ACO35" i="3"/>
  <c r="ACO51" i="3" s="1"/>
  <c r="ACO34" i="3"/>
  <c r="ACO32" i="3"/>
  <c r="ACO48" i="3" s="1"/>
  <c r="ACO31" i="3"/>
  <c r="ACO47" i="3" s="1"/>
  <c r="ACO29" i="3"/>
  <c r="ACO45" i="3" s="1"/>
  <c r="AFA41" i="3"/>
  <c r="AFA57" i="3" s="1"/>
  <c r="AFA38" i="3"/>
  <c r="AFA54" i="3" s="1"/>
  <c r="AFA37" i="3"/>
  <c r="AFA53" i="3" s="1"/>
  <c r="AFA35" i="3"/>
  <c r="AFA51" i="3" s="1"/>
  <c r="AFA34" i="3"/>
  <c r="AFA50" i="3" s="1"/>
  <c r="AFA32" i="3"/>
  <c r="AFA48" i="3" s="1"/>
  <c r="AFA31" i="3"/>
  <c r="AFA47" i="3" s="1"/>
  <c r="AFA29" i="3"/>
  <c r="AFA45" i="3" s="1"/>
  <c r="AHM41" i="3"/>
  <c r="AHM57" i="3" s="1"/>
  <c r="AHM38" i="3"/>
  <c r="AHM54" i="3" s="1"/>
  <c r="AHM37" i="3"/>
  <c r="AHM53" i="3" s="1"/>
  <c r="AHM35" i="3"/>
  <c r="AHM51" i="3" s="1"/>
  <c r="AHM34" i="3"/>
  <c r="AHM50" i="3" s="1"/>
  <c r="AHM32" i="3"/>
  <c r="AHM48" i="3" s="1"/>
  <c r="AHM31" i="3"/>
  <c r="AHM47" i="3" s="1"/>
  <c r="AHM29" i="3"/>
  <c r="AHM45" i="3" s="1"/>
  <c r="AJY41" i="3"/>
  <c r="AJY57" i="3" s="1"/>
  <c r="AJY38" i="3"/>
  <c r="AJY54" i="3" s="1"/>
  <c r="AJY37" i="3"/>
  <c r="AJY53" i="3" s="1"/>
  <c r="AJY35" i="3"/>
  <c r="AJY51" i="3" s="1"/>
  <c r="AJY34" i="3"/>
  <c r="AJY32" i="3"/>
  <c r="AJY48" i="3" s="1"/>
  <c r="AJY31" i="3"/>
  <c r="AJY47" i="3" s="1"/>
  <c r="AJY29" i="3"/>
  <c r="AJY45" i="3" s="1"/>
  <c r="AG41" i="3"/>
  <c r="AG38" i="3"/>
  <c r="AG37" i="3"/>
  <c r="AG53" i="3" s="1"/>
  <c r="AG35" i="3"/>
  <c r="AG34" i="3"/>
  <c r="AG32" i="3"/>
  <c r="AG48" i="3" s="1"/>
  <c r="AG31" i="3"/>
  <c r="AG47" i="3" s="1"/>
  <c r="AG29" i="3"/>
  <c r="AG45" i="3" s="1"/>
  <c r="IK41" i="3"/>
  <c r="IK38" i="3"/>
  <c r="IK37" i="3"/>
  <c r="IK35" i="3"/>
  <c r="IK34" i="3"/>
  <c r="IK32" i="3"/>
  <c r="IK48" i="3" s="1"/>
  <c r="IK31" i="3"/>
  <c r="IK47" i="3" s="1"/>
  <c r="IK29" i="3"/>
  <c r="IK45" i="3" s="1"/>
  <c r="MS41" i="3"/>
  <c r="MS38" i="3"/>
  <c r="MS37" i="3"/>
  <c r="MS35" i="3"/>
  <c r="MS34" i="3"/>
  <c r="MS32" i="3"/>
  <c r="MS48" i="3" s="1"/>
  <c r="MS31" i="3"/>
  <c r="MS47" i="3" s="1"/>
  <c r="MS29" i="3"/>
  <c r="MS45" i="3" s="1"/>
  <c r="PE41" i="3"/>
  <c r="PE38" i="3"/>
  <c r="PE37" i="3"/>
  <c r="PE35" i="3"/>
  <c r="PE34" i="3"/>
  <c r="PE32" i="3"/>
  <c r="PE48" i="3" s="1"/>
  <c r="PE31" i="3"/>
  <c r="PE47" i="3" s="1"/>
  <c r="PE29" i="3"/>
  <c r="PE45" i="3" s="1"/>
  <c r="RQ41" i="3"/>
  <c r="RQ38" i="3"/>
  <c r="RQ54" i="3" s="1"/>
  <c r="RQ37" i="3"/>
  <c r="RQ53" i="3" s="1"/>
  <c r="RQ35" i="3"/>
  <c r="RQ34" i="3"/>
  <c r="RQ32" i="3"/>
  <c r="RQ48" i="3" s="1"/>
  <c r="RQ31" i="3"/>
  <c r="RQ47" i="3" s="1"/>
  <c r="RQ29" i="3"/>
  <c r="RQ45" i="3" s="1"/>
  <c r="UC41" i="3"/>
  <c r="UC57" i="3" s="1"/>
  <c r="UC38" i="3"/>
  <c r="UC37" i="3"/>
  <c r="UC53" i="3" s="1"/>
  <c r="UC35" i="3"/>
  <c r="UC51" i="3" s="1"/>
  <c r="UC34" i="3"/>
  <c r="UC50" i="3" s="1"/>
  <c r="UC32" i="3"/>
  <c r="UC48" i="3" s="1"/>
  <c r="UC31" i="3"/>
  <c r="UC47" i="3" s="1"/>
  <c r="UC29" i="3"/>
  <c r="UC45" i="3" s="1"/>
  <c r="WO41" i="3"/>
  <c r="WO57" i="3" s="1"/>
  <c r="WO38" i="3"/>
  <c r="WO54" i="3" s="1"/>
  <c r="WO37" i="3"/>
  <c r="WO53" i="3" s="1"/>
  <c r="WO35" i="3"/>
  <c r="WO51" i="3" s="1"/>
  <c r="WO34" i="3"/>
  <c r="WO50" i="3" s="1"/>
  <c r="WO32" i="3"/>
  <c r="WO48" i="3" s="1"/>
  <c r="WO31" i="3"/>
  <c r="WO47" i="3" s="1"/>
  <c r="WO29" i="3"/>
  <c r="WO45" i="3" s="1"/>
  <c r="ZA41" i="3"/>
  <c r="ZA57" i="3" s="1"/>
  <c r="ZA38" i="3"/>
  <c r="ZA54" i="3" s="1"/>
  <c r="ZA37" i="3"/>
  <c r="ZA53" i="3" s="1"/>
  <c r="ZA35" i="3"/>
  <c r="ZA51" i="3" s="1"/>
  <c r="ZA34" i="3"/>
  <c r="ZA50" i="3" s="1"/>
  <c r="ZA32" i="3"/>
  <c r="ZA48" i="3" s="1"/>
  <c r="ZA31" i="3"/>
  <c r="ZA47" i="3" s="1"/>
  <c r="ZA29" i="3"/>
  <c r="ZA45" i="3" s="1"/>
  <c r="ABM41" i="3"/>
  <c r="ABM57" i="3" s="1"/>
  <c r="ABM38" i="3"/>
  <c r="ABM54" i="3" s="1"/>
  <c r="ABM37" i="3"/>
  <c r="ABM53" i="3" s="1"/>
  <c r="ABM35" i="3"/>
  <c r="ABM51" i="3" s="1"/>
  <c r="ABM34" i="3"/>
  <c r="ABM50" i="3" s="1"/>
  <c r="ABM32" i="3"/>
  <c r="ABM48" i="3" s="1"/>
  <c r="ABM31" i="3"/>
  <c r="ABM47" i="3" s="1"/>
  <c r="ABM29" i="3"/>
  <c r="ABM45" i="3" s="1"/>
  <c r="ADY41" i="3"/>
  <c r="ADY57" i="3" s="1"/>
  <c r="ADY38" i="3"/>
  <c r="ADY54" i="3" s="1"/>
  <c r="ADY37" i="3"/>
  <c r="ADY53" i="3" s="1"/>
  <c r="ADY35" i="3"/>
  <c r="ADY51" i="3" s="1"/>
  <c r="ADY34" i="3"/>
  <c r="ADY50" i="3" s="1"/>
  <c r="ADY32" i="3"/>
  <c r="ADY48" i="3" s="1"/>
  <c r="ADY31" i="3"/>
  <c r="ADY47" i="3" s="1"/>
  <c r="ADY29" i="3"/>
  <c r="ADY45" i="3" s="1"/>
  <c r="AGK41" i="3"/>
  <c r="AGK57" i="3" s="1"/>
  <c r="AGK38" i="3"/>
  <c r="AGK54" i="3" s="1"/>
  <c r="AGK37" i="3"/>
  <c r="AGK53" i="3" s="1"/>
  <c r="AGK35" i="3"/>
  <c r="AGK51" i="3" s="1"/>
  <c r="AGK34" i="3"/>
  <c r="AGK50" i="3" s="1"/>
  <c r="AGK32" i="3"/>
  <c r="AGK48" i="3" s="1"/>
  <c r="AGK31" i="3"/>
  <c r="AGK47" i="3" s="1"/>
  <c r="AGK29" i="3"/>
  <c r="AGK45" i="3" s="1"/>
  <c r="AIW41" i="3"/>
  <c r="AIW57" i="3" s="1"/>
  <c r="AIW38" i="3"/>
  <c r="AIW54" i="3" s="1"/>
  <c r="AIW37" i="3"/>
  <c r="AIW53" i="3" s="1"/>
  <c r="AIW35" i="3"/>
  <c r="AIW51" i="3" s="1"/>
  <c r="AIW34" i="3"/>
  <c r="AIW50" i="3" s="1"/>
  <c r="AIW32" i="3"/>
  <c r="AIW48" i="3" s="1"/>
  <c r="AIW31" i="3"/>
  <c r="AIW47" i="3" s="1"/>
  <c r="AIW29" i="3"/>
  <c r="AIW45" i="3" s="1"/>
  <c r="ALI41" i="3"/>
  <c r="ALI57" i="3" s="1"/>
  <c r="ALI38" i="3"/>
  <c r="ALI54" i="3" s="1"/>
  <c r="ALI37" i="3"/>
  <c r="ALI53" i="3" s="1"/>
  <c r="ALI35" i="3"/>
  <c r="ALI51" i="3" s="1"/>
  <c r="ALI34" i="3"/>
  <c r="ALI50" i="3" s="1"/>
  <c r="ALI32" i="3"/>
  <c r="ALI48" i="3" s="1"/>
  <c r="ALI31" i="3"/>
  <c r="ALI47" i="3" s="1"/>
  <c r="ALI29" i="3"/>
  <c r="ALI45" i="3" s="1"/>
  <c r="Q31" i="3"/>
  <c r="Q47" i="3" s="1"/>
  <c r="Q37" i="3"/>
  <c r="V41" i="3"/>
  <c r="V38" i="3"/>
  <c r="V37" i="3"/>
  <c r="V35" i="3"/>
  <c r="V34" i="3"/>
  <c r="V32" i="3"/>
  <c r="V48" i="3" s="1"/>
  <c r="V31" i="3"/>
  <c r="V47" i="3" s="1"/>
  <c r="V29" i="3"/>
  <c r="V45" i="3" s="1"/>
  <c r="AL41" i="3"/>
  <c r="AL38" i="3"/>
  <c r="AL37" i="3"/>
  <c r="AL35" i="3"/>
  <c r="AL34" i="3"/>
  <c r="AL32" i="3"/>
  <c r="AL48" i="3" s="1"/>
  <c r="AL31" i="3"/>
  <c r="AL47" i="3" s="1"/>
  <c r="AL29" i="3"/>
  <c r="AL45" i="3" s="1"/>
  <c r="BB41" i="3"/>
  <c r="BB38" i="3"/>
  <c r="BB37" i="3"/>
  <c r="BB35" i="3"/>
  <c r="BB34" i="3"/>
  <c r="BB32" i="3"/>
  <c r="BB48" i="3" s="1"/>
  <c r="BB31" i="3"/>
  <c r="BB47" i="3" s="1"/>
  <c r="BB29" i="3"/>
  <c r="BB45" i="3" s="1"/>
  <c r="BR41" i="3"/>
  <c r="BR38" i="3"/>
  <c r="BR37" i="3"/>
  <c r="BR35" i="3"/>
  <c r="BR34" i="3"/>
  <c r="BR32" i="3"/>
  <c r="BR48" i="3" s="1"/>
  <c r="BR31" i="3"/>
  <c r="BR47" i="3" s="1"/>
  <c r="BR29" i="3"/>
  <c r="BR45" i="3" s="1"/>
  <c r="CH41" i="3"/>
  <c r="CH38" i="3"/>
  <c r="CH37" i="3"/>
  <c r="CH35" i="3"/>
  <c r="CH34" i="3"/>
  <c r="CH32" i="3"/>
  <c r="CH48" i="3" s="1"/>
  <c r="CH31" i="3"/>
  <c r="CH47" i="3" s="1"/>
  <c r="CH29" i="3"/>
  <c r="CH45" i="3" s="1"/>
  <c r="CX41" i="3"/>
  <c r="CX38" i="3"/>
  <c r="CX37" i="3"/>
  <c r="CX35" i="3"/>
  <c r="CX34" i="3"/>
  <c r="CX32" i="3"/>
  <c r="CX48" i="3" s="1"/>
  <c r="CX31" i="3"/>
  <c r="CX47" i="3" s="1"/>
  <c r="CX29" i="3"/>
  <c r="CX45" i="3" s="1"/>
  <c r="DN41" i="3"/>
  <c r="DN38" i="3"/>
  <c r="DN35" i="3"/>
  <c r="DN37" i="3"/>
  <c r="DN34" i="3"/>
  <c r="DN50" i="3" s="1"/>
  <c r="DN32" i="3"/>
  <c r="DN48" i="3" s="1"/>
  <c r="DN31" i="3"/>
  <c r="DN47" i="3" s="1"/>
  <c r="DN29" i="3"/>
  <c r="DN45" i="3" s="1"/>
  <c r="ED41" i="3"/>
  <c r="ED57" i="3" s="1"/>
  <c r="ED38" i="3"/>
  <c r="ED54" i="3" s="1"/>
  <c r="ED35" i="3"/>
  <c r="ED37" i="3"/>
  <c r="ED53" i="3" s="1"/>
  <c r="ED34" i="3"/>
  <c r="ED32" i="3"/>
  <c r="ED48" i="3" s="1"/>
  <c r="ED31" i="3"/>
  <c r="ED47" i="3" s="1"/>
  <c r="ED29" i="3"/>
  <c r="ED45" i="3" s="1"/>
  <c r="ET41" i="3"/>
  <c r="ET38" i="3"/>
  <c r="ET35" i="3"/>
  <c r="ET37" i="3"/>
  <c r="ET34" i="3"/>
  <c r="ET32" i="3"/>
  <c r="ET48" i="3" s="1"/>
  <c r="ET31" i="3"/>
  <c r="ET47" i="3" s="1"/>
  <c r="ET29" i="3"/>
  <c r="ET45" i="3" s="1"/>
  <c r="FJ41" i="3"/>
  <c r="FJ38" i="3"/>
  <c r="FJ35" i="3"/>
  <c r="FJ37" i="3"/>
  <c r="FJ34" i="3"/>
  <c r="FJ32" i="3"/>
  <c r="FJ48" i="3" s="1"/>
  <c r="FJ31" i="3"/>
  <c r="FJ47" i="3" s="1"/>
  <c r="FJ29" i="3"/>
  <c r="FJ45" i="3" s="1"/>
  <c r="FZ41" i="3"/>
  <c r="FZ38" i="3"/>
  <c r="FZ35" i="3"/>
  <c r="FZ37" i="3"/>
  <c r="FZ34" i="3"/>
  <c r="FZ32" i="3"/>
  <c r="FZ48" i="3" s="1"/>
  <c r="FZ31" i="3"/>
  <c r="FZ47" i="3" s="1"/>
  <c r="FZ29" i="3"/>
  <c r="FZ45" i="3" s="1"/>
  <c r="GP41" i="3"/>
  <c r="GP38" i="3"/>
  <c r="GP35" i="3"/>
  <c r="GP37" i="3"/>
  <c r="GP34" i="3"/>
  <c r="GP32" i="3"/>
  <c r="GP48" i="3" s="1"/>
  <c r="GP31" i="3"/>
  <c r="GP47" i="3" s="1"/>
  <c r="GP29" i="3"/>
  <c r="GP45" i="3" s="1"/>
  <c r="HF41" i="3"/>
  <c r="HF38" i="3"/>
  <c r="HF35" i="3"/>
  <c r="HF37" i="3"/>
  <c r="HF34" i="3"/>
  <c r="HF32" i="3"/>
  <c r="HF48" i="3" s="1"/>
  <c r="HF31" i="3"/>
  <c r="HF47" i="3" s="1"/>
  <c r="HF29" i="3"/>
  <c r="HF45" i="3" s="1"/>
  <c r="HV41" i="3"/>
  <c r="HV38" i="3"/>
  <c r="HV35" i="3"/>
  <c r="HV37" i="3"/>
  <c r="HV34" i="3"/>
  <c r="HV32" i="3"/>
  <c r="HV48" i="3" s="1"/>
  <c r="HV31" i="3"/>
  <c r="HV47" i="3" s="1"/>
  <c r="HV29" i="3"/>
  <c r="HV45" i="3" s="1"/>
  <c r="IL41" i="3"/>
  <c r="IL38" i="3"/>
  <c r="IL35" i="3"/>
  <c r="IL37" i="3"/>
  <c r="IL34" i="3"/>
  <c r="IL32" i="3"/>
  <c r="IL48" i="3" s="1"/>
  <c r="IL31" i="3"/>
  <c r="IL47" i="3" s="1"/>
  <c r="IL29" i="3"/>
  <c r="IL45" i="3" s="1"/>
  <c r="JB41" i="3"/>
  <c r="JB38" i="3"/>
  <c r="JB35" i="3"/>
  <c r="JB37" i="3"/>
  <c r="JB34" i="3"/>
  <c r="JB32" i="3"/>
  <c r="JB48" i="3" s="1"/>
  <c r="JB31" i="3"/>
  <c r="JB47" i="3" s="1"/>
  <c r="JB29" i="3"/>
  <c r="JB45" i="3" s="1"/>
  <c r="JR41" i="3"/>
  <c r="JR38" i="3"/>
  <c r="JR35" i="3"/>
  <c r="JR37" i="3"/>
  <c r="JR34" i="3"/>
  <c r="JR32" i="3"/>
  <c r="JR48" i="3" s="1"/>
  <c r="JR31" i="3"/>
  <c r="JR47" i="3" s="1"/>
  <c r="JR29" i="3"/>
  <c r="JR45" i="3" s="1"/>
  <c r="KH41" i="3"/>
  <c r="KH38" i="3"/>
  <c r="KH35" i="3"/>
  <c r="KH37" i="3"/>
  <c r="KH34" i="3"/>
  <c r="KH32" i="3"/>
  <c r="KH48" i="3" s="1"/>
  <c r="KH31" i="3"/>
  <c r="KH47" i="3" s="1"/>
  <c r="KH29" i="3"/>
  <c r="KH45" i="3" s="1"/>
  <c r="KX41" i="3"/>
  <c r="KX38" i="3"/>
  <c r="KX54" i="3" s="1"/>
  <c r="KX35" i="3"/>
  <c r="KX37" i="3"/>
  <c r="KX53" i="3" s="1"/>
  <c r="KX34" i="3"/>
  <c r="KX32" i="3"/>
  <c r="KX48" i="3" s="1"/>
  <c r="KX31" i="3"/>
  <c r="KX47" i="3" s="1"/>
  <c r="KX29" i="3"/>
  <c r="KX45" i="3" s="1"/>
  <c r="LN41" i="3"/>
  <c r="LN38" i="3"/>
  <c r="LN54" i="3" s="1"/>
  <c r="LN35" i="3"/>
  <c r="LN37" i="3"/>
  <c r="LN34" i="3"/>
  <c r="LN32" i="3"/>
  <c r="LN48" i="3" s="1"/>
  <c r="LN31" i="3"/>
  <c r="LN47" i="3" s="1"/>
  <c r="LN29" i="3"/>
  <c r="LN45" i="3" s="1"/>
  <c r="S41" i="3"/>
  <c r="S57" i="3" s="1"/>
  <c r="S38" i="3"/>
  <c r="S54" i="3" s="1"/>
  <c r="S37" i="3"/>
  <c r="S53" i="3" s="1"/>
  <c r="S35" i="3"/>
  <c r="S34" i="3"/>
  <c r="S32" i="3"/>
  <c r="S48" i="3" s="1"/>
  <c r="S31" i="3"/>
  <c r="S47" i="3" s="1"/>
  <c r="S29" i="3"/>
  <c r="S45" i="3" s="1"/>
  <c r="AI41" i="3"/>
  <c r="AI38" i="3"/>
  <c r="AI37" i="3"/>
  <c r="AI35" i="3"/>
  <c r="AI34" i="3"/>
  <c r="AI32" i="3"/>
  <c r="AI48" i="3" s="1"/>
  <c r="AI31" i="3"/>
  <c r="AI47" i="3" s="1"/>
  <c r="AI29" i="3"/>
  <c r="AI45" i="3" s="1"/>
  <c r="AY41" i="3"/>
  <c r="AY57" i="3" s="1"/>
  <c r="AY38" i="3"/>
  <c r="AY54" i="3" s="1"/>
  <c r="AY37" i="3"/>
  <c r="AY53" i="3" s="1"/>
  <c r="AY35" i="3"/>
  <c r="AY51" i="3" s="1"/>
  <c r="AY34" i="3"/>
  <c r="AY50" i="3" s="1"/>
  <c r="AY32" i="3"/>
  <c r="AY48" i="3" s="1"/>
  <c r="AY31" i="3"/>
  <c r="AY47" i="3" s="1"/>
  <c r="AY29" i="3"/>
  <c r="AY45" i="3" s="1"/>
  <c r="BO41" i="3"/>
  <c r="BO57" i="3" s="1"/>
  <c r="BO38" i="3"/>
  <c r="BO54" i="3" s="1"/>
  <c r="BO37" i="3"/>
  <c r="BO53" i="3" s="1"/>
  <c r="BO35" i="3"/>
  <c r="BO34" i="3"/>
  <c r="BO32" i="3"/>
  <c r="BO48" i="3" s="1"/>
  <c r="BO31" i="3"/>
  <c r="BO47" i="3" s="1"/>
  <c r="BO29" i="3"/>
  <c r="BO45" i="3" s="1"/>
  <c r="CE41" i="3"/>
  <c r="CE38" i="3"/>
  <c r="CE54" i="3" s="1"/>
  <c r="CE37" i="3"/>
  <c r="CE53" i="3" s="1"/>
  <c r="CE35" i="3"/>
  <c r="CE34" i="3"/>
  <c r="CE32" i="3"/>
  <c r="CE48" i="3" s="1"/>
  <c r="CE31" i="3"/>
  <c r="CE47" i="3" s="1"/>
  <c r="CE29" i="3"/>
  <c r="CE45" i="3" s="1"/>
  <c r="CU41" i="3"/>
  <c r="CU38" i="3"/>
  <c r="CU37" i="3"/>
  <c r="CU35" i="3"/>
  <c r="CU34" i="3"/>
  <c r="CU32" i="3"/>
  <c r="CU48" i="3" s="1"/>
  <c r="CU31" i="3"/>
  <c r="CU47" i="3" s="1"/>
  <c r="CU29" i="3"/>
  <c r="CU45" i="3" s="1"/>
  <c r="DK41" i="3"/>
  <c r="DK38" i="3"/>
  <c r="DK54" i="3" s="1"/>
  <c r="DK37" i="3"/>
  <c r="DK53" i="3" s="1"/>
  <c r="DK35" i="3"/>
  <c r="DK51" i="3" s="1"/>
  <c r="DK34" i="3"/>
  <c r="DK50" i="3" s="1"/>
  <c r="DK32" i="3"/>
  <c r="DK48" i="3" s="1"/>
  <c r="DK31" i="3"/>
  <c r="DK47" i="3" s="1"/>
  <c r="DK29" i="3"/>
  <c r="DK45" i="3" s="1"/>
  <c r="EA41" i="3"/>
  <c r="EA38" i="3"/>
  <c r="EA54" i="3" s="1"/>
  <c r="EA35" i="3"/>
  <c r="EA51" i="3" s="1"/>
  <c r="EA37" i="3"/>
  <c r="EA53" i="3" s="1"/>
  <c r="EA34" i="3"/>
  <c r="EA32" i="3"/>
  <c r="EA48" i="3" s="1"/>
  <c r="EA31" i="3"/>
  <c r="EA47" i="3" s="1"/>
  <c r="EA29" i="3"/>
  <c r="EA45" i="3" s="1"/>
  <c r="EQ41" i="3"/>
  <c r="EQ57" i="3" s="1"/>
  <c r="EQ38" i="3"/>
  <c r="EQ54" i="3" s="1"/>
  <c r="EQ35" i="3"/>
  <c r="EQ51" i="3" s="1"/>
  <c r="EQ37" i="3"/>
  <c r="EQ53" i="3" s="1"/>
  <c r="EQ34" i="3"/>
  <c r="EQ50" i="3" s="1"/>
  <c r="EQ32" i="3"/>
  <c r="EQ48" i="3" s="1"/>
  <c r="EQ31" i="3"/>
  <c r="EQ47" i="3" s="1"/>
  <c r="EQ29" i="3"/>
  <c r="EQ45" i="3" s="1"/>
  <c r="FG41" i="3"/>
  <c r="FG57" i="3" s="1"/>
  <c r="FG38" i="3"/>
  <c r="FG54" i="3" s="1"/>
  <c r="FG35" i="3"/>
  <c r="FG51" i="3" s="1"/>
  <c r="FG37" i="3"/>
  <c r="FG53" i="3" s="1"/>
  <c r="FG34" i="3"/>
  <c r="FG50" i="3" s="1"/>
  <c r="FG32" i="3"/>
  <c r="FG48" i="3" s="1"/>
  <c r="FG31" i="3"/>
  <c r="FG47" i="3" s="1"/>
  <c r="FG29" i="3"/>
  <c r="FG45" i="3" s="1"/>
  <c r="FW41" i="3"/>
  <c r="FW38" i="3"/>
  <c r="FW35" i="3"/>
  <c r="FW51" i="3" s="1"/>
  <c r="FW37" i="3"/>
  <c r="FW34" i="3"/>
  <c r="FW50" i="3" s="1"/>
  <c r="FW32" i="3"/>
  <c r="FW48" i="3" s="1"/>
  <c r="FW31" i="3"/>
  <c r="FW47" i="3" s="1"/>
  <c r="FW29" i="3"/>
  <c r="FW45" i="3" s="1"/>
  <c r="GM41" i="3"/>
  <c r="GM57" i="3" s="1"/>
  <c r="GM38" i="3"/>
  <c r="GM54" i="3" s="1"/>
  <c r="GM35" i="3"/>
  <c r="GM37" i="3"/>
  <c r="GM53" i="3" s="1"/>
  <c r="GM34" i="3"/>
  <c r="GM50" i="3" s="1"/>
  <c r="GM32" i="3"/>
  <c r="GM48" i="3" s="1"/>
  <c r="GM31" i="3"/>
  <c r="GM47" i="3" s="1"/>
  <c r="GM29" i="3"/>
  <c r="GM45" i="3" s="1"/>
  <c r="HC41" i="3"/>
  <c r="HC38" i="3"/>
  <c r="HC35" i="3"/>
  <c r="HC37" i="3"/>
  <c r="HC34" i="3"/>
  <c r="HC32" i="3"/>
  <c r="HC48" i="3" s="1"/>
  <c r="HC31" i="3"/>
  <c r="HC47" i="3" s="1"/>
  <c r="HC29" i="3"/>
  <c r="HC45" i="3" s="1"/>
  <c r="HS41" i="3"/>
  <c r="HS38" i="3"/>
  <c r="HS35" i="3"/>
  <c r="HS37" i="3"/>
  <c r="HS34" i="3"/>
  <c r="HS32" i="3"/>
  <c r="HS48" i="3" s="1"/>
  <c r="HS31" i="3"/>
  <c r="HS47" i="3" s="1"/>
  <c r="HS29" i="3"/>
  <c r="HS45" i="3" s="1"/>
  <c r="II41" i="3"/>
  <c r="II57" i="3" s="1"/>
  <c r="II38" i="3"/>
  <c r="II54" i="3" s="1"/>
  <c r="II35" i="3"/>
  <c r="II37" i="3"/>
  <c r="II53" i="3" s="1"/>
  <c r="II34" i="3"/>
  <c r="II32" i="3"/>
  <c r="II48" i="3" s="1"/>
  <c r="II31" i="3"/>
  <c r="II47" i="3" s="1"/>
  <c r="II29" i="3"/>
  <c r="II45" i="3" s="1"/>
  <c r="IY41" i="3"/>
  <c r="IY57" i="3" s="1"/>
  <c r="IY38" i="3"/>
  <c r="IY54" i="3" s="1"/>
  <c r="IY35" i="3"/>
  <c r="IY51" i="3" s="1"/>
  <c r="IY37" i="3"/>
  <c r="IY53" i="3" s="1"/>
  <c r="IY34" i="3"/>
  <c r="IY50" i="3" s="1"/>
  <c r="IY32" i="3"/>
  <c r="IY48" i="3" s="1"/>
  <c r="IY31" i="3"/>
  <c r="IY47" i="3" s="1"/>
  <c r="IY29" i="3"/>
  <c r="IY45" i="3" s="1"/>
  <c r="JO41" i="3"/>
  <c r="JO38" i="3"/>
  <c r="JO35" i="3"/>
  <c r="JO51" i="3" s="1"/>
  <c r="JO37" i="3"/>
  <c r="JO34" i="3"/>
  <c r="JO50" i="3" s="1"/>
  <c r="JO32" i="3"/>
  <c r="JO48" i="3" s="1"/>
  <c r="JO31" i="3"/>
  <c r="JO47" i="3" s="1"/>
  <c r="JO29" i="3"/>
  <c r="JO45" i="3" s="1"/>
  <c r="KE41" i="3"/>
  <c r="KE38" i="3"/>
  <c r="KE35" i="3"/>
  <c r="KE37" i="3"/>
  <c r="KE34" i="3"/>
  <c r="KE32" i="3"/>
  <c r="KE48" i="3" s="1"/>
  <c r="KE31" i="3"/>
  <c r="KE47" i="3" s="1"/>
  <c r="KE29" i="3"/>
  <c r="KE45" i="3" s="1"/>
  <c r="KU41" i="3"/>
  <c r="KU38" i="3"/>
  <c r="KU35" i="3"/>
  <c r="KU37" i="3"/>
  <c r="KU34" i="3"/>
  <c r="KU32" i="3"/>
  <c r="KU48" i="3" s="1"/>
  <c r="KU31" i="3"/>
  <c r="KU47" i="3" s="1"/>
  <c r="KU29" i="3"/>
  <c r="KU45" i="3" s="1"/>
  <c r="LK41" i="3"/>
  <c r="LK57" i="3" s="1"/>
  <c r="LK38" i="3"/>
  <c r="LK35" i="3"/>
  <c r="LK37" i="3"/>
  <c r="LK34" i="3"/>
  <c r="LK50" i="3" s="1"/>
  <c r="LK32" i="3"/>
  <c r="LK48" i="3" s="1"/>
  <c r="LK31" i="3"/>
  <c r="LK47" i="3" s="1"/>
  <c r="LK29" i="3"/>
  <c r="LK45" i="3" s="1"/>
  <c r="MA41" i="3"/>
  <c r="MA38" i="3"/>
  <c r="MA54" i="3" s="1"/>
  <c r="MA35" i="3"/>
  <c r="MA37" i="3"/>
  <c r="MA53" i="3" s="1"/>
  <c r="MA34" i="3"/>
  <c r="MA32" i="3"/>
  <c r="MA48" i="3" s="1"/>
  <c r="MA31" i="3"/>
  <c r="MA47" i="3" s="1"/>
  <c r="MA29" i="3"/>
  <c r="MA45" i="3" s="1"/>
  <c r="P41" i="3"/>
  <c r="P38" i="3"/>
  <c r="P37" i="3"/>
  <c r="P35" i="3"/>
  <c r="P34" i="3"/>
  <c r="P32" i="3"/>
  <c r="P48" i="3" s="1"/>
  <c r="P31" i="3"/>
  <c r="P47" i="3" s="1"/>
  <c r="P29" i="3"/>
  <c r="P45" i="3" s="1"/>
  <c r="AF41" i="3"/>
  <c r="AF57" i="3" s="1"/>
  <c r="AF38" i="3"/>
  <c r="AF37" i="3"/>
  <c r="AF35" i="3"/>
  <c r="AF34" i="3"/>
  <c r="AF32" i="3"/>
  <c r="AF48" i="3" s="1"/>
  <c r="AF31" i="3"/>
  <c r="AF47" i="3" s="1"/>
  <c r="AF29" i="3"/>
  <c r="AF45" i="3" s="1"/>
  <c r="AV41" i="3"/>
  <c r="AV38" i="3"/>
  <c r="AV37" i="3"/>
  <c r="AV35" i="3"/>
  <c r="AV34" i="3"/>
  <c r="AV32" i="3"/>
  <c r="AV48" i="3" s="1"/>
  <c r="AV31" i="3"/>
  <c r="AV47" i="3" s="1"/>
  <c r="AV29" i="3"/>
  <c r="AV45" i="3" s="1"/>
  <c r="BL41" i="3"/>
  <c r="BL57" i="3" s="1"/>
  <c r="BL38" i="3"/>
  <c r="BL54" i="3" s="1"/>
  <c r="BL37" i="3"/>
  <c r="BL53" i="3" s="1"/>
  <c r="BL35" i="3"/>
  <c r="BL51" i="3" s="1"/>
  <c r="BL34" i="3"/>
  <c r="BL50" i="3" s="1"/>
  <c r="BL32" i="3"/>
  <c r="BL48" i="3" s="1"/>
  <c r="BL31" i="3"/>
  <c r="BL47" i="3" s="1"/>
  <c r="BL29" i="3"/>
  <c r="BL45" i="3" s="1"/>
  <c r="CB41" i="3"/>
  <c r="CB38" i="3"/>
  <c r="CB37" i="3"/>
  <c r="CB35" i="3"/>
  <c r="CB34" i="3"/>
  <c r="CB32" i="3"/>
  <c r="CB48" i="3" s="1"/>
  <c r="CB31" i="3"/>
  <c r="CB47" i="3" s="1"/>
  <c r="CB29" i="3"/>
  <c r="CB45" i="3" s="1"/>
  <c r="CR41" i="3"/>
  <c r="CR57" i="3" s="1"/>
  <c r="CR38" i="3"/>
  <c r="CR37" i="3"/>
  <c r="CR53" i="3" s="1"/>
  <c r="CR35" i="3"/>
  <c r="CR51" i="3" s="1"/>
  <c r="CR34" i="3"/>
  <c r="CR50" i="3" s="1"/>
  <c r="CR32" i="3"/>
  <c r="CR48" i="3" s="1"/>
  <c r="CR31" i="3"/>
  <c r="CR47" i="3" s="1"/>
  <c r="CR29" i="3"/>
  <c r="CR45" i="3" s="1"/>
  <c r="DH41" i="3"/>
  <c r="DH57" i="3" s="1"/>
  <c r="DH38" i="3"/>
  <c r="DH54" i="3" s="1"/>
  <c r="DH35" i="3"/>
  <c r="DH51" i="3" s="1"/>
  <c r="DH37" i="3"/>
  <c r="DH53" i="3" s="1"/>
  <c r="DH34" i="3"/>
  <c r="DH50" i="3" s="1"/>
  <c r="DH32" i="3"/>
  <c r="DH48" i="3" s="1"/>
  <c r="DH31" i="3"/>
  <c r="DH47" i="3" s="1"/>
  <c r="DH29" i="3"/>
  <c r="DH45" i="3" s="1"/>
  <c r="DX41" i="3"/>
  <c r="DX38" i="3"/>
  <c r="DX54" i="3" s="1"/>
  <c r="DX35" i="3"/>
  <c r="DX37" i="3"/>
  <c r="DX53" i="3" s="1"/>
  <c r="DX34" i="3"/>
  <c r="DX32" i="3"/>
  <c r="DX48" i="3" s="1"/>
  <c r="DX31" i="3"/>
  <c r="DX47" i="3" s="1"/>
  <c r="DX29" i="3"/>
  <c r="DX45" i="3" s="1"/>
  <c r="EN41" i="3"/>
  <c r="EN38" i="3"/>
  <c r="EN35" i="3"/>
  <c r="EN37" i="3"/>
  <c r="EN34" i="3"/>
  <c r="EN32" i="3"/>
  <c r="EN48" i="3" s="1"/>
  <c r="EN31" i="3"/>
  <c r="EN47" i="3" s="1"/>
  <c r="EN29" i="3"/>
  <c r="EN45" i="3" s="1"/>
  <c r="FD41" i="3"/>
  <c r="FD38" i="3"/>
  <c r="FD35" i="3"/>
  <c r="FD37" i="3"/>
  <c r="FD34" i="3"/>
  <c r="FD32" i="3"/>
  <c r="FD48" i="3" s="1"/>
  <c r="FD31" i="3"/>
  <c r="FD47" i="3" s="1"/>
  <c r="FD29" i="3"/>
  <c r="FD45" i="3" s="1"/>
  <c r="FT41" i="3"/>
  <c r="FT57" i="3" s="1"/>
  <c r="FT38" i="3"/>
  <c r="FT54" i="3" s="1"/>
  <c r="FT35" i="3"/>
  <c r="FT51" i="3" s="1"/>
  <c r="FT37" i="3"/>
  <c r="FT53" i="3" s="1"/>
  <c r="FT34" i="3"/>
  <c r="FT50" i="3" s="1"/>
  <c r="FT32" i="3"/>
  <c r="FT48" i="3" s="1"/>
  <c r="FT31" i="3"/>
  <c r="FT47" i="3" s="1"/>
  <c r="FT29" i="3"/>
  <c r="FT45" i="3" s="1"/>
  <c r="GJ41" i="3"/>
  <c r="GJ38" i="3"/>
  <c r="GJ35" i="3"/>
  <c r="GJ37" i="3"/>
  <c r="GJ34" i="3"/>
  <c r="GJ32" i="3"/>
  <c r="GJ48" i="3" s="1"/>
  <c r="GJ31" i="3"/>
  <c r="GJ47" i="3" s="1"/>
  <c r="GJ29" i="3"/>
  <c r="GJ45" i="3" s="1"/>
  <c r="HM41" i="3"/>
  <c r="HM38" i="3"/>
  <c r="HM37" i="3"/>
  <c r="HM34" i="3"/>
  <c r="HM35" i="3"/>
  <c r="HM32" i="3"/>
  <c r="HM48" i="3" s="1"/>
  <c r="HM31" i="3"/>
  <c r="HM47" i="3" s="1"/>
  <c r="HM29" i="3"/>
  <c r="HM45" i="3" s="1"/>
  <c r="MG41" i="3"/>
  <c r="MG57" i="3" s="1"/>
  <c r="MG38" i="3"/>
  <c r="MG37" i="3"/>
  <c r="MG34" i="3"/>
  <c r="MG35" i="3"/>
  <c r="MG32" i="3"/>
  <c r="MG48" i="3" s="1"/>
  <c r="MG31" i="3"/>
  <c r="MG47" i="3" s="1"/>
  <c r="MG29" i="3"/>
  <c r="MG45" i="3" s="1"/>
  <c r="OS41" i="3"/>
  <c r="OS38" i="3"/>
  <c r="OS37" i="3"/>
  <c r="OS34" i="3"/>
  <c r="OS35" i="3"/>
  <c r="OS32" i="3"/>
  <c r="OS48" i="3" s="1"/>
  <c r="OS31" i="3"/>
  <c r="OS47" i="3" s="1"/>
  <c r="OS29" i="3"/>
  <c r="OS45" i="3" s="1"/>
  <c r="RE41" i="3"/>
  <c r="RE38" i="3"/>
  <c r="RE37" i="3"/>
  <c r="RE34" i="3"/>
  <c r="RE35" i="3"/>
  <c r="RE32" i="3"/>
  <c r="RE48" i="3" s="1"/>
  <c r="RE31" i="3"/>
  <c r="RE47" i="3" s="1"/>
  <c r="RE29" i="3"/>
  <c r="RE45" i="3" s="1"/>
  <c r="TQ41" i="3"/>
  <c r="TQ57" i="3" s="1"/>
  <c r="TQ38" i="3"/>
  <c r="TQ54" i="3" s="1"/>
  <c r="TQ37" i="3"/>
  <c r="TQ53" i="3" s="1"/>
  <c r="TQ34" i="3"/>
  <c r="TQ50" i="3" s="1"/>
  <c r="TQ35" i="3"/>
  <c r="TQ51" i="3" s="1"/>
  <c r="TQ32" i="3"/>
  <c r="TQ48" i="3" s="1"/>
  <c r="TQ31" i="3"/>
  <c r="TQ47" i="3" s="1"/>
  <c r="TQ29" i="3"/>
  <c r="TQ45" i="3" s="1"/>
  <c r="WC41" i="3"/>
  <c r="WC57" i="3" s="1"/>
  <c r="WC38" i="3"/>
  <c r="WC54" i="3" s="1"/>
  <c r="WC37" i="3"/>
  <c r="WC53" i="3" s="1"/>
  <c r="WC34" i="3"/>
  <c r="WC50" i="3" s="1"/>
  <c r="WC35" i="3"/>
  <c r="WC51" i="3" s="1"/>
  <c r="WC32" i="3"/>
  <c r="WC48" i="3" s="1"/>
  <c r="WC31" i="3"/>
  <c r="WC47" i="3" s="1"/>
  <c r="WC29" i="3"/>
  <c r="WC45" i="3" s="1"/>
  <c r="YO41" i="3"/>
  <c r="YO57" i="3" s="1"/>
  <c r="YO38" i="3"/>
  <c r="YO54" i="3" s="1"/>
  <c r="YO37" i="3"/>
  <c r="YO53" i="3" s="1"/>
  <c r="YO34" i="3"/>
  <c r="YO50" i="3" s="1"/>
  <c r="YO35" i="3"/>
  <c r="YO51" i="3" s="1"/>
  <c r="YO32" i="3"/>
  <c r="YO48" i="3" s="1"/>
  <c r="YO31" i="3"/>
  <c r="YO47" i="3" s="1"/>
  <c r="YO29" i="3"/>
  <c r="YO45" i="3" s="1"/>
  <c r="ABA41" i="3"/>
  <c r="ABA57" i="3" s="1"/>
  <c r="ABA38" i="3"/>
  <c r="ABA54" i="3" s="1"/>
  <c r="ABA37" i="3"/>
  <c r="ABA53" i="3" s="1"/>
  <c r="ABA35" i="3"/>
  <c r="ABA51" i="3" s="1"/>
  <c r="ABA34" i="3"/>
  <c r="ABA50" i="3" s="1"/>
  <c r="ABA32" i="3"/>
  <c r="ABA48" i="3" s="1"/>
  <c r="ABA31" i="3"/>
  <c r="ABA47" i="3" s="1"/>
  <c r="ABA29" i="3"/>
  <c r="ABA45" i="3" s="1"/>
  <c r="ADM41" i="3"/>
  <c r="ADM57" i="3" s="1"/>
  <c r="ADM38" i="3"/>
  <c r="ADM54" i="3" s="1"/>
  <c r="ADM37" i="3"/>
  <c r="ADM53" i="3" s="1"/>
  <c r="ADM35" i="3"/>
  <c r="ADM51" i="3" s="1"/>
  <c r="ADM34" i="3"/>
  <c r="ADM50" i="3" s="1"/>
  <c r="ADM32" i="3"/>
  <c r="ADM48" i="3" s="1"/>
  <c r="ADM31" i="3"/>
  <c r="ADM47" i="3" s="1"/>
  <c r="ADM29" i="3"/>
  <c r="ADM45" i="3" s="1"/>
  <c r="AFY41" i="3"/>
  <c r="AFY57" i="3" s="1"/>
  <c r="AFY38" i="3"/>
  <c r="AFY54" i="3" s="1"/>
  <c r="AFY37" i="3"/>
  <c r="AFY53" i="3" s="1"/>
  <c r="AFY35" i="3"/>
  <c r="AFY51" i="3" s="1"/>
  <c r="AFY34" i="3"/>
  <c r="AFY50" i="3" s="1"/>
  <c r="AFY32" i="3"/>
  <c r="AFY48" i="3" s="1"/>
  <c r="AFY31" i="3"/>
  <c r="AFY47" i="3" s="1"/>
  <c r="AFY29" i="3"/>
  <c r="AFY45" i="3" s="1"/>
  <c r="AIK41" i="3"/>
  <c r="AIK57" i="3" s="1"/>
  <c r="AIK38" i="3"/>
  <c r="AIK54" i="3" s="1"/>
  <c r="AIK37" i="3"/>
  <c r="AIK53" i="3" s="1"/>
  <c r="AIK35" i="3"/>
  <c r="AIK51" i="3" s="1"/>
  <c r="AIK34" i="3"/>
  <c r="AIK50" i="3" s="1"/>
  <c r="AIK32" i="3"/>
  <c r="AIK48" i="3" s="1"/>
  <c r="AIK31" i="3"/>
  <c r="AIK47" i="3" s="1"/>
  <c r="AIK29" i="3"/>
  <c r="AIK45" i="3" s="1"/>
  <c r="AKW41" i="3"/>
  <c r="AKW57" i="3" s="1"/>
  <c r="AKW38" i="3"/>
  <c r="AKW54" i="3" s="1"/>
  <c r="AKW37" i="3"/>
  <c r="AKW53" i="3" s="1"/>
  <c r="AKW35" i="3"/>
  <c r="AKW51" i="3" s="1"/>
  <c r="AKW34" i="3"/>
  <c r="AKW50" i="3" s="1"/>
  <c r="AKW32" i="3"/>
  <c r="AKW48" i="3" s="1"/>
  <c r="AKW31" i="3"/>
  <c r="AKW47" i="3" s="1"/>
  <c r="AKW29" i="3"/>
  <c r="AKW45" i="3" s="1"/>
  <c r="JA41" i="3"/>
  <c r="JA38" i="3"/>
  <c r="JA37" i="3"/>
  <c r="JA35" i="3"/>
  <c r="JA34" i="3"/>
  <c r="JA32" i="3"/>
  <c r="JA48" i="3" s="1"/>
  <c r="JA31" i="3"/>
  <c r="JA47" i="3" s="1"/>
  <c r="JA29" i="3"/>
  <c r="JA45" i="3" s="1"/>
  <c r="NA41" i="3"/>
  <c r="NA38" i="3"/>
  <c r="NA37" i="3"/>
  <c r="NA53" i="3" s="1"/>
  <c r="NA34" i="3"/>
  <c r="NA35" i="3"/>
  <c r="NA32" i="3"/>
  <c r="NA48" i="3" s="1"/>
  <c r="NA31" i="3"/>
  <c r="NA47" i="3" s="1"/>
  <c r="NA29" i="3"/>
  <c r="NA45" i="3" s="1"/>
  <c r="PM41" i="3"/>
  <c r="PM38" i="3"/>
  <c r="PM37" i="3"/>
  <c r="PM53" i="3" s="1"/>
  <c r="PM34" i="3"/>
  <c r="PM35" i="3"/>
  <c r="PM32" i="3"/>
  <c r="PM48" i="3" s="1"/>
  <c r="PM31" i="3"/>
  <c r="PM47" i="3" s="1"/>
  <c r="PM29" i="3"/>
  <c r="PM45" i="3" s="1"/>
  <c r="RY41" i="3"/>
  <c r="RY38" i="3"/>
  <c r="RY37" i="3"/>
  <c r="RY34" i="3"/>
  <c r="RY35" i="3"/>
  <c r="RY32" i="3"/>
  <c r="RY48" i="3" s="1"/>
  <c r="RY31" i="3"/>
  <c r="RY47" i="3" s="1"/>
  <c r="RY29" i="3"/>
  <c r="RY45" i="3" s="1"/>
  <c r="UK41" i="3"/>
  <c r="UK57" i="3" s="1"/>
  <c r="UK38" i="3"/>
  <c r="UK54" i="3" s="1"/>
  <c r="UK37" i="3"/>
  <c r="UK53" i="3" s="1"/>
  <c r="UK34" i="3"/>
  <c r="UK50" i="3" s="1"/>
  <c r="UK35" i="3"/>
  <c r="UK51" i="3" s="1"/>
  <c r="UK32" i="3"/>
  <c r="UK48" i="3" s="1"/>
  <c r="UK31" i="3"/>
  <c r="UK47" i="3" s="1"/>
  <c r="UK29" i="3"/>
  <c r="UK45" i="3" s="1"/>
  <c r="WW41" i="3"/>
  <c r="WW57" i="3" s="1"/>
  <c r="WW38" i="3"/>
  <c r="WW54" i="3" s="1"/>
  <c r="WW37" i="3"/>
  <c r="WW53" i="3" s="1"/>
  <c r="WW34" i="3"/>
  <c r="WW50" i="3" s="1"/>
  <c r="WW35" i="3"/>
  <c r="WW51" i="3" s="1"/>
  <c r="WW32" i="3"/>
  <c r="WW48" i="3" s="1"/>
  <c r="WW31" i="3"/>
  <c r="WW47" i="3" s="1"/>
  <c r="WW29" i="3"/>
  <c r="WW45" i="3" s="1"/>
  <c r="ZI41" i="3"/>
  <c r="ZI57" i="3" s="1"/>
  <c r="ZI38" i="3"/>
  <c r="ZI54" i="3" s="1"/>
  <c r="ZI37" i="3"/>
  <c r="ZI53" i="3" s="1"/>
  <c r="ZI35" i="3"/>
  <c r="ZI51" i="3" s="1"/>
  <c r="ZI34" i="3"/>
  <c r="ZI50" i="3" s="1"/>
  <c r="ZI32" i="3"/>
  <c r="ZI48" i="3" s="1"/>
  <c r="ZI31" i="3"/>
  <c r="ZI47" i="3" s="1"/>
  <c r="ZI29" i="3"/>
  <c r="ZI45" i="3" s="1"/>
  <c r="ABU41" i="3"/>
  <c r="ABU57" i="3" s="1"/>
  <c r="ABU38" i="3"/>
  <c r="ABU54" i="3" s="1"/>
  <c r="ABU37" i="3"/>
  <c r="ABU53" i="3" s="1"/>
  <c r="ABU35" i="3"/>
  <c r="ABU51" i="3" s="1"/>
  <c r="ABU34" i="3"/>
  <c r="ABU50" i="3" s="1"/>
  <c r="ABU32" i="3"/>
  <c r="ABU48" i="3" s="1"/>
  <c r="ABU31" i="3"/>
  <c r="ABU47" i="3" s="1"/>
  <c r="ABU29" i="3"/>
  <c r="ABU45" i="3" s="1"/>
  <c r="AEG41" i="3"/>
  <c r="AEG57" i="3" s="1"/>
  <c r="AEG38" i="3"/>
  <c r="AEG54" i="3" s="1"/>
  <c r="AEG37" i="3"/>
  <c r="AEG53" i="3" s="1"/>
  <c r="AEG35" i="3"/>
  <c r="AEG51" i="3" s="1"/>
  <c r="AEG34" i="3"/>
  <c r="AEG50" i="3" s="1"/>
  <c r="AEG32" i="3"/>
  <c r="AEG48" i="3" s="1"/>
  <c r="AEG31" i="3"/>
  <c r="AEG47" i="3" s="1"/>
  <c r="AEG29" i="3"/>
  <c r="AEG45" i="3" s="1"/>
  <c r="AGS41" i="3"/>
  <c r="AGS57" i="3" s="1"/>
  <c r="AGS38" i="3"/>
  <c r="AGS54" i="3" s="1"/>
  <c r="AGS37" i="3"/>
  <c r="AGS53" i="3" s="1"/>
  <c r="AGS35" i="3"/>
  <c r="AGS51" i="3" s="1"/>
  <c r="AGS34" i="3"/>
  <c r="AGS50" i="3" s="1"/>
  <c r="AGS32" i="3"/>
  <c r="AGS48" i="3" s="1"/>
  <c r="AGS31" i="3"/>
  <c r="AGS47" i="3" s="1"/>
  <c r="AGS29" i="3"/>
  <c r="AGS45" i="3" s="1"/>
  <c r="AJE41" i="3"/>
  <c r="AJE57" i="3" s="1"/>
  <c r="AJE38" i="3"/>
  <c r="AJE54" i="3" s="1"/>
  <c r="AJE37" i="3"/>
  <c r="AJE53" i="3" s="1"/>
  <c r="AJE35" i="3"/>
  <c r="AJE51" i="3" s="1"/>
  <c r="AJE34" i="3"/>
  <c r="AJE50" i="3" s="1"/>
  <c r="AJE32" i="3"/>
  <c r="AJE48" i="3" s="1"/>
  <c r="AJE31" i="3"/>
  <c r="AJE47" i="3" s="1"/>
  <c r="AJE29" i="3"/>
  <c r="AJE45" i="3" s="1"/>
  <c r="ALJ41" i="3"/>
  <c r="ALJ57" i="3" s="1"/>
  <c r="ALJ38" i="3"/>
  <c r="ALJ54" i="3" s="1"/>
  <c r="ALJ37" i="3"/>
  <c r="ALJ53" i="3" s="1"/>
  <c r="ALJ35" i="3"/>
  <c r="ALJ51" i="3" s="1"/>
  <c r="ALJ34" i="3"/>
  <c r="ALJ50" i="3" s="1"/>
  <c r="ALJ32" i="3"/>
  <c r="ALJ48" i="3" s="1"/>
  <c r="ALJ31" i="3"/>
  <c r="ALJ47" i="3" s="1"/>
  <c r="ALJ29" i="3"/>
  <c r="ALJ45" i="3" s="1"/>
  <c r="AKT41" i="3"/>
  <c r="AKT57" i="3" s="1"/>
  <c r="AKT38" i="3"/>
  <c r="AKT54" i="3" s="1"/>
  <c r="AKT37" i="3"/>
  <c r="AKT53" i="3" s="1"/>
  <c r="AKT35" i="3"/>
  <c r="AKT51" i="3" s="1"/>
  <c r="AKT34" i="3"/>
  <c r="AKT50" i="3" s="1"/>
  <c r="AKT32" i="3"/>
  <c r="AKT48" i="3" s="1"/>
  <c r="AKT31" i="3"/>
  <c r="AKT47" i="3" s="1"/>
  <c r="AKT29" i="3"/>
  <c r="AKT45" i="3" s="1"/>
  <c r="AKD41" i="3"/>
  <c r="AKD57" i="3" s="1"/>
  <c r="AKD38" i="3"/>
  <c r="AKD54" i="3" s="1"/>
  <c r="AKD37" i="3"/>
  <c r="AKD53" i="3" s="1"/>
  <c r="AKD35" i="3"/>
  <c r="AKD51" i="3" s="1"/>
  <c r="AKD34" i="3"/>
  <c r="AKD50" i="3" s="1"/>
  <c r="AKD32" i="3"/>
  <c r="AKD48" i="3" s="1"/>
  <c r="AKD31" i="3"/>
  <c r="AKD47" i="3" s="1"/>
  <c r="AKD29" i="3"/>
  <c r="AKD45" i="3" s="1"/>
  <c r="AJN41" i="3"/>
  <c r="AJN57" i="3" s="1"/>
  <c r="AJN38" i="3"/>
  <c r="AJN54" i="3" s="1"/>
  <c r="AJN37" i="3"/>
  <c r="AJN53" i="3" s="1"/>
  <c r="AJN35" i="3"/>
  <c r="AJN51" i="3" s="1"/>
  <c r="AJN34" i="3"/>
  <c r="AJN50" i="3" s="1"/>
  <c r="AJN32" i="3"/>
  <c r="AJN48" i="3" s="1"/>
  <c r="AJN31" i="3"/>
  <c r="AJN47" i="3" s="1"/>
  <c r="AJN29" i="3"/>
  <c r="AJN45" i="3" s="1"/>
  <c r="AIX41" i="3"/>
  <c r="AIX57" i="3" s="1"/>
  <c r="AIX38" i="3"/>
  <c r="AIX54" i="3" s="1"/>
  <c r="AIX37" i="3"/>
  <c r="AIX53" i="3" s="1"/>
  <c r="AIX35" i="3"/>
  <c r="AIX51" i="3" s="1"/>
  <c r="AIX34" i="3"/>
  <c r="AIX50" i="3" s="1"/>
  <c r="AIX32" i="3"/>
  <c r="AIX48" i="3" s="1"/>
  <c r="AIX31" i="3"/>
  <c r="AIX47" i="3" s="1"/>
  <c r="AIX29" i="3"/>
  <c r="AIX45" i="3" s="1"/>
  <c r="AIH41" i="3"/>
  <c r="AIH57" i="3" s="1"/>
  <c r="AIH38" i="3"/>
  <c r="AIH54" i="3" s="1"/>
  <c r="AIH37" i="3"/>
  <c r="AIH53" i="3" s="1"/>
  <c r="AIH35" i="3"/>
  <c r="AIH51" i="3" s="1"/>
  <c r="AIH34" i="3"/>
  <c r="AIH50" i="3" s="1"/>
  <c r="AIH32" i="3"/>
  <c r="AIH48" i="3" s="1"/>
  <c r="AIH31" i="3"/>
  <c r="AIH47" i="3" s="1"/>
  <c r="AIH29" i="3"/>
  <c r="AIH45" i="3" s="1"/>
  <c r="AHR41" i="3"/>
  <c r="AHR57" i="3" s="1"/>
  <c r="AHR38" i="3"/>
  <c r="AHR54" i="3" s="1"/>
  <c r="AHR37" i="3"/>
  <c r="AHR53" i="3" s="1"/>
  <c r="AHR35" i="3"/>
  <c r="AHR51" i="3" s="1"/>
  <c r="AHR34" i="3"/>
  <c r="AHR50" i="3" s="1"/>
  <c r="AHR32" i="3"/>
  <c r="AHR48" i="3" s="1"/>
  <c r="AHR31" i="3"/>
  <c r="AHR47" i="3" s="1"/>
  <c r="AHR29" i="3"/>
  <c r="AHR45" i="3" s="1"/>
  <c r="AHB41" i="3"/>
  <c r="AHB57" i="3" s="1"/>
  <c r="AHB38" i="3"/>
  <c r="AHB54" i="3" s="1"/>
  <c r="AHB37" i="3"/>
  <c r="AHB53" i="3" s="1"/>
  <c r="AHB35" i="3"/>
  <c r="AHB51" i="3" s="1"/>
  <c r="AHB34" i="3"/>
  <c r="AHB50" i="3" s="1"/>
  <c r="AHB32" i="3"/>
  <c r="AHB48" i="3" s="1"/>
  <c r="AHB31" i="3"/>
  <c r="AHB47" i="3" s="1"/>
  <c r="AHB29" i="3"/>
  <c r="AHB45" i="3" s="1"/>
  <c r="AGL41" i="3"/>
  <c r="AGL57" i="3" s="1"/>
  <c r="AGL38" i="3"/>
  <c r="AGL54" i="3" s="1"/>
  <c r="AGL37" i="3"/>
  <c r="AGL53" i="3" s="1"/>
  <c r="AGL35" i="3"/>
  <c r="AGL51" i="3" s="1"/>
  <c r="AGL34" i="3"/>
  <c r="AGL50" i="3" s="1"/>
  <c r="AGL32" i="3"/>
  <c r="AGL48" i="3" s="1"/>
  <c r="AGL31" i="3"/>
  <c r="AGL47" i="3" s="1"/>
  <c r="AGL29" i="3"/>
  <c r="AGL45" i="3" s="1"/>
  <c r="AFV41" i="3"/>
  <c r="AFV57" i="3" s="1"/>
  <c r="AFV38" i="3"/>
  <c r="AFV54" i="3" s="1"/>
  <c r="AFV37" i="3"/>
  <c r="AFV53" i="3" s="1"/>
  <c r="AFV35" i="3"/>
  <c r="AFV51" i="3" s="1"/>
  <c r="AFV34" i="3"/>
  <c r="AFV50" i="3" s="1"/>
  <c r="AFV32" i="3"/>
  <c r="AFV48" i="3" s="1"/>
  <c r="AFV31" i="3"/>
  <c r="AFV47" i="3" s="1"/>
  <c r="AFV29" i="3"/>
  <c r="AFV45" i="3" s="1"/>
  <c r="AFF41" i="3"/>
  <c r="AFF57" i="3" s="1"/>
  <c r="AFF38" i="3"/>
  <c r="AFF54" i="3" s="1"/>
  <c r="AFF37" i="3"/>
  <c r="AFF53" i="3" s="1"/>
  <c r="AFF35" i="3"/>
  <c r="AFF51" i="3" s="1"/>
  <c r="AFF34" i="3"/>
  <c r="AFF50" i="3" s="1"/>
  <c r="AFF32" i="3"/>
  <c r="AFF48" i="3" s="1"/>
  <c r="AFF31" i="3"/>
  <c r="AFF47" i="3" s="1"/>
  <c r="AFF29" i="3"/>
  <c r="AFF45" i="3" s="1"/>
  <c r="AEP41" i="3"/>
  <c r="AEP57" i="3" s="1"/>
  <c r="AEP38" i="3"/>
  <c r="AEP54" i="3" s="1"/>
  <c r="AEP37" i="3"/>
  <c r="AEP53" i="3" s="1"/>
  <c r="AEP35" i="3"/>
  <c r="AEP51" i="3" s="1"/>
  <c r="AEP34" i="3"/>
  <c r="AEP50" i="3" s="1"/>
  <c r="AEP32" i="3"/>
  <c r="AEP48" i="3" s="1"/>
  <c r="AEP31" i="3"/>
  <c r="AEP47" i="3" s="1"/>
  <c r="AEP29" i="3"/>
  <c r="AEP45" i="3" s="1"/>
  <c r="ADZ41" i="3"/>
  <c r="ADZ57" i="3" s="1"/>
  <c r="ADZ38" i="3"/>
  <c r="ADZ54" i="3" s="1"/>
  <c r="ADZ37" i="3"/>
  <c r="ADZ53" i="3" s="1"/>
  <c r="ADZ35" i="3"/>
  <c r="ADZ51" i="3" s="1"/>
  <c r="ADZ34" i="3"/>
  <c r="ADZ50" i="3" s="1"/>
  <c r="ADZ32" i="3"/>
  <c r="ADZ48" i="3" s="1"/>
  <c r="ADZ31" i="3"/>
  <c r="ADZ47" i="3" s="1"/>
  <c r="ADZ29" i="3"/>
  <c r="ADZ45" i="3" s="1"/>
  <c r="ADJ41" i="3"/>
  <c r="ADJ57" i="3" s="1"/>
  <c r="ADJ38" i="3"/>
  <c r="ADJ54" i="3" s="1"/>
  <c r="ADJ37" i="3"/>
  <c r="ADJ53" i="3" s="1"/>
  <c r="ADJ35" i="3"/>
  <c r="ADJ51" i="3" s="1"/>
  <c r="ADJ34" i="3"/>
  <c r="ADJ50" i="3" s="1"/>
  <c r="ADJ32" i="3"/>
  <c r="ADJ48" i="3" s="1"/>
  <c r="ADJ31" i="3"/>
  <c r="ADJ47" i="3" s="1"/>
  <c r="ADJ29" i="3"/>
  <c r="ADJ45" i="3" s="1"/>
  <c r="ACT41" i="3"/>
  <c r="ACT57" i="3" s="1"/>
  <c r="ACT38" i="3"/>
  <c r="ACT54" i="3" s="1"/>
  <c r="ACT37" i="3"/>
  <c r="ACT53" i="3" s="1"/>
  <c r="ACT35" i="3"/>
  <c r="ACT51" i="3" s="1"/>
  <c r="ACT34" i="3"/>
  <c r="ACT50" i="3" s="1"/>
  <c r="ACT32" i="3"/>
  <c r="ACT48" i="3" s="1"/>
  <c r="ACT31" i="3"/>
  <c r="ACT47" i="3" s="1"/>
  <c r="ACT29" i="3"/>
  <c r="ACT45" i="3" s="1"/>
  <c r="ACD41" i="3"/>
  <c r="ACD57" i="3" s="1"/>
  <c r="ACD38" i="3"/>
  <c r="ACD54" i="3" s="1"/>
  <c r="ACD37" i="3"/>
  <c r="ACD53" i="3" s="1"/>
  <c r="ACD35" i="3"/>
  <c r="ACD51" i="3" s="1"/>
  <c r="ACD34" i="3"/>
  <c r="ACD50" i="3" s="1"/>
  <c r="ACD32" i="3"/>
  <c r="ACD48" i="3" s="1"/>
  <c r="ACD31" i="3"/>
  <c r="ACD47" i="3" s="1"/>
  <c r="ACD29" i="3"/>
  <c r="ACD45" i="3" s="1"/>
  <c r="ABN41" i="3"/>
  <c r="ABN57" i="3" s="1"/>
  <c r="ABN38" i="3"/>
  <c r="ABN54" i="3" s="1"/>
  <c r="ABN37" i="3"/>
  <c r="ABN53" i="3" s="1"/>
  <c r="ABN35" i="3"/>
  <c r="ABN51" i="3" s="1"/>
  <c r="ABN34" i="3"/>
  <c r="ABN50" i="3" s="1"/>
  <c r="ABN32" i="3"/>
  <c r="ABN48" i="3" s="1"/>
  <c r="ABN31" i="3"/>
  <c r="ABN47" i="3" s="1"/>
  <c r="ABN29" i="3"/>
  <c r="ABN45" i="3" s="1"/>
  <c r="AAX41" i="3"/>
  <c r="AAX57" i="3" s="1"/>
  <c r="AAX38" i="3"/>
  <c r="AAX54" i="3" s="1"/>
  <c r="AAX37" i="3"/>
  <c r="AAX53" i="3" s="1"/>
  <c r="AAX35" i="3"/>
  <c r="AAX51" i="3" s="1"/>
  <c r="AAX34" i="3"/>
  <c r="AAX50" i="3" s="1"/>
  <c r="AAX32" i="3"/>
  <c r="AAX48" i="3" s="1"/>
  <c r="AAX31" i="3"/>
  <c r="AAX47" i="3" s="1"/>
  <c r="AAX29" i="3"/>
  <c r="AAX45" i="3" s="1"/>
  <c r="AAH41" i="3"/>
  <c r="AAH57" i="3" s="1"/>
  <c r="AAH38" i="3"/>
  <c r="AAH54" i="3" s="1"/>
  <c r="AAH37" i="3"/>
  <c r="AAH53" i="3" s="1"/>
  <c r="AAH35" i="3"/>
  <c r="AAH51" i="3" s="1"/>
  <c r="AAH34" i="3"/>
  <c r="AAH50" i="3" s="1"/>
  <c r="AAH32" i="3"/>
  <c r="AAH48" i="3" s="1"/>
  <c r="AAH31" i="3"/>
  <c r="AAH47" i="3" s="1"/>
  <c r="AAH29" i="3"/>
  <c r="AAH45" i="3" s="1"/>
  <c r="ZR41" i="3"/>
  <c r="ZR57" i="3" s="1"/>
  <c r="ZR38" i="3"/>
  <c r="ZR54" i="3" s="1"/>
  <c r="ZR37" i="3"/>
  <c r="ZR53" i="3" s="1"/>
  <c r="ZR35" i="3"/>
  <c r="ZR51" i="3" s="1"/>
  <c r="ZR34" i="3"/>
  <c r="ZR50" i="3" s="1"/>
  <c r="ZR32" i="3"/>
  <c r="ZR48" i="3" s="1"/>
  <c r="ZR31" i="3"/>
  <c r="ZR47" i="3" s="1"/>
  <c r="ZR29" i="3"/>
  <c r="ZR45" i="3" s="1"/>
  <c r="ZB41" i="3"/>
  <c r="ZB57" i="3" s="1"/>
  <c r="ZB38" i="3"/>
  <c r="ZB54" i="3" s="1"/>
  <c r="ZB37" i="3"/>
  <c r="ZB53" i="3" s="1"/>
  <c r="ZB35" i="3"/>
  <c r="ZB51" i="3" s="1"/>
  <c r="ZB34" i="3"/>
  <c r="ZB50" i="3" s="1"/>
  <c r="ZB32" i="3"/>
  <c r="ZB48" i="3" s="1"/>
  <c r="ZB31" i="3"/>
  <c r="ZB47" i="3" s="1"/>
  <c r="ZB29" i="3"/>
  <c r="ZB45" i="3" s="1"/>
  <c r="YL41" i="3"/>
  <c r="YL57" i="3" s="1"/>
  <c r="YL38" i="3"/>
  <c r="YL54" i="3" s="1"/>
  <c r="YL37" i="3"/>
  <c r="YL53" i="3" s="1"/>
  <c r="YL35" i="3"/>
  <c r="YL51" i="3" s="1"/>
  <c r="YL34" i="3"/>
  <c r="YL50" i="3" s="1"/>
  <c r="YL32" i="3"/>
  <c r="YL48" i="3" s="1"/>
  <c r="YL31" i="3"/>
  <c r="YL47" i="3" s="1"/>
  <c r="YL29" i="3"/>
  <c r="YL45" i="3" s="1"/>
  <c r="XV41" i="3"/>
  <c r="XV57" i="3" s="1"/>
  <c r="XV38" i="3"/>
  <c r="XV54" i="3" s="1"/>
  <c r="XV37" i="3"/>
  <c r="XV53" i="3" s="1"/>
  <c r="XV35" i="3"/>
  <c r="XV51" i="3" s="1"/>
  <c r="XV34" i="3"/>
  <c r="XV50" i="3" s="1"/>
  <c r="XV32" i="3"/>
  <c r="XV48" i="3" s="1"/>
  <c r="XV31" i="3"/>
  <c r="XV47" i="3" s="1"/>
  <c r="XV29" i="3"/>
  <c r="XV45" i="3" s="1"/>
  <c r="XF41" i="3"/>
  <c r="XF57" i="3" s="1"/>
  <c r="XF38" i="3"/>
  <c r="XF54" i="3" s="1"/>
  <c r="XF37" i="3"/>
  <c r="XF53" i="3" s="1"/>
  <c r="XF35" i="3"/>
  <c r="XF51" i="3" s="1"/>
  <c r="XF34" i="3"/>
  <c r="XF50" i="3" s="1"/>
  <c r="XF32" i="3"/>
  <c r="XF48" i="3" s="1"/>
  <c r="XF31" i="3"/>
  <c r="XF47" i="3" s="1"/>
  <c r="XF29" i="3"/>
  <c r="XF45" i="3" s="1"/>
  <c r="WP41" i="3"/>
  <c r="WP57" i="3" s="1"/>
  <c r="WP38" i="3"/>
  <c r="WP54" i="3" s="1"/>
  <c r="WP37" i="3"/>
  <c r="WP53" i="3" s="1"/>
  <c r="WP35" i="3"/>
  <c r="WP51" i="3" s="1"/>
  <c r="WP34" i="3"/>
  <c r="WP50" i="3" s="1"/>
  <c r="WP32" i="3"/>
  <c r="WP48" i="3" s="1"/>
  <c r="WP31" i="3"/>
  <c r="WP47" i="3" s="1"/>
  <c r="WP29" i="3"/>
  <c r="WP45" i="3" s="1"/>
  <c r="VZ41" i="3"/>
  <c r="VZ57" i="3" s="1"/>
  <c r="VZ38" i="3"/>
  <c r="VZ54" i="3" s="1"/>
  <c r="VZ37" i="3"/>
  <c r="VZ53" i="3" s="1"/>
  <c r="VZ35" i="3"/>
  <c r="VZ51" i="3" s="1"/>
  <c r="VZ34" i="3"/>
  <c r="VZ50" i="3" s="1"/>
  <c r="VZ32" i="3"/>
  <c r="VZ48" i="3" s="1"/>
  <c r="VZ31" i="3"/>
  <c r="VZ47" i="3" s="1"/>
  <c r="VZ29" i="3"/>
  <c r="VZ45" i="3" s="1"/>
  <c r="VJ41" i="3"/>
  <c r="VJ57" i="3" s="1"/>
  <c r="VJ38" i="3"/>
  <c r="VJ54" i="3" s="1"/>
  <c r="VJ37" i="3"/>
  <c r="VJ53" i="3" s="1"/>
  <c r="VJ35" i="3"/>
  <c r="VJ51" i="3" s="1"/>
  <c r="VJ34" i="3"/>
  <c r="VJ50" i="3" s="1"/>
  <c r="VJ32" i="3"/>
  <c r="VJ48" i="3" s="1"/>
  <c r="VJ31" i="3"/>
  <c r="VJ47" i="3" s="1"/>
  <c r="VJ29" i="3"/>
  <c r="VJ45" i="3" s="1"/>
  <c r="UT41" i="3"/>
  <c r="UT57" i="3" s="1"/>
  <c r="UT38" i="3"/>
  <c r="UT54" i="3" s="1"/>
  <c r="UT37" i="3"/>
  <c r="UT53" i="3" s="1"/>
  <c r="UT35" i="3"/>
  <c r="UT51" i="3" s="1"/>
  <c r="UT34" i="3"/>
  <c r="UT50" i="3" s="1"/>
  <c r="UT32" i="3"/>
  <c r="UT48" i="3" s="1"/>
  <c r="UT31" i="3"/>
  <c r="UT47" i="3" s="1"/>
  <c r="UT29" i="3"/>
  <c r="UT45" i="3" s="1"/>
  <c r="UD41" i="3"/>
  <c r="UD57" i="3" s="1"/>
  <c r="UD38" i="3"/>
  <c r="UD54" i="3" s="1"/>
  <c r="UD37" i="3"/>
  <c r="UD53" i="3" s="1"/>
  <c r="UD35" i="3"/>
  <c r="UD51" i="3" s="1"/>
  <c r="UD34" i="3"/>
  <c r="UD50" i="3" s="1"/>
  <c r="UD32" i="3"/>
  <c r="UD48" i="3" s="1"/>
  <c r="UD31" i="3"/>
  <c r="UD47" i="3" s="1"/>
  <c r="UD29" i="3"/>
  <c r="UD45" i="3" s="1"/>
  <c r="TN41" i="3"/>
  <c r="TN57" i="3" s="1"/>
  <c r="TN38" i="3"/>
  <c r="TN54" i="3" s="1"/>
  <c r="TN37" i="3"/>
  <c r="TN53" i="3" s="1"/>
  <c r="TN35" i="3"/>
  <c r="TN51" i="3" s="1"/>
  <c r="TN34" i="3"/>
  <c r="TN50" i="3" s="1"/>
  <c r="TN32" i="3"/>
  <c r="TN48" i="3" s="1"/>
  <c r="TN29" i="3"/>
  <c r="TN45" i="3" s="1"/>
  <c r="TN31" i="3"/>
  <c r="TN47" i="3" s="1"/>
  <c r="SX41" i="3"/>
  <c r="SX57" i="3" s="1"/>
  <c r="SX38" i="3"/>
  <c r="SX54" i="3" s="1"/>
  <c r="SX37" i="3"/>
  <c r="SX53" i="3" s="1"/>
  <c r="SX35" i="3"/>
  <c r="SX51" i="3" s="1"/>
  <c r="SX34" i="3"/>
  <c r="SX50" i="3" s="1"/>
  <c r="SX32" i="3"/>
  <c r="SX48" i="3" s="1"/>
  <c r="SX31" i="3"/>
  <c r="SX47" i="3" s="1"/>
  <c r="SX29" i="3"/>
  <c r="SX45" i="3" s="1"/>
  <c r="SH41" i="3"/>
  <c r="SH57" i="3" s="1"/>
  <c r="SH38" i="3"/>
  <c r="SH54" i="3" s="1"/>
  <c r="SH37" i="3"/>
  <c r="SH53" i="3" s="1"/>
  <c r="SH35" i="3"/>
  <c r="SH51" i="3" s="1"/>
  <c r="SH34" i="3"/>
  <c r="SH50" i="3" s="1"/>
  <c r="SH32" i="3"/>
  <c r="SH48" i="3" s="1"/>
  <c r="SH31" i="3"/>
  <c r="SH47" i="3" s="1"/>
  <c r="SH29" i="3"/>
  <c r="SH45" i="3" s="1"/>
  <c r="RR41" i="3"/>
  <c r="RR57" i="3" s="1"/>
  <c r="RR38" i="3"/>
  <c r="RR37" i="3"/>
  <c r="RR35" i="3"/>
  <c r="RR51" i="3" s="1"/>
  <c r="RR34" i="3"/>
  <c r="RR50" i="3" s="1"/>
  <c r="RR32" i="3"/>
  <c r="RR48" i="3" s="1"/>
  <c r="RR31" i="3"/>
  <c r="RR47" i="3" s="1"/>
  <c r="RR29" i="3"/>
  <c r="RR45" i="3" s="1"/>
  <c r="RB41" i="3"/>
  <c r="RB38" i="3"/>
  <c r="RB37" i="3"/>
  <c r="RB35" i="3"/>
  <c r="RB34" i="3"/>
  <c r="RB32" i="3"/>
  <c r="RB48" i="3" s="1"/>
  <c r="RB31" i="3"/>
  <c r="RB47" i="3" s="1"/>
  <c r="RB29" i="3"/>
  <c r="RB45" i="3" s="1"/>
  <c r="QL41" i="3"/>
  <c r="QL38" i="3"/>
  <c r="QL37" i="3"/>
  <c r="QL35" i="3"/>
  <c r="QL34" i="3"/>
  <c r="QL32" i="3"/>
  <c r="QL48" i="3" s="1"/>
  <c r="QL31" i="3"/>
  <c r="QL47" i="3" s="1"/>
  <c r="QL29" i="3"/>
  <c r="QL45" i="3" s="1"/>
  <c r="PV41" i="3"/>
  <c r="PV38" i="3"/>
  <c r="PV37" i="3"/>
  <c r="PV35" i="3"/>
  <c r="PV51" i="3" s="1"/>
  <c r="PV34" i="3"/>
  <c r="PV50" i="3" s="1"/>
  <c r="PV32" i="3"/>
  <c r="PV48" i="3" s="1"/>
  <c r="PV31" i="3"/>
  <c r="PV47" i="3" s="1"/>
  <c r="PV29" i="3"/>
  <c r="PV45" i="3" s="1"/>
  <c r="PF41" i="3"/>
  <c r="PF57" i="3" s="1"/>
  <c r="PF38" i="3"/>
  <c r="PF54" i="3" s="1"/>
  <c r="PF37" i="3"/>
  <c r="PF35" i="3"/>
  <c r="PF51" i="3" s="1"/>
  <c r="PF34" i="3"/>
  <c r="PF50" i="3" s="1"/>
  <c r="PF32" i="3"/>
  <c r="PF48" i="3" s="1"/>
  <c r="PF31" i="3"/>
  <c r="PF47" i="3" s="1"/>
  <c r="PF29" i="3"/>
  <c r="PF45" i="3" s="1"/>
  <c r="OP41" i="3"/>
  <c r="OP57" i="3" s="1"/>
  <c r="OP38" i="3"/>
  <c r="OP37" i="3"/>
  <c r="OP35" i="3"/>
  <c r="OP34" i="3"/>
  <c r="OP32" i="3"/>
  <c r="OP48" i="3" s="1"/>
  <c r="OP31" i="3"/>
  <c r="OP47" i="3" s="1"/>
  <c r="OP29" i="3"/>
  <c r="OP45" i="3" s="1"/>
  <c r="NZ41" i="3"/>
  <c r="NZ57" i="3" s="1"/>
  <c r="NZ38" i="3"/>
  <c r="NZ54" i="3" s="1"/>
  <c r="NZ37" i="3"/>
  <c r="NZ53" i="3" s="1"/>
  <c r="NZ35" i="3"/>
  <c r="NZ51" i="3" s="1"/>
  <c r="NZ34" i="3"/>
  <c r="NZ50" i="3" s="1"/>
  <c r="NZ32" i="3"/>
  <c r="NZ48" i="3" s="1"/>
  <c r="NZ31" i="3"/>
  <c r="NZ47" i="3" s="1"/>
  <c r="NZ29" i="3"/>
  <c r="NZ45" i="3" s="1"/>
  <c r="NJ41" i="3"/>
  <c r="NJ38" i="3"/>
  <c r="NJ37" i="3"/>
  <c r="NJ35" i="3"/>
  <c r="NJ34" i="3"/>
  <c r="NJ32" i="3"/>
  <c r="NJ48" i="3" s="1"/>
  <c r="NJ31" i="3"/>
  <c r="NJ47" i="3" s="1"/>
  <c r="NJ29" i="3"/>
  <c r="NJ45" i="3" s="1"/>
  <c r="MT41" i="3"/>
  <c r="MT38" i="3"/>
  <c r="MT54" i="3" s="1"/>
  <c r="MT35" i="3"/>
  <c r="MT51" i="3" s="1"/>
  <c r="MT37" i="3"/>
  <c r="MT53" i="3" s="1"/>
  <c r="MT34" i="3"/>
  <c r="MT50" i="3" s="1"/>
  <c r="MT32" i="3"/>
  <c r="MT48" i="3" s="1"/>
  <c r="MT31" i="3"/>
  <c r="MT47" i="3" s="1"/>
  <c r="MT29" i="3"/>
  <c r="MT45" i="3" s="1"/>
  <c r="MD41" i="3"/>
  <c r="MD38" i="3"/>
  <c r="MD35" i="3"/>
  <c r="MD37" i="3"/>
  <c r="MD34" i="3"/>
  <c r="MD32" i="3"/>
  <c r="MD48" i="3" s="1"/>
  <c r="MD31" i="3"/>
  <c r="MD47" i="3" s="1"/>
  <c r="MD29" i="3"/>
  <c r="MD45" i="3" s="1"/>
  <c r="KZ41" i="3"/>
  <c r="KZ38" i="3"/>
  <c r="KZ54" i="3" s="1"/>
  <c r="KZ35" i="3"/>
  <c r="KZ37" i="3"/>
  <c r="KZ53" i="3" s="1"/>
  <c r="KZ34" i="3"/>
  <c r="KZ32" i="3"/>
  <c r="KZ48" i="3" s="1"/>
  <c r="KZ31" i="3"/>
  <c r="KZ47" i="3" s="1"/>
  <c r="KZ29" i="3"/>
  <c r="KZ45" i="3" s="1"/>
  <c r="JT41" i="3"/>
  <c r="JT57" i="3" s="1"/>
  <c r="JT38" i="3"/>
  <c r="JT54" i="3" s="1"/>
  <c r="JT35" i="3"/>
  <c r="JT51" i="3" s="1"/>
  <c r="JT37" i="3"/>
  <c r="JT53" i="3" s="1"/>
  <c r="JT34" i="3"/>
  <c r="JT50" i="3" s="1"/>
  <c r="JT32" i="3"/>
  <c r="JT48" i="3" s="1"/>
  <c r="JT31" i="3"/>
  <c r="JT47" i="3" s="1"/>
  <c r="JT29" i="3"/>
  <c r="JT45" i="3" s="1"/>
  <c r="IN41" i="3"/>
  <c r="IN38" i="3"/>
  <c r="IN35" i="3"/>
  <c r="IN37" i="3"/>
  <c r="IN34" i="3"/>
  <c r="IN32" i="3"/>
  <c r="IN48" i="3" s="1"/>
  <c r="IN31" i="3"/>
  <c r="IN47" i="3" s="1"/>
  <c r="IN29" i="3"/>
  <c r="IN45" i="3" s="1"/>
  <c r="HH41" i="3"/>
  <c r="HH57" i="3" s="1"/>
  <c r="HH38" i="3"/>
  <c r="HH54" i="3" s="1"/>
  <c r="HH35" i="3"/>
  <c r="HH51" i="3" s="1"/>
  <c r="HH37" i="3"/>
  <c r="HH53" i="3" s="1"/>
  <c r="HH34" i="3"/>
  <c r="HH50" i="3" s="1"/>
  <c r="HH32" i="3"/>
  <c r="HH48" i="3" s="1"/>
  <c r="HH31" i="3"/>
  <c r="HH47" i="3" s="1"/>
  <c r="HH29" i="3"/>
  <c r="HH45" i="3" s="1"/>
  <c r="FI41" i="3"/>
  <c r="FI38" i="3"/>
  <c r="FI37" i="3"/>
  <c r="FI35" i="3"/>
  <c r="FI34" i="3"/>
  <c r="FI32" i="3"/>
  <c r="FI48" i="3" s="1"/>
  <c r="FI31" i="3"/>
  <c r="FI47" i="3" s="1"/>
  <c r="FI29" i="3"/>
  <c r="FI45" i="3" s="1"/>
  <c r="CW41" i="3"/>
  <c r="CW38" i="3"/>
  <c r="CW37" i="3"/>
  <c r="CW35" i="3"/>
  <c r="CW34" i="3"/>
  <c r="CW32" i="3"/>
  <c r="CW48" i="3" s="1"/>
  <c r="CW31" i="3"/>
  <c r="CW47" i="3" s="1"/>
  <c r="CW29" i="3"/>
  <c r="CW45" i="3" s="1"/>
  <c r="AK41" i="3"/>
  <c r="AK38" i="3"/>
  <c r="AK37" i="3"/>
  <c r="AK35" i="3"/>
  <c r="AK34" i="3"/>
  <c r="AK32" i="3"/>
  <c r="AK48" i="3" s="1"/>
  <c r="AK31" i="3"/>
  <c r="AK47" i="3" s="1"/>
  <c r="AK29" i="3"/>
  <c r="AK45" i="3" s="1"/>
  <c r="AKZ41" i="3"/>
  <c r="AKZ57" i="3" s="1"/>
  <c r="AKZ38" i="3"/>
  <c r="AKZ54" i="3" s="1"/>
  <c r="AKZ37" i="3"/>
  <c r="AKZ53" i="3" s="1"/>
  <c r="AKZ35" i="3"/>
  <c r="AKZ51" i="3" s="1"/>
  <c r="AKZ34" i="3"/>
  <c r="AKZ50" i="3" s="1"/>
  <c r="AKZ32" i="3"/>
  <c r="AKZ48" i="3" s="1"/>
  <c r="AKZ31" i="3"/>
  <c r="AKZ47" i="3" s="1"/>
  <c r="AKZ29" i="3"/>
  <c r="AKZ45" i="3" s="1"/>
  <c r="AKJ41" i="3"/>
  <c r="AKJ57" i="3" s="1"/>
  <c r="AKJ38" i="3"/>
  <c r="AKJ54" i="3" s="1"/>
  <c r="AKJ37" i="3"/>
  <c r="AKJ53" i="3" s="1"/>
  <c r="AKJ35" i="3"/>
  <c r="AKJ51" i="3" s="1"/>
  <c r="AKJ34" i="3"/>
  <c r="AKJ50" i="3" s="1"/>
  <c r="AKJ32" i="3"/>
  <c r="AKJ48" i="3" s="1"/>
  <c r="AKJ31" i="3"/>
  <c r="AKJ47" i="3" s="1"/>
  <c r="AKJ29" i="3"/>
  <c r="AKJ45" i="3" s="1"/>
  <c r="AJT41" i="3"/>
  <c r="AJT57" i="3" s="1"/>
  <c r="AJT38" i="3"/>
  <c r="AJT54" i="3" s="1"/>
  <c r="AJT37" i="3"/>
  <c r="AJT53" i="3" s="1"/>
  <c r="AJT35" i="3"/>
  <c r="AJT51" i="3" s="1"/>
  <c r="AJT34" i="3"/>
  <c r="AJT50" i="3" s="1"/>
  <c r="AJT32" i="3"/>
  <c r="AJT48" i="3" s="1"/>
  <c r="AJT31" i="3"/>
  <c r="AJT47" i="3" s="1"/>
  <c r="AJT29" i="3"/>
  <c r="AJT45" i="3" s="1"/>
  <c r="AJD41" i="3"/>
  <c r="AJD57" i="3" s="1"/>
  <c r="AJD38" i="3"/>
  <c r="AJD54" i="3" s="1"/>
  <c r="AJD37" i="3"/>
  <c r="AJD53" i="3" s="1"/>
  <c r="AJD35" i="3"/>
  <c r="AJD51" i="3" s="1"/>
  <c r="AJD34" i="3"/>
  <c r="AJD50" i="3" s="1"/>
  <c r="AJD32" i="3"/>
  <c r="AJD48" i="3" s="1"/>
  <c r="AJD31" i="3"/>
  <c r="AJD47" i="3" s="1"/>
  <c r="AJD29" i="3"/>
  <c r="AJD45" i="3" s="1"/>
  <c r="AIN41" i="3"/>
  <c r="AIN57" i="3" s="1"/>
  <c r="AIN38" i="3"/>
  <c r="AIN54" i="3" s="1"/>
  <c r="AIN37" i="3"/>
  <c r="AIN53" i="3" s="1"/>
  <c r="AIN35" i="3"/>
  <c r="AIN51" i="3" s="1"/>
  <c r="AIN34" i="3"/>
  <c r="AIN50" i="3" s="1"/>
  <c r="AIN32" i="3"/>
  <c r="AIN48" i="3" s="1"/>
  <c r="AIN31" i="3"/>
  <c r="AIN47" i="3" s="1"/>
  <c r="AIN29" i="3"/>
  <c r="AIN45" i="3" s="1"/>
  <c r="AHX41" i="3"/>
  <c r="AHX57" i="3" s="1"/>
  <c r="AHX38" i="3"/>
  <c r="AHX54" i="3" s="1"/>
  <c r="AHX37" i="3"/>
  <c r="AHX53" i="3" s="1"/>
  <c r="AHX35" i="3"/>
  <c r="AHX51" i="3" s="1"/>
  <c r="AHX34" i="3"/>
  <c r="AHX50" i="3" s="1"/>
  <c r="AHX32" i="3"/>
  <c r="AHX48" i="3" s="1"/>
  <c r="AHX31" i="3"/>
  <c r="AHX47" i="3" s="1"/>
  <c r="AHX29" i="3"/>
  <c r="AHX45" i="3" s="1"/>
  <c r="AHH41" i="3"/>
  <c r="AHH57" i="3" s="1"/>
  <c r="AHH38" i="3"/>
  <c r="AHH54" i="3" s="1"/>
  <c r="AHH37" i="3"/>
  <c r="AHH53" i="3" s="1"/>
  <c r="AHH35" i="3"/>
  <c r="AHH51" i="3" s="1"/>
  <c r="AHH34" i="3"/>
  <c r="AHH50" i="3" s="1"/>
  <c r="AHH32" i="3"/>
  <c r="AHH48" i="3" s="1"/>
  <c r="AHH31" i="3"/>
  <c r="AHH47" i="3" s="1"/>
  <c r="AHH29" i="3"/>
  <c r="AHH45" i="3" s="1"/>
  <c r="AGR41" i="3"/>
  <c r="AGR57" i="3" s="1"/>
  <c r="AGR38" i="3"/>
  <c r="AGR54" i="3" s="1"/>
  <c r="AGR37" i="3"/>
  <c r="AGR53" i="3" s="1"/>
  <c r="AGR35" i="3"/>
  <c r="AGR51" i="3" s="1"/>
  <c r="AGR34" i="3"/>
  <c r="AGR50" i="3" s="1"/>
  <c r="AGR32" i="3"/>
  <c r="AGR48" i="3" s="1"/>
  <c r="AGR31" i="3"/>
  <c r="AGR47" i="3" s="1"/>
  <c r="AGR29" i="3"/>
  <c r="AGR45" i="3" s="1"/>
  <c r="AGB41" i="3"/>
  <c r="AGB57" i="3" s="1"/>
  <c r="AGB38" i="3"/>
  <c r="AGB54" i="3" s="1"/>
  <c r="AGB37" i="3"/>
  <c r="AGB53" i="3" s="1"/>
  <c r="AGB35" i="3"/>
  <c r="AGB51" i="3" s="1"/>
  <c r="AGB34" i="3"/>
  <c r="AGB50" i="3" s="1"/>
  <c r="AGB32" i="3"/>
  <c r="AGB48" i="3" s="1"/>
  <c r="AGB31" i="3"/>
  <c r="AGB47" i="3" s="1"/>
  <c r="AGB29" i="3"/>
  <c r="AGB45" i="3" s="1"/>
  <c r="AFL41" i="3"/>
  <c r="AFL57" i="3" s="1"/>
  <c r="AFL38" i="3"/>
  <c r="AFL54" i="3" s="1"/>
  <c r="AFL37" i="3"/>
  <c r="AFL53" i="3" s="1"/>
  <c r="AFL35" i="3"/>
  <c r="AFL51" i="3" s="1"/>
  <c r="AFL34" i="3"/>
  <c r="AFL50" i="3" s="1"/>
  <c r="AFL32" i="3"/>
  <c r="AFL48" i="3" s="1"/>
  <c r="AFL31" i="3"/>
  <c r="AFL47" i="3" s="1"/>
  <c r="AFL29" i="3"/>
  <c r="AFL45" i="3" s="1"/>
  <c r="AEV41" i="3"/>
  <c r="AEV57" i="3" s="1"/>
  <c r="AEV38" i="3"/>
  <c r="AEV54" i="3" s="1"/>
  <c r="AEV37" i="3"/>
  <c r="AEV53" i="3" s="1"/>
  <c r="AEV35" i="3"/>
  <c r="AEV51" i="3" s="1"/>
  <c r="AEV34" i="3"/>
  <c r="AEV50" i="3" s="1"/>
  <c r="AEV32" i="3"/>
  <c r="AEV48" i="3" s="1"/>
  <c r="AEV31" i="3"/>
  <c r="AEV47" i="3" s="1"/>
  <c r="AEV29" i="3"/>
  <c r="AEV45" i="3" s="1"/>
  <c r="AEF41" i="3"/>
  <c r="AEF57" i="3" s="1"/>
  <c r="AEF38" i="3"/>
  <c r="AEF54" i="3" s="1"/>
  <c r="AEF37" i="3"/>
  <c r="AEF53" i="3" s="1"/>
  <c r="AEF35" i="3"/>
  <c r="AEF51" i="3" s="1"/>
  <c r="AEF34" i="3"/>
  <c r="AEF50" i="3" s="1"/>
  <c r="AEF32" i="3"/>
  <c r="AEF48" i="3" s="1"/>
  <c r="AEF31" i="3"/>
  <c r="AEF47" i="3" s="1"/>
  <c r="AEF29" i="3"/>
  <c r="AEF45" i="3" s="1"/>
  <c r="ADP41" i="3"/>
  <c r="ADP57" i="3" s="1"/>
  <c r="ADP38" i="3"/>
  <c r="ADP54" i="3" s="1"/>
  <c r="ADP37" i="3"/>
  <c r="ADP53" i="3" s="1"/>
  <c r="ADP35" i="3"/>
  <c r="ADP51" i="3" s="1"/>
  <c r="ADP34" i="3"/>
  <c r="ADP50" i="3" s="1"/>
  <c r="ADP32" i="3"/>
  <c r="ADP48" i="3" s="1"/>
  <c r="ADP31" i="3"/>
  <c r="ADP47" i="3" s="1"/>
  <c r="ADP29" i="3"/>
  <c r="ADP45" i="3" s="1"/>
  <c r="ACZ41" i="3"/>
  <c r="ACZ57" i="3" s="1"/>
  <c r="ACZ38" i="3"/>
  <c r="ACZ54" i="3" s="1"/>
  <c r="ACZ37" i="3"/>
  <c r="ACZ53" i="3" s="1"/>
  <c r="ACZ35" i="3"/>
  <c r="ACZ51" i="3" s="1"/>
  <c r="ACZ34" i="3"/>
  <c r="ACZ50" i="3" s="1"/>
  <c r="ACZ32" i="3"/>
  <c r="ACZ48" i="3" s="1"/>
  <c r="ACZ31" i="3"/>
  <c r="ACZ47" i="3" s="1"/>
  <c r="ACZ29" i="3"/>
  <c r="ACZ45" i="3" s="1"/>
  <c r="ACJ41" i="3"/>
  <c r="ACJ57" i="3" s="1"/>
  <c r="ACJ38" i="3"/>
  <c r="ACJ54" i="3" s="1"/>
  <c r="ACJ37" i="3"/>
  <c r="ACJ53" i="3" s="1"/>
  <c r="ACJ35" i="3"/>
  <c r="ACJ51" i="3" s="1"/>
  <c r="ACJ34" i="3"/>
  <c r="ACJ50" i="3" s="1"/>
  <c r="ACJ32" i="3"/>
  <c r="ACJ48" i="3" s="1"/>
  <c r="ACJ31" i="3"/>
  <c r="ACJ47" i="3" s="1"/>
  <c r="ACJ29" i="3"/>
  <c r="ACJ45" i="3" s="1"/>
  <c r="ABT41" i="3"/>
  <c r="ABT57" i="3" s="1"/>
  <c r="ABT38" i="3"/>
  <c r="ABT54" i="3" s="1"/>
  <c r="ABT37" i="3"/>
  <c r="ABT53" i="3" s="1"/>
  <c r="ABT35" i="3"/>
  <c r="ABT51" i="3" s="1"/>
  <c r="ABT34" i="3"/>
  <c r="ABT50" i="3" s="1"/>
  <c r="ABT32" i="3"/>
  <c r="ABT48" i="3" s="1"/>
  <c r="ABT31" i="3"/>
  <c r="ABT47" i="3" s="1"/>
  <c r="ABT29" i="3"/>
  <c r="ABT45" i="3" s="1"/>
  <c r="ABD41" i="3"/>
  <c r="ABD57" i="3" s="1"/>
  <c r="ABD38" i="3"/>
  <c r="ABD54" i="3" s="1"/>
  <c r="ABD37" i="3"/>
  <c r="ABD53" i="3" s="1"/>
  <c r="ABD35" i="3"/>
  <c r="ABD51" i="3" s="1"/>
  <c r="ABD34" i="3"/>
  <c r="ABD50" i="3" s="1"/>
  <c r="ABD32" i="3"/>
  <c r="ABD48" i="3" s="1"/>
  <c r="ABD31" i="3"/>
  <c r="ABD47" i="3" s="1"/>
  <c r="ABD29" i="3"/>
  <c r="ABD45" i="3" s="1"/>
  <c r="AAN41" i="3"/>
  <c r="AAN57" i="3" s="1"/>
  <c r="AAN38" i="3"/>
  <c r="AAN54" i="3" s="1"/>
  <c r="AAN37" i="3"/>
  <c r="AAN53" i="3" s="1"/>
  <c r="AAN35" i="3"/>
  <c r="AAN51" i="3" s="1"/>
  <c r="AAN34" i="3"/>
  <c r="AAN50" i="3" s="1"/>
  <c r="AAN32" i="3"/>
  <c r="AAN48" i="3" s="1"/>
  <c r="AAN31" i="3"/>
  <c r="AAN47" i="3" s="1"/>
  <c r="AAN29" i="3"/>
  <c r="AAN45" i="3" s="1"/>
  <c r="ZX41" i="3"/>
  <c r="ZX57" i="3" s="1"/>
  <c r="ZX38" i="3"/>
  <c r="ZX54" i="3" s="1"/>
  <c r="ZX37" i="3"/>
  <c r="ZX53" i="3" s="1"/>
  <c r="ZX35" i="3"/>
  <c r="ZX51" i="3" s="1"/>
  <c r="ZX34" i="3"/>
  <c r="ZX50" i="3" s="1"/>
  <c r="ZX32" i="3"/>
  <c r="ZX48" i="3" s="1"/>
  <c r="ZX31" i="3"/>
  <c r="ZX47" i="3" s="1"/>
  <c r="ZX29" i="3"/>
  <c r="ZX45" i="3" s="1"/>
  <c r="ZH41" i="3"/>
  <c r="ZH57" i="3" s="1"/>
  <c r="ZH38" i="3"/>
  <c r="ZH54" i="3" s="1"/>
  <c r="ZH37" i="3"/>
  <c r="ZH53" i="3" s="1"/>
  <c r="ZH35" i="3"/>
  <c r="ZH51" i="3" s="1"/>
  <c r="ZH34" i="3"/>
  <c r="ZH50" i="3" s="1"/>
  <c r="ZH32" i="3"/>
  <c r="ZH48" i="3" s="1"/>
  <c r="ZH31" i="3"/>
  <c r="ZH47" i="3" s="1"/>
  <c r="ZH29" i="3"/>
  <c r="ZH45" i="3" s="1"/>
  <c r="YR41" i="3"/>
  <c r="YR57" i="3" s="1"/>
  <c r="YR38" i="3"/>
  <c r="YR54" i="3" s="1"/>
  <c r="YR37" i="3"/>
  <c r="YR53" i="3" s="1"/>
  <c r="YR35" i="3"/>
  <c r="YR51" i="3" s="1"/>
  <c r="YR34" i="3"/>
  <c r="YR50" i="3" s="1"/>
  <c r="YR32" i="3"/>
  <c r="YR48" i="3" s="1"/>
  <c r="YR31" i="3"/>
  <c r="YR47" i="3" s="1"/>
  <c r="YR29" i="3"/>
  <c r="YR45" i="3" s="1"/>
  <c r="YB41" i="3"/>
  <c r="YB57" i="3" s="1"/>
  <c r="YB38" i="3"/>
  <c r="YB54" i="3" s="1"/>
  <c r="YB37" i="3"/>
  <c r="YB53" i="3" s="1"/>
  <c r="YB35" i="3"/>
  <c r="YB51" i="3" s="1"/>
  <c r="YB34" i="3"/>
  <c r="YB50" i="3" s="1"/>
  <c r="YB32" i="3"/>
  <c r="YB48" i="3" s="1"/>
  <c r="YB31" i="3"/>
  <c r="YB47" i="3" s="1"/>
  <c r="YB29" i="3"/>
  <c r="YB45" i="3" s="1"/>
  <c r="XL41" i="3"/>
  <c r="XL57" i="3" s="1"/>
  <c r="XL38" i="3"/>
  <c r="XL54" i="3" s="1"/>
  <c r="XL37" i="3"/>
  <c r="XL53" i="3" s="1"/>
  <c r="XL35" i="3"/>
  <c r="XL51" i="3" s="1"/>
  <c r="XL34" i="3"/>
  <c r="XL50" i="3" s="1"/>
  <c r="XL32" i="3"/>
  <c r="XL48" i="3" s="1"/>
  <c r="XL31" i="3"/>
  <c r="XL47" i="3" s="1"/>
  <c r="XL29" i="3"/>
  <c r="XL45" i="3" s="1"/>
  <c r="WV41" i="3"/>
  <c r="WV57" i="3" s="1"/>
  <c r="WV38" i="3"/>
  <c r="WV54" i="3" s="1"/>
  <c r="WV37" i="3"/>
  <c r="WV53" i="3" s="1"/>
  <c r="WV35" i="3"/>
  <c r="WV51" i="3" s="1"/>
  <c r="WV34" i="3"/>
  <c r="WV50" i="3" s="1"/>
  <c r="WV32" i="3"/>
  <c r="WV48" i="3" s="1"/>
  <c r="WV31" i="3"/>
  <c r="WV47" i="3" s="1"/>
  <c r="WV29" i="3"/>
  <c r="WV45" i="3" s="1"/>
  <c r="WF41" i="3"/>
  <c r="WF57" i="3" s="1"/>
  <c r="WF38" i="3"/>
  <c r="WF54" i="3" s="1"/>
  <c r="WF37" i="3"/>
  <c r="WF53" i="3" s="1"/>
  <c r="WF35" i="3"/>
  <c r="WF51" i="3" s="1"/>
  <c r="WF34" i="3"/>
  <c r="WF50" i="3" s="1"/>
  <c r="WF32" i="3"/>
  <c r="WF48" i="3" s="1"/>
  <c r="WF31" i="3"/>
  <c r="WF47" i="3" s="1"/>
  <c r="WF29" i="3"/>
  <c r="WF45" i="3" s="1"/>
  <c r="VP41" i="3"/>
  <c r="VP57" i="3" s="1"/>
  <c r="VP38" i="3"/>
  <c r="VP54" i="3" s="1"/>
  <c r="VP37" i="3"/>
  <c r="VP53" i="3" s="1"/>
  <c r="VP35" i="3"/>
  <c r="VP51" i="3" s="1"/>
  <c r="VP34" i="3"/>
  <c r="VP50" i="3" s="1"/>
  <c r="VP32" i="3"/>
  <c r="VP48" i="3" s="1"/>
  <c r="VP31" i="3"/>
  <c r="VP47" i="3" s="1"/>
  <c r="VP29" i="3"/>
  <c r="VP45" i="3" s="1"/>
  <c r="UZ41" i="3"/>
  <c r="UZ57" i="3" s="1"/>
  <c r="UZ38" i="3"/>
  <c r="UZ54" i="3" s="1"/>
  <c r="UZ37" i="3"/>
  <c r="UZ53" i="3" s="1"/>
  <c r="UZ35" i="3"/>
  <c r="UZ51" i="3" s="1"/>
  <c r="UZ34" i="3"/>
  <c r="UZ50" i="3" s="1"/>
  <c r="UZ32" i="3"/>
  <c r="UZ48" i="3" s="1"/>
  <c r="UZ31" i="3"/>
  <c r="UZ47" i="3" s="1"/>
  <c r="UZ29" i="3"/>
  <c r="UZ45" i="3" s="1"/>
  <c r="UJ41" i="3"/>
  <c r="UJ57" i="3" s="1"/>
  <c r="UJ38" i="3"/>
  <c r="UJ54" i="3" s="1"/>
  <c r="UJ37" i="3"/>
  <c r="UJ53" i="3" s="1"/>
  <c r="UJ35" i="3"/>
  <c r="UJ51" i="3" s="1"/>
  <c r="UJ34" i="3"/>
  <c r="UJ50" i="3" s="1"/>
  <c r="UJ32" i="3"/>
  <c r="UJ48" i="3" s="1"/>
  <c r="UJ31" i="3"/>
  <c r="UJ47" i="3" s="1"/>
  <c r="UJ29" i="3"/>
  <c r="UJ45" i="3" s="1"/>
  <c r="TT41" i="3"/>
  <c r="TT57" i="3" s="1"/>
  <c r="TT38" i="3"/>
  <c r="TT54" i="3" s="1"/>
  <c r="TT37" i="3"/>
  <c r="TT53" i="3" s="1"/>
  <c r="TT35" i="3"/>
  <c r="TT51" i="3" s="1"/>
  <c r="TT34" i="3"/>
  <c r="TT50" i="3" s="1"/>
  <c r="TT32" i="3"/>
  <c r="TT48" i="3" s="1"/>
  <c r="TT31" i="3"/>
  <c r="TT47" i="3" s="1"/>
  <c r="TT29" i="3"/>
  <c r="TT45" i="3" s="1"/>
  <c r="TD41" i="3"/>
  <c r="TD57" i="3" s="1"/>
  <c r="TD38" i="3"/>
  <c r="TD54" i="3" s="1"/>
  <c r="TD37" i="3"/>
  <c r="TD53" i="3" s="1"/>
  <c r="TD35" i="3"/>
  <c r="TD51" i="3" s="1"/>
  <c r="TD34" i="3"/>
  <c r="TD50" i="3" s="1"/>
  <c r="TD32" i="3"/>
  <c r="TD48" i="3" s="1"/>
  <c r="TD31" i="3"/>
  <c r="TD47" i="3" s="1"/>
  <c r="TD29" i="3"/>
  <c r="TD45" i="3" s="1"/>
  <c r="SN41" i="3"/>
  <c r="SN57" i="3" s="1"/>
  <c r="SN38" i="3"/>
  <c r="SN54" i="3" s="1"/>
  <c r="SN37" i="3"/>
  <c r="SN53" i="3" s="1"/>
  <c r="SN35" i="3"/>
  <c r="SN51" i="3" s="1"/>
  <c r="SN34" i="3"/>
  <c r="SN50" i="3" s="1"/>
  <c r="SN32" i="3"/>
  <c r="SN48" i="3" s="1"/>
  <c r="SN31" i="3"/>
  <c r="SN47" i="3" s="1"/>
  <c r="SN29" i="3"/>
  <c r="SN45" i="3" s="1"/>
  <c r="RX41" i="3"/>
  <c r="RX38" i="3"/>
  <c r="RX54" i="3" s="1"/>
  <c r="RX37" i="3"/>
  <c r="RX53" i="3" s="1"/>
  <c r="RX35" i="3"/>
  <c r="RX34" i="3"/>
  <c r="RX32" i="3"/>
  <c r="RX48" i="3" s="1"/>
  <c r="RX31" i="3"/>
  <c r="RX47" i="3" s="1"/>
  <c r="RX29" i="3"/>
  <c r="RX45" i="3" s="1"/>
  <c r="RH41" i="3"/>
  <c r="RH38" i="3"/>
  <c r="RH54" i="3" s="1"/>
  <c r="RH37" i="3"/>
  <c r="RH53" i="3" s="1"/>
  <c r="RH35" i="3"/>
  <c r="RH51" i="3" s="1"/>
  <c r="RH34" i="3"/>
  <c r="RH50" i="3" s="1"/>
  <c r="RH32" i="3"/>
  <c r="RH48" i="3" s="1"/>
  <c r="RH31" i="3"/>
  <c r="RH47" i="3" s="1"/>
  <c r="RH29" i="3"/>
  <c r="RH45" i="3" s="1"/>
  <c r="QR41" i="3"/>
  <c r="QR57" i="3" s="1"/>
  <c r="QR38" i="3"/>
  <c r="QR37" i="3"/>
  <c r="QR53" i="3" s="1"/>
  <c r="QR35" i="3"/>
  <c r="QR51" i="3" s="1"/>
  <c r="QR34" i="3"/>
  <c r="QR50" i="3" s="1"/>
  <c r="QR32" i="3"/>
  <c r="QR48" i="3" s="1"/>
  <c r="QR31" i="3"/>
  <c r="QR47" i="3" s="1"/>
  <c r="QR29" i="3"/>
  <c r="QR45" i="3" s="1"/>
  <c r="QB41" i="3"/>
  <c r="QB57" i="3" s="1"/>
  <c r="QB38" i="3"/>
  <c r="QB54" i="3" s="1"/>
  <c r="QB37" i="3"/>
  <c r="QB53" i="3" s="1"/>
  <c r="QB35" i="3"/>
  <c r="QB51" i="3" s="1"/>
  <c r="QB34" i="3"/>
  <c r="QB50" i="3" s="1"/>
  <c r="QB32" i="3"/>
  <c r="QB48" i="3" s="1"/>
  <c r="QB31" i="3"/>
  <c r="QB47" i="3" s="1"/>
  <c r="QB29" i="3"/>
  <c r="QB45" i="3" s="1"/>
  <c r="PL41" i="3"/>
  <c r="PL57" i="3" s="1"/>
  <c r="PL38" i="3"/>
  <c r="PL54" i="3" s="1"/>
  <c r="PL37" i="3"/>
  <c r="PL53" i="3" s="1"/>
  <c r="PL35" i="3"/>
  <c r="PL51" i="3" s="1"/>
  <c r="PL34" i="3"/>
  <c r="PL50" i="3" s="1"/>
  <c r="PL32" i="3"/>
  <c r="PL48" i="3" s="1"/>
  <c r="PL31" i="3"/>
  <c r="PL47" i="3" s="1"/>
  <c r="PL29" i="3"/>
  <c r="PL45" i="3" s="1"/>
  <c r="OV41" i="3"/>
  <c r="OV38" i="3"/>
  <c r="OV37" i="3"/>
  <c r="OV35" i="3"/>
  <c r="OV51" i="3" s="1"/>
  <c r="OV34" i="3"/>
  <c r="OV50" i="3" s="1"/>
  <c r="OV32" i="3"/>
  <c r="OV48" i="3" s="1"/>
  <c r="OV31" i="3"/>
  <c r="OV47" i="3" s="1"/>
  <c r="OV29" i="3"/>
  <c r="OV45" i="3" s="1"/>
  <c r="OF41" i="3"/>
  <c r="OF38" i="3"/>
  <c r="OF37" i="3"/>
  <c r="OF35" i="3"/>
  <c r="OF51" i="3" s="1"/>
  <c r="OF34" i="3"/>
  <c r="OF50" i="3" s="1"/>
  <c r="OF32" i="3"/>
  <c r="OF48" i="3" s="1"/>
  <c r="OF31" i="3"/>
  <c r="OF47" i="3" s="1"/>
  <c r="OF29" i="3"/>
  <c r="OF45" i="3" s="1"/>
  <c r="NP41" i="3"/>
  <c r="NP57" i="3" s="1"/>
  <c r="NP38" i="3"/>
  <c r="NP54" i="3" s="1"/>
  <c r="NP37" i="3"/>
  <c r="NP53" i="3" s="1"/>
  <c r="NP35" i="3"/>
  <c r="NP51" i="3" s="1"/>
  <c r="NP34" i="3"/>
  <c r="NP50" i="3" s="1"/>
  <c r="NP32" i="3"/>
  <c r="NP48" i="3" s="1"/>
  <c r="NP31" i="3"/>
  <c r="NP47" i="3" s="1"/>
  <c r="NP29" i="3"/>
  <c r="NP45" i="3" s="1"/>
  <c r="MZ41" i="3"/>
  <c r="MZ57" i="3" s="1"/>
  <c r="MZ38" i="3"/>
  <c r="MZ54" i="3" s="1"/>
  <c r="MZ37" i="3"/>
  <c r="MZ53" i="3" s="1"/>
  <c r="MZ35" i="3"/>
  <c r="MZ51" i="3" s="1"/>
  <c r="MZ34" i="3"/>
  <c r="MZ50" i="3" s="1"/>
  <c r="MZ32" i="3"/>
  <c r="MZ48" i="3" s="1"/>
  <c r="MZ31" i="3"/>
  <c r="MZ47" i="3" s="1"/>
  <c r="MZ29" i="3"/>
  <c r="MZ45" i="3" s="1"/>
  <c r="MJ41" i="3"/>
  <c r="MJ57" i="3" s="1"/>
  <c r="MJ38" i="3"/>
  <c r="MJ35" i="3"/>
  <c r="MJ51" i="3" s="1"/>
  <c r="MJ37" i="3"/>
  <c r="MJ34" i="3"/>
  <c r="MJ32" i="3"/>
  <c r="MJ48" i="3" s="1"/>
  <c r="MJ31" i="3"/>
  <c r="MJ47" i="3" s="1"/>
  <c r="MJ29" i="3"/>
  <c r="MJ45" i="3" s="1"/>
  <c r="LL41" i="3"/>
  <c r="LL38" i="3"/>
  <c r="LL35" i="3"/>
  <c r="LL37" i="3"/>
  <c r="LL34" i="3"/>
  <c r="LL32" i="3"/>
  <c r="LL48" i="3" s="1"/>
  <c r="LL31" i="3"/>
  <c r="LL47" i="3" s="1"/>
  <c r="LL29" i="3"/>
  <c r="LL45" i="3" s="1"/>
  <c r="KF41" i="3"/>
  <c r="KF38" i="3"/>
  <c r="KF35" i="3"/>
  <c r="KF51" i="3" s="1"/>
  <c r="KF37" i="3"/>
  <c r="KF34" i="3"/>
  <c r="KF32" i="3"/>
  <c r="KF48" i="3" s="1"/>
  <c r="KF31" i="3"/>
  <c r="KF47" i="3" s="1"/>
  <c r="KF29" i="3"/>
  <c r="KF45" i="3" s="1"/>
  <c r="IZ41" i="3"/>
  <c r="IZ57" i="3" s="1"/>
  <c r="IZ38" i="3"/>
  <c r="IZ35" i="3"/>
  <c r="IZ51" i="3" s="1"/>
  <c r="IZ37" i="3"/>
  <c r="IZ34" i="3"/>
  <c r="IZ50" i="3" s="1"/>
  <c r="IZ32" i="3"/>
  <c r="IZ48" i="3" s="1"/>
  <c r="IZ31" i="3"/>
  <c r="IZ47" i="3" s="1"/>
  <c r="IZ29" i="3"/>
  <c r="IZ45" i="3" s="1"/>
  <c r="HT41" i="3"/>
  <c r="HT38" i="3"/>
  <c r="HT35" i="3"/>
  <c r="HT37" i="3"/>
  <c r="HT34" i="3"/>
  <c r="HT32" i="3"/>
  <c r="HT48" i="3" s="1"/>
  <c r="HT31" i="3"/>
  <c r="HT47" i="3" s="1"/>
  <c r="HT29" i="3"/>
  <c r="HT45" i="3" s="1"/>
  <c r="GG41" i="3"/>
  <c r="GG37" i="3"/>
  <c r="GG34" i="3"/>
  <c r="GG35" i="3"/>
  <c r="GG32" i="3"/>
  <c r="GG48" i="3" s="1"/>
  <c r="GG31" i="3"/>
  <c r="GG47" i="3" s="1"/>
  <c r="GG29" i="3"/>
  <c r="GG45" i="3" s="1"/>
  <c r="DU41" i="3"/>
  <c r="DU38" i="3"/>
  <c r="DU37" i="3"/>
  <c r="DU34" i="3"/>
  <c r="DU35" i="3"/>
  <c r="DU32" i="3"/>
  <c r="DU48" i="3" s="1"/>
  <c r="DU31" i="3"/>
  <c r="DU47" i="3" s="1"/>
  <c r="DU29" i="3"/>
  <c r="DU45" i="3" s="1"/>
  <c r="BI41" i="3"/>
  <c r="BI38" i="3"/>
  <c r="BI37" i="3"/>
  <c r="BI35" i="3"/>
  <c r="BI34" i="3"/>
  <c r="BI32" i="3"/>
  <c r="BI48" i="3" s="1"/>
  <c r="BI31" i="3"/>
  <c r="BI47" i="3" s="1"/>
  <c r="BI29" i="3"/>
  <c r="BI45" i="3" s="1"/>
  <c r="ALC41" i="3"/>
  <c r="ALC57" i="3" s="1"/>
  <c r="ALC38" i="3"/>
  <c r="ALC54" i="3" s="1"/>
  <c r="ALC37" i="3"/>
  <c r="ALC53" i="3" s="1"/>
  <c r="ALC35" i="3"/>
  <c r="ALC51" i="3" s="1"/>
  <c r="ALC34" i="3"/>
  <c r="ALC50" i="3" s="1"/>
  <c r="ALC32" i="3"/>
  <c r="ALC48" i="3" s="1"/>
  <c r="ALC31" i="3"/>
  <c r="ALC47" i="3" s="1"/>
  <c r="ALC29" i="3"/>
  <c r="ALC45" i="3" s="1"/>
  <c r="AKM41" i="3"/>
  <c r="AKM57" i="3" s="1"/>
  <c r="AKM38" i="3"/>
  <c r="AKM54" i="3" s="1"/>
  <c r="AKM37" i="3"/>
  <c r="AKM53" i="3" s="1"/>
  <c r="AKM35" i="3"/>
  <c r="AKM51" i="3" s="1"/>
  <c r="AKM34" i="3"/>
  <c r="AKM50" i="3" s="1"/>
  <c r="AKM32" i="3"/>
  <c r="AKM48" i="3" s="1"/>
  <c r="AKM31" i="3"/>
  <c r="AKM47" i="3" s="1"/>
  <c r="AKM29" i="3"/>
  <c r="AKM45" i="3" s="1"/>
  <c r="AJW41" i="3"/>
  <c r="AJW57" i="3" s="1"/>
  <c r="AJW38" i="3"/>
  <c r="AJW54" i="3" s="1"/>
  <c r="AJW37" i="3"/>
  <c r="AJW53" i="3" s="1"/>
  <c r="AJW35" i="3"/>
  <c r="AJW51" i="3" s="1"/>
  <c r="AJW34" i="3"/>
  <c r="AJW50" i="3" s="1"/>
  <c r="AJW32" i="3"/>
  <c r="AJW48" i="3" s="1"/>
  <c r="AJW31" i="3"/>
  <c r="AJW47" i="3" s="1"/>
  <c r="AJW29" i="3"/>
  <c r="AJW45" i="3" s="1"/>
  <c r="AJG41" i="3"/>
  <c r="AJG57" i="3" s="1"/>
  <c r="AJG38" i="3"/>
  <c r="AJG54" i="3" s="1"/>
  <c r="AJG37" i="3"/>
  <c r="AJG53" i="3" s="1"/>
  <c r="AJG35" i="3"/>
  <c r="AJG51" i="3" s="1"/>
  <c r="AJG34" i="3"/>
  <c r="AJG50" i="3" s="1"/>
  <c r="AJG32" i="3"/>
  <c r="AJG48" i="3" s="1"/>
  <c r="AJG31" i="3"/>
  <c r="AJG47" i="3" s="1"/>
  <c r="AJG29" i="3"/>
  <c r="AJG45" i="3" s="1"/>
  <c r="AIQ41" i="3"/>
  <c r="AIQ57" i="3" s="1"/>
  <c r="AIQ38" i="3"/>
  <c r="AIQ54" i="3" s="1"/>
  <c r="AIQ37" i="3"/>
  <c r="AIQ53" i="3" s="1"/>
  <c r="AIQ35" i="3"/>
  <c r="AIQ51" i="3" s="1"/>
  <c r="AIQ34" i="3"/>
  <c r="AIQ50" i="3" s="1"/>
  <c r="AIQ32" i="3"/>
  <c r="AIQ48" i="3" s="1"/>
  <c r="AIQ31" i="3"/>
  <c r="AIQ47" i="3" s="1"/>
  <c r="AIQ29" i="3"/>
  <c r="AIQ45" i="3" s="1"/>
  <c r="AIA41" i="3"/>
  <c r="AIA57" i="3" s="1"/>
  <c r="AIA38" i="3"/>
  <c r="AIA54" i="3" s="1"/>
  <c r="AIA37" i="3"/>
  <c r="AIA53" i="3" s="1"/>
  <c r="AIA35" i="3"/>
  <c r="AIA51" i="3" s="1"/>
  <c r="AIA34" i="3"/>
  <c r="AIA50" i="3" s="1"/>
  <c r="AIA32" i="3"/>
  <c r="AIA48" i="3" s="1"/>
  <c r="AIA31" i="3"/>
  <c r="AIA47" i="3" s="1"/>
  <c r="AIA29" i="3"/>
  <c r="AIA45" i="3" s="1"/>
  <c r="AHK41" i="3"/>
  <c r="AHK57" i="3" s="1"/>
  <c r="AHK38" i="3"/>
  <c r="AHK54" i="3" s="1"/>
  <c r="AHK37" i="3"/>
  <c r="AHK53" i="3" s="1"/>
  <c r="AHK35" i="3"/>
  <c r="AHK51" i="3" s="1"/>
  <c r="AHK34" i="3"/>
  <c r="AHK50" i="3" s="1"/>
  <c r="AHK32" i="3"/>
  <c r="AHK48" i="3" s="1"/>
  <c r="AHK31" i="3"/>
  <c r="AHK47" i="3" s="1"/>
  <c r="AHK29" i="3"/>
  <c r="AHK45" i="3" s="1"/>
  <c r="AGU41" i="3"/>
  <c r="AGU57" i="3" s="1"/>
  <c r="AGU38" i="3"/>
  <c r="AGU54" i="3" s="1"/>
  <c r="AGU37" i="3"/>
  <c r="AGU53" i="3" s="1"/>
  <c r="AGU35" i="3"/>
  <c r="AGU51" i="3" s="1"/>
  <c r="AGU34" i="3"/>
  <c r="AGU50" i="3" s="1"/>
  <c r="AGU32" i="3"/>
  <c r="AGU48" i="3" s="1"/>
  <c r="AGU31" i="3"/>
  <c r="AGU47" i="3" s="1"/>
  <c r="AGU29" i="3"/>
  <c r="AGU45" i="3" s="1"/>
  <c r="AGE41" i="3"/>
  <c r="AGE57" i="3" s="1"/>
  <c r="AGE38" i="3"/>
  <c r="AGE54" i="3" s="1"/>
  <c r="AGE37" i="3"/>
  <c r="AGE53" i="3" s="1"/>
  <c r="AGE35" i="3"/>
  <c r="AGE51" i="3" s="1"/>
  <c r="AGE34" i="3"/>
  <c r="AGE50" i="3" s="1"/>
  <c r="AGE32" i="3"/>
  <c r="AGE48" i="3" s="1"/>
  <c r="AGE31" i="3"/>
  <c r="AGE47" i="3" s="1"/>
  <c r="AGE29" i="3"/>
  <c r="AGE45" i="3" s="1"/>
  <c r="AFO41" i="3"/>
  <c r="AFO57" i="3" s="1"/>
  <c r="AFO38" i="3"/>
  <c r="AFO54" i="3" s="1"/>
  <c r="AFO37" i="3"/>
  <c r="AFO53" i="3" s="1"/>
  <c r="AFO35" i="3"/>
  <c r="AFO51" i="3" s="1"/>
  <c r="AFO34" i="3"/>
  <c r="AFO50" i="3" s="1"/>
  <c r="AFO32" i="3"/>
  <c r="AFO48" i="3" s="1"/>
  <c r="AFO31" i="3"/>
  <c r="AFO47" i="3" s="1"/>
  <c r="AFO29" i="3"/>
  <c r="AFO45" i="3" s="1"/>
  <c r="AEY41" i="3"/>
  <c r="AEY57" i="3" s="1"/>
  <c r="AEY38" i="3"/>
  <c r="AEY54" i="3" s="1"/>
  <c r="AEY37" i="3"/>
  <c r="AEY53" i="3" s="1"/>
  <c r="AEY35" i="3"/>
  <c r="AEY51" i="3" s="1"/>
  <c r="AEY34" i="3"/>
  <c r="AEY50" i="3" s="1"/>
  <c r="AEY32" i="3"/>
  <c r="AEY48" i="3" s="1"/>
  <c r="AEY31" i="3"/>
  <c r="AEY47" i="3" s="1"/>
  <c r="AEY29" i="3"/>
  <c r="AEY45" i="3" s="1"/>
  <c r="AEI41" i="3"/>
  <c r="AEI57" i="3" s="1"/>
  <c r="AEI38" i="3"/>
  <c r="AEI54" i="3" s="1"/>
  <c r="AEI37" i="3"/>
  <c r="AEI53" i="3" s="1"/>
  <c r="AEI35" i="3"/>
  <c r="AEI51" i="3" s="1"/>
  <c r="AEI34" i="3"/>
  <c r="AEI50" i="3" s="1"/>
  <c r="AEI32" i="3"/>
  <c r="AEI48" i="3" s="1"/>
  <c r="AEI31" i="3"/>
  <c r="AEI47" i="3" s="1"/>
  <c r="AEI29" i="3"/>
  <c r="AEI45" i="3" s="1"/>
  <c r="ADS41" i="3"/>
  <c r="ADS57" i="3" s="1"/>
  <c r="ADS38" i="3"/>
  <c r="ADS54" i="3" s="1"/>
  <c r="ADS37" i="3"/>
  <c r="ADS53" i="3" s="1"/>
  <c r="ADS35" i="3"/>
  <c r="ADS51" i="3" s="1"/>
  <c r="ADS34" i="3"/>
  <c r="ADS50" i="3" s="1"/>
  <c r="ADS32" i="3"/>
  <c r="ADS48" i="3" s="1"/>
  <c r="ADS31" i="3"/>
  <c r="ADS47" i="3" s="1"/>
  <c r="ADS29" i="3"/>
  <c r="ADS45" i="3" s="1"/>
  <c r="ADC41" i="3"/>
  <c r="ADC57" i="3" s="1"/>
  <c r="ADC38" i="3"/>
  <c r="ADC54" i="3" s="1"/>
  <c r="ADC37" i="3"/>
  <c r="ADC53" i="3" s="1"/>
  <c r="ADC35" i="3"/>
  <c r="ADC51" i="3" s="1"/>
  <c r="ADC34" i="3"/>
  <c r="ADC50" i="3" s="1"/>
  <c r="ADC32" i="3"/>
  <c r="ADC48" i="3" s="1"/>
  <c r="ADC31" i="3"/>
  <c r="ADC47" i="3" s="1"/>
  <c r="ADC29" i="3"/>
  <c r="ADC45" i="3" s="1"/>
  <c r="ACM41" i="3"/>
  <c r="ACM57" i="3" s="1"/>
  <c r="ACM38" i="3"/>
  <c r="ACM54" i="3" s="1"/>
  <c r="ACM37" i="3"/>
  <c r="ACM53" i="3" s="1"/>
  <c r="ACM35" i="3"/>
  <c r="ACM51" i="3" s="1"/>
  <c r="ACM34" i="3"/>
  <c r="ACM50" i="3" s="1"/>
  <c r="ACM32" i="3"/>
  <c r="ACM48" i="3" s="1"/>
  <c r="ACM31" i="3"/>
  <c r="ACM47" i="3" s="1"/>
  <c r="ACM29" i="3"/>
  <c r="ACM45" i="3" s="1"/>
  <c r="ABW41" i="3"/>
  <c r="ABW57" i="3" s="1"/>
  <c r="ABW38" i="3"/>
  <c r="ABW54" i="3" s="1"/>
  <c r="ABW37" i="3"/>
  <c r="ABW53" i="3" s="1"/>
  <c r="ABW35" i="3"/>
  <c r="ABW51" i="3" s="1"/>
  <c r="ABW34" i="3"/>
  <c r="ABW50" i="3" s="1"/>
  <c r="ABW32" i="3"/>
  <c r="ABW48" i="3" s="1"/>
  <c r="ABW31" i="3"/>
  <c r="ABW47" i="3" s="1"/>
  <c r="ABW29" i="3"/>
  <c r="ABW45" i="3" s="1"/>
  <c r="ABG41" i="3"/>
  <c r="ABG57" i="3" s="1"/>
  <c r="ABG38" i="3"/>
  <c r="ABG54" i="3" s="1"/>
  <c r="ABG37" i="3"/>
  <c r="ABG53" i="3" s="1"/>
  <c r="ABG35" i="3"/>
  <c r="ABG51" i="3" s="1"/>
  <c r="ABG34" i="3"/>
  <c r="ABG50" i="3" s="1"/>
  <c r="ABG32" i="3"/>
  <c r="ABG48" i="3" s="1"/>
  <c r="ABG31" i="3"/>
  <c r="ABG47" i="3" s="1"/>
  <c r="ABG29" i="3"/>
  <c r="ABG45" i="3" s="1"/>
  <c r="AAQ41" i="3"/>
  <c r="AAQ57" i="3" s="1"/>
  <c r="AAQ38" i="3"/>
  <c r="AAQ54" i="3" s="1"/>
  <c r="AAQ37" i="3"/>
  <c r="AAQ53" i="3" s="1"/>
  <c r="AAQ35" i="3"/>
  <c r="AAQ51" i="3" s="1"/>
  <c r="AAQ34" i="3"/>
  <c r="AAQ50" i="3" s="1"/>
  <c r="AAQ32" i="3"/>
  <c r="AAQ48" i="3" s="1"/>
  <c r="AAQ31" i="3"/>
  <c r="AAQ47" i="3" s="1"/>
  <c r="AAQ29" i="3"/>
  <c r="AAQ45" i="3" s="1"/>
  <c r="AAA41" i="3"/>
  <c r="AAA57" i="3" s="1"/>
  <c r="AAA38" i="3"/>
  <c r="AAA54" i="3" s="1"/>
  <c r="AAA37" i="3"/>
  <c r="AAA53" i="3" s="1"/>
  <c r="AAA35" i="3"/>
  <c r="AAA51" i="3" s="1"/>
  <c r="AAA34" i="3"/>
  <c r="AAA50" i="3" s="1"/>
  <c r="AAA32" i="3"/>
  <c r="AAA48" i="3" s="1"/>
  <c r="AAA31" i="3"/>
  <c r="AAA47" i="3" s="1"/>
  <c r="AAA29" i="3"/>
  <c r="AAA45" i="3" s="1"/>
  <c r="ZK41" i="3"/>
  <c r="ZK57" i="3" s="1"/>
  <c r="ZK38" i="3"/>
  <c r="ZK54" i="3" s="1"/>
  <c r="ZK37" i="3"/>
  <c r="ZK53" i="3" s="1"/>
  <c r="ZK35" i="3"/>
  <c r="ZK51" i="3" s="1"/>
  <c r="ZK34" i="3"/>
  <c r="ZK50" i="3" s="1"/>
  <c r="ZK32" i="3"/>
  <c r="ZK48" i="3" s="1"/>
  <c r="ZK31" i="3"/>
  <c r="ZK47" i="3" s="1"/>
  <c r="ZK29" i="3"/>
  <c r="ZK45" i="3" s="1"/>
  <c r="YU41" i="3"/>
  <c r="YU57" i="3" s="1"/>
  <c r="YU38" i="3"/>
  <c r="YU54" i="3" s="1"/>
  <c r="YU37" i="3"/>
  <c r="YU53" i="3" s="1"/>
  <c r="YU35" i="3"/>
  <c r="YU51" i="3" s="1"/>
  <c r="YU34" i="3"/>
  <c r="YU50" i="3" s="1"/>
  <c r="YU32" i="3"/>
  <c r="YU48" i="3" s="1"/>
  <c r="YU31" i="3"/>
  <c r="YU47" i="3" s="1"/>
  <c r="YU29" i="3"/>
  <c r="YU45" i="3" s="1"/>
  <c r="YE41" i="3"/>
  <c r="YE57" i="3" s="1"/>
  <c r="YE38" i="3"/>
  <c r="YE54" i="3" s="1"/>
  <c r="YE37" i="3"/>
  <c r="YE53" i="3" s="1"/>
  <c r="YE35" i="3"/>
  <c r="YE51" i="3" s="1"/>
  <c r="YE34" i="3"/>
  <c r="YE50" i="3" s="1"/>
  <c r="YE32" i="3"/>
  <c r="YE48" i="3" s="1"/>
  <c r="YE31" i="3"/>
  <c r="YE47" i="3" s="1"/>
  <c r="YE29" i="3"/>
  <c r="YE45" i="3" s="1"/>
  <c r="XO41" i="3"/>
  <c r="XO57" i="3" s="1"/>
  <c r="XO38" i="3"/>
  <c r="XO54" i="3" s="1"/>
  <c r="XO37" i="3"/>
  <c r="XO53" i="3" s="1"/>
  <c r="XO35" i="3"/>
  <c r="XO51" i="3" s="1"/>
  <c r="XO34" i="3"/>
  <c r="XO50" i="3" s="1"/>
  <c r="XO32" i="3"/>
  <c r="XO48" i="3" s="1"/>
  <c r="XO31" i="3"/>
  <c r="XO47" i="3" s="1"/>
  <c r="XO29" i="3"/>
  <c r="XO45" i="3" s="1"/>
  <c r="WY41" i="3"/>
  <c r="WY57" i="3" s="1"/>
  <c r="WY38" i="3"/>
  <c r="WY54" i="3" s="1"/>
  <c r="WY37" i="3"/>
  <c r="WY53" i="3" s="1"/>
  <c r="WY35" i="3"/>
  <c r="WY51" i="3" s="1"/>
  <c r="WY34" i="3"/>
  <c r="WY50" i="3" s="1"/>
  <c r="WY32" i="3"/>
  <c r="WY48" i="3" s="1"/>
  <c r="WY31" i="3"/>
  <c r="WY47" i="3" s="1"/>
  <c r="WY29" i="3"/>
  <c r="WY45" i="3" s="1"/>
  <c r="WI41" i="3"/>
  <c r="WI57" i="3" s="1"/>
  <c r="WI38" i="3"/>
  <c r="WI54" i="3" s="1"/>
  <c r="WI37" i="3"/>
  <c r="WI53" i="3" s="1"/>
  <c r="WI35" i="3"/>
  <c r="WI51" i="3" s="1"/>
  <c r="WI34" i="3"/>
  <c r="WI50" i="3" s="1"/>
  <c r="WI32" i="3"/>
  <c r="WI48" i="3" s="1"/>
  <c r="WI31" i="3"/>
  <c r="WI47" i="3" s="1"/>
  <c r="WI29" i="3"/>
  <c r="WI45" i="3" s="1"/>
  <c r="VS41" i="3"/>
  <c r="VS57" i="3" s="1"/>
  <c r="VS38" i="3"/>
  <c r="VS54" i="3" s="1"/>
  <c r="VS37" i="3"/>
  <c r="VS53" i="3" s="1"/>
  <c r="VS35" i="3"/>
  <c r="VS51" i="3" s="1"/>
  <c r="VS34" i="3"/>
  <c r="VS50" i="3" s="1"/>
  <c r="VS32" i="3"/>
  <c r="VS48" i="3" s="1"/>
  <c r="VS31" i="3"/>
  <c r="VS47" i="3" s="1"/>
  <c r="VS29" i="3"/>
  <c r="VS45" i="3" s="1"/>
  <c r="VC41" i="3"/>
  <c r="VC57" i="3" s="1"/>
  <c r="VC38" i="3"/>
  <c r="VC54" i="3" s="1"/>
  <c r="VC37" i="3"/>
  <c r="VC53" i="3" s="1"/>
  <c r="VC35" i="3"/>
  <c r="VC51" i="3" s="1"/>
  <c r="VC34" i="3"/>
  <c r="VC50" i="3" s="1"/>
  <c r="VC32" i="3"/>
  <c r="VC48" i="3" s="1"/>
  <c r="VC31" i="3"/>
  <c r="VC47" i="3" s="1"/>
  <c r="VC29" i="3"/>
  <c r="VC45" i="3" s="1"/>
  <c r="UM41" i="3"/>
  <c r="UM57" i="3" s="1"/>
  <c r="UM38" i="3"/>
  <c r="UM54" i="3" s="1"/>
  <c r="UM37" i="3"/>
  <c r="UM53" i="3" s="1"/>
  <c r="UM35" i="3"/>
  <c r="UM51" i="3" s="1"/>
  <c r="UM34" i="3"/>
  <c r="UM50" i="3" s="1"/>
  <c r="UM32" i="3"/>
  <c r="UM48" i="3" s="1"/>
  <c r="UM31" i="3"/>
  <c r="UM47" i="3" s="1"/>
  <c r="UM29" i="3"/>
  <c r="UM45" i="3" s="1"/>
  <c r="TW41" i="3"/>
  <c r="TW57" i="3" s="1"/>
  <c r="TW38" i="3"/>
  <c r="TW54" i="3" s="1"/>
  <c r="TW37" i="3"/>
  <c r="TW53" i="3" s="1"/>
  <c r="TW35" i="3"/>
  <c r="TW51" i="3" s="1"/>
  <c r="TW34" i="3"/>
  <c r="TW50" i="3" s="1"/>
  <c r="TW32" i="3"/>
  <c r="TW48" i="3" s="1"/>
  <c r="TW31" i="3"/>
  <c r="TW47" i="3" s="1"/>
  <c r="TW29" i="3"/>
  <c r="TW45" i="3" s="1"/>
  <c r="TG41" i="3"/>
  <c r="TG57" i="3" s="1"/>
  <c r="TG38" i="3"/>
  <c r="TG54" i="3" s="1"/>
  <c r="TG37" i="3"/>
  <c r="TG53" i="3" s="1"/>
  <c r="TG35" i="3"/>
  <c r="TG51" i="3" s="1"/>
  <c r="TG34" i="3"/>
  <c r="TG50" i="3" s="1"/>
  <c r="TG32" i="3"/>
  <c r="TG48" i="3" s="1"/>
  <c r="TG31" i="3"/>
  <c r="TG47" i="3" s="1"/>
  <c r="TG29" i="3"/>
  <c r="TG45" i="3" s="1"/>
  <c r="SQ41" i="3"/>
  <c r="SQ57" i="3" s="1"/>
  <c r="SQ38" i="3"/>
  <c r="SQ54" i="3" s="1"/>
  <c r="SQ37" i="3"/>
  <c r="SQ53" i="3" s="1"/>
  <c r="SQ35" i="3"/>
  <c r="SQ51" i="3" s="1"/>
  <c r="SQ34" i="3"/>
  <c r="SQ50" i="3" s="1"/>
  <c r="SQ32" i="3"/>
  <c r="SQ48" i="3" s="1"/>
  <c r="SQ31" i="3"/>
  <c r="SQ47" i="3" s="1"/>
  <c r="SQ29" i="3"/>
  <c r="SQ45" i="3" s="1"/>
  <c r="SA41" i="3"/>
  <c r="SA38" i="3"/>
  <c r="SA54" i="3" s="1"/>
  <c r="SA37" i="3"/>
  <c r="SA53" i="3" s="1"/>
  <c r="SA35" i="3"/>
  <c r="SA34" i="3"/>
  <c r="SA32" i="3"/>
  <c r="SA48" i="3" s="1"/>
  <c r="SA31" i="3"/>
  <c r="SA47" i="3" s="1"/>
  <c r="SA29" i="3"/>
  <c r="SA45" i="3" s="1"/>
  <c r="RK41" i="3"/>
  <c r="RK38" i="3"/>
  <c r="RK37" i="3"/>
  <c r="RK35" i="3"/>
  <c r="RK34" i="3"/>
  <c r="RK32" i="3"/>
  <c r="RK48" i="3" s="1"/>
  <c r="RK31" i="3"/>
  <c r="RK47" i="3" s="1"/>
  <c r="RK29" i="3"/>
  <c r="RK45" i="3" s="1"/>
  <c r="QU41" i="3"/>
  <c r="QU38" i="3"/>
  <c r="QU54" i="3" s="1"/>
  <c r="QU37" i="3"/>
  <c r="QU53" i="3" s="1"/>
  <c r="QU35" i="3"/>
  <c r="QU51" i="3" s="1"/>
  <c r="QU34" i="3"/>
  <c r="QU50" i="3" s="1"/>
  <c r="QU32" i="3"/>
  <c r="QU48" i="3" s="1"/>
  <c r="QU31" i="3"/>
  <c r="QU47" i="3" s="1"/>
  <c r="QU29" i="3"/>
  <c r="QU45" i="3" s="1"/>
  <c r="QE41" i="3"/>
  <c r="QE57" i="3" s="1"/>
  <c r="QE38" i="3"/>
  <c r="QE54" i="3" s="1"/>
  <c r="QE37" i="3"/>
  <c r="QE53" i="3" s="1"/>
  <c r="QE35" i="3"/>
  <c r="QE51" i="3" s="1"/>
  <c r="QE34" i="3"/>
  <c r="QE50" i="3" s="1"/>
  <c r="QE32" i="3"/>
  <c r="QE48" i="3" s="1"/>
  <c r="QE31" i="3"/>
  <c r="QE47" i="3" s="1"/>
  <c r="QE29" i="3"/>
  <c r="QE45" i="3" s="1"/>
  <c r="PO41" i="3"/>
  <c r="PO38" i="3"/>
  <c r="PO37" i="3"/>
  <c r="PO35" i="3"/>
  <c r="PO34" i="3"/>
  <c r="PO32" i="3"/>
  <c r="PO48" i="3" s="1"/>
  <c r="PO31" i="3"/>
  <c r="PO47" i="3" s="1"/>
  <c r="PO29" i="3"/>
  <c r="PO45" i="3" s="1"/>
  <c r="OY41" i="3"/>
  <c r="OY38" i="3"/>
  <c r="OY37" i="3"/>
  <c r="OY35" i="3"/>
  <c r="OY34" i="3"/>
  <c r="OY32" i="3"/>
  <c r="OY48" i="3" s="1"/>
  <c r="OY31" i="3"/>
  <c r="OY47" i="3" s="1"/>
  <c r="OY29" i="3"/>
  <c r="OY45" i="3" s="1"/>
  <c r="OI41" i="3"/>
  <c r="OI38" i="3"/>
  <c r="OI37" i="3"/>
  <c r="OI35" i="3"/>
  <c r="OI51" i="3" s="1"/>
  <c r="OI34" i="3"/>
  <c r="OI32" i="3"/>
  <c r="OI48" i="3" s="1"/>
  <c r="OI31" i="3"/>
  <c r="OI47" i="3" s="1"/>
  <c r="OI29" i="3"/>
  <c r="OI45" i="3" s="1"/>
  <c r="NS41" i="3"/>
  <c r="NS38" i="3"/>
  <c r="NS37" i="3"/>
  <c r="NS35" i="3"/>
  <c r="NS34" i="3"/>
  <c r="NS50" i="3" s="1"/>
  <c r="NS32" i="3"/>
  <c r="NS48" i="3" s="1"/>
  <c r="NS31" i="3"/>
  <c r="NS47" i="3" s="1"/>
  <c r="NS29" i="3"/>
  <c r="NS45" i="3" s="1"/>
  <c r="NC41" i="3"/>
  <c r="NC38" i="3"/>
  <c r="NC37" i="3"/>
  <c r="NC35" i="3"/>
  <c r="NC34" i="3"/>
  <c r="NC32" i="3"/>
  <c r="NC48" i="3" s="1"/>
  <c r="NC31" i="3"/>
  <c r="NC47" i="3" s="1"/>
  <c r="NC29" i="3"/>
  <c r="NC45" i="3" s="1"/>
  <c r="MM41" i="3"/>
  <c r="MM38" i="3"/>
  <c r="MM35" i="3"/>
  <c r="MM37" i="3"/>
  <c r="MM34" i="3"/>
  <c r="MM50" i="3" s="1"/>
  <c r="MM32" i="3"/>
  <c r="MM48" i="3" s="1"/>
  <c r="MM31" i="3"/>
  <c r="MM47" i="3" s="1"/>
  <c r="MM29" i="3"/>
  <c r="MM45" i="3" s="1"/>
  <c r="LQ41" i="3"/>
  <c r="LQ38" i="3"/>
  <c r="LQ37" i="3"/>
  <c r="LQ34" i="3"/>
  <c r="LQ35" i="3"/>
  <c r="LQ32" i="3"/>
  <c r="LQ48" i="3" s="1"/>
  <c r="LQ31" i="3"/>
  <c r="LQ47" i="3" s="1"/>
  <c r="LQ29" i="3"/>
  <c r="LQ45" i="3" s="1"/>
  <c r="KK41" i="3"/>
  <c r="KK38" i="3"/>
  <c r="KK37" i="3"/>
  <c r="KK34" i="3"/>
  <c r="KK35" i="3"/>
  <c r="KK32" i="3"/>
  <c r="KK48" i="3" s="1"/>
  <c r="KK31" i="3"/>
  <c r="KK47" i="3" s="1"/>
  <c r="KK29" i="3"/>
  <c r="KK45" i="3" s="1"/>
  <c r="JE41" i="3"/>
  <c r="JE38" i="3"/>
  <c r="JE37" i="3"/>
  <c r="JE34" i="3"/>
  <c r="JE35" i="3"/>
  <c r="JE32" i="3"/>
  <c r="JE48" i="3" s="1"/>
  <c r="JE31" i="3"/>
  <c r="JE47" i="3" s="1"/>
  <c r="JE29" i="3"/>
  <c r="JE45" i="3" s="1"/>
  <c r="HY41" i="3"/>
  <c r="HY38" i="3"/>
  <c r="HY37" i="3"/>
  <c r="HY34" i="3"/>
  <c r="HY35" i="3"/>
  <c r="HY32" i="3"/>
  <c r="HY48" i="3" s="1"/>
  <c r="HY31" i="3"/>
  <c r="HY47" i="3" s="1"/>
  <c r="HY29" i="3"/>
  <c r="HY45" i="3" s="1"/>
  <c r="GS41" i="3"/>
  <c r="GS38" i="3"/>
  <c r="GS37" i="3"/>
  <c r="GS34" i="3"/>
  <c r="GS35" i="3"/>
  <c r="GS32" i="3"/>
  <c r="GS48" i="3" s="1"/>
  <c r="GS31" i="3"/>
  <c r="GS47" i="3" s="1"/>
  <c r="GS29" i="3"/>
  <c r="GS45" i="3" s="1"/>
  <c r="EG41" i="3"/>
  <c r="EG38" i="3"/>
  <c r="EG37" i="3"/>
  <c r="EG34" i="3"/>
  <c r="EG35" i="3"/>
  <c r="EG32" i="3"/>
  <c r="EG48" i="3" s="1"/>
  <c r="EG31" i="3"/>
  <c r="EG47" i="3" s="1"/>
  <c r="EG29" i="3"/>
  <c r="EG45" i="3" s="1"/>
  <c r="BU41" i="3"/>
  <c r="BU38" i="3"/>
  <c r="BU37" i="3"/>
  <c r="BU35" i="3"/>
  <c r="BU34" i="3"/>
  <c r="BU32" i="3"/>
  <c r="BU48" i="3" s="1"/>
  <c r="BU31" i="3"/>
  <c r="BU47" i="3" s="1"/>
  <c r="BU29" i="3"/>
  <c r="BU45" i="3" s="1"/>
  <c r="GW41" i="3"/>
  <c r="GW38" i="3"/>
  <c r="GW37" i="3"/>
  <c r="GW34" i="3"/>
  <c r="GW35" i="3"/>
  <c r="GW32" i="3"/>
  <c r="GW48" i="3" s="1"/>
  <c r="GW31" i="3"/>
  <c r="GW47" i="3" s="1"/>
  <c r="GW29" i="3"/>
  <c r="GW45" i="3" s="1"/>
  <c r="LU41" i="3"/>
  <c r="LU38" i="3"/>
  <c r="LU37" i="3"/>
  <c r="LU34" i="3"/>
  <c r="LU35" i="3"/>
  <c r="LU32" i="3"/>
  <c r="LU48" i="3" s="1"/>
  <c r="LU31" i="3"/>
  <c r="LU47" i="3" s="1"/>
  <c r="LU29" i="3"/>
  <c r="LU45" i="3" s="1"/>
  <c r="OK41" i="3"/>
  <c r="OK38" i="3"/>
  <c r="OK37" i="3"/>
  <c r="OK34" i="3"/>
  <c r="OK35" i="3"/>
  <c r="OK32" i="3"/>
  <c r="OK48" i="3" s="1"/>
  <c r="OK31" i="3"/>
  <c r="OK47" i="3" s="1"/>
  <c r="OK29" i="3"/>
  <c r="OK45" i="3" s="1"/>
  <c r="QW41" i="3"/>
  <c r="QW38" i="3"/>
  <c r="QW37" i="3"/>
  <c r="QW34" i="3"/>
  <c r="QW35" i="3"/>
  <c r="QW32" i="3"/>
  <c r="QW48" i="3" s="1"/>
  <c r="QW31" i="3"/>
  <c r="QW47" i="3" s="1"/>
  <c r="QW29" i="3"/>
  <c r="QW45" i="3" s="1"/>
  <c r="TI41" i="3"/>
  <c r="TI57" i="3" s="1"/>
  <c r="TI38" i="3"/>
  <c r="TI54" i="3" s="1"/>
  <c r="TI37" i="3"/>
  <c r="TI53" i="3" s="1"/>
  <c r="TI34" i="3"/>
  <c r="TI50" i="3" s="1"/>
  <c r="TI35" i="3"/>
  <c r="TI51" i="3" s="1"/>
  <c r="TI32" i="3"/>
  <c r="TI48" i="3" s="1"/>
  <c r="TI29" i="3"/>
  <c r="TI45" i="3" s="1"/>
  <c r="TI31" i="3"/>
  <c r="TI47" i="3" s="1"/>
  <c r="VU41" i="3"/>
  <c r="VU57" i="3" s="1"/>
  <c r="VU38" i="3"/>
  <c r="VU54" i="3" s="1"/>
  <c r="VU37" i="3"/>
  <c r="VU53" i="3" s="1"/>
  <c r="VU34" i="3"/>
  <c r="VU50" i="3" s="1"/>
  <c r="VU35" i="3"/>
  <c r="VU51" i="3" s="1"/>
  <c r="VU32" i="3"/>
  <c r="VU48" i="3" s="1"/>
  <c r="VU31" i="3"/>
  <c r="VU47" i="3" s="1"/>
  <c r="VU29" i="3"/>
  <c r="VU45" i="3" s="1"/>
  <c r="YG41" i="3"/>
  <c r="YG57" i="3" s="1"/>
  <c r="YG38" i="3"/>
  <c r="YG54" i="3" s="1"/>
  <c r="YG37" i="3"/>
  <c r="YG53" i="3" s="1"/>
  <c r="YG34" i="3"/>
  <c r="YG50" i="3" s="1"/>
  <c r="YG35" i="3"/>
  <c r="YG51" i="3" s="1"/>
  <c r="YG32" i="3"/>
  <c r="YG48" i="3" s="1"/>
  <c r="YG31" i="3"/>
  <c r="YG47" i="3" s="1"/>
  <c r="YG29" i="3"/>
  <c r="YG45" i="3" s="1"/>
  <c r="AAS41" i="3"/>
  <c r="AAS57" i="3" s="1"/>
  <c r="AAS38" i="3"/>
  <c r="AAS54" i="3" s="1"/>
  <c r="AAS37" i="3"/>
  <c r="AAS53" i="3" s="1"/>
  <c r="AAS35" i="3"/>
  <c r="AAS51" i="3" s="1"/>
  <c r="AAS34" i="3"/>
  <c r="AAS50" i="3" s="1"/>
  <c r="AAS32" i="3"/>
  <c r="AAS48" i="3" s="1"/>
  <c r="AAS31" i="3"/>
  <c r="AAS47" i="3" s="1"/>
  <c r="AAS29" i="3"/>
  <c r="AAS45" i="3" s="1"/>
  <c r="ADE41" i="3"/>
  <c r="ADE57" i="3" s="1"/>
  <c r="ADE38" i="3"/>
  <c r="ADE54" i="3" s="1"/>
  <c r="ADE37" i="3"/>
  <c r="ADE53" i="3" s="1"/>
  <c r="ADE35" i="3"/>
  <c r="ADE51" i="3" s="1"/>
  <c r="ADE34" i="3"/>
  <c r="ADE50" i="3" s="1"/>
  <c r="ADE32" i="3"/>
  <c r="ADE48" i="3" s="1"/>
  <c r="ADE31" i="3"/>
  <c r="ADE47" i="3" s="1"/>
  <c r="ADE29" i="3"/>
  <c r="ADE45" i="3" s="1"/>
  <c r="AFQ41" i="3"/>
  <c r="AFQ57" i="3" s="1"/>
  <c r="AFQ38" i="3"/>
  <c r="AFQ54" i="3" s="1"/>
  <c r="AFQ37" i="3"/>
  <c r="AFQ53" i="3" s="1"/>
  <c r="AFQ35" i="3"/>
  <c r="AFQ51" i="3" s="1"/>
  <c r="AFQ34" i="3"/>
  <c r="AFQ50" i="3" s="1"/>
  <c r="AFQ32" i="3"/>
  <c r="AFQ48" i="3" s="1"/>
  <c r="AFQ31" i="3"/>
  <c r="AFQ47" i="3" s="1"/>
  <c r="AFQ29" i="3"/>
  <c r="AFQ45" i="3" s="1"/>
  <c r="AIC41" i="3"/>
  <c r="AIC57" i="3" s="1"/>
  <c r="AIC38" i="3"/>
  <c r="AIC54" i="3" s="1"/>
  <c r="AIC37" i="3"/>
  <c r="AIC53" i="3" s="1"/>
  <c r="AIC35" i="3"/>
  <c r="AIC51" i="3" s="1"/>
  <c r="AIC34" i="3"/>
  <c r="AIC50" i="3" s="1"/>
  <c r="AIC32" i="3"/>
  <c r="AIC48" i="3" s="1"/>
  <c r="AIC31" i="3"/>
  <c r="AIC47" i="3" s="1"/>
  <c r="AIC29" i="3"/>
  <c r="AIC45" i="3" s="1"/>
  <c r="AKO41" i="3"/>
  <c r="AKO57" i="3" s="1"/>
  <c r="AKO38" i="3"/>
  <c r="AKO54" i="3" s="1"/>
  <c r="AKO37" i="3"/>
  <c r="AKO53" i="3" s="1"/>
  <c r="AKO35" i="3"/>
  <c r="AKO51" i="3" s="1"/>
  <c r="AKO34" i="3"/>
  <c r="AKO50" i="3" s="1"/>
  <c r="AKO32" i="3"/>
  <c r="AKO48" i="3" s="1"/>
  <c r="AKO31" i="3"/>
  <c r="AKO47" i="3" s="1"/>
  <c r="AKO29" i="3"/>
  <c r="AKO45" i="3" s="1"/>
  <c r="CS41" i="3"/>
  <c r="CS38" i="3"/>
  <c r="CS37" i="3"/>
  <c r="CS35" i="3"/>
  <c r="CS34" i="3"/>
  <c r="CS32" i="3"/>
  <c r="CS48" i="3" s="1"/>
  <c r="CS31" i="3"/>
  <c r="CS47" i="3" s="1"/>
  <c r="CS29" i="3"/>
  <c r="CS45" i="3" s="1"/>
  <c r="JQ41" i="3"/>
  <c r="JQ38" i="3"/>
  <c r="JQ37" i="3"/>
  <c r="JQ35" i="3"/>
  <c r="JQ34" i="3"/>
  <c r="JQ32" i="3"/>
  <c r="JQ48" i="3" s="1"/>
  <c r="JQ31" i="3"/>
  <c r="JQ47" i="3" s="1"/>
  <c r="JQ29" i="3"/>
  <c r="JQ45" i="3" s="1"/>
  <c r="NI41" i="3"/>
  <c r="NI38" i="3"/>
  <c r="NI37" i="3"/>
  <c r="NI35" i="3"/>
  <c r="NI34" i="3"/>
  <c r="NI32" i="3"/>
  <c r="NI48" i="3" s="1"/>
  <c r="NI31" i="3"/>
  <c r="NI47" i="3" s="1"/>
  <c r="NI29" i="3"/>
  <c r="NI45" i="3" s="1"/>
  <c r="PU41" i="3"/>
  <c r="PU38" i="3"/>
  <c r="PU37" i="3"/>
  <c r="PU35" i="3"/>
  <c r="PU34" i="3"/>
  <c r="PU32" i="3"/>
  <c r="PU48" i="3" s="1"/>
  <c r="PU31" i="3"/>
  <c r="PU47" i="3" s="1"/>
  <c r="PU29" i="3"/>
  <c r="PU45" i="3" s="1"/>
  <c r="SG41" i="3"/>
  <c r="SG38" i="3"/>
  <c r="SG37" i="3"/>
  <c r="SG35" i="3"/>
  <c r="SG34" i="3"/>
  <c r="SG32" i="3"/>
  <c r="SG48" i="3" s="1"/>
  <c r="SG31" i="3"/>
  <c r="SG47" i="3" s="1"/>
  <c r="SG29" i="3"/>
  <c r="SG45" i="3" s="1"/>
  <c r="US41" i="3"/>
  <c r="US57" i="3" s="1"/>
  <c r="US38" i="3"/>
  <c r="US54" i="3" s="1"/>
  <c r="US37" i="3"/>
  <c r="US53" i="3" s="1"/>
  <c r="US35" i="3"/>
  <c r="US51" i="3" s="1"/>
  <c r="US34" i="3"/>
  <c r="US50" i="3" s="1"/>
  <c r="US32" i="3"/>
  <c r="US48" i="3" s="1"/>
  <c r="US31" i="3"/>
  <c r="US47" i="3" s="1"/>
  <c r="US29" i="3"/>
  <c r="US45" i="3" s="1"/>
  <c r="XE41" i="3"/>
  <c r="XE57" i="3" s="1"/>
  <c r="XE38" i="3"/>
  <c r="XE54" i="3" s="1"/>
  <c r="XE37" i="3"/>
  <c r="XE53" i="3" s="1"/>
  <c r="XE35" i="3"/>
  <c r="XE51" i="3" s="1"/>
  <c r="XE34" i="3"/>
  <c r="XE50" i="3" s="1"/>
  <c r="XE32" i="3"/>
  <c r="XE48" i="3" s="1"/>
  <c r="XE31" i="3"/>
  <c r="XE47" i="3" s="1"/>
  <c r="XE29" i="3"/>
  <c r="XE45" i="3" s="1"/>
  <c r="ZQ41" i="3"/>
  <c r="ZQ57" i="3" s="1"/>
  <c r="ZQ38" i="3"/>
  <c r="ZQ54" i="3" s="1"/>
  <c r="ZQ37" i="3"/>
  <c r="ZQ53" i="3" s="1"/>
  <c r="ZQ35" i="3"/>
  <c r="ZQ51" i="3" s="1"/>
  <c r="ZQ34" i="3"/>
  <c r="ZQ50" i="3" s="1"/>
  <c r="ZQ32" i="3"/>
  <c r="ZQ48" i="3" s="1"/>
  <c r="ZQ31" i="3"/>
  <c r="ZQ47" i="3" s="1"/>
  <c r="ZQ29" i="3"/>
  <c r="ZQ45" i="3" s="1"/>
  <c r="ACC41" i="3"/>
  <c r="ACC57" i="3" s="1"/>
  <c r="ACC38" i="3"/>
  <c r="ACC54" i="3" s="1"/>
  <c r="ACC37" i="3"/>
  <c r="ACC53" i="3" s="1"/>
  <c r="ACC35" i="3"/>
  <c r="ACC51" i="3" s="1"/>
  <c r="ACC34" i="3"/>
  <c r="ACC50" i="3" s="1"/>
  <c r="ACC32" i="3"/>
  <c r="ACC48" i="3" s="1"/>
  <c r="ACC31" i="3"/>
  <c r="ACC47" i="3" s="1"/>
  <c r="ACC29" i="3"/>
  <c r="ACC45" i="3" s="1"/>
  <c r="AEO41" i="3"/>
  <c r="AEO57" i="3" s="1"/>
  <c r="AEO38" i="3"/>
  <c r="AEO54" i="3" s="1"/>
  <c r="AEO37" i="3"/>
  <c r="AEO53" i="3" s="1"/>
  <c r="AEO35" i="3"/>
  <c r="AEO51" i="3" s="1"/>
  <c r="AEO34" i="3"/>
  <c r="AEO50" i="3" s="1"/>
  <c r="AEO32" i="3"/>
  <c r="AEO48" i="3" s="1"/>
  <c r="AEO31" i="3"/>
  <c r="AEO47" i="3" s="1"/>
  <c r="AEO29" i="3"/>
  <c r="AEO45" i="3" s="1"/>
  <c r="AHA41" i="3"/>
  <c r="AHA57" i="3" s="1"/>
  <c r="AHA38" i="3"/>
  <c r="AHA54" i="3" s="1"/>
  <c r="AHA37" i="3"/>
  <c r="AHA53" i="3" s="1"/>
  <c r="AHA35" i="3"/>
  <c r="AHA51" i="3" s="1"/>
  <c r="AHA34" i="3"/>
  <c r="AHA50" i="3" s="1"/>
  <c r="AHA32" i="3"/>
  <c r="AHA48" i="3" s="1"/>
  <c r="AHA31" i="3"/>
  <c r="AHA47" i="3" s="1"/>
  <c r="AHA29" i="3"/>
  <c r="AHA45" i="3" s="1"/>
  <c r="AJM41" i="3"/>
  <c r="AJM57" i="3" s="1"/>
  <c r="AJM38" i="3"/>
  <c r="AJM54" i="3" s="1"/>
  <c r="AJM37" i="3"/>
  <c r="AJM53" i="3" s="1"/>
  <c r="AJM35" i="3"/>
  <c r="AJM51" i="3" s="1"/>
  <c r="AJM34" i="3"/>
  <c r="AJM50" i="3" s="1"/>
  <c r="AJM32" i="3"/>
  <c r="AJM48" i="3" s="1"/>
  <c r="AJM31" i="3"/>
  <c r="AJM47" i="3" s="1"/>
  <c r="AJM29" i="3"/>
  <c r="AJM45" i="3" s="1"/>
  <c r="Z41" i="3"/>
  <c r="Z38" i="3"/>
  <c r="Z37" i="3"/>
  <c r="Z35" i="3"/>
  <c r="Z34" i="3"/>
  <c r="Z32" i="3"/>
  <c r="Z48" i="3" s="1"/>
  <c r="Z31" i="3"/>
  <c r="Z47" i="3" s="1"/>
  <c r="Z29" i="3"/>
  <c r="Z45" i="3" s="1"/>
  <c r="AP41" i="3"/>
  <c r="AP38" i="3"/>
  <c r="AP37" i="3"/>
  <c r="AP35" i="3"/>
  <c r="AP34" i="3"/>
  <c r="AP32" i="3"/>
  <c r="AP48" i="3" s="1"/>
  <c r="AP31" i="3"/>
  <c r="AP47" i="3" s="1"/>
  <c r="AP29" i="3"/>
  <c r="AP45" i="3" s="1"/>
  <c r="BF41" i="3"/>
  <c r="BF38" i="3"/>
  <c r="BF37" i="3"/>
  <c r="BF35" i="3"/>
  <c r="BF34" i="3"/>
  <c r="BF32" i="3"/>
  <c r="BF48" i="3" s="1"/>
  <c r="BF31" i="3"/>
  <c r="BF47" i="3" s="1"/>
  <c r="BF29" i="3"/>
  <c r="BF45" i="3" s="1"/>
  <c r="BV41" i="3"/>
  <c r="BV38" i="3"/>
  <c r="BV37" i="3"/>
  <c r="BV35" i="3"/>
  <c r="BV34" i="3"/>
  <c r="BV32" i="3"/>
  <c r="BV48" i="3" s="1"/>
  <c r="BV31" i="3"/>
  <c r="BV47" i="3" s="1"/>
  <c r="BV29" i="3"/>
  <c r="BV45" i="3" s="1"/>
  <c r="CL41" i="3"/>
  <c r="CL38" i="3"/>
  <c r="CL37" i="3"/>
  <c r="CL35" i="3"/>
  <c r="CL34" i="3"/>
  <c r="CL32" i="3"/>
  <c r="CL48" i="3" s="1"/>
  <c r="CL31" i="3"/>
  <c r="CL47" i="3" s="1"/>
  <c r="CL29" i="3"/>
  <c r="CL45" i="3" s="1"/>
  <c r="DB41" i="3"/>
  <c r="DB38" i="3"/>
  <c r="DB37" i="3"/>
  <c r="DB35" i="3"/>
  <c r="DB34" i="3"/>
  <c r="DB50" i="3" s="1"/>
  <c r="DB32" i="3"/>
  <c r="DB48" i="3" s="1"/>
  <c r="DB31" i="3"/>
  <c r="DB47" i="3" s="1"/>
  <c r="DB29" i="3"/>
  <c r="DB45" i="3" s="1"/>
  <c r="DR41" i="3"/>
  <c r="DR38" i="3"/>
  <c r="DR35" i="3"/>
  <c r="DR37" i="3"/>
  <c r="DR34" i="3"/>
  <c r="DR32" i="3"/>
  <c r="DR48" i="3" s="1"/>
  <c r="DR31" i="3"/>
  <c r="DR47" i="3" s="1"/>
  <c r="DR29" i="3"/>
  <c r="DR45" i="3" s="1"/>
  <c r="EH41" i="3"/>
  <c r="EH38" i="3"/>
  <c r="EH35" i="3"/>
  <c r="EH37" i="3"/>
  <c r="EH34" i="3"/>
  <c r="EH32" i="3"/>
  <c r="EH48" i="3" s="1"/>
  <c r="EH31" i="3"/>
  <c r="EH47" i="3" s="1"/>
  <c r="EH29" i="3"/>
  <c r="EH45" i="3" s="1"/>
  <c r="EX41" i="3"/>
  <c r="EX38" i="3"/>
  <c r="EX35" i="3"/>
  <c r="EX37" i="3"/>
  <c r="EX34" i="3"/>
  <c r="EX32" i="3"/>
  <c r="EX48" i="3" s="1"/>
  <c r="EX31" i="3"/>
  <c r="EX47" i="3" s="1"/>
  <c r="EX29" i="3"/>
  <c r="EX45" i="3" s="1"/>
  <c r="FN41" i="3"/>
  <c r="FN38" i="3"/>
  <c r="FN35" i="3"/>
  <c r="FN37" i="3"/>
  <c r="FN34" i="3"/>
  <c r="FN32" i="3"/>
  <c r="FN48" i="3" s="1"/>
  <c r="FN31" i="3"/>
  <c r="FN47" i="3" s="1"/>
  <c r="FN29" i="3"/>
  <c r="FN45" i="3" s="1"/>
  <c r="GD41" i="3"/>
  <c r="GD38" i="3"/>
  <c r="GD35" i="3"/>
  <c r="GD37" i="3"/>
  <c r="GD34" i="3"/>
  <c r="GD32" i="3"/>
  <c r="GD48" i="3" s="1"/>
  <c r="GD31" i="3"/>
  <c r="GD47" i="3" s="1"/>
  <c r="GD29" i="3"/>
  <c r="GD45" i="3" s="1"/>
  <c r="GT41" i="3"/>
  <c r="GT38" i="3"/>
  <c r="GT35" i="3"/>
  <c r="GT37" i="3"/>
  <c r="GT34" i="3"/>
  <c r="GT32" i="3"/>
  <c r="GT48" i="3" s="1"/>
  <c r="GT31" i="3"/>
  <c r="GT47" i="3" s="1"/>
  <c r="GT29" i="3"/>
  <c r="GT45" i="3" s="1"/>
  <c r="HJ41" i="3"/>
  <c r="HJ38" i="3"/>
  <c r="HJ35" i="3"/>
  <c r="HJ37" i="3"/>
  <c r="HJ34" i="3"/>
  <c r="HJ32" i="3"/>
  <c r="HJ48" i="3" s="1"/>
  <c r="HJ31" i="3"/>
  <c r="HJ47" i="3" s="1"/>
  <c r="HJ29" i="3"/>
  <c r="HJ45" i="3" s="1"/>
  <c r="HZ41" i="3"/>
  <c r="HZ38" i="3"/>
  <c r="HZ35" i="3"/>
  <c r="HZ37" i="3"/>
  <c r="HZ34" i="3"/>
  <c r="HZ32" i="3"/>
  <c r="HZ48" i="3" s="1"/>
  <c r="HZ31" i="3"/>
  <c r="HZ47" i="3" s="1"/>
  <c r="HZ29" i="3"/>
  <c r="HZ45" i="3" s="1"/>
  <c r="IP41" i="3"/>
  <c r="IP38" i="3"/>
  <c r="IP54" i="3" s="1"/>
  <c r="IP35" i="3"/>
  <c r="IP51" i="3" s="1"/>
  <c r="IP37" i="3"/>
  <c r="IP53" i="3" s="1"/>
  <c r="IP34" i="3"/>
  <c r="IP32" i="3"/>
  <c r="IP48" i="3" s="1"/>
  <c r="IP31" i="3"/>
  <c r="IP47" i="3" s="1"/>
  <c r="IP29" i="3"/>
  <c r="IP45" i="3" s="1"/>
  <c r="JF41" i="3"/>
  <c r="JF38" i="3"/>
  <c r="JF35" i="3"/>
  <c r="JF37" i="3"/>
  <c r="JF34" i="3"/>
  <c r="JF32" i="3"/>
  <c r="JF48" i="3" s="1"/>
  <c r="JF31" i="3"/>
  <c r="JF47" i="3" s="1"/>
  <c r="JF29" i="3"/>
  <c r="JF45" i="3" s="1"/>
  <c r="JV41" i="3"/>
  <c r="JV57" i="3" s="1"/>
  <c r="JV38" i="3"/>
  <c r="JV54" i="3" s="1"/>
  <c r="JV35" i="3"/>
  <c r="JV51" i="3" s="1"/>
  <c r="JV37" i="3"/>
  <c r="JV53" i="3" s="1"/>
  <c r="JV34" i="3"/>
  <c r="JV50" i="3" s="1"/>
  <c r="JV32" i="3"/>
  <c r="JV48" i="3" s="1"/>
  <c r="JV31" i="3"/>
  <c r="JV47" i="3" s="1"/>
  <c r="JV29" i="3"/>
  <c r="JV45" i="3" s="1"/>
  <c r="KL41" i="3"/>
  <c r="KL38" i="3"/>
  <c r="KL35" i="3"/>
  <c r="KL37" i="3"/>
  <c r="KL34" i="3"/>
  <c r="KL32" i="3"/>
  <c r="KL48" i="3" s="1"/>
  <c r="KL31" i="3"/>
  <c r="KL47" i="3" s="1"/>
  <c r="KL29" i="3"/>
  <c r="KL45" i="3" s="1"/>
  <c r="LB41" i="3"/>
  <c r="LB38" i="3"/>
  <c r="LB54" i="3" s="1"/>
  <c r="LB35" i="3"/>
  <c r="LB37" i="3"/>
  <c r="LB53" i="3" s="1"/>
  <c r="LB34" i="3"/>
  <c r="LB32" i="3"/>
  <c r="LB48" i="3" s="1"/>
  <c r="LB31" i="3"/>
  <c r="LB47" i="3" s="1"/>
  <c r="LB29" i="3"/>
  <c r="LB45" i="3" s="1"/>
  <c r="LR41" i="3"/>
  <c r="LR38" i="3"/>
  <c r="LR35" i="3"/>
  <c r="LR37" i="3"/>
  <c r="LR34" i="3"/>
  <c r="LR32" i="3"/>
  <c r="LR48" i="3" s="1"/>
  <c r="LR31" i="3"/>
  <c r="LR47" i="3" s="1"/>
  <c r="LR29" i="3"/>
  <c r="LR45" i="3" s="1"/>
  <c r="W41" i="3"/>
  <c r="W57" i="3" s="1"/>
  <c r="W38" i="3"/>
  <c r="W54" i="3" s="1"/>
  <c r="W37" i="3"/>
  <c r="W53" i="3" s="1"/>
  <c r="W35" i="3"/>
  <c r="W51" i="3" s="1"/>
  <c r="W34" i="3"/>
  <c r="W50" i="3" s="1"/>
  <c r="W32" i="3"/>
  <c r="W48" i="3" s="1"/>
  <c r="W31" i="3"/>
  <c r="W47" i="3" s="1"/>
  <c r="W29" i="3"/>
  <c r="W45" i="3" s="1"/>
  <c r="AM41" i="3"/>
  <c r="AM38" i="3"/>
  <c r="AM37" i="3"/>
  <c r="AM35" i="3"/>
  <c r="AM51" i="3" s="1"/>
  <c r="AM34" i="3"/>
  <c r="AM32" i="3"/>
  <c r="AM48" i="3" s="1"/>
  <c r="AM31" i="3"/>
  <c r="AM47" i="3" s="1"/>
  <c r="AM29" i="3"/>
  <c r="AM45" i="3" s="1"/>
  <c r="BC41" i="3"/>
  <c r="BC38" i="3"/>
  <c r="BC37" i="3"/>
  <c r="BC35" i="3"/>
  <c r="BC34" i="3"/>
  <c r="BC32" i="3"/>
  <c r="BC48" i="3" s="1"/>
  <c r="BC31" i="3"/>
  <c r="BC47" i="3" s="1"/>
  <c r="BC29" i="3"/>
  <c r="BC45" i="3" s="1"/>
  <c r="BS41" i="3"/>
  <c r="BS38" i="3"/>
  <c r="BS37" i="3"/>
  <c r="BS35" i="3"/>
  <c r="BS34" i="3"/>
  <c r="BS32" i="3"/>
  <c r="BS48" i="3" s="1"/>
  <c r="BS31" i="3"/>
  <c r="BS47" i="3" s="1"/>
  <c r="BS29" i="3"/>
  <c r="BS45" i="3" s="1"/>
  <c r="CI41" i="3"/>
  <c r="CI38" i="3"/>
  <c r="CI54" i="3" s="1"/>
  <c r="CI37" i="3"/>
  <c r="CI53" i="3" s="1"/>
  <c r="CI35" i="3"/>
  <c r="CI51" i="3" s="1"/>
  <c r="CI34" i="3"/>
  <c r="CI50" i="3" s="1"/>
  <c r="CI32" i="3"/>
  <c r="CI48" i="3" s="1"/>
  <c r="CI31" i="3"/>
  <c r="CI47" i="3" s="1"/>
  <c r="CI29" i="3"/>
  <c r="CI45" i="3" s="1"/>
  <c r="CY41" i="3"/>
  <c r="CY57" i="3" s="1"/>
  <c r="CY38" i="3"/>
  <c r="CY54" i="3" s="1"/>
  <c r="CY37" i="3"/>
  <c r="CY53" i="3" s="1"/>
  <c r="CY35" i="3"/>
  <c r="CY51" i="3" s="1"/>
  <c r="CY34" i="3"/>
  <c r="CY50" i="3" s="1"/>
  <c r="CY32" i="3"/>
  <c r="CY48" i="3" s="1"/>
  <c r="CY31" i="3"/>
  <c r="CY47" i="3" s="1"/>
  <c r="CY29" i="3"/>
  <c r="CY45" i="3" s="1"/>
  <c r="DO41" i="3"/>
  <c r="DO38" i="3"/>
  <c r="DO35" i="3"/>
  <c r="DO37" i="3"/>
  <c r="DO34" i="3"/>
  <c r="DO32" i="3"/>
  <c r="DO48" i="3" s="1"/>
  <c r="DO31" i="3"/>
  <c r="DO47" i="3" s="1"/>
  <c r="DO29" i="3"/>
  <c r="DO45" i="3" s="1"/>
  <c r="EE41" i="3"/>
  <c r="EE38" i="3"/>
  <c r="EE35" i="3"/>
  <c r="EE37" i="3"/>
  <c r="EE34" i="3"/>
  <c r="EE32" i="3"/>
  <c r="EE48" i="3" s="1"/>
  <c r="EE31" i="3"/>
  <c r="EE47" i="3" s="1"/>
  <c r="EE29" i="3"/>
  <c r="EE45" i="3" s="1"/>
  <c r="EU41" i="3"/>
  <c r="EU38" i="3"/>
  <c r="EU35" i="3"/>
  <c r="EU37" i="3"/>
  <c r="EU34" i="3"/>
  <c r="EU32" i="3"/>
  <c r="EU48" i="3" s="1"/>
  <c r="EU31" i="3"/>
  <c r="EU47" i="3" s="1"/>
  <c r="EU29" i="3"/>
  <c r="EU45" i="3" s="1"/>
  <c r="FK41" i="3"/>
  <c r="FK38" i="3"/>
  <c r="FK35" i="3"/>
  <c r="FK37" i="3"/>
  <c r="FK34" i="3"/>
  <c r="FK32" i="3"/>
  <c r="FK48" i="3" s="1"/>
  <c r="FK31" i="3"/>
  <c r="FK47" i="3" s="1"/>
  <c r="FK29" i="3"/>
  <c r="FK45" i="3" s="1"/>
  <c r="GA41" i="3"/>
  <c r="GA38" i="3"/>
  <c r="GA35" i="3"/>
  <c r="GA37" i="3"/>
  <c r="GA34" i="3"/>
  <c r="GA32" i="3"/>
  <c r="GA48" i="3" s="1"/>
  <c r="GA31" i="3"/>
  <c r="GA47" i="3" s="1"/>
  <c r="GA29" i="3"/>
  <c r="GA45" i="3" s="1"/>
  <c r="GQ41" i="3"/>
  <c r="GQ38" i="3"/>
  <c r="GQ54" i="3" s="1"/>
  <c r="GQ35" i="3"/>
  <c r="GQ51" i="3" s="1"/>
  <c r="GQ37" i="3"/>
  <c r="GQ53" i="3" s="1"/>
  <c r="GQ34" i="3"/>
  <c r="GQ50" i="3" s="1"/>
  <c r="GQ32" i="3"/>
  <c r="GQ48" i="3" s="1"/>
  <c r="GQ31" i="3"/>
  <c r="GQ47" i="3" s="1"/>
  <c r="GQ29" i="3"/>
  <c r="GQ45" i="3" s="1"/>
  <c r="HG41" i="3"/>
  <c r="HG57" i="3" s="1"/>
  <c r="HG38" i="3"/>
  <c r="HG35" i="3"/>
  <c r="HG51" i="3" s="1"/>
  <c r="HG37" i="3"/>
  <c r="HG34" i="3"/>
  <c r="HG50" i="3" s="1"/>
  <c r="HG32" i="3"/>
  <c r="HG48" i="3" s="1"/>
  <c r="HG31" i="3"/>
  <c r="HG47" i="3" s="1"/>
  <c r="HG29" i="3"/>
  <c r="HG45" i="3" s="1"/>
  <c r="HW41" i="3"/>
  <c r="HW38" i="3"/>
  <c r="HW35" i="3"/>
  <c r="HW37" i="3"/>
  <c r="HW34" i="3"/>
  <c r="HW32" i="3"/>
  <c r="HW48" i="3" s="1"/>
  <c r="HW31" i="3"/>
  <c r="HW47" i="3" s="1"/>
  <c r="HW29" i="3"/>
  <c r="HW45" i="3" s="1"/>
  <c r="IM41" i="3"/>
  <c r="IM38" i="3"/>
  <c r="IM35" i="3"/>
  <c r="IM37" i="3"/>
  <c r="IM34" i="3"/>
  <c r="IM32" i="3"/>
  <c r="IM48" i="3" s="1"/>
  <c r="IM31" i="3"/>
  <c r="IM47" i="3" s="1"/>
  <c r="IM29" i="3"/>
  <c r="IM45" i="3" s="1"/>
  <c r="JC41" i="3"/>
  <c r="JC38" i="3"/>
  <c r="JC35" i="3"/>
  <c r="JC37" i="3"/>
  <c r="JC34" i="3"/>
  <c r="JC32" i="3"/>
  <c r="JC48" i="3" s="1"/>
  <c r="JC31" i="3"/>
  <c r="JC47" i="3" s="1"/>
  <c r="JC29" i="3"/>
  <c r="JC45" i="3" s="1"/>
  <c r="JS41" i="3"/>
  <c r="JS38" i="3"/>
  <c r="JS35" i="3"/>
  <c r="JS37" i="3"/>
  <c r="JS34" i="3"/>
  <c r="JS32" i="3"/>
  <c r="JS48" i="3" s="1"/>
  <c r="JS31" i="3"/>
  <c r="JS47" i="3" s="1"/>
  <c r="JS29" i="3"/>
  <c r="JS45" i="3" s="1"/>
  <c r="KI41" i="3"/>
  <c r="KI57" i="3" s="1"/>
  <c r="KI38" i="3"/>
  <c r="KI54" i="3" s="1"/>
  <c r="KI35" i="3"/>
  <c r="KI37" i="3"/>
  <c r="KI53" i="3" s="1"/>
  <c r="KI34" i="3"/>
  <c r="KI32" i="3"/>
  <c r="KI48" i="3" s="1"/>
  <c r="KI31" i="3"/>
  <c r="KI47" i="3" s="1"/>
  <c r="KI29" i="3"/>
  <c r="KI45" i="3" s="1"/>
  <c r="KY41" i="3"/>
  <c r="KY57" i="3" s="1"/>
  <c r="KY38" i="3"/>
  <c r="KY35" i="3"/>
  <c r="KY51" i="3" s="1"/>
  <c r="KY37" i="3"/>
  <c r="KY34" i="3"/>
  <c r="KY32" i="3"/>
  <c r="KY48" i="3" s="1"/>
  <c r="KY31" i="3"/>
  <c r="KY47" i="3" s="1"/>
  <c r="KY29" i="3"/>
  <c r="KY45" i="3" s="1"/>
  <c r="LO41" i="3"/>
  <c r="LO38" i="3"/>
  <c r="LO35" i="3"/>
  <c r="LO37" i="3"/>
  <c r="LO34" i="3"/>
  <c r="LO32" i="3"/>
  <c r="LO48" i="3" s="1"/>
  <c r="LO31" i="3"/>
  <c r="LO47" i="3" s="1"/>
  <c r="LO29" i="3"/>
  <c r="LO45" i="3" s="1"/>
  <c r="D41" i="3"/>
  <c r="D57" i="3" s="1"/>
  <c r="D38" i="3"/>
  <c r="D54" i="3" s="1"/>
  <c r="D37" i="3"/>
  <c r="D53" i="3" s="1"/>
  <c r="D35" i="3"/>
  <c r="D51" i="3" s="1"/>
  <c r="D34" i="3"/>
  <c r="D50" i="3" s="1"/>
  <c r="D32" i="3"/>
  <c r="D48" i="3" s="1"/>
  <c r="D31" i="3"/>
  <c r="D47" i="3" s="1"/>
  <c r="D29" i="3"/>
  <c r="D45" i="3" s="1"/>
  <c r="T41" i="3"/>
  <c r="T38" i="3"/>
  <c r="T37" i="3"/>
  <c r="T35" i="3"/>
  <c r="T34" i="3"/>
  <c r="T32" i="3"/>
  <c r="T48" i="3" s="1"/>
  <c r="T31" i="3"/>
  <c r="T47" i="3" s="1"/>
  <c r="T29" i="3"/>
  <c r="T45" i="3" s="1"/>
  <c r="AJ41" i="3"/>
  <c r="AJ38" i="3"/>
  <c r="AJ37" i="3"/>
  <c r="AJ35" i="3"/>
  <c r="AJ51" i="3" s="1"/>
  <c r="AJ34" i="3"/>
  <c r="AJ32" i="3"/>
  <c r="AJ48" i="3" s="1"/>
  <c r="AJ31" i="3"/>
  <c r="AJ47" i="3" s="1"/>
  <c r="AJ29" i="3"/>
  <c r="AJ45" i="3" s="1"/>
  <c r="AZ41" i="3"/>
  <c r="AZ38" i="3"/>
  <c r="AZ37" i="3"/>
  <c r="AZ35" i="3"/>
  <c r="AZ34" i="3"/>
  <c r="AZ32" i="3"/>
  <c r="AZ48" i="3" s="1"/>
  <c r="AZ31" i="3"/>
  <c r="AZ47" i="3" s="1"/>
  <c r="AZ29" i="3"/>
  <c r="AZ45" i="3" s="1"/>
  <c r="BP41" i="3"/>
  <c r="BP38" i="3"/>
  <c r="BP37" i="3"/>
  <c r="BP35" i="3"/>
  <c r="BP34" i="3"/>
  <c r="BP32" i="3"/>
  <c r="BP48" i="3" s="1"/>
  <c r="BP31" i="3"/>
  <c r="BP47" i="3" s="1"/>
  <c r="BP29" i="3"/>
  <c r="BP45" i="3" s="1"/>
  <c r="CF41" i="3"/>
  <c r="CF38" i="3"/>
  <c r="CF37" i="3"/>
  <c r="CF35" i="3"/>
  <c r="CF34" i="3"/>
  <c r="CF32" i="3"/>
  <c r="CF48" i="3" s="1"/>
  <c r="CF31" i="3"/>
  <c r="CF47" i="3" s="1"/>
  <c r="CF29" i="3"/>
  <c r="CF45" i="3" s="1"/>
  <c r="CV41" i="3"/>
  <c r="CV38" i="3"/>
  <c r="CV54" i="3" s="1"/>
  <c r="CV37" i="3"/>
  <c r="CV53" i="3" s="1"/>
  <c r="CV35" i="3"/>
  <c r="CV51" i="3" s="1"/>
  <c r="CV34" i="3"/>
  <c r="CV32" i="3"/>
  <c r="CV48" i="3" s="1"/>
  <c r="CV31" i="3"/>
  <c r="CV47" i="3" s="1"/>
  <c r="CV29" i="3"/>
  <c r="CV45" i="3" s="1"/>
  <c r="DL41" i="3"/>
  <c r="DL38" i="3"/>
  <c r="DL35" i="3"/>
  <c r="DL37" i="3"/>
  <c r="DL34" i="3"/>
  <c r="DL32" i="3"/>
  <c r="DL48" i="3" s="1"/>
  <c r="DL31" i="3"/>
  <c r="DL47" i="3" s="1"/>
  <c r="DL29" i="3"/>
  <c r="DL45" i="3" s="1"/>
  <c r="EB41" i="3"/>
  <c r="EB38" i="3"/>
  <c r="EB35" i="3"/>
  <c r="EB37" i="3"/>
  <c r="EB34" i="3"/>
  <c r="EB32" i="3"/>
  <c r="EB48" i="3" s="1"/>
  <c r="EB31" i="3"/>
  <c r="EB47" i="3" s="1"/>
  <c r="EB29" i="3"/>
  <c r="EB45" i="3" s="1"/>
  <c r="ER41" i="3"/>
  <c r="ER38" i="3"/>
  <c r="ER35" i="3"/>
  <c r="ER37" i="3"/>
  <c r="ER34" i="3"/>
  <c r="ER32" i="3"/>
  <c r="ER48" i="3" s="1"/>
  <c r="ER31" i="3"/>
  <c r="ER47" i="3" s="1"/>
  <c r="ER29" i="3"/>
  <c r="ER45" i="3" s="1"/>
  <c r="FH41" i="3"/>
  <c r="FH57" i="3" s="1"/>
  <c r="FH38" i="3"/>
  <c r="FH35" i="3"/>
  <c r="FH51" i="3" s="1"/>
  <c r="FH37" i="3"/>
  <c r="FH34" i="3"/>
  <c r="FH50" i="3" s="1"/>
  <c r="FH32" i="3"/>
  <c r="FH48" i="3" s="1"/>
  <c r="FH31" i="3"/>
  <c r="FH47" i="3" s="1"/>
  <c r="FH29" i="3"/>
  <c r="FH45" i="3" s="1"/>
  <c r="FX41" i="3"/>
  <c r="FX38" i="3"/>
  <c r="FX35" i="3"/>
  <c r="FX37" i="3"/>
  <c r="FX34" i="3"/>
  <c r="FX32" i="3"/>
  <c r="FX48" i="3" s="1"/>
  <c r="FX31" i="3"/>
  <c r="FX47" i="3" s="1"/>
  <c r="FX29" i="3"/>
  <c r="FX45" i="3" s="1"/>
  <c r="GN41" i="3"/>
  <c r="GN38" i="3"/>
  <c r="GN35" i="3"/>
  <c r="GN37" i="3"/>
  <c r="GN34" i="3"/>
  <c r="GN32" i="3"/>
  <c r="GN48" i="3" s="1"/>
  <c r="GN31" i="3"/>
  <c r="GN47" i="3" s="1"/>
  <c r="GN29" i="3"/>
  <c r="GN45" i="3" s="1"/>
  <c r="AW41" i="3"/>
  <c r="AW38" i="3"/>
  <c r="AW37" i="3"/>
  <c r="AW35" i="3"/>
  <c r="AW34" i="3"/>
  <c r="AW32" i="3"/>
  <c r="AW48" i="3" s="1"/>
  <c r="AW31" i="3"/>
  <c r="AW47" i="3" s="1"/>
  <c r="AW29" i="3"/>
  <c r="AW45" i="3" s="1"/>
  <c r="IS41" i="3"/>
  <c r="IS38" i="3"/>
  <c r="IS37" i="3"/>
  <c r="IS34" i="3"/>
  <c r="IS35" i="3"/>
  <c r="IS32" i="3"/>
  <c r="IS48" i="3" s="1"/>
  <c r="IS31" i="3"/>
  <c r="IS47" i="3" s="1"/>
  <c r="IS29" i="3"/>
  <c r="IS45" i="3" s="1"/>
  <c r="MW41" i="3"/>
  <c r="MW38" i="3"/>
  <c r="MW37" i="3"/>
  <c r="MW34" i="3"/>
  <c r="MW35" i="3"/>
  <c r="MW32" i="3"/>
  <c r="MW48" i="3" s="1"/>
  <c r="MW31" i="3"/>
  <c r="MW47" i="3" s="1"/>
  <c r="MW29" i="3"/>
  <c r="MW45" i="3" s="1"/>
  <c r="PI41" i="3"/>
  <c r="PI38" i="3"/>
  <c r="PI54" i="3" s="1"/>
  <c r="PI37" i="3"/>
  <c r="PI53" i="3" s="1"/>
  <c r="PI34" i="3"/>
  <c r="PI35" i="3"/>
  <c r="PI32" i="3"/>
  <c r="PI48" i="3" s="1"/>
  <c r="PI31" i="3"/>
  <c r="PI47" i="3" s="1"/>
  <c r="PI29" i="3"/>
  <c r="PI45" i="3" s="1"/>
  <c r="RU41" i="3"/>
  <c r="RU38" i="3"/>
  <c r="RU37" i="3"/>
  <c r="RU34" i="3"/>
  <c r="RU35" i="3"/>
  <c r="RU51" i="3" s="1"/>
  <c r="RU32" i="3"/>
  <c r="RU48" i="3" s="1"/>
  <c r="RU31" i="3"/>
  <c r="RU47" i="3" s="1"/>
  <c r="RU29" i="3"/>
  <c r="RU45" i="3" s="1"/>
  <c r="UG41" i="3"/>
  <c r="UG57" i="3" s="1"/>
  <c r="UG38" i="3"/>
  <c r="UG54" i="3" s="1"/>
  <c r="UG37" i="3"/>
  <c r="UG53" i="3" s="1"/>
  <c r="UG34" i="3"/>
  <c r="UG50" i="3" s="1"/>
  <c r="UG35" i="3"/>
  <c r="UG51" i="3" s="1"/>
  <c r="UG32" i="3"/>
  <c r="UG48" i="3" s="1"/>
  <c r="UG31" i="3"/>
  <c r="UG47" i="3" s="1"/>
  <c r="UG29" i="3"/>
  <c r="UG45" i="3" s="1"/>
  <c r="WS41" i="3"/>
  <c r="WS57" i="3" s="1"/>
  <c r="WS38" i="3"/>
  <c r="WS54" i="3" s="1"/>
  <c r="WS37" i="3"/>
  <c r="WS53" i="3" s="1"/>
  <c r="WS34" i="3"/>
  <c r="WS50" i="3" s="1"/>
  <c r="WS35" i="3"/>
  <c r="WS51" i="3" s="1"/>
  <c r="WS32" i="3"/>
  <c r="WS48" i="3" s="1"/>
  <c r="WS31" i="3"/>
  <c r="WS47" i="3" s="1"/>
  <c r="WS29" i="3"/>
  <c r="WS45" i="3" s="1"/>
  <c r="ZE41" i="3"/>
  <c r="ZE57" i="3" s="1"/>
  <c r="ZE38" i="3"/>
  <c r="ZE54" i="3" s="1"/>
  <c r="ZE37" i="3"/>
  <c r="ZE53" i="3" s="1"/>
  <c r="ZE35" i="3"/>
  <c r="ZE51" i="3" s="1"/>
  <c r="ZE34" i="3"/>
  <c r="ZE50" i="3" s="1"/>
  <c r="ZE32" i="3"/>
  <c r="ZE48" i="3" s="1"/>
  <c r="ZE31" i="3"/>
  <c r="ZE47" i="3" s="1"/>
  <c r="ZE29" i="3"/>
  <c r="ZE45" i="3" s="1"/>
  <c r="ABQ41" i="3"/>
  <c r="ABQ57" i="3" s="1"/>
  <c r="ABQ38" i="3"/>
  <c r="ABQ54" i="3" s="1"/>
  <c r="ABQ37" i="3"/>
  <c r="ABQ53" i="3" s="1"/>
  <c r="ABQ35" i="3"/>
  <c r="ABQ51" i="3" s="1"/>
  <c r="ABQ34" i="3"/>
  <c r="ABQ50" i="3" s="1"/>
  <c r="ABQ32" i="3"/>
  <c r="ABQ48" i="3" s="1"/>
  <c r="ABQ31" i="3"/>
  <c r="ABQ47" i="3" s="1"/>
  <c r="ABQ29" i="3"/>
  <c r="ABQ45" i="3" s="1"/>
  <c r="AEC41" i="3"/>
  <c r="AEC57" i="3" s="1"/>
  <c r="AEC38" i="3"/>
  <c r="AEC54" i="3" s="1"/>
  <c r="AEC37" i="3"/>
  <c r="AEC53" i="3" s="1"/>
  <c r="AEC35" i="3"/>
  <c r="AEC51" i="3" s="1"/>
  <c r="AEC34" i="3"/>
  <c r="AEC50" i="3" s="1"/>
  <c r="AEC32" i="3"/>
  <c r="AEC48" i="3" s="1"/>
  <c r="AEC31" i="3"/>
  <c r="AEC47" i="3" s="1"/>
  <c r="AEC29" i="3"/>
  <c r="AEC45" i="3" s="1"/>
  <c r="AGO41" i="3"/>
  <c r="AGO57" i="3" s="1"/>
  <c r="AGO38" i="3"/>
  <c r="AGO54" i="3" s="1"/>
  <c r="AGO37" i="3"/>
  <c r="AGO53" i="3" s="1"/>
  <c r="AGO35" i="3"/>
  <c r="AGO51" i="3" s="1"/>
  <c r="AGO34" i="3"/>
  <c r="AGO50" i="3" s="1"/>
  <c r="AGO32" i="3"/>
  <c r="AGO48" i="3" s="1"/>
  <c r="AGO31" i="3"/>
  <c r="AGO47" i="3" s="1"/>
  <c r="AGO29" i="3"/>
  <c r="AGO45" i="3" s="1"/>
  <c r="AJA41" i="3"/>
  <c r="AJA57" i="3" s="1"/>
  <c r="AJA38" i="3"/>
  <c r="AJA54" i="3" s="1"/>
  <c r="AJA37" i="3"/>
  <c r="AJA53" i="3" s="1"/>
  <c r="AJA35" i="3"/>
  <c r="AJA51" i="3" s="1"/>
  <c r="AJA34" i="3"/>
  <c r="AJA50" i="3" s="1"/>
  <c r="AJA32" i="3"/>
  <c r="AJA48" i="3" s="1"/>
  <c r="AJA31" i="3"/>
  <c r="AJA47" i="3" s="1"/>
  <c r="AJA29" i="3"/>
  <c r="AJA45" i="3" s="1"/>
  <c r="ALM41" i="3"/>
  <c r="ALM57" i="3" s="1"/>
  <c r="ALM38" i="3"/>
  <c r="ALM54" i="3" s="1"/>
  <c r="ALM37" i="3"/>
  <c r="ALM53" i="3" s="1"/>
  <c r="ALM35" i="3"/>
  <c r="ALM51" i="3" s="1"/>
  <c r="ALM34" i="3"/>
  <c r="ALM50" i="3" s="1"/>
  <c r="ALM32" i="3"/>
  <c r="ALM48" i="3" s="1"/>
  <c r="ALM31" i="3"/>
  <c r="ALM47" i="3" s="1"/>
  <c r="ALM29" i="3"/>
  <c r="ALM45" i="3" s="1"/>
  <c r="KG41" i="3"/>
  <c r="KG38" i="3"/>
  <c r="KG37" i="3"/>
  <c r="KG35" i="3"/>
  <c r="KG34" i="3"/>
  <c r="KG50" i="3" s="1"/>
  <c r="KG32" i="3"/>
  <c r="KG48" i="3" s="1"/>
  <c r="KG31" i="3"/>
  <c r="KG47" i="3" s="1"/>
  <c r="KG29" i="3"/>
  <c r="KG45" i="3" s="1"/>
  <c r="NQ41" i="3"/>
  <c r="NQ38" i="3"/>
  <c r="NQ37" i="3"/>
  <c r="NQ34" i="3"/>
  <c r="NQ35" i="3"/>
  <c r="NQ32" i="3"/>
  <c r="NQ48" i="3" s="1"/>
  <c r="NQ31" i="3"/>
  <c r="NQ47" i="3" s="1"/>
  <c r="NQ29" i="3"/>
  <c r="NQ45" i="3" s="1"/>
  <c r="QC41" i="3"/>
  <c r="QC38" i="3"/>
  <c r="QC37" i="3"/>
  <c r="QC34" i="3"/>
  <c r="QC35" i="3"/>
  <c r="QC32" i="3"/>
  <c r="QC48" i="3" s="1"/>
  <c r="QC31" i="3"/>
  <c r="QC47" i="3" s="1"/>
  <c r="QC29" i="3"/>
  <c r="QC45" i="3" s="1"/>
  <c r="SO41" i="3"/>
  <c r="SO57" i="3" s="1"/>
  <c r="SO38" i="3"/>
  <c r="SO54" i="3" s="1"/>
  <c r="SO37" i="3"/>
  <c r="SO53" i="3" s="1"/>
  <c r="SO34" i="3"/>
  <c r="SO50" i="3" s="1"/>
  <c r="SO35" i="3"/>
  <c r="SO51" i="3" s="1"/>
  <c r="SO32" i="3"/>
  <c r="SO48" i="3" s="1"/>
  <c r="SO31" i="3"/>
  <c r="SO47" i="3" s="1"/>
  <c r="SO29" i="3"/>
  <c r="SO45" i="3" s="1"/>
  <c r="VA41" i="3"/>
  <c r="VA57" i="3" s="1"/>
  <c r="VA38" i="3"/>
  <c r="VA54" i="3" s="1"/>
  <c r="VA37" i="3"/>
  <c r="VA53" i="3" s="1"/>
  <c r="VA34" i="3"/>
  <c r="VA50" i="3" s="1"/>
  <c r="VA35" i="3"/>
  <c r="VA51" i="3" s="1"/>
  <c r="VA32" i="3"/>
  <c r="VA48" i="3" s="1"/>
  <c r="VA31" i="3"/>
  <c r="VA47" i="3" s="1"/>
  <c r="VA29" i="3"/>
  <c r="VA45" i="3" s="1"/>
  <c r="XM41" i="3"/>
  <c r="XM57" i="3" s="1"/>
  <c r="XM38" i="3"/>
  <c r="XM54" i="3" s="1"/>
  <c r="XM37" i="3"/>
  <c r="XM53" i="3" s="1"/>
  <c r="XM34" i="3"/>
  <c r="XM50" i="3" s="1"/>
  <c r="XM35" i="3"/>
  <c r="XM51" i="3" s="1"/>
  <c r="XM32" i="3"/>
  <c r="XM48" i="3" s="1"/>
  <c r="XM31" i="3"/>
  <c r="XM47" i="3" s="1"/>
  <c r="XM29" i="3"/>
  <c r="XM45" i="3" s="1"/>
  <c r="ZY41" i="3"/>
  <c r="ZY57" i="3" s="1"/>
  <c r="ZY38" i="3"/>
  <c r="ZY54" i="3" s="1"/>
  <c r="ZY37" i="3"/>
  <c r="ZY53" i="3" s="1"/>
  <c r="ZY35" i="3"/>
  <c r="ZY51" i="3" s="1"/>
  <c r="ZY34" i="3"/>
  <c r="ZY50" i="3" s="1"/>
  <c r="ZY32" i="3"/>
  <c r="ZY48" i="3" s="1"/>
  <c r="ZY31" i="3"/>
  <c r="ZY47" i="3" s="1"/>
  <c r="ZY29" i="3"/>
  <c r="ZY45" i="3" s="1"/>
  <c r="ACK41" i="3"/>
  <c r="ACK57" i="3" s="1"/>
  <c r="ACK38" i="3"/>
  <c r="ACK54" i="3" s="1"/>
  <c r="ACK37" i="3"/>
  <c r="ACK53" i="3" s="1"/>
  <c r="ACK35" i="3"/>
  <c r="ACK51" i="3" s="1"/>
  <c r="ACK34" i="3"/>
  <c r="ACK50" i="3" s="1"/>
  <c r="ACK32" i="3"/>
  <c r="ACK48" i="3" s="1"/>
  <c r="ACK31" i="3"/>
  <c r="ACK47" i="3" s="1"/>
  <c r="ACK29" i="3"/>
  <c r="ACK45" i="3" s="1"/>
  <c r="AEW41" i="3"/>
  <c r="AEW57" i="3" s="1"/>
  <c r="AEW38" i="3"/>
  <c r="AEW54" i="3" s="1"/>
  <c r="AEW37" i="3"/>
  <c r="AEW53" i="3" s="1"/>
  <c r="AEW35" i="3"/>
  <c r="AEW51" i="3" s="1"/>
  <c r="AEW34" i="3"/>
  <c r="AEW50" i="3" s="1"/>
  <c r="AEW32" i="3"/>
  <c r="AEW48" i="3" s="1"/>
  <c r="AEW31" i="3"/>
  <c r="AEW47" i="3" s="1"/>
  <c r="AEW29" i="3"/>
  <c r="AEW45" i="3" s="1"/>
  <c r="AHI41" i="3"/>
  <c r="AHI57" i="3" s="1"/>
  <c r="AHI38" i="3"/>
  <c r="AHI54" i="3" s="1"/>
  <c r="AHI37" i="3"/>
  <c r="AHI53" i="3" s="1"/>
  <c r="AHI35" i="3"/>
  <c r="AHI51" i="3" s="1"/>
  <c r="AHI34" i="3"/>
  <c r="AHI50" i="3" s="1"/>
  <c r="AHI32" i="3"/>
  <c r="AHI48" i="3" s="1"/>
  <c r="AHI31" i="3"/>
  <c r="AHI47" i="3" s="1"/>
  <c r="AHI29" i="3"/>
  <c r="AHI45" i="3" s="1"/>
  <c r="AJU41" i="3"/>
  <c r="AJU57" i="3" s="1"/>
  <c r="AJU38" i="3"/>
  <c r="AJU54" i="3" s="1"/>
  <c r="AJU37" i="3"/>
  <c r="AJU53" i="3" s="1"/>
  <c r="AJU35" i="3"/>
  <c r="AJU51" i="3" s="1"/>
  <c r="AJU34" i="3"/>
  <c r="AJU50" i="3" s="1"/>
  <c r="AJU32" i="3"/>
  <c r="AJU48" i="3" s="1"/>
  <c r="AJU31" i="3"/>
  <c r="AJU47" i="3" s="1"/>
  <c r="AJU29" i="3"/>
  <c r="AJU45" i="3" s="1"/>
  <c r="ALF41" i="3"/>
  <c r="ALF57" i="3" s="1"/>
  <c r="ALF38" i="3"/>
  <c r="ALF54" i="3" s="1"/>
  <c r="ALF37" i="3"/>
  <c r="ALF53" i="3" s="1"/>
  <c r="ALF35" i="3"/>
  <c r="ALF51" i="3" s="1"/>
  <c r="ALF34" i="3"/>
  <c r="ALF50" i="3" s="1"/>
  <c r="ALF32" i="3"/>
  <c r="ALF48" i="3" s="1"/>
  <c r="ALF31" i="3"/>
  <c r="ALF47" i="3" s="1"/>
  <c r="ALF29" i="3"/>
  <c r="ALF45" i="3" s="1"/>
  <c r="AKP41" i="3"/>
  <c r="AKP57" i="3" s="1"/>
  <c r="AKP38" i="3"/>
  <c r="AKP54" i="3" s="1"/>
  <c r="AKP37" i="3"/>
  <c r="AKP53" i="3" s="1"/>
  <c r="AKP35" i="3"/>
  <c r="AKP51" i="3" s="1"/>
  <c r="AKP34" i="3"/>
  <c r="AKP50" i="3" s="1"/>
  <c r="AKP32" i="3"/>
  <c r="AKP48" i="3" s="1"/>
  <c r="AKP31" i="3"/>
  <c r="AKP47" i="3" s="1"/>
  <c r="AKP29" i="3"/>
  <c r="AKP45" i="3" s="1"/>
  <c r="AJZ41" i="3"/>
  <c r="AJZ57" i="3" s="1"/>
  <c r="AJZ38" i="3"/>
  <c r="AJZ54" i="3" s="1"/>
  <c r="AJZ37" i="3"/>
  <c r="AJZ53" i="3" s="1"/>
  <c r="AJZ35" i="3"/>
  <c r="AJZ51" i="3" s="1"/>
  <c r="AJZ34" i="3"/>
  <c r="AJZ50" i="3" s="1"/>
  <c r="AJZ32" i="3"/>
  <c r="AJZ48" i="3" s="1"/>
  <c r="AJZ31" i="3"/>
  <c r="AJZ47" i="3" s="1"/>
  <c r="AJZ29" i="3"/>
  <c r="AJZ45" i="3" s="1"/>
  <c r="AJJ41" i="3"/>
  <c r="AJJ57" i="3" s="1"/>
  <c r="AJJ38" i="3"/>
  <c r="AJJ54" i="3" s="1"/>
  <c r="AJJ37" i="3"/>
  <c r="AJJ53" i="3" s="1"/>
  <c r="AJJ35" i="3"/>
  <c r="AJJ51" i="3" s="1"/>
  <c r="AJJ34" i="3"/>
  <c r="AJJ50" i="3" s="1"/>
  <c r="AJJ32" i="3"/>
  <c r="AJJ48" i="3" s="1"/>
  <c r="AJJ31" i="3"/>
  <c r="AJJ47" i="3" s="1"/>
  <c r="AJJ29" i="3"/>
  <c r="AJJ45" i="3" s="1"/>
  <c r="AIT41" i="3"/>
  <c r="AIT57" i="3" s="1"/>
  <c r="AIT38" i="3"/>
  <c r="AIT54" i="3" s="1"/>
  <c r="AIT37" i="3"/>
  <c r="AIT53" i="3" s="1"/>
  <c r="AIT35" i="3"/>
  <c r="AIT51" i="3" s="1"/>
  <c r="AIT34" i="3"/>
  <c r="AIT50" i="3" s="1"/>
  <c r="AIT32" i="3"/>
  <c r="AIT48" i="3" s="1"/>
  <c r="AIT31" i="3"/>
  <c r="AIT47" i="3" s="1"/>
  <c r="AIT29" i="3"/>
  <c r="AIT45" i="3" s="1"/>
  <c r="AID41" i="3"/>
  <c r="AID57" i="3" s="1"/>
  <c r="AID38" i="3"/>
  <c r="AID54" i="3" s="1"/>
  <c r="AID37" i="3"/>
  <c r="AID53" i="3" s="1"/>
  <c r="AID35" i="3"/>
  <c r="AID51" i="3" s="1"/>
  <c r="AID34" i="3"/>
  <c r="AID50" i="3" s="1"/>
  <c r="AID32" i="3"/>
  <c r="AID48" i="3" s="1"/>
  <c r="AID31" i="3"/>
  <c r="AID47" i="3" s="1"/>
  <c r="AID29" i="3"/>
  <c r="AID45" i="3" s="1"/>
  <c r="AHN41" i="3"/>
  <c r="AHN57" i="3" s="1"/>
  <c r="AHN38" i="3"/>
  <c r="AHN54" i="3" s="1"/>
  <c r="AHN37" i="3"/>
  <c r="AHN53" i="3" s="1"/>
  <c r="AHN35" i="3"/>
  <c r="AHN51" i="3" s="1"/>
  <c r="AHN34" i="3"/>
  <c r="AHN50" i="3" s="1"/>
  <c r="AHN32" i="3"/>
  <c r="AHN48" i="3" s="1"/>
  <c r="AHN31" i="3"/>
  <c r="AHN47" i="3" s="1"/>
  <c r="AHN29" i="3"/>
  <c r="AHN45" i="3" s="1"/>
  <c r="AGX41" i="3"/>
  <c r="AGX57" i="3" s="1"/>
  <c r="AGX38" i="3"/>
  <c r="AGX54" i="3" s="1"/>
  <c r="AGX37" i="3"/>
  <c r="AGX53" i="3" s="1"/>
  <c r="AGX35" i="3"/>
  <c r="AGX51" i="3" s="1"/>
  <c r="AGX34" i="3"/>
  <c r="AGX50" i="3" s="1"/>
  <c r="AGX32" i="3"/>
  <c r="AGX48" i="3" s="1"/>
  <c r="AGX31" i="3"/>
  <c r="AGX47" i="3" s="1"/>
  <c r="AGX29" i="3"/>
  <c r="AGX45" i="3" s="1"/>
  <c r="AGH41" i="3"/>
  <c r="AGH57" i="3" s="1"/>
  <c r="AGH38" i="3"/>
  <c r="AGH54" i="3" s="1"/>
  <c r="AGH37" i="3"/>
  <c r="AGH53" i="3" s="1"/>
  <c r="AGH35" i="3"/>
  <c r="AGH51" i="3" s="1"/>
  <c r="AGH34" i="3"/>
  <c r="AGH50" i="3" s="1"/>
  <c r="AGH32" i="3"/>
  <c r="AGH48" i="3" s="1"/>
  <c r="AGH31" i="3"/>
  <c r="AGH47" i="3" s="1"/>
  <c r="AGH29" i="3"/>
  <c r="AGH45" i="3" s="1"/>
  <c r="AFR41" i="3"/>
  <c r="AFR57" i="3" s="1"/>
  <c r="AFR38" i="3"/>
  <c r="AFR54" i="3" s="1"/>
  <c r="AFR37" i="3"/>
  <c r="AFR53" i="3" s="1"/>
  <c r="AFR35" i="3"/>
  <c r="AFR51" i="3" s="1"/>
  <c r="AFR34" i="3"/>
  <c r="AFR50" i="3" s="1"/>
  <c r="AFR32" i="3"/>
  <c r="AFR48" i="3" s="1"/>
  <c r="AFR31" i="3"/>
  <c r="AFR47" i="3" s="1"/>
  <c r="AFR29" i="3"/>
  <c r="AFR45" i="3" s="1"/>
  <c r="AFB41" i="3"/>
  <c r="AFB57" i="3" s="1"/>
  <c r="AFB38" i="3"/>
  <c r="AFB54" i="3" s="1"/>
  <c r="AFB37" i="3"/>
  <c r="AFB53" i="3" s="1"/>
  <c r="AFB35" i="3"/>
  <c r="AFB51" i="3" s="1"/>
  <c r="AFB34" i="3"/>
  <c r="AFB50" i="3" s="1"/>
  <c r="AFB32" i="3"/>
  <c r="AFB48" i="3" s="1"/>
  <c r="AFB31" i="3"/>
  <c r="AFB47" i="3" s="1"/>
  <c r="AFB29" i="3"/>
  <c r="AFB45" i="3" s="1"/>
  <c r="AEL41" i="3"/>
  <c r="AEL57" i="3" s="1"/>
  <c r="AEL38" i="3"/>
  <c r="AEL54" i="3" s="1"/>
  <c r="AEL37" i="3"/>
  <c r="AEL53" i="3" s="1"/>
  <c r="AEL35" i="3"/>
  <c r="AEL51" i="3" s="1"/>
  <c r="AEL34" i="3"/>
  <c r="AEL50" i="3" s="1"/>
  <c r="AEL32" i="3"/>
  <c r="AEL48" i="3" s="1"/>
  <c r="AEL31" i="3"/>
  <c r="AEL47" i="3" s="1"/>
  <c r="AEL29" i="3"/>
  <c r="AEL45" i="3" s="1"/>
  <c r="ADV41" i="3"/>
  <c r="ADV57" i="3" s="1"/>
  <c r="ADV38" i="3"/>
  <c r="ADV54" i="3" s="1"/>
  <c r="ADV37" i="3"/>
  <c r="ADV53" i="3" s="1"/>
  <c r="ADV35" i="3"/>
  <c r="ADV51" i="3" s="1"/>
  <c r="ADV34" i="3"/>
  <c r="ADV50" i="3" s="1"/>
  <c r="ADV32" i="3"/>
  <c r="ADV48" i="3" s="1"/>
  <c r="ADV31" i="3"/>
  <c r="ADV47" i="3" s="1"/>
  <c r="ADV29" i="3"/>
  <c r="ADV45" i="3" s="1"/>
  <c r="ADF41" i="3"/>
  <c r="ADF57" i="3" s="1"/>
  <c r="ADF38" i="3"/>
  <c r="ADF54" i="3" s="1"/>
  <c r="ADF37" i="3"/>
  <c r="ADF53" i="3" s="1"/>
  <c r="ADF35" i="3"/>
  <c r="ADF51" i="3" s="1"/>
  <c r="ADF34" i="3"/>
  <c r="ADF50" i="3" s="1"/>
  <c r="ADF32" i="3"/>
  <c r="ADF48" i="3" s="1"/>
  <c r="ADF31" i="3"/>
  <c r="ADF47" i="3" s="1"/>
  <c r="ADF29" i="3"/>
  <c r="ADF45" i="3" s="1"/>
  <c r="ACP41" i="3"/>
  <c r="ACP57" i="3" s="1"/>
  <c r="ACP38" i="3"/>
  <c r="ACP54" i="3" s="1"/>
  <c r="ACP37" i="3"/>
  <c r="ACP53" i="3" s="1"/>
  <c r="ACP35" i="3"/>
  <c r="ACP51" i="3" s="1"/>
  <c r="ACP34" i="3"/>
  <c r="ACP50" i="3" s="1"/>
  <c r="ACP32" i="3"/>
  <c r="ACP48" i="3" s="1"/>
  <c r="ACP31" i="3"/>
  <c r="ACP47" i="3" s="1"/>
  <c r="ACP29" i="3"/>
  <c r="ACP45" i="3" s="1"/>
  <c r="ABZ41" i="3"/>
  <c r="ABZ57" i="3" s="1"/>
  <c r="ABZ38" i="3"/>
  <c r="ABZ54" i="3" s="1"/>
  <c r="ABZ37" i="3"/>
  <c r="ABZ53" i="3" s="1"/>
  <c r="ABZ35" i="3"/>
  <c r="ABZ51" i="3" s="1"/>
  <c r="ABZ34" i="3"/>
  <c r="ABZ50" i="3" s="1"/>
  <c r="ABZ32" i="3"/>
  <c r="ABZ48" i="3" s="1"/>
  <c r="ABZ31" i="3"/>
  <c r="ABZ47" i="3" s="1"/>
  <c r="ABZ29" i="3"/>
  <c r="ABZ45" i="3" s="1"/>
  <c r="ABJ41" i="3"/>
  <c r="ABJ57" i="3" s="1"/>
  <c r="ABJ38" i="3"/>
  <c r="ABJ54" i="3" s="1"/>
  <c r="ABJ37" i="3"/>
  <c r="ABJ53" i="3" s="1"/>
  <c r="ABJ35" i="3"/>
  <c r="ABJ51" i="3" s="1"/>
  <c r="ABJ34" i="3"/>
  <c r="ABJ50" i="3" s="1"/>
  <c r="ABJ32" i="3"/>
  <c r="ABJ48" i="3" s="1"/>
  <c r="ABJ31" i="3"/>
  <c r="ABJ47" i="3" s="1"/>
  <c r="ABJ29" i="3"/>
  <c r="ABJ45" i="3" s="1"/>
  <c r="AAT41" i="3"/>
  <c r="AAT57" i="3" s="1"/>
  <c r="AAT38" i="3"/>
  <c r="AAT54" i="3" s="1"/>
  <c r="AAT37" i="3"/>
  <c r="AAT53" i="3" s="1"/>
  <c r="AAT35" i="3"/>
  <c r="AAT51" i="3" s="1"/>
  <c r="AAT34" i="3"/>
  <c r="AAT50" i="3" s="1"/>
  <c r="AAT32" i="3"/>
  <c r="AAT48" i="3" s="1"/>
  <c r="AAT31" i="3"/>
  <c r="AAT47" i="3" s="1"/>
  <c r="AAT29" i="3"/>
  <c r="AAT45" i="3" s="1"/>
  <c r="AAD41" i="3"/>
  <c r="AAD57" i="3" s="1"/>
  <c r="AAD38" i="3"/>
  <c r="AAD54" i="3" s="1"/>
  <c r="AAD37" i="3"/>
  <c r="AAD53" i="3" s="1"/>
  <c r="AAD35" i="3"/>
  <c r="AAD51" i="3" s="1"/>
  <c r="AAD34" i="3"/>
  <c r="AAD50" i="3" s="1"/>
  <c r="AAD32" i="3"/>
  <c r="AAD48" i="3" s="1"/>
  <c r="AAD31" i="3"/>
  <c r="AAD47" i="3" s="1"/>
  <c r="AAD29" i="3"/>
  <c r="AAD45" i="3" s="1"/>
  <c r="ZN41" i="3"/>
  <c r="ZN57" i="3" s="1"/>
  <c r="ZN38" i="3"/>
  <c r="ZN54" i="3" s="1"/>
  <c r="ZN37" i="3"/>
  <c r="ZN53" i="3" s="1"/>
  <c r="ZN35" i="3"/>
  <c r="ZN51" i="3" s="1"/>
  <c r="ZN34" i="3"/>
  <c r="ZN50" i="3" s="1"/>
  <c r="ZN32" i="3"/>
  <c r="ZN48" i="3" s="1"/>
  <c r="ZN31" i="3"/>
  <c r="ZN47" i="3" s="1"/>
  <c r="ZN29" i="3"/>
  <c r="ZN45" i="3" s="1"/>
  <c r="YX41" i="3"/>
  <c r="YX57" i="3" s="1"/>
  <c r="YX38" i="3"/>
  <c r="YX54" i="3" s="1"/>
  <c r="YX37" i="3"/>
  <c r="YX53" i="3" s="1"/>
  <c r="YX35" i="3"/>
  <c r="YX51" i="3" s="1"/>
  <c r="YX34" i="3"/>
  <c r="YX50" i="3" s="1"/>
  <c r="YX32" i="3"/>
  <c r="YX48" i="3" s="1"/>
  <c r="YX31" i="3"/>
  <c r="YX47" i="3" s="1"/>
  <c r="YX29" i="3"/>
  <c r="YX45" i="3" s="1"/>
  <c r="YH41" i="3"/>
  <c r="YH57" i="3" s="1"/>
  <c r="YH38" i="3"/>
  <c r="YH54" i="3" s="1"/>
  <c r="YH37" i="3"/>
  <c r="YH53" i="3" s="1"/>
  <c r="YH35" i="3"/>
  <c r="YH51" i="3" s="1"/>
  <c r="YH34" i="3"/>
  <c r="YH50" i="3" s="1"/>
  <c r="YH32" i="3"/>
  <c r="YH48" i="3" s="1"/>
  <c r="YH31" i="3"/>
  <c r="YH47" i="3" s="1"/>
  <c r="YH29" i="3"/>
  <c r="YH45" i="3" s="1"/>
  <c r="XR41" i="3"/>
  <c r="XR57" i="3" s="1"/>
  <c r="XR38" i="3"/>
  <c r="XR54" i="3" s="1"/>
  <c r="XR37" i="3"/>
  <c r="XR53" i="3" s="1"/>
  <c r="XR35" i="3"/>
  <c r="XR51" i="3" s="1"/>
  <c r="XR34" i="3"/>
  <c r="XR50" i="3" s="1"/>
  <c r="XR32" i="3"/>
  <c r="XR48" i="3" s="1"/>
  <c r="XR31" i="3"/>
  <c r="XR47" i="3" s="1"/>
  <c r="XR29" i="3"/>
  <c r="XR45" i="3" s="1"/>
  <c r="XB41" i="3"/>
  <c r="XB57" i="3" s="1"/>
  <c r="XB38" i="3"/>
  <c r="XB54" i="3" s="1"/>
  <c r="XB37" i="3"/>
  <c r="XB53" i="3" s="1"/>
  <c r="XB35" i="3"/>
  <c r="XB51" i="3" s="1"/>
  <c r="XB34" i="3"/>
  <c r="XB50" i="3" s="1"/>
  <c r="XB32" i="3"/>
  <c r="XB48" i="3" s="1"/>
  <c r="XB31" i="3"/>
  <c r="XB47" i="3" s="1"/>
  <c r="XB29" i="3"/>
  <c r="XB45" i="3" s="1"/>
  <c r="WL41" i="3"/>
  <c r="WL57" i="3" s="1"/>
  <c r="WL38" i="3"/>
  <c r="WL54" i="3" s="1"/>
  <c r="WL37" i="3"/>
  <c r="WL53" i="3" s="1"/>
  <c r="WL35" i="3"/>
  <c r="WL51" i="3" s="1"/>
  <c r="WL34" i="3"/>
  <c r="WL50" i="3" s="1"/>
  <c r="WL32" i="3"/>
  <c r="WL48" i="3" s="1"/>
  <c r="WL31" i="3"/>
  <c r="WL47" i="3" s="1"/>
  <c r="WL29" i="3"/>
  <c r="WL45" i="3" s="1"/>
  <c r="VV41" i="3"/>
  <c r="VV57" i="3" s="1"/>
  <c r="VV38" i="3"/>
  <c r="VV54" i="3" s="1"/>
  <c r="VV37" i="3"/>
  <c r="VV53" i="3" s="1"/>
  <c r="VV35" i="3"/>
  <c r="VV51" i="3" s="1"/>
  <c r="VV34" i="3"/>
  <c r="VV50" i="3" s="1"/>
  <c r="VV32" i="3"/>
  <c r="VV48" i="3" s="1"/>
  <c r="VV31" i="3"/>
  <c r="VV47" i="3" s="1"/>
  <c r="VV29" i="3"/>
  <c r="VV45" i="3" s="1"/>
  <c r="VF41" i="3"/>
  <c r="VF57" i="3" s="1"/>
  <c r="VF38" i="3"/>
  <c r="VF54" i="3" s="1"/>
  <c r="VF37" i="3"/>
  <c r="VF53" i="3" s="1"/>
  <c r="VF35" i="3"/>
  <c r="VF51" i="3" s="1"/>
  <c r="VF34" i="3"/>
  <c r="VF50" i="3" s="1"/>
  <c r="VF32" i="3"/>
  <c r="VF48" i="3" s="1"/>
  <c r="VF31" i="3"/>
  <c r="VF47" i="3" s="1"/>
  <c r="VF29" i="3"/>
  <c r="VF45" i="3" s="1"/>
  <c r="UP41" i="3"/>
  <c r="UP57" i="3" s="1"/>
  <c r="UP38" i="3"/>
  <c r="UP54" i="3" s="1"/>
  <c r="UP37" i="3"/>
  <c r="UP53" i="3" s="1"/>
  <c r="UP35" i="3"/>
  <c r="UP51" i="3" s="1"/>
  <c r="UP34" i="3"/>
  <c r="UP50" i="3" s="1"/>
  <c r="UP32" i="3"/>
  <c r="UP48" i="3" s="1"/>
  <c r="UP31" i="3"/>
  <c r="UP47" i="3" s="1"/>
  <c r="UP29" i="3"/>
  <c r="UP45" i="3" s="1"/>
  <c r="TZ41" i="3"/>
  <c r="TZ57" i="3" s="1"/>
  <c r="TZ38" i="3"/>
  <c r="TZ54" i="3" s="1"/>
  <c r="TZ37" i="3"/>
  <c r="TZ53" i="3" s="1"/>
  <c r="TZ35" i="3"/>
  <c r="TZ51" i="3" s="1"/>
  <c r="TZ34" i="3"/>
  <c r="TZ50" i="3" s="1"/>
  <c r="TZ32" i="3"/>
  <c r="TZ48" i="3" s="1"/>
  <c r="TZ31" i="3"/>
  <c r="TZ47" i="3" s="1"/>
  <c r="TZ29" i="3"/>
  <c r="TZ45" i="3" s="1"/>
  <c r="TJ41" i="3"/>
  <c r="TJ57" i="3" s="1"/>
  <c r="TJ38" i="3"/>
  <c r="TJ54" i="3" s="1"/>
  <c r="TJ37" i="3"/>
  <c r="TJ53" i="3" s="1"/>
  <c r="TJ35" i="3"/>
  <c r="TJ51" i="3" s="1"/>
  <c r="TJ34" i="3"/>
  <c r="TJ50" i="3" s="1"/>
  <c r="TJ32" i="3"/>
  <c r="TJ48" i="3" s="1"/>
  <c r="TJ29" i="3"/>
  <c r="TJ45" i="3" s="1"/>
  <c r="TJ31" i="3"/>
  <c r="TJ47" i="3" s="1"/>
  <c r="ST41" i="3"/>
  <c r="ST57" i="3" s="1"/>
  <c r="ST38" i="3"/>
  <c r="ST54" i="3" s="1"/>
  <c r="ST37" i="3"/>
  <c r="ST53" i="3" s="1"/>
  <c r="ST35" i="3"/>
  <c r="ST51" i="3" s="1"/>
  <c r="ST34" i="3"/>
  <c r="ST50" i="3" s="1"/>
  <c r="ST32" i="3"/>
  <c r="ST48" i="3" s="1"/>
  <c r="ST31" i="3"/>
  <c r="ST47" i="3" s="1"/>
  <c r="ST29" i="3"/>
  <c r="ST45" i="3" s="1"/>
  <c r="SD41" i="3"/>
  <c r="SD38" i="3"/>
  <c r="SD37" i="3"/>
  <c r="SD35" i="3"/>
  <c r="SD34" i="3"/>
  <c r="SD32" i="3"/>
  <c r="SD48" i="3" s="1"/>
  <c r="SD31" i="3"/>
  <c r="SD47" i="3" s="1"/>
  <c r="SD29" i="3"/>
  <c r="SD45" i="3" s="1"/>
  <c r="RN41" i="3"/>
  <c r="RN38" i="3"/>
  <c r="RN37" i="3"/>
  <c r="RN35" i="3"/>
  <c r="RN34" i="3"/>
  <c r="RN32" i="3"/>
  <c r="RN48" i="3" s="1"/>
  <c r="RN31" i="3"/>
  <c r="RN47" i="3" s="1"/>
  <c r="RN29" i="3"/>
  <c r="RN45" i="3" s="1"/>
  <c r="QX41" i="3"/>
  <c r="QX38" i="3"/>
  <c r="QX37" i="3"/>
  <c r="QX35" i="3"/>
  <c r="QX34" i="3"/>
  <c r="QX32" i="3"/>
  <c r="QX48" i="3" s="1"/>
  <c r="QX31" i="3"/>
  <c r="QX47" i="3" s="1"/>
  <c r="QX29" i="3"/>
  <c r="QX45" i="3" s="1"/>
  <c r="QH41" i="3"/>
  <c r="QH38" i="3"/>
  <c r="QH54" i="3" s="1"/>
  <c r="QH37" i="3"/>
  <c r="QH35" i="3"/>
  <c r="QH34" i="3"/>
  <c r="QH32" i="3"/>
  <c r="QH48" i="3" s="1"/>
  <c r="QH31" i="3"/>
  <c r="QH47" i="3" s="1"/>
  <c r="QH29" i="3"/>
  <c r="QH45" i="3" s="1"/>
  <c r="PR41" i="3"/>
  <c r="PR38" i="3"/>
  <c r="PR37" i="3"/>
  <c r="PR35" i="3"/>
  <c r="PR34" i="3"/>
  <c r="PR32" i="3"/>
  <c r="PR48" i="3" s="1"/>
  <c r="PR31" i="3"/>
  <c r="PR47" i="3" s="1"/>
  <c r="PR29" i="3"/>
  <c r="PR45" i="3" s="1"/>
  <c r="PB41" i="3"/>
  <c r="PB38" i="3"/>
  <c r="PB37" i="3"/>
  <c r="PB35" i="3"/>
  <c r="PB34" i="3"/>
  <c r="PB32" i="3"/>
  <c r="PB48" i="3" s="1"/>
  <c r="PB31" i="3"/>
  <c r="PB47" i="3" s="1"/>
  <c r="PB29" i="3"/>
  <c r="PB45" i="3" s="1"/>
  <c r="OL41" i="3"/>
  <c r="OL38" i="3"/>
  <c r="OL54" i="3" s="1"/>
  <c r="OL37" i="3"/>
  <c r="OL53" i="3" s="1"/>
  <c r="OL35" i="3"/>
  <c r="OL34" i="3"/>
  <c r="OL32" i="3"/>
  <c r="OL48" i="3" s="1"/>
  <c r="OL31" i="3"/>
  <c r="OL47" i="3" s="1"/>
  <c r="OL29" i="3"/>
  <c r="OL45" i="3" s="1"/>
  <c r="NV41" i="3"/>
  <c r="NV38" i="3"/>
  <c r="NV37" i="3"/>
  <c r="NV35" i="3"/>
  <c r="NV34" i="3"/>
  <c r="NV50" i="3" s="1"/>
  <c r="NV32" i="3"/>
  <c r="NV48" i="3" s="1"/>
  <c r="NV31" i="3"/>
  <c r="NV47" i="3" s="1"/>
  <c r="NV29" i="3"/>
  <c r="NV45" i="3" s="1"/>
  <c r="NF41" i="3"/>
  <c r="NF38" i="3"/>
  <c r="NF37" i="3"/>
  <c r="NF35" i="3"/>
  <c r="NF34" i="3"/>
  <c r="NF32" i="3"/>
  <c r="NF48" i="3" s="1"/>
  <c r="NF31" i="3"/>
  <c r="NF47" i="3" s="1"/>
  <c r="NF29" i="3"/>
  <c r="NF45" i="3" s="1"/>
  <c r="MP41" i="3"/>
  <c r="MP38" i="3"/>
  <c r="MP35" i="3"/>
  <c r="MP37" i="3"/>
  <c r="MP53" i="3" s="1"/>
  <c r="MP34" i="3"/>
  <c r="MP32" i="3"/>
  <c r="MP48" i="3" s="1"/>
  <c r="MP31" i="3"/>
  <c r="MP47" i="3" s="1"/>
  <c r="MP29" i="3"/>
  <c r="MP45" i="3" s="1"/>
  <c r="LX41" i="3"/>
  <c r="LX57" i="3" s="1"/>
  <c r="LX38" i="3"/>
  <c r="LX54" i="3" s="1"/>
  <c r="LX35" i="3"/>
  <c r="LX51" i="3" s="1"/>
  <c r="LX37" i="3"/>
  <c r="LX53" i="3" s="1"/>
  <c r="LX34" i="3"/>
  <c r="LX50" i="3" s="1"/>
  <c r="LX32" i="3"/>
  <c r="LX48" i="3" s="1"/>
  <c r="LX31" i="3"/>
  <c r="LX47" i="3" s="1"/>
  <c r="LX29" i="3"/>
  <c r="LX45" i="3" s="1"/>
  <c r="KR41" i="3"/>
  <c r="KR57" i="3" s="1"/>
  <c r="KR38" i="3"/>
  <c r="KR54" i="3" s="1"/>
  <c r="KR35" i="3"/>
  <c r="KR51" i="3" s="1"/>
  <c r="KR37" i="3"/>
  <c r="KR53" i="3" s="1"/>
  <c r="KR34" i="3"/>
  <c r="KR32" i="3"/>
  <c r="KR48" i="3" s="1"/>
  <c r="KR31" i="3"/>
  <c r="KR47" i="3" s="1"/>
  <c r="KR29" i="3"/>
  <c r="KR45" i="3" s="1"/>
  <c r="JL41" i="3"/>
  <c r="JL57" i="3" s="1"/>
  <c r="JL38" i="3"/>
  <c r="JL54" i="3" s="1"/>
  <c r="JL35" i="3"/>
  <c r="JL37" i="3"/>
  <c r="JL53" i="3" s="1"/>
  <c r="JL34" i="3"/>
  <c r="JL32" i="3"/>
  <c r="JL48" i="3" s="1"/>
  <c r="JL31" i="3"/>
  <c r="JL47" i="3" s="1"/>
  <c r="JL29" i="3"/>
  <c r="JL45" i="3" s="1"/>
  <c r="IF41" i="3"/>
  <c r="IF57" i="3" s="1"/>
  <c r="IF38" i="3"/>
  <c r="IF54" i="3" s="1"/>
  <c r="IF35" i="3"/>
  <c r="IF51" i="3" s="1"/>
  <c r="IF37" i="3"/>
  <c r="IF53" i="3" s="1"/>
  <c r="IF34" i="3"/>
  <c r="IF50" i="3" s="1"/>
  <c r="IF32" i="3"/>
  <c r="IF48" i="3" s="1"/>
  <c r="IF31" i="3"/>
  <c r="IF47" i="3" s="1"/>
  <c r="IF29" i="3"/>
  <c r="IF45" i="3" s="1"/>
  <c r="GZ41" i="3"/>
  <c r="GZ57" i="3" s="1"/>
  <c r="GZ38" i="3"/>
  <c r="GZ54" i="3" s="1"/>
  <c r="GZ35" i="3"/>
  <c r="GZ51" i="3" s="1"/>
  <c r="GZ37" i="3"/>
  <c r="GZ53" i="3" s="1"/>
  <c r="GZ34" i="3"/>
  <c r="GZ50" i="3" s="1"/>
  <c r="GZ32" i="3"/>
  <c r="GZ48" i="3" s="1"/>
  <c r="GZ31" i="3"/>
  <c r="GZ47" i="3" s="1"/>
  <c r="GZ29" i="3"/>
  <c r="GZ45" i="3" s="1"/>
  <c r="ES41" i="3"/>
  <c r="ES38" i="3"/>
  <c r="ES37" i="3"/>
  <c r="ES35" i="3"/>
  <c r="ES34" i="3"/>
  <c r="ES32" i="3"/>
  <c r="ES48" i="3" s="1"/>
  <c r="ES31" i="3"/>
  <c r="ES47" i="3" s="1"/>
  <c r="ES29" i="3"/>
  <c r="ES45" i="3" s="1"/>
  <c r="CG41" i="3"/>
  <c r="CG38" i="3"/>
  <c r="CG37" i="3"/>
  <c r="CG35" i="3"/>
  <c r="CG34" i="3"/>
  <c r="CG32" i="3"/>
  <c r="CG48" i="3" s="1"/>
  <c r="CG31" i="3"/>
  <c r="CG47" i="3" s="1"/>
  <c r="CG29" i="3"/>
  <c r="CG45" i="3" s="1"/>
  <c r="U41" i="3"/>
  <c r="U38" i="3"/>
  <c r="U37" i="3"/>
  <c r="U35" i="3"/>
  <c r="U34" i="3"/>
  <c r="U32" i="3"/>
  <c r="U48" i="3" s="1"/>
  <c r="U31" i="3"/>
  <c r="U47" i="3" s="1"/>
  <c r="U29" i="3"/>
  <c r="U45" i="3" s="1"/>
  <c r="ALL41" i="3"/>
  <c r="ALL57" i="3" s="1"/>
  <c r="ALL38" i="3"/>
  <c r="ALL54" i="3" s="1"/>
  <c r="ALL37" i="3"/>
  <c r="ALL53" i="3" s="1"/>
  <c r="ALL35" i="3"/>
  <c r="ALL51" i="3" s="1"/>
  <c r="ALL34" i="3"/>
  <c r="ALL50" i="3" s="1"/>
  <c r="ALL32" i="3"/>
  <c r="ALL48" i="3" s="1"/>
  <c r="ALL31" i="3"/>
  <c r="ALL47" i="3" s="1"/>
  <c r="ALL29" i="3"/>
  <c r="ALL45" i="3" s="1"/>
  <c r="AKV41" i="3"/>
  <c r="AKV57" i="3" s="1"/>
  <c r="AKV38" i="3"/>
  <c r="AKV54" i="3" s="1"/>
  <c r="AKV37" i="3"/>
  <c r="AKV53" i="3" s="1"/>
  <c r="AKV35" i="3"/>
  <c r="AKV51" i="3" s="1"/>
  <c r="AKV34" i="3"/>
  <c r="AKV50" i="3" s="1"/>
  <c r="AKV32" i="3"/>
  <c r="AKV48" i="3" s="1"/>
  <c r="AKV31" i="3"/>
  <c r="AKV47" i="3" s="1"/>
  <c r="AKV29" i="3"/>
  <c r="AKV45" i="3" s="1"/>
  <c r="AKF41" i="3"/>
  <c r="AKF57" i="3" s="1"/>
  <c r="AKF38" i="3"/>
  <c r="AKF54" i="3" s="1"/>
  <c r="AKF37" i="3"/>
  <c r="AKF53" i="3" s="1"/>
  <c r="AKF35" i="3"/>
  <c r="AKF51" i="3" s="1"/>
  <c r="AKF34" i="3"/>
  <c r="AKF50" i="3" s="1"/>
  <c r="AKF32" i="3"/>
  <c r="AKF48" i="3" s="1"/>
  <c r="AKF31" i="3"/>
  <c r="AKF47" i="3" s="1"/>
  <c r="AKF29" i="3"/>
  <c r="AKF45" i="3" s="1"/>
  <c r="AJP41" i="3"/>
  <c r="AJP57" i="3" s="1"/>
  <c r="AJP38" i="3"/>
  <c r="AJP54" i="3" s="1"/>
  <c r="AJP37" i="3"/>
  <c r="AJP53" i="3" s="1"/>
  <c r="AJP35" i="3"/>
  <c r="AJP51" i="3" s="1"/>
  <c r="AJP34" i="3"/>
  <c r="AJP50" i="3" s="1"/>
  <c r="AJP32" i="3"/>
  <c r="AJP48" i="3" s="1"/>
  <c r="AJP31" i="3"/>
  <c r="AJP47" i="3" s="1"/>
  <c r="AJP29" i="3"/>
  <c r="AJP45" i="3" s="1"/>
  <c r="AIZ41" i="3"/>
  <c r="AIZ57" i="3" s="1"/>
  <c r="AIZ38" i="3"/>
  <c r="AIZ54" i="3" s="1"/>
  <c r="AIZ37" i="3"/>
  <c r="AIZ53" i="3" s="1"/>
  <c r="AIZ35" i="3"/>
  <c r="AIZ51" i="3" s="1"/>
  <c r="AIZ34" i="3"/>
  <c r="AIZ50" i="3" s="1"/>
  <c r="AIZ32" i="3"/>
  <c r="AIZ48" i="3" s="1"/>
  <c r="AIZ31" i="3"/>
  <c r="AIZ47" i="3" s="1"/>
  <c r="AIZ29" i="3"/>
  <c r="AIZ45" i="3" s="1"/>
  <c r="AIJ41" i="3"/>
  <c r="AIJ57" i="3" s="1"/>
  <c r="AIJ38" i="3"/>
  <c r="AIJ54" i="3" s="1"/>
  <c r="AIJ37" i="3"/>
  <c r="AIJ53" i="3" s="1"/>
  <c r="AIJ35" i="3"/>
  <c r="AIJ51" i="3" s="1"/>
  <c r="AIJ34" i="3"/>
  <c r="AIJ50" i="3" s="1"/>
  <c r="AIJ32" i="3"/>
  <c r="AIJ48" i="3" s="1"/>
  <c r="AIJ31" i="3"/>
  <c r="AIJ47" i="3" s="1"/>
  <c r="AIJ29" i="3"/>
  <c r="AIJ45" i="3" s="1"/>
  <c r="AHT41" i="3"/>
  <c r="AHT57" i="3" s="1"/>
  <c r="AHT38" i="3"/>
  <c r="AHT54" i="3" s="1"/>
  <c r="AHT37" i="3"/>
  <c r="AHT53" i="3" s="1"/>
  <c r="AHT35" i="3"/>
  <c r="AHT51" i="3" s="1"/>
  <c r="AHT34" i="3"/>
  <c r="AHT50" i="3" s="1"/>
  <c r="AHT32" i="3"/>
  <c r="AHT48" i="3" s="1"/>
  <c r="AHT31" i="3"/>
  <c r="AHT47" i="3" s="1"/>
  <c r="AHT29" i="3"/>
  <c r="AHT45" i="3" s="1"/>
  <c r="AHD41" i="3"/>
  <c r="AHD57" i="3" s="1"/>
  <c r="AHD38" i="3"/>
  <c r="AHD54" i="3" s="1"/>
  <c r="AHD37" i="3"/>
  <c r="AHD53" i="3" s="1"/>
  <c r="AHD35" i="3"/>
  <c r="AHD51" i="3" s="1"/>
  <c r="AHD34" i="3"/>
  <c r="AHD50" i="3" s="1"/>
  <c r="AHD32" i="3"/>
  <c r="AHD48" i="3" s="1"/>
  <c r="AHD31" i="3"/>
  <c r="AHD47" i="3" s="1"/>
  <c r="AHD29" i="3"/>
  <c r="AHD45" i="3" s="1"/>
  <c r="AGN41" i="3"/>
  <c r="AGN57" i="3" s="1"/>
  <c r="AGN38" i="3"/>
  <c r="AGN54" i="3" s="1"/>
  <c r="AGN37" i="3"/>
  <c r="AGN53" i="3" s="1"/>
  <c r="AGN35" i="3"/>
  <c r="AGN51" i="3" s="1"/>
  <c r="AGN34" i="3"/>
  <c r="AGN50" i="3" s="1"/>
  <c r="AGN32" i="3"/>
  <c r="AGN48" i="3" s="1"/>
  <c r="AGN31" i="3"/>
  <c r="AGN47" i="3" s="1"/>
  <c r="AGN29" i="3"/>
  <c r="AGN45" i="3" s="1"/>
  <c r="AFX41" i="3"/>
  <c r="AFX57" i="3" s="1"/>
  <c r="AFX38" i="3"/>
  <c r="AFX54" i="3" s="1"/>
  <c r="AFX37" i="3"/>
  <c r="AFX53" i="3" s="1"/>
  <c r="AFX35" i="3"/>
  <c r="AFX51" i="3" s="1"/>
  <c r="AFX34" i="3"/>
  <c r="AFX50" i="3" s="1"/>
  <c r="AFX32" i="3"/>
  <c r="AFX48" i="3" s="1"/>
  <c r="AFX31" i="3"/>
  <c r="AFX47" i="3" s="1"/>
  <c r="AFX29" i="3"/>
  <c r="AFX45" i="3" s="1"/>
  <c r="AFH41" i="3"/>
  <c r="AFH57" i="3" s="1"/>
  <c r="AFH38" i="3"/>
  <c r="AFH54" i="3" s="1"/>
  <c r="AFH37" i="3"/>
  <c r="AFH53" i="3" s="1"/>
  <c r="AFH35" i="3"/>
  <c r="AFH51" i="3" s="1"/>
  <c r="AFH34" i="3"/>
  <c r="AFH50" i="3" s="1"/>
  <c r="AFH32" i="3"/>
  <c r="AFH48" i="3" s="1"/>
  <c r="AFH31" i="3"/>
  <c r="AFH47" i="3" s="1"/>
  <c r="AFH29" i="3"/>
  <c r="AFH45" i="3" s="1"/>
  <c r="AER41" i="3"/>
  <c r="AER57" i="3" s="1"/>
  <c r="AER38" i="3"/>
  <c r="AER54" i="3" s="1"/>
  <c r="AER37" i="3"/>
  <c r="AER53" i="3" s="1"/>
  <c r="AER35" i="3"/>
  <c r="AER51" i="3" s="1"/>
  <c r="AER34" i="3"/>
  <c r="AER50" i="3" s="1"/>
  <c r="AER32" i="3"/>
  <c r="AER48" i="3" s="1"/>
  <c r="AER31" i="3"/>
  <c r="AER47" i="3" s="1"/>
  <c r="AER29" i="3"/>
  <c r="AER45" i="3" s="1"/>
  <c r="AEB41" i="3"/>
  <c r="AEB57" i="3" s="1"/>
  <c r="AEB38" i="3"/>
  <c r="AEB54" i="3" s="1"/>
  <c r="AEB37" i="3"/>
  <c r="AEB53" i="3" s="1"/>
  <c r="AEB35" i="3"/>
  <c r="AEB51" i="3" s="1"/>
  <c r="AEB34" i="3"/>
  <c r="AEB50" i="3" s="1"/>
  <c r="AEB32" i="3"/>
  <c r="AEB48" i="3" s="1"/>
  <c r="AEB31" i="3"/>
  <c r="AEB47" i="3" s="1"/>
  <c r="AEB29" i="3"/>
  <c r="AEB45" i="3" s="1"/>
  <c r="ADL41" i="3"/>
  <c r="ADL57" i="3" s="1"/>
  <c r="ADL38" i="3"/>
  <c r="ADL54" i="3" s="1"/>
  <c r="ADL37" i="3"/>
  <c r="ADL53" i="3" s="1"/>
  <c r="ADL35" i="3"/>
  <c r="ADL51" i="3" s="1"/>
  <c r="ADL34" i="3"/>
  <c r="ADL50" i="3" s="1"/>
  <c r="ADL32" i="3"/>
  <c r="ADL48" i="3" s="1"/>
  <c r="ADL31" i="3"/>
  <c r="ADL47" i="3" s="1"/>
  <c r="ADL29" i="3"/>
  <c r="ADL45" i="3" s="1"/>
  <c r="ACV41" i="3"/>
  <c r="ACV57" i="3" s="1"/>
  <c r="ACV38" i="3"/>
  <c r="ACV54" i="3" s="1"/>
  <c r="ACV37" i="3"/>
  <c r="ACV53" i="3" s="1"/>
  <c r="ACV35" i="3"/>
  <c r="ACV51" i="3" s="1"/>
  <c r="ACV34" i="3"/>
  <c r="ACV50" i="3" s="1"/>
  <c r="ACV32" i="3"/>
  <c r="ACV48" i="3" s="1"/>
  <c r="ACV31" i="3"/>
  <c r="ACV47" i="3" s="1"/>
  <c r="ACV29" i="3"/>
  <c r="ACV45" i="3" s="1"/>
  <c r="ACF41" i="3"/>
  <c r="ACF57" i="3" s="1"/>
  <c r="ACF38" i="3"/>
  <c r="ACF54" i="3" s="1"/>
  <c r="ACF37" i="3"/>
  <c r="ACF53" i="3" s="1"/>
  <c r="ACF35" i="3"/>
  <c r="ACF51" i="3" s="1"/>
  <c r="ACF34" i="3"/>
  <c r="ACF50" i="3" s="1"/>
  <c r="ACF32" i="3"/>
  <c r="ACF48" i="3" s="1"/>
  <c r="ACF31" i="3"/>
  <c r="ACF47" i="3" s="1"/>
  <c r="ACF29" i="3"/>
  <c r="ACF45" i="3" s="1"/>
  <c r="ABP41" i="3"/>
  <c r="ABP57" i="3" s="1"/>
  <c r="ABP38" i="3"/>
  <c r="ABP54" i="3" s="1"/>
  <c r="ABP37" i="3"/>
  <c r="ABP53" i="3" s="1"/>
  <c r="ABP35" i="3"/>
  <c r="ABP51" i="3" s="1"/>
  <c r="ABP34" i="3"/>
  <c r="ABP50" i="3" s="1"/>
  <c r="ABP32" i="3"/>
  <c r="ABP48" i="3" s="1"/>
  <c r="ABP31" i="3"/>
  <c r="ABP47" i="3" s="1"/>
  <c r="ABP29" i="3"/>
  <c r="ABP45" i="3" s="1"/>
  <c r="AAZ41" i="3"/>
  <c r="AAZ57" i="3" s="1"/>
  <c r="AAZ38" i="3"/>
  <c r="AAZ54" i="3" s="1"/>
  <c r="AAZ37" i="3"/>
  <c r="AAZ53" i="3" s="1"/>
  <c r="AAZ35" i="3"/>
  <c r="AAZ51" i="3" s="1"/>
  <c r="AAZ34" i="3"/>
  <c r="AAZ50" i="3" s="1"/>
  <c r="AAZ32" i="3"/>
  <c r="AAZ48" i="3" s="1"/>
  <c r="AAZ31" i="3"/>
  <c r="AAZ47" i="3" s="1"/>
  <c r="AAZ29" i="3"/>
  <c r="AAZ45" i="3" s="1"/>
  <c r="AAJ41" i="3"/>
  <c r="AAJ57" i="3" s="1"/>
  <c r="AAJ38" i="3"/>
  <c r="AAJ54" i="3" s="1"/>
  <c r="AAJ37" i="3"/>
  <c r="AAJ53" i="3" s="1"/>
  <c r="AAJ35" i="3"/>
  <c r="AAJ51" i="3" s="1"/>
  <c r="AAJ34" i="3"/>
  <c r="AAJ50" i="3" s="1"/>
  <c r="AAJ32" i="3"/>
  <c r="AAJ48" i="3" s="1"/>
  <c r="AAJ31" i="3"/>
  <c r="AAJ47" i="3" s="1"/>
  <c r="AAJ29" i="3"/>
  <c r="AAJ45" i="3" s="1"/>
  <c r="ZT41" i="3"/>
  <c r="ZT57" i="3" s="1"/>
  <c r="ZT38" i="3"/>
  <c r="ZT54" i="3" s="1"/>
  <c r="ZT37" i="3"/>
  <c r="ZT53" i="3" s="1"/>
  <c r="ZT35" i="3"/>
  <c r="ZT51" i="3" s="1"/>
  <c r="ZT34" i="3"/>
  <c r="ZT50" i="3" s="1"/>
  <c r="ZT32" i="3"/>
  <c r="ZT48" i="3" s="1"/>
  <c r="ZT31" i="3"/>
  <c r="ZT47" i="3" s="1"/>
  <c r="ZT29" i="3"/>
  <c r="ZT45" i="3" s="1"/>
  <c r="ZD41" i="3"/>
  <c r="ZD57" i="3" s="1"/>
  <c r="ZD38" i="3"/>
  <c r="ZD54" i="3" s="1"/>
  <c r="ZD37" i="3"/>
  <c r="ZD53" i="3" s="1"/>
  <c r="ZD35" i="3"/>
  <c r="ZD51" i="3" s="1"/>
  <c r="ZD34" i="3"/>
  <c r="ZD50" i="3" s="1"/>
  <c r="ZD32" i="3"/>
  <c r="ZD48" i="3" s="1"/>
  <c r="ZD31" i="3"/>
  <c r="ZD47" i="3" s="1"/>
  <c r="ZD29" i="3"/>
  <c r="ZD45" i="3" s="1"/>
  <c r="YN41" i="3"/>
  <c r="YN57" i="3" s="1"/>
  <c r="YN38" i="3"/>
  <c r="YN54" i="3" s="1"/>
  <c r="YN37" i="3"/>
  <c r="YN53" i="3" s="1"/>
  <c r="YN35" i="3"/>
  <c r="YN51" i="3" s="1"/>
  <c r="YN34" i="3"/>
  <c r="YN50" i="3" s="1"/>
  <c r="YN32" i="3"/>
  <c r="YN48" i="3" s="1"/>
  <c r="YN31" i="3"/>
  <c r="YN47" i="3" s="1"/>
  <c r="YN29" i="3"/>
  <c r="YN45" i="3" s="1"/>
  <c r="XX41" i="3"/>
  <c r="XX57" i="3" s="1"/>
  <c r="XX38" i="3"/>
  <c r="XX54" i="3" s="1"/>
  <c r="XX37" i="3"/>
  <c r="XX53" i="3" s="1"/>
  <c r="XX35" i="3"/>
  <c r="XX51" i="3" s="1"/>
  <c r="XX34" i="3"/>
  <c r="XX50" i="3" s="1"/>
  <c r="XX32" i="3"/>
  <c r="XX48" i="3" s="1"/>
  <c r="XX31" i="3"/>
  <c r="XX47" i="3" s="1"/>
  <c r="XX29" i="3"/>
  <c r="XX45" i="3" s="1"/>
  <c r="XH41" i="3"/>
  <c r="XH57" i="3" s="1"/>
  <c r="XH38" i="3"/>
  <c r="XH54" i="3" s="1"/>
  <c r="XH37" i="3"/>
  <c r="XH53" i="3" s="1"/>
  <c r="XH35" i="3"/>
  <c r="XH51" i="3" s="1"/>
  <c r="XH34" i="3"/>
  <c r="XH50" i="3" s="1"/>
  <c r="XH32" i="3"/>
  <c r="XH48" i="3" s="1"/>
  <c r="XH31" i="3"/>
  <c r="XH47" i="3" s="1"/>
  <c r="XH29" i="3"/>
  <c r="XH45" i="3" s="1"/>
  <c r="WR41" i="3"/>
  <c r="WR57" i="3" s="1"/>
  <c r="WR38" i="3"/>
  <c r="WR54" i="3" s="1"/>
  <c r="WR37" i="3"/>
  <c r="WR53" i="3" s="1"/>
  <c r="WR35" i="3"/>
  <c r="WR51" i="3" s="1"/>
  <c r="WR34" i="3"/>
  <c r="WR50" i="3" s="1"/>
  <c r="WR32" i="3"/>
  <c r="WR48" i="3" s="1"/>
  <c r="WR31" i="3"/>
  <c r="WR47" i="3" s="1"/>
  <c r="WR29" i="3"/>
  <c r="WR45" i="3" s="1"/>
  <c r="WB41" i="3"/>
  <c r="WB57" i="3" s="1"/>
  <c r="WB38" i="3"/>
  <c r="WB54" i="3" s="1"/>
  <c r="WB37" i="3"/>
  <c r="WB53" i="3" s="1"/>
  <c r="WB35" i="3"/>
  <c r="WB51" i="3" s="1"/>
  <c r="WB34" i="3"/>
  <c r="WB50" i="3" s="1"/>
  <c r="WB32" i="3"/>
  <c r="WB48" i="3" s="1"/>
  <c r="WB31" i="3"/>
  <c r="WB47" i="3" s="1"/>
  <c r="WB29" i="3"/>
  <c r="WB45" i="3" s="1"/>
  <c r="VL41" i="3"/>
  <c r="VL57" i="3" s="1"/>
  <c r="VL38" i="3"/>
  <c r="VL54" i="3" s="1"/>
  <c r="VL37" i="3"/>
  <c r="VL53" i="3" s="1"/>
  <c r="VL35" i="3"/>
  <c r="VL51" i="3" s="1"/>
  <c r="VL34" i="3"/>
  <c r="VL50" i="3" s="1"/>
  <c r="VL32" i="3"/>
  <c r="VL48" i="3" s="1"/>
  <c r="VL31" i="3"/>
  <c r="VL47" i="3" s="1"/>
  <c r="VL29" i="3"/>
  <c r="VL45" i="3" s="1"/>
  <c r="UV41" i="3"/>
  <c r="UV57" i="3" s="1"/>
  <c r="UV38" i="3"/>
  <c r="UV54" i="3" s="1"/>
  <c r="UV37" i="3"/>
  <c r="UV53" i="3" s="1"/>
  <c r="UV35" i="3"/>
  <c r="UV51" i="3" s="1"/>
  <c r="UV34" i="3"/>
  <c r="UV50" i="3" s="1"/>
  <c r="UV32" i="3"/>
  <c r="UV48" i="3" s="1"/>
  <c r="UV31" i="3"/>
  <c r="UV47" i="3" s="1"/>
  <c r="UV29" i="3"/>
  <c r="UV45" i="3" s="1"/>
  <c r="UF41" i="3"/>
  <c r="UF57" i="3" s="1"/>
  <c r="UF38" i="3"/>
  <c r="UF54" i="3" s="1"/>
  <c r="UF37" i="3"/>
  <c r="UF53" i="3" s="1"/>
  <c r="UF35" i="3"/>
  <c r="UF51" i="3" s="1"/>
  <c r="UF34" i="3"/>
  <c r="UF50" i="3" s="1"/>
  <c r="UF32" i="3"/>
  <c r="UF48" i="3" s="1"/>
  <c r="UF31" i="3"/>
  <c r="UF47" i="3" s="1"/>
  <c r="UF29" i="3"/>
  <c r="UF45" i="3" s="1"/>
  <c r="TP41" i="3"/>
  <c r="TP57" i="3" s="1"/>
  <c r="TP38" i="3"/>
  <c r="TP54" i="3" s="1"/>
  <c r="TP37" i="3"/>
  <c r="TP53" i="3" s="1"/>
  <c r="TP35" i="3"/>
  <c r="TP51" i="3" s="1"/>
  <c r="TP34" i="3"/>
  <c r="TP50" i="3" s="1"/>
  <c r="TP32" i="3"/>
  <c r="TP48" i="3" s="1"/>
  <c r="TP31" i="3"/>
  <c r="TP47" i="3" s="1"/>
  <c r="TP29" i="3"/>
  <c r="TP45" i="3" s="1"/>
  <c r="SZ41" i="3"/>
  <c r="SZ57" i="3" s="1"/>
  <c r="SZ38" i="3"/>
  <c r="SZ54" i="3" s="1"/>
  <c r="SZ37" i="3"/>
  <c r="SZ53" i="3" s="1"/>
  <c r="SZ35" i="3"/>
  <c r="SZ51" i="3" s="1"/>
  <c r="SZ34" i="3"/>
  <c r="SZ50" i="3" s="1"/>
  <c r="SZ32" i="3"/>
  <c r="SZ48" i="3" s="1"/>
  <c r="SZ31" i="3"/>
  <c r="SZ47" i="3" s="1"/>
  <c r="SZ29" i="3"/>
  <c r="SZ45" i="3" s="1"/>
  <c r="SJ41" i="3"/>
  <c r="SJ57" i="3" s="1"/>
  <c r="SJ38" i="3"/>
  <c r="SJ54" i="3" s="1"/>
  <c r="SJ37" i="3"/>
  <c r="SJ53" i="3" s="1"/>
  <c r="SJ35" i="3"/>
  <c r="SJ51" i="3" s="1"/>
  <c r="SJ34" i="3"/>
  <c r="SJ50" i="3" s="1"/>
  <c r="SJ32" i="3"/>
  <c r="SJ48" i="3" s="1"/>
  <c r="SJ31" i="3"/>
  <c r="SJ47" i="3" s="1"/>
  <c r="SJ29" i="3"/>
  <c r="SJ45" i="3" s="1"/>
  <c r="RT41" i="3"/>
  <c r="RT57" i="3" s="1"/>
  <c r="RT38" i="3"/>
  <c r="RT37" i="3"/>
  <c r="RT35" i="3"/>
  <c r="RT51" i="3" s="1"/>
  <c r="RT34" i="3"/>
  <c r="RT50" i="3" s="1"/>
  <c r="RT32" i="3"/>
  <c r="RT48" i="3" s="1"/>
  <c r="RT31" i="3"/>
  <c r="RT47" i="3" s="1"/>
  <c r="RT29" i="3"/>
  <c r="RT45" i="3" s="1"/>
  <c r="RD41" i="3"/>
  <c r="RD57" i="3" s="1"/>
  <c r="RD38" i="3"/>
  <c r="RD54" i="3" s="1"/>
  <c r="RD37" i="3"/>
  <c r="RD53" i="3" s="1"/>
  <c r="RD35" i="3"/>
  <c r="RD51" i="3" s="1"/>
  <c r="RD34" i="3"/>
  <c r="RD50" i="3" s="1"/>
  <c r="RD32" i="3"/>
  <c r="RD48" i="3" s="1"/>
  <c r="RD31" i="3"/>
  <c r="RD47" i="3" s="1"/>
  <c r="RD29" i="3"/>
  <c r="RD45" i="3" s="1"/>
  <c r="QN41" i="3"/>
  <c r="QN38" i="3"/>
  <c r="QN54" i="3" s="1"/>
  <c r="QN37" i="3"/>
  <c r="QN35" i="3"/>
  <c r="QN51" i="3" s="1"/>
  <c r="QN34" i="3"/>
  <c r="QN50" i="3" s="1"/>
  <c r="QN32" i="3"/>
  <c r="QN48" i="3" s="1"/>
  <c r="QN31" i="3"/>
  <c r="QN47" i="3" s="1"/>
  <c r="QN29" i="3"/>
  <c r="QN45" i="3" s="1"/>
  <c r="PX41" i="3"/>
  <c r="PX57" i="3" s="1"/>
  <c r="PX38" i="3"/>
  <c r="PX54" i="3" s="1"/>
  <c r="PX37" i="3"/>
  <c r="PX53" i="3" s="1"/>
  <c r="PX35" i="3"/>
  <c r="PX51" i="3" s="1"/>
  <c r="PX34" i="3"/>
  <c r="PX32" i="3"/>
  <c r="PX48" i="3" s="1"/>
  <c r="PX31" i="3"/>
  <c r="PX47" i="3" s="1"/>
  <c r="PX29" i="3"/>
  <c r="PX45" i="3" s="1"/>
  <c r="PH41" i="3"/>
  <c r="PH38" i="3"/>
  <c r="PH37" i="3"/>
  <c r="PH35" i="3"/>
  <c r="PH51" i="3" s="1"/>
  <c r="PH34" i="3"/>
  <c r="PH50" i="3" s="1"/>
  <c r="PH32" i="3"/>
  <c r="PH48" i="3" s="1"/>
  <c r="PH31" i="3"/>
  <c r="PH47" i="3" s="1"/>
  <c r="PH29" i="3"/>
  <c r="PH45" i="3" s="1"/>
  <c r="OR41" i="3"/>
  <c r="OR38" i="3"/>
  <c r="OR37" i="3"/>
  <c r="OR53" i="3" s="1"/>
  <c r="OR35" i="3"/>
  <c r="OR34" i="3"/>
  <c r="OR32" i="3"/>
  <c r="OR48" i="3" s="1"/>
  <c r="OR31" i="3"/>
  <c r="OR47" i="3" s="1"/>
  <c r="OR29" i="3"/>
  <c r="OR45" i="3" s="1"/>
  <c r="OB41" i="3"/>
  <c r="OB38" i="3"/>
  <c r="OB37" i="3"/>
  <c r="OB35" i="3"/>
  <c r="OB34" i="3"/>
  <c r="OB32" i="3"/>
  <c r="OB48" i="3" s="1"/>
  <c r="OB31" i="3"/>
  <c r="OB47" i="3" s="1"/>
  <c r="OB29" i="3"/>
  <c r="OB45" i="3" s="1"/>
  <c r="NL41" i="3"/>
  <c r="NL57" i="3" s="1"/>
  <c r="NL38" i="3"/>
  <c r="NL37" i="3"/>
  <c r="NL35" i="3"/>
  <c r="NL51" i="3" s="1"/>
  <c r="NL34" i="3"/>
  <c r="NL50" i="3" s="1"/>
  <c r="NL32" i="3"/>
  <c r="NL48" i="3" s="1"/>
  <c r="NL31" i="3"/>
  <c r="NL47" i="3" s="1"/>
  <c r="NL29" i="3"/>
  <c r="NL45" i="3" s="1"/>
  <c r="MV41" i="3"/>
  <c r="MV38" i="3"/>
  <c r="MV35" i="3"/>
  <c r="MV37" i="3"/>
  <c r="MV34" i="3"/>
  <c r="MV32" i="3"/>
  <c r="MV48" i="3" s="1"/>
  <c r="MV31" i="3"/>
  <c r="MV47" i="3" s="1"/>
  <c r="MV29" i="3"/>
  <c r="MV45" i="3" s="1"/>
  <c r="MF41" i="3"/>
  <c r="MF38" i="3"/>
  <c r="MF54" i="3" s="1"/>
  <c r="MF35" i="3"/>
  <c r="MF37" i="3"/>
  <c r="MF34" i="3"/>
  <c r="MF32" i="3"/>
  <c r="MF48" i="3" s="1"/>
  <c r="MF31" i="3"/>
  <c r="MF47" i="3" s="1"/>
  <c r="MF29" i="3"/>
  <c r="MF45" i="3" s="1"/>
  <c r="LD41" i="3"/>
  <c r="LD57" i="3" s="1"/>
  <c r="LD38" i="3"/>
  <c r="LD35" i="3"/>
  <c r="LD51" i="3" s="1"/>
  <c r="LD37" i="3"/>
  <c r="LD53" i="3" s="1"/>
  <c r="LD34" i="3"/>
  <c r="LD50" i="3" s="1"/>
  <c r="LD32" i="3"/>
  <c r="LD48" i="3" s="1"/>
  <c r="LD31" i="3"/>
  <c r="LD47" i="3" s="1"/>
  <c r="LD29" i="3"/>
  <c r="LD45" i="3" s="1"/>
  <c r="JX41" i="3"/>
  <c r="JX38" i="3"/>
  <c r="JX35" i="3"/>
  <c r="JX37" i="3"/>
  <c r="JX34" i="3"/>
  <c r="JX32" i="3"/>
  <c r="JX48" i="3" s="1"/>
  <c r="JX31" i="3"/>
  <c r="JX47" i="3" s="1"/>
  <c r="JX29" i="3"/>
  <c r="JX45" i="3" s="1"/>
  <c r="IR41" i="3"/>
  <c r="IR38" i="3"/>
  <c r="IR35" i="3"/>
  <c r="IR51" i="3" s="1"/>
  <c r="IR37" i="3"/>
  <c r="IR34" i="3"/>
  <c r="IR32" i="3"/>
  <c r="IR48" i="3" s="1"/>
  <c r="IR31" i="3"/>
  <c r="IR47" i="3" s="1"/>
  <c r="IR29" i="3"/>
  <c r="IR45" i="3" s="1"/>
  <c r="HL41" i="3"/>
  <c r="HL38" i="3"/>
  <c r="HL35" i="3"/>
  <c r="HL37" i="3"/>
  <c r="HL34" i="3"/>
  <c r="HL32" i="3"/>
  <c r="HL48" i="3" s="1"/>
  <c r="HL31" i="3"/>
  <c r="HL47" i="3" s="1"/>
  <c r="HL29" i="3"/>
  <c r="HL45" i="3" s="1"/>
  <c r="FQ41" i="3"/>
  <c r="FQ38" i="3"/>
  <c r="FQ37" i="3"/>
  <c r="FQ34" i="3"/>
  <c r="FQ35" i="3"/>
  <c r="FQ32" i="3"/>
  <c r="FQ48" i="3" s="1"/>
  <c r="FQ31" i="3"/>
  <c r="FQ47" i="3" s="1"/>
  <c r="FQ29" i="3"/>
  <c r="FQ45" i="3" s="1"/>
  <c r="DE41" i="3"/>
  <c r="DE38" i="3"/>
  <c r="DE37" i="3"/>
  <c r="DE34" i="3"/>
  <c r="DE35" i="3"/>
  <c r="DE32" i="3"/>
  <c r="DE48" i="3" s="1"/>
  <c r="DE31" i="3"/>
  <c r="DE47" i="3" s="1"/>
  <c r="DE29" i="3"/>
  <c r="DE45" i="3" s="1"/>
  <c r="AS41" i="3"/>
  <c r="AS38" i="3"/>
  <c r="AS37" i="3"/>
  <c r="AS35" i="3"/>
  <c r="AS34" i="3"/>
  <c r="AS32" i="3"/>
  <c r="AS48" i="3" s="1"/>
  <c r="AS31" i="3"/>
  <c r="AS47" i="3" s="1"/>
  <c r="AS29" i="3"/>
  <c r="AS45" i="3" s="1"/>
  <c r="AKY41" i="3"/>
  <c r="AKY57" i="3" s="1"/>
  <c r="AKY38" i="3"/>
  <c r="AKY54" i="3" s="1"/>
  <c r="AKY37" i="3"/>
  <c r="AKY53" i="3" s="1"/>
  <c r="AKY35" i="3"/>
  <c r="AKY51" i="3" s="1"/>
  <c r="AKY34" i="3"/>
  <c r="AKY50" i="3" s="1"/>
  <c r="AKY32" i="3"/>
  <c r="AKY48" i="3" s="1"/>
  <c r="AKY31" i="3"/>
  <c r="AKY47" i="3" s="1"/>
  <c r="AKY29" i="3"/>
  <c r="AKY45" i="3" s="1"/>
  <c r="AKI41" i="3"/>
  <c r="AKI57" i="3" s="1"/>
  <c r="AKI38" i="3"/>
  <c r="AKI54" i="3" s="1"/>
  <c r="AKI37" i="3"/>
  <c r="AKI53" i="3" s="1"/>
  <c r="AKI35" i="3"/>
  <c r="AKI51" i="3" s="1"/>
  <c r="AKI34" i="3"/>
  <c r="AKI50" i="3" s="1"/>
  <c r="AKI32" i="3"/>
  <c r="AKI48" i="3" s="1"/>
  <c r="AKI31" i="3"/>
  <c r="AKI47" i="3" s="1"/>
  <c r="AKI29" i="3"/>
  <c r="AKI45" i="3" s="1"/>
  <c r="AJS41" i="3"/>
  <c r="AJS57" i="3" s="1"/>
  <c r="AJS38" i="3"/>
  <c r="AJS54" i="3" s="1"/>
  <c r="AJS37" i="3"/>
  <c r="AJS53" i="3" s="1"/>
  <c r="AJS35" i="3"/>
  <c r="AJS51" i="3" s="1"/>
  <c r="AJS34" i="3"/>
  <c r="AJS50" i="3" s="1"/>
  <c r="AJS32" i="3"/>
  <c r="AJS48" i="3" s="1"/>
  <c r="AJS31" i="3"/>
  <c r="AJS47" i="3" s="1"/>
  <c r="AJS29" i="3"/>
  <c r="AJS45" i="3" s="1"/>
  <c r="AJC41" i="3"/>
  <c r="AJC57" i="3" s="1"/>
  <c r="AJC38" i="3"/>
  <c r="AJC54" i="3" s="1"/>
  <c r="AJC37" i="3"/>
  <c r="AJC53" i="3" s="1"/>
  <c r="AJC35" i="3"/>
  <c r="AJC51" i="3" s="1"/>
  <c r="AJC34" i="3"/>
  <c r="AJC50" i="3" s="1"/>
  <c r="AJC32" i="3"/>
  <c r="AJC48" i="3" s="1"/>
  <c r="AJC31" i="3"/>
  <c r="AJC47" i="3" s="1"/>
  <c r="AJC29" i="3"/>
  <c r="AJC45" i="3" s="1"/>
  <c r="AIM41" i="3"/>
  <c r="AIM57" i="3" s="1"/>
  <c r="AIM38" i="3"/>
  <c r="AIM54" i="3" s="1"/>
  <c r="AIM37" i="3"/>
  <c r="AIM53" i="3" s="1"/>
  <c r="AIM35" i="3"/>
  <c r="AIM51" i="3" s="1"/>
  <c r="AIM34" i="3"/>
  <c r="AIM50" i="3" s="1"/>
  <c r="AIM32" i="3"/>
  <c r="AIM48" i="3" s="1"/>
  <c r="AIM31" i="3"/>
  <c r="AIM47" i="3" s="1"/>
  <c r="AIM29" i="3"/>
  <c r="AIM45" i="3" s="1"/>
  <c r="AHW41" i="3"/>
  <c r="AHW57" i="3" s="1"/>
  <c r="AHW38" i="3"/>
  <c r="AHW54" i="3" s="1"/>
  <c r="AHW37" i="3"/>
  <c r="AHW53" i="3" s="1"/>
  <c r="AHW35" i="3"/>
  <c r="AHW51" i="3" s="1"/>
  <c r="AHW34" i="3"/>
  <c r="AHW50" i="3" s="1"/>
  <c r="AHW32" i="3"/>
  <c r="AHW48" i="3" s="1"/>
  <c r="AHW31" i="3"/>
  <c r="AHW47" i="3" s="1"/>
  <c r="AHW29" i="3"/>
  <c r="AHW45" i="3" s="1"/>
  <c r="AHG41" i="3"/>
  <c r="AHG57" i="3" s="1"/>
  <c r="AHG38" i="3"/>
  <c r="AHG54" i="3" s="1"/>
  <c r="AHG37" i="3"/>
  <c r="AHG53" i="3" s="1"/>
  <c r="AHG35" i="3"/>
  <c r="AHG51" i="3" s="1"/>
  <c r="AHG34" i="3"/>
  <c r="AHG50" i="3" s="1"/>
  <c r="AHG32" i="3"/>
  <c r="AHG48" i="3" s="1"/>
  <c r="AHG31" i="3"/>
  <c r="AHG47" i="3" s="1"/>
  <c r="AHG29" i="3"/>
  <c r="AHG45" i="3" s="1"/>
  <c r="AGQ41" i="3"/>
  <c r="AGQ57" i="3" s="1"/>
  <c r="AGQ38" i="3"/>
  <c r="AGQ54" i="3" s="1"/>
  <c r="AGQ37" i="3"/>
  <c r="AGQ53" i="3" s="1"/>
  <c r="AGQ35" i="3"/>
  <c r="AGQ51" i="3" s="1"/>
  <c r="AGQ34" i="3"/>
  <c r="AGQ50" i="3" s="1"/>
  <c r="AGQ32" i="3"/>
  <c r="AGQ48" i="3" s="1"/>
  <c r="AGQ31" i="3"/>
  <c r="AGQ47" i="3" s="1"/>
  <c r="AGQ29" i="3"/>
  <c r="AGQ45" i="3" s="1"/>
  <c r="AGA41" i="3"/>
  <c r="AGA57" i="3" s="1"/>
  <c r="AGA38" i="3"/>
  <c r="AGA54" i="3" s="1"/>
  <c r="AGA37" i="3"/>
  <c r="AGA53" i="3" s="1"/>
  <c r="AGA35" i="3"/>
  <c r="AGA51" i="3" s="1"/>
  <c r="AGA34" i="3"/>
  <c r="AGA50" i="3" s="1"/>
  <c r="AGA32" i="3"/>
  <c r="AGA48" i="3" s="1"/>
  <c r="AGA31" i="3"/>
  <c r="AGA47" i="3" s="1"/>
  <c r="AGA29" i="3"/>
  <c r="AGA45" i="3" s="1"/>
  <c r="AFK41" i="3"/>
  <c r="AFK57" i="3" s="1"/>
  <c r="AFK38" i="3"/>
  <c r="AFK54" i="3" s="1"/>
  <c r="AFK37" i="3"/>
  <c r="AFK53" i="3" s="1"/>
  <c r="AFK35" i="3"/>
  <c r="AFK51" i="3" s="1"/>
  <c r="AFK34" i="3"/>
  <c r="AFK50" i="3" s="1"/>
  <c r="AFK32" i="3"/>
  <c r="AFK48" i="3" s="1"/>
  <c r="AFK31" i="3"/>
  <c r="AFK47" i="3" s="1"/>
  <c r="AFK29" i="3"/>
  <c r="AFK45" i="3" s="1"/>
  <c r="AEU41" i="3"/>
  <c r="AEU57" i="3" s="1"/>
  <c r="AEU38" i="3"/>
  <c r="AEU54" i="3" s="1"/>
  <c r="AEU37" i="3"/>
  <c r="AEU53" i="3" s="1"/>
  <c r="AEU35" i="3"/>
  <c r="AEU51" i="3" s="1"/>
  <c r="AEU34" i="3"/>
  <c r="AEU50" i="3" s="1"/>
  <c r="AEU32" i="3"/>
  <c r="AEU48" i="3" s="1"/>
  <c r="AEU31" i="3"/>
  <c r="AEU47" i="3" s="1"/>
  <c r="AEU29" i="3"/>
  <c r="AEU45" i="3" s="1"/>
  <c r="AEE41" i="3"/>
  <c r="AEE57" i="3" s="1"/>
  <c r="AEE38" i="3"/>
  <c r="AEE54" i="3" s="1"/>
  <c r="AEE37" i="3"/>
  <c r="AEE53" i="3" s="1"/>
  <c r="AEE35" i="3"/>
  <c r="AEE51" i="3" s="1"/>
  <c r="AEE34" i="3"/>
  <c r="AEE50" i="3" s="1"/>
  <c r="AEE32" i="3"/>
  <c r="AEE48" i="3" s="1"/>
  <c r="AEE31" i="3"/>
  <c r="AEE47" i="3" s="1"/>
  <c r="AEE29" i="3"/>
  <c r="AEE45" i="3" s="1"/>
  <c r="ADO41" i="3"/>
  <c r="ADO57" i="3" s="1"/>
  <c r="ADO38" i="3"/>
  <c r="ADO54" i="3" s="1"/>
  <c r="ADO37" i="3"/>
  <c r="ADO53" i="3" s="1"/>
  <c r="ADO35" i="3"/>
  <c r="ADO51" i="3" s="1"/>
  <c r="ADO34" i="3"/>
  <c r="ADO50" i="3" s="1"/>
  <c r="ADO32" i="3"/>
  <c r="ADO48" i="3" s="1"/>
  <c r="ADO31" i="3"/>
  <c r="ADO47" i="3" s="1"/>
  <c r="ADO29" i="3"/>
  <c r="ADO45" i="3" s="1"/>
  <c r="ACY41" i="3"/>
  <c r="ACY57" i="3" s="1"/>
  <c r="ACY38" i="3"/>
  <c r="ACY54" i="3" s="1"/>
  <c r="ACY37" i="3"/>
  <c r="ACY53" i="3" s="1"/>
  <c r="ACY35" i="3"/>
  <c r="ACY51" i="3" s="1"/>
  <c r="ACY34" i="3"/>
  <c r="ACY50" i="3" s="1"/>
  <c r="ACY32" i="3"/>
  <c r="ACY48" i="3" s="1"/>
  <c r="ACY31" i="3"/>
  <c r="ACY47" i="3" s="1"/>
  <c r="ACY29" i="3"/>
  <c r="ACY45" i="3" s="1"/>
  <c r="ACI41" i="3"/>
  <c r="ACI57" i="3" s="1"/>
  <c r="ACI38" i="3"/>
  <c r="ACI54" i="3" s="1"/>
  <c r="ACI37" i="3"/>
  <c r="ACI53" i="3" s="1"/>
  <c r="ACI35" i="3"/>
  <c r="ACI51" i="3" s="1"/>
  <c r="ACI34" i="3"/>
  <c r="ACI50" i="3" s="1"/>
  <c r="ACI32" i="3"/>
  <c r="ACI48" i="3" s="1"/>
  <c r="ACI31" i="3"/>
  <c r="ACI47" i="3" s="1"/>
  <c r="ACI29" i="3"/>
  <c r="ACI45" i="3" s="1"/>
  <c r="ABS41" i="3"/>
  <c r="ABS57" i="3" s="1"/>
  <c r="ABS38" i="3"/>
  <c r="ABS54" i="3" s="1"/>
  <c r="ABS37" i="3"/>
  <c r="ABS53" i="3" s="1"/>
  <c r="ABS35" i="3"/>
  <c r="ABS51" i="3" s="1"/>
  <c r="ABS34" i="3"/>
  <c r="ABS50" i="3" s="1"/>
  <c r="ABS32" i="3"/>
  <c r="ABS48" i="3" s="1"/>
  <c r="ABS31" i="3"/>
  <c r="ABS47" i="3" s="1"/>
  <c r="ABS29" i="3"/>
  <c r="ABS45" i="3" s="1"/>
  <c r="ABC41" i="3"/>
  <c r="ABC57" i="3" s="1"/>
  <c r="ABC38" i="3"/>
  <c r="ABC54" i="3" s="1"/>
  <c r="ABC37" i="3"/>
  <c r="ABC53" i="3" s="1"/>
  <c r="ABC35" i="3"/>
  <c r="ABC51" i="3" s="1"/>
  <c r="ABC34" i="3"/>
  <c r="ABC50" i="3" s="1"/>
  <c r="ABC32" i="3"/>
  <c r="ABC48" i="3" s="1"/>
  <c r="ABC31" i="3"/>
  <c r="ABC47" i="3" s="1"/>
  <c r="ABC29" i="3"/>
  <c r="ABC45" i="3" s="1"/>
  <c r="AAM41" i="3"/>
  <c r="AAM57" i="3" s="1"/>
  <c r="AAM38" i="3"/>
  <c r="AAM54" i="3" s="1"/>
  <c r="AAM37" i="3"/>
  <c r="AAM53" i="3" s="1"/>
  <c r="AAM35" i="3"/>
  <c r="AAM51" i="3" s="1"/>
  <c r="AAM34" i="3"/>
  <c r="AAM50" i="3" s="1"/>
  <c r="AAM32" i="3"/>
  <c r="AAM48" i="3" s="1"/>
  <c r="AAM31" i="3"/>
  <c r="AAM47" i="3" s="1"/>
  <c r="AAM29" i="3"/>
  <c r="AAM45" i="3" s="1"/>
  <c r="ZW41" i="3"/>
  <c r="ZW57" i="3" s="1"/>
  <c r="ZW38" i="3"/>
  <c r="ZW54" i="3" s="1"/>
  <c r="ZW37" i="3"/>
  <c r="ZW53" i="3" s="1"/>
  <c r="ZW35" i="3"/>
  <c r="ZW51" i="3" s="1"/>
  <c r="ZW34" i="3"/>
  <c r="ZW50" i="3" s="1"/>
  <c r="ZW32" i="3"/>
  <c r="ZW48" i="3" s="1"/>
  <c r="ZW31" i="3"/>
  <c r="ZW47" i="3" s="1"/>
  <c r="ZW29" i="3"/>
  <c r="ZW45" i="3" s="1"/>
  <c r="ZG41" i="3"/>
  <c r="ZG57" i="3" s="1"/>
  <c r="ZG38" i="3"/>
  <c r="ZG54" i="3" s="1"/>
  <c r="ZG37" i="3"/>
  <c r="ZG53" i="3" s="1"/>
  <c r="ZG35" i="3"/>
  <c r="ZG51" i="3" s="1"/>
  <c r="ZG34" i="3"/>
  <c r="ZG50" i="3" s="1"/>
  <c r="ZG32" i="3"/>
  <c r="ZG48" i="3" s="1"/>
  <c r="ZG31" i="3"/>
  <c r="ZG47" i="3" s="1"/>
  <c r="ZG29" i="3"/>
  <c r="ZG45" i="3" s="1"/>
  <c r="YQ41" i="3"/>
  <c r="YQ57" i="3" s="1"/>
  <c r="YQ38" i="3"/>
  <c r="YQ54" i="3" s="1"/>
  <c r="YQ37" i="3"/>
  <c r="YQ53" i="3" s="1"/>
  <c r="YQ35" i="3"/>
  <c r="YQ51" i="3" s="1"/>
  <c r="YQ34" i="3"/>
  <c r="YQ50" i="3" s="1"/>
  <c r="YQ32" i="3"/>
  <c r="YQ48" i="3" s="1"/>
  <c r="YQ31" i="3"/>
  <c r="YQ47" i="3" s="1"/>
  <c r="YQ29" i="3"/>
  <c r="YQ45" i="3" s="1"/>
  <c r="YA41" i="3"/>
  <c r="YA57" i="3" s="1"/>
  <c r="YA38" i="3"/>
  <c r="YA54" i="3" s="1"/>
  <c r="YA37" i="3"/>
  <c r="YA53" i="3" s="1"/>
  <c r="YA35" i="3"/>
  <c r="YA51" i="3" s="1"/>
  <c r="YA34" i="3"/>
  <c r="YA50" i="3" s="1"/>
  <c r="YA32" i="3"/>
  <c r="YA48" i="3" s="1"/>
  <c r="YA31" i="3"/>
  <c r="YA47" i="3" s="1"/>
  <c r="YA29" i="3"/>
  <c r="YA45" i="3" s="1"/>
  <c r="XK41" i="3"/>
  <c r="XK57" i="3" s="1"/>
  <c r="XK38" i="3"/>
  <c r="XK54" i="3" s="1"/>
  <c r="XK37" i="3"/>
  <c r="XK53" i="3" s="1"/>
  <c r="XK35" i="3"/>
  <c r="XK51" i="3" s="1"/>
  <c r="XK34" i="3"/>
  <c r="XK50" i="3" s="1"/>
  <c r="XK32" i="3"/>
  <c r="XK48" i="3" s="1"/>
  <c r="XK31" i="3"/>
  <c r="XK47" i="3" s="1"/>
  <c r="XK29" i="3"/>
  <c r="XK45" i="3" s="1"/>
  <c r="WU41" i="3"/>
  <c r="WU57" i="3" s="1"/>
  <c r="WU38" i="3"/>
  <c r="WU54" i="3" s="1"/>
  <c r="WU37" i="3"/>
  <c r="WU53" i="3" s="1"/>
  <c r="WU35" i="3"/>
  <c r="WU51" i="3" s="1"/>
  <c r="WU34" i="3"/>
  <c r="WU50" i="3" s="1"/>
  <c r="WU32" i="3"/>
  <c r="WU48" i="3" s="1"/>
  <c r="WU31" i="3"/>
  <c r="WU47" i="3" s="1"/>
  <c r="WU29" i="3"/>
  <c r="WU45" i="3" s="1"/>
  <c r="WE41" i="3"/>
  <c r="WE57" i="3" s="1"/>
  <c r="WE38" i="3"/>
  <c r="WE54" i="3" s="1"/>
  <c r="WE37" i="3"/>
  <c r="WE53" i="3" s="1"/>
  <c r="WE35" i="3"/>
  <c r="WE51" i="3" s="1"/>
  <c r="WE34" i="3"/>
  <c r="WE50" i="3" s="1"/>
  <c r="WE32" i="3"/>
  <c r="WE48" i="3" s="1"/>
  <c r="WE31" i="3"/>
  <c r="WE47" i="3" s="1"/>
  <c r="WE29" i="3"/>
  <c r="WE45" i="3" s="1"/>
  <c r="VO41" i="3"/>
  <c r="VO57" i="3" s="1"/>
  <c r="VO38" i="3"/>
  <c r="VO54" i="3" s="1"/>
  <c r="VO37" i="3"/>
  <c r="VO53" i="3" s="1"/>
  <c r="VO35" i="3"/>
  <c r="VO51" i="3" s="1"/>
  <c r="VO34" i="3"/>
  <c r="VO50" i="3" s="1"/>
  <c r="VO32" i="3"/>
  <c r="VO48" i="3" s="1"/>
  <c r="VO31" i="3"/>
  <c r="VO47" i="3" s="1"/>
  <c r="VO29" i="3"/>
  <c r="VO45" i="3" s="1"/>
  <c r="UY41" i="3"/>
  <c r="UY57" i="3" s="1"/>
  <c r="UY38" i="3"/>
  <c r="UY54" i="3" s="1"/>
  <c r="UY37" i="3"/>
  <c r="UY53" i="3" s="1"/>
  <c r="UY35" i="3"/>
  <c r="UY51" i="3" s="1"/>
  <c r="UY34" i="3"/>
  <c r="UY50" i="3" s="1"/>
  <c r="UY32" i="3"/>
  <c r="UY48" i="3" s="1"/>
  <c r="UY31" i="3"/>
  <c r="UY47" i="3" s="1"/>
  <c r="UY29" i="3"/>
  <c r="UY45" i="3" s="1"/>
  <c r="UI41" i="3"/>
  <c r="UI57" i="3" s="1"/>
  <c r="UI38" i="3"/>
  <c r="UI54" i="3" s="1"/>
  <c r="UI37" i="3"/>
  <c r="UI53" i="3" s="1"/>
  <c r="UI35" i="3"/>
  <c r="UI51" i="3" s="1"/>
  <c r="UI34" i="3"/>
  <c r="UI50" i="3" s="1"/>
  <c r="UI32" i="3"/>
  <c r="UI48" i="3" s="1"/>
  <c r="UI31" i="3"/>
  <c r="UI47" i="3" s="1"/>
  <c r="UI29" i="3"/>
  <c r="UI45" i="3" s="1"/>
  <c r="TS41" i="3"/>
  <c r="TS57" i="3" s="1"/>
  <c r="TS38" i="3"/>
  <c r="TS54" i="3" s="1"/>
  <c r="TS37" i="3"/>
  <c r="TS53" i="3" s="1"/>
  <c r="TS35" i="3"/>
  <c r="TS51" i="3" s="1"/>
  <c r="TS34" i="3"/>
  <c r="TS50" i="3" s="1"/>
  <c r="TS32" i="3"/>
  <c r="TS48" i="3" s="1"/>
  <c r="TS31" i="3"/>
  <c r="TS47" i="3" s="1"/>
  <c r="TS29" i="3"/>
  <c r="TS45" i="3" s="1"/>
  <c r="TC41" i="3"/>
  <c r="TC57" i="3" s="1"/>
  <c r="TC38" i="3"/>
  <c r="TC54" i="3" s="1"/>
  <c r="TC37" i="3"/>
  <c r="TC53" i="3" s="1"/>
  <c r="TC35" i="3"/>
  <c r="TC51" i="3" s="1"/>
  <c r="TC34" i="3"/>
  <c r="TC50" i="3" s="1"/>
  <c r="TC32" i="3"/>
  <c r="TC48" i="3" s="1"/>
  <c r="TC31" i="3"/>
  <c r="TC47" i="3" s="1"/>
  <c r="TC29" i="3"/>
  <c r="TC45" i="3" s="1"/>
  <c r="SM41" i="3"/>
  <c r="SM57" i="3" s="1"/>
  <c r="SM38" i="3"/>
  <c r="SM54" i="3" s="1"/>
  <c r="SM37" i="3"/>
  <c r="SM53" i="3" s="1"/>
  <c r="SM35" i="3"/>
  <c r="SM51" i="3" s="1"/>
  <c r="SM34" i="3"/>
  <c r="SM50" i="3" s="1"/>
  <c r="SM32" i="3"/>
  <c r="SM48" i="3" s="1"/>
  <c r="SM31" i="3"/>
  <c r="SM47" i="3" s="1"/>
  <c r="SM29" i="3"/>
  <c r="SM45" i="3" s="1"/>
  <c r="RW41" i="3"/>
  <c r="RW57" i="3" s="1"/>
  <c r="RW38" i="3"/>
  <c r="RW37" i="3"/>
  <c r="RW35" i="3"/>
  <c r="RW51" i="3" s="1"/>
  <c r="RW34" i="3"/>
  <c r="RW50" i="3" s="1"/>
  <c r="RW32" i="3"/>
  <c r="RW48" i="3" s="1"/>
  <c r="RW31" i="3"/>
  <c r="RW47" i="3" s="1"/>
  <c r="RW29" i="3"/>
  <c r="RW45" i="3" s="1"/>
  <c r="RG41" i="3"/>
  <c r="RG38" i="3"/>
  <c r="RG37" i="3"/>
  <c r="RG35" i="3"/>
  <c r="RG51" i="3" s="1"/>
  <c r="RG34" i="3"/>
  <c r="RG50" i="3" s="1"/>
  <c r="RG32" i="3"/>
  <c r="RG48" i="3" s="1"/>
  <c r="RG31" i="3"/>
  <c r="RG47" i="3" s="1"/>
  <c r="RG29" i="3"/>
  <c r="RG45" i="3" s="1"/>
  <c r="QQ41" i="3"/>
  <c r="QQ38" i="3"/>
  <c r="QQ37" i="3"/>
  <c r="QQ35" i="3"/>
  <c r="QQ34" i="3"/>
  <c r="QQ32" i="3"/>
  <c r="QQ48" i="3" s="1"/>
  <c r="QQ31" i="3"/>
  <c r="QQ47" i="3" s="1"/>
  <c r="QQ29" i="3"/>
  <c r="QQ45" i="3" s="1"/>
  <c r="QA41" i="3"/>
  <c r="QA57" i="3" s="1"/>
  <c r="QA38" i="3"/>
  <c r="QA54" i="3" s="1"/>
  <c r="QA37" i="3"/>
  <c r="QA53" i="3" s="1"/>
  <c r="QA35" i="3"/>
  <c r="QA51" i="3" s="1"/>
  <c r="QA34" i="3"/>
  <c r="QA50" i="3" s="1"/>
  <c r="QA32" i="3"/>
  <c r="QA48" i="3" s="1"/>
  <c r="QA31" i="3"/>
  <c r="QA47" i="3" s="1"/>
  <c r="QA29" i="3"/>
  <c r="QA45" i="3" s="1"/>
  <c r="PK41" i="3"/>
  <c r="PK38" i="3"/>
  <c r="PK37" i="3"/>
  <c r="PK35" i="3"/>
  <c r="PK34" i="3"/>
  <c r="PK32" i="3"/>
  <c r="PK48" i="3" s="1"/>
  <c r="PK31" i="3"/>
  <c r="PK47" i="3" s="1"/>
  <c r="PK29" i="3"/>
  <c r="PK45" i="3" s="1"/>
  <c r="OU41" i="3"/>
  <c r="OU38" i="3"/>
  <c r="OU37" i="3"/>
  <c r="OU35" i="3"/>
  <c r="OU34" i="3"/>
  <c r="OU32" i="3"/>
  <c r="OU48" i="3" s="1"/>
  <c r="OU31" i="3"/>
  <c r="OU47" i="3" s="1"/>
  <c r="OU29" i="3"/>
  <c r="OU45" i="3" s="1"/>
  <c r="OE41" i="3"/>
  <c r="OE38" i="3"/>
  <c r="OE37" i="3"/>
  <c r="OE35" i="3"/>
  <c r="OE34" i="3"/>
  <c r="OE32" i="3"/>
  <c r="OE48" i="3" s="1"/>
  <c r="OE31" i="3"/>
  <c r="OE47" i="3" s="1"/>
  <c r="OE29" i="3"/>
  <c r="OE45" i="3" s="1"/>
  <c r="NO41" i="3"/>
  <c r="NO38" i="3"/>
  <c r="NO54" i="3" s="1"/>
  <c r="NO37" i="3"/>
  <c r="NO53" i="3" s="1"/>
  <c r="NO35" i="3"/>
  <c r="NO51" i="3" s="1"/>
  <c r="NO34" i="3"/>
  <c r="NO50" i="3" s="1"/>
  <c r="NO32" i="3"/>
  <c r="NO48" i="3" s="1"/>
  <c r="NO31" i="3"/>
  <c r="NO47" i="3" s="1"/>
  <c r="NO29" i="3"/>
  <c r="NO45" i="3" s="1"/>
  <c r="MY41" i="3"/>
  <c r="MY57" i="3" s="1"/>
  <c r="MY38" i="3"/>
  <c r="MY37" i="3"/>
  <c r="MY35" i="3"/>
  <c r="MY34" i="3"/>
  <c r="MY32" i="3"/>
  <c r="MY48" i="3" s="1"/>
  <c r="MY31" i="3"/>
  <c r="MY47" i="3" s="1"/>
  <c r="MY29" i="3"/>
  <c r="MY45" i="3" s="1"/>
  <c r="MI41" i="3"/>
  <c r="MI38" i="3"/>
  <c r="MI35" i="3"/>
  <c r="MI37" i="3"/>
  <c r="MI34" i="3"/>
  <c r="MI32" i="3"/>
  <c r="MI48" i="3" s="1"/>
  <c r="MI31" i="3"/>
  <c r="MI47" i="3" s="1"/>
  <c r="MI29" i="3"/>
  <c r="MI45" i="3" s="1"/>
  <c r="LI41" i="3"/>
  <c r="LI38" i="3"/>
  <c r="LI37" i="3"/>
  <c r="LI34" i="3"/>
  <c r="LI35" i="3"/>
  <c r="LI32" i="3"/>
  <c r="LI48" i="3" s="1"/>
  <c r="LI31" i="3"/>
  <c r="LI47" i="3" s="1"/>
  <c r="LI29" i="3"/>
  <c r="LI45" i="3" s="1"/>
  <c r="KC41" i="3"/>
  <c r="KC57" i="3" s="1"/>
  <c r="KC38" i="3"/>
  <c r="KC37" i="3"/>
  <c r="KC34" i="3"/>
  <c r="KC35" i="3"/>
  <c r="KC32" i="3"/>
  <c r="KC48" i="3" s="1"/>
  <c r="KC31" i="3"/>
  <c r="KC47" i="3" s="1"/>
  <c r="KC29" i="3"/>
  <c r="KC45" i="3" s="1"/>
  <c r="IW41" i="3"/>
  <c r="IW38" i="3"/>
  <c r="IW37" i="3"/>
  <c r="IW34" i="3"/>
  <c r="IW35" i="3"/>
  <c r="IW32" i="3"/>
  <c r="IW48" i="3" s="1"/>
  <c r="IW31" i="3"/>
  <c r="IW47" i="3" s="1"/>
  <c r="IW29" i="3"/>
  <c r="IW45" i="3" s="1"/>
  <c r="HQ41" i="3"/>
  <c r="HQ38" i="3"/>
  <c r="HQ37" i="3"/>
  <c r="HQ34" i="3"/>
  <c r="HQ35" i="3"/>
  <c r="HQ32" i="3"/>
  <c r="HQ48" i="3" s="1"/>
  <c r="HQ31" i="3"/>
  <c r="HQ47" i="3" s="1"/>
  <c r="HQ29" i="3"/>
  <c r="HQ45" i="3" s="1"/>
  <c r="GC41" i="3"/>
  <c r="GC38" i="3"/>
  <c r="GC37" i="3"/>
  <c r="GC34" i="3"/>
  <c r="GC35" i="3"/>
  <c r="GC32" i="3"/>
  <c r="GC48" i="3" s="1"/>
  <c r="GC31" i="3"/>
  <c r="GC47" i="3" s="1"/>
  <c r="GC29" i="3"/>
  <c r="GC45" i="3" s="1"/>
  <c r="DQ41" i="3"/>
  <c r="DQ38" i="3"/>
  <c r="DQ37" i="3"/>
  <c r="DQ34" i="3"/>
  <c r="DQ35" i="3"/>
  <c r="DQ32" i="3"/>
  <c r="DQ48" i="3" s="1"/>
  <c r="DQ31" i="3"/>
  <c r="DQ47" i="3" s="1"/>
  <c r="DQ29" i="3"/>
  <c r="DQ45" i="3" s="1"/>
  <c r="BE41" i="3"/>
  <c r="BE38" i="3"/>
  <c r="BE37" i="3"/>
  <c r="BE35" i="3"/>
  <c r="BE34" i="3"/>
  <c r="BE32" i="3"/>
  <c r="BE48" i="3" s="1"/>
  <c r="BE31" i="3"/>
  <c r="BE47" i="3" s="1"/>
  <c r="BE29" i="3"/>
  <c r="BE45" i="3" s="1"/>
  <c r="B35" i="3"/>
  <c r="B51" i="3" s="1"/>
  <c r="B34" i="3"/>
  <c r="B50" i="3" s="1"/>
  <c r="B32" i="3"/>
  <c r="B48" i="3" s="1"/>
  <c r="B31" i="3"/>
  <c r="B47" i="3" s="1"/>
  <c r="IC41" i="3"/>
  <c r="IC38" i="3"/>
  <c r="IC37" i="3"/>
  <c r="IC34" i="3"/>
  <c r="IC35" i="3"/>
  <c r="IC32" i="3"/>
  <c r="IC48" i="3" s="1"/>
  <c r="IC31" i="3"/>
  <c r="IC47" i="3" s="1"/>
  <c r="IC29" i="3"/>
  <c r="IC45" i="3" s="1"/>
  <c r="MO41" i="3"/>
  <c r="MO38" i="3"/>
  <c r="MO54" i="3" s="1"/>
  <c r="MO37" i="3"/>
  <c r="MO53" i="3" s="1"/>
  <c r="MO34" i="3"/>
  <c r="MO35" i="3"/>
  <c r="MO32" i="3"/>
  <c r="MO48" i="3" s="1"/>
  <c r="MO31" i="3"/>
  <c r="MO47" i="3" s="1"/>
  <c r="MO29" i="3"/>
  <c r="MO45" i="3" s="1"/>
  <c r="PA41" i="3"/>
  <c r="PA38" i="3"/>
  <c r="PA37" i="3"/>
  <c r="PA34" i="3"/>
  <c r="PA35" i="3"/>
  <c r="PA32" i="3"/>
  <c r="PA48" i="3" s="1"/>
  <c r="PA31" i="3"/>
  <c r="PA47" i="3" s="1"/>
  <c r="PA29" i="3"/>
  <c r="PA45" i="3" s="1"/>
  <c r="RM41" i="3"/>
  <c r="RM57" i="3" s="1"/>
  <c r="RM38" i="3"/>
  <c r="RM37" i="3"/>
  <c r="RM34" i="3"/>
  <c r="RM35" i="3"/>
  <c r="RM32" i="3"/>
  <c r="RM48" i="3" s="1"/>
  <c r="RM31" i="3"/>
  <c r="RM47" i="3" s="1"/>
  <c r="RM29" i="3"/>
  <c r="RM45" i="3" s="1"/>
  <c r="TY41" i="3"/>
  <c r="TY57" i="3" s="1"/>
  <c r="TY38" i="3"/>
  <c r="TY54" i="3" s="1"/>
  <c r="TY37" i="3"/>
  <c r="TY53" i="3" s="1"/>
  <c r="TY34" i="3"/>
  <c r="TY50" i="3" s="1"/>
  <c r="TY35" i="3"/>
  <c r="TY51" i="3" s="1"/>
  <c r="TY32" i="3"/>
  <c r="TY48" i="3" s="1"/>
  <c r="TY31" i="3"/>
  <c r="TY47" i="3" s="1"/>
  <c r="TY29" i="3"/>
  <c r="TY45" i="3" s="1"/>
  <c r="WK41" i="3"/>
  <c r="WK57" i="3" s="1"/>
  <c r="WK38" i="3"/>
  <c r="WK54" i="3" s="1"/>
  <c r="WK37" i="3"/>
  <c r="WK53" i="3" s="1"/>
  <c r="WK34" i="3"/>
  <c r="WK50" i="3" s="1"/>
  <c r="WK35" i="3"/>
  <c r="WK51" i="3" s="1"/>
  <c r="WK32" i="3"/>
  <c r="WK48" i="3" s="1"/>
  <c r="WK31" i="3"/>
  <c r="WK47" i="3" s="1"/>
  <c r="WK29" i="3"/>
  <c r="WK45" i="3" s="1"/>
  <c r="YW41" i="3"/>
  <c r="YW57" i="3" s="1"/>
  <c r="YW38" i="3"/>
  <c r="YW54" i="3" s="1"/>
  <c r="YW37" i="3"/>
  <c r="YW53" i="3" s="1"/>
  <c r="YW34" i="3"/>
  <c r="YW50" i="3" s="1"/>
  <c r="YW35" i="3"/>
  <c r="YW51" i="3" s="1"/>
  <c r="YW32" i="3"/>
  <c r="YW48" i="3" s="1"/>
  <c r="YW31" i="3"/>
  <c r="YW47" i="3" s="1"/>
  <c r="YW29" i="3"/>
  <c r="YW45" i="3" s="1"/>
  <c r="ABI41" i="3"/>
  <c r="ABI57" i="3" s="1"/>
  <c r="ABI38" i="3"/>
  <c r="ABI54" i="3" s="1"/>
  <c r="ABI37" i="3"/>
  <c r="ABI53" i="3" s="1"/>
  <c r="ABI35" i="3"/>
  <c r="ABI51" i="3" s="1"/>
  <c r="ABI34" i="3"/>
  <c r="ABI50" i="3" s="1"/>
  <c r="ABI32" i="3"/>
  <c r="ABI48" i="3" s="1"/>
  <c r="ABI31" i="3"/>
  <c r="ABI47" i="3" s="1"/>
  <c r="ABI29" i="3"/>
  <c r="ABI45" i="3" s="1"/>
  <c r="ADU41" i="3"/>
  <c r="ADU57" i="3" s="1"/>
  <c r="ADU38" i="3"/>
  <c r="ADU54" i="3" s="1"/>
  <c r="ADU37" i="3"/>
  <c r="ADU53" i="3" s="1"/>
  <c r="ADU35" i="3"/>
  <c r="ADU51" i="3" s="1"/>
  <c r="ADU34" i="3"/>
  <c r="ADU50" i="3" s="1"/>
  <c r="ADU32" i="3"/>
  <c r="ADU48" i="3" s="1"/>
  <c r="ADU31" i="3"/>
  <c r="ADU47" i="3" s="1"/>
  <c r="ADU29" i="3"/>
  <c r="ADU45" i="3" s="1"/>
  <c r="AGG41" i="3"/>
  <c r="AGG57" i="3" s="1"/>
  <c r="AGG38" i="3"/>
  <c r="AGG54" i="3" s="1"/>
  <c r="AGG37" i="3"/>
  <c r="AGG53" i="3" s="1"/>
  <c r="AGG35" i="3"/>
  <c r="AGG51" i="3" s="1"/>
  <c r="AGG34" i="3"/>
  <c r="AGG50" i="3" s="1"/>
  <c r="AGG32" i="3"/>
  <c r="AGG48" i="3" s="1"/>
  <c r="AGG31" i="3"/>
  <c r="AGG47" i="3" s="1"/>
  <c r="AGG29" i="3"/>
  <c r="AGG45" i="3" s="1"/>
  <c r="AIS41" i="3"/>
  <c r="AIS57" i="3" s="1"/>
  <c r="AIS38" i="3"/>
  <c r="AIS54" i="3" s="1"/>
  <c r="AIS37" i="3"/>
  <c r="AIS53" i="3" s="1"/>
  <c r="AIS35" i="3"/>
  <c r="AIS51" i="3" s="1"/>
  <c r="AIS34" i="3"/>
  <c r="AIS50" i="3" s="1"/>
  <c r="AIS32" i="3"/>
  <c r="AIS48" i="3" s="1"/>
  <c r="AIS31" i="3"/>
  <c r="AIS47" i="3" s="1"/>
  <c r="AIS29" i="3"/>
  <c r="AIS45" i="3" s="1"/>
  <c r="ALE41" i="3"/>
  <c r="ALE57" i="3" s="1"/>
  <c r="ALE38" i="3"/>
  <c r="ALE54" i="3" s="1"/>
  <c r="ALE37" i="3"/>
  <c r="ALE53" i="3" s="1"/>
  <c r="ALE35" i="3"/>
  <c r="ALE51" i="3" s="1"/>
  <c r="ALE34" i="3"/>
  <c r="ALE50" i="3" s="1"/>
  <c r="ALE32" i="3"/>
  <c r="ALE48" i="3" s="1"/>
  <c r="ALE31" i="3"/>
  <c r="ALE47" i="3" s="1"/>
  <c r="ALE29" i="3"/>
  <c r="ALE45" i="3" s="1"/>
  <c r="DY41" i="3"/>
  <c r="DY38" i="3"/>
  <c r="DY54" i="3" s="1"/>
  <c r="DY37" i="3"/>
  <c r="DY34" i="3"/>
  <c r="DY35" i="3"/>
  <c r="DY32" i="3"/>
  <c r="DY48" i="3" s="1"/>
  <c r="DY31" i="3"/>
  <c r="DY47" i="3" s="1"/>
  <c r="DY29" i="3"/>
  <c r="DY45" i="3" s="1"/>
  <c r="FE41" i="3"/>
  <c r="FE38" i="3"/>
  <c r="FE37" i="3"/>
  <c r="FE34" i="3"/>
  <c r="FE35" i="3"/>
  <c r="FE32" i="3"/>
  <c r="FE48" i="3" s="1"/>
  <c r="FE31" i="3"/>
  <c r="FE47" i="3" s="1"/>
  <c r="FE29" i="3"/>
  <c r="FE45" i="3" s="1"/>
  <c r="KW41" i="3"/>
  <c r="KW38" i="3"/>
  <c r="KW37" i="3"/>
  <c r="KW35" i="3"/>
  <c r="KW34" i="3"/>
  <c r="KW32" i="3"/>
  <c r="KW48" i="3" s="1"/>
  <c r="KW31" i="3"/>
  <c r="KW47" i="3" s="1"/>
  <c r="KW29" i="3"/>
  <c r="KW45" i="3" s="1"/>
  <c r="NY41" i="3"/>
  <c r="NY38" i="3"/>
  <c r="NY37" i="3"/>
  <c r="NY35" i="3"/>
  <c r="NY34" i="3"/>
  <c r="NY32" i="3"/>
  <c r="NY48" i="3" s="1"/>
  <c r="NY31" i="3"/>
  <c r="NY47" i="3" s="1"/>
  <c r="NY29" i="3"/>
  <c r="NY45" i="3" s="1"/>
  <c r="QK41" i="3"/>
  <c r="QK57" i="3" s="1"/>
  <c r="QK38" i="3"/>
  <c r="QK54" i="3" s="1"/>
  <c r="QK37" i="3"/>
  <c r="QK35" i="3"/>
  <c r="QK51" i="3" s="1"/>
  <c r="QK34" i="3"/>
  <c r="QK50" i="3" s="1"/>
  <c r="QK32" i="3"/>
  <c r="QK48" i="3" s="1"/>
  <c r="QK31" i="3"/>
  <c r="QK47" i="3" s="1"/>
  <c r="QK29" i="3"/>
  <c r="QK45" i="3" s="1"/>
  <c r="SW41" i="3"/>
  <c r="SW57" i="3" s="1"/>
  <c r="SW38" i="3"/>
  <c r="SW54" i="3" s="1"/>
  <c r="SW37" i="3"/>
  <c r="SW53" i="3" s="1"/>
  <c r="SW35" i="3"/>
  <c r="SW51" i="3" s="1"/>
  <c r="SW34" i="3"/>
  <c r="SW50" i="3" s="1"/>
  <c r="SW32" i="3"/>
  <c r="SW48" i="3" s="1"/>
  <c r="SW31" i="3"/>
  <c r="SW47" i="3" s="1"/>
  <c r="SW29" i="3"/>
  <c r="SW45" i="3" s="1"/>
  <c r="VI41" i="3"/>
  <c r="VI57" i="3" s="1"/>
  <c r="VI38" i="3"/>
  <c r="VI54" i="3" s="1"/>
  <c r="VI37" i="3"/>
  <c r="VI53" i="3" s="1"/>
  <c r="VI35" i="3"/>
  <c r="VI51" i="3" s="1"/>
  <c r="VI34" i="3"/>
  <c r="VI50" i="3" s="1"/>
  <c r="VI32" i="3"/>
  <c r="VI48" i="3" s="1"/>
  <c r="VI31" i="3"/>
  <c r="VI47" i="3" s="1"/>
  <c r="VI29" i="3"/>
  <c r="VI45" i="3" s="1"/>
  <c r="XU41" i="3"/>
  <c r="XU57" i="3" s="1"/>
  <c r="XU38" i="3"/>
  <c r="XU54" i="3" s="1"/>
  <c r="XU37" i="3"/>
  <c r="XU53" i="3" s="1"/>
  <c r="XU35" i="3"/>
  <c r="XU51" i="3" s="1"/>
  <c r="XU34" i="3"/>
  <c r="XU50" i="3" s="1"/>
  <c r="XU32" i="3"/>
  <c r="XU48" i="3" s="1"/>
  <c r="XU31" i="3"/>
  <c r="XU47" i="3" s="1"/>
  <c r="XU29" i="3"/>
  <c r="XU45" i="3" s="1"/>
  <c r="AAG41" i="3"/>
  <c r="AAG57" i="3" s="1"/>
  <c r="AAG38" i="3"/>
  <c r="AAG54" i="3" s="1"/>
  <c r="AAG37" i="3"/>
  <c r="AAG53" i="3" s="1"/>
  <c r="AAG35" i="3"/>
  <c r="AAG51" i="3" s="1"/>
  <c r="AAG34" i="3"/>
  <c r="AAG50" i="3" s="1"/>
  <c r="AAG32" i="3"/>
  <c r="AAG48" i="3" s="1"/>
  <c r="AAG31" i="3"/>
  <c r="AAG47" i="3" s="1"/>
  <c r="AAG29" i="3"/>
  <c r="AAG45" i="3" s="1"/>
  <c r="ACS41" i="3"/>
  <c r="ACS57" i="3" s="1"/>
  <c r="ACS38" i="3"/>
  <c r="ACS54" i="3" s="1"/>
  <c r="ACS37" i="3"/>
  <c r="ACS53" i="3" s="1"/>
  <c r="ACS35" i="3"/>
  <c r="ACS51" i="3" s="1"/>
  <c r="ACS34" i="3"/>
  <c r="ACS50" i="3" s="1"/>
  <c r="ACS32" i="3"/>
  <c r="ACS48" i="3" s="1"/>
  <c r="ACS31" i="3"/>
  <c r="ACS47" i="3" s="1"/>
  <c r="ACS29" i="3"/>
  <c r="ACS45" i="3" s="1"/>
  <c r="AFE41" i="3"/>
  <c r="AFE57" i="3" s="1"/>
  <c r="AFE38" i="3"/>
  <c r="AFE54" i="3" s="1"/>
  <c r="AFE37" i="3"/>
  <c r="AFE53" i="3" s="1"/>
  <c r="AFE35" i="3"/>
  <c r="AFE51" i="3" s="1"/>
  <c r="AFE34" i="3"/>
  <c r="AFE50" i="3" s="1"/>
  <c r="AFE32" i="3"/>
  <c r="AFE48" i="3" s="1"/>
  <c r="AFE31" i="3"/>
  <c r="AFE47" i="3" s="1"/>
  <c r="AFE29" i="3"/>
  <c r="AFE45" i="3" s="1"/>
  <c r="AHQ41" i="3"/>
  <c r="AHQ57" i="3" s="1"/>
  <c r="AHQ38" i="3"/>
  <c r="AHQ54" i="3" s="1"/>
  <c r="AHQ37" i="3"/>
  <c r="AHQ53" i="3" s="1"/>
  <c r="AHQ35" i="3"/>
  <c r="AHQ51" i="3" s="1"/>
  <c r="AHQ34" i="3"/>
  <c r="AHQ50" i="3" s="1"/>
  <c r="AHQ32" i="3"/>
  <c r="AHQ48" i="3" s="1"/>
  <c r="AHQ31" i="3"/>
  <c r="AHQ47" i="3" s="1"/>
  <c r="AHQ29" i="3"/>
  <c r="AHQ45" i="3" s="1"/>
  <c r="AKC41" i="3"/>
  <c r="AKC57" i="3" s="1"/>
  <c r="AKC38" i="3"/>
  <c r="AKC54" i="3" s="1"/>
  <c r="AKC37" i="3"/>
  <c r="AKC53" i="3" s="1"/>
  <c r="AKC35" i="3"/>
  <c r="AKC51" i="3" s="1"/>
  <c r="AKC34" i="3"/>
  <c r="AKC50" i="3" s="1"/>
  <c r="AKC32" i="3"/>
  <c r="AKC48" i="3" s="1"/>
  <c r="AKC31" i="3"/>
  <c r="AKC47" i="3" s="1"/>
  <c r="AKC29" i="3"/>
  <c r="AKC45" i="3" s="1"/>
  <c r="RY27" i="3"/>
  <c r="RY43" i="3" s="1"/>
  <c r="R40" i="3"/>
  <c r="AH40" i="3"/>
  <c r="AX40" i="3"/>
  <c r="BN40" i="3"/>
  <c r="CD40" i="3"/>
  <c r="CT40" i="3"/>
  <c r="DJ40" i="3"/>
  <c r="DZ40" i="3"/>
  <c r="EP40" i="3"/>
  <c r="EP56" i="3" s="1"/>
  <c r="FF40" i="3"/>
  <c r="FV40" i="3"/>
  <c r="GL40" i="3"/>
  <c r="HB40" i="3"/>
  <c r="HR40" i="3"/>
  <c r="IH40" i="3"/>
  <c r="IX40" i="3"/>
  <c r="JN40" i="3"/>
  <c r="KD40" i="3"/>
  <c r="KT40" i="3"/>
  <c r="LJ40" i="3"/>
  <c r="LZ40" i="3"/>
  <c r="LZ56" i="3" s="1"/>
  <c r="O40" i="3"/>
  <c r="AE40" i="3"/>
  <c r="AU40" i="3"/>
  <c r="AU56" i="3" s="1"/>
  <c r="BK40" i="3"/>
  <c r="CA40" i="3"/>
  <c r="CQ40" i="3"/>
  <c r="DG40" i="3"/>
  <c r="DW40" i="3"/>
  <c r="EM40" i="3"/>
  <c r="EM56" i="3" s="1"/>
  <c r="FC40" i="3"/>
  <c r="FC56" i="3" s="1"/>
  <c r="FS40" i="3"/>
  <c r="GI40" i="3"/>
  <c r="GI56" i="3" s="1"/>
  <c r="GY40" i="3"/>
  <c r="GY56" i="3" s="1"/>
  <c r="HO40" i="3"/>
  <c r="IE40" i="3"/>
  <c r="IU40" i="3"/>
  <c r="JK40" i="3"/>
  <c r="KA40" i="3"/>
  <c r="KQ40" i="3"/>
  <c r="LG40" i="3"/>
  <c r="LG56" i="3" s="1"/>
  <c r="LW40" i="3"/>
  <c r="L40" i="3"/>
  <c r="AB40" i="3"/>
  <c r="AB56" i="3" s="1"/>
  <c r="AR40" i="3"/>
  <c r="AR56" i="3" s="1"/>
  <c r="BH40" i="3"/>
  <c r="BX40" i="3"/>
  <c r="BX56" i="3" s="1"/>
  <c r="CN40" i="3"/>
  <c r="DD40" i="3"/>
  <c r="DT40" i="3"/>
  <c r="EJ40" i="3"/>
  <c r="EJ56" i="3" s="1"/>
  <c r="EZ40" i="3"/>
  <c r="FP40" i="3"/>
  <c r="GF40" i="3"/>
  <c r="FU40" i="3"/>
  <c r="LE40" i="3"/>
  <c r="OC40" i="3"/>
  <c r="QO40" i="3"/>
  <c r="TA40" i="3"/>
  <c r="TA56" i="3" s="1"/>
  <c r="VM40" i="3"/>
  <c r="VM56" i="3" s="1"/>
  <c r="XY40" i="3"/>
  <c r="XY56" i="3" s="1"/>
  <c r="AAK40" i="3"/>
  <c r="AAK56" i="3" s="1"/>
  <c r="ACW40" i="3"/>
  <c r="ACW56" i="3" s="1"/>
  <c r="AFI40" i="3"/>
  <c r="AFI56" i="3" s="1"/>
  <c r="AHU40" i="3"/>
  <c r="AHU56" i="3" s="1"/>
  <c r="AKG40" i="3"/>
  <c r="AKG56" i="3" s="1"/>
  <c r="HU40" i="3"/>
  <c r="MK40" i="3"/>
  <c r="MK56" i="3" s="1"/>
  <c r="OW40" i="3"/>
  <c r="RI40" i="3"/>
  <c r="TU40" i="3"/>
  <c r="TU56" i="3" s="1"/>
  <c r="WG40" i="3"/>
  <c r="WG56" i="3" s="1"/>
  <c r="YS40" i="3"/>
  <c r="YS56" i="3" s="1"/>
  <c r="ABE40" i="3"/>
  <c r="ABE56" i="3" s="1"/>
  <c r="ADQ40" i="3"/>
  <c r="ADQ56" i="3" s="1"/>
  <c r="AGC40" i="3"/>
  <c r="AGC56" i="3" s="1"/>
  <c r="AIO40" i="3"/>
  <c r="AIO56" i="3" s="1"/>
  <c r="ALA40" i="3"/>
  <c r="ALA56" i="3" s="1"/>
  <c r="AKX40" i="3"/>
  <c r="AKX56" i="3" s="1"/>
  <c r="AKH40" i="3"/>
  <c r="AKH56" i="3" s="1"/>
  <c r="AJR40" i="3"/>
  <c r="AJR56" i="3" s="1"/>
  <c r="AJB40" i="3"/>
  <c r="AJB56" i="3" s="1"/>
  <c r="AIL40" i="3"/>
  <c r="AIL56" i="3" s="1"/>
  <c r="AHV40" i="3"/>
  <c r="AHV56" i="3" s="1"/>
  <c r="AHF40" i="3"/>
  <c r="AHF56" i="3" s="1"/>
  <c r="AGP40" i="3"/>
  <c r="AGP56" i="3" s="1"/>
  <c r="AFZ40" i="3"/>
  <c r="AFZ56" i="3" s="1"/>
  <c r="AFJ40" i="3"/>
  <c r="AFJ56" i="3" s="1"/>
  <c r="AET40" i="3"/>
  <c r="AET56" i="3" s="1"/>
  <c r="AED40" i="3"/>
  <c r="AED56" i="3" s="1"/>
  <c r="ADN40" i="3"/>
  <c r="ADN56" i="3" s="1"/>
  <c r="ACX40" i="3"/>
  <c r="ACX56" i="3" s="1"/>
  <c r="ACH40" i="3"/>
  <c r="ACH56" i="3" s="1"/>
  <c r="ABR40" i="3"/>
  <c r="ABR56" i="3" s="1"/>
  <c r="ABB40" i="3"/>
  <c r="ABB56" i="3" s="1"/>
  <c r="AAL40" i="3"/>
  <c r="AAL56" i="3" s="1"/>
  <c r="ZV40" i="3"/>
  <c r="ZV56" i="3" s="1"/>
  <c r="ZF40" i="3"/>
  <c r="ZF56" i="3" s="1"/>
  <c r="YP40" i="3"/>
  <c r="YP56" i="3" s="1"/>
  <c r="XZ40" i="3"/>
  <c r="XZ56" i="3" s="1"/>
  <c r="XJ40" i="3"/>
  <c r="XJ56" i="3" s="1"/>
  <c r="WT40" i="3"/>
  <c r="WT56" i="3" s="1"/>
  <c r="WD40" i="3"/>
  <c r="WD56" i="3" s="1"/>
  <c r="VN40" i="3"/>
  <c r="VN56" i="3" s="1"/>
  <c r="UX40" i="3"/>
  <c r="UX56" i="3" s="1"/>
  <c r="UH40" i="3"/>
  <c r="UH56" i="3" s="1"/>
  <c r="TR40" i="3"/>
  <c r="TR56" i="3" s="1"/>
  <c r="TB40" i="3"/>
  <c r="TB56" i="3" s="1"/>
  <c r="SL40" i="3"/>
  <c r="SL56" i="3" s="1"/>
  <c r="RV40" i="3"/>
  <c r="RF40" i="3"/>
  <c r="QP40" i="3"/>
  <c r="QP56" i="3" s="1"/>
  <c r="PZ40" i="3"/>
  <c r="PZ56" i="3" s="1"/>
  <c r="PJ40" i="3"/>
  <c r="OT40" i="3"/>
  <c r="OD40" i="3"/>
  <c r="NN40" i="3"/>
  <c r="MX40" i="3"/>
  <c r="MX56" i="3" s="1"/>
  <c r="MH40" i="3"/>
  <c r="LH40" i="3"/>
  <c r="LH56" i="3" s="1"/>
  <c r="KB40" i="3"/>
  <c r="IV40" i="3"/>
  <c r="HP40" i="3"/>
  <c r="HP56" i="3" s="1"/>
  <c r="FY40" i="3"/>
  <c r="DM40" i="3"/>
  <c r="BA40" i="3"/>
  <c r="ALD40" i="3"/>
  <c r="ALD56" i="3" s="1"/>
  <c r="AKN40" i="3"/>
  <c r="AKN56" i="3" s="1"/>
  <c r="AJX40" i="3"/>
  <c r="AJX56" i="3" s="1"/>
  <c r="AJH40" i="3"/>
  <c r="AJH56" i="3" s="1"/>
  <c r="AIR40" i="3"/>
  <c r="AIR56" i="3" s="1"/>
  <c r="AIB40" i="3"/>
  <c r="AIB56" i="3" s="1"/>
  <c r="AHL40" i="3"/>
  <c r="AHL56" i="3" s="1"/>
  <c r="AGV40" i="3"/>
  <c r="AGV56" i="3" s="1"/>
  <c r="AGF40" i="3"/>
  <c r="AGF56" i="3" s="1"/>
  <c r="AFP40" i="3"/>
  <c r="AFP56" i="3" s="1"/>
  <c r="AEZ40" i="3"/>
  <c r="AEZ56" i="3" s="1"/>
  <c r="AEJ40" i="3"/>
  <c r="AEJ56" i="3" s="1"/>
  <c r="ADT40" i="3"/>
  <c r="ADT56" i="3" s="1"/>
  <c r="ADD40" i="3"/>
  <c r="ADD56" i="3" s="1"/>
  <c r="ACN40" i="3"/>
  <c r="ACN56" i="3" s="1"/>
  <c r="ABX40" i="3"/>
  <c r="ABX56" i="3" s="1"/>
  <c r="ABH40" i="3"/>
  <c r="ABH56" i="3" s="1"/>
  <c r="AAR40" i="3"/>
  <c r="AAR56" i="3" s="1"/>
  <c r="AAB40" i="3"/>
  <c r="AAB56" i="3" s="1"/>
  <c r="ZL40" i="3"/>
  <c r="ZL56" i="3" s="1"/>
  <c r="YV40" i="3"/>
  <c r="YV56" i="3" s="1"/>
  <c r="YF40" i="3"/>
  <c r="YF56" i="3" s="1"/>
  <c r="XP40" i="3"/>
  <c r="XP56" i="3" s="1"/>
  <c r="WZ40" i="3"/>
  <c r="WZ56" i="3" s="1"/>
  <c r="WJ40" i="3"/>
  <c r="WJ56" i="3" s="1"/>
  <c r="VT40" i="3"/>
  <c r="VT56" i="3" s="1"/>
  <c r="VD40" i="3"/>
  <c r="VD56" i="3" s="1"/>
  <c r="UN40" i="3"/>
  <c r="UN56" i="3" s="1"/>
  <c r="TX40" i="3"/>
  <c r="TX56" i="3" s="1"/>
  <c r="TH40" i="3"/>
  <c r="TH56" i="3" s="1"/>
  <c r="SR40" i="3"/>
  <c r="SR56" i="3" s="1"/>
  <c r="SB40" i="3"/>
  <c r="RL40" i="3"/>
  <c r="RL56" i="3" s="1"/>
  <c r="QV40" i="3"/>
  <c r="QF40" i="3"/>
  <c r="PP40" i="3"/>
  <c r="OZ40" i="3"/>
  <c r="OJ40" i="3"/>
  <c r="NT40" i="3"/>
  <c r="ND40" i="3"/>
  <c r="ND56" i="3" s="1"/>
  <c r="MN40" i="3"/>
  <c r="LT40" i="3"/>
  <c r="LT56" i="3" s="1"/>
  <c r="KN40" i="3"/>
  <c r="JH40" i="3"/>
  <c r="IB40" i="3"/>
  <c r="GV40" i="3"/>
  <c r="GV56" i="3" s="1"/>
  <c r="EK40" i="3"/>
  <c r="BY40" i="3"/>
  <c r="M40" i="3"/>
  <c r="ALG40" i="3"/>
  <c r="ALG56" i="3" s="1"/>
  <c r="AKQ40" i="3"/>
  <c r="AKQ56" i="3" s="1"/>
  <c r="AKA40" i="3"/>
  <c r="AKA56" i="3" s="1"/>
  <c r="AJK40" i="3"/>
  <c r="AJK56" i="3" s="1"/>
  <c r="AIU40" i="3"/>
  <c r="AIU56" i="3" s="1"/>
  <c r="AIE40" i="3"/>
  <c r="AIE56" i="3" s="1"/>
  <c r="AHO40" i="3"/>
  <c r="AHO56" i="3" s="1"/>
  <c r="AGY40" i="3"/>
  <c r="AGY56" i="3" s="1"/>
  <c r="AGI40" i="3"/>
  <c r="AGI56" i="3" s="1"/>
  <c r="AFS40" i="3"/>
  <c r="AFS56" i="3" s="1"/>
  <c r="AFC40" i="3"/>
  <c r="AFC56" i="3" s="1"/>
  <c r="AEM40" i="3"/>
  <c r="AEM56" i="3" s="1"/>
  <c r="ADW40" i="3"/>
  <c r="ADW56" i="3" s="1"/>
  <c r="ADG40" i="3"/>
  <c r="ADG56" i="3" s="1"/>
  <c r="ACQ40" i="3"/>
  <c r="ACQ56" i="3" s="1"/>
  <c r="ACA40" i="3"/>
  <c r="ACA56" i="3" s="1"/>
  <c r="ABK40" i="3"/>
  <c r="ABK56" i="3" s="1"/>
  <c r="AAU40" i="3"/>
  <c r="AAU56" i="3" s="1"/>
  <c r="AAE40" i="3"/>
  <c r="AAE56" i="3" s="1"/>
  <c r="ZO40" i="3"/>
  <c r="ZO56" i="3" s="1"/>
  <c r="YY40" i="3"/>
  <c r="YY56" i="3" s="1"/>
  <c r="YI40" i="3"/>
  <c r="YI56" i="3" s="1"/>
  <c r="XS40" i="3"/>
  <c r="XS56" i="3" s="1"/>
  <c r="XC40" i="3"/>
  <c r="XC56" i="3" s="1"/>
  <c r="WM40" i="3"/>
  <c r="WM56" i="3" s="1"/>
  <c r="VW40" i="3"/>
  <c r="VW56" i="3" s="1"/>
  <c r="VG40" i="3"/>
  <c r="VG56" i="3" s="1"/>
  <c r="UQ40" i="3"/>
  <c r="UQ56" i="3" s="1"/>
  <c r="UA40" i="3"/>
  <c r="UA56" i="3" s="1"/>
  <c r="TK40" i="3"/>
  <c r="TK56" i="3" s="1"/>
  <c r="SU40" i="3"/>
  <c r="SU56" i="3" s="1"/>
  <c r="SE40" i="3"/>
  <c r="RO40" i="3"/>
  <c r="QY40" i="3"/>
  <c r="QI40" i="3"/>
  <c r="PS40" i="3"/>
  <c r="PC40" i="3"/>
  <c r="OM40" i="3"/>
  <c r="NW40" i="3"/>
  <c r="NG40" i="3"/>
  <c r="MQ40" i="3"/>
  <c r="LY40" i="3"/>
  <c r="KS40" i="3"/>
  <c r="JM40" i="3"/>
  <c r="IG40" i="3"/>
  <c r="IG56" i="3" s="1"/>
  <c r="HA40" i="3"/>
  <c r="EW40" i="3"/>
  <c r="CK40" i="3"/>
  <c r="Y40" i="3"/>
  <c r="EO40" i="3"/>
  <c r="KO40" i="3"/>
  <c r="NU40" i="3"/>
  <c r="QG40" i="3"/>
  <c r="SS40" i="3"/>
  <c r="SS56" i="3" s="1"/>
  <c r="VE40" i="3"/>
  <c r="VE56" i="3" s="1"/>
  <c r="XQ40" i="3"/>
  <c r="XQ56" i="3" s="1"/>
  <c r="AAC40" i="3"/>
  <c r="AAC56" i="3" s="1"/>
  <c r="ACO40" i="3"/>
  <c r="ACO56" i="3" s="1"/>
  <c r="AFA40" i="3"/>
  <c r="AFA56" i="3" s="1"/>
  <c r="AHM40" i="3"/>
  <c r="AHM56" i="3" s="1"/>
  <c r="AJY40" i="3"/>
  <c r="AJY56" i="3" s="1"/>
  <c r="AG40" i="3"/>
  <c r="IK40" i="3"/>
  <c r="MS40" i="3"/>
  <c r="PE40" i="3"/>
  <c r="RQ40" i="3"/>
  <c r="UC40" i="3"/>
  <c r="UC56" i="3" s="1"/>
  <c r="WO40" i="3"/>
  <c r="WO56" i="3" s="1"/>
  <c r="ZA40" i="3"/>
  <c r="ZA56" i="3" s="1"/>
  <c r="ABM40" i="3"/>
  <c r="ABM56" i="3" s="1"/>
  <c r="ADY40" i="3"/>
  <c r="ADY56" i="3" s="1"/>
  <c r="AGK40" i="3"/>
  <c r="AGK56" i="3" s="1"/>
  <c r="AIW40" i="3"/>
  <c r="AIW56" i="3" s="1"/>
  <c r="ALI40" i="3"/>
  <c r="ALI56" i="3" s="1"/>
  <c r="V40" i="3"/>
  <c r="AL40" i="3"/>
  <c r="BB40" i="3"/>
  <c r="BR40" i="3"/>
  <c r="CH40" i="3"/>
  <c r="CX40" i="3"/>
  <c r="DN40" i="3"/>
  <c r="ED40" i="3"/>
  <c r="ED56" i="3" s="1"/>
  <c r="ET40" i="3"/>
  <c r="FJ40" i="3"/>
  <c r="FZ40" i="3"/>
  <c r="FZ56" i="3" s="1"/>
  <c r="GP40" i="3"/>
  <c r="HF40" i="3"/>
  <c r="HV40" i="3"/>
  <c r="IL40" i="3"/>
  <c r="JB40" i="3"/>
  <c r="JR40" i="3"/>
  <c r="KH40" i="3"/>
  <c r="KX40" i="3"/>
  <c r="LN40" i="3"/>
  <c r="S40" i="3"/>
  <c r="S56" i="3" s="1"/>
  <c r="AI40" i="3"/>
  <c r="AY40" i="3"/>
  <c r="AY56" i="3" s="1"/>
  <c r="BO40" i="3"/>
  <c r="CE40" i="3"/>
  <c r="CU40" i="3"/>
  <c r="DK40" i="3"/>
  <c r="EA40" i="3"/>
  <c r="EQ40" i="3"/>
  <c r="EQ56" i="3" s="1"/>
  <c r="FG40" i="3"/>
  <c r="FG56" i="3" s="1"/>
  <c r="FW40" i="3"/>
  <c r="GM40" i="3"/>
  <c r="GM56" i="3" s="1"/>
  <c r="HC40" i="3"/>
  <c r="HS40" i="3"/>
  <c r="II40" i="3"/>
  <c r="II56" i="3" s="1"/>
  <c r="IY40" i="3"/>
  <c r="IY56" i="3" s="1"/>
  <c r="JO40" i="3"/>
  <c r="KE40" i="3"/>
  <c r="KU40" i="3"/>
  <c r="LK40" i="3"/>
  <c r="MA40" i="3"/>
  <c r="P40" i="3"/>
  <c r="AF40" i="3"/>
  <c r="AF56" i="3" s="1"/>
  <c r="AV40" i="3"/>
  <c r="BL40" i="3"/>
  <c r="BL56" i="3" s="1"/>
  <c r="CB40" i="3"/>
  <c r="CR40" i="3"/>
  <c r="CR56" i="3" s="1"/>
  <c r="DH40" i="3"/>
  <c r="DH56" i="3" s="1"/>
  <c r="DX40" i="3"/>
  <c r="EN40" i="3"/>
  <c r="FD40" i="3"/>
  <c r="FT40" i="3"/>
  <c r="FT56" i="3" s="1"/>
  <c r="GJ40" i="3"/>
  <c r="HM40" i="3"/>
  <c r="MG40" i="3"/>
  <c r="MG56" i="3" s="1"/>
  <c r="OS40" i="3"/>
  <c r="RE40" i="3"/>
  <c r="TQ40" i="3"/>
  <c r="TQ56" i="3" s="1"/>
  <c r="WC40" i="3"/>
  <c r="WC56" i="3" s="1"/>
  <c r="YO40" i="3"/>
  <c r="YO56" i="3" s="1"/>
  <c r="ABA40" i="3"/>
  <c r="ABA56" i="3" s="1"/>
  <c r="ADM40" i="3"/>
  <c r="ADM56" i="3" s="1"/>
  <c r="AFY40" i="3"/>
  <c r="AFY56" i="3" s="1"/>
  <c r="AIK40" i="3"/>
  <c r="AIK56" i="3" s="1"/>
  <c r="AKW40" i="3"/>
  <c r="AKW56" i="3" s="1"/>
  <c r="JA40" i="3"/>
  <c r="NA40" i="3"/>
  <c r="PM40" i="3"/>
  <c r="RY40" i="3"/>
  <c r="UK40" i="3"/>
  <c r="UK56" i="3" s="1"/>
  <c r="WW40" i="3"/>
  <c r="WW56" i="3" s="1"/>
  <c r="ZI40" i="3"/>
  <c r="ZI56" i="3" s="1"/>
  <c r="ABU40" i="3"/>
  <c r="ABU56" i="3" s="1"/>
  <c r="AEG40" i="3"/>
  <c r="AEG56" i="3" s="1"/>
  <c r="AGS40" i="3"/>
  <c r="AGS56" i="3" s="1"/>
  <c r="AJE40" i="3"/>
  <c r="AJE56" i="3" s="1"/>
  <c r="ALJ40" i="3"/>
  <c r="ALJ56" i="3" s="1"/>
  <c r="AKT40" i="3"/>
  <c r="AKT56" i="3" s="1"/>
  <c r="AKD40" i="3"/>
  <c r="AKD56" i="3" s="1"/>
  <c r="AJN40" i="3"/>
  <c r="AJN56" i="3" s="1"/>
  <c r="AIX40" i="3"/>
  <c r="AIX56" i="3" s="1"/>
  <c r="AIH40" i="3"/>
  <c r="AIH56" i="3" s="1"/>
  <c r="AHR40" i="3"/>
  <c r="AHR56" i="3" s="1"/>
  <c r="AHB40" i="3"/>
  <c r="AHB56" i="3" s="1"/>
  <c r="AGL40" i="3"/>
  <c r="AGL56" i="3" s="1"/>
  <c r="AFV40" i="3"/>
  <c r="AFV56" i="3" s="1"/>
  <c r="AFF40" i="3"/>
  <c r="AFF56" i="3" s="1"/>
  <c r="AEP40" i="3"/>
  <c r="AEP56" i="3" s="1"/>
  <c r="ADZ40" i="3"/>
  <c r="ADZ56" i="3" s="1"/>
  <c r="ADJ40" i="3"/>
  <c r="ADJ56" i="3" s="1"/>
  <c r="ACT40" i="3"/>
  <c r="ACT56" i="3" s="1"/>
  <c r="ACD40" i="3"/>
  <c r="ACD56" i="3" s="1"/>
  <c r="ABN40" i="3"/>
  <c r="ABN56" i="3" s="1"/>
  <c r="AAX40" i="3"/>
  <c r="AAX56" i="3" s="1"/>
  <c r="AAH40" i="3"/>
  <c r="AAH56" i="3" s="1"/>
  <c r="ZR40" i="3"/>
  <c r="ZR56" i="3" s="1"/>
  <c r="ZB40" i="3"/>
  <c r="ZB56" i="3" s="1"/>
  <c r="YL40" i="3"/>
  <c r="YL56" i="3" s="1"/>
  <c r="XV40" i="3"/>
  <c r="XV56" i="3" s="1"/>
  <c r="XF40" i="3"/>
  <c r="XF56" i="3" s="1"/>
  <c r="WP40" i="3"/>
  <c r="WP56" i="3" s="1"/>
  <c r="VZ40" i="3"/>
  <c r="VZ56" i="3" s="1"/>
  <c r="VJ40" i="3"/>
  <c r="VJ56" i="3" s="1"/>
  <c r="UT40" i="3"/>
  <c r="UT56" i="3" s="1"/>
  <c r="UD40" i="3"/>
  <c r="UD56" i="3" s="1"/>
  <c r="TN40" i="3"/>
  <c r="TN56" i="3" s="1"/>
  <c r="SX40" i="3"/>
  <c r="SX56" i="3" s="1"/>
  <c r="SH40" i="3"/>
  <c r="SH56" i="3" s="1"/>
  <c r="RR40" i="3"/>
  <c r="RR56" i="3" s="1"/>
  <c r="RB40" i="3"/>
  <c r="QL40" i="3"/>
  <c r="PV40" i="3"/>
  <c r="PF40" i="3"/>
  <c r="PF56" i="3" s="1"/>
  <c r="OP40" i="3"/>
  <c r="NZ40" i="3"/>
  <c r="NZ56" i="3" s="1"/>
  <c r="NJ40" i="3"/>
  <c r="MT40" i="3"/>
  <c r="MD40" i="3"/>
  <c r="KZ40" i="3"/>
  <c r="JT40" i="3"/>
  <c r="JT56" i="3" s="1"/>
  <c r="IN40" i="3"/>
  <c r="HH40" i="3"/>
  <c r="HH56" i="3" s="1"/>
  <c r="FI40" i="3"/>
  <c r="CW40" i="3"/>
  <c r="AK40" i="3"/>
  <c r="AKZ40" i="3"/>
  <c r="AKZ56" i="3" s="1"/>
  <c r="AKJ40" i="3"/>
  <c r="AKJ56" i="3" s="1"/>
  <c r="AJT40" i="3"/>
  <c r="AJT56" i="3" s="1"/>
  <c r="AJD40" i="3"/>
  <c r="AJD56" i="3" s="1"/>
  <c r="AIN40" i="3"/>
  <c r="AIN56" i="3" s="1"/>
  <c r="AHX40" i="3"/>
  <c r="AHX56" i="3" s="1"/>
  <c r="AHH40" i="3"/>
  <c r="AHH56" i="3" s="1"/>
  <c r="AGR40" i="3"/>
  <c r="AGR56" i="3" s="1"/>
  <c r="AGB40" i="3"/>
  <c r="AGB56" i="3" s="1"/>
  <c r="AFL40" i="3"/>
  <c r="AFL56" i="3" s="1"/>
  <c r="AEV40" i="3"/>
  <c r="AEV56" i="3" s="1"/>
  <c r="AEF40" i="3"/>
  <c r="AEF56" i="3" s="1"/>
  <c r="ADP40" i="3"/>
  <c r="ADP56" i="3" s="1"/>
  <c r="ACZ40" i="3"/>
  <c r="ACZ56" i="3" s="1"/>
  <c r="ACJ40" i="3"/>
  <c r="ACJ56" i="3" s="1"/>
  <c r="ABT40" i="3"/>
  <c r="ABT56" i="3" s="1"/>
  <c r="ABD40" i="3"/>
  <c r="ABD56" i="3" s="1"/>
  <c r="AAN40" i="3"/>
  <c r="AAN56" i="3" s="1"/>
  <c r="ZX40" i="3"/>
  <c r="ZX56" i="3" s="1"/>
  <c r="ZH40" i="3"/>
  <c r="ZH56" i="3" s="1"/>
  <c r="YR40" i="3"/>
  <c r="YR56" i="3" s="1"/>
  <c r="YB40" i="3"/>
  <c r="YB56" i="3" s="1"/>
  <c r="XL40" i="3"/>
  <c r="XL56" i="3" s="1"/>
  <c r="WV40" i="3"/>
  <c r="WV56" i="3" s="1"/>
  <c r="WF40" i="3"/>
  <c r="WF56" i="3" s="1"/>
  <c r="VP40" i="3"/>
  <c r="VP56" i="3" s="1"/>
  <c r="UZ40" i="3"/>
  <c r="UZ56" i="3" s="1"/>
  <c r="UJ40" i="3"/>
  <c r="UJ56" i="3" s="1"/>
  <c r="TT40" i="3"/>
  <c r="TT56" i="3" s="1"/>
  <c r="TD40" i="3"/>
  <c r="TD56" i="3" s="1"/>
  <c r="SN40" i="3"/>
  <c r="SN56" i="3" s="1"/>
  <c r="RX40" i="3"/>
  <c r="RH40" i="3"/>
  <c r="QR40" i="3"/>
  <c r="QR56" i="3" s="1"/>
  <c r="QB40" i="3"/>
  <c r="QB56" i="3" s="1"/>
  <c r="PL40" i="3"/>
  <c r="PL56" i="3" s="1"/>
  <c r="OV40" i="3"/>
  <c r="OF40" i="3"/>
  <c r="NP40" i="3"/>
  <c r="NP56" i="3" s="1"/>
  <c r="MZ40" i="3"/>
  <c r="MZ56" i="3" s="1"/>
  <c r="MJ40" i="3"/>
  <c r="MJ56" i="3" s="1"/>
  <c r="LL40" i="3"/>
  <c r="KF40" i="3"/>
  <c r="IZ40" i="3"/>
  <c r="IZ56" i="3" s="1"/>
  <c r="HT40" i="3"/>
  <c r="GG40" i="3"/>
  <c r="DU40" i="3"/>
  <c r="BI40" i="3"/>
  <c r="ALC40" i="3"/>
  <c r="ALC56" i="3" s="1"/>
  <c r="AKM40" i="3"/>
  <c r="AKM56" i="3" s="1"/>
  <c r="AJW40" i="3"/>
  <c r="AJW56" i="3" s="1"/>
  <c r="AJG40" i="3"/>
  <c r="AJG56" i="3" s="1"/>
  <c r="AIQ40" i="3"/>
  <c r="AIQ56" i="3" s="1"/>
  <c r="AIA40" i="3"/>
  <c r="AIA56" i="3" s="1"/>
  <c r="AHK40" i="3"/>
  <c r="AHK56" i="3" s="1"/>
  <c r="AGU40" i="3"/>
  <c r="AGU56" i="3" s="1"/>
  <c r="AGE40" i="3"/>
  <c r="AGE56" i="3" s="1"/>
  <c r="AFO40" i="3"/>
  <c r="AFO56" i="3" s="1"/>
  <c r="AEY40" i="3"/>
  <c r="AEY56" i="3" s="1"/>
  <c r="AEI40" i="3"/>
  <c r="AEI56" i="3" s="1"/>
  <c r="ADS40" i="3"/>
  <c r="ADS56" i="3" s="1"/>
  <c r="ADC40" i="3"/>
  <c r="ADC56" i="3" s="1"/>
  <c r="ACM40" i="3"/>
  <c r="ACM56" i="3" s="1"/>
  <c r="ABW40" i="3"/>
  <c r="ABW56" i="3" s="1"/>
  <c r="ABG40" i="3"/>
  <c r="ABG56" i="3" s="1"/>
  <c r="AAQ40" i="3"/>
  <c r="AAQ56" i="3" s="1"/>
  <c r="AAA40" i="3"/>
  <c r="AAA56" i="3" s="1"/>
  <c r="ZK40" i="3"/>
  <c r="ZK56" i="3" s="1"/>
  <c r="YU40" i="3"/>
  <c r="YU56" i="3" s="1"/>
  <c r="YE40" i="3"/>
  <c r="YE56" i="3" s="1"/>
  <c r="XO40" i="3"/>
  <c r="XO56" i="3" s="1"/>
  <c r="WY40" i="3"/>
  <c r="WY56" i="3" s="1"/>
  <c r="WI40" i="3"/>
  <c r="WI56" i="3" s="1"/>
  <c r="VS40" i="3"/>
  <c r="VS56" i="3" s="1"/>
  <c r="VC40" i="3"/>
  <c r="VC56" i="3" s="1"/>
  <c r="UM40" i="3"/>
  <c r="UM56" i="3" s="1"/>
  <c r="TW40" i="3"/>
  <c r="TW56" i="3" s="1"/>
  <c r="TG40" i="3"/>
  <c r="TG56" i="3" s="1"/>
  <c r="SQ40" i="3"/>
  <c r="SQ56" i="3" s="1"/>
  <c r="SA40" i="3"/>
  <c r="RK40" i="3"/>
  <c r="QU40" i="3"/>
  <c r="QE40" i="3"/>
  <c r="QE56" i="3" s="1"/>
  <c r="PO40" i="3"/>
  <c r="OY40" i="3"/>
  <c r="OI40" i="3"/>
  <c r="NS40" i="3"/>
  <c r="NC40" i="3"/>
  <c r="MM40" i="3"/>
  <c r="LQ40" i="3"/>
  <c r="KK40" i="3"/>
  <c r="JE40" i="3"/>
  <c r="HY40" i="3"/>
  <c r="GS40" i="3"/>
  <c r="EG40" i="3"/>
  <c r="BU40" i="3"/>
  <c r="GW40" i="3"/>
  <c r="LU40" i="3"/>
  <c r="OK40" i="3"/>
  <c r="QW40" i="3"/>
  <c r="TI40" i="3"/>
  <c r="TI56" i="3" s="1"/>
  <c r="VU40" i="3"/>
  <c r="VU56" i="3" s="1"/>
  <c r="YG40" i="3"/>
  <c r="YG56" i="3" s="1"/>
  <c r="AAS40" i="3"/>
  <c r="AAS56" i="3" s="1"/>
  <c r="ADE40" i="3"/>
  <c r="ADE56" i="3" s="1"/>
  <c r="AFQ40" i="3"/>
  <c r="AFQ56" i="3" s="1"/>
  <c r="AIC40" i="3"/>
  <c r="AIC56" i="3" s="1"/>
  <c r="AKO40" i="3"/>
  <c r="AKO56" i="3" s="1"/>
  <c r="CS40" i="3"/>
  <c r="JQ40" i="3"/>
  <c r="NI40" i="3"/>
  <c r="PU40" i="3"/>
  <c r="SG40" i="3"/>
  <c r="US40" i="3"/>
  <c r="US56" i="3" s="1"/>
  <c r="XE40" i="3"/>
  <c r="XE56" i="3" s="1"/>
  <c r="ZQ40" i="3"/>
  <c r="ZQ56" i="3" s="1"/>
  <c r="ACC40" i="3"/>
  <c r="ACC56" i="3" s="1"/>
  <c r="AEO40" i="3"/>
  <c r="AEO56" i="3" s="1"/>
  <c r="AHA40" i="3"/>
  <c r="AHA56" i="3" s="1"/>
  <c r="AJM40" i="3"/>
  <c r="AJM56" i="3" s="1"/>
  <c r="Z40" i="3"/>
  <c r="AP40" i="3"/>
  <c r="BF40" i="3"/>
  <c r="BV40" i="3"/>
  <c r="CL40" i="3"/>
  <c r="DB40" i="3"/>
  <c r="DR40" i="3"/>
  <c r="DR56" i="3" s="1"/>
  <c r="EH40" i="3"/>
  <c r="EX40" i="3"/>
  <c r="FN40" i="3"/>
  <c r="GD40" i="3"/>
  <c r="GT40" i="3"/>
  <c r="HJ40" i="3"/>
  <c r="HZ40" i="3"/>
  <c r="IP40" i="3"/>
  <c r="JF40" i="3"/>
  <c r="JV40" i="3"/>
  <c r="JV56" i="3" s="1"/>
  <c r="KL40" i="3"/>
  <c r="LB40" i="3"/>
  <c r="LR40" i="3"/>
  <c r="W40" i="3"/>
  <c r="W56" i="3" s="1"/>
  <c r="AM40" i="3"/>
  <c r="BC40" i="3"/>
  <c r="BS40" i="3"/>
  <c r="CI40" i="3"/>
  <c r="CY40" i="3"/>
  <c r="CY56" i="3" s="1"/>
  <c r="DO40" i="3"/>
  <c r="EE40" i="3"/>
  <c r="EU40" i="3"/>
  <c r="FK40" i="3"/>
  <c r="GA40" i="3"/>
  <c r="GQ40" i="3"/>
  <c r="HG40" i="3"/>
  <c r="HG56" i="3" s="1"/>
  <c r="HW40" i="3"/>
  <c r="IM40" i="3"/>
  <c r="JC40" i="3"/>
  <c r="JS40" i="3"/>
  <c r="KI40" i="3"/>
  <c r="KI56" i="3" s="1"/>
  <c r="KY40" i="3"/>
  <c r="KY56" i="3" s="1"/>
  <c r="LO40" i="3"/>
  <c r="D40" i="3"/>
  <c r="D56" i="3" s="1"/>
  <c r="T40" i="3"/>
  <c r="AJ40" i="3"/>
  <c r="AZ40" i="3"/>
  <c r="BP40" i="3"/>
  <c r="CF40" i="3"/>
  <c r="CF56" i="3" s="1"/>
  <c r="CV40" i="3"/>
  <c r="DL40" i="3"/>
  <c r="EB40" i="3"/>
  <c r="ER40" i="3"/>
  <c r="FH40" i="3"/>
  <c r="FH56" i="3" s="1"/>
  <c r="FX40" i="3"/>
  <c r="GN40" i="3"/>
  <c r="AW40" i="3"/>
  <c r="IS40" i="3"/>
  <c r="MW40" i="3"/>
  <c r="PI40" i="3"/>
  <c r="RU40" i="3"/>
  <c r="UG40" i="3"/>
  <c r="UG56" i="3" s="1"/>
  <c r="WS40" i="3"/>
  <c r="WS56" i="3" s="1"/>
  <c r="ZE40" i="3"/>
  <c r="ZE56" i="3" s="1"/>
  <c r="ABQ40" i="3"/>
  <c r="ABQ56" i="3" s="1"/>
  <c r="AEC40" i="3"/>
  <c r="AEC56" i="3" s="1"/>
  <c r="AGO40" i="3"/>
  <c r="AGO56" i="3" s="1"/>
  <c r="AJA40" i="3"/>
  <c r="AJA56" i="3" s="1"/>
  <c r="ALM40" i="3"/>
  <c r="ALM56" i="3" s="1"/>
  <c r="KG40" i="3"/>
  <c r="NQ40" i="3"/>
  <c r="QC40" i="3"/>
  <c r="SO40" i="3"/>
  <c r="SO56" i="3" s="1"/>
  <c r="VA40" i="3"/>
  <c r="VA56" i="3" s="1"/>
  <c r="XM40" i="3"/>
  <c r="XM56" i="3" s="1"/>
  <c r="ZY40" i="3"/>
  <c r="ZY56" i="3" s="1"/>
  <c r="ACK40" i="3"/>
  <c r="ACK56" i="3" s="1"/>
  <c r="AEW40" i="3"/>
  <c r="AEW56" i="3" s="1"/>
  <c r="AHI40" i="3"/>
  <c r="AHI56" i="3" s="1"/>
  <c r="AJU40" i="3"/>
  <c r="AJU56" i="3" s="1"/>
  <c r="ALF40" i="3"/>
  <c r="ALF56" i="3" s="1"/>
  <c r="AKP40" i="3"/>
  <c r="AKP56" i="3" s="1"/>
  <c r="AJZ40" i="3"/>
  <c r="AJZ56" i="3" s="1"/>
  <c r="AJJ40" i="3"/>
  <c r="AJJ56" i="3" s="1"/>
  <c r="AIT40" i="3"/>
  <c r="AIT56" i="3" s="1"/>
  <c r="AID40" i="3"/>
  <c r="AID56" i="3" s="1"/>
  <c r="AHN40" i="3"/>
  <c r="AHN56" i="3" s="1"/>
  <c r="AGX40" i="3"/>
  <c r="AGX56" i="3" s="1"/>
  <c r="AGH40" i="3"/>
  <c r="AGH56" i="3" s="1"/>
  <c r="AFR40" i="3"/>
  <c r="AFR56" i="3" s="1"/>
  <c r="AFB40" i="3"/>
  <c r="AFB56" i="3" s="1"/>
  <c r="AEL40" i="3"/>
  <c r="AEL56" i="3" s="1"/>
  <c r="ADV40" i="3"/>
  <c r="ADV56" i="3" s="1"/>
  <c r="ADF40" i="3"/>
  <c r="ADF56" i="3" s="1"/>
  <c r="ACP40" i="3"/>
  <c r="ACP56" i="3" s="1"/>
  <c r="ABZ40" i="3"/>
  <c r="ABZ56" i="3" s="1"/>
  <c r="ABJ40" i="3"/>
  <c r="ABJ56" i="3" s="1"/>
  <c r="AAT40" i="3"/>
  <c r="AAT56" i="3" s="1"/>
  <c r="AAD40" i="3"/>
  <c r="AAD56" i="3" s="1"/>
  <c r="ZN40" i="3"/>
  <c r="ZN56" i="3" s="1"/>
  <c r="YX40" i="3"/>
  <c r="YX56" i="3" s="1"/>
  <c r="YH40" i="3"/>
  <c r="YH56" i="3" s="1"/>
  <c r="XR40" i="3"/>
  <c r="XR56" i="3" s="1"/>
  <c r="XB40" i="3"/>
  <c r="XB56" i="3" s="1"/>
  <c r="WL40" i="3"/>
  <c r="WL56" i="3" s="1"/>
  <c r="VV40" i="3"/>
  <c r="VV56" i="3" s="1"/>
  <c r="VF40" i="3"/>
  <c r="VF56" i="3" s="1"/>
  <c r="UP40" i="3"/>
  <c r="UP56" i="3" s="1"/>
  <c r="TZ40" i="3"/>
  <c r="TZ56" i="3" s="1"/>
  <c r="TJ40" i="3"/>
  <c r="TJ56" i="3" s="1"/>
  <c r="ST40" i="3"/>
  <c r="ST56" i="3" s="1"/>
  <c r="SD40" i="3"/>
  <c r="RN40" i="3"/>
  <c r="QX40" i="3"/>
  <c r="QH40" i="3"/>
  <c r="PR40" i="3"/>
  <c r="PB40" i="3"/>
  <c r="OL40" i="3"/>
  <c r="OL56" i="3" s="1"/>
  <c r="NV40" i="3"/>
  <c r="NV56" i="3" s="1"/>
  <c r="NF40" i="3"/>
  <c r="MP40" i="3"/>
  <c r="LX40" i="3"/>
  <c r="LX56" i="3" s="1"/>
  <c r="KR40" i="3"/>
  <c r="KR56" i="3" s="1"/>
  <c r="JL40" i="3"/>
  <c r="JL56" i="3" s="1"/>
  <c r="IF40" i="3"/>
  <c r="IF56" i="3" s="1"/>
  <c r="GZ40" i="3"/>
  <c r="GZ56" i="3" s="1"/>
  <c r="ES40" i="3"/>
  <c r="CG40" i="3"/>
  <c r="U40" i="3"/>
  <c r="ALL40" i="3"/>
  <c r="ALL56" i="3" s="1"/>
  <c r="AKV40" i="3"/>
  <c r="AKV56" i="3" s="1"/>
  <c r="AKF40" i="3"/>
  <c r="AKF56" i="3" s="1"/>
  <c r="AJP40" i="3"/>
  <c r="AJP56" i="3" s="1"/>
  <c r="AIZ40" i="3"/>
  <c r="AIZ56" i="3" s="1"/>
  <c r="AIJ40" i="3"/>
  <c r="AIJ56" i="3" s="1"/>
  <c r="AHT40" i="3"/>
  <c r="AHT56" i="3" s="1"/>
  <c r="AHD40" i="3"/>
  <c r="AHD56" i="3" s="1"/>
  <c r="AGN40" i="3"/>
  <c r="AGN56" i="3" s="1"/>
  <c r="AFX40" i="3"/>
  <c r="AFX56" i="3" s="1"/>
  <c r="AFH40" i="3"/>
  <c r="AFH56" i="3" s="1"/>
  <c r="AER40" i="3"/>
  <c r="AER56" i="3" s="1"/>
  <c r="AEB40" i="3"/>
  <c r="AEB56" i="3" s="1"/>
  <c r="ADL40" i="3"/>
  <c r="ADL56" i="3" s="1"/>
  <c r="ACV40" i="3"/>
  <c r="ACV56" i="3" s="1"/>
  <c r="ACF40" i="3"/>
  <c r="ACF56" i="3" s="1"/>
  <c r="ABP40" i="3"/>
  <c r="ABP56" i="3" s="1"/>
  <c r="AAZ40" i="3"/>
  <c r="AAZ56" i="3" s="1"/>
  <c r="AAJ40" i="3"/>
  <c r="AAJ56" i="3" s="1"/>
  <c r="ZT40" i="3"/>
  <c r="ZT56" i="3" s="1"/>
  <c r="ZD40" i="3"/>
  <c r="ZD56" i="3" s="1"/>
  <c r="YN40" i="3"/>
  <c r="YN56" i="3" s="1"/>
  <c r="XX40" i="3"/>
  <c r="XX56" i="3" s="1"/>
  <c r="XH40" i="3"/>
  <c r="XH56" i="3" s="1"/>
  <c r="WR40" i="3"/>
  <c r="WR56" i="3" s="1"/>
  <c r="WB40" i="3"/>
  <c r="WB56" i="3" s="1"/>
  <c r="VL40" i="3"/>
  <c r="VL56" i="3" s="1"/>
  <c r="UV40" i="3"/>
  <c r="UV56" i="3" s="1"/>
  <c r="UF40" i="3"/>
  <c r="UF56" i="3" s="1"/>
  <c r="TP40" i="3"/>
  <c r="TP56" i="3" s="1"/>
  <c r="SZ40" i="3"/>
  <c r="SZ56" i="3" s="1"/>
  <c r="SJ40" i="3"/>
  <c r="SJ56" i="3" s="1"/>
  <c r="RT40" i="3"/>
  <c r="RT56" i="3" s="1"/>
  <c r="RD40" i="3"/>
  <c r="RD56" i="3" s="1"/>
  <c r="QN40" i="3"/>
  <c r="PX40" i="3"/>
  <c r="PX56" i="3" s="1"/>
  <c r="PH40" i="3"/>
  <c r="OR40" i="3"/>
  <c r="OB40" i="3"/>
  <c r="NL40" i="3"/>
  <c r="NL56" i="3" s="1"/>
  <c r="MV40" i="3"/>
  <c r="MF40" i="3"/>
  <c r="LD40" i="3"/>
  <c r="LD56" i="3" s="1"/>
  <c r="JX40" i="3"/>
  <c r="IR40" i="3"/>
  <c r="HL40" i="3"/>
  <c r="FQ40" i="3"/>
  <c r="DE40" i="3"/>
  <c r="AS40" i="3"/>
  <c r="AKY40" i="3"/>
  <c r="AKY56" i="3" s="1"/>
  <c r="AKI40" i="3"/>
  <c r="AKI56" i="3" s="1"/>
  <c r="AJS40" i="3"/>
  <c r="AJS56" i="3" s="1"/>
  <c r="AJC40" i="3"/>
  <c r="AJC56" i="3" s="1"/>
  <c r="AIM40" i="3"/>
  <c r="AIM56" i="3" s="1"/>
  <c r="AHW40" i="3"/>
  <c r="AHW56" i="3" s="1"/>
  <c r="AHG40" i="3"/>
  <c r="AHG56" i="3" s="1"/>
  <c r="AGQ40" i="3"/>
  <c r="AGQ56" i="3" s="1"/>
  <c r="AGA40" i="3"/>
  <c r="AGA56" i="3" s="1"/>
  <c r="AFK40" i="3"/>
  <c r="AFK56" i="3" s="1"/>
  <c r="AEU40" i="3"/>
  <c r="AEU56" i="3" s="1"/>
  <c r="AEE40" i="3"/>
  <c r="AEE56" i="3" s="1"/>
  <c r="ADO40" i="3"/>
  <c r="ADO56" i="3" s="1"/>
  <c r="ACY40" i="3"/>
  <c r="ACY56" i="3" s="1"/>
  <c r="ACI40" i="3"/>
  <c r="ACI56" i="3" s="1"/>
  <c r="ABS40" i="3"/>
  <c r="ABS56" i="3" s="1"/>
  <c r="ABC40" i="3"/>
  <c r="ABC56" i="3" s="1"/>
  <c r="AAM40" i="3"/>
  <c r="AAM56" i="3" s="1"/>
  <c r="ZW40" i="3"/>
  <c r="ZW56" i="3" s="1"/>
  <c r="ZG40" i="3"/>
  <c r="ZG56" i="3" s="1"/>
  <c r="YQ40" i="3"/>
  <c r="YQ56" i="3" s="1"/>
  <c r="YA40" i="3"/>
  <c r="YA56" i="3" s="1"/>
  <c r="XK40" i="3"/>
  <c r="XK56" i="3" s="1"/>
  <c r="WU40" i="3"/>
  <c r="WU56" i="3" s="1"/>
  <c r="WE40" i="3"/>
  <c r="WE56" i="3" s="1"/>
  <c r="VO40" i="3"/>
  <c r="VO56" i="3" s="1"/>
  <c r="UY40" i="3"/>
  <c r="UY56" i="3" s="1"/>
  <c r="UI40" i="3"/>
  <c r="UI56" i="3" s="1"/>
  <c r="TS40" i="3"/>
  <c r="TS56" i="3" s="1"/>
  <c r="TC40" i="3"/>
  <c r="TC56" i="3" s="1"/>
  <c r="SM40" i="3"/>
  <c r="SM56" i="3" s="1"/>
  <c r="RW40" i="3"/>
  <c r="RW56" i="3" s="1"/>
  <c r="RG40" i="3"/>
  <c r="QQ40" i="3"/>
  <c r="QA40" i="3"/>
  <c r="QA56" i="3" s="1"/>
  <c r="PK40" i="3"/>
  <c r="OU40" i="3"/>
  <c r="OE40" i="3"/>
  <c r="NO40" i="3"/>
  <c r="MY40" i="3"/>
  <c r="MY56" i="3" s="1"/>
  <c r="MI40" i="3"/>
  <c r="LI40" i="3"/>
  <c r="KC40" i="3"/>
  <c r="KC56" i="3" s="1"/>
  <c r="IW40" i="3"/>
  <c r="HQ40" i="3"/>
  <c r="GC40" i="3"/>
  <c r="DQ40" i="3"/>
  <c r="BE40" i="3"/>
  <c r="B41" i="3"/>
  <c r="B57" i="3" s="1"/>
  <c r="B40" i="3"/>
  <c r="B56" i="3" s="1"/>
  <c r="B38" i="3"/>
  <c r="B37" i="3"/>
  <c r="B29" i="3"/>
  <c r="B45" i="3" s="1"/>
  <c r="IC40" i="3"/>
  <c r="MO40" i="3"/>
  <c r="PA40" i="3"/>
  <c r="RM40" i="3"/>
  <c r="TY40" i="3"/>
  <c r="TY56" i="3" s="1"/>
  <c r="WK40" i="3"/>
  <c r="WK56" i="3" s="1"/>
  <c r="YW40" i="3"/>
  <c r="YW56" i="3" s="1"/>
  <c r="ABI40" i="3"/>
  <c r="ABI56" i="3" s="1"/>
  <c r="ADU40" i="3"/>
  <c r="ADU56" i="3" s="1"/>
  <c r="AGG40" i="3"/>
  <c r="AGG56" i="3" s="1"/>
  <c r="AIS40" i="3"/>
  <c r="AIS56" i="3" s="1"/>
  <c r="ALE40" i="3"/>
  <c r="ALE56" i="3" s="1"/>
  <c r="DY40" i="3"/>
  <c r="FE40" i="3"/>
  <c r="KW40" i="3"/>
  <c r="NY40" i="3"/>
  <c r="QK40" i="3"/>
  <c r="QK56" i="3" s="1"/>
  <c r="SW40" i="3"/>
  <c r="SW56" i="3" s="1"/>
  <c r="VI40" i="3"/>
  <c r="VI56" i="3" s="1"/>
  <c r="XU40" i="3"/>
  <c r="XU56" i="3" s="1"/>
  <c r="AAG40" i="3"/>
  <c r="AAG56" i="3" s="1"/>
  <c r="ACS40" i="3"/>
  <c r="ACS56" i="3" s="1"/>
  <c r="AFE40" i="3"/>
  <c r="AFE56" i="3" s="1"/>
  <c r="AHQ40" i="3"/>
  <c r="AHQ56" i="3" s="1"/>
  <c r="AKC40" i="3"/>
  <c r="AKC56" i="3" s="1"/>
  <c r="Q40" i="3"/>
  <c r="N40" i="3"/>
  <c r="AD40" i="3"/>
  <c r="AT40" i="3"/>
  <c r="BJ40" i="3"/>
  <c r="BZ40" i="3"/>
  <c r="CP40" i="3"/>
  <c r="DF40" i="3"/>
  <c r="DV40" i="3"/>
  <c r="EL40" i="3"/>
  <c r="FB40" i="3"/>
  <c r="FR40" i="3"/>
  <c r="GH40" i="3"/>
  <c r="GX40" i="3"/>
  <c r="HN40" i="3"/>
  <c r="ID40" i="3"/>
  <c r="IT40" i="3"/>
  <c r="JJ40" i="3"/>
  <c r="JJ56" i="3" s="1"/>
  <c r="JZ40" i="3"/>
  <c r="KP40" i="3"/>
  <c r="LF40" i="3"/>
  <c r="LV40" i="3"/>
  <c r="K40" i="3"/>
  <c r="AA40" i="3"/>
  <c r="AQ40" i="3"/>
  <c r="BG40" i="3"/>
  <c r="BG56" i="3" s="1"/>
  <c r="BW40" i="3"/>
  <c r="CM40" i="3"/>
  <c r="DC40" i="3"/>
  <c r="DC56" i="3" s="1"/>
  <c r="DS40" i="3"/>
  <c r="EI40" i="3"/>
  <c r="EI56" i="3" s="1"/>
  <c r="EY40" i="3"/>
  <c r="EY56" i="3" s="1"/>
  <c r="FO40" i="3"/>
  <c r="GE40" i="3"/>
  <c r="GE56" i="3" s="1"/>
  <c r="GU40" i="3"/>
  <c r="HK40" i="3"/>
  <c r="IA40" i="3"/>
  <c r="IA56" i="3" s="1"/>
  <c r="IQ40" i="3"/>
  <c r="JG40" i="3"/>
  <c r="JG56" i="3" s="1"/>
  <c r="JW40" i="3"/>
  <c r="KM40" i="3"/>
  <c r="LC40" i="3"/>
  <c r="LC56" i="3" s="1"/>
  <c r="LS40" i="3"/>
  <c r="X40" i="3"/>
  <c r="X56" i="3" s="1"/>
  <c r="AN40" i="3"/>
  <c r="BD40" i="3"/>
  <c r="BD56" i="3" s="1"/>
  <c r="BT40" i="3"/>
  <c r="BT56" i="3" s="1"/>
  <c r="CJ40" i="3"/>
  <c r="CJ56" i="3" s="1"/>
  <c r="CZ40" i="3"/>
  <c r="DP40" i="3"/>
  <c r="EF40" i="3"/>
  <c r="EF56" i="3" s="1"/>
  <c r="EV40" i="3"/>
  <c r="EV56" i="3" s="1"/>
  <c r="FL40" i="3"/>
  <c r="GB40" i="3"/>
  <c r="GR40" i="3"/>
  <c r="DI40" i="3"/>
  <c r="JY40" i="3"/>
  <c r="NM40" i="3"/>
  <c r="PY40" i="3"/>
  <c r="SK40" i="3"/>
  <c r="SK56" i="3" s="1"/>
  <c r="UW40" i="3"/>
  <c r="UW56" i="3" s="1"/>
  <c r="XI40" i="3"/>
  <c r="XI56" i="3" s="1"/>
  <c r="ZU40" i="3"/>
  <c r="ZU56" i="3" s="1"/>
  <c r="ACG40" i="3"/>
  <c r="ACG56" i="3" s="1"/>
  <c r="AES40" i="3"/>
  <c r="AES56" i="3" s="1"/>
  <c r="AHE40" i="3"/>
  <c r="AHE56" i="3" s="1"/>
  <c r="AJQ40" i="3"/>
  <c r="AJQ56" i="3" s="1"/>
  <c r="BM40" i="3"/>
  <c r="LM40" i="3"/>
  <c r="OG40" i="3"/>
  <c r="QS40" i="3"/>
  <c r="TE40" i="3"/>
  <c r="TE56" i="3" s="1"/>
  <c r="VQ40" i="3"/>
  <c r="VQ56" i="3" s="1"/>
  <c r="YC40" i="3"/>
  <c r="YC56" i="3" s="1"/>
  <c r="AAO40" i="3"/>
  <c r="AAO56" i="3" s="1"/>
  <c r="ADA40" i="3"/>
  <c r="ADA56" i="3" s="1"/>
  <c r="AFM40" i="3"/>
  <c r="AFM56" i="3" s="1"/>
  <c r="AHY40" i="3"/>
  <c r="AHY56" i="3" s="1"/>
  <c r="AKK40" i="3"/>
  <c r="AKK56" i="3" s="1"/>
  <c r="ALB40" i="3"/>
  <c r="ALB56" i="3" s="1"/>
  <c r="AKL40" i="3"/>
  <c r="AKL56" i="3" s="1"/>
  <c r="AJV40" i="3"/>
  <c r="AJV56" i="3" s="1"/>
  <c r="AJF40" i="3"/>
  <c r="AJF56" i="3" s="1"/>
  <c r="AIP40" i="3"/>
  <c r="AIP56" i="3" s="1"/>
  <c r="AHZ40" i="3"/>
  <c r="AHZ56" i="3" s="1"/>
  <c r="AHJ40" i="3"/>
  <c r="AHJ56" i="3" s="1"/>
  <c r="AGT40" i="3"/>
  <c r="AGT56" i="3" s="1"/>
  <c r="AGD40" i="3"/>
  <c r="AGD56" i="3" s="1"/>
  <c r="AFN40" i="3"/>
  <c r="AFN56" i="3" s="1"/>
  <c r="AEX40" i="3"/>
  <c r="AEX56" i="3" s="1"/>
  <c r="AEH40" i="3"/>
  <c r="AEH56" i="3" s="1"/>
  <c r="ADR40" i="3"/>
  <c r="ADR56" i="3" s="1"/>
  <c r="ADB40" i="3"/>
  <c r="ADB56" i="3" s="1"/>
  <c r="ACL40" i="3"/>
  <c r="ACL56" i="3" s="1"/>
  <c r="ABV40" i="3"/>
  <c r="ABV56" i="3" s="1"/>
  <c r="ABF40" i="3"/>
  <c r="ABF56" i="3" s="1"/>
  <c r="AAP40" i="3"/>
  <c r="AAP56" i="3" s="1"/>
  <c r="ZZ40" i="3"/>
  <c r="ZZ56" i="3" s="1"/>
  <c r="ZJ40" i="3"/>
  <c r="ZJ56" i="3" s="1"/>
  <c r="YT40" i="3"/>
  <c r="YT56" i="3" s="1"/>
  <c r="YD40" i="3"/>
  <c r="YD56" i="3" s="1"/>
  <c r="XN40" i="3"/>
  <c r="XN56" i="3" s="1"/>
  <c r="WX40" i="3"/>
  <c r="WX56" i="3" s="1"/>
  <c r="WH40" i="3"/>
  <c r="WH56" i="3" s="1"/>
  <c r="VR40" i="3"/>
  <c r="VR56" i="3" s="1"/>
  <c r="VB40" i="3"/>
  <c r="VB56" i="3" s="1"/>
  <c r="UL40" i="3"/>
  <c r="UL56" i="3" s="1"/>
  <c r="TV40" i="3"/>
  <c r="TV56" i="3" s="1"/>
  <c r="TF40" i="3"/>
  <c r="TF56" i="3" s="1"/>
  <c r="SP40" i="3"/>
  <c r="SP56" i="3" s="1"/>
  <c r="RZ40" i="3"/>
  <c r="RZ56" i="3" s="1"/>
  <c r="RJ40" i="3"/>
  <c r="QT40" i="3"/>
  <c r="QT56" i="3" s="1"/>
  <c r="QD40" i="3"/>
  <c r="PN40" i="3"/>
  <c r="OX40" i="3"/>
  <c r="OH40" i="3"/>
  <c r="NR40" i="3"/>
  <c r="NR56" i="3" s="1"/>
  <c r="NB40" i="3"/>
  <c r="ML40" i="3"/>
  <c r="LP40" i="3"/>
  <c r="KJ40" i="3"/>
  <c r="JD40" i="3"/>
  <c r="JD56" i="3" s="1"/>
  <c r="HX40" i="3"/>
  <c r="HX56" i="3" s="1"/>
  <c r="GO40" i="3"/>
  <c r="EC40" i="3"/>
  <c r="BQ40" i="3"/>
  <c r="ALH40" i="3"/>
  <c r="ALH56" i="3" s="1"/>
  <c r="AKR40" i="3"/>
  <c r="AKR56" i="3" s="1"/>
  <c r="AKB40" i="3"/>
  <c r="AKB56" i="3" s="1"/>
  <c r="AJL40" i="3"/>
  <c r="AJL56" i="3" s="1"/>
  <c r="AIV40" i="3"/>
  <c r="AIV56" i="3" s="1"/>
  <c r="AIF40" i="3"/>
  <c r="AIF56" i="3" s="1"/>
  <c r="AHP40" i="3"/>
  <c r="AHP56" i="3" s="1"/>
  <c r="AGZ40" i="3"/>
  <c r="AGZ56" i="3" s="1"/>
  <c r="AGJ40" i="3"/>
  <c r="AGJ56" i="3" s="1"/>
  <c r="AFT40" i="3"/>
  <c r="AFT56" i="3" s="1"/>
  <c r="AFD40" i="3"/>
  <c r="AFD56" i="3" s="1"/>
  <c r="AEN40" i="3"/>
  <c r="AEN56" i="3" s="1"/>
  <c r="ADX40" i="3"/>
  <c r="ADX56" i="3" s="1"/>
  <c r="ADH40" i="3"/>
  <c r="ADH56" i="3" s="1"/>
  <c r="ACR40" i="3"/>
  <c r="ACR56" i="3" s="1"/>
  <c r="ACB40" i="3"/>
  <c r="ACB56" i="3" s="1"/>
  <c r="ABL40" i="3"/>
  <c r="ABL56" i="3" s="1"/>
  <c r="AAV40" i="3"/>
  <c r="AAV56" i="3" s="1"/>
  <c r="AAF40" i="3"/>
  <c r="AAF56" i="3" s="1"/>
  <c r="ZP40" i="3"/>
  <c r="ZP56" i="3" s="1"/>
  <c r="YZ40" i="3"/>
  <c r="YZ56" i="3" s="1"/>
  <c r="YJ40" i="3"/>
  <c r="YJ56" i="3" s="1"/>
  <c r="XT40" i="3"/>
  <c r="XT56" i="3" s="1"/>
  <c r="XD40" i="3"/>
  <c r="XD56" i="3" s="1"/>
  <c r="WN40" i="3"/>
  <c r="WN56" i="3" s="1"/>
  <c r="VX40" i="3"/>
  <c r="VX56" i="3" s="1"/>
  <c r="VH40" i="3"/>
  <c r="VH56" i="3" s="1"/>
  <c r="UR40" i="3"/>
  <c r="UR56" i="3" s="1"/>
  <c r="UB40" i="3"/>
  <c r="UB56" i="3" s="1"/>
  <c r="TL40" i="3"/>
  <c r="TL56" i="3" s="1"/>
  <c r="SV40" i="3"/>
  <c r="SV56" i="3" s="1"/>
  <c r="SF40" i="3"/>
  <c r="RP40" i="3"/>
  <c r="QZ40" i="3"/>
  <c r="QJ40" i="3"/>
  <c r="PT40" i="3"/>
  <c r="PD40" i="3"/>
  <c r="ON40" i="3"/>
  <c r="NX40" i="3"/>
  <c r="NX56" i="3" s="1"/>
  <c r="NH40" i="3"/>
  <c r="MR40" i="3"/>
  <c r="MB40" i="3"/>
  <c r="KV40" i="3"/>
  <c r="JP40" i="3"/>
  <c r="JP56" i="3" s="1"/>
  <c r="IJ40" i="3"/>
  <c r="HD40" i="3"/>
  <c r="FA40" i="3"/>
  <c r="CO40" i="3"/>
  <c r="AC40" i="3"/>
  <c r="ALK40" i="3"/>
  <c r="ALK56" i="3" s="1"/>
  <c r="AKU40" i="3"/>
  <c r="AKU56" i="3" s="1"/>
  <c r="AKE40" i="3"/>
  <c r="AKE56" i="3" s="1"/>
  <c r="AJO40" i="3"/>
  <c r="AJO56" i="3" s="1"/>
  <c r="AIY40" i="3"/>
  <c r="AIY56" i="3" s="1"/>
  <c r="AII40" i="3"/>
  <c r="AII56" i="3" s="1"/>
  <c r="AHS40" i="3"/>
  <c r="AHS56" i="3" s="1"/>
  <c r="AHC40" i="3"/>
  <c r="AHC56" i="3" s="1"/>
  <c r="AGM40" i="3"/>
  <c r="AGM56" i="3" s="1"/>
  <c r="AFW40" i="3"/>
  <c r="AFW56" i="3" s="1"/>
  <c r="AFG40" i="3"/>
  <c r="AFG56" i="3" s="1"/>
  <c r="AEQ40" i="3"/>
  <c r="AEQ56" i="3" s="1"/>
  <c r="AEA40" i="3"/>
  <c r="AEA56" i="3" s="1"/>
  <c r="ADK40" i="3"/>
  <c r="ADK56" i="3" s="1"/>
  <c r="ACU40" i="3"/>
  <c r="ACU56" i="3" s="1"/>
  <c r="ACE40" i="3"/>
  <c r="ACE56" i="3" s="1"/>
  <c r="ABO40" i="3"/>
  <c r="ABO56" i="3" s="1"/>
  <c r="AAY40" i="3"/>
  <c r="AAY56" i="3" s="1"/>
  <c r="AAI40" i="3"/>
  <c r="AAI56" i="3" s="1"/>
  <c r="ZS40" i="3"/>
  <c r="ZS56" i="3" s="1"/>
  <c r="ZC40" i="3"/>
  <c r="ZC56" i="3" s="1"/>
  <c r="YM40" i="3"/>
  <c r="YM56" i="3" s="1"/>
  <c r="XW40" i="3"/>
  <c r="XW56" i="3" s="1"/>
  <c r="XG40" i="3"/>
  <c r="XG56" i="3" s="1"/>
  <c r="WQ40" i="3"/>
  <c r="WQ56" i="3" s="1"/>
  <c r="WA40" i="3"/>
  <c r="WA56" i="3" s="1"/>
  <c r="VK40" i="3"/>
  <c r="VK56" i="3" s="1"/>
  <c r="UU40" i="3"/>
  <c r="UU56" i="3" s="1"/>
  <c r="UE40" i="3"/>
  <c r="UE56" i="3" s="1"/>
  <c r="TO40" i="3"/>
  <c r="TO56" i="3" s="1"/>
  <c r="SY40" i="3"/>
  <c r="SY56" i="3" s="1"/>
  <c r="SI40" i="3"/>
  <c r="SI56" i="3" s="1"/>
  <c r="RS40" i="3"/>
  <c r="RC40" i="3"/>
  <c r="QM40" i="3"/>
  <c r="PW40" i="3"/>
  <c r="PW56" i="3" s="1"/>
  <c r="PG40" i="3"/>
  <c r="OQ40" i="3"/>
  <c r="OA40" i="3"/>
  <c r="NK40" i="3"/>
  <c r="MU40" i="3"/>
  <c r="ME40" i="3"/>
  <c r="ME56" i="3" s="1"/>
  <c r="LA40" i="3"/>
  <c r="JU40" i="3"/>
  <c r="IO40" i="3"/>
  <c r="HI40" i="3"/>
  <c r="FM40" i="3"/>
  <c r="DA40" i="3"/>
  <c r="AO40" i="3"/>
  <c r="CC40" i="3"/>
  <c r="JI40" i="3"/>
  <c r="NE40" i="3"/>
  <c r="PQ40" i="3"/>
  <c r="PQ56" i="3" s="1"/>
  <c r="SC40" i="3"/>
  <c r="UO40" i="3"/>
  <c r="UO56" i="3" s="1"/>
  <c r="XA40" i="3"/>
  <c r="XA56" i="3" s="1"/>
  <c r="ZM40" i="3"/>
  <c r="ZM56" i="3" s="1"/>
  <c r="ABY40" i="3"/>
  <c r="ABY56" i="3" s="1"/>
  <c r="AEK40" i="3"/>
  <c r="AEK56" i="3" s="1"/>
  <c r="AGW40" i="3"/>
  <c r="AGW56" i="3" s="1"/>
  <c r="AJI40" i="3"/>
  <c r="AJI56" i="3" s="1"/>
  <c r="HE40" i="3"/>
  <c r="MC40" i="3"/>
  <c r="OO40" i="3"/>
  <c r="RA40" i="3"/>
  <c r="TM40" i="3"/>
  <c r="TM56" i="3" s="1"/>
  <c r="VY40" i="3"/>
  <c r="VY56" i="3" s="1"/>
  <c r="YK40" i="3"/>
  <c r="YK56" i="3" s="1"/>
  <c r="AAW40" i="3"/>
  <c r="AAW56" i="3" s="1"/>
  <c r="ADI40" i="3"/>
  <c r="ADI56" i="3" s="1"/>
  <c r="AFU40" i="3"/>
  <c r="AFU56" i="3" s="1"/>
  <c r="AIG40" i="3"/>
  <c r="AIG56" i="3" s="1"/>
  <c r="AKS40" i="3"/>
  <c r="AKS56" i="3" s="1"/>
  <c r="GK40" i="3"/>
  <c r="QU33" i="3"/>
  <c r="QU49" i="3" s="1"/>
  <c r="RZ30" i="3"/>
  <c r="RZ46" i="3" s="1"/>
  <c r="KR50" i="3"/>
  <c r="LC30" i="3"/>
  <c r="LC46" i="3" s="1"/>
  <c r="GQ33" i="3"/>
  <c r="GQ49" i="3" s="1"/>
  <c r="KY39" i="3"/>
  <c r="KY55" i="3" s="1"/>
  <c r="NW27" i="3"/>
  <c r="NW43" i="3" s="1"/>
  <c r="RC33" i="3"/>
  <c r="RC49" i="3" s="1"/>
  <c r="CY39" i="3"/>
  <c r="CY55" i="3" s="1"/>
  <c r="NZ27" i="3"/>
  <c r="NZ43" i="3" s="1"/>
  <c r="QI27" i="3"/>
  <c r="QI43" i="3" s="1"/>
  <c r="NG27" i="3"/>
  <c r="NG43" i="3" s="1"/>
  <c r="JV36" i="3"/>
  <c r="JV52" i="3" s="1"/>
  <c r="LB36" i="3"/>
  <c r="LB52" i="3" s="1"/>
  <c r="JV30" i="3"/>
  <c r="JV46" i="3" s="1"/>
  <c r="NZ39" i="3"/>
  <c r="NZ55" i="3" s="1"/>
  <c r="QE33" i="3"/>
  <c r="QE49" i="3" s="1"/>
  <c r="IZ33" i="3"/>
  <c r="IZ49" i="3" s="1"/>
  <c r="MT33" i="3"/>
  <c r="MT49" i="3" s="1"/>
  <c r="PV33" i="3"/>
  <c r="PV49" i="3" s="1"/>
  <c r="NP33" i="3"/>
  <c r="NP49" i="3" s="1"/>
  <c r="QE39" i="3"/>
  <c r="QE55" i="3" s="1"/>
  <c r="OA36" i="3"/>
  <c r="OA52" i="3" s="1"/>
  <c r="JQ30" i="3"/>
  <c r="JQ46" i="3" s="1"/>
  <c r="EQ36" i="3"/>
  <c r="EQ52" i="3" s="1"/>
  <c r="II36" i="3"/>
  <c r="II52" i="3" s="1"/>
  <c r="NW36" i="3"/>
  <c r="NW52" i="3" s="1"/>
  <c r="EA36" i="3"/>
  <c r="EA52" i="3" s="1"/>
  <c r="QR33" i="3"/>
  <c r="QR49" i="3" s="1"/>
  <c r="OF27" i="3"/>
  <c r="OF43" i="3" s="1"/>
  <c r="W33" i="3"/>
  <c r="W49" i="3" s="1"/>
  <c r="CI33" i="3"/>
  <c r="CI49" i="3" s="1"/>
  <c r="CY33" i="3"/>
  <c r="CY49" i="3" s="1"/>
  <c r="HG33" i="3"/>
  <c r="HG49" i="3" s="1"/>
  <c r="AE36" i="3"/>
  <c r="AE52" i="3" s="1"/>
  <c r="EM36" i="3"/>
  <c r="EM52" i="3" s="1"/>
  <c r="FS36" i="3"/>
  <c r="FS52" i="3" s="1"/>
  <c r="GY36" i="3"/>
  <c r="GY52" i="3" s="1"/>
  <c r="QU36" i="3"/>
  <c r="QU52" i="3" s="1"/>
  <c r="W39" i="3"/>
  <c r="W55" i="3" s="1"/>
  <c r="HG39" i="3"/>
  <c r="HG55" i="3" s="1"/>
  <c r="KI39" i="3"/>
  <c r="KI55" i="3" s="1"/>
  <c r="DH33" i="3"/>
  <c r="DH49" i="3" s="1"/>
  <c r="RL33" i="3"/>
  <c r="RL49" i="3" s="1"/>
  <c r="BX36" i="3"/>
  <c r="BX52" i="3" s="1"/>
  <c r="CV36" i="3"/>
  <c r="CV52" i="3" s="1"/>
  <c r="HP36" i="3"/>
  <c r="HP52" i="3" s="1"/>
  <c r="AB39" i="3"/>
  <c r="AB55" i="3" s="1"/>
  <c r="BX39" i="3"/>
  <c r="BX55" i="3" s="1"/>
  <c r="EJ39" i="3"/>
  <c r="EJ55" i="3" s="1"/>
  <c r="MJ39" i="3"/>
  <c r="MJ55" i="3" s="1"/>
  <c r="MZ39" i="3"/>
  <c r="MZ55" i="3" s="1"/>
  <c r="NP39" i="3"/>
  <c r="NP55" i="3" s="1"/>
  <c r="PL39" i="3"/>
  <c r="PL55" i="3" s="1"/>
  <c r="QB39" i="3"/>
  <c r="QB55" i="3" s="1"/>
  <c r="RL39" i="3"/>
  <c r="RL55" i="3" s="1"/>
  <c r="CJ30" i="3"/>
  <c r="CJ46" i="3" s="1"/>
  <c r="BT30" i="3"/>
  <c r="BT46" i="3" s="1"/>
  <c r="RL27" i="3"/>
  <c r="RL43" i="3" s="1"/>
  <c r="HP27" i="3"/>
  <c r="HP43" i="3" s="1"/>
  <c r="FT27" i="3"/>
  <c r="FT43" i="3" s="1"/>
  <c r="DX27" i="3"/>
  <c r="DX43" i="3" s="1"/>
  <c r="DH27" i="3"/>
  <c r="DH43" i="3" s="1"/>
  <c r="AF27" i="3"/>
  <c r="AF43" i="3" s="1"/>
  <c r="IQ30" i="3"/>
  <c r="IQ46" i="3" s="1"/>
  <c r="IY27" i="3"/>
  <c r="IY43" i="3" s="1"/>
  <c r="II27" i="3"/>
  <c r="II43" i="3" s="1"/>
  <c r="EQ27" i="3"/>
  <c r="EQ43" i="3" s="1"/>
  <c r="DK27" i="3"/>
  <c r="DK43" i="3" s="1"/>
  <c r="CE27" i="3"/>
  <c r="CE43" i="3" s="1"/>
  <c r="AY27" i="3"/>
  <c r="AY43" i="3" s="1"/>
  <c r="S27" i="3"/>
  <c r="S43" i="3" s="1"/>
  <c r="LZ27" i="3"/>
  <c r="LZ43" i="3" s="1"/>
  <c r="LB30" i="3"/>
  <c r="LB46" i="3" s="1"/>
  <c r="ED39" i="3"/>
  <c r="ED55" i="3" s="1"/>
  <c r="ED30" i="3"/>
  <c r="ED46" i="3" s="1"/>
  <c r="JJ30" i="3"/>
  <c r="JJ46" i="3" s="1"/>
  <c r="PN30" i="3"/>
  <c r="PN46" i="3" s="1"/>
  <c r="RR30" i="3"/>
  <c r="RR46" i="3" s="1"/>
  <c r="AB33" i="3"/>
  <c r="AB49" i="3" s="1"/>
  <c r="BD33" i="3"/>
  <c r="BD49" i="3" s="1"/>
  <c r="MZ33" i="3"/>
  <c r="MZ49" i="3" s="1"/>
  <c r="PL33" i="3"/>
  <c r="PL49" i="3" s="1"/>
  <c r="RL36" i="3"/>
  <c r="RL52" i="3" s="1"/>
  <c r="GV39" i="3"/>
  <c r="GV55" i="3" s="1"/>
  <c r="MU33" i="3"/>
  <c r="MU49" i="3" s="1"/>
  <c r="QE36" i="3"/>
  <c r="QE52" i="3" s="1"/>
  <c r="PF30" i="3"/>
  <c r="PF46" i="3" s="1"/>
  <c r="OZ33" i="3"/>
  <c r="OZ49" i="3" s="1"/>
  <c r="LP30" i="3"/>
  <c r="LP46" i="3" s="1"/>
  <c r="IN30" i="3"/>
  <c r="IN46" i="3" s="1"/>
  <c r="EF30" i="3"/>
  <c r="EF46" i="3" s="1"/>
  <c r="BD30" i="3"/>
  <c r="BD46" i="3" s="1"/>
  <c r="MQ27" i="3"/>
  <c r="MQ43" i="3" s="1"/>
  <c r="PZ36" i="3"/>
  <c r="PZ52" i="3" s="1"/>
  <c r="PF39" i="3"/>
  <c r="PF55" i="3" s="1"/>
  <c r="RB27" i="3"/>
  <c r="RB43" i="3" s="1"/>
  <c r="KB36" i="3"/>
  <c r="KB52" i="3" s="1"/>
  <c r="FC36" i="3"/>
  <c r="FC52" i="3" s="1"/>
  <c r="IV27" i="3"/>
  <c r="IV43" i="3" s="1"/>
  <c r="PW39" i="3"/>
  <c r="PW55" i="3" s="1"/>
  <c r="FG27" i="3"/>
  <c r="FG43" i="3" s="1"/>
  <c r="SK54" i="3"/>
  <c r="UW53" i="3"/>
  <c r="ZU53" i="3"/>
  <c r="AES53" i="3"/>
  <c r="AJQ53" i="3"/>
  <c r="VQ53" i="3"/>
  <c r="YC54" i="3"/>
  <c r="YC53" i="3"/>
  <c r="ADA53" i="3"/>
  <c r="AHY53" i="3"/>
  <c r="AKK54" i="3"/>
  <c r="AKL53" i="3"/>
  <c r="AJF53" i="3"/>
  <c r="AHZ53" i="3"/>
  <c r="AGT53" i="3"/>
  <c r="AFN53" i="3"/>
  <c r="AEH53" i="3"/>
  <c r="ADB53" i="3"/>
  <c r="ABV53" i="3"/>
  <c r="AAP53" i="3"/>
  <c r="ZJ53" i="3"/>
  <c r="YT54" i="3"/>
  <c r="YD53" i="3"/>
  <c r="WX53" i="3"/>
  <c r="VR53" i="3"/>
  <c r="TV53" i="3"/>
  <c r="ALH53" i="3"/>
  <c r="AKB53" i="3"/>
  <c r="AIF53" i="3"/>
  <c r="AIF54" i="3"/>
  <c r="AGJ53" i="3"/>
  <c r="AFD53" i="3"/>
  <c r="ADH53" i="3"/>
  <c r="ABL53" i="3"/>
  <c r="AAV54" i="3"/>
  <c r="AAF53" i="3"/>
  <c r="ZP53" i="3"/>
  <c r="YJ53" i="3"/>
  <c r="XT53" i="3"/>
  <c r="XD53" i="3"/>
  <c r="VX53" i="3"/>
  <c r="UR54" i="3"/>
  <c r="UB53" i="3"/>
  <c r="AKE53" i="3"/>
  <c r="AIY53" i="3"/>
  <c r="AII53" i="3"/>
  <c r="AHS53" i="3"/>
  <c r="AFG53" i="3"/>
  <c r="AEQ53" i="3"/>
  <c r="ACE53" i="3"/>
  <c r="ABO53" i="3"/>
  <c r="AAY53" i="3"/>
  <c r="ZS53" i="3"/>
  <c r="XG53" i="3"/>
  <c r="WQ53" i="3"/>
  <c r="WA53" i="3"/>
  <c r="VK53" i="3"/>
  <c r="AEK53" i="3"/>
  <c r="AGW53" i="3"/>
  <c r="AAW53" i="3"/>
  <c r="AIG53" i="3"/>
  <c r="AKS53" i="3"/>
  <c r="FC54" i="3"/>
  <c r="TA51" i="3"/>
  <c r="TA54" i="3"/>
  <c r="XY51" i="3"/>
  <c r="AAK50" i="3"/>
  <c r="ACW50" i="3"/>
  <c r="ACW54" i="3"/>
  <c r="AFI50" i="3"/>
  <c r="AHU50" i="3"/>
  <c r="AHU54" i="3"/>
  <c r="TU51" i="3"/>
  <c r="WG51" i="3"/>
  <c r="YS51" i="3"/>
  <c r="ABE50" i="3"/>
  <c r="ADQ50" i="3"/>
  <c r="AGC50" i="3"/>
  <c r="AIO50" i="3"/>
  <c r="AIO54" i="3"/>
  <c r="ALA50" i="3"/>
  <c r="AKX50" i="3"/>
  <c r="AKX54" i="3"/>
  <c r="AKH50" i="3"/>
  <c r="AJR50" i="3"/>
  <c r="AJB50" i="3"/>
  <c r="AJB54" i="3"/>
  <c r="AIL50" i="3"/>
  <c r="AHV50" i="3"/>
  <c r="AHV54" i="3"/>
  <c r="AHF50" i="3"/>
  <c r="AHF54" i="3"/>
  <c r="AGP50" i="3"/>
  <c r="AGP54" i="3"/>
  <c r="AFZ54" i="3"/>
  <c r="AFJ50" i="3"/>
  <c r="AFJ54" i="3"/>
  <c r="AET50" i="3"/>
  <c r="AED50" i="3"/>
  <c r="ADN50" i="3"/>
  <c r="ACX50" i="3"/>
  <c r="ABR50" i="3"/>
  <c r="ABR54" i="3"/>
  <c r="ABB54" i="3"/>
  <c r="AAL50" i="3"/>
  <c r="AAL54" i="3"/>
  <c r="ZV50" i="3"/>
  <c r="YP50" i="3"/>
  <c r="XZ50" i="3"/>
  <c r="WT50" i="3"/>
  <c r="WD50" i="3"/>
  <c r="VN50" i="3"/>
  <c r="UX50" i="3"/>
  <c r="TR50" i="3"/>
  <c r="TB50" i="3"/>
  <c r="ALD50" i="3"/>
  <c r="AKN50" i="3"/>
  <c r="AJX50" i="3"/>
  <c r="AJH50" i="3"/>
  <c r="AIB50" i="3"/>
  <c r="AHL50" i="3"/>
  <c r="AGF50" i="3"/>
  <c r="AFP50" i="3"/>
  <c r="AEZ50" i="3"/>
  <c r="AEJ50" i="3"/>
  <c r="ADD50" i="3"/>
  <c r="ACN50" i="3"/>
  <c r="ACN54" i="3"/>
  <c r="ABX50" i="3"/>
  <c r="ABH50" i="3"/>
  <c r="AAR50" i="3"/>
  <c r="AAB50" i="3"/>
  <c r="YV50" i="3"/>
  <c r="YF50" i="3"/>
  <c r="XP54" i="3"/>
  <c r="WZ50" i="3"/>
  <c r="WJ50" i="3"/>
  <c r="VT50" i="3"/>
  <c r="UN50" i="3"/>
  <c r="TX50" i="3"/>
  <c r="SR50" i="3"/>
  <c r="SR54" i="3"/>
  <c r="ALG50" i="3"/>
  <c r="AKQ50" i="3"/>
  <c r="AJK50" i="3"/>
  <c r="AIU50" i="3"/>
  <c r="AHO50" i="3"/>
  <c r="AGY50" i="3"/>
  <c r="AGI50" i="3"/>
  <c r="AFS50" i="3"/>
  <c r="AEM50" i="3"/>
  <c r="ADW50" i="3"/>
  <c r="ACQ50" i="3"/>
  <c r="ACA50" i="3"/>
  <c r="ABK50" i="3"/>
  <c r="AAU50" i="3"/>
  <c r="ZO50" i="3"/>
  <c r="YY50" i="3"/>
  <c r="XS50" i="3"/>
  <c r="XC50" i="3"/>
  <c r="WM50" i="3"/>
  <c r="VW50" i="3"/>
  <c r="UQ50" i="3"/>
  <c r="UQ54" i="3"/>
  <c r="TK50" i="3"/>
  <c r="SU50" i="3"/>
  <c r="SS51" i="3"/>
  <c r="VE51" i="3"/>
  <c r="AAC50" i="3"/>
  <c r="ACO50" i="3"/>
  <c r="AJY50" i="3"/>
  <c r="UC54" i="3"/>
  <c r="BX50" i="3"/>
  <c r="RL50" i="3"/>
  <c r="LT54" i="3"/>
  <c r="KS33" i="3"/>
  <c r="KS49" i="3" s="1"/>
  <c r="BO30" i="3"/>
  <c r="BO46" i="3" s="1"/>
  <c r="QG36" i="3"/>
  <c r="QG52" i="3" s="1"/>
  <c r="MK27" i="3"/>
  <c r="MK43" i="3" s="1"/>
  <c r="SD30" i="3"/>
  <c r="SD46" i="3" s="1"/>
  <c r="EE27" i="3"/>
  <c r="EE43" i="3" s="1"/>
  <c r="FI30" i="3"/>
  <c r="FI46" i="3" s="1"/>
  <c r="L36" i="3"/>
  <c r="L52" i="3" s="1"/>
  <c r="G27" i="3"/>
  <c r="G43" i="3" s="1"/>
  <c r="LY30" i="3"/>
  <c r="LY46" i="3" s="1"/>
  <c r="EZ36" i="3"/>
  <c r="EZ52" i="3" s="1"/>
  <c r="RM27" i="3"/>
  <c r="RM43" i="3" s="1"/>
  <c r="BR30" i="3"/>
  <c r="BR46" i="3" s="1"/>
  <c r="JC30" i="3"/>
  <c r="JC46" i="3" s="1"/>
  <c r="BG30" i="3"/>
  <c r="BG46" i="3" s="1"/>
  <c r="JC36" i="3"/>
  <c r="JC52" i="3" s="1"/>
  <c r="MI36" i="3"/>
  <c r="MI52" i="3" s="1"/>
  <c r="HO33" i="3"/>
  <c r="HO49" i="3" s="1"/>
  <c r="OQ33" i="3"/>
  <c r="OQ49" i="3" s="1"/>
  <c r="PG39" i="3"/>
  <c r="PG55" i="3" s="1"/>
  <c r="EZ27" i="3"/>
  <c r="EZ43" i="3" s="1"/>
  <c r="AJ33" i="3"/>
  <c r="AJ49" i="3" s="1"/>
  <c r="DS30" i="3"/>
  <c r="DS46" i="3" s="1"/>
  <c r="NN33" i="3"/>
  <c r="NN49" i="3" s="1"/>
  <c r="MR30" i="3"/>
  <c r="MR46" i="3" s="1"/>
  <c r="OD36" i="3"/>
  <c r="OD52" i="3" s="1"/>
  <c r="JK33" i="3"/>
  <c r="JK49" i="3" s="1"/>
  <c r="QF33" i="3"/>
  <c r="QF49" i="3" s="1"/>
  <c r="QX30" i="3"/>
  <c r="QX46" i="3" s="1"/>
  <c r="AL36" i="3"/>
  <c r="AL52" i="3" s="1"/>
  <c r="MM30" i="3"/>
  <c r="MM46" i="3" s="1"/>
  <c r="LN33" i="3"/>
  <c r="LN49" i="3" s="1"/>
  <c r="FJ36" i="3"/>
  <c r="FJ52" i="3" s="1"/>
  <c r="AH36" i="3"/>
  <c r="AH52" i="3" s="1"/>
  <c r="MK30" i="3"/>
  <c r="MK46" i="3" s="1"/>
  <c r="CS27" i="3"/>
  <c r="CS43" i="3" s="1"/>
  <c r="RA27" i="3"/>
  <c r="RA43" i="3" s="1"/>
  <c r="JR27" i="3"/>
  <c r="JR43" i="3" s="1"/>
  <c r="NF27" i="3"/>
  <c r="NF43" i="3" s="1"/>
  <c r="FN27" i="3"/>
  <c r="FN43" i="3" s="1"/>
  <c r="IO33" i="3"/>
  <c r="IO49" i="3" s="1"/>
  <c r="AS30" i="3"/>
  <c r="AS46" i="3" s="1"/>
  <c r="BP36" i="3"/>
  <c r="BP52" i="3" s="1"/>
  <c r="LO39" i="3"/>
  <c r="LO55" i="3" s="1"/>
  <c r="OT30" i="3"/>
  <c r="OT46" i="3" s="1"/>
  <c r="IO30" i="3"/>
  <c r="IO46" i="3" s="1"/>
  <c r="EZ33" i="3"/>
  <c r="EZ49" i="3" s="1"/>
  <c r="KM39" i="3"/>
  <c r="KM55" i="3" s="1"/>
  <c r="KM27" i="3"/>
  <c r="KM43" i="3" s="1"/>
  <c r="EU30" i="3"/>
  <c r="EU46" i="3" s="1"/>
  <c r="LL36" i="3"/>
  <c r="LL52" i="3" s="1"/>
  <c r="DT33" i="3"/>
  <c r="DT49" i="3" s="1"/>
  <c r="BG27" i="3"/>
  <c r="BG43" i="3" s="1"/>
  <c r="HS39" i="3"/>
  <c r="HS55" i="3" s="1"/>
  <c r="AZ27" i="3"/>
  <c r="AZ43" i="3" s="1"/>
  <c r="HC39" i="3"/>
  <c r="HC55" i="3" s="1"/>
  <c r="HO27" i="3"/>
  <c r="HO43" i="3" s="1"/>
  <c r="RP39" i="3"/>
  <c r="RP55" i="3" s="1"/>
  <c r="DT39" i="3"/>
  <c r="DT55" i="3" s="1"/>
  <c r="CF33" i="3"/>
  <c r="CF49" i="3" s="1"/>
  <c r="HT30" i="3"/>
  <c r="HT46" i="3" s="1"/>
  <c r="JF27" i="3"/>
  <c r="JF43" i="3" s="1"/>
  <c r="SB27" i="3"/>
  <c r="SB43" i="3" s="1"/>
  <c r="RP30" i="3"/>
  <c r="RP46" i="3" s="1"/>
  <c r="IR33" i="3"/>
  <c r="IR49" i="3" s="1"/>
  <c r="MF36" i="3"/>
  <c r="MF52" i="3" s="1"/>
  <c r="PS36" i="3"/>
  <c r="PS52" i="3" s="1"/>
  <c r="GB30" i="3"/>
  <c r="GB46" i="3" s="1"/>
  <c r="KF36" i="3"/>
  <c r="KF52" i="3" s="1"/>
  <c r="CB27" i="3"/>
  <c r="CB43" i="3" s="1"/>
  <c r="AX30" i="3"/>
  <c r="AX46" i="3" s="1"/>
  <c r="AL30" i="3"/>
  <c r="AL46" i="3" s="1"/>
  <c r="MM27" i="3"/>
  <c r="MM43" i="3" s="1"/>
  <c r="IE39" i="3"/>
  <c r="IE55" i="3" s="1"/>
  <c r="FJ27" i="3"/>
  <c r="FJ43" i="3" s="1"/>
  <c r="BN36" i="3"/>
  <c r="BN52" i="3" s="1"/>
  <c r="CO27" i="3"/>
  <c r="CO43" i="3" s="1"/>
  <c r="DU27" i="3"/>
  <c r="DU43" i="3" s="1"/>
  <c r="RE36" i="3"/>
  <c r="RE52" i="3" s="1"/>
  <c r="QO39" i="3"/>
  <c r="QO55" i="3" s="1"/>
  <c r="QS27" i="3"/>
  <c r="QS43" i="3" s="1"/>
  <c r="LS36" i="3"/>
  <c r="LS52" i="3" s="1"/>
  <c r="AP39" i="3"/>
  <c r="AP55" i="3" s="1"/>
  <c r="HY36" i="3"/>
  <c r="HY52" i="3" s="1"/>
  <c r="NS33" i="3"/>
  <c r="NS49" i="3" s="1"/>
  <c r="CN30" i="3"/>
  <c r="CN46" i="3" s="1"/>
  <c r="FU33" i="3"/>
  <c r="FU49" i="3" s="1"/>
  <c r="EJ54" i="3"/>
  <c r="HD51" i="3"/>
  <c r="EJ50" i="3"/>
  <c r="MK51" i="3"/>
  <c r="QP50" i="3"/>
  <c r="JK50" i="3"/>
  <c r="CI27" i="3"/>
  <c r="CI43" i="3" s="1"/>
  <c r="FT36" i="3"/>
  <c r="FT52" i="3" s="1"/>
  <c r="BD36" i="3"/>
  <c r="BD52" i="3" s="1"/>
  <c r="KB27" i="3"/>
  <c r="KB43" i="3" s="1"/>
  <c r="EV27" i="3"/>
  <c r="EV43" i="3" s="1"/>
  <c r="HX30" i="3"/>
  <c r="HX46" i="3" s="1"/>
  <c r="QP36" i="3"/>
  <c r="QP52" i="3" s="1"/>
  <c r="PZ39" i="3"/>
  <c r="PZ55" i="3" s="1"/>
  <c r="MQ36" i="3"/>
  <c r="MQ52" i="3" s="1"/>
  <c r="W27" i="3"/>
  <c r="W43" i="3" s="1"/>
  <c r="DC27" i="3"/>
  <c r="DC43" i="3" s="1"/>
  <c r="NJ27" i="3"/>
  <c r="NJ43" i="3" s="1"/>
  <c r="LF33" i="3"/>
  <c r="LF49" i="3" s="1"/>
  <c r="JG39" i="3"/>
  <c r="JG55" i="3" s="1"/>
  <c r="OF33" i="3"/>
  <c r="OF49" i="3" s="1"/>
  <c r="EP27" i="3"/>
  <c r="EP43" i="3" s="1"/>
  <c r="OR36" i="3"/>
  <c r="OR52" i="3" s="1"/>
  <c r="PV27" i="3"/>
  <c r="PV43" i="3" s="1"/>
  <c r="QK30" i="3"/>
  <c r="QK46" i="3" s="1"/>
  <c r="PZ33" i="3"/>
  <c r="PZ49" i="3" s="1"/>
  <c r="GI27" i="3"/>
  <c r="GI43" i="3" s="1"/>
  <c r="HR27" i="3"/>
  <c r="HR43" i="3" s="1"/>
  <c r="IH39" i="3"/>
  <c r="IH55" i="3" s="1"/>
  <c r="HX27" i="3"/>
  <c r="HX43" i="3" s="1"/>
  <c r="BT53" i="3"/>
  <c r="PX39" i="3"/>
  <c r="PX55" i="3" s="1"/>
  <c r="EA27" i="3"/>
  <c r="EA43" i="3" s="1"/>
  <c r="EI27" i="3"/>
  <c r="EI43" i="3" s="1"/>
  <c r="JK27" i="3"/>
  <c r="JK43" i="3" s="1"/>
  <c r="D39" i="3"/>
  <c r="D55" i="3" s="1"/>
  <c r="BL33" i="3"/>
  <c r="BL49" i="3" s="1"/>
  <c r="QN33" i="3"/>
  <c r="QN49" i="3" s="1"/>
  <c r="CR36" i="3"/>
  <c r="CR52" i="3" s="1"/>
  <c r="FH39" i="3"/>
  <c r="FH55" i="3" s="1"/>
  <c r="EM30" i="3"/>
  <c r="EM46" i="3" s="1"/>
  <c r="EP36" i="3"/>
  <c r="EP52" i="3" s="1"/>
  <c r="EI39" i="3"/>
  <c r="EI55" i="3" s="1"/>
  <c r="W30" i="3"/>
  <c r="W46" i="3" s="1"/>
  <c r="RD36" i="3"/>
  <c r="RD52" i="3" s="1"/>
  <c r="CK27" i="3"/>
  <c r="CK43" i="3" s="1"/>
  <c r="QZ30" i="3"/>
  <c r="QZ46" i="3" s="1"/>
  <c r="EB27" i="3"/>
  <c r="EB43" i="3" s="1"/>
  <c r="NA39" i="3"/>
  <c r="NA55" i="3" s="1"/>
  <c r="NB27" i="3"/>
  <c r="NB43" i="3" s="1"/>
  <c r="JW36" i="3"/>
  <c r="JW52" i="3" s="1"/>
  <c r="QQ27" i="3"/>
  <c r="QQ43" i="3" s="1"/>
  <c r="PG27" i="3"/>
  <c r="PG43" i="3" s="1"/>
  <c r="KU39" i="3"/>
  <c r="KU55" i="3" s="1"/>
  <c r="DS27" i="3"/>
  <c r="DS43" i="3" s="1"/>
  <c r="SB33" i="3"/>
  <c r="SB49" i="3" s="1"/>
  <c r="NS39" i="3"/>
  <c r="NS55" i="3" s="1"/>
  <c r="OT33" i="3"/>
  <c r="OT49" i="3" s="1"/>
  <c r="NS27" i="3"/>
  <c r="NS43" i="3" s="1"/>
  <c r="OD39" i="3"/>
  <c r="OD55" i="3" s="1"/>
  <c r="JW33" i="3"/>
  <c r="JW49" i="3" s="1"/>
  <c r="AX33" i="3"/>
  <c r="AX49" i="3" s="1"/>
  <c r="JZ36" i="3"/>
  <c r="JZ52" i="3" s="1"/>
  <c r="AL27" i="3"/>
  <c r="AL43" i="3" s="1"/>
  <c r="CA33" i="3"/>
  <c r="CA49" i="3" s="1"/>
  <c r="OH33" i="3"/>
  <c r="OH49" i="3" s="1"/>
  <c r="NS30" i="3"/>
  <c r="NS46" i="3" s="1"/>
  <c r="AA33" i="3"/>
  <c r="AA49" i="3" s="1"/>
  <c r="IE27" i="3"/>
  <c r="IE43" i="3" s="1"/>
  <c r="DM30" i="3"/>
  <c r="DM46" i="3" s="1"/>
  <c r="NB30" i="3"/>
  <c r="NB46" i="3" s="1"/>
  <c r="DN33" i="3"/>
  <c r="DN49" i="3" s="1"/>
  <c r="QM27" i="3"/>
  <c r="QM43" i="3" s="1"/>
  <c r="RK27" i="3"/>
  <c r="RK43" i="3" s="1"/>
  <c r="NY33" i="3"/>
  <c r="NY49" i="3" s="1"/>
  <c r="OK27" i="3"/>
  <c r="OK43" i="3" s="1"/>
  <c r="SD33" i="3"/>
  <c r="SD49" i="3" s="1"/>
  <c r="KD36" i="3"/>
  <c r="KD52" i="3" s="1"/>
  <c r="JI27" i="3"/>
  <c r="JI43" i="3" s="1"/>
  <c r="J39" i="3"/>
  <c r="J55" i="3" s="1"/>
  <c r="OD30" i="3"/>
  <c r="OD46" i="3" s="1"/>
  <c r="BM30" i="3"/>
  <c r="BM46" i="3" s="1"/>
  <c r="HU30" i="3"/>
  <c r="HU46" i="3" s="1"/>
  <c r="CX36" i="3"/>
  <c r="CX52" i="3" s="1"/>
  <c r="HH39" i="3"/>
  <c r="HH55" i="3" s="1"/>
  <c r="PL36" i="3"/>
  <c r="PL52" i="3" s="1"/>
  <c r="CV30" i="3"/>
  <c r="CV46" i="3" s="1"/>
  <c r="HD27" i="3"/>
  <c r="HD43" i="3" s="1"/>
  <c r="MQ33" i="3"/>
  <c r="MQ49" i="3" s="1"/>
  <c r="BG33" i="3"/>
  <c r="BG49" i="3" s="1"/>
  <c r="MY30" i="3"/>
  <c r="MY46" i="3" s="1"/>
  <c r="CK36" i="3"/>
  <c r="CK52" i="3" s="1"/>
  <c r="FL27" i="3"/>
  <c r="FL43" i="3" s="1"/>
  <c r="FH27" i="3"/>
  <c r="FH43" i="3" s="1"/>
  <c r="GI54" i="3"/>
  <c r="GV30" i="3"/>
  <c r="GV46" i="3" s="1"/>
  <c r="EA30" i="3"/>
  <c r="EA46" i="3" s="1"/>
  <c r="QA36" i="3"/>
  <c r="QA52" i="3" s="1"/>
  <c r="CR27" i="3"/>
  <c r="CR43" i="3" s="1"/>
  <c r="GA39" i="3"/>
  <c r="GA55" i="3" s="1"/>
  <c r="LR33" i="3"/>
  <c r="LR49" i="3" s="1"/>
  <c r="RC36" i="3"/>
  <c r="RC52" i="3" s="1"/>
  <c r="EY39" i="3"/>
  <c r="EY55" i="3" s="1"/>
  <c r="BH30" i="3"/>
  <c r="BH46" i="3" s="1"/>
  <c r="OB33" i="3"/>
  <c r="OB49" i="3" s="1"/>
  <c r="JH33" i="3"/>
  <c r="JH49" i="3" s="1"/>
  <c r="CB33" i="3"/>
  <c r="CB49" i="3" s="1"/>
  <c r="AX39" i="3"/>
  <c r="AX55" i="3" s="1"/>
  <c r="PS33" i="3"/>
  <c r="PS49" i="3" s="1"/>
  <c r="AL39" i="3"/>
  <c r="AL55" i="3" s="1"/>
  <c r="AD33" i="3"/>
  <c r="AD49" i="3" s="1"/>
  <c r="CA30" i="3"/>
  <c r="CA46" i="3" s="1"/>
  <c r="PK30" i="3"/>
  <c r="PK46" i="3" s="1"/>
  <c r="OY33" i="3"/>
  <c r="OY49" i="3" s="1"/>
  <c r="IE33" i="3"/>
  <c r="IE49" i="3" s="1"/>
  <c r="DN30" i="3"/>
  <c r="DN46" i="3" s="1"/>
  <c r="PS39" i="3"/>
  <c r="PS55" i="3" s="1"/>
  <c r="IT36" i="3"/>
  <c r="IT52" i="3" s="1"/>
  <c r="BY27" i="3"/>
  <c r="BY43" i="3" s="1"/>
  <c r="OC39" i="3"/>
  <c r="OC55" i="3" s="1"/>
  <c r="LY39" i="3"/>
  <c r="LY55" i="3" s="1"/>
  <c r="KH30" i="3"/>
  <c r="KH46" i="3" s="1"/>
  <c r="ID39" i="3"/>
  <c r="ID55" i="3" s="1"/>
  <c r="GT33" i="3"/>
  <c r="GT49" i="3" s="1"/>
  <c r="BV33" i="3"/>
  <c r="BV49" i="3" s="1"/>
  <c r="DW33" i="3"/>
  <c r="DW49" i="3" s="1"/>
  <c r="AS52" i="3"/>
  <c r="C33" i="3"/>
  <c r="C49" i="3" s="1"/>
  <c r="G33" i="3"/>
  <c r="G49" i="3" s="1"/>
  <c r="JC27" i="3"/>
  <c r="JC43" i="3" s="1"/>
  <c r="QZ36" i="3"/>
  <c r="QZ52" i="3" s="1"/>
  <c r="CM39" i="3"/>
  <c r="CM55" i="3" s="1"/>
  <c r="HB33" i="3"/>
  <c r="HB49" i="3" s="1"/>
  <c r="EO39" i="3"/>
  <c r="EO55" i="3" s="1"/>
  <c r="SC39" i="3"/>
  <c r="SC55" i="3" s="1"/>
  <c r="NI39" i="3"/>
  <c r="NI55" i="3" s="1"/>
  <c r="MZ36" i="3"/>
  <c r="MZ52" i="3" s="1"/>
  <c r="BD27" i="3"/>
  <c r="BD43" i="3" s="1"/>
  <c r="RR39" i="3"/>
  <c r="RR55" i="3" s="1"/>
  <c r="X39" i="3"/>
  <c r="X55" i="3" s="1"/>
  <c r="MX30" i="3"/>
  <c r="MX46" i="3" s="1"/>
  <c r="ND27" i="3"/>
  <c r="ND43" i="3" s="1"/>
  <c r="IN27" i="3"/>
  <c r="IN43" i="3" s="1"/>
  <c r="PQ33" i="3"/>
  <c r="PQ49" i="3" s="1"/>
  <c r="EV30" i="3"/>
  <c r="EV46" i="3" s="1"/>
  <c r="LR30" i="3"/>
  <c r="LR46" i="3" s="1"/>
  <c r="JD27" i="3"/>
  <c r="JD43" i="3" s="1"/>
  <c r="LH39" i="3"/>
  <c r="LH55" i="3" s="1"/>
  <c r="FG30" i="3"/>
  <c r="FG46" i="3" s="1"/>
  <c r="SA36" i="3"/>
  <c r="SA52" i="3" s="1"/>
  <c r="RR33" i="3"/>
  <c r="RR49" i="3" s="1"/>
  <c r="LA27" i="3"/>
  <c r="LA43" i="3" s="1"/>
  <c r="RV33" i="3"/>
  <c r="RV49" i="3" s="1"/>
  <c r="FC50" i="3"/>
  <c r="CV33" i="3"/>
  <c r="CV49" i="3" s="1"/>
  <c r="BS27" i="3"/>
  <c r="BS43" i="3" s="1"/>
  <c r="CR33" i="3"/>
  <c r="CR49" i="3" s="1"/>
  <c r="GM39" i="3"/>
  <c r="GM55" i="3" s="1"/>
  <c r="GB39" i="3"/>
  <c r="GB55" i="3" s="1"/>
  <c r="NZ36" i="3"/>
  <c r="NZ52" i="3" s="1"/>
  <c r="PN36" i="3"/>
  <c r="PN52" i="3" s="1"/>
  <c r="BN30" i="3"/>
  <c r="BN46" i="3" s="1"/>
  <c r="QD27" i="3"/>
  <c r="QD43" i="3" s="1"/>
  <c r="GX33" i="3"/>
  <c r="GX49" i="3" s="1"/>
  <c r="MD39" i="3"/>
  <c r="MD55" i="3" s="1"/>
  <c r="M39" i="3"/>
  <c r="M55" i="3" s="1"/>
  <c r="BY39" i="3"/>
  <c r="BY55" i="3" s="1"/>
  <c r="KS30" i="3"/>
  <c r="KS46" i="3" s="1"/>
  <c r="CC39" i="3"/>
  <c r="CC55" i="3" s="1"/>
  <c r="EO30" i="3"/>
  <c r="EO46" i="3" s="1"/>
  <c r="LM33" i="3"/>
  <c r="LM49" i="3" s="1"/>
  <c r="OC30" i="3"/>
  <c r="OC46" i="3" s="1"/>
  <c r="QW27" i="3"/>
  <c r="QW43" i="3" s="1"/>
  <c r="NF39" i="3"/>
  <c r="NF55" i="3" s="1"/>
  <c r="ID30" i="3"/>
  <c r="ID46" i="3" s="1"/>
  <c r="KD27" i="3"/>
  <c r="KD43" i="3" s="1"/>
  <c r="EX27" i="3"/>
  <c r="EX43" i="3" s="1"/>
  <c r="BV27" i="3"/>
  <c r="BV43" i="3" s="1"/>
  <c r="JS27" i="3"/>
  <c r="JS43" i="3" s="1"/>
  <c r="HQ27" i="3"/>
  <c r="HQ43" i="3" s="1"/>
  <c r="BE39" i="3"/>
  <c r="BE55" i="3" s="1"/>
  <c r="AK39" i="3"/>
  <c r="AK55" i="3" s="1"/>
  <c r="J30" i="3"/>
  <c r="J46" i="3" s="1"/>
  <c r="PG33" i="3"/>
  <c r="PG49" i="3" s="1"/>
  <c r="AJ36" i="3"/>
  <c r="AJ52" i="3" s="1"/>
  <c r="MW36" i="3"/>
  <c r="MW52" i="3" s="1"/>
  <c r="L33" i="3"/>
  <c r="L49" i="3" s="1"/>
  <c r="QV33" i="3"/>
  <c r="QV49" i="3" s="1"/>
  <c r="QM33" i="3"/>
  <c r="QM49" i="3" s="1"/>
  <c r="BC39" i="3"/>
  <c r="BC55" i="3" s="1"/>
  <c r="BW39" i="3"/>
  <c r="BW55" i="3" s="1"/>
  <c r="DE33" i="3"/>
  <c r="DE49" i="3" s="1"/>
  <c r="NA36" i="3"/>
  <c r="NA52" i="3" s="1"/>
  <c r="QS39" i="3"/>
  <c r="QS55" i="3" s="1"/>
  <c r="KQ27" i="3"/>
  <c r="KQ43" i="3" s="1"/>
  <c r="M33" i="3"/>
  <c r="M49" i="3" s="1"/>
  <c r="DM39" i="3"/>
  <c r="DM55" i="3" s="1"/>
  <c r="QD33" i="3"/>
  <c r="QD49" i="3" s="1"/>
  <c r="LV30" i="3"/>
  <c r="LV46" i="3" s="1"/>
  <c r="BY30" i="3"/>
  <c r="BY46" i="3" s="1"/>
  <c r="RM30" i="3"/>
  <c r="RM46" i="3" s="1"/>
  <c r="DU36" i="3"/>
  <c r="DU52" i="3" s="1"/>
  <c r="RK39" i="3"/>
  <c r="RK55" i="3" s="1"/>
  <c r="CC27" i="3"/>
  <c r="CC43" i="3" s="1"/>
  <c r="AQ33" i="3"/>
  <c r="AQ49" i="3" s="1"/>
  <c r="RA36" i="3"/>
  <c r="RA52" i="3" s="1"/>
  <c r="LM30" i="3"/>
  <c r="LM46" i="3" s="1"/>
  <c r="OK30" i="3"/>
  <c r="OK46" i="3" s="1"/>
  <c r="JR36" i="3"/>
  <c r="JR52" i="3" s="1"/>
  <c r="SD39" i="3"/>
  <c r="SD55" i="3" s="1"/>
  <c r="NF30" i="3"/>
  <c r="NF46" i="3" s="1"/>
  <c r="HJ27" i="3"/>
  <c r="HJ43" i="3" s="1"/>
  <c r="EE33" i="3"/>
  <c r="EE49" i="3" s="1"/>
  <c r="JY36" i="3"/>
  <c r="JY52" i="3" s="1"/>
  <c r="IS36" i="3"/>
  <c r="IS52" i="3" s="1"/>
  <c r="HM27" i="3"/>
  <c r="HM43" i="3" s="1"/>
  <c r="GO27" i="3"/>
  <c r="GO43" i="3" s="1"/>
  <c r="AK33" i="3"/>
  <c r="AK49" i="3" s="1"/>
  <c r="J27" i="3"/>
  <c r="J43" i="3" s="1"/>
  <c r="IJ27" i="3"/>
  <c r="IJ43" i="3" s="1"/>
  <c r="PR27" i="3"/>
  <c r="PR43" i="3" s="1"/>
  <c r="LV33" i="3"/>
  <c r="LV49" i="3" s="1"/>
  <c r="V39" i="3"/>
  <c r="V55" i="3" s="1"/>
  <c r="DO33" i="3"/>
  <c r="DO49" i="3" s="1"/>
  <c r="Z33" i="3"/>
  <c r="Z49" i="3" s="1"/>
  <c r="BC27" i="3"/>
  <c r="BC43" i="3" s="1"/>
  <c r="CL27" i="3"/>
  <c r="CL43" i="3" s="1"/>
  <c r="KP36" i="3"/>
  <c r="KP52" i="3" s="1"/>
  <c r="HF36" i="3"/>
  <c r="HF52" i="3" s="1"/>
  <c r="GL30" i="3"/>
  <c r="GL46" i="3" s="1"/>
  <c r="Q30" i="3"/>
  <c r="Q46" i="3" s="1"/>
  <c r="IS30" i="3"/>
  <c r="IS46" i="3" s="1"/>
  <c r="DW27" i="3"/>
  <c r="DW43" i="3" s="1"/>
  <c r="GE51" i="3"/>
  <c r="HP50" i="3"/>
  <c r="PZ50" i="3"/>
  <c r="LH50" i="3"/>
  <c r="BD53" i="3"/>
  <c r="KB50" i="3"/>
  <c r="DC33" i="3"/>
  <c r="DC49" i="3" s="1"/>
  <c r="PW27" i="3"/>
  <c r="PW43" i="3" s="1"/>
  <c r="FT33" i="3"/>
  <c r="FT49" i="3" s="1"/>
  <c r="AF30" i="3"/>
  <c r="AF46" i="3" s="1"/>
  <c r="EY30" i="3"/>
  <c r="EY46" i="3" s="1"/>
  <c r="PN27" i="3"/>
  <c r="PN43" i="3" s="1"/>
  <c r="GM36" i="3"/>
  <c r="GM52" i="3" s="1"/>
  <c r="CJ36" i="3"/>
  <c r="CJ52" i="3" s="1"/>
  <c r="NV27" i="3"/>
  <c r="NV43" i="3" s="1"/>
  <c r="PM36" i="3"/>
  <c r="PM52" i="3" s="1"/>
  <c r="IG30" i="3"/>
  <c r="IG46" i="3" s="1"/>
  <c r="BU27" i="3"/>
  <c r="BU43" i="3" s="1"/>
  <c r="FZ39" i="3"/>
  <c r="FZ55" i="3" s="1"/>
  <c r="AH27" i="3"/>
  <c r="AH43" i="3" s="1"/>
  <c r="RJ30" i="3"/>
  <c r="RJ46" i="3" s="1"/>
  <c r="RZ36" i="3"/>
  <c r="RZ52" i="3" s="1"/>
  <c r="PO33" i="3"/>
  <c r="PO49" i="3" s="1"/>
  <c r="V33" i="3"/>
  <c r="V49" i="3" s="1"/>
  <c r="CH39" i="3"/>
  <c r="CH55" i="3" s="1"/>
  <c r="Z27" i="3"/>
  <c r="Z43" i="3" s="1"/>
  <c r="HK36" i="3"/>
  <c r="HK52" i="3" s="1"/>
  <c r="FN39" i="3"/>
  <c r="FN55" i="3" s="1"/>
  <c r="BM36" i="3"/>
  <c r="BM52" i="3" s="1"/>
  <c r="AQ30" i="3"/>
  <c r="AQ46" i="3" s="1"/>
  <c r="HO36" i="3"/>
  <c r="HO52" i="3" s="1"/>
  <c r="SB30" i="3"/>
  <c r="SB46" i="3" s="1"/>
  <c r="PC33" i="3"/>
  <c r="PC49" i="3" s="1"/>
  <c r="QZ39" i="3"/>
  <c r="QZ55" i="3" s="1"/>
  <c r="QM30" i="3"/>
  <c r="QM46" i="3" s="1"/>
  <c r="ET33" i="3"/>
  <c r="ET49" i="3" s="1"/>
  <c r="LU36" i="3"/>
  <c r="LU52" i="3" s="1"/>
  <c r="GJ30" i="3"/>
  <c r="GJ46" i="3" s="1"/>
  <c r="DE36" i="3"/>
  <c r="DE52" i="3" s="1"/>
  <c r="GK33" i="3"/>
  <c r="GK49" i="3" s="1"/>
  <c r="DI39" i="3"/>
  <c r="DI55" i="3" s="1"/>
  <c r="JE30" i="3"/>
  <c r="JE46" i="3" s="1"/>
  <c r="HY30" i="3"/>
  <c r="HY46" i="3" s="1"/>
  <c r="FQ33" i="3"/>
  <c r="FQ49" i="3" s="1"/>
  <c r="KL30" i="3"/>
  <c r="KL46" i="3" s="1"/>
  <c r="IK39" i="3"/>
  <c r="IK55" i="3" s="1"/>
  <c r="NA30" i="3"/>
  <c r="NA46" i="3" s="1"/>
  <c r="CS33" i="3"/>
  <c r="CS49" i="3" s="1"/>
  <c r="CC30" i="3"/>
  <c r="CC46" i="3" s="1"/>
  <c r="M36" i="3"/>
  <c r="M52" i="3" s="1"/>
  <c r="NY27" i="3"/>
  <c r="NY43" i="3" s="1"/>
  <c r="OK39" i="3"/>
  <c r="OK55" i="3" s="1"/>
  <c r="QS36" i="3"/>
  <c r="QS52" i="3" s="1"/>
  <c r="OG39" i="3"/>
  <c r="OG55" i="3" s="1"/>
  <c r="IX30" i="3"/>
  <c r="IX46" i="3" s="1"/>
  <c r="PR39" i="3"/>
  <c r="PR55" i="3" s="1"/>
  <c r="IL27" i="3"/>
  <c r="IL43" i="3" s="1"/>
  <c r="LS39" i="3"/>
  <c r="LS55" i="3" s="1"/>
  <c r="HJ30" i="3"/>
  <c r="HJ46" i="3" s="1"/>
  <c r="GT27" i="3"/>
  <c r="GT43" i="3" s="1"/>
  <c r="FN30" i="3"/>
  <c r="FN46" i="3" s="1"/>
  <c r="EH39" i="3"/>
  <c r="EH55" i="3" s="1"/>
  <c r="DW39" i="3"/>
  <c r="DW55" i="3" s="1"/>
  <c r="IS39" i="3"/>
  <c r="IS55" i="3" s="1"/>
  <c r="HY27" i="3"/>
  <c r="HY43" i="3" s="1"/>
  <c r="HA33" i="3"/>
  <c r="HA49" i="3" s="1"/>
  <c r="U30" i="3"/>
  <c r="U46" i="3" s="1"/>
  <c r="CQ30" i="3"/>
  <c r="CQ46" i="3" s="1"/>
  <c r="KO36" i="3"/>
  <c r="KO52" i="3" s="1"/>
  <c r="OB39" i="3"/>
  <c r="OB55" i="3" s="1"/>
  <c r="AZ33" i="3"/>
  <c r="AZ49" i="3" s="1"/>
  <c r="FN33" i="3"/>
  <c r="FN49" i="3" s="1"/>
  <c r="KF33" i="3"/>
  <c r="KF49" i="3" s="1"/>
  <c r="JE27" i="3"/>
  <c r="JE43" i="3" s="1"/>
  <c r="QG33" i="3"/>
  <c r="QG49" i="3" s="1"/>
  <c r="FX30" i="3"/>
  <c r="FX46" i="3" s="1"/>
  <c r="EN27" i="3"/>
  <c r="EN43" i="3" s="1"/>
  <c r="BC33" i="3"/>
  <c r="BC49" i="3" s="1"/>
  <c r="FY36" i="3"/>
  <c r="FY52" i="3" s="1"/>
  <c r="BZ39" i="3"/>
  <c r="BZ55" i="3" s="1"/>
  <c r="DN27" i="3"/>
  <c r="DN43" i="3" s="1"/>
  <c r="GG27" i="3"/>
  <c r="GG43" i="3" s="1"/>
  <c r="CW33" i="3"/>
  <c r="CW49" i="3" s="1"/>
  <c r="Q36" i="3"/>
  <c r="Q52" i="3" s="1"/>
  <c r="FS54" i="3"/>
  <c r="HX51" i="3"/>
  <c r="HX33" i="3"/>
  <c r="HX49" i="3" s="1"/>
  <c r="JD30" i="3"/>
  <c r="JD46" i="3" s="1"/>
  <c r="MU51" i="3"/>
  <c r="OZ50" i="3"/>
  <c r="GM51" i="3"/>
  <c r="IZ39" i="3"/>
  <c r="IZ55" i="3" s="1"/>
  <c r="SE27" i="3"/>
  <c r="SE43" i="3" s="1"/>
  <c r="NX36" i="3"/>
  <c r="NX52" i="3" s="1"/>
  <c r="GZ30" i="3"/>
  <c r="GZ46" i="3" s="1"/>
  <c r="JJ27" i="3"/>
  <c r="JJ43" i="3" s="1"/>
  <c r="AU30" i="3"/>
  <c r="AU46" i="3" s="1"/>
  <c r="GE30" i="3"/>
  <c r="GE46" i="3" s="1"/>
  <c r="FW30" i="3"/>
  <c r="FW46" i="3" s="1"/>
  <c r="OY39" i="3"/>
  <c r="OY55" i="3" s="1"/>
  <c r="FL30" i="3"/>
  <c r="FL46" i="3" s="1"/>
  <c r="JT36" i="3"/>
  <c r="JT52" i="3" s="1"/>
  <c r="JO33" i="3"/>
  <c r="JO49" i="3" s="1"/>
  <c r="KB33" i="3"/>
  <c r="KB49" i="3" s="1"/>
  <c r="GB36" i="3"/>
  <c r="GB52" i="3" s="1"/>
  <c r="EY33" i="3"/>
  <c r="EY49" i="3" s="1"/>
  <c r="BU30" i="3"/>
  <c r="BU46" i="3" s="1"/>
  <c r="RF33" i="3"/>
  <c r="RF49" i="3" s="1"/>
  <c r="PN33" i="3"/>
  <c r="PN49" i="3" s="1"/>
  <c r="ML36" i="3"/>
  <c r="ML52" i="3" s="1"/>
  <c r="MW30" i="3"/>
  <c r="MW46" i="3" s="1"/>
  <c r="LE36" i="3"/>
  <c r="LE52" i="3" s="1"/>
  <c r="NC27" i="3"/>
  <c r="NC43" i="3" s="1"/>
  <c r="JA30" i="3"/>
  <c r="JA46" i="3" s="1"/>
  <c r="RJ39" i="3"/>
  <c r="RJ55" i="3" s="1"/>
  <c r="RF36" i="3"/>
  <c r="RF52" i="3" s="1"/>
  <c r="BL30" i="3"/>
  <c r="BL46" i="3" s="1"/>
  <c r="PY27" i="3"/>
  <c r="PY43" i="3" s="1"/>
  <c r="EH33" i="3"/>
  <c r="EH49" i="3" s="1"/>
  <c r="JS30" i="3"/>
  <c r="JS46" i="3" s="1"/>
  <c r="JU36" i="3"/>
  <c r="JU52" i="3" s="1"/>
  <c r="JE33" i="3"/>
  <c r="JE49" i="3" s="1"/>
  <c r="IC27" i="3"/>
  <c r="IC43" i="3" s="1"/>
  <c r="HM33" i="3"/>
  <c r="HM49" i="3" s="1"/>
  <c r="HA39" i="3"/>
  <c r="HA55" i="3" s="1"/>
  <c r="GO30" i="3"/>
  <c r="GO46" i="3" s="1"/>
  <c r="GG36" i="3"/>
  <c r="GG52" i="3" s="1"/>
  <c r="AK27" i="3"/>
  <c r="AK43" i="3" s="1"/>
  <c r="R39" i="3"/>
  <c r="R55" i="3" s="1"/>
  <c r="HC36" i="3"/>
  <c r="HC52" i="3" s="1"/>
  <c r="QM36" i="3"/>
  <c r="QM52" i="3" s="1"/>
  <c r="EB33" i="3"/>
  <c r="EB49" i="3" s="1"/>
  <c r="QY36" i="3"/>
  <c r="QY52" i="3" s="1"/>
  <c r="GF30" i="3"/>
  <c r="GF46" i="3" s="1"/>
  <c r="CH27" i="3"/>
  <c r="CH43" i="3" s="1"/>
  <c r="BH36" i="3"/>
  <c r="BH52" i="3" s="1"/>
  <c r="HT33" i="3"/>
  <c r="HT49" i="3" s="1"/>
  <c r="PK27" i="3"/>
  <c r="PK43" i="3" s="1"/>
  <c r="QJ27" i="3"/>
  <c r="QJ43" i="3" s="1"/>
  <c r="QZ27" i="3"/>
  <c r="QZ43" i="3" s="1"/>
  <c r="DJ27" i="3"/>
  <c r="DJ43" i="3" s="1"/>
  <c r="IL36" i="3"/>
  <c r="IL52" i="3" s="1"/>
  <c r="CL30" i="3"/>
  <c r="CL46" i="3" s="1"/>
  <c r="CB39" i="3"/>
  <c r="CB55" i="3" s="1"/>
  <c r="FY27" i="3"/>
  <c r="FY43" i="3" s="1"/>
  <c r="DW30" i="3"/>
  <c r="DW46" i="3" s="1"/>
  <c r="DZ36" i="3"/>
  <c r="DZ52" i="3" s="1"/>
  <c r="DQ39" i="3"/>
  <c r="DQ55" i="3" s="1"/>
  <c r="N30" i="3"/>
  <c r="N46" i="3" s="1"/>
  <c r="CC36" i="3"/>
  <c r="CC52" i="3" s="1"/>
  <c r="PE30" i="3"/>
  <c r="PE46" i="3" s="1"/>
  <c r="FR30" i="3"/>
  <c r="FR46" i="3" s="1"/>
  <c r="IK33" i="3"/>
  <c r="IK49" i="3" s="1"/>
  <c r="LZ54" i="3"/>
  <c r="MQ50" i="3"/>
  <c r="RI51" i="3"/>
  <c r="BD39" i="3"/>
  <c r="BD55" i="3" s="1"/>
  <c r="DP33" i="3"/>
  <c r="DP49" i="3" s="1"/>
  <c r="QR30" i="3"/>
  <c r="QR46" i="3" s="1"/>
  <c r="NO36" i="3"/>
  <c r="NO52" i="3" s="1"/>
  <c r="AB50" i="3"/>
  <c r="ME39" i="3"/>
  <c r="ME55" i="3" s="1"/>
  <c r="EJ36" i="3"/>
  <c r="EJ52" i="3" s="1"/>
  <c r="ON27" i="3"/>
  <c r="ON43" i="3" s="1"/>
  <c r="FT30" i="3"/>
  <c r="FT46" i="3" s="1"/>
  <c r="OZ27" i="3"/>
  <c r="OZ43" i="3" s="1"/>
  <c r="GY27" i="3"/>
  <c r="GY43" i="3" s="1"/>
  <c r="RO33" i="3"/>
  <c r="RO49" i="3" s="1"/>
  <c r="LK27" i="3"/>
  <c r="LK43" i="3" s="1"/>
  <c r="FL33" i="3"/>
  <c r="FL49" i="3" s="1"/>
  <c r="FG39" i="3"/>
  <c r="FG55" i="3" s="1"/>
  <c r="KV36" i="3"/>
  <c r="KV52" i="3" s="1"/>
  <c r="EY27" i="3"/>
  <c r="EY43" i="3" s="1"/>
  <c r="EV36" i="3"/>
  <c r="EV52" i="3" s="1"/>
  <c r="JT39" i="3"/>
  <c r="JT55" i="3" s="1"/>
  <c r="HV33" i="3"/>
  <c r="HV49" i="3" s="1"/>
  <c r="NC30" i="3"/>
  <c r="NC46" i="3" s="1"/>
  <c r="EV39" i="3"/>
  <c r="EV55" i="3" s="1"/>
  <c r="JD33" i="3"/>
  <c r="JD49" i="3" s="1"/>
  <c r="KX27" i="3"/>
  <c r="KX43" i="3" s="1"/>
  <c r="DC30" i="3"/>
  <c r="DC46" i="3" s="1"/>
  <c r="MS30" i="3"/>
  <c r="MS46" i="3" s="1"/>
  <c r="QC36" i="3"/>
  <c r="QC52" i="3" s="1"/>
  <c r="PU36" i="3"/>
  <c r="PU52" i="3" s="1"/>
  <c r="Y36" i="3"/>
  <c r="Y52" i="3" s="1"/>
  <c r="IX39" i="3"/>
  <c r="IX55" i="3" s="1"/>
  <c r="KA39" i="3"/>
  <c r="KA55" i="3" s="1"/>
  <c r="CP36" i="3"/>
  <c r="CP52" i="3" s="1"/>
  <c r="BW27" i="3"/>
  <c r="BW43" i="3" s="1"/>
  <c r="GC27" i="3"/>
  <c r="GC43" i="3" s="1"/>
  <c r="ES36" i="3"/>
  <c r="ES52" i="3" s="1"/>
  <c r="QW36" i="3"/>
  <c r="QW52" i="3" s="1"/>
  <c r="DI36" i="3"/>
  <c r="DI52" i="3" s="1"/>
  <c r="H30" i="3"/>
  <c r="H46" i="3" s="1"/>
  <c r="BZ27" i="3"/>
  <c r="BZ43" i="3" s="1"/>
  <c r="DZ30" i="3"/>
  <c r="DZ46" i="3" s="1"/>
  <c r="KD39" i="3"/>
  <c r="KD55" i="3" s="1"/>
  <c r="QS33" i="3"/>
  <c r="QS49" i="3" s="1"/>
  <c r="FE30" i="3"/>
  <c r="FE46" i="3" s="1"/>
  <c r="BA36" i="3"/>
  <c r="BA52" i="3" s="1"/>
  <c r="DU30" i="3"/>
  <c r="DU46" i="3" s="1"/>
  <c r="GW33" i="3"/>
  <c r="GW49" i="3" s="1"/>
  <c r="SG27" i="3"/>
  <c r="SG43" i="3" s="1"/>
  <c r="NI33" i="3"/>
  <c r="NI49" i="3" s="1"/>
  <c r="NU33" i="3"/>
  <c r="NU49" i="3" s="1"/>
  <c r="GH27" i="3"/>
  <c r="GH43" i="3" s="1"/>
  <c r="DV39" i="3"/>
  <c r="DV55" i="3" s="1"/>
  <c r="KE36" i="3"/>
  <c r="KE52" i="3" s="1"/>
  <c r="OB30" i="3"/>
  <c r="OB46" i="3" s="1"/>
  <c r="BP39" i="3"/>
  <c r="BP55" i="3" s="1"/>
  <c r="BP33" i="3"/>
  <c r="BP49" i="3" s="1"/>
  <c r="BP27" i="3"/>
  <c r="BP43" i="3" s="1"/>
  <c r="PD33" i="3"/>
  <c r="PD49" i="3" s="1"/>
  <c r="EU33" i="3"/>
  <c r="EU49" i="3" s="1"/>
  <c r="MM39" i="3"/>
  <c r="MM55" i="3" s="1"/>
  <c r="QV39" i="3"/>
  <c r="QV55" i="3" s="1"/>
  <c r="BK39" i="3"/>
  <c r="BK55" i="3" s="1"/>
  <c r="DD36" i="3"/>
  <c r="DD52" i="3" s="1"/>
  <c r="DD30" i="3"/>
  <c r="DD46" i="3" s="1"/>
  <c r="DD39" i="3"/>
  <c r="DD55" i="3" s="1"/>
  <c r="CQ39" i="3"/>
  <c r="CQ55" i="3" s="1"/>
  <c r="MV39" i="3"/>
  <c r="MV55" i="3" s="1"/>
  <c r="CU39" i="3"/>
  <c r="CU55" i="3" s="1"/>
  <c r="EZ39" i="3"/>
  <c r="EZ55" i="3" s="1"/>
  <c r="HS30" i="3"/>
  <c r="HS46" i="3" s="1"/>
  <c r="JX33" i="3"/>
  <c r="JX49" i="3" s="1"/>
  <c r="HO39" i="3"/>
  <c r="HO55" i="3" s="1"/>
  <c r="ER39" i="3"/>
  <c r="ER55" i="3" s="1"/>
  <c r="HO30" i="3"/>
  <c r="HO46" i="3" s="1"/>
  <c r="HK27" i="3"/>
  <c r="HK43" i="3" s="1"/>
  <c r="NT27" i="3"/>
  <c r="NT43" i="3" s="1"/>
  <c r="JH39" i="3"/>
  <c r="JH55" i="3" s="1"/>
  <c r="HW27" i="3"/>
  <c r="HW43" i="3" s="1"/>
  <c r="MV33" i="3"/>
  <c r="MV49" i="3" s="1"/>
  <c r="JC39" i="3"/>
  <c r="JC55" i="3" s="1"/>
  <c r="NH30" i="3"/>
  <c r="NH46" i="3" s="1"/>
  <c r="HT36" i="3"/>
  <c r="HT52" i="3" s="1"/>
  <c r="HT27" i="3"/>
  <c r="HT43" i="3" s="1"/>
  <c r="DO30" i="3"/>
  <c r="DO46" i="3" s="1"/>
  <c r="OJ36" i="3"/>
  <c r="OJ52" i="3" s="1"/>
  <c r="BH39" i="3"/>
  <c r="BH55" i="3" s="1"/>
  <c r="RP36" i="3"/>
  <c r="RP52" i="3" s="1"/>
  <c r="QJ30" i="3"/>
  <c r="QJ46" i="3" s="1"/>
  <c r="CB30" i="3"/>
  <c r="CB46" i="3" s="1"/>
  <c r="JX39" i="3"/>
  <c r="JX55" i="3" s="1"/>
  <c r="QQ39" i="3"/>
  <c r="QQ55" i="3" s="1"/>
  <c r="AT27" i="3"/>
  <c r="AT43" i="3" s="1"/>
  <c r="AL33" i="3"/>
  <c r="AL49" i="3" s="1"/>
  <c r="MI30" i="3"/>
  <c r="MI46" i="3" s="1"/>
  <c r="IM30" i="3"/>
  <c r="IM46" i="3" s="1"/>
  <c r="CA39" i="3"/>
  <c r="CA55" i="3" s="1"/>
  <c r="CA27" i="3"/>
  <c r="CA43" i="3" s="1"/>
  <c r="CA36" i="3"/>
  <c r="CA52" i="3" s="1"/>
  <c r="PK33" i="3"/>
  <c r="PK49" i="3" s="1"/>
  <c r="MM33" i="3"/>
  <c r="MM49" i="3" s="1"/>
  <c r="KT33" i="3"/>
  <c r="KT49" i="3" s="1"/>
  <c r="FJ30" i="3"/>
  <c r="FJ46" i="3" s="1"/>
  <c r="FJ33" i="3"/>
  <c r="FJ49" i="3" s="1"/>
  <c r="LV36" i="3"/>
  <c r="LV52" i="3" s="1"/>
  <c r="AD36" i="3"/>
  <c r="AD52" i="3" s="1"/>
  <c r="AD30" i="3"/>
  <c r="AD46" i="3" s="1"/>
  <c r="JW39" i="3"/>
  <c r="JW55" i="3" s="1"/>
  <c r="CO33" i="3"/>
  <c r="CO49" i="3" s="1"/>
  <c r="NA33" i="3"/>
  <c r="NA49" i="3" s="1"/>
  <c r="CS30" i="3"/>
  <c r="CS46" i="3" s="1"/>
  <c r="RK36" i="3"/>
  <c r="RK52" i="3" s="1"/>
  <c r="RA39" i="3"/>
  <c r="RA55" i="3" s="1"/>
  <c r="NY39" i="3"/>
  <c r="NY55" i="3" s="1"/>
  <c r="LM27" i="3"/>
  <c r="LM43" i="3" s="1"/>
  <c r="LU30" i="3"/>
  <c r="LU46" i="3" s="1"/>
  <c r="IX36" i="3"/>
  <c r="IX52" i="3" s="1"/>
  <c r="PR36" i="3"/>
  <c r="PR52" i="3" s="1"/>
  <c r="IL30" i="3"/>
  <c r="IL46" i="3" s="1"/>
  <c r="LS27" i="3"/>
  <c r="LS43" i="3" s="1"/>
  <c r="HJ33" i="3"/>
  <c r="HJ49" i="3" s="1"/>
  <c r="GT36" i="3"/>
  <c r="GT52" i="3" s="1"/>
  <c r="FN36" i="3"/>
  <c r="FN52" i="3" s="1"/>
  <c r="DB39" i="3"/>
  <c r="DB55" i="3" s="1"/>
  <c r="DB27" i="3"/>
  <c r="DB43" i="3" s="1"/>
  <c r="JS36" i="3"/>
  <c r="JS52" i="3" s="1"/>
  <c r="JE36" i="3"/>
  <c r="JE52" i="3" s="1"/>
  <c r="IS33" i="3"/>
  <c r="IS49" i="3" s="1"/>
  <c r="AK36" i="3"/>
  <c r="AK52" i="3" s="1"/>
  <c r="U33" i="3"/>
  <c r="U49" i="3" s="1"/>
  <c r="R30" i="3"/>
  <c r="R46" i="3" s="1"/>
  <c r="J36" i="3"/>
  <c r="J52" i="3" s="1"/>
  <c r="F39" i="3"/>
  <c r="F55" i="3" s="1"/>
  <c r="JU33" i="3"/>
  <c r="JU49" i="3" s="1"/>
  <c r="SD27" i="3"/>
  <c r="SD43" i="3" s="1"/>
  <c r="AT33" i="3"/>
  <c r="AT49" i="3" s="1"/>
  <c r="IO39" i="3"/>
  <c r="IO55" i="3" s="1"/>
  <c r="BK36" i="3"/>
  <c r="BK52" i="3" s="1"/>
  <c r="F30" i="3"/>
  <c r="F46" i="3" s="1"/>
  <c r="FX39" i="3"/>
  <c r="FX55" i="3" s="1"/>
  <c r="GT30" i="3"/>
  <c r="GT46" i="3" s="1"/>
  <c r="FJ39" i="3"/>
  <c r="FJ55" i="3" s="1"/>
  <c r="EN30" i="3"/>
  <c r="EN46" i="3" s="1"/>
  <c r="DT27" i="3"/>
  <c r="DT43" i="3" s="1"/>
  <c r="ER33" i="3"/>
  <c r="ER49" i="3" s="1"/>
  <c r="CL33" i="3"/>
  <c r="CL49" i="3" s="1"/>
  <c r="SF36" i="3"/>
  <c r="SF52" i="3" s="1"/>
  <c r="QY33" i="3"/>
  <c r="QY49" i="3" s="1"/>
  <c r="LV39" i="3"/>
  <c r="LV55" i="3" s="1"/>
  <c r="KD30" i="3"/>
  <c r="KD46" i="3" s="1"/>
  <c r="CX39" i="3"/>
  <c r="CX55" i="3" s="1"/>
  <c r="JR33" i="3"/>
  <c r="JR49" i="3" s="1"/>
  <c r="GJ27" i="3"/>
  <c r="GJ43" i="3" s="1"/>
  <c r="FY33" i="3"/>
  <c r="FY49" i="3" s="1"/>
  <c r="QQ36" i="3"/>
  <c r="QQ52" i="3" s="1"/>
  <c r="NF33" i="3"/>
  <c r="NF49" i="3" s="1"/>
  <c r="CQ36" i="3"/>
  <c r="CQ52" i="3" s="1"/>
  <c r="HI27" i="3"/>
  <c r="HI43" i="3" s="1"/>
  <c r="FU39" i="3"/>
  <c r="FU55" i="3" s="1"/>
  <c r="BB33" i="3"/>
  <c r="BB49" i="3" s="1"/>
  <c r="BJ36" i="3"/>
  <c r="BJ52" i="3" s="1"/>
  <c r="DZ39" i="3"/>
  <c r="DZ55" i="3" s="1"/>
  <c r="HI39" i="3"/>
  <c r="HI55" i="3" s="1"/>
  <c r="BI33" i="3"/>
  <c r="BI49" i="3" s="1"/>
  <c r="LU39" i="3"/>
  <c r="LU55" i="3" s="1"/>
  <c r="KO30" i="3"/>
  <c r="KO46" i="3" s="1"/>
  <c r="BA30" i="3"/>
  <c r="BA46" i="3" s="1"/>
  <c r="AC27" i="3"/>
  <c r="AC43" i="3" s="1"/>
  <c r="NI30" i="3"/>
  <c r="NI46" i="3" s="1"/>
  <c r="I27" i="3"/>
  <c r="I43" i="3" s="1"/>
  <c r="N36" i="3"/>
  <c r="N52" i="3" s="1"/>
  <c r="EG27" i="3"/>
  <c r="EG43" i="3" s="1"/>
  <c r="K39" i="3"/>
  <c r="K55" i="3" s="1"/>
  <c r="KQ33" i="3"/>
  <c r="KQ49" i="3" s="1"/>
  <c r="OE36" i="3"/>
  <c r="OE52" i="3" s="1"/>
  <c r="OU39" i="3"/>
  <c r="OU55" i="3" s="1"/>
  <c r="DV27" i="3"/>
  <c r="DV43" i="3" s="1"/>
  <c r="FB33" i="3"/>
  <c r="FB49" i="3" s="1"/>
  <c r="FR36" i="3"/>
  <c r="FR52" i="3" s="1"/>
  <c r="GH36" i="3"/>
  <c r="GH52" i="3" s="1"/>
  <c r="NM33" i="3"/>
  <c r="NM49" i="3" s="1"/>
  <c r="PE27" i="3"/>
  <c r="PE43" i="3" s="1"/>
  <c r="PE39" i="3"/>
  <c r="PE55" i="3" s="1"/>
  <c r="CW36" i="3"/>
  <c r="CW52" i="3" s="1"/>
  <c r="CW30" i="3"/>
  <c r="CW46" i="3" s="1"/>
  <c r="GW36" i="3"/>
  <c r="GW52" i="3" s="1"/>
  <c r="GW30" i="3"/>
  <c r="GW46" i="3" s="1"/>
  <c r="DM27" i="3"/>
  <c r="DM43" i="3" s="1"/>
  <c r="NY36" i="3"/>
  <c r="NY52" i="3" s="1"/>
  <c r="AC33" i="3"/>
  <c r="AC49" i="3" s="1"/>
  <c r="BM33" i="3"/>
  <c r="BM49" i="3" s="1"/>
  <c r="FE39" i="3"/>
  <c r="FE55" i="3" s="1"/>
  <c r="EC30" i="3"/>
  <c r="EC46" i="3" s="1"/>
  <c r="EG33" i="3"/>
  <c r="EG49" i="3" s="1"/>
  <c r="N33" i="3"/>
  <c r="N49" i="3" s="1"/>
  <c r="IK27" i="3"/>
  <c r="IK43" i="3" s="1"/>
  <c r="FO36" i="3"/>
  <c r="FO52" i="3" s="1"/>
  <c r="IU39" i="3"/>
  <c r="IU55" i="3" s="1"/>
  <c r="KQ39" i="3"/>
  <c r="KQ55" i="3" s="1"/>
  <c r="OU27" i="3"/>
  <c r="OU43" i="3" s="1"/>
  <c r="DF36" i="3"/>
  <c r="DF52" i="3" s="1"/>
  <c r="GH39" i="3"/>
  <c r="GH55" i="3" s="1"/>
  <c r="NU36" i="3"/>
  <c r="NU52" i="3" s="1"/>
  <c r="NM30" i="3"/>
  <c r="NM46" i="3" s="1"/>
  <c r="NI36" i="3"/>
  <c r="NI52" i="3" s="1"/>
  <c r="PE36" i="3"/>
  <c r="PE52" i="3" s="1"/>
  <c r="SG30" i="3"/>
  <c r="SG46" i="3" s="1"/>
  <c r="QS30" i="3"/>
  <c r="QS46" i="3" s="1"/>
  <c r="GW39" i="3"/>
  <c r="GW55" i="3" s="1"/>
  <c r="U36" i="3"/>
  <c r="U52" i="3" s="1"/>
  <c r="LU27" i="3"/>
  <c r="LU43" i="3" s="1"/>
  <c r="AC39" i="3"/>
  <c r="AC55" i="3" s="1"/>
  <c r="BA27" i="3"/>
  <c r="BA43" i="3" s="1"/>
  <c r="FE33" i="3"/>
  <c r="FE49" i="3" s="1"/>
  <c r="FE36" i="3"/>
  <c r="FE52" i="3" s="1"/>
  <c r="LU33" i="3"/>
  <c r="LU49" i="3" s="1"/>
  <c r="AQ36" i="3"/>
  <c r="AQ52" i="3" s="1"/>
  <c r="CO39" i="3"/>
  <c r="CO55" i="3" s="1"/>
  <c r="GO33" i="3"/>
  <c r="GO49" i="3" s="1"/>
  <c r="QW30" i="3"/>
  <c r="QW46" i="3" s="1"/>
  <c r="GG30" i="3"/>
  <c r="GG46" i="3" s="1"/>
  <c r="FY39" i="3"/>
  <c r="FY55" i="3" s="1"/>
  <c r="OK36" i="3"/>
  <c r="OK52" i="3" s="1"/>
  <c r="K27" i="3"/>
  <c r="K43" i="3" s="1"/>
  <c r="N27" i="3"/>
  <c r="N43" i="3" s="1"/>
  <c r="BI39" i="3"/>
  <c r="BI55" i="3" s="1"/>
  <c r="KL39" i="3"/>
  <c r="KL55" i="3" s="1"/>
  <c r="QG30" i="3"/>
  <c r="QG46" i="3" s="1"/>
  <c r="DZ33" i="3"/>
  <c r="DZ49" i="3" s="1"/>
  <c r="BJ39" i="3"/>
  <c r="BJ55" i="3" s="1"/>
  <c r="BJ33" i="3"/>
  <c r="BJ49" i="3" s="1"/>
  <c r="DU33" i="3"/>
  <c r="DU49" i="3" s="1"/>
  <c r="BB27" i="3"/>
  <c r="BB43" i="3" s="1"/>
  <c r="BB39" i="3"/>
  <c r="BB55" i="3" s="1"/>
  <c r="IS27" i="3"/>
  <c r="IS43" i="3" s="1"/>
  <c r="BZ33" i="3"/>
  <c r="BZ49" i="3" s="1"/>
  <c r="CG27" i="3"/>
  <c r="CG43" i="3" s="1"/>
  <c r="CG36" i="3"/>
  <c r="CG52" i="3" s="1"/>
  <c r="QW33" i="3"/>
  <c r="QW49" i="3" s="1"/>
  <c r="ES30" i="3"/>
  <c r="ES46" i="3" s="1"/>
  <c r="FU30" i="3"/>
  <c r="FU46" i="3" s="1"/>
  <c r="FU36" i="3"/>
  <c r="FU52" i="3" s="1"/>
  <c r="HI30" i="3"/>
  <c r="HI46" i="3" s="1"/>
  <c r="HI36" i="3"/>
  <c r="HI52" i="3" s="1"/>
  <c r="Q33" i="3"/>
  <c r="Q49" i="3" s="1"/>
  <c r="FA33" i="3"/>
  <c r="FA49" i="3" s="1"/>
  <c r="FO30" i="3"/>
  <c r="FO46" i="3" s="1"/>
  <c r="KE30" i="3"/>
  <c r="KE46" i="3" s="1"/>
  <c r="OE30" i="3"/>
  <c r="OE46" i="3" s="1"/>
  <c r="DF30" i="3"/>
  <c r="DF46" i="3" s="1"/>
  <c r="FR39" i="3"/>
  <c r="FR55" i="3" s="1"/>
  <c r="GH33" i="3"/>
  <c r="GH49" i="3" s="1"/>
  <c r="NU30" i="3"/>
  <c r="NU46" i="3" s="1"/>
  <c r="NM27" i="3"/>
  <c r="NM43" i="3" s="1"/>
  <c r="NI27" i="3"/>
  <c r="NI43" i="3" s="1"/>
  <c r="PE33" i="3"/>
  <c r="PE49" i="3" s="1"/>
  <c r="SG33" i="3"/>
  <c r="SG49" i="3" s="1"/>
  <c r="H27" i="3"/>
  <c r="H43" i="3" s="1"/>
  <c r="CW39" i="3"/>
  <c r="CW55" i="3" s="1"/>
  <c r="IC36" i="3"/>
  <c r="IC52" i="3" s="1"/>
  <c r="JW30" i="3"/>
  <c r="JW46" i="3" s="1"/>
  <c r="BA39" i="3"/>
  <c r="BA55" i="3" s="1"/>
  <c r="FE27" i="3"/>
  <c r="FE43" i="3" s="1"/>
  <c r="JU30" i="3"/>
  <c r="JU46" i="3" s="1"/>
  <c r="LM39" i="3"/>
  <c r="LM55" i="3" s="1"/>
  <c r="T30" i="3"/>
  <c r="T46" i="3" s="1"/>
  <c r="ES39" i="3"/>
  <c r="ES55" i="3" s="1"/>
  <c r="DQ27" i="3"/>
  <c r="DQ43" i="3" s="1"/>
  <c r="KO39" i="3"/>
  <c r="KO55" i="3" s="1"/>
  <c r="BI30" i="3"/>
  <c r="BI46" i="3" s="1"/>
  <c r="BI36" i="3"/>
  <c r="BI52" i="3" s="1"/>
  <c r="AD39" i="3"/>
  <c r="AD55" i="3" s="1"/>
  <c r="JZ39" i="3"/>
  <c r="JZ55" i="3" s="1"/>
  <c r="BJ27" i="3"/>
  <c r="BJ43" i="3" s="1"/>
  <c r="BB36" i="3"/>
  <c r="BB52" i="3" s="1"/>
  <c r="K30" i="3"/>
  <c r="K46" i="3" s="1"/>
  <c r="DI33" i="3"/>
  <c r="DI49" i="3" s="1"/>
  <c r="DI27" i="3"/>
  <c r="DI43" i="3" s="1"/>
  <c r="ES27" i="3"/>
  <c r="ES43" i="3" s="1"/>
  <c r="GC36" i="3"/>
  <c r="GC52" i="3" s="1"/>
  <c r="GL36" i="3"/>
  <c r="GL52" i="3" s="1"/>
  <c r="GL33" i="3"/>
  <c r="GL49" i="3" s="1"/>
  <c r="DE27" i="3"/>
  <c r="DE43" i="3" s="1"/>
  <c r="DE39" i="3"/>
  <c r="DE55" i="3" s="1"/>
  <c r="GJ39" i="3"/>
  <c r="GJ55" i="3" s="1"/>
  <c r="RM39" i="3"/>
  <c r="RM55" i="3" s="1"/>
  <c r="HF39" i="3"/>
  <c r="HF55" i="3" s="1"/>
  <c r="PK36" i="3"/>
  <c r="PK52" i="3" s="1"/>
  <c r="BW30" i="3"/>
  <c r="BW46" i="3" s="1"/>
  <c r="BW33" i="3"/>
  <c r="BW49" i="3" s="1"/>
  <c r="CP33" i="3"/>
  <c r="CP49" i="3" s="1"/>
  <c r="CP27" i="3"/>
  <c r="CP43" i="3" s="1"/>
  <c r="KP33" i="3"/>
  <c r="KP49" i="3" s="1"/>
  <c r="MI33" i="3"/>
  <c r="MI49" i="3" s="1"/>
  <c r="CX30" i="3"/>
  <c r="CX46" i="3" s="1"/>
  <c r="CX27" i="3"/>
  <c r="CX43" i="3" s="1"/>
  <c r="ET27" i="3"/>
  <c r="ET43" i="3" s="1"/>
  <c r="ET39" i="3"/>
  <c r="ET55" i="3" s="1"/>
  <c r="HB39" i="3"/>
  <c r="HB55" i="3" s="1"/>
  <c r="PR30" i="3"/>
  <c r="PR46" i="3" s="1"/>
  <c r="NK36" i="3"/>
  <c r="NK52" i="3" s="1"/>
  <c r="CL36" i="3"/>
  <c r="CL52" i="3" s="1"/>
  <c r="DJ30" i="3"/>
  <c r="DJ46" i="3" s="1"/>
  <c r="DJ36" i="3"/>
  <c r="DJ52" i="3" s="1"/>
  <c r="HU39" i="3"/>
  <c r="HU55" i="3" s="1"/>
  <c r="NK27" i="3"/>
  <c r="NK43" i="3" s="1"/>
  <c r="BC30" i="3"/>
  <c r="BC46" i="3" s="1"/>
  <c r="EN33" i="3"/>
  <c r="EN49" i="3" s="1"/>
  <c r="BK30" i="3"/>
  <c r="BK46" i="3" s="1"/>
  <c r="RP33" i="3"/>
  <c r="RP49" i="3" s="1"/>
  <c r="DS39" i="3"/>
  <c r="DS55" i="3" s="1"/>
  <c r="MR27" i="3"/>
  <c r="MR43" i="3" s="1"/>
  <c r="CF39" i="3"/>
  <c r="CF55" i="3" s="1"/>
  <c r="QV36" i="3"/>
  <c r="QV52" i="3" s="1"/>
  <c r="Z30" i="3"/>
  <c r="Z46" i="3" s="1"/>
  <c r="Z36" i="3"/>
  <c r="Z52" i="3" s="1"/>
  <c r="CN39" i="3"/>
  <c r="CN55" i="3" s="1"/>
  <c r="PD39" i="3"/>
  <c r="PD55" i="3" s="1"/>
  <c r="I39" i="3"/>
  <c r="I55" i="3" s="1"/>
  <c r="EC33" i="3"/>
  <c r="EC49" i="3" s="1"/>
  <c r="FA36" i="3"/>
  <c r="FA52" i="3" s="1"/>
  <c r="IU27" i="3"/>
  <c r="IU43" i="3" s="1"/>
  <c r="DV33" i="3"/>
  <c r="DV49" i="3" s="1"/>
  <c r="FB39" i="3"/>
  <c r="FB55" i="3" s="1"/>
  <c r="GH30" i="3"/>
  <c r="GH46" i="3" s="1"/>
  <c r="NU39" i="3"/>
  <c r="NU55" i="3" s="1"/>
  <c r="NM39" i="3"/>
  <c r="NM55" i="3" s="1"/>
  <c r="CW27" i="3"/>
  <c r="CW43" i="3" s="1"/>
  <c r="GW27" i="3"/>
  <c r="GW43" i="3" s="1"/>
  <c r="CS36" i="3"/>
  <c r="CS52" i="3" s="1"/>
  <c r="RA30" i="3"/>
  <c r="RA46" i="3" s="1"/>
  <c r="CO36" i="3"/>
  <c r="CO52" i="3" s="1"/>
  <c r="DQ36" i="3"/>
  <c r="DQ52" i="3" s="1"/>
  <c r="DQ33" i="3"/>
  <c r="DQ49" i="3" s="1"/>
  <c r="BI27" i="3"/>
  <c r="BI43" i="3" s="1"/>
  <c r="JZ27" i="3"/>
  <c r="JZ43" i="3" s="1"/>
  <c r="DZ27" i="3"/>
  <c r="DZ43" i="3" s="1"/>
  <c r="MD27" i="3"/>
  <c r="MD43" i="3" s="1"/>
  <c r="MD33" i="3"/>
  <c r="MD49" i="3" s="1"/>
  <c r="KP30" i="3"/>
  <c r="KP46" i="3" s="1"/>
  <c r="CG33" i="3"/>
  <c r="CG49" i="3" s="1"/>
  <c r="CG30" i="3"/>
  <c r="CG46" i="3" s="1"/>
  <c r="U39" i="3"/>
  <c r="U55" i="3" s="1"/>
  <c r="GL39" i="3"/>
  <c r="GL55" i="3" s="1"/>
  <c r="GJ33" i="3"/>
  <c r="GJ49" i="3" s="1"/>
  <c r="HF33" i="3"/>
  <c r="HF49" i="3" s="1"/>
  <c r="HF30" i="3"/>
  <c r="HF46" i="3" s="1"/>
  <c r="MM36" i="3"/>
  <c r="MM52" i="3" s="1"/>
  <c r="BW36" i="3"/>
  <c r="BW52" i="3" s="1"/>
  <c r="CP39" i="3"/>
  <c r="CP55" i="3" s="1"/>
  <c r="CX33" i="3"/>
  <c r="CX49" i="3" s="1"/>
  <c r="ET36" i="3"/>
  <c r="ET52" i="3" s="1"/>
  <c r="HB27" i="3"/>
  <c r="HB43" i="3" s="1"/>
  <c r="OG33" i="3"/>
  <c r="OG49" i="3" s="1"/>
  <c r="NB39" i="3"/>
  <c r="NB55" i="3" s="1"/>
  <c r="EN36" i="3"/>
  <c r="EN52" i="3" s="1"/>
  <c r="CL39" i="3"/>
  <c r="CL55" i="3" s="1"/>
  <c r="MR39" i="3"/>
  <c r="MR55" i="3" s="1"/>
  <c r="DJ33" i="3"/>
  <c r="DJ49" i="3" s="1"/>
  <c r="HU33" i="3"/>
  <c r="HU49" i="3" s="1"/>
  <c r="BC36" i="3"/>
  <c r="BC52" i="3" s="1"/>
  <c r="KU36" i="3"/>
  <c r="KU52" i="3" s="1"/>
  <c r="LL27" i="3"/>
  <c r="LL43" i="3" s="1"/>
  <c r="DB33" i="3"/>
  <c r="DB49" i="3" s="1"/>
  <c r="EN39" i="3"/>
  <c r="EN55" i="3" s="1"/>
  <c r="DB36" i="3"/>
  <c r="DB52" i="3" s="1"/>
  <c r="NY30" i="3"/>
  <c r="NY46" i="3" s="1"/>
  <c r="BM27" i="3"/>
  <c r="BM43" i="3" s="1"/>
  <c r="BM39" i="3"/>
  <c r="BM55" i="3" s="1"/>
  <c r="LO27" i="3"/>
  <c r="LO43" i="3" s="1"/>
  <c r="F36" i="3"/>
  <c r="F52" i="3" s="1"/>
  <c r="DU39" i="3"/>
  <c r="DU55" i="3" s="1"/>
  <c r="NT30" i="3"/>
  <c r="NT46" i="3" s="1"/>
  <c r="BH54" i="3"/>
  <c r="CH33" i="3"/>
  <c r="CH49" i="3" s="1"/>
  <c r="CH30" i="3"/>
  <c r="CH46" i="3" s="1"/>
  <c r="V27" i="3"/>
  <c r="V43" i="3" s="1"/>
  <c r="V36" i="3"/>
  <c r="V52" i="3" s="1"/>
  <c r="QF39" i="3"/>
  <c r="QF55" i="3" s="1"/>
  <c r="HQ30" i="3"/>
  <c r="HQ46" i="3" s="1"/>
  <c r="BQ33" i="3"/>
  <c r="BQ49" i="3" s="1"/>
  <c r="R36" i="3"/>
  <c r="R52" i="3" s="1"/>
  <c r="NT36" i="3"/>
  <c r="NT52" i="3" s="1"/>
  <c r="AJ27" i="3"/>
  <c r="AJ43" i="3" s="1"/>
  <c r="CQ27" i="3"/>
  <c r="CQ43" i="3" s="1"/>
  <c r="CQ33" i="3"/>
  <c r="CQ49" i="3" s="1"/>
  <c r="F27" i="3"/>
  <c r="F43" i="3" s="1"/>
  <c r="R27" i="3"/>
  <c r="R43" i="3" s="1"/>
  <c r="R33" i="3"/>
  <c r="R49" i="3" s="1"/>
  <c r="AK30" i="3"/>
  <c r="AK46" i="3" s="1"/>
  <c r="GG33" i="3"/>
  <c r="GG49" i="3" s="1"/>
  <c r="GG39" i="3"/>
  <c r="GG55" i="3" s="1"/>
  <c r="GO39" i="3"/>
  <c r="GO55" i="3" s="1"/>
  <c r="HA30" i="3"/>
  <c r="HA46" i="3" s="1"/>
  <c r="HA36" i="3"/>
  <c r="HA52" i="3" s="1"/>
  <c r="HM30" i="3"/>
  <c r="HM46" i="3" s="1"/>
  <c r="HM36" i="3"/>
  <c r="HM52" i="3" s="1"/>
  <c r="HQ33" i="3"/>
  <c r="HQ49" i="3" s="1"/>
  <c r="HY33" i="3"/>
  <c r="HY49" i="3" s="1"/>
  <c r="IO36" i="3"/>
  <c r="IO52" i="3" s="1"/>
  <c r="JE39" i="3"/>
  <c r="JE55" i="3" s="1"/>
  <c r="JU27" i="3"/>
  <c r="JU43" i="3" s="1"/>
  <c r="KO33" i="3"/>
  <c r="KO49" i="3" s="1"/>
  <c r="JS39" i="3"/>
  <c r="JS55" i="3" s="1"/>
  <c r="EH30" i="3"/>
  <c r="EH46" i="3" s="1"/>
  <c r="EH36" i="3"/>
  <c r="EH52" i="3" s="1"/>
  <c r="HJ39" i="3"/>
  <c r="HJ55" i="3" s="1"/>
  <c r="KD33" i="3"/>
  <c r="KD49" i="3" s="1"/>
  <c r="LS33" i="3"/>
  <c r="LS49" i="3" s="1"/>
  <c r="IL39" i="3"/>
  <c r="IL55" i="3" s="1"/>
  <c r="IX33" i="3"/>
  <c r="IX49" i="3" s="1"/>
  <c r="OG30" i="3"/>
  <c r="OG46" i="3" s="1"/>
  <c r="JR30" i="3"/>
  <c r="JR46" i="3" s="1"/>
  <c r="KP39" i="3"/>
  <c r="KP55" i="3" s="1"/>
  <c r="OK33" i="3"/>
  <c r="OK49" i="3" s="1"/>
  <c r="QW39" i="3"/>
  <c r="QW55" i="3" s="1"/>
  <c r="RA33" i="3"/>
  <c r="RA49" i="3" s="1"/>
  <c r="KL27" i="3"/>
  <c r="KL43" i="3" s="1"/>
  <c r="BQ36" i="3"/>
  <c r="BQ52" i="3" s="1"/>
  <c r="DM36" i="3"/>
  <c r="DM52" i="3" s="1"/>
  <c r="RM36" i="3"/>
  <c r="RM52" i="3" s="1"/>
  <c r="EG39" i="3"/>
  <c r="EG55" i="3" s="1"/>
  <c r="N39" i="3"/>
  <c r="N55" i="3" s="1"/>
  <c r="IU33" i="3"/>
  <c r="IU49" i="3" s="1"/>
  <c r="OU33" i="3"/>
  <c r="OU49" i="3" s="1"/>
  <c r="FB27" i="3"/>
  <c r="FB43" i="3" s="1"/>
  <c r="NM36" i="3"/>
  <c r="NM52" i="3" s="1"/>
  <c r="AC30" i="3"/>
  <c r="AC46" i="3" s="1"/>
  <c r="GC30" i="3"/>
  <c r="GC46" i="3" s="1"/>
  <c r="HU36" i="3"/>
  <c r="HU52" i="3" s="1"/>
  <c r="T27" i="3"/>
  <c r="T43" i="3" s="1"/>
  <c r="NF36" i="3"/>
  <c r="NF52" i="3" s="1"/>
  <c r="Q27" i="3"/>
  <c r="Q43" i="3" s="1"/>
  <c r="IC39" i="3"/>
  <c r="IC55" i="3" s="1"/>
  <c r="BB30" i="3"/>
  <c r="BB46" i="3" s="1"/>
  <c r="BZ36" i="3"/>
  <c r="BZ52" i="3" s="1"/>
  <c r="GJ36" i="3"/>
  <c r="GJ52" i="3" s="1"/>
  <c r="CG39" i="3"/>
  <c r="CG55" i="3" s="1"/>
  <c r="ES33" i="3"/>
  <c r="ES49" i="3" s="1"/>
  <c r="IC33" i="3"/>
  <c r="IC49" i="3" s="1"/>
  <c r="FU27" i="3"/>
  <c r="FU43" i="3" s="1"/>
  <c r="HI33" i="3"/>
  <c r="HI49" i="3" s="1"/>
  <c r="HQ36" i="3"/>
  <c r="HQ52" i="3" s="1"/>
  <c r="HQ39" i="3"/>
  <c r="HQ55" i="3" s="1"/>
  <c r="DE30" i="3"/>
  <c r="DE46" i="3" s="1"/>
  <c r="HF27" i="3"/>
  <c r="HF43" i="3" s="1"/>
  <c r="PS30" i="3"/>
  <c r="PS46" i="3" s="1"/>
  <c r="CP30" i="3"/>
  <c r="CP46" i="3" s="1"/>
  <c r="ET30" i="3"/>
  <c r="ET46" i="3" s="1"/>
  <c r="HB30" i="3"/>
  <c r="HB46" i="3" s="1"/>
  <c r="HB36" i="3"/>
  <c r="HB52" i="3" s="1"/>
  <c r="MD30" i="3"/>
  <c r="MD46" i="3" s="1"/>
  <c r="PK39" i="3"/>
  <c r="PK55" i="3" s="1"/>
  <c r="JR39" i="3"/>
  <c r="JR55" i="3" s="1"/>
  <c r="NH39" i="3"/>
  <c r="NH55" i="3" s="1"/>
  <c r="MN27" i="3"/>
  <c r="MN43" i="3" s="1"/>
  <c r="DJ39" i="3"/>
  <c r="DJ55" i="3" s="1"/>
  <c r="HU27" i="3"/>
  <c r="HU43" i="3" s="1"/>
  <c r="CM33" i="3"/>
  <c r="CM49" i="3" s="1"/>
  <c r="CU27" i="3"/>
  <c r="CU43" i="3" s="1"/>
  <c r="FX27" i="3"/>
  <c r="FX43" i="3" s="1"/>
  <c r="LS30" i="3"/>
  <c r="LS46" i="3" s="1"/>
  <c r="HC30" i="3"/>
  <c r="HC46" i="3" s="1"/>
  <c r="CN33" i="3"/>
  <c r="CN49" i="3" s="1"/>
  <c r="GO36" i="3"/>
  <c r="GO52" i="3" s="1"/>
  <c r="CN36" i="3"/>
  <c r="CN52" i="3" s="1"/>
  <c r="CH36" i="3"/>
  <c r="CH52" i="3" s="1"/>
  <c r="V30" i="3"/>
  <c r="V46" i="3" s="1"/>
  <c r="AV33" i="3"/>
  <c r="AV49" i="3" s="1"/>
  <c r="PD27" i="3"/>
  <c r="PD43" i="3" s="1"/>
  <c r="F33" i="3"/>
  <c r="F49" i="3" s="1"/>
  <c r="J33" i="3"/>
  <c r="J49" i="3" s="1"/>
  <c r="U27" i="3"/>
  <c r="U43" i="3" s="1"/>
  <c r="HM39" i="3"/>
  <c r="HM55" i="3" s="1"/>
  <c r="HY39" i="3"/>
  <c r="HY55" i="3" s="1"/>
  <c r="IC30" i="3"/>
  <c r="IC46" i="3" s="1"/>
  <c r="IO27" i="3"/>
  <c r="IO43" i="3" s="1"/>
  <c r="JU39" i="3"/>
  <c r="JU55" i="3" s="1"/>
  <c r="KO27" i="3"/>
  <c r="KO43" i="3" s="1"/>
  <c r="DW36" i="3"/>
  <c r="DW52" i="3" s="1"/>
  <c r="JS33" i="3"/>
  <c r="JS49" i="3" s="1"/>
  <c r="Z39" i="3"/>
  <c r="Z55" i="3" s="1"/>
  <c r="DB30" i="3"/>
  <c r="DB46" i="3" s="1"/>
  <c r="EH27" i="3"/>
  <c r="EH43" i="3" s="1"/>
  <c r="HJ36" i="3"/>
  <c r="HJ52" i="3" s="1"/>
  <c r="IL33" i="3"/>
  <c r="IL49" i="3" s="1"/>
  <c r="PR33" i="3"/>
  <c r="PR49" i="3" s="1"/>
  <c r="SD36" i="3"/>
  <c r="SD52" i="3" s="1"/>
  <c r="IX27" i="3"/>
  <c r="IX43" i="3" s="1"/>
  <c r="OG36" i="3"/>
  <c r="OG52" i="3" s="1"/>
  <c r="KP27" i="3"/>
  <c r="KP43" i="3" s="1"/>
  <c r="LM36" i="3"/>
  <c r="LM52" i="3" s="1"/>
  <c r="CC33" i="3"/>
  <c r="CC49" i="3" s="1"/>
  <c r="RK30" i="3"/>
  <c r="RK46" i="3" s="1"/>
  <c r="RK33" i="3"/>
  <c r="RK49" i="3" s="1"/>
  <c r="SC33" i="3"/>
  <c r="SC49" i="3" s="1"/>
  <c r="SC30" i="3"/>
  <c r="SC46" i="3" s="1"/>
  <c r="KL36" i="3"/>
  <c r="KL52" i="3" s="1"/>
  <c r="CO30" i="3"/>
  <c r="CO46" i="3" s="1"/>
  <c r="BY33" i="3"/>
  <c r="BY49" i="3" s="1"/>
  <c r="QG39" i="3"/>
  <c r="QG55" i="3" s="1"/>
  <c r="RM33" i="3"/>
  <c r="RM49" i="3" s="1"/>
  <c r="IT33" i="3"/>
  <c r="IT49" i="3" s="1"/>
  <c r="IT39" i="3"/>
  <c r="IT55" i="3" s="1"/>
  <c r="MD36" i="3"/>
  <c r="MD52" i="3" s="1"/>
  <c r="DN36" i="3"/>
  <c r="DN52" i="3" s="1"/>
  <c r="AT36" i="3"/>
  <c r="AT52" i="3" s="1"/>
  <c r="AT30" i="3"/>
  <c r="AT46" i="3" s="1"/>
  <c r="NB33" i="3"/>
  <c r="NB49" i="3" s="1"/>
  <c r="DM33" i="3"/>
  <c r="DM49" i="3" s="1"/>
  <c r="DN39" i="3"/>
  <c r="DN55" i="3" s="1"/>
  <c r="IE30" i="3"/>
  <c r="IE46" i="3" s="1"/>
  <c r="AQ27" i="3"/>
  <c r="AQ43" i="3" s="1"/>
  <c r="JZ33" i="3"/>
  <c r="JZ49" i="3" s="1"/>
  <c r="IT27" i="3"/>
  <c r="IT43" i="3" s="1"/>
  <c r="PG30" i="3"/>
  <c r="PG46" i="3" s="1"/>
  <c r="QV30" i="3"/>
  <c r="QV46" i="3" s="1"/>
  <c r="KF30" i="3"/>
  <c r="KF46" i="3" s="1"/>
  <c r="PD30" i="3"/>
  <c r="PD46" i="3" s="1"/>
  <c r="LL39" i="3"/>
  <c r="LL55" i="3" s="1"/>
  <c r="LO30" i="3"/>
  <c r="LO46" i="3" s="1"/>
  <c r="BH27" i="3"/>
  <c r="BH43" i="3" s="1"/>
  <c r="IR36" i="3"/>
  <c r="IR52" i="3" s="1"/>
  <c r="SB39" i="3"/>
  <c r="SB55" i="3" s="1"/>
  <c r="HK39" i="3"/>
  <c r="HK55" i="3" s="1"/>
  <c r="OJ33" i="3"/>
  <c r="OJ49" i="3" s="1"/>
  <c r="KF27" i="3"/>
  <c r="KF43" i="3" s="1"/>
  <c r="DS33" i="3"/>
  <c r="DS49" i="3" s="1"/>
  <c r="FX33" i="3"/>
  <c r="FX49" i="3" s="1"/>
  <c r="NT33" i="3"/>
  <c r="NT49" i="3" s="1"/>
  <c r="KJ36" i="3"/>
  <c r="KJ52" i="3" s="1"/>
  <c r="HT39" i="3"/>
  <c r="HT55" i="3" s="1"/>
  <c r="NN36" i="3"/>
  <c r="NN52" i="3" s="1"/>
  <c r="PG36" i="3"/>
  <c r="PG52" i="3" s="1"/>
  <c r="MN39" i="3"/>
  <c r="MN55" i="3" s="1"/>
  <c r="DT36" i="3"/>
  <c r="DT52" i="3" s="1"/>
  <c r="CM27" i="3"/>
  <c r="CM43" i="3" s="1"/>
  <c r="BR39" i="3"/>
  <c r="BR55" i="3" s="1"/>
  <c r="LW33" i="3"/>
  <c r="LW49" i="3" s="1"/>
  <c r="JC33" i="3"/>
  <c r="JC49" i="3" s="1"/>
  <c r="HW33" i="3"/>
  <c r="HW49" i="3" s="1"/>
  <c r="LN36" i="3"/>
  <c r="LN52" i="3" s="1"/>
  <c r="HS33" i="3"/>
  <c r="HS49" i="3" s="1"/>
  <c r="EV51" i="3"/>
  <c r="LJ50" i="3"/>
  <c r="KA50" i="3"/>
  <c r="GN33" i="3"/>
  <c r="GN49" i="3" s="1"/>
  <c r="ML33" i="3"/>
  <c r="ML49" i="3" s="1"/>
  <c r="GC39" i="3"/>
  <c r="GC55" i="3" s="1"/>
  <c r="DI30" i="3"/>
  <c r="DI46" i="3" s="1"/>
  <c r="BA33" i="3"/>
  <c r="BA49" i="3" s="1"/>
  <c r="SG39" i="3"/>
  <c r="SG55" i="3" s="1"/>
  <c r="FR33" i="3"/>
  <c r="FR49" i="3" s="1"/>
  <c r="FB36" i="3"/>
  <c r="FB52" i="3" s="1"/>
  <c r="FB30" i="3"/>
  <c r="FB46" i="3" s="1"/>
  <c r="DV36" i="3"/>
  <c r="DV52" i="3" s="1"/>
  <c r="DV30" i="3"/>
  <c r="DV46" i="3" s="1"/>
  <c r="DF27" i="3"/>
  <c r="DF43" i="3" s="1"/>
  <c r="OU36" i="3"/>
  <c r="OU52" i="3" s="1"/>
  <c r="OU30" i="3"/>
  <c r="OU46" i="3" s="1"/>
  <c r="OE39" i="3"/>
  <c r="OE55" i="3" s="1"/>
  <c r="OE27" i="3"/>
  <c r="OE43" i="3" s="1"/>
  <c r="KQ36" i="3"/>
  <c r="KQ52" i="3" s="1"/>
  <c r="KQ30" i="3"/>
  <c r="KQ46" i="3" s="1"/>
  <c r="KE33" i="3"/>
  <c r="KE49" i="3" s="1"/>
  <c r="KE27" i="3"/>
  <c r="KE43" i="3" s="1"/>
  <c r="IU36" i="3"/>
  <c r="IU52" i="3" s="1"/>
  <c r="IU30" i="3"/>
  <c r="IU46" i="3" s="1"/>
  <c r="FO39" i="3"/>
  <c r="FO55" i="3" s="1"/>
  <c r="FO27" i="3"/>
  <c r="FO43" i="3" s="1"/>
  <c r="IK36" i="3"/>
  <c r="IK52" i="3" s="1"/>
  <c r="IK30" i="3"/>
  <c r="IK46" i="3" s="1"/>
  <c r="Q39" i="3"/>
  <c r="Q55" i="3" s="1"/>
  <c r="FA27" i="3"/>
  <c r="FA43" i="3" s="1"/>
  <c r="H33" i="3"/>
  <c r="H49" i="3" s="1"/>
  <c r="EG36" i="3"/>
  <c r="EG52" i="3" s="1"/>
  <c r="EG30" i="3"/>
  <c r="EG46" i="3" s="1"/>
  <c r="EC39" i="3"/>
  <c r="EC55" i="3" s="1"/>
  <c r="K36" i="3"/>
  <c r="K52" i="3" s="1"/>
  <c r="EC27" i="3"/>
  <c r="EC43" i="3" s="1"/>
  <c r="T39" i="3"/>
  <c r="T55" i="3" s="1"/>
  <c r="FA30" i="3"/>
  <c r="FA46" i="3" s="1"/>
  <c r="H39" i="3"/>
  <c r="H55" i="3" s="1"/>
  <c r="K33" i="3"/>
  <c r="K49" i="3" s="1"/>
  <c r="EC36" i="3"/>
  <c r="EC52" i="3" s="1"/>
  <c r="H36" i="3"/>
  <c r="H52" i="3" s="1"/>
  <c r="O39" i="3"/>
  <c r="O55" i="3" s="1"/>
  <c r="O33" i="3"/>
  <c r="O49" i="3" s="1"/>
  <c r="O27" i="3"/>
  <c r="O43" i="3" s="1"/>
  <c r="ZM25" i="3" l="1"/>
  <c r="ZP25" i="3"/>
  <c r="QP25" i="3"/>
  <c r="ZN25" i="3"/>
  <c r="HP25" i="3"/>
  <c r="ZO25" i="3"/>
  <c r="ZL25" i="3"/>
  <c r="U3" i="11"/>
  <c r="U2" i="11"/>
  <c r="VY25" i="3"/>
  <c r="XA25" i="3"/>
  <c r="QA25" i="3"/>
  <c r="SM25" i="3"/>
  <c r="UY25" i="3"/>
  <c r="XK25" i="3"/>
  <c r="YQ25" i="3"/>
  <c r="TM25" i="3"/>
  <c r="UO25" i="3"/>
  <c r="TC25" i="3"/>
  <c r="UI25" i="3"/>
  <c r="VO25" i="3"/>
  <c r="WU25" i="3"/>
  <c r="YA25" i="3"/>
  <c r="TH25" i="3"/>
  <c r="UN25" i="3"/>
  <c r="VT25" i="3"/>
  <c r="SX25" i="3"/>
  <c r="VJ25" i="3"/>
  <c r="WP25" i="3"/>
  <c r="XV25" i="3"/>
  <c r="ZB25" i="3"/>
  <c r="WW25" i="3"/>
  <c r="XY25" i="3"/>
  <c r="TA25" i="3"/>
  <c r="GM25" i="3"/>
  <c r="FG25" i="3"/>
  <c r="WT25" i="3"/>
  <c r="YS25" i="3"/>
  <c r="SK25" i="3"/>
  <c r="WO25" i="3"/>
  <c r="SS25" i="3"/>
  <c r="UU25" i="3"/>
  <c r="XW25" i="3"/>
  <c r="UJ25" i="3"/>
  <c r="YB25" i="3"/>
  <c r="GZ25" i="3"/>
  <c r="TJ25" i="3"/>
  <c r="WL25" i="3"/>
  <c r="VA25" i="3"/>
  <c r="BD25" i="3"/>
  <c r="W25" i="3"/>
  <c r="VI25" i="3"/>
  <c r="YW25" i="3"/>
  <c r="TY25" i="3"/>
  <c r="TG25" i="3"/>
  <c r="UM25" i="3"/>
  <c r="WY25" i="3"/>
  <c r="YE25" i="3"/>
  <c r="ZK25" i="3"/>
  <c r="TL25" i="3"/>
  <c r="UR25" i="3"/>
  <c r="VX25" i="3"/>
  <c r="YJ25" i="3"/>
  <c r="TB25" i="3"/>
  <c r="UH25" i="3"/>
  <c r="XJ25" i="3"/>
  <c r="ZF25" i="3"/>
  <c r="TU25" i="3"/>
  <c r="FT25" i="3"/>
  <c r="VE25" i="3"/>
  <c r="UE25" i="3"/>
  <c r="XG25" i="3"/>
  <c r="PL25" i="3"/>
  <c r="SN25" i="3"/>
  <c r="VP25" i="3"/>
  <c r="IF25" i="3"/>
  <c r="TZ25" i="3"/>
  <c r="XB25" i="3"/>
  <c r="XM25" i="3"/>
  <c r="US25" i="3"/>
  <c r="YG25" i="3"/>
  <c r="TI25" i="3"/>
  <c r="SR25" i="3"/>
  <c r="TX25" i="3"/>
  <c r="VD25" i="3"/>
  <c r="WJ25" i="3"/>
  <c r="YV25" i="3"/>
  <c r="SH25" i="3"/>
  <c r="TN25" i="3"/>
  <c r="UT25" i="3"/>
  <c r="VZ25" i="3"/>
  <c r="YL25" i="3"/>
  <c r="ZI25" i="3"/>
  <c r="UK25" i="3"/>
  <c r="VM25" i="3"/>
  <c r="AY25" i="3"/>
  <c r="YP25" i="3"/>
  <c r="XI25" i="3"/>
  <c r="XQ25" i="3"/>
  <c r="SY25" i="3"/>
  <c r="WA25" i="3"/>
  <c r="TD25" i="3"/>
  <c r="WF25" i="3"/>
  <c r="KR25" i="3"/>
  <c r="VF25" i="3"/>
  <c r="YH25" i="3"/>
  <c r="SO25" i="3"/>
  <c r="EV25" i="3"/>
  <c r="CJ25" i="3"/>
  <c r="SU25" i="3"/>
  <c r="UA25" i="3"/>
  <c r="WM25" i="3"/>
  <c r="XS25" i="3"/>
  <c r="SJ25" i="3"/>
  <c r="WB25" i="3"/>
  <c r="XH25" i="3"/>
  <c r="TF25" i="3"/>
  <c r="UL25" i="3"/>
  <c r="VR25" i="3"/>
  <c r="WX25" i="3"/>
  <c r="YD25" i="3"/>
  <c r="ZJ25" i="3"/>
  <c r="VQ25" i="3"/>
  <c r="UG25" i="3"/>
  <c r="AB25" i="3"/>
  <c r="DC25" i="3"/>
  <c r="WQ25" i="3"/>
  <c r="WV25" i="3"/>
  <c r="XR25" i="3"/>
  <c r="WC25" i="3"/>
  <c r="XU25" i="3"/>
  <c r="SW25" i="3"/>
  <c r="WK25" i="3"/>
  <c r="SQ25" i="3"/>
  <c r="TW25" i="3"/>
  <c r="VC25" i="3"/>
  <c r="WI25" i="3"/>
  <c r="XO25" i="3"/>
  <c r="YU25" i="3"/>
  <c r="SV25" i="3"/>
  <c r="UB25" i="3"/>
  <c r="VH25" i="3"/>
  <c r="WN25" i="3"/>
  <c r="XT25" i="3"/>
  <c r="YZ25" i="3"/>
  <c r="SL25" i="3"/>
  <c r="TR25" i="3"/>
  <c r="UX25" i="3"/>
  <c r="WD25" i="3"/>
  <c r="XZ25" i="3"/>
  <c r="WG25" i="3"/>
  <c r="UW25" i="3"/>
  <c r="GI25" i="3"/>
  <c r="FC25" i="3"/>
  <c r="ZA25" i="3"/>
  <c r="SI25" i="3"/>
  <c r="VK25" i="3"/>
  <c r="YM25" i="3"/>
  <c r="TT25" i="3"/>
  <c r="XL25" i="3"/>
  <c r="LX25" i="3"/>
  <c r="YX25" i="3"/>
  <c r="XE25" i="3"/>
  <c r="TK25" i="3"/>
  <c r="UQ25" i="3"/>
  <c r="VW25" i="3"/>
  <c r="XC25" i="3"/>
  <c r="YI25" i="3"/>
  <c r="SZ25" i="3"/>
  <c r="UF25" i="3"/>
  <c r="VL25" i="3"/>
  <c r="WR25" i="3"/>
  <c r="XX25" i="3"/>
  <c r="ZD25" i="3"/>
  <c r="SP25" i="3"/>
  <c r="TV25" i="3"/>
  <c r="VB25" i="3"/>
  <c r="WH25" i="3"/>
  <c r="XN25" i="3"/>
  <c r="YT25" i="3"/>
  <c r="YC25" i="3"/>
  <c r="WS25" i="3"/>
  <c r="LC25" i="3"/>
  <c r="TO25" i="3"/>
  <c r="ZC25" i="3"/>
  <c r="QB25" i="3"/>
  <c r="UZ25" i="3"/>
  <c r="YR25" i="3"/>
  <c r="UP25" i="3"/>
  <c r="YO25" i="3"/>
  <c r="TQ25" i="3"/>
  <c r="EF25" i="3"/>
  <c r="BT25" i="3"/>
  <c r="WZ25" i="3"/>
  <c r="YF25" i="3"/>
  <c r="UD25" i="3"/>
  <c r="VS25" i="3"/>
  <c r="XD25" i="3"/>
  <c r="VN25" i="3"/>
  <c r="UC25" i="3"/>
  <c r="ZH25" i="3"/>
  <c r="VG25" i="3"/>
  <c r="YY25" i="3"/>
  <c r="TP25" i="3"/>
  <c r="UV25" i="3"/>
  <c r="YN25" i="3"/>
  <c r="ZE25" i="3"/>
  <c r="ST25" i="3"/>
  <c r="H60" i="3"/>
  <c r="H58" i="3"/>
  <c r="J60" i="3"/>
  <c r="J58" i="3"/>
  <c r="TS25" i="3"/>
  <c r="WE25" i="3"/>
  <c r="G60" i="3"/>
  <c r="G58" i="3"/>
  <c r="XP25" i="3"/>
  <c r="XF25" i="3"/>
  <c r="VV25" i="3"/>
  <c r="VU25" i="3"/>
  <c r="TE25" i="3"/>
  <c r="D25" i="3"/>
  <c r="F60" i="3"/>
  <c r="F58" i="3"/>
  <c r="I60" i="3"/>
  <c r="I58" i="3"/>
  <c r="E60" i="3"/>
  <c r="E58" i="3"/>
  <c r="C60" i="3"/>
  <c r="C58" i="3"/>
  <c r="YK25" i="3"/>
  <c r="ZG25" i="3"/>
  <c r="C28" i="3"/>
  <c r="C44" i="3" s="1"/>
  <c r="E28" i="3"/>
  <c r="E44" i="3" s="1"/>
  <c r="I28" i="3"/>
  <c r="I44" i="3" s="1"/>
  <c r="G28" i="3"/>
  <c r="G44" i="3" s="1"/>
  <c r="F28" i="3"/>
  <c r="F44" i="3" s="1"/>
  <c r="H28" i="3"/>
  <c r="H44" i="3" s="1"/>
  <c r="J28" i="3"/>
  <c r="J44" i="3" s="1"/>
  <c r="C41" i="3"/>
  <c r="C57" i="3" s="1"/>
  <c r="C38" i="3"/>
  <c r="C54" i="3" s="1"/>
  <c r="C37" i="3"/>
  <c r="C53" i="3" s="1"/>
  <c r="C35" i="3"/>
  <c r="C51" i="3" s="1"/>
  <c r="C34" i="3"/>
  <c r="C50" i="3" s="1"/>
  <c r="C32" i="3"/>
  <c r="C48" i="3" s="1"/>
  <c r="C31" i="3"/>
  <c r="C47" i="3" s="1"/>
  <c r="C29" i="3"/>
  <c r="C45" i="3" s="1"/>
  <c r="F41" i="3"/>
  <c r="F57" i="3" s="1"/>
  <c r="F38" i="3"/>
  <c r="F54" i="3" s="1"/>
  <c r="F37" i="3"/>
  <c r="F53" i="3" s="1"/>
  <c r="F35" i="3"/>
  <c r="F51" i="3" s="1"/>
  <c r="F34" i="3"/>
  <c r="F50" i="3" s="1"/>
  <c r="F32" i="3"/>
  <c r="F48" i="3" s="1"/>
  <c r="F31" i="3"/>
  <c r="F47" i="3" s="1"/>
  <c r="F29" i="3"/>
  <c r="F45" i="3" s="1"/>
  <c r="E41" i="3"/>
  <c r="E57" i="3" s="1"/>
  <c r="E38" i="3"/>
  <c r="E54" i="3" s="1"/>
  <c r="E37" i="3"/>
  <c r="E53" i="3" s="1"/>
  <c r="E35" i="3"/>
  <c r="E51" i="3" s="1"/>
  <c r="E34" i="3"/>
  <c r="E50" i="3" s="1"/>
  <c r="E32" i="3"/>
  <c r="E48" i="3" s="1"/>
  <c r="E31" i="3"/>
  <c r="E47" i="3" s="1"/>
  <c r="E29" i="3"/>
  <c r="E45" i="3" s="1"/>
  <c r="H41" i="3"/>
  <c r="H57" i="3" s="1"/>
  <c r="H38" i="3"/>
  <c r="H54" i="3" s="1"/>
  <c r="H37" i="3"/>
  <c r="H53" i="3" s="1"/>
  <c r="H35" i="3"/>
  <c r="H51" i="3" s="1"/>
  <c r="H34" i="3"/>
  <c r="H50" i="3" s="1"/>
  <c r="H32" i="3"/>
  <c r="H48" i="3" s="1"/>
  <c r="H31" i="3"/>
  <c r="H47" i="3" s="1"/>
  <c r="H29" i="3"/>
  <c r="H45" i="3" s="1"/>
  <c r="I41" i="3"/>
  <c r="I57" i="3" s="1"/>
  <c r="I38" i="3"/>
  <c r="I54" i="3" s="1"/>
  <c r="I37" i="3"/>
  <c r="I53" i="3" s="1"/>
  <c r="I35" i="3"/>
  <c r="I51" i="3" s="1"/>
  <c r="I34" i="3"/>
  <c r="I50" i="3" s="1"/>
  <c r="I32" i="3"/>
  <c r="I48" i="3" s="1"/>
  <c r="I31" i="3"/>
  <c r="I47" i="3" s="1"/>
  <c r="I29" i="3"/>
  <c r="I45" i="3" s="1"/>
  <c r="J41" i="3"/>
  <c r="J57" i="3" s="1"/>
  <c r="J38" i="3"/>
  <c r="J54" i="3" s="1"/>
  <c r="J37" i="3"/>
  <c r="J53" i="3" s="1"/>
  <c r="J35" i="3"/>
  <c r="J51" i="3" s="1"/>
  <c r="J34" i="3"/>
  <c r="J50" i="3" s="1"/>
  <c r="J32" i="3"/>
  <c r="J48" i="3" s="1"/>
  <c r="J31" i="3"/>
  <c r="J47" i="3" s="1"/>
  <c r="J29" i="3"/>
  <c r="J45" i="3" s="1"/>
  <c r="G41" i="3"/>
  <c r="G57" i="3" s="1"/>
  <c r="G38" i="3"/>
  <c r="G54" i="3" s="1"/>
  <c r="G37" i="3"/>
  <c r="G53" i="3" s="1"/>
  <c r="G35" i="3"/>
  <c r="G51" i="3" s="1"/>
  <c r="G34" i="3"/>
  <c r="G50" i="3" s="1"/>
  <c r="G32" i="3"/>
  <c r="G48" i="3" s="1"/>
  <c r="G31" i="3"/>
  <c r="G47" i="3" s="1"/>
  <c r="G29" i="3"/>
  <c r="G45" i="3" s="1"/>
  <c r="H40" i="3"/>
  <c r="H56" i="3" s="1"/>
  <c r="I40" i="3"/>
  <c r="I56" i="3" s="1"/>
  <c r="J40" i="3"/>
  <c r="J56" i="3" s="1"/>
  <c r="G40" i="3"/>
  <c r="G56" i="3" s="1"/>
  <c r="C40" i="3"/>
  <c r="C56" i="3" s="1"/>
  <c r="F40" i="3"/>
  <c r="F56" i="3" s="1"/>
  <c r="E40" i="3"/>
  <c r="E56" i="3" s="1"/>
  <c r="SE57" i="3"/>
  <c r="MK57" i="3"/>
  <c r="JK51" i="3"/>
  <c r="MO39" i="3"/>
  <c r="MO55" i="3" s="1"/>
  <c r="MO56" i="3"/>
  <c r="MO57" i="3"/>
  <c r="RW30" i="3"/>
  <c r="RW46" i="3" s="1"/>
  <c r="NZ33" i="3"/>
  <c r="NZ49" i="3" s="1"/>
  <c r="NZ25" i="3" s="1"/>
  <c r="JP36" i="3"/>
  <c r="JP52" i="3" s="1"/>
  <c r="JP54" i="3"/>
  <c r="JP53" i="3"/>
  <c r="AI50" i="3"/>
  <c r="AI53" i="3"/>
  <c r="AI54" i="3"/>
  <c r="JV39" i="3"/>
  <c r="JV55" i="3" s="1"/>
  <c r="JV25" i="3" s="1"/>
  <c r="PO56" i="3"/>
  <c r="PO50" i="3"/>
  <c r="PO57" i="3"/>
  <c r="PO51" i="3"/>
  <c r="KC30" i="3"/>
  <c r="KC46" i="3" s="1"/>
  <c r="PQ39" i="3"/>
  <c r="PQ55" i="3" s="1"/>
  <c r="PQ57" i="3"/>
  <c r="QE27" i="3"/>
  <c r="QE43" i="3" s="1"/>
  <c r="QE25" i="3"/>
  <c r="OM39" i="3"/>
  <c r="OM55" i="3" s="1"/>
  <c r="OM57" i="3"/>
  <c r="OM56" i="3"/>
  <c r="RB36" i="3"/>
  <c r="RB52" i="3" s="1"/>
  <c r="RB53" i="3"/>
  <c r="KM56" i="3"/>
  <c r="IP50" i="3"/>
  <c r="KG33" i="3"/>
  <c r="KG49" i="3" s="1"/>
  <c r="KG51" i="3"/>
  <c r="FW36" i="3"/>
  <c r="FW52" i="3" s="1"/>
  <c r="FW54" i="3"/>
  <c r="FW53" i="3"/>
  <c r="AI51" i="3"/>
  <c r="JA56" i="3"/>
  <c r="GS57" i="3"/>
  <c r="HC54" i="3"/>
  <c r="GA53" i="3"/>
  <c r="BS51" i="3"/>
  <c r="DP50" i="3"/>
  <c r="DP51" i="3"/>
  <c r="NQ39" i="3"/>
  <c r="NQ55" i="3" s="1"/>
  <c r="NQ56" i="3"/>
  <c r="NQ57" i="3"/>
  <c r="CR54" i="3"/>
  <c r="IH33" i="3"/>
  <c r="IH49" i="3" s="1"/>
  <c r="IH50" i="3"/>
  <c r="JB39" i="3"/>
  <c r="JB55" i="3" s="1"/>
  <c r="JB57" i="3"/>
  <c r="JB56" i="3"/>
  <c r="JV27" i="3"/>
  <c r="JV43" i="3" s="1"/>
  <c r="MP36" i="3"/>
  <c r="MP52" i="3" s="1"/>
  <c r="MP54" i="3"/>
  <c r="BX30" i="3"/>
  <c r="BX46" i="3" s="1"/>
  <c r="BX25" i="3"/>
  <c r="DX30" i="3"/>
  <c r="DX46" i="3" s="1"/>
  <c r="LI36" i="3"/>
  <c r="LI52" i="3" s="1"/>
  <c r="LI53" i="3"/>
  <c r="LI54" i="3"/>
  <c r="JB27" i="3"/>
  <c r="JB43" i="3" s="1"/>
  <c r="IW39" i="3"/>
  <c r="IW55" i="3" s="1"/>
  <c r="IW57" i="3"/>
  <c r="IW56" i="3"/>
  <c r="ED33" i="3"/>
  <c r="ED49" i="3" s="1"/>
  <c r="ED50" i="3"/>
  <c r="ED51" i="3"/>
  <c r="OM30" i="3"/>
  <c r="OM46" i="3" s="1"/>
  <c r="JT33" i="3"/>
  <c r="JT49" i="3" s="1"/>
  <c r="PT39" i="3"/>
  <c r="PT55" i="3" s="1"/>
  <c r="PT56" i="3"/>
  <c r="PT57" i="3"/>
  <c r="PF36" i="3"/>
  <c r="PF52" i="3" s="1"/>
  <c r="PF53" i="3"/>
  <c r="IH56" i="3"/>
  <c r="BS50" i="3"/>
  <c r="JK56" i="3"/>
  <c r="IN36" i="3"/>
  <c r="IN52" i="3" s="1"/>
  <c r="IN54" i="3"/>
  <c r="IN53" i="3"/>
  <c r="BG54" i="3"/>
  <c r="BG53" i="3"/>
  <c r="BG50" i="3"/>
  <c r="NV33" i="3"/>
  <c r="NV49" i="3" s="1"/>
  <c r="NV51" i="3"/>
  <c r="NR30" i="3"/>
  <c r="NR46" i="3" s="1"/>
  <c r="KV27" i="3"/>
  <c r="KV43" i="3" s="1"/>
  <c r="MF53" i="3"/>
  <c r="MF56" i="3"/>
  <c r="MF51" i="3"/>
  <c r="MF57" i="3"/>
  <c r="MF50" i="3"/>
  <c r="OR54" i="3"/>
  <c r="RN27" i="3"/>
  <c r="RN43" i="3" s="1"/>
  <c r="JG30" i="3"/>
  <c r="JG46" i="3" s="1"/>
  <c r="CY27" i="3"/>
  <c r="CY43" i="3" s="1"/>
  <c r="CY25" i="3"/>
  <c r="LH36" i="3"/>
  <c r="LH52" i="3" s="1"/>
  <c r="LH54" i="3"/>
  <c r="LH53" i="3"/>
  <c r="B36" i="3"/>
  <c r="B52" i="3" s="1"/>
  <c r="B54" i="3"/>
  <c r="B53" i="3"/>
  <c r="GM27" i="3"/>
  <c r="GM43" i="3" s="1"/>
  <c r="RD30" i="3"/>
  <c r="RD46" i="3" s="1"/>
  <c r="MO33" i="3"/>
  <c r="MO49" i="3" s="1"/>
  <c r="MO50" i="3"/>
  <c r="MO51" i="3"/>
  <c r="RB54" i="3"/>
  <c r="AD57" i="3"/>
  <c r="ER50" i="3"/>
  <c r="AZ51" i="3"/>
  <c r="MN56" i="3"/>
  <c r="HT50" i="3"/>
  <c r="GE54" i="3"/>
  <c r="IH54" i="3"/>
  <c r="RE53" i="3"/>
  <c r="RE54" i="3"/>
  <c r="NJ36" i="3"/>
  <c r="NJ52" i="3" s="1"/>
  <c r="NJ54" i="3"/>
  <c r="NJ53" i="3"/>
  <c r="GA56" i="3"/>
  <c r="GA54" i="3"/>
  <c r="GA50" i="3"/>
  <c r="GA51" i="3"/>
  <c r="GA57" i="3"/>
  <c r="DL33" i="3"/>
  <c r="DL49" i="3" s="1"/>
  <c r="DL50" i="3"/>
  <c r="DL51" i="3"/>
  <c r="RV51" i="3"/>
  <c r="RV50" i="3"/>
  <c r="RV25" i="3" s="1"/>
  <c r="DL30" i="3"/>
  <c r="DL46" i="3" s="1"/>
  <c r="KV39" i="3"/>
  <c r="KV55" i="3" s="1"/>
  <c r="KV57" i="3"/>
  <c r="KV56" i="3"/>
  <c r="RZ33" i="3"/>
  <c r="RZ49" i="3" s="1"/>
  <c r="RZ50" i="3"/>
  <c r="RZ51" i="3"/>
  <c r="MS27" i="3"/>
  <c r="MS43" i="3" s="1"/>
  <c r="MC39" i="3"/>
  <c r="MC55" i="3" s="1"/>
  <c r="MC56" i="3"/>
  <c r="MC57" i="3"/>
  <c r="OI36" i="3"/>
  <c r="OI52" i="3" s="1"/>
  <c r="OI54" i="3"/>
  <c r="OI53" i="3"/>
  <c r="GP50" i="3"/>
  <c r="GP51" i="3"/>
  <c r="GP57" i="3"/>
  <c r="GP56" i="3"/>
  <c r="JN30" i="3"/>
  <c r="JN46" i="3" s="1"/>
  <c r="IV36" i="3"/>
  <c r="IV52" i="3" s="1"/>
  <c r="IV54" i="3"/>
  <c r="LR50" i="3"/>
  <c r="LR54" i="3"/>
  <c r="LR53" i="3"/>
  <c r="LR57" i="3"/>
  <c r="LR51" i="3"/>
  <c r="LR56" i="3"/>
  <c r="RG36" i="3"/>
  <c r="RG52" i="3" s="1"/>
  <c r="RG53" i="3"/>
  <c r="RG54" i="3"/>
  <c r="DL36" i="3"/>
  <c r="DL52" i="3" s="1"/>
  <c r="DL54" i="3"/>
  <c r="DL53" i="3"/>
  <c r="FZ36" i="3"/>
  <c r="FZ52" i="3" s="1"/>
  <c r="FZ54" i="3"/>
  <c r="FZ53" i="3"/>
  <c r="MY36" i="3"/>
  <c r="MY52" i="3" s="1"/>
  <c r="MY54" i="3"/>
  <c r="MY53" i="3"/>
  <c r="QL39" i="3"/>
  <c r="QL55" i="3" s="1"/>
  <c r="QL57" i="3"/>
  <c r="QL56" i="3"/>
  <c r="IA30" i="3"/>
  <c r="IA46" i="3" s="1"/>
  <c r="IV33" i="3"/>
  <c r="IV49" i="3" s="1"/>
  <c r="IV51" i="3"/>
  <c r="IV50" i="3"/>
  <c r="KI33" i="3"/>
  <c r="KI49" i="3" s="1"/>
  <c r="KI51" i="3"/>
  <c r="KI50" i="3"/>
  <c r="PM54" i="3"/>
  <c r="NC50" i="3"/>
  <c r="NC51" i="3"/>
  <c r="CV50" i="3"/>
  <c r="JD36" i="3"/>
  <c r="JD52" i="3" s="1"/>
  <c r="JD53" i="3"/>
  <c r="PH27" i="3"/>
  <c r="PH43" i="3" s="1"/>
  <c r="IW30" i="3"/>
  <c r="IW46" i="3" s="1"/>
  <c r="PQ30" i="3"/>
  <c r="PQ46" i="3" s="1"/>
  <c r="HG36" i="3"/>
  <c r="HG52" i="3" s="1"/>
  <c r="HG53" i="3"/>
  <c r="HG54" i="3"/>
  <c r="PX33" i="3"/>
  <c r="PX49" i="3" s="1"/>
  <c r="PX50" i="3"/>
  <c r="RF56" i="3"/>
  <c r="RF57" i="3"/>
  <c r="RF51" i="3"/>
  <c r="RF50" i="3"/>
  <c r="DR39" i="3"/>
  <c r="DR55" i="3" s="1"/>
  <c r="DR57" i="3"/>
  <c r="NE39" i="3"/>
  <c r="NE55" i="3" s="1"/>
  <c r="NE56" i="3"/>
  <c r="NE57" i="3"/>
  <c r="OS30" i="3"/>
  <c r="OS46" i="3" s="1"/>
  <c r="FZ30" i="3"/>
  <c r="FZ46" i="3" s="1"/>
  <c r="NL36" i="3"/>
  <c r="NL52" i="3" s="1"/>
  <c r="NL54" i="3"/>
  <c r="NL53" i="3"/>
  <c r="FL51" i="3"/>
  <c r="FL53" i="3"/>
  <c r="FL54" i="3"/>
  <c r="HH30" i="3"/>
  <c r="HH46" i="3" s="1"/>
  <c r="HH25" i="3"/>
  <c r="LI30" i="3"/>
  <c r="LI46" i="3" s="1"/>
  <c r="SA27" i="3"/>
  <c r="SA43" i="3" s="1"/>
  <c r="KW36" i="3"/>
  <c r="KW52" i="3" s="1"/>
  <c r="KW53" i="3"/>
  <c r="KW54" i="3"/>
  <c r="FV39" i="3"/>
  <c r="FV55" i="3" s="1"/>
  <c r="FV57" i="3"/>
  <c r="FV56" i="3"/>
  <c r="JO39" i="3"/>
  <c r="JO55" i="3" s="1"/>
  <c r="JO56" i="3"/>
  <c r="JO57" i="3"/>
  <c r="RG39" i="3"/>
  <c r="RG55" i="3" s="1"/>
  <c r="RG56" i="3"/>
  <c r="RG57" i="3"/>
  <c r="PA30" i="3"/>
  <c r="PA46" i="3" s="1"/>
  <c r="GB51" i="3"/>
  <c r="GB50" i="3"/>
  <c r="GB56" i="3"/>
  <c r="GB57" i="3"/>
  <c r="GB54" i="3"/>
  <c r="GB53" i="3"/>
  <c r="JL33" i="3"/>
  <c r="JL49" i="3" s="1"/>
  <c r="JL51" i="3"/>
  <c r="JL50" i="3"/>
  <c r="BS30" i="3"/>
  <c r="BS46" i="3" s="1"/>
  <c r="RV30" i="3"/>
  <c r="RV46" i="3" s="1"/>
  <c r="LE33" i="3"/>
  <c r="LE49" i="3" s="1"/>
  <c r="LE50" i="3"/>
  <c r="NQ27" i="3"/>
  <c r="NQ43" i="3" s="1"/>
  <c r="PA36" i="3"/>
  <c r="PA52" i="3" s="1"/>
  <c r="PA53" i="3"/>
  <c r="PA54" i="3"/>
  <c r="GP30" i="3"/>
  <c r="GP46" i="3" s="1"/>
  <c r="RC27" i="3"/>
  <c r="RC43" i="3" s="1"/>
  <c r="RC25" i="3"/>
  <c r="LP39" i="3"/>
  <c r="LP55" i="3" s="1"/>
  <c r="LP56" i="3"/>
  <c r="LP57" i="3"/>
  <c r="LB39" i="3"/>
  <c r="LB55" i="3" s="1"/>
  <c r="LB56" i="3"/>
  <c r="LB57" i="3"/>
  <c r="MB54" i="3"/>
  <c r="MB53" i="3"/>
  <c r="LH27" i="3"/>
  <c r="LH43" i="3" s="1"/>
  <c r="LE51" i="3"/>
  <c r="S33" i="3"/>
  <c r="S49" i="3" s="1"/>
  <c r="S50" i="3"/>
  <c r="JM36" i="3"/>
  <c r="JM52" i="3" s="1"/>
  <c r="JM53" i="3"/>
  <c r="JM54" i="3"/>
  <c r="RN33" i="3"/>
  <c r="RN49" i="3" s="1"/>
  <c r="RN51" i="3"/>
  <c r="RN50" i="3"/>
  <c r="FZ57" i="3"/>
  <c r="LA33" i="3"/>
  <c r="LA49" i="3" s="1"/>
  <c r="LA50" i="3"/>
  <c r="AA51" i="3"/>
  <c r="AA50" i="3"/>
  <c r="AA53" i="3"/>
  <c r="AA54" i="3"/>
  <c r="LG36" i="3"/>
  <c r="LG52" i="3" s="1"/>
  <c r="LG54" i="3"/>
  <c r="LG53" i="3"/>
  <c r="LK39" i="3"/>
  <c r="LK55" i="3" s="1"/>
  <c r="LK56" i="3"/>
  <c r="LF30" i="3"/>
  <c r="LF46" i="3" s="1"/>
  <c r="QN39" i="3"/>
  <c r="QN55" i="3" s="1"/>
  <c r="QN56" i="3"/>
  <c r="KZ27" i="3"/>
  <c r="KZ43" i="3" s="1"/>
  <c r="IV39" i="3"/>
  <c r="IV55" i="3" s="1"/>
  <c r="IV56" i="3"/>
  <c r="IV57" i="3"/>
  <c r="ND30" i="3"/>
  <c r="ND46" i="3" s="1"/>
  <c r="QN57" i="3"/>
  <c r="PW33" i="3"/>
  <c r="PW49" i="3" s="1"/>
  <c r="PW51" i="3"/>
  <c r="PW50" i="3"/>
  <c r="RJ56" i="3"/>
  <c r="RJ57" i="3"/>
  <c r="MU30" i="3"/>
  <c r="MU46" i="3" s="1"/>
  <c r="QL30" i="3"/>
  <c r="QL46" i="3" s="1"/>
  <c r="KZ30" i="3"/>
  <c r="KZ46" i="3" s="1"/>
  <c r="NX33" i="3"/>
  <c r="NX49" i="3" s="1"/>
  <c r="NX50" i="3"/>
  <c r="NX51" i="3"/>
  <c r="RF53" i="3"/>
  <c r="RF54" i="3"/>
  <c r="IB39" i="3"/>
  <c r="IB55" i="3" s="1"/>
  <c r="IB56" i="3"/>
  <c r="RH30" i="3"/>
  <c r="RH46" i="3" s="1"/>
  <c r="S51" i="3"/>
  <c r="IN39" i="3"/>
  <c r="IN55" i="3" s="1"/>
  <c r="IN57" i="3"/>
  <c r="IN56" i="3"/>
  <c r="QD51" i="3"/>
  <c r="QD50" i="3"/>
  <c r="ID50" i="3"/>
  <c r="ID51" i="3"/>
  <c r="ID56" i="3"/>
  <c r="ID57" i="3"/>
  <c r="MS33" i="3"/>
  <c r="MS49" i="3" s="1"/>
  <c r="MS51" i="3"/>
  <c r="MS50" i="3"/>
  <c r="RQ39" i="3"/>
  <c r="RQ55" i="3" s="1"/>
  <c r="RQ56" i="3"/>
  <c r="RQ57" i="3"/>
  <c r="IW36" i="3"/>
  <c r="IW52" i="3" s="1"/>
  <c r="IW54" i="3"/>
  <c r="IW53" i="3"/>
  <c r="OP39" i="3"/>
  <c r="OP55" i="3" s="1"/>
  <c r="OP56" i="3"/>
  <c r="OP36" i="3"/>
  <c r="OP52" i="3" s="1"/>
  <c r="OP53" i="3"/>
  <c r="OP54" i="3"/>
  <c r="EI33" i="3"/>
  <c r="EI49" i="3" s="1"/>
  <c r="EI50" i="3"/>
  <c r="X27" i="3"/>
  <c r="X43" i="3" s="1"/>
  <c r="AX51" i="3"/>
  <c r="AX50" i="3"/>
  <c r="AX56" i="3"/>
  <c r="AX57" i="3"/>
  <c r="LY56" i="3"/>
  <c r="LY57" i="3"/>
  <c r="OL30" i="3"/>
  <c r="OL46" i="3" s="1"/>
  <c r="JM33" i="3"/>
  <c r="JM49" i="3" s="1"/>
  <c r="JM51" i="3"/>
  <c r="JM50" i="3"/>
  <c r="MS39" i="3"/>
  <c r="MS55" i="3" s="1"/>
  <c r="MS56" i="3"/>
  <c r="MS57" i="3"/>
  <c r="PV39" i="3"/>
  <c r="PV55" i="3" s="1"/>
  <c r="PV56" i="3"/>
  <c r="PV57" i="3"/>
  <c r="AH53" i="3"/>
  <c r="AH54" i="3"/>
  <c r="RU27" i="3"/>
  <c r="RU43" i="3" s="1"/>
  <c r="RI54" i="3"/>
  <c r="LE54" i="3"/>
  <c r="FK33" i="3"/>
  <c r="FK49" i="3" s="1"/>
  <c r="FK51" i="3"/>
  <c r="FK50" i="3"/>
  <c r="EO57" i="3"/>
  <c r="EO56" i="3"/>
  <c r="PI30" i="3"/>
  <c r="PI46" i="3" s="1"/>
  <c r="RV39" i="3"/>
  <c r="RV55" i="3" s="1"/>
  <c r="RV56" i="3"/>
  <c r="RV57" i="3"/>
  <c r="OX27" i="3"/>
  <c r="OX43" i="3" s="1"/>
  <c r="NV30" i="3"/>
  <c r="NV46" i="3" s="1"/>
  <c r="GX54" i="3"/>
  <c r="GX53" i="3"/>
  <c r="GX51" i="3"/>
  <c r="GX50" i="3"/>
  <c r="NR36" i="3"/>
  <c r="NR52" i="3" s="1"/>
  <c r="NR54" i="3"/>
  <c r="NR53" i="3"/>
  <c r="RY33" i="3"/>
  <c r="RY49" i="3" s="1"/>
  <c r="RY50" i="3"/>
  <c r="RY51" i="3"/>
  <c r="RY25" i="3" s="1"/>
  <c r="NS51" i="3"/>
  <c r="NS56" i="3"/>
  <c r="NS57" i="3"/>
  <c r="OO33" i="3"/>
  <c r="OO49" i="3" s="1"/>
  <c r="OO50" i="3"/>
  <c r="OO51" i="3"/>
  <c r="OW33" i="3"/>
  <c r="OW49" i="3" s="1"/>
  <c r="OW50" i="3"/>
  <c r="OW51" i="3"/>
  <c r="MP33" i="3"/>
  <c r="MP49" i="3" s="1"/>
  <c r="MP50" i="3"/>
  <c r="MP51" i="3"/>
  <c r="RZ54" i="3"/>
  <c r="RZ53" i="3"/>
  <c r="EI30" i="3"/>
  <c r="EI46" i="3" s="1"/>
  <c r="LI39" i="3"/>
  <c r="LI55" i="3" s="1"/>
  <c r="LI56" i="3"/>
  <c r="LI57" i="3"/>
  <c r="LE53" i="3"/>
  <c r="BE57" i="3"/>
  <c r="BE56" i="3"/>
  <c r="GD30" i="3"/>
  <c r="GD46" i="3" s="1"/>
  <c r="OC56" i="3"/>
  <c r="OC57" i="3"/>
  <c r="KG39" i="3"/>
  <c r="KG55" i="3" s="1"/>
  <c r="KG56" i="3"/>
  <c r="KG57" i="3"/>
  <c r="RV36" i="3"/>
  <c r="RV52" i="3" s="1"/>
  <c r="RV54" i="3"/>
  <c r="JJ33" i="3"/>
  <c r="JJ49" i="3" s="1"/>
  <c r="JJ51" i="3"/>
  <c r="PV30" i="3"/>
  <c r="PV46" i="3" s="1"/>
  <c r="OX33" i="3"/>
  <c r="OX49" i="3" s="1"/>
  <c r="OX50" i="3"/>
  <c r="OX51" i="3"/>
  <c r="GD33" i="3"/>
  <c r="GD49" i="3" s="1"/>
  <c r="GD51" i="3"/>
  <c r="GD50" i="3"/>
  <c r="BU36" i="3"/>
  <c r="BU52" i="3" s="1"/>
  <c r="BU54" i="3"/>
  <c r="BU53" i="3"/>
  <c r="RI36" i="3"/>
  <c r="RI52" i="3" s="1"/>
  <c r="RI53" i="3"/>
  <c r="MG36" i="3"/>
  <c r="MG52" i="3" s="1"/>
  <c r="MG53" i="3"/>
  <c r="MG54" i="3"/>
  <c r="NV39" i="3"/>
  <c r="NV55" i="3" s="1"/>
  <c r="NV57" i="3"/>
  <c r="PN51" i="3"/>
  <c r="PN50" i="3"/>
  <c r="QX57" i="3"/>
  <c r="QX56" i="3"/>
  <c r="HR36" i="3"/>
  <c r="HR52" i="3" s="1"/>
  <c r="HR53" i="3"/>
  <c r="HR54" i="3"/>
  <c r="QC54" i="3"/>
  <c r="QC53" i="3"/>
  <c r="IW33" i="3"/>
  <c r="IW49" i="3" s="1"/>
  <c r="IW51" i="3"/>
  <c r="IW50" i="3"/>
  <c r="KX39" i="3"/>
  <c r="KX55" i="3" s="1"/>
  <c r="KX56" i="3"/>
  <c r="KX57" i="3"/>
  <c r="DY27" i="3"/>
  <c r="DY43" i="3" s="1"/>
  <c r="BO33" i="3"/>
  <c r="BO49" i="3" s="1"/>
  <c r="BO51" i="3"/>
  <c r="BO50" i="3"/>
  <c r="BN53" i="3"/>
  <c r="BN54" i="3"/>
  <c r="PY30" i="3"/>
  <c r="PY46" i="3" s="1"/>
  <c r="AG33" i="3"/>
  <c r="AG49" i="3" s="1"/>
  <c r="AG51" i="3"/>
  <c r="AG50" i="3"/>
  <c r="OH51" i="3"/>
  <c r="OH54" i="3"/>
  <c r="OH53" i="3"/>
  <c r="OH50" i="3"/>
  <c r="GS33" i="3"/>
  <c r="GS49" i="3" s="1"/>
  <c r="GS51" i="3"/>
  <c r="GS50" i="3"/>
  <c r="RY30" i="3"/>
  <c r="RY46" i="3" s="1"/>
  <c r="DA27" i="3"/>
  <c r="DA43" i="3" s="1"/>
  <c r="SA39" i="3"/>
  <c r="SA55" i="3" s="1"/>
  <c r="SA56" i="3"/>
  <c r="SA57" i="3"/>
  <c r="PN39" i="3"/>
  <c r="PN55" i="3" s="1"/>
  <c r="PN56" i="3"/>
  <c r="PN57" i="3"/>
  <c r="IQ33" i="3"/>
  <c r="IQ49" i="3" s="1"/>
  <c r="IQ51" i="3"/>
  <c r="IQ50" i="3"/>
  <c r="CD27" i="3"/>
  <c r="CD43" i="3" s="1"/>
  <c r="OA30" i="3"/>
  <c r="OA46" i="3" s="1"/>
  <c r="ML53" i="3"/>
  <c r="ML54" i="3"/>
  <c r="HV57" i="3"/>
  <c r="HV51" i="3"/>
  <c r="HV53" i="3"/>
  <c r="HV54" i="3"/>
  <c r="HV50" i="3"/>
  <c r="HV56" i="3"/>
  <c r="BE30" i="3"/>
  <c r="BE46" i="3" s="1"/>
  <c r="BV51" i="3"/>
  <c r="BV50" i="3"/>
  <c r="PU53" i="3"/>
  <c r="PU54" i="3"/>
  <c r="BO39" i="3"/>
  <c r="BO55" i="3" s="1"/>
  <c r="BO56" i="3"/>
  <c r="CT30" i="3"/>
  <c r="CT46" i="3" s="1"/>
  <c r="GN50" i="3"/>
  <c r="GN51" i="3"/>
  <c r="KC33" i="3"/>
  <c r="KC49" i="3" s="1"/>
  <c r="KC50" i="3"/>
  <c r="KC51" i="3"/>
  <c r="DA30" i="3"/>
  <c r="DA46" i="3" s="1"/>
  <c r="LK36" i="3"/>
  <c r="LK52" i="3" s="1"/>
  <c r="LK54" i="3"/>
  <c r="LK53" i="3"/>
  <c r="MJ33" i="3"/>
  <c r="MJ49" i="3" s="1"/>
  <c r="MJ50" i="3"/>
  <c r="QX33" i="3"/>
  <c r="QX49" i="3" s="1"/>
  <c r="QX51" i="3"/>
  <c r="QX50" i="3"/>
  <c r="MP39" i="3"/>
  <c r="MP55" i="3" s="1"/>
  <c r="MP56" i="3"/>
  <c r="MP57" i="3"/>
  <c r="DG30" i="3"/>
  <c r="DG46" i="3" s="1"/>
  <c r="OX36" i="3"/>
  <c r="OX52" i="3" s="1"/>
  <c r="OX54" i="3"/>
  <c r="FM36" i="3"/>
  <c r="FM52" i="3" s="1"/>
  <c r="FM54" i="3"/>
  <c r="FM53" i="3"/>
  <c r="JY54" i="3"/>
  <c r="JY53" i="3"/>
  <c r="LQ30" i="3"/>
  <c r="LQ46" i="3" s="1"/>
  <c r="EO27" i="3"/>
  <c r="EO43" i="3" s="1"/>
  <c r="MX33" i="3"/>
  <c r="MX49" i="3" s="1"/>
  <c r="MX50" i="3"/>
  <c r="MX51" i="3"/>
  <c r="SE53" i="3"/>
  <c r="SE54" i="3"/>
  <c r="SE56" i="3"/>
  <c r="FK30" i="3"/>
  <c r="FK46" i="3" s="1"/>
  <c r="AS54" i="3"/>
  <c r="AS53" i="3"/>
  <c r="LQ33" i="3"/>
  <c r="LQ49" i="3" s="1"/>
  <c r="LQ51" i="3"/>
  <c r="LQ50" i="3"/>
  <c r="IG39" i="3"/>
  <c r="IG55" i="3" s="1"/>
  <c r="IG57" i="3"/>
  <c r="OH30" i="3"/>
  <c r="OH46" i="3" s="1"/>
  <c r="MW53" i="3"/>
  <c r="MW54" i="3"/>
  <c r="QR27" i="3"/>
  <c r="QR43" i="3" s="1"/>
  <c r="QO56" i="3"/>
  <c r="QO57" i="3"/>
  <c r="MC27" i="3"/>
  <c r="MC43" i="3" s="1"/>
  <c r="HN27" i="3"/>
  <c r="HN43" i="3" s="1"/>
  <c r="AG36" i="3"/>
  <c r="AG52" i="3" s="1"/>
  <c r="AG54" i="3"/>
  <c r="II33" i="3"/>
  <c r="II49" i="3" s="1"/>
  <c r="II50" i="3"/>
  <c r="II51" i="3"/>
  <c r="JM27" i="3"/>
  <c r="JM43" i="3" s="1"/>
  <c r="JT30" i="3"/>
  <c r="JT46" i="3" s="1"/>
  <c r="OY54" i="3"/>
  <c r="OY51" i="3"/>
  <c r="OY57" i="3"/>
  <c r="OY53" i="3"/>
  <c r="OY50" i="3"/>
  <c r="OY56" i="3"/>
  <c r="NZ30" i="3"/>
  <c r="NZ46" i="3" s="1"/>
  <c r="P39" i="3"/>
  <c r="P55" i="3" s="1"/>
  <c r="P57" i="3"/>
  <c r="P56" i="3"/>
  <c r="AP56" i="3"/>
  <c r="AP50" i="3"/>
  <c r="AP57" i="3"/>
  <c r="AP51" i="3"/>
  <c r="LY36" i="3"/>
  <c r="LY52" i="3" s="1"/>
  <c r="LY54" i="3"/>
  <c r="LY53" i="3"/>
  <c r="DY30" i="3"/>
  <c r="DY46" i="3" s="1"/>
  <c r="E36" i="3"/>
  <c r="E52" i="3" s="1"/>
  <c r="GK51" i="3"/>
  <c r="GK50" i="3"/>
  <c r="PA39" i="3"/>
  <c r="PA55" i="3" s="1"/>
  <c r="PA56" i="3"/>
  <c r="L53" i="3"/>
  <c r="L57" i="3"/>
  <c r="L51" i="3"/>
  <c r="L56" i="3"/>
  <c r="L54" i="3"/>
  <c r="L50" i="3"/>
  <c r="RO50" i="3"/>
  <c r="RO54" i="3"/>
  <c r="RO53" i="3"/>
  <c r="RO57" i="3"/>
  <c r="RO51" i="3"/>
  <c r="RO56" i="3"/>
  <c r="QD36" i="3"/>
  <c r="QD52" i="3" s="1"/>
  <c r="QD54" i="3"/>
  <c r="QD53" i="3"/>
  <c r="PC51" i="3"/>
  <c r="PC57" i="3"/>
  <c r="PC56" i="3"/>
  <c r="PC50" i="3"/>
  <c r="OA39" i="3"/>
  <c r="OA55" i="3" s="1"/>
  <c r="OA56" i="3"/>
  <c r="OA57" i="3"/>
  <c r="JA33" i="3"/>
  <c r="JA49" i="3" s="1"/>
  <c r="JA50" i="3"/>
  <c r="JA51" i="3"/>
  <c r="DA33" i="3"/>
  <c r="DA49" i="3" s="1"/>
  <c r="DA50" i="3"/>
  <c r="DA51" i="3"/>
  <c r="GU50" i="3"/>
  <c r="GU56" i="3"/>
  <c r="GU54" i="3"/>
  <c r="GU51" i="3"/>
  <c r="GU53" i="3"/>
  <c r="AO36" i="3"/>
  <c r="AO52" i="3" s="1"/>
  <c r="AO53" i="3"/>
  <c r="AO54" i="3"/>
  <c r="AP27" i="3"/>
  <c r="AP43" i="3" s="1"/>
  <c r="EX33" i="3"/>
  <c r="EX49" i="3" s="1"/>
  <c r="EX51" i="3"/>
  <c r="EX50" i="3"/>
  <c r="GU57" i="3"/>
  <c r="Y53" i="3"/>
  <c r="Y54" i="3"/>
  <c r="JG36" i="3"/>
  <c r="JG52" i="3" s="1"/>
  <c r="JG53" i="3"/>
  <c r="JG54" i="3"/>
  <c r="ML27" i="3"/>
  <c r="ML43" i="3" s="1"/>
  <c r="AI39" i="3"/>
  <c r="AI55" i="3" s="1"/>
  <c r="AI57" i="3"/>
  <c r="AI56" i="3"/>
  <c r="X36" i="3"/>
  <c r="X52" i="3" s="1"/>
  <c r="X54" i="3"/>
  <c r="RF27" i="3"/>
  <c r="RF43" i="3" s="1"/>
  <c r="EM33" i="3"/>
  <c r="EM49" i="3" s="1"/>
  <c r="EM50" i="3"/>
  <c r="EM51" i="3"/>
  <c r="KK36" i="3"/>
  <c r="KK52" i="3" s="1"/>
  <c r="KK54" i="3"/>
  <c r="KK53" i="3"/>
  <c r="BF53" i="3"/>
  <c r="BF36" i="3"/>
  <c r="BF52" i="3" s="1"/>
  <c r="BF54" i="3"/>
  <c r="AO51" i="3"/>
  <c r="FQ50" i="3"/>
  <c r="FQ51" i="3"/>
  <c r="FV33" i="3"/>
  <c r="FV49" i="3" s="1"/>
  <c r="FV50" i="3"/>
  <c r="FV51" i="3"/>
  <c r="HV30" i="3"/>
  <c r="HV46" i="3" s="1"/>
  <c r="PO36" i="3"/>
  <c r="PO52" i="3" s="1"/>
  <c r="PO54" i="3"/>
  <c r="PO53" i="3"/>
  <c r="OQ50" i="3"/>
  <c r="OQ51" i="3"/>
  <c r="AS27" i="3"/>
  <c r="AS43" i="3" s="1"/>
  <c r="M54" i="3"/>
  <c r="M50" i="3"/>
  <c r="M56" i="3"/>
  <c r="M51" i="3"/>
  <c r="M53" i="3"/>
  <c r="M57" i="3"/>
  <c r="KB39" i="3"/>
  <c r="KB55" i="3" s="1"/>
  <c r="KB56" i="3"/>
  <c r="EE50" i="3"/>
  <c r="EE51" i="3"/>
  <c r="DR33" i="3"/>
  <c r="DR49" i="3" s="1"/>
  <c r="DR50" i="3"/>
  <c r="DR51" i="3"/>
  <c r="LJ33" i="3"/>
  <c r="LJ49" i="3" s="1"/>
  <c r="LJ51" i="3"/>
  <c r="JJ36" i="3"/>
  <c r="JJ52" i="3" s="1"/>
  <c r="JJ54" i="3"/>
  <c r="JJ53" i="3"/>
  <c r="ON33" i="3"/>
  <c r="ON49" i="3" s="1"/>
  <c r="ON50" i="3"/>
  <c r="ON51" i="3"/>
  <c r="KS50" i="3"/>
  <c r="KS51" i="3"/>
  <c r="FP54" i="3"/>
  <c r="FP51" i="3"/>
  <c r="FP50" i="3"/>
  <c r="FP53" i="3"/>
  <c r="P33" i="3"/>
  <c r="P49" i="3" s="1"/>
  <c r="P51" i="3"/>
  <c r="P50" i="3"/>
  <c r="DR30" i="3"/>
  <c r="DR46" i="3" s="1"/>
  <c r="IU53" i="3"/>
  <c r="IU56" i="3"/>
  <c r="IU51" i="3"/>
  <c r="IU50" i="3"/>
  <c r="IU54" i="3"/>
  <c r="IU57" i="3"/>
  <c r="DF33" i="3"/>
  <c r="DF49" i="3" s="1"/>
  <c r="AR30" i="3"/>
  <c r="AR46" i="3" s="1"/>
  <c r="MA33" i="3"/>
  <c r="MA49" i="3" s="1"/>
  <c r="MA50" i="3"/>
  <c r="MA51" i="3"/>
  <c r="JH56" i="3"/>
  <c r="JH54" i="3"/>
  <c r="JH53" i="3"/>
  <c r="JH51" i="3"/>
  <c r="JH57" i="3"/>
  <c r="JH50" i="3"/>
  <c r="MV53" i="3"/>
  <c r="MV56" i="3"/>
  <c r="MV51" i="3"/>
  <c r="MV50" i="3"/>
  <c r="MV57" i="3"/>
  <c r="MV54" i="3"/>
  <c r="OR39" i="3"/>
  <c r="OR55" i="3" s="1"/>
  <c r="OR57" i="3"/>
  <c r="OR56" i="3"/>
  <c r="MM57" i="3"/>
  <c r="MM54" i="3"/>
  <c r="MM56" i="3"/>
  <c r="MM51" i="3"/>
  <c r="MM53" i="3"/>
  <c r="SC50" i="3"/>
  <c r="SC51" i="3"/>
  <c r="SC53" i="3"/>
  <c r="SC54" i="3"/>
  <c r="SC57" i="3"/>
  <c r="SC56" i="3"/>
  <c r="AJ57" i="3"/>
  <c r="AJ56" i="3"/>
  <c r="AJ50" i="3"/>
  <c r="AJ54" i="3"/>
  <c r="AJ53" i="3"/>
  <c r="JP33" i="3"/>
  <c r="JP49" i="3" s="1"/>
  <c r="JP50" i="3"/>
  <c r="JP51" i="3"/>
  <c r="NG36" i="3"/>
  <c r="NG52" i="3" s="1"/>
  <c r="NG54" i="3"/>
  <c r="NG53" i="3"/>
  <c r="EY36" i="3"/>
  <c r="EY52" i="3" s="1"/>
  <c r="EY53" i="3"/>
  <c r="EY54" i="3"/>
  <c r="OH27" i="3"/>
  <c r="OH43" i="3" s="1"/>
  <c r="CB56" i="3"/>
  <c r="CB51" i="3"/>
  <c r="CB57" i="3"/>
  <c r="CB53" i="3"/>
  <c r="CB50" i="3"/>
  <c r="CB54" i="3"/>
  <c r="AF33" i="3"/>
  <c r="AF49" i="3" s="1"/>
  <c r="AF51" i="3"/>
  <c r="AF50" i="3"/>
  <c r="KG30" i="3"/>
  <c r="KG46" i="3" s="1"/>
  <c r="QT27" i="3"/>
  <c r="QT43" i="3" s="1"/>
  <c r="AT54" i="3"/>
  <c r="AT51" i="3"/>
  <c r="AT56" i="3"/>
  <c r="AT50" i="3"/>
  <c r="AT53" i="3"/>
  <c r="AT57" i="3"/>
  <c r="NC36" i="3"/>
  <c r="NC52" i="3" s="1"/>
  <c r="NC53" i="3"/>
  <c r="NC54" i="3"/>
  <c r="RW27" i="3"/>
  <c r="RW43" i="3" s="1"/>
  <c r="CA56" i="3"/>
  <c r="CA53" i="3"/>
  <c r="CA51" i="3"/>
  <c r="CA57" i="3"/>
  <c r="CA54" i="3"/>
  <c r="CA50" i="3"/>
  <c r="FZ33" i="3"/>
  <c r="FZ49" i="3" s="1"/>
  <c r="FZ51" i="3"/>
  <c r="FV36" i="3"/>
  <c r="FV52" i="3" s="1"/>
  <c r="FV53" i="3"/>
  <c r="FV54" i="3"/>
  <c r="LI27" i="3"/>
  <c r="LI43" i="3" s="1"/>
  <c r="RN39" i="3"/>
  <c r="RN55" i="3" s="1"/>
  <c r="RN56" i="3"/>
  <c r="RN57" i="3"/>
  <c r="HR33" i="3"/>
  <c r="HR49" i="3" s="1"/>
  <c r="HR51" i="3"/>
  <c r="HR50" i="3"/>
  <c r="GX39" i="3"/>
  <c r="GX55" i="3" s="1"/>
  <c r="GX56" i="3"/>
  <c r="GX57" i="3"/>
  <c r="PV36" i="3"/>
  <c r="PV52" i="3" s="1"/>
  <c r="PV54" i="3"/>
  <c r="PV53" i="3"/>
  <c r="AH39" i="3"/>
  <c r="AH55" i="3" s="1"/>
  <c r="AH56" i="3"/>
  <c r="AH57" i="3"/>
  <c r="NG39" i="3"/>
  <c r="NG55" i="3" s="1"/>
  <c r="NG56" i="3"/>
  <c r="NG57" i="3"/>
  <c r="LJ30" i="3"/>
  <c r="LJ46" i="3" s="1"/>
  <c r="GQ39" i="3"/>
  <c r="GQ55" i="3" s="1"/>
  <c r="GQ56" i="3"/>
  <c r="GQ57" i="3"/>
  <c r="RS33" i="3"/>
  <c r="RS49" i="3" s="1"/>
  <c r="RS51" i="3"/>
  <c r="RS50" i="3"/>
  <c r="PM33" i="3"/>
  <c r="PM49" i="3" s="1"/>
  <c r="PM50" i="3"/>
  <c r="PM51" i="3"/>
  <c r="KS36" i="3"/>
  <c r="KS52" i="3" s="1"/>
  <c r="KS54" i="3"/>
  <c r="KS53" i="3"/>
  <c r="CZ33" i="3"/>
  <c r="CZ49" i="3" s="1"/>
  <c r="CZ51" i="3"/>
  <c r="CZ50" i="3"/>
  <c r="QO27" i="3"/>
  <c r="QO43" i="3" s="1"/>
  <c r="JR53" i="3"/>
  <c r="JR56" i="3"/>
  <c r="JR54" i="3"/>
  <c r="JR50" i="3"/>
  <c r="JR57" i="3"/>
  <c r="JR51" i="3"/>
  <c r="KH39" i="3"/>
  <c r="KH55" i="3" s="1"/>
  <c r="KH56" i="3"/>
  <c r="KH57" i="3"/>
  <c r="NF53" i="3"/>
  <c r="NF50" i="3"/>
  <c r="NF54" i="3"/>
  <c r="NF57" i="3"/>
  <c r="NF51" i="3"/>
  <c r="NF56" i="3"/>
  <c r="BF33" i="3"/>
  <c r="BF49" i="3" s="1"/>
  <c r="BF51" i="3"/>
  <c r="BF50" i="3"/>
  <c r="GS27" i="3"/>
  <c r="GS43" i="3" s="1"/>
  <c r="AG39" i="3"/>
  <c r="AG55" i="3" s="1"/>
  <c r="AG56" i="3"/>
  <c r="AG57" i="3"/>
  <c r="KZ39" i="3"/>
  <c r="KZ55" i="3" s="1"/>
  <c r="KZ57" i="3"/>
  <c r="KZ56" i="3"/>
  <c r="IA33" i="3"/>
  <c r="IA49" i="3" s="1"/>
  <c r="IA51" i="3"/>
  <c r="IA50" i="3"/>
  <c r="EE36" i="3"/>
  <c r="EE52" i="3" s="1"/>
  <c r="EE53" i="3"/>
  <c r="EE54" i="3"/>
  <c r="LO57" i="3"/>
  <c r="LO56" i="3"/>
  <c r="LO53" i="3"/>
  <c r="LO50" i="3"/>
  <c r="LO51" i="3"/>
  <c r="LO54" i="3"/>
  <c r="CH51" i="3"/>
  <c r="CH53" i="3"/>
  <c r="CH57" i="3"/>
  <c r="CH54" i="3"/>
  <c r="CH56" i="3"/>
  <c r="CH50" i="3"/>
  <c r="DU57" i="3"/>
  <c r="DU53" i="3"/>
  <c r="DU56" i="3"/>
  <c r="DU54" i="3"/>
  <c r="DU50" i="3"/>
  <c r="DU51" i="3"/>
  <c r="RO30" i="3"/>
  <c r="RO46" i="3" s="1"/>
  <c r="OZ39" i="3"/>
  <c r="OZ55" i="3" s="1"/>
  <c r="OZ56" i="3"/>
  <c r="OZ57" i="3"/>
  <c r="FX56" i="3"/>
  <c r="FX51" i="3"/>
  <c r="FX57" i="3"/>
  <c r="FX53" i="3"/>
  <c r="FX50" i="3"/>
  <c r="FX54" i="3"/>
  <c r="GT50" i="3"/>
  <c r="GT53" i="3"/>
  <c r="GT51" i="3"/>
  <c r="GT56" i="3"/>
  <c r="GT54" i="3"/>
  <c r="GT57" i="3"/>
  <c r="DB51" i="3"/>
  <c r="DB57" i="3"/>
  <c r="DB54" i="3"/>
  <c r="DB56" i="3"/>
  <c r="DB53" i="3"/>
  <c r="BC56" i="3"/>
  <c r="BC54" i="3"/>
  <c r="BC57" i="3"/>
  <c r="BC53" i="3"/>
  <c r="BC51" i="3"/>
  <c r="BC50" i="3"/>
  <c r="OF36" i="3"/>
  <c r="OF52" i="3" s="1"/>
  <c r="OF54" i="3"/>
  <c r="OF53" i="3"/>
  <c r="KZ33" i="3"/>
  <c r="KZ49" i="3" s="1"/>
  <c r="KZ51" i="3"/>
  <c r="KZ50" i="3"/>
  <c r="MB39" i="3"/>
  <c r="MB55" i="3" s="1"/>
  <c r="MB57" i="3"/>
  <c r="MB56" i="3"/>
  <c r="QT30" i="3"/>
  <c r="QT46" i="3" s="1"/>
  <c r="LQ39" i="3"/>
  <c r="LQ55" i="3" s="1"/>
  <c r="LQ57" i="3"/>
  <c r="LQ56" i="3"/>
  <c r="OS36" i="3"/>
  <c r="OS52" i="3" s="1"/>
  <c r="OS54" i="3"/>
  <c r="OS53" i="3"/>
  <c r="OI39" i="3"/>
  <c r="OI55" i="3" s="1"/>
  <c r="OI56" i="3"/>
  <c r="OI57" i="3"/>
  <c r="GC33" i="3"/>
  <c r="GC49" i="3" s="1"/>
  <c r="BJ54" i="3"/>
  <c r="BJ56" i="3"/>
  <c r="BJ53" i="3"/>
  <c r="BJ51" i="3"/>
  <c r="BJ50" i="3"/>
  <c r="BJ57" i="3"/>
  <c r="CK33" i="3"/>
  <c r="CK49" i="3" s="1"/>
  <c r="CK50" i="3"/>
  <c r="CK51" i="3"/>
  <c r="NU27" i="3"/>
  <c r="NU43" i="3" s="1"/>
  <c r="MK36" i="3"/>
  <c r="MK52" i="3" s="1"/>
  <c r="MK54" i="3"/>
  <c r="MK53" i="3"/>
  <c r="PY36" i="3"/>
  <c r="PY52" i="3" s="1"/>
  <c r="PY54" i="3"/>
  <c r="PY53" i="3"/>
  <c r="EO36" i="3"/>
  <c r="EO52" i="3" s="1"/>
  <c r="EO54" i="3"/>
  <c r="EO53" i="3"/>
  <c r="HZ33" i="3"/>
  <c r="HZ49" i="3" s="1"/>
  <c r="HZ50" i="3"/>
  <c r="HZ51" i="3"/>
  <c r="OC27" i="3"/>
  <c r="OC43" i="3" s="1"/>
  <c r="KH27" i="3"/>
  <c r="KH43" i="3" s="1"/>
  <c r="EX30" i="3"/>
  <c r="EX46" i="3" s="1"/>
  <c r="BV39" i="3"/>
  <c r="BV55" i="3" s="1"/>
  <c r="BV56" i="3"/>
  <c r="BV57" i="3"/>
  <c r="EE30" i="3"/>
  <c r="EE46" i="3" s="1"/>
  <c r="HM51" i="3"/>
  <c r="HM53" i="3"/>
  <c r="HM50" i="3"/>
  <c r="HM54" i="3"/>
  <c r="HM57" i="3"/>
  <c r="HM56" i="3"/>
  <c r="FM30" i="3"/>
  <c r="FM46" i="3" s="1"/>
  <c r="AO39" i="3"/>
  <c r="AO55" i="3" s="1"/>
  <c r="AO56" i="3"/>
  <c r="AO57" i="3"/>
  <c r="HX36" i="3"/>
  <c r="HX52" i="3" s="1"/>
  <c r="HX53" i="3"/>
  <c r="HX54" i="3"/>
  <c r="P30" i="3"/>
  <c r="P46" i="3" s="1"/>
  <c r="FP39" i="3"/>
  <c r="FP55" i="3" s="1"/>
  <c r="FP57" i="3"/>
  <c r="FP56" i="3"/>
  <c r="NE33" i="3"/>
  <c r="NE49" i="3" s="1"/>
  <c r="NE50" i="3"/>
  <c r="NE25" i="3" s="1"/>
  <c r="NE51" i="3"/>
  <c r="QV51" i="3"/>
  <c r="QV57" i="3"/>
  <c r="QV53" i="3"/>
  <c r="QV50" i="3"/>
  <c r="QV56" i="3"/>
  <c r="QV54" i="3"/>
  <c r="CU56" i="3"/>
  <c r="CU50" i="3"/>
  <c r="CU57" i="3"/>
  <c r="CU51" i="3"/>
  <c r="CU53" i="3"/>
  <c r="CU54" i="3"/>
  <c r="DJ53" i="3"/>
  <c r="DJ51" i="3"/>
  <c r="DJ57" i="3"/>
  <c r="DJ50" i="3"/>
  <c r="DJ54" i="3"/>
  <c r="DJ56" i="3"/>
  <c r="NP27" i="3"/>
  <c r="NP43" i="3" s="1"/>
  <c r="NP25" i="3"/>
  <c r="PB33" i="3"/>
  <c r="PB49" i="3" s="1"/>
  <c r="PB51" i="3"/>
  <c r="PB50" i="3"/>
  <c r="HR39" i="3"/>
  <c r="HR55" i="3" s="1"/>
  <c r="HR57" i="3"/>
  <c r="HR56" i="3"/>
  <c r="JB30" i="3"/>
  <c r="JB46" i="3" s="1"/>
  <c r="QO36" i="3"/>
  <c r="QO52" i="3" s="1"/>
  <c r="QO54" i="3"/>
  <c r="QO53" i="3"/>
  <c r="CD30" i="3"/>
  <c r="CD46" i="3" s="1"/>
  <c r="AA30" i="3"/>
  <c r="AA46" i="3" s="1"/>
  <c r="GY33" i="3"/>
  <c r="GY49" i="3" s="1"/>
  <c r="GY51" i="3"/>
  <c r="GY50" i="3"/>
  <c r="KW39" i="3"/>
  <c r="KW55" i="3" s="1"/>
  <c r="KW56" i="3"/>
  <c r="KW57" i="3"/>
  <c r="LA30" i="3"/>
  <c r="LA46" i="3" s="1"/>
  <c r="JM30" i="3"/>
  <c r="JM46" i="3" s="1"/>
  <c r="Y30" i="3"/>
  <c r="Y46" i="3" s="1"/>
  <c r="OE53" i="3"/>
  <c r="OE54" i="3"/>
  <c r="OE57" i="3"/>
  <c r="OE51" i="3"/>
  <c r="OE50" i="3"/>
  <c r="OE56" i="3"/>
  <c r="ED27" i="3"/>
  <c r="ED43" i="3" s="1"/>
  <c r="LF36" i="3"/>
  <c r="LF52" i="3" s="1"/>
  <c r="LF53" i="3"/>
  <c r="LF54" i="3"/>
  <c r="PP50" i="3"/>
  <c r="PP53" i="3"/>
  <c r="PP57" i="3"/>
  <c r="PP54" i="3"/>
  <c r="PP51" i="3"/>
  <c r="NT51" i="3"/>
  <c r="NT57" i="3"/>
  <c r="NT54" i="3"/>
  <c r="NT53" i="3"/>
  <c r="NT50" i="3"/>
  <c r="NT56" i="3"/>
  <c r="RX39" i="3"/>
  <c r="RX55" i="3" s="1"/>
  <c r="RX56" i="3"/>
  <c r="RX57" i="3"/>
  <c r="ON39" i="3"/>
  <c r="ON55" i="3" s="1"/>
  <c r="ON57" i="3"/>
  <c r="ON56" i="3"/>
  <c r="HU53" i="3"/>
  <c r="HU56" i="3"/>
  <c r="HU57" i="3"/>
  <c r="HU51" i="3"/>
  <c r="HU50" i="3"/>
  <c r="HU54" i="3"/>
  <c r="OV39" i="3"/>
  <c r="OV55" i="3" s="1"/>
  <c r="OV56" i="3"/>
  <c r="OV57" i="3"/>
  <c r="SE33" i="3"/>
  <c r="SE49" i="3" s="1"/>
  <c r="SE50" i="3"/>
  <c r="PX30" i="3"/>
  <c r="PX46" i="3" s="1"/>
  <c r="PX25" i="3"/>
  <c r="OO39" i="3"/>
  <c r="OO55" i="3" s="1"/>
  <c r="OO57" i="3"/>
  <c r="OO56" i="3"/>
  <c r="AA39" i="3"/>
  <c r="AA55" i="3" s="1"/>
  <c r="AA56" i="3"/>
  <c r="AA57" i="3"/>
  <c r="RJ33" i="3"/>
  <c r="RJ49" i="3" s="1"/>
  <c r="RJ50" i="3"/>
  <c r="RJ51" i="3"/>
  <c r="BU39" i="3"/>
  <c r="BU55" i="3" s="1"/>
  <c r="BU57" i="3"/>
  <c r="BU56" i="3"/>
  <c r="FU56" i="3"/>
  <c r="FU51" i="3"/>
  <c r="FU50" i="3"/>
  <c r="FU53" i="3"/>
  <c r="FU57" i="3"/>
  <c r="FU54" i="3"/>
  <c r="DZ54" i="3"/>
  <c r="DZ53" i="3"/>
  <c r="DZ50" i="3"/>
  <c r="DZ51" i="3"/>
  <c r="DZ57" i="3"/>
  <c r="DZ56" i="3"/>
  <c r="Y27" i="3"/>
  <c r="Y43" i="3" s="1"/>
  <c r="HN33" i="3"/>
  <c r="HN49" i="3" s="1"/>
  <c r="HN50" i="3"/>
  <c r="HN51" i="3"/>
  <c r="AE39" i="3"/>
  <c r="AE55" i="3" s="1"/>
  <c r="AE56" i="3"/>
  <c r="AE57" i="3"/>
  <c r="LF27" i="3"/>
  <c r="LF43" i="3" s="1"/>
  <c r="RY39" i="3"/>
  <c r="RY55" i="3" s="1"/>
  <c r="RY57" i="3"/>
  <c r="RY56" i="3"/>
  <c r="DQ30" i="3"/>
  <c r="DQ46" i="3" s="1"/>
  <c r="JA39" i="3"/>
  <c r="JA55" i="3" s="1"/>
  <c r="JA57" i="3"/>
  <c r="HE36" i="3"/>
  <c r="HE52" i="3" s="1"/>
  <c r="HE53" i="3"/>
  <c r="HE54" i="3"/>
  <c r="KW33" i="3"/>
  <c r="KW49" i="3" s="1"/>
  <c r="KW50" i="3"/>
  <c r="KW51" i="3"/>
  <c r="AW30" i="3"/>
  <c r="AW46" i="3" s="1"/>
  <c r="AC54" i="3"/>
  <c r="AC53" i="3"/>
  <c r="AC57" i="3"/>
  <c r="AC56" i="3"/>
  <c r="AC50" i="3"/>
  <c r="AC51" i="3"/>
  <c r="FQ30" i="3"/>
  <c r="FQ46" i="3" s="1"/>
  <c r="Y39" i="3"/>
  <c r="Y55" i="3" s="1"/>
  <c r="Y57" i="3"/>
  <c r="Y56" i="3"/>
  <c r="EL36" i="3"/>
  <c r="EL52" i="3" s="1"/>
  <c r="EL53" i="3"/>
  <c r="EL54" i="3"/>
  <c r="JI33" i="3"/>
  <c r="JI49" i="3" s="1"/>
  <c r="JI51" i="3"/>
  <c r="JI50" i="3"/>
  <c r="IH30" i="3"/>
  <c r="IH46" i="3" s="1"/>
  <c r="FQ36" i="3"/>
  <c r="FQ52" i="3" s="1"/>
  <c r="FQ53" i="3"/>
  <c r="FQ54" i="3"/>
  <c r="Y33" i="3"/>
  <c r="Y49" i="3" s="1"/>
  <c r="Y51" i="3"/>
  <c r="Y50" i="3"/>
  <c r="IW27" i="3"/>
  <c r="IW43" i="3" s="1"/>
  <c r="NI53" i="3"/>
  <c r="NI51" i="3"/>
  <c r="NI50" i="3"/>
  <c r="NI57" i="3"/>
  <c r="NI56" i="3"/>
  <c r="NI54" i="3"/>
  <c r="HN36" i="3"/>
  <c r="HN52" i="3" s="1"/>
  <c r="HN54" i="3"/>
  <c r="HN53" i="3"/>
  <c r="EW39" i="3"/>
  <c r="EW55" i="3" s="1"/>
  <c r="EW56" i="3"/>
  <c r="EW57" i="3"/>
  <c r="KK27" i="3"/>
  <c r="KK43" i="3" s="1"/>
  <c r="GK30" i="3"/>
  <c r="GK46" i="3" s="1"/>
  <c r="DE50" i="3"/>
  <c r="DE54" i="3"/>
  <c r="DE56" i="3"/>
  <c r="DE53" i="3"/>
  <c r="DE51" i="3"/>
  <c r="DE57" i="3"/>
  <c r="RS27" i="3"/>
  <c r="RS43" i="3" s="1"/>
  <c r="ND36" i="3"/>
  <c r="ND52" i="3" s="1"/>
  <c r="ND53" i="3"/>
  <c r="ND54" i="3"/>
  <c r="ML39" i="3"/>
  <c r="ML55" i="3" s="1"/>
  <c r="ML57" i="3"/>
  <c r="ML56" i="3"/>
  <c r="E33" i="3"/>
  <c r="E49" i="3" s="1"/>
  <c r="FK39" i="3"/>
  <c r="FK55" i="3" s="1"/>
  <c r="FK56" i="3"/>
  <c r="FK57" i="3"/>
  <c r="IZ36" i="3"/>
  <c r="IZ52" i="3" s="1"/>
  <c r="IZ54" i="3"/>
  <c r="IZ53" i="3"/>
  <c r="BO27" i="3"/>
  <c r="BO43" i="3" s="1"/>
  <c r="EP33" i="3"/>
  <c r="EP49" i="3" s="1"/>
  <c r="EP50" i="3"/>
  <c r="EP51" i="3"/>
  <c r="BP50" i="3"/>
  <c r="BP51" i="3"/>
  <c r="BP53" i="3"/>
  <c r="BP57" i="3"/>
  <c r="BP54" i="3"/>
  <c r="BP56" i="3"/>
  <c r="GS30" i="3"/>
  <c r="GS46" i="3" s="1"/>
  <c r="DW57" i="3"/>
  <c r="DW53" i="3"/>
  <c r="DW50" i="3"/>
  <c r="DW51" i="3"/>
  <c r="DW54" i="3"/>
  <c r="DW56" i="3"/>
  <c r="BF39" i="3"/>
  <c r="BF55" i="3" s="1"/>
  <c r="BF57" i="3"/>
  <c r="BF56" i="3"/>
  <c r="EX54" i="3"/>
  <c r="EX36" i="3"/>
  <c r="EX52" i="3" s="1"/>
  <c r="EX53" i="3"/>
  <c r="QC33" i="3"/>
  <c r="QC49" i="3" s="1"/>
  <c r="QC51" i="3"/>
  <c r="QC50" i="3"/>
  <c r="LQ36" i="3"/>
  <c r="LQ52" i="3" s="1"/>
  <c r="LQ54" i="3"/>
  <c r="LQ53" i="3"/>
  <c r="PU30" i="3"/>
  <c r="PU46" i="3" s="1"/>
  <c r="KW27" i="3"/>
  <c r="KW43" i="3" s="1"/>
  <c r="PW30" i="3"/>
  <c r="PW46" i="3" s="1"/>
  <c r="MC30" i="3"/>
  <c r="MC46" i="3" s="1"/>
  <c r="BY56" i="3"/>
  <c r="BY51" i="3"/>
  <c r="BY57" i="3"/>
  <c r="BY53" i="3"/>
  <c r="BY50" i="3"/>
  <c r="BY54" i="3"/>
  <c r="IG33" i="3"/>
  <c r="IG49" i="3" s="1"/>
  <c r="IG50" i="3"/>
  <c r="IG51" i="3"/>
  <c r="RJ36" i="3"/>
  <c r="RJ52" i="3" s="1"/>
  <c r="RJ53" i="3"/>
  <c r="RJ54" i="3"/>
  <c r="BN39" i="3"/>
  <c r="BN55" i="3" s="1"/>
  <c r="BN57" i="3"/>
  <c r="BN56" i="3"/>
  <c r="IQ36" i="3"/>
  <c r="IQ52" i="3" s="1"/>
  <c r="IQ54" i="3"/>
  <c r="IQ53" i="3"/>
  <c r="MG33" i="3"/>
  <c r="MG49" i="3" s="1"/>
  <c r="MG50" i="3"/>
  <c r="MG51" i="3"/>
  <c r="RY36" i="3"/>
  <c r="RY52" i="3" s="1"/>
  <c r="RY54" i="3"/>
  <c r="RY53" i="3"/>
  <c r="FV27" i="3"/>
  <c r="FV43" i="3" s="1"/>
  <c r="NS36" i="3"/>
  <c r="NS52" i="3" s="1"/>
  <c r="NS53" i="3"/>
  <c r="NS54" i="3"/>
  <c r="LA39" i="3"/>
  <c r="LA55" i="3" s="1"/>
  <c r="LA56" i="3"/>
  <c r="LA57" i="3"/>
  <c r="JN39" i="3"/>
  <c r="JN55" i="3" s="1"/>
  <c r="JN56" i="3"/>
  <c r="JN57" i="3"/>
  <c r="PC36" i="3"/>
  <c r="PC52" i="3" s="1"/>
  <c r="PC54" i="3"/>
  <c r="PC53" i="3"/>
  <c r="QD39" i="3"/>
  <c r="QD55" i="3" s="1"/>
  <c r="QD57" i="3"/>
  <c r="QD56" i="3"/>
  <c r="BS36" i="3"/>
  <c r="BS52" i="3" s="1"/>
  <c r="BS54" i="3"/>
  <c r="BS53" i="3"/>
  <c r="SB54" i="3"/>
  <c r="SB57" i="3"/>
  <c r="SB56" i="3"/>
  <c r="SB53" i="3"/>
  <c r="SB51" i="3"/>
  <c r="DS54" i="3"/>
  <c r="DS50" i="3"/>
  <c r="DS51" i="3"/>
  <c r="DS56" i="3"/>
  <c r="DS53" i="3"/>
  <c r="DS57" i="3"/>
  <c r="KJ54" i="3"/>
  <c r="KJ57" i="3"/>
  <c r="KJ50" i="3"/>
  <c r="KJ51" i="3"/>
  <c r="KJ56" i="3"/>
  <c r="KV33" i="3"/>
  <c r="KV49" i="3" s="1"/>
  <c r="KV50" i="3"/>
  <c r="KV51" i="3"/>
  <c r="LB33" i="3"/>
  <c r="LB49" i="3" s="1"/>
  <c r="LB50" i="3"/>
  <c r="LB51" i="3"/>
  <c r="AR27" i="3"/>
  <c r="AR43" i="3" s="1"/>
  <c r="DL39" i="3"/>
  <c r="DL55" i="3" s="1"/>
  <c r="DL56" i="3"/>
  <c r="DL57" i="3"/>
  <c r="BR54" i="3"/>
  <c r="BR53" i="3"/>
  <c r="BR56" i="3"/>
  <c r="BR51" i="3"/>
  <c r="BR50" i="3"/>
  <c r="BR57" i="3"/>
  <c r="MD51" i="3"/>
  <c r="MD54" i="3"/>
  <c r="MD50" i="3"/>
  <c r="MD53" i="3"/>
  <c r="MD56" i="3"/>
  <c r="MD57" i="3"/>
  <c r="LE39" i="3"/>
  <c r="LE55" i="3" s="1"/>
  <c r="LE57" i="3"/>
  <c r="LE56" i="3"/>
  <c r="RK56" i="3"/>
  <c r="RK50" i="3"/>
  <c r="RK57" i="3"/>
  <c r="RK54" i="3"/>
  <c r="RK51" i="3"/>
  <c r="RK53" i="3"/>
  <c r="HW51" i="3"/>
  <c r="HW53" i="3"/>
  <c r="HW54" i="3"/>
  <c r="HW50" i="3"/>
  <c r="HW57" i="3"/>
  <c r="HW56" i="3"/>
  <c r="CR30" i="3"/>
  <c r="CR46" i="3" s="1"/>
  <c r="RP54" i="3"/>
  <c r="RP53" i="3"/>
  <c r="RP50" i="3"/>
  <c r="RP51" i="3"/>
  <c r="RP57" i="3"/>
  <c r="RP56" i="3"/>
  <c r="BQ51" i="3"/>
  <c r="BQ57" i="3"/>
  <c r="BQ56" i="3"/>
  <c r="BQ54" i="3"/>
  <c r="BQ53" i="3"/>
  <c r="OM27" i="3"/>
  <c r="OM43" i="3" s="1"/>
  <c r="OQ54" i="3"/>
  <c r="OQ53" i="3"/>
  <c r="OQ36" i="3"/>
  <c r="OQ52" i="3" s="1"/>
  <c r="CE39" i="3"/>
  <c r="CE55" i="3" s="1"/>
  <c r="CE57" i="3"/>
  <c r="CE56" i="3"/>
  <c r="GV27" i="3"/>
  <c r="GV43" i="3" s="1"/>
  <c r="FD53" i="3"/>
  <c r="FD56" i="3"/>
  <c r="FD51" i="3"/>
  <c r="FD57" i="3"/>
  <c r="FD50" i="3"/>
  <c r="FD54" i="3"/>
  <c r="K54" i="3"/>
  <c r="K56" i="3"/>
  <c r="K50" i="3"/>
  <c r="K57" i="3"/>
  <c r="K51" i="3"/>
  <c r="K53" i="3"/>
  <c r="BE36" i="3"/>
  <c r="BE52" i="3" s="1"/>
  <c r="BE53" i="3"/>
  <c r="BE54" i="3"/>
  <c r="OL33" i="3"/>
  <c r="OL49" i="3" s="1"/>
  <c r="OL51" i="3"/>
  <c r="OL50" i="3"/>
  <c r="LA36" i="3"/>
  <c r="LA52" i="3" s="1"/>
  <c r="LA53" i="3"/>
  <c r="LA54" i="3"/>
  <c r="CD49" i="3"/>
  <c r="CD50" i="3"/>
  <c r="CD51" i="3"/>
  <c r="JY39" i="3"/>
  <c r="JY55" i="3" s="1"/>
  <c r="JY56" i="3"/>
  <c r="JY57" i="3"/>
  <c r="GP54" i="3"/>
  <c r="HZ54" i="3"/>
  <c r="I36" i="3"/>
  <c r="I52" i="3" s="1"/>
  <c r="T36" i="3"/>
  <c r="T52" i="3" s="1"/>
  <c r="EW33" i="3"/>
  <c r="EW49" i="3" s="1"/>
  <c r="EW51" i="3"/>
  <c r="EW50" i="3"/>
  <c r="KE39" i="3"/>
  <c r="KE55" i="3" s="1"/>
  <c r="DF39" i="3"/>
  <c r="DF55" i="3" s="1"/>
  <c r="EL27" i="3"/>
  <c r="EL43" i="3" s="1"/>
  <c r="IR53" i="3"/>
  <c r="IR56" i="3"/>
  <c r="IR50" i="3"/>
  <c r="IR57" i="3"/>
  <c r="IR54" i="3"/>
  <c r="JX50" i="3"/>
  <c r="JX56" i="3"/>
  <c r="JX54" i="3"/>
  <c r="JX51" i="3"/>
  <c r="JX57" i="3"/>
  <c r="JX53" i="3"/>
  <c r="RX33" i="3"/>
  <c r="RX49" i="3" s="1"/>
  <c r="RX51" i="3"/>
  <c r="RX50" i="3"/>
  <c r="ON36" i="3"/>
  <c r="ON52" i="3" s="1"/>
  <c r="ON53" i="3"/>
  <c r="KT57" i="3"/>
  <c r="KT50" i="3"/>
  <c r="KT53" i="3"/>
  <c r="KT51" i="3"/>
  <c r="KT56" i="3"/>
  <c r="KT54" i="3"/>
  <c r="NB56" i="3"/>
  <c r="NB54" i="3"/>
  <c r="NB50" i="3"/>
  <c r="NB53" i="3"/>
  <c r="NB51" i="3"/>
  <c r="NB57" i="3"/>
  <c r="RG27" i="3"/>
  <c r="RG43" i="3" s="1"/>
  <c r="RG25" i="3"/>
  <c r="IE53" i="3"/>
  <c r="IE56" i="3"/>
  <c r="IE51" i="3"/>
  <c r="IE50" i="3"/>
  <c r="IE57" i="3"/>
  <c r="IE54" i="3"/>
  <c r="DD57" i="3"/>
  <c r="DD50" i="3"/>
  <c r="DD56" i="3"/>
  <c r="DD51" i="3"/>
  <c r="DD53" i="3"/>
  <c r="DD54" i="3"/>
  <c r="QH33" i="3"/>
  <c r="QH49" i="3" s="1"/>
  <c r="QH51" i="3"/>
  <c r="PZ30" i="3"/>
  <c r="PZ46" i="3" s="1"/>
  <c r="PS54" i="3"/>
  <c r="PS56" i="3"/>
  <c r="PS51" i="3"/>
  <c r="PS50" i="3"/>
  <c r="PS57" i="3"/>
  <c r="PS53" i="3"/>
  <c r="RT27" i="3"/>
  <c r="RT43" i="3" s="1"/>
  <c r="LB27" i="3"/>
  <c r="LB43" i="3" s="1"/>
  <c r="PH39" i="3"/>
  <c r="PH55" i="3" s="1"/>
  <c r="PH56" i="3"/>
  <c r="PH57" i="3"/>
  <c r="QN36" i="3"/>
  <c r="QN52" i="3" s="1"/>
  <c r="QN53" i="3"/>
  <c r="AL53" i="3"/>
  <c r="AL50" i="3"/>
  <c r="AL54" i="3"/>
  <c r="AL57" i="3"/>
  <c r="AL56" i="3"/>
  <c r="AL51" i="3"/>
  <c r="LK33" i="3"/>
  <c r="LK49" i="3" s="1"/>
  <c r="LK51" i="3"/>
  <c r="LG27" i="3"/>
  <c r="LG43" i="3" s="1"/>
  <c r="JG33" i="3"/>
  <c r="JG49" i="3" s="1"/>
  <c r="JG50" i="3"/>
  <c r="JG51" i="3"/>
  <c r="OY30" i="3"/>
  <c r="OY46" i="3" s="1"/>
  <c r="DG27" i="3"/>
  <c r="DG43" i="3" s="1"/>
  <c r="OW30" i="3"/>
  <c r="OW46" i="3" s="1"/>
  <c r="BN33" i="3"/>
  <c r="BN49" i="3" s="1"/>
  <c r="BN50" i="3"/>
  <c r="BN51" i="3"/>
  <c r="NV36" i="3"/>
  <c r="NV52" i="3" s="1"/>
  <c r="NV53" i="3"/>
  <c r="NV54" i="3"/>
  <c r="OX30" i="3"/>
  <c r="OX46" i="3" s="1"/>
  <c r="MO27" i="3"/>
  <c r="MO43" i="3" s="1"/>
  <c r="FF33" i="3"/>
  <c r="FF49" i="3" s="1"/>
  <c r="FF51" i="3"/>
  <c r="FF50" i="3"/>
  <c r="NJ33" i="3"/>
  <c r="NJ49" i="3" s="1"/>
  <c r="NJ51" i="3"/>
  <c r="NJ50" i="3"/>
  <c r="CK39" i="3"/>
  <c r="CK55" i="3" s="1"/>
  <c r="CK57" i="3"/>
  <c r="CK56" i="3"/>
  <c r="LI33" i="3"/>
  <c r="LI49" i="3" s="1"/>
  <c r="LI51" i="3"/>
  <c r="LI50" i="3"/>
  <c r="JQ36" i="3"/>
  <c r="JQ52" i="3" s="1"/>
  <c r="JQ54" i="3"/>
  <c r="JQ53" i="3"/>
  <c r="PB30" i="3"/>
  <c r="PB46" i="3" s="1"/>
  <c r="QW56" i="3"/>
  <c r="QW51" i="3"/>
  <c r="QW54" i="3"/>
  <c r="QW53" i="3"/>
  <c r="QW57" i="3"/>
  <c r="QW50" i="3"/>
  <c r="QC30" i="3"/>
  <c r="QC46" i="3" s="1"/>
  <c r="DR54" i="3"/>
  <c r="DR36" i="3"/>
  <c r="DR52" i="3" s="1"/>
  <c r="DR53" i="3"/>
  <c r="AP30" i="3"/>
  <c r="AP46" i="3" s="1"/>
  <c r="IS50" i="3"/>
  <c r="IS57" i="3"/>
  <c r="IS56" i="3"/>
  <c r="IS53" i="3"/>
  <c r="IS54" i="3"/>
  <c r="IS51" i="3"/>
  <c r="HY57" i="3"/>
  <c r="HY53" i="3"/>
  <c r="HY51" i="3"/>
  <c r="HY50" i="3"/>
  <c r="HY54" i="3"/>
  <c r="HY56" i="3"/>
  <c r="FM39" i="3"/>
  <c r="FM55" i="3" s="1"/>
  <c r="FM56" i="3"/>
  <c r="FM57" i="3"/>
  <c r="AG27" i="3"/>
  <c r="AG43" i="3" s="1"/>
  <c r="CQ51" i="3"/>
  <c r="CQ56" i="3"/>
  <c r="CQ50" i="3"/>
  <c r="CQ57" i="3"/>
  <c r="CQ53" i="3"/>
  <c r="CQ54" i="3"/>
  <c r="MA27" i="3"/>
  <c r="MA43" i="3" s="1"/>
  <c r="NH50" i="3"/>
  <c r="NH57" i="3"/>
  <c r="NH51" i="3"/>
  <c r="NH56" i="3"/>
  <c r="NH53" i="3"/>
  <c r="NH54" i="3"/>
  <c r="RU36" i="3"/>
  <c r="RU52" i="3" s="1"/>
  <c r="RU53" i="3"/>
  <c r="RU54" i="3"/>
  <c r="FS39" i="3"/>
  <c r="FS55" i="3" s="1"/>
  <c r="FS57" i="3"/>
  <c r="FS56" i="3"/>
  <c r="C27" i="3"/>
  <c r="C43" i="3" s="1"/>
  <c r="NW33" i="3"/>
  <c r="NW49" i="3" s="1"/>
  <c r="NW51" i="3"/>
  <c r="NW50" i="3"/>
  <c r="HZ39" i="3"/>
  <c r="HZ55" i="3" s="1"/>
  <c r="HZ57" i="3"/>
  <c r="HZ56" i="3"/>
  <c r="FN51" i="3"/>
  <c r="FN56" i="3"/>
  <c r="FN50" i="3"/>
  <c r="FN53" i="3"/>
  <c r="FN54" i="3"/>
  <c r="MA39" i="3"/>
  <c r="MA55" i="3" s="1"/>
  <c r="MA57" i="3"/>
  <c r="MA56" i="3"/>
  <c r="DP39" i="3"/>
  <c r="DP55" i="3" s="1"/>
  <c r="DP56" i="3"/>
  <c r="DP57" i="3"/>
  <c r="NK53" i="3"/>
  <c r="NK56" i="3"/>
  <c r="NK54" i="3"/>
  <c r="NK50" i="3"/>
  <c r="NK51" i="3"/>
  <c r="NK57" i="3"/>
  <c r="PZ27" i="3"/>
  <c r="PZ43" i="3" s="1"/>
  <c r="PZ25" i="3"/>
  <c r="NG30" i="3"/>
  <c r="NG46" i="3" s="1"/>
  <c r="PJ36" i="3"/>
  <c r="PJ52" i="3" s="1"/>
  <c r="PJ54" i="3"/>
  <c r="PJ53" i="3"/>
  <c r="CX54" i="3"/>
  <c r="CX50" i="3"/>
  <c r="CX53" i="3"/>
  <c r="CX51" i="3"/>
  <c r="CX56" i="3"/>
  <c r="CX57" i="3"/>
  <c r="HE33" i="3"/>
  <c r="HE49" i="3" s="1"/>
  <c r="HE50" i="3"/>
  <c r="HE51" i="3"/>
  <c r="CG57" i="3"/>
  <c r="CG50" i="3"/>
  <c r="CG53" i="3"/>
  <c r="CG56" i="3"/>
  <c r="CG51" i="3"/>
  <c r="CG54" i="3"/>
  <c r="NG33" i="3"/>
  <c r="NG49" i="3" s="1"/>
  <c r="NG51" i="3"/>
  <c r="NG50" i="3"/>
  <c r="BA51" i="3"/>
  <c r="BA54" i="3"/>
  <c r="BA53" i="3"/>
  <c r="BA50" i="3"/>
  <c r="BA57" i="3"/>
  <c r="BA56" i="3"/>
  <c r="FQ39" i="3"/>
  <c r="FQ55" i="3" s="1"/>
  <c r="FQ56" i="3"/>
  <c r="FQ57" i="3"/>
  <c r="IH27" i="3"/>
  <c r="IH43" i="3" s="1"/>
  <c r="CZ39" i="3"/>
  <c r="CZ55" i="3" s="1"/>
  <c r="CZ56" i="3"/>
  <c r="CZ57" i="3"/>
  <c r="PU39" i="3"/>
  <c r="PU55" i="3" s="1"/>
  <c r="PU57" i="3"/>
  <c r="PU56" i="3"/>
  <c r="RA50" i="3"/>
  <c r="RA51" i="3"/>
  <c r="RA56" i="3"/>
  <c r="RA54" i="3"/>
  <c r="RA53" i="3"/>
  <c r="RA57" i="3"/>
  <c r="QC39" i="3"/>
  <c r="QC55" i="3" s="1"/>
  <c r="QC57" i="3"/>
  <c r="QC56" i="3"/>
  <c r="LS51" i="3"/>
  <c r="LS50" i="3"/>
  <c r="LS57" i="3"/>
  <c r="LS56" i="3"/>
  <c r="LS53" i="3"/>
  <c r="LS54" i="3"/>
  <c r="HJ57" i="3"/>
  <c r="HJ54" i="3"/>
  <c r="HJ56" i="3"/>
  <c r="HJ53" i="3"/>
  <c r="HJ50" i="3"/>
  <c r="HJ51" i="3"/>
  <c r="BF30" i="3"/>
  <c r="BF46" i="3" s="1"/>
  <c r="JE57" i="3"/>
  <c r="JE54" i="3"/>
  <c r="JE56" i="3"/>
  <c r="JE51" i="3"/>
  <c r="JE50" i="3"/>
  <c r="JE53" i="3"/>
  <c r="FI39" i="3"/>
  <c r="FI55" i="3" s="1"/>
  <c r="FI57" i="3"/>
  <c r="FI56" i="3"/>
  <c r="HV27" i="3"/>
  <c r="HV43" i="3" s="1"/>
  <c r="AZ57" i="3"/>
  <c r="AZ56" i="3"/>
  <c r="AZ50" i="3"/>
  <c r="AZ54" i="3"/>
  <c r="AZ53" i="3"/>
  <c r="BH50" i="3"/>
  <c r="BH57" i="3"/>
  <c r="BH51" i="3"/>
  <c r="BH56" i="3"/>
  <c r="BH53" i="3"/>
  <c r="PP56" i="3"/>
  <c r="PP39" i="3"/>
  <c r="PP55" i="3" s="1"/>
  <c r="QG54" i="3"/>
  <c r="QG53" i="3"/>
  <c r="QG51" i="3"/>
  <c r="QG50" i="3"/>
  <c r="QG56" i="3"/>
  <c r="QG57" i="3"/>
  <c r="GN36" i="3"/>
  <c r="GN52" i="3" s="1"/>
  <c r="GN54" i="3"/>
  <c r="GN53" i="3"/>
  <c r="CM54" i="3"/>
  <c r="CM53" i="3"/>
  <c r="CM57" i="3"/>
  <c r="CM51" i="3"/>
  <c r="CM56" i="3"/>
  <c r="CM50" i="3"/>
  <c r="BV30" i="3"/>
  <c r="BV46" i="3" s="1"/>
  <c r="ER53" i="3"/>
  <c r="ER51" i="3"/>
  <c r="ER57" i="3"/>
  <c r="ER56" i="3"/>
  <c r="ER54" i="3"/>
  <c r="JI30" i="3"/>
  <c r="JI46" i="3" s="1"/>
  <c r="CT39" i="3"/>
  <c r="CT55" i="3" s="1"/>
  <c r="CT57" i="3"/>
  <c r="CT56" i="3"/>
  <c r="ME33" i="3"/>
  <c r="ME49" i="3" s="1"/>
  <c r="ME50" i="3"/>
  <c r="ME51" i="3"/>
  <c r="CP57" i="3"/>
  <c r="CP54" i="3"/>
  <c r="CP56" i="3"/>
  <c r="CP53" i="3"/>
  <c r="CP51" i="3"/>
  <c r="CP50" i="3"/>
  <c r="GK39" i="3"/>
  <c r="GK55" i="3" s="1"/>
  <c r="GK56" i="3"/>
  <c r="GK57" i="3"/>
  <c r="KX30" i="3"/>
  <c r="KX46" i="3" s="1"/>
  <c r="RC39" i="3"/>
  <c r="RC55" i="3" s="1"/>
  <c r="RC57" i="3"/>
  <c r="RC56" i="3"/>
  <c r="AC36" i="3"/>
  <c r="AC52" i="3" s="1"/>
  <c r="FQ27" i="3"/>
  <c r="FQ43" i="3" s="1"/>
  <c r="HZ30" i="3"/>
  <c r="HZ46" i="3" s="1"/>
  <c r="GS39" i="3"/>
  <c r="GS55" i="3" s="1"/>
  <c r="GS56" i="3"/>
  <c r="CN27" i="3"/>
  <c r="CN43" i="3" s="1"/>
  <c r="Z51" i="3"/>
  <c r="Z54" i="3"/>
  <c r="Z56" i="3"/>
  <c r="Z53" i="3"/>
  <c r="Z50" i="3"/>
  <c r="Z57" i="3"/>
  <c r="KV30" i="3"/>
  <c r="KV46" i="3" s="1"/>
  <c r="AO33" i="3"/>
  <c r="AO49" i="3" s="1"/>
  <c r="AO50" i="3"/>
  <c r="BF27" i="3"/>
  <c r="BF43" i="3" s="1"/>
  <c r="AQ51" i="3"/>
  <c r="AQ54" i="3"/>
  <c r="AQ56" i="3"/>
  <c r="AQ53" i="3"/>
  <c r="AQ57" i="3"/>
  <c r="AQ50" i="3"/>
  <c r="IN33" i="3"/>
  <c r="IN49" i="3" s="1"/>
  <c r="IN50" i="3"/>
  <c r="IN51" i="3"/>
  <c r="MJ36" i="3"/>
  <c r="MJ52" i="3" s="1"/>
  <c r="MJ54" i="3"/>
  <c r="MJ53" i="3"/>
  <c r="AD50" i="3"/>
  <c r="AD56" i="3"/>
  <c r="AD53" i="3"/>
  <c r="AD54" i="3"/>
  <c r="AD51" i="3"/>
  <c r="RT36" i="3"/>
  <c r="RT52" i="3" s="1"/>
  <c r="RT54" i="3"/>
  <c r="EA39" i="3"/>
  <c r="EA55" i="3" s="1"/>
  <c r="EA56" i="3"/>
  <c r="EA57" i="3"/>
  <c r="MA30" i="3"/>
  <c r="MA46" i="3" s="1"/>
  <c r="MY33" i="3"/>
  <c r="MY49" i="3" s="1"/>
  <c r="MY51" i="3"/>
  <c r="MY50" i="3"/>
  <c r="PO27" i="3"/>
  <c r="PO43" i="3" s="1"/>
  <c r="GJ54" i="3"/>
  <c r="GJ50" i="3"/>
  <c r="GJ53" i="3"/>
  <c r="GJ56" i="3"/>
  <c r="GJ51" i="3"/>
  <c r="GJ57" i="3"/>
  <c r="OO30" i="3"/>
  <c r="OO46" i="3" s="1"/>
  <c r="BB53" i="3"/>
  <c r="BB51" i="3"/>
  <c r="BB56" i="3"/>
  <c r="BB57" i="3"/>
  <c r="BB54" i="3"/>
  <c r="BB50" i="3"/>
  <c r="OW27" i="3"/>
  <c r="OW43" i="3" s="1"/>
  <c r="RQ33" i="3"/>
  <c r="RQ49" i="3" s="1"/>
  <c r="RQ51" i="3"/>
  <c r="RQ50" i="3"/>
  <c r="AW39" i="3"/>
  <c r="AW55" i="3" s="1"/>
  <c r="AW56" i="3"/>
  <c r="AW57" i="3"/>
  <c r="LY27" i="3"/>
  <c r="LY43" i="3" s="1"/>
  <c r="T56" i="3"/>
  <c r="T50" i="3"/>
  <c r="T53" i="3"/>
  <c r="T54" i="3"/>
  <c r="T51" i="3"/>
  <c r="T57" i="3"/>
  <c r="NE36" i="3"/>
  <c r="NE52" i="3" s="1"/>
  <c r="NE54" i="3"/>
  <c r="NE53" i="3"/>
  <c r="NQ33" i="3"/>
  <c r="NQ49" i="3" s="1"/>
  <c r="NQ50" i="3"/>
  <c r="NQ51" i="3"/>
  <c r="BI50" i="3"/>
  <c r="BI57" i="3"/>
  <c r="BI54" i="3"/>
  <c r="BI53" i="3"/>
  <c r="BI51" i="3"/>
  <c r="BI56" i="3"/>
  <c r="RE39" i="3"/>
  <c r="RE55" i="3" s="1"/>
  <c r="RE56" i="3"/>
  <c r="RE57" i="3"/>
  <c r="FI36" i="3"/>
  <c r="FI52" i="3" s="1"/>
  <c r="FI54" i="3"/>
  <c r="FI53" i="3"/>
  <c r="AW33" i="3"/>
  <c r="AW49" i="3" s="1"/>
  <c r="AW51" i="3"/>
  <c r="AW50" i="3"/>
  <c r="QK36" i="3"/>
  <c r="QK52" i="3" s="1"/>
  <c r="QK53" i="3"/>
  <c r="PQ36" i="3"/>
  <c r="PQ52" i="3" s="1"/>
  <c r="PQ53" i="3"/>
  <c r="PQ54" i="3"/>
  <c r="EK33" i="3"/>
  <c r="EK49" i="3" s="1"/>
  <c r="EK51" i="3"/>
  <c r="EK50" i="3"/>
  <c r="PE53" i="3"/>
  <c r="PE57" i="3"/>
  <c r="PE51" i="3"/>
  <c r="PE56" i="3"/>
  <c r="PE54" i="3"/>
  <c r="PE50" i="3"/>
  <c r="HN30" i="3"/>
  <c r="HN46" i="3" s="1"/>
  <c r="AW27" i="3"/>
  <c r="AW43" i="3" s="1"/>
  <c r="EK30" i="3"/>
  <c r="EK46" i="3" s="1"/>
  <c r="QC27" i="3"/>
  <c r="QC43" i="3" s="1"/>
  <c r="SG36" i="3"/>
  <c r="SG52" i="3" s="1"/>
  <c r="EL30" i="3"/>
  <c r="EL46" i="3" s="1"/>
  <c r="EW36" i="3"/>
  <c r="EW52" i="3" s="1"/>
  <c r="EW54" i="3"/>
  <c r="EW53" i="3"/>
  <c r="O36" i="3"/>
  <c r="O52" i="3" s="1"/>
  <c r="DF56" i="3"/>
  <c r="DF50" i="3"/>
  <c r="DF51" i="3"/>
  <c r="DF53" i="3"/>
  <c r="DF54" i="3"/>
  <c r="DF57" i="3"/>
  <c r="OS27" i="3"/>
  <c r="OS43" i="3" s="1"/>
  <c r="FE57" i="3"/>
  <c r="FE51" i="3"/>
  <c r="FE50" i="3"/>
  <c r="FE53" i="3"/>
  <c r="FE54" i="3"/>
  <c r="FE56" i="3"/>
  <c r="DG39" i="3"/>
  <c r="DG55" i="3" s="1"/>
  <c r="DG57" i="3"/>
  <c r="DG56" i="3"/>
  <c r="HE27" i="3"/>
  <c r="HE43" i="3" s="1"/>
  <c r="BK51" i="3"/>
  <c r="BK56" i="3"/>
  <c r="BK57" i="3"/>
  <c r="BK54" i="3"/>
  <c r="BK50" i="3"/>
  <c r="BK53" i="3"/>
  <c r="OQ27" i="3"/>
  <c r="OQ43" i="3" s="1"/>
  <c r="MC33" i="3"/>
  <c r="MC49" i="3" s="1"/>
  <c r="MC51" i="3"/>
  <c r="MC50" i="3"/>
  <c r="CN51" i="3"/>
  <c r="CN57" i="3"/>
  <c r="CN56" i="3"/>
  <c r="CN53" i="3"/>
  <c r="CN54" i="3"/>
  <c r="LT39" i="3"/>
  <c r="LT55" i="3" s="1"/>
  <c r="LT57" i="3"/>
  <c r="OB54" i="3"/>
  <c r="OB51" i="3"/>
  <c r="OB50" i="3"/>
  <c r="OB57" i="3"/>
  <c r="OB56" i="3"/>
  <c r="OB53" i="3"/>
  <c r="P27" i="3"/>
  <c r="P43" i="3" s="1"/>
  <c r="IJ57" i="3"/>
  <c r="IJ54" i="3"/>
  <c r="IJ50" i="3"/>
  <c r="IJ53" i="3"/>
  <c r="IJ51" i="3"/>
  <c r="IJ56" i="3"/>
  <c r="C36" i="3"/>
  <c r="C52" i="3" s="1"/>
  <c r="FI33" i="3"/>
  <c r="FI49" i="3" s="1"/>
  <c r="FI50" i="3"/>
  <c r="FI51" i="3"/>
  <c r="HE39" i="3"/>
  <c r="HE55" i="3" s="1"/>
  <c r="HE56" i="3"/>
  <c r="HE57" i="3"/>
  <c r="JU57" i="3"/>
  <c r="JU56" i="3"/>
  <c r="JU54" i="3"/>
  <c r="JU53" i="3"/>
  <c r="JU50" i="3"/>
  <c r="JU51" i="3"/>
  <c r="EE39" i="3"/>
  <c r="EE55" i="3" s="1"/>
  <c r="EE57" i="3"/>
  <c r="EE56" i="3"/>
  <c r="BV36" i="3"/>
  <c r="BV52" i="3" s="1"/>
  <c r="BV53" i="3"/>
  <c r="BV54" i="3"/>
  <c r="QS51" i="3"/>
  <c r="QS50" i="3"/>
  <c r="QS56" i="3"/>
  <c r="QS57" i="3"/>
  <c r="QS53" i="3"/>
  <c r="QS54" i="3"/>
  <c r="CZ27" i="3"/>
  <c r="CZ43" i="3" s="1"/>
  <c r="LE30" i="3"/>
  <c r="LE46" i="3" s="1"/>
  <c r="BU33" i="3"/>
  <c r="BU49" i="3" s="1"/>
  <c r="BU50" i="3"/>
  <c r="BU51" i="3"/>
  <c r="PI27" i="3"/>
  <c r="PI43" i="3" s="1"/>
  <c r="FF27" i="3"/>
  <c r="FF43" i="3" s="1"/>
  <c r="EI36" i="3"/>
  <c r="EI52" i="3" s="1"/>
  <c r="EI54" i="3"/>
  <c r="IG27" i="3"/>
  <c r="IG43" i="3" s="1"/>
  <c r="RU39" i="3"/>
  <c r="RU55" i="3" s="1"/>
  <c r="RU57" i="3"/>
  <c r="RU56" i="3"/>
  <c r="DN56" i="3"/>
  <c r="DN57" i="3"/>
  <c r="DN53" i="3"/>
  <c r="DN54" i="3"/>
  <c r="DN51" i="3"/>
  <c r="FV30" i="3"/>
  <c r="FV46" i="3" s="1"/>
  <c r="RW36" i="3"/>
  <c r="RW52" i="3" s="1"/>
  <c r="RW53" i="3"/>
  <c r="RW54" i="3"/>
  <c r="PI39" i="3"/>
  <c r="PI55" i="3" s="1"/>
  <c r="PI57" i="3"/>
  <c r="PI56" i="3"/>
  <c r="MY27" i="3"/>
  <c r="MY43" i="3" s="1"/>
  <c r="OA33" i="3"/>
  <c r="OA49" i="3" s="1"/>
  <c r="OA50" i="3"/>
  <c r="KN39" i="3"/>
  <c r="KN55" i="3" s="1"/>
  <c r="KN56" i="3"/>
  <c r="NC39" i="3"/>
  <c r="NC55" i="3" s="1"/>
  <c r="NC56" i="3"/>
  <c r="NC57" i="3"/>
  <c r="LR27" i="3"/>
  <c r="LR43" i="3" s="1"/>
  <c r="MJ27" i="3"/>
  <c r="MJ43" i="3" s="1"/>
  <c r="MJ25" i="3"/>
  <c r="QM53" i="3"/>
  <c r="QM54" i="3"/>
  <c r="QM57" i="3"/>
  <c r="QM56" i="3"/>
  <c r="QM50" i="3"/>
  <c r="QM51" i="3"/>
  <c r="RH27" i="3"/>
  <c r="RH43" i="3" s="1"/>
  <c r="GE36" i="3"/>
  <c r="GE52" i="3" s="1"/>
  <c r="GE53" i="3"/>
  <c r="EB53" i="3"/>
  <c r="EB57" i="3"/>
  <c r="EB56" i="3"/>
  <c r="EB54" i="3"/>
  <c r="EB51" i="3"/>
  <c r="EB50" i="3"/>
  <c r="LN57" i="3"/>
  <c r="LN51" i="3"/>
  <c r="LN56" i="3"/>
  <c r="LN53" i="3"/>
  <c r="LN50" i="3"/>
  <c r="AR33" i="3"/>
  <c r="AR49" i="3" s="1"/>
  <c r="AR50" i="3"/>
  <c r="AR51" i="3"/>
  <c r="KL57" i="3"/>
  <c r="KL50" i="3"/>
  <c r="KL53" i="3"/>
  <c r="KL56" i="3"/>
  <c r="KL51" i="3"/>
  <c r="KL54" i="3"/>
  <c r="ND33" i="3"/>
  <c r="ND49" i="3" s="1"/>
  <c r="ND51" i="3"/>
  <c r="ND50" i="3"/>
  <c r="AN54" i="3"/>
  <c r="AN53" i="3"/>
  <c r="AN51" i="3"/>
  <c r="AN56" i="3"/>
  <c r="AN50" i="3"/>
  <c r="AN57" i="3"/>
  <c r="SF57" i="3"/>
  <c r="SF54" i="3"/>
  <c r="SF56" i="3"/>
  <c r="SF53" i="3"/>
  <c r="SF51" i="3"/>
  <c r="SF50" i="3"/>
  <c r="NO39" i="3"/>
  <c r="NO55" i="3" s="1"/>
  <c r="NO56" i="3"/>
  <c r="NO57" i="3"/>
  <c r="QX36" i="3"/>
  <c r="QX52" i="3" s="1"/>
  <c r="QX54" i="3"/>
  <c r="QX53" i="3"/>
  <c r="QJ50" i="3"/>
  <c r="QJ51" i="3"/>
  <c r="QJ57" i="3"/>
  <c r="QJ56" i="3"/>
  <c r="QJ53" i="3"/>
  <c r="QJ54" i="3"/>
  <c r="HD30" i="3"/>
  <c r="HD46" i="3" s="1"/>
  <c r="OT54" i="3"/>
  <c r="OT57" i="3"/>
  <c r="OT50" i="3"/>
  <c r="OT51" i="3"/>
  <c r="OT56" i="3"/>
  <c r="OT53" i="3"/>
  <c r="AM56" i="3"/>
  <c r="AM53" i="3"/>
  <c r="AM57" i="3"/>
  <c r="AM50" i="3"/>
  <c r="AM54" i="3"/>
  <c r="ME30" i="3"/>
  <c r="ME46" i="3" s="1"/>
  <c r="RF30" i="3"/>
  <c r="RF46" i="3" s="1"/>
  <c r="AV54" i="3"/>
  <c r="AV51" i="3"/>
  <c r="AV50" i="3"/>
  <c r="AV57" i="3"/>
  <c r="AV53" i="3"/>
  <c r="AV56" i="3"/>
  <c r="JT27" i="3"/>
  <c r="JT43" i="3" s="1"/>
  <c r="JT25" i="3"/>
  <c r="GV33" i="3"/>
  <c r="GV49" i="3" s="1"/>
  <c r="GV51" i="3"/>
  <c r="GV50" i="3"/>
  <c r="DQ57" i="3"/>
  <c r="DQ53" i="3"/>
  <c r="DQ56" i="3"/>
  <c r="DQ50" i="3"/>
  <c r="DQ51" i="3"/>
  <c r="DQ54" i="3"/>
  <c r="NJ39" i="3"/>
  <c r="NJ55" i="3" s="1"/>
  <c r="NJ57" i="3"/>
  <c r="NJ56" i="3"/>
  <c r="PI33" i="3"/>
  <c r="PI49" i="3" s="1"/>
  <c r="PI51" i="3"/>
  <c r="PI50" i="3"/>
  <c r="RB33" i="3"/>
  <c r="RB49" i="3" s="1"/>
  <c r="RB50" i="3"/>
  <c r="RB51" i="3"/>
  <c r="HF50" i="3"/>
  <c r="HF53" i="3"/>
  <c r="HF54" i="3"/>
  <c r="HF57" i="3"/>
  <c r="HF56" i="3"/>
  <c r="HF51" i="3"/>
  <c r="LP36" i="3"/>
  <c r="LP52" i="3" s="1"/>
  <c r="LP54" i="3"/>
  <c r="LP53" i="3"/>
  <c r="FN57" i="3"/>
  <c r="PA57" i="3"/>
  <c r="FZ50" i="3"/>
  <c r="I30" i="3"/>
  <c r="I46" i="3" s="1"/>
  <c r="QR36" i="3"/>
  <c r="QR52" i="3" s="1"/>
  <c r="QR54" i="3"/>
  <c r="FH36" i="3"/>
  <c r="FH52" i="3" s="1"/>
  <c r="FH54" i="3"/>
  <c r="FH53" i="3"/>
  <c r="AI27" i="3"/>
  <c r="AI43" i="3" s="1"/>
  <c r="KU53" i="3"/>
  <c r="KU50" i="3"/>
  <c r="KU54" i="3"/>
  <c r="KU51" i="3"/>
  <c r="KU56" i="3"/>
  <c r="KU57" i="3"/>
  <c r="IT51" i="3"/>
  <c r="IT54" i="3"/>
  <c r="IT57" i="3"/>
  <c r="IT56" i="3"/>
  <c r="IT53" i="3"/>
  <c r="IT50" i="3"/>
  <c r="RH39" i="3"/>
  <c r="RH55" i="3" s="1"/>
  <c r="RH57" i="3"/>
  <c r="RH56" i="3"/>
  <c r="LD36" i="3"/>
  <c r="LD52" i="3" s="1"/>
  <c r="LD54" i="3"/>
  <c r="LD30" i="3"/>
  <c r="LD46" i="3" s="1"/>
  <c r="OZ36" i="3"/>
  <c r="OZ52" i="3" s="1"/>
  <c r="OZ54" i="3"/>
  <c r="KM30" i="3"/>
  <c r="KM46" i="3" s="1"/>
  <c r="MU39" i="3"/>
  <c r="MU55" i="3" s="1"/>
  <c r="MU57" i="3"/>
  <c r="MU56" i="3"/>
  <c r="RS39" i="3"/>
  <c r="RS55" i="3" s="1"/>
  <c r="RS56" i="3"/>
  <c r="RS57" i="3"/>
  <c r="JO27" i="3"/>
  <c r="JO43" i="3" s="1"/>
  <c r="GP36" i="3"/>
  <c r="GP52" i="3" s="1"/>
  <c r="GP53" i="3"/>
  <c r="JO36" i="3"/>
  <c r="JO52" i="3" s="1"/>
  <c r="JO53" i="3"/>
  <c r="JO54" i="3"/>
  <c r="OI27" i="3"/>
  <c r="OI43" i="3" s="1"/>
  <c r="RB30" i="3"/>
  <c r="RB46" i="3" s="1"/>
  <c r="BN27" i="3"/>
  <c r="BN43" i="3" s="1"/>
  <c r="RJ27" i="3"/>
  <c r="RJ43" i="3" s="1"/>
  <c r="LJ39" i="3"/>
  <c r="LJ55" i="3" s="1"/>
  <c r="LJ57" i="3"/>
  <c r="LJ56" i="3"/>
  <c r="DY36" i="3"/>
  <c r="DY52" i="3" s="1"/>
  <c r="DY53" i="3"/>
  <c r="OX39" i="3"/>
  <c r="OX55" i="3" s="1"/>
  <c r="OX56" i="3"/>
  <c r="OX57" i="3"/>
  <c r="DY39" i="3"/>
  <c r="DY55" i="3" s="1"/>
  <c r="DY57" i="3"/>
  <c r="DY56" i="3"/>
  <c r="CO51" i="3"/>
  <c r="CO56" i="3"/>
  <c r="CO54" i="3"/>
  <c r="CO57" i="3"/>
  <c r="CO53" i="3"/>
  <c r="CO50" i="3"/>
  <c r="JQ27" i="3"/>
  <c r="JQ43" i="3" s="1"/>
  <c r="NY53" i="3"/>
  <c r="NY54" i="3"/>
  <c r="NY56" i="3"/>
  <c r="NY50" i="3"/>
  <c r="NY51" i="3"/>
  <c r="NY57" i="3"/>
  <c r="LY33" i="3"/>
  <c r="LY49" i="3" s="1"/>
  <c r="LY50" i="3"/>
  <c r="LY51" i="3"/>
  <c r="DR27" i="3"/>
  <c r="DR43" i="3" s="1"/>
  <c r="KK57" i="3"/>
  <c r="KK39" i="3"/>
  <c r="KK55" i="3" s="1"/>
  <c r="KK56" i="3"/>
  <c r="BE33" i="3"/>
  <c r="BE49" i="3" s="1"/>
  <c r="BE50" i="3"/>
  <c r="BE51" i="3"/>
  <c r="C39" i="3"/>
  <c r="C55" i="3" s="1"/>
  <c r="GU27" i="3"/>
  <c r="GU43" i="3" s="1"/>
  <c r="AX27" i="3"/>
  <c r="AX43" i="3" s="1"/>
  <c r="JP27" i="3"/>
  <c r="JP43" i="3" s="1"/>
  <c r="JK36" i="3"/>
  <c r="JK52" i="3" s="1"/>
  <c r="JK54" i="3"/>
  <c r="JK53" i="3"/>
  <c r="DO51" i="3"/>
  <c r="DO50" i="3"/>
  <c r="DO57" i="3"/>
  <c r="DO53" i="3"/>
  <c r="DO56" i="3"/>
  <c r="DO54" i="3"/>
  <c r="OY27" i="3"/>
  <c r="OY43" i="3" s="1"/>
  <c r="PT36" i="3"/>
  <c r="PT52" i="3" s="1"/>
  <c r="PT53" i="3"/>
  <c r="PT54" i="3"/>
  <c r="JZ57" i="3"/>
  <c r="JZ54" i="3"/>
  <c r="JZ56" i="3"/>
  <c r="JZ50" i="3"/>
  <c r="JZ51" i="3"/>
  <c r="JZ53" i="3"/>
  <c r="MT39" i="3"/>
  <c r="MT55" i="3" s="1"/>
  <c r="MT56" i="3"/>
  <c r="MT57" i="3"/>
  <c r="HQ54" i="3"/>
  <c r="HQ50" i="3"/>
  <c r="HQ53" i="3"/>
  <c r="HQ57" i="3"/>
  <c r="HQ51" i="3"/>
  <c r="HQ56" i="3"/>
  <c r="HO53" i="3"/>
  <c r="HO56" i="3"/>
  <c r="HO54" i="3"/>
  <c r="HO57" i="3"/>
  <c r="HO50" i="3"/>
  <c r="HO51" i="3"/>
  <c r="P36" i="3"/>
  <c r="P52" i="3" s="1"/>
  <c r="P54" i="3"/>
  <c r="P53" i="3"/>
  <c r="QL33" i="3"/>
  <c r="QL49" i="3" s="1"/>
  <c r="QL50" i="3"/>
  <c r="QL51" i="3"/>
  <c r="MU36" i="3"/>
  <c r="MU52" i="3" s="1"/>
  <c r="MU53" i="3"/>
  <c r="MU54" i="3"/>
  <c r="RS36" i="3"/>
  <c r="RS52" i="3" s="1"/>
  <c r="RS54" i="3"/>
  <c r="RS53" i="3"/>
  <c r="RE30" i="3"/>
  <c r="RE46" i="3" s="1"/>
  <c r="NE27" i="3"/>
  <c r="NE43" i="3" s="1"/>
  <c r="QK27" i="3"/>
  <c r="QK43" i="3" s="1"/>
  <c r="QK25" i="3"/>
  <c r="CC56" i="3"/>
  <c r="CC51" i="3"/>
  <c r="CC50" i="3"/>
  <c r="CC57" i="3"/>
  <c r="CC54" i="3"/>
  <c r="CC53" i="3"/>
  <c r="CZ30" i="3"/>
  <c r="CZ46" i="3" s="1"/>
  <c r="PU33" i="3"/>
  <c r="PU49" i="3" s="1"/>
  <c r="PU51" i="3"/>
  <c r="PU50" i="3"/>
  <c r="LM53" i="3"/>
  <c r="LM51" i="3"/>
  <c r="LM50" i="3"/>
  <c r="LM54" i="3"/>
  <c r="LM56" i="3"/>
  <c r="LM57" i="3"/>
  <c r="IX54" i="3"/>
  <c r="IX57" i="3"/>
  <c r="IX56" i="3"/>
  <c r="IX53" i="3"/>
  <c r="IX51" i="3"/>
  <c r="IX50" i="3"/>
  <c r="GD56" i="3"/>
  <c r="GD39" i="3"/>
  <c r="GD55" i="3" s="1"/>
  <c r="GD57" i="3"/>
  <c r="FI27" i="3"/>
  <c r="FI43" i="3" s="1"/>
  <c r="U56" i="3"/>
  <c r="U53" i="3"/>
  <c r="U57" i="3"/>
  <c r="U50" i="3"/>
  <c r="U51" i="3"/>
  <c r="U54" i="3"/>
  <c r="KG36" i="3"/>
  <c r="KG52" i="3" s="1"/>
  <c r="KG54" i="3"/>
  <c r="KG53" i="3"/>
  <c r="BG39" i="3"/>
  <c r="BG55" i="3" s="1"/>
  <c r="BG57" i="3"/>
  <c r="G30" i="3"/>
  <c r="G46" i="3" s="1"/>
  <c r="M27" i="3"/>
  <c r="M43" i="3" s="1"/>
  <c r="AX36" i="3"/>
  <c r="AX52" i="3" s="1"/>
  <c r="AX53" i="3"/>
  <c r="AX54" i="3"/>
  <c r="HT51" i="3"/>
  <c r="HT56" i="3"/>
  <c r="HT57" i="3"/>
  <c r="HT53" i="3"/>
  <c r="HT54" i="3"/>
  <c r="GN27" i="3"/>
  <c r="GN43" i="3" s="1"/>
  <c r="CT27" i="3"/>
  <c r="CT43" i="3" s="1"/>
  <c r="OW36" i="3"/>
  <c r="OW52" i="3" s="1"/>
  <c r="OW54" i="3"/>
  <c r="CL56" i="3"/>
  <c r="CL50" i="3"/>
  <c r="CL53" i="3"/>
  <c r="CL57" i="3"/>
  <c r="CL51" i="3"/>
  <c r="CL54" i="3"/>
  <c r="RZ27" i="3"/>
  <c r="RZ43" i="3" s="1"/>
  <c r="GC53" i="3"/>
  <c r="GC56" i="3"/>
  <c r="GC51" i="3"/>
  <c r="GC54" i="3"/>
  <c r="GC50" i="3"/>
  <c r="GC57" i="3"/>
  <c r="DI51" i="3"/>
  <c r="DI50" i="3"/>
  <c r="DI57" i="3"/>
  <c r="DI53" i="3"/>
  <c r="DI54" i="3"/>
  <c r="DI56" i="3"/>
  <c r="BJ30" i="3"/>
  <c r="BJ46" i="3" s="1"/>
  <c r="OW39" i="3"/>
  <c r="OW55" i="3" s="1"/>
  <c r="OW57" i="3"/>
  <c r="OW56" i="3"/>
  <c r="AW36" i="3"/>
  <c r="AW52" i="3" s="1"/>
  <c r="AW54" i="3"/>
  <c r="AW53" i="3"/>
  <c r="EK27" i="3"/>
  <c r="EK43" i="3" s="1"/>
  <c r="SG56" i="3"/>
  <c r="SG50" i="3"/>
  <c r="SG57" i="3"/>
  <c r="SG54" i="3"/>
  <c r="SG53" i="3"/>
  <c r="SG51" i="3"/>
  <c r="SD57" i="3"/>
  <c r="SD50" i="3"/>
  <c r="SD56" i="3"/>
  <c r="SD54" i="3"/>
  <c r="SD53" i="3"/>
  <c r="SD51" i="3"/>
  <c r="PB36" i="3"/>
  <c r="PB52" i="3" s="1"/>
  <c r="PB53" i="3"/>
  <c r="PB54" i="3"/>
  <c r="QD30" i="3"/>
  <c r="QD46" i="3" s="1"/>
  <c r="DK39" i="3"/>
  <c r="DK55" i="3" s="1"/>
  <c r="DK57" i="3"/>
  <c r="DK56" i="3"/>
  <c r="RE33" i="3"/>
  <c r="RE49" i="3" s="1"/>
  <c r="RE51" i="3"/>
  <c r="RE50" i="3"/>
  <c r="GN30" i="3"/>
  <c r="GN46" i="3" s="1"/>
  <c r="E39" i="3"/>
  <c r="E55" i="3" s="1"/>
  <c r="FJ57" i="3"/>
  <c r="FJ50" i="3"/>
  <c r="FJ54" i="3"/>
  <c r="FJ56" i="3"/>
  <c r="FJ53" i="3"/>
  <c r="FJ51" i="3"/>
  <c r="ML30" i="3"/>
  <c r="ML46" i="3" s="1"/>
  <c r="CT33" i="3"/>
  <c r="CT49" i="3" s="1"/>
  <c r="CT51" i="3"/>
  <c r="CT50" i="3"/>
  <c r="JP30" i="3"/>
  <c r="JP46" i="3" s="1"/>
  <c r="IB30" i="3"/>
  <c r="IB46" i="3" s="1"/>
  <c r="IP39" i="3"/>
  <c r="IP55" i="3" s="1"/>
  <c r="IP57" i="3"/>
  <c r="IP56" i="3"/>
  <c r="QU39" i="3"/>
  <c r="QU55" i="3" s="1"/>
  <c r="QU56" i="3"/>
  <c r="QU57" i="3"/>
  <c r="NW39" i="3"/>
  <c r="NW55" i="3" s="1"/>
  <c r="NW57" i="3"/>
  <c r="NW56" i="3"/>
  <c r="CD36" i="3"/>
  <c r="CD52" i="3" s="1"/>
  <c r="CD53" i="3"/>
  <c r="CD54" i="3"/>
  <c r="FY30" i="3"/>
  <c r="FY46" i="3" s="1"/>
  <c r="HI54" i="3"/>
  <c r="HI51" i="3"/>
  <c r="HI57" i="3"/>
  <c r="HI53" i="3"/>
  <c r="HI50" i="3"/>
  <c r="HI56" i="3"/>
  <c r="GK36" i="3"/>
  <c r="GK52" i="3" s="1"/>
  <c r="GK53" i="3"/>
  <c r="GK54" i="3"/>
  <c r="LF39" i="3"/>
  <c r="LF55" i="3" s="1"/>
  <c r="LF56" i="3"/>
  <c r="LF57" i="3"/>
  <c r="ID27" i="3"/>
  <c r="ID43" i="3" s="1"/>
  <c r="PY33" i="3"/>
  <c r="PY49" i="3" s="1"/>
  <c r="PY50" i="3"/>
  <c r="PY51" i="3"/>
  <c r="AO30" i="3"/>
  <c r="AO46" i="3" s="1"/>
  <c r="EK39" i="3"/>
  <c r="EK55" i="3" s="1"/>
  <c r="EK57" i="3"/>
  <c r="EK56" i="3"/>
  <c r="AG30" i="3"/>
  <c r="AG46" i="3" s="1"/>
  <c r="BZ53" i="3"/>
  <c r="BZ56" i="3"/>
  <c r="BZ50" i="3"/>
  <c r="BZ54" i="3"/>
  <c r="BZ51" i="3"/>
  <c r="BZ57" i="3"/>
  <c r="FW27" i="3"/>
  <c r="FW43" i="3" s="1"/>
  <c r="MP30" i="3"/>
  <c r="MP46" i="3" s="1"/>
  <c r="SA30" i="3"/>
  <c r="SA46" i="3" s="1"/>
  <c r="OC33" i="3"/>
  <c r="OC49" i="3" s="1"/>
  <c r="OC51" i="3"/>
  <c r="OC50" i="3"/>
  <c r="KK30" i="3"/>
  <c r="KK46" i="3" s="1"/>
  <c r="JA36" i="3"/>
  <c r="JA52" i="3" s="1"/>
  <c r="JA53" i="3"/>
  <c r="JA54" i="3"/>
  <c r="EK36" i="3"/>
  <c r="EK52" i="3" s="1"/>
  <c r="EK53" i="3"/>
  <c r="EK54" i="3"/>
  <c r="BE27" i="3"/>
  <c r="BE43" i="3" s="1"/>
  <c r="DY33" i="3"/>
  <c r="DY49" i="3" s="1"/>
  <c r="DY51" i="3"/>
  <c r="DY50" i="3"/>
  <c r="CZ36" i="3"/>
  <c r="CZ52" i="3" s="1"/>
  <c r="CZ54" i="3"/>
  <c r="CZ53" i="3"/>
  <c r="NM54" i="3"/>
  <c r="NM56" i="3"/>
  <c r="NM50" i="3"/>
  <c r="NM57" i="3"/>
  <c r="NM53" i="3"/>
  <c r="NM51" i="3"/>
  <c r="GH57" i="3"/>
  <c r="GH51" i="3"/>
  <c r="GH50" i="3"/>
  <c r="GH53" i="3"/>
  <c r="GH56" i="3"/>
  <c r="GH54" i="3"/>
  <c r="KE51" i="3"/>
  <c r="KE56" i="3"/>
  <c r="KE50" i="3"/>
  <c r="KE54" i="3"/>
  <c r="KE57" i="3"/>
  <c r="KE53" i="3"/>
  <c r="EW27" i="3"/>
  <c r="EW43" i="3" s="1"/>
  <c r="HN39" i="3"/>
  <c r="HN55" i="3" s="1"/>
  <c r="HN56" i="3"/>
  <c r="HN57" i="3"/>
  <c r="GW53" i="3"/>
  <c r="GW57" i="3"/>
  <c r="GW56" i="3"/>
  <c r="GW54" i="3"/>
  <c r="GW50" i="3"/>
  <c r="GW51" i="3"/>
  <c r="PA33" i="3"/>
  <c r="PA49" i="3" s="1"/>
  <c r="PA51" i="3"/>
  <c r="PA50" i="3"/>
  <c r="ES57" i="3"/>
  <c r="ES53" i="3"/>
  <c r="ES54" i="3"/>
  <c r="ES56" i="3"/>
  <c r="ES51" i="3"/>
  <c r="ES50" i="3"/>
  <c r="BW56" i="3"/>
  <c r="BW51" i="3"/>
  <c r="BW57" i="3"/>
  <c r="BW53" i="3"/>
  <c r="BW54" i="3"/>
  <c r="BW50" i="3"/>
  <c r="PY39" i="3"/>
  <c r="PY55" i="3" s="1"/>
  <c r="PY56" i="3"/>
  <c r="PY57" i="3"/>
  <c r="MR56" i="3"/>
  <c r="MR50" i="3"/>
  <c r="MR53" i="3"/>
  <c r="MR51" i="3"/>
  <c r="MR54" i="3"/>
  <c r="MR57" i="3"/>
  <c r="CF51" i="3"/>
  <c r="CF53" i="3"/>
  <c r="CF50" i="3"/>
  <c r="CF54" i="3"/>
  <c r="CF57" i="3"/>
  <c r="JC56" i="3"/>
  <c r="JC53" i="3"/>
  <c r="JC57" i="3"/>
  <c r="JC51" i="3"/>
  <c r="JC54" i="3"/>
  <c r="JC50" i="3"/>
  <c r="V50" i="3"/>
  <c r="V53" i="3"/>
  <c r="V54" i="3"/>
  <c r="V51" i="3"/>
  <c r="V56" i="3"/>
  <c r="V57" i="3"/>
  <c r="LV50" i="3"/>
  <c r="LV53" i="3"/>
  <c r="LV56" i="3"/>
  <c r="LV51" i="3"/>
  <c r="LV54" i="3"/>
  <c r="LV57" i="3"/>
  <c r="G39" i="3"/>
  <c r="G55" i="3" s="1"/>
  <c r="FM33" i="3"/>
  <c r="FM49" i="3" s="1"/>
  <c r="FM50" i="3"/>
  <c r="FM51" i="3"/>
  <c r="IC56" i="3"/>
  <c r="IC57" i="3"/>
  <c r="IC50" i="3"/>
  <c r="IC51" i="3"/>
  <c r="IC53" i="3"/>
  <c r="IC54" i="3"/>
  <c r="JY27" i="3"/>
  <c r="JY43" i="3" s="1"/>
  <c r="GD36" i="3"/>
  <c r="GD52" i="3" s="1"/>
  <c r="GD54" i="3"/>
  <c r="GD53" i="3"/>
  <c r="ID36" i="3"/>
  <c r="ID52" i="3" s="1"/>
  <c r="ID54" i="3"/>
  <c r="ID53" i="3"/>
  <c r="KH33" i="3"/>
  <c r="KH49" i="3" s="1"/>
  <c r="KH50" i="3"/>
  <c r="KH51" i="3"/>
  <c r="KP54" i="3"/>
  <c r="KP53" i="3"/>
  <c r="KP56" i="3"/>
  <c r="KP57" i="3"/>
  <c r="KP51" i="3"/>
  <c r="KP50" i="3"/>
  <c r="JQ33" i="3"/>
  <c r="JQ49" i="3" s="1"/>
  <c r="JQ51" i="3"/>
  <c r="JQ50" i="3"/>
  <c r="PJ30" i="3"/>
  <c r="PJ46" i="3" s="1"/>
  <c r="RI39" i="3"/>
  <c r="RI55" i="3" s="1"/>
  <c r="RI56" i="3"/>
  <c r="RI57" i="3"/>
  <c r="PB39" i="3"/>
  <c r="PB55" i="3" s="1"/>
  <c r="PB57" i="3"/>
  <c r="PB56" i="3"/>
  <c r="FF36" i="3"/>
  <c r="FF52" i="3" s="1"/>
  <c r="FF54" i="3"/>
  <c r="AH33" i="3"/>
  <c r="AH49" i="3" s="1"/>
  <c r="AH51" i="3"/>
  <c r="AH50" i="3"/>
  <c r="GX30" i="3"/>
  <c r="GX46" i="3" s="1"/>
  <c r="HR30" i="3"/>
  <c r="HR46" i="3" s="1"/>
  <c r="DM51" i="3"/>
  <c r="DM54" i="3"/>
  <c r="DM50" i="3"/>
  <c r="DM53" i="3"/>
  <c r="DM57" i="3"/>
  <c r="DM56" i="3"/>
  <c r="M30" i="3"/>
  <c r="M46" i="3" s="1"/>
  <c r="LZ33" i="3"/>
  <c r="LZ49" i="3" s="1"/>
  <c r="LZ50" i="3"/>
  <c r="LZ51" i="3"/>
  <c r="JB36" i="3"/>
  <c r="JB52" i="3" s="1"/>
  <c r="JB54" i="3"/>
  <c r="JB53" i="3"/>
  <c r="QL36" i="3"/>
  <c r="QL52" i="3" s="1"/>
  <c r="QL54" i="3"/>
  <c r="QL53" i="3"/>
  <c r="RR36" i="3"/>
  <c r="RR52" i="3" s="1"/>
  <c r="RR53" i="3"/>
  <c r="RR54" i="3"/>
  <c r="RL30" i="3"/>
  <c r="RL46" i="3" s="1"/>
  <c r="RL25" i="3"/>
  <c r="MZ30" i="3"/>
  <c r="MZ46" i="3" s="1"/>
  <c r="MZ25" i="3"/>
  <c r="OS33" i="3"/>
  <c r="OS49" i="3" s="1"/>
  <c r="OS50" i="3"/>
  <c r="OS51" i="3"/>
  <c r="OF39" i="3"/>
  <c r="OF55" i="3" s="1"/>
  <c r="OF57" i="3"/>
  <c r="OF56" i="3"/>
  <c r="JF51" i="3"/>
  <c r="JF54" i="3"/>
  <c r="JF56" i="3"/>
  <c r="JF50" i="3"/>
  <c r="JF53" i="3"/>
  <c r="JF57" i="3"/>
  <c r="NA51" i="3"/>
  <c r="NA57" i="3"/>
  <c r="NA54" i="3"/>
  <c r="NA50" i="3"/>
  <c r="NA56" i="3"/>
  <c r="FL56" i="3"/>
  <c r="FL39" i="3"/>
  <c r="FL55" i="3" s="1"/>
  <c r="FL57" i="3"/>
  <c r="NN53" i="3"/>
  <c r="NN54" i="3"/>
  <c r="NN50" i="3"/>
  <c r="NN25" i="3" s="1"/>
  <c r="NN51" i="3"/>
  <c r="NN57" i="3"/>
  <c r="NN56" i="3"/>
  <c r="JO30" i="3"/>
  <c r="JO46" i="3" s="1"/>
  <c r="JW54" i="3"/>
  <c r="JW56" i="3"/>
  <c r="JW53" i="3"/>
  <c r="JW57" i="3"/>
  <c r="JW50" i="3"/>
  <c r="JW51" i="3"/>
  <c r="LW53" i="3"/>
  <c r="LW50" i="3"/>
  <c r="LW54" i="3"/>
  <c r="LW57" i="3"/>
  <c r="LW56" i="3"/>
  <c r="LW51" i="3"/>
  <c r="MI57" i="3"/>
  <c r="MI53" i="3"/>
  <c r="MI51" i="3"/>
  <c r="MI54" i="3"/>
  <c r="MI50" i="3"/>
  <c r="MI56" i="3"/>
  <c r="QZ53" i="3"/>
  <c r="QZ57" i="3"/>
  <c r="QZ50" i="3"/>
  <c r="QZ51" i="3"/>
  <c r="QZ56" i="3"/>
  <c r="QZ54" i="3"/>
  <c r="QZ25" i="3"/>
  <c r="OF30" i="3"/>
  <c r="OF46" i="3" s="1"/>
  <c r="GR53" i="3"/>
  <c r="GR57" i="3"/>
  <c r="GR50" i="3"/>
  <c r="GR54" i="3"/>
  <c r="GR51" i="3"/>
  <c r="GR56" i="3"/>
  <c r="ME36" i="3"/>
  <c r="ME52" i="3" s="1"/>
  <c r="ME53" i="3"/>
  <c r="AU36" i="3"/>
  <c r="AU52" i="3" s="1"/>
  <c r="AU54" i="3"/>
  <c r="AU53" i="3"/>
  <c r="AE33" i="3"/>
  <c r="AE49" i="3" s="1"/>
  <c r="AE50" i="3"/>
  <c r="AE51" i="3"/>
  <c r="QH30" i="3"/>
  <c r="QH46" i="3" s="1"/>
  <c r="MH53" i="3"/>
  <c r="MH51" i="3"/>
  <c r="MH56" i="3"/>
  <c r="MH54" i="3"/>
  <c r="MH50" i="3"/>
  <c r="MH57" i="3"/>
  <c r="DH30" i="3"/>
  <c r="DH46" i="3" s="1"/>
  <c r="DH25" i="3"/>
  <c r="HD39" i="3"/>
  <c r="HD55" i="3" s="1"/>
  <c r="HD56" i="3"/>
  <c r="HD57" i="3"/>
  <c r="EJ30" i="3"/>
  <c r="EJ46" i="3" s="1"/>
  <c r="EJ25" i="3"/>
  <c r="HL54" i="3"/>
  <c r="HL53" i="3"/>
  <c r="HL57" i="3"/>
  <c r="HL50" i="3"/>
  <c r="HL56" i="3"/>
  <c r="HL51" i="3"/>
  <c r="IB33" i="3"/>
  <c r="IB49" i="3" s="1"/>
  <c r="IB50" i="3"/>
  <c r="IB51" i="3"/>
  <c r="NE30" i="3"/>
  <c r="NE46" i="3" s="1"/>
  <c r="CV27" i="3"/>
  <c r="CV43" i="3" s="1"/>
  <c r="IM51" i="3"/>
  <c r="IM53" i="3"/>
  <c r="IM57" i="3"/>
  <c r="IM50" i="3"/>
  <c r="IM54" i="3"/>
  <c r="IM56" i="3"/>
  <c r="LT33" i="3"/>
  <c r="LT49" i="3" s="1"/>
  <c r="LT51" i="3"/>
  <c r="LT50" i="3"/>
  <c r="DX33" i="3"/>
  <c r="DX49" i="3" s="1"/>
  <c r="DX50" i="3"/>
  <c r="DX51" i="3"/>
  <c r="OO36" i="3"/>
  <c r="OO52" i="3" s="1"/>
  <c r="OO53" i="3"/>
  <c r="OO54" i="3"/>
  <c r="PM30" i="3"/>
  <c r="PM46" i="3" s="1"/>
  <c r="GL27" i="3"/>
  <c r="GL43" i="3" s="1"/>
  <c r="KH36" i="3"/>
  <c r="KH52" i="3" s="1"/>
  <c r="KH54" i="3"/>
  <c r="KH53" i="3"/>
  <c r="ET57" i="3"/>
  <c r="ET50" i="3"/>
  <c r="ET54" i="3"/>
  <c r="ET51" i="3"/>
  <c r="ET56" i="3"/>
  <c r="ET53" i="3"/>
  <c r="X53" i="3"/>
  <c r="ME54" i="3"/>
  <c r="ON54" i="3"/>
  <c r="FO33" i="3"/>
  <c r="FO49" i="3" s="1"/>
  <c r="OE33" i="3"/>
  <c r="OE49" i="3" s="1"/>
  <c r="EL33" i="3"/>
  <c r="EL49" i="3" s="1"/>
  <c r="EL50" i="3"/>
  <c r="EL51" i="3"/>
  <c r="EL39" i="3"/>
  <c r="EL55" i="3" s="1"/>
  <c r="EL56" i="3"/>
  <c r="EL57" i="3"/>
  <c r="HS51" i="3"/>
  <c r="HS53" i="3"/>
  <c r="HS54" i="3"/>
  <c r="HS57" i="3"/>
  <c r="HS56" i="3"/>
  <c r="HS50" i="3"/>
  <c r="OR33" i="3"/>
  <c r="OR49" i="3" s="1"/>
  <c r="OR50" i="3"/>
  <c r="OR51" i="3"/>
  <c r="QQ54" i="3"/>
  <c r="QQ56" i="3"/>
  <c r="QQ57" i="3"/>
  <c r="QQ53" i="3"/>
  <c r="QQ50" i="3"/>
  <c r="QQ51" i="3"/>
  <c r="PG57" i="3"/>
  <c r="PG56" i="3"/>
  <c r="PG53" i="3"/>
  <c r="PG51" i="3"/>
  <c r="PG50" i="3"/>
  <c r="PG54" i="3"/>
  <c r="KB30" i="3"/>
  <c r="KB46" i="3" s="1"/>
  <c r="GB27" i="3"/>
  <c r="GB43" i="3" s="1"/>
  <c r="MB27" i="3"/>
  <c r="MB43" i="3" s="1"/>
  <c r="QI39" i="3"/>
  <c r="QI55" i="3" s="1"/>
  <c r="QI57" i="3"/>
  <c r="QI56" i="3"/>
  <c r="RN30" i="3"/>
  <c r="RN46" i="3" s="1"/>
  <c r="QL27" i="3"/>
  <c r="QL43" i="3" s="1"/>
  <c r="JN27" i="3"/>
  <c r="JN43" i="3" s="1"/>
  <c r="GP27" i="3"/>
  <c r="GP43" i="3" s="1"/>
  <c r="DG36" i="3"/>
  <c r="DG52" i="3" s="1"/>
  <c r="DG53" i="3"/>
  <c r="DG54" i="3"/>
  <c r="OO27" i="3"/>
  <c r="OO43" i="3" s="1"/>
  <c r="NR33" i="3"/>
  <c r="NR49" i="3" s="1"/>
  <c r="NR51" i="3"/>
  <c r="NR50" i="3"/>
  <c r="RN36" i="3"/>
  <c r="RN52" i="3" s="1"/>
  <c r="RN53" i="3"/>
  <c r="RN54" i="3"/>
  <c r="KY33" i="3"/>
  <c r="KY49" i="3" s="1"/>
  <c r="KY50" i="3"/>
  <c r="OP27" i="3"/>
  <c r="OP43" i="3" s="1"/>
  <c r="LJ36" i="3"/>
  <c r="LJ52" i="3" s="1"/>
  <c r="LJ54" i="3"/>
  <c r="LJ53" i="3"/>
  <c r="IG36" i="3"/>
  <c r="IG52" i="3" s="1"/>
  <c r="IG53" i="3"/>
  <c r="IG54" i="3"/>
  <c r="MW33" i="3"/>
  <c r="MW49" i="3" s="1"/>
  <c r="MW51" i="3"/>
  <c r="MW50" i="3"/>
  <c r="NQ36" i="3"/>
  <c r="NQ52" i="3" s="1"/>
  <c r="NQ54" i="3"/>
  <c r="NQ53" i="3"/>
  <c r="EO33" i="3"/>
  <c r="EO49" i="3" s="1"/>
  <c r="EO51" i="3"/>
  <c r="EO50" i="3"/>
  <c r="OG57" i="3"/>
  <c r="OG50" i="3"/>
  <c r="OG51" i="3"/>
  <c r="OG56" i="3"/>
  <c r="OG54" i="3"/>
  <c r="OG53" i="3"/>
  <c r="EX39" i="3"/>
  <c r="EX55" i="3" s="1"/>
  <c r="EX56" i="3"/>
  <c r="EX57" i="3"/>
  <c r="JY33" i="3"/>
  <c r="JY49" i="3" s="1"/>
  <c r="JY51" i="3"/>
  <c r="JY50" i="3"/>
  <c r="HE30" i="3"/>
  <c r="HE46" i="3" s="1"/>
  <c r="AO27" i="3"/>
  <c r="AO43" i="3" s="1"/>
  <c r="R56" i="3"/>
  <c r="R53" i="3"/>
  <c r="R50" i="3"/>
  <c r="R54" i="3"/>
  <c r="R57" i="3"/>
  <c r="R51" i="3"/>
  <c r="C30" i="3"/>
  <c r="C46" i="3" s="1"/>
  <c r="HC53" i="3"/>
  <c r="HC50" i="3"/>
  <c r="HC57" i="3"/>
  <c r="HC51" i="3"/>
  <c r="HC56" i="3"/>
  <c r="KY36" i="3"/>
  <c r="KY52" i="3" s="1"/>
  <c r="KY54" i="3"/>
  <c r="KY53" i="3"/>
  <c r="QY56" i="3"/>
  <c r="QY50" i="3"/>
  <c r="QY51" i="3"/>
  <c r="QY54" i="3"/>
  <c r="QY53" i="3"/>
  <c r="QY57" i="3"/>
  <c r="X30" i="3"/>
  <c r="X46" i="3" s="1"/>
  <c r="KF56" i="3"/>
  <c r="KF53" i="3"/>
  <c r="KF54" i="3"/>
  <c r="KF57" i="3"/>
  <c r="KF50" i="3"/>
  <c r="KS39" i="3"/>
  <c r="KS55" i="3" s="1"/>
  <c r="KS56" i="3"/>
  <c r="GN39" i="3"/>
  <c r="GN55" i="3" s="1"/>
  <c r="GN57" i="3"/>
  <c r="GN56" i="3"/>
  <c r="E30" i="3"/>
  <c r="E46" i="3" s="1"/>
  <c r="L30" i="3"/>
  <c r="L46" i="3" s="1"/>
  <c r="PH36" i="3"/>
  <c r="PH52" i="3" s="1"/>
  <c r="PH54" i="3"/>
  <c r="PH53" i="3"/>
  <c r="ML51" i="3"/>
  <c r="ML50" i="3"/>
  <c r="MQ39" i="3"/>
  <c r="MQ55" i="3" s="1"/>
  <c r="MQ57" i="3"/>
  <c r="MQ56" i="3"/>
  <c r="OP33" i="3"/>
  <c r="OP49" i="3" s="1"/>
  <c r="OP50" i="3"/>
  <c r="OP51" i="3"/>
  <c r="CT36" i="3"/>
  <c r="CT52" i="3" s="1"/>
  <c r="CT53" i="3"/>
  <c r="CT54" i="3"/>
  <c r="QT33" i="3"/>
  <c r="QT49" i="3" s="1"/>
  <c r="QT51" i="3"/>
  <c r="QT50" i="3"/>
  <c r="JY30" i="3"/>
  <c r="JY46" i="3" s="1"/>
  <c r="PJ33" i="3"/>
  <c r="PJ49" i="3" s="1"/>
  <c r="PJ50" i="3"/>
  <c r="PJ51" i="3"/>
  <c r="PB27" i="3"/>
  <c r="PB43" i="3" s="1"/>
  <c r="PU27" i="3"/>
  <c r="PU43" i="3" s="1"/>
  <c r="QO33" i="3"/>
  <c r="QO49" i="3" s="1"/>
  <c r="QO50" i="3"/>
  <c r="QO51" i="3"/>
  <c r="LU56" i="3"/>
  <c r="LU51" i="3"/>
  <c r="LU50" i="3"/>
  <c r="LU57" i="3"/>
  <c r="LU54" i="3"/>
  <c r="LU53" i="3"/>
  <c r="KD54" i="3"/>
  <c r="KD50" i="3"/>
  <c r="KD57" i="3"/>
  <c r="KD56" i="3"/>
  <c r="KD51" i="3"/>
  <c r="KD53" i="3"/>
  <c r="GD27" i="3"/>
  <c r="GD43" i="3" s="1"/>
  <c r="EH50" i="3"/>
  <c r="EH57" i="3"/>
  <c r="EH56" i="3"/>
  <c r="EH51" i="3"/>
  <c r="EH54" i="3"/>
  <c r="EH53" i="3"/>
  <c r="JS51" i="3"/>
  <c r="JS56" i="3"/>
  <c r="JS54" i="3"/>
  <c r="JS53" i="3"/>
  <c r="JS57" i="3"/>
  <c r="JS50" i="3"/>
  <c r="JI39" i="3"/>
  <c r="JI55" i="3" s="1"/>
  <c r="JI57" i="3"/>
  <c r="JI56" i="3"/>
  <c r="IO54" i="3"/>
  <c r="IO53" i="3"/>
  <c r="IO50" i="3"/>
  <c r="IO51" i="3"/>
  <c r="IO57" i="3"/>
  <c r="IO56" i="3"/>
  <c r="HA50" i="3"/>
  <c r="HA56" i="3"/>
  <c r="HA53" i="3"/>
  <c r="HA57" i="3"/>
  <c r="HA54" i="3"/>
  <c r="HA51" i="3"/>
  <c r="GG56" i="3"/>
  <c r="GG51" i="3"/>
  <c r="GG57" i="3"/>
  <c r="GG50" i="3"/>
  <c r="GG54" i="3"/>
  <c r="GG53" i="3"/>
  <c r="AS39" i="3"/>
  <c r="AS55" i="3" s="1"/>
  <c r="AS57" i="3"/>
  <c r="AS56" i="3"/>
  <c r="OH39" i="3"/>
  <c r="OH55" i="3" s="1"/>
  <c r="OH57" i="3"/>
  <c r="OH56" i="3"/>
  <c r="PD50" i="3"/>
  <c r="PD54" i="3"/>
  <c r="PD57" i="3"/>
  <c r="PD51" i="3"/>
  <c r="PD53" i="3"/>
  <c r="PD56" i="3"/>
  <c r="PR56" i="3"/>
  <c r="PR53" i="3"/>
  <c r="PR54" i="3"/>
  <c r="PR57" i="3"/>
  <c r="PR50" i="3"/>
  <c r="PR51" i="3"/>
  <c r="GF50" i="3"/>
  <c r="GF53" i="3"/>
  <c r="GF51" i="3"/>
  <c r="GF56" i="3"/>
  <c r="GF54" i="3"/>
  <c r="GF57" i="3"/>
  <c r="PC27" i="3"/>
  <c r="PC43" i="3" s="1"/>
  <c r="PK53" i="3"/>
  <c r="PK50" i="3"/>
  <c r="PK56" i="3"/>
  <c r="PK51" i="3"/>
  <c r="PK57" i="3"/>
  <c r="PK54" i="3"/>
  <c r="AA27" i="3"/>
  <c r="AA43" i="3" s="1"/>
  <c r="KI30" i="3"/>
  <c r="KI46" i="3" s="1"/>
  <c r="G36" i="3"/>
  <c r="G52" i="3" s="1"/>
  <c r="EN51" i="3"/>
  <c r="EN53" i="3"/>
  <c r="EN57" i="3"/>
  <c r="EN50" i="3"/>
  <c r="EN54" i="3"/>
  <c r="EN56" i="3"/>
  <c r="MW39" i="3"/>
  <c r="MW55" i="3" s="1"/>
  <c r="MW56" i="3"/>
  <c r="MW25" i="3" s="1"/>
  <c r="MW57" i="3"/>
  <c r="IY30" i="3"/>
  <c r="IY46" i="3" s="1"/>
  <c r="IY25" i="3"/>
  <c r="JI36" i="3"/>
  <c r="JI52" i="3" s="1"/>
  <c r="JI53" i="3"/>
  <c r="JI54" i="3"/>
  <c r="NJ30" i="3"/>
  <c r="NJ46" i="3" s="1"/>
  <c r="PM39" i="3"/>
  <c r="PM55" i="3" s="1"/>
  <c r="PM56" i="3"/>
  <c r="PM57" i="3"/>
  <c r="GL50" i="3"/>
  <c r="GL57" i="3"/>
  <c r="GL53" i="3"/>
  <c r="GL56" i="3"/>
  <c r="GL54" i="3"/>
  <c r="GL51" i="3"/>
  <c r="AS33" i="3"/>
  <c r="AS49" i="3" s="1"/>
  <c r="AS51" i="3"/>
  <c r="AS50" i="3"/>
  <c r="OC36" i="3"/>
  <c r="OC52" i="3" s="1"/>
  <c r="OC53" i="3"/>
  <c r="OC54" i="3"/>
  <c r="JM39" i="3"/>
  <c r="JM55" i="3" s="1"/>
  <c r="JM57" i="3"/>
  <c r="JM56" i="3"/>
  <c r="KC36" i="3"/>
  <c r="KC52" i="3" s="1"/>
  <c r="KC53" i="3"/>
  <c r="KC54" i="3"/>
  <c r="KO53" i="3"/>
  <c r="KO51" i="3"/>
  <c r="KO54" i="3"/>
  <c r="KO56" i="3"/>
  <c r="KO50" i="3"/>
  <c r="KO57" i="3"/>
  <c r="NR27" i="3"/>
  <c r="NR43" i="3" s="1"/>
  <c r="OD54" i="3"/>
  <c r="OD51" i="3"/>
  <c r="OD57" i="3"/>
  <c r="OD53" i="3"/>
  <c r="OD50" i="3"/>
  <c r="OD56" i="3"/>
  <c r="FK27" i="3"/>
  <c r="FK43" i="3" s="1"/>
  <c r="RB39" i="3"/>
  <c r="RB55" i="3" s="1"/>
  <c r="RB57" i="3"/>
  <c r="RB56" i="3"/>
  <c r="OQ39" i="3"/>
  <c r="OQ55" i="3" s="1"/>
  <c r="OQ57" i="3"/>
  <c r="OQ56" i="3"/>
  <c r="E27" i="3"/>
  <c r="E43" i="3" s="1"/>
  <c r="IL54" i="3"/>
  <c r="IL56" i="3"/>
  <c r="IL57" i="3"/>
  <c r="IL50" i="3"/>
  <c r="IL51" i="3"/>
  <c r="IL53" i="3"/>
  <c r="BS39" i="3"/>
  <c r="BS55" i="3" s="1"/>
  <c r="BS56" i="3"/>
  <c r="BS57" i="3"/>
  <c r="QH36" i="3"/>
  <c r="QH52" i="3" s="1"/>
  <c r="QH53" i="3"/>
  <c r="JB33" i="3"/>
  <c r="JB49" i="3" s="1"/>
  <c r="JB50" i="3"/>
  <c r="JB51" i="3"/>
  <c r="BZ30" i="3"/>
  <c r="BZ46" i="3" s="1"/>
  <c r="OS39" i="3"/>
  <c r="OS55" i="3" s="1"/>
  <c r="OS56" i="3"/>
  <c r="OS57" i="3"/>
  <c r="PJ27" i="3"/>
  <c r="PJ43" i="3" s="1"/>
  <c r="I33" i="3"/>
  <c r="I49" i="3" s="1"/>
  <c r="RU30" i="3"/>
  <c r="RU46" i="3" s="1"/>
  <c r="GK27" i="3"/>
  <c r="GK43" i="3" s="1"/>
  <c r="MO30" i="3"/>
  <c r="MO46" i="3" s="1"/>
  <c r="NQ30" i="3"/>
  <c r="NQ46" i="3" s="1"/>
  <c r="FW39" i="3"/>
  <c r="FW55" i="3" s="1"/>
  <c r="FW56" i="3"/>
  <c r="FW57" i="3"/>
  <c r="OL39" i="3"/>
  <c r="OL55" i="3" s="1"/>
  <c r="OL57" i="3"/>
  <c r="MG30" i="3"/>
  <c r="MG46" i="3" s="1"/>
  <c r="RI27" i="3"/>
  <c r="RI43" i="3" s="1"/>
  <c r="FM27" i="3"/>
  <c r="FM43" i="3" s="1"/>
  <c r="CW54" i="3"/>
  <c r="CW57" i="3"/>
  <c r="CW53" i="3"/>
  <c r="CW56" i="3"/>
  <c r="CW51" i="3"/>
  <c r="CW50" i="3"/>
  <c r="FR56" i="3"/>
  <c r="FR53" i="3"/>
  <c r="FR51" i="3"/>
  <c r="FR57" i="3"/>
  <c r="FR54" i="3"/>
  <c r="FR50" i="3"/>
  <c r="FA50" i="3"/>
  <c r="FA54" i="3"/>
  <c r="FA56" i="3"/>
  <c r="FA53" i="3"/>
  <c r="FA57" i="3"/>
  <c r="FA51" i="3"/>
  <c r="O51" i="3"/>
  <c r="O54" i="3"/>
  <c r="O56" i="3"/>
  <c r="O50" i="3"/>
  <c r="O53" i="3"/>
  <c r="O57" i="3"/>
  <c r="QO30" i="3"/>
  <c r="QO46" i="3" s="1"/>
  <c r="NU53" i="3"/>
  <c r="NU51" i="3"/>
  <c r="NU57" i="3"/>
  <c r="NU56" i="3"/>
  <c r="NU50" i="3"/>
  <c r="NU54" i="3"/>
  <c r="FO50" i="3"/>
  <c r="FO54" i="3"/>
  <c r="FO57" i="3"/>
  <c r="FO51" i="3"/>
  <c r="FO53" i="3"/>
  <c r="FO56" i="3"/>
  <c r="MX36" i="3"/>
  <c r="MX52" i="3" s="1"/>
  <c r="MX54" i="3"/>
  <c r="IQ39" i="3"/>
  <c r="IQ55" i="3" s="1"/>
  <c r="IQ56" i="3"/>
  <c r="IQ57" i="3"/>
  <c r="CD39" i="3"/>
  <c r="CD55" i="3" s="1"/>
  <c r="CD56" i="3"/>
  <c r="CD57" i="3"/>
  <c r="OM36" i="3"/>
  <c r="OM52" i="3" s="1"/>
  <c r="OM53" i="3"/>
  <c r="OM54" i="3"/>
  <c r="DG33" i="3"/>
  <c r="DG49" i="3" s="1"/>
  <c r="DG51" i="3"/>
  <c r="DG50" i="3"/>
  <c r="OV36" i="3"/>
  <c r="OV52" i="3" s="1"/>
  <c r="OV54" i="3"/>
  <c r="OV53" i="3"/>
  <c r="BM57" i="3"/>
  <c r="BM50" i="3"/>
  <c r="BM54" i="3"/>
  <c r="BM53" i="3"/>
  <c r="BM56" i="3"/>
  <c r="BM51" i="3"/>
  <c r="FK36" i="3"/>
  <c r="FK52" i="3" s="1"/>
  <c r="FK53" i="3"/>
  <c r="FK54" i="3"/>
  <c r="X51" i="3"/>
  <c r="X33" i="3"/>
  <c r="X49" i="3" s="1"/>
  <c r="X50" i="3"/>
  <c r="QF53" i="3"/>
  <c r="QF50" i="3"/>
  <c r="QF51" i="3"/>
  <c r="QF57" i="3"/>
  <c r="QF56" i="3"/>
  <c r="QF54" i="3"/>
  <c r="MB33" i="3"/>
  <c r="MB49" i="3" s="1"/>
  <c r="MB51" i="3"/>
  <c r="MB50" i="3"/>
  <c r="MS36" i="3"/>
  <c r="MS52" i="3" s="1"/>
  <c r="MS54" i="3"/>
  <c r="MS53" i="3"/>
  <c r="IP27" i="3"/>
  <c r="IP43" i="3" s="1"/>
  <c r="AK54" i="3"/>
  <c r="AK56" i="3"/>
  <c r="AK53" i="3"/>
  <c r="AK57" i="3"/>
  <c r="AK51" i="3"/>
  <c r="AK50" i="3"/>
  <c r="GO56" i="3"/>
  <c r="GO50" i="3"/>
  <c r="GO53" i="3"/>
  <c r="GO54" i="3"/>
  <c r="GO57" i="3"/>
  <c r="GO51" i="3"/>
  <c r="KK33" i="3"/>
  <c r="KK49" i="3" s="1"/>
  <c r="KK51" i="3"/>
  <c r="KK50" i="3"/>
  <c r="AP36" i="3"/>
  <c r="AP52" i="3" s="1"/>
  <c r="AP53" i="3"/>
  <c r="AP54" i="3"/>
  <c r="OK54" i="3"/>
  <c r="OK51" i="3"/>
  <c r="OK57" i="3"/>
  <c r="OK50" i="3"/>
  <c r="OK56" i="3"/>
  <c r="OK53" i="3"/>
  <c r="JQ39" i="3"/>
  <c r="JQ55" i="3" s="1"/>
  <c r="JQ57" i="3"/>
  <c r="JQ56" i="3"/>
  <c r="PJ39" i="3"/>
  <c r="PJ55" i="3" s="1"/>
  <c r="PJ56" i="3"/>
  <c r="PJ57" i="3"/>
  <c r="CS57" i="3"/>
  <c r="CS54" i="3"/>
  <c r="CS51" i="3"/>
  <c r="CS56" i="3"/>
  <c r="CS50" i="3"/>
  <c r="CS53" i="3"/>
  <c r="PW36" i="3"/>
  <c r="PW52" i="3" s="1"/>
  <c r="PW54" i="3"/>
  <c r="PW53" i="3"/>
  <c r="DA36" i="3"/>
  <c r="DA52" i="3" s="1"/>
  <c r="DA53" i="3"/>
  <c r="DA54" i="3"/>
  <c r="KX33" i="3"/>
  <c r="KX49" i="3" s="1"/>
  <c r="KX50" i="3"/>
  <c r="KX51" i="3"/>
  <c r="FF39" i="3"/>
  <c r="FF55" i="3" s="1"/>
  <c r="FF56" i="3"/>
  <c r="FF57" i="3"/>
  <c r="AH30" i="3"/>
  <c r="AH46" i="3" s="1"/>
  <c r="GX27" i="3"/>
  <c r="GX43" i="3" s="1"/>
  <c r="QH39" i="3"/>
  <c r="QH55" i="3" s="1"/>
  <c r="QH57" i="3"/>
  <c r="QH56" i="3"/>
  <c r="KW30" i="3"/>
  <c r="KW46" i="3" s="1"/>
  <c r="OI33" i="3"/>
  <c r="OI49" i="3" s="1"/>
  <c r="OI50" i="3"/>
  <c r="OP30" i="3"/>
  <c r="OP46" i="3" s="1"/>
  <c r="SA33" i="3"/>
  <c r="SA49" i="3" s="1"/>
  <c r="SA50" i="3"/>
  <c r="SA51" i="3"/>
  <c r="LG33" i="3"/>
  <c r="LG49" i="3" s="1"/>
  <c r="LG50" i="3"/>
  <c r="LG51" i="3"/>
  <c r="JN33" i="3"/>
  <c r="JN49" i="3" s="1"/>
  <c r="JN50" i="3"/>
  <c r="JN51" i="3"/>
  <c r="MQ30" i="3"/>
  <c r="MQ46" i="3" s="1"/>
  <c r="AF36" i="3"/>
  <c r="AF52" i="3" s="1"/>
  <c r="AF53" i="3"/>
  <c r="AF54" i="3"/>
  <c r="MW27" i="3"/>
  <c r="MW43" i="3" s="1"/>
  <c r="HK57" i="3"/>
  <c r="HK53" i="3"/>
  <c r="HK54" i="3"/>
  <c r="HK50" i="3"/>
  <c r="HK51" i="3"/>
  <c r="HK56" i="3"/>
  <c r="MB30" i="3"/>
  <c r="MB46" i="3" s="1"/>
  <c r="MF27" i="3"/>
  <c r="MF43" i="3" s="1"/>
  <c r="MF25" i="3"/>
  <c r="EZ53" i="3"/>
  <c r="EZ57" i="3"/>
  <c r="EZ51" i="3"/>
  <c r="EZ54" i="3"/>
  <c r="EZ56" i="3"/>
  <c r="EZ50" i="3"/>
  <c r="MN53" i="3"/>
  <c r="MN50" i="3"/>
  <c r="MN57" i="3"/>
  <c r="MN51" i="3"/>
  <c r="MN54" i="3"/>
  <c r="OJ51" i="3"/>
  <c r="OJ50" i="3"/>
  <c r="OJ57" i="3"/>
  <c r="OJ56" i="3"/>
  <c r="OJ53" i="3"/>
  <c r="EM27" i="3"/>
  <c r="EM43" i="3" s="1"/>
  <c r="BL25" i="3"/>
  <c r="BL27" i="3"/>
  <c r="BL43" i="3" s="1"/>
  <c r="S30" i="3"/>
  <c r="S46" i="3" s="1"/>
  <c r="RM50" i="3"/>
  <c r="RM54" i="3"/>
  <c r="RM53" i="3"/>
  <c r="RM51" i="3"/>
  <c r="RM56" i="3"/>
  <c r="LL54" i="3"/>
  <c r="LL51" i="3"/>
  <c r="LL57" i="3"/>
  <c r="LL53" i="3"/>
  <c r="LL50" i="3"/>
  <c r="LL56" i="3"/>
  <c r="EU50" i="3"/>
  <c r="EU53" i="3"/>
  <c r="EU51" i="3"/>
  <c r="EU54" i="3"/>
  <c r="EU57" i="3"/>
  <c r="EU56" i="3"/>
  <c r="EA33" i="3"/>
  <c r="EA49" i="3" s="1"/>
  <c r="EA50" i="3"/>
  <c r="CI39" i="3"/>
  <c r="CI55" i="3" s="1"/>
  <c r="CI57" i="3"/>
  <c r="CI56" i="3"/>
  <c r="EQ30" i="3"/>
  <c r="EQ46" i="3" s="1"/>
  <c r="EQ25" i="3"/>
  <c r="DT56" i="3"/>
  <c r="DT50" i="3"/>
  <c r="DT51" i="3"/>
  <c r="DT53" i="3"/>
  <c r="DT57" i="3"/>
  <c r="DT54" i="3"/>
  <c r="CV57" i="3"/>
  <c r="CV39" i="3"/>
  <c r="CV55" i="3" s="1"/>
  <c r="CV56" i="3"/>
  <c r="KA51" i="3"/>
  <c r="KA57" i="3"/>
  <c r="KA54" i="3"/>
  <c r="KA53" i="3"/>
  <c r="KA56" i="3"/>
  <c r="HZ36" i="3"/>
  <c r="HZ52" i="3" s="1"/>
  <c r="HZ53" i="3"/>
  <c r="CE33" i="3"/>
  <c r="CE49" i="3" s="1"/>
  <c r="CE50" i="3"/>
  <c r="CE51" i="3"/>
  <c r="FP27" i="3"/>
  <c r="FP43" i="3" s="1"/>
  <c r="DX39" i="3"/>
  <c r="DX55" i="3" s="1"/>
  <c r="DX56" i="3"/>
  <c r="DX57" i="3"/>
  <c r="OM33" i="3"/>
  <c r="OM49" i="3" s="1"/>
  <c r="OM50" i="3"/>
  <c r="OM51" i="3"/>
  <c r="RQ27" i="3"/>
  <c r="RQ43" i="3" s="1"/>
  <c r="GS36" i="3"/>
  <c r="GS52" i="3" s="1"/>
  <c r="GS54" i="3"/>
  <c r="GS53" i="3"/>
  <c r="MP27" i="3"/>
  <c r="MP43" i="3" s="1"/>
  <c r="MC36" i="3"/>
  <c r="MC52" i="3" s="1"/>
  <c r="MC54" i="3"/>
  <c r="MC53" i="3"/>
  <c r="DA39" i="3"/>
  <c r="DA55" i="3" s="1"/>
  <c r="DA56" i="3"/>
  <c r="DA57" i="3"/>
  <c r="FY54" i="3"/>
  <c r="FY57" i="3"/>
  <c r="FY51" i="3"/>
  <c r="FY56" i="3"/>
  <c r="FY50" i="3"/>
  <c r="FY53" i="3"/>
  <c r="RU33" i="3"/>
  <c r="RU49" i="3" s="1"/>
  <c r="RU50" i="3"/>
  <c r="HB54" i="3"/>
  <c r="HB57" i="3"/>
  <c r="HB56" i="3"/>
  <c r="HB51" i="3"/>
  <c r="HB50" i="3"/>
  <c r="HB53" i="3"/>
  <c r="LJ27" i="3"/>
  <c r="LJ43" i="3" s="1"/>
  <c r="KS57" i="3"/>
  <c r="RT53" i="3"/>
  <c r="FF53" i="3"/>
  <c r="QH50" i="3"/>
  <c r="EC57" i="3"/>
  <c r="EC53" i="3"/>
  <c r="EC54" i="3"/>
  <c r="EC56" i="3"/>
  <c r="EC50" i="3"/>
  <c r="EC51" i="3"/>
  <c r="N51" i="3"/>
  <c r="N56" i="3"/>
  <c r="N53" i="3"/>
  <c r="N54" i="3"/>
  <c r="N57" i="3"/>
  <c r="N50" i="3"/>
  <c r="Q53" i="3"/>
  <c r="Q57" i="3"/>
  <c r="Q54" i="3"/>
  <c r="Q56" i="3"/>
  <c r="Q50" i="3"/>
  <c r="Q51" i="3"/>
  <c r="EG53" i="3"/>
  <c r="EG57" i="3"/>
  <c r="EG51" i="3"/>
  <c r="EG56" i="3"/>
  <c r="EG50" i="3"/>
  <c r="EG54" i="3"/>
  <c r="IK57" i="3"/>
  <c r="IK51" i="3"/>
  <c r="IK54" i="3"/>
  <c r="IK53" i="3"/>
  <c r="IK50" i="3"/>
  <c r="IK56" i="3"/>
  <c r="KQ57" i="3"/>
  <c r="KQ54" i="3"/>
  <c r="KQ53" i="3"/>
  <c r="KQ51" i="3"/>
  <c r="KQ56" i="3"/>
  <c r="KQ50" i="3"/>
  <c r="OU56" i="3"/>
  <c r="OU54" i="3"/>
  <c r="OU53" i="3"/>
  <c r="OU50" i="3"/>
  <c r="OU51" i="3"/>
  <c r="OU57" i="3"/>
  <c r="DV51" i="3"/>
  <c r="DV50" i="3"/>
  <c r="DV53" i="3"/>
  <c r="DV54" i="3"/>
  <c r="DV57" i="3"/>
  <c r="DV56" i="3"/>
  <c r="FB56" i="3"/>
  <c r="FB57" i="3"/>
  <c r="FB50" i="3"/>
  <c r="FB53" i="3"/>
  <c r="FB51" i="3"/>
  <c r="EW30" i="3"/>
  <c r="EW46" i="3" s="1"/>
  <c r="T33" i="3"/>
  <c r="T49" i="3" s="1"/>
  <c r="FA39" i="3"/>
  <c r="FA55" i="3" s="1"/>
  <c r="FB54" i="3"/>
  <c r="FR27" i="3"/>
  <c r="FR43" i="3" s="1"/>
  <c r="PY25" i="3" l="1"/>
  <c r="RQ25" i="3"/>
  <c r="PD25" i="3"/>
  <c r="MA25" i="3"/>
  <c r="QS25" i="3"/>
  <c r="JG25" i="3"/>
  <c r="MG25" i="3"/>
  <c r="RP25" i="3"/>
  <c r="OV25" i="3"/>
  <c r="KP25" i="3"/>
  <c r="KI25" i="3"/>
  <c r="GU25" i="3"/>
  <c r="LE25" i="3"/>
  <c r="LL25" i="3"/>
  <c r="OE25" i="3"/>
  <c r="MM25" i="3"/>
  <c r="FK25" i="3"/>
  <c r="AO25" i="3"/>
  <c r="PR25" i="3"/>
  <c r="HA25" i="3"/>
  <c r="HZ25" i="3"/>
  <c r="GB25" i="3"/>
  <c r="PO25" i="3"/>
  <c r="PW25" i="3"/>
  <c r="SF25" i="3"/>
  <c r="OD25" i="3"/>
  <c r="MH25" i="3"/>
  <c r="RI25" i="3"/>
  <c r="KN25" i="3"/>
  <c r="KJ25" i="3"/>
  <c r="SB25" i="3"/>
  <c r="RF25" i="3"/>
  <c r="PU25" i="3"/>
  <c r="DU25" i="3"/>
  <c r="PT25" i="3"/>
  <c r="MC25" i="3"/>
  <c r="RB25" i="3"/>
  <c r="SA25" i="3"/>
  <c r="PG25" i="3"/>
  <c r="LS25" i="3"/>
  <c r="JP25" i="3"/>
  <c r="KS25" i="3"/>
  <c r="PK25" i="3"/>
  <c r="HR25" i="3"/>
  <c r="NJ25" i="3"/>
  <c r="HL25" i="3"/>
  <c r="LN25" i="3"/>
  <c r="HO25" i="3"/>
  <c r="EM25" i="3"/>
  <c r="HK25" i="3"/>
  <c r="CC25" i="3"/>
  <c r="FP25" i="3"/>
  <c r="BN25" i="3"/>
  <c r="GW25" i="3"/>
  <c r="GC25" i="3"/>
  <c r="NM25" i="3"/>
  <c r="MI25" i="3"/>
  <c r="OZ25" i="3"/>
  <c r="QD25" i="3"/>
  <c r="MP25" i="3"/>
  <c r="QW25" i="3"/>
  <c r="SC25" i="3"/>
  <c r="IT25" i="3"/>
  <c r="KU25" i="3"/>
  <c r="NW25" i="3"/>
  <c r="GQ25" i="3"/>
  <c r="JA25" i="3"/>
  <c r="GG25" i="3"/>
  <c r="LZ25" i="3"/>
  <c r="MX25" i="3"/>
  <c r="OF25" i="3"/>
  <c r="ME25" i="3"/>
  <c r="RE25" i="3"/>
  <c r="JD25" i="3"/>
  <c r="GS25" i="3"/>
  <c r="NO25" i="3"/>
  <c r="MY25" i="3"/>
  <c r="IW25" i="3"/>
  <c r="PH25" i="3"/>
  <c r="PA25" i="3"/>
  <c r="QJ25" i="3"/>
  <c r="NK25" i="3"/>
  <c r="HB25" i="3"/>
  <c r="IM25" i="3"/>
  <c r="KG25" i="3"/>
  <c r="NY25" i="3"/>
  <c r="QN25" i="3"/>
  <c r="KT25" i="3"/>
  <c r="QF25" i="3"/>
  <c r="QT25" i="3"/>
  <c r="JW25" i="3"/>
  <c r="JR25" i="3"/>
  <c r="JF25" i="3"/>
  <c r="IR25" i="3"/>
  <c r="NT25" i="3"/>
  <c r="JJ25" i="3"/>
  <c r="ON25" i="3"/>
  <c r="PB25" i="3"/>
  <c r="JU25" i="3"/>
  <c r="HJ25" i="3"/>
  <c r="IN25" i="3"/>
  <c r="EA25" i="3"/>
  <c r="KZ25" i="3"/>
  <c r="DI25" i="3"/>
  <c r="LB25" i="3"/>
  <c r="HN25" i="3"/>
  <c r="MS25" i="3"/>
  <c r="MN25" i="3"/>
  <c r="HC25" i="3"/>
  <c r="FE25" i="3"/>
  <c r="NC25" i="3"/>
  <c r="KK25" i="3"/>
  <c r="IQ25" i="3"/>
  <c r="EE25" i="3"/>
  <c r="KB25" i="3"/>
  <c r="LK25" i="3"/>
  <c r="EX25" i="3"/>
  <c r="RU25" i="3"/>
  <c r="OP25" i="3"/>
  <c r="GD25" i="3"/>
  <c r="FX25" i="3"/>
  <c r="PV25" i="3"/>
  <c r="EY25" i="3"/>
  <c r="QO25" i="3"/>
  <c r="PQ25" i="3"/>
  <c r="IE25" i="3"/>
  <c r="BQ25" i="3"/>
  <c r="ES25" i="3"/>
  <c r="GE25" i="3"/>
  <c r="EK25" i="3"/>
  <c r="JX25" i="3"/>
  <c r="HM25" i="3"/>
  <c r="DR25" i="3"/>
  <c r="FQ25" i="3"/>
  <c r="GX25" i="3"/>
  <c r="DL25" i="3"/>
  <c r="FY25" i="3"/>
  <c r="DV25" i="3"/>
  <c r="DT25" i="3"/>
  <c r="EU25" i="3"/>
  <c r="CS25" i="3"/>
  <c r="JC25" i="3"/>
  <c r="CB25" i="3"/>
  <c r="GN25" i="3"/>
  <c r="BO25" i="3"/>
  <c r="GF25" i="3"/>
  <c r="GL25" i="3"/>
  <c r="KH25" i="3"/>
  <c r="KE25" i="3"/>
  <c r="BC25" i="3"/>
  <c r="FL25" i="3"/>
  <c r="GH25" i="3"/>
  <c r="DK25" i="3"/>
  <c r="DZ25" i="3"/>
  <c r="HY25" i="3"/>
  <c r="DW25" i="3"/>
  <c r="EW25" i="3"/>
  <c r="LP25" i="3"/>
  <c r="GV25" i="3"/>
  <c r="QM25" i="3"/>
  <c r="JE25" i="3"/>
  <c r="NL25" i="3"/>
  <c r="LV25" i="3"/>
  <c r="DB25" i="3"/>
  <c r="CW25" i="3"/>
  <c r="MU25" i="3"/>
  <c r="FW25" i="3"/>
  <c r="FF25" i="3"/>
  <c r="JZ25" i="3"/>
  <c r="DF25" i="3"/>
  <c r="MV25" i="3"/>
  <c r="JH25" i="3"/>
  <c r="LA25" i="3"/>
  <c r="IH25" i="3"/>
  <c r="EC25" i="3"/>
  <c r="IJ25" i="3"/>
  <c r="PP25" i="3"/>
  <c r="OQ25" i="3"/>
  <c r="JY25" i="3"/>
  <c r="SG25" i="3"/>
  <c r="PE25" i="3"/>
  <c r="IU25" i="3"/>
  <c r="LJ25" i="3"/>
  <c r="RO25" i="3"/>
  <c r="RH25" i="3"/>
  <c r="IV25" i="3"/>
  <c r="MT25" i="3"/>
  <c r="CV25" i="3"/>
  <c r="QU25" i="3"/>
  <c r="DP25" i="3"/>
  <c r="MR25" i="3"/>
  <c r="OC25" i="3"/>
  <c r="RN25" i="3"/>
  <c r="GP25" i="3"/>
  <c r="PI25" i="3"/>
  <c r="OY25" i="3"/>
  <c r="PN25" i="3"/>
  <c r="FH25" i="3"/>
  <c r="FS25" i="3"/>
  <c r="HF25" i="3"/>
  <c r="RX25" i="3"/>
  <c r="JL25" i="3"/>
  <c r="IA25" i="3"/>
  <c r="KD25" i="3"/>
  <c r="DG25" i="3"/>
  <c r="JK25" i="3"/>
  <c r="KQ25" i="3"/>
  <c r="EZ25" i="3"/>
  <c r="DD25" i="3"/>
  <c r="DE25" i="3"/>
  <c r="NI25" i="3"/>
  <c r="KY25" i="3"/>
  <c r="KC25" i="3"/>
  <c r="Y25" i="3"/>
  <c r="CD25" i="3"/>
  <c r="N25" i="3"/>
  <c r="KO25" i="3"/>
  <c r="IL25" i="3"/>
  <c r="OG25" i="3"/>
  <c r="CQ25" i="3"/>
  <c r="EL25" i="3"/>
  <c r="OL25" i="3"/>
  <c r="LQ25" i="3"/>
  <c r="LI25" i="3"/>
  <c r="ND25" i="3"/>
  <c r="HV25" i="3"/>
  <c r="NS25" i="3"/>
  <c r="QL25" i="3"/>
  <c r="RJ25" i="3"/>
  <c r="HG25" i="3"/>
  <c r="S25" i="3"/>
  <c r="BP25" i="3"/>
  <c r="BF25" i="3"/>
  <c r="ET25" i="3"/>
  <c r="DO25" i="3"/>
  <c r="SE25" i="3"/>
  <c r="ED25" i="3"/>
  <c r="GA25" i="3"/>
  <c r="OK25" i="3"/>
  <c r="ML25" i="3"/>
  <c r="RZ25" i="3"/>
  <c r="IC25" i="3"/>
  <c r="CP25" i="3"/>
  <c r="DA25" i="3"/>
  <c r="CZ25" i="3"/>
  <c r="BB25" i="3"/>
  <c r="NA25" i="3"/>
  <c r="JI25" i="3"/>
  <c r="DJ25" i="3"/>
  <c r="CH25" i="3"/>
  <c r="LR25" i="3"/>
  <c r="QI25" i="3"/>
  <c r="LT25" i="3"/>
  <c r="RT25" i="3"/>
  <c r="RK25" i="3"/>
  <c r="OU25" i="3"/>
  <c r="QH25" i="3"/>
  <c r="LW25" i="3"/>
  <c r="GK25" i="3"/>
  <c r="FD25" i="3"/>
  <c r="MO25" i="3"/>
  <c r="EH25" i="3"/>
  <c r="OO25" i="3"/>
  <c r="EG25" i="3"/>
  <c r="JO25" i="3"/>
  <c r="OH25" i="3"/>
  <c r="BG25" i="3"/>
  <c r="X25" i="3"/>
  <c r="IP25" i="3"/>
  <c r="DQ25" i="3"/>
  <c r="PF25" i="3"/>
  <c r="IX25" i="3"/>
  <c r="BK25" i="3"/>
  <c r="FB25" i="3"/>
  <c r="CX25" i="3"/>
  <c r="CN25" i="3"/>
  <c r="AT25" i="3"/>
  <c r="LM25" i="3"/>
  <c r="HD25" i="3"/>
  <c r="CO25" i="3"/>
  <c r="NG25" i="3"/>
  <c r="LD25" i="3"/>
  <c r="LY25" i="3"/>
  <c r="BM25" i="3"/>
  <c r="EB25" i="3"/>
  <c r="BZ25" i="3"/>
  <c r="BU25" i="3"/>
  <c r="CL25" i="3"/>
  <c r="CK25" i="3"/>
  <c r="FU25" i="3"/>
  <c r="QV25" i="3"/>
  <c r="NU25" i="3"/>
  <c r="EI25" i="3"/>
  <c r="JQ25" i="3"/>
  <c r="RW25" i="3"/>
  <c r="QC25" i="3"/>
  <c r="MK25" i="3"/>
  <c r="FO25" i="3"/>
  <c r="RA25" i="3"/>
  <c r="MB25" i="3"/>
  <c r="EN25" i="3"/>
  <c r="DX25" i="3"/>
  <c r="QX25" i="3"/>
  <c r="EP25" i="3"/>
  <c r="NX25" i="3"/>
  <c r="CM25" i="3"/>
  <c r="HE25" i="3"/>
  <c r="MQ25" i="3"/>
  <c r="OR25" i="3"/>
  <c r="PS25" i="3"/>
  <c r="HS25" i="3"/>
  <c r="JS25" i="3"/>
  <c r="CT25" i="3"/>
  <c r="SD25" i="3"/>
  <c r="NQ25" i="3"/>
  <c r="FN25" i="3"/>
  <c r="LO25" i="3"/>
  <c r="FA25" i="3"/>
  <c r="BW25" i="3"/>
  <c r="OB25" i="3"/>
  <c r="HU25" i="3"/>
  <c r="PM25" i="3"/>
  <c r="QQ25" i="3"/>
  <c r="NH25" i="3"/>
  <c r="LF25" i="3"/>
  <c r="CE25" i="3"/>
  <c r="AL25" i="3"/>
  <c r="AK25" i="3"/>
  <c r="CF25" i="3"/>
  <c r="CG25" i="3"/>
  <c r="BS25" i="3"/>
  <c r="AR25" i="3"/>
  <c r="CA25" i="3"/>
  <c r="BA25" i="3"/>
  <c r="V25" i="3"/>
  <c r="U25" i="3"/>
  <c r="AD25" i="3"/>
  <c r="AQ25" i="3"/>
  <c r="BJ25" i="3"/>
  <c r="AM25" i="3"/>
  <c r="BH25" i="3"/>
  <c r="K25" i="3"/>
  <c r="AJ25" i="3"/>
  <c r="B25" i="3"/>
  <c r="O25" i="3"/>
  <c r="AH25" i="3"/>
  <c r="BE25" i="3"/>
  <c r="T25" i="3"/>
  <c r="AZ25" i="3"/>
  <c r="AC25" i="3"/>
  <c r="AA25" i="3"/>
  <c r="AI25" i="3"/>
  <c r="R25" i="3"/>
  <c r="BI25" i="3"/>
  <c r="AX25" i="3"/>
  <c r="AV25" i="3"/>
  <c r="Z25" i="3"/>
  <c r="AF25" i="3"/>
  <c r="L25" i="3"/>
  <c r="AN25" i="3"/>
  <c r="AS25" i="3"/>
  <c r="AE25" i="3"/>
  <c r="HX25" i="3"/>
  <c r="IG25" i="3"/>
  <c r="OW25" i="3"/>
  <c r="JM25" i="3"/>
  <c r="KV25" i="3"/>
  <c r="IK25" i="3"/>
  <c r="OJ25" i="3"/>
  <c r="GO25" i="3"/>
  <c r="AU25" i="3"/>
  <c r="KL25" i="3"/>
  <c r="HW25" i="3"/>
  <c r="DS25" i="3"/>
  <c r="IZ25" i="3"/>
  <c r="NF25" i="3"/>
  <c r="II25" i="3"/>
  <c r="RD25" i="3"/>
  <c r="E25" i="3"/>
  <c r="F25" i="3"/>
  <c r="G25" i="3"/>
  <c r="J25" i="3"/>
  <c r="Q25" i="3"/>
  <c r="OI25" i="3"/>
  <c r="OS25" i="3"/>
  <c r="LH25" i="3"/>
  <c r="PJ25" i="3"/>
  <c r="OM25" i="3"/>
  <c r="C25" i="3"/>
  <c r="I25" i="3"/>
  <c r="H25" i="3"/>
  <c r="CI25" i="3"/>
  <c r="FM25" i="3"/>
  <c r="NR25" i="3"/>
  <c r="JN25" i="3"/>
  <c r="RR25" i="3"/>
  <c r="OT25" i="3"/>
  <c r="AG25" i="3"/>
  <c r="CR25" i="3"/>
  <c r="BR25" i="3"/>
  <c r="FV25" i="3"/>
  <c r="BY25" i="3"/>
  <c r="CU25" i="3"/>
  <c r="QR25" i="3"/>
  <c r="OA25" i="3"/>
  <c r="GR25" i="3"/>
  <c r="DM25" i="3"/>
  <c r="HT25" i="3"/>
  <c r="AW25" i="3"/>
  <c r="GJ25" i="3"/>
  <c r="ER25" i="3"/>
  <c r="QG25" i="3"/>
  <c r="IS25" i="3"/>
  <c r="KW25" i="3"/>
  <c r="GY25" i="3"/>
  <c r="EO25" i="3"/>
  <c r="DY25" i="3"/>
  <c r="FZ25" i="3"/>
  <c r="PC25" i="3"/>
  <c r="KA25" i="3"/>
  <c r="RM25" i="3"/>
  <c r="FR25" i="3"/>
  <c r="IO25" i="3"/>
  <c r="LU25" i="3"/>
  <c r="QY25" i="3"/>
  <c r="FJ25" i="3"/>
  <c r="FI25" i="3"/>
  <c r="DN25" i="3"/>
  <c r="P25" i="3"/>
  <c r="KX25" i="3"/>
  <c r="MD25" i="3"/>
  <c r="RS25" i="3"/>
  <c r="GT25" i="3"/>
  <c r="BV25" i="3"/>
  <c r="OX25" i="3"/>
  <c r="IB25" i="3"/>
  <c r="KF25" i="3"/>
  <c r="ID25" i="3"/>
  <c r="HI25" i="3"/>
  <c r="M25" i="3"/>
  <c r="HQ25" i="3"/>
  <c r="LG25" i="3"/>
  <c r="NB25" i="3"/>
  <c r="JB25" i="3"/>
  <c r="AP25" i="3"/>
  <c r="NV25" i="3"/>
  <c r="KM25" i="3"/>
  <c r="D4" i="5" l="1"/>
  <c r="D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Page</author>
  </authors>
  <commentList>
    <comment ref="J1" authorId="0" shapeId="0" xr:uid="{296FBB18-DC5E-44EB-940C-EEF32AE0034C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Sum of total tax reported for branch number</t>
        </r>
      </text>
    </comment>
    <comment ref="K1" authorId="0" shapeId="0" xr:uid="{B397712F-5CB6-4938-992B-65EF76E25F4F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Sum of total tax rate for branch number</t>
        </r>
      </text>
    </comment>
    <comment ref="L1" authorId="0" shapeId="0" xr:uid="{B6315C55-9BFA-48A1-9540-CEB44F2CBF1E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Calculates BALANCED taxable by dividing TOTAL TAX by TOTAL RATE</t>
        </r>
      </text>
    </comment>
    <comment ref="M1" authorId="0" shapeId="0" xr:uid="{2B650207-41D3-45AB-92DB-C34D8B2F5664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Sum of exempt sales for branch number</t>
        </r>
      </text>
    </comment>
    <comment ref="N1" authorId="0" shapeId="0" xr:uid="{2F285598-469F-45FD-A198-A56E0AEE0BDC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If total exempt divided by branch count &lt;&gt; exempt (col. V), return TRUE, else return FALSE</t>
        </r>
      </text>
    </comment>
    <comment ref="O1" authorId="0" shapeId="0" xr:uid="{F62ADAAD-3B2D-42C6-B44C-209F3231EE84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If balanced tax &lt;&gt; original tax, return TRUE, else return FALSE</t>
        </r>
      </text>
    </comment>
    <comment ref="P1" authorId="0" shapeId="0" xr:uid="{A1AE4C55-7045-4B4E-A55A-078A68CBC691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Balanced tax - balaced taxable * rate (col. H)</t>
        </r>
      </text>
    </comment>
    <comment ref="Q1" authorId="0" shapeId="0" xr:uid="{F4131A7D-B2AE-4CC6-8907-7898B363131B}">
      <text>
        <r>
          <rPr>
            <b/>
            <sz val="9"/>
            <color indexed="81"/>
            <rFont val="Tahoma"/>
            <family val="2"/>
          </rPr>
          <t>Andrew Page:</t>
        </r>
        <r>
          <rPr>
            <sz val="9"/>
            <color indexed="81"/>
            <rFont val="Tahoma"/>
            <family val="2"/>
          </rPr>
          <t xml:space="preserve">
Exempt sales</t>
        </r>
      </text>
    </comment>
  </commentList>
</comments>
</file>

<file path=xl/sharedStrings.xml><?xml version="1.0" encoding="utf-8"?>
<sst xmlns="http://schemas.openxmlformats.org/spreadsheetml/2006/main" count="31" uniqueCount="29">
  <si>
    <t>Website</t>
  </si>
  <si>
    <t>TaxSolver</t>
  </si>
  <si>
    <t>Difference</t>
  </si>
  <si>
    <t>Location - Ref</t>
  </si>
  <si>
    <t>Level Counts</t>
  </si>
  <si>
    <t>Index</t>
  </si>
  <si>
    <t>DONE</t>
  </si>
  <si>
    <t>FIX</t>
  </si>
  <si>
    <t>Balanced</t>
  </si>
  <si>
    <t>NOT BALANCED</t>
  </si>
  <si>
    <t>* Make sure all columns are unhidden before you click the left button</t>
  </si>
  <si>
    <t>Juris. Code</t>
  </si>
  <si>
    <t>Branch No.</t>
  </si>
  <si>
    <t>Juris.</t>
  </si>
  <si>
    <t>Orig. Tax</t>
  </si>
  <si>
    <t>Orig. Gross</t>
  </si>
  <si>
    <t>Orig. Taxable</t>
  </si>
  <si>
    <t>Rate</t>
  </si>
  <si>
    <t>Branch Count</t>
  </si>
  <si>
    <t>Total Tax, Branch</t>
  </si>
  <si>
    <t>Total Rate, Branch</t>
  </si>
  <si>
    <t>Taxable Sales, Branch</t>
  </si>
  <si>
    <t>Total Exempt, Branch</t>
  </si>
  <si>
    <t>Check Exempt?</t>
  </si>
  <si>
    <t>Change, Tax?</t>
  </si>
  <si>
    <t>Balanced Tax</t>
  </si>
  <si>
    <t>Exempt Sales</t>
  </si>
  <si>
    <t>TAX:</t>
  </si>
  <si>
    <t>EXEMPT: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</si>
</sst>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&quot;$&quot;#,##0.0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0"/>
      <color rgb="FF000000"/>
      <name val="Arial Unicode MS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theme="4" tint="0.39997558519241921"/>
      </bottom>
      <diagonal/>
    </border>
  </borders>
  <cellStyleXfs count="43">
    <xf numFmtId="0" fontId="0" fillId="0" borderId="0"/>
    <xf numFmtId="0" fontId="6" fillId="0" borderId="0" applyNumberFormat="0" applyFill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5" applyNumberFormat="0" applyAlignment="0" applyProtection="0"/>
    <xf numFmtId="0" fontId="14" fillId="6" borderId="6" applyNumberFormat="0" applyAlignment="0" applyProtection="0"/>
    <xf numFmtId="0" fontId="15" fillId="6" borderId="5" applyNumberFormat="0" applyAlignment="0" applyProtection="0"/>
    <xf numFmtId="0" fontId="16" fillId="0" borderId="7" applyNumberFormat="0" applyFill="0" applyAlignment="0" applyProtection="0"/>
    <xf numFmtId="0" fontId="17" fillId="7" borderId="8" applyNumberFormat="0" applyAlignment="0" applyProtection="0"/>
    <xf numFmtId="0" fontId="18" fillId="0" borderId="0" applyNumberFormat="0" applyFill="0" applyBorder="0" applyAlignment="0" applyProtection="0"/>
    <xf numFmtId="0" fontId="4" fillId="8" borderId="9" applyNumberFormat="0" applyFont="0" applyAlignment="0" applyProtection="0"/>
    <xf numFmtId="0" fontId="19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43" fontId="4" fillId="0" borderId="0" applyFont="0" applyFill="0" applyBorder="0" applyAlignment="0" applyProtection="0"/>
  </cellStyleXfs>
  <cellXfs count="29">
    <xf numFmtId="0" fontId="0" fillId="0" borderId="0" xfId="0"/>
    <xf numFmtId="0" fontId="4" fillId="0" borderId="0" xfId="0" applyFont="1"/>
    <xf numFmtId="164" fontId="3" fillId="0" borderId="0" xfId="0" applyNumberFormat="1" applyFont="1" applyAlignment="1">
      <alignment vertical="center"/>
    </xf>
    <xf numFmtId="164" fontId="4" fillId="0" borderId="0" xfId="0" applyNumberFormat="1" applyFont="1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 textRotation="90"/>
    </xf>
    <xf numFmtId="0" fontId="0" fillId="33" borderId="0" xfId="0" applyFill="1"/>
    <xf numFmtId="0" fontId="4" fillId="33" borderId="0" xfId="0" applyFont="1" applyFill="1"/>
    <xf numFmtId="0" fontId="5" fillId="33" borderId="0" xfId="0" applyFont="1" applyFill="1"/>
    <xf numFmtId="0" fontId="1" fillId="0" borderId="0" xfId="0" applyFont="1"/>
    <xf numFmtId="0" fontId="1" fillId="36" borderId="11" xfId="0" applyFont="1" applyFill="1" applyBorder="1"/>
    <xf numFmtId="43" fontId="3" fillId="0" borderId="0" xfId="42" applyFont="1" applyFill="1" applyAlignment="1">
      <alignment vertical="center"/>
    </xf>
    <xf numFmtId="43" fontId="4" fillId="0" borderId="0" xfId="42" applyFont="1" applyFill="1"/>
    <xf numFmtId="0" fontId="9" fillId="37" borderId="4" xfId="4" applyFill="1"/>
    <xf numFmtId="0" fontId="9" fillId="37" borderId="4" xfId="4" applyFill="1" applyProtection="1">
      <protection hidden="1"/>
    </xf>
    <xf numFmtId="0" fontId="0" fillId="0" borderId="0" xfId="0" applyProtection="1">
      <protection hidden="1"/>
    </xf>
    <xf numFmtId="4" fontId="0" fillId="0" borderId="0" xfId="0" applyNumberFormat="1" applyProtection="1">
      <protection hidden="1"/>
    </xf>
    <xf numFmtId="0" fontId="0" fillId="0" borderId="11" xfId="0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0" fillId="37" borderId="0" xfId="0" applyFill="1"/>
    <xf numFmtId="0" fontId="22" fillId="37" borderId="0" xfId="0" applyFont="1" applyFill="1"/>
    <xf numFmtId="0" fontId="9" fillId="37" borderId="13" xfId="4" applyFill="1" applyBorder="1"/>
    <xf numFmtId="0" fontId="0" fillId="0" borderId="12" xfId="0" applyBorder="1"/>
    <xf numFmtId="0" fontId="26" fillId="0" borderId="0" xfId="0" applyFont="1" applyAlignment="1">
      <alignment vertical="center"/>
    </xf>
    <xf numFmtId="0" fontId="0" fillId="35" borderId="11" xfId="0" applyFill="1" applyBorder="1" applyAlignment="1">
      <alignment horizontal="center"/>
    </xf>
    <xf numFmtId="0" fontId="1" fillId="34" borderId="1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25" fillId="38" borderId="11" xfId="0" applyFont="1" applyFill="1" applyBorder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rgb="FF00B0F0"/>
        </patternFill>
      </fill>
    </dxf>
    <dxf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19050</xdr:rowOff>
        </xdr:from>
        <xdr:to>
          <xdr:col>4</xdr:col>
          <xdr:colOff>0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HIDE ALL COLUMNS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THAT ARE FIXED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5</xdr:row>
          <xdr:rowOff>180975</xdr:rowOff>
        </xdr:from>
        <xdr:to>
          <xdr:col>7</xdr:col>
          <xdr:colOff>590550</xdr:colOff>
          <xdr:row>13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UNHIDE ALL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5A31D-D567-454C-8AC0-1787E2674A17}">
  <sheetPr codeName="Sheet1"/>
  <dimension ref="B3:F4"/>
  <sheetViews>
    <sheetView workbookViewId="0">
      <selection activeCell="B16" sqref="B16:D16"/>
    </sheetView>
  </sheetViews>
  <sheetFormatPr defaultRowHeight="15"/>
  <sheetData>
    <row r="3" spans="2:6">
      <c r="B3" s="24" t="s">
        <v>6</v>
      </c>
      <c r="C3" s="24"/>
      <c r="D3" s="17">
        <f>COUNTIF('Rates-Service Fees'!25:25,'Hide-Unhide'!B3)</f>
        <v>0</v>
      </c>
      <c r="F3" t="s">
        <v>10</v>
      </c>
    </row>
    <row r="4" spans="2:6">
      <c r="B4" s="25" t="s">
        <v>7</v>
      </c>
      <c r="C4" s="25"/>
      <c r="D4" s="18">
        <f>COUNTIF('Rates-Service Fees'!25:25,'Hide-Unhide'!B4)</f>
        <v>0</v>
      </c>
    </row>
  </sheetData>
  <mergeCells count="2">
    <mergeCell ref="B3:C3"/>
    <mergeCell ref="B4:C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ideColumns">
                <anchor moveWithCells="1" siz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4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hideColumns">
                <anchor moveWithCells="1" sizeWithCells="1">
                  <from>
                    <xdr:col>4</xdr:col>
                    <xdr:colOff>600075</xdr:colOff>
                    <xdr:row>5</xdr:row>
                    <xdr:rowOff>180975</xdr:rowOff>
                  </from>
                  <to>
                    <xdr:col>7</xdr:col>
                    <xdr:colOff>590550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LM61"/>
  <sheetViews>
    <sheetView zoomScale="70" zoomScaleNormal="70" workbookViewId="0">
      <pane xSplit="1" ySplit="7" topLeftCell="B38" activePane="bottomRight" state="frozen"/>
      <selection pane="topRight" activeCell="B1" sqref="B1"/>
      <selection pane="bottomLeft" activeCell="A8" sqref="A8"/>
      <selection pane="bottomRight" activeCell="F47" sqref="F47"/>
    </sheetView>
  </sheetViews>
  <sheetFormatPr defaultColWidth="9.28515625" defaultRowHeight="15"/>
  <cols>
    <col min="1" max="1" width="14" style="1" customWidth="1"/>
    <col min="2" max="2" width="12.28515625" customWidth="1"/>
    <col min="3" max="5" width="12.140625" hidden="1" customWidth="1"/>
    <col min="6" max="6" width="12.140625" customWidth="1"/>
    <col min="7" max="8" width="12.140625" hidden="1" customWidth="1"/>
    <col min="9" max="41" width="12" hidden="1" customWidth="1"/>
    <col min="42" max="42" width="12" customWidth="1"/>
    <col min="43" max="75" width="12" hidden="1" customWidth="1"/>
    <col min="76" max="76" width="12" customWidth="1"/>
    <col min="77" max="82" width="12" hidden="1" customWidth="1"/>
    <col min="83" max="83" width="12" customWidth="1"/>
    <col min="84" max="90" width="12" hidden="1" customWidth="1"/>
    <col min="91" max="94" width="12" customWidth="1"/>
    <col min="95" max="107" width="12" hidden="1" customWidth="1"/>
    <col min="108" max="108" width="12" customWidth="1"/>
    <col min="109" max="111" width="12" hidden="1" customWidth="1"/>
    <col min="112" max="112" width="12" customWidth="1"/>
    <col min="113" max="124" width="12" hidden="1" customWidth="1"/>
    <col min="125" max="125" width="12" customWidth="1"/>
    <col min="126" max="137" width="12" hidden="1" customWidth="1"/>
    <col min="138" max="138" width="12" customWidth="1"/>
    <col min="139" max="144" width="12" hidden="1" customWidth="1"/>
    <col min="145" max="145" width="12" customWidth="1"/>
    <col min="146" max="169" width="12" hidden="1" customWidth="1"/>
    <col min="170" max="173" width="12" style="1" hidden="1" customWidth="1"/>
    <col min="174" max="174" width="12" style="1" customWidth="1"/>
    <col min="175" max="177" width="12" style="1" hidden="1" customWidth="1"/>
    <col min="178" max="178" width="12" style="1" customWidth="1"/>
    <col min="179" max="180" width="12" style="1" hidden="1" customWidth="1"/>
    <col min="181" max="183" width="12" style="1" customWidth="1"/>
    <col min="184" max="218" width="12" style="1" hidden="1" customWidth="1"/>
    <col min="219" max="219" width="12" style="1" customWidth="1"/>
    <col min="220" max="230" width="12" style="1" hidden="1" customWidth="1"/>
    <col min="231" max="231" width="12" style="1" customWidth="1"/>
    <col min="232" max="233" width="12" style="1" hidden="1" customWidth="1"/>
    <col min="234" max="248" width="9.28515625" style="1" hidden="1" customWidth="1"/>
    <col min="249" max="249" width="9.28515625" style="1" customWidth="1"/>
    <col min="250" max="257" width="9.28515625" style="1" hidden="1" customWidth="1"/>
    <col min="258" max="258" width="9.28515625" style="1" customWidth="1"/>
    <col min="259" max="264" width="9.28515625" style="1" hidden="1" customWidth="1"/>
    <col min="265" max="265" width="9.28515625" style="1" customWidth="1"/>
    <col min="266" max="268" width="9.28515625" style="1" hidden="1" customWidth="1"/>
    <col min="269" max="269" width="9.28515625" style="1" customWidth="1"/>
    <col min="270" max="273" width="9.28515625" style="1" hidden="1" customWidth="1"/>
    <col min="274" max="274" width="9.28515625" style="1" customWidth="1"/>
    <col min="275" max="286" width="9.28515625" style="1" hidden="1" customWidth="1"/>
    <col min="287" max="287" width="9.28515625" style="1" customWidth="1"/>
    <col min="288" max="298" width="9.28515625" style="1" hidden="1" customWidth="1"/>
    <col min="299" max="299" width="11.140625" style="1" hidden="1" customWidth="1"/>
    <col min="300" max="303" width="9.28515625" style="1" hidden="1" customWidth="1"/>
    <col min="304" max="304" width="9.28515625" style="1" customWidth="1"/>
    <col min="305" max="306" width="9.28515625" style="1" hidden="1" customWidth="1"/>
    <col min="307" max="307" width="9.28515625" style="1" customWidth="1"/>
    <col min="308" max="322" width="9.28515625" style="1" hidden="1" customWidth="1"/>
    <col min="323" max="323" width="9.28515625" style="1" customWidth="1"/>
    <col min="324" max="328" width="9.28515625" style="1" hidden="1" customWidth="1"/>
    <col min="329" max="329" width="9.28515625" style="1" customWidth="1"/>
    <col min="330" max="341" width="9.28515625" style="1" hidden="1" customWidth="1"/>
    <col min="342" max="342" width="9.28515625" style="1" customWidth="1"/>
    <col min="343" max="390" width="9.28515625" style="1" hidden="1" customWidth="1"/>
    <col min="391" max="391" width="9.140625" style="1" hidden="1" customWidth="1"/>
    <col min="392" max="426" width="9.28515625" style="1" hidden="1" customWidth="1"/>
    <col min="427" max="427" width="9.28515625" style="1" customWidth="1"/>
    <col min="428" max="428" width="9.28515625" style="1" hidden="1" customWidth="1"/>
    <col min="429" max="429" width="10" style="1" hidden="1" customWidth="1"/>
    <col min="430" max="430" width="9.28515625" style="1" customWidth="1"/>
    <col min="431" max="436" width="9.28515625" style="1" hidden="1" customWidth="1"/>
    <col min="437" max="437" width="9.28515625" style="1" customWidth="1"/>
    <col min="438" max="453" width="9.28515625" style="1" hidden="1" customWidth="1"/>
    <col min="454" max="454" width="9.28515625" style="1" customWidth="1"/>
    <col min="455" max="460" width="9.28515625" style="1" hidden="1" customWidth="1"/>
    <col min="461" max="461" width="9.28515625" style="1" customWidth="1"/>
    <col min="462" max="463" width="9.28515625" style="1" hidden="1" customWidth="1"/>
    <col min="464" max="464" width="9.28515625" style="1" customWidth="1"/>
    <col min="465" max="501" width="9.28515625" style="1" hidden="1" customWidth="1"/>
    <col min="502" max="502" width="9.28515625" style="1" customWidth="1"/>
    <col min="503" max="507" width="9.28515625" style="1" hidden="1" customWidth="1"/>
    <col min="508" max="508" width="9.28515625" style="1" customWidth="1"/>
    <col min="509" max="527" width="9.28515625" style="1" hidden="1" customWidth="1"/>
    <col min="528" max="528" width="9.28515625" style="1" customWidth="1"/>
    <col min="529" max="542" width="9.28515625" style="1" hidden="1" customWidth="1"/>
    <col min="543" max="543" width="10" style="1" hidden="1" customWidth="1"/>
    <col min="544" max="549" width="9.28515625" style="1" hidden="1" customWidth="1"/>
    <col min="550" max="550" width="9.28515625" style="1" customWidth="1"/>
    <col min="551" max="572" width="9.28515625" style="1" hidden="1" customWidth="1"/>
    <col min="573" max="573" width="9.28515625" style="1" customWidth="1"/>
    <col min="574" max="580" width="9.28515625" style="1" hidden="1" customWidth="1"/>
    <col min="581" max="581" width="9.28515625" style="1" customWidth="1"/>
    <col min="582" max="584" width="9.28515625" style="1" hidden="1" customWidth="1"/>
    <col min="585" max="585" width="9.28515625" style="1" customWidth="1"/>
    <col min="586" max="591" width="9.28515625" style="1" hidden="1" customWidth="1"/>
    <col min="592" max="592" width="9.28515625" style="1" customWidth="1"/>
    <col min="593" max="612" width="9.28515625" style="1" hidden="1" customWidth="1"/>
    <col min="613" max="613" width="9.28515625" style="1" customWidth="1"/>
    <col min="614" max="638" width="9.28515625" style="1" hidden="1" customWidth="1"/>
    <col min="639" max="639" width="9.28515625" style="1" customWidth="1"/>
    <col min="640" max="651" width="9.28515625" style="1" hidden="1" customWidth="1"/>
    <col min="652" max="652" width="9.28515625" style="1" customWidth="1"/>
    <col min="653" max="660" width="9.28515625" style="1" hidden="1" customWidth="1"/>
    <col min="661" max="661" width="9.28515625" style="1" customWidth="1"/>
    <col min="662" max="668" width="9.28515625" style="1" hidden="1" customWidth="1"/>
    <col min="669" max="669" width="11" style="1" hidden="1" customWidth="1"/>
    <col min="670" max="672" width="9.28515625" style="1" hidden="1" customWidth="1"/>
    <col min="673" max="673" width="10.7109375" style="1" hidden="1" customWidth="1"/>
    <col min="674" max="685" width="9.28515625" style="1" hidden="1" customWidth="1"/>
    <col min="686" max="686" width="9.140625" style="1" hidden="1" customWidth="1"/>
    <col min="687" max="687" width="9.28515625" style="1" hidden="1" customWidth="1"/>
    <col min="688" max="692" width="9.28515625" style="1" customWidth="1"/>
    <col min="693" max="693" width="10.140625" style="1" customWidth="1"/>
    <col min="694" max="16384" width="9.28515625" style="1"/>
  </cols>
  <sheetData>
    <row r="1" spans="1:1001">
      <c r="A1" s="26" t="s">
        <v>0</v>
      </c>
      <c r="B1">
        <f t="array" ref="B1:ALM22">TRANSPOSE(Website!A1:W1000)</f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0</v>
      </c>
      <c r="JU1">
        <v>0</v>
      </c>
      <c r="JV1">
        <v>0</v>
      </c>
      <c r="JW1">
        <v>0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0</v>
      </c>
      <c r="KO1">
        <v>0</v>
      </c>
      <c r="KP1">
        <v>0</v>
      </c>
      <c r="KQ1">
        <v>0</v>
      </c>
      <c r="KR1">
        <v>0</v>
      </c>
      <c r="KS1">
        <v>0</v>
      </c>
      <c r="KT1">
        <v>0</v>
      </c>
      <c r="KU1">
        <v>0</v>
      </c>
      <c r="KV1">
        <v>0</v>
      </c>
      <c r="KW1">
        <v>0</v>
      </c>
      <c r="KX1">
        <v>0</v>
      </c>
      <c r="KY1">
        <v>0</v>
      </c>
      <c r="KZ1">
        <v>0</v>
      </c>
      <c r="LA1">
        <v>0</v>
      </c>
      <c r="LB1">
        <v>0</v>
      </c>
      <c r="LC1">
        <v>0</v>
      </c>
      <c r="LD1">
        <v>0</v>
      </c>
      <c r="LE1">
        <v>0</v>
      </c>
      <c r="LF1">
        <v>0</v>
      </c>
      <c r="LG1">
        <v>0</v>
      </c>
      <c r="LH1">
        <v>0</v>
      </c>
      <c r="LI1">
        <v>0</v>
      </c>
      <c r="LJ1">
        <v>0</v>
      </c>
      <c r="LK1">
        <v>0</v>
      </c>
      <c r="LL1">
        <v>0</v>
      </c>
      <c r="LM1">
        <v>0</v>
      </c>
      <c r="LN1">
        <v>0</v>
      </c>
      <c r="LO1">
        <v>0</v>
      </c>
      <c r="LP1">
        <v>0</v>
      </c>
      <c r="LQ1">
        <v>0</v>
      </c>
      <c r="LR1">
        <v>0</v>
      </c>
      <c r="LS1">
        <v>0</v>
      </c>
      <c r="LT1">
        <v>0</v>
      </c>
      <c r="LU1">
        <v>0</v>
      </c>
      <c r="LV1">
        <v>0</v>
      </c>
      <c r="LW1">
        <v>0</v>
      </c>
      <c r="LX1">
        <v>0</v>
      </c>
      <c r="LY1">
        <v>0</v>
      </c>
      <c r="LZ1">
        <v>0</v>
      </c>
      <c r="MA1">
        <v>0</v>
      </c>
      <c r="MB1">
        <v>0</v>
      </c>
      <c r="MC1">
        <v>0</v>
      </c>
      <c r="MD1">
        <v>0</v>
      </c>
      <c r="ME1">
        <v>0</v>
      </c>
      <c r="MF1">
        <v>0</v>
      </c>
      <c r="MG1">
        <v>0</v>
      </c>
      <c r="MH1">
        <v>0</v>
      </c>
      <c r="MI1">
        <v>0</v>
      </c>
      <c r="MJ1">
        <v>0</v>
      </c>
      <c r="MK1">
        <v>0</v>
      </c>
      <c r="ML1">
        <v>0</v>
      </c>
      <c r="MM1">
        <v>0</v>
      </c>
      <c r="MN1">
        <v>0</v>
      </c>
      <c r="MO1">
        <v>0</v>
      </c>
      <c r="MP1">
        <v>0</v>
      </c>
      <c r="MQ1">
        <v>0</v>
      </c>
      <c r="MR1">
        <v>0</v>
      </c>
      <c r="MS1">
        <v>0</v>
      </c>
      <c r="MT1">
        <v>0</v>
      </c>
      <c r="MU1">
        <v>0</v>
      </c>
      <c r="MV1">
        <v>0</v>
      </c>
      <c r="MW1">
        <v>0</v>
      </c>
      <c r="MX1">
        <v>0</v>
      </c>
      <c r="MY1">
        <v>0</v>
      </c>
      <c r="MZ1">
        <v>0</v>
      </c>
      <c r="NA1">
        <v>0</v>
      </c>
      <c r="NB1">
        <v>0</v>
      </c>
      <c r="NC1">
        <v>0</v>
      </c>
      <c r="ND1">
        <v>0</v>
      </c>
      <c r="NE1">
        <v>0</v>
      </c>
      <c r="NF1">
        <v>0</v>
      </c>
      <c r="NG1">
        <v>0</v>
      </c>
      <c r="NH1">
        <v>0</v>
      </c>
      <c r="NI1">
        <v>0</v>
      </c>
      <c r="NJ1">
        <v>0</v>
      </c>
      <c r="NK1">
        <v>0</v>
      </c>
      <c r="NL1">
        <v>0</v>
      </c>
      <c r="NM1">
        <v>0</v>
      </c>
      <c r="NN1">
        <v>0</v>
      </c>
      <c r="NO1">
        <v>0</v>
      </c>
      <c r="NP1">
        <v>0</v>
      </c>
      <c r="NQ1">
        <v>0</v>
      </c>
      <c r="NR1">
        <v>0</v>
      </c>
      <c r="NS1">
        <v>0</v>
      </c>
      <c r="NT1">
        <v>0</v>
      </c>
      <c r="NU1">
        <v>0</v>
      </c>
      <c r="NV1">
        <v>0</v>
      </c>
      <c r="NW1">
        <v>0</v>
      </c>
      <c r="NX1">
        <v>0</v>
      </c>
      <c r="NY1">
        <v>0</v>
      </c>
      <c r="NZ1">
        <v>0</v>
      </c>
      <c r="OA1">
        <v>0</v>
      </c>
      <c r="OB1">
        <v>0</v>
      </c>
      <c r="OC1">
        <v>0</v>
      </c>
      <c r="OD1">
        <v>0</v>
      </c>
      <c r="OE1">
        <v>0</v>
      </c>
      <c r="OF1">
        <v>0</v>
      </c>
      <c r="OG1">
        <v>0</v>
      </c>
      <c r="OH1">
        <v>0</v>
      </c>
      <c r="OI1">
        <v>0</v>
      </c>
      <c r="OJ1">
        <v>0</v>
      </c>
      <c r="OK1">
        <v>0</v>
      </c>
      <c r="OL1">
        <v>0</v>
      </c>
      <c r="OM1">
        <v>0</v>
      </c>
      <c r="ON1">
        <v>0</v>
      </c>
      <c r="OO1">
        <v>0</v>
      </c>
      <c r="OP1">
        <v>0</v>
      </c>
      <c r="OQ1">
        <v>0</v>
      </c>
      <c r="OR1">
        <v>0</v>
      </c>
      <c r="OS1">
        <v>0</v>
      </c>
      <c r="OT1">
        <v>0</v>
      </c>
      <c r="OU1">
        <v>0</v>
      </c>
      <c r="OV1">
        <v>0</v>
      </c>
      <c r="OW1">
        <v>0</v>
      </c>
      <c r="OX1">
        <v>0</v>
      </c>
      <c r="OY1">
        <v>0</v>
      </c>
      <c r="OZ1">
        <v>0</v>
      </c>
      <c r="PA1">
        <v>0</v>
      </c>
      <c r="PB1">
        <v>0</v>
      </c>
      <c r="PC1">
        <v>0</v>
      </c>
      <c r="PD1">
        <v>0</v>
      </c>
      <c r="PE1">
        <v>0</v>
      </c>
      <c r="PF1">
        <v>0</v>
      </c>
      <c r="PG1">
        <v>0</v>
      </c>
      <c r="PH1">
        <v>0</v>
      </c>
      <c r="PI1">
        <v>0</v>
      </c>
      <c r="PJ1">
        <v>0</v>
      </c>
      <c r="PK1">
        <v>0</v>
      </c>
      <c r="PL1">
        <v>0</v>
      </c>
      <c r="PM1">
        <v>0</v>
      </c>
      <c r="PN1">
        <v>0</v>
      </c>
      <c r="PO1">
        <v>0</v>
      </c>
      <c r="PP1">
        <v>0</v>
      </c>
      <c r="PQ1">
        <v>0</v>
      </c>
      <c r="PR1">
        <v>0</v>
      </c>
      <c r="PS1">
        <v>0</v>
      </c>
      <c r="PT1">
        <v>0</v>
      </c>
      <c r="PU1">
        <v>0</v>
      </c>
      <c r="PV1">
        <v>0</v>
      </c>
      <c r="PW1">
        <v>0</v>
      </c>
      <c r="PX1">
        <v>0</v>
      </c>
      <c r="PY1">
        <v>0</v>
      </c>
      <c r="PZ1">
        <v>0</v>
      </c>
      <c r="QA1">
        <v>0</v>
      </c>
      <c r="QB1">
        <v>0</v>
      </c>
      <c r="QC1">
        <v>0</v>
      </c>
      <c r="QD1">
        <v>0</v>
      </c>
      <c r="QE1">
        <v>0</v>
      </c>
      <c r="QF1">
        <v>0</v>
      </c>
      <c r="QG1">
        <v>0</v>
      </c>
      <c r="QH1">
        <v>0</v>
      </c>
      <c r="QI1">
        <v>0</v>
      </c>
      <c r="QJ1">
        <v>0</v>
      </c>
      <c r="QK1">
        <v>0</v>
      </c>
      <c r="QL1">
        <v>0</v>
      </c>
      <c r="QM1">
        <v>0</v>
      </c>
      <c r="QN1">
        <v>0</v>
      </c>
      <c r="QO1">
        <v>0</v>
      </c>
      <c r="QP1">
        <v>0</v>
      </c>
      <c r="QQ1">
        <v>0</v>
      </c>
      <c r="QR1">
        <v>0</v>
      </c>
      <c r="QS1">
        <v>0</v>
      </c>
      <c r="QT1">
        <v>0</v>
      </c>
      <c r="QU1">
        <v>0</v>
      </c>
      <c r="QV1">
        <v>0</v>
      </c>
      <c r="QW1">
        <v>0</v>
      </c>
      <c r="QX1">
        <v>0</v>
      </c>
      <c r="QY1">
        <v>0</v>
      </c>
      <c r="QZ1">
        <v>0</v>
      </c>
      <c r="RA1">
        <v>0</v>
      </c>
      <c r="RB1">
        <v>0</v>
      </c>
      <c r="RC1">
        <v>0</v>
      </c>
      <c r="RD1">
        <v>0</v>
      </c>
      <c r="RE1">
        <v>0</v>
      </c>
      <c r="RF1">
        <v>0</v>
      </c>
      <c r="RG1">
        <v>0</v>
      </c>
      <c r="RH1">
        <v>0</v>
      </c>
      <c r="RI1">
        <v>0</v>
      </c>
      <c r="RJ1">
        <v>0</v>
      </c>
      <c r="RK1">
        <v>0</v>
      </c>
      <c r="RL1">
        <v>0</v>
      </c>
      <c r="RM1">
        <v>0</v>
      </c>
      <c r="RN1">
        <v>0</v>
      </c>
      <c r="RO1">
        <v>0</v>
      </c>
      <c r="RP1">
        <v>0</v>
      </c>
      <c r="RQ1">
        <v>0</v>
      </c>
      <c r="RR1">
        <v>0</v>
      </c>
      <c r="RS1">
        <v>0</v>
      </c>
      <c r="RT1">
        <v>0</v>
      </c>
      <c r="RU1">
        <v>0</v>
      </c>
      <c r="RV1">
        <v>0</v>
      </c>
      <c r="RW1">
        <v>0</v>
      </c>
      <c r="RX1">
        <v>0</v>
      </c>
      <c r="RY1">
        <v>0</v>
      </c>
      <c r="RZ1">
        <v>0</v>
      </c>
      <c r="SA1">
        <v>0</v>
      </c>
      <c r="SB1">
        <v>0</v>
      </c>
      <c r="SC1">
        <v>0</v>
      </c>
      <c r="SD1">
        <v>0</v>
      </c>
      <c r="SE1">
        <v>0</v>
      </c>
      <c r="SF1">
        <v>0</v>
      </c>
      <c r="SG1">
        <v>0</v>
      </c>
      <c r="SH1">
        <v>0</v>
      </c>
      <c r="SI1">
        <v>0</v>
      </c>
      <c r="SJ1">
        <v>0</v>
      </c>
      <c r="SK1">
        <v>0</v>
      </c>
      <c r="SL1">
        <v>0</v>
      </c>
      <c r="SM1">
        <v>0</v>
      </c>
      <c r="SN1">
        <v>0</v>
      </c>
      <c r="SO1">
        <v>0</v>
      </c>
      <c r="SP1">
        <v>0</v>
      </c>
      <c r="SQ1">
        <v>0</v>
      </c>
      <c r="SR1">
        <v>0</v>
      </c>
      <c r="SS1">
        <v>0</v>
      </c>
      <c r="ST1">
        <v>0</v>
      </c>
      <c r="SU1">
        <v>0</v>
      </c>
      <c r="SV1">
        <v>0</v>
      </c>
      <c r="SW1">
        <v>0</v>
      </c>
      <c r="SX1">
        <v>0</v>
      </c>
      <c r="SY1">
        <v>0</v>
      </c>
      <c r="SZ1">
        <v>0</v>
      </c>
      <c r="TA1">
        <v>0</v>
      </c>
      <c r="TB1">
        <v>0</v>
      </c>
      <c r="TC1">
        <v>0</v>
      </c>
      <c r="TD1">
        <v>0</v>
      </c>
      <c r="TE1">
        <v>0</v>
      </c>
      <c r="TF1">
        <v>0</v>
      </c>
      <c r="TG1">
        <v>0</v>
      </c>
      <c r="TH1">
        <v>0</v>
      </c>
      <c r="TI1">
        <v>0</v>
      </c>
      <c r="TJ1">
        <v>0</v>
      </c>
      <c r="TK1">
        <v>0</v>
      </c>
      <c r="TL1">
        <v>0</v>
      </c>
      <c r="TM1">
        <v>0</v>
      </c>
      <c r="TN1">
        <v>0</v>
      </c>
      <c r="TO1">
        <v>0</v>
      </c>
      <c r="TP1">
        <v>0</v>
      </c>
      <c r="TQ1">
        <v>0</v>
      </c>
      <c r="TR1">
        <v>0</v>
      </c>
      <c r="TS1">
        <v>0</v>
      </c>
      <c r="TT1">
        <v>0</v>
      </c>
      <c r="TU1">
        <v>0</v>
      </c>
      <c r="TV1">
        <v>0</v>
      </c>
      <c r="TW1">
        <v>0</v>
      </c>
      <c r="TX1">
        <v>0</v>
      </c>
      <c r="TY1">
        <v>0</v>
      </c>
      <c r="TZ1">
        <v>0</v>
      </c>
      <c r="UA1">
        <v>0</v>
      </c>
      <c r="UB1">
        <v>0</v>
      </c>
      <c r="UC1">
        <v>0</v>
      </c>
      <c r="UD1">
        <v>0</v>
      </c>
      <c r="UE1">
        <v>0</v>
      </c>
      <c r="UF1">
        <v>0</v>
      </c>
      <c r="UG1">
        <v>0</v>
      </c>
      <c r="UH1">
        <v>0</v>
      </c>
      <c r="UI1">
        <v>0</v>
      </c>
      <c r="UJ1">
        <v>0</v>
      </c>
      <c r="UK1">
        <v>0</v>
      </c>
      <c r="UL1">
        <v>0</v>
      </c>
      <c r="UM1">
        <v>0</v>
      </c>
      <c r="UN1">
        <v>0</v>
      </c>
      <c r="UO1">
        <v>0</v>
      </c>
      <c r="UP1">
        <v>0</v>
      </c>
      <c r="UQ1">
        <v>0</v>
      </c>
      <c r="UR1">
        <v>0</v>
      </c>
      <c r="US1">
        <v>0</v>
      </c>
      <c r="UT1">
        <v>0</v>
      </c>
      <c r="UU1">
        <v>0</v>
      </c>
      <c r="UV1">
        <v>0</v>
      </c>
      <c r="UW1">
        <v>0</v>
      </c>
      <c r="UX1">
        <v>0</v>
      </c>
      <c r="UY1">
        <v>0</v>
      </c>
      <c r="UZ1">
        <v>0</v>
      </c>
      <c r="VA1">
        <v>0</v>
      </c>
      <c r="VB1">
        <v>0</v>
      </c>
      <c r="VC1">
        <v>0</v>
      </c>
      <c r="VD1">
        <v>0</v>
      </c>
      <c r="VE1">
        <v>0</v>
      </c>
      <c r="VF1">
        <v>0</v>
      </c>
      <c r="VG1">
        <v>0</v>
      </c>
      <c r="VH1">
        <v>0</v>
      </c>
      <c r="VI1">
        <v>0</v>
      </c>
      <c r="VJ1">
        <v>0</v>
      </c>
      <c r="VK1">
        <v>0</v>
      </c>
      <c r="VL1">
        <v>0</v>
      </c>
      <c r="VM1">
        <v>0</v>
      </c>
      <c r="VN1">
        <v>0</v>
      </c>
      <c r="VO1">
        <v>0</v>
      </c>
      <c r="VP1">
        <v>0</v>
      </c>
      <c r="VQ1">
        <v>0</v>
      </c>
      <c r="VR1">
        <v>0</v>
      </c>
      <c r="VS1">
        <v>0</v>
      </c>
      <c r="VT1">
        <v>0</v>
      </c>
      <c r="VU1">
        <v>0</v>
      </c>
      <c r="VV1">
        <v>0</v>
      </c>
      <c r="VW1">
        <v>0</v>
      </c>
      <c r="VX1">
        <v>0</v>
      </c>
      <c r="VY1">
        <v>0</v>
      </c>
      <c r="VZ1">
        <v>0</v>
      </c>
      <c r="WA1">
        <v>0</v>
      </c>
      <c r="WB1">
        <v>0</v>
      </c>
      <c r="WC1">
        <v>0</v>
      </c>
      <c r="WD1">
        <v>0</v>
      </c>
      <c r="WE1">
        <v>0</v>
      </c>
      <c r="WF1">
        <v>0</v>
      </c>
      <c r="WG1">
        <v>0</v>
      </c>
      <c r="WH1">
        <v>0</v>
      </c>
      <c r="WI1">
        <v>0</v>
      </c>
      <c r="WJ1">
        <v>0</v>
      </c>
      <c r="WK1">
        <v>0</v>
      </c>
      <c r="WL1">
        <v>0</v>
      </c>
      <c r="WM1">
        <v>0</v>
      </c>
      <c r="WN1">
        <v>0</v>
      </c>
      <c r="WO1">
        <v>0</v>
      </c>
      <c r="WP1">
        <v>0</v>
      </c>
      <c r="WQ1">
        <v>0</v>
      </c>
      <c r="WR1">
        <v>0</v>
      </c>
      <c r="WS1">
        <v>0</v>
      </c>
      <c r="WT1">
        <v>0</v>
      </c>
      <c r="WU1">
        <v>0</v>
      </c>
      <c r="WV1">
        <v>0</v>
      </c>
      <c r="WW1">
        <v>0</v>
      </c>
      <c r="WX1">
        <v>0</v>
      </c>
      <c r="WY1">
        <v>0</v>
      </c>
      <c r="WZ1">
        <v>0</v>
      </c>
      <c r="XA1">
        <v>0</v>
      </c>
      <c r="XB1">
        <v>0</v>
      </c>
      <c r="XC1">
        <v>0</v>
      </c>
      <c r="XD1">
        <v>0</v>
      </c>
      <c r="XE1">
        <v>0</v>
      </c>
      <c r="XF1">
        <v>0</v>
      </c>
      <c r="XG1">
        <v>0</v>
      </c>
      <c r="XH1">
        <v>0</v>
      </c>
      <c r="XI1">
        <v>0</v>
      </c>
      <c r="XJ1">
        <v>0</v>
      </c>
      <c r="XK1">
        <v>0</v>
      </c>
      <c r="XL1">
        <v>0</v>
      </c>
      <c r="XM1">
        <v>0</v>
      </c>
      <c r="XN1">
        <v>0</v>
      </c>
      <c r="XO1">
        <v>0</v>
      </c>
      <c r="XP1">
        <v>0</v>
      </c>
      <c r="XQ1">
        <v>0</v>
      </c>
      <c r="XR1">
        <v>0</v>
      </c>
      <c r="XS1">
        <v>0</v>
      </c>
      <c r="XT1">
        <v>0</v>
      </c>
      <c r="XU1">
        <v>0</v>
      </c>
      <c r="XV1">
        <v>0</v>
      </c>
      <c r="XW1">
        <v>0</v>
      </c>
      <c r="XX1">
        <v>0</v>
      </c>
      <c r="XY1">
        <v>0</v>
      </c>
      <c r="XZ1">
        <v>0</v>
      </c>
      <c r="YA1">
        <v>0</v>
      </c>
      <c r="YB1">
        <v>0</v>
      </c>
      <c r="YC1">
        <v>0</v>
      </c>
      <c r="YD1">
        <v>0</v>
      </c>
      <c r="YE1">
        <v>0</v>
      </c>
      <c r="YF1">
        <v>0</v>
      </c>
      <c r="YG1">
        <v>0</v>
      </c>
      <c r="YH1">
        <v>0</v>
      </c>
      <c r="YI1">
        <v>0</v>
      </c>
      <c r="YJ1">
        <v>0</v>
      </c>
      <c r="YK1">
        <v>0</v>
      </c>
      <c r="YL1">
        <v>0</v>
      </c>
      <c r="YM1">
        <v>0</v>
      </c>
      <c r="YN1">
        <v>0</v>
      </c>
      <c r="YO1">
        <v>0</v>
      </c>
      <c r="YP1">
        <v>0</v>
      </c>
      <c r="YQ1">
        <v>0</v>
      </c>
      <c r="YR1">
        <v>0</v>
      </c>
      <c r="YS1">
        <v>0</v>
      </c>
      <c r="YT1">
        <v>0</v>
      </c>
      <c r="YU1">
        <v>0</v>
      </c>
      <c r="YV1">
        <v>0</v>
      </c>
      <c r="YW1">
        <v>0</v>
      </c>
      <c r="YX1">
        <v>0</v>
      </c>
      <c r="YY1">
        <v>0</v>
      </c>
      <c r="YZ1">
        <v>0</v>
      </c>
      <c r="ZA1">
        <v>0</v>
      </c>
      <c r="ZB1">
        <v>0</v>
      </c>
      <c r="ZC1">
        <v>0</v>
      </c>
      <c r="ZD1">
        <v>0</v>
      </c>
      <c r="ZE1">
        <v>0</v>
      </c>
      <c r="ZF1">
        <v>0</v>
      </c>
      <c r="ZG1">
        <v>0</v>
      </c>
      <c r="ZH1">
        <v>0</v>
      </c>
      <c r="ZI1">
        <v>0</v>
      </c>
      <c r="ZJ1">
        <v>0</v>
      </c>
      <c r="ZK1">
        <v>0</v>
      </c>
      <c r="ZL1">
        <v>0</v>
      </c>
      <c r="ZM1">
        <v>0</v>
      </c>
      <c r="ZN1">
        <v>0</v>
      </c>
      <c r="ZO1">
        <v>0</v>
      </c>
      <c r="ZP1">
        <v>0</v>
      </c>
      <c r="ZQ1">
        <v>0</v>
      </c>
      <c r="ZR1">
        <v>0</v>
      </c>
      <c r="ZS1">
        <v>0</v>
      </c>
      <c r="ZT1">
        <v>0</v>
      </c>
      <c r="ZU1">
        <v>0</v>
      </c>
      <c r="ZV1">
        <v>0</v>
      </c>
      <c r="ZW1">
        <v>0</v>
      </c>
      <c r="ZX1">
        <v>0</v>
      </c>
      <c r="ZY1">
        <v>0</v>
      </c>
      <c r="ZZ1">
        <v>0</v>
      </c>
      <c r="AAA1">
        <v>0</v>
      </c>
      <c r="AAB1">
        <v>0</v>
      </c>
      <c r="AAC1">
        <v>0</v>
      </c>
      <c r="AAD1">
        <v>0</v>
      </c>
      <c r="AAE1">
        <v>0</v>
      </c>
      <c r="AAF1">
        <v>0</v>
      </c>
      <c r="AAG1">
        <v>0</v>
      </c>
      <c r="AAH1">
        <v>0</v>
      </c>
      <c r="AAI1">
        <v>0</v>
      </c>
      <c r="AAJ1">
        <v>0</v>
      </c>
      <c r="AAK1">
        <v>0</v>
      </c>
      <c r="AAL1">
        <v>0</v>
      </c>
      <c r="AAM1">
        <v>0</v>
      </c>
      <c r="AAN1">
        <v>0</v>
      </c>
      <c r="AAO1">
        <v>0</v>
      </c>
      <c r="AAP1">
        <v>0</v>
      </c>
      <c r="AAQ1">
        <v>0</v>
      </c>
      <c r="AAR1">
        <v>0</v>
      </c>
      <c r="AAS1">
        <v>0</v>
      </c>
      <c r="AAT1">
        <v>0</v>
      </c>
      <c r="AAU1">
        <v>0</v>
      </c>
      <c r="AAV1">
        <v>0</v>
      </c>
      <c r="AAW1">
        <v>0</v>
      </c>
      <c r="AAX1">
        <v>0</v>
      </c>
      <c r="AAY1">
        <v>0</v>
      </c>
      <c r="AAZ1">
        <v>0</v>
      </c>
      <c r="ABA1">
        <v>0</v>
      </c>
      <c r="ABB1">
        <v>0</v>
      </c>
      <c r="ABC1">
        <v>0</v>
      </c>
      <c r="ABD1">
        <v>0</v>
      </c>
      <c r="ABE1">
        <v>0</v>
      </c>
      <c r="ABF1">
        <v>0</v>
      </c>
      <c r="ABG1">
        <v>0</v>
      </c>
      <c r="ABH1">
        <v>0</v>
      </c>
      <c r="ABI1">
        <v>0</v>
      </c>
      <c r="ABJ1">
        <v>0</v>
      </c>
      <c r="ABK1">
        <v>0</v>
      </c>
      <c r="ABL1">
        <v>0</v>
      </c>
      <c r="ABM1">
        <v>0</v>
      </c>
      <c r="ABN1">
        <v>0</v>
      </c>
      <c r="ABO1">
        <v>0</v>
      </c>
      <c r="ABP1">
        <v>0</v>
      </c>
      <c r="ABQ1">
        <v>0</v>
      </c>
      <c r="ABR1">
        <v>0</v>
      </c>
      <c r="ABS1">
        <v>0</v>
      </c>
      <c r="ABT1">
        <v>0</v>
      </c>
      <c r="ABU1">
        <v>0</v>
      </c>
      <c r="ABV1">
        <v>0</v>
      </c>
      <c r="ABW1">
        <v>0</v>
      </c>
      <c r="ABX1">
        <v>0</v>
      </c>
      <c r="ABY1">
        <v>0</v>
      </c>
      <c r="ABZ1">
        <v>0</v>
      </c>
      <c r="ACA1">
        <v>0</v>
      </c>
      <c r="ACB1">
        <v>0</v>
      </c>
      <c r="ACC1">
        <v>0</v>
      </c>
      <c r="ACD1">
        <v>0</v>
      </c>
      <c r="ACE1">
        <v>0</v>
      </c>
      <c r="ACF1">
        <v>0</v>
      </c>
      <c r="ACG1">
        <v>0</v>
      </c>
      <c r="ACH1">
        <v>0</v>
      </c>
      <c r="ACI1">
        <v>0</v>
      </c>
      <c r="ACJ1">
        <v>0</v>
      </c>
      <c r="ACK1">
        <v>0</v>
      </c>
      <c r="ACL1">
        <v>0</v>
      </c>
      <c r="ACM1">
        <v>0</v>
      </c>
      <c r="ACN1">
        <v>0</v>
      </c>
      <c r="ACO1">
        <v>0</v>
      </c>
      <c r="ACP1">
        <v>0</v>
      </c>
      <c r="ACQ1">
        <v>0</v>
      </c>
      <c r="ACR1">
        <v>0</v>
      </c>
      <c r="ACS1">
        <v>0</v>
      </c>
      <c r="ACT1">
        <v>0</v>
      </c>
      <c r="ACU1">
        <v>0</v>
      </c>
      <c r="ACV1">
        <v>0</v>
      </c>
      <c r="ACW1">
        <v>0</v>
      </c>
      <c r="ACX1">
        <v>0</v>
      </c>
      <c r="ACY1">
        <v>0</v>
      </c>
      <c r="ACZ1">
        <v>0</v>
      </c>
      <c r="ADA1">
        <v>0</v>
      </c>
      <c r="ADB1">
        <v>0</v>
      </c>
      <c r="ADC1">
        <v>0</v>
      </c>
      <c r="ADD1">
        <v>0</v>
      </c>
      <c r="ADE1">
        <v>0</v>
      </c>
      <c r="ADF1">
        <v>0</v>
      </c>
      <c r="ADG1">
        <v>0</v>
      </c>
      <c r="ADH1">
        <v>0</v>
      </c>
      <c r="ADI1">
        <v>0</v>
      </c>
      <c r="ADJ1">
        <v>0</v>
      </c>
      <c r="ADK1">
        <v>0</v>
      </c>
      <c r="ADL1">
        <v>0</v>
      </c>
      <c r="ADM1">
        <v>0</v>
      </c>
      <c r="ADN1">
        <v>0</v>
      </c>
      <c r="ADO1">
        <v>0</v>
      </c>
      <c r="ADP1">
        <v>0</v>
      </c>
      <c r="ADQ1">
        <v>0</v>
      </c>
      <c r="ADR1">
        <v>0</v>
      </c>
      <c r="ADS1">
        <v>0</v>
      </c>
      <c r="ADT1">
        <v>0</v>
      </c>
      <c r="ADU1">
        <v>0</v>
      </c>
      <c r="ADV1">
        <v>0</v>
      </c>
      <c r="ADW1">
        <v>0</v>
      </c>
      <c r="ADX1">
        <v>0</v>
      </c>
      <c r="ADY1">
        <v>0</v>
      </c>
      <c r="ADZ1">
        <v>0</v>
      </c>
      <c r="AEA1">
        <v>0</v>
      </c>
      <c r="AEB1">
        <v>0</v>
      </c>
      <c r="AEC1">
        <v>0</v>
      </c>
      <c r="AED1">
        <v>0</v>
      </c>
      <c r="AEE1">
        <v>0</v>
      </c>
      <c r="AEF1">
        <v>0</v>
      </c>
      <c r="AEG1">
        <v>0</v>
      </c>
      <c r="AEH1">
        <v>0</v>
      </c>
      <c r="AEI1">
        <v>0</v>
      </c>
      <c r="AEJ1">
        <v>0</v>
      </c>
      <c r="AEK1">
        <v>0</v>
      </c>
      <c r="AEL1">
        <v>0</v>
      </c>
      <c r="AEM1">
        <v>0</v>
      </c>
      <c r="AEN1">
        <v>0</v>
      </c>
      <c r="AEO1">
        <v>0</v>
      </c>
      <c r="AEP1">
        <v>0</v>
      </c>
      <c r="AEQ1">
        <v>0</v>
      </c>
      <c r="AER1">
        <v>0</v>
      </c>
      <c r="AES1">
        <v>0</v>
      </c>
      <c r="AET1">
        <v>0</v>
      </c>
      <c r="AEU1">
        <v>0</v>
      </c>
      <c r="AEV1">
        <v>0</v>
      </c>
      <c r="AEW1">
        <v>0</v>
      </c>
      <c r="AEX1">
        <v>0</v>
      </c>
      <c r="AEY1">
        <v>0</v>
      </c>
      <c r="AEZ1">
        <v>0</v>
      </c>
      <c r="AFA1">
        <v>0</v>
      </c>
      <c r="AFB1">
        <v>0</v>
      </c>
      <c r="AFC1">
        <v>0</v>
      </c>
      <c r="AFD1">
        <v>0</v>
      </c>
      <c r="AFE1">
        <v>0</v>
      </c>
      <c r="AFF1">
        <v>0</v>
      </c>
      <c r="AFG1">
        <v>0</v>
      </c>
      <c r="AFH1">
        <v>0</v>
      </c>
      <c r="AFI1">
        <v>0</v>
      </c>
      <c r="AFJ1">
        <v>0</v>
      </c>
      <c r="AFK1">
        <v>0</v>
      </c>
      <c r="AFL1">
        <v>0</v>
      </c>
      <c r="AFM1">
        <v>0</v>
      </c>
      <c r="AFN1">
        <v>0</v>
      </c>
      <c r="AFO1">
        <v>0</v>
      </c>
      <c r="AFP1">
        <v>0</v>
      </c>
      <c r="AFQ1">
        <v>0</v>
      </c>
      <c r="AFR1">
        <v>0</v>
      </c>
      <c r="AFS1">
        <v>0</v>
      </c>
      <c r="AFT1">
        <v>0</v>
      </c>
      <c r="AFU1">
        <v>0</v>
      </c>
      <c r="AFV1">
        <v>0</v>
      </c>
      <c r="AFW1">
        <v>0</v>
      </c>
      <c r="AFX1">
        <v>0</v>
      </c>
      <c r="AFY1">
        <v>0</v>
      </c>
      <c r="AFZ1">
        <v>0</v>
      </c>
      <c r="AGA1">
        <v>0</v>
      </c>
      <c r="AGB1">
        <v>0</v>
      </c>
      <c r="AGC1">
        <v>0</v>
      </c>
      <c r="AGD1">
        <v>0</v>
      </c>
      <c r="AGE1">
        <v>0</v>
      </c>
      <c r="AGF1">
        <v>0</v>
      </c>
      <c r="AGG1">
        <v>0</v>
      </c>
      <c r="AGH1">
        <v>0</v>
      </c>
      <c r="AGI1">
        <v>0</v>
      </c>
      <c r="AGJ1">
        <v>0</v>
      </c>
      <c r="AGK1">
        <v>0</v>
      </c>
      <c r="AGL1">
        <v>0</v>
      </c>
      <c r="AGM1">
        <v>0</v>
      </c>
      <c r="AGN1">
        <v>0</v>
      </c>
      <c r="AGO1">
        <v>0</v>
      </c>
      <c r="AGP1">
        <v>0</v>
      </c>
      <c r="AGQ1">
        <v>0</v>
      </c>
      <c r="AGR1">
        <v>0</v>
      </c>
      <c r="AGS1">
        <v>0</v>
      </c>
      <c r="AGT1">
        <v>0</v>
      </c>
      <c r="AGU1">
        <v>0</v>
      </c>
      <c r="AGV1">
        <v>0</v>
      </c>
      <c r="AGW1">
        <v>0</v>
      </c>
      <c r="AGX1">
        <v>0</v>
      </c>
      <c r="AGY1">
        <v>0</v>
      </c>
      <c r="AGZ1">
        <v>0</v>
      </c>
      <c r="AHA1">
        <v>0</v>
      </c>
      <c r="AHB1">
        <v>0</v>
      </c>
      <c r="AHC1">
        <v>0</v>
      </c>
      <c r="AHD1">
        <v>0</v>
      </c>
      <c r="AHE1">
        <v>0</v>
      </c>
      <c r="AHF1">
        <v>0</v>
      </c>
      <c r="AHG1">
        <v>0</v>
      </c>
      <c r="AHH1">
        <v>0</v>
      </c>
      <c r="AHI1">
        <v>0</v>
      </c>
      <c r="AHJ1">
        <v>0</v>
      </c>
      <c r="AHK1">
        <v>0</v>
      </c>
      <c r="AHL1">
        <v>0</v>
      </c>
      <c r="AHM1">
        <v>0</v>
      </c>
      <c r="AHN1">
        <v>0</v>
      </c>
      <c r="AHO1">
        <v>0</v>
      </c>
      <c r="AHP1">
        <v>0</v>
      </c>
      <c r="AHQ1">
        <v>0</v>
      </c>
      <c r="AHR1">
        <v>0</v>
      </c>
      <c r="AHS1">
        <v>0</v>
      </c>
      <c r="AHT1">
        <v>0</v>
      </c>
      <c r="AHU1">
        <v>0</v>
      </c>
      <c r="AHV1">
        <v>0</v>
      </c>
      <c r="AHW1">
        <v>0</v>
      </c>
      <c r="AHX1">
        <v>0</v>
      </c>
      <c r="AHY1">
        <v>0</v>
      </c>
      <c r="AHZ1">
        <v>0</v>
      </c>
      <c r="AIA1">
        <v>0</v>
      </c>
      <c r="AIB1">
        <v>0</v>
      </c>
      <c r="AIC1">
        <v>0</v>
      </c>
      <c r="AID1">
        <v>0</v>
      </c>
      <c r="AIE1">
        <v>0</v>
      </c>
      <c r="AIF1">
        <v>0</v>
      </c>
      <c r="AIG1">
        <v>0</v>
      </c>
      <c r="AIH1">
        <v>0</v>
      </c>
      <c r="AII1">
        <v>0</v>
      </c>
      <c r="AIJ1">
        <v>0</v>
      </c>
      <c r="AIK1">
        <v>0</v>
      </c>
      <c r="AIL1">
        <v>0</v>
      </c>
      <c r="AIM1">
        <v>0</v>
      </c>
      <c r="AIN1">
        <v>0</v>
      </c>
      <c r="AIO1">
        <v>0</v>
      </c>
      <c r="AIP1">
        <v>0</v>
      </c>
      <c r="AIQ1">
        <v>0</v>
      </c>
      <c r="AIR1">
        <v>0</v>
      </c>
      <c r="AIS1">
        <v>0</v>
      </c>
      <c r="AIT1">
        <v>0</v>
      </c>
      <c r="AIU1">
        <v>0</v>
      </c>
      <c r="AIV1">
        <v>0</v>
      </c>
      <c r="AIW1">
        <v>0</v>
      </c>
      <c r="AIX1">
        <v>0</v>
      </c>
      <c r="AIY1">
        <v>0</v>
      </c>
      <c r="AIZ1">
        <v>0</v>
      </c>
      <c r="AJA1">
        <v>0</v>
      </c>
      <c r="AJB1">
        <v>0</v>
      </c>
      <c r="AJC1">
        <v>0</v>
      </c>
      <c r="AJD1">
        <v>0</v>
      </c>
      <c r="AJE1">
        <v>0</v>
      </c>
      <c r="AJF1">
        <v>0</v>
      </c>
      <c r="AJG1">
        <v>0</v>
      </c>
      <c r="AJH1">
        <v>0</v>
      </c>
      <c r="AJI1">
        <v>0</v>
      </c>
      <c r="AJJ1">
        <v>0</v>
      </c>
      <c r="AJK1">
        <v>0</v>
      </c>
      <c r="AJL1">
        <v>0</v>
      </c>
      <c r="AJM1">
        <v>0</v>
      </c>
      <c r="AJN1">
        <v>0</v>
      </c>
      <c r="AJO1">
        <v>0</v>
      </c>
      <c r="AJP1">
        <v>0</v>
      </c>
      <c r="AJQ1">
        <v>0</v>
      </c>
      <c r="AJR1">
        <v>0</v>
      </c>
      <c r="AJS1">
        <v>0</v>
      </c>
      <c r="AJT1">
        <v>0</v>
      </c>
      <c r="AJU1">
        <v>0</v>
      </c>
      <c r="AJV1">
        <v>0</v>
      </c>
      <c r="AJW1">
        <v>0</v>
      </c>
      <c r="AJX1">
        <v>0</v>
      </c>
      <c r="AJY1">
        <v>0</v>
      </c>
      <c r="AJZ1">
        <v>0</v>
      </c>
      <c r="AKA1">
        <v>0</v>
      </c>
      <c r="AKB1">
        <v>0</v>
      </c>
      <c r="AKC1">
        <v>0</v>
      </c>
      <c r="AKD1">
        <v>0</v>
      </c>
      <c r="AKE1">
        <v>0</v>
      </c>
      <c r="AKF1">
        <v>0</v>
      </c>
      <c r="AKG1">
        <v>0</v>
      </c>
      <c r="AKH1">
        <v>0</v>
      </c>
      <c r="AKI1">
        <v>0</v>
      </c>
      <c r="AKJ1">
        <v>0</v>
      </c>
      <c r="AKK1">
        <v>0</v>
      </c>
      <c r="AKL1">
        <v>0</v>
      </c>
      <c r="AKM1">
        <v>0</v>
      </c>
      <c r="AKN1">
        <v>0</v>
      </c>
      <c r="AKO1">
        <v>0</v>
      </c>
      <c r="AKP1">
        <v>0</v>
      </c>
      <c r="AKQ1">
        <v>0</v>
      </c>
      <c r="AKR1">
        <v>0</v>
      </c>
      <c r="AKS1">
        <v>0</v>
      </c>
      <c r="AKT1">
        <v>0</v>
      </c>
      <c r="AKU1">
        <v>0</v>
      </c>
      <c r="AKV1">
        <v>0</v>
      </c>
      <c r="AKW1">
        <v>0</v>
      </c>
      <c r="AKX1">
        <v>0</v>
      </c>
      <c r="AKY1">
        <v>0</v>
      </c>
      <c r="AKZ1">
        <v>0</v>
      </c>
      <c r="ALA1">
        <v>0</v>
      </c>
      <c r="ALB1">
        <v>0</v>
      </c>
      <c r="ALC1">
        <v>0</v>
      </c>
      <c r="ALD1">
        <v>0</v>
      </c>
      <c r="ALE1">
        <v>0</v>
      </c>
      <c r="ALF1">
        <v>0</v>
      </c>
      <c r="ALG1">
        <v>0</v>
      </c>
      <c r="ALH1">
        <v>0</v>
      </c>
      <c r="ALI1">
        <v>0</v>
      </c>
      <c r="ALJ1">
        <v>0</v>
      </c>
      <c r="ALK1">
        <v>0</v>
      </c>
      <c r="ALL1">
        <v>0</v>
      </c>
      <c r="ALM1">
        <v>0</v>
      </c>
    </row>
    <row r="2" spans="1:1001">
      <c r="A2" s="26"/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0</v>
      </c>
      <c r="MN2">
        <v>0</v>
      </c>
      <c r="MO2">
        <v>0</v>
      </c>
      <c r="MP2">
        <v>0</v>
      </c>
      <c r="MQ2">
        <v>0</v>
      </c>
      <c r="MR2">
        <v>0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0</v>
      </c>
      <c r="ON2">
        <v>0</v>
      </c>
      <c r="OO2">
        <v>0</v>
      </c>
      <c r="OP2">
        <v>0</v>
      </c>
      <c r="OQ2">
        <v>0</v>
      </c>
      <c r="OR2">
        <v>0</v>
      </c>
      <c r="OS2">
        <v>0</v>
      </c>
      <c r="OT2">
        <v>0</v>
      </c>
      <c r="OU2">
        <v>0</v>
      </c>
      <c r="OV2">
        <v>0</v>
      </c>
      <c r="OW2">
        <v>0</v>
      </c>
      <c r="OX2">
        <v>0</v>
      </c>
      <c r="OY2">
        <v>0</v>
      </c>
      <c r="OZ2">
        <v>0</v>
      </c>
      <c r="PA2">
        <v>0</v>
      </c>
      <c r="PB2">
        <v>0</v>
      </c>
      <c r="PC2">
        <v>0</v>
      </c>
      <c r="PD2">
        <v>0</v>
      </c>
      <c r="PE2">
        <v>0</v>
      </c>
      <c r="PF2">
        <v>0</v>
      </c>
      <c r="PG2">
        <v>0</v>
      </c>
      <c r="PH2">
        <v>0</v>
      </c>
      <c r="PI2">
        <v>0</v>
      </c>
      <c r="PJ2">
        <v>0</v>
      </c>
      <c r="PK2">
        <v>0</v>
      </c>
      <c r="PL2">
        <v>0</v>
      </c>
      <c r="PM2">
        <v>0</v>
      </c>
      <c r="PN2">
        <v>0</v>
      </c>
      <c r="PO2">
        <v>0</v>
      </c>
      <c r="PP2">
        <v>0</v>
      </c>
      <c r="PQ2">
        <v>0</v>
      </c>
      <c r="PR2">
        <v>0</v>
      </c>
      <c r="PS2">
        <v>0</v>
      </c>
      <c r="PT2">
        <v>0</v>
      </c>
      <c r="PU2">
        <v>0</v>
      </c>
      <c r="PV2">
        <v>0</v>
      </c>
      <c r="PW2">
        <v>0</v>
      </c>
      <c r="PX2">
        <v>0</v>
      </c>
      <c r="PY2">
        <v>0</v>
      </c>
      <c r="PZ2">
        <v>0</v>
      </c>
      <c r="QA2">
        <v>0</v>
      </c>
      <c r="QB2">
        <v>0</v>
      </c>
      <c r="QC2">
        <v>0</v>
      </c>
      <c r="QD2">
        <v>0</v>
      </c>
      <c r="QE2">
        <v>0</v>
      </c>
      <c r="QF2">
        <v>0</v>
      </c>
      <c r="QG2">
        <v>0</v>
      </c>
      <c r="QH2">
        <v>0</v>
      </c>
      <c r="QI2">
        <v>0</v>
      </c>
      <c r="QJ2">
        <v>0</v>
      </c>
      <c r="QK2">
        <v>0</v>
      </c>
      <c r="QL2">
        <v>0</v>
      </c>
      <c r="QM2">
        <v>0</v>
      </c>
      <c r="QN2">
        <v>0</v>
      </c>
      <c r="QO2">
        <v>0</v>
      </c>
      <c r="QP2">
        <v>0</v>
      </c>
      <c r="QQ2">
        <v>0</v>
      </c>
      <c r="QR2">
        <v>0</v>
      </c>
      <c r="QS2">
        <v>0</v>
      </c>
      <c r="QT2">
        <v>0</v>
      </c>
      <c r="QU2">
        <v>0</v>
      </c>
      <c r="QV2">
        <v>0</v>
      </c>
      <c r="QW2">
        <v>0</v>
      </c>
      <c r="QX2">
        <v>0</v>
      </c>
      <c r="QY2">
        <v>0</v>
      </c>
      <c r="QZ2">
        <v>0</v>
      </c>
      <c r="RA2">
        <v>0</v>
      </c>
      <c r="RB2">
        <v>0</v>
      </c>
      <c r="RC2">
        <v>0</v>
      </c>
      <c r="RD2">
        <v>0</v>
      </c>
      <c r="RE2">
        <v>0</v>
      </c>
      <c r="RF2">
        <v>0</v>
      </c>
      <c r="RG2">
        <v>0</v>
      </c>
      <c r="RH2">
        <v>0</v>
      </c>
      <c r="RI2">
        <v>0</v>
      </c>
      <c r="RJ2">
        <v>0</v>
      </c>
      <c r="RK2">
        <v>0</v>
      </c>
      <c r="RL2">
        <v>0</v>
      </c>
      <c r="RM2">
        <v>0</v>
      </c>
      <c r="RN2">
        <v>0</v>
      </c>
      <c r="RO2">
        <v>0</v>
      </c>
      <c r="RP2">
        <v>0</v>
      </c>
      <c r="RQ2">
        <v>0</v>
      </c>
      <c r="RR2">
        <v>0</v>
      </c>
      <c r="RS2">
        <v>0</v>
      </c>
      <c r="RT2">
        <v>0</v>
      </c>
      <c r="RU2">
        <v>0</v>
      </c>
      <c r="RV2">
        <v>0</v>
      </c>
      <c r="RW2">
        <v>0</v>
      </c>
      <c r="RX2">
        <v>0</v>
      </c>
      <c r="RY2">
        <v>0</v>
      </c>
      <c r="RZ2">
        <v>0</v>
      </c>
      <c r="SA2">
        <v>0</v>
      </c>
      <c r="SB2">
        <v>0</v>
      </c>
      <c r="SC2">
        <v>0</v>
      </c>
      <c r="SD2">
        <v>0</v>
      </c>
      <c r="SE2">
        <v>0</v>
      </c>
      <c r="SF2">
        <v>0</v>
      </c>
      <c r="SG2">
        <v>0</v>
      </c>
      <c r="SH2">
        <v>0</v>
      </c>
      <c r="SI2">
        <v>0</v>
      </c>
      <c r="SJ2">
        <v>0</v>
      </c>
      <c r="SK2">
        <v>0</v>
      </c>
      <c r="SL2">
        <v>0</v>
      </c>
      <c r="SM2">
        <v>0</v>
      </c>
      <c r="SN2">
        <v>0</v>
      </c>
      <c r="SO2">
        <v>0</v>
      </c>
      <c r="SP2">
        <v>0</v>
      </c>
      <c r="SQ2">
        <v>0</v>
      </c>
      <c r="SR2">
        <v>0</v>
      </c>
      <c r="SS2">
        <v>0</v>
      </c>
      <c r="ST2">
        <v>0</v>
      </c>
      <c r="SU2">
        <v>0</v>
      </c>
      <c r="SV2">
        <v>0</v>
      </c>
      <c r="SW2">
        <v>0</v>
      </c>
      <c r="SX2">
        <v>0</v>
      </c>
      <c r="SY2">
        <v>0</v>
      </c>
      <c r="SZ2">
        <v>0</v>
      </c>
      <c r="TA2">
        <v>0</v>
      </c>
      <c r="TB2">
        <v>0</v>
      </c>
      <c r="TC2">
        <v>0</v>
      </c>
      <c r="TD2">
        <v>0</v>
      </c>
      <c r="TE2">
        <v>0</v>
      </c>
      <c r="TF2">
        <v>0</v>
      </c>
      <c r="TG2">
        <v>0</v>
      </c>
      <c r="TH2">
        <v>0</v>
      </c>
      <c r="TI2">
        <v>0</v>
      </c>
      <c r="TJ2">
        <v>0</v>
      </c>
      <c r="TK2">
        <v>0</v>
      </c>
      <c r="TL2">
        <v>0</v>
      </c>
      <c r="TM2">
        <v>0</v>
      </c>
      <c r="TN2">
        <v>0</v>
      </c>
      <c r="TO2">
        <v>0</v>
      </c>
      <c r="TP2">
        <v>0</v>
      </c>
      <c r="TQ2">
        <v>0</v>
      </c>
      <c r="TR2">
        <v>0</v>
      </c>
      <c r="TS2">
        <v>0</v>
      </c>
      <c r="TT2">
        <v>0</v>
      </c>
      <c r="TU2">
        <v>0</v>
      </c>
      <c r="TV2">
        <v>0</v>
      </c>
      <c r="TW2">
        <v>0</v>
      </c>
      <c r="TX2">
        <v>0</v>
      </c>
      <c r="TY2">
        <v>0</v>
      </c>
      <c r="TZ2">
        <v>0</v>
      </c>
      <c r="UA2">
        <v>0</v>
      </c>
      <c r="UB2">
        <v>0</v>
      </c>
      <c r="UC2">
        <v>0</v>
      </c>
      <c r="UD2">
        <v>0</v>
      </c>
      <c r="UE2">
        <v>0</v>
      </c>
      <c r="UF2">
        <v>0</v>
      </c>
      <c r="UG2">
        <v>0</v>
      </c>
      <c r="UH2">
        <v>0</v>
      </c>
      <c r="UI2">
        <v>0</v>
      </c>
      <c r="UJ2">
        <v>0</v>
      </c>
      <c r="UK2">
        <v>0</v>
      </c>
      <c r="UL2">
        <v>0</v>
      </c>
      <c r="UM2">
        <v>0</v>
      </c>
      <c r="UN2">
        <v>0</v>
      </c>
      <c r="UO2">
        <v>0</v>
      </c>
      <c r="UP2">
        <v>0</v>
      </c>
      <c r="UQ2">
        <v>0</v>
      </c>
      <c r="UR2">
        <v>0</v>
      </c>
      <c r="US2">
        <v>0</v>
      </c>
      <c r="UT2">
        <v>0</v>
      </c>
      <c r="UU2">
        <v>0</v>
      </c>
      <c r="UV2">
        <v>0</v>
      </c>
      <c r="UW2">
        <v>0</v>
      </c>
      <c r="UX2">
        <v>0</v>
      </c>
      <c r="UY2">
        <v>0</v>
      </c>
      <c r="UZ2">
        <v>0</v>
      </c>
      <c r="VA2">
        <v>0</v>
      </c>
      <c r="VB2">
        <v>0</v>
      </c>
      <c r="VC2">
        <v>0</v>
      </c>
      <c r="VD2">
        <v>0</v>
      </c>
      <c r="VE2">
        <v>0</v>
      </c>
      <c r="VF2">
        <v>0</v>
      </c>
      <c r="VG2">
        <v>0</v>
      </c>
      <c r="VH2">
        <v>0</v>
      </c>
      <c r="VI2">
        <v>0</v>
      </c>
      <c r="VJ2">
        <v>0</v>
      </c>
      <c r="VK2">
        <v>0</v>
      </c>
      <c r="VL2">
        <v>0</v>
      </c>
      <c r="VM2">
        <v>0</v>
      </c>
      <c r="VN2">
        <v>0</v>
      </c>
      <c r="VO2">
        <v>0</v>
      </c>
      <c r="VP2">
        <v>0</v>
      </c>
      <c r="VQ2">
        <v>0</v>
      </c>
      <c r="VR2">
        <v>0</v>
      </c>
      <c r="VS2">
        <v>0</v>
      </c>
      <c r="VT2">
        <v>0</v>
      </c>
      <c r="VU2">
        <v>0</v>
      </c>
      <c r="VV2">
        <v>0</v>
      </c>
      <c r="VW2">
        <v>0</v>
      </c>
      <c r="VX2">
        <v>0</v>
      </c>
      <c r="VY2">
        <v>0</v>
      </c>
      <c r="VZ2">
        <v>0</v>
      </c>
      <c r="WA2">
        <v>0</v>
      </c>
      <c r="WB2">
        <v>0</v>
      </c>
      <c r="WC2">
        <v>0</v>
      </c>
      <c r="WD2">
        <v>0</v>
      </c>
      <c r="WE2">
        <v>0</v>
      </c>
      <c r="WF2">
        <v>0</v>
      </c>
      <c r="WG2">
        <v>0</v>
      </c>
      <c r="WH2">
        <v>0</v>
      </c>
      <c r="WI2">
        <v>0</v>
      </c>
      <c r="WJ2">
        <v>0</v>
      </c>
      <c r="WK2">
        <v>0</v>
      </c>
      <c r="WL2">
        <v>0</v>
      </c>
      <c r="WM2">
        <v>0</v>
      </c>
      <c r="WN2">
        <v>0</v>
      </c>
      <c r="WO2">
        <v>0</v>
      </c>
      <c r="WP2">
        <v>0</v>
      </c>
      <c r="WQ2">
        <v>0</v>
      </c>
      <c r="WR2">
        <v>0</v>
      </c>
      <c r="WS2">
        <v>0</v>
      </c>
      <c r="WT2">
        <v>0</v>
      </c>
      <c r="WU2">
        <v>0</v>
      </c>
      <c r="WV2">
        <v>0</v>
      </c>
      <c r="WW2">
        <v>0</v>
      </c>
      <c r="WX2">
        <v>0</v>
      </c>
      <c r="WY2">
        <v>0</v>
      </c>
      <c r="WZ2">
        <v>0</v>
      </c>
      <c r="XA2">
        <v>0</v>
      </c>
      <c r="XB2">
        <v>0</v>
      </c>
      <c r="XC2">
        <v>0</v>
      </c>
      <c r="XD2">
        <v>0</v>
      </c>
      <c r="XE2">
        <v>0</v>
      </c>
      <c r="XF2">
        <v>0</v>
      </c>
      <c r="XG2">
        <v>0</v>
      </c>
      <c r="XH2">
        <v>0</v>
      </c>
      <c r="XI2">
        <v>0</v>
      </c>
      <c r="XJ2">
        <v>0</v>
      </c>
      <c r="XK2">
        <v>0</v>
      </c>
      <c r="XL2">
        <v>0</v>
      </c>
      <c r="XM2">
        <v>0</v>
      </c>
      <c r="XN2">
        <v>0</v>
      </c>
      <c r="XO2">
        <v>0</v>
      </c>
      <c r="XP2">
        <v>0</v>
      </c>
      <c r="XQ2">
        <v>0</v>
      </c>
      <c r="XR2">
        <v>0</v>
      </c>
      <c r="XS2">
        <v>0</v>
      </c>
      <c r="XT2">
        <v>0</v>
      </c>
      <c r="XU2">
        <v>0</v>
      </c>
      <c r="XV2">
        <v>0</v>
      </c>
      <c r="XW2">
        <v>0</v>
      </c>
      <c r="XX2">
        <v>0</v>
      </c>
      <c r="XY2">
        <v>0</v>
      </c>
      <c r="XZ2">
        <v>0</v>
      </c>
      <c r="YA2">
        <v>0</v>
      </c>
      <c r="YB2">
        <v>0</v>
      </c>
      <c r="YC2">
        <v>0</v>
      </c>
      <c r="YD2">
        <v>0</v>
      </c>
      <c r="YE2">
        <v>0</v>
      </c>
      <c r="YF2">
        <v>0</v>
      </c>
      <c r="YG2">
        <v>0</v>
      </c>
      <c r="YH2">
        <v>0</v>
      </c>
      <c r="YI2">
        <v>0</v>
      </c>
      <c r="YJ2">
        <v>0</v>
      </c>
      <c r="YK2">
        <v>0</v>
      </c>
      <c r="YL2">
        <v>0</v>
      </c>
      <c r="YM2">
        <v>0</v>
      </c>
      <c r="YN2">
        <v>0</v>
      </c>
      <c r="YO2">
        <v>0</v>
      </c>
      <c r="YP2">
        <v>0</v>
      </c>
      <c r="YQ2">
        <v>0</v>
      </c>
      <c r="YR2">
        <v>0</v>
      </c>
      <c r="YS2">
        <v>0</v>
      </c>
      <c r="YT2">
        <v>0</v>
      </c>
      <c r="YU2">
        <v>0</v>
      </c>
      <c r="YV2">
        <v>0</v>
      </c>
      <c r="YW2">
        <v>0</v>
      </c>
      <c r="YX2">
        <v>0</v>
      </c>
      <c r="YY2">
        <v>0</v>
      </c>
      <c r="YZ2">
        <v>0</v>
      </c>
      <c r="ZA2">
        <v>0</v>
      </c>
      <c r="ZB2">
        <v>0</v>
      </c>
      <c r="ZC2">
        <v>0</v>
      </c>
      <c r="ZD2">
        <v>0</v>
      </c>
      <c r="ZE2">
        <v>0</v>
      </c>
      <c r="ZF2">
        <v>0</v>
      </c>
      <c r="ZG2">
        <v>0</v>
      </c>
      <c r="ZH2">
        <v>0</v>
      </c>
      <c r="ZI2">
        <v>0</v>
      </c>
      <c r="ZJ2">
        <v>0</v>
      </c>
      <c r="ZK2">
        <v>0</v>
      </c>
      <c r="ZL2">
        <v>0</v>
      </c>
      <c r="ZM2">
        <v>0</v>
      </c>
      <c r="ZN2">
        <v>0</v>
      </c>
      <c r="ZO2">
        <v>0</v>
      </c>
      <c r="ZP2">
        <v>0</v>
      </c>
      <c r="ZQ2">
        <v>0</v>
      </c>
      <c r="ZR2">
        <v>0</v>
      </c>
      <c r="ZS2">
        <v>0</v>
      </c>
      <c r="ZT2">
        <v>0</v>
      </c>
      <c r="ZU2">
        <v>0</v>
      </c>
      <c r="ZV2">
        <v>0</v>
      </c>
      <c r="ZW2">
        <v>0</v>
      </c>
      <c r="ZX2">
        <v>0</v>
      </c>
      <c r="ZY2">
        <v>0</v>
      </c>
      <c r="ZZ2">
        <v>0</v>
      </c>
      <c r="AAA2">
        <v>0</v>
      </c>
      <c r="AAB2">
        <v>0</v>
      </c>
      <c r="AAC2">
        <v>0</v>
      </c>
      <c r="AAD2">
        <v>0</v>
      </c>
      <c r="AAE2">
        <v>0</v>
      </c>
      <c r="AAF2">
        <v>0</v>
      </c>
      <c r="AAG2">
        <v>0</v>
      </c>
      <c r="AAH2">
        <v>0</v>
      </c>
      <c r="AAI2">
        <v>0</v>
      </c>
      <c r="AAJ2">
        <v>0</v>
      </c>
      <c r="AAK2">
        <v>0</v>
      </c>
      <c r="AAL2">
        <v>0</v>
      </c>
      <c r="AAM2">
        <v>0</v>
      </c>
      <c r="AAN2">
        <v>0</v>
      </c>
      <c r="AAO2">
        <v>0</v>
      </c>
      <c r="AAP2">
        <v>0</v>
      </c>
      <c r="AAQ2">
        <v>0</v>
      </c>
      <c r="AAR2">
        <v>0</v>
      </c>
      <c r="AAS2">
        <v>0</v>
      </c>
      <c r="AAT2">
        <v>0</v>
      </c>
      <c r="AAU2">
        <v>0</v>
      </c>
      <c r="AAV2">
        <v>0</v>
      </c>
      <c r="AAW2">
        <v>0</v>
      </c>
      <c r="AAX2">
        <v>0</v>
      </c>
      <c r="AAY2">
        <v>0</v>
      </c>
      <c r="AAZ2">
        <v>0</v>
      </c>
      <c r="ABA2">
        <v>0</v>
      </c>
      <c r="ABB2">
        <v>0</v>
      </c>
      <c r="ABC2">
        <v>0</v>
      </c>
      <c r="ABD2">
        <v>0</v>
      </c>
      <c r="ABE2">
        <v>0</v>
      </c>
      <c r="ABF2">
        <v>0</v>
      </c>
      <c r="ABG2">
        <v>0</v>
      </c>
      <c r="ABH2">
        <v>0</v>
      </c>
      <c r="ABI2">
        <v>0</v>
      </c>
      <c r="ABJ2">
        <v>0</v>
      </c>
      <c r="ABK2">
        <v>0</v>
      </c>
      <c r="ABL2">
        <v>0</v>
      </c>
      <c r="ABM2">
        <v>0</v>
      </c>
      <c r="ABN2">
        <v>0</v>
      </c>
      <c r="ABO2">
        <v>0</v>
      </c>
      <c r="ABP2">
        <v>0</v>
      </c>
      <c r="ABQ2">
        <v>0</v>
      </c>
      <c r="ABR2">
        <v>0</v>
      </c>
      <c r="ABS2">
        <v>0</v>
      </c>
      <c r="ABT2">
        <v>0</v>
      </c>
      <c r="ABU2">
        <v>0</v>
      </c>
      <c r="ABV2">
        <v>0</v>
      </c>
      <c r="ABW2">
        <v>0</v>
      </c>
      <c r="ABX2">
        <v>0</v>
      </c>
      <c r="ABY2">
        <v>0</v>
      </c>
      <c r="ABZ2">
        <v>0</v>
      </c>
      <c r="ACA2">
        <v>0</v>
      </c>
      <c r="ACB2">
        <v>0</v>
      </c>
      <c r="ACC2">
        <v>0</v>
      </c>
      <c r="ACD2">
        <v>0</v>
      </c>
      <c r="ACE2">
        <v>0</v>
      </c>
      <c r="ACF2">
        <v>0</v>
      </c>
      <c r="ACG2">
        <v>0</v>
      </c>
      <c r="ACH2">
        <v>0</v>
      </c>
      <c r="ACI2">
        <v>0</v>
      </c>
      <c r="ACJ2">
        <v>0</v>
      </c>
      <c r="ACK2">
        <v>0</v>
      </c>
      <c r="ACL2">
        <v>0</v>
      </c>
      <c r="ACM2">
        <v>0</v>
      </c>
      <c r="ACN2">
        <v>0</v>
      </c>
      <c r="ACO2">
        <v>0</v>
      </c>
      <c r="ACP2">
        <v>0</v>
      </c>
      <c r="ACQ2">
        <v>0</v>
      </c>
      <c r="ACR2">
        <v>0</v>
      </c>
      <c r="ACS2">
        <v>0</v>
      </c>
      <c r="ACT2">
        <v>0</v>
      </c>
      <c r="ACU2">
        <v>0</v>
      </c>
      <c r="ACV2">
        <v>0</v>
      </c>
      <c r="ACW2">
        <v>0</v>
      </c>
      <c r="ACX2">
        <v>0</v>
      </c>
      <c r="ACY2">
        <v>0</v>
      </c>
      <c r="ACZ2">
        <v>0</v>
      </c>
      <c r="ADA2">
        <v>0</v>
      </c>
      <c r="ADB2">
        <v>0</v>
      </c>
      <c r="ADC2">
        <v>0</v>
      </c>
      <c r="ADD2">
        <v>0</v>
      </c>
      <c r="ADE2">
        <v>0</v>
      </c>
      <c r="ADF2">
        <v>0</v>
      </c>
      <c r="ADG2">
        <v>0</v>
      </c>
      <c r="ADH2">
        <v>0</v>
      </c>
      <c r="ADI2">
        <v>0</v>
      </c>
      <c r="ADJ2">
        <v>0</v>
      </c>
      <c r="ADK2">
        <v>0</v>
      </c>
      <c r="ADL2">
        <v>0</v>
      </c>
      <c r="ADM2">
        <v>0</v>
      </c>
      <c r="ADN2">
        <v>0</v>
      </c>
      <c r="ADO2">
        <v>0</v>
      </c>
      <c r="ADP2">
        <v>0</v>
      </c>
      <c r="ADQ2">
        <v>0</v>
      </c>
      <c r="ADR2">
        <v>0</v>
      </c>
      <c r="ADS2">
        <v>0</v>
      </c>
      <c r="ADT2">
        <v>0</v>
      </c>
      <c r="ADU2">
        <v>0</v>
      </c>
      <c r="ADV2">
        <v>0</v>
      </c>
      <c r="ADW2">
        <v>0</v>
      </c>
      <c r="ADX2">
        <v>0</v>
      </c>
      <c r="ADY2">
        <v>0</v>
      </c>
      <c r="ADZ2">
        <v>0</v>
      </c>
      <c r="AEA2">
        <v>0</v>
      </c>
      <c r="AEB2">
        <v>0</v>
      </c>
      <c r="AEC2">
        <v>0</v>
      </c>
      <c r="AED2">
        <v>0</v>
      </c>
      <c r="AEE2">
        <v>0</v>
      </c>
      <c r="AEF2">
        <v>0</v>
      </c>
      <c r="AEG2">
        <v>0</v>
      </c>
      <c r="AEH2">
        <v>0</v>
      </c>
      <c r="AEI2">
        <v>0</v>
      </c>
      <c r="AEJ2">
        <v>0</v>
      </c>
      <c r="AEK2">
        <v>0</v>
      </c>
      <c r="AEL2">
        <v>0</v>
      </c>
      <c r="AEM2">
        <v>0</v>
      </c>
      <c r="AEN2">
        <v>0</v>
      </c>
      <c r="AEO2">
        <v>0</v>
      </c>
      <c r="AEP2">
        <v>0</v>
      </c>
      <c r="AEQ2">
        <v>0</v>
      </c>
      <c r="AER2">
        <v>0</v>
      </c>
      <c r="AES2">
        <v>0</v>
      </c>
      <c r="AET2">
        <v>0</v>
      </c>
      <c r="AEU2">
        <v>0</v>
      </c>
      <c r="AEV2">
        <v>0</v>
      </c>
      <c r="AEW2">
        <v>0</v>
      </c>
      <c r="AEX2">
        <v>0</v>
      </c>
      <c r="AEY2">
        <v>0</v>
      </c>
      <c r="AEZ2">
        <v>0</v>
      </c>
      <c r="AFA2">
        <v>0</v>
      </c>
      <c r="AFB2">
        <v>0</v>
      </c>
      <c r="AFC2">
        <v>0</v>
      </c>
      <c r="AFD2">
        <v>0</v>
      </c>
      <c r="AFE2">
        <v>0</v>
      </c>
      <c r="AFF2">
        <v>0</v>
      </c>
      <c r="AFG2">
        <v>0</v>
      </c>
      <c r="AFH2">
        <v>0</v>
      </c>
      <c r="AFI2">
        <v>0</v>
      </c>
      <c r="AFJ2">
        <v>0</v>
      </c>
      <c r="AFK2">
        <v>0</v>
      </c>
      <c r="AFL2">
        <v>0</v>
      </c>
      <c r="AFM2">
        <v>0</v>
      </c>
      <c r="AFN2">
        <v>0</v>
      </c>
      <c r="AFO2">
        <v>0</v>
      </c>
      <c r="AFP2">
        <v>0</v>
      </c>
      <c r="AFQ2">
        <v>0</v>
      </c>
      <c r="AFR2">
        <v>0</v>
      </c>
      <c r="AFS2">
        <v>0</v>
      </c>
      <c r="AFT2">
        <v>0</v>
      </c>
      <c r="AFU2">
        <v>0</v>
      </c>
      <c r="AFV2">
        <v>0</v>
      </c>
      <c r="AFW2">
        <v>0</v>
      </c>
      <c r="AFX2">
        <v>0</v>
      </c>
      <c r="AFY2">
        <v>0</v>
      </c>
      <c r="AFZ2">
        <v>0</v>
      </c>
      <c r="AGA2">
        <v>0</v>
      </c>
      <c r="AGB2">
        <v>0</v>
      </c>
      <c r="AGC2">
        <v>0</v>
      </c>
      <c r="AGD2">
        <v>0</v>
      </c>
      <c r="AGE2">
        <v>0</v>
      </c>
      <c r="AGF2">
        <v>0</v>
      </c>
      <c r="AGG2">
        <v>0</v>
      </c>
      <c r="AGH2">
        <v>0</v>
      </c>
      <c r="AGI2">
        <v>0</v>
      </c>
      <c r="AGJ2">
        <v>0</v>
      </c>
      <c r="AGK2">
        <v>0</v>
      </c>
      <c r="AGL2">
        <v>0</v>
      </c>
      <c r="AGM2">
        <v>0</v>
      </c>
      <c r="AGN2">
        <v>0</v>
      </c>
      <c r="AGO2">
        <v>0</v>
      </c>
      <c r="AGP2">
        <v>0</v>
      </c>
      <c r="AGQ2">
        <v>0</v>
      </c>
      <c r="AGR2">
        <v>0</v>
      </c>
      <c r="AGS2">
        <v>0</v>
      </c>
      <c r="AGT2">
        <v>0</v>
      </c>
      <c r="AGU2">
        <v>0</v>
      </c>
      <c r="AGV2">
        <v>0</v>
      </c>
      <c r="AGW2">
        <v>0</v>
      </c>
      <c r="AGX2">
        <v>0</v>
      </c>
      <c r="AGY2">
        <v>0</v>
      </c>
      <c r="AGZ2">
        <v>0</v>
      </c>
      <c r="AHA2">
        <v>0</v>
      </c>
      <c r="AHB2">
        <v>0</v>
      </c>
      <c r="AHC2">
        <v>0</v>
      </c>
      <c r="AHD2">
        <v>0</v>
      </c>
      <c r="AHE2">
        <v>0</v>
      </c>
      <c r="AHF2">
        <v>0</v>
      </c>
      <c r="AHG2">
        <v>0</v>
      </c>
      <c r="AHH2">
        <v>0</v>
      </c>
      <c r="AHI2">
        <v>0</v>
      </c>
      <c r="AHJ2">
        <v>0</v>
      </c>
      <c r="AHK2">
        <v>0</v>
      </c>
      <c r="AHL2">
        <v>0</v>
      </c>
      <c r="AHM2">
        <v>0</v>
      </c>
      <c r="AHN2">
        <v>0</v>
      </c>
      <c r="AHO2">
        <v>0</v>
      </c>
      <c r="AHP2">
        <v>0</v>
      </c>
      <c r="AHQ2">
        <v>0</v>
      </c>
      <c r="AHR2">
        <v>0</v>
      </c>
      <c r="AHS2">
        <v>0</v>
      </c>
      <c r="AHT2">
        <v>0</v>
      </c>
      <c r="AHU2">
        <v>0</v>
      </c>
      <c r="AHV2">
        <v>0</v>
      </c>
      <c r="AHW2">
        <v>0</v>
      </c>
      <c r="AHX2">
        <v>0</v>
      </c>
      <c r="AHY2">
        <v>0</v>
      </c>
      <c r="AHZ2">
        <v>0</v>
      </c>
      <c r="AIA2">
        <v>0</v>
      </c>
      <c r="AIB2">
        <v>0</v>
      </c>
      <c r="AIC2">
        <v>0</v>
      </c>
      <c r="AID2">
        <v>0</v>
      </c>
      <c r="AIE2">
        <v>0</v>
      </c>
      <c r="AIF2">
        <v>0</v>
      </c>
      <c r="AIG2">
        <v>0</v>
      </c>
      <c r="AIH2">
        <v>0</v>
      </c>
      <c r="AII2">
        <v>0</v>
      </c>
      <c r="AIJ2">
        <v>0</v>
      </c>
      <c r="AIK2">
        <v>0</v>
      </c>
      <c r="AIL2">
        <v>0</v>
      </c>
      <c r="AIM2">
        <v>0</v>
      </c>
      <c r="AIN2">
        <v>0</v>
      </c>
      <c r="AIO2">
        <v>0</v>
      </c>
      <c r="AIP2">
        <v>0</v>
      </c>
      <c r="AIQ2">
        <v>0</v>
      </c>
      <c r="AIR2">
        <v>0</v>
      </c>
      <c r="AIS2">
        <v>0</v>
      </c>
      <c r="AIT2">
        <v>0</v>
      </c>
      <c r="AIU2">
        <v>0</v>
      </c>
      <c r="AIV2">
        <v>0</v>
      </c>
      <c r="AIW2">
        <v>0</v>
      </c>
      <c r="AIX2">
        <v>0</v>
      </c>
      <c r="AIY2">
        <v>0</v>
      </c>
      <c r="AIZ2">
        <v>0</v>
      </c>
      <c r="AJA2">
        <v>0</v>
      </c>
      <c r="AJB2">
        <v>0</v>
      </c>
      <c r="AJC2">
        <v>0</v>
      </c>
      <c r="AJD2">
        <v>0</v>
      </c>
      <c r="AJE2">
        <v>0</v>
      </c>
      <c r="AJF2">
        <v>0</v>
      </c>
      <c r="AJG2">
        <v>0</v>
      </c>
      <c r="AJH2">
        <v>0</v>
      </c>
      <c r="AJI2">
        <v>0</v>
      </c>
      <c r="AJJ2">
        <v>0</v>
      </c>
      <c r="AJK2">
        <v>0</v>
      </c>
      <c r="AJL2">
        <v>0</v>
      </c>
      <c r="AJM2">
        <v>0</v>
      </c>
      <c r="AJN2">
        <v>0</v>
      </c>
      <c r="AJO2">
        <v>0</v>
      </c>
      <c r="AJP2">
        <v>0</v>
      </c>
      <c r="AJQ2">
        <v>0</v>
      </c>
      <c r="AJR2">
        <v>0</v>
      </c>
      <c r="AJS2">
        <v>0</v>
      </c>
      <c r="AJT2">
        <v>0</v>
      </c>
      <c r="AJU2">
        <v>0</v>
      </c>
      <c r="AJV2">
        <v>0</v>
      </c>
      <c r="AJW2">
        <v>0</v>
      </c>
      <c r="AJX2">
        <v>0</v>
      </c>
      <c r="AJY2">
        <v>0</v>
      </c>
      <c r="AJZ2">
        <v>0</v>
      </c>
      <c r="AKA2">
        <v>0</v>
      </c>
      <c r="AKB2">
        <v>0</v>
      </c>
      <c r="AKC2">
        <v>0</v>
      </c>
      <c r="AKD2">
        <v>0</v>
      </c>
      <c r="AKE2">
        <v>0</v>
      </c>
      <c r="AKF2">
        <v>0</v>
      </c>
      <c r="AKG2">
        <v>0</v>
      </c>
      <c r="AKH2">
        <v>0</v>
      </c>
      <c r="AKI2">
        <v>0</v>
      </c>
      <c r="AKJ2">
        <v>0</v>
      </c>
      <c r="AKK2">
        <v>0</v>
      </c>
      <c r="AKL2">
        <v>0</v>
      </c>
      <c r="AKM2">
        <v>0</v>
      </c>
      <c r="AKN2">
        <v>0</v>
      </c>
      <c r="AKO2">
        <v>0</v>
      </c>
      <c r="AKP2">
        <v>0</v>
      </c>
      <c r="AKQ2">
        <v>0</v>
      </c>
      <c r="AKR2">
        <v>0</v>
      </c>
      <c r="AKS2">
        <v>0</v>
      </c>
      <c r="AKT2">
        <v>0</v>
      </c>
      <c r="AKU2">
        <v>0</v>
      </c>
      <c r="AKV2">
        <v>0</v>
      </c>
      <c r="AKW2">
        <v>0</v>
      </c>
      <c r="AKX2">
        <v>0</v>
      </c>
      <c r="AKY2">
        <v>0</v>
      </c>
      <c r="AKZ2">
        <v>0</v>
      </c>
      <c r="ALA2">
        <v>0</v>
      </c>
      <c r="ALB2">
        <v>0</v>
      </c>
      <c r="ALC2">
        <v>0</v>
      </c>
      <c r="ALD2">
        <v>0</v>
      </c>
      <c r="ALE2">
        <v>0</v>
      </c>
      <c r="ALF2">
        <v>0</v>
      </c>
      <c r="ALG2">
        <v>0</v>
      </c>
      <c r="ALH2">
        <v>0</v>
      </c>
      <c r="ALI2">
        <v>0</v>
      </c>
      <c r="ALJ2">
        <v>0</v>
      </c>
      <c r="ALK2">
        <v>0</v>
      </c>
      <c r="ALL2">
        <v>0</v>
      </c>
      <c r="ALM2">
        <v>0</v>
      </c>
    </row>
    <row r="3" spans="1:1001">
      <c r="A3" s="26"/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0</v>
      </c>
      <c r="LA3">
        <v>0</v>
      </c>
      <c r="LB3">
        <v>0</v>
      </c>
      <c r="LC3">
        <v>0</v>
      </c>
      <c r="LD3">
        <v>0</v>
      </c>
      <c r="LE3">
        <v>0</v>
      </c>
      <c r="LF3">
        <v>0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0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0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0</v>
      </c>
      <c r="NL3">
        <v>0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0</v>
      </c>
      <c r="NW3">
        <v>0</v>
      </c>
      <c r="NX3">
        <v>0</v>
      </c>
      <c r="NY3">
        <v>0</v>
      </c>
      <c r="NZ3">
        <v>0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0</v>
      </c>
      <c r="OJ3">
        <v>0</v>
      </c>
      <c r="OK3">
        <v>0</v>
      </c>
      <c r="OL3">
        <v>0</v>
      </c>
      <c r="OM3">
        <v>0</v>
      </c>
      <c r="ON3">
        <v>0</v>
      </c>
      <c r="OO3">
        <v>0</v>
      </c>
      <c r="OP3">
        <v>0</v>
      </c>
      <c r="OQ3">
        <v>0</v>
      </c>
      <c r="OR3">
        <v>0</v>
      </c>
      <c r="OS3">
        <v>0</v>
      </c>
      <c r="OT3">
        <v>0</v>
      </c>
      <c r="OU3">
        <v>0</v>
      </c>
      <c r="OV3">
        <v>0</v>
      </c>
      <c r="OW3">
        <v>0</v>
      </c>
      <c r="OX3">
        <v>0</v>
      </c>
      <c r="OY3">
        <v>0</v>
      </c>
      <c r="OZ3">
        <v>0</v>
      </c>
      <c r="PA3">
        <v>0</v>
      </c>
      <c r="PB3">
        <v>0</v>
      </c>
      <c r="PC3">
        <v>0</v>
      </c>
      <c r="PD3">
        <v>0</v>
      </c>
      <c r="PE3">
        <v>0</v>
      </c>
      <c r="PF3">
        <v>0</v>
      </c>
      <c r="PG3">
        <v>0</v>
      </c>
      <c r="PH3">
        <v>0</v>
      </c>
      <c r="PI3">
        <v>0</v>
      </c>
      <c r="PJ3">
        <v>0</v>
      </c>
      <c r="PK3">
        <v>0</v>
      </c>
      <c r="PL3">
        <v>0</v>
      </c>
      <c r="PM3">
        <v>0</v>
      </c>
      <c r="PN3">
        <v>0</v>
      </c>
      <c r="PO3">
        <v>0</v>
      </c>
      <c r="PP3">
        <v>0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0</v>
      </c>
      <c r="PX3">
        <v>0</v>
      </c>
      <c r="PY3">
        <v>0</v>
      </c>
      <c r="PZ3">
        <v>0</v>
      </c>
      <c r="QA3">
        <v>0</v>
      </c>
      <c r="QB3">
        <v>0</v>
      </c>
      <c r="QC3">
        <v>0</v>
      </c>
      <c r="QD3">
        <v>0</v>
      </c>
      <c r="QE3">
        <v>0</v>
      </c>
      <c r="QF3">
        <v>0</v>
      </c>
      <c r="QG3">
        <v>0</v>
      </c>
      <c r="QH3">
        <v>0</v>
      </c>
      <c r="QI3">
        <v>0</v>
      </c>
      <c r="QJ3">
        <v>0</v>
      </c>
      <c r="QK3">
        <v>0</v>
      </c>
      <c r="QL3">
        <v>0</v>
      </c>
      <c r="QM3">
        <v>0</v>
      </c>
      <c r="QN3">
        <v>0</v>
      </c>
      <c r="QO3">
        <v>0</v>
      </c>
      <c r="QP3">
        <v>0</v>
      </c>
      <c r="QQ3">
        <v>0</v>
      </c>
      <c r="QR3">
        <v>0</v>
      </c>
      <c r="QS3">
        <v>0</v>
      </c>
      <c r="QT3">
        <v>0</v>
      </c>
      <c r="QU3">
        <v>0</v>
      </c>
      <c r="QV3">
        <v>0</v>
      </c>
      <c r="QW3">
        <v>0</v>
      </c>
      <c r="QX3">
        <v>0</v>
      </c>
      <c r="QY3">
        <v>0</v>
      </c>
      <c r="QZ3">
        <v>0</v>
      </c>
      <c r="RA3">
        <v>0</v>
      </c>
      <c r="RB3">
        <v>0</v>
      </c>
      <c r="RC3">
        <v>0</v>
      </c>
      <c r="RD3">
        <v>0</v>
      </c>
      <c r="RE3">
        <v>0</v>
      </c>
      <c r="RF3">
        <v>0</v>
      </c>
      <c r="RG3">
        <v>0</v>
      </c>
      <c r="RH3">
        <v>0</v>
      </c>
      <c r="RI3">
        <v>0</v>
      </c>
      <c r="RJ3">
        <v>0</v>
      </c>
      <c r="RK3">
        <v>0</v>
      </c>
      <c r="RL3">
        <v>0</v>
      </c>
      <c r="RM3">
        <v>0</v>
      </c>
      <c r="RN3">
        <v>0</v>
      </c>
      <c r="RO3">
        <v>0</v>
      </c>
      <c r="RP3">
        <v>0</v>
      </c>
      <c r="RQ3">
        <v>0</v>
      </c>
      <c r="RR3">
        <v>0</v>
      </c>
      <c r="RS3">
        <v>0</v>
      </c>
      <c r="RT3">
        <v>0</v>
      </c>
      <c r="RU3">
        <v>0</v>
      </c>
      <c r="RV3">
        <v>0</v>
      </c>
      <c r="RW3">
        <v>0</v>
      </c>
      <c r="RX3">
        <v>0</v>
      </c>
      <c r="RY3">
        <v>0</v>
      </c>
      <c r="RZ3">
        <v>0</v>
      </c>
      <c r="SA3">
        <v>0</v>
      </c>
      <c r="SB3">
        <v>0</v>
      </c>
      <c r="SC3">
        <v>0</v>
      </c>
      <c r="SD3">
        <v>0</v>
      </c>
      <c r="SE3">
        <v>0</v>
      </c>
      <c r="SF3">
        <v>0</v>
      </c>
      <c r="SG3">
        <v>0</v>
      </c>
      <c r="SH3">
        <v>0</v>
      </c>
      <c r="SI3">
        <v>0</v>
      </c>
      <c r="SJ3">
        <v>0</v>
      </c>
      <c r="SK3">
        <v>0</v>
      </c>
      <c r="SL3">
        <v>0</v>
      </c>
      <c r="SM3">
        <v>0</v>
      </c>
      <c r="SN3">
        <v>0</v>
      </c>
      <c r="SO3">
        <v>0</v>
      </c>
      <c r="SP3">
        <v>0</v>
      </c>
      <c r="SQ3">
        <v>0</v>
      </c>
      <c r="SR3">
        <v>0</v>
      </c>
      <c r="SS3">
        <v>0</v>
      </c>
      <c r="ST3">
        <v>0</v>
      </c>
      <c r="SU3">
        <v>0</v>
      </c>
      <c r="SV3">
        <v>0</v>
      </c>
      <c r="SW3">
        <v>0</v>
      </c>
      <c r="SX3">
        <v>0</v>
      </c>
      <c r="SY3">
        <v>0</v>
      </c>
      <c r="SZ3">
        <v>0</v>
      </c>
      <c r="TA3">
        <v>0</v>
      </c>
      <c r="TB3">
        <v>0</v>
      </c>
      <c r="TC3">
        <v>0</v>
      </c>
      <c r="TD3">
        <v>0</v>
      </c>
      <c r="TE3">
        <v>0</v>
      </c>
      <c r="TF3">
        <v>0</v>
      </c>
      <c r="TG3">
        <v>0</v>
      </c>
      <c r="TH3">
        <v>0</v>
      </c>
      <c r="TI3">
        <v>0</v>
      </c>
      <c r="TJ3">
        <v>0</v>
      </c>
      <c r="TK3">
        <v>0</v>
      </c>
      <c r="TL3">
        <v>0</v>
      </c>
      <c r="TM3">
        <v>0</v>
      </c>
      <c r="TN3">
        <v>0</v>
      </c>
      <c r="TO3">
        <v>0</v>
      </c>
      <c r="TP3">
        <v>0</v>
      </c>
      <c r="TQ3">
        <v>0</v>
      </c>
      <c r="TR3">
        <v>0</v>
      </c>
      <c r="TS3">
        <v>0</v>
      </c>
      <c r="TT3">
        <v>0</v>
      </c>
      <c r="TU3">
        <v>0</v>
      </c>
      <c r="TV3">
        <v>0</v>
      </c>
      <c r="TW3">
        <v>0</v>
      </c>
      <c r="TX3">
        <v>0</v>
      </c>
      <c r="TY3">
        <v>0</v>
      </c>
      <c r="TZ3">
        <v>0</v>
      </c>
      <c r="UA3">
        <v>0</v>
      </c>
      <c r="UB3">
        <v>0</v>
      </c>
      <c r="UC3">
        <v>0</v>
      </c>
      <c r="UD3">
        <v>0</v>
      </c>
      <c r="UE3">
        <v>0</v>
      </c>
      <c r="UF3">
        <v>0</v>
      </c>
      <c r="UG3">
        <v>0</v>
      </c>
      <c r="UH3">
        <v>0</v>
      </c>
      <c r="UI3">
        <v>0</v>
      </c>
      <c r="UJ3">
        <v>0</v>
      </c>
      <c r="UK3">
        <v>0</v>
      </c>
      <c r="UL3">
        <v>0</v>
      </c>
      <c r="UM3">
        <v>0</v>
      </c>
      <c r="UN3">
        <v>0</v>
      </c>
      <c r="UO3">
        <v>0</v>
      </c>
      <c r="UP3">
        <v>0</v>
      </c>
      <c r="UQ3">
        <v>0</v>
      </c>
      <c r="UR3">
        <v>0</v>
      </c>
      <c r="US3">
        <v>0</v>
      </c>
      <c r="UT3">
        <v>0</v>
      </c>
      <c r="UU3">
        <v>0</v>
      </c>
      <c r="UV3">
        <v>0</v>
      </c>
      <c r="UW3">
        <v>0</v>
      </c>
      <c r="UX3">
        <v>0</v>
      </c>
      <c r="UY3">
        <v>0</v>
      </c>
      <c r="UZ3">
        <v>0</v>
      </c>
      <c r="VA3">
        <v>0</v>
      </c>
      <c r="VB3">
        <v>0</v>
      </c>
      <c r="VC3">
        <v>0</v>
      </c>
      <c r="VD3">
        <v>0</v>
      </c>
      <c r="VE3">
        <v>0</v>
      </c>
      <c r="VF3">
        <v>0</v>
      </c>
      <c r="VG3">
        <v>0</v>
      </c>
      <c r="VH3">
        <v>0</v>
      </c>
      <c r="VI3">
        <v>0</v>
      </c>
      <c r="VJ3">
        <v>0</v>
      </c>
      <c r="VK3">
        <v>0</v>
      </c>
      <c r="VL3">
        <v>0</v>
      </c>
      <c r="VM3">
        <v>0</v>
      </c>
      <c r="VN3">
        <v>0</v>
      </c>
      <c r="VO3">
        <v>0</v>
      </c>
      <c r="VP3">
        <v>0</v>
      </c>
      <c r="VQ3">
        <v>0</v>
      </c>
      <c r="VR3">
        <v>0</v>
      </c>
      <c r="VS3">
        <v>0</v>
      </c>
      <c r="VT3">
        <v>0</v>
      </c>
      <c r="VU3">
        <v>0</v>
      </c>
      <c r="VV3">
        <v>0</v>
      </c>
      <c r="VW3">
        <v>0</v>
      </c>
      <c r="VX3">
        <v>0</v>
      </c>
      <c r="VY3">
        <v>0</v>
      </c>
      <c r="VZ3">
        <v>0</v>
      </c>
      <c r="WA3">
        <v>0</v>
      </c>
      <c r="WB3">
        <v>0</v>
      </c>
      <c r="WC3">
        <v>0</v>
      </c>
      <c r="WD3">
        <v>0</v>
      </c>
      <c r="WE3">
        <v>0</v>
      </c>
      <c r="WF3">
        <v>0</v>
      </c>
      <c r="WG3">
        <v>0</v>
      </c>
      <c r="WH3">
        <v>0</v>
      </c>
      <c r="WI3">
        <v>0</v>
      </c>
      <c r="WJ3">
        <v>0</v>
      </c>
      <c r="WK3">
        <v>0</v>
      </c>
      <c r="WL3">
        <v>0</v>
      </c>
      <c r="WM3">
        <v>0</v>
      </c>
      <c r="WN3">
        <v>0</v>
      </c>
      <c r="WO3">
        <v>0</v>
      </c>
      <c r="WP3">
        <v>0</v>
      </c>
      <c r="WQ3">
        <v>0</v>
      </c>
      <c r="WR3">
        <v>0</v>
      </c>
      <c r="WS3">
        <v>0</v>
      </c>
      <c r="WT3">
        <v>0</v>
      </c>
      <c r="WU3">
        <v>0</v>
      </c>
      <c r="WV3">
        <v>0</v>
      </c>
      <c r="WW3">
        <v>0</v>
      </c>
      <c r="WX3">
        <v>0</v>
      </c>
      <c r="WY3">
        <v>0</v>
      </c>
      <c r="WZ3">
        <v>0</v>
      </c>
      <c r="XA3">
        <v>0</v>
      </c>
      <c r="XB3">
        <v>0</v>
      </c>
      <c r="XC3">
        <v>0</v>
      </c>
      <c r="XD3">
        <v>0</v>
      </c>
      <c r="XE3">
        <v>0</v>
      </c>
      <c r="XF3">
        <v>0</v>
      </c>
      <c r="XG3">
        <v>0</v>
      </c>
      <c r="XH3">
        <v>0</v>
      </c>
      <c r="XI3">
        <v>0</v>
      </c>
      <c r="XJ3">
        <v>0</v>
      </c>
      <c r="XK3">
        <v>0</v>
      </c>
      <c r="XL3">
        <v>0</v>
      </c>
      <c r="XM3">
        <v>0</v>
      </c>
      <c r="XN3">
        <v>0</v>
      </c>
      <c r="XO3">
        <v>0</v>
      </c>
      <c r="XP3">
        <v>0</v>
      </c>
      <c r="XQ3">
        <v>0</v>
      </c>
      <c r="XR3">
        <v>0</v>
      </c>
      <c r="XS3">
        <v>0</v>
      </c>
      <c r="XT3">
        <v>0</v>
      </c>
      <c r="XU3">
        <v>0</v>
      </c>
      <c r="XV3">
        <v>0</v>
      </c>
      <c r="XW3">
        <v>0</v>
      </c>
      <c r="XX3">
        <v>0</v>
      </c>
      <c r="XY3">
        <v>0</v>
      </c>
      <c r="XZ3">
        <v>0</v>
      </c>
      <c r="YA3">
        <v>0</v>
      </c>
      <c r="YB3">
        <v>0</v>
      </c>
      <c r="YC3">
        <v>0</v>
      </c>
      <c r="YD3">
        <v>0</v>
      </c>
      <c r="YE3">
        <v>0</v>
      </c>
      <c r="YF3">
        <v>0</v>
      </c>
      <c r="YG3">
        <v>0</v>
      </c>
      <c r="YH3">
        <v>0</v>
      </c>
      <c r="YI3">
        <v>0</v>
      </c>
      <c r="YJ3">
        <v>0</v>
      </c>
      <c r="YK3">
        <v>0</v>
      </c>
      <c r="YL3">
        <v>0</v>
      </c>
      <c r="YM3">
        <v>0</v>
      </c>
      <c r="YN3">
        <v>0</v>
      </c>
      <c r="YO3">
        <v>0</v>
      </c>
      <c r="YP3">
        <v>0</v>
      </c>
      <c r="YQ3">
        <v>0</v>
      </c>
      <c r="YR3">
        <v>0</v>
      </c>
      <c r="YS3">
        <v>0</v>
      </c>
      <c r="YT3">
        <v>0</v>
      </c>
      <c r="YU3">
        <v>0</v>
      </c>
      <c r="YV3">
        <v>0</v>
      </c>
      <c r="YW3">
        <v>0</v>
      </c>
      <c r="YX3">
        <v>0</v>
      </c>
      <c r="YY3">
        <v>0</v>
      </c>
      <c r="YZ3">
        <v>0</v>
      </c>
      <c r="ZA3">
        <v>0</v>
      </c>
      <c r="ZB3">
        <v>0</v>
      </c>
      <c r="ZC3">
        <v>0</v>
      </c>
      <c r="ZD3">
        <v>0</v>
      </c>
      <c r="ZE3">
        <v>0</v>
      </c>
      <c r="ZF3">
        <v>0</v>
      </c>
      <c r="ZG3">
        <v>0</v>
      </c>
      <c r="ZH3">
        <v>0</v>
      </c>
      <c r="ZI3">
        <v>0</v>
      </c>
      <c r="ZJ3">
        <v>0</v>
      </c>
      <c r="ZK3">
        <v>0</v>
      </c>
      <c r="ZL3">
        <v>0</v>
      </c>
      <c r="ZM3">
        <v>0</v>
      </c>
      <c r="ZN3">
        <v>0</v>
      </c>
      <c r="ZO3">
        <v>0</v>
      </c>
      <c r="ZP3">
        <v>0</v>
      </c>
      <c r="ZQ3">
        <v>0</v>
      </c>
      <c r="ZR3">
        <v>0</v>
      </c>
      <c r="ZS3">
        <v>0</v>
      </c>
      <c r="ZT3">
        <v>0</v>
      </c>
      <c r="ZU3">
        <v>0</v>
      </c>
      <c r="ZV3">
        <v>0</v>
      </c>
      <c r="ZW3">
        <v>0</v>
      </c>
      <c r="ZX3">
        <v>0</v>
      </c>
      <c r="ZY3">
        <v>0</v>
      </c>
      <c r="ZZ3">
        <v>0</v>
      </c>
      <c r="AAA3">
        <v>0</v>
      </c>
      <c r="AAB3">
        <v>0</v>
      </c>
      <c r="AAC3">
        <v>0</v>
      </c>
      <c r="AAD3">
        <v>0</v>
      </c>
      <c r="AAE3">
        <v>0</v>
      </c>
      <c r="AAF3">
        <v>0</v>
      </c>
      <c r="AAG3">
        <v>0</v>
      </c>
      <c r="AAH3">
        <v>0</v>
      </c>
      <c r="AAI3">
        <v>0</v>
      </c>
      <c r="AAJ3">
        <v>0</v>
      </c>
      <c r="AAK3">
        <v>0</v>
      </c>
      <c r="AAL3">
        <v>0</v>
      </c>
      <c r="AAM3">
        <v>0</v>
      </c>
      <c r="AAN3">
        <v>0</v>
      </c>
      <c r="AAO3">
        <v>0</v>
      </c>
      <c r="AAP3">
        <v>0</v>
      </c>
      <c r="AAQ3">
        <v>0</v>
      </c>
      <c r="AAR3">
        <v>0</v>
      </c>
      <c r="AAS3">
        <v>0</v>
      </c>
      <c r="AAT3">
        <v>0</v>
      </c>
      <c r="AAU3">
        <v>0</v>
      </c>
      <c r="AAV3">
        <v>0</v>
      </c>
      <c r="AAW3">
        <v>0</v>
      </c>
      <c r="AAX3">
        <v>0</v>
      </c>
      <c r="AAY3">
        <v>0</v>
      </c>
      <c r="AAZ3">
        <v>0</v>
      </c>
      <c r="ABA3">
        <v>0</v>
      </c>
      <c r="ABB3">
        <v>0</v>
      </c>
      <c r="ABC3">
        <v>0</v>
      </c>
      <c r="ABD3">
        <v>0</v>
      </c>
      <c r="ABE3">
        <v>0</v>
      </c>
      <c r="ABF3">
        <v>0</v>
      </c>
      <c r="ABG3">
        <v>0</v>
      </c>
      <c r="ABH3">
        <v>0</v>
      </c>
      <c r="ABI3">
        <v>0</v>
      </c>
      <c r="ABJ3">
        <v>0</v>
      </c>
      <c r="ABK3">
        <v>0</v>
      </c>
      <c r="ABL3">
        <v>0</v>
      </c>
      <c r="ABM3">
        <v>0</v>
      </c>
      <c r="ABN3">
        <v>0</v>
      </c>
      <c r="ABO3">
        <v>0</v>
      </c>
      <c r="ABP3">
        <v>0</v>
      </c>
      <c r="ABQ3">
        <v>0</v>
      </c>
      <c r="ABR3">
        <v>0</v>
      </c>
      <c r="ABS3">
        <v>0</v>
      </c>
      <c r="ABT3">
        <v>0</v>
      </c>
      <c r="ABU3">
        <v>0</v>
      </c>
      <c r="ABV3">
        <v>0</v>
      </c>
      <c r="ABW3">
        <v>0</v>
      </c>
      <c r="ABX3">
        <v>0</v>
      </c>
      <c r="ABY3">
        <v>0</v>
      </c>
      <c r="ABZ3">
        <v>0</v>
      </c>
      <c r="ACA3">
        <v>0</v>
      </c>
      <c r="ACB3">
        <v>0</v>
      </c>
      <c r="ACC3">
        <v>0</v>
      </c>
      <c r="ACD3">
        <v>0</v>
      </c>
      <c r="ACE3">
        <v>0</v>
      </c>
      <c r="ACF3">
        <v>0</v>
      </c>
      <c r="ACG3">
        <v>0</v>
      </c>
      <c r="ACH3">
        <v>0</v>
      </c>
      <c r="ACI3">
        <v>0</v>
      </c>
      <c r="ACJ3">
        <v>0</v>
      </c>
      <c r="ACK3">
        <v>0</v>
      </c>
      <c r="ACL3">
        <v>0</v>
      </c>
      <c r="ACM3">
        <v>0</v>
      </c>
      <c r="ACN3">
        <v>0</v>
      </c>
      <c r="ACO3">
        <v>0</v>
      </c>
      <c r="ACP3">
        <v>0</v>
      </c>
      <c r="ACQ3">
        <v>0</v>
      </c>
      <c r="ACR3">
        <v>0</v>
      </c>
      <c r="ACS3">
        <v>0</v>
      </c>
      <c r="ACT3">
        <v>0</v>
      </c>
      <c r="ACU3">
        <v>0</v>
      </c>
      <c r="ACV3">
        <v>0</v>
      </c>
      <c r="ACW3">
        <v>0</v>
      </c>
      <c r="ACX3">
        <v>0</v>
      </c>
      <c r="ACY3">
        <v>0</v>
      </c>
      <c r="ACZ3">
        <v>0</v>
      </c>
      <c r="ADA3">
        <v>0</v>
      </c>
      <c r="ADB3">
        <v>0</v>
      </c>
      <c r="ADC3">
        <v>0</v>
      </c>
      <c r="ADD3">
        <v>0</v>
      </c>
      <c r="ADE3">
        <v>0</v>
      </c>
      <c r="ADF3">
        <v>0</v>
      </c>
      <c r="ADG3">
        <v>0</v>
      </c>
      <c r="ADH3">
        <v>0</v>
      </c>
      <c r="ADI3">
        <v>0</v>
      </c>
      <c r="ADJ3">
        <v>0</v>
      </c>
      <c r="ADK3">
        <v>0</v>
      </c>
      <c r="ADL3">
        <v>0</v>
      </c>
      <c r="ADM3">
        <v>0</v>
      </c>
      <c r="ADN3">
        <v>0</v>
      </c>
      <c r="ADO3">
        <v>0</v>
      </c>
      <c r="ADP3">
        <v>0</v>
      </c>
      <c r="ADQ3">
        <v>0</v>
      </c>
      <c r="ADR3">
        <v>0</v>
      </c>
      <c r="ADS3">
        <v>0</v>
      </c>
      <c r="ADT3">
        <v>0</v>
      </c>
      <c r="ADU3">
        <v>0</v>
      </c>
      <c r="ADV3">
        <v>0</v>
      </c>
      <c r="ADW3">
        <v>0</v>
      </c>
      <c r="ADX3">
        <v>0</v>
      </c>
      <c r="ADY3">
        <v>0</v>
      </c>
      <c r="ADZ3">
        <v>0</v>
      </c>
      <c r="AEA3">
        <v>0</v>
      </c>
      <c r="AEB3">
        <v>0</v>
      </c>
      <c r="AEC3">
        <v>0</v>
      </c>
      <c r="AED3">
        <v>0</v>
      </c>
      <c r="AEE3">
        <v>0</v>
      </c>
      <c r="AEF3">
        <v>0</v>
      </c>
      <c r="AEG3">
        <v>0</v>
      </c>
      <c r="AEH3">
        <v>0</v>
      </c>
      <c r="AEI3">
        <v>0</v>
      </c>
      <c r="AEJ3">
        <v>0</v>
      </c>
      <c r="AEK3">
        <v>0</v>
      </c>
      <c r="AEL3">
        <v>0</v>
      </c>
      <c r="AEM3">
        <v>0</v>
      </c>
      <c r="AEN3">
        <v>0</v>
      </c>
      <c r="AEO3">
        <v>0</v>
      </c>
      <c r="AEP3">
        <v>0</v>
      </c>
      <c r="AEQ3">
        <v>0</v>
      </c>
      <c r="AER3">
        <v>0</v>
      </c>
      <c r="AES3">
        <v>0</v>
      </c>
      <c r="AET3">
        <v>0</v>
      </c>
      <c r="AEU3">
        <v>0</v>
      </c>
      <c r="AEV3">
        <v>0</v>
      </c>
      <c r="AEW3">
        <v>0</v>
      </c>
      <c r="AEX3">
        <v>0</v>
      </c>
      <c r="AEY3">
        <v>0</v>
      </c>
      <c r="AEZ3">
        <v>0</v>
      </c>
      <c r="AFA3">
        <v>0</v>
      </c>
      <c r="AFB3">
        <v>0</v>
      </c>
      <c r="AFC3">
        <v>0</v>
      </c>
      <c r="AFD3">
        <v>0</v>
      </c>
      <c r="AFE3">
        <v>0</v>
      </c>
      <c r="AFF3">
        <v>0</v>
      </c>
      <c r="AFG3">
        <v>0</v>
      </c>
      <c r="AFH3">
        <v>0</v>
      </c>
      <c r="AFI3">
        <v>0</v>
      </c>
      <c r="AFJ3">
        <v>0</v>
      </c>
      <c r="AFK3">
        <v>0</v>
      </c>
      <c r="AFL3">
        <v>0</v>
      </c>
      <c r="AFM3">
        <v>0</v>
      </c>
      <c r="AFN3">
        <v>0</v>
      </c>
      <c r="AFO3">
        <v>0</v>
      </c>
      <c r="AFP3">
        <v>0</v>
      </c>
      <c r="AFQ3">
        <v>0</v>
      </c>
      <c r="AFR3">
        <v>0</v>
      </c>
      <c r="AFS3">
        <v>0</v>
      </c>
      <c r="AFT3">
        <v>0</v>
      </c>
      <c r="AFU3">
        <v>0</v>
      </c>
      <c r="AFV3">
        <v>0</v>
      </c>
      <c r="AFW3">
        <v>0</v>
      </c>
      <c r="AFX3">
        <v>0</v>
      </c>
      <c r="AFY3">
        <v>0</v>
      </c>
      <c r="AFZ3">
        <v>0</v>
      </c>
      <c r="AGA3">
        <v>0</v>
      </c>
      <c r="AGB3">
        <v>0</v>
      </c>
      <c r="AGC3">
        <v>0</v>
      </c>
      <c r="AGD3">
        <v>0</v>
      </c>
      <c r="AGE3">
        <v>0</v>
      </c>
      <c r="AGF3">
        <v>0</v>
      </c>
      <c r="AGG3">
        <v>0</v>
      </c>
      <c r="AGH3">
        <v>0</v>
      </c>
      <c r="AGI3">
        <v>0</v>
      </c>
      <c r="AGJ3">
        <v>0</v>
      </c>
      <c r="AGK3">
        <v>0</v>
      </c>
      <c r="AGL3">
        <v>0</v>
      </c>
      <c r="AGM3">
        <v>0</v>
      </c>
      <c r="AGN3">
        <v>0</v>
      </c>
      <c r="AGO3">
        <v>0</v>
      </c>
      <c r="AGP3">
        <v>0</v>
      </c>
      <c r="AGQ3">
        <v>0</v>
      </c>
      <c r="AGR3">
        <v>0</v>
      </c>
      <c r="AGS3">
        <v>0</v>
      </c>
      <c r="AGT3">
        <v>0</v>
      </c>
      <c r="AGU3">
        <v>0</v>
      </c>
      <c r="AGV3">
        <v>0</v>
      </c>
      <c r="AGW3">
        <v>0</v>
      </c>
      <c r="AGX3">
        <v>0</v>
      </c>
      <c r="AGY3">
        <v>0</v>
      </c>
      <c r="AGZ3">
        <v>0</v>
      </c>
      <c r="AHA3">
        <v>0</v>
      </c>
      <c r="AHB3">
        <v>0</v>
      </c>
      <c r="AHC3">
        <v>0</v>
      </c>
      <c r="AHD3">
        <v>0</v>
      </c>
      <c r="AHE3">
        <v>0</v>
      </c>
      <c r="AHF3">
        <v>0</v>
      </c>
      <c r="AHG3">
        <v>0</v>
      </c>
      <c r="AHH3">
        <v>0</v>
      </c>
      <c r="AHI3">
        <v>0</v>
      </c>
      <c r="AHJ3">
        <v>0</v>
      </c>
      <c r="AHK3">
        <v>0</v>
      </c>
      <c r="AHL3">
        <v>0</v>
      </c>
      <c r="AHM3">
        <v>0</v>
      </c>
      <c r="AHN3">
        <v>0</v>
      </c>
      <c r="AHO3">
        <v>0</v>
      </c>
      <c r="AHP3">
        <v>0</v>
      </c>
      <c r="AHQ3">
        <v>0</v>
      </c>
      <c r="AHR3">
        <v>0</v>
      </c>
      <c r="AHS3">
        <v>0</v>
      </c>
      <c r="AHT3">
        <v>0</v>
      </c>
      <c r="AHU3">
        <v>0</v>
      </c>
      <c r="AHV3">
        <v>0</v>
      </c>
      <c r="AHW3">
        <v>0</v>
      </c>
      <c r="AHX3">
        <v>0</v>
      </c>
      <c r="AHY3">
        <v>0</v>
      </c>
      <c r="AHZ3">
        <v>0</v>
      </c>
      <c r="AIA3">
        <v>0</v>
      </c>
      <c r="AIB3">
        <v>0</v>
      </c>
      <c r="AIC3">
        <v>0</v>
      </c>
      <c r="AID3">
        <v>0</v>
      </c>
      <c r="AIE3">
        <v>0</v>
      </c>
      <c r="AIF3">
        <v>0</v>
      </c>
      <c r="AIG3">
        <v>0</v>
      </c>
      <c r="AIH3">
        <v>0</v>
      </c>
      <c r="AII3">
        <v>0</v>
      </c>
      <c r="AIJ3">
        <v>0</v>
      </c>
      <c r="AIK3">
        <v>0</v>
      </c>
      <c r="AIL3">
        <v>0</v>
      </c>
      <c r="AIM3">
        <v>0</v>
      </c>
      <c r="AIN3">
        <v>0</v>
      </c>
      <c r="AIO3">
        <v>0</v>
      </c>
      <c r="AIP3">
        <v>0</v>
      </c>
      <c r="AIQ3">
        <v>0</v>
      </c>
      <c r="AIR3">
        <v>0</v>
      </c>
      <c r="AIS3">
        <v>0</v>
      </c>
      <c r="AIT3">
        <v>0</v>
      </c>
      <c r="AIU3">
        <v>0</v>
      </c>
      <c r="AIV3">
        <v>0</v>
      </c>
      <c r="AIW3">
        <v>0</v>
      </c>
      <c r="AIX3">
        <v>0</v>
      </c>
      <c r="AIY3">
        <v>0</v>
      </c>
      <c r="AIZ3">
        <v>0</v>
      </c>
      <c r="AJA3">
        <v>0</v>
      </c>
      <c r="AJB3">
        <v>0</v>
      </c>
      <c r="AJC3">
        <v>0</v>
      </c>
      <c r="AJD3">
        <v>0</v>
      </c>
      <c r="AJE3">
        <v>0</v>
      </c>
      <c r="AJF3">
        <v>0</v>
      </c>
      <c r="AJG3">
        <v>0</v>
      </c>
      <c r="AJH3">
        <v>0</v>
      </c>
      <c r="AJI3">
        <v>0</v>
      </c>
      <c r="AJJ3">
        <v>0</v>
      </c>
      <c r="AJK3">
        <v>0</v>
      </c>
      <c r="AJL3">
        <v>0</v>
      </c>
      <c r="AJM3">
        <v>0</v>
      </c>
      <c r="AJN3">
        <v>0</v>
      </c>
      <c r="AJO3">
        <v>0</v>
      </c>
      <c r="AJP3">
        <v>0</v>
      </c>
      <c r="AJQ3">
        <v>0</v>
      </c>
      <c r="AJR3">
        <v>0</v>
      </c>
      <c r="AJS3">
        <v>0</v>
      </c>
      <c r="AJT3">
        <v>0</v>
      </c>
      <c r="AJU3">
        <v>0</v>
      </c>
      <c r="AJV3">
        <v>0</v>
      </c>
      <c r="AJW3">
        <v>0</v>
      </c>
      <c r="AJX3">
        <v>0</v>
      </c>
      <c r="AJY3">
        <v>0</v>
      </c>
      <c r="AJZ3">
        <v>0</v>
      </c>
      <c r="AKA3">
        <v>0</v>
      </c>
      <c r="AKB3">
        <v>0</v>
      </c>
      <c r="AKC3">
        <v>0</v>
      </c>
      <c r="AKD3">
        <v>0</v>
      </c>
      <c r="AKE3">
        <v>0</v>
      </c>
      <c r="AKF3">
        <v>0</v>
      </c>
      <c r="AKG3">
        <v>0</v>
      </c>
      <c r="AKH3">
        <v>0</v>
      </c>
      <c r="AKI3">
        <v>0</v>
      </c>
      <c r="AKJ3">
        <v>0</v>
      </c>
      <c r="AKK3">
        <v>0</v>
      </c>
      <c r="AKL3">
        <v>0</v>
      </c>
      <c r="AKM3">
        <v>0</v>
      </c>
      <c r="AKN3">
        <v>0</v>
      </c>
      <c r="AKO3">
        <v>0</v>
      </c>
      <c r="AKP3">
        <v>0</v>
      </c>
      <c r="AKQ3">
        <v>0</v>
      </c>
      <c r="AKR3">
        <v>0</v>
      </c>
      <c r="AKS3">
        <v>0</v>
      </c>
      <c r="AKT3">
        <v>0</v>
      </c>
      <c r="AKU3">
        <v>0</v>
      </c>
      <c r="AKV3">
        <v>0</v>
      </c>
      <c r="AKW3">
        <v>0</v>
      </c>
      <c r="AKX3">
        <v>0</v>
      </c>
      <c r="AKY3">
        <v>0</v>
      </c>
      <c r="AKZ3">
        <v>0</v>
      </c>
      <c r="ALA3">
        <v>0</v>
      </c>
      <c r="ALB3">
        <v>0</v>
      </c>
      <c r="ALC3">
        <v>0</v>
      </c>
      <c r="ALD3">
        <v>0</v>
      </c>
      <c r="ALE3">
        <v>0</v>
      </c>
      <c r="ALF3">
        <v>0</v>
      </c>
      <c r="ALG3">
        <v>0</v>
      </c>
      <c r="ALH3">
        <v>0</v>
      </c>
      <c r="ALI3">
        <v>0</v>
      </c>
      <c r="ALJ3">
        <v>0</v>
      </c>
      <c r="ALK3">
        <v>0</v>
      </c>
      <c r="ALL3">
        <v>0</v>
      </c>
      <c r="ALM3">
        <v>0</v>
      </c>
    </row>
    <row r="4" spans="1:1001">
      <c r="A4" s="26"/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</v>
      </c>
      <c r="UN4">
        <v>0</v>
      </c>
      <c r="UO4">
        <v>0</v>
      </c>
      <c r="UP4">
        <v>0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0</v>
      </c>
      <c r="VB4">
        <v>0</v>
      </c>
      <c r="VC4">
        <v>0</v>
      </c>
      <c r="VD4">
        <v>0</v>
      </c>
      <c r="VE4">
        <v>0</v>
      </c>
      <c r="VF4">
        <v>0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0</v>
      </c>
      <c r="WF4">
        <v>0</v>
      </c>
      <c r="WG4">
        <v>0</v>
      </c>
      <c r="WH4">
        <v>0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</v>
      </c>
      <c r="XB4">
        <v>0</v>
      </c>
      <c r="XC4">
        <v>0</v>
      </c>
      <c r="XD4">
        <v>0</v>
      </c>
      <c r="XE4">
        <v>0</v>
      </c>
      <c r="XF4">
        <v>0</v>
      </c>
      <c r="XG4">
        <v>0</v>
      </c>
      <c r="XH4">
        <v>0</v>
      </c>
      <c r="XI4">
        <v>0</v>
      </c>
      <c r="XJ4">
        <v>0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  <c r="XQ4">
        <v>0</v>
      </c>
      <c r="XR4">
        <v>0</v>
      </c>
      <c r="XS4">
        <v>0</v>
      </c>
      <c r="XT4">
        <v>0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0</v>
      </c>
      <c r="YE4">
        <v>0</v>
      </c>
      <c r="YF4">
        <v>0</v>
      </c>
      <c r="YG4">
        <v>0</v>
      </c>
      <c r="YH4">
        <v>0</v>
      </c>
      <c r="YI4">
        <v>0</v>
      </c>
      <c r="YJ4">
        <v>0</v>
      </c>
      <c r="YK4">
        <v>0</v>
      </c>
      <c r="YL4">
        <v>0</v>
      </c>
      <c r="YM4">
        <v>0</v>
      </c>
      <c r="YN4">
        <v>0</v>
      </c>
      <c r="YO4">
        <v>0</v>
      </c>
      <c r="YP4">
        <v>0</v>
      </c>
      <c r="YQ4">
        <v>0</v>
      </c>
      <c r="YR4">
        <v>0</v>
      </c>
      <c r="YS4">
        <v>0</v>
      </c>
      <c r="YT4">
        <v>0</v>
      </c>
      <c r="YU4">
        <v>0</v>
      </c>
      <c r="YV4">
        <v>0</v>
      </c>
      <c r="YW4">
        <v>0</v>
      </c>
      <c r="YX4">
        <v>0</v>
      </c>
      <c r="YY4">
        <v>0</v>
      </c>
      <c r="YZ4">
        <v>0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0</v>
      </c>
      <c r="ZL4">
        <v>0</v>
      </c>
      <c r="ZM4">
        <v>0</v>
      </c>
      <c r="ZN4">
        <v>0</v>
      </c>
      <c r="ZO4">
        <v>0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0</v>
      </c>
      <c r="ZZ4">
        <v>0</v>
      </c>
      <c r="AAA4">
        <v>0</v>
      </c>
      <c r="AAB4">
        <v>0</v>
      </c>
      <c r="AAC4">
        <v>0</v>
      </c>
      <c r="AAD4">
        <v>0</v>
      </c>
      <c r="AAE4">
        <v>0</v>
      </c>
      <c r="AAF4">
        <v>0</v>
      </c>
      <c r="AAG4">
        <v>0</v>
      </c>
      <c r="AAH4">
        <v>0</v>
      </c>
      <c r="AAI4">
        <v>0</v>
      </c>
      <c r="AAJ4">
        <v>0</v>
      </c>
      <c r="AAK4">
        <v>0</v>
      </c>
      <c r="AAL4">
        <v>0</v>
      </c>
      <c r="AAM4">
        <v>0</v>
      </c>
      <c r="AAN4">
        <v>0</v>
      </c>
      <c r="AAO4">
        <v>0</v>
      </c>
      <c r="AAP4">
        <v>0</v>
      </c>
      <c r="AAQ4">
        <v>0</v>
      </c>
      <c r="AAR4">
        <v>0</v>
      </c>
      <c r="AAS4">
        <v>0</v>
      </c>
      <c r="AAT4">
        <v>0</v>
      </c>
      <c r="AAU4">
        <v>0</v>
      </c>
      <c r="AAV4">
        <v>0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0</v>
      </c>
      <c r="ABD4">
        <v>0</v>
      </c>
      <c r="ABE4">
        <v>0</v>
      </c>
      <c r="ABF4">
        <v>0</v>
      </c>
      <c r="ABG4">
        <v>0</v>
      </c>
      <c r="ABH4">
        <v>0</v>
      </c>
      <c r="ABI4">
        <v>0</v>
      </c>
      <c r="ABJ4">
        <v>0</v>
      </c>
      <c r="ABK4">
        <v>0</v>
      </c>
      <c r="ABL4">
        <v>0</v>
      </c>
      <c r="ABM4">
        <v>0</v>
      </c>
      <c r="ABN4">
        <v>0</v>
      </c>
      <c r="ABO4">
        <v>0</v>
      </c>
      <c r="ABP4">
        <v>0</v>
      </c>
      <c r="ABQ4">
        <v>0</v>
      </c>
      <c r="ABR4">
        <v>0</v>
      </c>
      <c r="ABS4">
        <v>0</v>
      </c>
      <c r="ABT4">
        <v>0</v>
      </c>
      <c r="ABU4">
        <v>0</v>
      </c>
      <c r="ABV4">
        <v>0</v>
      </c>
      <c r="ABW4">
        <v>0</v>
      </c>
      <c r="ABX4">
        <v>0</v>
      </c>
      <c r="ABY4">
        <v>0</v>
      </c>
      <c r="ABZ4">
        <v>0</v>
      </c>
      <c r="ACA4">
        <v>0</v>
      </c>
      <c r="ACB4">
        <v>0</v>
      </c>
      <c r="ACC4">
        <v>0</v>
      </c>
      <c r="ACD4">
        <v>0</v>
      </c>
      <c r="ACE4">
        <v>0</v>
      </c>
      <c r="ACF4">
        <v>0</v>
      </c>
      <c r="ACG4">
        <v>0</v>
      </c>
      <c r="ACH4">
        <v>0</v>
      </c>
      <c r="ACI4">
        <v>0</v>
      </c>
      <c r="ACJ4">
        <v>0</v>
      </c>
      <c r="ACK4">
        <v>0</v>
      </c>
      <c r="ACL4">
        <v>0</v>
      </c>
      <c r="ACM4">
        <v>0</v>
      </c>
      <c r="ACN4">
        <v>0</v>
      </c>
      <c r="ACO4">
        <v>0</v>
      </c>
      <c r="ACP4">
        <v>0</v>
      </c>
      <c r="ACQ4">
        <v>0</v>
      </c>
      <c r="ACR4">
        <v>0</v>
      </c>
      <c r="ACS4">
        <v>0</v>
      </c>
      <c r="ACT4">
        <v>0</v>
      </c>
      <c r="ACU4">
        <v>0</v>
      </c>
      <c r="ACV4">
        <v>0</v>
      </c>
      <c r="ACW4">
        <v>0</v>
      </c>
      <c r="ACX4">
        <v>0</v>
      </c>
      <c r="ACY4">
        <v>0</v>
      </c>
      <c r="ACZ4">
        <v>0</v>
      </c>
      <c r="ADA4">
        <v>0</v>
      </c>
      <c r="ADB4">
        <v>0</v>
      </c>
      <c r="ADC4">
        <v>0</v>
      </c>
      <c r="ADD4">
        <v>0</v>
      </c>
      <c r="ADE4">
        <v>0</v>
      </c>
      <c r="ADF4">
        <v>0</v>
      </c>
      <c r="ADG4">
        <v>0</v>
      </c>
      <c r="ADH4">
        <v>0</v>
      </c>
      <c r="ADI4">
        <v>0</v>
      </c>
      <c r="ADJ4">
        <v>0</v>
      </c>
      <c r="ADK4">
        <v>0</v>
      </c>
      <c r="ADL4">
        <v>0</v>
      </c>
      <c r="ADM4">
        <v>0</v>
      </c>
      <c r="ADN4">
        <v>0</v>
      </c>
      <c r="ADO4">
        <v>0</v>
      </c>
      <c r="ADP4">
        <v>0</v>
      </c>
      <c r="ADQ4">
        <v>0</v>
      </c>
      <c r="ADR4">
        <v>0</v>
      </c>
      <c r="ADS4">
        <v>0</v>
      </c>
      <c r="ADT4">
        <v>0</v>
      </c>
      <c r="ADU4">
        <v>0</v>
      </c>
      <c r="ADV4">
        <v>0</v>
      </c>
      <c r="ADW4">
        <v>0</v>
      </c>
      <c r="ADX4">
        <v>0</v>
      </c>
      <c r="ADY4">
        <v>0</v>
      </c>
      <c r="ADZ4">
        <v>0</v>
      </c>
      <c r="AEA4">
        <v>0</v>
      </c>
      <c r="AEB4">
        <v>0</v>
      </c>
      <c r="AEC4">
        <v>0</v>
      </c>
      <c r="AED4">
        <v>0</v>
      </c>
      <c r="AEE4">
        <v>0</v>
      </c>
      <c r="AEF4">
        <v>0</v>
      </c>
      <c r="AEG4">
        <v>0</v>
      </c>
      <c r="AEH4">
        <v>0</v>
      </c>
      <c r="AEI4">
        <v>0</v>
      </c>
      <c r="AEJ4">
        <v>0</v>
      </c>
      <c r="AEK4">
        <v>0</v>
      </c>
      <c r="AEL4">
        <v>0</v>
      </c>
      <c r="AEM4">
        <v>0</v>
      </c>
      <c r="AEN4">
        <v>0</v>
      </c>
      <c r="AEO4">
        <v>0</v>
      </c>
      <c r="AEP4">
        <v>0</v>
      </c>
      <c r="AEQ4">
        <v>0</v>
      </c>
      <c r="AER4">
        <v>0</v>
      </c>
      <c r="AES4">
        <v>0</v>
      </c>
      <c r="AET4">
        <v>0</v>
      </c>
      <c r="AEU4">
        <v>0</v>
      </c>
      <c r="AEV4">
        <v>0</v>
      </c>
      <c r="AEW4">
        <v>0</v>
      </c>
      <c r="AEX4">
        <v>0</v>
      </c>
      <c r="AEY4">
        <v>0</v>
      </c>
      <c r="AEZ4">
        <v>0</v>
      </c>
      <c r="AFA4">
        <v>0</v>
      </c>
      <c r="AFB4">
        <v>0</v>
      </c>
      <c r="AFC4">
        <v>0</v>
      </c>
      <c r="AFD4">
        <v>0</v>
      </c>
      <c r="AFE4">
        <v>0</v>
      </c>
      <c r="AFF4">
        <v>0</v>
      </c>
      <c r="AFG4">
        <v>0</v>
      </c>
      <c r="AFH4">
        <v>0</v>
      </c>
      <c r="AFI4">
        <v>0</v>
      </c>
      <c r="AFJ4">
        <v>0</v>
      </c>
      <c r="AFK4">
        <v>0</v>
      </c>
      <c r="AFL4">
        <v>0</v>
      </c>
      <c r="AFM4">
        <v>0</v>
      </c>
      <c r="AFN4">
        <v>0</v>
      </c>
      <c r="AFO4">
        <v>0</v>
      </c>
      <c r="AFP4">
        <v>0</v>
      </c>
      <c r="AFQ4">
        <v>0</v>
      </c>
      <c r="AFR4">
        <v>0</v>
      </c>
      <c r="AFS4">
        <v>0</v>
      </c>
      <c r="AFT4">
        <v>0</v>
      </c>
      <c r="AFU4">
        <v>0</v>
      </c>
      <c r="AFV4">
        <v>0</v>
      </c>
      <c r="AFW4">
        <v>0</v>
      </c>
      <c r="AFX4">
        <v>0</v>
      </c>
      <c r="AFY4">
        <v>0</v>
      </c>
      <c r="AFZ4">
        <v>0</v>
      </c>
      <c r="AGA4">
        <v>0</v>
      </c>
      <c r="AGB4">
        <v>0</v>
      </c>
      <c r="AGC4">
        <v>0</v>
      </c>
      <c r="AGD4">
        <v>0</v>
      </c>
      <c r="AGE4">
        <v>0</v>
      </c>
      <c r="AGF4">
        <v>0</v>
      </c>
      <c r="AGG4">
        <v>0</v>
      </c>
      <c r="AGH4">
        <v>0</v>
      </c>
      <c r="AGI4">
        <v>0</v>
      </c>
      <c r="AGJ4">
        <v>0</v>
      </c>
      <c r="AGK4">
        <v>0</v>
      </c>
      <c r="AGL4">
        <v>0</v>
      </c>
      <c r="AGM4">
        <v>0</v>
      </c>
      <c r="AGN4">
        <v>0</v>
      </c>
      <c r="AGO4">
        <v>0</v>
      </c>
      <c r="AGP4">
        <v>0</v>
      </c>
      <c r="AGQ4">
        <v>0</v>
      </c>
      <c r="AGR4">
        <v>0</v>
      </c>
      <c r="AGS4">
        <v>0</v>
      </c>
      <c r="AGT4">
        <v>0</v>
      </c>
      <c r="AGU4">
        <v>0</v>
      </c>
      <c r="AGV4">
        <v>0</v>
      </c>
      <c r="AGW4">
        <v>0</v>
      </c>
      <c r="AGX4">
        <v>0</v>
      </c>
      <c r="AGY4">
        <v>0</v>
      </c>
      <c r="AGZ4">
        <v>0</v>
      </c>
      <c r="AHA4">
        <v>0</v>
      </c>
      <c r="AHB4">
        <v>0</v>
      </c>
      <c r="AHC4">
        <v>0</v>
      </c>
      <c r="AHD4">
        <v>0</v>
      </c>
      <c r="AHE4">
        <v>0</v>
      </c>
      <c r="AHF4">
        <v>0</v>
      </c>
      <c r="AHG4">
        <v>0</v>
      </c>
      <c r="AHH4">
        <v>0</v>
      </c>
      <c r="AHI4">
        <v>0</v>
      </c>
      <c r="AHJ4">
        <v>0</v>
      </c>
      <c r="AHK4">
        <v>0</v>
      </c>
      <c r="AHL4">
        <v>0</v>
      </c>
      <c r="AHM4">
        <v>0</v>
      </c>
      <c r="AHN4">
        <v>0</v>
      </c>
      <c r="AHO4">
        <v>0</v>
      </c>
      <c r="AHP4">
        <v>0</v>
      </c>
      <c r="AHQ4">
        <v>0</v>
      </c>
      <c r="AHR4">
        <v>0</v>
      </c>
      <c r="AHS4">
        <v>0</v>
      </c>
      <c r="AHT4">
        <v>0</v>
      </c>
      <c r="AHU4">
        <v>0</v>
      </c>
      <c r="AHV4">
        <v>0</v>
      </c>
      <c r="AHW4">
        <v>0</v>
      </c>
      <c r="AHX4">
        <v>0</v>
      </c>
      <c r="AHY4">
        <v>0</v>
      </c>
      <c r="AHZ4">
        <v>0</v>
      </c>
      <c r="AIA4">
        <v>0</v>
      </c>
      <c r="AIB4">
        <v>0</v>
      </c>
      <c r="AIC4">
        <v>0</v>
      </c>
      <c r="AID4">
        <v>0</v>
      </c>
      <c r="AIE4">
        <v>0</v>
      </c>
      <c r="AIF4">
        <v>0</v>
      </c>
      <c r="AIG4">
        <v>0</v>
      </c>
      <c r="AIH4">
        <v>0</v>
      </c>
      <c r="AII4">
        <v>0</v>
      </c>
      <c r="AIJ4">
        <v>0</v>
      </c>
      <c r="AIK4">
        <v>0</v>
      </c>
      <c r="AIL4">
        <v>0</v>
      </c>
      <c r="AIM4">
        <v>0</v>
      </c>
      <c r="AIN4">
        <v>0</v>
      </c>
      <c r="AIO4">
        <v>0</v>
      </c>
      <c r="AIP4">
        <v>0</v>
      </c>
      <c r="AIQ4">
        <v>0</v>
      </c>
      <c r="AIR4">
        <v>0</v>
      </c>
      <c r="AIS4">
        <v>0</v>
      </c>
      <c r="AIT4">
        <v>0</v>
      </c>
      <c r="AIU4">
        <v>0</v>
      </c>
      <c r="AIV4">
        <v>0</v>
      </c>
      <c r="AIW4">
        <v>0</v>
      </c>
      <c r="AIX4">
        <v>0</v>
      </c>
      <c r="AIY4">
        <v>0</v>
      </c>
      <c r="AIZ4">
        <v>0</v>
      </c>
      <c r="AJA4">
        <v>0</v>
      </c>
      <c r="AJB4">
        <v>0</v>
      </c>
      <c r="AJC4">
        <v>0</v>
      </c>
      <c r="AJD4">
        <v>0</v>
      </c>
      <c r="AJE4">
        <v>0</v>
      </c>
      <c r="AJF4">
        <v>0</v>
      </c>
      <c r="AJG4">
        <v>0</v>
      </c>
      <c r="AJH4">
        <v>0</v>
      </c>
      <c r="AJI4">
        <v>0</v>
      </c>
      <c r="AJJ4">
        <v>0</v>
      </c>
      <c r="AJK4">
        <v>0</v>
      </c>
      <c r="AJL4">
        <v>0</v>
      </c>
      <c r="AJM4">
        <v>0</v>
      </c>
      <c r="AJN4">
        <v>0</v>
      </c>
      <c r="AJO4">
        <v>0</v>
      </c>
      <c r="AJP4">
        <v>0</v>
      </c>
      <c r="AJQ4">
        <v>0</v>
      </c>
      <c r="AJR4">
        <v>0</v>
      </c>
      <c r="AJS4">
        <v>0</v>
      </c>
      <c r="AJT4">
        <v>0</v>
      </c>
      <c r="AJU4">
        <v>0</v>
      </c>
      <c r="AJV4">
        <v>0</v>
      </c>
      <c r="AJW4">
        <v>0</v>
      </c>
      <c r="AJX4">
        <v>0</v>
      </c>
      <c r="AJY4">
        <v>0</v>
      </c>
      <c r="AJZ4">
        <v>0</v>
      </c>
      <c r="AKA4">
        <v>0</v>
      </c>
      <c r="AKB4">
        <v>0</v>
      </c>
      <c r="AKC4">
        <v>0</v>
      </c>
      <c r="AKD4">
        <v>0</v>
      </c>
      <c r="AKE4">
        <v>0</v>
      </c>
      <c r="AKF4">
        <v>0</v>
      </c>
      <c r="AKG4">
        <v>0</v>
      </c>
      <c r="AKH4">
        <v>0</v>
      </c>
      <c r="AKI4">
        <v>0</v>
      </c>
      <c r="AKJ4">
        <v>0</v>
      </c>
      <c r="AKK4">
        <v>0</v>
      </c>
      <c r="AKL4">
        <v>0</v>
      </c>
      <c r="AKM4">
        <v>0</v>
      </c>
      <c r="AKN4">
        <v>0</v>
      </c>
      <c r="AKO4">
        <v>0</v>
      </c>
      <c r="AKP4">
        <v>0</v>
      </c>
      <c r="AKQ4">
        <v>0</v>
      </c>
      <c r="AKR4">
        <v>0</v>
      </c>
      <c r="AKS4">
        <v>0</v>
      </c>
      <c r="AKT4">
        <v>0</v>
      </c>
      <c r="AKU4">
        <v>0</v>
      </c>
      <c r="AKV4">
        <v>0</v>
      </c>
      <c r="AKW4">
        <v>0</v>
      </c>
      <c r="AKX4">
        <v>0</v>
      </c>
      <c r="AKY4">
        <v>0</v>
      </c>
      <c r="AKZ4">
        <v>0</v>
      </c>
      <c r="ALA4">
        <v>0</v>
      </c>
      <c r="ALB4">
        <v>0</v>
      </c>
      <c r="ALC4">
        <v>0</v>
      </c>
      <c r="ALD4">
        <v>0</v>
      </c>
      <c r="ALE4">
        <v>0</v>
      </c>
      <c r="ALF4">
        <v>0</v>
      </c>
      <c r="ALG4">
        <v>0</v>
      </c>
      <c r="ALH4">
        <v>0</v>
      </c>
      <c r="ALI4">
        <v>0</v>
      </c>
      <c r="ALJ4">
        <v>0</v>
      </c>
      <c r="ALK4">
        <v>0</v>
      </c>
      <c r="ALL4">
        <v>0</v>
      </c>
      <c r="ALM4">
        <v>0</v>
      </c>
    </row>
    <row r="5" spans="1:1001">
      <c r="A5" s="26"/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</row>
    <row r="6" spans="1:1001">
      <c r="A6" s="26"/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  <c r="ALM6">
        <v>0</v>
      </c>
    </row>
    <row r="7" spans="1:1001">
      <c r="A7" s="26"/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</row>
    <row r="8" spans="1:1001">
      <c r="A8" s="26"/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</row>
    <row r="9" spans="1:1001">
      <c r="A9" s="26"/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  <c r="ADG9">
        <v>0</v>
      </c>
      <c r="ADH9">
        <v>0</v>
      </c>
      <c r="ADI9">
        <v>0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0</v>
      </c>
      <c r="AEB9">
        <v>0</v>
      </c>
      <c r="AEC9">
        <v>0</v>
      </c>
      <c r="AED9">
        <v>0</v>
      </c>
      <c r="AEE9">
        <v>0</v>
      </c>
      <c r="AEF9">
        <v>0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0</v>
      </c>
      <c r="AEQ9">
        <v>0</v>
      </c>
      <c r="AER9">
        <v>0</v>
      </c>
      <c r="AES9">
        <v>0</v>
      </c>
      <c r="AET9">
        <v>0</v>
      </c>
      <c r="AEU9">
        <v>0</v>
      </c>
      <c r="AEV9">
        <v>0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0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0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0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0</v>
      </c>
      <c r="AGD9">
        <v>0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0</v>
      </c>
      <c r="AGN9">
        <v>0</v>
      </c>
      <c r="AGO9">
        <v>0</v>
      </c>
      <c r="AGP9">
        <v>0</v>
      </c>
      <c r="AGQ9">
        <v>0</v>
      </c>
      <c r="AGR9">
        <v>0</v>
      </c>
      <c r="AGS9">
        <v>0</v>
      </c>
      <c r="AGT9">
        <v>0</v>
      </c>
      <c r="AGU9">
        <v>0</v>
      </c>
      <c r="AGV9">
        <v>0</v>
      </c>
      <c r="AGW9">
        <v>0</v>
      </c>
      <c r="AGX9">
        <v>0</v>
      </c>
      <c r="AGY9">
        <v>0</v>
      </c>
      <c r="AGZ9">
        <v>0</v>
      </c>
      <c r="AHA9">
        <v>0</v>
      </c>
      <c r="AHB9">
        <v>0</v>
      </c>
      <c r="AHC9">
        <v>0</v>
      </c>
      <c r="AHD9">
        <v>0</v>
      </c>
      <c r="AHE9">
        <v>0</v>
      </c>
      <c r="AHF9">
        <v>0</v>
      </c>
      <c r="AHG9">
        <v>0</v>
      </c>
      <c r="AHH9">
        <v>0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0</v>
      </c>
      <c r="AHP9">
        <v>0</v>
      </c>
      <c r="AHQ9">
        <v>0</v>
      </c>
      <c r="AHR9">
        <v>0</v>
      </c>
      <c r="AHS9">
        <v>0</v>
      </c>
      <c r="AHT9">
        <v>0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0</v>
      </c>
      <c r="AIF9">
        <v>0</v>
      </c>
      <c r="AIG9">
        <v>0</v>
      </c>
      <c r="AIH9">
        <v>0</v>
      </c>
      <c r="AII9">
        <v>0</v>
      </c>
      <c r="AIJ9">
        <v>0</v>
      </c>
      <c r="AIK9">
        <v>0</v>
      </c>
      <c r="AIL9">
        <v>0</v>
      </c>
      <c r="AIM9">
        <v>0</v>
      </c>
      <c r="AIN9">
        <v>0</v>
      </c>
      <c r="AIO9">
        <v>0</v>
      </c>
      <c r="AIP9">
        <v>0</v>
      </c>
      <c r="AIQ9">
        <v>0</v>
      </c>
      <c r="AIR9">
        <v>0</v>
      </c>
      <c r="AIS9">
        <v>0</v>
      </c>
      <c r="AIT9">
        <v>0</v>
      </c>
      <c r="AIU9">
        <v>0</v>
      </c>
      <c r="AIV9">
        <v>0</v>
      </c>
      <c r="AIW9">
        <v>0</v>
      </c>
      <c r="AIX9">
        <v>0</v>
      </c>
      <c r="AIY9">
        <v>0</v>
      </c>
      <c r="AIZ9">
        <v>0</v>
      </c>
      <c r="AJA9">
        <v>0</v>
      </c>
      <c r="AJB9">
        <v>0</v>
      </c>
      <c r="AJC9">
        <v>0</v>
      </c>
      <c r="AJD9">
        <v>0</v>
      </c>
      <c r="AJE9">
        <v>0</v>
      </c>
      <c r="AJF9">
        <v>0</v>
      </c>
      <c r="AJG9">
        <v>0</v>
      </c>
      <c r="AJH9">
        <v>0</v>
      </c>
      <c r="AJI9">
        <v>0</v>
      </c>
      <c r="AJJ9">
        <v>0</v>
      </c>
      <c r="AJK9">
        <v>0</v>
      </c>
      <c r="AJL9">
        <v>0</v>
      </c>
      <c r="AJM9">
        <v>0</v>
      </c>
      <c r="AJN9">
        <v>0</v>
      </c>
      <c r="AJO9">
        <v>0</v>
      </c>
      <c r="AJP9">
        <v>0</v>
      </c>
      <c r="AJQ9">
        <v>0</v>
      </c>
      <c r="AJR9">
        <v>0</v>
      </c>
      <c r="AJS9">
        <v>0</v>
      </c>
      <c r="AJT9">
        <v>0</v>
      </c>
      <c r="AJU9">
        <v>0</v>
      </c>
      <c r="AJV9">
        <v>0</v>
      </c>
      <c r="AJW9">
        <v>0</v>
      </c>
      <c r="AJX9">
        <v>0</v>
      </c>
      <c r="AJY9">
        <v>0</v>
      </c>
      <c r="AJZ9">
        <v>0</v>
      </c>
      <c r="AKA9">
        <v>0</v>
      </c>
      <c r="AKB9">
        <v>0</v>
      </c>
      <c r="AKC9">
        <v>0</v>
      </c>
      <c r="AKD9">
        <v>0</v>
      </c>
      <c r="AKE9">
        <v>0</v>
      </c>
      <c r="AKF9">
        <v>0</v>
      </c>
      <c r="AKG9">
        <v>0</v>
      </c>
      <c r="AKH9">
        <v>0</v>
      </c>
      <c r="AKI9">
        <v>0</v>
      </c>
      <c r="AKJ9">
        <v>0</v>
      </c>
      <c r="AKK9">
        <v>0</v>
      </c>
      <c r="AKL9">
        <v>0</v>
      </c>
      <c r="AKM9">
        <v>0</v>
      </c>
      <c r="AKN9">
        <v>0</v>
      </c>
      <c r="AKO9">
        <v>0</v>
      </c>
      <c r="AKP9">
        <v>0</v>
      </c>
      <c r="AKQ9">
        <v>0</v>
      </c>
      <c r="AKR9">
        <v>0</v>
      </c>
      <c r="AKS9">
        <v>0</v>
      </c>
      <c r="AKT9">
        <v>0</v>
      </c>
      <c r="AKU9">
        <v>0</v>
      </c>
      <c r="AKV9">
        <v>0</v>
      </c>
      <c r="AKW9">
        <v>0</v>
      </c>
      <c r="AKX9">
        <v>0</v>
      </c>
      <c r="AKY9">
        <v>0</v>
      </c>
      <c r="AKZ9">
        <v>0</v>
      </c>
      <c r="ALA9">
        <v>0</v>
      </c>
      <c r="ALB9">
        <v>0</v>
      </c>
      <c r="ALC9">
        <v>0</v>
      </c>
      <c r="ALD9">
        <v>0</v>
      </c>
      <c r="ALE9">
        <v>0</v>
      </c>
      <c r="ALF9">
        <v>0</v>
      </c>
      <c r="ALG9">
        <v>0</v>
      </c>
      <c r="ALH9">
        <v>0</v>
      </c>
      <c r="ALI9">
        <v>0</v>
      </c>
      <c r="ALJ9">
        <v>0</v>
      </c>
      <c r="ALK9">
        <v>0</v>
      </c>
      <c r="ALL9">
        <v>0</v>
      </c>
      <c r="ALM9">
        <v>0</v>
      </c>
    </row>
    <row r="10" spans="1:1001">
      <c r="A10" s="26"/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0</v>
      </c>
      <c r="OU10">
        <v>0</v>
      </c>
      <c r="OV10">
        <v>0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0</v>
      </c>
      <c r="RW10">
        <v>0</v>
      </c>
      <c r="RX10">
        <v>0</v>
      </c>
      <c r="RY10">
        <v>0</v>
      </c>
      <c r="RZ10">
        <v>0</v>
      </c>
      <c r="SA10">
        <v>0</v>
      </c>
      <c r="SB10">
        <v>0</v>
      </c>
      <c r="SC10">
        <v>0</v>
      </c>
      <c r="SD10">
        <v>0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0</v>
      </c>
      <c r="UR10">
        <v>0</v>
      </c>
      <c r="US10">
        <v>0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0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0</v>
      </c>
      <c r="VH10">
        <v>0</v>
      </c>
      <c r="VI10">
        <v>0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</v>
      </c>
      <c r="XP10">
        <v>0</v>
      </c>
      <c r="XQ10">
        <v>0</v>
      </c>
      <c r="XR10">
        <v>0</v>
      </c>
      <c r="XS10">
        <v>0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0</v>
      </c>
      <c r="YF10">
        <v>0</v>
      </c>
      <c r="YG10">
        <v>0</v>
      </c>
      <c r="YH10">
        <v>0</v>
      </c>
      <c r="YI10">
        <v>0</v>
      </c>
      <c r="YJ10">
        <v>0</v>
      </c>
      <c r="YK10">
        <v>0</v>
      </c>
      <c r="YL10">
        <v>0</v>
      </c>
      <c r="YM10">
        <v>0</v>
      </c>
      <c r="YN10">
        <v>0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0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0</v>
      </c>
      <c r="ABF10">
        <v>0</v>
      </c>
      <c r="ABG10">
        <v>0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  <c r="ADG10">
        <v>0</v>
      </c>
      <c r="ADH10">
        <v>0</v>
      </c>
      <c r="ADI10">
        <v>0</v>
      </c>
      <c r="ADJ10">
        <v>0</v>
      </c>
      <c r="ADK10">
        <v>0</v>
      </c>
      <c r="ADL10">
        <v>0</v>
      </c>
      <c r="ADM10">
        <v>0</v>
      </c>
      <c r="ADN10">
        <v>0</v>
      </c>
      <c r="ADO10">
        <v>0</v>
      </c>
      <c r="ADP10">
        <v>0</v>
      </c>
      <c r="ADQ10">
        <v>0</v>
      </c>
      <c r="ADR10">
        <v>0</v>
      </c>
      <c r="ADS10">
        <v>0</v>
      </c>
      <c r="ADT10">
        <v>0</v>
      </c>
      <c r="ADU10">
        <v>0</v>
      </c>
      <c r="ADV10">
        <v>0</v>
      </c>
      <c r="ADW10">
        <v>0</v>
      </c>
      <c r="ADX10">
        <v>0</v>
      </c>
      <c r="ADY10">
        <v>0</v>
      </c>
      <c r="ADZ10">
        <v>0</v>
      </c>
      <c r="AEA10">
        <v>0</v>
      </c>
      <c r="AEB10">
        <v>0</v>
      </c>
      <c r="AEC10">
        <v>0</v>
      </c>
      <c r="AED10">
        <v>0</v>
      </c>
      <c r="AEE10">
        <v>0</v>
      </c>
      <c r="AEF10">
        <v>0</v>
      </c>
      <c r="AEG10">
        <v>0</v>
      </c>
      <c r="AEH10">
        <v>0</v>
      </c>
      <c r="AEI10">
        <v>0</v>
      </c>
      <c r="AEJ10">
        <v>0</v>
      </c>
      <c r="AEK10">
        <v>0</v>
      </c>
      <c r="AEL10">
        <v>0</v>
      </c>
      <c r="AEM10">
        <v>0</v>
      </c>
      <c r="AEN10">
        <v>0</v>
      </c>
      <c r="AEO10">
        <v>0</v>
      </c>
      <c r="AEP10">
        <v>0</v>
      </c>
      <c r="AEQ10">
        <v>0</v>
      </c>
      <c r="AER10">
        <v>0</v>
      </c>
      <c r="AES10">
        <v>0</v>
      </c>
      <c r="AET10">
        <v>0</v>
      </c>
      <c r="AEU10">
        <v>0</v>
      </c>
      <c r="AEV10">
        <v>0</v>
      </c>
      <c r="AEW10">
        <v>0</v>
      </c>
      <c r="AEX10">
        <v>0</v>
      </c>
      <c r="AEY10">
        <v>0</v>
      </c>
      <c r="AEZ10">
        <v>0</v>
      </c>
      <c r="AFA10">
        <v>0</v>
      </c>
      <c r="AFB10">
        <v>0</v>
      </c>
      <c r="AFC10">
        <v>0</v>
      </c>
      <c r="AFD10">
        <v>0</v>
      </c>
      <c r="AFE10">
        <v>0</v>
      </c>
      <c r="AFF10">
        <v>0</v>
      </c>
      <c r="AFG10">
        <v>0</v>
      </c>
      <c r="AFH10">
        <v>0</v>
      </c>
      <c r="AFI10">
        <v>0</v>
      </c>
      <c r="AFJ10">
        <v>0</v>
      </c>
      <c r="AFK10">
        <v>0</v>
      </c>
      <c r="AFL10">
        <v>0</v>
      </c>
      <c r="AFM10">
        <v>0</v>
      </c>
      <c r="AFN10">
        <v>0</v>
      </c>
      <c r="AFO10">
        <v>0</v>
      </c>
      <c r="AFP10">
        <v>0</v>
      </c>
      <c r="AFQ10">
        <v>0</v>
      </c>
      <c r="AFR10">
        <v>0</v>
      </c>
      <c r="AFS10">
        <v>0</v>
      </c>
      <c r="AFT10">
        <v>0</v>
      </c>
      <c r="AFU10">
        <v>0</v>
      </c>
      <c r="AFV10">
        <v>0</v>
      </c>
      <c r="AFW10">
        <v>0</v>
      </c>
      <c r="AFX10">
        <v>0</v>
      </c>
      <c r="AFY10">
        <v>0</v>
      </c>
      <c r="AFZ10">
        <v>0</v>
      </c>
      <c r="AGA10">
        <v>0</v>
      </c>
      <c r="AGB10">
        <v>0</v>
      </c>
      <c r="AGC10">
        <v>0</v>
      </c>
      <c r="AGD10">
        <v>0</v>
      </c>
      <c r="AGE10">
        <v>0</v>
      </c>
      <c r="AGF10">
        <v>0</v>
      </c>
      <c r="AGG10">
        <v>0</v>
      </c>
      <c r="AGH10">
        <v>0</v>
      </c>
      <c r="AGI10">
        <v>0</v>
      </c>
      <c r="AGJ10">
        <v>0</v>
      </c>
      <c r="AGK10">
        <v>0</v>
      </c>
      <c r="AGL10">
        <v>0</v>
      </c>
      <c r="AGM10">
        <v>0</v>
      </c>
      <c r="AGN10">
        <v>0</v>
      </c>
      <c r="AGO10">
        <v>0</v>
      </c>
      <c r="AGP10">
        <v>0</v>
      </c>
      <c r="AGQ10">
        <v>0</v>
      </c>
      <c r="AGR10">
        <v>0</v>
      </c>
      <c r="AGS10">
        <v>0</v>
      </c>
      <c r="AGT10">
        <v>0</v>
      </c>
      <c r="AGU10">
        <v>0</v>
      </c>
      <c r="AGV10">
        <v>0</v>
      </c>
      <c r="AGW10">
        <v>0</v>
      </c>
      <c r="AGX10">
        <v>0</v>
      </c>
      <c r="AGY10">
        <v>0</v>
      </c>
      <c r="AGZ10">
        <v>0</v>
      </c>
      <c r="AHA10">
        <v>0</v>
      </c>
      <c r="AHB10">
        <v>0</v>
      </c>
      <c r="AHC10">
        <v>0</v>
      </c>
      <c r="AHD10">
        <v>0</v>
      </c>
      <c r="AHE10">
        <v>0</v>
      </c>
      <c r="AHF10">
        <v>0</v>
      </c>
      <c r="AHG10">
        <v>0</v>
      </c>
      <c r="AHH10">
        <v>0</v>
      </c>
      <c r="AHI10">
        <v>0</v>
      </c>
      <c r="AHJ10">
        <v>0</v>
      </c>
      <c r="AHK10">
        <v>0</v>
      </c>
      <c r="AHL10">
        <v>0</v>
      </c>
      <c r="AHM10">
        <v>0</v>
      </c>
      <c r="AHN10">
        <v>0</v>
      </c>
      <c r="AHO10">
        <v>0</v>
      </c>
      <c r="AHP10">
        <v>0</v>
      </c>
      <c r="AHQ10">
        <v>0</v>
      </c>
      <c r="AHR10">
        <v>0</v>
      </c>
      <c r="AHS10">
        <v>0</v>
      </c>
      <c r="AHT10">
        <v>0</v>
      </c>
      <c r="AHU10">
        <v>0</v>
      </c>
      <c r="AHV10">
        <v>0</v>
      </c>
      <c r="AHW10">
        <v>0</v>
      </c>
      <c r="AHX10">
        <v>0</v>
      </c>
      <c r="AHY10">
        <v>0</v>
      </c>
      <c r="AHZ10">
        <v>0</v>
      </c>
      <c r="AIA10">
        <v>0</v>
      </c>
      <c r="AIB10">
        <v>0</v>
      </c>
      <c r="AIC10">
        <v>0</v>
      </c>
      <c r="AID10">
        <v>0</v>
      </c>
      <c r="AIE10">
        <v>0</v>
      </c>
      <c r="AIF10">
        <v>0</v>
      </c>
      <c r="AIG10">
        <v>0</v>
      </c>
      <c r="AIH10">
        <v>0</v>
      </c>
      <c r="AII10">
        <v>0</v>
      </c>
      <c r="AIJ10">
        <v>0</v>
      </c>
      <c r="AIK10">
        <v>0</v>
      </c>
      <c r="AIL10">
        <v>0</v>
      </c>
      <c r="AIM10">
        <v>0</v>
      </c>
      <c r="AIN10">
        <v>0</v>
      </c>
      <c r="AIO10">
        <v>0</v>
      </c>
      <c r="AIP10">
        <v>0</v>
      </c>
      <c r="AIQ10">
        <v>0</v>
      </c>
      <c r="AIR10">
        <v>0</v>
      </c>
      <c r="AIS10">
        <v>0</v>
      </c>
      <c r="AIT10">
        <v>0</v>
      </c>
      <c r="AIU10">
        <v>0</v>
      </c>
      <c r="AIV10">
        <v>0</v>
      </c>
      <c r="AIW10">
        <v>0</v>
      </c>
      <c r="AIX10">
        <v>0</v>
      </c>
      <c r="AIY10">
        <v>0</v>
      </c>
      <c r="AIZ10">
        <v>0</v>
      </c>
      <c r="AJA10">
        <v>0</v>
      </c>
      <c r="AJB10">
        <v>0</v>
      </c>
      <c r="AJC10">
        <v>0</v>
      </c>
      <c r="AJD10">
        <v>0</v>
      </c>
      <c r="AJE10">
        <v>0</v>
      </c>
      <c r="AJF10">
        <v>0</v>
      </c>
      <c r="AJG10">
        <v>0</v>
      </c>
      <c r="AJH10">
        <v>0</v>
      </c>
      <c r="AJI10">
        <v>0</v>
      </c>
      <c r="AJJ10">
        <v>0</v>
      </c>
      <c r="AJK10">
        <v>0</v>
      </c>
      <c r="AJL10">
        <v>0</v>
      </c>
      <c r="AJM10">
        <v>0</v>
      </c>
      <c r="AJN10">
        <v>0</v>
      </c>
      <c r="AJO10">
        <v>0</v>
      </c>
      <c r="AJP10">
        <v>0</v>
      </c>
      <c r="AJQ10">
        <v>0</v>
      </c>
      <c r="AJR10">
        <v>0</v>
      </c>
      <c r="AJS10">
        <v>0</v>
      </c>
      <c r="AJT10">
        <v>0</v>
      </c>
      <c r="AJU10">
        <v>0</v>
      </c>
      <c r="AJV10">
        <v>0</v>
      </c>
      <c r="AJW10">
        <v>0</v>
      </c>
      <c r="AJX10">
        <v>0</v>
      </c>
      <c r="AJY10">
        <v>0</v>
      </c>
      <c r="AJZ10">
        <v>0</v>
      </c>
      <c r="AKA10">
        <v>0</v>
      </c>
      <c r="AKB10">
        <v>0</v>
      </c>
      <c r="AKC10">
        <v>0</v>
      </c>
      <c r="AKD10">
        <v>0</v>
      </c>
      <c r="AKE10">
        <v>0</v>
      </c>
      <c r="AKF10">
        <v>0</v>
      </c>
      <c r="AKG10">
        <v>0</v>
      </c>
      <c r="AKH10">
        <v>0</v>
      </c>
      <c r="AKI10">
        <v>0</v>
      </c>
      <c r="AKJ10">
        <v>0</v>
      </c>
      <c r="AKK10">
        <v>0</v>
      </c>
      <c r="AKL10">
        <v>0</v>
      </c>
      <c r="AKM10">
        <v>0</v>
      </c>
      <c r="AKN10">
        <v>0</v>
      </c>
      <c r="AKO10">
        <v>0</v>
      </c>
      <c r="AKP10">
        <v>0</v>
      </c>
      <c r="AKQ10">
        <v>0</v>
      </c>
      <c r="AKR10">
        <v>0</v>
      </c>
      <c r="AKS10">
        <v>0</v>
      </c>
      <c r="AKT10">
        <v>0</v>
      </c>
      <c r="AKU10">
        <v>0</v>
      </c>
      <c r="AKV10">
        <v>0</v>
      </c>
      <c r="AKW10">
        <v>0</v>
      </c>
      <c r="AKX10">
        <v>0</v>
      </c>
      <c r="AKY10">
        <v>0</v>
      </c>
      <c r="AKZ10">
        <v>0</v>
      </c>
      <c r="ALA10">
        <v>0</v>
      </c>
      <c r="ALB10">
        <v>0</v>
      </c>
      <c r="ALC10">
        <v>0</v>
      </c>
      <c r="ALD10">
        <v>0</v>
      </c>
      <c r="ALE10">
        <v>0</v>
      </c>
      <c r="ALF10">
        <v>0</v>
      </c>
      <c r="ALG10">
        <v>0</v>
      </c>
      <c r="ALH10">
        <v>0</v>
      </c>
      <c r="ALI10">
        <v>0</v>
      </c>
      <c r="ALJ10">
        <v>0</v>
      </c>
      <c r="ALK10">
        <v>0</v>
      </c>
      <c r="ALL10">
        <v>0</v>
      </c>
      <c r="ALM10">
        <v>0</v>
      </c>
    </row>
    <row r="11" spans="1:1001">
      <c r="A11" s="26"/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</v>
      </c>
      <c r="OL11">
        <v>0</v>
      </c>
      <c r="OM11">
        <v>0</v>
      </c>
      <c r="ON11">
        <v>0</v>
      </c>
      <c r="OO11">
        <v>0</v>
      </c>
      <c r="OP11">
        <v>0</v>
      </c>
      <c r="OQ11">
        <v>0</v>
      </c>
      <c r="OR11">
        <v>0</v>
      </c>
      <c r="OS11">
        <v>0</v>
      </c>
      <c r="OT11">
        <v>0</v>
      </c>
      <c r="OU11">
        <v>0</v>
      </c>
      <c r="OV11">
        <v>0</v>
      </c>
      <c r="OW11">
        <v>0</v>
      </c>
      <c r="OX11">
        <v>0</v>
      </c>
      <c r="OY11">
        <v>0</v>
      </c>
      <c r="OZ11">
        <v>0</v>
      </c>
      <c r="PA11">
        <v>0</v>
      </c>
      <c r="PB11">
        <v>0</v>
      </c>
      <c r="PC11">
        <v>0</v>
      </c>
      <c r="PD11">
        <v>0</v>
      </c>
      <c r="PE11">
        <v>0</v>
      </c>
      <c r="PF11">
        <v>0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0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0</v>
      </c>
      <c r="PY11">
        <v>0</v>
      </c>
      <c r="PZ11">
        <v>0</v>
      </c>
      <c r="QA11">
        <v>0</v>
      </c>
      <c r="QB11">
        <v>0</v>
      </c>
      <c r="QC11">
        <v>0</v>
      </c>
      <c r="QD11">
        <v>0</v>
      </c>
      <c r="QE11">
        <v>0</v>
      </c>
      <c r="QF11">
        <v>0</v>
      </c>
      <c r="QG11">
        <v>0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0</v>
      </c>
      <c r="QY11">
        <v>0</v>
      </c>
      <c r="QZ11">
        <v>0</v>
      </c>
      <c r="RA11">
        <v>0</v>
      </c>
      <c r="RB11">
        <v>0</v>
      </c>
      <c r="RC11">
        <v>0</v>
      </c>
      <c r="RD11">
        <v>0</v>
      </c>
      <c r="RE11">
        <v>0</v>
      </c>
      <c r="RF11">
        <v>0</v>
      </c>
      <c r="RG11">
        <v>0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0</v>
      </c>
      <c r="RN11">
        <v>0</v>
      </c>
      <c r="RO11">
        <v>0</v>
      </c>
      <c r="RP11">
        <v>0</v>
      </c>
      <c r="RQ11">
        <v>0</v>
      </c>
      <c r="RR11">
        <v>0</v>
      </c>
      <c r="RS11">
        <v>0</v>
      </c>
      <c r="RT11">
        <v>0</v>
      </c>
      <c r="RU11">
        <v>0</v>
      </c>
      <c r="RV11">
        <v>0</v>
      </c>
      <c r="RW11">
        <v>0</v>
      </c>
      <c r="RX11">
        <v>0</v>
      </c>
      <c r="RY11">
        <v>0</v>
      </c>
      <c r="RZ11">
        <v>0</v>
      </c>
      <c r="SA11">
        <v>0</v>
      </c>
      <c r="SB11">
        <v>0</v>
      </c>
      <c r="SC11">
        <v>0</v>
      </c>
      <c r="SD11">
        <v>0</v>
      </c>
      <c r="SE11">
        <v>0</v>
      </c>
      <c r="SF11">
        <v>0</v>
      </c>
      <c r="SG11">
        <v>0</v>
      </c>
      <c r="SH11">
        <v>0</v>
      </c>
      <c r="SI11">
        <v>0</v>
      </c>
      <c r="SJ11">
        <v>0</v>
      </c>
      <c r="SK11">
        <v>0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0</v>
      </c>
      <c r="SR11">
        <v>0</v>
      </c>
      <c r="SS11">
        <v>0</v>
      </c>
      <c r="ST11">
        <v>0</v>
      </c>
      <c r="SU11">
        <v>0</v>
      </c>
      <c r="SV11">
        <v>0</v>
      </c>
      <c r="SW11">
        <v>0</v>
      </c>
      <c r="SX11">
        <v>0</v>
      </c>
      <c r="SY11">
        <v>0</v>
      </c>
      <c r="SZ11">
        <v>0</v>
      </c>
      <c r="TA11">
        <v>0</v>
      </c>
      <c r="TB11">
        <v>0</v>
      </c>
      <c r="TC11">
        <v>0</v>
      </c>
      <c r="TD11">
        <v>0</v>
      </c>
      <c r="TE11">
        <v>0</v>
      </c>
      <c r="TF11">
        <v>0</v>
      </c>
      <c r="TG11">
        <v>0</v>
      </c>
      <c r="TH11">
        <v>0</v>
      </c>
      <c r="TI11">
        <v>0</v>
      </c>
      <c r="TJ11">
        <v>0</v>
      </c>
      <c r="TK11">
        <v>0</v>
      </c>
      <c r="TL11">
        <v>0</v>
      </c>
      <c r="TM11">
        <v>0</v>
      </c>
      <c r="TN11">
        <v>0</v>
      </c>
      <c r="TO11">
        <v>0</v>
      </c>
      <c r="TP11">
        <v>0</v>
      </c>
      <c r="TQ11">
        <v>0</v>
      </c>
      <c r="TR11">
        <v>0</v>
      </c>
      <c r="TS11">
        <v>0</v>
      </c>
      <c r="TT11">
        <v>0</v>
      </c>
      <c r="TU11">
        <v>0</v>
      </c>
      <c r="TV11">
        <v>0</v>
      </c>
      <c r="TW11">
        <v>0</v>
      </c>
      <c r="TX11">
        <v>0</v>
      </c>
      <c r="TY11">
        <v>0</v>
      </c>
      <c r="TZ11">
        <v>0</v>
      </c>
      <c r="UA11">
        <v>0</v>
      </c>
      <c r="UB11">
        <v>0</v>
      </c>
      <c r="UC11">
        <v>0</v>
      </c>
      <c r="UD11">
        <v>0</v>
      </c>
      <c r="UE11">
        <v>0</v>
      </c>
      <c r="UF11">
        <v>0</v>
      </c>
      <c r="UG11">
        <v>0</v>
      </c>
      <c r="UH11">
        <v>0</v>
      </c>
      <c r="UI11">
        <v>0</v>
      </c>
      <c r="UJ11">
        <v>0</v>
      </c>
      <c r="UK11">
        <v>0</v>
      </c>
      <c r="UL11">
        <v>0</v>
      </c>
      <c r="UM11">
        <v>0</v>
      </c>
      <c r="UN11">
        <v>0</v>
      </c>
      <c r="UO11">
        <v>0</v>
      </c>
      <c r="UP11">
        <v>0</v>
      </c>
      <c r="UQ11">
        <v>0</v>
      </c>
      <c r="UR11">
        <v>0</v>
      </c>
      <c r="US11">
        <v>0</v>
      </c>
      <c r="UT11">
        <v>0</v>
      </c>
      <c r="UU11">
        <v>0</v>
      </c>
      <c r="UV11">
        <v>0</v>
      </c>
      <c r="UW11">
        <v>0</v>
      </c>
      <c r="UX11">
        <v>0</v>
      </c>
      <c r="UY11">
        <v>0</v>
      </c>
      <c r="UZ11">
        <v>0</v>
      </c>
      <c r="VA11">
        <v>0</v>
      </c>
      <c r="VB11">
        <v>0</v>
      </c>
      <c r="VC11">
        <v>0</v>
      </c>
      <c r="VD11">
        <v>0</v>
      </c>
      <c r="VE11">
        <v>0</v>
      </c>
      <c r="VF11">
        <v>0</v>
      </c>
      <c r="VG11">
        <v>0</v>
      </c>
      <c r="VH11">
        <v>0</v>
      </c>
      <c r="VI11">
        <v>0</v>
      </c>
      <c r="VJ11">
        <v>0</v>
      </c>
      <c r="VK11">
        <v>0</v>
      </c>
      <c r="VL11">
        <v>0</v>
      </c>
      <c r="VM11">
        <v>0</v>
      </c>
      <c r="VN11">
        <v>0</v>
      </c>
      <c r="VO11">
        <v>0</v>
      </c>
      <c r="VP11">
        <v>0</v>
      </c>
      <c r="VQ11">
        <v>0</v>
      </c>
      <c r="VR11">
        <v>0</v>
      </c>
      <c r="VS11">
        <v>0</v>
      </c>
      <c r="VT11">
        <v>0</v>
      </c>
      <c r="VU11">
        <v>0</v>
      </c>
      <c r="VV11">
        <v>0</v>
      </c>
      <c r="VW11">
        <v>0</v>
      </c>
      <c r="VX11">
        <v>0</v>
      </c>
      <c r="VY11">
        <v>0</v>
      </c>
      <c r="VZ11">
        <v>0</v>
      </c>
      <c r="WA11">
        <v>0</v>
      </c>
      <c r="WB11">
        <v>0</v>
      </c>
      <c r="WC11">
        <v>0</v>
      </c>
      <c r="WD11">
        <v>0</v>
      </c>
      <c r="WE11">
        <v>0</v>
      </c>
      <c r="WF11">
        <v>0</v>
      </c>
      <c r="WG11">
        <v>0</v>
      </c>
      <c r="WH11">
        <v>0</v>
      </c>
      <c r="WI11">
        <v>0</v>
      </c>
      <c r="WJ11">
        <v>0</v>
      </c>
      <c r="WK11">
        <v>0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0</v>
      </c>
      <c r="WR11">
        <v>0</v>
      </c>
      <c r="WS11">
        <v>0</v>
      </c>
      <c r="WT11">
        <v>0</v>
      </c>
      <c r="WU11">
        <v>0</v>
      </c>
      <c r="WV11">
        <v>0</v>
      </c>
      <c r="WW11">
        <v>0</v>
      </c>
      <c r="WX11">
        <v>0</v>
      </c>
      <c r="WY11">
        <v>0</v>
      </c>
      <c r="WZ11">
        <v>0</v>
      </c>
      <c r="XA11">
        <v>0</v>
      </c>
      <c r="XB11">
        <v>0</v>
      </c>
      <c r="XC11">
        <v>0</v>
      </c>
      <c r="XD11">
        <v>0</v>
      </c>
      <c r="XE11">
        <v>0</v>
      </c>
      <c r="XF11">
        <v>0</v>
      </c>
      <c r="XG11">
        <v>0</v>
      </c>
      <c r="XH11">
        <v>0</v>
      </c>
      <c r="XI11">
        <v>0</v>
      </c>
      <c r="XJ11">
        <v>0</v>
      </c>
      <c r="XK11">
        <v>0</v>
      </c>
      <c r="XL11">
        <v>0</v>
      </c>
      <c r="XM11">
        <v>0</v>
      </c>
      <c r="XN11">
        <v>0</v>
      </c>
      <c r="XO11">
        <v>0</v>
      </c>
      <c r="XP11">
        <v>0</v>
      </c>
      <c r="XQ11">
        <v>0</v>
      </c>
      <c r="XR11">
        <v>0</v>
      </c>
      <c r="XS11">
        <v>0</v>
      </c>
      <c r="XT11">
        <v>0</v>
      </c>
      <c r="XU11">
        <v>0</v>
      </c>
      <c r="XV11">
        <v>0</v>
      </c>
      <c r="XW11">
        <v>0</v>
      </c>
      <c r="XX11">
        <v>0</v>
      </c>
      <c r="XY11">
        <v>0</v>
      </c>
      <c r="XZ11">
        <v>0</v>
      </c>
      <c r="YA11">
        <v>0</v>
      </c>
      <c r="YB11">
        <v>0</v>
      </c>
      <c r="YC11">
        <v>0</v>
      </c>
      <c r="YD11">
        <v>0</v>
      </c>
      <c r="YE11">
        <v>0</v>
      </c>
      <c r="YF11">
        <v>0</v>
      </c>
      <c r="YG11">
        <v>0</v>
      </c>
      <c r="YH11">
        <v>0</v>
      </c>
      <c r="YI11">
        <v>0</v>
      </c>
      <c r="YJ11">
        <v>0</v>
      </c>
      <c r="YK11">
        <v>0</v>
      </c>
      <c r="YL11">
        <v>0</v>
      </c>
      <c r="YM11">
        <v>0</v>
      </c>
      <c r="YN11">
        <v>0</v>
      </c>
      <c r="YO11">
        <v>0</v>
      </c>
      <c r="YP11">
        <v>0</v>
      </c>
      <c r="YQ11">
        <v>0</v>
      </c>
      <c r="YR11">
        <v>0</v>
      </c>
      <c r="YS11">
        <v>0</v>
      </c>
      <c r="YT11">
        <v>0</v>
      </c>
      <c r="YU11">
        <v>0</v>
      </c>
      <c r="YV11">
        <v>0</v>
      </c>
      <c r="YW11">
        <v>0</v>
      </c>
      <c r="YX11">
        <v>0</v>
      </c>
      <c r="YY11">
        <v>0</v>
      </c>
      <c r="YZ11">
        <v>0</v>
      </c>
      <c r="ZA11">
        <v>0</v>
      </c>
      <c r="ZB11">
        <v>0</v>
      </c>
      <c r="ZC11">
        <v>0</v>
      </c>
      <c r="ZD11">
        <v>0</v>
      </c>
      <c r="ZE11">
        <v>0</v>
      </c>
      <c r="ZF11">
        <v>0</v>
      </c>
      <c r="ZG11">
        <v>0</v>
      </c>
      <c r="ZH11">
        <v>0</v>
      </c>
      <c r="ZI11">
        <v>0</v>
      </c>
      <c r="ZJ11">
        <v>0</v>
      </c>
      <c r="ZK11">
        <v>0</v>
      </c>
      <c r="ZL11">
        <v>0</v>
      </c>
      <c r="ZM11">
        <v>0</v>
      </c>
      <c r="ZN11">
        <v>0</v>
      </c>
      <c r="ZO11">
        <v>0</v>
      </c>
      <c r="ZP11">
        <v>0</v>
      </c>
      <c r="ZQ11">
        <v>0</v>
      </c>
      <c r="ZR11">
        <v>0</v>
      </c>
      <c r="ZS11">
        <v>0</v>
      </c>
      <c r="ZT11">
        <v>0</v>
      </c>
      <c r="ZU11">
        <v>0</v>
      </c>
      <c r="ZV11">
        <v>0</v>
      </c>
      <c r="ZW11">
        <v>0</v>
      </c>
      <c r="ZX11">
        <v>0</v>
      </c>
      <c r="ZY11">
        <v>0</v>
      </c>
      <c r="ZZ11">
        <v>0</v>
      </c>
      <c r="AAA11">
        <v>0</v>
      </c>
      <c r="AAB11">
        <v>0</v>
      </c>
      <c r="AAC11">
        <v>0</v>
      </c>
      <c r="AAD11">
        <v>0</v>
      </c>
      <c r="AAE11">
        <v>0</v>
      </c>
      <c r="AAF11">
        <v>0</v>
      </c>
      <c r="AAG11">
        <v>0</v>
      </c>
      <c r="AAH11">
        <v>0</v>
      </c>
      <c r="AAI11">
        <v>0</v>
      </c>
      <c r="AAJ11">
        <v>0</v>
      </c>
      <c r="AAK11">
        <v>0</v>
      </c>
      <c r="AAL11">
        <v>0</v>
      </c>
      <c r="AAM11">
        <v>0</v>
      </c>
      <c r="AAN11">
        <v>0</v>
      </c>
      <c r="AAO11">
        <v>0</v>
      </c>
      <c r="AAP11">
        <v>0</v>
      </c>
      <c r="AAQ11">
        <v>0</v>
      </c>
      <c r="AAR11">
        <v>0</v>
      </c>
      <c r="AAS11">
        <v>0</v>
      </c>
      <c r="AAT11">
        <v>0</v>
      </c>
      <c r="AAU11">
        <v>0</v>
      </c>
      <c r="AAV11">
        <v>0</v>
      </c>
      <c r="AAW11">
        <v>0</v>
      </c>
      <c r="AAX11">
        <v>0</v>
      </c>
      <c r="AAY11">
        <v>0</v>
      </c>
      <c r="AAZ11">
        <v>0</v>
      </c>
      <c r="ABA11">
        <v>0</v>
      </c>
      <c r="ABB11">
        <v>0</v>
      </c>
      <c r="ABC11">
        <v>0</v>
      </c>
      <c r="ABD11">
        <v>0</v>
      </c>
      <c r="ABE11">
        <v>0</v>
      </c>
      <c r="ABF11">
        <v>0</v>
      </c>
      <c r="ABG11">
        <v>0</v>
      </c>
      <c r="ABH11">
        <v>0</v>
      </c>
      <c r="ABI11">
        <v>0</v>
      </c>
      <c r="ABJ11">
        <v>0</v>
      </c>
      <c r="ABK11">
        <v>0</v>
      </c>
      <c r="ABL11">
        <v>0</v>
      </c>
      <c r="ABM11">
        <v>0</v>
      </c>
      <c r="ABN11">
        <v>0</v>
      </c>
      <c r="ABO11">
        <v>0</v>
      </c>
      <c r="ABP11">
        <v>0</v>
      </c>
      <c r="ABQ11">
        <v>0</v>
      </c>
      <c r="ABR11">
        <v>0</v>
      </c>
      <c r="ABS11">
        <v>0</v>
      </c>
      <c r="ABT11">
        <v>0</v>
      </c>
      <c r="ABU11">
        <v>0</v>
      </c>
      <c r="ABV11">
        <v>0</v>
      </c>
      <c r="ABW11">
        <v>0</v>
      </c>
      <c r="ABX11">
        <v>0</v>
      </c>
      <c r="ABY11">
        <v>0</v>
      </c>
      <c r="ABZ11">
        <v>0</v>
      </c>
      <c r="ACA11">
        <v>0</v>
      </c>
      <c r="ACB11">
        <v>0</v>
      </c>
      <c r="ACC11">
        <v>0</v>
      </c>
      <c r="ACD11">
        <v>0</v>
      </c>
      <c r="ACE11">
        <v>0</v>
      </c>
      <c r="ACF11">
        <v>0</v>
      </c>
      <c r="ACG11">
        <v>0</v>
      </c>
      <c r="ACH11">
        <v>0</v>
      </c>
      <c r="ACI11">
        <v>0</v>
      </c>
      <c r="ACJ11">
        <v>0</v>
      </c>
      <c r="ACK11">
        <v>0</v>
      </c>
      <c r="ACL11">
        <v>0</v>
      </c>
      <c r="ACM11">
        <v>0</v>
      </c>
      <c r="ACN11">
        <v>0</v>
      </c>
      <c r="ACO11">
        <v>0</v>
      </c>
      <c r="ACP11">
        <v>0</v>
      </c>
      <c r="ACQ11">
        <v>0</v>
      </c>
      <c r="ACR11">
        <v>0</v>
      </c>
      <c r="ACS11">
        <v>0</v>
      </c>
      <c r="ACT11">
        <v>0</v>
      </c>
      <c r="ACU11">
        <v>0</v>
      </c>
      <c r="ACV11">
        <v>0</v>
      </c>
      <c r="ACW11">
        <v>0</v>
      </c>
      <c r="ACX11">
        <v>0</v>
      </c>
      <c r="ACY11">
        <v>0</v>
      </c>
      <c r="ACZ11">
        <v>0</v>
      </c>
      <c r="ADA11">
        <v>0</v>
      </c>
      <c r="ADB11">
        <v>0</v>
      </c>
      <c r="ADC11">
        <v>0</v>
      </c>
      <c r="ADD11">
        <v>0</v>
      </c>
      <c r="ADE11">
        <v>0</v>
      </c>
      <c r="ADF11">
        <v>0</v>
      </c>
      <c r="ADG11">
        <v>0</v>
      </c>
      <c r="ADH11">
        <v>0</v>
      </c>
      <c r="ADI11">
        <v>0</v>
      </c>
      <c r="ADJ11">
        <v>0</v>
      </c>
      <c r="ADK11">
        <v>0</v>
      </c>
      <c r="ADL11">
        <v>0</v>
      </c>
      <c r="ADM11">
        <v>0</v>
      </c>
      <c r="ADN11">
        <v>0</v>
      </c>
      <c r="ADO11">
        <v>0</v>
      </c>
      <c r="ADP11">
        <v>0</v>
      </c>
      <c r="ADQ11">
        <v>0</v>
      </c>
      <c r="ADR11">
        <v>0</v>
      </c>
      <c r="ADS11">
        <v>0</v>
      </c>
      <c r="ADT11">
        <v>0</v>
      </c>
      <c r="ADU11">
        <v>0</v>
      </c>
      <c r="ADV11">
        <v>0</v>
      </c>
      <c r="ADW11">
        <v>0</v>
      </c>
      <c r="ADX11">
        <v>0</v>
      </c>
      <c r="ADY11">
        <v>0</v>
      </c>
      <c r="ADZ11">
        <v>0</v>
      </c>
      <c r="AEA11">
        <v>0</v>
      </c>
      <c r="AEB11">
        <v>0</v>
      </c>
      <c r="AEC11">
        <v>0</v>
      </c>
      <c r="AED11">
        <v>0</v>
      </c>
      <c r="AEE11">
        <v>0</v>
      </c>
      <c r="AEF11">
        <v>0</v>
      </c>
      <c r="AEG11">
        <v>0</v>
      </c>
      <c r="AEH11">
        <v>0</v>
      </c>
      <c r="AEI11">
        <v>0</v>
      </c>
      <c r="AEJ11">
        <v>0</v>
      </c>
      <c r="AEK11">
        <v>0</v>
      </c>
      <c r="AEL11">
        <v>0</v>
      </c>
      <c r="AEM11">
        <v>0</v>
      </c>
      <c r="AEN11">
        <v>0</v>
      </c>
      <c r="AEO11">
        <v>0</v>
      </c>
      <c r="AEP11">
        <v>0</v>
      </c>
      <c r="AEQ11">
        <v>0</v>
      </c>
      <c r="AER11">
        <v>0</v>
      </c>
      <c r="AES11">
        <v>0</v>
      </c>
      <c r="AET11">
        <v>0</v>
      </c>
      <c r="AEU11">
        <v>0</v>
      </c>
      <c r="AEV11">
        <v>0</v>
      </c>
      <c r="AEW11">
        <v>0</v>
      </c>
      <c r="AEX11">
        <v>0</v>
      </c>
      <c r="AEY11">
        <v>0</v>
      </c>
      <c r="AEZ11">
        <v>0</v>
      </c>
      <c r="AFA11">
        <v>0</v>
      </c>
      <c r="AFB11">
        <v>0</v>
      </c>
      <c r="AFC11">
        <v>0</v>
      </c>
      <c r="AFD11">
        <v>0</v>
      </c>
      <c r="AFE11">
        <v>0</v>
      </c>
      <c r="AFF11">
        <v>0</v>
      </c>
      <c r="AFG11">
        <v>0</v>
      </c>
      <c r="AFH11">
        <v>0</v>
      </c>
      <c r="AFI11">
        <v>0</v>
      </c>
      <c r="AFJ11">
        <v>0</v>
      </c>
      <c r="AFK11">
        <v>0</v>
      </c>
      <c r="AFL11">
        <v>0</v>
      </c>
      <c r="AFM11">
        <v>0</v>
      </c>
      <c r="AFN11">
        <v>0</v>
      </c>
      <c r="AFO11">
        <v>0</v>
      </c>
      <c r="AFP11">
        <v>0</v>
      </c>
      <c r="AFQ11">
        <v>0</v>
      </c>
      <c r="AFR11">
        <v>0</v>
      </c>
      <c r="AFS11">
        <v>0</v>
      </c>
      <c r="AFT11">
        <v>0</v>
      </c>
      <c r="AFU11">
        <v>0</v>
      </c>
      <c r="AFV11">
        <v>0</v>
      </c>
      <c r="AFW11">
        <v>0</v>
      </c>
      <c r="AFX11">
        <v>0</v>
      </c>
      <c r="AFY11">
        <v>0</v>
      </c>
      <c r="AFZ11">
        <v>0</v>
      </c>
      <c r="AGA11">
        <v>0</v>
      </c>
      <c r="AGB11">
        <v>0</v>
      </c>
      <c r="AGC11">
        <v>0</v>
      </c>
      <c r="AGD11">
        <v>0</v>
      </c>
      <c r="AGE11">
        <v>0</v>
      </c>
      <c r="AGF11">
        <v>0</v>
      </c>
      <c r="AGG11">
        <v>0</v>
      </c>
      <c r="AGH11">
        <v>0</v>
      </c>
      <c r="AGI11">
        <v>0</v>
      </c>
      <c r="AGJ11">
        <v>0</v>
      </c>
      <c r="AGK11">
        <v>0</v>
      </c>
      <c r="AGL11">
        <v>0</v>
      </c>
      <c r="AGM11">
        <v>0</v>
      </c>
      <c r="AGN11">
        <v>0</v>
      </c>
      <c r="AGO11">
        <v>0</v>
      </c>
      <c r="AGP11">
        <v>0</v>
      </c>
      <c r="AGQ11">
        <v>0</v>
      </c>
      <c r="AGR11">
        <v>0</v>
      </c>
      <c r="AGS11">
        <v>0</v>
      </c>
      <c r="AGT11">
        <v>0</v>
      </c>
      <c r="AGU11">
        <v>0</v>
      </c>
      <c r="AGV11">
        <v>0</v>
      </c>
      <c r="AGW11">
        <v>0</v>
      </c>
      <c r="AGX11">
        <v>0</v>
      </c>
      <c r="AGY11">
        <v>0</v>
      </c>
      <c r="AGZ11">
        <v>0</v>
      </c>
      <c r="AHA11">
        <v>0</v>
      </c>
      <c r="AHB11">
        <v>0</v>
      </c>
      <c r="AHC11">
        <v>0</v>
      </c>
      <c r="AHD11">
        <v>0</v>
      </c>
      <c r="AHE11">
        <v>0</v>
      </c>
      <c r="AHF11">
        <v>0</v>
      </c>
      <c r="AHG11">
        <v>0</v>
      </c>
      <c r="AHH11">
        <v>0</v>
      </c>
      <c r="AHI11">
        <v>0</v>
      </c>
      <c r="AHJ11">
        <v>0</v>
      </c>
      <c r="AHK11">
        <v>0</v>
      </c>
      <c r="AHL11">
        <v>0</v>
      </c>
      <c r="AHM11">
        <v>0</v>
      </c>
      <c r="AHN11">
        <v>0</v>
      </c>
      <c r="AHO11">
        <v>0</v>
      </c>
      <c r="AHP11">
        <v>0</v>
      </c>
      <c r="AHQ11">
        <v>0</v>
      </c>
      <c r="AHR11">
        <v>0</v>
      </c>
      <c r="AHS11">
        <v>0</v>
      </c>
      <c r="AHT11">
        <v>0</v>
      </c>
      <c r="AHU11">
        <v>0</v>
      </c>
      <c r="AHV11">
        <v>0</v>
      </c>
      <c r="AHW11">
        <v>0</v>
      </c>
      <c r="AHX11">
        <v>0</v>
      </c>
      <c r="AHY11">
        <v>0</v>
      </c>
      <c r="AHZ11">
        <v>0</v>
      </c>
      <c r="AIA11">
        <v>0</v>
      </c>
      <c r="AIB11">
        <v>0</v>
      </c>
      <c r="AIC11">
        <v>0</v>
      </c>
      <c r="AID11">
        <v>0</v>
      </c>
      <c r="AIE11">
        <v>0</v>
      </c>
      <c r="AIF11">
        <v>0</v>
      </c>
      <c r="AIG11">
        <v>0</v>
      </c>
      <c r="AIH11">
        <v>0</v>
      </c>
      <c r="AII11">
        <v>0</v>
      </c>
      <c r="AIJ11">
        <v>0</v>
      </c>
      <c r="AIK11">
        <v>0</v>
      </c>
      <c r="AIL11">
        <v>0</v>
      </c>
      <c r="AIM11">
        <v>0</v>
      </c>
      <c r="AIN11">
        <v>0</v>
      </c>
      <c r="AIO11">
        <v>0</v>
      </c>
      <c r="AIP11">
        <v>0</v>
      </c>
      <c r="AIQ11">
        <v>0</v>
      </c>
      <c r="AIR11">
        <v>0</v>
      </c>
      <c r="AIS11">
        <v>0</v>
      </c>
      <c r="AIT11">
        <v>0</v>
      </c>
      <c r="AIU11">
        <v>0</v>
      </c>
      <c r="AIV11">
        <v>0</v>
      </c>
      <c r="AIW11">
        <v>0</v>
      </c>
      <c r="AIX11">
        <v>0</v>
      </c>
      <c r="AIY11">
        <v>0</v>
      </c>
      <c r="AIZ11">
        <v>0</v>
      </c>
      <c r="AJA11">
        <v>0</v>
      </c>
      <c r="AJB11">
        <v>0</v>
      </c>
      <c r="AJC11">
        <v>0</v>
      </c>
      <c r="AJD11">
        <v>0</v>
      </c>
      <c r="AJE11">
        <v>0</v>
      </c>
      <c r="AJF11">
        <v>0</v>
      </c>
      <c r="AJG11">
        <v>0</v>
      </c>
      <c r="AJH11">
        <v>0</v>
      </c>
      <c r="AJI11">
        <v>0</v>
      </c>
      <c r="AJJ11">
        <v>0</v>
      </c>
      <c r="AJK11">
        <v>0</v>
      </c>
      <c r="AJL11">
        <v>0</v>
      </c>
      <c r="AJM11">
        <v>0</v>
      </c>
      <c r="AJN11">
        <v>0</v>
      </c>
      <c r="AJO11">
        <v>0</v>
      </c>
      <c r="AJP11">
        <v>0</v>
      </c>
      <c r="AJQ11">
        <v>0</v>
      </c>
      <c r="AJR11">
        <v>0</v>
      </c>
      <c r="AJS11">
        <v>0</v>
      </c>
      <c r="AJT11">
        <v>0</v>
      </c>
      <c r="AJU11">
        <v>0</v>
      </c>
      <c r="AJV11">
        <v>0</v>
      </c>
      <c r="AJW11">
        <v>0</v>
      </c>
      <c r="AJX11">
        <v>0</v>
      </c>
      <c r="AJY11">
        <v>0</v>
      </c>
      <c r="AJZ11">
        <v>0</v>
      </c>
      <c r="AKA11">
        <v>0</v>
      </c>
      <c r="AKB11">
        <v>0</v>
      </c>
      <c r="AKC11">
        <v>0</v>
      </c>
      <c r="AKD11">
        <v>0</v>
      </c>
      <c r="AKE11">
        <v>0</v>
      </c>
      <c r="AKF11">
        <v>0</v>
      </c>
      <c r="AKG11">
        <v>0</v>
      </c>
      <c r="AKH11">
        <v>0</v>
      </c>
      <c r="AKI11">
        <v>0</v>
      </c>
      <c r="AKJ11">
        <v>0</v>
      </c>
      <c r="AKK11">
        <v>0</v>
      </c>
      <c r="AKL11">
        <v>0</v>
      </c>
      <c r="AKM11">
        <v>0</v>
      </c>
      <c r="AKN11">
        <v>0</v>
      </c>
      <c r="AKO11">
        <v>0</v>
      </c>
      <c r="AKP11">
        <v>0</v>
      </c>
      <c r="AKQ11">
        <v>0</v>
      </c>
      <c r="AKR11">
        <v>0</v>
      </c>
      <c r="AKS11">
        <v>0</v>
      </c>
      <c r="AKT11">
        <v>0</v>
      </c>
      <c r="AKU11">
        <v>0</v>
      </c>
      <c r="AKV11">
        <v>0</v>
      </c>
      <c r="AKW11">
        <v>0</v>
      </c>
      <c r="AKX11">
        <v>0</v>
      </c>
      <c r="AKY11">
        <v>0</v>
      </c>
      <c r="AKZ11">
        <v>0</v>
      </c>
      <c r="ALA11">
        <v>0</v>
      </c>
      <c r="ALB11">
        <v>0</v>
      </c>
      <c r="ALC11">
        <v>0</v>
      </c>
      <c r="ALD11">
        <v>0</v>
      </c>
      <c r="ALE11">
        <v>0</v>
      </c>
      <c r="ALF11">
        <v>0</v>
      </c>
      <c r="ALG11">
        <v>0</v>
      </c>
      <c r="ALH11">
        <v>0</v>
      </c>
      <c r="ALI11">
        <v>0</v>
      </c>
      <c r="ALJ11">
        <v>0</v>
      </c>
      <c r="ALK11">
        <v>0</v>
      </c>
      <c r="ALL11">
        <v>0</v>
      </c>
      <c r="ALM11">
        <v>0</v>
      </c>
    </row>
    <row r="12" spans="1:1001">
      <c r="A12" s="26"/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0</v>
      </c>
      <c r="OU12">
        <v>0</v>
      </c>
      <c r="OV12">
        <v>0</v>
      </c>
      <c r="OW12">
        <v>0</v>
      </c>
      <c r="OX12">
        <v>0</v>
      </c>
      <c r="OY12">
        <v>0</v>
      </c>
      <c r="OZ12">
        <v>0</v>
      </c>
      <c r="PA12">
        <v>0</v>
      </c>
      <c r="PB12">
        <v>0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0</v>
      </c>
      <c r="QY12">
        <v>0</v>
      </c>
      <c r="QZ12">
        <v>0</v>
      </c>
      <c r="RA12">
        <v>0</v>
      </c>
      <c r="RB12">
        <v>0</v>
      </c>
      <c r="RC12">
        <v>0</v>
      </c>
      <c r="RD12">
        <v>0</v>
      </c>
      <c r="RE12">
        <v>0</v>
      </c>
      <c r="RF12">
        <v>0</v>
      </c>
      <c r="RG12">
        <v>0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0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0</v>
      </c>
      <c r="RY12">
        <v>0</v>
      </c>
      <c r="RZ12">
        <v>0</v>
      </c>
      <c r="SA12">
        <v>0</v>
      </c>
      <c r="SB12">
        <v>0</v>
      </c>
      <c r="SC12">
        <v>0</v>
      </c>
      <c r="SD12">
        <v>0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0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0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0</v>
      </c>
      <c r="TW12">
        <v>0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0</v>
      </c>
      <c r="UE12">
        <v>0</v>
      </c>
      <c r="UF12">
        <v>0</v>
      </c>
      <c r="UG12">
        <v>0</v>
      </c>
      <c r="UH12">
        <v>0</v>
      </c>
      <c r="UI12">
        <v>0</v>
      </c>
      <c r="UJ12">
        <v>0</v>
      </c>
      <c r="UK12">
        <v>0</v>
      </c>
      <c r="UL12">
        <v>0</v>
      </c>
      <c r="UM12">
        <v>0</v>
      </c>
      <c r="UN12">
        <v>0</v>
      </c>
      <c r="UO12">
        <v>0</v>
      </c>
      <c r="UP12">
        <v>0</v>
      </c>
      <c r="UQ12">
        <v>0</v>
      </c>
      <c r="UR12">
        <v>0</v>
      </c>
      <c r="US12">
        <v>0</v>
      </c>
      <c r="UT12">
        <v>0</v>
      </c>
      <c r="UU12">
        <v>0</v>
      </c>
      <c r="UV12">
        <v>0</v>
      </c>
      <c r="UW12">
        <v>0</v>
      </c>
      <c r="UX12">
        <v>0</v>
      </c>
      <c r="UY12">
        <v>0</v>
      </c>
      <c r="UZ12">
        <v>0</v>
      </c>
      <c r="VA12">
        <v>0</v>
      </c>
      <c r="VB12">
        <v>0</v>
      </c>
      <c r="VC12">
        <v>0</v>
      </c>
      <c r="VD12">
        <v>0</v>
      </c>
      <c r="VE12">
        <v>0</v>
      </c>
      <c r="VF12">
        <v>0</v>
      </c>
      <c r="VG12">
        <v>0</v>
      </c>
      <c r="VH12">
        <v>0</v>
      </c>
      <c r="VI12">
        <v>0</v>
      </c>
      <c r="VJ12">
        <v>0</v>
      </c>
      <c r="VK12">
        <v>0</v>
      </c>
      <c r="VL12">
        <v>0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</v>
      </c>
      <c r="VW12">
        <v>0</v>
      </c>
      <c r="VX12">
        <v>0</v>
      </c>
      <c r="VY12">
        <v>0</v>
      </c>
      <c r="VZ12">
        <v>0</v>
      </c>
      <c r="WA12">
        <v>0</v>
      </c>
      <c r="WB12">
        <v>0</v>
      </c>
      <c r="WC12">
        <v>0</v>
      </c>
      <c r="WD12">
        <v>0</v>
      </c>
      <c r="WE12">
        <v>0</v>
      </c>
      <c r="WF12">
        <v>0</v>
      </c>
      <c r="WG12">
        <v>0</v>
      </c>
      <c r="WH12">
        <v>0</v>
      </c>
      <c r="WI12">
        <v>0</v>
      </c>
      <c r="WJ12">
        <v>0</v>
      </c>
      <c r="WK12">
        <v>0</v>
      </c>
      <c r="WL12">
        <v>0</v>
      </c>
      <c r="WM12">
        <v>0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0</v>
      </c>
      <c r="WZ12">
        <v>0</v>
      </c>
      <c r="XA12">
        <v>0</v>
      </c>
      <c r="XB12">
        <v>0</v>
      </c>
      <c r="XC12">
        <v>0</v>
      </c>
      <c r="XD12">
        <v>0</v>
      </c>
      <c r="XE12">
        <v>0</v>
      </c>
      <c r="XF12">
        <v>0</v>
      </c>
      <c r="XG12">
        <v>0</v>
      </c>
      <c r="XH12">
        <v>0</v>
      </c>
      <c r="XI12">
        <v>0</v>
      </c>
      <c r="XJ12">
        <v>0</v>
      </c>
      <c r="XK12">
        <v>0</v>
      </c>
      <c r="XL12">
        <v>0</v>
      </c>
      <c r="XM12">
        <v>0</v>
      </c>
      <c r="XN12">
        <v>0</v>
      </c>
      <c r="XO12">
        <v>0</v>
      </c>
      <c r="XP12">
        <v>0</v>
      </c>
      <c r="XQ12">
        <v>0</v>
      </c>
      <c r="XR12">
        <v>0</v>
      </c>
      <c r="XS12">
        <v>0</v>
      </c>
      <c r="XT12">
        <v>0</v>
      </c>
      <c r="XU12">
        <v>0</v>
      </c>
      <c r="XV12">
        <v>0</v>
      </c>
      <c r="XW12">
        <v>0</v>
      </c>
      <c r="XX12">
        <v>0</v>
      </c>
      <c r="XY12">
        <v>0</v>
      </c>
      <c r="XZ12">
        <v>0</v>
      </c>
      <c r="YA12">
        <v>0</v>
      </c>
      <c r="YB12">
        <v>0</v>
      </c>
      <c r="YC12">
        <v>0</v>
      </c>
      <c r="YD12">
        <v>0</v>
      </c>
      <c r="YE12">
        <v>0</v>
      </c>
      <c r="YF12">
        <v>0</v>
      </c>
      <c r="YG12">
        <v>0</v>
      </c>
      <c r="YH12">
        <v>0</v>
      </c>
      <c r="YI12">
        <v>0</v>
      </c>
      <c r="YJ12">
        <v>0</v>
      </c>
      <c r="YK12">
        <v>0</v>
      </c>
      <c r="YL12">
        <v>0</v>
      </c>
      <c r="YM12">
        <v>0</v>
      </c>
      <c r="YN12">
        <v>0</v>
      </c>
      <c r="YO12">
        <v>0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0</v>
      </c>
      <c r="YZ12">
        <v>0</v>
      </c>
      <c r="ZA12">
        <v>0</v>
      </c>
      <c r="ZB12">
        <v>0</v>
      </c>
      <c r="ZC12">
        <v>0</v>
      </c>
      <c r="ZD12">
        <v>0</v>
      </c>
      <c r="ZE12">
        <v>0</v>
      </c>
      <c r="ZF12">
        <v>0</v>
      </c>
      <c r="ZG12">
        <v>0</v>
      </c>
      <c r="ZH12">
        <v>0</v>
      </c>
      <c r="ZI12">
        <v>0</v>
      </c>
      <c r="ZJ12">
        <v>0</v>
      </c>
      <c r="ZK12">
        <v>0</v>
      </c>
      <c r="ZL12">
        <v>0</v>
      </c>
      <c r="ZM12">
        <v>0</v>
      </c>
      <c r="ZN12">
        <v>0</v>
      </c>
      <c r="ZO12">
        <v>0</v>
      </c>
      <c r="ZP12">
        <v>0</v>
      </c>
      <c r="ZQ12">
        <v>0</v>
      </c>
      <c r="ZR12">
        <v>0</v>
      </c>
      <c r="ZS12">
        <v>0</v>
      </c>
      <c r="ZT12">
        <v>0</v>
      </c>
      <c r="ZU12">
        <v>0</v>
      </c>
      <c r="ZV12">
        <v>0</v>
      </c>
      <c r="ZW12">
        <v>0</v>
      </c>
      <c r="ZX12">
        <v>0</v>
      </c>
      <c r="ZY12">
        <v>0</v>
      </c>
      <c r="ZZ12">
        <v>0</v>
      </c>
      <c r="AAA12">
        <v>0</v>
      </c>
      <c r="AAB12">
        <v>0</v>
      </c>
      <c r="AAC12">
        <v>0</v>
      </c>
      <c r="AAD12">
        <v>0</v>
      </c>
      <c r="AAE12">
        <v>0</v>
      </c>
      <c r="AAF12">
        <v>0</v>
      </c>
      <c r="AAG12">
        <v>0</v>
      </c>
      <c r="AAH12">
        <v>0</v>
      </c>
      <c r="AAI12">
        <v>0</v>
      </c>
      <c r="AAJ12">
        <v>0</v>
      </c>
      <c r="AAK12">
        <v>0</v>
      </c>
      <c r="AAL12">
        <v>0</v>
      </c>
      <c r="AAM12">
        <v>0</v>
      </c>
      <c r="AAN12">
        <v>0</v>
      </c>
      <c r="AAO12">
        <v>0</v>
      </c>
      <c r="AAP12">
        <v>0</v>
      </c>
      <c r="AAQ12">
        <v>0</v>
      </c>
      <c r="AAR12">
        <v>0</v>
      </c>
      <c r="AAS12">
        <v>0</v>
      </c>
      <c r="AAT12">
        <v>0</v>
      </c>
      <c r="AAU12">
        <v>0</v>
      </c>
      <c r="AAV12">
        <v>0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0</v>
      </c>
      <c r="ABF12">
        <v>0</v>
      </c>
      <c r="ABG12">
        <v>0</v>
      </c>
      <c r="ABH12">
        <v>0</v>
      </c>
      <c r="ABI12">
        <v>0</v>
      </c>
      <c r="ABJ12">
        <v>0</v>
      </c>
      <c r="ABK12">
        <v>0</v>
      </c>
      <c r="ABL12">
        <v>0</v>
      </c>
      <c r="ABM12">
        <v>0</v>
      </c>
      <c r="ABN12">
        <v>0</v>
      </c>
      <c r="ABO12">
        <v>0</v>
      </c>
      <c r="ABP12">
        <v>0</v>
      </c>
      <c r="ABQ12">
        <v>0</v>
      </c>
      <c r="ABR12">
        <v>0</v>
      </c>
      <c r="ABS12">
        <v>0</v>
      </c>
      <c r="ABT12">
        <v>0</v>
      </c>
      <c r="ABU12">
        <v>0</v>
      </c>
      <c r="ABV12">
        <v>0</v>
      </c>
      <c r="ABW12">
        <v>0</v>
      </c>
      <c r="ABX12">
        <v>0</v>
      </c>
      <c r="ABY12">
        <v>0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0</v>
      </c>
      <c r="ACM12">
        <v>0</v>
      </c>
      <c r="ACN12">
        <v>0</v>
      </c>
      <c r="ACO12">
        <v>0</v>
      </c>
      <c r="ACP12">
        <v>0</v>
      </c>
      <c r="ACQ12">
        <v>0</v>
      </c>
      <c r="ACR12">
        <v>0</v>
      </c>
      <c r="ACS12">
        <v>0</v>
      </c>
      <c r="ACT12">
        <v>0</v>
      </c>
      <c r="ACU12">
        <v>0</v>
      </c>
      <c r="ACV12">
        <v>0</v>
      </c>
      <c r="ACW12">
        <v>0</v>
      </c>
      <c r="ACX12">
        <v>0</v>
      </c>
      <c r="ACY12">
        <v>0</v>
      </c>
      <c r="ACZ12">
        <v>0</v>
      </c>
      <c r="ADA12">
        <v>0</v>
      </c>
      <c r="ADB12">
        <v>0</v>
      </c>
      <c r="ADC12">
        <v>0</v>
      </c>
      <c r="ADD12">
        <v>0</v>
      </c>
      <c r="ADE12">
        <v>0</v>
      </c>
      <c r="ADF12">
        <v>0</v>
      </c>
      <c r="ADG12">
        <v>0</v>
      </c>
      <c r="ADH12">
        <v>0</v>
      </c>
      <c r="ADI12">
        <v>0</v>
      </c>
      <c r="ADJ12">
        <v>0</v>
      </c>
      <c r="ADK12">
        <v>0</v>
      </c>
      <c r="ADL12">
        <v>0</v>
      </c>
      <c r="ADM12">
        <v>0</v>
      </c>
      <c r="ADN12">
        <v>0</v>
      </c>
      <c r="ADO12">
        <v>0</v>
      </c>
      <c r="ADP12">
        <v>0</v>
      </c>
      <c r="ADQ12">
        <v>0</v>
      </c>
      <c r="ADR12">
        <v>0</v>
      </c>
      <c r="ADS12">
        <v>0</v>
      </c>
      <c r="ADT12">
        <v>0</v>
      </c>
      <c r="ADU12">
        <v>0</v>
      </c>
      <c r="ADV12">
        <v>0</v>
      </c>
      <c r="ADW12">
        <v>0</v>
      </c>
      <c r="ADX12">
        <v>0</v>
      </c>
      <c r="ADY12">
        <v>0</v>
      </c>
      <c r="ADZ12">
        <v>0</v>
      </c>
      <c r="AEA12">
        <v>0</v>
      </c>
      <c r="AEB12">
        <v>0</v>
      </c>
      <c r="AEC12">
        <v>0</v>
      </c>
      <c r="AED12">
        <v>0</v>
      </c>
      <c r="AEE12">
        <v>0</v>
      </c>
      <c r="AEF12">
        <v>0</v>
      </c>
      <c r="AEG12">
        <v>0</v>
      </c>
      <c r="AEH12">
        <v>0</v>
      </c>
      <c r="AEI12">
        <v>0</v>
      </c>
      <c r="AEJ12">
        <v>0</v>
      </c>
      <c r="AEK12">
        <v>0</v>
      </c>
      <c r="AEL12">
        <v>0</v>
      </c>
      <c r="AEM12">
        <v>0</v>
      </c>
      <c r="AEN12">
        <v>0</v>
      </c>
      <c r="AEO12">
        <v>0</v>
      </c>
      <c r="AEP12">
        <v>0</v>
      </c>
      <c r="AEQ12">
        <v>0</v>
      </c>
      <c r="AER12">
        <v>0</v>
      </c>
      <c r="AES12">
        <v>0</v>
      </c>
      <c r="AET12">
        <v>0</v>
      </c>
      <c r="AEU12">
        <v>0</v>
      </c>
      <c r="AEV12">
        <v>0</v>
      </c>
      <c r="AEW12">
        <v>0</v>
      </c>
      <c r="AEX12">
        <v>0</v>
      </c>
      <c r="AEY12">
        <v>0</v>
      </c>
      <c r="AEZ12">
        <v>0</v>
      </c>
      <c r="AFA12">
        <v>0</v>
      </c>
      <c r="AFB12">
        <v>0</v>
      </c>
      <c r="AFC12">
        <v>0</v>
      </c>
      <c r="AFD12">
        <v>0</v>
      </c>
      <c r="AFE12">
        <v>0</v>
      </c>
      <c r="AFF12">
        <v>0</v>
      </c>
      <c r="AFG12">
        <v>0</v>
      </c>
      <c r="AFH12">
        <v>0</v>
      </c>
      <c r="AFI12">
        <v>0</v>
      </c>
      <c r="AFJ12">
        <v>0</v>
      </c>
      <c r="AFK12">
        <v>0</v>
      </c>
      <c r="AFL12">
        <v>0</v>
      </c>
      <c r="AFM12">
        <v>0</v>
      </c>
      <c r="AFN12">
        <v>0</v>
      </c>
      <c r="AFO12">
        <v>0</v>
      </c>
      <c r="AFP12">
        <v>0</v>
      </c>
      <c r="AFQ12">
        <v>0</v>
      </c>
      <c r="AFR12">
        <v>0</v>
      </c>
      <c r="AFS12">
        <v>0</v>
      </c>
      <c r="AFT12">
        <v>0</v>
      </c>
      <c r="AFU12">
        <v>0</v>
      </c>
      <c r="AFV12">
        <v>0</v>
      </c>
      <c r="AFW12">
        <v>0</v>
      </c>
      <c r="AFX12">
        <v>0</v>
      </c>
      <c r="AFY12">
        <v>0</v>
      </c>
      <c r="AFZ12">
        <v>0</v>
      </c>
      <c r="AGA12">
        <v>0</v>
      </c>
      <c r="AGB12">
        <v>0</v>
      </c>
      <c r="AGC12">
        <v>0</v>
      </c>
      <c r="AGD12">
        <v>0</v>
      </c>
      <c r="AGE12">
        <v>0</v>
      </c>
      <c r="AGF12">
        <v>0</v>
      </c>
      <c r="AGG12">
        <v>0</v>
      </c>
      <c r="AGH12">
        <v>0</v>
      </c>
      <c r="AGI12">
        <v>0</v>
      </c>
      <c r="AGJ12">
        <v>0</v>
      </c>
      <c r="AGK12">
        <v>0</v>
      </c>
      <c r="AGL12">
        <v>0</v>
      </c>
      <c r="AGM12">
        <v>0</v>
      </c>
      <c r="AGN12">
        <v>0</v>
      </c>
      <c r="AGO12">
        <v>0</v>
      </c>
      <c r="AGP12">
        <v>0</v>
      </c>
      <c r="AGQ12">
        <v>0</v>
      </c>
      <c r="AGR12">
        <v>0</v>
      </c>
      <c r="AGS12">
        <v>0</v>
      </c>
      <c r="AGT12">
        <v>0</v>
      </c>
      <c r="AGU12">
        <v>0</v>
      </c>
      <c r="AGV12">
        <v>0</v>
      </c>
      <c r="AGW12">
        <v>0</v>
      </c>
      <c r="AGX12">
        <v>0</v>
      </c>
      <c r="AGY12">
        <v>0</v>
      </c>
      <c r="AGZ12">
        <v>0</v>
      </c>
      <c r="AHA12">
        <v>0</v>
      </c>
      <c r="AHB12">
        <v>0</v>
      </c>
      <c r="AHC12">
        <v>0</v>
      </c>
      <c r="AHD12">
        <v>0</v>
      </c>
      <c r="AHE12">
        <v>0</v>
      </c>
      <c r="AHF12">
        <v>0</v>
      </c>
      <c r="AHG12">
        <v>0</v>
      </c>
      <c r="AHH12">
        <v>0</v>
      </c>
      <c r="AHI12">
        <v>0</v>
      </c>
      <c r="AHJ12">
        <v>0</v>
      </c>
      <c r="AHK12">
        <v>0</v>
      </c>
      <c r="AHL12">
        <v>0</v>
      </c>
      <c r="AHM12">
        <v>0</v>
      </c>
      <c r="AHN12">
        <v>0</v>
      </c>
      <c r="AHO12">
        <v>0</v>
      </c>
      <c r="AHP12">
        <v>0</v>
      </c>
      <c r="AHQ12">
        <v>0</v>
      </c>
      <c r="AHR12">
        <v>0</v>
      </c>
      <c r="AHS12">
        <v>0</v>
      </c>
      <c r="AHT12">
        <v>0</v>
      </c>
      <c r="AHU12">
        <v>0</v>
      </c>
      <c r="AHV12">
        <v>0</v>
      </c>
      <c r="AHW12">
        <v>0</v>
      </c>
      <c r="AHX12">
        <v>0</v>
      </c>
      <c r="AHY12">
        <v>0</v>
      </c>
      <c r="AHZ12">
        <v>0</v>
      </c>
      <c r="AIA12">
        <v>0</v>
      </c>
      <c r="AIB12">
        <v>0</v>
      </c>
      <c r="AIC12">
        <v>0</v>
      </c>
      <c r="AID12">
        <v>0</v>
      </c>
      <c r="AIE12">
        <v>0</v>
      </c>
      <c r="AIF12">
        <v>0</v>
      </c>
      <c r="AIG12">
        <v>0</v>
      </c>
      <c r="AIH12">
        <v>0</v>
      </c>
      <c r="AII12">
        <v>0</v>
      </c>
      <c r="AIJ12">
        <v>0</v>
      </c>
      <c r="AIK12">
        <v>0</v>
      </c>
      <c r="AIL12">
        <v>0</v>
      </c>
      <c r="AIM12">
        <v>0</v>
      </c>
      <c r="AIN12">
        <v>0</v>
      </c>
      <c r="AIO12">
        <v>0</v>
      </c>
      <c r="AIP12">
        <v>0</v>
      </c>
      <c r="AIQ12">
        <v>0</v>
      </c>
      <c r="AIR12">
        <v>0</v>
      </c>
      <c r="AIS12">
        <v>0</v>
      </c>
      <c r="AIT12">
        <v>0</v>
      </c>
      <c r="AIU12">
        <v>0</v>
      </c>
      <c r="AIV12">
        <v>0</v>
      </c>
      <c r="AIW12">
        <v>0</v>
      </c>
      <c r="AIX12">
        <v>0</v>
      </c>
      <c r="AIY12">
        <v>0</v>
      </c>
      <c r="AIZ12">
        <v>0</v>
      </c>
      <c r="AJA12">
        <v>0</v>
      </c>
      <c r="AJB12">
        <v>0</v>
      </c>
      <c r="AJC12">
        <v>0</v>
      </c>
      <c r="AJD12">
        <v>0</v>
      </c>
      <c r="AJE12">
        <v>0</v>
      </c>
      <c r="AJF12">
        <v>0</v>
      </c>
      <c r="AJG12">
        <v>0</v>
      </c>
      <c r="AJH12">
        <v>0</v>
      </c>
      <c r="AJI12">
        <v>0</v>
      </c>
      <c r="AJJ12">
        <v>0</v>
      </c>
      <c r="AJK12">
        <v>0</v>
      </c>
      <c r="AJL12">
        <v>0</v>
      </c>
      <c r="AJM12">
        <v>0</v>
      </c>
      <c r="AJN12">
        <v>0</v>
      </c>
      <c r="AJO12">
        <v>0</v>
      </c>
      <c r="AJP12">
        <v>0</v>
      </c>
      <c r="AJQ12">
        <v>0</v>
      </c>
      <c r="AJR12">
        <v>0</v>
      </c>
      <c r="AJS12">
        <v>0</v>
      </c>
      <c r="AJT12">
        <v>0</v>
      </c>
      <c r="AJU12">
        <v>0</v>
      </c>
      <c r="AJV12">
        <v>0</v>
      </c>
      <c r="AJW12">
        <v>0</v>
      </c>
      <c r="AJX12">
        <v>0</v>
      </c>
      <c r="AJY12">
        <v>0</v>
      </c>
      <c r="AJZ12">
        <v>0</v>
      </c>
      <c r="AKA12">
        <v>0</v>
      </c>
      <c r="AKB12">
        <v>0</v>
      </c>
      <c r="AKC12">
        <v>0</v>
      </c>
      <c r="AKD12">
        <v>0</v>
      </c>
      <c r="AKE12">
        <v>0</v>
      </c>
      <c r="AKF12">
        <v>0</v>
      </c>
      <c r="AKG12">
        <v>0</v>
      </c>
      <c r="AKH12">
        <v>0</v>
      </c>
      <c r="AKI12">
        <v>0</v>
      </c>
      <c r="AKJ12">
        <v>0</v>
      </c>
      <c r="AKK12">
        <v>0</v>
      </c>
      <c r="AKL12">
        <v>0</v>
      </c>
      <c r="AKM12">
        <v>0</v>
      </c>
      <c r="AKN12">
        <v>0</v>
      </c>
      <c r="AKO12">
        <v>0</v>
      </c>
      <c r="AKP12">
        <v>0</v>
      </c>
      <c r="AKQ12">
        <v>0</v>
      </c>
      <c r="AKR12">
        <v>0</v>
      </c>
      <c r="AKS12">
        <v>0</v>
      </c>
      <c r="AKT12">
        <v>0</v>
      </c>
      <c r="AKU12">
        <v>0</v>
      </c>
      <c r="AKV12">
        <v>0</v>
      </c>
      <c r="AKW12">
        <v>0</v>
      </c>
      <c r="AKX12">
        <v>0</v>
      </c>
      <c r="AKY12">
        <v>0</v>
      </c>
      <c r="AKZ12">
        <v>0</v>
      </c>
      <c r="ALA12">
        <v>0</v>
      </c>
      <c r="ALB12">
        <v>0</v>
      </c>
      <c r="ALC12">
        <v>0</v>
      </c>
      <c r="ALD12">
        <v>0</v>
      </c>
      <c r="ALE12">
        <v>0</v>
      </c>
      <c r="ALF12">
        <v>0</v>
      </c>
      <c r="ALG12">
        <v>0</v>
      </c>
      <c r="ALH12">
        <v>0</v>
      </c>
      <c r="ALI12">
        <v>0</v>
      </c>
      <c r="ALJ12">
        <v>0</v>
      </c>
      <c r="ALK12">
        <v>0</v>
      </c>
      <c r="ALL12">
        <v>0</v>
      </c>
      <c r="ALM12">
        <v>0</v>
      </c>
    </row>
    <row r="13" spans="1:1001">
      <c r="A13" s="26"/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0</v>
      </c>
      <c r="ON13">
        <v>0</v>
      </c>
      <c r="OO13">
        <v>0</v>
      </c>
      <c r="OP13">
        <v>0</v>
      </c>
      <c r="OQ13">
        <v>0</v>
      </c>
      <c r="OR13">
        <v>0</v>
      </c>
      <c r="OS13">
        <v>0</v>
      </c>
      <c r="OT13">
        <v>0</v>
      </c>
      <c r="OU13">
        <v>0</v>
      </c>
      <c r="OV13">
        <v>0</v>
      </c>
      <c r="OW13">
        <v>0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0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0</v>
      </c>
      <c r="QW13">
        <v>0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</v>
      </c>
      <c r="RM13">
        <v>0</v>
      </c>
      <c r="RN13">
        <v>0</v>
      </c>
      <c r="RO13">
        <v>0</v>
      </c>
      <c r="RP13">
        <v>0</v>
      </c>
      <c r="RQ13">
        <v>0</v>
      </c>
      <c r="RR13">
        <v>0</v>
      </c>
      <c r="RS13">
        <v>0</v>
      </c>
      <c r="RT13">
        <v>0</v>
      </c>
      <c r="RU13">
        <v>0</v>
      </c>
      <c r="RV13">
        <v>0</v>
      </c>
      <c r="RW13">
        <v>0</v>
      </c>
      <c r="RX13">
        <v>0</v>
      </c>
      <c r="RY13">
        <v>0</v>
      </c>
      <c r="RZ13">
        <v>0</v>
      </c>
      <c r="SA13">
        <v>0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</v>
      </c>
      <c r="SY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0</v>
      </c>
      <c r="TZ13">
        <v>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0</v>
      </c>
      <c r="WC13">
        <v>0</v>
      </c>
      <c r="WD13">
        <v>0</v>
      </c>
      <c r="WE13">
        <v>0</v>
      </c>
      <c r="WF13">
        <v>0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0</v>
      </c>
      <c r="XE13">
        <v>0</v>
      </c>
      <c r="XF13">
        <v>0</v>
      </c>
      <c r="XG13">
        <v>0</v>
      </c>
      <c r="XH13">
        <v>0</v>
      </c>
      <c r="XI13">
        <v>0</v>
      </c>
      <c r="XJ13">
        <v>0</v>
      </c>
      <c r="XK13">
        <v>0</v>
      </c>
      <c r="XL13">
        <v>0</v>
      </c>
      <c r="XM13">
        <v>0</v>
      </c>
      <c r="XN13">
        <v>0</v>
      </c>
      <c r="XO13">
        <v>0</v>
      </c>
      <c r="XP13">
        <v>0</v>
      </c>
      <c r="XQ13">
        <v>0</v>
      </c>
      <c r="XR13">
        <v>0</v>
      </c>
      <c r="XS13">
        <v>0</v>
      </c>
      <c r="XT13">
        <v>0</v>
      </c>
      <c r="XU13">
        <v>0</v>
      </c>
      <c r="XV13">
        <v>0</v>
      </c>
      <c r="XW13">
        <v>0</v>
      </c>
      <c r="XX13">
        <v>0</v>
      </c>
      <c r="XY13">
        <v>0</v>
      </c>
      <c r="XZ13">
        <v>0</v>
      </c>
      <c r="YA13">
        <v>0</v>
      </c>
      <c r="YB13">
        <v>0</v>
      </c>
      <c r="YC13">
        <v>0</v>
      </c>
      <c r="YD13">
        <v>0</v>
      </c>
      <c r="YE13">
        <v>0</v>
      </c>
      <c r="YF13">
        <v>0</v>
      </c>
      <c r="YG13">
        <v>0</v>
      </c>
      <c r="YH13">
        <v>0</v>
      </c>
      <c r="YI13">
        <v>0</v>
      </c>
      <c r="YJ13">
        <v>0</v>
      </c>
      <c r="YK13">
        <v>0</v>
      </c>
      <c r="YL13">
        <v>0</v>
      </c>
      <c r="YM13">
        <v>0</v>
      </c>
      <c r="YN13">
        <v>0</v>
      </c>
      <c r="YO13">
        <v>0</v>
      </c>
      <c r="YP13">
        <v>0</v>
      </c>
      <c r="YQ13">
        <v>0</v>
      </c>
      <c r="YR13">
        <v>0</v>
      </c>
      <c r="YS13">
        <v>0</v>
      </c>
      <c r="YT13">
        <v>0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0</v>
      </c>
      <c r="ZH13">
        <v>0</v>
      </c>
      <c r="ZI13">
        <v>0</v>
      </c>
      <c r="ZJ13">
        <v>0</v>
      </c>
      <c r="ZK13">
        <v>0</v>
      </c>
      <c r="ZL13">
        <v>0</v>
      </c>
      <c r="ZM13">
        <v>0</v>
      </c>
      <c r="ZN13">
        <v>0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0</v>
      </c>
      <c r="AAI13">
        <v>0</v>
      </c>
      <c r="AAJ13">
        <v>0</v>
      </c>
      <c r="AAK13">
        <v>0</v>
      </c>
      <c r="AAL13">
        <v>0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0</v>
      </c>
      <c r="ABB13">
        <v>0</v>
      </c>
      <c r="ABC13">
        <v>0</v>
      </c>
      <c r="ABD13">
        <v>0</v>
      </c>
      <c r="ABE13">
        <v>0</v>
      </c>
      <c r="ABF13">
        <v>0</v>
      </c>
      <c r="ABG13">
        <v>0</v>
      </c>
      <c r="ABH13">
        <v>0</v>
      </c>
      <c r="ABI13">
        <v>0</v>
      </c>
      <c r="ABJ13">
        <v>0</v>
      </c>
      <c r="ABK13">
        <v>0</v>
      </c>
      <c r="ABL13">
        <v>0</v>
      </c>
      <c r="ABM13">
        <v>0</v>
      </c>
      <c r="ABN13">
        <v>0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0</v>
      </c>
      <c r="ABU13">
        <v>0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0</v>
      </c>
      <c r="ADB13">
        <v>0</v>
      </c>
      <c r="ADC13">
        <v>0</v>
      </c>
      <c r="ADD13">
        <v>0</v>
      </c>
      <c r="ADE13">
        <v>0</v>
      </c>
      <c r="ADF13">
        <v>0</v>
      </c>
      <c r="ADG13">
        <v>0</v>
      </c>
      <c r="ADH13">
        <v>0</v>
      </c>
      <c r="ADI13">
        <v>0</v>
      </c>
      <c r="ADJ13">
        <v>0</v>
      </c>
      <c r="ADK13">
        <v>0</v>
      </c>
      <c r="ADL13">
        <v>0</v>
      </c>
      <c r="ADM13">
        <v>0</v>
      </c>
      <c r="ADN13">
        <v>0</v>
      </c>
      <c r="ADO13">
        <v>0</v>
      </c>
      <c r="ADP13">
        <v>0</v>
      </c>
      <c r="ADQ13">
        <v>0</v>
      </c>
      <c r="ADR13">
        <v>0</v>
      </c>
      <c r="ADS13">
        <v>0</v>
      </c>
      <c r="ADT13">
        <v>0</v>
      </c>
      <c r="ADU13">
        <v>0</v>
      </c>
      <c r="ADV13">
        <v>0</v>
      </c>
      <c r="ADW13">
        <v>0</v>
      </c>
      <c r="ADX13">
        <v>0</v>
      </c>
      <c r="ADY13">
        <v>0</v>
      </c>
      <c r="ADZ13">
        <v>0</v>
      </c>
      <c r="AEA13">
        <v>0</v>
      </c>
      <c r="AEB13">
        <v>0</v>
      </c>
      <c r="AEC13">
        <v>0</v>
      </c>
      <c r="AED13">
        <v>0</v>
      </c>
      <c r="AEE13">
        <v>0</v>
      </c>
      <c r="AEF13">
        <v>0</v>
      </c>
      <c r="AEG13">
        <v>0</v>
      </c>
      <c r="AEH13">
        <v>0</v>
      </c>
      <c r="AEI13">
        <v>0</v>
      </c>
      <c r="AEJ13">
        <v>0</v>
      </c>
      <c r="AEK13">
        <v>0</v>
      </c>
      <c r="AEL13">
        <v>0</v>
      </c>
      <c r="AEM13">
        <v>0</v>
      </c>
      <c r="AEN13">
        <v>0</v>
      </c>
      <c r="AEO13">
        <v>0</v>
      </c>
      <c r="AEP13">
        <v>0</v>
      </c>
      <c r="AEQ13">
        <v>0</v>
      </c>
      <c r="AER13">
        <v>0</v>
      </c>
      <c r="AES13">
        <v>0</v>
      </c>
      <c r="AET13">
        <v>0</v>
      </c>
      <c r="AEU13">
        <v>0</v>
      </c>
      <c r="AEV13">
        <v>0</v>
      </c>
      <c r="AEW13">
        <v>0</v>
      </c>
      <c r="AEX13">
        <v>0</v>
      </c>
      <c r="AEY13">
        <v>0</v>
      </c>
      <c r="AEZ13">
        <v>0</v>
      </c>
      <c r="AFA13">
        <v>0</v>
      </c>
      <c r="AFB13">
        <v>0</v>
      </c>
      <c r="AFC13">
        <v>0</v>
      </c>
      <c r="AFD13">
        <v>0</v>
      </c>
      <c r="AFE13">
        <v>0</v>
      </c>
      <c r="AFF13">
        <v>0</v>
      </c>
      <c r="AFG13">
        <v>0</v>
      </c>
      <c r="AFH13">
        <v>0</v>
      </c>
      <c r="AFI13">
        <v>0</v>
      </c>
      <c r="AFJ13">
        <v>0</v>
      </c>
      <c r="AFK13">
        <v>0</v>
      </c>
      <c r="AFL13">
        <v>0</v>
      </c>
      <c r="AFM13">
        <v>0</v>
      </c>
      <c r="AFN13">
        <v>0</v>
      </c>
      <c r="AFO13">
        <v>0</v>
      </c>
      <c r="AFP13">
        <v>0</v>
      </c>
      <c r="AFQ13">
        <v>0</v>
      </c>
      <c r="AFR13">
        <v>0</v>
      </c>
      <c r="AFS13">
        <v>0</v>
      </c>
      <c r="AFT13">
        <v>0</v>
      </c>
      <c r="AFU13">
        <v>0</v>
      </c>
      <c r="AFV13">
        <v>0</v>
      </c>
      <c r="AFW13">
        <v>0</v>
      </c>
      <c r="AFX13">
        <v>0</v>
      </c>
      <c r="AFY13">
        <v>0</v>
      </c>
      <c r="AFZ13">
        <v>0</v>
      </c>
      <c r="AGA13">
        <v>0</v>
      </c>
      <c r="AGB13">
        <v>0</v>
      </c>
      <c r="AGC13">
        <v>0</v>
      </c>
      <c r="AGD13">
        <v>0</v>
      </c>
      <c r="AGE13">
        <v>0</v>
      </c>
      <c r="AGF13">
        <v>0</v>
      </c>
      <c r="AGG13">
        <v>0</v>
      </c>
      <c r="AGH13">
        <v>0</v>
      </c>
      <c r="AGI13">
        <v>0</v>
      </c>
      <c r="AGJ13">
        <v>0</v>
      </c>
      <c r="AGK13">
        <v>0</v>
      </c>
      <c r="AGL13">
        <v>0</v>
      </c>
      <c r="AGM13">
        <v>0</v>
      </c>
      <c r="AGN13">
        <v>0</v>
      </c>
      <c r="AGO13">
        <v>0</v>
      </c>
      <c r="AGP13">
        <v>0</v>
      </c>
      <c r="AGQ13">
        <v>0</v>
      </c>
      <c r="AGR13">
        <v>0</v>
      </c>
      <c r="AGS13">
        <v>0</v>
      </c>
      <c r="AGT13">
        <v>0</v>
      </c>
      <c r="AGU13">
        <v>0</v>
      </c>
      <c r="AGV13">
        <v>0</v>
      </c>
      <c r="AGW13">
        <v>0</v>
      </c>
      <c r="AGX13">
        <v>0</v>
      </c>
      <c r="AGY13">
        <v>0</v>
      </c>
      <c r="AGZ13">
        <v>0</v>
      </c>
      <c r="AHA13">
        <v>0</v>
      </c>
      <c r="AHB13">
        <v>0</v>
      </c>
      <c r="AHC13">
        <v>0</v>
      </c>
      <c r="AHD13">
        <v>0</v>
      </c>
      <c r="AHE13">
        <v>0</v>
      </c>
      <c r="AHF13">
        <v>0</v>
      </c>
      <c r="AHG13">
        <v>0</v>
      </c>
      <c r="AHH13">
        <v>0</v>
      </c>
      <c r="AHI13">
        <v>0</v>
      </c>
      <c r="AHJ13">
        <v>0</v>
      </c>
      <c r="AHK13">
        <v>0</v>
      </c>
      <c r="AHL13">
        <v>0</v>
      </c>
      <c r="AHM13">
        <v>0</v>
      </c>
      <c r="AHN13">
        <v>0</v>
      </c>
      <c r="AHO13">
        <v>0</v>
      </c>
      <c r="AHP13">
        <v>0</v>
      </c>
      <c r="AHQ13">
        <v>0</v>
      </c>
      <c r="AHR13">
        <v>0</v>
      </c>
      <c r="AHS13">
        <v>0</v>
      </c>
      <c r="AHT13">
        <v>0</v>
      </c>
      <c r="AHU13">
        <v>0</v>
      </c>
      <c r="AHV13">
        <v>0</v>
      </c>
      <c r="AHW13">
        <v>0</v>
      </c>
      <c r="AHX13">
        <v>0</v>
      </c>
      <c r="AHY13">
        <v>0</v>
      </c>
      <c r="AHZ13">
        <v>0</v>
      </c>
      <c r="AIA13">
        <v>0</v>
      </c>
      <c r="AIB13">
        <v>0</v>
      </c>
      <c r="AIC13">
        <v>0</v>
      </c>
      <c r="AID13">
        <v>0</v>
      </c>
      <c r="AIE13">
        <v>0</v>
      </c>
      <c r="AIF13">
        <v>0</v>
      </c>
      <c r="AIG13">
        <v>0</v>
      </c>
      <c r="AIH13">
        <v>0</v>
      </c>
      <c r="AII13">
        <v>0</v>
      </c>
      <c r="AIJ13">
        <v>0</v>
      </c>
      <c r="AIK13">
        <v>0</v>
      </c>
      <c r="AIL13">
        <v>0</v>
      </c>
      <c r="AIM13">
        <v>0</v>
      </c>
      <c r="AIN13">
        <v>0</v>
      </c>
      <c r="AIO13">
        <v>0</v>
      </c>
      <c r="AIP13">
        <v>0</v>
      </c>
      <c r="AIQ13">
        <v>0</v>
      </c>
      <c r="AIR13">
        <v>0</v>
      </c>
      <c r="AIS13">
        <v>0</v>
      </c>
      <c r="AIT13">
        <v>0</v>
      </c>
      <c r="AIU13">
        <v>0</v>
      </c>
      <c r="AIV13">
        <v>0</v>
      </c>
      <c r="AIW13">
        <v>0</v>
      </c>
      <c r="AIX13">
        <v>0</v>
      </c>
      <c r="AIY13">
        <v>0</v>
      </c>
      <c r="AIZ13">
        <v>0</v>
      </c>
      <c r="AJA13">
        <v>0</v>
      </c>
      <c r="AJB13">
        <v>0</v>
      </c>
      <c r="AJC13">
        <v>0</v>
      </c>
      <c r="AJD13">
        <v>0</v>
      </c>
      <c r="AJE13">
        <v>0</v>
      </c>
      <c r="AJF13">
        <v>0</v>
      </c>
      <c r="AJG13">
        <v>0</v>
      </c>
      <c r="AJH13">
        <v>0</v>
      </c>
      <c r="AJI13">
        <v>0</v>
      </c>
      <c r="AJJ13">
        <v>0</v>
      </c>
      <c r="AJK13">
        <v>0</v>
      </c>
      <c r="AJL13">
        <v>0</v>
      </c>
      <c r="AJM13">
        <v>0</v>
      </c>
      <c r="AJN13">
        <v>0</v>
      </c>
      <c r="AJO13">
        <v>0</v>
      </c>
      <c r="AJP13">
        <v>0</v>
      </c>
      <c r="AJQ13">
        <v>0</v>
      </c>
      <c r="AJR13">
        <v>0</v>
      </c>
      <c r="AJS13">
        <v>0</v>
      </c>
      <c r="AJT13">
        <v>0</v>
      </c>
      <c r="AJU13">
        <v>0</v>
      </c>
      <c r="AJV13">
        <v>0</v>
      </c>
      <c r="AJW13">
        <v>0</v>
      </c>
      <c r="AJX13">
        <v>0</v>
      </c>
      <c r="AJY13">
        <v>0</v>
      </c>
      <c r="AJZ13">
        <v>0</v>
      </c>
      <c r="AKA13">
        <v>0</v>
      </c>
      <c r="AKB13">
        <v>0</v>
      </c>
      <c r="AKC13">
        <v>0</v>
      </c>
      <c r="AKD13">
        <v>0</v>
      </c>
      <c r="AKE13">
        <v>0</v>
      </c>
      <c r="AKF13">
        <v>0</v>
      </c>
      <c r="AKG13">
        <v>0</v>
      </c>
      <c r="AKH13">
        <v>0</v>
      </c>
      <c r="AKI13">
        <v>0</v>
      </c>
      <c r="AKJ13">
        <v>0</v>
      </c>
      <c r="AKK13">
        <v>0</v>
      </c>
      <c r="AKL13">
        <v>0</v>
      </c>
      <c r="AKM13">
        <v>0</v>
      </c>
      <c r="AKN13">
        <v>0</v>
      </c>
      <c r="AKO13">
        <v>0</v>
      </c>
      <c r="AKP13">
        <v>0</v>
      </c>
      <c r="AKQ13">
        <v>0</v>
      </c>
      <c r="AKR13">
        <v>0</v>
      </c>
      <c r="AKS13">
        <v>0</v>
      </c>
      <c r="AKT13">
        <v>0</v>
      </c>
      <c r="AKU13">
        <v>0</v>
      </c>
      <c r="AKV13">
        <v>0</v>
      </c>
      <c r="AKW13">
        <v>0</v>
      </c>
      <c r="AKX13">
        <v>0</v>
      </c>
      <c r="AKY13">
        <v>0</v>
      </c>
      <c r="AKZ13">
        <v>0</v>
      </c>
      <c r="ALA13">
        <v>0</v>
      </c>
      <c r="ALB13">
        <v>0</v>
      </c>
      <c r="ALC13">
        <v>0</v>
      </c>
      <c r="ALD13">
        <v>0</v>
      </c>
      <c r="ALE13">
        <v>0</v>
      </c>
      <c r="ALF13">
        <v>0</v>
      </c>
      <c r="ALG13">
        <v>0</v>
      </c>
      <c r="ALH13">
        <v>0</v>
      </c>
      <c r="ALI13">
        <v>0</v>
      </c>
      <c r="ALJ13">
        <v>0</v>
      </c>
      <c r="ALK13">
        <v>0</v>
      </c>
      <c r="ALL13">
        <v>0</v>
      </c>
      <c r="ALM13">
        <v>0</v>
      </c>
    </row>
    <row r="14" spans="1:1001">
      <c r="A14" s="26"/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0</v>
      </c>
      <c r="OQ14">
        <v>0</v>
      </c>
      <c r="OR14">
        <v>0</v>
      </c>
      <c r="OS14">
        <v>0</v>
      </c>
      <c r="OT14">
        <v>0</v>
      </c>
      <c r="OU14">
        <v>0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0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0</v>
      </c>
      <c r="RX14">
        <v>0</v>
      </c>
      <c r="RY14">
        <v>0</v>
      </c>
      <c r="RZ14">
        <v>0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0</v>
      </c>
      <c r="TV14">
        <v>0</v>
      </c>
      <c r="TW14">
        <v>0</v>
      </c>
      <c r="TX14">
        <v>0</v>
      </c>
      <c r="TY14">
        <v>0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0</v>
      </c>
      <c r="UG14">
        <v>0</v>
      </c>
      <c r="UH14">
        <v>0</v>
      </c>
      <c r="UI14">
        <v>0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0</v>
      </c>
      <c r="VD14">
        <v>0</v>
      </c>
      <c r="VE14">
        <v>0</v>
      </c>
      <c r="VF14">
        <v>0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0</v>
      </c>
      <c r="VM14">
        <v>0</v>
      </c>
      <c r="VN14">
        <v>0</v>
      </c>
      <c r="VO14">
        <v>0</v>
      </c>
      <c r="VP14">
        <v>0</v>
      </c>
      <c r="VQ14">
        <v>0</v>
      </c>
      <c r="VR14">
        <v>0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0</v>
      </c>
      <c r="WF14">
        <v>0</v>
      </c>
      <c r="WG14">
        <v>0</v>
      </c>
      <c r="WH14">
        <v>0</v>
      </c>
      <c r="WI14">
        <v>0</v>
      </c>
      <c r="WJ14">
        <v>0</v>
      </c>
      <c r="WK14">
        <v>0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0</v>
      </c>
      <c r="XA14">
        <v>0</v>
      </c>
      <c r="XB14">
        <v>0</v>
      </c>
      <c r="XC14">
        <v>0</v>
      </c>
      <c r="XD14">
        <v>0</v>
      </c>
      <c r="XE14">
        <v>0</v>
      </c>
      <c r="XF14">
        <v>0</v>
      </c>
      <c r="XG14">
        <v>0</v>
      </c>
      <c r="XH14">
        <v>0</v>
      </c>
      <c r="XI14">
        <v>0</v>
      </c>
      <c r="XJ14">
        <v>0</v>
      </c>
      <c r="XK14">
        <v>0</v>
      </c>
      <c r="XL14">
        <v>0</v>
      </c>
      <c r="XM14">
        <v>0</v>
      </c>
      <c r="XN14">
        <v>0</v>
      </c>
      <c r="XO14">
        <v>0</v>
      </c>
      <c r="XP14">
        <v>0</v>
      </c>
      <c r="XQ14">
        <v>0</v>
      </c>
      <c r="XR14">
        <v>0</v>
      </c>
      <c r="XS14">
        <v>0</v>
      </c>
      <c r="XT14">
        <v>0</v>
      </c>
      <c r="XU14">
        <v>0</v>
      </c>
      <c r="XV14">
        <v>0</v>
      </c>
      <c r="XW14">
        <v>0</v>
      </c>
      <c r="XX14">
        <v>0</v>
      </c>
      <c r="XY14">
        <v>0</v>
      </c>
      <c r="XZ14">
        <v>0</v>
      </c>
      <c r="YA14">
        <v>0</v>
      </c>
      <c r="YB14">
        <v>0</v>
      </c>
      <c r="YC14">
        <v>0</v>
      </c>
      <c r="YD14">
        <v>0</v>
      </c>
      <c r="YE14">
        <v>0</v>
      </c>
      <c r="YF14">
        <v>0</v>
      </c>
      <c r="YG14">
        <v>0</v>
      </c>
      <c r="YH14">
        <v>0</v>
      </c>
      <c r="YI14">
        <v>0</v>
      </c>
      <c r="YJ14">
        <v>0</v>
      </c>
      <c r="YK14">
        <v>0</v>
      </c>
      <c r="YL14">
        <v>0</v>
      </c>
      <c r="YM14">
        <v>0</v>
      </c>
      <c r="YN14">
        <v>0</v>
      </c>
      <c r="YO14">
        <v>0</v>
      </c>
      <c r="YP14">
        <v>0</v>
      </c>
      <c r="YQ14">
        <v>0</v>
      </c>
      <c r="YR14">
        <v>0</v>
      </c>
      <c r="YS14">
        <v>0</v>
      </c>
      <c r="YT14">
        <v>0</v>
      </c>
      <c r="YU14">
        <v>0</v>
      </c>
      <c r="YV14">
        <v>0</v>
      </c>
      <c r="YW14">
        <v>0</v>
      </c>
      <c r="YX14">
        <v>0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0</v>
      </c>
      <c r="ZK14">
        <v>0</v>
      </c>
      <c r="ZL14">
        <v>0</v>
      </c>
      <c r="ZM14">
        <v>0</v>
      </c>
      <c r="ZN14">
        <v>0</v>
      </c>
      <c r="ZO14">
        <v>0</v>
      </c>
      <c r="ZP14">
        <v>0</v>
      </c>
      <c r="ZQ14">
        <v>0</v>
      </c>
      <c r="ZR14">
        <v>0</v>
      </c>
      <c r="ZS14">
        <v>0</v>
      </c>
      <c r="ZT14">
        <v>0</v>
      </c>
      <c r="ZU14">
        <v>0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0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0</v>
      </c>
      <c r="AAV14">
        <v>0</v>
      </c>
      <c r="AAW14">
        <v>0</v>
      </c>
      <c r="AAX14">
        <v>0</v>
      </c>
      <c r="AAY14">
        <v>0</v>
      </c>
      <c r="AAZ14">
        <v>0</v>
      </c>
      <c r="ABA14">
        <v>0</v>
      </c>
      <c r="ABB14">
        <v>0</v>
      </c>
      <c r="ABC14">
        <v>0</v>
      </c>
      <c r="ABD14">
        <v>0</v>
      </c>
      <c r="ABE14">
        <v>0</v>
      </c>
      <c r="ABF14">
        <v>0</v>
      </c>
      <c r="ABG14">
        <v>0</v>
      </c>
      <c r="ABH14">
        <v>0</v>
      </c>
      <c r="ABI14">
        <v>0</v>
      </c>
      <c r="ABJ14">
        <v>0</v>
      </c>
      <c r="ABK14">
        <v>0</v>
      </c>
      <c r="ABL14">
        <v>0</v>
      </c>
      <c r="ABM14">
        <v>0</v>
      </c>
      <c r="ABN14">
        <v>0</v>
      </c>
      <c r="ABO14">
        <v>0</v>
      </c>
      <c r="ABP14">
        <v>0</v>
      </c>
      <c r="ABQ14">
        <v>0</v>
      </c>
      <c r="ABR14">
        <v>0</v>
      </c>
      <c r="ABS14">
        <v>0</v>
      </c>
      <c r="ABT14">
        <v>0</v>
      </c>
      <c r="ABU14">
        <v>0</v>
      </c>
      <c r="ABV14">
        <v>0</v>
      </c>
      <c r="ABW14">
        <v>0</v>
      </c>
      <c r="ABX14">
        <v>0</v>
      </c>
      <c r="ABY14">
        <v>0</v>
      </c>
      <c r="ABZ14">
        <v>0</v>
      </c>
      <c r="ACA14">
        <v>0</v>
      </c>
      <c r="ACB14">
        <v>0</v>
      </c>
      <c r="ACC14">
        <v>0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0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0</v>
      </c>
      <c r="ACW14">
        <v>0</v>
      </c>
      <c r="ACX14">
        <v>0</v>
      </c>
      <c r="ACY14">
        <v>0</v>
      </c>
      <c r="ACZ14">
        <v>0</v>
      </c>
      <c r="ADA14">
        <v>0</v>
      </c>
      <c r="ADB14">
        <v>0</v>
      </c>
      <c r="ADC14">
        <v>0</v>
      </c>
      <c r="ADD14">
        <v>0</v>
      </c>
      <c r="ADE14">
        <v>0</v>
      </c>
      <c r="ADF14">
        <v>0</v>
      </c>
      <c r="ADG14">
        <v>0</v>
      </c>
      <c r="ADH14">
        <v>0</v>
      </c>
      <c r="ADI14">
        <v>0</v>
      </c>
      <c r="ADJ14">
        <v>0</v>
      </c>
      <c r="ADK14">
        <v>0</v>
      </c>
      <c r="ADL14">
        <v>0</v>
      </c>
      <c r="ADM14">
        <v>0</v>
      </c>
      <c r="ADN14">
        <v>0</v>
      </c>
      <c r="ADO14">
        <v>0</v>
      </c>
      <c r="ADP14">
        <v>0</v>
      </c>
      <c r="ADQ14">
        <v>0</v>
      </c>
      <c r="ADR14">
        <v>0</v>
      </c>
      <c r="ADS14">
        <v>0</v>
      </c>
      <c r="ADT14">
        <v>0</v>
      </c>
      <c r="ADU14">
        <v>0</v>
      </c>
      <c r="ADV14">
        <v>0</v>
      </c>
      <c r="ADW14">
        <v>0</v>
      </c>
      <c r="ADX14">
        <v>0</v>
      </c>
      <c r="ADY14">
        <v>0</v>
      </c>
      <c r="ADZ14">
        <v>0</v>
      </c>
      <c r="AEA14">
        <v>0</v>
      </c>
      <c r="AEB14">
        <v>0</v>
      </c>
      <c r="AEC14">
        <v>0</v>
      </c>
      <c r="AED14">
        <v>0</v>
      </c>
      <c r="AEE14">
        <v>0</v>
      </c>
      <c r="AEF14">
        <v>0</v>
      </c>
      <c r="AEG14">
        <v>0</v>
      </c>
      <c r="AEH14">
        <v>0</v>
      </c>
      <c r="AEI14">
        <v>0</v>
      </c>
      <c r="AEJ14">
        <v>0</v>
      </c>
      <c r="AEK14">
        <v>0</v>
      </c>
      <c r="AEL14">
        <v>0</v>
      </c>
      <c r="AEM14">
        <v>0</v>
      </c>
      <c r="AEN14">
        <v>0</v>
      </c>
      <c r="AEO14">
        <v>0</v>
      </c>
      <c r="AEP14">
        <v>0</v>
      </c>
      <c r="AEQ14">
        <v>0</v>
      </c>
      <c r="AER14">
        <v>0</v>
      </c>
      <c r="AES14">
        <v>0</v>
      </c>
      <c r="AET14">
        <v>0</v>
      </c>
      <c r="AEU14">
        <v>0</v>
      </c>
      <c r="AEV14">
        <v>0</v>
      </c>
      <c r="AEW14">
        <v>0</v>
      </c>
      <c r="AEX14">
        <v>0</v>
      </c>
      <c r="AEY14">
        <v>0</v>
      </c>
      <c r="AEZ14">
        <v>0</v>
      </c>
      <c r="AFA14">
        <v>0</v>
      </c>
      <c r="AFB14">
        <v>0</v>
      </c>
      <c r="AFC14">
        <v>0</v>
      </c>
      <c r="AFD14">
        <v>0</v>
      </c>
      <c r="AFE14">
        <v>0</v>
      </c>
      <c r="AFF14">
        <v>0</v>
      </c>
      <c r="AFG14">
        <v>0</v>
      </c>
      <c r="AFH14">
        <v>0</v>
      </c>
      <c r="AFI14">
        <v>0</v>
      </c>
      <c r="AFJ14">
        <v>0</v>
      </c>
      <c r="AFK14">
        <v>0</v>
      </c>
      <c r="AFL14">
        <v>0</v>
      </c>
      <c r="AFM14">
        <v>0</v>
      </c>
      <c r="AFN14">
        <v>0</v>
      </c>
      <c r="AFO14">
        <v>0</v>
      </c>
      <c r="AFP14">
        <v>0</v>
      </c>
      <c r="AFQ14">
        <v>0</v>
      </c>
      <c r="AFR14">
        <v>0</v>
      </c>
      <c r="AFS14">
        <v>0</v>
      </c>
      <c r="AFT14">
        <v>0</v>
      </c>
      <c r="AFU14">
        <v>0</v>
      </c>
      <c r="AFV14">
        <v>0</v>
      </c>
      <c r="AFW14">
        <v>0</v>
      </c>
      <c r="AFX14">
        <v>0</v>
      </c>
      <c r="AFY14">
        <v>0</v>
      </c>
      <c r="AFZ14">
        <v>0</v>
      </c>
      <c r="AGA14">
        <v>0</v>
      </c>
      <c r="AGB14">
        <v>0</v>
      </c>
      <c r="AGC14">
        <v>0</v>
      </c>
      <c r="AGD14">
        <v>0</v>
      </c>
      <c r="AGE14">
        <v>0</v>
      </c>
      <c r="AGF14">
        <v>0</v>
      </c>
      <c r="AGG14">
        <v>0</v>
      </c>
      <c r="AGH14">
        <v>0</v>
      </c>
      <c r="AGI14">
        <v>0</v>
      </c>
      <c r="AGJ14">
        <v>0</v>
      </c>
      <c r="AGK14">
        <v>0</v>
      </c>
      <c r="AGL14">
        <v>0</v>
      </c>
      <c r="AGM14">
        <v>0</v>
      </c>
      <c r="AGN14">
        <v>0</v>
      </c>
      <c r="AGO14">
        <v>0</v>
      </c>
      <c r="AGP14">
        <v>0</v>
      </c>
      <c r="AGQ14">
        <v>0</v>
      </c>
      <c r="AGR14">
        <v>0</v>
      </c>
      <c r="AGS14">
        <v>0</v>
      </c>
      <c r="AGT14">
        <v>0</v>
      </c>
      <c r="AGU14">
        <v>0</v>
      </c>
      <c r="AGV14">
        <v>0</v>
      </c>
      <c r="AGW14">
        <v>0</v>
      </c>
      <c r="AGX14">
        <v>0</v>
      </c>
      <c r="AGY14">
        <v>0</v>
      </c>
      <c r="AGZ14">
        <v>0</v>
      </c>
      <c r="AHA14">
        <v>0</v>
      </c>
      <c r="AHB14">
        <v>0</v>
      </c>
      <c r="AHC14">
        <v>0</v>
      </c>
      <c r="AHD14">
        <v>0</v>
      </c>
      <c r="AHE14">
        <v>0</v>
      </c>
      <c r="AHF14">
        <v>0</v>
      </c>
      <c r="AHG14">
        <v>0</v>
      </c>
      <c r="AHH14">
        <v>0</v>
      </c>
      <c r="AHI14">
        <v>0</v>
      </c>
      <c r="AHJ14">
        <v>0</v>
      </c>
      <c r="AHK14">
        <v>0</v>
      </c>
      <c r="AHL14">
        <v>0</v>
      </c>
      <c r="AHM14">
        <v>0</v>
      </c>
      <c r="AHN14">
        <v>0</v>
      </c>
      <c r="AHO14">
        <v>0</v>
      </c>
      <c r="AHP14">
        <v>0</v>
      </c>
      <c r="AHQ14">
        <v>0</v>
      </c>
      <c r="AHR14">
        <v>0</v>
      </c>
      <c r="AHS14">
        <v>0</v>
      </c>
      <c r="AHT14">
        <v>0</v>
      </c>
      <c r="AHU14">
        <v>0</v>
      </c>
      <c r="AHV14">
        <v>0</v>
      </c>
      <c r="AHW14">
        <v>0</v>
      </c>
      <c r="AHX14">
        <v>0</v>
      </c>
      <c r="AHY14">
        <v>0</v>
      </c>
      <c r="AHZ14">
        <v>0</v>
      </c>
      <c r="AIA14">
        <v>0</v>
      </c>
      <c r="AIB14">
        <v>0</v>
      </c>
      <c r="AIC14">
        <v>0</v>
      </c>
      <c r="AID14">
        <v>0</v>
      </c>
      <c r="AIE14">
        <v>0</v>
      </c>
      <c r="AIF14">
        <v>0</v>
      </c>
      <c r="AIG14">
        <v>0</v>
      </c>
      <c r="AIH14">
        <v>0</v>
      </c>
      <c r="AII14">
        <v>0</v>
      </c>
      <c r="AIJ14">
        <v>0</v>
      </c>
      <c r="AIK14">
        <v>0</v>
      </c>
      <c r="AIL14">
        <v>0</v>
      </c>
      <c r="AIM14">
        <v>0</v>
      </c>
      <c r="AIN14">
        <v>0</v>
      </c>
      <c r="AIO14">
        <v>0</v>
      </c>
      <c r="AIP14">
        <v>0</v>
      </c>
      <c r="AIQ14">
        <v>0</v>
      </c>
      <c r="AIR14">
        <v>0</v>
      </c>
      <c r="AIS14">
        <v>0</v>
      </c>
      <c r="AIT14">
        <v>0</v>
      </c>
      <c r="AIU14">
        <v>0</v>
      </c>
      <c r="AIV14">
        <v>0</v>
      </c>
      <c r="AIW14">
        <v>0</v>
      </c>
      <c r="AIX14">
        <v>0</v>
      </c>
      <c r="AIY14">
        <v>0</v>
      </c>
      <c r="AIZ14">
        <v>0</v>
      </c>
      <c r="AJA14">
        <v>0</v>
      </c>
      <c r="AJB14">
        <v>0</v>
      </c>
      <c r="AJC14">
        <v>0</v>
      </c>
      <c r="AJD14">
        <v>0</v>
      </c>
      <c r="AJE14">
        <v>0</v>
      </c>
      <c r="AJF14">
        <v>0</v>
      </c>
      <c r="AJG14">
        <v>0</v>
      </c>
      <c r="AJH14">
        <v>0</v>
      </c>
      <c r="AJI14">
        <v>0</v>
      </c>
      <c r="AJJ14">
        <v>0</v>
      </c>
      <c r="AJK14">
        <v>0</v>
      </c>
      <c r="AJL14">
        <v>0</v>
      </c>
      <c r="AJM14">
        <v>0</v>
      </c>
      <c r="AJN14">
        <v>0</v>
      </c>
      <c r="AJO14">
        <v>0</v>
      </c>
      <c r="AJP14">
        <v>0</v>
      </c>
      <c r="AJQ14">
        <v>0</v>
      </c>
      <c r="AJR14">
        <v>0</v>
      </c>
      <c r="AJS14">
        <v>0</v>
      </c>
      <c r="AJT14">
        <v>0</v>
      </c>
      <c r="AJU14">
        <v>0</v>
      </c>
      <c r="AJV14">
        <v>0</v>
      </c>
      <c r="AJW14">
        <v>0</v>
      </c>
      <c r="AJX14">
        <v>0</v>
      </c>
      <c r="AJY14">
        <v>0</v>
      </c>
      <c r="AJZ14">
        <v>0</v>
      </c>
      <c r="AKA14">
        <v>0</v>
      </c>
      <c r="AKB14">
        <v>0</v>
      </c>
      <c r="AKC14">
        <v>0</v>
      </c>
      <c r="AKD14">
        <v>0</v>
      </c>
      <c r="AKE14">
        <v>0</v>
      </c>
      <c r="AKF14">
        <v>0</v>
      </c>
      <c r="AKG14">
        <v>0</v>
      </c>
      <c r="AKH14">
        <v>0</v>
      </c>
      <c r="AKI14">
        <v>0</v>
      </c>
      <c r="AKJ14">
        <v>0</v>
      </c>
      <c r="AKK14">
        <v>0</v>
      </c>
      <c r="AKL14">
        <v>0</v>
      </c>
      <c r="AKM14">
        <v>0</v>
      </c>
      <c r="AKN14">
        <v>0</v>
      </c>
      <c r="AKO14">
        <v>0</v>
      </c>
      <c r="AKP14">
        <v>0</v>
      </c>
      <c r="AKQ14">
        <v>0</v>
      </c>
      <c r="AKR14">
        <v>0</v>
      </c>
      <c r="AKS14">
        <v>0</v>
      </c>
      <c r="AKT14">
        <v>0</v>
      </c>
      <c r="AKU14">
        <v>0</v>
      </c>
      <c r="AKV14">
        <v>0</v>
      </c>
      <c r="AKW14">
        <v>0</v>
      </c>
      <c r="AKX14">
        <v>0</v>
      </c>
      <c r="AKY14">
        <v>0</v>
      </c>
      <c r="AKZ14">
        <v>0</v>
      </c>
      <c r="ALA14">
        <v>0</v>
      </c>
      <c r="ALB14">
        <v>0</v>
      </c>
      <c r="ALC14">
        <v>0</v>
      </c>
      <c r="ALD14">
        <v>0</v>
      </c>
      <c r="ALE14">
        <v>0</v>
      </c>
      <c r="ALF14">
        <v>0</v>
      </c>
      <c r="ALG14">
        <v>0</v>
      </c>
      <c r="ALH14">
        <v>0</v>
      </c>
      <c r="ALI14">
        <v>0</v>
      </c>
      <c r="ALJ14">
        <v>0</v>
      </c>
      <c r="ALK14">
        <v>0</v>
      </c>
      <c r="ALL14">
        <v>0</v>
      </c>
      <c r="ALM14">
        <v>0</v>
      </c>
    </row>
    <row r="15" spans="1:1001">
      <c r="A15" s="26"/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0</v>
      </c>
      <c r="TP15">
        <v>0</v>
      </c>
      <c r="TQ15">
        <v>0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0</v>
      </c>
      <c r="TX15">
        <v>0</v>
      </c>
      <c r="TY15">
        <v>0</v>
      </c>
      <c r="TZ15">
        <v>0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0</v>
      </c>
      <c r="UZ15">
        <v>0</v>
      </c>
      <c r="VA15">
        <v>0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0</v>
      </c>
      <c r="VJ15">
        <v>0</v>
      </c>
      <c r="VK15">
        <v>0</v>
      </c>
      <c r="VL15">
        <v>0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0</v>
      </c>
      <c r="WH15">
        <v>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0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0</v>
      </c>
      <c r="XE15">
        <v>0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0</v>
      </c>
      <c r="XL15">
        <v>0</v>
      </c>
      <c r="XM15">
        <v>0</v>
      </c>
      <c r="XN15">
        <v>0</v>
      </c>
      <c r="XO15">
        <v>0</v>
      </c>
      <c r="XP15">
        <v>0</v>
      </c>
      <c r="XQ15">
        <v>0</v>
      </c>
      <c r="XR15">
        <v>0</v>
      </c>
      <c r="XS15">
        <v>0</v>
      </c>
      <c r="XT15">
        <v>0</v>
      </c>
      <c r="XU15">
        <v>0</v>
      </c>
      <c r="XV15">
        <v>0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0</v>
      </c>
      <c r="YL15">
        <v>0</v>
      </c>
      <c r="YM15">
        <v>0</v>
      </c>
      <c r="YN15">
        <v>0</v>
      </c>
      <c r="YO15">
        <v>0</v>
      </c>
      <c r="YP15">
        <v>0</v>
      </c>
      <c r="YQ15">
        <v>0</v>
      </c>
      <c r="YR15">
        <v>0</v>
      </c>
      <c r="YS15">
        <v>0</v>
      </c>
      <c r="YT15">
        <v>0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0</v>
      </c>
      <c r="AAT15">
        <v>0</v>
      </c>
      <c r="AAU15">
        <v>0</v>
      </c>
      <c r="AAV15">
        <v>0</v>
      </c>
      <c r="AAW15">
        <v>0</v>
      </c>
      <c r="AAX15">
        <v>0</v>
      </c>
      <c r="AAY15">
        <v>0</v>
      </c>
      <c r="AAZ15">
        <v>0</v>
      </c>
      <c r="ABA15">
        <v>0</v>
      </c>
      <c r="ABB15">
        <v>0</v>
      </c>
      <c r="ABC15">
        <v>0</v>
      </c>
      <c r="ABD15">
        <v>0</v>
      </c>
      <c r="ABE15">
        <v>0</v>
      </c>
      <c r="ABF15">
        <v>0</v>
      </c>
      <c r="ABG15">
        <v>0</v>
      </c>
      <c r="ABH15">
        <v>0</v>
      </c>
      <c r="ABI15">
        <v>0</v>
      </c>
      <c r="ABJ15">
        <v>0</v>
      </c>
      <c r="ABK15">
        <v>0</v>
      </c>
      <c r="ABL15">
        <v>0</v>
      </c>
      <c r="ABM15">
        <v>0</v>
      </c>
      <c r="ABN15">
        <v>0</v>
      </c>
      <c r="ABO15">
        <v>0</v>
      </c>
      <c r="ABP15">
        <v>0</v>
      </c>
      <c r="ABQ15">
        <v>0</v>
      </c>
      <c r="ABR15">
        <v>0</v>
      </c>
      <c r="ABS15">
        <v>0</v>
      </c>
      <c r="ABT15">
        <v>0</v>
      </c>
      <c r="ABU15">
        <v>0</v>
      </c>
      <c r="ABV15">
        <v>0</v>
      </c>
      <c r="ABW15">
        <v>0</v>
      </c>
      <c r="ABX15">
        <v>0</v>
      </c>
      <c r="ABY15">
        <v>0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0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  <c r="ADF15">
        <v>0</v>
      </c>
      <c r="ADG15">
        <v>0</v>
      </c>
      <c r="ADH15">
        <v>0</v>
      </c>
      <c r="ADI15">
        <v>0</v>
      </c>
      <c r="ADJ15">
        <v>0</v>
      </c>
      <c r="ADK15">
        <v>0</v>
      </c>
      <c r="ADL15">
        <v>0</v>
      </c>
      <c r="ADM15">
        <v>0</v>
      </c>
      <c r="ADN15">
        <v>0</v>
      </c>
      <c r="ADO15">
        <v>0</v>
      </c>
      <c r="ADP15">
        <v>0</v>
      </c>
      <c r="ADQ15">
        <v>0</v>
      </c>
      <c r="ADR15">
        <v>0</v>
      </c>
      <c r="ADS15">
        <v>0</v>
      </c>
      <c r="ADT15">
        <v>0</v>
      </c>
      <c r="ADU15">
        <v>0</v>
      </c>
      <c r="ADV15">
        <v>0</v>
      </c>
      <c r="ADW15">
        <v>0</v>
      </c>
      <c r="ADX15">
        <v>0</v>
      </c>
      <c r="ADY15">
        <v>0</v>
      </c>
      <c r="ADZ15">
        <v>0</v>
      </c>
      <c r="AEA15">
        <v>0</v>
      </c>
      <c r="AEB15">
        <v>0</v>
      </c>
      <c r="AEC15">
        <v>0</v>
      </c>
      <c r="AED15">
        <v>0</v>
      </c>
      <c r="AEE15">
        <v>0</v>
      </c>
      <c r="AEF15">
        <v>0</v>
      </c>
      <c r="AEG15">
        <v>0</v>
      </c>
      <c r="AEH15">
        <v>0</v>
      </c>
      <c r="AEI15">
        <v>0</v>
      </c>
      <c r="AEJ15">
        <v>0</v>
      </c>
      <c r="AEK15">
        <v>0</v>
      </c>
      <c r="AEL15">
        <v>0</v>
      </c>
      <c r="AEM15">
        <v>0</v>
      </c>
      <c r="AEN15">
        <v>0</v>
      </c>
      <c r="AEO15">
        <v>0</v>
      </c>
      <c r="AEP15">
        <v>0</v>
      </c>
      <c r="AEQ15">
        <v>0</v>
      </c>
      <c r="AER15">
        <v>0</v>
      </c>
      <c r="AES15">
        <v>0</v>
      </c>
      <c r="AET15">
        <v>0</v>
      </c>
      <c r="AEU15">
        <v>0</v>
      </c>
      <c r="AEV15">
        <v>0</v>
      </c>
      <c r="AEW15">
        <v>0</v>
      </c>
      <c r="AEX15">
        <v>0</v>
      </c>
      <c r="AEY15">
        <v>0</v>
      </c>
      <c r="AEZ15">
        <v>0</v>
      </c>
      <c r="AFA15">
        <v>0</v>
      </c>
      <c r="AFB15">
        <v>0</v>
      </c>
      <c r="AFC15">
        <v>0</v>
      </c>
      <c r="AFD15">
        <v>0</v>
      </c>
      <c r="AFE15">
        <v>0</v>
      </c>
      <c r="AFF15">
        <v>0</v>
      </c>
      <c r="AFG15">
        <v>0</v>
      </c>
      <c r="AFH15">
        <v>0</v>
      </c>
      <c r="AFI15">
        <v>0</v>
      </c>
      <c r="AFJ15">
        <v>0</v>
      </c>
      <c r="AFK15">
        <v>0</v>
      </c>
      <c r="AFL15">
        <v>0</v>
      </c>
      <c r="AFM15">
        <v>0</v>
      </c>
      <c r="AFN15">
        <v>0</v>
      </c>
      <c r="AFO15">
        <v>0</v>
      </c>
      <c r="AFP15">
        <v>0</v>
      </c>
      <c r="AFQ15">
        <v>0</v>
      </c>
      <c r="AFR15">
        <v>0</v>
      </c>
      <c r="AFS15">
        <v>0</v>
      </c>
      <c r="AFT15">
        <v>0</v>
      </c>
      <c r="AFU15">
        <v>0</v>
      </c>
      <c r="AFV15">
        <v>0</v>
      </c>
      <c r="AFW15">
        <v>0</v>
      </c>
      <c r="AFX15">
        <v>0</v>
      </c>
      <c r="AFY15">
        <v>0</v>
      </c>
      <c r="AFZ15">
        <v>0</v>
      </c>
      <c r="AGA15">
        <v>0</v>
      </c>
      <c r="AGB15">
        <v>0</v>
      </c>
      <c r="AGC15">
        <v>0</v>
      </c>
      <c r="AGD15">
        <v>0</v>
      </c>
      <c r="AGE15">
        <v>0</v>
      </c>
      <c r="AGF15">
        <v>0</v>
      </c>
      <c r="AGG15">
        <v>0</v>
      </c>
      <c r="AGH15">
        <v>0</v>
      </c>
      <c r="AGI15">
        <v>0</v>
      </c>
      <c r="AGJ15">
        <v>0</v>
      </c>
      <c r="AGK15">
        <v>0</v>
      </c>
      <c r="AGL15">
        <v>0</v>
      </c>
      <c r="AGM15">
        <v>0</v>
      </c>
      <c r="AGN15">
        <v>0</v>
      </c>
      <c r="AGO15">
        <v>0</v>
      </c>
      <c r="AGP15">
        <v>0</v>
      </c>
      <c r="AGQ15">
        <v>0</v>
      </c>
      <c r="AGR15">
        <v>0</v>
      </c>
      <c r="AGS15">
        <v>0</v>
      </c>
      <c r="AGT15">
        <v>0</v>
      </c>
      <c r="AGU15">
        <v>0</v>
      </c>
      <c r="AGV15">
        <v>0</v>
      </c>
      <c r="AGW15">
        <v>0</v>
      </c>
      <c r="AGX15">
        <v>0</v>
      </c>
      <c r="AGY15">
        <v>0</v>
      </c>
      <c r="AGZ15">
        <v>0</v>
      </c>
      <c r="AHA15">
        <v>0</v>
      </c>
      <c r="AHB15">
        <v>0</v>
      </c>
      <c r="AHC15">
        <v>0</v>
      </c>
      <c r="AHD15">
        <v>0</v>
      </c>
      <c r="AHE15">
        <v>0</v>
      </c>
      <c r="AHF15">
        <v>0</v>
      </c>
      <c r="AHG15">
        <v>0</v>
      </c>
      <c r="AHH15">
        <v>0</v>
      </c>
      <c r="AHI15">
        <v>0</v>
      </c>
      <c r="AHJ15">
        <v>0</v>
      </c>
      <c r="AHK15">
        <v>0</v>
      </c>
      <c r="AHL15">
        <v>0</v>
      </c>
      <c r="AHM15">
        <v>0</v>
      </c>
      <c r="AHN15">
        <v>0</v>
      </c>
      <c r="AHO15">
        <v>0</v>
      </c>
      <c r="AHP15">
        <v>0</v>
      </c>
      <c r="AHQ15">
        <v>0</v>
      </c>
      <c r="AHR15">
        <v>0</v>
      </c>
      <c r="AHS15">
        <v>0</v>
      </c>
      <c r="AHT15">
        <v>0</v>
      </c>
      <c r="AHU15">
        <v>0</v>
      </c>
      <c r="AHV15">
        <v>0</v>
      </c>
      <c r="AHW15">
        <v>0</v>
      </c>
      <c r="AHX15">
        <v>0</v>
      </c>
      <c r="AHY15">
        <v>0</v>
      </c>
      <c r="AHZ15">
        <v>0</v>
      </c>
      <c r="AIA15">
        <v>0</v>
      </c>
      <c r="AIB15">
        <v>0</v>
      </c>
      <c r="AIC15">
        <v>0</v>
      </c>
      <c r="AID15">
        <v>0</v>
      </c>
      <c r="AIE15">
        <v>0</v>
      </c>
      <c r="AIF15">
        <v>0</v>
      </c>
      <c r="AIG15">
        <v>0</v>
      </c>
      <c r="AIH15">
        <v>0</v>
      </c>
      <c r="AII15">
        <v>0</v>
      </c>
      <c r="AIJ15">
        <v>0</v>
      </c>
      <c r="AIK15">
        <v>0</v>
      </c>
      <c r="AIL15">
        <v>0</v>
      </c>
      <c r="AIM15">
        <v>0</v>
      </c>
      <c r="AIN15">
        <v>0</v>
      </c>
      <c r="AIO15">
        <v>0</v>
      </c>
      <c r="AIP15">
        <v>0</v>
      </c>
      <c r="AIQ15">
        <v>0</v>
      </c>
      <c r="AIR15">
        <v>0</v>
      </c>
      <c r="AIS15">
        <v>0</v>
      </c>
      <c r="AIT15">
        <v>0</v>
      </c>
      <c r="AIU15">
        <v>0</v>
      </c>
      <c r="AIV15">
        <v>0</v>
      </c>
      <c r="AIW15">
        <v>0</v>
      </c>
      <c r="AIX15">
        <v>0</v>
      </c>
      <c r="AIY15">
        <v>0</v>
      </c>
      <c r="AIZ15">
        <v>0</v>
      </c>
      <c r="AJA15">
        <v>0</v>
      </c>
      <c r="AJB15">
        <v>0</v>
      </c>
      <c r="AJC15">
        <v>0</v>
      </c>
      <c r="AJD15">
        <v>0</v>
      </c>
      <c r="AJE15">
        <v>0</v>
      </c>
      <c r="AJF15">
        <v>0</v>
      </c>
      <c r="AJG15">
        <v>0</v>
      </c>
      <c r="AJH15">
        <v>0</v>
      </c>
      <c r="AJI15">
        <v>0</v>
      </c>
      <c r="AJJ15">
        <v>0</v>
      </c>
      <c r="AJK15">
        <v>0</v>
      </c>
      <c r="AJL15">
        <v>0</v>
      </c>
      <c r="AJM15">
        <v>0</v>
      </c>
      <c r="AJN15">
        <v>0</v>
      </c>
      <c r="AJO15">
        <v>0</v>
      </c>
      <c r="AJP15">
        <v>0</v>
      </c>
      <c r="AJQ15">
        <v>0</v>
      </c>
      <c r="AJR15">
        <v>0</v>
      </c>
      <c r="AJS15">
        <v>0</v>
      </c>
      <c r="AJT15">
        <v>0</v>
      </c>
      <c r="AJU15">
        <v>0</v>
      </c>
      <c r="AJV15">
        <v>0</v>
      </c>
      <c r="AJW15">
        <v>0</v>
      </c>
      <c r="AJX15">
        <v>0</v>
      </c>
      <c r="AJY15">
        <v>0</v>
      </c>
      <c r="AJZ15">
        <v>0</v>
      </c>
      <c r="AKA15">
        <v>0</v>
      </c>
      <c r="AKB15">
        <v>0</v>
      </c>
      <c r="AKC15">
        <v>0</v>
      </c>
      <c r="AKD15">
        <v>0</v>
      </c>
      <c r="AKE15">
        <v>0</v>
      </c>
      <c r="AKF15">
        <v>0</v>
      </c>
      <c r="AKG15">
        <v>0</v>
      </c>
      <c r="AKH15">
        <v>0</v>
      </c>
      <c r="AKI15">
        <v>0</v>
      </c>
      <c r="AKJ15">
        <v>0</v>
      </c>
      <c r="AKK15">
        <v>0</v>
      </c>
      <c r="AKL15">
        <v>0</v>
      </c>
      <c r="AKM15">
        <v>0</v>
      </c>
      <c r="AKN15">
        <v>0</v>
      </c>
      <c r="AKO15">
        <v>0</v>
      </c>
      <c r="AKP15">
        <v>0</v>
      </c>
      <c r="AKQ15">
        <v>0</v>
      </c>
      <c r="AKR15">
        <v>0</v>
      </c>
      <c r="AKS15">
        <v>0</v>
      </c>
      <c r="AKT15">
        <v>0</v>
      </c>
      <c r="AKU15">
        <v>0</v>
      </c>
      <c r="AKV15">
        <v>0</v>
      </c>
      <c r="AKW15">
        <v>0</v>
      </c>
      <c r="AKX15">
        <v>0</v>
      </c>
      <c r="AKY15">
        <v>0</v>
      </c>
      <c r="AKZ15">
        <v>0</v>
      </c>
      <c r="ALA15">
        <v>0</v>
      </c>
      <c r="ALB15">
        <v>0</v>
      </c>
      <c r="ALC15">
        <v>0</v>
      </c>
      <c r="ALD15">
        <v>0</v>
      </c>
      <c r="ALE15">
        <v>0</v>
      </c>
      <c r="ALF15">
        <v>0</v>
      </c>
      <c r="ALG15">
        <v>0</v>
      </c>
      <c r="ALH15">
        <v>0</v>
      </c>
      <c r="ALI15">
        <v>0</v>
      </c>
      <c r="ALJ15">
        <v>0</v>
      </c>
      <c r="ALK15">
        <v>0</v>
      </c>
      <c r="ALL15">
        <v>0</v>
      </c>
      <c r="ALM15">
        <v>0</v>
      </c>
    </row>
    <row r="16" spans="1:1001">
      <c r="A16" s="26"/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0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0</v>
      </c>
      <c r="SC16">
        <v>0</v>
      </c>
      <c r="SD16">
        <v>0</v>
      </c>
      <c r="SE16">
        <v>0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0</v>
      </c>
      <c r="TE16">
        <v>0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0</v>
      </c>
      <c r="UX16">
        <v>0</v>
      </c>
      <c r="UY16">
        <v>0</v>
      </c>
      <c r="UZ16">
        <v>0</v>
      </c>
      <c r="VA16">
        <v>0</v>
      </c>
      <c r="VB16">
        <v>0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0</v>
      </c>
      <c r="VI16">
        <v>0</v>
      </c>
      <c r="VJ16">
        <v>0</v>
      </c>
      <c r="VK16">
        <v>0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</v>
      </c>
      <c r="WG16">
        <v>0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0</v>
      </c>
      <c r="XM16">
        <v>0</v>
      </c>
      <c r="XN16">
        <v>0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0</v>
      </c>
      <c r="YC16">
        <v>0</v>
      </c>
      <c r="YD16">
        <v>0</v>
      </c>
      <c r="YE16">
        <v>0</v>
      </c>
      <c r="YF16">
        <v>0</v>
      </c>
      <c r="YG16">
        <v>0</v>
      </c>
      <c r="YH16">
        <v>0</v>
      </c>
      <c r="YI16">
        <v>0</v>
      </c>
      <c r="YJ16">
        <v>0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0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0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  <c r="ADF16">
        <v>0</v>
      </c>
      <c r="ADG16">
        <v>0</v>
      </c>
      <c r="ADH16">
        <v>0</v>
      </c>
      <c r="ADI16">
        <v>0</v>
      </c>
      <c r="ADJ16">
        <v>0</v>
      </c>
      <c r="ADK16">
        <v>0</v>
      </c>
      <c r="ADL16">
        <v>0</v>
      </c>
      <c r="ADM16">
        <v>0</v>
      </c>
      <c r="ADN16">
        <v>0</v>
      </c>
      <c r="ADO16">
        <v>0</v>
      </c>
      <c r="ADP16">
        <v>0</v>
      </c>
      <c r="ADQ16">
        <v>0</v>
      </c>
      <c r="ADR16">
        <v>0</v>
      </c>
      <c r="ADS16">
        <v>0</v>
      </c>
      <c r="ADT16">
        <v>0</v>
      </c>
      <c r="ADU16">
        <v>0</v>
      </c>
      <c r="ADV16">
        <v>0</v>
      </c>
      <c r="ADW16">
        <v>0</v>
      </c>
      <c r="ADX16">
        <v>0</v>
      </c>
      <c r="ADY16">
        <v>0</v>
      </c>
      <c r="ADZ16">
        <v>0</v>
      </c>
      <c r="AEA16">
        <v>0</v>
      </c>
      <c r="AEB16">
        <v>0</v>
      </c>
      <c r="AEC16">
        <v>0</v>
      </c>
      <c r="AED16">
        <v>0</v>
      </c>
      <c r="AEE16">
        <v>0</v>
      </c>
      <c r="AEF16">
        <v>0</v>
      </c>
      <c r="AEG16">
        <v>0</v>
      </c>
      <c r="AEH16">
        <v>0</v>
      </c>
      <c r="AEI16">
        <v>0</v>
      </c>
      <c r="AEJ16">
        <v>0</v>
      </c>
      <c r="AEK16">
        <v>0</v>
      </c>
      <c r="AEL16">
        <v>0</v>
      </c>
      <c r="AEM16">
        <v>0</v>
      </c>
      <c r="AEN16">
        <v>0</v>
      </c>
      <c r="AEO16">
        <v>0</v>
      </c>
      <c r="AEP16">
        <v>0</v>
      </c>
      <c r="AEQ16">
        <v>0</v>
      </c>
      <c r="AER16">
        <v>0</v>
      </c>
      <c r="AES16">
        <v>0</v>
      </c>
      <c r="AET16">
        <v>0</v>
      </c>
      <c r="AEU16">
        <v>0</v>
      </c>
      <c r="AEV16">
        <v>0</v>
      </c>
      <c r="AEW16">
        <v>0</v>
      </c>
      <c r="AEX16">
        <v>0</v>
      </c>
      <c r="AEY16">
        <v>0</v>
      </c>
      <c r="AEZ16">
        <v>0</v>
      </c>
      <c r="AFA16">
        <v>0</v>
      </c>
      <c r="AFB16">
        <v>0</v>
      </c>
      <c r="AFC16">
        <v>0</v>
      </c>
      <c r="AFD16">
        <v>0</v>
      </c>
      <c r="AFE16">
        <v>0</v>
      </c>
      <c r="AFF16">
        <v>0</v>
      </c>
      <c r="AFG16">
        <v>0</v>
      </c>
      <c r="AFH16">
        <v>0</v>
      </c>
      <c r="AFI16">
        <v>0</v>
      </c>
      <c r="AFJ16">
        <v>0</v>
      </c>
      <c r="AFK16">
        <v>0</v>
      </c>
      <c r="AFL16">
        <v>0</v>
      </c>
      <c r="AFM16">
        <v>0</v>
      </c>
      <c r="AFN16">
        <v>0</v>
      </c>
      <c r="AFO16">
        <v>0</v>
      </c>
      <c r="AFP16">
        <v>0</v>
      </c>
      <c r="AFQ16">
        <v>0</v>
      </c>
      <c r="AFR16">
        <v>0</v>
      </c>
      <c r="AFS16">
        <v>0</v>
      </c>
      <c r="AFT16">
        <v>0</v>
      </c>
      <c r="AFU16">
        <v>0</v>
      </c>
      <c r="AFV16">
        <v>0</v>
      </c>
      <c r="AFW16">
        <v>0</v>
      </c>
      <c r="AFX16">
        <v>0</v>
      </c>
      <c r="AFY16">
        <v>0</v>
      </c>
      <c r="AFZ16">
        <v>0</v>
      </c>
      <c r="AGA16">
        <v>0</v>
      </c>
      <c r="AGB16">
        <v>0</v>
      </c>
      <c r="AGC16">
        <v>0</v>
      </c>
      <c r="AGD16">
        <v>0</v>
      </c>
      <c r="AGE16">
        <v>0</v>
      </c>
      <c r="AGF16">
        <v>0</v>
      </c>
      <c r="AGG16">
        <v>0</v>
      </c>
      <c r="AGH16">
        <v>0</v>
      </c>
      <c r="AGI16">
        <v>0</v>
      </c>
      <c r="AGJ16">
        <v>0</v>
      </c>
      <c r="AGK16">
        <v>0</v>
      </c>
      <c r="AGL16">
        <v>0</v>
      </c>
      <c r="AGM16">
        <v>0</v>
      </c>
      <c r="AGN16">
        <v>0</v>
      </c>
      <c r="AGO16">
        <v>0</v>
      </c>
      <c r="AGP16">
        <v>0</v>
      </c>
      <c r="AGQ16">
        <v>0</v>
      </c>
      <c r="AGR16">
        <v>0</v>
      </c>
      <c r="AGS16">
        <v>0</v>
      </c>
      <c r="AGT16">
        <v>0</v>
      </c>
      <c r="AGU16">
        <v>0</v>
      </c>
      <c r="AGV16">
        <v>0</v>
      </c>
      <c r="AGW16">
        <v>0</v>
      </c>
      <c r="AGX16">
        <v>0</v>
      </c>
      <c r="AGY16">
        <v>0</v>
      </c>
      <c r="AGZ16">
        <v>0</v>
      </c>
      <c r="AHA16">
        <v>0</v>
      </c>
      <c r="AHB16">
        <v>0</v>
      </c>
      <c r="AHC16">
        <v>0</v>
      </c>
      <c r="AHD16">
        <v>0</v>
      </c>
      <c r="AHE16">
        <v>0</v>
      </c>
      <c r="AHF16">
        <v>0</v>
      </c>
      <c r="AHG16">
        <v>0</v>
      </c>
      <c r="AHH16">
        <v>0</v>
      </c>
      <c r="AHI16">
        <v>0</v>
      </c>
      <c r="AHJ16">
        <v>0</v>
      </c>
      <c r="AHK16">
        <v>0</v>
      </c>
      <c r="AHL16">
        <v>0</v>
      </c>
      <c r="AHM16">
        <v>0</v>
      </c>
      <c r="AHN16">
        <v>0</v>
      </c>
      <c r="AHO16">
        <v>0</v>
      </c>
      <c r="AHP16">
        <v>0</v>
      </c>
      <c r="AHQ16">
        <v>0</v>
      </c>
      <c r="AHR16">
        <v>0</v>
      </c>
      <c r="AHS16">
        <v>0</v>
      </c>
      <c r="AHT16">
        <v>0</v>
      </c>
      <c r="AHU16">
        <v>0</v>
      </c>
      <c r="AHV16">
        <v>0</v>
      </c>
      <c r="AHW16">
        <v>0</v>
      </c>
      <c r="AHX16">
        <v>0</v>
      </c>
      <c r="AHY16">
        <v>0</v>
      </c>
      <c r="AHZ16">
        <v>0</v>
      </c>
      <c r="AIA16">
        <v>0</v>
      </c>
      <c r="AIB16">
        <v>0</v>
      </c>
      <c r="AIC16">
        <v>0</v>
      </c>
      <c r="AID16">
        <v>0</v>
      </c>
      <c r="AIE16">
        <v>0</v>
      </c>
      <c r="AIF16">
        <v>0</v>
      </c>
      <c r="AIG16">
        <v>0</v>
      </c>
      <c r="AIH16">
        <v>0</v>
      </c>
      <c r="AII16">
        <v>0</v>
      </c>
      <c r="AIJ16">
        <v>0</v>
      </c>
      <c r="AIK16">
        <v>0</v>
      </c>
      <c r="AIL16">
        <v>0</v>
      </c>
      <c r="AIM16">
        <v>0</v>
      </c>
      <c r="AIN16">
        <v>0</v>
      </c>
      <c r="AIO16">
        <v>0</v>
      </c>
      <c r="AIP16">
        <v>0</v>
      </c>
      <c r="AIQ16">
        <v>0</v>
      </c>
      <c r="AIR16">
        <v>0</v>
      </c>
      <c r="AIS16">
        <v>0</v>
      </c>
      <c r="AIT16">
        <v>0</v>
      </c>
      <c r="AIU16">
        <v>0</v>
      </c>
      <c r="AIV16">
        <v>0</v>
      </c>
      <c r="AIW16">
        <v>0</v>
      </c>
      <c r="AIX16">
        <v>0</v>
      </c>
      <c r="AIY16">
        <v>0</v>
      </c>
      <c r="AIZ16">
        <v>0</v>
      </c>
      <c r="AJA16">
        <v>0</v>
      </c>
      <c r="AJB16">
        <v>0</v>
      </c>
      <c r="AJC16">
        <v>0</v>
      </c>
      <c r="AJD16">
        <v>0</v>
      </c>
      <c r="AJE16">
        <v>0</v>
      </c>
      <c r="AJF16">
        <v>0</v>
      </c>
      <c r="AJG16">
        <v>0</v>
      </c>
      <c r="AJH16">
        <v>0</v>
      </c>
      <c r="AJI16">
        <v>0</v>
      </c>
      <c r="AJJ16">
        <v>0</v>
      </c>
      <c r="AJK16">
        <v>0</v>
      </c>
      <c r="AJL16">
        <v>0</v>
      </c>
      <c r="AJM16">
        <v>0</v>
      </c>
      <c r="AJN16">
        <v>0</v>
      </c>
      <c r="AJO16">
        <v>0</v>
      </c>
      <c r="AJP16">
        <v>0</v>
      </c>
      <c r="AJQ16">
        <v>0</v>
      </c>
      <c r="AJR16">
        <v>0</v>
      </c>
      <c r="AJS16">
        <v>0</v>
      </c>
      <c r="AJT16">
        <v>0</v>
      </c>
      <c r="AJU16">
        <v>0</v>
      </c>
      <c r="AJV16">
        <v>0</v>
      </c>
      <c r="AJW16">
        <v>0</v>
      </c>
      <c r="AJX16">
        <v>0</v>
      </c>
      <c r="AJY16">
        <v>0</v>
      </c>
      <c r="AJZ16">
        <v>0</v>
      </c>
      <c r="AKA16">
        <v>0</v>
      </c>
      <c r="AKB16">
        <v>0</v>
      </c>
      <c r="AKC16">
        <v>0</v>
      </c>
      <c r="AKD16">
        <v>0</v>
      </c>
      <c r="AKE16">
        <v>0</v>
      </c>
      <c r="AKF16">
        <v>0</v>
      </c>
      <c r="AKG16">
        <v>0</v>
      </c>
      <c r="AKH16">
        <v>0</v>
      </c>
      <c r="AKI16">
        <v>0</v>
      </c>
      <c r="AKJ16">
        <v>0</v>
      </c>
      <c r="AKK16">
        <v>0</v>
      </c>
      <c r="AKL16">
        <v>0</v>
      </c>
      <c r="AKM16">
        <v>0</v>
      </c>
      <c r="AKN16">
        <v>0</v>
      </c>
      <c r="AKO16">
        <v>0</v>
      </c>
      <c r="AKP16">
        <v>0</v>
      </c>
      <c r="AKQ16">
        <v>0</v>
      </c>
      <c r="AKR16">
        <v>0</v>
      </c>
      <c r="AKS16">
        <v>0</v>
      </c>
      <c r="AKT16">
        <v>0</v>
      </c>
      <c r="AKU16">
        <v>0</v>
      </c>
      <c r="AKV16">
        <v>0</v>
      </c>
      <c r="AKW16">
        <v>0</v>
      </c>
      <c r="AKX16">
        <v>0</v>
      </c>
      <c r="AKY16">
        <v>0</v>
      </c>
      <c r="AKZ16">
        <v>0</v>
      </c>
      <c r="ALA16">
        <v>0</v>
      </c>
      <c r="ALB16">
        <v>0</v>
      </c>
      <c r="ALC16">
        <v>0</v>
      </c>
      <c r="ALD16">
        <v>0</v>
      </c>
      <c r="ALE16">
        <v>0</v>
      </c>
      <c r="ALF16">
        <v>0</v>
      </c>
      <c r="ALG16">
        <v>0</v>
      </c>
      <c r="ALH16">
        <v>0</v>
      </c>
      <c r="ALI16">
        <v>0</v>
      </c>
      <c r="ALJ16">
        <v>0</v>
      </c>
      <c r="ALK16">
        <v>0</v>
      </c>
      <c r="ALL16">
        <v>0</v>
      </c>
      <c r="ALM16">
        <v>0</v>
      </c>
    </row>
    <row r="17" spans="1:1001">
      <c r="A17" s="26"/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0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0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0</v>
      </c>
      <c r="YI17">
        <v>0</v>
      </c>
      <c r="YJ17">
        <v>0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0</v>
      </c>
      <c r="ADG17">
        <v>0</v>
      </c>
      <c r="ADH17">
        <v>0</v>
      </c>
      <c r="ADI17">
        <v>0</v>
      </c>
      <c r="ADJ17">
        <v>0</v>
      </c>
      <c r="ADK17">
        <v>0</v>
      </c>
      <c r="ADL17">
        <v>0</v>
      </c>
      <c r="ADM17">
        <v>0</v>
      </c>
      <c r="ADN17">
        <v>0</v>
      </c>
      <c r="ADO17">
        <v>0</v>
      </c>
      <c r="ADP17">
        <v>0</v>
      </c>
      <c r="ADQ17">
        <v>0</v>
      </c>
      <c r="ADR17">
        <v>0</v>
      </c>
      <c r="ADS17">
        <v>0</v>
      </c>
      <c r="ADT17">
        <v>0</v>
      </c>
      <c r="ADU17">
        <v>0</v>
      </c>
      <c r="ADV17">
        <v>0</v>
      </c>
      <c r="ADW17">
        <v>0</v>
      </c>
      <c r="ADX17">
        <v>0</v>
      </c>
      <c r="ADY17">
        <v>0</v>
      </c>
      <c r="ADZ17">
        <v>0</v>
      </c>
      <c r="AEA17">
        <v>0</v>
      </c>
      <c r="AEB17">
        <v>0</v>
      </c>
      <c r="AEC17">
        <v>0</v>
      </c>
      <c r="AED17">
        <v>0</v>
      </c>
      <c r="AEE17">
        <v>0</v>
      </c>
      <c r="AEF17">
        <v>0</v>
      </c>
      <c r="AEG17">
        <v>0</v>
      </c>
      <c r="AEH17">
        <v>0</v>
      </c>
      <c r="AEI17">
        <v>0</v>
      </c>
      <c r="AEJ17">
        <v>0</v>
      </c>
      <c r="AEK17">
        <v>0</v>
      </c>
      <c r="AEL17">
        <v>0</v>
      </c>
      <c r="AEM17">
        <v>0</v>
      </c>
      <c r="AEN17">
        <v>0</v>
      </c>
      <c r="AEO17">
        <v>0</v>
      </c>
      <c r="AEP17">
        <v>0</v>
      </c>
      <c r="AEQ17">
        <v>0</v>
      </c>
      <c r="AER17">
        <v>0</v>
      </c>
      <c r="AES17">
        <v>0</v>
      </c>
      <c r="AET17">
        <v>0</v>
      </c>
      <c r="AEU17">
        <v>0</v>
      </c>
      <c r="AEV17">
        <v>0</v>
      </c>
      <c r="AEW17">
        <v>0</v>
      </c>
      <c r="AEX17">
        <v>0</v>
      </c>
      <c r="AEY17">
        <v>0</v>
      </c>
      <c r="AEZ17">
        <v>0</v>
      </c>
      <c r="AFA17">
        <v>0</v>
      </c>
      <c r="AFB17">
        <v>0</v>
      </c>
      <c r="AFC17">
        <v>0</v>
      </c>
      <c r="AFD17">
        <v>0</v>
      </c>
      <c r="AFE17">
        <v>0</v>
      </c>
      <c r="AFF17">
        <v>0</v>
      </c>
      <c r="AFG17">
        <v>0</v>
      </c>
      <c r="AFH17">
        <v>0</v>
      </c>
      <c r="AFI17">
        <v>0</v>
      </c>
      <c r="AFJ17">
        <v>0</v>
      </c>
      <c r="AFK17">
        <v>0</v>
      </c>
      <c r="AFL17">
        <v>0</v>
      </c>
      <c r="AFM17">
        <v>0</v>
      </c>
      <c r="AFN17">
        <v>0</v>
      </c>
      <c r="AFO17">
        <v>0</v>
      </c>
      <c r="AFP17">
        <v>0</v>
      </c>
      <c r="AFQ17">
        <v>0</v>
      </c>
      <c r="AFR17">
        <v>0</v>
      </c>
      <c r="AFS17">
        <v>0</v>
      </c>
      <c r="AFT17">
        <v>0</v>
      </c>
      <c r="AFU17">
        <v>0</v>
      </c>
      <c r="AFV17">
        <v>0</v>
      </c>
      <c r="AFW17">
        <v>0</v>
      </c>
      <c r="AFX17">
        <v>0</v>
      </c>
      <c r="AFY17">
        <v>0</v>
      </c>
      <c r="AFZ17">
        <v>0</v>
      </c>
      <c r="AGA17">
        <v>0</v>
      </c>
      <c r="AGB17">
        <v>0</v>
      </c>
      <c r="AGC17">
        <v>0</v>
      </c>
      <c r="AGD17">
        <v>0</v>
      </c>
      <c r="AGE17">
        <v>0</v>
      </c>
      <c r="AGF17">
        <v>0</v>
      </c>
      <c r="AGG17">
        <v>0</v>
      </c>
      <c r="AGH17">
        <v>0</v>
      </c>
      <c r="AGI17">
        <v>0</v>
      </c>
      <c r="AGJ17">
        <v>0</v>
      </c>
      <c r="AGK17">
        <v>0</v>
      </c>
      <c r="AGL17">
        <v>0</v>
      </c>
      <c r="AGM17">
        <v>0</v>
      </c>
      <c r="AGN17">
        <v>0</v>
      </c>
      <c r="AGO17">
        <v>0</v>
      </c>
      <c r="AGP17">
        <v>0</v>
      </c>
      <c r="AGQ17">
        <v>0</v>
      </c>
      <c r="AGR17">
        <v>0</v>
      </c>
      <c r="AGS17">
        <v>0</v>
      </c>
      <c r="AGT17">
        <v>0</v>
      </c>
      <c r="AGU17">
        <v>0</v>
      </c>
      <c r="AGV17">
        <v>0</v>
      </c>
      <c r="AGW17">
        <v>0</v>
      </c>
      <c r="AGX17">
        <v>0</v>
      </c>
      <c r="AGY17">
        <v>0</v>
      </c>
      <c r="AGZ17">
        <v>0</v>
      </c>
      <c r="AHA17">
        <v>0</v>
      </c>
      <c r="AHB17">
        <v>0</v>
      </c>
      <c r="AHC17">
        <v>0</v>
      </c>
      <c r="AHD17">
        <v>0</v>
      </c>
      <c r="AHE17">
        <v>0</v>
      </c>
      <c r="AHF17">
        <v>0</v>
      </c>
      <c r="AHG17">
        <v>0</v>
      </c>
      <c r="AHH17">
        <v>0</v>
      </c>
      <c r="AHI17">
        <v>0</v>
      </c>
      <c r="AHJ17">
        <v>0</v>
      </c>
      <c r="AHK17">
        <v>0</v>
      </c>
      <c r="AHL17">
        <v>0</v>
      </c>
      <c r="AHM17">
        <v>0</v>
      </c>
      <c r="AHN17">
        <v>0</v>
      </c>
      <c r="AHO17">
        <v>0</v>
      </c>
      <c r="AHP17">
        <v>0</v>
      </c>
      <c r="AHQ17">
        <v>0</v>
      </c>
      <c r="AHR17">
        <v>0</v>
      </c>
      <c r="AHS17">
        <v>0</v>
      </c>
      <c r="AHT17">
        <v>0</v>
      </c>
      <c r="AHU17">
        <v>0</v>
      </c>
      <c r="AHV17">
        <v>0</v>
      </c>
      <c r="AHW17">
        <v>0</v>
      </c>
      <c r="AHX17">
        <v>0</v>
      </c>
      <c r="AHY17">
        <v>0</v>
      </c>
      <c r="AHZ17">
        <v>0</v>
      </c>
      <c r="AIA17">
        <v>0</v>
      </c>
      <c r="AIB17">
        <v>0</v>
      </c>
      <c r="AIC17">
        <v>0</v>
      </c>
      <c r="AID17">
        <v>0</v>
      </c>
      <c r="AIE17">
        <v>0</v>
      </c>
      <c r="AIF17">
        <v>0</v>
      </c>
      <c r="AIG17">
        <v>0</v>
      </c>
      <c r="AIH17">
        <v>0</v>
      </c>
      <c r="AII17">
        <v>0</v>
      </c>
      <c r="AIJ17">
        <v>0</v>
      </c>
      <c r="AIK17">
        <v>0</v>
      </c>
      <c r="AIL17">
        <v>0</v>
      </c>
      <c r="AIM17">
        <v>0</v>
      </c>
      <c r="AIN17">
        <v>0</v>
      </c>
      <c r="AIO17">
        <v>0</v>
      </c>
      <c r="AIP17">
        <v>0</v>
      </c>
      <c r="AIQ17">
        <v>0</v>
      </c>
      <c r="AIR17">
        <v>0</v>
      </c>
      <c r="AIS17">
        <v>0</v>
      </c>
      <c r="AIT17">
        <v>0</v>
      </c>
      <c r="AIU17">
        <v>0</v>
      </c>
      <c r="AIV17">
        <v>0</v>
      </c>
      <c r="AIW17">
        <v>0</v>
      </c>
      <c r="AIX17">
        <v>0</v>
      </c>
      <c r="AIY17">
        <v>0</v>
      </c>
      <c r="AIZ17">
        <v>0</v>
      </c>
      <c r="AJA17">
        <v>0</v>
      </c>
      <c r="AJB17">
        <v>0</v>
      </c>
      <c r="AJC17">
        <v>0</v>
      </c>
      <c r="AJD17">
        <v>0</v>
      </c>
      <c r="AJE17">
        <v>0</v>
      </c>
      <c r="AJF17">
        <v>0</v>
      </c>
      <c r="AJG17">
        <v>0</v>
      </c>
      <c r="AJH17">
        <v>0</v>
      </c>
      <c r="AJI17">
        <v>0</v>
      </c>
      <c r="AJJ17">
        <v>0</v>
      </c>
      <c r="AJK17">
        <v>0</v>
      </c>
      <c r="AJL17">
        <v>0</v>
      </c>
      <c r="AJM17">
        <v>0</v>
      </c>
      <c r="AJN17">
        <v>0</v>
      </c>
      <c r="AJO17">
        <v>0</v>
      </c>
      <c r="AJP17">
        <v>0</v>
      </c>
      <c r="AJQ17">
        <v>0</v>
      </c>
      <c r="AJR17">
        <v>0</v>
      </c>
      <c r="AJS17">
        <v>0</v>
      </c>
      <c r="AJT17">
        <v>0</v>
      </c>
      <c r="AJU17">
        <v>0</v>
      </c>
      <c r="AJV17">
        <v>0</v>
      </c>
      <c r="AJW17">
        <v>0</v>
      </c>
      <c r="AJX17">
        <v>0</v>
      </c>
      <c r="AJY17">
        <v>0</v>
      </c>
      <c r="AJZ17">
        <v>0</v>
      </c>
      <c r="AKA17">
        <v>0</v>
      </c>
      <c r="AKB17">
        <v>0</v>
      </c>
      <c r="AKC17">
        <v>0</v>
      </c>
      <c r="AKD17">
        <v>0</v>
      </c>
      <c r="AKE17">
        <v>0</v>
      </c>
      <c r="AKF17">
        <v>0</v>
      </c>
      <c r="AKG17">
        <v>0</v>
      </c>
      <c r="AKH17">
        <v>0</v>
      </c>
      <c r="AKI17">
        <v>0</v>
      </c>
      <c r="AKJ17">
        <v>0</v>
      </c>
      <c r="AKK17">
        <v>0</v>
      </c>
      <c r="AKL17">
        <v>0</v>
      </c>
      <c r="AKM17">
        <v>0</v>
      </c>
      <c r="AKN17">
        <v>0</v>
      </c>
      <c r="AKO17">
        <v>0</v>
      </c>
      <c r="AKP17">
        <v>0</v>
      </c>
      <c r="AKQ17">
        <v>0</v>
      </c>
      <c r="AKR17">
        <v>0</v>
      </c>
      <c r="AKS17">
        <v>0</v>
      </c>
      <c r="AKT17">
        <v>0</v>
      </c>
      <c r="AKU17">
        <v>0</v>
      </c>
      <c r="AKV17">
        <v>0</v>
      </c>
      <c r="AKW17">
        <v>0</v>
      </c>
      <c r="AKX17">
        <v>0</v>
      </c>
      <c r="AKY17">
        <v>0</v>
      </c>
      <c r="AKZ17">
        <v>0</v>
      </c>
      <c r="ALA17">
        <v>0</v>
      </c>
      <c r="ALB17">
        <v>0</v>
      </c>
      <c r="ALC17">
        <v>0</v>
      </c>
      <c r="ALD17">
        <v>0</v>
      </c>
      <c r="ALE17">
        <v>0</v>
      </c>
      <c r="ALF17">
        <v>0</v>
      </c>
      <c r="ALG17">
        <v>0</v>
      </c>
      <c r="ALH17">
        <v>0</v>
      </c>
      <c r="ALI17">
        <v>0</v>
      </c>
      <c r="ALJ17">
        <v>0</v>
      </c>
      <c r="ALK17">
        <v>0</v>
      </c>
      <c r="ALL17">
        <v>0</v>
      </c>
      <c r="ALM17">
        <v>0</v>
      </c>
    </row>
    <row r="18" spans="1:1001">
      <c r="A18" s="26"/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0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0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0</v>
      </c>
      <c r="ACB18">
        <v>0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0</v>
      </c>
      <c r="ADG18">
        <v>0</v>
      </c>
      <c r="ADH18">
        <v>0</v>
      </c>
      <c r="ADI18">
        <v>0</v>
      </c>
      <c r="ADJ18">
        <v>0</v>
      </c>
      <c r="ADK18">
        <v>0</v>
      </c>
      <c r="ADL18">
        <v>0</v>
      </c>
      <c r="ADM18">
        <v>0</v>
      </c>
      <c r="ADN18">
        <v>0</v>
      </c>
      <c r="ADO18">
        <v>0</v>
      </c>
      <c r="ADP18">
        <v>0</v>
      </c>
      <c r="ADQ18">
        <v>0</v>
      </c>
      <c r="ADR18">
        <v>0</v>
      </c>
      <c r="ADS18">
        <v>0</v>
      </c>
      <c r="ADT18">
        <v>0</v>
      </c>
      <c r="ADU18">
        <v>0</v>
      </c>
      <c r="ADV18">
        <v>0</v>
      </c>
      <c r="ADW18">
        <v>0</v>
      </c>
      <c r="ADX18">
        <v>0</v>
      </c>
      <c r="ADY18">
        <v>0</v>
      </c>
      <c r="ADZ18">
        <v>0</v>
      </c>
      <c r="AEA18">
        <v>0</v>
      </c>
      <c r="AEB18">
        <v>0</v>
      </c>
      <c r="AEC18">
        <v>0</v>
      </c>
      <c r="AED18">
        <v>0</v>
      </c>
      <c r="AEE18">
        <v>0</v>
      </c>
      <c r="AEF18">
        <v>0</v>
      </c>
      <c r="AEG18">
        <v>0</v>
      </c>
      <c r="AEH18">
        <v>0</v>
      </c>
      <c r="AEI18">
        <v>0</v>
      </c>
      <c r="AEJ18">
        <v>0</v>
      </c>
      <c r="AEK18">
        <v>0</v>
      </c>
      <c r="AEL18">
        <v>0</v>
      </c>
      <c r="AEM18">
        <v>0</v>
      </c>
      <c r="AEN18">
        <v>0</v>
      </c>
      <c r="AEO18">
        <v>0</v>
      </c>
      <c r="AEP18">
        <v>0</v>
      </c>
      <c r="AEQ18">
        <v>0</v>
      </c>
      <c r="AER18">
        <v>0</v>
      </c>
      <c r="AES18">
        <v>0</v>
      </c>
      <c r="AET18">
        <v>0</v>
      </c>
      <c r="AEU18">
        <v>0</v>
      </c>
      <c r="AEV18">
        <v>0</v>
      </c>
      <c r="AEW18">
        <v>0</v>
      </c>
      <c r="AEX18">
        <v>0</v>
      </c>
      <c r="AEY18">
        <v>0</v>
      </c>
      <c r="AEZ18">
        <v>0</v>
      </c>
      <c r="AFA18">
        <v>0</v>
      </c>
      <c r="AFB18">
        <v>0</v>
      </c>
      <c r="AFC18">
        <v>0</v>
      </c>
      <c r="AFD18">
        <v>0</v>
      </c>
      <c r="AFE18">
        <v>0</v>
      </c>
      <c r="AFF18">
        <v>0</v>
      </c>
      <c r="AFG18">
        <v>0</v>
      </c>
      <c r="AFH18">
        <v>0</v>
      </c>
      <c r="AFI18">
        <v>0</v>
      </c>
      <c r="AFJ18">
        <v>0</v>
      </c>
      <c r="AFK18">
        <v>0</v>
      </c>
      <c r="AFL18">
        <v>0</v>
      </c>
      <c r="AFM18">
        <v>0</v>
      </c>
      <c r="AFN18">
        <v>0</v>
      </c>
      <c r="AFO18">
        <v>0</v>
      </c>
      <c r="AFP18">
        <v>0</v>
      </c>
      <c r="AFQ18">
        <v>0</v>
      </c>
      <c r="AFR18">
        <v>0</v>
      </c>
      <c r="AFS18">
        <v>0</v>
      </c>
      <c r="AFT18">
        <v>0</v>
      </c>
      <c r="AFU18">
        <v>0</v>
      </c>
      <c r="AFV18">
        <v>0</v>
      </c>
      <c r="AFW18">
        <v>0</v>
      </c>
      <c r="AFX18">
        <v>0</v>
      </c>
      <c r="AFY18">
        <v>0</v>
      </c>
      <c r="AFZ18">
        <v>0</v>
      </c>
      <c r="AGA18">
        <v>0</v>
      </c>
      <c r="AGB18">
        <v>0</v>
      </c>
      <c r="AGC18">
        <v>0</v>
      </c>
      <c r="AGD18">
        <v>0</v>
      </c>
      <c r="AGE18">
        <v>0</v>
      </c>
      <c r="AGF18">
        <v>0</v>
      </c>
      <c r="AGG18">
        <v>0</v>
      </c>
      <c r="AGH18">
        <v>0</v>
      </c>
      <c r="AGI18">
        <v>0</v>
      </c>
      <c r="AGJ18">
        <v>0</v>
      </c>
      <c r="AGK18">
        <v>0</v>
      </c>
      <c r="AGL18">
        <v>0</v>
      </c>
      <c r="AGM18">
        <v>0</v>
      </c>
      <c r="AGN18">
        <v>0</v>
      </c>
      <c r="AGO18">
        <v>0</v>
      </c>
      <c r="AGP18">
        <v>0</v>
      </c>
      <c r="AGQ18">
        <v>0</v>
      </c>
      <c r="AGR18">
        <v>0</v>
      </c>
      <c r="AGS18">
        <v>0</v>
      </c>
      <c r="AGT18">
        <v>0</v>
      </c>
      <c r="AGU18">
        <v>0</v>
      </c>
      <c r="AGV18">
        <v>0</v>
      </c>
      <c r="AGW18">
        <v>0</v>
      </c>
      <c r="AGX18">
        <v>0</v>
      </c>
      <c r="AGY18">
        <v>0</v>
      </c>
      <c r="AGZ18">
        <v>0</v>
      </c>
      <c r="AHA18">
        <v>0</v>
      </c>
      <c r="AHB18">
        <v>0</v>
      </c>
      <c r="AHC18">
        <v>0</v>
      </c>
      <c r="AHD18">
        <v>0</v>
      </c>
      <c r="AHE18">
        <v>0</v>
      </c>
      <c r="AHF18">
        <v>0</v>
      </c>
      <c r="AHG18">
        <v>0</v>
      </c>
      <c r="AHH18">
        <v>0</v>
      </c>
      <c r="AHI18">
        <v>0</v>
      </c>
      <c r="AHJ18">
        <v>0</v>
      </c>
      <c r="AHK18">
        <v>0</v>
      </c>
      <c r="AHL18">
        <v>0</v>
      </c>
      <c r="AHM18">
        <v>0</v>
      </c>
      <c r="AHN18">
        <v>0</v>
      </c>
      <c r="AHO18">
        <v>0</v>
      </c>
      <c r="AHP18">
        <v>0</v>
      </c>
      <c r="AHQ18">
        <v>0</v>
      </c>
      <c r="AHR18">
        <v>0</v>
      </c>
      <c r="AHS18">
        <v>0</v>
      </c>
      <c r="AHT18">
        <v>0</v>
      </c>
      <c r="AHU18">
        <v>0</v>
      </c>
      <c r="AHV18">
        <v>0</v>
      </c>
      <c r="AHW18">
        <v>0</v>
      </c>
      <c r="AHX18">
        <v>0</v>
      </c>
      <c r="AHY18">
        <v>0</v>
      </c>
      <c r="AHZ18">
        <v>0</v>
      </c>
      <c r="AIA18">
        <v>0</v>
      </c>
      <c r="AIB18">
        <v>0</v>
      </c>
      <c r="AIC18">
        <v>0</v>
      </c>
      <c r="AID18">
        <v>0</v>
      </c>
      <c r="AIE18">
        <v>0</v>
      </c>
      <c r="AIF18">
        <v>0</v>
      </c>
      <c r="AIG18">
        <v>0</v>
      </c>
      <c r="AIH18">
        <v>0</v>
      </c>
      <c r="AII18">
        <v>0</v>
      </c>
      <c r="AIJ18">
        <v>0</v>
      </c>
      <c r="AIK18">
        <v>0</v>
      </c>
      <c r="AIL18">
        <v>0</v>
      </c>
      <c r="AIM18">
        <v>0</v>
      </c>
      <c r="AIN18">
        <v>0</v>
      </c>
      <c r="AIO18">
        <v>0</v>
      </c>
      <c r="AIP18">
        <v>0</v>
      </c>
      <c r="AIQ18">
        <v>0</v>
      </c>
      <c r="AIR18">
        <v>0</v>
      </c>
      <c r="AIS18">
        <v>0</v>
      </c>
      <c r="AIT18">
        <v>0</v>
      </c>
      <c r="AIU18">
        <v>0</v>
      </c>
      <c r="AIV18">
        <v>0</v>
      </c>
      <c r="AIW18">
        <v>0</v>
      </c>
      <c r="AIX18">
        <v>0</v>
      </c>
      <c r="AIY18">
        <v>0</v>
      </c>
      <c r="AIZ18">
        <v>0</v>
      </c>
      <c r="AJA18">
        <v>0</v>
      </c>
      <c r="AJB18">
        <v>0</v>
      </c>
      <c r="AJC18">
        <v>0</v>
      </c>
      <c r="AJD18">
        <v>0</v>
      </c>
      <c r="AJE18">
        <v>0</v>
      </c>
      <c r="AJF18">
        <v>0</v>
      </c>
      <c r="AJG18">
        <v>0</v>
      </c>
      <c r="AJH18">
        <v>0</v>
      </c>
      <c r="AJI18">
        <v>0</v>
      </c>
      <c r="AJJ18">
        <v>0</v>
      </c>
      <c r="AJK18">
        <v>0</v>
      </c>
      <c r="AJL18">
        <v>0</v>
      </c>
      <c r="AJM18">
        <v>0</v>
      </c>
      <c r="AJN18">
        <v>0</v>
      </c>
      <c r="AJO18">
        <v>0</v>
      </c>
      <c r="AJP18">
        <v>0</v>
      </c>
      <c r="AJQ18">
        <v>0</v>
      </c>
      <c r="AJR18">
        <v>0</v>
      </c>
      <c r="AJS18">
        <v>0</v>
      </c>
      <c r="AJT18">
        <v>0</v>
      </c>
      <c r="AJU18">
        <v>0</v>
      </c>
      <c r="AJV18">
        <v>0</v>
      </c>
      <c r="AJW18">
        <v>0</v>
      </c>
      <c r="AJX18">
        <v>0</v>
      </c>
      <c r="AJY18">
        <v>0</v>
      </c>
      <c r="AJZ18">
        <v>0</v>
      </c>
      <c r="AKA18">
        <v>0</v>
      </c>
      <c r="AKB18">
        <v>0</v>
      </c>
      <c r="AKC18">
        <v>0</v>
      </c>
      <c r="AKD18">
        <v>0</v>
      </c>
      <c r="AKE18">
        <v>0</v>
      </c>
      <c r="AKF18">
        <v>0</v>
      </c>
      <c r="AKG18">
        <v>0</v>
      </c>
      <c r="AKH18">
        <v>0</v>
      </c>
      <c r="AKI18">
        <v>0</v>
      </c>
      <c r="AKJ18">
        <v>0</v>
      </c>
      <c r="AKK18">
        <v>0</v>
      </c>
      <c r="AKL18">
        <v>0</v>
      </c>
      <c r="AKM18">
        <v>0</v>
      </c>
      <c r="AKN18">
        <v>0</v>
      </c>
      <c r="AKO18">
        <v>0</v>
      </c>
      <c r="AKP18">
        <v>0</v>
      </c>
      <c r="AKQ18">
        <v>0</v>
      </c>
      <c r="AKR18">
        <v>0</v>
      </c>
      <c r="AKS18">
        <v>0</v>
      </c>
      <c r="AKT18">
        <v>0</v>
      </c>
      <c r="AKU18">
        <v>0</v>
      </c>
      <c r="AKV18">
        <v>0</v>
      </c>
      <c r="AKW18">
        <v>0</v>
      </c>
      <c r="AKX18">
        <v>0</v>
      </c>
      <c r="AKY18">
        <v>0</v>
      </c>
      <c r="AKZ18">
        <v>0</v>
      </c>
      <c r="ALA18">
        <v>0</v>
      </c>
      <c r="ALB18">
        <v>0</v>
      </c>
      <c r="ALC18">
        <v>0</v>
      </c>
      <c r="ALD18">
        <v>0</v>
      </c>
      <c r="ALE18">
        <v>0</v>
      </c>
      <c r="ALF18">
        <v>0</v>
      </c>
      <c r="ALG18">
        <v>0</v>
      </c>
      <c r="ALH18">
        <v>0</v>
      </c>
      <c r="ALI18">
        <v>0</v>
      </c>
      <c r="ALJ18">
        <v>0</v>
      </c>
      <c r="ALK18">
        <v>0</v>
      </c>
      <c r="ALL18">
        <v>0</v>
      </c>
      <c r="ALM18">
        <v>0</v>
      </c>
    </row>
    <row r="19" spans="1:1001">
      <c r="A19" s="26"/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0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0</v>
      </c>
      <c r="TV19">
        <v>0</v>
      </c>
      <c r="TW19">
        <v>0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0</v>
      </c>
      <c r="UY19">
        <v>0</v>
      </c>
      <c r="UZ19">
        <v>0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0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</v>
      </c>
      <c r="YI19">
        <v>0</v>
      </c>
      <c r="YJ19">
        <v>0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0</v>
      </c>
      <c r="ABD19">
        <v>0</v>
      </c>
      <c r="ABE19">
        <v>0</v>
      </c>
      <c r="ABF19">
        <v>0</v>
      </c>
      <c r="ABG19">
        <v>0</v>
      </c>
      <c r="ABH19">
        <v>0</v>
      </c>
      <c r="ABI19">
        <v>0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  <c r="ADF19">
        <v>0</v>
      </c>
      <c r="ADG19">
        <v>0</v>
      </c>
      <c r="ADH19">
        <v>0</v>
      </c>
      <c r="ADI19">
        <v>0</v>
      </c>
      <c r="ADJ19">
        <v>0</v>
      </c>
      <c r="ADK19">
        <v>0</v>
      </c>
      <c r="ADL19">
        <v>0</v>
      </c>
      <c r="ADM19">
        <v>0</v>
      </c>
      <c r="ADN19">
        <v>0</v>
      </c>
      <c r="ADO19">
        <v>0</v>
      </c>
      <c r="ADP19">
        <v>0</v>
      </c>
      <c r="ADQ19">
        <v>0</v>
      </c>
      <c r="ADR19">
        <v>0</v>
      </c>
      <c r="ADS19">
        <v>0</v>
      </c>
      <c r="ADT19">
        <v>0</v>
      </c>
      <c r="ADU19">
        <v>0</v>
      </c>
      <c r="ADV19">
        <v>0</v>
      </c>
      <c r="ADW19">
        <v>0</v>
      </c>
      <c r="ADX19">
        <v>0</v>
      </c>
      <c r="ADY19">
        <v>0</v>
      </c>
      <c r="ADZ19">
        <v>0</v>
      </c>
      <c r="AEA19">
        <v>0</v>
      </c>
      <c r="AEB19">
        <v>0</v>
      </c>
      <c r="AEC19">
        <v>0</v>
      </c>
      <c r="AED19">
        <v>0</v>
      </c>
      <c r="AEE19">
        <v>0</v>
      </c>
      <c r="AEF19">
        <v>0</v>
      </c>
      <c r="AEG19">
        <v>0</v>
      </c>
      <c r="AEH19">
        <v>0</v>
      </c>
      <c r="AEI19">
        <v>0</v>
      </c>
      <c r="AEJ19">
        <v>0</v>
      </c>
      <c r="AEK19">
        <v>0</v>
      </c>
      <c r="AEL19">
        <v>0</v>
      </c>
      <c r="AEM19">
        <v>0</v>
      </c>
      <c r="AEN19">
        <v>0</v>
      </c>
      <c r="AEO19">
        <v>0</v>
      </c>
      <c r="AEP19">
        <v>0</v>
      </c>
      <c r="AEQ19">
        <v>0</v>
      </c>
      <c r="AER19">
        <v>0</v>
      </c>
      <c r="AES19">
        <v>0</v>
      </c>
      <c r="AET19">
        <v>0</v>
      </c>
      <c r="AEU19">
        <v>0</v>
      </c>
      <c r="AEV19">
        <v>0</v>
      </c>
      <c r="AEW19">
        <v>0</v>
      </c>
      <c r="AEX19">
        <v>0</v>
      </c>
      <c r="AEY19">
        <v>0</v>
      </c>
      <c r="AEZ19">
        <v>0</v>
      </c>
      <c r="AFA19">
        <v>0</v>
      </c>
      <c r="AFB19">
        <v>0</v>
      </c>
      <c r="AFC19">
        <v>0</v>
      </c>
      <c r="AFD19">
        <v>0</v>
      </c>
      <c r="AFE19">
        <v>0</v>
      </c>
      <c r="AFF19">
        <v>0</v>
      </c>
      <c r="AFG19">
        <v>0</v>
      </c>
      <c r="AFH19">
        <v>0</v>
      </c>
      <c r="AFI19">
        <v>0</v>
      </c>
      <c r="AFJ19">
        <v>0</v>
      </c>
      <c r="AFK19">
        <v>0</v>
      </c>
      <c r="AFL19">
        <v>0</v>
      </c>
      <c r="AFM19">
        <v>0</v>
      </c>
      <c r="AFN19">
        <v>0</v>
      </c>
      <c r="AFO19">
        <v>0</v>
      </c>
      <c r="AFP19">
        <v>0</v>
      </c>
      <c r="AFQ19">
        <v>0</v>
      </c>
      <c r="AFR19">
        <v>0</v>
      </c>
      <c r="AFS19">
        <v>0</v>
      </c>
      <c r="AFT19">
        <v>0</v>
      </c>
      <c r="AFU19">
        <v>0</v>
      </c>
      <c r="AFV19">
        <v>0</v>
      </c>
      <c r="AFW19">
        <v>0</v>
      </c>
      <c r="AFX19">
        <v>0</v>
      </c>
      <c r="AFY19">
        <v>0</v>
      </c>
      <c r="AFZ19">
        <v>0</v>
      </c>
      <c r="AGA19">
        <v>0</v>
      </c>
      <c r="AGB19">
        <v>0</v>
      </c>
      <c r="AGC19">
        <v>0</v>
      </c>
      <c r="AGD19">
        <v>0</v>
      </c>
      <c r="AGE19">
        <v>0</v>
      </c>
      <c r="AGF19">
        <v>0</v>
      </c>
      <c r="AGG19">
        <v>0</v>
      </c>
      <c r="AGH19">
        <v>0</v>
      </c>
      <c r="AGI19">
        <v>0</v>
      </c>
      <c r="AGJ19">
        <v>0</v>
      </c>
      <c r="AGK19">
        <v>0</v>
      </c>
      <c r="AGL19">
        <v>0</v>
      </c>
      <c r="AGM19">
        <v>0</v>
      </c>
      <c r="AGN19">
        <v>0</v>
      </c>
      <c r="AGO19">
        <v>0</v>
      </c>
      <c r="AGP19">
        <v>0</v>
      </c>
      <c r="AGQ19">
        <v>0</v>
      </c>
      <c r="AGR19">
        <v>0</v>
      </c>
      <c r="AGS19">
        <v>0</v>
      </c>
      <c r="AGT19">
        <v>0</v>
      </c>
      <c r="AGU19">
        <v>0</v>
      </c>
      <c r="AGV19">
        <v>0</v>
      </c>
      <c r="AGW19">
        <v>0</v>
      </c>
      <c r="AGX19">
        <v>0</v>
      </c>
      <c r="AGY19">
        <v>0</v>
      </c>
      <c r="AGZ19">
        <v>0</v>
      </c>
      <c r="AHA19">
        <v>0</v>
      </c>
      <c r="AHB19">
        <v>0</v>
      </c>
      <c r="AHC19">
        <v>0</v>
      </c>
      <c r="AHD19">
        <v>0</v>
      </c>
      <c r="AHE19">
        <v>0</v>
      </c>
      <c r="AHF19">
        <v>0</v>
      </c>
      <c r="AHG19">
        <v>0</v>
      </c>
      <c r="AHH19">
        <v>0</v>
      </c>
      <c r="AHI19">
        <v>0</v>
      </c>
      <c r="AHJ19">
        <v>0</v>
      </c>
      <c r="AHK19">
        <v>0</v>
      </c>
      <c r="AHL19">
        <v>0</v>
      </c>
      <c r="AHM19">
        <v>0</v>
      </c>
      <c r="AHN19">
        <v>0</v>
      </c>
      <c r="AHO19">
        <v>0</v>
      </c>
      <c r="AHP19">
        <v>0</v>
      </c>
      <c r="AHQ19">
        <v>0</v>
      </c>
      <c r="AHR19">
        <v>0</v>
      </c>
      <c r="AHS19">
        <v>0</v>
      </c>
      <c r="AHT19">
        <v>0</v>
      </c>
      <c r="AHU19">
        <v>0</v>
      </c>
      <c r="AHV19">
        <v>0</v>
      </c>
      <c r="AHW19">
        <v>0</v>
      </c>
      <c r="AHX19">
        <v>0</v>
      </c>
      <c r="AHY19">
        <v>0</v>
      </c>
      <c r="AHZ19">
        <v>0</v>
      </c>
      <c r="AIA19">
        <v>0</v>
      </c>
      <c r="AIB19">
        <v>0</v>
      </c>
      <c r="AIC19">
        <v>0</v>
      </c>
      <c r="AID19">
        <v>0</v>
      </c>
      <c r="AIE19">
        <v>0</v>
      </c>
      <c r="AIF19">
        <v>0</v>
      </c>
      <c r="AIG19">
        <v>0</v>
      </c>
      <c r="AIH19">
        <v>0</v>
      </c>
      <c r="AII19">
        <v>0</v>
      </c>
      <c r="AIJ19">
        <v>0</v>
      </c>
      <c r="AIK19">
        <v>0</v>
      </c>
      <c r="AIL19">
        <v>0</v>
      </c>
      <c r="AIM19">
        <v>0</v>
      </c>
      <c r="AIN19">
        <v>0</v>
      </c>
      <c r="AIO19">
        <v>0</v>
      </c>
      <c r="AIP19">
        <v>0</v>
      </c>
      <c r="AIQ19">
        <v>0</v>
      </c>
      <c r="AIR19">
        <v>0</v>
      </c>
      <c r="AIS19">
        <v>0</v>
      </c>
      <c r="AIT19">
        <v>0</v>
      </c>
      <c r="AIU19">
        <v>0</v>
      </c>
      <c r="AIV19">
        <v>0</v>
      </c>
      <c r="AIW19">
        <v>0</v>
      </c>
      <c r="AIX19">
        <v>0</v>
      </c>
      <c r="AIY19">
        <v>0</v>
      </c>
      <c r="AIZ19">
        <v>0</v>
      </c>
      <c r="AJA19">
        <v>0</v>
      </c>
      <c r="AJB19">
        <v>0</v>
      </c>
      <c r="AJC19">
        <v>0</v>
      </c>
      <c r="AJD19">
        <v>0</v>
      </c>
      <c r="AJE19">
        <v>0</v>
      </c>
      <c r="AJF19">
        <v>0</v>
      </c>
      <c r="AJG19">
        <v>0</v>
      </c>
      <c r="AJH19">
        <v>0</v>
      </c>
      <c r="AJI19">
        <v>0</v>
      </c>
      <c r="AJJ19">
        <v>0</v>
      </c>
      <c r="AJK19">
        <v>0</v>
      </c>
      <c r="AJL19">
        <v>0</v>
      </c>
      <c r="AJM19">
        <v>0</v>
      </c>
      <c r="AJN19">
        <v>0</v>
      </c>
      <c r="AJO19">
        <v>0</v>
      </c>
      <c r="AJP19">
        <v>0</v>
      </c>
      <c r="AJQ19">
        <v>0</v>
      </c>
      <c r="AJR19">
        <v>0</v>
      </c>
      <c r="AJS19">
        <v>0</v>
      </c>
      <c r="AJT19">
        <v>0</v>
      </c>
      <c r="AJU19">
        <v>0</v>
      </c>
      <c r="AJV19">
        <v>0</v>
      </c>
      <c r="AJW19">
        <v>0</v>
      </c>
      <c r="AJX19">
        <v>0</v>
      </c>
      <c r="AJY19">
        <v>0</v>
      </c>
      <c r="AJZ19">
        <v>0</v>
      </c>
      <c r="AKA19">
        <v>0</v>
      </c>
      <c r="AKB19">
        <v>0</v>
      </c>
      <c r="AKC19">
        <v>0</v>
      </c>
      <c r="AKD19">
        <v>0</v>
      </c>
      <c r="AKE19">
        <v>0</v>
      </c>
      <c r="AKF19">
        <v>0</v>
      </c>
      <c r="AKG19">
        <v>0</v>
      </c>
      <c r="AKH19">
        <v>0</v>
      </c>
      <c r="AKI19">
        <v>0</v>
      </c>
      <c r="AKJ19">
        <v>0</v>
      </c>
      <c r="AKK19">
        <v>0</v>
      </c>
      <c r="AKL19">
        <v>0</v>
      </c>
      <c r="AKM19">
        <v>0</v>
      </c>
      <c r="AKN19">
        <v>0</v>
      </c>
      <c r="AKO19">
        <v>0</v>
      </c>
      <c r="AKP19">
        <v>0</v>
      </c>
      <c r="AKQ19">
        <v>0</v>
      </c>
      <c r="AKR19">
        <v>0</v>
      </c>
      <c r="AKS19">
        <v>0</v>
      </c>
      <c r="AKT19">
        <v>0</v>
      </c>
      <c r="AKU19">
        <v>0</v>
      </c>
      <c r="AKV19">
        <v>0</v>
      </c>
      <c r="AKW19">
        <v>0</v>
      </c>
      <c r="AKX19">
        <v>0</v>
      </c>
      <c r="AKY19">
        <v>0</v>
      </c>
      <c r="AKZ19">
        <v>0</v>
      </c>
      <c r="ALA19">
        <v>0</v>
      </c>
      <c r="ALB19">
        <v>0</v>
      </c>
      <c r="ALC19">
        <v>0</v>
      </c>
      <c r="ALD19">
        <v>0</v>
      </c>
      <c r="ALE19">
        <v>0</v>
      </c>
      <c r="ALF19">
        <v>0</v>
      </c>
      <c r="ALG19">
        <v>0</v>
      </c>
      <c r="ALH19">
        <v>0</v>
      </c>
      <c r="ALI19">
        <v>0</v>
      </c>
      <c r="ALJ19">
        <v>0</v>
      </c>
      <c r="ALK19">
        <v>0</v>
      </c>
      <c r="ALL19">
        <v>0</v>
      </c>
      <c r="ALM19">
        <v>0</v>
      </c>
    </row>
    <row r="20" spans="1:1001">
      <c r="A20" s="26"/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0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>
        <v>0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0</v>
      </c>
      <c r="XG20">
        <v>0</v>
      </c>
      <c r="XH20">
        <v>0</v>
      </c>
      <c r="XI20">
        <v>0</v>
      </c>
      <c r="XJ20">
        <v>0</v>
      </c>
      <c r="XK20">
        <v>0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>
        <v>0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0</v>
      </c>
      <c r="YH20">
        <v>0</v>
      </c>
      <c r="YI20">
        <v>0</v>
      </c>
      <c r="YJ20">
        <v>0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>
        <v>0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0</v>
      </c>
      <c r="ZI20">
        <v>0</v>
      </c>
      <c r="ZJ20">
        <v>0</v>
      </c>
      <c r="ZK20">
        <v>0</v>
      </c>
      <c r="ZL20">
        <v>0</v>
      </c>
      <c r="ZM20">
        <v>0</v>
      </c>
      <c r="ZN20">
        <v>0</v>
      </c>
      <c r="ZO20">
        <v>0</v>
      </c>
      <c r="ZP20">
        <v>0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0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0</v>
      </c>
      <c r="AAL20">
        <v>0</v>
      </c>
      <c r="AAM20">
        <v>0</v>
      </c>
      <c r="AAN20">
        <v>0</v>
      </c>
      <c r="AAO20">
        <v>0</v>
      </c>
      <c r="AAP20">
        <v>0</v>
      </c>
      <c r="AAQ20">
        <v>0</v>
      </c>
      <c r="AAR20">
        <v>0</v>
      </c>
      <c r="AAS20">
        <v>0</v>
      </c>
      <c r="AAT20">
        <v>0</v>
      </c>
      <c r="AAU20">
        <v>0</v>
      </c>
      <c r="AAV20">
        <v>0</v>
      </c>
      <c r="AAW20">
        <v>0</v>
      </c>
      <c r="AAX20">
        <v>0</v>
      </c>
      <c r="AAY20">
        <v>0</v>
      </c>
      <c r="AAZ20">
        <v>0</v>
      </c>
      <c r="ABA20">
        <v>0</v>
      </c>
      <c r="ABB20">
        <v>0</v>
      </c>
      <c r="ABC20">
        <v>0</v>
      </c>
      <c r="ABD20">
        <v>0</v>
      </c>
      <c r="ABE20">
        <v>0</v>
      </c>
      <c r="ABF20">
        <v>0</v>
      </c>
      <c r="ABG20">
        <v>0</v>
      </c>
      <c r="ABH20">
        <v>0</v>
      </c>
      <c r="ABI20">
        <v>0</v>
      </c>
      <c r="ABJ20">
        <v>0</v>
      </c>
      <c r="ABK20">
        <v>0</v>
      </c>
      <c r="ABL20">
        <v>0</v>
      </c>
      <c r="ABM20">
        <v>0</v>
      </c>
      <c r="ABN20">
        <v>0</v>
      </c>
      <c r="ABO20">
        <v>0</v>
      </c>
      <c r="ABP20">
        <v>0</v>
      </c>
      <c r="ABQ20">
        <v>0</v>
      </c>
      <c r="ABR20">
        <v>0</v>
      </c>
      <c r="ABS20">
        <v>0</v>
      </c>
      <c r="ABT20">
        <v>0</v>
      </c>
      <c r="ABU20">
        <v>0</v>
      </c>
      <c r="ABV20">
        <v>0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0</v>
      </c>
      <c r="ACD20">
        <v>0</v>
      </c>
      <c r="ACE20">
        <v>0</v>
      </c>
      <c r="ACF20">
        <v>0</v>
      </c>
      <c r="ACG20">
        <v>0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  <c r="ADF20">
        <v>0</v>
      </c>
      <c r="ADG20">
        <v>0</v>
      </c>
      <c r="ADH20">
        <v>0</v>
      </c>
      <c r="ADI20">
        <v>0</v>
      </c>
      <c r="ADJ20">
        <v>0</v>
      </c>
      <c r="ADK20">
        <v>0</v>
      </c>
      <c r="ADL20">
        <v>0</v>
      </c>
      <c r="ADM20">
        <v>0</v>
      </c>
      <c r="ADN20">
        <v>0</v>
      </c>
      <c r="ADO20">
        <v>0</v>
      </c>
      <c r="ADP20">
        <v>0</v>
      </c>
      <c r="ADQ20">
        <v>0</v>
      </c>
      <c r="ADR20">
        <v>0</v>
      </c>
      <c r="ADS20">
        <v>0</v>
      </c>
      <c r="ADT20">
        <v>0</v>
      </c>
      <c r="ADU20">
        <v>0</v>
      </c>
      <c r="ADV20">
        <v>0</v>
      </c>
      <c r="ADW20">
        <v>0</v>
      </c>
      <c r="ADX20">
        <v>0</v>
      </c>
      <c r="ADY20">
        <v>0</v>
      </c>
      <c r="ADZ20">
        <v>0</v>
      </c>
      <c r="AEA20">
        <v>0</v>
      </c>
      <c r="AEB20">
        <v>0</v>
      </c>
      <c r="AEC20">
        <v>0</v>
      </c>
      <c r="AED20">
        <v>0</v>
      </c>
      <c r="AEE20">
        <v>0</v>
      </c>
      <c r="AEF20">
        <v>0</v>
      </c>
      <c r="AEG20">
        <v>0</v>
      </c>
      <c r="AEH20">
        <v>0</v>
      </c>
      <c r="AEI20">
        <v>0</v>
      </c>
      <c r="AEJ20">
        <v>0</v>
      </c>
      <c r="AEK20">
        <v>0</v>
      </c>
      <c r="AEL20">
        <v>0</v>
      </c>
      <c r="AEM20">
        <v>0</v>
      </c>
      <c r="AEN20">
        <v>0</v>
      </c>
      <c r="AEO20">
        <v>0</v>
      </c>
      <c r="AEP20">
        <v>0</v>
      </c>
      <c r="AEQ20">
        <v>0</v>
      </c>
      <c r="AER20">
        <v>0</v>
      </c>
      <c r="AES20">
        <v>0</v>
      </c>
      <c r="AET20">
        <v>0</v>
      </c>
      <c r="AEU20">
        <v>0</v>
      </c>
      <c r="AEV20">
        <v>0</v>
      </c>
      <c r="AEW20">
        <v>0</v>
      </c>
      <c r="AEX20">
        <v>0</v>
      </c>
      <c r="AEY20">
        <v>0</v>
      </c>
      <c r="AEZ20">
        <v>0</v>
      </c>
      <c r="AFA20">
        <v>0</v>
      </c>
      <c r="AFB20">
        <v>0</v>
      </c>
      <c r="AFC20">
        <v>0</v>
      </c>
      <c r="AFD20">
        <v>0</v>
      </c>
      <c r="AFE20">
        <v>0</v>
      </c>
      <c r="AFF20">
        <v>0</v>
      </c>
      <c r="AFG20">
        <v>0</v>
      </c>
      <c r="AFH20">
        <v>0</v>
      </c>
      <c r="AFI20">
        <v>0</v>
      </c>
      <c r="AFJ20">
        <v>0</v>
      </c>
      <c r="AFK20">
        <v>0</v>
      </c>
      <c r="AFL20">
        <v>0</v>
      </c>
      <c r="AFM20">
        <v>0</v>
      </c>
      <c r="AFN20">
        <v>0</v>
      </c>
      <c r="AFO20">
        <v>0</v>
      </c>
      <c r="AFP20">
        <v>0</v>
      </c>
      <c r="AFQ20">
        <v>0</v>
      </c>
      <c r="AFR20">
        <v>0</v>
      </c>
      <c r="AFS20">
        <v>0</v>
      </c>
      <c r="AFT20">
        <v>0</v>
      </c>
      <c r="AFU20">
        <v>0</v>
      </c>
      <c r="AFV20">
        <v>0</v>
      </c>
      <c r="AFW20">
        <v>0</v>
      </c>
      <c r="AFX20">
        <v>0</v>
      </c>
      <c r="AFY20">
        <v>0</v>
      </c>
      <c r="AFZ20">
        <v>0</v>
      </c>
      <c r="AGA20">
        <v>0</v>
      </c>
      <c r="AGB20">
        <v>0</v>
      </c>
      <c r="AGC20">
        <v>0</v>
      </c>
      <c r="AGD20">
        <v>0</v>
      </c>
      <c r="AGE20">
        <v>0</v>
      </c>
      <c r="AGF20">
        <v>0</v>
      </c>
      <c r="AGG20">
        <v>0</v>
      </c>
      <c r="AGH20">
        <v>0</v>
      </c>
      <c r="AGI20">
        <v>0</v>
      </c>
      <c r="AGJ20">
        <v>0</v>
      </c>
      <c r="AGK20">
        <v>0</v>
      </c>
      <c r="AGL20">
        <v>0</v>
      </c>
      <c r="AGM20">
        <v>0</v>
      </c>
      <c r="AGN20">
        <v>0</v>
      </c>
      <c r="AGO20">
        <v>0</v>
      </c>
      <c r="AGP20">
        <v>0</v>
      </c>
      <c r="AGQ20">
        <v>0</v>
      </c>
      <c r="AGR20">
        <v>0</v>
      </c>
      <c r="AGS20">
        <v>0</v>
      </c>
      <c r="AGT20">
        <v>0</v>
      </c>
      <c r="AGU20">
        <v>0</v>
      </c>
      <c r="AGV20">
        <v>0</v>
      </c>
      <c r="AGW20">
        <v>0</v>
      </c>
      <c r="AGX20">
        <v>0</v>
      </c>
      <c r="AGY20">
        <v>0</v>
      </c>
      <c r="AGZ20">
        <v>0</v>
      </c>
      <c r="AHA20">
        <v>0</v>
      </c>
      <c r="AHB20">
        <v>0</v>
      </c>
      <c r="AHC20">
        <v>0</v>
      </c>
      <c r="AHD20">
        <v>0</v>
      </c>
      <c r="AHE20">
        <v>0</v>
      </c>
      <c r="AHF20">
        <v>0</v>
      </c>
      <c r="AHG20">
        <v>0</v>
      </c>
      <c r="AHH20">
        <v>0</v>
      </c>
      <c r="AHI20">
        <v>0</v>
      </c>
      <c r="AHJ20">
        <v>0</v>
      </c>
      <c r="AHK20">
        <v>0</v>
      </c>
      <c r="AHL20">
        <v>0</v>
      </c>
      <c r="AHM20">
        <v>0</v>
      </c>
      <c r="AHN20">
        <v>0</v>
      </c>
      <c r="AHO20">
        <v>0</v>
      </c>
      <c r="AHP20">
        <v>0</v>
      </c>
      <c r="AHQ20">
        <v>0</v>
      </c>
      <c r="AHR20">
        <v>0</v>
      </c>
      <c r="AHS20">
        <v>0</v>
      </c>
      <c r="AHT20">
        <v>0</v>
      </c>
      <c r="AHU20">
        <v>0</v>
      </c>
      <c r="AHV20">
        <v>0</v>
      </c>
      <c r="AHW20">
        <v>0</v>
      </c>
      <c r="AHX20">
        <v>0</v>
      </c>
      <c r="AHY20">
        <v>0</v>
      </c>
      <c r="AHZ20">
        <v>0</v>
      </c>
      <c r="AIA20">
        <v>0</v>
      </c>
      <c r="AIB20">
        <v>0</v>
      </c>
      <c r="AIC20">
        <v>0</v>
      </c>
      <c r="AID20">
        <v>0</v>
      </c>
      <c r="AIE20">
        <v>0</v>
      </c>
      <c r="AIF20">
        <v>0</v>
      </c>
      <c r="AIG20">
        <v>0</v>
      </c>
      <c r="AIH20">
        <v>0</v>
      </c>
      <c r="AII20">
        <v>0</v>
      </c>
      <c r="AIJ20">
        <v>0</v>
      </c>
      <c r="AIK20">
        <v>0</v>
      </c>
      <c r="AIL20">
        <v>0</v>
      </c>
      <c r="AIM20">
        <v>0</v>
      </c>
      <c r="AIN20">
        <v>0</v>
      </c>
      <c r="AIO20">
        <v>0</v>
      </c>
      <c r="AIP20">
        <v>0</v>
      </c>
      <c r="AIQ20">
        <v>0</v>
      </c>
      <c r="AIR20">
        <v>0</v>
      </c>
      <c r="AIS20">
        <v>0</v>
      </c>
      <c r="AIT20">
        <v>0</v>
      </c>
      <c r="AIU20">
        <v>0</v>
      </c>
      <c r="AIV20">
        <v>0</v>
      </c>
      <c r="AIW20">
        <v>0</v>
      </c>
      <c r="AIX20">
        <v>0</v>
      </c>
      <c r="AIY20">
        <v>0</v>
      </c>
      <c r="AIZ20">
        <v>0</v>
      </c>
      <c r="AJA20">
        <v>0</v>
      </c>
      <c r="AJB20">
        <v>0</v>
      </c>
      <c r="AJC20">
        <v>0</v>
      </c>
      <c r="AJD20">
        <v>0</v>
      </c>
      <c r="AJE20">
        <v>0</v>
      </c>
      <c r="AJF20">
        <v>0</v>
      </c>
      <c r="AJG20">
        <v>0</v>
      </c>
      <c r="AJH20">
        <v>0</v>
      </c>
      <c r="AJI20">
        <v>0</v>
      </c>
      <c r="AJJ20">
        <v>0</v>
      </c>
      <c r="AJK20">
        <v>0</v>
      </c>
      <c r="AJL20">
        <v>0</v>
      </c>
      <c r="AJM20">
        <v>0</v>
      </c>
      <c r="AJN20">
        <v>0</v>
      </c>
      <c r="AJO20">
        <v>0</v>
      </c>
      <c r="AJP20">
        <v>0</v>
      </c>
      <c r="AJQ20">
        <v>0</v>
      </c>
      <c r="AJR20">
        <v>0</v>
      </c>
      <c r="AJS20">
        <v>0</v>
      </c>
      <c r="AJT20">
        <v>0</v>
      </c>
      <c r="AJU20">
        <v>0</v>
      </c>
      <c r="AJV20">
        <v>0</v>
      </c>
      <c r="AJW20">
        <v>0</v>
      </c>
      <c r="AJX20">
        <v>0</v>
      </c>
      <c r="AJY20">
        <v>0</v>
      </c>
      <c r="AJZ20">
        <v>0</v>
      </c>
      <c r="AKA20">
        <v>0</v>
      </c>
      <c r="AKB20">
        <v>0</v>
      </c>
      <c r="AKC20">
        <v>0</v>
      </c>
      <c r="AKD20">
        <v>0</v>
      </c>
      <c r="AKE20">
        <v>0</v>
      </c>
      <c r="AKF20">
        <v>0</v>
      </c>
      <c r="AKG20">
        <v>0</v>
      </c>
      <c r="AKH20">
        <v>0</v>
      </c>
      <c r="AKI20">
        <v>0</v>
      </c>
      <c r="AKJ20">
        <v>0</v>
      </c>
      <c r="AKK20">
        <v>0</v>
      </c>
      <c r="AKL20">
        <v>0</v>
      </c>
      <c r="AKM20">
        <v>0</v>
      </c>
      <c r="AKN20">
        <v>0</v>
      </c>
      <c r="AKO20">
        <v>0</v>
      </c>
      <c r="AKP20">
        <v>0</v>
      </c>
      <c r="AKQ20">
        <v>0</v>
      </c>
      <c r="AKR20">
        <v>0</v>
      </c>
      <c r="AKS20">
        <v>0</v>
      </c>
      <c r="AKT20">
        <v>0</v>
      </c>
      <c r="AKU20">
        <v>0</v>
      </c>
      <c r="AKV20">
        <v>0</v>
      </c>
      <c r="AKW20">
        <v>0</v>
      </c>
      <c r="AKX20">
        <v>0</v>
      </c>
      <c r="AKY20">
        <v>0</v>
      </c>
      <c r="AKZ20">
        <v>0</v>
      </c>
      <c r="ALA20">
        <v>0</v>
      </c>
      <c r="ALB20">
        <v>0</v>
      </c>
      <c r="ALC20">
        <v>0</v>
      </c>
      <c r="ALD20">
        <v>0</v>
      </c>
      <c r="ALE20">
        <v>0</v>
      </c>
      <c r="ALF20">
        <v>0</v>
      </c>
      <c r="ALG20">
        <v>0</v>
      </c>
      <c r="ALH20">
        <v>0</v>
      </c>
      <c r="ALI20">
        <v>0</v>
      </c>
      <c r="ALJ20">
        <v>0</v>
      </c>
      <c r="ALK20">
        <v>0</v>
      </c>
      <c r="ALL20">
        <v>0</v>
      </c>
      <c r="ALM20">
        <v>0</v>
      </c>
    </row>
    <row r="21" spans="1:1001">
      <c r="A21" s="26"/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0</v>
      </c>
      <c r="XP21">
        <v>0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0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0</v>
      </c>
      <c r="ZO21">
        <v>0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0</v>
      </c>
      <c r="AAH21">
        <v>0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0</v>
      </c>
      <c r="AAV21">
        <v>0</v>
      </c>
      <c r="AAW21">
        <v>0</v>
      </c>
      <c r="AAX21">
        <v>0</v>
      </c>
      <c r="AAY21">
        <v>0</v>
      </c>
      <c r="AAZ21">
        <v>0</v>
      </c>
      <c r="ABA21">
        <v>0</v>
      </c>
      <c r="ABB21">
        <v>0</v>
      </c>
      <c r="ABC21">
        <v>0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0</v>
      </c>
      <c r="ABN21">
        <v>0</v>
      </c>
      <c r="ABO21">
        <v>0</v>
      </c>
      <c r="ABP21">
        <v>0</v>
      </c>
      <c r="ABQ21">
        <v>0</v>
      </c>
      <c r="ABR21">
        <v>0</v>
      </c>
      <c r="ABS21">
        <v>0</v>
      </c>
      <c r="ABT21">
        <v>0</v>
      </c>
      <c r="ABU21">
        <v>0</v>
      </c>
      <c r="ABV21">
        <v>0</v>
      </c>
      <c r="ABW21">
        <v>0</v>
      </c>
      <c r="ABX21">
        <v>0</v>
      </c>
      <c r="ABY21">
        <v>0</v>
      </c>
      <c r="ABZ21">
        <v>0</v>
      </c>
      <c r="ACA21">
        <v>0</v>
      </c>
      <c r="ACB21">
        <v>0</v>
      </c>
      <c r="ACC21">
        <v>0</v>
      </c>
      <c r="ACD21">
        <v>0</v>
      </c>
      <c r="ACE21">
        <v>0</v>
      </c>
      <c r="ACF21">
        <v>0</v>
      </c>
      <c r="ACG21">
        <v>0</v>
      </c>
      <c r="ACH21">
        <v>0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  <c r="ADF21">
        <v>0</v>
      </c>
      <c r="ADG21">
        <v>0</v>
      </c>
      <c r="ADH21">
        <v>0</v>
      </c>
      <c r="ADI21">
        <v>0</v>
      </c>
      <c r="ADJ21">
        <v>0</v>
      </c>
      <c r="ADK21">
        <v>0</v>
      </c>
      <c r="ADL21">
        <v>0</v>
      </c>
      <c r="ADM21">
        <v>0</v>
      </c>
      <c r="ADN21">
        <v>0</v>
      </c>
      <c r="ADO21">
        <v>0</v>
      </c>
      <c r="ADP21">
        <v>0</v>
      </c>
      <c r="ADQ21">
        <v>0</v>
      </c>
      <c r="ADR21">
        <v>0</v>
      </c>
      <c r="ADS21">
        <v>0</v>
      </c>
      <c r="ADT21">
        <v>0</v>
      </c>
      <c r="ADU21">
        <v>0</v>
      </c>
      <c r="ADV21">
        <v>0</v>
      </c>
      <c r="ADW21">
        <v>0</v>
      </c>
      <c r="ADX21">
        <v>0</v>
      </c>
      <c r="ADY21">
        <v>0</v>
      </c>
      <c r="ADZ21">
        <v>0</v>
      </c>
      <c r="AEA21">
        <v>0</v>
      </c>
      <c r="AEB21">
        <v>0</v>
      </c>
      <c r="AEC21">
        <v>0</v>
      </c>
      <c r="AED21">
        <v>0</v>
      </c>
      <c r="AEE21">
        <v>0</v>
      </c>
      <c r="AEF21">
        <v>0</v>
      </c>
      <c r="AEG21">
        <v>0</v>
      </c>
      <c r="AEH21">
        <v>0</v>
      </c>
      <c r="AEI21">
        <v>0</v>
      </c>
      <c r="AEJ21">
        <v>0</v>
      </c>
      <c r="AEK21">
        <v>0</v>
      </c>
      <c r="AEL21">
        <v>0</v>
      </c>
      <c r="AEM21">
        <v>0</v>
      </c>
      <c r="AEN21">
        <v>0</v>
      </c>
      <c r="AEO21">
        <v>0</v>
      </c>
      <c r="AEP21">
        <v>0</v>
      </c>
      <c r="AEQ21">
        <v>0</v>
      </c>
      <c r="AER21">
        <v>0</v>
      </c>
      <c r="AES21">
        <v>0</v>
      </c>
      <c r="AET21">
        <v>0</v>
      </c>
      <c r="AEU21">
        <v>0</v>
      </c>
      <c r="AEV21">
        <v>0</v>
      </c>
      <c r="AEW21">
        <v>0</v>
      </c>
      <c r="AEX21">
        <v>0</v>
      </c>
      <c r="AEY21">
        <v>0</v>
      </c>
      <c r="AEZ21">
        <v>0</v>
      </c>
      <c r="AFA21">
        <v>0</v>
      </c>
      <c r="AFB21">
        <v>0</v>
      </c>
      <c r="AFC21">
        <v>0</v>
      </c>
      <c r="AFD21">
        <v>0</v>
      </c>
      <c r="AFE21">
        <v>0</v>
      </c>
      <c r="AFF21">
        <v>0</v>
      </c>
      <c r="AFG21">
        <v>0</v>
      </c>
      <c r="AFH21">
        <v>0</v>
      </c>
      <c r="AFI21">
        <v>0</v>
      </c>
      <c r="AFJ21">
        <v>0</v>
      </c>
      <c r="AFK21">
        <v>0</v>
      </c>
      <c r="AFL21">
        <v>0</v>
      </c>
      <c r="AFM21">
        <v>0</v>
      </c>
      <c r="AFN21">
        <v>0</v>
      </c>
      <c r="AFO21">
        <v>0</v>
      </c>
      <c r="AFP21">
        <v>0</v>
      </c>
      <c r="AFQ21">
        <v>0</v>
      </c>
      <c r="AFR21">
        <v>0</v>
      </c>
      <c r="AFS21">
        <v>0</v>
      </c>
      <c r="AFT21">
        <v>0</v>
      </c>
      <c r="AFU21">
        <v>0</v>
      </c>
      <c r="AFV21">
        <v>0</v>
      </c>
      <c r="AFW21">
        <v>0</v>
      </c>
      <c r="AFX21">
        <v>0</v>
      </c>
      <c r="AFY21">
        <v>0</v>
      </c>
      <c r="AFZ21">
        <v>0</v>
      </c>
      <c r="AGA21">
        <v>0</v>
      </c>
      <c r="AGB21">
        <v>0</v>
      </c>
      <c r="AGC21">
        <v>0</v>
      </c>
      <c r="AGD21">
        <v>0</v>
      </c>
      <c r="AGE21">
        <v>0</v>
      </c>
      <c r="AGF21">
        <v>0</v>
      </c>
      <c r="AGG21">
        <v>0</v>
      </c>
      <c r="AGH21">
        <v>0</v>
      </c>
      <c r="AGI21">
        <v>0</v>
      </c>
      <c r="AGJ21">
        <v>0</v>
      </c>
      <c r="AGK21">
        <v>0</v>
      </c>
      <c r="AGL21">
        <v>0</v>
      </c>
      <c r="AGM21">
        <v>0</v>
      </c>
      <c r="AGN21">
        <v>0</v>
      </c>
      <c r="AGO21">
        <v>0</v>
      </c>
      <c r="AGP21">
        <v>0</v>
      </c>
      <c r="AGQ21">
        <v>0</v>
      </c>
      <c r="AGR21">
        <v>0</v>
      </c>
      <c r="AGS21">
        <v>0</v>
      </c>
      <c r="AGT21">
        <v>0</v>
      </c>
      <c r="AGU21">
        <v>0</v>
      </c>
      <c r="AGV21">
        <v>0</v>
      </c>
      <c r="AGW21">
        <v>0</v>
      </c>
      <c r="AGX21">
        <v>0</v>
      </c>
      <c r="AGY21">
        <v>0</v>
      </c>
      <c r="AGZ21">
        <v>0</v>
      </c>
      <c r="AHA21">
        <v>0</v>
      </c>
      <c r="AHB21">
        <v>0</v>
      </c>
      <c r="AHC21">
        <v>0</v>
      </c>
      <c r="AHD21">
        <v>0</v>
      </c>
      <c r="AHE21">
        <v>0</v>
      </c>
      <c r="AHF21">
        <v>0</v>
      </c>
      <c r="AHG21">
        <v>0</v>
      </c>
      <c r="AHH21">
        <v>0</v>
      </c>
      <c r="AHI21">
        <v>0</v>
      </c>
      <c r="AHJ21">
        <v>0</v>
      </c>
      <c r="AHK21">
        <v>0</v>
      </c>
      <c r="AHL21">
        <v>0</v>
      </c>
      <c r="AHM21">
        <v>0</v>
      </c>
      <c r="AHN21">
        <v>0</v>
      </c>
      <c r="AHO21">
        <v>0</v>
      </c>
      <c r="AHP21">
        <v>0</v>
      </c>
      <c r="AHQ21">
        <v>0</v>
      </c>
      <c r="AHR21">
        <v>0</v>
      </c>
      <c r="AHS21">
        <v>0</v>
      </c>
      <c r="AHT21">
        <v>0</v>
      </c>
      <c r="AHU21">
        <v>0</v>
      </c>
      <c r="AHV21">
        <v>0</v>
      </c>
      <c r="AHW21">
        <v>0</v>
      </c>
      <c r="AHX21">
        <v>0</v>
      </c>
      <c r="AHY21">
        <v>0</v>
      </c>
      <c r="AHZ21">
        <v>0</v>
      </c>
      <c r="AIA21">
        <v>0</v>
      </c>
      <c r="AIB21">
        <v>0</v>
      </c>
      <c r="AIC21">
        <v>0</v>
      </c>
      <c r="AID21">
        <v>0</v>
      </c>
      <c r="AIE21">
        <v>0</v>
      </c>
      <c r="AIF21">
        <v>0</v>
      </c>
      <c r="AIG21">
        <v>0</v>
      </c>
      <c r="AIH21">
        <v>0</v>
      </c>
      <c r="AII21">
        <v>0</v>
      </c>
      <c r="AIJ21">
        <v>0</v>
      </c>
      <c r="AIK21">
        <v>0</v>
      </c>
      <c r="AIL21">
        <v>0</v>
      </c>
      <c r="AIM21">
        <v>0</v>
      </c>
      <c r="AIN21">
        <v>0</v>
      </c>
      <c r="AIO21">
        <v>0</v>
      </c>
      <c r="AIP21">
        <v>0</v>
      </c>
      <c r="AIQ21">
        <v>0</v>
      </c>
      <c r="AIR21">
        <v>0</v>
      </c>
      <c r="AIS21">
        <v>0</v>
      </c>
      <c r="AIT21">
        <v>0</v>
      </c>
      <c r="AIU21">
        <v>0</v>
      </c>
      <c r="AIV21">
        <v>0</v>
      </c>
      <c r="AIW21">
        <v>0</v>
      </c>
      <c r="AIX21">
        <v>0</v>
      </c>
      <c r="AIY21">
        <v>0</v>
      </c>
      <c r="AIZ21">
        <v>0</v>
      </c>
      <c r="AJA21">
        <v>0</v>
      </c>
      <c r="AJB21">
        <v>0</v>
      </c>
      <c r="AJC21">
        <v>0</v>
      </c>
      <c r="AJD21">
        <v>0</v>
      </c>
      <c r="AJE21">
        <v>0</v>
      </c>
      <c r="AJF21">
        <v>0</v>
      </c>
      <c r="AJG21">
        <v>0</v>
      </c>
      <c r="AJH21">
        <v>0</v>
      </c>
      <c r="AJI21">
        <v>0</v>
      </c>
      <c r="AJJ21">
        <v>0</v>
      </c>
      <c r="AJK21">
        <v>0</v>
      </c>
      <c r="AJL21">
        <v>0</v>
      </c>
      <c r="AJM21">
        <v>0</v>
      </c>
      <c r="AJN21">
        <v>0</v>
      </c>
      <c r="AJO21">
        <v>0</v>
      </c>
      <c r="AJP21">
        <v>0</v>
      </c>
      <c r="AJQ21">
        <v>0</v>
      </c>
      <c r="AJR21">
        <v>0</v>
      </c>
      <c r="AJS21">
        <v>0</v>
      </c>
      <c r="AJT21">
        <v>0</v>
      </c>
      <c r="AJU21">
        <v>0</v>
      </c>
      <c r="AJV21">
        <v>0</v>
      </c>
      <c r="AJW21">
        <v>0</v>
      </c>
      <c r="AJX21">
        <v>0</v>
      </c>
      <c r="AJY21">
        <v>0</v>
      </c>
      <c r="AJZ21">
        <v>0</v>
      </c>
      <c r="AKA21">
        <v>0</v>
      </c>
      <c r="AKB21">
        <v>0</v>
      </c>
      <c r="AKC21">
        <v>0</v>
      </c>
      <c r="AKD21">
        <v>0</v>
      </c>
      <c r="AKE21">
        <v>0</v>
      </c>
      <c r="AKF21">
        <v>0</v>
      </c>
      <c r="AKG21">
        <v>0</v>
      </c>
      <c r="AKH21">
        <v>0</v>
      </c>
      <c r="AKI21">
        <v>0</v>
      </c>
      <c r="AKJ21">
        <v>0</v>
      </c>
      <c r="AKK21">
        <v>0</v>
      </c>
      <c r="AKL21">
        <v>0</v>
      </c>
      <c r="AKM21">
        <v>0</v>
      </c>
      <c r="AKN21">
        <v>0</v>
      </c>
      <c r="AKO21">
        <v>0</v>
      </c>
      <c r="AKP21">
        <v>0</v>
      </c>
      <c r="AKQ21">
        <v>0</v>
      </c>
      <c r="AKR21">
        <v>0</v>
      </c>
      <c r="AKS21">
        <v>0</v>
      </c>
      <c r="AKT21">
        <v>0</v>
      </c>
      <c r="AKU21">
        <v>0</v>
      </c>
      <c r="AKV21">
        <v>0</v>
      </c>
      <c r="AKW21">
        <v>0</v>
      </c>
      <c r="AKX21">
        <v>0</v>
      </c>
      <c r="AKY21">
        <v>0</v>
      </c>
      <c r="AKZ21">
        <v>0</v>
      </c>
      <c r="ALA21">
        <v>0</v>
      </c>
      <c r="ALB21">
        <v>0</v>
      </c>
      <c r="ALC21">
        <v>0</v>
      </c>
      <c r="ALD21">
        <v>0</v>
      </c>
      <c r="ALE21">
        <v>0</v>
      </c>
      <c r="ALF21">
        <v>0</v>
      </c>
      <c r="ALG21">
        <v>0</v>
      </c>
      <c r="ALH21">
        <v>0</v>
      </c>
      <c r="ALI21">
        <v>0</v>
      </c>
      <c r="ALJ21">
        <v>0</v>
      </c>
      <c r="ALK21">
        <v>0</v>
      </c>
      <c r="ALL21">
        <v>0</v>
      </c>
      <c r="ALM21">
        <v>0</v>
      </c>
    </row>
    <row r="22" spans="1:1001">
      <c r="A22" s="26"/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0</v>
      </c>
      <c r="WF22">
        <v>0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0</v>
      </c>
      <c r="YI22">
        <v>0</v>
      </c>
      <c r="YJ22">
        <v>0</v>
      </c>
      <c r="YK22">
        <v>0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0</v>
      </c>
      <c r="ZG22">
        <v>0</v>
      </c>
      <c r="ZH22">
        <v>0</v>
      </c>
      <c r="ZI22">
        <v>0</v>
      </c>
      <c r="ZJ22">
        <v>0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0</v>
      </c>
      <c r="ZR22">
        <v>0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0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0</v>
      </c>
      <c r="AAN22">
        <v>0</v>
      </c>
      <c r="AAO22">
        <v>0</v>
      </c>
      <c r="AAP22">
        <v>0</v>
      </c>
      <c r="AAQ22">
        <v>0</v>
      </c>
      <c r="AAR22">
        <v>0</v>
      </c>
      <c r="AAS22">
        <v>0</v>
      </c>
      <c r="AAT22">
        <v>0</v>
      </c>
      <c r="AAU22">
        <v>0</v>
      </c>
      <c r="AAV22">
        <v>0</v>
      </c>
      <c r="AAW22">
        <v>0</v>
      </c>
      <c r="AAX22">
        <v>0</v>
      </c>
      <c r="AAY22">
        <v>0</v>
      </c>
      <c r="AAZ22">
        <v>0</v>
      </c>
      <c r="ABA22">
        <v>0</v>
      </c>
      <c r="ABB22">
        <v>0</v>
      </c>
      <c r="ABC22">
        <v>0</v>
      </c>
      <c r="ABD22">
        <v>0</v>
      </c>
      <c r="ABE22">
        <v>0</v>
      </c>
      <c r="ABF22">
        <v>0</v>
      </c>
      <c r="ABG22">
        <v>0</v>
      </c>
      <c r="ABH22">
        <v>0</v>
      </c>
      <c r="ABI22">
        <v>0</v>
      </c>
      <c r="ABJ22">
        <v>0</v>
      </c>
      <c r="ABK22">
        <v>0</v>
      </c>
      <c r="ABL22">
        <v>0</v>
      </c>
      <c r="ABM22">
        <v>0</v>
      </c>
      <c r="ABN22">
        <v>0</v>
      </c>
      <c r="ABO22">
        <v>0</v>
      </c>
      <c r="ABP22">
        <v>0</v>
      </c>
      <c r="ABQ22">
        <v>0</v>
      </c>
      <c r="ABR22">
        <v>0</v>
      </c>
      <c r="ABS22">
        <v>0</v>
      </c>
      <c r="ABT22">
        <v>0</v>
      </c>
      <c r="ABU22">
        <v>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0</v>
      </c>
      <c r="ACD22">
        <v>0</v>
      </c>
      <c r="ACE22">
        <v>0</v>
      </c>
      <c r="ACF22">
        <v>0</v>
      </c>
      <c r="ACG22">
        <v>0</v>
      </c>
      <c r="ACH22">
        <v>0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0</v>
      </c>
      <c r="ACO22">
        <v>0</v>
      </c>
      <c r="ACP22">
        <v>0</v>
      </c>
      <c r="ACQ22">
        <v>0</v>
      </c>
      <c r="ACR22">
        <v>0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  <c r="ADF22">
        <v>0</v>
      </c>
      <c r="ADG22">
        <v>0</v>
      </c>
      <c r="ADH22">
        <v>0</v>
      </c>
      <c r="ADI22">
        <v>0</v>
      </c>
      <c r="ADJ22">
        <v>0</v>
      </c>
      <c r="ADK22">
        <v>0</v>
      </c>
      <c r="ADL22">
        <v>0</v>
      </c>
      <c r="ADM22">
        <v>0</v>
      </c>
      <c r="ADN22">
        <v>0</v>
      </c>
      <c r="ADO22">
        <v>0</v>
      </c>
      <c r="ADP22">
        <v>0</v>
      </c>
      <c r="ADQ22">
        <v>0</v>
      </c>
      <c r="ADR22">
        <v>0</v>
      </c>
      <c r="ADS22">
        <v>0</v>
      </c>
      <c r="ADT22">
        <v>0</v>
      </c>
      <c r="ADU22">
        <v>0</v>
      </c>
      <c r="ADV22">
        <v>0</v>
      </c>
      <c r="ADW22">
        <v>0</v>
      </c>
      <c r="ADX22">
        <v>0</v>
      </c>
      <c r="ADY22">
        <v>0</v>
      </c>
      <c r="ADZ22">
        <v>0</v>
      </c>
      <c r="AEA22">
        <v>0</v>
      </c>
      <c r="AEB22">
        <v>0</v>
      </c>
      <c r="AEC22">
        <v>0</v>
      </c>
      <c r="AED22">
        <v>0</v>
      </c>
      <c r="AEE22">
        <v>0</v>
      </c>
      <c r="AEF22">
        <v>0</v>
      </c>
      <c r="AEG22">
        <v>0</v>
      </c>
      <c r="AEH22">
        <v>0</v>
      </c>
      <c r="AEI22">
        <v>0</v>
      </c>
      <c r="AEJ22">
        <v>0</v>
      </c>
      <c r="AEK22">
        <v>0</v>
      </c>
      <c r="AEL22">
        <v>0</v>
      </c>
      <c r="AEM22">
        <v>0</v>
      </c>
      <c r="AEN22">
        <v>0</v>
      </c>
      <c r="AEO22">
        <v>0</v>
      </c>
      <c r="AEP22">
        <v>0</v>
      </c>
      <c r="AEQ22">
        <v>0</v>
      </c>
      <c r="AER22">
        <v>0</v>
      </c>
      <c r="AES22">
        <v>0</v>
      </c>
      <c r="AET22">
        <v>0</v>
      </c>
      <c r="AEU22">
        <v>0</v>
      </c>
      <c r="AEV22">
        <v>0</v>
      </c>
      <c r="AEW22">
        <v>0</v>
      </c>
      <c r="AEX22">
        <v>0</v>
      </c>
      <c r="AEY22">
        <v>0</v>
      </c>
      <c r="AEZ22">
        <v>0</v>
      </c>
      <c r="AFA22">
        <v>0</v>
      </c>
      <c r="AFB22">
        <v>0</v>
      </c>
      <c r="AFC22">
        <v>0</v>
      </c>
      <c r="AFD22">
        <v>0</v>
      </c>
      <c r="AFE22">
        <v>0</v>
      </c>
      <c r="AFF22">
        <v>0</v>
      </c>
      <c r="AFG22">
        <v>0</v>
      </c>
      <c r="AFH22">
        <v>0</v>
      </c>
      <c r="AFI22">
        <v>0</v>
      </c>
      <c r="AFJ22">
        <v>0</v>
      </c>
      <c r="AFK22">
        <v>0</v>
      </c>
      <c r="AFL22">
        <v>0</v>
      </c>
      <c r="AFM22">
        <v>0</v>
      </c>
      <c r="AFN22">
        <v>0</v>
      </c>
      <c r="AFO22">
        <v>0</v>
      </c>
      <c r="AFP22">
        <v>0</v>
      </c>
      <c r="AFQ22">
        <v>0</v>
      </c>
      <c r="AFR22">
        <v>0</v>
      </c>
      <c r="AFS22">
        <v>0</v>
      </c>
      <c r="AFT22">
        <v>0</v>
      </c>
      <c r="AFU22">
        <v>0</v>
      </c>
      <c r="AFV22">
        <v>0</v>
      </c>
      <c r="AFW22">
        <v>0</v>
      </c>
      <c r="AFX22">
        <v>0</v>
      </c>
      <c r="AFY22">
        <v>0</v>
      </c>
      <c r="AFZ22">
        <v>0</v>
      </c>
      <c r="AGA22">
        <v>0</v>
      </c>
      <c r="AGB22">
        <v>0</v>
      </c>
      <c r="AGC22">
        <v>0</v>
      </c>
      <c r="AGD22">
        <v>0</v>
      </c>
      <c r="AGE22">
        <v>0</v>
      </c>
      <c r="AGF22">
        <v>0</v>
      </c>
      <c r="AGG22">
        <v>0</v>
      </c>
      <c r="AGH22">
        <v>0</v>
      </c>
      <c r="AGI22">
        <v>0</v>
      </c>
      <c r="AGJ22">
        <v>0</v>
      </c>
      <c r="AGK22">
        <v>0</v>
      </c>
      <c r="AGL22">
        <v>0</v>
      </c>
      <c r="AGM22">
        <v>0</v>
      </c>
      <c r="AGN22">
        <v>0</v>
      </c>
      <c r="AGO22">
        <v>0</v>
      </c>
      <c r="AGP22">
        <v>0</v>
      </c>
      <c r="AGQ22">
        <v>0</v>
      </c>
      <c r="AGR22">
        <v>0</v>
      </c>
      <c r="AGS22">
        <v>0</v>
      </c>
      <c r="AGT22">
        <v>0</v>
      </c>
      <c r="AGU22">
        <v>0</v>
      </c>
      <c r="AGV22">
        <v>0</v>
      </c>
      <c r="AGW22">
        <v>0</v>
      </c>
      <c r="AGX22">
        <v>0</v>
      </c>
      <c r="AGY22">
        <v>0</v>
      </c>
      <c r="AGZ22">
        <v>0</v>
      </c>
      <c r="AHA22">
        <v>0</v>
      </c>
      <c r="AHB22">
        <v>0</v>
      </c>
      <c r="AHC22">
        <v>0</v>
      </c>
      <c r="AHD22">
        <v>0</v>
      </c>
      <c r="AHE22">
        <v>0</v>
      </c>
      <c r="AHF22">
        <v>0</v>
      </c>
      <c r="AHG22">
        <v>0</v>
      </c>
      <c r="AHH22">
        <v>0</v>
      </c>
      <c r="AHI22">
        <v>0</v>
      </c>
      <c r="AHJ22">
        <v>0</v>
      </c>
      <c r="AHK22">
        <v>0</v>
      </c>
      <c r="AHL22">
        <v>0</v>
      </c>
      <c r="AHM22">
        <v>0</v>
      </c>
      <c r="AHN22">
        <v>0</v>
      </c>
      <c r="AHO22">
        <v>0</v>
      </c>
      <c r="AHP22">
        <v>0</v>
      </c>
      <c r="AHQ22">
        <v>0</v>
      </c>
      <c r="AHR22">
        <v>0</v>
      </c>
      <c r="AHS22">
        <v>0</v>
      </c>
      <c r="AHT22">
        <v>0</v>
      </c>
      <c r="AHU22">
        <v>0</v>
      </c>
      <c r="AHV22">
        <v>0</v>
      </c>
      <c r="AHW22">
        <v>0</v>
      </c>
      <c r="AHX22">
        <v>0</v>
      </c>
      <c r="AHY22">
        <v>0</v>
      </c>
      <c r="AHZ22">
        <v>0</v>
      </c>
      <c r="AIA22">
        <v>0</v>
      </c>
      <c r="AIB22">
        <v>0</v>
      </c>
      <c r="AIC22">
        <v>0</v>
      </c>
      <c r="AID22">
        <v>0</v>
      </c>
      <c r="AIE22">
        <v>0</v>
      </c>
      <c r="AIF22">
        <v>0</v>
      </c>
      <c r="AIG22">
        <v>0</v>
      </c>
      <c r="AIH22">
        <v>0</v>
      </c>
      <c r="AII22">
        <v>0</v>
      </c>
      <c r="AIJ22">
        <v>0</v>
      </c>
      <c r="AIK22">
        <v>0</v>
      </c>
      <c r="AIL22">
        <v>0</v>
      </c>
      <c r="AIM22">
        <v>0</v>
      </c>
      <c r="AIN22">
        <v>0</v>
      </c>
      <c r="AIO22">
        <v>0</v>
      </c>
      <c r="AIP22">
        <v>0</v>
      </c>
      <c r="AIQ22">
        <v>0</v>
      </c>
      <c r="AIR22">
        <v>0</v>
      </c>
      <c r="AIS22">
        <v>0</v>
      </c>
      <c r="AIT22">
        <v>0</v>
      </c>
      <c r="AIU22">
        <v>0</v>
      </c>
      <c r="AIV22">
        <v>0</v>
      </c>
      <c r="AIW22">
        <v>0</v>
      </c>
      <c r="AIX22">
        <v>0</v>
      </c>
      <c r="AIY22">
        <v>0</v>
      </c>
      <c r="AIZ22">
        <v>0</v>
      </c>
      <c r="AJA22">
        <v>0</v>
      </c>
      <c r="AJB22">
        <v>0</v>
      </c>
      <c r="AJC22">
        <v>0</v>
      </c>
      <c r="AJD22">
        <v>0</v>
      </c>
      <c r="AJE22">
        <v>0</v>
      </c>
      <c r="AJF22">
        <v>0</v>
      </c>
      <c r="AJG22">
        <v>0</v>
      </c>
      <c r="AJH22">
        <v>0</v>
      </c>
      <c r="AJI22">
        <v>0</v>
      </c>
      <c r="AJJ22">
        <v>0</v>
      </c>
      <c r="AJK22">
        <v>0</v>
      </c>
      <c r="AJL22">
        <v>0</v>
      </c>
      <c r="AJM22">
        <v>0</v>
      </c>
      <c r="AJN22">
        <v>0</v>
      </c>
      <c r="AJO22">
        <v>0</v>
      </c>
      <c r="AJP22">
        <v>0</v>
      </c>
      <c r="AJQ22">
        <v>0</v>
      </c>
      <c r="AJR22">
        <v>0</v>
      </c>
      <c r="AJS22">
        <v>0</v>
      </c>
      <c r="AJT22">
        <v>0</v>
      </c>
      <c r="AJU22">
        <v>0</v>
      </c>
      <c r="AJV22">
        <v>0</v>
      </c>
      <c r="AJW22">
        <v>0</v>
      </c>
      <c r="AJX22">
        <v>0</v>
      </c>
      <c r="AJY22">
        <v>0</v>
      </c>
      <c r="AJZ22">
        <v>0</v>
      </c>
      <c r="AKA22">
        <v>0</v>
      </c>
      <c r="AKB22">
        <v>0</v>
      </c>
      <c r="AKC22">
        <v>0</v>
      </c>
      <c r="AKD22">
        <v>0</v>
      </c>
      <c r="AKE22">
        <v>0</v>
      </c>
      <c r="AKF22">
        <v>0</v>
      </c>
      <c r="AKG22">
        <v>0</v>
      </c>
      <c r="AKH22">
        <v>0</v>
      </c>
      <c r="AKI22">
        <v>0</v>
      </c>
      <c r="AKJ22">
        <v>0</v>
      </c>
      <c r="AKK22">
        <v>0</v>
      </c>
      <c r="AKL22">
        <v>0</v>
      </c>
      <c r="AKM22">
        <v>0</v>
      </c>
      <c r="AKN22">
        <v>0</v>
      </c>
      <c r="AKO22">
        <v>0</v>
      </c>
      <c r="AKP22">
        <v>0</v>
      </c>
      <c r="AKQ22">
        <v>0</v>
      </c>
      <c r="AKR22">
        <v>0</v>
      </c>
      <c r="AKS22">
        <v>0</v>
      </c>
      <c r="AKT22">
        <v>0</v>
      </c>
      <c r="AKU22">
        <v>0</v>
      </c>
      <c r="AKV22">
        <v>0</v>
      </c>
      <c r="AKW22">
        <v>0</v>
      </c>
      <c r="AKX22">
        <v>0</v>
      </c>
      <c r="AKY22">
        <v>0</v>
      </c>
      <c r="AKZ22">
        <v>0</v>
      </c>
      <c r="ALA22">
        <v>0</v>
      </c>
      <c r="ALB22">
        <v>0</v>
      </c>
      <c r="ALC22">
        <v>0</v>
      </c>
      <c r="ALD22">
        <v>0</v>
      </c>
      <c r="ALE22">
        <v>0</v>
      </c>
      <c r="ALF22">
        <v>0</v>
      </c>
      <c r="ALG22">
        <v>0</v>
      </c>
      <c r="ALH22">
        <v>0</v>
      </c>
      <c r="ALI22">
        <v>0</v>
      </c>
      <c r="ALJ22">
        <v>0</v>
      </c>
      <c r="ALK22">
        <v>0</v>
      </c>
      <c r="ALL22">
        <v>0</v>
      </c>
      <c r="ALM22">
        <v>0</v>
      </c>
    </row>
    <row r="23" spans="1:1001" s="7" customFormat="1">
      <c r="A23" s="8" t="s">
        <v>3</v>
      </c>
      <c r="B23" s="6">
        <f t="array" ref="B23:ALM23">VALUE(RIGHT($B$1:$ALM$1,4))</f>
        <v>0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E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0</v>
      </c>
      <c r="BZ23" s="6">
        <v>0</v>
      </c>
      <c r="CA23" s="6">
        <v>0</v>
      </c>
      <c r="CB23" s="6">
        <v>0</v>
      </c>
      <c r="CC23" s="6">
        <v>0</v>
      </c>
      <c r="CD23" s="6">
        <v>0</v>
      </c>
      <c r="CE23" s="6">
        <v>0</v>
      </c>
      <c r="CF23" s="6">
        <v>0</v>
      </c>
      <c r="CG23" s="6">
        <v>0</v>
      </c>
      <c r="CH23" s="6">
        <v>0</v>
      </c>
      <c r="CI23" s="6">
        <v>0</v>
      </c>
      <c r="CJ23" s="6">
        <v>0</v>
      </c>
      <c r="CK23" s="6">
        <v>0</v>
      </c>
      <c r="CL23" s="6">
        <v>0</v>
      </c>
      <c r="CM23" s="6">
        <v>0</v>
      </c>
      <c r="CN23" s="6">
        <v>0</v>
      </c>
      <c r="CO23" s="6">
        <v>0</v>
      </c>
      <c r="CP23" s="6">
        <v>0</v>
      </c>
      <c r="CQ23" s="6">
        <v>0</v>
      </c>
      <c r="CR23" s="6">
        <v>0</v>
      </c>
      <c r="CS23" s="6">
        <v>0</v>
      </c>
      <c r="CT23" s="6">
        <v>0</v>
      </c>
      <c r="CU23" s="6">
        <v>0</v>
      </c>
      <c r="CV23" s="6">
        <v>0</v>
      </c>
      <c r="CW23" s="6">
        <v>0</v>
      </c>
      <c r="CX23" s="6">
        <v>0</v>
      </c>
      <c r="CY23" s="6">
        <v>0</v>
      </c>
      <c r="CZ23" s="6">
        <v>0</v>
      </c>
      <c r="DA23" s="6">
        <v>0</v>
      </c>
      <c r="DB23" s="6">
        <v>0</v>
      </c>
      <c r="DC23" s="6">
        <v>0</v>
      </c>
      <c r="DD23" s="6">
        <v>0</v>
      </c>
      <c r="DE23" s="6">
        <v>0</v>
      </c>
      <c r="DF23" s="6">
        <v>0</v>
      </c>
      <c r="DG23" s="6">
        <v>0</v>
      </c>
      <c r="DH23" s="6">
        <v>0</v>
      </c>
      <c r="DI23" s="6">
        <v>0</v>
      </c>
      <c r="DJ23" s="6">
        <v>0</v>
      </c>
      <c r="DK23" s="6">
        <v>0</v>
      </c>
      <c r="DL23" s="6">
        <v>0</v>
      </c>
      <c r="DM23" s="6">
        <v>0</v>
      </c>
      <c r="DN23" s="6">
        <v>0</v>
      </c>
      <c r="DO23" s="6">
        <v>0</v>
      </c>
      <c r="DP23" s="6">
        <v>0</v>
      </c>
      <c r="DQ23" s="6">
        <v>0</v>
      </c>
      <c r="DR23" s="6">
        <v>0</v>
      </c>
      <c r="DS23" s="6">
        <v>0</v>
      </c>
      <c r="DT23" s="6">
        <v>0</v>
      </c>
      <c r="DU23" s="6">
        <v>0</v>
      </c>
      <c r="DV23" s="6">
        <v>0</v>
      </c>
      <c r="DW23" s="6">
        <v>0</v>
      </c>
      <c r="DX23" s="6">
        <v>0</v>
      </c>
      <c r="DY23" s="6">
        <v>0</v>
      </c>
      <c r="DZ23" s="6">
        <v>0</v>
      </c>
      <c r="EA23" s="6">
        <v>0</v>
      </c>
      <c r="EB23" s="6">
        <v>0</v>
      </c>
      <c r="EC23" s="6">
        <v>0</v>
      </c>
      <c r="ED23" s="6">
        <v>0</v>
      </c>
      <c r="EE23" s="6">
        <v>0</v>
      </c>
      <c r="EF23" s="6">
        <v>0</v>
      </c>
      <c r="EG23" s="6">
        <v>0</v>
      </c>
      <c r="EH23" s="6">
        <v>0</v>
      </c>
      <c r="EI23" s="6">
        <v>0</v>
      </c>
      <c r="EJ23" s="6">
        <v>0</v>
      </c>
      <c r="EK23" s="6">
        <v>0</v>
      </c>
      <c r="EL23" s="6">
        <v>0</v>
      </c>
      <c r="EM23" s="6">
        <v>0</v>
      </c>
      <c r="EN23" s="6">
        <v>0</v>
      </c>
      <c r="EO23" s="6">
        <v>0</v>
      </c>
      <c r="EP23" s="6">
        <v>0</v>
      </c>
      <c r="EQ23" s="6">
        <v>0</v>
      </c>
      <c r="ER23" s="6">
        <v>0</v>
      </c>
      <c r="ES23" s="6">
        <v>0</v>
      </c>
      <c r="ET23" s="6">
        <v>0</v>
      </c>
      <c r="EU23" s="6">
        <v>0</v>
      </c>
      <c r="EV23" s="6">
        <v>0</v>
      </c>
      <c r="EW23" s="6">
        <v>0</v>
      </c>
      <c r="EX23" s="6">
        <v>0</v>
      </c>
      <c r="EY23" s="6">
        <v>0</v>
      </c>
      <c r="EZ23" s="6">
        <v>0</v>
      </c>
      <c r="FA23" s="6">
        <v>0</v>
      </c>
      <c r="FB23" s="6">
        <v>0</v>
      </c>
      <c r="FC23" s="6">
        <v>0</v>
      </c>
      <c r="FD23" s="6">
        <v>0</v>
      </c>
      <c r="FE23" s="6">
        <v>0</v>
      </c>
      <c r="FF23" s="6">
        <v>0</v>
      </c>
      <c r="FG23" s="6">
        <v>0</v>
      </c>
      <c r="FH23" s="6">
        <v>0</v>
      </c>
      <c r="FI23" s="6">
        <v>0</v>
      </c>
      <c r="FJ23" s="6">
        <v>0</v>
      </c>
      <c r="FK23" s="6">
        <v>0</v>
      </c>
      <c r="FL23" s="6">
        <v>0</v>
      </c>
      <c r="FM23" s="6">
        <v>0</v>
      </c>
      <c r="FN23" s="6">
        <v>0</v>
      </c>
      <c r="FO23" s="6">
        <v>0</v>
      </c>
      <c r="FP23" s="6">
        <v>0</v>
      </c>
      <c r="FQ23" s="6">
        <v>0</v>
      </c>
      <c r="FR23" s="6">
        <v>0</v>
      </c>
      <c r="FS23" s="6">
        <v>0</v>
      </c>
      <c r="FT23" s="6">
        <v>0</v>
      </c>
      <c r="FU23" s="6">
        <v>0</v>
      </c>
      <c r="FV23" s="6">
        <v>0</v>
      </c>
      <c r="FW23" s="6">
        <v>0</v>
      </c>
      <c r="FX23" s="6">
        <v>0</v>
      </c>
      <c r="FY23" s="6">
        <v>0</v>
      </c>
      <c r="FZ23" s="6">
        <v>0</v>
      </c>
      <c r="GA23" s="6">
        <v>0</v>
      </c>
      <c r="GB23" s="6">
        <v>0</v>
      </c>
      <c r="GC23" s="6">
        <v>0</v>
      </c>
      <c r="GD23" s="6">
        <v>0</v>
      </c>
      <c r="GE23" s="6">
        <v>0</v>
      </c>
      <c r="GF23" s="6">
        <v>0</v>
      </c>
      <c r="GG23" s="6">
        <v>0</v>
      </c>
      <c r="GH23" s="6">
        <v>0</v>
      </c>
      <c r="GI23" s="6">
        <v>0</v>
      </c>
      <c r="GJ23" s="6">
        <v>0</v>
      </c>
      <c r="GK23" s="6">
        <v>0</v>
      </c>
      <c r="GL23" s="6">
        <v>0</v>
      </c>
      <c r="GM23" s="6">
        <v>0</v>
      </c>
      <c r="GN23" s="6">
        <v>0</v>
      </c>
      <c r="GO23" s="6">
        <v>0</v>
      </c>
      <c r="GP23" s="6">
        <v>0</v>
      </c>
      <c r="GQ23" s="6">
        <v>0</v>
      </c>
      <c r="GR23" s="6">
        <v>0</v>
      </c>
      <c r="GS23" s="6">
        <v>0</v>
      </c>
      <c r="GT23" s="6">
        <v>0</v>
      </c>
      <c r="GU23" s="6">
        <v>0</v>
      </c>
      <c r="GV23" s="6">
        <v>0</v>
      </c>
      <c r="GW23" s="6">
        <v>0</v>
      </c>
      <c r="GX23" s="6">
        <v>0</v>
      </c>
      <c r="GY23" s="6">
        <v>0</v>
      </c>
      <c r="GZ23" s="6">
        <v>0</v>
      </c>
      <c r="HA23" s="6">
        <v>0</v>
      </c>
      <c r="HB23" s="6">
        <v>0</v>
      </c>
      <c r="HC23" s="6">
        <v>0</v>
      </c>
      <c r="HD23" s="6">
        <v>0</v>
      </c>
      <c r="HE23" s="6">
        <v>0</v>
      </c>
      <c r="HF23" s="6">
        <v>0</v>
      </c>
      <c r="HG23" s="6">
        <v>0</v>
      </c>
      <c r="HH23" s="6">
        <v>0</v>
      </c>
      <c r="HI23" s="6">
        <v>0</v>
      </c>
      <c r="HJ23" s="6">
        <v>0</v>
      </c>
      <c r="HK23" s="6">
        <v>0</v>
      </c>
      <c r="HL23" s="6">
        <v>0</v>
      </c>
      <c r="HM23" s="6">
        <v>0</v>
      </c>
      <c r="HN23" s="6">
        <v>0</v>
      </c>
      <c r="HO23" s="6">
        <v>0</v>
      </c>
      <c r="HP23" s="6">
        <v>0</v>
      </c>
      <c r="HQ23" s="6">
        <v>0</v>
      </c>
      <c r="HR23" s="6">
        <v>0</v>
      </c>
      <c r="HS23" s="6">
        <v>0</v>
      </c>
      <c r="HT23" s="6">
        <v>0</v>
      </c>
      <c r="HU23" s="6">
        <v>0</v>
      </c>
      <c r="HV23" s="6">
        <v>0</v>
      </c>
      <c r="HW23" s="6">
        <v>0</v>
      </c>
      <c r="HX23" s="6">
        <v>0</v>
      </c>
      <c r="HY23" s="6">
        <v>0</v>
      </c>
      <c r="HZ23" s="6">
        <v>0</v>
      </c>
      <c r="IA23" s="6">
        <v>0</v>
      </c>
      <c r="IB23" s="6">
        <v>0</v>
      </c>
      <c r="IC23" s="6">
        <v>0</v>
      </c>
      <c r="ID23" s="6">
        <v>0</v>
      </c>
      <c r="IE23" s="6">
        <v>0</v>
      </c>
      <c r="IF23" s="6">
        <v>0</v>
      </c>
      <c r="IG23" s="6">
        <v>0</v>
      </c>
      <c r="IH23" s="6">
        <v>0</v>
      </c>
      <c r="II23" s="6">
        <v>0</v>
      </c>
      <c r="IJ23" s="6">
        <v>0</v>
      </c>
      <c r="IK23" s="6">
        <v>0</v>
      </c>
      <c r="IL23" s="6">
        <v>0</v>
      </c>
      <c r="IM23" s="6">
        <v>0</v>
      </c>
      <c r="IN23" s="6">
        <v>0</v>
      </c>
      <c r="IO23" s="6">
        <v>0</v>
      </c>
      <c r="IP23" s="6">
        <v>0</v>
      </c>
      <c r="IQ23" s="6">
        <v>0</v>
      </c>
      <c r="IR23" s="6">
        <v>0</v>
      </c>
      <c r="IS23" s="6">
        <v>0</v>
      </c>
      <c r="IT23" s="6">
        <v>0</v>
      </c>
      <c r="IU23" s="6">
        <v>0</v>
      </c>
      <c r="IV23" s="6">
        <v>0</v>
      </c>
      <c r="IW23" s="6">
        <v>0</v>
      </c>
      <c r="IX23" s="6">
        <v>0</v>
      </c>
      <c r="IY23" s="6">
        <v>0</v>
      </c>
      <c r="IZ23" s="6">
        <v>0</v>
      </c>
      <c r="JA23" s="6">
        <v>0</v>
      </c>
      <c r="JB23" s="6">
        <v>0</v>
      </c>
      <c r="JC23" s="6">
        <v>0</v>
      </c>
      <c r="JD23" s="6">
        <v>0</v>
      </c>
      <c r="JE23" s="6">
        <v>0</v>
      </c>
      <c r="JF23" s="6">
        <v>0</v>
      </c>
      <c r="JG23" s="6">
        <v>0</v>
      </c>
      <c r="JH23" s="6">
        <v>0</v>
      </c>
      <c r="JI23" s="6">
        <v>0</v>
      </c>
      <c r="JJ23" s="6">
        <v>0</v>
      </c>
      <c r="JK23" s="6">
        <v>0</v>
      </c>
      <c r="JL23" s="6">
        <v>0</v>
      </c>
      <c r="JM23" s="6">
        <v>0</v>
      </c>
      <c r="JN23" s="6">
        <v>0</v>
      </c>
      <c r="JO23" s="6">
        <v>0</v>
      </c>
      <c r="JP23" s="6">
        <v>0</v>
      </c>
      <c r="JQ23" s="6">
        <v>0</v>
      </c>
      <c r="JR23" s="6">
        <v>0</v>
      </c>
      <c r="JS23" s="6">
        <v>0</v>
      </c>
      <c r="JT23" s="6">
        <v>0</v>
      </c>
      <c r="JU23" s="6">
        <v>0</v>
      </c>
      <c r="JV23" s="6">
        <v>0</v>
      </c>
      <c r="JW23" s="6">
        <v>0</v>
      </c>
      <c r="JX23" s="6">
        <v>0</v>
      </c>
      <c r="JY23" s="6">
        <v>0</v>
      </c>
      <c r="JZ23" s="6">
        <v>0</v>
      </c>
      <c r="KA23" s="6">
        <v>0</v>
      </c>
      <c r="KB23" s="6">
        <v>0</v>
      </c>
      <c r="KC23" s="6">
        <v>0</v>
      </c>
      <c r="KD23" s="6">
        <v>0</v>
      </c>
      <c r="KE23" s="6">
        <v>0</v>
      </c>
      <c r="KF23" s="6">
        <v>0</v>
      </c>
      <c r="KG23" s="6">
        <v>0</v>
      </c>
      <c r="KH23" s="6">
        <v>0</v>
      </c>
      <c r="KI23" s="6">
        <v>0</v>
      </c>
      <c r="KJ23" s="6">
        <v>0</v>
      </c>
      <c r="KK23" s="6">
        <v>0</v>
      </c>
      <c r="KL23" s="6">
        <v>0</v>
      </c>
      <c r="KM23" s="6">
        <v>0</v>
      </c>
      <c r="KN23" s="6">
        <v>0</v>
      </c>
      <c r="KO23" s="6">
        <v>0</v>
      </c>
      <c r="KP23" s="6">
        <v>0</v>
      </c>
      <c r="KQ23" s="6">
        <v>0</v>
      </c>
      <c r="KR23" s="6">
        <v>0</v>
      </c>
      <c r="KS23" s="6">
        <v>0</v>
      </c>
      <c r="KT23" s="6">
        <v>0</v>
      </c>
      <c r="KU23" s="6">
        <v>0</v>
      </c>
      <c r="KV23" s="6">
        <v>0</v>
      </c>
      <c r="KW23" s="6">
        <v>0</v>
      </c>
      <c r="KX23" s="6">
        <v>0</v>
      </c>
      <c r="KY23" s="6">
        <v>0</v>
      </c>
      <c r="KZ23" s="6">
        <v>0</v>
      </c>
      <c r="LA23" s="6">
        <v>0</v>
      </c>
      <c r="LB23" s="6">
        <v>0</v>
      </c>
      <c r="LC23" s="6">
        <v>0</v>
      </c>
      <c r="LD23" s="6">
        <v>0</v>
      </c>
      <c r="LE23" s="6">
        <v>0</v>
      </c>
      <c r="LF23" s="6">
        <v>0</v>
      </c>
      <c r="LG23" s="6">
        <v>0</v>
      </c>
      <c r="LH23" s="6">
        <v>0</v>
      </c>
      <c r="LI23" s="6">
        <v>0</v>
      </c>
      <c r="LJ23" s="6">
        <v>0</v>
      </c>
      <c r="LK23" s="6">
        <v>0</v>
      </c>
      <c r="LL23" s="6">
        <v>0</v>
      </c>
      <c r="LM23" s="6">
        <v>0</v>
      </c>
      <c r="LN23" s="6">
        <v>0</v>
      </c>
      <c r="LO23" s="6">
        <v>0</v>
      </c>
      <c r="LP23" s="6">
        <v>0</v>
      </c>
      <c r="LQ23" s="6">
        <v>0</v>
      </c>
      <c r="LR23" s="6">
        <v>0</v>
      </c>
      <c r="LS23" s="6">
        <v>0</v>
      </c>
      <c r="LT23" s="6">
        <v>0</v>
      </c>
      <c r="LU23" s="6">
        <v>0</v>
      </c>
      <c r="LV23" s="6">
        <v>0</v>
      </c>
      <c r="LW23" s="6">
        <v>0</v>
      </c>
      <c r="LX23" s="6">
        <v>0</v>
      </c>
      <c r="LY23" s="6">
        <v>0</v>
      </c>
      <c r="LZ23" s="6">
        <v>0</v>
      </c>
      <c r="MA23" s="6">
        <v>0</v>
      </c>
      <c r="MB23" s="6">
        <v>0</v>
      </c>
      <c r="MC23" s="6">
        <v>0</v>
      </c>
      <c r="MD23" s="6">
        <v>0</v>
      </c>
      <c r="ME23" s="6">
        <v>0</v>
      </c>
      <c r="MF23" s="6">
        <v>0</v>
      </c>
      <c r="MG23" s="6">
        <v>0</v>
      </c>
      <c r="MH23" s="6">
        <v>0</v>
      </c>
      <c r="MI23" s="6">
        <v>0</v>
      </c>
      <c r="MJ23" s="6">
        <v>0</v>
      </c>
      <c r="MK23" s="6">
        <v>0</v>
      </c>
      <c r="ML23" s="6">
        <v>0</v>
      </c>
      <c r="MM23" s="6">
        <v>0</v>
      </c>
      <c r="MN23" s="6">
        <v>0</v>
      </c>
      <c r="MO23" s="6">
        <v>0</v>
      </c>
      <c r="MP23" s="6">
        <v>0</v>
      </c>
      <c r="MQ23" s="6">
        <v>0</v>
      </c>
      <c r="MR23" s="6">
        <v>0</v>
      </c>
      <c r="MS23" s="6">
        <v>0</v>
      </c>
      <c r="MT23" s="6">
        <v>0</v>
      </c>
      <c r="MU23" s="6">
        <v>0</v>
      </c>
      <c r="MV23" s="6">
        <v>0</v>
      </c>
      <c r="MW23" s="6">
        <v>0</v>
      </c>
      <c r="MX23" s="6">
        <v>0</v>
      </c>
      <c r="MY23" s="6">
        <v>0</v>
      </c>
      <c r="MZ23" s="6">
        <v>0</v>
      </c>
      <c r="NA23" s="6">
        <v>0</v>
      </c>
      <c r="NB23" s="6">
        <v>0</v>
      </c>
      <c r="NC23" s="6">
        <v>0</v>
      </c>
      <c r="ND23" s="6">
        <v>0</v>
      </c>
      <c r="NE23" s="6">
        <v>0</v>
      </c>
      <c r="NF23" s="6">
        <v>0</v>
      </c>
      <c r="NG23" s="6">
        <v>0</v>
      </c>
      <c r="NH23" s="6">
        <v>0</v>
      </c>
      <c r="NI23" s="6">
        <v>0</v>
      </c>
      <c r="NJ23" s="6">
        <v>0</v>
      </c>
      <c r="NK23" s="6">
        <v>0</v>
      </c>
      <c r="NL23" s="6">
        <v>0</v>
      </c>
      <c r="NM23" s="6">
        <v>0</v>
      </c>
      <c r="NN23" s="6">
        <v>0</v>
      </c>
      <c r="NO23" s="6">
        <v>0</v>
      </c>
      <c r="NP23" s="6">
        <v>0</v>
      </c>
      <c r="NQ23" s="6">
        <v>0</v>
      </c>
      <c r="NR23" s="6">
        <v>0</v>
      </c>
      <c r="NS23" s="6">
        <v>0</v>
      </c>
      <c r="NT23" s="6">
        <v>0</v>
      </c>
      <c r="NU23" s="6">
        <v>0</v>
      </c>
      <c r="NV23" s="6">
        <v>0</v>
      </c>
      <c r="NW23" s="6">
        <v>0</v>
      </c>
      <c r="NX23" s="6">
        <v>0</v>
      </c>
      <c r="NY23" s="6">
        <v>0</v>
      </c>
      <c r="NZ23" s="6">
        <v>0</v>
      </c>
      <c r="OA23" s="6">
        <v>0</v>
      </c>
      <c r="OB23" s="6">
        <v>0</v>
      </c>
      <c r="OC23" s="6">
        <v>0</v>
      </c>
      <c r="OD23" s="6">
        <v>0</v>
      </c>
      <c r="OE23" s="6">
        <v>0</v>
      </c>
      <c r="OF23" s="6">
        <v>0</v>
      </c>
      <c r="OG23" s="6">
        <v>0</v>
      </c>
      <c r="OH23" s="6">
        <v>0</v>
      </c>
      <c r="OI23" s="6">
        <v>0</v>
      </c>
      <c r="OJ23" s="6">
        <v>0</v>
      </c>
      <c r="OK23" s="6">
        <v>0</v>
      </c>
      <c r="OL23" s="6">
        <v>0</v>
      </c>
      <c r="OM23" s="6">
        <v>0</v>
      </c>
      <c r="ON23" s="6">
        <v>0</v>
      </c>
      <c r="OO23" s="6">
        <v>0</v>
      </c>
      <c r="OP23" s="6">
        <v>0</v>
      </c>
      <c r="OQ23" s="6">
        <v>0</v>
      </c>
      <c r="OR23" s="6">
        <v>0</v>
      </c>
      <c r="OS23" s="6">
        <v>0</v>
      </c>
      <c r="OT23" s="6">
        <v>0</v>
      </c>
      <c r="OU23" s="6">
        <v>0</v>
      </c>
      <c r="OV23" s="6">
        <v>0</v>
      </c>
      <c r="OW23" s="6">
        <v>0</v>
      </c>
      <c r="OX23" s="6">
        <v>0</v>
      </c>
      <c r="OY23" s="6">
        <v>0</v>
      </c>
      <c r="OZ23" s="6">
        <v>0</v>
      </c>
      <c r="PA23" s="6">
        <v>0</v>
      </c>
      <c r="PB23" s="6">
        <v>0</v>
      </c>
      <c r="PC23" s="6">
        <v>0</v>
      </c>
      <c r="PD23" s="6">
        <v>0</v>
      </c>
      <c r="PE23" s="6">
        <v>0</v>
      </c>
      <c r="PF23" s="6">
        <v>0</v>
      </c>
      <c r="PG23" s="6">
        <v>0</v>
      </c>
      <c r="PH23" s="6">
        <v>0</v>
      </c>
      <c r="PI23" s="6">
        <v>0</v>
      </c>
      <c r="PJ23" s="6">
        <v>0</v>
      </c>
      <c r="PK23" s="6">
        <v>0</v>
      </c>
      <c r="PL23" s="6">
        <v>0</v>
      </c>
      <c r="PM23" s="6">
        <v>0</v>
      </c>
      <c r="PN23" s="6">
        <v>0</v>
      </c>
      <c r="PO23" s="6">
        <v>0</v>
      </c>
      <c r="PP23" s="6">
        <v>0</v>
      </c>
      <c r="PQ23" s="6">
        <v>0</v>
      </c>
      <c r="PR23" s="6">
        <v>0</v>
      </c>
      <c r="PS23" s="6">
        <v>0</v>
      </c>
      <c r="PT23" s="6">
        <v>0</v>
      </c>
      <c r="PU23" s="6">
        <v>0</v>
      </c>
      <c r="PV23" s="6">
        <v>0</v>
      </c>
      <c r="PW23" s="6">
        <v>0</v>
      </c>
      <c r="PX23" s="6">
        <v>0</v>
      </c>
      <c r="PY23" s="6">
        <v>0</v>
      </c>
      <c r="PZ23" s="6">
        <v>0</v>
      </c>
      <c r="QA23" s="6">
        <v>0</v>
      </c>
      <c r="QB23" s="6">
        <v>0</v>
      </c>
      <c r="QC23" s="6">
        <v>0</v>
      </c>
      <c r="QD23" s="6">
        <v>0</v>
      </c>
      <c r="QE23" s="6">
        <v>0</v>
      </c>
      <c r="QF23" s="6">
        <v>0</v>
      </c>
      <c r="QG23" s="6">
        <v>0</v>
      </c>
      <c r="QH23" s="6">
        <v>0</v>
      </c>
      <c r="QI23" s="6">
        <v>0</v>
      </c>
      <c r="QJ23" s="6">
        <v>0</v>
      </c>
      <c r="QK23" s="6">
        <v>0</v>
      </c>
      <c r="QL23" s="6">
        <v>0</v>
      </c>
      <c r="QM23" s="6">
        <v>0</v>
      </c>
      <c r="QN23" s="6">
        <v>0</v>
      </c>
      <c r="QO23" s="6">
        <v>0</v>
      </c>
      <c r="QP23" s="6">
        <v>0</v>
      </c>
      <c r="QQ23" s="6">
        <v>0</v>
      </c>
      <c r="QR23" s="6">
        <v>0</v>
      </c>
      <c r="QS23" s="6">
        <v>0</v>
      </c>
      <c r="QT23" s="6">
        <v>0</v>
      </c>
      <c r="QU23" s="6">
        <v>0</v>
      </c>
      <c r="QV23" s="6">
        <v>0</v>
      </c>
      <c r="QW23" s="6">
        <v>0</v>
      </c>
      <c r="QX23" s="6">
        <v>0</v>
      </c>
      <c r="QY23" s="6">
        <v>0</v>
      </c>
      <c r="QZ23" s="6">
        <v>0</v>
      </c>
      <c r="RA23" s="6">
        <v>0</v>
      </c>
      <c r="RB23" s="6">
        <v>0</v>
      </c>
      <c r="RC23" s="6">
        <v>0</v>
      </c>
      <c r="RD23" s="6">
        <v>0</v>
      </c>
      <c r="RE23" s="6">
        <v>0</v>
      </c>
      <c r="RF23" s="6">
        <v>0</v>
      </c>
      <c r="RG23" s="6">
        <v>0</v>
      </c>
      <c r="RH23" s="6">
        <v>0</v>
      </c>
      <c r="RI23" s="6">
        <v>0</v>
      </c>
      <c r="RJ23" s="6">
        <v>0</v>
      </c>
      <c r="RK23" s="6">
        <v>0</v>
      </c>
      <c r="RL23" s="6">
        <v>0</v>
      </c>
      <c r="RM23" s="6">
        <v>0</v>
      </c>
      <c r="RN23" s="6">
        <v>0</v>
      </c>
      <c r="RO23" s="6">
        <v>0</v>
      </c>
      <c r="RP23" s="6">
        <v>0</v>
      </c>
      <c r="RQ23" s="6">
        <v>0</v>
      </c>
      <c r="RR23" s="6">
        <v>0</v>
      </c>
      <c r="RS23" s="6">
        <v>0</v>
      </c>
      <c r="RT23" s="6">
        <v>0</v>
      </c>
      <c r="RU23" s="6">
        <v>0</v>
      </c>
      <c r="RV23" s="6">
        <v>0</v>
      </c>
      <c r="RW23" s="6">
        <v>0</v>
      </c>
      <c r="RX23" s="6">
        <v>0</v>
      </c>
      <c r="RY23" s="6">
        <v>0</v>
      </c>
      <c r="RZ23" s="6">
        <v>0</v>
      </c>
      <c r="SA23" s="6">
        <v>0</v>
      </c>
      <c r="SB23" s="6">
        <v>0</v>
      </c>
      <c r="SC23" s="6">
        <v>0</v>
      </c>
      <c r="SD23" s="6">
        <v>0</v>
      </c>
      <c r="SE23" s="6">
        <v>0</v>
      </c>
      <c r="SF23" s="6">
        <v>0</v>
      </c>
      <c r="SG23" s="6">
        <v>0</v>
      </c>
      <c r="SH23" s="6">
        <v>0</v>
      </c>
      <c r="SI23" s="6">
        <v>0</v>
      </c>
      <c r="SJ23" s="6">
        <v>0</v>
      </c>
      <c r="SK23" s="6">
        <v>0</v>
      </c>
      <c r="SL23" s="6">
        <v>0</v>
      </c>
      <c r="SM23" s="6">
        <v>0</v>
      </c>
      <c r="SN23" s="6">
        <v>0</v>
      </c>
      <c r="SO23" s="6">
        <v>0</v>
      </c>
      <c r="SP23" s="6">
        <v>0</v>
      </c>
      <c r="SQ23" s="6">
        <v>0</v>
      </c>
      <c r="SR23" s="6">
        <v>0</v>
      </c>
      <c r="SS23" s="6">
        <v>0</v>
      </c>
      <c r="ST23" s="6">
        <v>0</v>
      </c>
      <c r="SU23" s="6">
        <v>0</v>
      </c>
      <c r="SV23" s="6">
        <v>0</v>
      </c>
      <c r="SW23" s="6">
        <v>0</v>
      </c>
      <c r="SX23" s="6">
        <v>0</v>
      </c>
      <c r="SY23" s="6">
        <v>0</v>
      </c>
      <c r="SZ23" s="6">
        <v>0</v>
      </c>
      <c r="TA23" s="6">
        <v>0</v>
      </c>
      <c r="TB23" s="6">
        <v>0</v>
      </c>
      <c r="TC23" s="6">
        <v>0</v>
      </c>
      <c r="TD23" s="6">
        <v>0</v>
      </c>
      <c r="TE23" s="6">
        <v>0</v>
      </c>
      <c r="TF23" s="6">
        <v>0</v>
      </c>
      <c r="TG23" s="6">
        <v>0</v>
      </c>
      <c r="TH23" s="6">
        <v>0</v>
      </c>
      <c r="TI23" s="6">
        <v>0</v>
      </c>
      <c r="TJ23" s="6">
        <v>0</v>
      </c>
      <c r="TK23" s="6">
        <v>0</v>
      </c>
      <c r="TL23" s="6">
        <v>0</v>
      </c>
      <c r="TM23" s="6">
        <v>0</v>
      </c>
      <c r="TN23" s="6">
        <v>0</v>
      </c>
      <c r="TO23" s="6">
        <v>0</v>
      </c>
      <c r="TP23" s="6">
        <v>0</v>
      </c>
      <c r="TQ23" s="6">
        <v>0</v>
      </c>
      <c r="TR23" s="6">
        <v>0</v>
      </c>
      <c r="TS23" s="6">
        <v>0</v>
      </c>
      <c r="TT23" s="6">
        <v>0</v>
      </c>
      <c r="TU23" s="6">
        <v>0</v>
      </c>
      <c r="TV23" s="6">
        <v>0</v>
      </c>
      <c r="TW23" s="6">
        <v>0</v>
      </c>
      <c r="TX23" s="6">
        <v>0</v>
      </c>
      <c r="TY23" s="6">
        <v>0</v>
      </c>
      <c r="TZ23" s="6">
        <v>0</v>
      </c>
      <c r="UA23" s="6">
        <v>0</v>
      </c>
      <c r="UB23" s="6">
        <v>0</v>
      </c>
      <c r="UC23" s="6">
        <v>0</v>
      </c>
      <c r="UD23" s="6">
        <v>0</v>
      </c>
      <c r="UE23" s="6">
        <v>0</v>
      </c>
      <c r="UF23" s="6">
        <v>0</v>
      </c>
      <c r="UG23" s="6">
        <v>0</v>
      </c>
      <c r="UH23" s="6">
        <v>0</v>
      </c>
      <c r="UI23" s="6">
        <v>0</v>
      </c>
      <c r="UJ23" s="6">
        <v>0</v>
      </c>
      <c r="UK23" s="6">
        <v>0</v>
      </c>
      <c r="UL23" s="6">
        <v>0</v>
      </c>
      <c r="UM23" s="6">
        <v>0</v>
      </c>
      <c r="UN23" s="6">
        <v>0</v>
      </c>
      <c r="UO23" s="6">
        <v>0</v>
      </c>
      <c r="UP23" s="6">
        <v>0</v>
      </c>
      <c r="UQ23" s="6">
        <v>0</v>
      </c>
      <c r="UR23" s="6">
        <v>0</v>
      </c>
      <c r="US23" s="6">
        <v>0</v>
      </c>
      <c r="UT23" s="6">
        <v>0</v>
      </c>
      <c r="UU23" s="6">
        <v>0</v>
      </c>
      <c r="UV23" s="6">
        <v>0</v>
      </c>
      <c r="UW23" s="6">
        <v>0</v>
      </c>
      <c r="UX23" s="6">
        <v>0</v>
      </c>
      <c r="UY23" s="6">
        <v>0</v>
      </c>
      <c r="UZ23" s="6">
        <v>0</v>
      </c>
      <c r="VA23" s="6">
        <v>0</v>
      </c>
      <c r="VB23" s="6">
        <v>0</v>
      </c>
      <c r="VC23" s="6">
        <v>0</v>
      </c>
      <c r="VD23" s="6">
        <v>0</v>
      </c>
      <c r="VE23" s="6">
        <v>0</v>
      </c>
      <c r="VF23" s="6">
        <v>0</v>
      </c>
      <c r="VG23" s="6">
        <v>0</v>
      </c>
      <c r="VH23" s="6">
        <v>0</v>
      </c>
      <c r="VI23" s="6">
        <v>0</v>
      </c>
      <c r="VJ23" s="6">
        <v>0</v>
      </c>
      <c r="VK23" s="6">
        <v>0</v>
      </c>
      <c r="VL23" s="6">
        <v>0</v>
      </c>
      <c r="VM23" s="6">
        <v>0</v>
      </c>
      <c r="VN23" s="6">
        <v>0</v>
      </c>
      <c r="VO23" s="6">
        <v>0</v>
      </c>
      <c r="VP23" s="6">
        <v>0</v>
      </c>
      <c r="VQ23" s="6">
        <v>0</v>
      </c>
      <c r="VR23" s="6">
        <v>0</v>
      </c>
      <c r="VS23" s="6">
        <v>0</v>
      </c>
      <c r="VT23" s="6">
        <v>0</v>
      </c>
      <c r="VU23" s="6">
        <v>0</v>
      </c>
      <c r="VV23" s="6">
        <v>0</v>
      </c>
      <c r="VW23" s="6">
        <v>0</v>
      </c>
      <c r="VX23" s="6">
        <v>0</v>
      </c>
      <c r="VY23" s="6">
        <v>0</v>
      </c>
      <c r="VZ23" s="6">
        <v>0</v>
      </c>
      <c r="WA23" s="6">
        <v>0</v>
      </c>
      <c r="WB23" s="6">
        <v>0</v>
      </c>
      <c r="WC23" s="6">
        <v>0</v>
      </c>
      <c r="WD23" s="6">
        <v>0</v>
      </c>
      <c r="WE23" s="6">
        <v>0</v>
      </c>
      <c r="WF23" s="6">
        <v>0</v>
      </c>
      <c r="WG23" s="6">
        <v>0</v>
      </c>
      <c r="WH23" s="6">
        <v>0</v>
      </c>
      <c r="WI23" s="6">
        <v>0</v>
      </c>
      <c r="WJ23" s="6">
        <v>0</v>
      </c>
      <c r="WK23" s="6">
        <v>0</v>
      </c>
      <c r="WL23" s="6">
        <v>0</v>
      </c>
      <c r="WM23" s="6">
        <v>0</v>
      </c>
      <c r="WN23" s="6">
        <v>0</v>
      </c>
      <c r="WO23" s="6">
        <v>0</v>
      </c>
      <c r="WP23" s="6">
        <v>0</v>
      </c>
      <c r="WQ23" s="6">
        <v>0</v>
      </c>
      <c r="WR23" s="6">
        <v>0</v>
      </c>
      <c r="WS23" s="6">
        <v>0</v>
      </c>
      <c r="WT23" s="6">
        <v>0</v>
      </c>
      <c r="WU23" s="6">
        <v>0</v>
      </c>
      <c r="WV23" s="6">
        <v>0</v>
      </c>
      <c r="WW23" s="6">
        <v>0</v>
      </c>
      <c r="WX23" s="6">
        <v>0</v>
      </c>
      <c r="WY23" s="6">
        <v>0</v>
      </c>
      <c r="WZ23" s="6">
        <v>0</v>
      </c>
      <c r="XA23" s="6">
        <v>0</v>
      </c>
      <c r="XB23" s="6">
        <v>0</v>
      </c>
      <c r="XC23" s="6">
        <v>0</v>
      </c>
      <c r="XD23" s="6">
        <v>0</v>
      </c>
      <c r="XE23" s="6">
        <v>0</v>
      </c>
      <c r="XF23" s="6">
        <v>0</v>
      </c>
      <c r="XG23" s="6">
        <v>0</v>
      </c>
      <c r="XH23" s="6">
        <v>0</v>
      </c>
      <c r="XI23" s="6">
        <v>0</v>
      </c>
      <c r="XJ23" s="6">
        <v>0</v>
      </c>
      <c r="XK23" s="6">
        <v>0</v>
      </c>
      <c r="XL23" s="6">
        <v>0</v>
      </c>
      <c r="XM23" s="6">
        <v>0</v>
      </c>
      <c r="XN23" s="6">
        <v>0</v>
      </c>
      <c r="XO23" s="6">
        <v>0</v>
      </c>
      <c r="XP23" s="6">
        <v>0</v>
      </c>
      <c r="XQ23" s="6">
        <v>0</v>
      </c>
      <c r="XR23" s="6">
        <v>0</v>
      </c>
      <c r="XS23" s="6">
        <v>0</v>
      </c>
      <c r="XT23" s="6">
        <v>0</v>
      </c>
      <c r="XU23" s="6">
        <v>0</v>
      </c>
      <c r="XV23" s="6">
        <v>0</v>
      </c>
      <c r="XW23" s="6">
        <v>0</v>
      </c>
      <c r="XX23" s="6">
        <v>0</v>
      </c>
      <c r="XY23" s="6">
        <v>0</v>
      </c>
      <c r="XZ23" s="6">
        <v>0</v>
      </c>
      <c r="YA23" s="6">
        <v>0</v>
      </c>
      <c r="YB23" s="6">
        <v>0</v>
      </c>
      <c r="YC23" s="6">
        <v>0</v>
      </c>
      <c r="YD23" s="6">
        <v>0</v>
      </c>
      <c r="YE23" s="6">
        <v>0</v>
      </c>
      <c r="YF23" s="6">
        <v>0</v>
      </c>
      <c r="YG23" s="6">
        <v>0</v>
      </c>
      <c r="YH23" s="6">
        <v>0</v>
      </c>
      <c r="YI23" s="6">
        <v>0</v>
      </c>
      <c r="YJ23" s="6">
        <v>0</v>
      </c>
      <c r="YK23" s="6">
        <v>0</v>
      </c>
      <c r="YL23" s="6">
        <v>0</v>
      </c>
      <c r="YM23" s="6">
        <v>0</v>
      </c>
      <c r="YN23" s="6">
        <v>0</v>
      </c>
      <c r="YO23" s="6">
        <v>0</v>
      </c>
      <c r="YP23" s="6">
        <v>0</v>
      </c>
      <c r="YQ23" s="6">
        <v>0</v>
      </c>
      <c r="YR23" s="6">
        <v>0</v>
      </c>
      <c r="YS23" s="6">
        <v>0</v>
      </c>
      <c r="YT23" s="6">
        <v>0</v>
      </c>
      <c r="YU23" s="6">
        <v>0</v>
      </c>
      <c r="YV23" s="6">
        <v>0</v>
      </c>
      <c r="YW23" s="6">
        <v>0</v>
      </c>
      <c r="YX23" s="6">
        <v>0</v>
      </c>
      <c r="YY23" s="6">
        <v>0</v>
      </c>
      <c r="YZ23" s="6">
        <v>0</v>
      </c>
      <c r="ZA23" s="6">
        <v>0</v>
      </c>
      <c r="ZB23" s="6">
        <v>0</v>
      </c>
      <c r="ZC23" s="6">
        <v>0</v>
      </c>
      <c r="ZD23" s="6">
        <v>0</v>
      </c>
      <c r="ZE23" s="6">
        <v>0</v>
      </c>
      <c r="ZF23" s="6">
        <v>0</v>
      </c>
      <c r="ZG23" s="6">
        <v>0</v>
      </c>
      <c r="ZH23" s="6">
        <v>0</v>
      </c>
      <c r="ZI23" s="6">
        <v>0</v>
      </c>
      <c r="ZJ23" s="6">
        <v>0</v>
      </c>
      <c r="ZK23" s="6">
        <v>0</v>
      </c>
      <c r="ZL23" s="6">
        <v>0</v>
      </c>
      <c r="ZM23" s="6">
        <v>0</v>
      </c>
      <c r="ZN23" s="6">
        <v>0</v>
      </c>
      <c r="ZO23" s="6">
        <v>0</v>
      </c>
      <c r="ZP23" s="6">
        <v>0</v>
      </c>
      <c r="ZQ23" s="6">
        <v>0</v>
      </c>
      <c r="ZR23" s="6">
        <v>0</v>
      </c>
      <c r="ZS23" s="6">
        <v>0</v>
      </c>
      <c r="ZT23" s="6">
        <v>0</v>
      </c>
      <c r="ZU23" s="6">
        <v>0</v>
      </c>
      <c r="ZV23" s="6">
        <v>0</v>
      </c>
      <c r="ZW23" s="6">
        <v>0</v>
      </c>
      <c r="ZX23" s="6">
        <v>0</v>
      </c>
      <c r="ZY23" s="6">
        <v>0</v>
      </c>
      <c r="ZZ23" s="6">
        <v>0</v>
      </c>
      <c r="AAA23" s="6">
        <v>0</v>
      </c>
      <c r="AAB23" s="6">
        <v>0</v>
      </c>
      <c r="AAC23" s="6">
        <v>0</v>
      </c>
      <c r="AAD23" s="6">
        <v>0</v>
      </c>
      <c r="AAE23" s="6">
        <v>0</v>
      </c>
      <c r="AAF23" s="6">
        <v>0</v>
      </c>
      <c r="AAG23" s="6">
        <v>0</v>
      </c>
      <c r="AAH23" s="6">
        <v>0</v>
      </c>
      <c r="AAI23" s="6">
        <v>0</v>
      </c>
      <c r="AAJ23" s="6">
        <v>0</v>
      </c>
      <c r="AAK23" s="6">
        <v>0</v>
      </c>
      <c r="AAL23" s="6">
        <v>0</v>
      </c>
      <c r="AAM23" s="6">
        <v>0</v>
      </c>
      <c r="AAN23" s="6">
        <v>0</v>
      </c>
      <c r="AAO23" s="6">
        <v>0</v>
      </c>
      <c r="AAP23" s="6">
        <v>0</v>
      </c>
      <c r="AAQ23" s="6">
        <v>0</v>
      </c>
      <c r="AAR23" s="6">
        <v>0</v>
      </c>
      <c r="AAS23" s="6">
        <v>0</v>
      </c>
      <c r="AAT23" s="6">
        <v>0</v>
      </c>
      <c r="AAU23" s="6">
        <v>0</v>
      </c>
      <c r="AAV23" s="6">
        <v>0</v>
      </c>
      <c r="AAW23" s="6">
        <v>0</v>
      </c>
      <c r="AAX23" s="6">
        <v>0</v>
      </c>
      <c r="AAY23" s="6">
        <v>0</v>
      </c>
      <c r="AAZ23" s="6">
        <v>0</v>
      </c>
      <c r="ABA23" s="6">
        <v>0</v>
      </c>
      <c r="ABB23" s="6">
        <v>0</v>
      </c>
      <c r="ABC23" s="6">
        <v>0</v>
      </c>
      <c r="ABD23" s="6">
        <v>0</v>
      </c>
      <c r="ABE23" s="6">
        <v>0</v>
      </c>
      <c r="ABF23" s="6">
        <v>0</v>
      </c>
      <c r="ABG23" s="6">
        <v>0</v>
      </c>
      <c r="ABH23" s="6">
        <v>0</v>
      </c>
      <c r="ABI23" s="6">
        <v>0</v>
      </c>
      <c r="ABJ23" s="6">
        <v>0</v>
      </c>
      <c r="ABK23" s="6">
        <v>0</v>
      </c>
      <c r="ABL23" s="6">
        <v>0</v>
      </c>
      <c r="ABM23" s="6">
        <v>0</v>
      </c>
      <c r="ABN23" s="6">
        <v>0</v>
      </c>
      <c r="ABO23" s="6">
        <v>0</v>
      </c>
      <c r="ABP23" s="6">
        <v>0</v>
      </c>
      <c r="ABQ23" s="6">
        <v>0</v>
      </c>
      <c r="ABR23" s="6">
        <v>0</v>
      </c>
      <c r="ABS23" s="6">
        <v>0</v>
      </c>
      <c r="ABT23" s="6">
        <v>0</v>
      </c>
      <c r="ABU23" s="6">
        <v>0</v>
      </c>
      <c r="ABV23" s="6">
        <v>0</v>
      </c>
      <c r="ABW23" s="6">
        <v>0</v>
      </c>
      <c r="ABX23" s="6">
        <v>0</v>
      </c>
      <c r="ABY23" s="6">
        <v>0</v>
      </c>
      <c r="ABZ23" s="6">
        <v>0</v>
      </c>
      <c r="ACA23" s="6">
        <v>0</v>
      </c>
      <c r="ACB23" s="6">
        <v>0</v>
      </c>
      <c r="ACC23" s="6">
        <v>0</v>
      </c>
      <c r="ACD23" s="6">
        <v>0</v>
      </c>
      <c r="ACE23" s="6">
        <v>0</v>
      </c>
      <c r="ACF23" s="6">
        <v>0</v>
      </c>
      <c r="ACG23" s="6">
        <v>0</v>
      </c>
      <c r="ACH23" s="6">
        <v>0</v>
      </c>
      <c r="ACI23" s="6">
        <v>0</v>
      </c>
      <c r="ACJ23" s="6">
        <v>0</v>
      </c>
      <c r="ACK23" s="6">
        <v>0</v>
      </c>
      <c r="ACL23" s="6">
        <v>0</v>
      </c>
      <c r="ACM23" s="6">
        <v>0</v>
      </c>
      <c r="ACN23" s="6">
        <v>0</v>
      </c>
      <c r="ACO23" s="6">
        <v>0</v>
      </c>
      <c r="ACP23" s="6">
        <v>0</v>
      </c>
      <c r="ACQ23" s="6">
        <v>0</v>
      </c>
      <c r="ACR23" s="6">
        <v>0</v>
      </c>
      <c r="ACS23" s="6">
        <v>0</v>
      </c>
      <c r="ACT23" s="6">
        <v>0</v>
      </c>
      <c r="ACU23" s="6">
        <v>0</v>
      </c>
      <c r="ACV23" s="6">
        <v>0</v>
      </c>
      <c r="ACW23" s="6">
        <v>0</v>
      </c>
      <c r="ACX23" s="6">
        <v>0</v>
      </c>
      <c r="ACY23" s="6">
        <v>0</v>
      </c>
      <c r="ACZ23" s="6">
        <v>0</v>
      </c>
      <c r="ADA23" s="6">
        <v>0</v>
      </c>
      <c r="ADB23" s="6">
        <v>0</v>
      </c>
      <c r="ADC23" s="6">
        <v>0</v>
      </c>
      <c r="ADD23" s="6">
        <v>0</v>
      </c>
      <c r="ADE23" s="6">
        <v>0</v>
      </c>
      <c r="ADF23" s="6">
        <v>0</v>
      </c>
      <c r="ADG23" s="6">
        <v>0</v>
      </c>
      <c r="ADH23" s="6">
        <v>0</v>
      </c>
      <c r="ADI23" s="6">
        <v>0</v>
      </c>
      <c r="ADJ23" s="6">
        <v>0</v>
      </c>
      <c r="ADK23" s="6">
        <v>0</v>
      </c>
      <c r="ADL23" s="6">
        <v>0</v>
      </c>
      <c r="ADM23" s="6">
        <v>0</v>
      </c>
      <c r="ADN23" s="6">
        <v>0</v>
      </c>
      <c r="ADO23" s="6">
        <v>0</v>
      </c>
      <c r="ADP23" s="6">
        <v>0</v>
      </c>
      <c r="ADQ23" s="6">
        <v>0</v>
      </c>
      <c r="ADR23" s="6">
        <v>0</v>
      </c>
      <c r="ADS23" s="6">
        <v>0</v>
      </c>
      <c r="ADT23" s="6">
        <v>0</v>
      </c>
      <c r="ADU23" s="6">
        <v>0</v>
      </c>
      <c r="ADV23" s="6">
        <v>0</v>
      </c>
      <c r="ADW23" s="6">
        <v>0</v>
      </c>
      <c r="ADX23" s="6">
        <v>0</v>
      </c>
      <c r="ADY23" s="6">
        <v>0</v>
      </c>
      <c r="ADZ23" s="6">
        <v>0</v>
      </c>
      <c r="AEA23" s="6">
        <v>0</v>
      </c>
      <c r="AEB23" s="6">
        <v>0</v>
      </c>
      <c r="AEC23" s="6">
        <v>0</v>
      </c>
      <c r="AED23" s="6">
        <v>0</v>
      </c>
      <c r="AEE23" s="6">
        <v>0</v>
      </c>
      <c r="AEF23" s="6">
        <v>0</v>
      </c>
      <c r="AEG23" s="6">
        <v>0</v>
      </c>
      <c r="AEH23" s="6">
        <v>0</v>
      </c>
      <c r="AEI23" s="6">
        <v>0</v>
      </c>
      <c r="AEJ23" s="6">
        <v>0</v>
      </c>
      <c r="AEK23" s="6">
        <v>0</v>
      </c>
      <c r="AEL23" s="6">
        <v>0</v>
      </c>
      <c r="AEM23" s="6">
        <v>0</v>
      </c>
      <c r="AEN23" s="6">
        <v>0</v>
      </c>
      <c r="AEO23" s="6">
        <v>0</v>
      </c>
      <c r="AEP23" s="6">
        <v>0</v>
      </c>
      <c r="AEQ23" s="6">
        <v>0</v>
      </c>
      <c r="AER23" s="6">
        <v>0</v>
      </c>
      <c r="AES23" s="6">
        <v>0</v>
      </c>
      <c r="AET23" s="6">
        <v>0</v>
      </c>
      <c r="AEU23" s="6">
        <v>0</v>
      </c>
      <c r="AEV23" s="6">
        <v>0</v>
      </c>
      <c r="AEW23" s="6">
        <v>0</v>
      </c>
      <c r="AEX23" s="6">
        <v>0</v>
      </c>
      <c r="AEY23" s="6">
        <v>0</v>
      </c>
      <c r="AEZ23" s="6">
        <v>0</v>
      </c>
      <c r="AFA23" s="6">
        <v>0</v>
      </c>
      <c r="AFB23" s="6">
        <v>0</v>
      </c>
      <c r="AFC23" s="6">
        <v>0</v>
      </c>
      <c r="AFD23" s="6">
        <v>0</v>
      </c>
      <c r="AFE23" s="6">
        <v>0</v>
      </c>
      <c r="AFF23" s="6">
        <v>0</v>
      </c>
      <c r="AFG23" s="6">
        <v>0</v>
      </c>
      <c r="AFH23" s="6">
        <v>0</v>
      </c>
      <c r="AFI23" s="6">
        <v>0</v>
      </c>
      <c r="AFJ23" s="6">
        <v>0</v>
      </c>
      <c r="AFK23" s="6">
        <v>0</v>
      </c>
      <c r="AFL23" s="6">
        <v>0</v>
      </c>
      <c r="AFM23" s="6">
        <v>0</v>
      </c>
      <c r="AFN23" s="6">
        <v>0</v>
      </c>
      <c r="AFO23" s="6">
        <v>0</v>
      </c>
      <c r="AFP23" s="6">
        <v>0</v>
      </c>
      <c r="AFQ23" s="6">
        <v>0</v>
      </c>
      <c r="AFR23" s="6">
        <v>0</v>
      </c>
      <c r="AFS23" s="6">
        <v>0</v>
      </c>
      <c r="AFT23" s="6">
        <v>0</v>
      </c>
      <c r="AFU23" s="6">
        <v>0</v>
      </c>
      <c r="AFV23" s="6">
        <v>0</v>
      </c>
      <c r="AFW23" s="6">
        <v>0</v>
      </c>
      <c r="AFX23" s="6">
        <v>0</v>
      </c>
      <c r="AFY23" s="6">
        <v>0</v>
      </c>
      <c r="AFZ23" s="6">
        <v>0</v>
      </c>
      <c r="AGA23" s="6">
        <v>0</v>
      </c>
      <c r="AGB23" s="6">
        <v>0</v>
      </c>
      <c r="AGC23" s="6">
        <v>0</v>
      </c>
      <c r="AGD23" s="6">
        <v>0</v>
      </c>
      <c r="AGE23" s="6">
        <v>0</v>
      </c>
      <c r="AGF23" s="6">
        <v>0</v>
      </c>
      <c r="AGG23" s="6">
        <v>0</v>
      </c>
      <c r="AGH23" s="6">
        <v>0</v>
      </c>
      <c r="AGI23" s="6">
        <v>0</v>
      </c>
      <c r="AGJ23" s="6">
        <v>0</v>
      </c>
      <c r="AGK23" s="6">
        <v>0</v>
      </c>
      <c r="AGL23" s="6">
        <v>0</v>
      </c>
      <c r="AGM23" s="6">
        <v>0</v>
      </c>
      <c r="AGN23" s="6">
        <v>0</v>
      </c>
      <c r="AGO23" s="6">
        <v>0</v>
      </c>
      <c r="AGP23" s="6">
        <v>0</v>
      </c>
      <c r="AGQ23" s="6">
        <v>0</v>
      </c>
      <c r="AGR23" s="6">
        <v>0</v>
      </c>
      <c r="AGS23" s="6">
        <v>0</v>
      </c>
      <c r="AGT23" s="6">
        <v>0</v>
      </c>
      <c r="AGU23" s="6">
        <v>0</v>
      </c>
      <c r="AGV23" s="6">
        <v>0</v>
      </c>
      <c r="AGW23" s="6">
        <v>0</v>
      </c>
      <c r="AGX23" s="6">
        <v>0</v>
      </c>
      <c r="AGY23" s="6">
        <v>0</v>
      </c>
      <c r="AGZ23" s="6">
        <v>0</v>
      </c>
      <c r="AHA23" s="6">
        <v>0</v>
      </c>
      <c r="AHB23" s="6">
        <v>0</v>
      </c>
      <c r="AHC23" s="6">
        <v>0</v>
      </c>
      <c r="AHD23" s="6">
        <v>0</v>
      </c>
      <c r="AHE23" s="6">
        <v>0</v>
      </c>
      <c r="AHF23" s="6">
        <v>0</v>
      </c>
      <c r="AHG23" s="6">
        <v>0</v>
      </c>
      <c r="AHH23" s="6">
        <v>0</v>
      </c>
      <c r="AHI23" s="6">
        <v>0</v>
      </c>
      <c r="AHJ23" s="6">
        <v>0</v>
      </c>
      <c r="AHK23" s="6">
        <v>0</v>
      </c>
      <c r="AHL23" s="6">
        <v>0</v>
      </c>
      <c r="AHM23" s="6">
        <v>0</v>
      </c>
      <c r="AHN23" s="6">
        <v>0</v>
      </c>
      <c r="AHO23" s="6">
        <v>0</v>
      </c>
      <c r="AHP23" s="6">
        <v>0</v>
      </c>
      <c r="AHQ23" s="6">
        <v>0</v>
      </c>
      <c r="AHR23" s="6">
        <v>0</v>
      </c>
      <c r="AHS23" s="6">
        <v>0</v>
      </c>
      <c r="AHT23" s="6">
        <v>0</v>
      </c>
      <c r="AHU23" s="6">
        <v>0</v>
      </c>
      <c r="AHV23" s="6">
        <v>0</v>
      </c>
      <c r="AHW23" s="6">
        <v>0</v>
      </c>
      <c r="AHX23" s="6">
        <v>0</v>
      </c>
      <c r="AHY23" s="6">
        <v>0</v>
      </c>
      <c r="AHZ23" s="6">
        <v>0</v>
      </c>
      <c r="AIA23" s="6">
        <v>0</v>
      </c>
      <c r="AIB23" s="6">
        <v>0</v>
      </c>
      <c r="AIC23" s="6">
        <v>0</v>
      </c>
      <c r="AID23" s="6">
        <v>0</v>
      </c>
      <c r="AIE23" s="6">
        <v>0</v>
      </c>
      <c r="AIF23" s="6">
        <v>0</v>
      </c>
      <c r="AIG23" s="6">
        <v>0</v>
      </c>
      <c r="AIH23" s="6">
        <v>0</v>
      </c>
      <c r="AII23" s="6">
        <v>0</v>
      </c>
      <c r="AIJ23" s="6">
        <v>0</v>
      </c>
      <c r="AIK23" s="6">
        <v>0</v>
      </c>
      <c r="AIL23" s="6">
        <v>0</v>
      </c>
      <c r="AIM23" s="6">
        <v>0</v>
      </c>
      <c r="AIN23" s="6">
        <v>0</v>
      </c>
      <c r="AIO23" s="6">
        <v>0</v>
      </c>
      <c r="AIP23" s="6">
        <v>0</v>
      </c>
      <c r="AIQ23" s="6">
        <v>0</v>
      </c>
      <c r="AIR23" s="6">
        <v>0</v>
      </c>
      <c r="AIS23" s="6">
        <v>0</v>
      </c>
      <c r="AIT23" s="6">
        <v>0</v>
      </c>
      <c r="AIU23" s="6">
        <v>0</v>
      </c>
      <c r="AIV23" s="6">
        <v>0</v>
      </c>
      <c r="AIW23" s="6">
        <v>0</v>
      </c>
      <c r="AIX23" s="6">
        <v>0</v>
      </c>
      <c r="AIY23" s="6">
        <v>0</v>
      </c>
      <c r="AIZ23" s="6">
        <v>0</v>
      </c>
      <c r="AJA23" s="6">
        <v>0</v>
      </c>
      <c r="AJB23" s="6">
        <v>0</v>
      </c>
      <c r="AJC23" s="6">
        <v>0</v>
      </c>
      <c r="AJD23" s="6">
        <v>0</v>
      </c>
      <c r="AJE23" s="6">
        <v>0</v>
      </c>
      <c r="AJF23" s="6">
        <v>0</v>
      </c>
      <c r="AJG23" s="6">
        <v>0</v>
      </c>
      <c r="AJH23" s="6">
        <v>0</v>
      </c>
      <c r="AJI23" s="6">
        <v>0</v>
      </c>
      <c r="AJJ23" s="6">
        <v>0</v>
      </c>
      <c r="AJK23" s="6">
        <v>0</v>
      </c>
      <c r="AJL23" s="6">
        <v>0</v>
      </c>
      <c r="AJM23" s="6">
        <v>0</v>
      </c>
      <c r="AJN23" s="6">
        <v>0</v>
      </c>
      <c r="AJO23" s="6">
        <v>0</v>
      </c>
      <c r="AJP23" s="6">
        <v>0</v>
      </c>
      <c r="AJQ23" s="6">
        <v>0</v>
      </c>
      <c r="AJR23" s="6">
        <v>0</v>
      </c>
      <c r="AJS23" s="6">
        <v>0</v>
      </c>
      <c r="AJT23" s="6">
        <v>0</v>
      </c>
      <c r="AJU23" s="6">
        <v>0</v>
      </c>
      <c r="AJV23" s="6">
        <v>0</v>
      </c>
      <c r="AJW23" s="6">
        <v>0</v>
      </c>
      <c r="AJX23" s="6">
        <v>0</v>
      </c>
      <c r="AJY23" s="6">
        <v>0</v>
      </c>
      <c r="AJZ23" s="6">
        <v>0</v>
      </c>
      <c r="AKA23" s="6">
        <v>0</v>
      </c>
      <c r="AKB23" s="6">
        <v>0</v>
      </c>
      <c r="AKC23" s="6">
        <v>0</v>
      </c>
      <c r="AKD23" s="6">
        <v>0</v>
      </c>
      <c r="AKE23" s="6">
        <v>0</v>
      </c>
      <c r="AKF23" s="6">
        <v>0</v>
      </c>
      <c r="AKG23" s="6">
        <v>0</v>
      </c>
      <c r="AKH23" s="6">
        <v>0</v>
      </c>
      <c r="AKI23" s="6">
        <v>0</v>
      </c>
      <c r="AKJ23" s="6">
        <v>0</v>
      </c>
      <c r="AKK23" s="6">
        <v>0</v>
      </c>
      <c r="AKL23" s="6">
        <v>0</v>
      </c>
      <c r="AKM23" s="6">
        <v>0</v>
      </c>
      <c r="AKN23" s="6">
        <v>0</v>
      </c>
      <c r="AKO23" s="6">
        <v>0</v>
      </c>
      <c r="AKP23" s="6">
        <v>0</v>
      </c>
      <c r="AKQ23" s="6">
        <v>0</v>
      </c>
      <c r="AKR23" s="6">
        <v>0</v>
      </c>
      <c r="AKS23" s="6">
        <v>0</v>
      </c>
      <c r="AKT23" s="6">
        <v>0</v>
      </c>
      <c r="AKU23" s="6">
        <v>0</v>
      </c>
      <c r="AKV23" s="6">
        <v>0</v>
      </c>
      <c r="AKW23" s="6">
        <v>0</v>
      </c>
      <c r="AKX23" s="6">
        <v>0</v>
      </c>
      <c r="AKY23" s="6">
        <v>0</v>
      </c>
      <c r="AKZ23" s="6">
        <v>0</v>
      </c>
      <c r="ALA23" s="6">
        <v>0</v>
      </c>
      <c r="ALB23" s="6">
        <v>0</v>
      </c>
      <c r="ALC23" s="6">
        <v>0</v>
      </c>
      <c r="ALD23" s="6">
        <v>0</v>
      </c>
      <c r="ALE23" s="6">
        <v>0</v>
      </c>
      <c r="ALF23" s="6">
        <v>0</v>
      </c>
      <c r="ALG23" s="6">
        <v>0</v>
      </c>
      <c r="ALH23" s="6">
        <v>0</v>
      </c>
      <c r="ALI23" s="6">
        <v>0</v>
      </c>
      <c r="ALJ23" s="6">
        <v>0</v>
      </c>
      <c r="ALK23" s="6">
        <v>0</v>
      </c>
      <c r="ALL23" s="6">
        <v>0</v>
      </c>
      <c r="ALM23" s="6">
        <v>0</v>
      </c>
    </row>
    <row r="24" spans="1:1001"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</row>
    <row r="25" spans="1:1001" s="9" customFormat="1">
      <c r="B25" s="9" t="str">
        <f>IF(B1&lt;&gt;0, IF(B58&lt;&gt;0,IF(B44&gt;=0,IF(SUM(B47:B57,B60)&lt;&gt;0,"FIX","DONE"),"DONE"), "DONE"), "")</f>
        <v/>
      </c>
      <c r="C25" s="9" t="str">
        <f t="shared" ref="C25:BN25" si="0">IF(C1&lt;&gt;0, IF(C58&lt;&gt;0,IF(C44&gt;=0,IF(SUM(C47:C57,C60)&lt;&gt;0,"FIX","DONE"),"DONE"), "DONE"), "")</f>
        <v/>
      </c>
      <c r="D25" s="9" t="str">
        <f t="shared" si="0"/>
        <v/>
      </c>
      <c r="E25" s="9" t="str">
        <f t="shared" si="0"/>
        <v/>
      </c>
      <c r="F25" s="9" t="str">
        <f t="shared" si="0"/>
        <v/>
      </c>
      <c r="G25" s="9" t="str">
        <f t="shared" si="0"/>
        <v/>
      </c>
      <c r="H25" s="9" t="str">
        <f t="shared" si="0"/>
        <v/>
      </c>
      <c r="I25" s="9" t="str">
        <f t="shared" si="0"/>
        <v/>
      </c>
      <c r="J25" s="9" t="str">
        <f t="shared" si="0"/>
        <v/>
      </c>
      <c r="K25" s="9" t="str">
        <f t="shared" si="0"/>
        <v/>
      </c>
      <c r="L25" s="9" t="str">
        <f t="shared" si="0"/>
        <v/>
      </c>
      <c r="M25" s="9" t="str">
        <f t="shared" si="0"/>
        <v/>
      </c>
      <c r="N25" s="9" t="str">
        <f t="shared" si="0"/>
        <v/>
      </c>
      <c r="O25" s="9" t="str">
        <f t="shared" si="0"/>
        <v/>
      </c>
      <c r="P25" s="9" t="str">
        <f t="shared" si="0"/>
        <v/>
      </c>
      <c r="Q25" s="9" t="str">
        <f t="shared" si="0"/>
        <v/>
      </c>
      <c r="R25" s="9" t="str">
        <f t="shared" si="0"/>
        <v/>
      </c>
      <c r="S25" s="9" t="str">
        <f t="shared" si="0"/>
        <v/>
      </c>
      <c r="T25" s="9" t="str">
        <f t="shared" si="0"/>
        <v/>
      </c>
      <c r="U25" s="9" t="str">
        <f t="shared" si="0"/>
        <v/>
      </c>
      <c r="V25" s="9" t="str">
        <f t="shared" si="0"/>
        <v/>
      </c>
      <c r="W25" s="9" t="str">
        <f t="shared" si="0"/>
        <v/>
      </c>
      <c r="X25" s="9" t="str">
        <f t="shared" si="0"/>
        <v/>
      </c>
      <c r="Y25" s="9" t="str">
        <f t="shared" si="0"/>
        <v/>
      </c>
      <c r="Z25" s="9" t="str">
        <f t="shared" si="0"/>
        <v/>
      </c>
      <c r="AA25" s="9" t="str">
        <f t="shared" si="0"/>
        <v/>
      </c>
      <c r="AB25" s="9" t="str">
        <f t="shared" si="0"/>
        <v/>
      </c>
      <c r="AC25" s="9" t="str">
        <f t="shared" si="0"/>
        <v/>
      </c>
      <c r="AD25" s="9" t="str">
        <f t="shared" si="0"/>
        <v/>
      </c>
      <c r="AE25" s="9" t="str">
        <f t="shared" si="0"/>
        <v/>
      </c>
      <c r="AF25" s="9" t="str">
        <f t="shared" si="0"/>
        <v/>
      </c>
      <c r="AG25" s="9" t="str">
        <f t="shared" si="0"/>
        <v/>
      </c>
      <c r="AH25" s="9" t="str">
        <f t="shared" si="0"/>
        <v/>
      </c>
      <c r="AI25" s="9" t="str">
        <f t="shared" si="0"/>
        <v/>
      </c>
      <c r="AJ25" s="9" t="str">
        <f t="shared" si="0"/>
        <v/>
      </c>
      <c r="AK25" s="9" t="str">
        <f t="shared" si="0"/>
        <v/>
      </c>
      <c r="AL25" s="9" t="str">
        <f t="shared" si="0"/>
        <v/>
      </c>
      <c r="AM25" s="9" t="str">
        <f t="shared" si="0"/>
        <v/>
      </c>
      <c r="AN25" s="9" t="str">
        <f t="shared" si="0"/>
        <v/>
      </c>
      <c r="AO25" s="9" t="str">
        <f>IF(AO1&lt;&gt;0, IF(AO58&lt;&gt;0,IF(AO44&gt;=0,IF(SUM(AO47:AO57,AO60)&lt;&gt;0,"FIX","DONE"),"DONE"), "DONE"), "")</f>
        <v/>
      </c>
      <c r="AP25" s="9" t="str">
        <f t="shared" si="0"/>
        <v/>
      </c>
      <c r="AQ25" s="9" t="str">
        <f t="shared" si="0"/>
        <v/>
      </c>
      <c r="AR25" s="9" t="str">
        <f t="shared" si="0"/>
        <v/>
      </c>
      <c r="AS25" s="9" t="str">
        <f t="shared" si="0"/>
        <v/>
      </c>
      <c r="AT25" s="9" t="str">
        <f t="shared" si="0"/>
        <v/>
      </c>
      <c r="AU25" s="9" t="str">
        <f t="shared" si="0"/>
        <v/>
      </c>
      <c r="AV25" s="9" t="str">
        <f t="shared" si="0"/>
        <v/>
      </c>
      <c r="AW25" s="9" t="str">
        <f t="shared" si="0"/>
        <v/>
      </c>
      <c r="AX25" s="9" t="str">
        <f t="shared" si="0"/>
        <v/>
      </c>
      <c r="AY25" s="9" t="str">
        <f t="shared" si="0"/>
        <v/>
      </c>
      <c r="AZ25" s="9" t="str">
        <f t="shared" si="0"/>
        <v/>
      </c>
      <c r="BA25" s="9" t="str">
        <f t="shared" si="0"/>
        <v/>
      </c>
      <c r="BB25" s="9" t="str">
        <f t="shared" si="0"/>
        <v/>
      </c>
      <c r="BC25" s="9" t="str">
        <f t="shared" si="0"/>
        <v/>
      </c>
      <c r="BD25" s="9" t="str">
        <f t="shared" si="0"/>
        <v/>
      </c>
      <c r="BE25" s="9" t="str">
        <f t="shared" si="0"/>
        <v/>
      </c>
      <c r="BF25" s="9" t="str">
        <f t="shared" si="0"/>
        <v/>
      </c>
      <c r="BG25" s="9" t="str">
        <f t="shared" si="0"/>
        <v/>
      </c>
      <c r="BH25" s="9" t="str">
        <f t="shared" si="0"/>
        <v/>
      </c>
      <c r="BI25" s="9" t="str">
        <f t="shared" si="0"/>
        <v/>
      </c>
      <c r="BJ25" s="9" t="str">
        <f t="shared" si="0"/>
        <v/>
      </c>
      <c r="BK25" s="9" t="str">
        <f t="shared" si="0"/>
        <v/>
      </c>
      <c r="BL25" s="9" t="str">
        <f t="shared" si="0"/>
        <v/>
      </c>
      <c r="BM25" s="9" t="str">
        <f t="shared" si="0"/>
        <v/>
      </c>
      <c r="BN25" s="9" t="str">
        <f t="shared" si="0"/>
        <v/>
      </c>
      <c r="BO25" s="9" t="str">
        <f t="shared" ref="BO25:DZ25" si="1">IF(BO1&lt;&gt;0, IF(BO58&lt;&gt;0,IF(BO44&gt;=0,IF(SUM(BO47:BO57,BO60)&lt;&gt;0,"FIX","DONE"),"DONE"), "DONE"), "")</f>
        <v/>
      </c>
      <c r="BP25" s="9" t="str">
        <f t="shared" si="1"/>
        <v/>
      </c>
      <c r="BQ25" s="9" t="str">
        <f t="shared" si="1"/>
        <v/>
      </c>
      <c r="BR25" s="9" t="str">
        <f t="shared" si="1"/>
        <v/>
      </c>
      <c r="BS25" s="9" t="str">
        <f t="shared" si="1"/>
        <v/>
      </c>
      <c r="BT25" s="9" t="str">
        <f t="shared" si="1"/>
        <v/>
      </c>
      <c r="BU25" s="9" t="str">
        <f t="shared" si="1"/>
        <v/>
      </c>
      <c r="BV25" s="9" t="str">
        <f t="shared" si="1"/>
        <v/>
      </c>
      <c r="BW25" s="9" t="str">
        <f t="shared" si="1"/>
        <v/>
      </c>
      <c r="BX25" s="9" t="str">
        <f t="shared" si="1"/>
        <v/>
      </c>
      <c r="BY25" s="9" t="str">
        <f t="shared" si="1"/>
        <v/>
      </c>
      <c r="BZ25" s="9" t="str">
        <f t="shared" si="1"/>
        <v/>
      </c>
      <c r="CA25" s="9" t="str">
        <f t="shared" si="1"/>
        <v/>
      </c>
      <c r="CB25" s="9" t="str">
        <f t="shared" si="1"/>
        <v/>
      </c>
      <c r="CC25" s="9" t="str">
        <f>IF(CC1&lt;&gt;0, IF(CC58&lt;&gt;0,IF(CC44&gt;=0,IF(SUM(CC47:CC57,CC60)&lt;&gt;0,"FIX","DONE"),"DONE"), "DONE"), "")</f>
        <v/>
      </c>
      <c r="CD25" s="9" t="str">
        <f t="shared" si="1"/>
        <v/>
      </c>
      <c r="CE25" s="9" t="str">
        <f t="shared" si="1"/>
        <v/>
      </c>
      <c r="CF25" s="9" t="str">
        <f t="shared" si="1"/>
        <v/>
      </c>
      <c r="CG25" s="9" t="str">
        <f t="shared" si="1"/>
        <v/>
      </c>
      <c r="CH25" s="9" t="str">
        <f t="shared" si="1"/>
        <v/>
      </c>
      <c r="CI25" s="9" t="str">
        <f t="shared" si="1"/>
        <v/>
      </c>
      <c r="CJ25" s="9" t="str">
        <f t="shared" si="1"/>
        <v/>
      </c>
      <c r="CK25" s="9" t="str">
        <f t="shared" si="1"/>
        <v/>
      </c>
      <c r="CL25" s="9" t="str">
        <f t="shared" si="1"/>
        <v/>
      </c>
      <c r="CM25" s="9" t="str">
        <f t="shared" si="1"/>
        <v/>
      </c>
      <c r="CN25" s="9" t="str">
        <f t="shared" si="1"/>
        <v/>
      </c>
      <c r="CO25" s="9" t="str">
        <f t="shared" si="1"/>
        <v/>
      </c>
      <c r="CP25" s="9" t="str">
        <f t="shared" si="1"/>
        <v/>
      </c>
      <c r="CQ25" s="9" t="str">
        <f t="shared" si="1"/>
        <v/>
      </c>
      <c r="CR25" s="9" t="str">
        <f t="shared" si="1"/>
        <v/>
      </c>
      <c r="CS25" s="9" t="str">
        <f t="shared" si="1"/>
        <v/>
      </c>
      <c r="CT25" s="9" t="str">
        <f t="shared" si="1"/>
        <v/>
      </c>
      <c r="CU25" s="9" t="str">
        <f t="shared" si="1"/>
        <v/>
      </c>
      <c r="CV25" s="9" t="str">
        <f t="shared" si="1"/>
        <v/>
      </c>
      <c r="CW25" s="9" t="str">
        <f t="shared" si="1"/>
        <v/>
      </c>
      <c r="CX25" s="9" t="str">
        <f t="shared" si="1"/>
        <v/>
      </c>
      <c r="CY25" s="9" t="str">
        <f t="shared" si="1"/>
        <v/>
      </c>
      <c r="CZ25" s="9" t="str">
        <f t="shared" si="1"/>
        <v/>
      </c>
      <c r="DA25" s="9" t="str">
        <f t="shared" si="1"/>
        <v/>
      </c>
      <c r="DB25" s="9" t="str">
        <f t="shared" si="1"/>
        <v/>
      </c>
      <c r="DC25" s="9" t="str">
        <f t="shared" si="1"/>
        <v/>
      </c>
      <c r="DD25" s="9" t="str">
        <f t="shared" si="1"/>
        <v/>
      </c>
      <c r="DE25" s="9" t="str">
        <f t="shared" si="1"/>
        <v/>
      </c>
      <c r="DF25" s="9" t="str">
        <f t="shared" si="1"/>
        <v/>
      </c>
      <c r="DG25" s="9" t="str">
        <f t="shared" si="1"/>
        <v/>
      </c>
      <c r="DH25" s="9" t="str">
        <f t="shared" si="1"/>
        <v/>
      </c>
      <c r="DI25" s="9" t="str">
        <f t="shared" si="1"/>
        <v/>
      </c>
      <c r="DJ25" s="9" t="str">
        <f t="shared" si="1"/>
        <v/>
      </c>
      <c r="DK25" s="9" t="str">
        <f t="shared" si="1"/>
        <v/>
      </c>
      <c r="DL25" s="9" t="str">
        <f t="shared" si="1"/>
        <v/>
      </c>
      <c r="DM25" s="9" t="str">
        <f t="shared" si="1"/>
        <v/>
      </c>
      <c r="DN25" s="9" t="str">
        <f t="shared" si="1"/>
        <v/>
      </c>
      <c r="DO25" s="9" t="str">
        <f t="shared" si="1"/>
        <v/>
      </c>
      <c r="DP25" s="9" t="str">
        <f t="shared" si="1"/>
        <v/>
      </c>
      <c r="DQ25" s="9" t="str">
        <f t="shared" si="1"/>
        <v/>
      </c>
      <c r="DR25" s="9" t="str">
        <f t="shared" si="1"/>
        <v/>
      </c>
      <c r="DS25" s="9" t="str">
        <f t="shared" si="1"/>
        <v/>
      </c>
      <c r="DT25" s="9" t="str">
        <f t="shared" si="1"/>
        <v/>
      </c>
      <c r="DU25" s="9" t="str">
        <f t="shared" si="1"/>
        <v/>
      </c>
      <c r="DV25" s="9" t="str">
        <f t="shared" si="1"/>
        <v/>
      </c>
      <c r="DW25" s="9" t="str">
        <f t="shared" si="1"/>
        <v/>
      </c>
      <c r="DX25" s="9" t="str">
        <f t="shared" si="1"/>
        <v/>
      </c>
      <c r="DY25" s="9" t="str">
        <f t="shared" si="1"/>
        <v/>
      </c>
      <c r="DZ25" s="9" t="str">
        <f t="shared" si="1"/>
        <v/>
      </c>
      <c r="EA25" s="9" t="str">
        <f t="shared" ref="EA25:GL25" si="2">IF(EA1&lt;&gt;0, IF(EA58&lt;&gt;0,IF(EA44&gt;=0,IF(SUM(EA47:EA57,EA60)&lt;&gt;0,"FIX","DONE"),"DONE"), "DONE"), "")</f>
        <v/>
      </c>
      <c r="EB25" s="9" t="str">
        <f t="shared" si="2"/>
        <v/>
      </c>
      <c r="EC25" s="9" t="str">
        <f t="shared" si="2"/>
        <v/>
      </c>
      <c r="ED25" s="9" t="str">
        <f t="shared" si="2"/>
        <v/>
      </c>
      <c r="EE25" s="9" t="str">
        <f t="shared" si="2"/>
        <v/>
      </c>
      <c r="EF25" s="9" t="str">
        <f t="shared" si="2"/>
        <v/>
      </c>
      <c r="EG25" s="9" t="str">
        <f t="shared" si="2"/>
        <v/>
      </c>
      <c r="EH25" s="9" t="str">
        <f t="shared" si="2"/>
        <v/>
      </c>
      <c r="EI25" s="9" t="str">
        <f t="shared" si="2"/>
        <v/>
      </c>
      <c r="EJ25" s="9" t="str">
        <f t="shared" si="2"/>
        <v/>
      </c>
      <c r="EK25" s="9" t="str">
        <f t="shared" si="2"/>
        <v/>
      </c>
      <c r="EL25" s="9" t="str">
        <f t="shared" si="2"/>
        <v/>
      </c>
      <c r="EM25" s="9" t="str">
        <f t="shared" si="2"/>
        <v/>
      </c>
      <c r="EN25" s="9" t="str">
        <f t="shared" si="2"/>
        <v/>
      </c>
      <c r="EO25" s="9" t="str">
        <f t="shared" si="2"/>
        <v/>
      </c>
      <c r="EP25" s="9" t="str">
        <f t="shared" si="2"/>
        <v/>
      </c>
      <c r="EQ25" s="9" t="str">
        <f t="shared" si="2"/>
        <v/>
      </c>
      <c r="ER25" s="9" t="str">
        <f t="shared" si="2"/>
        <v/>
      </c>
      <c r="ES25" s="9" t="str">
        <f t="shared" si="2"/>
        <v/>
      </c>
      <c r="ET25" s="9" t="str">
        <f t="shared" si="2"/>
        <v/>
      </c>
      <c r="EU25" s="9" t="str">
        <f t="shared" si="2"/>
        <v/>
      </c>
      <c r="EV25" s="9" t="str">
        <f t="shared" si="2"/>
        <v/>
      </c>
      <c r="EW25" s="9" t="str">
        <f t="shared" si="2"/>
        <v/>
      </c>
      <c r="EX25" s="9" t="str">
        <f t="shared" si="2"/>
        <v/>
      </c>
      <c r="EY25" s="9" t="str">
        <f t="shared" si="2"/>
        <v/>
      </c>
      <c r="EZ25" s="9" t="str">
        <f t="shared" si="2"/>
        <v/>
      </c>
      <c r="FA25" s="9" t="str">
        <f t="shared" si="2"/>
        <v/>
      </c>
      <c r="FB25" s="9" t="str">
        <f t="shared" si="2"/>
        <v/>
      </c>
      <c r="FC25" s="9" t="str">
        <f t="shared" si="2"/>
        <v/>
      </c>
      <c r="FD25" s="9" t="str">
        <f t="shared" si="2"/>
        <v/>
      </c>
      <c r="FE25" s="9" t="str">
        <f t="shared" si="2"/>
        <v/>
      </c>
      <c r="FF25" s="9" t="str">
        <f t="shared" si="2"/>
        <v/>
      </c>
      <c r="FG25" s="9" t="str">
        <f t="shared" si="2"/>
        <v/>
      </c>
      <c r="FH25" s="9" t="str">
        <f t="shared" si="2"/>
        <v/>
      </c>
      <c r="FI25" s="9" t="str">
        <f t="shared" si="2"/>
        <v/>
      </c>
      <c r="FJ25" s="9" t="str">
        <f t="shared" si="2"/>
        <v/>
      </c>
      <c r="FK25" s="9" t="str">
        <f t="shared" si="2"/>
        <v/>
      </c>
      <c r="FL25" s="9" t="str">
        <f t="shared" si="2"/>
        <v/>
      </c>
      <c r="FM25" s="9" t="str">
        <f t="shared" si="2"/>
        <v/>
      </c>
      <c r="FN25" s="9" t="str">
        <f t="shared" si="2"/>
        <v/>
      </c>
      <c r="FO25" s="9" t="str">
        <f t="shared" si="2"/>
        <v/>
      </c>
      <c r="FP25" s="9" t="str">
        <f>IF(FP1&lt;&gt;0, IF(FP58&lt;&gt;0,IF(FP44&gt;=0,IF(SUM(FP47:FP57,FP60)&lt;&gt;0,"FIX","DONE"),"DONE"), "DONE"), "")</f>
        <v/>
      </c>
      <c r="FQ25" s="9" t="str">
        <f t="shared" si="2"/>
        <v/>
      </c>
      <c r="FR25" s="9" t="str">
        <f t="shared" si="2"/>
        <v/>
      </c>
      <c r="FS25" s="9" t="str">
        <f t="shared" si="2"/>
        <v/>
      </c>
      <c r="FT25" s="9" t="str">
        <f t="shared" si="2"/>
        <v/>
      </c>
      <c r="FU25" s="9" t="str">
        <f t="shared" si="2"/>
        <v/>
      </c>
      <c r="FV25" s="9" t="str">
        <f t="shared" si="2"/>
        <v/>
      </c>
      <c r="FW25" s="9" t="str">
        <f t="shared" si="2"/>
        <v/>
      </c>
      <c r="FX25" s="9" t="str">
        <f t="shared" si="2"/>
        <v/>
      </c>
      <c r="FY25" s="9" t="str">
        <f t="shared" si="2"/>
        <v/>
      </c>
      <c r="FZ25" s="9" t="str">
        <f t="shared" si="2"/>
        <v/>
      </c>
      <c r="GA25" s="9" t="str">
        <f t="shared" si="2"/>
        <v/>
      </c>
      <c r="GB25" s="9" t="str">
        <f t="shared" si="2"/>
        <v/>
      </c>
      <c r="GC25" s="9" t="str">
        <f t="shared" si="2"/>
        <v/>
      </c>
      <c r="GD25" s="9" t="str">
        <f t="shared" si="2"/>
        <v/>
      </c>
      <c r="GE25" s="9" t="str">
        <f t="shared" si="2"/>
        <v/>
      </c>
      <c r="GF25" s="9" t="str">
        <f t="shared" si="2"/>
        <v/>
      </c>
      <c r="GG25" s="9" t="str">
        <f t="shared" si="2"/>
        <v/>
      </c>
      <c r="GH25" s="9" t="str">
        <f t="shared" si="2"/>
        <v/>
      </c>
      <c r="GI25" s="9" t="str">
        <f t="shared" si="2"/>
        <v/>
      </c>
      <c r="GJ25" s="9" t="str">
        <f t="shared" si="2"/>
        <v/>
      </c>
      <c r="GK25" s="9" t="str">
        <f t="shared" si="2"/>
        <v/>
      </c>
      <c r="GL25" s="9" t="str">
        <f t="shared" si="2"/>
        <v/>
      </c>
      <c r="GM25" s="9" t="str">
        <f t="shared" ref="GM25:IX25" si="3">IF(GM1&lt;&gt;0, IF(GM58&lt;&gt;0,IF(GM44&gt;=0,IF(SUM(GM47:GM57,GM60)&lt;&gt;0,"FIX","DONE"),"DONE"), "DONE"), "")</f>
        <v/>
      </c>
      <c r="GN25" s="9" t="str">
        <f t="shared" si="3"/>
        <v/>
      </c>
      <c r="GO25" s="9" t="str">
        <f t="shared" si="3"/>
        <v/>
      </c>
      <c r="GP25" s="9" t="str">
        <f t="shared" si="3"/>
        <v/>
      </c>
      <c r="GQ25" s="9" t="str">
        <f t="shared" si="3"/>
        <v/>
      </c>
      <c r="GR25" s="9" t="str">
        <f t="shared" si="3"/>
        <v/>
      </c>
      <c r="GS25" s="9" t="str">
        <f t="shared" si="3"/>
        <v/>
      </c>
      <c r="GT25" s="9" t="str">
        <f t="shared" si="3"/>
        <v/>
      </c>
      <c r="GU25" s="9" t="str">
        <f t="shared" si="3"/>
        <v/>
      </c>
      <c r="GV25" s="9" t="str">
        <f t="shared" si="3"/>
        <v/>
      </c>
      <c r="GW25" s="9" t="str">
        <f t="shared" si="3"/>
        <v/>
      </c>
      <c r="GX25" s="9" t="str">
        <f t="shared" si="3"/>
        <v/>
      </c>
      <c r="GY25" s="9" t="str">
        <f t="shared" si="3"/>
        <v/>
      </c>
      <c r="GZ25" s="9" t="str">
        <f t="shared" si="3"/>
        <v/>
      </c>
      <c r="HA25" s="9" t="str">
        <f t="shared" si="3"/>
        <v/>
      </c>
      <c r="HB25" s="9" t="str">
        <f t="shared" si="3"/>
        <v/>
      </c>
      <c r="HC25" s="9" t="str">
        <f t="shared" si="3"/>
        <v/>
      </c>
      <c r="HD25" s="9" t="str">
        <f t="shared" si="3"/>
        <v/>
      </c>
      <c r="HE25" s="9" t="str">
        <f t="shared" si="3"/>
        <v/>
      </c>
      <c r="HF25" s="9" t="str">
        <f t="shared" si="3"/>
        <v/>
      </c>
      <c r="HG25" s="9" t="str">
        <f t="shared" si="3"/>
        <v/>
      </c>
      <c r="HH25" s="9" t="str">
        <f t="shared" si="3"/>
        <v/>
      </c>
      <c r="HI25" s="9" t="str">
        <f t="shared" si="3"/>
        <v/>
      </c>
      <c r="HJ25" s="9" t="str">
        <f t="shared" si="3"/>
        <v/>
      </c>
      <c r="HK25" s="9" t="str">
        <f t="shared" si="3"/>
        <v/>
      </c>
      <c r="HL25" s="9" t="str">
        <f t="shared" si="3"/>
        <v/>
      </c>
      <c r="HM25" s="9" t="str">
        <f t="shared" si="3"/>
        <v/>
      </c>
      <c r="HN25" s="9" t="str">
        <f t="shared" si="3"/>
        <v/>
      </c>
      <c r="HO25" s="9" t="str">
        <f t="shared" si="3"/>
        <v/>
      </c>
      <c r="HP25" s="9" t="str">
        <f t="shared" si="3"/>
        <v/>
      </c>
      <c r="HQ25" s="9" t="str">
        <f t="shared" si="3"/>
        <v/>
      </c>
      <c r="HR25" s="9" t="str">
        <f t="shared" si="3"/>
        <v/>
      </c>
      <c r="HS25" s="9" t="str">
        <f t="shared" si="3"/>
        <v/>
      </c>
      <c r="HT25" s="9" t="str">
        <f t="shared" si="3"/>
        <v/>
      </c>
      <c r="HU25" s="9" t="str">
        <f t="shared" si="3"/>
        <v/>
      </c>
      <c r="HV25" s="9" t="str">
        <f t="shared" si="3"/>
        <v/>
      </c>
      <c r="HW25" s="9" t="str">
        <f t="shared" si="3"/>
        <v/>
      </c>
      <c r="HX25" s="9" t="str">
        <f t="shared" si="3"/>
        <v/>
      </c>
      <c r="HY25" s="9" t="str">
        <f t="shared" si="3"/>
        <v/>
      </c>
      <c r="HZ25" s="9" t="str">
        <f t="shared" si="3"/>
        <v/>
      </c>
      <c r="IA25" s="9" t="str">
        <f t="shared" si="3"/>
        <v/>
      </c>
      <c r="IB25" s="9" t="str">
        <f t="shared" si="3"/>
        <v/>
      </c>
      <c r="IC25" s="9" t="str">
        <f t="shared" si="3"/>
        <v/>
      </c>
      <c r="ID25" s="9" t="str">
        <f t="shared" si="3"/>
        <v/>
      </c>
      <c r="IE25" s="9" t="str">
        <f t="shared" si="3"/>
        <v/>
      </c>
      <c r="IF25" s="9" t="str">
        <f t="shared" si="3"/>
        <v/>
      </c>
      <c r="IG25" s="9" t="str">
        <f t="shared" si="3"/>
        <v/>
      </c>
      <c r="IH25" s="9" t="str">
        <f t="shared" si="3"/>
        <v/>
      </c>
      <c r="II25" s="9" t="str">
        <f t="shared" si="3"/>
        <v/>
      </c>
      <c r="IJ25" s="9" t="str">
        <f t="shared" si="3"/>
        <v/>
      </c>
      <c r="IK25" s="9" t="str">
        <f t="shared" si="3"/>
        <v/>
      </c>
      <c r="IL25" s="9" t="str">
        <f t="shared" si="3"/>
        <v/>
      </c>
      <c r="IM25" s="9" t="str">
        <f t="shared" si="3"/>
        <v/>
      </c>
      <c r="IN25" s="9" t="str">
        <f t="shared" si="3"/>
        <v/>
      </c>
      <c r="IO25" s="9" t="str">
        <f t="shared" si="3"/>
        <v/>
      </c>
      <c r="IP25" s="9" t="str">
        <f t="shared" si="3"/>
        <v/>
      </c>
      <c r="IQ25" s="9" t="str">
        <f t="shared" si="3"/>
        <v/>
      </c>
      <c r="IR25" s="9" t="str">
        <f t="shared" si="3"/>
        <v/>
      </c>
      <c r="IS25" s="9" t="str">
        <f t="shared" si="3"/>
        <v/>
      </c>
      <c r="IT25" s="9" t="str">
        <f t="shared" si="3"/>
        <v/>
      </c>
      <c r="IU25" s="9" t="str">
        <f t="shared" si="3"/>
        <v/>
      </c>
      <c r="IV25" s="9" t="str">
        <f t="shared" si="3"/>
        <v/>
      </c>
      <c r="IW25" s="9" t="str">
        <f t="shared" si="3"/>
        <v/>
      </c>
      <c r="IX25" s="9" t="str">
        <f t="shared" si="3"/>
        <v/>
      </c>
      <c r="IY25" s="9" t="str">
        <f t="shared" ref="IY25:LJ25" si="4">IF(IY1&lt;&gt;0, IF(IY58&lt;&gt;0,IF(IY44&gt;=0,IF(SUM(IY47:IY57,IY60)&lt;&gt;0,"FIX","DONE"),"DONE"), "DONE"), "")</f>
        <v/>
      </c>
      <c r="IZ25" s="9" t="str">
        <f t="shared" si="4"/>
        <v/>
      </c>
      <c r="JA25" s="9" t="str">
        <f t="shared" si="4"/>
        <v/>
      </c>
      <c r="JB25" s="9" t="str">
        <f t="shared" si="4"/>
        <v/>
      </c>
      <c r="JC25" s="9" t="str">
        <f t="shared" si="4"/>
        <v/>
      </c>
      <c r="JD25" s="9" t="str">
        <f t="shared" si="4"/>
        <v/>
      </c>
      <c r="JE25" s="9" t="str">
        <f t="shared" si="4"/>
        <v/>
      </c>
      <c r="JF25" s="9" t="str">
        <f t="shared" si="4"/>
        <v/>
      </c>
      <c r="JG25" s="9" t="str">
        <f t="shared" si="4"/>
        <v/>
      </c>
      <c r="JH25" s="9" t="str">
        <f t="shared" si="4"/>
        <v/>
      </c>
      <c r="JI25" s="9" t="str">
        <f t="shared" si="4"/>
        <v/>
      </c>
      <c r="JJ25" s="9" t="str">
        <f t="shared" si="4"/>
        <v/>
      </c>
      <c r="JK25" s="9" t="str">
        <f t="shared" si="4"/>
        <v/>
      </c>
      <c r="JL25" s="9" t="str">
        <f t="shared" si="4"/>
        <v/>
      </c>
      <c r="JM25" s="9" t="str">
        <f t="shared" si="4"/>
        <v/>
      </c>
      <c r="JN25" s="9" t="str">
        <f t="shared" si="4"/>
        <v/>
      </c>
      <c r="JO25" s="9" t="str">
        <f t="shared" si="4"/>
        <v/>
      </c>
      <c r="JP25" s="9" t="str">
        <f t="shared" si="4"/>
        <v/>
      </c>
      <c r="JQ25" s="9" t="str">
        <f t="shared" si="4"/>
        <v/>
      </c>
      <c r="JR25" s="9" t="str">
        <f t="shared" si="4"/>
        <v/>
      </c>
      <c r="JS25" s="9" t="str">
        <f t="shared" si="4"/>
        <v/>
      </c>
      <c r="JT25" s="9" t="str">
        <f t="shared" si="4"/>
        <v/>
      </c>
      <c r="JU25" s="9" t="str">
        <f t="shared" si="4"/>
        <v/>
      </c>
      <c r="JV25" s="9" t="str">
        <f t="shared" si="4"/>
        <v/>
      </c>
      <c r="JW25" s="9" t="str">
        <f t="shared" si="4"/>
        <v/>
      </c>
      <c r="JX25" s="9" t="str">
        <f t="shared" si="4"/>
        <v/>
      </c>
      <c r="JY25" s="9" t="str">
        <f t="shared" si="4"/>
        <v/>
      </c>
      <c r="JZ25" s="9" t="str">
        <f t="shared" si="4"/>
        <v/>
      </c>
      <c r="KA25" s="9" t="str">
        <f t="shared" si="4"/>
        <v/>
      </c>
      <c r="KB25" s="9" t="str">
        <f t="shared" si="4"/>
        <v/>
      </c>
      <c r="KC25" s="9" t="str">
        <f t="shared" si="4"/>
        <v/>
      </c>
      <c r="KD25" s="9" t="str">
        <f t="shared" si="4"/>
        <v/>
      </c>
      <c r="KE25" s="9" t="str">
        <f t="shared" si="4"/>
        <v/>
      </c>
      <c r="KF25" s="9" t="str">
        <f t="shared" si="4"/>
        <v/>
      </c>
      <c r="KG25" s="9" t="str">
        <f t="shared" si="4"/>
        <v/>
      </c>
      <c r="KH25" s="9" t="str">
        <f t="shared" si="4"/>
        <v/>
      </c>
      <c r="KI25" s="9" t="str">
        <f t="shared" si="4"/>
        <v/>
      </c>
      <c r="KJ25" s="9" t="str">
        <f t="shared" si="4"/>
        <v/>
      </c>
      <c r="KK25" s="9" t="str">
        <f t="shared" si="4"/>
        <v/>
      </c>
      <c r="KL25" s="9" t="str">
        <f t="shared" si="4"/>
        <v/>
      </c>
      <c r="KM25" s="9" t="str">
        <f t="shared" si="4"/>
        <v/>
      </c>
      <c r="KN25" s="9" t="str">
        <f t="shared" si="4"/>
        <v/>
      </c>
      <c r="KO25" s="9" t="str">
        <f t="shared" si="4"/>
        <v/>
      </c>
      <c r="KP25" s="9" t="str">
        <f t="shared" si="4"/>
        <v/>
      </c>
      <c r="KQ25" s="9" t="str">
        <f t="shared" si="4"/>
        <v/>
      </c>
      <c r="KR25" s="9" t="str">
        <f t="shared" si="4"/>
        <v/>
      </c>
      <c r="KS25" s="9" t="str">
        <f t="shared" si="4"/>
        <v/>
      </c>
      <c r="KT25" s="9" t="str">
        <f t="shared" si="4"/>
        <v/>
      </c>
      <c r="KU25" s="9" t="str">
        <f t="shared" si="4"/>
        <v/>
      </c>
      <c r="KV25" s="9" t="str">
        <f t="shared" si="4"/>
        <v/>
      </c>
      <c r="KW25" s="9" t="str">
        <f t="shared" si="4"/>
        <v/>
      </c>
      <c r="KX25" s="9" t="str">
        <f t="shared" si="4"/>
        <v/>
      </c>
      <c r="KY25" s="9" t="str">
        <f t="shared" si="4"/>
        <v/>
      </c>
      <c r="KZ25" s="9" t="str">
        <f t="shared" si="4"/>
        <v/>
      </c>
      <c r="LA25" s="9" t="str">
        <f t="shared" si="4"/>
        <v/>
      </c>
      <c r="LB25" s="9" t="str">
        <f t="shared" si="4"/>
        <v/>
      </c>
      <c r="LC25" s="9" t="str">
        <f t="shared" si="4"/>
        <v/>
      </c>
      <c r="LD25" s="9" t="str">
        <f t="shared" si="4"/>
        <v/>
      </c>
      <c r="LE25" s="9" t="str">
        <f t="shared" si="4"/>
        <v/>
      </c>
      <c r="LF25" s="9" t="str">
        <f t="shared" si="4"/>
        <v/>
      </c>
      <c r="LG25" s="9" t="str">
        <f t="shared" si="4"/>
        <v/>
      </c>
      <c r="LH25" s="9" t="str">
        <f t="shared" si="4"/>
        <v/>
      </c>
      <c r="LI25" s="9" t="str">
        <f t="shared" si="4"/>
        <v/>
      </c>
      <c r="LJ25" s="9" t="str">
        <f t="shared" si="4"/>
        <v/>
      </c>
      <c r="LK25" s="9" t="str">
        <f t="shared" ref="LK25:NV25" si="5">IF(LK1&lt;&gt;0, IF(LK58&lt;&gt;0,IF(LK44&gt;=0,IF(SUM(LK47:LK57,LK60)&lt;&gt;0,"FIX","DONE"),"DONE"), "DONE"), "")</f>
        <v/>
      </c>
      <c r="LL25" s="9" t="str">
        <f t="shared" si="5"/>
        <v/>
      </c>
      <c r="LM25" s="9" t="str">
        <f t="shared" si="5"/>
        <v/>
      </c>
      <c r="LN25" s="9" t="str">
        <f t="shared" si="5"/>
        <v/>
      </c>
      <c r="LO25" s="9" t="str">
        <f t="shared" si="5"/>
        <v/>
      </c>
      <c r="LP25" s="9" t="str">
        <f t="shared" si="5"/>
        <v/>
      </c>
      <c r="LQ25" s="9" t="str">
        <f t="shared" si="5"/>
        <v/>
      </c>
      <c r="LR25" s="9" t="str">
        <f t="shared" si="5"/>
        <v/>
      </c>
      <c r="LS25" s="9" t="str">
        <f t="shared" si="5"/>
        <v/>
      </c>
      <c r="LT25" s="9" t="str">
        <f t="shared" si="5"/>
        <v/>
      </c>
      <c r="LU25" s="9" t="str">
        <f t="shared" si="5"/>
        <v/>
      </c>
      <c r="LV25" s="9" t="str">
        <f t="shared" si="5"/>
        <v/>
      </c>
      <c r="LW25" s="9" t="str">
        <f t="shared" si="5"/>
        <v/>
      </c>
      <c r="LX25" s="9" t="str">
        <f t="shared" si="5"/>
        <v/>
      </c>
      <c r="LY25" s="9" t="str">
        <f t="shared" si="5"/>
        <v/>
      </c>
      <c r="LZ25" s="9" t="str">
        <f t="shared" si="5"/>
        <v/>
      </c>
      <c r="MA25" s="9" t="str">
        <f t="shared" si="5"/>
        <v/>
      </c>
      <c r="MB25" s="9" t="str">
        <f t="shared" si="5"/>
        <v/>
      </c>
      <c r="MC25" s="9" t="str">
        <f t="shared" si="5"/>
        <v/>
      </c>
      <c r="MD25" s="9" t="str">
        <f t="shared" si="5"/>
        <v/>
      </c>
      <c r="ME25" s="9" t="str">
        <f t="shared" si="5"/>
        <v/>
      </c>
      <c r="MF25" s="9" t="str">
        <f t="shared" si="5"/>
        <v/>
      </c>
      <c r="MG25" s="9" t="str">
        <f t="shared" si="5"/>
        <v/>
      </c>
      <c r="MH25" s="9" t="str">
        <f t="shared" si="5"/>
        <v/>
      </c>
      <c r="MI25" s="9" t="str">
        <f t="shared" si="5"/>
        <v/>
      </c>
      <c r="MJ25" s="9" t="str">
        <f t="shared" si="5"/>
        <v/>
      </c>
      <c r="MK25" s="9" t="str">
        <f t="shared" si="5"/>
        <v/>
      </c>
      <c r="ML25" s="9" t="str">
        <f t="shared" si="5"/>
        <v/>
      </c>
      <c r="MM25" s="9" t="str">
        <f t="shared" si="5"/>
        <v/>
      </c>
      <c r="MN25" s="9" t="str">
        <f t="shared" si="5"/>
        <v/>
      </c>
      <c r="MO25" s="9" t="str">
        <f t="shared" si="5"/>
        <v/>
      </c>
      <c r="MP25" s="9" t="str">
        <f t="shared" si="5"/>
        <v/>
      </c>
      <c r="MQ25" s="9" t="str">
        <f t="shared" si="5"/>
        <v/>
      </c>
      <c r="MR25" s="9" t="str">
        <f t="shared" si="5"/>
        <v/>
      </c>
      <c r="MS25" s="9" t="str">
        <f t="shared" si="5"/>
        <v/>
      </c>
      <c r="MT25" s="9" t="str">
        <f t="shared" si="5"/>
        <v/>
      </c>
      <c r="MU25" s="9" t="str">
        <f t="shared" si="5"/>
        <v/>
      </c>
      <c r="MV25" s="9" t="str">
        <f t="shared" si="5"/>
        <v/>
      </c>
      <c r="MW25" s="9" t="str">
        <f t="shared" si="5"/>
        <v/>
      </c>
      <c r="MX25" s="9" t="str">
        <f t="shared" si="5"/>
        <v/>
      </c>
      <c r="MY25" s="9" t="str">
        <f t="shared" si="5"/>
        <v/>
      </c>
      <c r="MZ25" s="9" t="str">
        <f t="shared" si="5"/>
        <v/>
      </c>
      <c r="NA25" s="9" t="str">
        <f t="shared" si="5"/>
        <v/>
      </c>
      <c r="NB25" s="9" t="str">
        <f t="shared" si="5"/>
        <v/>
      </c>
      <c r="NC25" s="9" t="str">
        <f t="shared" si="5"/>
        <v/>
      </c>
      <c r="ND25" s="9" t="str">
        <f t="shared" si="5"/>
        <v/>
      </c>
      <c r="NE25" s="9" t="str">
        <f t="shared" si="5"/>
        <v/>
      </c>
      <c r="NF25" s="9" t="str">
        <f t="shared" si="5"/>
        <v/>
      </c>
      <c r="NG25" s="9" t="str">
        <f t="shared" si="5"/>
        <v/>
      </c>
      <c r="NH25" s="9" t="str">
        <f t="shared" si="5"/>
        <v/>
      </c>
      <c r="NI25" s="9" t="str">
        <f t="shared" si="5"/>
        <v/>
      </c>
      <c r="NJ25" s="9" t="str">
        <f t="shared" si="5"/>
        <v/>
      </c>
      <c r="NK25" s="9" t="str">
        <f t="shared" si="5"/>
        <v/>
      </c>
      <c r="NL25" s="9" t="str">
        <f t="shared" si="5"/>
        <v/>
      </c>
      <c r="NM25" s="9" t="str">
        <f t="shared" si="5"/>
        <v/>
      </c>
      <c r="NN25" s="9" t="str">
        <f t="shared" si="5"/>
        <v/>
      </c>
      <c r="NO25" s="9" t="str">
        <f t="shared" si="5"/>
        <v/>
      </c>
      <c r="NP25" s="9" t="str">
        <f t="shared" si="5"/>
        <v/>
      </c>
      <c r="NQ25" s="9" t="str">
        <f t="shared" si="5"/>
        <v/>
      </c>
      <c r="NR25" s="9" t="str">
        <f t="shared" si="5"/>
        <v/>
      </c>
      <c r="NS25" s="9" t="str">
        <f t="shared" si="5"/>
        <v/>
      </c>
      <c r="NT25" s="9" t="str">
        <f t="shared" si="5"/>
        <v/>
      </c>
      <c r="NU25" s="9" t="str">
        <f t="shared" si="5"/>
        <v/>
      </c>
      <c r="NV25" s="9" t="str">
        <f t="shared" si="5"/>
        <v/>
      </c>
      <c r="NW25" s="9" t="str">
        <f t="shared" ref="NW25:QH25" si="6">IF(NW1&lt;&gt;0, IF(NW58&lt;&gt;0,IF(NW44&gt;=0,IF(SUM(NW47:NW57,NW60)&lt;&gt;0,"FIX","DONE"),"DONE"), "DONE"), "")</f>
        <v/>
      </c>
      <c r="NX25" s="9" t="str">
        <f t="shared" si="6"/>
        <v/>
      </c>
      <c r="NY25" s="9" t="str">
        <f t="shared" si="6"/>
        <v/>
      </c>
      <c r="NZ25" s="9" t="str">
        <f t="shared" si="6"/>
        <v/>
      </c>
      <c r="OA25" s="9" t="str">
        <f t="shared" si="6"/>
        <v/>
      </c>
      <c r="OB25" s="9" t="str">
        <f t="shared" si="6"/>
        <v/>
      </c>
      <c r="OC25" s="9" t="str">
        <f t="shared" si="6"/>
        <v/>
      </c>
      <c r="OD25" s="9" t="str">
        <f t="shared" si="6"/>
        <v/>
      </c>
      <c r="OE25" s="9" t="str">
        <f t="shared" si="6"/>
        <v/>
      </c>
      <c r="OF25" s="9" t="str">
        <f t="shared" si="6"/>
        <v/>
      </c>
      <c r="OG25" s="9" t="str">
        <f t="shared" si="6"/>
        <v/>
      </c>
      <c r="OH25" s="9" t="str">
        <f t="shared" si="6"/>
        <v/>
      </c>
      <c r="OI25" s="9" t="str">
        <f t="shared" si="6"/>
        <v/>
      </c>
      <c r="OJ25" s="9" t="str">
        <f t="shared" si="6"/>
        <v/>
      </c>
      <c r="OK25" s="9" t="str">
        <f t="shared" si="6"/>
        <v/>
      </c>
      <c r="OL25" s="9" t="str">
        <f t="shared" si="6"/>
        <v/>
      </c>
      <c r="OM25" s="9" t="str">
        <f t="shared" si="6"/>
        <v/>
      </c>
      <c r="ON25" s="9" t="str">
        <f t="shared" si="6"/>
        <v/>
      </c>
      <c r="OO25" s="9" t="str">
        <f t="shared" si="6"/>
        <v/>
      </c>
      <c r="OP25" s="9" t="str">
        <f t="shared" si="6"/>
        <v/>
      </c>
      <c r="OQ25" s="9" t="str">
        <f t="shared" si="6"/>
        <v/>
      </c>
      <c r="OR25" s="9" t="str">
        <f t="shared" si="6"/>
        <v/>
      </c>
      <c r="OS25" s="9" t="str">
        <f t="shared" si="6"/>
        <v/>
      </c>
      <c r="OT25" s="9" t="str">
        <f t="shared" si="6"/>
        <v/>
      </c>
      <c r="OU25" s="9" t="str">
        <f t="shared" si="6"/>
        <v/>
      </c>
      <c r="OV25" s="9" t="str">
        <f t="shared" si="6"/>
        <v/>
      </c>
      <c r="OW25" s="9" t="str">
        <f t="shared" si="6"/>
        <v/>
      </c>
      <c r="OX25" s="9" t="str">
        <f t="shared" si="6"/>
        <v/>
      </c>
      <c r="OY25" s="9" t="str">
        <f t="shared" si="6"/>
        <v/>
      </c>
      <c r="OZ25" s="9" t="str">
        <f t="shared" si="6"/>
        <v/>
      </c>
      <c r="PA25" s="9" t="str">
        <f t="shared" si="6"/>
        <v/>
      </c>
      <c r="PB25" s="9" t="str">
        <f t="shared" si="6"/>
        <v/>
      </c>
      <c r="PC25" s="9" t="str">
        <f t="shared" si="6"/>
        <v/>
      </c>
      <c r="PD25" s="9" t="str">
        <f t="shared" si="6"/>
        <v/>
      </c>
      <c r="PE25" s="9" t="str">
        <f t="shared" si="6"/>
        <v/>
      </c>
      <c r="PF25" s="9" t="str">
        <f t="shared" si="6"/>
        <v/>
      </c>
      <c r="PG25" s="9" t="str">
        <f t="shared" si="6"/>
        <v/>
      </c>
      <c r="PH25" s="9" t="str">
        <f t="shared" si="6"/>
        <v/>
      </c>
      <c r="PI25" s="9" t="str">
        <f t="shared" si="6"/>
        <v/>
      </c>
      <c r="PJ25" s="9" t="str">
        <f t="shared" si="6"/>
        <v/>
      </c>
      <c r="PK25" s="9" t="str">
        <f t="shared" si="6"/>
        <v/>
      </c>
      <c r="PL25" s="9" t="str">
        <f t="shared" si="6"/>
        <v/>
      </c>
      <c r="PM25" s="9" t="str">
        <f t="shared" si="6"/>
        <v/>
      </c>
      <c r="PN25" s="9" t="str">
        <f t="shared" si="6"/>
        <v/>
      </c>
      <c r="PO25" s="9" t="str">
        <f t="shared" si="6"/>
        <v/>
      </c>
      <c r="PP25" s="9" t="str">
        <f t="shared" si="6"/>
        <v/>
      </c>
      <c r="PQ25" s="9" t="str">
        <f t="shared" si="6"/>
        <v/>
      </c>
      <c r="PR25" s="9" t="str">
        <f t="shared" si="6"/>
        <v/>
      </c>
      <c r="PS25" s="9" t="str">
        <f t="shared" si="6"/>
        <v/>
      </c>
      <c r="PT25" s="9" t="str">
        <f t="shared" si="6"/>
        <v/>
      </c>
      <c r="PU25" s="9" t="str">
        <f t="shared" si="6"/>
        <v/>
      </c>
      <c r="PV25" s="9" t="str">
        <f t="shared" si="6"/>
        <v/>
      </c>
      <c r="PW25" s="9" t="str">
        <f t="shared" si="6"/>
        <v/>
      </c>
      <c r="PX25" s="9" t="str">
        <f t="shared" si="6"/>
        <v/>
      </c>
      <c r="PY25" s="9" t="str">
        <f t="shared" si="6"/>
        <v/>
      </c>
      <c r="PZ25" s="9" t="str">
        <f t="shared" si="6"/>
        <v/>
      </c>
      <c r="QA25" s="9" t="str">
        <f t="shared" si="6"/>
        <v/>
      </c>
      <c r="QB25" s="9" t="str">
        <f t="shared" si="6"/>
        <v/>
      </c>
      <c r="QC25" s="9" t="str">
        <f t="shared" si="6"/>
        <v/>
      </c>
      <c r="QD25" s="9" t="str">
        <f t="shared" si="6"/>
        <v/>
      </c>
      <c r="QE25" s="9" t="str">
        <f t="shared" si="6"/>
        <v/>
      </c>
      <c r="QF25" s="9" t="str">
        <f t="shared" si="6"/>
        <v/>
      </c>
      <c r="QG25" s="9" t="str">
        <f t="shared" si="6"/>
        <v/>
      </c>
      <c r="QH25" s="9" t="str">
        <f t="shared" si="6"/>
        <v/>
      </c>
      <c r="QI25" s="9" t="str">
        <f t="shared" ref="QI25:ST25" si="7">IF(QI1&lt;&gt;0, IF(QI58&lt;&gt;0,IF(QI44&gt;=0,IF(SUM(QI47:QI57,QI60)&lt;&gt;0,"FIX","DONE"),"DONE"), "DONE"), "")</f>
        <v/>
      </c>
      <c r="QJ25" s="9" t="str">
        <f t="shared" si="7"/>
        <v/>
      </c>
      <c r="QK25" s="9" t="str">
        <f t="shared" si="7"/>
        <v/>
      </c>
      <c r="QL25" s="9" t="str">
        <f t="shared" si="7"/>
        <v/>
      </c>
      <c r="QM25" s="9" t="str">
        <f t="shared" si="7"/>
        <v/>
      </c>
      <c r="QN25" s="9" t="str">
        <f t="shared" si="7"/>
        <v/>
      </c>
      <c r="QO25" s="9" t="str">
        <f t="shared" si="7"/>
        <v/>
      </c>
      <c r="QP25" s="9" t="str">
        <f t="shared" si="7"/>
        <v/>
      </c>
      <c r="QQ25" s="9" t="str">
        <f t="shared" si="7"/>
        <v/>
      </c>
      <c r="QR25" s="9" t="str">
        <f t="shared" si="7"/>
        <v/>
      </c>
      <c r="QS25" s="9" t="str">
        <f t="shared" si="7"/>
        <v/>
      </c>
      <c r="QT25" s="9" t="str">
        <f t="shared" si="7"/>
        <v/>
      </c>
      <c r="QU25" s="9" t="str">
        <f t="shared" si="7"/>
        <v/>
      </c>
      <c r="QV25" s="9" t="str">
        <f t="shared" si="7"/>
        <v/>
      </c>
      <c r="QW25" s="9" t="str">
        <f t="shared" si="7"/>
        <v/>
      </c>
      <c r="QX25" s="9" t="str">
        <f t="shared" si="7"/>
        <v/>
      </c>
      <c r="QY25" s="9" t="str">
        <f t="shared" si="7"/>
        <v/>
      </c>
      <c r="QZ25" s="9" t="str">
        <f t="shared" si="7"/>
        <v/>
      </c>
      <c r="RA25" s="9" t="str">
        <f t="shared" si="7"/>
        <v/>
      </c>
      <c r="RB25" s="9" t="str">
        <f t="shared" si="7"/>
        <v/>
      </c>
      <c r="RC25" s="9" t="str">
        <f t="shared" si="7"/>
        <v/>
      </c>
      <c r="RD25" s="9" t="str">
        <f t="shared" si="7"/>
        <v/>
      </c>
      <c r="RE25" s="9" t="str">
        <f t="shared" si="7"/>
        <v/>
      </c>
      <c r="RF25" s="9" t="str">
        <f t="shared" si="7"/>
        <v/>
      </c>
      <c r="RG25" s="9" t="str">
        <f t="shared" si="7"/>
        <v/>
      </c>
      <c r="RH25" s="9" t="str">
        <f t="shared" si="7"/>
        <v/>
      </c>
      <c r="RI25" s="9" t="str">
        <f t="shared" si="7"/>
        <v/>
      </c>
      <c r="RJ25" s="9" t="str">
        <f t="shared" si="7"/>
        <v/>
      </c>
      <c r="RK25" s="9" t="str">
        <f t="shared" si="7"/>
        <v/>
      </c>
      <c r="RL25" s="9" t="str">
        <f t="shared" si="7"/>
        <v/>
      </c>
      <c r="RM25" s="9" t="str">
        <f t="shared" si="7"/>
        <v/>
      </c>
      <c r="RN25" s="9" t="str">
        <f t="shared" si="7"/>
        <v/>
      </c>
      <c r="RO25" s="9" t="str">
        <f t="shared" si="7"/>
        <v/>
      </c>
      <c r="RP25" s="9" t="str">
        <f t="shared" si="7"/>
        <v/>
      </c>
      <c r="RQ25" s="9" t="str">
        <f t="shared" si="7"/>
        <v/>
      </c>
      <c r="RR25" s="9" t="str">
        <f t="shared" si="7"/>
        <v/>
      </c>
      <c r="RS25" s="9" t="str">
        <f t="shared" si="7"/>
        <v/>
      </c>
      <c r="RT25" s="9" t="str">
        <f t="shared" si="7"/>
        <v/>
      </c>
      <c r="RU25" s="9" t="str">
        <f t="shared" si="7"/>
        <v/>
      </c>
      <c r="RV25" s="9" t="str">
        <f t="shared" si="7"/>
        <v/>
      </c>
      <c r="RW25" s="9" t="str">
        <f t="shared" si="7"/>
        <v/>
      </c>
      <c r="RX25" s="9" t="str">
        <f t="shared" si="7"/>
        <v/>
      </c>
      <c r="RY25" s="9" t="str">
        <f t="shared" si="7"/>
        <v/>
      </c>
      <c r="RZ25" s="9" t="str">
        <f t="shared" si="7"/>
        <v/>
      </c>
      <c r="SA25" s="9" t="str">
        <f t="shared" si="7"/>
        <v/>
      </c>
      <c r="SB25" s="9" t="str">
        <f t="shared" si="7"/>
        <v/>
      </c>
      <c r="SC25" s="9" t="str">
        <f t="shared" si="7"/>
        <v/>
      </c>
      <c r="SD25" s="9" t="str">
        <f t="shared" si="7"/>
        <v/>
      </c>
      <c r="SE25" s="9" t="str">
        <f t="shared" si="7"/>
        <v/>
      </c>
      <c r="SF25" s="9" t="str">
        <f t="shared" si="7"/>
        <v/>
      </c>
      <c r="SG25" s="9" t="str">
        <f t="shared" si="7"/>
        <v/>
      </c>
      <c r="SH25" s="9" t="str">
        <f t="shared" si="7"/>
        <v/>
      </c>
      <c r="SI25" s="9" t="str">
        <f t="shared" si="7"/>
        <v/>
      </c>
      <c r="SJ25" s="9" t="str">
        <f t="shared" si="7"/>
        <v/>
      </c>
      <c r="SK25" s="9" t="str">
        <f t="shared" si="7"/>
        <v/>
      </c>
      <c r="SL25" s="9" t="str">
        <f t="shared" si="7"/>
        <v/>
      </c>
      <c r="SM25" s="9" t="str">
        <f t="shared" si="7"/>
        <v/>
      </c>
      <c r="SN25" s="9" t="str">
        <f t="shared" si="7"/>
        <v/>
      </c>
      <c r="SO25" s="9" t="str">
        <f t="shared" si="7"/>
        <v/>
      </c>
      <c r="SP25" s="9" t="str">
        <f t="shared" si="7"/>
        <v/>
      </c>
      <c r="SQ25" s="9" t="str">
        <f t="shared" si="7"/>
        <v/>
      </c>
      <c r="SR25" s="9" t="str">
        <f t="shared" si="7"/>
        <v/>
      </c>
      <c r="SS25" s="9" t="str">
        <f t="shared" si="7"/>
        <v/>
      </c>
      <c r="ST25" s="9" t="str">
        <f t="shared" si="7"/>
        <v/>
      </c>
      <c r="SU25" s="9" t="str">
        <f t="shared" ref="SU25:VF25" si="8">IF(SU1&lt;&gt;0, IF(SU58&lt;&gt;0,IF(SU44&gt;=0,IF(SUM(SU47:SU57,SU60)&lt;&gt;0,"FIX","DONE"),"DONE"), "DONE"), "")</f>
        <v/>
      </c>
      <c r="SV25" s="9" t="str">
        <f t="shared" si="8"/>
        <v/>
      </c>
      <c r="SW25" s="9" t="str">
        <f t="shared" si="8"/>
        <v/>
      </c>
      <c r="SX25" s="9" t="str">
        <f t="shared" si="8"/>
        <v/>
      </c>
      <c r="SY25" s="9" t="str">
        <f t="shared" si="8"/>
        <v/>
      </c>
      <c r="SZ25" s="9" t="str">
        <f t="shared" si="8"/>
        <v/>
      </c>
      <c r="TA25" s="9" t="str">
        <f t="shared" si="8"/>
        <v/>
      </c>
      <c r="TB25" s="9" t="str">
        <f t="shared" si="8"/>
        <v/>
      </c>
      <c r="TC25" s="9" t="str">
        <f t="shared" si="8"/>
        <v/>
      </c>
      <c r="TD25" s="9" t="str">
        <f t="shared" si="8"/>
        <v/>
      </c>
      <c r="TE25" s="9" t="str">
        <f t="shared" si="8"/>
        <v/>
      </c>
      <c r="TF25" s="9" t="str">
        <f t="shared" si="8"/>
        <v/>
      </c>
      <c r="TG25" s="9" t="str">
        <f t="shared" si="8"/>
        <v/>
      </c>
      <c r="TH25" s="9" t="str">
        <f t="shared" si="8"/>
        <v/>
      </c>
      <c r="TI25" s="9" t="str">
        <f t="shared" si="8"/>
        <v/>
      </c>
      <c r="TJ25" s="9" t="str">
        <f t="shared" si="8"/>
        <v/>
      </c>
      <c r="TK25" s="9" t="str">
        <f t="shared" si="8"/>
        <v/>
      </c>
      <c r="TL25" s="9" t="str">
        <f t="shared" si="8"/>
        <v/>
      </c>
      <c r="TM25" s="9" t="str">
        <f t="shared" si="8"/>
        <v/>
      </c>
      <c r="TN25" s="9" t="str">
        <f t="shared" si="8"/>
        <v/>
      </c>
      <c r="TO25" s="9" t="str">
        <f t="shared" si="8"/>
        <v/>
      </c>
      <c r="TP25" s="9" t="str">
        <f t="shared" si="8"/>
        <v/>
      </c>
      <c r="TQ25" s="9" t="str">
        <f t="shared" si="8"/>
        <v/>
      </c>
      <c r="TR25" s="9" t="str">
        <f t="shared" si="8"/>
        <v/>
      </c>
      <c r="TS25" s="9" t="str">
        <f t="shared" si="8"/>
        <v/>
      </c>
      <c r="TT25" s="9" t="str">
        <f t="shared" si="8"/>
        <v/>
      </c>
      <c r="TU25" s="9" t="str">
        <f t="shared" si="8"/>
        <v/>
      </c>
      <c r="TV25" s="9" t="str">
        <f t="shared" si="8"/>
        <v/>
      </c>
      <c r="TW25" s="9" t="str">
        <f t="shared" si="8"/>
        <v/>
      </c>
      <c r="TX25" s="9" t="str">
        <f t="shared" si="8"/>
        <v/>
      </c>
      <c r="TY25" s="9" t="str">
        <f t="shared" si="8"/>
        <v/>
      </c>
      <c r="TZ25" s="9" t="str">
        <f t="shared" si="8"/>
        <v/>
      </c>
      <c r="UA25" s="9" t="str">
        <f t="shared" si="8"/>
        <v/>
      </c>
      <c r="UB25" s="9" t="str">
        <f t="shared" si="8"/>
        <v/>
      </c>
      <c r="UC25" s="9" t="str">
        <f t="shared" si="8"/>
        <v/>
      </c>
      <c r="UD25" s="9" t="str">
        <f t="shared" si="8"/>
        <v/>
      </c>
      <c r="UE25" s="9" t="str">
        <f t="shared" si="8"/>
        <v/>
      </c>
      <c r="UF25" s="9" t="str">
        <f t="shared" si="8"/>
        <v/>
      </c>
      <c r="UG25" s="9" t="str">
        <f t="shared" si="8"/>
        <v/>
      </c>
      <c r="UH25" s="9" t="str">
        <f t="shared" si="8"/>
        <v/>
      </c>
      <c r="UI25" s="9" t="str">
        <f t="shared" si="8"/>
        <v/>
      </c>
      <c r="UJ25" s="9" t="str">
        <f t="shared" si="8"/>
        <v/>
      </c>
      <c r="UK25" s="9" t="str">
        <f t="shared" si="8"/>
        <v/>
      </c>
      <c r="UL25" s="9" t="str">
        <f t="shared" si="8"/>
        <v/>
      </c>
      <c r="UM25" s="9" t="str">
        <f t="shared" si="8"/>
        <v/>
      </c>
      <c r="UN25" s="9" t="str">
        <f t="shared" si="8"/>
        <v/>
      </c>
      <c r="UO25" s="9" t="str">
        <f t="shared" si="8"/>
        <v/>
      </c>
      <c r="UP25" s="9" t="str">
        <f t="shared" si="8"/>
        <v/>
      </c>
      <c r="UQ25" s="9" t="str">
        <f t="shared" si="8"/>
        <v/>
      </c>
      <c r="UR25" s="9" t="str">
        <f t="shared" si="8"/>
        <v/>
      </c>
      <c r="US25" s="9" t="str">
        <f t="shared" si="8"/>
        <v/>
      </c>
      <c r="UT25" s="9" t="str">
        <f t="shared" si="8"/>
        <v/>
      </c>
      <c r="UU25" s="9" t="str">
        <f t="shared" si="8"/>
        <v/>
      </c>
      <c r="UV25" s="9" t="str">
        <f t="shared" si="8"/>
        <v/>
      </c>
      <c r="UW25" s="9" t="str">
        <f t="shared" si="8"/>
        <v/>
      </c>
      <c r="UX25" s="9" t="str">
        <f t="shared" si="8"/>
        <v/>
      </c>
      <c r="UY25" s="9" t="str">
        <f t="shared" si="8"/>
        <v/>
      </c>
      <c r="UZ25" s="9" t="str">
        <f t="shared" si="8"/>
        <v/>
      </c>
      <c r="VA25" s="9" t="str">
        <f t="shared" si="8"/>
        <v/>
      </c>
      <c r="VB25" s="9" t="str">
        <f t="shared" si="8"/>
        <v/>
      </c>
      <c r="VC25" s="9" t="str">
        <f t="shared" si="8"/>
        <v/>
      </c>
      <c r="VD25" s="9" t="str">
        <f t="shared" si="8"/>
        <v/>
      </c>
      <c r="VE25" s="9" t="str">
        <f t="shared" si="8"/>
        <v/>
      </c>
      <c r="VF25" s="9" t="str">
        <f t="shared" si="8"/>
        <v/>
      </c>
      <c r="VG25" s="9" t="str">
        <f t="shared" ref="VG25:XR25" si="9">IF(VG1&lt;&gt;0, IF(VG58&lt;&gt;0,IF(VG44&gt;=0,IF(SUM(VG47:VG57,VG60)&lt;&gt;0,"FIX","DONE"),"DONE"), "DONE"), "")</f>
        <v/>
      </c>
      <c r="VH25" s="9" t="str">
        <f t="shared" si="9"/>
        <v/>
      </c>
      <c r="VI25" s="9" t="str">
        <f t="shared" si="9"/>
        <v/>
      </c>
      <c r="VJ25" s="9" t="str">
        <f t="shared" si="9"/>
        <v/>
      </c>
      <c r="VK25" s="9" t="str">
        <f t="shared" si="9"/>
        <v/>
      </c>
      <c r="VL25" s="9" t="str">
        <f t="shared" si="9"/>
        <v/>
      </c>
      <c r="VM25" s="9" t="str">
        <f t="shared" si="9"/>
        <v/>
      </c>
      <c r="VN25" s="9" t="str">
        <f t="shared" si="9"/>
        <v/>
      </c>
      <c r="VO25" s="9" t="str">
        <f t="shared" si="9"/>
        <v/>
      </c>
      <c r="VP25" s="9" t="str">
        <f t="shared" si="9"/>
        <v/>
      </c>
      <c r="VQ25" s="9" t="str">
        <f t="shared" si="9"/>
        <v/>
      </c>
      <c r="VR25" s="9" t="str">
        <f t="shared" si="9"/>
        <v/>
      </c>
      <c r="VS25" s="9" t="str">
        <f t="shared" si="9"/>
        <v/>
      </c>
      <c r="VT25" s="9" t="str">
        <f t="shared" si="9"/>
        <v/>
      </c>
      <c r="VU25" s="9" t="str">
        <f t="shared" si="9"/>
        <v/>
      </c>
      <c r="VV25" s="9" t="str">
        <f t="shared" si="9"/>
        <v/>
      </c>
      <c r="VW25" s="9" t="str">
        <f t="shared" si="9"/>
        <v/>
      </c>
      <c r="VX25" s="9" t="str">
        <f t="shared" si="9"/>
        <v/>
      </c>
      <c r="VY25" s="9" t="str">
        <f t="shared" si="9"/>
        <v/>
      </c>
      <c r="VZ25" s="9" t="str">
        <f t="shared" si="9"/>
        <v/>
      </c>
      <c r="WA25" s="9" t="str">
        <f t="shared" si="9"/>
        <v/>
      </c>
      <c r="WB25" s="9" t="str">
        <f t="shared" si="9"/>
        <v/>
      </c>
      <c r="WC25" s="9" t="str">
        <f t="shared" si="9"/>
        <v/>
      </c>
      <c r="WD25" s="9" t="str">
        <f t="shared" si="9"/>
        <v/>
      </c>
      <c r="WE25" s="9" t="str">
        <f t="shared" si="9"/>
        <v/>
      </c>
      <c r="WF25" s="9" t="str">
        <f t="shared" si="9"/>
        <v/>
      </c>
      <c r="WG25" s="9" t="str">
        <f t="shared" si="9"/>
        <v/>
      </c>
      <c r="WH25" s="9" t="str">
        <f t="shared" si="9"/>
        <v/>
      </c>
      <c r="WI25" s="9" t="str">
        <f t="shared" si="9"/>
        <v/>
      </c>
      <c r="WJ25" s="9" t="str">
        <f t="shared" si="9"/>
        <v/>
      </c>
      <c r="WK25" s="9" t="str">
        <f t="shared" si="9"/>
        <v/>
      </c>
      <c r="WL25" s="9" t="str">
        <f t="shared" si="9"/>
        <v/>
      </c>
      <c r="WM25" s="9" t="str">
        <f t="shared" si="9"/>
        <v/>
      </c>
      <c r="WN25" s="9" t="str">
        <f t="shared" si="9"/>
        <v/>
      </c>
      <c r="WO25" s="9" t="str">
        <f t="shared" si="9"/>
        <v/>
      </c>
      <c r="WP25" s="9" t="str">
        <f t="shared" si="9"/>
        <v/>
      </c>
      <c r="WQ25" s="9" t="str">
        <f t="shared" si="9"/>
        <v/>
      </c>
      <c r="WR25" s="9" t="str">
        <f t="shared" si="9"/>
        <v/>
      </c>
      <c r="WS25" s="9" t="str">
        <f t="shared" si="9"/>
        <v/>
      </c>
      <c r="WT25" s="9" t="str">
        <f t="shared" si="9"/>
        <v/>
      </c>
      <c r="WU25" s="9" t="str">
        <f t="shared" si="9"/>
        <v/>
      </c>
      <c r="WV25" s="9" t="str">
        <f t="shared" si="9"/>
        <v/>
      </c>
      <c r="WW25" s="9" t="str">
        <f t="shared" si="9"/>
        <v/>
      </c>
      <c r="WX25" s="9" t="str">
        <f t="shared" si="9"/>
        <v/>
      </c>
      <c r="WY25" s="9" t="str">
        <f t="shared" si="9"/>
        <v/>
      </c>
      <c r="WZ25" s="9" t="str">
        <f t="shared" si="9"/>
        <v/>
      </c>
      <c r="XA25" s="9" t="str">
        <f t="shared" si="9"/>
        <v/>
      </c>
      <c r="XB25" s="9" t="str">
        <f t="shared" si="9"/>
        <v/>
      </c>
      <c r="XC25" s="9" t="str">
        <f t="shared" si="9"/>
        <v/>
      </c>
      <c r="XD25" s="9" t="str">
        <f t="shared" si="9"/>
        <v/>
      </c>
      <c r="XE25" s="9" t="str">
        <f t="shared" si="9"/>
        <v/>
      </c>
      <c r="XF25" s="9" t="str">
        <f t="shared" si="9"/>
        <v/>
      </c>
      <c r="XG25" s="9" t="str">
        <f t="shared" si="9"/>
        <v/>
      </c>
      <c r="XH25" s="9" t="str">
        <f t="shared" si="9"/>
        <v/>
      </c>
      <c r="XI25" s="9" t="str">
        <f t="shared" si="9"/>
        <v/>
      </c>
      <c r="XJ25" s="9" t="str">
        <f t="shared" si="9"/>
        <v/>
      </c>
      <c r="XK25" s="9" t="str">
        <f t="shared" si="9"/>
        <v/>
      </c>
      <c r="XL25" s="9" t="str">
        <f t="shared" si="9"/>
        <v/>
      </c>
      <c r="XM25" s="9" t="str">
        <f t="shared" si="9"/>
        <v/>
      </c>
      <c r="XN25" s="9" t="str">
        <f t="shared" si="9"/>
        <v/>
      </c>
      <c r="XO25" s="9" t="str">
        <f t="shared" si="9"/>
        <v/>
      </c>
      <c r="XP25" s="9" t="str">
        <f t="shared" si="9"/>
        <v/>
      </c>
      <c r="XQ25" s="9" t="str">
        <f t="shared" si="9"/>
        <v/>
      </c>
      <c r="XR25" s="9" t="str">
        <f t="shared" si="9"/>
        <v/>
      </c>
      <c r="XS25" s="9" t="str">
        <f t="shared" ref="XS25:AAD25" si="10">IF(XS1&lt;&gt;0, IF(XS58&lt;&gt;0,IF(XS44&gt;=0,IF(SUM(XS47:XS57,XS60)&lt;&gt;0,"FIX","DONE"),"DONE"), "DONE"), "")</f>
        <v/>
      </c>
      <c r="XT25" s="9" t="str">
        <f t="shared" si="10"/>
        <v/>
      </c>
      <c r="XU25" s="9" t="str">
        <f t="shared" si="10"/>
        <v/>
      </c>
      <c r="XV25" s="9" t="str">
        <f t="shared" si="10"/>
        <v/>
      </c>
      <c r="XW25" s="9" t="str">
        <f t="shared" si="10"/>
        <v/>
      </c>
      <c r="XX25" s="9" t="str">
        <f t="shared" si="10"/>
        <v/>
      </c>
      <c r="XY25" s="9" t="str">
        <f t="shared" si="10"/>
        <v/>
      </c>
      <c r="XZ25" s="9" t="str">
        <f t="shared" si="10"/>
        <v/>
      </c>
      <c r="YA25" s="9" t="str">
        <f t="shared" si="10"/>
        <v/>
      </c>
      <c r="YB25" s="9" t="str">
        <f t="shared" si="10"/>
        <v/>
      </c>
      <c r="YC25" s="9" t="str">
        <f t="shared" si="10"/>
        <v/>
      </c>
      <c r="YD25" s="9" t="str">
        <f t="shared" si="10"/>
        <v/>
      </c>
      <c r="YE25" s="9" t="str">
        <f t="shared" si="10"/>
        <v/>
      </c>
      <c r="YF25" s="9" t="str">
        <f t="shared" si="10"/>
        <v/>
      </c>
      <c r="YG25" s="9" t="str">
        <f t="shared" si="10"/>
        <v/>
      </c>
      <c r="YH25" s="9" t="str">
        <f t="shared" si="10"/>
        <v/>
      </c>
      <c r="YI25" s="9" t="str">
        <f t="shared" si="10"/>
        <v/>
      </c>
      <c r="YJ25" s="9" t="str">
        <f t="shared" si="10"/>
        <v/>
      </c>
      <c r="YK25" s="9" t="str">
        <f t="shared" si="10"/>
        <v/>
      </c>
      <c r="YL25" s="9" t="str">
        <f t="shared" si="10"/>
        <v/>
      </c>
      <c r="YM25" s="9" t="str">
        <f t="shared" si="10"/>
        <v/>
      </c>
      <c r="YN25" s="9" t="str">
        <f t="shared" si="10"/>
        <v/>
      </c>
      <c r="YO25" s="9" t="str">
        <f t="shared" si="10"/>
        <v/>
      </c>
      <c r="YP25" s="9" t="str">
        <f t="shared" si="10"/>
        <v/>
      </c>
      <c r="YQ25" s="9" t="str">
        <f t="shared" si="10"/>
        <v/>
      </c>
      <c r="YR25" s="9" t="str">
        <f t="shared" si="10"/>
        <v/>
      </c>
      <c r="YS25" s="9" t="str">
        <f t="shared" si="10"/>
        <v/>
      </c>
      <c r="YT25" s="9" t="str">
        <f t="shared" si="10"/>
        <v/>
      </c>
      <c r="YU25" s="9" t="str">
        <f t="shared" si="10"/>
        <v/>
      </c>
      <c r="YV25" s="9" t="str">
        <f t="shared" si="10"/>
        <v/>
      </c>
      <c r="YW25" s="9" t="str">
        <f t="shared" si="10"/>
        <v/>
      </c>
      <c r="YX25" s="9" t="str">
        <f t="shared" si="10"/>
        <v/>
      </c>
      <c r="YY25" s="9" t="str">
        <f t="shared" si="10"/>
        <v/>
      </c>
      <c r="YZ25" s="9" t="str">
        <f t="shared" si="10"/>
        <v/>
      </c>
      <c r="ZA25" s="9" t="str">
        <f t="shared" si="10"/>
        <v/>
      </c>
      <c r="ZB25" s="9" t="str">
        <f t="shared" si="10"/>
        <v/>
      </c>
      <c r="ZC25" s="9" t="str">
        <f t="shared" si="10"/>
        <v/>
      </c>
      <c r="ZD25" s="9" t="str">
        <f t="shared" si="10"/>
        <v/>
      </c>
      <c r="ZE25" s="9" t="str">
        <f t="shared" si="10"/>
        <v/>
      </c>
      <c r="ZF25" s="9" t="str">
        <f t="shared" si="10"/>
        <v/>
      </c>
      <c r="ZG25" s="9" t="str">
        <f t="shared" si="10"/>
        <v/>
      </c>
      <c r="ZH25" s="9" t="str">
        <f t="shared" si="10"/>
        <v/>
      </c>
      <c r="ZI25" s="9" t="str">
        <f t="shared" si="10"/>
        <v/>
      </c>
      <c r="ZJ25" s="9" t="str">
        <f t="shared" si="10"/>
        <v/>
      </c>
      <c r="ZK25" s="9" t="str">
        <f t="shared" si="10"/>
        <v/>
      </c>
      <c r="ZL25" s="9" t="str">
        <f t="shared" si="10"/>
        <v/>
      </c>
      <c r="ZM25" s="9" t="str">
        <f t="shared" si="10"/>
        <v/>
      </c>
      <c r="ZN25" s="9" t="str">
        <f t="shared" si="10"/>
        <v/>
      </c>
      <c r="ZO25" s="9" t="str">
        <f t="shared" si="10"/>
        <v/>
      </c>
      <c r="ZP25" s="9" t="str">
        <f t="shared" si="10"/>
        <v/>
      </c>
      <c r="ZQ25" s="9" t="str">
        <f t="shared" si="10"/>
        <v/>
      </c>
      <c r="ZR25" s="9" t="str">
        <f t="shared" si="10"/>
        <v/>
      </c>
      <c r="ZS25" s="9" t="str">
        <f t="shared" si="10"/>
        <v/>
      </c>
      <c r="ZT25" s="9" t="str">
        <f t="shared" si="10"/>
        <v/>
      </c>
      <c r="ZU25" s="9" t="str">
        <f t="shared" si="10"/>
        <v/>
      </c>
      <c r="ZV25" s="9" t="str">
        <f t="shared" si="10"/>
        <v/>
      </c>
      <c r="ZW25" s="9" t="str">
        <f t="shared" si="10"/>
        <v/>
      </c>
      <c r="ZX25" s="9" t="str">
        <f t="shared" si="10"/>
        <v/>
      </c>
      <c r="ZY25" s="9" t="str">
        <f t="shared" si="10"/>
        <v/>
      </c>
      <c r="ZZ25" s="9" t="str">
        <f t="shared" si="10"/>
        <v/>
      </c>
      <c r="AAA25" s="9" t="str">
        <f t="shared" si="10"/>
        <v/>
      </c>
      <c r="AAB25" s="9" t="str">
        <f t="shared" si="10"/>
        <v/>
      </c>
      <c r="AAC25" s="9" t="str">
        <f t="shared" si="10"/>
        <v/>
      </c>
      <c r="AAD25" s="9" t="str">
        <f t="shared" si="10"/>
        <v/>
      </c>
      <c r="AAE25" s="9" t="str">
        <f t="shared" ref="AAE25:ACP25" si="11">IF(AAE1&lt;&gt;0, IF(AAE58&lt;&gt;0,IF(AAE44&gt;=0,IF(SUM(AAE47:AAE57,AAE60)&lt;&gt;0,"FIX","DONE"),"DONE"), "DONE"), "")</f>
        <v/>
      </c>
      <c r="AAF25" s="9" t="str">
        <f t="shared" si="11"/>
        <v/>
      </c>
      <c r="AAG25" s="9" t="str">
        <f t="shared" si="11"/>
        <v/>
      </c>
      <c r="AAH25" s="9" t="str">
        <f t="shared" si="11"/>
        <v/>
      </c>
      <c r="AAI25" s="9" t="str">
        <f t="shared" si="11"/>
        <v/>
      </c>
      <c r="AAJ25" s="9" t="str">
        <f t="shared" si="11"/>
        <v/>
      </c>
      <c r="AAK25" s="9" t="str">
        <f t="shared" si="11"/>
        <v/>
      </c>
      <c r="AAL25" s="9" t="str">
        <f t="shared" si="11"/>
        <v/>
      </c>
      <c r="AAM25" s="9" t="str">
        <f t="shared" si="11"/>
        <v/>
      </c>
      <c r="AAN25" s="9" t="str">
        <f t="shared" si="11"/>
        <v/>
      </c>
      <c r="AAO25" s="9" t="str">
        <f t="shared" si="11"/>
        <v/>
      </c>
      <c r="AAP25" s="9" t="str">
        <f t="shared" si="11"/>
        <v/>
      </c>
      <c r="AAQ25" s="9" t="str">
        <f t="shared" si="11"/>
        <v/>
      </c>
      <c r="AAR25" s="9" t="str">
        <f t="shared" si="11"/>
        <v/>
      </c>
      <c r="AAS25" s="9" t="str">
        <f t="shared" si="11"/>
        <v/>
      </c>
      <c r="AAT25" s="9" t="str">
        <f t="shared" si="11"/>
        <v/>
      </c>
      <c r="AAU25" s="9" t="str">
        <f t="shared" si="11"/>
        <v/>
      </c>
      <c r="AAV25" s="9" t="str">
        <f t="shared" si="11"/>
        <v/>
      </c>
      <c r="AAW25" s="9" t="str">
        <f t="shared" si="11"/>
        <v/>
      </c>
      <c r="AAX25" s="9" t="str">
        <f t="shared" si="11"/>
        <v/>
      </c>
      <c r="AAY25" s="9" t="str">
        <f t="shared" si="11"/>
        <v/>
      </c>
      <c r="AAZ25" s="9" t="str">
        <f t="shared" si="11"/>
        <v/>
      </c>
      <c r="ABA25" s="9" t="str">
        <f t="shared" si="11"/>
        <v/>
      </c>
      <c r="ABB25" s="9" t="str">
        <f t="shared" si="11"/>
        <v/>
      </c>
      <c r="ABC25" s="9" t="str">
        <f t="shared" si="11"/>
        <v/>
      </c>
      <c r="ABD25" s="9" t="str">
        <f t="shared" si="11"/>
        <v/>
      </c>
      <c r="ABE25" s="9" t="str">
        <f t="shared" si="11"/>
        <v/>
      </c>
      <c r="ABF25" s="9" t="str">
        <f t="shared" si="11"/>
        <v/>
      </c>
      <c r="ABG25" s="9" t="str">
        <f t="shared" si="11"/>
        <v/>
      </c>
      <c r="ABH25" s="9" t="str">
        <f t="shared" si="11"/>
        <v/>
      </c>
      <c r="ABI25" s="9" t="str">
        <f t="shared" si="11"/>
        <v/>
      </c>
      <c r="ABJ25" s="9" t="str">
        <f t="shared" si="11"/>
        <v/>
      </c>
      <c r="ABK25" s="9" t="str">
        <f t="shared" si="11"/>
        <v/>
      </c>
      <c r="ABL25" s="9" t="str">
        <f t="shared" si="11"/>
        <v/>
      </c>
      <c r="ABM25" s="9" t="str">
        <f t="shared" si="11"/>
        <v/>
      </c>
      <c r="ABN25" s="9" t="str">
        <f t="shared" si="11"/>
        <v/>
      </c>
      <c r="ABO25" s="9" t="str">
        <f t="shared" si="11"/>
        <v/>
      </c>
      <c r="ABP25" s="9" t="str">
        <f t="shared" si="11"/>
        <v/>
      </c>
      <c r="ABQ25" s="9" t="str">
        <f t="shared" si="11"/>
        <v/>
      </c>
      <c r="ABR25" s="9" t="str">
        <f t="shared" si="11"/>
        <v/>
      </c>
      <c r="ABS25" s="9" t="str">
        <f t="shared" si="11"/>
        <v/>
      </c>
      <c r="ABT25" s="9" t="str">
        <f t="shared" si="11"/>
        <v/>
      </c>
      <c r="ABU25" s="9" t="str">
        <f t="shared" si="11"/>
        <v/>
      </c>
      <c r="ABV25" s="9" t="str">
        <f t="shared" si="11"/>
        <v/>
      </c>
      <c r="ABW25" s="9" t="str">
        <f t="shared" si="11"/>
        <v/>
      </c>
      <c r="ABX25" s="9" t="str">
        <f t="shared" si="11"/>
        <v/>
      </c>
      <c r="ABY25" s="9" t="str">
        <f t="shared" si="11"/>
        <v/>
      </c>
      <c r="ABZ25" s="9" t="str">
        <f t="shared" si="11"/>
        <v/>
      </c>
      <c r="ACA25" s="9" t="str">
        <f t="shared" si="11"/>
        <v/>
      </c>
      <c r="ACB25" s="9" t="str">
        <f t="shared" si="11"/>
        <v/>
      </c>
      <c r="ACC25" s="9" t="str">
        <f t="shared" si="11"/>
        <v/>
      </c>
      <c r="ACD25" s="9" t="str">
        <f t="shared" si="11"/>
        <v/>
      </c>
      <c r="ACE25" s="9" t="str">
        <f t="shared" si="11"/>
        <v/>
      </c>
      <c r="ACF25" s="9" t="str">
        <f t="shared" si="11"/>
        <v/>
      </c>
      <c r="ACG25" s="9" t="str">
        <f t="shared" si="11"/>
        <v/>
      </c>
      <c r="ACH25" s="9" t="str">
        <f t="shared" si="11"/>
        <v/>
      </c>
      <c r="ACI25" s="9" t="str">
        <f t="shared" si="11"/>
        <v/>
      </c>
      <c r="ACJ25" s="9" t="str">
        <f t="shared" si="11"/>
        <v/>
      </c>
      <c r="ACK25" s="9" t="str">
        <f t="shared" si="11"/>
        <v/>
      </c>
      <c r="ACL25" s="9" t="str">
        <f t="shared" si="11"/>
        <v/>
      </c>
      <c r="ACM25" s="9" t="str">
        <f t="shared" si="11"/>
        <v/>
      </c>
      <c r="ACN25" s="9" t="str">
        <f t="shared" si="11"/>
        <v/>
      </c>
      <c r="ACO25" s="9" t="str">
        <f t="shared" si="11"/>
        <v/>
      </c>
      <c r="ACP25" s="9" t="str">
        <f t="shared" si="11"/>
        <v/>
      </c>
      <c r="ACQ25" s="9" t="str">
        <f t="shared" ref="ACQ25:AFB25" si="12">IF(ACQ1&lt;&gt;0, IF(ACQ58&lt;&gt;0,IF(ACQ44&gt;=0,IF(SUM(ACQ47:ACQ57,ACQ60)&lt;&gt;0,"FIX","DONE"),"DONE"), "DONE"), "")</f>
        <v/>
      </c>
      <c r="ACR25" s="9" t="str">
        <f t="shared" si="12"/>
        <v/>
      </c>
      <c r="ACS25" s="9" t="str">
        <f t="shared" si="12"/>
        <v/>
      </c>
      <c r="ACT25" s="9" t="str">
        <f t="shared" si="12"/>
        <v/>
      </c>
      <c r="ACU25" s="9" t="str">
        <f t="shared" si="12"/>
        <v/>
      </c>
      <c r="ACV25" s="9" t="str">
        <f t="shared" si="12"/>
        <v/>
      </c>
      <c r="ACW25" s="9" t="str">
        <f t="shared" si="12"/>
        <v/>
      </c>
      <c r="ACX25" s="9" t="str">
        <f t="shared" si="12"/>
        <v/>
      </c>
      <c r="ACY25" s="9" t="str">
        <f t="shared" si="12"/>
        <v/>
      </c>
      <c r="ACZ25" s="9" t="str">
        <f t="shared" si="12"/>
        <v/>
      </c>
      <c r="ADA25" s="9" t="str">
        <f t="shared" si="12"/>
        <v/>
      </c>
      <c r="ADB25" s="9" t="str">
        <f t="shared" si="12"/>
        <v/>
      </c>
      <c r="ADC25" s="9" t="str">
        <f t="shared" si="12"/>
        <v/>
      </c>
      <c r="ADD25" s="9" t="str">
        <f t="shared" si="12"/>
        <v/>
      </c>
      <c r="ADE25" s="9" t="str">
        <f t="shared" si="12"/>
        <v/>
      </c>
      <c r="ADF25" s="9" t="str">
        <f t="shared" si="12"/>
        <v/>
      </c>
      <c r="ADG25" s="9" t="str">
        <f t="shared" si="12"/>
        <v/>
      </c>
      <c r="ADH25" s="9" t="str">
        <f t="shared" si="12"/>
        <v/>
      </c>
      <c r="ADI25" s="9" t="str">
        <f t="shared" si="12"/>
        <v/>
      </c>
      <c r="ADJ25" s="9" t="str">
        <f t="shared" si="12"/>
        <v/>
      </c>
      <c r="ADK25" s="9" t="str">
        <f t="shared" si="12"/>
        <v/>
      </c>
      <c r="ADL25" s="9" t="str">
        <f t="shared" si="12"/>
        <v/>
      </c>
      <c r="ADM25" s="9" t="str">
        <f t="shared" si="12"/>
        <v/>
      </c>
      <c r="ADN25" s="9" t="str">
        <f t="shared" si="12"/>
        <v/>
      </c>
      <c r="ADO25" s="9" t="str">
        <f t="shared" si="12"/>
        <v/>
      </c>
      <c r="ADP25" s="9" t="str">
        <f t="shared" si="12"/>
        <v/>
      </c>
      <c r="ADQ25" s="9" t="str">
        <f t="shared" si="12"/>
        <v/>
      </c>
      <c r="ADR25" s="9" t="str">
        <f t="shared" si="12"/>
        <v/>
      </c>
      <c r="ADS25" s="9" t="str">
        <f t="shared" si="12"/>
        <v/>
      </c>
      <c r="ADT25" s="9" t="str">
        <f t="shared" si="12"/>
        <v/>
      </c>
      <c r="ADU25" s="9" t="str">
        <f t="shared" si="12"/>
        <v/>
      </c>
      <c r="ADV25" s="9" t="str">
        <f t="shared" si="12"/>
        <v/>
      </c>
      <c r="ADW25" s="9" t="str">
        <f t="shared" si="12"/>
        <v/>
      </c>
      <c r="ADX25" s="9" t="str">
        <f t="shared" si="12"/>
        <v/>
      </c>
      <c r="ADY25" s="9" t="str">
        <f t="shared" si="12"/>
        <v/>
      </c>
      <c r="ADZ25" s="9" t="str">
        <f t="shared" si="12"/>
        <v/>
      </c>
      <c r="AEA25" s="9" t="str">
        <f t="shared" si="12"/>
        <v/>
      </c>
      <c r="AEB25" s="9" t="str">
        <f t="shared" si="12"/>
        <v/>
      </c>
      <c r="AEC25" s="9" t="str">
        <f t="shared" si="12"/>
        <v/>
      </c>
      <c r="AED25" s="9" t="str">
        <f t="shared" si="12"/>
        <v/>
      </c>
      <c r="AEE25" s="9" t="str">
        <f t="shared" si="12"/>
        <v/>
      </c>
      <c r="AEF25" s="9" t="str">
        <f t="shared" si="12"/>
        <v/>
      </c>
      <c r="AEG25" s="9" t="str">
        <f t="shared" si="12"/>
        <v/>
      </c>
      <c r="AEH25" s="9" t="str">
        <f t="shared" si="12"/>
        <v/>
      </c>
      <c r="AEI25" s="9" t="str">
        <f t="shared" si="12"/>
        <v/>
      </c>
      <c r="AEJ25" s="9" t="str">
        <f t="shared" si="12"/>
        <v/>
      </c>
      <c r="AEK25" s="9" t="str">
        <f t="shared" si="12"/>
        <v/>
      </c>
      <c r="AEL25" s="9" t="str">
        <f t="shared" si="12"/>
        <v/>
      </c>
      <c r="AEM25" s="9" t="str">
        <f t="shared" si="12"/>
        <v/>
      </c>
      <c r="AEN25" s="9" t="str">
        <f t="shared" si="12"/>
        <v/>
      </c>
      <c r="AEO25" s="9" t="str">
        <f t="shared" si="12"/>
        <v/>
      </c>
      <c r="AEP25" s="9" t="str">
        <f t="shared" si="12"/>
        <v/>
      </c>
      <c r="AEQ25" s="9" t="str">
        <f t="shared" si="12"/>
        <v/>
      </c>
      <c r="AER25" s="9" t="str">
        <f t="shared" si="12"/>
        <v/>
      </c>
      <c r="AES25" s="9" t="str">
        <f t="shared" si="12"/>
        <v/>
      </c>
      <c r="AET25" s="9" t="str">
        <f t="shared" si="12"/>
        <v/>
      </c>
      <c r="AEU25" s="9" t="str">
        <f t="shared" si="12"/>
        <v/>
      </c>
      <c r="AEV25" s="9" t="str">
        <f t="shared" si="12"/>
        <v/>
      </c>
      <c r="AEW25" s="9" t="str">
        <f t="shared" si="12"/>
        <v/>
      </c>
      <c r="AEX25" s="9" t="str">
        <f t="shared" si="12"/>
        <v/>
      </c>
      <c r="AEY25" s="9" t="str">
        <f t="shared" si="12"/>
        <v/>
      </c>
      <c r="AEZ25" s="9" t="str">
        <f t="shared" si="12"/>
        <v/>
      </c>
      <c r="AFA25" s="9" t="str">
        <f t="shared" si="12"/>
        <v/>
      </c>
      <c r="AFB25" s="9" t="str">
        <f t="shared" si="12"/>
        <v/>
      </c>
      <c r="AFC25" s="9" t="str">
        <f t="shared" ref="AFC25:AGO25" si="13">IF(AFC1&lt;&gt;0, IF(AFC58&lt;&gt;0,IF(AFC44&gt;=0,IF(SUM(AFC47:AFC57,AFC60)&lt;&gt;0,"FIX","DONE"),"DONE"), "DONE"), "")</f>
        <v/>
      </c>
      <c r="AFD25" s="9" t="str">
        <f t="shared" si="13"/>
        <v/>
      </c>
      <c r="AFE25" s="9" t="str">
        <f t="shared" si="13"/>
        <v/>
      </c>
      <c r="AFF25" s="9" t="str">
        <f t="shared" si="13"/>
        <v/>
      </c>
      <c r="AFG25" s="9" t="str">
        <f t="shared" si="13"/>
        <v/>
      </c>
      <c r="AFH25" s="9" t="str">
        <f t="shared" si="13"/>
        <v/>
      </c>
      <c r="AFI25" s="9" t="str">
        <f t="shared" si="13"/>
        <v/>
      </c>
      <c r="AFJ25" s="9" t="str">
        <f t="shared" si="13"/>
        <v/>
      </c>
      <c r="AFK25" s="9" t="str">
        <f t="shared" si="13"/>
        <v/>
      </c>
      <c r="AFL25" s="9" t="str">
        <f t="shared" si="13"/>
        <v/>
      </c>
      <c r="AFM25" s="9" t="str">
        <f t="shared" si="13"/>
        <v/>
      </c>
      <c r="AFN25" s="9" t="str">
        <f t="shared" si="13"/>
        <v/>
      </c>
      <c r="AFO25" s="9" t="str">
        <f t="shared" si="13"/>
        <v/>
      </c>
      <c r="AFP25" s="9" t="str">
        <f t="shared" si="13"/>
        <v/>
      </c>
      <c r="AFQ25" s="9" t="str">
        <f t="shared" si="13"/>
        <v/>
      </c>
      <c r="AFR25" s="9" t="str">
        <f t="shared" si="13"/>
        <v/>
      </c>
      <c r="AFS25" s="9" t="str">
        <f t="shared" si="13"/>
        <v/>
      </c>
      <c r="AFT25" s="9" t="str">
        <f t="shared" si="13"/>
        <v/>
      </c>
      <c r="AFU25" s="9" t="str">
        <f t="shared" si="13"/>
        <v/>
      </c>
      <c r="AFV25" s="9" t="str">
        <f t="shared" si="13"/>
        <v/>
      </c>
      <c r="AFW25" s="9" t="str">
        <f t="shared" si="13"/>
        <v/>
      </c>
      <c r="AFX25" s="9" t="str">
        <f t="shared" si="13"/>
        <v/>
      </c>
      <c r="AFY25" s="9" t="str">
        <f t="shared" si="13"/>
        <v/>
      </c>
      <c r="AFZ25" s="9" t="str">
        <f t="shared" si="13"/>
        <v/>
      </c>
      <c r="AGA25" s="9" t="str">
        <f t="shared" si="13"/>
        <v/>
      </c>
      <c r="AGB25" s="9" t="str">
        <f t="shared" si="13"/>
        <v/>
      </c>
      <c r="AGC25" s="9" t="str">
        <f t="shared" si="13"/>
        <v/>
      </c>
      <c r="AGD25" s="9" t="str">
        <f t="shared" si="13"/>
        <v/>
      </c>
      <c r="AGE25" s="9" t="str">
        <f t="shared" si="13"/>
        <v/>
      </c>
      <c r="AGF25" s="9" t="str">
        <f t="shared" si="13"/>
        <v/>
      </c>
      <c r="AGG25" s="9" t="str">
        <f t="shared" si="13"/>
        <v/>
      </c>
      <c r="AGH25" s="9" t="str">
        <f t="shared" si="13"/>
        <v/>
      </c>
      <c r="AGI25" s="9" t="str">
        <f t="shared" si="13"/>
        <v/>
      </c>
      <c r="AGJ25" s="9" t="str">
        <f t="shared" si="13"/>
        <v/>
      </c>
      <c r="AGK25" s="9" t="str">
        <f t="shared" si="13"/>
        <v/>
      </c>
      <c r="AGL25" s="9" t="str">
        <f t="shared" si="13"/>
        <v/>
      </c>
      <c r="AGM25" s="9" t="str">
        <f t="shared" si="13"/>
        <v/>
      </c>
      <c r="AGN25" s="9" t="str">
        <f t="shared" si="13"/>
        <v/>
      </c>
      <c r="AGO25" s="9" t="str">
        <f t="shared" si="13"/>
        <v/>
      </c>
    </row>
    <row r="26" spans="1:1001" s="9" customFormat="1"/>
    <row r="27" spans="1:1001">
      <c r="A27" s="26" t="s">
        <v>1</v>
      </c>
      <c r="B27">
        <f>B8</f>
        <v>0</v>
      </c>
      <c r="C27">
        <f t="shared" ref="C27:BN27" si="14">C8</f>
        <v>0</v>
      </c>
      <c r="D27">
        <f t="shared" si="14"/>
        <v>0</v>
      </c>
      <c r="E27">
        <f t="shared" si="14"/>
        <v>0</v>
      </c>
      <c r="F27">
        <f t="shared" si="14"/>
        <v>0</v>
      </c>
      <c r="G27">
        <f t="shared" si="14"/>
        <v>0</v>
      </c>
      <c r="H27">
        <f t="shared" si="14"/>
        <v>0</v>
      </c>
      <c r="I27">
        <f t="shared" si="14"/>
        <v>0</v>
      </c>
      <c r="J27">
        <f t="shared" si="14"/>
        <v>0</v>
      </c>
      <c r="K27">
        <f t="shared" si="14"/>
        <v>0</v>
      </c>
      <c r="L27">
        <f t="shared" si="14"/>
        <v>0</v>
      </c>
      <c r="M27">
        <f t="shared" si="14"/>
        <v>0</v>
      </c>
      <c r="N27">
        <f t="shared" si="14"/>
        <v>0</v>
      </c>
      <c r="O27">
        <f t="shared" si="14"/>
        <v>0</v>
      </c>
      <c r="P27">
        <f t="shared" si="14"/>
        <v>0</v>
      </c>
      <c r="Q27">
        <f t="shared" si="14"/>
        <v>0</v>
      </c>
      <c r="R27">
        <f t="shared" si="14"/>
        <v>0</v>
      </c>
      <c r="S27">
        <f t="shared" si="14"/>
        <v>0</v>
      </c>
      <c r="T27">
        <f t="shared" si="14"/>
        <v>0</v>
      </c>
      <c r="U27">
        <f t="shared" si="14"/>
        <v>0</v>
      </c>
      <c r="V27">
        <f t="shared" si="14"/>
        <v>0</v>
      </c>
      <c r="W27">
        <f t="shared" si="14"/>
        <v>0</v>
      </c>
      <c r="X27">
        <f t="shared" si="14"/>
        <v>0</v>
      </c>
      <c r="Y27">
        <f t="shared" si="14"/>
        <v>0</v>
      </c>
      <c r="Z27">
        <f t="shared" si="14"/>
        <v>0</v>
      </c>
      <c r="AA27">
        <f t="shared" si="14"/>
        <v>0</v>
      </c>
      <c r="AB27">
        <f t="shared" si="14"/>
        <v>0</v>
      </c>
      <c r="AC27">
        <f t="shared" si="14"/>
        <v>0</v>
      </c>
      <c r="AD27">
        <f t="shared" si="14"/>
        <v>0</v>
      </c>
      <c r="AE27">
        <f t="shared" si="14"/>
        <v>0</v>
      </c>
      <c r="AF27">
        <f t="shared" si="14"/>
        <v>0</v>
      </c>
      <c r="AG27">
        <f t="shared" si="14"/>
        <v>0</v>
      </c>
      <c r="AH27">
        <f t="shared" si="14"/>
        <v>0</v>
      </c>
      <c r="AI27">
        <f t="shared" si="14"/>
        <v>0</v>
      </c>
      <c r="AJ27">
        <f t="shared" si="14"/>
        <v>0</v>
      </c>
      <c r="AK27">
        <f t="shared" si="14"/>
        <v>0</v>
      </c>
      <c r="AL27">
        <f t="shared" si="14"/>
        <v>0</v>
      </c>
      <c r="AM27">
        <f t="shared" si="14"/>
        <v>0</v>
      </c>
      <c r="AN27">
        <f t="shared" si="14"/>
        <v>0</v>
      </c>
      <c r="AO27">
        <f t="shared" si="14"/>
        <v>0</v>
      </c>
      <c r="AP27">
        <f t="shared" si="14"/>
        <v>0</v>
      </c>
      <c r="AQ27">
        <f t="shared" si="14"/>
        <v>0</v>
      </c>
      <c r="AR27">
        <f t="shared" si="14"/>
        <v>0</v>
      </c>
      <c r="AS27">
        <f t="shared" si="14"/>
        <v>0</v>
      </c>
      <c r="AT27">
        <f t="shared" si="14"/>
        <v>0</v>
      </c>
      <c r="AU27">
        <f t="shared" si="14"/>
        <v>0</v>
      </c>
      <c r="AV27">
        <f t="shared" si="14"/>
        <v>0</v>
      </c>
      <c r="AW27">
        <f t="shared" si="14"/>
        <v>0</v>
      </c>
      <c r="AX27">
        <f t="shared" si="14"/>
        <v>0</v>
      </c>
      <c r="AY27">
        <f t="shared" si="14"/>
        <v>0</v>
      </c>
      <c r="AZ27">
        <f t="shared" si="14"/>
        <v>0</v>
      </c>
      <c r="BA27">
        <f t="shared" si="14"/>
        <v>0</v>
      </c>
      <c r="BB27">
        <f t="shared" si="14"/>
        <v>0</v>
      </c>
      <c r="BC27">
        <f t="shared" si="14"/>
        <v>0</v>
      </c>
      <c r="BD27">
        <f t="shared" si="14"/>
        <v>0</v>
      </c>
      <c r="BE27">
        <f t="shared" si="14"/>
        <v>0</v>
      </c>
      <c r="BF27">
        <f t="shared" si="14"/>
        <v>0</v>
      </c>
      <c r="BG27">
        <f t="shared" si="14"/>
        <v>0</v>
      </c>
      <c r="BH27">
        <f t="shared" si="14"/>
        <v>0</v>
      </c>
      <c r="BI27">
        <f t="shared" si="14"/>
        <v>0</v>
      </c>
      <c r="BJ27">
        <f t="shared" si="14"/>
        <v>0</v>
      </c>
      <c r="BK27">
        <f t="shared" si="14"/>
        <v>0</v>
      </c>
      <c r="BL27">
        <f t="shared" si="14"/>
        <v>0</v>
      </c>
      <c r="BM27">
        <f t="shared" si="14"/>
        <v>0</v>
      </c>
      <c r="BN27">
        <f t="shared" si="14"/>
        <v>0</v>
      </c>
      <c r="BO27">
        <f t="shared" ref="BO27:DZ27" si="15">BO8</f>
        <v>0</v>
      </c>
      <c r="BP27">
        <f t="shared" si="15"/>
        <v>0</v>
      </c>
      <c r="BQ27">
        <f t="shared" si="15"/>
        <v>0</v>
      </c>
      <c r="BR27">
        <f t="shared" si="15"/>
        <v>0</v>
      </c>
      <c r="BS27">
        <f t="shared" si="15"/>
        <v>0</v>
      </c>
      <c r="BT27">
        <f t="shared" si="15"/>
        <v>0</v>
      </c>
      <c r="BU27">
        <f t="shared" si="15"/>
        <v>0</v>
      </c>
      <c r="BV27">
        <f t="shared" si="15"/>
        <v>0</v>
      </c>
      <c r="BW27">
        <f t="shared" si="15"/>
        <v>0</v>
      </c>
      <c r="BX27">
        <f t="shared" si="15"/>
        <v>0</v>
      </c>
      <c r="BY27">
        <f t="shared" si="15"/>
        <v>0</v>
      </c>
      <c r="BZ27">
        <f t="shared" si="15"/>
        <v>0</v>
      </c>
      <c r="CA27">
        <f t="shared" si="15"/>
        <v>0</v>
      </c>
      <c r="CB27">
        <f t="shared" si="15"/>
        <v>0</v>
      </c>
      <c r="CC27">
        <f t="shared" si="15"/>
        <v>0</v>
      </c>
      <c r="CD27">
        <f t="shared" si="15"/>
        <v>0</v>
      </c>
      <c r="CE27">
        <f t="shared" si="15"/>
        <v>0</v>
      </c>
      <c r="CF27">
        <f t="shared" si="15"/>
        <v>0</v>
      </c>
      <c r="CG27">
        <f t="shared" si="15"/>
        <v>0</v>
      </c>
      <c r="CH27">
        <f t="shared" si="15"/>
        <v>0</v>
      </c>
      <c r="CI27">
        <f t="shared" si="15"/>
        <v>0</v>
      </c>
      <c r="CJ27">
        <f t="shared" si="15"/>
        <v>0</v>
      </c>
      <c r="CK27">
        <f t="shared" si="15"/>
        <v>0</v>
      </c>
      <c r="CL27">
        <f t="shared" si="15"/>
        <v>0</v>
      </c>
      <c r="CM27">
        <f t="shared" si="15"/>
        <v>0</v>
      </c>
      <c r="CN27">
        <f t="shared" si="15"/>
        <v>0</v>
      </c>
      <c r="CO27">
        <f t="shared" si="15"/>
        <v>0</v>
      </c>
      <c r="CP27">
        <f t="shared" si="15"/>
        <v>0</v>
      </c>
      <c r="CQ27">
        <f t="shared" si="15"/>
        <v>0</v>
      </c>
      <c r="CR27">
        <f t="shared" si="15"/>
        <v>0</v>
      </c>
      <c r="CS27">
        <f t="shared" si="15"/>
        <v>0</v>
      </c>
      <c r="CT27">
        <f t="shared" si="15"/>
        <v>0</v>
      </c>
      <c r="CU27">
        <f t="shared" si="15"/>
        <v>0</v>
      </c>
      <c r="CV27">
        <f t="shared" si="15"/>
        <v>0</v>
      </c>
      <c r="CW27">
        <f t="shared" si="15"/>
        <v>0</v>
      </c>
      <c r="CX27">
        <f t="shared" si="15"/>
        <v>0</v>
      </c>
      <c r="CY27">
        <f t="shared" si="15"/>
        <v>0</v>
      </c>
      <c r="CZ27">
        <f t="shared" si="15"/>
        <v>0</v>
      </c>
      <c r="DA27">
        <f t="shared" si="15"/>
        <v>0</v>
      </c>
      <c r="DB27">
        <f t="shared" si="15"/>
        <v>0</v>
      </c>
      <c r="DC27">
        <f t="shared" si="15"/>
        <v>0</v>
      </c>
      <c r="DD27">
        <f t="shared" si="15"/>
        <v>0</v>
      </c>
      <c r="DE27">
        <f t="shared" si="15"/>
        <v>0</v>
      </c>
      <c r="DF27">
        <f t="shared" si="15"/>
        <v>0</v>
      </c>
      <c r="DG27">
        <f t="shared" si="15"/>
        <v>0</v>
      </c>
      <c r="DH27">
        <f t="shared" si="15"/>
        <v>0</v>
      </c>
      <c r="DI27">
        <f t="shared" si="15"/>
        <v>0</v>
      </c>
      <c r="DJ27">
        <f t="shared" si="15"/>
        <v>0</v>
      </c>
      <c r="DK27">
        <f t="shared" si="15"/>
        <v>0</v>
      </c>
      <c r="DL27">
        <f t="shared" si="15"/>
        <v>0</v>
      </c>
      <c r="DM27">
        <f t="shared" si="15"/>
        <v>0</v>
      </c>
      <c r="DN27">
        <f t="shared" si="15"/>
        <v>0</v>
      </c>
      <c r="DO27">
        <f t="shared" si="15"/>
        <v>0</v>
      </c>
      <c r="DP27">
        <f t="shared" si="15"/>
        <v>0</v>
      </c>
      <c r="DQ27">
        <f t="shared" si="15"/>
        <v>0</v>
      </c>
      <c r="DR27">
        <f t="shared" si="15"/>
        <v>0</v>
      </c>
      <c r="DS27">
        <f t="shared" si="15"/>
        <v>0</v>
      </c>
      <c r="DT27">
        <f t="shared" si="15"/>
        <v>0</v>
      </c>
      <c r="DU27">
        <f t="shared" si="15"/>
        <v>0</v>
      </c>
      <c r="DV27">
        <f t="shared" si="15"/>
        <v>0</v>
      </c>
      <c r="DW27">
        <f t="shared" si="15"/>
        <v>0</v>
      </c>
      <c r="DX27">
        <f t="shared" si="15"/>
        <v>0</v>
      </c>
      <c r="DY27">
        <f t="shared" si="15"/>
        <v>0</v>
      </c>
      <c r="DZ27">
        <f t="shared" si="15"/>
        <v>0</v>
      </c>
      <c r="EA27">
        <f t="shared" ref="EA27:GL27" si="16">EA8</f>
        <v>0</v>
      </c>
      <c r="EB27">
        <f t="shared" si="16"/>
        <v>0</v>
      </c>
      <c r="EC27">
        <f t="shared" si="16"/>
        <v>0</v>
      </c>
      <c r="ED27">
        <f t="shared" si="16"/>
        <v>0</v>
      </c>
      <c r="EE27">
        <f t="shared" si="16"/>
        <v>0</v>
      </c>
      <c r="EF27">
        <f t="shared" si="16"/>
        <v>0</v>
      </c>
      <c r="EG27">
        <f t="shared" si="16"/>
        <v>0</v>
      </c>
      <c r="EH27">
        <f t="shared" si="16"/>
        <v>0</v>
      </c>
      <c r="EI27">
        <f t="shared" si="16"/>
        <v>0</v>
      </c>
      <c r="EJ27">
        <f t="shared" si="16"/>
        <v>0</v>
      </c>
      <c r="EK27">
        <f t="shared" si="16"/>
        <v>0</v>
      </c>
      <c r="EL27">
        <f t="shared" si="16"/>
        <v>0</v>
      </c>
      <c r="EM27">
        <f t="shared" si="16"/>
        <v>0</v>
      </c>
      <c r="EN27">
        <f t="shared" si="16"/>
        <v>0</v>
      </c>
      <c r="EO27">
        <f t="shared" si="16"/>
        <v>0</v>
      </c>
      <c r="EP27">
        <f t="shared" si="16"/>
        <v>0</v>
      </c>
      <c r="EQ27">
        <f t="shared" si="16"/>
        <v>0</v>
      </c>
      <c r="ER27">
        <f t="shared" si="16"/>
        <v>0</v>
      </c>
      <c r="ES27">
        <f t="shared" si="16"/>
        <v>0</v>
      </c>
      <c r="ET27">
        <f t="shared" si="16"/>
        <v>0</v>
      </c>
      <c r="EU27">
        <f t="shared" si="16"/>
        <v>0</v>
      </c>
      <c r="EV27">
        <f t="shared" si="16"/>
        <v>0</v>
      </c>
      <c r="EW27">
        <f t="shared" si="16"/>
        <v>0</v>
      </c>
      <c r="EX27">
        <f t="shared" si="16"/>
        <v>0</v>
      </c>
      <c r="EY27">
        <f t="shared" si="16"/>
        <v>0</v>
      </c>
      <c r="EZ27">
        <f t="shared" si="16"/>
        <v>0</v>
      </c>
      <c r="FA27">
        <f t="shared" si="16"/>
        <v>0</v>
      </c>
      <c r="FB27">
        <f t="shared" si="16"/>
        <v>0</v>
      </c>
      <c r="FC27">
        <f t="shared" si="16"/>
        <v>0</v>
      </c>
      <c r="FD27">
        <f t="shared" si="16"/>
        <v>0</v>
      </c>
      <c r="FE27">
        <f t="shared" si="16"/>
        <v>0</v>
      </c>
      <c r="FF27">
        <f t="shared" si="16"/>
        <v>0</v>
      </c>
      <c r="FG27">
        <f t="shared" si="16"/>
        <v>0</v>
      </c>
      <c r="FH27">
        <f t="shared" si="16"/>
        <v>0</v>
      </c>
      <c r="FI27">
        <f t="shared" si="16"/>
        <v>0</v>
      </c>
      <c r="FJ27">
        <f t="shared" si="16"/>
        <v>0</v>
      </c>
      <c r="FK27">
        <f t="shared" si="16"/>
        <v>0</v>
      </c>
      <c r="FL27">
        <f t="shared" si="16"/>
        <v>0</v>
      </c>
      <c r="FM27">
        <f t="shared" si="16"/>
        <v>0</v>
      </c>
      <c r="FN27">
        <f t="shared" si="16"/>
        <v>0</v>
      </c>
      <c r="FO27">
        <f t="shared" si="16"/>
        <v>0</v>
      </c>
      <c r="FP27">
        <f t="shared" si="16"/>
        <v>0</v>
      </c>
      <c r="FQ27">
        <f t="shared" si="16"/>
        <v>0</v>
      </c>
      <c r="FR27">
        <f t="shared" si="16"/>
        <v>0</v>
      </c>
      <c r="FS27">
        <f t="shared" si="16"/>
        <v>0</v>
      </c>
      <c r="FT27">
        <f t="shared" si="16"/>
        <v>0</v>
      </c>
      <c r="FU27">
        <f t="shared" si="16"/>
        <v>0</v>
      </c>
      <c r="FV27">
        <f t="shared" si="16"/>
        <v>0</v>
      </c>
      <c r="FW27">
        <f t="shared" si="16"/>
        <v>0</v>
      </c>
      <c r="FX27">
        <f t="shared" si="16"/>
        <v>0</v>
      </c>
      <c r="FY27">
        <f t="shared" si="16"/>
        <v>0</v>
      </c>
      <c r="FZ27">
        <f t="shared" si="16"/>
        <v>0</v>
      </c>
      <c r="GA27">
        <f t="shared" si="16"/>
        <v>0</v>
      </c>
      <c r="GB27">
        <f t="shared" si="16"/>
        <v>0</v>
      </c>
      <c r="GC27">
        <f t="shared" si="16"/>
        <v>0</v>
      </c>
      <c r="GD27">
        <f t="shared" si="16"/>
        <v>0</v>
      </c>
      <c r="GE27">
        <f t="shared" si="16"/>
        <v>0</v>
      </c>
      <c r="GF27">
        <f t="shared" si="16"/>
        <v>0</v>
      </c>
      <c r="GG27">
        <f t="shared" si="16"/>
        <v>0</v>
      </c>
      <c r="GH27">
        <f t="shared" si="16"/>
        <v>0</v>
      </c>
      <c r="GI27">
        <f t="shared" si="16"/>
        <v>0</v>
      </c>
      <c r="GJ27">
        <f t="shared" si="16"/>
        <v>0</v>
      </c>
      <c r="GK27">
        <f t="shared" si="16"/>
        <v>0</v>
      </c>
      <c r="GL27">
        <f t="shared" si="16"/>
        <v>0</v>
      </c>
      <c r="GM27">
        <f t="shared" ref="GM27:IX27" si="17">GM8</f>
        <v>0</v>
      </c>
      <c r="GN27">
        <f t="shared" si="17"/>
        <v>0</v>
      </c>
      <c r="GO27">
        <f t="shared" si="17"/>
        <v>0</v>
      </c>
      <c r="GP27">
        <f t="shared" si="17"/>
        <v>0</v>
      </c>
      <c r="GQ27">
        <f t="shared" si="17"/>
        <v>0</v>
      </c>
      <c r="GR27">
        <f t="shared" si="17"/>
        <v>0</v>
      </c>
      <c r="GS27">
        <f t="shared" si="17"/>
        <v>0</v>
      </c>
      <c r="GT27">
        <f t="shared" si="17"/>
        <v>0</v>
      </c>
      <c r="GU27">
        <f t="shared" si="17"/>
        <v>0</v>
      </c>
      <c r="GV27">
        <f t="shared" si="17"/>
        <v>0</v>
      </c>
      <c r="GW27">
        <f t="shared" si="17"/>
        <v>0</v>
      </c>
      <c r="GX27">
        <f t="shared" si="17"/>
        <v>0</v>
      </c>
      <c r="GY27">
        <f t="shared" si="17"/>
        <v>0</v>
      </c>
      <c r="GZ27">
        <f t="shared" si="17"/>
        <v>0</v>
      </c>
      <c r="HA27">
        <f t="shared" si="17"/>
        <v>0</v>
      </c>
      <c r="HB27">
        <f t="shared" si="17"/>
        <v>0</v>
      </c>
      <c r="HC27">
        <f t="shared" si="17"/>
        <v>0</v>
      </c>
      <c r="HD27">
        <f t="shared" si="17"/>
        <v>0</v>
      </c>
      <c r="HE27">
        <f t="shared" si="17"/>
        <v>0</v>
      </c>
      <c r="HF27">
        <f t="shared" si="17"/>
        <v>0</v>
      </c>
      <c r="HG27">
        <f t="shared" si="17"/>
        <v>0</v>
      </c>
      <c r="HH27">
        <f t="shared" si="17"/>
        <v>0</v>
      </c>
      <c r="HI27">
        <f t="shared" si="17"/>
        <v>0</v>
      </c>
      <c r="HJ27">
        <f t="shared" si="17"/>
        <v>0</v>
      </c>
      <c r="HK27">
        <f t="shared" si="17"/>
        <v>0</v>
      </c>
      <c r="HL27">
        <f t="shared" si="17"/>
        <v>0</v>
      </c>
      <c r="HM27">
        <f t="shared" si="17"/>
        <v>0</v>
      </c>
      <c r="HN27">
        <f t="shared" si="17"/>
        <v>0</v>
      </c>
      <c r="HO27">
        <f t="shared" si="17"/>
        <v>0</v>
      </c>
      <c r="HP27">
        <f t="shared" si="17"/>
        <v>0</v>
      </c>
      <c r="HQ27">
        <f t="shared" si="17"/>
        <v>0</v>
      </c>
      <c r="HR27">
        <f t="shared" si="17"/>
        <v>0</v>
      </c>
      <c r="HS27">
        <f t="shared" si="17"/>
        <v>0</v>
      </c>
      <c r="HT27">
        <f t="shared" si="17"/>
        <v>0</v>
      </c>
      <c r="HU27">
        <f t="shared" si="17"/>
        <v>0</v>
      </c>
      <c r="HV27">
        <f t="shared" si="17"/>
        <v>0</v>
      </c>
      <c r="HW27">
        <f t="shared" si="17"/>
        <v>0</v>
      </c>
      <c r="HX27">
        <f t="shared" si="17"/>
        <v>0</v>
      </c>
      <c r="HY27">
        <f t="shared" si="17"/>
        <v>0</v>
      </c>
      <c r="HZ27">
        <f t="shared" si="17"/>
        <v>0</v>
      </c>
      <c r="IA27">
        <f t="shared" si="17"/>
        <v>0</v>
      </c>
      <c r="IB27">
        <f t="shared" si="17"/>
        <v>0</v>
      </c>
      <c r="IC27">
        <f t="shared" si="17"/>
        <v>0</v>
      </c>
      <c r="ID27">
        <f t="shared" si="17"/>
        <v>0</v>
      </c>
      <c r="IE27">
        <f t="shared" si="17"/>
        <v>0</v>
      </c>
      <c r="IF27">
        <f t="shared" si="17"/>
        <v>0</v>
      </c>
      <c r="IG27">
        <f t="shared" si="17"/>
        <v>0</v>
      </c>
      <c r="IH27">
        <f t="shared" si="17"/>
        <v>0</v>
      </c>
      <c r="II27">
        <f t="shared" si="17"/>
        <v>0</v>
      </c>
      <c r="IJ27">
        <f t="shared" si="17"/>
        <v>0</v>
      </c>
      <c r="IK27">
        <f t="shared" si="17"/>
        <v>0</v>
      </c>
      <c r="IL27">
        <f t="shared" si="17"/>
        <v>0</v>
      </c>
      <c r="IM27">
        <f t="shared" si="17"/>
        <v>0</v>
      </c>
      <c r="IN27">
        <f t="shared" si="17"/>
        <v>0</v>
      </c>
      <c r="IO27">
        <f t="shared" si="17"/>
        <v>0</v>
      </c>
      <c r="IP27">
        <f t="shared" si="17"/>
        <v>0</v>
      </c>
      <c r="IQ27">
        <f t="shared" si="17"/>
        <v>0</v>
      </c>
      <c r="IR27">
        <f t="shared" si="17"/>
        <v>0</v>
      </c>
      <c r="IS27">
        <f t="shared" si="17"/>
        <v>0</v>
      </c>
      <c r="IT27">
        <f t="shared" si="17"/>
        <v>0</v>
      </c>
      <c r="IU27">
        <f t="shared" si="17"/>
        <v>0</v>
      </c>
      <c r="IV27">
        <f t="shared" si="17"/>
        <v>0</v>
      </c>
      <c r="IW27">
        <f t="shared" si="17"/>
        <v>0</v>
      </c>
      <c r="IX27">
        <f t="shared" si="17"/>
        <v>0</v>
      </c>
      <c r="IY27">
        <f t="shared" ref="IY27:LJ27" si="18">IY8</f>
        <v>0</v>
      </c>
      <c r="IZ27">
        <f t="shared" si="18"/>
        <v>0</v>
      </c>
      <c r="JA27">
        <f t="shared" si="18"/>
        <v>0</v>
      </c>
      <c r="JB27">
        <f t="shared" si="18"/>
        <v>0</v>
      </c>
      <c r="JC27">
        <f t="shared" si="18"/>
        <v>0</v>
      </c>
      <c r="JD27">
        <f t="shared" si="18"/>
        <v>0</v>
      </c>
      <c r="JE27">
        <f t="shared" si="18"/>
        <v>0</v>
      </c>
      <c r="JF27">
        <f t="shared" si="18"/>
        <v>0</v>
      </c>
      <c r="JG27">
        <f t="shared" si="18"/>
        <v>0</v>
      </c>
      <c r="JH27">
        <f t="shared" si="18"/>
        <v>0</v>
      </c>
      <c r="JI27">
        <f t="shared" si="18"/>
        <v>0</v>
      </c>
      <c r="JJ27">
        <f t="shared" si="18"/>
        <v>0</v>
      </c>
      <c r="JK27">
        <f t="shared" si="18"/>
        <v>0</v>
      </c>
      <c r="JL27">
        <f t="shared" si="18"/>
        <v>0</v>
      </c>
      <c r="JM27">
        <f t="shared" si="18"/>
        <v>0</v>
      </c>
      <c r="JN27">
        <f t="shared" si="18"/>
        <v>0</v>
      </c>
      <c r="JO27">
        <f t="shared" si="18"/>
        <v>0</v>
      </c>
      <c r="JP27">
        <f t="shared" si="18"/>
        <v>0</v>
      </c>
      <c r="JQ27">
        <f t="shared" si="18"/>
        <v>0</v>
      </c>
      <c r="JR27">
        <f t="shared" si="18"/>
        <v>0</v>
      </c>
      <c r="JS27">
        <f t="shared" si="18"/>
        <v>0</v>
      </c>
      <c r="JT27">
        <f t="shared" si="18"/>
        <v>0</v>
      </c>
      <c r="JU27">
        <f t="shared" si="18"/>
        <v>0</v>
      </c>
      <c r="JV27">
        <f t="shared" si="18"/>
        <v>0</v>
      </c>
      <c r="JW27">
        <f t="shared" si="18"/>
        <v>0</v>
      </c>
      <c r="JX27">
        <f t="shared" si="18"/>
        <v>0</v>
      </c>
      <c r="JY27">
        <f t="shared" si="18"/>
        <v>0</v>
      </c>
      <c r="JZ27">
        <f t="shared" si="18"/>
        <v>0</v>
      </c>
      <c r="KA27">
        <f t="shared" si="18"/>
        <v>0</v>
      </c>
      <c r="KB27">
        <f t="shared" si="18"/>
        <v>0</v>
      </c>
      <c r="KC27">
        <f t="shared" si="18"/>
        <v>0</v>
      </c>
      <c r="KD27">
        <f t="shared" si="18"/>
        <v>0</v>
      </c>
      <c r="KE27">
        <f t="shared" si="18"/>
        <v>0</v>
      </c>
      <c r="KF27">
        <f t="shared" si="18"/>
        <v>0</v>
      </c>
      <c r="KG27">
        <f t="shared" si="18"/>
        <v>0</v>
      </c>
      <c r="KH27">
        <f t="shared" si="18"/>
        <v>0</v>
      </c>
      <c r="KI27">
        <f t="shared" si="18"/>
        <v>0</v>
      </c>
      <c r="KJ27">
        <f t="shared" si="18"/>
        <v>0</v>
      </c>
      <c r="KK27">
        <f t="shared" si="18"/>
        <v>0</v>
      </c>
      <c r="KL27">
        <f t="shared" si="18"/>
        <v>0</v>
      </c>
      <c r="KM27">
        <f t="shared" si="18"/>
        <v>0</v>
      </c>
      <c r="KN27">
        <f t="shared" si="18"/>
        <v>0</v>
      </c>
      <c r="KO27">
        <f t="shared" si="18"/>
        <v>0</v>
      </c>
      <c r="KP27">
        <f t="shared" si="18"/>
        <v>0</v>
      </c>
      <c r="KQ27">
        <f t="shared" si="18"/>
        <v>0</v>
      </c>
      <c r="KR27">
        <f t="shared" si="18"/>
        <v>0</v>
      </c>
      <c r="KS27">
        <f t="shared" si="18"/>
        <v>0</v>
      </c>
      <c r="KT27">
        <f t="shared" si="18"/>
        <v>0</v>
      </c>
      <c r="KU27">
        <f t="shared" si="18"/>
        <v>0</v>
      </c>
      <c r="KV27">
        <f t="shared" si="18"/>
        <v>0</v>
      </c>
      <c r="KW27">
        <f t="shared" si="18"/>
        <v>0</v>
      </c>
      <c r="KX27">
        <f t="shared" si="18"/>
        <v>0</v>
      </c>
      <c r="KY27">
        <f t="shared" si="18"/>
        <v>0</v>
      </c>
      <c r="KZ27">
        <f t="shared" si="18"/>
        <v>0</v>
      </c>
      <c r="LA27">
        <f t="shared" si="18"/>
        <v>0</v>
      </c>
      <c r="LB27">
        <f t="shared" si="18"/>
        <v>0</v>
      </c>
      <c r="LC27">
        <f t="shared" si="18"/>
        <v>0</v>
      </c>
      <c r="LD27">
        <f t="shared" si="18"/>
        <v>0</v>
      </c>
      <c r="LE27">
        <f t="shared" si="18"/>
        <v>0</v>
      </c>
      <c r="LF27">
        <f t="shared" si="18"/>
        <v>0</v>
      </c>
      <c r="LG27">
        <f t="shared" si="18"/>
        <v>0</v>
      </c>
      <c r="LH27">
        <f t="shared" si="18"/>
        <v>0</v>
      </c>
      <c r="LI27">
        <f t="shared" si="18"/>
        <v>0</v>
      </c>
      <c r="LJ27">
        <f t="shared" si="18"/>
        <v>0</v>
      </c>
      <c r="LK27">
        <f t="shared" ref="LK27:NV27" si="19">LK8</f>
        <v>0</v>
      </c>
      <c r="LL27">
        <f t="shared" si="19"/>
        <v>0</v>
      </c>
      <c r="LM27">
        <f t="shared" si="19"/>
        <v>0</v>
      </c>
      <c r="LN27">
        <f t="shared" si="19"/>
        <v>0</v>
      </c>
      <c r="LO27">
        <f t="shared" si="19"/>
        <v>0</v>
      </c>
      <c r="LP27">
        <f t="shared" si="19"/>
        <v>0</v>
      </c>
      <c r="LQ27">
        <f t="shared" si="19"/>
        <v>0</v>
      </c>
      <c r="LR27">
        <f t="shared" si="19"/>
        <v>0</v>
      </c>
      <c r="LS27">
        <f t="shared" si="19"/>
        <v>0</v>
      </c>
      <c r="LT27">
        <f t="shared" si="19"/>
        <v>0</v>
      </c>
      <c r="LU27">
        <f t="shared" si="19"/>
        <v>0</v>
      </c>
      <c r="LV27">
        <f t="shared" si="19"/>
        <v>0</v>
      </c>
      <c r="LW27">
        <f t="shared" si="19"/>
        <v>0</v>
      </c>
      <c r="LX27">
        <f t="shared" si="19"/>
        <v>0</v>
      </c>
      <c r="LY27">
        <f t="shared" si="19"/>
        <v>0</v>
      </c>
      <c r="LZ27">
        <f t="shared" si="19"/>
        <v>0</v>
      </c>
      <c r="MA27">
        <f t="shared" si="19"/>
        <v>0</v>
      </c>
      <c r="MB27">
        <f t="shared" si="19"/>
        <v>0</v>
      </c>
      <c r="MC27">
        <f t="shared" si="19"/>
        <v>0</v>
      </c>
      <c r="MD27">
        <f t="shared" si="19"/>
        <v>0</v>
      </c>
      <c r="ME27">
        <f t="shared" si="19"/>
        <v>0</v>
      </c>
      <c r="MF27">
        <f t="shared" si="19"/>
        <v>0</v>
      </c>
      <c r="MG27">
        <f t="shared" si="19"/>
        <v>0</v>
      </c>
      <c r="MH27">
        <f t="shared" si="19"/>
        <v>0</v>
      </c>
      <c r="MI27">
        <f t="shared" si="19"/>
        <v>0</v>
      </c>
      <c r="MJ27">
        <f t="shared" si="19"/>
        <v>0</v>
      </c>
      <c r="MK27">
        <f t="shared" si="19"/>
        <v>0</v>
      </c>
      <c r="ML27">
        <f t="shared" si="19"/>
        <v>0</v>
      </c>
      <c r="MM27">
        <f t="shared" si="19"/>
        <v>0</v>
      </c>
      <c r="MN27">
        <f t="shared" si="19"/>
        <v>0</v>
      </c>
      <c r="MO27">
        <f t="shared" si="19"/>
        <v>0</v>
      </c>
      <c r="MP27">
        <f t="shared" si="19"/>
        <v>0</v>
      </c>
      <c r="MQ27">
        <f t="shared" si="19"/>
        <v>0</v>
      </c>
      <c r="MR27">
        <f t="shared" si="19"/>
        <v>0</v>
      </c>
      <c r="MS27">
        <f t="shared" si="19"/>
        <v>0</v>
      </c>
      <c r="MT27">
        <f t="shared" si="19"/>
        <v>0</v>
      </c>
      <c r="MU27">
        <f t="shared" si="19"/>
        <v>0</v>
      </c>
      <c r="MV27">
        <f t="shared" si="19"/>
        <v>0</v>
      </c>
      <c r="MW27">
        <f t="shared" si="19"/>
        <v>0</v>
      </c>
      <c r="MX27">
        <f t="shared" si="19"/>
        <v>0</v>
      </c>
      <c r="MY27">
        <f t="shared" si="19"/>
        <v>0</v>
      </c>
      <c r="MZ27">
        <f t="shared" si="19"/>
        <v>0</v>
      </c>
      <c r="NA27">
        <f t="shared" si="19"/>
        <v>0</v>
      </c>
      <c r="NB27">
        <f t="shared" si="19"/>
        <v>0</v>
      </c>
      <c r="NC27">
        <f t="shared" si="19"/>
        <v>0</v>
      </c>
      <c r="ND27">
        <f t="shared" si="19"/>
        <v>0</v>
      </c>
      <c r="NE27">
        <f t="shared" si="19"/>
        <v>0</v>
      </c>
      <c r="NF27">
        <f t="shared" si="19"/>
        <v>0</v>
      </c>
      <c r="NG27">
        <f t="shared" si="19"/>
        <v>0</v>
      </c>
      <c r="NH27">
        <f t="shared" si="19"/>
        <v>0</v>
      </c>
      <c r="NI27">
        <f t="shared" si="19"/>
        <v>0</v>
      </c>
      <c r="NJ27">
        <f t="shared" si="19"/>
        <v>0</v>
      </c>
      <c r="NK27">
        <f t="shared" si="19"/>
        <v>0</v>
      </c>
      <c r="NL27">
        <f t="shared" si="19"/>
        <v>0</v>
      </c>
      <c r="NM27">
        <f t="shared" si="19"/>
        <v>0</v>
      </c>
      <c r="NN27">
        <f t="shared" si="19"/>
        <v>0</v>
      </c>
      <c r="NO27">
        <f t="shared" si="19"/>
        <v>0</v>
      </c>
      <c r="NP27">
        <f t="shared" si="19"/>
        <v>0</v>
      </c>
      <c r="NQ27">
        <f t="shared" si="19"/>
        <v>0</v>
      </c>
      <c r="NR27">
        <f t="shared" si="19"/>
        <v>0</v>
      </c>
      <c r="NS27">
        <f t="shared" si="19"/>
        <v>0</v>
      </c>
      <c r="NT27">
        <f t="shared" si="19"/>
        <v>0</v>
      </c>
      <c r="NU27">
        <f t="shared" si="19"/>
        <v>0</v>
      </c>
      <c r="NV27">
        <f t="shared" si="19"/>
        <v>0</v>
      </c>
      <c r="NW27">
        <f t="shared" ref="NW27:QH27" si="20">NW8</f>
        <v>0</v>
      </c>
      <c r="NX27">
        <f t="shared" si="20"/>
        <v>0</v>
      </c>
      <c r="NY27">
        <f t="shared" si="20"/>
        <v>0</v>
      </c>
      <c r="NZ27">
        <f t="shared" si="20"/>
        <v>0</v>
      </c>
      <c r="OA27">
        <f t="shared" si="20"/>
        <v>0</v>
      </c>
      <c r="OB27">
        <f t="shared" si="20"/>
        <v>0</v>
      </c>
      <c r="OC27">
        <f t="shared" si="20"/>
        <v>0</v>
      </c>
      <c r="OD27">
        <f t="shared" si="20"/>
        <v>0</v>
      </c>
      <c r="OE27">
        <f t="shared" si="20"/>
        <v>0</v>
      </c>
      <c r="OF27">
        <f t="shared" si="20"/>
        <v>0</v>
      </c>
      <c r="OG27">
        <f t="shared" si="20"/>
        <v>0</v>
      </c>
      <c r="OH27">
        <f t="shared" si="20"/>
        <v>0</v>
      </c>
      <c r="OI27">
        <f t="shared" si="20"/>
        <v>0</v>
      </c>
      <c r="OJ27">
        <f t="shared" si="20"/>
        <v>0</v>
      </c>
      <c r="OK27">
        <f t="shared" si="20"/>
        <v>0</v>
      </c>
      <c r="OL27">
        <f t="shared" si="20"/>
        <v>0</v>
      </c>
      <c r="OM27">
        <f t="shared" si="20"/>
        <v>0</v>
      </c>
      <c r="ON27">
        <f t="shared" si="20"/>
        <v>0</v>
      </c>
      <c r="OO27">
        <f t="shared" si="20"/>
        <v>0</v>
      </c>
      <c r="OP27">
        <f t="shared" si="20"/>
        <v>0</v>
      </c>
      <c r="OQ27">
        <f t="shared" si="20"/>
        <v>0</v>
      </c>
      <c r="OR27">
        <f t="shared" si="20"/>
        <v>0</v>
      </c>
      <c r="OS27">
        <f t="shared" si="20"/>
        <v>0</v>
      </c>
      <c r="OT27">
        <f t="shared" si="20"/>
        <v>0</v>
      </c>
      <c r="OU27">
        <f t="shared" si="20"/>
        <v>0</v>
      </c>
      <c r="OV27">
        <f t="shared" si="20"/>
        <v>0</v>
      </c>
      <c r="OW27">
        <f t="shared" si="20"/>
        <v>0</v>
      </c>
      <c r="OX27">
        <f t="shared" si="20"/>
        <v>0</v>
      </c>
      <c r="OY27">
        <f t="shared" si="20"/>
        <v>0</v>
      </c>
      <c r="OZ27">
        <f t="shared" si="20"/>
        <v>0</v>
      </c>
      <c r="PA27">
        <f t="shared" si="20"/>
        <v>0</v>
      </c>
      <c r="PB27">
        <f t="shared" si="20"/>
        <v>0</v>
      </c>
      <c r="PC27">
        <f t="shared" si="20"/>
        <v>0</v>
      </c>
      <c r="PD27">
        <f t="shared" si="20"/>
        <v>0</v>
      </c>
      <c r="PE27">
        <f t="shared" si="20"/>
        <v>0</v>
      </c>
      <c r="PF27">
        <f t="shared" si="20"/>
        <v>0</v>
      </c>
      <c r="PG27">
        <f t="shared" si="20"/>
        <v>0</v>
      </c>
      <c r="PH27">
        <f t="shared" si="20"/>
        <v>0</v>
      </c>
      <c r="PI27">
        <f t="shared" si="20"/>
        <v>0</v>
      </c>
      <c r="PJ27">
        <f t="shared" si="20"/>
        <v>0</v>
      </c>
      <c r="PK27">
        <f t="shared" si="20"/>
        <v>0</v>
      </c>
      <c r="PL27">
        <f t="shared" si="20"/>
        <v>0</v>
      </c>
      <c r="PM27">
        <f t="shared" si="20"/>
        <v>0</v>
      </c>
      <c r="PN27">
        <f t="shared" si="20"/>
        <v>0</v>
      </c>
      <c r="PO27">
        <f t="shared" si="20"/>
        <v>0</v>
      </c>
      <c r="PP27">
        <f t="shared" si="20"/>
        <v>0</v>
      </c>
      <c r="PQ27">
        <f t="shared" si="20"/>
        <v>0</v>
      </c>
      <c r="PR27">
        <f t="shared" si="20"/>
        <v>0</v>
      </c>
      <c r="PS27">
        <f t="shared" si="20"/>
        <v>0</v>
      </c>
      <c r="PT27">
        <f t="shared" si="20"/>
        <v>0</v>
      </c>
      <c r="PU27">
        <f t="shared" si="20"/>
        <v>0</v>
      </c>
      <c r="PV27">
        <f t="shared" si="20"/>
        <v>0</v>
      </c>
      <c r="PW27">
        <f t="shared" si="20"/>
        <v>0</v>
      </c>
      <c r="PX27">
        <f t="shared" si="20"/>
        <v>0</v>
      </c>
      <c r="PY27">
        <f t="shared" si="20"/>
        <v>0</v>
      </c>
      <c r="PZ27">
        <f t="shared" si="20"/>
        <v>0</v>
      </c>
      <c r="QA27">
        <f t="shared" si="20"/>
        <v>0</v>
      </c>
      <c r="QB27">
        <f t="shared" si="20"/>
        <v>0</v>
      </c>
      <c r="QC27">
        <f t="shared" si="20"/>
        <v>0</v>
      </c>
      <c r="QD27">
        <f t="shared" si="20"/>
        <v>0</v>
      </c>
      <c r="QE27">
        <f t="shared" si="20"/>
        <v>0</v>
      </c>
      <c r="QF27">
        <f t="shared" si="20"/>
        <v>0</v>
      </c>
      <c r="QG27">
        <f t="shared" si="20"/>
        <v>0</v>
      </c>
      <c r="QH27">
        <f t="shared" si="20"/>
        <v>0</v>
      </c>
      <c r="QI27">
        <f t="shared" ref="QI27:SG27" si="21">QI8</f>
        <v>0</v>
      </c>
      <c r="QJ27">
        <f t="shared" si="21"/>
        <v>0</v>
      </c>
      <c r="QK27">
        <f t="shared" si="21"/>
        <v>0</v>
      </c>
      <c r="QL27">
        <f t="shared" si="21"/>
        <v>0</v>
      </c>
      <c r="QM27">
        <f t="shared" si="21"/>
        <v>0</v>
      </c>
      <c r="QN27">
        <f t="shared" si="21"/>
        <v>0</v>
      </c>
      <c r="QO27">
        <f t="shared" si="21"/>
        <v>0</v>
      </c>
      <c r="QP27">
        <f t="shared" si="21"/>
        <v>0</v>
      </c>
      <c r="QQ27">
        <f t="shared" si="21"/>
        <v>0</v>
      </c>
      <c r="QR27">
        <f t="shared" si="21"/>
        <v>0</v>
      </c>
      <c r="QS27">
        <f t="shared" si="21"/>
        <v>0</v>
      </c>
      <c r="QT27">
        <f t="shared" si="21"/>
        <v>0</v>
      </c>
      <c r="QU27">
        <f t="shared" si="21"/>
        <v>0</v>
      </c>
      <c r="QV27">
        <f t="shared" si="21"/>
        <v>0</v>
      </c>
      <c r="QW27">
        <f t="shared" si="21"/>
        <v>0</v>
      </c>
      <c r="QX27">
        <f t="shared" si="21"/>
        <v>0</v>
      </c>
      <c r="QY27">
        <f t="shared" si="21"/>
        <v>0</v>
      </c>
      <c r="QZ27">
        <f t="shared" si="21"/>
        <v>0</v>
      </c>
      <c r="RA27">
        <f t="shared" si="21"/>
        <v>0</v>
      </c>
      <c r="RB27">
        <f t="shared" si="21"/>
        <v>0</v>
      </c>
      <c r="RC27">
        <f t="shared" si="21"/>
        <v>0</v>
      </c>
      <c r="RD27">
        <f t="shared" si="21"/>
        <v>0</v>
      </c>
      <c r="RE27">
        <f t="shared" si="21"/>
        <v>0</v>
      </c>
      <c r="RF27">
        <f t="shared" si="21"/>
        <v>0</v>
      </c>
      <c r="RG27">
        <f t="shared" si="21"/>
        <v>0</v>
      </c>
      <c r="RH27">
        <f t="shared" si="21"/>
        <v>0</v>
      </c>
      <c r="RI27">
        <f t="shared" si="21"/>
        <v>0</v>
      </c>
      <c r="RJ27">
        <f t="shared" si="21"/>
        <v>0</v>
      </c>
      <c r="RK27">
        <f t="shared" si="21"/>
        <v>0</v>
      </c>
      <c r="RL27">
        <f t="shared" si="21"/>
        <v>0</v>
      </c>
      <c r="RM27">
        <f t="shared" si="21"/>
        <v>0</v>
      </c>
      <c r="RN27">
        <f t="shared" si="21"/>
        <v>0</v>
      </c>
      <c r="RO27">
        <f t="shared" si="21"/>
        <v>0</v>
      </c>
      <c r="RP27">
        <f t="shared" si="21"/>
        <v>0</v>
      </c>
      <c r="RQ27">
        <f t="shared" si="21"/>
        <v>0</v>
      </c>
      <c r="RR27">
        <f t="shared" si="21"/>
        <v>0</v>
      </c>
      <c r="RS27">
        <f t="shared" si="21"/>
        <v>0</v>
      </c>
      <c r="RT27">
        <f t="shared" si="21"/>
        <v>0</v>
      </c>
      <c r="RU27">
        <f t="shared" si="21"/>
        <v>0</v>
      </c>
      <c r="RV27">
        <f t="shared" si="21"/>
        <v>0</v>
      </c>
      <c r="RW27">
        <f t="shared" si="21"/>
        <v>0</v>
      </c>
      <c r="RX27">
        <f t="shared" si="21"/>
        <v>0</v>
      </c>
      <c r="RY27">
        <f t="shared" si="21"/>
        <v>0</v>
      </c>
      <c r="RZ27">
        <f t="shared" si="21"/>
        <v>0</v>
      </c>
      <c r="SA27">
        <f t="shared" si="21"/>
        <v>0</v>
      </c>
      <c r="SB27">
        <f t="shared" si="21"/>
        <v>0</v>
      </c>
      <c r="SC27">
        <f t="shared" si="21"/>
        <v>0</v>
      </c>
      <c r="SD27">
        <f t="shared" si="21"/>
        <v>0</v>
      </c>
      <c r="SE27">
        <f t="shared" si="21"/>
        <v>0</v>
      </c>
      <c r="SF27">
        <f t="shared" si="21"/>
        <v>0</v>
      </c>
      <c r="SG27">
        <f t="shared" si="21"/>
        <v>0</v>
      </c>
      <c r="SH27">
        <f t="shared" ref="SH27:US27" si="22">SH8</f>
        <v>0</v>
      </c>
      <c r="SI27">
        <f t="shared" si="22"/>
        <v>0</v>
      </c>
      <c r="SJ27">
        <f t="shared" si="22"/>
        <v>0</v>
      </c>
      <c r="SK27">
        <f t="shared" si="22"/>
        <v>0</v>
      </c>
      <c r="SL27">
        <f t="shared" si="22"/>
        <v>0</v>
      </c>
      <c r="SM27">
        <f t="shared" si="22"/>
        <v>0</v>
      </c>
      <c r="SN27">
        <f t="shared" si="22"/>
        <v>0</v>
      </c>
      <c r="SO27">
        <f t="shared" si="22"/>
        <v>0</v>
      </c>
      <c r="SP27">
        <f t="shared" si="22"/>
        <v>0</v>
      </c>
      <c r="SQ27">
        <f t="shared" si="22"/>
        <v>0</v>
      </c>
      <c r="SR27">
        <f t="shared" si="22"/>
        <v>0</v>
      </c>
      <c r="SS27">
        <f t="shared" si="22"/>
        <v>0</v>
      </c>
      <c r="ST27">
        <f t="shared" si="22"/>
        <v>0</v>
      </c>
      <c r="SU27">
        <f t="shared" si="22"/>
        <v>0</v>
      </c>
      <c r="SV27">
        <f t="shared" si="22"/>
        <v>0</v>
      </c>
      <c r="SW27">
        <f t="shared" si="22"/>
        <v>0</v>
      </c>
      <c r="SX27">
        <f t="shared" si="22"/>
        <v>0</v>
      </c>
      <c r="SY27">
        <f t="shared" si="22"/>
        <v>0</v>
      </c>
      <c r="SZ27">
        <f t="shared" si="22"/>
        <v>0</v>
      </c>
      <c r="TA27">
        <f t="shared" si="22"/>
        <v>0</v>
      </c>
      <c r="TB27">
        <f t="shared" si="22"/>
        <v>0</v>
      </c>
      <c r="TC27">
        <f t="shared" si="22"/>
        <v>0</v>
      </c>
      <c r="TD27">
        <f t="shared" si="22"/>
        <v>0</v>
      </c>
      <c r="TE27">
        <f t="shared" si="22"/>
        <v>0</v>
      </c>
      <c r="TF27">
        <f t="shared" si="22"/>
        <v>0</v>
      </c>
      <c r="TG27">
        <f t="shared" si="22"/>
        <v>0</v>
      </c>
      <c r="TH27">
        <f t="shared" si="22"/>
        <v>0</v>
      </c>
      <c r="TI27">
        <f t="shared" si="22"/>
        <v>0</v>
      </c>
      <c r="TJ27">
        <f t="shared" si="22"/>
        <v>0</v>
      </c>
      <c r="TK27">
        <f t="shared" si="22"/>
        <v>0</v>
      </c>
      <c r="TL27">
        <f t="shared" si="22"/>
        <v>0</v>
      </c>
      <c r="TM27">
        <f t="shared" si="22"/>
        <v>0</v>
      </c>
      <c r="TN27">
        <f t="shared" si="22"/>
        <v>0</v>
      </c>
      <c r="TO27">
        <f t="shared" si="22"/>
        <v>0</v>
      </c>
      <c r="TP27">
        <f t="shared" si="22"/>
        <v>0</v>
      </c>
      <c r="TQ27">
        <f t="shared" si="22"/>
        <v>0</v>
      </c>
      <c r="TR27">
        <f t="shared" si="22"/>
        <v>0</v>
      </c>
      <c r="TS27">
        <f t="shared" si="22"/>
        <v>0</v>
      </c>
      <c r="TT27">
        <f t="shared" si="22"/>
        <v>0</v>
      </c>
      <c r="TU27">
        <f t="shared" si="22"/>
        <v>0</v>
      </c>
      <c r="TV27">
        <f t="shared" si="22"/>
        <v>0</v>
      </c>
      <c r="TW27">
        <f t="shared" si="22"/>
        <v>0</v>
      </c>
      <c r="TX27">
        <f t="shared" si="22"/>
        <v>0</v>
      </c>
      <c r="TY27">
        <f t="shared" si="22"/>
        <v>0</v>
      </c>
      <c r="TZ27">
        <f t="shared" si="22"/>
        <v>0</v>
      </c>
      <c r="UA27">
        <f t="shared" si="22"/>
        <v>0</v>
      </c>
      <c r="UB27">
        <f t="shared" si="22"/>
        <v>0</v>
      </c>
      <c r="UC27">
        <f t="shared" si="22"/>
        <v>0</v>
      </c>
      <c r="UD27">
        <f t="shared" si="22"/>
        <v>0</v>
      </c>
      <c r="UE27">
        <f t="shared" si="22"/>
        <v>0</v>
      </c>
      <c r="UF27">
        <f t="shared" si="22"/>
        <v>0</v>
      </c>
      <c r="UG27">
        <f t="shared" si="22"/>
        <v>0</v>
      </c>
      <c r="UH27">
        <f t="shared" si="22"/>
        <v>0</v>
      </c>
      <c r="UI27">
        <f t="shared" si="22"/>
        <v>0</v>
      </c>
      <c r="UJ27">
        <f t="shared" si="22"/>
        <v>0</v>
      </c>
      <c r="UK27">
        <f t="shared" si="22"/>
        <v>0</v>
      </c>
      <c r="UL27">
        <f t="shared" si="22"/>
        <v>0</v>
      </c>
      <c r="UM27">
        <f t="shared" si="22"/>
        <v>0</v>
      </c>
      <c r="UN27">
        <f t="shared" si="22"/>
        <v>0</v>
      </c>
      <c r="UO27">
        <f t="shared" si="22"/>
        <v>0</v>
      </c>
      <c r="UP27">
        <f t="shared" si="22"/>
        <v>0</v>
      </c>
      <c r="UQ27">
        <f t="shared" si="22"/>
        <v>0</v>
      </c>
      <c r="UR27">
        <f t="shared" si="22"/>
        <v>0</v>
      </c>
      <c r="US27">
        <f t="shared" si="22"/>
        <v>0</v>
      </c>
      <c r="UT27">
        <f t="shared" ref="UT27:XE27" si="23">UT8</f>
        <v>0</v>
      </c>
      <c r="UU27">
        <f t="shared" si="23"/>
        <v>0</v>
      </c>
      <c r="UV27">
        <f t="shared" si="23"/>
        <v>0</v>
      </c>
      <c r="UW27">
        <f t="shared" si="23"/>
        <v>0</v>
      </c>
      <c r="UX27">
        <f t="shared" si="23"/>
        <v>0</v>
      </c>
      <c r="UY27">
        <f t="shared" si="23"/>
        <v>0</v>
      </c>
      <c r="UZ27">
        <f t="shared" si="23"/>
        <v>0</v>
      </c>
      <c r="VA27">
        <f t="shared" si="23"/>
        <v>0</v>
      </c>
      <c r="VB27">
        <f t="shared" si="23"/>
        <v>0</v>
      </c>
      <c r="VC27">
        <f t="shared" si="23"/>
        <v>0</v>
      </c>
      <c r="VD27">
        <f t="shared" si="23"/>
        <v>0</v>
      </c>
      <c r="VE27">
        <f t="shared" si="23"/>
        <v>0</v>
      </c>
      <c r="VF27">
        <f t="shared" si="23"/>
        <v>0</v>
      </c>
      <c r="VG27">
        <f t="shared" si="23"/>
        <v>0</v>
      </c>
      <c r="VH27">
        <f t="shared" si="23"/>
        <v>0</v>
      </c>
      <c r="VI27">
        <f t="shared" si="23"/>
        <v>0</v>
      </c>
      <c r="VJ27">
        <f t="shared" si="23"/>
        <v>0</v>
      </c>
      <c r="VK27">
        <f t="shared" si="23"/>
        <v>0</v>
      </c>
      <c r="VL27">
        <f t="shared" si="23"/>
        <v>0</v>
      </c>
      <c r="VM27">
        <f t="shared" si="23"/>
        <v>0</v>
      </c>
      <c r="VN27">
        <f t="shared" si="23"/>
        <v>0</v>
      </c>
      <c r="VO27">
        <f t="shared" si="23"/>
        <v>0</v>
      </c>
      <c r="VP27">
        <f t="shared" si="23"/>
        <v>0</v>
      </c>
      <c r="VQ27">
        <f t="shared" si="23"/>
        <v>0</v>
      </c>
      <c r="VR27">
        <f t="shared" si="23"/>
        <v>0</v>
      </c>
      <c r="VS27">
        <f t="shared" si="23"/>
        <v>0</v>
      </c>
      <c r="VT27">
        <f t="shared" si="23"/>
        <v>0</v>
      </c>
      <c r="VU27">
        <f t="shared" si="23"/>
        <v>0</v>
      </c>
      <c r="VV27">
        <f t="shared" si="23"/>
        <v>0</v>
      </c>
      <c r="VW27">
        <f t="shared" si="23"/>
        <v>0</v>
      </c>
      <c r="VX27">
        <f t="shared" si="23"/>
        <v>0</v>
      </c>
      <c r="VY27">
        <f t="shared" si="23"/>
        <v>0</v>
      </c>
      <c r="VZ27">
        <f t="shared" si="23"/>
        <v>0</v>
      </c>
      <c r="WA27">
        <f t="shared" si="23"/>
        <v>0</v>
      </c>
      <c r="WB27">
        <f t="shared" si="23"/>
        <v>0</v>
      </c>
      <c r="WC27">
        <f t="shared" si="23"/>
        <v>0</v>
      </c>
      <c r="WD27">
        <f t="shared" si="23"/>
        <v>0</v>
      </c>
      <c r="WE27">
        <f t="shared" si="23"/>
        <v>0</v>
      </c>
      <c r="WF27">
        <f t="shared" si="23"/>
        <v>0</v>
      </c>
      <c r="WG27">
        <f t="shared" si="23"/>
        <v>0</v>
      </c>
      <c r="WH27">
        <f t="shared" si="23"/>
        <v>0</v>
      </c>
      <c r="WI27">
        <f t="shared" si="23"/>
        <v>0</v>
      </c>
      <c r="WJ27">
        <f t="shared" si="23"/>
        <v>0</v>
      </c>
      <c r="WK27">
        <f t="shared" si="23"/>
        <v>0</v>
      </c>
      <c r="WL27">
        <f t="shared" si="23"/>
        <v>0</v>
      </c>
      <c r="WM27">
        <f t="shared" si="23"/>
        <v>0</v>
      </c>
      <c r="WN27">
        <f t="shared" si="23"/>
        <v>0</v>
      </c>
      <c r="WO27">
        <f t="shared" si="23"/>
        <v>0</v>
      </c>
      <c r="WP27">
        <f t="shared" si="23"/>
        <v>0</v>
      </c>
      <c r="WQ27">
        <f t="shared" si="23"/>
        <v>0</v>
      </c>
      <c r="WR27">
        <f t="shared" si="23"/>
        <v>0</v>
      </c>
      <c r="WS27">
        <f t="shared" si="23"/>
        <v>0</v>
      </c>
      <c r="WT27">
        <f t="shared" si="23"/>
        <v>0</v>
      </c>
      <c r="WU27">
        <f t="shared" si="23"/>
        <v>0</v>
      </c>
      <c r="WV27">
        <f t="shared" si="23"/>
        <v>0</v>
      </c>
      <c r="WW27">
        <f t="shared" si="23"/>
        <v>0</v>
      </c>
      <c r="WX27">
        <f t="shared" si="23"/>
        <v>0</v>
      </c>
      <c r="WY27">
        <f t="shared" si="23"/>
        <v>0</v>
      </c>
      <c r="WZ27">
        <f t="shared" si="23"/>
        <v>0</v>
      </c>
      <c r="XA27">
        <f t="shared" si="23"/>
        <v>0</v>
      </c>
      <c r="XB27">
        <f t="shared" si="23"/>
        <v>0</v>
      </c>
      <c r="XC27">
        <f t="shared" si="23"/>
        <v>0</v>
      </c>
      <c r="XD27">
        <f t="shared" si="23"/>
        <v>0</v>
      </c>
      <c r="XE27">
        <f t="shared" si="23"/>
        <v>0</v>
      </c>
      <c r="XF27">
        <f t="shared" ref="XF27:ZQ27" si="24">XF8</f>
        <v>0</v>
      </c>
      <c r="XG27">
        <f t="shared" si="24"/>
        <v>0</v>
      </c>
      <c r="XH27">
        <f t="shared" si="24"/>
        <v>0</v>
      </c>
      <c r="XI27">
        <f t="shared" si="24"/>
        <v>0</v>
      </c>
      <c r="XJ27">
        <f t="shared" si="24"/>
        <v>0</v>
      </c>
      <c r="XK27">
        <f t="shared" si="24"/>
        <v>0</v>
      </c>
      <c r="XL27">
        <f t="shared" si="24"/>
        <v>0</v>
      </c>
      <c r="XM27">
        <f t="shared" si="24"/>
        <v>0</v>
      </c>
      <c r="XN27">
        <f t="shared" si="24"/>
        <v>0</v>
      </c>
      <c r="XO27">
        <f t="shared" si="24"/>
        <v>0</v>
      </c>
      <c r="XP27">
        <f t="shared" si="24"/>
        <v>0</v>
      </c>
      <c r="XQ27">
        <f t="shared" si="24"/>
        <v>0</v>
      </c>
      <c r="XR27">
        <f t="shared" si="24"/>
        <v>0</v>
      </c>
      <c r="XS27">
        <f t="shared" si="24"/>
        <v>0</v>
      </c>
      <c r="XT27">
        <f t="shared" si="24"/>
        <v>0</v>
      </c>
      <c r="XU27">
        <f t="shared" si="24"/>
        <v>0</v>
      </c>
      <c r="XV27">
        <f t="shared" si="24"/>
        <v>0</v>
      </c>
      <c r="XW27">
        <f t="shared" si="24"/>
        <v>0</v>
      </c>
      <c r="XX27">
        <f t="shared" si="24"/>
        <v>0</v>
      </c>
      <c r="XY27">
        <f t="shared" si="24"/>
        <v>0</v>
      </c>
      <c r="XZ27">
        <f t="shared" si="24"/>
        <v>0</v>
      </c>
      <c r="YA27">
        <f t="shared" si="24"/>
        <v>0</v>
      </c>
      <c r="YB27">
        <f t="shared" si="24"/>
        <v>0</v>
      </c>
      <c r="YC27">
        <f t="shared" si="24"/>
        <v>0</v>
      </c>
      <c r="YD27">
        <f t="shared" si="24"/>
        <v>0</v>
      </c>
      <c r="YE27">
        <f t="shared" si="24"/>
        <v>0</v>
      </c>
      <c r="YF27">
        <f t="shared" si="24"/>
        <v>0</v>
      </c>
      <c r="YG27">
        <f t="shared" si="24"/>
        <v>0</v>
      </c>
      <c r="YH27">
        <f t="shared" si="24"/>
        <v>0</v>
      </c>
      <c r="YI27">
        <f t="shared" si="24"/>
        <v>0</v>
      </c>
      <c r="YJ27">
        <f t="shared" si="24"/>
        <v>0</v>
      </c>
      <c r="YK27">
        <f t="shared" si="24"/>
        <v>0</v>
      </c>
      <c r="YL27">
        <f t="shared" si="24"/>
        <v>0</v>
      </c>
      <c r="YM27">
        <f t="shared" si="24"/>
        <v>0</v>
      </c>
      <c r="YN27">
        <f t="shared" si="24"/>
        <v>0</v>
      </c>
      <c r="YO27">
        <f t="shared" si="24"/>
        <v>0</v>
      </c>
      <c r="YP27">
        <f t="shared" si="24"/>
        <v>0</v>
      </c>
      <c r="YQ27">
        <f t="shared" si="24"/>
        <v>0</v>
      </c>
      <c r="YR27">
        <f t="shared" si="24"/>
        <v>0</v>
      </c>
      <c r="YS27">
        <f t="shared" si="24"/>
        <v>0</v>
      </c>
      <c r="YT27">
        <f t="shared" si="24"/>
        <v>0</v>
      </c>
      <c r="YU27">
        <f t="shared" si="24"/>
        <v>0</v>
      </c>
      <c r="YV27">
        <f t="shared" si="24"/>
        <v>0</v>
      </c>
      <c r="YW27">
        <f t="shared" si="24"/>
        <v>0</v>
      </c>
      <c r="YX27">
        <f t="shared" si="24"/>
        <v>0</v>
      </c>
      <c r="YY27">
        <f t="shared" si="24"/>
        <v>0</v>
      </c>
      <c r="YZ27">
        <f t="shared" si="24"/>
        <v>0</v>
      </c>
      <c r="ZA27">
        <f t="shared" si="24"/>
        <v>0</v>
      </c>
      <c r="ZB27">
        <f t="shared" si="24"/>
        <v>0</v>
      </c>
      <c r="ZC27">
        <f t="shared" si="24"/>
        <v>0</v>
      </c>
      <c r="ZD27">
        <f t="shared" si="24"/>
        <v>0</v>
      </c>
      <c r="ZE27">
        <f t="shared" si="24"/>
        <v>0</v>
      </c>
      <c r="ZF27">
        <f t="shared" si="24"/>
        <v>0</v>
      </c>
      <c r="ZG27">
        <f t="shared" si="24"/>
        <v>0</v>
      </c>
      <c r="ZH27">
        <f t="shared" si="24"/>
        <v>0</v>
      </c>
      <c r="ZI27">
        <f t="shared" si="24"/>
        <v>0</v>
      </c>
      <c r="ZJ27">
        <f t="shared" si="24"/>
        <v>0</v>
      </c>
      <c r="ZK27">
        <f t="shared" si="24"/>
        <v>0</v>
      </c>
      <c r="ZL27">
        <f t="shared" si="24"/>
        <v>0</v>
      </c>
      <c r="ZM27">
        <f t="shared" si="24"/>
        <v>0</v>
      </c>
      <c r="ZN27">
        <f t="shared" si="24"/>
        <v>0</v>
      </c>
      <c r="ZO27">
        <f t="shared" si="24"/>
        <v>0</v>
      </c>
      <c r="ZP27">
        <f t="shared" si="24"/>
        <v>0</v>
      </c>
      <c r="ZQ27">
        <f t="shared" si="24"/>
        <v>0</v>
      </c>
      <c r="ZR27">
        <f t="shared" ref="ZR27:ACC27" si="25">ZR8</f>
        <v>0</v>
      </c>
      <c r="ZS27">
        <f t="shared" si="25"/>
        <v>0</v>
      </c>
      <c r="ZT27">
        <f t="shared" si="25"/>
        <v>0</v>
      </c>
      <c r="ZU27">
        <f t="shared" si="25"/>
        <v>0</v>
      </c>
      <c r="ZV27">
        <f t="shared" si="25"/>
        <v>0</v>
      </c>
      <c r="ZW27">
        <f t="shared" si="25"/>
        <v>0</v>
      </c>
      <c r="ZX27">
        <f t="shared" si="25"/>
        <v>0</v>
      </c>
      <c r="ZY27">
        <f t="shared" si="25"/>
        <v>0</v>
      </c>
      <c r="ZZ27">
        <f t="shared" si="25"/>
        <v>0</v>
      </c>
      <c r="AAA27">
        <f t="shared" si="25"/>
        <v>0</v>
      </c>
      <c r="AAB27">
        <f t="shared" si="25"/>
        <v>0</v>
      </c>
      <c r="AAC27">
        <f t="shared" si="25"/>
        <v>0</v>
      </c>
      <c r="AAD27">
        <f t="shared" si="25"/>
        <v>0</v>
      </c>
      <c r="AAE27">
        <f t="shared" si="25"/>
        <v>0</v>
      </c>
      <c r="AAF27">
        <f t="shared" si="25"/>
        <v>0</v>
      </c>
      <c r="AAG27">
        <f t="shared" si="25"/>
        <v>0</v>
      </c>
      <c r="AAH27">
        <f t="shared" si="25"/>
        <v>0</v>
      </c>
      <c r="AAI27">
        <f t="shared" si="25"/>
        <v>0</v>
      </c>
      <c r="AAJ27">
        <f t="shared" si="25"/>
        <v>0</v>
      </c>
      <c r="AAK27">
        <f t="shared" si="25"/>
        <v>0</v>
      </c>
      <c r="AAL27">
        <f t="shared" si="25"/>
        <v>0</v>
      </c>
      <c r="AAM27">
        <f t="shared" si="25"/>
        <v>0</v>
      </c>
      <c r="AAN27">
        <f t="shared" si="25"/>
        <v>0</v>
      </c>
      <c r="AAO27">
        <f t="shared" si="25"/>
        <v>0</v>
      </c>
      <c r="AAP27">
        <f t="shared" si="25"/>
        <v>0</v>
      </c>
      <c r="AAQ27">
        <f t="shared" si="25"/>
        <v>0</v>
      </c>
      <c r="AAR27">
        <f t="shared" si="25"/>
        <v>0</v>
      </c>
      <c r="AAS27">
        <f t="shared" si="25"/>
        <v>0</v>
      </c>
      <c r="AAT27">
        <f t="shared" si="25"/>
        <v>0</v>
      </c>
      <c r="AAU27">
        <f t="shared" si="25"/>
        <v>0</v>
      </c>
      <c r="AAV27">
        <f t="shared" si="25"/>
        <v>0</v>
      </c>
      <c r="AAW27">
        <f t="shared" si="25"/>
        <v>0</v>
      </c>
      <c r="AAX27">
        <f t="shared" si="25"/>
        <v>0</v>
      </c>
      <c r="AAY27">
        <f t="shared" si="25"/>
        <v>0</v>
      </c>
      <c r="AAZ27">
        <f t="shared" si="25"/>
        <v>0</v>
      </c>
      <c r="ABA27">
        <f t="shared" si="25"/>
        <v>0</v>
      </c>
      <c r="ABB27">
        <f t="shared" si="25"/>
        <v>0</v>
      </c>
      <c r="ABC27">
        <f t="shared" si="25"/>
        <v>0</v>
      </c>
      <c r="ABD27">
        <f t="shared" si="25"/>
        <v>0</v>
      </c>
      <c r="ABE27">
        <f t="shared" si="25"/>
        <v>0</v>
      </c>
      <c r="ABF27">
        <f t="shared" si="25"/>
        <v>0</v>
      </c>
      <c r="ABG27">
        <f t="shared" si="25"/>
        <v>0</v>
      </c>
      <c r="ABH27">
        <f t="shared" si="25"/>
        <v>0</v>
      </c>
      <c r="ABI27">
        <f t="shared" si="25"/>
        <v>0</v>
      </c>
      <c r="ABJ27">
        <f t="shared" si="25"/>
        <v>0</v>
      </c>
      <c r="ABK27">
        <f t="shared" si="25"/>
        <v>0</v>
      </c>
      <c r="ABL27">
        <f t="shared" si="25"/>
        <v>0</v>
      </c>
      <c r="ABM27">
        <f t="shared" si="25"/>
        <v>0</v>
      </c>
      <c r="ABN27">
        <f t="shared" si="25"/>
        <v>0</v>
      </c>
      <c r="ABO27">
        <f t="shared" si="25"/>
        <v>0</v>
      </c>
      <c r="ABP27">
        <f t="shared" si="25"/>
        <v>0</v>
      </c>
      <c r="ABQ27">
        <f t="shared" si="25"/>
        <v>0</v>
      </c>
      <c r="ABR27">
        <f t="shared" si="25"/>
        <v>0</v>
      </c>
      <c r="ABS27">
        <f t="shared" si="25"/>
        <v>0</v>
      </c>
      <c r="ABT27">
        <f t="shared" si="25"/>
        <v>0</v>
      </c>
      <c r="ABU27">
        <f t="shared" si="25"/>
        <v>0</v>
      </c>
      <c r="ABV27">
        <f t="shared" si="25"/>
        <v>0</v>
      </c>
      <c r="ABW27">
        <f t="shared" si="25"/>
        <v>0</v>
      </c>
      <c r="ABX27">
        <f t="shared" si="25"/>
        <v>0</v>
      </c>
      <c r="ABY27">
        <f t="shared" si="25"/>
        <v>0</v>
      </c>
      <c r="ABZ27">
        <f t="shared" si="25"/>
        <v>0</v>
      </c>
      <c r="ACA27">
        <f t="shared" si="25"/>
        <v>0</v>
      </c>
      <c r="ACB27">
        <f t="shared" si="25"/>
        <v>0</v>
      </c>
      <c r="ACC27">
        <f t="shared" si="25"/>
        <v>0</v>
      </c>
      <c r="ACD27">
        <f t="shared" ref="ACD27:AEO27" si="26">ACD8</f>
        <v>0</v>
      </c>
      <c r="ACE27">
        <f t="shared" si="26"/>
        <v>0</v>
      </c>
      <c r="ACF27">
        <f t="shared" si="26"/>
        <v>0</v>
      </c>
      <c r="ACG27">
        <f t="shared" si="26"/>
        <v>0</v>
      </c>
      <c r="ACH27">
        <f t="shared" si="26"/>
        <v>0</v>
      </c>
      <c r="ACI27">
        <f t="shared" si="26"/>
        <v>0</v>
      </c>
      <c r="ACJ27">
        <f t="shared" si="26"/>
        <v>0</v>
      </c>
      <c r="ACK27">
        <f t="shared" si="26"/>
        <v>0</v>
      </c>
      <c r="ACL27">
        <f t="shared" si="26"/>
        <v>0</v>
      </c>
      <c r="ACM27">
        <f t="shared" si="26"/>
        <v>0</v>
      </c>
      <c r="ACN27">
        <f t="shared" si="26"/>
        <v>0</v>
      </c>
      <c r="ACO27">
        <f t="shared" si="26"/>
        <v>0</v>
      </c>
      <c r="ACP27">
        <f t="shared" si="26"/>
        <v>0</v>
      </c>
      <c r="ACQ27">
        <f t="shared" si="26"/>
        <v>0</v>
      </c>
      <c r="ACR27">
        <f t="shared" si="26"/>
        <v>0</v>
      </c>
      <c r="ACS27">
        <f t="shared" si="26"/>
        <v>0</v>
      </c>
      <c r="ACT27">
        <f t="shared" si="26"/>
        <v>0</v>
      </c>
      <c r="ACU27">
        <f t="shared" si="26"/>
        <v>0</v>
      </c>
      <c r="ACV27">
        <f t="shared" si="26"/>
        <v>0</v>
      </c>
      <c r="ACW27">
        <f t="shared" si="26"/>
        <v>0</v>
      </c>
      <c r="ACX27">
        <f t="shared" si="26"/>
        <v>0</v>
      </c>
      <c r="ACY27">
        <f t="shared" si="26"/>
        <v>0</v>
      </c>
      <c r="ACZ27">
        <f t="shared" si="26"/>
        <v>0</v>
      </c>
      <c r="ADA27">
        <f t="shared" si="26"/>
        <v>0</v>
      </c>
      <c r="ADB27">
        <f t="shared" si="26"/>
        <v>0</v>
      </c>
      <c r="ADC27">
        <f t="shared" si="26"/>
        <v>0</v>
      </c>
      <c r="ADD27">
        <f t="shared" si="26"/>
        <v>0</v>
      </c>
      <c r="ADE27">
        <f t="shared" si="26"/>
        <v>0</v>
      </c>
      <c r="ADF27">
        <f t="shared" si="26"/>
        <v>0</v>
      </c>
      <c r="ADG27">
        <f t="shared" si="26"/>
        <v>0</v>
      </c>
      <c r="ADH27">
        <f t="shared" si="26"/>
        <v>0</v>
      </c>
      <c r="ADI27">
        <f t="shared" si="26"/>
        <v>0</v>
      </c>
      <c r="ADJ27">
        <f t="shared" si="26"/>
        <v>0</v>
      </c>
      <c r="ADK27">
        <f t="shared" si="26"/>
        <v>0</v>
      </c>
      <c r="ADL27">
        <f t="shared" si="26"/>
        <v>0</v>
      </c>
      <c r="ADM27">
        <f t="shared" si="26"/>
        <v>0</v>
      </c>
      <c r="ADN27">
        <f t="shared" si="26"/>
        <v>0</v>
      </c>
      <c r="ADO27">
        <f t="shared" si="26"/>
        <v>0</v>
      </c>
      <c r="ADP27">
        <f t="shared" si="26"/>
        <v>0</v>
      </c>
      <c r="ADQ27">
        <f t="shared" si="26"/>
        <v>0</v>
      </c>
      <c r="ADR27">
        <f t="shared" si="26"/>
        <v>0</v>
      </c>
      <c r="ADS27">
        <f t="shared" si="26"/>
        <v>0</v>
      </c>
      <c r="ADT27">
        <f t="shared" si="26"/>
        <v>0</v>
      </c>
      <c r="ADU27">
        <f t="shared" si="26"/>
        <v>0</v>
      </c>
      <c r="ADV27">
        <f t="shared" si="26"/>
        <v>0</v>
      </c>
      <c r="ADW27">
        <f t="shared" si="26"/>
        <v>0</v>
      </c>
      <c r="ADX27">
        <f t="shared" si="26"/>
        <v>0</v>
      </c>
      <c r="ADY27">
        <f t="shared" si="26"/>
        <v>0</v>
      </c>
      <c r="ADZ27">
        <f t="shared" si="26"/>
        <v>0</v>
      </c>
      <c r="AEA27">
        <f t="shared" si="26"/>
        <v>0</v>
      </c>
      <c r="AEB27">
        <f t="shared" si="26"/>
        <v>0</v>
      </c>
      <c r="AEC27">
        <f t="shared" si="26"/>
        <v>0</v>
      </c>
      <c r="AED27">
        <f t="shared" si="26"/>
        <v>0</v>
      </c>
      <c r="AEE27">
        <f t="shared" si="26"/>
        <v>0</v>
      </c>
      <c r="AEF27">
        <f t="shared" si="26"/>
        <v>0</v>
      </c>
      <c r="AEG27">
        <f t="shared" si="26"/>
        <v>0</v>
      </c>
      <c r="AEH27">
        <f t="shared" si="26"/>
        <v>0</v>
      </c>
      <c r="AEI27">
        <f t="shared" si="26"/>
        <v>0</v>
      </c>
      <c r="AEJ27">
        <f t="shared" si="26"/>
        <v>0</v>
      </c>
      <c r="AEK27">
        <f t="shared" si="26"/>
        <v>0</v>
      </c>
      <c r="AEL27">
        <f t="shared" si="26"/>
        <v>0</v>
      </c>
      <c r="AEM27">
        <f t="shared" si="26"/>
        <v>0</v>
      </c>
      <c r="AEN27">
        <f t="shared" si="26"/>
        <v>0</v>
      </c>
      <c r="AEO27">
        <f t="shared" si="26"/>
        <v>0</v>
      </c>
      <c r="AEP27">
        <f t="shared" ref="AEP27:AHA27" si="27">AEP8</f>
        <v>0</v>
      </c>
      <c r="AEQ27">
        <f t="shared" si="27"/>
        <v>0</v>
      </c>
      <c r="AER27">
        <f t="shared" si="27"/>
        <v>0</v>
      </c>
      <c r="AES27">
        <f t="shared" si="27"/>
        <v>0</v>
      </c>
      <c r="AET27">
        <f t="shared" si="27"/>
        <v>0</v>
      </c>
      <c r="AEU27">
        <f t="shared" si="27"/>
        <v>0</v>
      </c>
      <c r="AEV27">
        <f t="shared" si="27"/>
        <v>0</v>
      </c>
      <c r="AEW27">
        <f t="shared" si="27"/>
        <v>0</v>
      </c>
      <c r="AEX27">
        <f t="shared" si="27"/>
        <v>0</v>
      </c>
      <c r="AEY27">
        <f t="shared" si="27"/>
        <v>0</v>
      </c>
      <c r="AEZ27">
        <f t="shared" si="27"/>
        <v>0</v>
      </c>
      <c r="AFA27">
        <f t="shared" si="27"/>
        <v>0</v>
      </c>
      <c r="AFB27">
        <f t="shared" si="27"/>
        <v>0</v>
      </c>
      <c r="AFC27">
        <f t="shared" si="27"/>
        <v>0</v>
      </c>
      <c r="AFD27">
        <f t="shared" si="27"/>
        <v>0</v>
      </c>
      <c r="AFE27">
        <f t="shared" si="27"/>
        <v>0</v>
      </c>
      <c r="AFF27">
        <f t="shared" si="27"/>
        <v>0</v>
      </c>
      <c r="AFG27">
        <f t="shared" si="27"/>
        <v>0</v>
      </c>
      <c r="AFH27">
        <f t="shared" si="27"/>
        <v>0</v>
      </c>
      <c r="AFI27">
        <f t="shared" si="27"/>
        <v>0</v>
      </c>
      <c r="AFJ27">
        <f t="shared" si="27"/>
        <v>0</v>
      </c>
      <c r="AFK27">
        <f t="shared" si="27"/>
        <v>0</v>
      </c>
      <c r="AFL27">
        <f t="shared" si="27"/>
        <v>0</v>
      </c>
      <c r="AFM27">
        <f t="shared" si="27"/>
        <v>0</v>
      </c>
      <c r="AFN27">
        <f t="shared" si="27"/>
        <v>0</v>
      </c>
      <c r="AFO27">
        <f t="shared" si="27"/>
        <v>0</v>
      </c>
      <c r="AFP27">
        <f t="shared" si="27"/>
        <v>0</v>
      </c>
      <c r="AFQ27">
        <f t="shared" si="27"/>
        <v>0</v>
      </c>
      <c r="AFR27">
        <f t="shared" si="27"/>
        <v>0</v>
      </c>
      <c r="AFS27">
        <f t="shared" si="27"/>
        <v>0</v>
      </c>
      <c r="AFT27">
        <f t="shared" si="27"/>
        <v>0</v>
      </c>
      <c r="AFU27">
        <f t="shared" si="27"/>
        <v>0</v>
      </c>
      <c r="AFV27">
        <f t="shared" si="27"/>
        <v>0</v>
      </c>
      <c r="AFW27">
        <f t="shared" si="27"/>
        <v>0</v>
      </c>
      <c r="AFX27">
        <f t="shared" si="27"/>
        <v>0</v>
      </c>
      <c r="AFY27">
        <f t="shared" si="27"/>
        <v>0</v>
      </c>
      <c r="AFZ27">
        <f t="shared" si="27"/>
        <v>0</v>
      </c>
      <c r="AGA27">
        <f t="shared" si="27"/>
        <v>0</v>
      </c>
      <c r="AGB27">
        <f t="shared" si="27"/>
        <v>0</v>
      </c>
      <c r="AGC27">
        <f t="shared" si="27"/>
        <v>0</v>
      </c>
      <c r="AGD27">
        <f t="shared" si="27"/>
        <v>0</v>
      </c>
      <c r="AGE27">
        <f t="shared" si="27"/>
        <v>0</v>
      </c>
      <c r="AGF27">
        <f t="shared" si="27"/>
        <v>0</v>
      </c>
      <c r="AGG27">
        <f t="shared" si="27"/>
        <v>0</v>
      </c>
      <c r="AGH27">
        <f t="shared" si="27"/>
        <v>0</v>
      </c>
      <c r="AGI27">
        <f t="shared" si="27"/>
        <v>0</v>
      </c>
      <c r="AGJ27">
        <f t="shared" si="27"/>
        <v>0</v>
      </c>
      <c r="AGK27">
        <f t="shared" si="27"/>
        <v>0</v>
      </c>
      <c r="AGL27">
        <f t="shared" si="27"/>
        <v>0</v>
      </c>
      <c r="AGM27">
        <f t="shared" si="27"/>
        <v>0</v>
      </c>
      <c r="AGN27">
        <f t="shared" si="27"/>
        <v>0</v>
      </c>
      <c r="AGO27">
        <f t="shared" si="27"/>
        <v>0</v>
      </c>
      <c r="AGP27">
        <f t="shared" si="27"/>
        <v>0</v>
      </c>
      <c r="AGQ27">
        <f t="shared" si="27"/>
        <v>0</v>
      </c>
      <c r="AGR27">
        <f t="shared" si="27"/>
        <v>0</v>
      </c>
      <c r="AGS27">
        <f t="shared" si="27"/>
        <v>0</v>
      </c>
      <c r="AGT27">
        <f t="shared" si="27"/>
        <v>0</v>
      </c>
      <c r="AGU27">
        <f t="shared" si="27"/>
        <v>0</v>
      </c>
      <c r="AGV27">
        <f t="shared" si="27"/>
        <v>0</v>
      </c>
      <c r="AGW27">
        <f t="shared" si="27"/>
        <v>0</v>
      </c>
      <c r="AGX27">
        <f t="shared" si="27"/>
        <v>0</v>
      </c>
      <c r="AGY27">
        <f t="shared" si="27"/>
        <v>0</v>
      </c>
      <c r="AGZ27">
        <f t="shared" si="27"/>
        <v>0</v>
      </c>
      <c r="AHA27">
        <f t="shared" si="27"/>
        <v>0</v>
      </c>
      <c r="AHB27">
        <f t="shared" ref="AHB27:AJM27" si="28">AHB8</f>
        <v>0</v>
      </c>
      <c r="AHC27">
        <f t="shared" si="28"/>
        <v>0</v>
      </c>
      <c r="AHD27">
        <f t="shared" si="28"/>
        <v>0</v>
      </c>
      <c r="AHE27">
        <f t="shared" si="28"/>
        <v>0</v>
      </c>
      <c r="AHF27">
        <f t="shared" si="28"/>
        <v>0</v>
      </c>
      <c r="AHG27">
        <f t="shared" si="28"/>
        <v>0</v>
      </c>
      <c r="AHH27">
        <f t="shared" si="28"/>
        <v>0</v>
      </c>
      <c r="AHI27">
        <f t="shared" si="28"/>
        <v>0</v>
      </c>
      <c r="AHJ27">
        <f t="shared" si="28"/>
        <v>0</v>
      </c>
      <c r="AHK27">
        <f t="shared" si="28"/>
        <v>0</v>
      </c>
      <c r="AHL27">
        <f t="shared" si="28"/>
        <v>0</v>
      </c>
      <c r="AHM27">
        <f t="shared" si="28"/>
        <v>0</v>
      </c>
      <c r="AHN27">
        <f t="shared" si="28"/>
        <v>0</v>
      </c>
      <c r="AHO27">
        <f t="shared" si="28"/>
        <v>0</v>
      </c>
      <c r="AHP27">
        <f t="shared" si="28"/>
        <v>0</v>
      </c>
      <c r="AHQ27">
        <f t="shared" si="28"/>
        <v>0</v>
      </c>
      <c r="AHR27">
        <f t="shared" si="28"/>
        <v>0</v>
      </c>
      <c r="AHS27">
        <f t="shared" si="28"/>
        <v>0</v>
      </c>
      <c r="AHT27">
        <f t="shared" si="28"/>
        <v>0</v>
      </c>
      <c r="AHU27">
        <f t="shared" si="28"/>
        <v>0</v>
      </c>
      <c r="AHV27">
        <f t="shared" si="28"/>
        <v>0</v>
      </c>
      <c r="AHW27">
        <f t="shared" si="28"/>
        <v>0</v>
      </c>
      <c r="AHX27">
        <f t="shared" si="28"/>
        <v>0</v>
      </c>
      <c r="AHY27">
        <f t="shared" si="28"/>
        <v>0</v>
      </c>
      <c r="AHZ27">
        <f t="shared" si="28"/>
        <v>0</v>
      </c>
      <c r="AIA27">
        <f t="shared" si="28"/>
        <v>0</v>
      </c>
      <c r="AIB27">
        <f t="shared" si="28"/>
        <v>0</v>
      </c>
      <c r="AIC27">
        <f t="shared" si="28"/>
        <v>0</v>
      </c>
      <c r="AID27">
        <f t="shared" si="28"/>
        <v>0</v>
      </c>
      <c r="AIE27">
        <f t="shared" si="28"/>
        <v>0</v>
      </c>
      <c r="AIF27">
        <f t="shared" si="28"/>
        <v>0</v>
      </c>
      <c r="AIG27">
        <f t="shared" si="28"/>
        <v>0</v>
      </c>
      <c r="AIH27">
        <f t="shared" si="28"/>
        <v>0</v>
      </c>
      <c r="AII27">
        <f t="shared" si="28"/>
        <v>0</v>
      </c>
      <c r="AIJ27">
        <f t="shared" si="28"/>
        <v>0</v>
      </c>
      <c r="AIK27">
        <f t="shared" si="28"/>
        <v>0</v>
      </c>
      <c r="AIL27">
        <f t="shared" si="28"/>
        <v>0</v>
      </c>
      <c r="AIM27">
        <f t="shared" si="28"/>
        <v>0</v>
      </c>
      <c r="AIN27">
        <f t="shared" si="28"/>
        <v>0</v>
      </c>
      <c r="AIO27">
        <f t="shared" si="28"/>
        <v>0</v>
      </c>
      <c r="AIP27">
        <f t="shared" si="28"/>
        <v>0</v>
      </c>
      <c r="AIQ27">
        <f t="shared" si="28"/>
        <v>0</v>
      </c>
      <c r="AIR27">
        <f t="shared" si="28"/>
        <v>0</v>
      </c>
      <c r="AIS27">
        <f t="shared" si="28"/>
        <v>0</v>
      </c>
      <c r="AIT27">
        <f t="shared" si="28"/>
        <v>0</v>
      </c>
      <c r="AIU27">
        <f t="shared" si="28"/>
        <v>0</v>
      </c>
      <c r="AIV27">
        <f t="shared" si="28"/>
        <v>0</v>
      </c>
      <c r="AIW27">
        <f t="shared" si="28"/>
        <v>0</v>
      </c>
      <c r="AIX27">
        <f t="shared" si="28"/>
        <v>0</v>
      </c>
      <c r="AIY27">
        <f t="shared" si="28"/>
        <v>0</v>
      </c>
      <c r="AIZ27">
        <f t="shared" si="28"/>
        <v>0</v>
      </c>
      <c r="AJA27">
        <f t="shared" si="28"/>
        <v>0</v>
      </c>
      <c r="AJB27">
        <f t="shared" si="28"/>
        <v>0</v>
      </c>
      <c r="AJC27">
        <f t="shared" si="28"/>
        <v>0</v>
      </c>
      <c r="AJD27">
        <f t="shared" si="28"/>
        <v>0</v>
      </c>
      <c r="AJE27">
        <f t="shared" si="28"/>
        <v>0</v>
      </c>
      <c r="AJF27">
        <f t="shared" si="28"/>
        <v>0</v>
      </c>
      <c r="AJG27">
        <f t="shared" si="28"/>
        <v>0</v>
      </c>
      <c r="AJH27">
        <f t="shared" si="28"/>
        <v>0</v>
      </c>
      <c r="AJI27">
        <f t="shared" si="28"/>
        <v>0</v>
      </c>
      <c r="AJJ27">
        <f t="shared" si="28"/>
        <v>0</v>
      </c>
      <c r="AJK27">
        <f t="shared" si="28"/>
        <v>0</v>
      </c>
      <c r="AJL27">
        <f t="shared" si="28"/>
        <v>0</v>
      </c>
      <c r="AJM27">
        <f t="shared" si="28"/>
        <v>0</v>
      </c>
      <c r="AJN27">
        <f t="shared" ref="AJN27:ALM27" si="29">AJN8</f>
        <v>0</v>
      </c>
      <c r="AJO27">
        <f t="shared" si="29"/>
        <v>0</v>
      </c>
      <c r="AJP27">
        <f t="shared" si="29"/>
        <v>0</v>
      </c>
      <c r="AJQ27">
        <f t="shared" si="29"/>
        <v>0</v>
      </c>
      <c r="AJR27">
        <f t="shared" si="29"/>
        <v>0</v>
      </c>
      <c r="AJS27">
        <f t="shared" si="29"/>
        <v>0</v>
      </c>
      <c r="AJT27">
        <f t="shared" si="29"/>
        <v>0</v>
      </c>
      <c r="AJU27">
        <f t="shared" si="29"/>
        <v>0</v>
      </c>
      <c r="AJV27">
        <f t="shared" si="29"/>
        <v>0</v>
      </c>
      <c r="AJW27">
        <f t="shared" si="29"/>
        <v>0</v>
      </c>
      <c r="AJX27">
        <f t="shared" si="29"/>
        <v>0</v>
      </c>
      <c r="AJY27">
        <f t="shared" si="29"/>
        <v>0</v>
      </c>
      <c r="AJZ27">
        <f t="shared" si="29"/>
        <v>0</v>
      </c>
      <c r="AKA27">
        <f t="shared" si="29"/>
        <v>0</v>
      </c>
      <c r="AKB27">
        <f t="shared" si="29"/>
        <v>0</v>
      </c>
      <c r="AKC27">
        <f t="shared" si="29"/>
        <v>0</v>
      </c>
      <c r="AKD27">
        <f t="shared" si="29"/>
        <v>0</v>
      </c>
      <c r="AKE27">
        <f t="shared" si="29"/>
        <v>0</v>
      </c>
      <c r="AKF27">
        <f t="shared" si="29"/>
        <v>0</v>
      </c>
      <c r="AKG27">
        <f t="shared" si="29"/>
        <v>0</v>
      </c>
      <c r="AKH27">
        <f t="shared" si="29"/>
        <v>0</v>
      </c>
      <c r="AKI27">
        <f t="shared" si="29"/>
        <v>0</v>
      </c>
      <c r="AKJ27">
        <f t="shared" si="29"/>
        <v>0</v>
      </c>
      <c r="AKK27">
        <f t="shared" si="29"/>
        <v>0</v>
      </c>
      <c r="AKL27">
        <f t="shared" si="29"/>
        <v>0</v>
      </c>
      <c r="AKM27">
        <f t="shared" si="29"/>
        <v>0</v>
      </c>
      <c r="AKN27">
        <f t="shared" si="29"/>
        <v>0</v>
      </c>
      <c r="AKO27">
        <f t="shared" si="29"/>
        <v>0</v>
      </c>
      <c r="AKP27">
        <f t="shared" si="29"/>
        <v>0</v>
      </c>
      <c r="AKQ27">
        <f t="shared" si="29"/>
        <v>0</v>
      </c>
      <c r="AKR27">
        <f t="shared" si="29"/>
        <v>0</v>
      </c>
      <c r="AKS27">
        <f t="shared" si="29"/>
        <v>0</v>
      </c>
      <c r="AKT27">
        <f t="shared" si="29"/>
        <v>0</v>
      </c>
      <c r="AKU27">
        <f t="shared" si="29"/>
        <v>0</v>
      </c>
      <c r="AKV27">
        <f t="shared" si="29"/>
        <v>0</v>
      </c>
      <c r="AKW27">
        <f t="shared" si="29"/>
        <v>0</v>
      </c>
      <c r="AKX27">
        <f t="shared" si="29"/>
        <v>0</v>
      </c>
      <c r="AKY27">
        <f t="shared" si="29"/>
        <v>0</v>
      </c>
      <c r="AKZ27">
        <f t="shared" si="29"/>
        <v>0</v>
      </c>
      <c r="ALA27">
        <f t="shared" si="29"/>
        <v>0</v>
      </c>
      <c r="ALB27">
        <f t="shared" si="29"/>
        <v>0</v>
      </c>
      <c r="ALC27">
        <f t="shared" si="29"/>
        <v>0</v>
      </c>
      <c r="ALD27">
        <f t="shared" si="29"/>
        <v>0</v>
      </c>
      <c r="ALE27">
        <f t="shared" si="29"/>
        <v>0</v>
      </c>
      <c r="ALF27">
        <f t="shared" si="29"/>
        <v>0</v>
      </c>
      <c r="ALG27">
        <f t="shared" si="29"/>
        <v>0</v>
      </c>
      <c r="ALH27">
        <f t="shared" si="29"/>
        <v>0</v>
      </c>
      <c r="ALI27">
        <f t="shared" si="29"/>
        <v>0</v>
      </c>
      <c r="ALJ27">
        <f t="shared" si="29"/>
        <v>0</v>
      </c>
      <c r="ALK27">
        <f t="shared" si="29"/>
        <v>0</v>
      </c>
      <c r="ALL27">
        <f t="shared" si="29"/>
        <v>0</v>
      </c>
      <c r="ALM27">
        <f t="shared" si="29"/>
        <v>0</v>
      </c>
    </row>
    <row r="28" spans="1:1001">
      <c r="A28" s="26"/>
      <c r="B28">
        <f>SUMIFS(Detail!$AS:$AS,Detail!$G:$G,'Rates-Service Fees'!B$23,Detail!$H:$H,'Rates-Service Fees'!B$8)*100</f>
        <v>0</v>
      </c>
      <c r="C28">
        <f>SUMIFS(Detail!$AS:$AS,Detail!$G:$G,'Rates-Service Fees'!C$23,Detail!$H:$H,'Rates-Service Fees'!C$8)*100</f>
        <v>0</v>
      </c>
      <c r="D28">
        <f>SUMIFS(Detail!$AS:$AS,Detail!$G:$G,'Rates-Service Fees'!D$23,Detail!$H:$H,'Rates-Service Fees'!D$8)*100</f>
        <v>0</v>
      </c>
      <c r="E28">
        <f>SUMIFS(Detail!$AS:$AS,Detail!$G:$G,'Rates-Service Fees'!E$23,Detail!$H:$H,'Rates-Service Fees'!E$8)*100</f>
        <v>0</v>
      </c>
      <c r="F28">
        <f>SUMIFS(Detail!$AS:$AS,Detail!$G:$G,'Rates-Service Fees'!F$23,Detail!$H:$H,'Rates-Service Fees'!F$8)*100</f>
        <v>0</v>
      </c>
      <c r="G28">
        <f>SUMIFS(Detail!$AS:$AS,Detail!$G:$G,'Rates-Service Fees'!G$23,Detail!$H:$H,'Rates-Service Fees'!G$8)*100</f>
        <v>0</v>
      </c>
      <c r="H28">
        <f>SUMIFS(Detail!$AS:$AS,Detail!$G:$G,'Rates-Service Fees'!H$23,Detail!$H:$H,'Rates-Service Fees'!H$8)*100</f>
        <v>0</v>
      </c>
      <c r="I28">
        <f>SUMIFS(Detail!$AS:$AS,Detail!$G:$G,'Rates-Service Fees'!I$23,Detail!$H:$H,'Rates-Service Fees'!I$8)*100</f>
        <v>0</v>
      </c>
      <c r="J28">
        <f>SUMIFS(Detail!$AS:$AS,Detail!$G:$G,'Rates-Service Fees'!J$23,Detail!$H:$H,'Rates-Service Fees'!J$8)*100</f>
        <v>0</v>
      </c>
      <c r="K28">
        <f>SUMIFS(Detail!$AS:$AS,Detail!$G:$G,'Rates-Service Fees'!K$23,Detail!$H:$H,'Rates-Service Fees'!K$8)*100</f>
        <v>0</v>
      </c>
      <c r="L28">
        <f>SUMIFS(Detail!$AS:$AS,Detail!$G:$G,'Rates-Service Fees'!L$23,Detail!$H:$H,'Rates-Service Fees'!L$8)*100</f>
        <v>0</v>
      </c>
      <c r="M28">
        <f>SUMIFS(Detail!$AS:$AS,Detail!$G:$G,'Rates-Service Fees'!M$23,Detail!$H:$H,'Rates-Service Fees'!M$8)*100</f>
        <v>0</v>
      </c>
      <c r="N28">
        <f>SUMIFS(Detail!$AS:$AS,Detail!$G:$G,'Rates-Service Fees'!N$23,Detail!$H:$H,'Rates-Service Fees'!N$8)*100</f>
        <v>0</v>
      </c>
      <c r="O28">
        <f>SUMIFS(Detail!$AS:$AS,Detail!$G:$G,'Rates-Service Fees'!O$23,Detail!$H:$H,'Rates-Service Fees'!O$8)*100</f>
        <v>0</v>
      </c>
      <c r="P28">
        <f>SUMIFS(Detail!$AS:$AS,Detail!$G:$G,'Rates-Service Fees'!P$23,Detail!$H:$H,'Rates-Service Fees'!P$8)*100</f>
        <v>0</v>
      </c>
      <c r="Q28">
        <f>SUMIFS(Detail!$AS:$AS,Detail!$G:$G,'Rates-Service Fees'!Q$23,Detail!$H:$H,'Rates-Service Fees'!Q$8)*100</f>
        <v>0</v>
      </c>
      <c r="R28">
        <f>SUMIFS(Detail!$AS:$AS,Detail!$G:$G,'Rates-Service Fees'!R$23,Detail!$H:$H,'Rates-Service Fees'!R$8)*100</f>
        <v>0</v>
      </c>
      <c r="S28">
        <f>SUMIFS(Detail!$AS:$AS,Detail!$G:$G,'Rates-Service Fees'!S$23,Detail!$H:$H,'Rates-Service Fees'!S$8)*100</f>
        <v>0</v>
      </c>
      <c r="T28">
        <f>SUMIFS(Detail!$AS:$AS,Detail!$G:$G,'Rates-Service Fees'!T$23,Detail!$H:$H,'Rates-Service Fees'!T$8)*100</f>
        <v>0</v>
      </c>
      <c r="U28">
        <f>SUMIFS(Detail!$AS:$AS,Detail!$G:$G,'Rates-Service Fees'!U$23,Detail!$H:$H,'Rates-Service Fees'!U$8)*100</f>
        <v>0</v>
      </c>
      <c r="V28">
        <f>SUMIFS(Detail!$AS:$AS,Detail!$G:$G,'Rates-Service Fees'!V$23,Detail!$H:$H,'Rates-Service Fees'!V$8)*100</f>
        <v>0</v>
      </c>
      <c r="W28">
        <f>SUMIFS(Detail!$AS:$AS,Detail!$G:$G,'Rates-Service Fees'!W$23,Detail!$H:$H,'Rates-Service Fees'!W$8)*100</f>
        <v>0</v>
      </c>
      <c r="X28">
        <f>SUMIFS(Detail!$AS:$AS,Detail!$G:$G,'Rates-Service Fees'!X$23,Detail!$H:$H,'Rates-Service Fees'!X$8)*100</f>
        <v>0</v>
      </c>
      <c r="Y28">
        <f>SUMIFS(Detail!$AS:$AS,Detail!$G:$G,'Rates-Service Fees'!Y$23,Detail!$H:$H,'Rates-Service Fees'!Y$8)*100</f>
        <v>0</v>
      </c>
      <c r="Z28">
        <f>SUMIFS(Detail!$AS:$AS,Detail!$G:$G,'Rates-Service Fees'!Z$23,Detail!$H:$H,'Rates-Service Fees'!Z$8)*100</f>
        <v>0</v>
      </c>
      <c r="AA28">
        <f>SUMIFS(Detail!$AS:$AS,Detail!$G:$G,'Rates-Service Fees'!AA$23,Detail!$H:$H,'Rates-Service Fees'!AA$8)*100</f>
        <v>0</v>
      </c>
      <c r="AB28">
        <f>SUMIFS(Detail!$AS:$AS,Detail!$G:$G,'Rates-Service Fees'!AB$23,Detail!$H:$H,'Rates-Service Fees'!AB$8)*100</f>
        <v>0</v>
      </c>
      <c r="AC28">
        <f>SUMIFS(Detail!$AS:$AS,Detail!$G:$G,'Rates-Service Fees'!AC$23,Detail!$H:$H,'Rates-Service Fees'!AC$8)*100</f>
        <v>0</v>
      </c>
      <c r="AD28">
        <f>SUMIFS(Detail!$AS:$AS,Detail!$G:$G,'Rates-Service Fees'!AD$23,Detail!$H:$H,'Rates-Service Fees'!AD$8)*100</f>
        <v>0</v>
      </c>
      <c r="AE28">
        <f>SUMIFS(Detail!$AS:$AS,Detail!$G:$G,'Rates-Service Fees'!AE$23,Detail!$H:$H,'Rates-Service Fees'!AE$8)*100</f>
        <v>0</v>
      </c>
      <c r="AF28">
        <f>SUMIFS(Detail!$AS:$AS,Detail!$G:$G,'Rates-Service Fees'!AF$23,Detail!$H:$H,'Rates-Service Fees'!AF$8)*100</f>
        <v>0</v>
      </c>
      <c r="AG28">
        <f>SUMIFS(Detail!$AS:$AS,Detail!$G:$G,'Rates-Service Fees'!AG$23,Detail!$H:$H,'Rates-Service Fees'!AG$8)*100</f>
        <v>0</v>
      </c>
      <c r="AH28">
        <f>SUMIFS(Detail!$AS:$AS,Detail!$G:$G,'Rates-Service Fees'!AH$23,Detail!$H:$H,'Rates-Service Fees'!AH$8)*100</f>
        <v>0</v>
      </c>
      <c r="AI28">
        <f>SUMIFS(Detail!$AS:$AS,Detail!$G:$G,'Rates-Service Fees'!AI$23,Detail!$H:$H,'Rates-Service Fees'!AI$8)*100</f>
        <v>0</v>
      </c>
      <c r="AJ28">
        <f>SUMIFS(Detail!$AS:$AS,Detail!$G:$G,'Rates-Service Fees'!AJ$23,Detail!$H:$H,'Rates-Service Fees'!AJ$8)*100</f>
        <v>0</v>
      </c>
      <c r="AK28">
        <f>SUMIFS(Detail!$AS:$AS,Detail!$G:$G,'Rates-Service Fees'!AK$23,Detail!$H:$H,'Rates-Service Fees'!AK$8)*100</f>
        <v>0</v>
      </c>
      <c r="AL28">
        <f>SUMIFS(Detail!$AS:$AS,Detail!$G:$G,'Rates-Service Fees'!AL$23,Detail!$H:$H,'Rates-Service Fees'!AL$8)*100</f>
        <v>0</v>
      </c>
      <c r="AM28">
        <f>SUMIFS(Detail!$AS:$AS,Detail!$G:$G,'Rates-Service Fees'!AM$23,Detail!$H:$H,'Rates-Service Fees'!AM$8)*100</f>
        <v>0</v>
      </c>
      <c r="AN28">
        <f>SUMIFS(Detail!$AS:$AS,Detail!$G:$G,'Rates-Service Fees'!AN$23,Detail!$H:$H,'Rates-Service Fees'!AN$8)*100</f>
        <v>0</v>
      </c>
      <c r="AO28">
        <f>SUMIFS(Detail!$AS:$AS,Detail!$G:$G,'Rates-Service Fees'!AO$23,Detail!$H:$H,'Rates-Service Fees'!AO$8)*100</f>
        <v>0</v>
      </c>
      <c r="AP28">
        <f>SUMIFS(Detail!$AS:$AS,Detail!$G:$G,'Rates-Service Fees'!AP$23,Detail!$H:$H,'Rates-Service Fees'!AP$8)*100</f>
        <v>0</v>
      </c>
      <c r="AQ28">
        <f>SUMIFS(Detail!$AS:$AS,Detail!$G:$G,'Rates-Service Fees'!AQ$23,Detail!$H:$H,'Rates-Service Fees'!AQ$8)*100</f>
        <v>0</v>
      </c>
      <c r="AR28">
        <f>SUMIFS(Detail!$AS:$AS,Detail!$G:$G,'Rates-Service Fees'!AR$23,Detail!$H:$H,'Rates-Service Fees'!AR$8)*100</f>
        <v>0</v>
      </c>
      <c r="AS28">
        <f>SUMIFS(Detail!$AS:$AS,Detail!$G:$G,'Rates-Service Fees'!AS$23,Detail!$H:$H,'Rates-Service Fees'!AS$8)*100</f>
        <v>0</v>
      </c>
      <c r="AT28">
        <f>SUMIFS(Detail!$AS:$AS,Detail!$G:$G,'Rates-Service Fees'!AT$23,Detail!$H:$H,'Rates-Service Fees'!AT$8)*100</f>
        <v>0</v>
      </c>
      <c r="AU28">
        <f>SUMIFS(Detail!$AS:$AS,Detail!$G:$G,'Rates-Service Fees'!AU$23,Detail!$H:$H,'Rates-Service Fees'!AU$8)*100</f>
        <v>0</v>
      </c>
      <c r="AV28">
        <f>SUMIFS(Detail!$AS:$AS,Detail!$G:$G,'Rates-Service Fees'!AV$23,Detail!$H:$H,'Rates-Service Fees'!AV$8)*100</f>
        <v>0</v>
      </c>
      <c r="AW28">
        <f>SUMIFS(Detail!$AS:$AS,Detail!$G:$G,'Rates-Service Fees'!AW$23,Detail!$H:$H,'Rates-Service Fees'!AW$8)*100</f>
        <v>0</v>
      </c>
      <c r="AX28">
        <f>SUMIFS(Detail!$AS:$AS,Detail!$G:$G,'Rates-Service Fees'!AX$23,Detail!$H:$H,'Rates-Service Fees'!AX$8)*100</f>
        <v>0</v>
      </c>
      <c r="AY28">
        <f>SUMIFS(Detail!$AS:$AS,Detail!$G:$G,'Rates-Service Fees'!AY$23,Detail!$H:$H,'Rates-Service Fees'!AY$8)*100</f>
        <v>0</v>
      </c>
      <c r="AZ28">
        <f>SUMIFS(Detail!$AS:$AS,Detail!$G:$G,'Rates-Service Fees'!AZ$23,Detail!$H:$H,'Rates-Service Fees'!AZ$8)*100</f>
        <v>0</v>
      </c>
      <c r="BA28">
        <f>SUMIFS(Detail!$AS:$AS,Detail!$G:$G,'Rates-Service Fees'!BA$23,Detail!$H:$H,'Rates-Service Fees'!BA$8)*100</f>
        <v>0</v>
      </c>
      <c r="BB28">
        <f>SUMIFS(Detail!$AS:$AS,Detail!$G:$G,'Rates-Service Fees'!BB$23,Detail!$H:$H,'Rates-Service Fees'!BB$8)*100</f>
        <v>0</v>
      </c>
      <c r="BC28">
        <f>SUMIFS(Detail!$AS:$AS,Detail!$G:$G,'Rates-Service Fees'!BC$23,Detail!$H:$H,'Rates-Service Fees'!BC$8)*100</f>
        <v>0</v>
      </c>
      <c r="BD28">
        <f>SUMIFS(Detail!$AS:$AS,Detail!$G:$G,'Rates-Service Fees'!BD$23,Detail!$H:$H,'Rates-Service Fees'!BD$8)*100</f>
        <v>0</v>
      </c>
      <c r="BE28">
        <f>SUMIFS(Detail!$AS:$AS,Detail!$G:$G,'Rates-Service Fees'!BE$23,Detail!$H:$H,'Rates-Service Fees'!BE$8)*100</f>
        <v>0</v>
      </c>
      <c r="BF28">
        <f>SUMIFS(Detail!$AS:$AS,Detail!$G:$G,'Rates-Service Fees'!BF$23,Detail!$H:$H,'Rates-Service Fees'!BF$8)*100</f>
        <v>0</v>
      </c>
      <c r="BG28">
        <f>SUMIFS(Detail!$AS:$AS,Detail!$G:$G,'Rates-Service Fees'!BG$23,Detail!$H:$H,'Rates-Service Fees'!BG$8)*100</f>
        <v>0</v>
      </c>
      <c r="BH28">
        <f>SUMIFS(Detail!$AS:$AS,Detail!$G:$G,'Rates-Service Fees'!BH$23,Detail!$H:$H,'Rates-Service Fees'!BH$8)*100</f>
        <v>0</v>
      </c>
      <c r="BI28">
        <f>SUMIFS(Detail!$AS:$AS,Detail!$G:$G,'Rates-Service Fees'!BI$23,Detail!$H:$H,'Rates-Service Fees'!BI$8)*100</f>
        <v>0</v>
      </c>
      <c r="BJ28">
        <f>SUMIFS(Detail!$AS:$AS,Detail!$G:$G,'Rates-Service Fees'!BJ$23,Detail!$H:$H,'Rates-Service Fees'!BJ$8)*100</f>
        <v>0</v>
      </c>
      <c r="BK28">
        <f>SUMIFS(Detail!$AS:$AS,Detail!$G:$G,'Rates-Service Fees'!BK$23,Detail!$H:$H,'Rates-Service Fees'!BK$8)*100</f>
        <v>0</v>
      </c>
      <c r="BL28">
        <f>SUMIFS(Detail!$AS:$AS,Detail!$G:$G,'Rates-Service Fees'!BL$23,Detail!$H:$H,'Rates-Service Fees'!BL$8)*100</f>
        <v>0</v>
      </c>
      <c r="BM28">
        <f>SUMIFS(Detail!$AS:$AS,Detail!$G:$G,'Rates-Service Fees'!BM$23,Detail!$H:$H,'Rates-Service Fees'!BM$8)*100</f>
        <v>0</v>
      </c>
      <c r="BN28">
        <f>SUMIFS(Detail!$AS:$AS,Detail!$G:$G,'Rates-Service Fees'!BN$23,Detail!$H:$H,'Rates-Service Fees'!BN$8)*100</f>
        <v>0</v>
      </c>
      <c r="BO28">
        <f>SUMIFS(Detail!$AS:$AS,Detail!$G:$G,'Rates-Service Fees'!BO$23,Detail!$H:$H,'Rates-Service Fees'!BO$8)*100</f>
        <v>0</v>
      </c>
      <c r="BP28">
        <f>SUMIFS(Detail!$AS:$AS,Detail!$G:$G,'Rates-Service Fees'!BP$23,Detail!$H:$H,'Rates-Service Fees'!BP$8)*100</f>
        <v>0</v>
      </c>
      <c r="BQ28">
        <f>SUMIFS(Detail!$AS:$AS,Detail!$G:$G,'Rates-Service Fees'!BQ$23,Detail!$H:$H,'Rates-Service Fees'!BQ$8)*100</f>
        <v>0</v>
      </c>
      <c r="BR28">
        <f>SUMIFS(Detail!$AS:$AS,Detail!$G:$G,'Rates-Service Fees'!BR$23,Detail!$H:$H,'Rates-Service Fees'!BR$8)*100</f>
        <v>0</v>
      </c>
      <c r="BS28">
        <f>SUMIFS(Detail!$AS:$AS,Detail!$G:$G,'Rates-Service Fees'!BS$23,Detail!$H:$H,'Rates-Service Fees'!BS$8)*100</f>
        <v>0</v>
      </c>
      <c r="BT28">
        <f>SUMIFS(Detail!$AS:$AS,Detail!$G:$G,'Rates-Service Fees'!BT$23,Detail!$H:$H,'Rates-Service Fees'!BT$8)*100</f>
        <v>0</v>
      </c>
      <c r="BU28">
        <f>SUMIFS(Detail!$AS:$AS,Detail!$G:$G,'Rates-Service Fees'!BU$23,Detail!$H:$H,'Rates-Service Fees'!BU$8)*100</f>
        <v>0</v>
      </c>
      <c r="BV28">
        <f>SUMIFS(Detail!$AS:$AS,Detail!$G:$G,'Rates-Service Fees'!BV$23,Detail!$H:$H,'Rates-Service Fees'!BV$8)*100</f>
        <v>0</v>
      </c>
      <c r="BW28">
        <f>SUMIFS(Detail!$AS:$AS,Detail!$G:$G,'Rates-Service Fees'!BW$23,Detail!$H:$H,'Rates-Service Fees'!BW$8)*100</f>
        <v>0</v>
      </c>
      <c r="BX28">
        <f>SUMIFS(Detail!$AS:$AS,Detail!$G:$G,'Rates-Service Fees'!BX$23,Detail!$H:$H,'Rates-Service Fees'!BX$8)*100</f>
        <v>0</v>
      </c>
      <c r="BY28">
        <f>SUMIFS(Detail!$AS:$AS,Detail!$G:$G,'Rates-Service Fees'!BY$23,Detail!$H:$H,'Rates-Service Fees'!BY$8)*100</f>
        <v>0</v>
      </c>
      <c r="BZ28">
        <f>SUMIFS(Detail!$AS:$AS,Detail!$G:$G,'Rates-Service Fees'!BZ$23,Detail!$H:$H,'Rates-Service Fees'!BZ$8)*100</f>
        <v>0</v>
      </c>
      <c r="CA28">
        <f>SUMIFS(Detail!$AS:$AS,Detail!$G:$G,'Rates-Service Fees'!CA$23,Detail!$H:$H,'Rates-Service Fees'!CA$8)*100</f>
        <v>0</v>
      </c>
      <c r="CB28">
        <f>SUMIFS(Detail!$AS:$AS,Detail!$G:$G,'Rates-Service Fees'!CB$23,Detail!$H:$H,'Rates-Service Fees'!CB$8)*100</f>
        <v>0</v>
      </c>
      <c r="CC28">
        <f>SUMIFS(Detail!$AS:$AS,Detail!$G:$G,'Rates-Service Fees'!CC$23,Detail!$H:$H,'Rates-Service Fees'!CC$8)*100</f>
        <v>0</v>
      </c>
      <c r="CD28">
        <f>SUMIFS(Detail!$AS:$AS,Detail!$G:$G,'Rates-Service Fees'!CD$23,Detail!$H:$H,'Rates-Service Fees'!CD$8)*100</f>
        <v>0</v>
      </c>
      <c r="CE28">
        <f>SUMIFS(Detail!$AS:$AS,Detail!$G:$G,'Rates-Service Fees'!CE$23,Detail!$H:$H,'Rates-Service Fees'!CE$8)*100</f>
        <v>0</v>
      </c>
      <c r="CF28">
        <f>SUMIFS(Detail!$AS:$AS,Detail!$G:$G,'Rates-Service Fees'!CF$23,Detail!$H:$H,'Rates-Service Fees'!CF$8)*100</f>
        <v>0</v>
      </c>
      <c r="CG28">
        <f>SUMIFS(Detail!$AS:$AS,Detail!$G:$G,'Rates-Service Fees'!CG$23,Detail!$H:$H,'Rates-Service Fees'!CG$8)*100</f>
        <v>0</v>
      </c>
      <c r="CH28">
        <f>SUMIFS(Detail!$AS:$AS,Detail!$G:$G,'Rates-Service Fees'!CH$23,Detail!$H:$H,'Rates-Service Fees'!CH$8)*100</f>
        <v>0</v>
      </c>
      <c r="CI28">
        <f>SUMIFS(Detail!$AS:$AS,Detail!$G:$G,'Rates-Service Fees'!CI$23,Detail!$H:$H,'Rates-Service Fees'!CI$8)*100</f>
        <v>0</v>
      </c>
      <c r="CJ28">
        <f>SUMIFS(Detail!$AS:$AS,Detail!$G:$G,'Rates-Service Fees'!CJ$23,Detail!$H:$H,'Rates-Service Fees'!CJ$8)*100</f>
        <v>0</v>
      </c>
      <c r="CK28">
        <f>SUMIFS(Detail!$AS:$AS,Detail!$G:$G,'Rates-Service Fees'!CK$23,Detail!$H:$H,'Rates-Service Fees'!CK$8)*100</f>
        <v>0</v>
      </c>
      <c r="CL28">
        <f>SUMIFS(Detail!$AS:$AS,Detail!$G:$G,'Rates-Service Fees'!CL$23,Detail!$H:$H,'Rates-Service Fees'!CL$8)*100</f>
        <v>0</v>
      </c>
      <c r="CM28">
        <f>SUMIFS(Detail!$AS:$AS,Detail!$G:$G,'Rates-Service Fees'!CM$23,Detail!$H:$H,'Rates-Service Fees'!CM$8)*100</f>
        <v>0</v>
      </c>
      <c r="CN28">
        <f>SUMIFS(Detail!$AS:$AS,Detail!$G:$G,'Rates-Service Fees'!CN$23,Detail!$H:$H,'Rates-Service Fees'!CN$8)*100</f>
        <v>0</v>
      </c>
      <c r="CO28">
        <f>SUMIFS(Detail!$AS:$AS,Detail!$G:$G,'Rates-Service Fees'!CO$23,Detail!$H:$H,'Rates-Service Fees'!CO$8)*100</f>
        <v>0</v>
      </c>
      <c r="CP28">
        <f>SUMIFS(Detail!$AS:$AS,Detail!$G:$G,'Rates-Service Fees'!CP$23,Detail!$H:$H,'Rates-Service Fees'!CP$8)*100</f>
        <v>0</v>
      </c>
      <c r="CQ28">
        <f>SUMIFS(Detail!$AS:$AS,Detail!$G:$G,'Rates-Service Fees'!CQ$23,Detail!$H:$H,'Rates-Service Fees'!CQ$8)*100</f>
        <v>0</v>
      </c>
      <c r="CR28">
        <f>SUMIFS(Detail!$AS:$AS,Detail!$G:$G,'Rates-Service Fees'!CR$23,Detail!$H:$H,'Rates-Service Fees'!CR$8)*100</f>
        <v>0</v>
      </c>
      <c r="CS28">
        <f>SUMIFS(Detail!$AS:$AS,Detail!$G:$G,'Rates-Service Fees'!CS$23,Detail!$H:$H,'Rates-Service Fees'!CS$8)*100</f>
        <v>0</v>
      </c>
      <c r="CT28">
        <f>SUMIFS(Detail!$AS:$AS,Detail!$G:$G,'Rates-Service Fees'!CT$23,Detail!$H:$H,'Rates-Service Fees'!CT$8)*100</f>
        <v>0</v>
      </c>
      <c r="CU28">
        <f>SUMIFS(Detail!$AS:$AS,Detail!$G:$G,'Rates-Service Fees'!CU$23,Detail!$H:$H,'Rates-Service Fees'!CU$8)*100</f>
        <v>0</v>
      </c>
      <c r="CV28">
        <f>SUMIFS(Detail!$AS:$AS,Detail!$G:$G,'Rates-Service Fees'!CV$23,Detail!$H:$H,'Rates-Service Fees'!CV$8)*100</f>
        <v>0</v>
      </c>
      <c r="CW28">
        <f>SUMIFS(Detail!$AS:$AS,Detail!$G:$G,'Rates-Service Fees'!CW$23,Detail!$H:$H,'Rates-Service Fees'!CW$8)*100</f>
        <v>0</v>
      </c>
      <c r="CX28">
        <f>SUMIFS(Detail!$AS:$AS,Detail!$G:$G,'Rates-Service Fees'!CX$23,Detail!$H:$H,'Rates-Service Fees'!CX$8)*100</f>
        <v>0</v>
      </c>
      <c r="CY28">
        <f>SUMIFS(Detail!$AS:$AS,Detail!$G:$G,'Rates-Service Fees'!CY$23,Detail!$H:$H,'Rates-Service Fees'!CY$8)*100</f>
        <v>0</v>
      </c>
      <c r="CZ28">
        <f>SUMIFS(Detail!$AS:$AS,Detail!$G:$G,'Rates-Service Fees'!CZ$23,Detail!$H:$H,'Rates-Service Fees'!CZ$8)*100</f>
        <v>0</v>
      </c>
      <c r="DA28">
        <f>SUMIFS(Detail!$AS:$AS,Detail!$G:$G,'Rates-Service Fees'!DA$23,Detail!$H:$H,'Rates-Service Fees'!DA$8)*100</f>
        <v>0</v>
      </c>
      <c r="DB28">
        <f>SUMIFS(Detail!$AS:$AS,Detail!$G:$G,'Rates-Service Fees'!DB$23,Detail!$H:$H,'Rates-Service Fees'!DB$8)*100</f>
        <v>0</v>
      </c>
      <c r="DC28">
        <f>SUMIFS(Detail!$AS:$AS,Detail!$G:$G,'Rates-Service Fees'!DC$23,Detail!$H:$H,'Rates-Service Fees'!DC$8)*100</f>
        <v>0</v>
      </c>
      <c r="DD28">
        <f>SUMIFS(Detail!$AS:$AS,Detail!$G:$G,'Rates-Service Fees'!DD$23,Detail!$H:$H,'Rates-Service Fees'!DD$8)*100</f>
        <v>0</v>
      </c>
      <c r="DE28">
        <f>SUMIFS(Detail!$AS:$AS,Detail!$G:$G,'Rates-Service Fees'!DE$23,Detail!$H:$H,'Rates-Service Fees'!DE$8)*100</f>
        <v>0</v>
      </c>
      <c r="DF28">
        <f>SUMIFS(Detail!$AS:$AS,Detail!$G:$G,'Rates-Service Fees'!DF$23,Detail!$H:$H,'Rates-Service Fees'!DF$8)*100</f>
        <v>0</v>
      </c>
      <c r="DG28">
        <f>SUMIFS(Detail!$AS:$AS,Detail!$G:$G,'Rates-Service Fees'!DG$23,Detail!$H:$H,'Rates-Service Fees'!DG$8)*100</f>
        <v>0</v>
      </c>
      <c r="DH28">
        <f>SUMIFS(Detail!$AS:$AS,Detail!$G:$G,'Rates-Service Fees'!DH$23,Detail!$H:$H,'Rates-Service Fees'!DH$8)*100</f>
        <v>0</v>
      </c>
      <c r="DI28">
        <f>SUMIFS(Detail!$AS:$AS,Detail!$G:$G,'Rates-Service Fees'!DI$23,Detail!$H:$H,'Rates-Service Fees'!DI$8)*100</f>
        <v>0</v>
      </c>
      <c r="DJ28">
        <f>SUMIFS(Detail!$AS:$AS,Detail!$G:$G,'Rates-Service Fees'!DJ$23,Detail!$H:$H,'Rates-Service Fees'!DJ$8)*100</f>
        <v>0</v>
      </c>
      <c r="DK28">
        <f>SUMIFS(Detail!$AS:$AS,Detail!$G:$G,'Rates-Service Fees'!DK$23,Detail!$H:$H,'Rates-Service Fees'!DK$8)*100</f>
        <v>0</v>
      </c>
      <c r="DL28">
        <f>SUMIFS(Detail!$AS:$AS,Detail!$G:$G,'Rates-Service Fees'!DL$23,Detail!$H:$H,'Rates-Service Fees'!DL$8)*100</f>
        <v>0</v>
      </c>
      <c r="DM28">
        <f>SUMIFS(Detail!$AS:$AS,Detail!$G:$G,'Rates-Service Fees'!DM$23,Detail!$H:$H,'Rates-Service Fees'!DM$8)*100</f>
        <v>0</v>
      </c>
      <c r="DN28">
        <f>SUMIFS(Detail!$AS:$AS,Detail!$G:$G,'Rates-Service Fees'!DN$23,Detail!$H:$H,'Rates-Service Fees'!DN$8)*100</f>
        <v>0</v>
      </c>
      <c r="DO28">
        <f>SUMIFS(Detail!$AS:$AS,Detail!$G:$G,'Rates-Service Fees'!DO$23,Detail!$H:$H,'Rates-Service Fees'!DO$8)*100</f>
        <v>0</v>
      </c>
      <c r="DP28">
        <f>SUMIFS(Detail!$AS:$AS,Detail!$G:$G,'Rates-Service Fees'!DP$23,Detail!$H:$H,'Rates-Service Fees'!DP$8)*100</f>
        <v>0</v>
      </c>
      <c r="DQ28">
        <f>SUMIFS(Detail!$AS:$AS,Detail!$G:$G,'Rates-Service Fees'!DQ$23,Detail!$H:$H,'Rates-Service Fees'!DQ$8)*100</f>
        <v>0</v>
      </c>
      <c r="DR28">
        <f>SUMIFS(Detail!$AS:$AS,Detail!$G:$G,'Rates-Service Fees'!DR$23,Detail!$H:$H,'Rates-Service Fees'!DR$8)*100</f>
        <v>0</v>
      </c>
      <c r="DS28">
        <f>SUMIFS(Detail!$AS:$AS,Detail!$G:$G,'Rates-Service Fees'!DS$23,Detail!$H:$H,'Rates-Service Fees'!DS$8)*100</f>
        <v>0</v>
      </c>
      <c r="DT28">
        <f>SUMIFS(Detail!$AS:$AS,Detail!$G:$G,'Rates-Service Fees'!DT$23,Detail!$H:$H,'Rates-Service Fees'!DT$8)*100</f>
        <v>0</v>
      </c>
      <c r="DU28">
        <f>SUMIFS(Detail!$AS:$AS,Detail!$G:$G,'Rates-Service Fees'!DU$23,Detail!$H:$H,'Rates-Service Fees'!DU$8)*100</f>
        <v>0</v>
      </c>
      <c r="DV28">
        <f>SUMIFS(Detail!$AS:$AS,Detail!$G:$G,'Rates-Service Fees'!DV$23,Detail!$H:$H,'Rates-Service Fees'!DV$8)*100</f>
        <v>0</v>
      </c>
      <c r="DW28">
        <f>SUMIFS(Detail!$AS:$AS,Detail!$G:$G,'Rates-Service Fees'!DW$23,Detail!$H:$H,'Rates-Service Fees'!DW$8)*100</f>
        <v>0</v>
      </c>
      <c r="DX28">
        <f>SUMIFS(Detail!$AS:$AS,Detail!$G:$G,'Rates-Service Fees'!DX$23,Detail!$H:$H,'Rates-Service Fees'!DX$8)*100</f>
        <v>0</v>
      </c>
      <c r="DY28">
        <f>SUMIFS(Detail!$AS:$AS,Detail!$G:$G,'Rates-Service Fees'!DY$23,Detail!$H:$H,'Rates-Service Fees'!DY$8)*100</f>
        <v>0</v>
      </c>
      <c r="DZ28">
        <f>SUMIFS(Detail!$AS:$AS,Detail!$G:$G,'Rates-Service Fees'!DZ$23,Detail!$H:$H,'Rates-Service Fees'!DZ$8)*100</f>
        <v>0</v>
      </c>
      <c r="EA28">
        <f>SUMIFS(Detail!$AS:$AS,Detail!$G:$G,'Rates-Service Fees'!EA$23,Detail!$H:$H,'Rates-Service Fees'!EA$8)*100</f>
        <v>0</v>
      </c>
      <c r="EB28">
        <f>SUMIFS(Detail!$AS:$AS,Detail!$G:$G,'Rates-Service Fees'!EB$23,Detail!$H:$H,'Rates-Service Fees'!EB$8)*100</f>
        <v>0</v>
      </c>
      <c r="EC28">
        <f>SUMIFS(Detail!$AS:$AS,Detail!$G:$G,'Rates-Service Fees'!EC$23,Detail!$H:$H,'Rates-Service Fees'!EC$8)*100</f>
        <v>0</v>
      </c>
      <c r="ED28">
        <f>SUMIFS(Detail!$AS:$AS,Detail!$G:$G,'Rates-Service Fees'!ED$23,Detail!$H:$H,'Rates-Service Fees'!ED$8)*100</f>
        <v>0</v>
      </c>
      <c r="EE28">
        <f>SUMIFS(Detail!$AS:$AS,Detail!$G:$G,'Rates-Service Fees'!EE$23,Detail!$H:$H,'Rates-Service Fees'!EE$8)*100</f>
        <v>0</v>
      </c>
      <c r="EF28">
        <f>SUMIFS(Detail!$AS:$AS,Detail!$G:$G,'Rates-Service Fees'!EF$23,Detail!$H:$H,'Rates-Service Fees'!EF$8)*100</f>
        <v>0</v>
      </c>
      <c r="EG28">
        <f>SUMIFS(Detail!$AS:$AS,Detail!$G:$G,'Rates-Service Fees'!EG$23,Detail!$H:$H,'Rates-Service Fees'!EG$8)*100</f>
        <v>0</v>
      </c>
      <c r="EH28">
        <f>SUMIFS(Detail!$AS:$AS,Detail!$G:$G,'Rates-Service Fees'!EH$23,Detail!$H:$H,'Rates-Service Fees'!EH$8)*100</f>
        <v>0</v>
      </c>
      <c r="EI28">
        <f>SUMIFS(Detail!$AS:$AS,Detail!$G:$G,'Rates-Service Fees'!EI$23,Detail!$H:$H,'Rates-Service Fees'!EI$8)*100</f>
        <v>0</v>
      </c>
      <c r="EJ28">
        <f>SUMIFS(Detail!$AS:$AS,Detail!$G:$G,'Rates-Service Fees'!EJ$23,Detail!$H:$H,'Rates-Service Fees'!EJ$8)*100</f>
        <v>0</v>
      </c>
      <c r="EK28">
        <f>SUMIFS(Detail!$AS:$AS,Detail!$G:$G,'Rates-Service Fees'!EK$23,Detail!$H:$H,'Rates-Service Fees'!EK$8)*100</f>
        <v>0</v>
      </c>
      <c r="EL28">
        <f>SUMIFS(Detail!$AS:$AS,Detail!$G:$G,'Rates-Service Fees'!EL$23,Detail!$H:$H,'Rates-Service Fees'!EL$8)*100</f>
        <v>0</v>
      </c>
      <c r="EM28">
        <f>SUMIFS(Detail!$AS:$AS,Detail!$G:$G,'Rates-Service Fees'!EM$23,Detail!$H:$H,'Rates-Service Fees'!EM$8)*100</f>
        <v>0</v>
      </c>
      <c r="EN28">
        <f>SUMIFS(Detail!$AS:$AS,Detail!$G:$G,'Rates-Service Fees'!EN$23,Detail!$H:$H,'Rates-Service Fees'!EN$8)*100</f>
        <v>0</v>
      </c>
      <c r="EO28">
        <f>SUMIFS(Detail!$AS:$AS,Detail!$G:$G,'Rates-Service Fees'!EO$23,Detail!$H:$H,'Rates-Service Fees'!EO$8)*100</f>
        <v>0</v>
      </c>
      <c r="EP28">
        <f>SUMIFS(Detail!$AS:$AS,Detail!$G:$G,'Rates-Service Fees'!EP$23,Detail!$H:$H,'Rates-Service Fees'!EP$8)*100</f>
        <v>0</v>
      </c>
      <c r="EQ28">
        <f>SUMIFS(Detail!$AS:$AS,Detail!$G:$G,'Rates-Service Fees'!EQ$23,Detail!$H:$H,'Rates-Service Fees'!EQ$8)*100</f>
        <v>0</v>
      </c>
      <c r="ER28">
        <f>SUMIFS(Detail!$AS:$AS,Detail!$G:$G,'Rates-Service Fees'!ER$23,Detail!$H:$H,'Rates-Service Fees'!ER$8)*100</f>
        <v>0</v>
      </c>
      <c r="ES28">
        <f>SUMIFS(Detail!$AS:$AS,Detail!$G:$G,'Rates-Service Fees'!ES$23,Detail!$H:$H,'Rates-Service Fees'!ES$8)*100</f>
        <v>0</v>
      </c>
      <c r="ET28">
        <f>SUMIFS(Detail!$AS:$AS,Detail!$G:$G,'Rates-Service Fees'!ET$23,Detail!$H:$H,'Rates-Service Fees'!ET$8)*100</f>
        <v>0</v>
      </c>
      <c r="EU28">
        <f>SUMIFS(Detail!$AS:$AS,Detail!$G:$G,'Rates-Service Fees'!EU$23,Detail!$H:$H,'Rates-Service Fees'!EU$8)*100</f>
        <v>0</v>
      </c>
      <c r="EV28">
        <f>SUMIFS(Detail!$AS:$AS,Detail!$G:$G,'Rates-Service Fees'!EV$23,Detail!$H:$H,'Rates-Service Fees'!EV$8)*100</f>
        <v>0</v>
      </c>
      <c r="EW28">
        <f>SUMIFS(Detail!$AS:$AS,Detail!$G:$G,'Rates-Service Fees'!EW$23,Detail!$H:$H,'Rates-Service Fees'!EW$8)*100</f>
        <v>0</v>
      </c>
      <c r="EX28">
        <f>SUMIFS(Detail!$AS:$AS,Detail!$G:$G,'Rates-Service Fees'!EX$23,Detail!$H:$H,'Rates-Service Fees'!EX$8)*100</f>
        <v>0</v>
      </c>
      <c r="EY28">
        <f>SUMIFS(Detail!$AS:$AS,Detail!$G:$G,'Rates-Service Fees'!EY$23,Detail!$H:$H,'Rates-Service Fees'!EY$8)*100</f>
        <v>0</v>
      </c>
      <c r="EZ28">
        <f>SUMIFS(Detail!$AS:$AS,Detail!$G:$G,'Rates-Service Fees'!EZ$23,Detail!$H:$H,'Rates-Service Fees'!EZ$8)*100</f>
        <v>0</v>
      </c>
      <c r="FA28">
        <f>SUMIFS(Detail!$AS:$AS,Detail!$G:$G,'Rates-Service Fees'!FA$23,Detail!$H:$H,'Rates-Service Fees'!FA$8)*100</f>
        <v>0</v>
      </c>
      <c r="FB28">
        <f>SUMIFS(Detail!$AS:$AS,Detail!$G:$G,'Rates-Service Fees'!FB$23,Detail!$H:$H,'Rates-Service Fees'!FB$8)*100</f>
        <v>0</v>
      </c>
      <c r="FC28">
        <f>SUMIFS(Detail!$AS:$AS,Detail!$G:$G,'Rates-Service Fees'!FC$23,Detail!$H:$H,'Rates-Service Fees'!FC$8)*100</f>
        <v>0</v>
      </c>
      <c r="FD28">
        <f>SUMIFS(Detail!$AS:$AS,Detail!$G:$G,'Rates-Service Fees'!FD$23,Detail!$H:$H,'Rates-Service Fees'!FD$8)*100</f>
        <v>0</v>
      </c>
      <c r="FE28">
        <f>SUMIFS(Detail!$AS:$AS,Detail!$G:$G,'Rates-Service Fees'!FE$23,Detail!$H:$H,'Rates-Service Fees'!FE$8)*100</f>
        <v>0</v>
      </c>
      <c r="FF28">
        <f>SUMIFS(Detail!$AS:$AS,Detail!$G:$G,'Rates-Service Fees'!FF$23,Detail!$H:$H,'Rates-Service Fees'!FF$8)*100</f>
        <v>0</v>
      </c>
      <c r="FG28">
        <f>SUMIFS(Detail!$AS:$AS,Detail!$G:$G,'Rates-Service Fees'!FG$23,Detail!$H:$H,'Rates-Service Fees'!FG$8)*100</f>
        <v>0</v>
      </c>
      <c r="FH28">
        <f>SUMIFS(Detail!$AS:$AS,Detail!$G:$G,'Rates-Service Fees'!FH$23,Detail!$H:$H,'Rates-Service Fees'!FH$8)*100</f>
        <v>0</v>
      </c>
      <c r="FI28">
        <f>SUMIFS(Detail!$AS:$AS,Detail!$G:$G,'Rates-Service Fees'!FI$23,Detail!$H:$H,'Rates-Service Fees'!FI$8)*100</f>
        <v>0</v>
      </c>
      <c r="FJ28">
        <f>SUMIFS(Detail!$AS:$AS,Detail!$G:$G,'Rates-Service Fees'!FJ$23,Detail!$H:$H,'Rates-Service Fees'!FJ$8)*100</f>
        <v>0</v>
      </c>
      <c r="FK28">
        <f>SUMIFS(Detail!$AS:$AS,Detail!$G:$G,'Rates-Service Fees'!FK$23,Detail!$H:$H,'Rates-Service Fees'!FK$8)*100</f>
        <v>0</v>
      </c>
      <c r="FL28">
        <f>SUMIFS(Detail!$AS:$AS,Detail!$G:$G,'Rates-Service Fees'!FL$23,Detail!$H:$H,'Rates-Service Fees'!FL$8)*100</f>
        <v>0</v>
      </c>
      <c r="FM28">
        <f>SUMIFS(Detail!$AS:$AS,Detail!$G:$G,'Rates-Service Fees'!FM$23,Detail!$H:$H,'Rates-Service Fees'!FM$8)*100</f>
        <v>0</v>
      </c>
      <c r="FN28">
        <f>SUMIFS(Detail!$AS:$AS,Detail!$G:$G,'Rates-Service Fees'!FN$23,Detail!$H:$H,'Rates-Service Fees'!FN$8)*100</f>
        <v>0</v>
      </c>
      <c r="FO28">
        <f>SUMIFS(Detail!$AS:$AS,Detail!$G:$G,'Rates-Service Fees'!FO$23,Detail!$H:$H,'Rates-Service Fees'!FO$8)*100</f>
        <v>0</v>
      </c>
      <c r="FP28">
        <f>SUMIFS(Detail!$AS:$AS,Detail!$G:$G,'Rates-Service Fees'!FP$23,Detail!$H:$H,'Rates-Service Fees'!FP$8)*100</f>
        <v>0</v>
      </c>
      <c r="FQ28">
        <f>SUMIFS(Detail!$AS:$AS,Detail!$G:$G,'Rates-Service Fees'!FQ$23,Detail!$H:$H,'Rates-Service Fees'!FQ$8)*100</f>
        <v>0</v>
      </c>
      <c r="FR28">
        <f>SUMIFS(Detail!$AS:$AS,Detail!$G:$G,'Rates-Service Fees'!FR$23,Detail!$H:$H,'Rates-Service Fees'!FR$8)*100</f>
        <v>0</v>
      </c>
      <c r="FS28">
        <f>SUMIFS(Detail!$AS:$AS,Detail!$G:$G,'Rates-Service Fees'!FS$23,Detail!$H:$H,'Rates-Service Fees'!FS$8)*100</f>
        <v>0</v>
      </c>
      <c r="FT28">
        <f>SUMIFS(Detail!$AS:$AS,Detail!$G:$G,'Rates-Service Fees'!FT$23,Detail!$H:$H,'Rates-Service Fees'!FT$8)*100</f>
        <v>0</v>
      </c>
      <c r="FU28">
        <f>SUMIFS(Detail!$AS:$AS,Detail!$G:$G,'Rates-Service Fees'!FU$23,Detail!$H:$H,'Rates-Service Fees'!FU$8)*100</f>
        <v>0</v>
      </c>
      <c r="FV28">
        <f>SUMIFS(Detail!$AS:$AS,Detail!$G:$G,'Rates-Service Fees'!FV$23,Detail!$H:$H,'Rates-Service Fees'!FV$8)*100</f>
        <v>0</v>
      </c>
      <c r="FW28">
        <f>SUMIFS(Detail!$AS:$AS,Detail!$G:$G,'Rates-Service Fees'!FW$23,Detail!$H:$H,'Rates-Service Fees'!FW$8)*100</f>
        <v>0</v>
      </c>
      <c r="FX28">
        <f>SUMIFS(Detail!$AS:$AS,Detail!$G:$G,'Rates-Service Fees'!FX$23,Detail!$H:$H,'Rates-Service Fees'!FX$8)*100</f>
        <v>0</v>
      </c>
      <c r="FY28">
        <f>SUMIFS(Detail!$AS:$AS,Detail!$G:$G,'Rates-Service Fees'!FY$23,Detail!$H:$H,'Rates-Service Fees'!FY$8)*100</f>
        <v>0</v>
      </c>
      <c r="FZ28">
        <f>SUMIFS(Detail!$AS:$AS,Detail!$G:$G,'Rates-Service Fees'!FZ$23,Detail!$H:$H,'Rates-Service Fees'!FZ$8)*100</f>
        <v>0</v>
      </c>
      <c r="GA28">
        <f>SUMIFS(Detail!$AS:$AS,Detail!$G:$G,'Rates-Service Fees'!GA$23,Detail!$H:$H,'Rates-Service Fees'!GA$8)*100</f>
        <v>0</v>
      </c>
      <c r="GB28">
        <f>SUMIFS(Detail!$AS:$AS,Detail!$G:$G,'Rates-Service Fees'!GB$23,Detail!$H:$H,'Rates-Service Fees'!GB$8)*100</f>
        <v>0</v>
      </c>
      <c r="GC28">
        <f>SUMIFS(Detail!$AS:$AS,Detail!$G:$G,'Rates-Service Fees'!GC$23,Detail!$H:$H,'Rates-Service Fees'!GC$8)*100</f>
        <v>0</v>
      </c>
      <c r="GD28">
        <f>SUMIFS(Detail!$AS:$AS,Detail!$G:$G,'Rates-Service Fees'!GD$23,Detail!$H:$H,'Rates-Service Fees'!GD$8)*100</f>
        <v>0</v>
      </c>
      <c r="GE28">
        <f>SUMIFS(Detail!$AS:$AS,Detail!$G:$G,'Rates-Service Fees'!GE$23,Detail!$H:$H,'Rates-Service Fees'!GE$8)*100</f>
        <v>0</v>
      </c>
      <c r="GF28">
        <f>SUMIFS(Detail!$AS:$AS,Detail!$G:$G,'Rates-Service Fees'!GF$23,Detail!$H:$H,'Rates-Service Fees'!GF$8)*100</f>
        <v>0</v>
      </c>
      <c r="GG28">
        <f>SUMIFS(Detail!$AS:$AS,Detail!$G:$G,'Rates-Service Fees'!GG$23,Detail!$H:$H,'Rates-Service Fees'!GG$8)*100</f>
        <v>0</v>
      </c>
      <c r="GH28">
        <f>SUMIFS(Detail!$AS:$AS,Detail!$G:$G,'Rates-Service Fees'!GH$23,Detail!$H:$H,'Rates-Service Fees'!GH$8)*100</f>
        <v>0</v>
      </c>
      <c r="GI28">
        <f>SUMIFS(Detail!$AS:$AS,Detail!$G:$G,'Rates-Service Fees'!GI$23,Detail!$H:$H,'Rates-Service Fees'!GI$8)*100</f>
        <v>0</v>
      </c>
      <c r="GJ28">
        <f>SUMIFS(Detail!$AS:$AS,Detail!$G:$G,'Rates-Service Fees'!GJ$23,Detail!$H:$H,'Rates-Service Fees'!GJ$8)*100</f>
        <v>0</v>
      </c>
      <c r="GK28">
        <f>SUMIFS(Detail!$AS:$AS,Detail!$G:$G,'Rates-Service Fees'!GK$23,Detail!$H:$H,'Rates-Service Fees'!GK$8)*100</f>
        <v>0</v>
      </c>
      <c r="GL28">
        <f>SUMIFS(Detail!$AS:$AS,Detail!$G:$G,'Rates-Service Fees'!GL$23,Detail!$H:$H,'Rates-Service Fees'!GL$8)*100</f>
        <v>0</v>
      </c>
      <c r="GM28">
        <f>SUMIFS(Detail!$AS:$AS,Detail!$G:$G,'Rates-Service Fees'!GM$23,Detail!$H:$H,'Rates-Service Fees'!GM$8)*100</f>
        <v>0</v>
      </c>
      <c r="GN28">
        <f>SUMIFS(Detail!$AS:$AS,Detail!$G:$G,'Rates-Service Fees'!GN$23,Detail!$H:$H,'Rates-Service Fees'!GN$8)*100</f>
        <v>0</v>
      </c>
      <c r="GO28">
        <f>SUMIFS(Detail!$AS:$AS,Detail!$G:$G,'Rates-Service Fees'!GO$23,Detail!$H:$H,'Rates-Service Fees'!GO$8)*100</f>
        <v>0</v>
      </c>
      <c r="GP28">
        <f>SUMIFS(Detail!$AS:$AS,Detail!$G:$G,'Rates-Service Fees'!GP$23,Detail!$H:$H,'Rates-Service Fees'!GP$8)*100</f>
        <v>0</v>
      </c>
      <c r="GQ28">
        <f>SUMIFS(Detail!$AS:$AS,Detail!$G:$G,'Rates-Service Fees'!GQ$23,Detail!$H:$H,'Rates-Service Fees'!GQ$8)*100</f>
        <v>0</v>
      </c>
      <c r="GR28">
        <f>SUMIFS(Detail!$AS:$AS,Detail!$G:$G,'Rates-Service Fees'!GR$23,Detail!$H:$H,'Rates-Service Fees'!GR$8)*100</f>
        <v>0</v>
      </c>
      <c r="GS28">
        <f>SUMIFS(Detail!$AS:$AS,Detail!$G:$G,'Rates-Service Fees'!GS$23,Detail!$H:$H,'Rates-Service Fees'!GS$8)*100</f>
        <v>0</v>
      </c>
      <c r="GT28">
        <f>SUMIFS(Detail!$AS:$AS,Detail!$G:$G,'Rates-Service Fees'!GT$23,Detail!$H:$H,'Rates-Service Fees'!GT$8)*100</f>
        <v>0</v>
      </c>
      <c r="GU28">
        <f>SUMIFS(Detail!$AS:$AS,Detail!$G:$G,'Rates-Service Fees'!GU$23,Detail!$H:$H,'Rates-Service Fees'!GU$8)*100</f>
        <v>0</v>
      </c>
      <c r="GV28">
        <f>SUMIFS(Detail!$AS:$AS,Detail!$G:$G,'Rates-Service Fees'!GV$23,Detail!$H:$H,'Rates-Service Fees'!GV$8)*100</f>
        <v>0</v>
      </c>
      <c r="GW28">
        <f>SUMIFS(Detail!$AS:$AS,Detail!$G:$G,'Rates-Service Fees'!GW$23,Detail!$H:$H,'Rates-Service Fees'!GW$8)*100</f>
        <v>0</v>
      </c>
      <c r="GX28">
        <f>SUMIFS(Detail!$AS:$AS,Detail!$G:$G,'Rates-Service Fees'!GX$23,Detail!$H:$H,'Rates-Service Fees'!GX$8)*100</f>
        <v>0</v>
      </c>
      <c r="GY28">
        <f>SUMIFS(Detail!$AS:$AS,Detail!$G:$G,'Rates-Service Fees'!GY$23,Detail!$H:$H,'Rates-Service Fees'!GY$8)*100</f>
        <v>0</v>
      </c>
      <c r="GZ28">
        <f>SUMIFS(Detail!$AS:$AS,Detail!$G:$G,'Rates-Service Fees'!GZ$23,Detail!$H:$H,'Rates-Service Fees'!GZ$8)*100</f>
        <v>0</v>
      </c>
      <c r="HA28">
        <f>SUMIFS(Detail!$AS:$AS,Detail!$G:$G,'Rates-Service Fees'!HA$23,Detail!$H:$H,'Rates-Service Fees'!HA$8)*100</f>
        <v>0</v>
      </c>
      <c r="HB28">
        <f>SUMIFS(Detail!$AS:$AS,Detail!$G:$G,'Rates-Service Fees'!HB$23,Detail!$H:$H,'Rates-Service Fees'!HB$8)*100</f>
        <v>0</v>
      </c>
      <c r="HC28">
        <f>SUMIFS(Detail!$AS:$AS,Detail!$G:$G,'Rates-Service Fees'!HC$23,Detail!$H:$H,'Rates-Service Fees'!HC$8)*100</f>
        <v>0</v>
      </c>
      <c r="HD28">
        <f>SUMIFS(Detail!$AS:$AS,Detail!$G:$G,'Rates-Service Fees'!HD$23,Detail!$H:$H,'Rates-Service Fees'!HD$8)*100</f>
        <v>0</v>
      </c>
      <c r="HE28">
        <f>SUMIFS(Detail!$AS:$AS,Detail!$G:$G,'Rates-Service Fees'!HE$23,Detail!$H:$H,'Rates-Service Fees'!HE$8)*100</f>
        <v>0</v>
      </c>
      <c r="HF28">
        <f>SUMIFS(Detail!$AS:$AS,Detail!$G:$G,'Rates-Service Fees'!HF$23,Detail!$H:$H,'Rates-Service Fees'!HF$8)*100</f>
        <v>0</v>
      </c>
      <c r="HG28">
        <f>SUMIFS(Detail!$AS:$AS,Detail!$G:$G,'Rates-Service Fees'!HG$23,Detail!$H:$H,'Rates-Service Fees'!HG$8)*100</f>
        <v>0</v>
      </c>
      <c r="HH28">
        <f>SUMIFS(Detail!$AS:$AS,Detail!$G:$G,'Rates-Service Fees'!HH$23,Detail!$H:$H,'Rates-Service Fees'!HH$8)*100</f>
        <v>0</v>
      </c>
      <c r="HI28">
        <f>SUMIFS(Detail!$AS:$AS,Detail!$G:$G,'Rates-Service Fees'!HI$23,Detail!$H:$H,'Rates-Service Fees'!HI$8)*100</f>
        <v>0</v>
      </c>
      <c r="HJ28">
        <f>SUMIFS(Detail!$AS:$AS,Detail!$G:$G,'Rates-Service Fees'!HJ$23,Detail!$H:$H,'Rates-Service Fees'!HJ$8)*100</f>
        <v>0</v>
      </c>
      <c r="HK28">
        <f>SUMIFS(Detail!$AS:$AS,Detail!$G:$G,'Rates-Service Fees'!HK$23,Detail!$H:$H,'Rates-Service Fees'!HK$8)*100</f>
        <v>0</v>
      </c>
      <c r="HL28">
        <f>SUMIFS(Detail!$AS:$AS,Detail!$G:$G,'Rates-Service Fees'!HL$23,Detail!$H:$H,'Rates-Service Fees'!HL$8)*100</f>
        <v>0</v>
      </c>
      <c r="HM28">
        <f>SUMIFS(Detail!$AS:$AS,Detail!$G:$G,'Rates-Service Fees'!HM$23,Detail!$H:$H,'Rates-Service Fees'!HM$8)*100</f>
        <v>0</v>
      </c>
      <c r="HN28">
        <f>SUMIFS(Detail!$AS:$AS,Detail!$G:$G,'Rates-Service Fees'!HN$23,Detail!$H:$H,'Rates-Service Fees'!HN$8)*100</f>
        <v>0</v>
      </c>
      <c r="HO28">
        <f>SUMIFS(Detail!$AS:$AS,Detail!$G:$G,'Rates-Service Fees'!HO$23,Detail!$H:$H,'Rates-Service Fees'!HO$8)*100</f>
        <v>0</v>
      </c>
      <c r="HP28">
        <f>SUMIFS(Detail!$AS:$AS,Detail!$G:$G,'Rates-Service Fees'!HP$23,Detail!$H:$H,'Rates-Service Fees'!HP$8)*100</f>
        <v>0</v>
      </c>
      <c r="HQ28">
        <f>SUMIFS(Detail!$AS:$AS,Detail!$G:$G,'Rates-Service Fees'!HQ$23,Detail!$H:$H,'Rates-Service Fees'!HQ$8)*100</f>
        <v>0</v>
      </c>
      <c r="HR28">
        <f>SUMIFS(Detail!$AS:$AS,Detail!$G:$G,'Rates-Service Fees'!HR$23,Detail!$H:$H,'Rates-Service Fees'!HR$8)*100</f>
        <v>0</v>
      </c>
      <c r="HS28">
        <f>SUMIFS(Detail!$AS:$AS,Detail!$G:$G,'Rates-Service Fees'!HS$23,Detail!$H:$H,'Rates-Service Fees'!HS$8)*100</f>
        <v>0</v>
      </c>
      <c r="HT28">
        <f>SUMIFS(Detail!$AS:$AS,Detail!$G:$G,'Rates-Service Fees'!HT$23,Detail!$H:$H,'Rates-Service Fees'!HT$8)*100</f>
        <v>0</v>
      </c>
      <c r="HU28">
        <f>SUMIFS(Detail!$AS:$AS,Detail!$G:$G,'Rates-Service Fees'!HU$23,Detail!$H:$H,'Rates-Service Fees'!HU$8)*100</f>
        <v>0</v>
      </c>
      <c r="HV28">
        <f>SUMIFS(Detail!$AS:$AS,Detail!$G:$G,'Rates-Service Fees'!HV$23,Detail!$H:$H,'Rates-Service Fees'!HV$8)*100</f>
        <v>0</v>
      </c>
      <c r="HW28">
        <f>SUMIFS(Detail!$AS:$AS,Detail!$G:$G,'Rates-Service Fees'!HW$23,Detail!$H:$H,'Rates-Service Fees'!HW$8)*100</f>
        <v>0</v>
      </c>
      <c r="HX28">
        <f>SUMIFS(Detail!$AS:$AS,Detail!$G:$G,'Rates-Service Fees'!HX$23,Detail!$H:$H,'Rates-Service Fees'!HX$8)*100</f>
        <v>0</v>
      </c>
      <c r="HY28">
        <f>SUMIFS(Detail!$AS:$AS,Detail!$G:$G,'Rates-Service Fees'!HY$23,Detail!$H:$H,'Rates-Service Fees'!HY$8)*100</f>
        <v>0</v>
      </c>
      <c r="HZ28">
        <f>SUMIFS(Detail!$AS:$AS,Detail!$G:$G,'Rates-Service Fees'!HZ$23,Detail!$H:$H,'Rates-Service Fees'!HZ$8)*100</f>
        <v>0</v>
      </c>
      <c r="IA28">
        <f>SUMIFS(Detail!$AS:$AS,Detail!$G:$G,'Rates-Service Fees'!IA$23,Detail!$H:$H,'Rates-Service Fees'!IA$8)*100</f>
        <v>0</v>
      </c>
      <c r="IB28">
        <f>SUMIFS(Detail!$AS:$AS,Detail!$G:$G,'Rates-Service Fees'!IB$23,Detail!$H:$H,'Rates-Service Fees'!IB$8)*100</f>
        <v>0</v>
      </c>
      <c r="IC28">
        <f>SUMIFS(Detail!$AS:$AS,Detail!$G:$G,'Rates-Service Fees'!IC$23,Detail!$H:$H,'Rates-Service Fees'!IC$8)*100</f>
        <v>0</v>
      </c>
      <c r="ID28">
        <f>SUMIFS(Detail!$AS:$AS,Detail!$G:$G,'Rates-Service Fees'!ID$23,Detail!$H:$H,'Rates-Service Fees'!ID$8)*100</f>
        <v>0</v>
      </c>
      <c r="IE28">
        <f>SUMIFS(Detail!$AS:$AS,Detail!$G:$G,'Rates-Service Fees'!IE$23,Detail!$H:$H,'Rates-Service Fees'!IE$8)*100</f>
        <v>0</v>
      </c>
      <c r="IF28">
        <f>SUMIFS(Detail!$AS:$AS,Detail!$G:$G,'Rates-Service Fees'!IF$23,Detail!$H:$H,'Rates-Service Fees'!IF$8)*100</f>
        <v>0</v>
      </c>
      <c r="IG28">
        <f>SUMIFS(Detail!$AS:$AS,Detail!$G:$G,'Rates-Service Fees'!IG$23,Detail!$H:$H,'Rates-Service Fees'!IG$8)*100</f>
        <v>0</v>
      </c>
      <c r="IH28">
        <f>SUMIFS(Detail!$AS:$AS,Detail!$G:$G,'Rates-Service Fees'!IH$23,Detail!$H:$H,'Rates-Service Fees'!IH$8)*100</f>
        <v>0</v>
      </c>
      <c r="II28">
        <f>SUMIFS(Detail!$AS:$AS,Detail!$G:$G,'Rates-Service Fees'!II$23,Detail!$H:$H,'Rates-Service Fees'!II$8)*100</f>
        <v>0</v>
      </c>
      <c r="IJ28">
        <f>SUMIFS(Detail!$AS:$AS,Detail!$G:$G,'Rates-Service Fees'!IJ$23,Detail!$H:$H,'Rates-Service Fees'!IJ$8)*100</f>
        <v>0</v>
      </c>
      <c r="IK28">
        <f>SUMIFS(Detail!$AS:$AS,Detail!$G:$G,'Rates-Service Fees'!IK$23,Detail!$H:$H,'Rates-Service Fees'!IK$8)*100</f>
        <v>0</v>
      </c>
      <c r="IL28">
        <f>SUMIFS(Detail!$AS:$AS,Detail!$G:$G,'Rates-Service Fees'!IL$23,Detail!$H:$H,'Rates-Service Fees'!IL$8)*100</f>
        <v>0</v>
      </c>
      <c r="IM28">
        <f>SUMIFS(Detail!$AS:$AS,Detail!$G:$G,'Rates-Service Fees'!IM$23,Detail!$H:$H,'Rates-Service Fees'!IM$8)*100</f>
        <v>0</v>
      </c>
      <c r="IN28">
        <f>SUMIFS(Detail!$AS:$AS,Detail!$G:$G,'Rates-Service Fees'!IN$23,Detail!$H:$H,'Rates-Service Fees'!IN$8)*100</f>
        <v>0</v>
      </c>
      <c r="IO28">
        <f>SUMIFS(Detail!$AS:$AS,Detail!$G:$G,'Rates-Service Fees'!IO$23,Detail!$H:$H,'Rates-Service Fees'!IO$8)*100</f>
        <v>0</v>
      </c>
      <c r="IP28">
        <f>SUMIFS(Detail!$AS:$AS,Detail!$G:$G,'Rates-Service Fees'!IP$23,Detail!$H:$H,'Rates-Service Fees'!IP$8)*100</f>
        <v>0</v>
      </c>
      <c r="IQ28">
        <f>SUMIFS(Detail!$AS:$AS,Detail!$G:$G,'Rates-Service Fees'!IQ$23,Detail!$H:$H,'Rates-Service Fees'!IQ$8)*100</f>
        <v>0</v>
      </c>
      <c r="IR28">
        <f>SUMIFS(Detail!$AS:$AS,Detail!$G:$G,'Rates-Service Fees'!IR$23,Detail!$H:$H,'Rates-Service Fees'!IR$8)*100</f>
        <v>0</v>
      </c>
      <c r="IS28">
        <f>SUMIFS(Detail!$AS:$AS,Detail!$G:$G,'Rates-Service Fees'!IS$23,Detail!$H:$H,'Rates-Service Fees'!IS$8)*100</f>
        <v>0</v>
      </c>
      <c r="IT28">
        <f>SUMIFS(Detail!$AS:$AS,Detail!$G:$G,'Rates-Service Fees'!IT$23,Detail!$H:$H,'Rates-Service Fees'!IT$8)*100</f>
        <v>0</v>
      </c>
      <c r="IU28">
        <f>SUMIFS(Detail!$AS:$AS,Detail!$G:$G,'Rates-Service Fees'!IU$23,Detail!$H:$H,'Rates-Service Fees'!IU$8)*100</f>
        <v>0</v>
      </c>
      <c r="IV28">
        <f>SUMIFS(Detail!$AS:$AS,Detail!$G:$G,'Rates-Service Fees'!IV$23,Detail!$H:$H,'Rates-Service Fees'!IV$8)*100</f>
        <v>0</v>
      </c>
      <c r="IW28">
        <f>SUMIFS(Detail!$AS:$AS,Detail!$G:$G,'Rates-Service Fees'!IW$23,Detail!$H:$H,'Rates-Service Fees'!IW$8)*100</f>
        <v>0</v>
      </c>
      <c r="IX28">
        <f>SUMIFS(Detail!$AS:$AS,Detail!$G:$G,'Rates-Service Fees'!IX$23,Detail!$H:$H,'Rates-Service Fees'!IX$8)*100</f>
        <v>0</v>
      </c>
      <c r="IY28">
        <f>SUMIFS(Detail!$AS:$AS,Detail!$G:$G,'Rates-Service Fees'!IY$23,Detail!$H:$H,'Rates-Service Fees'!IY$8)*100</f>
        <v>0</v>
      </c>
      <c r="IZ28">
        <f>SUMIFS(Detail!$AS:$AS,Detail!$G:$G,'Rates-Service Fees'!IZ$23,Detail!$H:$H,'Rates-Service Fees'!IZ$8)*100</f>
        <v>0</v>
      </c>
      <c r="JA28">
        <f>SUMIFS(Detail!$AS:$AS,Detail!$G:$G,'Rates-Service Fees'!JA$23,Detail!$H:$H,'Rates-Service Fees'!JA$8)*100</f>
        <v>0</v>
      </c>
      <c r="JB28">
        <f>SUMIFS(Detail!$AS:$AS,Detail!$G:$G,'Rates-Service Fees'!JB$23,Detail!$H:$H,'Rates-Service Fees'!JB$8)*100</f>
        <v>0</v>
      </c>
      <c r="JC28">
        <f>SUMIFS(Detail!$AS:$AS,Detail!$G:$G,'Rates-Service Fees'!JC$23,Detail!$H:$H,'Rates-Service Fees'!JC$8)*100</f>
        <v>0</v>
      </c>
      <c r="JD28">
        <f>SUMIFS(Detail!$AS:$AS,Detail!$G:$G,'Rates-Service Fees'!JD$23,Detail!$H:$H,'Rates-Service Fees'!JD$8)*100</f>
        <v>0</v>
      </c>
      <c r="JE28">
        <f>SUMIFS(Detail!$AS:$AS,Detail!$G:$G,'Rates-Service Fees'!JE$23,Detail!$H:$H,'Rates-Service Fees'!JE$8)*100</f>
        <v>0</v>
      </c>
      <c r="JF28">
        <f>SUMIFS(Detail!$AS:$AS,Detail!$G:$G,'Rates-Service Fees'!JF$23,Detail!$H:$H,'Rates-Service Fees'!JF$8)*100</f>
        <v>0</v>
      </c>
      <c r="JG28">
        <f>SUMIFS(Detail!$AS:$AS,Detail!$G:$G,'Rates-Service Fees'!JG$23,Detail!$H:$H,'Rates-Service Fees'!JG$8)*100</f>
        <v>0</v>
      </c>
      <c r="JH28">
        <f>SUMIFS(Detail!$AS:$AS,Detail!$G:$G,'Rates-Service Fees'!JH$23,Detail!$H:$H,'Rates-Service Fees'!JH$8)*100</f>
        <v>0</v>
      </c>
      <c r="JI28">
        <f>SUMIFS(Detail!$AS:$AS,Detail!$G:$G,'Rates-Service Fees'!JI$23,Detail!$H:$H,'Rates-Service Fees'!JI$8)*100</f>
        <v>0</v>
      </c>
      <c r="JJ28">
        <f>SUMIFS(Detail!$AS:$AS,Detail!$G:$G,'Rates-Service Fees'!JJ$23,Detail!$H:$H,'Rates-Service Fees'!JJ$8)*100</f>
        <v>0</v>
      </c>
      <c r="JK28">
        <f>SUMIFS(Detail!$AS:$AS,Detail!$G:$G,'Rates-Service Fees'!JK$23,Detail!$H:$H,'Rates-Service Fees'!JK$8)*100</f>
        <v>0</v>
      </c>
      <c r="JL28">
        <f>SUMIFS(Detail!$AS:$AS,Detail!$G:$G,'Rates-Service Fees'!JL$23,Detail!$H:$H,'Rates-Service Fees'!JL$8)*100</f>
        <v>0</v>
      </c>
      <c r="JM28">
        <f>SUMIFS(Detail!$AS:$AS,Detail!$G:$G,'Rates-Service Fees'!JM$23,Detail!$H:$H,'Rates-Service Fees'!JM$8)*100</f>
        <v>0</v>
      </c>
      <c r="JN28">
        <f>SUMIFS(Detail!$AS:$AS,Detail!$G:$G,'Rates-Service Fees'!JN$23,Detail!$H:$H,'Rates-Service Fees'!JN$8)*100</f>
        <v>0</v>
      </c>
      <c r="JO28">
        <f>SUMIFS(Detail!$AS:$AS,Detail!$G:$G,'Rates-Service Fees'!JO$23,Detail!$H:$H,'Rates-Service Fees'!JO$8)*100</f>
        <v>0</v>
      </c>
      <c r="JP28">
        <f>SUMIFS(Detail!$AS:$AS,Detail!$G:$G,'Rates-Service Fees'!JP$23,Detail!$H:$H,'Rates-Service Fees'!JP$8)*100</f>
        <v>0</v>
      </c>
      <c r="JQ28">
        <f>SUMIFS(Detail!$AS:$AS,Detail!$G:$G,'Rates-Service Fees'!JQ$23,Detail!$H:$H,'Rates-Service Fees'!JQ$8)*100</f>
        <v>0</v>
      </c>
      <c r="JR28">
        <f>SUMIFS(Detail!$AS:$AS,Detail!$G:$G,'Rates-Service Fees'!JR$23,Detail!$H:$H,'Rates-Service Fees'!JR$8)*100</f>
        <v>0</v>
      </c>
      <c r="JS28">
        <f>SUMIFS(Detail!$AS:$AS,Detail!$G:$G,'Rates-Service Fees'!JS$23,Detail!$H:$H,'Rates-Service Fees'!JS$8)*100</f>
        <v>0</v>
      </c>
      <c r="JT28">
        <f>SUMIFS(Detail!$AS:$AS,Detail!$G:$G,'Rates-Service Fees'!JT$23,Detail!$H:$H,'Rates-Service Fees'!JT$8)*100</f>
        <v>0</v>
      </c>
      <c r="JU28">
        <f>SUMIFS(Detail!$AS:$AS,Detail!$G:$G,'Rates-Service Fees'!JU$23,Detail!$H:$H,'Rates-Service Fees'!JU$8)*100</f>
        <v>0</v>
      </c>
      <c r="JV28">
        <f>SUMIFS(Detail!$AS:$AS,Detail!$G:$G,'Rates-Service Fees'!JV$23,Detail!$H:$H,'Rates-Service Fees'!JV$8)*100</f>
        <v>0</v>
      </c>
      <c r="JW28">
        <f>SUMIFS(Detail!$AS:$AS,Detail!$G:$G,'Rates-Service Fees'!JW$23,Detail!$H:$H,'Rates-Service Fees'!JW$8)*100</f>
        <v>0</v>
      </c>
      <c r="JX28">
        <f>SUMIFS(Detail!$AS:$AS,Detail!$G:$G,'Rates-Service Fees'!JX$23,Detail!$H:$H,'Rates-Service Fees'!JX$8)*100</f>
        <v>0</v>
      </c>
      <c r="JY28">
        <f>SUMIFS(Detail!$AS:$AS,Detail!$G:$G,'Rates-Service Fees'!JY$23,Detail!$H:$H,'Rates-Service Fees'!JY$8)*100</f>
        <v>0</v>
      </c>
      <c r="JZ28">
        <f>SUMIFS(Detail!$AS:$AS,Detail!$G:$G,'Rates-Service Fees'!JZ$23,Detail!$H:$H,'Rates-Service Fees'!JZ$8)*100</f>
        <v>0</v>
      </c>
      <c r="KA28">
        <f>SUMIFS(Detail!$AS:$AS,Detail!$G:$G,'Rates-Service Fees'!KA$23,Detail!$H:$H,'Rates-Service Fees'!KA$8)*100</f>
        <v>0</v>
      </c>
      <c r="KB28">
        <f>SUMIFS(Detail!$AS:$AS,Detail!$G:$G,'Rates-Service Fees'!KB$23,Detail!$H:$H,'Rates-Service Fees'!KB$8)*100</f>
        <v>0</v>
      </c>
      <c r="KC28">
        <f>SUMIFS(Detail!$AS:$AS,Detail!$G:$G,'Rates-Service Fees'!KC$23,Detail!$H:$H,'Rates-Service Fees'!KC$8)*100</f>
        <v>0</v>
      </c>
      <c r="KD28">
        <f>SUMIFS(Detail!$AS:$AS,Detail!$G:$G,'Rates-Service Fees'!KD$23,Detail!$H:$H,'Rates-Service Fees'!KD$8)*100</f>
        <v>0</v>
      </c>
      <c r="KE28">
        <f>SUMIFS(Detail!$AS:$AS,Detail!$G:$G,'Rates-Service Fees'!KE$23,Detail!$H:$H,'Rates-Service Fees'!KE$8)*100</f>
        <v>0</v>
      </c>
      <c r="KF28">
        <f>SUMIFS(Detail!$AS:$AS,Detail!$G:$G,'Rates-Service Fees'!KF$23,Detail!$H:$H,'Rates-Service Fees'!KF$8)*100</f>
        <v>0</v>
      </c>
      <c r="KG28">
        <f>SUMIFS(Detail!$AS:$AS,Detail!$G:$G,'Rates-Service Fees'!KG$23,Detail!$H:$H,'Rates-Service Fees'!KG$8)*100</f>
        <v>0</v>
      </c>
      <c r="KH28">
        <f>SUMIFS(Detail!$AS:$AS,Detail!$G:$G,'Rates-Service Fees'!KH$23,Detail!$H:$H,'Rates-Service Fees'!KH$8)*100</f>
        <v>0</v>
      </c>
      <c r="KI28">
        <f>SUMIFS(Detail!$AS:$AS,Detail!$G:$G,'Rates-Service Fees'!KI$23,Detail!$H:$H,'Rates-Service Fees'!KI$8)*100</f>
        <v>0</v>
      </c>
      <c r="KJ28">
        <f>SUMIFS(Detail!$AS:$AS,Detail!$G:$G,'Rates-Service Fees'!KJ$23,Detail!$H:$H,'Rates-Service Fees'!KJ$8)*100</f>
        <v>0</v>
      </c>
      <c r="KK28">
        <f>SUMIFS(Detail!$AS:$AS,Detail!$G:$G,'Rates-Service Fees'!KK$23,Detail!$H:$H,'Rates-Service Fees'!KK$8)*100</f>
        <v>0</v>
      </c>
      <c r="KL28">
        <f>SUMIFS(Detail!$AS:$AS,Detail!$G:$G,'Rates-Service Fees'!KL$23,Detail!$H:$H,'Rates-Service Fees'!KL$8)*100</f>
        <v>0</v>
      </c>
      <c r="KM28">
        <f>SUMIFS(Detail!$AS:$AS,Detail!$G:$G,'Rates-Service Fees'!KM$23,Detail!$H:$H,'Rates-Service Fees'!KM$8)*100</f>
        <v>0</v>
      </c>
      <c r="KN28">
        <f>SUMIFS(Detail!$AS:$AS,Detail!$G:$G,'Rates-Service Fees'!KN$23,Detail!$H:$H,'Rates-Service Fees'!KN$8)*100</f>
        <v>0</v>
      </c>
      <c r="KO28">
        <f>SUMIFS(Detail!$AS:$AS,Detail!$G:$G,'Rates-Service Fees'!KO$23,Detail!$H:$H,'Rates-Service Fees'!KO$8)*100</f>
        <v>0</v>
      </c>
      <c r="KP28">
        <f>SUMIFS(Detail!$AS:$AS,Detail!$G:$G,'Rates-Service Fees'!KP$23,Detail!$H:$H,'Rates-Service Fees'!KP$8)*100</f>
        <v>0</v>
      </c>
      <c r="KQ28">
        <f>SUMIFS(Detail!$AS:$AS,Detail!$G:$G,'Rates-Service Fees'!KQ$23,Detail!$H:$H,'Rates-Service Fees'!KQ$8)*100</f>
        <v>0</v>
      </c>
      <c r="KR28">
        <f>SUMIFS(Detail!$AS:$AS,Detail!$G:$G,'Rates-Service Fees'!KR$23,Detail!$H:$H,'Rates-Service Fees'!KR$8)*100</f>
        <v>0</v>
      </c>
      <c r="KS28">
        <f>SUMIFS(Detail!$AS:$AS,Detail!$G:$G,'Rates-Service Fees'!KS$23,Detail!$H:$H,'Rates-Service Fees'!KS$8)*100</f>
        <v>0</v>
      </c>
      <c r="KT28">
        <f>SUMIFS(Detail!$AS:$AS,Detail!$G:$G,'Rates-Service Fees'!KT$23,Detail!$H:$H,'Rates-Service Fees'!KT$8)*100</f>
        <v>0</v>
      </c>
      <c r="KU28">
        <f>SUMIFS(Detail!$AS:$AS,Detail!$G:$G,'Rates-Service Fees'!KU$23,Detail!$H:$H,'Rates-Service Fees'!KU$8)*100</f>
        <v>0</v>
      </c>
      <c r="KV28">
        <f>SUMIFS(Detail!$AS:$AS,Detail!$G:$G,'Rates-Service Fees'!KV$23,Detail!$H:$H,'Rates-Service Fees'!KV$8)*100</f>
        <v>0</v>
      </c>
      <c r="KW28">
        <f>SUMIFS(Detail!$AS:$AS,Detail!$G:$G,'Rates-Service Fees'!KW$23,Detail!$H:$H,'Rates-Service Fees'!KW$8)*100</f>
        <v>0</v>
      </c>
      <c r="KX28">
        <f>SUMIFS(Detail!$AS:$AS,Detail!$G:$G,'Rates-Service Fees'!KX$23,Detail!$H:$H,'Rates-Service Fees'!KX$8)*100</f>
        <v>0</v>
      </c>
      <c r="KY28">
        <f>SUMIFS(Detail!$AS:$AS,Detail!$G:$G,'Rates-Service Fees'!KY$23,Detail!$H:$H,'Rates-Service Fees'!KY$8)*100</f>
        <v>0</v>
      </c>
      <c r="KZ28">
        <f>SUMIFS(Detail!$AS:$AS,Detail!$G:$G,'Rates-Service Fees'!KZ$23,Detail!$H:$H,'Rates-Service Fees'!KZ$8)*100</f>
        <v>0</v>
      </c>
      <c r="LA28">
        <f>SUMIFS(Detail!$AS:$AS,Detail!$G:$G,'Rates-Service Fees'!LA$23,Detail!$H:$H,'Rates-Service Fees'!LA$8)*100</f>
        <v>0</v>
      </c>
      <c r="LB28">
        <f>SUMIFS(Detail!$AS:$AS,Detail!$G:$G,'Rates-Service Fees'!LB$23,Detail!$H:$H,'Rates-Service Fees'!LB$8)*100</f>
        <v>0</v>
      </c>
      <c r="LC28">
        <f>SUMIFS(Detail!$AS:$AS,Detail!$G:$G,'Rates-Service Fees'!LC$23,Detail!$H:$H,'Rates-Service Fees'!LC$8)*100</f>
        <v>0</v>
      </c>
      <c r="LD28">
        <f>SUMIFS(Detail!$AS:$AS,Detail!$G:$G,'Rates-Service Fees'!LD$23,Detail!$H:$H,'Rates-Service Fees'!LD$8)*100</f>
        <v>0</v>
      </c>
      <c r="LE28">
        <f>SUMIFS(Detail!$AS:$AS,Detail!$G:$G,'Rates-Service Fees'!LE$23,Detail!$H:$H,'Rates-Service Fees'!LE$8)*100</f>
        <v>0</v>
      </c>
      <c r="LF28">
        <f>SUMIFS(Detail!$AS:$AS,Detail!$G:$G,'Rates-Service Fees'!LF$23,Detail!$H:$H,'Rates-Service Fees'!LF$8)*100</f>
        <v>0</v>
      </c>
      <c r="LG28">
        <f>SUMIFS(Detail!$AS:$AS,Detail!$G:$G,'Rates-Service Fees'!LG$23,Detail!$H:$H,'Rates-Service Fees'!LG$8)*100</f>
        <v>0</v>
      </c>
      <c r="LH28">
        <f>SUMIFS(Detail!$AS:$AS,Detail!$G:$G,'Rates-Service Fees'!LH$23,Detail!$H:$H,'Rates-Service Fees'!LH$8)*100</f>
        <v>0</v>
      </c>
      <c r="LI28">
        <f>SUMIFS(Detail!$AS:$AS,Detail!$G:$G,'Rates-Service Fees'!LI$23,Detail!$H:$H,'Rates-Service Fees'!LI$8)*100</f>
        <v>0</v>
      </c>
      <c r="LJ28">
        <f>SUMIFS(Detail!$AS:$AS,Detail!$G:$G,'Rates-Service Fees'!LJ$23,Detail!$H:$H,'Rates-Service Fees'!LJ$8)*100</f>
        <v>0</v>
      </c>
      <c r="LK28">
        <f>SUMIFS(Detail!$AS:$AS,Detail!$G:$G,'Rates-Service Fees'!LK$23,Detail!$H:$H,'Rates-Service Fees'!LK$8)*100</f>
        <v>0</v>
      </c>
      <c r="LL28">
        <f>SUMIFS(Detail!$AS:$AS,Detail!$G:$G,'Rates-Service Fees'!LL$23,Detail!$H:$H,'Rates-Service Fees'!LL$8)*100</f>
        <v>0</v>
      </c>
      <c r="LM28">
        <f>SUMIFS(Detail!$AS:$AS,Detail!$G:$G,'Rates-Service Fees'!LM$23,Detail!$H:$H,'Rates-Service Fees'!LM$8)*100</f>
        <v>0</v>
      </c>
      <c r="LN28">
        <f>SUMIFS(Detail!$AS:$AS,Detail!$G:$G,'Rates-Service Fees'!LN$23,Detail!$H:$H,'Rates-Service Fees'!LN$8)*100</f>
        <v>0</v>
      </c>
      <c r="LO28">
        <f>SUMIFS(Detail!$AS:$AS,Detail!$G:$G,'Rates-Service Fees'!LO$23,Detail!$H:$H,'Rates-Service Fees'!LO$8)*100</f>
        <v>0</v>
      </c>
      <c r="LP28">
        <f>SUMIFS(Detail!$AS:$AS,Detail!$G:$G,'Rates-Service Fees'!LP$23,Detail!$H:$H,'Rates-Service Fees'!LP$8)*100</f>
        <v>0</v>
      </c>
      <c r="LQ28">
        <f>SUMIFS(Detail!$AS:$AS,Detail!$G:$G,'Rates-Service Fees'!LQ$23,Detail!$H:$H,'Rates-Service Fees'!LQ$8)*100</f>
        <v>0</v>
      </c>
      <c r="LR28">
        <f>SUMIFS(Detail!$AS:$AS,Detail!$G:$G,'Rates-Service Fees'!LR$23,Detail!$H:$H,'Rates-Service Fees'!LR$8)*100</f>
        <v>0</v>
      </c>
      <c r="LS28">
        <f>SUMIFS(Detail!$AS:$AS,Detail!$G:$G,'Rates-Service Fees'!LS$23,Detail!$H:$H,'Rates-Service Fees'!LS$8)*100</f>
        <v>0</v>
      </c>
      <c r="LT28">
        <f>SUMIFS(Detail!$AS:$AS,Detail!$G:$G,'Rates-Service Fees'!LT$23,Detail!$H:$H,'Rates-Service Fees'!LT$8)*100</f>
        <v>0</v>
      </c>
      <c r="LU28">
        <f>SUMIFS(Detail!$AS:$AS,Detail!$G:$G,'Rates-Service Fees'!LU$23,Detail!$H:$H,'Rates-Service Fees'!LU$8)*100</f>
        <v>0</v>
      </c>
      <c r="LV28">
        <f>SUMIFS(Detail!$AS:$AS,Detail!$G:$G,'Rates-Service Fees'!LV$23,Detail!$H:$H,'Rates-Service Fees'!LV$8)*100</f>
        <v>0</v>
      </c>
      <c r="LW28">
        <f>SUMIFS(Detail!$AS:$AS,Detail!$G:$G,'Rates-Service Fees'!LW$23,Detail!$H:$H,'Rates-Service Fees'!LW$8)*100</f>
        <v>0</v>
      </c>
      <c r="LX28">
        <f>SUMIFS(Detail!$AS:$AS,Detail!$G:$G,'Rates-Service Fees'!LX$23,Detail!$H:$H,'Rates-Service Fees'!LX$8)*100</f>
        <v>0</v>
      </c>
      <c r="LY28">
        <f>SUMIFS(Detail!$AS:$AS,Detail!$G:$G,'Rates-Service Fees'!LY$23,Detail!$H:$H,'Rates-Service Fees'!LY$8)*100</f>
        <v>0</v>
      </c>
      <c r="LZ28">
        <f>SUMIFS(Detail!$AS:$AS,Detail!$G:$G,'Rates-Service Fees'!LZ$23,Detail!$H:$H,'Rates-Service Fees'!LZ$8)*100</f>
        <v>0</v>
      </c>
      <c r="MA28">
        <f>SUMIFS(Detail!$AS:$AS,Detail!$G:$G,'Rates-Service Fees'!MA$23,Detail!$H:$H,'Rates-Service Fees'!MA$8)*100</f>
        <v>0</v>
      </c>
      <c r="MB28">
        <f>SUMIFS(Detail!$AS:$AS,Detail!$G:$G,'Rates-Service Fees'!MB$23,Detail!$H:$H,'Rates-Service Fees'!MB$8)*100</f>
        <v>0</v>
      </c>
      <c r="MC28">
        <f>SUMIFS(Detail!$AS:$AS,Detail!$G:$G,'Rates-Service Fees'!MC$23,Detail!$H:$H,'Rates-Service Fees'!MC$8)*100</f>
        <v>0</v>
      </c>
      <c r="MD28">
        <f>SUMIFS(Detail!$AS:$AS,Detail!$G:$G,'Rates-Service Fees'!MD$23,Detail!$H:$H,'Rates-Service Fees'!MD$8)*100</f>
        <v>0</v>
      </c>
      <c r="ME28">
        <f>SUMIFS(Detail!$AS:$AS,Detail!$G:$G,'Rates-Service Fees'!ME$23,Detail!$H:$H,'Rates-Service Fees'!ME$8)*100</f>
        <v>0</v>
      </c>
      <c r="MF28">
        <f>SUMIFS(Detail!$AS:$AS,Detail!$G:$G,'Rates-Service Fees'!MF$23,Detail!$H:$H,'Rates-Service Fees'!MF$8)*100</f>
        <v>0</v>
      </c>
      <c r="MG28">
        <f>SUMIFS(Detail!$AS:$AS,Detail!$G:$G,'Rates-Service Fees'!MG$23,Detail!$H:$H,'Rates-Service Fees'!MG$8)*100</f>
        <v>0</v>
      </c>
      <c r="MH28">
        <f>SUMIFS(Detail!$AS:$AS,Detail!$G:$G,'Rates-Service Fees'!MH$23,Detail!$H:$H,'Rates-Service Fees'!MH$8)*100</f>
        <v>0</v>
      </c>
      <c r="MI28">
        <f>SUMIFS(Detail!$AS:$AS,Detail!$G:$G,'Rates-Service Fees'!MI$23,Detail!$H:$H,'Rates-Service Fees'!MI$8)*100</f>
        <v>0</v>
      </c>
      <c r="MJ28">
        <f>SUMIFS(Detail!$AS:$AS,Detail!$G:$G,'Rates-Service Fees'!MJ$23,Detail!$H:$H,'Rates-Service Fees'!MJ$8)*100</f>
        <v>0</v>
      </c>
      <c r="MK28">
        <f>SUMIFS(Detail!$AS:$AS,Detail!$G:$G,'Rates-Service Fees'!MK$23,Detail!$H:$H,'Rates-Service Fees'!MK$8)*100</f>
        <v>0</v>
      </c>
      <c r="ML28">
        <f>SUMIFS(Detail!$AS:$AS,Detail!$G:$G,'Rates-Service Fees'!ML$23,Detail!$H:$H,'Rates-Service Fees'!ML$8)*100</f>
        <v>0</v>
      </c>
      <c r="MM28">
        <f>SUMIFS(Detail!$AS:$AS,Detail!$G:$G,'Rates-Service Fees'!MM$23,Detail!$H:$H,'Rates-Service Fees'!MM$8)*100</f>
        <v>0</v>
      </c>
      <c r="MN28">
        <f>SUMIFS(Detail!$AS:$AS,Detail!$G:$G,'Rates-Service Fees'!MN$23,Detail!$H:$H,'Rates-Service Fees'!MN$8)*100</f>
        <v>0</v>
      </c>
      <c r="MO28">
        <f>SUMIFS(Detail!$AS:$AS,Detail!$G:$G,'Rates-Service Fees'!MO$23,Detail!$H:$H,'Rates-Service Fees'!MO$8)*100</f>
        <v>0</v>
      </c>
      <c r="MP28">
        <f>SUMIFS(Detail!$AS:$AS,Detail!$G:$G,'Rates-Service Fees'!MP$23,Detail!$H:$H,'Rates-Service Fees'!MP$8)*100</f>
        <v>0</v>
      </c>
      <c r="MQ28">
        <f>SUMIFS(Detail!$AS:$AS,Detail!$G:$G,'Rates-Service Fees'!MQ$23,Detail!$H:$H,'Rates-Service Fees'!MQ$8)*100</f>
        <v>0</v>
      </c>
      <c r="MR28">
        <f>SUMIFS(Detail!$AS:$AS,Detail!$G:$G,'Rates-Service Fees'!MR$23,Detail!$H:$H,'Rates-Service Fees'!MR$8)*100</f>
        <v>0</v>
      </c>
      <c r="MS28">
        <f>SUMIFS(Detail!$AS:$AS,Detail!$G:$G,'Rates-Service Fees'!MS$23,Detail!$H:$H,'Rates-Service Fees'!MS$8)*100</f>
        <v>0</v>
      </c>
      <c r="MT28">
        <f>SUMIFS(Detail!$AS:$AS,Detail!$G:$G,'Rates-Service Fees'!MT$23,Detail!$H:$H,'Rates-Service Fees'!MT$8)*100</f>
        <v>0</v>
      </c>
      <c r="MU28">
        <f>SUMIFS(Detail!$AS:$AS,Detail!$G:$G,'Rates-Service Fees'!MU$23,Detail!$H:$H,'Rates-Service Fees'!MU$8)*100</f>
        <v>0</v>
      </c>
      <c r="MV28">
        <f>SUMIFS(Detail!$AS:$AS,Detail!$G:$G,'Rates-Service Fees'!MV$23,Detail!$H:$H,'Rates-Service Fees'!MV$8)*100</f>
        <v>0</v>
      </c>
      <c r="MW28">
        <f>SUMIFS(Detail!$AS:$AS,Detail!$G:$G,'Rates-Service Fees'!MW$23,Detail!$H:$H,'Rates-Service Fees'!MW$8)*100</f>
        <v>0</v>
      </c>
      <c r="MX28">
        <f>SUMIFS(Detail!$AS:$AS,Detail!$G:$G,'Rates-Service Fees'!MX$23,Detail!$H:$H,'Rates-Service Fees'!MX$8)*100</f>
        <v>0</v>
      </c>
      <c r="MY28">
        <f>SUMIFS(Detail!$AS:$AS,Detail!$G:$G,'Rates-Service Fees'!MY$23,Detail!$H:$H,'Rates-Service Fees'!MY$8)*100</f>
        <v>0</v>
      </c>
      <c r="MZ28">
        <f>SUMIFS(Detail!$AS:$AS,Detail!$G:$G,'Rates-Service Fees'!MZ$23,Detail!$H:$H,'Rates-Service Fees'!MZ$8)*100</f>
        <v>0</v>
      </c>
      <c r="NA28">
        <f>SUMIFS(Detail!$AS:$AS,Detail!$G:$G,'Rates-Service Fees'!NA$23,Detail!$H:$H,'Rates-Service Fees'!NA$8)*100</f>
        <v>0</v>
      </c>
      <c r="NB28">
        <f>SUMIFS(Detail!$AS:$AS,Detail!$G:$G,'Rates-Service Fees'!NB$23,Detail!$H:$H,'Rates-Service Fees'!NB$8)*100</f>
        <v>0</v>
      </c>
      <c r="NC28">
        <f>SUMIFS(Detail!$AS:$AS,Detail!$G:$G,'Rates-Service Fees'!NC$23,Detail!$H:$H,'Rates-Service Fees'!NC$8)*100</f>
        <v>0</v>
      </c>
      <c r="ND28">
        <f>SUMIFS(Detail!$AS:$AS,Detail!$G:$G,'Rates-Service Fees'!ND$23,Detail!$H:$H,'Rates-Service Fees'!ND$8)*100</f>
        <v>0</v>
      </c>
      <c r="NE28">
        <f>SUMIFS(Detail!$AS:$AS,Detail!$G:$G,'Rates-Service Fees'!NE$23,Detail!$H:$H,'Rates-Service Fees'!NE$8)*100</f>
        <v>0</v>
      </c>
      <c r="NF28">
        <f>SUMIFS(Detail!$AS:$AS,Detail!$G:$G,'Rates-Service Fees'!NF$23,Detail!$H:$H,'Rates-Service Fees'!NF$8)*100</f>
        <v>0</v>
      </c>
      <c r="NG28">
        <f>SUMIFS(Detail!$AS:$AS,Detail!$G:$G,'Rates-Service Fees'!NG$23,Detail!$H:$H,'Rates-Service Fees'!NG$8)*100</f>
        <v>0</v>
      </c>
      <c r="NH28">
        <f>SUMIFS(Detail!$AS:$AS,Detail!$G:$G,'Rates-Service Fees'!NH$23,Detail!$H:$H,'Rates-Service Fees'!NH$8)*100</f>
        <v>0</v>
      </c>
      <c r="NI28">
        <f>SUMIFS(Detail!$AS:$AS,Detail!$G:$G,'Rates-Service Fees'!NI$23,Detail!$H:$H,'Rates-Service Fees'!NI$8)*100</f>
        <v>0</v>
      </c>
      <c r="NJ28">
        <f>SUMIFS(Detail!$AS:$AS,Detail!$G:$G,'Rates-Service Fees'!NJ$23,Detail!$H:$H,'Rates-Service Fees'!NJ$8)*100</f>
        <v>0</v>
      </c>
      <c r="NK28">
        <f>SUMIFS(Detail!$AS:$AS,Detail!$G:$G,'Rates-Service Fees'!NK$23,Detail!$H:$H,'Rates-Service Fees'!NK$8)*100</f>
        <v>0</v>
      </c>
      <c r="NL28">
        <f>SUMIFS(Detail!$AS:$AS,Detail!$G:$G,'Rates-Service Fees'!NL$23,Detail!$H:$H,'Rates-Service Fees'!NL$8)*100</f>
        <v>0</v>
      </c>
      <c r="NM28">
        <f>SUMIFS(Detail!$AS:$AS,Detail!$G:$G,'Rates-Service Fees'!NM$23,Detail!$H:$H,'Rates-Service Fees'!NM$8)*100</f>
        <v>0</v>
      </c>
      <c r="NN28">
        <f>SUMIFS(Detail!$AS:$AS,Detail!$G:$G,'Rates-Service Fees'!NN$23,Detail!$H:$H,'Rates-Service Fees'!NN$8)*100</f>
        <v>0</v>
      </c>
      <c r="NO28">
        <f>SUMIFS(Detail!$AS:$AS,Detail!$G:$G,'Rates-Service Fees'!NO$23,Detail!$H:$H,'Rates-Service Fees'!NO$8)*100</f>
        <v>0</v>
      </c>
      <c r="NP28">
        <f>SUMIFS(Detail!$AS:$AS,Detail!$G:$G,'Rates-Service Fees'!NP$23,Detail!$H:$H,'Rates-Service Fees'!NP$8)*100</f>
        <v>0</v>
      </c>
      <c r="NQ28">
        <f>SUMIFS(Detail!$AS:$AS,Detail!$G:$G,'Rates-Service Fees'!NQ$23,Detail!$H:$H,'Rates-Service Fees'!NQ$8)*100</f>
        <v>0</v>
      </c>
      <c r="NR28">
        <f>SUMIFS(Detail!$AS:$AS,Detail!$G:$G,'Rates-Service Fees'!NR$23,Detail!$H:$H,'Rates-Service Fees'!NR$8)*100</f>
        <v>0</v>
      </c>
      <c r="NS28">
        <f>SUMIFS(Detail!$AS:$AS,Detail!$G:$G,'Rates-Service Fees'!NS$23,Detail!$H:$H,'Rates-Service Fees'!NS$8)*100</f>
        <v>0</v>
      </c>
      <c r="NT28">
        <f>SUMIFS(Detail!$AS:$AS,Detail!$G:$G,'Rates-Service Fees'!NT$23,Detail!$H:$H,'Rates-Service Fees'!NT$8)*100</f>
        <v>0</v>
      </c>
      <c r="NU28">
        <f>SUMIFS(Detail!$AS:$AS,Detail!$G:$G,'Rates-Service Fees'!NU$23,Detail!$H:$H,'Rates-Service Fees'!NU$8)*100</f>
        <v>0</v>
      </c>
      <c r="NV28">
        <f>SUMIFS(Detail!$AS:$AS,Detail!$G:$G,'Rates-Service Fees'!NV$23,Detail!$H:$H,'Rates-Service Fees'!NV$8)*100</f>
        <v>0</v>
      </c>
      <c r="NW28">
        <f>SUMIFS(Detail!$AS:$AS,Detail!$G:$G,'Rates-Service Fees'!NW$23,Detail!$H:$H,'Rates-Service Fees'!NW$8)*100</f>
        <v>0</v>
      </c>
      <c r="NX28">
        <f>SUMIFS(Detail!$AS:$AS,Detail!$G:$G,'Rates-Service Fees'!NX$23,Detail!$H:$H,'Rates-Service Fees'!NX$8)*100</f>
        <v>0</v>
      </c>
      <c r="NY28">
        <f>SUMIFS(Detail!$AS:$AS,Detail!$G:$G,'Rates-Service Fees'!NY$23,Detail!$H:$H,'Rates-Service Fees'!NY$8)*100</f>
        <v>0</v>
      </c>
      <c r="NZ28">
        <f>SUMIFS(Detail!$AS:$AS,Detail!$G:$G,'Rates-Service Fees'!NZ$23,Detail!$H:$H,'Rates-Service Fees'!NZ$8)*100</f>
        <v>0</v>
      </c>
      <c r="OA28">
        <f>SUMIFS(Detail!$AS:$AS,Detail!$G:$G,'Rates-Service Fees'!OA$23,Detail!$H:$H,'Rates-Service Fees'!OA$8)*100</f>
        <v>0</v>
      </c>
      <c r="OB28">
        <f>SUMIFS(Detail!$AS:$AS,Detail!$G:$G,'Rates-Service Fees'!OB$23,Detail!$H:$H,'Rates-Service Fees'!OB$8)*100</f>
        <v>0</v>
      </c>
      <c r="OC28">
        <f>SUMIFS(Detail!$AS:$AS,Detail!$G:$G,'Rates-Service Fees'!OC$23,Detail!$H:$H,'Rates-Service Fees'!OC$8)*100</f>
        <v>0</v>
      </c>
      <c r="OD28">
        <f>SUMIFS(Detail!$AS:$AS,Detail!$G:$G,'Rates-Service Fees'!OD$23,Detail!$H:$H,'Rates-Service Fees'!OD$8)*100</f>
        <v>0</v>
      </c>
      <c r="OE28">
        <f>SUMIFS(Detail!$AS:$AS,Detail!$G:$G,'Rates-Service Fees'!OE$23,Detail!$H:$H,'Rates-Service Fees'!OE$8)*100</f>
        <v>0</v>
      </c>
      <c r="OF28">
        <f>SUMIFS(Detail!$AS:$AS,Detail!$G:$G,'Rates-Service Fees'!OF$23,Detail!$H:$H,'Rates-Service Fees'!OF$8)*100</f>
        <v>0</v>
      </c>
      <c r="OG28">
        <f>SUMIFS(Detail!$AS:$AS,Detail!$G:$G,'Rates-Service Fees'!OG$23,Detail!$H:$H,'Rates-Service Fees'!OG$8)*100</f>
        <v>0</v>
      </c>
      <c r="OH28">
        <f>SUMIFS(Detail!$AS:$AS,Detail!$G:$G,'Rates-Service Fees'!OH$23,Detail!$H:$H,'Rates-Service Fees'!OH$8)*100</f>
        <v>0</v>
      </c>
      <c r="OI28">
        <f>SUMIFS(Detail!$AS:$AS,Detail!$G:$G,'Rates-Service Fees'!OI$23,Detail!$H:$H,'Rates-Service Fees'!OI$8)*100</f>
        <v>0</v>
      </c>
      <c r="OJ28">
        <f>SUMIFS(Detail!$AS:$AS,Detail!$G:$G,'Rates-Service Fees'!OJ$23,Detail!$H:$H,'Rates-Service Fees'!OJ$8)*100</f>
        <v>0</v>
      </c>
      <c r="OK28">
        <f>SUMIFS(Detail!$AS:$AS,Detail!$G:$G,'Rates-Service Fees'!OK$23,Detail!$H:$H,'Rates-Service Fees'!OK$8)*100</f>
        <v>0</v>
      </c>
      <c r="OL28">
        <f>SUMIFS(Detail!$AS:$AS,Detail!$G:$G,'Rates-Service Fees'!OL$23,Detail!$H:$H,'Rates-Service Fees'!OL$8)*100</f>
        <v>0</v>
      </c>
      <c r="OM28">
        <f>SUMIFS(Detail!$AS:$AS,Detail!$G:$G,'Rates-Service Fees'!OM$23,Detail!$H:$H,'Rates-Service Fees'!OM$8)*100</f>
        <v>0</v>
      </c>
      <c r="ON28">
        <f>SUMIFS(Detail!$AS:$AS,Detail!$G:$G,'Rates-Service Fees'!ON$23,Detail!$H:$H,'Rates-Service Fees'!ON$8)*100</f>
        <v>0</v>
      </c>
      <c r="OO28">
        <f>SUMIFS(Detail!$AS:$AS,Detail!$G:$G,'Rates-Service Fees'!OO$23,Detail!$H:$H,'Rates-Service Fees'!OO$8)*100</f>
        <v>0</v>
      </c>
      <c r="OP28">
        <f>SUMIFS(Detail!$AS:$AS,Detail!$G:$G,'Rates-Service Fees'!OP$23,Detail!$H:$H,'Rates-Service Fees'!OP$8)*100</f>
        <v>0</v>
      </c>
      <c r="OQ28">
        <f>SUMIFS(Detail!$AS:$AS,Detail!$G:$G,'Rates-Service Fees'!OQ$23,Detail!$H:$H,'Rates-Service Fees'!OQ$8)*100</f>
        <v>0</v>
      </c>
      <c r="OR28">
        <f>SUMIFS(Detail!$AS:$AS,Detail!$G:$G,'Rates-Service Fees'!OR$23,Detail!$H:$H,'Rates-Service Fees'!OR$8)*100</f>
        <v>0</v>
      </c>
      <c r="OS28">
        <f>SUMIFS(Detail!$AS:$AS,Detail!$G:$G,'Rates-Service Fees'!OS$23,Detail!$H:$H,'Rates-Service Fees'!OS$8)*100</f>
        <v>0</v>
      </c>
      <c r="OT28">
        <f>SUMIFS(Detail!$AS:$AS,Detail!$G:$G,'Rates-Service Fees'!OT$23,Detail!$H:$H,'Rates-Service Fees'!OT$8)*100</f>
        <v>0</v>
      </c>
      <c r="OU28">
        <f>SUMIFS(Detail!$AS:$AS,Detail!$G:$G,'Rates-Service Fees'!OU$23,Detail!$H:$H,'Rates-Service Fees'!OU$8)*100</f>
        <v>0</v>
      </c>
      <c r="OV28">
        <f>SUMIFS(Detail!$AS:$AS,Detail!$G:$G,'Rates-Service Fees'!OV$23,Detail!$H:$H,'Rates-Service Fees'!OV$8)*100</f>
        <v>0</v>
      </c>
      <c r="OW28">
        <f>SUMIFS(Detail!$AS:$AS,Detail!$G:$G,'Rates-Service Fees'!OW$23,Detail!$H:$H,'Rates-Service Fees'!OW$8)*100</f>
        <v>0</v>
      </c>
      <c r="OX28">
        <f>SUMIFS(Detail!$AS:$AS,Detail!$G:$G,'Rates-Service Fees'!OX$23,Detail!$H:$H,'Rates-Service Fees'!OX$8)*100</f>
        <v>0</v>
      </c>
      <c r="OY28">
        <f>SUMIFS(Detail!$AS:$AS,Detail!$G:$G,'Rates-Service Fees'!OY$23,Detail!$H:$H,'Rates-Service Fees'!OY$8)*100</f>
        <v>0</v>
      </c>
      <c r="OZ28">
        <f>SUMIFS(Detail!$AS:$AS,Detail!$G:$G,'Rates-Service Fees'!OZ$23,Detail!$H:$H,'Rates-Service Fees'!OZ$8)*100</f>
        <v>0</v>
      </c>
      <c r="PA28">
        <f>SUMIFS(Detail!$AS:$AS,Detail!$G:$G,'Rates-Service Fees'!PA$23,Detail!$H:$H,'Rates-Service Fees'!PA$8)*100</f>
        <v>0</v>
      </c>
      <c r="PB28">
        <f>SUMIFS(Detail!$AS:$AS,Detail!$G:$G,'Rates-Service Fees'!PB$23,Detail!$H:$H,'Rates-Service Fees'!PB$8)*100</f>
        <v>0</v>
      </c>
      <c r="PC28">
        <f>SUMIFS(Detail!$AS:$AS,Detail!$G:$G,'Rates-Service Fees'!PC$23,Detail!$H:$H,'Rates-Service Fees'!PC$8)*100</f>
        <v>0</v>
      </c>
      <c r="PD28">
        <f>SUMIFS(Detail!$AS:$AS,Detail!$G:$G,'Rates-Service Fees'!PD$23,Detail!$H:$H,'Rates-Service Fees'!PD$8)*100</f>
        <v>0</v>
      </c>
      <c r="PE28">
        <f>SUMIFS(Detail!$AS:$AS,Detail!$G:$G,'Rates-Service Fees'!PE$23,Detail!$H:$H,'Rates-Service Fees'!PE$8)*100</f>
        <v>0</v>
      </c>
      <c r="PF28">
        <f>SUMIFS(Detail!$AS:$AS,Detail!$G:$G,'Rates-Service Fees'!PF$23,Detail!$H:$H,'Rates-Service Fees'!PF$8)*100</f>
        <v>0</v>
      </c>
      <c r="PG28">
        <f>SUMIFS(Detail!$AS:$AS,Detail!$G:$G,'Rates-Service Fees'!PG$23,Detail!$H:$H,'Rates-Service Fees'!PG$8)*100</f>
        <v>0</v>
      </c>
      <c r="PH28">
        <f>SUMIFS(Detail!$AS:$AS,Detail!$G:$G,'Rates-Service Fees'!PH$23,Detail!$H:$H,'Rates-Service Fees'!PH$8)*100</f>
        <v>0</v>
      </c>
      <c r="PI28">
        <f>SUMIFS(Detail!$AS:$AS,Detail!$G:$G,'Rates-Service Fees'!PI$23,Detail!$H:$H,'Rates-Service Fees'!PI$8)*100</f>
        <v>0</v>
      </c>
      <c r="PJ28">
        <f>SUMIFS(Detail!$AS:$AS,Detail!$G:$G,'Rates-Service Fees'!PJ$23,Detail!$H:$H,'Rates-Service Fees'!PJ$8)*100</f>
        <v>0</v>
      </c>
      <c r="PK28">
        <f>SUMIFS(Detail!$AS:$AS,Detail!$G:$G,'Rates-Service Fees'!PK$23,Detail!$H:$H,'Rates-Service Fees'!PK$8)*100</f>
        <v>0</v>
      </c>
      <c r="PL28">
        <f>SUMIFS(Detail!$AS:$AS,Detail!$G:$G,'Rates-Service Fees'!PL$23,Detail!$H:$H,'Rates-Service Fees'!PL$8)*100</f>
        <v>0</v>
      </c>
      <c r="PM28">
        <f>SUMIFS(Detail!$AS:$AS,Detail!$G:$G,'Rates-Service Fees'!PM$23,Detail!$H:$H,'Rates-Service Fees'!PM$8)*100</f>
        <v>0</v>
      </c>
      <c r="PN28">
        <f>SUMIFS(Detail!$AS:$AS,Detail!$G:$G,'Rates-Service Fees'!PN$23,Detail!$H:$H,'Rates-Service Fees'!PN$8)*100</f>
        <v>0</v>
      </c>
      <c r="PO28">
        <f>SUMIFS(Detail!$AS:$AS,Detail!$G:$G,'Rates-Service Fees'!PO$23,Detail!$H:$H,'Rates-Service Fees'!PO$8)*100</f>
        <v>0</v>
      </c>
      <c r="PP28">
        <f>SUMIFS(Detail!$AS:$AS,Detail!$G:$G,'Rates-Service Fees'!PP$23,Detail!$H:$H,'Rates-Service Fees'!PP$8)*100</f>
        <v>0</v>
      </c>
      <c r="PQ28">
        <f>SUMIFS(Detail!$AS:$AS,Detail!$G:$G,'Rates-Service Fees'!PQ$23,Detail!$H:$H,'Rates-Service Fees'!PQ$8)*100</f>
        <v>0</v>
      </c>
      <c r="PR28">
        <f>SUMIFS(Detail!$AS:$AS,Detail!$G:$G,'Rates-Service Fees'!PR$23,Detail!$H:$H,'Rates-Service Fees'!PR$8)*100</f>
        <v>0</v>
      </c>
      <c r="PS28">
        <f>SUMIFS(Detail!$AS:$AS,Detail!$G:$G,'Rates-Service Fees'!PS$23,Detail!$H:$H,'Rates-Service Fees'!PS$8)*100</f>
        <v>0</v>
      </c>
      <c r="PT28">
        <f>SUMIFS(Detail!$AS:$AS,Detail!$G:$G,'Rates-Service Fees'!PT$23,Detail!$H:$H,'Rates-Service Fees'!PT$8)*100</f>
        <v>0</v>
      </c>
      <c r="PU28">
        <f>SUMIFS(Detail!$AS:$AS,Detail!$G:$G,'Rates-Service Fees'!PU$23,Detail!$H:$H,'Rates-Service Fees'!PU$8)*100</f>
        <v>0</v>
      </c>
      <c r="PV28">
        <f>SUMIFS(Detail!$AS:$AS,Detail!$G:$G,'Rates-Service Fees'!PV$23,Detail!$H:$H,'Rates-Service Fees'!PV$8)*100</f>
        <v>0</v>
      </c>
      <c r="PW28">
        <f>SUMIFS(Detail!$AS:$AS,Detail!$G:$G,'Rates-Service Fees'!PW$23,Detail!$H:$H,'Rates-Service Fees'!PW$8)*100</f>
        <v>0</v>
      </c>
      <c r="PX28">
        <f>SUMIFS(Detail!$AS:$AS,Detail!$G:$G,'Rates-Service Fees'!PX$23,Detail!$H:$H,'Rates-Service Fees'!PX$8)*100</f>
        <v>0</v>
      </c>
      <c r="PY28">
        <f>SUMIFS(Detail!$AS:$AS,Detail!$G:$G,'Rates-Service Fees'!PY$23,Detail!$H:$H,'Rates-Service Fees'!PY$8)*100</f>
        <v>0</v>
      </c>
      <c r="PZ28">
        <f>SUMIFS(Detail!$AS:$AS,Detail!$G:$G,'Rates-Service Fees'!PZ$23,Detail!$H:$H,'Rates-Service Fees'!PZ$8)*100</f>
        <v>0</v>
      </c>
      <c r="QA28">
        <f>SUMIFS(Detail!$AS:$AS,Detail!$G:$G,'Rates-Service Fees'!QA$23,Detail!$H:$H,'Rates-Service Fees'!QA$8)*100</f>
        <v>0</v>
      </c>
      <c r="QB28">
        <f>SUMIFS(Detail!$AS:$AS,Detail!$G:$G,'Rates-Service Fees'!QB$23,Detail!$H:$H,'Rates-Service Fees'!QB$8)*100</f>
        <v>0</v>
      </c>
      <c r="QC28">
        <f>SUMIFS(Detail!$AS:$AS,Detail!$G:$G,'Rates-Service Fees'!QC$23,Detail!$H:$H,'Rates-Service Fees'!QC$8)*100</f>
        <v>0</v>
      </c>
      <c r="QD28">
        <f>SUMIFS(Detail!$AS:$AS,Detail!$G:$G,'Rates-Service Fees'!QD$23,Detail!$H:$H,'Rates-Service Fees'!QD$8)*100</f>
        <v>0</v>
      </c>
      <c r="QE28">
        <f>SUMIFS(Detail!$AS:$AS,Detail!$G:$G,'Rates-Service Fees'!QE$23,Detail!$H:$H,'Rates-Service Fees'!QE$8)*100</f>
        <v>0</v>
      </c>
      <c r="QF28">
        <f>SUMIFS(Detail!$AS:$AS,Detail!$G:$G,'Rates-Service Fees'!QF$23,Detail!$H:$H,'Rates-Service Fees'!QF$8)*100</f>
        <v>0</v>
      </c>
      <c r="QG28">
        <f>SUMIFS(Detail!$AS:$AS,Detail!$G:$G,'Rates-Service Fees'!QG$23,Detail!$H:$H,'Rates-Service Fees'!QG$8)*100</f>
        <v>0</v>
      </c>
      <c r="QH28">
        <f>SUMIFS(Detail!$AS:$AS,Detail!$G:$G,'Rates-Service Fees'!QH$23,Detail!$H:$H,'Rates-Service Fees'!QH$8)*100</f>
        <v>0</v>
      </c>
      <c r="QI28">
        <f>SUMIFS(Detail!$AS:$AS,Detail!$G:$G,'Rates-Service Fees'!QI$23,Detail!$H:$H,'Rates-Service Fees'!QI$8)*100</f>
        <v>0</v>
      </c>
      <c r="QJ28">
        <f>SUMIFS(Detail!$AS:$AS,Detail!$G:$G,'Rates-Service Fees'!QJ$23,Detail!$H:$H,'Rates-Service Fees'!QJ$8)*100</f>
        <v>0</v>
      </c>
      <c r="QK28">
        <f>SUMIFS(Detail!$AS:$AS,Detail!$G:$G,'Rates-Service Fees'!QK$23,Detail!$H:$H,'Rates-Service Fees'!QK$8)*100</f>
        <v>0</v>
      </c>
      <c r="QL28">
        <f>SUMIFS(Detail!$AS:$AS,Detail!$G:$G,'Rates-Service Fees'!QL$23,Detail!$H:$H,'Rates-Service Fees'!QL$8)*100</f>
        <v>0</v>
      </c>
      <c r="QM28">
        <f>SUMIFS(Detail!$AS:$AS,Detail!$G:$G,'Rates-Service Fees'!QM$23,Detail!$H:$H,'Rates-Service Fees'!QM$8)*100</f>
        <v>0</v>
      </c>
      <c r="QN28">
        <f>SUMIFS(Detail!$AS:$AS,Detail!$G:$G,'Rates-Service Fees'!QN$23,Detail!$H:$H,'Rates-Service Fees'!QN$8)*100</f>
        <v>0</v>
      </c>
      <c r="QO28">
        <f>SUMIFS(Detail!$AS:$AS,Detail!$G:$G,'Rates-Service Fees'!QO$23,Detail!$H:$H,'Rates-Service Fees'!QO$8)*100</f>
        <v>0</v>
      </c>
      <c r="QP28">
        <f>SUMIFS(Detail!$AS:$AS,Detail!$G:$G,'Rates-Service Fees'!QP$23,Detail!$H:$H,'Rates-Service Fees'!QP$8)*100</f>
        <v>0</v>
      </c>
      <c r="QQ28">
        <f>SUMIFS(Detail!$AS:$AS,Detail!$G:$G,'Rates-Service Fees'!QQ$23,Detail!$H:$H,'Rates-Service Fees'!QQ$8)*100</f>
        <v>0</v>
      </c>
      <c r="QR28">
        <f>SUMIFS(Detail!$AS:$AS,Detail!$G:$G,'Rates-Service Fees'!QR$23,Detail!$H:$H,'Rates-Service Fees'!QR$8)*100</f>
        <v>0</v>
      </c>
      <c r="QS28">
        <f>SUMIFS(Detail!$AS:$AS,Detail!$G:$G,'Rates-Service Fees'!QS$23,Detail!$H:$H,'Rates-Service Fees'!QS$8)*100</f>
        <v>0</v>
      </c>
      <c r="QT28">
        <f>SUMIFS(Detail!$AS:$AS,Detail!$G:$G,'Rates-Service Fees'!QT$23,Detail!$H:$H,'Rates-Service Fees'!QT$8)*100</f>
        <v>0</v>
      </c>
      <c r="QU28">
        <f>SUMIFS(Detail!$AS:$AS,Detail!$G:$G,'Rates-Service Fees'!QU$23,Detail!$H:$H,'Rates-Service Fees'!QU$8)*100</f>
        <v>0</v>
      </c>
      <c r="QV28">
        <f>SUMIFS(Detail!$AS:$AS,Detail!$G:$G,'Rates-Service Fees'!QV$23,Detail!$H:$H,'Rates-Service Fees'!QV$8)*100</f>
        <v>0</v>
      </c>
      <c r="QW28">
        <f>SUMIFS(Detail!$AS:$AS,Detail!$G:$G,'Rates-Service Fees'!QW$23,Detail!$H:$H,'Rates-Service Fees'!QW$8)*100</f>
        <v>0</v>
      </c>
      <c r="QX28">
        <f>SUMIFS(Detail!$AS:$AS,Detail!$G:$G,'Rates-Service Fees'!QX$23,Detail!$H:$H,'Rates-Service Fees'!QX$8)*100</f>
        <v>0</v>
      </c>
      <c r="QY28">
        <f>SUMIFS(Detail!$AS:$AS,Detail!$G:$G,'Rates-Service Fees'!QY$23,Detail!$H:$H,'Rates-Service Fees'!QY$8)*100</f>
        <v>0</v>
      </c>
      <c r="QZ28">
        <f>SUMIFS(Detail!$AS:$AS,Detail!$G:$G,'Rates-Service Fees'!QZ$23,Detail!$H:$H,'Rates-Service Fees'!QZ$8)*100</f>
        <v>0</v>
      </c>
      <c r="RA28">
        <f>SUMIFS(Detail!$AS:$AS,Detail!$G:$G,'Rates-Service Fees'!RA$23,Detail!$H:$H,'Rates-Service Fees'!RA$8)*100</f>
        <v>0</v>
      </c>
      <c r="RB28">
        <f>SUMIFS(Detail!$AS:$AS,Detail!$G:$G,'Rates-Service Fees'!RB$23,Detail!$H:$H,'Rates-Service Fees'!RB$8)*100</f>
        <v>0</v>
      </c>
      <c r="RC28">
        <f>SUMIFS(Detail!$AS:$AS,Detail!$G:$G,'Rates-Service Fees'!RC$23,Detail!$H:$H,'Rates-Service Fees'!RC$8)*100</f>
        <v>0</v>
      </c>
      <c r="RD28">
        <f>SUMIFS(Detail!$AS:$AS,Detail!$G:$G,'Rates-Service Fees'!RD$23,Detail!$H:$H,'Rates-Service Fees'!RD$8)*100</f>
        <v>0</v>
      </c>
      <c r="RE28">
        <f>SUMIFS(Detail!$AS:$AS,Detail!$G:$G,'Rates-Service Fees'!RE$23,Detail!$H:$H,'Rates-Service Fees'!RE$8)*100</f>
        <v>0</v>
      </c>
      <c r="RF28">
        <f>SUMIFS(Detail!$AS:$AS,Detail!$G:$G,'Rates-Service Fees'!RF$23,Detail!$H:$H,'Rates-Service Fees'!RF$8)*100</f>
        <v>0</v>
      </c>
      <c r="RG28">
        <f>SUMIFS(Detail!$AS:$AS,Detail!$G:$G,'Rates-Service Fees'!RG$23,Detail!$H:$H,'Rates-Service Fees'!RG$8)*100</f>
        <v>0</v>
      </c>
      <c r="RH28">
        <f>SUMIFS(Detail!$AS:$AS,Detail!$G:$G,'Rates-Service Fees'!RH$23,Detail!$H:$H,'Rates-Service Fees'!RH$8)*100</f>
        <v>0</v>
      </c>
      <c r="RI28">
        <f>SUMIFS(Detail!$AS:$AS,Detail!$G:$G,'Rates-Service Fees'!RI$23,Detail!$H:$H,'Rates-Service Fees'!RI$8)*100</f>
        <v>0</v>
      </c>
      <c r="RJ28">
        <f>SUMIFS(Detail!$AS:$AS,Detail!$G:$G,'Rates-Service Fees'!RJ$23,Detail!$H:$H,'Rates-Service Fees'!RJ$8)*100</f>
        <v>0</v>
      </c>
      <c r="RK28">
        <f>SUMIFS(Detail!$AS:$AS,Detail!$G:$G,'Rates-Service Fees'!RK$23,Detail!$H:$H,'Rates-Service Fees'!RK$8)*100</f>
        <v>0</v>
      </c>
      <c r="RL28">
        <f>SUMIFS(Detail!$AS:$AS,Detail!$G:$G,'Rates-Service Fees'!RL$23,Detail!$H:$H,'Rates-Service Fees'!RL$8)*100</f>
        <v>0</v>
      </c>
      <c r="RM28">
        <f>SUMIFS(Detail!$AS:$AS,Detail!$G:$G,'Rates-Service Fees'!RM$23,Detail!$H:$H,'Rates-Service Fees'!RM$8)*100</f>
        <v>0</v>
      </c>
      <c r="RN28">
        <f>SUMIFS(Detail!$AS:$AS,Detail!$G:$G,'Rates-Service Fees'!RN$23,Detail!$H:$H,'Rates-Service Fees'!RN$8)*100</f>
        <v>0</v>
      </c>
      <c r="RO28">
        <f>SUMIFS(Detail!$AS:$AS,Detail!$G:$G,'Rates-Service Fees'!RO$23,Detail!$H:$H,'Rates-Service Fees'!RO$8)*100</f>
        <v>0</v>
      </c>
      <c r="RP28">
        <f>SUMIFS(Detail!$AS:$AS,Detail!$G:$G,'Rates-Service Fees'!RP$23,Detail!$H:$H,'Rates-Service Fees'!RP$8)*100</f>
        <v>0</v>
      </c>
      <c r="RQ28">
        <f>SUMIFS(Detail!$AS:$AS,Detail!$G:$G,'Rates-Service Fees'!RQ$23,Detail!$H:$H,'Rates-Service Fees'!RQ$8)*100</f>
        <v>0</v>
      </c>
      <c r="RR28">
        <f>SUMIFS(Detail!$AS:$AS,Detail!$G:$G,'Rates-Service Fees'!RR$23,Detail!$H:$H,'Rates-Service Fees'!RR$8)*100</f>
        <v>0</v>
      </c>
      <c r="RS28">
        <f>SUMIFS(Detail!$AS:$AS,Detail!$G:$G,'Rates-Service Fees'!RS$23,Detail!$H:$H,'Rates-Service Fees'!RS$8)*100</f>
        <v>0</v>
      </c>
      <c r="RT28">
        <f>SUMIFS(Detail!$AS:$AS,Detail!$G:$G,'Rates-Service Fees'!RT$23,Detail!$H:$H,'Rates-Service Fees'!RT$8)*100</f>
        <v>0</v>
      </c>
      <c r="RU28">
        <f>SUMIFS(Detail!$AS:$AS,Detail!$G:$G,'Rates-Service Fees'!RU$23,Detail!$H:$H,'Rates-Service Fees'!RU$8)*100</f>
        <v>0</v>
      </c>
      <c r="RV28">
        <f>SUMIFS(Detail!$AS:$AS,Detail!$G:$G,'Rates-Service Fees'!RV$23,Detail!$H:$H,'Rates-Service Fees'!RV$8)*100</f>
        <v>0</v>
      </c>
      <c r="RW28">
        <f>SUMIFS(Detail!$AS:$AS,Detail!$G:$G,'Rates-Service Fees'!RW$23,Detail!$H:$H,'Rates-Service Fees'!RW$8)*100</f>
        <v>0</v>
      </c>
      <c r="RX28">
        <f>SUMIFS(Detail!$AS:$AS,Detail!$G:$G,'Rates-Service Fees'!RX$23,Detail!$H:$H,'Rates-Service Fees'!RX$8)*100</f>
        <v>0</v>
      </c>
      <c r="RY28">
        <f>SUMIFS(Detail!$AS:$AS,Detail!$G:$G,'Rates-Service Fees'!RY$23,Detail!$H:$H,'Rates-Service Fees'!RY$8)*100</f>
        <v>0</v>
      </c>
      <c r="RZ28">
        <f>SUMIFS(Detail!$AS:$AS,Detail!$G:$G,'Rates-Service Fees'!RZ$23,Detail!$H:$H,'Rates-Service Fees'!RZ$8)*100</f>
        <v>0</v>
      </c>
      <c r="SA28">
        <f>SUMIFS(Detail!$AS:$AS,Detail!$G:$G,'Rates-Service Fees'!SA$23,Detail!$H:$H,'Rates-Service Fees'!SA$8)*100</f>
        <v>0</v>
      </c>
      <c r="SB28">
        <f>SUMIFS(Detail!$AS:$AS,Detail!$G:$G,'Rates-Service Fees'!SB$23,Detail!$H:$H,'Rates-Service Fees'!SB$8)*100</f>
        <v>0</v>
      </c>
      <c r="SC28">
        <f>SUMIFS(Detail!$AS:$AS,Detail!$G:$G,'Rates-Service Fees'!SC$23,Detail!$H:$H,'Rates-Service Fees'!SC$8)*100</f>
        <v>0</v>
      </c>
      <c r="SD28">
        <f>SUMIFS(Detail!$AS:$AS,Detail!$G:$G,'Rates-Service Fees'!SD$23,Detail!$H:$H,'Rates-Service Fees'!SD$8)*100</f>
        <v>0</v>
      </c>
      <c r="SE28">
        <f>SUMIFS(Detail!$AS:$AS,Detail!$G:$G,'Rates-Service Fees'!SE$23,Detail!$H:$H,'Rates-Service Fees'!SE$8)*100</f>
        <v>0</v>
      </c>
      <c r="SF28">
        <f>SUMIFS(Detail!$AS:$AS,Detail!$G:$G,'Rates-Service Fees'!SF$23,Detail!$H:$H,'Rates-Service Fees'!SF$8)*100</f>
        <v>0</v>
      </c>
      <c r="SG28">
        <f>SUMIFS(Detail!$AS:$AS,Detail!$G:$G,'Rates-Service Fees'!SG$23,Detail!$H:$H,'Rates-Service Fees'!SG$8)*100</f>
        <v>0</v>
      </c>
      <c r="SH28">
        <f>SUMIFS(Detail!$AS:$AS,Detail!$G:$G,'Rates-Service Fees'!SH$23,Detail!$H:$H,'Rates-Service Fees'!SH$8)*100</f>
        <v>0</v>
      </c>
      <c r="SI28">
        <f>SUMIFS(Detail!$AS:$AS,Detail!$G:$G,'Rates-Service Fees'!SI$23,Detail!$H:$H,'Rates-Service Fees'!SI$8)*100</f>
        <v>0</v>
      </c>
      <c r="SJ28">
        <f>SUMIFS(Detail!$AS:$AS,Detail!$G:$G,'Rates-Service Fees'!SJ$23,Detail!$H:$H,'Rates-Service Fees'!SJ$8)*100</f>
        <v>0</v>
      </c>
      <c r="SK28">
        <f>SUMIFS(Detail!$AS:$AS,Detail!$G:$G,'Rates-Service Fees'!SK$23,Detail!$H:$H,'Rates-Service Fees'!SK$8)*100</f>
        <v>0</v>
      </c>
      <c r="SL28">
        <f>SUMIFS(Detail!$AS:$AS,Detail!$G:$G,'Rates-Service Fees'!SL$23,Detail!$H:$H,'Rates-Service Fees'!SL$8)*100</f>
        <v>0</v>
      </c>
      <c r="SM28">
        <f>SUMIFS(Detail!$AS:$AS,Detail!$G:$G,'Rates-Service Fees'!SM$23,Detail!$H:$H,'Rates-Service Fees'!SM$8)*100</f>
        <v>0</v>
      </c>
      <c r="SN28">
        <f>SUMIFS(Detail!$AS:$AS,Detail!$G:$G,'Rates-Service Fees'!SN$23,Detail!$H:$H,'Rates-Service Fees'!SN$8)*100</f>
        <v>0</v>
      </c>
      <c r="SO28">
        <f>SUMIFS(Detail!$AS:$AS,Detail!$G:$G,'Rates-Service Fees'!SO$23,Detail!$H:$H,'Rates-Service Fees'!SO$8)*100</f>
        <v>0</v>
      </c>
      <c r="SP28">
        <f>SUMIFS(Detail!$AS:$AS,Detail!$G:$G,'Rates-Service Fees'!SP$23,Detail!$H:$H,'Rates-Service Fees'!SP$8)*100</f>
        <v>0</v>
      </c>
      <c r="SQ28">
        <f>SUMIFS(Detail!$AS:$AS,Detail!$G:$G,'Rates-Service Fees'!SQ$23,Detail!$H:$H,'Rates-Service Fees'!SQ$8)*100</f>
        <v>0</v>
      </c>
      <c r="SR28">
        <f>SUMIFS(Detail!$AS:$AS,Detail!$G:$G,'Rates-Service Fees'!SR$23,Detail!$H:$H,'Rates-Service Fees'!SR$8)*100</f>
        <v>0</v>
      </c>
      <c r="SS28">
        <f>SUMIFS(Detail!$AS:$AS,Detail!$G:$G,'Rates-Service Fees'!SS$23,Detail!$H:$H,'Rates-Service Fees'!SS$8)*100</f>
        <v>0</v>
      </c>
      <c r="ST28">
        <f>SUMIFS(Detail!$AS:$AS,Detail!$G:$G,'Rates-Service Fees'!ST$23,Detail!$H:$H,'Rates-Service Fees'!ST$8)*100</f>
        <v>0</v>
      </c>
      <c r="SU28">
        <f>SUMIFS(Detail!$AS:$AS,Detail!$G:$G,'Rates-Service Fees'!SU$23,Detail!$H:$H,'Rates-Service Fees'!SU$8)*100</f>
        <v>0</v>
      </c>
      <c r="SV28">
        <f>SUMIFS(Detail!$AS:$AS,Detail!$G:$G,'Rates-Service Fees'!SV$23,Detail!$H:$H,'Rates-Service Fees'!SV$8)*100</f>
        <v>0</v>
      </c>
      <c r="SW28">
        <f>SUMIFS(Detail!$AS:$AS,Detail!$G:$G,'Rates-Service Fees'!SW$23,Detail!$H:$H,'Rates-Service Fees'!SW$8)*100</f>
        <v>0</v>
      </c>
      <c r="SX28">
        <f>SUMIFS(Detail!$AS:$AS,Detail!$G:$G,'Rates-Service Fees'!SX$23,Detail!$H:$H,'Rates-Service Fees'!SX$8)*100</f>
        <v>0</v>
      </c>
      <c r="SY28">
        <f>SUMIFS(Detail!$AS:$AS,Detail!$G:$G,'Rates-Service Fees'!SY$23,Detail!$H:$H,'Rates-Service Fees'!SY$8)*100</f>
        <v>0</v>
      </c>
      <c r="SZ28">
        <f>SUMIFS(Detail!$AS:$AS,Detail!$G:$G,'Rates-Service Fees'!SZ$23,Detail!$H:$H,'Rates-Service Fees'!SZ$8)*100</f>
        <v>0</v>
      </c>
      <c r="TA28">
        <f>SUMIFS(Detail!$AS:$AS,Detail!$G:$G,'Rates-Service Fees'!TA$23,Detail!$H:$H,'Rates-Service Fees'!TA$8)*100</f>
        <v>0</v>
      </c>
      <c r="TB28">
        <f>SUMIFS(Detail!$AS:$AS,Detail!$G:$G,'Rates-Service Fees'!TB$23,Detail!$H:$H,'Rates-Service Fees'!TB$8)*100</f>
        <v>0</v>
      </c>
      <c r="TC28">
        <f>SUMIFS(Detail!$AS:$AS,Detail!$G:$G,'Rates-Service Fees'!TC$23,Detail!$H:$H,'Rates-Service Fees'!TC$8)*100</f>
        <v>0</v>
      </c>
      <c r="TD28">
        <f>SUMIFS(Detail!$AS:$AS,Detail!$G:$G,'Rates-Service Fees'!TD$23,Detail!$H:$H,'Rates-Service Fees'!TD$8)*100</f>
        <v>0</v>
      </c>
      <c r="TE28">
        <f>SUMIFS(Detail!$AS:$AS,Detail!$G:$G,'Rates-Service Fees'!TE$23,Detail!$H:$H,'Rates-Service Fees'!TE$8)*100</f>
        <v>0</v>
      </c>
      <c r="TF28">
        <f>SUMIFS(Detail!$AS:$AS,Detail!$G:$G,'Rates-Service Fees'!TF$23,Detail!$H:$H,'Rates-Service Fees'!TF$8)*100</f>
        <v>0</v>
      </c>
      <c r="TG28">
        <f>SUMIFS(Detail!$AS:$AS,Detail!$G:$G,'Rates-Service Fees'!TG$23,Detail!$H:$H,'Rates-Service Fees'!TG$8)*100</f>
        <v>0</v>
      </c>
      <c r="TH28">
        <f>SUMIFS(Detail!$AS:$AS,Detail!$G:$G,'Rates-Service Fees'!TH$23,Detail!$H:$H,'Rates-Service Fees'!TH$8)*100</f>
        <v>0</v>
      </c>
      <c r="TI28">
        <f>SUMIFS(Detail!$AS:$AS,Detail!$G:$G,'Rates-Service Fees'!TI$23,Detail!$H:$H,'Rates-Service Fees'!TI$8)*100</f>
        <v>0</v>
      </c>
      <c r="TJ28">
        <f>SUMIFS(Detail!$AS:$AS,Detail!$G:$G,'Rates-Service Fees'!TJ$23,Detail!$H:$H,'Rates-Service Fees'!TJ$8)*100</f>
        <v>0</v>
      </c>
      <c r="TK28">
        <f>SUMIFS(Detail!$AS:$AS,Detail!$G:$G,'Rates-Service Fees'!TK$23,Detail!$H:$H,'Rates-Service Fees'!TK$8)*100</f>
        <v>0</v>
      </c>
      <c r="TL28">
        <f>SUMIFS(Detail!$AS:$AS,Detail!$G:$G,'Rates-Service Fees'!TL$23,Detail!$H:$H,'Rates-Service Fees'!TL$8)*100</f>
        <v>0</v>
      </c>
      <c r="TM28">
        <f>SUMIFS(Detail!$AS:$AS,Detail!$G:$G,'Rates-Service Fees'!TM$23,Detail!$H:$H,'Rates-Service Fees'!TM$8)*100</f>
        <v>0</v>
      </c>
      <c r="TN28">
        <f>SUMIFS(Detail!$AS:$AS,Detail!$G:$G,'Rates-Service Fees'!TN$23,Detail!$H:$H,'Rates-Service Fees'!TN$8)*100</f>
        <v>0</v>
      </c>
      <c r="TO28">
        <f>SUMIFS(Detail!$AS:$AS,Detail!$G:$G,'Rates-Service Fees'!TO$23,Detail!$H:$H,'Rates-Service Fees'!TO$8)*100</f>
        <v>0</v>
      </c>
      <c r="TP28">
        <f>SUMIFS(Detail!$AS:$AS,Detail!$G:$G,'Rates-Service Fees'!TP$23,Detail!$H:$H,'Rates-Service Fees'!TP$8)*100</f>
        <v>0</v>
      </c>
      <c r="TQ28">
        <f>SUMIFS(Detail!$AS:$AS,Detail!$G:$G,'Rates-Service Fees'!TQ$23,Detail!$H:$H,'Rates-Service Fees'!TQ$8)*100</f>
        <v>0</v>
      </c>
      <c r="TR28">
        <f>SUMIFS(Detail!$AS:$AS,Detail!$G:$G,'Rates-Service Fees'!TR$23,Detail!$H:$H,'Rates-Service Fees'!TR$8)*100</f>
        <v>0</v>
      </c>
      <c r="TS28">
        <f>SUMIFS(Detail!$AS:$AS,Detail!$G:$G,'Rates-Service Fees'!TS$23,Detail!$H:$H,'Rates-Service Fees'!TS$8)*100</f>
        <v>0</v>
      </c>
      <c r="TT28">
        <f>SUMIFS(Detail!$AS:$AS,Detail!$G:$G,'Rates-Service Fees'!TT$23,Detail!$H:$H,'Rates-Service Fees'!TT$8)*100</f>
        <v>0</v>
      </c>
      <c r="TU28">
        <f>SUMIFS(Detail!$AS:$AS,Detail!$G:$G,'Rates-Service Fees'!TU$23,Detail!$H:$H,'Rates-Service Fees'!TU$8)*100</f>
        <v>0</v>
      </c>
      <c r="TV28">
        <f>SUMIFS(Detail!$AS:$AS,Detail!$G:$G,'Rates-Service Fees'!TV$23,Detail!$H:$H,'Rates-Service Fees'!TV$8)*100</f>
        <v>0</v>
      </c>
      <c r="TW28">
        <f>SUMIFS(Detail!$AS:$AS,Detail!$G:$G,'Rates-Service Fees'!TW$23,Detail!$H:$H,'Rates-Service Fees'!TW$8)*100</f>
        <v>0</v>
      </c>
      <c r="TX28">
        <f>SUMIFS(Detail!$AS:$AS,Detail!$G:$G,'Rates-Service Fees'!TX$23,Detail!$H:$H,'Rates-Service Fees'!TX$8)*100</f>
        <v>0</v>
      </c>
      <c r="TY28">
        <f>SUMIFS(Detail!$AS:$AS,Detail!$G:$G,'Rates-Service Fees'!TY$23,Detail!$H:$H,'Rates-Service Fees'!TY$8)*100</f>
        <v>0</v>
      </c>
      <c r="TZ28">
        <f>SUMIFS(Detail!$AS:$AS,Detail!$G:$G,'Rates-Service Fees'!TZ$23,Detail!$H:$H,'Rates-Service Fees'!TZ$8)*100</f>
        <v>0</v>
      </c>
      <c r="UA28">
        <f>SUMIFS(Detail!$AS:$AS,Detail!$G:$G,'Rates-Service Fees'!UA$23,Detail!$H:$H,'Rates-Service Fees'!UA$8)*100</f>
        <v>0</v>
      </c>
      <c r="UB28">
        <f>SUMIFS(Detail!$AS:$AS,Detail!$G:$G,'Rates-Service Fees'!UB$23,Detail!$H:$H,'Rates-Service Fees'!UB$8)*100</f>
        <v>0</v>
      </c>
      <c r="UC28">
        <f>SUMIFS(Detail!$AS:$AS,Detail!$G:$G,'Rates-Service Fees'!UC$23,Detail!$H:$H,'Rates-Service Fees'!UC$8)*100</f>
        <v>0</v>
      </c>
      <c r="UD28">
        <f>SUMIFS(Detail!$AS:$AS,Detail!$G:$G,'Rates-Service Fees'!UD$23,Detail!$H:$H,'Rates-Service Fees'!UD$8)*100</f>
        <v>0</v>
      </c>
      <c r="UE28">
        <f>SUMIFS(Detail!$AS:$AS,Detail!$G:$G,'Rates-Service Fees'!UE$23,Detail!$H:$H,'Rates-Service Fees'!UE$8)*100</f>
        <v>0</v>
      </c>
      <c r="UF28">
        <f>SUMIFS(Detail!$AS:$AS,Detail!$G:$G,'Rates-Service Fees'!UF$23,Detail!$H:$H,'Rates-Service Fees'!UF$8)*100</f>
        <v>0</v>
      </c>
      <c r="UG28">
        <f>SUMIFS(Detail!$AS:$AS,Detail!$G:$G,'Rates-Service Fees'!UG$23,Detail!$H:$H,'Rates-Service Fees'!UG$8)*100</f>
        <v>0</v>
      </c>
      <c r="UH28">
        <f>SUMIFS(Detail!$AS:$AS,Detail!$G:$G,'Rates-Service Fees'!UH$23,Detail!$H:$H,'Rates-Service Fees'!UH$8)*100</f>
        <v>0</v>
      </c>
      <c r="UI28">
        <f>SUMIFS(Detail!$AS:$AS,Detail!$G:$G,'Rates-Service Fees'!UI$23,Detail!$H:$H,'Rates-Service Fees'!UI$8)*100</f>
        <v>0</v>
      </c>
      <c r="UJ28">
        <f>SUMIFS(Detail!$AS:$AS,Detail!$G:$G,'Rates-Service Fees'!UJ$23,Detail!$H:$H,'Rates-Service Fees'!UJ$8)*100</f>
        <v>0</v>
      </c>
      <c r="UK28">
        <f>SUMIFS(Detail!$AS:$AS,Detail!$G:$G,'Rates-Service Fees'!UK$23,Detail!$H:$H,'Rates-Service Fees'!UK$8)*100</f>
        <v>0</v>
      </c>
      <c r="UL28">
        <f>SUMIFS(Detail!$AS:$AS,Detail!$G:$G,'Rates-Service Fees'!UL$23,Detail!$H:$H,'Rates-Service Fees'!UL$8)*100</f>
        <v>0</v>
      </c>
      <c r="UM28">
        <f>SUMIFS(Detail!$AS:$AS,Detail!$G:$G,'Rates-Service Fees'!UM$23,Detail!$H:$H,'Rates-Service Fees'!UM$8)*100</f>
        <v>0</v>
      </c>
      <c r="UN28">
        <f>SUMIFS(Detail!$AS:$AS,Detail!$G:$G,'Rates-Service Fees'!UN$23,Detail!$H:$H,'Rates-Service Fees'!UN$8)*100</f>
        <v>0</v>
      </c>
      <c r="UO28">
        <f>SUMIFS(Detail!$AS:$AS,Detail!$G:$G,'Rates-Service Fees'!UO$23,Detail!$H:$H,'Rates-Service Fees'!UO$8)*100</f>
        <v>0</v>
      </c>
      <c r="UP28">
        <f>SUMIFS(Detail!$AS:$AS,Detail!$G:$G,'Rates-Service Fees'!UP$23,Detail!$H:$H,'Rates-Service Fees'!UP$8)*100</f>
        <v>0</v>
      </c>
      <c r="UQ28">
        <f>SUMIFS(Detail!$AS:$AS,Detail!$G:$G,'Rates-Service Fees'!UQ$23,Detail!$H:$H,'Rates-Service Fees'!UQ$8)*100</f>
        <v>0</v>
      </c>
      <c r="UR28">
        <f>SUMIFS(Detail!$AS:$AS,Detail!$G:$G,'Rates-Service Fees'!UR$23,Detail!$H:$H,'Rates-Service Fees'!UR$8)*100</f>
        <v>0</v>
      </c>
      <c r="US28">
        <f>SUMIFS(Detail!$AS:$AS,Detail!$G:$G,'Rates-Service Fees'!US$23,Detail!$H:$H,'Rates-Service Fees'!US$8)*100</f>
        <v>0</v>
      </c>
      <c r="UT28">
        <f>SUMIFS(Detail!$AS:$AS,Detail!$G:$G,'Rates-Service Fees'!UT$23,Detail!$H:$H,'Rates-Service Fees'!UT$8)*100</f>
        <v>0</v>
      </c>
      <c r="UU28">
        <f>SUMIFS(Detail!$AS:$AS,Detail!$G:$G,'Rates-Service Fees'!UU$23,Detail!$H:$H,'Rates-Service Fees'!UU$8)*100</f>
        <v>0</v>
      </c>
      <c r="UV28">
        <f>SUMIFS(Detail!$AS:$AS,Detail!$G:$G,'Rates-Service Fees'!UV$23,Detail!$H:$H,'Rates-Service Fees'!UV$8)*100</f>
        <v>0</v>
      </c>
      <c r="UW28">
        <f>SUMIFS(Detail!$AS:$AS,Detail!$G:$G,'Rates-Service Fees'!UW$23,Detail!$H:$H,'Rates-Service Fees'!UW$8)*100</f>
        <v>0</v>
      </c>
      <c r="UX28">
        <f>SUMIFS(Detail!$AS:$AS,Detail!$G:$G,'Rates-Service Fees'!UX$23,Detail!$H:$H,'Rates-Service Fees'!UX$8)*100</f>
        <v>0</v>
      </c>
      <c r="UY28">
        <f>SUMIFS(Detail!$AS:$AS,Detail!$G:$G,'Rates-Service Fees'!UY$23,Detail!$H:$H,'Rates-Service Fees'!UY$8)*100</f>
        <v>0</v>
      </c>
      <c r="UZ28">
        <f>SUMIFS(Detail!$AS:$AS,Detail!$G:$G,'Rates-Service Fees'!UZ$23,Detail!$H:$H,'Rates-Service Fees'!UZ$8)*100</f>
        <v>0</v>
      </c>
      <c r="VA28">
        <f>SUMIFS(Detail!$AS:$AS,Detail!$G:$G,'Rates-Service Fees'!VA$23,Detail!$H:$H,'Rates-Service Fees'!VA$8)*100</f>
        <v>0</v>
      </c>
      <c r="VB28">
        <f>SUMIFS(Detail!$AS:$AS,Detail!$G:$G,'Rates-Service Fees'!VB$23,Detail!$H:$H,'Rates-Service Fees'!VB$8)*100</f>
        <v>0</v>
      </c>
      <c r="VC28">
        <f>SUMIFS(Detail!$AS:$AS,Detail!$G:$G,'Rates-Service Fees'!VC$23,Detail!$H:$H,'Rates-Service Fees'!VC$8)*100</f>
        <v>0</v>
      </c>
      <c r="VD28">
        <f>SUMIFS(Detail!$AS:$AS,Detail!$G:$G,'Rates-Service Fees'!VD$23,Detail!$H:$H,'Rates-Service Fees'!VD$8)*100</f>
        <v>0</v>
      </c>
      <c r="VE28">
        <f>SUMIFS(Detail!$AS:$AS,Detail!$G:$G,'Rates-Service Fees'!VE$23,Detail!$H:$H,'Rates-Service Fees'!VE$8)*100</f>
        <v>0</v>
      </c>
      <c r="VF28">
        <f>SUMIFS(Detail!$AS:$AS,Detail!$G:$G,'Rates-Service Fees'!VF$23,Detail!$H:$H,'Rates-Service Fees'!VF$8)*100</f>
        <v>0</v>
      </c>
      <c r="VG28">
        <f>SUMIFS(Detail!$AS:$AS,Detail!$G:$G,'Rates-Service Fees'!VG$23,Detail!$H:$H,'Rates-Service Fees'!VG$8)*100</f>
        <v>0</v>
      </c>
      <c r="VH28">
        <f>SUMIFS(Detail!$AS:$AS,Detail!$G:$G,'Rates-Service Fees'!VH$23,Detail!$H:$H,'Rates-Service Fees'!VH$8)*100</f>
        <v>0</v>
      </c>
      <c r="VI28">
        <f>SUMIFS(Detail!$AS:$AS,Detail!$G:$G,'Rates-Service Fees'!VI$23,Detail!$H:$H,'Rates-Service Fees'!VI$8)*100</f>
        <v>0</v>
      </c>
      <c r="VJ28">
        <f>SUMIFS(Detail!$AS:$AS,Detail!$G:$G,'Rates-Service Fees'!VJ$23,Detail!$H:$H,'Rates-Service Fees'!VJ$8)*100</f>
        <v>0</v>
      </c>
      <c r="VK28">
        <f>SUMIFS(Detail!$AS:$AS,Detail!$G:$G,'Rates-Service Fees'!VK$23,Detail!$H:$H,'Rates-Service Fees'!VK$8)*100</f>
        <v>0</v>
      </c>
      <c r="VL28">
        <f>SUMIFS(Detail!$AS:$AS,Detail!$G:$G,'Rates-Service Fees'!VL$23,Detail!$H:$H,'Rates-Service Fees'!VL$8)*100</f>
        <v>0</v>
      </c>
      <c r="VM28">
        <f>SUMIFS(Detail!$AS:$AS,Detail!$G:$G,'Rates-Service Fees'!VM$23,Detail!$H:$H,'Rates-Service Fees'!VM$8)*100</f>
        <v>0</v>
      </c>
      <c r="VN28">
        <f>SUMIFS(Detail!$AS:$AS,Detail!$G:$G,'Rates-Service Fees'!VN$23,Detail!$H:$H,'Rates-Service Fees'!VN$8)*100</f>
        <v>0</v>
      </c>
      <c r="VO28">
        <f>SUMIFS(Detail!$AS:$AS,Detail!$G:$G,'Rates-Service Fees'!VO$23,Detail!$H:$H,'Rates-Service Fees'!VO$8)*100</f>
        <v>0</v>
      </c>
      <c r="VP28">
        <f>SUMIFS(Detail!$AS:$AS,Detail!$G:$G,'Rates-Service Fees'!VP$23,Detail!$H:$H,'Rates-Service Fees'!VP$8)*100</f>
        <v>0</v>
      </c>
      <c r="VQ28">
        <f>SUMIFS(Detail!$AS:$AS,Detail!$G:$G,'Rates-Service Fees'!VQ$23,Detail!$H:$H,'Rates-Service Fees'!VQ$8)*100</f>
        <v>0</v>
      </c>
      <c r="VR28">
        <f>SUMIFS(Detail!$AS:$AS,Detail!$G:$G,'Rates-Service Fees'!VR$23,Detail!$H:$H,'Rates-Service Fees'!VR$8)*100</f>
        <v>0</v>
      </c>
      <c r="VS28">
        <f>SUMIFS(Detail!$AS:$AS,Detail!$G:$G,'Rates-Service Fees'!VS$23,Detail!$H:$H,'Rates-Service Fees'!VS$8)*100</f>
        <v>0</v>
      </c>
      <c r="VT28">
        <f>SUMIFS(Detail!$AS:$AS,Detail!$G:$G,'Rates-Service Fees'!VT$23,Detail!$H:$H,'Rates-Service Fees'!VT$8)*100</f>
        <v>0</v>
      </c>
      <c r="VU28">
        <f>SUMIFS(Detail!$AS:$AS,Detail!$G:$G,'Rates-Service Fees'!VU$23,Detail!$H:$H,'Rates-Service Fees'!VU$8)*100</f>
        <v>0</v>
      </c>
      <c r="VV28">
        <f>SUMIFS(Detail!$AS:$AS,Detail!$G:$G,'Rates-Service Fees'!VV$23,Detail!$H:$H,'Rates-Service Fees'!VV$8)*100</f>
        <v>0</v>
      </c>
      <c r="VW28">
        <f>SUMIFS(Detail!$AS:$AS,Detail!$G:$G,'Rates-Service Fees'!VW$23,Detail!$H:$H,'Rates-Service Fees'!VW$8)*100</f>
        <v>0</v>
      </c>
      <c r="VX28">
        <f>SUMIFS(Detail!$AS:$AS,Detail!$G:$G,'Rates-Service Fees'!VX$23,Detail!$H:$H,'Rates-Service Fees'!VX$8)*100</f>
        <v>0</v>
      </c>
      <c r="VY28">
        <f>SUMIFS(Detail!$AS:$AS,Detail!$G:$G,'Rates-Service Fees'!VY$23,Detail!$H:$H,'Rates-Service Fees'!VY$8)*100</f>
        <v>0</v>
      </c>
      <c r="VZ28">
        <f>SUMIFS(Detail!$AS:$AS,Detail!$G:$G,'Rates-Service Fees'!VZ$23,Detail!$H:$H,'Rates-Service Fees'!VZ$8)*100</f>
        <v>0</v>
      </c>
      <c r="WA28">
        <f>SUMIFS(Detail!$AS:$AS,Detail!$G:$G,'Rates-Service Fees'!WA$23,Detail!$H:$H,'Rates-Service Fees'!WA$8)*100</f>
        <v>0</v>
      </c>
      <c r="WB28">
        <f>SUMIFS(Detail!$AS:$AS,Detail!$G:$G,'Rates-Service Fees'!WB$23,Detail!$H:$H,'Rates-Service Fees'!WB$8)*100</f>
        <v>0</v>
      </c>
      <c r="WC28">
        <f>SUMIFS(Detail!$AS:$AS,Detail!$G:$G,'Rates-Service Fees'!WC$23,Detail!$H:$H,'Rates-Service Fees'!WC$8)*100</f>
        <v>0</v>
      </c>
      <c r="WD28">
        <f>SUMIFS(Detail!$AS:$AS,Detail!$G:$G,'Rates-Service Fees'!WD$23,Detail!$H:$H,'Rates-Service Fees'!WD$8)*100</f>
        <v>0</v>
      </c>
      <c r="WE28">
        <f>SUMIFS(Detail!$AS:$AS,Detail!$G:$G,'Rates-Service Fees'!WE$23,Detail!$H:$H,'Rates-Service Fees'!WE$8)*100</f>
        <v>0</v>
      </c>
      <c r="WF28">
        <f>SUMIFS(Detail!$AS:$AS,Detail!$G:$G,'Rates-Service Fees'!WF$23,Detail!$H:$H,'Rates-Service Fees'!WF$8)*100</f>
        <v>0</v>
      </c>
      <c r="WG28">
        <f>SUMIFS(Detail!$AS:$AS,Detail!$G:$G,'Rates-Service Fees'!WG$23,Detail!$H:$H,'Rates-Service Fees'!WG$8)*100</f>
        <v>0</v>
      </c>
      <c r="WH28">
        <f>SUMIFS(Detail!$AS:$AS,Detail!$G:$G,'Rates-Service Fees'!WH$23,Detail!$H:$H,'Rates-Service Fees'!WH$8)*100</f>
        <v>0</v>
      </c>
      <c r="WI28">
        <f>SUMIFS(Detail!$AS:$AS,Detail!$G:$G,'Rates-Service Fees'!WI$23,Detail!$H:$H,'Rates-Service Fees'!WI$8)*100</f>
        <v>0</v>
      </c>
      <c r="WJ28">
        <f>SUMIFS(Detail!$AS:$AS,Detail!$G:$G,'Rates-Service Fees'!WJ$23,Detail!$H:$H,'Rates-Service Fees'!WJ$8)*100</f>
        <v>0</v>
      </c>
      <c r="WK28">
        <f>SUMIFS(Detail!$AS:$AS,Detail!$G:$G,'Rates-Service Fees'!WK$23,Detail!$H:$H,'Rates-Service Fees'!WK$8)*100</f>
        <v>0</v>
      </c>
      <c r="WL28">
        <f>SUMIFS(Detail!$AS:$AS,Detail!$G:$G,'Rates-Service Fees'!WL$23,Detail!$H:$H,'Rates-Service Fees'!WL$8)*100</f>
        <v>0</v>
      </c>
      <c r="WM28">
        <f>SUMIFS(Detail!$AS:$AS,Detail!$G:$G,'Rates-Service Fees'!WM$23,Detail!$H:$H,'Rates-Service Fees'!WM$8)*100</f>
        <v>0</v>
      </c>
      <c r="WN28">
        <f>SUMIFS(Detail!$AS:$AS,Detail!$G:$G,'Rates-Service Fees'!WN$23,Detail!$H:$H,'Rates-Service Fees'!WN$8)*100</f>
        <v>0</v>
      </c>
      <c r="WO28">
        <f>SUMIFS(Detail!$AS:$AS,Detail!$G:$G,'Rates-Service Fees'!WO$23,Detail!$H:$H,'Rates-Service Fees'!WO$8)*100</f>
        <v>0</v>
      </c>
      <c r="WP28">
        <f>SUMIFS(Detail!$AS:$AS,Detail!$G:$G,'Rates-Service Fees'!WP$23,Detail!$H:$H,'Rates-Service Fees'!WP$8)*100</f>
        <v>0</v>
      </c>
      <c r="WQ28">
        <f>SUMIFS(Detail!$AS:$AS,Detail!$G:$G,'Rates-Service Fees'!WQ$23,Detail!$H:$H,'Rates-Service Fees'!WQ$8)*100</f>
        <v>0</v>
      </c>
      <c r="WR28">
        <f>SUMIFS(Detail!$AS:$AS,Detail!$G:$G,'Rates-Service Fees'!WR$23,Detail!$H:$H,'Rates-Service Fees'!WR$8)*100</f>
        <v>0</v>
      </c>
      <c r="WS28">
        <f>SUMIFS(Detail!$AS:$AS,Detail!$G:$G,'Rates-Service Fees'!WS$23,Detail!$H:$H,'Rates-Service Fees'!WS$8)*100</f>
        <v>0</v>
      </c>
      <c r="WT28">
        <f>SUMIFS(Detail!$AS:$AS,Detail!$G:$G,'Rates-Service Fees'!WT$23,Detail!$H:$H,'Rates-Service Fees'!WT$8)*100</f>
        <v>0</v>
      </c>
      <c r="WU28">
        <f>SUMIFS(Detail!$AS:$AS,Detail!$G:$G,'Rates-Service Fees'!WU$23,Detail!$H:$H,'Rates-Service Fees'!WU$8)*100</f>
        <v>0</v>
      </c>
      <c r="WV28">
        <f>SUMIFS(Detail!$AS:$AS,Detail!$G:$G,'Rates-Service Fees'!WV$23,Detail!$H:$H,'Rates-Service Fees'!WV$8)*100</f>
        <v>0</v>
      </c>
      <c r="WW28">
        <f>SUMIFS(Detail!$AS:$AS,Detail!$G:$G,'Rates-Service Fees'!WW$23,Detail!$H:$H,'Rates-Service Fees'!WW$8)*100</f>
        <v>0</v>
      </c>
      <c r="WX28">
        <f>SUMIFS(Detail!$AS:$AS,Detail!$G:$G,'Rates-Service Fees'!WX$23,Detail!$H:$H,'Rates-Service Fees'!WX$8)*100</f>
        <v>0</v>
      </c>
      <c r="WY28">
        <f>SUMIFS(Detail!$AS:$AS,Detail!$G:$G,'Rates-Service Fees'!WY$23,Detail!$H:$H,'Rates-Service Fees'!WY$8)*100</f>
        <v>0</v>
      </c>
      <c r="WZ28">
        <f>SUMIFS(Detail!$AS:$AS,Detail!$G:$G,'Rates-Service Fees'!WZ$23,Detail!$H:$H,'Rates-Service Fees'!WZ$8)*100</f>
        <v>0</v>
      </c>
      <c r="XA28">
        <f>SUMIFS(Detail!$AS:$AS,Detail!$G:$G,'Rates-Service Fees'!XA$23,Detail!$H:$H,'Rates-Service Fees'!XA$8)*100</f>
        <v>0</v>
      </c>
      <c r="XB28">
        <f>SUMIFS(Detail!$AS:$AS,Detail!$G:$G,'Rates-Service Fees'!XB$23,Detail!$H:$H,'Rates-Service Fees'!XB$8)*100</f>
        <v>0</v>
      </c>
      <c r="XC28">
        <f>SUMIFS(Detail!$AS:$AS,Detail!$G:$G,'Rates-Service Fees'!XC$23,Detail!$H:$H,'Rates-Service Fees'!XC$8)*100</f>
        <v>0</v>
      </c>
      <c r="XD28">
        <f>SUMIFS(Detail!$AS:$AS,Detail!$G:$G,'Rates-Service Fees'!XD$23,Detail!$H:$H,'Rates-Service Fees'!XD$8)*100</f>
        <v>0</v>
      </c>
      <c r="XE28">
        <f>SUMIFS(Detail!$AS:$AS,Detail!$G:$G,'Rates-Service Fees'!XE$23,Detail!$H:$H,'Rates-Service Fees'!XE$8)*100</f>
        <v>0</v>
      </c>
      <c r="XF28">
        <f>SUMIFS(Detail!$AS:$AS,Detail!$G:$G,'Rates-Service Fees'!XF$23,Detail!$H:$H,'Rates-Service Fees'!XF$8)*100</f>
        <v>0</v>
      </c>
      <c r="XG28">
        <f>SUMIFS(Detail!$AS:$AS,Detail!$G:$G,'Rates-Service Fees'!XG$23,Detail!$H:$H,'Rates-Service Fees'!XG$8)*100</f>
        <v>0</v>
      </c>
      <c r="XH28">
        <f>SUMIFS(Detail!$AS:$AS,Detail!$G:$G,'Rates-Service Fees'!XH$23,Detail!$H:$H,'Rates-Service Fees'!XH$8)*100</f>
        <v>0</v>
      </c>
      <c r="XI28">
        <f>SUMIFS(Detail!$AS:$AS,Detail!$G:$G,'Rates-Service Fees'!XI$23,Detail!$H:$H,'Rates-Service Fees'!XI$8)*100</f>
        <v>0</v>
      </c>
      <c r="XJ28">
        <f>SUMIFS(Detail!$AS:$AS,Detail!$G:$G,'Rates-Service Fees'!XJ$23,Detail!$H:$H,'Rates-Service Fees'!XJ$8)*100</f>
        <v>0</v>
      </c>
      <c r="XK28">
        <f>SUMIFS(Detail!$AS:$AS,Detail!$G:$G,'Rates-Service Fees'!XK$23,Detail!$H:$H,'Rates-Service Fees'!XK$8)*100</f>
        <v>0</v>
      </c>
      <c r="XL28">
        <f>SUMIFS(Detail!$AS:$AS,Detail!$G:$G,'Rates-Service Fees'!XL$23,Detail!$H:$H,'Rates-Service Fees'!XL$8)*100</f>
        <v>0</v>
      </c>
      <c r="XM28">
        <f>SUMIFS(Detail!$AS:$AS,Detail!$G:$G,'Rates-Service Fees'!XM$23,Detail!$H:$H,'Rates-Service Fees'!XM$8)*100</f>
        <v>0</v>
      </c>
      <c r="XN28">
        <f>SUMIFS(Detail!$AS:$AS,Detail!$G:$G,'Rates-Service Fees'!XN$23,Detail!$H:$H,'Rates-Service Fees'!XN$8)*100</f>
        <v>0</v>
      </c>
      <c r="XO28">
        <f>SUMIFS(Detail!$AS:$AS,Detail!$G:$G,'Rates-Service Fees'!XO$23,Detail!$H:$H,'Rates-Service Fees'!XO$8)*100</f>
        <v>0</v>
      </c>
      <c r="XP28">
        <f>SUMIFS(Detail!$AS:$AS,Detail!$G:$G,'Rates-Service Fees'!XP$23,Detail!$H:$H,'Rates-Service Fees'!XP$8)*100</f>
        <v>0</v>
      </c>
      <c r="XQ28">
        <f>SUMIFS(Detail!$AS:$AS,Detail!$G:$G,'Rates-Service Fees'!XQ$23,Detail!$H:$H,'Rates-Service Fees'!XQ$8)*100</f>
        <v>0</v>
      </c>
      <c r="XR28">
        <f>SUMIFS(Detail!$AS:$AS,Detail!$G:$G,'Rates-Service Fees'!XR$23,Detail!$H:$H,'Rates-Service Fees'!XR$8)*100</f>
        <v>0</v>
      </c>
      <c r="XS28">
        <f>SUMIFS(Detail!$AS:$AS,Detail!$G:$G,'Rates-Service Fees'!XS$23,Detail!$H:$H,'Rates-Service Fees'!XS$8)*100</f>
        <v>0</v>
      </c>
      <c r="XT28">
        <f>SUMIFS(Detail!$AS:$AS,Detail!$G:$G,'Rates-Service Fees'!XT$23,Detail!$H:$H,'Rates-Service Fees'!XT$8)*100</f>
        <v>0</v>
      </c>
      <c r="XU28">
        <f>SUMIFS(Detail!$AS:$AS,Detail!$G:$G,'Rates-Service Fees'!XU$23,Detail!$H:$H,'Rates-Service Fees'!XU$8)*100</f>
        <v>0</v>
      </c>
      <c r="XV28">
        <f>SUMIFS(Detail!$AS:$AS,Detail!$G:$G,'Rates-Service Fees'!XV$23,Detail!$H:$H,'Rates-Service Fees'!XV$8)*100</f>
        <v>0</v>
      </c>
      <c r="XW28">
        <f>SUMIFS(Detail!$AS:$AS,Detail!$G:$G,'Rates-Service Fees'!XW$23,Detail!$H:$H,'Rates-Service Fees'!XW$8)*100</f>
        <v>0</v>
      </c>
      <c r="XX28">
        <f>SUMIFS(Detail!$AS:$AS,Detail!$G:$G,'Rates-Service Fees'!XX$23,Detail!$H:$H,'Rates-Service Fees'!XX$8)*100</f>
        <v>0</v>
      </c>
      <c r="XY28">
        <f>SUMIFS(Detail!$AS:$AS,Detail!$G:$G,'Rates-Service Fees'!XY$23,Detail!$H:$H,'Rates-Service Fees'!XY$8)*100</f>
        <v>0</v>
      </c>
      <c r="XZ28">
        <f>SUMIFS(Detail!$AS:$AS,Detail!$G:$G,'Rates-Service Fees'!XZ$23,Detail!$H:$H,'Rates-Service Fees'!XZ$8)*100</f>
        <v>0</v>
      </c>
      <c r="YA28">
        <f>SUMIFS(Detail!$AS:$AS,Detail!$G:$G,'Rates-Service Fees'!YA$23,Detail!$H:$H,'Rates-Service Fees'!YA$8)*100</f>
        <v>0</v>
      </c>
      <c r="YB28">
        <f>SUMIFS(Detail!$AS:$AS,Detail!$G:$G,'Rates-Service Fees'!YB$23,Detail!$H:$H,'Rates-Service Fees'!YB$8)*100</f>
        <v>0</v>
      </c>
      <c r="YC28">
        <f>SUMIFS(Detail!$AS:$AS,Detail!$G:$G,'Rates-Service Fees'!YC$23,Detail!$H:$H,'Rates-Service Fees'!YC$8)*100</f>
        <v>0</v>
      </c>
      <c r="YD28">
        <f>SUMIFS(Detail!$AS:$AS,Detail!$G:$G,'Rates-Service Fees'!YD$23,Detail!$H:$H,'Rates-Service Fees'!YD$8)*100</f>
        <v>0</v>
      </c>
      <c r="YE28">
        <f>SUMIFS(Detail!$AS:$AS,Detail!$G:$G,'Rates-Service Fees'!YE$23,Detail!$H:$H,'Rates-Service Fees'!YE$8)*100</f>
        <v>0</v>
      </c>
      <c r="YF28">
        <f>SUMIFS(Detail!$AS:$AS,Detail!$G:$G,'Rates-Service Fees'!YF$23,Detail!$H:$H,'Rates-Service Fees'!YF$8)*100</f>
        <v>0</v>
      </c>
      <c r="YG28">
        <f>SUMIFS(Detail!$AS:$AS,Detail!$G:$G,'Rates-Service Fees'!YG$23,Detail!$H:$H,'Rates-Service Fees'!YG$8)*100</f>
        <v>0</v>
      </c>
      <c r="YH28">
        <f>SUMIFS(Detail!$AS:$AS,Detail!$G:$G,'Rates-Service Fees'!YH$23,Detail!$H:$H,'Rates-Service Fees'!YH$8)*100</f>
        <v>0</v>
      </c>
      <c r="YI28">
        <f>SUMIFS(Detail!$AS:$AS,Detail!$G:$G,'Rates-Service Fees'!YI$23,Detail!$H:$H,'Rates-Service Fees'!YI$8)*100</f>
        <v>0</v>
      </c>
      <c r="YJ28">
        <f>SUMIFS(Detail!$AS:$AS,Detail!$G:$G,'Rates-Service Fees'!YJ$23,Detail!$H:$H,'Rates-Service Fees'!YJ$8)*100</f>
        <v>0</v>
      </c>
      <c r="YK28">
        <f>SUMIFS(Detail!$AS:$AS,Detail!$G:$G,'Rates-Service Fees'!YK$23,Detail!$H:$H,'Rates-Service Fees'!YK$8)*100</f>
        <v>0</v>
      </c>
      <c r="YL28">
        <f>SUMIFS(Detail!$AS:$AS,Detail!$G:$G,'Rates-Service Fees'!YL$23,Detail!$H:$H,'Rates-Service Fees'!YL$8)*100</f>
        <v>0</v>
      </c>
      <c r="YM28">
        <f>SUMIFS(Detail!$AS:$AS,Detail!$G:$G,'Rates-Service Fees'!YM$23,Detail!$H:$H,'Rates-Service Fees'!YM$8)*100</f>
        <v>0</v>
      </c>
      <c r="YN28">
        <f>SUMIFS(Detail!$AS:$AS,Detail!$G:$G,'Rates-Service Fees'!YN$23,Detail!$H:$H,'Rates-Service Fees'!YN$8)*100</f>
        <v>0</v>
      </c>
      <c r="YO28">
        <f>SUMIFS(Detail!$AS:$AS,Detail!$G:$G,'Rates-Service Fees'!YO$23,Detail!$H:$H,'Rates-Service Fees'!YO$8)*100</f>
        <v>0</v>
      </c>
      <c r="YP28">
        <f>SUMIFS(Detail!$AS:$AS,Detail!$G:$G,'Rates-Service Fees'!YP$23,Detail!$H:$H,'Rates-Service Fees'!YP$8)*100</f>
        <v>0</v>
      </c>
      <c r="YQ28">
        <f>SUMIFS(Detail!$AS:$AS,Detail!$G:$G,'Rates-Service Fees'!YQ$23,Detail!$H:$H,'Rates-Service Fees'!YQ$8)*100</f>
        <v>0</v>
      </c>
      <c r="YR28">
        <f>SUMIFS(Detail!$AS:$AS,Detail!$G:$G,'Rates-Service Fees'!YR$23,Detail!$H:$H,'Rates-Service Fees'!YR$8)*100</f>
        <v>0</v>
      </c>
      <c r="YS28">
        <f>SUMIFS(Detail!$AS:$AS,Detail!$G:$G,'Rates-Service Fees'!YS$23,Detail!$H:$H,'Rates-Service Fees'!YS$8)*100</f>
        <v>0</v>
      </c>
      <c r="YT28">
        <f>SUMIFS(Detail!$AS:$AS,Detail!$G:$G,'Rates-Service Fees'!YT$23,Detail!$H:$H,'Rates-Service Fees'!YT$8)*100</f>
        <v>0</v>
      </c>
      <c r="YU28">
        <f>SUMIFS(Detail!$AS:$AS,Detail!$G:$G,'Rates-Service Fees'!YU$23,Detail!$H:$H,'Rates-Service Fees'!YU$8)*100</f>
        <v>0</v>
      </c>
      <c r="YV28">
        <f>SUMIFS(Detail!$AS:$AS,Detail!$G:$G,'Rates-Service Fees'!YV$23,Detail!$H:$H,'Rates-Service Fees'!YV$8)*100</f>
        <v>0</v>
      </c>
      <c r="YW28">
        <f>SUMIFS(Detail!$AS:$AS,Detail!$G:$G,'Rates-Service Fees'!YW$23,Detail!$H:$H,'Rates-Service Fees'!YW$8)*100</f>
        <v>0</v>
      </c>
      <c r="YX28">
        <f>SUMIFS(Detail!$AS:$AS,Detail!$G:$G,'Rates-Service Fees'!YX$23,Detail!$H:$H,'Rates-Service Fees'!YX$8)*100</f>
        <v>0</v>
      </c>
      <c r="YY28">
        <f>SUMIFS(Detail!$AS:$AS,Detail!$G:$G,'Rates-Service Fees'!YY$23,Detail!$H:$H,'Rates-Service Fees'!YY$8)*100</f>
        <v>0</v>
      </c>
      <c r="YZ28">
        <f>SUMIFS(Detail!$AS:$AS,Detail!$G:$G,'Rates-Service Fees'!YZ$23,Detail!$H:$H,'Rates-Service Fees'!YZ$8)*100</f>
        <v>0</v>
      </c>
      <c r="ZA28">
        <f>SUMIFS(Detail!$AS:$AS,Detail!$G:$G,'Rates-Service Fees'!ZA$23,Detail!$H:$H,'Rates-Service Fees'!ZA$8)*100</f>
        <v>0</v>
      </c>
      <c r="ZB28">
        <f>SUMIFS(Detail!$AS:$AS,Detail!$G:$G,'Rates-Service Fees'!ZB$23,Detail!$H:$H,'Rates-Service Fees'!ZB$8)*100</f>
        <v>0</v>
      </c>
      <c r="ZC28">
        <f>SUMIFS(Detail!$AS:$AS,Detail!$G:$G,'Rates-Service Fees'!ZC$23,Detail!$H:$H,'Rates-Service Fees'!ZC$8)*100</f>
        <v>0</v>
      </c>
      <c r="ZD28">
        <f>SUMIFS(Detail!$AS:$AS,Detail!$G:$G,'Rates-Service Fees'!ZD$23,Detail!$H:$H,'Rates-Service Fees'!ZD$8)*100</f>
        <v>0</v>
      </c>
      <c r="ZE28">
        <f>SUMIFS(Detail!$AS:$AS,Detail!$G:$G,'Rates-Service Fees'!ZE$23,Detail!$H:$H,'Rates-Service Fees'!ZE$8)*100</f>
        <v>0</v>
      </c>
      <c r="ZF28">
        <f>SUMIFS(Detail!$AS:$AS,Detail!$G:$G,'Rates-Service Fees'!ZF$23,Detail!$H:$H,'Rates-Service Fees'!ZF$8)*100</f>
        <v>0</v>
      </c>
      <c r="ZG28">
        <f>SUMIFS(Detail!$AS:$AS,Detail!$G:$G,'Rates-Service Fees'!ZG$23,Detail!$H:$H,'Rates-Service Fees'!ZG$8)*100</f>
        <v>0</v>
      </c>
      <c r="ZH28">
        <f>SUMIFS(Detail!$AS:$AS,Detail!$G:$G,'Rates-Service Fees'!ZH$23,Detail!$H:$H,'Rates-Service Fees'!ZH$8)*100</f>
        <v>0</v>
      </c>
      <c r="ZI28">
        <f>SUMIFS(Detail!$AS:$AS,Detail!$G:$G,'Rates-Service Fees'!ZI$23,Detail!$H:$H,'Rates-Service Fees'!ZI$8)*100</f>
        <v>0</v>
      </c>
      <c r="ZJ28">
        <f>SUMIFS(Detail!$AS:$AS,Detail!$G:$G,'Rates-Service Fees'!ZJ$23,Detail!$H:$H,'Rates-Service Fees'!ZJ$8)*100</f>
        <v>0</v>
      </c>
      <c r="ZK28">
        <f>SUMIFS(Detail!$AS:$AS,Detail!$G:$G,'Rates-Service Fees'!ZK$23,Detail!$H:$H,'Rates-Service Fees'!ZK$8)*100</f>
        <v>0</v>
      </c>
      <c r="ZL28">
        <f>SUMIFS(Detail!$AS:$AS,Detail!$G:$G,'Rates-Service Fees'!ZL$23,Detail!$H:$H,'Rates-Service Fees'!ZL$8)*100</f>
        <v>0</v>
      </c>
      <c r="ZM28">
        <f>SUMIFS(Detail!$AS:$AS,Detail!$G:$G,'Rates-Service Fees'!ZM$23,Detail!$H:$H,'Rates-Service Fees'!ZM$8)*100</f>
        <v>0</v>
      </c>
      <c r="ZN28">
        <f>SUMIFS(Detail!$AS:$AS,Detail!$G:$G,'Rates-Service Fees'!ZN$23,Detail!$H:$H,'Rates-Service Fees'!ZN$8)*100</f>
        <v>0</v>
      </c>
      <c r="ZO28">
        <f>SUMIFS(Detail!$AS:$AS,Detail!$G:$G,'Rates-Service Fees'!ZO$23,Detail!$H:$H,'Rates-Service Fees'!ZO$8)*100</f>
        <v>0</v>
      </c>
      <c r="ZP28">
        <f>SUMIFS(Detail!$AS:$AS,Detail!$G:$G,'Rates-Service Fees'!ZP$23,Detail!$H:$H,'Rates-Service Fees'!ZP$8)*100</f>
        <v>0</v>
      </c>
      <c r="ZQ28">
        <f>SUMIFS(Detail!$AS:$AS,Detail!$G:$G,'Rates-Service Fees'!ZQ$23,Detail!$H:$H,'Rates-Service Fees'!ZQ$8)*100</f>
        <v>0</v>
      </c>
      <c r="ZR28">
        <f>SUMIFS(Detail!$AS:$AS,Detail!$G:$G,'Rates-Service Fees'!ZR$23,Detail!$H:$H,'Rates-Service Fees'!ZR$8)*100</f>
        <v>0</v>
      </c>
      <c r="ZS28">
        <f>SUMIFS(Detail!$AS:$AS,Detail!$G:$G,'Rates-Service Fees'!ZS$23,Detail!$H:$H,'Rates-Service Fees'!ZS$8)*100</f>
        <v>0</v>
      </c>
      <c r="ZT28">
        <f>SUMIFS(Detail!$AS:$AS,Detail!$G:$G,'Rates-Service Fees'!ZT$23,Detail!$H:$H,'Rates-Service Fees'!ZT$8)*100</f>
        <v>0</v>
      </c>
      <c r="ZU28">
        <f>SUMIFS(Detail!$AS:$AS,Detail!$G:$G,'Rates-Service Fees'!ZU$23,Detail!$H:$H,'Rates-Service Fees'!ZU$8)*100</f>
        <v>0</v>
      </c>
      <c r="ZV28">
        <f>SUMIFS(Detail!$AS:$AS,Detail!$G:$G,'Rates-Service Fees'!ZV$23,Detail!$H:$H,'Rates-Service Fees'!ZV$8)*100</f>
        <v>0</v>
      </c>
      <c r="ZW28">
        <f>SUMIFS(Detail!$AS:$AS,Detail!$G:$G,'Rates-Service Fees'!ZW$23,Detail!$H:$H,'Rates-Service Fees'!ZW$8)*100</f>
        <v>0</v>
      </c>
      <c r="ZX28">
        <f>SUMIFS(Detail!$AS:$AS,Detail!$G:$G,'Rates-Service Fees'!ZX$23,Detail!$H:$H,'Rates-Service Fees'!ZX$8)*100</f>
        <v>0</v>
      </c>
      <c r="ZY28">
        <f>SUMIFS(Detail!$AS:$AS,Detail!$G:$G,'Rates-Service Fees'!ZY$23,Detail!$H:$H,'Rates-Service Fees'!ZY$8)*100</f>
        <v>0</v>
      </c>
      <c r="ZZ28">
        <f>SUMIFS(Detail!$AS:$AS,Detail!$G:$G,'Rates-Service Fees'!ZZ$23,Detail!$H:$H,'Rates-Service Fees'!ZZ$8)*100</f>
        <v>0</v>
      </c>
      <c r="AAA28">
        <f>SUMIFS(Detail!$AS:$AS,Detail!$G:$G,'Rates-Service Fees'!AAA$23,Detail!$H:$H,'Rates-Service Fees'!AAA$8)*100</f>
        <v>0</v>
      </c>
      <c r="AAB28">
        <f>SUMIFS(Detail!$AS:$AS,Detail!$G:$G,'Rates-Service Fees'!AAB$23,Detail!$H:$H,'Rates-Service Fees'!AAB$8)*100</f>
        <v>0</v>
      </c>
      <c r="AAC28">
        <f>SUMIFS(Detail!$AS:$AS,Detail!$G:$G,'Rates-Service Fees'!AAC$23,Detail!$H:$H,'Rates-Service Fees'!AAC$8)*100</f>
        <v>0</v>
      </c>
      <c r="AAD28">
        <f>SUMIFS(Detail!$AS:$AS,Detail!$G:$G,'Rates-Service Fees'!AAD$23,Detail!$H:$H,'Rates-Service Fees'!AAD$8)*100</f>
        <v>0</v>
      </c>
      <c r="AAE28">
        <f>SUMIFS(Detail!$AS:$AS,Detail!$G:$G,'Rates-Service Fees'!AAE$23,Detail!$H:$H,'Rates-Service Fees'!AAE$8)*100</f>
        <v>0</v>
      </c>
      <c r="AAF28">
        <f>SUMIFS(Detail!$AS:$AS,Detail!$G:$G,'Rates-Service Fees'!AAF$23,Detail!$H:$H,'Rates-Service Fees'!AAF$8)*100</f>
        <v>0</v>
      </c>
      <c r="AAG28">
        <f>SUMIFS(Detail!$AS:$AS,Detail!$G:$G,'Rates-Service Fees'!AAG$23,Detail!$H:$H,'Rates-Service Fees'!AAG$8)*100</f>
        <v>0</v>
      </c>
      <c r="AAH28">
        <f>SUMIFS(Detail!$AS:$AS,Detail!$G:$G,'Rates-Service Fees'!AAH$23,Detail!$H:$H,'Rates-Service Fees'!AAH$8)*100</f>
        <v>0</v>
      </c>
      <c r="AAI28">
        <f>SUMIFS(Detail!$AS:$AS,Detail!$G:$G,'Rates-Service Fees'!AAI$23,Detail!$H:$H,'Rates-Service Fees'!AAI$8)*100</f>
        <v>0</v>
      </c>
      <c r="AAJ28">
        <f>SUMIFS(Detail!$AS:$AS,Detail!$G:$G,'Rates-Service Fees'!AAJ$23,Detail!$H:$H,'Rates-Service Fees'!AAJ$8)*100</f>
        <v>0</v>
      </c>
      <c r="AAK28">
        <f>SUMIFS(Detail!$AS:$AS,Detail!$G:$G,'Rates-Service Fees'!AAK$23,Detail!$H:$H,'Rates-Service Fees'!AAK$8)*100</f>
        <v>0</v>
      </c>
      <c r="AAL28">
        <f>SUMIFS(Detail!$AS:$AS,Detail!$G:$G,'Rates-Service Fees'!AAL$23,Detail!$H:$H,'Rates-Service Fees'!AAL$8)*100</f>
        <v>0</v>
      </c>
      <c r="AAM28">
        <f>SUMIFS(Detail!$AS:$AS,Detail!$G:$G,'Rates-Service Fees'!AAM$23,Detail!$H:$H,'Rates-Service Fees'!AAM$8)*100</f>
        <v>0</v>
      </c>
      <c r="AAN28">
        <f>SUMIFS(Detail!$AS:$AS,Detail!$G:$G,'Rates-Service Fees'!AAN$23,Detail!$H:$H,'Rates-Service Fees'!AAN$8)*100</f>
        <v>0</v>
      </c>
      <c r="AAO28">
        <f>SUMIFS(Detail!$AS:$AS,Detail!$G:$G,'Rates-Service Fees'!AAO$23,Detail!$H:$H,'Rates-Service Fees'!AAO$8)*100</f>
        <v>0</v>
      </c>
      <c r="AAP28">
        <f>SUMIFS(Detail!$AS:$AS,Detail!$G:$G,'Rates-Service Fees'!AAP$23,Detail!$H:$H,'Rates-Service Fees'!AAP$8)*100</f>
        <v>0</v>
      </c>
      <c r="AAQ28">
        <f>SUMIFS(Detail!$AS:$AS,Detail!$G:$G,'Rates-Service Fees'!AAQ$23,Detail!$H:$H,'Rates-Service Fees'!AAQ$8)*100</f>
        <v>0</v>
      </c>
      <c r="AAR28">
        <f>SUMIFS(Detail!$AS:$AS,Detail!$G:$G,'Rates-Service Fees'!AAR$23,Detail!$H:$H,'Rates-Service Fees'!AAR$8)*100</f>
        <v>0</v>
      </c>
      <c r="AAS28">
        <f>SUMIFS(Detail!$AS:$AS,Detail!$G:$G,'Rates-Service Fees'!AAS$23,Detail!$H:$H,'Rates-Service Fees'!AAS$8)*100</f>
        <v>0</v>
      </c>
      <c r="AAT28">
        <f>SUMIFS(Detail!$AS:$AS,Detail!$G:$G,'Rates-Service Fees'!AAT$23,Detail!$H:$H,'Rates-Service Fees'!AAT$8)*100</f>
        <v>0</v>
      </c>
      <c r="AAU28">
        <f>SUMIFS(Detail!$AS:$AS,Detail!$G:$G,'Rates-Service Fees'!AAU$23,Detail!$H:$H,'Rates-Service Fees'!AAU$8)*100</f>
        <v>0</v>
      </c>
      <c r="AAV28">
        <f>SUMIFS(Detail!$AS:$AS,Detail!$G:$G,'Rates-Service Fees'!AAV$23,Detail!$H:$H,'Rates-Service Fees'!AAV$8)*100</f>
        <v>0</v>
      </c>
      <c r="AAW28">
        <f>SUMIFS(Detail!$AS:$AS,Detail!$G:$G,'Rates-Service Fees'!AAW$23,Detail!$H:$H,'Rates-Service Fees'!AAW$8)*100</f>
        <v>0</v>
      </c>
      <c r="AAX28">
        <f>SUMIFS(Detail!$AS:$AS,Detail!$G:$G,'Rates-Service Fees'!AAX$23,Detail!$H:$H,'Rates-Service Fees'!AAX$8)*100</f>
        <v>0</v>
      </c>
      <c r="AAY28">
        <f>SUMIFS(Detail!$AS:$AS,Detail!$G:$G,'Rates-Service Fees'!AAY$23,Detail!$H:$H,'Rates-Service Fees'!AAY$8)*100</f>
        <v>0</v>
      </c>
      <c r="AAZ28">
        <f>SUMIFS(Detail!$AS:$AS,Detail!$G:$G,'Rates-Service Fees'!AAZ$23,Detail!$H:$H,'Rates-Service Fees'!AAZ$8)*100</f>
        <v>0</v>
      </c>
      <c r="ABA28">
        <f>SUMIFS(Detail!$AS:$AS,Detail!$G:$G,'Rates-Service Fees'!ABA$23,Detail!$H:$H,'Rates-Service Fees'!ABA$8)*100</f>
        <v>0</v>
      </c>
      <c r="ABB28">
        <f>SUMIFS(Detail!$AS:$AS,Detail!$G:$G,'Rates-Service Fees'!ABB$23,Detail!$H:$H,'Rates-Service Fees'!ABB$8)*100</f>
        <v>0</v>
      </c>
      <c r="ABC28">
        <f>SUMIFS(Detail!$AS:$AS,Detail!$G:$G,'Rates-Service Fees'!ABC$23,Detail!$H:$H,'Rates-Service Fees'!ABC$8)*100</f>
        <v>0</v>
      </c>
      <c r="ABD28">
        <f>SUMIFS(Detail!$AS:$AS,Detail!$G:$G,'Rates-Service Fees'!ABD$23,Detail!$H:$H,'Rates-Service Fees'!ABD$8)*100</f>
        <v>0</v>
      </c>
      <c r="ABE28">
        <f>SUMIFS(Detail!$AS:$AS,Detail!$G:$G,'Rates-Service Fees'!ABE$23,Detail!$H:$H,'Rates-Service Fees'!ABE$8)*100</f>
        <v>0</v>
      </c>
      <c r="ABF28">
        <f>SUMIFS(Detail!$AS:$AS,Detail!$G:$G,'Rates-Service Fees'!ABF$23,Detail!$H:$H,'Rates-Service Fees'!ABF$8)*100</f>
        <v>0</v>
      </c>
      <c r="ABG28">
        <f>SUMIFS(Detail!$AS:$AS,Detail!$G:$G,'Rates-Service Fees'!ABG$23,Detail!$H:$H,'Rates-Service Fees'!ABG$8)*100</f>
        <v>0</v>
      </c>
      <c r="ABH28">
        <f>SUMIFS(Detail!$AS:$AS,Detail!$G:$G,'Rates-Service Fees'!ABH$23,Detail!$H:$H,'Rates-Service Fees'!ABH$8)*100</f>
        <v>0</v>
      </c>
      <c r="ABI28">
        <f>SUMIFS(Detail!$AS:$AS,Detail!$G:$G,'Rates-Service Fees'!ABI$23,Detail!$H:$H,'Rates-Service Fees'!ABI$8)*100</f>
        <v>0</v>
      </c>
      <c r="ABJ28">
        <f>SUMIFS(Detail!$AS:$AS,Detail!$G:$G,'Rates-Service Fees'!ABJ$23,Detail!$H:$H,'Rates-Service Fees'!ABJ$8)*100</f>
        <v>0</v>
      </c>
      <c r="ABK28">
        <f>SUMIFS(Detail!$AS:$AS,Detail!$G:$G,'Rates-Service Fees'!ABK$23,Detail!$H:$H,'Rates-Service Fees'!ABK$8)*100</f>
        <v>0</v>
      </c>
      <c r="ABL28">
        <f>SUMIFS(Detail!$AS:$AS,Detail!$G:$G,'Rates-Service Fees'!ABL$23,Detail!$H:$H,'Rates-Service Fees'!ABL$8)*100</f>
        <v>0</v>
      </c>
      <c r="ABM28">
        <f>SUMIFS(Detail!$AS:$AS,Detail!$G:$G,'Rates-Service Fees'!ABM$23,Detail!$H:$H,'Rates-Service Fees'!ABM$8)*100</f>
        <v>0</v>
      </c>
      <c r="ABN28">
        <f>SUMIFS(Detail!$AS:$AS,Detail!$G:$G,'Rates-Service Fees'!ABN$23,Detail!$H:$H,'Rates-Service Fees'!ABN$8)*100</f>
        <v>0</v>
      </c>
      <c r="ABO28">
        <f>SUMIFS(Detail!$AS:$AS,Detail!$G:$G,'Rates-Service Fees'!ABO$23,Detail!$H:$H,'Rates-Service Fees'!ABO$8)*100</f>
        <v>0</v>
      </c>
      <c r="ABP28">
        <f>SUMIFS(Detail!$AS:$AS,Detail!$G:$G,'Rates-Service Fees'!ABP$23,Detail!$H:$H,'Rates-Service Fees'!ABP$8)*100</f>
        <v>0</v>
      </c>
      <c r="ABQ28">
        <f>SUMIFS(Detail!$AS:$AS,Detail!$G:$G,'Rates-Service Fees'!ABQ$23,Detail!$H:$H,'Rates-Service Fees'!ABQ$8)*100</f>
        <v>0</v>
      </c>
      <c r="ABR28">
        <f>SUMIFS(Detail!$AS:$AS,Detail!$G:$G,'Rates-Service Fees'!ABR$23,Detail!$H:$H,'Rates-Service Fees'!ABR$8)*100</f>
        <v>0</v>
      </c>
      <c r="ABS28">
        <f>SUMIFS(Detail!$AS:$AS,Detail!$G:$G,'Rates-Service Fees'!ABS$23,Detail!$H:$H,'Rates-Service Fees'!ABS$8)*100</f>
        <v>0</v>
      </c>
      <c r="ABT28">
        <f>SUMIFS(Detail!$AS:$AS,Detail!$G:$G,'Rates-Service Fees'!ABT$23,Detail!$H:$H,'Rates-Service Fees'!ABT$8)*100</f>
        <v>0</v>
      </c>
      <c r="ABU28">
        <f>SUMIFS(Detail!$AS:$AS,Detail!$G:$G,'Rates-Service Fees'!ABU$23,Detail!$H:$H,'Rates-Service Fees'!ABU$8)*100</f>
        <v>0</v>
      </c>
      <c r="ABV28">
        <f>SUMIFS(Detail!$AS:$AS,Detail!$G:$G,'Rates-Service Fees'!ABV$23,Detail!$H:$H,'Rates-Service Fees'!ABV$8)*100</f>
        <v>0</v>
      </c>
      <c r="ABW28">
        <f>SUMIFS(Detail!$AS:$AS,Detail!$G:$G,'Rates-Service Fees'!ABW$23,Detail!$H:$H,'Rates-Service Fees'!ABW$8)*100</f>
        <v>0</v>
      </c>
      <c r="ABX28">
        <f>SUMIFS(Detail!$AS:$AS,Detail!$G:$G,'Rates-Service Fees'!ABX$23,Detail!$H:$H,'Rates-Service Fees'!ABX$8)*100</f>
        <v>0</v>
      </c>
      <c r="ABY28">
        <f>SUMIFS(Detail!$AS:$AS,Detail!$G:$G,'Rates-Service Fees'!ABY$23,Detail!$H:$H,'Rates-Service Fees'!ABY$8)*100</f>
        <v>0</v>
      </c>
      <c r="ABZ28">
        <f>SUMIFS(Detail!$AS:$AS,Detail!$G:$G,'Rates-Service Fees'!ABZ$23,Detail!$H:$H,'Rates-Service Fees'!ABZ$8)*100</f>
        <v>0</v>
      </c>
      <c r="ACA28">
        <f>SUMIFS(Detail!$AS:$AS,Detail!$G:$G,'Rates-Service Fees'!ACA$23,Detail!$H:$H,'Rates-Service Fees'!ACA$8)*100</f>
        <v>0</v>
      </c>
      <c r="ACB28">
        <f>SUMIFS(Detail!$AS:$AS,Detail!$G:$G,'Rates-Service Fees'!ACB$23,Detail!$H:$H,'Rates-Service Fees'!ACB$8)*100</f>
        <v>0</v>
      </c>
      <c r="ACC28">
        <f>SUMIFS(Detail!$AS:$AS,Detail!$G:$G,'Rates-Service Fees'!ACC$23,Detail!$H:$H,'Rates-Service Fees'!ACC$8)*100</f>
        <v>0</v>
      </c>
      <c r="ACD28">
        <f>SUMIFS(Detail!$AS:$AS,Detail!$G:$G,'Rates-Service Fees'!ACD$23,Detail!$H:$H,'Rates-Service Fees'!ACD$8)*100</f>
        <v>0</v>
      </c>
      <c r="ACE28">
        <f>SUMIFS(Detail!$AS:$AS,Detail!$G:$G,'Rates-Service Fees'!ACE$23,Detail!$H:$H,'Rates-Service Fees'!ACE$8)*100</f>
        <v>0</v>
      </c>
      <c r="ACF28">
        <f>SUMIFS(Detail!$AS:$AS,Detail!$G:$G,'Rates-Service Fees'!ACF$23,Detail!$H:$H,'Rates-Service Fees'!ACF$8)*100</f>
        <v>0</v>
      </c>
      <c r="ACG28">
        <f>SUMIFS(Detail!$AS:$AS,Detail!$G:$G,'Rates-Service Fees'!ACG$23,Detail!$H:$H,'Rates-Service Fees'!ACG$8)*100</f>
        <v>0</v>
      </c>
      <c r="ACH28">
        <f>SUMIFS(Detail!$AS:$AS,Detail!$G:$G,'Rates-Service Fees'!ACH$23,Detail!$H:$H,'Rates-Service Fees'!ACH$8)*100</f>
        <v>0</v>
      </c>
      <c r="ACI28">
        <f>SUMIFS(Detail!$AS:$AS,Detail!$G:$G,'Rates-Service Fees'!ACI$23,Detail!$H:$H,'Rates-Service Fees'!ACI$8)*100</f>
        <v>0</v>
      </c>
      <c r="ACJ28">
        <f>SUMIFS(Detail!$AS:$AS,Detail!$G:$G,'Rates-Service Fees'!ACJ$23,Detail!$H:$H,'Rates-Service Fees'!ACJ$8)*100</f>
        <v>0</v>
      </c>
      <c r="ACK28">
        <f>SUMIFS(Detail!$AS:$AS,Detail!$G:$G,'Rates-Service Fees'!ACK$23,Detail!$H:$H,'Rates-Service Fees'!ACK$8)*100</f>
        <v>0</v>
      </c>
      <c r="ACL28">
        <f>SUMIFS(Detail!$AS:$AS,Detail!$G:$G,'Rates-Service Fees'!ACL$23,Detail!$H:$H,'Rates-Service Fees'!ACL$8)*100</f>
        <v>0</v>
      </c>
      <c r="ACM28">
        <f>SUMIFS(Detail!$AS:$AS,Detail!$G:$G,'Rates-Service Fees'!ACM$23,Detail!$H:$H,'Rates-Service Fees'!ACM$8)*100</f>
        <v>0</v>
      </c>
      <c r="ACN28">
        <f>SUMIFS(Detail!$AS:$AS,Detail!$G:$G,'Rates-Service Fees'!ACN$23,Detail!$H:$H,'Rates-Service Fees'!ACN$8)*100</f>
        <v>0</v>
      </c>
      <c r="ACO28">
        <f>SUMIFS(Detail!$AS:$AS,Detail!$G:$G,'Rates-Service Fees'!ACO$23,Detail!$H:$H,'Rates-Service Fees'!ACO$8)*100</f>
        <v>0</v>
      </c>
      <c r="ACP28">
        <f>SUMIFS(Detail!$AS:$AS,Detail!$G:$G,'Rates-Service Fees'!ACP$23,Detail!$H:$H,'Rates-Service Fees'!ACP$8)*100</f>
        <v>0</v>
      </c>
      <c r="ACQ28">
        <f>SUMIFS(Detail!$AS:$AS,Detail!$G:$G,'Rates-Service Fees'!ACQ$23,Detail!$H:$H,'Rates-Service Fees'!ACQ$8)*100</f>
        <v>0</v>
      </c>
      <c r="ACR28">
        <f>SUMIFS(Detail!$AS:$AS,Detail!$G:$G,'Rates-Service Fees'!ACR$23,Detail!$H:$H,'Rates-Service Fees'!ACR$8)*100</f>
        <v>0</v>
      </c>
      <c r="ACS28">
        <f>SUMIFS(Detail!$AS:$AS,Detail!$G:$G,'Rates-Service Fees'!ACS$23,Detail!$H:$H,'Rates-Service Fees'!ACS$8)*100</f>
        <v>0</v>
      </c>
      <c r="ACT28">
        <f>SUMIFS(Detail!$AS:$AS,Detail!$G:$G,'Rates-Service Fees'!ACT$23,Detail!$H:$H,'Rates-Service Fees'!ACT$8)*100</f>
        <v>0</v>
      </c>
      <c r="ACU28">
        <f>SUMIFS(Detail!$AS:$AS,Detail!$G:$G,'Rates-Service Fees'!ACU$23,Detail!$H:$H,'Rates-Service Fees'!ACU$8)*100</f>
        <v>0</v>
      </c>
      <c r="ACV28">
        <f>SUMIFS(Detail!$AS:$AS,Detail!$G:$G,'Rates-Service Fees'!ACV$23,Detail!$H:$H,'Rates-Service Fees'!ACV$8)*100</f>
        <v>0</v>
      </c>
      <c r="ACW28">
        <f>SUMIFS(Detail!$AS:$AS,Detail!$G:$G,'Rates-Service Fees'!ACW$23,Detail!$H:$H,'Rates-Service Fees'!ACW$8)*100</f>
        <v>0</v>
      </c>
      <c r="ACX28">
        <f>SUMIFS(Detail!$AS:$AS,Detail!$G:$G,'Rates-Service Fees'!ACX$23,Detail!$H:$H,'Rates-Service Fees'!ACX$8)*100</f>
        <v>0</v>
      </c>
      <c r="ACY28">
        <f>SUMIFS(Detail!$AS:$AS,Detail!$G:$G,'Rates-Service Fees'!ACY$23,Detail!$H:$H,'Rates-Service Fees'!ACY$8)*100</f>
        <v>0</v>
      </c>
      <c r="ACZ28">
        <f>SUMIFS(Detail!$AS:$AS,Detail!$G:$G,'Rates-Service Fees'!ACZ$23,Detail!$H:$H,'Rates-Service Fees'!ACZ$8)*100</f>
        <v>0</v>
      </c>
      <c r="ADA28">
        <f>SUMIFS(Detail!$AS:$AS,Detail!$G:$G,'Rates-Service Fees'!ADA$23,Detail!$H:$H,'Rates-Service Fees'!ADA$8)*100</f>
        <v>0</v>
      </c>
      <c r="ADB28">
        <f>SUMIFS(Detail!$AS:$AS,Detail!$G:$G,'Rates-Service Fees'!ADB$23,Detail!$H:$H,'Rates-Service Fees'!ADB$8)*100</f>
        <v>0</v>
      </c>
      <c r="ADC28">
        <f>SUMIFS(Detail!$AS:$AS,Detail!$G:$G,'Rates-Service Fees'!ADC$23,Detail!$H:$H,'Rates-Service Fees'!ADC$8)*100</f>
        <v>0</v>
      </c>
      <c r="ADD28">
        <f>SUMIFS(Detail!$AS:$AS,Detail!$G:$G,'Rates-Service Fees'!ADD$23,Detail!$H:$H,'Rates-Service Fees'!ADD$8)*100</f>
        <v>0</v>
      </c>
      <c r="ADE28">
        <f>SUMIFS(Detail!$AS:$AS,Detail!$G:$G,'Rates-Service Fees'!ADE$23,Detail!$H:$H,'Rates-Service Fees'!ADE$8)*100</f>
        <v>0</v>
      </c>
      <c r="ADF28">
        <f>SUMIFS(Detail!$AS:$AS,Detail!$G:$G,'Rates-Service Fees'!ADF$23,Detail!$H:$H,'Rates-Service Fees'!ADF$8)*100</f>
        <v>0</v>
      </c>
      <c r="ADG28">
        <f>SUMIFS(Detail!$AS:$AS,Detail!$G:$G,'Rates-Service Fees'!ADG$23,Detail!$H:$H,'Rates-Service Fees'!ADG$8)*100</f>
        <v>0</v>
      </c>
      <c r="ADH28">
        <f>SUMIFS(Detail!$AS:$AS,Detail!$G:$G,'Rates-Service Fees'!ADH$23,Detail!$H:$H,'Rates-Service Fees'!ADH$8)*100</f>
        <v>0</v>
      </c>
      <c r="ADI28">
        <f>SUMIFS(Detail!$AS:$AS,Detail!$G:$G,'Rates-Service Fees'!ADI$23,Detail!$H:$H,'Rates-Service Fees'!ADI$8)*100</f>
        <v>0</v>
      </c>
      <c r="ADJ28">
        <f>SUMIFS(Detail!$AS:$AS,Detail!$G:$G,'Rates-Service Fees'!ADJ$23,Detail!$H:$H,'Rates-Service Fees'!ADJ$8)*100</f>
        <v>0</v>
      </c>
      <c r="ADK28">
        <f>SUMIFS(Detail!$AS:$AS,Detail!$G:$G,'Rates-Service Fees'!ADK$23,Detail!$H:$H,'Rates-Service Fees'!ADK$8)*100</f>
        <v>0</v>
      </c>
      <c r="ADL28">
        <f>SUMIFS(Detail!$AS:$AS,Detail!$G:$G,'Rates-Service Fees'!ADL$23,Detail!$H:$H,'Rates-Service Fees'!ADL$8)*100</f>
        <v>0</v>
      </c>
      <c r="ADM28">
        <f>SUMIFS(Detail!$AS:$AS,Detail!$G:$G,'Rates-Service Fees'!ADM$23,Detail!$H:$H,'Rates-Service Fees'!ADM$8)*100</f>
        <v>0</v>
      </c>
      <c r="ADN28">
        <f>SUMIFS(Detail!$AS:$AS,Detail!$G:$G,'Rates-Service Fees'!ADN$23,Detail!$H:$H,'Rates-Service Fees'!ADN$8)*100</f>
        <v>0</v>
      </c>
      <c r="ADO28">
        <f>SUMIFS(Detail!$AS:$AS,Detail!$G:$G,'Rates-Service Fees'!ADO$23,Detail!$H:$H,'Rates-Service Fees'!ADO$8)*100</f>
        <v>0</v>
      </c>
      <c r="ADP28">
        <f>SUMIFS(Detail!$AS:$AS,Detail!$G:$G,'Rates-Service Fees'!ADP$23,Detail!$H:$H,'Rates-Service Fees'!ADP$8)*100</f>
        <v>0</v>
      </c>
      <c r="ADQ28">
        <f>SUMIFS(Detail!$AS:$AS,Detail!$G:$G,'Rates-Service Fees'!ADQ$23,Detail!$H:$H,'Rates-Service Fees'!ADQ$8)*100</f>
        <v>0</v>
      </c>
      <c r="ADR28">
        <f>SUMIFS(Detail!$AS:$AS,Detail!$G:$G,'Rates-Service Fees'!ADR$23,Detail!$H:$H,'Rates-Service Fees'!ADR$8)*100</f>
        <v>0</v>
      </c>
      <c r="ADS28">
        <f>SUMIFS(Detail!$AS:$AS,Detail!$G:$G,'Rates-Service Fees'!ADS$23,Detail!$H:$H,'Rates-Service Fees'!ADS$8)*100</f>
        <v>0</v>
      </c>
      <c r="ADT28">
        <f>SUMIFS(Detail!$AS:$AS,Detail!$G:$G,'Rates-Service Fees'!ADT$23,Detail!$H:$H,'Rates-Service Fees'!ADT$8)*100</f>
        <v>0</v>
      </c>
      <c r="ADU28">
        <f>SUMIFS(Detail!$AS:$AS,Detail!$G:$G,'Rates-Service Fees'!ADU$23,Detail!$H:$H,'Rates-Service Fees'!ADU$8)*100</f>
        <v>0</v>
      </c>
      <c r="ADV28">
        <f>SUMIFS(Detail!$AS:$AS,Detail!$G:$G,'Rates-Service Fees'!ADV$23,Detail!$H:$H,'Rates-Service Fees'!ADV$8)*100</f>
        <v>0</v>
      </c>
      <c r="ADW28">
        <f>SUMIFS(Detail!$AS:$AS,Detail!$G:$G,'Rates-Service Fees'!ADW$23,Detail!$H:$H,'Rates-Service Fees'!ADW$8)*100</f>
        <v>0</v>
      </c>
      <c r="ADX28">
        <f>SUMIFS(Detail!$AS:$AS,Detail!$G:$G,'Rates-Service Fees'!ADX$23,Detail!$H:$H,'Rates-Service Fees'!ADX$8)*100</f>
        <v>0</v>
      </c>
      <c r="ADY28">
        <f>SUMIFS(Detail!$AS:$AS,Detail!$G:$G,'Rates-Service Fees'!ADY$23,Detail!$H:$H,'Rates-Service Fees'!ADY$8)*100</f>
        <v>0</v>
      </c>
      <c r="ADZ28">
        <f>SUMIFS(Detail!$AS:$AS,Detail!$G:$G,'Rates-Service Fees'!ADZ$23,Detail!$H:$H,'Rates-Service Fees'!ADZ$8)*100</f>
        <v>0</v>
      </c>
      <c r="AEA28">
        <f>SUMIFS(Detail!$AS:$AS,Detail!$G:$G,'Rates-Service Fees'!AEA$23,Detail!$H:$H,'Rates-Service Fees'!AEA$8)*100</f>
        <v>0</v>
      </c>
      <c r="AEB28">
        <f>SUMIFS(Detail!$AS:$AS,Detail!$G:$G,'Rates-Service Fees'!AEB$23,Detail!$H:$H,'Rates-Service Fees'!AEB$8)*100</f>
        <v>0</v>
      </c>
      <c r="AEC28">
        <f>SUMIFS(Detail!$AS:$AS,Detail!$G:$G,'Rates-Service Fees'!AEC$23,Detail!$H:$H,'Rates-Service Fees'!AEC$8)*100</f>
        <v>0</v>
      </c>
      <c r="AED28">
        <f>SUMIFS(Detail!$AS:$AS,Detail!$G:$G,'Rates-Service Fees'!AED$23,Detail!$H:$H,'Rates-Service Fees'!AED$8)*100</f>
        <v>0</v>
      </c>
      <c r="AEE28">
        <f>SUMIFS(Detail!$AS:$AS,Detail!$G:$G,'Rates-Service Fees'!AEE$23,Detail!$H:$H,'Rates-Service Fees'!AEE$8)*100</f>
        <v>0</v>
      </c>
      <c r="AEF28">
        <f>SUMIFS(Detail!$AS:$AS,Detail!$G:$G,'Rates-Service Fees'!AEF$23,Detail!$H:$H,'Rates-Service Fees'!AEF$8)*100</f>
        <v>0</v>
      </c>
      <c r="AEG28">
        <f>SUMIFS(Detail!$AS:$AS,Detail!$G:$G,'Rates-Service Fees'!AEG$23,Detail!$H:$H,'Rates-Service Fees'!AEG$8)*100</f>
        <v>0</v>
      </c>
      <c r="AEH28">
        <f>SUMIFS(Detail!$AS:$AS,Detail!$G:$G,'Rates-Service Fees'!AEH$23,Detail!$H:$H,'Rates-Service Fees'!AEH$8)*100</f>
        <v>0</v>
      </c>
      <c r="AEI28">
        <f>SUMIFS(Detail!$AS:$AS,Detail!$G:$G,'Rates-Service Fees'!AEI$23,Detail!$H:$H,'Rates-Service Fees'!AEI$8)*100</f>
        <v>0</v>
      </c>
      <c r="AEJ28">
        <f>SUMIFS(Detail!$AS:$AS,Detail!$G:$G,'Rates-Service Fees'!AEJ$23,Detail!$H:$H,'Rates-Service Fees'!AEJ$8)*100</f>
        <v>0</v>
      </c>
      <c r="AEK28">
        <f>SUMIFS(Detail!$AS:$AS,Detail!$G:$G,'Rates-Service Fees'!AEK$23,Detail!$H:$H,'Rates-Service Fees'!AEK$8)*100</f>
        <v>0</v>
      </c>
      <c r="AEL28">
        <f>SUMIFS(Detail!$AS:$AS,Detail!$G:$G,'Rates-Service Fees'!AEL$23,Detail!$H:$H,'Rates-Service Fees'!AEL$8)*100</f>
        <v>0</v>
      </c>
      <c r="AEM28">
        <f>SUMIFS(Detail!$AS:$AS,Detail!$G:$G,'Rates-Service Fees'!AEM$23,Detail!$H:$H,'Rates-Service Fees'!AEM$8)*100</f>
        <v>0</v>
      </c>
      <c r="AEN28">
        <f>SUMIFS(Detail!$AS:$AS,Detail!$G:$G,'Rates-Service Fees'!AEN$23,Detail!$H:$H,'Rates-Service Fees'!AEN$8)*100</f>
        <v>0</v>
      </c>
      <c r="AEO28">
        <f>SUMIFS(Detail!$AS:$AS,Detail!$G:$G,'Rates-Service Fees'!AEO$23,Detail!$H:$H,'Rates-Service Fees'!AEO$8)*100</f>
        <v>0</v>
      </c>
      <c r="AEP28">
        <f>SUMIFS(Detail!$AS:$AS,Detail!$G:$G,'Rates-Service Fees'!AEP$23,Detail!$H:$H,'Rates-Service Fees'!AEP$8)*100</f>
        <v>0</v>
      </c>
      <c r="AEQ28">
        <f>SUMIFS(Detail!$AS:$AS,Detail!$G:$G,'Rates-Service Fees'!AEQ$23,Detail!$H:$H,'Rates-Service Fees'!AEQ$8)*100</f>
        <v>0</v>
      </c>
      <c r="AER28">
        <f>SUMIFS(Detail!$AS:$AS,Detail!$G:$G,'Rates-Service Fees'!AER$23,Detail!$H:$H,'Rates-Service Fees'!AER$8)*100</f>
        <v>0</v>
      </c>
      <c r="AES28">
        <f>SUMIFS(Detail!$AS:$AS,Detail!$G:$G,'Rates-Service Fees'!AES$23,Detail!$H:$H,'Rates-Service Fees'!AES$8)*100</f>
        <v>0</v>
      </c>
      <c r="AET28">
        <f>SUMIFS(Detail!$AS:$AS,Detail!$G:$G,'Rates-Service Fees'!AET$23,Detail!$H:$H,'Rates-Service Fees'!AET$8)*100</f>
        <v>0</v>
      </c>
      <c r="AEU28">
        <f>SUMIFS(Detail!$AS:$AS,Detail!$G:$G,'Rates-Service Fees'!AEU$23,Detail!$H:$H,'Rates-Service Fees'!AEU$8)*100</f>
        <v>0</v>
      </c>
      <c r="AEV28">
        <f>SUMIFS(Detail!$AS:$AS,Detail!$G:$G,'Rates-Service Fees'!AEV$23,Detail!$H:$H,'Rates-Service Fees'!AEV$8)*100</f>
        <v>0</v>
      </c>
      <c r="AEW28">
        <f>SUMIFS(Detail!$AS:$AS,Detail!$G:$G,'Rates-Service Fees'!AEW$23,Detail!$H:$H,'Rates-Service Fees'!AEW$8)*100</f>
        <v>0</v>
      </c>
      <c r="AEX28">
        <f>SUMIFS(Detail!$AS:$AS,Detail!$G:$G,'Rates-Service Fees'!AEX$23,Detail!$H:$H,'Rates-Service Fees'!AEX$8)*100</f>
        <v>0</v>
      </c>
      <c r="AEY28">
        <f>SUMIFS(Detail!$AS:$AS,Detail!$G:$G,'Rates-Service Fees'!AEY$23,Detail!$H:$H,'Rates-Service Fees'!AEY$8)*100</f>
        <v>0</v>
      </c>
      <c r="AEZ28">
        <f>SUMIFS(Detail!$AS:$AS,Detail!$G:$G,'Rates-Service Fees'!AEZ$23,Detail!$H:$H,'Rates-Service Fees'!AEZ$8)*100</f>
        <v>0</v>
      </c>
      <c r="AFA28">
        <f>SUMIFS(Detail!$AS:$AS,Detail!$G:$G,'Rates-Service Fees'!AFA$23,Detail!$H:$H,'Rates-Service Fees'!AFA$8)*100</f>
        <v>0</v>
      </c>
      <c r="AFB28">
        <f>SUMIFS(Detail!$AS:$AS,Detail!$G:$G,'Rates-Service Fees'!AFB$23,Detail!$H:$H,'Rates-Service Fees'!AFB$8)*100</f>
        <v>0</v>
      </c>
      <c r="AFC28">
        <f>SUMIFS(Detail!$AS:$AS,Detail!$G:$G,'Rates-Service Fees'!AFC$23,Detail!$H:$H,'Rates-Service Fees'!AFC$8)*100</f>
        <v>0</v>
      </c>
      <c r="AFD28">
        <f>SUMIFS(Detail!$AS:$AS,Detail!$G:$G,'Rates-Service Fees'!AFD$23,Detail!$H:$H,'Rates-Service Fees'!AFD$8)*100</f>
        <v>0</v>
      </c>
      <c r="AFE28">
        <f>SUMIFS(Detail!$AS:$AS,Detail!$G:$G,'Rates-Service Fees'!AFE$23,Detail!$H:$H,'Rates-Service Fees'!AFE$8)*100</f>
        <v>0</v>
      </c>
      <c r="AFF28">
        <f>SUMIFS(Detail!$AS:$AS,Detail!$G:$G,'Rates-Service Fees'!AFF$23,Detail!$H:$H,'Rates-Service Fees'!AFF$8)*100</f>
        <v>0</v>
      </c>
      <c r="AFG28">
        <f>SUMIFS(Detail!$AS:$AS,Detail!$G:$G,'Rates-Service Fees'!AFG$23,Detail!$H:$H,'Rates-Service Fees'!AFG$8)*100</f>
        <v>0</v>
      </c>
      <c r="AFH28">
        <f>SUMIFS(Detail!$AS:$AS,Detail!$G:$G,'Rates-Service Fees'!AFH$23,Detail!$H:$H,'Rates-Service Fees'!AFH$8)*100</f>
        <v>0</v>
      </c>
      <c r="AFI28">
        <f>SUMIFS(Detail!$AS:$AS,Detail!$G:$G,'Rates-Service Fees'!AFI$23,Detail!$H:$H,'Rates-Service Fees'!AFI$8)*100</f>
        <v>0</v>
      </c>
      <c r="AFJ28">
        <f>SUMIFS(Detail!$AS:$AS,Detail!$G:$G,'Rates-Service Fees'!AFJ$23,Detail!$H:$H,'Rates-Service Fees'!AFJ$8)*100</f>
        <v>0</v>
      </c>
      <c r="AFK28">
        <f>SUMIFS(Detail!$AS:$AS,Detail!$G:$G,'Rates-Service Fees'!AFK$23,Detail!$H:$H,'Rates-Service Fees'!AFK$8)*100</f>
        <v>0</v>
      </c>
      <c r="AFL28">
        <f>SUMIFS(Detail!$AS:$AS,Detail!$G:$G,'Rates-Service Fees'!AFL$23,Detail!$H:$H,'Rates-Service Fees'!AFL$8)*100</f>
        <v>0</v>
      </c>
      <c r="AFM28">
        <f>SUMIFS(Detail!$AS:$AS,Detail!$G:$G,'Rates-Service Fees'!AFM$23,Detail!$H:$H,'Rates-Service Fees'!AFM$8)*100</f>
        <v>0</v>
      </c>
      <c r="AFN28">
        <f>SUMIFS(Detail!$AS:$AS,Detail!$G:$G,'Rates-Service Fees'!AFN$23,Detail!$H:$H,'Rates-Service Fees'!AFN$8)*100</f>
        <v>0</v>
      </c>
      <c r="AFO28">
        <f>SUMIFS(Detail!$AS:$AS,Detail!$G:$G,'Rates-Service Fees'!AFO$23,Detail!$H:$H,'Rates-Service Fees'!AFO$8)*100</f>
        <v>0</v>
      </c>
      <c r="AFP28">
        <f>SUMIFS(Detail!$AS:$AS,Detail!$G:$G,'Rates-Service Fees'!AFP$23,Detail!$H:$H,'Rates-Service Fees'!AFP$8)*100</f>
        <v>0</v>
      </c>
      <c r="AFQ28">
        <f>SUMIFS(Detail!$AS:$AS,Detail!$G:$G,'Rates-Service Fees'!AFQ$23,Detail!$H:$H,'Rates-Service Fees'!AFQ$8)*100</f>
        <v>0</v>
      </c>
      <c r="AFR28">
        <f>SUMIFS(Detail!$AS:$AS,Detail!$G:$G,'Rates-Service Fees'!AFR$23,Detail!$H:$H,'Rates-Service Fees'!AFR$8)*100</f>
        <v>0</v>
      </c>
      <c r="AFS28">
        <f>SUMIFS(Detail!$AS:$AS,Detail!$G:$G,'Rates-Service Fees'!AFS$23,Detail!$H:$H,'Rates-Service Fees'!AFS$8)*100</f>
        <v>0</v>
      </c>
      <c r="AFT28">
        <f>SUMIFS(Detail!$AS:$AS,Detail!$G:$G,'Rates-Service Fees'!AFT$23,Detail!$H:$H,'Rates-Service Fees'!AFT$8)*100</f>
        <v>0</v>
      </c>
      <c r="AFU28">
        <f>SUMIFS(Detail!$AS:$AS,Detail!$G:$G,'Rates-Service Fees'!AFU$23,Detail!$H:$H,'Rates-Service Fees'!AFU$8)*100</f>
        <v>0</v>
      </c>
      <c r="AFV28">
        <f>SUMIFS(Detail!$AS:$AS,Detail!$G:$G,'Rates-Service Fees'!AFV$23,Detail!$H:$H,'Rates-Service Fees'!AFV$8)*100</f>
        <v>0</v>
      </c>
      <c r="AFW28">
        <f>SUMIFS(Detail!$AS:$AS,Detail!$G:$G,'Rates-Service Fees'!AFW$23,Detail!$H:$H,'Rates-Service Fees'!AFW$8)*100</f>
        <v>0</v>
      </c>
      <c r="AFX28">
        <f>SUMIFS(Detail!$AS:$AS,Detail!$G:$G,'Rates-Service Fees'!AFX$23,Detail!$H:$H,'Rates-Service Fees'!AFX$8)*100</f>
        <v>0</v>
      </c>
      <c r="AFY28">
        <f>SUMIFS(Detail!$AS:$AS,Detail!$G:$G,'Rates-Service Fees'!AFY$23,Detail!$H:$H,'Rates-Service Fees'!AFY$8)*100</f>
        <v>0</v>
      </c>
      <c r="AFZ28">
        <f>SUMIFS(Detail!$AS:$AS,Detail!$G:$G,'Rates-Service Fees'!AFZ$23,Detail!$H:$H,'Rates-Service Fees'!AFZ$8)*100</f>
        <v>0</v>
      </c>
      <c r="AGA28">
        <f>SUMIFS(Detail!$AS:$AS,Detail!$G:$G,'Rates-Service Fees'!AGA$23,Detail!$H:$H,'Rates-Service Fees'!AGA$8)*100</f>
        <v>0</v>
      </c>
      <c r="AGB28">
        <f>SUMIFS(Detail!$AS:$AS,Detail!$G:$G,'Rates-Service Fees'!AGB$23,Detail!$H:$H,'Rates-Service Fees'!AGB$8)*100</f>
        <v>0</v>
      </c>
      <c r="AGC28">
        <f>SUMIFS(Detail!$AS:$AS,Detail!$G:$G,'Rates-Service Fees'!AGC$23,Detail!$H:$H,'Rates-Service Fees'!AGC$8)*100</f>
        <v>0</v>
      </c>
      <c r="AGD28">
        <f>SUMIFS(Detail!$AS:$AS,Detail!$G:$G,'Rates-Service Fees'!AGD$23,Detail!$H:$H,'Rates-Service Fees'!AGD$8)*100</f>
        <v>0</v>
      </c>
      <c r="AGE28">
        <f>SUMIFS(Detail!$AS:$AS,Detail!$G:$G,'Rates-Service Fees'!AGE$23,Detail!$H:$H,'Rates-Service Fees'!AGE$8)*100</f>
        <v>0</v>
      </c>
      <c r="AGF28">
        <f>SUMIFS(Detail!$AS:$AS,Detail!$G:$G,'Rates-Service Fees'!AGF$23,Detail!$H:$H,'Rates-Service Fees'!AGF$8)*100</f>
        <v>0</v>
      </c>
      <c r="AGG28">
        <f>SUMIFS(Detail!$AS:$AS,Detail!$G:$G,'Rates-Service Fees'!AGG$23,Detail!$H:$H,'Rates-Service Fees'!AGG$8)*100</f>
        <v>0</v>
      </c>
      <c r="AGH28">
        <f>SUMIFS(Detail!$AS:$AS,Detail!$G:$G,'Rates-Service Fees'!AGH$23,Detail!$H:$H,'Rates-Service Fees'!AGH$8)*100</f>
        <v>0</v>
      </c>
      <c r="AGI28">
        <f>SUMIFS(Detail!$AS:$AS,Detail!$G:$G,'Rates-Service Fees'!AGI$23,Detail!$H:$H,'Rates-Service Fees'!AGI$8)*100</f>
        <v>0</v>
      </c>
      <c r="AGJ28">
        <f>SUMIFS(Detail!$AS:$AS,Detail!$G:$G,'Rates-Service Fees'!AGJ$23,Detail!$H:$H,'Rates-Service Fees'!AGJ$8)*100</f>
        <v>0</v>
      </c>
      <c r="AGK28">
        <f>SUMIFS(Detail!$AS:$AS,Detail!$G:$G,'Rates-Service Fees'!AGK$23,Detail!$H:$H,'Rates-Service Fees'!AGK$8)*100</f>
        <v>0</v>
      </c>
      <c r="AGL28">
        <f>SUMIFS(Detail!$AS:$AS,Detail!$G:$G,'Rates-Service Fees'!AGL$23,Detail!$H:$H,'Rates-Service Fees'!AGL$8)*100</f>
        <v>0</v>
      </c>
      <c r="AGM28">
        <f>SUMIFS(Detail!$AS:$AS,Detail!$G:$G,'Rates-Service Fees'!AGM$23,Detail!$H:$H,'Rates-Service Fees'!AGM$8)*100</f>
        <v>0</v>
      </c>
      <c r="AGN28">
        <f>SUMIFS(Detail!$AS:$AS,Detail!$G:$G,'Rates-Service Fees'!AGN$23,Detail!$H:$H,'Rates-Service Fees'!AGN$8)*100</f>
        <v>0</v>
      </c>
      <c r="AGO28">
        <f>SUMIFS(Detail!$AS:$AS,Detail!$G:$G,'Rates-Service Fees'!AGO$23,Detail!$H:$H,'Rates-Service Fees'!AGO$8)*100</f>
        <v>0</v>
      </c>
      <c r="AGP28">
        <f>SUMIFS(Detail!$AS:$AS,Detail!$G:$G,'Rates-Service Fees'!AGP$23,Detail!$H:$H,'Rates-Service Fees'!AGP$8)*100</f>
        <v>0</v>
      </c>
      <c r="AGQ28">
        <f>SUMIFS(Detail!$AS:$AS,Detail!$G:$G,'Rates-Service Fees'!AGQ$23,Detail!$H:$H,'Rates-Service Fees'!AGQ$8)*100</f>
        <v>0</v>
      </c>
      <c r="AGR28">
        <f>SUMIFS(Detail!$AS:$AS,Detail!$G:$G,'Rates-Service Fees'!AGR$23,Detail!$H:$H,'Rates-Service Fees'!AGR$8)*100</f>
        <v>0</v>
      </c>
      <c r="AGS28">
        <f>SUMIFS(Detail!$AS:$AS,Detail!$G:$G,'Rates-Service Fees'!AGS$23,Detail!$H:$H,'Rates-Service Fees'!AGS$8)*100</f>
        <v>0</v>
      </c>
      <c r="AGT28">
        <f>SUMIFS(Detail!$AS:$AS,Detail!$G:$G,'Rates-Service Fees'!AGT$23,Detail!$H:$H,'Rates-Service Fees'!AGT$8)*100</f>
        <v>0</v>
      </c>
      <c r="AGU28">
        <f>SUMIFS(Detail!$AS:$AS,Detail!$G:$G,'Rates-Service Fees'!AGU$23,Detail!$H:$H,'Rates-Service Fees'!AGU$8)*100</f>
        <v>0</v>
      </c>
      <c r="AGV28">
        <f>SUMIFS(Detail!$AS:$AS,Detail!$G:$G,'Rates-Service Fees'!AGV$23,Detail!$H:$H,'Rates-Service Fees'!AGV$8)*100</f>
        <v>0</v>
      </c>
      <c r="AGW28">
        <f>SUMIFS(Detail!$AS:$AS,Detail!$G:$G,'Rates-Service Fees'!AGW$23,Detail!$H:$H,'Rates-Service Fees'!AGW$8)*100</f>
        <v>0</v>
      </c>
      <c r="AGX28">
        <f>SUMIFS(Detail!$AS:$AS,Detail!$G:$G,'Rates-Service Fees'!AGX$23,Detail!$H:$H,'Rates-Service Fees'!AGX$8)*100</f>
        <v>0</v>
      </c>
      <c r="AGY28">
        <f>SUMIFS(Detail!$AS:$AS,Detail!$G:$G,'Rates-Service Fees'!AGY$23,Detail!$H:$H,'Rates-Service Fees'!AGY$8)*100</f>
        <v>0</v>
      </c>
      <c r="AGZ28">
        <f>SUMIFS(Detail!$AS:$AS,Detail!$G:$G,'Rates-Service Fees'!AGZ$23,Detail!$H:$H,'Rates-Service Fees'!AGZ$8)*100</f>
        <v>0</v>
      </c>
      <c r="AHA28">
        <f>SUMIFS(Detail!$AS:$AS,Detail!$G:$G,'Rates-Service Fees'!AHA$23,Detail!$H:$H,'Rates-Service Fees'!AHA$8)*100</f>
        <v>0</v>
      </c>
      <c r="AHB28">
        <f>SUMIFS(Detail!$AS:$AS,Detail!$G:$G,'Rates-Service Fees'!AHB$23,Detail!$H:$H,'Rates-Service Fees'!AHB$8)*100</f>
        <v>0</v>
      </c>
      <c r="AHC28">
        <f>SUMIFS(Detail!$AS:$AS,Detail!$G:$G,'Rates-Service Fees'!AHC$23,Detail!$H:$H,'Rates-Service Fees'!AHC$8)*100</f>
        <v>0</v>
      </c>
      <c r="AHD28">
        <f>SUMIFS(Detail!$AS:$AS,Detail!$G:$G,'Rates-Service Fees'!AHD$23,Detail!$H:$H,'Rates-Service Fees'!AHD$8)*100</f>
        <v>0</v>
      </c>
      <c r="AHE28">
        <f>SUMIFS(Detail!$AS:$AS,Detail!$G:$G,'Rates-Service Fees'!AHE$23,Detail!$H:$H,'Rates-Service Fees'!AHE$8)*100</f>
        <v>0</v>
      </c>
      <c r="AHF28">
        <f>SUMIFS(Detail!$AS:$AS,Detail!$G:$G,'Rates-Service Fees'!AHF$23,Detail!$H:$H,'Rates-Service Fees'!AHF$8)*100</f>
        <v>0</v>
      </c>
      <c r="AHG28">
        <f>SUMIFS(Detail!$AS:$AS,Detail!$G:$G,'Rates-Service Fees'!AHG$23,Detail!$H:$H,'Rates-Service Fees'!AHG$8)*100</f>
        <v>0</v>
      </c>
      <c r="AHH28">
        <f>SUMIFS(Detail!$AS:$AS,Detail!$G:$G,'Rates-Service Fees'!AHH$23,Detail!$H:$H,'Rates-Service Fees'!AHH$8)*100</f>
        <v>0</v>
      </c>
      <c r="AHI28">
        <f>SUMIFS(Detail!$AS:$AS,Detail!$G:$G,'Rates-Service Fees'!AHI$23,Detail!$H:$H,'Rates-Service Fees'!AHI$8)*100</f>
        <v>0</v>
      </c>
      <c r="AHJ28">
        <f>SUMIFS(Detail!$AS:$AS,Detail!$G:$G,'Rates-Service Fees'!AHJ$23,Detail!$H:$H,'Rates-Service Fees'!AHJ$8)*100</f>
        <v>0</v>
      </c>
      <c r="AHK28">
        <f>SUMIFS(Detail!$AS:$AS,Detail!$G:$G,'Rates-Service Fees'!AHK$23,Detail!$H:$H,'Rates-Service Fees'!AHK$8)*100</f>
        <v>0</v>
      </c>
      <c r="AHL28">
        <f>SUMIFS(Detail!$AS:$AS,Detail!$G:$G,'Rates-Service Fees'!AHL$23,Detail!$H:$H,'Rates-Service Fees'!AHL$8)*100</f>
        <v>0</v>
      </c>
      <c r="AHM28">
        <f>SUMIFS(Detail!$AS:$AS,Detail!$G:$G,'Rates-Service Fees'!AHM$23,Detail!$H:$H,'Rates-Service Fees'!AHM$8)*100</f>
        <v>0</v>
      </c>
      <c r="AHN28">
        <f>SUMIFS(Detail!$AS:$AS,Detail!$G:$G,'Rates-Service Fees'!AHN$23,Detail!$H:$H,'Rates-Service Fees'!AHN$8)*100</f>
        <v>0</v>
      </c>
      <c r="AHO28">
        <f>SUMIFS(Detail!$AS:$AS,Detail!$G:$G,'Rates-Service Fees'!AHO$23,Detail!$H:$H,'Rates-Service Fees'!AHO$8)*100</f>
        <v>0</v>
      </c>
      <c r="AHP28">
        <f>SUMIFS(Detail!$AS:$AS,Detail!$G:$G,'Rates-Service Fees'!AHP$23,Detail!$H:$H,'Rates-Service Fees'!AHP$8)*100</f>
        <v>0</v>
      </c>
      <c r="AHQ28">
        <f>SUMIFS(Detail!$AS:$AS,Detail!$G:$G,'Rates-Service Fees'!AHQ$23,Detail!$H:$H,'Rates-Service Fees'!AHQ$8)*100</f>
        <v>0</v>
      </c>
      <c r="AHR28">
        <f>SUMIFS(Detail!$AS:$AS,Detail!$G:$G,'Rates-Service Fees'!AHR$23,Detail!$H:$H,'Rates-Service Fees'!AHR$8)*100</f>
        <v>0</v>
      </c>
      <c r="AHS28">
        <f>SUMIFS(Detail!$AS:$AS,Detail!$G:$G,'Rates-Service Fees'!AHS$23,Detail!$H:$H,'Rates-Service Fees'!AHS$8)*100</f>
        <v>0</v>
      </c>
      <c r="AHT28">
        <f>SUMIFS(Detail!$AS:$AS,Detail!$G:$G,'Rates-Service Fees'!AHT$23,Detail!$H:$H,'Rates-Service Fees'!AHT$8)*100</f>
        <v>0</v>
      </c>
      <c r="AHU28">
        <f>SUMIFS(Detail!$AS:$AS,Detail!$G:$G,'Rates-Service Fees'!AHU$23,Detail!$H:$H,'Rates-Service Fees'!AHU$8)*100</f>
        <v>0</v>
      </c>
      <c r="AHV28">
        <f>SUMIFS(Detail!$AS:$AS,Detail!$G:$G,'Rates-Service Fees'!AHV$23,Detail!$H:$H,'Rates-Service Fees'!AHV$8)*100</f>
        <v>0</v>
      </c>
      <c r="AHW28">
        <f>SUMIFS(Detail!$AS:$AS,Detail!$G:$G,'Rates-Service Fees'!AHW$23,Detail!$H:$H,'Rates-Service Fees'!AHW$8)*100</f>
        <v>0</v>
      </c>
      <c r="AHX28">
        <f>SUMIFS(Detail!$AS:$AS,Detail!$G:$G,'Rates-Service Fees'!AHX$23,Detail!$H:$H,'Rates-Service Fees'!AHX$8)*100</f>
        <v>0</v>
      </c>
      <c r="AHY28">
        <f>SUMIFS(Detail!$AS:$AS,Detail!$G:$G,'Rates-Service Fees'!AHY$23,Detail!$H:$H,'Rates-Service Fees'!AHY$8)*100</f>
        <v>0</v>
      </c>
      <c r="AHZ28">
        <f>SUMIFS(Detail!$AS:$AS,Detail!$G:$G,'Rates-Service Fees'!AHZ$23,Detail!$H:$H,'Rates-Service Fees'!AHZ$8)*100</f>
        <v>0</v>
      </c>
      <c r="AIA28">
        <f>SUMIFS(Detail!$AS:$AS,Detail!$G:$G,'Rates-Service Fees'!AIA$23,Detail!$H:$H,'Rates-Service Fees'!AIA$8)*100</f>
        <v>0</v>
      </c>
      <c r="AIB28">
        <f>SUMIFS(Detail!$AS:$AS,Detail!$G:$G,'Rates-Service Fees'!AIB$23,Detail!$H:$H,'Rates-Service Fees'!AIB$8)*100</f>
        <v>0</v>
      </c>
      <c r="AIC28">
        <f>SUMIFS(Detail!$AS:$AS,Detail!$G:$G,'Rates-Service Fees'!AIC$23,Detail!$H:$H,'Rates-Service Fees'!AIC$8)*100</f>
        <v>0</v>
      </c>
      <c r="AID28">
        <f>SUMIFS(Detail!$AS:$AS,Detail!$G:$G,'Rates-Service Fees'!AID$23,Detail!$H:$H,'Rates-Service Fees'!AID$8)*100</f>
        <v>0</v>
      </c>
      <c r="AIE28">
        <f>SUMIFS(Detail!$AS:$AS,Detail!$G:$G,'Rates-Service Fees'!AIE$23,Detail!$H:$H,'Rates-Service Fees'!AIE$8)*100</f>
        <v>0</v>
      </c>
      <c r="AIF28">
        <f>SUMIFS(Detail!$AS:$AS,Detail!$G:$G,'Rates-Service Fees'!AIF$23,Detail!$H:$H,'Rates-Service Fees'!AIF$8)*100</f>
        <v>0</v>
      </c>
      <c r="AIG28">
        <f>SUMIFS(Detail!$AS:$AS,Detail!$G:$G,'Rates-Service Fees'!AIG$23,Detail!$H:$H,'Rates-Service Fees'!AIG$8)*100</f>
        <v>0</v>
      </c>
      <c r="AIH28">
        <f>SUMIFS(Detail!$AS:$AS,Detail!$G:$G,'Rates-Service Fees'!AIH$23,Detail!$H:$H,'Rates-Service Fees'!AIH$8)*100</f>
        <v>0</v>
      </c>
      <c r="AII28">
        <f>SUMIFS(Detail!$AS:$AS,Detail!$G:$G,'Rates-Service Fees'!AII$23,Detail!$H:$H,'Rates-Service Fees'!AII$8)*100</f>
        <v>0</v>
      </c>
      <c r="AIJ28">
        <f>SUMIFS(Detail!$AS:$AS,Detail!$G:$G,'Rates-Service Fees'!AIJ$23,Detail!$H:$H,'Rates-Service Fees'!AIJ$8)*100</f>
        <v>0</v>
      </c>
      <c r="AIK28">
        <f>SUMIFS(Detail!$AS:$AS,Detail!$G:$G,'Rates-Service Fees'!AIK$23,Detail!$H:$H,'Rates-Service Fees'!AIK$8)*100</f>
        <v>0</v>
      </c>
      <c r="AIL28">
        <f>SUMIFS(Detail!$AS:$AS,Detail!$G:$G,'Rates-Service Fees'!AIL$23,Detail!$H:$H,'Rates-Service Fees'!AIL$8)*100</f>
        <v>0</v>
      </c>
      <c r="AIM28">
        <f>SUMIFS(Detail!$AS:$AS,Detail!$G:$G,'Rates-Service Fees'!AIM$23,Detail!$H:$H,'Rates-Service Fees'!AIM$8)*100</f>
        <v>0</v>
      </c>
      <c r="AIN28">
        <f>SUMIFS(Detail!$AS:$AS,Detail!$G:$G,'Rates-Service Fees'!AIN$23,Detail!$H:$H,'Rates-Service Fees'!AIN$8)*100</f>
        <v>0</v>
      </c>
      <c r="AIO28">
        <f>SUMIFS(Detail!$AS:$AS,Detail!$G:$G,'Rates-Service Fees'!AIO$23,Detail!$H:$H,'Rates-Service Fees'!AIO$8)*100</f>
        <v>0</v>
      </c>
      <c r="AIP28">
        <f>SUMIFS(Detail!$AS:$AS,Detail!$G:$G,'Rates-Service Fees'!AIP$23,Detail!$H:$H,'Rates-Service Fees'!AIP$8)*100</f>
        <v>0</v>
      </c>
      <c r="AIQ28">
        <f>SUMIFS(Detail!$AS:$AS,Detail!$G:$G,'Rates-Service Fees'!AIQ$23,Detail!$H:$H,'Rates-Service Fees'!AIQ$8)*100</f>
        <v>0</v>
      </c>
      <c r="AIR28">
        <f>SUMIFS(Detail!$AS:$AS,Detail!$G:$G,'Rates-Service Fees'!AIR$23,Detail!$H:$H,'Rates-Service Fees'!AIR$8)*100</f>
        <v>0</v>
      </c>
      <c r="AIS28">
        <f>SUMIFS(Detail!$AS:$AS,Detail!$G:$G,'Rates-Service Fees'!AIS$23,Detail!$H:$H,'Rates-Service Fees'!AIS$8)*100</f>
        <v>0</v>
      </c>
      <c r="AIT28">
        <f>SUMIFS(Detail!$AS:$AS,Detail!$G:$G,'Rates-Service Fees'!AIT$23,Detail!$H:$H,'Rates-Service Fees'!AIT$8)*100</f>
        <v>0</v>
      </c>
      <c r="AIU28">
        <f>SUMIFS(Detail!$AS:$AS,Detail!$G:$G,'Rates-Service Fees'!AIU$23,Detail!$H:$H,'Rates-Service Fees'!AIU$8)*100</f>
        <v>0</v>
      </c>
      <c r="AIV28">
        <f>SUMIFS(Detail!$AS:$AS,Detail!$G:$G,'Rates-Service Fees'!AIV$23,Detail!$H:$H,'Rates-Service Fees'!AIV$8)*100</f>
        <v>0</v>
      </c>
      <c r="AIW28">
        <f>SUMIFS(Detail!$AS:$AS,Detail!$G:$G,'Rates-Service Fees'!AIW$23,Detail!$H:$H,'Rates-Service Fees'!AIW$8)*100</f>
        <v>0</v>
      </c>
      <c r="AIX28">
        <f>SUMIFS(Detail!$AS:$AS,Detail!$G:$G,'Rates-Service Fees'!AIX$23,Detail!$H:$H,'Rates-Service Fees'!AIX$8)*100</f>
        <v>0</v>
      </c>
      <c r="AIY28">
        <f>SUMIFS(Detail!$AS:$AS,Detail!$G:$G,'Rates-Service Fees'!AIY$23,Detail!$H:$H,'Rates-Service Fees'!AIY$8)*100</f>
        <v>0</v>
      </c>
      <c r="AIZ28">
        <f>SUMIFS(Detail!$AS:$AS,Detail!$G:$G,'Rates-Service Fees'!AIZ$23,Detail!$H:$H,'Rates-Service Fees'!AIZ$8)*100</f>
        <v>0</v>
      </c>
      <c r="AJA28">
        <f>SUMIFS(Detail!$AS:$AS,Detail!$G:$G,'Rates-Service Fees'!AJA$23,Detail!$H:$H,'Rates-Service Fees'!AJA$8)*100</f>
        <v>0</v>
      </c>
      <c r="AJB28">
        <f>SUMIFS(Detail!$AS:$AS,Detail!$G:$G,'Rates-Service Fees'!AJB$23,Detail!$H:$H,'Rates-Service Fees'!AJB$8)*100</f>
        <v>0</v>
      </c>
      <c r="AJC28">
        <f>SUMIFS(Detail!$AS:$AS,Detail!$G:$G,'Rates-Service Fees'!AJC$23,Detail!$H:$H,'Rates-Service Fees'!AJC$8)*100</f>
        <v>0</v>
      </c>
      <c r="AJD28">
        <f>SUMIFS(Detail!$AS:$AS,Detail!$G:$G,'Rates-Service Fees'!AJD$23,Detail!$H:$H,'Rates-Service Fees'!AJD$8)*100</f>
        <v>0</v>
      </c>
      <c r="AJE28">
        <f>SUMIFS(Detail!$AS:$AS,Detail!$G:$G,'Rates-Service Fees'!AJE$23,Detail!$H:$H,'Rates-Service Fees'!AJE$8)*100</f>
        <v>0</v>
      </c>
      <c r="AJF28">
        <f>SUMIFS(Detail!$AS:$AS,Detail!$G:$G,'Rates-Service Fees'!AJF$23,Detail!$H:$H,'Rates-Service Fees'!AJF$8)*100</f>
        <v>0</v>
      </c>
      <c r="AJG28">
        <f>SUMIFS(Detail!$AS:$AS,Detail!$G:$G,'Rates-Service Fees'!AJG$23,Detail!$H:$H,'Rates-Service Fees'!AJG$8)*100</f>
        <v>0</v>
      </c>
      <c r="AJH28">
        <f>SUMIFS(Detail!$AS:$AS,Detail!$G:$G,'Rates-Service Fees'!AJH$23,Detail!$H:$H,'Rates-Service Fees'!AJH$8)*100</f>
        <v>0</v>
      </c>
      <c r="AJI28">
        <f>SUMIFS(Detail!$AS:$AS,Detail!$G:$G,'Rates-Service Fees'!AJI$23,Detail!$H:$H,'Rates-Service Fees'!AJI$8)*100</f>
        <v>0</v>
      </c>
      <c r="AJJ28">
        <f>SUMIFS(Detail!$AS:$AS,Detail!$G:$G,'Rates-Service Fees'!AJJ$23,Detail!$H:$H,'Rates-Service Fees'!AJJ$8)*100</f>
        <v>0</v>
      </c>
      <c r="AJK28">
        <f>SUMIFS(Detail!$AS:$AS,Detail!$G:$G,'Rates-Service Fees'!AJK$23,Detail!$H:$H,'Rates-Service Fees'!AJK$8)*100</f>
        <v>0</v>
      </c>
      <c r="AJL28">
        <f>SUMIFS(Detail!$AS:$AS,Detail!$G:$G,'Rates-Service Fees'!AJL$23,Detail!$H:$H,'Rates-Service Fees'!AJL$8)*100</f>
        <v>0</v>
      </c>
      <c r="AJM28">
        <f>SUMIFS(Detail!$AS:$AS,Detail!$G:$G,'Rates-Service Fees'!AJM$23,Detail!$H:$H,'Rates-Service Fees'!AJM$8)*100</f>
        <v>0</v>
      </c>
      <c r="AJN28">
        <f>SUMIFS(Detail!$AS:$AS,Detail!$G:$G,'Rates-Service Fees'!AJN$23,Detail!$H:$H,'Rates-Service Fees'!AJN$8)*100</f>
        <v>0</v>
      </c>
      <c r="AJO28">
        <f>SUMIFS(Detail!$AS:$AS,Detail!$G:$G,'Rates-Service Fees'!AJO$23,Detail!$H:$H,'Rates-Service Fees'!AJO$8)*100</f>
        <v>0</v>
      </c>
      <c r="AJP28">
        <f>SUMIFS(Detail!$AS:$AS,Detail!$G:$G,'Rates-Service Fees'!AJP$23,Detail!$H:$H,'Rates-Service Fees'!AJP$8)*100</f>
        <v>0</v>
      </c>
      <c r="AJQ28">
        <f>SUMIFS(Detail!$AS:$AS,Detail!$G:$G,'Rates-Service Fees'!AJQ$23,Detail!$H:$H,'Rates-Service Fees'!AJQ$8)*100</f>
        <v>0</v>
      </c>
      <c r="AJR28">
        <f>SUMIFS(Detail!$AS:$AS,Detail!$G:$G,'Rates-Service Fees'!AJR$23,Detail!$H:$H,'Rates-Service Fees'!AJR$8)*100</f>
        <v>0</v>
      </c>
      <c r="AJS28">
        <f>SUMIFS(Detail!$AS:$AS,Detail!$G:$G,'Rates-Service Fees'!AJS$23,Detail!$H:$H,'Rates-Service Fees'!AJS$8)*100</f>
        <v>0</v>
      </c>
      <c r="AJT28">
        <f>SUMIFS(Detail!$AS:$AS,Detail!$G:$G,'Rates-Service Fees'!AJT$23,Detail!$H:$H,'Rates-Service Fees'!AJT$8)*100</f>
        <v>0</v>
      </c>
      <c r="AJU28">
        <f>SUMIFS(Detail!$AS:$AS,Detail!$G:$G,'Rates-Service Fees'!AJU$23,Detail!$H:$H,'Rates-Service Fees'!AJU$8)*100</f>
        <v>0</v>
      </c>
      <c r="AJV28">
        <f>SUMIFS(Detail!$AS:$AS,Detail!$G:$G,'Rates-Service Fees'!AJV$23,Detail!$H:$H,'Rates-Service Fees'!AJV$8)*100</f>
        <v>0</v>
      </c>
      <c r="AJW28">
        <f>SUMIFS(Detail!$AS:$AS,Detail!$G:$G,'Rates-Service Fees'!AJW$23,Detail!$H:$H,'Rates-Service Fees'!AJW$8)*100</f>
        <v>0</v>
      </c>
      <c r="AJX28">
        <f>SUMIFS(Detail!$AS:$AS,Detail!$G:$G,'Rates-Service Fees'!AJX$23,Detail!$H:$H,'Rates-Service Fees'!AJX$8)*100</f>
        <v>0</v>
      </c>
      <c r="AJY28">
        <f>SUMIFS(Detail!$AS:$AS,Detail!$G:$G,'Rates-Service Fees'!AJY$23,Detail!$H:$H,'Rates-Service Fees'!AJY$8)*100</f>
        <v>0</v>
      </c>
      <c r="AJZ28">
        <f>SUMIFS(Detail!$AS:$AS,Detail!$G:$G,'Rates-Service Fees'!AJZ$23,Detail!$H:$H,'Rates-Service Fees'!AJZ$8)*100</f>
        <v>0</v>
      </c>
      <c r="AKA28">
        <f>SUMIFS(Detail!$AS:$AS,Detail!$G:$G,'Rates-Service Fees'!AKA$23,Detail!$H:$H,'Rates-Service Fees'!AKA$8)*100</f>
        <v>0</v>
      </c>
      <c r="AKB28">
        <f>SUMIFS(Detail!$AS:$AS,Detail!$G:$G,'Rates-Service Fees'!AKB$23,Detail!$H:$H,'Rates-Service Fees'!AKB$8)*100</f>
        <v>0</v>
      </c>
      <c r="AKC28">
        <f>SUMIFS(Detail!$AS:$AS,Detail!$G:$G,'Rates-Service Fees'!AKC$23,Detail!$H:$H,'Rates-Service Fees'!AKC$8)*100</f>
        <v>0</v>
      </c>
      <c r="AKD28">
        <f>SUMIFS(Detail!$AS:$AS,Detail!$G:$G,'Rates-Service Fees'!AKD$23,Detail!$H:$H,'Rates-Service Fees'!AKD$8)*100</f>
        <v>0</v>
      </c>
      <c r="AKE28">
        <f>SUMIFS(Detail!$AS:$AS,Detail!$G:$G,'Rates-Service Fees'!AKE$23,Detail!$H:$H,'Rates-Service Fees'!AKE$8)*100</f>
        <v>0</v>
      </c>
      <c r="AKF28">
        <f>SUMIFS(Detail!$AS:$AS,Detail!$G:$G,'Rates-Service Fees'!AKF$23,Detail!$H:$H,'Rates-Service Fees'!AKF$8)*100</f>
        <v>0</v>
      </c>
      <c r="AKG28">
        <f>SUMIFS(Detail!$AS:$AS,Detail!$G:$G,'Rates-Service Fees'!AKG$23,Detail!$H:$H,'Rates-Service Fees'!AKG$8)*100</f>
        <v>0</v>
      </c>
      <c r="AKH28">
        <f>SUMIFS(Detail!$AS:$AS,Detail!$G:$G,'Rates-Service Fees'!AKH$23,Detail!$H:$H,'Rates-Service Fees'!AKH$8)*100</f>
        <v>0</v>
      </c>
      <c r="AKI28">
        <f>SUMIFS(Detail!$AS:$AS,Detail!$G:$G,'Rates-Service Fees'!AKI$23,Detail!$H:$H,'Rates-Service Fees'!AKI$8)*100</f>
        <v>0</v>
      </c>
      <c r="AKJ28">
        <f>SUMIFS(Detail!$AS:$AS,Detail!$G:$G,'Rates-Service Fees'!AKJ$23,Detail!$H:$H,'Rates-Service Fees'!AKJ$8)*100</f>
        <v>0</v>
      </c>
      <c r="AKK28">
        <f>SUMIFS(Detail!$AS:$AS,Detail!$G:$G,'Rates-Service Fees'!AKK$23,Detail!$H:$H,'Rates-Service Fees'!AKK$8)*100</f>
        <v>0</v>
      </c>
      <c r="AKL28">
        <f>SUMIFS(Detail!$AS:$AS,Detail!$G:$G,'Rates-Service Fees'!AKL$23,Detail!$H:$H,'Rates-Service Fees'!AKL$8)*100</f>
        <v>0</v>
      </c>
      <c r="AKM28">
        <f>SUMIFS(Detail!$AS:$AS,Detail!$G:$G,'Rates-Service Fees'!AKM$23,Detail!$H:$H,'Rates-Service Fees'!AKM$8)*100</f>
        <v>0</v>
      </c>
      <c r="AKN28">
        <f>SUMIFS(Detail!$AS:$AS,Detail!$G:$G,'Rates-Service Fees'!AKN$23,Detail!$H:$H,'Rates-Service Fees'!AKN$8)*100</f>
        <v>0</v>
      </c>
      <c r="AKO28">
        <f>SUMIFS(Detail!$AS:$AS,Detail!$G:$G,'Rates-Service Fees'!AKO$23,Detail!$H:$H,'Rates-Service Fees'!AKO$8)*100</f>
        <v>0</v>
      </c>
      <c r="AKP28">
        <f>SUMIFS(Detail!$AS:$AS,Detail!$G:$G,'Rates-Service Fees'!AKP$23,Detail!$H:$H,'Rates-Service Fees'!AKP$8)*100</f>
        <v>0</v>
      </c>
      <c r="AKQ28">
        <f>SUMIFS(Detail!$AS:$AS,Detail!$G:$G,'Rates-Service Fees'!AKQ$23,Detail!$H:$H,'Rates-Service Fees'!AKQ$8)*100</f>
        <v>0</v>
      </c>
      <c r="AKR28">
        <f>SUMIFS(Detail!$AS:$AS,Detail!$G:$G,'Rates-Service Fees'!AKR$23,Detail!$H:$H,'Rates-Service Fees'!AKR$8)*100</f>
        <v>0</v>
      </c>
      <c r="AKS28">
        <f>SUMIFS(Detail!$AS:$AS,Detail!$G:$G,'Rates-Service Fees'!AKS$23,Detail!$H:$H,'Rates-Service Fees'!AKS$8)*100</f>
        <v>0</v>
      </c>
      <c r="AKT28">
        <f>SUMIFS(Detail!$AS:$AS,Detail!$G:$G,'Rates-Service Fees'!AKT$23,Detail!$H:$H,'Rates-Service Fees'!AKT$8)*100</f>
        <v>0</v>
      </c>
      <c r="AKU28">
        <f>SUMIFS(Detail!$AS:$AS,Detail!$G:$G,'Rates-Service Fees'!AKU$23,Detail!$H:$H,'Rates-Service Fees'!AKU$8)*100</f>
        <v>0</v>
      </c>
      <c r="AKV28">
        <f>SUMIFS(Detail!$AS:$AS,Detail!$G:$G,'Rates-Service Fees'!AKV$23,Detail!$H:$H,'Rates-Service Fees'!AKV$8)*100</f>
        <v>0</v>
      </c>
      <c r="AKW28">
        <f>SUMIFS(Detail!$AS:$AS,Detail!$G:$G,'Rates-Service Fees'!AKW$23,Detail!$H:$H,'Rates-Service Fees'!AKW$8)*100</f>
        <v>0</v>
      </c>
      <c r="AKX28">
        <f>SUMIFS(Detail!$AS:$AS,Detail!$G:$G,'Rates-Service Fees'!AKX$23,Detail!$H:$H,'Rates-Service Fees'!AKX$8)*100</f>
        <v>0</v>
      </c>
      <c r="AKY28">
        <f>SUMIFS(Detail!$AS:$AS,Detail!$G:$G,'Rates-Service Fees'!AKY$23,Detail!$H:$H,'Rates-Service Fees'!AKY$8)*100</f>
        <v>0</v>
      </c>
      <c r="AKZ28">
        <f>SUMIFS(Detail!$AS:$AS,Detail!$G:$G,'Rates-Service Fees'!AKZ$23,Detail!$H:$H,'Rates-Service Fees'!AKZ$8)*100</f>
        <v>0</v>
      </c>
      <c r="ALA28">
        <f>SUMIFS(Detail!$AS:$AS,Detail!$G:$G,'Rates-Service Fees'!ALA$23,Detail!$H:$H,'Rates-Service Fees'!ALA$8)*100</f>
        <v>0</v>
      </c>
      <c r="ALB28">
        <f>SUMIFS(Detail!$AS:$AS,Detail!$G:$G,'Rates-Service Fees'!ALB$23,Detail!$H:$H,'Rates-Service Fees'!ALB$8)*100</f>
        <v>0</v>
      </c>
      <c r="ALC28">
        <f>SUMIFS(Detail!$AS:$AS,Detail!$G:$G,'Rates-Service Fees'!ALC$23,Detail!$H:$H,'Rates-Service Fees'!ALC$8)*100</f>
        <v>0</v>
      </c>
      <c r="ALD28">
        <f>SUMIFS(Detail!$AS:$AS,Detail!$G:$G,'Rates-Service Fees'!ALD$23,Detail!$H:$H,'Rates-Service Fees'!ALD$8)*100</f>
        <v>0</v>
      </c>
      <c r="ALE28">
        <f>SUMIFS(Detail!$AS:$AS,Detail!$G:$G,'Rates-Service Fees'!ALE$23,Detail!$H:$H,'Rates-Service Fees'!ALE$8)*100</f>
        <v>0</v>
      </c>
      <c r="ALF28">
        <f>SUMIFS(Detail!$AS:$AS,Detail!$G:$G,'Rates-Service Fees'!ALF$23,Detail!$H:$H,'Rates-Service Fees'!ALF$8)*100</f>
        <v>0</v>
      </c>
      <c r="ALG28">
        <f>SUMIFS(Detail!$AS:$AS,Detail!$G:$G,'Rates-Service Fees'!ALG$23,Detail!$H:$H,'Rates-Service Fees'!ALG$8)*100</f>
        <v>0</v>
      </c>
      <c r="ALH28">
        <f>SUMIFS(Detail!$AS:$AS,Detail!$G:$G,'Rates-Service Fees'!ALH$23,Detail!$H:$H,'Rates-Service Fees'!ALH$8)*100</f>
        <v>0</v>
      </c>
      <c r="ALI28">
        <f>SUMIFS(Detail!$AS:$AS,Detail!$G:$G,'Rates-Service Fees'!ALI$23,Detail!$H:$H,'Rates-Service Fees'!ALI$8)*100</f>
        <v>0</v>
      </c>
      <c r="ALJ28">
        <f>SUMIFS(Detail!$AS:$AS,Detail!$G:$G,'Rates-Service Fees'!ALJ$23,Detail!$H:$H,'Rates-Service Fees'!ALJ$8)*100</f>
        <v>0</v>
      </c>
      <c r="ALK28">
        <f>SUMIFS(Detail!$AS:$AS,Detail!$G:$G,'Rates-Service Fees'!ALK$23,Detail!$H:$H,'Rates-Service Fees'!ALK$8)*100</f>
        <v>0</v>
      </c>
      <c r="ALL28">
        <f>SUMIFS(Detail!$AS:$AS,Detail!$G:$G,'Rates-Service Fees'!ALL$23,Detail!$H:$H,'Rates-Service Fees'!ALL$8)*100</f>
        <v>0</v>
      </c>
      <c r="ALM28">
        <f>SUMIFS(Detail!$AS:$AS,Detail!$G:$G,'Rates-Service Fees'!ALM$23,Detail!$H:$H,'Rates-Service Fees'!ALM$8)*100</f>
        <v>0</v>
      </c>
    </row>
    <row r="29" spans="1:1001">
      <c r="A29" s="26"/>
      <c r="B29">
        <f>SUMIFS(Detail!$AW:$AW,Detail!$G:$G,'Rates-Service Fees'!B$23,Detail!$H:$H,'Rates-Service Fees'!B$8)*100</f>
        <v>0</v>
      </c>
      <c r="C29">
        <f>SUMIFS(Detail!$AW:$AW,Detail!$G:$G,'Rates-Service Fees'!C$23,Detail!$H:$H,'Rates-Service Fees'!C$8)*100</f>
        <v>0</v>
      </c>
      <c r="D29">
        <f>SUMIFS(Detail!$AW:$AW,Detail!$G:$G,'Rates-Service Fees'!D$23,Detail!$H:$H,'Rates-Service Fees'!D$8)*100</f>
        <v>0</v>
      </c>
      <c r="E29">
        <f>SUMIFS(Detail!$AW:$AW,Detail!$G:$G,'Rates-Service Fees'!E$23,Detail!$H:$H,'Rates-Service Fees'!E$8)*100</f>
        <v>0</v>
      </c>
      <c r="F29">
        <f>SUMIFS(Detail!$AW:$AW,Detail!$G:$G,'Rates-Service Fees'!F$23,Detail!$H:$H,'Rates-Service Fees'!F$8)*100</f>
        <v>0</v>
      </c>
      <c r="G29">
        <f>SUMIFS(Detail!$AW:$AW,Detail!$G:$G,'Rates-Service Fees'!G$23,Detail!$H:$H,'Rates-Service Fees'!G$8)*100</f>
        <v>0</v>
      </c>
      <c r="H29">
        <f>SUMIFS(Detail!$AW:$AW,Detail!$G:$G,'Rates-Service Fees'!H$23,Detail!$H:$H,'Rates-Service Fees'!H$8)*100</f>
        <v>0</v>
      </c>
      <c r="I29">
        <f>SUMIFS(Detail!$AW:$AW,Detail!$G:$G,'Rates-Service Fees'!I$23,Detail!$H:$H,'Rates-Service Fees'!I$8)*100</f>
        <v>0</v>
      </c>
      <c r="J29">
        <f>SUMIFS(Detail!$AW:$AW,Detail!$G:$G,'Rates-Service Fees'!J$23,Detail!$H:$H,'Rates-Service Fees'!J$8)*100</f>
        <v>0</v>
      </c>
      <c r="K29">
        <f>SUMIFS(Detail!$AW:$AW,Detail!$G:$G,'Rates-Service Fees'!K$23,Detail!$H:$H,'Rates-Service Fees'!K$8)*100</f>
        <v>0</v>
      </c>
      <c r="L29">
        <f>SUMIFS(Detail!$AW:$AW,Detail!$G:$G,'Rates-Service Fees'!L$23,Detail!$H:$H,'Rates-Service Fees'!L$8)*100</f>
        <v>0</v>
      </c>
      <c r="M29">
        <f>SUMIFS(Detail!$AW:$AW,Detail!$G:$G,'Rates-Service Fees'!M$23,Detail!$H:$H,'Rates-Service Fees'!M$8)*100</f>
        <v>0</v>
      </c>
      <c r="N29">
        <f>SUMIFS(Detail!$AW:$AW,Detail!$G:$G,'Rates-Service Fees'!N$23,Detail!$H:$H,'Rates-Service Fees'!N$8)*100</f>
        <v>0</v>
      </c>
      <c r="O29">
        <f>SUMIFS(Detail!$AW:$AW,Detail!$G:$G,'Rates-Service Fees'!O$23,Detail!$H:$H,'Rates-Service Fees'!O$8)*100</f>
        <v>0</v>
      </c>
      <c r="P29">
        <f>SUMIFS(Detail!$AW:$AW,Detail!$G:$G,'Rates-Service Fees'!P$23,Detail!$H:$H,'Rates-Service Fees'!P$8)*100</f>
        <v>0</v>
      </c>
      <c r="Q29">
        <f>SUMIFS(Detail!$AW:$AW,Detail!$G:$G,'Rates-Service Fees'!Q$23,Detail!$H:$H,'Rates-Service Fees'!Q$8)*100</f>
        <v>0</v>
      </c>
      <c r="R29">
        <f>SUMIFS(Detail!$AW:$AW,Detail!$G:$G,'Rates-Service Fees'!R$23,Detail!$H:$H,'Rates-Service Fees'!R$8)*100</f>
        <v>0</v>
      </c>
      <c r="S29">
        <f>SUMIFS(Detail!$AW:$AW,Detail!$G:$G,'Rates-Service Fees'!S$23,Detail!$H:$H,'Rates-Service Fees'!S$8)*100</f>
        <v>0</v>
      </c>
      <c r="T29">
        <f>SUMIFS(Detail!$AW:$AW,Detail!$G:$G,'Rates-Service Fees'!T$23,Detail!$H:$H,'Rates-Service Fees'!T$8)*100</f>
        <v>0</v>
      </c>
      <c r="U29">
        <f>SUMIFS(Detail!$AW:$AW,Detail!$G:$G,'Rates-Service Fees'!U$23,Detail!$H:$H,'Rates-Service Fees'!U$8)*100</f>
        <v>0</v>
      </c>
      <c r="V29">
        <f>SUMIFS(Detail!$AW:$AW,Detail!$G:$G,'Rates-Service Fees'!V$23,Detail!$H:$H,'Rates-Service Fees'!V$8)*100</f>
        <v>0</v>
      </c>
      <c r="W29">
        <f>SUMIFS(Detail!$AW:$AW,Detail!$G:$G,'Rates-Service Fees'!W$23,Detail!$H:$H,'Rates-Service Fees'!W$8)*100</f>
        <v>0</v>
      </c>
      <c r="X29">
        <f>SUMIFS(Detail!$AW:$AW,Detail!$G:$G,'Rates-Service Fees'!X$23,Detail!$H:$H,'Rates-Service Fees'!X$8)*100</f>
        <v>0</v>
      </c>
      <c r="Y29">
        <f>SUMIFS(Detail!$AW:$AW,Detail!$G:$G,'Rates-Service Fees'!Y$23,Detail!$H:$H,'Rates-Service Fees'!Y$8)*100</f>
        <v>0</v>
      </c>
      <c r="Z29">
        <f>SUMIFS(Detail!$AW:$AW,Detail!$G:$G,'Rates-Service Fees'!Z$23,Detail!$H:$H,'Rates-Service Fees'!Z$8)*100</f>
        <v>0</v>
      </c>
      <c r="AA29">
        <f>SUMIFS(Detail!$AW:$AW,Detail!$G:$G,'Rates-Service Fees'!AA$23,Detail!$H:$H,'Rates-Service Fees'!AA$8)*100</f>
        <v>0</v>
      </c>
      <c r="AB29">
        <f>SUMIFS(Detail!$AW:$AW,Detail!$G:$G,'Rates-Service Fees'!AB$23,Detail!$H:$H,'Rates-Service Fees'!AB$8)*100</f>
        <v>0</v>
      </c>
      <c r="AC29">
        <f>SUMIFS(Detail!$AW:$AW,Detail!$G:$G,'Rates-Service Fees'!AC$23,Detail!$H:$H,'Rates-Service Fees'!AC$8)*100</f>
        <v>0</v>
      </c>
      <c r="AD29">
        <f>SUMIFS(Detail!$AW:$AW,Detail!$G:$G,'Rates-Service Fees'!AD$23,Detail!$H:$H,'Rates-Service Fees'!AD$8)*100</f>
        <v>0</v>
      </c>
      <c r="AE29">
        <f>SUMIFS(Detail!$AW:$AW,Detail!$G:$G,'Rates-Service Fees'!AE$23,Detail!$H:$H,'Rates-Service Fees'!AE$8)*100</f>
        <v>0</v>
      </c>
      <c r="AF29">
        <f>SUMIFS(Detail!$AW:$AW,Detail!$G:$G,'Rates-Service Fees'!AF$23,Detail!$H:$H,'Rates-Service Fees'!AF$8)*100</f>
        <v>0</v>
      </c>
      <c r="AG29">
        <f>SUMIFS(Detail!$AW:$AW,Detail!$G:$G,'Rates-Service Fees'!AG$23,Detail!$H:$H,'Rates-Service Fees'!AG$8)*100</f>
        <v>0</v>
      </c>
      <c r="AH29">
        <f>SUMIFS(Detail!$AW:$AW,Detail!$G:$G,'Rates-Service Fees'!AH$23,Detail!$H:$H,'Rates-Service Fees'!AH$8)*100</f>
        <v>0</v>
      </c>
      <c r="AI29">
        <f>SUMIFS(Detail!$AW:$AW,Detail!$G:$G,'Rates-Service Fees'!AI$23,Detail!$H:$H,'Rates-Service Fees'!AI$8)*100</f>
        <v>0</v>
      </c>
      <c r="AJ29">
        <f>SUMIFS(Detail!$AW:$AW,Detail!$G:$G,'Rates-Service Fees'!AJ$23,Detail!$H:$H,'Rates-Service Fees'!AJ$8)*100</f>
        <v>0</v>
      </c>
      <c r="AK29">
        <f>SUMIFS(Detail!$AW:$AW,Detail!$G:$G,'Rates-Service Fees'!AK$23,Detail!$H:$H,'Rates-Service Fees'!AK$8)*100</f>
        <v>0</v>
      </c>
      <c r="AL29">
        <f>SUMIFS(Detail!$AW:$AW,Detail!$G:$G,'Rates-Service Fees'!AL$23,Detail!$H:$H,'Rates-Service Fees'!AL$8)*100</f>
        <v>0</v>
      </c>
      <c r="AM29">
        <f>SUMIFS(Detail!$AW:$AW,Detail!$G:$G,'Rates-Service Fees'!AM$23,Detail!$H:$H,'Rates-Service Fees'!AM$8)*100</f>
        <v>0</v>
      </c>
      <c r="AN29">
        <f>SUMIFS(Detail!$AW:$AW,Detail!$G:$G,'Rates-Service Fees'!AN$23,Detail!$H:$H,'Rates-Service Fees'!AN$8)*100</f>
        <v>0</v>
      </c>
      <c r="AO29">
        <f>SUMIFS(Detail!$AW:$AW,Detail!$G:$G,'Rates-Service Fees'!AO$23,Detail!$H:$H,'Rates-Service Fees'!AO$8)*100</f>
        <v>0</v>
      </c>
      <c r="AP29">
        <f>SUMIFS(Detail!$AW:$AW,Detail!$G:$G,'Rates-Service Fees'!AP$23,Detail!$H:$H,'Rates-Service Fees'!AP$8)*100</f>
        <v>0</v>
      </c>
      <c r="AQ29">
        <f>SUMIFS(Detail!$AW:$AW,Detail!$G:$G,'Rates-Service Fees'!AQ$23,Detail!$H:$H,'Rates-Service Fees'!AQ$8)*100</f>
        <v>0</v>
      </c>
      <c r="AR29">
        <f>SUMIFS(Detail!$AW:$AW,Detail!$G:$G,'Rates-Service Fees'!AR$23,Detail!$H:$H,'Rates-Service Fees'!AR$8)*100</f>
        <v>0</v>
      </c>
      <c r="AS29">
        <f>SUMIFS(Detail!$AW:$AW,Detail!$G:$G,'Rates-Service Fees'!AS$23,Detail!$H:$H,'Rates-Service Fees'!AS$8)*100</f>
        <v>0</v>
      </c>
      <c r="AT29">
        <f>SUMIFS(Detail!$AW:$AW,Detail!$G:$G,'Rates-Service Fees'!AT$23,Detail!$H:$H,'Rates-Service Fees'!AT$8)*100</f>
        <v>0</v>
      </c>
      <c r="AU29">
        <f>SUMIFS(Detail!$AW:$AW,Detail!$G:$G,'Rates-Service Fees'!AU$23,Detail!$H:$H,'Rates-Service Fees'!AU$8)*100</f>
        <v>0</v>
      </c>
      <c r="AV29">
        <f>SUMIFS(Detail!$AW:$AW,Detail!$G:$G,'Rates-Service Fees'!AV$23,Detail!$H:$H,'Rates-Service Fees'!AV$8)*100</f>
        <v>0</v>
      </c>
      <c r="AW29">
        <f>SUMIFS(Detail!$AW:$AW,Detail!$G:$G,'Rates-Service Fees'!AW$23,Detail!$H:$H,'Rates-Service Fees'!AW$8)*100</f>
        <v>0</v>
      </c>
      <c r="AX29">
        <f>SUMIFS(Detail!$AW:$AW,Detail!$G:$G,'Rates-Service Fees'!AX$23,Detail!$H:$H,'Rates-Service Fees'!AX$8)*100</f>
        <v>0</v>
      </c>
      <c r="AY29">
        <f>SUMIFS(Detail!$AW:$AW,Detail!$G:$G,'Rates-Service Fees'!AY$23,Detail!$H:$H,'Rates-Service Fees'!AY$8)*100</f>
        <v>0</v>
      </c>
      <c r="AZ29">
        <f>SUMIFS(Detail!$AW:$AW,Detail!$G:$G,'Rates-Service Fees'!AZ$23,Detail!$H:$H,'Rates-Service Fees'!AZ$8)*100</f>
        <v>0</v>
      </c>
      <c r="BA29">
        <f>SUMIFS(Detail!$AW:$AW,Detail!$G:$G,'Rates-Service Fees'!BA$23,Detail!$H:$H,'Rates-Service Fees'!BA$8)*100</f>
        <v>0</v>
      </c>
      <c r="BB29">
        <f>SUMIFS(Detail!$AW:$AW,Detail!$G:$G,'Rates-Service Fees'!BB$23,Detail!$H:$H,'Rates-Service Fees'!BB$8)*100</f>
        <v>0</v>
      </c>
      <c r="BC29">
        <f>SUMIFS(Detail!$AW:$AW,Detail!$G:$G,'Rates-Service Fees'!BC$23,Detail!$H:$H,'Rates-Service Fees'!BC$8)*100</f>
        <v>0</v>
      </c>
      <c r="BD29">
        <f>SUMIFS(Detail!$AW:$AW,Detail!$G:$G,'Rates-Service Fees'!BD$23,Detail!$H:$H,'Rates-Service Fees'!BD$8)*100</f>
        <v>0</v>
      </c>
      <c r="BE29">
        <f>SUMIFS(Detail!$AW:$AW,Detail!$G:$G,'Rates-Service Fees'!BE$23,Detail!$H:$H,'Rates-Service Fees'!BE$8)*100</f>
        <v>0</v>
      </c>
      <c r="BF29">
        <f>SUMIFS(Detail!$AW:$AW,Detail!$G:$G,'Rates-Service Fees'!BF$23,Detail!$H:$H,'Rates-Service Fees'!BF$8)*100</f>
        <v>0</v>
      </c>
      <c r="BG29">
        <f>SUMIFS(Detail!$AW:$AW,Detail!$G:$G,'Rates-Service Fees'!BG$23,Detail!$H:$H,'Rates-Service Fees'!BG$8)*100</f>
        <v>0</v>
      </c>
      <c r="BH29">
        <f>SUMIFS(Detail!$AW:$AW,Detail!$G:$G,'Rates-Service Fees'!BH$23,Detail!$H:$H,'Rates-Service Fees'!BH$8)*100</f>
        <v>0</v>
      </c>
      <c r="BI29">
        <f>SUMIFS(Detail!$AW:$AW,Detail!$G:$G,'Rates-Service Fees'!BI$23,Detail!$H:$H,'Rates-Service Fees'!BI$8)*100</f>
        <v>0</v>
      </c>
      <c r="BJ29">
        <f>SUMIFS(Detail!$AW:$AW,Detail!$G:$G,'Rates-Service Fees'!BJ$23,Detail!$H:$H,'Rates-Service Fees'!BJ$8)*100</f>
        <v>0</v>
      </c>
      <c r="BK29">
        <f>SUMIFS(Detail!$AW:$AW,Detail!$G:$G,'Rates-Service Fees'!BK$23,Detail!$H:$H,'Rates-Service Fees'!BK$8)*100</f>
        <v>0</v>
      </c>
      <c r="BL29">
        <f>SUMIFS(Detail!$AW:$AW,Detail!$G:$G,'Rates-Service Fees'!BL$23,Detail!$H:$H,'Rates-Service Fees'!BL$8)*100</f>
        <v>0</v>
      </c>
      <c r="BM29">
        <f>SUMIFS(Detail!$AW:$AW,Detail!$G:$G,'Rates-Service Fees'!BM$23,Detail!$H:$H,'Rates-Service Fees'!BM$8)*100</f>
        <v>0</v>
      </c>
      <c r="BN29">
        <f>SUMIFS(Detail!$AW:$AW,Detail!$G:$G,'Rates-Service Fees'!BN$23,Detail!$H:$H,'Rates-Service Fees'!BN$8)*100</f>
        <v>0</v>
      </c>
      <c r="BO29">
        <f>SUMIFS(Detail!$AW:$AW,Detail!$G:$G,'Rates-Service Fees'!BO$23,Detail!$H:$H,'Rates-Service Fees'!BO$8)*100</f>
        <v>0</v>
      </c>
      <c r="BP29">
        <f>SUMIFS(Detail!$AW:$AW,Detail!$G:$G,'Rates-Service Fees'!BP$23,Detail!$H:$H,'Rates-Service Fees'!BP$8)*100</f>
        <v>0</v>
      </c>
      <c r="BQ29">
        <f>SUMIFS(Detail!$AW:$AW,Detail!$G:$G,'Rates-Service Fees'!BQ$23,Detail!$H:$H,'Rates-Service Fees'!BQ$8)*100</f>
        <v>0</v>
      </c>
      <c r="BR29">
        <f>SUMIFS(Detail!$AW:$AW,Detail!$G:$G,'Rates-Service Fees'!BR$23,Detail!$H:$H,'Rates-Service Fees'!BR$8)*100</f>
        <v>0</v>
      </c>
      <c r="BS29">
        <f>SUMIFS(Detail!$AW:$AW,Detail!$G:$G,'Rates-Service Fees'!BS$23,Detail!$H:$H,'Rates-Service Fees'!BS$8)*100</f>
        <v>0</v>
      </c>
      <c r="BT29">
        <f>SUMIFS(Detail!$AW:$AW,Detail!$G:$G,'Rates-Service Fees'!BT$23,Detail!$H:$H,'Rates-Service Fees'!BT$8)*100</f>
        <v>0</v>
      </c>
      <c r="BU29">
        <f>SUMIFS(Detail!$AW:$AW,Detail!$G:$G,'Rates-Service Fees'!BU$23,Detail!$H:$H,'Rates-Service Fees'!BU$8)*100</f>
        <v>0</v>
      </c>
      <c r="BV29">
        <f>SUMIFS(Detail!$AW:$AW,Detail!$G:$G,'Rates-Service Fees'!BV$23,Detail!$H:$H,'Rates-Service Fees'!BV$8)*100</f>
        <v>0</v>
      </c>
      <c r="BW29">
        <f>SUMIFS(Detail!$AW:$AW,Detail!$G:$G,'Rates-Service Fees'!BW$23,Detail!$H:$H,'Rates-Service Fees'!BW$8)*100</f>
        <v>0</v>
      </c>
      <c r="BX29">
        <f>SUMIFS(Detail!$AW:$AW,Detail!$G:$G,'Rates-Service Fees'!BX$23,Detail!$H:$H,'Rates-Service Fees'!BX$8)*100</f>
        <v>0</v>
      </c>
      <c r="BY29">
        <f>SUMIFS(Detail!$AW:$AW,Detail!$G:$G,'Rates-Service Fees'!BY$23,Detail!$H:$H,'Rates-Service Fees'!BY$8)*100</f>
        <v>0</v>
      </c>
      <c r="BZ29">
        <f>SUMIFS(Detail!$AW:$AW,Detail!$G:$G,'Rates-Service Fees'!BZ$23,Detail!$H:$H,'Rates-Service Fees'!BZ$8)*100</f>
        <v>0</v>
      </c>
      <c r="CA29">
        <f>SUMIFS(Detail!$AW:$AW,Detail!$G:$G,'Rates-Service Fees'!CA$23,Detail!$H:$H,'Rates-Service Fees'!CA$8)*100</f>
        <v>0</v>
      </c>
      <c r="CB29">
        <f>SUMIFS(Detail!$AW:$AW,Detail!$G:$G,'Rates-Service Fees'!CB$23,Detail!$H:$H,'Rates-Service Fees'!CB$8)*100</f>
        <v>0</v>
      </c>
      <c r="CC29">
        <f>SUMIFS(Detail!$AW:$AW,Detail!$G:$G,'Rates-Service Fees'!CC$23,Detail!$H:$H,'Rates-Service Fees'!CC$8)*100</f>
        <v>0</v>
      </c>
      <c r="CD29">
        <f>SUMIFS(Detail!$AW:$AW,Detail!$G:$G,'Rates-Service Fees'!CD$23,Detail!$H:$H,'Rates-Service Fees'!CD$8)*100</f>
        <v>0</v>
      </c>
      <c r="CE29">
        <f>SUMIFS(Detail!$AW:$AW,Detail!$G:$G,'Rates-Service Fees'!CE$23,Detail!$H:$H,'Rates-Service Fees'!CE$8)*100</f>
        <v>0</v>
      </c>
      <c r="CF29">
        <f>SUMIFS(Detail!$AW:$AW,Detail!$G:$G,'Rates-Service Fees'!CF$23,Detail!$H:$H,'Rates-Service Fees'!CF$8)*100</f>
        <v>0</v>
      </c>
      <c r="CG29">
        <f>SUMIFS(Detail!$AW:$AW,Detail!$G:$G,'Rates-Service Fees'!CG$23,Detail!$H:$H,'Rates-Service Fees'!CG$8)*100</f>
        <v>0</v>
      </c>
      <c r="CH29">
        <f>SUMIFS(Detail!$AW:$AW,Detail!$G:$G,'Rates-Service Fees'!CH$23,Detail!$H:$H,'Rates-Service Fees'!CH$8)*100</f>
        <v>0</v>
      </c>
      <c r="CI29">
        <f>SUMIFS(Detail!$AW:$AW,Detail!$G:$G,'Rates-Service Fees'!CI$23,Detail!$H:$H,'Rates-Service Fees'!CI$8)*100</f>
        <v>0</v>
      </c>
      <c r="CJ29">
        <f>SUMIFS(Detail!$AW:$AW,Detail!$G:$G,'Rates-Service Fees'!CJ$23,Detail!$H:$H,'Rates-Service Fees'!CJ$8)*100</f>
        <v>0</v>
      </c>
      <c r="CK29">
        <f>SUMIFS(Detail!$AW:$AW,Detail!$G:$G,'Rates-Service Fees'!CK$23,Detail!$H:$H,'Rates-Service Fees'!CK$8)*100</f>
        <v>0</v>
      </c>
      <c r="CL29">
        <f>SUMIFS(Detail!$AW:$AW,Detail!$G:$G,'Rates-Service Fees'!CL$23,Detail!$H:$H,'Rates-Service Fees'!CL$8)*100</f>
        <v>0</v>
      </c>
      <c r="CM29">
        <f>SUMIFS(Detail!$AW:$AW,Detail!$G:$G,'Rates-Service Fees'!CM$23,Detail!$H:$H,'Rates-Service Fees'!CM$8)*100</f>
        <v>0</v>
      </c>
      <c r="CN29">
        <f>SUMIFS(Detail!$AW:$AW,Detail!$G:$G,'Rates-Service Fees'!CN$23,Detail!$H:$H,'Rates-Service Fees'!CN$8)*100</f>
        <v>0</v>
      </c>
      <c r="CO29">
        <f>SUMIFS(Detail!$AW:$AW,Detail!$G:$G,'Rates-Service Fees'!CO$23,Detail!$H:$H,'Rates-Service Fees'!CO$8)*100</f>
        <v>0</v>
      </c>
      <c r="CP29">
        <f>SUMIFS(Detail!$AW:$AW,Detail!$G:$G,'Rates-Service Fees'!CP$23,Detail!$H:$H,'Rates-Service Fees'!CP$8)*100</f>
        <v>0</v>
      </c>
      <c r="CQ29">
        <f>SUMIFS(Detail!$AW:$AW,Detail!$G:$G,'Rates-Service Fees'!CQ$23,Detail!$H:$H,'Rates-Service Fees'!CQ$8)*100</f>
        <v>0</v>
      </c>
      <c r="CR29">
        <f>SUMIFS(Detail!$AW:$AW,Detail!$G:$G,'Rates-Service Fees'!CR$23,Detail!$H:$H,'Rates-Service Fees'!CR$8)*100</f>
        <v>0</v>
      </c>
      <c r="CS29">
        <f>SUMIFS(Detail!$AW:$AW,Detail!$G:$G,'Rates-Service Fees'!CS$23,Detail!$H:$H,'Rates-Service Fees'!CS$8)*100</f>
        <v>0</v>
      </c>
      <c r="CT29">
        <f>SUMIFS(Detail!$AW:$AW,Detail!$G:$G,'Rates-Service Fees'!CT$23,Detail!$H:$H,'Rates-Service Fees'!CT$8)*100</f>
        <v>0</v>
      </c>
      <c r="CU29">
        <f>SUMIFS(Detail!$AW:$AW,Detail!$G:$G,'Rates-Service Fees'!CU$23,Detail!$H:$H,'Rates-Service Fees'!CU$8)*100</f>
        <v>0</v>
      </c>
      <c r="CV29">
        <f>SUMIFS(Detail!$AW:$AW,Detail!$G:$G,'Rates-Service Fees'!CV$23,Detail!$H:$H,'Rates-Service Fees'!CV$8)*100</f>
        <v>0</v>
      </c>
      <c r="CW29">
        <f>SUMIFS(Detail!$AW:$AW,Detail!$G:$G,'Rates-Service Fees'!CW$23,Detail!$H:$H,'Rates-Service Fees'!CW$8)*100</f>
        <v>0</v>
      </c>
      <c r="CX29">
        <f>SUMIFS(Detail!$AW:$AW,Detail!$G:$G,'Rates-Service Fees'!CX$23,Detail!$H:$H,'Rates-Service Fees'!CX$8)*100</f>
        <v>0</v>
      </c>
      <c r="CY29">
        <f>SUMIFS(Detail!$AW:$AW,Detail!$G:$G,'Rates-Service Fees'!CY$23,Detail!$H:$H,'Rates-Service Fees'!CY$8)*100</f>
        <v>0</v>
      </c>
      <c r="CZ29">
        <f>SUMIFS(Detail!$AW:$AW,Detail!$G:$G,'Rates-Service Fees'!CZ$23,Detail!$H:$H,'Rates-Service Fees'!CZ$8)*100</f>
        <v>0</v>
      </c>
      <c r="DA29">
        <f>SUMIFS(Detail!$AW:$AW,Detail!$G:$G,'Rates-Service Fees'!DA$23,Detail!$H:$H,'Rates-Service Fees'!DA$8)*100</f>
        <v>0</v>
      </c>
      <c r="DB29">
        <f>SUMIFS(Detail!$AW:$AW,Detail!$G:$G,'Rates-Service Fees'!DB$23,Detail!$H:$H,'Rates-Service Fees'!DB$8)*100</f>
        <v>0</v>
      </c>
      <c r="DC29">
        <f>SUMIFS(Detail!$AW:$AW,Detail!$G:$G,'Rates-Service Fees'!DC$23,Detail!$H:$H,'Rates-Service Fees'!DC$8)*100</f>
        <v>0</v>
      </c>
      <c r="DD29">
        <f>SUMIFS(Detail!$AW:$AW,Detail!$G:$G,'Rates-Service Fees'!DD$23,Detail!$H:$H,'Rates-Service Fees'!DD$8)*100</f>
        <v>0</v>
      </c>
      <c r="DE29">
        <f>SUMIFS(Detail!$AW:$AW,Detail!$G:$G,'Rates-Service Fees'!DE$23,Detail!$H:$H,'Rates-Service Fees'!DE$8)*100</f>
        <v>0</v>
      </c>
      <c r="DF29">
        <f>SUMIFS(Detail!$AW:$AW,Detail!$G:$G,'Rates-Service Fees'!DF$23,Detail!$H:$H,'Rates-Service Fees'!DF$8)*100</f>
        <v>0</v>
      </c>
      <c r="DG29">
        <f>SUMIFS(Detail!$AW:$AW,Detail!$G:$G,'Rates-Service Fees'!DG$23,Detail!$H:$H,'Rates-Service Fees'!DG$8)*100</f>
        <v>0</v>
      </c>
      <c r="DH29">
        <f>SUMIFS(Detail!$AW:$AW,Detail!$G:$G,'Rates-Service Fees'!DH$23,Detail!$H:$H,'Rates-Service Fees'!DH$8)*100</f>
        <v>0</v>
      </c>
      <c r="DI29">
        <f>SUMIFS(Detail!$AW:$AW,Detail!$G:$G,'Rates-Service Fees'!DI$23,Detail!$H:$H,'Rates-Service Fees'!DI$8)*100</f>
        <v>0</v>
      </c>
      <c r="DJ29">
        <f>SUMIFS(Detail!$AW:$AW,Detail!$G:$G,'Rates-Service Fees'!DJ$23,Detail!$H:$H,'Rates-Service Fees'!DJ$8)*100</f>
        <v>0</v>
      </c>
      <c r="DK29">
        <f>SUMIFS(Detail!$AW:$AW,Detail!$G:$G,'Rates-Service Fees'!DK$23,Detail!$H:$H,'Rates-Service Fees'!DK$8)*100</f>
        <v>0</v>
      </c>
      <c r="DL29">
        <f>SUMIFS(Detail!$AW:$AW,Detail!$G:$G,'Rates-Service Fees'!DL$23,Detail!$H:$H,'Rates-Service Fees'!DL$8)*100</f>
        <v>0</v>
      </c>
      <c r="DM29">
        <f>SUMIFS(Detail!$AW:$AW,Detail!$G:$G,'Rates-Service Fees'!DM$23,Detail!$H:$H,'Rates-Service Fees'!DM$8)*100</f>
        <v>0</v>
      </c>
      <c r="DN29">
        <f>SUMIFS(Detail!$AW:$AW,Detail!$G:$G,'Rates-Service Fees'!DN$23,Detail!$H:$H,'Rates-Service Fees'!DN$8)*100</f>
        <v>0</v>
      </c>
      <c r="DO29">
        <f>SUMIFS(Detail!$AW:$AW,Detail!$G:$G,'Rates-Service Fees'!DO$23,Detail!$H:$H,'Rates-Service Fees'!DO$8)*100</f>
        <v>0</v>
      </c>
      <c r="DP29">
        <f>SUMIFS(Detail!$AW:$AW,Detail!$G:$G,'Rates-Service Fees'!DP$23,Detail!$H:$H,'Rates-Service Fees'!DP$8)*100</f>
        <v>0</v>
      </c>
      <c r="DQ29">
        <f>SUMIFS(Detail!$AW:$AW,Detail!$G:$G,'Rates-Service Fees'!DQ$23,Detail!$H:$H,'Rates-Service Fees'!DQ$8)*100</f>
        <v>0</v>
      </c>
      <c r="DR29">
        <f>SUMIFS(Detail!$AW:$AW,Detail!$G:$G,'Rates-Service Fees'!DR$23,Detail!$H:$H,'Rates-Service Fees'!DR$8)*100</f>
        <v>0</v>
      </c>
      <c r="DS29">
        <f>SUMIFS(Detail!$AW:$AW,Detail!$G:$G,'Rates-Service Fees'!DS$23,Detail!$H:$H,'Rates-Service Fees'!DS$8)*100</f>
        <v>0</v>
      </c>
      <c r="DT29">
        <f>SUMIFS(Detail!$AW:$AW,Detail!$G:$G,'Rates-Service Fees'!DT$23,Detail!$H:$H,'Rates-Service Fees'!DT$8)*100</f>
        <v>0</v>
      </c>
      <c r="DU29">
        <f>SUMIFS(Detail!$AW:$AW,Detail!$G:$G,'Rates-Service Fees'!DU$23,Detail!$H:$H,'Rates-Service Fees'!DU$8)*100</f>
        <v>0</v>
      </c>
      <c r="DV29">
        <f>SUMIFS(Detail!$AW:$AW,Detail!$G:$G,'Rates-Service Fees'!DV$23,Detail!$H:$H,'Rates-Service Fees'!DV$8)*100</f>
        <v>0</v>
      </c>
      <c r="DW29">
        <f>SUMIFS(Detail!$AW:$AW,Detail!$G:$G,'Rates-Service Fees'!DW$23,Detail!$H:$H,'Rates-Service Fees'!DW$8)*100</f>
        <v>0</v>
      </c>
      <c r="DX29">
        <f>SUMIFS(Detail!$AW:$AW,Detail!$G:$G,'Rates-Service Fees'!DX$23,Detail!$H:$H,'Rates-Service Fees'!DX$8)*100</f>
        <v>0</v>
      </c>
      <c r="DY29">
        <f>SUMIFS(Detail!$AW:$AW,Detail!$G:$G,'Rates-Service Fees'!DY$23,Detail!$H:$H,'Rates-Service Fees'!DY$8)*100</f>
        <v>0</v>
      </c>
      <c r="DZ29">
        <f>SUMIFS(Detail!$AW:$AW,Detail!$G:$G,'Rates-Service Fees'!DZ$23,Detail!$H:$H,'Rates-Service Fees'!DZ$8)*100</f>
        <v>0</v>
      </c>
      <c r="EA29">
        <f>SUMIFS(Detail!$AW:$AW,Detail!$G:$G,'Rates-Service Fees'!EA$23,Detail!$H:$H,'Rates-Service Fees'!EA$8)*100</f>
        <v>0</v>
      </c>
      <c r="EB29">
        <f>SUMIFS(Detail!$AW:$AW,Detail!$G:$G,'Rates-Service Fees'!EB$23,Detail!$H:$H,'Rates-Service Fees'!EB$8)*100</f>
        <v>0</v>
      </c>
      <c r="EC29">
        <f>SUMIFS(Detail!$AW:$AW,Detail!$G:$G,'Rates-Service Fees'!EC$23,Detail!$H:$H,'Rates-Service Fees'!EC$8)*100</f>
        <v>0</v>
      </c>
      <c r="ED29">
        <f>SUMIFS(Detail!$AW:$AW,Detail!$G:$G,'Rates-Service Fees'!ED$23,Detail!$H:$H,'Rates-Service Fees'!ED$8)*100</f>
        <v>0</v>
      </c>
      <c r="EE29">
        <f>SUMIFS(Detail!$AW:$AW,Detail!$G:$G,'Rates-Service Fees'!EE$23,Detail!$H:$H,'Rates-Service Fees'!EE$8)*100</f>
        <v>0</v>
      </c>
      <c r="EF29">
        <f>SUMIFS(Detail!$AW:$AW,Detail!$G:$G,'Rates-Service Fees'!EF$23,Detail!$H:$H,'Rates-Service Fees'!EF$8)*100</f>
        <v>0</v>
      </c>
      <c r="EG29">
        <f>SUMIFS(Detail!$AW:$AW,Detail!$G:$G,'Rates-Service Fees'!EG$23,Detail!$H:$H,'Rates-Service Fees'!EG$8)*100</f>
        <v>0</v>
      </c>
      <c r="EH29">
        <f>SUMIFS(Detail!$AW:$AW,Detail!$G:$G,'Rates-Service Fees'!EH$23,Detail!$H:$H,'Rates-Service Fees'!EH$8)*100</f>
        <v>0</v>
      </c>
      <c r="EI29">
        <f>SUMIFS(Detail!$AW:$AW,Detail!$G:$G,'Rates-Service Fees'!EI$23,Detail!$H:$H,'Rates-Service Fees'!EI$8)*100</f>
        <v>0</v>
      </c>
      <c r="EJ29">
        <f>SUMIFS(Detail!$AW:$AW,Detail!$G:$G,'Rates-Service Fees'!EJ$23,Detail!$H:$H,'Rates-Service Fees'!EJ$8)*100</f>
        <v>0</v>
      </c>
      <c r="EK29">
        <f>SUMIFS(Detail!$AW:$AW,Detail!$G:$G,'Rates-Service Fees'!EK$23,Detail!$H:$H,'Rates-Service Fees'!EK$8)*100</f>
        <v>0</v>
      </c>
      <c r="EL29">
        <f>SUMIFS(Detail!$AW:$AW,Detail!$G:$G,'Rates-Service Fees'!EL$23,Detail!$H:$H,'Rates-Service Fees'!EL$8)*100</f>
        <v>0</v>
      </c>
      <c r="EM29">
        <f>SUMIFS(Detail!$AW:$AW,Detail!$G:$G,'Rates-Service Fees'!EM$23,Detail!$H:$H,'Rates-Service Fees'!EM$8)*100</f>
        <v>0</v>
      </c>
      <c r="EN29">
        <f>SUMIFS(Detail!$AW:$AW,Detail!$G:$G,'Rates-Service Fees'!EN$23,Detail!$H:$H,'Rates-Service Fees'!EN$8)*100</f>
        <v>0</v>
      </c>
      <c r="EO29">
        <f>SUMIFS(Detail!$AW:$AW,Detail!$G:$G,'Rates-Service Fees'!EO$23,Detail!$H:$H,'Rates-Service Fees'!EO$8)*100</f>
        <v>0</v>
      </c>
      <c r="EP29">
        <f>SUMIFS(Detail!$AW:$AW,Detail!$G:$G,'Rates-Service Fees'!EP$23,Detail!$H:$H,'Rates-Service Fees'!EP$8)*100</f>
        <v>0</v>
      </c>
      <c r="EQ29">
        <f>SUMIFS(Detail!$AW:$AW,Detail!$G:$G,'Rates-Service Fees'!EQ$23,Detail!$H:$H,'Rates-Service Fees'!EQ$8)*100</f>
        <v>0</v>
      </c>
      <c r="ER29">
        <f>SUMIFS(Detail!$AW:$AW,Detail!$G:$G,'Rates-Service Fees'!ER$23,Detail!$H:$H,'Rates-Service Fees'!ER$8)*100</f>
        <v>0</v>
      </c>
      <c r="ES29">
        <f>SUMIFS(Detail!$AW:$AW,Detail!$G:$G,'Rates-Service Fees'!ES$23,Detail!$H:$H,'Rates-Service Fees'!ES$8)*100</f>
        <v>0</v>
      </c>
      <c r="ET29">
        <f>SUMIFS(Detail!$AW:$AW,Detail!$G:$G,'Rates-Service Fees'!ET$23,Detail!$H:$H,'Rates-Service Fees'!ET$8)*100</f>
        <v>0</v>
      </c>
      <c r="EU29">
        <f>SUMIFS(Detail!$AW:$AW,Detail!$G:$G,'Rates-Service Fees'!EU$23,Detail!$H:$H,'Rates-Service Fees'!EU$8)*100</f>
        <v>0</v>
      </c>
      <c r="EV29">
        <f>SUMIFS(Detail!$AW:$AW,Detail!$G:$G,'Rates-Service Fees'!EV$23,Detail!$H:$H,'Rates-Service Fees'!EV$8)*100</f>
        <v>0</v>
      </c>
      <c r="EW29">
        <f>SUMIFS(Detail!$AW:$AW,Detail!$G:$G,'Rates-Service Fees'!EW$23,Detail!$H:$H,'Rates-Service Fees'!EW$8)*100</f>
        <v>0</v>
      </c>
      <c r="EX29">
        <f>SUMIFS(Detail!$AW:$AW,Detail!$G:$G,'Rates-Service Fees'!EX$23,Detail!$H:$H,'Rates-Service Fees'!EX$8)*100</f>
        <v>0</v>
      </c>
      <c r="EY29">
        <f>SUMIFS(Detail!$AW:$AW,Detail!$G:$G,'Rates-Service Fees'!EY$23,Detail!$H:$H,'Rates-Service Fees'!EY$8)*100</f>
        <v>0</v>
      </c>
      <c r="EZ29">
        <f>SUMIFS(Detail!$AW:$AW,Detail!$G:$G,'Rates-Service Fees'!EZ$23,Detail!$H:$H,'Rates-Service Fees'!EZ$8)*100</f>
        <v>0</v>
      </c>
      <c r="FA29">
        <f>SUMIFS(Detail!$AW:$AW,Detail!$G:$G,'Rates-Service Fees'!FA$23,Detail!$H:$H,'Rates-Service Fees'!FA$8)*100</f>
        <v>0</v>
      </c>
      <c r="FB29">
        <f>SUMIFS(Detail!$AW:$AW,Detail!$G:$G,'Rates-Service Fees'!FB$23,Detail!$H:$H,'Rates-Service Fees'!FB$8)*100</f>
        <v>0</v>
      </c>
      <c r="FC29">
        <f>SUMIFS(Detail!$AW:$AW,Detail!$G:$G,'Rates-Service Fees'!FC$23,Detail!$H:$H,'Rates-Service Fees'!FC$8)*100</f>
        <v>0</v>
      </c>
      <c r="FD29">
        <f>SUMIFS(Detail!$AW:$AW,Detail!$G:$G,'Rates-Service Fees'!FD$23,Detail!$H:$H,'Rates-Service Fees'!FD$8)*100</f>
        <v>0</v>
      </c>
      <c r="FE29">
        <f>SUMIFS(Detail!$AW:$AW,Detail!$G:$G,'Rates-Service Fees'!FE$23,Detail!$H:$H,'Rates-Service Fees'!FE$8)*100</f>
        <v>0</v>
      </c>
      <c r="FF29">
        <f>SUMIFS(Detail!$AW:$AW,Detail!$G:$G,'Rates-Service Fees'!FF$23,Detail!$H:$H,'Rates-Service Fees'!FF$8)*100</f>
        <v>0</v>
      </c>
      <c r="FG29">
        <f>SUMIFS(Detail!$AW:$AW,Detail!$G:$G,'Rates-Service Fees'!FG$23,Detail!$H:$H,'Rates-Service Fees'!FG$8)*100</f>
        <v>0</v>
      </c>
      <c r="FH29">
        <f>SUMIFS(Detail!$AW:$AW,Detail!$G:$G,'Rates-Service Fees'!FH$23,Detail!$H:$H,'Rates-Service Fees'!FH$8)*100</f>
        <v>0</v>
      </c>
      <c r="FI29">
        <f>SUMIFS(Detail!$AW:$AW,Detail!$G:$G,'Rates-Service Fees'!FI$23,Detail!$H:$H,'Rates-Service Fees'!FI$8)*100</f>
        <v>0</v>
      </c>
      <c r="FJ29">
        <f>SUMIFS(Detail!$AW:$AW,Detail!$G:$G,'Rates-Service Fees'!FJ$23,Detail!$H:$H,'Rates-Service Fees'!FJ$8)*100</f>
        <v>0</v>
      </c>
      <c r="FK29">
        <f>SUMIFS(Detail!$AW:$AW,Detail!$G:$G,'Rates-Service Fees'!FK$23,Detail!$H:$H,'Rates-Service Fees'!FK$8)*100</f>
        <v>0</v>
      </c>
      <c r="FL29">
        <f>SUMIFS(Detail!$AW:$AW,Detail!$G:$G,'Rates-Service Fees'!FL$23,Detail!$H:$H,'Rates-Service Fees'!FL$8)*100</f>
        <v>0</v>
      </c>
      <c r="FM29">
        <f>SUMIFS(Detail!$AW:$AW,Detail!$G:$G,'Rates-Service Fees'!FM$23,Detail!$H:$H,'Rates-Service Fees'!FM$8)*100</f>
        <v>0</v>
      </c>
      <c r="FN29">
        <f>SUMIFS(Detail!$AW:$AW,Detail!$G:$G,'Rates-Service Fees'!FN$23,Detail!$H:$H,'Rates-Service Fees'!FN$8)*100</f>
        <v>0</v>
      </c>
      <c r="FO29">
        <f>SUMIFS(Detail!$AW:$AW,Detail!$G:$G,'Rates-Service Fees'!FO$23,Detail!$H:$H,'Rates-Service Fees'!FO$8)*100</f>
        <v>0</v>
      </c>
      <c r="FP29">
        <f>SUMIFS(Detail!$AW:$AW,Detail!$G:$G,'Rates-Service Fees'!FP$23,Detail!$H:$H,'Rates-Service Fees'!FP$8)*100</f>
        <v>0</v>
      </c>
      <c r="FQ29">
        <f>SUMIFS(Detail!$AW:$AW,Detail!$G:$G,'Rates-Service Fees'!FQ$23,Detail!$H:$H,'Rates-Service Fees'!FQ$8)*100</f>
        <v>0</v>
      </c>
      <c r="FR29">
        <f>SUMIFS(Detail!$AW:$AW,Detail!$G:$G,'Rates-Service Fees'!FR$23,Detail!$H:$H,'Rates-Service Fees'!FR$8)*100</f>
        <v>0</v>
      </c>
      <c r="FS29">
        <f>SUMIFS(Detail!$AW:$AW,Detail!$G:$G,'Rates-Service Fees'!FS$23,Detail!$H:$H,'Rates-Service Fees'!FS$8)*100</f>
        <v>0</v>
      </c>
      <c r="FT29">
        <f>SUMIFS(Detail!$AW:$AW,Detail!$G:$G,'Rates-Service Fees'!FT$23,Detail!$H:$H,'Rates-Service Fees'!FT$8)*100</f>
        <v>0</v>
      </c>
      <c r="FU29">
        <f>SUMIFS(Detail!$AW:$AW,Detail!$G:$G,'Rates-Service Fees'!FU$23,Detail!$H:$H,'Rates-Service Fees'!FU$8)*100</f>
        <v>0</v>
      </c>
      <c r="FV29">
        <f>SUMIFS(Detail!$AW:$AW,Detail!$G:$G,'Rates-Service Fees'!FV$23,Detail!$H:$H,'Rates-Service Fees'!FV$8)*100</f>
        <v>0</v>
      </c>
      <c r="FW29">
        <f>SUMIFS(Detail!$AW:$AW,Detail!$G:$G,'Rates-Service Fees'!FW$23,Detail!$H:$H,'Rates-Service Fees'!FW$8)*100</f>
        <v>0</v>
      </c>
      <c r="FX29">
        <f>SUMIFS(Detail!$AW:$AW,Detail!$G:$G,'Rates-Service Fees'!FX$23,Detail!$H:$H,'Rates-Service Fees'!FX$8)*100</f>
        <v>0</v>
      </c>
      <c r="FY29">
        <f>SUMIFS(Detail!$AW:$AW,Detail!$G:$G,'Rates-Service Fees'!FY$23,Detail!$H:$H,'Rates-Service Fees'!FY$8)*100</f>
        <v>0</v>
      </c>
      <c r="FZ29">
        <f>SUMIFS(Detail!$AW:$AW,Detail!$G:$G,'Rates-Service Fees'!FZ$23,Detail!$H:$H,'Rates-Service Fees'!FZ$8)*100</f>
        <v>0</v>
      </c>
      <c r="GA29">
        <f>SUMIFS(Detail!$AW:$AW,Detail!$G:$G,'Rates-Service Fees'!GA$23,Detail!$H:$H,'Rates-Service Fees'!GA$8)*100</f>
        <v>0</v>
      </c>
      <c r="GB29">
        <f>SUMIFS(Detail!$AW:$AW,Detail!$G:$G,'Rates-Service Fees'!GB$23,Detail!$H:$H,'Rates-Service Fees'!GB$8)*100</f>
        <v>0</v>
      </c>
      <c r="GC29">
        <f>SUMIFS(Detail!$AW:$AW,Detail!$G:$G,'Rates-Service Fees'!GC$23,Detail!$H:$H,'Rates-Service Fees'!GC$8)*100</f>
        <v>0</v>
      </c>
      <c r="GD29">
        <f>SUMIFS(Detail!$AW:$AW,Detail!$G:$G,'Rates-Service Fees'!GD$23,Detail!$H:$H,'Rates-Service Fees'!GD$8)*100</f>
        <v>0</v>
      </c>
      <c r="GE29">
        <f>SUMIFS(Detail!$AW:$AW,Detail!$G:$G,'Rates-Service Fees'!GE$23,Detail!$H:$H,'Rates-Service Fees'!GE$8)*100</f>
        <v>0</v>
      </c>
      <c r="GF29">
        <f>SUMIFS(Detail!$AW:$AW,Detail!$G:$G,'Rates-Service Fees'!GF$23,Detail!$H:$H,'Rates-Service Fees'!GF$8)*100</f>
        <v>0</v>
      </c>
      <c r="GG29">
        <f>SUMIFS(Detail!$AW:$AW,Detail!$G:$G,'Rates-Service Fees'!GG$23,Detail!$H:$H,'Rates-Service Fees'!GG$8)*100</f>
        <v>0</v>
      </c>
      <c r="GH29">
        <f>SUMIFS(Detail!$AW:$AW,Detail!$G:$G,'Rates-Service Fees'!GH$23,Detail!$H:$H,'Rates-Service Fees'!GH$8)*100</f>
        <v>0</v>
      </c>
      <c r="GI29">
        <f>SUMIFS(Detail!$AW:$AW,Detail!$G:$G,'Rates-Service Fees'!GI$23,Detail!$H:$H,'Rates-Service Fees'!GI$8)*100</f>
        <v>0</v>
      </c>
      <c r="GJ29">
        <f>SUMIFS(Detail!$AW:$AW,Detail!$G:$G,'Rates-Service Fees'!GJ$23,Detail!$H:$H,'Rates-Service Fees'!GJ$8)*100</f>
        <v>0</v>
      </c>
      <c r="GK29">
        <f>SUMIFS(Detail!$AW:$AW,Detail!$G:$G,'Rates-Service Fees'!GK$23,Detail!$H:$H,'Rates-Service Fees'!GK$8)*100</f>
        <v>0</v>
      </c>
      <c r="GL29">
        <f>SUMIFS(Detail!$AW:$AW,Detail!$G:$G,'Rates-Service Fees'!GL$23,Detail!$H:$H,'Rates-Service Fees'!GL$8)*100</f>
        <v>0</v>
      </c>
      <c r="GM29">
        <f>SUMIFS(Detail!$AW:$AW,Detail!$G:$G,'Rates-Service Fees'!GM$23,Detail!$H:$H,'Rates-Service Fees'!GM$8)*100</f>
        <v>0</v>
      </c>
      <c r="GN29">
        <f>SUMIFS(Detail!$AW:$AW,Detail!$G:$G,'Rates-Service Fees'!GN$23,Detail!$H:$H,'Rates-Service Fees'!GN$8)*100</f>
        <v>0</v>
      </c>
      <c r="GO29">
        <f>SUMIFS(Detail!$AW:$AW,Detail!$G:$G,'Rates-Service Fees'!GO$23,Detail!$H:$H,'Rates-Service Fees'!GO$8)*100</f>
        <v>0</v>
      </c>
      <c r="GP29">
        <f>SUMIFS(Detail!$AW:$AW,Detail!$G:$G,'Rates-Service Fees'!GP$23,Detail!$H:$H,'Rates-Service Fees'!GP$8)*100</f>
        <v>0</v>
      </c>
      <c r="GQ29">
        <f>SUMIFS(Detail!$AW:$AW,Detail!$G:$G,'Rates-Service Fees'!GQ$23,Detail!$H:$H,'Rates-Service Fees'!GQ$8)*100</f>
        <v>0</v>
      </c>
      <c r="GR29">
        <f>SUMIFS(Detail!$AW:$AW,Detail!$G:$G,'Rates-Service Fees'!GR$23,Detail!$H:$H,'Rates-Service Fees'!GR$8)*100</f>
        <v>0</v>
      </c>
      <c r="GS29">
        <f>SUMIFS(Detail!$AW:$AW,Detail!$G:$G,'Rates-Service Fees'!GS$23,Detail!$H:$H,'Rates-Service Fees'!GS$8)*100</f>
        <v>0</v>
      </c>
      <c r="GT29">
        <f>SUMIFS(Detail!$AW:$AW,Detail!$G:$G,'Rates-Service Fees'!GT$23,Detail!$H:$H,'Rates-Service Fees'!GT$8)*100</f>
        <v>0</v>
      </c>
      <c r="GU29">
        <f>SUMIFS(Detail!$AW:$AW,Detail!$G:$G,'Rates-Service Fees'!GU$23,Detail!$H:$H,'Rates-Service Fees'!GU$8)*100</f>
        <v>0</v>
      </c>
      <c r="GV29">
        <f>SUMIFS(Detail!$AW:$AW,Detail!$G:$G,'Rates-Service Fees'!GV$23,Detail!$H:$H,'Rates-Service Fees'!GV$8)*100</f>
        <v>0</v>
      </c>
      <c r="GW29">
        <f>SUMIFS(Detail!$AW:$AW,Detail!$G:$G,'Rates-Service Fees'!GW$23,Detail!$H:$H,'Rates-Service Fees'!GW$8)*100</f>
        <v>0</v>
      </c>
      <c r="GX29">
        <f>SUMIFS(Detail!$AW:$AW,Detail!$G:$G,'Rates-Service Fees'!GX$23,Detail!$H:$H,'Rates-Service Fees'!GX$8)*100</f>
        <v>0</v>
      </c>
      <c r="GY29">
        <f>SUMIFS(Detail!$AW:$AW,Detail!$G:$G,'Rates-Service Fees'!GY$23,Detail!$H:$H,'Rates-Service Fees'!GY$8)*100</f>
        <v>0</v>
      </c>
      <c r="GZ29">
        <f>SUMIFS(Detail!$AW:$AW,Detail!$G:$G,'Rates-Service Fees'!GZ$23,Detail!$H:$H,'Rates-Service Fees'!GZ$8)*100</f>
        <v>0</v>
      </c>
      <c r="HA29">
        <f>SUMIFS(Detail!$AW:$AW,Detail!$G:$G,'Rates-Service Fees'!HA$23,Detail!$H:$H,'Rates-Service Fees'!HA$8)*100</f>
        <v>0</v>
      </c>
      <c r="HB29">
        <f>SUMIFS(Detail!$AW:$AW,Detail!$G:$G,'Rates-Service Fees'!HB$23,Detail!$H:$H,'Rates-Service Fees'!HB$8)*100</f>
        <v>0</v>
      </c>
      <c r="HC29">
        <f>SUMIFS(Detail!$AW:$AW,Detail!$G:$G,'Rates-Service Fees'!HC$23,Detail!$H:$H,'Rates-Service Fees'!HC$8)*100</f>
        <v>0</v>
      </c>
      <c r="HD29">
        <f>SUMIFS(Detail!$AW:$AW,Detail!$G:$G,'Rates-Service Fees'!HD$23,Detail!$H:$H,'Rates-Service Fees'!HD$8)*100</f>
        <v>0</v>
      </c>
      <c r="HE29">
        <f>SUMIFS(Detail!$AW:$AW,Detail!$G:$G,'Rates-Service Fees'!HE$23,Detail!$H:$H,'Rates-Service Fees'!HE$8)*100</f>
        <v>0</v>
      </c>
      <c r="HF29">
        <f>SUMIFS(Detail!$AW:$AW,Detail!$G:$G,'Rates-Service Fees'!HF$23,Detail!$H:$H,'Rates-Service Fees'!HF$8)*100</f>
        <v>0</v>
      </c>
      <c r="HG29">
        <f>SUMIFS(Detail!$AW:$AW,Detail!$G:$G,'Rates-Service Fees'!HG$23,Detail!$H:$H,'Rates-Service Fees'!HG$8)*100</f>
        <v>0</v>
      </c>
      <c r="HH29">
        <f>SUMIFS(Detail!$AW:$AW,Detail!$G:$G,'Rates-Service Fees'!HH$23,Detail!$H:$H,'Rates-Service Fees'!HH$8)*100</f>
        <v>0</v>
      </c>
      <c r="HI29">
        <f>SUMIFS(Detail!$AW:$AW,Detail!$G:$G,'Rates-Service Fees'!HI$23,Detail!$H:$H,'Rates-Service Fees'!HI$8)*100</f>
        <v>0</v>
      </c>
      <c r="HJ29">
        <f>SUMIFS(Detail!$AW:$AW,Detail!$G:$G,'Rates-Service Fees'!HJ$23,Detail!$H:$H,'Rates-Service Fees'!HJ$8)*100</f>
        <v>0</v>
      </c>
      <c r="HK29">
        <f>SUMIFS(Detail!$AW:$AW,Detail!$G:$G,'Rates-Service Fees'!HK$23,Detail!$H:$H,'Rates-Service Fees'!HK$8)*100</f>
        <v>0</v>
      </c>
      <c r="HL29">
        <f>SUMIFS(Detail!$AW:$AW,Detail!$G:$G,'Rates-Service Fees'!HL$23,Detail!$H:$H,'Rates-Service Fees'!HL$8)*100</f>
        <v>0</v>
      </c>
      <c r="HM29">
        <f>SUMIFS(Detail!$AW:$AW,Detail!$G:$G,'Rates-Service Fees'!HM$23,Detail!$H:$H,'Rates-Service Fees'!HM$8)*100</f>
        <v>0</v>
      </c>
      <c r="HN29">
        <f>SUMIFS(Detail!$AW:$AW,Detail!$G:$G,'Rates-Service Fees'!HN$23,Detail!$H:$H,'Rates-Service Fees'!HN$8)*100</f>
        <v>0</v>
      </c>
      <c r="HO29">
        <f>SUMIFS(Detail!$AW:$AW,Detail!$G:$G,'Rates-Service Fees'!HO$23,Detail!$H:$H,'Rates-Service Fees'!HO$8)*100</f>
        <v>0</v>
      </c>
      <c r="HP29">
        <f>SUMIFS(Detail!$AW:$AW,Detail!$G:$G,'Rates-Service Fees'!HP$23,Detail!$H:$H,'Rates-Service Fees'!HP$8)*100</f>
        <v>0</v>
      </c>
      <c r="HQ29">
        <f>SUMIFS(Detail!$AW:$AW,Detail!$G:$G,'Rates-Service Fees'!HQ$23,Detail!$H:$H,'Rates-Service Fees'!HQ$8)*100</f>
        <v>0</v>
      </c>
      <c r="HR29">
        <f>SUMIFS(Detail!$AW:$AW,Detail!$G:$G,'Rates-Service Fees'!HR$23,Detail!$H:$H,'Rates-Service Fees'!HR$8)*100</f>
        <v>0</v>
      </c>
      <c r="HS29">
        <f>SUMIFS(Detail!$AW:$AW,Detail!$G:$G,'Rates-Service Fees'!HS$23,Detail!$H:$H,'Rates-Service Fees'!HS$8)*100</f>
        <v>0</v>
      </c>
      <c r="HT29">
        <f>SUMIFS(Detail!$AW:$AW,Detail!$G:$G,'Rates-Service Fees'!HT$23,Detail!$H:$H,'Rates-Service Fees'!HT$8)*100</f>
        <v>0</v>
      </c>
      <c r="HU29">
        <f>SUMIFS(Detail!$AW:$AW,Detail!$G:$G,'Rates-Service Fees'!HU$23,Detail!$H:$H,'Rates-Service Fees'!HU$8)*100</f>
        <v>0</v>
      </c>
      <c r="HV29">
        <f>SUMIFS(Detail!$AW:$AW,Detail!$G:$G,'Rates-Service Fees'!HV$23,Detail!$H:$H,'Rates-Service Fees'!HV$8)*100</f>
        <v>0</v>
      </c>
      <c r="HW29">
        <f>SUMIFS(Detail!$AW:$AW,Detail!$G:$G,'Rates-Service Fees'!HW$23,Detail!$H:$H,'Rates-Service Fees'!HW$8)*100</f>
        <v>0</v>
      </c>
      <c r="HX29">
        <f>SUMIFS(Detail!$AW:$AW,Detail!$G:$G,'Rates-Service Fees'!HX$23,Detail!$H:$H,'Rates-Service Fees'!HX$8)*100</f>
        <v>0</v>
      </c>
      <c r="HY29">
        <f>SUMIFS(Detail!$AW:$AW,Detail!$G:$G,'Rates-Service Fees'!HY$23,Detail!$H:$H,'Rates-Service Fees'!HY$8)*100</f>
        <v>0</v>
      </c>
      <c r="HZ29">
        <f>SUMIFS(Detail!$AW:$AW,Detail!$G:$G,'Rates-Service Fees'!HZ$23,Detail!$H:$H,'Rates-Service Fees'!HZ$8)*100</f>
        <v>0</v>
      </c>
      <c r="IA29">
        <f>SUMIFS(Detail!$AW:$AW,Detail!$G:$G,'Rates-Service Fees'!IA$23,Detail!$H:$H,'Rates-Service Fees'!IA$8)*100</f>
        <v>0</v>
      </c>
      <c r="IB29">
        <f>SUMIFS(Detail!$AW:$AW,Detail!$G:$G,'Rates-Service Fees'!IB$23,Detail!$H:$H,'Rates-Service Fees'!IB$8)*100</f>
        <v>0</v>
      </c>
      <c r="IC29">
        <f>SUMIFS(Detail!$AW:$AW,Detail!$G:$G,'Rates-Service Fees'!IC$23,Detail!$H:$H,'Rates-Service Fees'!IC$8)*100</f>
        <v>0</v>
      </c>
      <c r="ID29">
        <f>SUMIFS(Detail!$AW:$AW,Detail!$G:$G,'Rates-Service Fees'!ID$23,Detail!$H:$H,'Rates-Service Fees'!ID$8)*100</f>
        <v>0</v>
      </c>
      <c r="IE29">
        <f>SUMIFS(Detail!$AW:$AW,Detail!$G:$G,'Rates-Service Fees'!IE$23,Detail!$H:$H,'Rates-Service Fees'!IE$8)*100</f>
        <v>0</v>
      </c>
      <c r="IF29">
        <f>SUMIFS(Detail!$AW:$AW,Detail!$G:$G,'Rates-Service Fees'!IF$23,Detail!$H:$H,'Rates-Service Fees'!IF$8)*100</f>
        <v>0</v>
      </c>
      <c r="IG29">
        <f>SUMIFS(Detail!$AW:$AW,Detail!$G:$G,'Rates-Service Fees'!IG$23,Detail!$H:$H,'Rates-Service Fees'!IG$8)*100</f>
        <v>0</v>
      </c>
      <c r="IH29">
        <f>SUMIFS(Detail!$AW:$AW,Detail!$G:$G,'Rates-Service Fees'!IH$23,Detail!$H:$H,'Rates-Service Fees'!IH$8)*100</f>
        <v>0</v>
      </c>
      <c r="II29">
        <f>SUMIFS(Detail!$AW:$AW,Detail!$G:$G,'Rates-Service Fees'!II$23,Detail!$H:$H,'Rates-Service Fees'!II$8)*100</f>
        <v>0</v>
      </c>
      <c r="IJ29">
        <f>SUMIFS(Detail!$AW:$AW,Detail!$G:$G,'Rates-Service Fees'!IJ$23,Detail!$H:$H,'Rates-Service Fees'!IJ$8)*100</f>
        <v>0</v>
      </c>
      <c r="IK29">
        <f>SUMIFS(Detail!$AW:$AW,Detail!$G:$G,'Rates-Service Fees'!IK$23,Detail!$H:$H,'Rates-Service Fees'!IK$8)*100</f>
        <v>0</v>
      </c>
      <c r="IL29">
        <f>SUMIFS(Detail!$AW:$AW,Detail!$G:$G,'Rates-Service Fees'!IL$23,Detail!$H:$H,'Rates-Service Fees'!IL$8)*100</f>
        <v>0</v>
      </c>
      <c r="IM29">
        <f>SUMIFS(Detail!$AW:$AW,Detail!$G:$G,'Rates-Service Fees'!IM$23,Detail!$H:$H,'Rates-Service Fees'!IM$8)*100</f>
        <v>0</v>
      </c>
      <c r="IN29">
        <f>SUMIFS(Detail!$AW:$AW,Detail!$G:$G,'Rates-Service Fees'!IN$23,Detail!$H:$H,'Rates-Service Fees'!IN$8)*100</f>
        <v>0</v>
      </c>
      <c r="IO29">
        <f>SUMIFS(Detail!$AW:$AW,Detail!$G:$G,'Rates-Service Fees'!IO$23,Detail!$H:$H,'Rates-Service Fees'!IO$8)*100</f>
        <v>0</v>
      </c>
      <c r="IP29">
        <f>SUMIFS(Detail!$AW:$AW,Detail!$G:$G,'Rates-Service Fees'!IP$23,Detail!$H:$H,'Rates-Service Fees'!IP$8)*100</f>
        <v>0</v>
      </c>
      <c r="IQ29">
        <f>SUMIFS(Detail!$AW:$AW,Detail!$G:$G,'Rates-Service Fees'!IQ$23,Detail!$H:$H,'Rates-Service Fees'!IQ$8)*100</f>
        <v>0</v>
      </c>
      <c r="IR29">
        <f>SUMIFS(Detail!$AW:$AW,Detail!$G:$G,'Rates-Service Fees'!IR$23,Detail!$H:$H,'Rates-Service Fees'!IR$8)*100</f>
        <v>0</v>
      </c>
      <c r="IS29">
        <f>SUMIFS(Detail!$AW:$AW,Detail!$G:$G,'Rates-Service Fees'!IS$23,Detail!$H:$H,'Rates-Service Fees'!IS$8)*100</f>
        <v>0</v>
      </c>
      <c r="IT29">
        <f>SUMIFS(Detail!$AW:$AW,Detail!$G:$G,'Rates-Service Fees'!IT$23,Detail!$H:$H,'Rates-Service Fees'!IT$8)*100</f>
        <v>0</v>
      </c>
      <c r="IU29">
        <f>SUMIFS(Detail!$AW:$AW,Detail!$G:$G,'Rates-Service Fees'!IU$23,Detail!$H:$H,'Rates-Service Fees'!IU$8)*100</f>
        <v>0</v>
      </c>
      <c r="IV29">
        <f>SUMIFS(Detail!$AW:$AW,Detail!$G:$G,'Rates-Service Fees'!IV$23,Detail!$H:$H,'Rates-Service Fees'!IV$8)*100</f>
        <v>0</v>
      </c>
      <c r="IW29">
        <f>SUMIFS(Detail!$AW:$AW,Detail!$G:$G,'Rates-Service Fees'!IW$23,Detail!$H:$H,'Rates-Service Fees'!IW$8)*100</f>
        <v>0</v>
      </c>
      <c r="IX29">
        <f>SUMIFS(Detail!$AW:$AW,Detail!$G:$G,'Rates-Service Fees'!IX$23,Detail!$H:$H,'Rates-Service Fees'!IX$8)*100</f>
        <v>0</v>
      </c>
      <c r="IY29">
        <f>SUMIFS(Detail!$AW:$AW,Detail!$G:$G,'Rates-Service Fees'!IY$23,Detail!$H:$H,'Rates-Service Fees'!IY$8)*100</f>
        <v>0</v>
      </c>
      <c r="IZ29">
        <f>SUMIFS(Detail!$AW:$AW,Detail!$G:$G,'Rates-Service Fees'!IZ$23,Detail!$H:$H,'Rates-Service Fees'!IZ$8)*100</f>
        <v>0</v>
      </c>
      <c r="JA29">
        <f>SUMIFS(Detail!$AW:$AW,Detail!$G:$G,'Rates-Service Fees'!JA$23,Detail!$H:$H,'Rates-Service Fees'!JA$8)*100</f>
        <v>0</v>
      </c>
      <c r="JB29">
        <f>SUMIFS(Detail!$AW:$AW,Detail!$G:$G,'Rates-Service Fees'!JB$23,Detail!$H:$H,'Rates-Service Fees'!JB$8)*100</f>
        <v>0</v>
      </c>
      <c r="JC29">
        <f>SUMIFS(Detail!$AW:$AW,Detail!$G:$G,'Rates-Service Fees'!JC$23,Detail!$H:$H,'Rates-Service Fees'!JC$8)*100</f>
        <v>0</v>
      </c>
      <c r="JD29">
        <f>SUMIFS(Detail!$AW:$AW,Detail!$G:$G,'Rates-Service Fees'!JD$23,Detail!$H:$H,'Rates-Service Fees'!JD$8)*100</f>
        <v>0</v>
      </c>
      <c r="JE29">
        <f>SUMIFS(Detail!$AW:$AW,Detail!$G:$G,'Rates-Service Fees'!JE$23,Detail!$H:$H,'Rates-Service Fees'!JE$8)*100</f>
        <v>0</v>
      </c>
      <c r="JF29">
        <f>SUMIFS(Detail!$AW:$AW,Detail!$G:$G,'Rates-Service Fees'!JF$23,Detail!$H:$H,'Rates-Service Fees'!JF$8)*100</f>
        <v>0</v>
      </c>
      <c r="JG29">
        <f>SUMIFS(Detail!$AW:$AW,Detail!$G:$G,'Rates-Service Fees'!JG$23,Detail!$H:$H,'Rates-Service Fees'!JG$8)*100</f>
        <v>0</v>
      </c>
      <c r="JH29">
        <f>SUMIFS(Detail!$AW:$AW,Detail!$G:$G,'Rates-Service Fees'!JH$23,Detail!$H:$H,'Rates-Service Fees'!JH$8)*100</f>
        <v>0</v>
      </c>
      <c r="JI29">
        <f>SUMIFS(Detail!$AW:$AW,Detail!$G:$G,'Rates-Service Fees'!JI$23,Detail!$H:$H,'Rates-Service Fees'!JI$8)*100</f>
        <v>0</v>
      </c>
      <c r="JJ29">
        <f>SUMIFS(Detail!$AW:$AW,Detail!$G:$G,'Rates-Service Fees'!JJ$23,Detail!$H:$H,'Rates-Service Fees'!JJ$8)*100</f>
        <v>0</v>
      </c>
      <c r="JK29">
        <f>SUMIFS(Detail!$AW:$AW,Detail!$G:$G,'Rates-Service Fees'!JK$23,Detail!$H:$H,'Rates-Service Fees'!JK$8)*100</f>
        <v>0</v>
      </c>
      <c r="JL29">
        <f>SUMIFS(Detail!$AW:$AW,Detail!$G:$G,'Rates-Service Fees'!JL$23,Detail!$H:$H,'Rates-Service Fees'!JL$8)*100</f>
        <v>0</v>
      </c>
      <c r="JM29">
        <f>SUMIFS(Detail!$AW:$AW,Detail!$G:$G,'Rates-Service Fees'!JM$23,Detail!$H:$H,'Rates-Service Fees'!JM$8)*100</f>
        <v>0</v>
      </c>
      <c r="JN29">
        <f>SUMIFS(Detail!$AW:$AW,Detail!$G:$G,'Rates-Service Fees'!JN$23,Detail!$H:$H,'Rates-Service Fees'!JN$8)*100</f>
        <v>0</v>
      </c>
      <c r="JO29">
        <f>SUMIFS(Detail!$AW:$AW,Detail!$G:$G,'Rates-Service Fees'!JO$23,Detail!$H:$H,'Rates-Service Fees'!JO$8)*100</f>
        <v>0</v>
      </c>
      <c r="JP29">
        <f>SUMIFS(Detail!$AW:$AW,Detail!$G:$G,'Rates-Service Fees'!JP$23,Detail!$H:$H,'Rates-Service Fees'!JP$8)*100</f>
        <v>0</v>
      </c>
      <c r="JQ29">
        <f>SUMIFS(Detail!$AW:$AW,Detail!$G:$G,'Rates-Service Fees'!JQ$23,Detail!$H:$H,'Rates-Service Fees'!JQ$8)*100</f>
        <v>0</v>
      </c>
      <c r="JR29">
        <f>SUMIFS(Detail!$AW:$AW,Detail!$G:$G,'Rates-Service Fees'!JR$23,Detail!$H:$H,'Rates-Service Fees'!JR$8)*100</f>
        <v>0</v>
      </c>
      <c r="JS29">
        <f>SUMIFS(Detail!$AW:$AW,Detail!$G:$G,'Rates-Service Fees'!JS$23,Detail!$H:$H,'Rates-Service Fees'!JS$8)*100</f>
        <v>0</v>
      </c>
      <c r="JT29">
        <f>SUMIFS(Detail!$AW:$AW,Detail!$G:$G,'Rates-Service Fees'!JT$23,Detail!$H:$H,'Rates-Service Fees'!JT$8)*100</f>
        <v>0</v>
      </c>
      <c r="JU29">
        <f>SUMIFS(Detail!$AW:$AW,Detail!$G:$G,'Rates-Service Fees'!JU$23,Detail!$H:$H,'Rates-Service Fees'!JU$8)*100</f>
        <v>0</v>
      </c>
      <c r="JV29">
        <f>SUMIFS(Detail!$AW:$AW,Detail!$G:$G,'Rates-Service Fees'!JV$23,Detail!$H:$H,'Rates-Service Fees'!JV$8)*100</f>
        <v>0</v>
      </c>
      <c r="JW29">
        <f>SUMIFS(Detail!$AW:$AW,Detail!$G:$G,'Rates-Service Fees'!JW$23,Detail!$H:$H,'Rates-Service Fees'!JW$8)*100</f>
        <v>0</v>
      </c>
      <c r="JX29">
        <f>SUMIFS(Detail!$AW:$AW,Detail!$G:$G,'Rates-Service Fees'!JX$23,Detail!$H:$H,'Rates-Service Fees'!JX$8)*100</f>
        <v>0</v>
      </c>
      <c r="JY29">
        <f>SUMIFS(Detail!$AW:$AW,Detail!$G:$G,'Rates-Service Fees'!JY$23,Detail!$H:$H,'Rates-Service Fees'!JY$8)*100</f>
        <v>0</v>
      </c>
      <c r="JZ29">
        <f>SUMIFS(Detail!$AW:$AW,Detail!$G:$G,'Rates-Service Fees'!JZ$23,Detail!$H:$H,'Rates-Service Fees'!JZ$8)*100</f>
        <v>0</v>
      </c>
      <c r="KA29">
        <f>SUMIFS(Detail!$AW:$AW,Detail!$G:$G,'Rates-Service Fees'!KA$23,Detail!$H:$H,'Rates-Service Fees'!KA$8)*100</f>
        <v>0</v>
      </c>
      <c r="KB29">
        <f>SUMIFS(Detail!$AW:$AW,Detail!$G:$G,'Rates-Service Fees'!KB$23,Detail!$H:$H,'Rates-Service Fees'!KB$8)*100</f>
        <v>0</v>
      </c>
      <c r="KC29">
        <f>SUMIFS(Detail!$AW:$AW,Detail!$G:$G,'Rates-Service Fees'!KC$23,Detail!$H:$H,'Rates-Service Fees'!KC$8)*100</f>
        <v>0</v>
      </c>
      <c r="KD29">
        <f>SUMIFS(Detail!$AW:$AW,Detail!$G:$G,'Rates-Service Fees'!KD$23,Detail!$H:$H,'Rates-Service Fees'!KD$8)*100</f>
        <v>0</v>
      </c>
      <c r="KE29">
        <f>SUMIFS(Detail!$AW:$AW,Detail!$G:$G,'Rates-Service Fees'!KE$23,Detail!$H:$H,'Rates-Service Fees'!KE$8)*100</f>
        <v>0</v>
      </c>
      <c r="KF29">
        <f>SUMIFS(Detail!$AW:$AW,Detail!$G:$G,'Rates-Service Fees'!KF$23,Detail!$H:$H,'Rates-Service Fees'!KF$8)*100</f>
        <v>0</v>
      </c>
      <c r="KG29">
        <f>SUMIFS(Detail!$AW:$AW,Detail!$G:$G,'Rates-Service Fees'!KG$23,Detail!$H:$H,'Rates-Service Fees'!KG$8)*100</f>
        <v>0</v>
      </c>
      <c r="KH29">
        <f>SUMIFS(Detail!$AW:$AW,Detail!$G:$G,'Rates-Service Fees'!KH$23,Detail!$H:$H,'Rates-Service Fees'!KH$8)*100</f>
        <v>0</v>
      </c>
      <c r="KI29">
        <f>SUMIFS(Detail!$AW:$AW,Detail!$G:$G,'Rates-Service Fees'!KI$23,Detail!$H:$H,'Rates-Service Fees'!KI$8)*100</f>
        <v>0</v>
      </c>
      <c r="KJ29">
        <f>SUMIFS(Detail!$AW:$AW,Detail!$G:$G,'Rates-Service Fees'!KJ$23,Detail!$H:$H,'Rates-Service Fees'!KJ$8)*100</f>
        <v>0</v>
      </c>
      <c r="KK29">
        <f>SUMIFS(Detail!$AW:$AW,Detail!$G:$G,'Rates-Service Fees'!KK$23,Detail!$H:$H,'Rates-Service Fees'!KK$8)*100</f>
        <v>0</v>
      </c>
      <c r="KL29">
        <f>SUMIFS(Detail!$AW:$AW,Detail!$G:$G,'Rates-Service Fees'!KL$23,Detail!$H:$H,'Rates-Service Fees'!KL$8)*100</f>
        <v>0</v>
      </c>
      <c r="KM29">
        <f>SUMIFS(Detail!$AW:$AW,Detail!$G:$G,'Rates-Service Fees'!KM$23,Detail!$H:$H,'Rates-Service Fees'!KM$8)*100</f>
        <v>0</v>
      </c>
      <c r="KN29">
        <f>SUMIFS(Detail!$AW:$AW,Detail!$G:$G,'Rates-Service Fees'!KN$23,Detail!$H:$H,'Rates-Service Fees'!KN$8)*100</f>
        <v>0</v>
      </c>
      <c r="KO29">
        <f>SUMIFS(Detail!$AW:$AW,Detail!$G:$G,'Rates-Service Fees'!KO$23,Detail!$H:$H,'Rates-Service Fees'!KO$8)*100</f>
        <v>0</v>
      </c>
      <c r="KP29">
        <f>SUMIFS(Detail!$AW:$AW,Detail!$G:$G,'Rates-Service Fees'!KP$23,Detail!$H:$H,'Rates-Service Fees'!KP$8)*100</f>
        <v>0</v>
      </c>
      <c r="KQ29">
        <f>SUMIFS(Detail!$AW:$AW,Detail!$G:$G,'Rates-Service Fees'!KQ$23,Detail!$H:$H,'Rates-Service Fees'!KQ$8)*100</f>
        <v>0</v>
      </c>
      <c r="KR29">
        <f>SUMIFS(Detail!$AW:$AW,Detail!$G:$G,'Rates-Service Fees'!KR$23,Detail!$H:$H,'Rates-Service Fees'!KR$8)*100</f>
        <v>0</v>
      </c>
      <c r="KS29">
        <f>SUMIFS(Detail!$AW:$AW,Detail!$G:$G,'Rates-Service Fees'!KS$23,Detail!$H:$H,'Rates-Service Fees'!KS$8)*100</f>
        <v>0</v>
      </c>
      <c r="KT29">
        <f>SUMIFS(Detail!$AW:$AW,Detail!$G:$G,'Rates-Service Fees'!KT$23,Detail!$H:$H,'Rates-Service Fees'!KT$8)*100</f>
        <v>0</v>
      </c>
      <c r="KU29">
        <f>SUMIFS(Detail!$AW:$AW,Detail!$G:$G,'Rates-Service Fees'!KU$23,Detail!$H:$H,'Rates-Service Fees'!KU$8)*100</f>
        <v>0</v>
      </c>
      <c r="KV29">
        <f>SUMIFS(Detail!$AW:$AW,Detail!$G:$G,'Rates-Service Fees'!KV$23,Detail!$H:$H,'Rates-Service Fees'!KV$8)*100</f>
        <v>0</v>
      </c>
      <c r="KW29">
        <f>SUMIFS(Detail!$AW:$AW,Detail!$G:$G,'Rates-Service Fees'!KW$23,Detail!$H:$H,'Rates-Service Fees'!KW$8)*100</f>
        <v>0</v>
      </c>
      <c r="KX29">
        <f>SUMIFS(Detail!$AW:$AW,Detail!$G:$G,'Rates-Service Fees'!KX$23,Detail!$H:$H,'Rates-Service Fees'!KX$8)*100</f>
        <v>0</v>
      </c>
      <c r="KY29">
        <f>SUMIFS(Detail!$AW:$AW,Detail!$G:$G,'Rates-Service Fees'!KY$23,Detail!$H:$H,'Rates-Service Fees'!KY$8)*100</f>
        <v>0</v>
      </c>
      <c r="KZ29">
        <f>SUMIFS(Detail!$AW:$AW,Detail!$G:$G,'Rates-Service Fees'!KZ$23,Detail!$H:$H,'Rates-Service Fees'!KZ$8)*100</f>
        <v>0</v>
      </c>
      <c r="LA29">
        <f>SUMIFS(Detail!$AW:$AW,Detail!$G:$G,'Rates-Service Fees'!LA$23,Detail!$H:$H,'Rates-Service Fees'!LA$8)*100</f>
        <v>0</v>
      </c>
      <c r="LB29">
        <f>SUMIFS(Detail!$AW:$AW,Detail!$G:$G,'Rates-Service Fees'!LB$23,Detail!$H:$H,'Rates-Service Fees'!LB$8)*100</f>
        <v>0</v>
      </c>
      <c r="LC29">
        <f>SUMIFS(Detail!$AW:$AW,Detail!$G:$G,'Rates-Service Fees'!LC$23,Detail!$H:$H,'Rates-Service Fees'!LC$8)*100</f>
        <v>0</v>
      </c>
      <c r="LD29">
        <f>SUMIFS(Detail!$AW:$AW,Detail!$G:$G,'Rates-Service Fees'!LD$23,Detail!$H:$H,'Rates-Service Fees'!LD$8)*100</f>
        <v>0</v>
      </c>
      <c r="LE29">
        <f>SUMIFS(Detail!$AW:$AW,Detail!$G:$G,'Rates-Service Fees'!LE$23,Detail!$H:$H,'Rates-Service Fees'!LE$8)*100</f>
        <v>0</v>
      </c>
      <c r="LF29">
        <f>SUMIFS(Detail!$AW:$AW,Detail!$G:$G,'Rates-Service Fees'!LF$23,Detail!$H:$H,'Rates-Service Fees'!LF$8)*100</f>
        <v>0</v>
      </c>
      <c r="LG29">
        <f>SUMIFS(Detail!$AW:$AW,Detail!$G:$G,'Rates-Service Fees'!LG$23,Detail!$H:$H,'Rates-Service Fees'!LG$8)*100</f>
        <v>0</v>
      </c>
      <c r="LH29">
        <f>SUMIFS(Detail!$AW:$AW,Detail!$G:$G,'Rates-Service Fees'!LH$23,Detail!$H:$H,'Rates-Service Fees'!LH$8)*100</f>
        <v>0</v>
      </c>
      <c r="LI29">
        <f>SUMIFS(Detail!$AW:$AW,Detail!$G:$G,'Rates-Service Fees'!LI$23,Detail!$H:$H,'Rates-Service Fees'!LI$8)*100</f>
        <v>0</v>
      </c>
      <c r="LJ29">
        <f>SUMIFS(Detail!$AW:$AW,Detail!$G:$G,'Rates-Service Fees'!LJ$23,Detail!$H:$H,'Rates-Service Fees'!LJ$8)*100</f>
        <v>0</v>
      </c>
      <c r="LK29">
        <f>SUMIFS(Detail!$AW:$AW,Detail!$G:$G,'Rates-Service Fees'!LK$23,Detail!$H:$H,'Rates-Service Fees'!LK$8)*100</f>
        <v>0</v>
      </c>
      <c r="LL29">
        <f>SUMIFS(Detail!$AW:$AW,Detail!$G:$G,'Rates-Service Fees'!LL$23,Detail!$H:$H,'Rates-Service Fees'!LL$8)*100</f>
        <v>0</v>
      </c>
      <c r="LM29">
        <f>SUMIFS(Detail!$AW:$AW,Detail!$G:$G,'Rates-Service Fees'!LM$23,Detail!$H:$H,'Rates-Service Fees'!LM$8)*100</f>
        <v>0</v>
      </c>
      <c r="LN29">
        <f>SUMIFS(Detail!$AW:$AW,Detail!$G:$G,'Rates-Service Fees'!LN$23,Detail!$H:$H,'Rates-Service Fees'!LN$8)*100</f>
        <v>0</v>
      </c>
      <c r="LO29">
        <f>SUMIFS(Detail!$AW:$AW,Detail!$G:$G,'Rates-Service Fees'!LO$23,Detail!$H:$H,'Rates-Service Fees'!LO$8)*100</f>
        <v>0</v>
      </c>
      <c r="LP29">
        <f>SUMIFS(Detail!$AW:$AW,Detail!$G:$G,'Rates-Service Fees'!LP$23,Detail!$H:$H,'Rates-Service Fees'!LP$8)*100</f>
        <v>0</v>
      </c>
      <c r="LQ29">
        <f>SUMIFS(Detail!$AW:$AW,Detail!$G:$G,'Rates-Service Fees'!LQ$23,Detail!$H:$H,'Rates-Service Fees'!LQ$8)*100</f>
        <v>0</v>
      </c>
      <c r="LR29">
        <f>SUMIFS(Detail!$AW:$AW,Detail!$G:$G,'Rates-Service Fees'!LR$23,Detail!$H:$H,'Rates-Service Fees'!LR$8)*100</f>
        <v>0</v>
      </c>
      <c r="LS29">
        <f>SUMIFS(Detail!$AW:$AW,Detail!$G:$G,'Rates-Service Fees'!LS$23,Detail!$H:$H,'Rates-Service Fees'!LS$8)*100</f>
        <v>0</v>
      </c>
      <c r="LT29">
        <f>SUMIFS(Detail!$AW:$AW,Detail!$G:$G,'Rates-Service Fees'!LT$23,Detail!$H:$H,'Rates-Service Fees'!LT$8)*100</f>
        <v>0</v>
      </c>
      <c r="LU29">
        <f>SUMIFS(Detail!$AW:$AW,Detail!$G:$G,'Rates-Service Fees'!LU$23,Detail!$H:$H,'Rates-Service Fees'!LU$8)*100</f>
        <v>0</v>
      </c>
      <c r="LV29">
        <f>SUMIFS(Detail!$AW:$AW,Detail!$G:$G,'Rates-Service Fees'!LV$23,Detail!$H:$H,'Rates-Service Fees'!LV$8)*100</f>
        <v>0</v>
      </c>
      <c r="LW29">
        <f>SUMIFS(Detail!$AW:$AW,Detail!$G:$G,'Rates-Service Fees'!LW$23,Detail!$H:$H,'Rates-Service Fees'!LW$8)*100</f>
        <v>0</v>
      </c>
      <c r="LX29">
        <f>SUMIFS(Detail!$AW:$AW,Detail!$G:$G,'Rates-Service Fees'!LX$23,Detail!$H:$H,'Rates-Service Fees'!LX$8)*100</f>
        <v>0</v>
      </c>
      <c r="LY29">
        <f>SUMIFS(Detail!$AW:$AW,Detail!$G:$G,'Rates-Service Fees'!LY$23,Detail!$H:$H,'Rates-Service Fees'!LY$8)*100</f>
        <v>0</v>
      </c>
      <c r="LZ29">
        <f>SUMIFS(Detail!$AW:$AW,Detail!$G:$G,'Rates-Service Fees'!LZ$23,Detail!$H:$H,'Rates-Service Fees'!LZ$8)*100</f>
        <v>0</v>
      </c>
      <c r="MA29">
        <f>SUMIFS(Detail!$AW:$AW,Detail!$G:$G,'Rates-Service Fees'!MA$23,Detail!$H:$H,'Rates-Service Fees'!MA$8)*100</f>
        <v>0</v>
      </c>
      <c r="MB29">
        <f>SUMIFS(Detail!$AW:$AW,Detail!$G:$G,'Rates-Service Fees'!MB$23,Detail!$H:$H,'Rates-Service Fees'!MB$8)*100</f>
        <v>0</v>
      </c>
      <c r="MC29">
        <f>SUMIFS(Detail!$AW:$AW,Detail!$G:$G,'Rates-Service Fees'!MC$23,Detail!$H:$H,'Rates-Service Fees'!MC$8)*100</f>
        <v>0</v>
      </c>
      <c r="MD29">
        <f>SUMIFS(Detail!$AW:$AW,Detail!$G:$G,'Rates-Service Fees'!MD$23,Detail!$H:$H,'Rates-Service Fees'!MD$8)*100</f>
        <v>0</v>
      </c>
      <c r="ME29">
        <f>SUMIFS(Detail!$AW:$AW,Detail!$G:$G,'Rates-Service Fees'!ME$23,Detail!$H:$H,'Rates-Service Fees'!ME$8)*100</f>
        <v>0</v>
      </c>
      <c r="MF29">
        <f>SUMIFS(Detail!$AW:$AW,Detail!$G:$G,'Rates-Service Fees'!MF$23,Detail!$H:$H,'Rates-Service Fees'!MF$8)*100</f>
        <v>0</v>
      </c>
      <c r="MG29">
        <f>SUMIFS(Detail!$AW:$AW,Detail!$G:$G,'Rates-Service Fees'!MG$23,Detail!$H:$H,'Rates-Service Fees'!MG$8)*100</f>
        <v>0</v>
      </c>
      <c r="MH29">
        <f>SUMIFS(Detail!$AW:$AW,Detail!$G:$G,'Rates-Service Fees'!MH$23,Detail!$H:$H,'Rates-Service Fees'!MH$8)*100</f>
        <v>0</v>
      </c>
      <c r="MI29">
        <f>SUMIFS(Detail!$AW:$AW,Detail!$G:$G,'Rates-Service Fees'!MI$23,Detail!$H:$H,'Rates-Service Fees'!MI$8)*100</f>
        <v>0</v>
      </c>
      <c r="MJ29">
        <f>SUMIFS(Detail!$AW:$AW,Detail!$G:$G,'Rates-Service Fees'!MJ$23,Detail!$H:$H,'Rates-Service Fees'!MJ$8)*100</f>
        <v>0</v>
      </c>
      <c r="MK29">
        <f>SUMIFS(Detail!$AW:$AW,Detail!$G:$G,'Rates-Service Fees'!MK$23,Detail!$H:$H,'Rates-Service Fees'!MK$8)*100</f>
        <v>0</v>
      </c>
      <c r="ML29">
        <f>SUMIFS(Detail!$AW:$AW,Detail!$G:$G,'Rates-Service Fees'!ML$23,Detail!$H:$H,'Rates-Service Fees'!ML$8)*100</f>
        <v>0</v>
      </c>
      <c r="MM29">
        <f>SUMIFS(Detail!$AW:$AW,Detail!$G:$G,'Rates-Service Fees'!MM$23,Detail!$H:$H,'Rates-Service Fees'!MM$8)*100</f>
        <v>0</v>
      </c>
      <c r="MN29">
        <f>SUMIFS(Detail!$AW:$AW,Detail!$G:$G,'Rates-Service Fees'!MN$23,Detail!$H:$H,'Rates-Service Fees'!MN$8)*100</f>
        <v>0</v>
      </c>
      <c r="MO29">
        <f>SUMIFS(Detail!$AW:$AW,Detail!$G:$G,'Rates-Service Fees'!MO$23,Detail!$H:$H,'Rates-Service Fees'!MO$8)*100</f>
        <v>0</v>
      </c>
      <c r="MP29">
        <f>SUMIFS(Detail!$AW:$AW,Detail!$G:$G,'Rates-Service Fees'!MP$23,Detail!$H:$H,'Rates-Service Fees'!MP$8)*100</f>
        <v>0</v>
      </c>
      <c r="MQ29">
        <f>SUMIFS(Detail!$AW:$AW,Detail!$G:$G,'Rates-Service Fees'!MQ$23,Detail!$H:$H,'Rates-Service Fees'!MQ$8)*100</f>
        <v>0</v>
      </c>
      <c r="MR29">
        <f>SUMIFS(Detail!$AW:$AW,Detail!$G:$G,'Rates-Service Fees'!MR$23,Detail!$H:$H,'Rates-Service Fees'!MR$8)*100</f>
        <v>0</v>
      </c>
      <c r="MS29">
        <f>SUMIFS(Detail!$AW:$AW,Detail!$G:$G,'Rates-Service Fees'!MS$23,Detail!$H:$H,'Rates-Service Fees'!MS$8)*100</f>
        <v>0</v>
      </c>
      <c r="MT29">
        <f>SUMIFS(Detail!$AW:$AW,Detail!$G:$G,'Rates-Service Fees'!MT$23,Detail!$H:$H,'Rates-Service Fees'!MT$8)*100</f>
        <v>0</v>
      </c>
      <c r="MU29">
        <f>SUMIFS(Detail!$AW:$AW,Detail!$G:$G,'Rates-Service Fees'!MU$23,Detail!$H:$H,'Rates-Service Fees'!MU$8)*100</f>
        <v>0</v>
      </c>
      <c r="MV29">
        <f>SUMIFS(Detail!$AW:$AW,Detail!$G:$G,'Rates-Service Fees'!MV$23,Detail!$H:$H,'Rates-Service Fees'!MV$8)*100</f>
        <v>0</v>
      </c>
      <c r="MW29">
        <f>SUMIFS(Detail!$AW:$AW,Detail!$G:$G,'Rates-Service Fees'!MW$23,Detail!$H:$H,'Rates-Service Fees'!MW$8)*100</f>
        <v>0</v>
      </c>
      <c r="MX29">
        <f>SUMIFS(Detail!$AW:$AW,Detail!$G:$G,'Rates-Service Fees'!MX$23,Detail!$H:$H,'Rates-Service Fees'!MX$8)*100</f>
        <v>0</v>
      </c>
      <c r="MY29">
        <f>SUMIFS(Detail!$AW:$AW,Detail!$G:$G,'Rates-Service Fees'!MY$23,Detail!$H:$H,'Rates-Service Fees'!MY$8)*100</f>
        <v>0</v>
      </c>
      <c r="MZ29">
        <f>SUMIFS(Detail!$AW:$AW,Detail!$G:$G,'Rates-Service Fees'!MZ$23,Detail!$H:$H,'Rates-Service Fees'!MZ$8)*100</f>
        <v>0</v>
      </c>
      <c r="NA29">
        <f>SUMIFS(Detail!$AW:$AW,Detail!$G:$G,'Rates-Service Fees'!NA$23,Detail!$H:$H,'Rates-Service Fees'!NA$8)*100</f>
        <v>0</v>
      </c>
      <c r="NB29">
        <f>SUMIFS(Detail!$AW:$AW,Detail!$G:$G,'Rates-Service Fees'!NB$23,Detail!$H:$H,'Rates-Service Fees'!NB$8)*100</f>
        <v>0</v>
      </c>
      <c r="NC29">
        <f>SUMIFS(Detail!$AW:$AW,Detail!$G:$G,'Rates-Service Fees'!NC$23,Detail!$H:$H,'Rates-Service Fees'!NC$8)*100</f>
        <v>0</v>
      </c>
      <c r="ND29">
        <f>SUMIFS(Detail!$AW:$AW,Detail!$G:$G,'Rates-Service Fees'!ND$23,Detail!$H:$H,'Rates-Service Fees'!ND$8)*100</f>
        <v>0</v>
      </c>
      <c r="NE29">
        <f>SUMIFS(Detail!$AW:$AW,Detail!$G:$G,'Rates-Service Fees'!NE$23,Detail!$H:$H,'Rates-Service Fees'!NE$8)*100</f>
        <v>0</v>
      </c>
      <c r="NF29">
        <f>SUMIFS(Detail!$AW:$AW,Detail!$G:$G,'Rates-Service Fees'!NF$23,Detail!$H:$H,'Rates-Service Fees'!NF$8)*100</f>
        <v>0</v>
      </c>
      <c r="NG29">
        <f>SUMIFS(Detail!$AW:$AW,Detail!$G:$G,'Rates-Service Fees'!NG$23,Detail!$H:$H,'Rates-Service Fees'!NG$8)*100</f>
        <v>0</v>
      </c>
      <c r="NH29">
        <f>SUMIFS(Detail!$AW:$AW,Detail!$G:$G,'Rates-Service Fees'!NH$23,Detail!$H:$H,'Rates-Service Fees'!NH$8)*100</f>
        <v>0</v>
      </c>
      <c r="NI29">
        <f>SUMIFS(Detail!$AW:$AW,Detail!$G:$G,'Rates-Service Fees'!NI$23,Detail!$H:$H,'Rates-Service Fees'!NI$8)*100</f>
        <v>0</v>
      </c>
      <c r="NJ29">
        <f>SUMIFS(Detail!$AW:$AW,Detail!$G:$G,'Rates-Service Fees'!NJ$23,Detail!$H:$H,'Rates-Service Fees'!NJ$8)*100</f>
        <v>0</v>
      </c>
      <c r="NK29">
        <f>SUMIFS(Detail!$AW:$AW,Detail!$G:$G,'Rates-Service Fees'!NK$23,Detail!$H:$H,'Rates-Service Fees'!NK$8)*100</f>
        <v>0</v>
      </c>
      <c r="NL29">
        <f>SUMIFS(Detail!$AW:$AW,Detail!$G:$G,'Rates-Service Fees'!NL$23,Detail!$H:$H,'Rates-Service Fees'!NL$8)*100</f>
        <v>0</v>
      </c>
      <c r="NM29">
        <f>SUMIFS(Detail!$AW:$AW,Detail!$G:$G,'Rates-Service Fees'!NM$23,Detail!$H:$H,'Rates-Service Fees'!NM$8)*100</f>
        <v>0</v>
      </c>
      <c r="NN29">
        <f>SUMIFS(Detail!$AW:$AW,Detail!$G:$G,'Rates-Service Fees'!NN$23,Detail!$H:$H,'Rates-Service Fees'!NN$8)*100</f>
        <v>0</v>
      </c>
      <c r="NO29">
        <f>SUMIFS(Detail!$AW:$AW,Detail!$G:$G,'Rates-Service Fees'!NO$23,Detail!$H:$H,'Rates-Service Fees'!NO$8)*100</f>
        <v>0</v>
      </c>
      <c r="NP29">
        <f>SUMIFS(Detail!$AW:$AW,Detail!$G:$G,'Rates-Service Fees'!NP$23,Detail!$H:$H,'Rates-Service Fees'!NP$8)*100</f>
        <v>0</v>
      </c>
      <c r="NQ29">
        <f>SUMIFS(Detail!$AW:$AW,Detail!$G:$G,'Rates-Service Fees'!NQ$23,Detail!$H:$H,'Rates-Service Fees'!NQ$8)*100</f>
        <v>0</v>
      </c>
      <c r="NR29">
        <f>SUMIFS(Detail!$AW:$AW,Detail!$G:$G,'Rates-Service Fees'!NR$23,Detail!$H:$H,'Rates-Service Fees'!NR$8)*100</f>
        <v>0</v>
      </c>
      <c r="NS29">
        <f>SUMIFS(Detail!$AW:$AW,Detail!$G:$G,'Rates-Service Fees'!NS$23,Detail!$H:$H,'Rates-Service Fees'!NS$8)*100</f>
        <v>0</v>
      </c>
      <c r="NT29">
        <f>SUMIFS(Detail!$AW:$AW,Detail!$G:$G,'Rates-Service Fees'!NT$23,Detail!$H:$H,'Rates-Service Fees'!NT$8)*100</f>
        <v>0</v>
      </c>
      <c r="NU29">
        <f>SUMIFS(Detail!$AW:$AW,Detail!$G:$G,'Rates-Service Fees'!NU$23,Detail!$H:$H,'Rates-Service Fees'!NU$8)*100</f>
        <v>0</v>
      </c>
      <c r="NV29">
        <f>SUMIFS(Detail!$AW:$AW,Detail!$G:$G,'Rates-Service Fees'!NV$23,Detail!$H:$H,'Rates-Service Fees'!NV$8)*100</f>
        <v>0</v>
      </c>
      <c r="NW29">
        <f>SUMIFS(Detail!$AW:$AW,Detail!$G:$G,'Rates-Service Fees'!NW$23,Detail!$H:$H,'Rates-Service Fees'!NW$8)*100</f>
        <v>0</v>
      </c>
      <c r="NX29">
        <f>SUMIFS(Detail!$AW:$AW,Detail!$G:$G,'Rates-Service Fees'!NX$23,Detail!$H:$H,'Rates-Service Fees'!NX$8)*100</f>
        <v>0</v>
      </c>
      <c r="NY29">
        <f>SUMIFS(Detail!$AW:$AW,Detail!$G:$G,'Rates-Service Fees'!NY$23,Detail!$H:$H,'Rates-Service Fees'!NY$8)*100</f>
        <v>0</v>
      </c>
      <c r="NZ29">
        <f>SUMIFS(Detail!$AW:$AW,Detail!$G:$G,'Rates-Service Fees'!NZ$23,Detail!$H:$H,'Rates-Service Fees'!NZ$8)*100</f>
        <v>0</v>
      </c>
      <c r="OA29">
        <f>SUMIFS(Detail!$AW:$AW,Detail!$G:$G,'Rates-Service Fees'!OA$23,Detail!$H:$H,'Rates-Service Fees'!OA$8)*100</f>
        <v>0</v>
      </c>
      <c r="OB29">
        <f>SUMIFS(Detail!$AW:$AW,Detail!$G:$G,'Rates-Service Fees'!OB$23,Detail!$H:$H,'Rates-Service Fees'!OB$8)*100</f>
        <v>0</v>
      </c>
      <c r="OC29">
        <f>SUMIFS(Detail!$AW:$AW,Detail!$G:$G,'Rates-Service Fees'!OC$23,Detail!$H:$H,'Rates-Service Fees'!OC$8)*100</f>
        <v>0</v>
      </c>
      <c r="OD29">
        <f>SUMIFS(Detail!$AW:$AW,Detail!$G:$G,'Rates-Service Fees'!OD$23,Detail!$H:$H,'Rates-Service Fees'!OD$8)*100</f>
        <v>0</v>
      </c>
      <c r="OE29">
        <f>SUMIFS(Detail!$AW:$AW,Detail!$G:$G,'Rates-Service Fees'!OE$23,Detail!$H:$H,'Rates-Service Fees'!OE$8)*100</f>
        <v>0</v>
      </c>
      <c r="OF29">
        <f>SUMIFS(Detail!$AW:$AW,Detail!$G:$G,'Rates-Service Fees'!OF$23,Detail!$H:$H,'Rates-Service Fees'!OF$8)*100</f>
        <v>0</v>
      </c>
      <c r="OG29">
        <f>SUMIFS(Detail!$AW:$AW,Detail!$G:$G,'Rates-Service Fees'!OG$23,Detail!$H:$H,'Rates-Service Fees'!OG$8)*100</f>
        <v>0</v>
      </c>
      <c r="OH29">
        <f>SUMIFS(Detail!$AW:$AW,Detail!$G:$G,'Rates-Service Fees'!OH$23,Detail!$H:$H,'Rates-Service Fees'!OH$8)*100</f>
        <v>0</v>
      </c>
      <c r="OI29">
        <f>SUMIFS(Detail!$AW:$AW,Detail!$G:$G,'Rates-Service Fees'!OI$23,Detail!$H:$H,'Rates-Service Fees'!OI$8)*100</f>
        <v>0</v>
      </c>
      <c r="OJ29">
        <f>SUMIFS(Detail!$AW:$AW,Detail!$G:$G,'Rates-Service Fees'!OJ$23,Detail!$H:$H,'Rates-Service Fees'!OJ$8)*100</f>
        <v>0</v>
      </c>
      <c r="OK29">
        <f>SUMIFS(Detail!$AW:$AW,Detail!$G:$G,'Rates-Service Fees'!OK$23,Detail!$H:$H,'Rates-Service Fees'!OK$8)*100</f>
        <v>0</v>
      </c>
      <c r="OL29">
        <f>SUMIFS(Detail!$AW:$AW,Detail!$G:$G,'Rates-Service Fees'!OL$23,Detail!$H:$H,'Rates-Service Fees'!OL$8)*100</f>
        <v>0</v>
      </c>
      <c r="OM29">
        <f>SUMIFS(Detail!$AW:$AW,Detail!$G:$G,'Rates-Service Fees'!OM$23,Detail!$H:$H,'Rates-Service Fees'!OM$8)*100</f>
        <v>0</v>
      </c>
      <c r="ON29">
        <f>SUMIFS(Detail!$AW:$AW,Detail!$G:$G,'Rates-Service Fees'!ON$23,Detail!$H:$H,'Rates-Service Fees'!ON$8)*100</f>
        <v>0</v>
      </c>
      <c r="OO29">
        <f>SUMIFS(Detail!$AW:$AW,Detail!$G:$G,'Rates-Service Fees'!OO$23,Detail!$H:$H,'Rates-Service Fees'!OO$8)*100</f>
        <v>0</v>
      </c>
      <c r="OP29">
        <f>SUMIFS(Detail!$AW:$AW,Detail!$G:$G,'Rates-Service Fees'!OP$23,Detail!$H:$H,'Rates-Service Fees'!OP$8)*100</f>
        <v>0</v>
      </c>
      <c r="OQ29">
        <f>SUMIFS(Detail!$AW:$AW,Detail!$G:$G,'Rates-Service Fees'!OQ$23,Detail!$H:$H,'Rates-Service Fees'!OQ$8)*100</f>
        <v>0</v>
      </c>
      <c r="OR29">
        <f>SUMIFS(Detail!$AW:$AW,Detail!$G:$G,'Rates-Service Fees'!OR$23,Detail!$H:$H,'Rates-Service Fees'!OR$8)*100</f>
        <v>0</v>
      </c>
      <c r="OS29">
        <f>SUMIFS(Detail!$AW:$AW,Detail!$G:$G,'Rates-Service Fees'!OS$23,Detail!$H:$H,'Rates-Service Fees'!OS$8)*100</f>
        <v>0</v>
      </c>
      <c r="OT29">
        <f>SUMIFS(Detail!$AW:$AW,Detail!$G:$G,'Rates-Service Fees'!OT$23,Detail!$H:$H,'Rates-Service Fees'!OT$8)*100</f>
        <v>0</v>
      </c>
      <c r="OU29">
        <f>SUMIFS(Detail!$AW:$AW,Detail!$G:$G,'Rates-Service Fees'!OU$23,Detail!$H:$H,'Rates-Service Fees'!OU$8)*100</f>
        <v>0</v>
      </c>
      <c r="OV29">
        <f>SUMIFS(Detail!$AW:$AW,Detail!$G:$G,'Rates-Service Fees'!OV$23,Detail!$H:$H,'Rates-Service Fees'!OV$8)*100</f>
        <v>0</v>
      </c>
      <c r="OW29">
        <f>SUMIFS(Detail!$AW:$AW,Detail!$G:$G,'Rates-Service Fees'!OW$23,Detail!$H:$H,'Rates-Service Fees'!OW$8)*100</f>
        <v>0</v>
      </c>
      <c r="OX29">
        <f>SUMIFS(Detail!$AW:$AW,Detail!$G:$G,'Rates-Service Fees'!OX$23,Detail!$H:$H,'Rates-Service Fees'!OX$8)*100</f>
        <v>0</v>
      </c>
      <c r="OY29">
        <f>SUMIFS(Detail!$AW:$AW,Detail!$G:$G,'Rates-Service Fees'!OY$23,Detail!$H:$H,'Rates-Service Fees'!OY$8)*100</f>
        <v>0</v>
      </c>
      <c r="OZ29">
        <f>SUMIFS(Detail!$AW:$AW,Detail!$G:$G,'Rates-Service Fees'!OZ$23,Detail!$H:$H,'Rates-Service Fees'!OZ$8)*100</f>
        <v>0</v>
      </c>
      <c r="PA29">
        <f>SUMIFS(Detail!$AW:$AW,Detail!$G:$G,'Rates-Service Fees'!PA$23,Detail!$H:$H,'Rates-Service Fees'!PA$8)*100</f>
        <v>0</v>
      </c>
      <c r="PB29">
        <f>SUMIFS(Detail!$AW:$AW,Detail!$G:$G,'Rates-Service Fees'!PB$23,Detail!$H:$H,'Rates-Service Fees'!PB$8)*100</f>
        <v>0</v>
      </c>
      <c r="PC29">
        <f>SUMIFS(Detail!$AW:$AW,Detail!$G:$G,'Rates-Service Fees'!PC$23,Detail!$H:$H,'Rates-Service Fees'!PC$8)*100</f>
        <v>0</v>
      </c>
      <c r="PD29">
        <f>SUMIFS(Detail!$AW:$AW,Detail!$G:$G,'Rates-Service Fees'!PD$23,Detail!$H:$H,'Rates-Service Fees'!PD$8)*100</f>
        <v>0</v>
      </c>
      <c r="PE29">
        <f>SUMIFS(Detail!$AW:$AW,Detail!$G:$G,'Rates-Service Fees'!PE$23,Detail!$H:$H,'Rates-Service Fees'!PE$8)*100</f>
        <v>0</v>
      </c>
      <c r="PF29">
        <f>SUMIFS(Detail!$AW:$AW,Detail!$G:$G,'Rates-Service Fees'!PF$23,Detail!$H:$H,'Rates-Service Fees'!PF$8)*100</f>
        <v>0</v>
      </c>
      <c r="PG29">
        <f>SUMIFS(Detail!$AW:$AW,Detail!$G:$G,'Rates-Service Fees'!PG$23,Detail!$H:$H,'Rates-Service Fees'!PG$8)*100</f>
        <v>0</v>
      </c>
      <c r="PH29">
        <f>SUMIFS(Detail!$AW:$AW,Detail!$G:$G,'Rates-Service Fees'!PH$23,Detail!$H:$H,'Rates-Service Fees'!PH$8)*100</f>
        <v>0</v>
      </c>
      <c r="PI29">
        <f>SUMIFS(Detail!$AW:$AW,Detail!$G:$G,'Rates-Service Fees'!PI$23,Detail!$H:$H,'Rates-Service Fees'!PI$8)*100</f>
        <v>0</v>
      </c>
      <c r="PJ29">
        <f>SUMIFS(Detail!$AW:$AW,Detail!$G:$G,'Rates-Service Fees'!PJ$23,Detail!$H:$H,'Rates-Service Fees'!PJ$8)*100</f>
        <v>0</v>
      </c>
      <c r="PK29">
        <f>SUMIFS(Detail!$AW:$AW,Detail!$G:$G,'Rates-Service Fees'!PK$23,Detail!$H:$H,'Rates-Service Fees'!PK$8)*100</f>
        <v>0</v>
      </c>
      <c r="PL29">
        <f>SUMIFS(Detail!$AW:$AW,Detail!$G:$G,'Rates-Service Fees'!PL$23,Detail!$H:$H,'Rates-Service Fees'!PL$8)*100</f>
        <v>0</v>
      </c>
      <c r="PM29">
        <f>SUMIFS(Detail!$AW:$AW,Detail!$G:$G,'Rates-Service Fees'!PM$23,Detail!$H:$H,'Rates-Service Fees'!PM$8)*100</f>
        <v>0</v>
      </c>
      <c r="PN29">
        <f>SUMIFS(Detail!$AW:$AW,Detail!$G:$G,'Rates-Service Fees'!PN$23,Detail!$H:$H,'Rates-Service Fees'!PN$8)*100</f>
        <v>0</v>
      </c>
      <c r="PO29">
        <f>SUMIFS(Detail!$AW:$AW,Detail!$G:$G,'Rates-Service Fees'!PO$23,Detail!$H:$H,'Rates-Service Fees'!PO$8)*100</f>
        <v>0</v>
      </c>
      <c r="PP29">
        <f>SUMIFS(Detail!$AW:$AW,Detail!$G:$G,'Rates-Service Fees'!PP$23,Detail!$H:$H,'Rates-Service Fees'!PP$8)*100</f>
        <v>0</v>
      </c>
      <c r="PQ29">
        <f>SUMIFS(Detail!$AW:$AW,Detail!$G:$G,'Rates-Service Fees'!PQ$23,Detail!$H:$H,'Rates-Service Fees'!PQ$8)*100</f>
        <v>0</v>
      </c>
      <c r="PR29">
        <f>SUMIFS(Detail!$AW:$AW,Detail!$G:$G,'Rates-Service Fees'!PR$23,Detail!$H:$H,'Rates-Service Fees'!PR$8)*100</f>
        <v>0</v>
      </c>
      <c r="PS29">
        <f>SUMIFS(Detail!$AW:$AW,Detail!$G:$G,'Rates-Service Fees'!PS$23,Detail!$H:$H,'Rates-Service Fees'!PS$8)*100</f>
        <v>0</v>
      </c>
      <c r="PT29">
        <f>SUMIFS(Detail!$AW:$AW,Detail!$G:$G,'Rates-Service Fees'!PT$23,Detail!$H:$H,'Rates-Service Fees'!PT$8)*100</f>
        <v>0</v>
      </c>
      <c r="PU29">
        <f>SUMIFS(Detail!$AW:$AW,Detail!$G:$G,'Rates-Service Fees'!PU$23,Detail!$H:$H,'Rates-Service Fees'!PU$8)*100</f>
        <v>0</v>
      </c>
      <c r="PV29">
        <f>SUMIFS(Detail!$AW:$AW,Detail!$G:$G,'Rates-Service Fees'!PV$23,Detail!$H:$H,'Rates-Service Fees'!PV$8)*100</f>
        <v>0</v>
      </c>
      <c r="PW29">
        <f>SUMIFS(Detail!$AW:$AW,Detail!$G:$G,'Rates-Service Fees'!PW$23,Detail!$H:$H,'Rates-Service Fees'!PW$8)*100</f>
        <v>0</v>
      </c>
      <c r="PX29">
        <f>SUMIFS(Detail!$AW:$AW,Detail!$G:$G,'Rates-Service Fees'!PX$23,Detail!$H:$H,'Rates-Service Fees'!PX$8)*100</f>
        <v>0</v>
      </c>
      <c r="PY29">
        <f>SUMIFS(Detail!$AW:$AW,Detail!$G:$G,'Rates-Service Fees'!PY$23,Detail!$H:$H,'Rates-Service Fees'!PY$8)*100</f>
        <v>0</v>
      </c>
      <c r="PZ29">
        <f>SUMIFS(Detail!$AW:$AW,Detail!$G:$G,'Rates-Service Fees'!PZ$23,Detail!$H:$H,'Rates-Service Fees'!PZ$8)*100</f>
        <v>0</v>
      </c>
      <c r="QA29">
        <f>SUMIFS(Detail!$AW:$AW,Detail!$G:$G,'Rates-Service Fees'!QA$23,Detail!$H:$H,'Rates-Service Fees'!QA$8)*100</f>
        <v>0</v>
      </c>
      <c r="QB29">
        <f>SUMIFS(Detail!$AW:$AW,Detail!$G:$G,'Rates-Service Fees'!QB$23,Detail!$H:$H,'Rates-Service Fees'!QB$8)*100</f>
        <v>0</v>
      </c>
      <c r="QC29">
        <f>SUMIFS(Detail!$AW:$AW,Detail!$G:$G,'Rates-Service Fees'!QC$23,Detail!$H:$H,'Rates-Service Fees'!QC$8)*100</f>
        <v>0</v>
      </c>
      <c r="QD29">
        <f>SUMIFS(Detail!$AW:$AW,Detail!$G:$G,'Rates-Service Fees'!QD$23,Detail!$H:$H,'Rates-Service Fees'!QD$8)*100</f>
        <v>0</v>
      </c>
      <c r="QE29">
        <f>SUMIFS(Detail!$AW:$AW,Detail!$G:$G,'Rates-Service Fees'!QE$23,Detail!$H:$H,'Rates-Service Fees'!QE$8)*100</f>
        <v>0</v>
      </c>
      <c r="QF29">
        <f>SUMIFS(Detail!$AW:$AW,Detail!$G:$G,'Rates-Service Fees'!QF$23,Detail!$H:$H,'Rates-Service Fees'!QF$8)*100</f>
        <v>0</v>
      </c>
      <c r="QG29">
        <f>SUMIFS(Detail!$AW:$AW,Detail!$G:$G,'Rates-Service Fees'!QG$23,Detail!$H:$H,'Rates-Service Fees'!QG$8)*100</f>
        <v>0</v>
      </c>
      <c r="QH29">
        <f>SUMIFS(Detail!$AW:$AW,Detail!$G:$G,'Rates-Service Fees'!QH$23,Detail!$H:$H,'Rates-Service Fees'!QH$8)*100</f>
        <v>0</v>
      </c>
      <c r="QI29">
        <f>SUMIFS(Detail!$AW:$AW,Detail!$G:$G,'Rates-Service Fees'!QI$23,Detail!$H:$H,'Rates-Service Fees'!QI$8)*100</f>
        <v>0</v>
      </c>
      <c r="QJ29">
        <f>SUMIFS(Detail!$AW:$AW,Detail!$G:$G,'Rates-Service Fees'!QJ$23,Detail!$H:$H,'Rates-Service Fees'!QJ$8)*100</f>
        <v>0</v>
      </c>
      <c r="QK29">
        <f>SUMIFS(Detail!$AW:$AW,Detail!$G:$G,'Rates-Service Fees'!QK$23,Detail!$H:$H,'Rates-Service Fees'!QK$8)*100</f>
        <v>0</v>
      </c>
      <c r="QL29">
        <f>SUMIFS(Detail!$AW:$AW,Detail!$G:$G,'Rates-Service Fees'!QL$23,Detail!$H:$H,'Rates-Service Fees'!QL$8)*100</f>
        <v>0</v>
      </c>
      <c r="QM29">
        <f>SUMIFS(Detail!$AW:$AW,Detail!$G:$G,'Rates-Service Fees'!QM$23,Detail!$H:$H,'Rates-Service Fees'!QM$8)*100</f>
        <v>0</v>
      </c>
      <c r="QN29">
        <f>SUMIFS(Detail!$AW:$AW,Detail!$G:$G,'Rates-Service Fees'!QN$23,Detail!$H:$H,'Rates-Service Fees'!QN$8)*100</f>
        <v>0</v>
      </c>
      <c r="QO29">
        <f>SUMIFS(Detail!$AW:$AW,Detail!$G:$G,'Rates-Service Fees'!QO$23,Detail!$H:$H,'Rates-Service Fees'!QO$8)*100</f>
        <v>0</v>
      </c>
      <c r="QP29">
        <f>SUMIFS(Detail!$AW:$AW,Detail!$G:$G,'Rates-Service Fees'!QP$23,Detail!$H:$H,'Rates-Service Fees'!QP$8)*100</f>
        <v>0</v>
      </c>
      <c r="QQ29">
        <f>SUMIFS(Detail!$AW:$AW,Detail!$G:$G,'Rates-Service Fees'!QQ$23,Detail!$H:$H,'Rates-Service Fees'!QQ$8)*100</f>
        <v>0</v>
      </c>
      <c r="QR29">
        <f>SUMIFS(Detail!$AW:$AW,Detail!$G:$G,'Rates-Service Fees'!QR$23,Detail!$H:$H,'Rates-Service Fees'!QR$8)*100</f>
        <v>0</v>
      </c>
      <c r="QS29">
        <f>SUMIFS(Detail!$AW:$AW,Detail!$G:$G,'Rates-Service Fees'!QS$23,Detail!$H:$H,'Rates-Service Fees'!QS$8)*100</f>
        <v>0</v>
      </c>
      <c r="QT29">
        <f>SUMIFS(Detail!$AW:$AW,Detail!$G:$G,'Rates-Service Fees'!QT$23,Detail!$H:$H,'Rates-Service Fees'!QT$8)*100</f>
        <v>0</v>
      </c>
      <c r="QU29">
        <f>SUMIFS(Detail!$AW:$AW,Detail!$G:$G,'Rates-Service Fees'!QU$23,Detail!$H:$H,'Rates-Service Fees'!QU$8)*100</f>
        <v>0</v>
      </c>
      <c r="QV29">
        <f>SUMIFS(Detail!$AW:$AW,Detail!$G:$G,'Rates-Service Fees'!QV$23,Detail!$H:$H,'Rates-Service Fees'!QV$8)*100</f>
        <v>0</v>
      </c>
      <c r="QW29">
        <f>SUMIFS(Detail!$AW:$AW,Detail!$G:$G,'Rates-Service Fees'!QW$23,Detail!$H:$H,'Rates-Service Fees'!QW$8)*100</f>
        <v>0</v>
      </c>
      <c r="QX29">
        <f>SUMIFS(Detail!$AW:$AW,Detail!$G:$G,'Rates-Service Fees'!QX$23,Detail!$H:$H,'Rates-Service Fees'!QX$8)*100</f>
        <v>0</v>
      </c>
      <c r="QY29">
        <f>SUMIFS(Detail!$AW:$AW,Detail!$G:$G,'Rates-Service Fees'!QY$23,Detail!$H:$H,'Rates-Service Fees'!QY$8)*100</f>
        <v>0</v>
      </c>
      <c r="QZ29">
        <f>SUMIFS(Detail!$AW:$AW,Detail!$G:$G,'Rates-Service Fees'!QZ$23,Detail!$H:$H,'Rates-Service Fees'!QZ$8)*100</f>
        <v>0</v>
      </c>
      <c r="RA29">
        <f>SUMIFS(Detail!$AW:$AW,Detail!$G:$G,'Rates-Service Fees'!RA$23,Detail!$H:$H,'Rates-Service Fees'!RA$8)*100</f>
        <v>0</v>
      </c>
      <c r="RB29">
        <f>SUMIFS(Detail!$AW:$AW,Detail!$G:$G,'Rates-Service Fees'!RB$23,Detail!$H:$H,'Rates-Service Fees'!RB$8)*100</f>
        <v>0</v>
      </c>
      <c r="RC29">
        <f>SUMIFS(Detail!$AW:$AW,Detail!$G:$G,'Rates-Service Fees'!RC$23,Detail!$H:$H,'Rates-Service Fees'!RC$8)*100</f>
        <v>0</v>
      </c>
      <c r="RD29">
        <f>SUMIFS(Detail!$AW:$AW,Detail!$G:$G,'Rates-Service Fees'!RD$23,Detail!$H:$H,'Rates-Service Fees'!RD$8)*100</f>
        <v>0</v>
      </c>
      <c r="RE29">
        <f>SUMIFS(Detail!$AW:$AW,Detail!$G:$G,'Rates-Service Fees'!RE$23,Detail!$H:$H,'Rates-Service Fees'!RE$8)*100</f>
        <v>0</v>
      </c>
      <c r="RF29">
        <f>SUMIFS(Detail!$AW:$AW,Detail!$G:$G,'Rates-Service Fees'!RF$23,Detail!$H:$H,'Rates-Service Fees'!RF$8)*100</f>
        <v>0</v>
      </c>
      <c r="RG29">
        <f>SUMIFS(Detail!$AW:$AW,Detail!$G:$G,'Rates-Service Fees'!RG$23,Detail!$H:$H,'Rates-Service Fees'!RG$8)*100</f>
        <v>0</v>
      </c>
      <c r="RH29">
        <f>SUMIFS(Detail!$AW:$AW,Detail!$G:$G,'Rates-Service Fees'!RH$23,Detail!$H:$H,'Rates-Service Fees'!RH$8)*100</f>
        <v>0</v>
      </c>
      <c r="RI29">
        <f>SUMIFS(Detail!$AW:$AW,Detail!$G:$G,'Rates-Service Fees'!RI$23,Detail!$H:$H,'Rates-Service Fees'!RI$8)*100</f>
        <v>0</v>
      </c>
      <c r="RJ29">
        <f>SUMIFS(Detail!$AW:$AW,Detail!$G:$G,'Rates-Service Fees'!RJ$23,Detail!$H:$H,'Rates-Service Fees'!RJ$8)*100</f>
        <v>0</v>
      </c>
      <c r="RK29">
        <f>SUMIFS(Detail!$AW:$AW,Detail!$G:$G,'Rates-Service Fees'!RK$23,Detail!$H:$H,'Rates-Service Fees'!RK$8)*100</f>
        <v>0</v>
      </c>
      <c r="RL29">
        <f>SUMIFS(Detail!$AW:$AW,Detail!$G:$G,'Rates-Service Fees'!RL$23,Detail!$H:$H,'Rates-Service Fees'!RL$8)*100</f>
        <v>0</v>
      </c>
      <c r="RM29">
        <f>SUMIFS(Detail!$AW:$AW,Detail!$G:$G,'Rates-Service Fees'!RM$23,Detail!$H:$H,'Rates-Service Fees'!RM$8)*100</f>
        <v>0</v>
      </c>
      <c r="RN29">
        <f>SUMIFS(Detail!$AW:$AW,Detail!$G:$G,'Rates-Service Fees'!RN$23,Detail!$H:$H,'Rates-Service Fees'!RN$8)*100</f>
        <v>0</v>
      </c>
      <c r="RO29">
        <f>SUMIFS(Detail!$AW:$AW,Detail!$G:$G,'Rates-Service Fees'!RO$23,Detail!$H:$H,'Rates-Service Fees'!RO$8)*100</f>
        <v>0</v>
      </c>
      <c r="RP29">
        <f>SUMIFS(Detail!$AW:$AW,Detail!$G:$G,'Rates-Service Fees'!RP$23,Detail!$H:$H,'Rates-Service Fees'!RP$8)*100</f>
        <v>0</v>
      </c>
      <c r="RQ29">
        <f>SUMIFS(Detail!$AW:$AW,Detail!$G:$G,'Rates-Service Fees'!RQ$23,Detail!$H:$H,'Rates-Service Fees'!RQ$8)*100</f>
        <v>0</v>
      </c>
      <c r="RR29">
        <f>SUMIFS(Detail!$AW:$AW,Detail!$G:$G,'Rates-Service Fees'!RR$23,Detail!$H:$H,'Rates-Service Fees'!RR$8)*100</f>
        <v>0</v>
      </c>
      <c r="RS29">
        <f>SUMIFS(Detail!$AW:$AW,Detail!$G:$G,'Rates-Service Fees'!RS$23,Detail!$H:$H,'Rates-Service Fees'!RS$8)*100</f>
        <v>0</v>
      </c>
      <c r="RT29">
        <f>SUMIFS(Detail!$AW:$AW,Detail!$G:$G,'Rates-Service Fees'!RT$23,Detail!$H:$H,'Rates-Service Fees'!RT$8)*100</f>
        <v>0</v>
      </c>
      <c r="RU29">
        <f>SUMIFS(Detail!$AW:$AW,Detail!$G:$G,'Rates-Service Fees'!RU$23,Detail!$H:$H,'Rates-Service Fees'!RU$8)*100</f>
        <v>0</v>
      </c>
      <c r="RV29">
        <f>SUMIFS(Detail!$AW:$AW,Detail!$G:$G,'Rates-Service Fees'!RV$23,Detail!$H:$H,'Rates-Service Fees'!RV$8)*100</f>
        <v>0</v>
      </c>
      <c r="RW29">
        <f>SUMIFS(Detail!$AW:$AW,Detail!$G:$G,'Rates-Service Fees'!RW$23,Detail!$H:$H,'Rates-Service Fees'!RW$8)*100</f>
        <v>0</v>
      </c>
      <c r="RX29">
        <f>SUMIFS(Detail!$AW:$AW,Detail!$G:$G,'Rates-Service Fees'!RX$23,Detail!$H:$H,'Rates-Service Fees'!RX$8)*100</f>
        <v>0</v>
      </c>
      <c r="RY29">
        <f>SUMIFS(Detail!$AW:$AW,Detail!$G:$G,'Rates-Service Fees'!RY$23,Detail!$H:$H,'Rates-Service Fees'!RY$8)*100</f>
        <v>0</v>
      </c>
      <c r="RZ29">
        <f>SUMIFS(Detail!$AW:$AW,Detail!$G:$G,'Rates-Service Fees'!RZ$23,Detail!$H:$H,'Rates-Service Fees'!RZ$8)*100</f>
        <v>0</v>
      </c>
      <c r="SA29">
        <f>SUMIFS(Detail!$AW:$AW,Detail!$G:$G,'Rates-Service Fees'!SA$23,Detail!$H:$H,'Rates-Service Fees'!SA$8)*100</f>
        <v>0</v>
      </c>
      <c r="SB29">
        <f>SUMIFS(Detail!$AW:$AW,Detail!$G:$G,'Rates-Service Fees'!SB$23,Detail!$H:$H,'Rates-Service Fees'!SB$8)*100</f>
        <v>0</v>
      </c>
      <c r="SC29">
        <f>SUMIFS(Detail!$AW:$AW,Detail!$G:$G,'Rates-Service Fees'!SC$23,Detail!$H:$H,'Rates-Service Fees'!SC$8)*100</f>
        <v>0</v>
      </c>
      <c r="SD29">
        <f>SUMIFS(Detail!$AW:$AW,Detail!$G:$G,'Rates-Service Fees'!SD$23,Detail!$H:$H,'Rates-Service Fees'!SD$8)*100</f>
        <v>0</v>
      </c>
      <c r="SE29">
        <f>SUMIFS(Detail!$AW:$AW,Detail!$G:$G,'Rates-Service Fees'!SE$23,Detail!$H:$H,'Rates-Service Fees'!SE$8)*100</f>
        <v>0</v>
      </c>
      <c r="SF29">
        <f>SUMIFS(Detail!$AW:$AW,Detail!$G:$G,'Rates-Service Fees'!SF$23,Detail!$H:$H,'Rates-Service Fees'!SF$8)*100</f>
        <v>0</v>
      </c>
      <c r="SG29">
        <f>SUMIFS(Detail!$AW:$AW,Detail!$G:$G,'Rates-Service Fees'!SG$23,Detail!$H:$H,'Rates-Service Fees'!SG$8)*100</f>
        <v>0</v>
      </c>
      <c r="SH29">
        <f>SUMIFS(Detail!$AW:$AW,Detail!$G:$G,'Rates-Service Fees'!SH$23,Detail!$H:$H,'Rates-Service Fees'!SH$8)*100</f>
        <v>0</v>
      </c>
      <c r="SI29">
        <f>SUMIFS(Detail!$AW:$AW,Detail!$G:$G,'Rates-Service Fees'!SI$23,Detail!$H:$H,'Rates-Service Fees'!SI$8)*100</f>
        <v>0</v>
      </c>
      <c r="SJ29">
        <f>SUMIFS(Detail!$AW:$AW,Detail!$G:$G,'Rates-Service Fees'!SJ$23,Detail!$H:$H,'Rates-Service Fees'!SJ$8)*100</f>
        <v>0</v>
      </c>
      <c r="SK29">
        <f>SUMIFS(Detail!$AW:$AW,Detail!$G:$G,'Rates-Service Fees'!SK$23,Detail!$H:$H,'Rates-Service Fees'!SK$8)*100</f>
        <v>0</v>
      </c>
      <c r="SL29">
        <f>SUMIFS(Detail!$AW:$AW,Detail!$G:$G,'Rates-Service Fees'!SL$23,Detail!$H:$H,'Rates-Service Fees'!SL$8)*100</f>
        <v>0</v>
      </c>
      <c r="SM29">
        <f>SUMIFS(Detail!$AW:$AW,Detail!$G:$G,'Rates-Service Fees'!SM$23,Detail!$H:$H,'Rates-Service Fees'!SM$8)*100</f>
        <v>0</v>
      </c>
      <c r="SN29">
        <f>SUMIFS(Detail!$AW:$AW,Detail!$G:$G,'Rates-Service Fees'!SN$23,Detail!$H:$H,'Rates-Service Fees'!SN$8)*100</f>
        <v>0</v>
      </c>
      <c r="SO29">
        <f>SUMIFS(Detail!$AW:$AW,Detail!$G:$G,'Rates-Service Fees'!SO$23,Detail!$H:$H,'Rates-Service Fees'!SO$8)*100</f>
        <v>0</v>
      </c>
      <c r="SP29">
        <f>SUMIFS(Detail!$AW:$AW,Detail!$G:$G,'Rates-Service Fees'!SP$23,Detail!$H:$H,'Rates-Service Fees'!SP$8)*100</f>
        <v>0</v>
      </c>
      <c r="SQ29">
        <f>SUMIFS(Detail!$AW:$AW,Detail!$G:$G,'Rates-Service Fees'!SQ$23,Detail!$H:$H,'Rates-Service Fees'!SQ$8)*100</f>
        <v>0</v>
      </c>
      <c r="SR29">
        <f>SUMIFS(Detail!$AW:$AW,Detail!$G:$G,'Rates-Service Fees'!SR$23,Detail!$H:$H,'Rates-Service Fees'!SR$8)*100</f>
        <v>0</v>
      </c>
      <c r="SS29">
        <f>SUMIFS(Detail!$AW:$AW,Detail!$G:$G,'Rates-Service Fees'!SS$23,Detail!$H:$H,'Rates-Service Fees'!SS$8)*100</f>
        <v>0</v>
      </c>
      <c r="ST29">
        <f>SUMIFS(Detail!$AW:$AW,Detail!$G:$G,'Rates-Service Fees'!ST$23,Detail!$H:$H,'Rates-Service Fees'!ST$8)*100</f>
        <v>0</v>
      </c>
      <c r="SU29">
        <f>SUMIFS(Detail!$AW:$AW,Detail!$G:$G,'Rates-Service Fees'!SU$23,Detail!$H:$H,'Rates-Service Fees'!SU$8)*100</f>
        <v>0</v>
      </c>
      <c r="SV29">
        <f>SUMIFS(Detail!$AW:$AW,Detail!$G:$G,'Rates-Service Fees'!SV$23,Detail!$H:$H,'Rates-Service Fees'!SV$8)*100</f>
        <v>0</v>
      </c>
      <c r="SW29">
        <f>SUMIFS(Detail!$AW:$AW,Detail!$G:$G,'Rates-Service Fees'!SW$23,Detail!$H:$H,'Rates-Service Fees'!SW$8)*100</f>
        <v>0</v>
      </c>
      <c r="SX29">
        <f>SUMIFS(Detail!$AW:$AW,Detail!$G:$G,'Rates-Service Fees'!SX$23,Detail!$H:$H,'Rates-Service Fees'!SX$8)*100</f>
        <v>0</v>
      </c>
      <c r="SY29">
        <f>SUMIFS(Detail!$AW:$AW,Detail!$G:$G,'Rates-Service Fees'!SY$23,Detail!$H:$H,'Rates-Service Fees'!SY$8)*100</f>
        <v>0</v>
      </c>
      <c r="SZ29">
        <f>SUMIFS(Detail!$AW:$AW,Detail!$G:$G,'Rates-Service Fees'!SZ$23,Detail!$H:$H,'Rates-Service Fees'!SZ$8)*100</f>
        <v>0</v>
      </c>
      <c r="TA29">
        <f>SUMIFS(Detail!$AW:$AW,Detail!$G:$G,'Rates-Service Fees'!TA$23,Detail!$H:$H,'Rates-Service Fees'!TA$8)*100</f>
        <v>0</v>
      </c>
      <c r="TB29">
        <f>SUMIFS(Detail!$AW:$AW,Detail!$G:$G,'Rates-Service Fees'!TB$23,Detail!$H:$H,'Rates-Service Fees'!TB$8)*100</f>
        <v>0</v>
      </c>
      <c r="TC29">
        <f>SUMIFS(Detail!$AW:$AW,Detail!$G:$G,'Rates-Service Fees'!TC$23,Detail!$H:$H,'Rates-Service Fees'!TC$8)*100</f>
        <v>0</v>
      </c>
      <c r="TD29">
        <f>SUMIFS(Detail!$AW:$AW,Detail!$G:$G,'Rates-Service Fees'!TD$23,Detail!$H:$H,'Rates-Service Fees'!TD$8)*100</f>
        <v>0</v>
      </c>
      <c r="TE29">
        <f>SUMIFS(Detail!$AW:$AW,Detail!$G:$G,'Rates-Service Fees'!TE$23,Detail!$H:$H,'Rates-Service Fees'!TE$8)*100</f>
        <v>0</v>
      </c>
      <c r="TF29">
        <f>SUMIFS(Detail!$AW:$AW,Detail!$G:$G,'Rates-Service Fees'!TF$23,Detail!$H:$H,'Rates-Service Fees'!TF$8)*100</f>
        <v>0</v>
      </c>
      <c r="TG29">
        <f>SUMIFS(Detail!$AW:$AW,Detail!$G:$G,'Rates-Service Fees'!TG$23,Detail!$H:$H,'Rates-Service Fees'!TG$8)*100</f>
        <v>0</v>
      </c>
      <c r="TH29">
        <f>SUMIFS(Detail!$AW:$AW,Detail!$G:$G,'Rates-Service Fees'!TH$23,Detail!$H:$H,'Rates-Service Fees'!TH$8)*100</f>
        <v>0</v>
      </c>
      <c r="TI29">
        <f>SUMIFS(Detail!$AW:$AW,Detail!$G:$G,'Rates-Service Fees'!TI$23,Detail!$H:$H,'Rates-Service Fees'!TI$8)*100</f>
        <v>0</v>
      </c>
      <c r="TJ29">
        <f>SUMIFS(Detail!$AW:$AW,Detail!$G:$G,'Rates-Service Fees'!TJ$23,Detail!$H:$H,'Rates-Service Fees'!TJ$8)*100</f>
        <v>0</v>
      </c>
      <c r="TK29">
        <f>SUMIFS(Detail!$AW:$AW,Detail!$G:$G,'Rates-Service Fees'!TK$23,Detail!$H:$H,'Rates-Service Fees'!TK$8)*100</f>
        <v>0</v>
      </c>
      <c r="TL29">
        <f>SUMIFS(Detail!$AW:$AW,Detail!$G:$G,'Rates-Service Fees'!TL$23,Detail!$H:$H,'Rates-Service Fees'!TL$8)*100</f>
        <v>0</v>
      </c>
      <c r="TM29">
        <f>SUMIFS(Detail!$AW:$AW,Detail!$G:$G,'Rates-Service Fees'!TM$23,Detail!$H:$H,'Rates-Service Fees'!TM$8)*100</f>
        <v>0</v>
      </c>
      <c r="TN29">
        <f>SUMIFS(Detail!$AW:$AW,Detail!$G:$G,'Rates-Service Fees'!TN$23,Detail!$H:$H,'Rates-Service Fees'!TN$8)*100</f>
        <v>0</v>
      </c>
      <c r="TO29">
        <f>SUMIFS(Detail!$AW:$AW,Detail!$G:$G,'Rates-Service Fees'!TO$23,Detail!$H:$H,'Rates-Service Fees'!TO$8)*100</f>
        <v>0</v>
      </c>
      <c r="TP29">
        <f>SUMIFS(Detail!$AW:$AW,Detail!$G:$G,'Rates-Service Fees'!TP$23,Detail!$H:$H,'Rates-Service Fees'!TP$8)*100</f>
        <v>0</v>
      </c>
      <c r="TQ29">
        <f>SUMIFS(Detail!$AW:$AW,Detail!$G:$G,'Rates-Service Fees'!TQ$23,Detail!$H:$H,'Rates-Service Fees'!TQ$8)*100</f>
        <v>0</v>
      </c>
      <c r="TR29">
        <f>SUMIFS(Detail!$AW:$AW,Detail!$G:$G,'Rates-Service Fees'!TR$23,Detail!$H:$H,'Rates-Service Fees'!TR$8)*100</f>
        <v>0</v>
      </c>
      <c r="TS29">
        <f>SUMIFS(Detail!$AW:$AW,Detail!$G:$G,'Rates-Service Fees'!TS$23,Detail!$H:$H,'Rates-Service Fees'!TS$8)*100</f>
        <v>0</v>
      </c>
      <c r="TT29">
        <f>SUMIFS(Detail!$AW:$AW,Detail!$G:$G,'Rates-Service Fees'!TT$23,Detail!$H:$H,'Rates-Service Fees'!TT$8)*100</f>
        <v>0</v>
      </c>
      <c r="TU29">
        <f>SUMIFS(Detail!$AW:$AW,Detail!$G:$G,'Rates-Service Fees'!TU$23,Detail!$H:$H,'Rates-Service Fees'!TU$8)*100</f>
        <v>0</v>
      </c>
      <c r="TV29">
        <f>SUMIFS(Detail!$AW:$AW,Detail!$G:$G,'Rates-Service Fees'!TV$23,Detail!$H:$H,'Rates-Service Fees'!TV$8)*100</f>
        <v>0</v>
      </c>
      <c r="TW29">
        <f>SUMIFS(Detail!$AW:$AW,Detail!$G:$G,'Rates-Service Fees'!TW$23,Detail!$H:$H,'Rates-Service Fees'!TW$8)*100</f>
        <v>0</v>
      </c>
      <c r="TX29">
        <f>SUMIFS(Detail!$AW:$AW,Detail!$G:$G,'Rates-Service Fees'!TX$23,Detail!$H:$H,'Rates-Service Fees'!TX$8)*100</f>
        <v>0</v>
      </c>
      <c r="TY29">
        <f>SUMIFS(Detail!$AW:$AW,Detail!$G:$G,'Rates-Service Fees'!TY$23,Detail!$H:$H,'Rates-Service Fees'!TY$8)*100</f>
        <v>0</v>
      </c>
      <c r="TZ29">
        <f>SUMIFS(Detail!$AW:$AW,Detail!$G:$G,'Rates-Service Fees'!TZ$23,Detail!$H:$H,'Rates-Service Fees'!TZ$8)*100</f>
        <v>0</v>
      </c>
      <c r="UA29">
        <f>SUMIFS(Detail!$AW:$AW,Detail!$G:$G,'Rates-Service Fees'!UA$23,Detail!$H:$H,'Rates-Service Fees'!UA$8)*100</f>
        <v>0</v>
      </c>
      <c r="UB29">
        <f>SUMIFS(Detail!$AW:$AW,Detail!$G:$G,'Rates-Service Fees'!UB$23,Detail!$H:$H,'Rates-Service Fees'!UB$8)*100</f>
        <v>0</v>
      </c>
      <c r="UC29">
        <f>SUMIFS(Detail!$AW:$AW,Detail!$G:$G,'Rates-Service Fees'!UC$23,Detail!$H:$H,'Rates-Service Fees'!UC$8)*100</f>
        <v>0</v>
      </c>
      <c r="UD29">
        <f>SUMIFS(Detail!$AW:$AW,Detail!$G:$G,'Rates-Service Fees'!UD$23,Detail!$H:$H,'Rates-Service Fees'!UD$8)*100</f>
        <v>0</v>
      </c>
      <c r="UE29">
        <f>SUMIFS(Detail!$AW:$AW,Detail!$G:$G,'Rates-Service Fees'!UE$23,Detail!$H:$H,'Rates-Service Fees'!UE$8)*100</f>
        <v>0</v>
      </c>
      <c r="UF29">
        <f>SUMIFS(Detail!$AW:$AW,Detail!$G:$G,'Rates-Service Fees'!UF$23,Detail!$H:$H,'Rates-Service Fees'!UF$8)*100</f>
        <v>0</v>
      </c>
      <c r="UG29">
        <f>SUMIFS(Detail!$AW:$AW,Detail!$G:$G,'Rates-Service Fees'!UG$23,Detail!$H:$H,'Rates-Service Fees'!UG$8)*100</f>
        <v>0</v>
      </c>
      <c r="UH29">
        <f>SUMIFS(Detail!$AW:$AW,Detail!$G:$G,'Rates-Service Fees'!UH$23,Detail!$H:$H,'Rates-Service Fees'!UH$8)*100</f>
        <v>0</v>
      </c>
      <c r="UI29">
        <f>SUMIFS(Detail!$AW:$AW,Detail!$G:$G,'Rates-Service Fees'!UI$23,Detail!$H:$H,'Rates-Service Fees'!UI$8)*100</f>
        <v>0</v>
      </c>
      <c r="UJ29">
        <f>SUMIFS(Detail!$AW:$AW,Detail!$G:$G,'Rates-Service Fees'!UJ$23,Detail!$H:$H,'Rates-Service Fees'!UJ$8)*100</f>
        <v>0</v>
      </c>
      <c r="UK29">
        <f>SUMIFS(Detail!$AW:$AW,Detail!$G:$G,'Rates-Service Fees'!UK$23,Detail!$H:$H,'Rates-Service Fees'!UK$8)*100</f>
        <v>0</v>
      </c>
      <c r="UL29">
        <f>SUMIFS(Detail!$AW:$AW,Detail!$G:$G,'Rates-Service Fees'!UL$23,Detail!$H:$H,'Rates-Service Fees'!UL$8)*100</f>
        <v>0</v>
      </c>
      <c r="UM29">
        <f>SUMIFS(Detail!$AW:$AW,Detail!$G:$G,'Rates-Service Fees'!UM$23,Detail!$H:$H,'Rates-Service Fees'!UM$8)*100</f>
        <v>0</v>
      </c>
      <c r="UN29">
        <f>SUMIFS(Detail!$AW:$AW,Detail!$G:$G,'Rates-Service Fees'!UN$23,Detail!$H:$H,'Rates-Service Fees'!UN$8)*100</f>
        <v>0</v>
      </c>
      <c r="UO29">
        <f>SUMIFS(Detail!$AW:$AW,Detail!$G:$G,'Rates-Service Fees'!UO$23,Detail!$H:$H,'Rates-Service Fees'!UO$8)*100</f>
        <v>0</v>
      </c>
      <c r="UP29">
        <f>SUMIFS(Detail!$AW:$AW,Detail!$G:$G,'Rates-Service Fees'!UP$23,Detail!$H:$H,'Rates-Service Fees'!UP$8)*100</f>
        <v>0</v>
      </c>
      <c r="UQ29">
        <f>SUMIFS(Detail!$AW:$AW,Detail!$G:$G,'Rates-Service Fees'!UQ$23,Detail!$H:$H,'Rates-Service Fees'!UQ$8)*100</f>
        <v>0</v>
      </c>
      <c r="UR29">
        <f>SUMIFS(Detail!$AW:$AW,Detail!$G:$G,'Rates-Service Fees'!UR$23,Detail!$H:$H,'Rates-Service Fees'!UR$8)*100</f>
        <v>0</v>
      </c>
      <c r="US29">
        <f>SUMIFS(Detail!$AW:$AW,Detail!$G:$G,'Rates-Service Fees'!US$23,Detail!$H:$H,'Rates-Service Fees'!US$8)*100</f>
        <v>0</v>
      </c>
      <c r="UT29">
        <f>SUMIFS(Detail!$AW:$AW,Detail!$G:$G,'Rates-Service Fees'!UT$23,Detail!$H:$H,'Rates-Service Fees'!UT$8)*100</f>
        <v>0</v>
      </c>
      <c r="UU29">
        <f>SUMIFS(Detail!$AW:$AW,Detail!$G:$G,'Rates-Service Fees'!UU$23,Detail!$H:$H,'Rates-Service Fees'!UU$8)*100</f>
        <v>0</v>
      </c>
      <c r="UV29">
        <f>SUMIFS(Detail!$AW:$AW,Detail!$G:$G,'Rates-Service Fees'!UV$23,Detail!$H:$H,'Rates-Service Fees'!UV$8)*100</f>
        <v>0</v>
      </c>
      <c r="UW29">
        <f>SUMIFS(Detail!$AW:$AW,Detail!$G:$G,'Rates-Service Fees'!UW$23,Detail!$H:$H,'Rates-Service Fees'!UW$8)*100</f>
        <v>0</v>
      </c>
      <c r="UX29">
        <f>SUMIFS(Detail!$AW:$AW,Detail!$G:$G,'Rates-Service Fees'!UX$23,Detail!$H:$H,'Rates-Service Fees'!UX$8)*100</f>
        <v>0</v>
      </c>
      <c r="UY29">
        <f>SUMIFS(Detail!$AW:$AW,Detail!$G:$G,'Rates-Service Fees'!UY$23,Detail!$H:$H,'Rates-Service Fees'!UY$8)*100</f>
        <v>0</v>
      </c>
      <c r="UZ29">
        <f>SUMIFS(Detail!$AW:$AW,Detail!$G:$G,'Rates-Service Fees'!UZ$23,Detail!$H:$H,'Rates-Service Fees'!UZ$8)*100</f>
        <v>0</v>
      </c>
      <c r="VA29">
        <f>SUMIFS(Detail!$AW:$AW,Detail!$G:$G,'Rates-Service Fees'!VA$23,Detail!$H:$H,'Rates-Service Fees'!VA$8)*100</f>
        <v>0</v>
      </c>
      <c r="VB29">
        <f>SUMIFS(Detail!$AW:$AW,Detail!$G:$G,'Rates-Service Fees'!VB$23,Detail!$H:$H,'Rates-Service Fees'!VB$8)*100</f>
        <v>0</v>
      </c>
      <c r="VC29">
        <f>SUMIFS(Detail!$AW:$AW,Detail!$G:$G,'Rates-Service Fees'!VC$23,Detail!$H:$H,'Rates-Service Fees'!VC$8)*100</f>
        <v>0</v>
      </c>
      <c r="VD29">
        <f>SUMIFS(Detail!$AW:$AW,Detail!$G:$G,'Rates-Service Fees'!VD$23,Detail!$H:$H,'Rates-Service Fees'!VD$8)*100</f>
        <v>0</v>
      </c>
      <c r="VE29">
        <f>SUMIFS(Detail!$AW:$AW,Detail!$G:$G,'Rates-Service Fees'!VE$23,Detail!$H:$H,'Rates-Service Fees'!VE$8)*100</f>
        <v>0</v>
      </c>
      <c r="VF29">
        <f>SUMIFS(Detail!$AW:$AW,Detail!$G:$G,'Rates-Service Fees'!VF$23,Detail!$H:$H,'Rates-Service Fees'!VF$8)*100</f>
        <v>0</v>
      </c>
      <c r="VG29">
        <f>SUMIFS(Detail!$AW:$AW,Detail!$G:$G,'Rates-Service Fees'!VG$23,Detail!$H:$H,'Rates-Service Fees'!VG$8)*100</f>
        <v>0</v>
      </c>
      <c r="VH29">
        <f>SUMIFS(Detail!$AW:$AW,Detail!$G:$G,'Rates-Service Fees'!VH$23,Detail!$H:$H,'Rates-Service Fees'!VH$8)*100</f>
        <v>0</v>
      </c>
      <c r="VI29">
        <f>SUMIFS(Detail!$AW:$AW,Detail!$G:$G,'Rates-Service Fees'!VI$23,Detail!$H:$H,'Rates-Service Fees'!VI$8)*100</f>
        <v>0</v>
      </c>
      <c r="VJ29">
        <f>SUMIFS(Detail!$AW:$AW,Detail!$G:$G,'Rates-Service Fees'!VJ$23,Detail!$H:$H,'Rates-Service Fees'!VJ$8)*100</f>
        <v>0</v>
      </c>
      <c r="VK29">
        <f>SUMIFS(Detail!$AW:$AW,Detail!$G:$G,'Rates-Service Fees'!VK$23,Detail!$H:$H,'Rates-Service Fees'!VK$8)*100</f>
        <v>0</v>
      </c>
      <c r="VL29">
        <f>SUMIFS(Detail!$AW:$AW,Detail!$G:$G,'Rates-Service Fees'!VL$23,Detail!$H:$H,'Rates-Service Fees'!VL$8)*100</f>
        <v>0</v>
      </c>
      <c r="VM29">
        <f>SUMIFS(Detail!$AW:$AW,Detail!$G:$G,'Rates-Service Fees'!VM$23,Detail!$H:$H,'Rates-Service Fees'!VM$8)*100</f>
        <v>0</v>
      </c>
      <c r="VN29">
        <f>SUMIFS(Detail!$AW:$AW,Detail!$G:$G,'Rates-Service Fees'!VN$23,Detail!$H:$H,'Rates-Service Fees'!VN$8)*100</f>
        <v>0</v>
      </c>
      <c r="VO29">
        <f>SUMIFS(Detail!$AW:$AW,Detail!$G:$G,'Rates-Service Fees'!VO$23,Detail!$H:$H,'Rates-Service Fees'!VO$8)*100</f>
        <v>0</v>
      </c>
      <c r="VP29">
        <f>SUMIFS(Detail!$AW:$AW,Detail!$G:$G,'Rates-Service Fees'!VP$23,Detail!$H:$H,'Rates-Service Fees'!VP$8)*100</f>
        <v>0</v>
      </c>
      <c r="VQ29">
        <f>SUMIFS(Detail!$AW:$AW,Detail!$G:$G,'Rates-Service Fees'!VQ$23,Detail!$H:$H,'Rates-Service Fees'!VQ$8)*100</f>
        <v>0</v>
      </c>
      <c r="VR29">
        <f>SUMIFS(Detail!$AW:$AW,Detail!$G:$G,'Rates-Service Fees'!VR$23,Detail!$H:$H,'Rates-Service Fees'!VR$8)*100</f>
        <v>0</v>
      </c>
      <c r="VS29">
        <f>SUMIFS(Detail!$AW:$AW,Detail!$G:$G,'Rates-Service Fees'!VS$23,Detail!$H:$H,'Rates-Service Fees'!VS$8)*100</f>
        <v>0</v>
      </c>
      <c r="VT29">
        <f>SUMIFS(Detail!$AW:$AW,Detail!$G:$G,'Rates-Service Fees'!VT$23,Detail!$H:$H,'Rates-Service Fees'!VT$8)*100</f>
        <v>0</v>
      </c>
      <c r="VU29">
        <f>SUMIFS(Detail!$AW:$AW,Detail!$G:$G,'Rates-Service Fees'!VU$23,Detail!$H:$H,'Rates-Service Fees'!VU$8)*100</f>
        <v>0</v>
      </c>
      <c r="VV29">
        <f>SUMIFS(Detail!$AW:$AW,Detail!$G:$G,'Rates-Service Fees'!VV$23,Detail!$H:$H,'Rates-Service Fees'!VV$8)*100</f>
        <v>0</v>
      </c>
      <c r="VW29">
        <f>SUMIFS(Detail!$AW:$AW,Detail!$G:$G,'Rates-Service Fees'!VW$23,Detail!$H:$H,'Rates-Service Fees'!VW$8)*100</f>
        <v>0</v>
      </c>
      <c r="VX29">
        <f>SUMIFS(Detail!$AW:$AW,Detail!$G:$G,'Rates-Service Fees'!VX$23,Detail!$H:$H,'Rates-Service Fees'!VX$8)*100</f>
        <v>0</v>
      </c>
      <c r="VY29">
        <f>SUMIFS(Detail!$AW:$AW,Detail!$G:$G,'Rates-Service Fees'!VY$23,Detail!$H:$H,'Rates-Service Fees'!VY$8)*100</f>
        <v>0</v>
      </c>
      <c r="VZ29">
        <f>SUMIFS(Detail!$AW:$AW,Detail!$G:$G,'Rates-Service Fees'!VZ$23,Detail!$H:$H,'Rates-Service Fees'!VZ$8)*100</f>
        <v>0</v>
      </c>
      <c r="WA29">
        <f>SUMIFS(Detail!$AW:$AW,Detail!$G:$G,'Rates-Service Fees'!WA$23,Detail!$H:$H,'Rates-Service Fees'!WA$8)*100</f>
        <v>0</v>
      </c>
      <c r="WB29">
        <f>SUMIFS(Detail!$AW:$AW,Detail!$G:$G,'Rates-Service Fees'!WB$23,Detail!$H:$H,'Rates-Service Fees'!WB$8)*100</f>
        <v>0</v>
      </c>
      <c r="WC29">
        <f>SUMIFS(Detail!$AW:$AW,Detail!$G:$G,'Rates-Service Fees'!WC$23,Detail!$H:$H,'Rates-Service Fees'!WC$8)*100</f>
        <v>0</v>
      </c>
      <c r="WD29">
        <f>SUMIFS(Detail!$AW:$AW,Detail!$G:$G,'Rates-Service Fees'!WD$23,Detail!$H:$H,'Rates-Service Fees'!WD$8)*100</f>
        <v>0</v>
      </c>
      <c r="WE29">
        <f>SUMIFS(Detail!$AW:$AW,Detail!$G:$G,'Rates-Service Fees'!WE$23,Detail!$H:$H,'Rates-Service Fees'!WE$8)*100</f>
        <v>0</v>
      </c>
      <c r="WF29">
        <f>SUMIFS(Detail!$AW:$AW,Detail!$G:$G,'Rates-Service Fees'!WF$23,Detail!$H:$H,'Rates-Service Fees'!WF$8)*100</f>
        <v>0</v>
      </c>
      <c r="WG29">
        <f>SUMIFS(Detail!$AW:$AW,Detail!$G:$G,'Rates-Service Fees'!WG$23,Detail!$H:$H,'Rates-Service Fees'!WG$8)*100</f>
        <v>0</v>
      </c>
      <c r="WH29">
        <f>SUMIFS(Detail!$AW:$AW,Detail!$G:$G,'Rates-Service Fees'!WH$23,Detail!$H:$H,'Rates-Service Fees'!WH$8)*100</f>
        <v>0</v>
      </c>
      <c r="WI29">
        <f>SUMIFS(Detail!$AW:$AW,Detail!$G:$G,'Rates-Service Fees'!WI$23,Detail!$H:$H,'Rates-Service Fees'!WI$8)*100</f>
        <v>0</v>
      </c>
      <c r="WJ29">
        <f>SUMIFS(Detail!$AW:$AW,Detail!$G:$G,'Rates-Service Fees'!WJ$23,Detail!$H:$H,'Rates-Service Fees'!WJ$8)*100</f>
        <v>0</v>
      </c>
      <c r="WK29">
        <f>SUMIFS(Detail!$AW:$AW,Detail!$G:$G,'Rates-Service Fees'!WK$23,Detail!$H:$H,'Rates-Service Fees'!WK$8)*100</f>
        <v>0</v>
      </c>
      <c r="WL29">
        <f>SUMIFS(Detail!$AW:$AW,Detail!$G:$G,'Rates-Service Fees'!WL$23,Detail!$H:$H,'Rates-Service Fees'!WL$8)*100</f>
        <v>0</v>
      </c>
      <c r="WM29">
        <f>SUMIFS(Detail!$AW:$AW,Detail!$G:$G,'Rates-Service Fees'!WM$23,Detail!$H:$H,'Rates-Service Fees'!WM$8)*100</f>
        <v>0</v>
      </c>
      <c r="WN29">
        <f>SUMIFS(Detail!$AW:$AW,Detail!$G:$G,'Rates-Service Fees'!WN$23,Detail!$H:$H,'Rates-Service Fees'!WN$8)*100</f>
        <v>0</v>
      </c>
      <c r="WO29">
        <f>SUMIFS(Detail!$AW:$AW,Detail!$G:$G,'Rates-Service Fees'!WO$23,Detail!$H:$H,'Rates-Service Fees'!WO$8)*100</f>
        <v>0</v>
      </c>
      <c r="WP29">
        <f>SUMIFS(Detail!$AW:$AW,Detail!$G:$G,'Rates-Service Fees'!WP$23,Detail!$H:$H,'Rates-Service Fees'!WP$8)*100</f>
        <v>0</v>
      </c>
      <c r="WQ29">
        <f>SUMIFS(Detail!$AW:$AW,Detail!$G:$G,'Rates-Service Fees'!WQ$23,Detail!$H:$H,'Rates-Service Fees'!WQ$8)*100</f>
        <v>0</v>
      </c>
      <c r="WR29">
        <f>SUMIFS(Detail!$AW:$AW,Detail!$G:$G,'Rates-Service Fees'!WR$23,Detail!$H:$H,'Rates-Service Fees'!WR$8)*100</f>
        <v>0</v>
      </c>
      <c r="WS29">
        <f>SUMIFS(Detail!$AW:$AW,Detail!$G:$G,'Rates-Service Fees'!WS$23,Detail!$H:$H,'Rates-Service Fees'!WS$8)*100</f>
        <v>0</v>
      </c>
      <c r="WT29">
        <f>SUMIFS(Detail!$AW:$AW,Detail!$G:$G,'Rates-Service Fees'!WT$23,Detail!$H:$H,'Rates-Service Fees'!WT$8)*100</f>
        <v>0</v>
      </c>
      <c r="WU29">
        <f>SUMIFS(Detail!$AW:$AW,Detail!$G:$G,'Rates-Service Fees'!WU$23,Detail!$H:$H,'Rates-Service Fees'!WU$8)*100</f>
        <v>0</v>
      </c>
      <c r="WV29">
        <f>SUMIFS(Detail!$AW:$AW,Detail!$G:$G,'Rates-Service Fees'!WV$23,Detail!$H:$H,'Rates-Service Fees'!WV$8)*100</f>
        <v>0</v>
      </c>
      <c r="WW29">
        <f>SUMIFS(Detail!$AW:$AW,Detail!$G:$G,'Rates-Service Fees'!WW$23,Detail!$H:$H,'Rates-Service Fees'!WW$8)*100</f>
        <v>0</v>
      </c>
      <c r="WX29">
        <f>SUMIFS(Detail!$AW:$AW,Detail!$G:$G,'Rates-Service Fees'!WX$23,Detail!$H:$H,'Rates-Service Fees'!WX$8)*100</f>
        <v>0</v>
      </c>
      <c r="WY29">
        <f>SUMIFS(Detail!$AW:$AW,Detail!$G:$G,'Rates-Service Fees'!WY$23,Detail!$H:$H,'Rates-Service Fees'!WY$8)*100</f>
        <v>0</v>
      </c>
      <c r="WZ29">
        <f>SUMIFS(Detail!$AW:$AW,Detail!$G:$G,'Rates-Service Fees'!WZ$23,Detail!$H:$H,'Rates-Service Fees'!WZ$8)*100</f>
        <v>0</v>
      </c>
      <c r="XA29">
        <f>SUMIFS(Detail!$AW:$AW,Detail!$G:$G,'Rates-Service Fees'!XA$23,Detail!$H:$H,'Rates-Service Fees'!XA$8)*100</f>
        <v>0</v>
      </c>
      <c r="XB29">
        <f>SUMIFS(Detail!$AW:$AW,Detail!$G:$G,'Rates-Service Fees'!XB$23,Detail!$H:$H,'Rates-Service Fees'!XB$8)*100</f>
        <v>0</v>
      </c>
      <c r="XC29">
        <f>SUMIFS(Detail!$AW:$AW,Detail!$G:$G,'Rates-Service Fees'!XC$23,Detail!$H:$H,'Rates-Service Fees'!XC$8)*100</f>
        <v>0</v>
      </c>
      <c r="XD29">
        <f>SUMIFS(Detail!$AW:$AW,Detail!$G:$G,'Rates-Service Fees'!XD$23,Detail!$H:$H,'Rates-Service Fees'!XD$8)*100</f>
        <v>0</v>
      </c>
      <c r="XE29">
        <f>SUMIFS(Detail!$AW:$AW,Detail!$G:$G,'Rates-Service Fees'!XE$23,Detail!$H:$H,'Rates-Service Fees'!XE$8)*100</f>
        <v>0</v>
      </c>
      <c r="XF29">
        <f>SUMIFS(Detail!$AW:$AW,Detail!$G:$G,'Rates-Service Fees'!XF$23,Detail!$H:$H,'Rates-Service Fees'!XF$8)*100</f>
        <v>0</v>
      </c>
      <c r="XG29">
        <f>SUMIFS(Detail!$AW:$AW,Detail!$G:$G,'Rates-Service Fees'!XG$23,Detail!$H:$H,'Rates-Service Fees'!XG$8)*100</f>
        <v>0</v>
      </c>
      <c r="XH29">
        <f>SUMIFS(Detail!$AW:$AW,Detail!$G:$G,'Rates-Service Fees'!XH$23,Detail!$H:$H,'Rates-Service Fees'!XH$8)*100</f>
        <v>0</v>
      </c>
      <c r="XI29">
        <f>SUMIFS(Detail!$AW:$AW,Detail!$G:$G,'Rates-Service Fees'!XI$23,Detail!$H:$H,'Rates-Service Fees'!XI$8)*100</f>
        <v>0</v>
      </c>
      <c r="XJ29">
        <f>SUMIFS(Detail!$AW:$AW,Detail!$G:$G,'Rates-Service Fees'!XJ$23,Detail!$H:$H,'Rates-Service Fees'!XJ$8)*100</f>
        <v>0</v>
      </c>
      <c r="XK29">
        <f>SUMIFS(Detail!$AW:$AW,Detail!$G:$G,'Rates-Service Fees'!XK$23,Detail!$H:$H,'Rates-Service Fees'!XK$8)*100</f>
        <v>0</v>
      </c>
      <c r="XL29">
        <f>SUMIFS(Detail!$AW:$AW,Detail!$G:$G,'Rates-Service Fees'!XL$23,Detail!$H:$H,'Rates-Service Fees'!XL$8)*100</f>
        <v>0</v>
      </c>
      <c r="XM29">
        <f>SUMIFS(Detail!$AW:$AW,Detail!$G:$G,'Rates-Service Fees'!XM$23,Detail!$H:$H,'Rates-Service Fees'!XM$8)*100</f>
        <v>0</v>
      </c>
      <c r="XN29">
        <f>SUMIFS(Detail!$AW:$AW,Detail!$G:$G,'Rates-Service Fees'!XN$23,Detail!$H:$H,'Rates-Service Fees'!XN$8)*100</f>
        <v>0</v>
      </c>
      <c r="XO29">
        <f>SUMIFS(Detail!$AW:$AW,Detail!$G:$G,'Rates-Service Fees'!XO$23,Detail!$H:$H,'Rates-Service Fees'!XO$8)*100</f>
        <v>0</v>
      </c>
      <c r="XP29">
        <f>SUMIFS(Detail!$AW:$AW,Detail!$G:$G,'Rates-Service Fees'!XP$23,Detail!$H:$H,'Rates-Service Fees'!XP$8)*100</f>
        <v>0</v>
      </c>
      <c r="XQ29">
        <f>SUMIFS(Detail!$AW:$AW,Detail!$G:$G,'Rates-Service Fees'!XQ$23,Detail!$H:$H,'Rates-Service Fees'!XQ$8)*100</f>
        <v>0</v>
      </c>
      <c r="XR29">
        <f>SUMIFS(Detail!$AW:$AW,Detail!$G:$G,'Rates-Service Fees'!XR$23,Detail!$H:$H,'Rates-Service Fees'!XR$8)*100</f>
        <v>0</v>
      </c>
      <c r="XS29">
        <f>SUMIFS(Detail!$AW:$AW,Detail!$G:$G,'Rates-Service Fees'!XS$23,Detail!$H:$H,'Rates-Service Fees'!XS$8)*100</f>
        <v>0</v>
      </c>
      <c r="XT29">
        <f>SUMIFS(Detail!$AW:$AW,Detail!$G:$G,'Rates-Service Fees'!XT$23,Detail!$H:$H,'Rates-Service Fees'!XT$8)*100</f>
        <v>0</v>
      </c>
      <c r="XU29">
        <f>SUMIFS(Detail!$AW:$AW,Detail!$G:$G,'Rates-Service Fees'!XU$23,Detail!$H:$H,'Rates-Service Fees'!XU$8)*100</f>
        <v>0</v>
      </c>
      <c r="XV29">
        <f>SUMIFS(Detail!$AW:$AW,Detail!$G:$G,'Rates-Service Fees'!XV$23,Detail!$H:$H,'Rates-Service Fees'!XV$8)*100</f>
        <v>0</v>
      </c>
      <c r="XW29">
        <f>SUMIFS(Detail!$AW:$AW,Detail!$G:$G,'Rates-Service Fees'!XW$23,Detail!$H:$H,'Rates-Service Fees'!XW$8)*100</f>
        <v>0</v>
      </c>
      <c r="XX29">
        <f>SUMIFS(Detail!$AW:$AW,Detail!$G:$G,'Rates-Service Fees'!XX$23,Detail!$H:$H,'Rates-Service Fees'!XX$8)*100</f>
        <v>0</v>
      </c>
      <c r="XY29">
        <f>SUMIFS(Detail!$AW:$AW,Detail!$G:$G,'Rates-Service Fees'!XY$23,Detail!$H:$H,'Rates-Service Fees'!XY$8)*100</f>
        <v>0</v>
      </c>
      <c r="XZ29">
        <f>SUMIFS(Detail!$AW:$AW,Detail!$G:$G,'Rates-Service Fees'!XZ$23,Detail!$H:$H,'Rates-Service Fees'!XZ$8)*100</f>
        <v>0</v>
      </c>
      <c r="YA29">
        <f>SUMIFS(Detail!$AW:$AW,Detail!$G:$G,'Rates-Service Fees'!YA$23,Detail!$H:$H,'Rates-Service Fees'!YA$8)*100</f>
        <v>0</v>
      </c>
      <c r="YB29">
        <f>SUMIFS(Detail!$AW:$AW,Detail!$G:$G,'Rates-Service Fees'!YB$23,Detail!$H:$H,'Rates-Service Fees'!YB$8)*100</f>
        <v>0</v>
      </c>
      <c r="YC29">
        <f>SUMIFS(Detail!$AW:$AW,Detail!$G:$G,'Rates-Service Fees'!YC$23,Detail!$H:$H,'Rates-Service Fees'!YC$8)*100</f>
        <v>0</v>
      </c>
      <c r="YD29">
        <f>SUMIFS(Detail!$AW:$AW,Detail!$G:$G,'Rates-Service Fees'!YD$23,Detail!$H:$H,'Rates-Service Fees'!YD$8)*100</f>
        <v>0</v>
      </c>
      <c r="YE29">
        <f>SUMIFS(Detail!$AW:$AW,Detail!$G:$G,'Rates-Service Fees'!YE$23,Detail!$H:$H,'Rates-Service Fees'!YE$8)*100</f>
        <v>0</v>
      </c>
      <c r="YF29">
        <f>SUMIFS(Detail!$AW:$AW,Detail!$G:$G,'Rates-Service Fees'!YF$23,Detail!$H:$H,'Rates-Service Fees'!YF$8)*100</f>
        <v>0</v>
      </c>
      <c r="YG29">
        <f>SUMIFS(Detail!$AW:$AW,Detail!$G:$G,'Rates-Service Fees'!YG$23,Detail!$H:$H,'Rates-Service Fees'!YG$8)*100</f>
        <v>0</v>
      </c>
      <c r="YH29">
        <f>SUMIFS(Detail!$AW:$AW,Detail!$G:$G,'Rates-Service Fees'!YH$23,Detail!$H:$H,'Rates-Service Fees'!YH$8)*100</f>
        <v>0</v>
      </c>
      <c r="YI29">
        <f>SUMIFS(Detail!$AW:$AW,Detail!$G:$G,'Rates-Service Fees'!YI$23,Detail!$H:$H,'Rates-Service Fees'!YI$8)*100</f>
        <v>0</v>
      </c>
      <c r="YJ29">
        <f>SUMIFS(Detail!$AW:$AW,Detail!$G:$G,'Rates-Service Fees'!YJ$23,Detail!$H:$H,'Rates-Service Fees'!YJ$8)*100</f>
        <v>0</v>
      </c>
      <c r="YK29">
        <f>SUMIFS(Detail!$AW:$AW,Detail!$G:$G,'Rates-Service Fees'!YK$23,Detail!$H:$H,'Rates-Service Fees'!YK$8)*100</f>
        <v>0</v>
      </c>
      <c r="YL29">
        <f>SUMIFS(Detail!$AW:$AW,Detail!$G:$G,'Rates-Service Fees'!YL$23,Detail!$H:$H,'Rates-Service Fees'!YL$8)*100</f>
        <v>0</v>
      </c>
      <c r="YM29">
        <f>SUMIFS(Detail!$AW:$AW,Detail!$G:$G,'Rates-Service Fees'!YM$23,Detail!$H:$H,'Rates-Service Fees'!YM$8)*100</f>
        <v>0</v>
      </c>
      <c r="YN29">
        <f>SUMIFS(Detail!$AW:$AW,Detail!$G:$G,'Rates-Service Fees'!YN$23,Detail!$H:$H,'Rates-Service Fees'!YN$8)*100</f>
        <v>0</v>
      </c>
      <c r="YO29">
        <f>SUMIFS(Detail!$AW:$AW,Detail!$G:$G,'Rates-Service Fees'!YO$23,Detail!$H:$H,'Rates-Service Fees'!YO$8)*100</f>
        <v>0</v>
      </c>
      <c r="YP29">
        <f>SUMIFS(Detail!$AW:$AW,Detail!$G:$G,'Rates-Service Fees'!YP$23,Detail!$H:$H,'Rates-Service Fees'!YP$8)*100</f>
        <v>0</v>
      </c>
      <c r="YQ29">
        <f>SUMIFS(Detail!$AW:$AW,Detail!$G:$G,'Rates-Service Fees'!YQ$23,Detail!$H:$H,'Rates-Service Fees'!YQ$8)*100</f>
        <v>0</v>
      </c>
      <c r="YR29">
        <f>SUMIFS(Detail!$AW:$AW,Detail!$G:$G,'Rates-Service Fees'!YR$23,Detail!$H:$H,'Rates-Service Fees'!YR$8)*100</f>
        <v>0</v>
      </c>
      <c r="YS29">
        <f>SUMIFS(Detail!$AW:$AW,Detail!$G:$G,'Rates-Service Fees'!YS$23,Detail!$H:$H,'Rates-Service Fees'!YS$8)*100</f>
        <v>0</v>
      </c>
      <c r="YT29">
        <f>SUMIFS(Detail!$AW:$AW,Detail!$G:$G,'Rates-Service Fees'!YT$23,Detail!$H:$H,'Rates-Service Fees'!YT$8)*100</f>
        <v>0</v>
      </c>
      <c r="YU29">
        <f>SUMIFS(Detail!$AW:$AW,Detail!$G:$G,'Rates-Service Fees'!YU$23,Detail!$H:$H,'Rates-Service Fees'!YU$8)*100</f>
        <v>0</v>
      </c>
      <c r="YV29">
        <f>SUMIFS(Detail!$AW:$AW,Detail!$G:$G,'Rates-Service Fees'!YV$23,Detail!$H:$H,'Rates-Service Fees'!YV$8)*100</f>
        <v>0</v>
      </c>
      <c r="YW29">
        <f>SUMIFS(Detail!$AW:$AW,Detail!$G:$G,'Rates-Service Fees'!YW$23,Detail!$H:$H,'Rates-Service Fees'!YW$8)*100</f>
        <v>0</v>
      </c>
      <c r="YX29">
        <f>SUMIFS(Detail!$AW:$AW,Detail!$G:$G,'Rates-Service Fees'!YX$23,Detail!$H:$H,'Rates-Service Fees'!YX$8)*100</f>
        <v>0</v>
      </c>
      <c r="YY29">
        <f>SUMIFS(Detail!$AW:$AW,Detail!$G:$G,'Rates-Service Fees'!YY$23,Detail!$H:$H,'Rates-Service Fees'!YY$8)*100</f>
        <v>0</v>
      </c>
      <c r="YZ29">
        <f>SUMIFS(Detail!$AW:$AW,Detail!$G:$G,'Rates-Service Fees'!YZ$23,Detail!$H:$H,'Rates-Service Fees'!YZ$8)*100</f>
        <v>0</v>
      </c>
      <c r="ZA29">
        <f>SUMIFS(Detail!$AW:$AW,Detail!$G:$G,'Rates-Service Fees'!ZA$23,Detail!$H:$H,'Rates-Service Fees'!ZA$8)*100</f>
        <v>0</v>
      </c>
      <c r="ZB29">
        <f>SUMIFS(Detail!$AW:$AW,Detail!$G:$G,'Rates-Service Fees'!ZB$23,Detail!$H:$H,'Rates-Service Fees'!ZB$8)*100</f>
        <v>0</v>
      </c>
      <c r="ZC29">
        <f>SUMIFS(Detail!$AW:$AW,Detail!$G:$G,'Rates-Service Fees'!ZC$23,Detail!$H:$H,'Rates-Service Fees'!ZC$8)*100</f>
        <v>0</v>
      </c>
      <c r="ZD29">
        <f>SUMIFS(Detail!$AW:$AW,Detail!$G:$G,'Rates-Service Fees'!ZD$23,Detail!$H:$H,'Rates-Service Fees'!ZD$8)*100</f>
        <v>0</v>
      </c>
      <c r="ZE29">
        <f>SUMIFS(Detail!$AW:$AW,Detail!$G:$G,'Rates-Service Fees'!ZE$23,Detail!$H:$H,'Rates-Service Fees'!ZE$8)*100</f>
        <v>0</v>
      </c>
      <c r="ZF29">
        <f>SUMIFS(Detail!$AW:$AW,Detail!$G:$G,'Rates-Service Fees'!ZF$23,Detail!$H:$H,'Rates-Service Fees'!ZF$8)*100</f>
        <v>0</v>
      </c>
      <c r="ZG29">
        <f>SUMIFS(Detail!$AW:$AW,Detail!$G:$G,'Rates-Service Fees'!ZG$23,Detail!$H:$H,'Rates-Service Fees'!ZG$8)*100</f>
        <v>0</v>
      </c>
      <c r="ZH29">
        <f>SUMIFS(Detail!$AW:$AW,Detail!$G:$G,'Rates-Service Fees'!ZH$23,Detail!$H:$H,'Rates-Service Fees'!ZH$8)*100</f>
        <v>0</v>
      </c>
      <c r="ZI29">
        <f>SUMIFS(Detail!$AW:$AW,Detail!$G:$G,'Rates-Service Fees'!ZI$23,Detail!$H:$H,'Rates-Service Fees'!ZI$8)*100</f>
        <v>0</v>
      </c>
      <c r="ZJ29">
        <f>SUMIFS(Detail!$AW:$AW,Detail!$G:$G,'Rates-Service Fees'!ZJ$23,Detail!$H:$H,'Rates-Service Fees'!ZJ$8)*100</f>
        <v>0</v>
      </c>
      <c r="ZK29">
        <f>SUMIFS(Detail!$AW:$AW,Detail!$G:$G,'Rates-Service Fees'!ZK$23,Detail!$H:$H,'Rates-Service Fees'!ZK$8)*100</f>
        <v>0</v>
      </c>
      <c r="ZL29">
        <f>SUMIFS(Detail!$AW:$AW,Detail!$G:$G,'Rates-Service Fees'!ZL$23,Detail!$H:$H,'Rates-Service Fees'!ZL$8)*100</f>
        <v>0</v>
      </c>
      <c r="ZM29">
        <f>SUMIFS(Detail!$AW:$AW,Detail!$G:$G,'Rates-Service Fees'!ZM$23,Detail!$H:$H,'Rates-Service Fees'!ZM$8)*100</f>
        <v>0</v>
      </c>
      <c r="ZN29">
        <f>SUMIFS(Detail!$AW:$AW,Detail!$G:$G,'Rates-Service Fees'!ZN$23,Detail!$H:$H,'Rates-Service Fees'!ZN$8)*100</f>
        <v>0</v>
      </c>
      <c r="ZO29">
        <f>SUMIFS(Detail!$AW:$AW,Detail!$G:$G,'Rates-Service Fees'!ZO$23,Detail!$H:$H,'Rates-Service Fees'!ZO$8)*100</f>
        <v>0</v>
      </c>
      <c r="ZP29">
        <f>SUMIFS(Detail!$AW:$AW,Detail!$G:$G,'Rates-Service Fees'!ZP$23,Detail!$H:$H,'Rates-Service Fees'!ZP$8)*100</f>
        <v>0</v>
      </c>
      <c r="ZQ29">
        <f>SUMIFS(Detail!$AW:$AW,Detail!$G:$G,'Rates-Service Fees'!ZQ$23,Detail!$H:$H,'Rates-Service Fees'!ZQ$8)*100</f>
        <v>0</v>
      </c>
      <c r="ZR29">
        <f>SUMIFS(Detail!$AW:$AW,Detail!$G:$G,'Rates-Service Fees'!ZR$23,Detail!$H:$H,'Rates-Service Fees'!ZR$8)*100</f>
        <v>0</v>
      </c>
      <c r="ZS29">
        <f>SUMIFS(Detail!$AW:$AW,Detail!$G:$G,'Rates-Service Fees'!ZS$23,Detail!$H:$H,'Rates-Service Fees'!ZS$8)*100</f>
        <v>0</v>
      </c>
      <c r="ZT29">
        <f>SUMIFS(Detail!$AW:$AW,Detail!$G:$G,'Rates-Service Fees'!ZT$23,Detail!$H:$H,'Rates-Service Fees'!ZT$8)*100</f>
        <v>0</v>
      </c>
      <c r="ZU29">
        <f>SUMIFS(Detail!$AW:$AW,Detail!$G:$G,'Rates-Service Fees'!ZU$23,Detail!$H:$H,'Rates-Service Fees'!ZU$8)*100</f>
        <v>0</v>
      </c>
      <c r="ZV29">
        <f>SUMIFS(Detail!$AW:$AW,Detail!$G:$G,'Rates-Service Fees'!ZV$23,Detail!$H:$H,'Rates-Service Fees'!ZV$8)*100</f>
        <v>0</v>
      </c>
      <c r="ZW29">
        <f>SUMIFS(Detail!$AW:$AW,Detail!$G:$G,'Rates-Service Fees'!ZW$23,Detail!$H:$H,'Rates-Service Fees'!ZW$8)*100</f>
        <v>0</v>
      </c>
      <c r="ZX29">
        <f>SUMIFS(Detail!$AW:$AW,Detail!$G:$G,'Rates-Service Fees'!ZX$23,Detail!$H:$H,'Rates-Service Fees'!ZX$8)*100</f>
        <v>0</v>
      </c>
      <c r="ZY29">
        <f>SUMIFS(Detail!$AW:$AW,Detail!$G:$G,'Rates-Service Fees'!ZY$23,Detail!$H:$H,'Rates-Service Fees'!ZY$8)*100</f>
        <v>0</v>
      </c>
      <c r="ZZ29">
        <f>SUMIFS(Detail!$AW:$AW,Detail!$G:$G,'Rates-Service Fees'!ZZ$23,Detail!$H:$H,'Rates-Service Fees'!ZZ$8)*100</f>
        <v>0</v>
      </c>
      <c r="AAA29">
        <f>SUMIFS(Detail!$AW:$AW,Detail!$G:$G,'Rates-Service Fees'!AAA$23,Detail!$H:$H,'Rates-Service Fees'!AAA$8)*100</f>
        <v>0</v>
      </c>
      <c r="AAB29">
        <f>SUMIFS(Detail!$AW:$AW,Detail!$G:$G,'Rates-Service Fees'!AAB$23,Detail!$H:$H,'Rates-Service Fees'!AAB$8)*100</f>
        <v>0</v>
      </c>
      <c r="AAC29">
        <f>SUMIFS(Detail!$AW:$AW,Detail!$G:$G,'Rates-Service Fees'!AAC$23,Detail!$H:$H,'Rates-Service Fees'!AAC$8)*100</f>
        <v>0</v>
      </c>
      <c r="AAD29">
        <f>SUMIFS(Detail!$AW:$AW,Detail!$G:$G,'Rates-Service Fees'!AAD$23,Detail!$H:$H,'Rates-Service Fees'!AAD$8)*100</f>
        <v>0</v>
      </c>
      <c r="AAE29">
        <f>SUMIFS(Detail!$AW:$AW,Detail!$G:$G,'Rates-Service Fees'!AAE$23,Detail!$H:$H,'Rates-Service Fees'!AAE$8)*100</f>
        <v>0</v>
      </c>
      <c r="AAF29">
        <f>SUMIFS(Detail!$AW:$AW,Detail!$G:$G,'Rates-Service Fees'!AAF$23,Detail!$H:$H,'Rates-Service Fees'!AAF$8)*100</f>
        <v>0</v>
      </c>
      <c r="AAG29">
        <f>SUMIFS(Detail!$AW:$AW,Detail!$G:$G,'Rates-Service Fees'!AAG$23,Detail!$H:$H,'Rates-Service Fees'!AAG$8)*100</f>
        <v>0</v>
      </c>
      <c r="AAH29">
        <f>SUMIFS(Detail!$AW:$AW,Detail!$G:$G,'Rates-Service Fees'!AAH$23,Detail!$H:$H,'Rates-Service Fees'!AAH$8)*100</f>
        <v>0</v>
      </c>
      <c r="AAI29">
        <f>SUMIFS(Detail!$AW:$AW,Detail!$G:$G,'Rates-Service Fees'!AAI$23,Detail!$H:$H,'Rates-Service Fees'!AAI$8)*100</f>
        <v>0</v>
      </c>
      <c r="AAJ29">
        <f>SUMIFS(Detail!$AW:$AW,Detail!$G:$G,'Rates-Service Fees'!AAJ$23,Detail!$H:$H,'Rates-Service Fees'!AAJ$8)*100</f>
        <v>0</v>
      </c>
      <c r="AAK29">
        <f>SUMIFS(Detail!$AW:$AW,Detail!$G:$G,'Rates-Service Fees'!AAK$23,Detail!$H:$H,'Rates-Service Fees'!AAK$8)*100</f>
        <v>0</v>
      </c>
      <c r="AAL29">
        <f>SUMIFS(Detail!$AW:$AW,Detail!$G:$G,'Rates-Service Fees'!AAL$23,Detail!$H:$H,'Rates-Service Fees'!AAL$8)*100</f>
        <v>0</v>
      </c>
      <c r="AAM29">
        <f>SUMIFS(Detail!$AW:$AW,Detail!$G:$G,'Rates-Service Fees'!AAM$23,Detail!$H:$H,'Rates-Service Fees'!AAM$8)*100</f>
        <v>0</v>
      </c>
      <c r="AAN29">
        <f>SUMIFS(Detail!$AW:$AW,Detail!$G:$G,'Rates-Service Fees'!AAN$23,Detail!$H:$H,'Rates-Service Fees'!AAN$8)*100</f>
        <v>0</v>
      </c>
      <c r="AAO29">
        <f>SUMIFS(Detail!$AW:$AW,Detail!$G:$G,'Rates-Service Fees'!AAO$23,Detail!$H:$H,'Rates-Service Fees'!AAO$8)*100</f>
        <v>0</v>
      </c>
      <c r="AAP29">
        <f>SUMIFS(Detail!$AW:$AW,Detail!$G:$G,'Rates-Service Fees'!AAP$23,Detail!$H:$H,'Rates-Service Fees'!AAP$8)*100</f>
        <v>0</v>
      </c>
      <c r="AAQ29">
        <f>SUMIFS(Detail!$AW:$AW,Detail!$G:$G,'Rates-Service Fees'!AAQ$23,Detail!$H:$H,'Rates-Service Fees'!AAQ$8)*100</f>
        <v>0</v>
      </c>
      <c r="AAR29">
        <f>SUMIFS(Detail!$AW:$AW,Detail!$G:$G,'Rates-Service Fees'!AAR$23,Detail!$H:$H,'Rates-Service Fees'!AAR$8)*100</f>
        <v>0</v>
      </c>
      <c r="AAS29">
        <f>SUMIFS(Detail!$AW:$AW,Detail!$G:$G,'Rates-Service Fees'!AAS$23,Detail!$H:$H,'Rates-Service Fees'!AAS$8)*100</f>
        <v>0</v>
      </c>
      <c r="AAT29">
        <f>SUMIFS(Detail!$AW:$AW,Detail!$G:$G,'Rates-Service Fees'!AAT$23,Detail!$H:$H,'Rates-Service Fees'!AAT$8)*100</f>
        <v>0</v>
      </c>
      <c r="AAU29">
        <f>SUMIFS(Detail!$AW:$AW,Detail!$G:$G,'Rates-Service Fees'!AAU$23,Detail!$H:$H,'Rates-Service Fees'!AAU$8)*100</f>
        <v>0</v>
      </c>
      <c r="AAV29">
        <f>SUMIFS(Detail!$AW:$AW,Detail!$G:$G,'Rates-Service Fees'!AAV$23,Detail!$H:$H,'Rates-Service Fees'!AAV$8)*100</f>
        <v>0</v>
      </c>
      <c r="AAW29">
        <f>SUMIFS(Detail!$AW:$AW,Detail!$G:$G,'Rates-Service Fees'!AAW$23,Detail!$H:$H,'Rates-Service Fees'!AAW$8)*100</f>
        <v>0</v>
      </c>
      <c r="AAX29">
        <f>SUMIFS(Detail!$AW:$AW,Detail!$G:$G,'Rates-Service Fees'!AAX$23,Detail!$H:$H,'Rates-Service Fees'!AAX$8)*100</f>
        <v>0</v>
      </c>
      <c r="AAY29">
        <f>SUMIFS(Detail!$AW:$AW,Detail!$G:$G,'Rates-Service Fees'!AAY$23,Detail!$H:$H,'Rates-Service Fees'!AAY$8)*100</f>
        <v>0</v>
      </c>
      <c r="AAZ29">
        <f>SUMIFS(Detail!$AW:$AW,Detail!$G:$G,'Rates-Service Fees'!AAZ$23,Detail!$H:$H,'Rates-Service Fees'!AAZ$8)*100</f>
        <v>0</v>
      </c>
      <c r="ABA29">
        <f>SUMIFS(Detail!$AW:$AW,Detail!$G:$G,'Rates-Service Fees'!ABA$23,Detail!$H:$H,'Rates-Service Fees'!ABA$8)*100</f>
        <v>0</v>
      </c>
      <c r="ABB29">
        <f>SUMIFS(Detail!$AW:$AW,Detail!$G:$G,'Rates-Service Fees'!ABB$23,Detail!$H:$H,'Rates-Service Fees'!ABB$8)*100</f>
        <v>0</v>
      </c>
      <c r="ABC29">
        <f>SUMIFS(Detail!$AW:$AW,Detail!$G:$G,'Rates-Service Fees'!ABC$23,Detail!$H:$H,'Rates-Service Fees'!ABC$8)*100</f>
        <v>0</v>
      </c>
      <c r="ABD29">
        <f>SUMIFS(Detail!$AW:$AW,Detail!$G:$G,'Rates-Service Fees'!ABD$23,Detail!$H:$H,'Rates-Service Fees'!ABD$8)*100</f>
        <v>0</v>
      </c>
      <c r="ABE29">
        <f>SUMIFS(Detail!$AW:$AW,Detail!$G:$G,'Rates-Service Fees'!ABE$23,Detail!$H:$H,'Rates-Service Fees'!ABE$8)*100</f>
        <v>0</v>
      </c>
      <c r="ABF29">
        <f>SUMIFS(Detail!$AW:$AW,Detail!$G:$G,'Rates-Service Fees'!ABF$23,Detail!$H:$H,'Rates-Service Fees'!ABF$8)*100</f>
        <v>0</v>
      </c>
      <c r="ABG29">
        <f>SUMIFS(Detail!$AW:$AW,Detail!$G:$G,'Rates-Service Fees'!ABG$23,Detail!$H:$H,'Rates-Service Fees'!ABG$8)*100</f>
        <v>0</v>
      </c>
      <c r="ABH29">
        <f>SUMIFS(Detail!$AW:$AW,Detail!$G:$G,'Rates-Service Fees'!ABH$23,Detail!$H:$H,'Rates-Service Fees'!ABH$8)*100</f>
        <v>0</v>
      </c>
      <c r="ABI29">
        <f>SUMIFS(Detail!$AW:$AW,Detail!$G:$G,'Rates-Service Fees'!ABI$23,Detail!$H:$H,'Rates-Service Fees'!ABI$8)*100</f>
        <v>0</v>
      </c>
      <c r="ABJ29">
        <f>SUMIFS(Detail!$AW:$AW,Detail!$G:$G,'Rates-Service Fees'!ABJ$23,Detail!$H:$H,'Rates-Service Fees'!ABJ$8)*100</f>
        <v>0</v>
      </c>
      <c r="ABK29">
        <f>SUMIFS(Detail!$AW:$AW,Detail!$G:$G,'Rates-Service Fees'!ABK$23,Detail!$H:$H,'Rates-Service Fees'!ABK$8)*100</f>
        <v>0</v>
      </c>
      <c r="ABL29">
        <f>SUMIFS(Detail!$AW:$AW,Detail!$G:$G,'Rates-Service Fees'!ABL$23,Detail!$H:$H,'Rates-Service Fees'!ABL$8)*100</f>
        <v>0</v>
      </c>
      <c r="ABM29">
        <f>SUMIFS(Detail!$AW:$AW,Detail!$G:$G,'Rates-Service Fees'!ABM$23,Detail!$H:$H,'Rates-Service Fees'!ABM$8)*100</f>
        <v>0</v>
      </c>
      <c r="ABN29">
        <f>SUMIFS(Detail!$AW:$AW,Detail!$G:$G,'Rates-Service Fees'!ABN$23,Detail!$H:$H,'Rates-Service Fees'!ABN$8)*100</f>
        <v>0</v>
      </c>
      <c r="ABO29">
        <f>SUMIFS(Detail!$AW:$AW,Detail!$G:$G,'Rates-Service Fees'!ABO$23,Detail!$H:$H,'Rates-Service Fees'!ABO$8)*100</f>
        <v>0</v>
      </c>
      <c r="ABP29">
        <f>SUMIFS(Detail!$AW:$AW,Detail!$G:$G,'Rates-Service Fees'!ABP$23,Detail!$H:$H,'Rates-Service Fees'!ABP$8)*100</f>
        <v>0</v>
      </c>
      <c r="ABQ29">
        <f>SUMIFS(Detail!$AW:$AW,Detail!$G:$G,'Rates-Service Fees'!ABQ$23,Detail!$H:$H,'Rates-Service Fees'!ABQ$8)*100</f>
        <v>0</v>
      </c>
      <c r="ABR29">
        <f>SUMIFS(Detail!$AW:$AW,Detail!$G:$G,'Rates-Service Fees'!ABR$23,Detail!$H:$H,'Rates-Service Fees'!ABR$8)*100</f>
        <v>0</v>
      </c>
      <c r="ABS29">
        <f>SUMIFS(Detail!$AW:$AW,Detail!$G:$G,'Rates-Service Fees'!ABS$23,Detail!$H:$H,'Rates-Service Fees'!ABS$8)*100</f>
        <v>0</v>
      </c>
      <c r="ABT29">
        <f>SUMIFS(Detail!$AW:$AW,Detail!$G:$G,'Rates-Service Fees'!ABT$23,Detail!$H:$H,'Rates-Service Fees'!ABT$8)*100</f>
        <v>0</v>
      </c>
      <c r="ABU29">
        <f>SUMIFS(Detail!$AW:$AW,Detail!$G:$G,'Rates-Service Fees'!ABU$23,Detail!$H:$H,'Rates-Service Fees'!ABU$8)*100</f>
        <v>0</v>
      </c>
      <c r="ABV29">
        <f>SUMIFS(Detail!$AW:$AW,Detail!$G:$G,'Rates-Service Fees'!ABV$23,Detail!$H:$H,'Rates-Service Fees'!ABV$8)*100</f>
        <v>0</v>
      </c>
      <c r="ABW29">
        <f>SUMIFS(Detail!$AW:$AW,Detail!$G:$G,'Rates-Service Fees'!ABW$23,Detail!$H:$H,'Rates-Service Fees'!ABW$8)*100</f>
        <v>0</v>
      </c>
      <c r="ABX29">
        <f>SUMIFS(Detail!$AW:$AW,Detail!$G:$G,'Rates-Service Fees'!ABX$23,Detail!$H:$H,'Rates-Service Fees'!ABX$8)*100</f>
        <v>0</v>
      </c>
      <c r="ABY29">
        <f>SUMIFS(Detail!$AW:$AW,Detail!$G:$G,'Rates-Service Fees'!ABY$23,Detail!$H:$H,'Rates-Service Fees'!ABY$8)*100</f>
        <v>0</v>
      </c>
      <c r="ABZ29">
        <f>SUMIFS(Detail!$AW:$AW,Detail!$G:$G,'Rates-Service Fees'!ABZ$23,Detail!$H:$H,'Rates-Service Fees'!ABZ$8)*100</f>
        <v>0</v>
      </c>
      <c r="ACA29">
        <f>SUMIFS(Detail!$AW:$AW,Detail!$G:$G,'Rates-Service Fees'!ACA$23,Detail!$H:$H,'Rates-Service Fees'!ACA$8)*100</f>
        <v>0</v>
      </c>
      <c r="ACB29">
        <f>SUMIFS(Detail!$AW:$AW,Detail!$G:$G,'Rates-Service Fees'!ACB$23,Detail!$H:$H,'Rates-Service Fees'!ACB$8)*100</f>
        <v>0</v>
      </c>
      <c r="ACC29">
        <f>SUMIFS(Detail!$AW:$AW,Detail!$G:$G,'Rates-Service Fees'!ACC$23,Detail!$H:$H,'Rates-Service Fees'!ACC$8)*100</f>
        <v>0</v>
      </c>
      <c r="ACD29">
        <f>SUMIFS(Detail!$AW:$AW,Detail!$G:$G,'Rates-Service Fees'!ACD$23,Detail!$H:$H,'Rates-Service Fees'!ACD$8)*100</f>
        <v>0</v>
      </c>
      <c r="ACE29">
        <f>SUMIFS(Detail!$AW:$AW,Detail!$G:$G,'Rates-Service Fees'!ACE$23,Detail!$H:$H,'Rates-Service Fees'!ACE$8)*100</f>
        <v>0</v>
      </c>
      <c r="ACF29">
        <f>SUMIFS(Detail!$AW:$AW,Detail!$G:$G,'Rates-Service Fees'!ACF$23,Detail!$H:$H,'Rates-Service Fees'!ACF$8)*100</f>
        <v>0</v>
      </c>
      <c r="ACG29">
        <f>SUMIFS(Detail!$AW:$AW,Detail!$G:$G,'Rates-Service Fees'!ACG$23,Detail!$H:$H,'Rates-Service Fees'!ACG$8)*100</f>
        <v>0</v>
      </c>
      <c r="ACH29">
        <f>SUMIFS(Detail!$AW:$AW,Detail!$G:$G,'Rates-Service Fees'!ACH$23,Detail!$H:$H,'Rates-Service Fees'!ACH$8)*100</f>
        <v>0</v>
      </c>
      <c r="ACI29">
        <f>SUMIFS(Detail!$AW:$AW,Detail!$G:$G,'Rates-Service Fees'!ACI$23,Detail!$H:$H,'Rates-Service Fees'!ACI$8)*100</f>
        <v>0</v>
      </c>
      <c r="ACJ29">
        <f>SUMIFS(Detail!$AW:$AW,Detail!$G:$G,'Rates-Service Fees'!ACJ$23,Detail!$H:$H,'Rates-Service Fees'!ACJ$8)*100</f>
        <v>0</v>
      </c>
      <c r="ACK29">
        <f>SUMIFS(Detail!$AW:$AW,Detail!$G:$G,'Rates-Service Fees'!ACK$23,Detail!$H:$H,'Rates-Service Fees'!ACK$8)*100</f>
        <v>0</v>
      </c>
      <c r="ACL29">
        <f>SUMIFS(Detail!$AW:$AW,Detail!$G:$G,'Rates-Service Fees'!ACL$23,Detail!$H:$H,'Rates-Service Fees'!ACL$8)*100</f>
        <v>0</v>
      </c>
      <c r="ACM29">
        <f>SUMIFS(Detail!$AW:$AW,Detail!$G:$G,'Rates-Service Fees'!ACM$23,Detail!$H:$H,'Rates-Service Fees'!ACM$8)*100</f>
        <v>0</v>
      </c>
      <c r="ACN29">
        <f>SUMIFS(Detail!$AW:$AW,Detail!$G:$G,'Rates-Service Fees'!ACN$23,Detail!$H:$H,'Rates-Service Fees'!ACN$8)*100</f>
        <v>0</v>
      </c>
      <c r="ACO29">
        <f>SUMIFS(Detail!$AW:$AW,Detail!$G:$G,'Rates-Service Fees'!ACO$23,Detail!$H:$H,'Rates-Service Fees'!ACO$8)*100</f>
        <v>0</v>
      </c>
      <c r="ACP29">
        <f>SUMIFS(Detail!$AW:$AW,Detail!$G:$G,'Rates-Service Fees'!ACP$23,Detail!$H:$H,'Rates-Service Fees'!ACP$8)*100</f>
        <v>0</v>
      </c>
      <c r="ACQ29">
        <f>SUMIFS(Detail!$AW:$AW,Detail!$G:$G,'Rates-Service Fees'!ACQ$23,Detail!$H:$H,'Rates-Service Fees'!ACQ$8)*100</f>
        <v>0</v>
      </c>
      <c r="ACR29">
        <f>SUMIFS(Detail!$AW:$AW,Detail!$G:$G,'Rates-Service Fees'!ACR$23,Detail!$H:$H,'Rates-Service Fees'!ACR$8)*100</f>
        <v>0</v>
      </c>
      <c r="ACS29">
        <f>SUMIFS(Detail!$AW:$AW,Detail!$G:$G,'Rates-Service Fees'!ACS$23,Detail!$H:$H,'Rates-Service Fees'!ACS$8)*100</f>
        <v>0</v>
      </c>
      <c r="ACT29">
        <f>SUMIFS(Detail!$AW:$AW,Detail!$G:$G,'Rates-Service Fees'!ACT$23,Detail!$H:$H,'Rates-Service Fees'!ACT$8)*100</f>
        <v>0</v>
      </c>
      <c r="ACU29">
        <f>SUMIFS(Detail!$AW:$AW,Detail!$G:$G,'Rates-Service Fees'!ACU$23,Detail!$H:$H,'Rates-Service Fees'!ACU$8)*100</f>
        <v>0</v>
      </c>
      <c r="ACV29">
        <f>SUMIFS(Detail!$AW:$AW,Detail!$G:$G,'Rates-Service Fees'!ACV$23,Detail!$H:$H,'Rates-Service Fees'!ACV$8)*100</f>
        <v>0</v>
      </c>
      <c r="ACW29">
        <f>SUMIFS(Detail!$AW:$AW,Detail!$G:$G,'Rates-Service Fees'!ACW$23,Detail!$H:$H,'Rates-Service Fees'!ACW$8)*100</f>
        <v>0</v>
      </c>
      <c r="ACX29">
        <f>SUMIFS(Detail!$AW:$AW,Detail!$G:$G,'Rates-Service Fees'!ACX$23,Detail!$H:$H,'Rates-Service Fees'!ACX$8)*100</f>
        <v>0</v>
      </c>
      <c r="ACY29">
        <f>SUMIFS(Detail!$AW:$AW,Detail!$G:$G,'Rates-Service Fees'!ACY$23,Detail!$H:$H,'Rates-Service Fees'!ACY$8)*100</f>
        <v>0</v>
      </c>
      <c r="ACZ29">
        <f>SUMIFS(Detail!$AW:$AW,Detail!$G:$G,'Rates-Service Fees'!ACZ$23,Detail!$H:$H,'Rates-Service Fees'!ACZ$8)*100</f>
        <v>0</v>
      </c>
      <c r="ADA29">
        <f>SUMIFS(Detail!$AW:$AW,Detail!$G:$G,'Rates-Service Fees'!ADA$23,Detail!$H:$H,'Rates-Service Fees'!ADA$8)*100</f>
        <v>0</v>
      </c>
      <c r="ADB29">
        <f>SUMIFS(Detail!$AW:$AW,Detail!$G:$G,'Rates-Service Fees'!ADB$23,Detail!$H:$H,'Rates-Service Fees'!ADB$8)*100</f>
        <v>0</v>
      </c>
      <c r="ADC29">
        <f>SUMIFS(Detail!$AW:$AW,Detail!$G:$G,'Rates-Service Fees'!ADC$23,Detail!$H:$H,'Rates-Service Fees'!ADC$8)*100</f>
        <v>0</v>
      </c>
      <c r="ADD29">
        <f>SUMIFS(Detail!$AW:$AW,Detail!$G:$G,'Rates-Service Fees'!ADD$23,Detail!$H:$H,'Rates-Service Fees'!ADD$8)*100</f>
        <v>0</v>
      </c>
      <c r="ADE29">
        <f>SUMIFS(Detail!$AW:$AW,Detail!$G:$G,'Rates-Service Fees'!ADE$23,Detail!$H:$H,'Rates-Service Fees'!ADE$8)*100</f>
        <v>0</v>
      </c>
      <c r="ADF29">
        <f>SUMIFS(Detail!$AW:$AW,Detail!$G:$G,'Rates-Service Fees'!ADF$23,Detail!$H:$H,'Rates-Service Fees'!ADF$8)*100</f>
        <v>0</v>
      </c>
      <c r="ADG29">
        <f>SUMIFS(Detail!$AW:$AW,Detail!$G:$G,'Rates-Service Fees'!ADG$23,Detail!$H:$H,'Rates-Service Fees'!ADG$8)*100</f>
        <v>0</v>
      </c>
      <c r="ADH29">
        <f>SUMIFS(Detail!$AW:$AW,Detail!$G:$G,'Rates-Service Fees'!ADH$23,Detail!$H:$H,'Rates-Service Fees'!ADH$8)*100</f>
        <v>0</v>
      </c>
      <c r="ADI29">
        <f>SUMIFS(Detail!$AW:$AW,Detail!$G:$G,'Rates-Service Fees'!ADI$23,Detail!$H:$H,'Rates-Service Fees'!ADI$8)*100</f>
        <v>0</v>
      </c>
      <c r="ADJ29">
        <f>SUMIFS(Detail!$AW:$AW,Detail!$G:$G,'Rates-Service Fees'!ADJ$23,Detail!$H:$H,'Rates-Service Fees'!ADJ$8)*100</f>
        <v>0</v>
      </c>
      <c r="ADK29">
        <f>SUMIFS(Detail!$AW:$AW,Detail!$G:$G,'Rates-Service Fees'!ADK$23,Detail!$H:$H,'Rates-Service Fees'!ADK$8)*100</f>
        <v>0</v>
      </c>
      <c r="ADL29">
        <f>SUMIFS(Detail!$AW:$AW,Detail!$G:$G,'Rates-Service Fees'!ADL$23,Detail!$H:$H,'Rates-Service Fees'!ADL$8)*100</f>
        <v>0</v>
      </c>
      <c r="ADM29">
        <f>SUMIFS(Detail!$AW:$AW,Detail!$G:$G,'Rates-Service Fees'!ADM$23,Detail!$H:$H,'Rates-Service Fees'!ADM$8)*100</f>
        <v>0</v>
      </c>
      <c r="ADN29">
        <f>SUMIFS(Detail!$AW:$AW,Detail!$G:$G,'Rates-Service Fees'!ADN$23,Detail!$H:$H,'Rates-Service Fees'!ADN$8)*100</f>
        <v>0</v>
      </c>
      <c r="ADO29">
        <f>SUMIFS(Detail!$AW:$AW,Detail!$G:$G,'Rates-Service Fees'!ADO$23,Detail!$H:$H,'Rates-Service Fees'!ADO$8)*100</f>
        <v>0</v>
      </c>
      <c r="ADP29">
        <f>SUMIFS(Detail!$AW:$AW,Detail!$G:$G,'Rates-Service Fees'!ADP$23,Detail!$H:$H,'Rates-Service Fees'!ADP$8)*100</f>
        <v>0</v>
      </c>
      <c r="ADQ29">
        <f>SUMIFS(Detail!$AW:$AW,Detail!$G:$G,'Rates-Service Fees'!ADQ$23,Detail!$H:$H,'Rates-Service Fees'!ADQ$8)*100</f>
        <v>0</v>
      </c>
      <c r="ADR29">
        <f>SUMIFS(Detail!$AW:$AW,Detail!$G:$G,'Rates-Service Fees'!ADR$23,Detail!$H:$H,'Rates-Service Fees'!ADR$8)*100</f>
        <v>0</v>
      </c>
      <c r="ADS29">
        <f>SUMIFS(Detail!$AW:$AW,Detail!$G:$G,'Rates-Service Fees'!ADS$23,Detail!$H:$H,'Rates-Service Fees'!ADS$8)*100</f>
        <v>0</v>
      </c>
      <c r="ADT29">
        <f>SUMIFS(Detail!$AW:$AW,Detail!$G:$G,'Rates-Service Fees'!ADT$23,Detail!$H:$H,'Rates-Service Fees'!ADT$8)*100</f>
        <v>0</v>
      </c>
      <c r="ADU29">
        <f>SUMIFS(Detail!$AW:$AW,Detail!$G:$G,'Rates-Service Fees'!ADU$23,Detail!$H:$H,'Rates-Service Fees'!ADU$8)*100</f>
        <v>0</v>
      </c>
      <c r="ADV29">
        <f>SUMIFS(Detail!$AW:$AW,Detail!$G:$G,'Rates-Service Fees'!ADV$23,Detail!$H:$H,'Rates-Service Fees'!ADV$8)*100</f>
        <v>0</v>
      </c>
      <c r="ADW29">
        <f>SUMIFS(Detail!$AW:$AW,Detail!$G:$G,'Rates-Service Fees'!ADW$23,Detail!$H:$H,'Rates-Service Fees'!ADW$8)*100</f>
        <v>0</v>
      </c>
      <c r="ADX29">
        <f>SUMIFS(Detail!$AW:$AW,Detail!$G:$G,'Rates-Service Fees'!ADX$23,Detail!$H:$H,'Rates-Service Fees'!ADX$8)*100</f>
        <v>0</v>
      </c>
      <c r="ADY29">
        <f>SUMIFS(Detail!$AW:$AW,Detail!$G:$G,'Rates-Service Fees'!ADY$23,Detail!$H:$H,'Rates-Service Fees'!ADY$8)*100</f>
        <v>0</v>
      </c>
      <c r="ADZ29">
        <f>SUMIFS(Detail!$AW:$AW,Detail!$G:$G,'Rates-Service Fees'!ADZ$23,Detail!$H:$H,'Rates-Service Fees'!ADZ$8)*100</f>
        <v>0</v>
      </c>
      <c r="AEA29">
        <f>SUMIFS(Detail!$AW:$AW,Detail!$G:$G,'Rates-Service Fees'!AEA$23,Detail!$H:$H,'Rates-Service Fees'!AEA$8)*100</f>
        <v>0</v>
      </c>
      <c r="AEB29">
        <f>SUMIFS(Detail!$AW:$AW,Detail!$G:$G,'Rates-Service Fees'!AEB$23,Detail!$H:$H,'Rates-Service Fees'!AEB$8)*100</f>
        <v>0</v>
      </c>
      <c r="AEC29">
        <f>SUMIFS(Detail!$AW:$AW,Detail!$G:$G,'Rates-Service Fees'!AEC$23,Detail!$H:$H,'Rates-Service Fees'!AEC$8)*100</f>
        <v>0</v>
      </c>
      <c r="AED29">
        <f>SUMIFS(Detail!$AW:$AW,Detail!$G:$G,'Rates-Service Fees'!AED$23,Detail!$H:$H,'Rates-Service Fees'!AED$8)*100</f>
        <v>0</v>
      </c>
      <c r="AEE29">
        <f>SUMIFS(Detail!$AW:$AW,Detail!$G:$G,'Rates-Service Fees'!AEE$23,Detail!$H:$H,'Rates-Service Fees'!AEE$8)*100</f>
        <v>0</v>
      </c>
      <c r="AEF29">
        <f>SUMIFS(Detail!$AW:$AW,Detail!$G:$G,'Rates-Service Fees'!AEF$23,Detail!$H:$H,'Rates-Service Fees'!AEF$8)*100</f>
        <v>0</v>
      </c>
      <c r="AEG29">
        <f>SUMIFS(Detail!$AW:$AW,Detail!$G:$G,'Rates-Service Fees'!AEG$23,Detail!$H:$H,'Rates-Service Fees'!AEG$8)*100</f>
        <v>0</v>
      </c>
      <c r="AEH29">
        <f>SUMIFS(Detail!$AW:$AW,Detail!$G:$G,'Rates-Service Fees'!AEH$23,Detail!$H:$H,'Rates-Service Fees'!AEH$8)*100</f>
        <v>0</v>
      </c>
      <c r="AEI29">
        <f>SUMIFS(Detail!$AW:$AW,Detail!$G:$G,'Rates-Service Fees'!AEI$23,Detail!$H:$H,'Rates-Service Fees'!AEI$8)*100</f>
        <v>0</v>
      </c>
      <c r="AEJ29">
        <f>SUMIFS(Detail!$AW:$AW,Detail!$G:$G,'Rates-Service Fees'!AEJ$23,Detail!$H:$H,'Rates-Service Fees'!AEJ$8)*100</f>
        <v>0</v>
      </c>
      <c r="AEK29">
        <f>SUMIFS(Detail!$AW:$AW,Detail!$G:$G,'Rates-Service Fees'!AEK$23,Detail!$H:$H,'Rates-Service Fees'!AEK$8)*100</f>
        <v>0</v>
      </c>
      <c r="AEL29">
        <f>SUMIFS(Detail!$AW:$AW,Detail!$G:$G,'Rates-Service Fees'!AEL$23,Detail!$H:$H,'Rates-Service Fees'!AEL$8)*100</f>
        <v>0</v>
      </c>
      <c r="AEM29">
        <f>SUMIFS(Detail!$AW:$AW,Detail!$G:$G,'Rates-Service Fees'!AEM$23,Detail!$H:$H,'Rates-Service Fees'!AEM$8)*100</f>
        <v>0</v>
      </c>
      <c r="AEN29">
        <f>SUMIFS(Detail!$AW:$AW,Detail!$G:$G,'Rates-Service Fees'!AEN$23,Detail!$H:$H,'Rates-Service Fees'!AEN$8)*100</f>
        <v>0</v>
      </c>
      <c r="AEO29">
        <f>SUMIFS(Detail!$AW:$AW,Detail!$G:$G,'Rates-Service Fees'!AEO$23,Detail!$H:$H,'Rates-Service Fees'!AEO$8)*100</f>
        <v>0</v>
      </c>
      <c r="AEP29">
        <f>SUMIFS(Detail!$AW:$AW,Detail!$G:$G,'Rates-Service Fees'!AEP$23,Detail!$H:$H,'Rates-Service Fees'!AEP$8)*100</f>
        <v>0</v>
      </c>
      <c r="AEQ29">
        <f>SUMIFS(Detail!$AW:$AW,Detail!$G:$G,'Rates-Service Fees'!AEQ$23,Detail!$H:$H,'Rates-Service Fees'!AEQ$8)*100</f>
        <v>0</v>
      </c>
      <c r="AER29">
        <f>SUMIFS(Detail!$AW:$AW,Detail!$G:$G,'Rates-Service Fees'!AER$23,Detail!$H:$H,'Rates-Service Fees'!AER$8)*100</f>
        <v>0</v>
      </c>
      <c r="AES29">
        <f>SUMIFS(Detail!$AW:$AW,Detail!$G:$G,'Rates-Service Fees'!AES$23,Detail!$H:$H,'Rates-Service Fees'!AES$8)*100</f>
        <v>0</v>
      </c>
      <c r="AET29">
        <f>SUMIFS(Detail!$AW:$AW,Detail!$G:$G,'Rates-Service Fees'!AET$23,Detail!$H:$H,'Rates-Service Fees'!AET$8)*100</f>
        <v>0</v>
      </c>
      <c r="AEU29">
        <f>SUMIFS(Detail!$AW:$AW,Detail!$G:$G,'Rates-Service Fees'!AEU$23,Detail!$H:$H,'Rates-Service Fees'!AEU$8)*100</f>
        <v>0</v>
      </c>
      <c r="AEV29">
        <f>SUMIFS(Detail!$AW:$AW,Detail!$G:$G,'Rates-Service Fees'!AEV$23,Detail!$H:$H,'Rates-Service Fees'!AEV$8)*100</f>
        <v>0</v>
      </c>
      <c r="AEW29">
        <f>SUMIFS(Detail!$AW:$AW,Detail!$G:$G,'Rates-Service Fees'!AEW$23,Detail!$H:$H,'Rates-Service Fees'!AEW$8)*100</f>
        <v>0</v>
      </c>
      <c r="AEX29">
        <f>SUMIFS(Detail!$AW:$AW,Detail!$G:$G,'Rates-Service Fees'!AEX$23,Detail!$H:$H,'Rates-Service Fees'!AEX$8)*100</f>
        <v>0</v>
      </c>
      <c r="AEY29">
        <f>SUMIFS(Detail!$AW:$AW,Detail!$G:$G,'Rates-Service Fees'!AEY$23,Detail!$H:$H,'Rates-Service Fees'!AEY$8)*100</f>
        <v>0</v>
      </c>
      <c r="AEZ29">
        <f>SUMIFS(Detail!$AW:$AW,Detail!$G:$G,'Rates-Service Fees'!AEZ$23,Detail!$H:$H,'Rates-Service Fees'!AEZ$8)*100</f>
        <v>0</v>
      </c>
      <c r="AFA29">
        <f>SUMIFS(Detail!$AW:$AW,Detail!$G:$G,'Rates-Service Fees'!AFA$23,Detail!$H:$H,'Rates-Service Fees'!AFA$8)*100</f>
        <v>0</v>
      </c>
      <c r="AFB29">
        <f>SUMIFS(Detail!$AW:$AW,Detail!$G:$G,'Rates-Service Fees'!AFB$23,Detail!$H:$H,'Rates-Service Fees'!AFB$8)*100</f>
        <v>0</v>
      </c>
      <c r="AFC29">
        <f>SUMIFS(Detail!$AW:$AW,Detail!$G:$G,'Rates-Service Fees'!AFC$23,Detail!$H:$H,'Rates-Service Fees'!AFC$8)*100</f>
        <v>0</v>
      </c>
      <c r="AFD29">
        <f>SUMIFS(Detail!$AW:$AW,Detail!$G:$G,'Rates-Service Fees'!AFD$23,Detail!$H:$H,'Rates-Service Fees'!AFD$8)*100</f>
        <v>0</v>
      </c>
      <c r="AFE29">
        <f>SUMIFS(Detail!$AW:$AW,Detail!$G:$G,'Rates-Service Fees'!AFE$23,Detail!$H:$H,'Rates-Service Fees'!AFE$8)*100</f>
        <v>0</v>
      </c>
      <c r="AFF29">
        <f>SUMIFS(Detail!$AW:$AW,Detail!$G:$G,'Rates-Service Fees'!AFF$23,Detail!$H:$H,'Rates-Service Fees'!AFF$8)*100</f>
        <v>0</v>
      </c>
      <c r="AFG29">
        <f>SUMIFS(Detail!$AW:$AW,Detail!$G:$G,'Rates-Service Fees'!AFG$23,Detail!$H:$H,'Rates-Service Fees'!AFG$8)*100</f>
        <v>0</v>
      </c>
      <c r="AFH29">
        <f>SUMIFS(Detail!$AW:$AW,Detail!$G:$G,'Rates-Service Fees'!AFH$23,Detail!$H:$H,'Rates-Service Fees'!AFH$8)*100</f>
        <v>0</v>
      </c>
      <c r="AFI29">
        <f>SUMIFS(Detail!$AW:$AW,Detail!$G:$G,'Rates-Service Fees'!AFI$23,Detail!$H:$H,'Rates-Service Fees'!AFI$8)*100</f>
        <v>0</v>
      </c>
      <c r="AFJ29">
        <f>SUMIFS(Detail!$AW:$AW,Detail!$G:$G,'Rates-Service Fees'!AFJ$23,Detail!$H:$H,'Rates-Service Fees'!AFJ$8)*100</f>
        <v>0</v>
      </c>
      <c r="AFK29">
        <f>SUMIFS(Detail!$AW:$AW,Detail!$G:$G,'Rates-Service Fees'!AFK$23,Detail!$H:$H,'Rates-Service Fees'!AFK$8)*100</f>
        <v>0</v>
      </c>
      <c r="AFL29">
        <f>SUMIFS(Detail!$AW:$AW,Detail!$G:$G,'Rates-Service Fees'!AFL$23,Detail!$H:$H,'Rates-Service Fees'!AFL$8)*100</f>
        <v>0</v>
      </c>
      <c r="AFM29">
        <f>SUMIFS(Detail!$AW:$AW,Detail!$G:$G,'Rates-Service Fees'!AFM$23,Detail!$H:$H,'Rates-Service Fees'!AFM$8)*100</f>
        <v>0</v>
      </c>
      <c r="AFN29">
        <f>SUMIFS(Detail!$AW:$AW,Detail!$G:$G,'Rates-Service Fees'!AFN$23,Detail!$H:$H,'Rates-Service Fees'!AFN$8)*100</f>
        <v>0</v>
      </c>
      <c r="AFO29">
        <f>SUMIFS(Detail!$AW:$AW,Detail!$G:$G,'Rates-Service Fees'!AFO$23,Detail!$H:$H,'Rates-Service Fees'!AFO$8)*100</f>
        <v>0</v>
      </c>
      <c r="AFP29">
        <f>SUMIFS(Detail!$AW:$AW,Detail!$G:$G,'Rates-Service Fees'!AFP$23,Detail!$H:$H,'Rates-Service Fees'!AFP$8)*100</f>
        <v>0</v>
      </c>
      <c r="AFQ29">
        <f>SUMIFS(Detail!$AW:$AW,Detail!$G:$G,'Rates-Service Fees'!AFQ$23,Detail!$H:$H,'Rates-Service Fees'!AFQ$8)*100</f>
        <v>0</v>
      </c>
      <c r="AFR29">
        <f>SUMIFS(Detail!$AW:$AW,Detail!$G:$G,'Rates-Service Fees'!AFR$23,Detail!$H:$H,'Rates-Service Fees'!AFR$8)*100</f>
        <v>0</v>
      </c>
      <c r="AFS29">
        <f>SUMIFS(Detail!$AW:$AW,Detail!$G:$G,'Rates-Service Fees'!AFS$23,Detail!$H:$H,'Rates-Service Fees'!AFS$8)*100</f>
        <v>0</v>
      </c>
      <c r="AFT29">
        <f>SUMIFS(Detail!$AW:$AW,Detail!$G:$G,'Rates-Service Fees'!AFT$23,Detail!$H:$H,'Rates-Service Fees'!AFT$8)*100</f>
        <v>0</v>
      </c>
      <c r="AFU29">
        <f>SUMIFS(Detail!$AW:$AW,Detail!$G:$G,'Rates-Service Fees'!AFU$23,Detail!$H:$H,'Rates-Service Fees'!AFU$8)*100</f>
        <v>0</v>
      </c>
      <c r="AFV29">
        <f>SUMIFS(Detail!$AW:$AW,Detail!$G:$G,'Rates-Service Fees'!AFV$23,Detail!$H:$H,'Rates-Service Fees'!AFV$8)*100</f>
        <v>0</v>
      </c>
      <c r="AFW29">
        <f>SUMIFS(Detail!$AW:$AW,Detail!$G:$G,'Rates-Service Fees'!AFW$23,Detail!$H:$H,'Rates-Service Fees'!AFW$8)*100</f>
        <v>0</v>
      </c>
      <c r="AFX29">
        <f>SUMIFS(Detail!$AW:$AW,Detail!$G:$G,'Rates-Service Fees'!AFX$23,Detail!$H:$H,'Rates-Service Fees'!AFX$8)*100</f>
        <v>0</v>
      </c>
      <c r="AFY29">
        <f>SUMIFS(Detail!$AW:$AW,Detail!$G:$G,'Rates-Service Fees'!AFY$23,Detail!$H:$H,'Rates-Service Fees'!AFY$8)*100</f>
        <v>0</v>
      </c>
      <c r="AFZ29">
        <f>SUMIFS(Detail!$AW:$AW,Detail!$G:$G,'Rates-Service Fees'!AFZ$23,Detail!$H:$H,'Rates-Service Fees'!AFZ$8)*100</f>
        <v>0</v>
      </c>
      <c r="AGA29">
        <f>SUMIFS(Detail!$AW:$AW,Detail!$G:$G,'Rates-Service Fees'!AGA$23,Detail!$H:$H,'Rates-Service Fees'!AGA$8)*100</f>
        <v>0</v>
      </c>
      <c r="AGB29">
        <f>SUMIFS(Detail!$AW:$AW,Detail!$G:$G,'Rates-Service Fees'!AGB$23,Detail!$H:$H,'Rates-Service Fees'!AGB$8)*100</f>
        <v>0</v>
      </c>
      <c r="AGC29">
        <f>SUMIFS(Detail!$AW:$AW,Detail!$G:$G,'Rates-Service Fees'!AGC$23,Detail!$H:$H,'Rates-Service Fees'!AGC$8)*100</f>
        <v>0</v>
      </c>
      <c r="AGD29">
        <f>SUMIFS(Detail!$AW:$AW,Detail!$G:$G,'Rates-Service Fees'!AGD$23,Detail!$H:$H,'Rates-Service Fees'!AGD$8)*100</f>
        <v>0</v>
      </c>
      <c r="AGE29">
        <f>SUMIFS(Detail!$AW:$AW,Detail!$G:$G,'Rates-Service Fees'!AGE$23,Detail!$H:$H,'Rates-Service Fees'!AGE$8)*100</f>
        <v>0</v>
      </c>
      <c r="AGF29">
        <f>SUMIFS(Detail!$AW:$AW,Detail!$G:$G,'Rates-Service Fees'!AGF$23,Detail!$H:$H,'Rates-Service Fees'!AGF$8)*100</f>
        <v>0</v>
      </c>
      <c r="AGG29">
        <f>SUMIFS(Detail!$AW:$AW,Detail!$G:$G,'Rates-Service Fees'!AGG$23,Detail!$H:$H,'Rates-Service Fees'!AGG$8)*100</f>
        <v>0</v>
      </c>
      <c r="AGH29">
        <f>SUMIFS(Detail!$AW:$AW,Detail!$G:$G,'Rates-Service Fees'!AGH$23,Detail!$H:$H,'Rates-Service Fees'!AGH$8)*100</f>
        <v>0</v>
      </c>
      <c r="AGI29">
        <f>SUMIFS(Detail!$AW:$AW,Detail!$G:$G,'Rates-Service Fees'!AGI$23,Detail!$H:$H,'Rates-Service Fees'!AGI$8)*100</f>
        <v>0</v>
      </c>
      <c r="AGJ29">
        <f>SUMIFS(Detail!$AW:$AW,Detail!$G:$G,'Rates-Service Fees'!AGJ$23,Detail!$H:$H,'Rates-Service Fees'!AGJ$8)*100</f>
        <v>0</v>
      </c>
      <c r="AGK29">
        <f>SUMIFS(Detail!$AW:$AW,Detail!$G:$G,'Rates-Service Fees'!AGK$23,Detail!$H:$H,'Rates-Service Fees'!AGK$8)*100</f>
        <v>0</v>
      </c>
      <c r="AGL29">
        <f>SUMIFS(Detail!$AW:$AW,Detail!$G:$G,'Rates-Service Fees'!AGL$23,Detail!$H:$H,'Rates-Service Fees'!AGL$8)*100</f>
        <v>0</v>
      </c>
      <c r="AGM29">
        <f>SUMIFS(Detail!$AW:$AW,Detail!$G:$G,'Rates-Service Fees'!AGM$23,Detail!$H:$H,'Rates-Service Fees'!AGM$8)*100</f>
        <v>0</v>
      </c>
      <c r="AGN29">
        <f>SUMIFS(Detail!$AW:$AW,Detail!$G:$G,'Rates-Service Fees'!AGN$23,Detail!$H:$H,'Rates-Service Fees'!AGN$8)*100</f>
        <v>0</v>
      </c>
      <c r="AGO29">
        <f>SUMIFS(Detail!$AW:$AW,Detail!$G:$G,'Rates-Service Fees'!AGO$23,Detail!$H:$H,'Rates-Service Fees'!AGO$8)*100</f>
        <v>0</v>
      </c>
      <c r="AGP29">
        <f>SUMIFS(Detail!$AW:$AW,Detail!$G:$G,'Rates-Service Fees'!AGP$23,Detail!$H:$H,'Rates-Service Fees'!AGP$8)*100</f>
        <v>0</v>
      </c>
      <c r="AGQ29">
        <f>SUMIFS(Detail!$AW:$AW,Detail!$G:$G,'Rates-Service Fees'!AGQ$23,Detail!$H:$H,'Rates-Service Fees'!AGQ$8)*100</f>
        <v>0</v>
      </c>
      <c r="AGR29">
        <f>SUMIFS(Detail!$AW:$AW,Detail!$G:$G,'Rates-Service Fees'!AGR$23,Detail!$H:$H,'Rates-Service Fees'!AGR$8)*100</f>
        <v>0</v>
      </c>
      <c r="AGS29">
        <f>SUMIFS(Detail!$AW:$AW,Detail!$G:$G,'Rates-Service Fees'!AGS$23,Detail!$H:$H,'Rates-Service Fees'!AGS$8)*100</f>
        <v>0</v>
      </c>
      <c r="AGT29">
        <f>SUMIFS(Detail!$AW:$AW,Detail!$G:$G,'Rates-Service Fees'!AGT$23,Detail!$H:$H,'Rates-Service Fees'!AGT$8)*100</f>
        <v>0</v>
      </c>
      <c r="AGU29">
        <f>SUMIFS(Detail!$AW:$AW,Detail!$G:$G,'Rates-Service Fees'!AGU$23,Detail!$H:$H,'Rates-Service Fees'!AGU$8)*100</f>
        <v>0</v>
      </c>
      <c r="AGV29">
        <f>SUMIFS(Detail!$AW:$AW,Detail!$G:$G,'Rates-Service Fees'!AGV$23,Detail!$H:$H,'Rates-Service Fees'!AGV$8)*100</f>
        <v>0</v>
      </c>
      <c r="AGW29">
        <f>SUMIFS(Detail!$AW:$AW,Detail!$G:$G,'Rates-Service Fees'!AGW$23,Detail!$H:$H,'Rates-Service Fees'!AGW$8)*100</f>
        <v>0</v>
      </c>
      <c r="AGX29">
        <f>SUMIFS(Detail!$AW:$AW,Detail!$G:$G,'Rates-Service Fees'!AGX$23,Detail!$H:$H,'Rates-Service Fees'!AGX$8)*100</f>
        <v>0</v>
      </c>
      <c r="AGY29">
        <f>SUMIFS(Detail!$AW:$AW,Detail!$G:$G,'Rates-Service Fees'!AGY$23,Detail!$H:$H,'Rates-Service Fees'!AGY$8)*100</f>
        <v>0</v>
      </c>
      <c r="AGZ29">
        <f>SUMIFS(Detail!$AW:$AW,Detail!$G:$G,'Rates-Service Fees'!AGZ$23,Detail!$H:$H,'Rates-Service Fees'!AGZ$8)*100</f>
        <v>0</v>
      </c>
      <c r="AHA29">
        <f>SUMIFS(Detail!$AW:$AW,Detail!$G:$G,'Rates-Service Fees'!AHA$23,Detail!$H:$H,'Rates-Service Fees'!AHA$8)*100</f>
        <v>0</v>
      </c>
      <c r="AHB29">
        <f>SUMIFS(Detail!$AW:$AW,Detail!$G:$G,'Rates-Service Fees'!AHB$23,Detail!$H:$H,'Rates-Service Fees'!AHB$8)*100</f>
        <v>0</v>
      </c>
      <c r="AHC29">
        <f>SUMIFS(Detail!$AW:$AW,Detail!$G:$G,'Rates-Service Fees'!AHC$23,Detail!$H:$H,'Rates-Service Fees'!AHC$8)*100</f>
        <v>0</v>
      </c>
      <c r="AHD29">
        <f>SUMIFS(Detail!$AW:$AW,Detail!$G:$G,'Rates-Service Fees'!AHD$23,Detail!$H:$H,'Rates-Service Fees'!AHD$8)*100</f>
        <v>0</v>
      </c>
      <c r="AHE29">
        <f>SUMIFS(Detail!$AW:$AW,Detail!$G:$G,'Rates-Service Fees'!AHE$23,Detail!$H:$H,'Rates-Service Fees'!AHE$8)*100</f>
        <v>0</v>
      </c>
      <c r="AHF29">
        <f>SUMIFS(Detail!$AW:$AW,Detail!$G:$G,'Rates-Service Fees'!AHF$23,Detail!$H:$H,'Rates-Service Fees'!AHF$8)*100</f>
        <v>0</v>
      </c>
      <c r="AHG29">
        <f>SUMIFS(Detail!$AW:$AW,Detail!$G:$G,'Rates-Service Fees'!AHG$23,Detail!$H:$H,'Rates-Service Fees'!AHG$8)*100</f>
        <v>0</v>
      </c>
      <c r="AHH29">
        <f>SUMIFS(Detail!$AW:$AW,Detail!$G:$G,'Rates-Service Fees'!AHH$23,Detail!$H:$H,'Rates-Service Fees'!AHH$8)*100</f>
        <v>0</v>
      </c>
      <c r="AHI29">
        <f>SUMIFS(Detail!$AW:$AW,Detail!$G:$G,'Rates-Service Fees'!AHI$23,Detail!$H:$H,'Rates-Service Fees'!AHI$8)*100</f>
        <v>0</v>
      </c>
      <c r="AHJ29">
        <f>SUMIFS(Detail!$AW:$AW,Detail!$G:$G,'Rates-Service Fees'!AHJ$23,Detail!$H:$H,'Rates-Service Fees'!AHJ$8)*100</f>
        <v>0</v>
      </c>
      <c r="AHK29">
        <f>SUMIFS(Detail!$AW:$AW,Detail!$G:$G,'Rates-Service Fees'!AHK$23,Detail!$H:$H,'Rates-Service Fees'!AHK$8)*100</f>
        <v>0</v>
      </c>
      <c r="AHL29">
        <f>SUMIFS(Detail!$AW:$AW,Detail!$G:$G,'Rates-Service Fees'!AHL$23,Detail!$H:$H,'Rates-Service Fees'!AHL$8)*100</f>
        <v>0</v>
      </c>
      <c r="AHM29">
        <f>SUMIFS(Detail!$AW:$AW,Detail!$G:$G,'Rates-Service Fees'!AHM$23,Detail!$H:$H,'Rates-Service Fees'!AHM$8)*100</f>
        <v>0</v>
      </c>
      <c r="AHN29">
        <f>SUMIFS(Detail!$AW:$AW,Detail!$G:$G,'Rates-Service Fees'!AHN$23,Detail!$H:$H,'Rates-Service Fees'!AHN$8)*100</f>
        <v>0</v>
      </c>
      <c r="AHO29">
        <f>SUMIFS(Detail!$AW:$AW,Detail!$G:$G,'Rates-Service Fees'!AHO$23,Detail!$H:$H,'Rates-Service Fees'!AHO$8)*100</f>
        <v>0</v>
      </c>
      <c r="AHP29">
        <f>SUMIFS(Detail!$AW:$AW,Detail!$G:$G,'Rates-Service Fees'!AHP$23,Detail!$H:$H,'Rates-Service Fees'!AHP$8)*100</f>
        <v>0</v>
      </c>
      <c r="AHQ29">
        <f>SUMIFS(Detail!$AW:$AW,Detail!$G:$G,'Rates-Service Fees'!AHQ$23,Detail!$H:$H,'Rates-Service Fees'!AHQ$8)*100</f>
        <v>0</v>
      </c>
      <c r="AHR29">
        <f>SUMIFS(Detail!$AW:$AW,Detail!$G:$G,'Rates-Service Fees'!AHR$23,Detail!$H:$H,'Rates-Service Fees'!AHR$8)*100</f>
        <v>0</v>
      </c>
      <c r="AHS29">
        <f>SUMIFS(Detail!$AW:$AW,Detail!$G:$G,'Rates-Service Fees'!AHS$23,Detail!$H:$H,'Rates-Service Fees'!AHS$8)*100</f>
        <v>0</v>
      </c>
      <c r="AHT29">
        <f>SUMIFS(Detail!$AW:$AW,Detail!$G:$G,'Rates-Service Fees'!AHT$23,Detail!$H:$H,'Rates-Service Fees'!AHT$8)*100</f>
        <v>0</v>
      </c>
      <c r="AHU29">
        <f>SUMIFS(Detail!$AW:$AW,Detail!$G:$G,'Rates-Service Fees'!AHU$23,Detail!$H:$H,'Rates-Service Fees'!AHU$8)*100</f>
        <v>0</v>
      </c>
      <c r="AHV29">
        <f>SUMIFS(Detail!$AW:$AW,Detail!$G:$G,'Rates-Service Fees'!AHV$23,Detail!$H:$H,'Rates-Service Fees'!AHV$8)*100</f>
        <v>0</v>
      </c>
      <c r="AHW29">
        <f>SUMIFS(Detail!$AW:$AW,Detail!$G:$G,'Rates-Service Fees'!AHW$23,Detail!$H:$H,'Rates-Service Fees'!AHW$8)*100</f>
        <v>0</v>
      </c>
      <c r="AHX29">
        <f>SUMIFS(Detail!$AW:$AW,Detail!$G:$G,'Rates-Service Fees'!AHX$23,Detail!$H:$H,'Rates-Service Fees'!AHX$8)*100</f>
        <v>0</v>
      </c>
      <c r="AHY29">
        <f>SUMIFS(Detail!$AW:$AW,Detail!$G:$G,'Rates-Service Fees'!AHY$23,Detail!$H:$H,'Rates-Service Fees'!AHY$8)*100</f>
        <v>0</v>
      </c>
      <c r="AHZ29">
        <f>SUMIFS(Detail!$AW:$AW,Detail!$G:$G,'Rates-Service Fees'!AHZ$23,Detail!$H:$H,'Rates-Service Fees'!AHZ$8)*100</f>
        <v>0</v>
      </c>
      <c r="AIA29">
        <f>SUMIFS(Detail!$AW:$AW,Detail!$G:$G,'Rates-Service Fees'!AIA$23,Detail!$H:$H,'Rates-Service Fees'!AIA$8)*100</f>
        <v>0</v>
      </c>
      <c r="AIB29">
        <f>SUMIFS(Detail!$AW:$AW,Detail!$G:$G,'Rates-Service Fees'!AIB$23,Detail!$H:$H,'Rates-Service Fees'!AIB$8)*100</f>
        <v>0</v>
      </c>
      <c r="AIC29">
        <f>SUMIFS(Detail!$AW:$AW,Detail!$G:$G,'Rates-Service Fees'!AIC$23,Detail!$H:$H,'Rates-Service Fees'!AIC$8)*100</f>
        <v>0</v>
      </c>
      <c r="AID29">
        <f>SUMIFS(Detail!$AW:$AW,Detail!$G:$G,'Rates-Service Fees'!AID$23,Detail!$H:$H,'Rates-Service Fees'!AID$8)*100</f>
        <v>0</v>
      </c>
      <c r="AIE29">
        <f>SUMIFS(Detail!$AW:$AW,Detail!$G:$G,'Rates-Service Fees'!AIE$23,Detail!$H:$H,'Rates-Service Fees'!AIE$8)*100</f>
        <v>0</v>
      </c>
      <c r="AIF29">
        <f>SUMIFS(Detail!$AW:$AW,Detail!$G:$G,'Rates-Service Fees'!AIF$23,Detail!$H:$H,'Rates-Service Fees'!AIF$8)*100</f>
        <v>0</v>
      </c>
      <c r="AIG29">
        <f>SUMIFS(Detail!$AW:$AW,Detail!$G:$G,'Rates-Service Fees'!AIG$23,Detail!$H:$H,'Rates-Service Fees'!AIG$8)*100</f>
        <v>0</v>
      </c>
      <c r="AIH29">
        <f>SUMIFS(Detail!$AW:$AW,Detail!$G:$G,'Rates-Service Fees'!AIH$23,Detail!$H:$H,'Rates-Service Fees'!AIH$8)*100</f>
        <v>0</v>
      </c>
      <c r="AII29">
        <f>SUMIFS(Detail!$AW:$AW,Detail!$G:$G,'Rates-Service Fees'!AII$23,Detail!$H:$H,'Rates-Service Fees'!AII$8)*100</f>
        <v>0</v>
      </c>
      <c r="AIJ29">
        <f>SUMIFS(Detail!$AW:$AW,Detail!$G:$G,'Rates-Service Fees'!AIJ$23,Detail!$H:$H,'Rates-Service Fees'!AIJ$8)*100</f>
        <v>0</v>
      </c>
      <c r="AIK29">
        <f>SUMIFS(Detail!$AW:$AW,Detail!$G:$G,'Rates-Service Fees'!AIK$23,Detail!$H:$H,'Rates-Service Fees'!AIK$8)*100</f>
        <v>0</v>
      </c>
      <c r="AIL29">
        <f>SUMIFS(Detail!$AW:$AW,Detail!$G:$G,'Rates-Service Fees'!AIL$23,Detail!$H:$H,'Rates-Service Fees'!AIL$8)*100</f>
        <v>0</v>
      </c>
      <c r="AIM29">
        <f>SUMIFS(Detail!$AW:$AW,Detail!$G:$G,'Rates-Service Fees'!AIM$23,Detail!$H:$H,'Rates-Service Fees'!AIM$8)*100</f>
        <v>0</v>
      </c>
      <c r="AIN29">
        <f>SUMIFS(Detail!$AW:$AW,Detail!$G:$G,'Rates-Service Fees'!AIN$23,Detail!$H:$H,'Rates-Service Fees'!AIN$8)*100</f>
        <v>0</v>
      </c>
      <c r="AIO29">
        <f>SUMIFS(Detail!$AW:$AW,Detail!$G:$G,'Rates-Service Fees'!AIO$23,Detail!$H:$H,'Rates-Service Fees'!AIO$8)*100</f>
        <v>0</v>
      </c>
      <c r="AIP29">
        <f>SUMIFS(Detail!$AW:$AW,Detail!$G:$G,'Rates-Service Fees'!AIP$23,Detail!$H:$H,'Rates-Service Fees'!AIP$8)*100</f>
        <v>0</v>
      </c>
      <c r="AIQ29">
        <f>SUMIFS(Detail!$AW:$AW,Detail!$G:$G,'Rates-Service Fees'!AIQ$23,Detail!$H:$H,'Rates-Service Fees'!AIQ$8)*100</f>
        <v>0</v>
      </c>
      <c r="AIR29">
        <f>SUMIFS(Detail!$AW:$AW,Detail!$G:$G,'Rates-Service Fees'!AIR$23,Detail!$H:$H,'Rates-Service Fees'!AIR$8)*100</f>
        <v>0</v>
      </c>
      <c r="AIS29">
        <f>SUMIFS(Detail!$AW:$AW,Detail!$G:$G,'Rates-Service Fees'!AIS$23,Detail!$H:$H,'Rates-Service Fees'!AIS$8)*100</f>
        <v>0</v>
      </c>
      <c r="AIT29">
        <f>SUMIFS(Detail!$AW:$AW,Detail!$G:$G,'Rates-Service Fees'!AIT$23,Detail!$H:$H,'Rates-Service Fees'!AIT$8)*100</f>
        <v>0</v>
      </c>
      <c r="AIU29">
        <f>SUMIFS(Detail!$AW:$AW,Detail!$G:$G,'Rates-Service Fees'!AIU$23,Detail!$H:$H,'Rates-Service Fees'!AIU$8)*100</f>
        <v>0</v>
      </c>
      <c r="AIV29">
        <f>SUMIFS(Detail!$AW:$AW,Detail!$G:$G,'Rates-Service Fees'!AIV$23,Detail!$H:$H,'Rates-Service Fees'!AIV$8)*100</f>
        <v>0</v>
      </c>
      <c r="AIW29">
        <f>SUMIFS(Detail!$AW:$AW,Detail!$G:$G,'Rates-Service Fees'!AIW$23,Detail!$H:$H,'Rates-Service Fees'!AIW$8)*100</f>
        <v>0</v>
      </c>
      <c r="AIX29">
        <f>SUMIFS(Detail!$AW:$AW,Detail!$G:$G,'Rates-Service Fees'!AIX$23,Detail!$H:$H,'Rates-Service Fees'!AIX$8)*100</f>
        <v>0</v>
      </c>
      <c r="AIY29">
        <f>SUMIFS(Detail!$AW:$AW,Detail!$G:$G,'Rates-Service Fees'!AIY$23,Detail!$H:$H,'Rates-Service Fees'!AIY$8)*100</f>
        <v>0</v>
      </c>
      <c r="AIZ29">
        <f>SUMIFS(Detail!$AW:$AW,Detail!$G:$G,'Rates-Service Fees'!AIZ$23,Detail!$H:$H,'Rates-Service Fees'!AIZ$8)*100</f>
        <v>0</v>
      </c>
      <c r="AJA29">
        <f>SUMIFS(Detail!$AW:$AW,Detail!$G:$G,'Rates-Service Fees'!AJA$23,Detail!$H:$H,'Rates-Service Fees'!AJA$8)*100</f>
        <v>0</v>
      </c>
      <c r="AJB29">
        <f>SUMIFS(Detail!$AW:$AW,Detail!$G:$G,'Rates-Service Fees'!AJB$23,Detail!$H:$H,'Rates-Service Fees'!AJB$8)*100</f>
        <v>0</v>
      </c>
      <c r="AJC29">
        <f>SUMIFS(Detail!$AW:$AW,Detail!$G:$G,'Rates-Service Fees'!AJC$23,Detail!$H:$H,'Rates-Service Fees'!AJC$8)*100</f>
        <v>0</v>
      </c>
      <c r="AJD29">
        <f>SUMIFS(Detail!$AW:$AW,Detail!$G:$G,'Rates-Service Fees'!AJD$23,Detail!$H:$H,'Rates-Service Fees'!AJD$8)*100</f>
        <v>0</v>
      </c>
      <c r="AJE29">
        <f>SUMIFS(Detail!$AW:$AW,Detail!$G:$G,'Rates-Service Fees'!AJE$23,Detail!$H:$H,'Rates-Service Fees'!AJE$8)*100</f>
        <v>0</v>
      </c>
      <c r="AJF29">
        <f>SUMIFS(Detail!$AW:$AW,Detail!$G:$G,'Rates-Service Fees'!AJF$23,Detail!$H:$H,'Rates-Service Fees'!AJF$8)*100</f>
        <v>0</v>
      </c>
      <c r="AJG29">
        <f>SUMIFS(Detail!$AW:$AW,Detail!$G:$G,'Rates-Service Fees'!AJG$23,Detail!$H:$H,'Rates-Service Fees'!AJG$8)*100</f>
        <v>0</v>
      </c>
      <c r="AJH29">
        <f>SUMIFS(Detail!$AW:$AW,Detail!$G:$G,'Rates-Service Fees'!AJH$23,Detail!$H:$H,'Rates-Service Fees'!AJH$8)*100</f>
        <v>0</v>
      </c>
      <c r="AJI29">
        <f>SUMIFS(Detail!$AW:$AW,Detail!$G:$G,'Rates-Service Fees'!AJI$23,Detail!$H:$H,'Rates-Service Fees'!AJI$8)*100</f>
        <v>0</v>
      </c>
      <c r="AJJ29">
        <f>SUMIFS(Detail!$AW:$AW,Detail!$G:$G,'Rates-Service Fees'!AJJ$23,Detail!$H:$H,'Rates-Service Fees'!AJJ$8)*100</f>
        <v>0</v>
      </c>
      <c r="AJK29">
        <f>SUMIFS(Detail!$AW:$AW,Detail!$G:$G,'Rates-Service Fees'!AJK$23,Detail!$H:$H,'Rates-Service Fees'!AJK$8)*100</f>
        <v>0</v>
      </c>
      <c r="AJL29">
        <f>SUMIFS(Detail!$AW:$AW,Detail!$G:$G,'Rates-Service Fees'!AJL$23,Detail!$H:$H,'Rates-Service Fees'!AJL$8)*100</f>
        <v>0</v>
      </c>
      <c r="AJM29">
        <f>SUMIFS(Detail!$AW:$AW,Detail!$G:$G,'Rates-Service Fees'!AJM$23,Detail!$H:$H,'Rates-Service Fees'!AJM$8)*100</f>
        <v>0</v>
      </c>
      <c r="AJN29">
        <f>SUMIFS(Detail!$AW:$AW,Detail!$G:$G,'Rates-Service Fees'!AJN$23,Detail!$H:$H,'Rates-Service Fees'!AJN$8)*100</f>
        <v>0</v>
      </c>
      <c r="AJO29">
        <f>SUMIFS(Detail!$AW:$AW,Detail!$G:$G,'Rates-Service Fees'!AJO$23,Detail!$H:$H,'Rates-Service Fees'!AJO$8)*100</f>
        <v>0</v>
      </c>
      <c r="AJP29">
        <f>SUMIFS(Detail!$AW:$AW,Detail!$G:$G,'Rates-Service Fees'!AJP$23,Detail!$H:$H,'Rates-Service Fees'!AJP$8)*100</f>
        <v>0</v>
      </c>
      <c r="AJQ29">
        <f>SUMIFS(Detail!$AW:$AW,Detail!$G:$G,'Rates-Service Fees'!AJQ$23,Detail!$H:$H,'Rates-Service Fees'!AJQ$8)*100</f>
        <v>0</v>
      </c>
      <c r="AJR29">
        <f>SUMIFS(Detail!$AW:$AW,Detail!$G:$G,'Rates-Service Fees'!AJR$23,Detail!$H:$H,'Rates-Service Fees'!AJR$8)*100</f>
        <v>0</v>
      </c>
      <c r="AJS29">
        <f>SUMIFS(Detail!$AW:$AW,Detail!$G:$G,'Rates-Service Fees'!AJS$23,Detail!$H:$H,'Rates-Service Fees'!AJS$8)*100</f>
        <v>0</v>
      </c>
      <c r="AJT29">
        <f>SUMIFS(Detail!$AW:$AW,Detail!$G:$G,'Rates-Service Fees'!AJT$23,Detail!$H:$H,'Rates-Service Fees'!AJT$8)*100</f>
        <v>0</v>
      </c>
      <c r="AJU29">
        <f>SUMIFS(Detail!$AW:$AW,Detail!$G:$G,'Rates-Service Fees'!AJU$23,Detail!$H:$H,'Rates-Service Fees'!AJU$8)*100</f>
        <v>0</v>
      </c>
      <c r="AJV29">
        <f>SUMIFS(Detail!$AW:$AW,Detail!$G:$G,'Rates-Service Fees'!AJV$23,Detail!$H:$H,'Rates-Service Fees'!AJV$8)*100</f>
        <v>0</v>
      </c>
      <c r="AJW29">
        <f>SUMIFS(Detail!$AW:$AW,Detail!$G:$G,'Rates-Service Fees'!AJW$23,Detail!$H:$H,'Rates-Service Fees'!AJW$8)*100</f>
        <v>0</v>
      </c>
      <c r="AJX29">
        <f>SUMIFS(Detail!$AW:$AW,Detail!$G:$G,'Rates-Service Fees'!AJX$23,Detail!$H:$H,'Rates-Service Fees'!AJX$8)*100</f>
        <v>0</v>
      </c>
      <c r="AJY29">
        <f>SUMIFS(Detail!$AW:$AW,Detail!$G:$G,'Rates-Service Fees'!AJY$23,Detail!$H:$H,'Rates-Service Fees'!AJY$8)*100</f>
        <v>0</v>
      </c>
      <c r="AJZ29">
        <f>SUMIFS(Detail!$AW:$AW,Detail!$G:$G,'Rates-Service Fees'!AJZ$23,Detail!$H:$H,'Rates-Service Fees'!AJZ$8)*100</f>
        <v>0</v>
      </c>
      <c r="AKA29">
        <f>SUMIFS(Detail!$AW:$AW,Detail!$G:$G,'Rates-Service Fees'!AKA$23,Detail!$H:$H,'Rates-Service Fees'!AKA$8)*100</f>
        <v>0</v>
      </c>
      <c r="AKB29">
        <f>SUMIFS(Detail!$AW:$AW,Detail!$G:$G,'Rates-Service Fees'!AKB$23,Detail!$H:$H,'Rates-Service Fees'!AKB$8)*100</f>
        <v>0</v>
      </c>
      <c r="AKC29">
        <f>SUMIFS(Detail!$AW:$AW,Detail!$G:$G,'Rates-Service Fees'!AKC$23,Detail!$H:$H,'Rates-Service Fees'!AKC$8)*100</f>
        <v>0</v>
      </c>
      <c r="AKD29">
        <f>SUMIFS(Detail!$AW:$AW,Detail!$G:$G,'Rates-Service Fees'!AKD$23,Detail!$H:$H,'Rates-Service Fees'!AKD$8)*100</f>
        <v>0</v>
      </c>
      <c r="AKE29">
        <f>SUMIFS(Detail!$AW:$AW,Detail!$G:$G,'Rates-Service Fees'!AKE$23,Detail!$H:$H,'Rates-Service Fees'!AKE$8)*100</f>
        <v>0</v>
      </c>
      <c r="AKF29">
        <f>SUMIFS(Detail!$AW:$AW,Detail!$G:$G,'Rates-Service Fees'!AKF$23,Detail!$H:$H,'Rates-Service Fees'!AKF$8)*100</f>
        <v>0</v>
      </c>
      <c r="AKG29">
        <f>SUMIFS(Detail!$AW:$AW,Detail!$G:$G,'Rates-Service Fees'!AKG$23,Detail!$H:$H,'Rates-Service Fees'!AKG$8)*100</f>
        <v>0</v>
      </c>
      <c r="AKH29">
        <f>SUMIFS(Detail!$AW:$AW,Detail!$G:$G,'Rates-Service Fees'!AKH$23,Detail!$H:$H,'Rates-Service Fees'!AKH$8)*100</f>
        <v>0</v>
      </c>
      <c r="AKI29">
        <f>SUMIFS(Detail!$AW:$AW,Detail!$G:$G,'Rates-Service Fees'!AKI$23,Detail!$H:$H,'Rates-Service Fees'!AKI$8)*100</f>
        <v>0</v>
      </c>
      <c r="AKJ29">
        <f>SUMIFS(Detail!$AW:$AW,Detail!$G:$G,'Rates-Service Fees'!AKJ$23,Detail!$H:$H,'Rates-Service Fees'!AKJ$8)*100</f>
        <v>0</v>
      </c>
      <c r="AKK29">
        <f>SUMIFS(Detail!$AW:$AW,Detail!$G:$G,'Rates-Service Fees'!AKK$23,Detail!$H:$H,'Rates-Service Fees'!AKK$8)*100</f>
        <v>0</v>
      </c>
      <c r="AKL29">
        <f>SUMIFS(Detail!$AW:$AW,Detail!$G:$G,'Rates-Service Fees'!AKL$23,Detail!$H:$H,'Rates-Service Fees'!AKL$8)*100</f>
        <v>0</v>
      </c>
      <c r="AKM29">
        <f>SUMIFS(Detail!$AW:$AW,Detail!$G:$G,'Rates-Service Fees'!AKM$23,Detail!$H:$H,'Rates-Service Fees'!AKM$8)*100</f>
        <v>0</v>
      </c>
      <c r="AKN29">
        <f>SUMIFS(Detail!$AW:$AW,Detail!$G:$G,'Rates-Service Fees'!AKN$23,Detail!$H:$H,'Rates-Service Fees'!AKN$8)*100</f>
        <v>0</v>
      </c>
      <c r="AKO29">
        <f>SUMIFS(Detail!$AW:$AW,Detail!$G:$G,'Rates-Service Fees'!AKO$23,Detail!$H:$H,'Rates-Service Fees'!AKO$8)*100</f>
        <v>0</v>
      </c>
      <c r="AKP29">
        <f>SUMIFS(Detail!$AW:$AW,Detail!$G:$G,'Rates-Service Fees'!AKP$23,Detail!$H:$H,'Rates-Service Fees'!AKP$8)*100</f>
        <v>0</v>
      </c>
      <c r="AKQ29">
        <f>SUMIFS(Detail!$AW:$AW,Detail!$G:$G,'Rates-Service Fees'!AKQ$23,Detail!$H:$H,'Rates-Service Fees'!AKQ$8)*100</f>
        <v>0</v>
      </c>
      <c r="AKR29">
        <f>SUMIFS(Detail!$AW:$AW,Detail!$G:$G,'Rates-Service Fees'!AKR$23,Detail!$H:$H,'Rates-Service Fees'!AKR$8)*100</f>
        <v>0</v>
      </c>
      <c r="AKS29">
        <f>SUMIFS(Detail!$AW:$AW,Detail!$G:$G,'Rates-Service Fees'!AKS$23,Detail!$H:$H,'Rates-Service Fees'!AKS$8)*100</f>
        <v>0</v>
      </c>
      <c r="AKT29">
        <f>SUMIFS(Detail!$AW:$AW,Detail!$G:$G,'Rates-Service Fees'!AKT$23,Detail!$H:$H,'Rates-Service Fees'!AKT$8)*100</f>
        <v>0</v>
      </c>
      <c r="AKU29">
        <f>SUMIFS(Detail!$AW:$AW,Detail!$G:$G,'Rates-Service Fees'!AKU$23,Detail!$H:$H,'Rates-Service Fees'!AKU$8)*100</f>
        <v>0</v>
      </c>
      <c r="AKV29">
        <f>SUMIFS(Detail!$AW:$AW,Detail!$G:$G,'Rates-Service Fees'!AKV$23,Detail!$H:$H,'Rates-Service Fees'!AKV$8)*100</f>
        <v>0</v>
      </c>
      <c r="AKW29">
        <f>SUMIFS(Detail!$AW:$AW,Detail!$G:$G,'Rates-Service Fees'!AKW$23,Detail!$H:$H,'Rates-Service Fees'!AKW$8)*100</f>
        <v>0</v>
      </c>
      <c r="AKX29">
        <f>SUMIFS(Detail!$AW:$AW,Detail!$G:$G,'Rates-Service Fees'!AKX$23,Detail!$H:$H,'Rates-Service Fees'!AKX$8)*100</f>
        <v>0</v>
      </c>
      <c r="AKY29">
        <f>SUMIFS(Detail!$AW:$AW,Detail!$G:$G,'Rates-Service Fees'!AKY$23,Detail!$H:$H,'Rates-Service Fees'!AKY$8)*100</f>
        <v>0</v>
      </c>
      <c r="AKZ29">
        <f>SUMIFS(Detail!$AW:$AW,Detail!$G:$G,'Rates-Service Fees'!AKZ$23,Detail!$H:$H,'Rates-Service Fees'!AKZ$8)*100</f>
        <v>0</v>
      </c>
      <c r="ALA29">
        <f>SUMIFS(Detail!$AW:$AW,Detail!$G:$G,'Rates-Service Fees'!ALA$23,Detail!$H:$H,'Rates-Service Fees'!ALA$8)*100</f>
        <v>0</v>
      </c>
      <c r="ALB29">
        <f>SUMIFS(Detail!$AW:$AW,Detail!$G:$G,'Rates-Service Fees'!ALB$23,Detail!$H:$H,'Rates-Service Fees'!ALB$8)*100</f>
        <v>0</v>
      </c>
      <c r="ALC29">
        <f>SUMIFS(Detail!$AW:$AW,Detail!$G:$G,'Rates-Service Fees'!ALC$23,Detail!$H:$H,'Rates-Service Fees'!ALC$8)*100</f>
        <v>0</v>
      </c>
      <c r="ALD29">
        <f>SUMIFS(Detail!$AW:$AW,Detail!$G:$G,'Rates-Service Fees'!ALD$23,Detail!$H:$H,'Rates-Service Fees'!ALD$8)*100</f>
        <v>0</v>
      </c>
      <c r="ALE29">
        <f>SUMIFS(Detail!$AW:$AW,Detail!$G:$G,'Rates-Service Fees'!ALE$23,Detail!$H:$H,'Rates-Service Fees'!ALE$8)*100</f>
        <v>0</v>
      </c>
      <c r="ALF29">
        <f>SUMIFS(Detail!$AW:$AW,Detail!$G:$G,'Rates-Service Fees'!ALF$23,Detail!$H:$H,'Rates-Service Fees'!ALF$8)*100</f>
        <v>0</v>
      </c>
      <c r="ALG29">
        <f>SUMIFS(Detail!$AW:$AW,Detail!$G:$G,'Rates-Service Fees'!ALG$23,Detail!$H:$H,'Rates-Service Fees'!ALG$8)*100</f>
        <v>0</v>
      </c>
      <c r="ALH29">
        <f>SUMIFS(Detail!$AW:$AW,Detail!$G:$G,'Rates-Service Fees'!ALH$23,Detail!$H:$H,'Rates-Service Fees'!ALH$8)*100</f>
        <v>0</v>
      </c>
      <c r="ALI29">
        <f>SUMIFS(Detail!$AW:$AW,Detail!$G:$G,'Rates-Service Fees'!ALI$23,Detail!$H:$H,'Rates-Service Fees'!ALI$8)*100</f>
        <v>0</v>
      </c>
      <c r="ALJ29">
        <f>SUMIFS(Detail!$AW:$AW,Detail!$G:$G,'Rates-Service Fees'!ALJ$23,Detail!$H:$H,'Rates-Service Fees'!ALJ$8)*100</f>
        <v>0</v>
      </c>
      <c r="ALK29">
        <f>SUMIFS(Detail!$AW:$AW,Detail!$G:$G,'Rates-Service Fees'!ALK$23,Detail!$H:$H,'Rates-Service Fees'!ALK$8)*100</f>
        <v>0</v>
      </c>
      <c r="ALL29">
        <f>SUMIFS(Detail!$AW:$AW,Detail!$G:$G,'Rates-Service Fees'!ALL$23,Detail!$H:$H,'Rates-Service Fees'!ALL$8)*100</f>
        <v>0</v>
      </c>
      <c r="ALM29">
        <f>SUMIFS(Detail!$AW:$AW,Detail!$G:$G,'Rates-Service Fees'!ALM$23,Detail!$H:$H,'Rates-Service Fees'!ALM$8)*100</f>
        <v>0</v>
      </c>
    </row>
    <row r="30" spans="1:1001">
      <c r="A30" s="26"/>
      <c r="B30">
        <f>B11</f>
        <v>0</v>
      </c>
      <c r="C30">
        <f t="shared" ref="C30:BN30" si="30">C11</f>
        <v>0</v>
      </c>
      <c r="D30">
        <f t="shared" si="30"/>
        <v>0</v>
      </c>
      <c r="E30">
        <f t="shared" si="30"/>
        <v>0</v>
      </c>
      <c r="F30">
        <f t="shared" si="30"/>
        <v>0</v>
      </c>
      <c r="G30">
        <f t="shared" si="30"/>
        <v>0</v>
      </c>
      <c r="H30">
        <f t="shared" si="30"/>
        <v>0</v>
      </c>
      <c r="I30">
        <f t="shared" si="30"/>
        <v>0</v>
      </c>
      <c r="J30">
        <f t="shared" si="30"/>
        <v>0</v>
      </c>
      <c r="K30">
        <f t="shared" si="30"/>
        <v>0</v>
      </c>
      <c r="L30">
        <f t="shared" si="30"/>
        <v>0</v>
      </c>
      <c r="M30">
        <f t="shared" si="30"/>
        <v>0</v>
      </c>
      <c r="N30">
        <f t="shared" si="30"/>
        <v>0</v>
      </c>
      <c r="O30">
        <f t="shared" si="30"/>
        <v>0</v>
      </c>
      <c r="P30">
        <f t="shared" si="30"/>
        <v>0</v>
      </c>
      <c r="Q30">
        <f t="shared" si="30"/>
        <v>0</v>
      </c>
      <c r="R30">
        <f t="shared" si="30"/>
        <v>0</v>
      </c>
      <c r="S30">
        <f t="shared" si="30"/>
        <v>0</v>
      </c>
      <c r="T30">
        <f t="shared" si="30"/>
        <v>0</v>
      </c>
      <c r="U30">
        <f t="shared" si="30"/>
        <v>0</v>
      </c>
      <c r="V30">
        <f t="shared" si="30"/>
        <v>0</v>
      </c>
      <c r="W30">
        <f t="shared" si="30"/>
        <v>0</v>
      </c>
      <c r="X30">
        <f t="shared" si="30"/>
        <v>0</v>
      </c>
      <c r="Y30">
        <f t="shared" si="30"/>
        <v>0</v>
      </c>
      <c r="Z30">
        <f t="shared" si="30"/>
        <v>0</v>
      </c>
      <c r="AA30">
        <f t="shared" si="30"/>
        <v>0</v>
      </c>
      <c r="AB30">
        <f t="shared" si="30"/>
        <v>0</v>
      </c>
      <c r="AC30">
        <f t="shared" si="30"/>
        <v>0</v>
      </c>
      <c r="AD30">
        <f t="shared" si="30"/>
        <v>0</v>
      </c>
      <c r="AE30">
        <f t="shared" si="30"/>
        <v>0</v>
      </c>
      <c r="AF30">
        <f t="shared" si="30"/>
        <v>0</v>
      </c>
      <c r="AG30">
        <f t="shared" si="30"/>
        <v>0</v>
      </c>
      <c r="AH30">
        <f t="shared" si="30"/>
        <v>0</v>
      </c>
      <c r="AI30">
        <f t="shared" si="30"/>
        <v>0</v>
      </c>
      <c r="AJ30">
        <f t="shared" si="30"/>
        <v>0</v>
      </c>
      <c r="AK30">
        <f t="shared" si="30"/>
        <v>0</v>
      </c>
      <c r="AL30">
        <f t="shared" si="30"/>
        <v>0</v>
      </c>
      <c r="AM30">
        <f t="shared" si="30"/>
        <v>0</v>
      </c>
      <c r="AN30">
        <f t="shared" si="30"/>
        <v>0</v>
      </c>
      <c r="AO30">
        <f t="shared" si="30"/>
        <v>0</v>
      </c>
      <c r="AP30">
        <f t="shared" si="30"/>
        <v>0</v>
      </c>
      <c r="AQ30">
        <f t="shared" si="30"/>
        <v>0</v>
      </c>
      <c r="AR30">
        <f t="shared" si="30"/>
        <v>0</v>
      </c>
      <c r="AS30">
        <f t="shared" si="30"/>
        <v>0</v>
      </c>
      <c r="AT30">
        <f t="shared" si="30"/>
        <v>0</v>
      </c>
      <c r="AU30">
        <f t="shared" si="30"/>
        <v>0</v>
      </c>
      <c r="AV30">
        <f t="shared" si="30"/>
        <v>0</v>
      </c>
      <c r="AW30">
        <f t="shared" si="30"/>
        <v>0</v>
      </c>
      <c r="AX30">
        <f t="shared" si="30"/>
        <v>0</v>
      </c>
      <c r="AY30">
        <f t="shared" si="30"/>
        <v>0</v>
      </c>
      <c r="AZ30">
        <f t="shared" si="30"/>
        <v>0</v>
      </c>
      <c r="BA30">
        <f t="shared" si="30"/>
        <v>0</v>
      </c>
      <c r="BB30">
        <f t="shared" si="30"/>
        <v>0</v>
      </c>
      <c r="BC30">
        <f t="shared" si="30"/>
        <v>0</v>
      </c>
      <c r="BD30">
        <f t="shared" si="30"/>
        <v>0</v>
      </c>
      <c r="BE30">
        <f t="shared" si="30"/>
        <v>0</v>
      </c>
      <c r="BF30">
        <f t="shared" si="30"/>
        <v>0</v>
      </c>
      <c r="BG30">
        <f t="shared" si="30"/>
        <v>0</v>
      </c>
      <c r="BH30">
        <f t="shared" si="30"/>
        <v>0</v>
      </c>
      <c r="BI30">
        <f t="shared" si="30"/>
        <v>0</v>
      </c>
      <c r="BJ30">
        <f t="shared" si="30"/>
        <v>0</v>
      </c>
      <c r="BK30">
        <f t="shared" si="30"/>
        <v>0</v>
      </c>
      <c r="BL30">
        <f t="shared" si="30"/>
        <v>0</v>
      </c>
      <c r="BM30">
        <f t="shared" si="30"/>
        <v>0</v>
      </c>
      <c r="BN30">
        <f t="shared" si="30"/>
        <v>0</v>
      </c>
      <c r="BO30">
        <f t="shared" ref="BO30:DZ30" si="31">BO11</f>
        <v>0</v>
      </c>
      <c r="BP30">
        <f t="shared" si="31"/>
        <v>0</v>
      </c>
      <c r="BQ30">
        <f t="shared" si="31"/>
        <v>0</v>
      </c>
      <c r="BR30">
        <f t="shared" si="31"/>
        <v>0</v>
      </c>
      <c r="BS30">
        <f t="shared" si="31"/>
        <v>0</v>
      </c>
      <c r="BT30">
        <f t="shared" si="31"/>
        <v>0</v>
      </c>
      <c r="BU30">
        <f t="shared" si="31"/>
        <v>0</v>
      </c>
      <c r="BV30">
        <f t="shared" si="31"/>
        <v>0</v>
      </c>
      <c r="BW30">
        <f t="shared" si="31"/>
        <v>0</v>
      </c>
      <c r="BX30">
        <f t="shared" si="31"/>
        <v>0</v>
      </c>
      <c r="BY30">
        <f t="shared" si="31"/>
        <v>0</v>
      </c>
      <c r="BZ30">
        <f t="shared" si="31"/>
        <v>0</v>
      </c>
      <c r="CA30">
        <f t="shared" si="31"/>
        <v>0</v>
      </c>
      <c r="CB30">
        <f t="shared" si="31"/>
        <v>0</v>
      </c>
      <c r="CC30">
        <f t="shared" si="31"/>
        <v>0</v>
      </c>
      <c r="CD30">
        <f t="shared" si="31"/>
        <v>0</v>
      </c>
      <c r="CE30">
        <f t="shared" si="31"/>
        <v>0</v>
      </c>
      <c r="CF30">
        <f t="shared" si="31"/>
        <v>0</v>
      </c>
      <c r="CG30">
        <f t="shared" si="31"/>
        <v>0</v>
      </c>
      <c r="CH30">
        <f t="shared" si="31"/>
        <v>0</v>
      </c>
      <c r="CI30">
        <f t="shared" si="31"/>
        <v>0</v>
      </c>
      <c r="CJ30">
        <f t="shared" si="31"/>
        <v>0</v>
      </c>
      <c r="CK30">
        <f t="shared" si="31"/>
        <v>0</v>
      </c>
      <c r="CL30">
        <f t="shared" si="31"/>
        <v>0</v>
      </c>
      <c r="CM30">
        <f t="shared" si="31"/>
        <v>0</v>
      </c>
      <c r="CN30">
        <f t="shared" si="31"/>
        <v>0</v>
      </c>
      <c r="CO30">
        <f t="shared" si="31"/>
        <v>0</v>
      </c>
      <c r="CP30">
        <f t="shared" si="31"/>
        <v>0</v>
      </c>
      <c r="CQ30">
        <f t="shared" si="31"/>
        <v>0</v>
      </c>
      <c r="CR30">
        <f t="shared" si="31"/>
        <v>0</v>
      </c>
      <c r="CS30">
        <f t="shared" si="31"/>
        <v>0</v>
      </c>
      <c r="CT30">
        <f t="shared" si="31"/>
        <v>0</v>
      </c>
      <c r="CU30">
        <f t="shared" si="31"/>
        <v>0</v>
      </c>
      <c r="CV30">
        <f t="shared" si="31"/>
        <v>0</v>
      </c>
      <c r="CW30">
        <f t="shared" si="31"/>
        <v>0</v>
      </c>
      <c r="CX30">
        <f t="shared" si="31"/>
        <v>0</v>
      </c>
      <c r="CY30">
        <f t="shared" si="31"/>
        <v>0</v>
      </c>
      <c r="CZ30">
        <f t="shared" si="31"/>
        <v>0</v>
      </c>
      <c r="DA30">
        <f t="shared" si="31"/>
        <v>0</v>
      </c>
      <c r="DB30">
        <f t="shared" si="31"/>
        <v>0</v>
      </c>
      <c r="DC30">
        <f t="shared" si="31"/>
        <v>0</v>
      </c>
      <c r="DD30">
        <f t="shared" si="31"/>
        <v>0</v>
      </c>
      <c r="DE30">
        <f t="shared" si="31"/>
        <v>0</v>
      </c>
      <c r="DF30">
        <f t="shared" si="31"/>
        <v>0</v>
      </c>
      <c r="DG30">
        <f t="shared" si="31"/>
        <v>0</v>
      </c>
      <c r="DH30">
        <f t="shared" si="31"/>
        <v>0</v>
      </c>
      <c r="DI30">
        <f t="shared" si="31"/>
        <v>0</v>
      </c>
      <c r="DJ30">
        <f t="shared" si="31"/>
        <v>0</v>
      </c>
      <c r="DK30">
        <f t="shared" si="31"/>
        <v>0</v>
      </c>
      <c r="DL30">
        <f t="shared" si="31"/>
        <v>0</v>
      </c>
      <c r="DM30">
        <f t="shared" si="31"/>
        <v>0</v>
      </c>
      <c r="DN30">
        <f t="shared" si="31"/>
        <v>0</v>
      </c>
      <c r="DO30">
        <f t="shared" si="31"/>
        <v>0</v>
      </c>
      <c r="DP30">
        <f t="shared" si="31"/>
        <v>0</v>
      </c>
      <c r="DQ30">
        <f t="shared" si="31"/>
        <v>0</v>
      </c>
      <c r="DR30">
        <f t="shared" si="31"/>
        <v>0</v>
      </c>
      <c r="DS30">
        <f t="shared" si="31"/>
        <v>0</v>
      </c>
      <c r="DT30">
        <f t="shared" si="31"/>
        <v>0</v>
      </c>
      <c r="DU30">
        <f t="shared" si="31"/>
        <v>0</v>
      </c>
      <c r="DV30">
        <f t="shared" si="31"/>
        <v>0</v>
      </c>
      <c r="DW30">
        <f t="shared" si="31"/>
        <v>0</v>
      </c>
      <c r="DX30">
        <f t="shared" si="31"/>
        <v>0</v>
      </c>
      <c r="DY30">
        <f t="shared" si="31"/>
        <v>0</v>
      </c>
      <c r="DZ30">
        <f t="shared" si="31"/>
        <v>0</v>
      </c>
      <c r="EA30">
        <f t="shared" ref="EA30:GL30" si="32">EA11</f>
        <v>0</v>
      </c>
      <c r="EB30">
        <f t="shared" si="32"/>
        <v>0</v>
      </c>
      <c r="EC30">
        <f t="shared" si="32"/>
        <v>0</v>
      </c>
      <c r="ED30">
        <f t="shared" si="32"/>
        <v>0</v>
      </c>
      <c r="EE30">
        <f t="shared" si="32"/>
        <v>0</v>
      </c>
      <c r="EF30">
        <f t="shared" si="32"/>
        <v>0</v>
      </c>
      <c r="EG30">
        <f t="shared" si="32"/>
        <v>0</v>
      </c>
      <c r="EH30">
        <f t="shared" si="32"/>
        <v>0</v>
      </c>
      <c r="EI30">
        <f t="shared" si="32"/>
        <v>0</v>
      </c>
      <c r="EJ30">
        <f t="shared" si="32"/>
        <v>0</v>
      </c>
      <c r="EK30">
        <f t="shared" si="32"/>
        <v>0</v>
      </c>
      <c r="EL30">
        <f t="shared" si="32"/>
        <v>0</v>
      </c>
      <c r="EM30">
        <f t="shared" si="32"/>
        <v>0</v>
      </c>
      <c r="EN30">
        <f t="shared" si="32"/>
        <v>0</v>
      </c>
      <c r="EO30">
        <f t="shared" si="32"/>
        <v>0</v>
      </c>
      <c r="EP30">
        <f t="shared" si="32"/>
        <v>0</v>
      </c>
      <c r="EQ30">
        <f t="shared" si="32"/>
        <v>0</v>
      </c>
      <c r="ER30">
        <f t="shared" si="32"/>
        <v>0</v>
      </c>
      <c r="ES30">
        <f t="shared" si="32"/>
        <v>0</v>
      </c>
      <c r="ET30">
        <f t="shared" si="32"/>
        <v>0</v>
      </c>
      <c r="EU30">
        <f t="shared" si="32"/>
        <v>0</v>
      </c>
      <c r="EV30">
        <f t="shared" si="32"/>
        <v>0</v>
      </c>
      <c r="EW30">
        <f t="shared" si="32"/>
        <v>0</v>
      </c>
      <c r="EX30">
        <f t="shared" si="32"/>
        <v>0</v>
      </c>
      <c r="EY30">
        <f t="shared" si="32"/>
        <v>0</v>
      </c>
      <c r="EZ30">
        <f t="shared" si="32"/>
        <v>0</v>
      </c>
      <c r="FA30">
        <f t="shared" si="32"/>
        <v>0</v>
      </c>
      <c r="FB30">
        <f t="shared" si="32"/>
        <v>0</v>
      </c>
      <c r="FC30">
        <f t="shared" si="32"/>
        <v>0</v>
      </c>
      <c r="FD30">
        <f t="shared" si="32"/>
        <v>0</v>
      </c>
      <c r="FE30">
        <f t="shared" si="32"/>
        <v>0</v>
      </c>
      <c r="FF30">
        <f t="shared" si="32"/>
        <v>0</v>
      </c>
      <c r="FG30">
        <f t="shared" si="32"/>
        <v>0</v>
      </c>
      <c r="FH30">
        <f t="shared" si="32"/>
        <v>0</v>
      </c>
      <c r="FI30">
        <f t="shared" si="32"/>
        <v>0</v>
      </c>
      <c r="FJ30">
        <f t="shared" si="32"/>
        <v>0</v>
      </c>
      <c r="FK30">
        <f t="shared" si="32"/>
        <v>0</v>
      </c>
      <c r="FL30">
        <f t="shared" si="32"/>
        <v>0</v>
      </c>
      <c r="FM30">
        <f t="shared" si="32"/>
        <v>0</v>
      </c>
      <c r="FN30">
        <f t="shared" si="32"/>
        <v>0</v>
      </c>
      <c r="FO30">
        <f t="shared" si="32"/>
        <v>0</v>
      </c>
      <c r="FP30">
        <f t="shared" si="32"/>
        <v>0</v>
      </c>
      <c r="FQ30">
        <f t="shared" si="32"/>
        <v>0</v>
      </c>
      <c r="FR30">
        <f t="shared" si="32"/>
        <v>0</v>
      </c>
      <c r="FS30">
        <f t="shared" si="32"/>
        <v>0</v>
      </c>
      <c r="FT30">
        <f t="shared" si="32"/>
        <v>0</v>
      </c>
      <c r="FU30">
        <f t="shared" si="32"/>
        <v>0</v>
      </c>
      <c r="FV30">
        <f t="shared" si="32"/>
        <v>0</v>
      </c>
      <c r="FW30">
        <f t="shared" si="32"/>
        <v>0</v>
      </c>
      <c r="FX30">
        <f t="shared" si="32"/>
        <v>0</v>
      </c>
      <c r="FY30">
        <f t="shared" si="32"/>
        <v>0</v>
      </c>
      <c r="FZ30">
        <f t="shared" si="32"/>
        <v>0</v>
      </c>
      <c r="GA30">
        <f t="shared" si="32"/>
        <v>0</v>
      </c>
      <c r="GB30">
        <f t="shared" si="32"/>
        <v>0</v>
      </c>
      <c r="GC30">
        <f t="shared" si="32"/>
        <v>0</v>
      </c>
      <c r="GD30">
        <f t="shared" si="32"/>
        <v>0</v>
      </c>
      <c r="GE30">
        <f t="shared" si="32"/>
        <v>0</v>
      </c>
      <c r="GF30">
        <f t="shared" si="32"/>
        <v>0</v>
      </c>
      <c r="GG30">
        <f t="shared" si="32"/>
        <v>0</v>
      </c>
      <c r="GH30">
        <f t="shared" si="32"/>
        <v>0</v>
      </c>
      <c r="GI30">
        <f t="shared" si="32"/>
        <v>0</v>
      </c>
      <c r="GJ30">
        <f t="shared" si="32"/>
        <v>0</v>
      </c>
      <c r="GK30">
        <f t="shared" si="32"/>
        <v>0</v>
      </c>
      <c r="GL30">
        <f t="shared" si="32"/>
        <v>0</v>
      </c>
      <c r="GM30">
        <f t="shared" ref="GM30:IX30" si="33">GM11</f>
        <v>0</v>
      </c>
      <c r="GN30">
        <f t="shared" si="33"/>
        <v>0</v>
      </c>
      <c r="GO30">
        <f t="shared" si="33"/>
        <v>0</v>
      </c>
      <c r="GP30">
        <f t="shared" si="33"/>
        <v>0</v>
      </c>
      <c r="GQ30">
        <f t="shared" si="33"/>
        <v>0</v>
      </c>
      <c r="GR30">
        <f t="shared" si="33"/>
        <v>0</v>
      </c>
      <c r="GS30">
        <f t="shared" si="33"/>
        <v>0</v>
      </c>
      <c r="GT30">
        <f t="shared" si="33"/>
        <v>0</v>
      </c>
      <c r="GU30">
        <f t="shared" si="33"/>
        <v>0</v>
      </c>
      <c r="GV30">
        <f t="shared" si="33"/>
        <v>0</v>
      </c>
      <c r="GW30">
        <f t="shared" si="33"/>
        <v>0</v>
      </c>
      <c r="GX30">
        <f t="shared" si="33"/>
        <v>0</v>
      </c>
      <c r="GY30">
        <f t="shared" si="33"/>
        <v>0</v>
      </c>
      <c r="GZ30">
        <f t="shared" si="33"/>
        <v>0</v>
      </c>
      <c r="HA30">
        <f t="shared" si="33"/>
        <v>0</v>
      </c>
      <c r="HB30">
        <f t="shared" si="33"/>
        <v>0</v>
      </c>
      <c r="HC30">
        <f t="shared" si="33"/>
        <v>0</v>
      </c>
      <c r="HD30">
        <f t="shared" si="33"/>
        <v>0</v>
      </c>
      <c r="HE30">
        <f t="shared" si="33"/>
        <v>0</v>
      </c>
      <c r="HF30">
        <f t="shared" si="33"/>
        <v>0</v>
      </c>
      <c r="HG30">
        <f t="shared" si="33"/>
        <v>0</v>
      </c>
      <c r="HH30">
        <f t="shared" si="33"/>
        <v>0</v>
      </c>
      <c r="HI30">
        <f t="shared" si="33"/>
        <v>0</v>
      </c>
      <c r="HJ30">
        <f t="shared" si="33"/>
        <v>0</v>
      </c>
      <c r="HK30">
        <f t="shared" si="33"/>
        <v>0</v>
      </c>
      <c r="HL30">
        <f t="shared" si="33"/>
        <v>0</v>
      </c>
      <c r="HM30">
        <f t="shared" si="33"/>
        <v>0</v>
      </c>
      <c r="HN30">
        <f t="shared" si="33"/>
        <v>0</v>
      </c>
      <c r="HO30">
        <f t="shared" si="33"/>
        <v>0</v>
      </c>
      <c r="HP30">
        <f t="shared" si="33"/>
        <v>0</v>
      </c>
      <c r="HQ30">
        <f t="shared" si="33"/>
        <v>0</v>
      </c>
      <c r="HR30">
        <f t="shared" si="33"/>
        <v>0</v>
      </c>
      <c r="HS30">
        <f t="shared" si="33"/>
        <v>0</v>
      </c>
      <c r="HT30">
        <f t="shared" si="33"/>
        <v>0</v>
      </c>
      <c r="HU30">
        <f t="shared" si="33"/>
        <v>0</v>
      </c>
      <c r="HV30">
        <f t="shared" si="33"/>
        <v>0</v>
      </c>
      <c r="HW30">
        <f t="shared" si="33"/>
        <v>0</v>
      </c>
      <c r="HX30">
        <f t="shared" si="33"/>
        <v>0</v>
      </c>
      <c r="HY30">
        <f t="shared" si="33"/>
        <v>0</v>
      </c>
      <c r="HZ30">
        <f t="shared" si="33"/>
        <v>0</v>
      </c>
      <c r="IA30">
        <f t="shared" si="33"/>
        <v>0</v>
      </c>
      <c r="IB30">
        <f t="shared" si="33"/>
        <v>0</v>
      </c>
      <c r="IC30">
        <f t="shared" si="33"/>
        <v>0</v>
      </c>
      <c r="ID30">
        <f t="shared" si="33"/>
        <v>0</v>
      </c>
      <c r="IE30">
        <f t="shared" si="33"/>
        <v>0</v>
      </c>
      <c r="IF30">
        <f t="shared" si="33"/>
        <v>0</v>
      </c>
      <c r="IG30">
        <f t="shared" si="33"/>
        <v>0</v>
      </c>
      <c r="IH30">
        <f t="shared" si="33"/>
        <v>0</v>
      </c>
      <c r="II30">
        <f t="shared" si="33"/>
        <v>0</v>
      </c>
      <c r="IJ30">
        <f t="shared" si="33"/>
        <v>0</v>
      </c>
      <c r="IK30">
        <f t="shared" si="33"/>
        <v>0</v>
      </c>
      <c r="IL30">
        <f t="shared" si="33"/>
        <v>0</v>
      </c>
      <c r="IM30">
        <f t="shared" si="33"/>
        <v>0</v>
      </c>
      <c r="IN30">
        <f t="shared" si="33"/>
        <v>0</v>
      </c>
      <c r="IO30">
        <f t="shared" si="33"/>
        <v>0</v>
      </c>
      <c r="IP30">
        <f t="shared" si="33"/>
        <v>0</v>
      </c>
      <c r="IQ30">
        <f t="shared" si="33"/>
        <v>0</v>
      </c>
      <c r="IR30">
        <f t="shared" si="33"/>
        <v>0</v>
      </c>
      <c r="IS30">
        <f t="shared" si="33"/>
        <v>0</v>
      </c>
      <c r="IT30">
        <f t="shared" si="33"/>
        <v>0</v>
      </c>
      <c r="IU30">
        <f t="shared" si="33"/>
        <v>0</v>
      </c>
      <c r="IV30">
        <f t="shared" si="33"/>
        <v>0</v>
      </c>
      <c r="IW30">
        <f t="shared" si="33"/>
        <v>0</v>
      </c>
      <c r="IX30">
        <f t="shared" si="33"/>
        <v>0</v>
      </c>
      <c r="IY30">
        <f t="shared" ref="IY30:LJ30" si="34">IY11</f>
        <v>0</v>
      </c>
      <c r="IZ30">
        <f t="shared" si="34"/>
        <v>0</v>
      </c>
      <c r="JA30">
        <f t="shared" si="34"/>
        <v>0</v>
      </c>
      <c r="JB30">
        <f t="shared" si="34"/>
        <v>0</v>
      </c>
      <c r="JC30">
        <f t="shared" si="34"/>
        <v>0</v>
      </c>
      <c r="JD30">
        <f t="shared" si="34"/>
        <v>0</v>
      </c>
      <c r="JE30">
        <f t="shared" si="34"/>
        <v>0</v>
      </c>
      <c r="JF30">
        <f t="shared" si="34"/>
        <v>0</v>
      </c>
      <c r="JG30">
        <f t="shared" si="34"/>
        <v>0</v>
      </c>
      <c r="JH30">
        <f t="shared" si="34"/>
        <v>0</v>
      </c>
      <c r="JI30">
        <f t="shared" si="34"/>
        <v>0</v>
      </c>
      <c r="JJ30">
        <f t="shared" si="34"/>
        <v>0</v>
      </c>
      <c r="JK30">
        <f t="shared" si="34"/>
        <v>0</v>
      </c>
      <c r="JL30">
        <f t="shared" si="34"/>
        <v>0</v>
      </c>
      <c r="JM30">
        <f t="shared" si="34"/>
        <v>0</v>
      </c>
      <c r="JN30">
        <f t="shared" si="34"/>
        <v>0</v>
      </c>
      <c r="JO30">
        <f t="shared" si="34"/>
        <v>0</v>
      </c>
      <c r="JP30">
        <f t="shared" si="34"/>
        <v>0</v>
      </c>
      <c r="JQ30">
        <f t="shared" si="34"/>
        <v>0</v>
      </c>
      <c r="JR30">
        <f t="shared" si="34"/>
        <v>0</v>
      </c>
      <c r="JS30">
        <f t="shared" si="34"/>
        <v>0</v>
      </c>
      <c r="JT30">
        <f t="shared" si="34"/>
        <v>0</v>
      </c>
      <c r="JU30">
        <f t="shared" si="34"/>
        <v>0</v>
      </c>
      <c r="JV30">
        <f t="shared" si="34"/>
        <v>0</v>
      </c>
      <c r="JW30">
        <f t="shared" si="34"/>
        <v>0</v>
      </c>
      <c r="JX30">
        <f t="shared" si="34"/>
        <v>0</v>
      </c>
      <c r="JY30">
        <f t="shared" si="34"/>
        <v>0</v>
      </c>
      <c r="JZ30">
        <f t="shared" si="34"/>
        <v>0</v>
      </c>
      <c r="KA30">
        <f t="shared" si="34"/>
        <v>0</v>
      </c>
      <c r="KB30">
        <f t="shared" si="34"/>
        <v>0</v>
      </c>
      <c r="KC30">
        <f t="shared" si="34"/>
        <v>0</v>
      </c>
      <c r="KD30">
        <f t="shared" si="34"/>
        <v>0</v>
      </c>
      <c r="KE30">
        <f t="shared" si="34"/>
        <v>0</v>
      </c>
      <c r="KF30">
        <f t="shared" si="34"/>
        <v>0</v>
      </c>
      <c r="KG30">
        <f t="shared" si="34"/>
        <v>0</v>
      </c>
      <c r="KH30">
        <f t="shared" si="34"/>
        <v>0</v>
      </c>
      <c r="KI30">
        <f t="shared" si="34"/>
        <v>0</v>
      </c>
      <c r="KJ30">
        <f t="shared" si="34"/>
        <v>0</v>
      </c>
      <c r="KK30">
        <f t="shared" si="34"/>
        <v>0</v>
      </c>
      <c r="KL30">
        <f t="shared" si="34"/>
        <v>0</v>
      </c>
      <c r="KM30">
        <f t="shared" si="34"/>
        <v>0</v>
      </c>
      <c r="KN30">
        <f t="shared" si="34"/>
        <v>0</v>
      </c>
      <c r="KO30">
        <f t="shared" si="34"/>
        <v>0</v>
      </c>
      <c r="KP30">
        <f t="shared" si="34"/>
        <v>0</v>
      </c>
      <c r="KQ30">
        <f t="shared" si="34"/>
        <v>0</v>
      </c>
      <c r="KR30">
        <f t="shared" si="34"/>
        <v>0</v>
      </c>
      <c r="KS30">
        <f t="shared" si="34"/>
        <v>0</v>
      </c>
      <c r="KT30">
        <f t="shared" si="34"/>
        <v>0</v>
      </c>
      <c r="KU30">
        <f t="shared" si="34"/>
        <v>0</v>
      </c>
      <c r="KV30">
        <f t="shared" si="34"/>
        <v>0</v>
      </c>
      <c r="KW30">
        <f t="shared" si="34"/>
        <v>0</v>
      </c>
      <c r="KX30">
        <f t="shared" si="34"/>
        <v>0</v>
      </c>
      <c r="KY30">
        <f t="shared" si="34"/>
        <v>0</v>
      </c>
      <c r="KZ30">
        <f t="shared" si="34"/>
        <v>0</v>
      </c>
      <c r="LA30">
        <f t="shared" si="34"/>
        <v>0</v>
      </c>
      <c r="LB30">
        <f t="shared" si="34"/>
        <v>0</v>
      </c>
      <c r="LC30">
        <f t="shared" si="34"/>
        <v>0</v>
      </c>
      <c r="LD30">
        <f t="shared" si="34"/>
        <v>0</v>
      </c>
      <c r="LE30">
        <f t="shared" si="34"/>
        <v>0</v>
      </c>
      <c r="LF30">
        <f t="shared" si="34"/>
        <v>0</v>
      </c>
      <c r="LG30">
        <f t="shared" si="34"/>
        <v>0</v>
      </c>
      <c r="LH30">
        <f t="shared" si="34"/>
        <v>0</v>
      </c>
      <c r="LI30">
        <f t="shared" si="34"/>
        <v>0</v>
      </c>
      <c r="LJ30">
        <f t="shared" si="34"/>
        <v>0</v>
      </c>
      <c r="LK30">
        <f t="shared" ref="LK30:NV30" si="35">LK11</f>
        <v>0</v>
      </c>
      <c r="LL30">
        <f t="shared" si="35"/>
        <v>0</v>
      </c>
      <c r="LM30">
        <f t="shared" si="35"/>
        <v>0</v>
      </c>
      <c r="LN30">
        <f t="shared" si="35"/>
        <v>0</v>
      </c>
      <c r="LO30">
        <f t="shared" si="35"/>
        <v>0</v>
      </c>
      <c r="LP30">
        <f t="shared" si="35"/>
        <v>0</v>
      </c>
      <c r="LQ30">
        <f t="shared" si="35"/>
        <v>0</v>
      </c>
      <c r="LR30">
        <f t="shared" si="35"/>
        <v>0</v>
      </c>
      <c r="LS30">
        <f t="shared" si="35"/>
        <v>0</v>
      </c>
      <c r="LT30">
        <f t="shared" si="35"/>
        <v>0</v>
      </c>
      <c r="LU30">
        <f t="shared" si="35"/>
        <v>0</v>
      </c>
      <c r="LV30">
        <f t="shared" si="35"/>
        <v>0</v>
      </c>
      <c r="LW30">
        <f t="shared" si="35"/>
        <v>0</v>
      </c>
      <c r="LX30">
        <f t="shared" si="35"/>
        <v>0</v>
      </c>
      <c r="LY30">
        <f t="shared" si="35"/>
        <v>0</v>
      </c>
      <c r="LZ30">
        <f t="shared" si="35"/>
        <v>0</v>
      </c>
      <c r="MA30">
        <f t="shared" si="35"/>
        <v>0</v>
      </c>
      <c r="MB30">
        <f t="shared" si="35"/>
        <v>0</v>
      </c>
      <c r="MC30">
        <f t="shared" si="35"/>
        <v>0</v>
      </c>
      <c r="MD30">
        <f t="shared" si="35"/>
        <v>0</v>
      </c>
      <c r="ME30">
        <f t="shared" si="35"/>
        <v>0</v>
      </c>
      <c r="MF30">
        <f t="shared" si="35"/>
        <v>0</v>
      </c>
      <c r="MG30">
        <f t="shared" si="35"/>
        <v>0</v>
      </c>
      <c r="MH30">
        <f t="shared" si="35"/>
        <v>0</v>
      </c>
      <c r="MI30">
        <f t="shared" si="35"/>
        <v>0</v>
      </c>
      <c r="MJ30">
        <f t="shared" si="35"/>
        <v>0</v>
      </c>
      <c r="MK30">
        <f t="shared" si="35"/>
        <v>0</v>
      </c>
      <c r="ML30">
        <f t="shared" si="35"/>
        <v>0</v>
      </c>
      <c r="MM30">
        <f t="shared" si="35"/>
        <v>0</v>
      </c>
      <c r="MN30">
        <f t="shared" si="35"/>
        <v>0</v>
      </c>
      <c r="MO30">
        <f t="shared" si="35"/>
        <v>0</v>
      </c>
      <c r="MP30">
        <f t="shared" si="35"/>
        <v>0</v>
      </c>
      <c r="MQ30">
        <f t="shared" si="35"/>
        <v>0</v>
      </c>
      <c r="MR30">
        <f t="shared" si="35"/>
        <v>0</v>
      </c>
      <c r="MS30">
        <f t="shared" si="35"/>
        <v>0</v>
      </c>
      <c r="MT30">
        <f t="shared" si="35"/>
        <v>0</v>
      </c>
      <c r="MU30">
        <f t="shared" si="35"/>
        <v>0</v>
      </c>
      <c r="MV30">
        <f t="shared" si="35"/>
        <v>0</v>
      </c>
      <c r="MW30">
        <f t="shared" si="35"/>
        <v>0</v>
      </c>
      <c r="MX30">
        <f t="shared" si="35"/>
        <v>0</v>
      </c>
      <c r="MY30">
        <f t="shared" si="35"/>
        <v>0</v>
      </c>
      <c r="MZ30">
        <f t="shared" si="35"/>
        <v>0</v>
      </c>
      <c r="NA30">
        <f t="shared" si="35"/>
        <v>0</v>
      </c>
      <c r="NB30">
        <f t="shared" si="35"/>
        <v>0</v>
      </c>
      <c r="NC30">
        <f t="shared" si="35"/>
        <v>0</v>
      </c>
      <c r="ND30">
        <f t="shared" si="35"/>
        <v>0</v>
      </c>
      <c r="NE30">
        <f t="shared" si="35"/>
        <v>0</v>
      </c>
      <c r="NF30">
        <f t="shared" si="35"/>
        <v>0</v>
      </c>
      <c r="NG30">
        <f t="shared" si="35"/>
        <v>0</v>
      </c>
      <c r="NH30">
        <f t="shared" si="35"/>
        <v>0</v>
      </c>
      <c r="NI30">
        <f t="shared" si="35"/>
        <v>0</v>
      </c>
      <c r="NJ30">
        <f t="shared" si="35"/>
        <v>0</v>
      </c>
      <c r="NK30">
        <f t="shared" si="35"/>
        <v>0</v>
      </c>
      <c r="NL30">
        <f t="shared" si="35"/>
        <v>0</v>
      </c>
      <c r="NM30">
        <f t="shared" si="35"/>
        <v>0</v>
      </c>
      <c r="NN30">
        <f t="shared" si="35"/>
        <v>0</v>
      </c>
      <c r="NO30">
        <f t="shared" si="35"/>
        <v>0</v>
      </c>
      <c r="NP30">
        <f t="shared" si="35"/>
        <v>0</v>
      </c>
      <c r="NQ30">
        <f t="shared" si="35"/>
        <v>0</v>
      </c>
      <c r="NR30">
        <f t="shared" si="35"/>
        <v>0</v>
      </c>
      <c r="NS30">
        <f t="shared" si="35"/>
        <v>0</v>
      </c>
      <c r="NT30">
        <f t="shared" si="35"/>
        <v>0</v>
      </c>
      <c r="NU30">
        <f t="shared" si="35"/>
        <v>0</v>
      </c>
      <c r="NV30">
        <f t="shared" si="35"/>
        <v>0</v>
      </c>
      <c r="NW30">
        <f t="shared" ref="NW30:QH30" si="36">NW11</f>
        <v>0</v>
      </c>
      <c r="NX30">
        <f t="shared" si="36"/>
        <v>0</v>
      </c>
      <c r="NY30">
        <f t="shared" si="36"/>
        <v>0</v>
      </c>
      <c r="NZ30">
        <f t="shared" si="36"/>
        <v>0</v>
      </c>
      <c r="OA30">
        <f t="shared" si="36"/>
        <v>0</v>
      </c>
      <c r="OB30">
        <f t="shared" si="36"/>
        <v>0</v>
      </c>
      <c r="OC30">
        <f t="shared" si="36"/>
        <v>0</v>
      </c>
      <c r="OD30">
        <f t="shared" si="36"/>
        <v>0</v>
      </c>
      <c r="OE30">
        <f t="shared" si="36"/>
        <v>0</v>
      </c>
      <c r="OF30">
        <f t="shared" si="36"/>
        <v>0</v>
      </c>
      <c r="OG30">
        <f t="shared" si="36"/>
        <v>0</v>
      </c>
      <c r="OH30">
        <f t="shared" si="36"/>
        <v>0</v>
      </c>
      <c r="OI30">
        <f t="shared" si="36"/>
        <v>0</v>
      </c>
      <c r="OJ30">
        <f t="shared" si="36"/>
        <v>0</v>
      </c>
      <c r="OK30">
        <f t="shared" si="36"/>
        <v>0</v>
      </c>
      <c r="OL30">
        <f t="shared" si="36"/>
        <v>0</v>
      </c>
      <c r="OM30">
        <f t="shared" si="36"/>
        <v>0</v>
      </c>
      <c r="ON30">
        <f t="shared" si="36"/>
        <v>0</v>
      </c>
      <c r="OO30">
        <f t="shared" si="36"/>
        <v>0</v>
      </c>
      <c r="OP30">
        <f t="shared" si="36"/>
        <v>0</v>
      </c>
      <c r="OQ30">
        <f t="shared" si="36"/>
        <v>0</v>
      </c>
      <c r="OR30">
        <f t="shared" si="36"/>
        <v>0</v>
      </c>
      <c r="OS30">
        <f t="shared" si="36"/>
        <v>0</v>
      </c>
      <c r="OT30">
        <f t="shared" si="36"/>
        <v>0</v>
      </c>
      <c r="OU30">
        <f t="shared" si="36"/>
        <v>0</v>
      </c>
      <c r="OV30">
        <f t="shared" si="36"/>
        <v>0</v>
      </c>
      <c r="OW30">
        <f t="shared" si="36"/>
        <v>0</v>
      </c>
      <c r="OX30">
        <f t="shared" si="36"/>
        <v>0</v>
      </c>
      <c r="OY30">
        <f t="shared" si="36"/>
        <v>0</v>
      </c>
      <c r="OZ30">
        <f t="shared" si="36"/>
        <v>0</v>
      </c>
      <c r="PA30">
        <f t="shared" si="36"/>
        <v>0</v>
      </c>
      <c r="PB30">
        <f t="shared" si="36"/>
        <v>0</v>
      </c>
      <c r="PC30">
        <f t="shared" si="36"/>
        <v>0</v>
      </c>
      <c r="PD30">
        <f t="shared" si="36"/>
        <v>0</v>
      </c>
      <c r="PE30">
        <f t="shared" si="36"/>
        <v>0</v>
      </c>
      <c r="PF30">
        <f t="shared" si="36"/>
        <v>0</v>
      </c>
      <c r="PG30">
        <f t="shared" si="36"/>
        <v>0</v>
      </c>
      <c r="PH30">
        <f t="shared" si="36"/>
        <v>0</v>
      </c>
      <c r="PI30">
        <f t="shared" si="36"/>
        <v>0</v>
      </c>
      <c r="PJ30">
        <f t="shared" si="36"/>
        <v>0</v>
      </c>
      <c r="PK30">
        <f t="shared" si="36"/>
        <v>0</v>
      </c>
      <c r="PL30">
        <f t="shared" si="36"/>
        <v>0</v>
      </c>
      <c r="PM30">
        <f t="shared" si="36"/>
        <v>0</v>
      </c>
      <c r="PN30">
        <f t="shared" si="36"/>
        <v>0</v>
      </c>
      <c r="PO30">
        <f t="shared" si="36"/>
        <v>0</v>
      </c>
      <c r="PP30">
        <f t="shared" si="36"/>
        <v>0</v>
      </c>
      <c r="PQ30">
        <f t="shared" si="36"/>
        <v>0</v>
      </c>
      <c r="PR30">
        <f t="shared" si="36"/>
        <v>0</v>
      </c>
      <c r="PS30">
        <f t="shared" si="36"/>
        <v>0</v>
      </c>
      <c r="PT30">
        <f t="shared" si="36"/>
        <v>0</v>
      </c>
      <c r="PU30">
        <f t="shared" si="36"/>
        <v>0</v>
      </c>
      <c r="PV30">
        <f t="shared" si="36"/>
        <v>0</v>
      </c>
      <c r="PW30">
        <f t="shared" si="36"/>
        <v>0</v>
      </c>
      <c r="PX30">
        <f t="shared" si="36"/>
        <v>0</v>
      </c>
      <c r="PY30">
        <f t="shared" si="36"/>
        <v>0</v>
      </c>
      <c r="PZ30">
        <f t="shared" si="36"/>
        <v>0</v>
      </c>
      <c r="QA30">
        <f t="shared" si="36"/>
        <v>0</v>
      </c>
      <c r="QB30">
        <f t="shared" si="36"/>
        <v>0</v>
      </c>
      <c r="QC30">
        <f t="shared" si="36"/>
        <v>0</v>
      </c>
      <c r="QD30">
        <f t="shared" si="36"/>
        <v>0</v>
      </c>
      <c r="QE30">
        <f t="shared" si="36"/>
        <v>0</v>
      </c>
      <c r="QF30">
        <f t="shared" si="36"/>
        <v>0</v>
      </c>
      <c r="QG30">
        <f t="shared" si="36"/>
        <v>0</v>
      </c>
      <c r="QH30">
        <f t="shared" si="36"/>
        <v>0</v>
      </c>
      <c r="QI30">
        <f t="shared" ref="QI30:SG30" si="37">QI11</f>
        <v>0</v>
      </c>
      <c r="QJ30">
        <f t="shared" si="37"/>
        <v>0</v>
      </c>
      <c r="QK30">
        <f t="shared" si="37"/>
        <v>0</v>
      </c>
      <c r="QL30">
        <f t="shared" si="37"/>
        <v>0</v>
      </c>
      <c r="QM30">
        <f t="shared" si="37"/>
        <v>0</v>
      </c>
      <c r="QN30">
        <f t="shared" si="37"/>
        <v>0</v>
      </c>
      <c r="QO30">
        <f t="shared" si="37"/>
        <v>0</v>
      </c>
      <c r="QP30">
        <f t="shared" si="37"/>
        <v>0</v>
      </c>
      <c r="QQ30">
        <f t="shared" si="37"/>
        <v>0</v>
      </c>
      <c r="QR30">
        <f t="shared" si="37"/>
        <v>0</v>
      </c>
      <c r="QS30">
        <f t="shared" si="37"/>
        <v>0</v>
      </c>
      <c r="QT30">
        <f t="shared" si="37"/>
        <v>0</v>
      </c>
      <c r="QU30">
        <f t="shared" si="37"/>
        <v>0</v>
      </c>
      <c r="QV30">
        <f t="shared" si="37"/>
        <v>0</v>
      </c>
      <c r="QW30">
        <f t="shared" si="37"/>
        <v>0</v>
      </c>
      <c r="QX30">
        <f t="shared" si="37"/>
        <v>0</v>
      </c>
      <c r="QY30">
        <f t="shared" si="37"/>
        <v>0</v>
      </c>
      <c r="QZ30">
        <f t="shared" si="37"/>
        <v>0</v>
      </c>
      <c r="RA30">
        <f t="shared" si="37"/>
        <v>0</v>
      </c>
      <c r="RB30">
        <f t="shared" si="37"/>
        <v>0</v>
      </c>
      <c r="RC30">
        <f t="shared" si="37"/>
        <v>0</v>
      </c>
      <c r="RD30">
        <f t="shared" si="37"/>
        <v>0</v>
      </c>
      <c r="RE30">
        <f t="shared" si="37"/>
        <v>0</v>
      </c>
      <c r="RF30">
        <f t="shared" si="37"/>
        <v>0</v>
      </c>
      <c r="RG30">
        <f t="shared" si="37"/>
        <v>0</v>
      </c>
      <c r="RH30">
        <f t="shared" si="37"/>
        <v>0</v>
      </c>
      <c r="RI30">
        <f t="shared" si="37"/>
        <v>0</v>
      </c>
      <c r="RJ30">
        <f t="shared" si="37"/>
        <v>0</v>
      </c>
      <c r="RK30">
        <f t="shared" si="37"/>
        <v>0</v>
      </c>
      <c r="RL30">
        <f t="shared" si="37"/>
        <v>0</v>
      </c>
      <c r="RM30">
        <f t="shared" si="37"/>
        <v>0</v>
      </c>
      <c r="RN30">
        <f t="shared" si="37"/>
        <v>0</v>
      </c>
      <c r="RO30">
        <f t="shared" si="37"/>
        <v>0</v>
      </c>
      <c r="RP30">
        <f t="shared" si="37"/>
        <v>0</v>
      </c>
      <c r="RQ30">
        <f t="shared" si="37"/>
        <v>0</v>
      </c>
      <c r="RR30">
        <f t="shared" si="37"/>
        <v>0</v>
      </c>
      <c r="RS30">
        <f t="shared" si="37"/>
        <v>0</v>
      </c>
      <c r="RT30">
        <f t="shared" si="37"/>
        <v>0</v>
      </c>
      <c r="RU30">
        <f t="shared" si="37"/>
        <v>0</v>
      </c>
      <c r="RV30">
        <f t="shared" si="37"/>
        <v>0</v>
      </c>
      <c r="RW30">
        <f t="shared" si="37"/>
        <v>0</v>
      </c>
      <c r="RX30">
        <f t="shared" si="37"/>
        <v>0</v>
      </c>
      <c r="RY30">
        <f t="shared" si="37"/>
        <v>0</v>
      </c>
      <c r="RZ30">
        <f t="shared" si="37"/>
        <v>0</v>
      </c>
      <c r="SA30">
        <f t="shared" si="37"/>
        <v>0</v>
      </c>
      <c r="SB30">
        <f t="shared" si="37"/>
        <v>0</v>
      </c>
      <c r="SC30">
        <f t="shared" si="37"/>
        <v>0</v>
      </c>
      <c r="SD30">
        <f t="shared" si="37"/>
        <v>0</v>
      </c>
      <c r="SE30">
        <f t="shared" si="37"/>
        <v>0</v>
      </c>
      <c r="SF30">
        <f t="shared" si="37"/>
        <v>0</v>
      </c>
      <c r="SG30">
        <f t="shared" si="37"/>
        <v>0</v>
      </c>
      <c r="SH30">
        <f t="shared" ref="SH30:US30" si="38">SH11</f>
        <v>0</v>
      </c>
      <c r="SI30">
        <f t="shared" si="38"/>
        <v>0</v>
      </c>
      <c r="SJ30">
        <f t="shared" si="38"/>
        <v>0</v>
      </c>
      <c r="SK30">
        <f t="shared" si="38"/>
        <v>0</v>
      </c>
      <c r="SL30">
        <f t="shared" si="38"/>
        <v>0</v>
      </c>
      <c r="SM30">
        <f t="shared" si="38"/>
        <v>0</v>
      </c>
      <c r="SN30">
        <f t="shared" si="38"/>
        <v>0</v>
      </c>
      <c r="SO30">
        <f t="shared" si="38"/>
        <v>0</v>
      </c>
      <c r="SP30">
        <f t="shared" si="38"/>
        <v>0</v>
      </c>
      <c r="SQ30">
        <f t="shared" si="38"/>
        <v>0</v>
      </c>
      <c r="SR30">
        <f t="shared" si="38"/>
        <v>0</v>
      </c>
      <c r="SS30">
        <f t="shared" si="38"/>
        <v>0</v>
      </c>
      <c r="ST30">
        <f t="shared" si="38"/>
        <v>0</v>
      </c>
      <c r="SU30">
        <f t="shared" si="38"/>
        <v>0</v>
      </c>
      <c r="SV30">
        <f t="shared" si="38"/>
        <v>0</v>
      </c>
      <c r="SW30">
        <f t="shared" si="38"/>
        <v>0</v>
      </c>
      <c r="SX30">
        <f t="shared" si="38"/>
        <v>0</v>
      </c>
      <c r="SY30">
        <f t="shared" si="38"/>
        <v>0</v>
      </c>
      <c r="SZ30">
        <f t="shared" si="38"/>
        <v>0</v>
      </c>
      <c r="TA30">
        <f t="shared" si="38"/>
        <v>0</v>
      </c>
      <c r="TB30">
        <f t="shared" si="38"/>
        <v>0</v>
      </c>
      <c r="TC30">
        <f t="shared" si="38"/>
        <v>0</v>
      </c>
      <c r="TD30">
        <f t="shared" si="38"/>
        <v>0</v>
      </c>
      <c r="TE30">
        <f t="shared" si="38"/>
        <v>0</v>
      </c>
      <c r="TF30">
        <f t="shared" si="38"/>
        <v>0</v>
      </c>
      <c r="TG30">
        <f t="shared" si="38"/>
        <v>0</v>
      </c>
      <c r="TH30">
        <f t="shared" si="38"/>
        <v>0</v>
      </c>
      <c r="TI30">
        <f t="shared" si="38"/>
        <v>0</v>
      </c>
      <c r="TJ30">
        <f t="shared" si="38"/>
        <v>0</v>
      </c>
      <c r="TK30">
        <f t="shared" si="38"/>
        <v>0</v>
      </c>
      <c r="TL30">
        <f t="shared" si="38"/>
        <v>0</v>
      </c>
      <c r="TM30">
        <f t="shared" si="38"/>
        <v>0</v>
      </c>
      <c r="TN30">
        <f t="shared" si="38"/>
        <v>0</v>
      </c>
      <c r="TO30">
        <f t="shared" si="38"/>
        <v>0</v>
      </c>
      <c r="TP30">
        <f t="shared" si="38"/>
        <v>0</v>
      </c>
      <c r="TQ30">
        <f t="shared" si="38"/>
        <v>0</v>
      </c>
      <c r="TR30">
        <f t="shared" si="38"/>
        <v>0</v>
      </c>
      <c r="TS30">
        <f t="shared" si="38"/>
        <v>0</v>
      </c>
      <c r="TT30">
        <f t="shared" si="38"/>
        <v>0</v>
      </c>
      <c r="TU30">
        <f t="shared" si="38"/>
        <v>0</v>
      </c>
      <c r="TV30">
        <f t="shared" si="38"/>
        <v>0</v>
      </c>
      <c r="TW30">
        <f t="shared" si="38"/>
        <v>0</v>
      </c>
      <c r="TX30">
        <f t="shared" si="38"/>
        <v>0</v>
      </c>
      <c r="TY30">
        <f t="shared" si="38"/>
        <v>0</v>
      </c>
      <c r="TZ30">
        <f t="shared" si="38"/>
        <v>0</v>
      </c>
      <c r="UA30">
        <f t="shared" si="38"/>
        <v>0</v>
      </c>
      <c r="UB30">
        <f t="shared" si="38"/>
        <v>0</v>
      </c>
      <c r="UC30">
        <f t="shared" si="38"/>
        <v>0</v>
      </c>
      <c r="UD30">
        <f t="shared" si="38"/>
        <v>0</v>
      </c>
      <c r="UE30">
        <f t="shared" si="38"/>
        <v>0</v>
      </c>
      <c r="UF30">
        <f t="shared" si="38"/>
        <v>0</v>
      </c>
      <c r="UG30">
        <f t="shared" si="38"/>
        <v>0</v>
      </c>
      <c r="UH30">
        <f t="shared" si="38"/>
        <v>0</v>
      </c>
      <c r="UI30">
        <f t="shared" si="38"/>
        <v>0</v>
      </c>
      <c r="UJ30">
        <f t="shared" si="38"/>
        <v>0</v>
      </c>
      <c r="UK30">
        <f t="shared" si="38"/>
        <v>0</v>
      </c>
      <c r="UL30">
        <f t="shared" si="38"/>
        <v>0</v>
      </c>
      <c r="UM30">
        <f t="shared" si="38"/>
        <v>0</v>
      </c>
      <c r="UN30">
        <f t="shared" si="38"/>
        <v>0</v>
      </c>
      <c r="UO30">
        <f t="shared" si="38"/>
        <v>0</v>
      </c>
      <c r="UP30">
        <f t="shared" si="38"/>
        <v>0</v>
      </c>
      <c r="UQ30">
        <f t="shared" si="38"/>
        <v>0</v>
      </c>
      <c r="UR30">
        <f t="shared" si="38"/>
        <v>0</v>
      </c>
      <c r="US30">
        <f t="shared" si="38"/>
        <v>0</v>
      </c>
      <c r="UT30">
        <f t="shared" ref="UT30:XE30" si="39">UT11</f>
        <v>0</v>
      </c>
      <c r="UU30">
        <f t="shared" si="39"/>
        <v>0</v>
      </c>
      <c r="UV30">
        <f t="shared" si="39"/>
        <v>0</v>
      </c>
      <c r="UW30">
        <f t="shared" si="39"/>
        <v>0</v>
      </c>
      <c r="UX30">
        <f t="shared" si="39"/>
        <v>0</v>
      </c>
      <c r="UY30">
        <f t="shared" si="39"/>
        <v>0</v>
      </c>
      <c r="UZ30">
        <f t="shared" si="39"/>
        <v>0</v>
      </c>
      <c r="VA30">
        <f t="shared" si="39"/>
        <v>0</v>
      </c>
      <c r="VB30">
        <f t="shared" si="39"/>
        <v>0</v>
      </c>
      <c r="VC30">
        <f t="shared" si="39"/>
        <v>0</v>
      </c>
      <c r="VD30">
        <f t="shared" si="39"/>
        <v>0</v>
      </c>
      <c r="VE30">
        <f t="shared" si="39"/>
        <v>0</v>
      </c>
      <c r="VF30">
        <f t="shared" si="39"/>
        <v>0</v>
      </c>
      <c r="VG30">
        <f t="shared" si="39"/>
        <v>0</v>
      </c>
      <c r="VH30">
        <f t="shared" si="39"/>
        <v>0</v>
      </c>
      <c r="VI30">
        <f t="shared" si="39"/>
        <v>0</v>
      </c>
      <c r="VJ30">
        <f t="shared" si="39"/>
        <v>0</v>
      </c>
      <c r="VK30">
        <f t="shared" si="39"/>
        <v>0</v>
      </c>
      <c r="VL30">
        <f t="shared" si="39"/>
        <v>0</v>
      </c>
      <c r="VM30">
        <f t="shared" si="39"/>
        <v>0</v>
      </c>
      <c r="VN30">
        <f t="shared" si="39"/>
        <v>0</v>
      </c>
      <c r="VO30">
        <f t="shared" si="39"/>
        <v>0</v>
      </c>
      <c r="VP30">
        <f t="shared" si="39"/>
        <v>0</v>
      </c>
      <c r="VQ30">
        <f t="shared" si="39"/>
        <v>0</v>
      </c>
      <c r="VR30">
        <f t="shared" si="39"/>
        <v>0</v>
      </c>
      <c r="VS30">
        <f t="shared" si="39"/>
        <v>0</v>
      </c>
      <c r="VT30">
        <f t="shared" si="39"/>
        <v>0</v>
      </c>
      <c r="VU30">
        <f t="shared" si="39"/>
        <v>0</v>
      </c>
      <c r="VV30">
        <f t="shared" si="39"/>
        <v>0</v>
      </c>
      <c r="VW30">
        <f t="shared" si="39"/>
        <v>0</v>
      </c>
      <c r="VX30">
        <f t="shared" si="39"/>
        <v>0</v>
      </c>
      <c r="VY30">
        <f t="shared" si="39"/>
        <v>0</v>
      </c>
      <c r="VZ30">
        <f t="shared" si="39"/>
        <v>0</v>
      </c>
      <c r="WA30">
        <f t="shared" si="39"/>
        <v>0</v>
      </c>
      <c r="WB30">
        <f t="shared" si="39"/>
        <v>0</v>
      </c>
      <c r="WC30">
        <f t="shared" si="39"/>
        <v>0</v>
      </c>
      <c r="WD30">
        <f t="shared" si="39"/>
        <v>0</v>
      </c>
      <c r="WE30">
        <f t="shared" si="39"/>
        <v>0</v>
      </c>
      <c r="WF30">
        <f t="shared" si="39"/>
        <v>0</v>
      </c>
      <c r="WG30">
        <f t="shared" si="39"/>
        <v>0</v>
      </c>
      <c r="WH30">
        <f t="shared" si="39"/>
        <v>0</v>
      </c>
      <c r="WI30">
        <f t="shared" si="39"/>
        <v>0</v>
      </c>
      <c r="WJ30">
        <f t="shared" si="39"/>
        <v>0</v>
      </c>
      <c r="WK30">
        <f t="shared" si="39"/>
        <v>0</v>
      </c>
      <c r="WL30">
        <f t="shared" si="39"/>
        <v>0</v>
      </c>
      <c r="WM30">
        <f t="shared" si="39"/>
        <v>0</v>
      </c>
      <c r="WN30">
        <f t="shared" si="39"/>
        <v>0</v>
      </c>
      <c r="WO30">
        <f t="shared" si="39"/>
        <v>0</v>
      </c>
      <c r="WP30">
        <f t="shared" si="39"/>
        <v>0</v>
      </c>
      <c r="WQ30">
        <f t="shared" si="39"/>
        <v>0</v>
      </c>
      <c r="WR30">
        <f t="shared" si="39"/>
        <v>0</v>
      </c>
      <c r="WS30">
        <f t="shared" si="39"/>
        <v>0</v>
      </c>
      <c r="WT30">
        <f t="shared" si="39"/>
        <v>0</v>
      </c>
      <c r="WU30">
        <f t="shared" si="39"/>
        <v>0</v>
      </c>
      <c r="WV30">
        <f t="shared" si="39"/>
        <v>0</v>
      </c>
      <c r="WW30">
        <f t="shared" si="39"/>
        <v>0</v>
      </c>
      <c r="WX30">
        <f t="shared" si="39"/>
        <v>0</v>
      </c>
      <c r="WY30">
        <f t="shared" si="39"/>
        <v>0</v>
      </c>
      <c r="WZ30">
        <f t="shared" si="39"/>
        <v>0</v>
      </c>
      <c r="XA30">
        <f t="shared" si="39"/>
        <v>0</v>
      </c>
      <c r="XB30">
        <f t="shared" si="39"/>
        <v>0</v>
      </c>
      <c r="XC30">
        <f t="shared" si="39"/>
        <v>0</v>
      </c>
      <c r="XD30">
        <f t="shared" si="39"/>
        <v>0</v>
      </c>
      <c r="XE30">
        <f t="shared" si="39"/>
        <v>0</v>
      </c>
      <c r="XF30">
        <f t="shared" ref="XF30:ZQ30" si="40">XF11</f>
        <v>0</v>
      </c>
      <c r="XG30">
        <f t="shared" si="40"/>
        <v>0</v>
      </c>
      <c r="XH30">
        <f t="shared" si="40"/>
        <v>0</v>
      </c>
      <c r="XI30">
        <f t="shared" si="40"/>
        <v>0</v>
      </c>
      <c r="XJ30">
        <f t="shared" si="40"/>
        <v>0</v>
      </c>
      <c r="XK30">
        <f t="shared" si="40"/>
        <v>0</v>
      </c>
      <c r="XL30">
        <f t="shared" si="40"/>
        <v>0</v>
      </c>
      <c r="XM30">
        <f t="shared" si="40"/>
        <v>0</v>
      </c>
      <c r="XN30">
        <f t="shared" si="40"/>
        <v>0</v>
      </c>
      <c r="XO30">
        <f t="shared" si="40"/>
        <v>0</v>
      </c>
      <c r="XP30">
        <f t="shared" si="40"/>
        <v>0</v>
      </c>
      <c r="XQ30">
        <f t="shared" si="40"/>
        <v>0</v>
      </c>
      <c r="XR30">
        <f t="shared" si="40"/>
        <v>0</v>
      </c>
      <c r="XS30">
        <f t="shared" si="40"/>
        <v>0</v>
      </c>
      <c r="XT30">
        <f t="shared" si="40"/>
        <v>0</v>
      </c>
      <c r="XU30">
        <f t="shared" si="40"/>
        <v>0</v>
      </c>
      <c r="XV30">
        <f t="shared" si="40"/>
        <v>0</v>
      </c>
      <c r="XW30">
        <f t="shared" si="40"/>
        <v>0</v>
      </c>
      <c r="XX30">
        <f t="shared" si="40"/>
        <v>0</v>
      </c>
      <c r="XY30">
        <f t="shared" si="40"/>
        <v>0</v>
      </c>
      <c r="XZ30">
        <f t="shared" si="40"/>
        <v>0</v>
      </c>
      <c r="YA30">
        <f t="shared" si="40"/>
        <v>0</v>
      </c>
      <c r="YB30">
        <f t="shared" si="40"/>
        <v>0</v>
      </c>
      <c r="YC30">
        <f t="shared" si="40"/>
        <v>0</v>
      </c>
      <c r="YD30">
        <f t="shared" si="40"/>
        <v>0</v>
      </c>
      <c r="YE30">
        <f t="shared" si="40"/>
        <v>0</v>
      </c>
      <c r="YF30">
        <f t="shared" si="40"/>
        <v>0</v>
      </c>
      <c r="YG30">
        <f t="shared" si="40"/>
        <v>0</v>
      </c>
      <c r="YH30">
        <f t="shared" si="40"/>
        <v>0</v>
      </c>
      <c r="YI30">
        <f t="shared" si="40"/>
        <v>0</v>
      </c>
      <c r="YJ30">
        <f t="shared" si="40"/>
        <v>0</v>
      </c>
      <c r="YK30">
        <f t="shared" si="40"/>
        <v>0</v>
      </c>
      <c r="YL30">
        <f t="shared" si="40"/>
        <v>0</v>
      </c>
      <c r="YM30">
        <f t="shared" si="40"/>
        <v>0</v>
      </c>
      <c r="YN30">
        <f t="shared" si="40"/>
        <v>0</v>
      </c>
      <c r="YO30">
        <f t="shared" si="40"/>
        <v>0</v>
      </c>
      <c r="YP30">
        <f t="shared" si="40"/>
        <v>0</v>
      </c>
      <c r="YQ30">
        <f t="shared" si="40"/>
        <v>0</v>
      </c>
      <c r="YR30">
        <f t="shared" si="40"/>
        <v>0</v>
      </c>
      <c r="YS30">
        <f t="shared" si="40"/>
        <v>0</v>
      </c>
      <c r="YT30">
        <f t="shared" si="40"/>
        <v>0</v>
      </c>
      <c r="YU30">
        <f t="shared" si="40"/>
        <v>0</v>
      </c>
      <c r="YV30">
        <f t="shared" si="40"/>
        <v>0</v>
      </c>
      <c r="YW30">
        <f t="shared" si="40"/>
        <v>0</v>
      </c>
      <c r="YX30">
        <f t="shared" si="40"/>
        <v>0</v>
      </c>
      <c r="YY30">
        <f t="shared" si="40"/>
        <v>0</v>
      </c>
      <c r="YZ30">
        <f t="shared" si="40"/>
        <v>0</v>
      </c>
      <c r="ZA30">
        <f t="shared" si="40"/>
        <v>0</v>
      </c>
      <c r="ZB30">
        <f t="shared" si="40"/>
        <v>0</v>
      </c>
      <c r="ZC30">
        <f t="shared" si="40"/>
        <v>0</v>
      </c>
      <c r="ZD30">
        <f t="shared" si="40"/>
        <v>0</v>
      </c>
      <c r="ZE30">
        <f t="shared" si="40"/>
        <v>0</v>
      </c>
      <c r="ZF30">
        <f t="shared" si="40"/>
        <v>0</v>
      </c>
      <c r="ZG30">
        <f t="shared" si="40"/>
        <v>0</v>
      </c>
      <c r="ZH30">
        <f t="shared" si="40"/>
        <v>0</v>
      </c>
      <c r="ZI30">
        <f t="shared" si="40"/>
        <v>0</v>
      </c>
      <c r="ZJ30">
        <f t="shared" si="40"/>
        <v>0</v>
      </c>
      <c r="ZK30">
        <f t="shared" si="40"/>
        <v>0</v>
      </c>
      <c r="ZL30">
        <f t="shared" si="40"/>
        <v>0</v>
      </c>
      <c r="ZM30">
        <f t="shared" si="40"/>
        <v>0</v>
      </c>
      <c r="ZN30">
        <f t="shared" si="40"/>
        <v>0</v>
      </c>
      <c r="ZO30">
        <f t="shared" si="40"/>
        <v>0</v>
      </c>
      <c r="ZP30">
        <f t="shared" si="40"/>
        <v>0</v>
      </c>
      <c r="ZQ30">
        <f t="shared" si="40"/>
        <v>0</v>
      </c>
      <c r="ZR30">
        <f t="shared" ref="ZR30:ACC30" si="41">ZR11</f>
        <v>0</v>
      </c>
      <c r="ZS30">
        <f t="shared" si="41"/>
        <v>0</v>
      </c>
      <c r="ZT30">
        <f t="shared" si="41"/>
        <v>0</v>
      </c>
      <c r="ZU30">
        <f t="shared" si="41"/>
        <v>0</v>
      </c>
      <c r="ZV30">
        <f t="shared" si="41"/>
        <v>0</v>
      </c>
      <c r="ZW30">
        <f t="shared" si="41"/>
        <v>0</v>
      </c>
      <c r="ZX30">
        <f t="shared" si="41"/>
        <v>0</v>
      </c>
      <c r="ZY30">
        <f t="shared" si="41"/>
        <v>0</v>
      </c>
      <c r="ZZ30">
        <f t="shared" si="41"/>
        <v>0</v>
      </c>
      <c r="AAA30">
        <f t="shared" si="41"/>
        <v>0</v>
      </c>
      <c r="AAB30">
        <f t="shared" si="41"/>
        <v>0</v>
      </c>
      <c r="AAC30">
        <f t="shared" si="41"/>
        <v>0</v>
      </c>
      <c r="AAD30">
        <f t="shared" si="41"/>
        <v>0</v>
      </c>
      <c r="AAE30">
        <f t="shared" si="41"/>
        <v>0</v>
      </c>
      <c r="AAF30">
        <f t="shared" si="41"/>
        <v>0</v>
      </c>
      <c r="AAG30">
        <f t="shared" si="41"/>
        <v>0</v>
      </c>
      <c r="AAH30">
        <f t="shared" si="41"/>
        <v>0</v>
      </c>
      <c r="AAI30">
        <f t="shared" si="41"/>
        <v>0</v>
      </c>
      <c r="AAJ30">
        <f t="shared" si="41"/>
        <v>0</v>
      </c>
      <c r="AAK30">
        <f t="shared" si="41"/>
        <v>0</v>
      </c>
      <c r="AAL30">
        <f t="shared" si="41"/>
        <v>0</v>
      </c>
      <c r="AAM30">
        <f t="shared" si="41"/>
        <v>0</v>
      </c>
      <c r="AAN30">
        <f t="shared" si="41"/>
        <v>0</v>
      </c>
      <c r="AAO30">
        <f t="shared" si="41"/>
        <v>0</v>
      </c>
      <c r="AAP30">
        <f t="shared" si="41"/>
        <v>0</v>
      </c>
      <c r="AAQ30">
        <f t="shared" si="41"/>
        <v>0</v>
      </c>
      <c r="AAR30">
        <f t="shared" si="41"/>
        <v>0</v>
      </c>
      <c r="AAS30">
        <f t="shared" si="41"/>
        <v>0</v>
      </c>
      <c r="AAT30">
        <f t="shared" si="41"/>
        <v>0</v>
      </c>
      <c r="AAU30">
        <f t="shared" si="41"/>
        <v>0</v>
      </c>
      <c r="AAV30">
        <f t="shared" si="41"/>
        <v>0</v>
      </c>
      <c r="AAW30">
        <f t="shared" si="41"/>
        <v>0</v>
      </c>
      <c r="AAX30">
        <f t="shared" si="41"/>
        <v>0</v>
      </c>
      <c r="AAY30">
        <f t="shared" si="41"/>
        <v>0</v>
      </c>
      <c r="AAZ30">
        <f t="shared" si="41"/>
        <v>0</v>
      </c>
      <c r="ABA30">
        <f t="shared" si="41"/>
        <v>0</v>
      </c>
      <c r="ABB30">
        <f t="shared" si="41"/>
        <v>0</v>
      </c>
      <c r="ABC30">
        <f t="shared" si="41"/>
        <v>0</v>
      </c>
      <c r="ABD30">
        <f t="shared" si="41"/>
        <v>0</v>
      </c>
      <c r="ABE30">
        <f t="shared" si="41"/>
        <v>0</v>
      </c>
      <c r="ABF30">
        <f t="shared" si="41"/>
        <v>0</v>
      </c>
      <c r="ABG30">
        <f t="shared" si="41"/>
        <v>0</v>
      </c>
      <c r="ABH30">
        <f t="shared" si="41"/>
        <v>0</v>
      </c>
      <c r="ABI30">
        <f t="shared" si="41"/>
        <v>0</v>
      </c>
      <c r="ABJ30">
        <f t="shared" si="41"/>
        <v>0</v>
      </c>
      <c r="ABK30">
        <f t="shared" si="41"/>
        <v>0</v>
      </c>
      <c r="ABL30">
        <f t="shared" si="41"/>
        <v>0</v>
      </c>
      <c r="ABM30">
        <f t="shared" si="41"/>
        <v>0</v>
      </c>
      <c r="ABN30">
        <f t="shared" si="41"/>
        <v>0</v>
      </c>
      <c r="ABO30">
        <f t="shared" si="41"/>
        <v>0</v>
      </c>
      <c r="ABP30">
        <f t="shared" si="41"/>
        <v>0</v>
      </c>
      <c r="ABQ30">
        <f t="shared" si="41"/>
        <v>0</v>
      </c>
      <c r="ABR30">
        <f t="shared" si="41"/>
        <v>0</v>
      </c>
      <c r="ABS30">
        <f t="shared" si="41"/>
        <v>0</v>
      </c>
      <c r="ABT30">
        <f t="shared" si="41"/>
        <v>0</v>
      </c>
      <c r="ABU30">
        <f t="shared" si="41"/>
        <v>0</v>
      </c>
      <c r="ABV30">
        <f t="shared" si="41"/>
        <v>0</v>
      </c>
      <c r="ABW30">
        <f t="shared" si="41"/>
        <v>0</v>
      </c>
      <c r="ABX30">
        <f t="shared" si="41"/>
        <v>0</v>
      </c>
      <c r="ABY30">
        <f t="shared" si="41"/>
        <v>0</v>
      </c>
      <c r="ABZ30">
        <f t="shared" si="41"/>
        <v>0</v>
      </c>
      <c r="ACA30">
        <f t="shared" si="41"/>
        <v>0</v>
      </c>
      <c r="ACB30">
        <f t="shared" si="41"/>
        <v>0</v>
      </c>
      <c r="ACC30">
        <f t="shared" si="41"/>
        <v>0</v>
      </c>
      <c r="ACD30">
        <f t="shared" ref="ACD30:AEO30" si="42">ACD11</f>
        <v>0</v>
      </c>
      <c r="ACE30">
        <f t="shared" si="42"/>
        <v>0</v>
      </c>
      <c r="ACF30">
        <f t="shared" si="42"/>
        <v>0</v>
      </c>
      <c r="ACG30">
        <f t="shared" si="42"/>
        <v>0</v>
      </c>
      <c r="ACH30">
        <f t="shared" si="42"/>
        <v>0</v>
      </c>
      <c r="ACI30">
        <f t="shared" si="42"/>
        <v>0</v>
      </c>
      <c r="ACJ30">
        <f t="shared" si="42"/>
        <v>0</v>
      </c>
      <c r="ACK30">
        <f t="shared" si="42"/>
        <v>0</v>
      </c>
      <c r="ACL30">
        <f t="shared" si="42"/>
        <v>0</v>
      </c>
      <c r="ACM30">
        <f t="shared" si="42"/>
        <v>0</v>
      </c>
      <c r="ACN30">
        <f t="shared" si="42"/>
        <v>0</v>
      </c>
      <c r="ACO30">
        <f t="shared" si="42"/>
        <v>0</v>
      </c>
      <c r="ACP30">
        <f t="shared" si="42"/>
        <v>0</v>
      </c>
      <c r="ACQ30">
        <f t="shared" si="42"/>
        <v>0</v>
      </c>
      <c r="ACR30">
        <f t="shared" si="42"/>
        <v>0</v>
      </c>
      <c r="ACS30">
        <f t="shared" si="42"/>
        <v>0</v>
      </c>
      <c r="ACT30">
        <f t="shared" si="42"/>
        <v>0</v>
      </c>
      <c r="ACU30">
        <f t="shared" si="42"/>
        <v>0</v>
      </c>
      <c r="ACV30">
        <f t="shared" si="42"/>
        <v>0</v>
      </c>
      <c r="ACW30">
        <f t="shared" si="42"/>
        <v>0</v>
      </c>
      <c r="ACX30">
        <f t="shared" si="42"/>
        <v>0</v>
      </c>
      <c r="ACY30">
        <f t="shared" si="42"/>
        <v>0</v>
      </c>
      <c r="ACZ30">
        <f t="shared" si="42"/>
        <v>0</v>
      </c>
      <c r="ADA30">
        <f t="shared" si="42"/>
        <v>0</v>
      </c>
      <c r="ADB30">
        <f t="shared" si="42"/>
        <v>0</v>
      </c>
      <c r="ADC30">
        <f t="shared" si="42"/>
        <v>0</v>
      </c>
      <c r="ADD30">
        <f t="shared" si="42"/>
        <v>0</v>
      </c>
      <c r="ADE30">
        <f t="shared" si="42"/>
        <v>0</v>
      </c>
      <c r="ADF30">
        <f t="shared" si="42"/>
        <v>0</v>
      </c>
      <c r="ADG30">
        <f t="shared" si="42"/>
        <v>0</v>
      </c>
      <c r="ADH30">
        <f t="shared" si="42"/>
        <v>0</v>
      </c>
      <c r="ADI30">
        <f t="shared" si="42"/>
        <v>0</v>
      </c>
      <c r="ADJ30">
        <f t="shared" si="42"/>
        <v>0</v>
      </c>
      <c r="ADK30">
        <f t="shared" si="42"/>
        <v>0</v>
      </c>
      <c r="ADL30">
        <f t="shared" si="42"/>
        <v>0</v>
      </c>
      <c r="ADM30">
        <f t="shared" si="42"/>
        <v>0</v>
      </c>
      <c r="ADN30">
        <f t="shared" si="42"/>
        <v>0</v>
      </c>
      <c r="ADO30">
        <f t="shared" si="42"/>
        <v>0</v>
      </c>
      <c r="ADP30">
        <f t="shared" si="42"/>
        <v>0</v>
      </c>
      <c r="ADQ30">
        <f t="shared" si="42"/>
        <v>0</v>
      </c>
      <c r="ADR30">
        <f t="shared" si="42"/>
        <v>0</v>
      </c>
      <c r="ADS30">
        <f t="shared" si="42"/>
        <v>0</v>
      </c>
      <c r="ADT30">
        <f t="shared" si="42"/>
        <v>0</v>
      </c>
      <c r="ADU30">
        <f t="shared" si="42"/>
        <v>0</v>
      </c>
      <c r="ADV30">
        <f t="shared" si="42"/>
        <v>0</v>
      </c>
      <c r="ADW30">
        <f t="shared" si="42"/>
        <v>0</v>
      </c>
      <c r="ADX30">
        <f t="shared" si="42"/>
        <v>0</v>
      </c>
      <c r="ADY30">
        <f t="shared" si="42"/>
        <v>0</v>
      </c>
      <c r="ADZ30">
        <f t="shared" si="42"/>
        <v>0</v>
      </c>
      <c r="AEA30">
        <f t="shared" si="42"/>
        <v>0</v>
      </c>
      <c r="AEB30">
        <f t="shared" si="42"/>
        <v>0</v>
      </c>
      <c r="AEC30">
        <f t="shared" si="42"/>
        <v>0</v>
      </c>
      <c r="AED30">
        <f t="shared" si="42"/>
        <v>0</v>
      </c>
      <c r="AEE30">
        <f t="shared" si="42"/>
        <v>0</v>
      </c>
      <c r="AEF30">
        <f t="shared" si="42"/>
        <v>0</v>
      </c>
      <c r="AEG30">
        <f t="shared" si="42"/>
        <v>0</v>
      </c>
      <c r="AEH30">
        <f t="shared" si="42"/>
        <v>0</v>
      </c>
      <c r="AEI30">
        <f t="shared" si="42"/>
        <v>0</v>
      </c>
      <c r="AEJ30">
        <f t="shared" si="42"/>
        <v>0</v>
      </c>
      <c r="AEK30">
        <f t="shared" si="42"/>
        <v>0</v>
      </c>
      <c r="AEL30">
        <f t="shared" si="42"/>
        <v>0</v>
      </c>
      <c r="AEM30">
        <f t="shared" si="42"/>
        <v>0</v>
      </c>
      <c r="AEN30">
        <f t="shared" si="42"/>
        <v>0</v>
      </c>
      <c r="AEO30">
        <f t="shared" si="42"/>
        <v>0</v>
      </c>
      <c r="AEP30">
        <f t="shared" ref="AEP30:AHA30" si="43">AEP11</f>
        <v>0</v>
      </c>
      <c r="AEQ30">
        <f t="shared" si="43"/>
        <v>0</v>
      </c>
      <c r="AER30">
        <f t="shared" si="43"/>
        <v>0</v>
      </c>
      <c r="AES30">
        <f t="shared" si="43"/>
        <v>0</v>
      </c>
      <c r="AET30">
        <f t="shared" si="43"/>
        <v>0</v>
      </c>
      <c r="AEU30">
        <f t="shared" si="43"/>
        <v>0</v>
      </c>
      <c r="AEV30">
        <f t="shared" si="43"/>
        <v>0</v>
      </c>
      <c r="AEW30">
        <f t="shared" si="43"/>
        <v>0</v>
      </c>
      <c r="AEX30">
        <f t="shared" si="43"/>
        <v>0</v>
      </c>
      <c r="AEY30">
        <f t="shared" si="43"/>
        <v>0</v>
      </c>
      <c r="AEZ30">
        <f t="shared" si="43"/>
        <v>0</v>
      </c>
      <c r="AFA30">
        <f t="shared" si="43"/>
        <v>0</v>
      </c>
      <c r="AFB30">
        <f t="shared" si="43"/>
        <v>0</v>
      </c>
      <c r="AFC30">
        <f t="shared" si="43"/>
        <v>0</v>
      </c>
      <c r="AFD30">
        <f t="shared" si="43"/>
        <v>0</v>
      </c>
      <c r="AFE30">
        <f t="shared" si="43"/>
        <v>0</v>
      </c>
      <c r="AFF30">
        <f t="shared" si="43"/>
        <v>0</v>
      </c>
      <c r="AFG30">
        <f t="shared" si="43"/>
        <v>0</v>
      </c>
      <c r="AFH30">
        <f t="shared" si="43"/>
        <v>0</v>
      </c>
      <c r="AFI30">
        <f t="shared" si="43"/>
        <v>0</v>
      </c>
      <c r="AFJ30">
        <f t="shared" si="43"/>
        <v>0</v>
      </c>
      <c r="AFK30">
        <f t="shared" si="43"/>
        <v>0</v>
      </c>
      <c r="AFL30">
        <f t="shared" si="43"/>
        <v>0</v>
      </c>
      <c r="AFM30">
        <f t="shared" si="43"/>
        <v>0</v>
      </c>
      <c r="AFN30">
        <f t="shared" si="43"/>
        <v>0</v>
      </c>
      <c r="AFO30">
        <f t="shared" si="43"/>
        <v>0</v>
      </c>
      <c r="AFP30">
        <f t="shared" si="43"/>
        <v>0</v>
      </c>
      <c r="AFQ30">
        <f t="shared" si="43"/>
        <v>0</v>
      </c>
      <c r="AFR30">
        <f t="shared" si="43"/>
        <v>0</v>
      </c>
      <c r="AFS30">
        <f t="shared" si="43"/>
        <v>0</v>
      </c>
      <c r="AFT30">
        <f t="shared" si="43"/>
        <v>0</v>
      </c>
      <c r="AFU30">
        <f t="shared" si="43"/>
        <v>0</v>
      </c>
      <c r="AFV30">
        <f t="shared" si="43"/>
        <v>0</v>
      </c>
      <c r="AFW30">
        <f t="shared" si="43"/>
        <v>0</v>
      </c>
      <c r="AFX30">
        <f t="shared" si="43"/>
        <v>0</v>
      </c>
      <c r="AFY30">
        <f t="shared" si="43"/>
        <v>0</v>
      </c>
      <c r="AFZ30">
        <f t="shared" si="43"/>
        <v>0</v>
      </c>
      <c r="AGA30">
        <f t="shared" si="43"/>
        <v>0</v>
      </c>
      <c r="AGB30">
        <f t="shared" si="43"/>
        <v>0</v>
      </c>
      <c r="AGC30">
        <f t="shared" si="43"/>
        <v>0</v>
      </c>
      <c r="AGD30">
        <f t="shared" si="43"/>
        <v>0</v>
      </c>
      <c r="AGE30">
        <f t="shared" si="43"/>
        <v>0</v>
      </c>
      <c r="AGF30">
        <f t="shared" si="43"/>
        <v>0</v>
      </c>
      <c r="AGG30">
        <f t="shared" si="43"/>
        <v>0</v>
      </c>
      <c r="AGH30">
        <f t="shared" si="43"/>
        <v>0</v>
      </c>
      <c r="AGI30">
        <f t="shared" si="43"/>
        <v>0</v>
      </c>
      <c r="AGJ30">
        <f t="shared" si="43"/>
        <v>0</v>
      </c>
      <c r="AGK30">
        <f t="shared" si="43"/>
        <v>0</v>
      </c>
      <c r="AGL30">
        <f t="shared" si="43"/>
        <v>0</v>
      </c>
      <c r="AGM30">
        <f t="shared" si="43"/>
        <v>0</v>
      </c>
      <c r="AGN30">
        <f t="shared" si="43"/>
        <v>0</v>
      </c>
      <c r="AGO30">
        <f t="shared" si="43"/>
        <v>0</v>
      </c>
      <c r="AGP30">
        <f t="shared" si="43"/>
        <v>0</v>
      </c>
      <c r="AGQ30">
        <f t="shared" si="43"/>
        <v>0</v>
      </c>
      <c r="AGR30">
        <f t="shared" si="43"/>
        <v>0</v>
      </c>
      <c r="AGS30">
        <f t="shared" si="43"/>
        <v>0</v>
      </c>
      <c r="AGT30">
        <f t="shared" si="43"/>
        <v>0</v>
      </c>
      <c r="AGU30">
        <f t="shared" si="43"/>
        <v>0</v>
      </c>
      <c r="AGV30">
        <f t="shared" si="43"/>
        <v>0</v>
      </c>
      <c r="AGW30">
        <f t="shared" si="43"/>
        <v>0</v>
      </c>
      <c r="AGX30">
        <f t="shared" si="43"/>
        <v>0</v>
      </c>
      <c r="AGY30">
        <f t="shared" si="43"/>
        <v>0</v>
      </c>
      <c r="AGZ30">
        <f t="shared" si="43"/>
        <v>0</v>
      </c>
      <c r="AHA30">
        <f t="shared" si="43"/>
        <v>0</v>
      </c>
      <c r="AHB30">
        <f t="shared" ref="AHB30:AJM30" si="44">AHB11</f>
        <v>0</v>
      </c>
      <c r="AHC30">
        <f t="shared" si="44"/>
        <v>0</v>
      </c>
      <c r="AHD30">
        <f t="shared" si="44"/>
        <v>0</v>
      </c>
      <c r="AHE30">
        <f t="shared" si="44"/>
        <v>0</v>
      </c>
      <c r="AHF30">
        <f t="shared" si="44"/>
        <v>0</v>
      </c>
      <c r="AHG30">
        <f t="shared" si="44"/>
        <v>0</v>
      </c>
      <c r="AHH30">
        <f t="shared" si="44"/>
        <v>0</v>
      </c>
      <c r="AHI30">
        <f t="shared" si="44"/>
        <v>0</v>
      </c>
      <c r="AHJ30">
        <f t="shared" si="44"/>
        <v>0</v>
      </c>
      <c r="AHK30">
        <f t="shared" si="44"/>
        <v>0</v>
      </c>
      <c r="AHL30">
        <f t="shared" si="44"/>
        <v>0</v>
      </c>
      <c r="AHM30">
        <f t="shared" si="44"/>
        <v>0</v>
      </c>
      <c r="AHN30">
        <f t="shared" si="44"/>
        <v>0</v>
      </c>
      <c r="AHO30">
        <f t="shared" si="44"/>
        <v>0</v>
      </c>
      <c r="AHP30">
        <f t="shared" si="44"/>
        <v>0</v>
      </c>
      <c r="AHQ30">
        <f t="shared" si="44"/>
        <v>0</v>
      </c>
      <c r="AHR30">
        <f t="shared" si="44"/>
        <v>0</v>
      </c>
      <c r="AHS30">
        <f t="shared" si="44"/>
        <v>0</v>
      </c>
      <c r="AHT30">
        <f t="shared" si="44"/>
        <v>0</v>
      </c>
      <c r="AHU30">
        <f t="shared" si="44"/>
        <v>0</v>
      </c>
      <c r="AHV30">
        <f t="shared" si="44"/>
        <v>0</v>
      </c>
      <c r="AHW30">
        <f t="shared" si="44"/>
        <v>0</v>
      </c>
      <c r="AHX30">
        <f t="shared" si="44"/>
        <v>0</v>
      </c>
      <c r="AHY30">
        <f t="shared" si="44"/>
        <v>0</v>
      </c>
      <c r="AHZ30">
        <f t="shared" si="44"/>
        <v>0</v>
      </c>
      <c r="AIA30">
        <f t="shared" si="44"/>
        <v>0</v>
      </c>
      <c r="AIB30">
        <f t="shared" si="44"/>
        <v>0</v>
      </c>
      <c r="AIC30">
        <f t="shared" si="44"/>
        <v>0</v>
      </c>
      <c r="AID30">
        <f t="shared" si="44"/>
        <v>0</v>
      </c>
      <c r="AIE30">
        <f t="shared" si="44"/>
        <v>0</v>
      </c>
      <c r="AIF30">
        <f t="shared" si="44"/>
        <v>0</v>
      </c>
      <c r="AIG30">
        <f t="shared" si="44"/>
        <v>0</v>
      </c>
      <c r="AIH30">
        <f t="shared" si="44"/>
        <v>0</v>
      </c>
      <c r="AII30">
        <f t="shared" si="44"/>
        <v>0</v>
      </c>
      <c r="AIJ30">
        <f t="shared" si="44"/>
        <v>0</v>
      </c>
      <c r="AIK30">
        <f t="shared" si="44"/>
        <v>0</v>
      </c>
      <c r="AIL30">
        <f t="shared" si="44"/>
        <v>0</v>
      </c>
      <c r="AIM30">
        <f t="shared" si="44"/>
        <v>0</v>
      </c>
      <c r="AIN30">
        <f t="shared" si="44"/>
        <v>0</v>
      </c>
      <c r="AIO30">
        <f t="shared" si="44"/>
        <v>0</v>
      </c>
      <c r="AIP30">
        <f t="shared" si="44"/>
        <v>0</v>
      </c>
      <c r="AIQ30">
        <f t="shared" si="44"/>
        <v>0</v>
      </c>
      <c r="AIR30">
        <f t="shared" si="44"/>
        <v>0</v>
      </c>
      <c r="AIS30">
        <f t="shared" si="44"/>
        <v>0</v>
      </c>
      <c r="AIT30">
        <f t="shared" si="44"/>
        <v>0</v>
      </c>
      <c r="AIU30">
        <f t="shared" si="44"/>
        <v>0</v>
      </c>
      <c r="AIV30">
        <f t="shared" si="44"/>
        <v>0</v>
      </c>
      <c r="AIW30">
        <f t="shared" si="44"/>
        <v>0</v>
      </c>
      <c r="AIX30">
        <f t="shared" si="44"/>
        <v>0</v>
      </c>
      <c r="AIY30">
        <f t="shared" si="44"/>
        <v>0</v>
      </c>
      <c r="AIZ30">
        <f t="shared" si="44"/>
        <v>0</v>
      </c>
      <c r="AJA30">
        <f t="shared" si="44"/>
        <v>0</v>
      </c>
      <c r="AJB30">
        <f t="shared" si="44"/>
        <v>0</v>
      </c>
      <c r="AJC30">
        <f t="shared" si="44"/>
        <v>0</v>
      </c>
      <c r="AJD30">
        <f t="shared" si="44"/>
        <v>0</v>
      </c>
      <c r="AJE30">
        <f t="shared" si="44"/>
        <v>0</v>
      </c>
      <c r="AJF30">
        <f t="shared" si="44"/>
        <v>0</v>
      </c>
      <c r="AJG30">
        <f t="shared" si="44"/>
        <v>0</v>
      </c>
      <c r="AJH30">
        <f t="shared" si="44"/>
        <v>0</v>
      </c>
      <c r="AJI30">
        <f t="shared" si="44"/>
        <v>0</v>
      </c>
      <c r="AJJ30">
        <f t="shared" si="44"/>
        <v>0</v>
      </c>
      <c r="AJK30">
        <f t="shared" si="44"/>
        <v>0</v>
      </c>
      <c r="AJL30">
        <f t="shared" si="44"/>
        <v>0</v>
      </c>
      <c r="AJM30">
        <f t="shared" si="44"/>
        <v>0</v>
      </c>
      <c r="AJN30">
        <f t="shared" ref="AJN30:ALM30" si="45">AJN11</f>
        <v>0</v>
      </c>
      <c r="AJO30">
        <f t="shared" si="45"/>
        <v>0</v>
      </c>
      <c r="AJP30">
        <f t="shared" si="45"/>
        <v>0</v>
      </c>
      <c r="AJQ30">
        <f t="shared" si="45"/>
        <v>0</v>
      </c>
      <c r="AJR30">
        <f t="shared" si="45"/>
        <v>0</v>
      </c>
      <c r="AJS30">
        <f t="shared" si="45"/>
        <v>0</v>
      </c>
      <c r="AJT30">
        <f t="shared" si="45"/>
        <v>0</v>
      </c>
      <c r="AJU30">
        <f t="shared" si="45"/>
        <v>0</v>
      </c>
      <c r="AJV30">
        <f t="shared" si="45"/>
        <v>0</v>
      </c>
      <c r="AJW30">
        <f t="shared" si="45"/>
        <v>0</v>
      </c>
      <c r="AJX30">
        <f t="shared" si="45"/>
        <v>0</v>
      </c>
      <c r="AJY30">
        <f t="shared" si="45"/>
        <v>0</v>
      </c>
      <c r="AJZ30">
        <f t="shared" si="45"/>
        <v>0</v>
      </c>
      <c r="AKA30">
        <f t="shared" si="45"/>
        <v>0</v>
      </c>
      <c r="AKB30">
        <f t="shared" si="45"/>
        <v>0</v>
      </c>
      <c r="AKC30">
        <f t="shared" si="45"/>
        <v>0</v>
      </c>
      <c r="AKD30">
        <f t="shared" si="45"/>
        <v>0</v>
      </c>
      <c r="AKE30">
        <f t="shared" si="45"/>
        <v>0</v>
      </c>
      <c r="AKF30">
        <f t="shared" si="45"/>
        <v>0</v>
      </c>
      <c r="AKG30">
        <f t="shared" si="45"/>
        <v>0</v>
      </c>
      <c r="AKH30">
        <f t="shared" si="45"/>
        <v>0</v>
      </c>
      <c r="AKI30">
        <f t="shared" si="45"/>
        <v>0</v>
      </c>
      <c r="AKJ30">
        <f t="shared" si="45"/>
        <v>0</v>
      </c>
      <c r="AKK30">
        <f t="shared" si="45"/>
        <v>0</v>
      </c>
      <c r="AKL30">
        <f t="shared" si="45"/>
        <v>0</v>
      </c>
      <c r="AKM30">
        <f t="shared" si="45"/>
        <v>0</v>
      </c>
      <c r="AKN30">
        <f t="shared" si="45"/>
        <v>0</v>
      </c>
      <c r="AKO30">
        <f t="shared" si="45"/>
        <v>0</v>
      </c>
      <c r="AKP30">
        <f t="shared" si="45"/>
        <v>0</v>
      </c>
      <c r="AKQ30">
        <f t="shared" si="45"/>
        <v>0</v>
      </c>
      <c r="AKR30">
        <f t="shared" si="45"/>
        <v>0</v>
      </c>
      <c r="AKS30">
        <f t="shared" si="45"/>
        <v>0</v>
      </c>
      <c r="AKT30">
        <f t="shared" si="45"/>
        <v>0</v>
      </c>
      <c r="AKU30">
        <f t="shared" si="45"/>
        <v>0</v>
      </c>
      <c r="AKV30">
        <f t="shared" si="45"/>
        <v>0</v>
      </c>
      <c r="AKW30">
        <f t="shared" si="45"/>
        <v>0</v>
      </c>
      <c r="AKX30">
        <f t="shared" si="45"/>
        <v>0</v>
      </c>
      <c r="AKY30">
        <f t="shared" si="45"/>
        <v>0</v>
      </c>
      <c r="AKZ30">
        <f t="shared" si="45"/>
        <v>0</v>
      </c>
      <c r="ALA30">
        <f t="shared" si="45"/>
        <v>0</v>
      </c>
      <c r="ALB30">
        <f t="shared" si="45"/>
        <v>0</v>
      </c>
      <c r="ALC30">
        <f t="shared" si="45"/>
        <v>0</v>
      </c>
      <c r="ALD30">
        <f t="shared" si="45"/>
        <v>0</v>
      </c>
      <c r="ALE30">
        <f t="shared" si="45"/>
        <v>0</v>
      </c>
      <c r="ALF30">
        <f t="shared" si="45"/>
        <v>0</v>
      </c>
      <c r="ALG30">
        <f t="shared" si="45"/>
        <v>0</v>
      </c>
      <c r="ALH30">
        <f t="shared" si="45"/>
        <v>0</v>
      </c>
      <c r="ALI30">
        <f t="shared" si="45"/>
        <v>0</v>
      </c>
      <c r="ALJ30">
        <f t="shared" si="45"/>
        <v>0</v>
      </c>
      <c r="ALK30">
        <f t="shared" si="45"/>
        <v>0</v>
      </c>
      <c r="ALL30">
        <f t="shared" si="45"/>
        <v>0</v>
      </c>
      <c r="ALM30">
        <f t="shared" si="45"/>
        <v>0</v>
      </c>
    </row>
    <row r="31" spans="1:1001">
      <c r="A31" s="26"/>
      <c r="B31">
        <f>SUMIFS(Detail!$AS:$AS,Detail!$G:$G,'Rates-Service Fees'!B$23,Detail!$H:$H,'Rates-Service Fees'!B11)*100</f>
        <v>0</v>
      </c>
      <c r="C31">
        <f>SUMIFS(Detail!$AS:$AS,Detail!$G:$G,'Rates-Service Fees'!C$23,Detail!$H:$H,'Rates-Service Fees'!C11)*100</f>
        <v>0</v>
      </c>
      <c r="D31">
        <f>SUMIFS(Detail!$AS:$AS,Detail!$G:$G,'Rates-Service Fees'!D$23,Detail!$H:$H,'Rates-Service Fees'!D11)*100</f>
        <v>0</v>
      </c>
      <c r="E31">
        <f>SUMIFS(Detail!$AS:$AS,Detail!$G:$G,'Rates-Service Fees'!E$23,Detail!$H:$H,'Rates-Service Fees'!E11)*100</f>
        <v>0</v>
      </c>
      <c r="F31">
        <f>SUMIFS(Detail!$AS:$AS,Detail!$G:$G,'Rates-Service Fees'!F$23,Detail!$H:$H,'Rates-Service Fees'!F11)*100</f>
        <v>0</v>
      </c>
      <c r="G31">
        <f>SUMIFS(Detail!$AS:$AS,Detail!$G:$G,'Rates-Service Fees'!G$23,Detail!$H:$H,'Rates-Service Fees'!G11)*100</f>
        <v>0</v>
      </c>
      <c r="H31">
        <f>SUMIFS(Detail!$AS:$AS,Detail!$G:$G,'Rates-Service Fees'!H$23,Detail!$H:$H,'Rates-Service Fees'!H11)*100</f>
        <v>0</v>
      </c>
      <c r="I31">
        <f>SUMIFS(Detail!$AS:$AS,Detail!$G:$G,'Rates-Service Fees'!I$23,Detail!$H:$H,'Rates-Service Fees'!I11)*100</f>
        <v>0</v>
      </c>
      <c r="J31">
        <f>SUMIFS(Detail!$AS:$AS,Detail!$G:$G,'Rates-Service Fees'!J$23,Detail!$H:$H,'Rates-Service Fees'!J11)*100</f>
        <v>0</v>
      </c>
      <c r="K31">
        <f>SUMIFS(Detail!$AS:$AS,Detail!$G:$G,'Rates-Service Fees'!K$23,Detail!$H:$H,'Rates-Service Fees'!K11)*100</f>
        <v>0</v>
      </c>
      <c r="L31">
        <f>SUMIFS(Detail!$AS:$AS,Detail!$G:$G,'Rates-Service Fees'!L$23,Detail!$H:$H,'Rates-Service Fees'!L11)*100</f>
        <v>0</v>
      </c>
      <c r="M31">
        <f>SUMIFS(Detail!$AS:$AS,Detail!$G:$G,'Rates-Service Fees'!M$23,Detail!$H:$H,'Rates-Service Fees'!M11)*100</f>
        <v>0</v>
      </c>
      <c r="N31">
        <f>SUMIFS(Detail!$AS:$AS,Detail!$G:$G,'Rates-Service Fees'!N$23,Detail!$H:$H,'Rates-Service Fees'!N11)*100</f>
        <v>0</v>
      </c>
      <c r="O31">
        <f>SUMIFS(Detail!$AS:$AS,Detail!$G:$G,'Rates-Service Fees'!O$23,Detail!$H:$H,'Rates-Service Fees'!O11)*100</f>
        <v>0</v>
      </c>
      <c r="P31">
        <f>SUMIFS(Detail!$AS:$AS,Detail!$G:$G,'Rates-Service Fees'!P$23,Detail!$H:$H,'Rates-Service Fees'!P11)*100</f>
        <v>0</v>
      </c>
      <c r="Q31">
        <f>SUMIFS(Detail!$AS:$AS,Detail!$G:$G,'Rates-Service Fees'!Q$23,Detail!$H:$H,'Rates-Service Fees'!Q11)*100</f>
        <v>0</v>
      </c>
      <c r="R31">
        <f>SUMIFS(Detail!$AS:$AS,Detail!$G:$G,'Rates-Service Fees'!R$23,Detail!$H:$H,'Rates-Service Fees'!R11)*100</f>
        <v>0</v>
      </c>
      <c r="S31">
        <f>SUMIFS(Detail!$AS:$AS,Detail!$G:$G,'Rates-Service Fees'!S$23,Detail!$H:$H,'Rates-Service Fees'!S11)*100</f>
        <v>0</v>
      </c>
      <c r="T31">
        <f>SUMIFS(Detail!$AS:$AS,Detail!$G:$G,'Rates-Service Fees'!T$23,Detail!$H:$H,'Rates-Service Fees'!T11)*100</f>
        <v>0</v>
      </c>
      <c r="U31">
        <f>SUMIFS(Detail!$AS:$AS,Detail!$G:$G,'Rates-Service Fees'!U$23,Detail!$H:$H,'Rates-Service Fees'!U11)*100</f>
        <v>0</v>
      </c>
      <c r="V31">
        <f>SUMIFS(Detail!$AS:$AS,Detail!$G:$G,'Rates-Service Fees'!V$23,Detail!$H:$H,'Rates-Service Fees'!V11)*100</f>
        <v>0</v>
      </c>
      <c r="W31">
        <f>SUMIFS(Detail!$AS:$AS,Detail!$G:$G,'Rates-Service Fees'!W$23,Detail!$H:$H,'Rates-Service Fees'!W11)*100</f>
        <v>0</v>
      </c>
      <c r="X31">
        <f>SUMIFS(Detail!$AS:$AS,Detail!$G:$G,'Rates-Service Fees'!X$23,Detail!$H:$H,'Rates-Service Fees'!X11)*100</f>
        <v>0</v>
      </c>
      <c r="Y31">
        <f>SUMIFS(Detail!$AS:$AS,Detail!$G:$G,'Rates-Service Fees'!Y$23,Detail!$H:$H,'Rates-Service Fees'!Y11)*100</f>
        <v>0</v>
      </c>
      <c r="Z31">
        <f>SUMIFS(Detail!$AS:$AS,Detail!$G:$G,'Rates-Service Fees'!Z$23,Detail!$H:$H,'Rates-Service Fees'!Z11)*100</f>
        <v>0</v>
      </c>
      <c r="AA31">
        <f>SUMIFS(Detail!$AS:$AS,Detail!$G:$G,'Rates-Service Fees'!AA$23,Detail!$H:$H,'Rates-Service Fees'!AA11)*100</f>
        <v>0</v>
      </c>
      <c r="AB31">
        <f>SUMIFS(Detail!$AS:$AS,Detail!$G:$G,'Rates-Service Fees'!AB$23,Detail!$H:$H,'Rates-Service Fees'!AB11)*100</f>
        <v>0</v>
      </c>
      <c r="AC31">
        <f>SUMIFS(Detail!$AS:$AS,Detail!$G:$G,'Rates-Service Fees'!AC$23,Detail!$H:$H,'Rates-Service Fees'!AC11)*100</f>
        <v>0</v>
      </c>
      <c r="AD31">
        <f>SUMIFS(Detail!$AS:$AS,Detail!$G:$G,'Rates-Service Fees'!AD$23,Detail!$H:$H,'Rates-Service Fees'!AD11)*100</f>
        <v>0</v>
      </c>
      <c r="AE31">
        <f>SUMIFS(Detail!$AS:$AS,Detail!$G:$G,'Rates-Service Fees'!AE$23,Detail!$H:$H,'Rates-Service Fees'!AE11)*100</f>
        <v>0</v>
      </c>
      <c r="AF31">
        <f>SUMIFS(Detail!$AS:$AS,Detail!$G:$G,'Rates-Service Fees'!AF$23,Detail!$H:$H,'Rates-Service Fees'!AF11)*100</f>
        <v>0</v>
      </c>
      <c r="AG31">
        <f>SUMIFS(Detail!$AS:$AS,Detail!$G:$G,'Rates-Service Fees'!AG$23,Detail!$H:$H,'Rates-Service Fees'!AG11)*100</f>
        <v>0</v>
      </c>
      <c r="AH31">
        <f>SUMIFS(Detail!$AS:$AS,Detail!$G:$G,'Rates-Service Fees'!AH$23,Detail!$H:$H,'Rates-Service Fees'!AH11)*100</f>
        <v>0</v>
      </c>
      <c r="AI31">
        <f>SUMIFS(Detail!$AS:$AS,Detail!$G:$G,'Rates-Service Fees'!AI$23,Detail!$H:$H,'Rates-Service Fees'!AI11)*100</f>
        <v>0</v>
      </c>
      <c r="AJ31">
        <f>SUMIFS(Detail!$AS:$AS,Detail!$G:$G,'Rates-Service Fees'!AJ$23,Detail!$H:$H,'Rates-Service Fees'!AJ11)*100</f>
        <v>0</v>
      </c>
      <c r="AK31">
        <f>SUMIFS(Detail!$AS:$AS,Detail!$G:$G,'Rates-Service Fees'!AK$23,Detail!$H:$H,'Rates-Service Fees'!AK11)*100</f>
        <v>0</v>
      </c>
      <c r="AL31">
        <f>SUMIFS(Detail!$AS:$AS,Detail!$G:$G,'Rates-Service Fees'!AL$23,Detail!$H:$H,'Rates-Service Fees'!AL11)*100</f>
        <v>0</v>
      </c>
      <c r="AM31">
        <f>SUMIFS(Detail!$AS:$AS,Detail!$G:$G,'Rates-Service Fees'!AM$23,Detail!$H:$H,'Rates-Service Fees'!AM11)*100</f>
        <v>0</v>
      </c>
      <c r="AN31">
        <f>SUMIFS(Detail!$AS:$AS,Detail!$G:$G,'Rates-Service Fees'!AN$23,Detail!$H:$H,'Rates-Service Fees'!AN11)*100</f>
        <v>0</v>
      </c>
      <c r="AO31">
        <f>SUMIFS(Detail!$AS:$AS,Detail!$G:$G,'Rates-Service Fees'!AO$23,Detail!$H:$H,'Rates-Service Fees'!AO11)*100</f>
        <v>0</v>
      </c>
      <c r="AP31">
        <f>SUMIFS(Detail!$AS:$AS,Detail!$G:$G,'Rates-Service Fees'!AP$23,Detail!$H:$H,'Rates-Service Fees'!AP11)*100</f>
        <v>0</v>
      </c>
      <c r="AQ31">
        <f>SUMIFS(Detail!$AS:$AS,Detail!$G:$G,'Rates-Service Fees'!AQ$23,Detail!$H:$H,'Rates-Service Fees'!AQ11)*100</f>
        <v>0</v>
      </c>
      <c r="AR31">
        <f>SUMIFS(Detail!$AS:$AS,Detail!$G:$G,'Rates-Service Fees'!AR$23,Detail!$H:$H,'Rates-Service Fees'!AR11)*100</f>
        <v>0</v>
      </c>
      <c r="AS31">
        <f>SUMIFS(Detail!$AS:$AS,Detail!$G:$G,'Rates-Service Fees'!AS$23,Detail!$H:$H,'Rates-Service Fees'!AS11)*100</f>
        <v>0</v>
      </c>
      <c r="AT31">
        <f>SUMIFS(Detail!$AS:$AS,Detail!$G:$G,'Rates-Service Fees'!AT$23,Detail!$H:$H,'Rates-Service Fees'!AT11)*100</f>
        <v>0</v>
      </c>
      <c r="AU31">
        <f>SUMIFS(Detail!$AS:$AS,Detail!$G:$G,'Rates-Service Fees'!AU$23,Detail!$H:$H,'Rates-Service Fees'!AU11)*100</f>
        <v>0</v>
      </c>
      <c r="AV31">
        <f>SUMIFS(Detail!$AS:$AS,Detail!$G:$G,'Rates-Service Fees'!AV$23,Detail!$H:$H,'Rates-Service Fees'!AV11)*100</f>
        <v>0</v>
      </c>
      <c r="AW31">
        <f>SUMIFS(Detail!$AS:$AS,Detail!$G:$G,'Rates-Service Fees'!AW$23,Detail!$H:$H,'Rates-Service Fees'!AW11)*100</f>
        <v>0</v>
      </c>
      <c r="AX31">
        <f>SUMIFS(Detail!$AS:$AS,Detail!$G:$G,'Rates-Service Fees'!AX$23,Detail!$H:$H,'Rates-Service Fees'!AX11)*100</f>
        <v>0</v>
      </c>
      <c r="AY31">
        <f>SUMIFS(Detail!$AS:$AS,Detail!$G:$G,'Rates-Service Fees'!AY$23,Detail!$H:$H,'Rates-Service Fees'!AY11)*100</f>
        <v>0</v>
      </c>
      <c r="AZ31">
        <f>SUMIFS(Detail!$AS:$AS,Detail!$G:$G,'Rates-Service Fees'!AZ$23,Detail!$H:$H,'Rates-Service Fees'!AZ11)*100</f>
        <v>0</v>
      </c>
      <c r="BA31">
        <f>SUMIFS(Detail!$AS:$AS,Detail!$G:$G,'Rates-Service Fees'!BA$23,Detail!$H:$H,'Rates-Service Fees'!BA11)*100</f>
        <v>0</v>
      </c>
      <c r="BB31">
        <f>SUMIFS(Detail!$AS:$AS,Detail!$G:$G,'Rates-Service Fees'!BB$23,Detail!$H:$H,'Rates-Service Fees'!BB11)*100</f>
        <v>0</v>
      </c>
      <c r="BC31">
        <f>SUMIFS(Detail!$AS:$AS,Detail!$G:$G,'Rates-Service Fees'!BC$23,Detail!$H:$H,'Rates-Service Fees'!BC11)*100</f>
        <v>0</v>
      </c>
      <c r="BD31">
        <f>SUMIFS(Detail!$AS:$AS,Detail!$G:$G,'Rates-Service Fees'!BD$23,Detail!$H:$H,'Rates-Service Fees'!BD11)*100</f>
        <v>0</v>
      </c>
      <c r="BE31">
        <f>SUMIFS(Detail!$AS:$AS,Detail!$G:$G,'Rates-Service Fees'!BE$23,Detail!$H:$H,'Rates-Service Fees'!BE11)*100</f>
        <v>0</v>
      </c>
      <c r="BF31">
        <f>SUMIFS(Detail!$AS:$AS,Detail!$G:$G,'Rates-Service Fees'!BF$23,Detail!$H:$H,'Rates-Service Fees'!BF11)*100</f>
        <v>0</v>
      </c>
      <c r="BG31">
        <f>SUMIFS(Detail!$AS:$AS,Detail!$G:$G,'Rates-Service Fees'!BG$23,Detail!$H:$H,'Rates-Service Fees'!BG11)*100</f>
        <v>0</v>
      </c>
      <c r="BH31">
        <f>SUMIFS(Detail!$AS:$AS,Detail!$G:$G,'Rates-Service Fees'!BH$23,Detail!$H:$H,'Rates-Service Fees'!BH11)*100</f>
        <v>0</v>
      </c>
      <c r="BI31">
        <f>SUMIFS(Detail!$AS:$AS,Detail!$G:$G,'Rates-Service Fees'!BI$23,Detail!$H:$H,'Rates-Service Fees'!BI11)*100</f>
        <v>0</v>
      </c>
      <c r="BJ31">
        <f>SUMIFS(Detail!$AS:$AS,Detail!$G:$G,'Rates-Service Fees'!BJ$23,Detail!$H:$H,'Rates-Service Fees'!BJ11)*100</f>
        <v>0</v>
      </c>
      <c r="BK31">
        <f>SUMIFS(Detail!$AS:$AS,Detail!$G:$G,'Rates-Service Fees'!BK$23,Detail!$H:$H,'Rates-Service Fees'!BK11)*100</f>
        <v>0</v>
      </c>
      <c r="BL31">
        <f>SUMIFS(Detail!$AS:$AS,Detail!$G:$G,'Rates-Service Fees'!BL$23,Detail!$H:$H,'Rates-Service Fees'!BL11)*100</f>
        <v>0</v>
      </c>
      <c r="BM31">
        <f>SUMIFS(Detail!$AS:$AS,Detail!$G:$G,'Rates-Service Fees'!BM$23,Detail!$H:$H,'Rates-Service Fees'!BM11)*100</f>
        <v>0</v>
      </c>
      <c r="BN31">
        <f>SUMIFS(Detail!$AS:$AS,Detail!$G:$G,'Rates-Service Fees'!BN$23,Detail!$H:$H,'Rates-Service Fees'!BN11)*100</f>
        <v>0</v>
      </c>
      <c r="BO31">
        <f>SUMIFS(Detail!$AS:$AS,Detail!$G:$G,'Rates-Service Fees'!BO$23,Detail!$H:$H,'Rates-Service Fees'!BO11)*100</f>
        <v>0</v>
      </c>
      <c r="BP31">
        <f>SUMIFS(Detail!$AS:$AS,Detail!$G:$G,'Rates-Service Fees'!BP$23,Detail!$H:$H,'Rates-Service Fees'!BP11)*100</f>
        <v>0</v>
      </c>
      <c r="BQ31">
        <f>SUMIFS(Detail!$AS:$AS,Detail!$G:$G,'Rates-Service Fees'!BQ$23,Detail!$H:$H,'Rates-Service Fees'!BQ11)*100</f>
        <v>0</v>
      </c>
      <c r="BR31">
        <f>SUMIFS(Detail!$AS:$AS,Detail!$G:$G,'Rates-Service Fees'!BR$23,Detail!$H:$H,'Rates-Service Fees'!BR11)*100</f>
        <v>0</v>
      </c>
      <c r="BS31">
        <f>SUMIFS(Detail!$AS:$AS,Detail!$G:$G,'Rates-Service Fees'!BS$23,Detail!$H:$H,'Rates-Service Fees'!BS11)*100</f>
        <v>0</v>
      </c>
      <c r="BT31">
        <f>SUMIFS(Detail!$AS:$AS,Detail!$G:$G,'Rates-Service Fees'!BT$23,Detail!$H:$H,'Rates-Service Fees'!BT11)*100</f>
        <v>0</v>
      </c>
      <c r="BU31">
        <f>SUMIFS(Detail!$AS:$AS,Detail!$G:$G,'Rates-Service Fees'!BU$23,Detail!$H:$H,'Rates-Service Fees'!BU11)*100</f>
        <v>0</v>
      </c>
      <c r="BV31">
        <f>SUMIFS(Detail!$AS:$AS,Detail!$G:$G,'Rates-Service Fees'!BV$23,Detail!$H:$H,'Rates-Service Fees'!BV11)*100</f>
        <v>0</v>
      </c>
      <c r="BW31">
        <f>SUMIFS(Detail!$AS:$AS,Detail!$G:$G,'Rates-Service Fees'!BW$23,Detail!$H:$H,'Rates-Service Fees'!BW11)*100</f>
        <v>0</v>
      </c>
      <c r="BX31">
        <f>SUMIFS(Detail!$AS:$AS,Detail!$G:$G,'Rates-Service Fees'!BX$23,Detail!$H:$H,'Rates-Service Fees'!BX11)*100</f>
        <v>0</v>
      </c>
      <c r="BY31">
        <f>SUMIFS(Detail!$AS:$AS,Detail!$G:$G,'Rates-Service Fees'!BY$23,Detail!$H:$H,'Rates-Service Fees'!BY11)*100</f>
        <v>0</v>
      </c>
      <c r="BZ31">
        <f>SUMIFS(Detail!$AS:$AS,Detail!$G:$G,'Rates-Service Fees'!BZ$23,Detail!$H:$H,'Rates-Service Fees'!BZ11)*100</f>
        <v>0</v>
      </c>
      <c r="CA31">
        <f>SUMIFS(Detail!$AS:$AS,Detail!$G:$G,'Rates-Service Fees'!CA$23,Detail!$H:$H,'Rates-Service Fees'!CA11)*100</f>
        <v>0</v>
      </c>
      <c r="CB31">
        <f>SUMIFS(Detail!$AS:$AS,Detail!$G:$G,'Rates-Service Fees'!CB$23,Detail!$H:$H,'Rates-Service Fees'!CB11)*100</f>
        <v>0</v>
      </c>
      <c r="CC31">
        <f>SUMIFS(Detail!$AS:$AS,Detail!$G:$G,'Rates-Service Fees'!CC$23,Detail!$H:$H,'Rates-Service Fees'!CC11)*100</f>
        <v>0</v>
      </c>
      <c r="CD31">
        <f>SUMIFS(Detail!$AS:$AS,Detail!$G:$G,'Rates-Service Fees'!CD$23,Detail!$H:$H,'Rates-Service Fees'!CD11)*100</f>
        <v>0</v>
      </c>
      <c r="CE31">
        <f>SUMIFS(Detail!$AS:$AS,Detail!$G:$G,'Rates-Service Fees'!CE$23,Detail!$H:$H,'Rates-Service Fees'!CE11)*100</f>
        <v>0</v>
      </c>
      <c r="CF31">
        <f>SUMIFS(Detail!$AS:$AS,Detail!$G:$G,'Rates-Service Fees'!CF$23,Detail!$H:$H,'Rates-Service Fees'!CF11)*100</f>
        <v>0</v>
      </c>
      <c r="CG31">
        <f>SUMIFS(Detail!$AS:$AS,Detail!$G:$G,'Rates-Service Fees'!CG$23,Detail!$H:$H,'Rates-Service Fees'!CG11)*100</f>
        <v>0</v>
      </c>
      <c r="CH31">
        <f>SUMIFS(Detail!$AS:$AS,Detail!$G:$G,'Rates-Service Fees'!CH$23,Detail!$H:$H,'Rates-Service Fees'!CH11)*100</f>
        <v>0</v>
      </c>
      <c r="CI31">
        <f>SUMIFS(Detail!$AS:$AS,Detail!$G:$G,'Rates-Service Fees'!CI$23,Detail!$H:$H,'Rates-Service Fees'!CI11)*100</f>
        <v>0</v>
      </c>
      <c r="CJ31">
        <f>SUMIFS(Detail!$AS:$AS,Detail!$G:$G,'Rates-Service Fees'!CJ$23,Detail!$H:$H,'Rates-Service Fees'!CJ11)*100</f>
        <v>0</v>
      </c>
      <c r="CK31">
        <f>SUMIFS(Detail!$AS:$AS,Detail!$G:$G,'Rates-Service Fees'!CK$23,Detail!$H:$H,'Rates-Service Fees'!CK11)*100</f>
        <v>0</v>
      </c>
      <c r="CL31">
        <f>SUMIFS(Detail!$AS:$AS,Detail!$G:$G,'Rates-Service Fees'!CL$23,Detail!$H:$H,'Rates-Service Fees'!CL11)*100</f>
        <v>0</v>
      </c>
      <c r="CM31">
        <f>SUMIFS(Detail!$AS:$AS,Detail!$G:$G,'Rates-Service Fees'!CM$23,Detail!$H:$H,'Rates-Service Fees'!CM11)*100</f>
        <v>0</v>
      </c>
      <c r="CN31">
        <f>SUMIFS(Detail!$AS:$AS,Detail!$G:$G,'Rates-Service Fees'!CN$23,Detail!$H:$H,'Rates-Service Fees'!CN11)*100</f>
        <v>0</v>
      </c>
      <c r="CO31">
        <f>SUMIFS(Detail!$AS:$AS,Detail!$G:$G,'Rates-Service Fees'!CO$23,Detail!$H:$H,'Rates-Service Fees'!CO11)*100</f>
        <v>0</v>
      </c>
      <c r="CP31">
        <f>SUMIFS(Detail!$AS:$AS,Detail!$G:$G,'Rates-Service Fees'!CP$23,Detail!$H:$H,'Rates-Service Fees'!CP11)*100</f>
        <v>0</v>
      </c>
      <c r="CQ31">
        <f>SUMIFS(Detail!$AS:$AS,Detail!$G:$G,'Rates-Service Fees'!CQ$23,Detail!$H:$H,'Rates-Service Fees'!CQ11)*100</f>
        <v>0</v>
      </c>
      <c r="CR31">
        <f>SUMIFS(Detail!$AS:$AS,Detail!$G:$G,'Rates-Service Fees'!CR$23,Detail!$H:$H,'Rates-Service Fees'!CR11)*100</f>
        <v>0</v>
      </c>
      <c r="CS31">
        <f>SUMIFS(Detail!$AS:$AS,Detail!$G:$G,'Rates-Service Fees'!CS$23,Detail!$H:$H,'Rates-Service Fees'!CS11)*100</f>
        <v>0</v>
      </c>
      <c r="CT31">
        <f>SUMIFS(Detail!$AS:$AS,Detail!$G:$G,'Rates-Service Fees'!CT$23,Detail!$H:$H,'Rates-Service Fees'!CT11)*100</f>
        <v>0</v>
      </c>
      <c r="CU31">
        <f>SUMIFS(Detail!$AS:$AS,Detail!$G:$G,'Rates-Service Fees'!CU$23,Detail!$H:$H,'Rates-Service Fees'!CU11)*100</f>
        <v>0</v>
      </c>
      <c r="CV31">
        <f>SUMIFS(Detail!$AS:$AS,Detail!$G:$G,'Rates-Service Fees'!CV$23,Detail!$H:$H,'Rates-Service Fees'!CV11)*100</f>
        <v>0</v>
      </c>
      <c r="CW31">
        <f>SUMIFS(Detail!$AS:$AS,Detail!$G:$G,'Rates-Service Fees'!CW$23,Detail!$H:$H,'Rates-Service Fees'!CW11)*100</f>
        <v>0</v>
      </c>
      <c r="CX31">
        <f>SUMIFS(Detail!$AS:$AS,Detail!$G:$G,'Rates-Service Fees'!CX$23,Detail!$H:$H,'Rates-Service Fees'!CX11)*100</f>
        <v>0</v>
      </c>
      <c r="CY31">
        <f>SUMIFS(Detail!$AS:$AS,Detail!$G:$G,'Rates-Service Fees'!CY$23,Detail!$H:$H,'Rates-Service Fees'!CY11)*100</f>
        <v>0</v>
      </c>
      <c r="CZ31">
        <f>SUMIFS(Detail!$AS:$AS,Detail!$G:$G,'Rates-Service Fees'!CZ$23,Detail!$H:$H,'Rates-Service Fees'!CZ11)*100</f>
        <v>0</v>
      </c>
      <c r="DA31">
        <f>SUMIFS(Detail!$AS:$AS,Detail!$G:$G,'Rates-Service Fees'!DA$23,Detail!$H:$H,'Rates-Service Fees'!DA11)*100</f>
        <v>0</v>
      </c>
      <c r="DB31">
        <f>SUMIFS(Detail!$AS:$AS,Detail!$G:$G,'Rates-Service Fees'!DB$23,Detail!$H:$H,'Rates-Service Fees'!DB11)*100</f>
        <v>0</v>
      </c>
      <c r="DC31">
        <f>SUMIFS(Detail!$AS:$AS,Detail!$G:$G,'Rates-Service Fees'!DC$23,Detail!$H:$H,'Rates-Service Fees'!DC11)*100</f>
        <v>0</v>
      </c>
      <c r="DD31">
        <f>SUMIFS(Detail!$AS:$AS,Detail!$G:$G,'Rates-Service Fees'!DD$23,Detail!$H:$H,'Rates-Service Fees'!DD11)*100</f>
        <v>0</v>
      </c>
      <c r="DE31">
        <f>SUMIFS(Detail!$AS:$AS,Detail!$G:$G,'Rates-Service Fees'!DE$23,Detail!$H:$H,'Rates-Service Fees'!DE11)*100</f>
        <v>0</v>
      </c>
      <c r="DF31">
        <f>SUMIFS(Detail!$AS:$AS,Detail!$G:$G,'Rates-Service Fees'!DF$23,Detail!$H:$H,'Rates-Service Fees'!DF11)*100</f>
        <v>0</v>
      </c>
      <c r="DG31">
        <f>SUMIFS(Detail!$AS:$AS,Detail!$G:$G,'Rates-Service Fees'!DG$23,Detail!$H:$H,'Rates-Service Fees'!DG11)*100</f>
        <v>0</v>
      </c>
      <c r="DH31">
        <f>SUMIFS(Detail!$AS:$AS,Detail!$G:$G,'Rates-Service Fees'!DH$23,Detail!$H:$H,'Rates-Service Fees'!DH11)*100</f>
        <v>0</v>
      </c>
      <c r="DI31">
        <f>SUMIFS(Detail!$AS:$AS,Detail!$G:$G,'Rates-Service Fees'!DI$23,Detail!$H:$H,'Rates-Service Fees'!DI11)*100</f>
        <v>0</v>
      </c>
      <c r="DJ31">
        <f>SUMIFS(Detail!$AS:$AS,Detail!$G:$G,'Rates-Service Fees'!DJ$23,Detail!$H:$H,'Rates-Service Fees'!DJ11)*100</f>
        <v>0</v>
      </c>
      <c r="DK31">
        <f>SUMIFS(Detail!$AS:$AS,Detail!$G:$G,'Rates-Service Fees'!DK$23,Detail!$H:$H,'Rates-Service Fees'!DK11)*100</f>
        <v>0</v>
      </c>
      <c r="DL31">
        <f>SUMIFS(Detail!$AS:$AS,Detail!$G:$G,'Rates-Service Fees'!DL$23,Detail!$H:$H,'Rates-Service Fees'!DL11)*100</f>
        <v>0</v>
      </c>
      <c r="DM31">
        <f>SUMIFS(Detail!$AS:$AS,Detail!$G:$G,'Rates-Service Fees'!DM$23,Detail!$H:$H,'Rates-Service Fees'!DM11)*100</f>
        <v>0</v>
      </c>
      <c r="DN31">
        <f>SUMIFS(Detail!$AS:$AS,Detail!$G:$G,'Rates-Service Fees'!DN$23,Detail!$H:$H,'Rates-Service Fees'!DN11)*100</f>
        <v>0</v>
      </c>
      <c r="DO31">
        <f>SUMIFS(Detail!$AS:$AS,Detail!$G:$G,'Rates-Service Fees'!DO$23,Detail!$H:$H,'Rates-Service Fees'!DO11)*100</f>
        <v>0</v>
      </c>
      <c r="DP31">
        <f>SUMIFS(Detail!$AS:$AS,Detail!$G:$G,'Rates-Service Fees'!DP$23,Detail!$H:$H,'Rates-Service Fees'!DP11)*100</f>
        <v>0</v>
      </c>
      <c r="DQ31">
        <f>SUMIFS(Detail!$AS:$AS,Detail!$G:$G,'Rates-Service Fees'!DQ$23,Detail!$H:$H,'Rates-Service Fees'!DQ11)*100</f>
        <v>0</v>
      </c>
      <c r="DR31">
        <f>SUMIFS(Detail!$AS:$AS,Detail!$G:$G,'Rates-Service Fees'!DR$23,Detail!$H:$H,'Rates-Service Fees'!DR11)*100</f>
        <v>0</v>
      </c>
      <c r="DS31">
        <f>SUMIFS(Detail!$AS:$AS,Detail!$G:$G,'Rates-Service Fees'!DS$23,Detail!$H:$H,'Rates-Service Fees'!DS11)*100</f>
        <v>0</v>
      </c>
      <c r="DT31">
        <f>SUMIFS(Detail!$AS:$AS,Detail!$G:$G,'Rates-Service Fees'!DT$23,Detail!$H:$H,'Rates-Service Fees'!DT11)*100</f>
        <v>0</v>
      </c>
      <c r="DU31">
        <f>SUMIFS(Detail!$AS:$AS,Detail!$G:$G,'Rates-Service Fees'!DU$23,Detail!$H:$H,'Rates-Service Fees'!DU11)*100</f>
        <v>0</v>
      </c>
      <c r="DV31">
        <f>SUMIFS(Detail!$AS:$AS,Detail!$G:$G,'Rates-Service Fees'!DV$23,Detail!$H:$H,'Rates-Service Fees'!DV11)*100</f>
        <v>0</v>
      </c>
      <c r="DW31">
        <f>SUMIFS(Detail!$AS:$AS,Detail!$G:$G,'Rates-Service Fees'!DW$23,Detail!$H:$H,'Rates-Service Fees'!DW11)*100</f>
        <v>0</v>
      </c>
      <c r="DX31">
        <f>SUMIFS(Detail!$AS:$AS,Detail!$G:$G,'Rates-Service Fees'!DX$23,Detail!$H:$H,'Rates-Service Fees'!DX11)*100</f>
        <v>0</v>
      </c>
      <c r="DY31">
        <f>SUMIFS(Detail!$AS:$AS,Detail!$G:$G,'Rates-Service Fees'!DY$23,Detail!$H:$H,'Rates-Service Fees'!DY11)*100</f>
        <v>0</v>
      </c>
      <c r="DZ31">
        <f>SUMIFS(Detail!$AS:$AS,Detail!$G:$G,'Rates-Service Fees'!DZ$23,Detail!$H:$H,'Rates-Service Fees'!DZ11)*100</f>
        <v>0</v>
      </c>
      <c r="EA31">
        <f>SUMIFS(Detail!$AS:$AS,Detail!$G:$G,'Rates-Service Fees'!EA$23,Detail!$H:$H,'Rates-Service Fees'!EA11)*100</f>
        <v>0</v>
      </c>
      <c r="EB31">
        <f>SUMIFS(Detail!$AS:$AS,Detail!$G:$G,'Rates-Service Fees'!EB$23,Detail!$H:$H,'Rates-Service Fees'!EB11)*100</f>
        <v>0</v>
      </c>
      <c r="EC31">
        <f>SUMIFS(Detail!$AS:$AS,Detail!$G:$G,'Rates-Service Fees'!EC$23,Detail!$H:$H,'Rates-Service Fees'!EC11)*100</f>
        <v>0</v>
      </c>
      <c r="ED31">
        <f>SUMIFS(Detail!$AS:$AS,Detail!$G:$G,'Rates-Service Fees'!ED$23,Detail!$H:$H,'Rates-Service Fees'!ED11)*100</f>
        <v>0</v>
      </c>
      <c r="EE31">
        <f>SUMIFS(Detail!$AS:$AS,Detail!$G:$G,'Rates-Service Fees'!EE$23,Detail!$H:$H,'Rates-Service Fees'!EE11)*100</f>
        <v>0</v>
      </c>
      <c r="EF31">
        <f>SUMIFS(Detail!$AS:$AS,Detail!$G:$G,'Rates-Service Fees'!EF$23,Detail!$H:$H,'Rates-Service Fees'!EF11)*100</f>
        <v>0</v>
      </c>
      <c r="EG31">
        <f>SUMIFS(Detail!$AS:$AS,Detail!$G:$G,'Rates-Service Fees'!EG$23,Detail!$H:$H,'Rates-Service Fees'!EG11)*100</f>
        <v>0</v>
      </c>
      <c r="EH31">
        <f>SUMIFS(Detail!$AS:$AS,Detail!$G:$G,'Rates-Service Fees'!EH$23,Detail!$H:$H,'Rates-Service Fees'!EH11)*100</f>
        <v>0</v>
      </c>
      <c r="EI31">
        <f>SUMIFS(Detail!$AS:$AS,Detail!$G:$G,'Rates-Service Fees'!EI$23,Detail!$H:$H,'Rates-Service Fees'!EI11)*100</f>
        <v>0</v>
      </c>
      <c r="EJ31">
        <f>SUMIFS(Detail!$AS:$AS,Detail!$G:$G,'Rates-Service Fees'!EJ$23,Detail!$H:$H,'Rates-Service Fees'!EJ11)*100</f>
        <v>0</v>
      </c>
      <c r="EK31">
        <f>SUMIFS(Detail!$AS:$AS,Detail!$G:$G,'Rates-Service Fees'!EK$23,Detail!$H:$H,'Rates-Service Fees'!EK11)*100</f>
        <v>0</v>
      </c>
      <c r="EL31">
        <f>SUMIFS(Detail!$AS:$AS,Detail!$G:$G,'Rates-Service Fees'!EL$23,Detail!$H:$H,'Rates-Service Fees'!EL11)*100</f>
        <v>0</v>
      </c>
      <c r="EM31">
        <f>SUMIFS(Detail!$AS:$AS,Detail!$G:$G,'Rates-Service Fees'!EM$23,Detail!$H:$H,'Rates-Service Fees'!EM11)*100</f>
        <v>0</v>
      </c>
      <c r="EN31">
        <f>SUMIFS(Detail!$AS:$AS,Detail!$G:$G,'Rates-Service Fees'!EN$23,Detail!$H:$H,'Rates-Service Fees'!EN11)*100</f>
        <v>0</v>
      </c>
      <c r="EO31">
        <f>SUMIFS(Detail!$AS:$AS,Detail!$G:$G,'Rates-Service Fees'!EO$23,Detail!$H:$H,'Rates-Service Fees'!EO11)*100</f>
        <v>0</v>
      </c>
      <c r="EP31">
        <f>SUMIFS(Detail!$AS:$AS,Detail!$G:$G,'Rates-Service Fees'!EP$23,Detail!$H:$H,'Rates-Service Fees'!EP11)*100</f>
        <v>0</v>
      </c>
      <c r="EQ31">
        <f>SUMIFS(Detail!$AS:$AS,Detail!$G:$G,'Rates-Service Fees'!EQ$23,Detail!$H:$H,'Rates-Service Fees'!EQ11)*100</f>
        <v>0</v>
      </c>
      <c r="ER31">
        <f>SUMIFS(Detail!$AS:$AS,Detail!$G:$G,'Rates-Service Fees'!ER$23,Detail!$H:$H,'Rates-Service Fees'!ER11)*100</f>
        <v>0</v>
      </c>
      <c r="ES31">
        <f>SUMIFS(Detail!$AS:$AS,Detail!$G:$G,'Rates-Service Fees'!ES$23,Detail!$H:$H,'Rates-Service Fees'!ES11)*100</f>
        <v>0</v>
      </c>
      <c r="ET31">
        <f>SUMIFS(Detail!$AS:$AS,Detail!$G:$G,'Rates-Service Fees'!ET$23,Detail!$H:$H,'Rates-Service Fees'!ET11)*100</f>
        <v>0</v>
      </c>
      <c r="EU31">
        <f>SUMIFS(Detail!$AS:$AS,Detail!$G:$G,'Rates-Service Fees'!EU$23,Detail!$H:$H,'Rates-Service Fees'!EU11)*100</f>
        <v>0</v>
      </c>
      <c r="EV31">
        <f>SUMIFS(Detail!$AS:$AS,Detail!$G:$G,'Rates-Service Fees'!EV$23,Detail!$H:$H,'Rates-Service Fees'!EV11)*100</f>
        <v>0</v>
      </c>
      <c r="EW31">
        <f>SUMIFS(Detail!$AS:$AS,Detail!$G:$G,'Rates-Service Fees'!EW$23,Detail!$H:$H,'Rates-Service Fees'!EW11)*100</f>
        <v>0</v>
      </c>
      <c r="EX31">
        <f>SUMIFS(Detail!$AS:$AS,Detail!$G:$G,'Rates-Service Fees'!EX$23,Detail!$H:$H,'Rates-Service Fees'!EX11)*100</f>
        <v>0</v>
      </c>
      <c r="EY31">
        <f>SUMIFS(Detail!$AS:$AS,Detail!$G:$G,'Rates-Service Fees'!EY$23,Detail!$H:$H,'Rates-Service Fees'!EY11)*100</f>
        <v>0</v>
      </c>
      <c r="EZ31">
        <f>SUMIFS(Detail!$AS:$AS,Detail!$G:$G,'Rates-Service Fees'!EZ$23,Detail!$H:$H,'Rates-Service Fees'!EZ11)*100</f>
        <v>0</v>
      </c>
      <c r="FA31">
        <f>SUMIFS(Detail!$AS:$AS,Detail!$G:$G,'Rates-Service Fees'!FA$23,Detail!$H:$H,'Rates-Service Fees'!FA11)*100</f>
        <v>0</v>
      </c>
      <c r="FB31">
        <f>SUMIFS(Detail!$AS:$AS,Detail!$G:$G,'Rates-Service Fees'!FB$23,Detail!$H:$H,'Rates-Service Fees'!FB11)*100</f>
        <v>0</v>
      </c>
      <c r="FC31">
        <f>SUMIFS(Detail!$AS:$AS,Detail!$G:$G,'Rates-Service Fees'!FC$23,Detail!$H:$H,'Rates-Service Fees'!FC11)*100</f>
        <v>0</v>
      </c>
      <c r="FD31">
        <f>SUMIFS(Detail!$AS:$AS,Detail!$G:$G,'Rates-Service Fees'!FD$23,Detail!$H:$H,'Rates-Service Fees'!FD11)*100</f>
        <v>0</v>
      </c>
      <c r="FE31">
        <f>SUMIFS(Detail!$AS:$AS,Detail!$G:$G,'Rates-Service Fees'!FE$23,Detail!$H:$H,'Rates-Service Fees'!FE11)*100</f>
        <v>0</v>
      </c>
      <c r="FF31">
        <f>SUMIFS(Detail!$AS:$AS,Detail!$G:$G,'Rates-Service Fees'!FF$23,Detail!$H:$H,'Rates-Service Fees'!FF11)*100</f>
        <v>0</v>
      </c>
      <c r="FG31">
        <f>SUMIFS(Detail!$AS:$AS,Detail!$G:$G,'Rates-Service Fees'!FG$23,Detail!$H:$H,'Rates-Service Fees'!FG11)*100</f>
        <v>0</v>
      </c>
      <c r="FH31">
        <f>SUMIFS(Detail!$AS:$AS,Detail!$G:$G,'Rates-Service Fees'!FH$23,Detail!$H:$H,'Rates-Service Fees'!FH11)*100</f>
        <v>0</v>
      </c>
      <c r="FI31">
        <f>SUMIFS(Detail!$AS:$AS,Detail!$G:$G,'Rates-Service Fees'!FI$23,Detail!$H:$H,'Rates-Service Fees'!FI11)*100</f>
        <v>0</v>
      </c>
      <c r="FJ31">
        <f>SUMIFS(Detail!$AS:$AS,Detail!$G:$G,'Rates-Service Fees'!FJ$23,Detail!$H:$H,'Rates-Service Fees'!FJ11)*100</f>
        <v>0</v>
      </c>
      <c r="FK31">
        <f>SUMIFS(Detail!$AS:$AS,Detail!$G:$G,'Rates-Service Fees'!FK$23,Detail!$H:$H,'Rates-Service Fees'!FK11)*100</f>
        <v>0</v>
      </c>
      <c r="FL31">
        <f>SUMIFS(Detail!$AS:$AS,Detail!$G:$G,'Rates-Service Fees'!FL$23,Detail!$H:$H,'Rates-Service Fees'!FL11)*100</f>
        <v>0</v>
      </c>
      <c r="FM31">
        <f>SUMIFS(Detail!$AS:$AS,Detail!$G:$G,'Rates-Service Fees'!FM$23,Detail!$H:$H,'Rates-Service Fees'!FM11)*100</f>
        <v>0</v>
      </c>
      <c r="FN31">
        <f>SUMIFS(Detail!$AS:$AS,Detail!$G:$G,'Rates-Service Fees'!FN$23,Detail!$H:$H,'Rates-Service Fees'!FN11)*100</f>
        <v>0</v>
      </c>
      <c r="FO31">
        <f>SUMIFS(Detail!$AS:$AS,Detail!$G:$G,'Rates-Service Fees'!FO$23,Detail!$H:$H,'Rates-Service Fees'!FO11)*100</f>
        <v>0</v>
      </c>
      <c r="FP31">
        <f>SUMIFS(Detail!$AS:$AS,Detail!$G:$G,'Rates-Service Fees'!FP$23,Detail!$H:$H,'Rates-Service Fees'!FP11)*100</f>
        <v>0</v>
      </c>
      <c r="FQ31">
        <f>SUMIFS(Detail!$AS:$AS,Detail!$G:$G,'Rates-Service Fees'!FQ$23,Detail!$H:$H,'Rates-Service Fees'!FQ11)*100</f>
        <v>0</v>
      </c>
      <c r="FR31">
        <f>SUMIFS(Detail!$AS:$AS,Detail!$G:$G,'Rates-Service Fees'!FR$23,Detail!$H:$H,'Rates-Service Fees'!FR11)*100</f>
        <v>0</v>
      </c>
      <c r="FS31">
        <f>SUMIFS(Detail!$AS:$AS,Detail!$G:$G,'Rates-Service Fees'!FS$23,Detail!$H:$H,'Rates-Service Fees'!FS11)*100</f>
        <v>0</v>
      </c>
      <c r="FT31">
        <f>SUMIFS(Detail!$AS:$AS,Detail!$G:$G,'Rates-Service Fees'!FT$23,Detail!$H:$H,'Rates-Service Fees'!FT11)*100</f>
        <v>0</v>
      </c>
      <c r="FU31">
        <f>SUMIFS(Detail!$AS:$AS,Detail!$G:$G,'Rates-Service Fees'!FU$23,Detail!$H:$H,'Rates-Service Fees'!FU11)*100</f>
        <v>0</v>
      </c>
      <c r="FV31">
        <f>SUMIFS(Detail!$AS:$AS,Detail!$G:$G,'Rates-Service Fees'!FV$23,Detail!$H:$H,'Rates-Service Fees'!FV11)*100</f>
        <v>0</v>
      </c>
      <c r="FW31">
        <f>SUMIFS(Detail!$AS:$AS,Detail!$G:$G,'Rates-Service Fees'!FW$23,Detail!$H:$H,'Rates-Service Fees'!FW11)*100</f>
        <v>0</v>
      </c>
      <c r="FX31">
        <f>SUMIFS(Detail!$AS:$AS,Detail!$G:$G,'Rates-Service Fees'!FX$23,Detail!$H:$H,'Rates-Service Fees'!FX11)*100</f>
        <v>0</v>
      </c>
      <c r="FY31">
        <f>SUMIFS(Detail!$AS:$AS,Detail!$G:$G,'Rates-Service Fees'!FY$23,Detail!$H:$H,'Rates-Service Fees'!FY11)*100</f>
        <v>0</v>
      </c>
      <c r="FZ31">
        <f>SUMIFS(Detail!$AS:$AS,Detail!$G:$G,'Rates-Service Fees'!FZ$23,Detail!$H:$H,'Rates-Service Fees'!FZ11)*100</f>
        <v>0</v>
      </c>
      <c r="GA31">
        <f>SUMIFS(Detail!$AS:$AS,Detail!$G:$G,'Rates-Service Fees'!GA$23,Detail!$H:$H,'Rates-Service Fees'!GA11)*100</f>
        <v>0</v>
      </c>
      <c r="GB31">
        <f>SUMIFS(Detail!$AS:$AS,Detail!$G:$G,'Rates-Service Fees'!GB$23,Detail!$H:$H,'Rates-Service Fees'!GB11)*100</f>
        <v>0</v>
      </c>
      <c r="GC31">
        <f>SUMIFS(Detail!$AS:$AS,Detail!$G:$G,'Rates-Service Fees'!GC$23,Detail!$H:$H,'Rates-Service Fees'!GC11)*100</f>
        <v>0</v>
      </c>
      <c r="GD31">
        <f>SUMIFS(Detail!$AS:$AS,Detail!$G:$G,'Rates-Service Fees'!GD$23,Detail!$H:$H,'Rates-Service Fees'!GD11)*100</f>
        <v>0</v>
      </c>
      <c r="GE31">
        <f>SUMIFS(Detail!$AS:$AS,Detail!$G:$G,'Rates-Service Fees'!GE$23,Detail!$H:$H,'Rates-Service Fees'!GE11)*100</f>
        <v>0</v>
      </c>
      <c r="GF31">
        <f>SUMIFS(Detail!$AS:$AS,Detail!$G:$G,'Rates-Service Fees'!GF$23,Detail!$H:$H,'Rates-Service Fees'!GF11)*100</f>
        <v>0</v>
      </c>
      <c r="GG31">
        <f>SUMIFS(Detail!$AS:$AS,Detail!$G:$G,'Rates-Service Fees'!GG$23,Detail!$H:$H,'Rates-Service Fees'!GG11)*100</f>
        <v>0</v>
      </c>
      <c r="GH31">
        <f>SUMIFS(Detail!$AS:$AS,Detail!$G:$G,'Rates-Service Fees'!GH$23,Detail!$H:$H,'Rates-Service Fees'!GH11)*100</f>
        <v>0</v>
      </c>
      <c r="GI31">
        <f>SUMIFS(Detail!$AS:$AS,Detail!$G:$G,'Rates-Service Fees'!GI$23,Detail!$H:$H,'Rates-Service Fees'!GI11)*100</f>
        <v>0</v>
      </c>
      <c r="GJ31">
        <f>SUMIFS(Detail!$AS:$AS,Detail!$G:$G,'Rates-Service Fees'!GJ$23,Detail!$H:$H,'Rates-Service Fees'!GJ11)*100</f>
        <v>0</v>
      </c>
      <c r="GK31">
        <f>SUMIFS(Detail!$AS:$AS,Detail!$G:$G,'Rates-Service Fees'!GK$23,Detail!$H:$H,'Rates-Service Fees'!GK11)*100</f>
        <v>0</v>
      </c>
      <c r="GL31">
        <f>SUMIFS(Detail!$AS:$AS,Detail!$G:$G,'Rates-Service Fees'!GL$23,Detail!$H:$H,'Rates-Service Fees'!GL11)*100</f>
        <v>0</v>
      </c>
      <c r="GM31">
        <f>SUMIFS(Detail!$AS:$AS,Detail!$G:$G,'Rates-Service Fees'!GM$23,Detail!$H:$H,'Rates-Service Fees'!GM11)*100</f>
        <v>0</v>
      </c>
      <c r="GN31">
        <f>SUMIFS(Detail!$AS:$AS,Detail!$G:$G,'Rates-Service Fees'!GN$23,Detail!$H:$H,'Rates-Service Fees'!GN11)*100</f>
        <v>0</v>
      </c>
      <c r="GO31">
        <f>SUMIFS(Detail!$AS:$AS,Detail!$G:$G,'Rates-Service Fees'!GO$23,Detail!$H:$H,'Rates-Service Fees'!GO11)*100</f>
        <v>0</v>
      </c>
      <c r="GP31">
        <f>SUMIFS(Detail!$AS:$AS,Detail!$G:$G,'Rates-Service Fees'!GP$23,Detail!$H:$H,'Rates-Service Fees'!GP11)*100</f>
        <v>0</v>
      </c>
      <c r="GQ31">
        <f>SUMIFS(Detail!$AS:$AS,Detail!$G:$G,'Rates-Service Fees'!GQ$23,Detail!$H:$H,'Rates-Service Fees'!GQ11)*100</f>
        <v>0</v>
      </c>
      <c r="GR31">
        <f>SUMIFS(Detail!$AS:$AS,Detail!$G:$G,'Rates-Service Fees'!GR$23,Detail!$H:$H,'Rates-Service Fees'!GR11)*100</f>
        <v>0</v>
      </c>
      <c r="GS31">
        <f>SUMIFS(Detail!$AS:$AS,Detail!$G:$G,'Rates-Service Fees'!GS$23,Detail!$H:$H,'Rates-Service Fees'!GS11)*100</f>
        <v>0</v>
      </c>
      <c r="GT31">
        <f>SUMIFS(Detail!$AS:$AS,Detail!$G:$G,'Rates-Service Fees'!GT$23,Detail!$H:$H,'Rates-Service Fees'!GT11)*100</f>
        <v>0</v>
      </c>
      <c r="GU31">
        <f>SUMIFS(Detail!$AS:$AS,Detail!$G:$G,'Rates-Service Fees'!GU$23,Detail!$H:$H,'Rates-Service Fees'!GU11)*100</f>
        <v>0</v>
      </c>
      <c r="GV31">
        <f>SUMIFS(Detail!$AS:$AS,Detail!$G:$G,'Rates-Service Fees'!GV$23,Detail!$H:$H,'Rates-Service Fees'!GV11)*100</f>
        <v>0</v>
      </c>
      <c r="GW31">
        <f>SUMIFS(Detail!$AS:$AS,Detail!$G:$G,'Rates-Service Fees'!GW$23,Detail!$H:$H,'Rates-Service Fees'!GW11)*100</f>
        <v>0</v>
      </c>
      <c r="GX31">
        <f>SUMIFS(Detail!$AS:$AS,Detail!$G:$G,'Rates-Service Fees'!GX$23,Detail!$H:$H,'Rates-Service Fees'!GX11)*100</f>
        <v>0</v>
      </c>
      <c r="GY31">
        <f>SUMIFS(Detail!$AS:$AS,Detail!$G:$G,'Rates-Service Fees'!GY$23,Detail!$H:$H,'Rates-Service Fees'!GY11)*100</f>
        <v>0</v>
      </c>
      <c r="GZ31">
        <f>SUMIFS(Detail!$AS:$AS,Detail!$G:$G,'Rates-Service Fees'!GZ$23,Detail!$H:$H,'Rates-Service Fees'!GZ11)*100</f>
        <v>0</v>
      </c>
      <c r="HA31">
        <f>SUMIFS(Detail!$AS:$AS,Detail!$G:$G,'Rates-Service Fees'!HA$23,Detail!$H:$H,'Rates-Service Fees'!HA11)*100</f>
        <v>0</v>
      </c>
      <c r="HB31">
        <f>SUMIFS(Detail!$AS:$AS,Detail!$G:$G,'Rates-Service Fees'!HB$23,Detail!$H:$H,'Rates-Service Fees'!HB11)*100</f>
        <v>0</v>
      </c>
      <c r="HC31">
        <f>SUMIFS(Detail!$AS:$AS,Detail!$G:$G,'Rates-Service Fees'!HC$23,Detail!$H:$H,'Rates-Service Fees'!HC11)*100</f>
        <v>0</v>
      </c>
      <c r="HD31">
        <f>SUMIFS(Detail!$AS:$AS,Detail!$G:$G,'Rates-Service Fees'!HD$23,Detail!$H:$H,'Rates-Service Fees'!HD11)*100</f>
        <v>0</v>
      </c>
      <c r="HE31">
        <f>SUMIFS(Detail!$AS:$AS,Detail!$G:$G,'Rates-Service Fees'!HE$23,Detail!$H:$H,'Rates-Service Fees'!HE11)*100</f>
        <v>0</v>
      </c>
      <c r="HF31">
        <f>SUMIFS(Detail!$AS:$AS,Detail!$G:$G,'Rates-Service Fees'!HF$23,Detail!$H:$H,'Rates-Service Fees'!HF11)*100</f>
        <v>0</v>
      </c>
      <c r="HG31">
        <f>SUMIFS(Detail!$AS:$AS,Detail!$G:$G,'Rates-Service Fees'!HG$23,Detail!$H:$H,'Rates-Service Fees'!HG11)*100</f>
        <v>0</v>
      </c>
      <c r="HH31">
        <f>SUMIFS(Detail!$AS:$AS,Detail!$G:$G,'Rates-Service Fees'!HH$23,Detail!$H:$H,'Rates-Service Fees'!HH11)*100</f>
        <v>0</v>
      </c>
      <c r="HI31">
        <f>SUMIFS(Detail!$AS:$AS,Detail!$G:$G,'Rates-Service Fees'!HI$23,Detail!$H:$H,'Rates-Service Fees'!HI11)*100</f>
        <v>0</v>
      </c>
      <c r="HJ31">
        <f>SUMIFS(Detail!$AS:$AS,Detail!$G:$G,'Rates-Service Fees'!HJ$23,Detail!$H:$H,'Rates-Service Fees'!HJ11)*100</f>
        <v>0</v>
      </c>
      <c r="HK31">
        <f>SUMIFS(Detail!$AS:$AS,Detail!$G:$G,'Rates-Service Fees'!HK$23,Detail!$H:$H,'Rates-Service Fees'!HK11)*100</f>
        <v>0</v>
      </c>
      <c r="HL31">
        <f>SUMIFS(Detail!$AS:$AS,Detail!$G:$G,'Rates-Service Fees'!HL$23,Detail!$H:$H,'Rates-Service Fees'!HL11)*100</f>
        <v>0</v>
      </c>
      <c r="HM31">
        <f>SUMIFS(Detail!$AS:$AS,Detail!$G:$G,'Rates-Service Fees'!HM$23,Detail!$H:$H,'Rates-Service Fees'!HM11)*100</f>
        <v>0</v>
      </c>
      <c r="HN31">
        <f>SUMIFS(Detail!$AS:$AS,Detail!$G:$G,'Rates-Service Fees'!HN$23,Detail!$H:$H,'Rates-Service Fees'!HN11)*100</f>
        <v>0</v>
      </c>
      <c r="HO31">
        <f>SUMIFS(Detail!$AS:$AS,Detail!$G:$G,'Rates-Service Fees'!HO$23,Detail!$H:$H,'Rates-Service Fees'!HO11)*100</f>
        <v>0</v>
      </c>
      <c r="HP31">
        <f>SUMIFS(Detail!$AS:$AS,Detail!$G:$G,'Rates-Service Fees'!HP$23,Detail!$H:$H,'Rates-Service Fees'!HP11)*100</f>
        <v>0</v>
      </c>
      <c r="HQ31">
        <f>SUMIFS(Detail!$AS:$AS,Detail!$G:$G,'Rates-Service Fees'!HQ$23,Detail!$H:$H,'Rates-Service Fees'!HQ11)*100</f>
        <v>0</v>
      </c>
      <c r="HR31">
        <f>SUMIFS(Detail!$AS:$AS,Detail!$G:$G,'Rates-Service Fees'!HR$23,Detail!$H:$H,'Rates-Service Fees'!HR11)*100</f>
        <v>0</v>
      </c>
      <c r="HS31">
        <f>SUMIFS(Detail!$AS:$AS,Detail!$G:$G,'Rates-Service Fees'!HS$23,Detail!$H:$H,'Rates-Service Fees'!HS11)*100</f>
        <v>0</v>
      </c>
      <c r="HT31">
        <f>SUMIFS(Detail!$AS:$AS,Detail!$G:$G,'Rates-Service Fees'!HT$23,Detail!$H:$H,'Rates-Service Fees'!HT11)*100</f>
        <v>0</v>
      </c>
      <c r="HU31">
        <f>SUMIFS(Detail!$AS:$AS,Detail!$G:$G,'Rates-Service Fees'!HU$23,Detail!$H:$H,'Rates-Service Fees'!HU11)*100</f>
        <v>0</v>
      </c>
      <c r="HV31">
        <f>SUMIFS(Detail!$AS:$AS,Detail!$G:$G,'Rates-Service Fees'!HV$23,Detail!$H:$H,'Rates-Service Fees'!HV11)*100</f>
        <v>0</v>
      </c>
      <c r="HW31">
        <f>SUMIFS(Detail!$AS:$AS,Detail!$G:$G,'Rates-Service Fees'!HW$23,Detail!$H:$H,'Rates-Service Fees'!HW11)*100</f>
        <v>0</v>
      </c>
      <c r="HX31">
        <f>SUMIFS(Detail!$AS:$AS,Detail!$G:$G,'Rates-Service Fees'!HX$23,Detail!$H:$H,'Rates-Service Fees'!HX11)*100</f>
        <v>0</v>
      </c>
      <c r="HY31">
        <f>SUMIFS(Detail!$AS:$AS,Detail!$G:$G,'Rates-Service Fees'!HY$23,Detail!$H:$H,'Rates-Service Fees'!HY11)*100</f>
        <v>0</v>
      </c>
      <c r="HZ31">
        <f>SUMIFS(Detail!$AS:$AS,Detail!$G:$G,'Rates-Service Fees'!HZ$23,Detail!$H:$H,'Rates-Service Fees'!HZ11)*100</f>
        <v>0</v>
      </c>
      <c r="IA31">
        <f>SUMIFS(Detail!$AS:$AS,Detail!$G:$G,'Rates-Service Fees'!IA$23,Detail!$H:$H,'Rates-Service Fees'!IA11)*100</f>
        <v>0</v>
      </c>
      <c r="IB31">
        <f>SUMIFS(Detail!$AS:$AS,Detail!$G:$G,'Rates-Service Fees'!IB$23,Detail!$H:$H,'Rates-Service Fees'!IB11)*100</f>
        <v>0</v>
      </c>
      <c r="IC31">
        <f>SUMIFS(Detail!$AS:$AS,Detail!$G:$G,'Rates-Service Fees'!IC$23,Detail!$H:$H,'Rates-Service Fees'!IC11)*100</f>
        <v>0</v>
      </c>
      <c r="ID31">
        <f>SUMIFS(Detail!$AS:$AS,Detail!$G:$G,'Rates-Service Fees'!ID$23,Detail!$H:$H,'Rates-Service Fees'!ID11)*100</f>
        <v>0</v>
      </c>
      <c r="IE31">
        <f>SUMIFS(Detail!$AS:$AS,Detail!$G:$G,'Rates-Service Fees'!IE$23,Detail!$H:$H,'Rates-Service Fees'!IE11)*100</f>
        <v>0</v>
      </c>
      <c r="IF31">
        <f>SUMIFS(Detail!$AS:$AS,Detail!$G:$G,'Rates-Service Fees'!IF$23,Detail!$H:$H,'Rates-Service Fees'!IF11)*100</f>
        <v>0</v>
      </c>
      <c r="IG31">
        <f>SUMIFS(Detail!$AS:$AS,Detail!$G:$G,'Rates-Service Fees'!IG$23,Detail!$H:$H,'Rates-Service Fees'!IG11)*100</f>
        <v>0</v>
      </c>
      <c r="IH31">
        <f>SUMIFS(Detail!$AS:$AS,Detail!$G:$G,'Rates-Service Fees'!IH$23,Detail!$H:$H,'Rates-Service Fees'!IH11)*100</f>
        <v>0</v>
      </c>
      <c r="II31">
        <f>SUMIFS(Detail!$AS:$AS,Detail!$G:$G,'Rates-Service Fees'!II$23,Detail!$H:$H,'Rates-Service Fees'!II11)*100</f>
        <v>0</v>
      </c>
      <c r="IJ31">
        <f>SUMIFS(Detail!$AS:$AS,Detail!$G:$G,'Rates-Service Fees'!IJ$23,Detail!$H:$H,'Rates-Service Fees'!IJ11)*100</f>
        <v>0</v>
      </c>
      <c r="IK31">
        <f>SUMIFS(Detail!$AS:$AS,Detail!$G:$G,'Rates-Service Fees'!IK$23,Detail!$H:$H,'Rates-Service Fees'!IK11)*100</f>
        <v>0</v>
      </c>
      <c r="IL31">
        <f>SUMIFS(Detail!$AS:$AS,Detail!$G:$G,'Rates-Service Fees'!IL$23,Detail!$H:$H,'Rates-Service Fees'!IL11)*100</f>
        <v>0</v>
      </c>
      <c r="IM31">
        <f>SUMIFS(Detail!$AS:$AS,Detail!$G:$G,'Rates-Service Fees'!IM$23,Detail!$H:$H,'Rates-Service Fees'!IM11)*100</f>
        <v>0</v>
      </c>
      <c r="IN31">
        <f>SUMIFS(Detail!$AS:$AS,Detail!$G:$G,'Rates-Service Fees'!IN$23,Detail!$H:$H,'Rates-Service Fees'!IN11)*100</f>
        <v>0</v>
      </c>
      <c r="IO31">
        <f>SUMIFS(Detail!$AS:$AS,Detail!$G:$G,'Rates-Service Fees'!IO$23,Detail!$H:$H,'Rates-Service Fees'!IO11)*100</f>
        <v>0</v>
      </c>
      <c r="IP31">
        <f>SUMIFS(Detail!$AS:$AS,Detail!$G:$G,'Rates-Service Fees'!IP$23,Detail!$H:$H,'Rates-Service Fees'!IP11)*100</f>
        <v>0</v>
      </c>
      <c r="IQ31">
        <f>SUMIFS(Detail!$AS:$AS,Detail!$G:$G,'Rates-Service Fees'!IQ$23,Detail!$H:$H,'Rates-Service Fees'!IQ11)*100</f>
        <v>0</v>
      </c>
      <c r="IR31">
        <f>SUMIFS(Detail!$AS:$AS,Detail!$G:$G,'Rates-Service Fees'!IR$23,Detail!$H:$H,'Rates-Service Fees'!IR11)*100</f>
        <v>0</v>
      </c>
      <c r="IS31">
        <f>SUMIFS(Detail!$AS:$AS,Detail!$G:$G,'Rates-Service Fees'!IS$23,Detail!$H:$H,'Rates-Service Fees'!IS11)*100</f>
        <v>0</v>
      </c>
      <c r="IT31">
        <f>SUMIFS(Detail!$AS:$AS,Detail!$G:$G,'Rates-Service Fees'!IT$23,Detail!$H:$H,'Rates-Service Fees'!IT11)*100</f>
        <v>0</v>
      </c>
      <c r="IU31">
        <f>SUMIFS(Detail!$AS:$AS,Detail!$G:$G,'Rates-Service Fees'!IU$23,Detail!$H:$H,'Rates-Service Fees'!IU11)*100</f>
        <v>0</v>
      </c>
      <c r="IV31">
        <f>SUMIFS(Detail!$AS:$AS,Detail!$G:$G,'Rates-Service Fees'!IV$23,Detail!$H:$H,'Rates-Service Fees'!IV11)*100</f>
        <v>0</v>
      </c>
      <c r="IW31">
        <f>SUMIFS(Detail!$AS:$AS,Detail!$G:$G,'Rates-Service Fees'!IW$23,Detail!$H:$H,'Rates-Service Fees'!IW11)*100</f>
        <v>0</v>
      </c>
      <c r="IX31">
        <f>SUMIFS(Detail!$AS:$AS,Detail!$G:$G,'Rates-Service Fees'!IX$23,Detail!$H:$H,'Rates-Service Fees'!IX11)*100</f>
        <v>0</v>
      </c>
      <c r="IY31">
        <f>SUMIFS(Detail!$AS:$AS,Detail!$G:$G,'Rates-Service Fees'!IY$23,Detail!$H:$H,'Rates-Service Fees'!IY11)*100</f>
        <v>0</v>
      </c>
      <c r="IZ31">
        <f>SUMIFS(Detail!$AS:$AS,Detail!$G:$G,'Rates-Service Fees'!IZ$23,Detail!$H:$H,'Rates-Service Fees'!IZ11)*100</f>
        <v>0</v>
      </c>
      <c r="JA31">
        <f>SUMIFS(Detail!$AS:$AS,Detail!$G:$G,'Rates-Service Fees'!JA$23,Detail!$H:$H,'Rates-Service Fees'!JA11)*100</f>
        <v>0</v>
      </c>
      <c r="JB31">
        <f>SUMIFS(Detail!$AS:$AS,Detail!$G:$G,'Rates-Service Fees'!JB$23,Detail!$H:$H,'Rates-Service Fees'!JB11)*100</f>
        <v>0</v>
      </c>
      <c r="JC31">
        <f>SUMIFS(Detail!$AS:$AS,Detail!$G:$G,'Rates-Service Fees'!JC$23,Detail!$H:$H,'Rates-Service Fees'!JC11)*100</f>
        <v>0</v>
      </c>
      <c r="JD31">
        <f>SUMIFS(Detail!$AS:$AS,Detail!$G:$G,'Rates-Service Fees'!JD$23,Detail!$H:$H,'Rates-Service Fees'!JD11)*100</f>
        <v>0</v>
      </c>
      <c r="JE31">
        <f>SUMIFS(Detail!$AS:$AS,Detail!$G:$G,'Rates-Service Fees'!JE$23,Detail!$H:$H,'Rates-Service Fees'!JE11)*100</f>
        <v>0</v>
      </c>
      <c r="JF31">
        <f>SUMIFS(Detail!$AS:$AS,Detail!$G:$G,'Rates-Service Fees'!JF$23,Detail!$H:$H,'Rates-Service Fees'!JF11)*100</f>
        <v>0</v>
      </c>
      <c r="JG31">
        <f>SUMIFS(Detail!$AS:$AS,Detail!$G:$G,'Rates-Service Fees'!JG$23,Detail!$H:$H,'Rates-Service Fees'!JG11)*100</f>
        <v>0</v>
      </c>
      <c r="JH31">
        <f>SUMIFS(Detail!$AS:$AS,Detail!$G:$G,'Rates-Service Fees'!JH$23,Detail!$H:$H,'Rates-Service Fees'!JH11)*100</f>
        <v>0</v>
      </c>
      <c r="JI31">
        <f>SUMIFS(Detail!$AS:$AS,Detail!$G:$G,'Rates-Service Fees'!JI$23,Detail!$H:$H,'Rates-Service Fees'!JI11)*100</f>
        <v>0</v>
      </c>
      <c r="JJ31">
        <f>SUMIFS(Detail!$AS:$AS,Detail!$G:$G,'Rates-Service Fees'!JJ$23,Detail!$H:$H,'Rates-Service Fees'!JJ11)*100</f>
        <v>0</v>
      </c>
      <c r="JK31">
        <f>SUMIFS(Detail!$AS:$AS,Detail!$G:$G,'Rates-Service Fees'!JK$23,Detail!$H:$H,'Rates-Service Fees'!JK11)*100</f>
        <v>0</v>
      </c>
      <c r="JL31">
        <f>SUMIFS(Detail!$AS:$AS,Detail!$G:$G,'Rates-Service Fees'!JL$23,Detail!$H:$H,'Rates-Service Fees'!JL11)*100</f>
        <v>0</v>
      </c>
      <c r="JM31">
        <f>SUMIFS(Detail!$AS:$AS,Detail!$G:$G,'Rates-Service Fees'!JM$23,Detail!$H:$H,'Rates-Service Fees'!JM11)*100</f>
        <v>0</v>
      </c>
      <c r="JN31">
        <f>SUMIFS(Detail!$AS:$AS,Detail!$G:$G,'Rates-Service Fees'!JN$23,Detail!$H:$H,'Rates-Service Fees'!JN11)*100</f>
        <v>0</v>
      </c>
      <c r="JO31">
        <f>SUMIFS(Detail!$AS:$AS,Detail!$G:$G,'Rates-Service Fees'!JO$23,Detail!$H:$H,'Rates-Service Fees'!JO11)*100</f>
        <v>0</v>
      </c>
      <c r="JP31">
        <f>SUMIFS(Detail!$AS:$AS,Detail!$G:$G,'Rates-Service Fees'!JP$23,Detail!$H:$H,'Rates-Service Fees'!JP11)*100</f>
        <v>0</v>
      </c>
      <c r="JQ31">
        <f>SUMIFS(Detail!$AS:$AS,Detail!$G:$G,'Rates-Service Fees'!JQ$23,Detail!$H:$H,'Rates-Service Fees'!JQ11)*100</f>
        <v>0</v>
      </c>
      <c r="JR31">
        <f>SUMIFS(Detail!$AS:$AS,Detail!$G:$G,'Rates-Service Fees'!JR$23,Detail!$H:$H,'Rates-Service Fees'!JR11)*100</f>
        <v>0</v>
      </c>
      <c r="JS31">
        <f>SUMIFS(Detail!$AS:$AS,Detail!$G:$G,'Rates-Service Fees'!JS$23,Detail!$H:$H,'Rates-Service Fees'!JS11)*100</f>
        <v>0</v>
      </c>
      <c r="JT31">
        <f>SUMIFS(Detail!$AS:$AS,Detail!$G:$G,'Rates-Service Fees'!JT$23,Detail!$H:$H,'Rates-Service Fees'!JT11)*100</f>
        <v>0</v>
      </c>
      <c r="JU31">
        <f>SUMIFS(Detail!$AS:$AS,Detail!$G:$G,'Rates-Service Fees'!JU$23,Detail!$H:$H,'Rates-Service Fees'!JU11)*100</f>
        <v>0</v>
      </c>
      <c r="JV31">
        <f>SUMIFS(Detail!$AS:$AS,Detail!$G:$G,'Rates-Service Fees'!JV$23,Detail!$H:$H,'Rates-Service Fees'!JV11)*100</f>
        <v>0</v>
      </c>
      <c r="JW31">
        <f>SUMIFS(Detail!$AS:$AS,Detail!$G:$G,'Rates-Service Fees'!JW$23,Detail!$H:$H,'Rates-Service Fees'!JW11)*100</f>
        <v>0</v>
      </c>
      <c r="JX31">
        <f>SUMIFS(Detail!$AS:$AS,Detail!$G:$G,'Rates-Service Fees'!JX$23,Detail!$H:$H,'Rates-Service Fees'!JX11)*100</f>
        <v>0</v>
      </c>
      <c r="JY31">
        <f>SUMIFS(Detail!$AS:$AS,Detail!$G:$G,'Rates-Service Fees'!JY$23,Detail!$H:$H,'Rates-Service Fees'!JY11)*100</f>
        <v>0</v>
      </c>
      <c r="JZ31">
        <f>SUMIFS(Detail!$AS:$AS,Detail!$G:$G,'Rates-Service Fees'!JZ$23,Detail!$H:$H,'Rates-Service Fees'!JZ11)*100</f>
        <v>0</v>
      </c>
      <c r="KA31">
        <f>SUMIFS(Detail!$AS:$AS,Detail!$G:$G,'Rates-Service Fees'!KA$23,Detail!$H:$H,'Rates-Service Fees'!KA11)*100</f>
        <v>0</v>
      </c>
      <c r="KB31">
        <f>SUMIFS(Detail!$AS:$AS,Detail!$G:$G,'Rates-Service Fees'!KB$23,Detail!$H:$H,'Rates-Service Fees'!KB11)*100</f>
        <v>0</v>
      </c>
      <c r="KC31">
        <f>SUMIFS(Detail!$AS:$AS,Detail!$G:$G,'Rates-Service Fees'!KC$23,Detail!$H:$H,'Rates-Service Fees'!KC11)*100</f>
        <v>0</v>
      </c>
      <c r="KD31">
        <f>SUMIFS(Detail!$AS:$AS,Detail!$G:$G,'Rates-Service Fees'!KD$23,Detail!$H:$H,'Rates-Service Fees'!KD11)*100</f>
        <v>0</v>
      </c>
      <c r="KE31">
        <f>SUMIFS(Detail!$AS:$AS,Detail!$G:$G,'Rates-Service Fees'!KE$23,Detail!$H:$H,'Rates-Service Fees'!KE11)*100</f>
        <v>0</v>
      </c>
      <c r="KF31">
        <f>SUMIFS(Detail!$AS:$AS,Detail!$G:$G,'Rates-Service Fees'!KF$23,Detail!$H:$H,'Rates-Service Fees'!KF11)*100</f>
        <v>0</v>
      </c>
      <c r="KG31">
        <f>SUMIFS(Detail!$AS:$AS,Detail!$G:$G,'Rates-Service Fees'!KG$23,Detail!$H:$H,'Rates-Service Fees'!KG11)*100</f>
        <v>0</v>
      </c>
      <c r="KH31">
        <f>SUMIFS(Detail!$AS:$AS,Detail!$G:$G,'Rates-Service Fees'!KH$23,Detail!$H:$H,'Rates-Service Fees'!KH11)*100</f>
        <v>0</v>
      </c>
      <c r="KI31">
        <f>SUMIFS(Detail!$AS:$AS,Detail!$G:$G,'Rates-Service Fees'!KI$23,Detail!$H:$H,'Rates-Service Fees'!KI11)*100</f>
        <v>0</v>
      </c>
      <c r="KJ31">
        <f>SUMIFS(Detail!$AS:$AS,Detail!$G:$G,'Rates-Service Fees'!KJ$23,Detail!$H:$H,'Rates-Service Fees'!KJ11)*100</f>
        <v>0</v>
      </c>
      <c r="KK31">
        <f>SUMIFS(Detail!$AS:$AS,Detail!$G:$G,'Rates-Service Fees'!KK$23,Detail!$H:$H,'Rates-Service Fees'!KK11)*100</f>
        <v>0</v>
      </c>
      <c r="KL31">
        <f>SUMIFS(Detail!$AS:$AS,Detail!$G:$G,'Rates-Service Fees'!KL$23,Detail!$H:$H,'Rates-Service Fees'!KL11)*100</f>
        <v>0</v>
      </c>
      <c r="KM31">
        <f>SUMIFS(Detail!$AS:$AS,Detail!$G:$G,'Rates-Service Fees'!KM$23,Detail!$H:$H,'Rates-Service Fees'!KM11)*100</f>
        <v>0</v>
      </c>
      <c r="KN31">
        <f>SUMIFS(Detail!$AS:$AS,Detail!$G:$G,'Rates-Service Fees'!KN$23,Detail!$H:$H,'Rates-Service Fees'!KN11)*100</f>
        <v>0</v>
      </c>
      <c r="KO31">
        <f>SUMIFS(Detail!$AS:$AS,Detail!$G:$G,'Rates-Service Fees'!KO$23,Detail!$H:$H,'Rates-Service Fees'!KO11)*100</f>
        <v>0</v>
      </c>
      <c r="KP31">
        <f>SUMIFS(Detail!$AS:$AS,Detail!$G:$G,'Rates-Service Fees'!KP$23,Detail!$H:$H,'Rates-Service Fees'!KP11)*100</f>
        <v>0</v>
      </c>
      <c r="KQ31">
        <f>SUMIFS(Detail!$AS:$AS,Detail!$G:$G,'Rates-Service Fees'!KQ$23,Detail!$H:$H,'Rates-Service Fees'!KQ11)*100</f>
        <v>0</v>
      </c>
      <c r="KR31">
        <f>SUMIFS(Detail!$AS:$AS,Detail!$G:$G,'Rates-Service Fees'!KR$23,Detail!$H:$H,'Rates-Service Fees'!KR11)*100</f>
        <v>0</v>
      </c>
      <c r="KS31">
        <f>SUMIFS(Detail!$AS:$AS,Detail!$G:$G,'Rates-Service Fees'!KS$23,Detail!$H:$H,'Rates-Service Fees'!KS11)*100</f>
        <v>0</v>
      </c>
      <c r="KT31">
        <f>SUMIFS(Detail!$AS:$AS,Detail!$G:$G,'Rates-Service Fees'!KT$23,Detail!$H:$H,'Rates-Service Fees'!KT11)*100</f>
        <v>0</v>
      </c>
      <c r="KU31">
        <f>SUMIFS(Detail!$AS:$AS,Detail!$G:$G,'Rates-Service Fees'!KU$23,Detail!$H:$H,'Rates-Service Fees'!KU11)*100</f>
        <v>0</v>
      </c>
      <c r="KV31">
        <f>SUMIFS(Detail!$AS:$AS,Detail!$G:$G,'Rates-Service Fees'!KV$23,Detail!$H:$H,'Rates-Service Fees'!KV11)*100</f>
        <v>0</v>
      </c>
      <c r="KW31">
        <f>SUMIFS(Detail!$AS:$AS,Detail!$G:$G,'Rates-Service Fees'!KW$23,Detail!$H:$H,'Rates-Service Fees'!KW11)*100</f>
        <v>0</v>
      </c>
      <c r="KX31">
        <f>SUMIFS(Detail!$AS:$AS,Detail!$G:$G,'Rates-Service Fees'!KX$23,Detail!$H:$H,'Rates-Service Fees'!KX11)*100</f>
        <v>0</v>
      </c>
      <c r="KY31">
        <f>SUMIFS(Detail!$AS:$AS,Detail!$G:$G,'Rates-Service Fees'!KY$23,Detail!$H:$H,'Rates-Service Fees'!KY11)*100</f>
        <v>0</v>
      </c>
      <c r="KZ31">
        <f>SUMIFS(Detail!$AS:$AS,Detail!$G:$G,'Rates-Service Fees'!KZ$23,Detail!$H:$H,'Rates-Service Fees'!KZ11)*100</f>
        <v>0</v>
      </c>
      <c r="LA31">
        <f>SUMIFS(Detail!$AS:$AS,Detail!$G:$G,'Rates-Service Fees'!LA$23,Detail!$H:$H,'Rates-Service Fees'!LA11)*100</f>
        <v>0</v>
      </c>
      <c r="LB31">
        <f>SUMIFS(Detail!$AS:$AS,Detail!$G:$G,'Rates-Service Fees'!LB$23,Detail!$H:$H,'Rates-Service Fees'!LB11)*100</f>
        <v>0</v>
      </c>
      <c r="LC31">
        <f>SUMIFS(Detail!$AS:$AS,Detail!$G:$G,'Rates-Service Fees'!LC$23,Detail!$H:$H,'Rates-Service Fees'!LC11)*100</f>
        <v>0</v>
      </c>
      <c r="LD31">
        <f>SUMIFS(Detail!$AS:$AS,Detail!$G:$G,'Rates-Service Fees'!LD$23,Detail!$H:$H,'Rates-Service Fees'!LD11)*100</f>
        <v>0</v>
      </c>
      <c r="LE31">
        <f>SUMIFS(Detail!$AS:$AS,Detail!$G:$G,'Rates-Service Fees'!LE$23,Detail!$H:$H,'Rates-Service Fees'!LE11)*100</f>
        <v>0</v>
      </c>
      <c r="LF31">
        <f>SUMIFS(Detail!$AS:$AS,Detail!$G:$G,'Rates-Service Fees'!LF$23,Detail!$H:$H,'Rates-Service Fees'!LF11)*100</f>
        <v>0</v>
      </c>
      <c r="LG31">
        <f>SUMIFS(Detail!$AS:$AS,Detail!$G:$G,'Rates-Service Fees'!LG$23,Detail!$H:$H,'Rates-Service Fees'!LG11)*100</f>
        <v>0</v>
      </c>
      <c r="LH31">
        <f>SUMIFS(Detail!$AS:$AS,Detail!$G:$G,'Rates-Service Fees'!LH$23,Detail!$H:$H,'Rates-Service Fees'!LH11)*100</f>
        <v>0</v>
      </c>
      <c r="LI31">
        <f>SUMIFS(Detail!$AS:$AS,Detail!$G:$G,'Rates-Service Fees'!LI$23,Detail!$H:$H,'Rates-Service Fees'!LI11)*100</f>
        <v>0</v>
      </c>
      <c r="LJ31">
        <f>SUMIFS(Detail!$AS:$AS,Detail!$G:$G,'Rates-Service Fees'!LJ$23,Detail!$H:$H,'Rates-Service Fees'!LJ11)*100</f>
        <v>0</v>
      </c>
      <c r="LK31">
        <f>SUMIFS(Detail!$AS:$AS,Detail!$G:$G,'Rates-Service Fees'!LK$23,Detail!$H:$H,'Rates-Service Fees'!LK11)*100</f>
        <v>0</v>
      </c>
      <c r="LL31">
        <f>SUMIFS(Detail!$AS:$AS,Detail!$G:$G,'Rates-Service Fees'!LL$23,Detail!$H:$H,'Rates-Service Fees'!LL11)*100</f>
        <v>0</v>
      </c>
      <c r="LM31">
        <f>SUMIFS(Detail!$AS:$AS,Detail!$G:$G,'Rates-Service Fees'!LM$23,Detail!$H:$H,'Rates-Service Fees'!LM11)*100</f>
        <v>0</v>
      </c>
      <c r="LN31">
        <f>SUMIFS(Detail!$AS:$AS,Detail!$G:$G,'Rates-Service Fees'!LN$23,Detail!$H:$H,'Rates-Service Fees'!LN11)*100</f>
        <v>0</v>
      </c>
      <c r="LO31">
        <f>SUMIFS(Detail!$AS:$AS,Detail!$G:$G,'Rates-Service Fees'!LO$23,Detail!$H:$H,'Rates-Service Fees'!LO11)*100</f>
        <v>0</v>
      </c>
      <c r="LP31">
        <f>SUMIFS(Detail!$AS:$AS,Detail!$G:$G,'Rates-Service Fees'!LP$23,Detail!$H:$H,'Rates-Service Fees'!LP11)*100</f>
        <v>0</v>
      </c>
      <c r="LQ31">
        <f>SUMIFS(Detail!$AS:$AS,Detail!$G:$G,'Rates-Service Fees'!LQ$23,Detail!$H:$H,'Rates-Service Fees'!LQ11)*100</f>
        <v>0</v>
      </c>
      <c r="LR31">
        <f>SUMIFS(Detail!$AS:$AS,Detail!$G:$G,'Rates-Service Fees'!LR$23,Detail!$H:$H,'Rates-Service Fees'!LR11)*100</f>
        <v>0</v>
      </c>
      <c r="LS31">
        <f>SUMIFS(Detail!$AS:$AS,Detail!$G:$G,'Rates-Service Fees'!LS$23,Detail!$H:$H,'Rates-Service Fees'!LS11)*100</f>
        <v>0</v>
      </c>
      <c r="LT31">
        <f>SUMIFS(Detail!$AS:$AS,Detail!$G:$G,'Rates-Service Fees'!LT$23,Detail!$H:$H,'Rates-Service Fees'!LT11)*100</f>
        <v>0</v>
      </c>
      <c r="LU31">
        <f>SUMIFS(Detail!$AS:$AS,Detail!$G:$G,'Rates-Service Fees'!LU$23,Detail!$H:$H,'Rates-Service Fees'!LU11)*100</f>
        <v>0</v>
      </c>
      <c r="LV31">
        <f>SUMIFS(Detail!$AS:$AS,Detail!$G:$G,'Rates-Service Fees'!LV$23,Detail!$H:$H,'Rates-Service Fees'!LV11)*100</f>
        <v>0</v>
      </c>
      <c r="LW31">
        <f>SUMIFS(Detail!$AS:$AS,Detail!$G:$G,'Rates-Service Fees'!LW$23,Detail!$H:$H,'Rates-Service Fees'!LW11)*100</f>
        <v>0</v>
      </c>
      <c r="LX31">
        <f>SUMIFS(Detail!$AS:$AS,Detail!$G:$G,'Rates-Service Fees'!LX$23,Detail!$H:$H,'Rates-Service Fees'!LX11)*100</f>
        <v>0</v>
      </c>
      <c r="LY31">
        <f>SUMIFS(Detail!$AS:$AS,Detail!$G:$G,'Rates-Service Fees'!LY$23,Detail!$H:$H,'Rates-Service Fees'!LY11)*100</f>
        <v>0</v>
      </c>
      <c r="LZ31">
        <f>SUMIFS(Detail!$AS:$AS,Detail!$G:$G,'Rates-Service Fees'!LZ$23,Detail!$H:$H,'Rates-Service Fees'!LZ11)*100</f>
        <v>0</v>
      </c>
      <c r="MA31">
        <f>SUMIFS(Detail!$AS:$AS,Detail!$G:$G,'Rates-Service Fees'!MA$23,Detail!$H:$H,'Rates-Service Fees'!MA11)*100</f>
        <v>0</v>
      </c>
      <c r="MB31">
        <f>SUMIFS(Detail!$AS:$AS,Detail!$G:$G,'Rates-Service Fees'!MB$23,Detail!$H:$H,'Rates-Service Fees'!MB11)*100</f>
        <v>0</v>
      </c>
      <c r="MC31">
        <f>SUMIFS(Detail!$AS:$AS,Detail!$G:$G,'Rates-Service Fees'!MC$23,Detail!$H:$H,'Rates-Service Fees'!MC11)*100</f>
        <v>0</v>
      </c>
      <c r="MD31">
        <f>SUMIFS(Detail!$AS:$AS,Detail!$G:$G,'Rates-Service Fees'!MD$23,Detail!$H:$H,'Rates-Service Fees'!MD11)*100</f>
        <v>0</v>
      </c>
      <c r="ME31">
        <f>SUMIFS(Detail!$AS:$AS,Detail!$G:$G,'Rates-Service Fees'!ME$23,Detail!$H:$H,'Rates-Service Fees'!ME11)*100</f>
        <v>0</v>
      </c>
      <c r="MF31">
        <f>SUMIFS(Detail!$AS:$AS,Detail!$G:$G,'Rates-Service Fees'!MF$23,Detail!$H:$H,'Rates-Service Fees'!MF11)*100</f>
        <v>0</v>
      </c>
      <c r="MG31">
        <f>SUMIFS(Detail!$AS:$AS,Detail!$G:$G,'Rates-Service Fees'!MG$23,Detail!$H:$H,'Rates-Service Fees'!MG11)*100</f>
        <v>0</v>
      </c>
      <c r="MH31">
        <f>SUMIFS(Detail!$AS:$AS,Detail!$G:$G,'Rates-Service Fees'!MH$23,Detail!$H:$H,'Rates-Service Fees'!MH11)*100</f>
        <v>0</v>
      </c>
      <c r="MI31">
        <f>SUMIFS(Detail!$AS:$AS,Detail!$G:$G,'Rates-Service Fees'!MI$23,Detail!$H:$H,'Rates-Service Fees'!MI11)*100</f>
        <v>0</v>
      </c>
      <c r="MJ31">
        <f>SUMIFS(Detail!$AS:$AS,Detail!$G:$G,'Rates-Service Fees'!MJ$23,Detail!$H:$H,'Rates-Service Fees'!MJ11)*100</f>
        <v>0</v>
      </c>
      <c r="MK31">
        <f>SUMIFS(Detail!$AS:$AS,Detail!$G:$G,'Rates-Service Fees'!MK$23,Detail!$H:$H,'Rates-Service Fees'!MK11)*100</f>
        <v>0</v>
      </c>
      <c r="ML31">
        <f>SUMIFS(Detail!$AS:$AS,Detail!$G:$G,'Rates-Service Fees'!ML$23,Detail!$H:$H,'Rates-Service Fees'!ML11)*100</f>
        <v>0</v>
      </c>
      <c r="MM31">
        <f>SUMIFS(Detail!$AS:$AS,Detail!$G:$G,'Rates-Service Fees'!MM$23,Detail!$H:$H,'Rates-Service Fees'!MM11)*100</f>
        <v>0</v>
      </c>
      <c r="MN31">
        <f>SUMIFS(Detail!$AS:$AS,Detail!$G:$G,'Rates-Service Fees'!MN$23,Detail!$H:$H,'Rates-Service Fees'!MN11)*100</f>
        <v>0</v>
      </c>
      <c r="MO31">
        <f>SUMIFS(Detail!$AS:$AS,Detail!$G:$G,'Rates-Service Fees'!MO$23,Detail!$H:$H,'Rates-Service Fees'!MO11)*100</f>
        <v>0</v>
      </c>
      <c r="MP31">
        <f>SUMIFS(Detail!$AS:$AS,Detail!$G:$G,'Rates-Service Fees'!MP$23,Detail!$H:$H,'Rates-Service Fees'!MP11)*100</f>
        <v>0</v>
      </c>
      <c r="MQ31">
        <f>SUMIFS(Detail!$AS:$AS,Detail!$G:$G,'Rates-Service Fees'!MQ$23,Detail!$H:$H,'Rates-Service Fees'!MQ11)*100</f>
        <v>0</v>
      </c>
      <c r="MR31">
        <f>SUMIFS(Detail!$AS:$AS,Detail!$G:$G,'Rates-Service Fees'!MR$23,Detail!$H:$H,'Rates-Service Fees'!MR11)*100</f>
        <v>0</v>
      </c>
      <c r="MS31">
        <f>SUMIFS(Detail!$AS:$AS,Detail!$G:$G,'Rates-Service Fees'!MS$23,Detail!$H:$H,'Rates-Service Fees'!MS11)*100</f>
        <v>0</v>
      </c>
      <c r="MT31">
        <f>SUMIFS(Detail!$AS:$AS,Detail!$G:$G,'Rates-Service Fees'!MT$23,Detail!$H:$H,'Rates-Service Fees'!MT11)*100</f>
        <v>0</v>
      </c>
      <c r="MU31">
        <f>SUMIFS(Detail!$AS:$AS,Detail!$G:$G,'Rates-Service Fees'!MU$23,Detail!$H:$H,'Rates-Service Fees'!MU11)*100</f>
        <v>0</v>
      </c>
      <c r="MV31">
        <f>SUMIFS(Detail!$AS:$AS,Detail!$G:$G,'Rates-Service Fees'!MV$23,Detail!$H:$H,'Rates-Service Fees'!MV11)*100</f>
        <v>0</v>
      </c>
      <c r="MW31">
        <f>SUMIFS(Detail!$AS:$AS,Detail!$G:$G,'Rates-Service Fees'!MW$23,Detail!$H:$H,'Rates-Service Fees'!MW11)*100</f>
        <v>0</v>
      </c>
      <c r="MX31">
        <f>SUMIFS(Detail!$AS:$AS,Detail!$G:$G,'Rates-Service Fees'!MX$23,Detail!$H:$H,'Rates-Service Fees'!MX11)*100</f>
        <v>0</v>
      </c>
      <c r="MY31">
        <f>SUMIFS(Detail!$AS:$AS,Detail!$G:$G,'Rates-Service Fees'!MY$23,Detail!$H:$H,'Rates-Service Fees'!MY11)*100</f>
        <v>0</v>
      </c>
      <c r="MZ31">
        <f>SUMIFS(Detail!$AS:$AS,Detail!$G:$G,'Rates-Service Fees'!MZ$23,Detail!$H:$H,'Rates-Service Fees'!MZ11)*100</f>
        <v>0</v>
      </c>
      <c r="NA31">
        <f>SUMIFS(Detail!$AS:$AS,Detail!$G:$G,'Rates-Service Fees'!NA$23,Detail!$H:$H,'Rates-Service Fees'!NA11)*100</f>
        <v>0</v>
      </c>
      <c r="NB31">
        <f>SUMIFS(Detail!$AS:$AS,Detail!$G:$G,'Rates-Service Fees'!NB$23,Detail!$H:$H,'Rates-Service Fees'!NB11)*100</f>
        <v>0</v>
      </c>
      <c r="NC31">
        <f>SUMIFS(Detail!$AS:$AS,Detail!$G:$G,'Rates-Service Fees'!NC$23,Detail!$H:$H,'Rates-Service Fees'!NC11)*100</f>
        <v>0</v>
      </c>
      <c r="ND31">
        <f>SUMIFS(Detail!$AS:$AS,Detail!$G:$G,'Rates-Service Fees'!ND$23,Detail!$H:$H,'Rates-Service Fees'!ND11)*100</f>
        <v>0</v>
      </c>
      <c r="NE31">
        <f>SUMIFS(Detail!$AS:$AS,Detail!$G:$G,'Rates-Service Fees'!NE$23,Detail!$H:$H,'Rates-Service Fees'!NE11)*100</f>
        <v>0</v>
      </c>
      <c r="NF31">
        <f>SUMIFS(Detail!$AS:$AS,Detail!$G:$G,'Rates-Service Fees'!NF$23,Detail!$H:$H,'Rates-Service Fees'!NF11)*100</f>
        <v>0</v>
      </c>
      <c r="NG31">
        <f>SUMIFS(Detail!$AS:$AS,Detail!$G:$G,'Rates-Service Fees'!NG$23,Detail!$H:$H,'Rates-Service Fees'!NG11)*100</f>
        <v>0</v>
      </c>
      <c r="NH31">
        <f>SUMIFS(Detail!$AS:$AS,Detail!$G:$G,'Rates-Service Fees'!NH$23,Detail!$H:$H,'Rates-Service Fees'!NH11)*100</f>
        <v>0</v>
      </c>
      <c r="NI31">
        <f>SUMIFS(Detail!$AS:$AS,Detail!$G:$G,'Rates-Service Fees'!NI$23,Detail!$H:$H,'Rates-Service Fees'!NI11)*100</f>
        <v>0</v>
      </c>
      <c r="NJ31">
        <f>SUMIFS(Detail!$AS:$AS,Detail!$G:$G,'Rates-Service Fees'!NJ$23,Detail!$H:$H,'Rates-Service Fees'!NJ11)*100</f>
        <v>0</v>
      </c>
      <c r="NK31">
        <f>SUMIFS(Detail!$AS:$AS,Detail!$G:$G,'Rates-Service Fees'!NK$23,Detail!$H:$H,'Rates-Service Fees'!NK11)*100</f>
        <v>0</v>
      </c>
      <c r="NL31">
        <f>SUMIFS(Detail!$AS:$AS,Detail!$G:$G,'Rates-Service Fees'!NL$23,Detail!$H:$H,'Rates-Service Fees'!NL11)*100</f>
        <v>0</v>
      </c>
      <c r="NM31">
        <f>SUMIFS(Detail!$AS:$AS,Detail!$G:$G,'Rates-Service Fees'!NM$23,Detail!$H:$H,'Rates-Service Fees'!NM11)*100</f>
        <v>0</v>
      </c>
      <c r="NN31">
        <f>SUMIFS(Detail!$AS:$AS,Detail!$G:$G,'Rates-Service Fees'!NN$23,Detail!$H:$H,'Rates-Service Fees'!NN11)*100</f>
        <v>0</v>
      </c>
      <c r="NO31">
        <f>SUMIFS(Detail!$AS:$AS,Detail!$G:$G,'Rates-Service Fees'!NO$23,Detail!$H:$H,'Rates-Service Fees'!NO11)*100</f>
        <v>0</v>
      </c>
      <c r="NP31">
        <f>SUMIFS(Detail!$AS:$AS,Detail!$G:$G,'Rates-Service Fees'!NP$23,Detail!$H:$H,'Rates-Service Fees'!NP11)*100</f>
        <v>0</v>
      </c>
      <c r="NQ31">
        <f>SUMIFS(Detail!$AS:$AS,Detail!$G:$G,'Rates-Service Fees'!NQ$23,Detail!$H:$H,'Rates-Service Fees'!NQ11)*100</f>
        <v>0</v>
      </c>
      <c r="NR31">
        <f>SUMIFS(Detail!$AS:$AS,Detail!$G:$G,'Rates-Service Fees'!NR$23,Detail!$H:$H,'Rates-Service Fees'!NR11)*100</f>
        <v>0</v>
      </c>
      <c r="NS31">
        <f>SUMIFS(Detail!$AS:$AS,Detail!$G:$G,'Rates-Service Fees'!NS$23,Detail!$H:$H,'Rates-Service Fees'!NS11)*100</f>
        <v>0</v>
      </c>
      <c r="NT31">
        <f>SUMIFS(Detail!$AS:$AS,Detail!$G:$G,'Rates-Service Fees'!NT$23,Detail!$H:$H,'Rates-Service Fees'!NT11)*100</f>
        <v>0</v>
      </c>
      <c r="NU31">
        <f>SUMIFS(Detail!$AS:$AS,Detail!$G:$G,'Rates-Service Fees'!NU$23,Detail!$H:$H,'Rates-Service Fees'!NU11)*100</f>
        <v>0</v>
      </c>
      <c r="NV31">
        <f>SUMIFS(Detail!$AS:$AS,Detail!$G:$G,'Rates-Service Fees'!NV$23,Detail!$H:$H,'Rates-Service Fees'!NV11)*100</f>
        <v>0</v>
      </c>
      <c r="NW31">
        <f>SUMIFS(Detail!$AS:$AS,Detail!$G:$G,'Rates-Service Fees'!NW$23,Detail!$H:$H,'Rates-Service Fees'!NW11)*100</f>
        <v>0</v>
      </c>
      <c r="NX31">
        <f>SUMIFS(Detail!$AS:$AS,Detail!$G:$G,'Rates-Service Fees'!NX$23,Detail!$H:$H,'Rates-Service Fees'!NX11)*100</f>
        <v>0</v>
      </c>
      <c r="NY31">
        <f>SUMIFS(Detail!$AS:$AS,Detail!$G:$G,'Rates-Service Fees'!NY$23,Detail!$H:$H,'Rates-Service Fees'!NY11)*100</f>
        <v>0</v>
      </c>
      <c r="NZ31">
        <f>SUMIFS(Detail!$AS:$AS,Detail!$G:$G,'Rates-Service Fees'!NZ$23,Detail!$H:$H,'Rates-Service Fees'!NZ11)*100</f>
        <v>0</v>
      </c>
      <c r="OA31">
        <f>SUMIFS(Detail!$AS:$AS,Detail!$G:$G,'Rates-Service Fees'!OA$23,Detail!$H:$H,'Rates-Service Fees'!OA11)*100</f>
        <v>0</v>
      </c>
      <c r="OB31">
        <f>SUMIFS(Detail!$AS:$AS,Detail!$G:$G,'Rates-Service Fees'!OB$23,Detail!$H:$H,'Rates-Service Fees'!OB11)*100</f>
        <v>0</v>
      </c>
      <c r="OC31">
        <f>SUMIFS(Detail!$AS:$AS,Detail!$G:$G,'Rates-Service Fees'!OC$23,Detail!$H:$H,'Rates-Service Fees'!OC11)*100</f>
        <v>0</v>
      </c>
      <c r="OD31">
        <f>SUMIFS(Detail!$AS:$AS,Detail!$G:$G,'Rates-Service Fees'!OD$23,Detail!$H:$H,'Rates-Service Fees'!OD11)*100</f>
        <v>0</v>
      </c>
      <c r="OE31">
        <f>SUMIFS(Detail!$AS:$AS,Detail!$G:$G,'Rates-Service Fees'!OE$23,Detail!$H:$H,'Rates-Service Fees'!OE11)*100</f>
        <v>0</v>
      </c>
      <c r="OF31">
        <f>SUMIFS(Detail!$AS:$AS,Detail!$G:$G,'Rates-Service Fees'!OF$23,Detail!$H:$H,'Rates-Service Fees'!OF11)*100</f>
        <v>0</v>
      </c>
      <c r="OG31">
        <f>SUMIFS(Detail!$AS:$AS,Detail!$G:$G,'Rates-Service Fees'!OG$23,Detail!$H:$H,'Rates-Service Fees'!OG11)*100</f>
        <v>0</v>
      </c>
      <c r="OH31">
        <f>SUMIFS(Detail!$AS:$AS,Detail!$G:$G,'Rates-Service Fees'!OH$23,Detail!$H:$H,'Rates-Service Fees'!OH11)*100</f>
        <v>0</v>
      </c>
      <c r="OI31">
        <f>SUMIFS(Detail!$AS:$AS,Detail!$G:$G,'Rates-Service Fees'!OI$23,Detail!$H:$H,'Rates-Service Fees'!OI11)*100</f>
        <v>0</v>
      </c>
      <c r="OJ31">
        <f>SUMIFS(Detail!$AS:$AS,Detail!$G:$G,'Rates-Service Fees'!OJ$23,Detail!$H:$H,'Rates-Service Fees'!OJ11)*100</f>
        <v>0</v>
      </c>
      <c r="OK31">
        <f>SUMIFS(Detail!$AS:$AS,Detail!$G:$G,'Rates-Service Fees'!OK$23,Detail!$H:$H,'Rates-Service Fees'!OK11)*100</f>
        <v>0</v>
      </c>
      <c r="OL31">
        <f>SUMIFS(Detail!$AS:$AS,Detail!$G:$G,'Rates-Service Fees'!OL$23,Detail!$H:$H,'Rates-Service Fees'!OL11)*100</f>
        <v>0</v>
      </c>
      <c r="OM31">
        <f>SUMIFS(Detail!$AS:$AS,Detail!$G:$G,'Rates-Service Fees'!OM$23,Detail!$H:$H,'Rates-Service Fees'!OM11)*100</f>
        <v>0</v>
      </c>
      <c r="ON31">
        <f>SUMIFS(Detail!$AS:$AS,Detail!$G:$G,'Rates-Service Fees'!ON$23,Detail!$H:$H,'Rates-Service Fees'!ON11)*100</f>
        <v>0</v>
      </c>
      <c r="OO31">
        <f>SUMIFS(Detail!$AS:$AS,Detail!$G:$G,'Rates-Service Fees'!OO$23,Detail!$H:$H,'Rates-Service Fees'!OO11)*100</f>
        <v>0</v>
      </c>
      <c r="OP31">
        <f>SUMIFS(Detail!$AS:$AS,Detail!$G:$G,'Rates-Service Fees'!OP$23,Detail!$H:$H,'Rates-Service Fees'!OP11)*100</f>
        <v>0</v>
      </c>
      <c r="OQ31">
        <f>SUMIFS(Detail!$AS:$AS,Detail!$G:$G,'Rates-Service Fees'!OQ$23,Detail!$H:$H,'Rates-Service Fees'!OQ11)*100</f>
        <v>0</v>
      </c>
      <c r="OR31">
        <f>SUMIFS(Detail!$AS:$AS,Detail!$G:$G,'Rates-Service Fees'!OR$23,Detail!$H:$H,'Rates-Service Fees'!OR11)*100</f>
        <v>0</v>
      </c>
      <c r="OS31">
        <f>SUMIFS(Detail!$AS:$AS,Detail!$G:$G,'Rates-Service Fees'!OS$23,Detail!$H:$H,'Rates-Service Fees'!OS11)*100</f>
        <v>0</v>
      </c>
      <c r="OT31">
        <f>SUMIFS(Detail!$AS:$AS,Detail!$G:$G,'Rates-Service Fees'!OT$23,Detail!$H:$H,'Rates-Service Fees'!OT11)*100</f>
        <v>0</v>
      </c>
      <c r="OU31">
        <f>SUMIFS(Detail!$AS:$AS,Detail!$G:$G,'Rates-Service Fees'!OU$23,Detail!$H:$H,'Rates-Service Fees'!OU11)*100</f>
        <v>0</v>
      </c>
      <c r="OV31">
        <f>SUMIFS(Detail!$AS:$AS,Detail!$G:$G,'Rates-Service Fees'!OV$23,Detail!$H:$H,'Rates-Service Fees'!OV11)*100</f>
        <v>0</v>
      </c>
      <c r="OW31">
        <f>SUMIFS(Detail!$AS:$AS,Detail!$G:$G,'Rates-Service Fees'!OW$23,Detail!$H:$H,'Rates-Service Fees'!OW11)*100</f>
        <v>0</v>
      </c>
      <c r="OX31">
        <f>SUMIFS(Detail!$AS:$AS,Detail!$G:$G,'Rates-Service Fees'!OX$23,Detail!$H:$H,'Rates-Service Fees'!OX11)*100</f>
        <v>0</v>
      </c>
      <c r="OY31">
        <f>SUMIFS(Detail!$AS:$AS,Detail!$G:$G,'Rates-Service Fees'!OY$23,Detail!$H:$H,'Rates-Service Fees'!OY11)*100</f>
        <v>0</v>
      </c>
      <c r="OZ31">
        <f>SUMIFS(Detail!$AS:$AS,Detail!$G:$G,'Rates-Service Fees'!OZ$23,Detail!$H:$H,'Rates-Service Fees'!OZ11)*100</f>
        <v>0</v>
      </c>
      <c r="PA31">
        <f>SUMIFS(Detail!$AS:$AS,Detail!$G:$G,'Rates-Service Fees'!PA$23,Detail!$H:$H,'Rates-Service Fees'!PA11)*100</f>
        <v>0</v>
      </c>
      <c r="PB31">
        <f>SUMIFS(Detail!$AS:$AS,Detail!$G:$G,'Rates-Service Fees'!PB$23,Detail!$H:$H,'Rates-Service Fees'!PB11)*100</f>
        <v>0</v>
      </c>
      <c r="PC31">
        <f>SUMIFS(Detail!$AS:$AS,Detail!$G:$G,'Rates-Service Fees'!PC$23,Detail!$H:$H,'Rates-Service Fees'!PC11)*100</f>
        <v>0</v>
      </c>
      <c r="PD31">
        <f>SUMIFS(Detail!$AS:$AS,Detail!$G:$G,'Rates-Service Fees'!PD$23,Detail!$H:$H,'Rates-Service Fees'!PD11)*100</f>
        <v>0</v>
      </c>
      <c r="PE31">
        <f>SUMIFS(Detail!$AS:$AS,Detail!$G:$G,'Rates-Service Fees'!PE$23,Detail!$H:$H,'Rates-Service Fees'!PE11)*100</f>
        <v>0</v>
      </c>
      <c r="PF31">
        <f>SUMIFS(Detail!$AS:$AS,Detail!$G:$G,'Rates-Service Fees'!PF$23,Detail!$H:$H,'Rates-Service Fees'!PF11)*100</f>
        <v>0</v>
      </c>
      <c r="PG31">
        <f>SUMIFS(Detail!$AS:$AS,Detail!$G:$G,'Rates-Service Fees'!PG$23,Detail!$H:$H,'Rates-Service Fees'!PG11)*100</f>
        <v>0</v>
      </c>
      <c r="PH31">
        <f>SUMIFS(Detail!$AS:$AS,Detail!$G:$G,'Rates-Service Fees'!PH$23,Detail!$H:$H,'Rates-Service Fees'!PH11)*100</f>
        <v>0</v>
      </c>
      <c r="PI31">
        <f>SUMIFS(Detail!$AS:$AS,Detail!$G:$G,'Rates-Service Fees'!PI$23,Detail!$H:$H,'Rates-Service Fees'!PI11)*100</f>
        <v>0</v>
      </c>
      <c r="PJ31">
        <f>SUMIFS(Detail!$AS:$AS,Detail!$G:$G,'Rates-Service Fees'!PJ$23,Detail!$H:$H,'Rates-Service Fees'!PJ11)*100</f>
        <v>0</v>
      </c>
      <c r="PK31">
        <f>SUMIFS(Detail!$AS:$AS,Detail!$G:$G,'Rates-Service Fees'!PK$23,Detail!$H:$H,'Rates-Service Fees'!PK11)*100</f>
        <v>0</v>
      </c>
      <c r="PL31">
        <f>SUMIFS(Detail!$AS:$AS,Detail!$G:$G,'Rates-Service Fees'!PL$23,Detail!$H:$H,'Rates-Service Fees'!PL11)*100</f>
        <v>0</v>
      </c>
      <c r="PM31">
        <f>SUMIFS(Detail!$AS:$AS,Detail!$G:$G,'Rates-Service Fees'!PM$23,Detail!$H:$H,'Rates-Service Fees'!PM11)*100</f>
        <v>0</v>
      </c>
      <c r="PN31">
        <f>SUMIFS(Detail!$AS:$AS,Detail!$G:$G,'Rates-Service Fees'!PN$23,Detail!$H:$H,'Rates-Service Fees'!PN11)*100</f>
        <v>0</v>
      </c>
      <c r="PO31">
        <f>SUMIFS(Detail!$AS:$AS,Detail!$G:$G,'Rates-Service Fees'!PO$23,Detail!$H:$H,'Rates-Service Fees'!PO11)*100</f>
        <v>0</v>
      </c>
      <c r="PP31">
        <f>SUMIFS(Detail!$AS:$AS,Detail!$G:$G,'Rates-Service Fees'!PP$23,Detail!$H:$H,'Rates-Service Fees'!PP11)*100</f>
        <v>0</v>
      </c>
      <c r="PQ31">
        <f>SUMIFS(Detail!$AS:$AS,Detail!$G:$G,'Rates-Service Fees'!PQ$23,Detail!$H:$H,'Rates-Service Fees'!PQ11)*100</f>
        <v>0</v>
      </c>
      <c r="PR31">
        <f>SUMIFS(Detail!$AS:$AS,Detail!$G:$G,'Rates-Service Fees'!PR$23,Detail!$H:$H,'Rates-Service Fees'!PR11)*100</f>
        <v>0</v>
      </c>
      <c r="PS31">
        <f>SUMIFS(Detail!$AS:$AS,Detail!$G:$G,'Rates-Service Fees'!PS$23,Detail!$H:$H,'Rates-Service Fees'!PS11)*100</f>
        <v>0</v>
      </c>
      <c r="PT31">
        <f>SUMIFS(Detail!$AS:$AS,Detail!$G:$G,'Rates-Service Fees'!PT$23,Detail!$H:$H,'Rates-Service Fees'!PT11)*100</f>
        <v>0</v>
      </c>
      <c r="PU31">
        <f>SUMIFS(Detail!$AS:$AS,Detail!$G:$G,'Rates-Service Fees'!PU$23,Detail!$H:$H,'Rates-Service Fees'!PU11)*100</f>
        <v>0</v>
      </c>
      <c r="PV31">
        <f>SUMIFS(Detail!$AS:$AS,Detail!$G:$G,'Rates-Service Fees'!PV$23,Detail!$H:$H,'Rates-Service Fees'!PV11)*100</f>
        <v>0</v>
      </c>
      <c r="PW31">
        <f>SUMIFS(Detail!$AS:$AS,Detail!$G:$G,'Rates-Service Fees'!PW$23,Detail!$H:$H,'Rates-Service Fees'!PW11)*100</f>
        <v>0</v>
      </c>
      <c r="PX31">
        <f>SUMIFS(Detail!$AS:$AS,Detail!$G:$G,'Rates-Service Fees'!PX$23,Detail!$H:$H,'Rates-Service Fees'!PX11)*100</f>
        <v>0</v>
      </c>
      <c r="PY31">
        <f>SUMIFS(Detail!$AS:$AS,Detail!$G:$G,'Rates-Service Fees'!PY$23,Detail!$H:$H,'Rates-Service Fees'!PY11)*100</f>
        <v>0</v>
      </c>
      <c r="PZ31">
        <f>SUMIFS(Detail!$AS:$AS,Detail!$G:$G,'Rates-Service Fees'!PZ$23,Detail!$H:$H,'Rates-Service Fees'!PZ11)*100</f>
        <v>0</v>
      </c>
      <c r="QA31">
        <f>SUMIFS(Detail!$AS:$AS,Detail!$G:$G,'Rates-Service Fees'!QA$23,Detail!$H:$H,'Rates-Service Fees'!QA11)*100</f>
        <v>0</v>
      </c>
      <c r="QB31">
        <f>SUMIFS(Detail!$AS:$AS,Detail!$G:$G,'Rates-Service Fees'!QB$23,Detail!$H:$H,'Rates-Service Fees'!QB11)*100</f>
        <v>0</v>
      </c>
      <c r="QC31">
        <f>SUMIFS(Detail!$AS:$AS,Detail!$G:$G,'Rates-Service Fees'!QC$23,Detail!$H:$H,'Rates-Service Fees'!QC11)*100</f>
        <v>0</v>
      </c>
      <c r="QD31">
        <f>SUMIFS(Detail!$AS:$AS,Detail!$G:$G,'Rates-Service Fees'!QD$23,Detail!$H:$H,'Rates-Service Fees'!QD11)*100</f>
        <v>0</v>
      </c>
      <c r="QE31">
        <f>SUMIFS(Detail!$AS:$AS,Detail!$G:$G,'Rates-Service Fees'!QE$23,Detail!$H:$H,'Rates-Service Fees'!QE11)*100</f>
        <v>0</v>
      </c>
      <c r="QF31">
        <f>SUMIFS(Detail!$AS:$AS,Detail!$G:$G,'Rates-Service Fees'!QF$23,Detail!$H:$H,'Rates-Service Fees'!QF11)*100</f>
        <v>0</v>
      </c>
      <c r="QG31">
        <f>SUMIFS(Detail!$AS:$AS,Detail!$G:$G,'Rates-Service Fees'!QG$23,Detail!$H:$H,'Rates-Service Fees'!QG11)*100</f>
        <v>0</v>
      </c>
      <c r="QH31">
        <f>SUMIFS(Detail!$AS:$AS,Detail!$G:$G,'Rates-Service Fees'!QH$23,Detail!$H:$H,'Rates-Service Fees'!QH11)*100</f>
        <v>0</v>
      </c>
      <c r="QI31">
        <f>SUMIFS(Detail!$AS:$AS,Detail!$G:$G,'Rates-Service Fees'!QI$23,Detail!$H:$H,'Rates-Service Fees'!QI11)*100</f>
        <v>0</v>
      </c>
      <c r="QJ31">
        <f>SUMIFS(Detail!$AS:$AS,Detail!$G:$G,'Rates-Service Fees'!QJ$23,Detail!$H:$H,'Rates-Service Fees'!QJ11)*100</f>
        <v>0</v>
      </c>
      <c r="QK31">
        <f>SUMIFS(Detail!$AS:$AS,Detail!$G:$G,'Rates-Service Fees'!QK$23,Detail!$H:$H,'Rates-Service Fees'!QK11)*100</f>
        <v>0</v>
      </c>
      <c r="QL31">
        <f>SUMIFS(Detail!$AS:$AS,Detail!$G:$G,'Rates-Service Fees'!QL$23,Detail!$H:$H,'Rates-Service Fees'!QL11)*100</f>
        <v>0</v>
      </c>
      <c r="QM31">
        <f>SUMIFS(Detail!$AS:$AS,Detail!$G:$G,'Rates-Service Fees'!QM$23,Detail!$H:$H,'Rates-Service Fees'!QM11)*100</f>
        <v>0</v>
      </c>
      <c r="QN31">
        <f>SUMIFS(Detail!$AS:$AS,Detail!$G:$G,'Rates-Service Fees'!QN$23,Detail!$H:$H,'Rates-Service Fees'!QN11)*100</f>
        <v>0</v>
      </c>
      <c r="QO31">
        <f>SUMIFS(Detail!$AS:$AS,Detail!$G:$G,'Rates-Service Fees'!QO$23,Detail!$H:$H,'Rates-Service Fees'!QO11)*100</f>
        <v>0</v>
      </c>
      <c r="QP31">
        <f>SUMIFS(Detail!$AS:$AS,Detail!$G:$G,'Rates-Service Fees'!QP$23,Detail!$H:$H,'Rates-Service Fees'!QP11)*100</f>
        <v>0</v>
      </c>
      <c r="QQ31">
        <f>SUMIFS(Detail!$AS:$AS,Detail!$G:$G,'Rates-Service Fees'!QQ$23,Detail!$H:$H,'Rates-Service Fees'!QQ11)*100</f>
        <v>0</v>
      </c>
      <c r="QR31">
        <f>SUMIFS(Detail!$AS:$AS,Detail!$G:$G,'Rates-Service Fees'!QR$23,Detail!$H:$H,'Rates-Service Fees'!QR11)*100</f>
        <v>0</v>
      </c>
      <c r="QS31">
        <f>SUMIFS(Detail!$AS:$AS,Detail!$G:$G,'Rates-Service Fees'!QS$23,Detail!$H:$H,'Rates-Service Fees'!QS11)*100</f>
        <v>0</v>
      </c>
      <c r="QT31">
        <f>SUMIFS(Detail!$AS:$AS,Detail!$G:$G,'Rates-Service Fees'!QT$23,Detail!$H:$H,'Rates-Service Fees'!QT11)*100</f>
        <v>0</v>
      </c>
      <c r="QU31">
        <f>SUMIFS(Detail!$AS:$AS,Detail!$G:$G,'Rates-Service Fees'!QU$23,Detail!$H:$H,'Rates-Service Fees'!QU11)*100</f>
        <v>0</v>
      </c>
      <c r="QV31">
        <f>SUMIFS(Detail!$AS:$AS,Detail!$G:$G,'Rates-Service Fees'!QV$23,Detail!$H:$H,'Rates-Service Fees'!QV11)*100</f>
        <v>0</v>
      </c>
      <c r="QW31">
        <f>SUMIFS(Detail!$AS:$AS,Detail!$G:$G,'Rates-Service Fees'!QW$23,Detail!$H:$H,'Rates-Service Fees'!QW11)*100</f>
        <v>0</v>
      </c>
      <c r="QX31">
        <f>SUMIFS(Detail!$AS:$AS,Detail!$G:$G,'Rates-Service Fees'!QX$23,Detail!$H:$H,'Rates-Service Fees'!QX11)*100</f>
        <v>0</v>
      </c>
      <c r="QY31">
        <f>SUMIFS(Detail!$AS:$AS,Detail!$G:$G,'Rates-Service Fees'!QY$23,Detail!$H:$H,'Rates-Service Fees'!QY11)*100</f>
        <v>0</v>
      </c>
      <c r="QZ31">
        <f>SUMIFS(Detail!$AS:$AS,Detail!$G:$G,'Rates-Service Fees'!QZ$23,Detail!$H:$H,'Rates-Service Fees'!QZ11)*100</f>
        <v>0</v>
      </c>
      <c r="RA31">
        <f>SUMIFS(Detail!$AS:$AS,Detail!$G:$G,'Rates-Service Fees'!RA$23,Detail!$H:$H,'Rates-Service Fees'!RA11)*100</f>
        <v>0</v>
      </c>
      <c r="RB31">
        <f>SUMIFS(Detail!$AS:$AS,Detail!$G:$G,'Rates-Service Fees'!RB$23,Detail!$H:$H,'Rates-Service Fees'!RB11)*100</f>
        <v>0</v>
      </c>
      <c r="RC31">
        <f>SUMIFS(Detail!$AS:$AS,Detail!$G:$G,'Rates-Service Fees'!RC$23,Detail!$H:$H,'Rates-Service Fees'!RC11)*100</f>
        <v>0</v>
      </c>
      <c r="RD31">
        <f>SUMIFS(Detail!$AS:$AS,Detail!$G:$G,'Rates-Service Fees'!RD$23,Detail!$H:$H,'Rates-Service Fees'!RD11)*100</f>
        <v>0</v>
      </c>
      <c r="RE31">
        <f>SUMIFS(Detail!$AS:$AS,Detail!$G:$G,'Rates-Service Fees'!RE$23,Detail!$H:$H,'Rates-Service Fees'!RE11)*100</f>
        <v>0</v>
      </c>
      <c r="RF31">
        <f>SUMIFS(Detail!$AS:$AS,Detail!$G:$G,'Rates-Service Fees'!RF$23,Detail!$H:$H,'Rates-Service Fees'!RF11)*100</f>
        <v>0</v>
      </c>
      <c r="RG31">
        <f>SUMIFS(Detail!$AS:$AS,Detail!$G:$G,'Rates-Service Fees'!RG$23,Detail!$H:$H,'Rates-Service Fees'!RG11)*100</f>
        <v>0</v>
      </c>
      <c r="RH31">
        <f>SUMIFS(Detail!$AS:$AS,Detail!$G:$G,'Rates-Service Fees'!RH$23,Detail!$H:$H,'Rates-Service Fees'!RH11)*100</f>
        <v>0</v>
      </c>
      <c r="RI31">
        <f>SUMIFS(Detail!$AS:$AS,Detail!$G:$G,'Rates-Service Fees'!RI$23,Detail!$H:$H,'Rates-Service Fees'!RI11)*100</f>
        <v>0</v>
      </c>
      <c r="RJ31">
        <f>SUMIFS(Detail!$AS:$AS,Detail!$G:$G,'Rates-Service Fees'!RJ$23,Detail!$H:$H,'Rates-Service Fees'!RJ11)*100</f>
        <v>0</v>
      </c>
      <c r="RK31">
        <f>SUMIFS(Detail!$AS:$AS,Detail!$G:$G,'Rates-Service Fees'!RK$23,Detail!$H:$H,'Rates-Service Fees'!RK11)*100</f>
        <v>0</v>
      </c>
      <c r="RL31">
        <f>SUMIFS(Detail!$AS:$AS,Detail!$G:$G,'Rates-Service Fees'!RL$23,Detail!$H:$H,'Rates-Service Fees'!RL11)*100</f>
        <v>0</v>
      </c>
      <c r="RM31">
        <f>SUMIFS(Detail!$AS:$AS,Detail!$G:$G,'Rates-Service Fees'!RM$23,Detail!$H:$H,'Rates-Service Fees'!RM11)*100</f>
        <v>0</v>
      </c>
      <c r="RN31">
        <f>SUMIFS(Detail!$AS:$AS,Detail!$G:$G,'Rates-Service Fees'!RN$23,Detail!$H:$H,'Rates-Service Fees'!RN11)*100</f>
        <v>0</v>
      </c>
      <c r="RO31">
        <f>SUMIFS(Detail!$AS:$AS,Detail!$G:$G,'Rates-Service Fees'!RO$23,Detail!$H:$H,'Rates-Service Fees'!RO11)*100</f>
        <v>0</v>
      </c>
      <c r="RP31">
        <f>SUMIFS(Detail!$AS:$AS,Detail!$G:$G,'Rates-Service Fees'!RP$23,Detail!$H:$H,'Rates-Service Fees'!RP11)*100</f>
        <v>0</v>
      </c>
      <c r="RQ31">
        <f>SUMIFS(Detail!$AS:$AS,Detail!$G:$G,'Rates-Service Fees'!RQ$23,Detail!$H:$H,'Rates-Service Fees'!RQ11)*100</f>
        <v>0</v>
      </c>
      <c r="RR31">
        <f>SUMIFS(Detail!$AS:$AS,Detail!$G:$G,'Rates-Service Fees'!RR$23,Detail!$H:$H,'Rates-Service Fees'!RR11)*100</f>
        <v>0</v>
      </c>
      <c r="RS31">
        <f>SUMIFS(Detail!$AS:$AS,Detail!$G:$G,'Rates-Service Fees'!RS$23,Detail!$H:$H,'Rates-Service Fees'!RS11)*100</f>
        <v>0</v>
      </c>
      <c r="RT31">
        <f>SUMIFS(Detail!$AS:$AS,Detail!$G:$G,'Rates-Service Fees'!RT$23,Detail!$H:$H,'Rates-Service Fees'!RT11)*100</f>
        <v>0</v>
      </c>
      <c r="RU31">
        <f>SUMIFS(Detail!$AS:$AS,Detail!$G:$G,'Rates-Service Fees'!RU$23,Detail!$H:$H,'Rates-Service Fees'!RU11)*100</f>
        <v>0</v>
      </c>
      <c r="RV31">
        <f>SUMIFS(Detail!$AS:$AS,Detail!$G:$G,'Rates-Service Fees'!RV$23,Detail!$H:$H,'Rates-Service Fees'!RV11)*100</f>
        <v>0</v>
      </c>
      <c r="RW31">
        <f>SUMIFS(Detail!$AS:$AS,Detail!$G:$G,'Rates-Service Fees'!RW$23,Detail!$H:$H,'Rates-Service Fees'!RW11)*100</f>
        <v>0</v>
      </c>
      <c r="RX31">
        <f>SUMIFS(Detail!$AS:$AS,Detail!$G:$G,'Rates-Service Fees'!RX$23,Detail!$H:$H,'Rates-Service Fees'!RX11)*100</f>
        <v>0</v>
      </c>
      <c r="RY31">
        <f>SUMIFS(Detail!$AS:$AS,Detail!$G:$G,'Rates-Service Fees'!RY$23,Detail!$H:$H,'Rates-Service Fees'!RY11)*100</f>
        <v>0</v>
      </c>
      <c r="RZ31">
        <f>SUMIFS(Detail!$AS:$AS,Detail!$G:$G,'Rates-Service Fees'!RZ$23,Detail!$H:$H,'Rates-Service Fees'!RZ11)*100</f>
        <v>0</v>
      </c>
      <c r="SA31">
        <f>SUMIFS(Detail!$AS:$AS,Detail!$G:$G,'Rates-Service Fees'!SA$23,Detail!$H:$H,'Rates-Service Fees'!SA11)*100</f>
        <v>0</v>
      </c>
      <c r="SB31">
        <f>SUMIFS(Detail!$AS:$AS,Detail!$G:$G,'Rates-Service Fees'!SB$23,Detail!$H:$H,'Rates-Service Fees'!SB11)*100</f>
        <v>0</v>
      </c>
      <c r="SC31">
        <f>SUMIFS(Detail!$AS:$AS,Detail!$G:$G,'Rates-Service Fees'!SC$23,Detail!$H:$H,'Rates-Service Fees'!SC11)*100</f>
        <v>0</v>
      </c>
      <c r="SD31">
        <f>SUMIFS(Detail!$AS:$AS,Detail!$G:$G,'Rates-Service Fees'!SD$23,Detail!$H:$H,'Rates-Service Fees'!SD11)*100</f>
        <v>0</v>
      </c>
      <c r="SE31">
        <f>SUMIFS(Detail!$AS:$AS,Detail!$G:$G,'Rates-Service Fees'!SE$23,Detail!$H:$H,'Rates-Service Fees'!SE11)*100</f>
        <v>0</v>
      </c>
      <c r="SF31">
        <f>SUMIFS(Detail!$AS:$AS,Detail!$G:$G,'Rates-Service Fees'!SF$23,Detail!$H:$H,'Rates-Service Fees'!SF11)*100</f>
        <v>0</v>
      </c>
      <c r="SG31">
        <f>SUMIFS(Detail!$AS:$AS,Detail!$G:$G,'Rates-Service Fees'!SG$23,Detail!$H:$H,'Rates-Service Fees'!SG11)*100</f>
        <v>0</v>
      </c>
      <c r="SH31">
        <f>SUMIFS(Detail!$AS:$AS,Detail!$G:$G,'Rates-Service Fees'!SH$23,Detail!$H:$H,'Rates-Service Fees'!SH11)*100</f>
        <v>0</v>
      </c>
      <c r="SI31">
        <f>SUMIFS(Detail!$AS:$AS,Detail!$G:$G,'Rates-Service Fees'!SI$23,Detail!$H:$H,'Rates-Service Fees'!SI11)*100</f>
        <v>0</v>
      </c>
      <c r="SJ31">
        <f>SUMIFS(Detail!$AS:$AS,Detail!$G:$G,'Rates-Service Fees'!SJ$23,Detail!$H:$H,'Rates-Service Fees'!SJ11)*100</f>
        <v>0</v>
      </c>
      <c r="SK31">
        <f>SUMIFS(Detail!$AS:$AS,Detail!$G:$G,'Rates-Service Fees'!SK$23,Detail!$H:$H,'Rates-Service Fees'!SK11)*100</f>
        <v>0</v>
      </c>
      <c r="SL31">
        <f>SUMIFS(Detail!$AS:$AS,Detail!$G:$G,'Rates-Service Fees'!SL$23,Detail!$H:$H,'Rates-Service Fees'!SL11)*100</f>
        <v>0</v>
      </c>
      <c r="SM31">
        <f>SUMIFS(Detail!$AS:$AS,Detail!$G:$G,'Rates-Service Fees'!SM$23,Detail!$H:$H,'Rates-Service Fees'!SM11)*100</f>
        <v>0</v>
      </c>
      <c r="SN31">
        <f>SUMIFS(Detail!$AS:$AS,Detail!$G:$G,'Rates-Service Fees'!SN$23,Detail!$H:$H,'Rates-Service Fees'!SN11)*100</f>
        <v>0</v>
      </c>
      <c r="SO31">
        <f>SUMIFS(Detail!$AS:$AS,Detail!$G:$G,'Rates-Service Fees'!SO$23,Detail!$H:$H,'Rates-Service Fees'!SO11)*100</f>
        <v>0</v>
      </c>
      <c r="SP31">
        <f>SUMIFS(Detail!$AS:$AS,Detail!$G:$G,'Rates-Service Fees'!SP$23,Detail!$H:$H,'Rates-Service Fees'!SP11)*100</f>
        <v>0</v>
      </c>
      <c r="SQ31">
        <f>SUMIFS(Detail!$AS:$AS,Detail!$G:$G,'Rates-Service Fees'!SQ$23,Detail!$H:$H,'Rates-Service Fees'!SQ11)*100</f>
        <v>0</v>
      </c>
      <c r="SR31">
        <f>SUMIFS(Detail!$AS:$AS,Detail!$G:$G,'Rates-Service Fees'!SR$23,Detail!$H:$H,'Rates-Service Fees'!SR11)*100</f>
        <v>0</v>
      </c>
      <c r="SS31">
        <f>SUMIFS(Detail!$AS:$AS,Detail!$G:$G,'Rates-Service Fees'!SS$23,Detail!$H:$H,'Rates-Service Fees'!SS11)*100</f>
        <v>0</v>
      </c>
      <c r="ST31">
        <f>SUMIFS(Detail!$AS:$AS,Detail!$G:$G,'Rates-Service Fees'!ST$23,Detail!$H:$H,'Rates-Service Fees'!ST11)*100</f>
        <v>0</v>
      </c>
      <c r="SU31">
        <f>SUMIFS(Detail!$AS:$AS,Detail!$G:$G,'Rates-Service Fees'!SU$23,Detail!$H:$H,'Rates-Service Fees'!SU11)*100</f>
        <v>0</v>
      </c>
      <c r="SV31">
        <f>SUMIFS(Detail!$AS:$AS,Detail!$G:$G,'Rates-Service Fees'!SV$23,Detail!$H:$H,'Rates-Service Fees'!SV11)*100</f>
        <v>0</v>
      </c>
      <c r="SW31">
        <f>SUMIFS(Detail!$AS:$AS,Detail!$G:$G,'Rates-Service Fees'!SW$23,Detail!$H:$H,'Rates-Service Fees'!SW11)*100</f>
        <v>0</v>
      </c>
      <c r="SX31">
        <f>SUMIFS(Detail!$AS:$AS,Detail!$G:$G,'Rates-Service Fees'!SX$23,Detail!$H:$H,'Rates-Service Fees'!SX11)*100</f>
        <v>0</v>
      </c>
      <c r="SY31">
        <f>SUMIFS(Detail!$AS:$AS,Detail!$G:$G,'Rates-Service Fees'!SY$23,Detail!$H:$H,'Rates-Service Fees'!SY11)*100</f>
        <v>0</v>
      </c>
      <c r="SZ31">
        <f>SUMIFS(Detail!$AS:$AS,Detail!$G:$G,'Rates-Service Fees'!SZ$23,Detail!$H:$H,'Rates-Service Fees'!SZ11)*100</f>
        <v>0</v>
      </c>
      <c r="TA31">
        <f>SUMIFS(Detail!$AS:$AS,Detail!$G:$G,'Rates-Service Fees'!TA$23,Detail!$H:$H,'Rates-Service Fees'!TA11)*100</f>
        <v>0</v>
      </c>
      <c r="TB31">
        <f>SUMIFS(Detail!$AS:$AS,Detail!$G:$G,'Rates-Service Fees'!TB$23,Detail!$H:$H,'Rates-Service Fees'!TB11)*100</f>
        <v>0</v>
      </c>
      <c r="TC31">
        <f>SUMIFS(Detail!$AS:$AS,Detail!$G:$G,'Rates-Service Fees'!TC$23,Detail!$H:$H,'Rates-Service Fees'!TC11)*100</f>
        <v>0</v>
      </c>
      <c r="TD31">
        <f>SUMIFS(Detail!$AS:$AS,Detail!$G:$G,'Rates-Service Fees'!TD$23,Detail!$H:$H,'Rates-Service Fees'!TD11)*100</f>
        <v>0</v>
      </c>
      <c r="TE31">
        <f>SUMIFS(Detail!$AS:$AS,Detail!$G:$G,'Rates-Service Fees'!TE$23,Detail!$H:$H,'Rates-Service Fees'!TE11)*100</f>
        <v>0</v>
      </c>
      <c r="TF31">
        <f>SUMIFS(Detail!$AS:$AS,Detail!$G:$G,'Rates-Service Fees'!TF$23,Detail!$H:$H,'Rates-Service Fees'!TF11)*100</f>
        <v>0</v>
      </c>
      <c r="TG31">
        <f>SUMIFS(Detail!$AS:$AS,Detail!$G:$G,'Rates-Service Fees'!TG$23,Detail!$H:$H,'Rates-Service Fees'!TG11)*100</f>
        <v>0</v>
      </c>
      <c r="TH31">
        <f>SUMIFS(Detail!$AS:$AS,Detail!$G:$G,'Rates-Service Fees'!TH$23,Detail!$H:$H,'Rates-Service Fees'!TH11)*100</f>
        <v>0</v>
      </c>
      <c r="TI31">
        <f>SUMIFS(Detail!$AS:$AS,Detail!$G:$G,'Rates-Service Fees'!TI$23,Detail!$H:$H,'Rates-Service Fees'!TI11)*100</f>
        <v>0</v>
      </c>
      <c r="TJ31">
        <f>SUMIFS(Detail!$AS:$AS,Detail!$G:$G,'Rates-Service Fees'!TJ$23,Detail!$H:$H,'Rates-Service Fees'!TJ11)*100</f>
        <v>0</v>
      </c>
      <c r="TK31">
        <f>SUMIFS(Detail!$AS:$AS,Detail!$G:$G,'Rates-Service Fees'!TK$23,Detail!$H:$H,'Rates-Service Fees'!TK11)*100</f>
        <v>0</v>
      </c>
      <c r="TL31">
        <f>SUMIFS(Detail!$AS:$AS,Detail!$G:$G,'Rates-Service Fees'!TL$23,Detail!$H:$H,'Rates-Service Fees'!TL11)*100</f>
        <v>0</v>
      </c>
      <c r="TM31">
        <f>SUMIFS(Detail!$AS:$AS,Detail!$G:$G,'Rates-Service Fees'!TM$23,Detail!$H:$H,'Rates-Service Fees'!TM11)*100</f>
        <v>0</v>
      </c>
      <c r="TN31">
        <f>SUMIFS(Detail!$AS:$AS,Detail!$G:$G,'Rates-Service Fees'!TN$23,Detail!$H:$H,'Rates-Service Fees'!TN11)*100</f>
        <v>0</v>
      </c>
      <c r="TO31">
        <f>SUMIFS(Detail!$AS:$AS,Detail!$G:$G,'Rates-Service Fees'!TO$23,Detail!$H:$H,'Rates-Service Fees'!TO11)*100</f>
        <v>0</v>
      </c>
      <c r="TP31">
        <f>SUMIFS(Detail!$AS:$AS,Detail!$G:$G,'Rates-Service Fees'!TP$23,Detail!$H:$H,'Rates-Service Fees'!TP11)*100</f>
        <v>0</v>
      </c>
      <c r="TQ31">
        <f>SUMIFS(Detail!$AS:$AS,Detail!$G:$G,'Rates-Service Fees'!TQ$23,Detail!$H:$H,'Rates-Service Fees'!TQ11)*100</f>
        <v>0</v>
      </c>
      <c r="TR31">
        <f>SUMIFS(Detail!$AS:$AS,Detail!$G:$G,'Rates-Service Fees'!TR$23,Detail!$H:$H,'Rates-Service Fees'!TR11)*100</f>
        <v>0</v>
      </c>
      <c r="TS31">
        <f>SUMIFS(Detail!$AS:$AS,Detail!$G:$G,'Rates-Service Fees'!TS$23,Detail!$H:$H,'Rates-Service Fees'!TS11)*100</f>
        <v>0</v>
      </c>
      <c r="TT31">
        <f>SUMIFS(Detail!$AS:$AS,Detail!$G:$G,'Rates-Service Fees'!TT$23,Detail!$H:$H,'Rates-Service Fees'!TT11)*100</f>
        <v>0</v>
      </c>
      <c r="TU31">
        <f>SUMIFS(Detail!$AS:$AS,Detail!$G:$G,'Rates-Service Fees'!TU$23,Detail!$H:$H,'Rates-Service Fees'!TU11)*100</f>
        <v>0</v>
      </c>
      <c r="TV31">
        <f>SUMIFS(Detail!$AS:$AS,Detail!$G:$G,'Rates-Service Fees'!TV$23,Detail!$H:$H,'Rates-Service Fees'!TV11)*100</f>
        <v>0</v>
      </c>
      <c r="TW31">
        <f>SUMIFS(Detail!$AS:$AS,Detail!$G:$G,'Rates-Service Fees'!TW$23,Detail!$H:$H,'Rates-Service Fees'!TW11)*100</f>
        <v>0</v>
      </c>
      <c r="TX31">
        <f>SUMIFS(Detail!$AS:$AS,Detail!$G:$G,'Rates-Service Fees'!TX$23,Detail!$H:$H,'Rates-Service Fees'!TX11)*100</f>
        <v>0</v>
      </c>
      <c r="TY31">
        <f>SUMIFS(Detail!$AS:$AS,Detail!$G:$G,'Rates-Service Fees'!TY$23,Detail!$H:$H,'Rates-Service Fees'!TY11)*100</f>
        <v>0</v>
      </c>
      <c r="TZ31">
        <f>SUMIFS(Detail!$AS:$AS,Detail!$G:$G,'Rates-Service Fees'!TZ$23,Detail!$H:$H,'Rates-Service Fees'!TZ11)*100</f>
        <v>0</v>
      </c>
      <c r="UA31">
        <f>SUMIFS(Detail!$AS:$AS,Detail!$G:$G,'Rates-Service Fees'!UA$23,Detail!$H:$H,'Rates-Service Fees'!UA11)*100</f>
        <v>0</v>
      </c>
      <c r="UB31">
        <f>SUMIFS(Detail!$AS:$AS,Detail!$G:$G,'Rates-Service Fees'!UB$23,Detail!$H:$H,'Rates-Service Fees'!UB11)*100</f>
        <v>0</v>
      </c>
      <c r="UC31">
        <f>SUMIFS(Detail!$AS:$AS,Detail!$G:$G,'Rates-Service Fees'!UC$23,Detail!$H:$H,'Rates-Service Fees'!UC11)*100</f>
        <v>0</v>
      </c>
      <c r="UD31">
        <f>SUMIFS(Detail!$AS:$AS,Detail!$G:$G,'Rates-Service Fees'!UD$23,Detail!$H:$H,'Rates-Service Fees'!UD11)*100</f>
        <v>0</v>
      </c>
      <c r="UE31">
        <f>SUMIFS(Detail!$AS:$AS,Detail!$G:$G,'Rates-Service Fees'!UE$23,Detail!$H:$H,'Rates-Service Fees'!UE11)*100</f>
        <v>0</v>
      </c>
      <c r="UF31">
        <f>SUMIFS(Detail!$AS:$AS,Detail!$G:$G,'Rates-Service Fees'!UF$23,Detail!$H:$H,'Rates-Service Fees'!UF11)*100</f>
        <v>0</v>
      </c>
      <c r="UG31">
        <f>SUMIFS(Detail!$AS:$AS,Detail!$G:$G,'Rates-Service Fees'!UG$23,Detail!$H:$H,'Rates-Service Fees'!UG11)*100</f>
        <v>0</v>
      </c>
      <c r="UH31">
        <f>SUMIFS(Detail!$AS:$AS,Detail!$G:$G,'Rates-Service Fees'!UH$23,Detail!$H:$H,'Rates-Service Fees'!UH11)*100</f>
        <v>0</v>
      </c>
      <c r="UI31">
        <f>SUMIFS(Detail!$AS:$AS,Detail!$G:$G,'Rates-Service Fees'!UI$23,Detail!$H:$H,'Rates-Service Fees'!UI11)*100</f>
        <v>0</v>
      </c>
      <c r="UJ31">
        <f>SUMIFS(Detail!$AS:$AS,Detail!$G:$G,'Rates-Service Fees'!UJ$23,Detail!$H:$H,'Rates-Service Fees'!UJ11)*100</f>
        <v>0</v>
      </c>
      <c r="UK31">
        <f>SUMIFS(Detail!$AS:$AS,Detail!$G:$G,'Rates-Service Fees'!UK$23,Detail!$H:$H,'Rates-Service Fees'!UK11)*100</f>
        <v>0</v>
      </c>
      <c r="UL31">
        <f>SUMIFS(Detail!$AS:$AS,Detail!$G:$G,'Rates-Service Fees'!UL$23,Detail!$H:$H,'Rates-Service Fees'!UL11)*100</f>
        <v>0</v>
      </c>
      <c r="UM31">
        <f>SUMIFS(Detail!$AS:$AS,Detail!$G:$G,'Rates-Service Fees'!UM$23,Detail!$H:$H,'Rates-Service Fees'!UM11)*100</f>
        <v>0</v>
      </c>
      <c r="UN31">
        <f>SUMIFS(Detail!$AS:$AS,Detail!$G:$G,'Rates-Service Fees'!UN$23,Detail!$H:$H,'Rates-Service Fees'!UN11)*100</f>
        <v>0</v>
      </c>
      <c r="UO31">
        <f>SUMIFS(Detail!$AS:$AS,Detail!$G:$G,'Rates-Service Fees'!UO$23,Detail!$H:$H,'Rates-Service Fees'!UO11)*100</f>
        <v>0</v>
      </c>
      <c r="UP31">
        <f>SUMIFS(Detail!$AS:$AS,Detail!$G:$G,'Rates-Service Fees'!UP$23,Detail!$H:$H,'Rates-Service Fees'!UP11)*100</f>
        <v>0</v>
      </c>
      <c r="UQ31">
        <f>SUMIFS(Detail!$AS:$AS,Detail!$G:$G,'Rates-Service Fees'!UQ$23,Detail!$H:$H,'Rates-Service Fees'!UQ11)*100</f>
        <v>0</v>
      </c>
      <c r="UR31">
        <f>SUMIFS(Detail!$AS:$AS,Detail!$G:$G,'Rates-Service Fees'!UR$23,Detail!$H:$H,'Rates-Service Fees'!UR11)*100</f>
        <v>0</v>
      </c>
      <c r="US31">
        <f>SUMIFS(Detail!$AS:$AS,Detail!$G:$G,'Rates-Service Fees'!US$23,Detail!$H:$H,'Rates-Service Fees'!US11)*100</f>
        <v>0</v>
      </c>
      <c r="UT31">
        <f>SUMIFS(Detail!$AS:$AS,Detail!$G:$G,'Rates-Service Fees'!UT$23,Detail!$H:$H,'Rates-Service Fees'!UT11)*100</f>
        <v>0</v>
      </c>
      <c r="UU31">
        <f>SUMIFS(Detail!$AS:$AS,Detail!$G:$G,'Rates-Service Fees'!UU$23,Detail!$H:$H,'Rates-Service Fees'!UU11)*100</f>
        <v>0</v>
      </c>
      <c r="UV31">
        <f>SUMIFS(Detail!$AS:$AS,Detail!$G:$G,'Rates-Service Fees'!UV$23,Detail!$H:$H,'Rates-Service Fees'!UV11)*100</f>
        <v>0</v>
      </c>
      <c r="UW31">
        <f>SUMIFS(Detail!$AS:$AS,Detail!$G:$G,'Rates-Service Fees'!UW$23,Detail!$H:$H,'Rates-Service Fees'!UW11)*100</f>
        <v>0</v>
      </c>
      <c r="UX31">
        <f>SUMIFS(Detail!$AS:$AS,Detail!$G:$G,'Rates-Service Fees'!UX$23,Detail!$H:$H,'Rates-Service Fees'!UX11)*100</f>
        <v>0</v>
      </c>
      <c r="UY31">
        <f>SUMIFS(Detail!$AS:$AS,Detail!$G:$G,'Rates-Service Fees'!UY$23,Detail!$H:$H,'Rates-Service Fees'!UY11)*100</f>
        <v>0</v>
      </c>
      <c r="UZ31">
        <f>SUMIFS(Detail!$AS:$AS,Detail!$G:$G,'Rates-Service Fees'!UZ$23,Detail!$H:$H,'Rates-Service Fees'!UZ11)*100</f>
        <v>0</v>
      </c>
      <c r="VA31">
        <f>SUMIFS(Detail!$AS:$AS,Detail!$G:$G,'Rates-Service Fees'!VA$23,Detail!$H:$H,'Rates-Service Fees'!VA11)*100</f>
        <v>0</v>
      </c>
      <c r="VB31">
        <f>SUMIFS(Detail!$AS:$AS,Detail!$G:$G,'Rates-Service Fees'!VB$23,Detail!$H:$H,'Rates-Service Fees'!VB11)*100</f>
        <v>0</v>
      </c>
      <c r="VC31">
        <f>SUMIFS(Detail!$AS:$AS,Detail!$G:$G,'Rates-Service Fees'!VC$23,Detail!$H:$H,'Rates-Service Fees'!VC11)*100</f>
        <v>0</v>
      </c>
      <c r="VD31">
        <f>SUMIFS(Detail!$AS:$AS,Detail!$G:$G,'Rates-Service Fees'!VD$23,Detail!$H:$H,'Rates-Service Fees'!VD11)*100</f>
        <v>0</v>
      </c>
      <c r="VE31">
        <f>SUMIFS(Detail!$AS:$AS,Detail!$G:$G,'Rates-Service Fees'!VE$23,Detail!$H:$H,'Rates-Service Fees'!VE11)*100</f>
        <v>0</v>
      </c>
      <c r="VF31">
        <f>SUMIFS(Detail!$AS:$AS,Detail!$G:$G,'Rates-Service Fees'!VF$23,Detail!$H:$H,'Rates-Service Fees'!VF11)*100</f>
        <v>0</v>
      </c>
      <c r="VG31">
        <f>SUMIFS(Detail!$AS:$AS,Detail!$G:$G,'Rates-Service Fees'!VG$23,Detail!$H:$H,'Rates-Service Fees'!VG11)*100</f>
        <v>0</v>
      </c>
      <c r="VH31">
        <f>SUMIFS(Detail!$AS:$AS,Detail!$G:$G,'Rates-Service Fees'!VH$23,Detail!$H:$H,'Rates-Service Fees'!VH11)*100</f>
        <v>0</v>
      </c>
      <c r="VI31">
        <f>SUMIFS(Detail!$AS:$AS,Detail!$G:$G,'Rates-Service Fees'!VI$23,Detail!$H:$H,'Rates-Service Fees'!VI11)*100</f>
        <v>0</v>
      </c>
      <c r="VJ31">
        <f>SUMIFS(Detail!$AS:$AS,Detail!$G:$G,'Rates-Service Fees'!VJ$23,Detail!$H:$H,'Rates-Service Fees'!VJ11)*100</f>
        <v>0</v>
      </c>
      <c r="VK31">
        <f>SUMIFS(Detail!$AS:$AS,Detail!$G:$G,'Rates-Service Fees'!VK$23,Detail!$H:$H,'Rates-Service Fees'!VK11)*100</f>
        <v>0</v>
      </c>
      <c r="VL31">
        <f>SUMIFS(Detail!$AS:$AS,Detail!$G:$G,'Rates-Service Fees'!VL$23,Detail!$H:$H,'Rates-Service Fees'!VL11)*100</f>
        <v>0</v>
      </c>
      <c r="VM31">
        <f>SUMIFS(Detail!$AS:$AS,Detail!$G:$G,'Rates-Service Fees'!VM$23,Detail!$H:$H,'Rates-Service Fees'!VM11)*100</f>
        <v>0</v>
      </c>
      <c r="VN31">
        <f>SUMIFS(Detail!$AS:$AS,Detail!$G:$G,'Rates-Service Fees'!VN$23,Detail!$H:$H,'Rates-Service Fees'!VN11)*100</f>
        <v>0</v>
      </c>
      <c r="VO31">
        <f>SUMIFS(Detail!$AS:$AS,Detail!$G:$G,'Rates-Service Fees'!VO$23,Detail!$H:$H,'Rates-Service Fees'!VO11)*100</f>
        <v>0</v>
      </c>
      <c r="VP31">
        <f>SUMIFS(Detail!$AS:$AS,Detail!$G:$G,'Rates-Service Fees'!VP$23,Detail!$H:$H,'Rates-Service Fees'!VP11)*100</f>
        <v>0</v>
      </c>
      <c r="VQ31">
        <f>SUMIFS(Detail!$AS:$AS,Detail!$G:$G,'Rates-Service Fees'!VQ$23,Detail!$H:$H,'Rates-Service Fees'!VQ11)*100</f>
        <v>0</v>
      </c>
      <c r="VR31">
        <f>SUMIFS(Detail!$AS:$AS,Detail!$G:$G,'Rates-Service Fees'!VR$23,Detail!$H:$H,'Rates-Service Fees'!VR11)*100</f>
        <v>0</v>
      </c>
      <c r="VS31">
        <f>SUMIFS(Detail!$AS:$AS,Detail!$G:$G,'Rates-Service Fees'!VS$23,Detail!$H:$H,'Rates-Service Fees'!VS11)*100</f>
        <v>0</v>
      </c>
      <c r="VT31">
        <f>SUMIFS(Detail!$AS:$AS,Detail!$G:$G,'Rates-Service Fees'!VT$23,Detail!$H:$H,'Rates-Service Fees'!VT11)*100</f>
        <v>0</v>
      </c>
      <c r="VU31">
        <f>SUMIFS(Detail!$AS:$AS,Detail!$G:$G,'Rates-Service Fees'!VU$23,Detail!$H:$H,'Rates-Service Fees'!VU11)*100</f>
        <v>0</v>
      </c>
      <c r="VV31">
        <f>SUMIFS(Detail!$AS:$AS,Detail!$G:$G,'Rates-Service Fees'!VV$23,Detail!$H:$H,'Rates-Service Fees'!VV11)*100</f>
        <v>0</v>
      </c>
      <c r="VW31">
        <f>SUMIFS(Detail!$AS:$AS,Detail!$G:$G,'Rates-Service Fees'!VW$23,Detail!$H:$H,'Rates-Service Fees'!VW11)*100</f>
        <v>0</v>
      </c>
      <c r="VX31">
        <f>SUMIFS(Detail!$AS:$AS,Detail!$G:$G,'Rates-Service Fees'!VX$23,Detail!$H:$H,'Rates-Service Fees'!VX11)*100</f>
        <v>0</v>
      </c>
      <c r="VY31">
        <f>SUMIFS(Detail!$AS:$AS,Detail!$G:$G,'Rates-Service Fees'!VY$23,Detail!$H:$H,'Rates-Service Fees'!VY11)*100</f>
        <v>0</v>
      </c>
      <c r="VZ31">
        <f>SUMIFS(Detail!$AS:$AS,Detail!$G:$G,'Rates-Service Fees'!VZ$23,Detail!$H:$H,'Rates-Service Fees'!VZ11)*100</f>
        <v>0</v>
      </c>
      <c r="WA31">
        <f>SUMIFS(Detail!$AS:$AS,Detail!$G:$G,'Rates-Service Fees'!WA$23,Detail!$H:$H,'Rates-Service Fees'!WA11)*100</f>
        <v>0</v>
      </c>
      <c r="WB31">
        <f>SUMIFS(Detail!$AS:$AS,Detail!$G:$G,'Rates-Service Fees'!WB$23,Detail!$H:$H,'Rates-Service Fees'!WB11)*100</f>
        <v>0</v>
      </c>
      <c r="WC31">
        <f>SUMIFS(Detail!$AS:$AS,Detail!$G:$G,'Rates-Service Fees'!WC$23,Detail!$H:$H,'Rates-Service Fees'!WC11)*100</f>
        <v>0</v>
      </c>
      <c r="WD31">
        <f>SUMIFS(Detail!$AS:$AS,Detail!$G:$G,'Rates-Service Fees'!WD$23,Detail!$H:$H,'Rates-Service Fees'!WD11)*100</f>
        <v>0</v>
      </c>
      <c r="WE31">
        <f>SUMIFS(Detail!$AS:$AS,Detail!$G:$G,'Rates-Service Fees'!WE$23,Detail!$H:$H,'Rates-Service Fees'!WE11)*100</f>
        <v>0</v>
      </c>
      <c r="WF31">
        <f>SUMIFS(Detail!$AS:$AS,Detail!$G:$G,'Rates-Service Fees'!WF$23,Detail!$H:$H,'Rates-Service Fees'!WF11)*100</f>
        <v>0</v>
      </c>
      <c r="WG31">
        <f>SUMIFS(Detail!$AS:$AS,Detail!$G:$G,'Rates-Service Fees'!WG$23,Detail!$H:$H,'Rates-Service Fees'!WG11)*100</f>
        <v>0</v>
      </c>
      <c r="WH31">
        <f>SUMIFS(Detail!$AS:$AS,Detail!$G:$G,'Rates-Service Fees'!WH$23,Detail!$H:$H,'Rates-Service Fees'!WH11)*100</f>
        <v>0</v>
      </c>
      <c r="WI31">
        <f>SUMIFS(Detail!$AS:$AS,Detail!$G:$G,'Rates-Service Fees'!WI$23,Detail!$H:$H,'Rates-Service Fees'!WI11)*100</f>
        <v>0</v>
      </c>
      <c r="WJ31">
        <f>SUMIFS(Detail!$AS:$AS,Detail!$G:$G,'Rates-Service Fees'!WJ$23,Detail!$H:$H,'Rates-Service Fees'!WJ11)*100</f>
        <v>0</v>
      </c>
      <c r="WK31">
        <f>SUMIFS(Detail!$AS:$AS,Detail!$G:$G,'Rates-Service Fees'!WK$23,Detail!$H:$H,'Rates-Service Fees'!WK11)*100</f>
        <v>0</v>
      </c>
      <c r="WL31">
        <f>SUMIFS(Detail!$AS:$AS,Detail!$G:$G,'Rates-Service Fees'!WL$23,Detail!$H:$H,'Rates-Service Fees'!WL11)*100</f>
        <v>0</v>
      </c>
      <c r="WM31">
        <f>SUMIFS(Detail!$AS:$AS,Detail!$G:$G,'Rates-Service Fees'!WM$23,Detail!$H:$H,'Rates-Service Fees'!WM11)*100</f>
        <v>0</v>
      </c>
      <c r="WN31">
        <f>SUMIFS(Detail!$AS:$AS,Detail!$G:$G,'Rates-Service Fees'!WN$23,Detail!$H:$H,'Rates-Service Fees'!WN11)*100</f>
        <v>0</v>
      </c>
      <c r="WO31">
        <f>SUMIFS(Detail!$AS:$AS,Detail!$G:$G,'Rates-Service Fees'!WO$23,Detail!$H:$H,'Rates-Service Fees'!WO11)*100</f>
        <v>0</v>
      </c>
      <c r="WP31">
        <f>SUMIFS(Detail!$AS:$AS,Detail!$G:$G,'Rates-Service Fees'!WP$23,Detail!$H:$H,'Rates-Service Fees'!WP11)*100</f>
        <v>0</v>
      </c>
      <c r="WQ31">
        <f>SUMIFS(Detail!$AS:$AS,Detail!$G:$G,'Rates-Service Fees'!WQ$23,Detail!$H:$H,'Rates-Service Fees'!WQ11)*100</f>
        <v>0</v>
      </c>
      <c r="WR31">
        <f>SUMIFS(Detail!$AS:$AS,Detail!$G:$G,'Rates-Service Fees'!WR$23,Detail!$H:$H,'Rates-Service Fees'!WR11)*100</f>
        <v>0</v>
      </c>
      <c r="WS31">
        <f>SUMIFS(Detail!$AS:$AS,Detail!$G:$G,'Rates-Service Fees'!WS$23,Detail!$H:$H,'Rates-Service Fees'!WS11)*100</f>
        <v>0</v>
      </c>
      <c r="WT31">
        <f>SUMIFS(Detail!$AS:$AS,Detail!$G:$G,'Rates-Service Fees'!WT$23,Detail!$H:$H,'Rates-Service Fees'!WT11)*100</f>
        <v>0</v>
      </c>
      <c r="WU31">
        <f>SUMIFS(Detail!$AS:$AS,Detail!$G:$G,'Rates-Service Fees'!WU$23,Detail!$H:$H,'Rates-Service Fees'!WU11)*100</f>
        <v>0</v>
      </c>
      <c r="WV31">
        <f>SUMIFS(Detail!$AS:$AS,Detail!$G:$G,'Rates-Service Fees'!WV$23,Detail!$H:$H,'Rates-Service Fees'!WV11)*100</f>
        <v>0</v>
      </c>
      <c r="WW31">
        <f>SUMIFS(Detail!$AS:$AS,Detail!$G:$G,'Rates-Service Fees'!WW$23,Detail!$H:$H,'Rates-Service Fees'!WW11)*100</f>
        <v>0</v>
      </c>
      <c r="WX31">
        <f>SUMIFS(Detail!$AS:$AS,Detail!$G:$G,'Rates-Service Fees'!WX$23,Detail!$H:$H,'Rates-Service Fees'!WX11)*100</f>
        <v>0</v>
      </c>
      <c r="WY31">
        <f>SUMIFS(Detail!$AS:$AS,Detail!$G:$G,'Rates-Service Fees'!WY$23,Detail!$H:$H,'Rates-Service Fees'!WY11)*100</f>
        <v>0</v>
      </c>
      <c r="WZ31">
        <f>SUMIFS(Detail!$AS:$AS,Detail!$G:$G,'Rates-Service Fees'!WZ$23,Detail!$H:$H,'Rates-Service Fees'!WZ11)*100</f>
        <v>0</v>
      </c>
      <c r="XA31">
        <f>SUMIFS(Detail!$AS:$AS,Detail!$G:$G,'Rates-Service Fees'!XA$23,Detail!$H:$H,'Rates-Service Fees'!XA11)*100</f>
        <v>0</v>
      </c>
      <c r="XB31">
        <f>SUMIFS(Detail!$AS:$AS,Detail!$G:$G,'Rates-Service Fees'!XB$23,Detail!$H:$H,'Rates-Service Fees'!XB11)*100</f>
        <v>0</v>
      </c>
      <c r="XC31">
        <f>SUMIFS(Detail!$AS:$AS,Detail!$G:$G,'Rates-Service Fees'!XC$23,Detail!$H:$H,'Rates-Service Fees'!XC11)*100</f>
        <v>0</v>
      </c>
      <c r="XD31">
        <f>SUMIFS(Detail!$AS:$AS,Detail!$G:$G,'Rates-Service Fees'!XD$23,Detail!$H:$H,'Rates-Service Fees'!XD11)*100</f>
        <v>0</v>
      </c>
      <c r="XE31">
        <f>SUMIFS(Detail!$AS:$AS,Detail!$G:$G,'Rates-Service Fees'!XE$23,Detail!$H:$H,'Rates-Service Fees'!XE11)*100</f>
        <v>0</v>
      </c>
      <c r="XF31">
        <f>SUMIFS(Detail!$AS:$AS,Detail!$G:$G,'Rates-Service Fees'!XF$23,Detail!$H:$H,'Rates-Service Fees'!XF11)*100</f>
        <v>0</v>
      </c>
      <c r="XG31">
        <f>SUMIFS(Detail!$AS:$AS,Detail!$G:$G,'Rates-Service Fees'!XG$23,Detail!$H:$H,'Rates-Service Fees'!XG11)*100</f>
        <v>0</v>
      </c>
      <c r="XH31">
        <f>SUMIFS(Detail!$AS:$AS,Detail!$G:$G,'Rates-Service Fees'!XH$23,Detail!$H:$H,'Rates-Service Fees'!XH11)*100</f>
        <v>0</v>
      </c>
      <c r="XI31">
        <f>SUMIFS(Detail!$AS:$AS,Detail!$G:$G,'Rates-Service Fees'!XI$23,Detail!$H:$H,'Rates-Service Fees'!XI11)*100</f>
        <v>0</v>
      </c>
      <c r="XJ31">
        <f>SUMIFS(Detail!$AS:$AS,Detail!$G:$G,'Rates-Service Fees'!XJ$23,Detail!$H:$H,'Rates-Service Fees'!XJ11)*100</f>
        <v>0</v>
      </c>
      <c r="XK31">
        <f>SUMIFS(Detail!$AS:$AS,Detail!$G:$G,'Rates-Service Fees'!XK$23,Detail!$H:$H,'Rates-Service Fees'!XK11)*100</f>
        <v>0</v>
      </c>
      <c r="XL31">
        <f>SUMIFS(Detail!$AS:$AS,Detail!$G:$G,'Rates-Service Fees'!XL$23,Detail!$H:$H,'Rates-Service Fees'!XL11)*100</f>
        <v>0</v>
      </c>
      <c r="XM31">
        <f>SUMIFS(Detail!$AS:$AS,Detail!$G:$G,'Rates-Service Fees'!XM$23,Detail!$H:$H,'Rates-Service Fees'!XM11)*100</f>
        <v>0</v>
      </c>
      <c r="XN31">
        <f>SUMIFS(Detail!$AS:$AS,Detail!$G:$G,'Rates-Service Fees'!XN$23,Detail!$H:$H,'Rates-Service Fees'!XN11)*100</f>
        <v>0</v>
      </c>
      <c r="XO31">
        <f>SUMIFS(Detail!$AS:$AS,Detail!$G:$G,'Rates-Service Fees'!XO$23,Detail!$H:$H,'Rates-Service Fees'!XO11)*100</f>
        <v>0</v>
      </c>
      <c r="XP31">
        <f>SUMIFS(Detail!$AS:$AS,Detail!$G:$G,'Rates-Service Fees'!XP$23,Detail!$H:$H,'Rates-Service Fees'!XP11)*100</f>
        <v>0</v>
      </c>
      <c r="XQ31">
        <f>SUMIFS(Detail!$AS:$AS,Detail!$G:$G,'Rates-Service Fees'!XQ$23,Detail!$H:$H,'Rates-Service Fees'!XQ11)*100</f>
        <v>0</v>
      </c>
      <c r="XR31">
        <f>SUMIFS(Detail!$AS:$AS,Detail!$G:$G,'Rates-Service Fees'!XR$23,Detail!$H:$H,'Rates-Service Fees'!XR11)*100</f>
        <v>0</v>
      </c>
      <c r="XS31">
        <f>SUMIFS(Detail!$AS:$AS,Detail!$G:$G,'Rates-Service Fees'!XS$23,Detail!$H:$H,'Rates-Service Fees'!XS11)*100</f>
        <v>0</v>
      </c>
      <c r="XT31">
        <f>SUMIFS(Detail!$AS:$AS,Detail!$G:$G,'Rates-Service Fees'!XT$23,Detail!$H:$H,'Rates-Service Fees'!XT11)*100</f>
        <v>0</v>
      </c>
      <c r="XU31">
        <f>SUMIFS(Detail!$AS:$AS,Detail!$G:$G,'Rates-Service Fees'!XU$23,Detail!$H:$H,'Rates-Service Fees'!XU11)*100</f>
        <v>0</v>
      </c>
      <c r="XV31">
        <f>SUMIFS(Detail!$AS:$AS,Detail!$G:$G,'Rates-Service Fees'!XV$23,Detail!$H:$H,'Rates-Service Fees'!XV11)*100</f>
        <v>0</v>
      </c>
      <c r="XW31">
        <f>SUMIFS(Detail!$AS:$AS,Detail!$G:$G,'Rates-Service Fees'!XW$23,Detail!$H:$H,'Rates-Service Fees'!XW11)*100</f>
        <v>0</v>
      </c>
      <c r="XX31">
        <f>SUMIFS(Detail!$AS:$AS,Detail!$G:$G,'Rates-Service Fees'!XX$23,Detail!$H:$H,'Rates-Service Fees'!XX11)*100</f>
        <v>0</v>
      </c>
      <c r="XY31">
        <f>SUMIFS(Detail!$AS:$AS,Detail!$G:$G,'Rates-Service Fees'!XY$23,Detail!$H:$H,'Rates-Service Fees'!XY11)*100</f>
        <v>0</v>
      </c>
      <c r="XZ31">
        <f>SUMIFS(Detail!$AS:$AS,Detail!$G:$G,'Rates-Service Fees'!XZ$23,Detail!$H:$H,'Rates-Service Fees'!XZ11)*100</f>
        <v>0</v>
      </c>
      <c r="YA31">
        <f>SUMIFS(Detail!$AS:$AS,Detail!$G:$G,'Rates-Service Fees'!YA$23,Detail!$H:$H,'Rates-Service Fees'!YA11)*100</f>
        <v>0</v>
      </c>
      <c r="YB31">
        <f>SUMIFS(Detail!$AS:$AS,Detail!$G:$G,'Rates-Service Fees'!YB$23,Detail!$H:$H,'Rates-Service Fees'!YB11)*100</f>
        <v>0</v>
      </c>
      <c r="YC31">
        <f>SUMIFS(Detail!$AS:$AS,Detail!$G:$G,'Rates-Service Fees'!YC$23,Detail!$H:$H,'Rates-Service Fees'!YC11)*100</f>
        <v>0</v>
      </c>
      <c r="YD31">
        <f>SUMIFS(Detail!$AS:$AS,Detail!$G:$G,'Rates-Service Fees'!YD$23,Detail!$H:$H,'Rates-Service Fees'!YD11)*100</f>
        <v>0</v>
      </c>
      <c r="YE31">
        <f>SUMIFS(Detail!$AS:$AS,Detail!$G:$G,'Rates-Service Fees'!YE$23,Detail!$H:$H,'Rates-Service Fees'!YE11)*100</f>
        <v>0</v>
      </c>
      <c r="YF31">
        <f>SUMIFS(Detail!$AS:$AS,Detail!$G:$G,'Rates-Service Fees'!YF$23,Detail!$H:$H,'Rates-Service Fees'!YF11)*100</f>
        <v>0</v>
      </c>
      <c r="YG31">
        <f>SUMIFS(Detail!$AS:$AS,Detail!$G:$G,'Rates-Service Fees'!YG$23,Detail!$H:$H,'Rates-Service Fees'!YG11)*100</f>
        <v>0</v>
      </c>
      <c r="YH31">
        <f>SUMIFS(Detail!$AS:$AS,Detail!$G:$G,'Rates-Service Fees'!YH$23,Detail!$H:$H,'Rates-Service Fees'!YH11)*100</f>
        <v>0</v>
      </c>
      <c r="YI31">
        <f>SUMIFS(Detail!$AS:$AS,Detail!$G:$G,'Rates-Service Fees'!YI$23,Detail!$H:$H,'Rates-Service Fees'!YI11)*100</f>
        <v>0</v>
      </c>
      <c r="YJ31">
        <f>SUMIFS(Detail!$AS:$AS,Detail!$G:$G,'Rates-Service Fees'!YJ$23,Detail!$H:$H,'Rates-Service Fees'!YJ11)*100</f>
        <v>0</v>
      </c>
      <c r="YK31">
        <f>SUMIFS(Detail!$AS:$AS,Detail!$G:$G,'Rates-Service Fees'!YK$23,Detail!$H:$H,'Rates-Service Fees'!YK11)*100</f>
        <v>0</v>
      </c>
      <c r="YL31">
        <f>SUMIFS(Detail!$AS:$AS,Detail!$G:$G,'Rates-Service Fees'!YL$23,Detail!$H:$H,'Rates-Service Fees'!YL11)*100</f>
        <v>0</v>
      </c>
      <c r="YM31">
        <f>SUMIFS(Detail!$AS:$AS,Detail!$G:$G,'Rates-Service Fees'!YM$23,Detail!$H:$H,'Rates-Service Fees'!YM11)*100</f>
        <v>0</v>
      </c>
      <c r="YN31">
        <f>SUMIFS(Detail!$AS:$AS,Detail!$G:$G,'Rates-Service Fees'!YN$23,Detail!$H:$H,'Rates-Service Fees'!YN11)*100</f>
        <v>0</v>
      </c>
      <c r="YO31">
        <f>SUMIFS(Detail!$AS:$AS,Detail!$G:$G,'Rates-Service Fees'!YO$23,Detail!$H:$H,'Rates-Service Fees'!YO11)*100</f>
        <v>0</v>
      </c>
      <c r="YP31">
        <f>SUMIFS(Detail!$AS:$AS,Detail!$G:$G,'Rates-Service Fees'!YP$23,Detail!$H:$H,'Rates-Service Fees'!YP11)*100</f>
        <v>0</v>
      </c>
      <c r="YQ31">
        <f>SUMIFS(Detail!$AS:$AS,Detail!$G:$G,'Rates-Service Fees'!YQ$23,Detail!$H:$H,'Rates-Service Fees'!YQ11)*100</f>
        <v>0</v>
      </c>
      <c r="YR31">
        <f>SUMIFS(Detail!$AS:$AS,Detail!$G:$G,'Rates-Service Fees'!YR$23,Detail!$H:$H,'Rates-Service Fees'!YR11)*100</f>
        <v>0</v>
      </c>
      <c r="YS31">
        <f>SUMIFS(Detail!$AS:$AS,Detail!$G:$G,'Rates-Service Fees'!YS$23,Detail!$H:$H,'Rates-Service Fees'!YS11)*100</f>
        <v>0</v>
      </c>
      <c r="YT31">
        <f>SUMIFS(Detail!$AS:$AS,Detail!$G:$G,'Rates-Service Fees'!YT$23,Detail!$H:$H,'Rates-Service Fees'!YT11)*100</f>
        <v>0</v>
      </c>
      <c r="YU31">
        <f>SUMIFS(Detail!$AS:$AS,Detail!$G:$G,'Rates-Service Fees'!YU$23,Detail!$H:$H,'Rates-Service Fees'!YU11)*100</f>
        <v>0</v>
      </c>
      <c r="YV31">
        <f>SUMIFS(Detail!$AS:$AS,Detail!$G:$G,'Rates-Service Fees'!YV$23,Detail!$H:$H,'Rates-Service Fees'!YV11)*100</f>
        <v>0</v>
      </c>
      <c r="YW31">
        <f>SUMIFS(Detail!$AS:$AS,Detail!$G:$G,'Rates-Service Fees'!YW$23,Detail!$H:$H,'Rates-Service Fees'!YW11)*100</f>
        <v>0</v>
      </c>
      <c r="YX31">
        <f>SUMIFS(Detail!$AS:$AS,Detail!$G:$G,'Rates-Service Fees'!YX$23,Detail!$H:$H,'Rates-Service Fees'!YX11)*100</f>
        <v>0</v>
      </c>
      <c r="YY31">
        <f>SUMIFS(Detail!$AS:$AS,Detail!$G:$G,'Rates-Service Fees'!YY$23,Detail!$H:$H,'Rates-Service Fees'!YY11)*100</f>
        <v>0</v>
      </c>
      <c r="YZ31">
        <f>SUMIFS(Detail!$AS:$AS,Detail!$G:$G,'Rates-Service Fees'!YZ$23,Detail!$H:$H,'Rates-Service Fees'!YZ11)*100</f>
        <v>0</v>
      </c>
      <c r="ZA31">
        <f>SUMIFS(Detail!$AS:$AS,Detail!$G:$G,'Rates-Service Fees'!ZA$23,Detail!$H:$H,'Rates-Service Fees'!ZA11)*100</f>
        <v>0</v>
      </c>
      <c r="ZB31">
        <f>SUMIFS(Detail!$AS:$AS,Detail!$G:$G,'Rates-Service Fees'!ZB$23,Detail!$H:$H,'Rates-Service Fees'!ZB11)*100</f>
        <v>0</v>
      </c>
      <c r="ZC31">
        <f>SUMIFS(Detail!$AS:$AS,Detail!$G:$G,'Rates-Service Fees'!ZC$23,Detail!$H:$H,'Rates-Service Fees'!ZC11)*100</f>
        <v>0</v>
      </c>
      <c r="ZD31">
        <f>SUMIFS(Detail!$AS:$AS,Detail!$G:$G,'Rates-Service Fees'!ZD$23,Detail!$H:$H,'Rates-Service Fees'!ZD11)*100</f>
        <v>0</v>
      </c>
      <c r="ZE31">
        <f>SUMIFS(Detail!$AS:$AS,Detail!$G:$G,'Rates-Service Fees'!ZE$23,Detail!$H:$H,'Rates-Service Fees'!ZE11)*100</f>
        <v>0</v>
      </c>
      <c r="ZF31">
        <f>SUMIFS(Detail!$AS:$AS,Detail!$G:$G,'Rates-Service Fees'!ZF$23,Detail!$H:$H,'Rates-Service Fees'!ZF11)*100</f>
        <v>0</v>
      </c>
      <c r="ZG31">
        <f>SUMIFS(Detail!$AS:$AS,Detail!$G:$G,'Rates-Service Fees'!ZG$23,Detail!$H:$H,'Rates-Service Fees'!ZG11)*100</f>
        <v>0</v>
      </c>
      <c r="ZH31">
        <f>SUMIFS(Detail!$AS:$AS,Detail!$G:$G,'Rates-Service Fees'!ZH$23,Detail!$H:$H,'Rates-Service Fees'!ZH11)*100</f>
        <v>0</v>
      </c>
      <c r="ZI31">
        <f>SUMIFS(Detail!$AS:$AS,Detail!$G:$G,'Rates-Service Fees'!ZI$23,Detail!$H:$H,'Rates-Service Fees'!ZI11)*100</f>
        <v>0</v>
      </c>
      <c r="ZJ31">
        <f>SUMIFS(Detail!$AS:$AS,Detail!$G:$G,'Rates-Service Fees'!ZJ$23,Detail!$H:$H,'Rates-Service Fees'!ZJ11)*100</f>
        <v>0</v>
      </c>
      <c r="ZK31">
        <f>SUMIFS(Detail!$AS:$AS,Detail!$G:$G,'Rates-Service Fees'!ZK$23,Detail!$H:$H,'Rates-Service Fees'!ZK11)*100</f>
        <v>0</v>
      </c>
      <c r="ZL31">
        <f>SUMIFS(Detail!$AS:$AS,Detail!$G:$G,'Rates-Service Fees'!ZL$23,Detail!$H:$H,'Rates-Service Fees'!ZL11)*100</f>
        <v>0</v>
      </c>
      <c r="ZM31">
        <f>SUMIFS(Detail!$AS:$AS,Detail!$G:$G,'Rates-Service Fees'!ZM$23,Detail!$H:$H,'Rates-Service Fees'!ZM11)*100</f>
        <v>0</v>
      </c>
      <c r="ZN31">
        <f>SUMIFS(Detail!$AS:$AS,Detail!$G:$G,'Rates-Service Fees'!ZN$23,Detail!$H:$H,'Rates-Service Fees'!ZN11)*100</f>
        <v>0</v>
      </c>
      <c r="ZO31">
        <f>SUMIFS(Detail!$AS:$AS,Detail!$G:$G,'Rates-Service Fees'!ZO$23,Detail!$H:$H,'Rates-Service Fees'!ZO11)*100</f>
        <v>0</v>
      </c>
      <c r="ZP31">
        <f>SUMIFS(Detail!$AS:$AS,Detail!$G:$G,'Rates-Service Fees'!ZP$23,Detail!$H:$H,'Rates-Service Fees'!ZP11)*100</f>
        <v>0</v>
      </c>
      <c r="ZQ31">
        <f>SUMIFS(Detail!$AS:$AS,Detail!$G:$G,'Rates-Service Fees'!ZQ$23,Detail!$H:$H,'Rates-Service Fees'!ZQ11)*100</f>
        <v>0</v>
      </c>
      <c r="ZR31">
        <f>SUMIFS(Detail!$AS:$AS,Detail!$G:$G,'Rates-Service Fees'!ZR$23,Detail!$H:$H,'Rates-Service Fees'!ZR11)*100</f>
        <v>0</v>
      </c>
      <c r="ZS31">
        <f>SUMIFS(Detail!$AS:$AS,Detail!$G:$G,'Rates-Service Fees'!ZS$23,Detail!$H:$H,'Rates-Service Fees'!ZS11)*100</f>
        <v>0</v>
      </c>
      <c r="ZT31">
        <f>SUMIFS(Detail!$AS:$AS,Detail!$G:$G,'Rates-Service Fees'!ZT$23,Detail!$H:$H,'Rates-Service Fees'!ZT11)*100</f>
        <v>0</v>
      </c>
      <c r="ZU31">
        <f>SUMIFS(Detail!$AS:$AS,Detail!$G:$G,'Rates-Service Fees'!ZU$23,Detail!$H:$H,'Rates-Service Fees'!ZU11)*100</f>
        <v>0</v>
      </c>
      <c r="ZV31">
        <f>SUMIFS(Detail!$AS:$AS,Detail!$G:$G,'Rates-Service Fees'!ZV$23,Detail!$H:$H,'Rates-Service Fees'!ZV11)*100</f>
        <v>0</v>
      </c>
      <c r="ZW31">
        <f>SUMIFS(Detail!$AS:$AS,Detail!$G:$G,'Rates-Service Fees'!ZW$23,Detail!$H:$H,'Rates-Service Fees'!ZW11)*100</f>
        <v>0</v>
      </c>
      <c r="ZX31">
        <f>SUMIFS(Detail!$AS:$AS,Detail!$G:$G,'Rates-Service Fees'!ZX$23,Detail!$H:$H,'Rates-Service Fees'!ZX11)*100</f>
        <v>0</v>
      </c>
      <c r="ZY31">
        <f>SUMIFS(Detail!$AS:$AS,Detail!$G:$G,'Rates-Service Fees'!ZY$23,Detail!$H:$H,'Rates-Service Fees'!ZY11)*100</f>
        <v>0</v>
      </c>
      <c r="ZZ31">
        <f>SUMIFS(Detail!$AS:$AS,Detail!$G:$G,'Rates-Service Fees'!ZZ$23,Detail!$H:$H,'Rates-Service Fees'!ZZ11)*100</f>
        <v>0</v>
      </c>
      <c r="AAA31">
        <f>SUMIFS(Detail!$AS:$AS,Detail!$G:$G,'Rates-Service Fees'!AAA$23,Detail!$H:$H,'Rates-Service Fees'!AAA11)*100</f>
        <v>0</v>
      </c>
      <c r="AAB31">
        <f>SUMIFS(Detail!$AS:$AS,Detail!$G:$G,'Rates-Service Fees'!AAB$23,Detail!$H:$H,'Rates-Service Fees'!AAB11)*100</f>
        <v>0</v>
      </c>
      <c r="AAC31">
        <f>SUMIFS(Detail!$AS:$AS,Detail!$G:$G,'Rates-Service Fees'!AAC$23,Detail!$H:$H,'Rates-Service Fees'!AAC11)*100</f>
        <v>0</v>
      </c>
      <c r="AAD31">
        <f>SUMIFS(Detail!$AS:$AS,Detail!$G:$G,'Rates-Service Fees'!AAD$23,Detail!$H:$H,'Rates-Service Fees'!AAD11)*100</f>
        <v>0</v>
      </c>
      <c r="AAE31">
        <f>SUMIFS(Detail!$AS:$AS,Detail!$G:$G,'Rates-Service Fees'!AAE$23,Detail!$H:$H,'Rates-Service Fees'!AAE11)*100</f>
        <v>0</v>
      </c>
      <c r="AAF31">
        <f>SUMIFS(Detail!$AS:$AS,Detail!$G:$G,'Rates-Service Fees'!AAF$23,Detail!$H:$H,'Rates-Service Fees'!AAF11)*100</f>
        <v>0</v>
      </c>
      <c r="AAG31">
        <f>SUMIFS(Detail!$AS:$AS,Detail!$G:$G,'Rates-Service Fees'!AAG$23,Detail!$H:$H,'Rates-Service Fees'!AAG11)*100</f>
        <v>0</v>
      </c>
      <c r="AAH31">
        <f>SUMIFS(Detail!$AS:$AS,Detail!$G:$G,'Rates-Service Fees'!AAH$23,Detail!$H:$H,'Rates-Service Fees'!AAH11)*100</f>
        <v>0</v>
      </c>
      <c r="AAI31">
        <f>SUMIFS(Detail!$AS:$AS,Detail!$G:$G,'Rates-Service Fees'!AAI$23,Detail!$H:$H,'Rates-Service Fees'!AAI11)*100</f>
        <v>0</v>
      </c>
      <c r="AAJ31">
        <f>SUMIFS(Detail!$AS:$AS,Detail!$G:$G,'Rates-Service Fees'!AAJ$23,Detail!$H:$H,'Rates-Service Fees'!AAJ11)*100</f>
        <v>0</v>
      </c>
      <c r="AAK31">
        <f>SUMIFS(Detail!$AS:$AS,Detail!$G:$G,'Rates-Service Fees'!AAK$23,Detail!$H:$H,'Rates-Service Fees'!AAK11)*100</f>
        <v>0</v>
      </c>
      <c r="AAL31">
        <f>SUMIFS(Detail!$AS:$AS,Detail!$G:$G,'Rates-Service Fees'!AAL$23,Detail!$H:$H,'Rates-Service Fees'!AAL11)*100</f>
        <v>0</v>
      </c>
      <c r="AAM31">
        <f>SUMIFS(Detail!$AS:$AS,Detail!$G:$G,'Rates-Service Fees'!AAM$23,Detail!$H:$H,'Rates-Service Fees'!AAM11)*100</f>
        <v>0</v>
      </c>
      <c r="AAN31">
        <f>SUMIFS(Detail!$AS:$AS,Detail!$G:$G,'Rates-Service Fees'!AAN$23,Detail!$H:$H,'Rates-Service Fees'!AAN11)*100</f>
        <v>0</v>
      </c>
      <c r="AAO31">
        <f>SUMIFS(Detail!$AS:$AS,Detail!$G:$G,'Rates-Service Fees'!AAO$23,Detail!$H:$H,'Rates-Service Fees'!AAO11)*100</f>
        <v>0</v>
      </c>
      <c r="AAP31">
        <f>SUMIFS(Detail!$AS:$AS,Detail!$G:$G,'Rates-Service Fees'!AAP$23,Detail!$H:$H,'Rates-Service Fees'!AAP11)*100</f>
        <v>0</v>
      </c>
      <c r="AAQ31">
        <f>SUMIFS(Detail!$AS:$AS,Detail!$G:$G,'Rates-Service Fees'!AAQ$23,Detail!$H:$H,'Rates-Service Fees'!AAQ11)*100</f>
        <v>0</v>
      </c>
      <c r="AAR31">
        <f>SUMIFS(Detail!$AS:$AS,Detail!$G:$G,'Rates-Service Fees'!AAR$23,Detail!$H:$H,'Rates-Service Fees'!AAR11)*100</f>
        <v>0</v>
      </c>
      <c r="AAS31">
        <f>SUMIFS(Detail!$AS:$AS,Detail!$G:$G,'Rates-Service Fees'!AAS$23,Detail!$H:$H,'Rates-Service Fees'!AAS11)*100</f>
        <v>0</v>
      </c>
      <c r="AAT31">
        <f>SUMIFS(Detail!$AS:$AS,Detail!$G:$G,'Rates-Service Fees'!AAT$23,Detail!$H:$H,'Rates-Service Fees'!AAT11)*100</f>
        <v>0</v>
      </c>
      <c r="AAU31">
        <f>SUMIFS(Detail!$AS:$AS,Detail!$G:$G,'Rates-Service Fees'!AAU$23,Detail!$H:$H,'Rates-Service Fees'!AAU11)*100</f>
        <v>0</v>
      </c>
      <c r="AAV31">
        <f>SUMIFS(Detail!$AS:$AS,Detail!$G:$G,'Rates-Service Fees'!AAV$23,Detail!$H:$H,'Rates-Service Fees'!AAV11)*100</f>
        <v>0</v>
      </c>
      <c r="AAW31">
        <f>SUMIFS(Detail!$AS:$AS,Detail!$G:$G,'Rates-Service Fees'!AAW$23,Detail!$H:$H,'Rates-Service Fees'!AAW11)*100</f>
        <v>0</v>
      </c>
      <c r="AAX31">
        <f>SUMIFS(Detail!$AS:$AS,Detail!$G:$G,'Rates-Service Fees'!AAX$23,Detail!$H:$H,'Rates-Service Fees'!AAX11)*100</f>
        <v>0</v>
      </c>
      <c r="AAY31">
        <f>SUMIFS(Detail!$AS:$AS,Detail!$G:$G,'Rates-Service Fees'!AAY$23,Detail!$H:$H,'Rates-Service Fees'!AAY11)*100</f>
        <v>0</v>
      </c>
      <c r="AAZ31">
        <f>SUMIFS(Detail!$AS:$AS,Detail!$G:$G,'Rates-Service Fees'!AAZ$23,Detail!$H:$H,'Rates-Service Fees'!AAZ11)*100</f>
        <v>0</v>
      </c>
      <c r="ABA31">
        <f>SUMIFS(Detail!$AS:$AS,Detail!$G:$G,'Rates-Service Fees'!ABA$23,Detail!$H:$H,'Rates-Service Fees'!ABA11)*100</f>
        <v>0</v>
      </c>
      <c r="ABB31">
        <f>SUMIFS(Detail!$AS:$AS,Detail!$G:$G,'Rates-Service Fees'!ABB$23,Detail!$H:$H,'Rates-Service Fees'!ABB11)*100</f>
        <v>0</v>
      </c>
      <c r="ABC31">
        <f>SUMIFS(Detail!$AS:$AS,Detail!$G:$G,'Rates-Service Fees'!ABC$23,Detail!$H:$H,'Rates-Service Fees'!ABC11)*100</f>
        <v>0</v>
      </c>
      <c r="ABD31">
        <f>SUMIFS(Detail!$AS:$AS,Detail!$G:$G,'Rates-Service Fees'!ABD$23,Detail!$H:$H,'Rates-Service Fees'!ABD11)*100</f>
        <v>0</v>
      </c>
      <c r="ABE31">
        <f>SUMIFS(Detail!$AS:$AS,Detail!$G:$G,'Rates-Service Fees'!ABE$23,Detail!$H:$H,'Rates-Service Fees'!ABE11)*100</f>
        <v>0</v>
      </c>
      <c r="ABF31">
        <f>SUMIFS(Detail!$AS:$AS,Detail!$G:$G,'Rates-Service Fees'!ABF$23,Detail!$H:$H,'Rates-Service Fees'!ABF11)*100</f>
        <v>0</v>
      </c>
      <c r="ABG31">
        <f>SUMIFS(Detail!$AS:$AS,Detail!$G:$G,'Rates-Service Fees'!ABG$23,Detail!$H:$H,'Rates-Service Fees'!ABG11)*100</f>
        <v>0</v>
      </c>
      <c r="ABH31">
        <f>SUMIFS(Detail!$AS:$AS,Detail!$G:$G,'Rates-Service Fees'!ABH$23,Detail!$H:$H,'Rates-Service Fees'!ABH11)*100</f>
        <v>0</v>
      </c>
      <c r="ABI31">
        <f>SUMIFS(Detail!$AS:$AS,Detail!$G:$G,'Rates-Service Fees'!ABI$23,Detail!$H:$H,'Rates-Service Fees'!ABI11)*100</f>
        <v>0</v>
      </c>
      <c r="ABJ31">
        <f>SUMIFS(Detail!$AS:$AS,Detail!$G:$G,'Rates-Service Fees'!ABJ$23,Detail!$H:$H,'Rates-Service Fees'!ABJ11)*100</f>
        <v>0</v>
      </c>
      <c r="ABK31">
        <f>SUMIFS(Detail!$AS:$AS,Detail!$G:$G,'Rates-Service Fees'!ABK$23,Detail!$H:$H,'Rates-Service Fees'!ABK11)*100</f>
        <v>0</v>
      </c>
      <c r="ABL31">
        <f>SUMIFS(Detail!$AS:$AS,Detail!$G:$G,'Rates-Service Fees'!ABL$23,Detail!$H:$H,'Rates-Service Fees'!ABL11)*100</f>
        <v>0</v>
      </c>
      <c r="ABM31">
        <f>SUMIFS(Detail!$AS:$AS,Detail!$G:$G,'Rates-Service Fees'!ABM$23,Detail!$H:$H,'Rates-Service Fees'!ABM11)*100</f>
        <v>0</v>
      </c>
      <c r="ABN31">
        <f>SUMIFS(Detail!$AS:$AS,Detail!$G:$G,'Rates-Service Fees'!ABN$23,Detail!$H:$H,'Rates-Service Fees'!ABN11)*100</f>
        <v>0</v>
      </c>
      <c r="ABO31">
        <f>SUMIFS(Detail!$AS:$AS,Detail!$G:$G,'Rates-Service Fees'!ABO$23,Detail!$H:$H,'Rates-Service Fees'!ABO11)*100</f>
        <v>0</v>
      </c>
      <c r="ABP31">
        <f>SUMIFS(Detail!$AS:$AS,Detail!$G:$G,'Rates-Service Fees'!ABP$23,Detail!$H:$H,'Rates-Service Fees'!ABP11)*100</f>
        <v>0</v>
      </c>
      <c r="ABQ31">
        <f>SUMIFS(Detail!$AS:$AS,Detail!$G:$G,'Rates-Service Fees'!ABQ$23,Detail!$H:$H,'Rates-Service Fees'!ABQ11)*100</f>
        <v>0</v>
      </c>
      <c r="ABR31">
        <f>SUMIFS(Detail!$AS:$AS,Detail!$G:$G,'Rates-Service Fees'!ABR$23,Detail!$H:$H,'Rates-Service Fees'!ABR11)*100</f>
        <v>0</v>
      </c>
      <c r="ABS31">
        <f>SUMIFS(Detail!$AS:$AS,Detail!$G:$G,'Rates-Service Fees'!ABS$23,Detail!$H:$H,'Rates-Service Fees'!ABS11)*100</f>
        <v>0</v>
      </c>
      <c r="ABT31">
        <f>SUMIFS(Detail!$AS:$AS,Detail!$G:$G,'Rates-Service Fees'!ABT$23,Detail!$H:$H,'Rates-Service Fees'!ABT11)*100</f>
        <v>0</v>
      </c>
      <c r="ABU31">
        <f>SUMIFS(Detail!$AS:$AS,Detail!$G:$G,'Rates-Service Fees'!ABU$23,Detail!$H:$H,'Rates-Service Fees'!ABU11)*100</f>
        <v>0</v>
      </c>
      <c r="ABV31">
        <f>SUMIFS(Detail!$AS:$AS,Detail!$G:$G,'Rates-Service Fees'!ABV$23,Detail!$H:$H,'Rates-Service Fees'!ABV11)*100</f>
        <v>0</v>
      </c>
      <c r="ABW31">
        <f>SUMIFS(Detail!$AS:$AS,Detail!$G:$G,'Rates-Service Fees'!ABW$23,Detail!$H:$H,'Rates-Service Fees'!ABW11)*100</f>
        <v>0</v>
      </c>
      <c r="ABX31">
        <f>SUMIFS(Detail!$AS:$AS,Detail!$G:$G,'Rates-Service Fees'!ABX$23,Detail!$H:$H,'Rates-Service Fees'!ABX11)*100</f>
        <v>0</v>
      </c>
      <c r="ABY31">
        <f>SUMIFS(Detail!$AS:$AS,Detail!$G:$G,'Rates-Service Fees'!ABY$23,Detail!$H:$H,'Rates-Service Fees'!ABY11)*100</f>
        <v>0</v>
      </c>
      <c r="ABZ31">
        <f>SUMIFS(Detail!$AS:$AS,Detail!$G:$G,'Rates-Service Fees'!ABZ$23,Detail!$H:$H,'Rates-Service Fees'!ABZ11)*100</f>
        <v>0</v>
      </c>
      <c r="ACA31">
        <f>SUMIFS(Detail!$AS:$AS,Detail!$G:$G,'Rates-Service Fees'!ACA$23,Detail!$H:$H,'Rates-Service Fees'!ACA11)*100</f>
        <v>0</v>
      </c>
      <c r="ACB31">
        <f>SUMIFS(Detail!$AS:$AS,Detail!$G:$G,'Rates-Service Fees'!ACB$23,Detail!$H:$H,'Rates-Service Fees'!ACB11)*100</f>
        <v>0</v>
      </c>
      <c r="ACC31">
        <f>SUMIFS(Detail!$AS:$AS,Detail!$G:$G,'Rates-Service Fees'!ACC$23,Detail!$H:$H,'Rates-Service Fees'!ACC11)*100</f>
        <v>0</v>
      </c>
      <c r="ACD31">
        <f>SUMIFS(Detail!$AS:$AS,Detail!$G:$G,'Rates-Service Fees'!ACD$23,Detail!$H:$H,'Rates-Service Fees'!ACD11)*100</f>
        <v>0</v>
      </c>
      <c r="ACE31">
        <f>SUMIFS(Detail!$AS:$AS,Detail!$G:$G,'Rates-Service Fees'!ACE$23,Detail!$H:$H,'Rates-Service Fees'!ACE11)*100</f>
        <v>0</v>
      </c>
      <c r="ACF31">
        <f>SUMIFS(Detail!$AS:$AS,Detail!$G:$G,'Rates-Service Fees'!ACF$23,Detail!$H:$H,'Rates-Service Fees'!ACF11)*100</f>
        <v>0</v>
      </c>
      <c r="ACG31">
        <f>SUMIFS(Detail!$AS:$AS,Detail!$G:$G,'Rates-Service Fees'!ACG$23,Detail!$H:$H,'Rates-Service Fees'!ACG11)*100</f>
        <v>0</v>
      </c>
      <c r="ACH31">
        <f>SUMIFS(Detail!$AS:$AS,Detail!$G:$G,'Rates-Service Fees'!ACH$23,Detail!$H:$H,'Rates-Service Fees'!ACH11)*100</f>
        <v>0</v>
      </c>
      <c r="ACI31">
        <f>SUMIFS(Detail!$AS:$AS,Detail!$G:$G,'Rates-Service Fees'!ACI$23,Detail!$H:$H,'Rates-Service Fees'!ACI11)*100</f>
        <v>0</v>
      </c>
      <c r="ACJ31">
        <f>SUMIFS(Detail!$AS:$AS,Detail!$G:$G,'Rates-Service Fees'!ACJ$23,Detail!$H:$H,'Rates-Service Fees'!ACJ11)*100</f>
        <v>0</v>
      </c>
      <c r="ACK31">
        <f>SUMIFS(Detail!$AS:$AS,Detail!$G:$G,'Rates-Service Fees'!ACK$23,Detail!$H:$H,'Rates-Service Fees'!ACK11)*100</f>
        <v>0</v>
      </c>
      <c r="ACL31">
        <f>SUMIFS(Detail!$AS:$AS,Detail!$G:$G,'Rates-Service Fees'!ACL$23,Detail!$H:$H,'Rates-Service Fees'!ACL11)*100</f>
        <v>0</v>
      </c>
      <c r="ACM31">
        <f>SUMIFS(Detail!$AS:$AS,Detail!$G:$G,'Rates-Service Fees'!ACM$23,Detail!$H:$H,'Rates-Service Fees'!ACM11)*100</f>
        <v>0</v>
      </c>
      <c r="ACN31">
        <f>SUMIFS(Detail!$AS:$AS,Detail!$G:$G,'Rates-Service Fees'!ACN$23,Detail!$H:$H,'Rates-Service Fees'!ACN11)*100</f>
        <v>0</v>
      </c>
      <c r="ACO31">
        <f>SUMIFS(Detail!$AS:$AS,Detail!$G:$G,'Rates-Service Fees'!ACO$23,Detail!$H:$H,'Rates-Service Fees'!ACO11)*100</f>
        <v>0</v>
      </c>
      <c r="ACP31">
        <f>SUMIFS(Detail!$AS:$AS,Detail!$G:$G,'Rates-Service Fees'!ACP$23,Detail!$H:$H,'Rates-Service Fees'!ACP11)*100</f>
        <v>0</v>
      </c>
      <c r="ACQ31">
        <f>SUMIFS(Detail!$AS:$AS,Detail!$G:$G,'Rates-Service Fees'!ACQ$23,Detail!$H:$H,'Rates-Service Fees'!ACQ11)*100</f>
        <v>0</v>
      </c>
      <c r="ACR31">
        <f>SUMIFS(Detail!$AS:$AS,Detail!$G:$G,'Rates-Service Fees'!ACR$23,Detail!$H:$H,'Rates-Service Fees'!ACR11)*100</f>
        <v>0</v>
      </c>
      <c r="ACS31">
        <f>SUMIFS(Detail!$AS:$AS,Detail!$G:$G,'Rates-Service Fees'!ACS$23,Detail!$H:$H,'Rates-Service Fees'!ACS11)*100</f>
        <v>0</v>
      </c>
      <c r="ACT31">
        <f>SUMIFS(Detail!$AS:$AS,Detail!$G:$G,'Rates-Service Fees'!ACT$23,Detail!$H:$H,'Rates-Service Fees'!ACT11)*100</f>
        <v>0</v>
      </c>
      <c r="ACU31">
        <f>SUMIFS(Detail!$AS:$AS,Detail!$G:$G,'Rates-Service Fees'!ACU$23,Detail!$H:$H,'Rates-Service Fees'!ACU11)*100</f>
        <v>0</v>
      </c>
      <c r="ACV31">
        <f>SUMIFS(Detail!$AS:$AS,Detail!$G:$G,'Rates-Service Fees'!ACV$23,Detail!$H:$H,'Rates-Service Fees'!ACV11)*100</f>
        <v>0</v>
      </c>
      <c r="ACW31">
        <f>SUMIFS(Detail!$AS:$AS,Detail!$G:$G,'Rates-Service Fees'!ACW$23,Detail!$H:$H,'Rates-Service Fees'!ACW11)*100</f>
        <v>0</v>
      </c>
      <c r="ACX31">
        <f>SUMIFS(Detail!$AS:$AS,Detail!$G:$G,'Rates-Service Fees'!ACX$23,Detail!$H:$H,'Rates-Service Fees'!ACX11)*100</f>
        <v>0</v>
      </c>
      <c r="ACY31">
        <f>SUMIFS(Detail!$AS:$AS,Detail!$G:$G,'Rates-Service Fees'!ACY$23,Detail!$H:$H,'Rates-Service Fees'!ACY11)*100</f>
        <v>0</v>
      </c>
      <c r="ACZ31">
        <f>SUMIFS(Detail!$AS:$AS,Detail!$G:$G,'Rates-Service Fees'!ACZ$23,Detail!$H:$H,'Rates-Service Fees'!ACZ11)*100</f>
        <v>0</v>
      </c>
      <c r="ADA31">
        <f>SUMIFS(Detail!$AS:$AS,Detail!$G:$G,'Rates-Service Fees'!ADA$23,Detail!$H:$H,'Rates-Service Fees'!ADA11)*100</f>
        <v>0</v>
      </c>
      <c r="ADB31">
        <f>SUMIFS(Detail!$AS:$AS,Detail!$G:$G,'Rates-Service Fees'!ADB$23,Detail!$H:$H,'Rates-Service Fees'!ADB11)*100</f>
        <v>0</v>
      </c>
      <c r="ADC31">
        <f>SUMIFS(Detail!$AS:$AS,Detail!$G:$G,'Rates-Service Fees'!ADC$23,Detail!$H:$H,'Rates-Service Fees'!ADC11)*100</f>
        <v>0</v>
      </c>
      <c r="ADD31">
        <f>SUMIFS(Detail!$AS:$AS,Detail!$G:$G,'Rates-Service Fees'!ADD$23,Detail!$H:$H,'Rates-Service Fees'!ADD11)*100</f>
        <v>0</v>
      </c>
      <c r="ADE31">
        <f>SUMIFS(Detail!$AS:$AS,Detail!$G:$G,'Rates-Service Fees'!ADE$23,Detail!$H:$H,'Rates-Service Fees'!ADE11)*100</f>
        <v>0</v>
      </c>
      <c r="ADF31">
        <f>SUMIFS(Detail!$AS:$AS,Detail!$G:$G,'Rates-Service Fees'!ADF$23,Detail!$H:$H,'Rates-Service Fees'!ADF11)*100</f>
        <v>0</v>
      </c>
      <c r="ADG31">
        <f>SUMIFS(Detail!$AS:$AS,Detail!$G:$G,'Rates-Service Fees'!ADG$23,Detail!$H:$H,'Rates-Service Fees'!ADG11)*100</f>
        <v>0</v>
      </c>
      <c r="ADH31">
        <f>SUMIFS(Detail!$AS:$AS,Detail!$G:$G,'Rates-Service Fees'!ADH$23,Detail!$H:$H,'Rates-Service Fees'!ADH11)*100</f>
        <v>0</v>
      </c>
      <c r="ADI31">
        <f>SUMIFS(Detail!$AS:$AS,Detail!$G:$G,'Rates-Service Fees'!ADI$23,Detail!$H:$H,'Rates-Service Fees'!ADI11)*100</f>
        <v>0</v>
      </c>
      <c r="ADJ31">
        <f>SUMIFS(Detail!$AS:$AS,Detail!$G:$G,'Rates-Service Fees'!ADJ$23,Detail!$H:$H,'Rates-Service Fees'!ADJ11)*100</f>
        <v>0</v>
      </c>
      <c r="ADK31">
        <f>SUMIFS(Detail!$AS:$AS,Detail!$G:$G,'Rates-Service Fees'!ADK$23,Detail!$H:$H,'Rates-Service Fees'!ADK11)*100</f>
        <v>0</v>
      </c>
      <c r="ADL31">
        <f>SUMIFS(Detail!$AS:$AS,Detail!$G:$G,'Rates-Service Fees'!ADL$23,Detail!$H:$H,'Rates-Service Fees'!ADL11)*100</f>
        <v>0</v>
      </c>
      <c r="ADM31">
        <f>SUMIFS(Detail!$AS:$AS,Detail!$G:$G,'Rates-Service Fees'!ADM$23,Detail!$H:$H,'Rates-Service Fees'!ADM11)*100</f>
        <v>0</v>
      </c>
      <c r="ADN31">
        <f>SUMIFS(Detail!$AS:$AS,Detail!$G:$G,'Rates-Service Fees'!ADN$23,Detail!$H:$H,'Rates-Service Fees'!ADN11)*100</f>
        <v>0</v>
      </c>
      <c r="ADO31">
        <f>SUMIFS(Detail!$AS:$AS,Detail!$G:$G,'Rates-Service Fees'!ADO$23,Detail!$H:$H,'Rates-Service Fees'!ADO11)*100</f>
        <v>0</v>
      </c>
      <c r="ADP31">
        <f>SUMIFS(Detail!$AS:$AS,Detail!$G:$G,'Rates-Service Fees'!ADP$23,Detail!$H:$H,'Rates-Service Fees'!ADP11)*100</f>
        <v>0</v>
      </c>
      <c r="ADQ31">
        <f>SUMIFS(Detail!$AS:$AS,Detail!$G:$G,'Rates-Service Fees'!ADQ$23,Detail!$H:$H,'Rates-Service Fees'!ADQ11)*100</f>
        <v>0</v>
      </c>
      <c r="ADR31">
        <f>SUMIFS(Detail!$AS:$AS,Detail!$G:$G,'Rates-Service Fees'!ADR$23,Detail!$H:$H,'Rates-Service Fees'!ADR11)*100</f>
        <v>0</v>
      </c>
      <c r="ADS31">
        <f>SUMIFS(Detail!$AS:$AS,Detail!$G:$G,'Rates-Service Fees'!ADS$23,Detail!$H:$H,'Rates-Service Fees'!ADS11)*100</f>
        <v>0</v>
      </c>
      <c r="ADT31">
        <f>SUMIFS(Detail!$AS:$AS,Detail!$G:$G,'Rates-Service Fees'!ADT$23,Detail!$H:$H,'Rates-Service Fees'!ADT11)*100</f>
        <v>0</v>
      </c>
      <c r="ADU31">
        <f>SUMIFS(Detail!$AS:$AS,Detail!$G:$G,'Rates-Service Fees'!ADU$23,Detail!$H:$H,'Rates-Service Fees'!ADU11)*100</f>
        <v>0</v>
      </c>
      <c r="ADV31">
        <f>SUMIFS(Detail!$AS:$AS,Detail!$G:$G,'Rates-Service Fees'!ADV$23,Detail!$H:$H,'Rates-Service Fees'!ADV11)*100</f>
        <v>0</v>
      </c>
      <c r="ADW31">
        <f>SUMIFS(Detail!$AS:$AS,Detail!$G:$G,'Rates-Service Fees'!ADW$23,Detail!$H:$H,'Rates-Service Fees'!ADW11)*100</f>
        <v>0</v>
      </c>
      <c r="ADX31">
        <f>SUMIFS(Detail!$AS:$AS,Detail!$G:$G,'Rates-Service Fees'!ADX$23,Detail!$H:$H,'Rates-Service Fees'!ADX11)*100</f>
        <v>0</v>
      </c>
      <c r="ADY31">
        <f>SUMIFS(Detail!$AS:$AS,Detail!$G:$G,'Rates-Service Fees'!ADY$23,Detail!$H:$H,'Rates-Service Fees'!ADY11)*100</f>
        <v>0</v>
      </c>
      <c r="ADZ31">
        <f>SUMIFS(Detail!$AS:$AS,Detail!$G:$G,'Rates-Service Fees'!ADZ$23,Detail!$H:$H,'Rates-Service Fees'!ADZ11)*100</f>
        <v>0</v>
      </c>
      <c r="AEA31">
        <f>SUMIFS(Detail!$AS:$AS,Detail!$G:$G,'Rates-Service Fees'!AEA$23,Detail!$H:$H,'Rates-Service Fees'!AEA11)*100</f>
        <v>0</v>
      </c>
      <c r="AEB31">
        <f>SUMIFS(Detail!$AS:$AS,Detail!$G:$G,'Rates-Service Fees'!AEB$23,Detail!$H:$H,'Rates-Service Fees'!AEB11)*100</f>
        <v>0</v>
      </c>
      <c r="AEC31">
        <f>SUMIFS(Detail!$AS:$AS,Detail!$G:$G,'Rates-Service Fees'!AEC$23,Detail!$H:$H,'Rates-Service Fees'!AEC11)*100</f>
        <v>0</v>
      </c>
      <c r="AED31">
        <f>SUMIFS(Detail!$AS:$AS,Detail!$G:$G,'Rates-Service Fees'!AED$23,Detail!$H:$H,'Rates-Service Fees'!AED11)*100</f>
        <v>0</v>
      </c>
      <c r="AEE31">
        <f>SUMIFS(Detail!$AS:$AS,Detail!$G:$G,'Rates-Service Fees'!AEE$23,Detail!$H:$H,'Rates-Service Fees'!AEE11)*100</f>
        <v>0</v>
      </c>
      <c r="AEF31">
        <f>SUMIFS(Detail!$AS:$AS,Detail!$G:$G,'Rates-Service Fees'!AEF$23,Detail!$H:$H,'Rates-Service Fees'!AEF11)*100</f>
        <v>0</v>
      </c>
      <c r="AEG31">
        <f>SUMIFS(Detail!$AS:$AS,Detail!$G:$G,'Rates-Service Fees'!AEG$23,Detail!$H:$H,'Rates-Service Fees'!AEG11)*100</f>
        <v>0</v>
      </c>
      <c r="AEH31">
        <f>SUMIFS(Detail!$AS:$AS,Detail!$G:$G,'Rates-Service Fees'!AEH$23,Detail!$H:$H,'Rates-Service Fees'!AEH11)*100</f>
        <v>0</v>
      </c>
      <c r="AEI31">
        <f>SUMIFS(Detail!$AS:$AS,Detail!$G:$G,'Rates-Service Fees'!AEI$23,Detail!$H:$H,'Rates-Service Fees'!AEI11)*100</f>
        <v>0</v>
      </c>
      <c r="AEJ31">
        <f>SUMIFS(Detail!$AS:$AS,Detail!$G:$G,'Rates-Service Fees'!AEJ$23,Detail!$H:$H,'Rates-Service Fees'!AEJ11)*100</f>
        <v>0</v>
      </c>
      <c r="AEK31">
        <f>SUMIFS(Detail!$AS:$AS,Detail!$G:$G,'Rates-Service Fees'!AEK$23,Detail!$H:$H,'Rates-Service Fees'!AEK11)*100</f>
        <v>0</v>
      </c>
      <c r="AEL31">
        <f>SUMIFS(Detail!$AS:$AS,Detail!$G:$G,'Rates-Service Fees'!AEL$23,Detail!$H:$H,'Rates-Service Fees'!AEL11)*100</f>
        <v>0</v>
      </c>
      <c r="AEM31">
        <f>SUMIFS(Detail!$AS:$AS,Detail!$G:$G,'Rates-Service Fees'!AEM$23,Detail!$H:$H,'Rates-Service Fees'!AEM11)*100</f>
        <v>0</v>
      </c>
      <c r="AEN31">
        <f>SUMIFS(Detail!$AS:$AS,Detail!$G:$G,'Rates-Service Fees'!AEN$23,Detail!$H:$H,'Rates-Service Fees'!AEN11)*100</f>
        <v>0</v>
      </c>
      <c r="AEO31">
        <f>SUMIFS(Detail!$AS:$AS,Detail!$G:$G,'Rates-Service Fees'!AEO$23,Detail!$H:$H,'Rates-Service Fees'!AEO11)*100</f>
        <v>0</v>
      </c>
      <c r="AEP31">
        <f>SUMIFS(Detail!$AS:$AS,Detail!$G:$G,'Rates-Service Fees'!AEP$23,Detail!$H:$H,'Rates-Service Fees'!AEP11)*100</f>
        <v>0</v>
      </c>
      <c r="AEQ31">
        <f>SUMIFS(Detail!$AS:$AS,Detail!$G:$G,'Rates-Service Fees'!AEQ$23,Detail!$H:$H,'Rates-Service Fees'!AEQ11)*100</f>
        <v>0</v>
      </c>
      <c r="AER31">
        <f>SUMIFS(Detail!$AS:$AS,Detail!$G:$G,'Rates-Service Fees'!AER$23,Detail!$H:$H,'Rates-Service Fees'!AER11)*100</f>
        <v>0</v>
      </c>
      <c r="AES31">
        <f>SUMIFS(Detail!$AS:$AS,Detail!$G:$G,'Rates-Service Fees'!AES$23,Detail!$H:$H,'Rates-Service Fees'!AES11)*100</f>
        <v>0</v>
      </c>
      <c r="AET31">
        <f>SUMIFS(Detail!$AS:$AS,Detail!$G:$G,'Rates-Service Fees'!AET$23,Detail!$H:$H,'Rates-Service Fees'!AET11)*100</f>
        <v>0</v>
      </c>
      <c r="AEU31">
        <f>SUMIFS(Detail!$AS:$AS,Detail!$G:$G,'Rates-Service Fees'!AEU$23,Detail!$H:$H,'Rates-Service Fees'!AEU11)*100</f>
        <v>0</v>
      </c>
      <c r="AEV31">
        <f>SUMIFS(Detail!$AS:$AS,Detail!$G:$G,'Rates-Service Fees'!AEV$23,Detail!$H:$H,'Rates-Service Fees'!AEV11)*100</f>
        <v>0</v>
      </c>
      <c r="AEW31">
        <f>SUMIFS(Detail!$AS:$AS,Detail!$G:$G,'Rates-Service Fees'!AEW$23,Detail!$H:$H,'Rates-Service Fees'!AEW11)*100</f>
        <v>0</v>
      </c>
      <c r="AEX31">
        <f>SUMIFS(Detail!$AS:$AS,Detail!$G:$G,'Rates-Service Fees'!AEX$23,Detail!$H:$H,'Rates-Service Fees'!AEX11)*100</f>
        <v>0</v>
      </c>
      <c r="AEY31">
        <f>SUMIFS(Detail!$AS:$AS,Detail!$G:$G,'Rates-Service Fees'!AEY$23,Detail!$H:$H,'Rates-Service Fees'!AEY11)*100</f>
        <v>0</v>
      </c>
      <c r="AEZ31">
        <f>SUMIFS(Detail!$AS:$AS,Detail!$G:$G,'Rates-Service Fees'!AEZ$23,Detail!$H:$H,'Rates-Service Fees'!AEZ11)*100</f>
        <v>0</v>
      </c>
      <c r="AFA31">
        <f>SUMIFS(Detail!$AS:$AS,Detail!$G:$G,'Rates-Service Fees'!AFA$23,Detail!$H:$H,'Rates-Service Fees'!AFA11)*100</f>
        <v>0</v>
      </c>
      <c r="AFB31">
        <f>SUMIFS(Detail!$AS:$AS,Detail!$G:$G,'Rates-Service Fees'!AFB$23,Detail!$H:$H,'Rates-Service Fees'!AFB11)*100</f>
        <v>0</v>
      </c>
      <c r="AFC31">
        <f>SUMIFS(Detail!$AS:$AS,Detail!$G:$G,'Rates-Service Fees'!AFC$23,Detail!$H:$H,'Rates-Service Fees'!AFC11)*100</f>
        <v>0</v>
      </c>
      <c r="AFD31">
        <f>SUMIFS(Detail!$AS:$AS,Detail!$G:$G,'Rates-Service Fees'!AFD$23,Detail!$H:$H,'Rates-Service Fees'!AFD11)*100</f>
        <v>0</v>
      </c>
      <c r="AFE31">
        <f>SUMIFS(Detail!$AS:$AS,Detail!$G:$G,'Rates-Service Fees'!AFE$23,Detail!$H:$H,'Rates-Service Fees'!AFE11)*100</f>
        <v>0</v>
      </c>
      <c r="AFF31">
        <f>SUMIFS(Detail!$AS:$AS,Detail!$G:$G,'Rates-Service Fees'!AFF$23,Detail!$H:$H,'Rates-Service Fees'!AFF11)*100</f>
        <v>0</v>
      </c>
      <c r="AFG31">
        <f>SUMIFS(Detail!$AS:$AS,Detail!$G:$G,'Rates-Service Fees'!AFG$23,Detail!$H:$H,'Rates-Service Fees'!AFG11)*100</f>
        <v>0</v>
      </c>
      <c r="AFH31">
        <f>SUMIFS(Detail!$AS:$AS,Detail!$G:$G,'Rates-Service Fees'!AFH$23,Detail!$H:$H,'Rates-Service Fees'!AFH11)*100</f>
        <v>0</v>
      </c>
      <c r="AFI31">
        <f>SUMIFS(Detail!$AS:$AS,Detail!$G:$G,'Rates-Service Fees'!AFI$23,Detail!$H:$H,'Rates-Service Fees'!AFI11)*100</f>
        <v>0</v>
      </c>
      <c r="AFJ31">
        <f>SUMIFS(Detail!$AS:$AS,Detail!$G:$G,'Rates-Service Fees'!AFJ$23,Detail!$H:$H,'Rates-Service Fees'!AFJ11)*100</f>
        <v>0</v>
      </c>
      <c r="AFK31">
        <f>SUMIFS(Detail!$AS:$AS,Detail!$G:$G,'Rates-Service Fees'!AFK$23,Detail!$H:$H,'Rates-Service Fees'!AFK11)*100</f>
        <v>0</v>
      </c>
      <c r="AFL31">
        <f>SUMIFS(Detail!$AS:$AS,Detail!$G:$G,'Rates-Service Fees'!AFL$23,Detail!$H:$H,'Rates-Service Fees'!AFL11)*100</f>
        <v>0</v>
      </c>
      <c r="AFM31">
        <f>SUMIFS(Detail!$AS:$AS,Detail!$G:$G,'Rates-Service Fees'!AFM$23,Detail!$H:$H,'Rates-Service Fees'!AFM11)*100</f>
        <v>0</v>
      </c>
      <c r="AFN31">
        <f>SUMIFS(Detail!$AS:$AS,Detail!$G:$G,'Rates-Service Fees'!AFN$23,Detail!$H:$H,'Rates-Service Fees'!AFN11)*100</f>
        <v>0</v>
      </c>
      <c r="AFO31">
        <f>SUMIFS(Detail!$AS:$AS,Detail!$G:$G,'Rates-Service Fees'!AFO$23,Detail!$H:$H,'Rates-Service Fees'!AFO11)*100</f>
        <v>0</v>
      </c>
      <c r="AFP31">
        <f>SUMIFS(Detail!$AS:$AS,Detail!$G:$G,'Rates-Service Fees'!AFP$23,Detail!$H:$H,'Rates-Service Fees'!AFP11)*100</f>
        <v>0</v>
      </c>
      <c r="AFQ31">
        <f>SUMIFS(Detail!$AS:$AS,Detail!$G:$G,'Rates-Service Fees'!AFQ$23,Detail!$H:$H,'Rates-Service Fees'!AFQ11)*100</f>
        <v>0</v>
      </c>
      <c r="AFR31">
        <f>SUMIFS(Detail!$AS:$AS,Detail!$G:$G,'Rates-Service Fees'!AFR$23,Detail!$H:$H,'Rates-Service Fees'!AFR11)*100</f>
        <v>0</v>
      </c>
      <c r="AFS31">
        <f>SUMIFS(Detail!$AS:$AS,Detail!$G:$G,'Rates-Service Fees'!AFS$23,Detail!$H:$H,'Rates-Service Fees'!AFS11)*100</f>
        <v>0</v>
      </c>
      <c r="AFT31">
        <f>SUMIFS(Detail!$AS:$AS,Detail!$G:$G,'Rates-Service Fees'!AFT$23,Detail!$H:$H,'Rates-Service Fees'!AFT11)*100</f>
        <v>0</v>
      </c>
      <c r="AFU31">
        <f>SUMIFS(Detail!$AS:$AS,Detail!$G:$G,'Rates-Service Fees'!AFU$23,Detail!$H:$H,'Rates-Service Fees'!AFU11)*100</f>
        <v>0</v>
      </c>
      <c r="AFV31">
        <f>SUMIFS(Detail!$AS:$AS,Detail!$G:$G,'Rates-Service Fees'!AFV$23,Detail!$H:$H,'Rates-Service Fees'!AFV11)*100</f>
        <v>0</v>
      </c>
      <c r="AFW31">
        <f>SUMIFS(Detail!$AS:$AS,Detail!$G:$G,'Rates-Service Fees'!AFW$23,Detail!$H:$H,'Rates-Service Fees'!AFW11)*100</f>
        <v>0</v>
      </c>
      <c r="AFX31">
        <f>SUMIFS(Detail!$AS:$AS,Detail!$G:$G,'Rates-Service Fees'!AFX$23,Detail!$H:$H,'Rates-Service Fees'!AFX11)*100</f>
        <v>0</v>
      </c>
      <c r="AFY31">
        <f>SUMIFS(Detail!$AS:$AS,Detail!$G:$G,'Rates-Service Fees'!AFY$23,Detail!$H:$H,'Rates-Service Fees'!AFY11)*100</f>
        <v>0</v>
      </c>
      <c r="AFZ31">
        <f>SUMIFS(Detail!$AS:$AS,Detail!$G:$G,'Rates-Service Fees'!AFZ$23,Detail!$H:$H,'Rates-Service Fees'!AFZ11)*100</f>
        <v>0</v>
      </c>
      <c r="AGA31">
        <f>SUMIFS(Detail!$AS:$AS,Detail!$G:$G,'Rates-Service Fees'!AGA$23,Detail!$H:$H,'Rates-Service Fees'!AGA11)*100</f>
        <v>0</v>
      </c>
      <c r="AGB31">
        <f>SUMIFS(Detail!$AS:$AS,Detail!$G:$G,'Rates-Service Fees'!AGB$23,Detail!$H:$H,'Rates-Service Fees'!AGB11)*100</f>
        <v>0</v>
      </c>
      <c r="AGC31">
        <f>SUMIFS(Detail!$AS:$AS,Detail!$G:$G,'Rates-Service Fees'!AGC$23,Detail!$H:$H,'Rates-Service Fees'!AGC11)*100</f>
        <v>0</v>
      </c>
      <c r="AGD31">
        <f>SUMIFS(Detail!$AS:$AS,Detail!$G:$G,'Rates-Service Fees'!AGD$23,Detail!$H:$H,'Rates-Service Fees'!AGD11)*100</f>
        <v>0</v>
      </c>
      <c r="AGE31">
        <f>SUMIFS(Detail!$AS:$AS,Detail!$G:$G,'Rates-Service Fees'!AGE$23,Detail!$H:$H,'Rates-Service Fees'!AGE11)*100</f>
        <v>0</v>
      </c>
      <c r="AGF31">
        <f>SUMIFS(Detail!$AS:$AS,Detail!$G:$G,'Rates-Service Fees'!AGF$23,Detail!$H:$H,'Rates-Service Fees'!AGF11)*100</f>
        <v>0</v>
      </c>
      <c r="AGG31">
        <f>SUMIFS(Detail!$AS:$AS,Detail!$G:$G,'Rates-Service Fees'!AGG$23,Detail!$H:$H,'Rates-Service Fees'!AGG11)*100</f>
        <v>0</v>
      </c>
      <c r="AGH31">
        <f>SUMIFS(Detail!$AS:$AS,Detail!$G:$G,'Rates-Service Fees'!AGH$23,Detail!$H:$H,'Rates-Service Fees'!AGH11)*100</f>
        <v>0</v>
      </c>
      <c r="AGI31">
        <f>SUMIFS(Detail!$AS:$AS,Detail!$G:$G,'Rates-Service Fees'!AGI$23,Detail!$H:$H,'Rates-Service Fees'!AGI11)*100</f>
        <v>0</v>
      </c>
      <c r="AGJ31">
        <f>SUMIFS(Detail!$AS:$AS,Detail!$G:$G,'Rates-Service Fees'!AGJ$23,Detail!$H:$H,'Rates-Service Fees'!AGJ11)*100</f>
        <v>0</v>
      </c>
      <c r="AGK31">
        <f>SUMIFS(Detail!$AS:$AS,Detail!$G:$G,'Rates-Service Fees'!AGK$23,Detail!$H:$H,'Rates-Service Fees'!AGK11)*100</f>
        <v>0</v>
      </c>
      <c r="AGL31">
        <f>SUMIFS(Detail!$AS:$AS,Detail!$G:$G,'Rates-Service Fees'!AGL$23,Detail!$H:$H,'Rates-Service Fees'!AGL11)*100</f>
        <v>0</v>
      </c>
      <c r="AGM31">
        <f>SUMIFS(Detail!$AS:$AS,Detail!$G:$G,'Rates-Service Fees'!AGM$23,Detail!$H:$H,'Rates-Service Fees'!AGM11)*100</f>
        <v>0</v>
      </c>
      <c r="AGN31">
        <f>SUMIFS(Detail!$AS:$AS,Detail!$G:$G,'Rates-Service Fees'!AGN$23,Detail!$H:$H,'Rates-Service Fees'!AGN11)*100</f>
        <v>0</v>
      </c>
      <c r="AGO31">
        <f>SUMIFS(Detail!$AS:$AS,Detail!$G:$G,'Rates-Service Fees'!AGO$23,Detail!$H:$H,'Rates-Service Fees'!AGO11)*100</f>
        <v>0</v>
      </c>
      <c r="AGP31">
        <f>SUMIFS(Detail!$AS:$AS,Detail!$G:$G,'Rates-Service Fees'!AGP$23,Detail!$H:$H,'Rates-Service Fees'!AGP11)*100</f>
        <v>0</v>
      </c>
      <c r="AGQ31">
        <f>SUMIFS(Detail!$AS:$AS,Detail!$G:$G,'Rates-Service Fees'!AGQ$23,Detail!$H:$H,'Rates-Service Fees'!AGQ11)*100</f>
        <v>0</v>
      </c>
      <c r="AGR31">
        <f>SUMIFS(Detail!$AS:$AS,Detail!$G:$G,'Rates-Service Fees'!AGR$23,Detail!$H:$H,'Rates-Service Fees'!AGR11)*100</f>
        <v>0</v>
      </c>
      <c r="AGS31">
        <f>SUMIFS(Detail!$AS:$AS,Detail!$G:$G,'Rates-Service Fees'!AGS$23,Detail!$H:$H,'Rates-Service Fees'!AGS11)*100</f>
        <v>0</v>
      </c>
      <c r="AGT31">
        <f>SUMIFS(Detail!$AS:$AS,Detail!$G:$G,'Rates-Service Fees'!AGT$23,Detail!$H:$H,'Rates-Service Fees'!AGT11)*100</f>
        <v>0</v>
      </c>
      <c r="AGU31">
        <f>SUMIFS(Detail!$AS:$AS,Detail!$G:$G,'Rates-Service Fees'!AGU$23,Detail!$H:$H,'Rates-Service Fees'!AGU11)*100</f>
        <v>0</v>
      </c>
      <c r="AGV31">
        <f>SUMIFS(Detail!$AS:$AS,Detail!$G:$G,'Rates-Service Fees'!AGV$23,Detail!$H:$H,'Rates-Service Fees'!AGV11)*100</f>
        <v>0</v>
      </c>
      <c r="AGW31">
        <f>SUMIFS(Detail!$AS:$AS,Detail!$G:$G,'Rates-Service Fees'!AGW$23,Detail!$H:$H,'Rates-Service Fees'!AGW11)*100</f>
        <v>0</v>
      </c>
      <c r="AGX31">
        <f>SUMIFS(Detail!$AS:$AS,Detail!$G:$G,'Rates-Service Fees'!AGX$23,Detail!$H:$H,'Rates-Service Fees'!AGX11)*100</f>
        <v>0</v>
      </c>
      <c r="AGY31">
        <f>SUMIFS(Detail!$AS:$AS,Detail!$G:$G,'Rates-Service Fees'!AGY$23,Detail!$H:$H,'Rates-Service Fees'!AGY11)*100</f>
        <v>0</v>
      </c>
      <c r="AGZ31">
        <f>SUMIFS(Detail!$AS:$AS,Detail!$G:$G,'Rates-Service Fees'!AGZ$23,Detail!$H:$H,'Rates-Service Fees'!AGZ11)*100</f>
        <v>0</v>
      </c>
      <c r="AHA31">
        <f>SUMIFS(Detail!$AS:$AS,Detail!$G:$G,'Rates-Service Fees'!AHA$23,Detail!$H:$H,'Rates-Service Fees'!AHA11)*100</f>
        <v>0</v>
      </c>
      <c r="AHB31">
        <f>SUMIFS(Detail!$AS:$AS,Detail!$G:$G,'Rates-Service Fees'!AHB$23,Detail!$H:$H,'Rates-Service Fees'!AHB11)*100</f>
        <v>0</v>
      </c>
      <c r="AHC31">
        <f>SUMIFS(Detail!$AS:$AS,Detail!$G:$G,'Rates-Service Fees'!AHC$23,Detail!$H:$H,'Rates-Service Fees'!AHC11)*100</f>
        <v>0</v>
      </c>
      <c r="AHD31">
        <f>SUMIFS(Detail!$AS:$AS,Detail!$G:$G,'Rates-Service Fees'!AHD$23,Detail!$H:$H,'Rates-Service Fees'!AHD11)*100</f>
        <v>0</v>
      </c>
      <c r="AHE31">
        <f>SUMIFS(Detail!$AS:$AS,Detail!$G:$G,'Rates-Service Fees'!AHE$23,Detail!$H:$H,'Rates-Service Fees'!AHE11)*100</f>
        <v>0</v>
      </c>
      <c r="AHF31">
        <f>SUMIFS(Detail!$AS:$AS,Detail!$G:$G,'Rates-Service Fees'!AHF$23,Detail!$H:$H,'Rates-Service Fees'!AHF11)*100</f>
        <v>0</v>
      </c>
      <c r="AHG31">
        <f>SUMIFS(Detail!$AS:$AS,Detail!$G:$G,'Rates-Service Fees'!AHG$23,Detail!$H:$H,'Rates-Service Fees'!AHG11)*100</f>
        <v>0</v>
      </c>
      <c r="AHH31">
        <f>SUMIFS(Detail!$AS:$AS,Detail!$G:$G,'Rates-Service Fees'!AHH$23,Detail!$H:$H,'Rates-Service Fees'!AHH11)*100</f>
        <v>0</v>
      </c>
      <c r="AHI31">
        <f>SUMIFS(Detail!$AS:$AS,Detail!$G:$G,'Rates-Service Fees'!AHI$23,Detail!$H:$H,'Rates-Service Fees'!AHI11)*100</f>
        <v>0</v>
      </c>
      <c r="AHJ31">
        <f>SUMIFS(Detail!$AS:$AS,Detail!$G:$G,'Rates-Service Fees'!AHJ$23,Detail!$H:$H,'Rates-Service Fees'!AHJ11)*100</f>
        <v>0</v>
      </c>
      <c r="AHK31">
        <f>SUMIFS(Detail!$AS:$AS,Detail!$G:$G,'Rates-Service Fees'!AHK$23,Detail!$H:$H,'Rates-Service Fees'!AHK11)*100</f>
        <v>0</v>
      </c>
      <c r="AHL31">
        <f>SUMIFS(Detail!$AS:$AS,Detail!$G:$G,'Rates-Service Fees'!AHL$23,Detail!$H:$H,'Rates-Service Fees'!AHL11)*100</f>
        <v>0</v>
      </c>
      <c r="AHM31">
        <f>SUMIFS(Detail!$AS:$AS,Detail!$G:$G,'Rates-Service Fees'!AHM$23,Detail!$H:$H,'Rates-Service Fees'!AHM11)*100</f>
        <v>0</v>
      </c>
      <c r="AHN31">
        <f>SUMIFS(Detail!$AS:$AS,Detail!$G:$G,'Rates-Service Fees'!AHN$23,Detail!$H:$H,'Rates-Service Fees'!AHN11)*100</f>
        <v>0</v>
      </c>
      <c r="AHO31">
        <f>SUMIFS(Detail!$AS:$AS,Detail!$G:$G,'Rates-Service Fees'!AHO$23,Detail!$H:$H,'Rates-Service Fees'!AHO11)*100</f>
        <v>0</v>
      </c>
      <c r="AHP31">
        <f>SUMIFS(Detail!$AS:$AS,Detail!$G:$G,'Rates-Service Fees'!AHP$23,Detail!$H:$H,'Rates-Service Fees'!AHP11)*100</f>
        <v>0</v>
      </c>
      <c r="AHQ31">
        <f>SUMIFS(Detail!$AS:$AS,Detail!$G:$G,'Rates-Service Fees'!AHQ$23,Detail!$H:$H,'Rates-Service Fees'!AHQ11)*100</f>
        <v>0</v>
      </c>
      <c r="AHR31">
        <f>SUMIFS(Detail!$AS:$AS,Detail!$G:$G,'Rates-Service Fees'!AHR$23,Detail!$H:$H,'Rates-Service Fees'!AHR11)*100</f>
        <v>0</v>
      </c>
      <c r="AHS31">
        <f>SUMIFS(Detail!$AS:$AS,Detail!$G:$G,'Rates-Service Fees'!AHS$23,Detail!$H:$H,'Rates-Service Fees'!AHS11)*100</f>
        <v>0</v>
      </c>
      <c r="AHT31">
        <f>SUMIFS(Detail!$AS:$AS,Detail!$G:$G,'Rates-Service Fees'!AHT$23,Detail!$H:$H,'Rates-Service Fees'!AHT11)*100</f>
        <v>0</v>
      </c>
      <c r="AHU31">
        <f>SUMIFS(Detail!$AS:$AS,Detail!$G:$G,'Rates-Service Fees'!AHU$23,Detail!$H:$H,'Rates-Service Fees'!AHU11)*100</f>
        <v>0</v>
      </c>
      <c r="AHV31">
        <f>SUMIFS(Detail!$AS:$AS,Detail!$G:$G,'Rates-Service Fees'!AHV$23,Detail!$H:$H,'Rates-Service Fees'!AHV11)*100</f>
        <v>0</v>
      </c>
      <c r="AHW31">
        <f>SUMIFS(Detail!$AS:$AS,Detail!$G:$G,'Rates-Service Fees'!AHW$23,Detail!$H:$H,'Rates-Service Fees'!AHW11)*100</f>
        <v>0</v>
      </c>
      <c r="AHX31">
        <f>SUMIFS(Detail!$AS:$AS,Detail!$G:$G,'Rates-Service Fees'!AHX$23,Detail!$H:$H,'Rates-Service Fees'!AHX11)*100</f>
        <v>0</v>
      </c>
      <c r="AHY31">
        <f>SUMIFS(Detail!$AS:$AS,Detail!$G:$G,'Rates-Service Fees'!AHY$23,Detail!$H:$H,'Rates-Service Fees'!AHY11)*100</f>
        <v>0</v>
      </c>
      <c r="AHZ31">
        <f>SUMIFS(Detail!$AS:$AS,Detail!$G:$G,'Rates-Service Fees'!AHZ$23,Detail!$H:$H,'Rates-Service Fees'!AHZ11)*100</f>
        <v>0</v>
      </c>
      <c r="AIA31">
        <f>SUMIFS(Detail!$AS:$AS,Detail!$G:$G,'Rates-Service Fees'!AIA$23,Detail!$H:$H,'Rates-Service Fees'!AIA11)*100</f>
        <v>0</v>
      </c>
      <c r="AIB31">
        <f>SUMIFS(Detail!$AS:$AS,Detail!$G:$G,'Rates-Service Fees'!AIB$23,Detail!$H:$H,'Rates-Service Fees'!AIB11)*100</f>
        <v>0</v>
      </c>
      <c r="AIC31">
        <f>SUMIFS(Detail!$AS:$AS,Detail!$G:$G,'Rates-Service Fees'!AIC$23,Detail!$H:$H,'Rates-Service Fees'!AIC11)*100</f>
        <v>0</v>
      </c>
      <c r="AID31">
        <f>SUMIFS(Detail!$AS:$AS,Detail!$G:$G,'Rates-Service Fees'!AID$23,Detail!$H:$H,'Rates-Service Fees'!AID11)*100</f>
        <v>0</v>
      </c>
      <c r="AIE31">
        <f>SUMIFS(Detail!$AS:$AS,Detail!$G:$G,'Rates-Service Fees'!AIE$23,Detail!$H:$H,'Rates-Service Fees'!AIE11)*100</f>
        <v>0</v>
      </c>
      <c r="AIF31">
        <f>SUMIFS(Detail!$AS:$AS,Detail!$G:$G,'Rates-Service Fees'!AIF$23,Detail!$H:$H,'Rates-Service Fees'!AIF11)*100</f>
        <v>0</v>
      </c>
      <c r="AIG31">
        <f>SUMIFS(Detail!$AS:$AS,Detail!$G:$G,'Rates-Service Fees'!AIG$23,Detail!$H:$H,'Rates-Service Fees'!AIG11)*100</f>
        <v>0</v>
      </c>
      <c r="AIH31">
        <f>SUMIFS(Detail!$AS:$AS,Detail!$G:$G,'Rates-Service Fees'!AIH$23,Detail!$H:$H,'Rates-Service Fees'!AIH11)*100</f>
        <v>0</v>
      </c>
      <c r="AII31">
        <f>SUMIFS(Detail!$AS:$AS,Detail!$G:$G,'Rates-Service Fees'!AII$23,Detail!$H:$H,'Rates-Service Fees'!AII11)*100</f>
        <v>0</v>
      </c>
      <c r="AIJ31">
        <f>SUMIFS(Detail!$AS:$AS,Detail!$G:$G,'Rates-Service Fees'!AIJ$23,Detail!$H:$H,'Rates-Service Fees'!AIJ11)*100</f>
        <v>0</v>
      </c>
      <c r="AIK31">
        <f>SUMIFS(Detail!$AS:$AS,Detail!$G:$G,'Rates-Service Fees'!AIK$23,Detail!$H:$H,'Rates-Service Fees'!AIK11)*100</f>
        <v>0</v>
      </c>
      <c r="AIL31">
        <f>SUMIFS(Detail!$AS:$AS,Detail!$G:$G,'Rates-Service Fees'!AIL$23,Detail!$H:$H,'Rates-Service Fees'!AIL11)*100</f>
        <v>0</v>
      </c>
      <c r="AIM31">
        <f>SUMIFS(Detail!$AS:$AS,Detail!$G:$G,'Rates-Service Fees'!AIM$23,Detail!$H:$H,'Rates-Service Fees'!AIM11)*100</f>
        <v>0</v>
      </c>
      <c r="AIN31">
        <f>SUMIFS(Detail!$AS:$AS,Detail!$G:$G,'Rates-Service Fees'!AIN$23,Detail!$H:$H,'Rates-Service Fees'!AIN11)*100</f>
        <v>0</v>
      </c>
      <c r="AIO31">
        <f>SUMIFS(Detail!$AS:$AS,Detail!$G:$G,'Rates-Service Fees'!AIO$23,Detail!$H:$H,'Rates-Service Fees'!AIO11)*100</f>
        <v>0</v>
      </c>
      <c r="AIP31">
        <f>SUMIFS(Detail!$AS:$AS,Detail!$G:$G,'Rates-Service Fees'!AIP$23,Detail!$H:$H,'Rates-Service Fees'!AIP11)*100</f>
        <v>0</v>
      </c>
      <c r="AIQ31">
        <f>SUMIFS(Detail!$AS:$AS,Detail!$G:$G,'Rates-Service Fees'!AIQ$23,Detail!$H:$H,'Rates-Service Fees'!AIQ11)*100</f>
        <v>0</v>
      </c>
      <c r="AIR31">
        <f>SUMIFS(Detail!$AS:$AS,Detail!$G:$G,'Rates-Service Fees'!AIR$23,Detail!$H:$H,'Rates-Service Fees'!AIR11)*100</f>
        <v>0</v>
      </c>
      <c r="AIS31">
        <f>SUMIFS(Detail!$AS:$AS,Detail!$G:$G,'Rates-Service Fees'!AIS$23,Detail!$H:$H,'Rates-Service Fees'!AIS11)*100</f>
        <v>0</v>
      </c>
      <c r="AIT31">
        <f>SUMIFS(Detail!$AS:$AS,Detail!$G:$G,'Rates-Service Fees'!AIT$23,Detail!$H:$H,'Rates-Service Fees'!AIT11)*100</f>
        <v>0</v>
      </c>
      <c r="AIU31">
        <f>SUMIFS(Detail!$AS:$AS,Detail!$G:$G,'Rates-Service Fees'!AIU$23,Detail!$H:$H,'Rates-Service Fees'!AIU11)*100</f>
        <v>0</v>
      </c>
      <c r="AIV31">
        <f>SUMIFS(Detail!$AS:$AS,Detail!$G:$G,'Rates-Service Fees'!AIV$23,Detail!$H:$H,'Rates-Service Fees'!AIV11)*100</f>
        <v>0</v>
      </c>
      <c r="AIW31">
        <f>SUMIFS(Detail!$AS:$AS,Detail!$G:$G,'Rates-Service Fees'!AIW$23,Detail!$H:$H,'Rates-Service Fees'!AIW11)*100</f>
        <v>0</v>
      </c>
      <c r="AIX31">
        <f>SUMIFS(Detail!$AS:$AS,Detail!$G:$G,'Rates-Service Fees'!AIX$23,Detail!$H:$H,'Rates-Service Fees'!AIX11)*100</f>
        <v>0</v>
      </c>
      <c r="AIY31">
        <f>SUMIFS(Detail!$AS:$AS,Detail!$G:$G,'Rates-Service Fees'!AIY$23,Detail!$H:$H,'Rates-Service Fees'!AIY11)*100</f>
        <v>0</v>
      </c>
      <c r="AIZ31">
        <f>SUMIFS(Detail!$AS:$AS,Detail!$G:$G,'Rates-Service Fees'!AIZ$23,Detail!$H:$H,'Rates-Service Fees'!AIZ11)*100</f>
        <v>0</v>
      </c>
      <c r="AJA31">
        <f>SUMIFS(Detail!$AS:$AS,Detail!$G:$G,'Rates-Service Fees'!AJA$23,Detail!$H:$H,'Rates-Service Fees'!AJA11)*100</f>
        <v>0</v>
      </c>
      <c r="AJB31">
        <f>SUMIFS(Detail!$AS:$AS,Detail!$G:$G,'Rates-Service Fees'!AJB$23,Detail!$H:$H,'Rates-Service Fees'!AJB11)*100</f>
        <v>0</v>
      </c>
      <c r="AJC31">
        <f>SUMIFS(Detail!$AS:$AS,Detail!$G:$G,'Rates-Service Fees'!AJC$23,Detail!$H:$H,'Rates-Service Fees'!AJC11)*100</f>
        <v>0</v>
      </c>
      <c r="AJD31">
        <f>SUMIFS(Detail!$AS:$AS,Detail!$G:$G,'Rates-Service Fees'!AJD$23,Detail!$H:$H,'Rates-Service Fees'!AJD11)*100</f>
        <v>0</v>
      </c>
      <c r="AJE31">
        <f>SUMIFS(Detail!$AS:$AS,Detail!$G:$G,'Rates-Service Fees'!AJE$23,Detail!$H:$H,'Rates-Service Fees'!AJE11)*100</f>
        <v>0</v>
      </c>
      <c r="AJF31">
        <f>SUMIFS(Detail!$AS:$AS,Detail!$G:$G,'Rates-Service Fees'!AJF$23,Detail!$H:$H,'Rates-Service Fees'!AJF11)*100</f>
        <v>0</v>
      </c>
      <c r="AJG31">
        <f>SUMIFS(Detail!$AS:$AS,Detail!$G:$G,'Rates-Service Fees'!AJG$23,Detail!$H:$H,'Rates-Service Fees'!AJG11)*100</f>
        <v>0</v>
      </c>
      <c r="AJH31">
        <f>SUMIFS(Detail!$AS:$AS,Detail!$G:$G,'Rates-Service Fees'!AJH$23,Detail!$H:$H,'Rates-Service Fees'!AJH11)*100</f>
        <v>0</v>
      </c>
      <c r="AJI31">
        <f>SUMIFS(Detail!$AS:$AS,Detail!$G:$G,'Rates-Service Fees'!AJI$23,Detail!$H:$H,'Rates-Service Fees'!AJI11)*100</f>
        <v>0</v>
      </c>
      <c r="AJJ31">
        <f>SUMIFS(Detail!$AS:$AS,Detail!$G:$G,'Rates-Service Fees'!AJJ$23,Detail!$H:$H,'Rates-Service Fees'!AJJ11)*100</f>
        <v>0</v>
      </c>
      <c r="AJK31">
        <f>SUMIFS(Detail!$AS:$AS,Detail!$G:$G,'Rates-Service Fees'!AJK$23,Detail!$H:$H,'Rates-Service Fees'!AJK11)*100</f>
        <v>0</v>
      </c>
      <c r="AJL31">
        <f>SUMIFS(Detail!$AS:$AS,Detail!$G:$G,'Rates-Service Fees'!AJL$23,Detail!$H:$H,'Rates-Service Fees'!AJL11)*100</f>
        <v>0</v>
      </c>
      <c r="AJM31">
        <f>SUMIFS(Detail!$AS:$AS,Detail!$G:$G,'Rates-Service Fees'!AJM$23,Detail!$H:$H,'Rates-Service Fees'!AJM11)*100</f>
        <v>0</v>
      </c>
      <c r="AJN31">
        <f>SUMIFS(Detail!$AS:$AS,Detail!$G:$G,'Rates-Service Fees'!AJN$23,Detail!$H:$H,'Rates-Service Fees'!AJN11)*100</f>
        <v>0</v>
      </c>
      <c r="AJO31">
        <f>SUMIFS(Detail!$AS:$AS,Detail!$G:$G,'Rates-Service Fees'!AJO$23,Detail!$H:$H,'Rates-Service Fees'!AJO11)*100</f>
        <v>0</v>
      </c>
      <c r="AJP31">
        <f>SUMIFS(Detail!$AS:$AS,Detail!$G:$G,'Rates-Service Fees'!AJP$23,Detail!$H:$H,'Rates-Service Fees'!AJP11)*100</f>
        <v>0</v>
      </c>
      <c r="AJQ31">
        <f>SUMIFS(Detail!$AS:$AS,Detail!$G:$G,'Rates-Service Fees'!AJQ$23,Detail!$H:$H,'Rates-Service Fees'!AJQ11)*100</f>
        <v>0</v>
      </c>
      <c r="AJR31">
        <f>SUMIFS(Detail!$AS:$AS,Detail!$G:$G,'Rates-Service Fees'!AJR$23,Detail!$H:$H,'Rates-Service Fees'!AJR11)*100</f>
        <v>0</v>
      </c>
      <c r="AJS31">
        <f>SUMIFS(Detail!$AS:$AS,Detail!$G:$G,'Rates-Service Fees'!AJS$23,Detail!$H:$H,'Rates-Service Fees'!AJS11)*100</f>
        <v>0</v>
      </c>
      <c r="AJT31">
        <f>SUMIFS(Detail!$AS:$AS,Detail!$G:$G,'Rates-Service Fees'!AJT$23,Detail!$H:$H,'Rates-Service Fees'!AJT11)*100</f>
        <v>0</v>
      </c>
      <c r="AJU31">
        <f>SUMIFS(Detail!$AS:$AS,Detail!$G:$G,'Rates-Service Fees'!AJU$23,Detail!$H:$H,'Rates-Service Fees'!AJU11)*100</f>
        <v>0</v>
      </c>
      <c r="AJV31">
        <f>SUMIFS(Detail!$AS:$AS,Detail!$G:$G,'Rates-Service Fees'!AJV$23,Detail!$H:$H,'Rates-Service Fees'!AJV11)*100</f>
        <v>0</v>
      </c>
      <c r="AJW31">
        <f>SUMIFS(Detail!$AS:$AS,Detail!$G:$G,'Rates-Service Fees'!AJW$23,Detail!$H:$H,'Rates-Service Fees'!AJW11)*100</f>
        <v>0</v>
      </c>
      <c r="AJX31">
        <f>SUMIFS(Detail!$AS:$AS,Detail!$G:$G,'Rates-Service Fees'!AJX$23,Detail!$H:$H,'Rates-Service Fees'!AJX11)*100</f>
        <v>0</v>
      </c>
      <c r="AJY31">
        <f>SUMIFS(Detail!$AS:$AS,Detail!$G:$G,'Rates-Service Fees'!AJY$23,Detail!$H:$H,'Rates-Service Fees'!AJY11)*100</f>
        <v>0</v>
      </c>
      <c r="AJZ31">
        <f>SUMIFS(Detail!$AS:$AS,Detail!$G:$G,'Rates-Service Fees'!AJZ$23,Detail!$H:$H,'Rates-Service Fees'!AJZ11)*100</f>
        <v>0</v>
      </c>
      <c r="AKA31">
        <f>SUMIFS(Detail!$AS:$AS,Detail!$G:$G,'Rates-Service Fees'!AKA$23,Detail!$H:$H,'Rates-Service Fees'!AKA11)*100</f>
        <v>0</v>
      </c>
      <c r="AKB31">
        <f>SUMIFS(Detail!$AS:$AS,Detail!$G:$G,'Rates-Service Fees'!AKB$23,Detail!$H:$H,'Rates-Service Fees'!AKB11)*100</f>
        <v>0</v>
      </c>
      <c r="AKC31">
        <f>SUMIFS(Detail!$AS:$AS,Detail!$G:$G,'Rates-Service Fees'!AKC$23,Detail!$H:$H,'Rates-Service Fees'!AKC11)*100</f>
        <v>0</v>
      </c>
      <c r="AKD31">
        <f>SUMIFS(Detail!$AS:$AS,Detail!$G:$G,'Rates-Service Fees'!AKD$23,Detail!$H:$H,'Rates-Service Fees'!AKD11)*100</f>
        <v>0</v>
      </c>
      <c r="AKE31">
        <f>SUMIFS(Detail!$AS:$AS,Detail!$G:$G,'Rates-Service Fees'!AKE$23,Detail!$H:$H,'Rates-Service Fees'!AKE11)*100</f>
        <v>0</v>
      </c>
      <c r="AKF31">
        <f>SUMIFS(Detail!$AS:$AS,Detail!$G:$G,'Rates-Service Fees'!AKF$23,Detail!$H:$H,'Rates-Service Fees'!AKF11)*100</f>
        <v>0</v>
      </c>
      <c r="AKG31">
        <f>SUMIFS(Detail!$AS:$AS,Detail!$G:$G,'Rates-Service Fees'!AKG$23,Detail!$H:$H,'Rates-Service Fees'!AKG11)*100</f>
        <v>0</v>
      </c>
      <c r="AKH31">
        <f>SUMIFS(Detail!$AS:$AS,Detail!$G:$G,'Rates-Service Fees'!AKH$23,Detail!$H:$H,'Rates-Service Fees'!AKH11)*100</f>
        <v>0</v>
      </c>
      <c r="AKI31">
        <f>SUMIFS(Detail!$AS:$AS,Detail!$G:$G,'Rates-Service Fees'!AKI$23,Detail!$H:$H,'Rates-Service Fees'!AKI11)*100</f>
        <v>0</v>
      </c>
      <c r="AKJ31">
        <f>SUMIFS(Detail!$AS:$AS,Detail!$G:$G,'Rates-Service Fees'!AKJ$23,Detail!$H:$H,'Rates-Service Fees'!AKJ11)*100</f>
        <v>0</v>
      </c>
      <c r="AKK31">
        <f>SUMIFS(Detail!$AS:$AS,Detail!$G:$G,'Rates-Service Fees'!AKK$23,Detail!$H:$H,'Rates-Service Fees'!AKK11)*100</f>
        <v>0</v>
      </c>
      <c r="AKL31">
        <f>SUMIFS(Detail!$AS:$AS,Detail!$G:$G,'Rates-Service Fees'!AKL$23,Detail!$H:$H,'Rates-Service Fees'!AKL11)*100</f>
        <v>0</v>
      </c>
      <c r="AKM31">
        <f>SUMIFS(Detail!$AS:$AS,Detail!$G:$G,'Rates-Service Fees'!AKM$23,Detail!$H:$H,'Rates-Service Fees'!AKM11)*100</f>
        <v>0</v>
      </c>
      <c r="AKN31">
        <f>SUMIFS(Detail!$AS:$AS,Detail!$G:$G,'Rates-Service Fees'!AKN$23,Detail!$H:$H,'Rates-Service Fees'!AKN11)*100</f>
        <v>0</v>
      </c>
      <c r="AKO31">
        <f>SUMIFS(Detail!$AS:$AS,Detail!$G:$G,'Rates-Service Fees'!AKO$23,Detail!$H:$H,'Rates-Service Fees'!AKO11)*100</f>
        <v>0</v>
      </c>
      <c r="AKP31">
        <f>SUMIFS(Detail!$AS:$AS,Detail!$G:$G,'Rates-Service Fees'!AKP$23,Detail!$H:$H,'Rates-Service Fees'!AKP11)*100</f>
        <v>0</v>
      </c>
      <c r="AKQ31">
        <f>SUMIFS(Detail!$AS:$AS,Detail!$G:$G,'Rates-Service Fees'!AKQ$23,Detail!$H:$H,'Rates-Service Fees'!AKQ11)*100</f>
        <v>0</v>
      </c>
      <c r="AKR31">
        <f>SUMIFS(Detail!$AS:$AS,Detail!$G:$G,'Rates-Service Fees'!AKR$23,Detail!$H:$H,'Rates-Service Fees'!AKR11)*100</f>
        <v>0</v>
      </c>
      <c r="AKS31">
        <f>SUMIFS(Detail!$AS:$AS,Detail!$G:$G,'Rates-Service Fees'!AKS$23,Detail!$H:$H,'Rates-Service Fees'!AKS11)*100</f>
        <v>0</v>
      </c>
      <c r="AKT31">
        <f>SUMIFS(Detail!$AS:$AS,Detail!$G:$G,'Rates-Service Fees'!AKT$23,Detail!$H:$H,'Rates-Service Fees'!AKT11)*100</f>
        <v>0</v>
      </c>
      <c r="AKU31">
        <f>SUMIFS(Detail!$AS:$AS,Detail!$G:$G,'Rates-Service Fees'!AKU$23,Detail!$H:$H,'Rates-Service Fees'!AKU11)*100</f>
        <v>0</v>
      </c>
      <c r="AKV31">
        <f>SUMIFS(Detail!$AS:$AS,Detail!$G:$G,'Rates-Service Fees'!AKV$23,Detail!$H:$H,'Rates-Service Fees'!AKV11)*100</f>
        <v>0</v>
      </c>
      <c r="AKW31">
        <f>SUMIFS(Detail!$AS:$AS,Detail!$G:$G,'Rates-Service Fees'!AKW$23,Detail!$H:$H,'Rates-Service Fees'!AKW11)*100</f>
        <v>0</v>
      </c>
      <c r="AKX31">
        <f>SUMIFS(Detail!$AS:$AS,Detail!$G:$G,'Rates-Service Fees'!AKX$23,Detail!$H:$H,'Rates-Service Fees'!AKX11)*100</f>
        <v>0</v>
      </c>
      <c r="AKY31">
        <f>SUMIFS(Detail!$AS:$AS,Detail!$G:$G,'Rates-Service Fees'!AKY$23,Detail!$H:$H,'Rates-Service Fees'!AKY11)*100</f>
        <v>0</v>
      </c>
      <c r="AKZ31">
        <f>SUMIFS(Detail!$AS:$AS,Detail!$G:$G,'Rates-Service Fees'!AKZ$23,Detail!$H:$H,'Rates-Service Fees'!AKZ11)*100</f>
        <v>0</v>
      </c>
      <c r="ALA31">
        <f>SUMIFS(Detail!$AS:$AS,Detail!$G:$G,'Rates-Service Fees'!ALA$23,Detail!$H:$H,'Rates-Service Fees'!ALA11)*100</f>
        <v>0</v>
      </c>
      <c r="ALB31">
        <f>SUMIFS(Detail!$AS:$AS,Detail!$G:$G,'Rates-Service Fees'!ALB$23,Detail!$H:$H,'Rates-Service Fees'!ALB11)*100</f>
        <v>0</v>
      </c>
      <c r="ALC31">
        <f>SUMIFS(Detail!$AS:$AS,Detail!$G:$G,'Rates-Service Fees'!ALC$23,Detail!$H:$H,'Rates-Service Fees'!ALC11)*100</f>
        <v>0</v>
      </c>
      <c r="ALD31">
        <f>SUMIFS(Detail!$AS:$AS,Detail!$G:$G,'Rates-Service Fees'!ALD$23,Detail!$H:$H,'Rates-Service Fees'!ALD11)*100</f>
        <v>0</v>
      </c>
      <c r="ALE31">
        <f>SUMIFS(Detail!$AS:$AS,Detail!$G:$G,'Rates-Service Fees'!ALE$23,Detail!$H:$H,'Rates-Service Fees'!ALE11)*100</f>
        <v>0</v>
      </c>
      <c r="ALF31">
        <f>SUMIFS(Detail!$AS:$AS,Detail!$G:$G,'Rates-Service Fees'!ALF$23,Detail!$H:$H,'Rates-Service Fees'!ALF11)*100</f>
        <v>0</v>
      </c>
      <c r="ALG31">
        <f>SUMIFS(Detail!$AS:$AS,Detail!$G:$G,'Rates-Service Fees'!ALG$23,Detail!$H:$H,'Rates-Service Fees'!ALG11)*100</f>
        <v>0</v>
      </c>
      <c r="ALH31">
        <f>SUMIFS(Detail!$AS:$AS,Detail!$G:$G,'Rates-Service Fees'!ALH$23,Detail!$H:$H,'Rates-Service Fees'!ALH11)*100</f>
        <v>0</v>
      </c>
      <c r="ALI31">
        <f>SUMIFS(Detail!$AS:$AS,Detail!$G:$G,'Rates-Service Fees'!ALI$23,Detail!$H:$H,'Rates-Service Fees'!ALI11)*100</f>
        <v>0</v>
      </c>
      <c r="ALJ31">
        <f>SUMIFS(Detail!$AS:$AS,Detail!$G:$G,'Rates-Service Fees'!ALJ$23,Detail!$H:$H,'Rates-Service Fees'!ALJ11)*100</f>
        <v>0</v>
      </c>
      <c r="ALK31">
        <f>SUMIFS(Detail!$AS:$AS,Detail!$G:$G,'Rates-Service Fees'!ALK$23,Detail!$H:$H,'Rates-Service Fees'!ALK11)*100</f>
        <v>0</v>
      </c>
      <c r="ALL31">
        <f>SUMIFS(Detail!$AS:$AS,Detail!$G:$G,'Rates-Service Fees'!ALL$23,Detail!$H:$H,'Rates-Service Fees'!ALL11)*100</f>
        <v>0</v>
      </c>
      <c r="ALM31">
        <f>SUMIFS(Detail!$AS:$AS,Detail!$G:$G,'Rates-Service Fees'!ALM$23,Detail!$H:$H,'Rates-Service Fees'!ALM11)*100</f>
        <v>0</v>
      </c>
    </row>
    <row r="32" spans="1:1001">
      <c r="A32" s="26"/>
      <c r="B32">
        <f>SUMIFS(Detail!$AW:$AW,Detail!$G:$G,'Rates-Service Fees'!B$23,Detail!$H:$H,'Rates-Service Fees'!B$11)*100</f>
        <v>0</v>
      </c>
      <c r="C32">
        <f>SUMIFS(Detail!$AW:$AW,Detail!$G:$G,'Rates-Service Fees'!C$23,Detail!$H:$H,'Rates-Service Fees'!C$11)*100</f>
        <v>0</v>
      </c>
      <c r="D32">
        <f>SUMIFS(Detail!$AW:$AW,Detail!$G:$G,'Rates-Service Fees'!D$23,Detail!$H:$H,'Rates-Service Fees'!D$11)*100</f>
        <v>0</v>
      </c>
      <c r="E32">
        <f>SUMIFS(Detail!$AW:$AW,Detail!$G:$G,'Rates-Service Fees'!E$23,Detail!$H:$H,'Rates-Service Fees'!E$11)*100</f>
        <v>0</v>
      </c>
      <c r="F32">
        <f>SUMIFS(Detail!$AW:$AW,Detail!$G:$G,'Rates-Service Fees'!F$23,Detail!$H:$H,'Rates-Service Fees'!F$11)*100</f>
        <v>0</v>
      </c>
      <c r="G32">
        <f>SUMIFS(Detail!$AW:$AW,Detail!$G:$G,'Rates-Service Fees'!G$23,Detail!$H:$H,'Rates-Service Fees'!G$11)*100</f>
        <v>0</v>
      </c>
      <c r="H32">
        <f>SUMIFS(Detail!$AW:$AW,Detail!$G:$G,'Rates-Service Fees'!H$23,Detail!$H:$H,'Rates-Service Fees'!H$11)*100</f>
        <v>0</v>
      </c>
      <c r="I32">
        <f>SUMIFS(Detail!$AW:$AW,Detail!$G:$G,'Rates-Service Fees'!I$23,Detail!$H:$H,'Rates-Service Fees'!I$11)*100</f>
        <v>0</v>
      </c>
      <c r="J32">
        <f>SUMIFS(Detail!$AW:$AW,Detail!$G:$G,'Rates-Service Fees'!J$23,Detail!$H:$H,'Rates-Service Fees'!J$11)*100</f>
        <v>0</v>
      </c>
      <c r="K32">
        <f>SUMIFS(Detail!$AW:$AW,Detail!$G:$G,'Rates-Service Fees'!K$23,Detail!$H:$H,'Rates-Service Fees'!K$11)*100</f>
        <v>0</v>
      </c>
      <c r="L32">
        <f>SUMIFS(Detail!$AW:$AW,Detail!$G:$G,'Rates-Service Fees'!L$23,Detail!$H:$H,'Rates-Service Fees'!L$11)*100</f>
        <v>0</v>
      </c>
      <c r="M32">
        <f>SUMIFS(Detail!$AW:$AW,Detail!$G:$G,'Rates-Service Fees'!M$23,Detail!$H:$H,'Rates-Service Fees'!M$11)*100</f>
        <v>0</v>
      </c>
      <c r="N32">
        <f>SUMIFS(Detail!$AW:$AW,Detail!$G:$G,'Rates-Service Fees'!N$23,Detail!$H:$H,'Rates-Service Fees'!N$11)*100</f>
        <v>0</v>
      </c>
      <c r="O32">
        <f>SUMIFS(Detail!$AW:$AW,Detail!$G:$G,'Rates-Service Fees'!O$23,Detail!$H:$H,'Rates-Service Fees'!O$11)*100</f>
        <v>0</v>
      </c>
      <c r="P32">
        <f>SUMIFS(Detail!$AW:$AW,Detail!$G:$G,'Rates-Service Fees'!P$23,Detail!$H:$H,'Rates-Service Fees'!P$11)*100</f>
        <v>0</v>
      </c>
      <c r="Q32">
        <f>SUMIFS(Detail!$AW:$AW,Detail!$G:$G,'Rates-Service Fees'!Q$23,Detail!$H:$H,'Rates-Service Fees'!Q$11)*100</f>
        <v>0</v>
      </c>
      <c r="R32">
        <f>SUMIFS(Detail!$AW:$AW,Detail!$G:$G,'Rates-Service Fees'!R$23,Detail!$H:$H,'Rates-Service Fees'!R$11)*100</f>
        <v>0</v>
      </c>
      <c r="S32">
        <f>SUMIFS(Detail!$AW:$AW,Detail!$G:$G,'Rates-Service Fees'!S$23,Detail!$H:$H,'Rates-Service Fees'!S$11)*100</f>
        <v>0</v>
      </c>
      <c r="T32">
        <f>SUMIFS(Detail!$AW:$AW,Detail!$G:$G,'Rates-Service Fees'!T$23,Detail!$H:$H,'Rates-Service Fees'!T$11)*100</f>
        <v>0</v>
      </c>
      <c r="U32">
        <f>SUMIFS(Detail!$AW:$AW,Detail!$G:$G,'Rates-Service Fees'!U$23,Detail!$H:$H,'Rates-Service Fees'!U$11)*100</f>
        <v>0</v>
      </c>
      <c r="V32">
        <f>SUMIFS(Detail!$AW:$AW,Detail!$G:$G,'Rates-Service Fees'!V$23,Detail!$H:$H,'Rates-Service Fees'!V$11)*100</f>
        <v>0</v>
      </c>
      <c r="W32">
        <f>SUMIFS(Detail!$AW:$AW,Detail!$G:$G,'Rates-Service Fees'!W$23,Detail!$H:$H,'Rates-Service Fees'!W$11)*100</f>
        <v>0</v>
      </c>
      <c r="X32">
        <f>SUMIFS(Detail!$AW:$AW,Detail!$G:$G,'Rates-Service Fees'!X$23,Detail!$H:$H,'Rates-Service Fees'!X$11)*100</f>
        <v>0</v>
      </c>
      <c r="Y32">
        <f>SUMIFS(Detail!$AW:$AW,Detail!$G:$G,'Rates-Service Fees'!Y$23,Detail!$H:$H,'Rates-Service Fees'!Y$11)*100</f>
        <v>0</v>
      </c>
      <c r="Z32">
        <f>SUMIFS(Detail!$AW:$AW,Detail!$G:$G,'Rates-Service Fees'!Z$23,Detail!$H:$H,'Rates-Service Fees'!Z$11)*100</f>
        <v>0</v>
      </c>
      <c r="AA32">
        <f>SUMIFS(Detail!$AW:$AW,Detail!$G:$G,'Rates-Service Fees'!AA$23,Detail!$H:$H,'Rates-Service Fees'!AA$11)*100</f>
        <v>0</v>
      </c>
      <c r="AB32">
        <f>SUMIFS(Detail!$AW:$AW,Detail!$G:$G,'Rates-Service Fees'!AB$23,Detail!$H:$H,'Rates-Service Fees'!AB$11)*100</f>
        <v>0</v>
      </c>
      <c r="AC32">
        <f>SUMIFS(Detail!$AW:$AW,Detail!$G:$G,'Rates-Service Fees'!AC$23,Detail!$H:$H,'Rates-Service Fees'!AC$11)*100</f>
        <v>0</v>
      </c>
      <c r="AD32">
        <f>SUMIFS(Detail!$AW:$AW,Detail!$G:$G,'Rates-Service Fees'!AD$23,Detail!$H:$H,'Rates-Service Fees'!AD$11)*100</f>
        <v>0</v>
      </c>
      <c r="AE32">
        <f>SUMIFS(Detail!$AW:$AW,Detail!$G:$G,'Rates-Service Fees'!AE$23,Detail!$H:$H,'Rates-Service Fees'!AE$11)*100</f>
        <v>0</v>
      </c>
      <c r="AF32">
        <f>SUMIFS(Detail!$AW:$AW,Detail!$G:$G,'Rates-Service Fees'!AF$23,Detail!$H:$H,'Rates-Service Fees'!AF$11)*100</f>
        <v>0</v>
      </c>
      <c r="AG32">
        <f>SUMIFS(Detail!$AW:$AW,Detail!$G:$G,'Rates-Service Fees'!AG$23,Detail!$H:$H,'Rates-Service Fees'!AG$11)*100</f>
        <v>0</v>
      </c>
      <c r="AH32">
        <f>SUMIFS(Detail!$AW:$AW,Detail!$G:$G,'Rates-Service Fees'!AH$23,Detail!$H:$H,'Rates-Service Fees'!AH$11)*100</f>
        <v>0</v>
      </c>
      <c r="AI32">
        <f>SUMIFS(Detail!$AW:$AW,Detail!$G:$G,'Rates-Service Fees'!AI$23,Detail!$H:$H,'Rates-Service Fees'!AI$11)*100</f>
        <v>0</v>
      </c>
      <c r="AJ32">
        <f>SUMIFS(Detail!$AW:$AW,Detail!$G:$G,'Rates-Service Fees'!AJ$23,Detail!$H:$H,'Rates-Service Fees'!AJ$11)*100</f>
        <v>0</v>
      </c>
      <c r="AK32">
        <f>SUMIFS(Detail!$AW:$AW,Detail!$G:$G,'Rates-Service Fees'!AK$23,Detail!$H:$H,'Rates-Service Fees'!AK$11)*100</f>
        <v>0</v>
      </c>
      <c r="AL32">
        <f>SUMIFS(Detail!$AW:$AW,Detail!$G:$G,'Rates-Service Fees'!AL$23,Detail!$H:$H,'Rates-Service Fees'!AL$11)*100</f>
        <v>0</v>
      </c>
      <c r="AM32">
        <f>SUMIFS(Detail!$AW:$AW,Detail!$G:$G,'Rates-Service Fees'!AM$23,Detail!$H:$H,'Rates-Service Fees'!AM$11)*100</f>
        <v>0</v>
      </c>
      <c r="AN32">
        <f>SUMIFS(Detail!$AW:$AW,Detail!$G:$G,'Rates-Service Fees'!AN$23,Detail!$H:$H,'Rates-Service Fees'!AN$11)*100</f>
        <v>0</v>
      </c>
      <c r="AO32">
        <f>SUMIFS(Detail!$AW:$AW,Detail!$G:$G,'Rates-Service Fees'!AO$23,Detail!$H:$H,'Rates-Service Fees'!AO$11)*100</f>
        <v>0</v>
      </c>
      <c r="AP32">
        <f>SUMIFS(Detail!$AW:$AW,Detail!$G:$G,'Rates-Service Fees'!AP$23,Detail!$H:$H,'Rates-Service Fees'!AP$11)*100</f>
        <v>0</v>
      </c>
      <c r="AQ32">
        <f>SUMIFS(Detail!$AW:$AW,Detail!$G:$G,'Rates-Service Fees'!AQ$23,Detail!$H:$H,'Rates-Service Fees'!AQ$11)*100</f>
        <v>0</v>
      </c>
      <c r="AR32">
        <f>SUMIFS(Detail!$AW:$AW,Detail!$G:$G,'Rates-Service Fees'!AR$23,Detail!$H:$H,'Rates-Service Fees'!AR$11)*100</f>
        <v>0</v>
      </c>
      <c r="AS32">
        <f>SUMIFS(Detail!$AW:$AW,Detail!$G:$G,'Rates-Service Fees'!AS$23,Detail!$H:$H,'Rates-Service Fees'!AS$11)*100</f>
        <v>0</v>
      </c>
      <c r="AT32">
        <f>SUMIFS(Detail!$AW:$AW,Detail!$G:$G,'Rates-Service Fees'!AT$23,Detail!$H:$H,'Rates-Service Fees'!AT$11)*100</f>
        <v>0</v>
      </c>
      <c r="AU32">
        <f>SUMIFS(Detail!$AW:$AW,Detail!$G:$G,'Rates-Service Fees'!AU$23,Detail!$H:$H,'Rates-Service Fees'!AU$11)*100</f>
        <v>0</v>
      </c>
      <c r="AV32">
        <f>SUMIFS(Detail!$AW:$AW,Detail!$G:$G,'Rates-Service Fees'!AV$23,Detail!$H:$H,'Rates-Service Fees'!AV$11)*100</f>
        <v>0</v>
      </c>
      <c r="AW32">
        <f>SUMIFS(Detail!$AW:$AW,Detail!$G:$G,'Rates-Service Fees'!AW$23,Detail!$H:$H,'Rates-Service Fees'!AW$11)*100</f>
        <v>0</v>
      </c>
      <c r="AX32">
        <f>SUMIFS(Detail!$AW:$AW,Detail!$G:$G,'Rates-Service Fees'!AX$23,Detail!$H:$H,'Rates-Service Fees'!AX$11)*100</f>
        <v>0</v>
      </c>
      <c r="AY32">
        <f>SUMIFS(Detail!$AW:$AW,Detail!$G:$G,'Rates-Service Fees'!AY$23,Detail!$H:$H,'Rates-Service Fees'!AY$11)*100</f>
        <v>0</v>
      </c>
      <c r="AZ32">
        <f>SUMIFS(Detail!$AW:$AW,Detail!$G:$G,'Rates-Service Fees'!AZ$23,Detail!$H:$H,'Rates-Service Fees'!AZ$11)*100</f>
        <v>0</v>
      </c>
      <c r="BA32">
        <f>SUMIFS(Detail!$AW:$AW,Detail!$G:$G,'Rates-Service Fees'!BA$23,Detail!$H:$H,'Rates-Service Fees'!BA$11)*100</f>
        <v>0</v>
      </c>
      <c r="BB32">
        <f>SUMIFS(Detail!$AW:$AW,Detail!$G:$G,'Rates-Service Fees'!BB$23,Detail!$H:$H,'Rates-Service Fees'!BB$11)*100</f>
        <v>0</v>
      </c>
      <c r="BC32">
        <f>SUMIFS(Detail!$AW:$AW,Detail!$G:$G,'Rates-Service Fees'!BC$23,Detail!$H:$H,'Rates-Service Fees'!BC$11)*100</f>
        <v>0</v>
      </c>
      <c r="BD32">
        <f>SUMIFS(Detail!$AW:$AW,Detail!$G:$G,'Rates-Service Fees'!BD$23,Detail!$H:$H,'Rates-Service Fees'!BD$11)*100</f>
        <v>0</v>
      </c>
      <c r="BE32">
        <f>SUMIFS(Detail!$AW:$AW,Detail!$G:$G,'Rates-Service Fees'!BE$23,Detail!$H:$H,'Rates-Service Fees'!BE$11)*100</f>
        <v>0</v>
      </c>
      <c r="BF32">
        <f>SUMIFS(Detail!$AW:$AW,Detail!$G:$G,'Rates-Service Fees'!BF$23,Detail!$H:$H,'Rates-Service Fees'!BF$11)*100</f>
        <v>0</v>
      </c>
      <c r="BG32">
        <f>SUMIFS(Detail!$AW:$AW,Detail!$G:$G,'Rates-Service Fees'!BG$23,Detail!$H:$H,'Rates-Service Fees'!BG$11)*100</f>
        <v>0</v>
      </c>
      <c r="BH32">
        <f>SUMIFS(Detail!$AW:$AW,Detail!$G:$G,'Rates-Service Fees'!BH$23,Detail!$H:$H,'Rates-Service Fees'!BH$11)*100</f>
        <v>0</v>
      </c>
      <c r="BI32">
        <f>SUMIFS(Detail!$AW:$AW,Detail!$G:$G,'Rates-Service Fees'!BI$23,Detail!$H:$H,'Rates-Service Fees'!BI$11)*100</f>
        <v>0</v>
      </c>
      <c r="BJ32">
        <f>SUMIFS(Detail!$AW:$AW,Detail!$G:$G,'Rates-Service Fees'!BJ$23,Detail!$H:$H,'Rates-Service Fees'!BJ$11)*100</f>
        <v>0</v>
      </c>
      <c r="BK32">
        <f>SUMIFS(Detail!$AW:$AW,Detail!$G:$G,'Rates-Service Fees'!BK$23,Detail!$H:$H,'Rates-Service Fees'!BK$11)*100</f>
        <v>0</v>
      </c>
      <c r="BL32">
        <f>SUMIFS(Detail!$AW:$AW,Detail!$G:$G,'Rates-Service Fees'!BL$23,Detail!$H:$H,'Rates-Service Fees'!BL$11)*100</f>
        <v>0</v>
      </c>
      <c r="BM32">
        <f>SUMIFS(Detail!$AW:$AW,Detail!$G:$G,'Rates-Service Fees'!BM$23,Detail!$H:$H,'Rates-Service Fees'!BM$11)*100</f>
        <v>0</v>
      </c>
      <c r="BN32">
        <f>SUMIFS(Detail!$AW:$AW,Detail!$G:$G,'Rates-Service Fees'!BN$23,Detail!$H:$H,'Rates-Service Fees'!BN$11)*100</f>
        <v>0</v>
      </c>
      <c r="BO32">
        <f>SUMIFS(Detail!$AW:$AW,Detail!$G:$G,'Rates-Service Fees'!BO$23,Detail!$H:$H,'Rates-Service Fees'!BO$11)*100</f>
        <v>0</v>
      </c>
      <c r="BP32">
        <f>SUMIFS(Detail!$AW:$AW,Detail!$G:$G,'Rates-Service Fees'!BP$23,Detail!$H:$H,'Rates-Service Fees'!BP$11)*100</f>
        <v>0</v>
      </c>
      <c r="BQ32">
        <f>SUMIFS(Detail!$AW:$AW,Detail!$G:$G,'Rates-Service Fees'!BQ$23,Detail!$H:$H,'Rates-Service Fees'!BQ$11)*100</f>
        <v>0</v>
      </c>
      <c r="BR32">
        <f>SUMIFS(Detail!$AW:$AW,Detail!$G:$G,'Rates-Service Fees'!BR$23,Detail!$H:$H,'Rates-Service Fees'!BR$11)*100</f>
        <v>0</v>
      </c>
      <c r="BS32">
        <f>SUMIFS(Detail!$AW:$AW,Detail!$G:$G,'Rates-Service Fees'!BS$23,Detail!$H:$H,'Rates-Service Fees'!BS$11)*100</f>
        <v>0</v>
      </c>
      <c r="BT32">
        <f>SUMIFS(Detail!$AW:$AW,Detail!$G:$G,'Rates-Service Fees'!BT$23,Detail!$H:$H,'Rates-Service Fees'!BT$11)*100</f>
        <v>0</v>
      </c>
      <c r="BU32">
        <f>SUMIFS(Detail!$AW:$AW,Detail!$G:$G,'Rates-Service Fees'!BU$23,Detail!$H:$H,'Rates-Service Fees'!BU$11)*100</f>
        <v>0</v>
      </c>
      <c r="BV32">
        <f>SUMIFS(Detail!$AW:$AW,Detail!$G:$G,'Rates-Service Fees'!BV$23,Detail!$H:$H,'Rates-Service Fees'!BV$11)*100</f>
        <v>0</v>
      </c>
      <c r="BW32">
        <f>SUMIFS(Detail!$AW:$AW,Detail!$G:$G,'Rates-Service Fees'!BW$23,Detail!$H:$H,'Rates-Service Fees'!BW$11)*100</f>
        <v>0</v>
      </c>
      <c r="BX32">
        <f>SUMIFS(Detail!$AW:$AW,Detail!$G:$G,'Rates-Service Fees'!BX$23,Detail!$H:$H,'Rates-Service Fees'!BX$11)*100</f>
        <v>0</v>
      </c>
      <c r="BY32">
        <f>SUMIFS(Detail!$AW:$AW,Detail!$G:$G,'Rates-Service Fees'!BY$23,Detail!$H:$H,'Rates-Service Fees'!BY$11)*100</f>
        <v>0</v>
      </c>
      <c r="BZ32">
        <f>SUMIFS(Detail!$AW:$AW,Detail!$G:$G,'Rates-Service Fees'!BZ$23,Detail!$H:$H,'Rates-Service Fees'!BZ$11)*100</f>
        <v>0</v>
      </c>
      <c r="CA32">
        <f>SUMIFS(Detail!$AW:$AW,Detail!$G:$G,'Rates-Service Fees'!CA$23,Detail!$H:$H,'Rates-Service Fees'!CA$11)*100</f>
        <v>0</v>
      </c>
      <c r="CB32">
        <f>SUMIFS(Detail!$AW:$AW,Detail!$G:$G,'Rates-Service Fees'!CB$23,Detail!$H:$H,'Rates-Service Fees'!CB$11)*100</f>
        <v>0</v>
      </c>
      <c r="CC32">
        <f>SUMIFS(Detail!$AW:$AW,Detail!$G:$G,'Rates-Service Fees'!CC$23,Detail!$H:$H,'Rates-Service Fees'!CC$11)*100</f>
        <v>0</v>
      </c>
      <c r="CD32">
        <f>SUMIFS(Detail!$AW:$AW,Detail!$G:$G,'Rates-Service Fees'!CD$23,Detail!$H:$H,'Rates-Service Fees'!CD$11)*100</f>
        <v>0</v>
      </c>
      <c r="CE32">
        <f>SUMIFS(Detail!$AW:$AW,Detail!$G:$G,'Rates-Service Fees'!CE$23,Detail!$H:$H,'Rates-Service Fees'!CE$11)*100</f>
        <v>0</v>
      </c>
      <c r="CF32">
        <f>SUMIFS(Detail!$AW:$AW,Detail!$G:$G,'Rates-Service Fees'!CF$23,Detail!$H:$H,'Rates-Service Fees'!CF$11)*100</f>
        <v>0</v>
      </c>
      <c r="CG32">
        <f>SUMIFS(Detail!$AW:$AW,Detail!$G:$G,'Rates-Service Fees'!CG$23,Detail!$H:$H,'Rates-Service Fees'!CG$11)*100</f>
        <v>0</v>
      </c>
      <c r="CH32">
        <f>SUMIFS(Detail!$AW:$AW,Detail!$G:$G,'Rates-Service Fees'!CH$23,Detail!$H:$H,'Rates-Service Fees'!CH$11)*100</f>
        <v>0</v>
      </c>
      <c r="CI32">
        <f>SUMIFS(Detail!$AW:$AW,Detail!$G:$G,'Rates-Service Fees'!CI$23,Detail!$H:$H,'Rates-Service Fees'!CI$11)*100</f>
        <v>0</v>
      </c>
      <c r="CJ32">
        <f>SUMIFS(Detail!$AW:$AW,Detail!$G:$G,'Rates-Service Fees'!CJ$23,Detail!$H:$H,'Rates-Service Fees'!CJ$11)*100</f>
        <v>0</v>
      </c>
      <c r="CK32">
        <f>SUMIFS(Detail!$AW:$AW,Detail!$G:$G,'Rates-Service Fees'!CK$23,Detail!$H:$H,'Rates-Service Fees'!CK$11)*100</f>
        <v>0</v>
      </c>
      <c r="CL32">
        <f>SUMIFS(Detail!$AW:$AW,Detail!$G:$G,'Rates-Service Fees'!CL$23,Detail!$H:$H,'Rates-Service Fees'!CL$11)*100</f>
        <v>0</v>
      </c>
      <c r="CM32">
        <f>SUMIFS(Detail!$AW:$AW,Detail!$G:$G,'Rates-Service Fees'!CM$23,Detail!$H:$H,'Rates-Service Fees'!CM$11)*100</f>
        <v>0</v>
      </c>
      <c r="CN32">
        <f>SUMIFS(Detail!$AW:$AW,Detail!$G:$G,'Rates-Service Fees'!CN$23,Detail!$H:$H,'Rates-Service Fees'!CN$11)*100</f>
        <v>0</v>
      </c>
      <c r="CO32">
        <f>SUMIFS(Detail!$AW:$AW,Detail!$G:$G,'Rates-Service Fees'!CO$23,Detail!$H:$H,'Rates-Service Fees'!CO$11)*100</f>
        <v>0</v>
      </c>
      <c r="CP32">
        <f>SUMIFS(Detail!$AW:$AW,Detail!$G:$G,'Rates-Service Fees'!CP$23,Detail!$H:$H,'Rates-Service Fees'!CP$11)*100</f>
        <v>0</v>
      </c>
      <c r="CQ32">
        <f>SUMIFS(Detail!$AW:$AW,Detail!$G:$G,'Rates-Service Fees'!CQ$23,Detail!$H:$H,'Rates-Service Fees'!CQ$11)*100</f>
        <v>0</v>
      </c>
      <c r="CR32">
        <f>SUMIFS(Detail!$AW:$AW,Detail!$G:$G,'Rates-Service Fees'!CR$23,Detail!$H:$H,'Rates-Service Fees'!CR$11)*100</f>
        <v>0</v>
      </c>
      <c r="CS32">
        <f>SUMIFS(Detail!$AW:$AW,Detail!$G:$G,'Rates-Service Fees'!CS$23,Detail!$H:$H,'Rates-Service Fees'!CS$11)*100</f>
        <v>0</v>
      </c>
      <c r="CT32">
        <f>SUMIFS(Detail!$AW:$AW,Detail!$G:$G,'Rates-Service Fees'!CT$23,Detail!$H:$H,'Rates-Service Fees'!CT$11)*100</f>
        <v>0</v>
      </c>
      <c r="CU32">
        <f>SUMIFS(Detail!$AW:$AW,Detail!$G:$G,'Rates-Service Fees'!CU$23,Detail!$H:$H,'Rates-Service Fees'!CU$11)*100</f>
        <v>0</v>
      </c>
      <c r="CV32">
        <f>SUMIFS(Detail!$AW:$AW,Detail!$G:$G,'Rates-Service Fees'!CV$23,Detail!$H:$H,'Rates-Service Fees'!CV$11)*100</f>
        <v>0</v>
      </c>
      <c r="CW32">
        <f>SUMIFS(Detail!$AW:$AW,Detail!$G:$G,'Rates-Service Fees'!CW$23,Detail!$H:$H,'Rates-Service Fees'!CW$11)*100</f>
        <v>0</v>
      </c>
      <c r="CX32">
        <f>SUMIFS(Detail!$AW:$AW,Detail!$G:$G,'Rates-Service Fees'!CX$23,Detail!$H:$H,'Rates-Service Fees'!CX$11)*100</f>
        <v>0</v>
      </c>
      <c r="CY32">
        <f>SUMIFS(Detail!$AW:$AW,Detail!$G:$G,'Rates-Service Fees'!CY$23,Detail!$H:$H,'Rates-Service Fees'!CY$11)*100</f>
        <v>0</v>
      </c>
      <c r="CZ32">
        <f>SUMIFS(Detail!$AW:$AW,Detail!$G:$G,'Rates-Service Fees'!CZ$23,Detail!$H:$H,'Rates-Service Fees'!CZ$11)*100</f>
        <v>0</v>
      </c>
      <c r="DA32">
        <f>SUMIFS(Detail!$AW:$AW,Detail!$G:$G,'Rates-Service Fees'!DA$23,Detail!$H:$H,'Rates-Service Fees'!DA$11)*100</f>
        <v>0</v>
      </c>
      <c r="DB32">
        <f>SUMIFS(Detail!$AW:$AW,Detail!$G:$G,'Rates-Service Fees'!DB$23,Detail!$H:$H,'Rates-Service Fees'!DB$11)*100</f>
        <v>0</v>
      </c>
      <c r="DC32">
        <f>SUMIFS(Detail!$AW:$AW,Detail!$G:$G,'Rates-Service Fees'!DC$23,Detail!$H:$H,'Rates-Service Fees'!DC$11)*100</f>
        <v>0</v>
      </c>
      <c r="DD32">
        <f>SUMIFS(Detail!$AW:$AW,Detail!$G:$G,'Rates-Service Fees'!DD$23,Detail!$H:$H,'Rates-Service Fees'!DD$11)*100</f>
        <v>0</v>
      </c>
      <c r="DE32">
        <f>SUMIFS(Detail!$AW:$AW,Detail!$G:$G,'Rates-Service Fees'!DE$23,Detail!$H:$H,'Rates-Service Fees'!DE$11)*100</f>
        <v>0</v>
      </c>
      <c r="DF32">
        <f>SUMIFS(Detail!$AW:$AW,Detail!$G:$G,'Rates-Service Fees'!DF$23,Detail!$H:$H,'Rates-Service Fees'!DF$11)*100</f>
        <v>0</v>
      </c>
      <c r="DG32">
        <f>SUMIFS(Detail!$AW:$AW,Detail!$G:$G,'Rates-Service Fees'!DG$23,Detail!$H:$H,'Rates-Service Fees'!DG$11)*100</f>
        <v>0</v>
      </c>
      <c r="DH32">
        <f>SUMIFS(Detail!$AW:$AW,Detail!$G:$G,'Rates-Service Fees'!DH$23,Detail!$H:$H,'Rates-Service Fees'!DH$11)*100</f>
        <v>0</v>
      </c>
      <c r="DI32">
        <f>SUMIFS(Detail!$AW:$AW,Detail!$G:$G,'Rates-Service Fees'!DI$23,Detail!$H:$H,'Rates-Service Fees'!DI$11)*100</f>
        <v>0</v>
      </c>
      <c r="DJ32">
        <f>SUMIFS(Detail!$AW:$AW,Detail!$G:$G,'Rates-Service Fees'!DJ$23,Detail!$H:$H,'Rates-Service Fees'!DJ$11)*100</f>
        <v>0</v>
      </c>
      <c r="DK32">
        <f>SUMIFS(Detail!$AW:$AW,Detail!$G:$G,'Rates-Service Fees'!DK$23,Detail!$H:$H,'Rates-Service Fees'!DK$11)*100</f>
        <v>0</v>
      </c>
      <c r="DL32">
        <f>SUMIFS(Detail!$AW:$AW,Detail!$G:$G,'Rates-Service Fees'!DL$23,Detail!$H:$H,'Rates-Service Fees'!DL$11)*100</f>
        <v>0</v>
      </c>
      <c r="DM32">
        <f>SUMIFS(Detail!$AW:$AW,Detail!$G:$G,'Rates-Service Fees'!DM$23,Detail!$H:$H,'Rates-Service Fees'!DM$11)*100</f>
        <v>0</v>
      </c>
      <c r="DN32">
        <f>SUMIFS(Detail!$AW:$AW,Detail!$G:$G,'Rates-Service Fees'!DN$23,Detail!$H:$H,'Rates-Service Fees'!DN$11)*100</f>
        <v>0</v>
      </c>
      <c r="DO32">
        <f>SUMIFS(Detail!$AW:$AW,Detail!$G:$G,'Rates-Service Fees'!DO$23,Detail!$H:$H,'Rates-Service Fees'!DO$11)*100</f>
        <v>0</v>
      </c>
      <c r="DP32">
        <f>SUMIFS(Detail!$AW:$AW,Detail!$G:$G,'Rates-Service Fees'!DP$23,Detail!$H:$H,'Rates-Service Fees'!DP$11)*100</f>
        <v>0</v>
      </c>
      <c r="DQ32">
        <f>SUMIFS(Detail!$AW:$AW,Detail!$G:$G,'Rates-Service Fees'!DQ$23,Detail!$H:$H,'Rates-Service Fees'!DQ$11)*100</f>
        <v>0</v>
      </c>
      <c r="DR32">
        <f>SUMIFS(Detail!$AW:$AW,Detail!$G:$G,'Rates-Service Fees'!DR$23,Detail!$H:$H,'Rates-Service Fees'!DR$11)*100</f>
        <v>0</v>
      </c>
      <c r="DS32">
        <f>SUMIFS(Detail!$AW:$AW,Detail!$G:$G,'Rates-Service Fees'!DS$23,Detail!$H:$H,'Rates-Service Fees'!DS$11)*100</f>
        <v>0</v>
      </c>
      <c r="DT32">
        <f>SUMIFS(Detail!$AW:$AW,Detail!$G:$G,'Rates-Service Fees'!DT$23,Detail!$H:$H,'Rates-Service Fees'!DT$11)*100</f>
        <v>0</v>
      </c>
      <c r="DU32">
        <f>SUMIFS(Detail!$AW:$AW,Detail!$G:$G,'Rates-Service Fees'!DU$23,Detail!$H:$H,'Rates-Service Fees'!DU$11)*100</f>
        <v>0</v>
      </c>
      <c r="DV32">
        <f>SUMIFS(Detail!$AW:$AW,Detail!$G:$G,'Rates-Service Fees'!DV$23,Detail!$H:$H,'Rates-Service Fees'!DV$11)*100</f>
        <v>0</v>
      </c>
      <c r="DW32">
        <f>SUMIFS(Detail!$AW:$AW,Detail!$G:$G,'Rates-Service Fees'!DW$23,Detail!$H:$H,'Rates-Service Fees'!DW$11)*100</f>
        <v>0</v>
      </c>
      <c r="DX32">
        <f>SUMIFS(Detail!$AW:$AW,Detail!$G:$G,'Rates-Service Fees'!DX$23,Detail!$H:$H,'Rates-Service Fees'!DX$11)*100</f>
        <v>0</v>
      </c>
      <c r="DY32">
        <f>SUMIFS(Detail!$AW:$AW,Detail!$G:$G,'Rates-Service Fees'!DY$23,Detail!$H:$H,'Rates-Service Fees'!DY$11)*100</f>
        <v>0</v>
      </c>
      <c r="DZ32">
        <f>SUMIFS(Detail!$AW:$AW,Detail!$G:$G,'Rates-Service Fees'!DZ$23,Detail!$H:$H,'Rates-Service Fees'!DZ$11)*100</f>
        <v>0</v>
      </c>
      <c r="EA32">
        <f>SUMIFS(Detail!$AW:$AW,Detail!$G:$G,'Rates-Service Fees'!EA$23,Detail!$H:$H,'Rates-Service Fees'!EA$11)*100</f>
        <v>0</v>
      </c>
      <c r="EB32">
        <f>SUMIFS(Detail!$AW:$AW,Detail!$G:$G,'Rates-Service Fees'!EB$23,Detail!$H:$H,'Rates-Service Fees'!EB$11)*100</f>
        <v>0</v>
      </c>
      <c r="EC32">
        <f>SUMIFS(Detail!$AW:$AW,Detail!$G:$G,'Rates-Service Fees'!EC$23,Detail!$H:$H,'Rates-Service Fees'!EC$11)*100</f>
        <v>0</v>
      </c>
      <c r="ED32">
        <f>SUMIFS(Detail!$AW:$AW,Detail!$G:$G,'Rates-Service Fees'!ED$23,Detail!$H:$H,'Rates-Service Fees'!ED$11)*100</f>
        <v>0</v>
      </c>
      <c r="EE32">
        <f>SUMIFS(Detail!$AW:$AW,Detail!$G:$G,'Rates-Service Fees'!EE$23,Detail!$H:$H,'Rates-Service Fees'!EE$11)*100</f>
        <v>0</v>
      </c>
      <c r="EF32">
        <f>SUMIFS(Detail!$AW:$AW,Detail!$G:$G,'Rates-Service Fees'!EF$23,Detail!$H:$H,'Rates-Service Fees'!EF$11)*100</f>
        <v>0</v>
      </c>
      <c r="EG32">
        <f>SUMIFS(Detail!$AW:$AW,Detail!$G:$G,'Rates-Service Fees'!EG$23,Detail!$H:$H,'Rates-Service Fees'!EG$11)*100</f>
        <v>0</v>
      </c>
      <c r="EH32">
        <f>SUMIFS(Detail!$AW:$AW,Detail!$G:$G,'Rates-Service Fees'!EH$23,Detail!$H:$H,'Rates-Service Fees'!EH$11)*100</f>
        <v>0</v>
      </c>
      <c r="EI32">
        <f>SUMIFS(Detail!$AW:$AW,Detail!$G:$G,'Rates-Service Fees'!EI$23,Detail!$H:$H,'Rates-Service Fees'!EI$11)*100</f>
        <v>0</v>
      </c>
      <c r="EJ32">
        <f>SUMIFS(Detail!$AW:$AW,Detail!$G:$G,'Rates-Service Fees'!EJ$23,Detail!$H:$H,'Rates-Service Fees'!EJ$11)*100</f>
        <v>0</v>
      </c>
      <c r="EK32">
        <f>SUMIFS(Detail!$AW:$AW,Detail!$G:$G,'Rates-Service Fees'!EK$23,Detail!$H:$H,'Rates-Service Fees'!EK$11)*100</f>
        <v>0</v>
      </c>
      <c r="EL32">
        <f>SUMIFS(Detail!$AW:$AW,Detail!$G:$G,'Rates-Service Fees'!EL$23,Detail!$H:$H,'Rates-Service Fees'!EL$11)*100</f>
        <v>0</v>
      </c>
      <c r="EM32">
        <f>SUMIFS(Detail!$AW:$AW,Detail!$G:$G,'Rates-Service Fees'!EM$23,Detail!$H:$H,'Rates-Service Fees'!EM$11)*100</f>
        <v>0</v>
      </c>
      <c r="EN32">
        <f>SUMIFS(Detail!$AW:$AW,Detail!$G:$G,'Rates-Service Fees'!EN$23,Detail!$H:$H,'Rates-Service Fees'!EN$11)*100</f>
        <v>0</v>
      </c>
      <c r="EO32">
        <f>SUMIFS(Detail!$AW:$AW,Detail!$G:$G,'Rates-Service Fees'!EO$23,Detail!$H:$H,'Rates-Service Fees'!EO$11)*100</f>
        <v>0</v>
      </c>
      <c r="EP32">
        <f>SUMIFS(Detail!$AW:$AW,Detail!$G:$G,'Rates-Service Fees'!EP$23,Detail!$H:$H,'Rates-Service Fees'!EP$11)*100</f>
        <v>0</v>
      </c>
      <c r="EQ32">
        <f>SUMIFS(Detail!$AW:$AW,Detail!$G:$G,'Rates-Service Fees'!EQ$23,Detail!$H:$H,'Rates-Service Fees'!EQ$11)*100</f>
        <v>0</v>
      </c>
      <c r="ER32">
        <f>SUMIFS(Detail!$AW:$AW,Detail!$G:$G,'Rates-Service Fees'!ER$23,Detail!$H:$H,'Rates-Service Fees'!ER$11)*100</f>
        <v>0</v>
      </c>
      <c r="ES32">
        <f>SUMIFS(Detail!$AW:$AW,Detail!$G:$G,'Rates-Service Fees'!ES$23,Detail!$H:$H,'Rates-Service Fees'!ES$11)*100</f>
        <v>0</v>
      </c>
      <c r="ET32">
        <f>SUMIFS(Detail!$AW:$AW,Detail!$G:$G,'Rates-Service Fees'!ET$23,Detail!$H:$H,'Rates-Service Fees'!ET$11)*100</f>
        <v>0</v>
      </c>
      <c r="EU32">
        <f>SUMIFS(Detail!$AW:$AW,Detail!$G:$G,'Rates-Service Fees'!EU$23,Detail!$H:$H,'Rates-Service Fees'!EU$11)*100</f>
        <v>0</v>
      </c>
      <c r="EV32">
        <f>SUMIFS(Detail!$AW:$AW,Detail!$G:$G,'Rates-Service Fees'!EV$23,Detail!$H:$H,'Rates-Service Fees'!EV$11)*100</f>
        <v>0</v>
      </c>
      <c r="EW32">
        <f>SUMIFS(Detail!$AW:$AW,Detail!$G:$G,'Rates-Service Fees'!EW$23,Detail!$H:$H,'Rates-Service Fees'!EW$11)*100</f>
        <v>0</v>
      </c>
      <c r="EX32">
        <f>SUMIFS(Detail!$AW:$AW,Detail!$G:$G,'Rates-Service Fees'!EX$23,Detail!$H:$H,'Rates-Service Fees'!EX$11)*100</f>
        <v>0</v>
      </c>
      <c r="EY32">
        <f>SUMIFS(Detail!$AW:$AW,Detail!$G:$G,'Rates-Service Fees'!EY$23,Detail!$H:$H,'Rates-Service Fees'!EY$11)*100</f>
        <v>0</v>
      </c>
      <c r="EZ32">
        <f>SUMIFS(Detail!$AW:$AW,Detail!$G:$G,'Rates-Service Fees'!EZ$23,Detail!$H:$H,'Rates-Service Fees'!EZ$11)*100</f>
        <v>0</v>
      </c>
      <c r="FA32">
        <f>SUMIFS(Detail!$AW:$AW,Detail!$G:$G,'Rates-Service Fees'!FA$23,Detail!$H:$H,'Rates-Service Fees'!FA$11)*100</f>
        <v>0</v>
      </c>
      <c r="FB32">
        <f>SUMIFS(Detail!$AW:$AW,Detail!$G:$G,'Rates-Service Fees'!FB$23,Detail!$H:$H,'Rates-Service Fees'!FB$11)*100</f>
        <v>0</v>
      </c>
      <c r="FC32">
        <f>SUMIFS(Detail!$AW:$AW,Detail!$G:$G,'Rates-Service Fees'!FC$23,Detail!$H:$H,'Rates-Service Fees'!FC$11)*100</f>
        <v>0</v>
      </c>
      <c r="FD32">
        <f>SUMIFS(Detail!$AW:$AW,Detail!$G:$G,'Rates-Service Fees'!FD$23,Detail!$H:$H,'Rates-Service Fees'!FD$11)*100</f>
        <v>0</v>
      </c>
      <c r="FE32">
        <f>SUMIFS(Detail!$AW:$AW,Detail!$G:$G,'Rates-Service Fees'!FE$23,Detail!$H:$H,'Rates-Service Fees'!FE$11)*100</f>
        <v>0</v>
      </c>
      <c r="FF32">
        <f>SUMIFS(Detail!$AW:$AW,Detail!$G:$G,'Rates-Service Fees'!FF$23,Detail!$H:$H,'Rates-Service Fees'!FF$11)*100</f>
        <v>0</v>
      </c>
      <c r="FG32">
        <f>SUMIFS(Detail!$AW:$AW,Detail!$G:$G,'Rates-Service Fees'!FG$23,Detail!$H:$H,'Rates-Service Fees'!FG$11)*100</f>
        <v>0</v>
      </c>
      <c r="FH32">
        <f>SUMIFS(Detail!$AW:$AW,Detail!$G:$G,'Rates-Service Fees'!FH$23,Detail!$H:$H,'Rates-Service Fees'!FH$11)*100</f>
        <v>0</v>
      </c>
      <c r="FI32">
        <f>SUMIFS(Detail!$AW:$AW,Detail!$G:$G,'Rates-Service Fees'!FI$23,Detail!$H:$H,'Rates-Service Fees'!FI$11)*100</f>
        <v>0</v>
      </c>
      <c r="FJ32">
        <f>SUMIFS(Detail!$AW:$AW,Detail!$G:$G,'Rates-Service Fees'!FJ$23,Detail!$H:$H,'Rates-Service Fees'!FJ$11)*100</f>
        <v>0</v>
      </c>
      <c r="FK32">
        <f>SUMIFS(Detail!$AW:$AW,Detail!$G:$G,'Rates-Service Fees'!FK$23,Detail!$H:$H,'Rates-Service Fees'!FK$11)*100</f>
        <v>0</v>
      </c>
      <c r="FL32">
        <f>SUMIFS(Detail!$AW:$AW,Detail!$G:$G,'Rates-Service Fees'!FL$23,Detail!$H:$H,'Rates-Service Fees'!FL$11)*100</f>
        <v>0</v>
      </c>
      <c r="FM32">
        <f>SUMIFS(Detail!$AW:$AW,Detail!$G:$G,'Rates-Service Fees'!FM$23,Detail!$H:$H,'Rates-Service Fees'!FM$11)*100</f>
        <v>0</v>
      </c>
      <c r="FN32">
        <f>SUMIFS(Detail!$AW:$AW,Detail!$G:$G,'Rates-Service Fees'!FN$23,Detail!$H:$H,'Rates-Service Fees'!FN$11)*100</f>
        <v>0</v>
      </c>
      <c r="FO32">
        <f>SUMIFS(Detail!$AW:$AW,Detail!$G:$G,'Rates-Service Fees'!FO$23,Detail!$H:$H,'Rates-Service Fees'!FO$11)*100</f>
        <v>0</v>
      </c>
      <c r="FP32">
        <f>SUMIFS(Detail!$AW:$AW,Detail!$G:$G,'Rates-Service Fees'!FP$23,Detail!$H:$H,'Rates-Service Fees'!FP$11)*100</f>
        <v>0</v>
      </c>
      <c r="FQ32">
        <f>SUMIFS(Detail!$AW:$AW,Detail!$G:$G,'Rates-Service Fees'!FQ$23,Detail!$H:$H,'Rates-Service Fees'!FQ$11)*100</f>
        <v>0</v>
      </c>
      <c r="FR32">
        <f>SUMIFS(Detail!$AW:$AW,Detail!$G:$G,'Rates-Service Fees'!FR$23,Detail!$H:$H,'Rates-Service Fees'!FR$11)*100</f>
        <v>0</v>
      </c>
      <c r="FS32">
        <f>SUMIFS(Detail!$AW:$AW,Detail!$G:$G,'Rates-Service Fees'!FS$23,Detail!$H:$H,'Rates-Service Fees'!FS$11)*100</f>
        <v>0</v>
      </c>
      <c r="FT32">
        <f>SUMIFS(Detail!$AW:$AW,Detail!$G:$G,'Rates-Service Fees'!FT$23,Detail!$H:$H,'Rates-Service Fees'!FT$11)*100</f>
        <v>0</v>
      </c>
      <c r="FU32">
        <f>SUMIFS(Detail!$AW:$AW,Detail!$G:$G,'Rates-Service Fees'!FU$23,Detail!$H:$H,'Rates-Service Fees'!FU$11)*100</f>
        <v>0</v>
      </c>
      <c r="FV32">
        <f>SUMIFS(Detail!$AW:$AW,Detail!$G:$G,'Rates-Service Fees'!FV$23,Detail!$H:$H,'Rates-Service Fees'!FV$11)*100</f>
        <v>0</v>
      </c>
      <c r="FW32">
        <f>SUMIFS(Detail!$AW:$AW,Detail!$G:$G,'Rates-Service Fees'!FW$23,Detail!$H:$H,'Rates-Service Fees'!FW$11)*100</f>
        <v>0</v>
      </c>
      <c r="FX32">
        <f>SUMIFS(Detail!$AW:$AW,Detail!$G:$G,'Rates-Service Fees'!FX$23,Detail!$H:$H,'Rates-Service Fees'!FX$11)*100</f>
        <v>0</v>
      </c>
      <c r="FY32">
        <f>SUMIFS(Detail!$AW:$AW,Detail!$G:$G,'Rates-Service Fees'!FY$23,Detail!$H:$H,'Rates-Service Fees'!FY$11)*100</f>
        <v>0</v>
      </c>
      <c r="FZ32">
        <f>SUMIFS(Detail!$AW:$AW,Detail!$G:$G,'Rates-Service Fees'!FZ$23,Detail!$H:$H,'Rates-Service Fees'!FZ$11)*100</f>
        <v>0</v>
      </c>
      <c r="GA32">
        <f>SUMIFS(Detail!$AW:$AW,Detail!$G:$G,'Rates-Service Fees'!GA$23,Detail!$H:$H,'Rates-Service Fees'!GA$11)*100</f>
        <v>0</v>
      </c>
      <c r="GB32">
        <f>SUMIFS(Detail!$AW:$AW,Detail!$G:$G,'Rates-Service Fees'!GB$23,Detail!$H:$H,'Rates-Service Fees'!GB$11)*100</f>
        <v>0</v>
      </c>
      <c r="GC32">
        <f>SUMIFS(Detail!$AW:$AW,Detail!$G:$G,'Rates-Service Fees'!GC$23,Detail!$H:$H,'Rates-Service Fees'!GC$11)*100</f>
        <v>0</v>
      </c>
      <c r="GD32">
        <f>SUMIFS(Detail!$AW:$AW,Detail!$G:$G,'Rates-Service Fees'!GD$23,Detail!$H:$H,'Rates-Service Fees'!GD$11)*100</f>
        <v>0</v>
      </c>
      <c r="GE32">
        <f>SUMIFS(Detail!$AW:$AW,Detail!$G:$G,'Rates-Service Fees'!GE$23,Detail!$H:$H,'Rates-Service Fees'!GE$11)*100</f>
        <v>0</v>
      </c>
      <c r="GF32">
        <f>SUMIFS(Detail!$AW:$AW,Detail!$G:$G,'Rates-Service Fees'!GF$23,Detail!$H:$H,'Rates-Service Fees'!GF$11)*100</f>
        <v>0</v>
      </c>
      <c r="GG32">
        <f>SUMIFS(Detail!$AW:$AW,Detail!$G:$G,'Rates-Service Fees'!GG$23,Detail!$H:$H,'Rates-Service Fees'!GG$11)*100</f>
        <v>0</v>
      </c>
      <c r="GH32">
        <f>SUMIFS(Detail!$AW:$AW,Detail!$G:$G,'Rates-Service Fees'!GH$23,Detail!$H:$H,'Rates-Service Fees'!GH$11)*100</f>
        <v>0</v>
      </c>
      <c r="GI32">
        <f>SUMIFS(Detail!$AW:$AW,Detail!$G:$G,'Rates-Service Fees'!GI$23,Detail!$H:$H,'Rates-Service Fees'!GI$11)*100</f>
        <v>0</v>
      </c>
      <c r="GJ32">
        <f>SUMIFS(Detail!$AW:$AW,Detail!$G:$G,'Rates-Service Fees'!GJ$23,Detail!$H:$H,'Rates-Service Fees'!GJ$11)*100</f>
        <v>0</v>
      </c>
      <c r="GK32">
        <f>SUMIFS(Detail!$AW:$AW,Detail!$G:$G,'Rates-Service Fees'!GK$23,Detail!$H:$H,'Rates-Service Fees'!GK$11)*100</f>
        <v>0</v>
      </c>
      <c r="GL32">
        <f>SUMIFS(Detail!$AW:$AW,Detail!$G:$G,'Rates-Service Fees'!GL$23,Detail!$H:$H,'Rates-Service Fees'!GL$11)*100</f>
        <v>0</v>
      </c>
      <c r="GM32">
        <f>SUMIFS(Detail!$AW:$AW,Detail!$G:$G,'Rates-Service Fees'!GM$23,Detail!$H:$H,'Rates-Service Fees'!GM$11)*100</f>
        <v>0</v>
      </c>
      <c r="GN32">
        <f>SUMIFS(Detail!$AW:$AW,Detail!$G:$G,'Rates-Service Fees'!GN$23,Detail!$H:$H,'Rates-Service Fees'!GN$11)*100</f>
        <v>0</v>
      </c>
      <c r="GO32">
        <f>SUMIFS(Detail!$AW:$AW,Detail!$G:$G,'Rates-Service Fees'!GO$23,Detail!$H:$H,'Rates-Service Fees'!GO$11)*100</f>
        <v>0</v>
      </c>
      <c r="GP32">
        <f>SUMIFS(Detail!$AW:$AW,Detail!$G:$G,'Rates-Service Fees'!GP$23,Detail!$H:$H,'Rates-Service Fees'!GP$11)*100</f>
        <v>0</v>
      </c>
      <c r="GQ32">
        <f>SUMIFS(Detail!$AW:$AW,Detail!$G:$G,'Rates-Service Fees'!GQ$23,Detail!$H:$H,'Rates-Service Fees'!GQ$11)*100</f>
        <v>0</v>
      </c>
      <c r="GR32">
        <f>SUMIFS(Detail!$AW:$AW,Detail!$G:$G,'Rates-Service Fees'!GR$23,Detail!$H:$H,'Rates-Service Fees'!GR$11)*100</f>
        <v>0</v>
      </c>
      <c r="GS32">
        <f>SUMIFS(Detail!$AW:$AW,Detail!$G:$G,'Rates-Service Fees'!GS$23,Detail!$H:$H,'Rates-Service Fees'!GS$11)*100</f>
        <v>0</v>
      </c>
      <c r="GT32">
        <f>SUMIFS(Detail!$AW:$AW,Detail!$G:$G,'Rates-Service Fees'!GT$23,Detail!$H:$H,'Rates-Service Fees'!GT$11)*100</f>
        <v>0</v>
      </c>
      <c r="GU32">
        <f>SUMIFS(Detail!$AW:$AW,Detail!$G:$G,'Rates-Service Fees'!GU$23,Detail!$H:$H,'Rates-Service Fees'!GU$11)*100</f>
        <v>0</v>
      </c>
      <c r="GV32">
        <f>SUMIFS(Detail!$AW:$AW,Detail!$G:$G,'Rates-Service Fees'!GV$23,Detail!$H:$H,'Rates-Service Fees'!GV$11)*100</f>
        <v>0</v>
      </c>
      <c r="GW32">
        <f>SUMIFS(Detail!$AW:$AW,Detail!$G:$G,'Rates-Service Fees'!GW$23,Detail!$H:$H,'Rates-Service Fees'!GW$11)*100</f>
        <v>0</v>
      </c>
      <c r="GX32">
        <f>SUMIFS(Detail!$AW:$AW,Detail!$G:$G,'Rates-Service Fees'!GX$23,Detail!$H:$H,'Rates-Service Fees'!GX$11)*100</f>
        <v>0</v>
      </c>
      <c r="GY32">
        <f>SUMIFS(Detail!$AW:$AW,Detail!$G:$G,'Rates-Service Fees'!GY$23,Detail!$H:$H,'Rates-Service Fees'!GY$11)*100</f>
        <v>0</v>
      </c>
      <c r="GZ32">
        <f>SUMIFS(Detail!$AW:$AW,Detail!$G:$G,'Rates-Service Fees'!GZ$23,Detail!$H:$H,'Rates-Service Fees'!GZ$11)*100</f>
        <v>0</v>
      </c>
      <c r="HA32">
        <f>SUMIFS(Detail!$AW:$AW,Detail!$G:$G,'Rates-Service Fees'!HA$23,Detail!$H:$H,'Rates-Service Fees'!HA$11)*100</f>
        <v>0</v>
      </c>
      <c r="HB32">
        <f>SUMIFS(Detail!$AW:$AW,Detail!$G:$G,'Rates-Service Fees'!HB$23,Detail!$H:$H,'Rates-Service Fees'!HB$11)*100</f>
        <v>0</v>
      </c>
      <c r="HC32">
        <f>SUMIFS(Detail!$AW:$AW,Detail!$G:$G,'Rates-Service Fees'!HC$23,Detail!$H:$H,'Rates-Service Fees'!HC$11)*100</f>
        <v>0</v>
      </c>
      <c r="HD32">
        <f>SUMIFS(Detail!$AW:$AW,Detail!$G:$G,'Rates-Service Fees'!HD$23,Detail!$H:$H,'Rates-Service Fees'!HD$11)*100</f>
        <v>0</v>
      </c>
      <c r="HE32">
        <f>SUMIFS(Detail!$AW:$AW,Detail!$G:$G,'Rates-Service Fees'!HE$23,Detail!$H:$H,'Rates-Service Fees'!HE$11)*100</f>
        <v>0</v>
      </c>
      <c r="HF32">
        <f>SUMIFS(Detail!$AW:$AW,Detail!$G:$G,'Rates-Service Fees'!HF$23,Detail!$H:$H,'Rates-Service Fees'!HF$11)*100</f>
        <v>0</v>
      </c>
      <c r="HG32">
        <f>SUMIFS(Detail!$AW:$AW,Detail!$G:$G,'Rates-Service Fees'!HG$23,Detail!$H:$H,'Rates-Service Fees'!HG$11)*100</f>
        <v>0</v>
      </c>
      <c r="HH32">
        <f>SUMIFS(Detail!$AW:$AW,Detail!$G:$G,'Rates-Service Fees'!HH$23,Detail!$H:$H,'Rates-Service Fees'!HH$11)*100</f>
        <v>0</v>
      </c>
      <c r="HI32">
        <f>SUMIFS(Detail!$AW:$AW,Detail!$G:$G,'Rates-Service Fees'!HI$23,Detail!$H:$H,'Rates-Service Fees'!HI$11)*100</f>
        <v>0</v>
      </c>
      <c r="HJ32">
        <f>SUMIFS(Detail!$AW:$AW,Detail!$G:$G,'Rates-Service Fees'!HJ$23,Detail!$H:$H,'Rates-Service Fees'!HJ$11)*100</f>
        <v>0</v>
      </c>
      <c r="HK32">
        <f>SUMIFS(Detail!$AW:$AW,Detail!$G:$G,'Rates-Service Fees'!HK$23,Detail!$H:$H,'Rates-Service Fees'!HK$11)*100</f>
        <v>0</v>
      </c>
      <c r="HL32">
        <f>SUMIFS(Detail!$AW:$AW,Detail!$G:$G,'Rates-Service Fees'!HL$23,Detail!$H:$H,'Rates-Service Fees'!HL$11)*100</f>
        <v>0</v>
      </c>
      <c r="HM32">
        <f>SUMIFS(Detail!$AW:$AW,Detail!$G:$G,'Rates-Service Fees'!HM$23,Detail!$H:$H,'Rates-Service Fees'!HM$11)*100</f>
        <v>0</v>
      </c>
      <c r="HN32">
        <f>SUMIFS(Detail!$AW:$AW,Detail!$G:$G,'Rates-Service Fees'!HN$23,Detail!$H:$H,'Rates-Service Fees'!HN$11)*100</f>
        <v>0</v>
      </c>
      <c r="HO32">
        <f>SUMIFS(Detail!$AW:$AW,Detail!$G:$G,'Rates-Service Fees'!HO$23,Detail!$H:$H,'Rates-Service Fees'!HO$11)*100</f>
        <v>0</v>
      </c>
      <c r="HP32">
        <f>SUMIFS(Detail!$AW:$AW,Detail!$G:$G,'Rates-Service Fees'!HP$23,Detail!$H:$H,'Rates-Service Fees'!HP$11)*100</f>
        <v>0</v>
      </c>
      <c r="HQ32">
        <f>SUMIFS(Detail!$AW:$AW,Detail!$G:$G,'Rates-Service Fees'!HQ$23,Detail!$H:$H,'Rates-Service Fees'!HQ$11)*100</f>
        <v>0</v>
      </c>
      <c r="HR32">
        <f>SUMIFS(Detail!$AW:$AW,Detail!$G:$G,'Rates-Service Fees'!HR$23,Detail!$H:$H,'Rates-Service Fees'!HR$11)*100</f>
        <v>0</v>
      </c>
      <c r="HS32">
        <f>SUMIFS(Detail!$AW:$AW,Detail!$G:$G,'Rates-Service Fees'!HS$23,Detail!$H:$H,'Rates-Service Fees'!HS$11)*100</f>
        <v>0</v>
      </c>
      <c r="HT32">
        <f>SUMIFS(Detail!$AW:$AW,Detail!$G:$G,'Rates-Service Fees'!HT$23,Detail!$H:$H,'Rates-Service Fees'!HT$11)*100</f>
        <v>0</v>
      </c>
      <c r="HU32">
        <f>SUMIFS(Detail!$AW:$AW,Detail!$G:$G,'Rates-Service Fees'!HU$23,Detail!$H:$H,'Rates-Service Fees'!HU$11)*100</f>
        <v>0</v>
      </c>
      <c r="HV32">
        <f>SUMIFS(Detail!$AW:$AW,Detail!$G:$G,'Rates-Service Fees'!HV$23,Detail!$H:$H,'Rates-Service Fees'!HV$11)*100</f>
        <v>0</v>
      </c>
      <c r="HW32">
        <f>SUMIFS(Detail!$AW:$AW,Detail!$G:$G,'Rates-Service Fees'!HW$23,Detail!$H:$H,'Rates-Service Fees'!HW$11)*100</f>
        <v>0</v>
      </c>
      <c r="HX32">
        <f>SUMIFS(Detail!$AW:$AW,Detail!$G:$G,'Rates-Service Fees'!HX$23,Detail!$H:$H,'Rates-Service Fees'!HX$11)*100</f>
        <v>0</v>
      </c>
      <c r="HY32">
        <f>SUMIFS(Detail!$AW:$AW,Detail!$G:$G,'Rates-Service Fees'!HY$23,Detail!$H:$H,'Rates-Service Fees'!HY$11)*100</f>
        <v>0</v>
      </c>
      <c r="HZ32">
        <f>SUMIFS(Detail!$AW:$AW,Detail!$G:$G,'Rates-Service Fees'!HZ$23,Detail!$H:$H,'Rates-Service Fees'!HZ$11)*100</f>
        <v>0</v>
      </c>
      <c r="IA32">
        <f>SUMIFS(Detail!$AW:$AW,Detail!$G:$G,'Rates-Service Fees'!IA$23,Detail!$H:$H,'Rates-Service Fees'!IA$11)*100</f>
        <v>0</v>
      </c>
      <c r="IB32">
        <f>SUMIFS(Detail!$AW:$AW,Detail!$G:$G,'Rates-Service Fees'!IB$23,Detail!$H:$H,'Rates-Service Fees'!IB$11)*100</f>
        <v>0</v>
      </c>
      <c r="IC32">
        <f>SUMIFS(Detail!$AW:$AW,Detail!$G:$G,'Rates-Service Fees'!IC$23,Detail!$H:$H,'Rates-Service Fees'!IC$11)*100</f>
        <v>0</v>
      </c>
      <c r="ID32">
        <f>SUMIFS(Detail!$AW:$AW,Detail!$G:$G,'Rates-Service Fees'!ID$23,Detail!$H:$H,'Rates-Service Fees'!ID$11)*100</f>
        <v>0</v>
      </c>
      <c r="IE32">
        <f>SUMIFS(Detail!$AW:$AW,Detail!$G:$G,'Rates-Service Fees'!IE$23,Detail!$H:$H,'Rates-Service Fees'!IE$11)*100</f>
        <v>0</v>
      </c>
      <c r="IF32">
        <f>SUMIFS(Detail!$AW:$AW,Detail!$G:$G,'Rates-Service Fees'!IF$23,Detail!$H:$H,'Rates-Service Fees'!IF$11)*100</f>
        <v>0</v>
      </c>
      <c r="IG32">
        <f>SUMIFS(Detail!$AW:$AW,Detail!$G:$G,'Rates-Service Fees'!IG$23,Detail!$H:$H,'Rates-Service Fees'!IG$11)*100</f>
        <v>0</v>
      </c>
      <c r="IH32">
        <f>SUMIFS(Detail!$AW:$AW,Detail!$G:$G,'Rates-Service Fees'!IH$23,Detail!$H:$H,'Rates-Service Fees'!IH$11)*100</f>
        <v>0</v>
      </c>
      <c r="II32">
        <f>SUMIFS(Detail!$AW:$AW,Detail!$G:$G,'Rates-Service Fees'!II$23,Detail!$H:$H,'Rates-Service Fees'!II$11)*100</f>
        <v>0</v>
      </c>
      <c r="IJ32">
        <f>SUMIFS(Detail!$AW:$AW,Detail!$G:$G,'Rates-Service Fees'!IJ$23,Detail!$H:$H,'Rates-Service Fees'!IJ$11)*100</f>
        <v>0</v>
      </c>
      <c r="IK32">
        <f>SUMIFS(Detail!$AW:$AW,Detail!$G:$G,'Rates-Service Fees'!IK$23,Detail!$H:$H,'Rates-Service Fees'!IK$11)*100</f>
        <v>0</v>
      </c>
      <c r="IL32">
        <f>SUMIFS(Detail!$AW:$AW,Detail!$G:$G,'Rates-Service Fees'!IL$23,Detail!$H:$H,'Rates-Service Fees'!IL$11)*100</f>
        <v>0</v>
      </c>
      <c r="IM32">
        <f>SUMIFS(Detail!$AW:$AW,Detail!$G:$G,'Rates-Service Fees'!IM$23,Detail!$H:$H,'Rates-Service Fees'!IM$11)*100</f>
        <v>0</v>
      </c>
      <c r="IN32">
        <f>SUMIFS(Detail!$AW:$AW,Detail!$G:$G,'Rates-Service Fees'!IN$23,Detail!$H:$H,'Rates-Service Fees'!IN$11)*100</f>
        <v>0</v>
      </c>
      <c r="IO32">
        <f>SUMIFS(Detail!$AW:$AW,Detail!$G:$G,'Rates-Service Fees'!IO$23,Detail!$H:$H,'Rates-Service Fees'!IO$11)*100</f>
        <v>0</v>
      </c>
      <c r="IP32">
        <f>SUMIFS(Detail!$AW:$AW,Detail!$G:$G,'Rates-Service Fees'!IP$23,Detail!$H:$H,'Rates-Service Fees'!IP$11)*100</f>
        <v>0</v>
      </c>
      <c r="IQ32">
        <f>SUMIFS(Detail!$AW:$AW,Detail!$G:$G,'Rates-Service Fees'!IQ$23,Detail!$H:$H,'Rates-Service Fees'!IQ$11)*100</f>
        <v>0</v>
      </c>
      <c r="IR32">
        <f>SUMIFS(Detail!$AW:$AW,Detail!$G:$G,'Rates-Service Fees'!IR$23,Detail!$H:$H,'Rates-Service Fees'!IR$11)*100</f>
        <v>0</v>
      </c>
      <c r="IS32">
        <f>SUMIFS(Detail!$AW:$AW,Detail!$G:$G,'Rates-Service Fees'!IS$23,Detail!$H:$H,'Rates-Service Fees'!IS$11)*100</f>
        <v>0</v>
      </c>
      <c r="IT32">
        <f>SUMIFS(Detail!$AW:$AW,Detail!$G:$G,'Rates-Service Fees'!IT$23,Detail!$H:$H,'Rates-Service Fees'!IT$11)*100</f>
        <v>0</v>
      </c>
      <c r="IU32">
        <f>SUMIFS(Detail!$AW:$AW,Detail!$G:$G,'Rates-Service Fees'!IU$23,Detail!$H:$H,'Rates-Service Fees'!IU$11)*100</f>
        <v>0</v>
      </c>
      <c r="IV32">
        <f>SUMIFS(Detail!$AW:$AW,Detail!$G:$G,'Rates-Service Fees'!IV$23,Detail!$H:$H,'Rates-Service Fees'!IV$11)*100</f>
        <v>0</v>
      </c>
      <c r="IW32">
        <f>SUMIFS(Detail!$AW:$AW,Detail!$G:$G,'Rates-Service Fees'!IW$23,Detail!$H:$H,'Rates-Service Fees'!IW$11)*100</f>
        <v>0</v>
      </c>
      <c r="IX32">
        <f>SUMIFS(Detail!$AW:$AW,Detail!$G:$G,'Rates-Service Fees'!IX$23,Detail!$H:$H,'Rates-Service Fees'!IX$11)*100</f>
        <v>0</v>
      </c>
      <c r="IY32">
        <f>SUMIFS(Detail!$AW:$AW,Detail!$G:$G,'Rates-Service Fees'!IY$23,Detail!$H:$H,'Rates-Service Fees'!IY$11)*100</f>
        <v>0</v>
      </c>
      <c r="IZ32">
        <f>SUMIFS(Detail!$AW:$AW,Detail!$G:$G,'Rates-Service Fees'!IZ$23,Detail!$H:$H,'Rates-Service Fees'!IZ$11)*100</f>
        <v>0</v>
      </c>
      <c r="JA32">
        <f>SUMIFS(Detail!$AW:$AW,Detail!$G:$G,'Rates-Service Fees'!JA$23,Detail!$H:$H,'Rates-Service Fees'!JA$11)*100</f>
        <v>0</v>
      </c>
      <c r="JB32">
        <f>SUMIFS(Detail!$AW:$AW,Detail!$G:$G,'Rates-Service Fees'!JB$23,Detail!$H:$H,'Rates-Service Fees'!JB$11)*100</f>
        <v>0</v>
      </c>
      <c r="JC32">
        <f>SUMIFS(Detail!$AW:$AW,Detail!$G:$G,'Rates-Service Fees'!JC$23,Detail!$H:$H,'Rates-Service Fees'!JC$11)*100</f>
        <v>0</v>
      </c>
      <c r="JD32">
        <f>SUMIFS(Detail!$AW:$AW,Detail!$G:$G,'Rates-Service Fees'!JD$23,Detail!$H:$H,'Rates-Service Fees'!JD$11)*100</f>
        <v>0</v>
      </c>
      <c r="JE32">
        <f>SUMIFS(Detail!$AW:$AW,Detail!$G:$G,'Rates-Service Fees'!JE$23,Detail!$H:$H,'Rates-Service Fees'!JE$11)*100</f>
        <v>0</v>
      </c>
      <c r="JF32">
        <f>SUMIFS(Detail!$AW:$AW,Detail!$G:$G,'Rates-Service Fees'!JF$23,Detail!$H:$H,'Rates-Service Fees'!JF$11)*100</f>
        <v>0</v>
      </c>
      <c r="JG32">
        <f>SUMIFS(Detail!$AW:$AW,Detail!$G:$G,'Rates-Service Fees'!JG$23,Detail!$H:$H,'Rates-Service Fees'!JG$11)*100</f>
        <v>0</v>
      </c>
      <c r="JH32">
        <f>SUMIFS(Detail!$AW:$AW,Detail!$G:$G,'Rates-Service Fees'!JH$23,Detail!$H:$H,'Rates-Service Fees'!JH$11)*100</f>
        <v>0</v>
      </c>
      <c r="JI32">
        <f>SUMIFS(Detail!$AW:$AW,Detail!$G:$G,'Rates-Service Fees'!JI$23,Detail!$H:$H,'Rates-Service Fees'!JI$11)*100</f>
        <v>0</v>
      </c>
      <c r="JJ32">
        <f>SUMIFS(Detail!$AW:$AW,Detail!$G:$G,'Rates-Service Fees'!JJ$23,Detail!$H:$H,'Rates-Service Fees'!JJ$11)*100</f>
        <v>0</v>
      </c>
      <c r="JK32">
        <f>SUMIFS(Detail!$AW:$AW,Detail!$G:$G,'Rates-Service Fees'!JK$23,Detail!$H:$H,'Rates-Service Fees'!JK$11)*100</f>
        <v>0</v>
      </c>
      <c r="JL32">
        <f>SUMIFS(Detail!$AW:$AW,Detail!$G:$G,'Rates-Service Fees'!JL$23,Detail!$H:$H,'Rates-Service Fees'!JL$11)*100</f>
        <v>0</v>
      </c>
      <c r="JM32">
        <f>SUMIFS(Detail!$AW:$AW,Detail!$G:$G,'Rates-Service Fees'!JM$23,Detail!$H:$H,'Rates-Service Fees'!JM$11)*100</f>
        <v>0</v>
      </c>
      <c r="JN32">
        <f>SUMIFS(Detail!$AW:$AW,Detail!$G:$G,'Rates-Service Fees'!JN$23,Detail!$H:$H,'Rates-Service Fees'!JN$11)*100</f>
        <v>0</v>
      </c>
      <c r="JO32">
        <f>SUMIFS(Detail!$AW:$AW,Detail!$G:$G,'Rates-Service Fees'!JO$23,Detail!$H:$H,'Rates-Service Fees'!JO$11)*100</f>
        <v>0</v>
      </c>
      <c r="JP32">
        <f>SUMIFS(Detail!$AW:$AW,Detail!$G:$G,'Rates-Service Fees'!JP$23,Detail!$H:$H,'Rates-Service Fees'!JP$11)*100</f>
        <v>0</v>
      </c>
      <c r="JQ32">
        <f>SUMIFS(Detail!$AW:$AW,Detail!$G:$G,'Rates-Service Fees'!JQ$23,Detail!$H:$H,'Rates-Service Fees'!JQ$11)*100</f>
        <v>0</v>
      </c>
      <c r="JR32">
        <f>SUMIFS(Detail!$AW:$AW,Detail!$G:$G,'Rates-Service Fees'!JR$23,Detail!$H:$H,'Rates-Service Fees'!JR$11)*100</f>
        <v>0</v>
      </c>
      <c r="JS32">
        <f>SUMIFS(Detail!$AW:$AW,Detail!$G:$G,'Rates-Service Fees'!JS$23,Detail!$H:$H,'Rates-Service Fees'!JS$11)*100</f>
        <v>0</v>
      </c>
      <c r="JT32">
        <f>SUMIFS(Detail!$AW:$AW,Detail!$G:$G,'Rates-Service Fees'!JT$23,Detail!$H:$H,'Rates-Service Fees'!JT$11)*100</f>
        <v>0</v>
      </c>
      <c r="JU32">
        <f>SUMIFS(Detail!$AW:$AW,Detail!$G:$G,'Rates-Service Fees'!JU$23,Detail!$H:$H,'Rates-Service Fees'!JU$11)*100</f>
        <v>0</v>
      </c>
      <c r="JV32">
        <f>SUMIFS(Detail!$AW:$AW,Detail!$G:$G,'Rates-Service Fees'!JV$23,Detail!$H:$H,'Rates-Service Fees'!JV$11)*100</f>
        <v>0</v>
      </c>
      <c r="JW32">
        <f>SUMIFS(Detail!$AW:$AW,Detail!$G:$G,'Rates-Service Fees'!JW$23,Detail!$H:$H,'Rates-Service Fees'!JW$11)*100</f>
        <v>0</v>
      </c>
      <c r="JX32">
        <f>SUMIFS(Detail!$AW:$AW,Detail!$G:$G,'Rates-Service Fees'!JX$23,Detail!$H:$H,'Rates-Service Fees'!JX$11)*100</f>
        <v>0</v>
      </c>
      <c r="JY32">
        <f>SUMIFS(Detail!$AW:$AW,Detail!$G:$G,'Rates-Service Fees'!JY$23,Detail!$H:$H,'Rates-Service Fees'!JY$11)*100</f>
        <v>0</v>
      </c>
      <c r="JZ32">
        <f>SUMIFS(Detail!$AW:$AW,Detail!$G:$G,'Rates-Service Fees'!JZ$23,Detail!$H:$H,'Rates-Service Fees'!JZ$11)*100</f>
        <v>0</v>
      </c>
      <c r="KA32">
        <f>SUMIFS(Detail!$AW:$AW,Detail!$G:$G,'Rates-Service Fees'!KA$23,Detail!$H:$H,'Rates-Service Fees'!KA$11)*100</f>
        <v>0</v>
      </c>
      <c r="KB32">
        <f>SUMIFS(Detail!$AW:$AW,Detail!$G:$G,'Rates-Service Fees'!KB$23,Detail!$H:$H,'Rates-Service Fees'!KB$11)*100</f>
        <v>0</v>
      </c>
      <c r="KC32">
        <f>SUMIFS(Detail!$AW:$AW,Detail!$G:$G,'Rates-Service Fees'!KC$23,Detail!$H:$H,'Rates-Service Fees'!KC$11)*100</f>
        <v>0</v>
      </c>
      <c r="KD32">
        <f>SUMIFS(Detail!$AW:$AW,Detail!$G:$G,'Rates-Service Fees'!KD$23,Detail!$H:$H,'Rates-Service Fees'!KD$11)*100</f>
        <v>0</v>
      </c>
      <c r="KE32">
        <f>SUMIFS(Detail!$AW:$AW,Detail!$G:$G,'Rates-Service Fees'!KE$23,Detail!$H:$H,'Rates-Service Fees'!KE$11)*100</f>
        <v>0</v>
      </c>
      <c r="KF32">
        <f>SUMIFS(Detail!$AW:$AW,Detail!$G:$G,'Rates-Service Fees'!KF$23,Detail!$H:$H,'Rates-Service Fees'!KF$11)*100</f>
        <v>0</v>
      </c>
      <c r="KG32">
        <f>SUMIFS(Detail!$AW:$AW,Detail!$G:$G,'Rates-Service Fees'!KG$23,Detail!$H:$H,'Rates-Service Fees'!KG$11)*100</f>
        <v>0</v>
      </c>
      <c r="KH32">
        <f>SUMIFS(Detail!$AW:$AW,Detail!$G:$G,'Rates-Service Fees'!KH$23,Detail!$H:$H,'Rates-Service Fees'!KH$11)*100</f>
        <v>0</v>
      </c>
      <c r="KI32">
        <f>SUMIFS(Detail!$AW:$AW,Detail!$G:$G,'Rates-Service Fees'!KI$23,Detail!$H:$H,'Rates-Service Fees'!KI$11)*100</f>
        <v>0</v>
      </c>
      <c r="KJ32">
        <f>SUMIFS(Detail!$AW:$AW,Detail!$G:$G,'Rates-Service Fees'!KJ$23,Detail!$H:$H,'Rates-Service Fees'!KJ$11)*100</f>
        <v>0</v>
      </c>
      <c r="KK32">
        <f>SUMIFS(Detail!$AW:$AW,Detail!$G:$G,'Rates-Service Fees'!KK$23,Detail!$H:$H,'Rates-Service Fees'!KK$11)*100</f>
        <v>0</v>
      </c>
      <c r="KL32">
        <f>SUMIFS(Detail!$AW:$AW,Detail!$G:$G,'Rates-Service Fees'!KL$23,Detail!$H:$H,'Rates-Service Fees'!KL$11)*100</f>
        <v>0</v>
      </c>
      <c r="KM32">
        <f>SUMIFS(Detail!$AW:$AW,Detail!$G:$G,'Rates-Service Fees'!KM$23,Detail!$H:$H,'Rates-Service Fees'!KM$11)*100</f>
        <v>0</v>
      </c>
      <c r="KN32">
        <f>SUMIFS(Detail!$AW:$AW,Detail!$G:$G,'Rates-Service Fees'!KN$23,Detail!$H:$H,'Rates-Service Fees'!KN$11)*100</f>
        <v>0</v>
      </c>
      <c r="KO32">
        <f>SUMIFS(Detail!$AW:$AW,Detail!$G:$G,'Rates-Service Fees'!KO$23,Detail!$H:$H,'Rates-Service Fees'!KO$11)*100</f>
        <v>0</v>
      </c>
      <c r="KP32">
        <f>SUMIFS(Detail!$AW:$AW,Detail!$G:$G,'Rates-Service Fees'!KP$23,Detail!$H:$H,'Rates-Service Fees'!KP$11)*100</f>
        <v>0</v>
      </c>
      <c r="KQ32">
        <f>SUMIFS(Detail!$AW:$AW,Detail!$G:$G,'Rates-Service Fees'!KQ$23,Detail!$H:$H,'Rates-Service Fees'!KQ$11)*100</f>
        <v>0</v>
      </c>
      <c r="KR32">
        <f>SUMIFS(Detail!$AW:$AW,Detail!$G:$G,'Rates-Service Fees'!KR$23,Detail!$H:$H,'Rates-Service Fees'!KR$11)*100</f>
        <v>0</v>
      </c>
      <c r="KS32">
        <f>SUMIFS(Detail!$AW:$AW,Detail!$G:$G,'Rates-Service Fees'!KS$23,Detail!$H:$H,'Rates-Service Fees'!KS$11)*100</f>
        <v>0</v>
      </c>
      <c r="KT32">
        <f>SUMIFS(Detail!$AW:$AW,Detail!$G:$G,'Rates-Service Fees'!KT$23,Detail!$H:$H,'Rates-Service Fees'!KT$11)*100</f>
        <v>0</v>
      </c>
      <c r="KU32">
        <f>SUMIFS(Detail!$AW:$AW,Detail!$G:$G,'Rates-Service Fees'!KU$23,Detail!$H:$H,'Rates-Service Fees'!KU$11)*100</f>
        <v>0</v>
      </c>
      <c r="KV32">
        <f>SUMIFS(Detail!$AW:$AW,Detail!$G:$G,'Rates-Service Fees'!KV$23,Detail!$H:$H,'Rates-Service Fees'!KV$11)*100</f>
        <v>0</v>
      </c>
      <c r="KW32">
        <f>SUMIFS(Detail!$AW:$AW,Detail!$G:$G,'Rates-Service Fees'!KW$23,Detail!$H:$H,'Rates-Service Fees'!KW$11)*100</f>
        <v>0</v>
      </c>
      <c r="KX32">
        <f>SUMIFS(Detail!$AW:$AW,Detail!$G:$G,'Rates-Service Fees'!KX$23,Detail!$H:$H,'Rates-Service Fees'!KX$11)*100</f>
        <v>0</v>
      </c>
      <c r="KY32">
        <f>SUMIFS(Detail!$AW:$AW,Detail!$G:$G,'Rates-Service Fees'!KY$23,Detail!$H:$H,'Rates-Service Fees'!KY$11)*100</f>
        <v>0</v>
      </c>
      <c r="KZ32">
        <f>SUMIFS(Detail!$AW:$AW,Detail!$G:$G,'Rates-Service Fees'!KZ$23,Detail!$H:$H,'Rates-Service Fees'!KZ$11)*100</f>
        <v>0</v>
      </c>
      <c r="LA32">
        <f>SUMIFS(Detail!$AW:$AW,Detail!$G:$G,'Rates-Service Fees'!LA$23,Detail!$H:$H,'Rates-Service Fees'!LA$11)*100</f>
        <v>0</v>
      </c>
      <c r="LB32">
        <f>SUMIFS(Detail!$AW:$AW,Detail!$G:$G,'Rates-Service Fees'!LB$23,Detail!$H:$H,'Rates-Service Fees'!LB$11)*100</f>
        <v>0</v>
      </c>
      <c r="LC32">
        <f>SUMIFS(Detail!$AW:$AW,Detail!$G:$G,'Rates-Service Fees'!LC$23,Detail!$H:$H,'Rates-Service Fees'!LC$11)*100</f>
        <v>0</v>
      </c>
      <c r="LD32">
        <f>SUMIFS(Detail!$AW:$AW,Detail!$G:$G,'Rates-Service Fees'!LD$23,Detail!$H:$H,'Rates-Service Fees'!LD$11)*100</f>
        <v>0</v>
      </c>
      <c r="LE32">
        <f>SUMIFS(Detail!$AW:$AW,Detail!$G:$G,'Rates-Service Fees'!LE$23,Detail!$H:$H,'Rates-Service Fees'!LE$11)*100</f>
        <v>0</v>
      </c>
      <c r="LF32">
        <f>SUMIFS(Detail!$AW:$AW,Detail!$G:$G,'Rates-Service Fees'!LF$23,Detail!$H:$H,'Rates-Service Fees'!LF$11)*100</f>
        <v>0</v>
      </c>
      <c r="LG32">
        <f>SUMIFS(Detail!$AW:$AW,Detail!$G:$G,'Rates-Service Fees'!LG$23,Detail!$H:$H,'Rates-Service Fees'!LG$11)*100</f>
        <v>0</v>
      </c>
      <c r="LH32">
        <f>SUMIFS(Detail!$AW:$AW,Detail!$G:$G,'Rates-Service Fees'!LH$23,Detail!$H:$H,'Rates-Service Fees'!LH$11)*100</f>
        <v>0</v>
      </c>
      <c r="LI32">
        <f>SUMIFS(Detail!$AW:$AW,Detail!$G:$G,'Rates-Service Fees'!LI$23,Detail!$H:$H,'Rates-Service Fees'!LI$11)*100</f>
        <v>0</v>
      </c>
      <c r="LJ32">
        <f>SUMIFS(Detail!$AW:$AW,Detail!$G:$G,'Rates-Service Fees'!LJ$23,Detail!$H:$H,'Rates-Service Fees'!LJ$11)*100</f>
        <v>0</v>
      </c>
      <c r="LK32">
        <f>SUMIFS(Detail!$AW:$AW,Detail!$G:$G,'Rates-Service Fees'!LK$23,Detail!$H:$H,'Rates-Service Fees'!LK$11)*100</f>
        <v>0</v>
      </c>
      <c r="LL32">
        <f>SUMIFS(Detail!$AW:$AW,Detail!$G:$G,'Rates-Service Fees'!LL$23,Detail!$H:$H,'Rates-Service Fees'!LL$11)*100</f>
        <v>0</v>
      </c>
      <c r="LM32">
        <f>SUMIFS(Detail!$AW:$AW,Detail!$G:$G,'Rates-Service Fees'!LM$23,Detail!$H:$H,'Rates-Service Fees'!LM$11)*100</f>
        <v>0</v>
      </c>
      <c r="LN32">
        <f>SUMIFS(Detail!$AW:$AW,Detail!$G:$G,'Rates-Service Fees'!LN$23,Detail!$H:$H,'Rates-Service Fees'!LN$11)*100</f>
        <v>0</v>
      </c>
      <c r="LO32">
        <f>SUMIFS(Detail!$AW:$AW,Detail!$G:$G,'Rates-Service Fees'!LO$23,Detail!$H:$H,'Rates-Service Fees'!LO$11)*100</f>
        <v>0</v>
      </c>
      <c r="LP32">
        <f>SUMIFS(Detail!$AW:$AW,Detail!$G:$G,'Rates-Service Fees'!LP$23,Detail!$H:$H,'Rates-Service Fees'!LP$11)*100</f>
        <v>0</v>
      </c>
      <c r="LQ32">
        <f>SUMIFS(Detail!$AW:$AW,Detail!$G:$G,'Rates-Service Fees'!LQ$23,Detail!$H:$H,'Rates-Service Fees'!LQ$11)*100</f>
        <v>0</v>
      </c>
      <c r="LR32">
        <f>SUMIFS(Detail!$AW:$AW,Detail!$G:$G,'Rates-Service Fees'!LR$23,Detail!$H:$H,'Rates-Service Fees'!LR$11)*100</f>
        <v>0</v>
      </c>
      <c r="LS32">
        <f>SUMIFS(Detail!$AW:$AW,Detail!$G:$G,'Rates-Service Fees'!LS$23,Detail!$H:$H,'Rates-Service Fees'!LS$11)*100</f>
        <v>0</v>
      </c>
      <c r="LT32">
        <f>SUMIFS(Detail!$AW:$AW,Detail!$G:$G,'Rates-Service Fees'!LT$23,Detail!$H:$H,'Rates-Service Fees'!LT$11)*100</f>
        <v>0</v>
      </c>
      <c r="LU32">
        <f>SUMIFS(Detail!$AW:$AW,Detail!$G:$G,'Rates-Service Fees'!LU$23,Detail!$H:$H,'Rates-Service Fees'!LU$11)*100</f>
        <v>0</v>
      </c>
      <c r="LV32">
        <f>SUMIFS(Detail!$AW:$AW,Detail!$G:$G,'Rates-Service Fees'!LV$23,Detail!$H:$H,'Rates-Service Fees'!LV$11)*100</f>
        <v>0</v>
      </c>
      <c r="LW32">
        <f>SUMIFS(Detail!$AW:$AW,Detail!$G:$G,'Rates-Service Fees'!LW$23,Detail!$H:$H,'Rates-Service Fees'!LW$11)*100</f>
        <v>0</v>
      </c>
      <c r="LX32">
        <f>SUMIFS(Detail!$AW:$AW,Detail!$G:$G,'Rates-Service Fees'!LX$23,Detail!$H:$H,'Rates-Service Fees'!LX$11)*100</f>
        <v>0</v>
      </c>
      <c r="LY32">
        <f>SUMIFS(Detail!$AW:$AW,Detail!$G:$G,'Rates-Service Fees'!LY$23,Detail!$H:$H,'Rates-Service Fees'!LY$11)*100</f>
        <v>0</v>
      </c>
      <c r="LZ32">
        <f>SUMIFS(Detail!$AW:$AW,Detail!$G:$G,'Rates-Service Fees'!LZ$23,Detail!$H:$H,'Rates-Service Fees'!LZ$11)*100</f>
        <v>0</v>
      </c>
      <c r="MA32">
        <f>SUMIFS(Detail!$AW:$AW,Detail!$G:$G,'Rates-Service Fees'!MA$23,Detail!$H:$H,'Rates-Service Fees'!MA$11)*100</f>
        <v>0</v>
      </c>
      <c r="MB32">
        <f>SUMIFS(Detail!$AW:$AW,Detail!$G:$G,'Rates-Service Fees'!MB$23,Detail!$H:$H,'Rates-Service Fees'!MB$11)*100</f>
        <v>0</v>
      </c>
      <c r="MC32">
        <f>SUMIFS(Detail!$AW:$AW,Detail!$G:$G,'Rates-Service Fees'!MC$23,Detail!$H:$H,'Rates-Service Fees'!MC$11)*100</f>
        <v>0</v>
      </c>
      <c r="MD32">
        <f>SUMIFS(Detail!$AW:$AW,Detail!$G:$G,'Rates-Service Fees'!MD$23,Detail!$H:$H,'Rates-Service Fees'!MD$11)*100</f>
        <v>0</v>
      </c>
      <c r="ME32">
        <f>SUMIFS(Detail!$AW:$AW,Detail!$G:$G,'Rates-Service Fees'!ME$23,Detail!$H:$H,'Rates-Service Fees'!ME$11)*100</f>
        <v>0</v>
      </c>
      <c r="MF32">
        <f>SUMIFS(Detail!$AW:$AW,Detail!$G:$G,'Rates-Service Fees'!MF$23,Detail!$H:$H,'Rates-Service Fees'!MF$11)*100</f>
        <v>0</v>
      </c>
      <c r="MG32">
        <f>SUMIFS(Detail!$AW:$AW,Detail!$G:$G,'Rates-Service Fees'!MG$23,Detail!$H:$H,'Rates-Service Fees'!MG$11)*100</f>
        <v>0</v>
      </c>
      <c r="MH32">
        <f>SUMIFS(Detail!$AW:$AW,Detail!$G:$G,'Rates-Service Fees'!MH$23,Detail!$H:$H,'Rates-Service Fees'!MH$11)*100</f>
        <v>0</v>
      </c>
      <c r="MI32">
        <f>SUMIFS(Detail!$AW:$AW,Detail!$G:$G,'Rates-Service Fees'!MI$23,Detail!$H:$H,'Rates-Service Fees'!MI$11)*100</f>
        <v>0</v>
      </c>
      <c r="MJ32">
        <f>SUMIFS(Detail!$AW:$AW,Detail!$G:$G,'Rates-Service Fees'!MJ$23,Detail!$H:$H,'Rates-Service Fees'!MJ$11)*100</f>
        <v>0</v>
      </c>
      <c r="MK32">
        <f>SUMIFS(Detail!$AW:$AW,Detail!$G:$G,'Rates-Service Fees'!MK$23,Detail!$H:$H,'Rates-Service Fees'!MK$11)*100</f>
        <v>0</v>
      </c>
      <c r="ML32">
        <f>SUMIFS(Detail!$AW:$AW,Detail!$G:$G,'Rates-Service Fees'!ML$23,Detail!$H:$H,'Rates-Service Fees'!ML$11)*100</f>
        <v>0</v>
      </c>
      <c r="MM32">
        <f>SUMIFS(Detail!$AW:$AW,Detail!$G:$G,'Rates-Service Fees'!MM$23,Detail!$H:$H,'Rates-Service Fees'!MM$11)*100</f>
        <v>0</v>
      </c>
      <c r="MN32">
        <f>SUMIFS(Detail!$AW:$AW,Detail!$G:$G,'Rates-Service Fees'!MN$23,Detail!$H:$H,'Rates-Service Fees'!MN$11)*100</f>
        <v>0</v>
      </c>
      <c r="MO32">
        <f>SUMIFS(Detail!$AW:$AW,Detail!$G:$G,'Rates-Service Fees'!MO$23,Detail!$H:$H,'Rates-Service Fees'!MO$11)*100</f>
        <v>0</v>
      </c>
      <c r="MP32">
        <f>SUMIFS(Detail!$AW:$AW,Detail!$G:$G,'Rates-Service Fees'!MP$23,Detail!$H:$H,'Rates-Service Fees'!MP$11)*100</f>
        <v>0</v>
      </c>
      <c r="MQ32">
        <f>SUMIFS(Detail!$AW:$AW,Detail!$G:$G,'Rates-Service Fees'!MQ$23,Detail!$H:$H,'Rates-Service Fees'!MQ$11)*100</f>
        <v>0</v>
      </c>
      <c r="MR32">
        <f>SUMIFS(Detail!$AW:$AW,Detail!$G:$G,'Rates-Service Fees'!MR$23,Detail!$H:$H,'Rates-Service Fees'!MR$11)*100</f>
        <v>0</v>
      </c>
      <c r="MS32">
        <f>SUMIFS(Detail!$AW:$AW,Detail!$G:$G,'Rates-Service Fees'!MS$23,Detail!$H:$H,'Rates-Service Fees'!MS$11)*100</f>
        <v>0</v>
      </c>
      <c r="MT32">
        <f>SUMIFS(Detail!$AW:$AW,Detail!$G:$G,'Rates-Service Fees'!MT$23,Detail!$H:$H,'Rates-Service Fees'!MT$11)*100</f>
        <v>0</v>
      </c>
      <c r="MU32">
        <f>SUMIFS(Detail!$AW:$AW,Detail!$G:$G,'Rates-Service Fees'!MU$23,Detail!$H:$H,'Rates-Service Fees'!MU$11)*100</f>
        <v>0</v>
      </c>
      <c r="MV32">
        <f>SUMIFS(Detail!$AW:$AW,Detail!$G:$G,'Rates-Service Fees'!MV$23,Detail!$H:$H,'Rates-Service Fees'!MV$11)*100</f>
        <v>0</v>
      </c>
      <c r="MW32">
        <f>SUMIFS(Detail!$AW:$AW,Detail!$G:$G,'Rates-Service Fees'!MW$23,Detail!$H:$H,'Rates-Service Fees'!MW$11)*100</f>
        <v>0</v>
      </c>
      <c r="MX32">
        <f>SUMIFS(Detail!$AW:$AW,Detail!$G:$G,'Rates-Service Fees'!MX$23,Detail!$H:$H,'Rates-Service Fees'!MX$11)*100</f>
        <v>0</v>
      </c>
      <c r="MY32">
        <f>SUMIFS(Detail!$AW:$AW,Detail!$G:$G,'Rates-Service Fees'!MY$23,Detail!$H:$H,'Rates-Service Fees'!MY$11)*100</f>
        <v>0</v>
      </c>
      <c r="MZ32">
        <f>SUMIFS(Detail!$AW:$AW,Detail!$G:$G,'Rates-Service Fees'!MZ$23,Detail!$H:$H,'Rates-Service Fees'!MZ$11)*100</f>
        <v>0</v>
      </c>
      <c r="NA32">
        <f>SUMIFS(Detail!$AW:$AW,Detail!$G:$G,'Rates-Service Fees'!NA$23,Detail!$H:$H,'Rates-Service Fees'!NA$11)*100</f>
        <v>0</v>
      </c>
      <c r="NB32">
        <f>SUMIFS(Detail!$AW:$AW,Detail!$G:$G,'Rates-Service Fees'!NB$23,Detail!$H:$H,'Rates-Service Fees'!NB$11)*100</f>
        <v>0</v>
      </c>
      <c r="NC32">
        <f>SUMIFS(Detail!$AW:$AW,Detail!$G:$G,'Rates-Service Fees'!NC$23,Detail!$H:$H,'Rates-Service Fees'!NC$11)*100</f>
        <v>0</v>
      </c>
      <c r="ND32">
        <f>SUMIFS(Detail!$AW:$AW,Detail!$G:$G,'Rates-Service Fees'!ND$23,Detail!$H:$H,'Rates-Service Fees'!ND$11)*100</f>
        <v>0</v>
      </c>
      <c r="NE32">
        <f>SUMIFS(Detail!$AW:$AW,Detail!$G:$G,'Rates-Service Fees'!NE$23,Detail!$H:$H,'Rates-Service Fees'!NE$11)*100</f>
        <v>0</v>
      </c>
      <c r="NF32">
        <f>SUMIFS(Detail!$AW:$AW,Detail!$G:$G,'Rates-Service Fees'!NF$23,Detail!$H:$H,'Rates-Service Fees'!NF$11)*100</f>
        <v>0</v>
      </c>
      <c r="NG32">
        <f>SUMIFS(Detail!$AW:$AW,Detail!$G:$G,'Rates-Service Fees'!NG$23,Detail!$H:$H,'Rates-Service Fees'!NG$11)*100</f>
        <v>0</v>
      </c>
      <c r="NH32">
        <f>SUMIFS(Detail!$AW:$AW,Detail!$G:$G,'Rates-Service Fees'!NH$23,Detail!$H:$H,'Rates-Service Fees'!NH$11)*100</f>
        <v>0</v>
      </c>
      <c r="NI32">
        <f>SUMIFS(Detail!$AW:$AW,Detail!$G:$G,'Rates-Service Fees'!NI$23,Detail!$H:$H,'Rates-Service Fees'!NI$11)*100</f>
        <v>0</v>
      </c>
      <c r="NJ32">
        <f>SUMIFS(Detail!$AW:$AW,Detail!$G:$G,'Rates-Service Fees'!NJ$23,Detail!$H:$H,'Rates-Service Fees'!NJ$11)*100</f>
        <v>0</v>
      </c>
      <c r="NK32">
        <f>SUMIFS(Detail!$AW:$AW,Detail!$G:$G,'Rates-Service Fees'!NK$23,Detail!$H:$H,'Rates-Service Fees'!NK$11)*100</f>
        <v>0</v>
      </c>
      <c r="NL32">
        <f>SUMIFS(Detail!$AW:$AW,Detail!$G:$G,'Rates-Service Fees'!NL$23,Detail!$H:$H,'Rates-Service Fees'!NL$11)*100</f>
        <v>0</v>
      </c>
      <c r="NM32">
        <f>SUMIFS(Detail!$AW:$AW,Detail!$G:$G,'Rates-Service Fees'!NM$23,Detail!$H:$H,'Rates-Service Fees'!NM$11)*100</f>
        <v>0</v>
      </c>
      <c r="NN32">
        <f>SUMIFS(Detail!$AW:$AW,Detail!$G:$G,'Rates-Service Fees'!NN$23,Detail!$H:$H,'Rates-Service Fees'!NN$11)*100</f>
        <v>0</v>
      </c>
      <c r="NO32">
        <f>SUMIFS(Detail!$AW:$AW,Detail!$G:$G,'Rates-Service Fees'!NO$23,Detail!$H:$H,'Rates-Service Fees'!NO$11)*100</f>
        <v>0</v>
      </c>
      <c r="NP32">
        <f>SUMIFS(Detail!$AW:$AW,Detail!$G:$G,'Rates-Service Fees'!NP$23,Detail!$H:$H,'Rates-Service Fees'!NP$11)*100</f>
        <v>0</v>
      </c>
      <c r="NQ32">
        <f>SUMIFS(Detail!$AW:$AW,Detail!$G:$G,'Rates-Service Fees'!NQ$23,Detail!$H:$H,'Rates-Service Fees'!NQ$11)*100</f>
        <v>0</v>
      </c>
      <c r="NR32">
        <f>SUMIFS(Detail!$AW:$AW,Detail!$G:$G,'Rates-Service Fees'!NR$23,Detail!$H:$H,'Rates-Service Fees'!NR$11)*100</f>
        <v>0</v>
      </c>
      <c r="NS32">
        <f>SUMIFS(Detail!$AW:$AW,Detail!$G:$G,'Rates-Service Fees'!NS$23,Detail!$H:$H,'Rates-Service Fees'!NS$11)*100</f>
        <v>0</v>
      </c>
      <c r="NT32">
        <f>SUMIFS(Detail!$AW:$AW,Detail!$G:$G,'Rates-Service Fees'!NT$23,Detail!$H:$H,'Rates-Service Fees'!NT$11)*100</f>
        <v>0</v>
      </c>
      <c r="NU32">
        <f>SUMIFS(Detail!$AW:$AW,Detail!$G:$G,'Rates-Service Fees'!NU$23,Detail!$H:$H,'Rates-Service Fees'!NU$11)*100</f>
        <v>0</v>
      </c>
      <c r="NV32">
        <f>SUMIFS(Detail!$AW:$AW,Detail!$G:$G,'Rates-Service Fees'!NV$23,Detail!$H:$H,'Rates-Service Fees'!NV$11)*100</f>
        <v>0</v>
      </c>
      <c r="NW32">
        <f>SUMIFS(Detail!$AW:$AW,Detail!$G:$G,'Rates-Service Fees'!NW$23,Detail!$H:$H,'Rates-Service Fees'!NW$11)*100</f>
        <v>0</v>
      </c>
      <c r="NX32">
        <f>SUMIFS(Detail!$AW:$AW,Detail!$G:$G,'Rates-Service Fees'!NX$23,Detail!$H:$H,'Rates-Service Fees'!NX$11)*100</f>
        <v>0</v>
      </c>
      <c r="NY32">
        <f>SUMIFS(Detail!$AW:$AW,Detail!$G:$G,'Rates-Service Fees'!NY$23,Detail!$H:$H,'Rates-Service Fees'!NY$11)*100</f>
        <v>0</v>
      </c>
      <c r="NZ32">
        <f>SUMIFS(Detail!$AW:$AW,Detail!$G:$G,'Rates-Service Fees'!NZ$23,Detail!$H:$H,'Rates-Service Fees'!NZ$11)*100</f>
        <v>0</v>
      </c>
      <c r="OA32">
        <f>SUMIFS(Detail!$AW:$AW,Detail!$G:$G,'Rates-Service Fees'!OA$23,Detail!$H:$H,'Rates-Service Fees'!OA$11)*100</f>
        <v>0</v>
      </c>
      <c r="OB32">
        <f>SUMIFS(Detail!$AW:$AW,Detail!$G:$G,'Rates-Service Fees'!OB$23,Detail!$H:$H,'Rates-Service Fees'!OB$11)*100</f>
        <v>0</v>
      </c>
      <c r="OC32">
        <f>SUMIFS(Detail!$AW:$AW,Detail!$G:$G,'Rates-Service Fees'!OC$23,Detail!$H:$H,'Rates-Service Fees'!OC$11)*100</f>
        <v>0</v>
      </c>
      <c r="OD32">
        <f>SUMIFS(Detail!$AW:$AW,Detail!$G:$G,'Rates-Service Fees'!OD$23,Detail!$H:$H,'Rates-Service Fees'!OD$11)*100</f>
        <v>0</v>
      </c>
      <c r="OE32">
        <f>SUMIFS(Detail!$AW:$AW,Detail!$G:$G,'Rates-Service Fees'!OE$23,Detail!$H:$H,'Rates-Service Fees'!OE$11)*100</f>
        <v>0</v>
      </c>
      <c r="OF32">
        <f>SUMIFS(Detail!$AW:$AW,Detail!$G:$G,'Rates-Service Fees'!OF$23,Detail!$H:$H,'Rates-Service Fees'!OF$11)*100</f>
        <v>0</v>
      </c>
      <c r="OG32">
        <f>SUMIFS(Detail!$AW:$AW,Detail!$G:$G,'Rates-Service Fees'!OG$23,Detail!$H:$H,'Rates-Service Fees'!OG$11)*100</f>
        <v>0</v>
      </c>
      <c r="OH32">
        <f>SUMIFS(Detail!$AW:$AW,Detail!$G:$G,'Rates-Service Fees'!OH$23,Detail!$H:$H,'Rates-Service Fees'!OH$11)*100</f>
        <v>0</v>
      </c>
      <c r="OI32">
        <f>SUMIFS(Detail!$AW:$AW,Detail!$G:$G,'Rates-Service Fees'!OI$23,Detail!$H:$H,'Rates-Service Fees'!OI$11)*100</f>
        <v>0</v>
      </c>
      <c r="OJ32">
        <f>SUMIFS(Detail!$AW:$AW,Detail!$G:$G,'Rates-Service Fees'!OJ$23,Detail!$H:$H,'Rates-Service Fees'!OJ$11)*100</f>
        <v>0</v>
      </c>
      <c r="OK32">
        <f>SUMIFS(Detail!$AW:$AW,Detail!$G:$G,'Rates-Service Fees'!OK$23,Detail!$H:$H,'Rates-Service Fees'!OK$11)*100</f>
        <v>0</v>
      </c>
      <c r="OL32">
        <f>SUMIFS(Detail!$AW:$AW,Detail!$G:$G,'Rates-Service Fees'!OL$23,Detail!$H:$H,'Rates-Service Fees'!OL$11)*100</f>
        <v>0</v>
      </c>
      <c r="OM32">
        <f>SUMIFS(Detail!$AW:$AW,Detail!$G:$G,'Rates-Service Fees'!OM$23,Detail!$H:$H,'Rates-Service Fees'!OM$11)*100</f>
        <v>0</v>
      </c>
      <c r="ON32">
        <f>SUMIFS(Detail!$AW:$AW,Detail!$G:$G,'Rates-Service Fees'!ON$23,Detail!$H:$H,'Rates-Service Fees'!ON$11)*100</f>
        <v>0</v>
      </c>
      <c r="OO32">
        <f>SUMIFS(Detail!$AW:$AW,Detail!$G:$G,'Rates-Service Fees'!OO$23,Detail!$H:$H,'Rates-Service Fees'!OO$11)*100</f>
        <v>0</v>
      </c>
      <c r="OP32">
        <f>SUMIFS(Detail!$AW:$AW,Detail!$G:$G,'Rates-Service Fees'!OP$23,Detail!$H:$H,'Rates-Service Fees'!OP$11)*100</f>
        <v>0</v>
      </c>
      <c r="OQ32">
        <f>SUMIFS(Detail!$AW:$AW,Detail!$G:$G,'Rates-Service Fees'!OQ$23,Detail!$H:$H,'Rates-Service Fees'!OQ$11)*100</f>
        <v>0</v>
      </c>
      <c r="OR32">
        <f>SUMIFS(Detail!$AW:$AW,Detail!$G:$G,'Rates-Service Fees'!OR$23,Detail!$H:$H,'Rates-Service Fees'!OR$11)*100</f>
        <v>0</v>
      </c>
      <c r="OS32">
        <f>SUMIFS(Detail!$AW:$AW,Detail!$G:$G,'Rates-Service Fees'!OS$23,Detail!$H:$H,'Rates-Service Fees'!OS$11)*100</f>
        <v>0</v>
      </c>
      <c r="OT32">
        <f>SUMIFS(Detail!$AW:$AW,Detail!$G:$G,'Rates-Service Fees'!OT$23,Detail!$H:$H,'Rates-Service Fees'!OT$11)*100</f>
        <v>0</v>
      </c>
      <c r="OU32">
        <f>SUMIFS(Detail!$AW:$AW,Detail!$G:$G,'Rates-Service Fees'!OU$23,Detail!$H:$H,'Rates-Service Fees'!OU$11)*100</f>
        <v>0</v>
      </c>
      <c r="OV32">
        <f>SUMIFS(Detail!$AW:$AW,Detail!$G:$G,'Rates-Service Fees'!OV$23,Detail!$H:$H,'Rates-Service Fees'!OV$11)*100</f>
        <v>0</v>
      </c>
      <c r="OW32">
        <f>SUMIFS(Detail!$AW:$AW,Detail!$G:$G,'Rates-Service Fees'!OW$23,Detail!$H:$H,'Rates-Service Fees'!OW$11)*100</f>
        <v>0</v>
      </c>
      <c r="OX32">
        <f>SUMIFS(Detail!$AW:$AW,Detail!$G:$G,'Rates-Service Fees'!OX$23,Detail!$H:$H,'Rates-Service Fees'!OX$11)*100</f>
        <v>0</v>
      </c>
      <c r="OY32">
        <f>SUMIFS(Detail!$AW:$AW,Detail!$G:$G,'Rates-Service Fees'!OY$23,Detail!$H:$H,'Rates-Service Fees'!OY$11)*100</f>
        <v>0</v>
      </c>
      <c r="OZ32">
        <f>SUMIFS(Detail!$AW:$AW,Detail!$G:$G,'Rates-Service Fees'!OZ$23,Detail!$H:$H,'Rates-Service Fees'!OZ$11)*100</f>
        <v>0</v>
      </c>
      <c r="PA32">
        <f>SUMIFS(Detail!$AW:$AW,Detail!$G:$G,'Rates-Service Fees'!PA$23,Detail!$H:$H,'Rates-Service Fees'!PA$11)*100</f>
        <v>0</v>
      </c>
      <c r="PB32">
        <f>SUMIFS(Detail!$AW:$AW,Detail!$G:$G,'Rates-Service Fees'!PB$23,Detail!$H:$H,'Rates-Service Fees'!PB$11)*100</f>
        <v>0</v>
      </c>
      <c r="PC32">
        <f>SUMIFS(Detail!$AW:$AW,Detail!$G:$G,'Rates-Service Fees'!PC$23,Detail!$H:$H,'Rates-Service Fees'!PC$11)*100</f>
        <v>0</v>
      </c>
      <c r="PD32">
        <f>SUMIFS(Detail!$AW:$AW,Detail!$G:$G,'Rates-Service Fees'!PD$23,Detail!$H:$H,'Rates-Service Fees'!PD$11)*100</f>
        <v>0</v>
      </c>
      <c r="PE32">
        <f>SUMIFS(Detail!$AW:$AW,Detail!$G:$G,'Rates-Service Fees'!PE$23,Detail!$H:$H,'Rates-Service Fees'!PE$11)*100</f>
        <v>0</v>
      </c>
      <c r="PF32">
        <f>SUMIFS(Detail!$AW:$AW,Detail!$G:$G,'Rates-Service Fees'!PF$23,Detail!$H:$H,'Rates-Service Fees'!PF$11)*100</f>
        <v>0</v>
      </c>
      <c r="PG32">
        <f>SUMIFS(Detail!$AW:$AW,Detail!$G:$G,'Rates-Service Fees'!PG$23,Detail!$H:$H,'Rates-Service Fees'!PG$11)*100</f>
        <v>0</v>
      </c>
      <c r="PH32">
        <f>SUMIFS(Detail!$AW:$AW,Detail!$G:$G,'Rates-Service Fees'!PH$23,Detail!$H:$H,'Rates-Service Fees'!PH$11)*100</f>
        <v>0</v>
      </c>
      <c r="PI32">
        <f>SUMIFS(Detail!$AW:$AW,Detail!$G:$G,'Rates-Service Fees'!PI$23,Detail!$H:$H,'Rates-Service Fees'!PI$11)*100</f>
        <v>0</v>
      </c>
      <c r="PJ32">
        <f>SUMIFS(Detail!$AW:$AW,Detail!$G:$G,'Rates-Service Fees'!PJ$23,Detail!$H:$H,'Rates-Service Fees'!PJ$11)*100</f>
        <v>0</v>
      </c>
      <c r="PK32">
        <f>SUMIFS(Detail!$AW:$AW,Detail!$G:$G,'Rates-Service Fees'!PK$23,Detail!$H:$H,'Rates-Service Fees'!PK$11)*100</f>
        <v>0</v>
      </c>
      <c r="PL32">
        <f>SUMIFS(Detail!$AW:$AW,Detail!$G:$G,'Rates-Service Fees'!PL$23,Detail!$H:$H,'Rates-Service Fees'!PL$11)*100</f>
        <v>0</v>
      </c>
      <c r="PM32">
        <f>SUMIFS(Detail!$AW:$AW,Detail!$G:$G,'Rates-Service Fees'!PM$23,Detail!$H:$H,'Rates-Service Fees'!PM$11)*100</f>
        <v>0</v>
      </c>
      <c r="PN32">
        <f>SUMIFS(Detail!$AW:$AW,Detail!$G:$G,'Rates-Service Fees'!PN$23,Detail!$H:$H,'Rates-Service Fees'!PN$11)*100</f>
        <v>0</v>
      </c>
      <c r="PO32">
        <f>SUMIFS(Detail!$AW:$AW,Detail!$G:$G,'Rates-Service Fees'!PO$23,Detail!$H:$H,'Rates-Service Fees'!PO$11)*100</f>
        <v>0</v>
      </c>
      <c r="PP32">
        <f>SUMIFS(Detail!$AW:$AW,Detail!$G:$G,'Rates-Service Fees'!PP$23,Detail!$H:$H,'Rates-Service Fees'!PP$11)*100</f>
        <v>0</v>
      </c>
      <c r="PQ32">
        <f>SUMIFS(Detail!$AW:$AW,Detail!$G:$G,'Rates-Service Fees'!PQ$23,Detail!$H:$H,'Rates-Service Fees'!PQ$11)*100</f>
        <v>0</v>
      </c>
      <c r="PR32">
        <f>SUMIFS(Detail!$AW:$AW,Detail!$G:$G,'Rates-Service Fees'!PR$23,Detail!$H:$H,'Rates-Service Fees'!PR$11)*100</f>
        <v>0</v>
      </c>
      <c r="PS32">
        <f>SUMIFS(Detail!$AW:$AW,Detail!$G:$G,'Rates-Service Fees'!PS$23,Detail!$H:$H,'Rates-Service Fees'!PS$11)*100</f>
        <v>0</v>
      </c>
      <c r="PT32">
        <f>SUMIFS(Detail!$AW:$AW,Detail!$G:$G,'Rates-Service Fees'!PT$23,Detail!$H:$H,'Rates-Service Fees'!PT$11)*100</f>
        <v>0</v>
      </c>
      <c r="PU32">
        <f>SUMIFS(Detail!$AW:$AW,Detail!$G:$G,'Rates-Service Fees'!PU$23,Detail!$H:$H,'Rates-Service Fees'!PU$11)*100</f>
        <v>0</v>
      </c>
      <c r="PV32">
        <f>SUMIFS(Detail!$AW:$AW,Detail!$G:$G,'Rates-Service Fees'!PV$23,Detail!$H:$H,'Rates-Service Fees'!PV$11)*100</f>
        <v>0</v>
      </c>
      <c r="PW32">
        <f>SUMIFS(Detail!$AW:$AW,Detail!$G:$G,'Rates-Service Fees'!PW$23,Detail!$H:$H,'Rates-Service Fees'!PW$11)*100</f>
        <v>0</v>
      </c>
      <c r="PX32">
        <f>SUMIFS(Detail!$AW:$AW,Detail!$G:$G,'Rates-Service Fees'!PX$23,Detail!$H:$H,'Rates-Service Fees'!PX$11)*100</f>
        <v>0</v>
      </c>
      <c r="PY32">
        <f>SUMIFS(Detail!$AW:$AW,Detail!$G:$G,'Rates-Service Fees'!PY$23,Detail!$H:$H,'Rates-Service Fees'!PY$11)*100</f>
        <v>0</v>
      </c>
      <c r="PZ32">
        <f>SUMIFS(Detail!$AW:$AW,Detail!$G:$G,'Rates-Service Fees'!PZ$23,Detail!$H:$H,'Rates-Service Fees'!PZ$11)*100</f>
        <v>0</v>
      </c>
      <c r="QA32">
        <f>SUMIFS(Detail!$AW:$AW,Detail!$G:$G,'Rates-Service Fees'!QA$23,Detail!$H:$H,'Rates-Service Fees'!QA$11)*100</f>
        <v>0</v>
      </c>
      <c r="QB32">
        <f>SUMIFS(Detail!$AW:$AW,Detail!$G:$G,'Rates-Service Fees'!QB$23,Detail!$H:$H,'Rates-Service Fees'!QB$11)*100</f>
        <v>0</v>
      </c>
      <c r="QC32">
        <f>SUMIFS(Detail!$AW:$AW,Detail!$G:$G,'Rates-Service Fees'!QC$23,Detail!$H:$H,'Rates-Service Fees'!QC$11)*100</f>
        <v>0</v>
      </c>
      <c r="QD32">
        <f>SUMIFS(Detail!$AW:$AW,Detail!$G:$G,'Rates-Service Fees'!QD$23,Detail!$H:$H,'Rates-Service Fees'!QD$11)*100</f>
        <v>0</v>
      </c>
      <c r="QE32">
        <f>SUMIFS(Detail!$AW:$AW,Detail!$G:$G,'Rates-Service Fees'!QE$23,Detail!$H:$H,'Rates-Service Fees'!QE$11)*100</f>
        <v>0</v>
      </c>
      <c r="QF32">
        <f>SUMIFS(Detail!$AW:$AW,Detail!$G:$G,'Rates-Service Fees'!QF$23,Detail!$H:$H,'Rates-Service Fees'!QF$11)*100</f>
        <v>0</v>
      </c>
      <c r="QG32">
        <f>SUMIFS(Detail!$AW:$AW,Detail!$G:$G,'Rates-Service Fees'!QG$23,Detail!$H:$H,'Rates-Service Fees'!QG$11)*100</f>
        <v>0</v>
      </c>
      <c r="QH32">
        <f>SUMIFS(Detail!$AW:$AW,Detail!$G:$G,'Rates-Service Fees'!QH$23,Detail!$H:$H,'Rates-Service Fees'!QH$11)*100</f>
        <v>0</v>
      </c>
      <c r="QI32">
        <f>SUMIFS(Detail!$AW:$AW,Detail!$G:$G,'Rates-Service Fees'!QI$23,Detail!$H:$H,'Rates-Service Fees'!QI$11)*100</f>
        <v>0</v>
      </c>
      <c r="QJ32">
        <f>SUMIFS(Detail!$AW:$AW,Detail!$G:$G,'Rates-Service Fees'!QJ$23,Detail!$H:$H,'Rates-Service Fees'!QJ$11)*100</f>
        <v>0</v>
      </c>
      <c r="QK32">
        <f>SUMIFS(Detail!$AW:$AW,Detail!$G:$G,'Rates-Service Fees'!QK$23,Detail!$H:$H,'Rates-Service Fees'!QK$11)*100</f>
        <v>0</v>
      </c>
      <c r="QL32">
        <f>SUMIFS(Detail!$AW:$AW,Detail!$G:$G,'Rates-Service Fees'!QL$23,Detail!$H:$H,'Rates-Service Fees'!QL$11)*100</f>
        <v>0</v>
      </c>
      <c r="QM32">
        <f>SUMIFS(Detail!$AW:$AW,Detail!$G:$G,'Rates-Service Fees'!QM$23,Detail!$H:$H,'Rates-Service Fees'!QM$11)*100</f>
        <v>0</v>
      </c>
      <c r="QN32">
        <f>SUMIFS(Detail!$AW:$AW,Detail!$G:$G,'Rates-Service Fees'!QN$23,Detail!$H:$H,'Rates-Service Fees'!QN$11)*100</f>
        <v>0</v>
      </c>
      <c r="QO32">
        <f>SUMIFS(Detail!$AW:$AW,Detail!$G:$G,'Rates-Service Fees'!QO$23,Detail!$H:$H,'Rates-Service Fees'!QO$11)*100</f>
        <v>0</v>
      </c>
      <c r="QP32">
        <f>SUMIFS(Detail!$AW:$AW,Detail!$G:$G,'Rates-Service Fees'!QP$23,Detail!$H:$H,'Rates-Service Fees'!QP$11)*100</f>
        <v>0</v>
      </c>
      <c r="QQ32">
        <f>SUMIFS(Detail!$AW:$AW,Detail!$G:$G,'Rates-Service Fees'!QQ$23,Detail!$H:$H,'Rates-Service Fees'!QQ$11)*100</f>
        <v>0</v>
      </c>
      <c r="QR32">
        <f>SUMIFS(Detail!$AW:$AW,Detail!$G:$G,'Rates-Service Fees'!QR$23,Detail!$H:$H,'Rates-Service Fees'!QR$11)*100</f>
        <v>0</v>
      </c>
      <c r="QS32">
        <f>SUMIFS(Detail!$AW:$AW,Detail!$G:$G,'Rates-Service Fees'!QS$23,Detail!$H:$H,'Rates-Service Fees'!QS$11)*100</f>
        <v>0</v>
      </c>
      <c r="QT32">
        <f>SUMIFS(Detail!$AW:$AW,Detail!$G:$G,'Rates-Service Fees'!QT$23,Detail!$H:$H,'Rates-Service Fees'!QT$11)*100</f>
        <v>0</v>
      </c>
      <c r="QU32">
        <f>SUMIFS(Detail!$AW:$AW,Detail!$G:$G,'Rates-Service Fees'!QU$23,Detail!$H:$H,'Rates-Service Fees'!QU$11)*100</f>
        <v>0</v>
      </c>
      <c r="QV32">
        <f>SUMIFS(Detail!$AW:$AW,Detail!$G:$G,'Rates-Service Fees'!QV$23,Detail!$H:$H,'Rates-Service Fees'!QV$11)*100</f>
        <v>0</v>
      </c>
      <c r="QW32">
        <f>SUMIFS(Detail!$AW:$AW,Detail!$G:$G,'Rates-Service Fees'!QW$23,Detail!$H:$H,'Rates-Service Fees'!QW$11)*100</f>
        <v>0</v>
      </c>
      <c r="QX32">
        <f>SUMIFS(Detail!$AW:$AW,Detail!$G:$G,'Rates-Service Fees'!QX$23,Detail!$H:$H,'Rates-Service Fees'!QX$11)*100</f>
        <v>0</v>
      </c>
      <c r="QY32">
        <f>SUMIFS(Detail!$AW:$AW,Detail!$G:$G,'Rates-Service Fees'!QY$23,Detail!$H:$H,'Rates-Service Fees'!QY$11)*100</f>
        <v>0</v>
      </c>
      <c r="QZ32">
        <f>SUMIFS(Detail!$AW:$AW,Detail!$G:$G,'Rates-Service Fees'!QZ$23,Detail!$H:$H,'Rates-Service Fees'!QZ$11)*100</f>
        <v>0</v>
      </c>
      <c r="RA32">
        <f>SUMIFS(Detail!$AW:$AW,Detail!$G:$G,'Rates-Service Fees'!RA$23,Detail!$H:$H,'Rates-Service Fees'!RA$11)*100</f>
        <v>0</v>
      </c>
      <c r="RB32">
        <f>SUMIFS(Detail!$AW:$AW,Detail!$G:$G,'Rates-Service Fees'!RB$23,Detail!$H:$H,'Rates-Service Fees'!RB$11)*100</f>
        <v>0</v>
      </c>
      <c r="RC32">
        <f>SUMIFS(Detail!$AW:$AW,Detail!$G:$G,'Rates-Service Fees'!RC$23,Detail!$H:$H,'Rates-Service Fees'!RC$11)*100</f>
        <v>0</v>
      </c>
      <c r="RD32">
        <f>SUMIFS(Detail!$AW:$AW,Detail!$G:$G,'Rates-Service Fees'!RD$23,Detail!$H:$H,'Rates-Service Fees'!RD$11)*100</f>
        <v>0</v>
      </c>
      <c r="RE32">
        <f>SUMIFS(Detail!$AW:$AW,Detail!$G:$G,'Rates-Service Fees'!RE$23,Detail!$H:$H,'Rates-Service Fees'!RE$11)*100</f>
        <v>0</v>
      </c>
      <c r="RF32">
        <f>SUMIFS(Detail!$AW:$AW,Detail!$G:$G,'Rates-Service Fees'!RF$23,Detail!$H:$H,'Rates-Service Fees'!RF$11)*100</f>
        <v>0</v>
      </c>
      <c r="RG32">
        <f>SUMIFS(Detail!$AW:$AW,Detail!$G:$G,'Rates-Service Fees'!RG$23,Detail!$H:$H,'Rates-Service Fees'!RG$11)*100</f>
        <v>0</v>
      </c>
      <c r="RH32">
        <f>SUMIFS(Detail!$AW:$AW,Detail!$G:$G,'Rates-Service Fees'!RH$23,Detail!$H:$H,'Rates-Service Fees'!RH$11)*100</f>
        <v>0</v>
      </c>
      <c r="RI32">
        <f>SUMIFS(Detail!$AW:$AW,Detail!$G:$G,'Rates-Service Fees'!RI$23,Detail!$H:$H,'Rates-Service Fees'!RI$11)*100</f>
        <v>0</v>
      </c>
      <c r="RJ32">
        <f>SUMIFS(Detail!$AW:$AW,Detail!$G:$G,'Rates-Service Fees'!RJ$23,Detail!$H:$H,'Rates-Service Fees'!RJ$11)*100</f>
        <v>0</v>
      </c>
      <c r="RK32">
        <f>SUMIFS(Detail!$AW:$AW,Detail!$G:$G,'Rates-Service Fees'!RK$23,Detail!$H:$H,'Rates-Service Fees'!RK$11)*100</f>
        <v>0</v>
      </c>
      <c r="RL32">
        <f>SUMIFS(Detail!$AW:$AW,Detail!$G:$G,'Rates-Service Fees'!RL$23,Detail!$H:$H,'Rates-Service Fees'!RL$11)*100</f>
        <v>0</v>
      </c>
      <c r="RM32">
        <f>SUMIFS(Detail!$AW:$AW,Detail!$G:$G,'Rates-Service Fees'!RM$23,Detail!$H:$H,'Rates-Service Fees'!RM$11)*100</f>
        <v>0</v>
      </c>
      <c r="RN32">
        <f>SUMIFS(Detail!$AW:$AW,Detail!$G:$G,'Rates-Service Fees'!RN$23,Detail!$H:$H,'Rates-Service Fees'!RN$11)*100</f>
        <v>0</v>
      </c>
      <c r="RO32">
        <f>SUMIFS(Detail!$AW:$AW,Detail!$G:$G,'Rates-Service Fees'!RO$23,Detail!$H:$H,'Rates-Service Fees'!RO$11)*100</f>
        <v>0</v>
      </c>
      <c r="RP32">
        <f>SUMIFS(Detail!$AW:$AW,Detail!$G:$G,'Rates-Service Fees'!RP$23,Detail!$H:$H,'Rates-Service Fees'!RP$11)*100</f>
        <v>0</v>
      </c>
      <c r="RQ32">
        <f>SUMIFS(Detail!$AW:$AW,Detail!$G:$G,'Rates-Service Fees'!RQ$23,Detail!$H:$H,'Rates-Service Fees'!RQ$11)*100</f>
        <v>0</v>
      </c>
      <c r="RR32">
        <f>SUMIFS(Detail!$AW:$AW,Detail!$G:$G,'Rates-Service Fees'!RR$23,Detail!$H:$H,'Rates-Service Fees'!RR$11)*100</f>
        <v>0</v>
      </c>
      <c r="RS32">
        <f>SUMIFS(Detail!$AW:$AW,Detail!$G:$G,'Rates-Service Fees'!RS$23,Detail!$H:$H,'Rates-Service Fees'!RS$11)*100</f>
        <v>0</v>
      </c>
      <c r="RT32">
        <f>SUMIFS(Detail!$AW:$AW,Detail!$G:$G,'Rates-Service Fees'!RT$23,Detail!$H:$H,'Rates-Service Fees'!RT$11)*100</f>
        <v>0</v>
      </c>
      <c r="RU32">
        <f>SUMIFS(Detail!$AW:$AW,Detail!$G:$G,'Rates-Service Fees'!RU$23,Detail!$H:$H,'Rates-Service Fees'!RU$11)*100</f>
        <v>0</v>
      </c>
      <c r="RV32">
        <f>SUMIFS(Detail!$AW:$AW,Detail!$G:$G,'Rates-Service Fees'!RV$23,Detail!$H:$H,'Rates-Service Fees'!RV$11)*100</f>
        <v>0</v>
      </c>
      <c r="RW32">
        <f>SUMIFS(Detail!$AW:$AW,Detail!$G:$G,'Rates-Service Fees'!RW$23,Detail!$H:$H,'Rates-Service Fees'!RW$11)*100</f>
        <v>0</v>
      </c>
      <c r="RX32">
        <f>SUMIFS(Detail!$AW:$AW,Detail!$G:$G,'Rates-Service Fees'!RX$23,Detail!$H:$H,'Rates-Service Fees'!RX$11)*100</f>
        <v>0</v>
      </c>
      <c r="RY32">
        <f>SUMIFS(Detail!$AW:$AW,Detail!$G:$G,'Rates-Service Fees'!RY$23,Detail!$H:$H,'Rates-Service Fees'!RY$11)*100</f>
        <v>0</v>
      </c>
      <c r="RZ32">
        <f>SUMIFS(Detail!$AW:$AW,Detail!$G:$G,'Rates-Service Fees'!RZ$23,Detail!$H:$H,'Rates-Service Fees'!RZ$11)*100</f>
        <v>0</v>
      </c>
      <c r="SA32">
        <f>SUMIFS(Detail!$AW:$AW,Detail!$G:$G,'Rates-Service Fees'!SA$23,Detail!$H:$H,'Rates-Service Fees'!SA$11)*100</f>
        <v>0</v>
      </c>
      <c r="SB32">
        <f>SUMIFS(Detail!$AW:$AW,Detail!$G:$G,'Rates-Service Fees'!SB$23,Detail!$H:$H,'Rates-Service Fees'!SB$11)*100</f>
        <v>0</v>
      </c>
      <c r="SC32">
        <f>SUMIFS(Detail!$AW:$AW,Detail!$G:$G,'Rates-Service Fees'!SC$23,Detail!$H:$H,'Rates-Service Fees'!SC$11)*100</f>
        <v>0</v>
      </c>
      <c r="SD32">
        <f>SUMIFS(Detail!$AW:$AW,Detail!$G:$G,'Rates-Service Fees'!SD$23,Detail!$H:$H,'Rates-Service Fees'!SD$11)*100</f>
        <v>0</v>
      </c>
      <c r="SE32">
        <f>SUMIFS(Detail!$AW:$AW,Detail!$G:$G,'Rates-Service Fees'!SE$23,Detail!$H:$H,'Rates-Service Fees'!SE$11)*100</f>
        <v>0</v>
      </c>
      <c r="SF32">
        <f>SUMIFS(Detail!$AW:$AW,Detail!$G:$G,'Rates-Service Fees'!SF$23,Detail!$H:$H,'Rates-Service Fees'!SF$11)*100</f>
        <v>0</v>
      </c>
      <c r="SG32">
        <f>SUMIFS(Detail!$AW:$AW,Detail!$G:$G,'Rates-Service Fees'!SG$23,Detail!$H:$H,'Rates-Service Fees'!SG$11)*100</f>
        <v>0</v>
      </c>
      <c r="SH32">
        <f>SUMIFS(Detail!$AW:$AW,Detail!$G:$G,'Rates-Service Fees'!SH$23,Detail!$H:$H,'Rates-Service Fees'!SH$11)*100</f>
        <v>0</v>
      </c>
      <c r="SI32">
        <f>SUMIFS(Detail!$AW:$AW,Detail!$G:$G,'Rates-Service Fees'!SI$23,Detail!$H:$H,'Rates-Service Fees'!SI$11)*100</f>
        <v>0</v>
      </c>
      <c r="SJ32">
        <f>SUMIFS(Detail!$AW:$AW,Detail!$G:$G,'Rates-Service Fees'!SJ$23,Detail!$H:$H,'Rates-Service Fees'!SJ$11)*100</f>
        <v>0</v>
      </c>
      <c r="SK32">
        <f>SUMIFS(Detail!$AW:$AW,Detail!$G:$G,'Rates-Service Fees'!SK$23,Detail!$H:$H,'Rates-Service Fees'!SK$11)*100</f>
        <v>0</v>
      </c>
      <c r="SL32">
        <f>SUMIFS(Detail!$AW:$AW,Detail!$G:$G,'Rates-Service Fees'!SL$23,Detail!$H:$H,'Rates-Service Fees'!SL$11)*100</f>
        <v>0</v>
      </c>
      <c r="SM32">
        <f>SUMIFS(Detail!$AW:$AW,Detail!$G:$G,'Rates-Service Fees'!SM$23,Detail!$H:$H,'Rates-Service Fees'!SM$11)*100</f>
        <v>0</v>
      </c>
      <c r="SN32">
        <f>SUMIFS(Detail!$AW:$AW,Detail!$G:$G,'Rates-Service Fees'!SN$23,Detail!$H:$H,'Rates-Service Fees'!SN$11)*100</f>
        <v>0</v>
      </c>
      <c r="SO32">
        <f>SUMIFS(Detail!$AW:$AW,Detail!$G:$G,'Rates-Service Fees'!SO$23,Detail!$H:$H,'Rates-Service Fees'!SO$11)*100</f>
        <v>0</v>
      </c>
      <c r="SP32">
        <f>SUMIFS(Detail!$AW:$AW,Detail!$G:$G,'Rates-Service Fees'!SP$23,Detail!$H:$H,'Rates-Service Fees'!SP$11)*100</f>
        <v>0</v>
      </c>
      <c r="SQ32">
        <f>SUMIFS(Detail!$AW:$AW,Detail!$G:$G,'Rates-Service Fees'!SQ$23,Detail!$H:$H,'Rates-Service Fees'!SQ$11)*100</f>
        <v>0</v>
      </c>
      <c r="SR32">
        <f>SUMIFS(Detail!$AW:$AW,Detail!$G:$G,'Rates-Service Fees'!SR$23,Detail!$H:$H,'Rates-Service Fees'!SR$11)*100</f>
        <v>0</v>
      </c>
      <c r="SS32">
        <f>SUMIFS(Detail!$AW:$AW,Detail!$G:$G,'Rates-Service Fees'!SS$23,Detail!$H:$H,'Rates-Service Fees'!SS$11)*100</f>
        <v>0</v>
      </c>
      <c r="ST32">
        <f>SUMIFS(Detail!$AW:$AW,Detail!$G:$G,'Rates-Service Fees'!ST$23,Detail!$H:$H,'Rates-Service Fees'!ST$11)*100</f>
        <v>0</v>
      </c>
      <c r="SU32">
        <f>SUMIFS(Detail!$AW:$AW,Detail!$G:$G,'Rates-Service Fees'!SU$23,Detail!$H:$H,'Rates-Service Fees'!SU$11)*100</f>
        <v>0</v>
      </c>
      <c r="SV32">
        <f>SUMIFS(Detail!$AW:$AW,Detail!$G:$G,'Rates-Service Fees'!SV$23,Detail!$H:$H,'Rates-Service Fees'!SV$11)*100</f>
        <v>0</v>
      </c>
      <c r="SW32">
        <f>SUMIFS(Detail!$AW:$AW,Detail!$G:$G,'Rates-Service Fees'!SW$23,Detail!$H:$H,'Rates-Service Fees'!SW$11)*100</f>
        <v>0</v>
      </c>
      <c r="SX32">
        <f>SUMIFS(Detail!$AW:$AW,Detail!$G:$G,'Rates-Service Fees'!SX$23,Detail!$H:$H,'Rates-Service Fees'!SX$11)*100</f>
        <v>0</v>
      </c>
      <c r="SY32">
        <f>SUMIFS(Detail!$AW:$AW,Detail!$G:$G,'Rates-Service Fees'!SY$23,Detail!$H:$H,'Rates-Service Fees'!SY$11)*100</f>
        <v>0</v>
      </c>
      <c r="SZ32">
        <f>SUMIFS(Detail!$AW:$AW,Detail!$G:$G,'Rates-Service Fees'!SZ$23,Detail!$H:$H,'Rates-Service Fees'!SZ$11)*100</f>
        <v>0</v>
      </c>
      <c r="TA32">
        <f>SUMIFS(Detail!$AW:$AW,Detail!$G:$G,'Rates-Service Fees'!TA$23,Detail!$H:$H,'Rates-Service Fees'!TA$11)*100</f>
        <v>0</v>
      </c>
      <c r="TB32">
        <f>SUMIFS(Detail!$AW:$AW,Detail!$G:$G,'Rates-Service Fees'!TB$23,Detail!$H:$H,'Rates-Service Fees'!TB$11)*100</f>
        <v>0</v>
      </c>
      <c r="TC32">
        <f>SUMIFS(Detail!$AW:$AW,Detail!$G:$G,'Rates-Service Fees'!TC$23,Detail!$H:$H,'Rates-Service Fees'!TC$11)*100</f>
        <v>0</v>
      </c>
      <c r="TD32">
        <f>SUMIFS(Detail!$AW:$AW,Detail!$G:$G,'Rates-Service Fees'!TD$23,Detail!$H:$H,'Rates-Service Fees'!TD$11)*100</f>
        <v>0</v>
      </c>
      <c r="TE32">
        <f>SUMIFS(Detail!$AW:$AW,Detail!$G:$G,'Rates-Service Fees'!TE$23,Detail!$H:$H,'Rates-Service Fees'!TE$11)*100</f>
        <v>0</v>
      </c>
      <c r="TF32">
        <f>SUMIFS(Detail!$AW:$AW,Detail!$G:$G,'Rates-Service Fees'!TF$23,Detail!$H:$H,'Rates-Service Fees'!TF$11)*100</f>
        <v>0</v>
      </c>
      <c r="TG32">
        <f>SUMIFS(Detail!$AW:$AW,Detail!$G:$G,'Rates-Service Fees'!TG$23,Detail!$H:$H,'Rates-Service Fees'!TG$11)*100</f>
        <v>0</v>
      </c>
      <c r="TH32">
        <f>SUMIFS(Detail!$AW:$AW,Detail!$G:$G,'Rates-Service Fees'!TH$23,Detail!$H:$H,'Rates-Service Fees'!TH$11)*100</f>
        <v>0</v>
      </c>
      <c r="TI32">
        <f>SUMIFS(Detail!$AW:$AW,Detail!$G:$G,'Rates-Service Fees'!TI$23,Detail!$H:$H,'Rates-Service Fees'!TI$11)*100</f>
        <v>0</v>
      </c>
      <c r="TJ32">
        <f>SUMIFS(Detail!$AW:$AW,Detail!$G:$G,'Rates-Service Fees'!TJ$23,Detail!$H:$H,'Rates-Service Fees'!TJ$11)*100</f>
        <v>0</v>
      </c>
      <c r="TK32">
        <f>SUMIFS(Detail!$AW:$AW,Detail!$G:$G,'Rates-Service Fees'!TK$23,Detail!$H:$H,'Rates-Service Fees'!TK$11)*100</f>
        <v>0</v>
      </c>
      <c r="TL32">
        <f>SUMIFS(Detail!$AW:$AW,Detail!$G:$G,'Rates-Service Fees'!TL$23,Detail!$H:$H,'Rates-Service Fees'!TL$11)*100</f>
        <v>0</v>
      </c>
      <c r="TM32">
        <f>SUMIFS(Detail!$AW:$AW,Detail!$G:$G,'Rates-Service Fees'!TM$23,Detail!$H:$H,'Rates-Service Fees'!TM$11)*100</f>
        <v>0</v>
      </c>
      <c r="TN32">
        <f>SUMIFS(Detail!$AW:$AW,Detail!$G:$G,'Rates-Service Fees'!TN$23,Detail!$H:$H,'Rates-Service Fees'!TN$11)*100</f>
        <v>0</v>
      </c>
      <c r="TO32">
        <f>SUMIFS(Detail!$AW:$AW,Detail!$G:$G,'Rates-Service Fees'!TO$23,Detail!$H:$H,'Rates-Service Fees'!TO$11)*100</f>
        <v>0</v>
      </c>
      <c r="TP32">
        <f>SUMIFS(Detail!$AW:$AW,Detail!$G:$G,'Rates-Service Fees'!TP$23,Detail!$H:$H,'Rates-Service Fees'!TP$11)*100</f>
        <v>0</v>
      </c>
      <c r="TQ32">
        <f>SUMIFS(Detail!$AW:$AW,Detail!$G:$G,'Rates-Service Fees'!TQ$23,Detail!$H:$H,'Rates-Service Fees'!TQ$11)*100</f>
        <v>0</v>
      </c>
      <c r="TR32">
        <f>SUMIFS(Detail!$AW:$AW,Detail!$G:$G,'Rates-Service Fees'!TR$23,Detail!$H:$H,'Rates-Service Fees'!TR$11)*100</f>
        <v>0</v>
      </c>
      <c r="TS32">
        <f>SUMIFS(Detail!$AW:$AW,Detail!$G:$G,'Rates-Service Fees'!TS$23,Detail!$H:$H,'Rates-Service Fees'!TS$11)*100</f>
        <v>0</v>
      </c>
      <c r="TT32">
        <f>SUMIFS(Detail!$AW:$AW,Detail!$G:$G,'Rates-Service Fees'!TT$23,Detail!$H:$H,'Rates-Service Fees'!TT$11)*100</f>
        <v>0</v>
      </c>
      <c r="TU32">
        <f>SUMIFS(Detail!$AW:$AW,Detail!$G:$G,'Rates-Service Fees'!TU$23,Detail!$H:$H,'Rates-Service Fees'!TU$11)*100</f>
        <v>0</v>
      </c>
      <c r="TV32">
        <f>SUMIFS(Detail!$AW:$AW,Detail!$G:$G,'Rates-Service Fees'!TV$23,Detail!$H:$H,'Rates-Service Fees'!TV$11)*100</f>
        <v>0</v>
      </c>
      <c r="TW32">
        <f>SUMIFS(Detail!$AW:$AW,Detail!$G:$G,'Rates-Service Fees'!TW$23,Detail!$H:$H,'Rates-Service Fees'!TW$11)*100</f>
        <v>0</v>
      </c>
      <c r="TX32">
        <f>SUMIFS(Detail!$AW:$AW,Detail!$G:$G,'Rates-Service Fees'!TX$23,Detail!$H:$H,'Rates-Service Fees'!TX$11)*100</f>
        <v>0</v>
      </c>
      <c r="TY32">
        <f>SUMIFS(Detail!$AW:$AW,Detail!$G:$G,'Rates-Service Fees'!TY$23,Detail!$H:$H,'Rates-Service Fees'!TY$11)*100</f>
        <v>0</v>
      </c>
      <c r="TZ32">
        <f>SUMIFS(Detail!$AW:$AW,Detail!$G:$G,'Rates-Service Fees'!TZ$23,Detail!$H:$H,'Rates-Service Fees'!TZ$11)*100</f>
        <v>0</v>
      </c>
      <c r="UA32">
        <f>SUMIFS(Detail!$AW:$AW,Detail!$G:$G,'Rates-Service Fees'!UA$23,Detail!$H:$H,'Rates-Service Fees'!UA$11)*100</f>
        <v>0</v>
      </c>
      <c r="UB32">
        <f>SUMIFS(Detail!$AW:$AW,Detail!$G:$G,'Rates-Service Fees'!UB$23,Detail!$H:$H,'Rates-Service Fees'!UB$11)*100</f>
        <v>0</v>
      </c>
      <c r="UC32">
        <f>SUMIFS(Detail!$AW:$AW,Detail!$G:$G,'Rates-Service Fees'!UC$23,Detail!$H:$H,'Rates-Service Fees'!UC$11)*100</f>
        <v>0</v>
      </c>
      <c r="UD32">
        <f>SUMIFS(Detail!$AW:$AW,Detail!$G:$G,'Rates-Service Fees'!UD$23,Detail!$H:$H,'Rates-Service Fees'!UD$11)*100</f>
        <v>0</v>
      </c>
      <c r="UE32">
        <f>SUMIFS(Detail!$AW:$AW,Detail!$G:$G,'Rates-Service Fees'!UE$23,Detail!$H:$H,'Rates-Service Fees'!UE$11)*100</f>
        <v>0</v>
      </c>
      <c r="UF32">
        <f>SUMIFS(Detail!$AW:$AW,Detail!$G:$G,'Rates-Service Fees'!UF$23,Detail!$H:$H,'Rates-Service Fees'!UF$11)*100</f>
        <v>0</v>
      </c>
      <c r="UG32">
        <f>SUMIFS(Detail!$AW:$AW,Detail!$G:$G,'Rates-Service Fees'!UG$23,Detail!$H:$H,'Rates-Service Fees'!UG$11)*100</f>
        <v>0</v>
      </c>
      <c r="UH32">
        <f>SUMIFS(Detail!$AW:$AW,Detail!$G:$G,'Rates-Service Fees'!UH$23,Detail!$H:$H,'Rates-Service Fees'!UH$11)*100</f>
        <v>0</v>
      </c>
      <c r="UI32">
        <f>SUMIFS(Detail!$AW:$AW,Detail!$G:$G,'Rates-Service Fees'!UI$23,Detail!$H:$H,'Rates-Service Fees'!UI$11)*100</f>
        <v>0</v>
      </c>
      <c r="UJ32">
        <f>SUMIFS(Detail!$AW:$AW,Detail!$G:$G,'Rates-Service Fees'!UJ$23,Detail!$H:$H,'Rates-Service Fees'!UJ$11)*100</f>
        <v>0</v>
      </c>
      <c r="UK32">
        <f>SUMIFS(Detail!$AW:$AW,Detail!$G:$G,'Rates-Service Fees'!UK$23,Detail!$H:$H,'Rates-Service Fees'!UK$11)*100</f>
        <v>0</v>
      </c>
      <c r="UL32">
        <f>SUMIFS(Detail!$AW:$AW,Detail!$G:$G,'Rates-Service Fees'!UL$23,Detail!$H:$H,'Rates-Service Fees'!UL$11)*100</f>
        <v>0</v>
      </c>
      <c r="UM32">
        <f>SUMIFS(Detail!$AW:$AW,Detail!$G:$G,'Rates-Service Fees'!UM$23,Detail!$H:$H,'Rates-Service Fees'!UM$11)*100</f>
        <v>0</v>
      </c>
      <c r="UN32">
        <f>SUMIFS(Detail!$AW:$AW,Detail!$G:$G,'Rates-Service Fees'!UN$23,Detail!$H:$H,'Rates-Service Fees'!UN$11)*100</f>
        <v>0</v>
      </c>
      <c r="UO32">
        <f>SUMIFS(Detail!$AW:$AW,Detail!$G:$G,'Rates-Service Fees'!UO$23,Detail!$H:$H,'Rates-Service Fees'!UO$11)*100</f>
        <v>0</v>
      </c>
      <c r="UP32">
        <f>SUMIFS(Detail!$AW:$AW,Detail!$G:$G,'Rates-Service Fees'!UP$23,Detail!$H:$H,'Rates-Service Fees'!UP$11)*100</f>
        <v>0</v>
      </c>
      <c r="UQ32">
        <f>SUMIFS(Detail!$AW:$AW,Detail!$G:$G,'Rates-Service Fees'!UQ$23,Detail!$H:$H,'Rates-Service Fees'!UQ$11)*100</f>
        <v>0</v>
      </c>
      <c r="UR32">
        <f>SUMIFS(Detail!$AW:$AW,Detail!$G:$G,'Rates-Service Fees'!UR$23,Detail!$H:$H,'Rates-Service Fees'!UR$11)*100</f>
        <v>0</v>
      </c>
      <c r="US32">
        <f>SUMIFS(Detail!$AW:$AW,Detail!$G:$G,'Rates-Service Fees'!US$23,Detail!$H:$H,'Rates-Service Fees'!US$11)*100</f>
        <v>0</v>
      </c>
      <c r="UT32">
        <f>SUMIFS(Detail!$AW:$AW,Detail!$G:$G,'Rates-Service Fees'!UT$23,Detail!$H:$H,'Rates-Service Fees'!UT$11)*100</f>
        <v>0</v>
      </c>
      <c r="UU32">
        <f>SUMIFS(Detail!$AW:$AW,Detail!$G:$G,'Rates-Service Fees'!UU$23,Detail!$H:$H,'Rates-Service Fees'!UU$11)*100</f>
        <v>0</v>
      </c>
      <c r="UV32">
        <f>SUMIFS(Detail!$AW:$AW,Detail!$G:$G,'Rates-Service Fees'!UV$23,Detail!$H:$H,'Rates-Service Fees'!UV$11)*100</f>
        <v>0</v>
      </c>
      <c r="UW32">
        <f>SUMIFS(Detail!$AW:$AW,Detail!$G:$G,'Rates-Service Fees'!UW$23,Detail!$H:$H,'Rates-Service Fees'!UW$11)*100</f>
        <v>0</v>
      </c>
      <c r="UX32">
        <f>SUMIFS(Detail!$AW:$AW,Detail!$G:$G,'Rates-Service Fees'!UX$23,Detail!$H:$H,'Rates-Service Fees'!UX$11)*100</f>
        <v>0</v>
      </c>
      <c r="UY32">
        <f>SUMIFS(Detail!$AW:$AW,Detail!$G:$G,'Rates-Service Fees'!UY$23,Detail!$H:$H,'Rates-Service Fees'!UY$11)*100</f>
        <v>0</v>
      </c>
      <c r="UZ32">
        <f>SUMIFS(Detail!$AW:$AW,Detail!$G:$G,'Rates-Service Fees'!UZ$23,Detail!$H:$H,'Rates-Service Fees'!UZ$11)*100</f>
        <v>0</v>
      </c>
      <c r="VA32">
        <f>SUMIFS(Detail!$AW:$AW,Detail!$G:$G,'Rates-Service Fees'!VA$23,Detail!$H:$H,'Rates-Service Fees'!VA$11)*100</f>
        <v>0</v>
      </c>
      <c r="VB32">
        <f>SUMIFS(Detail!$AW:$AW,Detail!$G:$G,'Rates-Service Fees'!VB$23,Detail!$H:$H,'Rates-Service Fees'!VB$11)*100</f>
        <v>0</v>
      </c>
      <c r="VC32">
        <f>SUMIFS(Detail!$AW:$AW,Detail!$G:$G,'Rates-Service Fees'!VC$23,Detail!$H:$H,'Rates-Service Fees'!VC$11)*100</f>
        <v>0</v>
      </c>
      <c r="VD32">
        <f>SUMIFS(Detail!$AW:$AW,Detail!$G:$G,'Rates-Service Fees'!VD$23,Detail!$H:$H,'Rates-Service Fees'!VD$11)*100</f>
        <v>0</v>
      </c>
      <c r="VE32">
        <f>SUMIFS(Detail!$AW:$AW,Detail!$G:$G,'Rates-Service Fees'!VE$23,Detail!$H:$H,'Rates-Service Fees'!VE$11)*100</f>
        <v>0</v>
      </c>
      <c r="VF32">
        <f>SUMIFS(Detail!$AW:$AW,Detail!$G:$G,'Rates-Service Fees'!VF$23,Detail!$H:$H,'Rates-Service Fees'!VF$11)*100</f>
        <v>0</v>
      </c>
      <c r="VG32">
        <f>SUMIFS(Detail!$AW:$AW,Detail!$G:$G,'Rates-Service Fees'!VG$23,Detail!$H:$H,'Rates-Service Fees'!VG$11)*100</f>
        <v>0</v>
      </c>
      <c r="VH32">
        <f>SUMIFS(Detail!$AW:$AW,Detail!$G:$G,'Rates-Service Fees'!VH$23,Detail!$H:$H,'Rates-Service Fees'!VH$11)*100</f>
        <v>0</v>
      </c>
      <c r="VI32">
        <f>SUMIFS(Detail!$AW:$AW,Detail!$G:$G,'Rates-Service Fees'!VI$23,Detail!$H:$H,'Rates-Service Fees'!VI$11)*100</f>
        <v>0</v>
      </c>
      <c r="VJ32">
        <f>SUMIFS(Detail!$AW:$AW,Detail!$G:$G,'Rates-Service Fees'!VJ$23,Detail!$H:$H,'Rates-Service Fees'!VJ$11)*100</f>
        <v>0</v>
      </c>
      <c r="VK32">
        <f>SUMIFS(Detail!$AW:$AW,Detail!$G:$G,'Rates-Service Fees'!VK$23,Detail!$H:$H,'Rates-Service Fees'!VK$11)*100</f>
        <v>0</v>
      </c>
      <c r="VL32">
        <f>SUMIFS(Detail!$AW:$AW,Detail!$G:$G,'Rates-Service Fees'!VL$23,Detail!$H:$H,'Rates-Service Fees'!VL$11)*100</f>
        <v>0</v>
      </c>
      <c r="VM32">
        <f>SUMIFS(Detail!$AW:$AW,Detail!$G:$G,'Rates-Service Fees'!VM$23,Detail!$H:$H,'Rates-Service Fees'!VM$11)*100</f>
        <v>0</v>
      </c>
      <c r="VN32">
        <f>SUMIFS(Detail!$AW:$AW,Detail!$G:$G,'Rates-Service Fees'!VN$23,Detail!$H:$H,'Rates-Service Fees'!VN$11)*100</f>
        <v>0</v>
      </c>
      <c r="VO32">
        <f>SUMIFS(Detail!$AW:$AW,Detail!$G:$G,'Rates-Service Fees'!VO$23,Detail!$H:$H,'Rates-Service Fees'!VO$11)*100</f>
        <v>0</v>
      </c>
      <c r="VP32">
        <f>SUMIFS(Detail!$AW:$AW,Detail!$G:$G,'Rates-Service Fees'!VP$23,Detail!$H:$H,'Rates-Service Fees'!VP$11)*100</f>
        <v>0</v>
      </c>
      <c r="VQ32">
        <f>SUMIFS(Detail!$AW:$AW,Detail!$G:$G,'Rates-Service Fees'!VQ$23,Detail!$H:$H,'Rates-Service Fees'!VQ$11)*100</f>
        <v>0</v>
      </c>
      <c r="VR32">
        <f>SUMIFS(Detail!$AW:$AW,Detail!$G:$G,'Rates-Service Fees'!VR$23,Detail!$H:$H,'Rates-Service Fees'!VR$11)*100</f>
        <v>0</v>
      </c>
      <c r="VS32">
        <f>SUMIFS(Detail!$AW:$AW,Detail!$G:$G,'Rates-Service Fees'!VS$23,Detail!$H:$H,'Rates-Service Fees'!VS$11)*100</f>
        <v>0</v>
      </c>
      <c r="VT32">
        <f>SUMIFS(Detail!$AW:$AW,Detail!$G:$G,'Rates-Service Fees'!VT$23,Detail!$H:$H,'Rates-Service Fees'!VT$11)*100</f>
        <v>0</v>
      </c>
      <c r="VU32">
        <f>SUMIFS(Detail!$AW:$AW,Detail!$G:$G,'Rates-Service Fees'!VU$23,Detail!$H:$H,'Rates-Service Fees'!VU$11)*100</f>
        <v>0</v>
      </c>
      <c r="VV32">
        <f>SUMIFS(Detail!$AW:$AW,Detail!$G:$G,'Rates-Service Fees'!VV$23,Detail!$H:$H,'Rates-Service Fees'!VV$11)*100</f>
        <v>0</v>
      </c>
      <c r="VW32">
        <f>SUMIFS(Detail!$AW:$AW,Detail!$G:$G,'Rates-Service Fees'!VW$23,Detail!$H:$H,'Rates-Service Fees'!VW$11)*100</f>
        <v>0</v>
      </c>
      <c r="VX32">
        <f>SUMIFS(Detail!$AW:$AW,Detail!$G:$G,'Rates-Service Fees'!VX$23,Detail!$H:$H,'Rates-Service Fees'!VX$11)*100</f>
        <v>0</v>
      </c>
      <c r="VY32">
        <f>SUMIFS(Detail!$AW:$AW,Detail!$G:$G,'Rates-Service Fees'!VY$23,Detail!$H:$H,'Rates-Service Fees'!VY$11)*100</f>
        <v>0</v>
      </c>
      <c r="VZ32">
        <f>SUMIFS(Detail!$AW:$AW,Detail!$G:$G,'Rates-Service Fees'!VZ$23,Detail!$H:$H,'Rates-Service Fees'!VZ$11)*100</f>
        <v>0</v>
      </c>
      <c r="WA32">
        <f>SUMIFS(Detail!$AW:$AW,Detail!$G:$G,'Rates-Service Fees'!WA$23,Detail!$H:$H,'Rates-Service Fees'!WA$11)*100</f>
        <v>0</v>
      </c>
      <c r="WB32">
        <f>SUMIFS(Detail!$AW:$AW,Detail!$G:$G,'Rates-Service Fees'!WB$23,Detail!$H:$H,'Rates-Service Fees'!WB$11)*100</f>
        <v>0</v>
      </c>
      <c r="WC32">
        <f>SUMIFS(Detail!$AW:$AW,Detail!$G:$G,'Rates-Service Fees'!WC$23,Detail!$H:$H,'Rates-Service Fees'!WC$11)*100</f>
        <v>0</v>
      </c>
      <c r="WD32">
        <f>SUMIFS(Detail!$AW:$AW,Detail!$G:$G,'Rates-Service Fees'!WD$23,Detail!$H:$H,'Rates-Service Fees'!WD$11)*100</f>
        <v>0</v>
      </c>
      <c r="WE32">
        <f>SUMIFS(Detail!$AW:$AW,Detail!$G:$G,'Rates-Service Fees'!WE$23,Detail!$H:$H,'Rates-Service Fees'!WE$11)*100</f>
        <v>0</v>
      </c>
      <c r="WF32">
        <f>SUMIFS(Detail!$AW:$AW,Detail!$G:$G,'Rates-Service Fees'!WF$23,Detail!$H:$H,'Rates-Service Fees'!WF$11)*100</f>
        <v>0</v>
      </c>
      <c r="WG32">
        <f>SUMIFS(Detail!$AW:$AW,Detail!$G:$G,'Rates-Service Fees'!WG$23,Detail!$H:$H,'Rates-Service Fees'!WG$11)*100</f>
        <v>0</v>
      </c>
      <c r="WH32">
        <f>SUMIFS(Detail!$AW:$AW,Detail!$G:$G,'Rates-Service Fees'!WH$23,Detail!$H:$H,'Rates-Service Fees'!WH$11)*100</f>
        <v>0</v>
      </c>
      <c r="WI32">
        <f>SUMIFS(Detail!$AW:$AW,Detail!$G:$G,'Rates-Service Fees'!WI$23,Detail!$H:$H,'Rates-Service Fees'!WI$11)*100</f>
        <v>0</v>
      </c>
      <c r="WJ32">
        <f>SUMIFS(Detail!$AW:$AW,Detail!$G:$G,'Rates-Service Fees'!WJ$23,Detail!$H:$H,'Rates-Service Fees'!WJ$11)*100</f>
        <v>0</v>
      </c>
      <c r="WK32">
        <f>SUMIFS(Detail!$AW:$AW,Detail!$G:$G,'Rates-Service Fees'!WK$23,Detail!$H:$H,'Rates-Service Fees'!WK$11)*100</f>
        <v>0</v>
      </c>
      <c r="WL32">
        <f>SUMIFS(Detail!$AW:$AW,Detail!$G:$G,'Rates-Service Fees'!WL$23,Detail!$H:$H,'Rates-Service Fees'!WL$11)*100</f>
        <v>0</v>
      </c>
      <c r="WM32">
        <f>SUMIFS(Detail!$AW:$AW,Detail!$G:$G,'Rates-Service Fees'!WM$23,Detail!$H:$H,'Rates-Service Fees'!WM$11)*100</f>
        <v>0</v>
      </c>
      <c r="WN32">
        <f>SUMIFS(Detail!$AW:$AW,Detail!$G:$G,'Rates-Service Fees'!WN$23,Detail!$H:$H,'Rates-Service Fees'!WN$11)*100</f>
        <v>0</v>
      </c>
      <c r="WO32">
        <f>SUMIFS(Detail!$AW:$AW,Detail!$G:$G,'Rates-Service Fees'!WO$23,Detail!$H:$H,'Rates-Service Fees'!WO$11)*100</f>
        <v>0</v>
      </c>
      <c r="WP32">
        <f>SUMIFS(Detail!$AW:$AW,Detail!$G:$G,'Rates-Service Fees'!WP$23,Detail!$H:$H,'Rates-Service Fees'!WP$11)*100</f>
        <v>0</v>
      </c>
      <c r="WQ32">
        <f>SUMIFS(Detail!$AW:$AW,Detail!$G:$G,'Rates-Service Fees'!WQ$23,Detail!$H:$H,'Rates-Service Fees'!WQ$11)*100</f>
        <v>0</v>
      </c>
      <c r="WR32">
        <f>SUMIFS(Detail!$AW:$AW,Detail!$G:$G,'Rates-Service Fees'!WR$23,Detail!$H:$H,'Rates-Service Fees'!WR$11)*100</f>
        <v>0</v>
      </c>
      <c r="WS32">
        <f>SUMIFS(Detail!$AW:$AW,Detail!$G:$G,'Rates-Service Fees'!WS$23,Detail!$H:$H,'Rates-Service Fees'!WS$11)*100</f>
        <v>0</v>
      </c>
      <c r="WT32">
        <f>SUMIFS(Detail!$AW:$AW,Detail!$G:$G,'Rates-Service Fees'!WT$23,Detail!$H:$H,'Rates-Service Fees'!WT$11)*100</f>
        <v>0</v>
      </c>
      <c r="WU32">
        <f>SUMIFS(Detail!$AW:$AW,Detail!$G:$G,'Rates-Service Fees'!WU$23,Detail!$H:$H,'Rates-Service Fees'!WU$11)*100</f>
        <v>0</v>
      </c>
      <c r="WV32">
        <f>SUMIFS(Detail!$AW:$AW,Detail!$G:$G,'Rates-Service Fees'!WV$23,Detail!$H:$H,'Rates-Service Fees'!WV$11)*100</f>
        <v>0</v>
      </c>
      <c r="WW32">
        <f>SUMIFS(Detail!$AW:$AW,Detail!$G:$G,'Rates-Service Fees'!WW$23,Detail!$H:$H,'Rates-Service Fees'!WW$11)*100</f>
        <v>0</v>
      </c>
      <c r="WX32">
        <f>SUMIFS(Detail!$AW:$AW,Detail!$G:$G,'Rates-Service Fees'!WX$23,Detail!$H:$H,'Rates-Service Fees'!WX$11)*100</f>
        <v>0</v>
      </c>
      <c r="WY32">
        <f>SUMIFS(Detail!$AW:$AW,Detail!$G:$G,'Rates-Service Fees'!WY$23,Detail!$H:$H,'Rates-Service Fees'!WY$11)*100</f>
        <v>0</v>
      </c>
      <c r="WZ32">
        <f>SUMIFS(Detail!$AW:$AW,Detail!$G:$G,'Rates-Service Fees'!WZ$23,Detail!$H:$H,'Rates-Service Fees'!WZ$11)*100</f>
        <v>0</v>
      </c>
      <c r="XA32">
        <f>SUMIFS(Detail!$AW:$AW,Detail!$G:$G,'Rates-Service Fees'!XA$23,Detail!$H:$H,'Rates-Service Fees'!XA$11)*100</f>
        <v>0</v>
      </c>
      <c r="XB32">
        <f>SUMIFS(Detail!$AW:$AW,Detail!$G:$G,'Rates-Service Fees'!XB$23,Detail!$H:$H,'Rates-Service Fees'!XB$11)*100</f>
        <v>0</v>
      </c>
      <c r="XC32">
        <f>SUMIFS(Detail!$AW:$AW,Detail!$G:$G,'Rates-Service Fees'!XC$23,Detail!$H:$H,'Rates-Service Fees'!XC$11)*100</f>
        <v>0</v>
      </c>
      <c r="XD32">
        <f>SUMIFS(Detail!$AW:$AW,Detail!$G:$G,'Rates-Service Fees'!XD$23,Detail!$H:$H,'Rates-Service Fees'!XD$11)*100</f>
        <v>0</v>
      </c>
      <c r="XE32">
        <f>SUMIFS(Detail!$AW:$AW,Detail!$G:$G,'Rates-Service Fees'!XE$23,Detail!$H:$H,'Rates-Service Fees'!XE$11)*100</f>
        <v>0</v>
      </c>
      <c r="XF32">
        <f>SUMIFS(Detail!$AW:$AW,Detail!$G:$G,'Rates-Service Fees'!XF$23,Detail!$H:$H,'Rates-Service Fees'!XF$11)*100</f>
        <v>0</v>
      </c>
      <c r="XG32">
        <f>SUMIFS(Detail!$AW:$AW,Detail!$G:$G,'Rates-Service Fees'!XG$23,Detail!$H:$H,'Rates-Service Fees'!XG$11)*100</f>
        <v>0</v>
      </c>
      <c r="XH32">
        <f>SUMIFS(Detail!$AW:$AW,Detail!$G:$G,'Rates-Service Fees'!XH$23,Detail!$H:$H,'Rates-Service Fees'!XH$11)*100</f>
        <v>0</v>
      </c>
      <c r="XI32">
        <f>SUMIFS(Detail!$AW:$AW,Detail!$G:$G,'Rates-Service Fees'!XI$23,Detail!$H:$H,'Rates-Service Fees'!XI$11)*100</f>
        <v>0</v>
      </c>
      <c r="XJ32">
        <f>SUMIFS(Detail!$AW:$AW,Detail!$G:$G,'Rates-Service Fees'!XJ$23,Detail!$H:$H,'Rates-Service Fees'!XJ$11)*100</f>
        <v>0</v>
      </c>
      <c r="XK32">
        <f>SUMIFS(Detail!$AW:$AW,Detail!$G:$G,'Rates-Service Fees'!XK$23,Detail!$H:$H,'Rates-Service Fees'!XK$11)*100</f>
        <v>0</v>
      </c>
      <c r="XL32">
        <f>SUMIFS(Detail!$AW:$AW,Detail!$G:$G,'Rates-Service Fees'!XL$23,Detail!$H:$H,'Rates-Service Fees'!XL$11)*100</f>
        <v>0</v>
      </c>
      <c r="XM32">
        <f>SUMIFS(Detail!$AW:$AW,Detail!$G:$G,'Rates-Service Fees'!XM$23,Detail!$H:$H,'Rates-Service Fees'!XM$11)*100</f>
        <v>0</v>
      </c>
      <c r="XN32">
        <f>SUMIFS(Detail!$AW:$AW,Detail!$G:$G,'Rates-Service Fees'!XN$23,Detail!$H:$H,'Rates-Service Fees'!XN$11)*100</f>
        <v>0</v>
      </c>
      <c r="XO32">
        <f>SUMIFS(Detail!$AW:$AW,Detail!$G:$G,'Rates-Service Fees'!XO$23,Detail!$H:$H,'Rates-Service Fees'!XO$11)*100</f>
        <v>0</v>
      </c>
      <c r="XP32">
        <f>SUMIFS(Detail!$AW:$AW,Detail!$G:$G,'Rates-Service Fees'!XP$23,Detail!$H:$H,'Rates-Service Fees'!XP$11)*100</f>
        <v>0</v>
      </c>
      <c r="XQ32">
        <f>SUMIFS(Detail!$AW:$AW,Detail!$G:$G,'Rates-Service Fees'!XQ$23,Detail!$H:$H,'Rates-Service Fees'!XQ$11)*100</f>
        <v>0</v>
      </c>
      <c r="XR32">
        <f>SUMIFS(Detail!$AW:$AW,Detail!$G:$G,'Rates-Service Fees'!XR$23,Detail!$H:$H,'Rates-Service Fees'!XR$11)*100</f>
        <v>0</v>
      </c>
      <c r="XS32">
        <f>SUMIFS(Detail!$AW:$AW,Detail!$G:$G,'Rates-Service Fees'!XS$23,Detail!$H:$H,'Rates-Service Fees'!XS$11)*100</f>
        <v>0</v>
      </c>
      <c r="XT32">
        <f>SUMIFS(Detail!$AW:$AW,Detail!$G:$G,'Rates-Service Fees'!XT$23,Detail!$H:$H,'Rates-Service Fees'!XT$11)*100</f>
        <v>0</v>
      </c>
      <c r="XU32">
        <f>SUMIFS(Detail!$AW:$AW,Detail!$G:$G,'Rates-Service Fees'!XU$23,Detail!$H:$H,'Rates-Service Fees'!XU$11)*100</f>
        <v>0</v>
      </c>
      <c r="XV32">
        <f>SUMIFS(Detail!$AW:$AW,Detail!$G:$G,'Rates-Service Fees'!XV$23,Detail!$H:$H,'Rates-Service Fees'!XV$11)*100</f>
        <v>0</v>
      </c>
      <c r="XW32">
        <f>SUMIFS(Detail!$AW:$AW,Detail!$G:$G,'Rates-Service Fees'!XW$23,Detail!$H:$H,'Rates-Service Fees'!XW$11)*100</f>
        <v>0</v>
      </c>
      <c r="XX32">
        <f>SUMIFS(Detail!$AW:$AW,Detail!$G:$G,'Rates-Service Fees'!XX$23,Detail!$H:$H,'Rates-Service Fees'!XX$11)*100</f>
        <v>0</v>
      </c>
      <c r="XY32">
        <f>SUMIFS(Detail!$AW:$AW,Detail!$G:$G,'Rates-Service Fees'!XY$23,Detail!$H:$H,'Rates-Service Fees'!XY$11)*100</f>
        <v>0</v>
      </c>
      <c r="XZ32">
        <f>SUMIFS(Detail!$AW:$AW,Detail!$G:$G,'Rates-Service Fees'!XZ$23,Detail!$H:$H,'Rates-Service Fees'!XZ$11)*100</f>
        <v>0</v>
      </c>
      <c r="YA32">
        <f>SUMIFS(Detail!$AW:$AW,Detail!$G:$G,'Rates-Service Fees'!YA$23,Detail!$H:$H,'Rates-Service Fees'!YA$11)*100</f>
        <v>0</v>
      </c>
      <c r="YB32">
        <f>SUMIFS(Detail!$AW:$AW,Detail!$G:$G,'Rates-Service Fees'!YB$23,Detail!$H:$H,'Rates-Service Fees'!YB$11)*100</f>
        <v>0</v>
      </c>
      <c r="YC32">
        <f>SUMIFS(Detail!$AW:$AW,Detail!$G:$G,'Rates-Service Fees'!YC$23,Detail!$H:$H,'Rates-Service Fees'!YC$11)*100</f>
        <v>0</v>
      </c>
      <c r="YD32">
        <f>SUMIFS(Detail!$AW:$AW,Detail!$G:$G,'Rates-Service Fees'!YD$23,Detail!$H:$H,'Rates-Service Fees'!YD$11)*100</f>
        <v>0</v>
      </c>
      <c r="YE32">
        <f>SUMIFS(Detail!$AW:$AW,Detail!$G:$G,'Rates-Service Fees'!YE$23,Detail!$H:$H,'Rates-Service Fees'!YE$11)*100</f>
        <v>0</v>
      </c>
      <c r="YF32">
        <f>SUMIFS(Detail!$AW:$AW,Detail!$G:$G,'Rates-Service Fees'!YF$23,Detail!$H:$H,'Rates-Service Fees'!YF$11)*100</f>
        <v>0</v>
      </c>
      <c r="YG32">
        <f>SUMIFS(Detail!$AW:$AW,Detail!$G:$G,'Rates-Service Fees'!YG$23,Detail!$H:$H,'Rates-Service Fees'!YG$11)*100</f>
        <v>0</v>
      </c>
      <c r="YH32">
        <f>SUMIFS(Detail!$AW:$AW,Detail!$G:$G,'Rates-Service Fees'!YH$23,Detail!$H:$H,'Rates-Service Fees'!YH$11)*100</f>
        <v>0</v>
      </c>
      <c r="YI32">
        <f>SUMIFS(Detail!$AW:$AW,Detail!$G:$G,'Rates-Service Fees'!YI$23,Detail!$H:$H,'Rates-Service Fees'!YI$11)*100</f>
        <v>0</v>
      </c>
      <c r="YJ32">
        <f>SUMIFS(Detail!$AW:$AW,Detail!$G:$G,'Rates-Service Fees'!YJ$23,Detail!$H:$H,'Rates-Service Fees'!YJ$11)*100</f>
        <v>0</v>
      </c>
      <c r="YK32">
        <f>SUMIFS(Detail!$AW:$AW,Detail!$G:$G,'Rates-Service Fees'!YK$23,Detail!$H:$H,'Rates-Service Fees'!YK$11)*100</f>
        <v>0</v>
      </c>
      <c r="YL32">
        <f>SUMIFS(Detail!$AW:$AW,Detail!$G:$G,'Rates-Service Fees'!YL$23,Detail!$H:$H,'Rates-Service Fees'!YL$11)*100</f>
        <v>0</v>
      </c>
      <c r="YM32">
        <f>SUMIFS(Detail!$AW:$AW,Detail!$G:$G,'Rates-Service Fees'!YM$23,Detail!$H:$H,'Rates-Service Fees'!YM$11)*100</f>
        <v>0</v>
      </c>
      <c r="YN32">
        <f>SUMIFS(Detail!$AW:$AW,Detail!$G:$G,'Rates-Service Fees'!YN$23,Detail!$H:$H,'Rates-Service Fees'!YN$11)*100</f>
        <v>0</v>
      </c>
      <c r="YO32">
        <f>SUMIFS(Detail!$AW:$AW,Detail!$G:$G,'Rates-Service Fees'!YO$23,Detail!$H:$H,'Rates-Service Fees'!YO$11)*100</f>
        <v>0</v>
      </c>
      <c r="YP32">
        <f>SUMIFS(Detail!$AW:$AW,Detail!$G:$G,'Rates-Service Fees'!YP$23,Detail!$H:$H,'Rates-Service Fees'!YP$11)*100</f>
        <v>0</v>
      </c>
      <c r="YQ32">
        <f>SUMIFS(Detail!$AW:$AW,Detail!$G:$G,'Rates-Service Fees'!YQ$23,Detail!$H:$H,'Rates-Service Fees'!YQ$11)*100</f>
        <v>0</v>
      </c>
      <c r="YR32">
        <f>SUMIFS(Detail!$AW:$AW,Detail!$G:$G,'Rates-Service Fees'!YR$23,Detail!$H:$H,'Rates-Service Fees'!YR$11)*100</f>
        <v>0</v>
      </c>
      <c r="YS32">
        <f>SUMIFS(Detail!$AW:$AW,Detail!$G:$G,'Rates-Service Fees'!YS$23,Detail!$H:$H,'Rates-Service Fees'!YS$11)*100</f>
        <v>0</v>
      </c>
      <c r="YT32">
        <f>SUMIFS(Detail!$AW:$AW,Detail!$G:$G,'Rates-Service Fees'!YT$23,Detail!$H:$H,'Rates-Service Fees'!YT$11)*100</f>
        <v>0</v>
      </c>
      <c r="YU32">
        <f>SUMIFS(Detail!$AW:$AW,Detail!$G:$G,'Rates-Service Fees'!YU$23,Detail!$H:$H,'Rates-Service Fees'!YU$11)*100</f>
        <v>0</v>
      </c>
      <c r="YV32">
        <f>SUMIFS(Detail!$AW:$AW,Detail!$G:$G,'Rates-Service Fees'!YV$23,Detail!$H:$H,'Rates-Service Fees'!YV$11)*100</f>
        <v>0</v>
      </c>
      <c r="YW32">
        <f>SUMIFS(Detail!$AW:$AW,Detail!$G:$G,'Rates-Service Fees'!YW$23,Detail!$H:$H,'Rates-Service Fees'!YW$11)*100</f>
        <v>0</v>
      </c>
      <c r="YX32">
        <f>SUMIFS(Detail!$AW:$AW,Detail!$G:$G,'Rates-Service Fees'!YX$23,Detail!$H:$H,'Rates-Service Fees'!YX$11)*100</f>
        <v>0</v>
      </c>
      <c r="YY32">
        <f>SUMIFS(Detail!$AW:$AW,Detail!$G:$G,'Rates-Service Fees'!YY$23,Detail!$H:$H,'Rates-Service Fees'!YY$11)*100</f>
        <v>0</v>
      </c>
      <c r="YZ32">
        <f>SUMIFS(Detail!$AW:$AW,Detail!$G:$G,'Rates-Service Fees'!YZ$23,Detail!$H:$H,'Rates-Service Fees'!YZ$11)*100</f>
        <v>0</v>
      </c>
      <c r="ZA32">
        <f>SUMIFS(Detail!$AW:$AW,Detail!$G:$G,'Rates-Service Fees'!ZA$23,Detail!$H:$H,'Rates-Service Fees'!ZA$11)*100</f>
        <v>0</v>
      </c>
      <c r="ZB32">
        <f>SUMIFS(Detail!$AW:$AW,Detail!$G:$G,'Rates-Service Fees'!ZB$23,Detail!$H:$H,'Rates-Service Fees'!ZB$11)*100</f>
        <v>0</v>
      </c>
      <c r="ZC32">
        <f>SUMIFS(Detail!$AW:$AW,Detail!$G:$G,'Rates-Service Fees'!ZC$23,Detail!$H:$H,'Rates-Service Fees'!ZC$11)*100</f>
        <v>0</v>
      </c>
      <c r="ZD32">
        <f>SUMIFS(Detail!$AW:$AW,Detail!$G:$G,'Rates-Service Fees'!ZD$23,Detail!$H:$H,'Rates-Service Fees'!ZD$11)*100</f>
        <v>0</v>
      </c>
      <c r="ZE32">
        <f>SUMIFS(Detail!$AW:$AW,Detail!$G:$G,'Rates-Service Fees'!ZE$23,Detail!$H:$H,'Rates-Service Fees'!ZE$11)*100</f>
        <v>0</v>
      </c>
      <c r="ZF32">
        <f>SUMIFS(Detail!$AW:$AW,Detail!$G:$G,'Rates-Service Fees'!ZF$23,Detail!$H:$H,'Rates-Service Fees'!ZF$11)*100</f>
        <v>0</v>
      </c>
      <c r="ZG32">
        <f>SUMIFS(Detail!$AW:$AW,Detail!$G:$G,'Rates-Service Fees'!ZG$23,Detail!$H:$H,'Rates-Service Fees'!ZG$11)*100</f>
        <v>0</v>
      </c>
      <c r="ZH32">
        <f>SUMIFS(Detail!$AW:$AW,Detail!$G:$G,'Rates-Service Fees'!ZH$23,Detail!$H:$H,'Rates-Service Fees'!ZH$11)*100</f>
        <v>0</v>
      </c>
      <c r="ZI32">
        <f>SUMIFS(Detail!$AW:$AW,Detail!$G:$G,'Rates-Service Fees'!ZI$23,Detail!$H:$H,'Rates-Service Fees'!ZI$11)*100</f>
        <v>0</v>
      </c>
      <c r="ZJ32">
        <f>SUMIFS(Detail!$AW:$AW,Detail!$G:$G,'Rates-Service Fees'!ZJ$23,Detail!$H:$H,'Rates-Service Fees'!ZJ$11)*100</f>
        <v>0</v>
      </c>
      <c r="ZK32">
        <f>SUMIFS(Detail!$AW:$AW,Detail!$G:$G,'Rates-Service Fees'!ZK$23,Detail!$H:$H,'Rates-Service Fees'!ZK$11)*100</f>
        <v>0</v>
      </c>
      <c r="ZL32">
        <f>SUMIFS(Detail!$AW:$AW,Detail!$G:$G,'Rates-Service Fees'!ZL$23,Detail!$H:$H,'Rates-Service Fees'!ZL$11)*100</f>
        <v>0</v>
      </c>
      <c r="ZM32">
        <f>SUMIFS(Detail!$AW:$AW,Detail!$G:$G,'Rates-Service Fees'!ZM$23,Detail!$H:$H,'Rates-Service Fees'!ZM$11)*100</f>
        <v>0</v>
      </c>
      <c r="ZN32">
        <f>SUMIFS(Detail!$AW:$AW,Detail!$G:$G,'Rates-Service Fees'!ZN$23,Detail!$H:$H,'Rates-Service Fees'!ZN$11)*100</f>
        <v>0</v>
      </c>
      <c r="ZO32">
        <f>SUMIFS(Detail!$AW:$AW,Detail!$G:$G,'Rates-Service Fees'!ZO$23,Detail!$H:$H,'Rates-Service Fees'!ZO$11)*100</f>
        <v>0</v>
      </c>
      <c r="ZP32">
        <f>SUMIFS(Detail!$AW:$AW,Detail!$G:$G,'Rates-Service Fees'!ZP$23,Detail!$H:$H,'Rates-Service Fees'!ZP$11)*100</f>
        <v>0</v>
      </c>
      <c r="ZQ32">
        <f>SUMIFS(Detail!$AW:$AW,Detail!$G:$G,'Rates-Service Fees'!ZQ$23,Detail!$H:$H,'Rates-Service Fees'!ZQ$11)*100</f>
        <v>0</v>
      </c>
      <c r="ZR32">
        <f>SUMIFS(Detail!$AW:$AW,Detail!$G:$G,'Rates-Service Fees'!ZR$23,Detail!$H:$H,'Rates-Service Fees'!ZR$11)*100</f>
        <v>0</v>
      </c>
      <c r="ZS32">
        <f>SUMIFS(Detail!$AW:$AW,Detail!$G:$G,'Rates-Service Fees'!ZS$23,Detail!$H:$H,'Rates-Service Fees'!ZS$11)*100</f>
        <v>0</v>
      </c>
      <c r="ZT32">
        <f>SUMIFS(Detail!$AW:$AW,Detail!$G:$G,'Rates-Service Fees'!ZT$23,Detail!$H:$H,'Rates-Service Fees'!ZT$11)*100</f>
        <v>0</v>
      </c>
      <c r="ZU32">
        <f>SUMIFS(Detail!$AW:$AW,Detail!$G:$G,'Rates-Service Fees'!ZU$23,Detail!$H:$H,'Rates-Service Fees'!ZU$11)*100</f>
        <v>0</v>
      </c>
      <c r="ZV32">
        <f>SUMIFS(Detail!$AW:$AW,Detail!$G:$G,'Rates-Service Fees'!ZV$23,Detail!$H:$H,'Rates-Service Fees'!ZV$11)*100</f>
        <v>0</v>
      </c>
      <c r="ZW32">
        <f>SUMIFS(Detail!$AW:$AW,Detail!$G:$G,'Rates-Service Fees'!ZW$23,Detail!$H:$H,'Rates-Service Fees'!ZW$11)*100</f>
        <v>0</v>
      </c>
      <c r="ZX32">
        <f>SUMIFS(Detail!$AW:$AW,Detail!$G:$G,'Rates-Service Fees'!ZX$23,Detail!$H:$H,'Rates-Service Fees'!ZX$11)*100</f>
        <v>0</v>
      </c>
      <c r="ZY32">
        <f>SUMIFS(Detail!$AW:$AW,Detail!$G:$G,'Rates-Service Fees'!ZY$23,Detail!$H:$H,'Rates-Service Fees'!ZY$11)*100</f>
        <v>0</v>
      </c>
      <c r="ZZ32">
        <f>SUMIFS(Detail!$AW:$AW,Detail!$G:$G,'Rates-Service Fees'!ZZ$23,Detail!$H:$H,'Rates-Service Fees'!ZZ$11)*100</f>
        <v>0</v>
      </c>
      <c r="AAA32">
        <f>SUMIFS(Detail!$AW:$AW,Detail!$G:$G,'Rates-Service Fees'!AAA$23,Detail!$H:$H,'Rates-Service Fees'!AAA$11)*100</f>
        <v>0</v>
      </c>
      <c r="AAB32">
        <f>SUMIFS(Detail!$AW:$AW,Detail!$G:$G,'Rates-Service Fees'!AAB$23,Detail!$H:$H,'Rates-Service Fees'!AAB$11)*100</f>
        <v>0</v>
      </c>
      <c r="AAC32">
        <f>SUMIFS(Detail!$AW:$AW,Detail!$G:$G,'Rates-Service Fees'!AAC$23,Detail!$H:$H,'Rates-Service Fees'!AAC$11)*100</f>
        <v>0</v>
      </c>
      <c r="AAD32">
        <f>SUMIFS(Detail!$AW:$AW,Detail!$G:$G,'Rates-Service Fees'!AAD$23,Detail!$H:$H,'Rates-Service Fees'!AAD$11)*100</f>
        <v>0</v>
      </c>
      <c r="AAE32">
        <f>SUMIFS(Detail!$AW:$AW,Detail!$G:$G,'Rates-Service Fees'!AAE$23,Detail!$H:$H,'Rates-Service Fees'!AAE$11)*100</f>
        <v>0</v>
      </c>
      <c r="AAF32">
        <f>SUMIFS(Detail!$AW:$AW,Detail!$G:$G,'Rates-Service Fees'!AAF$23,Detail!$H:$H,'Rates-Service Fees'!AAF$11)*100</f>
        <v>0</v>
      </c>
      <c r="AAG32">
        <f>SUMIFS(Detail!$AW:$AW,Detail!$G:$G,'Rates-Service Fees'!AAG$23,Detail!$H:$H,'Rates-Service Fees'!AAG$11)*100</f>
        <v>0</v>
      </c>
      <c r="AAH32">
        <f>SUMIFS(Detail!$AW:$AW,Detail!$G:$G,'Rates-Service Fees'!AAH$23,Detail!$H:$H,'Rates-Service Fees'!AAH$11)*100</f>
        <v>0</v>
      </c>
      <c r="AAI32">
        <f>SUMIFS(Detail!$AW:$AW,Detail!$G:$G,'Rates-Service Fees'!AAI$23,Detail!$H:$H,'Rates-Service Fees'!AAI$11)*100</f>
        <v>0</v>
      </c>
      <c r="AAJ32">
        <f>SUMIFS(Detail!$AW:$AW,Detail!$G:$G,'Rates-Service Fees'!AAJ$23,Detail!$H:$H,'Rates-Service Fees'!AAJ$11)*100</f>
        <v>0</v>
      </c>
      <c r="AAK32">
        <f>SUMIFS(Detail!$AW:$AW,Detail!$G:$G,'Rates-Service Fees'!AAK$23,Detail!$H:$H,'Rates-Service Fees'!AAK$11)*100</f>
        <v>0</v>
      </c>
      <c r="AAL32">
        <f>SUMIFS(Detail!$AW:$AW,Detail!$G:$G,'Rates-Service Fees'!AAL$23,Detail!$H:$H,'Rates-Service Fees'!AAL$11)*100</f>
        <v>0</v>
      </c>
      <c r="AAM32">
        <f>SUMIFS(Detail!$AW:$AW,Detail!$G:$G,'Rates-Service Fees'!AAM$23,Detail!$H:$H,'Rates-Service Fees'!AAM$11)*100</f>
        <v>0</v>
      </c>
      <c r="AAN32">
        <f>SUMIFS(Detail!$AW:$AW,Detail!$G:$G,'Rates-Service Fees'!AAN$23,Detail!$H:$H,'Rates-Service Fees'!AAN$11)*100</f>
        <v>0</v>
      </c>
      <c r="AAO32">
        <f>SUMIFS(Detail!$AW:$AW,Detail!$G:$G,'Rates-Service Fees'!AAO$23,Detail!$H:$H,'Rates-Service Fees'!AAO$11)*100</f>
        <v>0</v>
      </c>
      <c r="AAP32">
        <f>SUMIFS(Detail!$AW:$AW,Detail!$G:$G,'Rates-Service Fees'!AAP$23,Detail!$H:$H,'Rates-Service Fees'!AAP$11)*100</f>
        <v>0</v>
      </c>
      <c r="AAQ32">
        <f>SUMIFS(Detail!$AW:$AW,Detail!$G:$G,'Rates-Service Fees'!AAQ$23,Detail!$H:$H,'Rates-Service Fees'!AAQ$11)*100</f>
        <v>0</v>
      </c>
      <c r="AAR32">
        <f>SUMIFS(Detail!$AW:$AW,Detail!$G:$G,'Rates-Service Fees'!AAR$23,Detail!$H:$H,'Rates-Service Fees'!AAR$11)*100</f>
        <v>0</v>
      </c>
      <c r="AAS32">
        <f>SUMIFS(Detail!$AW:$AW,Detail!$G:$G,'Rates-Service Fees'!AAS$23,Detail!$H:$H,'Rates-Service Fees'!AAS$11)*100</f>
        <v>0</v>
      </c>
      <c r="AAT32">
        <f>SUMIFS(Detail!$AW:$AW,Detail!$G:$G,'Rates-Service Fees'!AAT$23,Detail!$H:$H,'Rates-Service Fees'!AAT$11)*100</f>
        <v>0</v>
      </c>
      <c r="AAU32">
        <f>SUMIFS(Detail!$AW:$AW,Detail!$G:$G,'Rates-Service Fees'!AAU$23,Detail!$H:$H,'Rates-Service Fees'!AAU$11)*100</f>
        <v>0</v>
      </c>
      <c r="AAV32">
        <f>SUMIFS(Detail!$AW:$AW,Detail!$G:$G,'Rates-Service Fees'!AAV$23,Detail!$H:$H,'Rates-Service Fees'!AAV$11)*100</f>
        <v>0</v>
      </c>
      <c r="AAW32">
        <f>SUMIFS(Detail!$AW:$AW,Detail!$G:$G,'Rates-Service Fees'!AAW$23,Detail!$H:$H,'Rates-Service Fees'!AAW$11)*100</f>
        <v>0</v>
      </c>
      <c r="AAX32">
        <f>SUMIFS(Detail!$AW:$AW,Detail!$G:$G,'Rates-Service Fees'!AAX$23,Detail!$H:$H,'Rates-Service Fees'!AAX$11)*100</f>
        <v>0</v>
      </c>
      <c r="AAY32">
        <f>SUMIFS(Detail!$AW:$AW,Detail!$G:$G,'Rates-Service Fees'!AAY$23,Detail!$H:$H,'Rates-Service Fees'!AAY$11)*100</f>
        <v>0</v>
      </c>
      <c r="AAZ32">
        <f>SUMIFS(Detail!$AW:$AW,Detail!$G:$G,'Rates-Service Fees'!AAZ$23,Detail!$H:$H,'Rates-Service Fees'!AAZ$11)*100</f>
        <v>0</v>
      </c>
      <c r="ABA32">
        <f>SUMIFS(Detail!$AW:$AW,Detail!$G:$G,'Rates-Service Fees'!ABA$23,Detail!$H:$H,'Rates-Service Fees'!ABA$11)*100</f>
        <v>0</v>
      </c>
      <c r="ABB32">
        <f>SUMIFS(Detail!$AW:$AW,Detail!$G:$G,'Rates-Service Fees'!ABB$23,Detail!$H:$H,'Rates-Service Fees'!ABB$11)*100</f>
        <v>0</v>
      </c>
      <c r="ABC32">
        <f>SUMIFS(Detail!$AW:$AW,Detail!$G:$G,'Rates-Service Fees'!ABC$23,Detail!$H:$H,'Rates-Service Fees'!ABC$11)*100</f>
        <v>0</v>
      </c>
      <c r="ABD32">
        <f>SUMIFS(Detail!$AW:$AW,Detail!$G:$G,'Rates-Service Fees'!ABD$23,Detail!$H:$H,'Rates-Service Fees'!ABD$11)*100</f>
        <v>0</v>
      </c>
      <c r="ABE32">
        <f>SUMIFS(Detail!$AW:$AW,Detail!$G:$G,'Rates-Service Fees'!ABE$23,Detail!$H:$H,'Rates-Service Fees'!ABE$11)*100</f>
        <v>0</v>
      </c>
      <c r="ABF32">
        <f>SUMIFS(Detail!$AW:$AW,Detail!$G:$G,'Rates-Service Fees'!ABF$23,Detail!$H:$H,'Rates-Service Fees'!ABF$11)*100</f>
        <v>0</v>
      </c>
      <c r="ABG32">
        <f>SUMIFS(Detail!$AW:$AW,Detail!$G:$G,'Rates-Service Fees'!ABG$23,Detail!$H:$H,'Rates-Service Fees'!ABG$11)*100</f>
        <v>0</v>
      </c>
      <c r="ABH32">
        <f>SUMIFS(Detail!$AW:$AW,Detail!$G:$G,'Rates-Service Fees'!ABH$23,Detail!$H:$H,'Rates-Service Fees'!ABH$11)*100</f>
        <v>0</v>
      </c>
      <c r="ABI32">
        <f>SUMIFS(Detail!$AW:$AW,Detail!$G:$G,'Rates-Service Fees'!ABI$23,Detail!$H:$H,'Rates-Service Fees'!ABI$11)*100</f>
        <v>0</v>
      </c>
      <c r="ABJ32">
        <f>SUMIFS(Detail!$AW:$AW,Detail!$G:$G,'Rates-Service Fees'!ABJ$23,Detail!$H:$H,'Rates-Service Fees'!ABJ$11)*100</f>
        <v>0</v>
      </c>
      <c r="ABK32">
        <f>SUMIFS(Detail!$AW:$AW,Detail!$G:$G,'Rates-Service Fees'!ABK$23,Detail!$H:$H,'Rates-Service Fees'!ABK$11)*100</f>
        <v>0</v>
      </c>
      <c r="ABL32">
        <f>SUMIFS(Detail!$AW:$AW,Detail!$G:$G,'Rates-Service Fees'!ABL$23,Detail!$H:$H,'Rates-Service Fees'!ABL$11)*100</f>
        <v>0</v>
      </c>
      <c r="ABM32">
        <f>SUMIFS(Detail!$AW:$AW,Detail!$G:$G,'Rates-Service Fees'!ABM$23,Detail!$H:$H,'Rates-Service Fees'!ABM$11)*100</f>
        <v>0</v>
      </c>
      <c r="ABN32">
        <f>SUMIFS(Detail!$AW:$AW,Detail!$G:$G,'Rates-Service Fees'!ABN$23,Detail!$H:$H,'Rates-Service Fees'!ABN$11)*100</f>
        <v>0</v>
      </c>
      <c r="ABO32">
        <f>SUMIFS(Detail!$AW:$AW,Detail!$G:$G,'Rates-Service Fees'!ABO$23,Detail!$H:$H,'Rates-Service Fees'!ABO$11)*100</f>
        <v>0</v>
      </c>
      <c r="ABP32">
        <f>SUMIFS(Detail!$AW:$AW,Detail!$G:$G,'Rates-Service Fees'!ABP$23,Detail!$H:$H,'Rates-Service Fees'!ABP$11)*100</f>
        <v>0</v>
      </c>
      <c r="ABQ32">
        <f>SUMIFS(Detail!$AW:$AW,Detail!$G:$G,'Rates-Service Fees'!ABQ$23,Detail!$H:$H,'Rates-Service Fees'!ABQ$11)*100</f>
        <v>0</v>
      </c>
      <c r="ABR32">
        <f>SUMIFS(Detail!$AW:$AW,Detail!$G:$G,'Rates-Service Fees'!ABR$23,Detail!$H:$H,'Rates-Service Fees'!ABR$11)*100</f>
        <v>0</v>
      </c>
      <c r="ABS32">
        <f>SUMIFS(Detail!$AW:$AW,Detail!$G:$G,'Rates-Service Fees'!ABS$23,Detail!$H:$H,'Rates-Service Fees'!ABS$11)*100</f>
        <v>0</v>
      </c>
      <c r="ABT32">
        <f>SUMIFS(Detail!$AW:$AW,Detail!$G:$G,'Rates-Service Fees'!ABT$23,Detail!$H:$H,'Rates-Service Fees'!ABT$11)*100</f>
        <v>0</v>
      </c>
      <c r="ABU32">
        <f>SUMIFS(Detail!$AW:$AW,Detail!$G:$G,'Rates-Service Fees'!ABU$23,Detail!$H:$H,'Rates-Service Fees'!ABU$11)*100</f>
        <v>0</v>
      </c>
      <c r="ABV32">
        <f>SUMIFS(Detail!$AW:$AW,Detail!$G:$G,'Rates-Service Fees'!ABV$23,Detail!$H:$H,'Rates-Service Fees'!ABV$11)*100</f>
        <v>0</v>
      </c>
      <c r="ABW32">
        <f>SUMIFS(Detail!$AW:$AW,Detail!$G:$G,'Rates-Service Fees'!ABW$23,Detail!$H:$H,'Rates-Service Fees'!ABW$11)*100</f>
        <v>0</v>
      </c>
      <c r="ABX32">
        <f>SUMIFS(Detail!$AW:$AW,Detail!$G:$G,'Rates-Service Fees'!ABX$23,Detail!$H:$H,'Rates-Service Fees'!ABX$11)*100</f>
        <v>0</v>
      </c>
      <c r="ABY32">
        <f>SUMIFS(Detail!$AW:$AW,Detail!$G:$G,'Rates-Service Fees'!ABY$23,Detail!$H:$H,'Rates-Service Fees'!ABY$11)*100</f>
        <v>0</v>
      </c>
      <c r="ABZ32">
        <f>SUMIFS(Detail!$AW:$AW,Detail!$G:$G,'Rates-Service Fees'!ABZ$23,Detail!$H:$H,'Rates-Service Fees'!ABZ$11)*100</f>
        <v>0</v>
      </c>
      <c r="ACA32">
        <f>SUMIFS(Detail!$AW:$AW,Detail!$G:$G,'Rates-Service Fees'!ACA$23,Detail!$H:$H,'Rates-Service Fees'!ACA$11)*100</f>
        <v>0</v>
      </c>
      <c r="ACB32">
        <f>SUMIFS(Detail!$AW:$AW,Detail!$G:$G,'Rates-Service Fees'!ACB$23,Detail!$H:$H,'Rates-Service Fees'!ACB$11)*100</f>
        <v>0</v>
      </c>
      <c r="ACC32">
        <f>SUMIFS(Detail!$AW:$AW,Detail!$G:$G,'Rates-Service Fees'!ACC$23,Detail!$H:$H,'Rates-Service Fees'!ACC$11)*100</f>
        <v>0</v>
      </c>
      <c r="ACD32">
        <f>SUMIFS(Detail!$AW:$AW,Detail!$G:$G,'Rates-Service Fees'!ACD$23,Detail!$H:$H,'Rates-Service Fees'!ACD$11)*100</f>
        <v>0</v>
      </c>
      <c r="ACE32">
        <f>SUMIFS(Detail!$AW:$AW,Detail!$G:$G,'Rates-Service Fees'!ACE$23,Detail!$H:$H,'Rates-Service Fees'!ACE$11)*100</f>
        <v>0</v>
      </c>
      <c r="ACF32">
        <f>SUMIFS(Detail!$AW:$AW,Detail!$G:$G,'Rates-Service Fees'!ACF$23,Detail!$H:$H,'Rates-Service Fees'!ACF$11)*100</f>
        <v>0</v>
      </c>
      <c r="ACG32">
        <f>SUMIFS(Detail!$AW:$AW,Detail!$G:$G,'Rates-Service Fees'!ACG$23,Detail!$H:$H,'Rates-Service Fees'!ACG$11)*100</f>
        <v>0</v>
      </c>
      <c r="ACH32">
        <f>SUMIFS(Detail!$AW:$AW,Detail!$G:$G,'Rates-Service Fees'!ACH$23,Detail!$H:$H,'Rates-Service Fees'!ACH$11)*100</f>
        <v>0</v>
      </c>
      <c r="ACI32">
        <f>SUMIFS(Detail!$AW:$AW,Detail!$G:$G,'Rates-Service Fees'!ACI$23,Detail!$H:$H,'Rates-Service Fees'!ACI$11)*100</f>
        <v>0</v>
      </c>
      <c r="ACJ32">
        <f>SUMIFS(Detail!$AW:$AW,Detail!$G:$G,'Rates-Service Fees'!ACJ$23,Detail!$H:$H,'Rates-Service Fees'!ACJ$11)*100</f>
        <v>0</v>
      </c>
      <c r="ACK32">
        <f>SUMIFS(Detail!$AW:$AW,Detail!$G:$G,'Rates-Service Fees'!ACK$23,Detail!$H:$H,'Rates-Service Fees'!ACK$11)*100</f>
        <v>0</v>
      </c>
      <c r="ACL32">
        <f>SUMIFS(Detail!$AW:$AW,Detail!$G:$G,'Rates-Service Fees'!ACL$23,Detail!$H:$H,'Rates-Service Fees'!ACL$11)*100</f>
        <v>0</v>
      </c>
      <c r="ACM32">
        <f>SUMIFS(Detail!$AW:$AW,Detail!$G:$G,'Rates-Service Fees'!ACM$23,Detail!$H:$H,'Rates-Service Fees'!ACM$11)*100</f>
        <v>0</v>
      </c>
      <c r="ACN32">
        <f>SUMIFS(Detail!$AW:$AW,Detail!$G:$G,'Rates-Service Fees'!ACN$23,Detail!$H:$H,'Rates-Service Fees'!ACN$11)*100</f>
        <v>0</v>
      </c>
      <c r="ACO32">
        <f>SUMIFS(Detail!$AW:$AW,Detail!$G:$G,'Rates-Service Fees'!ACO$23,Detail!$H:$H,'Rates-Service Fees'!ACO$11)*100</f>
        <v>0</v>
      </c>
      <c r="ACP32">
        <f>SUMIFS(Detail!$AW:$AW,Detail!$G:$G,'Rates-Service Fees'!ACP$23,Detail!$H:$H,'Rates-Service Fees'!ACP$11)*100</f>
        <v>0</v>
      </c>
      <c r="ACQ32">
        <f>SUMIFS(Detail!$AW:$AW,Detail!$G:$G,'Rates-Service Fees'!ACQ$23,Detail!$H:$H,'Rates-Service Fees'!ACQ$11)*100</f>
        <v>0</v>
      </c>
      <c r="ACR32">
        <f>SUMIFS(Detail!$AW:$AW,Detail!$G:$G,'Rates-Service Fees'!ACR$23,Detail!$H:$H,'Rates-Service Fees'!ACR$11)*100</f>
        <v>0</v>
      </c>
      <c r="ACS32">
        <f>SUMIFS(Detail!$AW:$AW,Detail!$G:$G,'Rates-Service Fees'!ACS$23,Detail!$H:$H,'Rates-Service Fees'!ACS$11)*100</f>
        <v>0</v>
      </c>
      <c r="ACT32">
        <f>SUMIFS(Detail!$AW:$AW,Detail!$G:$G,'Rates-Service Fees'!ACT$23,Detail!$H:$H,'Rates-Service Fees'!ACT$11)*100</f>
        <v>0</v>
      </c>
      <c r="ACU32">
        <f>SUMIFS(Detail!$AW:$AW,Detail!$G:$G,'Rates-Service Fees'!ACU$23,Detail!$H:$H,'Rates-Service Fees'!ACU$11)*100</f>
        <v>0</v>
      </c>
      <c r="ACV32">
        <f>SUMIFS(Detail!$AW:$AW,Detail!$G:$G,'Rates-Service Fees'!ACV$23,Detail!$H:$H,'Rates-Service Fees'!ACV$11)*100</f>
        <v>0</v>
      </c>
      <c r="ACW32">
        <f>SUMIFS(Detail!$AW:$AW,Detail!$G:$G,'Rates-Service Fees'!ACW$23,Detail!$H:$H,'Rates-Service Fees'!ACW$11)*100</f>
        <v>0</v>
      </c>
      <c r="ACX32">
        <f>SUMIFS(Detail!$AW:$AW,Detail!$G:$G,'Rates-Service Fees'!ACX$23,Detail!$H:$H,'Rates-Service Fees'!ACX$11)*100</f>
        <v>0</v>
      </c>
      <c r="ACY32">
        <f>SUMIFS(Detail!$AW:$AW,Detail!$G:$G,'Rates-Service Fees'!ACY$23,Detail!$H:$H,'Rates-Service Fees'!ACY$11)*100</f>
        <v>0</v>
      </c>
      <c r="ACZ32">
        <f>SUMIFS(Detail!$AW:$AW,Detail!$G:$G,'Rates-Service Fees'!ACZ$23,Detail!$H:$H,'Rates-Service Fees'!ACZ$11)*100</f>
        <v>0</v>
      </c>
      <c r="ADA32">
        <f>SUMIFS(Detail!$AW:$AW,Detail!$G:$G,'Rates-Service Fees'!ADA$23,Detail!$H:$H,'Rates-Service Fees'!ADA$11)*100</f>
        <v>0</v>
      </c>
      <c r="ADB32">
        <f>SUMIFS(Detail!$AW:$AW,Detail!$G:$G,'Rates-Service Fees'!ADB$23,Detail!$H:$H,'Rates-Service Fees'!ADB$11)*100</f>
        <v>0</v>
      </c>
      <c r="ADC32">
        <f>SUMIFS(Detail!$AW:$AW,Detail!$G:$G,'Rates-Service Fees'!ADC$23,Detail!$H:$H,'Rates-Service Fees'!ADC$11)*100</f>
        <v>0</v>
      </c>
      <c r="ADD32">
        <f>SUMIFS(Detail!$AW:$AW,Detail!$G:$G,'Rates-Service Fees'!ADD$23,Detail!$H:$H,'Rates-Service Fees'!ADD$11)*100</f>
        <v>0</v>
      </c>
      <c r="ADE32">
        <f>SUMIFS(Detail!$AW:$AW,Detail!$G:$G,'Rates-Service Fees'!ADE$23,Detail!$H:$H,'Rates-Service Fees'!ADE$11)*100</f>
        <v>0</v>
      </c>
      <c r="ADF32">
        <f>SUMIFS(Detail!$AW:$AW,Detail!$G:$G,'Rates-Service Fees'!ADF$23,Detail!$H:$H,'Rates-Service Fees'!ADF$11)*100</f>
        <v>0</v>
      </c>
      <c r="ADG32">
        <f>SUMIFS(Detail!$AW:$AW,Detail!$G:$G,'Rates-Service Fees'!ADG$23,Detail!$H:$H,'Rates-Service Fees'!ADG$11)*100</f>
        <v>0</v>
      </c>
      <c r="ADH32">
        <f>SUMIFS(Detail!$AW:$AW,Detail!$G:$G,'Rates-Service Fees'!ADH$23,Detail!$H:$H,'Rates-Service Fees'!ADH$11)*100</f>
        <v>0</v>
      </c>
      <c r="ADI32">
        <f>SUMIFS(Detail!$AW:$AW,Detail!$G:$G,'Rates-Service Fees'!ADI$23,Detail!$H:$H,'Rates-Service Fees'!ADI$11)*100</f>
        <v>0</v>
      </c>
      <c r="ADJ32">
        <f>SUMIFS(Detail!$AW:$AW,Detail!$G:$G,'Rates-Service Fees'!ADJ$23,Detail!$H:$H,'Rates-Service Fees'!ADJ$11)*100</f>
        <v>0</v>
      </c>
      <c r="ADK32">
        <f>SUMIFS(Detail!$AW:$AW,Detail!$G:$G,'Rates-Service Fees'!ADK$23,Detail!$H:$H,'Rates-Service Fees'!ADK$11)*100</f>
        <v>0</v>
      </c>
      <c r="ADL32">
        <f>SUMIFS(Detail!$AW:$AW,Detail!$G:$G,'Rates-Service Fees'!ADL$23,Detail!$H:$H,'Rates-Service Fees'!ADL$11)*100</f>
        <v>0</v>
      </c>
      <c r="ADM32">
        <f>SUMIFS(Detail!$AW:$AW,Detail!$G:$G,'Rates-Service Fees'!ADM$23,Detail!$H:$H,'Rates-Service Fees'!ADM$11)*100</f>
        <v>0</v>
      </c>
      <c r="ADN32">
        <f>SUMIFS(Detail!$AW:$AW,Detail!$G:$G,'Rates-Service Fees'!ADN$23,Detail!$H:$H,'Rates-Service Fees'!ADN$11)*100</f>
        <v>0</v>
      </c>
      <c r="ADO32">
        <f>SUMIFS(Detail!$AW:$AW,Detail!$G:$G,'Rates-Service Fees'!ADO$23,Detail!$H:$H,'Rates-Service Fees'!ADO$11)*100</f>
        <v>0</v>
      </c>
      <c r="ADP32">
        <f>SUMIFS(Detail!$AW:$AW,Detail!$G:$G,'Rates-Service Fees'!ADP$23,Detail!$H:$H,'Rates-Service Fees'!ADP$11)*100</f>
        <v>0</v>
      </c>
      <c r="ADQ32">
        <f>SUMIFS(Detail!$AW:$AW,Detail!$G:$G,'Rates-Service Fees'!ADQ$23,Detail!$H:$H,'Rates-Service Fees'!ADQ$11)*100</f>
        <v>0</v>
      </c>
      <c r="ADR32">
        <f>SUMIFS(Detail!$AW:$AW,Detail!$G:$G,'Rates-Service Fees'!ADR$23,Detail!$H:$H,'Rates-Service Fees'!ADR$11)*100</f>
        <v>0</v>
      </c>
      <c r="ADS32">
        <f>SUMIFS(Detail!$AW:$AW,Detail!$G:$G,'Rates-Service Fees'!ADS$23,Detail!$H:$H,'Rates-Service Fees'!ADS$11)*100</f>
        <v>0</v>
      </c>
      <c r="ADT32">
        <f>SUMIFS(Detail!$AW:$AW,Detail!$G:$G,'Rates-Service Fees'!ADT$23,Detail!$H:$H,'Rates-Service Fees'!ADT$11)*100</f>
        <v>0</v>
      </c>
      <c r="ADU32">
        <f>SUMIFS(Detail!$AW:$AW,Detail!$G:$G,'Rates-Service Fees'!ADU$23,Detail!$H:$H,'Rates-Service Fees'!ADU$11)*100</f>
        <v>0</v>
      </c>
      <c r="ADV32">
        <f>SUMIFS(Detail!$AW:$AW,Detail!$G:$G,'Rates-Service Fees'!ADV$23,Detail!$H:$H,'Rates-Service Fees'!ADV$11)*100</f>
        <v>0</v>
      </c>
      <c r="ADW32">
        <f>SUMIFS(Detail!$AW:$AW,Detail!$G:$G,'Rates-Service Fees'!ADW$23,Detail!$H:$H,'Rates-Service Fees'!ADW$11)*100</f>
        <v>0</v>
      </c>
      <c r="ADX32">
        <f>SUMIFS(Detail!$AW:$AW,Detail!$G:$G,'Rates-Service Fees'!ADX$23,Detail!$H:$H,'Rates-Service Fees'!ADX$11)*100</f>
        <v>0</v>
      </c>
      <c r="ADY32">
        <f>SUMIFS(Detail!$AW:$AW,Detail!$G:$G,'Rates-Service Fees'!ADY$23,Detail!$H:$H,'Rates-Service Fees'!ADY$11)*100</f>
        <v>0</v>
      </c>
      <c r="ADZ32">
        <f>SUMIFS(Detail!$AW:$AW,Detail!$G:$G,'Rates-Service Fees'!ADZ$23,Detail!$H:$H,'Rates-Service Fees'!ADZ$11)*100</f>
        <v>0</v>
      </c>
      <c r="AEA32">
        <f>SUMIFS(Detail!$AW:$AW,Detail!$G:$G,'Rates-Service Fees'!AEA$23,Detail!$H:$H,'Rates-Service Fees'!AEA$11)*100</f>
        <v>0</v>
      </c>
      <c r="AEB32">
        <f>SUMIFS(Detail!$AW:$AW,Detail!$G:$G,'Rates-Service Fees'!AEB$23,Detail!$H:$H,'Rates-Service Fees'!AEB$11)*100</f>
        <v>0</v>
      </c>
      <c r="AEC32">
        <f>SUMIFS(Detail!$AW:$AW,Detail!$G:$G,'Rates-Service Fees'!AEC$23,Detail!$H:$H,'Rates-Service Fees'!AEC$11)*100</f>
        <v>0</v>
      </c>
      <c r="AED32">
        <f>SUMIFS(Detail!$AW:$AW,Detail!$G:$G,'Rates-Service Fees'!AED$23,Detail!$H:$H,'Rates-Service Fees'!AED$11)*100</f>
        <v>0</v>
      </c>
      <c r="AEE32">
        <f>SUMIFS(Detail!$AW:$AW,Detail!$G:$G,'Rates-Service Fees'!AEE$23,Detail!$H:$H,'Rates-Service Fees'!AEE$11)*100</f>
        <v>0</v>
      </c>
      <c r="AEF32">
        <f>SUMIFS(Detail!$AW:$AW,Detail!$G:$G,'Rates-Service Fees'!AEF$23,Detail!$H:$H,'Rates-Service Fees'!AEF$11)*100</f>
        <v>0</v>
      </c>
      <c r="AEG32">
        <f>SUMIFS(Detail!$AW:$AW,Detail!$G:$G,'Rates-Service Fees'!AEG$23,Detail!$H:$H,'Rates-Service Fees'!AEG$11)*100</f>
        <v>0</v>
      </c>
      <c r="AEH32">
        <f>SUMIFS(Detail!$AW:$AW,Detail!$G:$G,'Rates-Service Fees'!AEH$23,Detail!$H:$H,'Rates-Service Fees'!AEH$11)*100</f>
        <v>0</v>
      </c>
      <c r="AEI32">
        <f>SUMIFS(Detail!$AW:$AW,Detail!$G:$G,'Rates-Service Fees'!AEI$23,Detail!$H:$H,'Rates-Service Fees'!AEI$11)*100</f>
        <v>0</v>
      </c>
      <c r="AEJ32">
        <f>SUMIFS(Detail!$AW:$AW,Detail!$G:$G,'Rates-Service Fees'!AEJ$23,Detail!$H:$H,'Rates-Service Fees'!AEJ$11)*100</f>
        <v>0</v>
      </c>
      <c r="AEK32">
        <f>SUMIFS(Detail!$AW:$AW,Detail!$G:$G,'Rates-Service Fees'!AEK$23,Detail!$H:$H,'Rates-Service Fees'!AEK$11)*100</f>
        <v>0</v>
      </c>
      <c r="AEL32">
        <f>SUMIFS(Detail!$AW:$AW,Detail!$G:$G,'Rates-Service Fees'!AEL$23,Detail!$H:$H,'Rates-Service Fees'!AEL$11)*100</f>
        <v>0</v>
      </c>
      <c r="AEM32">
        <f>SUMIFS(Detail!$AW:$AW,Detail!$G:$G,'Rates-Service Fees'!AEM$23,Detail!$H:$H,'Rates-Service Fees'!AEM$11)*100</f>
        <v>0</v>
      </c>
      <c r="AEN32">
        <f>SUMIFS(Detail!$AW:$AW,Detail!$G:$G,'Rates-Service Fees'!AEN$23,Detail!$H:$H,'Rates-Service Fees'!AEN$11)*100</f>
        <v>0</v>
      </c>
      <c r="AEO32">
        <f>SUMIFS(Detail!$AW:$AW,Detail!$G:$G,'Rates-Service Fees'!AEO$23,Detail!$H:$H,'Rates-Service Fees'!AEO$11)*100</f>
        <v>0</v>
      </c>
      <c r="AEP32">
        <f>SUMIFS(Detail!$AW:$AW,Detail!$G:$G,'Rates-Service Fees'!AEP$23,Detail!$H:$H,'Rates-Service Fees'!AEP$11)*100</f>
        <v>0</v>
      </c>
      <c r="AEQ32">
        <f>SUMIFS(Detail!$AW:$AW,Detail!$G:$G,'Rates-Service Fees'!AEQ$23,Detail!$H:$H,'Rates-Service Fees'!AEQ$11)*100</f>
        <v>0</v>
      </c>
      <c r="AER32">
        <f>SUMIFS(Detail!$AW:$AW,Detail!$G:$G,'Rates-Service Fees'!AER$23,Detail!$H:$H,'Rates-Service Fees'!AER$11)*100</f>
        <v>0</v>
      </c>
      <c r="AES32">
        <f>SUMIFS(Detail!$AW:$AW,Detail!$G:$G,'Rates-Service Fees'!AES$23,Detail!$H:$H,'Rates-Service Fees'!AES$11)*100</f>
        <v>0</v>
      </c>
      <c r="AET32">
        <f>SUMIFS(Detail!$AW:$AW,Detail!$G:$G,'Rates-Service Fees'!AET$23,Detail!$H:$H,'Rates-Service Fees'!AET$11)*100</f>
        <v>0</v>
      </c>
      <c r="AEU32">
        <f>SUMIFS(Detail!$AW:$AW,Detail!$G:$G,'Rates-Service Fees'!AEU$23,Detail!$H:$H,'Rates-Service Fees'!AEU$11)*100</f>
        <v>0</v>
      </c>
      <c r="AEV32">
        <f>SUMIFS(Detail!$AW:$AW,Detail!$G:$G,'Rates-Service Fees'!AEV$23,Detail!$H:$H,'Rates-Service Fees'!AEV$11)*100</f>
        <v>0</v>
      </c>
      <c r="AEW32">
        <f>SUMIFS(Detail!$AW:$AW,Detail!$G:$G,'Rates-Service Fees'!AEW$23,Detail!$H:$H,'Rates-Service Fees'!AEW$11)*100</f>
        <v>0</v>
      </c>
      <c r="AEX32">
        <f>SUMIFS(Detail!$AW:$AW,Detail!$G:$G,'Rates-Service Fees'!AEX$23,Detail!$H:$H,'Rates-Service Fees'!AEX$11)*100</f>
        <v>0</v>
      </c>
      <c r="AEY32">
        <f>SUMIFS(Detail!$AW:$AW,Detail!$G:$G,'Rates-Service Fees'!AEY$23,Detail!$H:$H,'Rates-Service Fees'!AEY$11)*100</f>
        <v>0</v>
      </c>
      <c r="AEZ32">
        <f>SUMIFS(Detail!$AW:$AW,Detail!$G:$G,'Rates-Service Fees'!AEZ$23,Detail!$H:$H,'Rates-Service Fees'!AEZ$11)*100</f>
        <v>0</v>
      </c>
      <c r="AFA32">
        <f>SUMIFS(Detail!$AW:$AW,Detail!$G:$G,'Rates-Service Fees'!AFA$23,Detail!$H:$H,'Rates-Service Fees'!AFA$11)*100</f>
        <v>0</v>
      </c>
      <c r="AFB32">
        <f>SUMIFS(Detail!$AW:$AW,Detail!$G:$G,'Rates-Service Fees'!AFB$23,Detail!$H:$H,'Rates-Service Fees'!AFB$11)*100</f>
        <v>0</v>
      </c>
      <c r="AFC32">
        <f>SUMIFS(Detail!$AW:$AW,Detail!$G:$G,'Rates-Service Fees'!AFC$23,Detail!$H:$H,'Rates-Service Fees'!AFC$11)*100</f>
        <v>0</v>
      </c>
      <c r="AFD32">
        <f>SUMIFS(Detail!$AW:$AW,Detail!$G:$G,'Rates-Service Fees'!AFD$23,Detail!$H:$H,'Rates-Service Fees'!AFD$11)*100</f>
        <v>0</v>
      </c>
      <c r="AFE32">
        <f>SUMIFS(Detail!$AW:$AW,Detail!$G:$G,'Rates-Service Fees'!AFE$23,Detail!$H:$H,'Rates-Service Fees'!AFE$11)*100</f>
        <v>0</v>
      </c>
      <c r="AFF32">
        <f>SUMIFS(Detail!$AW:$AW,Detail!$G:$G,'Rates-Service Fees'!AFF$23,Detail!$H:$H,'Rates-Service Fees'!AFF$11)*100</f>
        <v>0</v>
      </c>
      <c r="AFG32">
        <f>SUMIFS(Detail!$AW:$AW,Detail!$G:$G,'Rates-Service Fees'!AFG$23,Detail!$H:$H,'Rates-Service Fees'!AFG$11)*100</f>
        <v>0</v>
      </c>
      <c r="AFH32">
        <f>SUMIFS(Detail!$AW:$AW,Detail!$G:$G,'Rates-Service Fees'!AFH$23,Detail!$H:$H,'Rates-Service Fees'!AFH$11)*100</f>
        <v>0</v>
      </c>
      <c r="AFI32">
        <f>SUMIFS(Detail!$AW:$AW,Detail!$G:$G,'Rates-Service Fees'!AFI$23,Detail!$H:$H,'Rates-Service Fees'!AFI$11)*100</f>
        <v>0</v>
      </c>
      <c r="AFJ32">
        <f>SUMIFS(Detail!$AW:$AW,Detail!$G:$G,'Rates-Service Fees'!AFJ$23,Detail!$H:$H,'Rates-Service Fees'!AFJ$11)*100</f>
        <v>0</v>
      </c>
      <c r="AFK32">
        <f>SUMIFS(Detail!$AW:$AW,Detail!$G:$G,'Rates-Service Fees'!AFK$23,Detail!$H:$H,'Rates-Service Fees'!AFK$11)*100</f>
        <v>0</v>
      </c>
      <c r="AFL32">
        <f>SUMIFS(Detail!$AW:$AW,Detail!$G:$G,'Rates-Service Fees'!AFL$23,Detail!$H:$H,'Rates-Service Fees'!AFL$11)*100</f>
        <v>0</v>
      </c>
      <c r="AFM32">
        <f>SUMIFS(Detail!$AW:$AW,Detail!$G:$G,'Rates-Service Fees'!AFM$23,Detail!$H:$H,'Rates-Service Fees'!AFM$11)*100</f>
        <v>0</v>
      </c>
      <c r="AFN32">
        <f>SUMIFS(Detail!$AW:$AW,Detail!$G:$G,'Rates-Service Fees'!AFN$23,Detail!$H:$H,'Rates-Service Fees'!AFN$11)*100</f>
        <v>0</v>
      </c>
      <c r="AFO32">
        <f>SUMIFS(Detail!$AW:$AW,Detail!$G:$G,'Rates-Service Fees'!AFO$23,Detail!$H:$H,'Rates-Service Fees'!AFO$11)*100</f>
        <v>0</v>
      </c>
      <c r="AFP32">
        <f>SUMIFS(Detail!$AW:$AW,Detail!$G:$G,'Rates-Service Fees'!AFP$23,Detail!$H:$H,'Rates-Service Fees'!AFP$11)*100</f>
        <v>0</v>
      </c>
      <c r="AFQ32">
        <f>SUMIFS(Detail!$AW:$AW,Detail!$G:$G,'Rates-Service Fees'!AFQ$23,Detail!$H:$H,'Rates-Service Fees'!AFQ$11)*100</f>
        <v>0</v>
      </c>
      <c r="AFR32">
        <f>SUMIFS(Detail!$AW:$AW,Detail!$G:$G,'Rates-Service Fees'!AFR$23,Detail!$H:$H,'Rates-Service Fees'!AFR$11)*100</f>
        <v>0</v>
      </c>
      <c r="AFS32">
        <f>SUMIFS(Detail!$AW:$AW,Detail!$G:$G,'Rates-Service Fees'!AFS$23,Detail!$H:$H,'Rates-Service Fees'!AFS$11)*100</f>
        <v>0</v>
      </c>
      <c r="AFT32">
        <f>SUMIFS(Detail!$AW:$AW,Detail!$G:$G,'Rates-Service Fees'!AFT$23,Detail!$H:$H,'Rates-Service Fees'!AFT$11)*100</f>
        <v>0</v>
      </c>
      <c r="AFU32">
        <f>SUMIFS(Detail!$AW:$AW,Detail!$G:$G,'Rates-Service Fees'!AFU$23,Detail!$H:$H,'Rates-Service Fees'!AFU$11)*100</f>
        <v>0</v>
      </c>
      <c r="AFV32">
        <f>SUMIFS(Detail!$AW:$AW,Detail!$G:$G,'Rates-Service Fees'!AFV$23,Detail!$H:$H,'Rates-Service Fees'!AFV$11)*100</f>
        <v>0</v>
      </c>
      <c r="AFW32">
        <f>SUMIFS(Detail!$AW:$AW,Detail!$G:$G,'Rates-Service Fees'!AFW$23,Detail!$H:$H,'Rates-Service Fees'!AFW$11)*100</f>
        <v>0</v>
      </c>
      <c r="AFX32">
        <f>SUMIFS(Detail!$AW:$AW,Detail!$G:$G,'Rates-Service Fees'!AFX$23,Detail!$H:$H,'Rates-Service Fees'!AFX$11)*100</f>
        <v>0</v>
      </c>
      <c r="AFY32">
        <f>SUMIFS(Detail!$AW:$AW,Detail!$G:$G,'Rates-Service Fees'!AFY$23,Detail!$H:$H,'Rates-Service Fees'!AFY$11)*100</f>
        <v>0</v>
      </c>
      <c r="AFZ32">
        <f>SUMIFS(Detail!$AW:$AW,Detail!$G:$G,'Rates-Service Fees'!AFZ$23,Detail!$H:$H,'Rates-Service Fees'!AFZ$11)*100</f>
        <v>0</v>
      </c>
      <c r="AGA32">
        <f>SUMIFS(Detail!$AW:$AW,Detail!$G:$G,'Rates-Service Fees'!AGA$23,Detail!$H:$H,'Rates-Service Fees'!AGA$11)*100</f>
        <v>0</v>
      </c>
      <c r="AGB32">
        <f>SUMIFS(Detail!$AW:$AW,Detail!$G:$G,'Rates-Service Fees'!AGB$23,Detail!$H:$H,'Rates-Service Fees'!AGB$11)*100</f>
        <v>0</v>
      </c>
      <c r="AGC32">
        <f>SUMIFS(Detail!$AW:$AW,Detail!$G:$G,'Rates-Service Fees'!AGC$23,Detail!$H:$H,'Rates-Service Fees'!AGC$11)*100</f>
        <v>0</v>
      </c>
      <c r="AGD32">
        <f>SUMIFS(Detail!$AW:$AW,Detail!$G:$G,'Rates-Service Fees'!AGD$23,Detail!$H:$H,'Rates-Service Fees'!AGD$11)*100</f>
        <v>0</v>
      </c>
      <c r="AGE32">
        <f>SUMIFS(Detail!$AW:$AW,Detail!$G:$G,'Rates-Service Fees'!AGE$23,Detail!$H:$H,'Rates-Service Fees'!AGE$11)*100</f>
        <v>0</v>
      </c>
      <c r="AGF32">
        <f>SUMIFS(Detail!$AW:$AW,Detail!$G:$G,'Rates-Service Fees'!AGF$23,Detail!$H:$H,'Rates-Service Fees'!AGF$11)*100</f>
        <v>0</v>
      </c>
      <c r="AGG32">
        <f>SUMIFS(Detail!$AW:$AW,Detail!$G:$G,'Rates-Service Fees'!AGG$23,Detail!$H:$H,'Rates-Service Fees'!AGG$11)*100</f>
        <v>0</v>
      </c>
      <c r="AGH32">
        <f>SUMIFS(Detail!$AW:$AW,Detail!$G:$G,'Rates-Service Fees'!AGH$23,Detail!$H:$H,'Rates-Service Fees'!AGH$11)*100</f>
        <v>0</v>
      </c>
      <c r="AGI32">
        <f>SUMIFS(Detail!$AW:$AW,Detail!$G:$G,'Rates-Service Fees'!AGI$23,Detail!$H:$H,'Rates-Service Fees'!AGI$11)*100</f>
        <v>0</v>
      </c>
      <c r="AGJ32">
        <f>SUMIFS(Detail!$AW:$AW,Detail!$G:$G,'Rates-Service Fees'!AGJ$23,Detail!$H:$H,'Rates-Service Fees'!AGJ$11)*100</f>
        <v>0</v>
      </c>
      <c r="AGK32">
        <f>SUMIFS(Detail!$AW:$AW,Detail!$G:$G,'Rates-Service Fees'!AGK$23,Detail!$H:$H,'Rates-Service Fees'!AGK$11)*100</f>
        <v>0</v>
      </c>
      <c r="AGL32">
        <f>SUMIFS(Detail!$AW:$AW,Detail!$G:$G,'Rates-Service Fees'!AGL$23,Detail!$H:$H,'Rates-Service Fees'!AGL$11)*100</f>
        <v>0</v>
      </c>
      <c r="AGM32">
        <f>SUMIFS(Detail!$AW:$AW,Detail!$G:$G,'Rates-Service Fees'!AGM$23,Detail!$H:$H,'Rates-Service Fees'!AGM$11)*100</f>
        <v>0</v>
      </c>
      <c r="AGN32">
        <f>SUMIFS(Detail!$AW:$AW,Detail!$G:$G,'Rates-Service Fees'!AGN$23,Detail!$H:$H,'Rates-Service Fees'!AGN$11)*100</f>
        <v>0</v>
      </c>
      <c r="AGO32">
        <f>SUMIFS(Detail!$AW:$AW,Detail!$G:$G,'Rates-Service Fees'!AGO$23,Detail!$H:$H,'Rates-Service Fees'!AGO$11)*100</f>
        <v>0</v>
      </c>
      <c r="AGP32">
        <f>SUMIFS(Detail!$AW:$AW,Detail!$G:$G,'Rates-Service Fees'!AGP$23,Detail!$H:$H,'Rates-Service Fees'!AGP$11)*100</f>
        <v>0</v>
      </c>
      <c r="AGQ32">
        <f>SUMIFS(Detail!$AW:$AW,Detail!$G:$G,'Rates-Service Fees'!AGQ$23,Detail!$H:$H,'Rates-Service Fees'!AGQ$11)*100</f>
        <v>0</v>
      </c>
      <c r="AGR32">
        <f>SUMIFS(Detail!$AW:$AW,Detail!$G:$G,'Rates-Service Fees'!AGR$23,Detail!$H:$H,'Rates-Service Fees'!AGR$11)*100</f>
        <v>0</v>
      </c>
      <c r="AGS32">
        <f>SUMIFS(Detail!$AW:$AW,Detail!$G:$G,'Rates-Service Fees'!AGS$23,Detail!$H:$H,'Rates-Service Fees'!AGS$11)*100</f>
        <v>0</v>
      </c>
      <c r="AGT32">
        <f>SUMIFS(Detail!$AW:$AW,Detail!$G:$G,'Rates-Service Fees'!AGT$23,Detail!$H:$H,'Rates-Service Fees'!AGT$11)*100</f>
        <v>0</v>
      </c>
      <c r="AGU32">
        <f>SUMIFS(Detail!$AW:$AW,Detail!$G:$G,'Rates-Service Fees'!AGU$23,Detail!$H:$H,'Rates-Service Fees'!AGU$11)*100</f>
        <v>0</v>
      </c>
      <c r="AGV32">
        <f>SUMIFS(Detail!$AW:$AW,Detail!$G:$G,'Rates-Service Fees'!AGV$23,Detail!$H:$H,'Rates-Service Fees'!AGV$11)*100</f>
        <v>0</v>
      </c>
      <c r="AGW32">
        <f>SUMIFS(Detail!$AW:$AW,Detail!$G:$G,'Rates-Service Fees'!AGW$23,Detail!$H:$H,'Rates-Service Fees'!AGW$11)*100</f>
        <v>0</v>
      </c>
      <c r="AGX32">
        <f>SUMIFS(Detail!$AW:$AW,Detail!$G:$G,'Rates-Service Fees'!AGX$23,Detail!$H:$H,'Rates-Service Fees'!AGX$11)*100</f>
        <v>0</v>
      </c>
      <c r="AGY32">
        <f>SUMIFS(Detail!$AW:$AW,Detail!$G:$G,'Rates-Service Fees'!AGY$23,Detail!$H:$H,'Rates-Service Fees'!AGY$11)*100</f>
        <v>0</v>
      </c>
      <c r="AGZ32">
        <f>SUMIFS(Detail!$AW:$AW,Detail!$G:$G,'Rates-Service Fees'!AGZ$23,Detail!$H:$H,'Rates-Service Fees'!AGZ$11)*100</f>
        <v>0</v>
      </c>
      <c r="AHA32">
        <f>SUMIFS(Detail!$AW:$AW,Detail!$G:$G,'Rates-Service Fees'!AHA$23,Detail!$H:$H,'Rates-Service Fees'!AHA$11)*100</f>
        <v>0</v>
      </c>
      <c r="AHB32">
        <f>SUMIFS(Detail!$AW:$AW,Detail!$G:$G,'Rates-Service Fees'!AHB$23,Detail!$H:$H,'Rates-Service Fees'!AHB$11)*100</f>
        <v>0</v>
      </c>
      <c r="AHC32">
        <f>SUMIFS(Detail!$AW:$AW,Detail!$G:$G,'Rates-Service Fees'!AHC$23,Detail!$H:$H,'Rates-Service Fees'!AHC$11)*100</f>
        <v>0</v>
      </c>
      <c r="AHD32">
        <f>SUMIFS(Detail!$AW:$AW,Detail!$G:$G,'Rates-Service Fees'!AHD$23,Detail!$H:$H,'Rates-Service Fees'!AHD$11)*100</f>
        <v>0</v>
      </c>
      <c r="AHE32">
        <f>SUMIFS(Detail!$AW:$AW,Detail!$G:$G,'Rates-Service Fees'!AHE$23,Detail!$H:$H,'Rates-Service Fees'!AHE$11)*100</f>
        <v>0</v>
      </c>
      <c r="AHF32">
        <f>SUMIFS(Detail!$AW:$AW,Detail!$G:$G,'Rates-Service Fees'!AHF$23,Detail!$H:$H,'Rates-Service Fees'!AHF$11)*100</f>
        <v>0</v>
      </c>
      <c r="AHG32">
        <f>SUMIFS(Detail!$AW:$AW,Detail!$G:$G,'Rates-Service Fees'!AHG$23,Detail!$H:$H,'Rates-Service Fees'!AHG$11)*100</f>
        <v>0</v>
      </c>
      <c r="AHH32">
        <f>SUMIFS(Detail!$AW:$AW,Detail!$G:$G,'Rates-Service Fees'!AHH$23,Detail!$H:$H,'Rates-Service Fees'!AHH$11)*100</f>
        <v>0</v>
      </c>
      <c r="AHI32">
        <f>SUMIFS(Detail!$AW:$AW,Detail!$G:$G,'Rates-Service Fees'!AHI$23,Detail!$H:$H,'Rates-Service Fees'!AHI$11)*100</f>
        <v>0</v>
      </c>
      <c r="AHJ32">
        <f>SUMIFS(Detail!$AW:$AW,Detail!$G:$G,'Rates-Service Fees'!AHJ$23,Detail!$H:$H,'Rates-Service Fees'!AHJ$11)*100</f>
        <v>0</v>
      </c>
      <c r="AHK32">
        <f>SUMIFS(Detail!$AW:$AW,Detail!$G:$G,'Rates-Service Fees'!AHK$23,Detail!$H:$H,'Rates-Service Fees'!AHK$11)*100</f>
        <v>0</v>
      </c>
      <c r="AHL32">
        <f>SUMIFS(Detail!$AW:$AW,Detail!$G:$G,'Rates-Service Fees'!AHL$23,Detail!$H:$H,'Rates-Service Fees'!AHL$11)*100</f>
        <v>0</v>
      </c>
      <c r="AHM32">
        <f>SUMIFS(Detail!$AW:$AW,Detail!$G:$G,'Rates-Service Fees'!AHM$23,Detail!$H:$H,'Rates-Service Fees'!AHM$11)*100</f>
        <v>0</v>
      </c>
      <c r="AHN32">
        <f>SUMIFS(Detail!$AW:$AW,Detail!$G:$G,'Rates-Service Fees'!AHN$23,Detail!$H:$H,'Rates-Service Fees'!AHN$11)*100</f>
        <v>0</v>
      </c>
      <c r="AHO32">
        <f>SUMIFS(Detail!$AW:$AW,Detail!$G:$G,'Rates-Service Fees'!AHO$23,Detail!$H:$H,'Rates-Service Fees'!AHO$11)*100</f>
        <v>0</v>
      </c>
      <c r="AHP32">
        <f>SUMIFS(Detail!$AW:$AW,Detail!$G:$G,'Rates-Service Fees'!AHP$23,Detail!$H:$H,'Rates-Service Fees'!AHP$11)*100</f>
        <v>0</v>
      </c>
      <c r="AHQ32">
        <f>SUMIFS(Detail!$AW:$AW,Detail!$G:$G,'Rates-Service Fees'!AHQ$23,Detail!$H:$H,'Rates-Service Fees'!AHQ$11)*100</f>
        <v>0</v>
      </c>
      <c r="AHR32">
        <f>SUMIFS(Detail!$AW:$AW,Detail!$G:$G,'Rates-Service Fees'!AHR$23,Detail!$H:$H,'Rates-Service Fees'!AHR$11)*100</f>
        <v>0</v>
      </c>
      <c r="AHS32">
        <f>SUMIFS(Detail!$AW:$AW,Detail!$G:$G,'Rates-Service Fees'!AHS$23,Detail!$H:$H,'Rates-Service Fees'!AHS$11)*100</f>
        <v>0</v>
      </c>
      <c r="AHT32">
        <f>SUMIFS(Detail!$AW:$AW,Detail!$G:$G,'Rates-Service Fees'!AHT$23,Detail!$H:$H,'Rates-Service Fees'!AHT$11)*100</f>
        <v>0</v>
      </c>
      <c r="AHU32">
        <f>SUMIFS(Detail!$AW:$AW,Detail!$G:$G,'Rates-Service Fees'!AHU$23,Detail!$H:$H,'Rates-Service Fees'!AHU$11)*100</f>
        <v>0</v>
      </c>
      <c r="AHV32">
        <f>SUMIFS(Detail!$AW:$AW,Detail!$G:$G,'Rates-Service Fees'!AHV$23,Detail!$H:$H,'Rates-Service Fees'!AHV$11)*100</f>
        <v>0</v>
      </c>
      <c r="AHW32">
        <f>SUMIFS(Detail!$AW:$AW,Detail!$G:$G,'Rates-Service Fees'!AHW$23,Detail!$H:$H,'Rates-Service Fees'!AHW$11)*100</f>
        <v>0</v>
      </c>
      <c r="AHX32">
        <f>SUMIFS(Detail!$AW:$AW,Detail!$G:$G,'Rates-Service Fees'!AHX$23,Detail!$H:$H,'Rates-Service Fees'!AHX$11)*100</f>
        <v>0</v>
      </c>
      <c r="AHY32">
        <f>SUMIFS(Detail!$AW:$AW,Detail!$G:$G,'Rates-Service Fees'!AHY$23,Detail!$H:$H,'Rates-Service Fees'!AHY$11)*100</f>
        <v>0</v>
      </c>
      <c r="AHZ32">
        <f>SUMIFS(Detail!$AW:$AW,Detail!$G:$G,'Rates-Service Fees'!AHZ$23,Detail!$H:$H,'Rates-Service Fees'!AHZ$11)*100</f>
        <v>0</v>
      </c>
      <c r="AIA32">
        <f>SUMIFS(Detail!$AW:$AW,Detail!$G:$G,'Rates-Service Fees'!AIA$23,Detail!$H:$H,'Rates-Service Fees'!AIA$11)*100</f>
        <v>0</v>
      </c>
      <c r="AIB32">
        <f>SUMIFS(Detail!$AW:$AW,Detail!$G:$G,'Rates-Service Fees'!AIB$23,Detail!$H:$H,'Rates-Service Fees'!AIB$11)*100</f>
        <v>0</v>
      </c>
      <c r="AIC32">
        <f>SUMIFS(Detail!$AW:$AW,Detail!$G:$G,'Rates-Service Fees'!AIC$23,Detail!$H:$H,'Rates-Service Fees'!AIC$11)*100</f>
        <v>0</v>
      </c>
      <c r="AID32">
        <f>SUMIFS(Detail!$AW:$AW,Detail!$G:$G,'Rates-Service Fees'!AID$23,Detail!$H:$H,'Rates-Service Fees'!AID$11)*100</f>
        <v>0</v>
      </c>
      <c r="AIE32">
        <f>SUMIFS(Detail!$AW:$AW,Detail!$G:$G,'Rates-Service Fees'!AIE$23,Detail!$H:$H,'Rates-Service Fees'!AIE$11)*100</f>
        <v>0</v>
      </c>
      <c r="AIF32">
        <f>SUMIFS(Detail!$AW:$AW,Detail!$G:$G,'Rates-Service Fees'!AIF$23,Detail!$H:$H,'Rates-Service Fees'!AIF$11)*100</f>
        <v>0</v>
      </c>
      <c r="AIG32">
        <f>SUMIFS(Detail!$AW:$AW,Detail!$G:$G,'Rates-Service Fees'!AIG$23,Detail!$H:$H,'Rates-Service Fees'!AIG$11)*100</f>
        <v>0</v>
      </c>
      <c r="AIH32">
        <f>SUMIFS(Detail!$AW:$AW,Detail!$G:$G,'Rates-Service Fees'!AIH$23,Detail!$H:$H,'Rates-Service Fees'!AIH$11)*100</f>
        <v>0</v>
      </c>
      <c r="AII32">
        <f>SUMIFS(Detail!$AW:$AW,Detail!$G:$G,'Rates-Service Fees'!AII$23,Detail!$H:$H,'Rates-Service Fees'!AII$11)*100</f>
        <v>0</v>
      </c>
      <c r="AIJ32">
        <f>SUMIFS(Detail!$AW:$AW,Detail!$G:$G,'Rates-Service Fees'!AIJ$23,Detail!$H:$H,'Rates-Service Fees'!AIJ$11)*100</f>
        <v>0</v>
      </c>
      <c r="AIK32">
        <f>SUMIFS(Detail!$AW:$AW,Detail!$G:$G,'Rates-Service Fees'!AIK$23,Detail!$H:$H,'Rates-Service Fees'!AIK$11)*100</f>
        <v>0</v>
      </c>
      <c r="AIL32">
        <f>SUMIFS(Detail!$AW:$AW,Detail!$G:$G,'Rates-Service Fees'!AIL$23,Detail!$H:$H,'Rates-Service Fees'!AIL$11)*100</f>
        <v>0</v>
      </c>
      <c r="AIM32">
        <f>SUMIFS(Detail!$AW:$AW,Detail!$G:$G,'Rates-Service Fees'!AIM$23,Detail!$H:$H,'Rates-Service Fees'!AIM$11)*100</f>
        <v>0</v>
      </c>
      <c r="AIN32">
        <f>SUMIFS(Detail!$AW:$AW,Detail!$G:$G,'Rates-Service Fees'!AIN$23,Detail!$H:$H,'Rates-Service Fees'!AIN$11)*100</f>
        <v>0</v>
      </c>
      <c r="AIO32">
        <f>SUMIFS(Detail!$AW:$AW,Detail!$G:$G,'Rates-Service Fees'!AIO$23,Detail!$H:$H,'Rates-Service Fees'!AIO$11)*100</f>
        <v>0</v>
      </c>
      <c r="AIP32">
        <f>SUMIFS(Detail!$AW:$AW,Detail!$G:$G,'Rates-Service Fees'!AIP$23,Detail!$H:$H,'Rates-Service Fees'!AIP$11)*100</f>
        <v>0</v>
      </c>
      <c r="AIQ32">
        <f>SUMIFS(Detail!$AW:$AW,Detail!$G:$G,'Rates-Service Fees'!AIQ$23,Detail!$H:$H,'Rates-Service Fees'!AIQ$11)*100</f>
        <v>0</v>
      </c>
      <c r="AIR32">
        <f>SUMIFS(Detail!$AW:$AW,Detail!$G:$G,'Rates-Service Fees'!AIR$23,Detail!$H:$H,'Rates-Service Fees'!AIR$11)*100</f>
        <v>0</v>
      </c>
      <c r="AIS32">
        <f>SUMIFS(Detail!$AW:$AW,Detail!$G:$G,'Rates-Service Fees'!AIS$23,Detail!$H:$H,'Rates-Service Fees'!AIS$11)*100</f>
        <v>0</v>
      </c>
      <c r="AIT32">
        <f>SUMIFS(Detail!$AW:$AW,Detail!$G:$G,'Rates-Service Fees'!AIT$23,Detail!$H:$H,'Rates-Service Fees'!AIT$11)*100</f>
        <v>0</v>
      </c>
      <c r="AIU32">
        <f>SUMIFS(Detail!$AW:$AW,Detail!$G:$G,'Rates-Service Fees'!AIU$23,Detail!$H:$H,'Rates-Service Fees'!AIU$11)*100</f>
        <v>0</v>
      </c>
      <c r="AIV32">
        <f>SUMIFS(Detail!$AW:$AW,Detail!$G:$G,'Rates-Service Fees'!AIV$23,Detail!$H:$H,'Rates-Service Fees'!AIV$11)*100</f>
        <v>0</v>
      </c>
      <c r="AIW32">
        <f>SUMIFS(Detail!$AW:$AW,Detail!$G:$G,'Rates-Service Fees'!AIW$23,Detail!$H:$H,'Rates-Service Fees'!AIW$11)*100</f>
        <v>0</v>
      </c>
      <c r="AIX32">
        <f>SUMIFS(Detail!$AW:$AW,Detail!$G:$G,'Rates-Service Fees'!AIX$23,Detail!$H:$H,'Rates-Service Fees'!AIX$11)*100</f>
        <v>0</v>
      </c>
      <c r="AIY32">
        <f>SUMIFS(Detail!$AW:$AW,Detail!$G:$G,'Rates-Service Fees'!AIY$23,Detail!$H:$H,'Rates-Service Fees'!AIY$11)*100</f>
        <v>0</v>
      </c>
      <c r="AIZ32">
        <f>SUMIFS(Detail!$AW:$AW,Detail!$G:$G,'Rates-Service Fees'!AIZ$23,Detail!$H:$H,'Rates-Service Fees'!AIZ$11)*100</f>
        <v>0</v>
      </c>
      <c r="AJA32">
        <f>SUMIFS(Detail!$AW:$AW,Detail!$G:$G,'Rates-Service Fees'!AJA$23,Detail!$H:$H,'Rates-Service Fees'!AJA$11)*100</f>
        <v>0</v>
      </c>
      <c r="AJB32">
        <f>SUMIFS(Detail!$AW:$AW,Detail!$G:$G,'Rates-Service Fees'!AJB$23,Detail!$H:$H,'Rates-Service Fees'!AJB$11)*100</f>
        <v>0</v>
      </c>
      <c r="AJC32">
        <f>SUMIFS(Detail!$AW:$AW,Detail!$G:$G,'Rates-Service Fees'!AJC$23,Detail!$H:$H,'Rates-Service Fees'!AJC$11)*100</f>
        <v>0</v>
      </c>
      <c r="AJD32">
        <f>SUMIFS(Detail!$AW:$AW,Detail!$G:$G,'Rates-Service Fees'!AJD$23,Detail!$H:$H,'Rates-Service Fees'!AJD$11)*100</f>
        <v>0</v>
      </c>
      <c r="AJE32">
        <f>SUMIFS(Detail!$AW:$AW,Detail!$G:$G,'Rates-Service Fees'!AJE$23,Detail!$H:$H,'Rates-Service Fees'!AJE$11)*100</f>
        <v>0</v>
      </c>
      <c r="AJF32">
        <f>SUMIFS(Detail!$AW:$AW,Detail!$G:$G,'Rates-Service Fees'!AJF$23,Detail!$H:$H,'Rates-Service Fees'!AJF$11)*100</f>
        <v>0</v>
      </c>
      <c r="AJG32">
        <f>SUMIFS(Detail!$AW:$AW,Detail!$G:$G,'Rates-Service Fees'!AJG$23,Detail!$H:$H,'Rates-Service Fees'!AJG$11)*100</f>
        <v>0</v>
      </c>
      <c r="AJH32">
        <f>SUMIFS(Detail!$AW:$AW,Detail!$G:$G,'Rates-Service Fees'!AJH$23,Detail!$H:$H,'Rates-Service Fees'!AJH$11)*100</f>
        <v>0</v>
      </c>
      <c r="AJI32">
        <f>SUMIFS(Detail!$AW:$AW,Detail!$G:$G,'Rates-Service Fees'!AJI$23,Detail!$H:$H,'Rates-Service Fees'!AJI$11)*100</f>
        <v>0</v>
      </c>
      <c r="AJJ32">
        <f>SUMIFS(Detail!$AW:$AW,Detail!$G:$G,'Rates-Service Fees'!AJJ$23,Detail!$H:$H,'Rates-Service Fees'!AJJ$11)*100</f>
        <v>0</v>
      </c>
      <c r="AJK32">
        <f>SUMIFS(Detail!$AW:$AW,Detail!$G:$G,'Rates-Service Fees'!AJK$23,Detail!$H:$H,'Rates-Service Fees'!AJK$11)*100</f>
        <v>0</v>
      </c>
      <c r="AJL32">
        <f>SUMIFS(Detail!$AW:$AW,Detail!$G:$G,'Rates-Service Fees'!AJL$23,Detail!$H:$H,'Rates-Service Fees'!AJL$11)*100</f>
        <v>0</v>
      </c>
      <c r="AJM32">
        <f>SUMIFS(Detail!$AW:$AW,Detail!$G:$G,'Rates-Service Fees'!AJM$23,Detail!$H:$H,'Rates-Service Fees'!AJM$11)*100</f>
        <v>0</v>
      </c>
      <c r="AJN32">
        <f>SUMIFS(Detail!$AW:$AW,Detail!$G:$G,'Rates-Service Fees'!AJN$23,Detail!$H:$H,'Rates-Service Fees'!AJN$11)*100</f>
        <v>0</v>
      </c>
      <c r="AJO32">
        <f>SUMIFS(Detail!$AW:$AW,Detail!$G:$G,'Rates-Service Fees'!AJO$23,Detail!$H:$H,'Rates-Service Fees'!AJO$11)*100</f>
        <v>0</v>
      </c>
      <c r="AJP32">
        <f>SUMIFS(Detail!$AW:$AW,Detail!$G:$G,'Rates-Service Fees'!AJP$23,Detail!$H:$H,'Rates-Service Fees'!AJP$11)*100</f>
        <v>0</v>
      </c>
      <c r="AJQ32">
        <f>SUMIFS(Detail!$AW:$AW,Detail!$G:$G,'Rates-Service Fees'!AJQ$23,Detail!$H:$H,'Rates-Service Fees'!AJQ$11)*100</f>
        <v>0</v>
      </c>
      <c r="AJR32">
        <f>SUMIFS(Detail!$AW:$AW,Detail!$G:$G,'Rates-Service Fees'!AJR$23,Detail!$H:$H,'Rates-Service Fees'!AJR$11)*100</f>
        <v>0</v>
      </c>
      <c r="AJS32">
        <f>SUMIFS(Detail!$AW:$AW,Detail!$G:$G,'Rates-Service Fees'!AJS$23,Detail!$H:$H,'Rates-Service Fees'!AJS$11)*100</f>
        <v>0</v>
      </c>
      <c r="AJT32">
        <f>SUMIFS(Detail!$AW:$AW,Detail!$G:$G,'Rates-Service Fees'!AJT$23,Detail!$H:$H,'Rates-Service Fees'!AJT$11)*100</f>
        <v>0</v>
      </c>
      <c r="AJU32">
        <f>SUMIFS(Detail!$AW:$AW,Detail!$G:$G,'Rates-Service Fees'!AJU$23,Detail!$H:$H,'Rates-Service Fees'!AJU$11)*100</f>
        <v>0</v>
      </c>
      <c r="AJV32">
        <f>SUMIFS(Detail!$AW:$AW,Detail!$G:$G,'Rates-Service Fees'!AJV$23,Detail!$H:$H,'Rates-Service Fees'!AJV$11)*100</f>
        <v>0</v>
      </c>
      <c r="AJW32">
        <f>SUMIFS(Detail!$AW:$AW,Detail!$G:$G,'Rates-Service Fees'!AJW$23,Detail!$H:$H,'Rates-Service Fees'!AJW$11)*100</f>
        <v>0</v>
      </c>
      <c r="AJX32">
        <f>SUMIFS(Detail!$AW:$AW,Detail!$G:$G,'Rates-Service Fees'!AJX$23,Detail!$H:$H,'Rates-Service Fees'!AJX$11)*100</f>
        <v>0</v>
      </c>
      <c r="AJY32">
        <f>SUMIFS(Detail!$AW:$AW,Detail!$G:$G,'Rates-Service Fees'!AJY$23,Detail!$H:$H,'Rates-Service Fees'!AJY$11)*100</f>
        <v>0</v>
      </c>
      <c r="AJZ32">
        <f>SUMIFS(Detail!$AW:$AW,Detail!$G:$G,'Rates-Service Fees'!AJZ$23,Detail!$H:$H,'Rates-Service Fees'!AJZ$11)*100</f>
        <v>0</v>
      </c>
      <c r="AKA32">
        <f>SUMIFS(Detail!$AW:$AW,Detail!$G:$G,'Rates-Service Fees'!AKA$23,Detail!$H:$H,'Rates-Service Fees'!AKA$11)*100</f>
        <v>0</v>
      </c>
      <c r="AKB32">
        <f>SUMIFS(Detail!$AW:$AW,Detail!$G:$G,'Rates-Service Fees'!AKB$23,Detail!$H:$H,'Rates-Service Fees'!AKB$11)*100</f>
        <v>0</v>
      </c>
      <c r="AKC32">
        <f>SUMIFS(Detail!$AW:$AW,Detail!$G:$G,'Rates-Service Fees'!AKC$23,Detail!$H:$H,'Rates-Service Fees'!AKC$11)*100</f>
        <v>0</v>
      </c>
      <c r="AKD32">
        <f>SUMIFS(Detail!$AW:$AW,Detail!$G:$G,'Rates-Service Fees'!AKD$23,Detail!$H:$H,'Rates-Service Fees'!AKD$11)*100</f>
        <v>0</v>
      </c>
      <c r="AKE32">
        <f>SUMIFS(Detail!$AW:$AW,Detail!$G:$G,'Rates-Service Fees'!AKE$23,Detail!$H:$H,'Rates-Service Fees'!AKE$11)*100</f>
        <v>0</v>
      </c>
      <c r="AKF32">
        <f>SUMIFS(Detail!$AW:$AW,Detail!$G:$G,'Rates-Service Fees'!AKF$23,Detail!$H:$H,'Rates-Service Fees'!AKF$11)*100</f>
        <v>0</v>
      </c>
      <c r="AKG32">
        <f>SUMIFS(Detail!$AW:$AW,Detail!$G:$G,'Rates-Service Fees'!AKG$23,Detail!$H:$H,'Rates-Service Fees'!AKG$11)*100</f>
        <v>0</v>
      </c>
      <c r="AKH32">
        <f>SUMIFS(Detail!$AW:$AW,Detail!$G:$G,'Rates-Service Fees'!AKH$23,Detail!$H:$H,'Rates-Service Fees'!AKH$11)*100</f>
        <v>0</v>
      </c>
      <c r="AKI32">
        <f>SUMIFS(Detail!$AW:$AW,Detail!$G:$G,'Rates-Service Fees'!AKI$23,Detail!$H:$H,'Rates-Service Fees'!AKI$11)*100</f>
        <v>0</v>
      </c>
      <c r="AKJ32">
        <f>SUMIFS(Detail!$AW:$AW,Detail!$G:$G,'Rates-Service Fees'!AKJ$23,Detail!$H:$H,'Rates-Service Fees'!AKJ$11)*100</f>
        <v>0</v>
      </c>
      <c r="AKK32">
        <f>SUMIFS(Detail!$AW:$AW,Detail!$G:$G,'Rates-Service Fees'!AKK$23,Detail!$H:$H,'Rates-Service Fees'!AKK$11)*100</f>
        <v>0</v>
      </c>
      <c r="AKL32">
        <f>SUMIFS(Detail!$AW:$AW,Detail!$G:$G,'Rates-Service Fees'!AKL$23,Detail!$H:$H,'Rates-Service Fees'!AKL$11)*100</f>
        <v>0</v>
      </c>
      <c r="AKM32">
        <f>SUMIFS(Detail!$AW:$AW,Detail!$G:$G,'Rates-Service Fees'!AKM$23,Detail!$H:$H,'Rates-Service Fees'!AKM$11)*100</f>
        <v>0</v>
      </c>
      <c r="AKN32">
        <f>SUMIFS(Detail!$AW:$AW,Detail!$G:$G,'Rates-Service Fees'!AKN$23,Detail!$H:$H,'Rates-Service Fees'!AKN$11)*100</f>
        <v>0</v>
      </c>
      <c r="AKO32">
        <f>SUMIFS(Detail!$AW:$AW,Detail!$G:$G,'Rates-Service Fees'!AKO$23,Detail!$H:$H,'Rates-Service Fees'!AKO$11)*100</f>
        <v>0</v>
      </c>
      <c r="AKP32">
        <f>SUMIFS(Detail!$AW:$AW,Detail!$G:$G,'Rates-Service Fees'!AKP$23,Detail!$H:$H,'Rates-Service Fees'!AKP$11)*100</f>
        <v>0</v>
      </c>
      <c r="AKQ32">
        <f>SUMIFS(Detail!$AW:$AW,Detail!$G:$G,'Rates-Service Fees'!AKQ$23,Detail!$H:$H,'Rates-Service Fees'!AKQ$11)*100</f>
        <v>0</v>
      </c>
      <c r="AKR32">
        <f>SUMIFS(Detail!$AW:$AW,Detail!$G:$G,'Rates-Service Fees'!AKR$23,Detail!$H:$H,'Rates-Service Fees'!AKR$11)*100</f>
        <v>0</v>
      </c>
      <c r="AKS32">
        <f>SUMIFS(Detail!$AW:$AW,Detail!$G:$G,'Rates-Service Fees'!AKS$23,Detail!$H:$H,'Rates-Service Fees'!AKS$11)*100</f>
        <v>0</v>
      </c>
      <c r="AKT32">
        <f>SUMIFS(Detail!$AW:$AW,Detail!$G:$G,'Rates-Service Fees'!AKT$23,Detail!$H:$H,'Rates-Service Fees'!AKT$11)*100</f>
        <v>0</v>
      </c>
      <c r="AKU32">
        <f>SUMIFS(Detail!$AW:$AW,Detail!$G:$G,'Rates-Service Fees'!AKU$23,Detail!$H:$H,'Rates-Service Fees'!AKU$11)*100</f>
        <v>0</v>
      </c>
      <c r="AKV32">
        <f>SUMIFS(Detail!$AW:$AW,Detail!$G:$G,'Rates-Service Fees'!AKV$23,Detail!$H:$H,'Rates-Service Fees'!AKV$11)*100</f>
        <v>0</v>
      </c>
      <c r="AKW32">
        <f>SUMIFS(Detail!$AW:$AW,Detail!$G:$G,'Rates-Service Fees'!AKW$23,Detail!$H:$H,'Rates-Service Fees'!AKW$11)*100</f>
        <v>0</v>
      </c>
      <c r="AKX32">
        <f>SUMIFS(Detail!$AW:$AW,Detail!$G:$G,'Rates-Service Fees'!AKX$23,Detail!$H:$H,'Rates-Service Fees'!AKX$11)*100</f>
        <v>0</v>
      </c>
      <c r="AKY32">
        <f>SUMIFS(Detail!$AW:$AW,Detail!$G:$G,'Rates-Service Fees'!AKY$23,Detail!$H:$H,'Rates-Service Fees'!AKY$11)*100</f>
        <v>0</v>
      </c>
      <c r="AKZ32">
        <f>SUMIFS(Detail!$AW:$AW,Detail!$G:$G,'Rates-Service Fees'!AKZ$23,Detail!$H:$H,'Rates-Service Fees'!AKZ$11)*100</f>
        <v>0</v>
      </c>
      <c r="ALA32">
        <f>SUMIFS(Detail!$AW:$AW,Detail!$G:$G,'Rates-Service Fees'!ALA$23,Detail!$H:$H,'Rates-Service Fees'!ALA$11)*100</f>
        <v>0</v>
      </c>
      <c r="ALB32">
        <f>SUMIFS(Detail!$AW:$AW,Detail!$G:$G,'Rates-Service Fees'!ALB$23,Detail!$H:$H,'Rates-Service Fees'!ALB$11)*100</f>
        <v>0</v>
      </c>
      <c r="ALC32">
        <f>SUMIFS(Detail!$AW:$AW,Detail!$G:$G,'Rates-Service Fees'!ALC$23,Detail!$H:$H,'Rates-Service Fees'!ALC$11)*100</f>
        <v>0</v>
      </c>
      <c r="ALD32">
        <f>SUMIFS(Detail!$AW:$AW,Detail!$G:$G,'Rates-Service Fees'!ALD$23,Detail!$H:$H,'Rates-Service Fees'!ALD$11)*100</f>
        <v>0</v>
      </c>
      <c r="ALE32">
        <f>SUMIFS(Detail!$AW:$AW,Detail!$G:$G,'Rates-Service Fees'!ALE$23,Detail!$H:$H,'Rates-Service Fees'!ALE$11)*100</f>
        <v>0</v>
      </c>
      <c r="ALF32">
        <f>SUMIFS(Detail!$AW:$AW,Detail!$G:$G,'Rates-Service Fees'!ALF$23,Detail!$H:$H,'Rates-Service Fees'!ALF$11)*100</f>
        <v>0</v>
      </c>
      <c r="ALG32">
        <f>SUMIFS(Detail!$AW:$AW,Detail!$G:$G,'Rates-Service Fees'!ALG$23,Detail!$H:$H,'Rates-Service Fees'!ALG$11)*100</f>
        <v>0</v>
      </c>
      <c r="ALH32">
        <f>SUMIFS(Detail!$AW:$AW,Detail!$G:$G,'Rates-Service Fees'!ALH$23,Detail!$H:$H,'Rates-Service Fees'!ALH$11)*100</f>
        <v>0</v>
      </c>
      <c r="ALI32">
        <f>SUMIFS(Detail!$AW:$AW,Detail!$G:$G,'Rates-Service Fees'!ALI$23,Detail!$H:$H,'Rates-Service Fees'!ALI$11)*100</f>
        <v>0</v>
      </c>
      <c r="ALJ32">
        <f>SUMIFS(Detail!$AW:$AW,Detail!$G:$G,'Rates-Service Fees'!ALJ$23,Detail!$H:$H,'Rates-Service Fees'!ALJ$11)*100</f>
        <v>0</v>
      </c>
      <c r="ALK32">
        <f>SUMIFS(Detail!$AW:$AW,Detail!$G:$G,'Rates-Service Fees'!ALK$23,Detail!$H:$H,'Rates-Service Fees'!ALK$11)*100</f>
        <v>0</v>
      </c>
      <c r="ALL32">
        <f>SUMIFS(Detail!$AW:$AW,Detail!$G:$G,'Rates-Service Fees'!ALL$23,Detail!$H:$H,'Rates-Service Fees'!ALL$11)*100</f>
        <v>0</v>
      </c>
      <c r="ALM32">
        <f>SUMIFS(Detail!$AW:$AW,Detail!$G:$G,'Rates-Service Fees'!ALM$23,Detail!$H:$H,'Rates-Service Fees'!ALM$11)*100</f>
        <v>0</v>
      </c>
    </row>
    <row r="33" spans="1:1001">
      <c r="A33" s="26"/>
      <c r="B33">
        <f>B14</f>
        <v>0</v>
      </c>
      <c r="C33">
        <f t="shared" ref="C33:BN33" si="46">C14</f>
        <v>0</v>
      </c>
      <c r="D33">
        <f t="shared" si="46"/>
        <v>0</v>
      </c>
      <c r="E33">
        <f t="shared" si="46"/>
        <v>0</v>
      </c>
      <c r="F33">
        <f t="shared" si="46"/>
        <v>0</v>
      </c>
      <c r="G33">
        <f t="shared" si="46"/>
        <v>0</v>
      </c>
      <c r="H33">
        <f t="shared" si="46"/>
        <v>0</v>
      </c>
      <c r="I33">
        <f t="shared" si="46"/>
        <v>0</v>
      </c>
      <c r="J33">
        <f t="shared" si="46"/>
        <v>0</v>
      </c>
      <c r="K33">
        <f t="shared" si="46"/>
        <v>0</v>
      </c>
      <c r="L33">
        <f t="shared" si="46"/>
        <v>0</v>
      </c>
      <c r="M33">
        <f t="shared" si="46"/>
        <v>0</v>
      </c>
      <c r="N33">
        <f t="shared" si="46"/>
        <v>0</v>
      </c>
      <c r="O33">
        <f t="shared" si="46"/>
        <v>0</v>
      </c>
      <c r="P33">
        <f t="shared" si="46"/>
        <v>0</v>
      </c>
      <c r="Q33">
        <f t="shared" si="46"/>
        <v>0</v>
      </c>
      <c r="R33">
        <f t="shared" si="46"/>
        <v>0</v>
      </c>
      <c r="S33">
        <f t="shared" si="46"/>
        <v>0</v>
      </c>
      <c r="T33">
        <f t="shared" si="46"/>
        <v>0</v>
      </c>
      <c r="U33">
        <f t="shared" si="46"/>
        <v>0</v>
      </c>
      <c r="V33">
        <f t="shared" si="46"/>
        <v>0</v>
      </c>
      <c r="W33">
        <f t="shared" si="46"/>
        <v>0</v>
      </c>
      <c r="X33">
        <f t="shared" si="46"/>
        <v>0</v>
      </c>
      <c r="Y33">
        <f t="shared" si="46"/>
        <v>0</v>
      </c>
      <c r="Z33">
        <f t="shared" si="46"/>
        <v>0</v>
      </c>
      <c r="AA33">
        <f t="shared" si="46"/>
        <v>0</v>
      </c>
      <c r="AB33">
        <f t="shared" si="46"/>
        <v>0</v>
      </c>
      <c r="AC33">
        <f t="shared" si="46"/>
        <v>0</v>
      </c>
      <c r="AD33">
        <f t="shared" si="46"/>
        <v>0</v>
      </c>
      <c r="AE33">
        <f t="shared" si="46"/>
        <v>0</v>
      </c>
      <c r="AF33">
        <f t="shared" si="46"/>
        <v>0</v>
      </c>
      <c r="AG33">
        <f t="shared" si="46"/>
        <v>0</v>
      </c>
      <c r="AH33">
        <f t="shared" si="46"/>
        <v>0</v>
      </c>
      <c r="AI33">
        <f t="shared" si="46"/>
        <v>0</v>
      </c>
      <c r="AJ33">
        <f t="shared" si="46"/>
        <v>0</v>
      </c>
      <c r="AK33">
        <f t="shared" si="46"/>
        <v>0</v>
      </c>
      <c r="AL33">
        <f t="shared" si="46"/>
        <v>0</v>
      </c>
      <c r="AM33">
        <f t="shared" si="46"/>
        <v>0</v>
      </c>
      <c r="AN33">
        <f t="shared" si="46"/>
        <v>0</v>
      </c>
      <c r="AO33">
        <f t="shared" si="46"/>
        <v>0</v>
      </c>
      <c r="AP33">
        <f t="shared" si="46"/>
        <v>0</v>
      </c>
      <c r="AQ33">
        <f t="shared" si="46"/>
        <v>0</v>
      </c>
      <c r="AR33">
        <f t="shared" si="46"/>
        <v>0</v>
      </c>
      <c r="AS33">
        <f t="shared" si="46"/>
        <v>0</v>
      </c>
      <c r="AT33">
        <f t="shared" si="46"/>
        <v>0</v>
      </c>
      <c r="AU33">
        <f t="shared" si="46"/>
        <v>0</v>
      </c>
      <c r="AV33">
        <f t="shared" si="46"/>
        <v>0</v>
      </c>
      <c r="AW33">
        <f t="shared" si="46"/>
        <v>0</v>
      </c>
      <c r="AX33">
        <f t="shared" si="46"/>
        <v>0</v>
      </c>
      <c r="AY33">
        <f t="shared" si="46"/>
        <v>0</v>
      </c>
      <c r="AZ33">
        <f t="shared" si="46"/>
        <v>0</v>
      </c>
      <c r="BA33">
        <f t="shared" si="46"/>
        <v>0</v>
      </c>
      <c r="BB33">
        <f t="shared" si="46"/>
        <v>0</v>
      </c>
      <c r="BC33">
        <f t="shared" si="46"/>
        <v>0</v>
      </c>
      <c r="BD33">
        <f t="shared" si="46"/>
        <v>0</v>
      </c>
      <c r="BE33">
        <f t="shared" si="46"/>
        <v>0</v>
      </c>
      <c r="BF33">
        <f t="shared" si="46"/>
        <v>0</v>
      </c>
      <c r="BG33">
        <f t="shared" si="46"/>
        <v>0</v>
      </c>
      <c r="BH33">
        <f t="shared" si="46"/>
        <v>0</v>
      </c>
      <c r="BI33">
        <f t="shared" si="46"/>
        <v>0</v>
      </c>
      <c r="BJ33">
        <f t="shared" si="46"/>
        <v>0</v>
      </c>
      <c r="BK33">
        <f t="shared" si="46"/>
        <v>0</v>
      </c>
      <c r="BL33">
        <f t="shared" si="46"/>
        <v>0</v>
      </c>
      <c r="BM33">
        <f t="shared" si="46"/>
        <v>0</v>
      </c>
      <c r="BN33">
        <f t="shared" si="46"/>
        <v>0</v>
      </c>
      <c r="BO33">
        <f t="shared" ref="BO33:DZ33" si="47">BO14</f>
        <v>0</v>
      </c>
      <c r="BP33">
        <f t="shared" si="47"/>
        <v>0</v>
      </c>
      <c r="BQ33">
        <f t="shared" si="47"/>
        <v>0</v>
      </c>
      <c r="BR33">
        <f t="shared" si="47"/>
        <v>0</v>
      </c>
      <c r="BS33">
        <f t="shared" si="47"/>
        <v>0</v>
      </c>
      <c r="BT33">
        <f t="shared" si="47"/>
        <v>0</v>
      </c>
      <c r="BU33">
        <f t="shared" si="47"/>
        <v>0</v>
      </c>
      <c r="BV33">
        <f t="shared" si="47"/>
        <v>0</v>
      </c>
      <c r="BW33">
        <f t="shared" si="47"/>
        <v>0</v>
      </c>
      <c r="BX33">
        <f t="shared" si="47"/>
        <v>0</v>
      </c>
      <c r="BY33">
        <f t="shared" si="47"/>
        <v>0</v>
      </c>
      <c r="BZ33">
        <f t="shared" si="47"/>
        <v>0</v>
      </c>
      <c r="CA33">
        <f t="shared" si="47"/>
        <v>0</v>
      </c>
      <c r="CB33">
        <f t="shared" si="47"/>
        <v>0</v>
      </c>
      <c r="CC33">
        <f t="shared" si="47"/>
        <v>0</v>
      </c>
      <c r="CD33">
        <f>CD14</f>
        <v>0</v>
      </c>
      <c r="CE33">
        <f t="shared" si="47"/>
        <v>0</v>
      </c>
      <c r="CF33">
        <f t="shared" si="47"/>
        <v>0</v>
      </c>
      <c r="CG33">
        <f t="shared" si="47"/>
        <v>0</v>
      </c>
      <c r="CH33">
        <f t="shared" si="47"/>
        <v>0</v>
      </c>
      <c r="CI33">
        <f t="shared" si="47"/>
        <v>0</v>
      </c>
      <c r="CJ33">
        <f t="shared" si="47"/>
        <v>0</v>
      </c>
      <c r="CK33">
        <f t="shared" si="47"/>
        <v>0</v>
      </c>
      <c r="CL33">
        <f t="shared" si="47"/>
        <v>0</v>
      </c>
      <c r="CM33">
        <f t="shared" si="47"/>
        <v>0</v>
      </c>
      <c r="CN33">
        <f t="shared" si="47"/>
        <v>0</v>
      </c>
      <c r="CO33">
        <f t="shared" si="47"/>
        <v>0</v>
      </c>
      <c r="CP33">
        <f t="shared" si="47"/>
        <v>0</v>
      </c>
      <c r="CQ33">
        <f t="shared" si="47"/>
        <v>0</v>
      </c>
      <c r="CR33">
        <f t="shared" si="47"/>
        <v>0</v>
      </c>
      <c r="CS33">
        <f t="shared" si="47"/>
        <v>0</v>
      </c>
      <c r="CT33">
        <f t="shared" si="47"/>
        <v>0</v>
      </c>
      <c r="CU33">
        <f t="shared" si="47"/>
        <v>0</v>
      </c>
      <c r="CV33">
        <f t="shared" si="47"/>
        <v>0</v>
      </c>
      <c r="CW33">
        <f t="shared" si="47"/>
        <v>0</v>
      </c>
      <c r="CX33">
        <f t="shared" si="47"/>
        <v>0</v>
      </c>
      <c r="CY33">
        <f t="shared" si="47"/>
        <v>0</v>
      </c>
      <c r="CZ33">
        <f t="shared" si="47"/>
        <v>0</v>
      </c>
      <c r="DA33">
        <f t="shared" si="47"/>
        <v>0</v>
      </c>
      <c r="DB33">
        <f t="shared" si="47"/>
        <v>0</v>
      </c>
      <c r="DC33">
        <f t="shared" si="47"/>
        <v>0</v>
      </c>
      <c r="DD33">
        <f t="shared" si="47"/>
        <v>0</v>
      </c>
      <c r="DE33">
        <f t="shared" si="47"/>
        <v>0</v>
      </c>
      <c r="DF33">
        <f t="shared" si="47"/>
        <v>0</v>
      </c>
      <c r="DG33">
        <f t="shared" si="47"/>
        <v>0</v>
      </c>
      <c r="DH33">
        <f t="shared" si="47"/>
        <v>0</v>
      </c>
      <c r="DI33">
        <f t="shared" si="47"/>
        <v>0</v>
      </c>
      <c r="DJ33">
        <f t="shared" si="47"/>
        <v>0</v>
      </c>
      <c r="DK33">
        <f t="shared" si="47"/>
        <v>0</v>
      </c>
      <c r="DL33">
        <f t="shared" si="47"/>
        <v>0</v>
      </c>
      <c r="DM33">
        <f t="shared" si="47"/>
        <v>0</v>
      </c>
      <c r="DN33">
        <f t="shared" si="47"/>
        <v>0</v>
      </c>
      <c r="DO33">
        <f t="shared" si="47"/>
        <v>0</v>
      </c>
      <c r="DP33">
        <f t="shared" si="47"/>
        <v>0</v>
      </c>
      <c r="DQ33">
        <f t="shared" si="47"/>
        <v>0</v>
      </c>
      <c r="DR33">
        <f t="shared" si="47"/>
        <v>0</v>
      </c>
      <c r="DS33">
        <f t="shared" si="47"/>
        <v>0</v>
      </c>
      <c r="DT33">
        <f t="shared" si="47"/>
        <v>0</v>
      </c>
      <c r="DU33">
        <f t="shared" si="47"/>
        <v>0</v>
      </c>
      <c r="DV33">
        <f t="shared" si="47"/>
        <v>0</v>
      </c>
      <c r="DW33">
        <f t="shared" si="47"/>
        <v>0</v>
      </c>
      <c r="DX33">
        <f t="shared" si="47"/>
        <v>0</v>
      </c>
      <c r="DY33">
        <f t="shared" si="47"/>
        <v>0</v>
      </c>
      <c r="DZ33">
        <f t="shared" si="47"/>
        <v>0</v>
      </c>
      <c r="EA33">
        <f t="shared" ref="EA33:GL33" si="48">EA14</f>
        <v>0</v>
      </c>
      <c r="EB33">
        <f t="shared" si="48"/>
        <v>0</v>
      </c>
      <c r="EC33">
        <f t="shared" si="48"/>
        <v>0</v>
      </c>
      <c r="ED33">
        <f t="shared" si="48"/>
        <v>0</v>
      </c>
      <c r="EE33">
        <f t="shared" si="48"/>
        <v>0</v>
      </c>
      <c r="EF33">
        <f t="shared" si="48"/>
        <v>0</v>
      </c>
      <c r="EG33">
        <f t="shared" si="48"/>
        <v>0</v>
      </c>
      <c r="EH33">
        <f t="shared" si="48"/>
        <v>0</v>
      </c>
      <c r="EI33">
        <f t="shared" si="48"/>
        <v>0</v>
      </c>
      <c r="EJ33">
        <f t="shared" si="48"/>
        <v>0</v>
      </c>
      <c r="EK33">
        <f t="shared" si="48"/>
        <v>0</v>
      </c>
      <c r="EL33">
        <f t="shared" si="48"/>
        <v>0</v>
      </c>
      <c r="EM33">
        <f t="shared" si="48"/>
        <v>0</v>
      </c>
      <c r="EN33">
        <f t="shared" si="48"/>
        <v>0</v>
      </c>
      <c r="EO33">
        <f t="shared" si="48"/>
        <v>0</v>
      </c>
      <c r="EP33">
        <f t="shared" si="48"/>
        <v>0</v>
      </c>
      <c r="EQ33">
        <f t="shared" si="48"/>
        <v>0</v>
      </c>
      <c r="ER33">
        <f t="shared" si="48"/>
        <v>0</v>
      </c>
      <c r="ES33">
        <f t="shared" si="48"/>
        <v>0</v>
      </c>
      <c r="ET33">
        <f t="shared" si="48"/>
        <v>0</v>
      </c>
      <c r="EU33">
        <f t="shared" si="48"/>
        <v>0</v>
      </c>
      <c r="EV33">
        <f t="shared" si="48"/>
        <v>0</v>
      </c>
      <c r="EW33">
        <f t="shared" si="48"/>
        <v>0</v>
      </c>
      <c r="EX33">
        <f t="shared" si="48"/>
        <v>0</v>
      </c>
      <c r="EY33">
        <f t="shared" si="48"/>
        <v>0</v>
      </c>
      <c r="EZ33">
        <f t="shared" si="48"/>
        <v>0</v>
      </c>
      <c r="FA33">
        <f t="shared" si="48"/>
        <v>0</v>
      </c>
      <c r="FB33">
        <f t="shared" si="48"/>
        <v>0</v>
      </c>
      <c r="FC33">
        <f t="shared" si="48"/>
        <v>0</v>
      </c>
      <c r="FD33">
        <f t="shared" si="48"/>
        <v>0</v>
      </c>
      <c r="FE33">
        <f t="shared" si="48"/>
        <v>0</v>
      </c>
      <c r="FF33">
        <f t="shared" si="48"/>
        <v>0</v>
      </c>
      <c r="FG33">
        <f t="shared" si="48"/>
        <v>0</v>
      </c>
      <c r="FH33">
        <f t="shared" si="48"/>
        <v>0</v>
      </c>
      <c r="FI33">
        <f t="shared" si="48"/>
        <v>0</v>
      </c>
      <c r="FJ33">
        <f t="shared" si="48"/>
        <v>0</v>
      </c>
      <c r="FK33">
        <f t="shared" si="48"/>
        <v>0</v>
      </c>
      <c r="FL33">
        <f t="shared" si="48"/>
        <v>0</v>
      </c>
      <c r="FM33">
        <f t="shared" si="48"/>
        <v>0</v>
      </c>
      <c r="FN33">
        <f t="shared" si="48"/>
        <v>0</v>
      </c>
      <c r="FO33">
        <f t="shared" si="48"/>
        <v>0</v>
      </c>
      <c r="FP33">
        <f t="shared" si="48"/>
        <v>0</v>
      </c>
      <c r="FQ33">
        <f t="shared" si="48"/>
        <v>0</v>
      </c>
      <c r="FR33">
        <f t="shared" si="48"/>
        <v>0</v>
      </c>
      <c r="FS33">
        <f t="shared" si="48"/>
        <v>0</v>
      </c>
      <c r="FT33">
        <f t="shared" si="48"/>
        <v>0</v>
      </c>
      <c r="FU33">
        <f t="shared" si="48"/>
        <v>0</v>
      </c>
      <c r="FV33">
        <f t="shared" si="48"/>
        <v>0</v>
      </c>
      <c r="FW33">
        <f t="shared" si="48"/>
        <v>0</v>
      </c>
      <c r="FX33">
        <f t="shared" si="48"/>
        <v>0</v>
      </c>
      <c r="FY33">
        <f t="shared" si="48"/>
        <v>0</v>
      </c>
      <c r="FZ33">
        <f t="shared" si="48"/>
        <v>0</v>
      </c>
      <c r="GA33">
        <f t="shared" si="48"/>
        <v>0</v>
      </c>
      <c r="GB33">
        <f t="shared" si="48"/>
        <v>0</v>
      </c>
      <c r="GC33">
        <f t="shared" si="48"/>
        <v>0</v>
      </c>
      <c r="GD33">
        <f t="shared" si="48"/>
        <v>0</v>
      </c>
      <c r="GE33">
        <f t="shared" si="48"/>
        <v>0</v>
      </c>
      <c r="GF33">
        <f t="shared" si="48"/>
        <v>0</v>
      </c>
      <c r="GG33">
        <f t="shared" si="48"/>
        <v>0</v>
      </c>
      <c r="GH33">
        <f t="shared" si="48"/>
        <v>0</v>
      </c>
      <c r="GI33">
        <f t="shared" si="48"/>
        <v>0</v>
      </c>
      <c r="GJ33">
        <f t="shared" si="48"/>
        <v>0</v>
      </c>
      <c r="GK33">
        <f t="shared" si="48"/>
        <v>0</v>
      </c>
      <c r="GL33">
        <f t="shared" si="48"/>
        <v>0</v>
      </c>
      <c r="GM33">
        <f t="shared" ref="GM33:IX33" si="49">GM14</f>
        <v>0</v>
      </c>
      <c r="GN33">
        <f t="shared" si="49"/>
        <v>0</v>
      </c>
      <c r="GO33">
        <f t="shared" si="49"/>
        <v>0</v>
      </c>
      <c r="GP33">
        <f t="shared" si="49"/>
        <v>0</v>
      </c>
      <c r="GQ33">
        <f t="shared" si="49"/>
        <v>0</v>
      </c>
      <c r="GR33">
        <f t="shared" si="49"/>
        <v>0</v>
      </c>
      <c r="GS33">
        <f t="shared" si="49"/>
        <v>0</v>
      </c>
      <c r="GT33">
        <f t="shared" si="49"/>
        <v>0</v>
      </c>
      <c r="GU33">
        <f t="shared" si="49"/>
        <v>0</v>
      </c>
      <c r="GV33">
        <f t="shared" si="49"/>
        <v>0</v>
      </c>
      <c r="GW33">
        <f t="shared" si="49"/>
        <v>0</v>
      </c>
      <c r="GX33">
        <f t="shared" si="49"/>
        <v>0</v>
      </c>
      <c r="GY33">
        <f t="shared" si="49"/>
        <v>0</v>
      </c>
      <c r="GZ33">
        <f t="shared" si="49"/>
        <v>0</v>
      </c>
      <c r="HA33">
        <f t="shared" si="49"/>
        <v>0</v>
      </c>
      <c r="HB33">
        <f t="shared" si="49"/>
        <v>0</v>
      </c>
      <c r="HC33">
        <f t="shared" si="49"/>
        <v>0</v>
      </c>
      <c r="HD33">
        <f t="shared" si="49"/>
        <v>0</v>
      </c>
      <c r="HE33">
        <f t="shared" si="49"/>
        <v>0</v>
      </c>
      <c r="HF33">
        <f t="shared" si="49"/>
        <v>0</v>
      </c>
      <c r="HG33">
        <f t="shared" si="49"/>
        <v>0</v>
      </c>
      <c r="HH33">
        <f t="shared" si="49"/>
        <v>0</v>
      </c>
      <c r="HI33">
        <f t="shared" si="49"/>
        <v>0</v>
      </c>
      <c r="HJ33">
        <f t="shared" si="49"/>
        <v>0</v>
      </c>
      <c r="HK33">
        <f t="shared" si="49"/>
        <v>0</v>
      </c>
      <c r="HL33">
        <f t="shared" si="49"/>
        <v>0</v>
      </c>
      <c r="HM33">
        <f t="shared" si="49"/>
        <v>0</v>
      </c>
      <c r="HN33">
        <f t="shared" si="49"/>
        <v>0</v>
      </c>
      <c r="HO33">
        <f t="shared" si="49"/>
        <v>0</v>
      </c>
      <c r="HP33">
        <f t="shared" si="49"/>
        <v>0</v>
      </c>
      <c r="HQ33">
        <f t="shared" si="49"/>
        <v>0</v>
      </c>
      <c r="HR33">
        <f t="shared" si="49"/>
        <v>0</v>
      </c>
      <c r="HS33">
        <f t="shared" si="49"/>
        <v>0</v>
      </c>
      <c r="HT33">
        <f t="shared" si="49"/>
        <v>0</v>
      </c>
      <c r="HU33">
        <f t="shared" si="49"/>
        <v>0</v>
      </c>
      <c r="HV33">
        <f t="shared" si="49"/>
        <v>0</v>
      </c>
      <c r="HW33">
        <f t="shared" si="49"/>
        <v>0</v>
      </c>
      <c r="HX33">
        <f t="shared" si="49"/>
        <v>0</v>
      </c>
      <c r="HY33">
        <f t="shared" si="49"/>
        <v>0</v>
      </c>
      <c r="HZ33">
        <f t="shared" si="49"/>
        <v>0</v>
      </c>
      <c r="IA33">
        <f t="shared" si="49"/>
        <v>0</v>
      </c>
      <c r="IB33">
        <f t="shared" si="49"/>
        <v>0</v>
      </c>
      <c r="IC33">
        <f t="shared" si="49"/>
        <v>0</v>
      </c>
      <c r="ID33">
        <f t="shared" si="49"/>
        <v>0</v>
      </c>
      <c r="IE33">
        <f t="shared" si="49"/>
        <v>0</v>
      </c>
      <c r="IF33">
        <f t="shared" si="49"/>
        <v>0</v>
      </c>
      <c r="IG33">
        <f t="shared" si="49"/>
        <v>0</v>
      </c>
      <c r="IH33">
        <f t="shared" si="49"/>
        <v>0</v>
      </c>
      <c r="II33">
        <f t="shared" si="49"/>
        <v>0</v>
      </c>
      <c r="IJ33">
        <f t="shared" si="49"/>
        <v>0</v>
      </c>
      <c r="IK33">
        <f t="shared" si="49"/>
        <v>0</v>
      </c>
      <c r="IL33">
        <f t="shared" si="49"/>
        <v>0</v>
      </c>
      <c r="IM33">
        <f t="shared" si="49"/>
        <v>0</v>
      </c>
      <c r="IN33">
        <f t="shared" si="49"/>
        <v>0</v>
      </c>
      <c r="IO33">
        <f t="shared" si="49"/>
        <v>0</v>
      </c>
      <c r="IP33">
        <f t="shared" si="49"/>
        <v>0</v>
      </c>
      <c r="IQ33">
        <f t="shared" si="49"/>
        <v>0</v>
      </c>
      <c r="IR33">
        <f t="shared" si="49"/>
        <v>0</v>
      </c>
      <c r="IS33">
        <f t="shared" si="49"/>
        <v>0</v>
      </c>
      <c r="IT33">
        <f t="shared" si="49"/>
        <v>0</v>
      </c>
      <c r="IU33">
        <f t="shared" si="49"/>
        <v>0</v>
      </c>
      <c r="IV33">
        <f t="shared" si="49"/>
        <v>0</v>
      </c>
      <c r="IW33">
        <f t="shared" si="49"/>
        <v>0</v>
      </c>
      <c r="IX33">
        <f t="shared" si="49"/>
        <v>0</v>
      </c>
      <c r="IY33">
        <f t="shared" ref="IY33:LJ33" si="50">IY14</f>
        <v>0</v>
      </c>
      <c r="IZ33">
        <f t="shared" si="50"/>
        <v>0</v>
      </c>
      <c r="JA33">
        <f t="shared" si="50"/>
        <v>0</v>
      </c>
      <c r="JB33">
        <f t="shared" si="50"/>
        <v>0</v>
      </c>
      <c r="JC33">
        <f t="shared" si="50"/>
        <v>0</v>
      </c>
      <c r="JD33">
        <f t="shared" si="50"/>
        <v>0</v>
      </c>
      <c r="JE33">
        <f t="shared" si="50"/>
        <v>0</v>
      </c>
      <c r="JF33">
        <f t="shared" si="50"/>
        <v>0</v>
      </c>
      <c r="JG33">
        <f t="shared" si="50"/>
        <v>0</v>
      </c>
      <c r="JH33">
        <f t="shared" si="50"/>
        <v>0</v>
      </c>
      <c r="JI33">
        <f t="shared" si="50"/>
        <v>0</v>
      </c>
      <c r="JJ33">
        <f t="shared" si="50"/>
        <v>0</v>
      </c>
      <c r="JK33">
        <f t="shared" si="50"/>
        <v>0</v>
      </c>
      <c r="JL33">
        <f t="shared" si="50"/>
        <v>0</v>
      </c>
      <c r="JM33">
        <f t="shared" si="50"/>
        <v>0</v>
      </c>
      <c r="JN33">
        <f t="shared" si="50"/>
        <v>0</v>
      </c>
      <c r="JO33">
        <f t="shared" si="50"/>
        <v>0</v>
      </c>
      <c r="JP33">
        <f t="shared" si="50"/>
        <v>0</v>
      </c>
      <c r="JQ33">
        <f t="shared" si="50"/>
        <v>0</v>
      </c>
      <c r="JR33">
        <f t="shared" si="50"/>
        <v>0</v>
      </c>
      <c r="JS33">
        <f t="shared" si="50"/>
        <v>0</v>
      </c>
      <c r="JT33">
        <f t="shared" si="50"/>
        <v>0</v>
      </c>
      <c r="JU33">
        <f t="shared" si="50"/>
        <v>0</v>
      </c>
      <c r="JV33">
        <f t="shared" si="50"/>
        <v>0</v>
      </c>
      <c r="JW33">
        <f t="shared" si="50"/>
        <v>0</v>
      </c>
      <c r="JX33">
        <f t="shared" si="50"/>
        <v>0</v>
      </c>
      <c r="JY33">
        <f t="shared" si="50"/>
        <v>0</v>
      </c>
      <c r="JZ33">
        <f t="shared" si="50"/>
        <v>0</v>
      </c>
      <c r="KA33">
        <f t="shared" si="50"/>
        <v>0</v>
      </c>
      <c r="KB33">
        <f t="shared" si="50"/>
        <v>0</v>
      </c>
      <c r="KC33">
        <f t="shared" si="50"/>
        <v>0</v>
      </c>
      <c r="KD33">
        <f t="shared" si="50"/>
        <v>0</v>
      </c>
      <c r="KE33">
        <f t="shared" si="50"/>
        <v>0</v>
      </c>
      <c r="KF33">
        <f t="shared" si="50"/>
        <v>0</v>
      </c>
      <c r="KG33">
        <f t="shared" si="50"/>
        <v>0</v>
      </c>
      <c r="KH33">
        <f t="shared" si="50"/>
        <v>0</v>
      </c>
      <c r="KI33">
        <f t="shared" si="50"/>
        <v>0</v>
      </c>
      <c r="KJ33">
        <f t="shared" si="50"/>
        <v>0</v>
      </c>
      <c r="KK33">
        <f t="shared" si="50"/>
        <v>0</v>
      </c>
      <c r="KL33">
        <f t="shared" si="50"/>
        <v>0</v>
      </c>
      <c r="KM33">
        <f t="shared" si="50"/>
        <v>0</v>
      </c>
      <c r="KN33">
        <f t="shared" si="50"/>
        <v>0</v>
      </c>
      <c r="KO33">
        <f t="shared" si="50"/>
        <v>0</v>
      </c>
      <c r="KP33">
        <f t="shared" si="50"/>
        <v>0</v>
      </c>
      <c r="KQ33">
        <f t="shared" si="50"/>
        <v>0</v>
      </c>
      <c r="KR33">
        <f t="shared" si="50"/>
        <v>0</v>
      </c>
      <c r="KS33">
        <f t="shared" si="50"/>
        <v>0</v>
      </c>
      <c r="KT33">
        <f t="shared" si="50"/>
        <v>0</v>
      </c>
      <c r="KU33">
        <f t="shared" si="50"/>
        <v>0</v>
      </c>
      <c r="KV33">
        <f t="shared" si="50"/>
        <v>0</v>
      </c>
      <c r="KW33">
        <f t="shared" si="50"/>
        <v>0</v>
      </c>
      <c r="KX33">
        <f t="shared" si="50"/>
        <v>0</v>
      </c>
      <c r="KY33">
        <f t="shared" si="50"/>
        <v>0</v>
      </c>
      <c r="KZ33">
        <f t="shared" si="50"/>
        <v>0</v>
      </c>
      <c r="LA33">
        <f t="shared" si="50"/>
        <v>0</v>
      </c>
      <c r="LB33">
        <f t="shared" si="50"/>
        <v>0</v>
      </c>
      <c r="LC33">
        <f t="shared" si="50"/>
        <v>0</v>
      </c>
      <c r="LD33">
        <f t="shared" si="50"/>
        <v>0</v>
      </c>
      <c r="LE33">
        <f t="shared" si="50"/>
        <v>0</v>
      </c>
      <c r="LF33">
        <f t="shared" si="50"/>
        <v>0</v>
      </c>
      <c r="LG33">
        <f t="shared" si="50"/>
        <v>0</v>
      </c>
      <c r="LH33">
        <f t="shared" si="50"/>
        <v>0</v>
      </c>
      <c r="LI33">
        <f t="shared" si="50"/>
        <v>0</v>
      </c>
      <c r="LJ33">
        <f t="shared" si="50"/>
        <v>0</v>
      </c>
      <c r="LK33">
        <f t="shared" ref="LK33:NV33" si="51">LK14</f>
        <v>0</v>
      </c>
      <c r="LL33">
        <f t="shared" si="51"/>
        <v>0</v>
      </c>
      <c r="LM33">
        <f t="shared" si="51"/>
        <v>0</v>
      </c>
      <c r="LN33">
        <f t="shared" si="51"/>
        <v>0</v>
      </c>
      <c r="LO33">
        <f t="shared" si="51"/>
        <v>0</v>
      </c>
      <c r="LP33">
        <f t="shared" si="51"/>
        <v>0</v>
      </c>
      <c r="LQ33">
        <f t="shared" si="51"/>
        <v>0</v>
      </c>
      <c r="LR33">
        <f t="shared" si="51"/>
        <v>0</v>
      </c>
      <c r="LS33">
        <f t="shared" si="51"/>
        <v>0</v>
      </c>
      <c r="LT33">
        <f t="shared" si="51"/>
        <v>0</v>
      </c>
      <c r="LU33">
        <f t="shared" si="51"/>
        <v>0</v>
      </c>
      <c r="LV33">
        <f t="shared" si="51"/>
        <v>0</v>
      </c>
      <c r="LW33">
        <f t="shared" si="51"/>
        <v>0</v>
      </c>
      <c r="LX33">
        <f t="shared" si="51"/>
        <v>0</v>
      </c>
      <c r="LY33">
        <f t="shared" si="51"/>
        <v>0</v>
      </c>
      <c r="LZ33">
        <f t="shared" si="51"/>
        <v>0</v>
      </c>
      <c r="MA33">
        <f t="shared" si="51"/>
        <v>0</v>
      </c>
      <c r="MB33">
        <f t="shared" si="51"/>
        <v>0</v>
      </c>
      <c r="MC33">
        <f t="shared" si="51"/>
        <v>0</v>
      </c>
      <c r="MD33">
        <f t="shared" si="51"/>
        <v>0</v>
      </c>
      <c r="ME33">
        <f t="shared" si="51"/>
        <v>0</v>
      </c>
      <c r="MF33">
        <f t="shared" si="51"/>
        <v>0</v>
      </c>
      <c r="MG33">
        <f t="shared" si="51"/>
        <v>0</v>
      </c>
      <c r="MH33">
        <f t="shared" si="51"/>
        <v>0</v>
      </c>
      <c r="MI33">
        <f t="shared" si="51"/>
        <v>0</v>
      </c>
      <c r="MJ33">
        <f t="shared" si="51"/>
        <v>0</v>
      </c>
      <c r="MK33">
        <f t="shared" si="51"/>
        <v>0</v>
      </c>
      <c r="ML33">
        <f t="shared" si="51"/>
        <v>0</v>
      </c>
      <c r="MM33">
        <f t="shared" si="51"/>
        <v>0</v>
      </c>
      <c r="MN33">
        <f t="shared" si="51"/>
        <v>0</v>
      </c>
      <c r="MO33">
        <f t="shared" si="51"/>
        <v>0</v>
      </c>
      <c r="MP33">
        <f t="shared" si="51"/>
        <v>0</v>
      </c>
      <c r="MQ33">
        <f t="shared" si="51"/>
        <v>0</v>
      </c>
      <c r="MR33">
        <f t="shared" si="51"/>
        <v>0</v>
      </c>
      <c r="MS33">
        <f t="shared" si="51"/>
        <v>0</v>
      </c>
      <c r="MT33">
        <f t="shared" si="51"/>
        <v>0</v>
      </c>
      <c r="MU33">
        <f t="shared" si="51"/>
        <v>0</v>
      </c>
      <c r="MV33">
        <f t="shared" si="51"/>
        <v>0</v>
      </c>
      <c r="MW33">
        <f t="shared" si="51"/>
        <v>0</v>
      </c>
      <c r="MX33">
        <f t="shared" si="51"/>
        <v>0</v>
      </c>
      <c r="MY33">
        <f t="shared" si="51"/>
        <v>0</v>
      </c>
      <c r="MZ33">
        <f t="shared" si="51"/>
        <v>0</v>
      </c>
      <c r="NA33">
        <f t="shared" si="51"/>
        <v>0</v>
      </c>
      <c r="NB33">
        <f t="shared" si="51"/>
        <v>0</v>
      </c>
      <c r="NC33">
        <f t="shared" si="51"/>
        <v>0</v>
      </c>
      <c r="ND33">
        <f t="shared" si="51"/>
        <v>0</v>
      </c>
      <c r="NE33">
        <f t="shared" si="51"/>
        <v>0</v>
      </c>
      <c r="NF33">
        <f t="shared" si="51"/>
        <v>0</v>
      </c>
      <c r="NG33">
        <f t="shared" si="51"/>
        <v>0</v>
      </c>
      <c r="NH33">
        <f t="shared" si="51"/>
        <v>0</v>
      </c>
      <c r="NI33">
        <f t="shared" si="51"/>
        <v>0</v>
      </c>
      <c r="NJ33">
        <f t="shared" si="51"/>
        <v>0</v>
      </c>
      <c r="NK33">
        <f t="shared" si="51"/>
        <v>0</v>
      </c>
      <c r="NL33">
        <f t="shared" si="51"/>
        <v>0</v>
      </c>
      <c r="NM33">
        <f t="shared" si="51"/>
        <v>0</v>
      </c>
      <c r="NN33">
        <f t="shared" si="51"/>
        <v>0</v>
      </c>
      <c r="NO33">
        <f t="shared" si="51"/>
        <v>0</v>
      </c>
      <c r="NP33">
        <f t="shared" si="51"/>
        <v>0</v>
      </c>
      <c r="NQ33">
        <f t="shared" si="51"/>
        <v>0</v>
      </c>
      <c r="NR33">
        <f t="shared" si="51"/>
        <v>0</v>
      </c>
      <c r="NS33">
        <f t="shared" si="51"/>
        <v>0</v>
      </c>
      <c r="NT33">
        <f t="shared" si="51"/>
        <v>0</v>
      </c>
      <c r="NU33">
        <f t="shared" si="51"/>
        <v>0</v>
      </c>
      <c r="NV33">
        <f t="shared" si="51"/>
        <v>0</v>
      </c>
      <c r="NW33">
        <f t="shared" ref="NW33:QH33" si="52">NW14</f>
        <v>0</v>
      </c>
      <c r="NX33">
        <f t="shared" si="52"/>
        <v>0</v>
      </c>
      <c r="NY33">
        <f t="shared" si="52"/>
        <v>0</v>
      </c>
      <c r="NZ33">
        <f t="shared" si="52"/>
        <v>0</v>
      </c>
      <c r="OA33">
        <f t="shared" si="52"/>
        <v>0</v>
      </c>
      <c r="OB33">
        <f t="shared" si="52"/>
        <v>0</v>
      </c>
      <c r="OC33">
        <f t="shared" si="52"/>
        <v>0</v>
      </c>
      <c r="OD33">
        <f t="shared" si="52"/>
        <v>0</v>
      </c>
      <c r="OE33">
        <f t="shared" si="52"/>
        <v>0</v>
      </c>
      <c r="OF33">
        <f t="shared" si="52"/>
        <v>0</v>
      </c>
      <c r="OG33">
        <f t="shared" si="52"/>
        <v>0</v>
      </c>
      <c r="OH33">
        <f t="shared" si="52"/>
        <v>0</v>
      </c>
      <c r="OI33">
        <f t="shared" si="52"/>
        <v>0</v>
      </c>
      <c r="OJ33">
        <f t="shared" si="52"/>
        <v>0</v>
      </c>
      <c r="OK33">
        <f t="shared" si="52"/>
        <v>0</v>
      </c>
      <c r="OL33">
        <f t="shared" si="52"/>
        <v>0</v>
      </c>
      <c r="OM33">
        <f t="shared" si="52"/>
        <v>0</v>
      </c>
      <c r="ON33">
        <f t="shared" si="52"/>
        <v>0</v>
      </c>
      <c r="OO33">
        <f t="shared" si="52"/>
        <v>0</v>
      </c>
      <c r="OP33">
        <f t="shared" si="52"/>
        <v>0</v>
      </c>
      <c r="OQ33">
        <f t="shared" si="52"/>
        <v>0</v>
      </c>
      <c r="OR33">
        <f t="shared" si="52"/>
        <v>0</v>
      </c>
      <c r="OS33">
        <f t="shared" si="52"/>
        <v>0</v>
      </c>
      <c r="OT33">
        <f t="shared" si="52"/>
        <v>0</v>
      </c>
      <c r="OU33">
        <f t="shared" si="52"/>
        <v>0</v>
      </c>
      <c r="OV33">
        <f t="shared" si="52"/>
        <v>0</v>
      </c>
      <c r="OW33">
        <f t="shared" si="52"/>
        <v>0</v>
      </c>
      <c r="OX33">
        <f t="shared" si="52"/>
        <v>0</v>
      </c>
      <c r="OY33">
        <f t="shared" si="52"/>
        <v>0</v>
      </c>
      <c r="OZ33">
        <f t="shared" si="52"/>
        <v>0</v>
      </c>
      <c r="PA33">
        <f t="shared" si="52"/>
        <v>0</v>
      </c>
      <c r="PB33">
        <f t="shared" si="52"/>
        <v>0</v>
      </c>
      <c r="PC33">
        <f t="shared" si="52"/>
        <v>0</v>
      </c>
      <c r="PD33">
        <f t="shared" si="52"/>
        <v>0</v>
      </c>
      <c r="PE33">
        <f t="shared" si="52"/>
        <v>0</v>
      </c>
      <c r="PF33">
        <f t="shared" si="52"/>
        <v>0</v>
      </c>
      <c r="PG33">
        <f t="shared" si="52"/>
        <v>0</v>
      </c>
      <c r="PH33">
        <f t="shared" si="52"/>
        <v>0</v>
      </c>
      <c r="PI33">
        <f t="shared" si="52"/>
        <v>0</v>
      </c>
      <c r="PJ33">
        <f t="shared" si="52"/>
        <v>0</v>
      </c>
      <c r="PK33">
        <f t="shared" si="52"/>
        <v>0</v>
      </c>
      <c r="PL33">
        <f t="shared" si="52"/>
        <v>0</v>
      </c>
      <c r="PM33">
        <f t="shared" si="52"/>
        <v>0</v>
      </c>
      <c r="PN33">
        <f t="shared" si="52"/>
        <v>0</v>
      </c>
      <c r="PO33">
        <f t="shared" si="52"/>
        <v>0</v>
      </c>
      <c r="PP33">
        <f t="shared" si="52"/>
        <v>0</v>
      </c>
      <c r="PQ33">
        <f t="shared" si="52"/>
        <v>0</v>
      </c>
      <c r="PR33">
        <f t="shared" si="52"/>
        <v>0</v>
      </c>
      <c r="PS33">
        <f t="shared" si="52"/>
        <v>0</v>
      </c>
      <c r="PT33">
        <f t="shared" si="52"/>
        <v>0</v>
      </c>
      <c r="PU33">
        <f t="shared" si="52"/>
        <v>0</v>
      </c>
      <c r="PV33">
        <f t="shared" si="52"/>
        <v>0</v>
      </c>
      <c r="PW33">
        <f t="shared" si="52"/>
        <v>0</v>
      </c>
      <c r="PX33">
        <f t="shared" si="52"/>
        <v>0</v>
      </c>
      <c r="PY33">
        <f t="shared" si="52"/>
        <v>0</v>
      </c>
      <c r="PZ33">
        <f t="shared" si="52"/>
        <v>0</v>
      </c>
      <c r="QA33">
        <f t="shared" si="52"/>
        <v>0</v>
      </c>
      <c r="QB33">
        <f t="shared" si="52"/>
        <v>0</v>
      </c>
      <c r="QC33">
        <f t="shared" si="52"/>
        <v>0</v>
      </c>
      <c r="QD33">
        <f t="shared" si="52"/>
        <v>0</v>
      </c>
      <c r="QE33">
        <f t="shared" si="52"/>
        <v>0</v>
      </c>
      <c r="QF33">
        <f t="shared" si="52"/>
        <v>0</v>
      </c>
      <c r="QG33">
        <f t="shared" si="52"/>
        <v>0</v>
      </c>
      <c r="QH33">
        <f t="shared" si="52"/>
        <v>0</v>
      </c>
      <c r="QI33">
        <f t="shared" ref="QI33:SG33" si="53">QI14</f>
        <v>0</v>
      </c>
      <c r="QJ33">
        <f t="shared" si="53"/>
        <v>0</v>
      </c>
      <c r="QK33">
        <f t="shared" si="53"/>
        <v>0</v>
      </c>
      <c r="QL33">
        <f t="shared" si="53"/>
        <v>0</v>
      </c>
      <c r="QM33">
        <f t="shared" si="53"/>
        <v>0</v>
      </c>
      <c r="QN33">
        <f t="shared" si="53"/>
        <v>0</v>
      </c>
      <c r="QO33">
        <f t="shared" si="53"/>
        <v>0</v>
      </c>
      <c r="QP33">
        <f t="shared" si="53"/>
        <v>0</v>
      </c>
      <c r="QQ33">
        <f t="shared" si="53"/>
        <v>0</v>
      </c>
      <c r="QR33">
        <f t="shared" si="53"/>
        <v>0</v>
      </c>
      <c r="QS33">
        <f t="shared" si="53"/>
        <v>0</v>
      </c>
      <c r="QT33">
        <f t="shared" si="53"/>
        <v>0</v>
      </c>
      <c r="QU33">
        <f t="shared" si="53"/>
        <v>0</v>
      </c>
      <c r="QV33">
        <f t="shared" si="53"/>
        <v>0</v>
      </c>
      <c r="QW33">
        <f t="shared" si="53"/>
        <v>0</v>
      </c>
      <c r="QX33">
        <f t="shared" si="53"/>
        <v>0</v>
      </c>
      <c r="QY33">
        <f t="shared" si="53"/>
        <v>0</v>
      </c>
      <c r="QZ33">
        <f t="shared" si="53"/>
        <v>0</v>
      </c>
      <c r="RA33">
        <f t="shared" si="53"/>
        <v>0</v>
      </c>
      <c r="RB33">
        <f t="shared" si="53"/>
        <v>0</v>
      </c>
      <c r="RC33">
        <f t="shared" si="53"/>
        <v>0</v>
      </c>
      <c r="RD33">
        <f t="shared" si="53"/>
        <v>0</v>
      </c>
      <c r="RE33">
        <f t="shared" si="53"/>
        <v>0</v>
      </c>
      <c r="RF33">
        <f t="shared" si="53"/>
        <v>0</v>
      </c>
      <c r="RG33">
        <f t="shared" si="53"/>
        <v>0</v>
      </c>
      <c r="RH33">
        <f t="shared" si="53"/>
        <v>0</v>
      </c>
      <c r="RI33">
        <f t="shared" si="53"/>
        <v>0</v>
      </c>
      <c r="RJ33">
        <f t="shared" si="53"/>
        <v>0</v>
      </c>
      <c r="RK33">
        <f t="shared" si="53"/>
        <v>0</v>
      </c>
      <c r="RL33">
        <f t="shared" si="53"/>
        <v>0</v>
      </c>
      <c r="RM33">
        <f t="shared" si="53"/>
        <v>0</v>
      </c>
      <c r="RN33">
        <f t="shared" si="53"/>
        <v>0</v>
      </c>
      <c r="RO33">
        <f t="shared" si="53"/>
        <v>0</v>
      </c>
      <c r="RP33">
        <f t="shared" si="53"/>
        <v>0</v>
      </c>
      <c r="RQ33">
        <f t="shared" si="53"/>
        <v>0</v>
      </c>
      <c r="RR33">
        <f t="shared" si="53"/>
        <v>0</v>
      </c>
      <c r="RS33">
        <f t="shared" si="53"/>
        <v>0</v>
      </c>
      <c r="RT33">
        <f t="shared" si="53"/>
        <v>0</v>
      </c>
      <c r="RU33">
        <f t="shared" si="53"/>
        <v>0</v>
      </c>
      <c r="RV33">
        <f t="shared" si="53"/>
        <v>0</v>
      </c>
      <c r="RW33">
        <f t="shared" si="53"/>
        <v>0</v>
      </c>
      <c r="RX33">
        <f t="shared" si="53"/>
        <v>0</v>
      </c>
      <c r="RY33">
        <f t="shared" si="53"/>
        <v>0</v>
      </c>
      <c r="RZ33">
        <f t="shared" si="53"/>
        <v>0</v>
      </c>
      <c r="SA33">
        <f t="shared" si="53"/>
        <v>0</v>
      </c>
      <c r="SB33">
        <f t="shared" si="53"/>
        <v>0</v>
      </c>
      <c r="SC33">
        <f t="shared" si="53"/>
        <v>0</v>
      </c>
      <c r="SD33">
        <f t="shared" si="53"/>
        <v>0</v>
      </c>
      <c r="SE33">
        <f t="shared" si="53"/>
        <v>0</v>
      </c>
      <c r="SF33">
        <f t="shared" si="53"/>
        <v>0</v>
      </c>
      <c r="SG33">
        <f t="shared" si="53"/>
        <v>0</v>
      </c>
      <c r="SH33">
        <f t="shared" ref="SH33:US33" si="54">SH14</f>
        <v>0</v>
      </c>
      <c r="SI33">
        <f t="shared" si="54"/>
        <v>0</v>
      </c>
      <c r="SJ33">
        <f t="shared" si="54"/>
        <v>0</v>
      </c>
      <c r="SK33">
        <f t="shared" si="54"/>
        <v>0</v>
      </c>
      <c r="SL33">
        <f t="shared" si="54"/>
        <v>0</v>
      </c>
      <c r="SM33">
        <f t="shared" si="54"/>
        <v>0</v>
      </c>
      <c r="SN33">
        <f t="shared" si="54"/>
        <v>0</v>
      </c>
      <c r="SO33">
        <f t="shared" si="54"/>
        <v>0</v>
      </c>
      <c r="SP33">
        <f t="shared" si="54"/>
        <v>0</v>
      </c>
      <c r="SQ33">
        <f t="shared" si="54"/>
        <v>0</v>
      </c>
      <c r="SR33">
        <f t="shared" si="54"/>
        <v>0</v>
      </c>
      <c r="SS33">
        <f t="shared" si="54"/>
        <v>0</v>
      </c>
      <c r="ST33">
        <f t="shared" si="54"/>
        <v>0</v>
      </c>
      <c r="SU33">
        <f t="shared" si="54"/>
        <v>0</v>
      </c>
      <c r="SV33">
        <f t="shared" si="54"/>
        <v>0</v>
      </c>
      <c r="SW33">
        <f t="shared" si="54"/>
        <v>0</v>
      </c>
      <c r="SX33">
        <f t="shared" si="54"/>
        <v>0</v>
      </c>
      <c r="SY33">
        <f t="shared" si="54"/>
        <v>0</v>
      </c>
      <c r="SZ33">
        <f t="shared" si="54"/>
        <v>0</v>
      </c>
      <c r="TA33">
        <f t="shared" si="54"/>
        <v>0</v>
      </c>
      <c r="TB33">
        <f t="shared" si="54"/>
        <v>0</v>
      </c>
      <c r="TC33">
        <f t="shared" si="54"/>
        <v>0</v>
      </c>
      <c r="TD33">
        <f t="shared" si="54"/>
        <v>0</v>
      </c>
      <c r="TE33">
        <f t="shared" si="54"/>
        <v>0</v>
      </c>
      <c r="TF33">
        <f t="shared" si="54"/>
        <v>0</v>
      </c>
      <c r="TG33">
        <f t="shared" si="54"/>
        <v>0</v>
      </c>
      <c r="TH33">
        <f t="shared" si="54"/>
        <v>0</v>
      </c>
      <c r="TI33">
        <f t="shared" si="54"/>
        <v>0</v>
      </c>
      <c r="TJ33">
        <f t="shared" si="54"/>
        <v>0</v>
      </c>
      <c r="TK33">
        <f t="shared" si="54"/>
        <v>0</v>
      </c>
      <c r="TL33">
        <f t="shared" si="54"/>
        <v>0</v>
      </c>
      <c r="TM33">
        <f t="shared" si="54"/>
        <v>0</v>
      </c>
      <c r="TN33">
        <f t="shared" si="54"/>
        <v>0</v>
      </c>
      <c r="TO33">
        <f t="shared" si="54"/>
        <v>0</v>
      </c>
      <c r="TP33">
        <f t="shared" si="54"/>
        <v>0</v>
      </c>
      <c r="TQ33">
        <f t="shared" si="54"/>
        <v>0</v>
      </c>
      <c r="TR33">
        <f t="shared" si="54"/>
        <v>0</v>
      </c>
      <c r="TS33">
        <f t="shared" si="54"/>
        <v>0</v>
      </c>
      <c r="TT33">
        <f t="shared" si="54"/>
        <v>0</v>
      </c>
      <c r="TU33">
        <f t="shared" si="54"/>
        <v>0</v>
      </c>
      <c r="TV33">
        <f t="shared" si="54"/>
        <v>0</v>
      </c>
      <c r="TW33">
        <f t="shared" si="54"/>
        <v>0</v>
      </c>
      <c r="TX33">
        <f t="shared" si="54"/>
        <v>0</v>
      </c>
      <c r="TY33">
        <f t="shared" si="54"/>
        <v>0</v>
      </c>
      <c r="TZ33">
        <f t="shared" si="54"/>
        <v>0</v>
      </c>
      <c r="UA33">
        <f t="shared" si="54"/>
        <v>0</v>
      </c>
      <c r="UB33">
        <f t="shared" si="54"/>
        <v>0</v>
      </c>
      <c r="UC33">
        <f t="shared" si="54"/>
        <v>0</v>
      </c>
      <c r="UD33">
        <f t="shared" si="54"/>
        <v>0</v>
      </c>
      <c r="UE33">
        <f t="shared" si="54"/>
        <v>0</v>
      </c>
      <c r="UF33">
        <f t="shared" si="54"/>
        <v>0</v>
      </c>
      <c r="UG33">
        <f t="shared" si="54"/>
        <v>0</v>
      </c>
      <c r="UH33">
        <f t="shared" si="54"/>
        <v>0</v>
      </c>
      <c r="UI33">
        <f t="shared" si="54"/>
        <v>0</v>
      </c>
      <c r="UJ33">
        <f t="shared" si="54"/>
        <v>0</v>
      </c>
      <c r="UK33">
        <f t="shared" si="54"/>
        <v>0</v>
      </c>
      <c r="UL33">
        <f t="shared" si="54"/>
        <v>0</v>
      </c>
      <c r="UM33">
        <f t="shared" si="54"/>
        <v>0</v>
      </c>
      <c r="UN33">
        <f t="shared" si="54"/>
        <v>0</v>
      </c>
      <c r="UO33">
        <f t="shared" si="54"/>
        <v>0</v>
      </c>
      <c r="UP33">
        <f t="shared" si="54"/>
        <v>0</v>
      </c>
      <c r="UQ33">
        <f t="shared" si="54"/>
        <v>0</v>
      </c>
      <c r="UR33">
        <f t="shared" si="54"/>
        <v>0</v>
      </c>
      <c r="US33">
        <f t="shared" si="54"/>
        <v>0</v>
      </c>
      <c r="UT33">
        <f t="shared" ref="UT33:XE33" si="55">UT14</f>
        <v>0</v>
      </c>
      <c r="UU33">
        <f t="shared" si="55"/>
        <v>0</v>
      </c>
      <c r="UV33">
        <f t="shared" si="55"/>
        <v>0</v>
      </c>
      <c r="UW33">
        <f t="shared" si="55"/>
        <v>0</v>
      </c>
      <c r="UX33">
        <f t="shared" si="55"/>
        <v>0</v>
      </c>
      <c r="UY33">
        <f t="shared" si="55"/>
        <v>0</v>
      </c>
      <c r="UZ33">
        <f t="shared" si="55"/>
        <v>0</v>
      </c>
      <c r="VA33">
        <f t="shared" si="55"/>
        <v>0</v>
      </c>
      <c r="VB33">
        <f t="shared" si="55"/>
        <v>0</v>
      </c>
      <c r="VC33">
        <f t="shared" si="55"/>
        <v>0</v>
      </c>
      <c r="VD33">
        <f t="shared" si="55"/>
        <v>0</v>
      </c>
      <c r="VE33">
        <f t="shared" si="55"/>
        <v>0</v>
      </c>
      <c r="VF33">
        <f t="shared" si="55"/>
        <v>0</v>
      </c>
      <c r="VG33">
        <f t="shared" si="55"/>
        <v>0</v>
      </c>
      <c r="VH33">
        <f t="shared" si="55"/>
        <v>0</v>
      </c>
      <c r="VI33">
        <f t="shared" si="55"/>
        <v>0</v>
      </c>
      <c r="VJ33">
        <f t="shared" si="55"/>
        <v>0</v>
      </c>
      <c r="VK33">
        <f t="shared" si="55"/>
        <v>0</v>
      </c>
      <c r="VL33">
        <f t="shared" si="55"/>
        <v>0</v>
      </c>
      <c r="VM33">
        <f t="shared" si="55"/>
        <v>0</v>
      </c>
      <c r="VN33">
        <f t="shared" si="55"/>
        <v>0</v>
      </c>
      <c r="VO33">
        <f t="shared" si="55"/>
        <v>0</v>
      </c>
      <c r="VP33">
        <f t="shared" si="55"/>
        <v>0</v>
      </c>
      <c r="VQ33">
        <f t="shared" si="55"/>
        <v>0</v>
      </c>
      <c r="VR33">
        <f t="shared" si="55"/>
        <v>0</v>
      </c>
      <c r="VS33">
        <f t="shared" si="55"/>
        <v>0</v>
      </c>
      <c r="VT33">
        <f t="shared" si="55"/>
        <v>0</v>
      </c>
      <c r="VU33">
        <f t="shared" si="55"/>
        <v>0</v>
      </c>
      <c r="VV33">
        <f t="shared" si="55"/>
        <v>0</v>
      </c>
      <c r="VW33">
        <f t="shared" si="55"/>
        <v>0</v>
      </c>
      <c r="VX33">
        <f t="shared" si="55"/>
        <v>0</v>
      </c>
      <c r="VY33">
        <f t="shared" si="55"/>
        <v>0</v>
      </c>
      <c r="VZ33">
        <f t="shared" si="55"/>
        <v>0</v>
      </c>
      <c r="WA33">
        <f t="shared" si="55"/>
        <v>0</v>
      </c>
      <c r="WB33">
        <f t="shared" si="55"/>
        <v>0</v>
      </c>
      <c r="WC33">
        <f t="shared" si="55"/>
        <v>0</v>
      </c>
      <c r="WD33">
        <f t="shared" si="55"/>
        <v>0</v>
      </c>
      <c r="WE33">
        <f t="shared" si="55"/>
        <v>0</v>
      </c>
      <c r="WF33">
        <f t="shared" si="55"/>
        <v>0</v>
      </c>
      <c r="WG33">
        <f t="shared" si="55"/>
        <v>0</v>
      </c>
      <c r="WH33">
        <f t="shared" si="55"/>
        <v>0</v>
      </c>
      <c r="WI33">
        <f t="shared" si="55"/>
        <v>0</v>
      </c>
      <c r="WJ33">
        <f t="shared" si="55"/>
        <v>0</v>
      </c>
      <c r="WK33">
        <f t="shared" si="55"/>
        <v>0</v>
      </c>
      <c r="WL33">
        <f t="shared" si="55"/>
        <v>0</v>
      </c>
      <c r="WM33">
        <f t="shared" si="55"/>
        <v>0</v>
      </c>
      <c r="WN33">
        <f t="shared" si="55"/>
        <v>0</v>
      </c>
      <c r="WO33">
        <f t="shared" si="55"/>
        <v>0</v>
      </c>
      <c r="WP33">
        <f t="shared" si="55"/>
        <v>0</v>
      </c>
      <c r="WQ33">
        <f t="shared" si="55"/>
        <v>0</v>
      </c>
      <c r="WR33">
        <f t="shared" si="55"/>
        <v>0</v>
      </c>
      <c r="WS33">
        <f t="shared" si="55"/>
        <v>0</v>
      </c>
      <c r="WT33">
        <f t="shared" si="55"/>
        <v>0</v>
      </c>
      <c r="WU33">
        <f t="shared" si="55"/>
        <v>0</v>
      </c>
      <c r="WV33">
        <f t="shared" si="55"/>
        <v>0</v>
      </c>
      <c r="WW33">
        <f t="shared" si="55"/>
        <v>0</v>
      </c>
      <c r="WX33">
        <f t="shared" si="55"/>
        <v>0</v>
      </c>
      <c r="WY33">
        <f t="shared" si="55"/>
        <v>0</v>
      </c>
      <c r="WZ33">
        <f t="shared" si="55"/>
        <v>0</v>
      </c>
      <c r="XA33">
        <f t="shared" si="55"/>
        <v>0</v>
      </c>
      <c r="XB33">
        <f t="shared" si="55"/>
        <v>0</v>
      </c>
      <c r="XC33">
        <f t="shared" si="55"/>
        <v>0</v>
      </c>
      <c r="XD33">
        <f t="shared" si="55"/>
        <v>0</v>
      </c>
      <c r="XE33">
        <f t="shared" si="55"/>
        <v>0</v>
      </c>
      <c r="XF33">
        <f t="shared" ref="XF33:ZQ33" si="56">XF14</f>
        <v>0</v>
      </c>
      <c r="XG33">
        <f t="shared" si="56"/>
        <v>0</v>
      </c>
      <c r="XH33">
        <f t="shared" si="56"/>
        <v>0</v>
      </c>
      <c r="XI33">
        <f t="shared" si="56"/>
        <v>0</v>
      </c>
      <c r="XJ33">
        <f t="shared" si="56"/>
        <v>0</v>
      </c>
      <c r="XK33">
        <f t="shared" si="56"/>
        <v>0</v>
      </c>
      <c r="XL33">
        <f t="shared" si="56"/>
        <v>0</v>
      </c>
      <c r="XM33">
        <f t="shared" si="56"/>
        <v>0</v>
      </c>
      <c r="XN33">
        <f t="shared" si="56"/>
        <v>0</v>
      </c>
      <c r="XO33">
        <f t="shared" si="56"/>
        <v>0</v>
      </c>
      <c r="XP33">
        <f t="shared" si="56"/>
        <v>0</v>
      </c>
      <c r="XQ33">
        <f t="shared" si="56"/>
        <v>0</v>
      </c>
      <c r="XR33">
        <f t="shared" si="56"/>
        <v>0</v>
      </c>
      <c r="XS33">
        <f t="shared" si="56"/>
        <v>0</v>
      </c>
      <c r="XT33">
        <f t="shared" si="56"/>
        <v>0</v>
      </c>
      <c r="XU33">
        <f t="shared" si="56"/>
        <v>0</v>
      </c>
      <c r="XV33">
        <f t="shared" si="56"/>
        <v>0</v>
      </c>
      <c r="XW33">
        <f t="shared" si="56"/>
        <v>0</v>
      </c>
      <c r="XX33">
        <f t="shared" si="56"/>
        <v>0</v>
      </c>
      <c r="XY33">
        <f t="shared" si="56"/>
        <v>0</v>
      </c>
      <c r="XZ33">
        <f t="shared" si="56"/>
        <v>0</v>
      </c>
      <c r="YA33">
        <f t="shared" si="56"/>
        <v>0</v>
      </c>
      <c r="YB33">
        <f t="shared" si="56"/>
        <v>0</v>
      </c>
      <c r="YC33">
        <f t="shared" si="56"/>
        <v>0</v>
      </c>
      <c r="YD33">
        <f t="shared" si="56"/>
        <v>0</v>
      </c>
      <c r="YE33">
        <f t="shared" si="56"/>
        <v>0</v>
      </c>
      <c r="YF33">
        <f t="shared" si="56"/>
        <v>0</v>
      </c>
      <c r="YG33">
        <f t="shared" si="56"/>
        <v>0</v>
      </c>
      <c r="YH33">
        <f t="shared" si="56"/>
        <v>0</v>
      </c>
      <c r="YI33">
        <f t="shared" si="56"/>
        <v>0</v>
      </c>
      <c r="YJ33">
        <f t="shared" si="56"/>
        <v>0</v>
      </c>
      <c r="YK33">
        <f t="shared" si="56"/>
        <v>0</v>
      </c>
      <c r="YL33">
        <f t="shared" si="56"/>
        <v>0</v>
      </c>
      <c r="YM33">
        <f t="shared" si="56"/>
        <v>0</v>
      </c>
      <c r="YN33">
        <f t="shared" si="56"/>
        <v>0</v>
      </c>
      <c r="YO33">
        <f t="shared" si="56"/>
        <v>0</v>
      </c>
      <c r="YP33">
        <f t="shared" si="56"/>
        <v>0</v>
      </c>
      <c r="YQ33">
        <f t="shared" si="56"/>
        <v>0</v>
      </c>
      <c r="YR33">
        <f t="shared" si="56"/>
        <v>0</v>
      </c>
      <c r="YS33">
        <f t="shared" si="56"/>
        <v>0</v>
      </c>
      <c r="YT33">
        <f t="shared" si="56"/>
        <v>0</v>
      </c>
      <c r="YU33">
        <f t="shared" si="56"/>
        <v>0</v>
      </c>
      <c r="YV33">
        <f t="shared" si="56"/>
        <v>0</v>
      </c>
      <c r="YW33">
        <f t="shared" si="56"/>
        <v>0</v>
      </c>
      <c r="YX33">
        <f t="shared" si="56"/>
        <v>0</v>
      </c>
      <c r="YY33">
        <f t="shared" si="56"/>
        <v>0</v>
      </c>
      <c r="YZ33">
        <f t="shared" si="56"/>
        <v>0</v>
      </c>
      <c r="ZA33">
        <f t="shared" si="56"/>
        <v>0</v>
      </c>
      <c r="ZB33">
        <f t="shared" si="56"/>
        <v>0</v>
      </c>
      <c r="ZC33">
        <f t="shared" si="56"/>
        <v>0</v>
      </c>
      <c r="ZD33">
        <f t="shared" si="56"/>
        <v>0</v>
      </c>
      <c r="ZE33">
        <f t="shared" si="56"/>
        <v>0</v>
      </c>
      <c r="ZF33">
        <f t="shared" si="56"/>
        <v>0</v>
      </c>
      <c r="ZG33">
        <f t="shared" si="56"/>
        <v>0</v>
      </c>
      <c r="ZH33">
        <f t="shared" si="56"/>
        <v>0</v>
      </c>
      <c r="ZI33">
        <f t="shared" si="56"/>
        <v>0</v>
      </c>
      <c r="ZJ33">
        <f t="shared" si="56"/>
        <v>0</v>
      </c>
      <c r="ZK33">
        <f t="shared" si="56"/>
        <v>0</v>
      </c>
      <c r="ZL33">
        <f t="shared" si="56"/>
        <v>0</v>
      </c>
      <c r="ZM33">
        <f t="shared" si="56"/>
        <v>0</v>
      </c>
      <c r="ZN33">
        <f t="shared" si="56"/>
        <v>0</v>
      </c>
      <c r="ZO33">
        <f t="shared" si="56"/>
        <v>0</v>
      </c>
      <c r="ZP33">
        <f t="shared" si="56"/>
        <v>0</v>
      </c>
      <c r="ZQ33">
        <f t="shared" si="56"/>
        <v>0</v>
      </c>
      <c r="ZR33">
        <f t="shared" ref="ZR33:ACC33" si="57">ZR14</f>
        <v>0</v>
      </c>
      <c r="ZS33">
        <f t="shared" si="57"/>
        <v>0</v>
      </c>
      <c r="ZT33">
        <f t="shared" si="57"/>
        <v>0</v>
      </c>
      <c r="ZU33">
        <f t="shared" si="57"/>
        <v>0</v>
      </c>
      <c r="ZV33">
        <f t="shared" si="57"/>
        <v>0</v>
      </c>
      <c r="ZW33">
        <f t="shared" si="57"/>
        <v>0</v>
      </c>
      <c r="ZX33">
        <f t="shared" si="57"/>
        <v>0</v>
      </c>
      <c r="ZY33">
        <f t="shared" si="57"/>
        <v>0</v>
      </c>
      <c r="ZZ33">
        <f t="shared" si="57"/>
        <v>0</v>
      </c>
      <c r="AAA33">
        <f t="shared" si="57"/>
        <v>0</v>
      </c>
      <c r="AAB33">
        <f t="shared" si="57"/>
        <v>0</v>
      </c>
      <c r="AAC33">
        <f t="shared" si="57"/>
        <v>0</v>
      </c>
      <c r="AAD33">
        <f t="shared" si="57"/>
        <v>0</v>
      </c>
      <c r="AAE33">
        <f t="shared" si="57"/>
        <v>0</v>
      </c>
      <c r="AAF33">
        <f t="shared" si="57"/>
        <v>0</v>
      </c>
      <c r="AAG33">
        <f t="shared" si="57"/>
        <v>0</v>
      </c>
      <c r="AAH33">
        <f t="shared" si="57"/>
        <v>0</v>
      </c>
      <c r="AAI33">
        <f t="shared" si="57"/>
        <v>0</v>
      </c>
      <c r="AAJ33">
        <f t="shared" si="57"/>
        <v>0</v>
      </c>
      <c r="AAK33">
        <f t="shared" si="57"/>
        <v>0</v>
      </c>
      <c r="AAL33">
        <f t="shared" si="57"/>
        <v>0</v>
      </c>
      <c r="AAM33">
        <f t="shared" si="57"/>
        <v>0</v>
      </c>
      <c r="AAN33">
        <f t="shared" si="57"/>
        <v>0</v>
      </c>
      <c r="AAO33">
        <f t="shared" si="57"/>
        <v>0</v>
      </c>
      <c r="AAP33">
        <f t="shared" si="57"/>
        <v>0</v>
      </c>
      <c r="AAQ33">
        <f t="shared" si="57"/>
        <v>0</v>
      </c>
      <c r="AAR33">
        <f t="shared" si="57"/>
        <v>0</v>
      </c>
      <c r="AAS33">
        <f t="shared" si="57"/>
        <v>0</v>
      </c>
      <c r="AAT33">
        <f t="shared" si="57"/>
        <v>0</v>
      </c>
      <c r="AAU33">
        <f t="shared" si="57"/>
        <v>0</v>
      </c>
      <c r="AAV33">
        <f t="shared" si="57"/>
        <v>0</v>
      </c>
      <c r="AAW33">
        <f t="shared" si="57"/>
        <v>0</v>
      </c>
      <c r="AAX33">
        <f t="shared" si="57"/>
        <v>0</v>
      </c>
      <c r="AAY33">
        <f t="shared" si="57"/>
        <v>0</v>
      </c>
      <c r="AAZ33">
        <f t="shared" si="57"/>
        <v>0</v>
      </c>
      <c r="ABA33">
        <f t="shared" si="57"/>
        <v>0</v>
      </c>
      <c r="ABB33">
        <f t="shared" si="57"/>
        <v>0</v>
      </c>
      <c r="ABC33">
        <f t="shared" si="57"/>
        <v>0</v>
      </c>
      <c r="ABD33">
        <f t="shared" si="57"/>
        <v>0</v>
      </c>
      <c r="ABE33">
        <f t="shared" si="57"/>
        <v>0</v>
      </c>
      <c r="ABF33">
        <f t="shared" si="57"/>
        <v>0</v>
      </c>
      <c r="ABG33">
        <f t="shared" si="57"/>
        <v>0</v>
      </c>
      <c r="ABH33">
        <f t="shared" si="57"/>
        <v>0</v>
      </c>
      <c r="ABI33">
        <f t="shared" si="57"/>
        <v>0</v>
      </c>
      <c r="ABJ33">
        <f t="shared" si="57"/>
        <v>0</v>
      </c>
      <c r="ABK33">
        <f t="shared" si="57"/>
        <v>0</v>
      </c>
      <c r="ABL33">
        <f t="shared" si="57"/>
        <v>0</v>
      </c>
      <c r="ABM33">
        <f t="shared" si="57"/>
        <v>0</v>
      </c>
      <c r="ABN33">
        <f t="shared" si="57"/>
        <v>0</v>
      </c>
      <c r="ABO33">
        <f t="shared" si="57"/>
        <v>0</v>
      </c>
      <c r="ABP33">
        <f t="shared" si="57"/>
        <v>0</v>
      </c>
      <c r="ABQ33">
        <f t="shared" si="57"/>
        <v>0</v>
      </c>
      <c r="ABR33">
        <f t="shared" si="57"/>
        <v>0</v>
      </c>
      <c r="ABS33">
        <f t="shared" si="57"/>
        <v>0</v>
      </c>
      <c r="ABT33">
        <f t="shared" si="57"/>
        <v>0</v>
      </c>
      <c r="ABU33">
        <f t="shared" si="57"/>
        <v>0</v>
      </c>
      <c r="ABV33">
        <f t="shared" si="57"/>
        <v>0</v>
      </c>
      <c r="ABW33">
        <f t="shared" si="57"/>
        <v>0</v>
      </c>
      <c r="ABX33">
        <f t="shared" si="57"/>
        <v>0</v>
      </c>
      <c r="ABY33">
        <f t="shared" si="57"/>
        <v>0</v>
      </c>
      <c r="ABZ33">
        <f t="shared" si="57"/>
        <v>0</v>
      </c>
      <c r="ACA33">
        <f t="shared" si="57"/>
        <v>0</v>
      </c>
      <c r="ACB33">
        <f t="shared" si="57"/>
        <v>0</v>
      </c>
      <c r="ACC33">
        <f t="shared" si="57"/>
        <v>0</v>
      </c>
      <c r="ACD33">
        <f t="shared" ref="ACD33:AEO33" si="58">ACD14</f>
        <v>0</v>
      </c>
      <c r="ACE33">
        <f t="shared" si="58"/>
        <v>0</v>
      </c>
      <c r="ACF33">
        <f t="shared" si="58"/>
        <v>0</v>
      </c>
      <c r="ACG33">
        <f t="shared" si="58"/>
        <v>0</v>
      </c>
      <c r="ACH33">
        <f t="shared" si="58"/>
        <v>0</v>
      </c>
      <c r="ACI33">
        <f t="shared" si="58"/>
        <v>0</v>
      </c>
      <c r="ACJ33">
        <f t="shared" si="58"/>
        <v>0</v>
      </c>
      <c r="ACK33">
        <f t="shared" si="58"/>
        <v>0</v>
      </c>
      <c r="ACL33">
        <f t="shared" si="58"/>
        <v>0</v>
      </c>
      <c r="ACM33">
        <f t="shared" si="58"/>
        <v>0</v>
      </c>
      <c r="ACN33">
        <f t="shared" si="58"/>
        <v>0</v>
      </c>
      <c r="ACO33">
        <f t="shared" si="58"/>
        <v>0</v>
      </c>
      <c r="ACP33">
        <f t="shared" si="58"/>
        <v>0</v>
      </c>
      <c r="ACQ33">
        <f t="shared" si="58"/>
        <v>0</v>
      </c>
      <c r="ACR33">
        <f t="shared" si="58"/>
        <v>0</v>
      </c>
      <c r="ACS33">
        <f t="shared" si="58"/>
        <v>0</v>
      </c>
      <c r="ACT33">
        <f t="shared" si="58"/>
        <v>0</v>
      </c>
      <c r="ACU33">
        <f t="shared" si="58"/>
        <v>0</v>
      </c>
      <c r="ACV33">
        <f t="shared" si="58"/>
        <v>0</v>
      </c>
      <c r="ACW33">
        <f t="shared" si="58"/>
        <v>0</v>
      </c>
      <c r="ACX33">
        <f t="shared" si="58"/>
        <v>0</v>
      </c>
      <c r="ACY33">
        <f t="shared" si="58"/>
        <v>0</v>
      </c>
      <c r="ACZ33">
        <f t="shared" si="58"/>
        <v>0</v>
      </c>
      <c r="ADA33">
        <f t="shared" si="58"/>
        <v>0</v>
      </c>
      <c r="ADB33">
        <f t="shared" si="58"/>
        <v>0</v>
      </c>
      <c r="ADC33">
        <f t="shared" si="58"/>
        <v>0</v>
      </c>
      <c r="ADD33">
        <f t="shared" si="58"/>
        <v>0</v>
      </c>
      <c r="ADE33">
        <f t="shared" si="58"/>
        <v>0</v>
      </c>
      <c r="ADF33">
        <f t="shared" si="58"/>
        <v>0</v>
      </c>
      <c r="ADG33">
        <f t="shared" si="58"/>
        <v>0</v>
      </c>
      <c r="ADH33">
        <f t="shared" si="58"/>
        <v>0</v>
      </c>
      <c r="ADI33">
        <f t="shared" si="58"/>
        <v>0</v>
      </c>
      <c r="ADJ33">
        <f t="shared" si="58"/>
        <v>0</v>
      </c>
      <c r="ADK33">
        <f t="shared" si="58"/>
        <v>0</v>
      </c>
      <c r="ADL33">
        <f t="shared" si="58"/>
        <v>0</v>
      </c>
      <c r="ADM33">
        <f t="shared" si="58"/>
        <v>0</v>
      </c>
      <c r="ADN33">
        <f t="shared" si="58"/>
        <v>0</v>
      </c>
      <c r="ADO33">
        <f t="shared" si="58"/>
        <v>0</v>
      </c>
      <c r="ADP33">
        <f t="shared" si="58"/>
        <v>0</v>
      </c>
      <c r="ADQ33">
        <f t="shared" si="58"/>
        <v>0</v>
      </c>
      <c r="ADR33">
        <f t="shared" si="58"/>
        <v>0</v>
      </c>
      <c r="ADS33">
        <f t="shared" si="58"/>
        <v>0</v>
      </c>
      <c r="ADT33">
        <f t="shared" si="58"/>
        <v>0</v>
      </c>
      <c r="ADU33">
        <f t="shared" si="58"/>
        <v>0</v>
      </c>
      <c r="ADV33">
        <f t="shared" si="58"/>
        <v>0</v>
      </c>
      <c r="ADW33">
        <f t="shared" si="58"/>
        <v>0</v>
      </c>
      <c r="ADX33">
        <f t="shared" si="58"/>
        <v>0</v>
      </c>
      <c r="ADY33">
        <f t="shared" si="58"/>
        <v>0</v>
      </c>
      <c r="ADZ33">
        <f t="shared" si="58"/>
        <v>0</v>
      </c>
      <c r="AEA33">
        <f t="shared" si="58"/>
        <v>0</v>
      </c>
      <c r="AEB33">
        <f t="shared" si="58"/>
        <v>0</v>
      </c>
      <c r="AEC33">
        <f t="shared" si="58"/>
        <v>0</v>
      </c>
      <c r="AED33">
        <f t="shared" si="58"/>
        <v>0</v>
      </c>
      <c r="AEE33">
        <f t="shared" si="58"/>
        <v>0</v>
      </c>
      <c r="AEF33">
        <f t="shared" si="58"/>
        <v>0</v>
      </c>
      <c r="AEG33">
        <f t="shared" si="58"/>
        <v>0</v>
      </c>
      <c r="AEH33">
        <f t="shared" si="58"/>
        <v>0</v>
      </c>
      <c r="AEI33">
        <f t="shared" si="58"/>
        <v>0</v>
      </c>
      <c r="AEJ33">
        <f t="shared" si="58"/>
        <v>0</v>
      </c>
      <c r="AEK33">
        <f t="shared" si="58"/>
        <v>0</v>
      </c>
      <c r="AEL33">
        <f t="shared" si="58"/>
        <v>0</v>
      </c>
      <c r="AEM33">
        <f t="shared" si="58"/>
        <v>0</v>
      </c>
      <c r="AEN33">
        <f t="shared" si="58"/>
        <v>0</v>
      </c>
      <c r="AEO33">
        <f t="shared" si="58"/>
        <v>0</v>
      </c>
      <c r="AEP33">
        <f t="shared" ref="AEP33:AHA33" si="59">AEP14</f>
        <v>0</v>
      </c>
      <c r="AEQ33">
        <f t="shared" si="59"/>
        <v>0</v>
      </c>
      <c r="AER33">
        <f t="shared" si="59"/>
        <v>0</v>
      </c>
      <c r="AES33">
        <f t="shared" si="59"/>
        <v>0</v>
      </c>
      <c r="AET33">
        <f t="shared" si="59"/>
        <v>0</v>
      </c>
      <c r="AEU33">
        <f t="shared" si="59"/>
        <v>0</v>
      </c>
      <c r="AEV33">
        <f t="shared" si="59"/>
        <v>0</v>
      </c>
      <c r="AEW33">
        <f t="shared" si="59"/>
        <v>0</v>
      </c>
      <c r="AEX33">
        <f t="shared" si="59"/>
        <v>0</v>
      </c>
      <c r="AEY33">
        <f t="shared" si="59"/>
        <v>0</v>
      </c>
      <c r="AEZ33">
        <f t="shared" si="59"/>
        <v>0</v>
      </c>
      <c r="AFA33">
        <f t="shared" si="59"/>
        <v>0</v>
      </c>
      <c r="AFB33">
        <f t="shared" si="59"/>
        <v>0</v>
      </c>
      <c r="AFC33">
        <f t="shared" si="59"/>
        <v>0</v>
      </c>
      <c r="AFD33">
        <f t="shared" si="59"/>
        <v>0</v>
      </c>
      <c r="AFE33">
        <f t="shared" si="59"/>
        <v>0</v>
      </c>
      <c r="AFF33">
        <f t="shared" si="59"/>
        <v>0</v>
      </c>
      <c r="AFG33">
        <f t="shared" si="59"/>
        <v>0</v>
      </c>
      <c r="AFH33">
        <f t="shared" si="59"/>
        <v>0</v>
      </c>
      <c r="AFI33">
        <f t="shared" si="59"/>
        <v>0</v>
      </c>
      <c r="AFJ33">
        <f t="shared" si="59"/>
        <v>0</v>
      </c>
      <c r="AFK33">
        <f t="shared" si="59"/>
        <v>0</v>
      </c>
      <c r="AFL33">
        <f t="shared" si="59"/>
        <v>0</v>
      </c>
      <c r="AFM33">
        <f t="shared" si="59"/>
        <v>0</v>
      </c>
      <c r="AFN33">
        <f t="shared" si="59"/>
        <v>0</v>
      </c>
      <c r="AFO33">
        <f t="shared" si="59"/>
        <v>0</v>
      </c>
      <c r="AFP33">
        <f t="shared" si="59"/>
        <v>0</v>
      </c>
      <c r="AFQ33">
        <f t="shared" si="59"/>
        <v>0</v>
      </c>
      <c r="AFR33">
        <f t="shared" si="59"/>
        <v>0</v>
      </c>
      <c r="AFS33">
        <f t="shared" si="59"/>
        <v>0</v>
      </c>
      <c r="AFT33">
        <f t="shared" si="59"/>
        <v>0</v>
      </c>
      <c r="AFU33">
        <f t="shared" si="59"/>
        <v>0</v>
      </c>
      <c r="AFV33">
        <f t="shared" si="59"/>
        <v>0</v>
      </c>
      <c r="AFW33">
        <f t="shared" si="59"/>
        <v>0</v>
      </c>
      <c r="AFX33">
        <f t="shared" si="59"/>
        <v>0</v>
      </c>
      <c r="AFY33">
        <f t="shared" si="59"/>
        <v>0</v>
      </c>
      <c r="AFZ33">
        <f t="shared" si="59"/>
        <v>0</v>
      </c>
      <c r="AGA33">
        <f t="shared" si="59"/>
        <v>0</v>
      </c>
      <c r="AGB33">
        <f t="shared" si="59"/>
        <v>0</v>
      </c>
      <c r="AGC33">
        <f t="shared" si="59"/>
        <v>0</v>
      </c>
      <c r="AGD33">
        <f t="shared" si="59"/>
        <v>0</v>
      </c>
      <c r="AGE33">
        <f t="shared" si="59"/>
        <v>0</v>
      </c>
      <c r="AGF33">
        <f t="shared" si="59"/>
        <v>0</v>
      </c>
      <c r="AGG33">
        <f t="shared" si="59"/>
        <v>0</v>
      </c>
      <c r="AGH33">
        <f t="shared" si="59"/>
        <v>0</v>
      </c>
      <c r="AGI33">
        <f t="shared" si="59"/>
        <v>0</v>
      </c>
      <c r="AGJ33">
        <f t="shared" si="59"/>
        <v>0</v>
      </c>
      <c r="AGK33">
        <f t="shared" si="59"/>
        <v>0</v>
      </c>
      <c r="AGL33">
        <f t="shared" si="59"/>
        <v>0</v>
      </c>
      <c r="AGM33">
        <f t="shared" si="59"/>
        <v>0</v>
      </c>
      <c r="AGN33">
        <f t="shared" si="59"/>
        <v>0</v>
      </c>
      <c r="AGO33">
        <f t="shared" si="59"/>
        <v>0</v>
      </c>
      <c r="AGP33">
        <f t="shared" si="59"/>
        <v>0</v>
      </c>
      <c r="AGQ33">
        <f t="shared" si="59"/>
        <v>0</v>
      </c>
      <c r="AGR33">
        <f t="shared" si="59"/>
        <v>0</v>
      </c>
      <c r="AGS33">
        <f t="shared" si="59"/>
        <v>0</v>
      </c>
      <c r="AGT33">
        <f t="shared" si="59"/>
        <v>0</v>
      </c>
      <c r="AGU33">
        <f t="shared" si="59"/>
        <v>0</v>
      </c>
      <c r="AGV33">
        <f t="shared" si="59"/>
        <v>0</v>
      </c>
      <c r="AGW33">
        <f t="shared" si="59"/>
        <v>0</v>
      </c>
      <c r="AGX33">
        <f t="shared" si="59"/>
        <v>0</v>
      </c>
      <c r="AGY33">
        <f t="shared" si="59"/>
        <v>0</v>
      </c>
      <c r="AGZ33">
        <f t="shared" si="59"/>
        <v>0</v>
      </c>
      <c r="AHA33">
        <f t="shared" si="59"/>
        <v>0</v>
      </c>
      <c r="AHB33">
        <f t="shared" ref="AHB33:AJM33" si="60">AHB14</f>
        <v>0</v>
      </c>
      <c r="AHC33">
        <f t="shared" si="60"/>
        <v>0</v>
      </c>
      <c r="AHD33">
        <f t="shared" si="60"/>
        <v>0</v>
      </c>
      <c r="AHE33">
        <f t="shared" si="60"/>
        <v>0</v>
      </c>
      <c r="AHF33">
        <f t="shared" si="60"/>
        <v>0</v>
      </c>
      <c r="AHG33">
        <f t="shared" si="60"/>
        <v>0</v>
      </c>
      <c r="AHH33">
        <f t="shared" si="60"/>
        <v>0</v>
      </c>
      <c r="AHI33">
        <f t="shared" si="60"/>
        <v>0</v>
      </c>
      <c r="AHJ33">
        <f t="shared" si="60"/>
        <v>0</v>
      </c>
      <c r="AHK33">
        <f t="shared" si="60"/>
        <v>0</v>
      </c>
      <c r="AHL33">
        <f t="shared" si="60"/>
        <v>0</v>
      </c>
      <c r="AHM33">
        <f t="shared" si="60"/>
        <v>0</v>
      </c>
      <c r="AHN33">
        <f t="shared" si="60"/>
        <v>0</v>
      </c>
      <c r="AHO33">
        <f t="shared" si="60"/>
        <v>0</v>
      </c>
      <c r="AHP33">
        <f t="shared" si="60"/>
        <v>0</v>
      </c>
      <c r="AHQ33">
        <f t="shared" si="60"/>
        <v>0</v>
      </c>
      <c r="AHR33">
        <f t="shared" si="60"/>
        <v>0</v>
      </c>
      <c r="AHS33">
        <f t="shared" si="60"/>
        <v>0</v>
      </c>
      <c r="AHT33">
        <f t="shared" si="60"/>
        <v>0</v>
      </c>
      <c r="AHU33">
        <f t="shared" si="60"/>
        <v>0</v>
      </c>
      <c r="AHV33">
        <f t="shared" si="60"/>
        <v>0</v>
      </c>
      <c r="AHW33">
        <f t="shared" si="60"/>
        <v>0</v>
      </c>
      <c r="AHX33">
        <f t="shared" si="60"/>
        <v>0</v>
      </c>
      <c r="AHY33">
        <f t="shared" si="60"/>
        <v>0</v>
      </c>
      <c r="AHZ33">
        <f t="shared" si="60"/>
        <v>0</v>
      </c>
      <c r="AIA33">
        <f t="shared" si="60"/>
        <v>0</v>
      </c>
      <c r="AIB33">
        <f t="shared" si="60"/>
        <v>0</v>
      </c>
      <c r="AIC33">
        <f t="shared" si="60"/>
        <v>0</v>
      </c>
      <c r="AID33">
        <f t="shared" si="60"/>
        <v>0</v>
      </c>
      <c r="AIE33">
        <f t="shared" si="60"/>
        <v>0</v>
      </c>
      <c r="AIF33">
        <f t="shared" si="60"/>
        <v>0</v>
      </c>
      <c r="AIG33">
        <f t="shared" si="60"/>
        <v>0</v>
      </c>
      <c r="AIH33">
        <f t="shared" si="60"/>
        <v>0</v>
      </c>
      <c r="AII33">
        <f t="shared" si="60"/>
        <v>0</v>
      </c>
      <c r="AIJ33">
        <f t="shared" si="60"/>
        <v>0</v>
      </c>
      <c r="AIK33">
        <f t="shared" si="60"/>
        <v>0</v>
      </c>
      <c r="AIL33">
        <f t="shared" si="60"/>
        <v>0</v>
      </c>
      <c r="AIM33">
        <f t="shared" si="60"/>
        <v>0</v>
      </c>
      <c r="AIN33">
        <f t="shared" si="60"/>
        <v>0</v>
      </c>
      <c r="AIO33">
        <f t="shared" si="60"/>
        <v>0</v>
      </c>
      <c r="AIP33">
        <f t="shared" si="60"/>
        <v>0</v>
      </c>
      <c r="AIQ33">
        <f t="shared" si="60"/>
        <v>0</v>
      </c>
      <c r="AIR33">
        <f t="shared" si="60"/>
        <v>0</v>
      </c>
      <c r="AIS33">
        <f t="shared" si="60"/>
        <v>0</v>
      </c>
      <c r="AIT33">
        <f t="shared" si="60"/>
        <v>0</v>
      </c>
      <c r="AIU33">
        <f t="shared" si="60"/>
        <v>0</v>
      </c>
      <c r="AIV33">
        <f t="shared" si="60"/>
        <v>0</v>
      </c>
      <c r="AIW33">
        <f t="shared" si="60"/>
        <v>0</v>
      </c>
      <c r="AIX33">
        <f t="shared" si="60"/>
        <v>0</v>
      </c>
      <c r="AIY33">
        <f t="shared" si="60"/>
        <v>0</v>
      </c>
      <c r="AIZ33">
        <f t="shared" si="60"/>
        <v>0</v>
      </c>
      <c r="AJA33">
        <f t="shared" si="60"/>
        <v>0</v>
      </c>
      <c r="AJB33">
        <f t="shared" si="60"/>
        <v>0</v>
      </c>
      <c r="AJC33">
        <f t="shared" si="60"/>
        <v>0</v>
      </c>
      <c r="AJD33">
        <f t="shared" si="60"/>
        <v>0</v>
      </c>
      <c r="AJE33">
        <f t="shared" si="60"/>
        <v>0</v>
      </c>
      <c r="AJF33">
        <f t="shared" si="60"/>
        <v>0</v>
      </c>
      <c r="AJG33">
        <f t="shared" si="60"/>
        <v>0</v>
      </c>
      <c r="AJH33">
        <f t="shared" si="60"/>
        <v>0</v>
      </c>
      <c r="AJI33">
        <f t="shared" si="60"/>
        <v>0</v>
      </c>
      <c r="AJJ33">
        <f t="shared" si="60"/>
        <v>0</v>
      </c>
      <c r="AJK33">
        <f t="shared" si="60"/>
        <v>0</v>
      </c>
      <c r="AJL33">
        <f t="shared" si="60"/>
        <v>0</v>
      </c>
      <c r="AJM33">
        <f t="shared" si="60"/>
        <v>0</v>
      </c>
      <c r="AJN33">
        <f t="shared" ref="AJN33:ALM33" si="61">AJN14</f>
        <v>0</v>
      </c>
      <c r="AJO33">
        <f t="shared" si="61"/>
        <v>0</v>
      </c>
      <c r="AJP33">
        <f t="shared" si="61"/>
        <v>0</v>
      </c>
      <c r="AJQ33">
        <f t="shared" si="61"/>
        <v>0</v>
      </c>
      <c r="AJR33">
        <f t="shared" si="61"/>
        <v>0</v>
      </c>
      <c r="AJS33">
        <f t="shared" si="61"/>
        <v>0</v>
      </c>
      <c r="AJT33">
        <f t="shared" si="61"/>
        <v>0</v>
      </c>
      <c r="AJU33">
        <f t="shared" si="61"/>
        <v>0</v>
      </c>
      <c r="AJV33">
        <f t="shared" si="61"/>
        <v>0</v>
      </c>
      <c r="AJW33">
        <f t="shared" si="61"/>
        <v>0</v>
      </c>
      <c r="AJX33">
        <f t="shared" si="61"/>
        <v>0</v>
      </c>
      <c r="AJY33">
        <f t="shared" si="61"/>
        <v>0</v>
      </c>
      <c r="AJZ33">
        <f t="shared" si="61"/>
        <v>0</v>
      </c>
      <c r="AKA33">
        <f t="shared" si="61"/>
        <v>0</v>
      </c>
      <c r="AKB33">
        <f t="shared" si="61"/>
        <v>0</v>
      </c>
      <c r="AKC33">
        <f t="shared" si="61"/>
        <v>0</v>
      </c>
      <c r="AKD33">
        <f t="shared" si="61"/>
        <v>0</v>
      </c>
      <c r="AKE33">
        <f t="shared" si="61"/>
        <v>0</v>
      </c>
      <c r="AKF33">
        <f t="shared" si="61"/>
        <v>0</v>
      </c>
      <c r="AKG33">
        <f t="shared" si="61"/>
        <v>0</v>
      </c>
      <c r="AKH33">
        <f t="shared" si="61"/>
        <v>0</v>
      </c>
      <c r="AKI33">
        <f t="shared" si="61"/>
        <v>0</v>
      </c>
      <c r="AKJ33">
        <f t="shared" si="61"/>
        <v>0</v>
      </c>
      <c r="AKK33">
        <f t="shared" si="61"/>
        <v>0</v>
      </c>
      <c r="AKL33">
        <f t="shared" si="61"/>
        <v>0</v>
      </c>
      <c r="AKM33">
        <f t="shared" si="61"/>
        <v>0</v>
      </c>
      <c r="AKN33">
        <f t="shared" si="61"/>
        <v>0</v>
      </c>
      <c r="AKO33">
        <f t="shared" si="61"/>
        <v>0</v>
      </c>
      <c r="AKP33">
        <f t="shared" si="61"/>
        <v>0</v>
      </c>
      <c r="AKQ33">
        <f t="shared" si="61"/>
        <v>0</v>
      </c>
      <c r="AKR33">
        <f t="shared" si="61"/>
        <v>0</v>
      </c>
      <c r="AKS33">
        <f t="shared" si="61"/>
        <v>0</v>
      </c>
      <c r="AKT33">
        <f t="shared" si="61"/>
        <v>0</v>
      </c>
      <c r="AKU33">
        <f t="shared" si="61"/>
        <v>0</v>
      </c>
      <c r="AKV33">
        <f t="shared" si="61"/>
        <v>0</v>
      </c>
      <c r="AKW33">
        <f t="shared" si="61"/>
        <v>0</v>
      </c>
      <c r="AKX33">
        <f t="shared" si="61"/>
        <v>0</v>
      </c>
      <c r="AKY33">
        <f t="shared" si="61"/>
        <v>0</v>
      </c>
      <c r="AKZ33">
        <f t="shared" si="61"/>
        <v>0</v>
      </c>
      <c r="ALA33">
        <f t="shared" si="61"/>
        <v>0</v>
      </c>
      <c r="ALB33">
        <f t="shared" si="61"/>
        <v>0</v>
      </c>
      <c r="ALC33">
        <f t="shared" si="61"/>
        <v>0</v>
      </c>
      <c r="ALD33">
        <f t="shared" si="61"/>
        <v>0</v>
      </c>
      <c r="ALE33">
        <f t="shared" si="61"/>
        <v>0</v>
      </c>
      <c r="ALF33">
        <f t="shared" si="61"/>
        <v>0</v>
      </c>
      <c r="ALG33">
        <f t="shared" si="61"/>
        <v>0</v>
      </c>
      <c r="ALH33">
        <f t="shared" si="61"/>
        <v>0</v>
      </c>
      <c r="ALI33">
        <f t="shared" si="61"/>
        <v>0</v>
      </c>
      <c r="ALJ33">
        <f t="shared" si="61"/>
        <v>0</v>
      </c>
      <c r="ALK33">
        <f t="shared" si="61"/>
        <v>0</v>
      </c>
      <c r="ALL33">
        <f t="shared" si="61"/>
        <v>0</v>
      </c>
      <c r="ALM33">
        <f t="shared" si="61"/>
        <v>0</v>
      </c>
    </row>
    <row r="34" spans="1:1001">
      <c r="A34" s="26"/>
      <c r="B34">
        <f>SUMIFS(Detail!$AS:$AS,Detail!$G:$G,'Rates-Service Fees'!B$23,Detail!$H:$H,'Rates-Service Fees'!B$14)*100</f>
        <v>0</v>
      </c>
      <c r="C34">
        <f>SUMIFS(Detail!$AS:$AS,Detail!$G:$G,'Rates-Service Fees'!C$23,Detail!$H:$H,'Rates-Service Fees'!C$14)*100</f>
        <v>0</v>
      </c>
      <c r="D34">
        <f>SUMIFS(Detail!$AS:$AS,Detail!$G:$G,'Rates-Service Fees'!D$23,Detail!$H:$H,'Rates-Service Fees'!D$14)*100</f>
        <v>0</v>
      </c>
      <c r="E34">
        <f>SUMIFS(Detail!$AS:$AS,Detail!$G:$G,'Rates-Service Fees'!E$23,Detail!$H:$H,'Rates-Service Fees'!E$14)*100</f>
        <v>0</v>
      </c>
      <c r="F34">
        <f>SUMIFS(Detail!$AS:$AS,Detail!$G:$G,'Rates-Service Fees'!F$23,Detail!$H:$H,'Rates-Service Fees'!F$14)*100</f>
        <v>0</v>
      </c>
      <c r="G34">
        <f>SUMIFS(Detail!$AS:$AS,Detail!$G:$G,'Rates-Service Fees'!G$23,Detail!$H:$H,'Rates-Service Fees'!G$14)*100</f>
        <v>0</v>
      </c>
      <c r="H34">
        <f>SUMIFS(Detail!$AS:$AS,Detail!$G:$G,'Rates-Service Fees'!H$23,Detail!$H:$H,'Rates-Service Fees'!H$14)*100</f>
        <v>0</v>
      </c>
      <c r="I34">
        <f>SUMIFS(Detail!$AS:$AS,Detail!$G:$G,'Rates-Service Fees'!I$23,Detail!$H:$H,'Rates-Service Fees'!I$14)*100</f>
        <v>0</v>
      </c>
      <c r="J34">
        <f>SUMIFS(Detail!$AS:$AS,Detail!$G:$G,'Rates-Service Fees'!J$23,Detail!$H:$H,'Rates-Service Fees'!J$14)*100</f>
        <v>0</v>
      </c>
      <c r="K34">
        <f>SUMIFS(Detail!$AS:$AS,Detail!$G:$G,'Rates-Service Fees'!K$23,Detail!$H:$H,'Rates-Service Fees'!K$14)*100</f>
        <v>0</v>
      </c>
      <c r="L34">
        <f>SUMIFS(Detail!$AS:$AS,Detail!$G:$G,'Rates-Service Fees'!L$23,Detail!$H:$H,'Rates-Service Fees'!L$14)*100</f>
        <v>0</v>
      </c>
      <c r="M34">
        <f>SUMIFS(Detail!$AS:$AS,Detail!$G:$G,'Rates-Service Fees'!M$23,Detail!$H:$H,'Rates-Service Fees'!M$14)*100</f>
        <v>0</v>
      </c>
      <c r="N34">
        <f>SUMIFS(Detail!$AS:$AS,Detail!$G:$G,'Rates-Service Fees'!N$23,Detail!$H:$H,'Rates-Service Fees'!N$14)*100</f>
        <v>0</v>
      </c>
      <c r="O34">
        <f>SUMIFS(Detail!$AS:$AS,Detail!$G:$G,'Rates-Service Fees'!O$23,Detail!$H:$H,'Rates-Service Fees'!O$14)*100</f>
        <v>0</v>
      </c>
      <c r="P34">
        <f>SUMIFS(Detail!$AS:$AS,Detail!$G:$G,'Rates-Service Fees'!P$23,Detail!$H:$H,'Rates-Service Fees'!P$14)*100</f>
        <v>0</v>
      </c>
      <c r="Q34">
        <f>SUMIFS(Detail!$AS:$AS,Detail!$G:$G,'Rates-Service Fees'!Q$23,Detail!$H:$H,'Rates-Service Fees'!Q$14)*100</f>
        <v>0</v>
      </c>
      <c r="R34">
        <f>SUMIFS(Detail!$AS:$AS,Detail!$G:$G,'Rates-Service Fees'!R$23,Detail!$H:$H,'Rates-Service Fees'!R$14)*100</f>
        <v>0</v>
      </c>
      <c r="S34">
        <f>SUMIFS(Detail!$AS:$AS,Detail!$G:$G,'Rates-Service Fees'!S$23,Detail!$H:$H,'Rates-Service Fees'!S$14)*100</f>
        <v>0</v>
      </c>
      <c r="T34">
        <f>SUMIFS(Detail!$AS:$AS,Detail!$G:$G,'Rates-Service Fees'!T$23,Detail!$H:$H,'Rates-Service Fees'!T$14)*100</f>
        <v>0</v>
      </c>
      <c r="U34">
        <f>SUMIFS(Detail!$AS:$AS,Detail!$G:$G,'Rates-Service Fees'!U$23,Detail!$H:$H,'Rates-Service Fees'!U$14)*100</f>
        <v>0</v>
      </c>
      <c r="V34">
        <f>SUMIFS(Detail!$AS:$AS,Detail!$G:$G,'Rates-Service Fees'!V$23,Detail!$H:$H,'Rates-Service Fees'!V$14)*100</f>
        <v>0</v>
      </c>
      <c r="W34">
        <f>SUMIFS(Detail!$AS:$AS,Detail!$G:$G,'Rates-Service Fees'!W$23,Detail!$H:$H,'Rates-Service Fees'!W$14)*100</f>
        <v>0</v>
      </c>
      <c r="X34">
        <f>SUMIFS(Detail!$AS:$AS,Detail!$G:$G,'Rates-Service Fees'!X$23,Detail!$H:$H,'Rates-Service Fees'!X$14)*100</f>
        <v>0</v>
      </c>
      <c r="Y34">
        <f>SUMIFS(Detail!$AS:$AS,Detail!$G:$G,'Rates-Service Fees'!Y$23,Detail!$H:$H,'Rates-Service Fees'!Y$14)*100</f>
        <v>0</v>
      </c>
      <c r="Z34">
        <f>SUMIFS(Detail!$AS:$AS,Detail!$G:$G,'Rates-Service Fees'!Z$23,Detail!$H:$H,'Rates-Service Fees'!Z$14)*100</f>
        <v>0</v>
      </c>
      <c r="AA34">
        <f>SUMIFS(Detail!$AS:$AS,Detail!$G:$G,'Rates-Service Fees'!AA$23,Detail!$H:$H,'Rates-Service Fees'!AA$14)*100</f>
        <v>0</v>
      </c>
      <c r="AB34">
        <f>SUMIFS(Detail!$AS:$AS,Detail!$G:$G,'Rates-Service Fees'!AB$23,Detail!$H:$H,'Rates-Service Fees'!AB$14)*100</f>
        <v>0</v>
      </c>
      <c r="AC34">
        <f>SUMIFS(Detail!$AS:$AS,Detail!$G:$G,'Rates-Service Fees'!AC$23,Detail!$H:$H,'Rates-Service Fees'!AC$14)*100</f>
        <v>0</v>
      </c>
      <c r="AD34">
        <f>SUMIFS(Detail!$AS:$AS,Detail!$G:$G,'Rates-Service Fees'!AD$23,Detail!$H:$H,'Rates-Service Fees'!AD$14)*100</f>
        <v>0</v>
      </c>
      <c r="AE34">
        <f>SUMIFS(Detail!$AS:$AS,Detail!$G:$G,'Rates-Service Fees'!AE$23,Detail!$H:$H,'Rates-Service Fees'!AE$14)*100</f>
        <v>0</v>
      </c>
      <c r="AF34">
        <f>SUMIFS(Detail!$AS:$AS,Detail!$G:$G,'Rates-Service Fees'!AF$23,Detail!$H:$H,'Rates-Service Fees'!AF$14)*100</f>
        <v>0</v>
      </c>
      <c r="AG34">
        <f>SUMIFS(Detail!$AS:$AS,Detail!$G:$G,'Rates-Service Fees'!AG$23,Detail!$H:$H,'Rates-Service Fees'!AG$14)*100</f>
        <v>0</v>
      </c>
      <c r="AH34">
        <f>SUMIFS(Detail!$AS:$AS,Detail!$G:$G,'Rates-Service Fees'!AH$23,Detail!$H:$H,'Rates-Service Fees'!AH$14)*100</f>
        <v>0</v>
      </c>
      <c r="AI34">
        <f>SUMIFS(Detail!$AS:$AS,Detail!$G:$G,'Rates-Service Fees'!AI$23,Detail!$H:$H,'Rates-Service Fees'!AI$14)*100</f>
        <v>0</v>
      </c>
      <c r="AJ34">
        <f>SUMIFS(Detail!$AS:$AS,Detail!$G:$G,'Rates-Service Fees'!AJ$23,Detail!$H:$H,'Rates-Service Fees'!AJ$14)*100</f>
        <v>0</v>
      </c>
      <c r="AK34">
        <f>SUMIFS(Detail!$AS:$AS,Detail!$G:$G,'Rates-Service Fees'!AK$23,Detail!$H:$H,'Rates-Service Fees'!AK$14)*100</f>
        <v>0</v>
      </c>
      <c r="AL34">
        <f>SUMIFS(Detail!$AS:$AS,Detail!$G:$G,'Rates-Service Fees'!AL$23,Detail!$H:$H,'Rates-Service Fees'!AL$14)*100</f>
        <v>0</v>
      </c>
      <c r="AM34">
        <f>SUMIFS(Detail!$AS:$AS,Detail!$G:$G,'Rates-Service Fees'!AM$23,Detail!$H:$H,'Rates-Service Fees'!AM$14)*100</f>
        <v>0</v>
      </c>
      <c r="AN34">
        <f>SUMIFS(Detail!$AS:$AS,Detail!$G:$G,'Rates-Service Fees'!AN$23,Detail!$H:$H,'Rates-Service Fees'!AN$14)*100</f>
        <v>0</v>
      </c>
      <c r="AO34">
        <f>SUMIFS(Detail!$AS:$AS,Detail!$G:$G,'Rates-Service Fees'!AO$23,Detail!$H:$H,'Rates-Service Fees'!AO$14)*100</f>
        <v>0</v>
      </c>
      <c r="AP34">
        <f>SUMIFS(Detail!$AS:$AS,Detail!$G:$G,'Rates-Service Fees'!AP$23,Detail!$H:$H,'Rates-Service Fees'!AP$14)*100</f>
        <v>0</v>
      </c>
      <c r="AQ34">
        <f>SUMIFS(Detail!$AS:$AS,Detail!$G:$G,'Rates-Service Fees'!AQ$23,Detail!$H:$H,'Rates-Service Fees'!AQ$14)*100</f>
        <v>0</v>
      </c>
      <c r="AR34">
        <f>SUMIFS(Detail!$AS:$AS,Detail!$G:$G,'Rates-Service Fees'!AR$23,Detail!$H:$H,'Rates-Service Fees'!AR$14)*100</f>
        <v>0</v>
      </c>
      <c r="AS34">
        <f>SUMIFS(Detail!$AS:$AS,Detail!$G:$G,'Rates-Service Fees'!AS$23,Detail!$H:$H,'Rates-Service Fees'!AS$14)*100</f>
        <v>0</v>
      </c>
      <c r="AT34">
        <f>SUMIFS(Detail!$AS:$AS,Detail!$G:$G,'Rates-Service Fees'!AT$23,Detail!$H:$H,'Rates-Service Fees'!AT$14)*100</f>
        <v>0</v>
      </c>
      <c r="AU34">
        <f>SUMIFS(Detail!$AS:$AS,Detail!$G:$G,'Rates-Service Fees'!AU$23,Detail!$H:$H,'Rates-Service Fees'!AU$14)*100</f>
        <v>0</v>
      </c>
      <c r="AV34">
        <f>SUMIFS(Detail!$AS:$AS,Detail!$G:$G,'Rates-Service Fees'!AV$23,Detail!$H:$H,'Rates-Service Fees'!AV$14)*100</f>
        <v>0</v>
      </c>
      <c r="AW34">
        <f>SUMIFS(Detail!$AS:$AS,Detail!$G:$G,'Rates-Service Fees'!AW$23,Detail!$H:$H,'Rates-Service Fees'!AW$14)*100</f>
        <v>0</v>
      </c>
      <c r="AX34">
        <f>SUMIFS(Detail!$AS:$AS,Detail!$G:$G,'Rates-Service Fees'!AX$23,Detail!$H:$H,'Rates-Service Fees'!AX$14)*100</f>
        <v>0</v>
      </c>
      <c r="AY34">
        <f>SUMIFS(Detail!$AS:$AS,Detail!$G:$G,'Rates-Service Fees'!AY$23,Detail!$H:$H,'Rates-Service Fees'!AY$14)*100</f>
        <v>0</v>
      </c>
      <c r="AZ34">
        <f>SUMIFS(Detail!$AS:$AS,Detail!$G:$G,'Rates-Service Fees'!AZ$23,Detail!$H:$H,'Rates-Service Fees'!AZ$14)*100</f>
        <v>0</v>
      </c>
      <c r="BA34">
        <f>SUMIFS(Detail!$AS:$AS,Detail!$G:$G,'Rates-Service Fees'!BA$23,Detail!$H:$H,'Rates-Service Fees'!BA$14)*100</f>
        <v>0</v>
      </c>
      <c r="BB34">
        <f>SUMIFS(Detail!$AS:$AS,Detail!$G:$G,'Rates-Service Fees'!BB$23,Detail!$H:$H,'Rates-Service Fees'!BB$14)*100</f>
        <v>0</v>
      </c>
      <c r="BC34">
        <f>SUMIFS(Detail!$AS:$AS,Detail!$G:$G,'Rates-Service Fees'!BC$23,Detail!$H:$H,'Rates-Service Fees'!BC$14)*100</f>
        <v>0</v>
      </c>
      <c r="BD34">
        <f>SUMIFS(Detail!$AS:$AS,Detail!$G:$G,'Rates-Service Fees'!BD$23,Detail!$H:$H,'Rates-Service Fees'!BD$14)*100</f>
        <v>0</v>
      </c>
      <c r="BE34">
        <f>SUMIFS(Detail!$AS:$AS,Detail!$G:$G,'Rates-Service Fees'!BE$23,Detail!$H:$H,'Rates-Service Fees'!BE$14)*100</f>
        <v>0</v>
      </c>
      <c r="BF34">
        <f>SUMIFS(Detail!$AS:$AS,Detail!$G:$G,'Rates-Service Fees'!BF$23,Detail!$H:$H,'Rates-Service Fees'!BF$14)*100</f>
        <v>0</v>
      </c>
      <c r="BG34">
        <f>SUMIFS(Detail!$AS:$AS,Detail!$G:$G,'Rates-Service Fees'!BG$23,Detail!$H:$H,'Rates-Service Fees'!BG$14)*100</f>
        <v>0</v>
      </c>
      <c r="BH34">
        <f>SUMIFS(Detail!$AS:$AS,Detail!$G:$G,'Rates-Service Fees'!BH$23,Detail!$H:$H,'Rates-Service Fees'!BH$14)*100</f>
        <v>0</v>
      </c>
      <c r="BI34">
        <f>SUMIFS(Detail!$AS:$AS,Detail!$G:$G,'Rates-Service Fees'!BI$23,Detail!$H:$H,'Rates-Service Fees'!BI$14)*100</f>
        <v>0</v>
      </c>
      <c r="BJ34">
        <f>SUMIFS(Detail!$AS:$AS,Detail!$G:$G,'Rates-Service Fees'!BJ$23,Detail!$H:$H,'Rates-Service Fees'!BJ$14)*100</f>
        <v>0</v>
      </c>
      <c r="BK34">
        <f>SUMIFS(Detail!$AS:$AS,Detail!$G:$G,'Rates-Service Fees'!BK$23,Detail!$H:$H,'Rates-Service Fees'!BK$14)*100</f>
        <v>0</v>
      </c>
      <c r="BL34">
        <f>SUMIFS(Detail!$AS:$AS,Detail!$G:$G,'Rates-Service Fees'!BL$23,Detail!$H:$H,'Rates-Service Fees'!BL$14)*100</f>
        <v>0</v>
      </c>
      <c r="BM34">
        <f>SUMIFS(Detail!$AS:$AS,Detail!$G:$G,'Rates-Service Fees'!BM$23,Detail!$H:$H,'Rates-Service Fees'!BM$14)*100</f>
        <v>0</v>
      </c>
      <c r="BN34">
        <f>SUMIFS(Detail!$AS:$AS,Detail!$G:$G,'Rates-Service Fees'!BN$23,Detail!$H:$H,'Rates-Service Fees'!BN$14)*100</f>
        <v>0</v>
      </c>
      <c r="BO34">
        <f>SUMIFS(Detail!$AS:$AS,Detail!$G:$G,'Rates-Service Fees'!BO$23,Detail!$H:$H,'Rates-Service Fees'!BO$14)*100</f>
        <v>0</v>
      </c>
      <c r="BP34">
        <f>SUMIFS(Detail!$AS:$AS,Detail!$G:$G,'Rates-Service Fees'!BP$23,Detail!$H:$H,'Rates-Service Fees'!BP$14)*100</f>
        <v>0</v>
      </c>
      <c r="BQ34">
        <f>SUMIFS(Detail!$AS:$AS,Detail!$G:$G,'Rates-Service Fees'!BQ$23,Detail!$H:$H,'Rates-Service Fees'!BQ$14)*100</f>
        <v>0</v>
      </c>
      <c r="BR34">
        <f>SUMIFS(Detail!$AS:$AS,Detail!$G:$G,'Rates-Service Fees'!BR$23,Detail!$H:$H,'Rates-Service Fees'!BR$14)*100</f>
        <v>0</v>
      </c>
      <c r="BS34">
        <f>SUMIFS(Detail!$AS:$AS,Detail!$G:$G,'Rates-Service Fees'!BS$23,Detail!$H:$H,'Rates-Service Fees'!BS$14)*100</f>
        <v>0</v>
      </c>
      <c r="BT34">
        <f>SUMIFS(Detail!$AS:$AS,Detail!$G:$G,'Rates-Service Fees'!BT$23,Detail!$H:$H,'Rates-Service Fees'!BT$14)*100</f>
        <v>0</v>
      </c>
      <c r="BU34">
        <f>SUMIFS(Detail!$AS:$AS,Detail!$G:$G,'Rates-Service Fees'!BU$23,Detail!$H:$H,'Rates-Service Fees'!BU$14)*100</f>
        <v>0</v>
      </c>
      <c r="BV34">
        <f>SUMIFS(Detail!$AS:$AS,Detail!$G:$G,'Rates-Service Fees'!BV$23,Detail!$H:$H,'Rates-Service Fees'!BV$14)*100</f>
        <v>0</v>
      </c>
      <c r="BW34">
        <f>SUMIFS(Detail!$AS:$AS,Detail!$G:$G,'Rates-Service Fees'!BW$23,Detail!$H:$H,'Rates-Service Fees'!BW$14)*100</f>
        <v>0</v>
      </c>
      <c r="BX34">
        <f>SUMIFS(Detail!$AS:$AS,Detail!$G:$G,'Rates-Service Fees'!BX$23,Detail!$H:$H,'Rates-Service Fees'!BX$14)*100</f>
        <v>0</v>
      </c>
      <c r="BY34">
        <f>SUMIFS(Detail!$AS:$AS,Detail!$G:$G,'Rates-Service Fees'!BY$23,Detail!$H:$H,'Rates-Service Fees'!BY$14)*100</f>
        <v>0</v>
      </c>
      <c r="BZ34">
        <f>SUMIFS(Detail!$AS:$AS,Detail!$G:$G,'Rates-Service Fees'!BZ$23,Detail!$H:$H,'Rates-Service Fees'!BZ$14)*100</f>
        <v>0</v>
      </c>
      <c r="CA34">
        <f>SUMIFS(Detail!$AS:$AS,Detail!$G:$G,'Rates-Service Fees'!CA$23,Detail!$H:$H,'Rates-Service Fees'!CA$14)*100</f>
        <v>0</v>
      </c>
      <c r="CB34">
        <f>SUMIFS(Detail!$AS:$AS,Detail!$G:$G,'Rates-Service Fees'!CB$23,Detail!$H:$H,'Rates-Service Fees'!CB$14)*100</f>
        <v>0</v>
      </c>
      <c r="CC34">
        <f>SUMIFS(Detail!$AS:$AS,Detail!$G:$G,'Rates-Service Fees'!CC$23,Detail!$H:$H,'Rates-Service Fees'!CC$14)*100</f>
        <v>0</v>
      </c>
      <c r="CD34">
        <f>SUMIFS(Detail!$AS:$AS,Detail!$G:$G,'Rates-Service Fees'!CD$23,Detail!$H:$H,'Rates-Service Fees'!CD$14)*100</f>
        <v>0</v>
      </c>
      <c r="CE34">
        <f>SUMIFS(Detail!$AS:$AS,Detail!$G:$G,'Rates-Service Fees'!CE$23,Detail!$H:$H,'Rates-Service Fees'!CE$14)*100</f>
        <v>0</v>
      </c>
      <c r="CF34">
        <f>SUMIFS(Detail!$AS:$AS,Detail!$G:$G,'Rates-Service Fees'!CF$23,Detail!$H:$H,'Rates-Service Fees'!CF$14)*100</f>
        <v>0</v>
      </c>
      <c r="CG34">
        <f>SUMIFS(Detail!$AS:$AS,Detail!$G:$G,'Rates-Service Fees'!CG$23,Detail!$H:$H,'Rates-Service Fees'!CG$14)*100</f>
        <v>0</v>
      </c>
      <c r="CH34">
        <f>SUMIFS(Detail!$AS:$AS,Detail!$G:$G,'Rates-Service Fees'!CH$23,Detail!$H:$H,'Rates-Service Fees'!CH$14)*100</f>
        <v>0</v>
      </c>
      <c r="CI34">
        <f>SUMIFS(Detail!$AS:$AS,Detail!$G:$G,'Rates-Service Fees'!CI$23,Detail!$H:$H,'Rates-Service Fees'!CI$14)*100</f>
        <v>0</v>
      </c>
      <c r="CJ34">
        <f>SUMIFS(Detail!$AS:$AS,Detail!$G:$G,'Rates-Service Fees'!CJ$23,Detail!$H:$H,'Rates-Service Fees'!CJ$14)*100</f>
        <v>0</v>
      </c>
      <c r="CK34">
        <f>SUMIFS(Detail!$AS:$AS,Detail!$G:$G,'Rates-Service Fees'!CK$23,Detail!$H:$H,'Rates-Service Fees'!CK$14)*100</f>
        <v>0</v>
      </c>
      <c r="CL34">
        <f>SUMIFS(Detail!$AS:$AS,Detail!$G:$G,'Rates-Service Fees'!CL$23,Detail!$H:$H,'Rates-Service Fees'!CL$14)*100</f>
        <v>0</v>
      </c>
      <c r="CM34">
        <f>SUMIFS(Detail!$AS:$AS,Detail!$G:$G,'Rates-Service Fees'!CM$23,Detail!$H:$H,'Rates-Service Fees'!CM$14)*100</f>
        <v>0</v>
      </c>
      <c r="CN34">
        <f>SUMIFS(Detail!$AS:$AS,Detail!$G:$G,'Rates-Service Fees'!CN$23,Detail!$H:$H,'Rates-Service Fees'!CN$14)*100</f>
        <v>0</v>
      </c>
      <c r="CO34">
        <f>SUMIFS(Detail!$AS:$AS,Detail!$G:$G,'Rates-Service Fees'!CO$23,Detail!$H:$H,'Rates-Service Fees'!CO$14)*100</f>
        <v>0</v>
      </c>
      <c r="CP34">
        <f>SUMIFS(Detail!$AS:$AS,Detail!$G:$G,'Rates-Service Fees'!CP$23,Detail!$H:$H,'Rates-Service Fees'!CP$14)*100</f>
        <v>0</v>
      </c>
      <c r="CQ34">
        <f>SUMIFS(Detail!$AS:$AS,Detail!$G:$G,'Rates-Service Fees'!CQ$23,Detail!$H:$H,'Rates-Service Fees'!CQ$14)*100</f>
        <v>0</v>
      </c>
      <c r="CR34">
        <f>SUMIFS(Detail!$AS:$AS,Detail!$G:$G,'Rates-Service Fees'!CR$23,Detail!$H:$H,'Rates-Service Fees'!CR$14)*100</f>
        <v>0</v>
      </c>
      <c r="CS34">
        <f>SUMIFS(Detail!$AS:$AS,Detail!$G:$G,'Rates-Service Fees'!CS$23,Detail!$H:$H,'Rates-Service Fees'!CS$14)*100</f>
        <v>0</v>
      </c>
      <c r="CT34">
        <f>SUMIFS(Detail!$AS:$AS,Detail!$G:$G,'Rates-Service Fees'!CT$23,Detail!$H:$H,'Rates-Service Fees'!CT$14)*100</f>
        <v>0</v>
      </c>
      <c r="CU34">
        <f>SUMIFS(Detail!$AS:$AS,Detail!$G:$G,'Rates-Service Fees'!CU$23,Detail!$H:$H,'Rates-Service Fees'!CU$14)*100</f>
        <v>0</v>
      </c>
      <c r="CV34">
        <f>SUMIFS(Detail!$AS:$AS,Detail!$G:$G,'Rates-Service Fees'!CV$23,Detail!$H:$H,'Rates-Service Fees'!CV$14)*100</f>
        <v>0</v>
      </c>
      <c r="CW34">
        <f>SUMIFS(Detail!$AS:$AS,Detail!$G:$G,'Rates-Service Fees'!CW$23,Detail!$H:$H,'Rates-Service Fees'!CW$14)*100</f>
        <v>0</v>
      </c>
      <c r="CX34">
        <f>SUMIFS(Detail!$AS:$AS,Detail!$G:$G,'Rates-Service Fees'!CX$23,Detail!$H:$H,'Rates-Service Fees'!CX$14)*100</f>
        <v>0</v>
      </c>
      <c r="CY34">
        <f>SUMIFS(Detail!$AS:$AS,Detail!$G:$G,'Rates-Service Fees'!CY$23,Detail!$H:$H,'Rates-Service Fees'!CY$14)*100</f>
        <v>0</v>
      </c>
      <c r="CZ34">
        <f>SUMIFS(Detail!$AS:$AS,Detail!$G:$G,'Rates-Service Fees'!CZ$23,Detail!$H:$H,'Rates-Service Fees'!CZ$14)*100</f>
        <v>0</v>
      </c>
      <c r="DA34">
        <f>SUMIFS(Detail!$AS:$AS,Detail!$G:$G,'Rates-Service Fees'!DA$23,Detail!$H:$H,'Rates-Service Fees'!DA$14)*100</f>
        <v>0</v>
      </c>
      <c r="DB34">
        <f>SUMIFS(Detail!$AS:$AS,Detail!$G:$G,'Rates-Service Fees'!DB$23,Detail!$H:$H,'Rates-Service Fees'!DB$14)*100</f>
        <v>0</v>
      </c>
      <c r="DC34">
        <f>SUMIFS(Detail!$AS:$AS,Detail!$G:$G,'Rates-Service Fees'!DC$23,Detail!$H:$H,'Rates-Service Fees'!DC$14)*100</f>
        <v>0</v>
      </c>
      <c r="DD34">
        <f>SUMIFS(Detail!$AS:$AS,Detail!$G:$G,'Rates-Service Fees'!DD$23,Detail!$H:$H,'Rates-Service Fees'!DD$14)*100</f>
        <v>0</v>
      </c>
      <c r="DE34">
        <f>SUMIFS(Detail!$AS:$AS,Detail!$G:$G,'Rates-Service Fees'!DE$23,Detail!$H:$H,'Rates-Service Fees'!DE$14)*100</f>
        <v>0</v>
      </c>
      <c r="DF34">
        <f>SUMIFS(Detail!$AS:$AS,Detail!$G:$G,'Rates-Service Fees'!DF$23,Detail!$H:$H,'Rates-Service Fees'!DF$14)*100</f>
        <v>0</v>
      </c>
      <c r="DG34">
        <f>SUMIFS(Detail!$AS:$AS,Detail!$G:$G,'Rates-Service Fees'!DG$23,Detail!$H:$H,'Rates-Service Fees'!DG$14)*100</f>
        <v>0</v>
      </c>
      <c r="DH34">
        <f>SUMIFS(Detail!$AS:$AS,Detail!$G:$G,'Rates-Service Fees'!DH$23,Detail!$H:$H,'Rates-Service Fees'!DH$14)*100</f>
        <v>0</v>
      </c>
      <c r="DI34">
        <f>SUMIFS(Detail!$AS:$AS,Detail!$G:$G,'Rates-Service Fees'!DI$23,Detail!$H:$H,'Rates-Service Fees'!DI$14)*100</f>
        <v>0</v>
      </c>
      <c r="DJ34">
        <f>SUMIFS(Detail!$AS:$AS,Detail!$G:$G,'Rates-Service Fees'!DJ$23,Detail!$H:$H,'Rates-Service Fees'!DJ$14)*100</f>
        <v>0</v>
      </c>
      <c r="DK34">
        <f>SUMIFS(Detail!$AS:$AS,Detail!$G:$G,'Rates-Service Fees'!DK$23,Detail!$H:$H,'Rates-Service Fees'!DK$14)*100</f>
        <v>0</v>
      </c>
      <c r="DL34">
        <f>SUMIFS(Detail!$AS:$AS,Detail!$G:$G,'Rates-Service Fees'!DL$23,Detail!$H:$H,'Rates-Service Fees'!DL$14)*100</f>
        <v>0</v>
      </c>
      <c r="DM34">
        <f>SUMIFS(Detail!$AS:$AS,Detail!$G:$G,'Rates-Service Fees'!DM$23,Detail!$H:$H,'Rates-Service Fees'!DM$14)*100</f>
        <v>0</v>
      </c>
      <c r="DN34">
        <f>SUMIFS(Detail!$AS:$AS,Detail!$G:$G,'Rates-Service Fees'!DN$23,Detail!$H:$H,'Rates-Service Fees'!DN$14)*100</f>
        <v>0</v>
      </c>
      <c r="DO34">
        <f>SUMIFS(Detail!$AS:$AS,Detail!$G:$G,'Rates-Service Fees'!DO$23,Detail!$H:$H,'Rates-Service Fees'!DO$14)*100</f>
        <v>0</v>
      </c>
      <c r="DP34">
        <f>SUMIFS(Detail!$AS:$AS,Detail!$G:$G,'Rates-Service Fees'!DP$23,Detail!$H:$H,'Rates-Service Fees'!DP$14)*100</f>
        <v>0</v>
      </c>
      <c r="DQ34">
        <f>SUMIFS(Detail!$AS:$AS,Detail!$G:$G,'Rates-Service Fees'!DQ$23,Detail!$H:$H,'Rates-Service Fees'!DQ$14)*100</f>
        <v>0</v>
      </c>
      <c r="DR34">
        <f>SUMIFS(Detail!$AS:$AS,Detail!$G:$G,'Rates-Service Fees'!DR$23,Detail!$H:$H,'Rates-Service Fees'!DR$14)*100</f>
        <v>0</v>
      </c>
      <c r="DS34">
        <f>SUMIFS(Detail!$AS:$AS,Detail!$G:$G,'Rates-Service Fees'!DS$23,Detail!$H:$H,'Rates-Service Fees'!DS$14)*100</f>
        <v>0</v>
      </c>
      <c r="DT34">
        <f>SUMIFS(Detail!$AS:$AS,Detail!$G:$G,'Rates-Service Fees'!DT$23,Detail!$H:$H,'Rates-Service Fees'!DT$14)*100</f>
        <v>0</v>
      </c>
      <c r="DU34">
        <f>SUMIFS(Detail!$AS:$AS,Detail!$G:$G,'Rates-Service Fees'!DU$23,Detail!$H:$H,'Rates-Service Fees'!DU$14)*100</f>
        <v>0</v>
      </c>
      <c r="DV34">
        <f>SUMIFS(Detail!$AS:$AS,Detail!$G:$G,'Rates-Service Fees'!DV$23,Detail!$H:$H,'Rates-Service Fees'!DV$14)*100</f>
        <v>0</v>
      </c>
      <c r="DW34">
        <f>SUMIFS(Detail!$AS:$AS,Detail!$G:$G,'Rates-Service Fees'!DW$23,Detail!$H:$H,'Rates-Service Fees'!DW$14)*100</f>
        <v>0</v>
      </c>
      <c r="DX34">
        <f>SUMIFS(Detail!$AS:$AS,Detail!$G:$G,'Rates-Service Fees'!DX$23,Detail!$H:$H,'Rates-Service Fees'!DX$14)*100</f>
        <v>0</v>
      </c>
      <c r="DY34">
        <f>SUMIFS(Detail!$AS:$AS,Detail!$G:$G,'Rates-Service Fees'!DY$23,Detail!$H:$H,'Rates-Service Fees'!DY$14)*100</f>
        <v>0</v>
      </c>
      <c r="DZ34">
        <f>SUMIFS(Detail!$AS:$AS,Detail!$G:$G,'Rates-Service Fees'!DZ$23,Detail!$H:$H,'Rates-Service Fees'!DZ$14)*100</f>
        <v>0</v>
      </c>
      <c r="EA34">
        <f>SUMIFS(Detail!$AS:$AS,Detail!$G:$G,'Rates-Service Fees'!EA$23,Detail!$H:$H,'Rates-Service Fees'!EA$14)*100</f>
        <v>0</v>
      </c>
      <c r="EB34">
        <f>SUMIFS(Detail!$AS:$AS,Detail!$G:$G,'Rates-Service Fees'!EB$23,Detail!$H:$H,'Rates-Service Fees'!EB$14)*100</f>
        <v>0</v>
      </c>
      <c r="EC34">
        <f>SUMIFS(Detail!$AS:$AS,Detail!$G:$G,'Rates-Service Fees'!EC$23,Detail!$H:$H,'Rates-Service Fees'!EC$14)*100</f>
        <v>0</v>
      </c>
      <c r="ED34">
        <f>SUMIFS(Detail!$AS:$AS,Detail!$G:$G,'Rates-Service Fees'!ED$23,Detail!$H:$H,'Rates-Service Fees'!ED$14)*100</f>
        <v>0</v>
      </c>
      <c r="EE34">
        <f>SUMIFS(Detail!$AS:$AS,Detail!$G:$G,'Rates-Service Fees'!EE$23,Detail!$H:$H,'Rates-Service Fees'!EE$14)*100</f>
        <v>0</v>
      </c>
      <c r="EF34">
        <f>SUMIFS(Detail!$AS:$AS,Detail!$G:$G,'Rates-Service Fees'!EF$23,Detail!$H:$H,'Rates-Service Fees'!EF$14)*100</f>
        <v>0</v>
      </c>
      <c r="EG34">
        <f>SUMIFS(Detail!$AS:$AS,Detail!$G:$G,'Rates-Service Fees'!EG$23,Detail!$H:$H,'Rates-Service Fees'!EG$14)*100</f>
        <v>0</v>
      </c>
      <c r="EH34">
        <f>SUMIFS(Detail!$AS:$AS,Detail!$G:$G,'Rates-Service Fees'!EH$23,Detail!$H:$H,'Rates-Service Fees'!EH$14)*100</f>
        <v>0</v>
      </c>
      <c r="EI34">
        <f>SUMIFS(Detail!$AS:$AS,Detail!$G:$G,'Rates-Service Fees'!EI$23,Detail!$H:$H,'Rates-Service Fees'!EI$14)*100</f>
        <v>0</v>
      </c>
      <c r="EJ34">
        <f>SUMIFS(Detail!$AS:$AS,Detail!$G:$G,'Rates-Service Fees'!EJ$23,Detail!$H:$H,'Rates-Service Fees'!EJ$14)*100</f>
        <v>0</v>
      </c>
      <c r="EK34">
        <f>SUMIFS(Detail!$AS:$AS,Detail!$G:$G,'Rates-Service Fees'!EK$23,Detail!$H:$H,'Rates-Service Fees'!EK$14)*100</f>
        <v>0</v>
      </c>
      <c r="EL34">
        <f>SUMIFS(Detail!$AS:$AS,Detail!$G:$G,'Rates-Service Fees'!EL$23,Detail!$H:$H,'Rates-Service Fees'!EL$14)*100</f>
        <v>0</v>
      </c>
      <c r="EM34">
        <f>SUMIFS(Detail!$AS:$AS,Detail!$G:$G,'Rates-Service Fees'!EM$23,Detail!$H:$H,'Rates-Service Fees'!EM$14)*100</f>
        <v>0</v>
      </c>
      <c r="EN34">
        <f>SUMIFS(Detail!$AS:$AS,Detail!$G:$G,'Rates-Service Fees'!EN$23,Detail!$H:$H,'Rates-Service Fees'!EN$14)*100</f>
        <v>0</v>
      </c>
      <c r="EO34">
        <f>SUMIFS(Detail!$AS:$AS,Detail!$G:$G,'Rates-Service Fees'!EO$23,Detail!$H:$H,'Rates-Service Fees'!EO$14)*100</f>
        <v>0</v>
      </c>
      <c r="EP34">
        <f>SUMIFS(Detail!$AS:$AS,Detail!$G:$G,'Rates-Service Fees'!EP$23,Detail!$H:$H,'Rates-Service Fees'!EP$14)*100</f>
        <v>0</v>
      </c>
      <c r="EQ34">
        <f>SUMIFS(Detail!$AS:$AS,Detail!$G:$G,'Rates-Service Fees'!EQ$23,Detail!$H:$H,'Rates-Service Fees'!EQ$14)*100</f>
        <v>0</v>
      </c>
      <c r="ER34">
        <f>SUMIFS(Detail!$AS:$AS,Detail!$G:$G,'Rates-Service Fees'!ER$23,Detail!$H:$H,'Rates-Service Fees'!ER$14)*100</f>
        <v>0</v>
      </c>
      <c r="ES34">
        <f>SUMIFS(Detail!$AS:$AS,Detail!$G:$G,'Rates-Service Fees'!ES$23,Detail!$H:$H,'Rates-Service Fees'!ES$14)*100</f>
        <v>0</v>
      </c>
      <c r="ET34">
        <f>SUMIFS(Detail!$AS:$AS,Detail!$G:$G,'Rates-Service Fees'!ET$23,Detail!$H:$H,'Rates-Service Fees'!ET$14)*100</f>
        <v>0</v>
      </c>
      <c r="EU34">
        <f>SUMIFS(Detail!$AS:$AS,Detail!$G:$G,'Rates-Service Fees'!EU$23,Detail!$H:$H,'Rates-Service Fees'!EU$14)*100</f>
        <v>0</v>
      </c>
      <c r="EV34">
        <f>SUMIFS(Detail!$AS:$AS,Detail!$G:$G,'Rates-Service Fees'!EV$23,Detail!$H:$H,'Rates-Service Fees'!EV$14)*100</f>
        <v>0</v>
      </c>
      <c r="EW34">
        <f>SUMIFS(Detail!$AS:$AS,Detail!$G:$G,'Rates-Service Fees'!EW$23,Detail!$H:$H,'Rates-Service Fees'!EW$14)*100</f>
        <v>0</v>
      </c>
      <c r="EX34">
        <f>SUMIFS(Detail!$AS:$AS,Detail!$G:$G,'Rates-Service Fees'!EX$23,Detail!$H:$H,'Rates-Service Fees'!EX$14)*100</f>
        <v>0</v>
      </c>
      <c r="EY34">
        <f>SUMIFS(Detail!$AS:$AS,Detail!$G:$G,'Rates-Service Fees'!EY$23,Detail!$H:$H,'Rates-Service Fees'!EY$14)*100</f>
        <v>0</v>
      </c>
      <c r="EZ34">
        <f>SUMIFS(Detail!$AS:$AS,Detail!$G:$G,'Rates-Service Fees'!EZ$23,Detail!$H:$H,'Rates-Service Fees'!EZ$14)*100</f>
        <v>0</v>
      </c>
      <c r="FA34">
        <f>SUMIFS(Detail!$AS:$AS,Detail!$G:$G,'Rates-Service Fees'!FA$23,Detail!$H:$H,'Rates-Service Fees'!FA$14)*100</f>
        <v>0</v>
      </c>
      <c r="FB34">
        <f>SUMIFS(Detail!$AS:$AS,Detail!$G:$G,'Rates-Service Fees'!FB$23,Detail!$H:$H,'Rates-Service Fees'!FB$14)*100</f>
        <v>0</v>
      </c>
      <c r="FC34">
        <f>SUMIFS(Detail!$AS:$AS,Detail!$G:$G,'Rates-Service Fees'!FC$23,Detail!$H:$H,'Rates-Service Fees'!FC$14)*100</f>
        <v>0</v>
      </c>
      <c r="FD34">
        <f>SUMIFS(Detail!$AS:$AS,Detail!$G:$G,'Rates-Service Fees'!FD$23,Detail!$H:$H,'Rates-Service Fees'!FD$14)*100</f>
        <v>0</v>
      </c>
      <c r="FE34">
        <f>SUMIFS(Detail!$AS:$AS,Detail!$G:$G,'Rates-Service Fees'!FE$23,Detail!$H:$H,'Rates-Service Fees'!FE$14)*100</f>
        <v>0</v>
      </c>
      <c r="FF34">
        <f>SUMIFS(Detail!$AS:$AS,Detail!$G:$G,'Rates-Service Fees'!FF$23,Detail!$H:$H,'Rates-Service Fees'!FF$14)*100</f>
        <v>0</v>
      </c>
      <c r="FG34">
        <f>SUMIFS(Detail!$AS:$AS,Detail!$G:$G,'Rates-Service Fees'!FG$23,Detail!$H:$H,'Rates-Service Fees'!FG$14)*100</f>
        <v>0</v>
      </c>
      <c r="FH34">
        <f>SUMIFS(Detail!$AS:$AS,Detail!$G:$G,'Rates-Service Fees'!FH$23,Detail!$H:$H,'Rates-Service Fees'!FH$14)*100</f>
        <v>0</v>
      </c>
      <c r="FI34">
        <f>SUMIFS(Detail!$AS:$AS,Detail!$G:$G,'Rates-Service Fees'!FI$23,Detail!$H:$H,'Rates-Service Fees'!FI$14)*100</f>
        <v>0</v>
      </c>
      <c r="FJ34">
        <f>SUMIFS(Detail!$AS:$AS,Detail!$G:$G,'Rates-Service Fees'!FJ$23,Detail!$H:$H,'Rates-Service Fees'!FJ$14)*100</f>
        <v>0</v>
      </c>
      <c r="FK34">
        <f>SUMIFS(Detail!$AS:$AS,Detail!$G:$G,'Rates-Service Fees'!FK$23,Detail!$H:$H,'Rates-Service Fees'!FK$14)*100</f>
        <v>0</v>
      </c>
      <c r="FL34">
        <f>SUMIFS(Detail!$AS:$AS,Detail!$G:$G,'Rates-Service Fees'!FL$23,Detail!$H:$H,'Rates-Service Fees'!FL$14)*100</f>
        <v>0</v>
      </c>
      <c r="FM34">
        <f>SUMIFS(Detail!$AS:$AS,Detail!$G:$G,'Rates-Service Fees'!FM$23,Detail!$H:$H,'Rates-Service Fees'!FM$14)*100</f>
        <v>0</v>
      </c>
      <c r="FN34">
        <f>SUMIFS(Detail!$AS:$AS,Detail!$G:$G,'Rates-Service Fees'!FN$23,Detail!$H:$H,'Rates-Service Fees'!FN$14)*100</f>
        <v>0</v>
      </c>
      <c r="FO34">
        <f>SUMIFS(Detail!$AS:$AS,Detail!$G:$G,'Rates-Service Fees'!FO$23,Detail!$H:$H,'Rates-Service Fees'!FO$14)*100</f>
        <v>0</v>
      </c>
      <c r="FP34">
        <f>SUMIFS(Detail!$AS:$AS,Detail!$G:$G,'Rates-Service Fees'!FP$23,Detail!$H:$H,'Rates-Service Fees'!FP$14)*100</f>
        <v>0</v>
      </c>
      <c r="FQ34">
        <f>SUMIFS(Detail!$AS:$AS,Detail!$G:$G,'Rates-Service Fees'!FQ$23,Detail!$H:$H,'Rates-Service Fees'!FQ$14)*100</f>
        <v>0</v>
      </c>
      <c r="FR34">
        <f>SUMIFS(Detail!$AS:$AS,Detail!$G:$G,'Rates-Service Fees'!FR$23,Detail!$H:$H,'Rates-Service Fees'!FR$14)*100</f>
        <v>0</v>
      </c>
      <c r="FS34">
        <f>SUMIFS(Detail!$AS:$AS,Detail!$G:$G,'Rates-Service Fees'!FS$23,Detail!$H:$H,'Rates-Service Fees'!FS$14)*100</f>
        <v>0</v>
      </c>
      <c r="FT34">
        <f>SUMIFS(Detail!$AS:$AS,Detail!$G:$G,'Rates-Service Fees'!FT$23,Detail!$H:$H,'Rates-Service Fees'!FT$14)*100</f>
        <v>0</v>
      </c>
      <c r="FU34">
        <f>SUMIFS(Detail!$AS:$AS,Detail!$G:$G,'Rates-Service Fees'!FU$23,Detail!$H:$H,'Rates-Service Fees'!FU$14)*100</f>
        <v>0</v>
      </c>
      <c r="FV34">
        <f>SUMIFS(Detail!$AS:$AS,Detail!$G:$G,'Rates-Service Fees'!FV$23,Detail!$H:$H,'Rates-Service Fees'!FV$14)*100</f>
        <v>0</v>
      </c>
      <c r="FW34">
        <f>SUMIFS(Detail!$AS:$AS,Detail!$G:$G,'Rates-Service Fees'!FW$23,Detail!$H:$H,'Rates-Service Fees'!FW$14)*100</f>
        <v>0</v>
      </c>
      <c r="FX34">
        <f>SUMIFS(Detail!$AS:$AS,Detail!$G:$G,'Rates-Service Fees'!FX$23,Detail!$H:$H,'Rates-Service Fees'!FX$14)*100</f>
        <v>0</v>
      </c>
      <c r="FY34">
        <f>SUMIFS(Detail!$AS:$AS,Detail!$G:$G,'Rates-Service Fees'!FY$23,Detail!$H:$H,'Rates-Service Fees'!FY$14)*100</f>
        <v>0</v>
      </c>
      <c r="FZ34">
        <f>SUMIFS(Detail!$AS:$AS,Detail!$G:$G,'Rates-Service Fees'!FZ$23,Detail!$H:$H,'Rates-Service Fees'!FZ$14)*100</f>
        <v>0</v>
      </c>
      <c r="GA34">
        <f>SUMIFS(Detail!$AS:$AS,Detail!$G:$G,'Rates-Service Fees'!GA$23,Detail!$H:$H,'Rates-Service Fees'!GA$14)*100</f>
        <v>0</v>
      </c>
      <c r="GB34">
        <f>SUMIFS(Detail!$AS:$AS,Detail!$G:$G,'Rates-Service Fees'!GB$23,Detail!$H:$H,'Rates-Service Fees'!GB$14)*100</f>
        <v>0</v>
      </c>
      <c r="GC34">
        <f>SUMIFS(Detail!$AS:$AS,Detail!$G:$G,'Rates-Service Fees'!GC$23,Detail!$H:$H,'Rates-Service Fees'!GC$14)*100</f>
        <v>0</v>
      </c>
      <c r="GD34">
        <f>SUMIFS(Detail!$AS:$AS,Detail!$G:$G,'Rates-Service Fees'!GD$23,Detail!$H:$H,'Rates-Service Fees'!GD$14)*100</f>
        <v>0</v>
      </c>
      <c r="GE34">
        <f>SUMIFS(Detail!$AS:$AS,Detail!$G:$G,'Rates-Service Fees'!GE$23,Detail!$H:$H,'Rates-Service Fees'!GE$14)*100</f>
        <v>0</v>
      </c>
      <c r="GF34">
        <f>SUMIFS(Detail!$AS:$AS,Detail!$G:$G,'Rates-Service Fees'!GF$23,Detail!$H:$H,'Rates-Service Fees'!GF$14)*100</f>
        <v>0</v>
      </c>
      <c r="GG34">
        <f>SUMIFS(Detail!$AS:$AS,Detail!$G:$G,'Rates-Service Fees'!GG$23,Detail!$H:$H,'Rates-Service Fees'!GG$14)*100</f>
        <v>0</v>
      </c>
      <c r="GH34">
        <f>SUMIFS(Detail!$AS:$AS,Detail!$G:$G,'Rates-Service Fees'!GH$23,Detail!$H:$H,'Rates-Service Fees'!GH$14)*100</f>
        <v>0</v>
      </c>
      <c r="GI34">
        <f>SUMIFS(Detail!$AS:$AS,Detail!$G:$G,'Rates-Service Fees'!GI$23,Detail!$H:$H,'Rates-Service Fees'!GI$14)*100</f>
        <v>0</v>
      </c>
      <c r="GJ34">
        <f>SUMIFS(Detail!$AS:$AS,Detail!$G:$G,'Rates-Service Fees'!GJ$23,Detail!$H:$H,'Rates-Service Fees'!GJ$14)*100</f>
        <v>0</v>
      </c>
      <c r="GK34">
        <f>SUMIFS(Detail!$AS:$AS,Detail!$G:$G,'Rates-Service Fees'!GK$23,Detail!$H:$H,'Rates-Service Fees'!GK$14)*100</f>
        <v>0</v>
      </c>
      <c r="GL34">
        <f>SUMIFS(Detail!$AS:$AS,Detail!$G:$G,'Rates-Service Fees'!GL$23,Detail!$H:$H,'Rates-Service Fees'!GL$14)*100</f>
        <v>0</v>
      </c>
      <c r="GM34">
        <f>SUMIFS(Detail!$AS:$AS,Detail!$G:$G,'Rates-Service Fees'!GM$23,Detail!$H:$H,'Rates-Service Fees'!GM$14)*100</f>
        <v>0</v>
      </c>
      <c r="GN34">
        <f>SUMIFS(Detail!$AS:$AS,Detail!$G:$G,'Rates-Service Fees'!GN$23,Detail!$H:$H,'Rates-Service Fees'!GN$14)*100</f>
        <v>0</v>
      </c>
      <c r="GO34">
        <f>SUMIFS(Detail!$AS:$AS,Detail!$G:$G,'Rates-Service Fees'!GO$23,Detail!$H:$H,'Rates-Service Fees'!GO$14)*100</f>
        <v>0</v>
      </c>
      <c r="GP34">
        <f>SUMIFS(Detail!$AS:$AS,Detail!$G:$G,'Rates-Service Fees'!GP$23,Detail!$H:$H,'Rates-Service Fees'!GP$14)*100</f>
        <v>0</v>
      </c>
      <c r="GQ34">
        <f>SUMIFS(Detail!$AS:$AS,Detail!$G:$G,'Rates-Service Fees'!GQ$23,Detail!$H:$H,'Rates-Service Fees'!GQ$14)*100</f>
        <v>0</v>
      </c>
      <c r="GR34">
        <f>SUMIFS(Detail!$AS:$AS,Detail!$G:$G,'Rates-Service Fees'!GR$23,Detail!$H:$H,'Rates-Service Fees'!GR$14)*100</f>
        <v>0</v>
      </c>
      <c r="GS34">
        <f>SUMIFS(Detail!$AS:$AS,Detail!$G:$G,'Rates-Service Fees'!GS$23,Detail!$H:$H,'Rates-Service Fees'!GS$14)*100</f>
        <v>0</v>
      </c>
      <c r="GT34">
        <f>SUMIFS(Detail!$AS:$AS,Detail!$G:$G,'Rates-Service Fees'!GT$23,Detail!$H:$H,'Rates-Service Fees'!GT$14)*100</f>
        <v>0</v>
      </c>
      <c r="GU34">
        <f>SUMIFS(Detail!$AS:$AS,Detail!$G:$G,'Rates-Service Fees'!GU$23,Detail!$H:$H,'Rates-Service Fees'!GU$14)*100</f>
        <v>0</v>
      </c>
      <c r="GV34">
        <f>SUMIFS(Detail!$AS:$AS,Detail!$G:$G,'Rates-Service Fees'!GV$23,Detail!$H:$H,'Rates-Service Fees'!GV$14)*100</f>
        <v>0</v>
      </c>
      <c r="GW34">
        <f>SUMIFS(Detail!$AS:$AS,Detail!$G:$G,'Rates-Service Fees'!GW$23,Detail!$H:$H,'Rates-Service Fees'!GW$14)*100</f>
        <v>0</v>
      </c>
      <c r="GX34">
        <f>SUMIFS(Detail!$AS:$AS,Detail!$G:$G,'Rates-Service Fees'!GX$23,Detail!$H:$H,'Rates-Service Fees'!GX$14)*100</f>
        <v>0</v>
      </c>
      <c r="GY34">
        <f>SUMIFS(Detail!$AS:$AS,Detail!$G:$G,'Rates-Service Fees'!GY$23,Detail!$H:$H,'Rates-Service Fees'!GY$14)*100</f>
        <v>0</v>
      </c>
      <c r="GZ34">
        <f>SUMIFS(Detail!$AS:$AS,Detail!$G:$G,'Rates-Service Fees'!GZ$23,Detail!$H:$H,'Rates-Service Fees'!GZ$14)*100</f>
        <v>0</v>
      </c>
      <c r="HA34">
        <f>SUMIFS(Detail!$AS:$AS,Detail!$G:$G,'Rates-Service Fees'!HA$23,Detail!$H:$H,'Rates-Service Fees'!HA$14)*100</f>
        <v>0</v>
      </c>
      <c r="HB34">
        <f>SUMIFS(Detail!$AS:$AS,Detail!$G:$G,'Rates-Service Fees'!HB$23,Detail!$H:$H,'Rates-Service Fees'!HB$14)*100</f>
        <v>0</v>
      </c>
      <c r="HC34">
        <f>SUMIFS(Detail!$AS:$AS,Detail!$G:$G,'Rates-Service Fees'!HC$23,Detail!$H:$H,'Rates-Service Fees'!HC$14)*100</f>
        <v>0</v>
      </c>
      <c r="HD34">
        <f>SUMIFS(Detail!$AS:$AS,Detail!$G:$G,'Rates-Service Fees'!HD$23,Detail!$H:$H,'Rates-Service Fees'!HD$14)*100</f>
        <v>0</v>
      </c>
      <c r="HE34">
        <f>SUMIFS(Detail!$AS:$AS,Detail!$G:$G,'Rates-Service Fees'!HE$23,Detail!$H:$H,'Rates-Service Fees'!HE$14)*100</f>
        <v>0</v>
      </c>
      <c r="HF34">
        <f>SUMIFS(Detail!$AS:$AS,Detail!$G:$G,'Rates-Service Fees'!HF$23,Detail!$H:$H,'Rates-Service Fees'!HF$14)*100</f>
        <v>0</v>
      </c>
      <c r="HG34">
        <f>SUMIFS(Detail!$AS:$AS,Detail!$G:$G,'Rates-Service Fees'!HG$23,Detail!$H:$H,'Rates-Service Fees'!HG$14)*100</f>
        <v>0</v>
      </c>
      <c r="HH34">
        <f>SUMIFS(Detail!$AS:$AS,Detail!$G:$G,'Rates-Service Fees'!HH$23,Detail!$H:$H,'Rates-Service Fees'!HH$14)*100</f>
        <v>0</v>
      </c>
      <c r="HI34">
        <f>SUMIFS(Detail!$AS:$AS,Detail!$G:$G,'Rates-Service Fees'!HI$23,Detail!$H:$H,'Rates-Service Fees'!HI$14)*100</f>
        <v>0</v>
      </c>
      <c r="HJ34">
        <f>SUMIFS(Detail!$AS:$AS,Detail!$G:$G,'Rates-Service Fees'!HJ$23,Detail!$H:$H,'Rates-Service Fees'!HJ$14)*100</f>
        <v>0</v>
      </c>
      <c r="HK34">
        <f>SUMIFS(Detail!$AS:$AS,Detail!$G:$G,'Rates-Service Fees'!HK$23,Detail!$H:$H,'Rates-Service Fees'!HK$14)*100</f>
        <v>0</v>
      </c>
      <c r="HL34">
        <f>SUMIFS(Detail!$AS:$AS,Detail!$G:$G,'Rates-Service Fees'!HL$23,Detail!$H:$H,'Rates-Service Fees'!HL$14)*100</f>
        <v>0</v>
      </c>
      <c r="HM34">
        <f>SUMIFS(Detail!$AS:$AS,Detail!$G:$G,'Rates-Service Fees'!HM$23,Detail!$H:$H,'Rates-Service Fees'!HM$14)*100</f>
        <v>0</v>
      </c>
      <c r="HN34">
        <f>SUMIFS(Detail!$AS:$AS,Detail!$G:$G,'Rates-Service Fees'!HN$23,Detail!$H:$H,'Rates-Service Fees'!HN$14)*100</f>
        <v>0</v>
      </c>
      <c r="HO34">
        <f>SUMIFS(Detail!$AS:$AS,Detail!$G:$G,'Rates-Service Fees'!HO$23,Detail!$H:$H,'Rates-Service Fees'!HO$14)*100</f>
        <v>0</v>
      </c>
      <c r="HP34">
        <f>SUMIFS(Detail!$AS:$AS,Detail!$G:$G,'Rates-Service Fees'!HP$23,Detail!$H:$H,'Rates-Service Fees'!HP$14)*100</f>
        <v>0</v>
      </c>
      <c r="HQ34">
        <f>SUMIFS(Detail!$AS:$AS,Detail!$G:$G,'Rates-Service Fees'!HQ$23,Detail!$H:$H,'Rates-Service Fees'!HQ$14)*100</f>
        <v>0</v>
      </c>
      <c r="HR34">
        <f>SUMIFS(Detail!$AS:$AS,Detail!$G:$G,'Rates-Service Fees'!HR$23,Detail!$H:$H,'Rates-Service Fees'!HR$14)*100</f>
        <v>0</v>
      </c>
      <c r="HS34">
        <f>SUMIFS(Detail!$AS:$AS,Detail!$G:$G,'Rates-Service Fees'!HS$23,Detail!$H:$H,'Rates-Service Fees'!HS$14)*100</f>
        <v>0</v>
      </c>
      <c r="HT34">
        <f>SUMIFS(Detail!$AS:$AS,Detail!$G:$G,'Rates-Service Fees'!HT$23,Detail!$H:$H,'Rates-Service Fees'!HT$14)*100</f>
        <v>0</v>
      </c>
      <c r="HU34">
        <f>SUMIFS(Detail!$AS:$AS,Detail!$G:$G,'Rates-Service Fees'!HU$23,Detail!$H:$H,'Rates-Service Fees'!HU$14)*100</f>
        <v>0</v>
      </c>
      <c r="HV34">
        <f>SUMIFS(Detail!$AS:$AS,Detail!$G:$G,'Rates-Service Fees'!HV$23,Detail!$H:$H,'Rates-Service Fees'!HV$14)*100</f>
        <v>0</v>
      </c>
      <c r="HW34">
        <f>SUMIFS(Detail!$AS:$AS,Detail!$G:$G,'Rates-Service Fees'!HW$23,Detail!$H:$H,'Rates-Service Fees'!HW$14)*100</f>
        <v>0</v>
      </c>
      <c r="HX34">
        <f>SUMIFS(Detail!$AS:$AS,Detail!$G:$G,'Rates-Service Fees'!HX$23,Detail!$H:$H,'Rates-Service Fees'!HX$14)*100</f>
        <v>0</v>
      </c>
      <c r="HY34">
        <f>SUMIFS(Detail!$AS:$AS,Detail!$G:$G,'Rates-Service Fees'!HY$23,Detail!$H:$H,'Rates-Service Fees'!HY$14)*100</f>
        <v>0</v>
      </c>
      <c r="HZ34">
        <f>SUMIFS(Detail!$AS:$AS,Detail!$G:$G,'Rates-Service Fees'!HZ$23,Detail!$H:$H,'Rates-Service Fees'!HZ$14)*100</f>
        <v>0</v>
      </c>
      <c r="IA34">
        <f>SUMIFS(Detail!$AS:$AS,Detail!$G:$G,'Rates-Service Fees'!IA$23,Detail!$H:$H,'Rates-Service Fees'!IA$14)*100</f>
        <v>0</v>
      </c>
      <c r="IB34">
        <f>SUMIFS(Detail!$AS:$AS,Detail!$G:$G,'Rates-Service Fees'!IB$23,Detail!$H:$H,'Rates-Service Fees'!IB$14)*100</f>
        <v>0</v>
      </c>
      <c r="IC34">
        <f>SUMIFS(Detail!$AS:$AS,Detail!$G:$G,'Rates-Service Fees'!IC$23,Detail!$H:$H,'Rates-Service Fees'!IC$14)*100</f>
        <v>0</v>
      </c>
      <c r="ID34">
        <f>SUMIFS(Detail!$AS:$AS,Detail!$G:$G,'Rates-Service Fees'!ID$23,Detail!$H:$H,'Rates-Service Fees'!ID$14)*100</f>
        <v>0</v>
      </c>
      <c r="IE34">
        <f>SUMIFS(Detail!$AS:$AS,Detail!$G:$G,'Rates-Service Fees'!IE$23,Detail!$H:$H,'Rates-Service Fees'!IE$14)*100</f>
        <v>0</v>
      </c>
      <c r="IF34">
        <f>SUMIFS(Detail!$AS:$AS,Detail!$G:$G,'Rates-Service Fees'!IF$23,Detail!$H:$H,'Rates-Service Fees'!IF$14)*100</f>
        <v>0</v>
      </c>
      <c r="IG34">
        <f>SUMIFS(Detail!$AS:$AS,Detail!$G:$G,'Rates-Service Fees'!IG$23,Detail!$H:$H,'Rates-Service Fees'!IG$14)*100</f>
        <v>0</v>
      </c>
      <c r="IH34">
        <f>SUMIFS(Detail!$AS:$AS,Detail!$G:$G,'Rates-Service Fees'!IH$23,Detail!$H:$H,'Rates-Service Fees'!IH$14)*100</f>
        <v>0</v>
      </c>
      <c r="II34">
        <f>SUMIFS(Detail!$AS:$AS,Detail!$G:$G,'Rates-Service Fees'!II$23,Detail!$H:$H,'Rates-Service Fees'!II$14)*100</f>
        <v>0</v>
      </c>
      <c r="IJ34">
        <f>SUMIFS(Detail!$AS:$AS,Detail!$G:$G,'Rates-Service Fees'!IJ$23,Detail!$H:$H,'Rates-Service Fees'!IJ$14)*100</f>
        <v>0</v>
      </c>
      <c r="IK34">
        <f>SUMIFS(Detail!$AS:$AS,Detail!$G:$G,'Rates-Service Fees'!IK$23,Detail!$H:$H,'Rates-Service Fees'!IK$14)*100</f>
        <v>0</v>
      </c>
      <c r="IL34">
        <f>SUMIFS(Detail!$AS:$AS,Detail!$G:$G,'Rates-Service Fees'!IL$23,Detail!$H:$H,'Rates-Service Fees'!IL$14)*100</f>
        <v>0</v>
      </c>
      <c r="IM34">
        <f>SUMIFS(Detail!$AS:$AS,Detail!$G:$G,'Rates-Service Fees'!IM$23,Detail!$H:$H,'Rates-Service Fees'!IM$14)*100</f>
        <v>0</v>
      </c>
      <c r="IN34">
        <f>SUMIFS(Detail!$AS:$AS,Detail!$G:$G,'Rates-Service Fees'!IN$23,Detail!$H:$H,'Rates-Service Fees'!IN$14)*100</f>
        <v>0</v>
      </c>
      <c r="IO34">
        <f>SUMIFS(Detail!$AS:$AS,Detail!$G:$G,'Rates-Service Fees'!IO$23,Detail!$H:$H,'Rates-Service Fees'!IO$14)*100</f>
        <v>0</v>
      </c>
      <c r="IP34">
        <f>SUMIFS(Detail!$AS:$AS,Detail!$G:$G,'Rates-Service Fees'!IP$23,Detail!$H:$H,'Rates-Service Fees'!IP$14)*100</f>
        <v>0</v>
      </c>
      <c r="IQ34">
        <f>SUMIFS(Detail!$AS:$AS,Detail!$G:$G,'Rates-Service Fees'!IQ$23,Detail!$H:$H,'Rates-Service Fees'!IQ$14)*100</f>
        <v>0</v>
      </c>
      <c r="IR34">
        <f>SUMIFS(Detail!$AS:$AS,Detail!$G:$G,'Rates-Service Fees'!IR$23,Detail!$H:$H,'Rates-Service Fees'!IR$14)*100</f>
        <v>0</v>
      </c>
      <c r="IS34">
        <f>SUMIFS(Detail!$AS:$AS,Detail!$G:$G,'Rates-Service Fees'!IS$23,Detail!$H:$H,'Rates-Service Fees'!IS$14)*100</f>
        <v>0</v>
      </c>
      <c r="IT34">
        <f>SUMIFS(Detail!$AS:$AS,Detail!$G:$G,'Rates-Service Fees'!IT$23,Detail!$H:$H,'Rates-Service Fees'!IT$14)*100</f>
        <v>0</v>
      </c>
      <c r="IU34">
        <f>SUMIFS(Detail!$AS:$AS,Detail!$G:$G,'Rates-Service Fees'!IU$23,Detail!$H:$H,'Rates-Service Fees'!IU$14)*100</f>
        <v>0</v>
      </c>
      <c r="IV34">
        <f>SUMIFS(Detail!$AS:$AS,Detail!$G:$G,'Rates-Service Fees'!IV$23,Detail!$H:$H,'Rates-Service Fees'!IV$14)*100</f>
        <v>0</v>
      </c>
      <c r="IW34">
        <f>SUMIFS(Detail!$AS:$AS,Detail!$G:$G,'Rates-Service Fees'!IW$23,Detail!$H:$H,'Rates-Service Fees'!IW$14)*100</f>
        <v>0</v>
      </c>
      <c r="IX34">
        <f>SUMIFS(Detail!$AS:$AS,Detail!$G:$G,'Rates-Service Fees'!IX$23,Detail!$H:$H,'Rates-Service Fees'!IX$14)*100</f>
        <v>0</v>
      </c>
      <c r="IY34">
        <f>SUMIFS(Detail!$AS:$AS,Detail!$G:$G,'Rates-Service Fees'!IY$23,Detail!$H:$H,'Rates-Service Fees'!IY$14)*100</f>
        <v>0</v>
      </c>
      <c r="IZ34">
        <f>SUMIFS(Detail!$AS:$AS,Detail!$G:$G,'Rates-Service Fees'!IZ$23,Detail!$H:$H,'Rates-Service Fees'!IZ$14)*100</f>
        <v>0</v>
      </c>
      <c r="JA34">
        <f>SUMIFS(Detail!$AS:$AS,Detail!$G:$G,'Rates-Service Fees'!JA$23,Detail!$H:$H,'Rates-Service Fees'!JA$14)*100</f>
        <v>0</v>
      </c>
      <c r="JB34">
        <f>SUMIFS(Detail!$AS:$AS,Detail!$G:$G,'Rates-Service Fees'!JB$23,Detail!$H:$H,'Rates-Service Fees'!JB$14)*100</f>
        <v>0</v>
      </c>
      <c r="JC34">
        <f>SUMIFS(Detail!$AS:$AS,Detail!$G:$G,'Rates-Service Fees'!JC$23,Detail!$H:$H,'Rates-Service Fees'!JC$14)*100</f>
        <v>0</v>
      </c>
      <c r="JD34">
        <f>SUMIFS(Detail!$AS:$AS,Detail!$G:$G,'Rates-Service Fees'!JD$23,Detail!$H:$H,'Rates-Service Fees'!JD$14)*100</f>
        <v>0</v>
      </c>
      <c r="JE34">
        <f>SUMIFS(Detail!$AS:$AS,Detail!$G:$G,'Rates-Service Fees'!JE$23,Detail!$H:$H,'Rates-Service Fees'!JE$14)*100</f>
        <v>0</v>
      </c>
      <c r="JF34">
        <f>SUMIFS(Detail!$AS:$AS,Detail!$G:$G,'Rates-Service Fees'!JF$23,Detail!$H:$H,'Rates-Service Fees'!JF$14)*100</f>
        <v>0</v>
      </c>
      <c r="JG34">
        <f>SUMIFS(Detail!$AS:$AS,Detail!$G:$G,'Rates-Service Fees'!JG$23,Detail!$H:$H,'Rates-Service Fees'!JG$14)*100</f>
        <v>0</v>
      </c>
      <c r="JH34">
        <f>SUMIFS(Detail!$AS:$AS,Detail!$G:$G,'Rates-Service Fees'!JH$23,Detail!$H:$H,'Rates-Service Fees'!JH$14)*100</f>
        <v>0</v>
      </c>
      <c r="JI34">
        <f>SUMIFS(Detail!$AS:$AS,Detail!$G:$G,'Rates-Service Fees'!JI$23,Detail!$H:$H,'Rates-Service Fees'!JI$14)*100</f>
        <v>0</v>
      </c>
      <c r="JJ34">
        <f>SUMIFS(Detail!$AS:$AS,Detail!$G:$G,'Rates-Service Fees'!JJ$23,Detail!$H:$H,'Rates-Service Fees'!JJ$14)*100</f>
        <v>0</v>
      </c>
      <c r="JK34">
        <f>SUMIFS(Detail!$AS:$AS,Detail!$G:$G,'Rates-Service Fees'!JK$23,Detail!$H:$H,'Rates-Service Fees'!JK$14)*100</f>
        <v>0</v>
      </c>
      <c r="JL34">
        <f>SUMIFS(Detail!$AS:$AS,Detail!$G:$G,'Rates-Service Fees'!JL$23,Detail!$H:$H,'Rates-Service Fees'!JL$14)*100</f>
        <v>0</v>
      </c>
      <c r="JM34">
        <f>SUMIFS(Detail!$AS:$AS,Detail!$G:$G,'Rates-Service Fees'!JM$23,Detail!$H:$H,'Rates-Service Fees'!JM$14)*100</f>
        <v>0</v>
      </c>
      <c r="JN34">
        <f>SUMIFS(Detail!$AS:$AS,Detail!$G:$G,'Rates-Service Fees'!JN$23,Detail!$H:$H,'Rates-Service Fees'!JN$14)*100</f>
        <v>0</v>
      </c>
      <c r="JO34">
        <f>SUMIFS(Detail!$AS:$AS,Detail!$G:$G,'Rates-Service Fees'!JO$23,Detail!$H:$H,'Rates-Service Fees'!JO$14)*100</f>
        <v>0</v>
      </c>
      <c r="JP34">
        <f>SUMIFS(Detail!$AS:$AS,Detail!$G:$G,'Rates-Service Fees'!JP$23,Detail!$H:$H,'Rates-Service Fees'!JP$14)*100</f>
        <v>0</v>
      </c>
      <c r="JQ34">
        <f>SUMIFS(Detail!$AS:$AS,Detail!$G:$G,'Rates-Service Fees'!JQ$23,Detail!$H:$H,'Rates-Service Fees'!JQ$14)*100</f>
        <v>0</v>
      </c>
      <c r="JR34">
        <f>SUMIFS(Detail!$AS:$AS,Detail!$G:$G,'Rates-Service Fees'!JR$23,Detail!$H:$H,'Rates-Service Fees'!JR$14)*100</f>
        <v>0</v>
      </c>
      <c r="JS34">
        <f>SUMIFS(Detail!$AS:$AS,Detail!$G:$G,'Rates-Service Fees'!JS$23,Detail!$H:$H,'Rates-Service Fees'!JS$14)*100</f>
        <v>0</v>
      </c>
      <c r="JT34">
        <f>SUMIFS(Detail!$AS:$AS,Detail!$G:$G,'Rates-Service Fees'!JT$23,Detail!$H:$H,'Rates-Service Fees'!JT$14)*100</f>
        <v>0</v>
      </c>
      <c r="JU34">
        <f>SUMIFS(Detail!$AS:$AS,Detail!$G:$G,'Rates-Service Fees'!JU$23,Detail!$H:$H,'Rates-Service Fees'!JU$14)*100</f>
        <v>0</v>
      </c>
      <c r="JV34">
        <f>SUMIFS(Detail!$AS:$AS,Detail!$G:$G,'Rates-Service Fees'!JV$23,Detail!$H:$H,'Rates-Service Fees'!JV$14)*100</f>
        <v>0</v>
      </c>
      <c r="JW34">
        <f>SUMIFS(Detail!$AS:$AS,Detail!$G:$G,'Rates-Service Fees'!JW$23,Detail!$H:$H,'Rates-Service Fees'!JW$14)*100</f>
        <v>0</v>
      </c>
      <c r="JX34">
        <f>SUMIFS(Detail!$AS:$AS,Detail!$G:$G,'Rates-Service Fees'!JX$23,Detail!$H:$H,'Rates-Service Fees'!JX$14)*100</f>
        <v>0</v>
      </c>
      <c r="JY34">
        <f>SUMIFS(Detail!$AS:$AS,Detail!$G:$G,'Rates-Service Fees'!JY$23,Detail!$H:$H,'Rates-Service Fees'!JY$14)*100</f>
        <v>0</v>
      </c>
      <c r="JZ34">
        <f>SUMIFS(Detail!$AS:$AS,Detail!$G:$G,'Rates-Service Fees'!JZ$23,Detail!$H:$H,'Rates-Service Fees'!JZ$14)*100</f>
        <v>0</v>
      </c>
      <c r="KA34">
        <f>SUMIFS(Detail!$AS:$AS,Detail!$G:$G,'Rates-Service Fees'!KA$23,Detail!$H:$H,'Rates-Service Fees'!KA$14)*100</f>
        <v>0</v>
      </c>
      <c r="KB34">
        <f>SUMIFS(Detail!$AS:$AS,Detail!$G:$G,'Rates-Service Fees'!KB$23,Detail!$H:$H,'Rates-Service Fees'!KB$14)*100</f>
        <v>0</v>
      </c>
      <c r="KC34">
        <f>SUMIFS(Detail!$AS:$AS,Detail!$G:$G,'Rates-Service Fees'!KC$23,Detail!$H:$H,'Rates-Service Fees'!KC$14)*100</f>
        <v>0</v>
      </c>
      <c r="KD34">
        <f>SUMIFS(Detail!$AS:$AS,Detail!$G:$G,'Rates-Service Fees'!KD$23,Detail!$H:$H,'Rates-Service Fees'!KD$14)*100</f>
        <v>0</v>
      </c>
      <c r="KE34">
        <f>SUMIFS(Detail!$AS:$AS,Detail!$G:$G,'Rates-Service Fees'!KE$23,Detail!$H:$H,'Rates-Service Fees'!KE$14)*100</f>
        <v>0</v>
      </c>
      <c r="KF34">
        <f>SUMIFS(Detail!$AS:$AS,Detail!$G:$G,'Rates-Service Fees'!KF$23,Detail!$H:$H,'Rates-Service Fees'!KF$14)*100</f>
        <v>0</v>
      </c>
      <c r="KG34">
        <f>SUMIFS(Detail!$AS:$AS,Detail!$G:$G,'Rates-Service Fees'!KG$23,Detail!$H:$H,'Rates-Service Fees'!KG$14)*100</f>
        <v>0</v>
      </c>
      <c r="KH34">
        <f>SUMIFS(Detail!$AS:$AS,Detail!$G:$G,'Rates-Service Fees'!KH$23,Detail!$H:$H,'Rates-Service Fees'!KH$14)*100</f>
        <v>0</v>
      </c>
      <c r="KI34">
        <f>SUMIFS(Detail!$AS:$AS,Detail!$G:$G,'Rates-Service Fees'!KI$23,Detail!$H:$H,'Rates-Service Fees'!KI$14)*100</f>
        <v>0</v>
      </c>
      <c r="KJ34">
        <f>SUMIFS(Detail!$AS:$AS,Detail!$G:$G,'Rates-Service Fees'!KJ$23,Detail!$H:$H,'Rates-Service Fees'!KJ$14)*100</f>
        <v>0</v>
      </c>
      <c r="KK34">
        <f>SUMIFS(Detail!$AS:$AS,Detail!$G:$G,'Rates-Service Fees'!KK$23,Detail!$H:$H,'Rates-Service Fees'!KK$14)*100</f>
        <v>0</v>
      </c>
      <c r="KL34">
        <f>SUMIFS(Detail!$AS:$AS,Detail!$G:$G,'Rates-Service Fees'!KL$23,Detail!$H:$H,'Rates-Service Fees'!KL$14)*100</f>
        <v>0</v>
      </c>
      <c r="KM34">
        <f>SUMIFS(Detail!$AS:$AS,Detail!$G:$G,'Rates-Service Fees'!KM$23,Detail!$H:$H,'Rates-Service Fees'!KM$14)*100</f>
        <v>0</v>
      </c>
      <c r="KN34">
        <f>SUMIFS(Detail!$AS:$AS,Detail!$G:$G,'Rates-Service Fees'!KN$23,Detail!$H:$H,'Rates-Service Fees'!KN$14)*100</f>
        <v>0</v>
      </c>
      <c r="KO34">
        <f>SUMIFS(Detail!$AS:$AS,Detail!$G:$G,'Rates-Service Fees'!KO$23,Detail!$H:$H,'Rates-Service Fees'!KO$14)*100</f>
        <v>0</v>
      </c>
      <c r="KP34">
        <f>SUMIFS(Detail!$AS:$AS,Detail!$G:$G,'Rates-Service Fees'!KP$23,Detail!$H:$H,'Rates-Service Fees'!KP$14)*100</f>
        <v>0</v>
      </c>
      <c r="KQ34">
        <f>SUMIFS(Detail!$AS:$AS,Detail!$G:$G,'Rates-Service Fees'!KQ$23,Detail!$H:$H,'Rates-Service Fees'!KQ$14)*100</f>
        <v>0</v>
      </c>
      <c r="KR34">
        <f>SUMIFS(Detail!$AS:$AS,Detail!$G:$G,'Rates-Service Fees'!KR$23,Detail!$H:$H,'Rates-Service Fees'!KR$14)*100</f>
        <v>0</v>
      </c>
      <c r="KS34">
        <f>SUMIFS(Detail!$AS:$AS,Detail!$G:$G,'Rates-Service Fees'!KS$23,Detail!$H:$H,'Rates-Service Fees'!KS$14)*100</f>
        <v>0</v>
      </c>
      <c r="KT34">
        <f>SUMIFS(Detail!$AS:$AS,Detail!$G:$G,'Rates-Service Fees'!KT$23,Detail!$H:$H,'Rates-Service Fees'!KT$14)*100</f>
        <v>0</v>
      </c>
      <c r="KU34">
        <f>SUMIFS(Detail!$AS:$AS,Detail!$G:$G,'Rates-Service Fees'!KU$23,Detail!$H:$H,'Rates-Service Fees'!KU$14)*100</f>
        <v>0</v>
      </c>
      <c r="KV34">
        <f>SUMIFS(Detail!$AS:$AS,Detail!$G:$G,'Rates-Service Fees'!KV$23,Detail!$H:$H,'Rates-Service Fees'!KV$14)*100</f>
        <v>0</v>
      </c>
      <c r="KW34">
        <f>SUMIFS(Detail!$AS:$AS,Detail!$G:$G,'Rates-Service Fees'!KW$23,Detail!$H:$H,'Rates-Service Fees'!KW$14)*100</f>
        <v>0</v>
      </c>
      <c r="KX34">
        <f>SUMIFS(Detail!$AS:$AS,Detail!$G:$G,'Rates-Service Fees'!KX$23,Detail!$H:$H,'Rates-Service Fees'!KX$14)*100</f>
        <v>0</v>
      </c>
      <c r="KY34">
        <f>SUMIFS(Detail!$AS:$AS,Detail!$G:$G,'Rates-Service Fees'!KY$23,Detail!$H:$H,'Rates-Service Fees'!KY$14)*100</f>
        <v>0</v>
      </c>
      <c r="KZ34">
        <f>SUMIFS(Detail!$AS:$AS,Detail!$G:$G,'Rates-Service Fees'!KZ$23,Detail!$H:$H,'Rates-Service Fees'!KZ$14)*100</f>
        <v>0</v>
      </c>
      <c r="LA34">
        <f>SUMIFS(Detail!$AS:$AS,Detail!$G:$G,'Rates-Service Fees'!LA$23,Detail!$H:$H,'Rates-Service Fees'!LA$14)*100</f>
        <v>0</v>
      </c>
      <c r="LB34">
        <f>SUMIFS(Detail!$AS:$AS,Detail!$G:$G,'Rates-Service Fees'!LB$23,Detail!$H:$H,'Rates-Service Fees'!LB$14)*100</f>
        <v>0</v>
      </c>
      <c r="LC34">
        <f>SUMIFS(Detail!$AS:$AS,Detail!$G:$G,'Rates-Service Fees'!LC$23,Detail!$H:$H,'Rates-Service Fees'!LC$14)*100</f>
        <v>0</v>
      </c>
      <c r="LD34">
        <f>SUMIFS(Detail!$AS:$AS,Detail!$G:$G,'Rates-Service Fees'!LD$23,Detail!$H:$H,'Rates-Service Fees'!LD$14)*100</f>
        <v>0</v>
      </c>
      <c r="LE34">
        <f>SUMIFS(Detail!$AS:$AS,Detail!$G:$G,'Rates-Service Fees'!LE$23,Detail!$H:$H,'Rates-Service Fees'!LE$14)*100</f>
        <v>0</v>
      </c>
      <c r="LF34">
        <f>SUMIFS(Detail!$AS:$AS,Detail!$G:$G,'Rates-Service Fees'!LF$23,Detail!$H:$H,'Rates-Service Fees'!LF$14)*100</f>
        <v>0</v>
      </c>
      <c r="LG34">
        <f>SUMIFS(Detail!$AS:$AS,Detail!$G:$G,'Rates-Service Fees'!LG$23,Detail!$H:$H,'Rates-Service Fees'!LG$14)*100</f>
        <v>0</v>
      </c>
      <c r="LH34">
        <f>SUMIFS(Detail!$AS:$AS,Detail!$G:$G,'Rates-Service Fees'!LH$23,Detail!$H:$H,'Rates-Service Fees'!LH$14)*100</f>
        <v>0</v>
      </c>
      <c r="LI34">
        <f>SUMIFS(Detail!$AS:$AS,Detail!$G:$G,'Rates-Service Fees'!LI$23,Detail!$H:$H,'Rates-Service Fees'!LI$14)*100</f>
        <v>0</v>
      </c>
      <c r="LJ34">
        <f>SUMIFS(Detail!$AS:$AS,Detail!$G:$G,'Rates-Service Fees'!LJ$23,Detail!$H:$H,'Rates-Service Fees'!LJ$14)*100</f>
        <v>0</v>
      </c>
      <c r="LK34">
        <f>SUMIFS(Detail!$AS:$AS,Detail!$G:$G,'Rates-Service Fees'!LK$23,Detail!$H:$H,'Rates-Service Fees'!LK$14)*100</f>
        <v>0</v>
      </c>
      <c r="LL34">
        <f>SUMIFS(Detail!$AS:$AS,Detail!$G:$G,'Rates-Service Fees'!LL$23,Detail!$H:$H,'Rates-Service Fees'!LL$14)*100</f>
        <v>0</v>
      </c>
      <c r="LM34">
        <f>SUMIFS(Detail!$AS:$AS,Detail!$G:$G,'Rates-Service Fees'!LM$23,Detail!$H:$H,'Rates-Service Fees'!LM$14)*100</f>
        <v>0</v>
      </c>
      <c r="LN34">
        <f>SUMIFS(Detail!$AS:$AS,Detail!$G:$G,'Rates-Service Fees'!LN$23,Detail!$H:$H,'Rates-Service Fees'!LN$14)*100</f>
        <v>0</v>
      </c>
      <c r="LO34">
        <f>SUMIFS(Detail!$AS:$AS,Detail!$G:$G,'Rates-Service Fees'!LO$23,Detail!$H:$H,'Rates-Service Fees'!LO$14)*100</f>
        <v>0</v>
      </c>
      <c r="LP34">
        <f>SUMIFS(Detail!$AS:$AS,Detail!$G:$G,'Rates-Service Fees'!LP$23,Detail!$H:$H,'Rates-Service Fees'!LP$14)*100</f>
        <v>0</v>
      </c>
      <c r="LQ34">
        <f>SUMIFS(Detail!$AS:$AS,Detail!$G:$G,'Rates-Service Fees'!LQ$23,Detail!$H:$H,'Rates-Service Fees'!LQ$14)*100</f>
        <v>0</v>
      </c>
      <c r="LR34">
        <f>SUMIFS(Detail!$AS:$AS,Detail!$G:$G,'Rates-Service Fees'!LR$23,Detail!$H:$H,'Rates-Service Fees'!LR$14)*100</f>
        <v>0</v>
      </c>
      <c r="LS34">
        <f>SUMIFS(Detail!$AS:$AS,Detail!$G:$G,'Rates-Service Fees'!LS$23,Detail!$H:$H,'Rates-Service Fees'!LS$14)*100</f>
        <v>0</v>
      </c>
      <c r="LT34">
        <f>SUMIFS(Detail!$AS:$AS,Detail!$G:$G,'Rates-Service Fees'!LT$23,Detail!$H:$H,'Rates-Service Fees'!LT$14)*100</f>
        <v>0</v>
      </c>
      <c r="LU34">
        <f>SUMIFS(Detail!$AS:$AS,Detail!$G:$G,'Rates-Service Fees'!LU$23,Detail!$H:$H,'Rates-Service Fees'!LU$14)*100</f>
        <v>0</v>
      </c>
      <c r="LV34">
        <f>SUMIFS(Detail!$AS:$AS,Detail!$G:$G,'Rates-Service Fees'!LV$23,Detail!$H:$H,'Rates-Service Fees'!LV$14)*100</f>
        <v>0</v>
      </c>
      <c r="LW34">
        <f>SUMIFS(Detail!$AS:$AS,Detail!$G:$G,'Rates-Service Fees'!LW$23,Detail!$H:$H,'Rates-Service Fees'!LW$14)*100</f>
        <v>0</v>
      </c>
      <c r="LX34">
        <f>SUMIFS(Detail!$AS:$AS,Detail!$G:$G,'Rates-Service Fees'!LX$23,Detail!$H:$H,'Rates-Service Fees'!LX$14)*100</f>
        <v>0</v>
      </c>
      <c r="LY34">
        <f>SUMIFS(Detail!$AS:$AS,Detail!$G:$G,'Rates-Service Fees'!LY$23,Detail!$H:$H,'Rates-Service Fees'!LY$14)*100</f>
        <v>0</v>
      </c>
      <c r="LZ34">
        <f>SUMIFS(Detail!$AS:$AS,Detail!$G:$G,'Rates-Service Fees'!LZ$23,Detail!$H:$H,'Rates-Service Fees'!LZ$14)*100</f>
        <v>0</v>
      </c>
      <c r="MA34">
        <f>SUMIFS(Detail!$AS:$AS,Detail!$G:$G,'Rates-Service Fees'!MA$23,Detail!$H:$H,'Rates-Service Fees'!MA$14)*100</f>
        <v>0</v>
      </c>
      <c r="MB34">
        <f>SUMIFS(Detail!$AS:$AS,Detail!$G:$G,'Rates-Service Fees'!MB$23,Detail!$H:$H,'Rates-Service Fees'!MB$14)*100</f>
        <v>0</v>
      </c>
      <c r="MC34">
        <f>SUMIFS(Detail!$AS:$AS,Detail!$G:$G,'Rates-Service Fees'!MC$23,Detail!$H:$H,'Rates-Service Fees'!MC$14)*100</f>
        <v>0</v>
      </c>
      <c r="MD34">
        <f>SUMIFS(Detail!$AS:$AS,Detail!$G:$G,'Rates-Service Fees'!MD$23,Detail!$H:$H,'Rates-Service Fees'!MD$14)*100</f>
        <v>0</v>
      </c>
      <c r="ME34">
        <f>SUMIFS(Detail!$AS:$AS,Detail!$G:$G,'Rates-Service Fees'!ME$23,Detail!$H:$H,'Rates-Service Fees'!ME$14)*100</f>
        <v>0</v>
      </c>
      <c r="MF34">
        <f>SUMIFS(Detail!$AS:$AS,Detail!$G:$G,'Rates-Service Fees'!MF$23,Detail!$H:$H,'Rates-Service Fees'!MF$14)*100</f>
        <v>0</v>
      </c>
      <c r="MG34">
        <f>SUMIFS(Detail!$AS:$AS,Detail!$G:$G,'Rates-Service Fees'!MG$23,Detail!$H:$H,'Rates-Service Fees'!MG$14)*100</f>
        <v>0</v>
      </c>
      <c r="MH34">
        <f>SUMIFS(Detail!$AS:$AS,Detail!$G:$G,'Rates-Service Fees'!MH$23,Detail!$H:$H,'Rates-Service Fees'!MH$14)*100</f>
        <v>0</v>
      </c>
      <c r="MI34">
        <f>SUMIFS(Detail!$AS:$AS,Detail!$G:$G,'Rates-Service Fees'!MI$23,Detail!$H:$H,'Rates-Service Fees'!MI$14)*100</f>
        <v>0</v>
      </c>
      <c r="MJ34">
        <f>SUMIFS(Detail!$AS:$AS,Detail!$G:$G,'Rates-Service Fees'!MJ$23,Detail!$H:$H,'Rates-Service Fees'!MJ$14)*100</f>
        <v>0</v>
      </c>
      <c r="MK34">
        <f>SUMIFS(Detail!$AS:$AS,Detail!$G:$G,'Rates-Service Fees'!MK$23,Detail!$H:$H,'Rates-Service Fees'!MK$14)*100</f>
        <v>0</v>
      </c>
      <c r="ML34">
        <f>SUMIFS(Detail!$AS:$AS,Detail!$G:$G,'Rates-Service Fees'!ML$23,Detail!$H:$H,'Rates-Service Fees'!ML$14)*100</f>
        <v>0</v>
      </c>
      <c r="MM34">
        <f>SUMIFS(Detail!$AS:$AS,Detail!$G:$G,'Rates-Service Fees'!MM$23,Detail!$H:$H,'Rates-Service Fees'!MM$14)*100</f>
        <v>0</v>
      </c>
      <c r="MN34">
        <f>SUMIFS(Detail!$AS:$AS,Detail!$G:$G,'Rates-Service Fees'!MN$23,Detail!$H:$H,'Rates-Service Fees'!MN$14)*100</f>
        <v>0</v>
      </c>
      <c r="MO34">
        <f>SUMIFS(Detail!$AS:$AS,Detail!$G:$G,'Rates-Service Fees'!MO$23,Detail!$H:$H,'Rates-Service Fees'!MO$14)*100</f>
        <v>0</v>
      </c>
      <c r="MP34">
        <f>SUMIFS(Detail!$AS:$AS,Detail!$G:$G,'Rates-Service Fees'!MP$23,Detail!$H:$H,'Rates-Service Fees'!MP$14)*100</f>
        <v>0</v>
      </c>
      <c r="MQ34">
        <f>SUMIFS(Detail!$AS:$AS,Detail!$G:$G,'Rates-Service Fees'!MQ$23,Detail!$H:$H,'Rates-Service Fees'!MQ$14)*100</f>
        <v>0</v>
      </c>
      <c r="MR34">
        <f>SUMIFS(Detail!$AS:$AS,Detail!$G:$G,'Rates-Service Fees'!MR$23,Detail!$H:$H,'Rates-Service Fees'!MR$14)*100</f>
        <v>0</v>
      </c>
      <c r="MS34">
        <f>SUMIFS(Detail!$AS:$AS,Detail!$G:$G,'Rates-Service Fees'!MS$23,Detail!$H:$H,'Rates-Service Fees'!MS$14)*100</f>
        <v>0</v>
      </c>
      <c r="MT34">
        <f>SUMIFS(Detail!$AS:$AS,Detail!$G:$G,'Rates-Service Fees'!MT$23,Detail!$H:$H,'Rates-Service Fees'!MT$14)*100</f>
        <v>0</v>
      </c>
      <c r="MU34">
        <f>SUMIFS(Detail!$AS:$AS,Detail!$G:$G,'Rates-Service Fees'!MU$23,Detail!$H:$H,'Rates-Service Fees'!MU$14)*100</f>
        <v>0</v>
      </c>
      <c r="MV34">
        <f>SUMIFS(Detail!$AS:$AS,Detail!$G:$G,'Rates-Service Fees'!MV$23,Detail!$H:$H,'Rates-Service Fees'!MV$14)*100</f>
        <v>0</v>
      </c>
      <c r="MW34">
        <f>SUMIFS(Detail!$AS:$AS,Detail!$G:$G,'Rates-Service Fees'!MW$23,Detail!$H:$H,'Rates-Service Fees'!MW$14)*100</f>
        <v>0</v>
      </c>
      <c r="MX34">
        <f>SUMIFS(Detail!$AS:$AS,Detail!$G:$G,'Rates-Service Fees'!MX$23,Detail!$H:$H,'Rates-Service Fees'!MX$14)*100</f>
        <v>0</v>
      </c>
      <c r="MY34">
        <f>SUMIFS(Detail!$AS:$AS,Detail!$G:$G,'Rates-Service Fees'!MY$23,Detail!$H:$H,'Rates-Service Fees'!MY$14)*100</f>
        <v>0</v>
      </c>
      <c r="MZ34">
        <f>SUMIFS(Detail!$AS:$AS,Detail!$G:$G,'Rates-Service Fees'!MZ$23,Detail!$H:$H,'Rates-Service Fees'!MZ$14)*100</f>
        <v>0</v>
      </c>
      <c r="NA34">
        <f>SUMIFS(Detail!$AS:$AS,Detail!$G:$G,'Rates-Service Fees'!NA$23,Detail!$H:$H,'Rates-Service Fees'!NA$14)*100</f>
        <v>0</v>
      </c>
      <c r="NB34">
        <f>SUMIFS(Detail!$AS:$AS,Detail!$G:$G,'Rates-Service Fees'!NB$23,Detail!$H:$H,'Rates-Service Fees'!NB$14)*100</f>
        <v>0</v>
      </c>
      <c r="NC34">
        <f>SUMIFS(Detail!$AS:$AS,Detail!$G:$G,'Rates-Service Fees'!NC$23,Detail!$H:$H,'Rates-Service Fees'!NC$14)*100</f>
        <v>0</v>
      </c>
      <c r="ND34">
        <f>SUMIFS(Detail!$AS:$AS,Detail!$G:$G,'Rates-Service Fees'!ND$23,Detail!$H:$H,'Rates-Service Fees'!ND$14)*100</f>
        <v>0</v>
      </c>
      <c r="NE34">
        <f>SUMIFS(Detail!$AS:$AS,Detail!$G:$G,'Rates-Service Fees'!NE$23,Detail!$H:$H,'Rates-Service Fees'!NE$14)*100</f>
        <v>0</v>
      </c>
      <c r="NF34">
        <f>SUMIFS(Detail!$AS:$AS,Detail!$G:$G,'Rates-Service Fees'!NF$23,Detail!$H:$H,'Rates-Service Fees'!NF$14)*100</f>
        <v>0</v>
      </c>
      <c r="NG34">
        <f>SUMIFS(Detail!$AS:$AS,Detail!$G:$G,'Rates-Service Fees'!NG$23,Detail!$H:$H,'Rates-Service Fees'!NG$14)*100</f>
        <v>0</v>
      </c>
      <c r="NH34">
        <f>SUMIFS(Detail!$AS:$AS,Detail!$G:$G,'Rates-Service Fees'!NH$23,Detail!$H:$H,'Rates-Service Fees'!NH$14)*100</f>
        <v>0</v>
      </c>
      <c r="NI34">
        <f>SUMIFS(Detail!$AS:$AS,Detail!$G:$G,'Rates-Service Fees'!NI$23,Detail!$H:$H,'Rates-Service Fees'!NI$14)*100</f>
        <v>0</v>
      </c>
      <c r="NJ34">
        <f>SUMIFS(Detail!$AS:$AS,Detail!$G:$G,'Rates-Service Fees'!NJ$23,Detail!$H:$H,'Rates-Service Fees'!NJ$14)*100</f>
        <v>0</v>
      </c>
      <c r="NK34">
        <f>SUMIFS(Detail!$AS:$AS,Detail!$G:$G,'Rates-Service Fees'!NK$23,Detail!$H:$H,'Rates-Service Fees'!NK$14)*100</f>
        <v>0</v>
      </c>
      <c r="NL34">
        <f>SUMIFS(Detail!$AS:$AS,Detail!$G:$G,'Rates-Service Fees'!NL$23,Detail!$H:$H,'Rates-Service Fees'!NL$14)*100</f>
        <v>0</v>
      </c>
      <c r="NM34">
        <f>SUMIFS(Detail!$AS:$AS,Detail!$G:$G,'Rates-Service Fees'!NM$23,Detail!$H:$H,'Rates-Service Fees'!NM$14)*100</f>
        <v>0</v>
      </c>
      <c r="NN34">
        <f>SUMIFS(Detail!$AS:$AS,Detail!$G:$G,'Rates-Service Fees'!NN$23,Detail!$H:$H,'Rates-Service Fees'!NN$14)*100</f>
        <v>0</v>
      </c>
      <c r="NO34">
        <f>SUMIFS(Detail!$AS:$AS,Detail!$G:$G,'Rates-Service Fees'!NO$23,Detail!$H:$H,'Rates-Service Fees'!NO$14)*100</f>
        <v>0</v>
      </c>
      <c r="NP34">
        <f>SUMIFS(Detail!$AS:$AS,Detail!$G:$G,'Rates-Service Fees'!NP$23,Detail!$H:$H,'Rates-Service Fees'!NP$14)*100</f>
        <v>0</v>
      </c>
      <c r="NQ34">
        <f>SUMIFS(Detail!$AS:$AS,Detail!$G:$G,'Rates-Service Fees'!NQ$23,Detail!$H:$H,'Rates-Service Fees'!NQ$14)*100</f>
        <v>0</v>
      </c>
      <c r="NR34">
        <f>SUMIFS(Detail!$AS:$AS,Detail!$G:$G,'Rates-Service Fees'!NR$23,Detail!$H:$H,'Rates-Service Fees'!NR$14)*100</f>
        <v>0</v>
      </c>
      <c r="NS34">
        <f>SUMIFS(Detail!$AS:$AS,Detail!$G:$G,'Rates-Service Fees'!NS$23,Detail!$H:$H,'Rates-Service Fees'!NS$14)*100</f>
        <v>0</v>
      </c>
      <c r="NT34">
        <f>SUMIFS(Detail!$AS:$AS,Detail!$G:$G,'Rates-Service Fees'!NT$23,Detail!$H:$H,'Rates-Service Fees'!NT$14)*100</f>
        <v>0</v>
      </c>
      <c r="NU34">
        <f>SUMIFS(Detail!$AS:$AS,Detail!$G:$G,'Rates-Service Fees'!NU$23,Detail!$H:$H,'Rates-Service Fees'!NU$14)*100</f>
        <v>0</v>
      </c>
      <c r="NV34">
        <f>SUMIFS(Detail!$AS:$AS,Detail!$G:$G,'Rates-Service Fees'!NV$23,Detail!$H:$H,'Rates-Service Fees'!NV$14)*100</f>
        <v>0</v>
      </c>
      <c r="NW34">
        <f>SUMIFS(Detail!$AS:$AS,Detail!$G:$G,'Rates-Service Fees'!NW$23,Detail!$H:$H,'Rates-Service Fees'!NW$14)*100</f>
        <v>0</v>
      </c>
      <c r="NX34">
        <f>SUMIFS(Detail!$AS:$AS,Detail!$G:$G,'Rates-Service Fees'!NX$23,Detail!$H:$H,'Rates-Service Fees'!NX$14)*100</f>
        <v>0</v>
      </c>
      <c r="NY34">
        <f>SUMIFS(Detail!$AS:$AS,Detail!$G:$G,'Rates-Service Fees'!NY$23,Detail!$H:$H,'Rates-Service Fees'!NY$14)*100</f>
        <v>0</v>
      </c>
      <c r="NZ34">
        <f>SUMIFS(Detail!$AS:$AS,Detail!$G:$G,'Rates-Service Fees'!NZ$23,Detail!$H:$H,'Rates-Service Fees'!NZ$14)*100</f>
        <v>0</v>
      </c>
      <c r="OA34">
        <f>SUMIFS(Detail!$AS:$AS,Detail!$G:$G,'Rates-Service Fees'!OA$23,Detail!$H:$H,'Rates-Service Fees'!OA$14)*100</f>
        <v>0</v>
      </c>
      <c r="OB34">
        <f>SUMIFS(Detail!$AS:$AS,Detail!$G:$G,'Rates-Service Fees'!OB$23,Detail!$H:$H,'Rates-Service Fees'!OB$14)*100</f>
        <v>0</v>
      </c>
      <c r="OC34">
        <f>SUMIFS(Detail!$AS:$AS,Detail!$G:$G,'Rates-Service Fees'!OC$23,Detail!$H:$H,'Rates-Service Fees'!OC$14)*100</f>
        <v>0</v>
      </c>
      <c r="OD34">
        <f>SUMIFS(Detail!$AS:$AS,Detail!$G:$G,'Rates-Service Fees'!OD$23,Detail!$H:$H,'Rates-Service Fees'!OD$14)*100</f>
        <v>0</v>
      </c>
      <c r="OE34">
        <f>SUMIFS(Detail!$AS:$AS,Detail!$G:$G,'Rates-Service Fees'!OE$23,Detail!$H:$H,'Rates-Service Fees'!OE$14)*100</f>
        <v>0</v>
      </c>
      <c r="OF34">
        <f>SUMIFS(Detail!$AS:$AS,Detail!$G:$G,'Rates-Service Fees'!OF$23,Detail!$H:$H,'Rates-Service Fees'!OF$14)*100</f>
        <v>0</v>
      </c>
      <c r="OG34">
        <f>SUMIFS(Detail!$AS:$AS,Detail!$G:$G,'Rates-Service Fees'!OG$23,Detail!$H:$H,'Rates-Service Fees'!OG$14)*100</f>
        <v>0</v>
      </c>
      <c r="OH34">
        <f>SUMIFS(Detail!$AS:$AS,Detail!$G:$G,'Rates-Service Fees'!OH$23,Detail!$H:$H,'Rates-Service Fees'!OH$14)*100</f>
        <v>0</v>
      </c>
      <c r="OI34">
        <f>SUMIFS(Detail!$AS:$AS,Detail!$G:$G,'Rates-Service Fees'!OI$23,Detail!$H:$H,'Rates-Service Fees'!OI$14)*100</f>
        <v>0</v>
      </c>
      <c r="OJ34">
        <f>SUMIFS(Detail!$AS:$AS,Detail!$G:$G,'Rates-Service Fees'!OJ$23,Detail!$H:$H,'Rates-Service Fees'!OJ$14)*100</f>
        <v>0</v>
      </c>
      <c r="OK34">
        <f>SUMIFS(Detail!$AS:$AS,Detail!$G:$G,'Rates-Service Fees'!OK$23,Detail!$H:$H,'Rates-Service Fees'!OK$14)*100</f>
        <v>0</v>
      </c>
      <c r="OL34">
        <f>SUMIFS(Detail!$AS:$AS,Detail!$G:$G,'Rates-Service Fees'!OL$23,Detail!$H:$H,'Rates-Service Fees'!OL$14)*100</f>
        <v>0</v>
      </c>
      <c r="OM34">
        <f>SUMIFS(Detail!$AS:$AS,Detail!$G:$G,'Rates-Service Fees'!OM$23,Detail!$H:$H,'Rates-Service Fees'!OM$14)*100</f>
        <v>0</v>
      </c>
      <c r="ON34">
        <f>SUMIFS(Detail!$AS:$AS,Detail!$G:$G,'Rates-Service Fees'!ON$23,Detail!$H:$H,'Rates-Service Fees'!ON$14)*100</f>
        <v>0</v>
      </c>
      <c r="OO34">
        <f>SUMIFS(Detail!$AS:$AS,Detail!$G:$G,'Rates-Service Fees'!OO$23,Detail!$H:$H,'Rates-Service Fees'!OO$14)*100</f>
        <v>0</v>
      </c>
      <c r="OP34">
        <f>SUMIFS(Detail!$AS:$AS,Detail!$G:$G,'Rates-Service Fees'!OP$23,Detail!$H:$H,'Rates-Service Fees'!OP$14)*100</f>
        <v>0</v>
      </c>
      <c r="OQ34">
        <f>SUMIFS(Detail!$AS:$AS,Detail!$G:$G,'Rates-Service Fees'!OQ$23,Detail!$H:$H,'Rates-Service Fees'!OQ$14)*100</f>
        <v>0</v>
      </c>
      <c r="OR34">
        <f>SUMIFS(Detail!$AS:$AS,Detail!$G:$G,'Rates-Service Fees'!OR$23,Detail!$H:$H,'Rates-Service Fees'!OR$14)*100</f>
        <v>0</v>
      </c>
      <c r="OS34">
        <f>SUMIFS(Detail!$AS:$AS,Detail!$G:$G,'Rates-Service Fees'!OS$23,Detail!$H:$H,'Rates-Service Fees'!OS$14)*100</f>
        <v>0</v>
      </c>
      <c r="OT34">
        <f>SUMIFS(Detail!$AS:$AS,Detail!$G:$G,'Rates-Service Fees'!OT$23,Detail!$H:$H,'Rates-Service Fees'!OT$14)*100</f>
        <v>0</v>
      </c>
      <c r="OU34">
        <f>SUMIFS(Detail!$AS:$AS,Detail!$G:$G,'Rates-Service Fees'!OU$23,Detail!$H:$H,'Rates-Service Fees'!OU$14)*100</f>
        <v>0</v>
      </c>
      <c r="OV34">
        <f>SUMIFS(Detail!$AS:$AS,Detail!$G:$G,'Rates-Service Fees'!OV$23,Detail!$H:$H,'Rates-Service Fees'!OV$14)*100</f>
        <v>0</v>
      </c>
      <c r="OW34">
        <f>SUMIFS(Detail!$AS:$AS,Detail!$G:$G,'Rates-Service Fees'!OW$23,Detail!$H:$H,'Rates-Service Fees'!OW$14)*100</f>
        <v>0</v>
      </c>
      <c r="OX34">
        <f>SUMIFS(Detail!$AS:$AS,Detail!$G:$G,'Rates-Service Fees'!OX$23,Detail!$H:$H,'Rates-Service Fees'!OX$14)*100</f>
        <v>0</v>
      </c>
      <c r="OY34">
        <f>SUMIFS(Detail!$AS:$AS,Detail!$G:$G,'Rates-Service Fees'!OY$23,Detail!$H:$H,'Rates-Service Fees'!OY$14)*100</f>
        <v>0</v>
      </c>
      <c r="OZ34">
        <f>SUMIFS(Detail!$AS:$AS,Detail!$G:$G,'Rates-Service Fees'!OZ$23,Detail!$H:$H,'Rates-Service Fees'!OZ$14)*100</f>
        <v>0</v>
      </c>
      <c r="PA34">
        <f>SUMIFS(Detail!$AS:$AS,Detail!$G:$G,'Rates-Service Fees'!PA$23,Detail!$H:$H,'Rates-Service Fees'!PA$14)*100</f>
        <v>0</v>
      </c>
      <c r="PB34">
        <f>SUMIFS(Detail!$AS:$AS,Detail!$G:$G,'Rates-Service Fees'!PB$23,Detail!$H:$H,'Rates-Service Fees'!PB$14)*100</f>
        <v>0</v>
      </c>
      <c r="PC34">
        <f>SUMIFS(Detail!$AS:$AS,Detail!$G:$G,'Rates-Service Fees'!PC$23,Detail!$H:$H,'Rates-Service Fees'!PC$14)*100</f>
        <v>0</v>
      </c>
      <c r="PD34">
        <f>SUMIFS(Detail!$AS:$AS,Detail!$G:$G,'Rates-Service Fees'!PD$23,Detail!$H:$H,'Rates-Service Fees'!PD$14)*100</f>
        <v>0</v>
      </c>
      <c r="PE34">
        <f>SUMIFS(Detail!$AS:$AS,Detail!$G:$G,'Rates-Service Fees'!PE$23,Detail!$H:$H,'Rates-Service Fees'!PE$14)*100</f>
        <v>0</v>
      </c>
      <c r="PF34">
        <f>SUMIFS(Detail!$AS:$AS,Detail!$G:$G,'Rates-Service Fees'!PF$23,Detail!$H:$H,'Rates-Service Fees'!PF$14)*100</f>
        <v>0</v>
      </c>
      <c r="PG34">
        <f>SUMIFS(Detail!$AS:$AS,Detail!$G:$G,'Rates-Service Fees'!PG$23,Detail!$H:$H,'Rates-Service Fees'!PG$14)*100</f>
        <v>0</v>
      </c>
      <c r="PH34">
        <f>SUMIFS(Detail!$AS:$AS,Detail!$G:$G,'Rates-Service Fees'!PH$23,Detail!$H:$H,'Rates-Service Fees'!PH$14)*100</f>
        <v>0</v>
      </c>
      <c r="PI34">
        <f>SUMIFS(Detail!$AS:$AS,Detail!$G:$G,'Rates-Service Fees'!PI$23,Detail!$H:$H,'Rates-Service Fees'!PI$14)*100</f>
        <v>0</v>
      </c>
      <c r="PJ34">
        <f>SUMIFS(Detail!$AS:$AS,Detail!$G:$G,'Rates-Service Fees'!PJ$23,Detail!$H:$H,'Rates-Service Fees'!PJ$14)*100</f>
        <v>0</v>
      </c>
      <c r="PK34">
        <f>SUMIFS(Detail!$AS:$AS,Detail!$G:$G,'Rates-Service Fees'!PK$23,Detail!$H:$H,'Rates-Service Fees'!PK$14)*100</f>
        <v>0</v>
      </c>
      <c r="PL34">
        <f>SUMIFS(Detail!$AS:$AS,Detail!$G:$G,'Rates-Service Fees'!PL$23,Detail!$H:$H,'Rates-Service Fees'!PL$14)*100</f>
        <v>0</v>
      </c>
      <c r="PM34">
        <f>SUMIFS(Detail!$AS:$AS,Detail!$G:$G,'Rates-Service Fees'!PM$23,Detail!$H:$H,'Rates-Service Fees'!PM$14)*100</f>
        <v>0</v>
      </c>
      <c r="PN34">
        <f>SUMIFS(Detail!$AS:$AS,Detail!$G:$G,'Rates-Service Fees'!PN$23,Detail!$H:$H,'Rates-Service Fees'!PN$14)*100</f>
        <v>0</v>
      </c>
      <c r="PO34">
        <f>SUMIFS(Detail!$AS:$AS,Detail!$G:$G,'Rates-Service Fees'!PO$23,Detail!$H:$H,'Rates-Service Fees'!PO$14)*100</f>
        <v>0</v>
      </c>
      <c r="PP34">
        <f>SUMIFS(Detail!$AS:$AS,Detail!$G:$G,'Rates-Service Fees'!PP$23,Detail!$H:$H,'Rates-Service Fees'!PP$14)*100</f>
        <v>0</v>
      </c>
      <c r="PQ34">
        <f>SUMIFS(Detail!$AS:$AS,Detail!$G:$G,'Rates-Service Fees'!PQ$23,Detail!$H:$H,'Rates-Service Fees'!PQ$14)*100</f>
        <v>0</v>
      </c>
      <c r="PR34">
        <f>SUMIFS(Detail!$AS:$AS,Detail!$G:$G,'Rates-Service Fees'!PR$23,Detail!$H:$H,'Rates-Service Fees'!PR$14)*100</f>
        <v>0</v>
      </c>
      <c r="PS34">
        <f>SUMIFS(Detail!$AS:$AS,Detail!$G:$G,'Rates-Service Fees'!PS$23,Detail!$H:$H,'Rates-Service Fees'!PS$14)*100</f>
        <v>0</v>
      </c>
      <c r="PT34">
        <f>SUMIFS(Detail!$AS:$AS,Detail!$G:$G,'Rates-Service Fees'!PT$23,Detail!$H:$H,'Rates-Service Fees'!PT$14)*100</f>
        <v>0</v>
      </c>
      <c r="PU34">
        <f>SUMIFS(Detail!$AS:$AS,Detail!$G:$G,'Rates-Service Fees'!PU$23,Detail!$H:$H,'Rates-Service Fees'!PU$14)*100</f>
        <v>0</v>
      </c>
      <c r="PV34">
        <f>SUMIFS(Detail!$AS:$AS,Detail!$G:$G,'Rates-Service Fees'!PV$23,Detail!$H:$H,'Rates-Service Fees'!PV$14)*100</f>
        <v>0</v>
      </c>
      <c r="PW34">
        <f>SUMIFS(Detail!$AS:$AS,Detail!$G:$G,'Rates-Service Fees'!PW$23,Detail!$H:$H,'Rates-Service Fees'!PW$14)*100</f>
        <v>0</v>
      </c>
      <c r="PX34">
        <f>SUMIFS(Detail!$AS:$AS,Detail!$G:$G,'Rates-Service Fees'!PX$23,Detail!$H:$H,'Rates-Service Fees'!PX$14)*100</f>
        <v>0</v>
      </c>
      <c r="PY34">
        <f>SUMIFS(Detail!$AS:$AS,Detail!$G:$G,'Rates-Service Fees'!PY$23,Detail!$H:$H,'Rates-Service Fees'!PY$14)*100</f>
        <v>0</v>
      </c>
      <c r="PZ34">
        <f>SUMIFS(Detail!$AS:$AS,Detail!$G:$G,'Rates-Service Fees'!PZ$23,Detail!$H:$H,'Rates-Service Fees'!PZ$14)*100</f>
        <v>0</v>
      </c>
      <c r="QA34">
        <f>SUMIFS(Detail!$AS:$AS,Detail!$G:$G,'Rates-Service Fees'!QA$23,Detail!$H:$H,'Rates-Service Fees'!QA$14)*100</f>
        <v>0</v>
      </c>
      <c r="QB34">
        <f>SUMIFS(Detail!$AS:$AS,Detail!$G:$G,'Rates-Service Fees'!QB$23,Detail!$H:$H,'Rates-Service Fees'!QB$14)*100</f>
        <v>0</v>
      </c>
      <c r="QC34">
        <f>SUMIFS(Detail!$AS:$AS,Detail!$G:$G,'Rates-Service Fees'!QC$23,Detail!$H:$H,'Rates-Service Fees'!QC$14)*100</f>
        <v>0</v>
      </c>
      <c r="QD34">
        <f>SUMIFS(Detail!$AS:$AS,Detail!$G:$G,'Rates-Service Fees'!QD$23,Detail!$H:$H,'Rates-Service Fees'!QD$14)*100</f>
        <v>0</v>
      </c>
      <c r="QE34">
        <f>SUMIFS(Detail!$AS:$AS,Detail!$G:$G,'Rates-Service Fees'!QE$23,Detail!$H:$H,'Rates-Service Fees'!QE$14)*100</f>
        <v>0</v>
      </c>
      <c r="QF34">
        <f>SUMIFS(Detail!$AS:$AS,Detail!$G:$G,'Rates-Service Fees'!QF$23,Detail!$H:$H,'Rates-Service Fees'!QF$14)*100</f>
        <v>0</v>
      </c>
      <c r="QG34">
        <f>SUMIFS(Detail!$AS:$AS,Detail!$G:$G,'Rates-Service Fees'!QG$23,Detail!$H:$H,'Rates-Service Fees'!QG$14)*100</f>
        <v>0</v>
      </c>
      <c r="QH34">
        <f>SUMIFS(Detail!$AS:$AS,Detail!$G:$G,'Rates-Service Fees'!QH$23,Detail!$H:$H,'Rates-Service Fees'!QH$14)*100</f>
        <v>0</v>
      </c>
      <c r="QI34">
        <f>SUMIFS(Detail!$AS:$AS,Detail!$G:$G,'Rates-Service Fees'!QI$23,Detail!$H:$H,'Rates-Service Fees'!QI$14)*100</f>
        <v>0</v>
      </c>
      <c r="QJ34">
        <f>SUMIFS(Detail!$AS:$AS,Detail!$G:$G,'Rates-Service Fees'!QJ$23,Detail!$H:$H,'Rates-Service Fees'!QJ$14)*100</f>
        <v>0</v>
      </c>
      <c r="QK34">
        <f>SUMIFS(Detail!$AS:$AS,Detail!$G:$G,'Rates-Service Fees'!QK$23,Detail!$H:$H,'Rates-Service Fees'!QK$14)*100</f>
        <v>0</v>
      </c>
      <c r="QL34">
        <f>SUMIFS(Detail!$AS:$AS,Detail!$G:$G,'Rates-Service Fees'!QL$23,Detail!$H:$H,'Rates-Service Fees'!QL$14)*100</f>
        <v>0</v>
      </c>
      <c r="QM34">
        <f>SUMIFS(Detail!$AS:$AS,Detail!$G:$G,'Rates-Service Fees'!QM$23,Detail!$H:$H,'Rates-Service Fees'!QM$14)*100</f>
        <v>0</v>
      </c>
      <c r="QN34">
        <f>SUMIFS(Detail!$AS:$AS,Detail!$G:$G,'Rates-Service Fees'!QN$23,Detail!$H:$H,'Rates-Service Fees'!QN$14)*100</f>
        <v>0</v>
      </c>
      <c r="QO34">
        <f>SUMIFS(Detail!$AS:$AS,Detail!$G:$G,'Rates-Service Fees'!QO$23,Detail!$H:$H,'Rates-Service Fees'!QO$14)*100</f>
        <v>0</v>
      </c>
      <c r="QP34">
        <f>SUMIFS(Detail!$AS:$AS,Detail!$G:$G,'Rates-Service Fees'!QP$23,Detail!$H:$H,'Rates-Service Fees'!QP$14)*100</f>
        <v>0</v>
      </c>
      <c r="QQ34">
        <f>SUMIFS(Detail!$AS:$AS,Detail!$G:$G,'Rates-Service Fees'!QQ$23,Detail!$H:$H,'Rates-Service Fees'!QQ$14)*100</f>
        <v>0</v>
      </c>
      <c r="QR34">
        <f>SUMIFS(Detail!$AS:$AS,Detail!$G:$G,'Rates-Service Fees'!QR$23,Detail!$H:$H,'Rates-Service Fees'!QR$14)*100</f>
        <v>0</v>
      </c>
      <c r="QS34">
        <f>SUMIFS(Detail!$AS:$AS,Detail!$G:$G,'Rates-Service Fees'!QS$23,Detail!$H:$H,'Rates-Service Fees'!QS$14)*100</f>
        <v>0</v>
      </c>
      <c r="QT34">
        <f>SUMIFS(Detail!$AS:$AS,Detail!$G:$G,'Rates-Service Fees'!QT$23,Detail!$H:$H,'Rates-Service Fees'!QT$14)*100</f>
        <v>0</v>
      </c>
      <c r="QU34">
        <f>SUMIFS(Detail!$AS:$AS,Detail!$G:$G,'Rates-Service Fees'!QU$23,Detail!$H:$H,'Rates-Service Fees'!QU$14)*100</f>
        <v>0</v>
      </c>
      <c r="QV34">
        <f>SUMIFS(Detail!$AS:$AS,Detail!$G:$G,'Rates-Service Fees'!QV$23,Detail!$H:$H,'Rates-Service Fees'!QV$14)*100</f>
        <v>0</v>
      </c>
      <c r="QW34">
        <f>SUMIFS(Detail!$AS:$AS,Detail!$G:$G,'Rates-Service Fees'!QW$23,Detail!$H:$H,'Rates-Service Fees'!QW$14)*100</f>
        <v>0</v>
      </c>
      <c r="QX34">
        <f>SUMIFS(Detail!$AS:$AS,Detail!$G:$G,'Rates-Service Fees'!QX$23,Detail!$H:$H,'Rates-Service Fees'!QX$14)*100</f>
        <v>0</v>
      </c>
      <c r="QY34">
        <f>SUMIFS(Detail!$AS:$AS,Detail!$G:$G,'Rates-Service Fees'!QY$23,Detail!$H:$H,'Rates-Service Fees'!QY$14)*100</f>
        <v>0</v>
      </c>
      <c r="QZ34">
        <f>SUMIFS(Detail!$AS:$AS,Detail!$G:$G,'Rates-Service Fees'!QZ$23,Detail!$H:$H,'Rates-Service Fees'!QZ$14)*100</f>
        <v>0</v>
      </c>
      <c r="RA34">
        <f>SUMIFS(Detail!$AS:$AS,Detail!$G:$G,'Rates-Service Fees'!RA$23,Detail!$H:$H,'Rates-Service Fees'!RA$14)*100</f>
        <v>0</v>
      </c>
      <c r="RB34">
        <f>SUMIFS(Detail!$AS:$AS,Detail!$G:$G,'Rates-Service Fees'!RB$23,Detail!$H:$H,'Rates-Service Fees'!RB$14)*100</f>
        <v>0</v>
      </c>
      <c r="RC34">
        <f>SUMIFS(Detail!$AS:$AS,Detail!$G:$G,'Rates-Service Fees'!RC$23,Detail!$H:$H,'Rates-Service Fees'!RC$14)*100</f>
        <v>0</v>
      </c>
      <c r="RD34">
        <f>SUMIFS(Detail!$AS:$AS,Detail!$G:$G,'Rates-Service Fees'!RD$23,Detail!$H:$H,'Rates-Service Fees'!RD$14)*100</f>
        <v>0</v>
      </c>
      <c r="RE34">
        <f>SUMIFS(Detail!$AS:$AS,Detail!$G:$G,'Rates-Service Fees'!RE$23,Detail!$H:$H,'Rates-Service Fees'!RE$14)*100</f>
        <v>0</v>
      </c>
      <c r="RF34">
        <f>SUMIFS(Detail!$AS:$AS,Detail!$G:$G,'Rates-Service Fees'!RF$23,Detail!$H:$H,'Rates-Service Fees'!RF$14)*100</f>
        <v>0</v>
      </c>
      <c r="RG34">
        <f>SUMIFS(Detail!$AS:$AS,Detail!$G:$G,'Rates-Service Fees'!RG$23,Detail!$H:$H,'Rates-Service Fees'!RG$14)*100</f>
        <v>0</v>
      </c>
      <c r="RH34">
        <f>SUMIFS(Detail!$AS:$AS,Detail!$G:$G,'Rates-Service Fees'!RH$23,Detail!$H:$H,'Rates-Service Fees'!RH$14)*100</f>
        <v>0</v>
      </c>
      <c r="RI34">
        <f>SUMIFS(Detail!$AS:$AS,Detail!$G:$G,'Rates-Service Fees'!RI$23,Detail!$H:$H,'Rates-Service Fees'!RI$14)*100</f>
        <v>0</v>
      </c>
      <c r="RJ34">
        <f>SUMIFS(Detail!$AS:$AS,Detail!$G:$G,'Rates-Service Fees'!RJ$23,Detail!$H:$H,'Rates-Service Fees'!RJ$14)*100</f>
        <v>0</v>
      </c>
      <c r="RK34">
        <f>SUMIFS(Detail!$AS:$AS,Detail!$G:$G,'Rates-Service Fees'!RK$23,Detail!$H:$H,'Rates-Service Fees'!RK$14)*100</f>
        <v>0</v>
      </c>
      <c r="RL34">
        <f>SUMIFS(Detail!$AS:$AS,Detail!$G:$G,'Rates-Service Fees'!RL$23,Detail!$H:$H,'Rates-Service Fees'!RL$14)*100</f>
        <v>0</v>
      </c>
      <c r="RM34">
        <f>SUMIFS(Detail!$AS:$AS,Detail!$G:$G,'Rates-Service Fees'!RM$23,Detail!$H:$H,'Rates-Service Fees'!RM$14)*100</f>
        <v>0</v>
      </c>
      <c r="RN34">
        <f>SUMIFS(Detail!$AS:$AS,Detail!$G:$G,'Rates-Service Fees'!RN$23,Detail!$H:$H,'Rates-Service Fees'!RN$14)*100</f>
        <v>0</v>
      </c>
      <c r="RO34">
        <f>SUMIFS(Detail!$AS:$AS,Detail!$G:$G,'Rates-Service Fees'!RO$23,Detail!$H:$H,'Rates-Service Fees'!RO$14)*100</f>
        <v>0</v>
      </c>
      <c r="RP34">
        <f>SUMIFS(Detail!$AS:$AS,Detail!$G:$G,'Rates-Service Fees'!RP$23,Detail!$H:$H,'Rates-Service Fees'!RP$14)*100</f>
        <v>0</v>
      </c>
      <c r="RQ34">
        <f>SUMIFS(Detail!$AS:$AS,Detail!$G:$G,'Rates-Service Fees'!RQ$23,Detail!$H:$H,'Rates-Service Fees'!RQ$14)*100</f>
        <v>0</v>
      </c>
      <c r="RR34">
        <f>SUMIFS(Detail!$AS:$AS,Detail!$G:$G,'Rates-Service Fees'!RR$23,Detail!$H:$H,'Rates-Service Fees'!RR$14)*100</f>
        <v>0</v>
      </c>
      <c r="RS34">
        <f>SUMIFS(Detail!$AS:$AS,Detail!$G:$G,'Rates-Service Fees'!RS$23,Detail!$H:$H,'Rates-Service Fees'!RS$14)*100</f>
        <v>0</v>
      </c>
      <c r="RT34">
        <f>SUMIFS(Detail!$AS:$AS,Detail!$G:$G,'Rates-Service Fees'!RT$23,Detail!$H:$H,'Rates-Service Fees'!RT$14)*100</f>
        <v>0</v>
      </c>
      <c r="RU34">
        <f>SUMIFS(Detail!$AS:$AS,Detail!$G:$G,'Rates-Service Fees'!RU$23,Detail!$H:$H,'Rates-Service Fees'!RU$14)*100</f>
        <v>0</v>
      </c>
      <c r="RV34">
        <f>SUMIFS(Detail!$AS:$AS,Detail!$G:$G,'Rates-Service Fees'!RV$23,Detail!$H:$H,'Rates-Service Fees'!RV$14)*100</f>
        <v>0</v>
      </c>
      <c r="RW34">
        <f>SUMIFS(Detail!$AS:$AS,Detail!$G:$G,'Rates-Service Fees'!RW$23,Detail!$H:$H,'Rates-Service Fees'!RW$14)*100</f>
        <v>0</v>
      </c>
      <c r="RX34">
        <f>SUMIFS(Detail!$AS:$AS,Detail!$G:$G,'Rates-Service Fees'!RX$23,Detail!$H:$H,'Rates-Service Fees'!RX$14)*100</f>
        <v>0</v>
      </c>
      <c r="RY34">
        <f>SUMIFS(Detail!$AS:$AS,Detail!$G:$G,'Rates-Service Fees'!RY$23,Detail!$H:$H,'Rates-Service Fees'!RY$14)*100</f>
        <v>0</v>
      </c>
      <c r="RZ34">
        <f>SUMIFS(Detail!$AS:$AS,Detail!$G:$G,'Rates-Service Fees'!RZ$23,Detail!$H:$H,'Rates-Service Fees'!RZ$14)*100</f>
        <v>0</v>
      </c>
      <c r="SA34">
        <f>SUMIFS(Detail!$AS:$AS,Detail!$G:$G,'Rates-Service Fees'!SA$23,Detail!$H:$H,'Rates-Service Fees'!SA$14)*100</f>
        <v>0</v>
      </c>
      <c r="SB34">
        <f>SUMIFS(Detail!$AS:$AS,Detail!$G:$G,'Rates-Service Fees'!SB$23,Detail!$H:$H,'Rates-Service Fees'!SB$14)*100</f>
        <v>0</v>
      </c>
      <c r="SC34">
        <f>SUMIFS(Detail!$AS:$AS,Detail!$G:$G,'Rates-Service Fees'!SC$23,Detail!$H:$H,'Rates-Service Fees'!SC$14)*100</f>
        <v>0</v>
      </c>
      <c r="SD34">
        <f>SUMIFS(Detail!$AS:$AS,Detail!$G:$G,'Rates-Service Fees'!SD$23,Detail!$H:$H,'Rates-Service Fees'!SD$14)*100</f>
        <v>0</v>
      </c>
      <c r="SE34">
        <f>SUMIFS(Detail!$AS:$AS,Detail!$G:$G,'Rates-Service Fees'!SE$23,Detail!$H:$H,'Rates-Service Fees'!SE$14)*100</f>
        <v>0</v>
      </c>
      <c r="SF34">
        <f>SUMIFS(Detail!$AS:$AS,Detail!$G:$G,'Rates-Service Fees'!SF$23,Detail!$H:$H,'Rates-Service Fees'!SF$14)*100</f>
        <v>0</v>
      </c>
      <c r="SG34">
        <f>SUMIFS(Detail!$AS:$AS,Detail!$G:$G,'Rates-Service Fees'!SG$23,Detail!$H:$H,'Rates-Service Fees'!SG$14)*100</f>
        <v>0</v>
      </c>
      <c r="SH34">
        <f>SUMIFS(Detail!$AS:$AS,Detail!$G:$G,'Rates-Service Fees'!SH$23,Detail!$H:$H,'Rates-Service Fees'!SH$14)*100</f>
        <v>0</v>
      </c>
      <c r="SI34">
        <f>SUMIFS(Detail!$AS:$AS,Detail!$G:$G,'Rates-Service Fees'!SI$23,Detail!$H:$H,'Rates-Service Fees'!SI$14)*100</f>
        <v>0</v>
      </c>
      <c r="SJ34">
        <f>SUMIFS(Detail!$AS:$AS,Detail!$G:$G,'Rates-Service Fees'!SJ$23,Detail!$H:$H,'Rates-Service Fees'!SJ$14)*100</f>
        <v>0</v>
      </c>
      <c r="SK34">
        <f>SUMIFS(Detail!$AS:$AS,Detail!$G:$G,'Rates-Service Fees'!SK$23,Detail!$H:$H,'Rates-Service Fees'!SK$14)*100</f>
        <v>0</v>
      </c>
      <c r="SL34">
        <f>SUMIFS(Detail!$AS:$AS,Detail!$G:$G,'Rates-Service Fees'!SL$23,Detail!$H:$H,'Rates-Service Fees'!SL$14)*100</f>
        <v>0</v>
      </c>
      <c r="SM34">
        <f>SUMIFS(Detail!$AS:$AS,Detail!$G:$G,'Rates-Service Fees'!SM$23,Detail!$H:$H,'Rates-Service Fees'!SM$14)*100</f>
        <v>0</v>
      </c>
      <c r="SN34">
        <f>SUMIFS(Detail!$AS:$AS,Detail!$G:$G,'Rates-Service Fees'!SN$23,Detail!$H:$H,'Rates-Service Fees'!SN$14)*100</f>
        <v>0</v>
      </c>
      <c r="SO34">
        <f>SUMIFS(Detail!$AS:$AS,Detail!$G:$G,'Rates-Service Fees'!SO$23,Detail!$H:$H,'Rates-Service Fees'!SO$14)*100</f>
        <v>0</v>
      </c>
      <c r="SP34">
        <f>SUMIFS(Detail!$AS:$AS,Detail!$G:$G,'Rates-Service Fees'!SP$23,Detail!$H:$H,'Rates-Service Fees'!SP$14)*100</f>
        <v>0</v>
      </c>
      <c r="SQ34">
        <f>SUMIFS(Detail!$AS:$AS,Detail!$G:$G,'Rates-Service Fees'!SQ$23,Detail!$H:$H,'Rates-Service Fees'!SQ$14)*100</f>
        <v>0</v>
      </c>
      <c r="SR34">
        <f>SUMIFS(Detail!$AS:$AS,Detail!$G:$G,'Rates-Service Fees'!SR$23,Detail!$H:$H,'Rates-Service Fees'!SR$14)*100</f>
        <v>0</v>
      </c>
      <c r="SS34">
        <f>SUMIFS(Detail!$AS:$AS,Detail!$G:$G,'Rates-Service Fees'!SS$23,Detail!$H:$H,'Rates-Service Fees'!SS$14)*100</f>
        <v>0</v>
      </c>
      <c r="ST34">
        <f>SUMIFS(Detail!$AS:$AS,Detail!$G:$G,'Rates-Service Fees'!ST$23,Detail!$H:$H,'Rates-Service Fees'!ST$14)*100</f>
        <v>0</v>
      </c>
      <c r="SU34">
        <f>SUMIFS(Detail!$AS:$AS,Detail!$G:$G,'Rates-Service Fees'!SU$23,Detail!$H:$H,'Rates-Service Fees'!SU$14)*100</f>
        <v>0</v>
      </c>
      <c r="SV34">
        <f>SUMIFS(Detail!$AS:$AS,Detail!$G:$G,'Rates-Service Fees'!SV$23,Detail!$H:$H,'Rates-Service Fees'!SV$14)*100</f>
        <v>0</v>
      </c>
      <c r="SW34">
        <f>SUMIFS(Detail!$AS:$AS,Detail!$G:$G,'Rates-Service Fees'!SW$23,Detail!$H:$H,'Rates-Service Fees'!SW$14)*100</f>
        <v>0</v>
      </c>
      <c r="SX34">
        <f>SUMIFS(Detail!$AS:$AS,Detail!$G:$G,'Rates-Service Fees'!SX$23,Detail!$H:$H,'Rates-Service Fees'!SX$14)*100</f>
        <v>0</v>
      </c>
      <c r="SY34">
        <f>SUMIFS(Detail!$AS:$AS,Detail!$G:$G,'Rates-Service Fees'!SY$23,Detail!$H:$H,'Rates-Service Fees'!SY$14)*100</f>
        <v>0</v>
      </c>
      <c r="SZ34">
        <f>SUMIFS(Detail!$AS:$AS,Detail!$G:$G,'Rates-Service Fees'!SZ$23,Detail!$H:$H,'Rates-Service Fees'!SZ$14)*100</f>
        <v>0</v>
      </c>
      <c r="TA34">
        <f>SUMIFS(Detail!$AS:$AS,Detail!$G:$G,'Rates-Service Fees'!TA$23,Detail!$H:$H,'Rates-Service Fees'!TA$14)*100</f>
        <v>0</v>
      </c>
      <c r="TB34">
        <f>SUMIFS(Detail!$AS:$AS,Detail!$G:$G,'Rates-Service Fees'!TB$23,Detail!$H:$H,'Rates-Service Fees'!TB$14)*100</f>
        <v>0</v>
      </c>
      <c r="TC34">
        <f>SUMIFS(Detail!$AS:$AS,Detail!$G:$G,'Rates-Service Fees'!TC$23,Detail!$H:$H,'Rates-Service Fees'!TC$14)*100</f>
        <v>0</v>
      </c>
      <c r="TD34">
        <f>SUMIFS(Detail!$AS:$AS,Detail!$G:$G,'Rates-Service Fees'!TD$23,Detail!$H:$H,'Rates-Service Fees'!TD$14)*100</f>
        <v>0</v>
      </c>
      <c r="TE34">
        <f>SUMIFS(Detail!$AS:$AS,Detail!$G:$G,'Rates-Service Fees'!TE$23,Detail!$H:$H,'Rates-Service Fees'!TE$14)*100</f>
        <v>0</v>
      </c>
      <c r="TF34">
        <f>SUMIFS(Detail!$AS:$AS,Detail!$G:$G,'Rates-Service Fees'!TF$23,Detail!$H:$H,'Rates-Service Fees'!TF$14)*100</f>
        <v>0</v>
      </c>
      <c r="TG34">
        <f>SUMIFS(Detail!$AS:$AS,Detail!$G:$G,'Rates-Service Fees'!TG$23,Detail!$H:$H,'Rates-Service Fees'!TG$14)*100</f>
        <v>0</v>
      </c>
      <c r="TH34">
        <f>SUMIFS(Detail!$AS:$AS,Detail!$G:$G,'Rates-Service Fees'!TH$23,Detail!$H:$H,'Rates-Service Fees'!TH$14)*100</f>
        <v>0</v>
      </c>
      <c r="TI34">
        <f>SUMIFS(Detail!$AS:$AS,Detail!$G:$G,'Rates-Service Fees'!TI$23,Detail!$H:$H,'Rates-Service Fees'!TI$14)*100</f>
        <v>0</v>
      </c>
      <c r="TJ34">
        <f>SUMIFS(Detail!$AS:$AS,Detail!$G:$G,'Rates-Service Fees'!TJ$23,Detail!$H:$H,'Rates-Service Fees'!TJ$14)*100</f>
        <v>0</v>
      </c>
      <c r="TK34">
        <f>SUMIFS(Detail!$AS:$AS,Detail!$G:$G,'Rates-Service Fees'!TK$23,Detail!$H:$H,'Rates-Service Fees'!TK$14)*100</f>
        <v>0</v>
      </c>
      <c r="TL34">
        <f>SUMIFS(Detail!$AS:$AS,Detail!$G:$G,'Rates-Service Fees'!TL$23,Detail!$H:$H,'Rates-Service Fees'!TL$14)*100</f>
        <v>0</v>
      </c>
      <c r="TM34">
        <f>SUMIFS(Detail!$AS:$AS,Detail!$G:$G,'Rates-Service Fees'!TM$23,Detail!$H:$H,'Rates-Service Fees'!TM$14)*100</f>
        <v>0</v>
      </c>
      <c r="TN34">
        <f>SUMIFS(Detail!$AS:$AS,Detail!$G:$G,'Rates-Service Fees'!TN$23,Detail!$H:$H,'Rates-Service Fees'!TN$14)*100</f>
        <v>0</v>
      </c>
      <c r="TO34">
        <f>SUMIFS(Detail!$AS:$AS,Detail!$G:$G,'Rates-Service Fees'!TO$23,Detail!$H:$H,'Rates-Service Fees'!TO$14)*100</f>
        <v>0</v>
      </c>
      <c r="TP34">
        <f>SUMIFS(Detail!$AS:$AS,Detail!$G:$G,'Rates-Service Fees'!TP$23,Detail!$H:$H,'Rates-Service Fees'!TP$14)*100</f>
        <v>0</v>
      </c>
      <c r="TQ34">
        <f>SUMIFS(Detail!$AS:$AS,Detail!$G:$G,'Rates-Service Fees'!TQ$23,Detail!$H:$H,'Rates-Service Fees'!TQ$14)*100</f>
        <v>0</v>
      </c>
      <c r="TR34">
        <f>SUMIFS(Detail!$AS:$AS,Detail!$G:$G,'Rates-Service Fees'!TR$23,Detail!$H:$H,'Rates-Service Fees'!TR$14)*100</f>
        <v>0</v>
      </c>
      <c r="TS34">
        <f>SUMIFS(Detail!$AS:$AS,Detail!$G:$G,'Rates-Service Fees'!TS$23,Detail!$H:$H,'Rates-Service Fees'!TS$14)*100</f>
        <v>0</v>
      </c>
      <c r="TT34">
        <f>SUMIFS(Detail!$AS:$AS,Detail!$G:$G,'Rates-Service Fees'!TT$23,Detail!$H:$H,'Rates-Service Fees'!TT$14)*100</f>
        <v>0</v>
      </c>
      <c r="TU34">
        <f>SUMIFS(Detail!$AS:$AS,Detail!$G:$G,'Rates-Service Fees'!TU$23,Detail!$H:$H,'Rates-Service Fees'!TU$14)*100</f>
        <v>0</v>
      </c>
      <c r="TV34">
        <f>SUMIFS(Detail!$AS:$AS,Detail!$G:$G,'Rates-Service Fees'!TV$23,Detail!$H:$H,'Rates-Service Fees'!TV$14)*100</f>
        <v>0</v>
      </c>
      <c r="TW34">
        <f>SUMIFS(Detail!$AS:$AS,Detail!$G:$G,'Rates-Service Fees'!TW$23,Detail!$H:$H,'Rates-Service Fees'!TW$14)*100</f>
        <v>0</v>
      </c>
      <c r="TX34">
        <f>SUMIFS(Detail!$AS:$AS,Detail!$G:$G,'Rates-Service Fees'!TX$23,Detail!$H:$H,'Rates-Service Fees'!TX$14)*100</f>
        <v>0</v>
      </c>
      <c r="TY34">
        <f>SUMIFS(Detail!$AS:$AS,Detail!$G:$G,'Rates-Service Fees'!TY$23,Detail!$H:$H,'Rates-Service Fees'!TY$14)*100</f>
        <v>0</v>
      </c>
      <c r="TZ34">
        <f>SUMIFS(Detail!$AS:$AS,Detail!$G:$G,'Rates-Service Fees'!TZ$23,Detail!$H:$H,'Rates-Service Fees'!TZ$14)*100</f>
        <v>0</v>
      </c>
      <c r="UA34">
        <f>SUMIFS(Detail!$AS:$AS,Detail!$G:$G,'Rates-Service Fees'!UA$23,Detail!$H:$H,'Rates-Service Fees'!UA$14)*100</f>
        <v>0</v>
      </c>
      <c r="UB34">
        <f>SUMIFS(Detail!$AS:$AS,Detail!$G:$G,'Rates-Service Fees'!UB$23,Detail!$H:$H,'Rates-Service Fees'!UB$14)*100</f>
        <v>0</v>
      </c>
      <c r="UC34">
        <f>SUMIFS(Detail!$AS:$AS,Detail!$G:$G,'Rates-Service Fees'!UC$23,Detail!$H:$H,'Rates-Service Fees'!UC$14)*100</f>
        <v>0</v>
      </c>
      <c r="UD34">
        <f>SUMIFS(Detail!$AS:$AS,Detail!$G:$G,'Rates-Service Fees'!UD$23,Detail!$H:$H,'Rates-Service Fees'!UD$14)*100</f>
        <v>0</v>
      </c>
      <c r="UE34">
        <f>SUMIFS(Detail!$AS:$AS,Detail!$G:$G,'Rates-Service Fees'!UE$23,Detail!$H:$H,'Rates-Service Fees'!UE$14)*100</f>
        <v>0</v>
      </c>
      <c r="UF34">
        <f>SUMIFS(Detail!$AS:$AS,Detail!$G:$G,'Rates-Service Fees'!UF$23,Detail!$H:$H,'Rates-Service Fees'!UF$14)*100</f>
        <v>0</v>
      </c>
      <c r="UG34">
        <f>SUMIFS(Detail!$AS:$AS,Detail!$G:$G,'Rates-Service Fees'!UG$23,Detail!$H:$H,'Rates-Service Fees'!UG$14)*100</f>
        <v>0</v>
      </c>
      <c r="UH34">
        <f>SUMIFS(Detail!$AS:$AS,Detail!$G:$G,'Rates-Service Fees'!UH$23,Detail!$H:$H,'Rates-Service Fees'!UH$14)*100</f>
        <v>0</v>
      </c>
      <c r="UI34">
        <f>SUMIFS(Detail!$AS:$AS,Detail!$G:$G,'Rates-Service Fees'!UI$23,Detail!$H:$H,'Rates-Service Fees'!UI$14)*100</f>
        <v>0</v>
      </c>
      <c r="UJ34">
        <f>SUMIFS(Detail!$AS:$AS,Detail!$G:$G,'Rates-Service Fees'!UJ$23,Detail!$H:$H,'Rates-Service Fees'!UJ$14)*100</f>
        <v>0</v>
      </c>
      <c r="UK34">
        <f>SUMIFS(Detail!$AS:$AS,Detail!$G:$G,'Rates-Service Fees'!UK$23,Detail!$H:$H,'Rates-Service Fees'!UK$14)*100</f>
        <v>0</v>
      </c>
      <c r="UL34">
        <f>SUMIFS(Detail!$AS:$AS,Detail!$G:$G,'Rates-Service Fees'!UL$23,Detail!$H:$H,'Rates-Service Fees'!UL$14)*100</f>
        <v>0</v>
      </c>
      <c r="UM34">
        <f>SUMIFS(Detail!$AS:$AS,Detail!$G:$G,'Rates-Service Fees'!UM$23,Detail!$H:$H,'Rates-Service Fees'!UM$14)*100</f>
        <v>0</v>
      </c>
      <c r="UN34">
        <f>SUMIFS(Detail!$AS:$AS,Detail!$G:$G,'Rates-Service Fees'!UN$23,Detail!$H:$H,'Rates-Service Fees'!UN$14)*100</f>
        <v>0</v>
      </c>
      <c r="UO34">
        <f>SUMIFS(Detail!$AS:$AS,Detail!$G:$G,'Rates-Service Fees'!UO$23,Detail!$H:$H,'Rates-Service Fees'!UO$14)*100</f>
        <v>0</v>
      </c>
      <c r="UP34">
        <f>SUMIFS(Detail!$AS:$AS,Detail!$G:$G,'Rates-Service Fees'!UP$23,Detail!$H:$H,'Rates-Service Fees'!UP$14)*100</f>
        <v>0</v>
      </c>
      <c r="UQ34">
        <f>SUMIFS(Detail!$AS:$AS,Detail!$G:$G,'Rates-Service Fees'!UQ$23,Detail!$H:$H,'Rates-Service Fees'!UQ$14)*100</f>
        <v>0</v>
      </c>
      <c r="UR34">
        <f>SUMIFS(Detail!$AS:$AS,Detail!$G:$G,'Rates-Service Fees'!UR$23,Detail!$H:$H,'Rates-Service Fees'!UR$14)*100</f>
        <v>0</v>
      </c>
      <c r="US34">
        <f>SUMIFS(Detail!$AS:$AS,Detail!$G:$G,'Rates-Service Fees'!US$23,Detail!$H:$H,'Rates-Service Fees'!US$14)*100</f>
        <v>0</v>
      </c>
      <c r="UT34">
        <f>SUMIFS(Detail!$AS:$AS,Detail!$G:$G,'Rates-Service Fees'!UT$23,Detail!$H:$H,'Rates-Service Fees'!UT$14)*100</f>
        <v>0</v>
      </c>
      <c r="UU34">
        <f>SUMIFS(Detail!$AS:$AS,Detail!$G:$G,'Rates-Service Fees'!UU$23,Detail!$H:$H,'Rates-Service Fees'!UU$14)*100</f>
        <v>0</v>
      </c>
      <c r="UV34">
        <f>SUMIFS(Detail!$AS:$AS,Detail!$G:$G,'Rates-Service Fees'!UV$23,Detail!$H:$H,'Rates-Service Fees'!UV$14)*100</f>
        <v>0</v>
      </c>
      <c r="UW34">
        <f>SUMIFS(Detail!$AS:$AS,Detail!$G:$G,'Rates-Service Fees'!UW$23,Detail!$H:$H,'Rates-Service Fees'!UW$14)*100</f>
        <v>0</v>
      </c>
      <c r="UX34">
        <f>SUMIFS(Detail!$AS:$AS,Detail!$G:$G,'Rates-Service Fees'!UX$23,Detail!$H:$H,'Rates-Service Fees'!UX$14)*100</f>
        <v>0</v>
      </c>
      <c r="UY34">
        <f>SUMIFS(Detail!$AS:$AS,Detail!$G:$G,'Rates-Service Fees'!UY$23,Detail!$H:$H,'Rates-Service Fees'!UY$14)*100</f>
        <v>0</v>
      </c>
      <c r="UZ34">
        <f>SUMIFS(Detail!$AS:$AS,Detail!$G:$G,'Rates-Service Fees'!UZ$23,Detail!$H:$H,'Rates-Service Fees'!UZ$14)*100</f>
        <v>0</v>
      </c>
      <c r="VA34">
        <f>SUMIFS(Detail!$AS:$AS,Detail!$G:$G,'Rates-Service Fees'!VA$23,Detail!$H:$H,'Rates-Service Fees'!VA$14)*100</f>
        <v>0</v>
      </c>
      <c r="VB34">
        <f>SUMIFS(Detail!$AS:$AS,Detail!$G:$G,'Rates-Service Fees'!VB$23,Detail!$H:$H,'Rates-Service Fees'!VB$14)*100</f>
        <v>0</v>
      </c>
      <c r="VC34">
        <f>SUMIFS(Detail!$AS:$AS,Detail!$G:$G,'Rates-Service Fees'!VC$23,Detail!$H:$H,'Rates-Service Fees'!VC$14)*100</f>
        <v>0</v>
      </c>
      <c r="VD34">
        <f>SUMIFS(Detail!$AS:$AS,Detail!$G:$G,'Rates-Service Fees'!VD$23,Detail!$H:$H,'Rates-Service Fees'!VD$14)*100</f>
        <v>0</v>
      </c>
      <c r="VE34">
        <f>SUMIFS(Detail!$AS:$AS,Detail!$G:$G,'Rates-Service Fees'!VE$23,Detail!$H:$H,'Rates-Service Fees'!VE$14)*100</f>
        <v>0</v>
      </c>
      <c r="VF34">
        <f>SUMIFS(Detail!$AS:$AS,Detail!$G:$G,'Rates-Service Fees'!VF$23,Detail!$H:$H,'Rates-Service Fees'!VF$14)*100</f>
        <v>0</v>
      </c>
      <c r="VG34">
        <f>SUMIFS(Detail!$AS:$AS,Detail!$G:$G,'Rates-Service Fees'!VG$23,Detail!$H:$H,'Rates-Service Fees'!VG$14)*100</f>
        <v>0</v>
      </c>
      <c r="VH34">
        <f>SUMIFS(Detail!$AS:$AS,Detail!$G:$G,'Rates-Service Fees'!VH$23,Detail!$H:$H,'Rates-Service Fees'!VH$14)*100</f>
        <v>0</v>
      </c>
      <c r="VI34">
        <f>SUMIFS(Detail!$AS:$AS,Detail!$G:$G,'Rates-Service Fees'!VI$23,Detail!$H:$H,'Rates-Service Fees'!VI$14)*100</f>
        <v>0</v>
      </c>
      <c r="VJ34">
        <f>SUMIFS(Detail!$AS:$AS,Detail!$G:$G,'Rates-Service Fees'!VJ$23,Detail!$H:$H,'Rates-Service Fees'!VJ$14)*100</f>
        <v>0</v>
      </c>
      <c r="VK34">
        <f>SUMIFS(Detail!$AS:$AS,Detail!$G:$G,'Rates-Service Fees'!VK$23,Detail!$H:$H,'Rates-Service Fees'!VK$14)*100</f>
        <v>0</v>
      </c>
      <c r="VL34">
        <f>SUMIFS(Detail!$AS:$AS,Detail!$G:$G,'Rates-Service Fees'!VL$23,Detail!$H:$H,'Rates-Service Fees'!VL$14)*100</f>
        <v>0</v>
      </c>
      <c r="VM34">
        <f>SUMIFS(Detail!$AS:$AS,Detail!$G:$G,'Rates-Service Fees'!VM$23,Detail!$H:$H,'Rates-Service Fees'!VM$14)*100</f>
        <v>0</v>
      </c>
      <c r="VN34">
        <f>SUMIFS(Detail!$AS:$AS,Detail!$G:$G,'Rates-Service Fees'!VN$23,Detail!$H:$H,'Rates-Service Fees'!VN$14)*100</f>
        <v>0</v>
      </c>
      <c r="VO34">
        <f>SUMIFS(Detail!$AS:$AS,Detail!$G:$G,'Rates-Service Fees'!VO$23,Detail!$H:$H,'Rates-Service Fees'!VO$14)*100</f>
        <v>0</v>
      </c>
      <c r="VP34">
        <f>SUMIFS(Detail!$AS:$AS,Detail!$G:$G,'Rates-Service Fees'!VP$23,Detail!$H:$H,'Rates-Service Fees'!VP$14)*100</f>
        <v>0</v>
      </c>
      <c r="VQ34">
        <f>SUMIFS(Detail!$AS:$AS,Detail!$G:$G,'Rates-Service Fees'!VQ$23,Detail!$H:$H,'Rates-Service Fees'!VQ$14)*100</f>
        <v>0</v>
      </c>
      <c r="VR34">
        <f>SUMIFS(Detail!$AS:$AS,Detail!$G:$G,'Rates-Service Fees'!VR$23,Detail!$H:$H,'Rates-Service Fees'!VR$14)*100</f>
        <v>0</v>
      </c>
      <c r="VS34">
        <f>SUMIFS(Detail!$AS:$AS,Detail!$G:$G,'Rates-Service Fees'!VS$23,Detail!$H:$H,'Rates-Service Fees'!VS$14)*100</f>
        <v>0</v>
      </c>
      <c r="VT34">
        <f>SUMIFS(Detail!$AS:$AS,Detail!$G:$G,'Rates-Service Fees'!VT$23,Detail!$H:$H,'Rates-Service Fees'!VT$14)*100</f>
        <v>0</v>
      </c>
      <c r="VU34">
        <f>SUMIFS(Detail!$AS:$AS,Detail!$G:$G,'Rates-Service Fees'!VU$23,Detail!$H:$H,'Rates-Service Fees'!VU$14)*100</f>
        <v>0</v>
      </c>
      <c r="VV34">
        <f>SUMIFS(Detail!$AS:$AS,Detail!$G:$G,'Rates-Service Fees'!VV$23,Detail!$H:$H,'Rates-Service Fees'!VV$14)*100</f>
        <v>0</v>
      </c>
      <c r="VW34">
        <f>SUMIFS(Detail!$AS:$AS,Detail!$G:$G,'Rates-Service Fees'!VW$23,Detail!$H:$H,'Rates-Service Fees'!VW$14)*100</f>
        <v>0</v>
      </c>
      <c r="VX34">
        <f>SUMIFS(Detail!$AS:$AS,Detail!$G:$G,'Rates-Service Fees'!VX$23,Detail!$H:$H,'Rates-Service Fees'!VX$14)*100</f>
        <v>0</v>
      </c>
      <c r="VY34">
        <f>SUMIFS(Detail!$AS:$AS,Detail!$G:$G,'Rates-Service Fees'!VY$23,Detail!$H:$H,'Rates-Service Fees'!VY$14)*100</f>
        <v>0</v>
      </c>
      <c r="VZ34">
        <f>SUMIFS(Detail!$AS:$AS,Detail!$G:$G,'Rates-Service Fees'!VZ$23,Detail!$H:$H,'Rates-Service Fees'!VZ$14)*100</f>
        <v>0</v>
      </c>
      <c r="WA34">
        <f>SUMIFS(Detail!$AS:$AS,Detail!$G:$G,'Rates-Service Fees'!WA$23,Detail!$H:$H,'Rates-Service Fees'!WA$14)*100</f>
        <v>0</v>
      </c>
      <c r="WB34">
        <f>SUMIFS(Detail!$AS:$AS,Detail!$G:$G,'Rates-Service Fees'!WB$23,Detail!$H:$H,'Rates-Service Fees'!WB$14)*100</f>
        <v>0</v>
      </c>
      <c r="WC34">
        <f>SUMIFS(Detail!$AS:$AS,Detail!$G:$G,'Rates-Service Fees'!WC$23,Detail!$H:$H,'Rates-Service Fees'!WC$14)*100</f>
        <v>0</v>
      </c>
      <c r="WD34">
        <f>SUMIFS(Detail!$AS:$AS,Detail!$G:$G,'Rates-Service Fees'!WD$23,Detail!$H:$H,'Rates-Service Fees'!WD$14)*100</f>
        <v>0</v>
      </c>
      <c r="WE34">
        <f>SUMIFS(Detail!$AS:$AS,Detail!$G:$G,'Rates-Service Fees'!WE$23,Detail!$H:$H,'Rates-Service Fees'!WE$14)*100</f>
        <v>0</v>
      </c>
      <c r="WF34">
        <f>SUMIFS(Detail!$AS:$AS,Detail!$G:$G,'Rates-Service Fees'!WF$23,Detail!$H:$H,'Rates-Service Fees'!WF$14)*100</f>
        <v>0</v>
      </c>
      <c r="WG34">
        <f>SUMIFS(Detail!$AS:$AS,Detail!$G:$G,'Rates-Service Fees'!WG$23,Detail!$H:$H,'Rates-Service Fees'!WG$14)*100</f>
        <v>0</v>
      </c>
      <c r="WH34">
        <f>SUMIFS(Detail!$AS:$AS,Detail!$G:$G,'Rates-Service Fees'!WH$23,Detail!$H:$H,'Rates-Service Fees'!WH$14)*100</f>
        <v>0</v>
      </c>
      <c r="WI34">
        <f>SUMIFS(Detail!$AS:$AS,Detail!$G:$G,'Rates-Service Fees'!WI$23,Detail!$H:$H,'Rates-Service Fees'!WI$14)*100</f>
        <v>0</v>
      </c>
      <c r="WJ34">
        <f>SUMIFS(Detail!$AS:$AS,Detail!$G:$G,'Rates-Service Fees'!WJ$23,Detail!$H:$H,'Rates-Service Fees'!WJ$14)*100</f>
        <v>0</v>
      </c>
      <c r="WK34">
        <f>SUMIFS(Detail!$AS:$AS,Detail!$G:$G,'Rates-Service Fees'!WK$23,Detail!$H:$H,'Rates-Service Fees'!WK$14)*100</f>
        <v>0</v>
      </c>
      <c r="WL34">
        <f>SUMIFS(Detail!$AS:$AS,Detail!$G:$G,'Rates-Service Fees'!WL$23,Detail!$H:$H,'Rates-Service Fees'!WL$14)*100</f>
        <v>0</v>
      </c>
      <c r="WM34">
        <f>SUMIFS(Detail!$AS:$AS,Detail!$G:$G,'Rates-Service Fees'!WM$23,Detail!$H:$H,'Rates-Service Fees'!WM$14)*100</f>
        <v>0</v>
      </c>
      <c r="WN34">
        <f>SUMIFS(Detail!$AS:$AS,Detail!$G:$G,'Rates-Service Fees'!WN$23,Detail!$H:$H,'Rates-Service Fees'!WN$14)*100</f>
        <v>0</v>
      </c>
      <c r="WO34">
        <f>SUMIFS(Detail!$AS:$AS,Detail!$G:$G,'Rates-Service Fees'!WO$23,Detail!$H:$H,'Rates-Service Fees'!WO$14)*100</f>
        <v>0</v>
      </c>
      <c r="WP34">
        <f>SUMIFS(Detail!$AS:$AS,Detail!$G:$G,'Rates-Service Fees'!WP$23,Detail!$H:$H,'Rates-Service Fees'!WP$14)*100</f>
        <v>0</v>
      </c>
      <c r="WQ34">
        <f>SUMIFS(Detail!$AS:$AS,Detail!$G:$G,'Rates-Service Fees'!WQ$23,Detail!$H:$H,'Rates-Service Fees'!WQ$14)*100</f>
        <v>0</v>
      </c>
      <c r="WR34">
        <f>SUMIFS(Detail!$AS:$AS,Detail!$G:$G,'Rates-Service Fees'!WR$23,Detail!$H:$H,'Rates-Service Fees'!WR$14)*100</f>
        <v>0</v>
      </c>
      <c r="WS34">
        <f>SUMIFS(Detail!$AS:$AS,Detail!$G:$G,'Rates-Service Fees'!WS$23,Detail!$H:$H,'Rates-Service Fees'!WS$14)*100</f>
        <v>0</v>
      </c>
      <c r="WT34">
        <f>SUMIFS(Detail!$AS:$AS,Detail!$G:$G,'Rates-Service Fees'!WT$23,Detail!$H:$H,'Rates-Service Fees'!WT$14)*100</f>
        <v>0</v>
      </c>
      <c r="WU34">
        <f>SUMIFS(Detail!$AS:$AS,Detail!$G:$G,'Rates-Service Fees'!WU$23,Detail!$H:$H,'Rates-Service Fees'!WU$14)*100</f>
        <v>0</v>
      </c>
      <c r="WV34">
        <f>SUMIFS(Detail!$AS:$AS,Detail!$G:$G,'Rates-Service Fees'!WV$23,Detail!$H:$H,'Rates-Service Fees'!WV$14)*100</f>
        <v>0</v>
      </c>
      <c r="WW34">
        <f>SUMIFS(Detail!$AS:$AS,Detail!$G:$G,'Rates-Service Fees'!WW$23,Detail!$H:$H,'Rates-Service Fees'!WW$14)*100</f>
        <v>0</v>
      </c>
      <c r="WX34">
        <f>SUMIFS(Detail!$AS:$AS,Detail!$G:$G,'Rates-Service Fees'!WX$23,Detail!$H:$H,'Rates-Service Fees'!WX$14)*100</f>
        <v>0</v>
      </c>
      <c r="WY34">
        <f>SUMIFS(Detail!$AS:$AS,Detail!$G:$G,'Rates-Service Fees'!WY$23,Detail!$H:$H,'Rates-Service Fees'!WY$14)*100</f>
        <v>0</v>
      </c>
      <c r="WZ34">
        <f>SUMIFS(Detail!$AS:$AS,Detail!$G:$G,'Rates-Service Fees'!WZ$23,Detail!$H:$H,'Rates-Service Fees'!WZ$14)*100</f>
        <v>0</v>
      </c>
      <c r="XA34">
        <f>SUMIFS(Detail!$AS:$AS,Detail!$G:$G,'Rates-Service Fees'!XA$23,Detail!$H:$H,'Rates-Service Fees'!XA$14)*100</f>
        <v>0</v>
      </c>
      <c r="XB34">
        <f>SUMIFS(Detail!$AS:$AS,Detail!$G:$G,'Rates-Service Fees'!XB$23,Detail!$H:$H,'Rates-Service Fees'!XB$14)*100</f>
        <v>0</v>
      </c>
      <c r="XC34">
        <f>SUMIFS(Detail!$AS:$AS,Detail!$G:$G,'Rates-Service Fees'!XC$23,Detail!$H:$H,'Rates-Service Fees'!XC$14)*100</f>
        <v>0</v>
      </c>
      <c r="XD34">
        <f>SUMIFS(Detail!$AS:$AS,Detail!$G:$G,'Rates-Service Fees'!XD$23,Detail!$H:$H,'Rates-Service Fees'!XD$14)*100</f>
        <v>0</v>
      </c>
      <c r="XE34">
        <f>SUMIFS(Detail!$AS:$AS,Detail!$G:$G,'Rates-Service Fees'!XE$23,Detail!$H:$H,'Rates-Service Fees'!XE$14)*100</f>
        <v>0</v>
      </c>
      <c r="XF34">
        <f>SUMIFS(Detail!$AS:$AS,Detail!$G:$G,'Rates-Service Fees'!XF$23,Detail!$H:$H,'Rates-Service Fees'!XF$14)*100</f>
        <v>0</v>
      </c>
      <c r="XG34">
        <f>SUMIFS(Detail!$AS:$AS,Detail!$G:$G,'Rates-Service Fees'!XG$23,Detail!$H:$H,'Rates-Service Fees'!XG$14)*100</f>
        <v>0</v>
      </c>
      <c r="XH34">
        <f>SUMIFS(Detail!$AS:$AS,Detail!$G:$G,'Rates-Service Fees'!XH$23,Detail!$H:$H,'Rates-Service Fees'!XH$14)*100</f>
        <v>0</v>
      </c>
      <c r="XI34">
        <f>SUMIFS(Detail!$AS:$AS,Detail!$G:$G,'Rates-Service Fees'!XI$23,Detail!$H:$H,'Rates-Service Fees'!XI$14)*100</f>
        <v>0</v>
      </c>
      <c r="XJ34">
        <f>SUMIFS(Detail!$AS:$AS,Detail!$G:$G,'Rates-Service Fees'!XJ$23,Detail!$H:$H,'Rates-Service Fees'!XJ$14)*100</f>
        <v>0</v>
      </c>
      <c r="XK34">
        <f>SUMIFS(Detail!$AS:$AS,Detail!$G:$G,'Rates-Service Fees'!XK$23,Detail!$H:$H,'Rates-Service Fees'!XK$14)*100</f>
        <v>0</v>
      </c>
      <c r="XL34">
        <f>SUMIFS(Detail!$AS:$AS,Detail!$G:$G,'Rates-Service Fees'!XL$23,Detail!$H:$H,'Rates-Service Fees'!XL$14)*100</f>
        <v>0</v>
      </c>
      <c r="XM34">
        <f>SUMIFS(Detail!$AS:$AS,Detail!$G:$G,'Rates-Service Fees'!XM$23,Detail!$H:$H,'Rates-Service Fees'!XM$14)*100</f>
        <v>0</v>
      </c>
      <c r="XN34">
        <f>SUMIFS(Detail!$AS:$AS,Detail!$G:$G,'Rates-Service Fees'!XN$23,Detail!$H:$H,'Rates-Service Fees'!XN$14)*100</f>
        <v>0</v>
      </c>
      <c r="XO34">
        <f>SUMIFS(Detail!$AS:$AS,Detail!$G:$G,'Rates-Service Fees'!XO$23,Detail!$H:$H,'Rates-Service Fees'!XO$14)*100</f>
        <v>0</v>
      </c>
      <c r="XP34">
        <f>SUMIFS(Detail!$AS:$AS,Detail!$G:$G,'Rates-Service Fees'!XP$23,Detail!$H:$H,'Rates-Service Fees'!XP$14)*100</f>
        <v>0</v>
      </c>
      <c r="XQ34">
        <f>SUMIFS(Detail!$AS:$AS,Detail!$G:$G,'Rates-Service Fees'!XQ$23,Detail!$H:$H,'Rates-Service Fees'!XQ$14)*100</f>
        <v>0</v>
      </c>
      <c r="XR34">
        <f>SUMIFS(Detail!$AS:$AS,Detail!$G:$G,'Rates-Service Fees'!XR$23,Detail!$H:$H,'Rates-Service Fees'!XR$14)*100</f>
        <v>0</v>
      </c>
      <c r="XS34">
        <f>SUMIFS(Detail!$AS:$AS,Detail!$G:$G,'Rates-Service Fees'!XS$23,Detail!$H:$H,'Rates-Service Fees'!XS$14)*100</f>
        <v>0</v>
      </c>
      <c r="XT34">
        <f>SUMIFS(Detail!$AS:$AS,Detail!$G:$G,'Rates-Service Fees'!XT$23,Detail!$H:$H,'Rates-Service Fees'!XT$14)*100</f>
        <v>0</v>
      </c>
      <c r="XU34">
        <f>SUMIFS(Detail!$AS:$AS,Detail!$G:$G,'Rates-Service Fees'!XU$23,Detail!$H:$H,'Rates-Service Fees'!XU$14)*100</f>
        <v>0</v>
      </c>
      <c r="XV34">
        <f>SUMIFS(Detail!$AS:$AS,Detail!$G:$G,'Rates-Service Fees'!XV$23,Detail!$H:$H,'Rates-Service Fees'!XV$14)*100</f>
        <v>0</v>
      </c>
      <c r="XW34">
        <f>SUMIFS(Detail!$AS:$AS,Detail!$G:$G,'Rates-Service Fees'!XW$23,Detail!$H:$H,'Rates-Service Fees'!XW$14)*100</f>
        <v>0</v>
      </c>
      <c r="XX34">
        <f>SUMIFS(Detail!$AS:$AS,Detail!$G:$G,'Rates-Service Fees'!XX$23,Detail!$H:$H,'Rates-Service Fees'!XX$14)*100</f>
        <v>0</v>
      </c>
      <c r="XY34">
        <f>SUMIFS(Detail!$AS:$AS,Detail!$G:$G,'Rates-Service Fees'!XY$23,Detail!$H:$H,'Rates-Service Fees'!XY$14)*100</f>
        <v>0</v>
      </c>
      <c r="XZ34">
        <f>SUMIFS(Detail!$AS:$AS,Detail!$G:$G,'Rates-Service Fees'!XZ$23,Detail!$H:$H,'Rates-Service Fees'!XZ$14)*100</f>
        <v>0</v>
      </c>
      <c r="YA34">
        <f>SUMIFS(Detail!$AS:$AS,Detail!$G:$G,'Rates-Service Fees'!YA$23,Detail!$H:$H,'Rates-Service Fees'!YA$14)*100</f>
        <v>0</v>
      </c>
      <c r="YB34">
        <f>SUMIFS(Detail!$AS:$AS,Detail!$G:$G,'Rates-Service Fees'!YB$23,Detail!$H:$H,'Rates-Service Fees'!YB$14)*100</f>
        <v>0</v>
      </c>
      <c r="YC34">
        <f>SUMIFS(Detail!$AS:$AS,Detail!$G:$G,'Rates-Service Fees'!YC$23,Detail!$H:$H,'Rates-Service Fees'!YC$14)*100</f>
        <v>0</v>
      </c>
      <c r="YD34">
        <f>SUMIFS(Detail!$AS:$AS,Detail!$G:$G,'Rates-Service Fees'!YD$23,Detail!$H:$H,'Rates-Service Fees'!YD$14)*100</f>
        <v>0</v>
      </c>
      <c r="YE34">
        <f>SUMIFS(Detail!$AS:$AS,Detail!$G:$G,'Rates-Service Fees'!YE$23,Detail!$H:$H,'Rates-Service Fees'!YE$14)*100</f>
        <v>0</v>
      </c>
      <c r="YF34">
        <f>SUMIFS(Detail!$AS:$AS,Detail!$G:$G,'Rates-Service Fees'!YF$23,Detail!$H:$H,'Rates-Service Fees'!YF$14)*100</f>
        <v>0</v>
      </c>
      <c r="YG34">
        <f>SUMIFS(Detail!$AS:$AS,Detail!$G:$G,'Rates-Service Fees'!YG$23,Detail!$H:$H,'Rates-Service Fees'!YG$14)*100</f>
        <v>0</v>
      </c>
      <c r="YH34">
        <f>SUMIFS(Detail!$AS:$AS,Detail!$G:$G,'Rates-Service Fees'!YH$23,Detail!$H:$H,'Rates-Service Fees'!YH$14)*100</f>
        <v>0</v>
      </c>
      <c r="YI34">
        <f>SUMIFS(Detail!$AS:$AS,Detail!$G:$G,'Rates-Service Fees'!YI$23,Detail!$H:$H,'Rates-Service Fees'!YI$14)*100</f>
        <v>0</v>
      </c>
      <c r="YJ34">
        <f>SUMIFS(Detail!$AS:$AS,Detail!$G:$G,'Rates-Service Fees'!YJ$23,Detail!$H:$H,'Rates-Service Fees'!YJ$14)*100</f>
        <v>0</v>
      </c>
      <c r="YK34">
        <f>SUMIFS(Detail!$AS:$AS,Detail!$G:$G,'Rates-Service Fees'!YK$23,Detail!$H:$H,'Rates-Service Fees'!YK$14)*100</f>
        <v>0</v>
      </c>
      <c r="YL34">
        <f>SUMIFS(Detail!$AS:$AS,Detail!$G:$G,'Rates-Service Fees'!YL$23,Detail!$H:$H,'Rates-Service Fees'!YL$14)*100</f>
        <v>0</v>
      </c>
      <c r="YM34">
        <f>SUMIFS(Detail!$AS:$AS,Detail!$G:$G,'Rates-Service Fees'!YM$23,Detail!$H:$H,'Rates-Service Fees'!YM$14)*100</f>
        <v>0</v>
      </c>
      <c r="YN34">
        <f>SUMIFS(Detail!$AS:$AS,Detail!$G:$G,'Rates-Service Fees'!YN$23,Detail!$H:$H,'Rates-Service Fees'!YN$14)*100</f>
        <v>0</v>
      </c>
      <c r="YO34">
        <f>SUMIFS(Detail!$AS:$AS,Detail!$G:$G,'Rates-Service Fees'!YO$23,Detail!$H:$H,'Rates-Service Fees'!YO$14)*100</f>
        <v>0</v>
      </c>
      <c r="YP34">
        <f>SUMIFS(Detail!$AS:$AS,Detail!$G:$G,'Rates-Service Fees'!YP$23,Detail!$H:$H,'Rates-Service Fees'!YP$14)*100</f>
        <v>0</v>
      </c>
      <c r="YQ34">
        <f>SUMIFS(Detail!$AS:$AS,Detail!$G:$G,'Rates-Service Fees'!YQ$23,Detail!$H:$H,'Rates-Service Fees'!YQ$14)*100</f>
        <v>0</v>
      </c>
      <c r="YR34">
        <f>SUMIFS(Detail!$AS:$AS,Detail!$G:$G,'Rates-Service Fees'!YR$23,Detail!$H:$H,'Rates-Service Fees'!YR$14)*100</f>
        <v>0</v>
      </c>
      <c r="YS34">
        <f>SUMIFS(Detail!$AS:$AS,Detail!$G:$G,'Rates-Service Fees'!YS$23,Detail!$H:$H,'Rates-Service Fees'!YS$14)*100</f>
        <v>0</v>
      </c>
      <c r="YT34">
        <f>SUMIFS(Detail!$AS:$AS,Detail!$G:$G,'Rates-Service Fees'!YT$23,Detail!$H:$H,'Rates-Service Fees'!YT$14)*100</f>
        <v>0</v>
      </c>
      <c r="YU34">
        <f>SUMIFS(Detail!$AS:$AS,Detail!$G:$G,'Rates-Service Fees'!YU$23,Detail!$H:$H,'Rates-Service Fees'!YU$14)*100</f>
        <v>0</v>
      </c>
      <c r="YV34">
        <f>SUMIFS(Detail!$AS:$AS,Detail!$G:$G,'Rates-Service Fees'!YV$23,Detail!$H:$H,'Rates-Service Fees'!YV$14)*100</f>
        <v>0</v>
      </c>
      <c r="YW34">
        <f>SUMIFS(Detail!$AS:$AS,Detail!$G:$G,'Rates-Service Fees'!YW$23,Detail!$H:$H,'Rates-Service Fees'!YW$14)*100</f>
        <v>0</v>
      </c>
      <c r="YX34">
        <f>SUMIFS(Detail!$AS:$AS,Detail!$G:$G,'Rates-Service Fees'!YX$23,Detail!$H:$H,'Rates-Service Fees'!YX$14)*100</f>
        <v>0</v>
      </c>
      <c r="YY34">
        <f>SUMIFS(Detail!$AS:$AS,Detail!$G:$G,'Rates-Service Fees'!YY$23,Detail!$H:$H,'Rates-Service Fees'!YY$14)*100</f>
        <v>0</v>
      </c>
      <c r="YZ34">
        <f>SUMIFS(Detail!$AS:$AS,Detail!$G:$G,'Rates-Service Fees'!YZ$23,Detail!$H:$H,'Rates-Service Fees'!YZ$14)*100</f>
        <v>0</v>
      </c>
      <c r="ZA34">
        <f>SUMIFS(Detail!$AS:$AS,Detail!$G:$G,'Rates-Service Fees'!ZA$23,Detail!$H:$H,'Rates-Service Fees'!ZA$14)*100</f>
        <v>0</v>
      </c>
      <c r="ZB34">
        <f>SUMIFS(Detail!$AS:$AS,Detail!$G:$G,'Rates-Service Fees'!ZB$23,Detail!$H:$H,'Rates-Service Fees'!ZB$14)*100</f>
        <v>0</v>
      </c>
      <c r="ZC34">
        <f>SUMIFS(Detail!$AS:$AS,Detail!$G:$G,'Rates-Service Fees'!ZC$23,Detail!$H:$H,'Rates-Service Fees'!ZC$14)*100</f>
        <v>0</v>
      </c>
      <c r="ZD34">
        <f>SUMIFS(Detail!$AS:$AS,Detail!$G:$G,'Rates-Service Fees'!ZD$23,Detail!$H:$H,'Rates-Service Fees'!ZD$14)*100</f>
        <v>0</v>
      </c>
      <c r="ZE34">
        <f>SUMIFS(Detail!$AS:$AS,Detail!$G:$G,'Rates-Service Fees'!ZE$23,Detail!$H:$H,'Rates-Service Fees'!ZE$14)*100</f>
        <v>0</v>
      </c>
      <c r="ZF34">
        <f>SUMIFS(Detail!$AS:$AS,Detail!$G:$G,'Rates-Service Fees'!ZF$23,Detail!$H:$H,'Rates-Service Fees'!ZF$14)*100</f>
        <v>0</v>
      </c>
      <c r="ZG34">
        <f>SUMIFS(Detail!$AS:$AS,Detail!$G:$G,'Rates-Service Fees'!ZG$23,Detail!$H:$H,'Rates-Service Fees'!ZG$14)*100</f>
        <v>0</v>
      </c>
      <c r="ZH34">
        <f>SUMIFS(Detail!$AS:$AS,Detail!$G:$G,'Rates-Service Fees'!ZH$23,Detail!$H:$H,'Rates-Service Fees'!ZH$14)*100</f>
        <v>0</v>
      </c>
      <c r="ZI34">
        <f>SUMIFS(Detail!$AS:$AS,Detail!$G:$G,'Rates-Service Fees'!ZI$23,Detail!$H:$H,'Rates-Service Fees'!ZI$14)*100</f>
        <v>0</v>
      </c>
      <c r="ZJ34">
        <f>SUMIFS(Detail!$AS:$AS,Detail!$G:$G,'Rates-Service Fees'!ZJ$23,Detail!$H:$H,'Rates-Service Fees'!ZJ$14)*100</f>
        <v>0</v>
      </c>
      <c r="ZK34">
        <f>SUMIFS(Detail!$AS:$AS,Detail!$G:$G,'Rates-Service Fees'!ZK$23,Detail!$H:$H,'Rates-Service Fees'!ZK$14)*100</f>
        <v>0</v>
      </c>
      <c r="ZL34">
        <f>SUMIFS(Detail!$AS:$AS,Detail!$G:$G,'Rates-Service Fees'!ZL$23,Detail!$H:$H,'Rates-Service Fees'!ZL$14)*100</f>
        <v>0</v>
      </c>
      <c r="ZM34">
        <f>SUMIFS(Detail!$AS:$AS,Detail!$G:$G,'Rates-Service Fees'!ZM$23,Detail!$H:$H,'Rates-Service Fees'!ZM$14)*100</f>
        <v>0</v>
      </c>
      <c r="ZN34">
        <f>SUMIFS(Detail!$AS:$AS,Detail!$G:$G,'Rates-Service Fees'!ZN$23,Detail!$H:$H,'Rates-Service Fees'!ZN$14)*100</f>
        <v>0</v>
      </c>
      <c r="ZO34">
        <f>SUMIFS(Detail!$AS:$AS,Detail!$G:$G,'Rates-Service Fees'!ZO$23,Detail!$H:$H,'Rates-Service Fees'!ZO$14)*100</f>
        <v>0</v>
      </c>
      <c r="ZP34">
        <f>SUMIFS(Detail!$AS:$AS,Detail!$G:$G,'Rates-Service Fees'!ZP$23,Detail!$H:$H,'Rates-Service Fees'!ZP$14)*100</f>
        <v>0</v>
      </c>
      <c r="ZQ34">
        <f>SUMIFS(Detail!$AS:$AS,Detail!$G:$G,'Rates-Service Fees'!ZQ$23,Detail!$H:$H,'Rates-Service Fees'!ZQ$14)*100</f>
        <v>0</v>
      </c>
      <c r="ZR34">
        <f>SUMIFS(Detail!$AS:$AS,Detail!$G:$G,'Rates-Service Fees'!ZR$23,Detail!$H:$H,'Rates-Service Fees'!ZR$14)*100</f>
        <v>0</v>
      </c>
      <c r="ZS34">
        <f>SUMIFS(Detail!$AS:$AS,Detail!$G:$G,'Rates-Service Fees'!ZS$23,Detail!$H:$H,'Rates-Service Fees'!ZS$14)*100</f>
        <v>0</v>
      </c>
      <c r="ZT34">
        <f>SUMIFS(Detail!$AS:$AS,Detail!$G:$G,'Rates-Service Fees'!ZT$23,Detail!$H:$H,'Rates-Service Fees'!ZT$14)*100</f>
        <v>0</v>
      </c>
      <c r="ZU34">
        <f>SUMIFS(Detail!$AS:$AS,Detail!$G:$G,'Rates-Service Fees'!ZU$23,Detail!$H:$H,'Rates-Service Fees'!ZU$14)*100</f>
        <v>0</v>
      </c>
      <c r="ZV34">
        <f>SUMIFS(Detail!$AS:$AS,Detail!$G:$G,'Rates-Service Fees'!ZV$23,Detail!$H:$H,'Rates-Service Fees'!ZV$14)*100</f>
        <v>0</v>
      </c>
      <c r="ZW34">
        <f>SUMIFS(Detail!$AS:$AS,Detail!$G:$G,'Rates-Service Fees'!ZW$23,Detail!$H:$H,'Rates-Service Fees'!ZW$14)*100</f>
        <v>0</v>
      </c>
      <c r="ZX34">
        <f>SUMIFS(Detail!$AS:$AS,Detail!$G:$G,'Rates-Service Fees'!ZX$23,Detail!$H:$H,'Rates-Service Fees'!ZX$14)*100</f>
        <v>0</v>
      </c>
      <c r="ZY34">
        <f>SUMIFS(Detail!$AS:$AS,Detail!$G:$G,'Rates-Service Fees'!ZY$23,Detail!$H:$H,'Rates-Service Fees'!ZY$14)*100</f>
        <v>0</v>
      </c>
      <c r="ZZ34">
        <f>SUMIFS(Detail!$AS:$AS,Detail!$G:$G,'Rates-Service Fees'!ZZ$23,Detail!$H:$H,'Rates-Service Fees'!ZZ$14)*100</f>
        <v>0</v>
      </c>
      <c r="AAA34">
        <f>SUMIFS(Detail!$AS:$AS,Detail!$G:$G,'Rates-Service Fees'!AAA$23,Detail!$H:$H,'Rates-Service Fees'!AAA$14)*100</f>
        <v>0</v>
      </c>
      <c r="AAB34">
        <f>SUMIFS(Detail!$AS:$AS,Detail!$G:$G,'Rates-Service Fees'!AAB$23,Detail!$H:$H,'Rates-Service Fees'!AAB$14)*100</f>
        <v>0</v>
      </c>
      <c r="AAC34">
        <f>SUMIFS(Detail!$AS:$AS,Detail!$G:$G,'Rates-Service Fees'!AAC$23,Detail!$H:$H,'Rates-Service Fees'!AAC$14)*100</f>
        <v>0</v>
      </c>
      <c r="AAD34">
        <f>SUMIFS(Detail!$AS:$AS,Detail!$G:$G,'Rates-Service Fees'!AAD$23,Detail!$H:$H,'Rates-Service Fees'!AAD$14)*100</f>
        <v>0</v>
      </c>
      <c r="AAE34">
        <f>SUMIFS(Detail!$AS:$AS,Detail!$G:$G,'Rates-Service Fees'!AAE$23,Detail!$H:$H,'Rates-Service Fees'!AAE$14)*100</f>
        <v>0</v>
      </c>
      <c r="AAF34">
        <f>SUMIFS(Detail!$AS:$AS,Detail!$G:$G,'Rates-Service Fees'!AAF$23,Detail!$H:$H,'Rates-Service Fees'!AAF$14)*100</f>
        <v>0</v>
      </c>
      <c r="AAG34">
        <f>SUMIFS(Detail!$AS:$AS,Detail!$G:$G,'Rates-Service Fees'!AAG$23,Detail!$H:$H,'Rates-Service Fees'!AAG$14)*100</f>
        <v>0</v>
      </c>
      <c r="AAH34">
        <f>SUMIFS(Detail!$AS:$AS,Detail!$G:$G,'Rates-Service Fees'!AAH$23,Detail!$H:$H,'Rates-Service Fees'!AAH$14)*100</f>
        <v>0</v>
      </c>
      <c r="AAI34">
        <f>SUMIFS(Detail!$AS:$AS,Detail!$G:$G,'Rates-Service Fees'!AAI$23,Detail!$H:$H,'Rates-Service Fees'!AAI$14)*100</f>
        <v>0</v>
      </c>
      <c r="AAJ34">
        <f>SUMIFS(Detail!$AS:$AS,Detail!$G:$G,'Rates-Service Fees'!AAJ$23,Detail!$H:$H,'Rates-Service Fees'!AAJ$14)*100</f>
        <v>0</v>
      </c>
      <c r="AAK34">
        <f>SUMIFS(Detail!$AS:$AS,Detail!$G:$G,'Rates-Service Fees'!AAK$23,Detail!$H:$H,'Rates-Service Fees'!AAK$14)*100</f>
        <v>0</v>
      </c>
      <c r="AAL34">
        <f>SUMIFS(Detail!$AS:$AS,Detail!$G:$G,'Rates-Service Fees'!AAL$23,Detail!$H:$H,'Rates-Service Fees'!AAL$14)*100</f>
        <v>0</v>
      </c>
      <c r="AAM34">
        <f>SUMIFS(Detail!$AS:$AS,Detail!$G:$G,'Rates-Service Fees'!AAM$23,Detail!$H:$H,'Rates-Service Fees'!AAM$14)*100</f>
        <v>0</v>
      </c>
      <c r="AAN34">
        <f>SUMIFS(Detail!$AS:$AS,Detail!$G:$G,'Rates-Service Fees'!AAN$23,Detail!$H:$H,'Rates-Service Fees'!AAN$14)*100</f>
        <v>0</v>
      </c>
      <c r="AAO34">
        <f>SUMIFS(Detail!$AS:$AS,Detail!$G:$G,'Rates-Service Fees'!AAO$23,Detail!$H:$H,'Rates-Service Fees'!AAO$14)*100</f>
        <v>0</v>
      </c>
      <c r="AAP34">
        <f>SUMIFS(Detail!$AS:$AS,Detail!$G:$G,'Rates-Service Fees'!AAP$23,Detail!$H:$H,'Rates-Service Fees'!AAP$14)*100</f>
        <v>0</v>
      </c>
      <c r="AAQ34">
        <f>SUMIFS(Detail!$AS:$AS,Detail!$G:$G,'Rates-Service Fees'!AAQ$23,Detail!$H:$H,'Rates-Service Fees'!AAQ$14)*100</f>
        <v>0</v>
      </c>
      <c r="AAR34">
        <f>SUMIFS(Detail!$AS:$AS,Detail!$G:$G,'Rates-Service Fees'!AAR$23,Detail!$H:$H,'Rates-Service Fees'!AAR$14)*100</f>
        <v>0</v>
      </c>
      <c r="AAS34">
        <f>SUMIFS(Detail!$AS:$AS,Detail!$G:$G,'Rates-Service Fees'!AAS$23,Detail!$H:$H,'Rates-Service Fees'!AAS$14)*100</f>
        <v>0</v>
      </c>
      <c r="AAT34">
        <f>SUMIFS(Detail!$AS:$AS,Detail!$G:$G,'Rates-Service Fees'!AAT$23,Detail!$H:$H,'Rates-Service Fees'!AAT$14)*100</f>
        <v>0</v>
      </c>
      <c r="AAU34">
        <f>SUMIFS(Detail!$AS:$AS,Detail!$G:$G,'Rates-Service Fees'!AAU$23,Detail!$H:$H,'Rates-Service Fees'!AAU$14)*100</f>
        <v>0</v>
      </c>
      <c r="AAV34">
        <f>SUMIFS(Detail!$AS:$AS,Detail!$G:$G,'Rates-Service Fees'!AAV$23,Detail!$H:$H,'Rates-Service Fees'!AAV$14)*100</f>
        <v>0</v>
      </c>
      <c r="AAW34">
        <f>SUMIFS(Detail!$AS:$AS,Detail!$G:$G,'Rates-Service Fees'!AAW$23,Detail!$H:$H,'Rates-Service Fees'!AAW$14)*100</f>
        <v>0</v>
      </c>
      <c r="AAX34">
        <f>SUMIFS(Detail!$AS:$AS,Detail!$G:$G,'Rates-Service Fees'!AAX$23,Detail!$H:$H,'Rates-Service Fees'!AAX$14)*100</f>
        <v>0</v>
      </c>
      <c r="AAY34">
        <f>SUMIFS(Detail!$AS:$AS,Detail!$G:$G,'Rates-Service Fees'!AAY$23,Detail!$H:$H,'Rates-Service Fees'!AAY$14)*100</f>
        <v>0</v>
      </c>
      <c r="AAZ34">
        <f>SUMIFS(Detail!$AS:$AS,Detail!$G:$G,'Rates-Service Fees'!AAZ$23,Detail!$H:$H,'Rates-Service Fees'!AAZ$14)*100</f>
        <v>0</v>
      </c>
      <c r="ABA34">
        <f>SUMIFS(Detail!$AS:$AS,Detail!$G:$G,'Rates-Service Fees'!ABA$23,Detail!$H:$H,'Rates-Service Fees'!ABA$14)*100</f>
        <v>0</v>
      </c>
      <c r="ABB34">
        <f>SUMIFS(Detail!$AS:$AS,Detail!$G:$G,'Rates-Service Fees'!ABB$23,Detail!$H:$H,'Rates-Service Fees'!ABB$14)*100</f>
        <v>0</v>
      </c>
      <c r="ABC34">
        <f>SUMIFS(Detail!$AS:$AS,Detail!$G:$G,'Rates-Service Fees'!ABC$23,Detail!$H:$H,'Rates-Service Fees'!ABC$14)*100</f>
        <v>0</v>
      </c>
      <c r="ABD34">
        <f>SUMIFS(Detail!$AS:$AS,Detail!$G:$G,'Rates-Service Fees'!ABD$23,Detail!$H:$H,'Rates-Service Fees'!ABD$14)*100</f>
        <v>0</v>
      </c>
      <c r="ABE34">
        <f>SUMIFS(Detail!$AS:$AS,Detail!$G:$G,'Rates-Service Fees'!ABE$23,Detail!$H:$H,'Rates-Service Fees'!ABE$14)*100</f>
        <v>0</v>
      </c>
      <c r="ABF34">
        <f>SUMIFS(Detail!$AS:$AS,Detail!$G:$G,'Rates-Service Fees'!ABF$23,Detail!$H:$H,'Rates-Service Fees'!ABF$14)*100</f>
        <v>0</v>
      </c>
      <c r="ABG34">
        <f>SUMIFS(Detail!$AS:$AS,Detail!$G:$G,'Rates-Service Fees'!ABG$23,Detail!$H:$H,'Rates-Service Fees'!ABG$14)*100</f>
        <v>0</v>
      </c>
      <c r="ABH34">
        <f>SUMIFS(Detail!$AS:$AS,Detail!$G:$G,'Rates-Service Fees'!ABH$23,Detail!$H:$H,'Rates-Service Fees'!ABH$14)*100</f>
        <v>0</v>
      </c>
      <c r="ABI34">
        <f>SUMIFS(Detail!$AS:$AS,Detail!$G:$G,'Rates-Service Fees'!ABI$23,Detail!$H:$H,'Rates-Service Fees'!ABI$14)*100</f>
        <v>0</v>
      </c>
      <c r="ABJ34">
        <f>SUMIFS(Detail!$AS:$AS,Detail!$G:$G,'Rates-Service Fees'!ABJ$23,Detail!$H:$H,'Rates-Service Fees'!ABJ$14)*100</f>
        <v>0</v>
      </c>
      <c r="ABK34">
        <f>SUMIFS(Detail!$AS:$AS,Detail!$G:$G,'Rates-Service Fees'!ABK$23,Detail!$H:$H,'Rates-Service Fees'!ABK$14)*100</f>
        <v>0</v>
      </c>
      <c r="ABL34">
        <f>SUMIFS(Detail!$AS:$AS,Detail!$G:$G,'Rates-Service Fees'!ABL$23,Detail!$H:$H,'Rates-Service Fees'!ABL$14)*100</f>
        <v>0</v>
      </c>
      <c r="ABM34">
        <f>SUMIFS(Detail!$AS:$AS,Detail!$G:$G,'Rates-Service Fees'!ABM$23,Detail!$H:$H,'Rates-Service Fees'!ABM$14)*100</f>
        <v>0</v>
      </c>
      <c r="ABN34">
        <f>SUMIFS(Detail!$AS:$AS,Detail!$G:$G,'Rates-Service Fees'!ABN$23,Detail!$H:$H,'Rates-Service Fees'!ABN$14)*100</f>
        <v>0</v>
      </c>
      <c r="ABO34">
        <f>SUMIFS(Detail!$AS:$AS,Detail!$G:$G,'Rates-Service Fees'!ABO$23,Detail!$H:$H,'Rates-Service Fees'!ABO$14)*100</f>
        <v>0</v>
      </c>
      <c r="ABP34">
        <f>SUMIFS(Detail!$AS:$AS,Detail!$G:$G,'Rates-Service Fees'!ABP$23,Detail!$H:$H,'Rates-Service Fees'!ABP$14)*100</f>
        <v>0</v>
      </c>
      <c r="ABQ34">
        <f>SUMIFS(Detail!$AS:$AS,Detail!$G:$G,'Rates-Service Fees'!ABQ$23,Detail!$H:$H,'Rates-Service Fees'!ABQ$14)*100</f>
        <v>0</v>
      </c>
      <c r="ABR34">
        <f>SUMIFS(Detail!$AS:$AS,Detail!$G:$G,'Rates-Service Fees'!ABR$23,Detail!$H:$H,'Rates-Service Fees'!ABR$14)*100</f>
        <v>0</v>
      </c>
      <c r="ABS34">
        <f>SUMIFS(Detail!$AS:$AS,Detail!$G:$G,'Rates-Service Fees'!ABS$23,Detail!$H:$H,'Rates-Service Fees'!ABS$14)*100</f>
        <v>0</v>
      </c>
      <c r="ABT34">
        <f>SUMIFS(Detail!$AS:$AS,Detail!$G:$G,'Rates-Service Fees'!ABT$23,Detail!$H:$H,'Rates-Service Fees'!ABT$14)*100</f>
        <v>0</v>
      </c>
      <c r="ABU34">
        <f>SUMIFS(Detail!$AS:$AS,Detail!$G:$G,'Rates-Service Fees'!ABU$23,Detail!$H:$H,'Rates-Service Fees'!ABU$14)*100</f>
        <v>0</v>
      </c>
      <c r="ABV34">
        <f>SUMIFS(Detail!$AS:$AS,Detail!$G:$G,'Rates-Service Fees'!ABV$23,Detail!$H:$H,'Rates-Service Fees'!ABV$14)*100</f>
        <v>0</v>
      </c>
      <c r="ABW34">
        <f>SUMIFS(Detail!$AS:$AS,Detail!$G:$G,'Rates-Service Fees'!ABW$23,Detail!$H:$H,'Rates-Service Fees'!ABW$14)*100</f>
        <v>0</v>
      </c>
      <c r="ABX34">
        <f>SUMIFS(Detail!$AS:$AS,Detail!$G:$G,'Rates-Service Fees'!ABX$23,Detail!$H:$H,'Rates-Service Fees'!ABX$14)*100</f>
        <v>0</v>
      </c>
      <c r="ABY34">
        <f>SUMIFS(Detail!$AS:$AS,Detail!$G:$G,'Rates-Service Fees'!ABY$23,Detail!$H:$H,'Rates-Service Fees'!ABY$14)*100</f>
        <v>0</v>
      </c>
      <c r="ABZ34">
        <f>SUMIFS(Detail!$AS:$AS,Detail!$G:$G,'Rates-Service Fees'!ABZ$23,Detail!$H:$H,'Rates-Service Fees'!ABZ$14)*100</f>
        <v>0</v>
      </c>
      <c r="ACA34">
        <f>SUMIFS(Detail!$AS:$AS,Detail!$G:$G,'Rates-Service Fees'!ACA$23,Detail!$H:$H,'Rates-Service Fees'!ACA$14)*100</f>
        <v>0</v>
      </c>
      <c r="ACB34">
        <f>SUMIFS(Detail!$AS:$AS,Detail!$G:$G,'Rates-Service Fees'!ACB$23,Detail!$H:$H,'Rates-Service Fees'!ACB$14)*100</f>
        <v>0</v>
      </c>
      <c r="ACC34">
        <f>SUMIFS(Detail!$AS:$AS,Detail!$G:$G,'Rates-Service Fees'!ACC$23,Detail!$H:$H,'Rates-Service Fees'!ACC$14)*100</f>
        <v>0</v>
      </c>
      <c r="ACD34">
        <f>SUMIFS(Detail!$AS:$AS,Detail!$G:$G,'Rates-Service Fees'!ACD$23,Detail!$H:$H,'Rates-Service Fees'!ACD$14)*100</f>
        <v>0</v>
      </c>
      <c r="ACE34">
        <f>SUMIFS(Detail!$AS:$AS,Detail!$G:$G,'Rates-Service Fees'!ACE$23,Detail!$H:$H,'Rates-Service Fees'!ACE$14)*100</f>
        <v>0</v>
      </c>
      <c r="ACF34">
        <f>SUMIFS(Detail!$AS:$AS,Detail!$G:$G,'Rates-Service Fees'!ACF$23,Detail!$H:$H,'Rates-Service Fees'!ACF$14)*100</f>
        <v>0</v>
      </c>
      <c r="ACG34">
        <f>SUMIFS(Detail!$AS:$AS,Detail!$G:$G,'Rates-Service Fees'!ACG$23,Detail!$H:$H,'Rates-Service Fees'!ACG$14)*100</f>
        <v>0</v>
      </c>
      <c r="ACH34">
        <f>SUMIFS(Detail!$AS:$AS,Detail!$G:$G,'Rates-Service Fees'!ACH$23,Detail!$H:$H,'Rates-Service Fees'!ACH$14)*100</f>
        <v>0</v>
      </c>
      <c r="ACI34">
        <f>SUMIFS(Detail!$AS:$AS,Detail!$G:$G,'Rates-Service Fees'!ACI$23,Detail!$H:$H,'Rates-Service Fees'!ACI$14)*100</f>
        <v>0</v>
      </c>
      <c r="ACJ34">
        <f>SUMIFS(Detail!$AS:$AS,Detail!$G:$G,'Rates-Service Fees'!ACJ$23,Detail!$H:$H,'Rates-Service Fees'!ACJ$14)*100</f>
        <v>0</v>
      </c>
      <c r="ACK34">
        <f>SUMIFS(Detail!$AS:$AS,Detail!$G:$G,'Rates-Service Fees'!ACK$23,Detail!$H:$H,'Rates-Service Fees'!ACK$14)*100</f>
        <v>0</v>
      </c>
      <c r="ACL34">
        <f>SUMIFS(Detail!$AS:$AS,Detail!$G:$G,'Rates-Service Fees'!ACL$23,Detail!$H:$H,'Rates-Service Fees'!ACL$14)*100</f>
        <v>0</v>
      </c>
      <c r="ACM34">
        <f>SUMIFS(Detail!$AS:$AS,Detail!$G:$G,'Rates-Service Fees'!ACM$23,Detail!$H:$H,'Rates-Service Fees'!ACM$14)*100</f>
        <v>0</v>
      </c>
      <c r="ACN34">
        <f>SUMIFS(Detail!$AS:$AS,Detail!$G:$G,'Rates-Service Fees'!ACN$23,Detail!$H:$H,'Rates-Service Fees'!ACN$14)*100</f>
        <v>0</v>
      </c>
      <c r="ACO34">
        <f>SUMIFS(Detail!$AS:$AS,Detail!$G:$G,'Rates-Service Fees'!ACO$23,Detail!$H:$H,'Rates-Service Fees'!ACO$14)*100</f>
        <v>0</v>
      </c>
      <c r="ACP34">
        <f>SUMIFS(Detail!$AS:$AS,Detail!$G:$G,'Rates-Service Fees'!ACP$23,Detail!$H:$H,'Rates-Service Fees'!ACP$14)*100</f>
        <v>0</v>
      </c>
      <c r="ACQ34">
        <f>SUMIFS(Detail!$AS:$AS,Detail!$G:$G,'Rates-Service Fees'!ACQ$23,Detail!$H:$H,'Rates-Service Fees'!ACQ$14)*100</f>
        <v>0</v>
      </c>
      <c r="ACR34">
        <f>SUMIFS(Detail!$AS:$AS,Detail!$G:$G,'Rates-Service Fees'!ACR$23,Detail!$H:$H,'Rates-Service Fees'!ACR$14)*100</f>
        <v>0</v>
      </c>
      <c r="ACS34">
        <f>SUMIFS(Detail!$AS:$AS,Detail!$G:$G,'Rates-Service Fees'!ACS$23,Detail!$H:$H,'Rates-Service Fees'!ACS$14)*100</f>
        <v>0</v>
      </c>
      <c r="ACT34">
        <f>SUMIFS(Detail!$AS:$AS,Detail!$G:$G,'Rates-Service Fees'!ACT$23,Detail!$H:$H,'Rates-Service Fees'!ACT$14)*100</f>
        <v>0</v>
      </c>
      <c r="ACU34">
        <f>SUMIFS(Detail!$AS:$AS,Detail!$G:$G,'Rates-Service Fees'!ACU$23,Detail!$H:$H,'Rates-Service Fees'!ACU$14)*100</f>
        <v>0</v>
      </c>
      <c r="ACV34">
        <f>SUMIFS(Detail!$AS:$AS,Detail!$G:$G,'Rates-Service Fees'!ACV$23,Detail!$H:$H,'Rates-Service Fees'!ACV$14)*100</f>
        <v>0</v>
      </c>
      <c r="ACW34">
        <f>SUMIFS(Detail!$AS:$AS,Detail!$G:$G,'Rates-Service Fees'!ACW$23,Detail!$H:$H,'Rates-Service Fees'!ACW$14)*100</f>
        <v>0</v>
      </c>
      <c r="ACX34">
        <f>SUMIFS(Detail!$AS:$AS,Detail!$G:$G,'Rates-Service Fees'!ACX$23,Detail!$H:$H,'Rates-Service Fees'!ACX$14)*100</f>
        <v>0</v>
      </c>
      <c r="ACY34">
        <f>SUMIFS(Detail!$AS:$AS,Detail!$G:$G,'Rates-Service Fees'!ACY$23,Detail!$H:$H,'Rates-Service Fees'!ACY$14)*100</f>
        <v>0</v>
      </c>
      <c r="ACZ34">
        <f>SUMIFS(Detail!$AS:$AS,Detail!$G:$G,'Rates-Service Fees'!ACZ$23,Detail!$H:$H,'Rates-Service Fees'!ACZ$14)*100</f>
        <v>0</v>
      </c>
      <c r="ADA34">
        <f>SUMIFS(Detail!$AS:$AS,Detail!$G:$G,'Rates-Service Fees'!ADA$23,Detail!$H:$H,'Rates-Service Fees'!ADA$14)*100</f>
        <v>0</v>
      </c>
      <c r="ADB34">
        <f>SUMIFS(Detail!$AS:$AS,Detail!$G:$G,'Rates-Service Fees'!ADB$23,Detail!$H:$H,'Rates-Service Fees'!ADB$14)*100</f>
        <v>0</v>
      </c>
      <c r="ADC34">
        <f>SUMIFS(Detail!$AS:$AS,Detail!$G:$G,'Rates-Service Fees'!ADC$23,Detail!$H:$H,'Rates-Service Fees'!ADC$14)*100</f>
        <v>0</v>
      </c>
      <c r="ADD34">
        <f>SUMIFS(Detail!$AS:$AS,Detail!$G:$G,'Rates-Service Fees'!ADD$23,Detail!$H:$H,'Rates-Service Fees'!ADD$14)*100</f>
        <v>0</v>
      </c>
      <c r="ADE34">
        <f>SUMIFS(Detail!$AS:$AS,Detail!$G:$G,'Rates-Service Fees'!ADE$23,Detail!$H:$H,'Rates-Service Fees'!ADE$14)*100</f>
        <v>0</v>
      </c>
      <c r="ADF34">
        <f>SUMIFS(Detail!$AS:$AS,Detail!$G:$G,'Rates-Service Fees'!ADF$23,Detail!$H:$H,'Rates-Service Fees'!ADF$14)*100</f>
        <v>0</v>
      </c>
      <c r="ADG34">
        <f>SUMIFS(Detail!$AS:$AS,Detail!$G:$G,'Rates-Service Fees'!ADG$23,Detail!$H:$H,'Rates-Service Fees'!ADG$14)*100</f>
        <v>0</v>
      </c>
      <c r="ADH34">
        <f>SUMIFS(Detail!$AS:$AS,Detail!$G:$G,'Rates-Service Fees'!ADH$23,Detail!$H:$H,'Rates-Service Fees'!ADH$14)*100</f>
        <v>0</v>
      </c>
      <c r="ADI34">
        <f>SUMIFS(Detail!$AS:$AS,Detail!$G:$G,'Rates-Service Fees'!ADI$23,Detail!$H:$H,'Rates-Service Fees'!ADI$14)*100</f>
        <v>0</v>
      </c>
      <c r="ADJ34">
        <f>SUMIFS(Detail!$AS:$AS,Detail!$G:$G,'Rates-Service Fees'!ADJ$23,Detail!$H:$H,'Rates-Service Fees'!ADJ$14)*100</f>
        <v>0</v>
      </c>
      <c r="ADK34">
        <f>SUMIFS(Detail!$AS:$AS,Detail!$G:$G,'Rates-Service Fees'!ADK$23,Detail!$H:$H,'Rates-Service Fees'!ADK$14)*100</f>
        <v>0</v>
      </c>
      <c r="ADL34">
        <f>SUMIFS(Detail!$AS:$AS,Detail!$G:$G,'Rates-Service Fees'!ADL$23,Detail!$H:$H,'Rates-Service Fees'!ADL$14)*100</f>
        <v>0</v>
      </c>
      <c r="ADM34">
        <f>SUMIFS(Detail!$AS:$AS,Detail!$G:$G,'Rates-Service Fees'!ADM$23,Detail!$H:$H,'Rates-Service Fees'!ADM$14)*100</f>
        <v>0</v>
      </c>
      <c r="ADN34">
        <f>SUMIFS(Detail!$AS:$AS,Detail!$G:$G,'Rates-Service Fees'!ADN$23,Detail!$H:$H,'Rates-Service Fees'!ADN$14)*100</f>
        <v>0</v>
      </c>
      <c r="ADO34">
        <f>SUMIFS(Detail!$AS:$AS,Detail!$G:$G,'Rates-Service Fees'!ADO$23,Detail!$H:$H,'Rates-Service Fees'!ADO$14)*100</f>
        <v>0</v>
      </c>
      <c r="ADP34">
        <f>SUMIFS(Detail!$AS:$AS,Detail!$G:$G,'Rates-Service Fees'!ADP$23,Detail!$H:$H,'Rates-Service Fees'!ADP$14)*100</f>
        <v>0</v>
      </c>
      <c r="ADQ34">
        <f>SUMIFS(Detail!$AS:$AS,Detail!$G:$G,'Rates-Service Fees'!ADQ$23,Detail!$H:$H,'Rates-Service Fees'!ADQ$14)*100</f>
        <v>0</v>
      </c>
      <c r="ADR34">
        <f>SUMIFS(Detail!$AS:$AS,Detail!$G:$G,'Rates-Service Fees'!ADR$23,Detail!$H:$H,'Rates-Service Fees'!ADR$14)*100</f>
        <v>0</v>
      </c>
      <c r="ADS34">
        <f>SUMIFS(Detail!$AS:$AS,Detail!$G:$G,'Rates-Service Fees'!ADS$23,Detail!$H:$H,'Rates-Service Fees'!ADS$14)*100</f>
        <v>0</v>
      </c>
      <c r="ADT34">
        <f>SUMIFS(Detail!$AS:$AS,Detail!$G:$G,'Rates-Service Fees'!ADT$23,Detail!$H:$H,'Rates-Service Fees'!ADT$14)*100</f>
        <v>0</v>
      </c>
      <c r="ADU34">
        <f>SUMIFS(Detail!$AS:$AS,Detail!$G:$G,'Rates-Service Fees'!ADU$23,Detail!$H:$H,'Rates-Service Fees'!ADU$14)*100</f>
        <v>0</v>
      </c>
      <c r="ADV34">
        <f>SUMIFS(Detail!$AS:$AS,Detail!$G:$G,'Rates-Service Fees'!ADV$23,Detail!$H:$H,'Rates-Service Fees'!ADV$14)*100</f>
        <v>0</v>
      </c>
      <c r="ADW34">
        <f>SUMIFS(Detail!$AS:$AS,Detail!$G:$G,'Rates-Service Fees'!ADW$23,Detail!$H:$H,'Rates-Service Fees'!ADW$14)*100</f>
        <v>0</v>
      </c>
      <c r="ADX34">
        <f>SUMIFS(Detail!$AS:$AS,Detail!$G:$G,'Rates-Service Fees'!ADX$23,Detail!$H:$H,'Rates-Service Fees'!ADX$14)*100</f>
        <v>0</v>
      </c>
      <c r="ADY34">
        <f>SUMIFS(Detail!$AS:$AS,Detail!$G:$G,'Rates-Service Fees'!ADY$23,Detail!$H:$H,'Rates-Service Fees'!ADY$14)*100</f>
        <v>0</v>
      </c>
      <c r="ADZ34">
        <f>SUMIFS(Detail!$AS:$AS,Detail!$G:$G,'Rates-Service Fees'!ADZ$23,Detail!$H:$H,'Rates-Service Fees'!ADZ$14)*100</f>
        <v>0</v>
      </c>
      <c r="AEA34">
        <f>SUMIFS(Detail!$AS:$AS,Detail!$G:$G,'Rates-Service Fees'!AEA$23,Detail!$H:$H,'Rates-Service Fees'!AEA$14)*100</f>
        <v>0</v>
      </c>
      <c r="AEB34">
        <f>SUMIFS(Detail!$AS:$AS,Detail!$G:$G,'Rates-Service Fees'!AEB$23,Detail!$H:$H,'Rates-Service Fees'!AEB$14)*100</f>
        <v>0</v>
      </c>
      <c r="AEC34">
        <f>SUMIFS(Detail!$AS:$AS,Detail!$G:$G,'Rates-Service Fees'!AEC$23,Detail!$H:$H,'Rates-Service Fees'!AEC$14)*100</f>
        <v>0</v>
      </c>
      <c r="AED34">
        <f>SUMIFS(Detail!$AS:$AS,Detail!$G:$G,'Rates-Service Fees'!AED$23,Detail!$H:$H,'Rates-Service Fees'!AED$14)*100</f>
        <v>0</v>
      </c>
      <c r="AEE34">
        <f>SUMIFS(Detail!$AS:$AS,Detail!$G:$G,'Rates-Service Fees'!AEE$23,Detail!$H:$H,'Rates-Service Fees'!AEE$14)*100</f>
        <v>0</v>
      </c>
      <c r="AEF34">
        <f>SUMIFS(Detail!$AS:$AS,Detail!$G:$G,'Rates-Service Fees'!AEF$23,Detail!$H:$H,'Rates-Service Fees'!AEF$14)*100</f>
        <v>0</v>
      </c>
      <c r="AEG34">
        <f>SUMIFS(Detail!$AS:$AS,Detail!$G:$G,'Rates-Service Fees'!AEG$23,Detail!$H:$H,'Rates-Service Fees'!AEG$14)*100</f>
        <v>0</v>
      </c>
      <c r="AEH34">
        <f>SUMIFS(Detail!$AS:$AS,Detail!$G:$G,'Rates-Service Fees'!AEH$23,Detail!$H:$H,'Rates-Service Fees'!AEH$14)*100</f>
        <v>0</v>
      </c>
      <c r="AEI34">
        <f>SUMIFS(Detail!$AS:$AS,Detail!$G:$G,'Rates-Service Fees'!AEI$23,Detail!$H:$H,'Rates-Service Fees'!AEI$14)*100</f>
        <v>0</v>
      </c>
      <c r="AEJ34">
        <f>SUMIFS(Detail!$AS:$AS,Detail!$G:$G,'Rates-Service Fees'!AEJ$23,Detail!$H:$H,'Rates-Service Fees'!AEJ$14)*100</f>
        <v>0</v>
      </c>
      <c r="AEK34">
        <f>SUMIFS(Detail!$AS:$AS,Detail!$G:$G,'Rates-Service Fees'!AEK$23,Detail!$H:$H,'Rates-Service Fees'!AEK$14)*100</f>
        <v>0</v>
      </c>
      <c r="AEL34">
        <f>SUMIFS(Detail!$AS:$AS,Detail!$G:$G,'Rates-Service Fees'!AEL$23,Detail!$H:$H,'Rates-Service Fees'!AEL$14)*100</f>
        <v>0</v>
      </c>
      <c r="AEM34">
        <f>SUMIFS(Detail!$AS:$AS,Detail!$G:$G,'Rates-Service Fees'!AEM$23,Detail!$H:$H,'Rates-Service Fees'!AEM$14)*100</f>
        <v>0</v>
      </c>
      <c r="AEN34">
        <f>SUMIFS(Detail!$AS:$AS,Detail!$G:$G,'Rates-Service Fees'!AEN$23,Detail!$H:$H,'Rates-Service Fees'!AEN$14)*100</f>
        <v>0</v>
      </c>
      <c r="AEO34">
        <f>SUMIFS(Detail!$AS:$AS,Detail!$G:$G,'Rates-Service Fees'!AEO$23,Detail!$H:$H,'Rates-Service Fees'!AEO$14)*100</f>
        <v>0</v>
      </c>
      <c r="AEP34">
        <f>SUMIFS(Detail!$AS:$AS,Detail!$G:$G,'Rates-Service Fees'!AEP$23,Detail!$H:$H,'Rates-Service Fees'!AEP$14)*100</f>
        <v>0</v>
      </c>
      <c r="AEQ34">
        <f>SUMIFS(Detail!$AS:$AS,Detail!$G:$G,'Rates-Service Fees'!AEQ$23,Detail!$H:$H,'Rates-Service Fees'!AEQ$14)*100</f>
        <v>0</v>
      </c>
      <c r="AER34">
        <f>SUMIFS(Detail!$AS:$AS,Detail!$G:$G,'Rates-Service Fees'!AER$23,Detail!$H:$H,'Rates-Service Fees'!AER$14)*100</f>
        <v>0</v>
      </c>
      <c r="AES34">
        <f>SUMIFS(Detail!$AS:$AS,Detail!$G:$G,'Rates-Service Fees'!AES$23,Detail!$H:$H,'Rates-Service Fees'!AES$14)*100</f>
        <v>0</v>
      </c>
      <c r="AET34">
        <f>SUMIFS(Detail!$AS:$AS,Detail!$G:$G,'Rates-Service Fees'!AET$23,Detail!$H:$H,'Rates-Service Fees'!AET$14)*100</f>
        <v>0</v>
      </c>
      <c r="AEU34">
        <f>SUMIFS(Detail!$AS:$AS,Detail!$G:$G,'Rates-Service Fees'!AEU$23,Detail!$H:$H,'Rates-Service Fees'!AEU$14)*100</f>
        <v>0</v>
      </c>
      <c r="AEV34">
        <f>SUMIFS(Detail!$AS:$AS,Detail!$G:$G,'Rates-Service Fees'!AEV$23,Detail!$H:$H,'Rates-Service Fees'!AEV$14)*100</f>
        <v>0</v>
      </c>
      <c r="AEW34">
        <f>SUMIFS(Detail!$AS:$AS,Detail!$G:$G,'Rates-Service Fees'!AEW$23,Detail!$H:$H,'Rates-Service Fees'!AEW$14)*100</f>
        <v>0</v>
      </c>
      <c r="AEX34">
        <f>SUMIFS(Detail!$AS:$AS,Detail!$G:$G,'Rates-Service Fees'!AEX$23,Detail!$H:$H,'Rates-Service Fees'!AEX$14)*100</f>
        <v>0</v>
      </c>
      <c r="AEY34">
        <f>SUMIFS(Detail!$AS:$AS,Detail!$G:$G,'Rates-Service Fees'!AEY$23,Detail!$H:$H,'Rates-Service Fees'!AEY$14)*100</f>
        <v>0</v>
      </c>
      <c r="AEZ34">
        <f>SUMIFS(Detail!$AS:$AS,Detail!$G:$G,'Rates-Service Fees'!AEZ$23,Detail!$H:$H,'Rates-Service Fees'!AEZ$14)*100</f>
        <v>0</v>
      </c>
      <c r="AFA34">
        <f>SUMIFS(Detail!$AS:$AS,Detail!$G:$G,'Rates-Service Fees'!AFA$23,Detail!$H:$H,'Rates-Service Fees'!AFA$14)*100</f>
        <v>0</v>
      </c>
      <c r="AFB34">
        <f>SUMIFS(Detail!$AS:$AS,Detail!$G:$G,'Rates-Service Fees'!AFB$23,Detail!$H:$H,'Rates-Service Fees'!AFB$14)*100</f>
        <v>0</v>
      </c>
      <c r="AFC34">
        <f>SUMIFS(Detail!$AS:$AS,Detail!$G:$G,'Rates-Service Fees'!AFC$23,Detail!$H:$H,'Rates-Service Fees'!AFC$14)*100</f>
        <v>0</v>
      </c>
      <c r="AFD34">
        <f>SUMIFS(Detail!$AS:$AS,Detail!$G:$G,'Rates-Service Fees'!AFD$23,Detail!$H:$H,'Rates-Service Fees'!AFD$14)*100</f>
        <v>0</v>
      </c>
      <c r="AFE34">
        <f>SUMIFS(Detail!$AS:$AS,Detail!$G:$G,'Rates-Service Fees'!AFE$23,Detail!$H:$H,'Rates-Service Fees'!AFE$14)*100</f>
        <v>0</v>
      </c>
      <c r="AFF34">
        <f>SUMIFS(Detail!$AS:$AS,Detail!$G:$G,'Rates-Service Fees'!AFF$23,Detail!$H:$H,'Rates-Service Fees'!AFF$14)*100</f>
        <v>0</v>
      </c>
      <c r="AFG34">
        <f>SUMIFS(Detail!$AS:$AS,Detail!$G:$G,'Rates-Service Fees'!AFG$23,Detail!$H:$H,'Rates-Service Fees'!AFG$14)*100</f>
        <v>0</v>
      </c>
      <c r="AFH34">
        <f>SUMIFS(Detail!$AS:$AS,Detail!$G:$G,'Rates-Service Fees'!AFH$23,Detail!$H:$H,'Rates-Service Fees'!AFH$14)*100</f>
        <v>0</v>
      </c>
      <c r="AFI34">
        <f>SUMIFS(Detail!$AS:$AS,Detail!$G:$G,'Rates-Service Fees'!AFI$23,Detail!$H:$H,'Rates-Service Fees'!AFI$14)*100</f>
        <v>0</v>
      </c>
      <c r="AFJ34">
        <f>SUMIFS(Detail!$AS:$AS,Detail!$G:$G,'Rates-Service Fees'!AFJ$23,Detail!$H:$H,'Rates-Service Fees'!AFJ$14)*100</f>
        <v>0</v>
      </c>
      <c r="AFK34">
        <f>SUMIFS(Detail!$AS:$AS,Detail!$G:$G,'Rates-Service Fees'!AFK$23,Detail!$H:$H,'Rates-Service Fees'!AFK$14)*100</f>
        <v>0</v>
      </c>
      <c r="AFL34">
        <f>SUMIFS(Detail!$AS:$AS,Detail!$G:$G,'Rates-Service Fees'!AFL$23,Detail!$H:$H,'Rates-Service Fees'!AFL$14)*100</f>
        <v>0</v>
      </c>
      <c r="AFM34">
        <f>SUMIFS(Detail!$AS:$AS,Detail!$G:$G,'Rates-Service Fees'!AFM$23,Detail!$H:$H,'Rates-Service Fees'!AFM$14)*100</f>
        <v>0</v>
      </c>
      <c r="AFN34">
        <f>SUMIFS(Detail!$AS:$AS,Detail!$G:$G,'Rates-Service Fees'!AFN$23,Detail!$H:$H,'Rates-Service Fees'!AFN$14)*100</f>
        <v>0</v>
      </c>
      <c r="AFO34">
        <f>SUMIFS(Detail!$AS:$AS,Detail!$G:$G,'Rates-Service Fees'!AFO$23,Detail!$H:$H,'Rates-Service Fees'!AFO$14)*100</f>
        <v>0</v>
      </c>
      <c r="AFP34">
        <f>SUMIFS(Detail!$AS:$AS,Detail!$G:$G,'Rates-Service Fees'!AFP$23,Detail!$H:$H,'Rates-Service Fees'!AFP$14)*100</f>
        <v>0</v>
      </c>
      <c r="AFQ34">
        <f>SUMIFS(Detail!$AS:$AS,Detail!$G:$G,'Rates-Service Fees'!AFQ$23,Detail!$H:$H,'Rates-Service Fees'!AFQ$14)*100</f>
        <v>0</v>
      </c>
      <c r="AFR34">
        <f>SUMIFS(Detail!$AS:$AS,Detail!$G:$G,'Rates-Service Fees'!AFR$23,Detail!$H:$H,'Rates-Service Fees'!AFR$14)*100</f>
        <v>0</v>
      </c>
      <c r="AFS34">
        <f>SUMIFS(Detail!$AS:$AS,Detail!$G:$G,'Rates-Service Fees'!AFS$23,Detail!$H:$H,'Rates-Service Fees'!AFS$14)*100</f>
        <v>0</v>
      </c>
      <c r="AFT34">
        <f>SUMIFS(Detail!$AS:$AS,Detail!$G:$G,'Rates-Service Fees'!AFT$23,Detail!$H:$H,'Rates-Service Fees'!AFT$14)*100</f>
        <v>0</v>
      </c>
      <c r="AFU34">
        <f>SUMIFS(Detail!$AS:$AS,Detail!$G:$G,'Rates-Service Fees'!AFU$23,Detail!$H:$H,'Rates-Service Fees'!AFU$14)*100</f>
        <v>0</v>
      </c>
      <c r="AFV34">
        <f>SUMIFS(Detail!$AS:$AS,Detail!$G:$G,'Rates-Service Fees'!AFV$23,Detail!$H:$H,'Rates-Service Fees'!AFV$14)*100</f>
        <v>0</v>
      </c>
      <c r="AFW34">
        <f>SUMIFS(Detail!$AS:$AS,Detail!$G:$G,'Rates-Service Fees'!AFW$23,Detail!$H:$H,'Rates-Service Fees'!AFW$14)*100</f>
        <v>0</v>
      </c>
      <c r="AFX34">
        <f>SUMIFS(Detail!$AS:$AS,Detail!$G:$G,'Rates-Service Fees'!AFX$23,Detail!$H:$H,'Rates-Service Fees'!AFX$14)*100</f>
        <v>0</v>
      </c>
      <c r="AFY34">
        <f>SUMIFS(Detail!$AS:$AS,Detail!$G:$G,'Rates-Service Fees'!AFY$23,Detail!$H:$H,'Rates-Service Fees'!AFY$14)*100</f>
        <v>0</v>
      </c>
      <c r="AFZ34">
        <f>SUMIFS(Detail!$AS:$AS,Detail!$G:$G,'Rates-Service Fees'!AFZ$23,Detail!$H:$H,'Rates-Service Fees'!AFZ$14)*100</f>
        <v>0</v>
      </c>
      <c r="AGA34">
        <f>SUMIFS(Detail!$AS:$AS,Detail!$G:$G,'Rates-Service Fees'!AGA$23,Detail!$H:$H,'Rates-Service Fees'!AGA$14)*100</f>
        <v>0</v>
      </c>
      <c r="AGB34">
        <f>SUMIFS(Detail!$AS:$AS,Detail!$G:$G,'Rates-Service Fees'!AGB$23,Detail!$H:$H,'Rates-Service Fees'!AGB$14)*100</f>
        <v>0</v>
      </c>
      <c r="AGC34">
        <f>SUMIFS(Detail!$AS:$AS,Detail!$G:$G,'Rates-Service Fees'!AGC$23,Detail!$H:$H,'Rates-Service Fees'!AGC$14)*100</f>
        <v>0</v>
      </c>
      <c r="AGD34">
        <f>SUMIFS(Detail!$AS:$AS,Detail!$G:$G,'Rates-Service Fees'!AGD$23,Detail!$H:$H,'Rates-Service Fees'!AGD$14)*100</f>
        <v>0</v>
      </c>
      <c r="AGE34">
        <f>SUMIFS(Detail!$AS:$AS,Detail!$G:$G,'Rates-Service Fees'!AGE$23,Detail!$H:$H,'Rates-Service Fees'!AGE$14)*100</f>
        <v>0</v>
      </c>
      <c r="AGF34">
        <f>SUMIFS(Detail!$AS:$AS,Detail!$G:$G,'Rates-Service Fees'!AGF$23,Detail!$H:$H,'Rates-Service Fees'!AGF$14)*100</f>
        <v>0</v>
      </c>
      <c r="AGG34">
        <f>SUMIFS(Detail!$AS:$AS,Detail!$G:$G,'Rates-Service Fees'!AGG$23,Detail!$H:$H,'Rates-Service Fees'!AGG$14)*100</f>
        <v>0</v>
      </c>
      <c r="AGH34">
        <f>SUMIFS(Detail!$AS:$AS,Detail!$G:$G,'Rates-Service Fees'!AGH$23,Detail!$H:$H,'Rates-Service Fees'!AGH$14)*100</f>
        <v>0</v>
      </c>
      <c r="AGI34">
        <f>SUMIFS(Detail!$AS:$AS,Detail!$G:$G,'Rates-Service Fees'!AGI$23,Detail!$H:$H,'Rates-Service Fees'!AGI$14)*100</f>
        <v>0</v>
      </c>
      <c r="AGJ34">
        <f>SUMIFS(Detail!$AS:$AS,Detail!$G:$G,'Rates-Service Fees'!AGJ$23,Detail!$H:$H,'Rates-Service Fees'!AGJ$14)*100</f>
        <v>0</v>
      </c>
      <c r="AGK34">
        <f>SUMIFS(Detail!$AS:$AS,Detail!$G:$G,'Rates-Service Fees'!AGK$23,Detail!$H:$H,'Rates-Service Fees'!AGK$14)*100</f>
        <v>0</v>
      </c>
      <c r="AGL34">
        <f>SUMIFS(Detail!$AS:$AS,Detail!$G:$G,'Rates-Service Fees'!AGL$23,Detail!$H:$H,'Rates-Service Fees'!AGL$14)*100</f>
        <v>0</v>
      </c>
      <c r="AGM34">
        <f>SUMIFS(Detail!$AS:$AS,Detail!$G:$G,'Rates-Service Fees'!AGM$23,Detail!$H:$H,'Rates-Service Fees'!AGM$14)*100</f>
        <v>0</v>
      </c>
      <c r="AGN34">
        <f>SUMIFS(Detail!$AS:$AS,Detail!$G:$G,'Rates-Service Fees'!AGN$23,Detail!$H:$H,'Rates-Service Fees'!AGN$14)*100</f>
        <v>0</v>
      </c>
      <c r="AGO34">
        <f>SUMIFS(Detail!$AS:$AS,Detail!$G:$G,'Rates-Service Fees'!AGO$23,Detail!$H:$H,'Rates-Service Fees'!AGO$14)*100</f>
        <v>0</v>
      </c>
      <c r="AGP34">
        <f>SUMIFS(Detail!$AS:$AS,Detail!$G:$G,'Rates-Service Fees'!AGP$23,Detail!$H:$H,'Rates-Service Fees'!AGP$14)*100</f>
        <v>0</v>
      </c>
      <c r="AGQ34">
        <f>SUMIFS(Detail!$AS:$AS,Detail!$G:$G,'Rates-Service Fees'!AGQ$23,Detail!$H:$H,'Rates-Service Fees'!AGQ$14)*100</f>
        <v>0</v>
      </c>
      <c r="AGR34">
        <f>SUMIFS(Detail!$AS:$AS,Detail!$G:$G,'Rates-Service Fees'!AGR$23,Detail!$H:$H,'Rates-Service Fees'!AGR$14)*100</f>
        <v>0</v>
      </c>
      <c r="AGS34">
        <f>SUMIFS(Detail!$AS:$AS,Detail!$G:$G,'Rates-Service Fees'!AGS$23,Detail!$H:$H,'Rates-Service Fees'!AGS$14)*100</f>
        <v>0</v>
      </c>
      <c r="AGT34">
        <f>SUMIFS(Detail!$AS:$AS,Detail!$G:$G,'Rates-Service Fees'!AGT$23,Detail!$H:$H,'Rates-Service Fees'!AGT$14)*100</f>
        <v>0</v>
      </c>
      <c r="AGU34">
        <f>SUMIFS(Detail!$AS:$AS,Detail!$G:$G,'Rates-Service Fees'!AGU$23,Detail!$H:$H,'Rates-Service Fees'!AGU$14)*100</f>
        <v>0</v>
      </c>
      <c r="AGV34">
        <f>SUMIFS(Detail!$AS:$AS,Detail!$G:$G,'Rates-Service Fees'!AGV$23,Detail!$H:$H,'Rates-Service Fees'!AGV$14)*100</f>
        <v>0</v>
      </c>
      <c r="AGW34">
        <f>SUMIFS(Detail!$AS:$AS,Detail!$G:$G,'Rates-Service Fees'!AGW$23,Detail!$H:$H,'Rates-Service Fees'!AGW$14)*100</f>
        <v>0</v>
      </c>
      <c r="AGX34">
        <f>SUMIFS(Detail!$AS:$AS,Detail!$G:$G,'Rates-Service Fees'!AGX$23,Detail!$H:$H,'Rates-Service Fees'!AGX$14)*100</f>
        <v>0</v>
      </c>
      <c r="AGY34">
        <f>SUMIFS(Detail!$AS:$AS,Detail!$G:$G,'Rates-Service Fees'!AGY$23,Detail!$H:$H,'Rates-Service Fees'!AGY$14)*100</f>
        <v>0</v>
      </c>
      <c r="AGZ34">
        <f>SUMIFS(Detail!$AS:$AS,Detail!$G:$G,'Rates-Service Fees'!AGZ$23,Detail!$H:$H,'Rates-Service Fees'!AGZ$14)*100</f>
        <v>0</v>
      </c>
      <c r="AHA34">
        <f>SUMIFS(Detail!$AS:$AS,Detail!$G:$G,'Rates-Service Fees'!AHA$23,Detail!$H:$H,'Rates-Service Fees'!AHA$14)*100</f>
        <v>0</v>
      </c>
      <c r="AHB34">
        <f>SUMIFS(Detail!$AS:$AS,Detail!$G:$G,'Rates-Service Fees'!AHB$23,Detail!$H:$H,'Rates-Service Fees'!AHB$14)*100</f>
        <v>0</v>
      </c>
      <c r="AHC34">
        <f>SUMIFS(Detail!$AS:$AS,Detail!$G:$G,'Rates-Service Fees'!AHC$23,Detail!$H:$H,'Rates-Service Fees'!AHC$14)*100</f>
        <v>0</v>
      </c>
      <c r="AHD34">
        <f>SUMIFS(Detail!$AS:$AS,Detail!$G:$G,'Rates-Service Fees'!AHD$23,Detail!$H:$H,'Rates-Service Fees'!AHD$14)*100</f>
        <v>0</v>
      </c>
      <c r="AHE34">
        <f>SUMIFS(Detail!$AS:$AS,Detail!$G:$G,'Rates-Service Fees'!AHE$23,Detail!$H:$H,'Rates-Service Fees'!AHE$14)*100</f>
        <v>0</v>
      </c>
      <c r="AHF34">
        <f>SUMIFS(Detail!$AS:$AS,Detail!$G:$G,'Rates-Service Fees'!AHF$23,Detail!$H:$H,'Rates-Service Fees'!AHF$14)*100</f>
        <v>0</v>
      </c>
      <c r="AHG34">
        <f>SUMIFS(Detail!$AS:$AS,Detail!$G:$G,'Rates-Service Fees'!AHG$23,Detail!$H:$H,'Rates-Service Fees'!AHG$14)*100</f>
        <v>0</v>
      </c>
      <c r="AHH34">
        <f>SUMIFS(Detail!$AS:$AS,Detail!$G:$G,'Rates-Service Fees'!AHH$23,Detail!$H:$H,'Rates-Service Fees'!AHH$14)*100</f>
        <v>0</v>
      </c>
      <c r="AHI34">
        <f>SUMIFS(Detail!$AS:$AS,Detail!$G:$G,'Rates-Service Fees'!AHI$23,Detail!$H:$H,'Rates-Service Fees'!AHI$14)*100</f>
        <v>0</v>
      </c>
      <c r="AHJ34">
        <f>SUMIFS(Detail!$AS:$AS,Detail!$G:$G,'Rates-Service Fees'!AHJ$23,Detail!$H:$H,'Rates-Service Fees'!AHJ$14)*100</f>
        <v>0</v>
      </c>
      <c r="AHK34">
        <f>SUMIFS(Detail!$AS:$AS,Detail!$G:$G,'Rates-Service Fees'!AHK$23,Detail!$H:$H,'Rates-Service Fees'!AHK$14)*100</f>
        <v>0</v>
      </c>
      <c r="AHL34">
        <f>SUMIFS(Detail!$AS:$AS,Detail!$G:$G,'Rates-Service Fees'!AHL$23,Detail!$H:$H,'Rates-Service Fees'!AHL$14)*100</f>
        <v>0</v>
      </c>
      <c r="AHM34">
        <f>SUMIFS(Detail!$AS:$AS,Detail!$G:$G,'Rates-Service Fees'!AHM$23,Detail!$H:$H,'Rates-Service Fees'!AHM$14)*100</f>
        <v>0</v>
      </c>
      <c r="AHN34">
        <f>SUMIFS(Detail!$AS:$AS,Detail!$G:$G,'Rates-Service Fees'!AHN$23,Detail!$H:$H,'Rates-Service Fees'!AHN$14)*100</f>
        <v>0</v>
      </c>
      <c r="AHO34">
        <f>SUMIFS(Detail!$AS:$AS,Detail!$G:$G,'Rates-Service Fees'!AHO$23,Detail!$H:$H,'Rates-Service Fees'!AHO$14)*100</f>
        <v>0</v>
      </c>
      <c r="AHP34">
        <f>SUMIFS(Detail!$AS:$AS,Detail!$G:$G,'Rates-Service Fees'!AHP$23,Detail!$H:$H,'Rates-Service Fees'!AHP$14)*100</f>
        <v>0</v>
      </c>
      <c r="AHQ34">
        <f>SUMIFS(Detail!$AS:$AS,Detail!$G:$G,'Rates-Service Fees'!AHQ$23,Detail!$H:$H,'Rates-Service Fees'!AHQ$14)*100</f>
        <v>0</v>
      </c>
      <c r="AHR34">
        <f>SUMIFS(Detail!$AS:$AS,Detail!$G:$G,'Rates-Service Fees'!AHR$23,Detail!$H:$H,'Rates-Service Fees'!AHR$14)*100</f>
        <v>0</v>
      </c>
      <c r="AHS34">
        <f>SUMIFS(Detail!$AS:$AS,Detail!$G:$G,'Rates-Service Fees'!AHS$23,Detail!$H:$H,'Rates-Service Fees'!AHS$14)*100</f>
        <v>0</v>
      </c>
      <c r="AHT34">
        <f>SUMIFS(Detail!$AS:$AS,Detail!$G:$G,'Rates-Service Fees'!AHT$23,Detail!$H:$H,'Rates-Service Fees'!AHT$14)*100</f>
        <v>0</v>
      </c>
      <c r="AHU34">
        <f>SUMIFS(Detail!$AS:$AS,Detail!$G:$G,'Rates-Service Fees'!AHU$23,Detail!$H:$H,'Rates-Service Fees'!AHU$14)*100</f>
        <v>0</v>
      </c>
      <c r="AHV34">
        <f>SUMIFS(Detail!$AS:$AS,Detail!$G:$G,'Rates-Service Fees'!AHV$23,Detail!$H:$H,'Rates-Service Fees'!AHV$14)*100</f>
        <v>0</v>
      </c>
      <c r="AHW34">
        <f>SUMIFS(Detail!$AS:$AS,Detail!$G:$G,'Rates-Service Fees'!AHW$23,Detail!$H:$H,'Rates-Service Fees'!AHW$14)*100</f>
        <v>0</v>
      </c>
      <c r="AHX34">
        <f>SUMIFS(Detail!$AS:$AS,Detail!$G:$G,'Rates-Service Fees'!AHX$23,Detail!$H:$H,'Rates-Service Fees'!AHX$14)*100</f>
        <v>0</v>
      </c>
      <c r="AHY34">
        <f>SUMIFS(Detail!$AS:$AS,Detail!$G:$G,'Rates-Service Fees'!AHY$23,Detail!$H:$H,'Rates-Service Fees'!AHY$14)*100</f>
        <v>0</v>
      </c>
      <c r="AHZ34">
        <f>SUMIFS(Detail!$AS:$AS,Detail!$G:$G,'Rates-Service Fees'!AHZ$23,Detail!$H:$H,'Rates-Service Fees'!AHZ$14)*100</f>
        <v>0</v>
      </c>
      <c r="AIA34">
        <f>SUMIFS(Detail!$AS:$AS,Detail!$G:$G,'Rates-Service Fees'!AIA$23,Detail!$H:$H,'Rates-Service Fees'!AIA$14)*100</f>
        <v>0</v>
      </c>
      <c r="AIB34">
        <f>SUMIFS(Detail!$AS:$AS,Detail!$G:$G,'Rates-Service Fees'!AIB$23,Detail!$H:$H,'Rates-Service Fees'!AIB$14)*100</f>
        <v>0</v>
      </c>
      <c r="AIC34">
        <f>SUMIFS(Detail!$AS:$AS,Detail!$G:$G,'Rates-Service Fees'!AIC$23,Detail!$H:$H,'Rates-Service Fees'!AIC$14)*100</f>
        <v>0</v>
      </c>
      <c r="AID34">
        <f>SUMIFS(Detail!$AS:$AS,Detail!$G:$G,'Rates-Service Fees'!AID$23,Detail!$H:$H,'Rates-Service Fees'!AID$14)*100</f>
        <v>0</v>
      </c>
      <c r="AIE34">
        <f>SUMIFS(Detail!$AS:$AS,Detail!$G:$G,'Rates-Service Fees'!AIE$23,Detail!$H:$H,'Rates-Service Fees'!AIE$14)*100</f>
        <v>0</v>
      </c>
      <c r="AIF34">
        <f>SUMIFS(Detail!$AS:$AS,Detail!$G:$G,'Rates-Service Fees'!AIF$23,Detail!$H:$H,'Rates-Service Fees'!AIF$14)*100</f>
        <v>0</v>
      </c>
      <c r="AIG34">
        <f>SUMIFS(Detail!$AS:$AS,Detail!$G:$G,'Rates-Service Fees'!AIG$23,Detail!$H:$H,'Rates-Service Fees'!AIG$14)*100</f>
        <v>0</v>
      </c>
      <c r="AIH34">
        <f>SUMIFS(Detail!$AS:$AS,Detail!$G:$G,'Rates-Service Fees'!AIH$23,Detail!$H:$H,'Rates-Service Fees'!AIH$14)*100</f>
        <v>0</v>
      </c>
      <c r="AII34">
        <f>SUMIFS(Detail!$AS:$AS,Detail!$G:$G,'Rates-Service Fees'!AII$23,Detail!$H:$H,'Rates-Service Fees'!AII$14)*100</f>
        <v>0</v>
      </c>
      <c r="AIJ34">
        <f>SUMIFS(Detail!$AS:$AS,Detail!$G:$G,'Rates-Service Fees'!AIJ$23,Detail!$H:$H,'Rates-Service Fees'!AIJ$14)*100</f>
        <v>0</v>
      </c>
      <c r="AIK34">
        <f>SUMIFS(Detail!$AS:$AS,Detail!$G:$G,'Rates-Service Fees'!AIK$23,Detail!$H:$H,'Rates-Service Fees'!AIK$14)*100</f>
        <v>0</v>
      </c>
      <c r="AIL34">
        <f>SUMIFS(Detail!$AS:$AS,Detail!$G:$G,'Rates-Service Fees'!AIL$23,Detail!$H:$H,'Rates-Service Fees'!AIL$14)*100</f>
        <v>0</v>
      </c>
      <c r="AIM34">
        <f>SUMIFS(Detail!$AS:$AS,Detail!$G:$G,'Rates-Service Fees'!AIM$23,Detail!$H:$H,'Rates-Service Fees'!AIM$14)*100</f>
        <v>0</v>
      </c>
      <c r="AIN34">
        <f>SUMIFS(Detail!$AS:$AS,Detail!$G:$G,'Rates-Service Fees'!AIN$23,Detail!$H:$H,'Rates-Service Fees'!AIN$14)*100</f>
        <v>0</v>
      </c>
      <c r="AIO34">
        <f>SUMIFS(Detail!$AS:$AS,Detail!$G:$G,'Rates-Service Fees'!AIO$23,Detail!$H:$H,'Rates-Service Fees'!AIO$14)*100</f>
        <v>0</v>
      </c>
      <c r="AIP34">
        <f>SUMIFS(Detail!$AS:$AS,Detail!$G:$G,'Rates-Service Fees'!AIP$23,Detail!$H:$H,'Rates-Service Fees'!AIP$14)*100</f>
        <v>0</v>
      </c>
      <c r="AIQ34">
        <f>SUMIFS(Detail!$AS:$AS,Detail!$G:$G,'Rates-Service Fees'!AIQ$23,Detail!$H:$H,'Rates-Service Fees'!AIQ$14)*100</f>
        <v>0</v>
      </c>
      <c r="AIR34">
        <f>SUMIFS(Detail!$AS:$AS,Detail!$G:$G,'Rates-Service Fees'!AIR$23,Detail!$H:$H,'Rates-Service Fees'!AIR$14)*100</f>
        <v>0</v>
      </c>
      <c r="AIS34">
        <f>SUMIFS(Detail!$AS:$AS,Detail!$G:$G,'Rates-Service Fees'!AIS$23,Detail!$H:$H,'Rates-Service Fees'!AIS$14)*100</f>
        <v>0</v>
      </c>
      <c r="AIT34">
        <f>SUMIFS(Detail!$AS:$AS,Detail!$G:$G,'Rates-Service Fees'!AIT$23,Detail!$H:$H,'Rates-Service Fees'!AIT$14)*100</f>
        <v>0</v>
      </c>
      <c r="AIU34">
        <f>SUMIFS(Detail!$AS:$AS,Detail!$G:$G,'Rates-Service Fees'!AIU$23,Detail!$H:$H,'Rates-Service Fees'!AIU$14)*100</f>
        <v>0</v>
      </c>
      <c r="AIV34">
        <f>SUMIFS(Detail!$AS:$AS,Detail!$G:$G,'Rates-Service Fees'!AIV$23,Detail!$H:$H,'Rates-Service Fees'!AIV$14)*100</f>
        <v>0</v>
      </c>
      <c r="AIW34">
        <f>SUMIFS(Detail!$AS:$AS,Detail!$G:$G,'Rates-Service Fees'!AIW$23,Detail!$H:$H,'Rates-Service Fees'!AIW$14)*100</f>
        <v>0</v>
      </c>
      <c r="AIX34">
        <f>SUMIFS(Detail!$AS:$AS,Detail!$G:$G,'Rates-Service Fees'!AIX$23,Detail!$H:$H,'Rates-Service Fees'!AIX$14)*100</f>
        <v>0</v>
      </c>
      <c r="AIY34">
        <f>SUMIFS(Detail!$AS:$AS,Detail!$G:$G,'Rates-Service Fees'!AIY$23,Detail!$H:$H,'Rates-Service Fees'!AIY$14)*100</f>
        <v>0</v>
      </c>
      <c r="AIZ34">
        <f>SUMIFS(Detail!$AS:$AS,Detail!$G:$G,'Rates-Service Fees'!AIZ$23,Detail!$H:$H,'Rates-Service Fees'!AIZ$14)*100</f>
        <v>0</v>
      </c>
      <c r="AJA34">
        <f>SUMIFS(Detail!$AS:$AS,Detail!$G:$G,'Rates-Service Fees'!AJA$23,Detail!$H:$H,'Rates-Service Fees'!AJA$14)*100</f>
        <v>0</v>
      </c>
      <c r="AJB34">
        <f>SUMIFS(Detail!$AS:$AS,Detail!$G:$G,'Rates-Service Fees'!AJB$23,Detail!$H:$H,'Rates-Service Fees'!AJB$14)*100</f>
        <v>0</v>
      </c>
      <c r="AJC34">
        <f>SUMIFS(Detail!$AS:$AS,Detail!$G:$G,'Rates-Service Fees'!AJC$23,Detail!$H:$H,'Rates-Service Fees'!AJC$14)*100</f>
        <v>0</v>
      </c>
      <c r="AJD34">
        <f>SUMIFS(Detail!$AS:$AS,Detail!$G:$G,'Rates-Service Fees'!AJD$23,Detail!$H:$H,'Rates-Service Fees'!AJD$14)*100</f>
        <v>0</v>
      </c>
      <c r="AJE34">
        <f>SUMIFS(Detail!$AS:$AS,Detail!$G:$G,'Rates-Service Fees'!AJE$23,Detail!$H:$H,'Rates-Service Fees'!AJE$14)*100</f>
        <v>0</v>
      </c>
      <c r="AJF34">
        <f>SUMIFS(Detail!$AS:$AS,Detail!$G:$G,'Rates-Service Fees'!AJF$23,Detail!$H:$H,'Rates-Service Fees'!AJF$14)*100</f>
        <v>0</v>
      </c>
      <c r="AJG34">
        <f>SUMIFS(Detail!$AS:$AS,Detail!$G:$G,'Rates-Service Fees'!AJG$23,Detail!$H:$H,'Rates-Service Fees'!AJG$14)*100</f>
        <v>0</v>
      </c>
      <c r="AJH34">
        <f>SUMIFS(Detail!$AS:$AS,Detail!$G:$G,'Rates-Service Fees'!AJH$23,Detail!$H:$H,'Rates-Service Fees'!AJH$14)*100</f>
        <v>0</v>
      </c>
      <c r="AJI34">
        <f>SUMIFS(Detail!$AS:$AS,Detail!$G:$G,'Rates-Service Fees'!AJI$23,Detail!$H:$H,'Rates-Service Fees'!AJI$14)*100</f>
        <v>0</v>
      </c>
      <c r="AJJ34">
        <f>SUMIFS(Detail!$AS:$AS,Detail!$G:$G,'Rates-Service Fees'!AJJ$23,Detail!$H:$H,'Rates-Service Fees'!AJJ$14)*100</f>
        <v>0</v>
      </c>
      <c r="AJK34">
        <f>SUMIFS(Detail!$AS:$AS,Detail!$G:$G,'Rates-Service Fees'!AJK$23,Detail!$H:$H,'Rates-Service Fees'!AJK$14)*100</f>
        <v>0</v>
      </c>
      <c r="AJL34">
        <f>SUMIFS(Detail!$AS:$AS,Detail!$G:$G,'Rates-Service Fees'!AJL$23,Detail!$H:$H,'Rates-Service Fees'!AJL$14)*100</f>
        <v>0</v>
      </c>
      <c r="AJM34">
        <f>SUMIFS(Detail!$AS:$AS,Detail!$G:$G,'Rates-Service Fees'!AJM$23,Detail!$H:$H,'Rates-Service Fees'!AJM$14)*100</f>
        <v>0</v>
      </c>
      <c r="AJN34">
        <f>SUMIFS(Detail!$AS:$AS,Detail!$G:$G,'Rates-Service Fees'!AJN$23,Detail!$H:$H,'Rates-Service Fees'!AJN$14)*100</f>
        <v>0</v>
      </c>
      <c r="AJO34">
        <f>SUMIFS(Detail!$AS:$AS,Detail!$G:$G,'Rates-Service Fees'!AJO$23,Detail!$H:$H,'Rates-Service Fees'!AJO$14)*100</f>
        <v>0</v>
      </c>
      <c r="AJP34">
        <f>SUMIFS(Detail!$AS:$AS,Detail!$G:$G,'Rates-Service Fees'!AJP$23,Detail!$H:$H,'Rates-Service Fees'!AJP$14)*100</f>
        <v>0</v>
      </c>
      <c r="AJQ34">
        <f>SUMIFS(Detail!$AS:$AS,Detail!$G:$G,'Rates-Service Fees'!AJQ$23,Detail!$H:$H,'Rates-Service Fees'!AJQ$14)*100</f>
        <v>0</v>
      </c>
      <c r="AJR34">
        <f>SUMIFS(Detail!$AS:$AS,Detail!$G:$G,'Rates-Service Fees'!AJR$23,Detail!$H:$H,'Rates-Service Fees'!AJR$14)*100</f>
        <v>0</v>
      </c>
      <c r="AJS34">
        <f>SUMIFS(Detail!$AS:$AS,Detail!$G:$G,'Rates-Service Fees'!AJS$23,Detail!$H:$H,'Rates-Service Fees'!AJS$14)*100</f>
        <v>0</v>
      </c>
      <c r="AJT34">
        <f>SUMIFS(Detail!$AS:$AS,Detail!$G:$G,'Rates-Service Fees'!AJT$23,Detail!$H:$H,'Rates-Service Fees'!AJT$14)*100</f>
        <v>0</v>
      </c>
      <c r="AJU34">
        <f>SUMIFS(Detail!$AS:$AS,Detail!$G:$G,'Rates-Service Fees'!AJU$23,Detail!$H:$H,'Rates-Service Fees'!AJU$14)*100</f>
        <v>0</v>
      </c>
      <c r="AJV34">
        <f>SUMIFS(Detail!$AS:$AS,Detail!$G:$G,'Rates-Service Fees'!AJV$23,Detail!$H:$H,'Rates-Service Fees'!AJV$14)*100</f>
        <v>0</v>
      </c>
      <c r="AJW34">
        <f>SUMIFS(Detail!$AS:$AS,Detail!$G:$G,'Rates-Service Fees'!AJW$23,Detail!$H:$H,'Rates-Service Fees'!AJW$14)*100</f>
        <v>0</v>
      </c>
      <c r="AJX34">
        <f>SUMIFS(Detail!$AS:$AS,Detail!$G:$G,'Rates-Service Fees'!AJX$23,Detail!$H:$H,'Rates-Service Fees'!AJX$14)*100</f>
        <v>0</v>
      </c>
      <c r="AJY34">
        <f>SUMIFS(Detail!$AS:$AS,Detail!$G:$G,'Rates-Service Fees'!AJY$23,Detail!$H:$H,'Rates-Service Fees'!AJY$14)*100</f>
        <v>0</v>
      </c>
      <c r="AJZ34">
        <f>SUMIFS(Detail!$AS:$AS,Detail!$G:$G,'Rates-Service Fees'!AJZ$23,Detail!$H:$H,'Rates-Service Fees'!AJZ$14)*100</f>
        <v>0</v>
      </c>
      <c r="AKA34">
        <f>SUMIFS(Detail!$AS:$AS,Detail!$G:$G,'Rates-Service Fees'!AKA$23,Detail!$H:$H,'Rates-Service Fees'!AKA$14)*100</f>
        <v>0</v>
      </c>
      <c r="AKB34">
        <f>SUMIFS(Detail!$AS:$AS,Detail!$G:$G,'Rates-Service Fees'!AKB$23,Detail!$H:$H,'Rates-Service Fees'!AKB$14)*100</f>
        <v>0</v>
      </c>
      <c r="AKC34">
        <f>SUMIFS(Detail!$AS:$AS,Detail!$G:$G,'Rates-Service Fees'!AKC$23,Detail!$H:$H,'Rates-Service Fees'!AKC$14)*100</f>
        <v>0</v>
      </c>
      <c r="AKD34">
        <f>SUMIFS(Detail!$AS:$AS,Detail!$G:$G,'Rates-Service Fees'!AKD$23,Detail!$H:$H,'Rates-Service Fees'!AKD$14)*100</f>
        <v>0</v>
      </c>
      <c r="AKE34">
        <f>SUMIFS(Detail!$AS:$AS,Detail!$G:$G,'Rates-Service Fees'!AKE$23,Detail!$H:$H,'Rates-Service Fees'!AKE$14)*100</f>
        <v>0</v>
      </c>
      <c r="AKF34">
        <f>SUMIFS(Detail!$AS:$AS,Detail!$G:$G,'Rates-Service Fees'!AKF$23,Detail!$H:$H,'Rates-Service Fees'!AKF$14)*100</f>
        <v>0</v>
      </c>
      <c r="AKG34">
        <f>SUMIFS(Detail!$AS:$AS,Detail!$G:$G,'Rates-Service Fees'!AKG$23,Detail!$H:$H,'Rates-Service Fees'!AKG$14)*100</f>
        <v>0</v>
      </c>
      <c r="AKH34">
        <f>SUMIFS(Detail!$AS:$AS,Detail!$G:$G,'Rates-Service Fees'!AKH$23,Detail!$H:$H,'Rates-Service Fees'!AKH$14)*100</f>
        <v>0</v>
      </c>
      <c r="AKI34">
        <f>SUMIFS(Detail!$AS:$AS,Detail!$G:$G,'Rates-Service Fees'!AKI$23,Detail!$H:$H,'Rates-Service Fees'!AKI$14)*100</f>
        <v>0</v>
      </c>
      <c r="AKJ34">
        <f>SUMIFS(Detail!$AS:$AS,Detail!$G:$G,'Rates-Service Fees'!AKJ$23,Detail!$H:$H,'Rates-Service Fees'!AKJ$14)*100</f>
        <v>0</v>
      </c>
      <c r="AKK34">
        <f>SUMIFS(Detail!$AS:$AS,Detail!$G:$G,'Rates-Service Fees'!AKK$23,Detail!$H:$H,'Rates-Service Fees'!AKK$14)*100</f>
        <v>0</v>
      </c>
      <c r="AKL34">
        <f>SUMIFS(Detail!$AS:$AS,Detail!$G:$G,'Rates-Service Fees'!AKL$23,Detail!$H:$H,'Rates-Service Fees'!AKL$14)*100</f>
        <v>0</v>
      </c>
      <c r="AKM34">
        <f>SUMIFS(Detail!$AS:$AS,Detail!$G:$G,'Rates-Service Fees'!AKM$23,Detail!$H:$H,'Rates-Service Fees'!AKM$14)*100</f>
        <v>0</v>
      </c>
      <c r="AKN34">
        <f>SUMIFS(Detail!$AS:$AS,Detail!$G:$G,'Rates-Service Fees'!AKN$23,Detail!$H:$H,'Rates-Service Fees'!AKN$14)*100</f>
        <v>0</v>
      </c>
      <c r="AKO34">
        <f>SUMIFS(Detail!$AS:$AS,Detail!$G:$G,'Rates-Service Fees'!AKO$23,Detail!$H:$H,'Rates-Service Fees'!AKO$14)*100</f>
        <v>0</v>
      </c>
      <c r="AKP34">
        <f>SUMIFS(Detail!$AS:$AS,Detail!$G:$G,'Rates-Service Fees'!AKP$23,Detail!$H:$H,'Rates-Service Fees'!AKP$14)*100</f>
        <v>0</v>
      </c>
      <c r="AKQ34">
        <f>SUMIFS(Detail!$AS:$AS,Detail!$G:$G,'Rates-Service Fees'!AKQ$23,Detail!$H:$H,'Rates-Service Fees'!AKQ$14)*100</f>
        <v>0</v>
      </c>
      <c r="AKR34">
        <f>SUMIFS(Detail!$AS:$AS,Detail!$G:$G,'Rates-Service Fees'!AKR$23,Detail!$H:$H,'Rates-Service Fees'!AKR$14)*100</f>
        <v>0</v>
      </c>
      <c r="AKS34">
        <f>SUMIFS(Detail!$AS:$AS,Detail!$G:$G,'Rates-Service Fees'!AKS$23,Detail!$H:$H,'Rates-Service Fees'!AKS$14)*100</f>
        <v>0</v>
      </c>
      <c r="AKT34">
        <f>SUMIFS(Detail!$AS:$AS,Detail!$G:$G,'Rates-Service Fees'!AKT$23,Detail!$H:$H,'Rates-Service Fees'!AKT$14)*100</f>
        <v>0</v>
      </c>
      <c r="AKU34">
        <f>SUMIFS(Detail!$AS:$AS,Detail!$G:$G,'Rates-Service Fees'!AKU$23,Detail!$H:$H,'Rates-Service Fees'!AKU$14)*100</f>
        <v>0</v>
      </c>
      <c r="AKV34">
        <f>SUMIFS(Detail!$AS:$AS,Detail!$G:$G,'Rates-Service Fees'!AKV$23,Detail!$H:$H,'Rates-Service Fees'!AKV$14)*100</f>
        <v>0</v>
      </c>
      <c r="AKW34">
        <f>SUMIFS(Detail!$AS:$AS,Detail!$G:$G,'Rates-Service Fees'!AKW$23,Detail!$H:$H,'Rates-Service Fees'!AKW$14)*100</f>
        <v>0</v>
      </c>
      <c r="AKX34">
        <f>SUMIFS(Detail!$AS:$AS,Detail!$G:$G,'Rates-Service Fees'!AKX$23,Detail!$H:$H,'Rates-Service Fees'!AKX$14)*100</f>
        <v>0</v>
      </c>
      <c r="AKY34">
        <f>SUMIFS(Detail!$AS:$AS,Detail!$G:$G,'Rates-Service Fees'!AKY$23,Detail!$H:$H,'Rates-Service Fees'!AKY$14)*100</f>
        <v>0</v>
      </c>
      <c r="AKZ34">
        <f>SUMIFS(Detail!$AS:$AS,Detail!$G:$G,'Rates-Service Fees'!AKZ$23,Detail!$H:$H,'Rates-Service Fees'!AKZ$14)*100</f>
        <v>0</v>
      </c>
      <c r="ALA34">
        <f>SUMIFS(Detail!$AS:$AS,Detail!$G:$G,'Rates-Service Fees'!ALA$23,Detail!$H:$H,'Rates-Service Fees'!ALA$14)*100</f>
        <v>0</v>
      </c>
      <c r="ALB34">
        <f>SUMIFS(Detail!$AS:$AS,Detail!$G:$G,'Rates-Service Fees'!ALB$23,Detail!$H:$H,'Rates-Service Fees'!ALB$14)*100</f>
        <v>0</v>
      </c>
      <c r="ALC34">
        <f>SUMIFS(Detail!$AS:$AS,Detail!$G:$G,'Rates-Service Fees'!ALC$23,Detail!$H:$H,'Rates-Service Fees'!ALC$14)*100</f>
        <v>0</v>
      </c>
      <c r="ALD34">
        <f>SUMIFS(Detail!$AS:$AS,Detail!$G:$G,'Rates-Service Fees'!ALD$23,Detail!$H:$H,'Rates-Service Fees'!ALD$14)*100</f>
        <v>0</v>
      </c>
      <c r="ALE34">
        <f>SUMIFS(Detail!$AS:$AS,Detail!$G:$G,'Rates-Service Fees'!ALE$23,Detail!$H:$H,'Rates-Service Fees'!ALE$14)*100</f>
        <v>0</v>
      </c>
      <c r="ALF34">
        <f>SUMIFS(Detail!$AS:$AS,Detail!$G:$G,'Rates-Service Fees'!ALF$23,Detail!$H:$H,'Rates-Service Fees'!ALF$14)*100</f>
        <v>0</v>
      </c>
      <c r="ALG34">
        <f>SUMIFS(Detail!$AS:$AS,Detail!$G:$G,'Rates-Service Fees'!ALG$23,Detail!$H:$H,'Rates-Service Fees'!ALG$14)*100</f>
        <v>0</v>
      </c>
      <c r="ALH34">
        <f>SUMIFS(Detail!$AS:$AS,Detail!$G:$G,'Rates-Service Fees'!ALH$23,Detail!$H:$H,'Rates-Service Fees'!ALH$14)*100</f>
        <v>0</v>
      </c>
      <c r="ALI34">
        <f>SUMIFS(Detail!$AS:$AS,Detail!$G:$G,'Rates-Service Fees'!ALI$23,Detail!$H:$H,'Rates-Service Fees'!ALI$14)*100</f>
        <v>0</v>
      </c>
      <c r="ALJ34">
        <f>SUMIFS(Detail!$AS:$AS,Detail!$G:$G,'Rates-Service Fees'!ALJ$23,Detail!$H:$H,'Rates-Service Fees'!ALJ$14)*100</f>
        <v>0</v>
      </c>
      <c r="ALK34">
        <f>SUMIFS(Detail!$AS:$AS,Detail!$G:$G,'Rates-Service Fees'!ALK$23,Detail!$H:$H,'Rates-Service Fees'!ALK$14)*100</f>
        <v>0</v>
      </c>
      <c r="ALL34">
        <f>SUMIFS(Detail!$AS:$AS,Detail!$G:$G,'Rates-Service Fees'!ALL$23,Detail!$H:$H,'Rates-Service Fees'!ALL$14)*100</f>
        <v>0</v>
      </c>
      <c r="ALM34">
        <f>SUMIFS(Detail!$AS:$AS,Detail!$G:$G,'Rates-Service Fees'!ALM$23,Detail!$H:$H,'Rates-Service Fees'!ALM$14)*100</f>
        <v>0</v>
      </c>
    </row>
    <row r="35" spans="1:1001">
      <c r="A35" s="26"/>
      <c r="B35">
        <f>SUMIFS(Detail!$AW:$AW,Detail!$G:$G,'Rates-Service Fees'!B$23,Detail!$H:$H,'Rates-Service Fees'!B$14)*100</f>
        <v>0</v>
      </c>
      <c r="C35">
        <f>SUMIFS(Detail!$AW:$AW,Detail!$G:$G,'Rates-Service Fees'!C$23,Detail!$H:$H,'Rates-Service Fees'!C$14)*100</f>
        <v>0</v>
      </c>
      <c r="D35">
        <f>SUMIFS(Detail!$AW:$AW,Detail!$G:$G,'Rates-Service Fees'!D$23,Detail!$H:$H,'Rates-Service Fees'!D$14)*100</f>
        <v>0</v>
      </c>
      <c r="E35">
        <f>SUMIFS(Detail!$AW:$AW,Detail!$G:$G,'Rates-Service Fees'!E$23,Detail!$H:$H,'Rates-Service Fees'!E$14)*100</f>
        <v>0</v>
      </c>
      <c r="F35">
        <f>SUMIFS(Detail!$AW:$AW,Detail!$G:$G,'Rates-Service Fees'!F$23,Detail!$H:$H,'Rates-Service Fees'!F$14)*100</f>
        <v>0</v>
      </c>
      <c r="G35">
        <f>SUMIFS(Detail!$AW:$AW,Detail!$G:$G,'Rates-Service Fees'!G$23,Detail!$H:$H,'Rates-Service Fees'!G$14)*100</f>
        <v>0</v>
      </c>
      <c r="H35">
        <f>SUMIFS(Detail!$AW:$AW,Detail!$G:$G,'Rates-Service Fees'!H$23,Detail!$H:$H,'Rates-Service Fees'!H$14)*100</f>
        <v>0</v>
      </c>
      <c r="I35">
        <f>SUMIFS(Detail!$AW:$AW,Detail!$G:$G,'Rates-Service Fees'!I$23,Detail!$H:$H,'Rates-Service Fees'!I$14)*100</f>
        <v>0</v>
      </c>
      <c r="J35">
        <f>SUMIFS(Detail!$AW:$AW,Detail!$G:$G,'Rates-Service Fees'!J$23,Detail!$H:$H,'Rates-Service Fees'!J$14)*100</f>
        <v>0</v>
      </c>
      <c r="K35">
        <f>SUMIFS(Detail!$AW:$AW,Detail!$G:$G,'Rates-Service Fees'!K$23,Detail!$H:$H,'Rates-Service Fees'!K$14)*100</f>
        <v>0</v>
      </c>
      <c r="L35">
        <f>SUMIFS(Detail!$AW:$AW,Detail!$G:$G,'Rates-Service Fees'!L$23,Detail!$H:$H,'Rates-Service Fees'!L$14)*100</f>
        <v>0</v>
      </c>
      <c r="M35">
        <f>SUMIFS(Detail!$AW:$AW,Detail!$G:$G,'Rates-Service Fees'!M$23,Detail!$H:$H,'Rates-Service Fees'!M$14)*100</f>
        <v>0</v>
      </c>
      <c r="N35">
        <f>SUMIFS(Detail!$AW:$AW,Detail!$G:$G,'Rates-Service Fees'!N$23,Detail!$H:$H,'Rates-Service Fees'!N$14)*100</f>
        <v>0</v>
      </c>
      <c r="O35">
        <f>SUMIFS(Detail!$AW:$AW,Detail!$G:$G,'Rates-Service Fees'!O$23,Detail!$H:$H,'Rates-Service Fees'!O$14)*100</f>
        <v>0</v>
      </c>
      <c r="P35">
        <f>SUMIFS(Detail!$AW:$AW,Detail!$G:$G,'Rates-Service Fees'!P$23,Detail!$H:$H,'Rates-Service Fees'!P$14)*100</f>
        <v>0</v>
      </c>
      <c r="Q35">
        <f>SUMIFS(Detail!$AW:$AW,Detail!$G:$G,'Rates-Service Fees'!Q$23,Detail!$H:$H,'Rates-Service Fees'!Q$14)*100</f>
        <v>0</v>
      </c>
      <c r="R35">
        <f>SUMIFS(Detail!$AW:$AW,Detail!$G:$G,'Rates-Service Fees'!R$23,Detail!$H:$H,'Rates-Service Fees'!R$14)*100</f>
        <v>0</v>
      </c>
      <c r="S35">
        <f>SUMIFS(Detail!$AW:$AW,Detail!$G:$G,'Rates-Service Fees'!S$23,Detail!$H:$H,'Rates-Service Fees'!S$14)*100</f>
        <v>0</v>
      </c>
      <c r="T35">
        <f>SUMIFS(Detail!$AW:$AW,Detail!$G:$G,'Rates-Service Fees'!T$23,Detail!$H:$H,'Rates-Service Fees'!T$14)*100</f>
        <v>0</v>
      </c>
      <c r="U35">
        <f>SUMIFS(Detail!$AW:$AW,Detail!$G:$G,'Rates-Service Fees'!U$23,Detail!$H:$H,'Rates-Service Fees'!U$14)*100</f>
        <v>0</v>
      </c>
      <c r="V35">
        <f>SUMIFS(Detail!$AW:$AW,Detail!$G:$G,'Rates-Service Fees'!V$23,Detail!$H:$H,'Rates-Service Fees'!V$14)*100</f>
        <v>0</v>
      </c>
      <c r="W35">
        <f>SUMIFS(Detail!$AW:$AW,Detail!$G:$G,'Rates-Service Fees'!W$23,Detail!$H:$H,'Rates-Service Fees'!W$14)*100</f>
        <v>0</v>
      </c>
      <c r="X35">
        <f>SUMIFS(Detail!$AW:$AW,Detail!$G:$G,'Rates-Service Fees'!X$23,Detail!$H:$H,'Rates-Service Fees'!X$14)*100</f>
        <v>0</v>
      </c>
      <c r="Y35">
        <f>SUMIFS(Detail!$AW:$AW,Detail!$G:$G,'Rates-Service Fees'!Y$23,Detail!$H:$H,'Rates-Service Fees'!Y$14)*100</f>
        <v>0</v>
      </c>
      <c r="Z35">
        <f>SUMIFS(Detail!$AW:$AW,Detail!$G:$G,'Rates-Service Fees'!Z$23,Detail!$H:$H,'Rates-Service Fees'!Z$14)*100</f>
        <v>0</v>
      </c>
      <c r="AA35">
        <f>SUMIFS(Detail!$AW:$AW,Detail!$G:$G,'Rates-Service Fees'!AA$23,Detail!$H:$H,'Rates-Service Fees'!AA$14)*100</f>
        <v>0</v>
      </c>
      <c r="AB35">
        <f>SUMIFS(Detail!$AW:$AW,Detail!$G:$G,'Rates-Service Fees'!AB$23,Detail!$H:$H,'Rates-Service Fees'!AB$14)*100</f>
        <v>0</v>
      </c>
      <c r="AC35">
        <f>SUMIFS(Detail!$AW:$AW,Detail!$G:$G,'Rates-Service Fees'!AC$23,Detail!$H:$H,'Rates-Service Fees'!AC$14)*100</f>
        <v>0</v>
      </c>
      <c r="AD35">
        <f>SUMIFS(Detail!$AW:$AW,Detail!$G:$G,'Rates-Service Fees'!AD$23,Detail!$H:$H,'Rates-Service Fees'!AD$14)*100</f>
        <v>0</v>
      </c>
      <c r="AE35">
        <f>SUMIFS(Detail!$AW:$AW,Detail!$G:$G,'Rates-Service Fees'!AE$23,Detail!$H:$H,'Rates-Service Fees'!AE$14)*100</f>
        <v>0</v>
      </c>
      <c r="AF35">
        <f>SUMIFS(Detail!$AW:$AW,Detail!$G:$G,'Rates-Service Fees'!AF$23,Detail!$H:$H,'Rates-Service Fees'!AF$14)*100</f>
        <v>0</v>
      </c>
      <c r="AG35">
        <f>SUMIFS(Detail!$AW:$AW,Detail!$G:$G,'Rates-Service Fees'!AG$23,Detail!$H:$H,'Rates-Service Fees'!AG$14)*100</f>
        <v>0</v>
      </c>
      <c r="AH35">
        <f>SUMIFS(Detail!$AW:$AW,Detail!$G:$G,'Rates-Service Fees'!AH$23,Detail!$H:$H,'Rates-Service Fees'!AH$14)*100</f>
        <v>0</v>
      </c>
      <c r="AI35">
        <f>SUMIFS(Detail!$AW:$AW,Detail!$G:$G,'Rates-Service Fees'!AI$23,Detail!$H:$H,'Rates-Service Fees'!AI$14)*100</f>
        <v>0</v>
      </c>
      <c r="AJ35">
        <f>SUMIFS(Detail!$AW:$AW,Detail!$G:$G,'Rates-Service Fees'!AJ$23,Detail!$H:$H,'Rates-Service Fees'!AJ$14)*100</f>
        <v>0</v>
      </c>
      <c r="AK35">
        <f>SUMIFS(Detail!$AW:$AW,Detail!$G:$G,'Rates-Service Fees'!AK$23,Detail!$H:$H,'Rates-Service Fees'!AK$14)*100</f>
        <v>0</v>
      </c>
      <c r="AL35">
        <f>SUMIFS(Detail!$AW:$AW,Detail!$G:$G,'Rates-Service Fees'!AL$23,Detail!$H:$H,'Rates-Service Fees'!AL$14)*100</f>
        <v>0</v>
      </c>
      <c r="AM35">
        <f>SUMIFS(Detail!$AW:$AW,Detail!$G:$G,'Rates-Service Fees'!AM$23,Detail!$H:$H,'Rates-Service Fees'!AM$14)*100</f>
        <v>0</v>
      </c>
      <c r="AN35">
        <f>SUMIFS(Detail!$AW:$AW,Detail!$G:$G,'Rates-Service Fees'!AN$23,Detail!$H:$H,'Rates-Service Fees'!AN$14)*100</f>
        <v>0</v>
      </c>
      <c r="AO35">
        <f>SUMIFS(Detail!$AW:$AW,Detail!$G:$G,'Rates-Service Fees'!AO$23,Detail!$H:$H,'Rates-Service Fees'!AO$14)*100</f>
        <v>0</v>
      </c>
      <c r="AP35">
        <f>SUMIFS(Detail!$AW:$AW,Detail!$G:$G,'Rates-Service Fees'!AP$23,Detail!$H:$H,'Rates-Service Fees'!AP$14)*100</f>
        <v>0</v>
      </c>
      <c r="AQ35">
        <f>SUMIFS(Detail!$AW:$AW,Detail!$G:$G,'Rates-Service Fees'!AQ$23,Detail!$H:$H,'Rates-Service Fees'!AQ$14)*100</f>
        <v>0</v>
      </c>
      <c r="AR35">
        <f>SUMIFS(Detail!$AW:$AW,Detail!$G:$G,'Rates-Service Fees'!AR$23,Detail!$H:$H,'Rates-Service Fees'!AR$14)*100</f>
        <v>0</v>
      </c>
      <c r="AS35">
        <f>SUMIFS(Detail!$AW:$AW,Detail!$G:$G,'Rates-Service Fees'!AS$23,Detail!$H:$H,'Rates-Service Fees'!AS$14)*100</f>
        <v>0</v>
      </c>
      <c r="AT35">
        <f>SUMIFS(Detail!$AW:$AW,Detail!$G:$G,'Rates-Service Fees'!AT$23,Detail!$H:$H,'Rates-Service Fees'!AT$14)*100</f>
        <v>0</v>
      </c>
      <c r="AU35">
        <f>SUMIFS(Detail!$AW:$AW,Detail!$G:$G,'Rates-Service Fees'!AU$23,Detail!$H:$H,'Rates-Service Fees'!AU$14)*100</f>
        <v>0</v>
      </c>
      <c r="AV35">
        <f>SUMIFS(Detail!$AW:$AW,Detail!$G:$G,'Rates-Service Fees'!AV$23,Detail!$H:$H,'Rates-Service Fees'!AV$14)*100</f>
        <v>0</v>
      </c>
      <c r="AW35">
        <f>SUMIFS(Detail!$AW:$AW,Detail!$G:$G,'Rates-Service Fees'!AW$23,Detail!$H:$H,'Rates-Service Fees'!AW$14)*100</f>
        <v>0</v>
      </c>
      <c r="AX35">
        <f>SUMIFS(Detail!$AW:$AW,Detail!$G:$G,'Rates-Service Fees'!AX$23,Detail!$H:$H,'Rates-Service Fees'!AX$14)*100</f>
        <v>0</v>
      </c>
      <c r="AY35">
        <f>SUMIFS(Detail!$AW:$AW,Detail!$G:$G,'Rates-Service Fees'!AY$23,Detail!$H:$H,'Rates-Service Fees'!AY$14)*100</f>
        <v>0</v>
      </c>
      <c r="AZ35">
        <f>SUMIFS(Detail!$AW:$AW,Detail!$G:$G,'Rates-Service Fees'!AZ$23,Detail!$H:$H,'Rates-Service Fees'!AZ$14)*100</f>
        <v>0</v>
      </c>
      <c r="BA35">
        <f>SUMIFS(Detail!$AW:$AW,Detail!$G:$G,'Rates-Service Fees'!BA$23,Detail!$H:$H,'Rates-Service Fees'!BA$14)*100</f>
        <v>0</v>
      </c>
      <c r="BB35">
        <f>SUMIFS(Detail!$AW:$AW,Detail!$G:$G,'Rates-Service Fees'!BB$23,Detail!$H:$H,'Rates-Service Fees'!BB$14)*100</f>
        <v>0</v>
      </c>
      <c r="BC35">
        <f>SUMIFS(Detail!$AW:$AW,Detail!$G:$G,'Rates-Service Fees'!BC$23,Detail!$H:$H,'Rates-Service Fees'!BC$14)*100</f>
        <v>0</v>
      </c>
      <c r="BD35">
        <f>SUMIFS(Detail!$AW:$AW,Detail!$G:$G,'Rates-Service Fees'!BD$23,Detail!$H:$H,'Rates-Service Fees'!BD$14)*100</f>
        <v>0</v>
      </c>
      <c r="BE35">
        <f>SUMIFS(Detail!$AW:$AW,Detail!$G:$G,'Rates-Service Fees'!BE$23,Detail!$H:$H,'Rates-Service Fees'!BE$14)*100</f>
        <v>0</v>
      </c>
      <c r="BF35">
        <f>SUMIFS(Detail!$AW:$AW,Detail!$G:$G,'Rates-Service Fees'!BF$23,Detail!$H:$H,'Rates-Service Fees'!BF$14)*100</f>
        <v>0</v>
      </c>
      <c r="BG35">
        <f>SUMIFS(Detail!$AW:$AW,Detail!$G:$G,'Rates-Service Fees'!BG$23,Detail!$H:$H,'Rates-Service Fees'!BG$14)*100</f>
        <v>0</v>
      </c>
      <c r="BH35">
        <f>SUMIFS(Detail!$AW:$AW,Detail!$G:$G,'Rates-Service Fees'!BH$23,Detail!$H:$H,'Rates-Service Fees'!BH$14)*100</f>
        <v>0</v>
      </c>
      <c r="BI35">
        <f>SUMIFS(Detail!$AW:$AW,Detail!$G:$G,'Rates-Service Fees'!BI$23,Detail!$H:$H,'Rates-Service Fees'!BI$14)*100</f>
        <v>0</v>
      </c>
      <c r="BJ35">
        <f>SUMIFS(Detail!$AW:$AW,Detail!$G:$G,'Rates-Service Fees'!BJ$23,Detail!$H:$H,'Rates-Service Fees'!BJ$14)*100</f>
        <v>0</v>
      </c>
      <c r="BK35">
        <f>SUMIFS(Detail!$AW:$AW,Detail!$G:$G,'Rates-Service Fees'!BK$23,Detail!$H:$H,'Rates-Service Fees'!BK$14)*100</f>
        <v>0</v>
      </c>
      <c r="BL35">
        <f>SUMIFS(Detail!$AW:$AW,Detail!$G:$G,'Rates-Service Fees'!BL$23,Detail!$H:$H,'Rates-Service Fees'!BL$14)*100</f>
        <v>0</v>
      </c>
      <c r="BM35">
        <f>SUMIFS(Detail!$AW:$AW,Detail!$G:$G,'Rates-Service Fees'!BM$23,Detail!$H:$H,'Rates-Service Fees'!BM$14)*100</f>
        <v>0</v>
      </c>
      <c r="BN35">
        <f>SUMIFS(Detail!$AW:$AW,Detail!$G:$G,'Rates-Service Fees'!BN$23,Detail!$H:$H,'Rates-Service Fees'!BN$14)*100</f>
        <v>0</v>
      </c>
      <c r="BO35">
        <f>SUMIFS(Detail!$AW:$AW,Detail!$G:$G,'Rates-Service Fees'!BO$23,Detail!$H:$H,'Rates-Service Fees'!BO$14)*100</f>
        <v>0</v>
      </c>
      <c r="BP35">
        <f>SUMIFS(Detail!$AW:$AW,Detail!$G:$G,'Rates-Service Fees'!BP$23,Detail!$H:$H,'Rates-Service Fees'!BP$14)*100</f>
        <v>0</v>
      </c>
      <c r="BQ35">
        <f>SUMIFS(Detail!$AW:$AW,Detail!$G:$G,'Rates-Service Fees'!BQ$23,Detail!$H:$H,'Rates-Service Fees'!BQ$14)*100</f>
        <v>0</v>
      </c>
      <c r="BR35">
        <f>SUMIFS(Detail!$AW:$AW,Detail!$G:$G,'Rates-Service Fees'!BR$23,Detail!$H:$H,'Rates-Service Fees'!BR$14)*100</f>
        <v>0</v>
      </c>
      <c r="BS35">
        <f>SUMIFS(Detail!$AW:$AW,Detail!$G:$G,'Rates-Service Fees'!BS$23,Detail!$H:$H,'Rates-Service Fees'!BS$14)*100</f>
        <v>0</v>
      </c>
      <c r="BT35">
        <f>SUMIFS(Detail!$AW:$AW,Detail!$G:$G,'Rates-Service Fees'!BT$23,Detail!$H:$H,'Rates-Service Fees'!BT$14)*100</f>
        <v>0</v>
      </c>
      <c r="BU35">
        <f>SUMIFS(Detail!$AW:$AW,Detail!$G:$G,'Rates-Service Fees'!BU$23,Detail!$H:$H,'Rates-Service Fees'!BU$14)*100</f>
        <v>0</v>
      </c>
      <c r="BV35">
        <f>SUMIFS(Detail!$AW:$AW,Detail!$G:$G,'Rates-Service Fees'!BV$23,Detail!$H:$H,'Rates-Service Fees'!BV$14)*100</f>
        <v>0</v>
      </c>
      <c r="BW35">
        <f>SUMIFS(Detail!$AW:$AW,Detail!$G:$G,'Rates-Service Fees'!BW$23,Detail!$H:$H,'Rates-Service Fees'!BW$14)*100</f>
        <v>0</v>
      </c>
      <c r="BX35">
        <f>SUMIFS(Detail!$AW:$AW,Detail!$G:$G,'Rates-Service Fees'!BX$23,Detail!$H:$H,'Rates-Service Fees'!BX$14)*100</f>
        <v>0</v>
      </c>
      <c r="BY35">
        <f>SUMIFS(Detail!$AW:$AW,Detail!$G:$G,'Rates-Service Fees'!BY$23,Detail!$H:$H,'Rates-Service Fees'!BY$14)*100</f>
        <v>0</v>
      </c>
      <c r="BZ35">
        <f>SUMIFS(Detail!$AW:$AW,Detail!$G:$G,'Rates-Service Fees'!BZ$23,Detail!$H:$H,'Rates-Service Fees'!BZ$14)*100</f>
        <v>0</v>
      </c>
      <c r="CA35">
        <f>SUMIFS(Detail!$AW:$AW,Detail!$G:$G,'Rates-Service Fees'!CA$23,Detail!$H:$H,'Rates-Service Fees'!CA$14)*100</f>
        <v>0</v>
      </c>
      <c r="CB35">
        <f>SUMIFS(Detail!$AW:$AW,Detail!$G:$G,'Rates-Service Fees'!CB$23,Detail!$H:$H,'Rates-Service Fees'!CB$14)*100</f>
        <v>0</v>
      </c>
      <c r="CC35">
        <f>SUMIFS(Detail!$AW:$AW,Detail!$G:$G,'Rates-Service Fees'!CC$23,Detail!$H:$H,'Rates-Service Fees'!CC$14)*100</f>
        <v>0</v>
      </c>
      <c r="CD35">
        <f>SUMIFS(Detail!$AW:$AW,Detail!$G:$G,'Rates-Service Fees'!CD$23,Detail!$H:$H,'Rates-Service Fees'!CD$14)*100</f>
        <v>0</v>
      </c>
      <c r="CE35">
        <f>SUMIFS(Detail!$AW:$AW,Detail!$G:$G,'Rates-Service Fees'!CE$23,Detail!$H:$H,'Rates-Service Fees'!CE$14)*100</f>
        <v>0</v>
      </c>
      <c r="CF35">
        <f>SUMIFS(Detail!$AW:$AW,Detail!$G:$G,'Rates-Service Fees'!CF$23,Detail!$H:$H,'Rates-Service Fees'!CF$14)*100</f>
        <v>0</v>
      </c>
      <c r="CG35">
        <f>SUMIFS(Detail!$AW:$AW,Detail!$G:$G,'Rates-Service Fees'!CG$23,Detail!$H:$H,'Rates-Service Fees'!CG$14)*100</f>
        <v>0</v>
      </c>
      <c r="CH35">
        <f>SUMIFS(Detail!$AW:$AW,Detail!$G:$G,'Rates-Service Fees'!CH$23,Detail!$H:$H,'Rates-Service Fees'!CH$14)*100</f>
        <v>0</v>
      </c>
      <c r="CI35">
        <f>SUMIFS(Detail!$AW:$AW,Detail!$G:$G,'Rates-Service Fees'!CI$23,Detail!$H:$H,'Rates-Service Fees'!CI$14)*100</f>
        <v>0</v>
      </c>
      <c r="CJ35">
        <f>SUMIFS(Detail!$AW:$AW,Detail!$G:$G,'Rates-Service Fees'!CJ$23,Detail!$H:$H,'Rates-Service Fees'!CJ$14)*100</f>
        <v>0</v>
      </c>
      <c r="CK35">
        <f>SUMIFS(Detail!$AW:$AW,Detail!$G:$G,'Rates-Service Fees'!CK$23,Detail!$H:$H,'Rates-Service Fees'!CK$14)*100</f>
        <v>0</v>
      </c>
      <c r="CL35">
        <f>SUMIFS(Detail!$AW:$AW,Detail!$G:$G,'Rates-Service Fees'!CL$23,Detail!$H:$H,'Rates-Service Fees'!CL$14)*100</f>
        <v>0</v>
      </c>
      <c r="CM35">
        <f>SUMIFS(Detail!$AW:$AW,Detail!$G:$G,'Rates-Service Fees'!CM$23,Detail!$H:$H,'Rates-Service Fees'!CM$14)*100</f>
        <v>0</v>
      </c>
      <c r="CN35">
        <f>SUMIFS(Detail!$AW:$AW,Detail!$G:$G,'Rates-Service Fees'!CN$23,Detail!$H:$H,'Rates-Service Fees'!CN$14)*100</f>
        <v>0</v>
      </c>
      <c r="CO35">
        <f>SUMIFS(Detail!$AW:$AW,Detail!$G:$G,'Rates-Service Fees'!CO$23,Detail!$H:$H,'Rates-Service Fees'!CO$14)*100</f>
        <v>0</v>
      </c>
      <c r="CP35">
        <f>SUMIFS(Detail!$AW:$AW,Detail!$G:$G,'Rates-Service Fees'!CP$23,Detail!$H:$H,'Rates-Service Fees'!CP$14)*100</f>
        <v>0</v>
      </c>
      <c r="CQ35">
        <f>SUMIFS(Detail!$AW:$AW,Detail!$G:$G,'Rates-Service Fees'!CQ$23,Detail!$H:$H,'Rates-Service Fees'!CQ$14)*100</f>
        <v>0</v>
      </c>
      <c r="CR35">
        <f>SUMIFS(Detail!$AW:$AW,Detail!$G:$G,'Rates-Service Fees'!CR$23,Detail!$H:$H,'Rates-Service Fees'!CR$14)*100</f>
        <v>0</v>
      </c>
      <c r="CS35">
        <f>SUMIFS(Detail!$AW:$AW,Detail!$G:$G,'Rates-Service Fees'!CS$23,Detail!$H:$H,'Rates-Service Fees'!CS$14)*100</f>
        <v>0</v>
      </c>
      <c r="CT35">
        <f>SUMIFS(Detail!$AW:$AW,Detail!$G:$G,'Rates-Service Fees'!CT$23,Detail!$H:$H,'Rates-Service Fees'!CT$14)*100</f>
        <v>0</v>
      </c>
      <c r="CU35">
        <f>SUMIFS(Detail!$AW:$AW,Detail!$G:$G,'Rates-Service Fees'!CU$23,Detail!$H:$H,'Rates-Service Fees'!CU$14)*100</f>
        <v>0</v>
      </c>
      <c r="CV35">
        <f>SUMIFS(Detail!$AW:$AW,Detail!$G:$G,'Rates-Service Fees'!CV$23,Detail!$H:$H,'Rates-Service Fees'!CV$14)*100</f>
        <v>0</v>
      </c>
      <c r="CW35">
        <f>SUMIFS(Detail!$AW:$AW,Detail!$G:$G,'Rates-Service Fees'!CW$23,Detail!$H:$H,'Rates-Service Fees'!CW$14)*100</f>
        <v>0</v>
      </c>
      <c r="CX35">
        <f>SUMIFS(Detail!$AW:$AW,Detail!$G:$G,'Rates-Service Fees'!CX$23,Detail!$H:$H,'Rates-Service Fees'!CX$14)*100</f>
        <v>0</v>
      </c>
      <c r="CY35">
        <f>SUMIFS(Detail!$AW:$AW,Detail!$G:$G,'Rates-Service Fees'!CY$23,Detail!$H:$H,'Rates-Service Fees'!CY$14)*100</f>
        <v>0</v>
      </c>
      <c r="CZ35">
        <f>SUMIFS(Detail!$AW:$AW,Detail!$G:$G,'Rates-Service Fees'!CZ$23,Detail!$H:$H,'Rates-Service Fees'!CZ$14)*100</f>
        <v>0</v>
      </c>
      <c r="DA35">
        <f>SUMIFS(Detail!$AW:$AW,Detail!$G:$G,'Rates-Service Fees'!DA$23,Detail!$H:$H,'Rates-Service Fees'!DA$14)*100</f>
        <v>0</v>
      </c>
      <c r="DB35">
        <f>SUMIFS(Detail!$AW:$AW,Detail!$G:$G,'Rates-Service Fees'!DB$23,Detail!$H:$H,'Rates-Service Fees'!DB$14)*100</f>
        <v>0</v>
      </c>
      <c r="DC35">
        <f>SUMIFS(Detail!$AW:$AW,Detail!$G:$G,'Rates-Service Fees'!DC$23,Detail!$H:$H,'Rates-Service Fees'!DC$14)*100</f>
        <v>0</v>
      </c>
      <c r="DD35">
        <f>SUMIFS(Detail!$AW:$AW,Detail!$G:$G,'Rates-Service Fees'!DD$23,Detail!$H:$H,'Rates-Service Fees'!DD$14)*100</f>
        <v>0</v>
      </c>
      <c r="DE35">
        <f>SUMIFS(Detail!$AW:$AW,Detail!$G:$G,'Rates-Service Fees'!DE$23,Detail!$H:$H,'Rates-Service Fees'!DE$14)*100</f>
        <v>0</v>
      </c>
      <c r="DF35">
        <f>SUMIFS(Detail!$AW:$AW,Detail!$G:$G,'Rates-Service Fees'!DF$23,Detail!$H:$H,'Rates-Service Fees'!DF$14)*100</f>
        <v>0</v>
      </c>
      <c r="DG35">
        <f>SUMIFS(Detail!$AW:$AW,Detail!$G:$G,'Rates-Service Fees'!DG$23,Detail!$H:$H,'Rates-Service Fees'!DG$14)*100</f>
        <v>0</v>
      </c>
      <c r="DH35">
        <f>SUMIFS(Detail!$AW:$AW,Detail!$G:$G,'Rates-Service Fees'!DH$23,Detail!$H:$H,'Rates-Service Fees'!DH$14)*100</f>
        <v>0</v>
      </c>
      <c r="DI35">
        <f>SUMIFS(Detail!$AW:$AW,Detail!$G:$G,'Rates-Service Fees'!DI$23,Detail!$H:$H,'Rates-Service Fees'!DI$14)*100</f>
        <v>0</v>
      </c>
      <c r="DJ35">
        <f>SUMIFS(Detail!$AW:$AW,Detail!$G:$G,'Rates-Service Fees'!DJ$23,Detail!$H:$H,'Rates-Service Fees'!DJ$14)*100</f>
        <v>0</v>
      </c>
      <c r="DK35">
        <f>SUMIFS(Detail!$AW:$AW,Detail!$G:$G,'Rates-Service Fees'!DK$23,Detail!$H:$H,'Rates-Service Fees'!DK$14)*100</f>
        <v>0</v>
      </c>
      <c r="DL35">
        <f>SUMIFS(Detail!$AW:$AW,Detail!$G:$G,'Rates-Service Fees'!DL$23,Detail!$H:$H,'Rates-Service Fees'!DL$14)*100</f>
        <v>0</v>
      </c>
      <c r="DM35">
        <f>SUMIFS(Detail!$AW:$AW,Detail!$G:$G,'Rates-Service Fees'!DM$23,Detail!$H:$H,'Rates-Service Fees'!DM$14)*100</f>
        <v>0</v>
      </c>
      <c r="DN35">
        <f>SUMIFS(Detail!$AW:$AW,Detail!$G:$G,'Rates-Service Fees'!DN$23,Detail!$H:$H,'Rates-Service Fees'!DN$14)*100</f>
        <v>0</v>
      </c>
      <c r="DO35">
        <f>SUMIFS(Detail!$AW:$AW,Detail!$G:$G,'Rates-Service Fees'!DO$23,Detail!$H:$H,'Rates-Service Fees'!DO$14)*100</f>
        <v>0</v>
      </c>
      <c r="DP35">
        <f>SUMIFS(Detail!$AW:$AW,Detail!$G:$G,'Rates-Service Fees'!DP$23,Detail!$H:$H,'Rates-Service Fees'!DP$14)*100</f>
        <v>0</v>
      </c>
      <c r="DQ35">
        <f>SUMIFS(Detail!$AW:$AW,Detail!$G:$G,'Rates-Service Fees'!DQ$23,Detail!$H:$H,'Rates-Service Fees'!DQ$14)*100</f>
        <v>0</v>
      </c>
      <c r="DR35">
        <f>SUMIFS(Detail!$AW:$AW,Detail!$G:$G,'Rates-Service Fees'!DR$23,Detail!$H:$H,'Rates-Service Fees'!DR$14)*100</f>
        <v>0</v>
      </c>
      <c r="DS35">
        <f>SUMIFS(Detail!$AW:$AW,Detail!$G:$G,'Rates-Service Fees'!DS$23,Detail!$H:$H,'Rates-Service Fees'!DS$14)*100</f>
        <v>0</v>
      </c>
      <c r="DT35">
        <f>SUMIFS(Detail!$AW:$AW,Detail!$G:$G,'Rates-Service Fees'!DT$23,Detail!$H:$H,'Rates-Service Fees'!DT$14)*100</f>
        <v>0</v>
      </c>
      <c r="DU35">
        <f>SUMIFS(Detail!$AW:$AW,Detail!$G:$G,'Rates-Service Fees'!DU$23,Detail!$H:$H,'Rates-Service Fees'!DU$14)*100</f>
        <v>0</v>
      </c>
      <c r="DV35">
        <f>SUMIFS(Detail!$AW:$AW,Detail!$G:$G,'Rates-Service Fees'!DV$23,Detail!$H:$H,'Rates-Service Fees'!DV$14)*100</f>
        <v>0</v>
      </c>
      <c r="DW35">
        <f>SUMIFS(Detail!$AW:$AW,Detail!$G:$G,'Rates-Service Fees'!DW$23,Detail!$H:$H,'Rates-Service Fees'!DW$14)*100</f>
        <v>0</v>
      </c>
      <c r="DX35">
        <f>SUMIFS(Detail!$AW:$AW,Detail!$G:$G,'Rates-Service Fees'!DX$23,Detail!$H:$H,'Rates-Service Fees'!DX$14)*100</f>
        <v>0</v>
      </c>
      <c r="DY35">
        <f>SUMIFS(Detail!$AW:$AW,Detail!$G:$G,'Rates-Service Fees'!DY$23,Detail!$H:$H,'Rates-Service Fees'!DY$14)*100</f>
        <v>0</v>
      </c>
      <c r="DZ35">
        <f>SUMIFS(Detail!$AW:$AW,Detail!$G:$G,'Rates-Service Fees'!DZ$23,Detail!$H:$H,'Rates-Service Fees'!DZ$14)*100</f>
        <v>0</v>
      </c>
      <c r="EA35">
        <f>SUMIFS(Detail!$AW:$AW,Detail!$G:$G,'Rates-Service Fees'!EA$23,Detail!$H:$H,'Rates-Service Fees'!EA$14)*100</f>
        <v>0</v>
      </c>
      <c r="EB35">
        <f>SUMIFS(Detail!$AW:$AW,Detail!$G:$G,'Rates-Service Fees'!EB$23,Detail!$H:$H,'Rates-Service Fees'!EB$14)*100</f>
        <v>0</v>
      </c>
      <c r="EC35">
        <f>SUMIFS(Detail!$AW:$AW,Detail!$G:$G,'Rates-Service Fees'!EC$23,Detail!$H:$H,'Rates-Service Fees'!EC$14)*100</f>
        <v>0</v>
      </c>
      <c r="ED35">
        <f>SUMIFS(Detail!$AW:$AW,Detail!$G:$G,'Rates-Service Fees'!ED$23,Detail!$H:$H,'Rates-Service Fees'!ED$14)*100</f>
        <v>0</v>
      </c>
      <c r="EE35">
        <f>SUMIFS(Detail!$AW:$AW,Detail!$G:$G,'Rates-Service Fees'!EE$23,Detail!$H:$H,'Rates-Service Fees'!EE$14)*100</f>
        <v>0</v>
      </c>
      <c r="EF35">
        <f>SUMIFS(Detail!$AW:$AW,Detail!$G:$G,'Rates-Service Fees'!EF$23,Detail!$H:$H,'Rates-Service Fees'!EF$14)*100</f>
        <v>0</v>
      </c>
      <c r="EG35">
        <f>SUMIFS(Detail!$AW:$AW,Detail!$G:$G,'Rates-Service Fees'!EG$23,Detail!$H:$H,'Rates-Service Fees'!EG$14)*100</f>
        <v>0</v>
      </c>
      <c r="EH35">
        <f>SUMIFS(Detail!$AW:$AW,Detail!$G:$G,'Rates-Service Fees'!EH$23,Detail!$H:$H,'Rates-Service Fees'!EH$14)*100</f>
        <v>0</v>
      </c>
      <c r="EI35">
        <f>SUMIFS(Detail!$AW:$AW,Detail!$G:$G,'Rates-Service Fees'!EI$23,Detail!$H:$H,'Rates-Service Fees'!EI$14)*100</f>
        <v>0</v>
      </c>
      <c r="EJ35">
        <f>SUMIFS(Detail!$AW:$AW,Detail!$G:$G,'Rates-Service Fees'!EJ$23,Detail!$H:$H,'Rates-Service Fees'!EJ$14)*100</f>
        <v>0</v>
      </c>
      <c r="EK35">
        <f>SUMIFS(Detail!$AW:$AW,Detail!$G:$G,'Rates-Service Fees'!EK$23,Detail!$H:$H,'Rates-Service Fees'!EK$14)*100</f>
        <v>0</v>
      </c>
      <c r="EL35">
        <f>SUMIFS(Detail!$AW:$AW,Detail!$G:$G,'Rates-Service Fees'!EL$23,Detail!$H:$H,'Rates-Service Fees'!EL$14)*100</f>
        <v>0</v>
      </c>
      <c r="EM35">
        <f>SUMIFS(Detail!$AW:$AW,Detail!$G:$G,'Rates-Service Fees'!EM$23,Detail!$H:$H,'Rates-Service Fees'!EM$14)*100</f>
        <v>0</v>
      </c>
      <c r="EN35">
        <f>SUMIFS(Detail!$AW:$AW,Detail!$G:$G,'Rates-Service Fees'!EN$23,Detail!$H:$H,'Rates-Service Fees'!EN$14)*100</f>
        <v>0</v>
      </c>
      <c r="EO35">
        <f>SUMIFS(Detail!$AW:$AW,Detail!$G:$G,'Rates-Service Fees'!EO$23,Detail!$H:$H,'Rates-Service Fees'!EO$14)*100</f>
        <v>0</v>
      </c>
      <c r="EP35">
        <f>SUMIFS(Detail!$AW:$AW,Detail!$G:$G,'Rates-Service Fees'!EP$23,Detail!$H:$H,'Rates-Service Fees'!EP$14)*100</f>
        <v>0</v>
      </c>
      <c r="EQ35">
        <f>SUMIFS(Detail!$AW:$AW,Detail!$G:$G,'Rates-Service Fees'!EQ$23,Detail!$H:$H,'Rates-Service Fees'!EQ$14)*100</f>
        <v>0</v>
      </c>
      <c r="ER35">
        <f>SUMIFS(Detail!$AW:$AW,Detail!$G:$G,'Rates-Service Fees'!ER$23,Detail!$H:$H,'Rates-Service Fees'!ER$14)*100</f>
        <v>0</v>
      </c>
      <c r="ES35">
        <f>SUMIFS(Detail!$AW:$AW,Detail!$G:$G,'Rates-Service Fees'!ES$23,Detail!$H:$H,'Rates-Service Fees'!ES$14)*100</f>
        <v>0</v>
      </c>
      <c r="ET35">
        <f>SUMIFS(Detail!$AW:$AW,Detail!$G:$G,'Rates-Service Fees'!ET$23,Detail!$H:$H,'Rates-Service Fees'!ET$14)*100</f>
        <v>0</v>
      </c>
      <c r="EU35">
        <f>SUMIFS(Detail!$AW:$AW,Detail!$G:$G,'Rates-Service Fees'!EU$23,Detail!$H:$H,'Rates-Service Fees'!EU$14)*100</f>
        <v>0</v>
      </c>
      <c r="EV35">
        <f>SUMIFS(Detail!$AW:$AW,Detail!$G:$G,'Rates-Service Fees'!EV$23,Detail!$H:$H,'Rates-Service Fees'!EV$14)*100</f>
        <v>0</v>
      </c>
      <c r="EW35">
        <f>SUMIFS(Detail!$AW:$AW,Detail!$G:$G,'Rates-Service Fees'!EW$23,Detail!$H:$H,'Rates-Service Fees'!EW$14)*100</f>
        <v>0</v>
      </c>
      <c r="EX35">
        <f>SUMIFS(Detail!$AW:$AW,Detail!$G:$G,'Rates-Service Fees'!EX$23,Detail!$H:$H,'Rates-Service Fees'!EX$14)*100</f>
        <v>0</v>
      </c>
      <c r="EY35">
        <f>SUMIFS(Detail!$AW:$AW,Detail!$G:$G,'Rates-Service Fees'!EY$23,Detail!$H:$H,'Rates-Service Fees'!EY$14)*100</f>
        <v>0</v>
      </c>
      <c r="EZ35">
        <f>SUMIFS(Detail!$AW:$AW,Detail!$G:$G,'Rates-Service Fees'!EZ$23,Detail!$H:$H,'Rates-Service Fees'!EZ$14)*100</f>
        <v>0</v>
      </c>
      <c r="FA35">
        <f>SUMIFS(Detail!$AW:$AW,Detail!$G:$G,'Rates-Service Fees'!FA$23,Detail!$H:$H,'Rates-Service Fees'!FA$14)*100</f>
        <v>0</v>
      </c>
      <c r="FB35">
        <f>SUMIFS(Detail!$AW:$AW,Detail!$G:$G,'Rates-Service Fees'!FB$23,Detail!$H:$H,'Rates-Service Fees'!FB$14)*100</f>
        <v>0</v>
      </c>
      <c r="FC35">
        <f>SUMIFS(Detail!$AW:$AW,Detail!$G:$G,'Rates-Service Fees'!FC$23,Detail!$H:$H,'Rates-Service Fees'!FC$14)*100</f>
        <v>0</v>
      </c>
      <c r="FD35">
        <f>SUMIFS(Detail!$AW:$AW,Detail!$G:$G,'Rates-Service Fees'!FD$23,Detail!$H:$H,'Rates-Service Fees'!FD$14)*100</f>
        <v>0</v>
      </c>
      <c r="FE35">
        <f>SUMIFS(Detail!$AW:$AW,Detail!$G:$G,'Rates-Service Fees'!FE$23,Detail!$H:$H,'Rates-Service Fees'!FE$14)*100</f>
        <v>0</v>
      </c>
      <c r="FF35">
        <f>SUMIFS(Detail!$AW:$AW,Detail!$G:$G,'Rates-Service Fees'!FF$23,Detail!$H:$H,'Rates-Service Fees'!FF$14)*100</f>
        <v>0</v>
      </c>
      <c r="FG35">
        <f>SUMIFS(Detail!$AW:$AW,Detail!$G:$G,'Rates-Service Fees'!FG$23,Detail!$H:$H,'Rates-Service Fees'!FG$14)*100</f>
        <v>0</v>
      </c>
      <c r="FH35">
        <f>SUMIFS(Detail!$AW:$AW,Detail!$G:$G,'Rates-Service Fees'!FH$23,Detail!$H:$H,'Rates-Service Fees'!FH$14)*100</f>
        <v>0</v>
      </c>
      <c r="FI35">
        <f>SUMIFS(Detail!$AW:$AW,Detail!$G:$G,'Rates-Service Fees'!FI$23,Detail!$H:$H,'Rates-Service Fees'!FI$14)*100</f>
        <v>0</v>
      </c>
      <c r="FJ35">
        <f>SUMIFS(Detail!$AW:$AW,Detail!$G:$G,'Rates-Service Fees'!FJ$23,Detail!$H:$H,'Rates-Service Fees'!FJ$14)*100</f>
        <v>0</v>
      </c>
      <c r="FK35">
        <f>SUMIFS(Detail!$AW:$AW,Detail!$G:$G,'Rates-Service Fees'!FK$23,Detail!$H:$H,'Rates-Service Fees'!FK$14)*100</f>
        <v>0</v>
      </c>
      <c r="FL35">
        <f>SUMIFS(Detail!$AW:$AW,Detail!$G:$G,'Rates-Service Fees'!FL$23,Detail!$H:$H,'Rates-Service Fees'!FL$14)*100</f>
        <v>0</v>
      </c>
      <c r="FM35">
        <f>SUMIFS(Detail!$AW:$AW,Detail!$G:$G,'Rates-Service Fees'!FM$23,Detail!$H:$H,'Rates-Service Fees'!FM$14)*100</f>
        <v>0</v>
      </c>
      <c r="FN35">
        <f>SUMIFS(Detail!$AW:$AW,Detail!$G:$G,'Rates-Service Fees'!FN$23,Detail!$H:$H,'Rates-Service Fees'!FN$14)*100</f>
        <v>0</v>
      </c>
      <c r="FO35">
        <f>SUMIFS(Detail!$AW:$AW,Detail!$G:$G,'Rates-Service Fees'!FO$23,Detail!$H:$H,'Rates-Service Fees'!FO$14)*100</f>
        <v>0</v>
      </c>
      <c r="FP35">
        <f>SUMIFS(Detail!$AW:$AW,Detail!$G:$G,'Rates-Service Fees'!FP$23,Detail!$H:$H,'Rates-Service Fees'!FP$14)*100</f>
        <v>0</v>
      </c>
      <c r="FQ35">
        <f>SUMIFS(Detail!$AW:$AW,Detail!$G:$G,'Rates-Service Fees'!FQ$23,Detail!$H:$H,'Rates-Service Fees'!FQ$14)*100</f>
        <v>0</v>
      </c>
      <c r="FR35">
        <f>SUMIFS(Detail!$AW:$AW,Detail!$G:$G,'Rates-Service Fees'!FR$23,Detail!$H:$H,'Rates-Service Fees'!FR$14)*100</f>
        <v>0</v>
      </c>
      <c r="FS35">
        <f>SUMIFS(Detail!$AW:$AW,Detail!$G:$G,'Rates-Service Fees'!FS$23,Detail!$H:$H,'Rates-Service Fees'!FS$14)*100</f>
        <v>0</v>
      </c>
      <c r="FT35">
        <f>SUMIFS(Detail!$AW:$AW,Detail!$G:$G,'Rates-Service Fees'!FT$23,Detail!$H:$H,'Rates-Service Fees'!FT$14)*100</f>
        <v>0</v>
      </c>
      <c r="FU35">
        <f>SUMIFS(Detail!$AW:$AW,Detail!$G:$G,'Rates-Service Fees'!FU$23,Detail!$H:$H,'Rates-Service Fees'!FU$14)*100</f>
        <v>0</v>
      </c>
      <c r="FV35">
        <f>SUMIFS(Detail!$AW:$AW,Detail!$G:$G,'Rates-Service Fees'!FV$23,Detail!$H:$H,'Rates-Service Fees'!FV$14)*100</f>
        <v>0</v>
      </c>
      <c r="FW35">
        <f>SUMIFS(Detail!$AW:$AW,Detail!$G:$G,'Rates-Service Fees'!FW$23,Detail!$H:$H,'Rates-Service Fees'!FW$14)*100</f>
        <v>0</v>
      </c>
      <c r="FX35">
        <f>SUMIFS(Detail!$AW:$AW,Detail!$G:$G,'Rates-Service Fees'!FX$23,Detail!$H:$H,'Rates-Service Fees'!FX$14)*100</f>
        <v>0</v>
      </c>
      <c r="FY35">
        <f>SUMIFS(Detail!$AW:$AW,Detail!$G:$G,'Rates-Service Fees'!FY$23,Detail!$H:$H,'Rates-Service Fees'!FY$14)*100</f>
        <v>0</v>
      </c>
      <c r="FZ35">
        <f>SUMIFS(Detail!$AW:$AW,Detail!$G:$G,'Rates-Service Fees'!FZ$23,Detail!$H:$H,'Rates-Service Fees'!FZ$14)*100</f>
        <v>0</v>
      </c>
      <c r="GA35">
        <f>SUMIFS(Detail!$AW:$AW,Detail!$G:$G,'Rates-Service Fees'!GA$23,Detail!$H:$H,'Rates-Service Fees'!GA$14)*100</f>
        <v>0</v>
      </c>
      <c r="GB35">
        <f>SUMIFS(Detail!$AW:$AW,Detail!$G:$G,'Rates-Service Fees'!GB$23,Detail!$H:$H,'Rates-Service Fees'!GB$14)*100</f>
        <v>0</v>
      </c>
      <c r="GC35">
        <f>SUMIFS(Detail!$AW:$AW,Detail!$G:$G,'Rates-Service Fees'!GC$23,Detail!$H:$H,'Rates-Service Fees'!GC$14)*100</f>
        <v>0</v>
      </c>
      <c r="GD35">
        <f>SUMIFS(Detail!$AW:$AW,Detail!$G:$G,'Rates-Service Fees'!GD$23,Detail!$H:$H,'Rates-Service Fees'!GD$14)*100</f>
        <v>0</v>
      </c>
      <c r="GE35">
        <f>SUMIFS(Detail!$AW:$AW,Detail!$G:$G,'Rates-Service Fees'!GE$23,Detail!$H:$H,'Rates-Service Fees'!GE$14)*100</f>
        <v>0</v>
      </c>
      <c r="GF35">
        <f>SUMIFS(Detail!$AW:$AW,Detail!$G:$G,'Rates-Service Fees'!GF$23,Detail!$H:$H,'Rates-Service Fees'!GF$14)*100</f>
        <v>0</v>
      </c>
      <c r="GG35">
        <f>SUMIFS(Detail!$AW:$AW,Detail!$G:$G,'Rates-Service Fees'!GG$23,Detail!$H:$H,'Rates-Service Fees'!GG$14)*100</f>
        <v>0</v>
      </c>
      <c r="GH35">
        <f>SUMIFS(Detail!$AW:$AW,Detail!$G:$G,'Rates-Service Fees'!GH$23,Detail!$H:$H,'Rates-Service Fees'!GH$14)*100</f>
        <v>0</v>
      </c>
      <c r="GI35">
        <f>SUMIFS(Detail!$AW:$AW,Detail!$G:$G,'Rates-Service Fees'!GI$23,Detail!$H:$H,'Rates-Service Fees'!GI$14)*100</f>
        <v>0</v>
      </c>
      <c r="GJ35">
        <f>SUMIFS(Detail!$AW:$AW,Detail!$G:$G,'Rates-Service Fees'!GJ$23,Detail!$H:$H,'Rates-Service Fees'!GJ$14)*100</f>
        <v>0</v>
      </c>
      <c r="GK35">
        <f>SUMIFS(Detail!$AW:$AW,Detail!$G:$G,'Rates-Service Fees'!GK$23,Detail!$H:$H,'Rates-Service Fees'!GK$14)*100</f>
        <v>0</v>
      </c>
      <c r="GL35">
        <f>SUMIFS(Detail!$AW:$AW,Detail!$G:$G,'Rates-Service Fees'!GL$23,Detail!$H:$H,'Rates-Service Fees'!GL$14)*100</f>
        <v>0</v>
      </c>
      <c r="GM35">
        <f>SUMIFS(Detail!$AW:$AW,Detail!$G:$G,'Rates-Service Fees'!GM$23,Detail!$H:$H,'Rates-Service Fees'!GM$14)*100</f>
        <v>0</v>
      </c>
      <c r="GN35">
        <f>SUMIFS(Detail!$AW:$AW,Detail!$G:$G,'Rates-Service Fees'!GN$23,Detail!$H:$H,'Rates-Service Fees'!GN$14)*100</f>
        <v>0</v>
      </c>
      <c r="GO35">
        <f>SUMIFS(Detail!$AW:$AW,Detail!$G:$G,'Rates-Service Fees'!GO$23,Detail!$H:$H,'Rates-Service Fees'!GO$14)*100</f>
        <v>0</v>
      </c>
      <c r="GP35">
        <f>SUMIFS(Detail!$AW:$AW,Detail!$G:$G,'Rates-Service Fees'!GP$23,Detail!$H:$H,'Rates-Service Fees'!GP$14)*100</f>
        <v>0</v>
      </c>
      <c r="GQ35">
        <f>SUMIFS(Detail!$AW:$AW,Detail!$G:$G,'Rates-Service Fees'!GQ$23,Detail!$H:$H,'Rates-Service Fees'!GQ$14)*100</f>
        <v>0</v>
      </c>
      <c r="GR35">
        <f>SUMIFS(Detail!$AW:$AW,Detail!$G:$G,'Rates-Service Fees'!GR$23,Detail!$H:$H,'Rates-Service Fees'!GR$14)*100</f>
        <v>0</v>
      </c>
      <c r="GS35">
        <f>SUMIFS(Detail!$AW:$AW,Detail!$G:$G,'Rates-Service Fees'!GS$23,Detail!$H:$H,'Rates-Service Fees'!GS$14)*100</f>
        <v>0</v>
      </c>
      <c r="GT35">
        <f>SUMIFS(Detail!$AW:$AW,Detail!$G:$G,'Rates-Service Fees'!GT$23,Detail!$H:$H,'Rates-Service Fees'!GT$14)*100</f>
        <v>0</v>
      </c>
      <c r="GU35">
        <f>SUMIFS(Detail!$AW:$AW,Detail!$G:$G,'Rates-Service Fees'!GU$23,Detail!$H:$H,'Rates-Service Fees'!GU$14)*100</f>
        <v>0</v>
      </c>
      <c r="GV35">
        <f>SUMIFS(Detail!$AW:$AW,Detail!$G:$G,'Rates-Service Fees'!GV$23,Detail!$H:$H,'Rates-Service Fees'!GV$14)*100</f>
        <v>0</v>
      </c>
      <c r="GW35">
        <f>SUMIFS(Detail!$AW:$AW,Detail!$G:$G,'Rates-Service Fees'!GW$23,Detail!$H:$H,'Rates-Service Fees'!GW$14)*100</f>
        <v>0</v>
      </c>
      <c r="GX35">
        <f>SUMIFS(Detail!$AW:$AW,Detail!$G:$G,'Rates-Service Fees'!GX$23,Detail!$H:$H,'Rates-Service Fees'!GX$14)*100</f>
        <v>0</v>
      </c>
      <c r="GY35">
        <f>SUMIFS(Detail!$AW:$AW,Detail!$G:$G,'Rates-Service Fees'!GY$23,Detail!$H:$H,'Rates-Service Fees'!GY$14)*100</f>
        <v>0</v>
      </c>
      <c r="GZ35">
        <f>SUMIFS(Detail!$AW:$AW,Detail!$G:$G,'Rates-Service Fees'!GZ$23,Detail!$H:$H,'Rates-Service Fees'!GZ$14)*100</f>
        <v>0</v>
      </c>
      <c r="HA35">
        <f>SUMIFS(Detail!$AW:$AW,Detail!$G:$G,'Rates-Service Fees'!HA$23,Detail!$H:$H,'Rates-Service Fees'!HA$14)*100</f>
        <v>0</v>
      </c>
      <c r="HB35">
        <f>SUMIFS(Detail!$AW:$AW,Detail!$G:$G,'Rates-Service Fees'!HB$23,Detail!$H:$H,'Rates-Service Fees'!HB$14)*100</f>
        <v>0</v>
      </c>
      <c r="HC35">
        <f>SUMIFS(Detail!$AW:$AW,Detail!$G:$G,'Rates-Service Fees'!HC$23,Detail!$H:$H,'Rates-Service Fees'!HC$14)*100</f>
        <v>0</v>
      </c>
      <c r="HD35">
        <f>SUMIFS(Detail!$AW:$AW,Detail!$G:$G,'Rates-Service Fees'!HD$23,Detail!$H:$H,'Rates-Service Fees'!HD$14)*100</f>
        <v>0</v>
      </c>
      <c r="HE35">
        <f>SUMIFS(Detail!$AW:$AW,Detail!$G:$G,'Rates-Service Fees'!HE$23,Detail!$H:$H,'Rates-Service Fees'!HE$14)*100</f>
        <v>0</v>
      </c>
      <c r="HF35">
        <f>SUMIFS(Detail!$AW:$AW,Detail!$G:$G,'Rates-Service Fees'!HF$23,Detail!$H:$H,'Rates-Service Fees'!HF$14)*100</f>
        <v>0</v>
      </c>
      <c r="HG35">
        <f>SUMIFS(Detail!$AW:$AW,Detail!$G:$G,'Rates-Service Fees'!HG$23,Detail!$H:$H,'Rates-Service Fees'!HG$14)*100</f>
        <v>0</v>
      </c>
      <c r="HH35">
        <f>SUMIFS(Detail!$AW:$AW,Detail!$G:$G,'Rates-Service Fees'!HH$23,Detail!$H:$H,'Rates-Service Fees'!HH$14)*100</f>
        <v>0</v>
      </c>
      <c r="HI35">
        <f>SUMIFS(Detail!$AW:$AW,Detail!$G:$G,'Rates-Service Fees'!HI$23,Detail!$H:$H,'Rates-Service Fees'!HI$14)*100</f>
        <v>0</v>
      </c>
      <c r="HJ35">
        <f>SUMIFS(Detail!$AW:$AW,Detail!$G:$G,'Rates-Service Fees'!HJ$23,Detail!$H:$H,'Rates-Service Fees'!HJ$14)*100</f>
        <v>0</v>
      </c>
      <c r="HK35">
        <f>SUMIFS(Detail!$AW:$AW,Detail!$G:$G,'Rates-Service Fees'!HK$23,Detail!$H:$H,'Rates-Service Fees'!HK$14)*100</f>
        <v>0</v>
      </c>
      <c r="HL35">
        <f>SUMIFS(Detail!$AW:$AW,Detail!$G:$G,'Rates-Service Fees'!HL$23,Detail!$H:$H,'Rates-Service Fees'!HL$14)*100</f>
        <v>0</v>
      </c>
      <c r="HM35">
        <f>SUMIFS(Detail!$AW:$AW,Detail!$G:$G,'Rates-Service Fees'!HM$23,Detail!$H:$H,'Rates-Service Fees'!HM$14)*100</f>
        <v>0</v>
      </c>
      <c r="HN35">
        <f>SUMIFS(Detail!$AW:$AW,Detail!$G:$G,'Rates-Service Fees'!HN$23,Detail!$H:$H,'Rates-Service Fees'!HN$14)*100</f>
        <v>0</v>
      </c>
      <c r="HO35">
        <f>SUMIFS(Detail!$AW:$AW,Detail!$G:$G,'Rates-Service Fees'!HO$23,Detail!$H:$H,'Rates-Service Fees'!HO$14)*100</f>
        <v>0</v>
      </c>
      <c r="HP35">
        <f>SUMIFS(Detail!$AW:$AW,Detail!$G:$G,'Rates-Service Fees'!HP$23,Detail!$H:$H,'Rates-Service Fees'!HP$14)*100</f>
        <v>0</v>
      </c>
      <c r="HQ35">
        <f>SUMIFS(Detail!$AW:$AW,Detail!$G:$G,'Rates-Service Fees'!HQ$23,Detail!$H:$H,'Rates-Service Fees'!HQ$14)*100</f>
        <v>0</v>
      </c>
      <c r="HR35">
        <f>SUMIFS(Detail!$AW:$AW,Detail!$G:$G,'Rates-Service Fees'!HR$23,Detail!$H:$H,'Rates-Service Fees'!HR$14)*100</f>
        <v>0</v>
      </c>
      <c r="HS35">
        <f>SUMIFS(Detail!$AW:$AW,Detail!$G:$G,'Rates-Service Fees'!HS$23,Detail!$H:$H,'Rates-Service Fees'!HS$14)*100</f>
        <v>0</v>
      </c>
      <c r="HT35">
        <f>SUMIFS(Detail!$AW:$AW,Detail!$G:$G,'Rates-Service Fees'!HT$23,Detail!$H:$H,'Rates-Service Fees'!HT$14)*100</f>
        <v>0</v>
      </c>
      <c r="HU35">
        <f>SUMIFS(Detail!$AW:$AW,Detail!$G:$G,'Rates-Service Fees'!HU$23,Detail!$H:$H,'Rates-Service Fees'!HU$14)*100</f>
        <v>0</v>
      </c>
      <c r="HV35">
        <f>SUMIFS(Detail!$AW:$AW,Detail!$G:$G,'Rates-Service Fees'!HV$23,Detail!$H:$H,'Rates-Service Fees'!HV$14)*100</f>
        <v>0</v>
      </c>
      <c r="HW35">
        <f>SUMIFS(Detail!$AW:$AW,Detail!$G:$G,'Rates-Service Fees'!HW$23,Detail!$H:$H,'Rates-Service Fees'!HW$14)*100</f>
        <v>0</v>
      </c>
      <c r="HX35">
        <f>SUMIFS(Detail!$AW:$AW,Detail!$G:$G,'Rates-Service Fees'!HX$23,Detail!$H:$H,'Rates-Service Fees'!HX$14)*100</f>
        <v>0</v>
      </c>
      <c r="HY35">
        <f>SUMIFS(Detail!$AW:$AW,Detail!$G:$G,'Rates-Service Fees'!HY$23,Detail!$H:$H,'Rates-Service Fees'!HY$14)*100</f>
        <v>0</v>
      </c>
      <c r="HZ35">
        <f>SUMIFS(Detail!$AW:$AW,Detail!$G:$G,'Rates-Service Fees'!HZ$23,Detail!$H:$H,'Rates-Service Fees'!HZ$14)*100</f>
        <v>0</v>
      </c>
      <c r="IA35">
        <f>SUMIFS(Detail!$AW:$AW,Detail!$G:$G,'Rates-Service Fees'!IA$23,Detail!$H:$H,'Rates-Service Fees'!IA$14)*100</f>
        <v>0</v>
      </c>
      <c r="IB35">
        <f>SUMIFS(Detail!$AW:$AW,Detail!$G:$G,'Rates-Service Fees'!IB$23,Detail!$H:$H,'Rates-Service Fees'!IB$14)*100</f>
        <v>0</v>
      </c>
      <c r="IC35">
        <f>SUMIFS(Detail!$AW:$AW,Detail!$G:$G,'Rates-Service Fees'!IC$23,Detail!$H:$H,'Rates-Service Fees'!IC$14)*100</f>
        <v>0</v>
      </c>
      <c r="ID35">
        <f>SUMIFS(Detail!$AW:$AW,Detail!$G:$G,'Rates-Service Fees'!ID$23,Detail!$H:$H,'Rates-Service Fees'!ID$14)*100</f>
        <v>0</v>
      </c>
      <c r="IE35">
        <f>SUMIFS(Detail!$AW:$AW,Detail!$G:$G,'Rates-Service Fees'!IE$23,Detail!$H:$H,'Rates-Service Fees'!IE$14)*100</f>
        <v>0</v>
      </c>
      <c r="IF35">
        <f>SUMIFS(Detail!$AW:$AW,Detail!$G:$G,'Rates-Service Fees'!IF$23,Detail!$H:$H,'Rates-Service Fees'!IF$14)*100</f>
        <v>0</v>
      </c>
      <c r="IG35">
        <f>SUMIFS(Detail!$AW:$AW,Detail!$G:$G,'Rates-Service Fees'!IG$23,Detail!$H:$H,'Rates-Service Fees'!IG$14)*100</f>
        <v>0</v>
      </c>
      <c r="IH35">
        <f>SUMIFS(Detail!$AW:$AW,Detail!$G:$G,'Rates-Service Fees'!IH$23,Detail!$H:$H,'Rates-Service Fees'!IH$14)*100</f>
        <v>0</v>
      </c>
      <c r="II35">
        <f>SUMIFS(Detail!$AW:$AW,Detail!$G:$G,'Rates-Service Fees'!II$23,Detail!$H:$H,'Rates-Service Fees'!II$14)*100</f>
        <v>0</v>
      </c>
      <c r="IJ35">
        <f>SUMIFS(Detail!$AW:$AW,Detail!$G:$G,'Rates-Service Fees'!IJ$23,Detail!$H:$H,'Rates-Service Fees'!IJ$14)*100</f>
        <v>0</v>
      </c>
      <c r="IK35">
        <f>SUMIFS(Detail!$AW:$AW,Detail!$G:$G,'Rates-Service Fees'!IK$23,Detail!$H:$H,'Rates-Service Fees'!IK$14)*100</f>
        <v>0</v>
      </c>
      <c r="IL35">
        <f>SUMIFS(Detail!$AW:$AW,Detail!$G:$G,'Rates-Service Fees'!IL$23,Detail!$H:$H,'Rates-Service Fees'!IL$14)*100</f>
        <v>0</v>
      </c>
      <c r="IM35">
        <f>SUMIFS(Detail!$AW:$AW,Detail!$G:$G,'Rates-Service Fees'!IM$23,Detail!$H:$H,'Rates-Service Fees'!IM$14)*100</f>
        <v>0</v>
      </c>
      <c r="IN35">
        <f>SUMIFS(Detail!$AW:$AW,Detail!$G:$G,'Rates-Service Fees'!IN$23,Detail!$H:$H,'Rates-Service Fees'!IN$14)*100</f>
        <v>0</v>
      </c>
      <c r="IO35">
        <f>SUMIFS(Detail!$AW:$AW,Detail!$G:$G,'Rates-Service Fees'!IO$23,Detail!$H:$H,'Rates-Service Fees'!IO$14)*100</f>
        <v>0</v>
      </c>
      <c r="IP35">
        <f>SUMIFS(Detail!$AW:$AW,Detail!$G:$G,'Rates-Service Fees'!IP$23,Detail!$H:$H,'Rates-Service Fees'!IP$14)*100</f>
        <v>0</v>
      </c>
      <c r="IQ35">
        <f>SUMIFS(Detail!$AW:$AW,Detail!$G:$G,'Rates-Service Fees'!IQ$23,Detail!$H:$H,'Rates-Service Fees'!IQ$14)*100</f>
        <v>0</v>
      </c>
      <c r="IR35">
        <f>SUMIFS(Detail!$AW:$AW,Detail!$G:$G,'Rates-Service Fees'!IR$23,Detail!$H:$H,'Rates-Service Fees'!IR$14)*100</f>
        <v>0</v>
      </c>
      <c r="IS35">
        <f>SUMIFS(Detail!$AW:$AW,Detail!$G:$G,'Rates-Service Fees'!IS$23,Detail!$H:$H,'Rates-Service Fees'!IS$14)*100</f>
        <v>0</v>
      </c>
      <c r="IT35">
        <f>SUMIFS(Detail!$AW:$AW,Detail!$G:$G,'Rates-Service Fees'!IT$23,Detail!$H:$H,'Rates-Service Fees'!IT$14)*100</f>
        <v>0</v>
      </c>
      <c r="IU35">
        <f>SUMIFS(Detail!$AW:$AW,Detail!$G:$G,'Rates-Service Fees'!IU$23,Detail!$H:$H,'Rates-Service Fees'!IU$14)*100</f>
        <v>0</v>
      </c>
      <c r="IV35">
        <f>SUMIFS(Detail!$AW:$AW,Detail!$G:$G,'Rates-Service Fees'!IV$23,Detail!$H:$H,'Rates-Service Fees'!IV$14)*100</f>
        <v>0</v>
      </c>
      <c r="IW35">
        <f>SUMIFS(Detail!$AW:$AW,Detail!$G:$G,'Rates-Service Fees'!IW$23,Detail!$H:$H,'Rates-Service Fees'!IW$14)*100</f>
        <v>0</v>
      </c>
      <c r="IX35">
        <f>SUMIFS(Detail!$AW:$AW,Detail!$G:$G,'Rates-Service Fees'!IX$23,Detail!$H:$H,'Rates-Service Fees'!IX$14)*100</f>
        <v>0</v>
      </c>
      <c r="IY35">
        <f>SUMIFS(Detail!$AW:$AW,Detail!$G:$G,'Rates-Service Fees'!IY$23,Detail!$H:$H,'Rates-Service Fees'!IY$14)*100</f>
        <v>0</v>
      </c>
      <c r="IZ35">
        <f>SUMIFS(Detail!$AW:$AW,Detail!$G:$G,'Rates-Service Fees'!IZ$23,Detail!$H:$H,'Rates-Service Fees'!IZ$14)*100</f>
        <v>0</v>
      </c>
      <c r="JA35">
        <f>SUMIFS(Detail!$AW:$AW,Detail!$G:$G,'Rates-Service Fees'!JA$23,Detail!$H:$H,'Rates-Service Fees'!JA$14)*100</f>
        <v>0</v>
      </c>
      <c r="JB35">
        <f>SUMIFS(Detail!$AW:$AW,Detail!$G:$G,'Rates-Service Fees'!JB$23,Detail!$H:$H,'Rates-Service Fees'!JB$14)*100</f>
        <v>0</v>
      </c>
      <c r="JC35">
        <f>SUMIFS(Detail!$AW:$AW,Detail!$G:$G,'Rates-Service Fees'!JC$23,Detail!$H:$H,'Rates-Service Fees'!JC$14)*100</f>
        <v>0</v>
      </c>
      <c r="JD35">
        <f>SUMIFS(Detail!$AW:$AW,Detail!$G:$G,'Rates-Service Fees'!JD$23,Detail!$H:$H,'Rates-Service Fees'!JD$14)*100</f>
        <v>0</v>
      </c>
      <c r="JE35">
        <f>SUMIFS(Detail!$AW:$AW,Detail!$G:$G,'Rates-Service Fees'!JE$23,Detail!$H:$H,'Rates-Service Fees'!JE$14)*100</f>
        <v>0</v>
      </c>
      <c r="JF35">
        <f>SUMIFS(Detail!$AW:$AW,Detail!$G:$G,'Rates-Service Fees'!JF$23,Detail!$H:$H,'Rates-Service Fees'!JF$14)*100</f>
        <v>0</v>
      </c>
      <c r="JG35">
        <f>SUMIFS(Detail!$AW:$AW,Detail!$G:$G,'Rates-Service Fees'!JG$23,Detail!$H:$H,'Rates-Service Fees'!JG$14)*100</f>
        <v>0</v>
      </c>
      <c r="JH35">
        <f>SUMIFS(Detail!$AW:$AW,Detail!$G:$G,'Rates-Service Fees'!JH$23,Detail!$H:$H,'Rates-Service Fees'!JH$14)*100</f>
        <v>0</v>
      </c>
      <c r="JI35">
        <f>SUMIFS(Detail!$AW:$AW,Detail!$G:$G,'Rates-Service Fees'!JI$23,Detail!$H:$H,'Rates-Service Fees'!JI$14)*100</f>
        <v>0</v>
      </c>
      <c r="JJ35">
        <f>SUMIFS(Detail!$AW:$AW,Detail!$G:$G,'Rates-Service Fees'!JJ$23,Detail!$H:$H,'Rates-Service Fees'!JJ$14)*100</f>
        <v>0</v>
      </c>
      <c r="JK35">
        <f>SUMIFS(Detail!$AW:$AW,Detail!$G:$G,'Rates-Service Fees'!JK$23,Detail!$H:$H,'Rates-Service Fees'!JK$14)*100</f>
        <v>0</v>
      </c>
      <c r="JL35">
        <f>SUMIFS(Detail!$AW:$AW,Detail!$G:$G,'Rates-Service Fees'!JL$23,Detail!$H:$H,'Rates-Service Fees'!JL$14)*100</f>
        <v>0</v>
      </c>
      <c r="JM35">
        <f>SUMIFS(Detail!$AW:$AW,Detail!$G:$G,'Rates-Service Fees'!JM$23,Detail!$H:$H,'Rates-Service Fees'!JM$14)*100</f>
        <v>0</v>
      </c>
      <c r="JN35">
        <f>SUMIFS(Detail!$AW:$AW,Detail!$G:$G,'Rates-Service Fees'!JN$23,Detail!$H:$H,'Rates-Service Fees'!JN$14)*100</f>
        <v>0</v>
      </c>
      <c r="JO35">
        <f>SUMIFS(Detail!$AW:$AW,Detail!$G:$G,'Rates-Service Fees'!JO$23,Detail!$H:$H,'Rates-Service Fees'!JO$14)*100</f>
        <v>0</v>
      </c>
      <c r="JP35">
        <f>SUMIFS(Detail!$AW:$AW,Detail!$G:$G,'Rates-Service Fees'!JP$23,Detail!$H:$H,'Rates-Service Fees'!JP$14)*100</f>
        <v>0</v>
      </c>
      <c r="JQ35">
        <f>SUMIFS(Detail!$AW:$AW,Detail!$G:$G,'Rates-Service Fees'!JQ$23,Detail!$H:$H,'Rates-Service Fees'!JQ$14)*100</f>
        <v>0</v>
      </c>
      <c r="JR35">
        <f>SUMIFS(Detail!$AW:$AW,Detail!$G:$G,'Rates-Service Fees'!JR$23,Detail!$H:$H,'Rates-Service Fees'!JR$14)*100</f>
        <v>0</v>
      </c>
      <c r="JS35">
        <f>SUMIFS(Detail!$AW:$AW,Detail!$G:$G,'Rates-Service Fees'!JS$23,Detail!$H:$H,'Rates-Service Fees'!JS$14)*100</f>
        <v>0</v>
      </c>
      <c r="JT35">
        <f>SUMIFS(Detail!$AW:$AW,Detail!$G:$G,'Rates-Service Fees'!JT$23,Detail!$H:$H,'Rates-Service Fees'!JT$14)*100</f>
        <v>0</v>
      </c>
      <c r="JU35">
        <f>SUMIFS(Detail!$AW:$AW,Detail!$G:$G,'Rates-Service Fees'!JU$23,Detail!$H:$H,'Rates-Service Fees'!JU$14)*100</f>
        <v>0</v>
      </c>
      <c r="JV35">
        <f>SUMIFS(Detail!$AW:$AW,Detail!$G:$G,'Rates-Service Fees'!JV$23,Detail!$H:$H,'Rates-Service Fees'!JV$14)*100</f>
        <v>0</v>
      </c>
      <c r="JW35">
        <f>SUMIFS(Detail!$AW:$AW,Detail!$G:$G,'Rates-Service Fees'!JW$23,Detail!$H:$H,'Rates-Service Fees'!JW$14)*100</f>
        <v>0</v>
      </c>
      <c r="JX35">
        <f>SUMIFS(Detail!$AW:$AW,Detail!$G:$G,'Rates-Service Fees'!JX$23,Detail!$H:$H,'Rates-Service Fees'!JX$14)*100</f>
        <v>0</v>
      </c>
      <c r="JY35">
        <f>SUMIFS(Detail!$AW:$AW,Detail!$G:$G,'Rates-Service Fees'!JY$23,Detail!$H:$H,'Rates-Service Fees'!JY$14)*100</f>
        <v>0</v>
      </c>
      <c r="JZ35">
        <f>SUMIFS(Detail!$AW:$AW,Detail!$G:$G,'Rates-Service Fees'!JZ$23,Detail!$H:$H,'Rates-Service Fees'!JZ$14)*100</f>
        <v>0</v>
      </c>
      <c r="KA35">
        <f>SUMIFS(Detail!$AW:$AW,Detail!$G:$G,'Rates-Service Fees'!KA$23,Detail!$H:$H,'Rates-Service Fees'!KA$14)*100</f>
        <v>0</v>
      </c>
      <c r="KB35">
        <f>SUMIFS(Detail!$AW:$AW,Detail!$G:$G,'Rates-Service Fees'!KB$23,Detail!$H:$H,'Rates-Service Fees'!KB$14)*100</f>
        <v>0</v>
      </c>
      <c r="KC35">
        <f>SUMIFS(Detail!$AW:$AW,Detail!$G:$G,'Rates-Service Fees'!KC$23,Detail!$H:$H,'Rates-Service Fees'!KC$14)*100</f>
        <v>0</v>
      </c>
      <c r="KD35">
        <f>SUMIFS(Detail!$AW:$AW,Detail!$G:$G,'Rates-Service Fees'!KD$23,Detail!$H:$H,'Rates-Service Fees'!KD$14)*100</f>
        <v>0</v>
      </c>
      <c r="KE35">
        <f>SUMIFS(Detail!$AW:$AW,Detail!$G:$G,'Rates-Service Fees'!KE$23,Detail!$H:$H,'Rates-Service Fees'!KE$14)*100</f>
        <v>0</v>
      </c>
      <c r="KF35">
        <f>SUMIFS(Detail!$AW:$AW,Detail!$G:$G,'Rates-Service Fees'!KF$23,Detail!$H:$H,'Rates-Service Fees'!KF$14)*100</f>
        <v>0</v>
      </c>
      <c r="KG35">
        <f>SUMIFS(Detail!$AW:$AW,Detail!$G:$G,'Rates-Service Fees'!KG$23,Detail!$H:$H,'Rates-Service Fees'!KG$14)*100</f>
        <v>0</v>
      </c>
      <c r="KH35">
        <f>SUMIFS(Detail!$AW:$AW,Detail!$G:$G,'Rates-Service Fees'!KH$23,Detail!$H:$H,'Rates-Service Fees'!KH$14)*100</f>
        <v>0</v>
      </c>
      <c r="KI35">
        <f>SUMIFS(Detail!$AW:$AW,Detail!$G:$G,'Rates-Service Fees'!KI$23,Detail!$H:$H,'Rates-Service Fees'!KI$14)*100</f>
        <v>0</v>
      </c>
      <c r="KJ35">
        <f>SUMIFS(Detail!$AW:$AW,Detail!$G:$G,'Rates-Service Fees'!KJ$23,Detail!$H:$H,'Rates-Service Fees'!KJ$14)*100</f>
        <v>0</v>
      </c>
      <c r="KK35">
        <f>SUMIFS(Detail!$AW:$AW,Detail!$G:$G,'Rates-Service Fees'!KK$23,Detail!$H:$H,'Rates-Service Fees'!KK$14)*100</f>
        <v>0</v>
      </c>
      <c r="KL35">
        <f>SUMIFS(Detail!$AW:$AW,Detail!$G:$G,'Rates-Service Fees'!KL$23,Detail!$H:$H,'Rates-Service Fees'!KL$14)*100</f>
        <v>0</v>
      </c>
      <c r="KM35">
        <f>SUMIFS(Detail!$AW:$AW,Detail!$G:$G,'Rates-Service Fees'!KM$23,Detail!$H:$H,'Rates-Service Fees'!KM$14)*100</f>
        <v>0</v>
      </c>
      <c r="KN35">
        <f>SUMIFS(Detail!$AW:$AW,Detail!$G:$G,'Rates-Service Fees'!KN$23,Detail!$H:$H,'Rates-Service Fees'!KN$14)*100</f>
        <v>0</v>
      </c>
      <c r="KO35">
        <f>SUMIFS(Detail!$AW:$AW,Detail!$G:$G,'Rates-Service Fees'!KO$23,Detail!$H:$H,'Rates-Service Fees'!KO$14)*100</f>
        <v>0</v>
      </c>
      <c r="KP35">
        <f>SUMIFS(Detail!$AW:$AW,Detail!$G:$G,'Rates-Service Fees'!KP$23,Detail!$H:$H,'Rates-Service Fees'!KP$14)*100</f>
        <v>0</v>
      </c>
      <c r="KQ35">
        <f>SUMIFS(Detail!$AW:$AW,Detail!$G:$G,'Rates-Service Fees'!KQ$23,Detail!$H:$H,'Rates-Service Fees'!KQ$14)*100</f>
        <v>0</v>
      </c>
      <c r="KR35">
        <f>SUMIFS(Detail!$AW:$AW,Detail!$G:$G,'Rates-Service Fees'!KR$23,Detail!$H:$H,'Rates-Service Fees'!KR$14)*100</f>
        <v>0</v>
      </c>
      <c r="KS35">
        <f>SUMIFS(Detail!$AW:$AW,Detail!$G:$G,'Rates-Service Fees'!KS$23,Detail!$H:$H,'Rates-Service Fees'!KS$14)*100</f>
        <v>0</v>
      </c>
      <c r="KT35">
        <f>SUMIFS(Detail!$AW:$AW,Detail!$G:$G,'Rates-Service Fees'!KT$23,Detail!$H:$H,'Rates-Service Fees'!KT$14)*100</f>
        <v>0</v>
      </c>
      <c r="KU35">
        <f>SUMIFS(Detail!$AW:$AW,Detail!$G:$G,'Rates-Service Fees'!KU$23,Detail!$H:$H,'Rates-Service Fees'!KU$14)*100</f>
        <v>0</v>
      </c>
      <c r="KV35">
        <f>SUMIFS(Detail!$AW:$AW,Detail!$G:$G,'Rates-Service Fees'!KV$23,Detail!$H:$H,'Rates-Service Fees'!KV$14)*100</f>
        <v>0</v>
      </c>
      <c r="KW35">
        <f>SUMIFS(Detail!$AW:$AW,Detail!$G:$G,'Rates-Service Fees'!KW$23,Detail!$H:$H,'Rates-Service Fees'!KW$14)*100</f>
        <v>0</v>
      </c>
      <c r="KX35">
        <f>SUMIFS(Detail!$AW:$AW,Detail!$G:$G,'Rates-Service Fees'!KX$23,Detail!$H:$H,'Rates-Service Fees'!KX$14)*100</f>
        <v>0</v>
      </c>
      <c r="KY35">
        <f>SUMIFS(Detail!$AW:$AW,Detail!$G:$G,'Rates-Service Fees'!KY$23,Detail!$H:$H,'Rates-Service Fees'!KY$14)*100</f>
        <v>0</v>
      </c>
      <c r="KZ35">
        <f>SUMIFS(Detail!$AW:$AW,Detail!$G:$G,'Rates-Service Fees'!KZ$23,Detail!$H:$H,'Rates-Service Fees'!KZ$14)*100</f>
        <v>0</v>
      </c>
      <c r="LA35">
        <f>SUMIFS(Detail!$AW:$AW,Detail!$G:$G,'Rates-Service Fees'!LA$23,Detail!$H:$H,'Rates-Service Fees'!LA$14)*100</f>
        <v>0</v>
      </c>
      <c r="LB35">
        <f>SUMIFS(Detail!$AW:$AW,Detail!$G:$G,'Rates-Service Fees'!LB$23,Detail!$H:$H,'Rates-Service Fees'!LB$14)*100</f>
        <v>0</v>
      </c>
      <c r="LC35">
        <f>SUMIFS(Detail!$AW:$AW,Detail!$G:$G,'Rates-Service Fees'!LC$23,Detail!$H:$H,'Rates-Service Fees'!LC$14)*100</f>
        <v>0</v>
      </c>
      <c r="LD35">
        <f>SUMIFS(Detail!$AW:$AW,Detail!$G:$G,'Rates-Service Fees'!LD$23,Detail!$H:$H,'Rates-Service Fees'!LD$14)*100</f>
        <v>0</v>
      </c>
      <c r="LE35">
        <f>SUMIFS(Detail!$AW:$AW,Detail!$G:$G,'Rates-Service Fees'!LE$23,Detail!$H:$H,'Rates-Service Fees'!LE$14)*100</f>
        <v>0</v>
      </c>
      <c r="LF35">
        <f>SUMIFS(Detail!$AW:$AW,Detail!$G:$G,'Rates-Service Fees'!LF$23,Detail!$H:$H,'Rates-Service Fees'!LF$14)*100</f>
        <v>0</v>
      </c>
      <c r="LG35">
        <f>SUMIFS(Detail!$AW:$AW,Detail!$G:$G,'Rates-Service Fees'!LG$23,Detail!$H:$H,'Rates-Service Fees'!LG$14)*100</f>
        <v>0</v>
      </c>
      <c r="LH35">
        <f>SUMIFS(Detail!$AW:$AW,Detail!$G:$G,'Rates-Service Fees'!LH$23,Detail!$H:$H,'Rates-Service Fees'!LH$14)*100</f>
        <v>0</v>
      </c>
      <c r="LI35">
        <f>SUMIFS(Detail!$AW:$AW,Detail!$G:$G,'Rates-Service Fees'!LI$23,Detail!$H:$H,'Rates-Service Fees'!LI$14)*100</f>
        <v>0</v>
      </c>
      <c r="LJ35">
        <f>SUMIFS(Detail!$AW:$AW,Detail!$G:$G,'Rates-Service Fees'!LJ$23,Detail!$H:$H,'Rates-Service Fees'!LJ$14)*100</f>
        <v>0</v>
      </c>
      <c r="LK35">
        <f>SUMIFS(Detail!$AW:$AW,Detail!$G:$G,'Rates-Service Fees'!LK$23,Detail!$H:$H,'Rates-Service Fees'!LK$14)*100</f>
        <v>0</v>
      </c>
      <c r="LL35">
        <f>SUMIFS(Detail!$AW:$AW,Detail!$G:$G,'Rates-Service Fees'!LL$23,Detail!$H:$H,'Rates-Service Fees'!LL$14)*100</f>
        <v>0</v>
      </c>
      <c r="LM35">
        <f>SUMIFS(Detail!$AW:$AW,Detail!$G:$G,'Rates-Service Fees'!LM$23,Detail!$H:$H,'Rates-Service Fees'!LM$14)*100</f>
        <v>0</v>
      </c>
      <c r="LN35">
        <f>SUMIFS(Detail!$AW:$AW,Detail!$G:$G,'Rates-Service Fees'!LN$23,Detail!$H:$H,'Rates-Service Fees'!LN$14)*100</f>
        <v>0</v>
      </c>
      <c r="LO35">
        <f>SUMIFS(Detail!$AW:$AW,Detail!$G:$G,'Rates-Service Fees'!LO$23,Detail!$H:$H,'Rates-Service Fees'!LO$14)*100</f>
        <v>0</v>
      </c>
      <c r="LP35">
        <f>SUMIFS(Detail!$AW:$AW,Detail!$G:$G,'Rates-Service Fees'!LP$23,Detail!$H:$H,'Rates-Service Fees'!LP$14)*100</f>
        <v>0</v>
      </c>
      <c r="LQ35">
        <f>SUMIFS(Detail!$AW:$AW,Detail!$G:$G,'Rates-Service Fees'!LQ$23,Detail!$H:$H,'Rates-Service Fees'!LQ$14)*100</f>
        <v>0</v>
      </c>
      <c r="LR35">
        <f>SUMIFS(Detail!$AW:$AW,Detail!$G:$G,'Rates-Service Fees'!LR$23,Detail!$H:$H,'Rates-Service Fees'!LR$14)*100</f>
        <v>0</v>
      </c>
      <c r="LS35">
        <f>SUMIFS(Detail!$AW:$AW,Detail!$G:$G,'Rates-Service Fees'!LS$23,Detail!$H:$H,'Rates-Service Fees'!LS$14)*100</f>
        <v>0</v>
      </c>
      <c r="LT35">
        <f>SUMIFS(Detail!$AW:$AW,Detail!$G:$G,'Rates-Service Fees'!LT$23,Detail!$H:$H,'Rates-Service Fees'!LT$14)*100</f>
        <v>0</v>
      </c>
      <c r="LU35">
        <f>SUMIFS(Detail!$AW:$AW,Detail!$G:$G,'Rates-Service Fees'!LU$23,Detail!$H:$H,'Rates-Service Fees'!LU$14)*100</f>
        <v>0</v>
      </c>
      <c r="LV35">
        <f>SUMIFS(Detail!$AW:$AW,Detail!$G:$G,'Rates-Service Fees'!LV$23,Detail!$H:$H,'Rates-Service Fees'!LV$14)*100</f>
        <v>0</v>
      </c>
      <c r="LW35">
        <f>SUMIFS(Detail!$AW:$AW,Detail!$G:$G,'Rates-Service Fees'!LW$23,Detail!$H:$H,'Rates-Service Fees'!LW$14)*100</f>
        <v>0</v>
      </c>
      <c r="LX35">
        <f>SUMIFS(Detail!$AW:$AW,Detail!$G:$G,'Rates-Service Fees'!LX$23,Detail!$H:$H,'Rates-Service Fees'!LX$14)*100</f>
        <v>0</v>
      </c>
      <c r="LY35">
        <f>SUMIFS(Detail!$AW:$AW,Detail!$G:$G,'Rates-Service Fees'!LY$23,Detail!$H:$H,'Rates-Service Fees'!LY$14)*100</f>
        <v>0</v>
      </c>
      <c r="LZ35">
        <f>SUMIFS(Detail!$AW:$AW,Detail!$G:$G,'Rates-Service Fees'!LZ$23,Detail!$H:$H,'Rates-Service Fees'!LZ$14)*100</f>
        <v>0</v>
      </c>
      <c r="MA35">
        <f>SUMIFS(Detail!$AW:$AW,Detail!$G:$G,'Rates-Service Fees'!MA$23,Detail!$H:$H,'Rates-Service Fees'!MA$14)*100</f>
        <v>0</v>
      </c>
      <c r="MB35">
        <f>SUMIFS(Detail!$AW:$AW,Detail!$G:$G,'Rates-Service Fees'!MB$23,Detail!$H:$H,'Rates-Service Fees'!MB$14)*100</f>
        <v>0</v>
      </c>
      <c r="MC35">
        <f>SUMIFS(Detail!$AW:$AW,Detail!$G:$G,'Rates-Service Fees'!MC$23,Detail!$H:$H,'Rates-Service Fees'!MC$14)*100</f>
        <v>0</v>
      </c>
      <c r="MD35">
        <f>SUMIFS(Detail!$AW:$AW,Detail!$G:$G,'Rates-Service Fees'!MD$23,Detail!$H:$H,'Rates-Service Fees'!MD$14)*100</f>
        <v>0</v>
      </c>
      <c r="ME35">
        <f>SUMIFS(Detail!$AW:$AW,Detail!$G:$G,'Rates-Service Fees'!ME$23,Detail!$H:$H,'Rates-Service Fees'!ME$14)*100</f>
        <v>0</v>
      </c>
      <c r="MF35">
        <f>SUMIFS(Detail!$AW:$AW,Detail!$G:$G,'Rates-Service Fees'!MF$23,Detail!$H:$H,'Rates-Service Fees'!MF$14)*100</f>
        <v>0</v>
      </c>
      <c r="MG35">
        <f>SUMIFS(Detail!$AW:$AW,Detail!$G:$G,'Rates-Service Fees'!MG$23,Detail!$H:$H,'Rates-Service Fees'!MG$14)*100</f>
        <v>0</v>
      </c>
      <c r="MH35">
        <f>SUMIFS(Detail!$AW:$AW,Detail!$G:$G,'Rates-Service Fees'!MH$23,Detail!$H:$H,'Rates-Service Fees'!MH$14)*100</f>
        <v>0</v>
      </c>
      <c r="MI35">
        <f>SUMIFS(Detail!$AW:$AW,Detail!$G:$G,'Rates-Service Fees'!MI$23,Detail!$H:$H,'Rates-Service Fees'!MI$14)*100</f>
        <v>0</v>
      </c>
      <c r="MJ35">
        <f>SUMIFS(Detail!$AW:$AW,Detail!$G:$G,'Rates-Service Fees'!MJ$23,Detail!$H:$H,'Rates-Service Fees'!MJ$14)*100</f>
        <v>0</v>
      </c>
      <c r="MK35">
        <f>SUMIFS(Detail!$AW:$AW,Detail!$G:$G,'Rates-Service Fees'!MK$23,Detail!$H:$H,'Rates-Service Fees'!MK$14)*100</f>
        <v>0</v>
      </c>
      <c r="ML35">
        <f>SUMIFS(Detail!$AW:$AW,Detail!$G:$G,'Rates-Service Fees'!ML$23,Detail!$H:$H,'Rates-Service Fees'!ML$14)*100</f>
        <v>0</v>
      </c>
      <c r="MM35">
        <f>SUMIFS(Detail!$AW:$AW,Detail!$G:$G,'Rates-Service Fees'!MM$23,Detail!$H:$H,'Rates-Service Fees'!MM$14)*100</f>
        <v>0</v>
      </c>
      <c r="MN35">
        <f>SUMIFS(Detail!$AW:$AW,Detail!$G:$G,'Rates-Service Fees'!MN$23,Detail!$H:$H,'Rates-Service Fees'!MN$14)*100</f>
        <v>0</v>
      </c>
      <c r="MO35">
        <f>SUMIFS(Detail!$AW:$AW,Detail!$G:$G,'Rates-Service Fees'!MO$23,Detail!$H:$H,'Rates-Service Fees'!MO$14)*100</f>
        <v>0</v>
      </c>
      <c r="MP35">
        <f>SUMIFS(Detail!$AW:$AW,Detail!$G:$G,'Rates-Service Fees'!MP$23,Detail!$H:$H,'Rates-Service Fees'!MP$14)*100</f>
        <v>0</v>
      </c>
      <c r="MQ35">
        <f>SUMIFS(Detail!$AW:$AW,Detail!$G:$G,'Rates-Service Fees'!MQ$23,Detail!$H:$H,'Rates-Service Fees'!MQ$14)*100</f>
        <v>0</v>
      </c>
      <c r="MR35">
        <f>SUMIFS(Detail!$AW:$AW,Detail!$G:$G,'Rates-Service Fees'!MR$23,Detail!$H:$H,'Rates-Service Fees'!MR$14)*100</f>
        <v>0</v>
      </c>
      <c r="MS35">
        <f>SUMIFS(Detail!$AW:$AW,Detail!$G:$G,'Rates-Service Fees'!MS$23,Detail!$H:$H,'Rates-Service Fees'!MS$14)*100</f>
        <v>0</v>
      </c>
      <c r="MT35">
        <f>SUMIFS(Detail!$AW:$AW,Detail!$G:$G,'Rates-Service Fees'!MT$23,Detail!$H:$H,'Rates-Service Fees'!MT$14)*100</f>
        <v>0</v>
      </c>
      <c r="MU35">
        <f>SUMIFS(Detail!$AW:$AW,Detail!$G:$G,'Rates-Service Fees'!MU$23,Detail!$H:$H,'Rates-Service Fees'!MU$14)*100</f>
        <v>0</v>
      </c>
      <c r="MV35">
        <f>SUMIFS(Detail!$AW:$AW,Detail!$G:$G,'Rates-Service Fees'!MV$23,Detail!$H:$H,'Rates-Service Fees'!MV$14)*100</f>
        <v>0</v>
      </c>
      <c r="MW35">
        <f>SUMIFS(Detail!$AW:$AW,Detail!$G:$G,'Rates-Service Fees'!MW$23,Detail!$H:$H,'Rates-Service Fees'!MW$14)*100</f>
        <v>0</v>
      </c>
      <c r="MX35">
        <f>SUMIFS(Detail!$AW:$AW,Detail!$G:$G,'Rates-Service Fees'!MX$23,Detail!$H:$H,'Rates-Service Fees'!MX$14)*100</f>
        <v>0</v>
      </c>
      <c r="MY35">
        <f>SUMIFS(Detail!$AW:$AW,Detail!$G:$G,'Rates-Service Fees'!MY$23,Detail!$H:$H,'Rates-Service Fees'!MY$14)*100</f>
        <v>0</v>
      </c>
      <c r="MZ35">
        <f>SUMIFS(Detail!$AW:$AW,Detail!$G:$G,'Rates-Service Fees'!MZ$23,Detail!$H:$H,'Rates-Service Fees'!MZ$14)*100</f>
        <v>0</v>
      </c>
      <c r="NA35">
        <f>SUMIFS(Detail!$AW:$AW,Detail!$G:$G,'Rates-Service Fees'!NA$23,Detail!$H:$H,'Rates-Service Fees'!NA$14)*100</f>
        <v>0</v>
      </c>
      <c r="NB35">
        <f>SUMIFS(Detail!$AW:$AW,Detail!$G:$G,'Rates-Service Fees'!NB$23,Detail!$H:$H,'Rates-Service Fees'!NB$14)*100</f>
        <v>0</v>
      </c>
      <c r="NC35">
        <f>SUMIFS(Detail!$AW:$AW,Detail!$G:$G,'Rates-Service Fees'!NC$23,Detail!$H:$H,'Rates-Service Fees'!NC$14)*100</f>
        <v>0</v>
      </c>
      <c r="ND35">
        <f>SUMIFS(Detail!$AW:$AW,Detail!$G:$G,'Rates-Service Fees'!ND$23,Detail!$H:$H,'Rates-Service Fees'!ND$14)*100</f>
        <v>0</v>
      </c>
      <c r="NE35">
        <f>SUMIFS(Detail!$AW:$AW,Detail!$G:$G,'Rates-Service Fees'!NE$23,Detail!$H:$H,'Rates-Service Fees'!NE$14)*100</f>
        <v>0</v>
      </c>
      <c r="NF35">
        <f>SUMIFS(Detail!$AW:$AW,Detail!$G:$G,'Rates-Service Fees'!NF$23,Detail!$H:$H,'Rates-Service Fees'!NF$14)*100</f>
        <v>0</v>
      </c>
      <c r="NG35">
        <f>SUMIFS(Detail!$AW:$AW,Detail!$G:$G,'Rates-Service Fees'!NG$23,Detail!$H:$H,'Rates-Service Fees'!NG$14)*100</f>
        <v>0</v>
      </c>
      <c r="NH35">
        <f>SUMIFS(Detail!$AW:$AW,Detail!$G:$G,'Rates-Service Fees'!NH$23,Detail!$H:$H,'Rates-Service Fees'!NH$14)*100</f>
        <v>0</v>
      </c>
      <c r="NI35">
        <f>SUMIFS(Detail!$AW:$AW,Detail!$G:$G,'Rates-Service Fees'!NI$23,Detail!$H:$H,'Rates-Service Fees'!NI$14)*100</f>
        <v>0</v>
      </c>
      <c r="NJ35">
        <f>SUMIFS(Detail!$AW:$AW,Detail!$G:$G,'Rates-Service Fees'!NJ$23,Detail!$H:$H,'Rates-Service Fees'!NJ$14)*100</f>
        <v>0</v>
      </c>
      <c r="NK35">
        <f>SUMIFS(Detail!$AW:$AW,Detail!$G:$G,'Rates-Service Fees'!NK$23,Detail!$H:$H,'Rates-Service Fees'!NK$14)*100</f>
        <v>0</v>
      </c>
      <c r="NL35">
        <f>SUMIFS(Detail!$AW:$AW,Detail!$G:$G,'Rates-Service Fees'!NL$23,Detail!$H:$H,'Rates-Service Fees'!NL$14)*100</f>
        <v>0</v>
      </c>
      <c r="NM35">
        <f>SUMIFS(Detail!$AW:$AW,Detail!$G:$G,'Rates-Service Fees'!NM$23,Detail!$H:$H,'Rates-Service Fees'!NM$14)*100</f>
        <v>0</v>
      </c>
      <c r="NN35">
        <f>SUMIFS(Detail!$AW:$AW,Detail!$G:$G,'Rates-Service Fees'!NN$23,Detail!$H:$H,'Rates-Service Fees'!NN$14)*100</f>
        <v>0</v>
      </c>
      <c r="NO35">
        <f>SUMIFS(Detail!$AW:$AW,Detail!$G:$G,'Rates-Service Fees'!NO$23,Detail!$H:$H,'Rates-Service Fees'!NO$14)*100</f>
        <v>0</v>
      </c>
      <c r="NP35">
        <f>SUMIFS(Detail!$AW:$AW,Detail!$G:$G,'Rates-Service Fees'!NP$23,Detail!$H:$H,'Rates-Service Fees'!NP$14)*100</f>
        <v>0</v>
      </c>
      <c r="NQ35">
        <f>SUMIFS(Detail!$AW:$AW,Detail!$G:$G,'Rates-Service Fees'!NQ$23,Detail!$H:$H,'Rates-Service Fees'!NQ$14)*100</f>
        <v>0</v>
      </c>
      <c r="NR35">
        <f>SUMIFS(Detail!$AW:$AW,Detail!$G:$G,'Rates-Service Fees'!NR$23,Detail!$H:$H,'Rates-Service Fees'!NR$14)*100</f>
        <v>0</v>
      </c>
      <c r="NS35">
        <f>SUMIFS(Detail!$AW:$AW,Detail!$G:$G,'Rates-Service Fees'!NS$23,Detail!$H:$H,'Rates-Service Fees'!NS$14)*100</f>
        <v>0</v>
      </c>
      <c r="NT35">
        <f>SUMIFS(Detail!$AW:$AW,Detail!$G:$G,'Rates-Service Fees'!NT$23,Detail!$H:$H,'Rates-Service Fees'!NT$14)*100</f>
        <v>0</v>
      </c>
      <c r="NU35">
        <f>SUMIFS(Detail!$AW:$AW,Detail!$G:$G,'Rates-Service Fees'!NU$23,Detail!$H:$H,'Rates-Service Fees'!NU$14)*100</f>
        <v>0</v>
      </c>
      <c r="NV35">
        <f>SUMIFS(Detail!$AW:$AW,Detail!$G:$G,'Rates-Service Fees'!NV$23,Detail!$H:$H,'Rates-Service Fees'!NV$14)*100</f>
        <v>0</v>
      </c>
      <c r="NW35">
        <f>SUMIFS(Detail!$AW:$AW,Detail!$G:$G,'Rates-Service Fees'!NW$23,Detail!$H:$H,'Rates-Service Fees'!NW$14)*100</f>
        <v>0</v>
      </c>
      <c r="NX35">
        <f>SUMIFS(Detail!$AW:$AW,Detail!$G:$G,'Rates-Service Fees'!NX$23,Detail!$H:$H,'Rates-Service Fees'!NX$14)*100</f>
        <v>0</v>
      </c>
      <c r="NY35">
        <f>SUMIFS(Detail!$AW:$AW,Detail!$G:$G,'Rates-Service Fees'!NY$23,Detail!$H:$H,'Rates-Service Fees'!NY$14)*100</f>
        <v>0</v>
      </c>
      <c r="NZ35">
        <f>SUMIFS(Detail!$AW:$AW,Detail!$G:$G,'Rates-Service Fees'!NZ$23,Detail!$H:$H,'Rates-Service Fees'!NZ$14)*100</f>
        <v>0</v>
      </c>
      <c r="OA35">
        <f>SUMIFS(Detail!$AW:$AW,Detail!$G:$G,'Rates-Service Fees'!OA$23,Detail!$H:$H,'Rates-Service Fees'!OA$14)*100</f>
        <v>0</v>
      </c>
      <c r="OB35">
        <f>SUMIFS(Detail!$AW:$AW,Detail!$G:$G,'Rates-Service Fees'!OB$23,Detail!$H:$H,'Rates-Service Fees'!OB$14)*100</f>
        <v>0</v>
      </c>
      <c r="OC35">
        <f>SUMIFS(Detail!$AW:$AW,Detail!$G:$G,'Rates-Service Fees'!OC$23,Detail!$H:$H,'Rates-Service Fees'!OC$14)*100</f>
        <v>0</v>
      </c>
      <c r="OD35">
        <f>SUMIFS(Detail!$AW:$AW,Detail!$G:$G,'Rates-Service Fees'!OD$23,Detail!$H:$H,'Rates-Service Fees'!OD$14)*100</f>
        <v>0</v>
      </c>
      <c r="OE35">
        <f>SUMIFS(Detail!$AW:$AW,Detail!$G:$G,'Rates-Service Fees'!OE$23,Detail!$H:$H,'Rates-Service Fees'!OE$14)*100</f>
        <v>0</v>
      </c>
      <c r="OF35">
        <f>SUMIFS(Detail!$AW:$AW,Detail!$G:$G,'Rates-Service Fees'!OF$23,Detail!$H:$H,'Rates-Service Fees'!OF$14)*100</f>
        <v>0</v>
      </c>
      <c r="OG35">
        <f>SUMIFS(Detail!$AW:$AW,Detail!$G:$G,'Rates-Service Fees'!OG$23,Detail!$H:$H,'Rates-Service Fees'!OG$14)*100</f>
        <v>0</v>
      </c>
      <c r="OH35">
        <f>SUMIFS(Detail!$AW:$AW,Detail!$G:$G,'Rates-Service Fees'!OH$23,Detail!$H:$H,'Rates-Service Fees'!OH$14)*100</f>
        <v>0</v>
      </c>
      <c r="OI35">
        <f>SUMIFS(Detail!$AW:$AW,Detail!$G:$G,'Rates-Service Fees'!OI$23,Detail!$H:$H,'Rates-Service Fees'!OI$14)*100</f>
        <v>0</v>
      </c>
      <c r="OJ35">
        <f>SUMIFS(Detail!$AW:$AW,Detail!$G:$G,'Rates-Service Fees'!OJ$23,Detail!$H:$H,'Rates-Service Fees'!OJ$14)*100</f>
        <v>0</v>
      </c>
      <c r="OK35">
        <f>SUMIFS(Detail!$AW:$AW,Detail!$G:$G,'Rates-Service Fees'!OK$23,Detail!$H:$H,'Rates-Service Fees'!OK$14)*100</f>
        <v>0</v>
      </c>
      <c r="OL35">
        <f>SUMIFS(Detail!$AW:$AW,Detail!$G:$G,'Rates-Service Fees'!OL$23,Detail!$H:$H,'Rates-Service Fees'!OL$14)*100</f>
        <v>0</v>
      </c>
      <c r="OM35">
        <f>SUMIFS(Detail!$AW:$AW,Detail!$G:$G,'Rates-Service Fees'!OM$23,Detail!$H:$H,'Rates-Service Fees'!OM$14)*100</f>
        <v>0</v>
      </c>
      <c r="ON35">
        <f>SUMIFS(Detail!$AW:$AW,Detail!$G:$G,'Rates-Service Fees'!ON$23,Detail!$H:$H,'Rates-Service Fees'!ON$14)*100</f>
        <v>0</v>
      </c>
      <c r="OO35">
        <f>SUMIFS(Detail!$AW:$AW,Detail!$G:$G,'Rates-Service Fees'!OO$23,Detail!$H:$H,'Rates-Service Fees'!OO$14)*100</f>
        <v>0</v>
      </c>
      <c r="OP35">
        <f>SUMIFS(Detail!$AW:$AW,Detail!$G:$G,'Rates-Service Fees'!OP$23,Detail!$H:$H,'Rates-Service Fees'!OP$14)*100</f>
        <v>0</v>
      </c>
      <c r="OQ35">
        <f>SUMIFS(Detail!$AW:$AW,Detail!$G:$G,'Rates-Service Fees'!OQ$23,Detail!$H:$H,'Rates-Service Fees'!OQ$14)*100</f>
        <v>0</v>
      </c>
      <c r="OR35">
        <f>SUMIFS(Detail!$AW:$AW,Detail!$G:$G,'Rates-Service Fees'!OR$23,Detail!$H:$H,'Rates-Service Fees'!OR$14)*100</f>
        <v>0</v>
      </c>
      <c r="OS35">
        <f>SUMIFS(Detail!$AW:$AW,Detail!$G:$G,'Rates-Service Fees'!OS$23,Detail!$H:$H,'Rates-Service Fees'!OS$14)*100</f>
        <v>0</v>
      </c>
      <c r="OT35">
        <f>SUMIFS(Detail!$AW:$AW,Detail!$G:$G,'Rates-Service Fees'!OT$23,Detail!$H:$H,'Rates-Service Fees'!OT$14)*100</f>
        <v>0</v>
      </c>
      <c r="OU35">
        <f>SUMIFS(Detail!$AW:$AW,Detail!$G:$G,'Rates-Service Fees'!OU$23,Detail!$H:$H,'Rates-Service Fees'!OU$14)*100</f>
        <v>0</v>
      </c>
      <c r="OV35">
        <f>SUMIFS(Detail!$AW:$AW,Detail!$G:$G,'Rates-Service Fees'!OV$23,Detail!$H:$H,'Rates-Service Fees'!OV$14)*100</f>
        <v>0</v>
      </c>
      <c r="OW35">
        <f>SUMIFS(Detail!$AW:$AW,Detail!$G:$G,'Rates-Service Fees'!OW$23,Detail!$H:$H,'Rates-Service Fees'!OW$14)*100</f>
        <v>0</v>
      </c>
      <c r="OX35">
        <f>SUMIFS(Detail!$AW:$AW,Detail!$G:$G,'Rates-Service Fees'!OX$23,Detail!$H:$H,'Rates-Service Fees'!OX$14)*100</f>
        <v>0</v>
      </c>
      <c r="OY35">
        <f>SUMIFS(Detail!$AW:$AW,Detail!$G:$G,'Rates-Service Fees'!OY$23,Detail!$H:$H,'Rates-Service Fees'!OY$14)*100</f>
        <v>0</v>
      </c>
      <c r="OZ35">
        <f>SUMIFS(Detail!$AW:$AW,Detail!$G:$G,'Rates-Service Fees'!OZ$23,Detail!$H:$H,'Rates-Service Fees'!OZ$14)*100</f>
        <v>0</v>
      </c>
      <c r="PA35">
        <f>SUMIFS(Detail!$AW:$AW,Detail!$G:$G,'Rates-Service Fees'!PA$23,Detail!$H:$H,'Rates-Service Fees'!PA$14)*100</f>
        <v>0</v>
      </c>
      <c r="PB35">
        <f>SUMIFS(Detail!$AW:$AW,Detail!$G:$G,'Rates-Service Fees'!PB$23,Detail!$H:$H,'Rates-Service Fees'!PB$14)*100</f>
        <v>0</v>
      </c>
      <c r="PC35">
        <f>SUMIFS(Detail!$AW:$AW,Detail!$G:$G,'Rates-Service Fees'!PC$23,Detail!$H:$H,'Rates-Service Fees'!PC$14)*100</f>
        <v>0</v>
      </c>
      <c r="PD35">
        <f>SUMIFS(Detail!$AW:$AW,Detail!$G:$G,'Rates-Service Fees'!PD$23,Detail!$H:$H,'Rates-Service Fees'!PD$14)*100</f>
        <v>0</v>
      </c>
      <c r="PE35">
        <f>SUMIFS(Detail!$AW:$AW,Detail!$G:$G,'Rates-Service Fees'!PE$23,Detail!$H:$H,'Rates-Service Fees'!PE$14)*100</f>
        <v>0</v>
      </c>
      <c r="PF35">
        <f>SUMIFS(Detail!$AW:$AW,Detail!$G:$G,'Rates-Service Fees'!PF$23,Detail!$H:$H,'Rates-Service Fees'!PF$14)*100</f>
        <v>0</v>
      </c>
      <c r="PG35">
        <f>SUMIFS(Detail!$AW:$AW,Detail!$G:$G,'Rates-Service Fees'!PG$23,Detail!$H:$H,'Rates-Service Fees'!PG$14)*100</f>
        <v>0</v>
      </c>
      <c r="PH35">
        <f>SUMIFS(Detail!$AW:$AW,Detail!$G:$G,'Rates-Service Fees'!PH$23,Detail!$H:$H,'Rates-Service Fees'!PH$14)*100</f>
        <v>0</v>
      </c>
      <c r="PI35">
        <f>SUMIFS(Detail!$AW:$AW,Detail!$G:$G,'Rates-Service Fees'!PI$23,Detail!$H:$H,'Rates-Service Fees'!PI$14)*100</f>
        <v>0</v>
      </c>
      <c r="PJ35">
        <f>SUMIFS(Detail!$AW:$AW,Detail!$G:$G,'Rates-Service Fees'!PJ$23,Detail!$H:$H,'Rates-Service Fees'!PJ$14)*100</f>
        <v>0</v>
      </c>
      <c r="PK35">
        <f>SUMIFS(Detail!$AW:$AW,Detail!$G:$G,'Rates-Service Fees'!PK$23,Detail!$H:$H,'Rates-Service Fees'!PK$14)*100</f>
        <v>0</v>
      </c>
      <c r="PL35">
        <f>SUMIFS(Detail!$AW:$AW,Detail!$G:$G,'Rates-Service Fees'!PL$23,Detail!$H:$H,'Rates-Service Fees'!PL$14)*100</f>
        <v>0</v>
      </c>
      <c r="PM35">
        <f>SUMIFS(Detail!$AW:$AW,Detail!$G:$G,'Rates-Service Fees'!PM$23,Detail!$H:$H,'Rates-Service Fees'!PM$14)*100</f>
        <v>0</v>
      </c>
      <c r="PN35">
        <f>SUMIFS(Detail!$AW:$AW,Detail!$G:$G,'Rates-Service Fees'!PN$23,Detail!$H:$H,'Rates-Service Fees'!PN$14)*100</f>
        <v>0</v>
      </c>
      <c r="PO35">
        <f>SUMIFS(Detail!$AW:$AW,Detail!$G:$G,'Rates-Service Fees'!PO$23,Detail!$H:$H,'Rates-Service Fees'!PO$14)*100</f>
        <v>0</v>
      </c>
      <c r="PP35">
        <f>SUMIFS(Detail!$AW:$AW,Detail!$G:$G,'Rates-Service Fees'!PP$23,Detail!$H:$H,'Rates-Service Fees'!PP$14)*100</f>
        <v>0</v>
      </c>
      <c r="PQ35">
        <f>SUMIFS(Detail!$AW:$AW,Detail!$G:$G,'Rates-Service Fees'!PQ$23,Detail!$H:$H,'Rates-Service Fees'!PQ$14)*100</f>
        <v>0</v>
      </c>
      <c r="PR35">
        <f>SUMIFS(Detail!$AW:$AW,Detail!$G:$G,'Rates-Service Fees'!PR$23,Detail!$H:$H,'Rates-Service Fees'!PR$14)*100</f>
        <v>0</v>
      </c>
      <c r="PS35">
        <f>SUMIFS(Detail!$AW:$AW,Detail!$G:$G,'Rates-Service Fees'!PS$23,Detail!$H:$H,'Rates-Service Fees'!PS$14)*100</f>
        <v>0</v>
      </c>
      <c r="PT35">
        <f>SUMIFS(Detail!$AW:$AW,Detail!$G:$G,'Rates-Service Fees'!PT$23,Detail!$H:$H,'Rates-Service Fees'!PT$14)*100</f>
        <v>0</v>
      </c>
      <c r="PU35">
        <f>SUMIFS(Detail!$AW:$AW,Detail!$G:$G,'Rates-Service Fees'!PU$23,Detail!$H:$H,'Rates-Service Fees'!PU$14)*100</f>
        <v>0</v>
      </c>
      <c r="PV35">
        <f>SUMIFS(Detail!$AW:$AW,Detail!$G:$G,'Rates-Service Fees'!PV$23,Detail!$H:$H,'Rates-Service Fees'!PV$14)*100</f>
        <v>0</v>
      </c>
      <c r="PW35">
        <f>SUMIFS(Detail!$AW:$AW,Detail!$G:$G,'Rates-Service Fees'!PW$23,Detail!$H:$H,'Rates-Service Fees'!PW$14)*100</f>
        <v>0</v>
      </c>
      <c r="PX35">
        <f>SUMIFS(Detail!$AW:$AW,Detail!$G:$G,'Rates-Service Fees'!PX$23,Detail!$H:$H,'Rates-Service Fees'!PX$14)*100</f>
        <v>0</v>
      </c>
      <c r="PY35">
        <f>SUMIFS(Detail!$AW:$AW,Detail!$G:$G,'Rates-Service Fees'!PY$23,Detail!$H:$H,'Rates-Service Fees'!PY$14)*100</f>
        <v>0</v>
      </c>
      <c r="PZ35">
        <f>SUMIFS(Detail!$AW:$AW,Detail!$G:$G,'Rates-Service Fees'!PZ$23,Detail!$H:$H,'Rates-Service Fees'!PZ$14)*100</f>
        <v>0</v>
      </c>
      <c r="QA35">
        <f>SUMIFS(Detail!$AW:$AW,Detail!$G:$G,'Rates-Service Fees'!QA$23,Detail!$H:$H,'Rates-Service Fees'!QA$14)*100</f>
        <v>0</v>
      </c>
      <c r="QB35">
        <f>SUMIFS(Detail!$AW:$AW,Detail!$G:$G,'Rates-Service Fees'!QB$23,Detail!$H:$H,'Rates-Service Fees'!QB$14)*100</f>
        <v>0</v>
      </c>
      <c r="QC35">
        <f>SUMIFS(Detail!$AW:$AW,Detail!$G:$G,'Rates-Service Fees'!QC$23,Detail!$H:$H,'Rates-Service Fees'!QC$14)*100</f>
        <v>0</v>
      </c>
      <c r="QD35">
        <f>SUMIFS(Detail!$AW:$AW,Detail!$G:$G,'Rates-Service Fees'!QD$23,Detail!$H:$H,'Rates-Service Fees'!QD$14)*100</f>
        <v>0</v>
      </c>
      <c r="QE35">
        <f>SUMIFS(Detail!$AW:$AW,Detail!$G:$G,'Rates-Service Fees'!QE$23,Detail!$H:$H,'Rates-Service Fees'!QE$14)*100</f>
        <v>0</v>
      </c>
      <c r="QF35">
        <f>SUMIFS(Detail!$AW:$AW,Detail!$G:$G,'Rates-Service Fees'!QF$23,Detail!$H:$H,'Rates-Service Fees'!QF$14)*100</f>
        <v>0</v>
      </c>
      <c r="QG35">
        <f>SUMIFS(Detail!$AW:$AW,Detail!$G:$G,'Rates-Service Fees'!QG$23,Detail!$H:$H,'Rates-Service Fees'!QG$14)*100</f>
        <v>0</v>
      </c>
      <c r="QH35">
        <f>SUMIFS(Detail!$AW:$AW,Detail!$G:$G,'Rates-Service Fees'!QH$23,Detail!$H:$H,'Rates-Service Fees'!QH$14)*100</f>
        <v>0</v>
      </c>
      <c r="QI35">
        <f>SUMIFS(Detail!$AW:$AW,Detail!$G:$G,'Rates-Service Fees'!QI$23,Detail!$H:$H,'Rates-Service Fees'!QI$14)*100</f>
        <v>0</v>
      </c>
      <c r="QJ35">
        <f>SUMIFS(Detail!$AW:$AW,Detail!$G:$G,'Rates-Service Fees'!QJ$23,Detail!$H:$H,'Rates-Service Fees'!QJ$14)*100</f>
        <v>0</v>
      </c>
      <c r="QK35">
        <f>SUMIFS(Detail!$AW:$AW,Detail!$G:$G,'Rates-Service Fees'!QK$23,Detail!$H:$H,'Rates-Service Fees'!QK$14)*100</f>
        <v>0</v>
      </c>
      <c r="QL35">
        <f>SUMIFS(Detail!$AW:$AW,Detail!$G:$G,'Rates-Service Fees'!QL$23,Detail!$H:$H,'Rates-Service Fees'!QL$14)*100</f>
        <v>0</v>
      </c>
      <c r="QM35">
        <f>SUMIFS(Detail!$AW:$AW,Detail!$G:$G,'Rates-Service Fees'!QM$23,Detail!$H:$H,'Rates-Service Fees'!QM$14)*100</f>
        <v>0</v>
      </c>
      <c r="QN35">
        <f>SUMIFS(Detail!$AW:$AW,Detail!$G:$G,'Rates-Service Fees'!QN$23,Detail!$H:$H,'Rates-Service Fees'!QN$14)*100</f>
        <v>0</v>
      </c>
      <c r="QO35">
        <f>SUMIFS(Detail!$AW:$AW,Detail!$G:$G,'Rates-Service Fees'!QO$23,Detail!$H:$H,'Rates-Service Fees'!QO$14)*100</f>
        <v>0</v>
      </c>
      <c r="QP35">
        <f>SUMIFS(Detail!$AW:$AW,Detail!$G:$G,'Rates-Service Fees'!QP$23,Detail!$H:$H,'Rates-Service Fees'!QP$14)*100</f>
        <v>0</v>
      </c>
      <c r="QQ35">
        <f>SUMIFS(Detail!$AW:$AW,Detail!$G:$G,'Rates-Service Fees'!QQ$23,Detail!$H:$H,'Rates-Service Fees'!QQ$14)*100</f>
        <v>0</v>
      </c>
      <c r="QR35">
        <f>SUMIFS(Detail!$AW:$AW,Detail!$G:$G,'Rates-Service Fees'!QR$23,Detail!$H:$H,'Rates-Service Fees'!QR$14)*100</f>
        <v>0</v>
      </c>
      <c r="QS35">
        <f>SUMIFS(Detail!$AW:$AW,Detail!$G:$G,'Rates-Service Fees'!QS$23,Detail!$H:$H,'Rates-Service Fees'!QS$14)*100</f>
        <v>0</v>
      </c>
      <c r="QT35">
        <f>SUMIFS(Detail!$AW:$AW,Detail!$G:$G,'Rates-Service Fees'!QT$23,Detail!$H:$H,'Rates-Service Fees'!QT$14)*100</f>
        <v>0</v>
      </c>
      <c r="QU35">
        <f>SUMIFS(Detail!$AW:$AW,Detail!$G:$G,'Rates-Service Fees'!QU$23,Detail!$H:$H,'Rates-Service Fees'!QU$14)*100</f>
        <v>0</v>
      </c>
      <c r="QV35">
        <f>SUMIFS(Detail!$AW:$AW,Detail!$G:$G,'Rates-Service Fees'!QV$23,Detail!$H:$H,'Rates-Service Fees'!QV$14)*100</f>
        <v>0</v>
      </c>
      <c r="QW35">
        <f>SUMIFS(Detail!$AW:$AW,Detail!$G:$G,'Rates-Service Fees'!QW$23,Detail!$H:$H,'Rates-Service Fees'!QW$14)*100</f>
        <v>0</v>
      </c>
      <c r="QX35">
        <f>SUMIFS(Detail!$AW:$AW,Detail!$G:$G,'Rates-Service Fees'!QX$23,Detail!$H:$H,'Rates-Service Fees'!QX$14)*100</f>
        <v>0</v>
      </c>
      <c r="QY35">
        <f>SUMIFS(Detail!$AW:$AW,Detail!$G:$G,'Rates-Service Fees'!QY$23,Detail!$H:$H,'Rates-Service Fees'!QY$14)*100</f>
        <v>0</v>
      </c>
      <c r="QZ35">
        <f>SUMIFS(Detail!$AW:$AW,Detail!$G:$G,'Rates-Service Fees'!QZ$23,Detail!$H:$H,'Rates-Service Fees'!QZ$14)*100</f>
        <v>0</v>
      </c>
      <c r="RA35">
        <f>SUMIFS(Detail!$AW:$AW,Detail!$G:$G,'Rates-Service Fees'!RA$23,Detail!$H:$H,'Rates-Service Fees'!RA$14)*100</f>
        <v>0</v>
      </c>
      <c r="RB35">
        <f>SUMIFS(Detail!$AW:$AW,Detail!$G:$G,'Rates-Service Fees'!RB$23,Detail!$H:$H,'Rates-Service Fees'!RB$14)*100</f>
        <v>0</v>
      </c>
      <c r="RC35">
        <f>SUMIFS(Detail!$AW:$AW,Detail!$G:$G,'Rates-Service Fees'!RC$23,Detail!$H:$H,'Rates-Service Fees'!RC$14)*100</f>
        <v>0</v>
      </c>
      <c r="RD35">
        <f>SUMIFS(Detail!$AW:$AW,Detail!$G:$G,'Rates-Service Fees'!RD$23,Detail!$H:$H,'Rates-Service Fees'!RD$14)*100</f>
        <v>0</v>
      </c>
      <c r="RE35">
        <f>SUMIFS(Detail!$AW:$AW,Detail!$G:$G,'Rates-Service Fees'!RE$23,Detail!$H:$H,'Rates-Service Fees'!RE$14)*100</f>
        <v>0</v>
      </c>
      <c r="RF35">
        <f>SUMIFS(Detail!$AW:$AW,Detail!$G:$G,'Rates-Service Fees'!RF$23,Detail!$H:$H,'Rates-Service Fees'!RF$14)*100</f>
        <v>0</v>
      </c>
      <c r="RG35">
        <f>SUMIFS(Detail!$AW:$AW,Detail!$G:$G,'Rates-Service Fees'!RG$23,Detail!$H:$H,'Rates-Service Fees'!RG$14)*100</f>
        <v>0</v>
      </c>
      <c r="RH35">
        <f>SUMIFS(Detail!$AW:$AW,Detail!$G:$G,'Rates-Service Fees'!RH$23,Detail!$H:$H,'Rates-Service Fees'!RH$14)*100</f>
        <v>0</v>
      </c>
      <c r="RI35">
        <f>SUMIFS(Detail!$AW:$AW,Detail!$G:$G,'Rates-Service Fees'!RI$23,Detail!$H:$H,'Rates-Service Fees'!RI$14)*100</f>
        <v>0</v>
      </c>
      <c r="RJ35">
        <f>SUMIFS(Detail!$AW:$AW,Detail!$G:$G,'Rates-Service Fees'!RJ$23,Detail!$H:$H,'Rates-Service Fees'!RJ$14)*100</f>
        <v>0</v>
      </c>
      <c r="RK35">
        <f>SUMIFS(Detail!$AW:$AW,Detail!$G:$G,'Rates-Service Fees'!RK$23,Detail!$H:$H,'Rates-Service Fees'!RK$14)*100</f>
        <v>0</v>
      </c>
      <c r="RL35">
        <f>SUMIFS(Detail!$AW:$AW,Detail!$G:$G,'Rates-Service Fees'!RL$23,Detail!$H:$H,'Rates-Service Fees'!RL$14)*100</f>
        <v>0</v>
      </c>
      <c r="RM35">
        <f>SUMIFS(Detail!$AW:$AW,Detail!$G:$G,'Rates-Service Fees'!RM$23,Detail!$H:$H,'Rates-Service Fees'!RM$14)*100</f>
        <v>0</v>
      </c>
      <c r="RN35">
        <f>SUMIFS(Detail!$AW:$AW,Detail!$G:$G,'Rates-Service Fees'!RN$23,Detail!$H:$H,'Rates-Service Fees'!RN$14)*100</f>
        <v>0</v>
      </c>
      <c r="RO35">
        <f>SUMIFS(Detail!$AW:$AW,Detail!$G:$G,'Rates-Service Fees'!RO$23,Detail!$H:$H,'Rates-Service Fees'!RO$14)*100</f>
        <v>0</v>
      </c>
      <c r="RP35">
        <f>SUMIFS(Detail!$AW:$AW,Detail!$G:$G,'Rates-Service Fees'!RP$23,Detail!$H:$H,'Rates-Service Fees'!RP$14)*100</f>
        <v>0</v>
      </c>
      <c r="RQ35">
        <f>SUMIFS(Detail!$AW:$AW,Detail!$G:$G,'Rates-Service Fees'!RQ$23,Detail!$H:$H,'Rates-Service Fees'!RQ$14)*100</f>
        <v>0</v>
      </c>
      <c r="RR35">
        <f>SUMIFS(Detail!$AW:$AW,Detail!$G:$G,'Rates-Service Fees'!RR$23,Detail!$H:$H,'Rates-Service Fees'!RR$14)*100</f>
        <v>0</v>
      </c>
      <c r="RS35">
        <f>SUMIFS(Detail!$AW:$AW,Detail!$G:$G,'Rates-Service Fees'!RS$23,Detail!$H:$H,'Rates-Service Fees'!RS$14)*100</f>
        <v>0</v>
      </c>
      <c r="RT35">
        <f>SUMIFS(Detail!$AW:$AW,Detail!$G:$G,'Rates-Service Fees'!RT$23,Detail!$H:$H,'Rates-Service Fees'!RT$14)*100</f>
        <v>0</v>
      </c>
      <c r="RU35">
        <f>SUMIFS(Detail!$AW:$AW,Detail!$G:$G,'Rates-Service Fees'!RU$23,Detail!$H:$H,'Rates-Service Fees'!RU$14)*100</f>
        <v>0</v>
      </c>
      <c r="RV35">
        <f>SUMIFS(Detail!$AW:$AW,Detail!$G:$G,'Rates-Service Fees'!RV$23,Detail!$H:$H,'Rates-Service Fees'!RV$14)*100</f>
        <v>0</v>
      </c>
      <c r="RW35">
        <f>SUMIFS(Detail!$AW:$AW,Detail!$G:$G,'Rates-Service Fees'!RW$23,Detail!$H:$H,'Rates-Service Fees'!RW$14)*100</f>
        <v>0</v>
      </c>
      <c r="RX35">
        <f>SUMIFS(Detail!$AW:$AW,Detail!$G:$G,'Rates-Service Fees'!RX$23,Detail!$H:$H,'Rates-Service Fees'!RX$14)*100</f>
        <v>0</v>
      </c>
      <c r="RY35">
        <f>SUMIFS(Detail!$AW:$AW,Detail!$G:$G,'Rates-Service Fees'!RY$23,Detail!$H:$H,'Rates-Service Fees'!RY$14)*100</f>
        <v>0</v>
      </c>
      <c r="RZ35">
        <f>SUMIFS(Detail!$AW:$AW,Detail!$G:$G,'Rates-Service Fees'!RZ$23,Detail!$H:$H,'Rates-Service Fees'!RZ$14)*100</f>
        <v>0</v>
      </c>
      <c r="SA35">
        <f>SUMIFS(Detail!$AW:$AW,Detail!$G:$G,'Rates-Service Fees'!SA$23,Detail!$H:$H,'Rates-Service Fees'!SA$14)*100</f>
        <v>0</v>
      </c>
      <c r="SB35">
        <f>SUMIFS(Detail!$AW:$AW,Detail!$G:$G,'Rates-Service Fees'!SB$23,Detail!$H:$H,'Rates-Service Fees'!SB$14)*100</f>
        <v>0</v>
      </c>
      <c r="SC35">
        <f>SUMIFS(Detail!$AW:$AW,Detail!$G:$G,'Rates-Service Fees'!SC$23,Detail!$H:$H,'Rates-Service Fees'!SC$14)*100</f>
        <v>0</v>
      </c>
      <c r="SD35">
        <f>SUMIFS(Detail!$AW:$AW,Detail!$G:$G,'Rates-Service Fees'!SD$23,Detail!$H:$H,'Rates-Service Fees'!SD$14)*100</f>
        <v>0</v>
      </c>
      <c r="SE35">
        <f>SUMIFS(Detail!$AW:$AW,Detail!$G:$G,'Rates-Service Fees'!SE$23,Detail!$H:$H,'Rates-Service Fees'!SE$14)*100</f>
        <v>0</v>
      </c>
      <c r="SF35">
        <f>SUMIFS(Detail!$AW:$AW,Detail!$G:$G,'Rates-Service Fees'!SF$23,Detail!$H:$H,'Rates-Service Fees'!SF$14)*100</f>
        <v>0</v>
      </c>
      <c r="SG35">
        <f>SUMIFS(Detail!$AW:$AW,Detail!$G:$G,'Rates-Service Fees'!SG$23,Detail!$H:$H,'Rates-Service Fees'!SG$14)*100</f>
        <v>0</v>
      </c>
      <c r="SH35">
        <f>SUMIFS(Detail!$AW:$AW,Detail!$G:$G,'Rates-Service Fees'!SH$23,Detail!$H:$H,'Rates-Service Fees'!SH$14)*100</f>
        <v>0</v>
      </c>
      <c r="SI35">
        <f>SUMIFS(Detail!$AW:$AW,Detail!$G:$G,'Rates-Service Fees'!SI$23,Detail!$H:$H,'Rates-Service Fees'!SI$14)*100</f>
        <v>0</v>
      </c>
      <c r="SJ35">
        <f>SUMIFS(Detail!$AW:$AW,Detail!$G:$G,'Rates-Service Fees'!SJ$23,Detail!$H:$H,'Rates-Service Fees'!SJ$14)*100</f>
        <v>0</v>
      </c>
      <c r="SK35">
        <f>SUMIFS(Detail!$AW:$AW,Detail!$G:$G,'Rates-Service Fees'!SK$23,Detail!$H:$H,'Rates-Service Fees'!SK$14)*100</f>
        <v>0</v>
      </c>
      <c r="SL35">
        <f>SUMIFS(Detail!$AW:$AW,Detail!$G:$G,'Rates-Service Fees'!SL$23,Detail!$H:$H,'Rates-Service Fees'!SL$14)*100</f>
        <v>0</v>
      </c>
      <c r="SM35">
        <f>SUMIFS(Detail!$AW:$AW,Detail!$G:$G,'Rates-Service Fees'!SM$23,Detail!$H:$H,'Rates-Service Fees'!SM$14)*100</f>
        <v>0</v>
      </c>
      <c r="SN35">
        <f>SUMIFS(Detail!$AW:$AW,Detail!$G:$G,'Rates-Service Fees'!SN$23,Detail!$H:$H,'Rates-Service Fees'!SN$14)*100</f>
        <v>0</v>
      </c>
      <c r="SO35">
        <f>SUMIFS(Detail!$AW:$AW,Detail!$G:$G,'Rates-Service Fees'!SO$23,Detail!$H:$H,'Rates-Service Fees'!SO$14)*100</f>
        <v>0</v>
      </c>
      <c r="SP35">
        <f>SUMIFS(Detail!$AW:$AW,Detail!$G:$G,'Rates-Service Fees'!SP$23,Detail!$H:$H,'Rates-Service Fees'!SP$14)*100</f>
        <v>0</v>
      </c>
      <c r="SQ35">
        <f>SUMIFS(Detail!$AW:$AW,Detail!$G:$G,'Rates-Service Fees'!SQ$23,Detail!$H:$H,'Rates-Service Fees'!SQ$14)*100</f>
        <v>0</v>
      </c>
      <c r="SR35">
        <f>SUMIFS(Detail!$AW:$AW,Detail!$G:$G,'Rates-Service Fees'!SR$23,Detail!$H:$H,'Rates-Service Fees'!SR$14)*100</f>
        <v>0</v>
      </c>
      <c r="SS35">
        <f>SUMIFS(Detail!$AW:$AW,Detail!$G:$G,'Rates-Service Fees'!SS$23,Detail!$H:$H,'Rates-Service Fees'!SS$14)*100</f>
        <v>0</v>
      </c>
      <c r="ST35">
        <f>SUMIFS(Detail!$AW:$AW,Detail!$G:$G,'Rates-Service Fees'!ST$23,Detail!$H:$H,'Rates-Service Fees'!ST$14)*100</f>
        <v>0</v>
      </c>
      <c r="SU35">
        <f>SUMIFS(Detail!$AW:$AW,Detail!$G:$G,'Rates-Service Fees'!SU$23,Detail!$H:$H,'Rates-Service Fees'!SU$14)*100</f>
        <v>0</v>
      </c>
      <c r="SV35">
        <f>SUMIFS(Detail!$AW:$AW,Detail!$G:$G,'Rates-Service Fees'!SV$23,Detail!$H:$H,'Rates-Service Fees'!SV$14)*100</f>
        <v>0</v>
      </c>
      <c r="SW35">
        <f>SUMIFS(Detail!$AW:$AW,Detail!$G:$G,'Rates-Service Fees'!SW$23,Detail!$H:$H,'Rates-Service Fees'!SW$14)*100</f>
        <v>0</v>
      </c>
      <c r="SX35">
        <f>SUMIFS(Detail!$AW:$AW,Detail!$G:$G,'Rates-Service Fees'!SX$23,Detail!$H:$H,'Rates-Service Fees'!SX$14)*100</f>
        <v>0</v>
      </c>
      <c r="SY35">
        <f>SUMIFS(Detail!$AW:$AW,Detail!$G:$G,'Rates-Service Fees'!SY$23,Detail!$H:$H,'Rates-Service Fees'!SY$14)*100</f>
        <v>0</v>
      </c>
      <c r="SZ35">
        <f>SUMIFS(Detail!$AW:$AW,Detail!$G:$G,'Rates-Service Fees'!SZ$23,Detail!$H:$H,'Rates-Service Fees'!SZ$14)*100</f>
        <v>0</v>
      </c>
      <c r="TA35">
        <f>SUMIFS(Detail!$AW:$AW,Detail!$G:$G,'Rates-Service Fees'!TA$23,Detail!$H:$H,'Rates-Service Fees'!TA$14)*100</f>
        <v>0</v>
      </c>
      <c r="TB35">
        <f>SUMIFS(Detail!$AW:$AW,Detail!$G:$G,'Rates-Service Fees'!TB$23,Detail!$H:$H,'Rates-Service Fees'!TB$14)*100</f>
        <v>0</v>
      </c>
      <c r="TC35">
        <f>SUMIFS(Detail!$AW:$AW,Detail!$G:$G,'Rates-Service Fees'!TC$23,Detail!$H:$H,'Rates-Service Fees'!TC$14)*100</f>
        <v>0</v>
      </c>
      <c r="TD35">
        <f>SUMIFS(Detail!$AW:$AW,Detail!$G:$G,'Rates-Service Fees'!TD$23,Detail!$H:$H,'Rates-Service Fees'!TD$14)*100</f>
        <v>0</v>
      </c>
      <c r="TE35">
        <f>SUMIFS(Detail!$AW:$AW,Detail!$G:$G,'Rates-Service Fees'!TE$23,Detail!$H:$H,'Rates-Service Fees'!TE$14)*100</f>
        <v>0</v>
      </c>
      <c r="TF35">
        <f>SUMIFS(Detail!$AW:$AW,Detail!$G:$G,'Rates-Service Fees'!TF$23,Detail!$H:$H,'Rates-Service Fees'!TF$14)*100</f>
        <v>0</v>
      </c>
      <c r="TG35">
        <f>SUMIFS(Detail!$AW:$AW,Detail!$G:$G,'Rates-Service Fees'!TG$23,Detail!$H:$H,'Rates-Service Fees'!TG$14)*100</f>
        <v>0</v>
      </c>
      <c r="TH35">
        <f>SUMIFS(Detail!$AW:$AW,Detail!$G:$G,'Rates-Service Fees'!TH$23,Detail!$H:$H,'Rates-Service Fees'!TH$14)*100</f>
        <v>0</v>
      </c>
      <c r="TI35">
        <f>SUMIFS(Detail!$AW:$AW,Detail!$G:$G,'Rates-Service Fees'!TI$23,Detail!$H:$H,'Rates-Service Fees'!TI$14)*100</f>
        <v>0</v>
      </c>
      <c r="TJ35">
        <f>SUMIFS(Detail!$AW:$AW,Detail!$G:$G,'Rates-Service Fees'!TJ$23,Detail!$H:$H,'Rates-Service Fees'!TJ$14)*100</f>
        <v>0</v>
      </c>
      <c r="TK35">
        <f>SUMIFS(Detail!$AW:$AW,Detail!$G:$G,'Rates-Service Fees'!TK$23,Detail!$H:$H,'Rates-Service Fees'!TK$14)*100</f>
        <v>0</v>
      </c>
      <c r="TL35">
        <f>SUMIFS(Detail!$AW:$AW,Detail!$G:$G,'Rates-Service Fees'!TL$23,Detail!$H:$H,'Rates-Service Fees'!TL$14)*100</f>
        <v>0</v>
      </c>
      <c r="TM35">
        <f>SUMIFS(Detail!$AW:$AW,Detail!$G:$G,'Rates-Service Fees'!TM$23,Detail!$H:$H,'Rates-Service Fees'!TM$14)*100</f>
        <v>0</v>
      </c>
      <c r="TN35">
        <f>SUMIFS(Detail!$AW:$AW,Detail!$G:$G,'Rates-Service Fees'!TN$23,Detail!$H:$H,'Rates-Service Fees'!TN$14)*100</f>
        <v>0</v>
      </c>
      <c r="TO35">
        <f>SUMIFS(Detail!$AW:$AW,Detail!$G:$G,'Rates-Service Fees'!TO$23,Detail!$H:$H,'Rates-Service Fees'!TO$14)*100</f>
        <v>0</v>
      </c>
      <c r="TP35">
        <f>SUMIFS(Detail!$AW:$AW,Detail!$G:$G,'Rates-Service Fees'!TP$23,Detail!$H:$H,'Rates-Service Fees'!TP$14)*100</f>
        <v>0</v>
      </c>
      <c r="TQ35">
        <f>SUMIFS(Detail!$AW:$AW,Detail!$G:$G,'Rates-Service Fees'!TQ$23,Detail!$H:$H,'Rates-Service Fees'!TQ$14)*100</f>
        <v>0</v>
      </c>
      <c r="TR35">
        <f>SUMIFS(Detail!$AW:$AW,Detail!$G:$G,'Rates-Service Fees'!TR$23,Detail!$H:$H,'Rates-Service Fees'!TR$14)*100</f>
        <v>0</v>
      </c>
      <c r="TS35">
        <f>SUMIFS(Detail!$AW:$AW,Detail!$G:$G,'Rates-Service Fees'!TS$23,Detail!$H:$H,'Rates-Service Fees'!TS$14)*100</f>
        <v>0</v>
      </c>
      <c r="TT35">
        <f>SUMIFS(Detail!$AW:$AW,Detail!$G:$G,'Rates-Service Fees'!TT$23,Detail!$H:$H,'Rates-Service Fees'!TT$14)*100</f>
        <v>0</v>
      </c>
      <c r="TU35">
        <f>SUMIFS(Detail!$AW:$AW,Detail!$G:$G,'Rates-Service Fees'!TU$23,Detail!$H:$H,'Rates-Service Fees'!TU$14)*100</f>
        <v>0</v>
      </c>
      <c r="TV35">
        <f>SUMIFS(Detail!$AW:$AW,Detail!$G:$G,'Rates-Service Fees'!TV$23,Detail!$H:$H,'Rates-Service Fees'!TV$14)*100</f>
        <v>0</v>
      </c>
      <c r="TW35">
        <f>SUMIFS(Detail!$AW:$AW,Detail!$G:$G,'Rates-Service Fees'!TW$23,Detail!$H:$H,'Rates-Service Fees'!TW$14)*100</f>
        <v>0</v>
      </c>
      <c r="TX35">
        <f>SUMIFS(Detail!$AW:$AW,Detail!$G:$G,'Rates-Service Fees'!TX$23,Detail!$H:$H,'Rates-Service Fees'!TX$14)*100</f>
        <v>0</v>
      </c>
      <c r="TY35">
        <f>SUMIFS(Detail!$AW:$AW,Detail!$G:$G,'Rates-Service Fees'!TY$23,Detail!$H:$H,'Rates-Service Fees'!TY$14)*100</f>
        <v>0</v>
      </c>
      <c r="TZ35">
        <f>SUMIFS(Detail!$AW:$AW,Detail!$G:$G,'Rates-Service Fees'!TZ$23,Detail!$H:$H,'Rates-Service Fees'!TZ$14)*100</f>
        <v>0</v>
      </c>
      <c r="UA35">
        <f>SUMIFS(Detail!$AW:$AW,Detail!$G:$G,'Rates-Service Fees'!UA$23,Detail!$H:$H,'Rates-Service Fees'!UA$14)*100</f>
        <v>0</v>
      </c>
      <c r="UB35">
        <f>SUMIFS(Detail!$AW:$AW,Detail!$G:$G,'Rates-Service Fees'!UB$23,Detail!$H:$H,'Rates-Service Fees'!UB$14)*100</f>
        <v>0</v>
      </c>
      <c r="UC35">
        <f>SUMIFS(Detail!$AW:$AW,Detail!$G:$G,'Rates-Service Fees'!UC$23,Detail!$H:$H,'Rates-Service Fees'!UC$14)*100</f>
        <v>0</v>
      </c>
      <c r="UD35">
        <f>SUMIFS(Detail!$AW:$AW,Detail!$G:$G,'Rates-Service Fees'!UD$23,Detail!$H:$H,'Rates-Service Fees'!UD$14)*100</f>
        <v>0</v>
      </c>
      <c r="UE35">
        <f>SUMIFS(Detail!$AW:$AW,Detail!$G:$G,'Rates-Service Fees'!UE$23,Detail!$H:$H,'Rates-Service Fees'!UE$14)*100</f>
        <v>0</v>
      </c>
      <c r="UF35">
        <f>SUMIFS(Detail!$AW:$AW,Detail!$G:$G,'Rates-Service Fees'!UF$23,Detail!$H:$H,'Rates-Service Fees'!UF$14)*100</f>
        <v>0</v>
      </c>
      <c r="UG35">
        <f>SUMIFS(Detail!$AW:$AW,Detail!$G:$G,'Rates-Service Fees'!UG$23,Detail!$H:$H,'Rates-Service Fees'!UG$14)*100</f>
        <v>0</v>
      </c>
      <c r="UH35">
        <f>SUMIFS(Detail!$AW:$AW,Detail!$G:$G,'Rates-Service Fees'!UH$23,Detail!$H:$H,'Rates-Service Fees'!UH$14)*100</f>
        <v>0</v>
      </c>
      <c r="UI35">
        <f>SUMIFS(Detail!$AW:$AW,Detail!$G:$G,'Rates-Service Fees'!UI$23,Detail!$H:$H,'Rates-Service Fees'!UI$14)*100</f>
        <v>0</v>
      </c>
      <c r="UJ35">
        <f>SUMIFS(Detail!$AW:$AW,Detail!$G:$G,'Rates-Service Fees'!UJ$23,Detail!$H:$H,'Rates-Service Fees'!UJ$14)*100</f>
        <v>0</v>
      </c>
      <c r="UK35">
        <f>SUMIFS(Detail!$AW:$AW,Detail!$G:$G,'Rates-Service Fees'!UK$23,Detail!$H:$H,'Rates-Service Fees'!UK$14)*100</f>
        <v>0</v>
      </c>
      <c r="UL35">
        <f>SUMIFS(Detail!$AW:$AW,Detail!$G:$G,'Rates-Service Fees'!UL$23,Detail!$H:$H,'Rates-Service Fees'!UL$14)*100</f>
        <v>0</v>
      </c>
      <c r="UM35">
        <f>SUMIFS(Detail!$AW:$AW,Detail!$G:$G,'Rates-Service Fees'!UM$23,Detail!$H:$H,'Rates-Service Fees'!UM$14)*100</f>
        <v>0</v>
      </c>
      <c r="UN35">
        <f>SUMIFS(Detail!$AW:$AW,Detail!$G:$G,'Rates-Service Fees'!UN$23,Detail!$H:$H,'Rates-Service Fees'!UN$14)*100</f>
        <v>0</v>
      </c>
      <c r="UO35">
        <f>SUMIFS(Detail!$AW:$AW,Detail!$G:$G,'Rates-Service Fees'!UO$23,Detail!$H:$H,'Rates-Service Fees'!UO$14)*100</f>
        <v>0</v>
      </c>
      <c r="UP35">
        <f>SUMIFS(Detail!$AW:$AW,Detail!$G:$G,'Rates-Service Fees'!UP$23,Detail!$H:$H,'Rates-Service Fees'!UP$14)*100</f>
        <v>0</v>
      </c>
      <c r="UQ35">
        <f>SUMIFS(Detail!$AW:$AW,Detail!$G:$G,'Rates-Service Fees'!UQ$23,Detail!$H:$H,'Rates-Service Fees'!UQ$14)*100</f>
        <v>0</v>
      </c>
      <c r="UR35">
        <f>SUMIFS(Detail!$AW:$AW,Detail!$G:$G,'Rates-Service Fees'!UR$23,Detail!$H:$H,'Rates-Service Fees'!UR$14)*100</f>
        <v>0</v>
      </c>
      <c r="US35">
        <f>SUMIFS(Detail!$AW:$AW,Detail!$G:$G,'Rates-Service Fees'!US$23,Detail!$H:$H,'Rates-Service Fees'!US$14)*100</f>
        <v>0</v>
      </c>
      <c r="UT35">
        <f>SUMIFS(Detail!$AW:$AW,Detail!$G:$G,'Rates-Service Fees'!UT$23,Detail!$H:$H,'Rates-Service Fees'!UT$14)*100</f>
        <v>0</v>
      </c>
      <c r="UU35">
        <f>SUMIFS(Detail!$AW:$AW,Detail!$G:$G,'Rates-Service Fees'!UU$23,Detail!$H:$H,'Rates-Service Fees'!UU$14)*100</f>
        <v>0</v>
      </c>
      <c r="UV35">
        <f>SUMIFS(Detail!$AW:$AW,Detail!$G:$G,'Rates-Service Fees'!UV$23,Detail!$H:$H,'Rates-Service Fees'!UV$14)*100</f>
        <v>0</v>
      </c>
      <c r="UW35">
        <f>SUMIFS(Detail!$AW:$AW,Detail!$G:$G,'Rates-Service Fees'!UW$23,Detail!$H:$H,'Rates-Service Fees'!UW$14)*100</f>
        <v>0</v>
      </c>
      <c r="UX35">
        <f>SUMIFS(Detail!$AW:$AW,Detail!$G:$G,'Rates-Service Fees'!UX$23,Detail!$H:$H,'Rates-Service Fees'!UX$14)*100</f>
        <v>0</v>
      </c>
      <c r="UY35">
        <f>SUMIFS(Detail!$AW:$AW,Detail!$G:$G,'Rates-Service Fees'!UY$23,Detail!$H:$H,'Rates-Service Fees'!UY$14)*100</f>
        <v>0</v>
      </c>
      <c r="UZ35">
        <f>SUMIFS(Detail!$AW:$AW,Detail!$G:$G,'Rates-Service Fees'!UZ$23,Detail!$H:$H,'Rates-Service Fees'!UZ$14)*100</f>
        <v>0</v>
      </c>
      <c r="VA35">
        <f>SUMIFS(Detail!$AW:$AW,Detail!$G:$G,'Rates-Service Fees'!VA$23,Detail!$H:$H,'Rates-Service Fees'!VA$14)*100</f>
        <v>0</v>
      </c>
      <c r="VB35">
        <f>SUMIFS(Detail!$AW:$AW,Detail!$G:$G,'Rates-Service Fees'!VB$23,Detail!$H:$H,'Rates-Service Fees'!VB$14)*100</f>
        <v>0</v>
      </c>
      <c r="VC35">
        <f>SUMIFS(Detail!$AW:$AW,Detail!$G:$G,'Rates-Service Fees'!VC$23,Detail!$H:$H,'Rates-Service Fees'!VC$14)*100</f>
        <v>0</v>
      </c>
      <c r="VD35">
        <f>SUMIFS(Detail!$AW:$AW,Detail!$G:$G,'Rates-Service Fees'!VD$23,Detail!$H:$H,'Rates-Service Fees'!VD$14)*100</f>
        <v>0</v>
      </c>
      <c r="VE35">
        <f>SUMIFS(Detail!$AW:$AW,Detail!$G:$G,'Rates-Service Fees'!VE$23,Detail!$H:$H,'Rates-Service Fees'!VE$14)*100</f>
        <v>0</v>
      </c>
      <c r="VF35">
        <f>SUMIFS(Detail!$AW:$AW,Detail!$G:$G,'Rates-Service Fees'!VF$23,Detail!$H:$H,'Rates-Service Fees'!VF$14)*100</f>
        <v>0</v>
      </c>
      <c r="VG35">
        <f>SUMIFS(Detail!$AW:$AW,Detail!$G:$G,'Rates-Service Fees'!VG$23,Detail!$H:$H,'Rates-Service Fees'!VG$14)*100</f>
        <v>0</v>
      </c>
      <c r="VH35">
        <f>SUMIFS(Detail!$AW:$AW,Detail!$G:$G,'Rates-Service Fees'!VH$23,Detail!$H:$H,'Rates-Service Fees'!VH$14)*100</f>
        <v>0</v>
      </c>
      <c r="VI35">
        <f>SUMIFS(Detail!$AW:$AW,Detail!$G:$G,'Rates-Service Fees'!VI$23,Detail!$H:$H,'Rates-Service Fees'!VI$14)*100</f>
        <v>0</v>
      </c>
      <c r="VJ35">
        <f>SUMIFS(Detail!$AW:$AW,Detail!$G:$G,'Rates-Service Fees'!VJ$23,Detail!$H:$H,'Rates-Service Fees'!VJ$14)*100</f>
        <v>0</v>
      </c>
      <c r="VK35">
        <f>SUMIFS(Detail!$AW:$AW,Detail!$G:$G,'Rates-Service Fees'!VK$23,Detail!$H:$H,'Rates-Service Fees'!VK$14)*100</f>
        <v>0</v>
      </c>
      <c r="VL35">
        <f>SUMIFS(Detail!$AW:$AW,Detail!$G:$G,'Rates-Service Fees'!VL$23,Detail!$H:$H,'Rates-Service Fees'!VL$14)*100</f>
        <v>0</v>
      </c>
      <c r="VM35">
        <f>SUMIFS(Detail!$AW:$AW,Detail!$G:$G,'Rates-Service Fees'!VM$23,Detail!$H:$H,'Rates-Service Fees'!VM$14)*100</f>
        <v>0</v>
      </c>
      <c r="VN35">
        <f>SUMIFS(Detail!$AW:$AW,Detail!$G:$G,'Rates-Service Fees'!VN$23,Detail!$H:$H,'Rates-Service Fees'!VN$14)*100</f>
        <v>0</v>
      </c>
      <c r="VO35">
        <f>SUMIFS(Detail!$AW:$AW,Detail!$G:$G,'Rates-Service Fees'!VO$23,Detail!$H:$H,'Rates-Service Fees'!VO$14)*100</f>
        <v>0</v>
      </c>
      <c r="VP35">
        <f>SUMIFS(Detail!$AW:$AW,Detail!$G:$G,'Rates-Service Fees'!VP$23,Detail!$H:$H,'Rates-Service Fees'!VP$14)*100</f>
        <v>0</v>
      </c>
      <c r="VQ35">
        <f>SUMIFS(Detail!$AW:$AW,Detail!$G:$G,'Rates-Service Fees'!VQ$23,Detail!$H:$H,'Rates-Service Fees'!VQ$14)*100</f>
        <v>0</v>
      </c>
      <c r="VR35">
        <f>SUMIFS(Detail!$AW:$AW,Detail!$G:$G,'Rates-Service Fees'!VR$23,Detail!$H:$H,'Rates-Service Fees'!VR$14)*100</f>
        <v>0</v>
      </c>
      <c r="VS35">
        <f>SUMIFS(Detail!$AW:$AW,Detail!$G:$G,'Rates-Service Fees'!VS$23,Detail!$H:$H,'Rates-Service Fees'!VS$14)*100</f>
        <v>0</v>
      </c>
      <c r="VT35">
        <f>SUMIFS(Detail!$AW:$AW,Detail!$G:$G,'Rates-Service Fees'!VT$23,Detail!$H:$H,'Rates-Service Fees'!VT$14)*100</f>
        <v>0</v>
      </c>
      <c r="VU35">
        <f>SUMIFS(Detail!$AW:$AW,Detail!$G:$G,'Rates-Service Fees'!VU$23,Detail!$H:$H,'Rates-Service Fees'!VU$14)*100</f>
        <v>0</v>
      </c>
      <c r="VV35">
        <f>SUMIFS(Detail!$AW:$AW,Detail!$G:$G,'Rates-Service Fees'!VV$23,Detail!$H:$H,'Rates-Service Fees'!VV$14)*100</f>
        <v>0</v>
      </c>
      <c r="VW35">
        <f>SUMIFS(Detail!$AW:$AW,Detail!$G:$G,'Rates-Service Fees'!VW$23,Detail!$H:$H,'Rates-Service Fees'!VW$14)*100</f>
        <v>0</v>
      </c>
      <c r="VX35">
        <f>SUMIFS(Detail!$AW:$AW,Detail!$G:$G,'Rates-Service Fees'!VX$23,Detail!$H:$H,'Rates-Service Fees'!VX$14)*100</f>
        <v>0</v>
      </c>
      <c r="VY35">
        <f>SUMIFS(Detail!$AW:$AW,Detail!$G:$G,'Rates-Service Fees'!VY$23,Detail!$H:$H,'Rates-Service Fees'!VY$14)*100</f>
        <v>0</v>
      </c>
      <c r="VZ35">
        <f>SUMIFS(Detail!$AW:$AW,Detail!$G:$G,'Rates-Service Fees'!VZ$23,Detail!$H:$H,'Rates-Service Fees'!VZ$14)*100</f>
        <v>0</v>
      </c>
      <c r="WA35">
        <f>SUMIFS(Detail!$AW:$AW,Detail!$G:$G,'Rates-Service Fees'!WA$23,Detail!$H:$H,'Rates-Service Fees'!WA$14)*100</f>
        <v>0</v>
      </c>
      <c r="WB35">
        <f>SUMIFS(Detail!$AW:$AW,Detail!$G:$G,'Rates-Service Fees'!WB$23,Detail!$H:$H,'Rates-Service Fees'!WB$14)*100</f>
        <v>0</v>
      </c>
      <c r="WC35">
        <f>SUMIFS(Detail!$AW:$AW,Detail!$G:$G,'Rates-Service Fees'!WC$23,Detail!$H:$H,'Rates-Service Fees'!WC$14)*100</f>
        <v>0</v>
      </c>
      <c r="WD35">
        <f>SUMIFS(Detail!$AW:$AW,Detail!$G:$G,'Rates-Service Fees'!WD$23,Detail!$H:$H,'Rates-Service Fees'!WD$14)*100</f>
        <v>0</v>
      </c>
      <c r="WE35">
        <f>SUMIFS(Detail!$AW:$AW,Detail!$G:$G,'Rates-Service Fees'!WE$23,Detail!$H:$H,'Rates-Service Fees'!WE$14)*100</f>
        <v>0</v>
      </c>
      <c r="WF35">
        <f>SUMIFS(Detail!$AW:$AW,Detail!$G:$G,'Rates-Service Fees'!WF$23,Detail!$H:$H,'Rates-Service Fees'!WF$14)*100</f>
        <v>0</v>
      </c>
      <c r="WG35">
        <f>SUMIFS(Detail!$AW:$AW,Detail!$G:$G,'Rates-Service Fees'!WG$23,Detail!$H:$H,'Rates-Service Fees'!WG$14)*100</f>
        <v>0</v>
      </c>
      <c r="WH35">
        <f>SUMIFS(Detail!$AW:$AW,Detail!$G:$G,'Rates-Service Fees'!WH$23,Detail!$H:$H,'Rates-Service Fees'!WH$14)*100</f>
        <v>0</v>
      </c>
      <c r="WI35">
        <f>SUMIFS(Detail!$AW:$AW,Detail!$G:$G,'Rates-Service Fees'!WI$23,Detail!$H:$H,'Rates-Service Fees'!WI$14)*100</f>
        <v>0</v>
      </c>
      <c r="WJ35">
        <f>SUMIFS(Detail!$AW:$AW,Detail!$G:$G,'Rates-Service Fees'!WJ$23,Detail!$H:$H,'Rates-Service Fees'!WJ$14)*100</f>
        <v>0</v>
      </c>
      <c r="WK35">
        <f>SUMIFS(Detail!$AW:$AW,Detail!$G:$G,'Rates-Service Fees'!WK$23,Detail!$H:$H,'Rates-Service Fees'!WK$14)*100</f>
        <v>0</v>
      </c>
      <c r="WL35">
        <f>SUMIFS(Detail!$AW:$AW,Detail!$G:$G,'Rates-Service Fees'!WL$23,Detail!$H:$H,'Rates-Service Fees'!WL$14)*100</f>
        <v>0</v>
      </c>
      <c r="WM35">
        <f>SUMIFS(Detail!$AW:$AW,Detail!$G:$G,'Rates-Service Fees'!WM$23,Detail!$H:$H,'Rates-Service Fees'!WM$14)*100</f>
        <v>0</v>
      </c>
      <c r="WN35">
        <f>SUMIFS(Detail!$AW:$AW,Detail!$G:$G,'Rates-Service Fees'!WN$23,Detail!$H:$H,'Rates-Service Fees'!WN$14)*100</f>
        <v>0</v>
      </c>
      <c r="WO35">
        <f>SUMIFS(Detail!$AW:$AW,Detail!$G:$G,'Rates-Service Fees'!WO$23,Detail!$H:$H,'Rates-Service Fees'!WO$14)*100</f>
        <v>0</v>
      </c>
      <c r="WP35">
        <f>SUMIFS(Detail!$AW:$AW,Detail!$G:$G,'Rates-Service Fees'!WP$23,Detail!$H:$H,'Rates-Service Fees'!WP$14)*100</f>
        <v>0</v>
      </c>
      <c r="WQ35">
        <f>SUMIFS(Detail!$AW:$AW,Detail!$G:$G,'Rates-Service Fees'!WQ$23,Detail!$H:$H,'Rates-Service Fees'!WQ$14)*100</f>
        <v>0</v>
      </c>
      <c r="WR35">
        <f>SUMIFS(Detail!$AW:$AW,Detail!$G:$G,'Rates-Service Fees'!WR$23,Detail!$H:$H,'Rates-Service Fees'!WR$14)*100</f>
        <v>0</v>
      </c>
      <c r="WS35">
        <f>SUMIFS(Detail!$AW:$AW,Detail!$G:$G,'Rates-Service Fees'!WS$23,Detail!$H:$H,'Rates-Service Fees'!WS$14)*100</f>
        <v>0</v>
      </c>
      <c r="WT35">
        <f>SUMIFS(Detail!$AW:$AW,Detail!$G:$G,'Rates-Service Fees'!WT$23,Detail!$H:$H,'Rates-Service Fees'!WT$14)*100</f>
        <v>0</v>
      </c>
      <c r="WU35">
        <f>SUMIFS(Detail!$AW:$AW,Detail!$G:$G,'Rates-Service Fees'!WU$23,Detail!$H:$H,'Rates-Service Fees'!WU$14)*100</f>
        <v>0</v>
      </c>
      <c r="WV35">
        <f>SUMIFS(Detail!$AW:$AW,Detail!$G:$G,'Rates-Service Fees'!WV$23,Detail!$H:$H,'Rates-Service Fees'!WV$14)*100</f>
        <v>0</v>
      </c>
      <c r="WW35">
        <f>SUMIFS(Detail!$AW:$AW,Detail!$G:$G,'Rates-Service Fees'!WW$23,Detail!$H:$H,'Rates-Service Fees'!WW$14)*100</f>
        <v>0</v>
      </c>
      <c r="WX35">
        <f>SUMIFS(Detail!$AW:$AW,Detail!$G:$G,'Rates-Service Fees'!WX$23,Detail!$H:$H,'Rates-Service Fees'!WX$14)*100</f>
        <v>0</v>
      </c>
      <c r="WY35">
        <f>SUMIFS(Detail!$AW:$AW,Detail!$G:$G,'Rates-Service Fees'!WY$23,Detail!$H:$H,'Rates-Service Fees'!WY$14)*100</f>
        <v>0</v>
      </c>
      <c r="WZ35">
        <f>SUMIFS(Detail!$AW:$AW,Detail!$G:$G,'Rates-Service Fees'!WZ$23,Detail!$H:$H,'Rates-Service Fees'!WZ$14)*100</f>
        <v>0</v>
      </c>
      <c r="XA35">
        <f>SUMIFS(Detail!$AW:$AW,Detail!$G:$G,'Rates-Service Fees'!XA$23,Detail!$H:$H,'Rates-Service Fees'!XA$14)*100</f>
        <v>0</v>
      </c>
      <c r="XB35">
        <f>SUMIFS(Detail!$AW:$AW,Detail!$G:$G,'Rates-Service Fees'!XB$23,Detail!$H:$H,'Rates-Service Fees'!XB$14)*100</f>
        <v>0</v>
      </c>
      <c r="XC35">
        <f>SUMIFS(Detail!$AW:$AW,Detail!$G:$G,'Rates-Service Fees'!XC$23,Detail!$H:$H,'Rates-Service Fees'!XC$14)*100</f>
        <v>0</v>
      </c>
      <c r="XD35">
        <f>SUMIFS(Detail!$AW:$AW,Detail!$G:$G,'Rates-Service Fees'!XD$23,Detail!$H:$H,'Rates-Service Fees'!XD$14)*100</f>
        <v>0</v>
      </c>
      <c r="XE35">
        <f>SUMIFS(Detail!$AW:$AW,Detail!$G:$G,'Rates-Service Fees'!XE$23,Detail!$H:$H,'Rates-Service Fees'!XE$14)*100</f>
        <v>0</v>
      </c>
      <c r="XF35">
        <f>SUMIFS(Detail!$AW:$AW,Detail!$G:$G,'Rates-Service Fees'!XF$23,Detail!$H:$H,'Rates-Service Fees'!XF$14)*100</f>
        <v>0</v>
      </c>
      <c r="XG35">
        <f>SUMIFS(Detail!$AW:$AW,Detail!$G:$G,'Rates-Service Fees'!XG$23,Detail!$H:$H,'Rates-Service Fees'!XG$14)*100</f>
        <v>0</v>
      </c>
      <c r="XH35">
        <f>SUMIFS(Detail!$AW:$AW,Detail!$G:$G,'Rates-Service Fees'!XH$23,Detail!$H:$H,'Rates-Service Fees'!XH$14)*100</f>
        <v>0</v>
      </c>
      <c r="XI35">
        <f>SUMIFS(Detail!$AW:$AW,Detail!$G:$G,'Rates-Service Fees'!XI$23,Detail!$H:$H,'Rates-Service Fees'!XI$14)*100</f>
        <v>0</v>
      </c>
      <c r="XJ35">
        <f>SUMIFS(Detail!$AW:$AW,Detail!$G:$G,'Rates-Service Fees'!XJ$23,Detail!$H:$H,'Rates-Service Fees'!XJ$14)*100</f>
        <v>0</v>
      </c>
      <c r="XK35">
        <f>SUMIFS(Detail!$AW:$AW,Detail!$G:$G,'Rates-Service Fees'!XK$23,Detail!$H:$H,'Rates-Service Fees'!XK$14)*100</f>
        <v>0</v>
      </c>
      <c r="XL35">
        <f>SUMIFS(Detail!$AW:$AW,Detail!$G:$G,'Rates-Service Fees'!XL$23,Detail!$H:$H,'Rates-Service Fees'!XL$14)*100</f>
        <v>0</v>
      </c>
      <c r="XM35">
        <f>SUMIFS(Detail!$AW:$AW,Detail!$G:$G,'Rates-Service Fees'!XM$23,Detail!$H:$H,'Rates-Service Fees'!XM$14)*100</f>
        <v>0</v>
      </c>
      <c r="XN35">
        <f>SUMIFS(Detail!$AW:$AW,Detail!$G:$G,'Rates-Service Fees'!XN$23,Detail!$H:$H,'Rates-Service Fees'!XN$14)*100</f>
        <v>0</v>
      </c>
      <c r="XO35">
        <f>SUMIFS(Detail!$AW:$AW,Detail!$G:$G,'Rates-Service Fees'!XO$23,Detail!$H:$H,'Rates-Service Fees'!XO$14)*100</f>
        <v>0</v>
      </c>
      <c r="XP35">
        <f>SUMIFS(Detail!$AW:$AW,Detail!$G:$G,'Rates-Service Fees'!XP$23,Detail!$H:$H,'Rates-Service Fees'!XP$14)*100</f>
        <v>0</v>
      </c>
      <c r="XQ35">
        <f>SUMIFS(Detail!$AW:$AW,Detail!$G:$G,'Rates-Service Fees'!XQ$23,Detail!$H:$H,'Rates-Service Fees'!XQ$14)*100</f>
        <v>0</v>
      </c>
      <c r="XR35">
        <f>SUMIFS(Detail!$AW:$AW,Detail!$G:$G,'Rates-Service Fees'!XR$23,Detail!$H:$H,'Rates-Service Fees'!XR$14)*100</f>
        <v>0</v>
      </c>
      <c r="XS35">
        <f>SUMIFS(Detail!$AW:$AW,Detail!$G:$G,'Rates-Service Fees'!XS$23,Detail!$H:$H,'Rates-Service Fees'!XS$14)*100</f>
        <v>0</v>
      </c>
      <c r="XT35">
        <f>SUMIFS(Detail!$AW:$AW,Detail!$G:$G,'Rates-Service Fees'!XT$23,Detail!$H:$H,'Rates-Service Fees'!XT$14)*100</f>
        <v>0</v>
      </c>
      <c r="XU35">
        <f>SUMIFS(Detail!$AW:$AW,Detail!$G:$G,'Rates-Service Fees'!XU$23,Detail!$H:$H,'Rates-Service Fees'!XU$14)*100</f>
        <v>0</v>
      </c>
      <c r="XV35">
        <f>SUMIFS(Detail!$AW:$AW,Detail!$G:$G,'Rates-Service Fees'!XV$23,Detail!$H:$H,'Rates-Service Fees'!XV$14)*100</f>
        <v>0</v>
      </c>
      <c r="XW35">
        <f>SUMIFS(Detail!$AW:$AW,Detail!$G:$G,'Rates-Service Fees'!XW$23,Detail!$H:$H,'Rates-Service Fees'!XW$14)*100</f>
        <v>0</v>
      </c>
      <c r="XX35">
        <f>SUMIFS(Detail!$AW:$AW,Detail!$G:$G,'Rates-Service Fees'!XX$23,Detail!$H:$H,'Rates-Service Fees'!XX$14)*100</f>
        <v>0</v>
      </c>
      <c r="XY35">
        <f>SUMIFS(Detail!$AW:$AW,Detail!$G:$G,'Rates-Service Fees'!XY$23,Detail!$H:$H,'Rates-Service Fees'!XY$14)*100</f>
        <v>0</v>
      </c>
      <c r="XZ35">
        <f>SUMIFS(Detail!$AW:$AW,Detail!$G:$G,'Rates-Service Fees'!XZ$23,Detail!$H:$H,'Rates-Service Fees'!XZ$14)*100</f>
        <v>0</v>
      </c>
      <c r="YA35">
        <f>SUMIFS(Detail!$AW:$AW,Detail!$G:$G,'Rates-Service Fees'!YA$23,Detail!$H:$H,'Rates-Service Fees'!YA$14)*100</f>
        <v>0</v>
      </c>
      <c r="YB35">
        <f>SUMIFS(Detail!$AW:$AW,Detail!$G:$G,'Rates-Service Fees'!YB$23,Detail!$H:$H,'Rates-Service Fees'!YB$14)*100</f>
        <v>0</v>
      </c>
      <c r="YC35">
        <f>SUMIFS(Detail!$AW:$AW,Detail!$G:$G,'Rates-Service Fees'!YC$23,Detail!$H:$H,'Rates-Service Fees'!YC$14)*100</f>
        <v>0</v>
      </c>
      <c r="YD35">
        <f>SUMIFS(Detail!$AW:$AW,Detail!$G:$G,'Rates-Service Fees'!YD$23,Detail!$H:$H,'Rates-Service Fees'!YD$14)*100</f>
        <v>0</v>
      </c>
      <c r="YE35">
        <f>SUMIFS(Detail!$AW:$AW,Detail!$G:$G,'Rates-Service Fees'!YE$23,Detail!$H:$H,'Rates-Service Fees'!YE$14)*100</f>
        <v>0</v>
      </c>
      <c r="YF35">
        <f>SUMIFS(Detail!$AW:$AW,Detail!$G:$G,'Rates-Service Fees'!YF$23,Detail!$H:$H,'Rates-Service Fees'!YF$14)*100</f>
        <v>0</v>
      </c>
      <c r="YG35">
        <f>SUMIFS(Detail!$AW:$AW,Detail!$G:$G,'Rates-Service Fees'!YG$23,Detail!$H:$H,'Rates-Service Fees'!YG$14)*100</f>
        <v>0</v>
      </c>
      <c r="YH35">
        <f>SUMIFS(Detail!$AW:$AW,Detail!$G:$G,'Rates-Service Fees'!YH$23,Detail!$H:$H,'Rates-Service Fees'!YH$14)*100</f>
        <v>0</v>
      </c>
      <c r="YI35">
        <f>SUMIFS(Detail!$AW:$AW,Detail!$G:$G,'Rates-Service Fees'!YI$23,Detail!$H:$H,'Rates-Service Fees'!YI$14)*100</f>
        <v>0</v>
      </c>
      <c r="YJ35">
        <f>SUMIFS(Detail!$AW:$AW,Detail!$G:$G,'Rates-Service Fees'!YJ$23,Detail!$H:$H,'Rates-Service Fees'!YJ$14)*100</f>
        <v>0</v>
      </c>
      <c r="YK35">
        <f>SUMIFS(Detail!$AW:$AW,Detail!$G:$G,'Rates-Service Fees'!YK$23,Detail!$H:$H,'Rates-Service Fees'!YK$14)*100</f>
        <v>0</v>
      </c>
      <c r="YL35">
        <f>SUMIFS(Detail!$AW:$AW,Detail!$G:$G,'Rates-Service Fees'!YL$23,Detail!$H:$H,'Rates-Service Fees'!YL$14)*100</f>
        <v>0</v>
      </c>
      <c r="YM35">
        <f>SUMIFS(Detail!$AW:$AW,Detail!$G:$G,'Rates-Service Fees'!YM$23,Detail!$H:$H,'Rates-Service Fees'!YM$14)*100</f>
        <v>0</v>
      </c>
      <c r="YN35">
        <f>SUMIFS(Detail!$AW:$AW,Detail!$G:$G,'Rates-Service Fees'!YN$23,Detail!$H:$H,'Rates-Service Fees'!YN$14)*100</f>
        <v>0</v>
      </c>
      <c r="YO35">
        <f>SUMIFS(Detail!$AW:$AW,Detail!$G:$G,'Rates-Service Fees'!YO$23,Detail!$H:$H,'Rates-Service Fees'!YO$14)*100</f>
        <v>0</v>
      </c>
      <c r="YP35">
        <f>SUMIFS(Detail!$AW:$AW,Detail!$G:$G,'Rates-Service Fees'!YP$23,Detail!$H:$H,'Rates-Service Fees'!YP$14)*100</f>
        <v>0</v>
      </c>
      <c r="YQ35">
        <f>SUMIFS(Detail!$AW:$AW,Detail!$G:$G,'Rates-Service Fees'!YQ$23,Detail!$H:$H,'Rates-Service Fees'!YQ$14)*100</f>
        <v>0</v>
      </c>
      <c r="YR35">
        <f>SUMIFS(Detail!$AW:$AW,Detail!$G:$G,'Rates-Service Fees'!YR$23,Detail!$H:$H,'Rates-Service Fees'!YR$14)*100</f>
        <v>0</v>
      </c>
      <c r="YS35">
        <f>SUMIFS(Detail!$AW:$AW,Detail!$G:$G,'Rates-Service Fees'!YS$23,Detail!$H:$H,'Rates-Service Fees'!YS$14)*100</f>
        <v>0</v>
      </c>
      <c r="YT35">
        <f>SUMIFS(Detail!$AW:$AW,Detail!$G:$G,'Rates-Service Fees'!YT$23,Detail!$H:$H,'Rates-Service Fees'!YT$14)*100</f>
        <v>0</v>
      </c>
      <c r="YU35">
        <f>SUMIFS(Detail!$AW:$AW,Detail!$G:$G,'Rates-Service Fees'!YU$23,Detail!$H:$H,'Rates-Service Fees'!YU$14)*100</f>
        <v>0</v>
      </c>
      <c r="YV35">
        <f>SUMIFS(Detail!$AW:$AW,Detail!$G:$G,'Rates-Service Fees'!YV$23,Detail!$H:$H,'Rates-Service Fees'!YV$14)*100</f>
        <v>0</v>
      </c>
      <c r="YW35">
        <f>SUMIFS(Detail!$AW:$AW,Detail!$G:$G,'Rates-Service Fees'!YW$23,Detail!$H:$H,'Rates-Service Fees'!YW$14)*100</f>
        <v>0</v>
      </c>
      <c r="YX35">
        <f>SUMIFS(Detail!$AW:$AW,Detail!$G:$G,'Rates-Service Fees'!YX$23,Detail!$H:$H,'Rates-Service Fees'!YX$14)*100</f>
        <v>0</v>
      </c>
      <c r="YY35">
        <f>SUMIFS(Detail!$AW:$AW,Detail!$G:$G,'Rates-Service Fees'!YY$23,Detail!$H:$H,'Rates-Service Fees'!YY$14)*100</f>
        <v>0</v>
      </c>
      <c r="YZ35">
        <f>SUMIFS(Detail!$AW:$AW,Detail!$G:$G,'Rates-Service Fees'!YZ$23,Detail!$H:$H,'Rates-Service Fees'!YZ$14)*100</f>
        <v>0</v>
      </c>
      <c r="ZA35">
        <f>SUMIFS(Detail!$AW:$AW,Detail!$G:$G,'Rates-Service Fees'!ZA$23,Detail!$H:$H,'Rates-Service Fees'!ZA$14)*100</f>
        <v>0</v>
      </c>
      <c r="ZB35">
        <f>SUMIFS(Detail!$AW:$AW,Detail!$G:$G,'Rates-Service Fees'!ZB$23,Detail!$H:$H,'Rates-Service Fees'!ZB$14)*100</f>
        <v>0</v>
      </c>
      <c r="ZC35">
        <f>SUMIFS(Detail!$AW:$AW,Detail!$G:$G,'Rates-Service Fees'!ZC$23,Detail!$H:$H,'Rates-Service Fees'!ZC$14)*100</f>
        <v>0</v>
      </c>
      <c r="ZD35">
        <f>SUMIFS(Detail!$AW:$AW,Detail!$G:$G,'Rates-Service Fees'!ZD$23,Detail!$H:$H,'Rates-Service Fees'!ZD$14)*100</f>
        <v>0</v>
      </c>
      <c r="ZE35">
        <f>SUMIFS(Detail!$AW:$AW,Detail!$G:$G,'Rates-Service Fees'!ZE$23,Detail!$H:$H,'Rates-Service Fees'!ZE$14)*100</f>
        <v>0</v>
      </c>
      <c r="ZF35">
        <f>SUMIFS(Detail!$AW:$AW,Detail!$G:$G,'Rates-Service Fees'!ZF$23,Detail!$H:$H,'Rates-Service Fees'!ZF$14)*100</f>
        <v>0</v>
      </c>
      <c r="ZG35">
        <f>SUMIFS(Detail!$AW:$AW,Detail!$G:$G,'Rates-Service Fees'!ZG$23,Detail!$H:$H,'Rates-Service Fees'!ZG$14)*100</f>
        <v>0</v>
      </c>
      <c r="ZH35">
        <f>SUMIFS(Detail!$AW:$AW,Detail!$G:$G,'Rates-Service Fees'!ZH$23,Detail!$H:$H,'Rates-Service Fees'!ZH$14)*100</f>
        <v>0</v>
      </c>
      <c r="ZI35">
        <f>SUMIFS(Detail!$AW:$AW,Detail!$G:$G,'Rates-Service Fees'!ZI$23,Detail!$H:$H,'Rates-Service Fees'!ZI$14)*100</f>
        <v>0</v>
      </c>
      <c r="ZJ35">
        <f>SUMIFS(Detail!$AW:$AW,Detail!$G:$G,'Rates-Service Fees'!ZJ$23,Detail!$H:$H,'Rates-Service Fees'!ZJ$14)*100</f>
        <v>0</v>
      </c>
      <c r="ZK35">
        <f>SUMIFS(Detail!$AW:$AW,Detail!$G:$G,'Rates-Service Fees'!ZK$23,Detail!$H:$H,'Rates-Service Fees'!ZK$14)*100</f>
        <v>0</v>
      </c>
      <c r="ZL35">
        <f>SUMIFS(Detail!$AW:$AW,Detail!$G:$G,'Rates-Service Fees'!ZL$23,Detail!$H:$H,'Rates-Service Fees'!ZL$14)*100</f>
        <v>0</v>
      </c>
      <c r="ZM35">
        <f>SUMIFS(Detail!$AW:$AW,Detail!$G:$G,'Rates-Service Fees'!ZM$23,Detail!$H:$H,'Rates-Service Fees'!ZM$14)*100</f>
        <v>0</v>
      </c>
      <c r="ZN35">
        <f>SUMIFS(Detail!$AW:$AW,Detail!$G:$G,'Rates-Service Fees'!ZN$23,Detail!$H:$H,'Rates-Service Fees'!ZN$14)*100</f>
        <v>0</v>
      </c>
      <c r="ZO35">
        <f>SUMIFS(Detail!$AW:$AW,Detail!$G:$G,'Rates-Service Fees'!ZO$23,Detail!$H:$H,'Rates-Service Fees'!ZO$14)*100</f>
        <v>0</v>
      </c>
      <c r="ZP35">
        <f>SUMIFS(Detail!$AW:$AW,Detail!$G:$G,'Rates-Service Fees'!ZP$23,Detail!$H:$H,'Rates-Service Fees'!ZP$14)*100</f>
        <v>0</v>
      </c>
      <c r="ZQ35">
        <f>SUMIFS(Detail!$AW:$AW,Detail!$G:$G,'Rates-Service Fees'!ZQ$23,Detail!$H:$H,'Rates-Service Fees'!ZQ$14)*100</f>
        <v>0</v>
      </c>
      <c r="ZR35">
        <f>SUMIFS(Detail!$AW:$AW,Detail!$G:$G,'Rates-Service Fees'!ZR$23,Detail!$H:$H,'Rates-Service Fees'!ZR$14)*100</f>
        <v>0</v>
      </c>
      <c r="ZS35">
        <f>SUMIFS(Detail!$AW:$AW,Detail!$G:$G,'Rates-Service Fees'!ZS$23,Detail!$H:$H,'Rates-Service Fees'!ZS$14)*100</f>
        <v>0</v>
      </c>
      <c r="ZT35">
        <f>SUMIFS(Detail!$AW:$AW,Detail!$G:$G,'Rates-Service Fees'!ZT$23,Detail!$H:$H,'Rates-Service Fees'!ZT$14)*100</f>
        <v>0</v>
      </c>
      <c r="ZU35">
        <f>SUMIFS(Detail!$AW:$AW,Detail!$G:$G,'Rates-Service Fees'!ZU$23,Detail!$H:$H,'Rates-Service Fees'!ZU$14)*100</f>
        <v>0</v>
      </c>
      <c r="ZV35">
        <f>SUMIFS(Detail!$AW:$AW,Detail!$G:$G,'Rates-Service Fees'!ZV$23,Detail!$H:$H,'Rates-Service Fees'!ZV$14)*100</f>
        <v>0</v>
      </c>
      <c r="ZW35">
        <f>SUMIFS(Detail!$AW:$AW,Detail!$G:$G,'Rates-Service Fees'!ZW$23,Detail!$H:$H,'Rates-Service Fees'!ZW$14)*100</f>
        <v>0</v>
      </c>
      <c r="ZX35">
        <f>SUMIFS(Detail!$AW:$AW,Detail!$G:$G,'Rates-Service Fees'!ZX$23,Detail!$H:$H,'Rates-Service Fees'!ZX$14)*100</f>
        <v>0</v>
      </c>
      <c r="ZY35">
        <f>SUMIFS(Detail!$AW:$AW,Detail!$G:$G,'Rates-Service Fees'!ZY$23,Detail!$H:$H,'Rates-Service Fees'!ZY$14)*100</f>
        <v>0</v>
      </c>
      <c r="ZZ35">
        <f>SUMIFS(Detail!$AW:$AW,Detail!$G:$G,'Rates-Service Fees'!ZZ$23,Detail!$H:$H,'Rates-Service Fees'!ZZ$14)*100</f>
        <v>0</v>
      </c>
      <c r="AAA35">
        <f>SUMIFS(Detail!$AW:$AW,Detail!$G:$G,'Rates-Service Fees'!AAA$23,Detail!$H:$H,'Rates-Service Fees'!AAA$14)*100</f>
        <v>0</v>
      </c>
      <c r="AAB35">
        <f>SUMIFS(Detail!$AW:$AW,Detail!$G:$G,'Rates-Service Fees'!AAB$23,Detail!$H:$H,'Rates-Service Fees'!AAB$14)*100</f>
        <v>0</v>
      </c>
      <c r="AAC35">
        <f>SUMIFS(Detail!$AW:$AW,Detail!$G:$G,'Rates-Service Fees'!AAC$23,Detail!$H:$H,'Rates-Service Fees'!AAC$14)*100</f>
        <v>0</v>
      </c>
      <c r="AAD35">
        <f>SUMIFS(Detail!$AW:$AW,Detail!$G:$G,'Rates-Service Fees'!AAD$23,Detail!$H:$H,'Rates-Service Fees'!AAD$14)*100</f>
        <v>0</v>
      </c>
      <c r="AAE35">
        <f>SUMIFS(Detail!$AW:$AW,Detail!$G:$G,'Rates-Service Fees'!AAE$23,Detail!$H:$H,'Rates-Service Fees'!AAE$14)*100</f>
        <v>0</v>
      </c>
      <c r="AAF35">
        <f>SUMIFS(Detail!$AW:$AW,Detail!$G:$G,'Rates-Service Fees'!AAF$23,Detail!$H:$H,'Rates-Service Fees'!AAF$14)*100</f>
        <v>0</v>
      </c>
      <c r="AAG35">
        <f>SUMIFS(Detail!$AW:$AW,Detail!$G:$G,'Rates-Service Fees'!AAG$23,Detail!$H:$H,'Rates-Service Fees'!AAG$14)*100</f>
        <v>0</v>
      </c>
      <c r="AAH35">
        <f>SUMIFS(Detail!$AW:$AW,Detail!$G:$G,'Rates-Service Fees'!AAH$23,Detail!$H:$H,'Rates-Service Fees'!AAH$14)*100</f>
        <v>0</v>
      </c>
      <c r="AAI35">
        <f>SUMIFS(Detail!$AW:$AW,Detail!$G:$G,'Rates-Service Fees'!AAI$23,Detail!$H:$H,'Rates-Service Fees'!AAI$14)*100</f>
        <v>0</v>
      </c>
      <c r="AAJ35">
        <f>SUMIFS(Detail!$AW:$AW,Detail!$G:$G,'Rates-Service Fees'!AAJ$23,Detail!$H:$H,'Rates-Service Fees'!AAJ$14)*100</f>
        <v>0</v>
      </c>
      <c r="AAK35">
        <f>SUMIFS(Detail!$AW:$AW,Detail!$G:$G,'Rates-Service Fees'!AAK$23,Detail!$H:$H,'Rates-Service Fees'!AAK$14)*100</f>
        <v>0</v>
      </c>
      <c r="AAL35">
        <f>SUMIFS(Detail!$AW:$AW,Detail!$G:$G,'Rates-Service Fees'!AAL$23,Detail!$H:$H,'Rates-Service Fees'!AAL$14)*100</f>
        <v>0</v>
      </c>
      <c r="AAM35">
        <f>SUMIFS(Detail!$AW:$AW,Detail!$G:$G,'Rates-Service Fees'!AAM$23,Detail!$H:$H,'Rates-Service Fees'!AAM$14)*100</f>
        <v>0</v>
      </c>
      <c r="AAN35">
        <f>SUMIFS(Detail!$AW:$AW,Detail!$G:$G,'Rates-Service Fees'!AAN$23,Detail!$H:$H,'Rates-Service Fees'!AAN$14)*100</f>
        <v>0</v>
      </c>
      <c r="AAO35">
        <f>SUMIFS(Detail!$AW:$AW,Detail!$G:$G,'Rates-Service Fees'!AAO$23,Detail!$H:$H,'Rates-Service Fees'!AAO$14)*100</f>
        <v>0</v>
      </c>
      <c r="AAP35">
        <f>SUMIFS(Detail!$AW:$AW,Detail!$G:$G,'Rates-Service Fees'!AAP$23,Detail!$H:$H,'Rates-Service Fees'!AAP$14)*100</f>
        <v>0</v>
      </c>
      <c r="AAQ35">
        <f>SUMIFS(Detail!$AW:$AW,Detail!$G:$G,'Rates-Service Fees'!AAQ$23,Detail!$H:$H,'Rates-Service Fees'!AAQ$14)*100</f>
        <v>0</v>
      </c>
      <c r="AAR35">
        <f>SUMIFS(Detail!$AW:$AW,Detail!$G:$G,'Rates-Service Fees'!AAR$23,Detail!$H:$H,'Rates-Service Fees'!AAR$14)*100</f>
        <v>0</v>
      </c>
      <c r="AAS35">
        <f>SUMIFS(Detail!$AW:$AW,Detail!$G:$G,'Rates-Service Fees'!AAS$23,Detail!$H:$H,'Rates-Service Fees'!AAS$14)*100</f>
        <v>0</v>
      </c>
      <c r="AAT35">
        <f>SUMIFS(Detail!$AW:$AW,Detail!$G:$G,'Rates-Service Fees'!AAT$23,Detail!$H:$H,'Rates-Service Fees'!AAT$14)*100</f>
        <v>0</v>
      </c>
      <c r="AAU35">
        <f>SUMIFS(Detail!$AW:$AW,Detail!$G:$G,'Rates-Service Fees'!AAU$23,Detail!$H:$H,'Rates-Service Fees'!AAU$14)*100</f>
        <v>0</v>
      </c>
      <c r="AAV35">
        <f>SUMIFS(Detail!$AW:$AW,Detail!$G:$G,'Rates-Service Fees'!AAV$23,Detail!$H:$H,'Rates-Service Fees'!AAV$14)*100</f>
        <v>0</v>
      </c>
      <c r="AAW35">
        <f>SUMIFS(Detail!$AW:$AW,Detail!$G:$G,'Rates-Service Fees'!AAW$23,Detail!$H:$H,'Rates-Service Fees'!AAW$14)*100</f>
        <v>0</v>
      </c>
      <c r="AAX35">
        <f>SUMIFS(Detail!$AW:$AW,Detail!$G:$G,'Rates-Service Fees'!AAX$23,Detail!$H:$H,'Rates-Service Fees'!AAX$14)*100</f>
        <v>0</v>
      </c>
      <c r="AAY35">
        <f>SUMIFS(Detail!$AW:$AW,Detail!$G:$G,'Rates-Service Fees'!AAY$23,Detail!$H:$H,'Rates-Service Fees'!AAY$14)*100</f>
        <v>0</v>
      </c>
      <c r="AAZ35">
        <f>SUMIFS(Detail!$AW:$AW,Detail!$G:$G,'Rates-Service Fees'!AAZ$23,Detail!$H:$H,'Rates-Service Fees'!AAZ$14)*100</f>
        <v>0</v>
      </c>
      <c r="ABA35">
        <f>SUMIFS(Detail!$AW:$AW,Detail!$G:$G,'Rates-Service Fees'!ABA$23,Detail!$H:$H,'Rates-Service Fees'!ABA$14)*100</f>
        <v>0</v>
      </c>
      <c r="ABB35">
        <f>SUMIFS(Detail!$AW:$AW,Detail!$G:$G,'Rates-Service Fees'!ABB$23,Detail!$H:$H,'Rates-Service Fees'!ABB$14)*100</f>
        <v>0</v>
      </c>
      <c r="ABC35">
        <f>SUMIFS(Detail!$AW:$AW,Detail!$G:$G,'Rates-Service Fees'!ABC$23,Detail!$H:$H,'Rates-Service Fees'!ABC$14)*100</f>
        <v>0</v>
      </c>
      <c r="ABD35">
        <f>SUMIFS(Detail!$AW:$AW,Detail!$G:$G,'Rates-Service Fees'!ABD$23,Detail!$H:$H,'Rates-Service Fees'!ABD$14)*100</f>
        <v>0</v>
      </c>
      <c r="ABE35">
        <f>SUMIFS(Detail!$AW:$AW,Detail!$G:$G,'Rates-Service Fees'!ABE$23,Detail!$H:$H,'Rates-Service Fees'!ABE$14)*100</f>
        <v>0</v>
      </c>
      <c r="ABF35">
        <f>SUMIFS(Detail!$AW:$AW,Detail!$G:$G,'Rates-Service Fees'!ABF$23,Detail!$H:$H,'Rates-Service Fees'!ABF$14)*100</f>
        <v>0</v>
      </c>
      <c r="ABG35">
        <f>SUMIFS(Detail!$AW:$AW,Detail!$G:$G,'Rates-Service Fees'!ABG$23,Detail!$H:$H,'Rates-Service Fees'!ABG$14)*100</f>
        <v>0</v>
      </c>
      <c r="ABH35">
        <f>SUMIFS(Detail!$AW:$AW,Detail!$G:$G,'Rates-Service Fees'!ABH$23,Detail!$H:$H,'Rates-Service Fees'!ABH$14)*100</f>
        <v>0</v>
      </c>
      <c r="ABI35">
        <f>SUMIFS(Detail!$AW:$AW,Detail!$G:$G,'Rates-Service Fees'!ABI$23,Detail!$H:$H,'Rates-Service Fees'!ABI$14)*100</f>
        <v>0</v>
      </c>
      <c r="ABJ35">
        <f>SUMIFS(Detail!$AW:$AW,Detail!$G:$G,'Rates-Service Fees'!ABJ$23,Detail!$H:$H,'Rates-Service Fees'!ABJ$14)*100</f>
        <v>0</v>
      </c>
      <c r="ABK35">
        <f>SUMIFS(Detail!$AW:$AW,Detail!$G:$G,'Rates-Service Fees'!ABK$23,Detail!$H:$H,'Rates-Service Fees'!ABK$14)*100</f>
        <v>0</v>
      </c>
      <c r="ABL35">
        <f>SUMIFS(Detail!$AW:$AW,Detail!$G:$G,'Rates-Service Fees'!ABL$23,Detail!$H:$H,'Rates-Service Fees'!ABL$14)*100</f>
        <v>0</v>
      </c>
      <c r="ABM35">
        <f>SUMIFS(Detail!$AW:$AW,Detail!$G:$G,'Rates-Service Fees'!ABM$23,Detail!$H:$H,'Rates-Service Fees'!ABM$14)*100</f>
        <v>0</v>
      </c>
      <c r="ABN35">
        <f>SUMIFS(Detail!$AW:$AW,Detail!$G:$G,'Rates-Service Fees'!ABN$23,Detail!$H:$H,'Rates-Service Fees'!ABN$14)*100</f>
        <v>0</v>
      </c>
      <c r="ABO35">
        <f>SUMIFS(Detail!$AW:$AW,Detail!$G:$G,'Rates-Service Fees'!ABO$23,Detail!$H:$H,'Rates-Service Fees'!ABO$14)*100</f>
        <v>0</v>
      </c>
      <c r="ABP35">
        <f>SUMIFS(Detail!$AW:$AW,Detail!$G:$G,'Rates-Service Fees'!ABP$23,Detail!$H:$H,'Rates-Service Fees'!ABP$14)*100</f>
        <v>0</v>
      </c>
      <c r="ABQ35">
        <f>SUMIFS(Detail!$AW:$AW,Detail!$G:$G,'Rates-Service Fees'!ABQ$23,Detail!$H:$H,'Rates-Service Fees'!ABQ$14)*100</f>
        <v>0</v>
      </c>
      <c r="ABR35">
        <f>SUMIFS(Detail!$AW:$AW,Detail!$G:$G,'Rates-Service Fees'!ABR$23,Detail!$H:$H,'Rates-Service Fees'!ABR$14)*100</f>
        <v>0</v>
      </c>
      <c r="ABS35">
        <f>SUMIFS(Detail!$AW:$AW,Detail!$G:$G,'Rates-Service Fees'!ABS$23,Detail!$H:$H,'Rates-Service Fees'!ABS$14)*100</f>
        <v>0</v>
      </c>
      <c r="ABT35">
        <f>SUMIFS(Detail!$AW:$AW,Detail!$G:$G,'Rates-Service Fees'!ABT$23,Detail!$H:$H,'Rates-Service Fees'!ABT$14)*100</f>
        <v>0</v>
      </c>
      <c r="ABU35">
        <f>SUMIFS(Detail!$AW:$AW,Detail!$G:$G,'Rates-Service Fees'!ABU$23,Detail!$H:$H,'Rates-Service Fees'!ABU$14)*100</f>
        <v>0</v>
      </c>
      <c r="ABV35">
        <f>SUMIFS(Detail!$AW:$AW,Detail!$G:$G,'Rates-Service Fees'!ABV$23,Detail!$H:$H,'Rates-Service Fees'!ABV$14)*100</f>
        <v>0</v>
      </c>
      <c r="ABW35">
        <f>SUMIFS(Detail!$AW:$AW,Detail!$G:$G,'Rates-Service Fees'!ABW$23,Detail!$H:$H,'Rates-Service Fees'!ABW$14)*100</f>
        <v>0</v>
      </c>
      <c r="ABX35">
        <f>SUMIFS(Detail!$AW:$AW,Detail!$G:$G,'Rates-Service Fees'!ABX$23,Detail!$H:$H,'Rates-Service Fees'!ABX$14)*100</f>
        <v>0</v>
      </c>
      <c r="ABY35">
        <f>SUMIFS(Detail!$AW:$AW,Detail!$G:$G,'Rates-Service Fees'!ABY$23,Detail!$H:$H,'Rates-Service Fees'!ABY$14)*100</f>
        <v>0</v>
      </c>
      <c r="ABZ35">
        <f>SUMIFS(Detail!$AW:$AW,Detail!$G:$G,'Rates-Service Fees'!ABZ$23,Detail!$H:$H,'Rates-Service Fees'!ABZ$14)*100</f>
        <v>0</v>
      </c>
      <c r="ACA35">
        <f>SUMIFS(Detail!$AW:$AW,Detail!$G:$G,'Rates-Service Fees'!ACA$23,Detail!$H:$H,'Rates-Service Fees'!ACA$14)*100</f>
        <v>0</v>
      </c>
      <c r="ACB35">
        <f>SUMIFS(Detail!$AW:$AW,Detail!$G:$G,'Rates-Service Fees'!ACB$23,Detail!$H:$H,'Rates-Service Fees'!ACB$14)*100</f>
        <v>0</v>
      </c>
      <c r="ACC35">
        <f>SUMIFS(Detail!$AW:$AW,Detail!$G:$G,'Rates-Service Fees'!ACC$23,Detail!$H:$H,'Rates-Service Fees'!ACC$14)*100</f>
        <v>0</v>
      </c>
      <c r="ACD35">
        <f>SUMIFS(Detail!$AW:$AW,Detail!$G:$G,'Rates-Service Fees'!ACD$23,Detail!$H:$H,'Rates-Service Fees'!ACD$14)*100</f>
        <v>0</v>
      </c>
      <c r="ACE35">
        <f>SUMIFS(Detail!$AW:$AW,Detail!$G:$G,'Rates-Service Fees'!ACE$23,Detail!$H:$H,'Rates-Service Fees'!ACE$14)*100</f>
        <v>0</v>
      </c>
      <c r="ACF35">
        <f>SUMIFS(Detail!$AW:$AW,Detail!$G:$G,'Rates-Service Fees'!ACF$23,Detail!$H:$H,'Rates-Service Fees'!ACF$14)*100</f>
        <v>0</v>
      </c>
      <c r="ACG35">
        <f>SUMIFS(Detail!$AW:$AW,Detail!$G:$G,'Rates-Service Fees'!ACG$23,Detail!$H:$H,'Rates-Service Fees'!ACG$14)*100</f>
        <v>0</v>
      </c>
      <c r="ACH35">
        <f>SUMIFS(Detail!$AW:$AW,Detail!$G:$G,'Rates-Service Fees'!ACH$23,Detail!$H:$H,'Rates-Service Fees'!ACH$14)*100</f>
        <v>0</v>
      </c>
      <c r="ACI35">
        <f>SUMIFS(Detail!$AW:$AW,Detail!$G:$G,'Rates-Service Fees'!ACI$23,Detail!$H:$H,'Rates-Service Fees'!ACI$14)*100</f>
        <v>0</v>
      </c>
      <c r="ACJ35">
        <f>SUMIFS(Detail!$AW:$AW,Detail!$G:$G,'Rates-Service Fees'!ACJ$23,Detail!$H:$H,'Rates-Service Fees'!ACJ$14)*100</f>
        <v>0</v>
      </c>
      <c r="ACK35">
        <f>SUMIFS(Detail!$AW:$AW,Detail!$G:$G,'Rates-Service Fees'!ACK$23,Detail!$H:$H,'Rates-Service Fees'!ACK$14)*100</f>
        <v>0</v>
      </c>
      <c r="ACL35">
        <f>SUMIFS(Detail!$AW:$AW,Detail!$G:$G,'Rates-Service Fees'!ACL$23,Detail!$H:$H,'Rates-Service Fees'!ACL$14)*100</f>
        <v>0</v>
      </c>
      <c r="ACM35">
        <f>SUMIFS(Detail!$AW:$AW,Detail!$G:$G,'Rates-Service Fees'!ACM$23,Detail!$H:$H,'Rates-Service Fees'!ACM$14)*100</f>
        <v>0</v>
      </c>
      <c r="ACN35">
        <f>SUMIFS(Detail!$AW:$AW,Detail!$G:$G,'Rates-Service Fees'!ACN$23,Detail!$H:$H,'Rates-Service Fees'!ACN$14)*100</f>
        <v>0</v>
      </c>
      <c r="ACO35">
        <f>SUMIFS(Detail!$AW:$AW,Detail!$G:$G,'Rates-Service Fees'!ACO$23,Detail!$H:$H,'Rates-Service Fees'!ACO$14)*100</f>
        <v>0</v>
      </c>
      <c r="ACP35">
        <f>SUMIFS(Detail!$AW:$AW,Detail!$G:$G,'Rates-Service Fees'!ACP$23,Detail!$H:$H,'Rates-Service Fees'!ACP$14)*100</f>
        <v>0</v>
      </c>
      <c r="ACQ35">
        <f>SUMIFS(Detail!$AW:$AW,Detail!$G:$G,'Rates-Service Fees'!ACQ$23,Detail!$H:$H,'Rates-Service Fees'!ACQ$14)*100</f>
        <v>0</v>
      </c>
      <c r="ACR35">
        <f>SUMIFS(Detail!$AW:$AW,Detail!$G:$G,'Rates-Service Fees'!ACR$23,Detail!$H:$H,'Rates-Service Fees'!ACR$14)*100</f>
        <v>0</v>
      </c>
      <c r="ACS35">
        <f>SUMIFS(Detail!$AW:$AW,Detail!$G:$G,'Rates-Service Fees'!ACS$23,Detail!$H:$H,'Rates-Service Fees'!ACS$14)*100</f>
        <v>0</v>
      </c>
      <c r="ACT35">
        <f>SUMIFS(Detail!$AW:$AW,Detail!$G:$G,'Rates-Service Fees'!ACT$23,Detail!$H:$H,'Rates-Service Fees'!ACT$14)*100</f>
        <v>0</v>
      </c>
      <c r="ACU35">
        <f>SUMIFS(Detail!$AW:$AW,Detail!$G:$G,'Rates-Service Fees'!ACU$23,Detail!$H:$H,'Rates-Service Fees'!ACU$14)*100</f>
        <v>0</v>
      </c>
      <c r="ACV35">
        <f>SUMIFS(Detail!$AW:$AW,Detail!$G:$G,'Rates-Service Fees'!ACV$23,Detail!$H:$H,'Rates-Service Fees'!ACV$14)*100</f>
        <v>0</v>
      </c>
      <c r="ACW35">
        <f>SUMIFS(Detail!$AW:$AW,Detail!$G:$G,'Rates-Service Fees'!ACW$23,Detail!$H:$H,'Rates-Service Fees'!ACW$14)*100</f>
        <v>0</v>
      </c>
      <c r="ACX35">
        <f>SUMIFS(Detail!$AW:$AW,Detail!$G:$G,'Rates-Service Fees'!ACX$23,Detail!$H:$H,'Rates-Service Fees'!ACX$14)*100</f>
        <v>0</v>
      </c>
      <c r="ACY35">
        <f>SUMIFS(Detail!$AW:$AW,Detail!$G:$G,'Rates-Service Fees'!ACY$23,Detail!$H:$H,'Rates-Service Fees'!ACY$14)*100</f>
        <v>0</v>
      </c>
      <c r="ACZ35">
        <f>SUMIFS(Detail!$AW:$AW,Detail!$G:$G,'Rates-Service Fees'!ACZ$23,Detail!$H:$H,'Rates-Service Fees'!ACZ$14)*100</f>
        <v>0</v>
      </c>
      <c r="ADA35">
        <f>SUMIFS(Detail!$AW:$AW,Detail!$G:$G,'Rates-Service Fees'!ADA$23,Detail!$H:$H,'Rates-Service Fees'!ADA$14)*100</f>
        <v>0</v>
      </c>
      <c r="ADB35">
        <f>SUMIFS(Detail!$AW:$AW,Detail!$G:$G,'Rates-Service Fees'!ADB$23,Detail!$H:$H,'Rates-Service Fees'!ADB$14)*100</f>
        <v>0</v>
      </c>
      <c r="ADC35">
        <f>SUMIFS(Detail!$AW:$AW,Detail!$G:$G,'Rates-Service Fees'!ADC$23,Detail!$H:$H,'Rates-Service Fees'!ADC$14)*100</f>
        <v>0</v>
      </c>
      <c r="ADD35">
        <f>SUMIFS(Detail!$AW:$AW,Detail!$G:$G,'Rates-Service Fees'!ADD$23,Detail!$H:$H,'Rates-Service Fees'!ADD$14)*100</f>
        <v>0</v>
      </c>
      <c r="ADE35">
        <f>SUMIFS(Detail!$AW:$AW,Detail!$G:$G,'Rates-Service Fees'!ADE$23,Detail!$H:$H,'Rates-Service Fees'!ADE$14)*100</f>
        <v>0</v>
      </c>
      <c r="ADF35">
        <f>SUMIFS(Detail!$AW:$AW,Detail!$G:$G,'Rates-Service Fees'!ADF$23,Detail!$H:$H,'Rates-Service Fees'!ADF$14)*100</f>
        <v>0</v>
      </c>
      <c r="ADG35">
        <f>SUMIFS(Detail!$AW:$AW,Detail!$G:$G,'Rates-Service Fees'!ADG$23,Detail!$H:$H,'Rates-Service Fees'!ADG$14)*100</f>
        <v>0</v>
      </c>
      <c r="ADH35">
        <f>SUMIFS(Detail!$AW:$AW,Detail!$G:$G,'Rates-Service Fees'!ADH$23,Detail!$H:$H,'Rates-Service Fees'!ADH$14)*100</f>
        <v>0</v>
      </c>
      <c r="ADI35">
        <f>SUMIFS(Detail!$AW:$AW,Detail!$G:$G,'Rates-Service Fees'!ADI$23,Detail!$H:$H,'Rates-Service Fees'!ADI$14)*100</f>
        <v>0</v>
      </c>
      <c r="ADJ35">
        <f>SUMIFS(Detail!$AW:$AW,Detail!$G:$G,'Rates-Service Fees'!ADJ$23,Detail!$H:$H,'Rates-Service Fees'!ADJ$14)*100</f>
        <v>0</v>
      </c>
      <c r="ADK35">
        <f>SUMIFS(Detail!$AW:$AW,Detail!$G:$G,'Rates-Service Fees'!ADK$23,Detail!$H:$H,'Rates-Service Fees'!ADK$14)*100</f>
        <v>0</v>
      </c>
      <c r="ADL35">
        <f>SUMIFS(Detail!$AW:$AW,Detail!$G:$G,'Rates-Service Fees'!ADL$23,Detail!$H:$H,'Rates-Service Fees'!ADL$14)*100</f>
        <v>0</v>
      </c>
      <c r="ADM35">
        <f>SUMIFS(Detail!$AW:$AW,Detail!$G:$G,'Rates-Service Fees'!ADM$23,Detail!$H:$H,'Rates-Service Fees'!ADM$14)*100</f>
        <v>0</v>
      </c>
      <c r="ADN35">
        <f>SUMIFS(Detail!$AW:$AW,Detail!$G:$G,'Rates-Service Fees'!ADN$23,Detail!$H:$H,'Rates-Service Fees'!ADN$14)*100</f>
        <v>0</v>
      </c>
      <c r="ADO35">
        <f>SUMIFS(Detail!$AW:$AW,Detail!$G:$G,'Rates-Service Fees'!ADO$23,Detail!$H:$H,'Rates-Service Fees'!ADO$14)*100</f>
        <v>0</v>
      </c>
      <c r="ADP35">
        <f>SUMIFS(Detail!$AW:$AW,Detail!$G:$G,'Rates-Service Fees'!ADP$23,Detail!$H:$H,'Rates-Service Fees'!ADP$14)*100</f>
        <v>0</v>
      </c>
      <c r="ADQ35">
        <f>SUMIFS(Detail!$AW:$AW,Detail!$G:$G,'Rates-Service Fees'!ADQ$23,Detail!$H:$H,'Rates-Service Fees'!ADQ$14)*100</f>
        <v>0</v>
      </c>
      <c r="ADR35">
        <f>SUMIFS(Detail!$AW:$AW,Detail!$G:$G,'Rates-Service Fees'!ADR$23,Detail!$H:$H,'Rates-Service Fees'!ADR$14)*100</f>
        <v>0</v>
      </c>
      <c r="ADS35">
        <f>SUMIFS(Detail!$AW:$AW,Detail!$G:$G,'Rates-Service Fees'!ADS$23,Detail!$H:$H,'Rates-Service Fees'!ADS$14)*100</f>
        <v>0</v>
      </c>
      <c r="ADT35">
        <f>SUMIFS(Detail!$AW:$AW,Detail!$G:$G,'Rates-Service Fees'!ADT$23,Detail!$H:$H,'Rates-Service Fees'!ADT$14)*100</f>
        <v>0</v>
      </c>
      <c r="ADU35">
        <f>SUMIFS(Detail!$AW:$AW,Detail!$G:$G,'Rates-Service Fees'!ADU$23,Detail!$H:$H,'Rates-Service Fees'!ADU$14)*100</f>
        <v>0</v>
      </c>
      <c r="ADV35">
        <f>SUMIFS(Detail!$AW:$AW,Detail!$G:$G,'Rates-Service Fees'!ADV$23,Detail!$H:$H,'Rates-Service Fees'!ADV$14)*100</f>
        <v>0</v>
      </c>
      <c r="ADW35">
        <f>SUMIFS(Detail!$AW:$AW,Detail!$G:$G,'Rates-Service Fees'!ADW$23,Detail!$H:$H,'Rates-Service Fees'!ADW$14)*100</f>
        <v>0</v>
      </c>
      <c r="ADX35">
        <f>SUMIFS(Detail!$AW:$AW,Detail!$G:$G,'Rates-Service Fees'!ADX$23,Detail!$H:$H,'Rates-Service Fees'!ADX$14)*100</f>
        <v>0</v>
      </c>
      <c r="ADY35">
        <f>SUMIFS(Detail!$AW:$AW,Detail!$G:$G,'Rates-Service Fees'!ADY$23,Detail!$H:$H,'Rates-Service Fees'!ADY$14)*100</f>
        <v>0</v>
      </c>
      <c r="ADZ35">
        <f>SUMIFS(Detail!$AW:$AW,Detail!$G:$G,'Rates-Service Fees'!ADZ$23,Detail!$H:$H,'Rates-Service Fees'!ADZ$14)*100</f>
        <v>0</v>
      </c>
      <c r="AEA35">
        <f>SUMIFS(Detail!$AW:$AW,Detail!$G:$G,'Rates-Service Fees'!AEA$23,Detail!$H:$H,'Rates-Service Fees'!AEA$14)*100</f>
        <v>0</v>
      </c>
      <c r="AEB35">
        <f>SUMIFS(Detail!$AW:$AW,Detail!$G:$G,'Rates-Service Fees'!AEB$23,Detail!$H:$H,'Rates-Service Fees'!AEB$14)*100</f>
        <v>0</v>
      </c>
      <c r="AEC35">
        <f>SUMIFS(Detail!$AW:$AW,Detail!$G:$G,'Rates-Service Fees'!AEC$23,Detail!$H:$H,'Rates-Service Fees'!AEC$14)*100</f>
        <v>0</v>
      </c>
      <c r="AED35">
        <f>SUMIFS(Detail!$AW:$AW,Detail!$G:$G,'Rates-Service Fees'!AED$23,Detail!$H:$H,'Rates-Service Fees'!AED$14)*100</f>
        <v>0</v>
      </c>
      <c r="AEE35">
        <f>SUMIFS(Detail!$AW:$AW,Detail!$G:$G,'Rates-Service Fees'!AEE$23,Detail!$H:$H,'Rates-Service Fees'!AEE$14)*100</f>
        <v>0</v>
      </c>
      <c r="AEF35">
        <f>SUMIFS(Detail!$AW:$AW,Detail!$G:$G,'Rates-Service Fees'!AEF$23,Detail!$H:$H,'Rates-Service Fees'!AEF$14)*100</f>
        <v>0</v>
      </c>
      <c r="AEG35">
        <f>SUMIFS(Detail!$AW:$AW,Detail!$G:$G,'Rates-Service Fees'!AEG$23,Detail!$H:$H,'Rates-Service Fees'!AEG$14)*100</f>
        <v>0</v>
      </c>
      <c r="AEH35">
        <f>SUMIFS(Detail!$AW:$AW,Detail!$G:$G,'Rates-Service Fees'!AEH$23,Detail!$H:$H,'Rates-Service Fees'!AEH$14)*100</f>
        <v>0</v>
      </c>
      <c r="AEI35">
        <f>SUMIFS(Detail!$AW:$AW,Detail!$G:$G,'Rates-Service Fees'!AEI$23,Detail!$H:$H,'Rates-Service Fees'!AEI$14)*100</f>
        <v>0</v>
      </c>
      <c r="AEJ35">
        <f>SUMIFS(Detail!$AW:$AW,Detail!$G:$G,'Rates-Service Fees'!AEJ$23,Detail!$H:$H,'Rates-Service Fees'!AEJ$14)*100</f>
        <v>0</v>
      </c>
      <c r="AEK35">
        <f>SUMIFS(Detail!$AW:$AW,Detail!$G:$G,'Rates-Service Fees'!AEK$23,Detail!$H:$H,'Rates-Service Fees'!AEK$14)*100</f>
        <v>0</v>
      </c>
      <c r="AEL35">
        <f>SUMIFS(Detail!$AW:$AW,Detail!$G:$G,'Rates-Service Fees'!AEL$23,Detail!$H:$H,'Rates-Service Fees'!AEL$14)*100</f>
        <v>0</v>
      </c>
      <c r="AEM35">
        <f>SUMIFS(Detail!$AW:$AW,Detail!$G:$G,'Rates-Service Fees'!AEM$23,Detail!$H:$H,'Rates-Service Fees'!AEM$14)*100</f>
        <v>0</v>
      </c>
      <c r="AEN35">
        <f>SUMIFS(Detail!$AW:$AW,Detail!$G:$G,'Rates-Service Fees'!AEN$23,Detail!$H:$H,'Rates-Service Fees'!AEN$14)*100</f>
        <v>0</v>
      </c>
      <c r="AEO35">
        <f>SUMIFS(Detail!$AW:$AW,Detail!$G:$G,'Rates-Service Fees'!AEO$23,Detail!$H:$H,'Rates-Service Fees'!AEO$14)*100</f>
        <v>0</v>
      </c>
      <c r="AEP35">
        <f>SUMIFS(Detail!$AW:$AW,Detail!$G:$G,'Rates-Service Fees'!AEP$23,Detail!$H:$H,'Rates-Service Fees'!AEP$14)*100</f>
        <v>0</v>
      </c>
      <c r="AEQ35">
        <f>SUMIFS(Detail!$AW:$AW,Detail!$G:$G,'Rates-Service Fees'!AEQ$23,Detail!$H:$H,'Rates-Service Fees'!AEQ$14)*100</f>
        <v>0</v>
      </c>
      <c r="AER35">
        <f>SUMIFS(Detail!$AW:$AW,Detail!$G:$G,'Rates-Service Fees'!AER$23,Detail!$H:$H,'Rates-Service Fees'!AER$14)*100</f>
        <v>0</v>
      </c>
      <c r="AES35">
        <f>SUMIFS(Detail!$AW:$AW,Detail!$G:$G,'Rates-Service Fees'!AES$23,Detail!$H:$H,'Rates-Service Fees'!AES$14)*100</f>
        <v>0</v>
      </c>
      <c r="AET35">
        <f>SUMIFS(Detail!$AW:$AW,Detail!$G:$G,'Rates-Service Fees'!AET$23,Detail!$H:$H,'Rates-Service Fees'!AET$14)*100</f>
        <v>0</v>
      </c>
      <c r="AEU35">
        <f>SUMIFS(Detail!$AW:$AW,Detail!$G:$G,'Rates-Service Fees'!AEU$23,Detail!$H:$H,'Rates-Service Fees'!AEU$14)*100</f>
        <v>0</v>
      </c>
      <c r="AEV35">
        <f>SUMIFS(Detail!$AW:$AW,Detail!$G:$G,'Rates-Service Fees'!AEV$23,Detail!$H:$H,'Rates-Service Fees'!AEV$14)*100</f>
        <v>0</v>
      </c>
      <c r="AEW35">
        <f>SUMIFS(Detail!$AW:$AW,Detail!$G:$G,'Rates-Service Fees'!AEW$23,Detail!$H:$H,'Rates-Service Fees'!AEW$14)*100</f>
        <v>0</v>
      </c>
      <c r="AEX35">
        <f>SUMIFS(Detail!$AW:$AW,Detail!$G:$G,'Rates-Service Fees'!AEX$23,Detail!$H:$H,'Rates-Service Fees'!AEX$14)*100</f>
        <v>0</v>
      </c>
      <c r="AEY35">
        <f>SUMIFS(Detail!$AW:$AW,Detail!$G:$G,'Rates-Service Fees'!AEY$23,Detail!$H:$H,'Rates-Service Fees'!AEY$14)*100</f>
        <v>0</v>
      </c>
      <c r="AEZ35">
        <f>SUMIFS(Detail!$AW:$AW,Detail!$G:$G,'Rates-Service Fees'!AEZ$23,Detail!$H:$H,'Rates-Service Fees'!AEZ$14)*100</f>
        <v>0</v>
      </c>
      <c r="AFA35">
        <f>SUMIFS(Detail!$AW:$AW,Detail!$G:$G,'Rates-Service Fees'!AFA$23,Detail!$H:$H,'Rates-Service Fees'!AFA$14)*100</f>
        <v>0</v>
      </c>
      <c r="AFB35">
        <f>SUMIFS(Detail!$AW:$AW,Detail!$G:$G,'Rates-Service Fees'!AFB$23,Detail!$H:$H,'Rates-Service Fees'!AFB$14)*100</f>
        <v>0</v>
      </c>
      <c r="AFC35">
        <f>SUMIFS(Detail!$AW:$AW,Detail!$G:$G,'Rates-Service Fees'!AFC$23,Detail!$H:$H,'Rates-Service Fees'!AFC$14)*100</f>
        <v>0</v>
      </c>
      <c r="AFD35">
        <f>SUMIFS(Detail!$AW:$AW,Detail!$G:$G,'Rates-Service Fees'!AFD$23,Detail!$H:$H,'Rates-Service Fees'!AFD$14)*100</f>
        <v>0</v>
      </c>
      <c r="AFE35">
        <f>SUMIFS(Detail!$AW:$AW,Detail!$G:$G,'Rates-Service Fees'!AFE$23,Detail!$H:$H,'Rates-Service Fees'!AFE$14)*100</f>
        <v>0</v>
      </c>
      <c r="AFF35">
        <f>SUMIFS(Detail!$AW:$AW,Detail!$G:$G,'Rates-Service Fees'!AFF$23,Detail!$H:$H,'Rates-Service Fees'!AFF$14)*100</f>
        <v>0</v>
      </c>
      <c r="AFG35">
        <f>SUMIFS(Detail!$AW:$AW,Detail!$G:$G,'Rates-Service Fees'!AFG$23,Detail!$H:$H,'Rates-Service Fees'!AFG$14)*100</f>
        <v>0</v>
      </c>
      <c r="AFH35">
        <f>SUMIFS(Detail!$AW:$AW,Detail!$G:$G,'Rates-Service Fees'!AFH$23,Detail!$H:$H,'Rates-Service Fees'!AFH$14)*100</f>
        <v>0</v>
      </c>
      <c r="AFI35">
        <f>SUMIFS(Detail!$AW:$AW,Detail!$G:$G,'Rates-Service Fees'!AFI$23,Detail!$H:$H,'Rates-Service Fees'!AFI$14)*100</f>
        <v>0</v>
      </c>
      <c r="AFJ35">
        <f>SUMIFS(Detail!$AW:$AW,Detail!$G:$G,'Rates-Service Fees'!AFJ$23,Detail!$H:$H,'Rates-Service Fees'!AFJ$14)*100</f>
        <v>0</v>
      </c>
      <c r="AFK35">
        <f>SUMIFS(Detail!$AW:$AW,Detail!$G:$G,'Rates-Service Fees'!AFK$23,Detail!$H:$H,'Rates-Service Fees'!AFK$14)*100</f>
        <v>0</v>
      </c>
      <c r="AFL35">
        <f>SUMIFS(Detail!$AW:$AW,Detail!$G:$G,'Rates-Service Fees'!AFL$23,Detail!$H:$H,'Rates-Service Fees'!AFL$14)*100</f>
        <v>0</v>
      </c>
      <c r="AFM35">
        <f>SUMIFS(Detail!$AW:$AW,Detail!$G:$G,'Rates-Service Fees'!AFM$23,Detail!$H:$H,'Rates-Service Fees'!AFM$14)*100</f>
        <v>0</v>
      </c>
      <c r="AFN35">
        <f>SUMIFS(Detail!$AW:$AW,Detail!$G:$G,'Rates-Service Fees'!AFN$23,Detail!$H:$H,'Rates-Service Fees'!AFN$14)*100</f>
        <v>0</v>
      </c>
      <c r="AFO35">
        <f>SUMIFS(Detail!$AW:$AW,Detail!$G:$G,'Rates-Service Fees'!AFO$23,Detail!$H:$H,'Rates-Service Fees'!AFO$14)*100</f>
        <v>0</v>
      </c>
      <c r="AFP35">
        <f>SUMIFS(Detail!$AW:$AW,Detail!$G:$G,'Rates-Service Fees'!AFP$23,Detail!$H:$H,'Rates-Service Fees'!AFP$14)*100</f>
        <v>0</v>
      </c>
      <c r="AFQ35">
        <f>SUMIFS(Detail!$AW:$AW,Detail!$G:$G,'Rates-Service Fees'!AFQ$23,Detail!$H:$H,'Rates-Service Fees'!AFQ$14)*100</f>
        <v>0</v>
      </c>
      <c r="AFR35">
        <f>SUMIFS(Detail!$AW:$AW,Detail!$G:$G,'Rates-Service Fees'!AFR$23,Detail!$H:$H,'Rates-Service Fees'!AFR$14)*100</f>
        <v>0</v>
      </c>
      <c r="AFS35">
        <f>SUMIFS(Detail!$AW:$AW,Detail!$G:$G,'Rates-Service Fees'!AFS$23,Detail!$H:$H,'Rates-Service Fees'!AFS$14)*100</f>
        <v>0</v>
      </c>
      <c r="AFT35">
        <f>SUMIFS(Detail!$AW:$AW,Detail!$G:$G,'Rates-Service Fees'!AFT$23,Detail!$H:$H,'Rates-Service Fees'!AFT$14)*100</f>
        <v>0</v>
      </c>
      <c r="AFU35">
        <f>SUMIFS(Detail!$AW:$AW,Detail!$G:$G,'Rates-Service Fees'!AFU$23,Detail!$H:$H,'Rates-Service Fees'!AFU$14)*100</f>
        <v>0</v>
      </c>
      <c r="AFV35">
        <f>SUMIFS(Detail!$AW:$AW,Detail!$G:$G,'Rates-Service Fees'!AFV$23,Detail!$H:$H,'Rates-Service Fees'!AFV$14)*100</f>
        <v>0</v>
      </c>
      <c r="AFW35">
        <f>SUMIFS(Detail!$AW:$AW,Detail!$G:$G,'Rates-Service Fees'!AFW$23,Detail!$H:$H,'Rates-Service Fees'!AFW$14)*100</f>
        <v>0</v>
      </c>
      <c r="AFX35">
        <f>SUMIFS(Detail!$AW:$AW,Detail!$G:$G,'Rates-Service Fees'!AFX$23,Detail!$H:$H,'Rates-Service Fees'!AFX$14)*100</f>
        <v>0</v>
      </c>
      <c r="AFY35">
        <f>SUMIFS(Detail!$AW:$AW,Detail!$G:$G,'Rates-Service Fees'!AFY$23,Detail!$H:$H,'Rates-Service Fees'!AFY$14)*100</f>
        <v>0</v>
      </c>
      <c r="AFZ35">
        <f>SUMIFS(Detail!$AW:$AW,Detail!$G:$G,'Rates-Service Fees'!AFZ$23,Detail!$H:$H,'Rates-Service Fees'!AFZ$14)*100</f>
        <v>0</v>
      </c>
      <c r="AGA35">
        <f>SUMIFS(Detail!$AW:$AW,Detail!$G:$G,'Rates-Service Fees'!AGA$23,Detail!$H:$H,'Rates-Service Fees'!AGA$14)*100</f>
        <v>0</v>
      </c>
      <c r="AGB35">
        <f>SUMIFS(Detail!$AW:$AW,Detail!$G:$G,'Rates-Service Fees'!AGB$23,Detail!$H:$H,'Rates-Service Fees'!AGB$14)*100</f>
        <v>0</v>
      </c>
      <c r="AGC35">
        <f>SUMIFS(Detail!$AW:$AW,Detail!$G:$G,'Rates-Service Fees'!AGC$23,Detail!$H:$H,'Rates-Service Fees'!AGC$14)*100</f>
        <v>0</v>
      </c>
      <c r="AGD35">
        <f>SUMIFS(Detail!$AW:$AW,Detail!$G:$G,'Rates-Service Fees'!AGD$23,Detail!$H:$H,'Rates-Service Fees'!AGD$14)*100</f>
        <v>0</v>
      </c>
      <c r="AGE35">
        <f>SUMIFS(Detail!$AW:$AW,Detail!$G:$G,'Rates-Service Fees'!AGE$23,Detail!$H:$H,'Rates-Service Fees'!AGE$14)*100</f>
        <v>0</v>
      </c>
      <c r="AGF35">
        <f>SUMIFS(Detail!$AW:$AW,Detail!$G:$G,'Rates-Service Fees'!AGF$23,Detail!$H:$H,'Rates-Service Fees'!AGF$14)*100</f>
        <v>0</v>
      </c>
      <c r="AGG35">
        <f>SUMIFS(Detail!$AW:$AW,Detail!$G:$G,'Rates-Service Fees'!AGG$23,Detail!$H:$H,'Rates-Service Fees'!AGG$14)*100</f>
        <v>0</v>
      </c>
      <c r="AGH35">
        <f>SUMIFS(Detail!$AW:$AW,Detail!$G:$G,'Rates-Service Fees'!AGH$23,Detail!$H:$H,'Rates-Service Fees'!AGH$14)*100</f>
        <v>0</v>
      </c>
      <c r="AGI35">
        <f>SUMIFS(Detail!$AW:$AW,Detail!$G:$G,'Rates-Service Fees'!AGI$23,Detail!$H:$H,'Rates-Service Fees'!AGI$14)*100</f>
        <v>0</v>
      </c>
      <c r="AGJ35">
        <f>SUMIFS(Detail!$AW:$AW,Detail!$G:$G,'Rates-Service Fees'!AGJ$23,Detail!$H:$H,'Rates-Service Fees'!AGJ$14)*100</f>
        <v>0</v>
      </c>
      <c r="AGK35">
        <f>SUMIFS(Detail!$AW:$AW,Detail!$G:$G,'Rates-Service Fees'!AGK$23,Detail!$H:$H,'Rates-Service Fees'!AGK$14)*100</f>
        <v>0</v>
      </c>
      <c r="AGL35">
        <f>SUMIFS(Detail!$AW:$AW,Detail!$G:$G,'Rates-Service Fees'!AGL$23,Detail!$H:$H,'Rates-Service Fees'!AGL$14)*100</f>
        <v>0</v>
      </c>
      <c r="AGM35">
        <f>SUMIFS(Detail!$AW:$AW,Detail!$G:$G,'Rates-Service Fees'!AGM$23,Detail!$H:$H,'Rates-Service Fees'!AGM$14)*100</f>
        <v>0</v>
      </c>
      <c r="AGN35">
        <f>SUMIFS(Detail!$AW:$AW,Detail!$G:$G,'Rates-Service Fees'!AGN$23,Detail!$H:$H,'Rates-Service Fees'!AGN$14)*100</f>
        <v>0</v>
      </c>
      <c r="AGO35">
        <f>SUMIFS(Detail!$AW:$AW,Detail!$G:$G,'Rates-Service Fees'!AGO$23,Detail!$H:$H,'Rates-Service Fees'!AGO$14)*100</f>
        <v>0</v>
      </c>
      <c r="AGP35">
        <f>SUMIFS(Detail!$AW:$AW,Detail!$G:$G,'Rates-Service Fees'!AGP$23,Detail!$H:$H,'Rates-Service Fees'!AGP$14)*100</f>
        <v>0</v>
      </c>
      <c r="AGQ35">
        <f>SUMIFS(Detail!$AW:$AW,Detail!$G:$G,'Rates-Service Fees'!AGQ$23,Detail!$H:$H,'Rates-Service Fees'!AGQ$14)*100</f>
        <v>0</v>
      </c>
      <c r="AGR35">
        <f>SUMIFS(Detail!$AW:$AW,Detail!$G:$G,'Rates-Service Fees'!AGR$23,Detail!$H:$H,'Rates-Service Fees'!AGR$14)*100</f>
        <v>0</v>
      </c>
      <c r="AGS35">
        <f>SUMIFS(Detail!$AW:$AW,Detail!$G:$G,'Rates-Service Fees'!AGS$23,Detail!$H:$H,'Rates-Service Fees'!AGS$14)*100</f>
        <v>0</v>
      </c>
      <c r="AGT35">
        <f>SUMIFS(Detail!$AW:$AW,Detail!$G:$G,'Rates-Service Fees'!AGT$23,Detail!$H:$H,'Rates-Service Fees'!AGT$14)*100</f>
        <v>0</v>
      </c>
      <c r="AGU35">
        <f>SUMIFS(Detail!$AW:$AW,Detail!$G:$G,'Rates-Service Fees'!AGU$23,Detail!$H:$H,'Rates-Service Fees'!AGU$14)*100</f>
        <v>0</v>
      </c>
      <c r="AGV35">
        <f>SUMIFS(Detail!$AW:$AW,Detail!$G:$G,'Rates-Service Fees'!AGV$23,Detail!$H:$H,'Rates-Service Fees'!AGV$14)*100</f>
        <v>0</v>
      </c>
      <c r="AGW35">
        <f>SUMIFS(Detail!$AW:$AW,Detail!$G:$G,'Rates-Service Fees'!AGW$23,Detail!$H:$H,'Rates-Service Fees'!AGW$14)*100</f>
        <v>0</v>
      </c>
      <c r="AGX35">
        <f>SUMIFS(Detail!$AW:$AW,Detail!$G:$G,'Rates-Service Fees'!AGX$23,Detail!$H:$H,'Rates-Service Fees'!AGX$14)*100</f>
        <v>0</v>
      </c>
      <c r="AGY35">
        <f>SUMIFS(Detail!$AW:$AW,Detail!$G:$G,'Rates-Service Fees'!AGY$23,Detail!$H:$H,'Rates-Service Fees'!AGY$14)*100</f>
        <v>0</v>
      </c>
      <c r="AGZ35">
        <f>SUMIFS(Detail!$AW:$AW,Detail!$G:$G,'Rates-Service Fees'!AGZ$23,Detail!$H:$H,'Rates-Service Fees'!AGZ$14)*100</f>
        <v>0</v>
      </c>
      <c r="AHA35">
        <f>SUMIFS(Detail!$AW:$AW,Detail!$G:$G,'Rates-Service Fees'!AHA$23,Detail!$H:$H,'Rates-Service Fees'!AHA$14)*100</f>
        <v>0</v>
      </c>
      <c r="AHB35">
        <f>SUMIFS(Detail!$AW:$AW,Detail!$G:$G,'Rates-Service Fees'!AHB$23,Detail!$H:$H,'Rates-Service Fees'!AHB$14)*100</f>
        <v>0</v>
      </c>
      <c r="AHC35">
        <f>SUMIFS(Detail!$AW:$AW,Detail!$G:$G,'Rates-Service Fees'!AHC$23,Detail!$H:$H,'Rates-Service Fees'!AHC$14)*100</f>
        <v>0</v>
      </c>
      <c r="AHD35">
        <f>SUMIFS(Detail!$AW:$AW,Detail!$G:$G,'Rates-Service Fees'!AHD$23,Detail!$H:$H,'Rates-Service Fees'!AHD$14)*100</f>
        <v>0</v>
      </c>
      <c r="AHE35">
        <f>SUMIFS(Detail!$AW:$AW,Detail!$G:$G,'Rates-Service Fees'!AHE$23,Detail!$H:$H,'Rates-Service Fees'!AHE$14)*100</f>
        <v>0</v>
      </c>
      <c r="AHF35">
        <f>SUMIFS(Detail!$AW:$AW,Detail!$G:$G,'Rates-Service Fees'!AHF$23,Detail!$H:$H,'Rates-Service Fees'!AHF$14)*100</f>
        <v>0</v>
      </c>
      <c r="AHG35">
        <f>SUMIFS(Detail!$AW:$AW,Detail!$G:$G,'Rates-Service Fees'!AHG$23,Detail!$H:$H,'Rates-Service Fees'!AHG$14)*100</f>
        <v>0</v>
      </c>
      <c r="AHH35">
        <f>SUMIFS(Detail!$AW:$AW,Detail!$G:$G,'Rates-Service Fees'!AHH$23,Detail!$H:$H,'Rates-Service Fees'!AHH$14)*100</f>
        <v>0</v>
      </c>
      <c r="AHI35">
        <f>SUMIFS(Detail!$AW:$AW,Detail!$G:$G,'Rates-Service Fees'!AHI$23,Detail!$H:$H,'Rates-Service Fees'!AHI$14)*100</f>
        <v>0</v>
      </c>
      <c r="AHJ35">
        <f>SUMIFS(Detail!$AW:$AW,Detail!$G:$G,'Rates-Service Fees'!AHJ$23,Detail!$H:$H,'Rates-Service Fees'!AHJ$14)*100</f>
        <v>0</v>
      </c>
      <c r="AHK35">
        <f>SUMIFS(Detail!$AW:$AW,Detail!$G:$G,'Rates-Service Fees'!AHK$23,Detail!$H:$H,'Rates-Service Fees'!AHK$14)*100</f>
        <v>0</v>
      </c>
      <c r="AHL35">
        <f>SUMIFS(Detail!$AW:$AW,Detail!$G:$G,'Rates-Service Fees'!AHL$23,Detail!$H:$H,'Rates-Service Fees'!AHL$14)*100</f>
        <v>0</v>
      </c>
      <c r="AHM35">
        <f>SUMIFS(Detail!$AW:$AW,Detail!$G:$G,'Rates-Service Fees'!AHM$23,Detail!$H:$H,'Rates-Service Fees'!AHM$14)*100</f>
        <v>0</v>
      </c>
      <c r="AHN35">
        <f>SUMIFS(Detail!$AW:$AW,Detail!$G:$G,'Rates-Service Fees'!AHN$23,Detail!$H:$H,'Rates-Service Fees'!AHN$14)*100</f>
        <v>0</v>
      </c>
      <c r="AHO35">
        <f>SUMIFS(Detail!$AW:$AW,Detail!$G:$G,'Rates-Service Fees'!AHO$23,Detail!$H:$H,'Rates-Service Fees'!AHO$14)*100</f>
        <v>0</v>
      </c>
      <c r="AHP35">
        <f>SUMIFS(Detail!$AW:$AW,Detail!$G:$G,'Rates-Service Fees'!AHP$23,Detail!$H:$H,'Rates-Service Fees'!AHP$14)*100</f>
        <v>0</v>
      </c>
      <c r="AHQ35">
        <f>SUMIFS(Detail!$AW:$AW,Detail!$G:$G,'Rates-Service Fees'!AHQ$23,Detail!$H:$H,'Rates-Service Fees'!AHQ$14)*100</f>
        <v>0</v>
      </c>
      <c r="AHR35">
        <f>SUMIFS(Detail!$AW:$AW,Detail!$G:$G,'Rates-Service Fees'!AHR$23,Detail!$H:$H,'Rates-Service Fees'!AHR$14)*100</f>
        <v>0</v>
      </c>
      <c r="AHS35">
        <f>SUMIFS(Detail!$AW:$AW,Detail!$G:$G,'Rates-Service Fees'!AHS$23,Detail!$H:$H,'Rates-Service Fees'!AHS$14)*100</f>
        <v>0</v>
      </c>
      <c r="AHT35">
        <f>SUMIFS(Detail!$AW:$AW,Detail!$G:$G,'Rates-Service Fees'!AHT$23,Detail!$H:$H,'Rates-Service Fees'!AHT$14)*100</f>
        <v>0</v>
      </c>
      <c r="AHU35">
        <f>SUMIFS(Detail!$AW:$AW,Detail!$G:$G,'Rates-Service Fees'!AHU$23,Detail!$H:$H,'Rates-Service Fees'!AHU$14)*100</f>
        <v>0</v>
      </c>
      <c r="AHV35">
        <f>SUMIFS(Detail!$AW:$AW,Detail!$G:$G,'Rates-Service Fees'!AHV$23,Detail!$H:$H,'Rates-Service Fees'!AHV$14)*100</f>
        <v>0</v>
      </c>
      <c r="AHW35">
        <f>SUMIFS(Detail!$AW:$AW,Detail!$G:$G,'Rates-Service Fees'!AHW$23,Detail!$H:$H,'Rates-Service Fees'!AHW$14)*100</f>
        <v>0</v>
      </c>
      <c r="AHX35">
        <f>SUMIFS(Detail!$AW:$AW,Detail!$G:$G,'Rates-Service Fees'!AHX$23,Detail!$H:$H,'Rates-Service Fees'!AHX$14)*100</f>
        <v>0</v>
      </c>
      <c r="AHY35">
        <f>SUMIFS(Detail!$AW:$AW,Detail!$G:$G,'Rates-Service Fees'!AHY$23,Detail!$H:$H,'Rates-Service Fees'!AHY$14)*100</f>
        <v>0</v>
      </c>
      <c r="AHZ35">
        <f>SUMIFS(Detail!$AW:$AW,Detail!$G:$G,'Rates-Service Fees'!AHZ$23,Detail!$H:$H,'Rates-Service Fees'!AHZ$14)*100</f>
        <v>0</v>
      </c>
      <c r="AIA35">
        <f>SUMIFS(Detail!$AW:$AW,Detail!$G:$G,'Rates-Service Fees'!AIA$23,Detail!$H:$H,'Rates-Service Fees'!AIA$14)*100</f>
        <v>0</v>
      </c>
      <c r="AIB35">
        <f>SUMIFS(Detail!$AW:$AW,Detail!$G:$G,'Rates-Service Fees'!AIB$23,Detail!$H:$H,'Rates-Service Fees'!AIB$14)*100</f>
        <v>0</v>
      </c>
      <c r="AIC35">
        <f>SUMIFS(Detail!$AW:$AW,Detail!$G:$G,'Rates-Service Fees'!AIC$23,Detail!$H:$H,'Rates-Service Fees'!AIC$14)*100</f>
        <v>0</v>
      </c>
      <c r="AID35">
        <f>SUMIFS(Detail!$AW:$AW,Detail!$G:$G,'Rates-Service Fees'!AID$23,Detail!$H:$H,'Rates-Service Fees'!AID$14)*100</f>
        <v>0</v>
      </c>
      <c r="AIE35">
        <f>SUMIFS(Detail!$AW:$AW,Detail!$G:$G,'Rates-Service Fees'!AIE$23,Detail!$H:$H,'Rates-Service Fees'!AIE$14)*100</f>
        <v>0</v>
      </c>
      <c r="AIF35">
        <f>SUMIFS(Detail!$AW:$AW,Detail!$G:$G,'Rates-Service Fees'!AIF$23,Detail!$H:$H,'Rates-Service Fees'!AIF$14)*100</f>
        <v>0</v>
      </c>
      <c r="AIG35">
        <f>SUMIFS(Detail!$AW:$AW,Detail!$G:$G,'Rates-Service Fees'!AIG$23,Detail!$H:$H,'Rates-Service Fees'!AIG$14)*100</f>
        <v>0</v>
      </c>
      <c r="AIH35">
        <f>SUMIFS(Detail!$AW:$AW,Detail!$G:$G,'Rates-Service Fees'!AIH$23,Detail!$H:$H,'Rates-Service Fees'!AIH$14)*100</f>
        <v>0</v>
      </c>
      <c r="AII35">
        <f>SUMIFS(Detail!$AW:$AW,Detail!$G:$G,'Rates-Service Fees'!AII$23,Detail!$H:$H,'Rates-Service Fees'!AII$14)*100</f>
        <v>0</v>
      </c>
      <c r="AIJ35">
        <f>SUMIFS(Detail!$AW:$AW,Detail!$G:$G,'Rates-Service Fees'!AIJ$23,Detail!$H:$H,'Rates-Service Fees'!AIJ$14)*100</f>
        <v>0</v>
      </c>
      <c r="AIK35">
        <f>SUMIFS(Detail!$AW:$AW,Detail!$G:$G,'Rates-Service Fees'!AIK$23,Detail!$H:$H,'Rates-Service Fees'!AIK$14)*100</f>
        <v>0</v>
      </c>
      <c r="AIL35">
        <f>SUMIFS(Detail!$AW:$AW,Detail!$G:$G,'Rates-Service Fees'!AIL$23,Detail!$H:$H,'Rates-Service Fees'!AIL$14)*100</f>
        <v>0</v>
      </c>
      <c r="AIM35">
        <f>SUMIFS(Detail!$AW:$AW,Detail!$G:$G,'Rates-Service Fees'!AIM$23,Detail!$H:$H,'Rates-Service Fees'!AIM$14)*100</f>
        <v>0</v>
      </c>
      <c r="AIN35">
        <f>SUMIFS(Detail!$AW:$AW,Detail!$G:$G,'Rates-Service Fees'!AIN$23,Detail!$H:$H,'Rates-Service Fees'!AIN$14)*100</f>
        <v>0</v>
      </c>
      <c r="AIO35">
        <f>SUMIFS(Detail!$AW:$AW,Detail!$G:$G,'Rates-Service Fees'!AIO$23,Detail!$H:$H,'Rates-Service Fees'!AIO$14)*100</f>
        <v>0</v>
      </c>
      <c r="AIP35">
        <f>SUMIFS(Detail!$AW:$AW,Detail!$G:$G,'Rates-Service Fees'!AIP$23,Detail!$H:$H,'Rates-Service Fees'!AIP$14)*100</f>
        <v>0</v>
      </c>
      <c r="AIQ35">
        <f>SUMIFS(Detail!$AW:$AW,Detail!$G:$G,'Rates-Service Fees'!AIQ$23,Detail!$H:$H,'Rates-Service Fees'!AIQ$14)*100</f>
        <v>0</v>
      </c>
      <c r="AIR35">
        <f>SUMIFS(Detail!$AW:$AW,Detail!$G:$G,'Rates-Service Fees'!AIR$23,Detail!$H:$H,'Rates-Service Fees'!AIR$14)*100</f>
        <v>0</v>
      </c>
      <c r="AIS35">
        <f>SUMIFS(Detail!$AW:$AW,Detail!$G:$G,'Rates-Service Fees'!AIS$23,Detail!$H:$H,'Rates-Service Fees'!AIS$14)*100</f>
        <v>0</v>
      </c>
      <c r="AIT35">
        <f>SUMIFS(Detail!$AW:$AW,Detail!$G:$G,'Rates-Service Fees'!AIT$23,Detail!$H:$H,'Rates-Service Fees'!AIT$14)*100</f>
        <v>0</v>
      </c>
      <c r="AIU35">
        <f>SUMIFS(Detail!$AW:$AW,Detail!$G:$G,'Rates-Service Fees'!AIU$23,Detail!$H:$H,'Rates-Service Fees'!AIU$14)*100</f>
        <v>0</v>
      </c>
      <c r="AIV35">
        <f>SUMIFS(Detail!$AW:$AW,Detail!$G:$G,'Rates-Service Fees'!AIV$23,Detail!$H:$H,'Rates-Service Fees'!AIV$14)*100</f>
        <v>0</v>
      </c>
      <c r="AIW35">
        <f>SUMIFS(Detail!$AW:$AW,Detail!$G:$G,'Rates-Service Fees'!AIW$23,Detail!$H:$H,'Rates-Service Fees'!AIW$14)*100</f>
        <v>0</v>
      </c>
      <c r="AIX35">
        <f>SUMIFS(Detail!$AW:$AW,Detail!$G:$G,'Rates-Service Fees'!AIX$23,Detail!$H:$H,'Rates-Service Fees'!AIX$14)*100</f>
        <v>0</v>
      </c>
      <c r="AIY35">
        <f>SUMIFS(Detail!$AW:$AW,Detail!$G:$G,'Rates-Service Fees'!AIY$23,Detail!$H:$H,'Rates-Service Fees'!AIY$14)*100</f>
        <v>0</v>
      </c>
      <c r="AIZ35">
        <f>SUMIFS(Detail!$AW:$AW,Detail!$G:$G,'Rates-Service Fees'!AIZ$23,Detail!$H:$H,'Rates-Service Fees'!AIZ$14)*100</f>
        <v>0</v>
      </c>
      <c r="AJA35">
        <f>SUMIFS(Detail!$AW:$AW,Detail!$G:$G,'Rates-Service Fees'!AJA$23,Detail!$H:$H,'Rates-Service Fees'!AJA$14)*100</f>
        <v>0</v>
      </c>
      <c r="AJB35">
        <f>SUMIFS(Detail!$AW:$AW,Detail!$G:$G,'Rates-Service Fees'!AJB$23,Detail!$H:$H,'Rates-Service Fees'!AJB$14)*100</f>
        <v>0</v>
      </c>
      <c r="AJC35">
        <f>SUMIFS(Detail!$AW:$AW,Detail!$G:$G,'Rates-Service Fees'!AJC$23,Detail!$H:$H,'Rates-Service Fees'!AJC$14)*100</f>
        <v>0</v>
      </c>
      <c r="AJD35">
        <f>SUMIFS(Detail!$AW:$AW,Detail!$G:$G,'Rates-Service Fees'!AJD$23,Detail!$H:$H,'Rates-Service Fees'!AJD$14)*100</f>
        <v>0</v>
      </c>
      <c r="AJE35">
        <f>SUMIFS(Detail!$AW:$AW,Detail!$G:$G,'Rates-Service Fees'!AJE$23,Detail!$H:$H,'Rates-Service Fees'!AJE$14)*100</f>
        <v>0</v>
      </c>
      <c r="AJF35">
        <f>SUMIFS(Detail!$AW:$AW,Detail!$G:$G,'Rates-Service Fees'!AJF$23,Detail!$H:$H,'Rates-Service Fees'!AJF$14)*100</f>
        <v>0</v>
      </c>
      <c r="AJG35">
        <f>SUMIFS(Detail!$AW:$AW,Detail!$G:$G,'Rates-Service Fees'!AJG$23,Detail!$H:$H,'Rates-Service Fees'!AJG$14)*100</f>
        <v>0</v>
      </c>
      <c r="AJH35">
        <f>SUMIFS(Detail!$AW:$AW,Detail!$G:$G,'Rates-Service Fees'!AJH$23,Detail!$H:$H,'Rates-Service Fees'!AJH$14)*100</f>
        <v>0</v>
      </c>
      <c r="AJI35">
        <f>SUMIFS(Detail!$AW:$AW,Detail!$G:$G,'Rates-Service Fees'!AJI$23,Detail!$H:$H,'Rates-Service Fees'!AJI$14)*100</f>
        <v>0</v>
      </c>
      <c r="AJJ35">
        <f>SUMIFS(Detail!$AW:$AW,Detail!$G:$G,'Rates-Service Fees'!AJJ$23,Detail!$H:$H,'Rates-Service Fees'!AJJ$14)*100</f>
        <v>0</v>
      </c>
      <c r="AJK35">
        <f>SUMIFS(Detail!$AW:$AW,Detail!$G:$G,'Rates-Service Fees'!AJK$23,Detail!$H:$H,'Rates-Service Fees'!AJK$14)*100</f>
        <v>0</v>
      </c>
      <c r="AJL35">
        <f>SUMIFS(Detail!$AW:$AW,Detail!$G:$G,'Rates-Service Fees'!AJL$23,Detail!$H:$H,'Rates-Service Fees'!AJL$14)*100</f>
        <v>0</v>
      </c>
      <c r="AJM35">
        <f>SUMIFS(Detail!$AW:$AW,Detail!$G:$G,'Rates-Service Fees'!AJM$23,Detail!$H:$H,'Rates-Service Fees'!AJM$14)*100</f>
        <v>0</v>
      </c>
      <c r="AJN35">
        <f>SUMIFS(Detail!$AW:$AW,Detail!$G:$G,'Rates-Service Fees'!AJN$23,Detail!$H:$H,'Rates-Service Fees'!AJN$14)*100</f>
        <v>0</v>
      </c>
      <c r="AJO35">
        <f>SUMIFS(Detail!$AW:$AW,Detail!$G:$G,'Rates-Service Fees'!AJO$23,Detail!$H:$H,'Rates-Service Fees'!AJO$14)*100</f>
        <v>0</v>
      </c>
      <c r="AJP35">
        <f>SUMIFS(Detail!$AW:$AW,Detail!$G:$G,'Rates-Service Fees'!AJP$23,Detail!$H:$H,'Rates-Service Fees'!AJP$14)*100</f>
        <v>0</v>
      </c>
      <c r="AJQ35">
        <f>SUMIFS(Detail!$AW:$AW,Detail!$G:$G,'Rates-Service Fees'!AJQ$23,Detail!$H:$H,'Rates-Service Fees'!AJQ$14)*100</f>
        <v>0</v>
      </c>
      <c r="AJR35">
        <f>SUMIFS(Detail!$AW:$AW,Detail!$G:$G,'Rates-Service Fees'!AJR$23,Detail!$H:$H,'Rates-Service Fees'!AJR$14)*100</f>
        <v>0</v>
      </c>
      <c r="AJS35">
        <f>SUMIFS(Detail!$AW:$AW,Detail!$G:$G,'Rates-Service Fees'!AJS$23,Detail!$H:$H,'Rates-Service Fees'!AJS$14)*100</f>
        <v>0</v>
      </c>
      <c r="AJT35">
        <f>SUMIFS(Detail!$AW:$AW,Detail!$G:$G,'Rates-Service Fees'!AJT$23,Detail!$H:$H,'Rates-Service Fees'!AJT$14)*100</f>
        <v>0</v>
      </c>
      <c r="AJU35">
        <f>SUMIFS(Detail!$AW:$AW,Detail!$G:$G,'Rates-Service Fees'!AJU$23,Detail!$H:$H,'Rates-Service Fees'!AJU$14)*100</f>
        <v>0</v>
      </c>
      <c r="AJV35">
        <f>SUMIFS(Detail!$AW:$AW,Detail!$G:$G,'Rates-Service Fees'!AJV$23,Detail!$H:$H,'Rates-Service Fees'!AJV$14)*100</f>
        <v>0</v>
      </c>
      <c r="AJW35">
        <f>SUMIFS(Detail!$AW:$AW,Detail!$G:$G,'Rates-Service Fees'!AJW$23,Detail!$H:$H,'Rates-Service Fees'!AJW$14)*100</f>
        <v>0</v>
      </c>
      <c r="AJX35">
        <f>SUMIFS(Detail!$AW:$AW,Detail!$G:$G,'Rates-Service Fees'!AJX$23,Detail!$H:$H,'Rates-Service Fees'!AJX$14)*100</f>
        <v>0</v>
      </c>
      <c r="AJY35">
        <f>SUMIFS(Detail!$AW:$AW,Detail!$G:$G,'Rates-Service Fees'!AJY$23,Detail!$H:$H,'Rates-Service Fees'!AJY$14)*100</f>
        <v>0</v>
      </c>
      <c r="AJZ35">
        <f>SUMIFS(Detail!$AW:$AW,Detail!$G:$G,'Rates-Service Fees'!AJZ$23,Detail!$H:$H,'Rates-Service Fees'!AJZ$14)*100</f>
        <v>0</v>
      </c>
      <c r="AKA35">
        <f>SUMIFS(Detail!$AW:$AW,Detail!$G:$G,'Rates-Service Fees'!AKA$23,Detail!$H:$H,'Rates-Service Fees'!AKA$14)*100</f>
        <v>0</v>
      </c>
      <c r="AKB35">
        <f>SUMIFS(Detail!$AW:$AW,Detail!$G:$G,'Rates-Service Fees'!AKB$23,Detail!$H:$H,'Rates-Service Fees'!AKB$14)*100</f>
        <v>0</v>
      </c>
      <c r="AKC35">
        <f>SUMIFS(Detail!$AW:$AW,Detail!$G:$G,'Rates-Service Fees'!AKC$23,Detail!$H:$H,'Rates-Service Fees'!AKC$14)*100</f>
        <v>0</v>
      </c>
      <c r="AKD35">
        <f>SUMIFS(Detail!$AW:$AW,Detail!$G:$G,'Rates-Service Fees'!AKD$23,Detail!$H:$H,'Rates-Service Fees'!AKD$14)*100</f>
        <v>0</v>
      </c>
      <c r="AKE35">
        <f>SUMIFS(Detail!$AW:$AW,Detail!$G:$G,'Rates-Service Fees'!AKE$23,Detail!$H:$H,'Rates-Service Fees'!AKE$14)*100</f>
        <v>0</v>
      </c>
      <c r="AKF35">
        <f>SUMIFS(Detail!$AW:$AW,Detail!$G:$G,'Rates-Service Fees'!AKF$23,Detail!$H:$H,'Rates-Service Fees'!AKF$14)*100</f>
        <v>0</v>
      </c>
      <c r="AKG35">
        <f>SUMIFS(Detail!$AW:$AW,Detail!$G:$G,'Rates-Service Fees'!AKG$23,Detail!$H:$H,'Rates-Service Fees'!AKG$14)*100</f>
        <v>0</v>
      </c>
      <c r="AKH35">
        <f>SUMIFS(Detail!$AW:$AW,Detail!$G:$G,'Rates-Service Fees'!AKH$23,Detail!$H:$H,'Rates-Service Fees'!AKH$14)*100</f>
        <v>0</v>
      </c>
      <c r="AKI35">
        <f>SUMIFS(Detail!$AW:$AW,Detail!$G:$G,'Rates-Service Fees'!AKI$23,Detail!$H:$H,'Rates-Service Fees'!AKI$14)*100</f>
        <v>0</v>
      </c>
      <c r="AKJ35">
        <f>SUMIFS(Detail!$AW:$AW,Detail!$G:$G,'Rates-Service Fees'!AKJ$23,Detail!$H:$H,'Rates-Service Fees'!AKJ$14)*100</f>
        <v>0</v>
      </c>
      <c r="AKK35">
        <f>SUMIFS(Detail!$AW:$AW,Detail!$G:$G,'Rates-Service Fees'!AKK$23,Detail!$H:$H,'Rates-Service Fees'!AKK$14)*100</f>
        <v>0</v>
      </c>
      <c r="AKL35">
        <f>SUMIFS(Detail!$AW:$AW,Detail!$G:$G,'Rates-Service Fees'!AKL$23,Detail!$H:$H,'Rates-Service Fees'!AKL$14)*100</f>
        <v>0</v>
      </c>
      <c r="AKM35">
        <f>SUMIFS(Detail!$AW:$AW,Detail!$G:$G,'Rates-Service Fees'!AKM$23,Detail!$H:$H,'Rates-Service Fees'!AKM$14)*100</f>
        <v>0</v>
      </c>
      <c r="AKN35">
        <f>SUMIFS(Detail!$AW:$AW,Detail!$G:$G,'Rates-Service Fees'!AKN$23,Detail!$H:$H,'Rates-Service Fees'!AKN$14)*100</f>
        <v>0</v>
      </c>
      <c r="AKO35">
        <f>SUMIFS(Detail!$AW:$AW,Detail!$G:$G,'Rates-Service Fees'!AKO$23,Detail!$H:$H,'Rates-Service Fees'!AKO$14)*100</f>
        <v>0</v>
      </c>
      <c r="AKP35">
        <f>SUMIFS(Detail!$AW:$AW,Detail!$G:$G,'Rates-Service Fees'!AKP$23,Detail!$H:$H,'Rates-Service Fees'!AKP$14)*100</f>
        <v>0</v>
      </c>
      <c r="AKQ35">
        <f>SUMIFS(Detail!$AW:$AW,Detail!$G:$G,'Rates-Service Fees'!AKQ$23,Detail!$H:$H,'Rates-Service Fees'!AKQ$14)*100</f>
        <v>0</v>
      </c>
      <c r="AKR35">
        <f>SUMIFS(Detail!$AW:$AW,Detail!$G:$G,'Rates-Service Fees'!AKR$23,Detail!$H:$H,'Rates-Service Fees'!AKR$14)*100</f>
        <v>0</v>
      </c>
      <c r="AKS35">
        <f>SUMIFS(Detail!$AW:$AW,Detail!$G:$G,'Rates-Service Fees'!AKS$23,Detail!$H:$H,'Rates-Service Fees'!AKS$14)*100</f>
        <v>0</v>
      </c>
      <c r="AKT35">
        <f>SUMIFS(Detail!$AW:$AW,Detail!$G:$G,'Rates-Service Fees'!AKT$23,Detail!$H:$H,'Rates-Service Fees'!AKT$14)*100</f>
        <v>0</v>
      </c>
      <c r="AKU35">
        <f>SUMIFS(Detail!$AW:$AW,Detail!$G:$G,'Rates-Service Fees'!AKU$23,Detail!$H:$H,'Rates-Service Fees'!AKU$14)*100</f>
        <v>0</v>
      </c>
      <c r="AKV35">
        <f>SUMIFS(Detail!$AW:$AW,Detail!$G:$G,'Rates-Service Fees'!AKV$23,Detail!$H:$H,'Rates-Service Fees'!AKV$14)*100</f>
        <v>0</v>
      </c>
      <c r="AKW35">
        <f>SUMIFS(Detail!$AW:$AW,Detail!$G:$G,'Rates-Service Fees'!AKW$23,Detail!$H:$H,'Rates-Service Fees'!AKW$14)*100</f>
        <v>0</v>
      </c>
      <c r="AKX35">
        <f>SUMIFS(Detail!$AW:$AW,Detail!$G:$G,'Rates-Service Fees'!AKX$23,Detail!$H:$H,'Rates-Service Fees'!AKX$14)*100</f>
        <v>0</v>
      </c>
      <c r="AKY35">
        <f>SUMIFS(Detail!$AW:$AW,Detail!$G:$G,'Rates-Service Fees'!AKY$23,Detail!$H:$H,'Rates-Service Fees'!AKY$14)*100</f>
        <v>0</v>
      </c>
      <c r="AKZ35">
        <f>SUMIFS(Detail!$AW:$AW,Detail!$G:$G,'Rates-Service Fees'!AKZ$23,Detail!$H:$H,'Rates-Service Fees'!AKZ$14)*100</f>
        <v>0</v>
      </c>
      <c r="ALA35">
        <f>SUMIFS(Detail!$AW:$AW,Detail!$G:$G,'Rates-Service Fees'!ALA$23,Detail!$H:$H,'Rates-Service Fees'!ALA$14)*100</f>
        <v>0</v>
      </c>
      <c r="ALB35">
        <f>SUMIFS(Detail!$AW:$AW,Detail!$G:$G,'Rates-Service Fees'!ALB$23,Detail!$H:$H,'Rates-Service Fees'!ALB$14)*100</f>
        <v>0</v>
      </c>
      <c r="ALC35">
        <f>SUMIFS(Detail!$AW:$AW,Detail!$G:$G,'Rates-Service Fees'!ALC$23,Detail!$H:$H,'Rates-Service Fees'!ALC$14)*100</f>
        <v>0</v>
      </c>
      <c r="ALD35">
        <f>SUMIFS(Detail!$AW:$AW,Detail!$G:$G,'Rates-Service Fees'!ALD$23,Detail!$H:$H,'Rates-Service Fees'!ALD$14)*100</f>
        <v>0</v>
      </c>
      <c r="ALE35">
        <f>SUMIFS(Detail!$AW:$AW,Detail!$G:$G,'Rates-Service Fees'!ALE$23,Detail!$H:$H,'Rates-Service Fees'!ALE$14)*100</f>
        <v>0</v>
      </c>
      <c r="ALF35">
        <f>SUMIFS(Detail!$AW:$AW,Detail!$G:$G,'Rates-Service Fees'!ALF$23,Detail!$H:$H,'Rates-Service Fees'!ALF$14)*100</f>
        <v>0</v>
      </c>
      <c r="ALG35">
        <f>SUMIFS(Detail!$AW:$AW,Detail!$G:$G,'Rates-Service Fees'!ALG$23,Detail!$H:$H,'Rates-Service Fees'!ALG$14)*100</f>
        <v>0</v>
      </c>
      <c r="ALH35">
        <f>SUMIFS(Detail!$AW:$AW,Detail!$G:$G,'Rates-Service Fees'!ALH$23,Detail!$H:$H,'Rates-Service Fees'!ALH$14)*100</f>
        <v>0</v>
      </c>
      <c r="ALI35">
        <f>SUMIFS(Detail!$AW:$AW,Detail!$G:$G,'Rates-Service Fees'!ALI$23,Detail!$H:$H,'Rates-Service Fees'!ALI$14)*100</f>
        <v>0</v>
      </c>
      <c r="ALJ35">
        <f>SUMIFS(Detail!$AW:$AW,Detail!$G:$G,'Rates-Service Fees'!ALJ$23,Detail!$H:$H,'Rates-Service Fees'!ALJ$14)*100</f>
        <v>0</v>
      </c>
      <c r="ALK35">
        <f>SUMIFS(Detail!$AW:$AW,Detail!$G:$G,'Rates-Service Fees'!ALK$23,Detail!$H:$H,'Rates-Service Fees'!ALK$14)*100</f>
        <v>0</v>
      </c>
      <c r="ALL35">
        <f>SUMIFS(Detail!$AW:$AW,Detail!$G:$G,'Rates-Service Fees'!ALL$23,Detail!$H:$H,'Rates-Service Fees'!ALL$14)*100</f>
        <v>0</v>
      </c>
      <c r="ALM35">
        <f>SUMIFS(Detail!$AW:$AW,Detail!$G:$G,'Rates-Service Fees'!ALM$23,Detail!$H:$H,'Rates-Service Fees'!ALM$14)*100</f>
        <v>0</v>
      </c>
    </row>
    <row r="36" spans="1:1001">
      <c r="A36" s="26"/>
      <c r="B36">
        <f>B17</f>
        <v>0</v>
      </c>
      <c r="C36">
        <f t="shared" ref="C36:BN36" si="62">C17</f>
        <v>0</v>
      </c>
      <c r="D36">
        <f t="shared" si="62"/>
        <v>0</v>
      </c>
      <c r="E36">
        <f t="shared" si="62"/>
        <v>0</v>
      </c>
      <c r="F36">
        <f t="shared" si="62"/>
        <v>0</v>
      </c>
      <c r="G36">
        <f t="shared" si="62"/>
        <v>0</v>
      </c>
      <c r="H36">
        <f t="shared" si="62"/>
        <v>0</v>
      </c>
      <c r="I36">
        <f t="shared" si="62"/>
        <v>0</v>
      </c>
      <c r="J36">
        <f t="shared" si="62"/>
        <v>0</v>
      </c>
      <c r="K36">
        <f t="shared" si="62"/>
        <v>0</v>
      </c>
      <c r="L36">
        <f t="shared" si="62"/>
        <v>0</v>
      </c>
      <c r="M36">
        <f t="shared" si="62"/>
        <v>0</v>
      </c>
      <c r="N36">
        <f t="shared" si="62"/>
        <v>0</v>
      </c>
      <c r="O36">
        <f t="shared" si="62"/>
        <v>0</v>
      </c>
      <c r="P36">
        <f t="shared" si="62"/>
        <v>0</v>
      </c>
      <c r="Q36">
        <f t="shared" si="62"/>
        <v>0</v>
      </c>
      <c r="R36">
        <f t="shared" si="62"/>
        <v>0</v>
      </c>
      <c r="S36">
        <f t="shared" si="62"/>
        <v>0</v>
      </c>
      <c r="T36">
        <f t="shared" si="62"/>
        <v>0</v>
      </c>
      <c r="U36">
        <f t="shared" si="62"/>
        <v>0</v>
      </c>
      <c r="V36">
        <f t="shared" si="62"/>
        <v>0</v>
      </c>
      <c r="W36">
        <f t="shared" si="62"/>
        <v>0</v>
      </c>
      <c r="X36">
        <f t="shared" si="62"/>
        <v>0</v>
      </c>
      <c r="Y36">
        <f t="shared" si="62"/>
        <v>0</v>
      </c>
      <c r="Z36">
        <f t="shared" si="62"/>
        <v>0</v>
      </c>
      <c r="AA36">
        <f t="shared" si="62"/>
        <v>0</v>
      </c>
      <c r="AB36">
        <f t="shared" si="62"/>
        <v>0</v>
      </c>
      <c r="AC36">
        <f t="shared" si="62"/>
        <v>0</v>
      </c>
      <c r="AD36">
        <f t="shared" si="62"/>
        <v>0</v>
      </c>
      <c r="AE36">
        <f t="shared" si="62"/>
        <v>0</v>
      </c>
      <c r="AF36">
        <f t="shared" si="62"/>
        <v>0</v>
      </c>
      <c r="AG36">
        <f t="shared" si="62"/>
        <v>0</v>
      </c>
      <c r="AH36">
        <f t="shared" si="62"/>
        <v>0</v>
      </c>
      <c r="AI36">
        <f t="shared" si="62"/>
        <v>0</v>
      </c>
      <c r="AJ36">
        <f t="shared" si="62"/>
        <v>0</v>
      </c>
      <c r="AK36">
        <f t="shared" si="62"/>
        <v>0</v>
      </c>
      <c r="AL36">
        <f t="shared" si="62"/>
        <v>0</v>
      </c>
      <c r="AM36">
        <f t="shared" si="62"/>
        <v>0</v>
      </c>
      <c r="AN36">
        <f t="shared" si="62"/>
        <v>0</v>
      </c>
      <c r="AO36">
        <f t="shared" si="62"/>
        <v>0</v>
      </c>
      <c r="AP36">
        <f t="shared" si="62"/>
        <v>0</v>
      </c>
      <c r="AQ36">
        <f t="shared" si="62"/>
        <v>0</v>
      </c>
      <c r="AR36">
        <f t="shared" si="62"/>
        <v>0</v>
      </c>
      <c r="AS36">
        <f>AS17</f>
        <v>0</v>
      </c>
      <c r="AT36">
        <f t="shared" si="62"/>
        <v>0</v>
      </c>
      <c r="AU36">
        <f t="shared" si="62"/>
        <v>0</v>
      </c>
      <c r="AV36">
        <f t="shared" si="62"/>
        <v>0</v>
      </c>
      <c r="AW36">
        <f t="shared" si="62"/>
        <v>0</v>
      </c>
      <c r="AX36">
        <f t="shared" si="62"/>
        <v>0</v>
      </c>
      <c r="AY36">
        <f t="shared" si="62"/>
        <v>0</v>
      </c>
      <c r="AZ36">
        <f t="shared" si="62"/>
        <v>0</v>
      </c>
      <c r="BA36">
        <f t="shared" si="62"/>
        <v>0</v>
      </c>
      <c r="BB36">
        <f t="shared" si="62"/>
        <v>0</v>
      </c>
      <c r="BC36">
        <f t="shared" si="62"/>
        <v>0</v>
      </c>
      <c r="BD36">
        <f t="shared" si="62"/>
        <v>0</v>
      </c>
      <c r="BE36">
        <f t="shared" si="62"/>
        <v>0</v>
      </c>
      <c r="BF36">
        <f t="shared" si="62"/>
        <v>0</v>
      </c>
      <c r="BG36">
        <f t="shared" si="62"/>
        <v>0</v>
      </c>
      <c r="BH36">
        <f t="shared" si="62"/>
        <v>0</v>
      </c>
      <c r="BI36">
        <f t="shared" si="62"/>
        <v>0</v>
      </c>
      <c r="BJ36">
        <f t="shared" si="62"/>
        <v>0</v>
      </c>
      <c r="BK36">
        <f t="shared" si="62"/>
        <v>0</v>
      </c>
      <c r="BL36">
        <f t="shared" si="62"/>
        <v>0</v>
      </c>
      <c r="BM36">
        <f t="shared" si="62"/>
        <v>0</v>
      </c>
      <c r="BN36">
        <f t="shared" si="62"/>
        <v>0</v>
      </c>
      <c r="BO36">
        <f t="shared" ref="BO36:DZ36" si="63">BO17</f>
        <v>0</v>
      </c>
      <c r="BP36">
        <f t="shared" si="63"/>
        <v>0</v>
      </c>
      <c r="BQ36">
        <f t="shared" si="63"/>
        <v>0</v>
      </c>
      <c r="BR36">
        <f t="shared" si="63"/>
        <v>0</v>
      </c>
      <c r="BS36">
        <f t="shared" si="63"/>
        <v>0</v>
      </c>
      <c r="BT36">
        <f t="shared" si="63"/>
        <v>0</v>
      </c>
      <c r="BU36">
        <f t="shared" si="63"/>
        <v>0</v>
      </c>
      <c r="BV36">
        <f t="shared" si="63"/>
        <v>0</v>
      </c>
      <c r="BW36">
        <f t="shared" si="63"/>
        <v>0</v>
      </c>
      <c r="BX36">
        <f t="shared" si="63"/>
        <v>0</v>
      </c>
      <c r="BY36">
        <f t="shared" si="63"/>
        <v>0</v>
      </c>
      <c r="BZ36">
        <f t="shared" si="63"/>
        <v>0</v>
      </c>
      <c r="CA36">
        <f t="shared" si="63"/>
        <v>0</v>
      </c>
      <c r="CB36">
        <f t="shared" si="63"/>
        <v>0</v>
      </c>
      <c r="CC36">
        <f t="shared" si="63"/>
        <v>0</v>
      </c>
      <c r="CD36">
        <f t="shared" si="63"/>
        <v>0</v>
      </c>
      <c r="CE36">
        <f t="shared" si="63"/>
        <v>0</v>
      </c>
      <c r="CF36">
        <f t="shared" si="63"/>
        <v>0</v>
      </c>
      <c r="CG36">
        <f t="shared" si="63"/>
        <v>0</v>
      </c>
      <c r="CH36">
        <f t="shared" si="63"/>
        <v>0</v>
      </c>
      <c r="CI36">
        <f t="shared" si="63"/>
        <v>0</v>
      </c>
      <c r="CJ36">
        <f t="shared" si="63"/>
        <v>0</v>
      </c>
      <c r="CK36">
        <f t="shared" si="63"/>
        <v>0</v>
      </c>
      <c r="CL36">
        <f t="shared" si="63"/>
        <v>0</v>
      </c>
      <c r="CM36">
        <f t="shared" si="63"/>
        <v>0</v>
      </c>
      <c r="CN36">
        <f t="shared" si="63"/>
        <v>0</v>
      </c>
      <c r="CO36">
        <f t="shared" si="63"/>
        <v>0</v>
      </c>
      <c r="CP36">
        <f t="shared" si="63"/>
        <v>0</v>
      </c>
      <c r="CQ36">
        <f t="shared" si="63"/>
        <v>0</v>
      </c>
      <c r="CR36">
        <f t="shared" si="63"/>
        <v>0</v>
      </c>
      <c r="CS36">
        <f t="shared" si="63"/>
        <v>0</v>
      </c>
      <c r="CT36">
        <f t="shared" si="63"/>
        <v>0</v>
      </c>
      <c r="CU36">
        <f t="shared" si="63"/>
        <v>0</v>
      </c>
      <c r="CV36">
        <f t="shared" si="63"/>
        <v>0</v>
      </c>
      <c r="CW36">
        <f t="shared" si="63"/>
        <v>0</v>
      </c>
      <c r="CX36">
        <f t="shared" si="63"/>
        <v>0</v>
      </c>
      <c r="CY36">
        <f t="shared" si="63"/>
        <v>0</v>
      </c>
      <c r="CZ36">
        <f t="shared" si="63"/>
        <v>0</v>
      </c>
      <c r="DA36">
        <f t="shared" si="63"/>
        <v>0</v>
      </c>
      <c r="DB36">
        <f t="shared" si="63"/>
        <v>0</v>
      </c>
      <c r="DC36">
        <f t="shared" si="63"/>
        <v>0</v>
      </c>
      <c r="DD36">
        <f t="shared" si="63"/>
        <v>0</v>
      </c>
      <c r="DE36">
        <f t="shared" si="63"/>
        <v>0</v>
      </c>
      <c r="DF36">
        <f t="shared" si="63"/>
        <v>0</v>
      </c>
      <c r="DG36">
        <f t="shared" si="63"/>
        <v>0</v>
      </c>
      <c r="DH36">
        <f t="shared" si="63"/>
        <v>0</v>
      </c>
      <c r="DI36">
        <f t="shared" si="63"/>
        <v>0</v>
      </c>
      <c r="DJ36">
        <f t="shared" si="63"/>
        <v>0</v>
      </c>
      <c r="DK36">
        <f t="shared" si="63"/>
        <v>0</v>
      </c>
      <c r="DL36">
        <f t="shared" si="63"/>
        <v>0</v>
      </c>
      <c r="DM36">
        <f t="shared" si="63"/>
        <v>0</v>
      </c>
      <c r="DN36">
        <f t="shared" si="63"/>
        <v>0</v>
      </c>
      <c r="DO36">
        <f t="shared" si="63"/>
        <v>0</v>
      </c>
      <c r="DP36">
        <f t="shared" si="63"/>
        <v>0</v>
      </c>
      <c r="DQ36">
        <f t="shared" si="63"/>
        <v>0</v>
      </c>
      <c r="DR36">
        <f t="shared" si="63"/>
        <v>0</v>
      </c>
      <c r="DS36">
        <f t="shared" si="63"/>
        <v>0</v>
      </c>
      <c r="DT36">
        <f t="shared" si="63"/>
        <v>0</v>
      </c>
      <c r="DU36">
        <f t="shared" si="63"/>
        <v>0</v>
      </c>
      <c r="DV36">
        <f t="shared" si="63"/>
        <v>0</v>
      </c>
      <c r="DW36">
        <f t="shared" si="63"/>
        <v>0</v>
      </c>
      <c r="DX36">
        <f t="shared" si="63"/>
        <v>0</v>
      </c>
      <c r="DY36">
        <f t="shared" si="63"/>
        <v>0</v>
      </c>
      <c r="DZ36">
        <f t="shared" si="63"/>
        <v>0</v>
      </c>
      <c r="EA36">
        <f t="shared" ref="EA36:GL36" si="64">EA17</f>
        <v>0</v>
      </c>
      <c r="EB36">
        <f t="shared" si="64"/>
        <v>0</v>
      </c>
      <c r="EC36">
        <f t="shared" si="64"/>
        <v>0</v>
      </c>
      <c r="ED36">
        <f t="shared" si="64"/>
        <v>0</v>
      </c>
      <c r="EE36">
        <f t="shared" si="64"/>
        <v>0</v>
      </c>
      <c r="EF36">
        <f t="shared" si="64"/>
        <v>0</v>
      </c>
      <c r="EG36">
        <f t="shared" si="64"/>
        <v>0</v>
      </c>
      <c r="EH36">
        <f t="shared" si="64"/>
        <v>0</v>
      </c>
      <c r="EI36">
        <f t="shared" si="64"/>
        <v>0</v>
      </c>
      <c r="EJ36">
        <f t="shared" si="64"/>
        <v>0</v>
      </c>
      <c r="EK36">
        <f t="shared" si="64"/>
        <v>0</v>
      </c>
      <c r="EL36">
        <f t="shared" si="64"/>
        <v>0</v>
      </c>
      <c r="EM36">
        <f t="shared" si="64"/>
        <v>0</v>
      </c>
      <c r="EN36">
        <f t="shared" si="64"/>
        <v>0</v>
      </c>
      <c r="EO36">
        <f t="shared" si="64"/>
        <v>0</v>
      </c>
      <c r="EP36">
        <f t="shared" si="64"/>
        <v>0</v>
      </c>
      <c r="EQ36">
        <f t="shared" si="64"/>
        <v>0</v>
      </c>
      <c r="ER36">
        <f t="shared" si="64"/>
        <v>0</v>
      </c>
      <c r="ES36">
        <f t="shared" si="64"/>
        <v>0</v>
      </c>
      <c r="ET36">
        <f t="shared" si="64"/>
        <v>0</v>
      </c>
      <c r="EU36">
        <f t="shared" si="64"/>
        <v>0</v>
      </c>
      <c r="EV36">
        <f t="shared" si="64"/>
        <v>0</v>
      </c>
      <c r="EW36">
        <f t="shared" si="64"/>
        <v>0</v>
      </c>
      <c r="EX36">
        <f t="shared" si="64"/>
        <v>0</v>
      </c>
      <c r="EY36">
        <f t="shared" si="64"/>
        <v>0</v>
      </c>
      <c r="EZ36">
        <f t="shared" si="64"/>
        <v>0</v>
      </c>
      <c r="FA36">
        <f t="shared" si="64"/>
        <v>0</v>
      </c>
      <c r="FB36">
        <f t="shared" si="64"/>
        <v>0</v>
      </c>
      <c r="FC36">
        <f t="shared" si="64"/>
        <v>0</v>
      </c>
      <c r="FD36">
        <f t="shared" si="64"/>
        <v>0</v>
      </c>
      <c r="FE36">
        <f t="shared" si="64"/>
        <v>0</v>
      </c>
      <c r="FF36">
        <f t="shared" si="64"/>
        <v>0</v>
      </c>
      <c r="FG36">
        <f t="shared" si="64"/>
        <v>0</v>
      </c>
      <c r="FH36">
        <f t="shared" si="64"/>
        <v>0</v>
      </c>
      <c r="FI36">
        <f t="shared" si="64"/>
        <v>0</v>
      </c>
      <c r="FJ36">
        <f t="shared" si="64"/>
        <v>0</v>
      </c>
      <c r="FK36">
        <f t="shared" si="64"/>
        <v>0</v>
      </c>
      <c r="FL36">
        <f t="shared" si="64"/>
        <v>0</v>
      </c>
      <c r="FM36">
        <f t="shared" si="64"/>
        <v>0</v>
      </c>
      <c r="FN36">
        <f t="shared" si="64"/>
        <v>0</v>
      </c>
      <c r="FO36">
        <f t="shared" si="64"/>
        <v>0</v>
      </c>
      <c r="FP36">
        <f t="shared" si="64"/>
        <v>0</v>
      </c>
      <c r="FQ36">
        <f t="shared" si="64"/>
        <v>0</v>
      </c>
      <c r="FR36">
        <f t="shared" si="64"/>
        <v>0</v>
      </c>
      <c r="FS36">
        <f t="shared" si="64"/>
        <v>0</v>
      </c>
      <c r="FT36">
        <f t="shared" si="64"/>
        <v>0</v>
      </c>
      <c r="FU36">
        <f t="shared" si="64"/>
        <v>0</v>
      </c>
      <c r="FV36">
        <f t="shared" si="64"/>
        <v>0</v>
      </c>
      <c r="FW36">
        <f t="shared" si="64"/>
        <v>0</v>
      </c>
      <c r="FX36">
        <f t="shared" si="64"/>
        <v>0</v>
      </c>
      <c r="FY36">
        <f t="shared" si="64"/>
        <v>0</v>
      </c>
      <c r="FZ36">
        <f t="shared" si="64"/>
        <v>0</v>
      </c>
      <c r="GA36">
        <f t="shared" si="64"/>
        <v>0</v>
      </c>
      <c r="GB36">
        <f t="shared" si="64"/>
        <v>0</v>
      </c>
      <c r="GC36">
        <f t="shared" si="64"/>
        <v>0</v>
      </c>
      <c r="GD36">
        <f t="shared" si="64"/>
        <v>0</v>
      </c>
      <c r="GE36">
        <f t="shared" si="64"/>
        <v>0</v>
      </c>
      <c r="GF36">
        <f t="shared" si="64"/>
        <v>0</v>
      </c>
      <c r="GG36">
        <f t="shared" si="64"/>
        <v>0</v>
      </c>
      <c r="GH36">
        <f t="shared" si="64"/>
        <v>0</v>
      </c>
      <c r="GI36">
        <f t="shared" si="64"/>
        <v>0</v>
      </c>
      <c r="GJ36">
        <f t="shared" si="64"/>
        <v>0</v>
      </c>
      <c r="GK36">
        <f t="shared" si="64"/>
        <v>0</v>
      </c>
      <c r="GL36">
        <f t="shared" si="64"/>
        <v>0</v>
      </c>
      <c r="GM36">
        <f t="shared" ref="GM36:IX36" si="65">GM17</f>
        <v>0</v>
      </c>
      <c r="GN36">
        <f t="shared" si="65"/>
        <v>0</v>
      </c>
      <c r="GO36">
        <f t="shared" si="65"/>
        <v>0</v>
      </c>
      <c r="GP36">
        <f t="shared" si="65"/>
        <v>0</v>
      </c>
      <c r="GQ36">
        <f t="shared" si="65"/>
        <v>0</v>
      </c>
      <c r="GR36">
        <f t="shared" si="65"/>
        <v>0</v>
      </c>
      <c r="GS36">
        <f t="shared" si="65"/>
        <v>0</v>
      </c>
      <c r="GT36">
        <f t="shared" si="65"/>
        <v>0</v>
      </c>
      <c r="GU36">
        <f t="shared" si="65"/>
        <v>0</v>
      </c>
      <c r="GV36">
        <f t="shared" si="65"/>
        <v>0</v>
      </c>
      <c r="GW36">
        <f t="shared" si="65"/>
        <v>0</v>
      </c>
      <c r="GX36">
        <f t="shared" si="65"/>
        <v>0</v>
      </c>
      <c r="GY36">
        <f t="shared" si="65"/>
        <v>0</v>
      </c>
      <c r="GZ36">
        <f t="shared" si="65"/>
        <v>0</v>
      </c>
      <c r="HA36">
        <f t="shared" si="65"/>
        <v>0</v>
      </c>
      <c r="HB36">
        <f t="shared" si="65"/>
        <v>0</v>
      </c>
      <c r="HC36">
        <f t="shared" si="65"/>
        <v>0</v>
      </c>
      <c r="HD36">
        <f t="shared" si="65"/>
        <v>0</v>
      </c>
      <c r="HE36">
        <f t="shared" si="65"/>
        <v>0</v>
      </c>
      <c r="HF36">
        <f t="shared" si="65"/>
        <v>0</v>
      </c>
      <c r="HG36">
        <f t="shared" si="65"/>
        <v>0</v>
      </c>
      <c r="HH36">
        <f t="shared" si="65"/>
        <v>0</v>
      </c>
      <c r="HI36">
        <f t="shared" si="65"/>
        <v>0</v>
      </c>
      <c r="HJ36">
        <f t="shared" si="65"/>
        <v>0</v>
      </c>
      <c r="HK36">
        <f t="shared" si="65"/>
        <v>0</v>
      </c>
      <c r="HL36">
        <f t="shared" si="65"/>
        <v>0</v>
      </c>
      <c r="HM36">
        <f t="shared" si="65"/>
        <v>0</v>
      </c>
      <c r="HN36">
        <f t="shared" si="65"/>
        <v>0</v>
      </c>
      <c r="HO36">
        <f t="shared" si="65"/>
        <v>0</v>
      </c>
      <c r="HP36">
        <f t="shared" si="65"/>
        <v>0</v>
      </c>
      <c r="HQ36">
        <f t="shared" si="65"/>
        <v>0</v>
      </c>
      <c r="HR36">
        <f t="shared" si="65"/>
        <v>0</v>
      </c>
      <c r="HS36">
        <f t="shared" si="65"/>
        <v>0</v>
      </c>
      <c r="HT36">
        <f t="shared" si="65"/>
        <v>0</v>
      </c>
      <c r="HU36">
        <f t="shared" si="65"/>
        <v>0</v>
      </c>
      <c r="HV36">
        <f t="shared" si="65"/>
        <v>0</v>
      </c>
      <c r="HW36">
        <f t="shared" si="65"/>
        <v>0</v>
      </c>
      <c r="HX36">
        <f t="shared" si="65"/>
        <v>0</v>
      </c>
      <c r="HY36">
        <f t="shared" si="65"/>
        <v>0</v>
      </c>
      <c r="HZ36">
        <f t="shared" si="65"/>
        <v>0</v>
      </c>
      <c r="IA36">
        <f t="shared" si="65"/>
        <v>0</v>
      </c>
      <c r="IB36">
        <f t="shared" si="65"/>
        <v>0</v>
      </c>
      <c r="IC36">
        <f t="shared" si="65"/>
        <v>0</v>
      </c>
      <c r="ID36">
        <f t="shared" si="65"/>
        <v>0</v>
      </c>
      <c r="IE36">
        <f t="shared" si="65"/>
        <v>0</v>
      </c>
      <c r="IF36">
        <f t="shared" si="65"/>
        <v>0</v>
      </c>
      <c r="IG36">
        <f t="shared" si="65"/>
        <v>0</v>
      </c>
      <c r="IH36">
        <f t="shared" si="65"/>
        <v>0</v>
      </c>
      <c r="II36">
        <f t="shared" si="65"/>
        <v>0</v>
      </c>
      <c r="IJ36">
        <f t="shared" si="65"/>
        <v>0</v>
      </c>
      <c r="IK36">
        <f t="shared" si="65"/>
        <v>0</v>
      </c>
      <c r="IL36">
        <f t="shared" si="65"/>
        <v>0</v>
      </c>
      <c r="IM36">
        <f t="shared" si="65"/>
        <v>0</v>
      </c>
      <c r="IN36">
        <f t="shared" si="65"/>
        <v>0</v>
      </c>
      <c r="IO36">
        <f t="shared" si="65"/>
        <v>0</v>
      </c>
      <c r="IP36">
        <f t="shared" si="65"/>
        <v>0</v>
      </c>
      <c r="IQ36">
        <f t="shared" si="65"/>
        <v>0</v>
      </c>
      <c r="IR36">
        <f t="shared" si="65"/>
        <v>0</v>
      </c>
      <c r="IS36">
        <f t="shared" si="65"/>
        <v>0</v>
      </c>
      <c r="IT36">
        <f t="shared" si="65"/>
        <v>0</v>
      </c>
      <c r="IU36">
        <f t="shared" si="65"/>
        <v>0</v>
      </c>
      <c r="IV36">
        <f t="shared" si="65"/>
        <v>0</v>
      </c>
      <c r="IW36">
        <f t="shared" si="65"/>
        <v>0</v>
      </c>
      <c r="IX36">
        <f t="shared" si="65"/>
        <v>0</v>
      </c>
      <c r="IY36">
        <f t="shared" ref="IY36:LJ36" si="66">IY17</f>
        <v>0</v>
      </c>
      <c r="IZ36">
        <f t="shared" si="66"/>
        <v>0</v>
      </c>
      <c r="JA36">
        <f t="shared" si="66"/>
        <v>0</v>
      </c>
      <c r="JB36">
        <f t="shared" si="66"/>
        <v>0</v>
      </c>
      <c r="JC36">
        <f t="shared" si="66"/>
        <v>0</v>
      </c>
      <c r="JD36">
        <f t="shared" si="66"/>
        <v>0</v>
      </c>
      <c r="JE36">
        <f t="shared" si="66"/>
        <v>0</v>
      </c>
      <c r="JF36">
        <f t="shared" si="66"/>
        <v>0</v>
      </c>
      <c r="JG36">
        <f t="shared" si="66"/>
        <v>0</v>
      </c>
      <c r="JH36">
        <f t="shared" si="66"/>
        <v>0</v>
      </c>
      <c r="JI36">
        <f t="shared" si="66"/>
        <v>0</v>
      </c>
      <c r="JJ36">
        <f t="shared" si="66"/>
        <v>0</v>
      </c>
      <c r="JK36">
        <f t="shared" si="66"/>
        <v>0</v>
      </c>
      <c r="JL36">
        <f t="shared" si="66"/>
        <v>0</v>
      </c>
      <c r="JM36">
        <f t="shared" si="66"/>
        <v>0</v>
      </c>
      <c r="JN36">
        <f t="shared" si="66"/>
        <v>0</v>
      </c>
      <c r="JO36">
        <f t="shared" si="66"/>
        <v>0</v>
      </c>
      <c r="JP36">
        <f t="shared" si="66"/>
        <v>0</v>
      </c>
      <c r="JQ36">
        <f t="shared" si="66"/>
        <v>0</v>
      </c>
      <c r="JR36">
        <f t="shared" si="66"/>
        <v>0</v>
      </c>
      <c r="JS36">
        <f t="shared" si="66"/>
        <v>0</v>
      </c>
      <c r="JT36">
        <f t="shared" si="66"/>
        <v>0</v>
      </c>
      <c r="JU36">
        <f t="shared" si="66"/>
        <v>0</v>
      </c>
      <c r="JV36">
        <f t="shared" si="66"/>
        <v>0</v>
      </c>
      <c r="JW36">
        <f t="shared" si="66"/>
        <v>0</v>
      </c>
      <c r="JX36">
        <f t="shared" si="66"/>
        <v>0</v>
      </c>
      <c r="JY36">
        <f t="shared" si="66"/>
        <v>0</v>
      </c>
      <c r="JZ36">
        <f t="shared" si="66"/>
        <v>0</v>
      </c>
      <c r="KA36">
        <f t="shared" si="66"/>
        <v>0</v>
      </c>
      <c r="KB36">
        <f t="shared" si="66"/>
        <v>0</v>
      </c>
      <c r="KC36">
        <f t="shared" si="66"/>
        <v>0</v>
      </c>
      <c r="KD36">
        <f t="shared" si="66"/>
        <v>0</v>
      </c>
      <c r="KE36">
        <f t="shared" si="66"/>
        <v>0</v>
      </c>
      <c r="KF36">
        <f t="shared" si="66"/>
        <v>0</v>
      </c>
      <c r="KG36">
        <f t="shared" si="66"/>
        <v>0</v>
      </c>
      <c r="KH36">
        <f t="shared" si="66"/>
        <v>0</v>
      </c>
      <c r="KI36">
        <f t="shared" si="66"/>
        <v>0</v>
      </c>
      <c r="KJ36">
        <f t="shared" si="66"/>
        <v>0</v>
      </c>
      <c r="KK36">
        <f t="shared" si="66"/>
        <v>0</v>
      </c>
      <c r="KL36">
        <f t="shared" si="66"/>
        <v>0</v>
      </c>
      <c r="KM36">
        <f t="shared" si="66"/>
        <v>0</v>
      </c>
      <c r="KN36">
        <f t="shared" si="66"/>
        <v>0</v>
      </c>
      <c r="KO36">
        <f t="shared" si="66"/>
        <v>0</v>
      </c>
      <c r="KP36">
        <f t="shared" si="66"/>
        <v>0</v>
      </c>
      <c r="KQ36">
        <f t="shared" si="66"/>
        <v>0</v>
      </c>
      <c r="KR36">
        <f t="shared" si="66"/>
        <v>0</v>
      </c>
      <c r="KS36">
        <f t="shared" si="66"/>
        <v>0</v>
      </c>
      <c r="KT36">
        <f t="shared" si="66"/>
        <v>0</v>
      </c>
      <c r="KU36">
        <f t="shared" si="66"/>
        <v>0</v>
      </c>
      <c r="KV36">
        <f t="shared" si="66"/>
        <v>0</v>
      </c>
      <c r="KW36">
        <f t="shared" si="66"/>
        <v>0</v>
      </c>
      <c r="KX36">
        <f t="shared" si="66"/>
        <v>0</v>
      </c>
      <c r="KY36">
        <f t="shared" si="66"/>
        <v>0</v>
      </c>
      <c r="KZ36">
        <f t="shared" si="66"/>
        <v>0</v>
      </c>
      <c r="LA36">
        <f t="shared" si="66"/>
        <v>0</v>
      </c>
      <c r="LB36">
        <f t="shared" si="66"/>
        <v>0</v>
      </c>
      <c r="LC36">
        <f t="shared" si="66"/>
        <v>0</v>
      </c>
      <c r="LD36">
        <f t="shared" si="66"/>
        <v>0</v>
      </c>
      <c r="LE36">
        <f t="shared" si="66"/>
        <v>0</v>
      </c>
      <c r="LF36">
        <f t="shared" si="66"/>
        <v>0</v>
      </c>
      <c r="LG36">
        <f t="shared" si="66"/>
        <v>0</v>
      </c>
      <c r="LH36">
        <f t="shared" si="66"/>
        <v>0</v>
      </c>
      <c r="LI36">
        <f t="shared" si="66"/>
        <v>0</v>
      </c>
      <c r="LJ36">
        <f t="shared" si="66"/>
        <v>0</v>
      </c>
      <c r="LK36">
        <f t="shared" ref="LK36:NV36" si="67">LK17</f>
        <v>0</v>
      </c>
      <c r="LL36">
        <f t="shared" si="67"/>
        <v>0</v>
      </c>
      <c r="LM36">
        <f t="shared" si="67"/>
        <v>0</v>
      </c>
      <c r="LN36">
        <f t="shared" si="67"/>
        <v>0</v>
      </c>
      <c r="LO36">
        <f t="shared" si="67"/>
        <v>0</v>
      </c>
      <c r="LP36">
        <f t="shared" si="67"/>
        <v>0</v>
      </c>
      <c r="LQ36">
        <f t="shared" si="67"/>
        <v>0</v>
      </c>
      <c r="LR36">
        <f t="shared" si="67"/>
        <v>0</v>
      </c>
      <c r="LS36">
        <f t="shared" si="67"/>
        <v>0</v>
      </c>
      <c r="LT36">
        <f t="shared" si="67"/>
        <v>0</v>
      </c>
      <c r="LU36">
        <f t="shared" si="67"/>
        <v>0</v>
      </c>
      <c r="LV36">
        <f t="shared" si="67"/>
        <v>0</v>
      </c>
      <c r="LW36">
        <f t="shared" si="67"/>
        <v>0</v>
      </c>
      <c r="LX36">
        <f t="shared" si="67"/>
        <v>0</v>
      </c>
      <c r="LY36">
        <f t="shared" si="67"/>
        <v>0</v>
      </c>
      <c r="LZ36">
        <f t="shared" si="67"/>
        <v>0</v>
      </c>
      <c r="MA36">
        <f t="shared" si="67"/>
        <v>0</v>
      </c>
      <c r="MB36">
        <f t="shared" si="67"/>
        <v>0</v>
      </c>
      <c r="MC36">
        <f t="shared" si="67"/>
        <v>0</v>
      </c>
      <c r="MD36">
        <f t="shared" si="67"/>
        <v>0</v>
      </c>
      <c r="ME36">
        <f t="shared" si="67"/>
        <v>0</v>
      </c>
      <c r="MF36">
        <f t="shared" si="67"/>
        <v>0</v>
      </c>
      <c r="MG36">
        <f t="shared" si="67"/>
        <v>0</v>
      </c>
      <c r="MH36">
        <f t="shared" si="67"/>
        <v>0</v>
      </c>
      <c r="MI36">
        <f t="shared" si="67"/>
        <v>0</v>
      </c>
      <c r="MJ36">
        <f t="shared" si="67"/>
        <v>0</v>
      </c>
      <c r="MK36">
        <f t="shared" si="67"/>
        <v>0</v>
      </c>
      <c r="ML36">
        <f t="shared" si="67"/>
        <v>0</v>
      </c>
      <c r="MM36">
        <f t="shared" si="67"/>
        <v>0</v>
      </c>
      <c r="MN36">
        <f t="shared" si="67"/>
        <v>0</v>
      </c>
      <c r="MO36">
        <f t="shared" si="67"/>
        <v>0</v>
      </c>
      <c r="MP36">
        <f t="shared" si="67"/>
        <v>0</v>
      </c>
      <c r="MQ36">
        <f t="shared" si="67"/>
        <v>0</v>
      </c>
      <c r="MR36">
        <f t="shared" si="67"/>
        <v>0</v>
      </c>
      <c r="MS36">
        <f t="shared" si="67"/>
        <v>0</v>
      </c>
      <c r="MT36">
        <f t="shared" si="67"/>
        <v>0</v>
      </c>
      <c r="MU36">
        <f t="shared" si="67"/>
        <v>0</v>
      </c>
      <c r="MV36">
        <f t="shared" si="67"/>
        <v>0</v>
      </c>
      <c r="MW36">
        <f t="shared" si="67"/>
        <v>0</v>
      </c>
      <c r="MX36">
        <f t="shared" si="67"/>
        <v>0</v>
      </c>
      <c r="MY36">
        <f t="shared" si="67"/>
        <v>0</v>
      </c>
      <c r="MZ36">
        <f t="shared" si="67"/>
        <v>0</v>
      </c>
      <c r="NA36">
        <f t="shared" si="67"/>
        <v>0</v>
      </c>
      <c r="NB36">
        <f t="shared" si="67"/>
        <v>0</v>
      </c>
      <c r="NC36">
        <f t="shared" si="67"/>
        <v>0</v>
      </c>
      <c r="ND36">
        <f t="shared" si="67"/>
        <v>0</v>
      </c>
      <c r="NE36">
        <f t="shared" si="67"/>
        <v>0</v>
      </c>
      <c r="NF36">
        <f t="shared" si="67"/>
        <v>0</v>
      </c>
      <c r="NG36">
        <f t="shared" si="67"/>
        <v>0</v>
      </c>
      <c r="NH36">
        <f t="shared" si="67"/>
        <v>0</v>
      </c>
      <c r="NI36">
        <f t="shared" si="67"/>
        <v>0</v>
      </c>
      <c r="NJ36">
        <f t="shared" si="67"/>
        <v>0</v>
      </c>
      <c r="NK36">
        <f t="shared" si="67"/>
        <v>0</v>
      </c>
      <c r="NL36">
        <f t="shared" si="67"/>
        <v>0</v>
      </c>
      <c r="NM36">
        <f t="shared" si="67"/>
        <v>0</v>
      </c>
      <c r="NN36">
        <f t="shared" si="67"/>
        <v>0</v>
      </c>
      <c r="NO36">
        <f t="shared" si="67"/>
        <v>0</v>
      </c>
      <c r="NP36">
        <f t="shared" si="67"/>
        <v>0</v>
      </c>
      <c r="NQ36">
        <f t="shared" si="67"/>
        <v>0</v>
      </c>
      <c r="NR36">
        <f t="shared" si="67"/>
        <v>0</v>
      </c>
      <c r="NS36">
        <f t="shared" si="67"/>
        <v>0</v>
      </c>
      <c r="NT36">
        <f t="shared" si="67"/>
        <v>0</v>
      </c>
      <c r="NU36">
        <f t="shared" si="67"/>
        <v>0</v>
      </c>
      <c r="NV36">
        <f t="shared" si="67"/>
        <v>0</v>
      </c>
      <c r="NW36">
        <f t="shared" ref="NW36:QH36" si="68">NW17</f>
        <v>0</v>
      </c>
      <c r="NX36">
        <f t="shared" si="68"/>
        <v>0</v>
      </c>
      <c r="NY36">
        <f t="shared" si="68"/>
        <v>0</v>
      </c>
      <c r="NZ36">
        <f t="shared" si="68"/>
        <v>0</v>
      </c>
      <c r="OA36">
        <f t="shared" si="68"/>
        <v>0</v>
      </c>
      <c r="OB36">
        <f t="shared" si="68"/>
        <v>0</v>
      </c>
      <c r="OC36">
        <f t="shared" si="68"/>
        <v>0</v>
      </c>
      <c r="OD36">
        <f t="shared" si="68"/>
        <v>0</v>
      </c>
      <c r="OE36">
        <f t="shared" si="68"/>
        <v>0</v>
      </c>
      <c r="OF36">
        <f t="shared" si="68"/>
        <v>0</v>
      </c>
      <c r="OG36">
        <f t="shared" si="68"/>
        <v>0</v>
      </c>
      <c r="OH36">
        <f t="shared" si="68"/>
        <v>0</v>
      </c>
      <c r="OI36">
        <f t="shared" si="68"/>
        <v>0</v>
      </c>
      <c r="OJ36">
        <f t="shared" si="68"/>
        <v>0</v>
      </c>
      <c r="OK36">
        <f t="shared" si="68"/>
        <v>0</v>
      </c>
      <c r="OL36">
        <f t="shared" si="68"/>
        <v>0</v>
      </c>
      <c r="OM36">
        <f t="shared" si="68"/>
        <v>0</v>
      </c>
      <c r="ON36">
        <f t="shared" si="68"/>
        <v>0</v>
      </c>
      <c r="OO36">
        <f t="shared" si="68"/>
        <v>0</v>
      </c>
      <c r="OP36">
        <f t="shared" si="68"/>
        <v>0</v>
      </c>
      <c r="OQ36">
        <f t="shared" si="68"/>
        <v>0</v>
      </c>
      <c r="OR36">
        <f t="shared" si="68"/>
        <v>0</v>
      </c>
      <c r="OS36">
        <f t="shared" si="68"/>
        <v>0</v>
      </c>
      <c r="OT36">
        <f t="shared" si="68"/>
        <v>0</v>
      </c>
      <c r="OU36">
        <f t="shared" si="68"/>
        <v>0</v>
      </c>
      <c r="OV36">
        <f t="shared" si="68"/>
        <v>0</v>
      </c>
      <c r="OW36">
        <f t="shared" si="68"/>
        <v>0</v>
      </c>
      <c r="OX36">
        <f t="shared" si="68"/>
        <v>0</v>
      </c>
      <c r="OY36">
        <f t="shared" si="68"/>
        <v>0</v>
      </c>
      <c r="OZ36">
        <f t="shared" si="68"/>
        <v>0</v>
      </c>
      <c r="PA36">
        <f t="shared" si="68"/>
        <v>0</v>
      </c>
      <c r="PB36">
        <f t="shared" si="68"/>
        <v>0</v>
      </c>
      <c r="PC36">
        <f t="shared" si="68"/>
        <v>0</v>
      </c>
      <c r="PD36">
        <f t="shared" si="68"/>
        <v>0</v>
      </c>
      <c r="PE36">
        <f t="shared" si="68"/>
        <v>0</v>
      </c>
      <c r="PF36">
        <f t="shared" si="68"/>
        <v>0</v>
      </c>
      <c r="PG36">
        <f t="shared" si="68"/>
        <v>0</v>
      </c>
      <c r="PH36">
        <f t="shared" si="68"/>
        <v>0</v>
      </c>
      <c r="PI36">
        <f t="shared" si="68"/>
        <v>0</v>
      </c>
      <c r="PJ36">
        <f t="shared" si="68"/>
        <v>0</v>
      </c>
      <c r="PK36">
        <f t="shared" si="68"/>
        <v>0</v>
      </c>
      <c r="PL36">
        <f t="shared" si="68"/>
        <v>0</v>
      </c>
      <c r="PM36">
        <f t="shared" si="68"/>
        <v>0</v>
      </c>
      <c r="PN36">
        <f t="shared" si="68"/>
        <v>0</v>
      </c>
      <c r="PO36">
        <f t="shared" si="68"/>
        <v>0</v>
      </c>
      <c r="PP36">
        <f t="shared" si="68"/>
        <v>0</v>
      </c>
      <c r="PQ36">
        <f t="shared" si="68"/>
        <v>0</v>
      </c>
      <c r="PR36">
        <f t="shared" si="68"/>
        <v>0</v>
      </c>
      <c r="PS36">
        <f t="shared" si="68"/>
        <v>0</v>
      </c>
      <c r="PT36">
        <f t="shared" si="68"/>
        <v>0</v>
      </c>
      <c r="PU36">
        <f t="shared" si="68"/>
        <v>0</v>
      </c>
      <c r="PV36">
        <f t="shared" si="68"/>
        <v>0</v>
      </c>
      <c r="PW36">
        <f t="shared" si="68"/>
        <v>0</v>
      </c>
      <c r="PX36">
        <f t="shared" si="68"/>
        <v>0</v>
      </c>
      <c r="PY36">
        <f t="shared" si="68"/>
        <v>0</v>
      </c>
      <c r="PZ36">
        <f t="shared" si="68"/>
        <v>0</v>
      </c>
      <c r="QA36">
        <f t="shared" si="68"/>
        <v>0</v>
      </c>
      <c r="QB36">
        <f t="shared" si="68"/>
        <v>0</v>
      </c>
      <c r="QC36">
        <f t="shared" si="68"/>
        <v>0</v>
      </c>
      <c r="QD36">
        <f t="shared" si="68"/>
        <v>0</v>
      </c>
      <c r="QE36">
        <f t="shared" si="68"/>
        <v>0</v>
      </c>
      <c r="QF36">
        <f t="shared" si="68"/>
        <v>0</v>
      </c>
      <c r="QG36">
        <f t="shared" si="68"/>
        <v>0</v>
      </c>
      <c r="QH36">
        <f t="shared" si="68"/>
        <v>0</v>
      </c>
      <c r="QI36">
        <f t="shared" ref="QI36:SG36" si="69">QI17</f>
        <v>0</v>
      </c>
      <c r="QJ36">
        <f t="shared" si="69"/>
        <v>0</v>
      </c>
      <c r="QK36">
        <f t="shared" si="69"/>
        <v>0</v>
      </c>
      <c r="QL36">
        <f t="shared" si="69"/>
        <v>0</v>
      </c>
      <c r="QM36">
        <f t="shared" si="69"/>
        <v>0</v>
      </c>
      <c r="QN36">
        <f t="shared" si="69"/>
        <v>0</v>
      </c>
      <c r="QO36">
        <f t="shared" si="69"/>
        <v>0</v>
      </c>
      <c r="QP36">
        <f t="shared" si="69"/>
        <v>0</v>
      </c>
      <c r="QQ36">
        <f t="shared" si="69"/>
        <v>0</v>
      </c>
      <c r="QR36">
        <f t="shared" si="69"/>
        <v>0</v>
      </c>
      <c r="QS36">
        <f t="shared" si="69"/>
        <v>0</v>
      </c>
      <c r="QT36">
        <f t="shared" si="69"/>
        <v>0</v>
      </c>
      <c r="QU36">
        <f t="shared" si="69"/>
        <v>0</v>
      </c>
      <c r="QV36">
        <f t="shared" si="69"/>
        <v>0</v>
      </c>
      <c r="QW36">
        <f t="shared" si="69"/>
        <v>0</v>
      </c>
      <c r="QX36">
        <f t="shared" si="69"/>
        <v>0</v>
      </c>
      <c r="QY36">
        <f t="shared" si="69"/>
        <v>0</v>
      </c>
      <c r="QZ36">
        <f t="shared" si="69"/>
        <v>0</v>
      </c>
      <c r="RA36">
        <f t="shared" si="69"/>
        <v>0</v>
      </c>
      <c r="RB36">
        <f t="shared" si="69"/>
        <v>0</v>
      </c>
      <c r="RC36">
        <f t="shared" si="69"/>
        <v>0</v>
      </c>
      <c r="RD36">
        <f t="shared" si="69"/>
        <v>0</v>
      </c>
      <c r="RE36">
        <f t="shared" si="69"/>
        <v>0</v>
      </c>
      <c r="RF36">
        <f t="shared" si="69"/>
        <v>0</v>
      </c>
      <c r="RG36">
        <f t="shared" si="69"/>
        <v>0</v>
      </c>
      <c r="RH36">
        <f t="shared" si="69"/>
        <v>0</v>
      </c>
      <c r="RI36">
        <f t="shared" si="69"/>
        <v>0</v>
      </c>
      <c r="RJ36">
        <f t="shared" si="69"/>
        <v>0</v>
      </c>
      <c r="RK36">
        <f t="shared" si="69"/>
        <v>0</v>
      </c>
      <c r="RL36">
        <f t="shared" si="69"/>
        <v>0</v>
      </c>
      <c r="RM36">
        <f t="shared" si="69"/>
        <v>0</v>
      </c>
      <c r="RN36">
        <f t="shared" si="69"/>
        <v>0</v>
      </c>
      <c r="RO36">
        <f t="shared" si="69"/>
        <v>0</v>
      </c>
      <c r="RP36">
        <f t="shared" si="69"/>
        <v>0</v>
      </c>
      <c r="RQ36">
        <f t="shared" si="69"/>
        <v>0</v>
      </c>
      <c r="RR36">
        <f t="shared" si="69"/>
        <v>0</v>
      </c>
      <c r="RS36">
        <f t="shared" si="69"/>
        <v>0</v>
      </c>
      <c r="RT36">
        <f t="shared" si="69"/>
        <v>0</v>
      </c>
      <c r="RU36">
        <f t="shared" si="69"/>
        <v>0</v>
      </c>
      <c r="RV36">
        <f t="shared" si="69"/>
        <v>0</v>
      </c>
      <c r="RW36">
        <f t="shared" si="69"/>
        <v>0</v>
      </c>
      <c r="RX36">
        <f t="shared" si="69"/>
        <v>0</v>
      </c>
      <c r="RY36">
        <f t="shared" si="69"/>
        <v>0</v>
      </c>
      <c r="RZ36">
        <f t="shared" si="69"/>
        <v>0</v>
      </c>
      <c r="SA36">
        <f t="shared" si="69"/>
        <v>0</v>
      </c>
      <c r="SB36">
        <f t="shared" si="69"/>
        <v>0</v>
      </c>
      <c r="SC36">
        <f t="shared" si="69"/>
        <v>0</v>
      </c>
      <c r="SD36">
        <f t="shared" si="69"/>
        <v>0</v>
      </c>
      <c r="SE36">
        <f t="shared" si="69"/>
        <v>0</v>
      </c>
      <c r="SF36">
        <f t="shared" si="69"/>
        <v>0</v>
      </c>
      <c r="SG36">
        <f t="shared" si="69"/>
        <v>0</v>
      </c>
      <c r="SH36">
        <f t="shared" ref="SH36:US36" si="70">SH17</f>
        <v>0</v>
      </c>
      <c r="SI36">
        <f t="shared" si="70"/>
        <v>0</v>
      </c>
      <c r="SJ36">
        <f t="shared" si="70"/>
        <v>0</v>
      </c>
      <c r="SK36">
        <f t="shared" si="70"/>
        <v>0</v>
      </c>
      <c r="SL36">
        <f t="shared" si="70"/>
        <v>0</v>
      </c>
      <c r="SM36">
        <f t="shared" si="70"/>
        <v>0</v>
      </c>
      <c r="SN36">
        <f t="shared" si="70"/>
        <v>0</v>
      </c>
      <c r="SO36">
        <f t="shared" si="70"/>
        <v>0</v>
      </c>
      <c r="SP36">
        <f t="shared" si="70"/>
        <v>0</v>
      </c>
      <c r="SQ36">
        <f t="shared" si="70"/>
        <v>0</v>
      </c>
      <c r="SR36">
        <f t="shared" si="70"/>
        <v>0</v>
      </c>
      <c r="SS36">
        <f t="shared" si="70"/>
        <v>0</v>
      </c>
      <c r="ST36">
        <f t="shared" si="70"/>
        <v>0</v>
      </c>
      <c r="SU36">
        <f t="shared" si="70"/>
        <v>0</v>
      </c>
      <c r="SV36">
        <f t="shared" si="70"/>
        <v>0</v>
      </c>
      <c r="SW36">
        <f t="shared" si="70"/>
        <v>0</v>
      </c>
      <c r="SX36">
        <f t="shared" si="70"/>
        <v>0</v>
      </c>
      <c r="SY36">
        <f t="shared" si="70"/>
        <v>0</v>
      </c>
      <c r="SZ36">
        <f t="shared" si="70"/>
        <v>0</v>
      </c>
      <c r="TA36">
        <f t="shared" si="70"/>
        <v>0</v>
      </c>
      <c r="TB36">
        <f t="shared" si="70"/>
        <v>0</v>
      </c>
      <c r="TC36">
        <f t="shared" si="70"/>
        <v>0</v>
      </c>
      <c r="TD36">
        <f t="shared" si="70"/>
        <v>0</v>
      </c>
      <c r="TE36">
        <f t="shared" si="70"/>
        <v>0</v>
      </c>
      <c r="TF36">
        <f t="shared" si="70"/>
        <v>0</v>
      </c>
      <c r="TG36">
        <f t="shared" si="70"/>
        <v>0</v>
      </c>
      <c r="TH36">
        <f t="shared" si="70"/>
        <v>0</v>
      </c>
      <c r="TI36">
        <f t="shared" si="70"/>
        <v>0</v>
      </c>
      <c r="TJ36">
        <f t="shared" si="70"/>
        <v>0</v>
      </c>
      <c r="TK36">
        <f t="shared" si="70"/>
        <v>0</v>
      </c>
      <c r="TL36">
        <f t="shared" si="70"/>
        <v>0</v>
      </c>
      <c r="TM36">
        <f t="shared" si="70"/>
        <v>0</v>
      </c>
      <c r="TN36">
        <f t="shared" si="70"/>
        <v>0</v>
      </c>
      <c r="TO36">
        <f t="shared" si="70"/>
        <v>0</v>
      </c>
      <c r="TP36">
        <f t="shared" si="70"/>
        <v>0</v>
      </c>
      <c r="TQ36">
        <f t="shared" si="70"/>
        <v>0</v>
      </c>
      <c r="TR36">
        <f t="shared" si="70"/>
        <v>0</v>
      </c>
      <c r="TS36">
        <f t="shared" si="70"/>
        <v>0</v>
      </c>
      <c r="TT36">
        <f t="shared" si="70"/>
        <v>0</v>
      </c>
      <c r="TU36">
        <f t="shared" si="70"/>
        <v>0</v>
      </c>
      <c r="TV36">
        <f t="shared" si="70"/>
        <v>0</v>
      </c>
      <c r="TW36">
        <f t="shared" si="70"/>
        <v>0</v>
      </c>
      <c r="TX36">
        <f t="shared" si="70"/>
        <v>0</v>
      </c>
      <c r="TY36">
        <f t="shared" si="70"/>
        <v>0</v>
      </c>
      <c r="TZ36">
        <f t="shared" si="70"/>
        <v>0</v>
      </c>
      <c r="UA36">
        <f t="shared" si="70"/>
        <v>0</v>
      </c>
      <c r="UB36">
        <f t="shared" si="70"/>
        <v>0</v>
      </c>
      <c r="UC36">
        <f t="shared" si="70"/>
        <v>0</v>
      </c>
      <c r="UD36">
        <f t="shared" si="70"/>
        <v>0</v>
      </c>
      <c r="UE36">
        <f t="shared" si="70"/>
        <v>0</v>
      </c>
      <c r="UF36">
        <f t="shared" si="70"/>
        <v>0</v>
      </c>
      <c r="UG36">
        <f t="shared" si="70"/>
        <v>0</v>
      </c>
      <c r="UH36">
        <f t="shared" si="70"/>
        <v>0</v>
      </c>
      <c r="UI36">
        <f t="shared" si="70"/>
        <v>0</v>
      </c>
      <c r="UJ36">
        <f t="shared" si="70"/>
        <v>0</v>
      </c>
      <c r="UK36">
        <f t="shared" si="70"/>
        <v>0</v>
      </c>
      <c r="UL36">
        <f t="shared" si="70"/>
        <v>0</v>
      </c>
      <c r="UM36">
        <f t="shared" si="70"/>
        <v>0</v>
      </c>
      <c r="UN36">
        <f t="shared" si="70"/>
        <v>0</v>
      </c>
      <c r="UO36">
        <f t="shared" si="70"/>
        <v>0</v>
      </c>
      <c r="UP36">
        <f t="shared" si="70"/>
        <v>0</v>
      </c>
      <c r="UQ36">
        <f t="shared" si="70"/>
        <v>0</v>
      </c>
      <c r="UR36">
        <f t="shared" si="70"/>
        <v>0</v>
      </c>
      <c r="US36">
        <f t="shared" si="70"/>
        <v>0</v>
      </c>
      <c r="UT36">
        <f t="shared" ref="UT36:XE36" si="71">UT17</f>
        <v>0</v>
      </c>
      <c r="UU36">
        <f t="shared" si="71"/>
        <v>0</v>
      </c>
      <c r="UV36">
        <f t="shared" si="71"/>
        <v>0</v>
      </c>
      <c r="UW36">
        <f t="shared" si="71"/>
        <v>0</v>
      </c>
      <c r="UX36">
        <f t="shared" si="71"/>
        <v>0</v>
      </c>
      <c r="UY36">
        <f t="shared" si="71"/>
        <v>0</v>
      </c>
      <c r="UZ36">
        <f t="shared" si="71"/>
        <v>0</v>
      </c>
      <c r="VA36">
        <f t="shared" si="71"/>
        <v>0</v>
      </c>
      <c r="VB36">
        <f t="shared" si="71"/>
        <v>0</v>
      </c>
      <c r="VC36">
        <f t="shared" si="71"/>
        <v>0</v>
      </c>
      <c r="VD36">
        <f t="shared" si="71"/>
        <v>0</v>
      </c>
      <c r="VE36">
        <f t="shared" si="71"/>
        <v>0</v>
      </c>
      <c r="VF36">
        <f t="shared" si="71"/>
        <v>0</v>
      </c>
      <c r="VG36">
        <f t="shared" si="71"/>
        <v>0</v>
      </c>
      <c r="VH36">
        <f t="shared" si="71"/>
        <v>0</v>
      </c>
      <c r="VI36">
        <f t="shared" si="71"/>
        <v>0</v>
      </c>
      <c r="VJ36">
        <f t="shared" si="71"/>
        <v>0</v>
      </c>
      <c r="VK36">
        <f t="shared" si="71"/>
        <v>0</v>
      </c>
      <c r="VL36">
        <f t="shared" si="71"/>
        <v>0</v>
      </c>
      <c r="VM36">
        <f t="shared" si="71"/>
        <v>0</v>
      </c>
      <c r="VN36">
        <f t="shared" si="71"/>
        <v>0</v>
      </c>
      <c r="VO36">
        <f t="shared" si="71"/>
        <v>0</v>
      </c>
      <c r="VP36">
        <f t="shared" si="71"/>
        <v>0</v>
      </c>
      <c r="VQ36">
        <f t="shared" si="71"/>
        <v>0</v>
      </c>
      <c r="VR36">
        <f t="shared" si="71"/>
        <v>0</v>
      </c>
      <c r="VS36">
        <f t="shared" si="71"/>
        <v>0</v>
      </c>
      <c r="VT36">
        <f t="shared" si="71"/>
        <v>0</v>
      </c>
      <c r="VU36">
        <f t="shared" si="71"/>
        <v>0</v>
      </c>
      <c r="VV36">
        <f t="shared" si="71"/>
        <v>0</v>
      </c>
      <c r="VW36">
        <f t="shared" si="71"/>
        <v>0</v>
      </c>
      <c r="VX36">
        <f t="shared" si="71"/>
        <v>0</v>
      </c>
      <c r="VY36">
        <f t="shared" si="71"/>
        <v>0</v>
      </c>
      <c r="VZ36">
        <f t="shared" si="71"/>
        <v>0</v>
      </c>
      <c r="WA36">
        <f t="shared" si="71"/>
        <v>0</v>
      </c>
      <c r="WB36">
        <f t="shared" si="71"/>
        <v>0</v>
      </c>
      <c r="WC36">
        <f t="shared" si="71"/>
        <v>0</v>
      </c>
      <c r="WD36">
        <f t="shared" si="71"/>
        <v>0</v>
      </c>
      <c r="WE36">
        <f t="shared" si="71"/>
        <v>0</v>
      </c>
      <c r="WF36">
        <f t="shared" si="71"/>
        <v>0</v>
      </c>
      <c r="WG36">
        <f t="shared" si="71"/>
        <v>0</v>
      </c>
      <c r="WH36">
        <f t="shared" si="71"/>
        <v>0</v>
      </c>
      <c r="WI36">
        <f t="shared" si="71"/>
        <v>0</v>
      </c>
      <c r="WJ36">
        <f t="shared" si="71"/>
        <v>0</v>
      </c>
      <c r="WK36">
        <f t="shared" si="71"/>
        <v>0</v>
      </c>
      <c r="WL36">
        <f t="shared" si="71"/>
        <v>0</v>
      </c>
      <c r="WM36">
        <f t="shared" si="71"/>
        <v>0</v>
      </c>
      <c r="WN36">
        <f t="shared" si="71"/>
        <v>0</v>
      </c>
      <c r="WO36">
        <f t="shared" si="71"/>
        <v>0</v>
      </c>
      <c r="WP36">
        <f t="shared" si="71"/>
        <v>0</v>
      </c>
      <c r="WQ36">
        <f t="shared" si="71"/>
        <v>0</v>
      </c>
      <c r="WR36">
        <f t="shared" si="71"/>
        <v>0</v>
      </c>
      <c r="WS36">
        <f t="shared" si="71"/>
        <v>0</v>
      </c>
      <c r="WT36">
        <f t="shared" si="71"/>
        <v>0</v>
      </c>
      <c r="WU36">
        <f t="shared" si="71"/>
        <v>0</v>
      </c>
      <c r="WV36">
        <f t="shared" si="71"/>
        <v>0</v>
      </c>
      <c r="WW36">
        <f t="shared" si="71"/>
        <v>0</v>
      </c>
      <c r="WX36">
        <f t="shared" si="71"/>
        <v>0</v>
      </c>
      <c r="WY36">
        <f t="shared" si="71"/>
        <v>0</v>
      </c>
      <c r="WZ36">
        <f t="shared" si="71"/>
        <v>0</v>
      </c>
      <c r="XA36">
        <f t="shared" si="71"/>
        <v>0</v>
      </c>
      <c r="XB36">
        <f t="shared" si="71"/>
        <v>0</v>
      </c>
      <c r="XC36">
        <f t="shared" si="71"/>
        <v>0</v>
      </c>
      <c r="XD36">
        <f t="shared" si="71"/>
        <v>0</v>
      </c>
      <c r="XE36">
        <f t="shared" si="71"/>
        <v>0</v>
      </c>
      <c r="XF36">
        <f t="shared" ref="XF36:ZQ36" si="72">XF17</f>
        <v>0</v>
      </c>
      <c r="XG36">
        <f t="shared" si="72"/>
        <v>0</v>
      </c>
      <c r="XH36">
        <f t="shared" si="72"/>
        <v>0</v>
      </c>
      <c r="XI36">
        <f t="shared" si="72"/>
        <v>0</v>
      </c>
      <c r="XJ36">
        <f t="shared" si="72"/>
        <v>0</v>
      </c>
      <c r="XK36">
        <f t="shared" si="72"/>
        <v>0</v>
      </c>
      <c r="XL36">
        <f t="shared" si="72"/>
        <v>0</v>
      </c>
      <c r="XM36">
        <f t="shared" si="72"/>
        <v>0</v>
      </c>
      <c r="XN36">
        <f t="shared" si="72"/>
        <v>0</v>
      </c>
      <c r="XO36">
        <f t="shared" si="72"/>
        <v>0</v>
      </c>
      <c r="XP36">
        <f t="shared" si="72"/>
        <v>0</v>
      </c>
      <c r="XQ36">
        <f t="shared" si="72"/>
        <v>0</v>
      </c>
      <c r="XR36">
        <f t="shared" si="72"/>
        <v>0</v>
      </c>
      <c r="XS36">
        <f t="shared" si="72"/>
        <v>0</v>
      </c>
      <c r="XT36">
        <f t="shared" si="72"/>
        <v>0</v>
      </c>
      <c r="XU36">
        <f t="shared" si="72"/>
        <v>0</v>
      </c>
      <c r="XV36">
        <f t="shared" si="72"/>
        <v>0</v>
      </c>
      <c r="XW36">
        <f t="shared" si="72"/>
        <v>0</v>
      </c>
      <c r="XX36">
        <f t="shared" si="72"/>
        <v>0</v>
      </c>
      <c r="XY36">
        <f t="shared" si="72"/>
        <v>0</v>
      </c>
      <c r="XZ36">
        <f t="shared" si="72"/>
        <v>0</v>
      </c>
      <c r="YA36">
        <f t="shared" si="72"/>
        <v>0</v>
      </c>
      <c r="YB36">
        <f t="shared" si="72"/>
        <v>0</v>
      </c>
      <c r="YC36">
        <f t="shared" si="72"/>
        <v>0</v>
      </c>
      <c r="YD36">
        <f t="shared" si="72"/>
        <v>0</v>
      </c>
      <c r="YE36">
        <f t="shared" si="72"/>
        <v>0</v>
      </c>
      <c r="YF36">
        <f t="shared" si="72"/>
        <v>0</v>
      </c>
      <c r="YG36">
        <f t="shared" si="72"/>
        <v>0</v>
      </c>
      <c r="YH36">
        <f t="shared" si="72"/>
        <v>0</v>
      </c>
      <c r="YI36">
        <f t="shared" si="72"/>
        <v>0</v>
      </c>
      <c r="YJ36">
        <f t="shared" si="72"/>
        <v>0</v>
      </c>
      <c r="YK36">
        <f t="shared" si="72"/>
        <v>0</v>
      </c>
      <c r="YL36">
        <f t="shared" si="72"/>
        <v>0</v>
      </c>
      <c r="YM36">
        <f t="shared" si="72"/>
        <v>0</v>
      </c>
      <c r="YN36">
        <f t="shared" si="72"/>
        <v>0</v>
      </c>
      <c r="YO36">
        <f t="shared" si="72"/>
        <v>0</v>
      </c>
      <c r="YP36">
        <f t="shared" si="72"/>
        <v>0</v>
      </c>
      <c r="YQ36">
        <f t="shared" si="72"/>
        <v>0</v>
      </c>
      <c r="YR36">
        <f t="shared" si="72"/>
        <v>0</v>
      </c>
      <c r="YS36">
        <f t="shared" si="72"/>
        <v>0</v>
      </c>
      <c r="YT36">
        <f t="shared" si="72"/>
        <v>0</v>
      </c>
      <c r="YU36">
        <f t="shared" si="72"/>
        <v>0</v>
      </c>
      <c r="YV36">
        <f t="shared" si="72"/>
        <v>0</v>
      </c>
      <c r="YW36">
        <f t="shared" si="72"/>
        <v>0</v>
      </c>
      <c r="YX36">
        <f t="shared" si="72"/>
        <v>0</v>
      </c>
      <c r="YY36">
        <f t="shared" si="72"/>
        <v>0</v>
      </c>
      <c r="YZ36">
        <f t="shared" si="72"/>
        <v>0</v>
      </c>
      <c r="ZA36">
        <f t="shared" si="72"/>
        <v>0</v>
      </c>
      <c r="ZB36">
        <f t="shared" si="72"/>
        <v>0</v>
      </c>
      <c r="ZC36">
        <f t="shared" si="72"/>
        <v>0</v>
      </c>
      <c r="ZD36">
        <f t="shared" si="72"/>
        <v>0</v>
      </c>
      <c r="ZE36">
        <f t="shared" si="72"/>
        <v>0</v>
      </c>
      <c r="ZF36">
        <f t="shared" si="72"/>
        <v>0</v>
      </c>
      <c r="ZG36">
        <f t="shared" si="72"/>
        <v>0</v>
      </c>
      <c r="ZH36">
        <f t="shared" si="72"/>
        <v>0</v>
      </c>
      <c r="ZI36">
        <f t="shared" si="72"/>
        <v>0</v>
      </c>
      <c r="ZJ36">
        <f t="shared" si="72"/>
        <v>0</v>
      </c>
      <c r="ZK36">
        <f t="shared" si="72"/>
        <v>0</v>
      </c>
      <c r="ZL36">
        <f t="shared" si="72"/>
        <v>0</v>
      </c>
      <c r="ZM36">
        <f t="shared" si="72"/>
        <v>0</v>
      </c>
      <c r="ZN36">
        <f t="shared" si="72"/>
        <v>0</v>
      </c>
      <c r="ZO36">
        <f t="shared" si="72"/>
        <v>0</v>
      </c>
      <c r="ZP36">
        <f t="shared" si="72"/>
        <v>0</v>
      </c>
      <c r="ZQ36">
        <f t="shared" si="72"/>
        <v>0</v>
      </c>
      <c r="ZR36">
        <f t="shared" ref="ZR36:ACC36" si="73">ZR17</f>
        <v>0</v>
      </c>
      <c r="ZS36">
        <f t="shared" si="73"/>
        <v>0</v>
      </c>
      <c r="ZT36">
        <f t="shared" si="73"/>
        <v>0</v>
      </c>
      <c r="ZU36">
        <f t="shared" si="73"/>
        <v>0</v>
      </c>
      <c r="ZV36">
        <f t="shared" si="73"/>
        <v>0</v>
      </c>
      <c r="ZW36">
        <f t="shared" si="73"/>
        <v>0</v>
      </c>
      <c r="ZX36">
        <f t="shared" si="73"/>
        <v>0</v>
      </c>
      <c r="ZY36">
        <f t="shared" si="73"/>
        <v>0</v>
      </c>
      <c r="ZZ36">
        <f t="shared" si="73"/>
        <v>0</v>
      </c>
      <c r="AAA36">
        <f t="shared" si="73"/>
        <v>0</v>
      </c>
      <c r="AAB36">
        <f t="shared" si="73"/>
        <v>0</v>
      </c>
      <c r="AAC36">
        <f t="shared" si="73"/>
        <v>0</v>
      </c>
      <c r="AAD36">
        <f t="shared" si="73"/>
        <v>0</v>
      </c>
      <c r="AAE36">
        <f t="shared" si="73"/>
        <v>0</v>
      </c>
      <c r="AAF36">
        <f t="shared" si="73"/>
        <v>0</v>
      </c>
      <c r="AAG36">
        <f t="shared" si="73"/>
        <v>0</v>
      </c>
      <c r="AAH36">
        <f t="shared" si="73"/>
        <v>0</v>
      </c>
      <c r="AAI36">
        <f t="shared" si="73"/>
        <v>0</v>
      </c>
      <c r="AAJ36">
        <f t="shared" si="73"/>
        <v>0</v>
      </c>
      <c r="AAK36">
        <f t="shared" si="73"/>
        <v>0</v>
      </c>
      <c r="AAL36">
        <f t="shared" si="73"/>
        <v>0</v>
      </c>
      <c r="AAM36">
        <f t="shared" si="73"/>
        <v>0</v>
      </c>
      <c r="AAN36">
        <f t="shared" si="73"/>
        <v>0</v>
      </c>
      <c r="AAO36">
        <f t="shared" si="73"/>
        <v>0</v>
      </c>
      <c r="AAP36">
        <f t="shared" si="73"/>
        <v>0</v>
      </c>
      <c r="AAQ36">
        <f t="shared" si="73"/>
        <v>0</v>
      </c>
      <c r="AAR36">
        <f t="shared" si="73"/>
        <v>0</v>
      </c>
      <c r="AAS36">
        <f t="shared" si="73"/>
        <v>0</v>
      </c>
      <c r="AAT36">
        <f t="shared" si="73"/>
        <v>0</v>
      </c>
      <c r="AAU36">
        <f t="shared" si="73"/>
        <v>0</v>
      </c>
      <c r="AAV36">
        <f t="shared" si="73"/>
        <v>0</v>
      </c>
      <c r="AAW36">
        <f t="shared" si="73"/>
        <v>0</v>
      </c>
      <c r="AAX36">
        <f t="shared" si="73"/>
        <v>0</v>
      </c>
      <c r="AAY36">
        <f t="shared" si="73"/>
        <v>0</v>
      </c>
      <c r="AAZ36">
        <f t="shared" si="73"/>
        <v>0</v>
      </c>
      <c r="ABA36">
        <f t="shared" si="73"/>
        <v>0</v>
      </c>
      <c r="ABB36">
        <f t="shared" si="73"/>
        <v>0</v>
      </c>
      <c r="ABC36">
        <f t="shared" si="73"/>
        <v>0</v>
      </c>
      <c r="ABD36">
        <f t="shared" si="73"/>
        <v>0</v>
      </c>
      <c r="ABE36">
        <f t="shared" si="73"/>
        <v>0</v>
      </c>
      <c r="ABF36">
        <f t="shared" si="73"/>
        <v>0</v>
      </c>
      <c r="ABG36">
        <f t="shared" si="73"/>
        <v>0</v>
      </c>
      <c r="ABH36">
        <f t="shared" si="73"/>
        <v>0</v>
      </c>
      <c r="ABI36">
        <f t="shared" si="73"/>
        <v>0</v>
      </c>
      <c r="ABJ36">
        <f t="shared" si="73"/>
        <v>0</v>
      </c>
      <c r="ABK36">
        <f t="shared" si="73"/>
        <v>0</v>
      </c>
      <c r="ABL36">
        <f t="shared" si="73"/>
        <v>0</v>
      </c>
      <c r="ABM36">
        <f t="shared" si="73"/>
        <v>0</v>
      </c>
      <c r="ABN36">
        <f t="shared" si="73"/>
        <v>0</v>
      </c>
      <c r="ABO36">
        <f t="shared" si="73"/>
        <v>0</v>
      </c>
      <c r="ABP36">
        <f t="shared" si="73"/>
        <v>0</v>
      </c>
      <c r="ABQ36">
        <f t="shared" si="73"/>
        <v>0</v>
      </c>
      <c r="ABR36">
        <f t="shared" si="73"/>
        <v>0</v>
      </c>
      <c r="ABS36">
        <f t="shared" si="73"/>
        <v>0</v>
      </c>
      <c r="ABT36">
        <f t="shared" si="73"/>
        <v>0</v>
      </c>
      <c r="ABU36">
        <f t="shared" si="73"/>
        <v>0</v>
      </c>
      <c r="ABV36">
        <f t="shared" si="73"/>
        <v>0</v>
      </c>
      <c r="ABW36">
        <f t="shared" si="73"/>
        <v>0</v>
      </c>
      <c r="ABX36">
        <f t="shared" si="73"/>
        <v>0</v>
      </c>
      <c r="ABY36">
        <f t="shared" si="73"/>
        <v>0</v>
      </c>
      <c r="ABZ36">
        <f t="shared" si="73"/>
        <v>0</v>
      </c>
      <c r="ACA36">
        <f t="shared" si="73"/>
        <v>0</v>
      </c>
      <c r="ACB36">
        <f t="shared" si="73"/>
        <v>0</v>
      </c>
      <c r="ACC36">
        <f t="shared" si="73"/>
        <v>0</v>
      </c>
      <c r="ACD36">
        <f t="shared" ref="ACD36:AEO36" si="74">ACD17</f>
        <v>0</v>
      </c>
      <c r="ACE36">
        <f t="shared" si="74"/>
        <v>0</v>
      </c>
      <c r="ACF36">
        <f t="shared" si="74"/>
        <v>0</v>
      </c>
      <c r="ACG36">
        <f t="shared" si="74"/>
        <v>0</v>
      </c>
      <c r="ACH36">
        <f t="shared" si="74"/>
        <v>0</v>
      </c>
      <c r="ACI36">
        <f t="shared" si="74"/>
        <v>0</v>
      </c>
      <c r="ACJ36">
        <f t="shared" si="74"/>
        <v>0</v>
      </c>
      <c r="ACK36">
        <f t="shared" si="74"/>
        <v>0</v>
      </c>
      <c r="ACL36">
        <f t="shared" si="74"/>
        <v>0</v>
      </c>
      <c r="ACM36">
        <f t="shared" si="74"/>
        <v>0</v>
      </c>
      <c r="ACN36">
        <f t="shared" si="74"/>
        <v>0</v>
      </c>
      <c r="ACO36">
        <f t="shared" si="74"/>
        <v>0</v>
      </c>
      <c r="ACP36">
        <f t="shared" si="74"/>
        <v>0</v>
      </c>
      <c r="ACQ36">
        <f t="shared" si="74"/>
        <v>0</v>
      </c>
      <c r="ACR36">
        <f t="shared" si="74"/>
        <v>0</v>
      </c>
      <c r="ACS36">
        <f t="shared" si="74"/>
        <v>0</v>
      </c>
      <c r="ACT36">
        <f t="shared" si="74"/>
        <v>0</v>
      </c>
      <c r="ACU36">
        <f t="shared" si="74"/>
        <v>0</v>
      </c>
      <c r="ACV36">
        <f t="shared" si="74"/>
        <v>0</v>
      </c>
      <c r="ACW36">
        <f t="shared" si="74"/>
        <v>0</v>
      </c>
      <c r="ACX36">
        <f t="shared" si="74"/>
        <v>0</v>
      </c>
      <c r="ACY36">
        <f t="shared" si="74"/>
        <v>0</v>
      </c>
      <c r="ACZ36">
        <f t="shared" si="74"/>
        <v>0</v>
      </c>
      <c r="ADA36">
        <f t="shared" si="74"/>
        <v>0</v>
      </c>
      <c r="ADB36">
        <f t="shared" si="74"/>
        <v>0</v>
      </c>
      <c r="ADC36">
        <f t="shared" si="74"/>
        <v>0</v>
      </c>
      <c r="ADD36">
        <f t="shared" si="74"/>
        <v>0</v>
      </c>
      <c r="ADE36">
        <f t="shared" si="74"/>
        <v>0</v>
      </c>
      <c r="ADF36">
        <f t="shared" si="74"/>
        <v>0</v>
      </c>
      <c r="ADG36">
        <f t="shared" si="74"/>
        <v>0</v>
      </c>
      <c r="ADH36">
        <f t="shared" si="74"/>
        <v>0</v>
      </c>
      <c r="ADI36">
        <f t="shared" si="74"/>
        <v>0</v>
      </c>
      <c r="ADJ36">
        <f t="shared" si="74"/>
        <v>0</v>
      </c>
      <c r="ADK36">
        <f t="shared" si="74"/>
        <v>0</v>
      </c>
      <c r="ADL36">
        <f t="shared" si="74"/>
        <v>0</v>
      </c>
      <c r="ADM36">
        <f t="shared" si="74"/>
        <v>0</v>
      </c>
      <c r="ADN36">
        <f t="shared" si="74"/>
        <v>0</v>
      </c>
      <c r="ADO36">
        <f t="shared" si="74"/>
        <v>0</v>
      </c>
      <c r="ADP36">
        <f t="shared" si="74"/>
        <v>0</v>
      </c>
      <c r="ADQ36">
        <f t="shared" si="74"/>
        <v>0</v>
      </c>
      <c r="ADR36">
        <f t="shared" si="74"/>
        <v>0</v>
      </c>
      <c r="ADS36">
        <f t="shared" si="74"/>
        <v>0</v>
      </c>
      <c r="ADT36">
        <f t="shared" si="74"/>
        <v>0</v>
      </c>
      <c r="ADU36">
        <f t="shared" si="74"/>
        <v>0</v>
      </c>
      <c r="ADV36">
        <f t="shared" si="74"/>
        <v>0</v>
      </c>
      <c r="ADW36">
        <f t="shared" si="74"/>
        <v>0</v>
      </c>
      <c r="ADX36">
        <f t="shared" si="74"/>
        <v>0</v>
      </c>
      <c r="ADY36">
        <f t="shared" si="74"/>
        <v>0</v>
      </c>
      <c r="ADZ36">
        <f t="shared" si="74"/>
        <v>0</v>
      </c>
      <c r="AEA36">
        <f t="shared" si="74"/>
        <v>0</v>
      </c>
      <c r="AEB36">
        <f t="shared" si="74"/>
        <v>0</v>
      </c>
      <c r="AEC36">
        <f t="shared" si="74"/>
        <v>0</v>
      </c>
      <c r="AED36">
        <f t="shared" si="74"/>
        <v>0</v>
      </c>
      <c r="AEE36">
        <f t="shared" si="74"/>
        <v>0</v>
      </c>
      <c r="AEF36">
        <f t="shared" si="74"/>
        <v>0</v>
      </c>
      <c r="AEG36">
        <f t="shared" si="74"/>
        <v>0</v>
      </c>
      <c r="AEH36">
        <f t="shared" si="74"/>
        <v>0</v>
      </c>
      <c r="AEI36">
        <f t="shared" si="74"/>
        <v>0</v>
      </c>
      <c r="AEJ36">
        <f t="shared" si="74"/>
        <v>0</v>
      </c>
      <c r="AEK36">
        <f t="shared" si="74"/>
        <v>0</v>
      </c>
      <c r="AEL36">
        <f t="shared" si="74"/>
        <v>0</v>
      </c>
      <c r="AEM36">
        <f t="shared" si="74"/>
        <v>0</v>
      </c>
      <c r="AEN36">
        <f t="shared" si="74"/>
        <v>0</v>
      </c>
      <c r="AEO36">
        <f t="shared" si="74"/>
        <v>0</v>
      </c>
      <c r="AEP36">
        <f t="shared" ref="AEP36:AHA36" si="75">AEP17</f>
        <v>0</v>
      </c>
      <c r="AEQ36">
        <f t="shared" si="75"/>
        <v>0</v>
      </c>
      <c r="AER36">
        <f t="shared" si="75"/>
        <v>0</v>
      </c>
      <c r="AES36">
        <f t="shared" si="75"/>
        <v>0</v>
      </c>
      <c r="AET36">
        <f t="shared" si="75"/>
        <v>0</v>
      </c>
      <c r="AEU36">
        <f t="shared" si="75"/>
        <v>0</v>
      </c>
      <c r="AEV36">
        <f t="shared" si="75"/>
        <v>0</v>
      </c>
      <c r="AEW36">
        <f t="shared" si="75"/>
        <v>0</v>
      </c>
      <c r="AEX36">
        <f t="shared" si="75"/>
        <v>0</v>
      </c>
      <c r="AEY36">
        <f t="shared" si="75"/>
        <v>0</v>
      </c>
      <c r="AEZ36">
        <f t="shared" si="75"/>
        <v>0</v>
      </c>
      <c r="AFA36">
        <f t="shared" si="75"/>
        <v>0</v>
      </c>
      <c r="AFB36">
        <f t="shared" si="75"/>
        <v>0</v>
      </c>
      <c r="AFC36">
        <f t="shared" si="75"/>
        <v>0</v>
      </c>
      <c r="AFD36">
        <f t="shared" si="75"/>
        <v>0</v>
      </c>
      <c r="AFE36">
        <f t="shared" si="75"/>
        <v>0</v>
      </c>
      <c r="AFF36">
        <f t="shared" si="75"/>
        <v>0</v>
      </c>
      <c r="AFG36">
        <f t="shared" si="75"/>
        <v>0</v>
      </c>
      <c r="AFH36">
        <f t="shared" si="75"/>
        <v>0</v>
      </c>
      <c r="AFI36">
        <f t="shared" si="75"/>
        <v>0</v>
      </c>
      <c r="AFJ36">
        <f t="shared" si="75"/>
        <v>0</v>
      </c>
      <c r="AFK36">
        <f t="shared" si="75"/>
        <v>0</v>
      </c>
      <c r="AFL36">
        <f t="shared" si="75"/>
        <v>0</v>
      </c>
      <c r="AFM36">
        <f t="shared" si="75"/>
        <v>0</v>
      </c>
      <c r="AFN36">
        <f t="shared" si="75"/>
        <v>0</v>
      </c>
      <c r="AFO36">
        <f t="shared" si="75"/>
        <v>0</v>
      </c>
      <c r="AFP36">
        <f t="shared" si="75"/>
        <v>0</v>
      </c>
      <c r="AFQ36">
        <f t="shared" si="75"/>
        <v>0</v>
      </c>
      <c r="AFR36">
        <f t="shared" si="75"/>
        <v>0</v>
      </c>
      <c r="AFS36">
        <f t="shared" si="75"/>
        <v>0</v>
      </c>
      <c r="AFT36">
        <f t="shared" si="75"/>
        <v>0</v>
      </c>
      <c r="AFU36">
        <f t="shared" si="75"/>
        <v>0</v>
      </c>
      <c r="AFV36">
        <f t="shared" si="75"/>
        <v>0</v>
      </c>
      <c r="AFW36">
        <f t="shared" si="75"/>
        <v>0</v>
      </c>
      <c r="AFX36">
        <f t="shared" si="75"/>
        <v>0</v>
      </c>
      <c r="AFY36">
        <f t="shared" si="75"/>
        <v>0</v>
      </c>
      <c r="AFZ36">
        <f t="shared" si="75"/>
        <v>0</v>
      </c>
      <c r="AGA36">
        <f t="shared" si="75"/>
        <v>0</v>
      </c>
      <c r="AGB36">
        <f t="shared" si="75"/>
        <v>0</v>
      </c>
      <c r="AGC36">
        <f t="shared" si="75"/>
        <v>0</v>
      </c>
      <c r="AGD36">
        <f t="shared" si="75"/>
        <v>0</v>
      </c>
      <c r="AGE36">
        <f t="shared" si="75"/>
        <v>0</v>
      </c>
      <c r="AGF36">
        <f t="shared" si="75"/>
        <v>0</v>
      </c>
      <c r="AGG36">
        <f t="shared" si="75"/>
        <v>0</v>
      </c>
      <c r="AGH36">
        <f t="shared" si="75"/>
        <v>0</v>
      </c>
      <c r="AGI36">
        <f t="shared" si="75"/>
        <v>0</v>
      </c>
      <c r="AGJ36">
        <f t="shared" si="75"/>
        <v>0</v>
      </c>
      <c r="AGK36">
        <f t="shared" si="75"/>
        <v>0</v>
      </c>
      <c r="AGL36">
        <f t="shared" si="75"/>
        <v>0</v>
      </c>
      <c r="AGM36">
        <f t="shared" si="75"/>
        <v>0</v>
      </c>
      <c r="AGN36">
        <f t="shared" si="75"/>
        <v>0</v>
      </c>
      <c r="AGO36">
        <f t="shared" si="75"/>
        <v>0</v>
      </c>
      <c r="AGP36">
        <f t="shared" si="75"/>
        <v>0</v>
      </c>
      <c r="AGQ36">
        <f t="shared" si="75"/>
        <v>0</v>
      </c>
      <c r="AGR36">
        <f t="shared" si="75"/>
        <v>0</v>
      </c>
      <c r="AGS36">
        <f t="shared" si="75"/>
        <v>0</v>
      </c>
      <c r="AGT36">
        <f t="shared" si="75"/>
        <v>0</v>
      </c>
      <c r="AGU36">
        <f t="shared" si="75"/>
        <v>0</v>
      </c>
      <c r="AGV36">
        <f t="shared" si="75"/>
        <v>0</v>
      </c>
      <c r="AGW36">
        <f t="shared" si="75"/>
        <v>0</v>
      </c>
      <c r="AGX36">
        <f t="shared" si="75"/>
        <v>0</v>
      </c>
      <c r="AGY36">
        <f t="shared" si="75"/>
        <v>0</v>
      </c>
      <c r="AGZ36">
        <f t="shared" si="75"/>
        <v>0</v>
      </c>
      <c r="AHA36">
        <f t="shared" si="75"/>
        <v>0</v>
      </c>
      <c r="AHB36">
        <f t="shared" ref="AHB36:AJM36" si="76">AHB17</f>
        <v>0</v>
      </c>
      <c r="AHC36">
        <f t="shared" si="76"/>
        <v>0</v>
      </c>
      <c r="AHD36">
        <f t="shared" si="76"/>
        <v>0</v>
      </c>
      <c r="AHE36">
        <f t="shared" si="76"/>
        <v>0</v>
      </c>
      <c r="AHF36">
        <f t="shared" si="76"/>
        <v>0</v>
      </c>
      <c r="AHG36">
        <f t="shared" si="76"/>
        <v>0</v>
      </c>
      <c r="AHH36">
        <f t="shared" si="76"/>
        <v>0</v>
      </c>
      <c r="AHI36">
        <f t="shared" si="76"/>
        <v>0</v>
      </c>
      <c r="AHJ36">
        <f t="shared" si="76"/>
        <v>0</v>
      </c>
      <c r="AHK36">
        <f t="shared" si="76"/>
        <v>0</v>
      </c>
      <c r="AHL36">
        <f t="shared" si="76"/>
        <v>0</v>
      </c>
      <c r="AHM36">
        <f t="shared" si="76"/>
        <v>0</v>
      </c>
      <c r="AHN36">
        <f t="shared" si="76"/>
        <v>0</v>
      </c>
      <c r="AHO36">
        <f t="shared" si="76"/>
        <v>0</v>
      </c>
      <c r="AHP36">
        <f t="shared" si="76"/>
        <v>0</v>
      </c>
      <c r="AHQ36">
        <f t="shared" si="76"/>
        <v>0</v>
      </c>
      <c r="AHR36">
        <f t="shared" si="76"/>
        <v>0</v>
      </c>
      <c r="AHS36">
        <f t="shared" si="76"/>
        <v>0</v>
      </c>
      <c r="AHT36">
        <f t="shared" si="76"/>
        <v>0</v>
      </c>
      <c r="AHU36">
        <f t="shared" si="76"/>
        <v>0</v>
      </c>
      <c r="AHV36">
        <f t="shared" si="76"/>
        <v>0</v>
      </c>
      <c r="AHW36">
        <f t="shared" si="76"/>
        <v>0</v>
      </c>
      <c r="AHX36">
        <f t="shared" si="76"/>
        <v>0</v>
      </c>
      <c r="AHY36">
        <f t="shared" si="76"/>
        <v>0</v>
      </c>
      <c r="AHZ36">
        <f t="shared" si="76"/>
        <v>0</v>
      </c>
      <c r="AIA36">
        <f t="shared" si="76"/>
        <v>0</v>
      </c>
      <c r="AIB36">
        <f t="shared" si="76"/>
        <v>0</v>
      </c>
      <c r="AIC36">
        <f t="shared" si="76"/>
        <v>0</v>
      </c>
      <c r="AID36">
        <f t="shared" si="76"/>
        <v>0</v>
      </c>
      <c r="AIE36">
        <f t="shared" si="76"/>
        <v>0</v>
      </c>
      <c r="AIF36">
        <f t="shared" si="76"/>
        <v>0</v>
      </c>
      <c r="AIG36">
        <f t="shared" si="76"/>
        <v>0</v>
      </c>
      <c r="AIH36">
        <f t="shared" si="76"/>
        <v>0</v>
      </c>
      <c r="AII36">
        <f t="shared" si="76"/>
        <v>0</v>
      </c>
      <c r="AIJ36">
        <f t="shared" si="76"/>
        <v>0</v>
      </c>
      <c r="AIK36">
        <f t="shared" si="76"/>
        <v>0</v>
      </c>
      <c r="AIL36">
        <f t="shared" si="76"/>
        <v>0</v>
      </c>
      <c r="AIM36">
        <f t="shared" si="76"/>
        <v>0</v>
      </c>
      <c r="AIN36">
        <f t="shared" si="76"/>
        <v>0</v>
      </c>
      <c r="AIO36">
        <f t="shared" si="76"/>
        <v>0</v>
      </c>
      <c r="AIP36">
        <f t="shared" si="76"/>
        <v>0</v>
      </c>
      <c r="AIQ36">
        <f t="shared" si="76"/>
        <v>0</v>
      </c>
      <c r="AIR36">
        <f t="shared" si="76"/>
        <v>0</v>
      </c>
      <c r="AIS36">
        <f t="shared" si="76"/>
        <v>0</v>
      </c>
      <c r="AIT36">
        <f t="shared" si="76"/>
        <v>0</v>
      </c>
      <c r="AIU36">
        <f t="shared" si="76"/>
        <v>0</v>
      </c>
      <c r="AIV36">
        <f t="shared" si="76"/>
        <v>0</v>
      </c>
      <c r="AIW36">
        <f t="shared" si="76"/>
        <v>0</v>
      </c>
      <c r="AIX36">
        <f t="shared" si="76"/>
        <v>0</v>
      </c>
      <c r="AIY36">
        <f t="shared" si="76"/>
        <v>0</v>
      </c>
      <c r="AIZ36">
        <f t="shared" si="76"/>
        <v>0</v>
      </c>
      <c r="AJA36">
        <f t="shared" si="76"/>
        <v>0</v>
      </c>
      <c r="AJB36">
        <f t="shared" si="76"/>
        <v>0</v>
      </c>
      <c r="AJC36">
        <f t="shared" si="76"/>
        <v>0</v>
      </c>
      <c r="AJD36">
        <f t="shared" si="76"/>
        <v>0</v>
      </c>
      <c r="AJE36">
        <f t="shared" si="76"/>
        <v>0</v>
      </c>
      <c r="AJF36">
        <f t="shared" si="76"/>
        <v>0</v>
      </c>
      <c r="AJG36">
        <f t="shared" si="76"/>
        <v>0</v>
      </c>
      <c r="AJH36">
        <f t="shared" si="76"/>
        <v>0</v>
      </c>
      <c r="AJI36">
        <f t="shared" si="76"/>
        <v>0</v>
      </c>
      <c r="AJJ36">
        <f t="shared" si="76"/>
        <v>0</v>
      </c>
      <c r="AJK36">
        <f t="shared" si="76"/>
        <v>0</v>
      </c>
      <c r="AJL36">
        <f t="shared" si="76"/>
        <v>0</v>
      </c>
      <c r="AJM36">
        <f t="shared" si="76"/>
        <v>0</v>
      </c>
      <c r="AJN36">
        <f t="shared" ref="AJN36:ALM36" si="77">AJN17</f>
        <v>0</v>
      </c>
      <c r="AJO36">
        <f t="shared" si="77"/>
        <v>0</v>
      </c>
      <c r="AJP36">
        <f t="shared" si="77"/>
        <v>0</v>
      </c>
      <c r="AJQ36">
        <f t="shared" si="77"/>
        <v>0</v>
      </c>
      <c r="AJR36">
        <f t="shared" si="77"/>
        <v>0</v>
      </c>
      <c r="AJS36">
        <f t="shared" si="77"/>
        <v>0</v>
      </c>
      <c r="AJT36">
        <f t="shared" si="77"/>
        <v>0</v>
      </c>
      <c r="AJU36">
        <f t="shared" si="77"/>
        <v>0</v>
      </c>
      <c r="AJV36">
        <f t="shared" si="77"/>
        <v>0</v>
      </c>
      <c r="AJW36">
        <f t="shared" si="77"/>
        <v>0</v>
      </c>
      <c r="AJX36">
        <f t="shared" si="77"/>
        <v>0</v>
      </c>
      <c r="AJY36">
        <f t="shared" si="77"/>
        <v>0</v>
      </c>
      <c r="AJZ36">
        <f t="shared" si="77"/>
        <v>0</v>
      </c>
      <c r="AKA36">
        <f t="shared" si="77"/>
        <v>0</v>
      </c>
      <c r="AKB36">
        <f t="shared" si="77"/>
        <v>0</v>
      </c>
      <c r="AKC36">
        <f t="shared" si="77"/>
        <v>0</v>
      </c>
      <c r="AKD36">
        <f t="shared" si="77"/>
        <v>0</v>
      </c>
      <c r="AKE36">
        <f t="shared" si="77"/>
        <v>0</v>
      </c>
      <c r="AKF36">
        <f t="shared" si="77"/>
        <v>0</v>
      </c>
      <c r="AKG36">
        <f t="shared" si="77"/>
        <v>0</v>
      </c>
      <c r="AKH36">
        <f t="shared" si="77"/>
        <v>0</v>
      </c>
      <c r="AKI36">
        <f t="shared" si="77"/>
        <v>0</v>
      </c>
      <c r="AKJ36">
        <f t="shared" si="77"/>
        <v>0</v>
      </c>
      <c r="AKK36">
        <f t="shared" si="77"/>
        <v>0</v>
      </c>
      <c r="AKL36">
        <f t="shared" si="77"/>
        <v>0</v>
      </c>
      <c r="AKM36">
        <f t="shared" si="77"/>
        <v>0</v>
      </c>
      <c r="AKN36">
        <f t="shared" si="77"/>
        <v>0</v>
      </c>
      <c r="AKO36">
        <f t="shared" si="77"/>
        <v>0</v>
      </c>
      <c r="AKP36">
        <f t="shared" si="77"/>
        <v>0</v>
      </c>
      <c r="AKQ36">
        <f t="shared" si="77"/>
        <v>0</v>
      </c>
      <c r="AKR36">
        <f t="shared" si="77"/>
        <v>0</v>
      </c>
      <c r="AKS36">
        <f t="shared" si="77"/>
        <v>0</v>
      </c>
      <c r="AKT36">
        <f t="shared" si="77"/>
        <v>0</v>
      </c>
      <c r="AKU36">
        <f t="shared" si="77"/>
        <v>0</v>
      </c>
      <c r="AKV36">
        <f t="shared" si="77"/>
        <v>0</v>
      </c>
      <c r="AKW36">
        <f t="shared" si="77"/>
        <v>0</v>
      </c>
      <c r="AKX36">
        <f t="shared" si="77"/>
        <v>0</v>
      </c>
      <c r="AKY36">
        <f t="shared" si="77"/>
        <v>0</v>
      </c>
      <c r="AKZ36">
        <f t="shared" si="77"/>
        <v>0</v>
      </c>
      <c r="ALA36">
        <f t="shared" si="77"/>
        <v>0</v>
      </c>
      <c r="ALB36">
        <f t="shared" si="77"/>
        <v>0</v>
      </c>
      <c r="ALC36">
        <f t="shared" si="77"/>
        <v>0</v>
      </c>
      <c r="ALD36">
        <f t="shared" si="77"/>
        <v>0</v>
      </c>
      <c r="ALE36">
        <f t="shared" si="77"/>
        <v>0</v>
      </c>
      <c r="ALF36">
        <f t="shared" si="77"/>
        <v>0</v>
      </c>
      <c r="ALG36">
        <f t="shared" si="77"/>
        <v>0</v>
      </c>
      <c r="ALH36">
        <f t="shared" si="77"/>
        <v>0</v>
      </c>
      <c r="ALI36">
        <f t="shared" si="77"/>
        <v>0</v>
      </c>
      <c r="ALJ36">
        <f t="shared" si="77"/>
        <v>0</v>
      </c>
      <c r="ALK36">
        <f t="shared" si="77"/>
        <v>0</v>
      </c>
      <c r="ALL36">
        <f t="shared" si="77"/>
        <v>0</v>
      </c>
      <c r="ALM36">
        <f t="shared" si="77"/>
        <v>0</v>
      </c>
    </row>
    <row r="37" spans="1:1001">
      <c r="A37" s="26"/>
      <c r="B37">
        <f>SUMIFS(Detail!$AS:$AS,Detail!$G:$G,'Rates-Service Fees'!B$23,Detail!$H:$H,'Rates-Service Fees'!B$17)*100</f>
        <v>0</v>
      </c>
      <c r="C37">
        <f>SUMIFS(Detail!$AS:$AS,Detail!$G:$G,'Rates-Service Fees'!C$23,Detail!$H:$H,'Rates-Service Fees'!C$17)*100</f>
        <v>0</v>
      </c>
      <c r="D37">
        <f>SUMIFS(Detail!$AS:$AS,Detail!$G:$G,'Rates-Service Fees'!D$23,Detail!$H:$H,'Rates-Service Fees'!D$17)*100</f>
        <v>0</v>
      </c>
      <c r="E37">
        <f>SUMIFS(Detail!$AS:$AS,Detail!$G:$G,'Rates-Service Fees'!E$23,Detail!$H:$H,'Rates-Service Fees'!E$17)*100</f>
        <v>0</v>
      </c>
      <c r="F37">
        <f>SUMIFS(Detail!$AS:$AS,Detail!$G:$G,'Rates-Service Fees'!F$23,Detail!$H:$H,'Rates-Service Fees'!F$17)*100</f>
        <v>0</v>
      </c>
      <c r="G37">
        <f>SUMIFS(Detail!$AS:$AS,Detail!$G:$G,'Rates-Service Fees'!G$23,Detail!$H:$H,'Rates-Service Fees'!G$17)*100</f>
        <v>0</v>
      </c>
      <c r="H37">
        <f>SUMIFS(Detail!$AS:$AS,Detail!$G:$G,'Rates-Service Fees'!H$23,Detail!$H:$H,'Rates-Service Fees'!H$17)*100</f>
        <v>0</v>
      </c>
      <c r="I37">
        <f>SUMIFS(Detail!$AS:$AS,Detail!$G:$G,'Rates-Service Fees'!I$23,Detail!$H:$H,'Rates-Service Fees'!I$17)*100</f>
        <v>0</v>
      </c>
      <c r="J37">
        <f>SUMIFS(Detail!$AS:$AS,Detail!$G:$G,'Rates-Service Fees'!J$23,Detail!$H:$H,'Rates-Service Fees'!J$17)*100</f>
        <v>0</v>
      </c>
      <c r="K37">
        <f>SUMIFS(Detail!$AS:$AS,Detail!$G:$G,'Rates-Service Fees'!K$23,Detail!$H:$H,'Rates-Service Fees'!K$17)*100</f>
        <v>0</v>
      </c>
      <c r="L37">
        <f>SUMIFS(Detail!$AS:$AS,Detail!$G:$G,'Rates-Service Fees'!L$23,Detail!$H:$H,'Rates-Service Fees'!L$17)*100</f>
        <v>0</v>
      </c>
      <c r="M37">
        <f>SUMIFS(Detail!$AS:$AS,Detail!$G:$G,'Rates-Service Fees'!M$23,Detail!$H:$H,'Rates-Service Fees'!M$17)*100</f>
        <v>0</v>
      </c>
      <c r="N37">
        <f>SUMIFS(Detail!$AS:$AS,Detail!$G:$G,'Rates-Service Fees'!N$23,Detail!$H:$H,'Rates-Service Fees'!N$17)*100</f>
        <v>0</v>
      </c>
      <c r="O37">
        <f>SUMIFS(Detail!$AS:$AS,Detail!$G:$G,'Rates-Service Fees'!O$23,Detail!$H:$H,'Rates-Service Fees'!O$17)*100</f>
        <v>0</v>
      </c>
      <c r="P37">
        <f>SUMIFS(Detail!$AS:$AS,Detail!$G:$G,'Rates-Service Fees'!P$23,Detail!$H:$H,'Rates-Service Fees'!P$17)*100</f>
        <v>0</v>
      </c>
      <c r="Q37">
        <f>SUMIFS(Detail!$AS:$AS,Detail!$G:$G,'Rates-Service Fees'!Q$23,Detail!$H:$H,'Rates-Service Fees'!Q$17)*100</f>
        <v>0</v>
      </c>
      <c r="R37">
        <f>SUMIFS(Detail!$AS:$AS,Detail!$G:$G,'Rates-Service Fees'!R$23,Detail!$H:$H,'Rates-Service Fees'!R$17)*100</f>
        <v>0</v>
      </c>
      <c r="S37">
        <f>SUMIFS(Detail!$AS:$AS,Detail!$G:$G,'Rates-Service Fees'!S$23,Detail!$H:$H,'Rates-Service Fees'!S$17)*100</f>
        <v>0</v>
      </c>
      <c r="T37">
        <f>SUMIFS(Detail!$AS:$AS,Detail!$G:$G,'Rates-Service Fees'!T$23,Detail!$H:$H,'Rates-Service Fees'!T$17)*100</f>
        <v>0</v>
      </c>
      <c r="U37">
        <f>SUMIFS(Detail!$AS:$AS,Detail!$G:$G,'Rates-Service Fees'!U$23,Detail!$H:$H,'Rates-Service Fees'!U$17)*100</f>
        <v>0</v>
      </c>
      <c r="V37">
        <f>SUMIFS(Detail!$AS:$AS,Detail!$G:$G,'Rates-Service Fees'!V$23,Detail!$H:$H,'Rates-Service Fees'!V$17)*100</f>
        <v>0</v>
      </c>
      <c r="W37">
        <f>SUMIFS(Detail!$AS:$AS,Detail!$G:$G,'Rates-Service Fees'!W$23,Detail!$H:$H,'Rates-Service Fees'!W$17)*100</f>
        <v>0</v>
      </c>
      <c r="X37">
        <f>SUMIFS(Detail!$AS:$AS,Detail!$G:$G,'Rates-Service Fees'!X$23,Detail!$H:$H,'Rates-Service Fees'!X$17)*100</f>
        <v>0</v>
      </c>
      <c r="Y37">
        <f>SUMIFS(Detail!$AS:$AS,Detail!$G:$G,'Rates-Service Fees'!Y$23,Detail!$H:$H,'Rates-Service Fees'!Y$17)*100</f>
        <v>0</v>
      </c>
      <c r="Z37">
        <f>SUMIFS(Detail!$AS:$AS,Detail!$G:$G,'Rates-Service Fees'!Z$23,Detail!$H:$H,'Rates-Service Fees'!Z$17)*100</f>
        <v>0</v>
      </c>
      <c r="AA37">
        <f>SUMIFS(Detail!$AS:$AS,Detail!$G:$G,'Rates-Service Fees'!AA$23,Detail!$H:$H,'Rates-Service Fees'!AA$17)*100</f>
        <v>0</v>
      </c>
      <c r="AB37">
        <f>SUMIFS(Detail!$AS:$AS,Detail!$G:$G,'Rates-Service Fees'!AB$23,Detail!$H:$H,'Rates-Service Fees'!AB$17)*100</f>
        <v>0</v>
      </c>
      <c r="AC37">
        <f>SUMIFS(Detail!$AS:$AS,Detail!$G:$G,'Rates-Service Fees'!AC$23,Detail!$H:$H,'Rates-Service Fees'!AC$17)*100</f>
        <v>0</v>
      </c>
      <c r="AD37">
        <f>SUMIFS(Detail!$AS:$AS,Detail!$G:$G,'Rates-Service Fees'!AD$23,Detail!$H:$H,'Rates-Service Fees'!AD$17)*100</f>
        <v>0</v>
      </c>
      <c r="AE37">
        <f>SUMIFS(Detail!$AS:$AS,Detail!$G:$G,'Rates-Service Fees'!AE$23,Detail!$H:$H,'Rates-Service Fees'!AE$17)*100</f>
        <v>0</v>
      </c>
      <c r="AF37">
        <f>SUMIFS(Detail!$AS:$AS,Detail!$G:$G,'Rates-Service Fees'!AF$23,Detail!$H:$H,'Rates-Service Fees'!AF$17)*100</f>
        <v>0</v>
      </c>
      <c r="AG37">
        <f>SUMIFS(Detail!$AS:$AS,Detail!$G:$G,'Rates-Service Fees'!AG$23,Detail!$H:$H,'Rates-Service Fees'!AG$17)*100</f>
        <v>0</v>
      </c>
      <c r="AH37">
        <f>SUMIFS(Detail!$AS:$AS,Detail!$G:$G,'Rates-Service Fees'!AH$23,Detail!$H:$H,'Rates-Service Fees'!AH$17)*100</f>
        <v>0</v>
      </c>
      <c r="AI37">
        <f>SUMIFS(Detail!$AS:$AS,Detail!$G:$G,'Rates-Service Fees'!AI$23,Detail!$H:$H,'Rates-Service Fees'!AI$17)*100</f>
        <v>0</v>
      </c>
      <c r="AJ37">
        <f>SUMIFS(Detail!$AS:$AS,Detail!$G:$G,'Rates-Service Fees'!AJ$23,Detail!$H:$H,'Rates-Service Fees'!AJ$17)*100</f>
        <v>0</v>
      </c>
      <c r="AK37">
        <f>SUMIFS(Detail!$AS:$AS,Detail!$G:$G,'Rates-Service Fees'!AK$23,Detail!$H:$H,'Rates-Service Fees'!AK$17)*100</f>
        <v>0</v>
      </c>
      <c r="AL37">
        <f>SUMIFS(Detail!$AS:$AS,Detail!$G:$G,'Rates-Service Fees'!AL$23,Detail!$H:$H,'Rates-Service Fees'!AL$17)*100</f>
        <v>0</v>
      </c>
      <c r="AM37">
        <f>SUMIFS(Detail!$AS:$AS,Detail!$G:$G,'Rates-Service Fees'!AM$23,Detail!$H:$H,'Rates-Service Fees'!AM$17)*100</f>
        <v>0</v>
      </c>
      <c r="AN37">
        <f>SUMIFS(Detail!$AS:$AS,Detail!$G:$G,'Rates-Service Fees'!AN$23,Detail!$H:$H,'Rates-Service Fees'!AN$17)*100</f>
        <v>0</v>
      </c>
      <c r="AO37">
        <f>SUMIFS(Detail!$AS:$AS,Detail!$G:$G,'Rates-Service Fees'!AO$23,Detail!$H:$H,'Rates-Service Fees'!AO$17)*100</f>
        <v>0</v>
      </c>
      <c r="AP37">
        <f>SUMIFS(Detail!$AS:$AS,Detail!$G:$G,'Rates-Service Fees'!AP$23,Detail!$H:$H,'Rates-Service Fees'!AP$17)*100</f>
        <v>0</v>
      </c>
      <c r="AQ37">
        <f>SUMIFS(Detail!$AS:$AS,Detail!$G:$G,'Rates-Service Fees'!AQ$23,Detail!$H:$H,'Rates-Service Fees'!AQ$17)*100</f>
        <v>0</v>
      </c>
      <c r="AR37">
        <f>SUMIFS(Detail!$AS:$AS,Detail!$G:$G,'Rates-Service Fees'!AR$23,Detail!$H:$H,'Rates-Service Fees'!AR$17)*100</f>
        <v>0</v>
      </c>
      <c r="AS37">
        <f>SUMIFS(Detail!$AS:$AS,Detail!$G:$G,'Rates-Service Fees'!AS$23,Detail!$H:$H,'Rates-Service Fees'!AS$17)*100</f>
        <v>0</v>
      </c>
      <c r="AT37">
        <f>SUMIFS(Detail!$AS:$AS,Detail!$G:$G,'Rates-Service Fees'!AT$23,Detail!$H:$H,'Rates-Service Fees'!AT$17)*100</f>
        <v>0</v>
      </c>
      <c r="AU37">
        <f>SUMIFS(Detail!$AS:$AS,Detail!$G:$G,'Rates-Service Fees'!AU$23,Detail!$H:$H,'Rates-Service Fees'!AU$17)*100</f>
        <v>0</v>
      </c>
      <c r="AV37">
        <f>SUMIFS(Detail!$AS:$AS,Detail!$G:$G,'Rates-Service Fees'!AV$23,Detail!$H:$H,'Rates-Service Fees'!AV$17)*100</f>
        <v>0</v>
      </c>
      <c r="AW37">
        <f>SUMIFS(Detail!$AS:$AS,Detail!$G:$G,'Rates-Service Fees'!AW$23,Detail!$H:$H,'Rates-Service Fees'!AW$17)*100</f>
        <v>0</v>
      </c>
      <c r="AX37">
        <f>SUMIFS(Detail!$AS:$AS,Detail!$G:$G,'Rates-Service Fees'!AX$23,Detail!$H:$H,'Rates-Service Fees'!AX$17)*100</f>
        <v>0</v>
      </c>
      <c r="AY37">
        <f>SUMIFS(Detail!$AS:$AS,Detail!$G:$G,'Rates-Service Fees'!AY$23,Detail!$H:$H,'Rates-Service Fees'!AY$17)*100</f>
        <v>0</v>
      </c>
      <c r="AZ37">
        <f>SUMIFS(Detail!$AS:$AS,Detail!$G:$G,'Rates-Service Fees'!AZ$23,Detail!$H:$H,'Rates-Service Fees'!AZ$17)*100</f>
        <v>0</v>
      </c>
      <c r="BA37">
        <f>SUMIFS(Detail!$AS:$AS,Detail!$G:$G,'Rates-Service Fees'!BA$23,Detail!$H:$H,'Rates-Service Fees'!BA$17)*100</f>
        <v>0</v>
      </c>
      <c r="BB37">
        <f>SUMIFS(Detail!$AS:$AS,Detail!$G:$G,'Rates-Service Fees'!BB$23,Detail!$H:$H,'Rates-Service Fees'!BB$17)*100</f>
        <v>0</v>
      </c>
      <c r="BC37">
        <f>SUMIFS(Detail!$AS:$AS,Detail!$G:$G,'Rates-Service Fees'!BC$23,Detail!$H:$H,'Rates-Service Fees'!BC$17)*100</f>
        <v>0</v>
      </c>
      <c r="BD37">
        <f>SUMIFS(Detail!$AS:$AS,Detail!$G:$G,'Rates-Service Fees'!BD$23,Detail!$H:$H,'Rates-Service Fees'!BD$17)*100</f>
        <v>0</v>
      </c>
      <c r="BE37">
        <f>SUMIFS(Detail!$AS:$AS,Detail!$G:$G,'Rates-Service Fees'!BE$23,Detail!$H:$H,'Rates-Service Fees'!BE$17)*100</f>
        <v>0</v>
      </c>
      <c r="BF37">
        <f>SUMIFS(Detail!$AS:$AS,Detail!$G:$G,'Rates-Service Fees'!BF$23,Detail!$H:$H,'Rates-Service Fees'!BF$17)*100</f>
        <v>0</v>
      </c>
      <c r="BG37">
        <f>SUMIFS(Detail!$AS:$AS,Detail!$G:$G,'Rates-Service Fees'!BG$23,Detail!$H:$H,'Rates-Service Fees'!BG$17)*100</f>
        <v>0</v>
      </c>
      <c r="BH37">
        <f>SUMIFS(Detail!$AS:$AS,Detail!$G:$G,'Rates-Service Fees'!BH$23,Detail!$H:$H,'Rates-Service Fees'!BH$17)*100</f>
        <v>0</v>
      </c>
      <c r="BI37">
        <f>SUMIFS(Detail!$AS:$AS,Detail!$G:$G,'Rates-Service Fees'!BI$23,Detail!$H:$H,'Rates-Service Fees'!BI$17)*100</f>
        <v>0</v>
      </c>
      <c r="BJ37">
        <f>SUMIFS(Detail!$AS:$AS,Detail!$G:$G,'Rates-Service Fees'!BJ$23,Detail!$H:$H,'Rates-Service Fees'!BJ$17)*100</f>
        <v>0</v>
      </c>
      <c r="BK37">
        <f>SUMIFS(Detail!$AS:$AS,Detail!$G:$G,'Rates-Service Fees'!BK$23,Detail!$H:$H,'Rates-Service Fees'!BK$17)*100</f>
        <v>0</v>
      </c>
      <c r="BL37">
        <f>SUMIFS(Detail!$AS:$AS,Detail!$G:$G,'Rates-Service Fees'!BL$23,Detail!$H:$H,'Rates-Service Fees'!BL$17)*100</f>
        <v>0</v>
      </c>
      <c r="BM37">
        <f>SUMIFS(Detail!$AS:$AS,Detail!$G:$G,'Rates-Service Fees'!BM$23,Detail!$H:$H,'Rates-Service Fees'!BM$17)*100</f>
        <v>0</v>
      </c>
      <c r="BN37">
        <f>SUMIFS(Detail!$AS:$AS,Detail!$G:$G,'Rates-Service Fees'!BN$23,Detail!$H:$H,'Rates-Service Fees'!BN$17)*100</f>
        <v>0</v>
      </c>
      <c r="BO37">
        <f>SUMIFS(Detail!$AS:$AS,Detail!$G:$G,'Rates-Service Fees'!BO$23,Detail!$H:$H,'Rates-Service Fees'!BO$17)*100</f>
        <v>0</v>
      </c>
      <c r="BP37">
        <f>SUMIFS(Detail!$AS:$AS,Detail!$G:$G,'Rates-Service Fees'!BP$23,Detail!$H:$H,'Rates-Service Fees'!BP$17)*100</f>
        <v>0</v>
      </c>
      <c r="BQ37">
        <f>SUMIFS(Detail!$AS:$AS,Detail!$G:$G,'Rates-Service Fees'!BQ$23,Detail!$H:$H,'Rates-Service Fees'!BQ$17)*100</f>
        <v>0</v>
      </c>
      <c r="BR37">
        <f>SUMIFS(Detail!$AS:$AS,Detail!$G:$G,'Rates-Service Fees'!BR$23,Detail!$H:$H,'Rates-Service Fees'!BR$17)*100</f>
        <v>0</v>
      </c>
      <c r="BS37">
        <f>SUMIFS(Detail!$AS:$AS,Detail!$G:$G,'Rates-Service Fees'!BS$23,Detail!$H:$H,'Rates-Service Fees'!BS$17)*100</f>
        <v>0</v>
      </c>
      <c r="BT37">
        <f>SUMIFS(Detail!$AS:$AS,Detail!$G:$G,'Rates-Service Fees'!BT$23,Detail!$H:$H,'Rates-Service Fees'!BT$17)*100</f>
        <v>0</v>
      </c>
      <c r="BU37">
        <f>SUMIFS(Detail!$AS:$AS,Detail!$G:$G,'Rates-Service Fees'!BU$23,Detail!$H:$H,'Rates-Service Fees'!BU$17)*100</f>
        <v>0</v>
      </c>
      <c r="BV37">
        <f>SUMIFS(Detail!$AS:$AS,Detail!$G:$G,'Rates-Service Fees'!BV$23,Detail!$H:$H,'Rates-Service Fees'!BV$17)*100</f>
        <v>0</v>
      </c>
      <c r="BW37">
        <f>SUMIFS(Detail!$AS:$AS,Detail!$G:$G,'Rates-Service Fees'!BW$23,Detail!$H:$H,'Rates-Service Fees'!BW$17)*100</f>
        <v>0</v>
      </c>
      <c r="BX37">
        <f>SUMIFS(Detail!$AS:$AS,Detail!$G:$G,'Rates-Service Fees'!BX$23,Detail!$H:$H,'Rates-Service Fees'!BX$17)*100</f>
        <v>0</v>
      </c>
      <c r="BY37">
        <f>SUMIFS(Detail!$AS:$AS,Detail!$G:$G,'Rates-Service Fees'!BY$23,Detail!$H:$H,'Rates-Service Fees'!BY$17)*100</f>
        <v>0</v>
      </c>
      <c r="BZ37">
        <f>SUMIFS(Detail!$AS:$AS,Detail!$G:$G,'Rates-Service Fees'!BZ$23,Detail!$H:$H,'Rates-Service Fees'!BZ$17)*100</f>
        <v>0</v>
      </c>
      <c r="CA37">
        <f>SUMIFS(Detail!$AS:$AS,Detail!$G:$G,'Rates-Service Fees'!CA$23,Detail!$H:$H,'Rates-Service Fees'!CA$17)*100</f>
        <v>0</v>
      </c>
      <c r="CB37">
        <f>SUMIFS(Detail!$AS:$AS,Detail!$G:$G,'Rates-Service Fees'!CB$23,Detail!$H:$H,'Rates-Service Fees'!CB$17)*100</f>
        <v>0</v>
      </c>
      <c r="CC37">
        <f>SUMIFS(Detail!$AS:$AS,Detail!$G:$G,'Rates-Service Fees'!CC$23,Detail!$H:$H,'Rates-Service Fees'!CC$17)*100</f>
        <v>0</v>
      </c>
      <c r="CD37">
        <f>SUMIFS(Detail!$AS:$AS,Detail!$G:$G,'Rates-Service Fees'!CD$23,Detail!$H:$H,'Rates-Service Fees'!CD$17)*100</f>
        <v>0</v>
      </c>
      <c r="CE37">
        <f>SUMIFS(Detail!$AS:$AS,Detail!$G:$G,'Rates-Service Fees'!CE$23,Detail!$H:$H,'Rates-Service Fees'!CE$17)*100</f>
        <v>0</v>
      </c>
      <c r="CF37">
        <f>SUMIFS(Detail!$AS:$AS,Detail!$G:$G,'Rates-Service Fees'!CF$23,Detail!$H:$H,'Rates-Service Fees'!CF$17)*100</f>
        <v>0</v>
      </c>
      <c r="CG37">
        <f>SUMIFS(Detail!$AS:$AS,Detail!$G:$G,'Rates-Service Fees'!CG$23,Detail!$H:$H,'Rates-Service Fees'!CG$17)*100</f>
        <v>0</v>
      </c>
      <c r="CH37">
        <f>SUMIFS(Detail!$AS:$AS,Detail!$G:$G,'Rates-Service Fees'!CH$23,Detail!$H:$H,'Rates-Service Fees'!CH$17)*100</f>
        <v>0</v>
      </c>
      <c r="CI37">
        <f>SUMIFS(Detail!$AS:$AS,Detail!$G:$G,'Rates-Service Fees'!CI$23,Detail!$H:$H,'Rates-Service Fees'!CI$17)*100</f>
        <v>0</v>
      </c>
      <c r="CJ37">
        <f>SUMIFS(Detail!$AS:$AS,Detail!$G:$G,'Rates-Service Fees'!CJ$23,Detail!$H:$H,'Rates-Service Fees'!CJ$17)*100</f>
        <v>0</v>
      </c>
      <c r="CK37">
        <f>SUMIFS(Detail!$AS:$AS,Detail!$G:$G,'Rates-Service Fees'!CK$23,Detail!$H:$H,'Rates-Service Fees'!CK$17)*100</f>
        <v>0</v>
      </c>
      <c r="CL37">
        <f>SUMIFS(Detail!$AS:$AS,Detail!$G:$G,'Rates-Service Fees'!CL$23,Detail!$H:$H,'Rates-Service Fees'!CL$17)*100</f>
        <v>0</v>
      </c>
      <c r="CM37">
        <f>SUMIFS(Detail!$AS:$AS,Detail!$G:$G,'Rates-Service Fees'!CM$23,Detail!$H:$H,'Rates-Service Fees'!CM$17)*100</f>
        <v>0</v>
      </c>
      <c r="CN37">
        <f>SUMIFS(Detail!$AS:$AS,Detail!$G:$G,'Rates-Service Fees'!CN$23,Detail!$H:$H,'Rates-Service Fees'!CN$17)*100</f>
        <v>0</v>
      </c>
      <c r="CO37">
        <f>SUMIFS(Detail!$AS:$AS,Detail!$G:$G,'Rates-Service Fees'!CO$23,Detail!$H:$H,'Rates-Service Fees'!CO$17)*100</f>
        <v>0</v>
      </c>
      <c r="CP37">
        <f>SUMIFS(Detail!$AS:$AS,Detail!$G:$G,'Rates-Service Fees'!CP$23,Detail!$H:$H,'Rates-Service Fees'!CP$17)*100</f>
        <v>0</v>
      </c>
      <c r="CQ37">
        <f>SUMIFS(Detail!$AS:$AS,Detail!$G:$G,'Rates-Service Fees'!CQ$23,Detail!$H:$H,'Rates-Service Fees'!CQ$17)*100</f>
        <v>0</v>
      </c>
      <c r="CR37">
        <f>SUMIFS(Detail!$AS:$AS,Detail!$G:$G,'Rates-Service Fees'!CR$23,Detail!$H:$H,'Rates-Service Fees'!CR$17)*100</f>
        <v>0</v>
      </c>
      <c r="CS37">
        <f>SUMIFS(Detail!$AS:$AS,Detail!$G:$G,'Rates-Service Fees'!CS$23,Detail!$H:$H,'Rates-Service Fees'!CS$17)*100</f>
        <v>0</v>
      </c>
      <c r="CT37">
        <f>SUMIFS(Detail!$AS:$AS,Detail!$G:$G,'Rates-Service Fees'!CT$23,Detail!$H:$H,'Rates-Service Fees'!CT$17)*100</f>
        <v>0</v>
      </c>
      <c r="CU37">
        <f>SUMIFS(Detail!$AS:$AS,Detail!$G:$G,'Rates-Service Fees'!CU$23,Detail!$H:$H,'Rates-Service Fees'!CU$17)*100</f>
        <v>0</v>
      </c>
      <c r="CV37">
        <f>SUMIFS(Detail!$AS:$AS,Detail!$G:$G,'Rates-Service Fees'!CV$23,Detail!$H:$H,'Rates-Service Fees'!CV$17)*100</f>
        <v>0</v>
      </c>
      <c r="CW37">
        <f>SUMIFS(Detail!$AS:$AS,Detail!$G:$G,'Rates-Service Fees'!CW$23,Detail!$H:$H,'Rates-Service Fees'!CW$17)*100</f>
        <v>0</v>
      </c>
      <c r="CX37">
        <f>SUMIFS(Detail!$AS:$AS,Detail!$G:$G,'Rates-Service Fees'!CX$23,Detail!$H:$H,'Rates-Service Fees'!CX$17)*100</f>
        <v>0</v>
      </c>
      <c r="CY37">
        <f>SUMIFS(Detail!$AS:$AS,Detail!$G:$G,'Rates-Service Fees'!CY$23,Detail!$H:$H,'Rates-Service Fees'!CY$17)*100</f>
        <v>0</v>
      </c>
      <c r="CZ37">
        <f>SUMIFS(Detail!$AS:$AS,Detail!$G:$G,'Rates-Service Fees'!CZ$23,Detail!$H:$H,'Rates-Service Fees'!CZ$17)*100</f>
        <v>0</v>
      </c>
      <c r="DA37">
        <f>SUMIFS(Detail!$AS:$AS,Detail!$G:$G,'Rates-Service Fees'!DA$23,Detail!$H:$H,'Rates-Service Fees'!DA$17)*100</f>
        <v>0</v>
      </c>
      <c r="DB37">
        <f>SUMIFS(Detail!$AS:$AS,Detail!$G:$G,'Rates-Service Fees'!DB$23,Detail!$H:$H,'Rates-Service Fees'!DB$17)*100</f>
        <v>0</v>
      </c>
      <c r="DC37">
        <f>SUMIFS(Detail!$AS:$AS,Detail!$G:$G,'Rates-Service Fees'!DC$23,Detail!$H:$H,'Rates-Service Fees'!DC$17)*100</f>
        <v>0</v>
      </c>
      <c r="DD37">
        <f>SUMIFS(Detail!$AS:$AS,Detail!$G:$G,'Rates-Service Fees'!DD$23,Detail!$H:$H,'Rates-Service Fees'!DD$17)*100</f>
        <v>0</v>
      </c>
      <c r="DE37">
        <f>SUMIFS(Detail!$AS:$AS,Detail!$G:$G,'Rates-Service Fees'!DE$23,Detail!$H:$H,'Rates-Service Fees'!DE$17)*100</f>
        <v>0</v>
      </c>
      <c r="DF37">
        <f>SUMIFS(Detail!$AS:$AS,Detail!$G:$G,'Rates-Service Fees'!DF$23,Detail!$H:$H,'Rates-Service Fees'!DF$17)*100</f>
        <v>0</v>
      </c>
      <c r="DG37">
        <f>SUMIFS(Detail!$AS:$AS,Detail!$G:$G,'Rates-Service Fees'!DG$23,Detail!$H:$H,'Rates-Service Fees'!DG$17)*100</f>
        <v>0</v>
      </c>
      <c r="DH37">
        <f>SUMIFS(Detail!$AS:$AS,Detail!$G:$G,'Rates-Service Fees'!DH$23,Detail!$H:$H,'Rates-Service Fees'!DH$17)*100</f>
        <v>0</v>
      </c>
      <c r="DI37">
        <f>SUMIFS(Detail!$AS:$AS,Detail!$G:$G,'Rates-Service Fees'!DI$23,Detail!$H:$H,'Rates-Service Fees'!DI$17)*100</f>
        <v>0</v>
      </c>
      <c r="DJ37">
        <f>SUMIFS(Detail!$AS:$AS,Detail!$G:$G,'Rates-Service Fees'!DJ$23,Detail!$H:$H,'Rates-Service Fees'!DJ$17)*100</f>
        <v>0</v>
      </c>
      <c r="DK37">
        <f>SUMIFS(Detail!$AS:$AS,Detail!$G:$G,'Rates-Service Fees'!DK$23,Detail!$H:$H,'Rates-Service Fees'!DK$17)*100</f>
        <v>0</v>
      </c>
      <c r="DL37">
        <f>SUMIFS(Detail!$AS:$AS,Detail!$G:$G,'Rates-Service Fees'!DL$23,Detail!$H:$H,'Rates-Service Fees'!DL$17)*100</f>
        <v>0</v>
      </c>
      <c r="DM37">
        <f>SUMIFS(Detail!$AS:$AS,Detail!$G:$G,'Rates-Service Fees'!DM$23,Detail!$H:$H,'Rates-Service Fees'!DM$17)*100</f>
        <v>0</v>
      </c>
      <c r="DN37">
        <f>SUMIFS(Detail!$AS:$AS,Detail!$G:$G,'Rates-Service Fees'!DN$23,Detail!$H:$H,'Rates-Service Fees'!DN$17)*100</f>
        <v>0</v>
      </c>
      <c r="DO37">
        <f>SUMIFS(Detail!$AS:$AS,Detail!$G:$G,'Rates-Service Fees'!DO$23,Detail!$H:$H,'Rates-Service Fees'!DO$17)*100</f>
        <v>0</v>
      </c>
      <c r="DP37">
        <f>SUMIFS(Detail!$AS:$AS,Detail!$G:$G,'Rates-Service Fees'!DP$23,Detail!$H:$H,'Rates-Service Fees'!DP$17)*100</f>
        <v>0</v>
      </c>
      <c r="DQ37">
        <f>SUMIFS(Detail!$AS:$AS,Detail!$G:$G,'Rates-Service Fees'!DQ$23,Detail!$H:$H,'Rates-Service Fees'!DQ$17)*100</f>
        <v>0</v>
      </c>
      <c r="DR37">
        <f>SUMIFS(Detail!$AS:$AS,Detail!$G:$G,'Rates-Service Fees'!DR$23,Detail!$H:$H,'Rates-Service Fees'!DR$17)*100</f>
        <v>0</v>
      </c>
      <c r="DS37">
        <f>SUMIFS(Detail!$AS:$AS,Detail!$G:$G,'Rates-Service Fees'!DS$23,Detail!$H:$H,'Rates-Service Fees'!DS$17)*100</f>
        <v>0</v>
      </c>
      <c r="DT37">
        <f>SUMIFS(Detail!$AS:$AS,Detail!$G:$G,'Rates-Service Fees'!DT$23,Detail!$H:$H,'Rates-Service Fees'!DT$17)*100</f>
        <v>0</v>
      </c>
      <c r="DU37">
        <f>SUMIFS(Detail!$AS:$AS,Detail!$G:$G,'Rates-Service Fees'!DU$23,Detail!$H:$H,'Rates-Service Fees'!DU$17)*100</f>
        <v>0</v>
      </c>
      <c r="DV37">
        <f>SUMIFS(Detail!$AS:$AS,Detail!$G:$G,'Rates-Service Fees'!DV$23,Detail!$H:$H,'Rates-Service Fees'!DV$17)*100</f>
        <v>0</v>
      </c>
      <c r="DW37">
        <f>SUMIFS(Detail!$AS:$AS,Detail!$G:$G,'Rates-Service Fees'!DW$23,Detail!$H:$H,'Rates-Service Fees'!DW$17)*100</f>
        <v>0</v>
      </c>
      <c r="DX37">
        <f>SUMIFS(Detail!$AS:$AS,Detail!$G:$G,'Rates-Service Fees'!DX$23,Detail!$H:$H,'Rates-Service Fees'!DX$17)*100</f>
        <v>0</v>
      </c>
      <c r="DY37">
        <f>SUMIFS(Detail!$AS:$AS,Detail!$G:$G,'Rates-Service Fees'!DY$23,Detail!$H:$H,'Rates-Service Fees'!DY$17)*100</f>
        <v>0</v>
      </c>
      <c r="DZ37">
        <f>SUMIFS(Detail!$AS:$AS,Detail!$G:$G,'Rates-Service Fees'!DZ$23,Detail!$H:$H,'Rates-Service Fees'!DZ$17)*100</f>
        <v>0</v>
      </c>
      <c r="EA37">
        <f>SUMIFS(Detail!$AS:$AS,Detail!$G:$G,'Rates-Service Fees'!EA$23,Detail!$H:$H,'Rates-Service Fees'!EA$17)*100</f>
        <v>0</v>
      </c>
      <c r="EB37">
        <f>SUMIFS(Detail!$AS:$AS,Detail!$G:$G,'Rates-Service Fees'!EB$23,Detail!$H:$H,'Rates-Service Fees'!EB$17)*100</f>
        <v>0</v>
      </c>
      <c r="EC37">
        <f>SUMIFS(Detail!$AS:$AS,Detail!$G:$G,'Rates-Service Fees'!EC$23,Detail!$H:$H,'Rates-Service Fees'!EC$17)*100</f>
        <v>0</v>
      </c>
      <c r="ED37">
        <f>SUMIFS(Detail!$AS:$AS,Detail!$G:$G,'Rates-Service Fees'!ED$23,Detail!$H:$H,'Rates-Service Fees'!ED$17)*100</f>
        <v>0</v>
      </c>
      <c r="EE37">
        <f>SUMIFS(Detail!$AS:$AS,Detail!$G:$G,'Rates-Service Fees'!EE$23,Detail!$H:$H,'Rates-Service Fees'!EE$17)*100</f>
        <v>0</v>
      </c>
      <c r="EF37">
        <f>SUMIFS(Detail!$AS:$AS,Detail!$G:$G,'Rates-Service Fees'!EF$23,Detail!$H:$H,'Rates-Service Fees'!EF$17)*100</f>
        <v>0</v>
      </c>
      <c r="EG37">
        <f>SUMIFS(Detail!$AS:$AS,Detail!$G:$G,'Rates-Service Fees'!EG$23,Detail!$H:$H,'Rates-Service Fees'!EG$17)*100</f>
        <v>0</v>
      </c>
      <c r="EH37">
        <f>SUMIFS(Detail!$AS:$AS,Detail!$G:$G,'Rates-Service Fees'!EH$23,Detail!$H:$H,'Rates-Service Fees'!EH$17)*100</f>
        <v>0</v>
      </c>
      <c r="EI37">
        <f>SUMIFS(Detail!$AS:$AS,Detail!$G:$G,'Rates-Service Fees'!EI$23,Detail!$H:$H,'Rates-Service Fees'!EI$17)*100</f>
        <v>0</v>
      </c>
      <c r="EJ37">
        <f>SUMIFS(Detail!$AS:$AS,Detail!$G:$G,'Rates-Service Fees'!EJ$23,Detail!$H:$H,'Rates-Service Fees'!EJ$17)*100</f>
        <v>0</v>
      </c>
      <c r="EK37">
        <f>SUMIFS(Detail!$AS:$AS,Detail!$G:$G,'Rates-Service Fees'!EK$23,Detail!$H:$H,'Rates-Service Fees'!EK$17)*100</f>
        <v>0</v>
      </c>
      <c r="EL37">
        <f>SUMIFS(Detail!$AS:$AS,Detail!$G:$G,'Rates-Service Fees'!EL$23,Detail!$H:$H,'Rates-Service Fees'!EL$17)*100</f>
        <v>0</v>
      </c>
      <c r="EM37">
        <f>SUMIFS(Detail!$AS:$AS,Detail!$G:$G,'Rates-Service Fees'!EM$23,Detail!$H:$H,'Rates-Service Fees'!EM$17)*100</f>
        <v>0</v>
      </c>
      <c r="EN37">
        <f>SUMIFS(Detail!$AS:$AS,Detail!$G:$G,'Rates-Service Fees'!EN$23,Detail!$H:$H,'Rates-Service Fees'!EN$17)*100</f>
        <v>0</v>
      </c>
      <c r="EO37">
        <f>SUMIFS(Detail!$AS:$AS,Detail!$G:$G,'Rates-Service Fees'!EO$23,Detail!$H:$H,'Rates-Service Fees'!EO$17)*100</f>
        <v>0</v>
      </c>
      <c r="EP37">
        <f>SUMIFS(Detail!$AS:$AS,Detail!$G:$G,'Rates-Service Fees'!EP$23,Detail!$H:$H,'Rates-Service Fees'!EP$17)*100</f>
        <v>0</v>
      </c>
      <c r="EQ37">
        <f>SUMIFS(Detail!$AS:$AS,Detail!$G:$G,'Rates-Service Fees'!EQ$23,Detail!$H:$H,'Rates-Service Fees'!EQ$17)*100</f>
        <v>0</v>
      </c>
      <c r="ER37">
        <f>SUMIFS(Detail!$AS:$AS,Detail!$G:$G,'Rates-Service Fees'!ER$23,Detail!$H:$H,'Rates-Service Fees'!ER$17)*100</f>
        <v>0</v>
      </c>
      <c r="ES37">
        <f>SUMIFS(Detail!$AS:$AS,Detail!$G:$G,'Rates-Service Fees'!ES$23,Detail!$H:$H,'Rates-Service Fees'!ES$17)*100</f>
        <v>0</v>
      </c>
      <c r="ET37">
        <f>SUMIFS(Detail!$AS:$AS,Detail!$G:$G,'Rates-Service Fees'!ET$23,Detail!$H:$H,'Rates-Service Fees'!ET$17)*100</f>
        <v>0</v>
      </c>
      <c r="EU37">
        <f>SUMIFS(Detail!$AS:$AS,Detail!$G:$G,'Rates-Service Fees'!EU$23,Detail!$H:$H,'Rates-Service Fees'!EU$17)*100</f>
        <v>0</v>
      </c>
      <c r="EV37">
        <f>SUMIFS(Detail!$AS:$AS,Detail!$G:$G,'Rates-Service Fees'!EV$23,Detail!$H:$H,'Rates-Service Fees'!EV$17)*100</f>
        <v>0</v>
      </c>
      <c r="EW37">
        <f>SUMIFS(Detail!$AS:$AS,Detail!$G:$G,'Rates-Service Fees'!EW$23,Detail!$H:$H,'Rates-Service Fees'!EW$17)*100</f>
        <v>0</v>
      </c>
      <c r="EX37">
        <f>SUMIFS(Detail!$AS:$AS,Detail!$G:$G,'Rates-Service Fees'!EX$23,Detail!$H:$H,'Rates-Service Fees'!EX$17)*100</f>
        <v>0</v>
      </c>
      <c r="EY37">
        <f>SUMIFS(Detail!$AS:$AS,Detail!$G:$G,'Rates-Service Fees'!EY$23,Detail!$H:$H,'Rates-Service Fees'!EY$17)*100</f>
        <v>0</v>
      </c>
      <c r="EZ37">
        <f>SUMIFS(Detail!$AS:$AS,Detail!$G:$G,'Rates-Service Fees'!EZ$23,Detail!$H:$H,'Rates-Service Fees'!EZ$17)*100</f>
        <v>0</v>
      </c>
      <c r="FA37">
        <f>SUMIFS(Detail!$AS:$AS,Detail!$G:$G,'Rates-Service Fees'!FA$23,Detail!$H:$H,'Rates-Service Fees'!FA$17)*100</f>
        <v>0</v>
      </c>
      <c r="FB37">
        <f>SUMIFS(Detail!$AS:$AS,Detail!$G:$G,'Rates-Service Fees'!FB$23,Detail!$H:$H,'Rates-Service Fees'!FB$17)*100</f>
        <v>0</v>
      </c>
      <c r="FC37">
        <f>SUMIFS(Detail!$AS:$AS,Detail!$G:$G,'Rates-Service Fees'!FC$23,Detail!$H:$H,'Rates-Service Fees'!FC$17)*100</f>
        <v>0</v>
      </c>
      <c r="FD37">
        <f>SUMIFS(Detail!$AS:$AS,Detail!$G:$G,'Rates-Service Fees'!FD$23,Detail!$H:$H,'Rates-Service Fees'!FD$17)*100</f>
        <v>0</v>
      </c>
      <c r="FE37">
        <f>SUMIFS(Detail!$AS:$AS,Detail!$G:$G,'Rates-Service Fees'!FE$23,Detail!$H:$H,'Rates-Service Fees'!FE$17)*100</f>
        <v>0</v>
      </c>
      <c r="FF37">
        <f>SUMIFS(Detail!$AS:$AS,Detail!$G:$G,'Rates-Service Fees'!FF$23,Detail!$H:$H,'Rates-Service Fees'!FF$17)*100</f>
        <v>0</v>
      </c>
      <c r="FG37">
        <f>SUMIFS(Detail!$AS:$AS,Detail!$G:$G,'Rates-Service Fees'!FG$23,Detail!$H:$H,'Rates-Service Fees'!FG$17)*100</f>
        <v>0</v>
      </c>
      <c r="FH37">
        <f>SUMIFS(Detail!$AS:$AS,Detail!$G:$G,'Rates-Service Fees'!FH$23,Detail!$H:$H,'Rates-Service Fees'!FH$17)*100</f>
        <v>0</v>
      </c>
      <c r="FI37">
        <f>SUMIFS(Detail!$AS:$AS,Detail!$G:$G,'Rates-Service Fees'!FI$23,Detail!$H:$H,'Rates-Service Fees'!FI$17)*100</f>
        <v>0</v>
      </c>
      <c r="FJ37">
        <f>SUMIFS(Detail!$AS:$AS,Detail!$G:$G,'Rates-Service Fees'!FJ$23,Detail!$H:$H,'Rates-Service Fees'!FJ$17)*100</f>
        <v>0</v>
      </c>
      <c r="FK37">
        <f>SUMIFS(Detail!$AS:$AS,Detail!$G:$G,'Rates-Service Fees'!FK$23,Detail!$H:$H,'Rates-Service Fees'!FK$17)*100</f>
        <v>0</v>
      </c>
      <c r="FL37">
        <f>SUMIFS(Detail!$AS:$AS,Detail!$G:$G,'Rates-Service Fees'!FL$23,Detail!$H:$H,'Rates-Service Fees'!FL$17)*100</f>
        <v>0</v>
      </c>
      <c r="FM37">
        <f>SUMIFS(Detail!$AS:$AS,Detail!$G:$G,'Rates-Service Fees'!FM$23,Detail!$H:$H,'Rates-Service Fees'!FM$17)*100</f>
        <v>0</v>
      </c>
      <c r="FN37">
        <f>SUMIFS(Detail!$AS:$AS,Detail!$G:$G,'Rates-Service Fees'!FN$23,Detail!$H:$H,'Rates-Service Fees'!FN$17)*100</f>
        <v>0</v>
      </c>
      <c r="FO37">
        <f>SUMIFS(Detail!$AS:$AS,Detail!$G:$G,'Rates-Service Fees'!FO$23,Detail!$H:$H,'Rates-Service Fees'!FO$17)*100</f>
        <v>0</v>
      </c>
      <c r="FP37">
        <f>SUMIFS(Detail!$AS:$AS,Detail!$G:$G,'Rates-Service Fees'!FP$23,Detail!$H:$H,'Rates-Service Fees'!FP$17)*100</f>
        <v>0</v>
      </c>
      <c r="FQ37">
        <f>SUMIFS(Detail!$AS:$AS,Detail!$G:$G,'Rates-Service Fees'!FQ$23,Detail!$H:$H,'Rates-Service Fees'!FQ$17)*100</f>
        <v>0</v>
      </c>
      <c r="FR37">
        <f>SUMIFS(Detail!$AS:$AS,Detail!$G:$G,'Rates-Service Fees'!FR$23,Detail!$H:$H,'Rates-Service Fees'!FR$17)*100</f>
        <v>0</v>
      </c>
      <c r="FS37">
        <f>SUMIFS(Detail!$AS:$AS,Detail!$G:$G,'Rates-Service Fees'!FS$23,Detail!$H:$H,'Rates-Service Fees'!FS$17)*100</f>
        <v>0</v>
      </c>
      <c r="FT37">
        <f>SUMIFS(Detail!$AS:$AS,Detail!$G:$G,'Rates-Service Fees'!FT$23,Detail!$H:$H,'Rates-Service Fees'!FT$17)*100</f>
        <v>0</v>
      </c>
      <c r="FU37">
        <f>SUMIFS(Detail!$AS:$AS,Detail!$G:$G,'Rates-Service Fees'!FU$23,Detail!$H:$H,'Rates-Service Fees'!FU$17)*100</f>
        <v>0</v>
      </c>
      <c r="FV37">
        <f>SUMIFS(Detail!$AS:$AS,Detail!$G:$G,'Rates-Service Fees'!FV$23,Detail!$H:$H,'Rates-Service Fees'!FV$17)*100</f>
        <v>0</v>
      </c>
      <c r="FW37">
        <f>SUMIFS(Detail!$AS:$AS,Detail!$G:$G,'Rates-Service Fees'!FW$23,Detail!$H:$H,'Rates-Service Fees'!FW$17)*100</f>
        <v>0</v>
      </c>
      <c r="FX37">
        <f>SUMIFS(Detail!$AS:$AS,Detail!$G:$G,'Rates-Service Fees'!FX$23,Detail!$H:$H,'Rates-Service Fees'!FX$17)*100</f>
        <v>0</v>
      </c>
      <c r="FY37">
        <f>SUMIFS(Detail!$AS:$AS,Detail!$G:$G,'Rates-Service Fees'!FY$23,Detail!$H:$H,'Rates-Service Fees'!FY$17)*100</f>
        <v>0</v>
      </c>
      <c r="FZ37">
        <f>SUMIFS(Detail!$AS:$AS,Detail!$G:$G,'Rates-Service Fees'!FZ$23,Detail!$H:$H,'Rates-Service Fees'!FZ$17)*100</f>
        <v>0</v>
      </c>
      <c r="GA37">
        <f>SUMIFS(Detail!$AS:$AS,Detail!$G:$G,'Rates-Service Fees'!GA$23,Detail!$H:$H,'Rates-Service Fees'!GA$17)*100</f>
        <v>0</v>
      </c>
      <c r="GB37">
        <f>SUMIFS(Detail!$AS:$AS,Detail!$G:$G,'Rates-Service Fees'!GB$23,Detail!$H:$H,'Rates-Service Fees'!GB$17)*100</f>
        <v>0</v>
      </c>
      <c r="GC37">
        <f>SUMIFS(Detail!$AS:$AS,Detail!$G:$G,'Rates-Service Fees'!GC$23,Detail!$H:$H,'Rates-Service Fees'!GC$17)*100</f>
        <v>0</v>
      </c>
      <c r="GD37">
        <f>SUMIFS(Detail!$AS:$AS,Detail!$G:$G,'Rates-Service Fees'!GD$23,Detail!$H:$H,'Rates-Service Fees'!GD$17)*100</f>
        <v>0</v>
      </c>
      <c r="GE37">
        <f>SUMIFS(Detail!$AS:$AS,Detail!$G:$G,'Rates-Service Fees'!GE$23,Detail!$H:$H,'Rates-Service Fees'!GE$17)*100</f>
        <v>0</v>
      </c>
      <c r="GF37">
        <f>SUMIFS(Detail!$AS:$AS,Detail!$G:$G,'Rates-Service Fees'!GF$23,Detail!$H:$H,'Rates-Service Fees'!GF$17)*100</f>
        <v>0</v>
      </c>
      <c r="GG37">
        <f>SUMIFS(Detail!$AS:$AS,Detail!$G:$G,'Rates-Service Fees'!GG$23,Detail!$H:$H,'Rates-Service Fees'!GG$17)*100</f>
        <v>0</v>
      </c>
      <c r="GH37">
        <f>SUMIFS(Detail!$AS:$AS,Detail!$G:$G,'Rates-Service Fees'!GH$23,Detail!$H:$H,'Rates-Service Fees'!GH$17)*100</f>
        <v>0</v>
      </c>
      <c r="GI37">
        <f>SUMIFS(Detail!$AS:$AS,Detail!$G:$G,'Rates-Service Fees'!GI$23,Detail!$H:$H,'Rates-Service Fees'!GI$17)*100</f>
        <v>0</v>
      </c>
      <c r="GJ37">
        <f>SUMIFS(Detail!$AS:$AS,Detail!$G:$G,'Rates-Service Fees'!GJ$23,Detail!$H:$H,'Rates-Service Fees'!GJ$17)*100</f>
        <v>0</v>
      </c>
      <c r="GK37">
        <f>SUMIFS(Detail!$AS:$AS,Detail!$G:$G,'Rates-Service Fees'!GK$23,Detail!$H:$H,'Rates-Service Fees'!GK$17)*100</f>
        <v>0</v>
      </c>
      <c r="GL37">
        <f>SUMIFS(Detail!$AS:$AS,Detail!$G:$G,'Rates-Service Fees'!GL$23,Detail!$H:$H,'Rates-Service Fees'!GL$17)*100</f>
        <v>0</v>
      </c>
      <c r="GM37">
        <f>SUMIFS(Detail!$AS:$AS,Detail!$G:$G,'Rates-Service Fees'!GM$23,Detail!$H:$H,'Rates-Service Fees'!GM$17)*100</f>
        <v>0</v>
      </c>
      <c r="GN37">
        <f>SUMIFS(Detail!$AS:$AS,Detail!$G:$G,'Rates-Service Fees'!GN$23,Detail!$H:$H,'Rates-Service Fees'!GN$17)*100</f>
        <v>0</v>
      </c>
      <c r="GO37">
        <f>SUMIFS(Detail!$AS:$AS,Detail!$G:$G,'Rates-Service Fees'!GO$23,Detail!$H:$H,'Rates-Service Fees'!GO$17)*100</f>
        <v>0</v>
      </c>
      <c r="GP37">
        <f>SUMIFS(Detail!$AS:$AS,Detail!$G:$G,'Rates-Service Fees'!GP$23,Detail!$H:$H,'Rates-Service Fees'!GP$17)*100</f>
        <v>0</v>
      </c>
      <c r="GQ37">
        <f>SUMIFS(Detail!$AS:$AS,Detail!$G:$G,'Rates-Service Fees'!GQ$23,Detail!$H:$H,'Rates-Service Fees'!GQ$17)*100</f>
        <v>0</v>
      </c>
      <c r="GR37">
        <f>SUMIFS(Detail!$AS:$AS,Detail!$G:$G,'Rates-Service Fees'!GR$23,Detail!$H:$H,'Rates-Service Fees'!GR$17)*100</f>
        <v>0</v>
      </c>
      <c r="GS37">
        <f>SUMIFS(Detail!$AS:$AS,Detail!$G:$G,'Rates-Service Fees'!GS$23,Detail!$H:$H,'Rates-Service Fees'!GS$17)*100</f>
        <v>0</v>
      </c>
      <c r="GT37">
        <f>SUMIFS(Detail!$AS:$AS,Detail!$G:$G,'Rates-Service Fees'!GT$23,Detail!$H:$H,'Rates-Service Fees'!GT$17)*100</f>
        <v>0</v>
      </c>
      <c r="GU37">
        <f>SUMIFS(Detail!$AS:$AS,Detail!$G:$G,'Rates-Service Fees'!GU$23,Detail!$H:$H,'Rates-Service Fees'!GU$17)*100</f>
        <v>0</v>
      </c>
      <c r="GV37">
        <f>SUMIFS(Detail!$AS:$AS,Detail!$G:$G,'Rates-Service Fees'!GV$23,Detail!$H:$H,'Rates-Service Fees'!GV$17)*100</f>
        <v>0</v>
      </c>
      <c r="GW37">
        <f>SUMIFS(Detail!$AS:$AS,Detail!$G:$G,'Rates-Service Fees'!GW$23,Detail!$H:$H,'Rates-Service Fees'!GW$17)*100</f>
        <v>0</v>
      </c>
      <c r="GX37">
        <f>SUMIFS(Detail!$AS:$AS,Detail!$G:$G,'Rates-Service Fees'!GX$23,Detail!$H:$H,'Rates-Service Fees'!GX$17)*100</f>
        <v>0</v>
      </c>
      <c r="GY37">
        <f>SUMIFS(Detail!$AS:$AS,Detail!$G:$G,'Rates-Service Fees'!GY$23,Detail!$H:$H,'Rates-Service Fees'!GY$17)*100</f>
        <v>0</v>
      </c>
      <c r="GZ37">
        <f>SUMIFS(Detail!$AS:$AS,Detail!$G:$G,'Rates-Service Fees'!GZ$23,Detail!$H:$H,'Rates-Service Fees'!GZ$17)*100</f>
        <v>0</v>
      </c>
      <c r="HA37">
        <f>SUMIFS(Detail!$AS:$AS,Detail!$G:$G,'Rates-Service Fees'!HA$23,Detail!$H:$H,'Rates-Service Fees'!HA$17)*100</f>
        <v>0</v>
      </c>
      <c r="HB37">
        <f>SUMIFS(Detail!$AS:$AS,Detail!$G:$G,'Rates-Service Fees'!HB$23,Detail!$H:$H,'Rates-Service Fees'!HB$17)*100</f>
        <v>0</v>
      </c>
      <c r="HC37">
        <f>SUMIFS(Detail!$AS:$AS,Detail!$G:$G,'Rates-Service Fees'!HC$23,Detail!$H:$H,'Rates-Service Fees'!HC$17)*100</f>
        <v>0</v>
      </c>
      <c r="HD37">
        <f>SUMIFS(Detail!$AS:$AS,Detail!$G:$G,'Rates-Service Fees'!HD$23,Detail!$H:$H,'Rates-Service Fees'!HD$17)*100</f>
        <v>0</v>
      </c>
      <c r="HE37">
        <f>SUMIFS(Detail!$AS:$AS,Detail!$G:$G,'Rates-Service Fees'!HE$23,Detail!$H:$H,'Rates-Service Fees'!HE$17)*100</f>
        <v>0</v>
      </c>
      <c r="HF37">
        <f>SUMIFS(Detail!$AS:$AS,Detail!$G:$G,'Rates-Service Fees'!HF$23,Detail!$H:$H,'Rates-Service Fees'!HF$17)*100</f>
        <v>0</v>
      </c>
      <c r="HG37">
        <f>SUMIFS(Detail!$AS:$AS,Detail!$G:$G,'Rates-Service Fees'!HG$23,Detail!$H:$H,'Rates-Service Fees'!HG$17)*100</f>
        <v>0</v>
      </c>
      <c r="HH37">
        <f>SUMIFS(Detail!$AS:$AS,Detail!$G:$G,'Rates-Service Fees'!HH$23,Detail!$H:$H,'Rates-Service Fees'!HH$17)*100</f>
        <v>0</v>
      </c>
      <c r="HI37">
        <f>SUMIFS(Detail!$AS:$AS,Detail!$G:$G,'Rates-Service Fees'!HI$23,Detail!$H:$H,'Rates-Service Fees'!HI$17)*100</f>
        <v>0</v>
      </c>
      <c r="HJ37">
        <f>SUMIFS(Detail!$AS:$AS,Detail!$G:$G,'Rates-Service Fees'!HJ$23,Detail!$H:$H,'Rates-Service Fees'!HJ$17)*100</f>
        <v>0</v>
      </c>
      <c r="HK37">
        <f>SUMIFS(Detail!$AS:$AS,Detail!$G:$G,'Rates-Service Fees'!HK$23,Detail!$H:$H,'Rates-Service Fees'!HK$17)*100</f>
        <v>0</v>
      </c>
      <c r="HL37">
        <f>SUMIFS(Detail!$AS:$AS,Detail!$G:$G,'Rates-Service Fees'!HL$23,Detail!$H:$H,'Rates-Service Fees'!HL$17)*100</f>
        <v>0</v>
      </c>
      <c r="HM37">
        <f>SUMIFS(Detail!$AS:$AS,Detail!$G:$G,'Rates-Service Fees'!HM$23,Detail!$H:$H,'Rates-Service Fees'!HM$17)*100</f>
        <v>0</v>
      </c>
      <c r="HN37">
        <f>SUMIFS(Detail!$AS:$AS,Detail!$G:$G,'Rates-Service Fees'!HN$23,Detail!$H:$H,'Rates-Service Fees'!HN$17)*100</f>
        <v>0</v>
      </c>
      <c r="HO37">
        <f>SUMIFS(Detail!$AS:$AS,Detail!$G:$G,'Rates-Service Fees'!HO$23,Detail!$H:$H,'Rates-Service Fees'!HO$17)*100</f>
        <v>0</v>
      </c>
      <c r="HP37">
        <f>SUMIFS(Detail!$AS:$AS,Detail!$G:$G,'Rates-Service Fees'!HP$23,Detail!$H:$H,'Rates-Service Fees'!HP$17)*100</f>
        <v>0</v>
      </c>
      <c r="HQ37">
        <f>SUMIFS(Detail!$AS:$AS,Detail!$G:$G,'Rates-Service Fees'!HQ$23,Detail!$H:$H,'Rates-Service Fees'!HQ$17)*100</f>
        <v>0</v>
      </c>
      <c r="HR37">
        <f>SUMIFS(Detail!$AS:$AS,Detail!$G:$G,'Rates-Service Fees'!HR$23,Detail!$H:$H,'Rates-Service Fees'!HR$17)*100</f>
        <v>0</v>
      </c>
      <c r="HS37">
        <f>SUMIFS(Detail!$AS:$AS,Detail!$G:$G,'Rates-Service Fees'!HS$23,Detail!$H:$H,'Rates-Service Fees'!HS$17)*100</f>
        <v>0</v>
      </c>
      <c r="HT37">
        <f>SUMIFS(Detail!$AS:$AS,Detail!$G:$G,'Rates-Service Fees'!HT$23,Detail!$H:$H,'Rates-Service Fees'!HT$17)*100</f>
        <v>0</v>
      </c>
      <c r="HU37">
        <f>SUMIFS(Detail!$AS:$AS,Detail!$G:$G,'Rates-Service Fees'!HU$23,Detail!$H:$H,'Rates-Service Fees'!HU$17)*100</f>
        <v>0</v>
      </c>
      <c r="HV37">
        <f>SUMIFS(Detail!$AS:$AS,Detail!$G:$G,'Rates-Service Fees'!HV$23,Detail!$H:$H,'Rates-Service Fees'!HV$17)*100</f>
        <v>0</v>
      </c>
      <c r="HW37">
        <f>SUMIFS(Detail!$AS:$AS,Detail!$G:$G,'Rates-Service Fees'!HW$23,Detail!$H:$H,'Rates-Service Fees'!HW$17)*100</f>
        <v>0</v>
      </c>
      <c r="HX37">
        <f>SUMIFS(Detail!$AS:$AS,Detail!$G:$G,'Rates-Service Fees'!HX$23,Detail!$H:$H,'Rates-Service Fees'!HX$17)*100</f>
        <v>0</v>
      </c>
      <c r="HY37">
        <f>SUMIFS(Detail!$AS:$AS,Detail!$G:$G,'Rates-Service Fees'!HY$23,Detail!$H:$H,'Rates-Service Fees'!HY$17)*100</f>
        <v>0</v>
      </c>
      <c r="HZ37">
        <f>SUMIFS(Detail!$AS:$AS,Detail!$G:$G,'Rates-Service Fees'!HZ$23,Detail!$H:$H,'Rates-Service Fees'!HZ$17)*100</f>
        <v>0</v>
      </c>
      <c r="IA37">
        <f>SUMIFS(Detail!$AS:$AS,Detail!$G:$G,'Rates-Service Fees'!IA$23,Detail!$H:$H,'Rates-Service Fees'!IA$17)*100</f>
        <v>0</v>
      </c>
      <c r="IB37">
        <f>SUMIFS(Detail!$AS:$AS,Detail!$G:$G,'Rates-Service Fees'!IB$23,Detail!$H:$H,'Rates-Service Fees'!IB$17)*100</f>
        <v>0</v>
      </c>
      <c r="IC37">
        <f>SUMIFS(Detail!$AS:$AS,Detail!$G:$G,'Rates-Service Fees'!IC$23,Detail!$H:$H,'Rates-Service Fees'!IC$17)*100</f>
        <v>0</v>
      </c>
      <c r="ID37">
        <f>SUMIFS(Detail!$AS:$AS,Detail!$G:$G,'Rates-Service Fees'!ID$23,Detail!$H:$H,'Rates-Service Fees'!ID$17)*100</f>
        <v>0</v>
      </c>
      <c r="IE37">
        <f>SUMIFS(Detail!$AS:$AS,Detail!$G:$G,'Rates-Service Fees'!IE$23,Detail!$H:$H,'Rates-Service Fees'!IE$17)*100</f>
        <v>0</v>
      </c>
      <c r="IF37">
        <f>SUMIFS(Detail!$AS:$AS,Detail!$G:$G,'Rates-Service Fees'!IF$23,Detail!$H:$H,'Rates-Service Fees'!IF$17)*100</f>
        <v>0</v>
      </c>
      <c r="IG37">
        <f>SUMIFS(Detail!$AS:$AS,Detail!$G:$G,'Rates-Service Fees'!IG$23,Detail!$H:$H,'Rates-Service Fees'!IG$17)*100</f>
        <v>0</v>
      </c>
      <c r="IH37">
        <f>SUMIFS(Detail!$AS:$AS,Detail!$G:$G,'Rates-Service Fees'!IH$23,Detail!$H:$H,'Rates-Service Fees'!IH$17)*100</f>
        <v>0</v>
      </c>
      <c r="II37">
        <f>SUMIFS(Detail!$AS:$AS,Detail!$G:$G,'Rates-Service Fees'!II$23,Detail!$H:$H,'Rates-Service Fees'!II$17)*100</f>
        <v>0</v>
      </c>
      <c r="IJ37">
        <f>SUMIFS(Detail!$AS:$AS,Detail!$G:$G,'Rates-Service Fees'!IJ$23,Detail!$H:$H,'Rates-Service Fees'!IJ$17)*100</f>
        <v>0</v>
      </c>
      <c r="IK37">
        <f>SUMIFS(Detail!$AS:$AS,Detail!$G:$G,'Rates-Service Fees'!IK$23,Detail!$H:$H,'Rates-Service Fees'!IK$17)*100</f>
        <v>0</v>
      </c>
      <c r="IL37">
        <f>SUMIFS(Detail!$AS:$AS,Detail!$G:$G,'Rates-Service Fees'!IL$23,Detail!$H:$H,'Rates-Service Fees'!IL$17)*100</f>
        <v>0</v>
      </c>
      <c r="IM37">
        <f>SUMIFS(Detail!$AS:$AS,Detail!$G:$G,'Rates-Service Fees'!IM$23,Detail!$H:$H,'Rates-Service Fees'!IM$17)*100</f>
        <v>0</v>
      </c>
      <c r="IN37">
        <f>SUMIFS(Detail!$AS:$AS,Detail!$G:$G,'Rates-Service Fees'!IN$23,Detail!$H:$H,'Rates-Service Fees'!IN$17)*100</f>
        <v>0</v>
      </c>
      <c r="IO37">
        <f>SUMIFS(Detail!$AS:$AS,Detail!$G:$G,'Rates-Service Fees'!IO$23,Detail!$H:$H,'Rates-Service Fees'!IO$17)*100</f>
        <v>0</v>
      </c>
      <c r="IP37">
        <f>SUMIFS(Detail!$AS:$AS,Detail!$G:$G,'Rates-Service Fees'!IP$23,Detail!$H:$H,'Rates-Service Fees'!IP$17)*100</f>
        <v>0</v>
      </c>
      <c r="IQ37">
        <f>SUMIFS(Detail!$AS:$AS,Detail!$G:$G,'Rates-Service Fees'!IQ$23,Detail!$H:$H,'Rates-Service Fees'!IQ$17)*100</f>
        <v>0</v>
      </c>
      <c r="IR37">
        <f>SUMIFS(Detail!$AS:$AS,Detail!$G:$G,'Rates-Service Fees'!IR$23,Detail!$H:$H,'Rates-Service Fees'!IR$17)*100</f>
        <v>0</v>
      </c>
      <c r="IS37">
        <f>SUMIFS(Detail!$AS:$AS,Detail!$G:$G,'Rates-Service Fees'!IS$23,Detail!$H:$H,'Rates-Service Fees'!IS$17)*100</f>
        <v>0</v>
      </c>
      <c r="IT37">
        <f>SUMIFS(Detail!$AS:$AS,Detail!$G:$G,'Rates-Service Fees'!IT$23,Detail!$H:$H,'Rates-Service Fees'!IT$17)*100</f>
        <v>0</v>
      </c>
      <c r="IU37">
        <f>SUMIFS(Detail!$AS:$AS,Detail!$G:$G,'Rates-Service Fees'!IU$23,Detail!$H:$H,'Rates-Service Fees'!IU$17)*100</f>
        <v>0</v>
      </c>
      <c r="IV37">
        <f>SUMIFS(Detail!$AS:$AS,Detail!$G:$G,'Rates-Service Fees'!IV$23,Detail!$H:$H,'Rates-Service Fees'!IV$17)*100</f>
        <v>0</v>
      </c>
      <c r="IW37">
        <f>SUMIFS(Detail!$AS:$AS,Detail!$G:$G,'Rates-Service Fees'!IW$23,Detail!$H:$H,'Rates-Service Fees'!IW$17)*100</f>
        <v>0</v>
      </c>
      <c r="IX37">
        <f>SUMIFS(Detail!$AS:$AS,Detail!$G:$G,'Rates-Service Fees'!IX$23,Detail!$H:$H,'Rates-Service Fees'!IX$17)*100</f>
        <v>0</v>
      </c>
      <c r="IY37">
        <f>SUMIFS(Detail!$AS:$AS,Detail!$G:$G,'Rates-Service Fees'!IY$23,Detail!$H:$H,'Rates-Service Fees'!IY$17)*100</f>
        <v>0</v>
      </c>
      <c r="IZ37">
        <f>SUMIFS(Detail!$AS:$AS,Detail!$G:$G,'Rates-Service Fees'!IZ$23,Detail!$H:$H,'Rates-Service Fees'!IZ$17)*100</f>
        <v>0</v>
      </c>
      <c r="JA37">
        <f>SUMIFS(Detail!$AS:$AS,Detail!$G:$G,'Rates-Service Fees'!JA$23,Detail!$H:$H,'Rates-Service Fees'!JA$17)*100</f>
        <v>0</v>
      </c>
      <c r="JB37">
        <f>SUMIFS(Detail!$AS:$AS,Detail!$G:$G,'Rates-Service Fees'!JB$23,Detail!$H:$H,'Rates-Service Fees'!JB$17)*100</f>
        <v>0</v>
      </c>
      <c r="JC37">
        <f>SUMIFS(Detail!$AS:$AS,Detail!$G:$G,'Rates-Service Fees'!JC$23,Detail!$H:$H,'Rates-Service Fees'!JC$17)*100</f>
        <v>0</v>
      </c>
      <c r="JD37">
        <f>SUMIFS(Detail!$AS:$AS,Detail!$G:$G,'Rates-Service Fees'!JD$23,Detail!$H:$H,'Rates-Service Fees'!JD$17)*100</f>
        <v>0</v>
      </c>
      <c r="JE37">
        <f>SUMIFS(Detail!$AS:$AS,Detail!$G:$G,'Rates-Service Fees'!JE$23,Detail!$H:$H,'Rates-Service Fees'!JE$17)*100</f>
        <v>0</v>
      </c>
      <c r="JF37">
        <f>SUMIFS(Detail!$AS:$AS,Detail!$G:$G,'Rates-Service Fees'!JF$23,Detail!$H:$H,'Rates-Service Fees'!JF$17)*100</f>
        <v>0</v>
      </c>
      <c r="JG37">
        <f>SUMIFS(Detail!$AS:$AS,Detail!$G:$G,'Rates-Service Fees'!JG$23,Detail!$H:$H,'Rates-Service Fees'!JG$17)*100</f>
        <v>0</v>
      </c>
      <c r="JH37">
        <f>SUMIFS(Detail!$AS:$AS,Detail!$G:$G,'Rates-Service Fees'!JH$23,Detail!$H:$H,'Rates-Service Fees'!JH$17)*100</f>
        <v>0</v>
      </c>
      <c r="JI37">
        <f>SUMIFS(Detail!$AS:$AS,Detail!$G:$G,'Rates-Service Fees'!JI$23,Detail!$H:$H,'Rates-Service Fees'!JI$17)*100</f>
        <v>0</v>
      </c>
      <c r="JJ37">
        <f>SUMIFS(Detail!$AS:$AS,Detail!$G:$G,'Rates-Service Fees'!JJ$23,Detail!$H:$H,'Rates-Service Fees'!JJ$17)*100</f>
        <v>0</v>
      </c>
      <c r="JK37">
        <f>SUMIFS(Detail!$AS:$AS,Detail!$G:$G,'Rates-Service Fees'!JK$23,Detail!$H:$H,'Rates-Service Fees'!JK$17)*100</f>
        <v>0</v>
      </c>
      <c r="JL37">
        <f>SUMIFS(Detail!$AS:$AS,Detail!$G:$G,'Rates-Service Fees'!JL$23,Detail!$H:$H,'Rates-Service Fees'!JL$17)*100</f>
        <v>0</v>
      </c>
      <c r="JM37">
        <f>SUMIFS(Detail!$AS:$AS,Detail!$G:$G,'Rates-Service Fees'!JM$23,Detail!$H:$H,'Rates-Service Fees'!JM$17)*100</f>
        <v>0</v>
      </c>
      <c r="JN37">
        <f>SUMIFS(Detail!$AS:$AS,Detail!$G:$G,'Rates-Service Fees'!JN$23,Detail!$H:$H,'Rates-Service Fees'!JN$17)*100</f>
        <v>0</v>
      </c>
      <c r="JO37">
        <f>SUMIFS(Detail!$AS:$AS,Detail!$G:$G,'Rates-Service Fees'!JO$23,Detail!$H:$H,'Rates-Service Fees'!JO$17)*100</f>
        <v>0</v>
      </c>
      <c r="JP37">
        <f>SUMIFS(Detail!$AS:$AS,Detail!$G:$G,'Rates-Service Fees'!JP$23,Detail!$H:$H,'Rates-Service Fees'!JP$17)*100</f>
        <v>0</v>
      </c>
      <c r="JQ37">
        <f>SUMIFS(Detail!$AS:$AS,Detail!$G:$G,'Rates-Service Fees'!JQ$23,Detail!$H:$H,'Rates-Service Fees'!JQ$17)*100</f>
        <v>0</v>
      </c>
      <c r="JR37">
        <f>SUMIFS(Detail!$AS:$AS,Detail!$G:$G,'Rates-Service Fees'!JR$23,Detail!$H:$H,'Rates-Service Fees'!JR$17)*100</f>
        <v>0</v>
      </c>
      <c r="JS37">
        <f>SUMIFS(Detail!$AS:$AS,Detail!$G:$G,'Rates-Service Fees'!JS$23,Detail!$H:$H,'Rates-Service Fees'!JS$17)*100</f>
        <v>0</v>
      </c>
      <c r="JT37">
        <f>SUMIFS(Detail!$AS:$AS,Detail!$G:$G,'Rates-Service Fees'!JT$23,Detail!$H:$H,'Rates-Service Fees'!JT$17)*100</f>
        <v>0</v>
      </c>
      <c r="JU37">
        <f>SUMIFS(Detail!$AS:$AS,Detail!$G:$G,'Rates-Service Fees'!JU$23,Detail!$H:$H,'Rates-Service Fees'!JU$17)*100</f>
        <v>0</v>
      </c>
      <c r="JV37">
        <f>SUMIFS(Detail!$AS:$AS,Detail!$G:$G,'Rates-Service Fees'!JV$23,Detail!$H:$H,'Rates-Service Fees'!JV$17)*100</f>
        <v>0</v>
      </c>
      <c r="JW37">
        <f>SUMIFS(Detail!$AS:$AS,Detail!$G:$G,'Rates-Service Fees'!JW$23,Detail!$H:$H,'Rates-Service Fees'!JW$17)*100</f>
        <v>0</v>
      </c>
      <c r="JX37">
        <f>SUMIFS(Detail!$AS:$AS,Detail!$G:$G,'Rates-Service Fees'!JX$23,Detail!$H:$H,'Rates-Service Fees'!JX$17)*100</f>
        <v>0</v>
      </c>
      <c r="JY37">
        <f>SUMIFS(Detail!$AS:$AS,Detail!$G:$G,'Rates-Service Fees'!JY$23,Detail!$H:$H,'Rates-Service Fees'!JY$17)*100</f>
        <v>0</v>
      </c>
      <c r="JZ37">
        <f>SUMIFS(Detail!$AS:$AS,Detail!$G:$G,'Rates-Service Fees'!JZ$23,Detail!$H:$H,'Rates-Service Fees'!JZ$17)*100</f>
        <v>0</v>
      </c>
      <c r="KA37">
        <f>SUMIFS(Detail!$AS:$AS,Detail!$G:$G,'Rates-Service Fees'!KA$23,Detail!$H:$H,'Rates-Service Fees'!KA$17)*100</f>
        <v>0</v>
      </c>
      <c r="KB37">
        <f>SUMIFS(Detail!$AS:$AS,Detail!$G:$G,'Rates-Service Fees'!KB$23,Detail!$H:$H,'Rates-Service Fees'!KB$17)*100</f>
        <v>0</v>
      </c>
      <c r="KC37">
        <f>SUMIFS(Detail!$AS:$AS,Detail!$G:$G,'Rates-Service Fees'!KC$23,Detail!$H:$H,'Rates-Service Fees'!KC$17)*100</f>
        <v>0</v>
      </c>
      <c r="KD37">
        <f>SUMIFS(Detail!$AS:$AS,Detail!$G:$G,'Rates-Service Fees'!KD$23,Detail!$H:$H,'Rates-Service Fees'!KD$17)*100</f>
        <v>0</v>
      </c>
      <c r="KE37">
        <f>SUMIFS(Detail!$AS:$AS,Detail!$G:$G,'Rates-Service Fees'!KE$23,Detail!$H:$H,'Rates-Service Fees'!KE$17)*100</f>
        <v>0</v>
      </c>
      <c r="KF37">
        <f>SUMIFS(Detail!$AS:$AS,Detail!$G:$G,'Rates-Service Fees'!KF$23,Detail!$H:$H,'Rates-Service Fees'!KF$17)*100</f>
        <v>0</v>
      </c>
      <c r="KG37">
        <f>SUMIFS(Detail!$AS:$AS,Detail!$G:$G,'Rates-Service Fees'!KG$23,Detail!$H:$H,'Rates-Service Fees'!KG$17)*100</f>
        <v>0</v>
      </c>
      <c r="KH37">
        <f>SUMIFS(Detail!$AS:$AS,Detail!$G:$G,'Rates-Service Fees'!KH$23,Detail!$H:$H,'Rates-Service Fees'!KH$17)*100</f>
        <v>0</v>
      </c>
      <c r="KI37">
        <f>SUMIFS(Detail!$AS:$AS,Detail!$G:$G,'Rates-Service Fees'!KI$23,Detail!$H:$H,'Rates-Service Fees'!KI$17)*100</f>
        <v>0</v>
      </c>
      <c r="KJ37">
        <f>SUMIFS(Detail!$AS:$AS,Detail!$G:$G,'Rates-Service Fees'!KJ$23,Detail!$H:$H,'Rates-Service Fees'!KJ$17)*100</f>
        <v>0</v>
      </c>
      <c r="KK37">
        <f>SUMIFS(Detail!$AS:$AS,Detail!$G:$G,'Rates-Service Fees'!KK$23,Detail!$H:$H,'Rates-Service Fees'!KK$17)*100</f>
        <v>0</v>
      </c>
      <c r="KL37">
        <f>SUMIFS(Detail!$AS:$AS,Detail!$G:$G,'Rates-Service Fees'!KL$23,Detail!$H:$H,'Rates-Service Fees'!KL$17)*100</f>
        <v>0</v>
      </c>
      <c r="KM37">
        <f>SUMIFS(Detail!$AS:$AS,Detail!$G:$G,'Rates-Service Fees'!KM$23,Detail!$H:$H,'Rates-Service Fees'!KM$17)*100</f>
        <v>0</v>
      </c>
      <c r="KN37">
        <f>SUMIFS(Detail!$AS:$AS,Detail!$G:$G,'Rates-Service Fees'!KN$23,Detail!$H:$H,'Rates-Service Fees'!KN$17)*100</f>
        <v>0</v>
      </c>
      <c r="KO37">
        <f>SUMIFS(Detail!$AS:$AS,Detail!$G:$G,'Rates-Service Fees'!KO$23,Detail!$H:$H,'Rates-Service Fees'!KO$17)*100</f>
        <v>0</v>
      </c>
      <c r="KP37">
        <f>SUMIFS(Detail!$AS:$AS,Detail!$G:$G,'Rates-Service Fees'!KP$23,Detail!$H:$H,'Rates-Service Fees'!KP$17)*100</f>
        <v>0</v>
      </c>
      <c r="KQ37">
        <f>SUMIFS(Detail!$AS:$AS,Detail!$G:$G,'Rates-Service Fees'!KQ$23,Detail!$H:$H,'Rates-Service Fees'!KQ$17)*100</f>
        <v>0</v>
      </c>
      <c r="KR37">
        <f>SUMIFS(Detail!$AS:$AS,Detail!$G:$G,'Rates-Service Fees'!KR$23,Detail!$H:$H,'Rates-Service Fees'!KR$17)*100</f>
        <v>0</v>
      </c>
      <c r="KS37">
        <f>SUMIFS(Detail!$AS:$AS,Detail!$G:$G,'Rates-Service Fees'!KS$23,Detail!$H:$H,'Rates-Service Fees'!KS$17)*100</f>
        <v>0</v>
      </c>
      <c r="KT37">
        <f>SUMIFS(Detail!$AS:$AS,Detail!$G:$G,'Rates-Service Fees'!KT$23,Detail!$H:$H,'Rates-Service Fees'!KT$17)*100</f>
        <v>0</v>
      </c>
      <c r="KU37">
        <f>SUMIFS(Detail!$AS:$AS,Detail!$G:$G,'Rates-Service Fees'!KU$23,Detail!$H:$H,'Rates-Service Fees'!KU$17)*100</f>
        <v>0</v>
      </c>
      <c r="KV37">
        <f>SUMIFS(Detail!$AS:$AS,Detail!$G:$G,'Rates-Service Fees'!KV$23,Detail!$H:$H,'Rates-Service Fees'!KV$17)*100</f>
        <v>0</v>
      </c>
      <c r="KW37">
        <f>SUMIFS(Detail!$AS:$AS,Detail!$G:$G,'Rates-Service Fees'!KW$23,Detail!$H:$H,'Rates-Service Fees'!KW$17)*100</f>
        <v>0</v>
      </c>
      <c r="KX37">
        <f>SUMIFS(Detail!$AS:$AS,Detail!$G:$G,'Rates-Service Fees'!KX$23,Detail!$H:$H,'Rates-Service Fees'!KX$17)*100</f>
        <v>0</v>
      </c>
      <c r="KY37">
        <f>SUMIFS(Detail!$AS:$AS,Detail!$G:$G,'Rates-Service Fees'!KY$23,Detail!$H:$H,'Rates-Service Fees'!KY$17)*100</f>
        <v>0</v>
      </c>
      <c r="KZ37">
        <f>SUMIFS(Detail!$AS:$AS,Detail!$G:$G,'Rates-Service Fees'!KZ$23,Detail!$H:$H,'Rates-Service Fees'!KZ$17)*100</f>
        <v>0</v>
      </c>
      <c r="LA37">
        <f>SUMIFS(Detail!$AS:$AS,Detail!$G:$G,'Rates-Service Fees'!LA$23,Detail!$H:$H,'Rates-Service Fees'!LA$17)*100</f>
        <v>0</v>
      </c>
      <c r="LB37">
        <f>SUMIFS(Detail!$AS:$AS,Detail!$G:$G,'Rates-Service Fees'!LB$23,Detail!$H:$H,'Rates-Service Fees'!LB$17)*100</f>
        <v>0</v>
      </c>
      <c r="LC37">
        <f>SUMIFS(Detail!$AS:$AS,Detail!$G:$G,'Rates-Service Fees'!LC$23,Detail!$H:$H,'Rates-Service Fees'!LC$17)*100</f>
        <v>0</v>
      </c>
      <c r="LD37">
        <f>SUMIFS(Detail!$AS:$AS,Detail!$G:$G,'Rates-Service Fees'!LD$23,Detail!$H:$H,'Rates-Service Fees'!LD$17)*100</f>
        <v>0</v>
      </c>
      <c r="LE37">
        <f>SUMIFS(Detail!$AS:$AS,Detail!$G:$G,'Rates-Service Fees'!LE$23,Detail!$H:$H,'Rates-Service Fees'!LE$17)*100</f>
        <v>0</v>
      </c>
      <c r="LF37">
        <f>SUMIFS(Detail!$AS:$AS,Detail!$G:$G,'Rates-Service Fees'!LF$23,Detail!$H:$H,'Rates-Service Fees'!LF$17)*100</f>
        <v>0</v>
      </c>
      <c r="LG37">
        <f>SUMIFS(Detail!$AS:$AS,Detail!$G:$G,'Rates-Service Fees'!LG$23,Detail!$H:$H,'Rates-Service Fees'!LG$17)*100</f>
        <v>0</v>
      </c>
      <c r="LH37">
        <f>SUMIFS(Detail!$AS:$AS,Detail!$G:$G,'Rates-Service Fees'!LH$23,Detail!$H:$H,'Rates-Service Fees'!LH$17)*100</f>
        <v>0</v>
      </c>
      <c r="LI37">
        <f>SUMIFS(Detail!$AS:$AS,Detail!$G:$G,'Rates-Service Fees'!LI$23,Detail!$H:$H,'Rates-Service Fees'!LI$17)*100</f>
        <v>0</v>
      </c>
      <c r="LJ37">
        <f>SUMIFS(Detail!$AS:$AS,Detail!$G:$G,'Rates-Service Fees'!LJ$23,Detail!$H:$H,'Rates-Service Fees'!LJ$17)*100</f>
        <v>0</v>
      </c>
      <c r="LK37">
        <f>SUMIFS(Detail!$AS:$AS,Detail!$G:$G,'Rates-Service Fees'!LK$23,Detail!$H:$H,'Rates-Service Fees'!LK$17)*100</f>
        <v>0</v>
      </c>
      <c r="LL37">
        <f>SUMIFS(Detail!$AS:$AS,Detail!$G:$G,'Rates-Service Fees'!LL$23,Detail!$H:$H,'Rates-Service Fees'!LL$17)*100</f>
        <v>0</v>
      </c>
      <c r="LM37">
        <f>SUMIFS(Detail!$AS:$AS,Detail!$G:$G,'Rates-Service Fees'!LM$23,Detail!$H:$H,'Rates-Service Fees'!LM$17)*100</f>
        <v>0</v>
      </c>
      <c r="LN37">
        <f>SUMIFS(Detail!$AS:$AS,Detail!$G:$G,'Rates-Service Fees'!LN$23,Detail!$H:$H,'Rates-Service Fees'!LN$17)*100</f>
        <v>0</v>
      </c>
      <c r="LO37">
        <f>SUMIFS(Detail!$AS:$AS,Detail!$G:$G,'Rates-Service Fees'!LO$23,Detail!$H:$H,'Rates-Service Fees'!LO$17)*100</f>
        <v>0</v>
      </c>
      <c r="LP37">
        <f>SUMIFS(Detail!$AS:$AS,Detail!$G:$G,'Rates-Service Fees'!LP$23,Detail!$H:$H,'Rates-Service Fees'!LP$17)*100</f>
        <v>0</v>
      </c>
      <c r="LQ37">
        <f>SUMIFS(Detail!$AS:$AS,Detail!$G:$G,'Rates-Service Fees'!LQ$23,Detail!$H:$H,'Rates-Service Fees'!LQ$17)*100</f>
        <v>0</v>
      </c>
      <c r="LR37">
        <f>SUMIFS(Detail!$AS:$AS,Detail!$G:$G,'Rates-Service Fees'!LR$23,Detail!$H:$H,'Rates-Service Fees'!LR$17)*100</f>
        <v>0</v>
      </c>
      <c r="LS37">
        <f>SUMIFS(Detail!$AS:$AS,Detail!$G:$G,'Rates-Service Fees'!LS$23,Detail!$H:$H,'Rates-Service Fees'!LS$17)*100</f>
        <v>0</v>
      </c>
      <c r="LT37">
        <f>SUMIFS(Detail!$AS:$AS,Detail!$G:$G,'Rates-Service Fees'!LT$23,Detail!$H:$H,'Rates-Service Fees'!LT$17)*100</f>
        <v>0</v>
      </c>
      <c r="LU37">
        <f>SUMIFS(Detail!$AS:$AS,Detail!$G:$G,'Rates-Service Fees'!LU$23,Detail!$H:$H,'Rates-Service Fees'!LU$17)*100</f>
        <v>0</v>
      </c>
      <c r="LV37">
        <f>SUMIFS(Detail!$AS:$AS,Detail!$G:$G,'Rates-Service Fees'!LV$23,Detail!$H:$H,'Rates-Service Fees'!LV$17)*100</f>
        <v>0</v>
      </c>
      <c r="LW37">
        <f>SUMIFS(Detail!$AS:$AS,Detail!$G:$G,'Rates-Service Fees'!LW$23,Detail!$H:$H,'Rates-Service Fees'!LW$17)*100</f>
        <v>0</v>
      </c>
      <c r="LX37">
        <f>SUMIFS(Detail!$AS:$AS,Detail!$G:$G,'Rates-Service Fees'!LX$23,Detail!$H:$H,'Rates-Service Fees'!LX$17)*100</f>
        <v>0</v>
      </c>
      <c r="LY37">
        <f>SUMIFS(Detail!$AS:$AS,Detail!$G:$G,'Rates-Service Fees'!LY$23,Detail!$H:$H,'Rates-Service Fees'!LY$17)*100</f>
        <v>0</v>
      </c>
      <c r="LZ37">
        <f>SUMIFS(Detail!$AS:$AS,Detail!$G:$G,'Rates-Service Fees'!LZ$23,Detail!$H:$H,'Rates-Service Fees'!LZ$17)*100</f>
        <v>0</v>
      </c>
      <c r="MA37">
        <f>SUMIFS(Detail!$AS:$AS,Detail!$G:$G,'Rates-Service Fees'!MA$23,Detail!$H:$H,'Rates-Service Fees'!MA$17)*100</f>
        <v>0</v>
      </c>
      <c r="MB37">
        <f>SUMIFS(Detail!$AS:$AS,Detail!$G:$G,'Rates-Service Fees'!MB$23,Detail!$H:$H,'Rates-Service Fees'!MB$17)*100</f>
        <v>0</v>
      </c>
      <c r="MC37">
        <f>SUMIFS(Detail!$AS:$AS,Detail!$G:$G,'Rates-Service Fees'!MC$23,Detail!$H:$H,'Rates-Service Fees'!MC$17)*100</f>
        <v>0</v>
      </c>
      <c r="MD37">
        <f>SUMIFS(Detail!$AS:$AS,Detail!$G:$G,'Rates-Service Fees'!MD$23,Detail!$H:$H,'Rates-Service Fees'!MD$17)*100</f>
        <v>0</v>
      </c>
      <c r="ME37">
        <f>SUMIFS(Detail!$AS:$AS,Detail!$G:$G,'Rates-Service Fees'!ME$23,Detail!$H:$H,'Rates-Service Fees'!ME$17)*100</f>
        <v>0</v>
      </c>
      <c r="MF37">
        <f>SUMIFS(Detail!$AS:$AS,Detail!$G:$G,'Rates-Service Fees'!MF$23,Detail!$H:$H,'Rates-Service Fees'!MF$17)*100</f>
        <v>0</v>
      </c>
      <c r="MG37">
        <f>SUMIFS(Detail!$AS:$AS,Detail!$G:$G,'Rates-Service Fees'!MG$23,Detail!$H:$H,'Rates-Service Fees'!MG$17)*100</f>
        <v>0</v>
      </c>
      <c r="MH37">
        <f>SUMIFS(Detail!$AS:$AS,Detail!$G:$G,'Rates-Service Fees'!MH$23,Detail!$H:$H,'Rates-Service Fees'!MH$17)*100</f>
        <v>0</v>
      </c>
      <c r="MI37">
        <f>SUMIFS(Detail!$AS:$AS,Detail!$G:$G,'Rates-Service Fees'!MI$23,Detail!$H:$H,'Rates-Service Fees'!MI$17)*100</f>
        <v>0</v>
      </c>
      <c r="MJ37">
        <f>SUMIFS(Detail!$AS:$AS,Detail!$G:$G,'Rates-Service Fees'!MJ$23,Detail!$H:$H,'Rates-Service Fees'!MJ$17)*100</f>
        <v>0</v>
      </c>
      <c r="MK37">
        <f>SUMIFS(Detail!$AS:$AS,Detail!$G:$G,'Rates-Service Fees'!MK$23,Detail!$H:$H,'Rates-Service Fees'!MK$17)*100</f>
        <v>0</v>
      </c>
      <c r="ML37">
        <f>SUMIFS(Detail!$AS:$AS,Detail!$G:$G,'Rates-Service Fees'!ML$23,Detail!$H:$H,'Rates-Service Fees'!ML$17)*100</f>
        <v>0</v>
      </c>
      <c r="MM37">
        <f>SUMIFS(Detail!$AS:$AS,Detail!$G:$G,'Rates-Service Fees'!MM$23,Detail!$H:$H,'Rates-Service Fees'!MM$17)*100</f>
        <v>0</v>
      </c>
      <c r="MN37">
        <f>SUMIFS(Detail!$AS:$AS,Detail!$G:$G,'Rates-Service Fees'!MN$23,Detail!$H:$H,'Rates-Service Fees'!MN$17)*100</f>
        <v>0</v>
      </c>
      <c r="MO37">
        <f>SUMIFS(Detail!$AS:$AS,Detail!$G:$G,'Rates-Service Fees'!MO$23,Detail!$H:$H,'Rates-Service Fees'!MO$17)*100</f>
        <v>0</v>
      </c>
      <c r="MP37">
        <f>SUMIFS(Detail!$AS:$AS,Detail!$G:$G,'Rates-Service Fees'!MP$23,Detail!$H:$H,'Rates-Service Fees'!MP$17)*100</f>
        <v>0</v>
      </c>
      <c r="MQ37">
        <f>SUMIFS(Detail!$AS:$AS,Detail!$G:$G,'Rates-Service Fees'!MQ$23,Detail!$H:$H,'Rates-Service Fees'!MQ$17)*100</f>
        <v>0</v>
      </c>
      <c r="MR37">
        <f>SUMIFS(Detail!$AS:$AS,Detail!$G:$G,'Rates-Service Fees'!MR$23,Detail!$H:$H,'Rates-Service Fees'!MR$17)*100</f>
        <v>0</v>
      </c>
      <c r="MS37">
        <f>SUMIFS(Detail!$AS:$AS,Detail!$G:$G,'Rates-Service Fees'!MS$23,Detail!$H:$H,'Rates-Service Fees'!MS$17)*100</f>
        <v>0</v>
      </c>
      <c r="MT37">
        <f>SUMIFS(Detail!$AS:$AS,Detail!$G:$G,'Rates-Service Fees'!MT$23,Detail!$H:$H,'Rates-Service Fees'!MT$17)*100</f>
        <v>0</v>
      </c>
      <c r="MU37">
        <f>SUMIFS(Detail!$AS:$AS,Detail!$G:$G,'Rates-Service Fees'!MU$23,Detail!$H:$H,'Rates-Service Fees'!MU$17)*100</f>
        <v>0</v>
      </c>
      <c r="MV37">
        <f>SUMIFS(Detail!$AS:$AS,Detail!$G:$G,'Rates-Service Fees'!MV$23,Detail!$H:$H,'Rates-Service Fees'!MV$17)*100</f>
        <v>0</v>
      </c>
      <c r="MW37">
        <f>SUMIFS(Detail!$AS:$AS,Detail!$G:$G,'Rates-Service Fees'!MW$23,Detail!$H:$H,'Rates-Service Fees'!MW$17)*100</f>
        <v>0</v>
      </c>
      <c r="MX37">
        <f>SUMIFS(Detail!$AS:$AS,Detail!$G:$G,'Rates-Service Fees'!MX$23,Detail!$H:$H,'Rates-Service Fees'!MX$17)*100</f>
        <v>0</v>
      </c>
      <c r="MY37">
        <f>SUMIFS(Detail!$AS:$AS,Detail!$G:$G,'Rates-Service Fees'!MY$23,Detail!$H:$H,'Rates-Service Fees'!MY$17)*100</f>
        <v>0</v>
      </c>
      <c r="MZ37">
        <f>SUMIFS(Detail!$AS:$AS,Detail!$G:$G,'Rates-Service Fees'!MZ$23,Detail!$H:$H,'Rates-Service Fees'!MZ$17)*100</f>
        <v>0</v>
      </c>
      <c r="NA37">
        <f>SUMIFS(Detail!$AS:$AS,Detail!$G:$G,'Rates-Service Fees'!NA$23,Detail!$H:$H,'Rates-Service Fees'!NA$17)*100</f>
        <v>0</v>
      </c>
      <c r="NB37">
        <f>SUMIFS(Detail!$AS:$AS,Detail!$G:$G,'Rates-Service Fees'!NB$23,Detail!$H:$H,'Rates-Service Fees'!NB$17)*100</f>
        <v>0</v>
      </c>
      <c r="NC37">
        <f>SUMIFS(Detail!$AS:$AS,Detail!$G:$G,'Rates-Service Fees'!NC$23,Detail!$H:$H,'Rates-Service Fees'!NC$17)*100</f>
        <v>0</v>
      </c>
      <c r="ND37">
        <f>SUMIFS(Detail!$AS:$AS,Detail!$G:$G,'Rates-Service Fees'!ND$23,Detail!$H:$H,'Rates-Service Fees'!ND$17)*100</f>
        <v>0</v>
      </c>
      <c r="NE37">
        <f>SUMIFS(Detail!$AS:$AS,Detail!$G:$G,'Rates-Service Fees'!NE$23,Detail!$H:$H,'Rates-Service Fees'!NE$17)*100</f>
        <v>0</v>
      </c>
      <c r="NF37">
        <f>SUMIFS(Detail!$AS:$AS,Detail!$G:$G,'Rates-Service Fees'!NF$23,Detail!$H:$H,'Rates-Service Fees'!NF$17)*100</f>
        <v>0</v>
      </c>
      <c r="NG37">
        <f>SUMIFS(Detail!$AS:$AS,Detail!$G:$G,'Rates-Service Fees'!NG$23,Detail!$H:$H,'Rates-Service Fees'!NG$17)*100</f>
        <v>0</v>
      </c>
      <c r="NH37">
        <f>SUMIFS(Detail!$AS:$AS,Detail!$G:$G,'Rates-Service Fees'!NH$23,Detail!$H:$H,'Rates-Service Fees'!NH$17)*100</f>
        <v>0</v>
      </c>
      <c r="NI37">
        <f>SUMIFS(Detail!$AS:$AS,Detail!$G:$G,'Rates-Service Fees'!NI$23,Detail!$H:$H,'Rates-Service Fees'!NI$17)*100</f>
        <v>0</v>
      </c>
      <c r="NJ37">
        <f>SUMIFS(Detail!$AS:$AS,Detail!$G:$G,'Rates-Service Fees'!NJ$23,Detail!$H:$H,'Rates-Service Fees'!NJ$17)*100</f>
        <v>0</v>
      </c>
      <c r="NK37">
        <f>SUMIFS(Detail!$AS:$AS,Detail!$G:$G,'Rates-Service Fees'!NK$23,Detail!$H:$H,'Rates-Service Fees'!NK$17)*100</f>
        <v>0</v>
      </c>
      <c r="NL37">
        <f>SUMIFS(Detail!$AS:$AS,Detail!$G:$G,'Rates-Service Fees'!NL$23,Detail!$H:$H,'Rates-Service Fees'!NL$17)*100</f>
        <v>0</v>
      </c>
      <c r="NM37">
        <f>SUMIFS(Detail!$AS:$AS,Detail!$G:$G,'Rates-Service Fees'!NM$23,Detail!$H:$H,'Rates-Service Fees'!NM$17)*100</f>
        <v>0</v>
      </c>
      <c r="NN37">
        <f>SUMIFS(Detail!$AS:$AS,Detail!$G:$G,'Rates-Service Fees'!NN$23,Detail!$H:$H,'Rates-Service Fees'!NN$17)*100</f>
        <v>0</v>
      </c>
      <c r="NO37">
        <f>SUMIFS(Detail!$AS:$AS,Detail!$G:$G,'Rates-Service Fees'!NO$23,Detail!$H:$H,'Rates-Service Fees'!NO$17)*100</f>
        <v>0</v>
      </c>
      <c r="NP37">
        <f>SUMIFS(Detail!$AS:$AS,Detail!$G:$G,'Rates-Service Fees'!NP$23,Detail!$H:$H,'Rates-Service Fees'!NP$17)*100</f>
        <v>0</v>
      </c>
      <c r="NQ37">
        <f>SUMIFS(Detail!$AS:$AS,Detail!$G:$G,'Rates-Service Fees'!NQ$23,Detail!$H:$H,'Rates-Service Fees'!NQ$17)*100</f>
        <v>0</v>
      </c>
      <c r="NR37">
        <f>SUMIFS(Detail!$AS:$AS,Detail!$G:$G,'Rates-Service Fees'!NR$23,Detail!$H:$H,'Rates-Service Fees'!NR$17)*100</f>
        <v>0</v>
      </c>
      <c r="NS37">
        <f>SUMIFS(Detail!$AS:$AS,Detail!$G:$G,'Rates-Service Fees'!NS$23,Detail!$H:$H,'Rates-Service Fees'!NS$17)*100</f>
        <v>0</v>
      </c>
      <c r="NT37">
        <f>SUMIFS(Detail!$AS:$AS,Detail!$G:$G,'Rates-Service Fees'!NT$23,Detail!$H:$H,'Rates-Service Fees'!NT$17)*100</f>
        <v>0</v>
      </c>
      <c r="NU37">
        <f>SUMIFS(Detail!$AS:$AS,Detail!$G:$G,'Rates-Service Fees'!NU$23,Detail!$H:$H,'Rates-Service Fees'!NU$17)*100</f>
        <v>0</v>
      </c>
      <c r="NV37">
        <f>SUMIFS(Detail!$AS:$AS,Detail!$G:$G,'Rates-Service Fees'!NV$23,Detail!$H:$H,'Rates-Service Fees'!NV$17)*100</f>
        <v>0</v>
      </c>
      <c r="NW37">
        <f>SUMIFS(Detail!$AS:$AS,Detail!$G:$G,'Rates-Service Fees'!NW$23,Detail!$H:$H,'Rates-Service Fees'!NW$17)*100</f>
        <v>0</v>
      </c>
      <c r="NX37">
        <f>SUMIFS(Detail!$AS:$AS,Detail!$G:$G,'Rates-Service Fees'!NX$23,Detail!$H:$H,'Rates-Service Fees'!NX$17)*100</f>
        <v>0</v>
      </c>
      <c r="NY37">
        <f>SUMIFS(Detail!$AS:$AS,Detail!$G:$G,'Rates-Service Fees'!NY$23,Detail!$H:$H,'Rates-Service Fees'!NY$17)*100</f>
        <v>0</v>
      </c>
      <c r="NZ37">
        <f>SUMIFS(Detail!$AS:$AS,Detail!$G:$G,'Rates-Service Fees'!NZ$23,Detail!$H:$H,'Rates-Service Fees'!NZ$17)*100</f>
        <v>0</v>
      </c>
      <c r="OA37">
        <f>SUMIFS(Detail!$AS:$AS,Detail!$G:$G,'Rates-Service Fees'!OA$23,Detail!$H:$H,'Rates-Service Fees'!OA$17)*100</f>
        <v>0</v>
      </c>
      <c r="OB37">
        <f>SUMIFS(Detail!$AS:$AS,Detail!$G:$G,'Rates-Service Fees'!OB$23,Detail!$H:$H,'Rates-Service Fees'!OB$17)*100</f>
        <v>0</v>
      </c>
      <c r="OC37">
        <f>SUMIFS(Detail!$AS:$AS,Detail!$G:$G,'Rates-Service Fees'!OC$23,Detail!$H:$H,'Rates-Service Fees'!OC$17)*100</f>
        <v>0</v>
      </c>
      <c r="OD37">
        <f>SUMIFS(Detail!$AS:$AS,Detail!$G:$G,'Rates-Service Fees'!OD$23,Detail!$H:$H,'Rates-Service Fees'!OD$17)*100</f>
        <v>0</v>
      </c>
      <c r="OE37">
        <f>SUMIFS(Detail!$AS:$AS,Detail!$G:$G,'Rates-Service Fees'!OE$23,Detail!$H:$H,'Rates-Service Fees'!OE$17)*100</f>
        <v>0</v>
      </c>
      <c r="OF37">
        <f>SUMIFS(Detail!$AS:$AS,Detail!$G:$G,'Rates-Service Fees'!OF$23,Detail!$H:$H,'Rates-Service Fees'!OF$17)*100</f>
        <v>0</v>
      </c>
      <c r="OG37">
        <f>SUMIFS(Detail!$AS:$AS,Detail!$G:$G,'Rates-Service Fees'!OG$23,Detail!$H:$H,'Rates-Service Fees'!OG$17)*100</f>
        <v>0</v>
      </c>
      <c r="OH37">
        <f>SUMIFS(Detail!$AS:$AS,Detail!$G:$G,'Rates-Service Fees'!OH$23,Detail!$H:$H,'Rates-Service Fees'!OH$17)*100</f>
        <v>0</v>
      </c>
      <c r="OI37">
        <f>SUMIFS(Detail!$AS:$AS,Detail!$G:$G,'Rates-Service Fees'!OI$23,Detail!$H:$H,'Rates-Service Fees'!OI$17)*100</f>
        <v>0</v>
      </c>
      <c r="OJ37">
        <f>SUMIFS(Detail!$AS:$AS,Detail!$G:$G,'Rates-Service Fees'!OJ$23,Detail!$H:$H,'Rates-Service Fees'!OJ$17)*100</f>
        <v>0</v>
      </c>
      <c r="OK37">
        <f>SUMIFS(Detail!$AS:$AS,Detail!$G:$G,'Rates-Service Fees'!OK$23,Detail!$H:$H,'Rates-Service Fees'!OK$17)*100</f>
        <v>0</v>
      </c>
      <c r="OL37">
        <f>SUMIFS(Detail!$AS:$AS,Detail!$G:$G,'Rates-Service Fees'!OL$23,Detail!$H:$H,'Rates-Service Fees'!OL$17)*100</f>
        <v>0</v>
      </c>
      <c r="OM37">
        <f>SUMIFS(Detail!$AS:$AS,Detail!$G:$G,'Rates-Service Fees'!OM$23,Detail!$H:$H,'Rates-Service Fees'!OM$17)*100</f>
        <v>0</v>
      </c>
      <c r="ON37">
        <f>SUMIFS(Detail!$AS:$AS,Detail!$G:$G,'Rates-Service Fees'!ON$23,Detail!$H:$H,'Rates-Service Fees'!ON$17)*100</f>
        <v>0</v>
      </c>
      <c r="OO37">
        <f>SUMIFS(Detail!$AS:$AS,Detail!$G:$G,'Rates-Service Fees'!OO$23,Detail!$H:$H,'Rates-Service Fees'!OO$17)*100</f>
        <v>0</v>
      </c>
      <c r="OP37">
        <f>SUMIFS(Detail!$AS:$AS,Detail!$G:$G,'Rates-Service Fees'!OP$23,Detail!$H:$H,'Rates-Service Fees'!OP$17)*100</f>
        <v>0</v>
      </c>
      <c r="OQ37">
        <f>SUMIFS(Detail!$AS:$AS,Detail!$G:$G,'Rates-Service Fees'!OQ$23,Detail!$H:$H,'Rates-Service Fees'!OQ$17)*100</f>
        <v>0</v>
      </c>
      <c r="OR37">
        <f>SUMIFS(Detail!$AS:$AS,Detail!$G:$G,'Rates-Service Fees'!OR$23,Detail!$H:$H,'Rates-Service Fees'!OR$17)*100</f>
        <v>0</v>
      </c>
      <c r="OS37">
        <f>SUMIFS(Detail!$AS:$AS,Detail!$G:$G,'Rates-Service Fees'!OS$23,Detail!$H:$H,'Rates-Service Fees'!OS$17)*100</f>
        <v>0</v>
      </c>
      <c r="OT37">
        <f>SUMIFS(Detail!$AS:$AS,Detail!$G:$G,'Rates-Service Fees'!OT$23,Detail!$H:$H,'Rates-Service Fees'!OT$17)*100</f>
        <v>0</v>
      </c>
      <c r="OU37">
        <f>SUMIFS(Detail!$AS:$AS,Detail!$G:$G,'Rates-Service Fees'!OU$23,Detail!$H:$H,'Rates-Service Fees'!OU$17)*100</f>
        <v>0</v>
      </c>
      <c r="OV37">
        <f>SUMIFS(Detail!$AS:$AS,Detail!$G:$G,'Rates-Service Fees'!OV$23,Detail!$H:$H,'Rates-Service Fees'!OV$17)*100</f>
        <v>0</v>
      </c>
      <c r="OW37">
        <f>SUMIFS(Detail!$AS:$AS,Detail!$G:$G,'Rates-Service Fees'!OW$23,Detail!$H:$H,'Rates-Service Fees'!OW$17)*100</f>
        <v>0</v>
      </c>
      <c r="OX37">
        <f>SUMIFS(Detail!$AS:$AS,Detail!$G:$G,'Rates-Service Fees'!OX$23,Detail!$H:$H,'Rates-Service Fees'!OX$17)*100</f>
        <v>0</v>
      </c>
      <c r="OY37">
        <f>SUMIFS(Detail!$AS:$AS,Detail!$G:$G,'Rates-Service Fees'!OY$23,Detail!$H:$H,'Rates-Service Fees'!OY$17)*100</f>
        <v>0</v>
      </c>
      <c r="OZ37">
        <f>SUMIFS(Detail!$AS:$AS,Detail!$G:$G,'Rates-Service Fees'!OZ$23,Detail!$H:$H,'Rates-Service Fees'!OZ$17)*100</f>
        <v>0</v>
      </c>
      <c r="PA37">
        <f>SUMIFS(Detail!$AS:$AS,Detail!$G:$G,'Rates-Service Fees'!PA$23,Detail!$H:$H,'Rates-Service Fees'!PA$17)*100</f>
        <v>0</v>
      </c>
      <c r="PB37">
        <f>SUMIFS(Detail!$AS:$AS,Detail!$G:$G,'Rates-Service Fees'!PB$23,Detail!$H:$H,'Rates-Service Fees'!PB$17)*100</f>
        <v>0</v>
      </c>
      <c r="PC37">
        <f>SUMIFS(Detail!$AS:$AS,Detail!$G:$G,'Rates-Service Fees'!PC$23,Detail!$H:$H,'Rates-Service Fees'!PC$17)*100</f>
        <v>0</v>
      </c>
      <c r="PD37">
        <f>SUMIFS(Detail!$AS:$AS,Detail!$G:$G,'Rates-Service Fees'!PD$23,Detail!$H:$H,'Rates-Service Fees'!PD$17)*100</f>
        <v>0</v>
      </c>
      <c r="PE37">
        <f>SUMIFS(Detail!$AS:$AS,Detail!$G:$G,'Rates-Service Fees'!PE$23,Detail!$H:$H,'Rates-Service Fees'!PE$17)*100</f>
        <v>0</v>
      </c>
      <c r="PF37">
        <f>SUMIFS(Detail!$AS:$AS,Detail!$G:$G,'Rates-Service Fees'!PF$23,Detail!$H:$H,'Rates-Service Fees'!PF$17)*100</f>
        <v>0</v>
      </c>
      <c r="PG37">
        <f>SUMIFS(Detail!$AS:$AS,Detail!$G:$G,'Rates-Service Fees'!PG$23,Detail!$H:$H,'Rates-Service Fees'!PG$17)*100</f>
        <v>0</v>
      </c>
      <c r="PH37">
        <f>SUMIFS(Detail!$AS:$AS,Detail!$G:$G,'Rates-Service Fees'!PH$23,Detail!$H:$H,'Rates-Service Fees'!PH$17)*100</f>
        <v>0</v>
      </c>
      <c r="PI37">
        <f>SUMIFS(Detail!$AS:$AS,Detail!$G:$G,'Rates-Service Fees'!PI$23,Detail!$H:$H,'Rates-Service Fees'!PI$17)*100</f>
        <v>0</v>
      </c>
      <c r="PJ37">
        <f>SUMIFS(Detail!$AS:$AS,Detail!$G:$G,'Rates-Service Fees'!PJ$23,Detail!$H:$H,'Rates-Service Fees'!PJ$17)*100</f>
        <v>0</v>
      </c>
      <c r="PK37">
        <f>SUMIFS(Detail!$AS:$AS,Detail!$G:$G,'Rates-Service Fees'!PK$23,Detail!$H:$H,'Rates-Service Fees'!PK$17)*100</f>
        <v>0</v>
      </c>
      <c r="PL37">
        <f>SUMIFS(Detail!$AS:$AS,Detail!$G:$G,'Rates-Service Fees'!PL$23,Detail!$H:$H,'Rates-Service Fees'!PL$17)*100</f>
        <v>0</v>
      </c>
      <c r="PM37">
        <f>SUMIFS(Detail!$AS:$AS,Detail!$G:$G,'Rates-Service Fees'!PM$23,Detail!$H:$H,'Rates-Service Fees'!PM$17)*100</f>
        <v>0</v>
      </c>
      <c r="PN37">
        <f>SUMIFS(Detail!$AS:$AS,Detail!$G:$G,'Rates-Service Fees'!PN$23,Detail!$H:$H,'Rates-Service Fees'!PN$17)*100</f>
        <v>0</v>
      </c>
      <c r="PO37">
        <f>SUMIFS(Detail!$AS:$AS,Detail!$G:$G,'Rates-Service Fees'!PO$23,Detail!$H:$H,'Rates-Service Fees'!PO$17)*100</f>
        <v>0</v>
      </c>
      <c r="PP37">
        <f>SUMIFS(Detail!$AS:$AS,Detail!$G:$G,'Rates-Service Fees'!PP$23,Detail!$H:$H,'Rates-Service Fees'!PP$17)*100</f>
        <v>0</v>
      </c>
      <c r="PQ37">
        <f>SUMIFS(Detail!$AS:$AS,Detail!$G:$G,'Rates-Service Fees'!PQ$23,Detail!$H:$H,'Rates-Service Fees'!PQ$17)*100</f>
        <v>0</v>
      </c>
      <c r="PR37">
        <f>SUMIFS(Detail!$AS:$AS,Detail!$G:$G,'Rates-Service Fees'!PR$23,Detail!$H:$H,'Rates-Service Fees'!PR$17)*100</f>
        <v>0</v>
      </c>
      <c r="PS37">
        <f>SUMIFS(Detail!$AS:$AS,Detail!$G:$G,'Rates-Service Fees'!PS$23,Detail!$H:$H,'Rates-Service Fees'!PS$17)*100</f>
        <v>0</v>
      </c>
      <c r="PT37">
        <f>SUMIFS(Detail!$AS:$AS,Detail!$G:$G,'Rates-Service Fees'!PT$23,Detail!$H:$H,'Rates-Service Fees'!PT$17)*100</f>
        <v>0</v>
      </c>
      <c r="PU37">
        <f>SUMIFS(Detail!$AS:$AS,Detail!$G:$G,'Rates-Service Fees'!PU$23,Detail!$H:$H,'Rates-Service Fees'!PU$17)*100</f>
        <v>0</v>
      </c>
      <c r="PV37">
        <f>SUMIFS(Detail!$AS:$AS,Detail!$G:$G,'Rates-Service Fees'!PV$23,Detail!$H:$H,'Rates-Service Fees'!PV$17)*100</f>
        <v>0</v>
      </c>
      <c r="PW37">
        <f>SUMIFS(Detail!$AS:$AS,Detail!$G:$G,'Rates-Service Fees'!PW$23,Detail!$H:$H,'Rates-Service Fees'!PW$17)*100</f>
        <v>0</v>
      </c>
      <c r="PX37">
        <f>SUMIFS(Detail!$AS:$AS,Detail!$G:$G,'Rates-Service Fees'!PX$23,Detail!$H:$H,'Rates-Service Fees'!PX$17)*100</f>
        <v>0</v>
      </c>
      <c r="PY37">
        <f>SUMIFS(Detail!$AS:$AS,Detail!$G:$G,'Rates-Service Fees'!PY$23,Detail!$H:$H,'Rates-Service Fees'!PY$17)*100</f>
        <v>0</v>
      </c>
      <c r="PZ37">
        <f>SUMIFS(Detail!$AS:$AS,Detail!$G:$G,'Rates-Service Fees'!PZ$23,Detail!$H:$H,'Rates-Service Fees'!PZ$17)*100</f>
        <v>0</v>
      </c>
      <c r="QA37">
        <f>SUMIFS(Detail!$AS:$AS,Detail!$G:$G,'Rates-Service Fees'!QA$23,Detail!$H:$H,'Rates-Service Fees'!QA$17)*100</f>
        <v>0</v>
      </c>
      <c r="QB37">
        <f>SUMIFS(Detail!$AS:$AS,Detail!$G:$G,'Rates-Service Fees'!QB$23,Detail!$H:$H,'Rates-Service Fees'!QB$17)*100</f>
        <v>0</v>
      </c>
      <c r="QC37">
        <f>SUMIFS(Detail!$AS:$AS,Detail!$G:$G,'Rates-Service Fees'!QC$23,Detail!$H:$H,'Rates-Service Fees'!QC$17)*100</f>
        <v>0</v>
      </c>
      <c r="QD37">
        <f>SUMIFS(Detail!$AS:$AS,Detail!$G:$G,'Rates-Service Fees'!QD$23,Detail!$H:$H,'Rates-Service Fees'!QD$17)*100</f>
        <v>0</v>
      </c>
      <c r="QE37">
        <f>SUMIFS(Detail!$AS:$AS,Detail!$G:$G,'Rates-Service Fees'!QE$23,Detail!$H:$H,'Rates-Service Fees'!QE$17)*100</f>
        <v>0</v>
      </c>
      <c r="QF37">
        <f>SUMIFS(Detail!$AS:$AS,Detail!$G:$G,'Rates-Service Fees'!QF$23,Detail!$H:$H,'Rates-Service Fees'!QF$17)*100</f>
        <v>0</v>
      </c>
      <c r="QG37">
        <f>SUMIFS(Detail!$AS:$AS,Detail!$G:$G,'Rates-Service Fees'!QG$23,Detail!$H:$H,'Rates-Service Fees'!QG$17)*100</f>
        <v>0</v>
      </c>
      <c r="QH37">
        <f>SUMIFS(Detail!$AS:$AS,Detail!$G:$G,'Rates-Service Fees'!QH$23,Detail!$H:$H,'Rates-Service Fees'!QH$17)*100</f>
        <v>0</v>
      </c>
      <c r="QI37">
        <f>SUMIFS(Detail!$AS:$AS,Detail!$G:$G,'Rates-Service Fees'!QI$23,Detail!$H:$H,'Rates-Service Fees'!QI$17)*100</f>
        <v>0</v>
      </c>
      <c r="QJ37">
        <f>SUMIFS(Detail!$AS:$AS,Detail!$G:$G,'Rates-Service Fees'!QJ$23,Detail!$H:$H,'Rates-Service Fees'!QJ$17)*100</f>
        <v>0</v>
      </c>
      <c r="QK37">
        <f>SUMIFS(Detail!$AS:$AS,Detail!$G:$G,'Rates-Service Fees'!QK$23,Detail!$H:$H,'Rates-Service Fees'!QK$17)*100</f>
        <v>0</v>
      </c>
      <c r="QL37">
        <f>SUMIFS(Detail!$AS:$AS,Detail!$G:$G,'Rates-Service Fees'!QL$23,Detail!$H:$H,'Rates-Service Fees'!QL$17)*100</f>
        <v>0</v>
      </c>
      <c r="QM37">
        <f>SUMIFS(Detail!$AS:$AS,Detail!$G:$G,'Rates-Service Fees'!QM$23,Detail!$H:$H,'Rates-Service Fees'!QM$17)*100</f>
        <v>0</v>
      </c>
      <c r="QN37">
        <f>SUMIFS(Detail!$AS:$AS,Detail!$G:$G,'Rates-Service Fees'!QN$23,Detail!$H:$H,'Rates-Service Fees'!QN$17)*100</f>
        <v>0</v>
      </c>
      <c r="QO37">
        <f>SUMIFS(Detail!$AS:$AS,Detail!$G:$G,'Rates-Service Fees'!QO$23,Detail!$H:$H,'Rates-Service Fees'!QO$17)*100</f>
        <v>0</v>
      </c>
      <c r="QP37">
        <f>SUMIFS(Detail!$AS:$AS,Detail!$G:$G,'Rates-Service Fees'!QP$23,Detail!$H:$H,'Rates-Service Fees'!QP$17)*100</f>
        <v>0</v>
      </c>
      <c r="QQ37">
        <f>SUMIFS(Detail!$AS:$AS,Detail!$G:$G,'Rates-Service Fees'!QQ$23,Detail!$H:$H,'Rates-Service Fees'!QQ$17)*100</f>
        <v>0</v>
      </c>
      <c r="QR37">
        <f>SUMIFS(Detail!$AS:$AS,Detail!$G:$G,'Rates-Service Fees'!QR$23,Detail!$H:$H,'Rates-Service Fees'!QR$17)*100</f>
        <v>0</v>
      </c>
      <c r="QS37">
        <f>SUMIFS(Detail!$AS:$AS,Detail!$G:$G,'Rates-Service Fees'!QS$23,Detail!$H:$H,'Rates-Service Fees'!QS$17)*100</f>
        <v>0</v>
      </c>
      <c r="QT37">
        <f>SUMIFS(Detail!$AS:$AS,Detail!$G:$G,'Rates-Service Fees'!QT$23,Detail!$H:$H,'Rates-Service Fees'!QT$17)*100</f>
        <v>0</v>
      </c>
      <c r="QU37">
        <f>SUMIFS(Detail!$AS:$AS,Detail!$G:$G,'Rates-Service Fees'!QU$23,Detail!$H:$H,'Rates-Service Fees'!QU$17)*100</f>
        <v>0</v>
      </c>
      <c r="QV37">
        <f>SUMIFS(Detail!$AS:$AS,Detail!$G:$G,'Rates-Service Fees'!QV$23,Detail!$H:$H,'Rates-Service Fees'!QV$17)*100</f>
        <v>0</v>
      </c>
      <c r="QW37">
        <f>SUMIFS(Detail!$AS:$AS,Detail!$G:$G,'Rates-Service Fees'!QW$23,Detail!$H:$H,'Rates-Service Fees'!QW$17)*100</f>
        <v>0</v>
      </c>
      <c r="QX37">
        <f>SUMIFS(Detail!$AS:$AS,Detail!$G:$G,'Rates-Service Fees'!QX$23,Detail!$H:$H,'Rates-Service Fees'!QX$17)*100</f>
        <v>0</v>
      </c>
      <c r="QY37">
        <f>SUMIFS(Detail!$AS:$AS,Detail!$G:$G,'Rates-Service Fees'!QY$23,Detail!$H:$H,'Rates-Service Fees'!QY$17)*100</f>
        <v>0</v>
      </c>
      <c r="QZ37">
        <f>SUMIFS(Detail!$AS:$AS,Detail!$G:$G,'Rates-Service Fees'!QZ$23,Detail!$H:$H,'Rates-Service Fees'!QZ$17)*100</f>
        <v>0</v>
      </c>
      <c r="RA37">
        <f>SUMIFS(Detail!$AS:$AS,Detail!$G:$G,'Rates-Service Fees'!RA$23,Detail!$H:$H,'Rates-Service Fees'!RA$17)*100</f>
        <v>0</v>
      </c>
      <c r="RB37">
        <f>SUMIFS(Detail!$AS:$AS,Detail!$G:$G,'Rates-Service Fees'!RB$23,Detail!$H:$H,'Rates-Service Fees'!RB$17)*100</f>
        <v>0</v>
      </c>
      <c r="RC37">
        <f>SUMIFS(Detail!$AS:$AS,Detail!$G:$G,'Rates-Service Fees'!RC$23,Detail!$H:$H,'Rates-Service Fees'!RC$17)*100</f>
        <v>0</v>
      </c>
      <c r="RD37">
        <f>SUMIFS(Detail!$AS:$AS,Detail!$G:$G,'Rates-Service Fees'!RD$23,Detail!$H:$H,'Rates-Service Fees'!RD$17)*100</f>
        <v>0</v>
      </c>
      <c r="RE37">
        <f>SUMIFS(Detail!$AS:$AS,Detail!$G:$G,'Rates-Service Fees'!RE$23,Detail!$H:$H,'Rates-Service Fees'!RE$17)*100</f>
        <v>0</v>
      </c>
      <c r="RF37">
        <f>SUMIFS(Detail!$AS:$AS,Detail!$G:$G,'Rates-Service Fees'!RF$23,Detail!$H:$H,'Rates-Service Fees'!RF$17)*100</f>
        <v>0</v>
      </c>
      <c r="RG37">
        <f>SUMIFS(Detail!$AS:$AS,Detail!$G:$G,'Rates-Service Fees'!RG$23,Detail!$H:$H,'Rates-Service Fees'!RG$17)*100</f>
        <v>0</v>
      </c>
      <c r="RH37">
        <f>SUMIFS(Detail!$AS:$AS,Detail!$G:$G,'Rates-Service Fees'!RH$23,Detail!$H:$H,'Rates-Service Fees'!RH$17)*100</f>
        <v>0</v>
      </c>
      <c r="RI37">
        <f>SUMIFS(Detail!$AS:$AS,Detail!$G:$G,'Rates-Service Fees'!RI$23,Detail!$H:$H,'Rates-Service Fees'!RI$17)*100</f>
        <v>0</v>
      </c>
      <c r="RJ37">
        <f>SUMIFS(Detail!$AS:$AS,Detail!$G:$G,'Rates-Service Fees'!RJ$23,Detail!$H:$H,'Rates-Service Fees'!RJ$17)*100</f>
        <v>0</v>
      </c>
      <c r="RK37">
        <f>SUMIFS(Detail!$AS:$AS,Detail!$G:$G,'Rates-Service Fees'!RK$23,Detail!$H:$H,'Rates-Service Fees'!RK$17)*100</f>
        <v>0</v>
      </c>
      <c r="RL37">
        <f>SUMIFS(Detail!$AS:$AS,Detail!$G:$G,'Rates-Service Fees'!RL$23,Detail!$H:$H,'Rates-Service Fees'!RL$17)*100</f>
        <v>0</v>
      </c>
      <c r="RM37">
        <f>SUMIFS(Detail!$AS:$AS,Detail!$G:$G,'Rates-Service Fees'!RM$23,Detail!$H:$H,'Rates-Service Fees'!RM$17)*100</f>
        <v>0</v>
      </c>
      <c r="RN37">
        <f>SUMIFS(Detail!$AS:$AS,Detail!$G:$G,'Rates-Service Fees'!RN$23,Detail!$H:$H,'Rates-Service Fees'!RN$17)*100</f>
        <v>0</v>
      </c>
      <c r="RO37">
        <f>SUMIFS(Detail!$AS:$AS,Detail!$G:$G,'Rates-Service Fees'!RO$23,Detail!$H:$H,'Rates-Service Fees'!RO$17)*100</f>
        <v>0</v>
      </c>
      <c r="RP37">
        <f>SUMIFS(Detail!$AS:$AS,Detail!$G:$G,'Rates-Service Fees'!RP$23,Detail!$H:$H,'Rates-Service Fees'!RP$17)*100</f>
        <v>0</v>
      </c>
      <c r="RQ37">
        <f>SUMIFS(Detail!$AS:$AS,Detail!$G:$G,'Rates-Service Fees'!RQ$23,Detail!$H:$H,'Rates-Service Fees'!RQ$17)*100</f>
        <v>0</v>
      </c>
      <c r="RR37">
        <f>SUMIFS(Detail!$AS:$AS,Detail!$G:$G,'Rates-Service Fees'!RR$23,Detail!$H:$H,'Rates-Service Fees'!RR$17)*100</f>
        <v>0</v>
      </c>
      <c r="RS37">
        <f>SUMIFS(Detail!$AS:$AS,Detail!$G:$G,'Rates-Service Fees'!RS$23,Detail!$H:$H,'Rates-Service Fees'!RS$17)*100</f>
        <v>0</v>
      </c>
      <c r="RT37">
        <f>SUMIFS(Detail!$AS:$AS,Detail!$G:$G,'Rates-Service Fees'!RT$23,Detail!$H:$H,'Rates-Service Fees'!RT$17)*100</f>
        <v>0</v>
      </c>
      <c r="RU37">
        <f>SUMIFS(Detail!$AS:$AS,Detail!$G:$G,'Rates-Service Fees'!RU$23,Detail!$H:$H,'Rates-Service Fees'!RU$17)*100</f>
        <v>0</v>
      </c>
      <c r="RV37">
        <f>SUMIFS(Detail!$AS:$AS,Detail!$G:$G,'Rates-Service Fees'!RV$23,Detail!$H:$H,'Rates-Service Fees'!RV$17)*100</f>
        <v>0</v>
      </c>
      <c r="RW37">
        <f>SUMIFS(Detail!$AS:$AS,Detail!$G:$G,'Rates-Service Fees'!RW$23,Detail!$H:$H,'Rates-Service Fees'!RW$17)*100</f>
        <v>0</v>
      </c>
      <c r="RX37">
        <f>SUMIFS(Detail!$AS:$AS,Detail!$G:$G,'Rates-Service Fees'!RX$23,Detail!$H:$H,'Rates-Service Fees'!RX$17)*100</f>
        <v>0</v>
      </c>
      <c r="RY37">
        <f>SUMIFS(Detail!$AS:$AS,Detail!$G:$G,'Rates-Service Fees'!RY$23,Detail!$H:$H,'Rates-Service Fees'!RY$17)*100</f>
        <v>0</v>
      </c>
      <c r="RZ37">
        <f>SUMIFS(Detail!$AS:$AS,Detail!$G:$G,'Rates-Service Fees'!RZ$23,Detail!$H:$H,'Rates-Service Fees'!RZ$17)*100</f>
        <v>0</v>
      </c>
      <c r="SA37">
        <f>SUMIFS(Detail!$AS:$AS,Detail!$G:$G,'Rates-Service Fees'!SA$23,Detail!$H:$H,'Rates-Service Fees'!SA$17)*100</f>
        <v>0</v>
      </c>
      <c r="SB37">
        <f>SUMIFS(Detail!$AS:$AS,Detail!$G:$G,'Rates-Service Fees'!SB$23,Detail!$H:$H,'Rates-Service Fees'!SB$17)*100</f>
        <v>0</v>
      </c>
      <c r="SC37">
        <f>SUMIFS(Detail!$AS:$AS,Detail!$G:$G,'Rates-Service Fees'!SC$23,Detail!$H:$H,'Rates-Service Fees'!SC$17)*100</f>
        <v>0</v>
      </c>
      <c r="SD37">
        <f>SUMIFS(Detail!$AS:$AS,Detail!$G:$G,'Rates-Service Fees'!SD$23,Detail!$H:$H,'Rates-Service Fees'!SD$17)*100</f>
        <v>0</v>
      </c>
      <c r="SE37">
        <f>SUMIFS(Detail!$AS:$AS,Detail!$G:$G,'Rates-Service Fees'!SE$23,Detail!$H:$H,'Rates-Service Fees'!SE$17)*100</f>
        <v>0</v>
      </c>
      <c r="SF37">
        <f>SUMIFS(Detail!$AS:$AS,Detail!$G:$G,'Rates-Service Fees'!SF$23,Detail!$H:$H,'Rates-Service Fees'!SF$17)*100</f>
        <v>0</v>
      </c>
      <c r="SG37">
        <f>SUMIFS(Detail!$AS:$AS,Detail!$G:$G,'Rates-Service Fees'!SG$23,Detail!$H:$H,'Rates-Service Fees'!SG$17)*100</f>
        <v>0</v>
      </c>
      <c r="SH37">
        <f>SUMIFS(Detail!$AS:$AS,Detail!$G:$G,'Rates-Service Fees'!SH$23,Detail!$H:$H,'Rates-Service Fees'!SH$17)*100</f>
        <v>0</v>
      </c>
      <c r="SI37">
        <f>SUMIFS(Detail!$AS:$AS,Detail!$G:$G,'Rates-Service Fees'!SI$23,Detail!$H:$H,'Rates-Service Fees'!SI$17)*100</f>
        <v>0</v>
      </c>
      <c r="SJ37">
        <f>SUMIFS(Detail!$AS:$AS,Detail!$G:$G,'Rates-Service Fees'!SJ$23,Detail!$H:$H,'Rates-Service Fees'!SJ$17)*100</f>
        <v>0</v>
      </c>
      <c r="SK37">
        <f>SUMIFS(Detail!$AS:$AS,Detail!$G:$G,'Rates-Service Fees'!SK$23,Detail!$H:$H,'Rates-Service Fees'!SK$17)*100</f>
        <v>0</v>
      </c>
      <c r="SL37">
        <f>SUMIFS(Detail!$AS:$AS,Detail!$G:$G,'Rates-Service Fees'!SL$23,Detail!$H:$H,'Rates-Service Fees'!SL$17)*100</f>
        <v>0</v>
      </c>
      <c r="SM37">
        <f>SUMIFS(Detail!$AS:$AS,Detail!$G:$G,'Rates-Service Fees'!SM$23,Detail!$H:$H,'Rates-Service Fees'!SM$17)*100</f>
        <v>0</v>
      </c>
      <c r="SN37">
        <f>SUMIFS(Detail!$AS:$AS,Detail!$G:$G,'Rates-Service Fees'!SN$23,Detail!$H:$H,'Rates-Service Fees'!SN$17)*100</f>
        <v>0</v>
      </c>
      <c r="SO37">
        <f>SUMIFS(Detail!$AS:$AS,Detail!$G:$G,'Rates-Service Fees'!SO$23,Detail!$H:$H,'Rates-Service Fees'!SO$17)*100</f>
        <v>0</v>
      </c>
      <c r="SP37">
        <f>SUMIFS(Detail!$AS:$AS,Detail!$G:$G,'Rates-Service Fees'!SP$23,Detail!$H:$H,'Rates-Service Fees'!SP$17)*100</f>
        <v>0</v>
      </c>
      <c r="SQ37">
        <f>SUMIFS(Detail!$AS:$AS,Detail!$G:$G,'Rates-Service Fees'!SQ$23,Detail!$H:$H,'Rates-Service Fees'!SQ$17)*100</f>
        <v>0</v>
      </c>
      <c r="SR37">
        <f>SUMIFS(Detail!$AS:$AS,Detail!$G:$G,'Rates-Service Fees'!SR$23,Detail!$H:$H,'Rates-Service Fees'!SR$17)*100</f>
        <v>0</v>
      </c>
      <c r="SS37">
        <f>SUMIFS(Detail!$AS:$AS,Detail!$G:$G,'Rates-Service Fees'!SS$23,Detail!$H:$H,'Rates-Service Fees'!SS$17)*100</f>
        <v>0</v>
      </c>
      <c r="ST37">
        <f>SUMIFS(Detail!$AS:$AS,Detail!$G:$G,'Rates-Service Fees'!ST$23,Detail!$H:$H,'Rates-Service Fees'!ST$17)*100</f>
        <v>0</v>
      </c>
      <c r="SU37">
        <f>SUMIFS(Detail!$AS:$AS,Detail!$G:$G,'Rates-Service Fees'!SU$23,Detail!$H:$H,'Rates-Service Fees'!SU$17)*100</f>
        <v>0</v>
      </c>
      <c r="SV37">
        <f>SUMIFS(Detail!$AS:$AS,Detail!$G:$G,'Rates-Service Fees'!SV$23,Detail!$H:$H,'Rates-Service Fees'!SV$17)*100</f>
        <v>0</v>
      </c>
      <c r="SW37">
        <f>SUMIFS(Detail!$AS:$AS,Detail!$G:$G,'Rates-Service Fees'!SW$23,Detail!$H:$H,'Rates-Service Fees'!SW$17)*100</f>
        <v>0</v>
      </c>
      <c r="SX37">
        <f>SUMIFS(Detail!$AS:$AS,Detail!$G:$G,'Rates-Service Fees'!SX$23,Detail!$H:$H,'Rates-Service Fees'!SX$17)*100</f>
        <v>0</v>
      </c>
      <c r="SY37">
        <f>SUMIFS(Detail!$AS:$AS,Detail!$G:$G,'Rates-Service Fees'!SY$23,Detail!$H:$H,'Rates-Service Fees'!SY$17)*100</f>
        <v>0</v>
      </c>
      <c r="SZ37">
        <f>SUMIFS(Detail!$AS:$AS,Detail!$G:$G,'Rates-Service Fees'!SZ$23,Detail!$H:$H,'Rates-Service Fees'!SZ$17)*100</f>
        <v>0</v>
      </c>
      <c r="TA37">
        <f>SUMIFS(Detail!$AS:$AS,Detail!$G:$G,'Rates-Service Fees'!TA$23,Detail!$H:$H,'Rates-Service Fees'!TA$17)*100</f>
        <v>0</v>
      </c>
      <c r="TB37">
        <f>SUMIFS(Detail!$AS:$AS,Detail!$G:$G,'Rates-Service Fees'!TB$23,Detail!$H:$H,'Rates-Service Fees'!TB$17)*100</f>
        <v>0</v>
      </c>
      <c r="TC37">
        <f>SUMIFS(Detail!$AS:$AS,Detail!$G:$G,'Rates-Service Fees'!TC$23,Detail!$H:$H,'Rates-Service Fees'!TC$17)*100</f>
        <v>0</v>
      </c>
      <c r="TD37">
        <f>SUMIFS(Detail!$AS:$AS,Detail!$G:$G,'Rates-Service Fees'!TD$23,Detail!$H:$H,'Rates-Service Fees'!TD$17)*100</f>
        <v>0</v>
      </c>
      <c r="TE37">
        <f>SUMIFS(Detail!$AS:$AS,Detail!$G:$G,'Rates-Service Fees'!TE$23,Detail!$H:$H,'Rates-Service Fees'!TE$17)*100</f>
        <v>0</v>
      </c>
      <c r="TF37">
        <f>SUMIFS(Detail!$AS:$AS,Detail!$G:$G,'Rates-Service Fees'!TF$23,Detail!$H:$H,'Rates-Service Fees'!TF$17)*100</f>
        <v>0</v>
      </c>
      <c r="TG37">
        <f>SUMIFS(Detail!$AS:$AS,Detail!$G:$G,'Rates-Service Fees'!TG$23,Detail!$H:$H,'Rates-Service Fees'!TG$17)*100</f>
        <v>0</v>
      </c>
      <c r="TH37">
        <f>SUMIFS(Detail!$AS:$AS,Detail!$G:$G,'Rates-Service Fees'!TH$23,Detail!$H:$H,'Rates-Service Fees'!TH$17)*100</f>
        <v>0</v>
      </c>
      <c r="TI37">
        <f>SUMIFS(Detail!$AS:$AS,Detail!$G:$G,'Rates-Service Fees'!TI$23,Detail!$H:$H,'Rates-Service Fees'!TI$17)*100</f>
        <v>0</v>
      </c>
      <c r="TJ37">
        <f>SUMIFS(Detail!$AS:$AS,Detail!$G:$G,'Rates-Service Fees'!TJ$23,Detail!$H:$H,'Rates-Service Fees'!TJ$17)*100</f>
        <v>0</v>
      </c>
      <c r="TK37">
        <f>SUMIFS(Detail!$AS:$AS,Detail!$G:$G,'Rates-Service Fees'!TK$23,Detail!$H:$H,'Rates-Service Fees'!TK$17)*100</f>
        <v>0</v>
      </c>
      <c r="TL37">
        <f>SUMIFS(Detail!$AS:$AS,Detail!$G:$G,'Rates-Service Fees'!TL$23,Detail!$H:$H,'Rates-Service Fees'!TL$17)*100</f>
        <v>0</v>
      </c>
      <c r="TM37">
        <f>SUMIFS(Detail!$AS:$AS,Detail!$G:$G,'Rates-Service Fees'!TM$23,Detail!$H:$H,'Rates-Service Fees'!TM$17)*100</f>
        <v>0</v>
      </c>
      <c r="TN37">
        <f>SUMIFS(Detail!$AS:$AS,Detail!$G:$G,'Rates-Service Fees'!TN$23,Detail!$H:$H,'Rates-Service Fees'!TN$17)*100</f>
        <v>0</v>
      </c>
      <c r="TO37">
        <f>SUMIFS(Detail!$AS:$AS,Detail!$G:$G,'Rates-Service Fees'!TO$23,Detail!$H:$H,'Rates-Service Fees'!TO$17)*100</f>
        <v>0</v>
      </c>
      <c r="TP37">
        <f>SUMIFS(Detail!$AS:$AS,Detail!$G:$G,'Rates-Service Fees'!TP$23,Detail!$H:$H,'Rates-Service Fees'!TP$17)*100</f>
        <v>0</v>
      </c>
      <c r="TQ37">
        <f>SUMIFS(Detail!$AS:$AS,Detail!$G:$G,'Rates-Service Fees'!TQ$23,Detail!$H:$H,'Rates-Service Fees'!TQ$17)*100</f>
        <v>0</v>
      </c>
      <c r="TR37">
        <f>SUMIFS(Detail!$AS:$AS,Detail!$G:$G,'Rates-Service Fees'!TR$23,Detail!$H:$H,'Rates-Service Fees'!TR$17)*100</f>
        <v>0</v>
      </c>
      <c r="TS37">
        <f>SUMIFS(Detail!$AS:$AS,Detail!$G:$G,'Rates-Service Fees'!TS$23,Detail!$H:$H,'Rates-Service Fees'!TS$17)*100</f>
        <v>0</v>
      </c>
      <c r="TT37">
        <f>SUMIFS(Detail!$AS:$AS,Detail!$G:$G,'Rates-Service Fees'!TT$23,Detail!$H:$H,'Rates-Service Fees'!TT$17)*100</f>
        <v>0</v>
      </c>
      <c r="TU37">
        <f>SUMIFS(Detail!$AS:$AS,Detail!$G:$G,'Rates-Service Fees'!TU$23,Detail!$H:$H,'Rates-Service Fees'!TU$17)*100</f>
        <v>0</v>
      </c>
      <c r="TV37">
        <f>SUMIFS(Detail!$AS:$AS,Detail!$G:$G,'Rates-Service Fees'!TV$23,Detail!$H:$H,'Rates-Service Fees'!TV$17)*100</f>
        <v>0</v>
      </c>
      <c r="TW37">
        <f>SUMIFS(Detail!$AS:$AS,Detail!$G:$G,'Rates-Service Fees'!TW$23,Detail!$H:$H,'Rates-Service Fees'!TW$17)*100</f>
        <v>0</v>
      </c>
      <c r="TX37">
        <f>SUMIFS(Detail!$AS:$AS,Detail!$G:$G,'Rates-Service Fees'!TX$23,Detail!$H:$H,'Rates-Service Fees'!TX$17)*100</f>
        <v>0</v>
      </c>
      <c r="TY37">
        <f>SUMIFS(Detail!$AS:$AS,Detail!$G:$G,'Rates-Service Fees'!TY$23,Detail!$H:$H,'Rates-Service Fees'!TY$17)*100</f>
        <v>0</v>
      </c>
      <c r="TZ37">
        <f>SUMIFS(Detail!$AS:$AS,Detail!$G:$G,'Rates-Service Fees'!TZ$23,Detail!$H:$H,'Rates-Service Fees'!TZ$17)*100</f>
        <v>0</v>
      </c>
      <c r="UA37">
        <f>SUMIFS(Detail!$AS:$AS,Detail!$G:$G,'Rates-Service Fees'!UA$23,Detail!$H:$H,'Rates-Service Fees'!UA$17)*100</f>
        <v>0</v>
      </c>
      <c r="UB37">
        <f>SUMIFS(Detail!$AS:$AS,Detail!$G:$G,'Rates-Service Fees'!UB$23,Detail!$H:$H,'Rates-Service Fees'!UB$17)*100</f>
        <v>0</v>
      </c>
      <c r="UC37">
        <f>SUMIFS(Detail!$AS:$AS,Detail!$G:$G,'Rates-Service Fees'!UC$23,Detail!$H:$H,'Rates-Service Fees'!UC$17)*100</f>
        <v>0</v>
      </c>
      <c r="UD37">
        <f>SUMIFS(Detail!$AS:$AS,Detail!$G:$G,'Rates-Service Fees'!UD$23,Detail!$H:$H,'Rates-Service Fees'!UD$17)*100</f>
        <v>0</v>
      </c>
      <c r="UE37">
        <f>SUMIFS(Detail!$AS:$AS,Detail!$G:$G,'Rates-Service Fees'!UE$23,Detail!$H:$H,'Rates-Service Fees'!UE$17)*100</f>
        <v>0</v>
      </c>
      <c r="UF37">
        <f>SUMIFS(Detail!$AS:$AS,Detail!$G:$G,'Rates-Service Fees'!UF$23,Detail!$H:$H,'Rates-Service Fees'!UF$17)*100</f>
        <v>0</v>
      </c>
      <c r="UG37">
        <f>SUMIFS(Detail!$AS:$AS,Detail!$G:$G,'Rates-Service Fees'!UG$23,Detail!$H:$H,'Rates-Service Fees'!UG$17)*100</f>
        <v>0</v>
      </c>
      <c r="UH37">
        <f>SUMIFS(Detail!$AS:$AS,Detail!$G:$G,'Rates-Service Fees'!UH$23,Detail!$H:$H,'Rates-Service Fees'!UH$17)*100</f>
        <v>0</v>
      </c>
      <c r="UI37">
        <f>SUMIFS(Detail!$AS:$AS,Detail!$G:$G,'Rates-Service Fees'!UI$23,Detail!$H:$H,'Rates-Service Fees'!UI$17)*100</f>
        <v>0</v>
      </c>
      <c r="UJ37">
        <f>SUMIFS(Detail!$AS:$AS,Detail!$G:$G,'Rates-Service Fees'!UJ$23,Detail!$H:$H,'Rates-Service Fees'!UJ$17)*100</f>
        <v>0</v>
      </c>
      <c r="UK37">
        <f>SUMIFS(Detail!$AS:$AS,Detail!$G:$G,'Rates-Service Fees'!UK$23,Detail!$H:$H,'Rates-Service Fees'!UK$17)*100</f>
        <v>0</v>
      </c>
      <c r="UL37">
        <f>SUMIFS(Detail!$AS:$AS,Detail!$G:$G,'Rates-Service Fees'!UL$23,Detail!$H:$H,'Rates-Service Fees'!UL$17)*100</f>
        <v>0</v>
      </c>
      <c r="UM37">
        <f>SUMIFS(Detail!$AS:$AS,Detail!$G:$G,'Rates-Service Fees'!UM$23,Detail!$H:$H,'Rates-Service Fees'!UM$17)*100</f>
        <v>0</v>
      </c>
      <c r="UN37">
        <f>SUMIFS(Detail!$AS:$AS,Detail!$G:$G,'Rates-Service Fees'!UN$23,Detail!$H:$H,'Rates-Service Fees'!UN$17)*100</f>
        <v>0</v>
      </c>
      <c r="UO37">
        <f>SUMIFS(Detail!$AS:$AS,Detail!$G:$G,'Rates-Service Fees'!UO$23,Detail!$H:$H,'Rates-Service Fees'!UO$17)*100</f>
        <v>0</v>
      </c>
      <c r="UP37">
        <f>SUMIFS(Detail!$AS:$AS,Detail!$G:$G,'Rates-Service Fees'!UP$23,Detail!$H:$H,'Rates-Service Fees'!UP$17)*100</f>
        <v>0</v>
      </c>
      <c r="UQ37">
        <f>SUMIFS(Detail!$AS:$AS,Detail!$G:$G,'Rates-Service Fees'!UQ$23,Detail!$H:$H,'Rates-Service Fees'!UQ$17)*100</f>
        <v>0</v>
      </c>
      <c r="UR37">
        <f>SUMIFS(Detail!$AS:$AS,Detail!$G:$G,'Rates-Service Fees'!UR$23,Detail!$H:$H,'Rates-Service Fees'!UR$17)*100</f>
        <v>0</v>
      </c>
      <c r="US37">
        <f>SUMIFS(Detail!$AS:$AS,Detail!$G:$G,'Rates-Service Fees'!US$23,Detail!$H:$H,'Rates-Service Fees'!US$17)*100</f>
        <v>0</v>
      </c>
      <c r="UT37">
        <f>SUMIFS(Detail!$AS:$AS,Detail!$G:$G,'Rates-Service Fees'!UT$23,Detail!$H:$H,'Rates-Service Fees'!UT$17)*100</f>
        <v>0</v>
      </c>
      <c r="UU37">
        <f>SUMIFS(Detail!$AS:$AS,Detail!$G:$G,'Rates-Service Fees'!UU$23,Detail!$H:$H,'Rates-Service Fees'!UU$17)*100</f>
        <v>0</v>
      </c>
      <c r="UV37">
        <f>SUMIFS(Detail!$AS:$AS,Detail!$G:$G,'Rates-Service Fees'!UV$23,Detail!$H:$H,'Rates-Service Fees'!UV$17)*100</f>
        <v>0</v>
      </c>
      <c r="UW37">
        <f>SUMIFS(Detail!$AS:$AS,Detail!$G:$G,'Rates-Service Fees'!UW$23,Detail!$H:$H,'Rates-Service Fees'!UW$17)*100</f>
        <v>0</v>
      </c>
      <c r="UX37">
        <f>SUMIFS(Detail!$AS:$AS,Detail!$G:$G,'Rates-Service Fees'!UX$23,Detail!$H:$H,'Rates-Service Fees'!UX$17)*100</f>
        <v>0</v>
      </c>
      <c r="UY37">
        <f>SUMIFS(Detail!$AS:$AS,Detail!$G:$G,'Rates-Service Fees'!UY$23,Detail!$H:$H,'Rates-Service Fees'!UY$17)*100</f>
        <v>0</v>
      </c>
      <c r="UZ37">
        <f>SUMIFS(Detail!$AS:$AS,Detail!$G:$G,'Rates-Service Fees'!UZ$23,Detail!$H:$H,'Rates-Service Fees'!UZ$17)*100</f>
        <v>0</v>
      </c>
      <c r="VA37">
        <f>SUMIFS(Detail!$AS:$AS,Detail!$G:$G,'Rates-Service Fees'!VA$23,Detail!$H:$H,'Rates-Service Fees'!VA$17)*100</f>
        <v>0</v>
      </c>
      <c r="VB37">
        <f>SUMIFS(Detail!$AS:$AS,Detail!$G:$G,'Rates-Service Fees'!VB$23,Detail!$H:$H,'Rates-Service Fees'!VB$17)*100</f>
        <v>0</v>
      </c>
      <c r="VC37">
        <f>SUMIFS(Detail!$AS:$AS,Detail!$G:$G,'Rates-Service Fees'!VC$23,Detail!$H:$H,'Rates-Service Fees'!VC$17)*100</f>
        <v>0</v>
      </c>
      <c r="VD37">
        <f>SUMIFS(Detail!$AS:$AS,Detail!$G:$G,'Rates-Service Fees'!VD$23,Detail!$H:$H,'Rates-Service Fees'!VD$17)*100</f>
        <v>0</v>
      </c>
      <c r="VE37">
        <f>SUMIFS(Detail!$AS:$AS,Detail!$G:$G,'Rates-Service Fees'!VE$23,Detail!$H:$H,'Rates-Service Fees'!VE$17)*100</f>
        <v>0</v>
      </c>
      <c r="VF37">
        <f>SUMIFS(Detail!$AS:$AS,Detail!$G:$G,'Rates-Service Fees'!VF$23,Detail!$H:$H,'Rates-Service Fees'!VF$17)*100</f>
        <v>0</v>
      </c>
      <c r="VG37">
        <f>SUMIFS(Detail!$AS:$AS,Detail!$G:$G,'Rates-Service Fees'!VG$23,Detail!$H:$H,'Rates-Service Fees'!VG$17)*100</f>
        <v>0</v>
      </c>
      <c r="VH37">
        <f>SUMIFS(Detail!$AS:$AS,Detail!$G:$G,'Rates-Service Fees'!VH$23,Detail!$H:$H,'Rates-Service Fees'!VH$17)*100</f>
        <v>0</v>
      </c>
      <c r="VI37">
        <f>SUMIFS(Detail!$AS:$AS,Detail!$G:$G,'Rates-Service Fees'!VI$23,Detail!$H:$H,'Rates-Service Fees'!VI$17)*100</f>
        <v>0</v>
      </c>
      <c r="VJ37">
        <f>SUMIFS(Detail!$AS:$AS,Detail!$G:$G,'Rates-Service Fees'!VJ$23,Detail!$H:$H,'Rates-Service Fees'!VJ$17)*100</f>
        <v>0</v>
      </c>
      <c r="VK37">
        <f>SUMIFS(Detail!$AS:$AS,Detail!$G:$G,'Rates-Service Fees'!VK$23,Detail!$H:$H,'Rates-Service Fees'!VK$17)*100</f>
        <v>0</v>
      </c>
      <c r="VL37">
        <f>SUMIFS(Detail!$AS:$AS,Detail!$G:$G,'Rates-Service Fees'!VL$23,Detail!$H:$H,'Rates-Service Fees'!VL$17)*100</f>
        <v>0</v>
      </c>
      <c r="VM37">
        <f>SUMIFS(Detail!$AS:$AS,Detail!$G:$G,'Rates-Service Fees'!VM$23,Detail!$H:$H,'Rates-Service Fees'!VM$17)*100</f>
        <v>0</v>
      </c>
      <c r="VN37">
        <f>SUMIFS(Detail!$AS:$AS,Detail!$G:$G,'Rates-Service Fees'!VN$23,Detail!$H:$H,'Rates-Service Fees'!VN$17)*100</f>
        <v>0</v>
      </c>
      <c r="VO37">
        <f>SUMIFS(Detail!$AS:$AS,Detail!$G:$G,'Rates-Service Fees'!VO$23,Detail!$H:$H,'Rates-Service Fees'!VO$17)*100</f>
        <v>0</v>
      </c>
      <c r="VP37">
        <f>SUMIFS(Detail!$AS:$AS,Detail!$G:$G,'Rates-Service Fees'!VP$23,Detail!$H:$H,'Rates-Service Fees'!VP$17)*100</f>
        <v>0</v>
      </c>
      <c r="VQ37">
        <f>SUMIFS(Detail!$AS:$AS,Detail!$G:$G,'Rates-Service Fees'!VQ$23,Detail!$H:$H,'Rates-Service Fees'!VQ$17)*100</f>
        <v>0</v>
      </c>
      <c r="VR37">
        <f>SUMIFS(Detail!$AS:$AS,Detail!$G:$G,'Rates-Service Fees'!VR$23,Detail!$H:$H,'Rates-Service Fees'!VR$17)*100</f>
        <v>0</v>
      </c>
      <c r="VS37">
        <f>SUMIFS(Detail!$AS:$AS,Detail!$G:$G,'Rates-Service Fees'!VS$23,Detail!$H:$H,'Rates-Service Fees'!VS$17)*100</f>
        <v>0</v>
      </c>
      <c r="VT37">
        <f>SUMIFS(Detail!$AS:$AS,Detail!$G:$G,'Rates-Service Fees'!VT$23,Detail!$H:$H,'Rates-Service Fees'!VT$17)*100</f>
        <v>0</v>
      </c>
      <c r="VU37">
        <f>SUMIFS(Detail!$AS:$AS,Detail!$G:$G,'Rates-Service Fees'!VU$23,Detail!$H:$H,'Rates-Service Fees'!VU$17)*100</f>
        <v>0</v>
      </c>
      <c r="VV37">
        <f>SUMIFS(Detail!$AS:$AS,Detail!$G:$G,'Rates-Service Fees'!VV$23,Detail!$H:$H,'Rates-Service Fees'!VV$17)*100</f>
        <v>0</v>
      </c>
      <c r="VW37">
        <f>SUMIFS(Detail!$AS:$AS,Detail!$G:$G,'Rates-Service Fees'!VW$23,Detail!$H:$H,'Rates-Service Fees'!VW$17)*100</f>
        <v>0</v>
      </c>
      <c r="VX37">
        <f>SUMIFS(Detail!$AS:$AS,Detail!$G:$G,'Rates-Service Fees'!VX$23,Detail!$H:$H,'Rates-Service Fees'!VX$17)*100</f>
        <v>0</v>
      </c>
      <c r="VY37">
        <f>SUMIFS(Detail!$AS:$AS,Detail!$G:$G,'Rates-Service Fees'!VY$23,Detail!$H:$H,'Rates-Service Fees'!VY$17)*100</f>
        <v>0</v>
      </c>
      <c r="VZ37">
        <f>SUMIFS(Detail!$AS:$AS,Detail!$G:$G,'Rates-Service Fees'!VZ$23,Detail!$H:$H,'Rates-Service Fees'!VZ$17)*100</f>
        <v>0</v>
      </c>
      <c r="WA37">
        <f>SUMIFS(Detail!$AS:$AS,Detail!$G:$G,'Rates-Service Fees'!WA$23,Detail!$H:$H,'Rates-Service Fees'!WA$17)*100</f>
        <v>0</v>
      </c>
      <c r="WB37">
        <f>SUMIFS(Detail!$AS:$AS,Detail!$G:$G,'Rates-Service Fees'!WB$23,Detail!$H:$H,'Rates-Service Fees'!WB$17)*100</f>
        <v>0</v>
      </c>
      <c r="WC37">
        <f>SUMIFS(Detail!$AS:$AS,Detail!$G:$G,'Rates-Service Fees'!WC$23,Detail!$H:$H,'Rates-Service Fees'!WC$17)*100</f>
        <v>0</v>
      </c>
      <c r="WD37">
        <f>SUMIFS(Detail!$AS:$AS,Detail!$G:$G,'Rates-Service Fees'!WD$23,Detail!$H:$H,'Rates-Service Fees'!WD$17)*100</f>
        <v>0</v>
      </c>
      <c r="WE37">
        <f>SUMIFS(Detail!$AS:$AS,Detail!$G:$G,'Rates-Service Fees'!WE$23,Detail!$H:$H,'Rates-Service Fees'!WE$17)*100</f>
        <v>0</v>
      </c>
      <c r="WF37">
        <f>SUMIFS(Detail!$AS:$AS,Detail!$G:$G,'Rates-Service Fees'!WF$23,Detail!$H:$H,'Rates-Service Fees'!WF$17)*100</f>
        <v>0</v>
      </c>
      <c r="WG37">
        <f>SUMIFS(Detail!$AS:$AS,Detail!$G:$G,'Rates-Service Fees'!WG$23,Detail!$H:$H,'Rates-Service Fees'!WG$17)*100</f>
        <v>0</v>
      </c>
      <c r="WH37">
        <f>SUMIFS(Detail!$AS:$AS,Detail!$G:$G,'Rates-Service Fees'!WH$23,Detail!$H:$H,'Rates-Service Fees'!WH$17)*100</f>
        <v>0</v>
      </c>
      <c r="WI37">
        <f>SUMIFS(Detail!$AS:$AS,Detail!$G:$G,'Rates-Service Fees'!WI$23,Detail!$H:$H,'Rates-Service Fees'!WI$17)*100</f>
        <v>0</v>
      </c>
      <c r="WJ37">
        <f>SUMIFS(Detail!$AS:$AS,Detail!$G:$G,'Rates-Service Fees'!WJ$23,Detail!$H:$H,'Rates-Service Fees'!WJ$17)*100</f>
        <v>0</v>
      </c>
      <c r="WK37">
        <f>SUMIFS(Detail!$AS:$AS,Detail!$G:$G,'Rates-Service Fees'!WK$23,Detail!$H:$H,'Rates-Service Fees'!WK$17)*100</f>
        <v>0</v>
      </c>
      <c r="WL37">
        <f>SUMIFS(Detail!$AS:$AS,Detail!$G:$G,'Rates-Service Fees'!WL$23,Detail!$H:$H,'Rates-Service Fees'!WL$17)*100</f>
        <v>0</v>
      </c>
      <c r="WM37">
        <f>SUMIFS(Detail!$AS:$AS,Detail!$G:$G,'Rates-Service Fees'!WM$23,Detail!$H:$H,'Rates-Service Fees'!WM$17)*100</f>
        <v>0</v>
      </c>
      <c r="WN37">
        <f>SUMIFS(Detail!$AS:$AS,Detail!$G:$G,'Rates-Service Fees'!WN$23,Detail!$H:$H,'Rates-Service Fees'!WN$17)*100</f>
        <v>0</v>
      </c>
      <c r="WO37">
        <f>SUMIFS(Detail!$AS:$AS,Detail!$G:$G,'Rates-Service Fees'!WO$23,Detail!$H:$H,'Rates-Service Fees'!WO$17)*100</f>
        <v>0</v>
      </c>
      <c r="WP37">
        <f>SUMIFS(Detail!$AS:$AS,Detail!$G:$G,'Rates-Service Fees'!WP$23,Detail!$H:$H,'Rates-Service Fees'!WP$17)*100</f>
        <v>0</v>
      </c>
      <c r="WQ37">
        <f>SUMIFS(Detail!$AS:$AS,Detail!$G:$G,'Rates-Service Fees'!WQ$23,Detail!$H:$H,'Rates-Service Fees'!WQ$17)*100</f>
        <v>0</v>
      </c>
      <c r="WR37">
        <f>SUMIFS(Detail!$AS:$AS,Detail!$G:$G,'Rates-Service Fees'!WR$23,Detail!$H:$H,'Rates-Service Fees'!WR$17)*100</f>
        <v>0</v>
      </c>
      <c r="WS37">
        <f>SUMIFS(Detail!$AS:$AS,Detail!$G:$G,'Rates-Service Fees'!WS$23,Detail!$H:$H,'Rates-Service Fees'!WS$17)*100</f>
        <v>0</v>
      </c>
      <c r="WT37">
        <f>SUMIFS(Detail!$AS:$AS,Detail!$G:$G,'Rates-Service Fees'!WT$23,Detail!$H:$H,'Rates-Service Fees'!WT$17)*100</f>
        <v>0</v>
      </c>
      <c r="WU37">
        <f>SUMIFS(Detail!$AS:$AS,Detail!$G:$G,'Rates-Service Fees'!WU$23,Detail!$H:$H,'Rates-Service Fees'!WU$17)*100</f>
        <v>0</v>
      </c>
      <c r="WV37">
        <f>SUMIFS(Detail!$AS:$AS,Detail!$G:$G,'Rates-Service Fees'!WV$23,Detail!$H:$H,'Rates-Service Fees'!WV$17)*100</f>
        <v>0</v>
      </c>
      <c r="WW37">
        <f>SUMIFS(Detail!$AS:$AS,Detail!$G:$G,'Rates-Service Fees'!WW$23,Detail!$H:$H,'Rates-Service Fees'!WW$17)*100</f>
        <v>0</v>
      </c>
      <c r="WX37">
        <f>SUMIFS(Detail!$AS:$AS,Detail!$G:$G,'Rates-Service Fees'!WX$23,Detail!$H:$H,'Rates-Service Fees'!WX$17)*100</f>
        <v>0</v>
      </c>
      <c r="WY37">
        <f>SUMIFS(Detail!$AS:$AS,Detail!$G:$G,'Rates-Service Fees'!WY$23,Detail!$H:$H,'Rates-Service Fees'!WY$17)*100</f>
        <v>0</v>
      </c>
      <c r="WZ37">
        <f>SUMIFS(Detail!$AS:$AS,Detail!$G:$G,'Rates-Service Fees'!WZ$23,Detail!$H:$H,'Rates-Service Fees'!WZ$17)*100</f>
        <v>0</v>
      </c>
      <c r="XA37">
        <f>SUMIFS(Detail!$AS:$AS,Detail!$G:$G,'Rates-Service Fees'!XA$23,Detail!$H:$H,'Rates-Service Fees'!XA$17)*100</f>
        <v>0</v>
      </c>
      <c r="XB37">
        <f>SUMIFS(Detail!$AS:$AS,Detail!$G:$G,'Rates-Service Fees'!XB$23,Detail!$H:$H,'Rates-Service Fees'!XB$17)*100</f>
        <v>0</v>
      </c>
      <c r="XC37">
        <f>SUMIFS(Detail!$AS:$AS,Detail!$G:$G,'Rates-Service Fees'!XC$23,Detail!$H:$H,'Rates-Service Fees'!XC$17)*100</f>
        <v>0</v>
      </c>
      <c r="XD37">
        <f>SUMIFS(Detail!$AS:$AS,Detail!$G:$G,'Rates-Service Fees'!XD$23,Detail!$H:$H,'Rates-Service Fees'!XD$17)*100</f>
        <v>0</v>
      </c>
      <c r="XE37">
        <f>SUMIFS(Detail!$AS:$AS,Detail!$G:$G,'Rates-Service Fees'!XE$23,Detail!$H:$H,'Rates-Service Fees'!XE$17)*100</f>
        <v>0</v>
      </c>
      <c r="XF37">
        <f>SUMIFS(Detail!$AS:$AS,Detail!$G:$G,'Rates-Service Fees'!XF$23,Detail!$H:$H,'Rates-Service Fees'!XF$17)*100</f>
        <v>0</v>
      </c>
      <c r="XG37">
        <f>SUMIFS(Detail!$AS:$AS,Detail!$G:$G,'Rates-Service Fees'!XG$23,Detail!$H:$H,'Rates-Service Fees'!XG$17)*100</f>
        <v>0</v>
      </c>
      <c r="XH37">
        <f>SUMIFS(Detail!$AS:$AS,Detail!$G:$G,'Rates-Service Fees'!XH$23,Detail!$H:$H,'Rates-Service Fees'!XH$17)*100</f>
        <v>0</v>
      </c>
      <c r="XI37">
        <f>SUMIFS(Detail!$AS:$AS,Detail!$G:$G,'Rates-Service Fees'!XI$23,Detail!$H:$H,'Rates-Service Fees'!XI$17)*100</f>
        <v>0</v>
      </c>
      <c r="XJ37">
        <f>SUMIFS(Detail!$AS:$AS,Detail!$G:$G,'Rates-Service Fees'!XJ$23,Detail!$H:$H,'Rates-Service Fees'!XJ$17)*100</f>
        <v>0</v>
      </c>
      <c r="XK37">
        <f>SUMIFS(Detail!$AS:$AS,Detail!$G:$G,'Rates-Service Fees'!XK$23,Detail!$H:$H,'Rates-Service Fees'!XK$17)*100</f>
        <v>0</v>
      </c>
      <c r="XL37">
        <f>SUMIFS(Detail!$AS:$AS,Detail!$G:$G,'Rates-Service Fees'!XL$23,Detail!$H:$H,'Rates-Service Fees'!XL$17)*100</f>
        <v>0</v>
      </c>
      <c r="XM37">
        <f>SUMIFS(Detail!$AS:$AS,Detail!$G:$G,'Rates-Service Fees'!XM$23,Detail!$H:$H,'Rates-Service Fees'!XM$17)*100</f>
        <v>0</v>
      </c>
      <c r="XN37">
        <f>SUMIFS(Detail!$AS:$AS,Detail!$G:$G,'Rates-Service Fees'!XN$23,Detail!$H:$H,'Rates-Service Fees'!XN$17)*100</f>
        <v>0</v>
      </c>
      <c r="XO37">
        <f>SUMIFS(Detail!$AS:$AS,Detail!$G:$G,'Rates-Service Fees'!XO$23,Detail!$H:$H,'Rates-Service Fees'!XO$17)*100</f>
        <v>0</v>
      </c>
      <c r="XP37">
        <f>SUMIFS(Detail!$AS:$AS,Detail!$G:$G,'Rates-Service Fees'!XP$23,Detail!$H:$H,'Rates-Service Fees'!XP$17)*100</f>
        <v>0</v>
      </c>
      <c r="XQ37">
        <f>SUMIFS(Detail!$AS:$AS,Detail!$G:$G,'Rates-Service Fees'!XQ$23,Detail!$H:$H,'Rates-Service Fees'!XQ$17)*100</f>
        <v>0</v>
      </c>
      <c r="XR37">
        <f>SUMIFS(Detail!$AS:$AS,Detail!$G:$G,'Rates-Service Fees'!XR$23,Detail!$H:$H,'Rates-Service Fees'!XR$17)*100</f>
        <v>0</v>
      </c>
      <c r="XS37">
        <f>SUMIFS(Detail!$AS:$AS,Detail!$G:$G,'Rates-Service Fees'!XS$23,Detail!$H:$H,'Rates-Service Fees'!XS$17)*100</f>
        <v>0</v>
      </c>
      <c r="XT37">
        <f>SUMIFS(Detail!$AS:$AS,Detail!$G:$G,'Rates-Service Fees'!XT$23,Detail!$H:$H,'Rates-Service Fees'!XT$17)*100</f>
        <v>0</v>
      </c>
      <c r="XU37">
        <f>SUMIFS(Detail!$AS:$AS,Detail!$G:$G,'Rates-Service Fees'!XU$23,Detail!$H:$H,'Rates-Service Fees'!XU$17)*100</f>
        <v>0</v>
      </c>
      <c r="XV37">
        <f>SUMIFS(Detail!$AS:$AS,Detail!$G:$G,'Rates-Service Fees'!XV$23,Detail!$H:$H,'Rates-Service Fees'!XV$17)*100</f>
        <v>0</v>
      </c>
      <c r="XW37">
        <f>SUMIFS(Detail!$AS:$AS,Detail!$G:$G,'Rates-Service Fees'!XW$23,Detail!$H:$H,'Rates-Service Fees'!XW$17)*100</f>
        <v>0</v>
      </c>
      <c r="XX37">
        <f>SUMIFS(Detail!$AS:$AS,Detail!$G:$G,'Rates-Service Fees'!XX$23,Detail!$H:$H,'Rates-Service Fees'!XX$17)*100</f>
        <v>0</v>
      </c>
      <c r="XY37">
        <f>SUMIFS(Detail!$AS:$AS,Detail!$G:$G,'Rates-Service Fees'!XY$23,Detail!$H:$H,'Rates-Service Fees'!XY$17)*100</f>
        <v>0</v>
      </c>
      <c r="XZ37">
        <f>SUMIFS(Detail!$AS:$AS,Detail!$G:$G,'Rates-Service Fees'!XZ$23,Detail!$H:$H,'Rates-Service Fees'!XZ$17)*100</f>
        <v>0</v>
      </c>
      <c r="YA37">
        <f>SUMIFS(Detail!$AS:$AS,Detail!$G:$G,'Rates-Service Fees'!YA$23,Detail!$H:$H,'Rates-Service Fees'!YA$17)*100</f>
        <v>0</v>
      </c>
      <c r="YB37">
        <f>SUMIFS(Detail!$AS:$AS,Detail!$G:$G,'Rates-Service Fees'!YB$23,Detail!$H:$H,'Rates-Service Fees'!YB$17)*100</f>
        <v>0</v>
      </c>
      <c r="YC37">
        <f>SUMIFS(Detail!$AS:$AS,Detail!$G:$G,'Rates-Service Fees'!YC$23,Detail!$H:$H,'Rates-Service Fees'!YC$17)*100</f>
        <v>0</v>
      </c>
      <c r="YD37">
        <f>SUMIFS(Detail!$AS:$AS,Detail!$G:$G,'Rates-Service Fees'!YD$23,Detail!$H:$H,'Rates-Service Fees'!YD$17)*100</f>
        <v>0</v>
      </c>
      <c r="YE37">
        <f>SUMIFS(Detail!$AS:$AS,Detail!$G:$G,'Rates-Service Fees'!YE$23,Detail!$H:$H,'Rates-Service Fees'!YE$17)*100</f>
        <v>0</v>
      </c>
      <c r="YF37">
        <f>SUMIFS(Detail!$AS:$AS,Detail!$G:$G,'Rates-Service Fees'!YF$23,Detail!$H:$H,'Rates-Service Fees'!YF$17)*100</f>
        <v>0</v>
      </c>
      <c r="YG37">
        <f>SUMIFS(Detail!$AS:$AS,Detail!$G:$G,'Rates-Service Fees'!YG$23,Detail!$H:$H,'Rates-Service Fees'!YG$17)*100</f>
        <v>0</v>
      </c>
      <c r="YH37">
        <f>SUMIFS(Detail!$AS:$AS,Detail!$G:$G,'Rates-Service Fees'!YH$23,Detail!$H:$H,'Rates-Service Fees'!YH$17)*100</f>
        <v>0</v>
      </c>
      <c r="YI37">
        <f>SUMIFS(Detail!$AS:$AS,Detail!$G:$G,'Rates-Service Fees'!YI$23,Detail!$H:$H,'Rates-Service Fees'!YI$17)*100</f>
        <v>0</v>
      </c>
      <c r="YJ37">
        <f>SUMIFS(Detail!$AS:$AS,Detail!$G:$G,'Rates-Service Fees'!YJ$23,Detail!$H:$H,'Rates-Service Fees'!YJ$17)*100</f>
        <v>0</v>
      </c>
      <c r="YK37">
        <f>SUMIFS(Detail!$AS:$AS,Detail!$G:$G,'Rates-Service Fees'!YK$23,Detail!$H:$H,'Rates-Service Fees'!YK$17)*100</f>
        <v>0</v>
      </c>
      <c r="YL37">
        <f>SUMIFS(Detail!$AS:$AS,Detail!$G:$G,'Rates-Service Fees'!YL$23,Detail!$H:$H,'Rates-Service Fees'!YL$17)*100</f>
        <v>0</v>
      </c>
      <c r="YM37">
        <f>SUMIFS(Detail!$AS:$AS,Detail!$G:$G,'Rates-Service Fees'!YM$23,Detail!$H:$H,'Rates-Service Fees'!YM$17)*100</f>
        <v>0</v>
      </c>
      <c r="YN37">
        <f>SUMIFS(Detail!$AS:$AS,Detail!$G:$G,'Rates-Service Fees'!YN$23,Detail!$H:$H,'Rates-Service Fees'!YN$17)*100</f>
        <v>0</v>
      </c>
      <c r="YO37">
        <f>SUMIFS(Detail!$AS:$AS,Detail!$G:$G,'Rates-Service Fees'!YO$23,Detail!$H:$H,'Rates-Service Fees'!YO$17)*100</f>
        <v>0</v>
      </c>
      <c r="YP37">
        <f>SUMIFS(Detail!$AS:$AS,Detail!$G:$G,'Rates-Service Fees'!YP$23,Detail!$H:$H,'Rates-Service Fees'!YP$17)*100</f>
        <v>0</v>
      </c>
      <c r="YQ37">
        <f>SUMIFS(Detail!$AS:$AS,Detail!$G:$G,'Rates-Service Fees'!YQ$23,Detail!$H:$H,'Rates-Service Fees'!YQ$17)*100</f>
        <v>0</v>
      </c>
      <c r="YR37">
        <f>SUMIFS(Detail!$AS:$AS,Detail!$G:$G,'Rates-Service Fees'!YR$23,Detail!$H:$H,'Rates-Service Fees'!YR$17)*100</f>
        <v>0</v>
      </c>
      <c r="YS37">
        <f>SUMIFS(Detail!$AS:$AS,Detail!$G:$G,'Rates-Service Fees'!YS$23,Detail!$H:$H,'Rates-Service Fees'!YS$17)*100</f>
        <v>0</v>
      </c>
      <c r="YT37">
        <f>SUMIFS(Detail!$AS:$AS,Detail!$G:$G,'Rates-Service Fees'!YT$23,Detail!$H:$H,'Rates-Service Fees'!YT$17)*100</f>
        <v>0</v>
      </c>
      <c r="YU37">
        <f>SUMIFS(Detail!$AS:$AS,Detail!$G:$G,'Rates-Service Fees'!YU$23,Detail!$H:$H,'Rates-Service Fees'!YU$17)*100</f>
        <v>0</v>
      </c>
      <c r="YV37">
        <f>SUMIFS(Detail!$AS:$AS,Detail!$G:$G,'Rates-Service Fees'!YV$23,Detail!$H:$H,'Rates-Service Fees'!YV$17)*100</f>
        <v>0</v>
      </c>
      <c r="YW37">
        <f>SUMIFS(Detail!$AS:$AS,Detail!$G:$G,'Rates-Service Fees'!YW$23,Detail!$H:$H,'Rates-Service Fees'!YW$17)*100</f>
        <v>0</v>
      </c>
      <c r="YX37">
        <f>SUMIFS(Detail!$AS:$AS,Detail!$G:$G,'Rates-Service Fees'!YX$23,Detail!$H:$H,'Rates-Service Fees'!YX$17)*100</f>
        <v>0</v>
      </c>
      <c r="YY37">
        <f>SUMIFS(Detail!$AS:$AS,Detail!$G:$G,'Rates-Service Fees'!YY$23,Detail!$H:$H,'Rates-Service Fees'!YY$17)*100</f>
        <v>0</v>
      </c>
      <c r="YZ37">
        <f>SUMIFS(Detail!$AS:$AS,Detail!$G:$G,'Rates-Service Fees'!YZ$23,Detail!$H:$H,'Rates-Service Fees'!YZ$17)*100</f>
        <v>0</v>
      </c>
      <c r="ZA37">
        <f>SUMIFS(Detail!$AS:$AS,Detail!$G:$G,'Rates-Service Fees'!ZA$23,Detail!$H:$H,'Rates-Service Fees'!ZA$17)*100</f>
        <v>0</v>
      </c>
      <c r="ZB37">
        <f>SUMIFS(Detail!$AS:$AS,Detail!$G:$G,'Rates-Service Fees'!ZB$23,Detail!$H:$H,'Rates-Service Fees'!ZB$17)*100</f>
        <v>0</v>
      </c>
      <c r="ZC37">
        <f>SUMIFS(Detail!$AS:$AS,Detail!$G:$G,'Rates-Service Fees'!ZC$23,Detail!$H:$H,'Rates-Service Fees'!ZC$17)*100</f>
        <v>0</v>
      </c>
      <c r="ZD37">
        <f>SUMIFS(Detail!$AS:$AS,Detail!$G:$G,'Rates-Service Fees'!ZD$23,Detail!$H:$H,'Rates-Service Fees'!ZD$17)*100</f>
        <v>0</v>
      </c>
      <c r="ZE37">
        <f>SUMIFS(Detail!$AS:$AS,Detail!$G:$G,'Rates-Service Fees'!ZE$23,Detail!$H:$H,'Rates-Service Fees'!ZE$17)*100</f>
        <v>0</v>
      </c>
      <c r="ZF37">
        <f>SUMIFS(Detail!$AS:$AS,Detail!$G:$G,'Rates-Service Fees'!ZF$23,Detail!$H:$H,'Rates-Service Fees'!ZF$17)*100</f>
        <v>0</v>
      </c>
      <c r="ZG37">
        <f>SUMIFS(Detail!$AS:$AS,Detail!$G:$G,'Rates-Service Fees'!ZG$23,Detail!$H:$H,'Rates-Service Fees'!ZG$17)*100</f>
        <v>0</v>
      </c>
      <c r="ZH37">
        <f>SUMIFS(Detail!$AS:$AS,Detail!$G:$G,'Rates-Service Fees'!ZH$23,Detail!$H:$H,'Rates-Service Fees'!ZH$17)*100</f>
        <v>0</v>
      </c>
      <c r="ZI37">
        <f>SUMIFS(Detail!$AS:$AS,Detail!$G:$G,'Rates-Service Fees'!ZI$23,Detail!$H:$H,'Rates-Service Fees'!ZI$17)*100</f>
        <v>0</v>
      </c>
      <c r="ZJ37">
        <f>SUMIFS(Detail!$AS:$AS,Detail!$G:$G,'Rates-Service Fees'!ZJ$23,Detail!$H:$H,'Rates-Service Fees'!ZJ$17)*100</f>
        <v>0</v>
      </c>
      <c r="ZK37">
        <f>SUMIFS(Detail!$AS:$AS,Detail!$G:$G,'Rates-Service Fees'!ZK$23,Detail!$H:$H,'Rates-Service Fees'!ZK$17)*100</f>
        <v>0</v>
      </c>
      <c r="ZL37">
        <f>SUMIFS(Detail!$AS:$AS,Detail!$G:$G,'Rates-Service Fees'!ZL$23,Detail!$H:$H,'Rates-Service Fees'!ZL$17)*100</f>
        <v>0</v>
      </c>
      <c r="ZM37">
        <f>SUMIFS(Detail!$AS:$AS,Detail!$G:$G,'Rates-Service Fees'!ZM$23,Detail!$H:$H,'Rates-Service Fees'!ZM$17)*100</f>
        <v>0</v>
      </c>
      <c r="ZN37">
        <f>SUMIFS(Detail!$AS:$AS,Detail!$G:$G,'Rates-Service Fees'!ZN$23,Detail!$H:$H,'Rates-Service Fees'!ZN$17)*100</f>
        <v>0</v>
      </c>
      <c r="ZO37">
        <f>SUMIFS(Detail!$AS:$AS,Detail!$G:$G,'Rates-Service Fees'!ZO$23,Detail!$H:$H,'Rates-Service Fees'!ZO$17)*100</f>
        <v>0</v>
      </c>
      <c r="ZP37">
        <f>SUMIFS(Detail!$AS:$AS,Detail!$G:$G,'Rates-Service Fees'!ZP$23,Detail!$H:$H,'Rates-Service Fees'!ZP$17)*100</f>
        <v>0</v>
      </c>
      <c r="ZQ37">
        <f>SUMIFS(Detail!$AS:$AS,Detail!$G:$G,'Rates-Service Fees'!ZQ$23,Detail!$H:$H,'Rates-Service Fees'!ZQ$17)*100</f>
        <v>0</v>
      </c>
      <c r="ZR37">
        <f>SUMIFS(Detail!$AS:$AS,Detail!$G:$G,'Rates-Service Fees'!ZR$23,Detail!$H:$H,'Rates-Service Fees'!ZR$17)*100</f>
        <v>0</v>
      </c>
      <c r="ZS37">
        <f>SUMIFS(Detail!$AS:$AS,Detail!$G:$G,'Rates-Service Fees'!ZS$23,Detail!$H:$H,'Rates-Service Fees'!ZS$17)*100</f>
        <v>0</v>
      </c>
      <c r="ZT37">
        <f>SUMIFS(Detail!$AS:$AS,Detail!$G:$G,'Rates-Service Fees'!ZT$23,Detail!$H:$H,'Rates-Service Fees'!ZT$17)*100</f>
        <v>0</v>
      </c>
      <c r="ZU37">
        <f>SUMIFS(Detail!$AS:$AS,Detail!$G:$G,'Rates-Service Fees'!ZU$23,Detail!$H:$H,'Rates-Service Fees'!ZU$17)*100</f>
        <v>0</v>
      </c>
      <c r="ZV37">
        <f>SUMIFS(Detail!$AS:$AS,Detail!$G:$G,'Rates-Service Fees'!ZV$23,Detail!$H:$H,'Rates-Service Fees'!ZV$17)*100</f>
        <v>0</v>
      </c>
      <c r="ZW37">
        <f>SUMIFS(Detail!$AS:$AS,Detail!$G:$G,'Rates-Service Fees'!ZW$23,Detail!$H:$H,'Rates-Service Fees'!ZW$17)*100</f>
        <v>0</v>
      </c>
      <c r="ZX37">
        <f>SUMIFS(Detail!$AS:$AS,Detail!$G:$G,'Rates-Service Fees'!ZX$23,Detail!$H:$H,'Rates-Service Fees'!ZX$17)*100</f>
        <v>0</v>
      </c>
      <c r="ZY37">
        <f>SUMIFS(Detail!$AS:$AS,Detail!$G:$G,'Rates-Service Fees'!ZY$23,Detail!$H:$H,'Rates-Service Fees'!ZY$17)*100</f>
        <v>0</v>
      </c>
      <c r="ZZ37">
        <f>SUMIFS(Detail!$AS:$AS,Detail!$G:$G,'Rates-Service Fees'!ZZ$23,Detail!$H:$H,'Rates-Service Fees'!ZZ$17)*100</f>
        <v>0</v>
      </c>
      <c r="AAA37">
        <f>SUMIFS(Detail!$AS:$AS,Detail!$G:$G,'Rates-Service Fees'!AAA$23,Detail!$H:$H,'Rates-Service Fees'!AAA$17)*100</f>
        <v>0</v>
      </c>
      <c r="AAB37">
        <f>SUMIFS(Detail!$AS:$AS,Detail!$G:$G,'Rates-Service Fees'!AAB$23,Detail!$H:$H,'Rates-Service Fees'!AAB$17)*100</f>
        <v>0</v>
      </c>
      <c r="AAC37">
        <f>SUMIFS(Detail!$AS:$AS,Detail!$G:$G,'Rates-Service Fees'!AAC$23,Detail!$H:$H,'Rates-Service Fees'!AAC$17)*100</f>
        <v>0</v>
      </c>
      <c r="AAD37">
        <f>SUMIFS(Detail!$AS:$AS,Detail!$G:$G,'Rates-Service Fees'!AAD$23,Detail!$H:$H,'Rates-Service Fees'!AAD$17)*100</f>
        <v>0</v>
      </c>
      <c r="AAE37">
        <f>SUMIFS(Detail!$AS:$AS,Detail!$G:$G,'Rates-Service Fees'!AAE$23,Detail!$H:$H,'Rates-Service Fees'!AAE$17)*100</f>
        <v>0</v>
      </c>
      <c r="AAF37">
        <f>SUMIFS(Detail!$AS:$AS,Detail!$G:$G,'Rates-Service Fees'!AAF$23,Detail!$H:$H,'Rates-Service Fees'!AAF$17)*100</f>
        <v>0</v>
      </c>
      <c r="AAG37">
        <f>SUMIFS(Detail!$AS:$AS,Detail!$G:$G,'Rates-Service Fees'!AAG$23,Detail!$H:$H,'Rates-Service Fees'!AAG$17)*100</f>
        <v>0</v>
      </c>
      <c r="AAH37">
        <f>SUMIFS(Detail!$AS:$AS,Detail!$G:$G,'Rates-Service Fees'!AAH$23,Detail!$H:$H,'Rates-Service Fees'!AAH$17)*100</f>
        <v>0</v>
      </c>
      <c r="AAI37">
        <f>SUMIFS(Detail!$AS:$AS,Detail!$G:$G,'Rates-Service Fees'!AAI$23,Detail!$H:$H,'Rates-Service Fees'!AAI$17)*100</f>
        <v>0</v>
      </c>
      <c r="AAJ37">
        <f>SUMIFS(Detail!$AS:$AS,Detail!$G:$G,'Rates-Service Fees'!AAJ$23,Detail!$H:$H,'Rates-Service Fees'!AAJ$17)*100</f>
        <v>0</v>
      </c>
      <c r="AAK37">
        <f>SUMIFS(Detail!$AS:$AS,Detail!$G:$G,'Rates-Service Fees'!AAK$23,Detail!$H:$H,'Rates-Service Fees'!AAK$17)*100</f>
        <v>0</v>
      </c>
      <c r="AAL37">
        <f>SUMIFS(Detail!$AS:$AS,Detail!$G:$G,'Rates-Service Fees'!AAL$23,Detail!$H:$H,'Rates-Service Fees'!AAL$17)*100</f>
        <v>0</v>
      </c>
      <c r="AAM37">
        <f>SUMIFS(Detail!$AS:$AS,Detail!$G:$G,'Rates-Service Fees'!AAM$23,Detail!$H:$H,'Rates-Service Fees'!AAM$17)*100</f>
        <v>0</v>
      </c>
      <c r="AAN37">
        <f>SUMIFS(Detail!$AS:$AS,Detail!$G:$G,'Rates-Service Fees'!AAN$23,Detail!$H:$H,'Rates-Service Fees'!AAN$17)*100</f>
        <v>0</v>
      </c>
      <c r="AAO37">
        <f>SUMIFS(Detail!$AS:$AS,Detail!$G:$G,'Rates-Service Fees'!AAO$23,Detail!$H:$H,'Rates-Service Fees'!AAO$17)*100</f>
        <v>0</v>
      </c>
      <c r="AAP37">
        <f>SUMIFS(Detail!$AS:$AS,Detail!$G:$G,'Rates-Service Fees'!AAP$23,Detail!$H:$H,'Rates-Service Fees'!AAP$17)*100</f>
        <v>0</v>
      </c>
      <c r="AAQ37">
        <f>SUMIFS(Detail!$AS:$AS,Detail!$G:$G,'Rates-Service Fees'!AAQ$23,Detail!$H:$H,'Rates-Service Fees'!AAQ$17)*100</f>
        <v>0</v>
      </c>
      <c r="AAR37">
        <f>SUMIFS(Detail!$AS:$AS,Detail!$G:$G,'Rates-Service Fees'!AAR$23,Detail!$H:$H,'Rates-Service Fees'!AAR$17)*100</f>
        <v>0</v>
      </c>
      <c r="AAS37">
        <f>SUMIFS(Detail!$AS:$AS,Detail!$G:$G,'Rates-Service Fees'!AAS$23,Detail!$H:$H,'Rates-Service Fees'!AAS$17)*100</f>
        <v>0</v>
      </c>
      <c r="AAT37">
        <f>SUMIFS(Detail!$AS:$AS,Detail!$G:$G,'Rates-Service Fees'!AAT$23,Detail!$H:$H,'Rates-Service Fees'!AAT$17)*100</f>
        <v>0</v>
      </c>
      <c r="AAU37">
        <f>SUMIFS(Detail!$AS:$AS,Detail!$G:$G,'Rates-Service Fees'!AAU$23,Detail!$H:$H,'Rates-Service Fees'!AAU$17)*100</f>
        <v>0</v>
      </c>
      <c r="AAV37">
        <f>SUMIFS(Detail!$AS:$AS,Detail!$G:$G,'Rates-Service Fees'!AAV$23,Detail!$H:$H,'Rates-Service Fees'!AAV$17)*100</f>
        <v>0</v>
      </c>
      <c r="AAW37">
        <f>SUMIFS(Detail!$AS:$AS,Detail!$G:$G,'Rates-Service Fees'!AAW$23,Detail!$H:$H,'Rates-Service Fees'!AAW$17)*100</f>
        <v>0</v>
      </c>
      <c r="AAX37">
        <f>SUMIFS(Detail!$AS:$AS,Detail!$G:$G,'Rates-Service Fees'!AAX$23,Detail!$H:$H,'Rates-Service Fees'!AAX$17)*100</f>
        <v>0</v>
      </c>
      <c r="AAY37">
        <f>SUMIFS(Detail!$AS:$AS,Detail!$G:$G,'Rates-Service Fees'!AAY$23,Detail!$H:$H,'Rates-Service Fees'!AAY$17)*100</f>
        <v>0</v>
      </c>
      <c r="AAZ37">
        <f>SUMIFS(Detail!$AS:$AS,Detail!$G:$G,'Rates-Service Fees'!AAZ$23,Detail!$H:$H,'Rates-Service Fees'!AAZ$17)*100</f>
        <v>0</v>
      </c>
      <c r="ABA37">
        <f>SUMIFS(Detail!$AS:$AS,Detail!$G:$G,'Rates-Service Fees'!ABA$23,Detail!$H:$H,'Rates-Service Fees'!ABA$17)*100</f>
        <v>0</v>
      </c>
      <c r="ABB37">
        <f>SUMIFS(Detail!$AS:$AS,Detail!$G:$G,'Rates-Service Fees'!ABB$23,Detail!$H:$H,'Rates-Service Fees'!ABB$17)*100</f>
        <v>0</v>
      </c>
      <c r="ABC37">
        <f>SUMIFS(Detail!$AS:$AS,Detail!$G:$G,'Rates-Service Fees'!ABC$23,Detail!$H:$H,'Rates-Service Fees'!ABC$17)*100</f>
        <v>0</v>
      </c>
      <c r="ABD37">
        <f>SUMIFS(Detail!$AS:$AS,Detail!$G:$G,'Rates-Service Fees'!ABD$23,Detail!$H:$H,'Rates-Service Fees'!ABD$17)*100</f>
        <v>0</v>
      </c>
      <c r="ABE37">
        <f>SUMIFS(Detail!$AS:$AS,Detail!$G:$G,'Rates-Service Fees'!ABE$23,Detail!$H:$H,'Rates-Service Fees'!ABE$17)*100</f>
        <v>0</v>
      </c>
      <c r="ABF37">
        <f>SUMIFS(Detail!$AS:$AS,Detail!$G:$G,'Rates-Service Fees'!ABF$23,Detail!$H:$H,'Rates-Service Fees'!ABF$17)*100</f>
        <v>0</v>
      </c>
      <c r="ABG37">
        <f>SUMIFS(Detail!$AS:$AS,Detail!$G:$G,'Rates-Service Fees'!ABG$23,Detail!$H:$H,'Rates-Service Fees'!ABG$17)*100</f>
        <v>0</v>
      </c>
      <c r="ABH37">
        <f>SUMIFS(Detail!$AS:$AS,Detail!$G:$G,'Rates-Service Fees'!ABH$23,Detail!$H:$H,'Rates-Service Fees'!ABH$17)*100</f>
        <v>0</v>
      </c>
      <c r="ABI37">
        <f>SUMIFS(Detail!$AS:$AS,Detail!$G:$G,'Rates-Service Fees'!ABI$23,Detail!$H:$H,'Rates-Service Fees'!ABI$17)*100</f>
        <v>0</v>
      </c>
      <c r="ABJ37">
        <f>SUMIFS(Detail!$AS:$AS,Detail!$G:$G,'Rates-Service Fees'!ABJ$23,Detail!$H:$H,'Rates-Service Fees'!ABJ$17)*100</f>
        <v>0</v>
      </c>
      <c r="ABK37">
        <f>SUMIFS(Detail!$AS:$AS,Detail!$G:$G,'Rates-Service Fees'!ABK$23,Detail!$H:$H,'Rates-Service Fees'!ABK$17)*100</f>
        <v>0</v>
      </c>
      <c r="ABL37">
        <f>SUMIFS(Detail!$AS:$AS,Detail!$G:$G,'Rates-Service Fees'!ABL$23,Detail!$H:$H,'Rates-Service Fees'!ABL$17)*100</f>
        <v>0</v>
      </c>
      <c r="ABM37">
        <f>SUMIFS(Detail!$AS:$AS,Detail!$G:$G,'Rates-Service Fees'!ABM$23,Detail!$H:$H,'Rates-Service Fees'!ABM$17)*100</f>
        <v>0</v>
      </c>
      <c r="ABN37">
        <f>SUMIFS(Detail!$AS:$AS,Detail!$G:$G,'Rates-Service Fees'!ABN$23,Detail!$H:$H,'Rates-Service Fees'!ABN$17)*100</f>
        <v>0</v>
      </c>
      <c r="ABO37">
        <f>SUMIFS(Detail!$AS:$AS,Detail!$G:$G,'Rates-Service Fees'!ABO$23,Detail!$H:$H,'Rates-Service Fees'!ABO$17)*100</f>
        <v>0</v>
      </c>
      <c r="ABP37">
        <f>SUMIFS(Detail!$AS:$AS,Detail!$G:$G,'Rates-Service Fees'!ABP$23,Detail!$H:$H,'Rates-Service Fees'!ABP$17)*100</f>
        <v>0</v>
      </c>
      <c r="ABQ37">
        <f>SUMIFS(Detail!$AS:$AS,Detail!$G:$G,'Rates-Service Fees'!ABQ$23,Detail!$H:$H,'Rates-Service Fees'!ABQ$17)*100</f>
        <v>0</v>
      </c>
      <c r="ABR37">
        <f>SUMIFS(Detail!$AS:$AS,Detail!$G:$G,'Rates-Service Fees'!ABR$23,Detail!$H:$H,'Rates-Service Fees'!ABR$17)*100</f>
        <v>0</v>
      </c>
      <c r="ABS37">
        <f>SUMIFS(Detail!$AS:$AS,Detail!$G:$G,'Rates-Service Fees'!ABS$23,Detail!$H:$H,'Rates-Service Fees'!ABS$17)*100</f>
        <v>0</v>
      </c>
      <c r="ABT37">
        <f>SUMIFS(Detail!$AS:$AS,Detail!$G:$G,'Rates-Service Fees'!ABT$23,Detail!$H:$H,'Rates-Service Fees'!ABT$17)*100</f>
        <v>0</v>
      </c>
      <c r="ABU37">
        <f>SUMIFS(Detail!$AS:$AS,Detail!$G:$G,'Rates-Service Fees'!ABU$23,Detail!$H:$H,'Rates-Service Fees'!ABU$17)*100</f>
        <v>0</v>
      </c>
      <c r="ABV37">
        <f>SUMIFS(Detail!$AS:$AS,Detail!$G:$G,'Rates-Service Fees'!ABV$23,Detail!$H:$H,'Rates-Service Fees'!ABV$17)*100</f>
        <v>0</v>
      </c>
      <c r="ABW37">
        <f>SUMIFS(Detail!$AS:$AS,Detail!$G:$G,'Rates-Service Fees'!ABW$23,Detail!$H:$H,'Rates-Service Fees'!ABW$17)*100</f>
        <v>0</v>
      </c>
      <c r="ABX37">
        <f>SUMIFS(Detail!$AS:$AS,Detail!$G:$G,'Rates-Service Fees'!ABX$23,Detail!$H:$H,'Rates-Service Fees'!ABX$17)*100</f>
        <v>0</v>
      </c>
      <c r="ABY37">
        <f>SUMIFS(Detail!$AS:$AS,Detail!$G:$G,'Rates-Service Fees'!ABY$23,Detail!$H:$H,'Rates-Service Fees'!ABY$17)*100</f>
        <v>0</v>
      </c>
      <c r="ABZ37">
        <f>SUMIFS(Detail!$AS:$AS,Detail!$G:$G,'Rates-Service Fees'!ABZ$23,Detail!$H:$H,'Rates-Service Fees'!ABZ$17)*100</f>
        <v>0</v>
      </c>
      <c r="ACA37">
        <f>SUMIFS(Detail!$AS:$AS,Detail!$G:$G,'Rates-Service Fees'!ACA$23,Detail!$H:$H,'Rates-Service Fees'!ACA$17)*100</f>
        <v>0</v>
      </c>
      <c r="ACB37">
        <f>SUMIFS(Detail!$AS:$AS,Detail!$G:$G,'Rates-Service Fees'!ACB$23,Detail!$H:$H,'Rates-Service Fees'!ACB$17)*100</f>
        <v>0</v>
      </c>
      <c r="ACC37">
        <f>SUMIFS(Detail!$AS:$AS,Detail!$G:$G,'Rates-Service Fees'!ACC$23,Detail!$H:$H,'Rates-Service Fees'!ACC$17)*100</f>
        <v>0</v>
      </c>
      <c r="ACD37">
        <f>SUMIFS(Detail!$AS:$AS,Detail!$G:$G,'Rates-Service Fees'!ACD$23,Detail!$H:$H,'Rates-Service Fees'!ACD$17)*100</f>
        <v>0</v>
      </c>
      <c r="ACE37">
        <f>SUMIFS(Detail!$AS:$AS,Detail!$G:$G,'Rates-Service Fees'!ACE$23,Detail!$H:$H,'Rates-Service Fees'!ACE$17)*100</f>
        <v>0</v>
      </c>
      <c r="ACF37">
        <f>SUMIFS(Detail!$AS:$AS,Detail!$G:$G,'Rates-Service Fees'!ACF$23,Detail!$H:$H,'Rates-Service Fees'!ACF$17)*100</f>
        <v>0</v>
      </c>
      <c r="ACG37">
        <f>SUMIFS(Detail!$AS:$AS,Detail!$G:$G,'Rates-Service Fees'!ACG$23,Detail!$H:$H,'Rates-Service Fees'!ACG$17)*100</f>
        <v>0</v>
      </c>
      <c r="ACH37">
        <f>SUMIFS(Detail!$AS:$AS,Detail!$G:$G,'Rates-Service Fees'!ACH$23,Detail!$H:$H,'Rates-Service Fees'!ACH$17)*100</f>
        <v>0</v>
      </c>
      <c r="ACI37">
        <f>SUMIFS(Detail!$AS:$AS,Detail!$G:$G,'Rates-Service Fees'!ACI$23,Detail!$H:$H,'Rates-Service Fees'!ACI$17)*100</f>
        <v>0</v>
      </c>
      <c r="ACJ37">
        <f>SUMIFS(Detail!$AS:$AS,Detail!$G:$G,'Rates-Service Fees'!ACJ$23,Detail!$H:$H,'Rates-Service Fees'!ACJ$17)*100</f>
        <v>0</v>
      </c>
      <c r="ACK37">
        <f>SUMIFS(Detail!$AS:$AS,Detail!$G:$G,'Rates-Service Fees'!ACK$23,Detail!$H:$H,'Rates-Service Fees'!ACK$17)*100</f>
        <v>0</v>
      </c>
      <c r="ACL37">
        <f>SUMIFS(Detail!$AS:$AS,Detail!$G:$G,'Rates-Service Fees'!ACL$23,Detail!$H:$H,'Rates-Service Fees'!ACL$17)*100</f>
        <v>0</v>
      </c>
      <c r="ACM37">
        <f>SUMIFS(Detail!$AS:$AS,Detail!$G:$G,'Rates-Service Fees'!ACM$23,Detail!$H:$H,'Rates-Service Fees'!ACM$17)*100</f>
        <v>0</v>
      </c>
      <c r="ACN37">
        <f>SUMIFS(Detail!$AS:$AS,Detail!$G:$G,'Rates-Service Fees'!ACN$23,Detail!$H:$H,'Rates-Service Fees'!ACN$17)*100</f>
        <v>0</v>
      </c>
      <c r="ACO37">
        <f>SUMIFS(Detail!$AS:$AS,Detail!$G:$G,'Rates-Service Fees'!ACO$23,Detail!$H:$H,'Rates-Service Fees'!ACO$17)*100</f>
        <v>0</v>
      </c>
      <c r="ACP37">
        <f>SUMIFS(Detail!$AS:$AS,Detail!$G:$G,'Rates-Service Fees'!ACP$23,Detail!$H:$H,'Rates-Service Fees'!ACP$17)*100</f>
        <v>0</v>
      </c>
      <c r="ACQ37">
        <f>SUMIFS(Detail!$AS:$AS,Detail!$G:$G,'Rates-Service Fees'!ACQ$23,Detail!$H:$H,'Rates-Service Fees'!ACQ$17)*100</f>
        <v>0</v>
      </c>
      <c r="ACR37">
        <f>SUMIFS(Detail!$AS:$AS,Detail!$G:$G,'Rates-Service Fees'!ACR$23,Detail!$H:$H,'Rates-Service Fees'!ACR$17)*100</f>
        <v>0</v>
      </c>
      <c r="ACS37">
        <f>SUMIFS(Detail!$AS:$AS,Detail!$G:$G,'Rates-Service Fees'!ACS$23,Detail!$H:$H,'Rates-Service Fees'!ACS$17)*100</f>
        <v>0</v>
      </c>
      <c r="ACT37">
        <f>SUMIFS(Detail!$AS:$AS,Detail!$G:$G,'Rates-Service Fees'!ACT$23,Detail!$H:$H,'Rates-Service Fees'!ACT$17)*100</f>
        <v>0</v>
      </c>
      <c r="ACU37">
        <f>SUMIFS(Detail!$AS:$AS,Detail!$G:$G,'Rates-Service Fees'!ACU$23,Detail!$H:$H,'Rates-Service Fees'!ACU$17)*100</f>
        <v>0</v>
      </c>
      <c r="ACV37">
        <f>SUMIFS(Detail!$AS:$AS,Detail!$G:$G,'Rates-Service Fees'!ACV$23,Detail!$H:$H,'Rates-Service Fees'!ACV$17)*100</f>
        <v>0</v>
      </c>
      <c r="ACW37">
        <f>SUMIFS(Detail!$AS:$AS,Detail!$G:$G,'Rates-Service Fees'!ACW$23,Detail!$H:$H,'Rates-Service Fees'!ACW$17)*100</f>
        <v>0</v>
      </c>
      <c r="ACX37">
        <f>SUMIFS(Detail!$AS:$AS,Detail!$G:$G,'Rates-Service Fees'!ACX$23,Detail!$H:$H,'Rates-Service Fees'!ACX$17)*100</f>
        <v>0</v>
      </c>
      <c r="ACY37">
        <f>SUMIFS(Detail!$AS:$AS,Detail!$G:$G,'Rates-Service Fees'!ACY$23,Detail!$H:$H,'Rates-Service Fees'!ACY$17)*100</f>
        <v>0</v>
      </c>
      <c r="ACZ37">
        <f>SUMIFS(Detail!$AS:$AS,Detail!$G:$G,'Rates-Service Fees'!ACZ$23,Detail!$H:$H,'Rates-Service Fees'!ACZ$17)*100</f>
        <v>0</v>
      </c>
      <c r="ADA37">
        <f>SUMIFS(Detail!$AS:$AS,Detail!$G:$G,'Rates-Service Fees'!ADA$23,Detail!$H:$H,'Rates-Service Fees'!ADA$17)*100</f>
        <v>0</v>
      </c>
      <c r="ADB37">
        <f>SUMIFS(Detail!$AS:$AS,Detail!$G:$G,'Rates-Service Fees'!ADB$23,Detail!$H:$H,'Rates-Service Fees'!ADB$17)*100</f>
        <v>0</v>
      </c>
      <c r="ADC37">
        <f>SUMIFS(Detail!$AS:$AS,Detail!$G:$G,'Rates-Service Fees'!ADC$23,Detail!$H:$H,'Rates-Service Fees'!ADC$17)*100</f>
        <v>0</v>
      </c>
      <c r="ADD37">
        <f>SUMIFS(Detail!$AS:$AS,Detail!$G:$G,'Rates-Service Fees'!ADD$23,Detail!$H:$H,'Rates-Service Fees'!ADD$17)*100</f>
        <v>0</v>
      </c>
      <c r="ADE37">
        <f>SUMIFS(Detail!$AS:$AS,Detail!$G:$G,'Rates-Service Fees'!ADE$23,Detail!$H:$H,'Rates-Service Fees'!ADE$17)*100</f>
        <v>0</v>
      </c>
      <c r="ADF37">
        <f>SUMIFS(Detail!$AS:$AS,Detail!$G:$G,'Rates-Service Fees'!ADF$23,Detail!$H:$H,'Rates-Service Fees'!ADF$17)*100</f>
        <v>0</v>
      </c>
      <c r="ADG37">
        <f>SUMIFS(Detail!$AS:$AS,Detail!$G:$G,'Rates-Service Fees'!ADG$23,Detail!$H:$H,'Rates-Service Fees'!ADG$17)*100</f>
        <v>0</v>
      </c>
      <c r="ADH37">
        <f>SUMIFS(Detail!$AS:$AS,Detail!$G:$G,'Rates-Service Fees'!ADH$23,Detail!$H:$H,'Rates-Service Fees'!ADH$17)*100</f>
        <v>0</v>
      </c>
      <c r="ADI37">
        <f>SUMIFS(Detail!$AS:$AS,Detail!$G:$G,'Rates-Service Fees'!ADI$23,Detail!$H:$H,'Rates-Service Fees'!ADI$17)*100</f>
        <v>0</v>
      </c>
      <c r="ADJ37">
        <f>SUMIFS(Detail!$AS:$AS,Detail!$G:$G,'Rates-Service Fees'!ADJ$23,Detail!$H:$H,'Rates-Service Fees'!ADJ$17)*100</f>
        <v>0</v>
      </c>
      <c r="ADK37">
        <f>SUMIFS(Detail!$AS:$AS,Detail!$G:$G,'Rates-Service Fees'!ADK$23,Detail!$H:$H,'Rates-Service Fees'!ADK$17)*100</f>
        <v>0</v>
      </c>
      <c r="ADL37">
        <f>SUMIFS(Detail!$AS:$AS,Detail!$G:$G,'Rates-Service Fees'!ADL$23,Detail!$H:$H,'Rates-Service Fees'!ADL$17)*100</f>
        <v>0</v>
      </c>
      <c r="ADM37">
        <f>SUMIFS(Detail!$AS:$AS,Detail!$G:$G,'Rates-Service Fees'!ADM$23,Detail!$H:$H,'Rates-Service Fees'!ADM$17)*100</f>
        <v>0</v>
      </c>
      <c r="ADN37">
        <f>SUMIFS(Detail!$AS:$AS,Detail!$G:$G,'Rates-Service Fees'!ADN$23,Detail!$H:$H,'Rates-Service Fees'!ADN$17)*100</f>
        <v>0</v>
      </c>
      <c r="ADO37">
        <f>SUMIFS(Detail!$AS:$AS,Detail!$G:$G,'Rates-Service Fees'!ADO$23,Detail!$H:$H,'Rates-Service Fees'!ADO$17)*100</f>
        <v>0</v>
      </c>
      <c r="ADP37">
        <f>SUMIFS(Detail!$AS:$AS,Detail!$G:$G,'Rates-Service Fees'!ADP$23,Detail!$H:$H,'Rates-Service Fees'!ADP$17)*100</f>
        <v>0</v>
      </c>
      <c r="ADQ37">
        <f>SUMIFS(Detail!$AS:$AS,Detail!$G:$G,'Rates-Service Fees'!ADQ$23,Detail!$H:$H,'Rates-Service Fees'!ADQ$17)*100</f>
        <v>0</v>
      </c>
      <c r="ADR37">
        <f>SUMIFS(Detail!$AS:$AS,Detail!$G:$G,'Rates-Service Fees'!ADR$23,Detail!$H:$H,'Rates-Service Fees'!ADR$17)*100</f>
        <v>0</v>
      </c>
      <c r="ADS37">
        <f>SUMIFS(Detail!$AS:$AS,Detail!$G:$G,'Rates-Service Fees'!ADS$23,Detail!$H:$H,'Rates-Service Fees'!ADS$17)*100</f>
        <v>0</v>
      </c>
      <c r="ADT37">
        <f>SUMIFS(Detail!$AS:$AS,Detail!$G:$G,'Rates-Service Fees'!ADT$23,Detail!$H:$H,'Rates-Service Fees'!ADT$17)*100</f>
        <v>0</v>
      </c>
      <c r="ADU37">
        <f>SUMIFS(Detail!$AS:$AS,Detail!$G:$G,'Rates-Service Fees'!ADU$23,Detail!$H:$H,'Rates-Service Fees'!ADU$17)*100</f>
        <v>0</v>
      </c>
      <c r="ADV37">
        <f>SUMIFS(Detail!$AS:$AS,Detail!$G:$G,'Rates-Service Fees'!ADV$23,Detail!$H:$H,'Rates-Service Fees'!ADV$17)*100</f>
        <v>0</v>
      </c>
      <c r="ADW37">
        <f>SUMIFS(Detail!$AS:$AS,Detail!$G:$G,'Rates-Service Fees'!ADW$23,Detail!$H:$H,'Rates-Service Fees'!ADW$17)*100</f>
        <v>0</v>
      </c>
      <c r="ADX37">
        <f>SUMIFS(Detail!$AS:$AS,Detail!$G:$G,'Rates-Service Fees'!ADX$23,Detail!$H:$H,'Rates-Service Fees'!ADX$17)*100</f>
        <v>0</v>
      </c>
      <c r="ADY37">
        <f>SUMIFS(Detail!$AS:$AS,Detail!$G:$G,'Rates-Service Fees'!ADY$23,Detail!$H:$H,'Rates-Service Fees'!ADY$17)*100</f>
        <v>0</v>
      </c>
      <c r="ADZ37">
        <f>SUMIFS(Detail!$AS:$AS,Detail!$G:$G,'Rates-Service Fees'!ADZ$23,Detail!$H:$H,'Rates-Service Fees'!ADZ$17)*100</f>
        <v>0</v>
      </c>
      <c r="AEA37">
        <f>SUMIFS(Detail!$AS:$AS,Detail!$G:$G,'Rates-Service Fees'!AEA$23,Detail!$H:$H,'Rates-Service Fees'!AEA$17)*100</f>
        <v>0</v>
      </c>
      <c r="AEB37">
        <f>SUMIFS(Detail!$AS:$AS,Detail!$G:$G,'Rates-Service Fees'!AEB$23,Detail!$H:$H,'Rates-Service Fees'!AEB$17)*100</f>
        <v>0</v>
      </c>
      <c r="AEC37">
        <f>SUMIFS(Detail!$AS:$AS,Detail!$G:$G,'Rates-Service Fees'!AEC$23,Detail!$H:$H,'Rates-Service Fees'!AEC$17)*100</f>
        <v>0</v>
      </c>
      <c r="AED37">
        <f>SUMIFS(Detail!$AS:$AS,Detail!$G:$G,'Rates-Service Fees'!AED$23,Detail!$H:$H,'Rates-Service Fees'!AED$17)*100</f>
        <v>0</v>
      </c>
      <c r="AEE37">
        <f>SUMIFS(Detail!$AS:$AS,Detail!$G:$G,'Rates-Service Fees'!AEE$23,Detail!$H:$H,'Rates-Service Fees'!AEE$17)*100</f>
        <v>0</v>
      </c>
      <c r="AEF37">
        <f>SUMIFS(Detail!$AS:$AS,Detail!$G:$G,'Rates-Service Fees'!AEF$23,Detail!$H:$H,'Rates-Service Fees'!AEF$17)*100</f>
        <v>0</v>
      </c>
      <c r="AEG37">
        <f>SUMIFS(Detail!$AS:$AS,Detail!$G:$G,'Rates-Service Fees'!AEG$23,Detail!$H:$H,'Rates-Service Fees'!AEG$17)*100</f>
        <v>0</v>
      </c>
      <c r="AEH37">
        <f>SUMIFS(Detail!$AS:$AS,Detail!$G:$G,'Rates-Service Fees'!AEH$23,Detail!$H:$H,'Rates-Service Fees'!AEH$17)*100</f>
        <v>0</v>
      </c>
      <c r="AEI37">
        <f>SUMIFS(Detail!$AS:$AS,Detail!$G:$G,'Rates-Service Fees'!AEI$23,Detail!$H:$H,'Rates-Service Fees'!AEI$17)*100</f>
        <v>0</v>
      </c>
      <c r="AEJ37">
        <f>SUMIFS(Detail!$AS:$AS,Detail!$G:$G,'Rates-Service Fees'!AEJ$23,Detail!$H:$H,'Rates-Service Fees'!AEJ$17)*100</f>
        <v>0</v>
      </c>
      <c r="AEK37">
        <f>SUMIFS(Detail!$AS:$AS,Detail!$G:$G,'Rates-Service Fees'!AEK$23,Detail!$H:$H,'Rates-Service Fees'!AEK$17)*100</f>
        <v>0</v>
      </c>
      <c r="AEL37">
        <f>SUMIFS(Detail!$AS:$AS,Detail!$G:$G,'Rates-Service Fees'!AEL$23,Detail!$H:$H,'Rates-Service Fees'!AEL$17)*100</f>
        <v>0</v>
      </c>
      <c r="AEM37">
        <f>SUMIFS(Detail!$AS:$AS,Detail!$G:$G,'Rates-Service Fees'!AEM$23,Detail!$H:$H,'Rates-Service Fees'!AEM$17)*100</f>
        <v>0</v>
      </c>
      <c r="AEN37">
        <f>SUMIFS(Detail!$AS:$AS,Detail!$G:$G,'Rates-Service Fees'!AEN$23,Detail!$H:$H,'Rates-Service Fees'!AEN$17)*100</f>
        <v>0</v>
      </c>
      <c r="AEO37">
        <f>SUMIFS(Detail!$AS:$AS,Detail!$G:$G,'Rates-Service Fees'!AEO$23,Detail!$H:$H,'Rates-Service Fees'!AEO$17)*100</f>
        <v>0</v>
      </c>
      <c r="AEP37">
        <f>SUMIFS(Detail!$AS:$AS,Detail!$G:$G,'Rates-Service Fees'!AEP$23,Detail!$H:$H,'Rates-Service Fees'!AEP$17)*100</f>
        <v>0</v>
      </c>
      <c r="AEQ37">
        <f>SUMIFS(Detail!$AS:$AS,Detail!$G:$G,'Rates-Service Fees'!AEQ$23,Detail!$H:$H,'Rates-Service Fees'!AEQ$17)*100</f>
        <v>0</v>
      </c>
      <c r="AER37">
        <f>SUMIFS(Detail!$AS:$AS,Detail!$G:$G,'Rates-Service Fees'!AER$23,Detail!$H:$H,'Rates-Service Fees'!AER$17)*100</f>
        <v>0</v>
      </c>
      <c r="AES37">
        <f>SUMIFS(Detail!$AS:$AS,Detail!$G:$G,'Rates-Service Fees'!AES$23,Detail!$H:$H,'Rates-Service Fees'!AES$17)*100</f>
        <v>0</v>
      </c>
      <c r="AET37">
        <f>SUMIFS(Detail!$AS:$AS,Detail!$G:$G,'Rates-Service Fees'!AET$23,Detail!$H:$H,'Rates-Service Fees'!AET$17)*100</f>
        <v>0</v>
      </c>
      <c r="AEU37">
        <f>SUMIFS(Detail!$AS:$AS,Detail!$G:$G,'Rates-Service Fees'!AEU$23,Detail!$H:$H,'Rates-Service Fees'!AEU$17)*100</f>
        <v>0</v>
      </c>
      <c r="AEV37">
        <f>SUMIFS(Detail!$AS:$AS,Detail!$G:$G,'Rates-Service Fees'!AEV$23,Detail!$H:$H,'Rates-Service Fees'!AEV$17)*100</f>
        <v>0</v>
      </c>
      <c r="AEW37">
        <f>SUMIFS(Detail!$AS:$AS,Detail!$G:$G,'Rates-Service Fees'!AEW$23,Detail!$H:$H,'Rates-Service Fees'!AEW$17)*100</f>
        <v>0</v>
      </c>
      <c r="AEX37">
        <f>SUMIFS(Detail!$AS:$AS,Detail!$G:$G,'Rates-Service Fees'!AEX$23,Detail!$H:$H,'Rates-Service Fees'!AEX$17)*100</f>
        <v>0</v>
      </c>
      <c r="AEY37">
        <f>SUMIFS(Detail!$AS:$AS,Detail!$G:$G,'Rates-Service Fees'!AEY$23,Detail!$H:$H,'Rates-Service Fees'!AEY$17)*100</f>
        <v>0</v>
      </c>
      <c r="AEZ37">
        <f>SUMIFS(Detail!$AS:$AS,Detail!$G:$G,'Rates-Service Fees'!AEZ$23,Detail!$H:$H,'Rates-Service Fees'!AEZ$17)*100</f>
        <v>0</v>
      </c>
      <c r="AFA37">
        <f>SUMIFS(Detail!$AS:$AS,Detail!$G:$G,'Rates-Service Fees'!AFA$23,Detail!$H:$H,'Rates-Service Fees'!AFA$17)*100</f>
        <v>0</v>
      </c>
      <c r="AFB37">
        <f>SUMIFS(Detail!$AS:$AS,Detail!$G:$G,'Rates-Service Fees'!AFB$23,Detail!$H:$H,'Rates-Service Fees'!AFB$17)*100</f>
        <v>0</v>
      </c>
      <c r="AFC37">
        <f>SUMIFS(Detail!$AS:$AS,Detail!$G:$G,'Rates-Service Fees'!AFC$23,Detail!$H:$H,'Rates-Service Fees'!AFC$17)*100</f>
        <v>0</v>
      </c>
      <c r="AFD37">
        <f>SUMIFS(Detail!$AS:$AS,Detail!$G:$G,'Rates-Service Fees'!AFD$23,Detail!$H:$H,'Rates-Service Fees'!AFD$17)*100</f>
        <v>0</v>
      </c>
      <c r="AFE37">
        <f>SUMIFS(Detail!$AS:$AS,Detail!$G:$G,'Rates-Service Fees'!AFE$23,Detail!$H:$H,'Rates-Service Fees'!AFE$17)*100</f>
        <v>0</v>
      </c>
      <c r="AFF37">
        <f>SUMIFS(Detail!$AS:$AS,Detail!$G:$G,'Rates-Service Fees'!AFF$23,Detail!$H:$H,'Rates-Service Fees'!AFF$17)*100</f>
        <v>0</v>
      </c>
      <c r="AFG37">
        <f>SUMIFS(Detail!$AS:$AS,Detail!$G:$G,'Rates-Service Fees'!AFG$23,Detail!$H:$H,'Rates-Service Fees'!AFG$17)*100</f>
        <v>0</v>
      </c>
      <c r="AFH37">
        <f>SUMIFS(Detail!$AS:$AS,Detail!$G:$G,'Rates-Service Fees'!AFH$23,Detail!$H:$H,'Rates-Service Fees'!AFH$17)*100</f>
        <v>0</v>
      </c>
      <c r="AFI37">
        <f>SUMIFS(Detail!$AS:$AS,Detail!$G:$G,'Rates-Service Fees'!AFI$23,Detail!$H:$H,'Rates-Service Fees'!AFI$17)*100</f>
        <v>0</v>
      </c>
      <c r="AFJ37">
        <f>SUMIFS(Detail!$AS:$AS,Detail!$G:$G,'Rates-Service Fees'!AFJ$23,Detail!$H:$H,'Rates-Service Fees'!AFJ$17)*100</f>
        <v>0</v>
      </c>
      <c r="AFK37">
        <f>SUMIFS(Detail!$AS:$AS,Detail!$G:$G,'Rates-Service Fees'!AFK$23,Detail!$H:$H,'Rates-Service Fees'!AFK$17)*100</f>
        <v>0</v>
      </c>
      <c r="AFL37">
        <f>SUMIFS(Detail!$AS:$AS,Detail!$G:$G,'Rates-Service Fees'!AFL$23,Detail!$H:$H,'Rates-Service Fees'!AFL$17)*100</f>
        <v>0</v>
      </c>
      <c r="AFM37">
        <f>SUMIFS(Detail!$AS:$AS,Detail!$G:$G,'Rates-Service Fees'!AFM$23,Detail!$H:$H,'Rates-Service Fees'!AFM$17)*100</f>
        <v>0</v>
      </c>
      <c r="AFN37">
        <f>SUMIFS(Detail!$AS:$AS,Detail!$G:$G,'Rates-Service Fees'!AFN$23,Detail!$H:$H,'Rates-Service Fees'!AFN$17)*100</f>
        <v>0</v>
      </c>
      <c r="AFO37">
        <f>SUMIFS(Detail!$AS:$AS,Detail!$G:$G,'Rates-Service Fees'!AFO$23,Detail!$H:$H,'Rates-Service Fees'!AFO$17)*100</f>
        <v>0</v>
      </c>
      <c r="AFP37">
        <f>SUMIFS(Detail!$AS:$AS,Detail!$G:$G,'Rates-Service Fees'!AFP$23,Detail!$H:$H,'Rates-Service Fees'!AFP$17)*100</f>
        <v>0</v>
      </c>
      <c r="AFQ37">
        <f>SUMIFS(Detail!$AS:$AS,Detail!$G:$G,'Rates-Service Fees'!AFQ$23,Detail!$H:$H,'Rates-Service Fees'!AFQ$17)*100</f>
        <v>0</v>
      </c>
      <c r="AFR37">
        <f>SUMIFS(Detail!$AS:$AS,Detail!$G:$G,'Rates-Service Fees'!AFR$23,Detail!$H:$H,'Rates-Service Fees'!AFR$17)*100</f>
        <v>0</v>
      </c>
      <c r="AFS37">
        <f>SUMIFS(Detail!$AS:$AS,Detail!$G:$G,'Rates-Service Fees'!AFS$23,Detail!$H:$H,'Rates-Service Fees'!AFS$17)*100</f>
        <v>0</v>
      </c>
      <c r="AFT37">
        <f>SUMIFS(Detail!$AS:$AS,Detail!$G:$G,'Rates-Service Fees'!AFT$23,Detail!$H:$H,'Rates-Service Fees'!AFT$17)*100</f>
        <v>0</v>
      </c>
      <c r="AFU37">
        <f>SUMIFS(Detail!$AS:$AS,Detail!$G:$G,'Rates-Service Fees'!AFU$23,Detail!$H:$H,'Rates-Service Fees'!AFU$17)*100</f>
        <v>0</v>
      </c>
      <c r="AFV37">
        <f>SUMIFS(Detail!$AS:$AS,Detail!$G:$G,'Rates-Service Fees'!AFV$23,Detail!$H:$H,'Rates-Service Fees'!AFV$17)*100</f>
        <v>0</v>
      </c>
      <c r="AFW37">
        <f>SUMIFS(Detail!$AS:$AS,Detail!$G:$G,'Rates-Service Fees'!AFW$23,Detail!$H:$H,'Rates-Service Fees'!AFW$17)*100</f>
        <v>0</v>
      </c>
      <c r="AFX37">
        <f>SUMIFS(Detail!$AS:$AS,Detail!$G:$G,'Rates-Service Fees'!AFX$23,Detail!$H:$H,'Rates-Service Fees'!AFX$17)*100</f>
        <v>0</v>
      </c>
      <c r="AFY37">
        <f>SUMIFS(Detail!$AS:$AS,Detail!$G:$G,'Rates-Service Fees'!AFY$23,Detail!$H:$H,'Rates-Service Fees'!AFY$17)*100</f>
        <v>0</v>
      </c>
      <c r="AFZ37">
        <f>SUMIFS(Detail!$AS:$AS,Detail!$G:$G,'Rates-Service Fees'!AFZ$23,Detail!$H:$H,'Rates-Service Fees'!AFZ$17)*100</f>
        <v>0</v>
      </c>
      <c r="AGA37">
        <f>SUMIFS(Detail!$AS:$AS,Detail!$G:$G,'Rates-Service Fees'!AGA$23,Detail!$H:$H,'Rates-Service Fees'!AGA$17)*100</f>
        <v>0</v>
      </c>
      <c r="AGB37">
        <f>SUMIFS(Detail!$AS:$AS,Detail!$G:$G,'Rates-Service Fees'!AGB$23,Detail!$H:$H,'Rates-Service Fees'!AGB$17)*100</f>
        <v>0</v>
      </c>
      <c r="AGC37">
        <f>SUMIFS(Detail!$AS:$AS,Detail!$G:$G,'Rates-Service Fees'!AGC$23,Detail!$H:$H,'Rates-Service Fees'!AGC$17)*100</f>
        <v>0</v>
      </c>
      <c r="AGD37">
        <f>SUMIFS(Detail!$AS:$AS,Detail!$G:$G,'Rates-Service Fees'!AGD$23,Detail!$H:$H,'Rates-Service Fees'!AGD$17)*100</f>
        <v>0</v>
      </c>
      <c r="AGE37">
        <f>SUMIFS(Detail!$AS:$AS,Detail!$G:$G,'Rates-Service Fees'!AGE$23,Detail!$H:$H,'Rates-Service Fees'!AGE$17)*100</f>
        <v>0</v>
      </c>
      <c r="AGF37">
        <f>SUMIFS(Detail!$AS:$AS,Detail!$G:$G,'Rates-Service Fees'!AGF$23,Detail!$H:$H,'Rates-Service Fees'!AGF$17)*100</f>
        <v>0</v>
      </c>
      <c r="AGG37">
        <f>SUMIFS(Detail!$AS:$AS,Detail!$G:$G,'Rates-Service Fees'!AGG$23,Detail!$H:$H,'Rates-Service Fees'!AGG$17)*100</f>
        <v>0</v>
      </c>
      <c r="AGH37">
        <f>SUMIFS(Detail!$AS:$AS,Detail!$G:$G,'Rates-Service Fees'!AGH$23,Detail!$H:$H,'Rates-Service Fees'!AGH$17)*100</f>
        <v>0</v>
      </c>
      <c r="AGI37">
        <f>SUMIFS(Detail!$AS:$AS,Detail!$G:$G,'Rates-Service Fees'!AGI$23,Detail!$H:$H,'Rates-Service Fees'!AGI$17)*100</f>
        <v>0</v>
      </c>
      <c r="AGJ37">
        <f>SUMIFS(Detail!$AS:$AS,Detail!$G:$G,'Rates-Service Fees'!AGJ$23,Detail!$H:$H,'Rates-Service Fees'!AGJ$17)*100</f>
        <v>0</v>
      </c>
      <c r="AGK37">
        <f>SUMIFS(Detail!$AS:$AS,Detail!$G:$G,'Rates-Service Fees'!AGK$23,Detail!$H:$H,'Rates-Service Fees'!AGK$17)*100</f>
        <v>0</v>
      </c>
      <c r="AGL37">
        <f>SUMIFS(Detail!$AS:$AS,Detail!$G:$G,'Rates-Service Fees'!AGL$23,Detail!$H:$H,'Rates-Service Fees'!AGL$17)*100</f>
        <v>0</v>
      </c>
      <c r="AGM37">
        <f>SUMIFS(Detail!$AS:$AS,Detail!$G:$G,'Rates-Service Fees'!AGM$23,Detail!$H:$H,'Rates-Service Fees'!AGM$17)*100</f>
        <v>0</v>
      </c>
      <c r="AGN37">
        <f>SUMIFS(Detail!$AS:$AS,Detail!$G:$G,'Rates-Service Fees'!AGN$23,Detail!$H:$H,'Rates-Service Fees'!AGN$17)*100</f>
        <v>0</v>
      </c>
      <c r="AGO37">
        <f>SUMIFS(Detail!$AS:$AS,Detail!$G:$G,'Rates-Service Fees'!AGO$23,Detail!$H:$H,'Rates-Service Fees'!AGO$17)*100</f>
        <v>0</v>
      </c>
      <c r="AGP37">
        <f>SUMIFS(Detail!$AS:$AS,Detail!$G:$G,'Rates-Service Fees'!AGP$23,Detail!$H:$H,'Rates-Service Fees'!AGP$17)*100</f>
        <v>0</v>
      </c>
      <c r="AGQ37">
        <f>SUMIFS(Detail!$AS:$AS,Detail!$G:$G,'Rates-Service Fees'!AGQ$23,Detail!$H:$H,'Rates-Service Fees'!AGQ$17)*100</f>
        <v>0</v>
      </c>
      <c r="AGR37">
        <f>SUMIFS(Detail!$AS:$AS,Detail!$G:$G,'Rates-Service Fees'!AGR$23,Detail!$H:$H,'Rates-Service Fees'!AGR$17)*100</f>
        <v>0</v>
      </c>
      <c r="AGS37">
        <f>SUMIFS(Detail!$AS:$AS,Detail!$G:$G,'Rates-Service Fees'!AGS$23,Detail!$H:$H,'Rates-Service Fees'!AGS$17)*100</f>
        <v>0</v>
      </c>
      <c r="AGT37">
        <f>SUMIFS(Detail!$AS:$AS,Detail!$G:$G,'Rates-Service Fees'!AGT$23,Detail!$H:$H,'Rates-Service Fees'!AGT$17)*100</f>
        <v>0</v>
      </c>
      <c r="AGU37">
        <f>SUMIFS(Detail!$AS:$AS,Detail!$G:$G,'Rates-Service Fees'!AGU$23,Detail!$H:$H,'Rates-Service Fees'!AGU$17)*100</f>
        <v>0</v>
      </c>
      <c r="AGV37">
        <f>SUMIFS(Detail!$AS:$AS,Detail!$G:$G,'Rates-Service Fees'!AGV$23,Detail!$H:$H,'Rates-Service Fees'!AGV$17)*100</f>
        <v>0</v>
      </c>
      <c r="AGW37">
        <f>SUMIFS(Detail!$AS:$AS,Detail!$G:$G,'Rates-Service Fees'!AGW$23,Detail!$H:$H,'Rates-Service Fees'!AGW$17)*100</f>
        <v>0</v>
      </c>
      <c r="AGX37">
        <f>SUMIFS(Detail!$AS:$AS,Detail!$G:$G,'Rates-Service Fees'!AGX$23,Detail!$H:$H,'Rates-Service Fees'!AGX$17)*100</f>
        <v>0</v>
      </c>
      <c r="AGY37">
        <f>SUMIFS(Detail!$AS:$AS,Detail!$G:$G,'Rates-Service Fees'!AGY$23,Detail!$H:$H,'Rates-Service Fees'!AGY$17)*100</f>
        <v>0</v>
      </c>
      <c r="AGZ37">
        <f>SUMIFS(Detail!$AS:$AS,Detail!$G:$G,'Rates-Service Fees'!AGZ$23,Detail!$H:$H,'Rates-Service Fees'!AGZ$17)*100</f>
        <v>0</v>
      </c>
      <c r="AHA37">
        <f>SUMIFS(Detail!$AS:$AS,Detail!$G:$G,'Rates-Service Fees'!AHA$23,Detail!$H:$H,'Rates-Service Fees'!AHA$17)*100</f>
        <v>0</v>
      </c>
      <c r="AHB37">
        <f>SUMIFS(Detail!$AS:$AS,Detail!$G:$G,'Rates-Service Fees'!AHB$23,Detail!$H:$H,'Rates-Service Fees'!AHB$17)*100</f>
        <v>0</v>
      </c>
      <c r="AHC37">
        <f>SUMIFS(Detail!$AS:$AS,Detail!$G:$G,'Rates-Service Fees'!AHC$23,Detail!$H:$H,'Rates-Service Fees'!AHC$17)*100</f>
        <v>0</v>
      </c>
      <c r="AHD37">
        <f>SUMIFS(Detail!$AS:$AS,Detail!$G:$G,'Rates-Service Fees'!AHD$23,Detail!$H:$H,'Rates-Service Fees'!AHD$17)*100</f>
        <v>0</v>
      </c>
      <c r="AHE37">
        <f>SUMIFS(Detail!$AS:$AS,Detail!$G:$G,'Rates-Service Fees'!AHE$23,Detail!$H:$H,'Rates-Service Fees'!AHE$17)*100</f>
        <v>0</v>
      </c>
      <c r="AHF37">
        <f>SUMIFS(Detail!$AS:$AS,Detail!$G:$G,'Rates-Service Fees'!AHF$23,Detail!$H:$H,'Rates-Service Fees'!AHF$17)*100</f>
        <v>0</v>
      </c>
      <c r="AHG37">
        <f>SUMIFS(Detail!$AS:$AS,Detail!$G:$G,'Rates-Service Fees'!AHG$23,Detail!$H:$H,'Rates-Service Fees'!AHG$17)*100</f>
        <v>0</v>
      </c>
      <c r="AHH37">
        <f>SUMIFS(Detail!$AS:$AS,Detail!$G:$G,'Rates-Service Fees'!AHH$23,Detail!$H:$H,'Rates-Service Fees'!AHH$17)*100</f>
        <v>0</v>
      </c>
      <c r="AHI37">
        <f>SUMIFS(Detail!$AS:$AS,Detail!$G:$G,'Rates-Service Fees'!AHI$23,Detail!$H:$H,'Rates-Service Fees'!AHI$17)*100</f>
        <v>0</v>
      </c>
      <c r="AHJ37">
        <f>SUMIFS(Detail!$AS:$AS,Detail!$G:$G,'Rates-Service Fees'!AHJ$23,Detail!$H:$H,'Rates-Service Fees'!AHJ$17)*100</f>
        <v>0</v>
      </c>
      <c r="AHK37">
        <f>SUMIFS(Detail!$AS:$AS,Detail!$G:$G,'Rates-Service Fees'!AHK$23,Detail!$H:$H,'Rates-Service Fees'!AHK$17)*100</f>
        <v>0</v>
      </c>
      <c r="AHL37">
        <f>SUMIFS(Detail!$AS:$AS,Detail!$G:$G,'Rates-Service Fees'!AHL$23,Detail!$H:$H,'Rates-Service Fees'!AHL$17)*100</f>
        <v>0</v>
      </c>
      <c r="AHM37">
        <f>SUMIFS(Detail!$AS:$AS,Detail!$G:$G,'Rates-Service Fees'!AHM$23,Detail!$H:$H,'Rates-Service Fees'!AHM$17)*100</f>
        <v>0</v>
      </c>
      <c r="AHN37">
        <f>SUMIFS(Detail!$AS:$AS,Detail!$G:$G,'Rates-Service Fees'!AHN$23,Detail!$H:$H,'Rates-Service Fees'!AHN$17)*100</f>
        <v>0</v>
      </c>
      <c r="AHO37">
        <f>SUMIFS(Detail!$AS:$AS,Detail!$G:$G,'Rates-Service Fees'!AHO$23,Detail!$H:$H,'Rates-Service Fees'!AHO$17)*100</f>
        <v>0</v>
      </c>
      <c r="AHP37">
        <f>SUMIFS(Detail!$AS:$AS,Detail!$G:$G,'Rates-Service Fees'!AHP$23,Detail!$H:$H,'Rates-Service Fees'!AHP$17)*100</f>
        <v>0</v>
      </c>
      <c r="AHQ37">
        <f>SUMIFS(Detail!$AS:$AS,Detail!$G:$G,'Rates-Service Fees'!AHQ$23,Detail!$H:$H,'Rates-Service Fees'!AHQ$17)*100</f>
        <v>0</v>
      </c>
      <c r="AHR37">
        <f>SUMIFS(Detail!$AS:$AS,Detail!$G:$G,'Rates-Service Fees'!AHR$23,Detail!$H:$H,'Rates-Service Fees'!AHR$17)*100</f>
        <v>0</v>
      </c>
      <c r="AHS37">
        <f>SUMIFS(Detail!$AS:$AS,Detail!$G:$G,'Rates-Service Fees'!AHS$23,Detail!$H:$H,'Rates-Service Fees'!AHS$17)*100</f>
        <v>0</v>
      </c>
      <c r="AHT37">
        <f>SUMIFS(Detail!$AS:$AS,Detail!$G:$G,'Rates-Service Fees'!AHT$23,Detail!$H:$H,'Rates-Service Fees'!AHT$17)*100</f>
        <v>0</v>
      </c>
      <c r="AHU37">
        <f>SUMIFS(Detail!$AS:$AS,Detail!$G:$G,'Rates-Service Fees'!AHU$23,Detail!$H:$H,'Rates-Service Fees'!AHU$17)*100</f>
        <v>0</v>
      </c>
      <c r="AHV37">
        <f>SUMIFS(Detail!$AS:$AS,Detail!$G:$G,'Rates-Service Fees'!AHV$23,Detail!$H:$H,'Rates-Service Fees'!AHV$17)*100</f>
        <v>0</v>
      </c>
      <c r="AHW37">
        <f>SUMIFS(Detail!$AS:$AS,Detail!$G:$G,'Rates-Service Fees'!AHW$23,Detail!$H:$H,'Rates-Service Fees'!AHW$17)*100</f>
        <v>0</v>
      </c>
      <c r="AHX37">
        <f>SUMIFS(Detail!$AS:$AS,Detail!$G:$G,'Rates-Service Fees'!AHX$23,Detail!$H:$H,'Rates-Service Fees'!AHX$17)*100</f>
        <v>0</v>
      </c>
      <c r="AHY37">
        <f>SUMIFS(Detail!$AS:$AS,Detail!$G:$G,'Rates-Service Fees'!AHY$23,Detail!$H:$H,'Rates-Service Fees'!AHY$17)*100</f>
        <v>0</v>
      </c>
      <c r="AHZ37">
        <f>SUMIFS(Detail!$AS:$AS,Detail!$G:$G,'Rates-Service Fees'!AHZ$23,Detail!$H:$H,'Rates-Service Fees'!AHZ$17)*100</f>
        <v>0</v>
      </c>
      <c r="AIA37">
        <f>SUMIFS(Detail!$AS:$AS,Detail!$G:$G,'Rates-Service Fees'!AIA$23,Detail!$H:$H,'Rates-Service Fees'!AIA$17)*100</f>
        <v>0</v>
      </c>
      <c r="AIB37">
        <f>SUMIFS(Detail!$AS:$AS,Detail!$G:$G,'Rates-Service Fees'!AIB$23,Detail!$H:$H,'Rates-Service Fees'!AIB$17)*100</f>
        <v>0</v>
      </c>
      <c r="AIC37">
        <f>SUMIFS(Detail!$AS:$AS,Detail!$G:$G,'Rates-Service Fees'!AIC$23,Detail!$H:$H,'Rates-Service Fees'!AIC$17)*100</f>
        <v>0</v>
      </c>
      <c r="AID37">
        <f>SUMIFS(Detail!$AS:$AS,Detail!$G:$G,'Rates-Service Fees'!AID$23,Detail!$H:$H,'Rates-Service Fees'!AID$17)*100</f>
        <v>0</v>
      </c>
      <c r="AIE37">
        <f>SUMIFS(Detail!$AS:$AS,Detail!$G:$G,'Rates-Service Fees'!AIE$23,Detail!$H:$H,'Rates-Service Fees'!AIE$17)*100</f>
        <v>0</v>
      </c>
      <c r="AIF37">
        <f>SUMIFS(Detail!$AS:$AS,Detail!$G:$G,'Rates-Service Fees'!AIF$23,Detail!$H:$H,'Rates-Service Fees'!AIF$17)*100</f>
        <v>0</v>
      </c>
      <c r="AIG37">
        <f>SUMIFS(Detail!$AS:$AS,Detail!$G:$G,'Rates-Service Fees'!AIG$23,Detail!$H:$H,'Rates-Service Fees'!AIG$17)*100</f>
        <v>0</v>
      </c>
      <c r="AIH37">
        <f>SUMIFS(Detail!$AS:$AS,Detail!$G:$G,'Rates-Service Fees'!AIH$23,Detail!$H:$H,'Rates-Service Fees'!AIH$17)*100</f>
        <v>0</v>
      </c>
      <c r="AII37">
        <f>SUMIFS(Detail!$AS:$AS,Detail!$G:$G,'Rates-Service Fees'!AII$23,Detail!$H:$H,'Rates-Service Fees'!AII$17)*100</f>
        <v>0</v>
      </c>
      <c r="AIJ37">
        <f>SUMIFS(Detail!$AS:$AS,Detail!$G:$G,'Rates-Service Fees'!AIJ$23,Detail!$H:$H,'Rates-Service Fees'!AIJ$17)*100</f>
        <v>0</v>
      </c>
      <c r="AIK37">
        <f>SUMIFS(Detail!$AS:$AS,Detail!$G:$G,'Rates-Service Fees'!AIK$23,Detail!$H:$H,'Rates-Service Fees'!AIK$17)*100</f>
        <v>0</v>
      </c>
      <c r="AIL37">
        <f>SUMIFS(Detail!$AS:$AS,Detail!$G:$G,'Rates-Service Fees'!AIL$23,Detail!$H:$H,'Rates-Service Fees'!AIL$17)*100</f>
        <v>0</v>
      </c>
      <c r="AIM37">
        <f>SUMIFS(Detail!$AS:$AS,Detail!$G:$G,'Rates-Service Fees'!AIM$23,Detail!$H:$H,'Rates-Service Fees'!AIM$17)*100</f>
        <v>0</v>
      </c>
      <c r="AIN37">
        <f>SUMIFS(Detail!$AS:$AS,Detail!$G:$G,'Rates-Service Fees'!AIN$23,Detail!$H:$H,'Rates-Service Fees'!AIN$17)*100</f>
        <v>0</v>
      </c>
      <c r="AIO37">
        <f>SUMIFS(Detail!$AS:$AS,Detail!$G:$G,'Rates-Service Fees'!AIO$23,Detail!$H:$H,'Rates-Service Fees'!AIO$17)*100</f>
        <v>0</v>
      </c>
      <c r="AIP37">
        <f>SUMIFS(Detail!$AS:$AS,Detail!$G:$G,'Rates-Service Fees'!AIP$23,Detail!$H:$H,'Rates-Service Fees'!AIP$17)*100</f>
        <v>0</v>
      </c>
      <c r="AIQ37">
        <f>SUMIFS(Detail!$AS:$AS,Detail!$G:$G,'Rates-Service Fees'!AIQ$23,Detail!$H:$H,'Rates-Service Fees'!AIQ$17)*100</f>
        <v>0</v>
      </c>
      <c r="AIR37">
        <f>SUMIFS(Detail!$AS:$AS,Detail!$G:$G,'Rates-Service Fees'!AIR$23,Detail!$H:$H,'Rates-Service Fees'!AIR$17)*100</f>
        <v>0</v>
      </c>
      <c r="AIS37">
        <f>SUMIFS(Detail!$AS:$AS,Detail!$G:$G,'Rates-Service Fees'!AIS$23,Detail!$H:$H,'Rates-Service Fees'!AIS$17)*100</f>
        <v>0</v>
      </c>
      <c r="AIT37">
        <f>SUMIFS(Detail!$AS:$AS,Detail!$G:$G,'Rates-Service Fees'!AIT$23,Detail!$H:$H,'Rates-Service Fees'!AIT$17)*100</f>
        <v>0</v>
      </c>
      <c r="AIU37">
        <f>SUMIFS(Detail!$AS:$AS,Detail!$G:$G,'Rates-Service Fees'!AIU$23,Detail!$H:$H,'Rates-Service Fees'!AIU$17)*100</f>
        <v>0</v>
      </c>
      <c r="AIV37">
        <f>SUMIFS(Detail!$AS:$AS,Detail!$G:$G,'Rates-Service Fees'!AIV$23,Detail!$H:$H,'Rates-Service Fees'!AIV$17)*100</f>
        <v>0</v>
      </c>
      <c r="AIW37">
        <f>SUMIFS(Detail!$AS:$AS,Detail!$G:$G,'Rates-Service Fees'!AIW$23,Detail!$H:$H,'Rates-Service Fees'!AIW$17)*100</f>
        <v>0</v>
      </c>
      <c r="AIX37">
        <f>SUMIFS(Detail!$AS:$AS,Detail!$G:$G,'Rates-Service Fees'!AIX$23,Detail!$H:$H,'Rates-Service Fees'!AIX$17)*100</f>
        <v>0</v>
      </c>
      <c r="AIY37">
        <f>SUMIFS(Detail!$AS:$AS,Detail!$G:$G,'Rates-Service Fees'!AIY$23,Detail!$H:$H,'Rates-Service Fees'!AIY$17)*100</f>
        <v>0</v>
      </c>
      <c r="AIZ37">
        <f>SUMIFS(Detail!$AS:$AS,Detail!$G:$G,'Rates-Service Fees'!AIZ$23,Detail!$H:$H,'Rates-Service Fees'!AIZ$17)*100</f>
        <v>0</v>
      </c>
      <c r="AJA37">
        <f>SUMIFS(Detail!$AS:$AS,Detail!$G:$G,'Rates-Service Fees'!AJA$23,Detail!$H:$H,'Rates-Service Fees'!AJA$17)*100</f>
        <v>0</v>
      </c>
      <c r="AJB37">
        <f>SUMIFS(Detail!$AS:$AS,Detail!$G:$G,'Rates-Service Fees'!AJB$23,Detail!$H:$H,'Rates-Service Fees'!AJB$17)*100</f>
        <v>0</v>
      </c>
      <c r="AJC37">
        <f>SUMIFS(Detail!$AS:$AS,Detail!$G:$G,'Rates-Service Fees'!AJC$23,Detail!$H:$H,'Rates-Service Fees'!AJC$17)*100</f>
        <v>0</v>
      </c>
      <c r="AJD37">
        <f>SUMIFS(Detail!$AS:$AS,Detail!$G:$G,'Rates-Service Fees'!AJD$23,Detail!$H:$H,'Rates-Service Fees'!AJD$17)*100</f>
        <v>0</v>
      </c>
      <c r="AJE37">
        <f>SUMIFS(Detail!$AS:$AS,Detail!$G:$G,'Rates-Service Fees'!AJE$23,Detail!$H:$H,'Rates-Service Fees'!AJE$17)*100</f>
        <v>0</v>
      </c>
      <c r="AJF37">
        <f>SUMIFS(Detail!$AS:$AS,Detail!$G:$G,'Rates-Service Fees'!AJF$23,Detail!$H:$H,'Rates-Service Fees'!AJF$17)*100</f>
        <v>0</v>
      </c>
      <c r="AJG37">
        <f>SUMIFS(Detail!$AS:$AS,Detail!$G:$G,'Rates-Service Fees'!AJG$23,Detail!$H:$H,'Rates-Service Fees'!AJG$17)*100</f>
        <v>0</v>
      </c>
      <c r="AJH37">
        <f>SUMIFS(Detail!$AS:$AS,Detail!$G:$G,'Rates-Service Fees'!AJH$23,Detail!$H:$H,'Rates-Service Fees'!AJH$17)*100</f>
        <v>0</v>
      </c>
      <c r="AJI37">
        <f>SUMIFS(Detail!$AS:$AS,Detail!$G:$G,'Rates-Service Fees'!AJI$23,Detail!$H:$H,'Rates-Service Fees'!AJI$17)*100</f>
        <v>0</v>
      </c>
      <c r="AJJ37">
        <f>SUMIFS(Detail!$AS:$AS,Detail!$G:$G,'Rates-Service Fees'!AJJ$23,Detail!$H:$H,'Rates-Service Fees'!AJJ$17)*100</f>
        <v>0</v>
      </c>
      <c r="AJK37">
        <f>SUMIFS(Detail!$AS:$AS,Detail!$G:$G,'Rates-Service Fees'!AJK$23,Detail!$H:$H,'Rates-Service Fees'!AJK$17)*100</f>
        <v>0</v>
      </c>
      <c r="AJL37">
        <f>SUMIFS(Detail!$AS:$AS,Detail!$G:$G,'Rates-Service Fees'!AJL$23,Detail!$H:$H,'Rates-Service Fees'!AJL$17)*100</f>
        <v>0</v>
      </c>
      <c r="AJM37">
        <f>SUMIFS(Detail!$AS:$AS,Detail!$G:$G,'Rates-Service Fees'!AJM$23,Detail!$H:$H,'Rates-Service Fees'!AJM$17)*100</f>
        <v>0</v>
      </c>
      <c r="AJN37">
        <f>SUMIFS(Detail!$AS:$AS,Detail!$G:$G,'Rates-Service Fees'!AJN$23,Detail!$H:$H,'Rates-Service Fees'!AJN$17)*100</f>
        <v>0</v>
      </c>
      <c r="AJO37">
        <f>SUMIFS(Detail!$AS:$AS,Detail!$G:$G,'Rates-Service Fees'!AJO$23,Detail!$H:$H,'Rates-Service Fees'!AJO$17)*100</f>
        <v>0</v>
      </c>
      <c r="AJP37">
        <f>SUMIFS(Detail!$AS:$AS,Detail!$G:$G,'Rates-Service Fees'!AJP$23,Detail!$H:$H,'Rates-Service Fees'!AJP$17)*100</f>
        <v>0</v>
      </c>
      <c r="AJQ37">
        <f>SUMIFS(Detail!$AS:$AS,Detail!$G:$G,'Rates-Service Fees'!AJQ$23,Detail!$H:$H,'Rates-Service Fees'!AJQ$17)*100</f>
        <v>0</v>
      </c>
      <c r="AJR37">
        <f>SUMIFS(Detail!$AS:$AS,Detail!$G:$G,'Rates-Service Fees'!AJR$23,Detail!$H:$H,'Rates-Service Fees'!AJR$17)*100</f>
        <v>0</v>
      </c>
      <c r="AJS37">
        <f>SUMIFS(Detail!$AS:$AS,Detail!$G:$G,'Rates-Service Fees'!AJS$23,Detail!$H:$H,'Rates-Service Fees'!AJS$17)*100</f>
        <v>0</v>
      </c>
      <c r="AJT37">
        <f>SUMIFS(Detail!$AS:$AS,Detail!$G:$G,'Rates-Service Fees'!AJT$23,Detail!$H:$H,'Rates-Service Fees'!AJT$17)*100</f>
        <v>0</v>
      </c>
      <c r="AJU37">
        <f>SUMIFS(Detail!$AS:$AS,Detail!$G:$G,'Rates-Service Fees'!AJU$23,Detail!$H:$H,'Rates-Service Fees'!AJU$17)*100</f>
        <v>0</v>
      </c>
      <c r="AJV37">
        <f>SUMIFS(Detail!$AS:$AS,Detail!$G:$G,'Rates-Service Fees'!AJV$23,Detail!$H:$H,'Rates-Service Fees'!AJV$17)*100</f>
        <v>0</v>
      </c>
      <c r="AJW37">
        <f>SUMIFS(Detail!$AS:$AS,Detail!$G:$G,'Rates-Service Fees'!AJW$23,Detail!$H:$H,'Rates-Service Fees'!AJW$17)*100</f>
        <v>0</v>
      </c>
      <c r="AJX37">
        <f>SUMIFS(Detail!$AS:$AS,Detail!$G:$G,'Rates-Service Fees'!AJX$23,Detail!$H:$H,'Rates-Service Fees'!AJX$17)*100</f>
        <v>0</v>
      </c>
      <c r="AJY37">
        <f>SUMIFS(Detail!$AS:$AS,Detail!$G:$G,'Rates-Service Fees'!AJY$23,Detail!$H:$H,'Rates-Service Fees'!AJY$17)*100</f>
        <v>0</v>
      </c>
      <c r="AJZ37">
        <f>SUMIFS(Detail!$AS:$AS,Detail!$G:$G,'Rates-Service Fees'!AJZ$23,Detail!$H:$H,'Rates-Service Fees'!AJZ$17)*100</f>
        <v>0</v>
      </c>
      <c r="AKA37">
        <f>SUMIFS(Detail!$AS:$AS,Detail!$G:$G,'Rates-Service Fees'!AKA$23,Detail!$H:$H,'Rates-Service Fees'!AKA$17)*100</f>
        <v>0</v>
      </c>
      <c r="AKB37">
        <f>SUMIFS(Detail!$AS:$AS,Detail!$G:$G,'Rates-Service Fees'!AKB$23,Detail!$H:$H,'Rates-Service Fees'!AKB$17)*100</f>
        <v>0</v>
      </c>
      <c r="AKC37">
        <f>SUMIFS(Detail!$AS:$AS,Detail!$G:$G,'Rates-Service Fees'!AKC$23,Detail!$H:$H,'Rates-Service Fees'!AKC$17)*100</f>
        <v>0</v>
      </c>
      <c r="AKD37">
        <f>SUMIFS(Detail!$AS:$AS,Detail!$G:$G,'Rates-Service Fees'!AKD$23,Detail!$H:$H,'Rates-Service Fees'!AKD$17)*100</f>
        <v>0</v>
      </c>
      <c r="AKE37">
        <f>SUMIFS(Detail!$AS:$AS,Detail!$G:$G,'Rates-Service Fees'!AKE$23,Detail!$H:$H,'Rates-Service Fees'!AKE$17)*100</f>
        <v>0</v>
      </c>
      <c r="AKF37">
        <f>SUMIFS(Detail!$AS:$AS,Detail!$G:$G,'Rates-Service Fees'!AKF$23,Detail!$H:$H,'Rates-Service Fees'!AKF$17)*100</f>
        <v>0</v>
      </c>
      <c r="AKG37">
        <f>SUMIFS(Detail!$AS:$AS,Detail!$G:$G,'Rates-Service Fees'!AKG$23,Detail!$H:$H,'Rates-Service Fees'!AKG$17)*100</f>
        <v>0</v>
      </c>
      <c r="AKH37">
        <f>SUMIFS(Detail!$AS:$AS,Detail!$G:$G,'Rates-Service Fees'!AKH$23,Detail!$H:$H,'Rates-Service Fees'!AKH$17)*100</f>
        <v>0</v>
      </c>
      <c r="AKI37">
        <f>SUMIFS(Detail!$AS:$AS,Detail!$G:$G,'Rates-Service Fees'!AKI$23,Detail!$H:$H,'Rates-Service Fees'!AKI$17)*100</f>
        <v>0</v>
      </c>
      <c r="AKJ37">
        <f>SUMIFS(Detail!$AS:$AS,Detail!$G:$G,'Rates-Service Fees'!AKJ$23,Detail!$H:$H,'Rates-Service Fees'!AKJ$17)*100</f>
        <v>0</v>
      </c>
      <c r="AKK37">
        <f>SUMIFS(Detail!$AS:$AS,Detail!$G:$G,'Rates-Service Fees'!AKK$23,Detail!$H:$H,'Rates-Service Fees'!AKK$17)*100</f>
        <v>0</v>
      </c>
      <c r="AKL37">
        <f>SUMIFS(Detail!$AS:$AS,Detail!$G:$G,'Rates-Service Fees'!AKL$23,Detail!$H:$H,'Rates-Service Fees'!AKL$17)*100</f>
        <v>0</v>
      </c>
      <c r="AKM37">
        <f>SUMIFS(Detail!$AS:$AS,Detail!$G:$G,'Rates-Service Fees'!AKM$23,Detail!$H:$H,'Rates-Service Fees'!AKM$17)*100</f>
        <v>0</v>
      </c>
      <c r="AKN37">
        <f>SUMIFS(Detail!$AS:$AS,Detail!$G:$G,'Rates-Service Fees'!AKN$23,Detail!$H:$H,'Rates-Service Fees'!AKN$17)*100</f>
        <v>0</v>
      </c>
      <c r="AKO37">
        <f>SUMIFS(Detail!$AS:$AS,Detail!$G:$G,'Rates-Service Fees'!AKO$23,Detail!$H:$H,'Rates-Service Fees'!AKO$17)*100</f>
        <v>0</v>
      </c>
      <c r="AKP37">
        <f>SUMIFS(Detail!$AS:$AS,Detail!$G:$G,'Rates-Service Fees'!AKP$23,Detail!$H:$H,'Rates-Service Fees'!AKP$17)*100</f>
        <v>0</v>
      </c>
      <c r="AKQ37">
        <f>SUMIFS(Detail!$AS:$AS,Detail!$G:$G,'Rates-Service Fees'!AKQ$23,Detail!$H:$H,'Rates-Service Fees'!AKQ$17)*100</f>
        <v>0</v>
      </c>
      <c r="AKR37">
        <f>SUMIFS(Detail!$AS:$AS,Detail!$G:$G,'Rates-Service Fees'!AKR$23,Detail!$H:$H,'Rates-Service Fees'!AKR$17)*100</f>
        <v>0</v>
      </c>
      <c r="AKS37">
        <f>SUMIFS(Detail!$AS:$AS,Detail!$G:$G,'Rates-Service Fees'!AKS$23,Detail!$H:$H,'Rates-Service Fees'!AKS$17)*100</f>
        <v>0</v>
      </c>
      <c r="AKT37">
        <f>SUMIFS(Detail!$AS:$AS,Detail!$G:$G,'Rates-Service Fees'!AKT$23,Detail!$H:$H,'Rates-Service Fees'!AKT$17)*100</f>
        <v>0</v>
      </c>
      <c r="AKU37">
        <f>SUMIFS(Detail!$AS:$AS,Detail!$G:$G,'Rates-Service Fees'!AKU$23,Detail!$H:$H,'Rates-Service Fees'!AKU$17)*100</f>
        <v>0</v>
      </c>
      <c r="AKV37">
        <f>SUMIFS(Detail!$AS:$AS,Detail!$G:$G,'Rates-Service Fees'!AKV$23,Detail!$H:$H,'Rates-Service Fees'!AKV$17)*100</f>
        <v>0</v>
      </c>
      <c r="AKW37">
        <f>SUMIFS(Detail!$AS:$AS,Detail!$G:$G,'Rates-Service Fees'!AKW$23,Detail!$H:$H,'Rates-Service Fees'!AKW$17)*100</f>
        <v>0</v>
      </c>
      <c r="AKX37">
        <f>SUMIFS(Detail!$AS:$AS,Detail!$G:$G,'Rates-Service Fees'!AKX$23,Detail!$H:$H,'Rates-Service Fees'!AKX$17)*100</f>
        <v>0</v>
      </c>
      <c r="AKY37">
        <f>SUMIFS(Detail!$AS:$AS,Detail!$G:$G,'Rates-Service Fees'!AKY$23,Detail!$H:$H,'Rates-Service Fees'!AKY$17)*100</f>
        <v>0</v>
      </c>
      <c r="AKZ37">
        <f>SUMIFS(Detail!$AS:$AS,Detail!$G:$G,'Rates-Service Fees'!AKZ$23,Detail!$H:$H,'Rates-Service Fees'!AKZ$17)*100</f>
        <v>0</v>
      </c>
      <c r="ALA37">
        <f>SUMIFS(Detail!$AS:$AS,Detail!$G:$G,'Rates-Service Fees'!ALA$23,Detail!$H:$H,'Rates-Service Fees'!ALA$17)*100</f>
        <v>0</v>
      </c>
      <c r="ALB37">
        <f>SUMIFS(Detail!$AS:$AS,Detail!$G:$G,'Rates-Service Fees'!ALB$23,Detail!$H:$H,'Rates-Service Fees'!ALB$17)*100</f>
        <v>0</v>
      </c>
      <c r="ALC37">
        <f>SUMIFS(Detail!$AS:$AS,Detail!$G:$G,'Rates-Service Fees'!ALC$23,Detail!$H:$H,'Rates-Service Fees'!ALC$17)*100</f>
        <v>0</v>
      </c>
      <c r="ALD37">
        <f>SUMIFS(Detail!$AS:$AS,Detail!$G:$G,'Rates-Service Fees'!ALD$23,Detail!$H:$H,'Rates-Service Fees'!ALD$17)*100</f>
        <v>0</v>
      </c>
      <c r="ALE37">
        <f>SUMIFS(Detail!$AS:$AS,Detail!$G:$G,'Rates-Service Fees'!ALE$23,Detail!$H:$H,'Rates-Service Fees'!ALE$17)*100</f>
        <v>0</v>
      </c>
      <c r="ALF37">
        <f>SUMIFS(Detail!$AS:$AS,Detail!$G:$G,'Rates-Service Fees'!ALF$23,Detail!$H:$H,'Rates-Service Fees'!ALF$17)*100</f>
        <v>0</v>
      </c>
      <c r="ALG37">
        <f>SUMIFS(Detail!$AS:$AS,Detail!$G:$G,'Rates-Service Fees'!ALG$23,Detail!$H:$H,'Rates-Service Fees'!ALG$17)*100</f>
        <v>0</v>
      </c>
      <c r="ALH37">
        <f>SUMIFS(Detail!$AS:$AS,Detail!$G:$G,'Rates-Service Fees'!ALH$23,Detail!$H:$H,'Rates-Service Fees'!ALH$17)*100</f>
        <v>0</v>
      </c>
      <c r="ALI37">
        <f>SUMIFS(Detail!$AS:$AS,Detail!$G:$G,'Rates-Service Fees'!ALI$23,Detail!$H:$H,'Rates-Service Fees'!ALI$17)*100</f>
        <v>0</v>
      </c>
      <c r="ALJ37">
        <f>SUMIFS(Detail!$AS:$AS,Detail!$G:$G,'Rates-Service Fees'!ALJ$23,Detail!$H:$H,'Rates-Service Fees'!ALJ$17)*100</f>
        <v>0</v>
      </c>
      <c r="ALK37">
        <f>SUMIFS(Detail!$AS:$AS,Detail!$G:$G,'Rates-Service Fees'!ALK$23,Detail!$H:$H,'Rates-Service Fees'!ALK$17)*100</f>
        <v>0</v>
      </c>
      <c r="ALL37">
        <f>SUMIFS(Detail!$AS:$AS,Detail!$G:$G,'Rates-Service Fees'!ALL$23,Detail!$H:$H,'Rates-Service Fees'!ALL$17)*100</f>
        <v>0</v>
      </c>
      <c r="ALM37">
        <f>SUMIFS(Detail!$AS:$AS,Detail!$G:$G,'Rates-Service Fees'!ALM$23,Detail!$H:$H,'Rates-Service Fees'!ALM$17)*100</f>
        <v>0</v>
      </c>
    </row>
    <row r="38" spans="1:1001">
      <c r="A38" s="26"/>
      <c r="B38">
        <f>SUMIFS(Detail!$AW:$AW,Detail!$G:$G,'Rates-Service Fees'!B$23,Detail!$H:$H,'Rates-Service Fees'!B$17)*100</f>
        <v>0</v>
      </c>
      <c r="C38">
        <f>SUMIFS(Detail!$AW:$AW,Detail!$G:$G,'Rates-Service Fees'!C$23,Detail!$H:$H,'Rates-Service Fees'!C$17)*100</f>
        <v>0</v>
      </c>
      <c r="D38">
        <f>SUMIFS(Detail!$AW:$AW,Detail!$G:$G,'Rates-Service Fees'!D$23,Detail!$H:$H,'Rates-Service Fees'!D$17)*100</f>
        <v>0</v>
      </c>
      <c r="E38">
        <f>SUMIFS(Detail!$AW:$AW,Detail!$G:$G,'Rates-Service Fees'!E$23,Detail!$H:$H,'Rates-Service Fees'!E$17)*100</f>
        <v>0</v>
      </c>
      <c r="F38">
        <f>SUMIFS(Detail!$AW:$AW,Detail!$G:$G,'Rates-Service Fees'!F$23,Detail!$H:$H,'Rates-Service Fees'!F$17)*100</f>
        <v>0</v>
      </c>
      <c r="G38">
        <f>SUMIFS(Detail!$AW:$AW,Detail!$G:$G,'Rates-Service Fees'!G$23,Detail!$H:$H,'Rates-Service Fees'!G$17)*100</f>
        <v>0</v>
      </c>
      <c r="H38">
        <f>SUMIFS(Detail!$AW:$AW,Detail!$G:$G,'Rates-Service Fees'!H$23,Detail!$H:$H,'Rates-Service Fees'!H$17)*100</f>
        <v>0</v>
      </c>
      <c r="I38">
        <f>SUMIFS(Detail!$AW:$AW,Detail!$G:$G,'Rates-Service Fees'!I$23,Detail!$H:$H,'Rates-Service Fees'!I$17)*100</f>
        <v>0</v>
      </c>
      <c r="J38">
        <f>SUMIFS(Detail!$AW:$AW,Detail!$G:$G,'Rates-Service Fees'!J$23,Detail!$H:$H,'Rates-Service Fees'!J$17)*100</f>
        <v>0</v>
      </c>
      <c r="K38">
        <f>SUMIFS(Detail!$AW:$AW,Detail!$G:$G,'Rates-Service Fees'!K$23,Detail!$H:$H,'Rates-Service Fees'!K$17)*100</f>
        <v>0</v>
      </c>
      <c r="L38">
        <f>SUMIFS(Detail!$AW:$AW,Detail!$G:$G,'Rates-Service Fees'!L$23,Detail!$H:$H,'Rates-Service Fees'!L$17)*100</f>
        <v>0</v>
      </c>
      <c r="M38">
        <f>SUMIFS(Detail!$AW:$AW,Detail!$G:$G,'Rates-Service Fees'!M$23,Detail!$H:$H,'Rates-Service Fees'!M$17)*100</f>
        <v>0</v>
      </c>
      <c r="N38">
        <f>SUMIFS(Detail!$AW:$AW,Detail!$G:$G,'Rates-Service Fees'!N$23,Detail!$H:$H,'Rates-Service Fees'!N$17)*100</f>
        <v>0</v>
      </c>
      <c r="O38">
        <f>SUMIFS(Detail!$AW:$AW,Detail!$G:$G,'Rates-Service Fees'!O$23,Detail!$H:$H,'Rates-Service Fees'!O$17)*100</f>
        <v>0</v>
      </c>
      <c r="P38">
        <f>SUMIFS(Detail!$AW:$AW,Detail!$G:$G,'Rates-Service Fees'!P$23,Detail!$H:$H,'Rates-Service Fees'!P$17)*100</f>
        <v>0</v>
      </c>
      <c r="Q38">
        <f>SUMIFS(Detail!$AW:$AW,Detail!$G:$G,'Rates-Service Fees'!Q$23,Detail!$H:$H,'Rates-Service Fees'!Q$17)*100</f>
        <v>0</v>
      </c>
      <c r="R38">
        <f>SUMIFS(Detail!$AW:$AW,Detail!$G:$G,'Rates-Service Fees'!R$23,Detail!$H:$H,'Rates-Service Fees'!R$17)*100</f>
        <v>0</v>
      </c>
      <c r="S38">
        <f>SUMIFS(Detail!$AW:$AW,Detail!$G:$G,'Rates-Service Fees'!S$23,Detail!$H:$H,'Rates-Service Fees'!S$17)*100</f>
        <v>0</v>
      </c>
      <c r="T38">
        <f>SUMIFS(Detail!$AW:$AW,Detail!$G:$G,'Rates-Service Fees'!T$23,Detail!$H:$H,'Rates-Service Fees'!T$17)*100</f>
        <v>0</v>
      </c>
      <c r="U38">
        <f>SUMIFS(Detail!$AW:$AW,Detail!$G:$G,'Rates-Service Fees'!U$23,Detail!$H:$H,'Rates-Service Fees'!U$17)*100</f>
        <v>0</v>
      </c>
      <c r="V38">
        <f>SUMIFS(Detail!$AW:$AW,Detail!$G:$G,'Rates-Service Fees'!V$23,Detail!$H:$H,'Rates-Service Fees'!V$17)*100</f>
        <v>0</v>
      </c>
      <c r="W38">
        <f>SUMIFS(Detail!$AW:$AW,Detail!$G:$G,'Rates-Service Fees'!W$23,Detail!$H:$H,'Rates-Service Fees'!W$17)*100</f>
        <v>0</v>
      </c>
      <c r="X38">
        <f>SUMIFS(Detail!$AW:$AW,Detail!$G:$G,'Rates-Service Fees'!X$23,Detail!$H:$H,'Rates-Service Fees'!X$17)*100</f>
        <v>0</v>
      </c>
      <c r="Y38">
        <f>SUMIFS(Detail!$AW:$AW,Detail!$G:$G,'Rates-Service Fees'!Y$23,Detail!$H:$H,'Rates-Service Fees'!Y$17)*100</f>
        <v>0</v>
      </c>
      <c r="Z38">
        <f>SUMIFS(Detail!$AW:$AW,Detail!$G:$G,'Rates-Service Fees'!Z$23,Detail!$H:$H,'Rates-Service Fees'!Z$17)*100</f>
        <v>0</v>
      </c>
      <c r="AA38">
        <f>SUMIFS(Detail!$AW:$AW,Detail!$G:$G,'Rates-Service Fees'!AA$23,Detail!$H:$H,'Rates-Service Fees'!AA$17)*100</f>
        <v>0</v>
      </c>
      <c r="AB38">
        <f>SUMIFS(Detail!$AW:$AW,Detail!$G:$G,'Rates-Service Fees'!AB$23,Detail!$H:$H,'Rates-Service Fees'!AB$17)*100</f>
        <v>0</v>
      </c>
      <c r="AC38">
        <f>SUMIFS(Detail!$AW:$AW,Detail!$G:$G,'Rates-Service Fees'!AC$23,Detail!$H:$H,'Rates-Service Fees'!AC$17)*100</f>
        <v>0</v>
      </c>
      <c r="AD38">
        <f>SUMIFS(Detail!$AW:$AW,Detail!$G:$G,'Rates-Service Fees'!AD$23,Detail!$H:$H,'Rates-Service Fees'!AD$17)*100</f>
        <v>0</v>
      </c>
      <c r="AE38">
        <f>SUMIFS(Detail!$AW:$AW,Detail!$G:$G,'Rates-Service Fees'!AE$23,Detail!$H:$H,'Rates-Service Fees'!AE$17)*100</f>
        <v>0</v>
      </c>
      <c r="AF38">
        <f>SUMIFS(Detail!$AW:$AW,Detail!$G:$G,'Rates-Service Fees'!AF$23,Detail!$H:$H,'Rates-Service Fees'!AF$17)*100</f>
        <v>0</v>
      </c>
      <c r="AG38">
        <f>SUMIFS(Detail!$AW:$AW,Detail!$G:$G,'Rates-Service Fees'!AG$23,Detail!$H:$H,'Rates-Service Fees'!AG$17)*100</f>
        <v>0</v>
      </c>
      <c r="AH38">
        <f>SUMIFS(Detail!$AW:$AW,Detail!$G:$G,'Rates-Service Fees'!AH$23,Detail!$H:$H,'Rates-Service Fees'!AH$17)*100</f>
        <v>0</v>
      </c>
      <c r="AI38">
        <f>SUMIFS(Detail!$AW:$AW,Detail!$G:$G,'Rates-Service Fees'!AI$23,Detail!$H:$H,'Rates-Service Fees'!AI$17)*100</f>
        <v>0</v>
      </c>
      <c r="AJ38">
        <f>SUMIFS(Detail!$AW:$AW,Detail!$G:$G,'Rates-Service Fees'!AJ$23,Detail!$H:$H,'Rates-Service Fees'!AJ$17)*100</f>
        <v>0</v>
      </c>
      <c r="AK38">
        <f>SUMIFS(Detail!$AW:$AW,Detail!$G:$G,'Rates-Service Fees'!AK$23,Detail!$H:$H,'Rates-Service Fees'!AK$17)*100</f>
        <v>0</v>
      </c>
      <c r="AL38">
        <f>SUMIFS(Detail!$AW:$AW,Detail!$G:$G,'Rates-Service Fees'!AL$23,Detail!$H:$H,'Rates-Service Fees'!AL$17)*100</f>
        <v>0</v>
      </c>
      <c r="AM38">
        <f>SUMIFS(Detail!$AW:$AW,Detail!$G:$G,'Rates-Service Fees'!AM$23,Detail!$H:$H,'Rates-Service Fees'!AM$17)*100</f>
        <v>0</v>
      </c>
      <c r="AN38">
        <f>SUMIFS(Detail!$AW:$AW,Detail!$G:$G,'Rates-Service Fees'!AN$23,Detail!$H:$H,'Rates-Service Fees'!AN$17)*100</f>
        <v>0</v>
      </c>
      <c r="AO38">
        <f>SUMIFS(Detail!$AW:$AW,Detail!$G:$G,'Rates-Service Fees'!AO$23,Detail!$H:$H,'Rates-Service Fees'!AO$17)*100</f>
        <v>0</v>
      </c>
      <c r="AP38">
        <f>SUMIFS(Detail!$AW:$AW,Detail!$G:$G,'Rates-Service Fees'!AP$23,Detail!$H:$H,'Rates-Service Fees'!AP$17)*100</f>
        <v>0</v>
      </c>
      <c r="AQ38">
        <f>SUMIFS(Detail!$AW:$AW,Detail!$G:$G,'Rates-Service Fees'!AQ$23,Detail!$H:$H,'Rates-Service Fees'!AQ$17)*100</f>
        <v>0</v>
      </c>
      <c r="AR38">
        <f>SUMIFS(Detail!$AW:$AW,Detail!$G:$G,'Rates-Service Fees'!AR$23,Detail!$H:$H,'Rates-Service Fees'!AR$17)*100</f>
        <v>0</v>
      </c>
      <c r="AS38">
        <f>SUMIFS(Detail!$AW:$AW,Detail!$G:$G,'Rates-Service Fees'!AS$23,Detail!$H:$H,'Rates-Service Fees'!AS$17)*100</f>
        <v>0</v>
      </c>
      <c r="AT38">
        <f>SUMIFS(Detail!$AW:$AW,Detail!$G:$G,'Rates-Service Fees'!AT$23,Detail!$H:$H,'Rates-Service Fees'!AT$17)*100</f>
        <v>0</v>
      </c>
      <c r="AU38">
        <f>SUMIFS(Detail!$AW:$AW,Detail!$G:$G,'Rates-Service Fees'!AU$23,Detail!$H:$H,'Rates-Service Fees'!AU$17)*100</f>
        <v>0</v>
      </c>
      <c r="AV38">
        <f>SUMIFS(Detail!$AW:$AW,Detail!$G:$G,'Rates-Service Fees'!AV$23,Detail!$H:$H,'Rates-Service Fees'!AV$17)*100</f>
        <v>0</v>
      </c>
      <c r="AW38">
        <f>SUMIFS(Detail!$AW:$AW,Detail!$G:$G,'Rates-Service Fees'!AW$23,Detail!$H:$H,'Rates-Service Fees'!AW$17)*100</f>
        <v>0</v>
      </c>
      <c r="AX38">
        <f>SUMIFS(Detail!$AW:$AW,Detail!$G:$G,'Rates-Service Fees'!AX$23,Detail!$H:$H,'Rates-Service Fees'!AX$17)*100</f>
        <v>0</v>
      </c>
      <c r="AY38">
        <f>SUMIFS(Detail!$AW:$AW,Detail!$G:$G,'Rates-Service Fees'!AY$23,Detail!$H:$H,'Rates-Service Fees'!AY$17)*100</f>
        <v>0</v>
      </c>
      <c r="AZ38">
        <f>SUMIFS(Detail!$AW:$AW,Detail!$G:$G,'Rates-Service Fees'!AZ$23,Detail!$H:$H,'Rates-Service Fees'!AZ$17)*100</f>
        <v>0</v>
      </c>
      <c r="BA38">
        <f>SUMIFS(Detail!$AW:$AW,Detail!$G:$G,'Rates-Service Fees'!BA$23,Detail!$H:$H,'Rates-Service Fees'!BA$17)*100</f>
        <v>0</v>
      </c>
      <c r="BB38">
        <f>SUMIFS(Detail!$AW:$AW,Detail!$G:$G,'Rates-Service Fees'!BB$23,Detail!$H:$H,'Rates-Service Fees'!BB$17)*100</f>
        <v>0</v>
      </c>
      <c r="BC38">
        <f>SUMIFS(Detail!$AW:$AW,Detail!$G:$G,'Rates-Service Fees'!BC$23,Detail!$H:$H,'Rates-Service Fees'!BC$17)*100</f>
        <v>0</v>
      </c>
      <c r="BD38">
        <f>SUMIFS(Detail!$AW:$AW,Detail!$G:$G,'Rates-Service Fees'!BD$23,Detail!$H:$H,'Rates-Service Fees'!BD$17)*100</f>
        <v>0</v>
      </c>
      <c r="BE38">
        <f>SUMIFS(Detail!$AW:$AW,Detail!$G:$G,'Rates-Service Fees'!BE$23,Detail!$H:$H,'Rates-Service Fees'!BE$17)*100</f>
        <v>0</v>
      </c>
      <c r="BF38">
        <f>SUMIFS(Detail!$AW:$AW,Detail!$G:$G,'Rates-Service Fees'!BF$23,Detail!$H:$H,'Rates-Service Fees'!BF$17)*100</f>
        <v>0</v>
      </c>
      <c r="BG38">
        <f>SUMIFS(Detail!$AW:$AW,Detail!$G:$G,'Rates-Service Fees'!BG$23,Detail!$H:$H,'Rates-Service Fees'!BG$17)*100</f>
        <v>0</v>
      </c>
      <c r="BH38">
        <f>SUMIFS(Detail!$AW:$AW,Detail!$G:$G,'Rates-Service Fees'!BH$23,Detail!$H:$H,'Rates-Service Fees'!BH$17)*100</f>
        <v>0</v>
      </c>
      <c r="BI38">
        <f>SUMIFS(Detail!$AW:$AW,Detail!$G:$G,'Rates-Service Fees'!BI$23,Detail!$H:$H,'Rates-Service Fees'!BI$17)*100</f>
        <v>0</v>
      </c>
      <c r="BJ38">
        <f>SUMIFS(Detail!$AW:$AW,Detail!$G:$G,'Rates-Service Fees'!BJ$23,Detail!$H:$H,'Rates-Service Fees'!BJ$17)*100</f>
        <v>0</v>
      </c>
      <c r="BK38">
        <f>SUMIFS(Detail!$AW:$AW,Detail!$G:$G,'Rates-Service Fees'!BK$23,Detail!$H:$H,'Rates-Service Fees'!BK$17)*100</f>
        <v>0</v>
      </c>
      <c r="BL38">
        <f>SUMIFS(Detail!$AW:$AW,Detail!$G:$G,'Rates-Service Fees'!BL$23,Detail!$H:$H,'Rates-Service Fees'!BL$17)*100</f>
        <v>0</v>
      </c>
      <c r="BM38">
        <f>SUMIFS(Detail!$AW:$AW,Detail!$G:$G,'Rates-Service Fees'!BM$23,Detail!$H:$H,'Rates-Service Fees'!BM$17)*100</f>
        <v>0</v>
      </c>
      <c r="BN38">
        <f>SUMIFS(Detail!$AW:$AW,Detail!$G:$G,'Rates-Service Fees'!BN$23,Detail!$H:$H,'Rates-Service Fees'!BN$17)*100</f>
        <v>0</v>
      </c>
      <c r="BO38">
        <f>SUMIFS(Detail!$AW:$AW,Detail!$G:$G,'Rates-Service Fees'!BO$23,Detail!$H:$H,'Rates-Service Fees'!BO$17)*100</f>
        <v>0</v>
      </c>
      <c r="BP38">
        <f>SUMIFS(Detail!$AW:$AW,Detail!$G:$G,'Rates-Service Fees'!BP$23,Detail!$H:$H,'Rates-Service Fees'!BP$17)*100</f>
        <v>0</v>
      </c>
      <c r="BQ38">
        <f>SUMIFS(Detail!$AW:$AW,Detail!$G:$G,'Rates-Service Fees'!BQ$23,Detail!$H:$H,'Rates-Service Fees'!BQ$17)*100</f>
        <v>0</v>
      </c>
      <c r="BR38">
        <f>SUMIFS(Detail!$AW:$AW,Detail!$G:$G,'Rates-Service Fees'!BR$23,Detail!$H:$H,'Rates-Service Fees'!BR$17)*100</f>
        <v>0</v>
      </c>
      <c r="BS38">
        <f>SUMIFS(Detail!$AW:$AW,Detail!$G:$G,'Rates-Service Fees'!BS$23,Detail!$H:$H,'Rates-Service Fees'!BS$17)*100</f>
        <v>0</v>
      </c>
      <c r="BT38">
        <f>SUMIFS(Detail!$AW:$AW,Detail!$G:$G,'Rates-Service Fees'!BT$23,Detail!$H:$H,'Rates-Service Fees'!BT$17)*100</f>
        <v>0</v>
      </c>
      <c r="BU38">
        <f>SUMIFS(Detail!$AW:$AW,Detail!$G:$G,'Rates-Service Fees'!BU$23,Detail!$H:$H,'Rates-Service Fees'!BU$17)*100</f>
        <v>0</v>
      </c>
      <c r="BV38">
        <f>SUMIFS(Detail!$AW:$AW,Detail!$G:$G,'Rates-Service Fees'!BV$23,Detail!$H:$H,'Rates-Service Fees'!BV$17)*100</f>
        <v>0</v>
      </c>
      <c r="BW38">
        <f>SUMIFS(Detail!$AW:$AW,Detail!$G:$G,'Rates-Service Fees'!BW$23,Detail!$H:$H,'Rates-Service Fees'!BW$17)*100</f>
        <v>0</v>
      </c>
      <c r="BX38">
        <f>SUMIFS(Detail!$AW:$AW,Detail!$G:$G,'Rates-Service Fees'!BX$23,Detail!$H:$H,'Rates-Service Fees'!BX$17)*100</f>
        <v>0</v>
      </c>
      <c r="BY38">
        <f>SUMIFS(Detail!$AW:$AW,Detail!$G:$G,'Rates-Service Fees'!BY$23,Detail!$H:$H,'Rates-Service Fees'!BY$17)*100</f>
        <v>0</v>
      </c>
      <c r="BZ38">
        <f>SUMIFS(Detail!$AW:$AW,Detail!$G:$G,'Rates-Service Fees'!BZ$23,Detail!$H:$H,'Rates-Service Fees'!BZ$17)*100</f>
        <v>0</v>
      </c>
      <c r="CA38">
        <f>SUMIFS(Detail!$AW:$AW,Detail!$G:$G,'Rates-Service Fees'!CA$23,Detail!$H:$H,'Rates-Service Fees'!CA$17)*100</f>
        <v>0</v>
      </c>
      <c r="CB38">
        <f>SUMIFS(Detail!$AW:$AW,Detail!$G:$G,'Rates-Service Fees'!CB$23,Detail!$H:$H,'Rates-Service Fees'!CB$17)*100</f>
        <v>0</v>
      </c>
      <c r="CC38">
        <f>SUMIFS(Detail!$AW:$AW,Detail!$G:$G,'Rates-Service Fees'!CC$23,Detail!$H:$H,'Rates-Service Fees'!CC$17)*100</f>
        <v>0</v>
      </c>
      <c r="CD38">
        <f>SUMIFS(Detail!$AW:$AW,Detail!$G:$G,'Rates-Service Fees'!CD$23,Detail!$H:$H,'Rates-Service Fees'!CD$17)*100</f>
        <v>0</v>
      </c>
      <c r="CE38">
        <f>SUMIFS(Detail!$AW:$AW,Detail!$G:$G,'Rates-Service Fees'!CE$23,Detail!$H:$H,'Rates-Service Fees'!CE$17)*100</f>
        <v>0</v>
      </c>
      <c r="CF38">
        <f>SUMIFS(Detail!$AW:$AW,Detail!$G:$G,'Rates-Service Fees'!CF$23,Detail!$H:$H,'Rates-Service Fees'!CF$17)*100</f>
        <v>0</v>
      </c>
      <c r="CG38">
        <f>SUMIFS(Detail!$AW:$AW,Detail!$G:$G,'Rates-Service Fees'!CG$23,Detail!$H:$H,'Rates-Service Fees'!CG$17)*100</f>
        <v>0</v>
      </c>
      <c r="CH38">
        <f>SUMIFS(Detail!$AW:$AW,Detail!$G:$G,'Rates-Service Fees'!CH$23,Detail!$H:$H,'Rates-Service Fees'!CH$17)*100</f>
        <v>0</v>
      </c>
      <c r="CI38">
        <f>SUMIFS(Detail!$AW:$AW,Detail!$G:$G,'Rates-Service Fees'!CI$23,Detail!$H:$H,'Rates-Service Fees'!CI$17)*100</f>
        <v>0</v>
      </c>
      <c r="CJ38">
        <f>SUMIFS(Detail!$AW:$AW,Detail!$G:$G,'Rates-Service Fees'!CJ$23,Detail!$H:$H,'Rates-Service Fees'!CJ$17)*100</f>
        <v>0</v>
      </c>
      <c r="CK38">
        <f>SUMIFS(Detail!$AW:$AW,Detail!$G:$G,'Rates-Service Fees'!CK$23,Detail!$H:$H,'Rates-Service Fees'!CK$17)*100</f>
        <v>0</v>
      </c>
      <c r="CL38">
        <f>SUMIFS(Detail!$AW:$AW,Detail!$G:$G,'Rates-Service Fees'!CL$23,Detail!$H:$H,'Rates-Service Fees'!CL$17)*100</f>
        <v>0</v>
      </c>
      <c r="CM38">
        <f>SUMIFS(Detail!$AW:$AW,Detail!$G:$G,'Rates-Service Fees'!CM$23,Detail!$H:$H,'Rates-Service Fees'!CM$17)*100</f>
        <v>0</v>
      </c>
      <c r="CN38">
        <f>SUMIFS(Detail!$AW:$AW,Detail!$G:$G,'Rates-Service Fees'!CN$23,Detail!$H:$H,'Rates-Service Fees'!CN$17)*100</f>
        <v>0</v>
      </c>
      <c r="CO38">
        <f>SUMIFS(Detail!$AW:$AW,Detail!$G:$G,'Rates-Service Fees'!CO$23,Detail!$H:$H,'Rates-Service Fees'!CO$17)*100</f>
        <v>0</v>
      </c>
      <c r="CP38">
        <f>SUMIFS(Detail!$AW:$AW,Detail!$G:$G,'Rates-Service Fees'!CP$23,Detail!$H:$H,'Rates-Service Fees'!CP$17)*100</f>
        <v>0</v>
      </c>
      <c r="CQ38">
        <f>SUMIFS(Detail!$AW:$AW,Detail!$G:$G,'Rates-Service Fees'!CQ$23,Detail!$H:$H,'Rates-Service Fees'!CQ$17)*100</f>
        <v>0</v>
      </c>
      <c r="CR38">
        <f>SUMIFS(Detail!$AW:$AW,Detail!$G:$G,'Rates-Service Fees'!CR$23,Detail!$H:$H,'Rates-Service Fees'!CR$17)*100</f>
        <v>0</v>
      </c>
      <c r="CS38">
        <f>SUMIFS(Detail!$AW:$AW,Detail!$G:$G,'Rates-Service Fees'!CS$23,Detail!$H:$H,'Rates-Service Fees'!CS$17)*100</f>
        <v>0</v>
      </c>
      <c r="CT38">
        <f>SUMIFS(Detail!$AW:$AW,Detail!$G:$G,'Rates-Service Fees'!CT$23,Detail!$H:$H,'Rates-Service Fees'!CT$17)*100</f>
        <v>0</v>
      </c>
      <c r="CU38">
        <f>SUMIFS(Detail!$AW:$AW,Detail!$G:$G,'Rates-Service Fees'!CU$23,Detail!$H:$H,'Rates-Service Fees'!CU$17)*100</f>
        <v>0</v>
      </c>
      <c r="CV38">
        <f>SUMIFS(Detail!$AW:$AW,Detail!$G:$G,'Rates-Service Fees'!CV$23,Detail!$H:$H,'Rates-Service Fees'!CV$17)*100</f>
        <v>0</v>
      </c>
      <c r="CW38">
        <f>SUMIFS(Detail!$AW:$AW,Detail!$G:$G,'Rates-Service Fees'!CW$23,Detail!$H:$H,'Rates-Service Fees'!CW$17)*100</f>
        <v>0</v>
      </c>
      <c r="CX38">
        <f>SUMIFS(Detail!$AW:$AW,Detail!$G:$G,'Rates-Service Fees'!CX$23,Detail!$H:$H,'Rates-Service Fees'!CX$17)*100</f>
        <v>0</v>
      </c>
      <c r="CY38">
        <f>SUMIFS(Detail!$AW:$AW,Detail!$G:$G,'Rates-Service Fees'!CY$23,Detail!$H:$H,'Rates-Service Fees'!CY$17)*100</f>
        <v>0</v>
      </c>
      <c r="CZ38">
        <f>SUMIFS(Detail!$AW:$AW,Detail!$G:$G,'Rates-Service Fees'!CZ$23,Detail!$H:$H,'Rates-Service Fees'!CZ$17)*100</f>
        <v>0</v>
      </c>
      <c r="DA38">
        <f>SUMIFS(Detail!$AW:$AW,Detail!$G:$G,'Rates-Service Fees'!DA$23,Detail!$H:$H,'Rates-Service Fees'!DA$17)*100</f>
        <v>0</v>
      </c>
      <c r="DB38">
        <f>SUMIFS(Detail!$AW:$AW,Detail!$G:$G,'Rates-Service Fees'!DB$23,Detail!$H:$H,'Rates-Service Fees'!DB$17)*100</f>
        <v>0</v>
      </c>
      <c r="DC38">
        <f>SUMIFS(Detail!$AW:$AW,Detail!$G:$G,'Rates-Service Fees'!DC$23,Detail!$H:$H,'Rates-Service Fees'!DC$17)*100</f>
        <v>0</v>
      </c>
      <c r="DD38">
        <f>SUMIFS(Detail!$AW:$AW,Detail!$G:$G,'Rates-Service Fees'!DD$23,Detail!$H:$H,'Rates-Service Fees'!DD$17)*100</f>
        <v>0</v>
      </c>
      <c r="DE38">
        <f>SUMIFS(Detail!$AW:$AW,Detail!$G:$G,'Rates-Service Fees'!DE$23,Detail!$H:$H,'Rates-Service Fees'!DE$17)*100</f>
        <v>0</v>
      </c>
      <c r="DF38">
        <f>SUMIFS(Detail!$AW:$AW,Detail!$G:$G,'Rates-Service Fees'!DF$23,Detail!$H:$H,'Rates-Service Fees'!DF$17)*100</f>
        <v>0</v>
      </c>
      <c r="DG38">
        <f>SUMIFS(Detail!$AW:$AW,Detail!$G:$G,'Rates-Service Fees'!DG$23,Detail!$H:$H,'Rates-Service Fees'!DG$17)*100</f>
        <v>0</v>
      </c>
      <c r="DH38">
        <f>SUMIFS(Detail!$AW:$AW,Detail!$G:$G,'Rates-Service Fees'!DH$23,Detail!$H:$H,'Rates-Service Fees'!DH$17)*100</f>
        <v>0</v>
      </c>
      <c r="DI38">
        <f>SUMIFS(Detail!$AW:$AW,Detail!$G:$G,'Rates-Service Fees'!DI$23,Detail!$H:$H,'Rates-Service Fees'!DI$17)*100</f>
        <v>0</v>
      </c>
      <c r="DJ38">
        <f>SUMIFS(Detail!$AW:$AW,Detail!$G:$G,'Rates-Service Fees'!DJ$23,Detail!$H:$H,'Rates-Service Fees'!DJ$17)*100</f>
        <v>0</v>
      </c>
      <c r="DK38">
        <f>SUMIFS(Detail!$AW:$AW,Detail!$G:$G,'Rates-Service Fees'!DK$23,Detail!$H:$H,'Rates-Service Fees'!DK$17)*100</f>
        <v>0</v>
      </c>
      <c r="DL38">
        <f>SUMIFS(Detail!$AW:$AW,Detail!$G:$G,'Rates-Service Fees'!DL$23,Detail!$H:$H,'Rates-Service Fees'!DL$17)*100</f>
        <v>0</v>
      </c>
      <c r="DM38">
        <f>SUMIFS(Detail!$AW:$AW,Detail!$G:$G,'Rates-Service Fees'!DM$23,Detail!$H:$H,'Rates-Service Fees'!DM$17)*100</f>
        <v>0</v>
      </c>
      <c r="DN38">
        <f>SUMIFS(Detail!$AW:$AW,Detail!$G:$G,'Rates-Service Fees'!DN$23,Detail!$H:$H,'Rates-Service Fees'!DN$17)*100</f>
        <v>0</v>
      </c>
      <c r="DO38">
        <f>SUMIFS(Detail!$AW:$AW,Detail!$G:$G,'Rates-Service Fees'!DO$23,Detail!$H:$H,'Rates-Service Fees'!DO$17)*100</f>
        <v>0</v>
      </c>
      <c r="DP38">
        <f>SUMIFS(Detail!$AW:$AW,Detail!$G:$G,'Rates-Service Fees'!DP$23,Detail!$H:$H,'Rates-Service Fees'!DP$17)*100</f>
        <v>0</v>
      </c>
      <c r="DQ38">
        <f>SUMIFS(Detail!$AW:$AW,Detail!$G:$G,'Rates-Service Fees'!DQ$23,Detail!$H:$H,'Rates-Service Fees'!DQ$17)*100</f>
        <v>0</v>
      </c>
      <c r="DR38">
        <f>SUMIFS(Detail!$AW:$AW,Detail!$G:$G,'Rates-Service Fees'!DR$23,Detail!$H:$H,'Rates-Service Fees'!DR$17)*100</f>
        <v>0</v>
      </c>
      <c r="DS38">
        <f>SUMIFS(Detail!$AW:$AW,Detail!$G:$G,'Rates-Service Fees'!DS$23,Detail!$H:$H,'Rates-Service Fees'!DS$17)*100</f>
        <v>0</v>
      </c>
      <c r="DT38">
        <f>SUMIFS(Detail!$AW:$AW,Detail!$G:$G,'Rates-Service Fees'!DT$23,Detail!$H:$H,'Rates-Service Fees'!DT$17)*100</f>
        <v>0</v>
      </c>
      <c r="DU38">
        <f>SUMIFS(Detail!$AW:$AW,Detail!$G:$G,'Rates-Service Fees'!DU$23,Detail!$H:$H,'Rates-Service Fees'!DU$17)*100</f>
        <v>0</v>
      </c>
      <c r="DV38">
        <f>SUMIFS(Detail!$AW:$AW,Detail!$G:$G,'Rates-Service Fees'!DV$23,Detail!$H:$H,'Rates-Service Fees'!DV$17)*100</f>
        <v>0</v>
      </c>
      <c r="DW38">
        <f>SUMIFS(Detail!$AW:$AW,Detail!$G:$G,'Rates-Service Fees'!DW$23,Detail!$H:$H,'Rates-Service Fees'!DW$17)*100</f>
        <v>0</v>
      </c>
      <c r="DX38">
        <f>SUMIFS(Detail!$AW:$AW,Detail!$G:$G,'Rates-Service Fees'!DX$23,Detail!$H:$H,'Rates-Service Fees'!DX$17)*100</f>
        <v>0</v>
      </c>
      <c r="DY38">
        <f>SUMIFS(Detail!$AW:$AW,Detail!$G:$G,'Rates-Service Fees'!DY$23,Detail!$H:$H,'Rates-Service Fees'!DY$17)*100</f>
        <v>0</v>
      </c>
      <c r="DZ38">
        <f>SUMIFS(Detail!$AW:$AW,Detail!$G:$G,'Rates-Service Fees'!DZ$23,Detail!$H:$H,'Rates-Service Fees'!DZ$17)*100</f>
        <v>0</v>
      </c>
      <c r="EA38">
        <f>SUMIFS(Detail!$AW:$AW,Detail!$G:$G,'Rates-Service Fees'!EA$23,Detail!$H:$H,'Rates-Service Fees'!EA$17)*100</f>
        <v>0</v>
      </c>
      <c r="EB38">
        <f>SUMIFS(Detail!$AW:$AW,Detail!$G:$G,'Rates-Service Fees'!EB$23,Detail!$H:$H,'Rates-Service Fees'!EB$17)*100</f>
        <v>0</v>
      </c>
      <c r="EC38">
        <f>SUMIFS(Detail!$AW:$AW,Detail!$G:$G,'Rates-Service Fees'!EC$23,Detail!$H:$H,'Rates-Service Fees'!EC$17)*100</f>
        <v>0</v>
      </c>
      <c r="ED38">
        <f>SUMIFS(Detail!$AW:$AW,Detail!$G:$G,'Rates-Service Fees'!ED$23,Detail!$H:$H,'Rates-Service Fees'!ED$17)*100</f>
        <v>0</v>
      </c>
      <c r="EE38">
        <f>SUMIFS(Detail!$AW:$AW,Detail!$G:$G,'Rates-Service Fees'!EE$23,Detail!$H:$H,'Rates-Service Fees'!EE$17)*100</f>
        <v>0</v>
      </c>
      <c r="EF38">
        <f>SUMIFS(Detail!$AW:$AW,Detail!$G:$G,'Rates-Service Fees'!EF$23,Detail!$H:$H,'Rates-Service Fees'!EF$17)*100</f>
        <v>0</v>
      </c>
      <c r="EG38">
        <f>SUMIFS(Detail!$AW:$AW,Detail!$G:$G,'Rates-Service Fees'!EG$23,Detail!$H:$H,'Rates-Service Fees'!EG$17)*100</f>
        <v>0</v>
      </c>
      <c r="EH38">
        <f>SUMIFS(Detail!$AW:$AW,Detail!$G:$G,'Rates-Service Fees'!EH$23,Detail!$H:$H,'Rates-Service Fees'!EH$17)*100</f>
        <v>0</v>
      </c>
      <c r="EI38">
        <f>SUMIFS(Detail!$AW:$AW,Detail!$G:$G,'Rates-Service Fees'!EI$23,Detail!$H:$H,'Rates-Service Fees'!EI$17)*100</f>
        <v>0</v>
      </c>
      <c r="EJ38">
        <f>SUMIFS(Detail!$AW:$AW,Detail!$G:$G,'Rates-Service Fees'!EJ$23,Detail!$H:$H,'Rates-Service Fees'!EJ$17)*100</f>
        <v>0</v>
      </c>
      <c r="EK38">
        <f>SUMIFS(Detail!$AW:$AW,Detail!$G:$G,'Rates-Service Fees'!EK$23,Detail!$H:$H,'Rates-Service Fees'!EK$17)*100</f>
        <v>0</v>
      </c>
      <c r="EL38">
        <f>SUMIFS(Detail!$AW:$AW,Detail!$G:$G,'Rates-Service Fees'!EL$23,Detail!$H:$H,'Rates-Service Fees'!EL$17)*100</f>
        <v>0</v>
      </c>
      <c r="EM38">
        <f>SUMIFS(Detail!$AW:$AW,Detail!$G:$G,'Rates-Service Fees'!EM$23,Detail!$H:$H,'Rates-Service Fees'!EM$17)*100</f>
        <v>0</v>
      </c>
      <c r="EN38">
        <f>SUMIFS(Detail!$AW:$AW,Detail!$G:$G,'Rates-Service Fees'!EN$23,Detail!$H:$H,'Rates-Service Fees'!EN$17)*100</f>
        <v>0</v>
      </c>
      <c r="EO38">
        <f>SUMIFS(Detail!$AW:$AW,Detail!$G:$G,'Rates-Service Fees'!EO$23,Detail!$H:$H,'Rates-Service Fees'!EO$17)*100</f>
        <v>0</v>
      </c>
      <c r="EP38">
        <f>SUMIFS(Detail!$AW:$AW,Detail!$G:$G,'Rates-Service Fees'!EP$23,Detail!$H:$H,'Rates-Service Fees'!EP$17)*100</f>
        <v>0</v>
      </c>
      <c r="EQ38">
        <f>SUMIFS(Detail!$AW:$AW,Detail!$G:$G,'Rates-Service Fees'!EQ$23,Detail!$H:$H,'Rates-Service Fees'!EQ$17)*100</f>
        <v>0</v>
      </c>
      <c r="ER38">
        <f>SUMIFS(Detail!$AW:$AW,Detail!$G:$G,'Rates-Service Fees'!ER$23,Detail!$H:$H,'Rates-Service Fees'!ER$17)*100</f>
        <v>0</v>
      </c>
      <c r="ES38">
        <f>SUMIFS(Detail!$AW:$AW,Detail!$G:$G,'Rates-Service Fees'!ES$23,Detail!$H:$H,'Rates-Service Fees'!ES$17)*100</f>
        <v>0</v>
      </c>
      <c r="ET38">
        <f>SUMIFS(Detail!$AW:$AW,Detail!$G:$G,'Rates-Service Fees'!ET$23,Detail!$H:$H,'Rates-Service Fees'!ET$17)*100</f>
        <v>0</v>
      </c>
      <c r="EU38">
        <f>SUMIFS(Detail!$AW:$AW,Detail!$G:$G,'Rates-Service Fees'!EU$23,Detail!$H:$H,'Rates-Service Fees'!EU$17)*100</f>
        <v>0</v>
      </c>
      <c r="EV38">
        <f>SUMIFS(Detail!$AW:$AW,Detail!$G:$G,'Rates-Service Fees'!EV$23,Detail!$H:$H,'Rates-Service Fees'!EV$17)*100</f>
        <v>0</v>
      </c>
      <c r="EW38">
        <f>SUMIFS(Detail!$AW:$AW,Detail!$G:$G,'Rates-Service Fees'!EW$23,Detail!$H:$H,'Rates-Service Fees'!EW$17)*100</f>
        <v>0</v>
      </c>
      <c r="EX38">
        <f>SUMIFS(Detail!$AW:$AW,Detail!$G:$G,'Rates-Service Fees'!EX$23,Detail!$H:$H,'Rates-Service Fees'!EX$17)*100</f>
        <v>0</v>
      </c>
      <c r="EY38">
        <f>SUMIFS(Detail!$AW:$AW,Detail!$G:$G,'Rates-Service Fees'!EY$23,Detail!$H:$H,'Rates-Service Fees'!EY$17)*100</f>
        <v>0</v>
      </c>
      <c r="EZ38">
        <f>SUMIFS(Detail!$AW:$AW,Detail!$G:$G,'Rates-Service Fees'!EZ$23,Detail!$H:$H,'Rates-Service Fees'!EZ$17)*100</f>
        <v>0</v>
      </c>
      <c r="FA38">
        <f>SUMIFS(Detail!$AW:$AW,Detail!$G:$G,'Rates-Service Fees'!FA$23,Detail!$H:$H,'Rates-Service Fees'!FA$17)*100</f>
        <v>0</v>
      </c>
      <c r="FB38">
        <f>SUMIFS(Detail!$AW:$AW,Detail!$G:$G,'Rates-Service Fees'!FB$23,Detail!$H:$H,'Rates-Service Fees'!FB$17)*100</f>
        <v>0</v>
      </c>
      <c r="FC38">
        <f>SUMIFS(Detail!$AW:$AW,Detail!$G:$G,'Rates-Service Fees'!FC$23,Detail!$H:$H,'Rates-Service Fees'!FC$17)*100</f>
        <v>0</v>
      </c>
      <c r="FD38">
        <f>SUMIFS(Detail!$AW:$AW,Detail!$G:$G,'Rates-Service Fees'!FD$23,Detail!$H:$H,'Rates-Service Fees'!FD$17)*100</f>
        <v>0</v>
      </c>
      <c r="FE38">
        <f>SUMIFS(Detail!$AW:$AW,Detail!$G:$G,'Rates-Service Fees'!FE$23,Detail!$H:$H,'Rates-Service Fees'!FE$17)*100</f>
        <v>0</v>
      </c>
      <c r="FF38">
        <f>SUMIFS(Detail!$AW:$AW,Detail!$G:$G,'Rates-Service Fees'!FF$23,Detail!$H:$H,'Rates-Service Fees'!FF$17)*100</f>
        <v>0</v>
      </c>
      <c r="FG38">
        <f>SUMIFS(Detail!$AW:$AW,Detail!$G:$G,'Rates-Service Fees'!FG$23,Detail!$H:$H,'Rates-Service Fees'!FG$17)*100</f>
        <v>0</v>
      </c>
      <c r="FH38">
        <f>SUMIFS(Detail!$AW:$AW,Detail!$G:$G,'Rates-Service Fees'!FH$23,Detail!$H:$H,'Rates-Service Fees'!FH$17)*100</f>
        <v>0</v>
      </c>
      <c r="FI38">
        <f>SUMIFS(Detail!$AW:$AW,Detail!$G:$G,'Rates-Service Fees'!FI$23,Detail!$H:$H,'Rates-Service Fees'!FI$17)*100</f>
        <v>0</v>
      </c>
      <c r="FJ38">
        <f>SUMIFS(Detail!$AW:$AW,Detail!$G:$G,'Rates-Service Fees'!FJ$23,Detail!$H:$H,'Rates-Service Fees'!FJ$17)*100</f>
        <v>0</v>
      </c>
      <c r="FK38">
        <f>SUMIFS(Detail!$AW:$AW,Detail!$G:$G,'Rates-Service Fees'!FK$23,Detail!$H:$H,'Rates-Service Fees'!FK$17)*100</f>
        <v>0</v>
      </c>
      <c r="FL38">
        <f>SUMIFS(Detail!$AW:$AW,Detail!$G:$G,'Rates-Service Fees'!FL$23,Detail!$H:$H,'Rates-Service Fees'!FL$17)*100</f>
        <v>0</v>
      </c>
      <c r="FM38">
        <f>SUMIFS(Detail!$AW:$AW,Detail!$G:$G,'Rates-Service Fees'!FM$23,Detail!$H:$H,'Rates-Service Fees'!FM$17)*100</f>
        <v>0</v>
      </c>
      <c r="FN38">
        <f>SUMIFS(Detail!$AW:$AW,Detail!$G:$G,'Rates-Service Fees'!FN$23,Detail!$H:$H,'Rates-Service Fees'!FN$17)*100</f>
        <v>0</v>
      </c>
      <c r="FO38">
        <f>SUMIFS(Detail!$AW:$AW,Detail!$G:$G,'Rates-Service Fees'!FO$23,Detail!$H:$H,'Rates-Service Fees'!FO$17)*100</f>
        <v>0</v>
      </c>
      <c r="FP38">
        <f>SUMIFS(Detail!$AW:$AW,Detail!$G:$G,'Rates-Service Fees'!FP$23,Detail!$H:$H,'Rates-Service Fees'!FP$17)*100</f>
        <v>0</v>
      </c>
      <c r="FQ38">
        <f>SUMIFS(Detail!$AW:$AW,Detail!$G:$G,'Rates-Service Fees'!FQ$23,Detail!$H:$H,'Rates-Service Fees'!FQ$17)*100</f>
        <v>0</v>
      </c>
      <c r="FR38">
        <f>SUMIFS(Detail!$AW:$AW,Detail!$G:$G,'Rates-Service Fees'!FR$23,Detail!$H:$H,'Rates-Service Fees'!FR$17)*100</f>
        <v>0</v>
      </c>
      <c r="FS38">
        <f>SUMIFS(Detail!$AW:$AW,Detail!$G:$G,'Rates-Service Fees'!FS$23,Detail!$H:$H,'Rates-Service Fees'!FS$17)*100</f>
        <v>0</v>
      </c>
      <c r="FT38">
        <f>SUMIFS(Detail!$AW:$AW,Detail!$G:$G,'Rates-Service Fees'!FT$23,Detail!$H:$H,'Rates-Service Fees'!FT$17)*100</f>
        <v>0</v>
      </c>
      <c r="FU38">
        <f>SUMIFS(Detail!$AW:$AW,Detail!$G:$G,'Rates-Service Fees'!FU$23,Detail!$H:$H,'Rates-Service Fees'!FU$17)*100</f>
        <v>0</v>
      </c>
      <c r="FV38">
        <f>SUMIFS(Detail!$AW:$AW,Detail!$G:$G,'Rates-Service Fees'!FV$23,Detail!$H:$H,'Rates-Service Fees'!FV$17)*100</f>
        <v>0</v>
      </c>
      <c r="FW38">
        <f>SUMIFS(Detail!$AW:$AW,Detail!$G:$G,'Rates-Service Fees'!FW$23,Detail!$H:$H,'Rates-Service Fees'!FW$17)*100</f>
        <v>0</v>
      </c>
      <c r="FX38">
        <f>SUMIFS(Detail!$AW:$AW,Detail!$G:$G,'Rates-Service Fees'!FX$23,Detail!$H:$H,'Rates-Service Fees'!FX$17)*100</f>
        <v>0</v>
      </c>
      <c r="FY38">
        <f>SUMIFS(Detail!$AW:$AW,Detail!$G:$G,'Rates-Service Fees'!FY$23,Detail!$H:$H,'Rates-Service Fees'!FY$17)*100</f>
        <v>0</v>
      </c>
      <c r="FZ38">
        <f>SUMIFS(Detail!$AW:$AW,Detail!$G:$G,'Rates-Service Fees'!FZ$23,Detail!$H:$H,'Rates-Service Fees'!FZ$17)*100</f>
        <v>0</v>
      </c>
      <c r="GA38">
        <f>SUMIFS(Detail!$AW:$AW,Detail!$G:$G,'Rates-Service Fees'!GA$23,Detail!$H:$H,'Rates-Service Fees'!GA$17)*100</f>
        <v>0</v>
      </c>
      <c r="GB38">
        <f>SUMIFS(Detail!$AW:$AW,Detail!$G:$G,'Rates-Service Fees'!GB$23,Detail!$H:$H,'Rates-Service Fees'!GB$17)*100</f>
        <v>0</v>
      </c>
      <c r="GC38">
        <f>SUMIFS(Detail!$AW:$AW,Detail!$G:$G,'Rates-Service Fees'!GC$23,Detail!$H:$H,'Rates-Service Fees'!GC$17)*100</f>
        <v>0</v>
      </c>
      <c r="GD38">
        <f>SUMIFS(Detail!$AW:$AW,Detail!$G:$G,'Rates-Service Fees'!GD$23,Detail!$H:$H,'Rates-Service Fees'!GD$17)*100</f>
        <v>0</v>
      </c>
      <c r="GE38">
        <f>SUMIFS(Detail!$AW:$AW,Detail!$G:$G,'Rates-Service Fees'!GE$23,Detail!$H:$H,'Rates-Service Fees'!GE$17)*100</f>
        <v>0</v>
      </c>
      <c r="GF38">
        <f>SUMIFS(Detail!$AW:$AW,Detail!$G:$G,'Rates-Service Fees'!GF$23,Detail!$H:$H,'Rates-Service Fees'!GF$17)*100</f>
        <v>0</v>
      </c>
      <c r="GG38">
        <f>SUMIFS(Detail!$AW:$AW,Detail!$G:$G,'Rates-Service Fees'!GG$23,Detail!$H:$H,'Rates-Service Fees'!GG$17)*100</f>
        <v>0</v>
      </c>
      <c r="GH38">
        <f>SUMIFS(Detail!$AW:$AW,Detail!$G:$G,'Rates-Service Fees'!GH$23,Detail!$H:$H,'Rates-Service Fees'!GH$17)*100</f>
        <v>0</v>
      </c>
      <c r="GI38">
        <f>SUMIFS(Detail!$AW:$AW,Detail!$G:$G,'Rates-Service Fees'!GI$23,Detail!$H:$H,'Rates-Service Fees'!GI$17)*100</f>
        <v>0</v>
      </c>
      <c r="GJ38">
        <f>SUMIFS(Detail!$AW:$AW,Detail!$G:$G,'Rates-Service Fees'!GJ$23,Detail!$H:$H,'Rates-Service Fees'!GJ$17)*100</f>
        <v>0</v>
      </c>
      <c r="GK38">
        <f>SUMIFS(Detail!$AW:$AW,Detail!$G:$G,'Rates-Service Fees'!GK$23,Detail!$H:$H,'Rates-Service Fees'!GK$17)*100</f>
        <v>0</v>
      </c>
      <c r="GL38">
        <f>SUMIFS(Detail!$AW:$AW,Detail!$G:$G,'Rates-Service Fees'!GL$23,Detail!$H:$H,'Rates-Service Fees'!GL$17)*100</f>
        <v>0</v>
      </c>
      <c r="GM38">
        <f>SUMIFS(Detail!$AW:$AW,Detail!$G:$G,'Rates-Service Fees'!GM$23,Detail!$H:$H,'Rates-Service Fees'!GM$17)*100</f>
        <v>0</v>
      </c>
      <c r="GN38">
        <f>SUMIFS(Detail!$AW:$AW,Detail!$G:$G,'Rates-Service Fees'!GN$23,Detail!$H:$H,'Rates-Service Fees'!GN$17)*100</f>
        <v>0</v>
      </c>
      <c r="GO38">
        <f>SUMIFS(Detail!$AW:$AW,Detail!$G:$G,'Rates-Service Fees'!GO$23,Detail!$H:$H,'Rates-Service Fees'!GO$17)*100</f>
        <v>0</v>
      </c>
      <c r="GP38">
        <f>SUMIFS(Detail!$AW:$AW,Detail!$G:$G,'Rates-Service Fees'!GP$23,Detail!$H:$H,'Rates-Service Fees'!GP$17)*100</f>
        <v>0</v>
      </c>
      <c r="GQ38">
        <f>SUMIFS(Detail!$AW:$AW,Detail!$G:$G,'Rates-Service Fees'!GQ$23,Detail!$H:$H,'Rates-Service Fees'!GQ$17)*100</f>
        <v>0</v>
      </c>
      <c r="GR38">
        <f>SUMIFS(Detail!$AW:$AW,Detail!$G:$G,'Rates-Service Fees'!GR$23,Detail!$H:$H,'Rates-Service Fees'!GR$17)*100</f>
        <v>0</v>
      </c>
      <c r="GS38">
        <f>SUMIFS(Detail!$AW:$AW,Detail!$G:$G,'Rates-Service Fees'!GS$23,Detail!$H:$H,'Rates-Service Fees'!GS$17)*100</f>
        <v>0</v>
      </c>
      <c r="GT38">
        <f>SUMIFS(Detail!$AW:$AW,Detail!$G:$G,'Rates-Service Fees'!GT$23,Detail!$H:$H,'Rates-Service Fees'!GT$17)*100</f>
        <v>0</v>
      </c>
      <c r="GU38">
        <f>SUMIFS(Detail!$AW:$AW,Detail!$G:$G,'Rates-Service Fees'!GU$23,Detail!$H:$H,'Rates-Service Fees'!GU$17)*100</f>
        <v>0</v>
      </c>
      <c r="GV38">
        <f>SUMIFS(Detail!$AW:$AW,Detail!$G:$G,'Rates-Service Fees'!GV$23,Detail!$H:$H,'Rates-Service Fees'!GV$17)*100</f>
        <v>0</v>
      </c>
      <c r="GW38">
        <f>SUMIFS(Detail!$AW:$AW,Detail!$G:$G,'Rates-Service Fees'!GW$23,Detail!$H:$H,'Rates-Service Fees'!GW$17)*100</f>
        <v>0</v>
      </c>
      <c r="GX38">
        <f>SUMIFS(Detail!$AW:$AW,Detail!$G:$G,'Rates-Service Fees'!GX$23,Detail!$H:$H,'Rates-Service Fees'!GX$17)*100</f>
        <v>0</v>
      </c>
      <c r="GY38">
        <f>SUMIFS(Detail!$AW:$AW,Detail!$G:$G,'Rates-Service Fees'!GY$23,Detail!$H:$H,'Rates-Service Fees'!GY$17)*100</f>
        <v>0</v>
      </c>
      <c r="GZ38">
        <f>SUMIFS(Detail!$AW:$AW,Detail!$G:$G,'Rates-Service Fees'!GZ$23,Detail!$H:$H,'Rates-Service Fees'!GZ$17)*100</f>
        <v>0</v>
      </c>
      <c r="HA38">
        <f>SUMIFS(Detail!$AW:$AW,Detail!$G:$G,'Rates-Service Fees'!HA$23,Detail!$H:$H,'Rates-Service Fees'!HA$17)*100</f>
        <v>0</v>
      </c>
      <c r="HB38">
        <f>SUMIFS(Detail!$AW:$AW,Detail!$G:$G,'Rates-Service Fees'!HB$23,Detail!$H:$H,'Rates-Service Fees'!HB$17)*100</f>
        <v>0</v>
      </c>
      <c r="HC38">
        <f>SUMIFS(Detail!$AW:$AW,Detail!$G:$G,'Rates-Service Fees'!HC$23,Detail!$H:$H,'Rates-Service Fees'!HC$17)*100</f>
        <v>0</v>
      </c>
      <c r="HD38">
        <f>SUMIFS(Detail!$AW:$AW,Detail!$G:$G,'Rates-Service Fees'!HD$23,Detail!$H:$H,'Rates-Service Fees'!HD$17)*100</f>
        <v>0</v>
      </c>
      <c r="HE38">
        <f>SUMIFS(Detail!$AW:$AW,Detail!$G:$G,'Rates-Service Fees'!HE$23,Detail!$H:$H,'Rates-Service Fees'!HE$17)*100</f>
        <v>0</v>
      </c>
      <c r="HF38">
        <f>SUMIFS(Detail!$AW:$AW,Detail!$G:$G,'Rates-Service Fees'!HF$23,Detail!$H:$H,'Rates-Service Fees'!HF$17)*100</f>
        <v>0</v>
      </c>
      <c r="HG38">
        <f>SUMIFS(Detail!$AW:$AW,Detail!$G:$G,'Rates-Service Fees'!HG$23,Detail!$H:$H,'Rates-Service Fees'!HG$17)*100</f>
        <v>0</v>
      </c>
      <c r="HH38">
        <f>SUMIFS(Detail!$AW:$AW,Detail!$G:$G,'Rates-Service Fees'!HH$23,Detail!$H:$H,'Rates-Service Fees'!HH$17)*100</f>
        <v>0</v>
      </c>
      <c r="HI38">
        <f>SUMIFS(Detail!$AW:$AW,Detail!$G:$G,'Rates-Service Fees'!HI$23,Detail!$H:$H,'Rates-Service Fees'!HI$17)*100</f>
        <v>0</v>
      </c>
      <c r="HJ38">
        <f>SUMIFS(Detail!$AW:$AW,Detail!$G:$G,'Rates-Service Fees'!HJ$23,Detail!$H:$H,'Rates-Service Fees'!HJ$17)*100</f>
        <v>0</v>
      </c>
      <c r="HK38">
        <f>SUMIFS(Detail!$AW:$AW,Detail!$G:$G,'Rates-Service Fees'!HK$23,Detail!$H:$H,'Rates-Service Fees'!HK$17)*100</f>
        <v>0</v>
      </c>
      <c r="HL38">
        <f>SUMIFS(Detail!$AW:$AW,Detail!$G:$G,'Rates-Service Fees'!HL$23,Detail!$H:$H,'Rates-Service Fees'!HL$17)*100</f>
        <v>0</v>
      </c>
      <c r="HM38">
        <f>SUMIFS(Detail!$AW:$AW,Detail!$G:$G,'Rates-Service Fees'!HM$23,Detail!$H:$H,'Rates-Service Fees'!HM$17)*100</f>
        <v>0</v>
      </c>
      <c r="HN38">
        <f>SUMIFS(Detail!$AW:$AW,Detail!$G:$G,'Rates-Service Fees'!HN$23,Detail!$H:$H,'Rates-Service Fees'!HN$17)*100</f>
        <v>0</v>
      </c>
      <c r="HO38">
        <f>SUMIFS(Detail!$AW:$AW,Detail!$G:$G,'Rates-Service Fees'!HO$23,Detail!$H:$H,'Rates-Service Fees'!HO$17)*100</f>
        <v>0</v>
      </c>
      <c r="HP38">
        <f>SUMIFS(Detail!$AW:$AW,Detail!$G:$G,'Rates-Service Fees'!HP$23,Detail!$H:$H,'Rates-Service Fees'!HP$17)*100</f>
        <v>0</v>
      </c>
      <c r="HQ38">
        <f>SUMIFS(Detail!$AW:$AW,Detail!$G:$G,'Rates-Service Fees'!HQ$23,Detail!$H:$H,'Rates-Service Fees'!HQ$17)*100</f>
        <v>0</v>
      </c>
      <c r="HR38">
        <f>SUMIFS(Detail!$AW:$AW,Detail!$G:$G,'Rates-Service Fees'!HR$23,Detail!$H:$H,'Rates-Service Fees'!HR$17)*100</f>
        <v>0</v>
      </c>
      <c r="HS38">
        <f>SUMIFS(Detail!$AW:$AW,Detail!$G:$G,'Rates-Service Fees'!HS$23,Detail!$H:$H,'Rates-Service Fees'!HS$17)*100</f>
        <v>0</v>
      </c>
      <c r="HT38">
        <f>SUMIFS(Detail!$AW:$AW,Detail!$G:$G,'Rates-Service Fees'!HT$23,Detail!$H:$H,'Rates-Service Fees'!HT$17)*100</f>
        <v>0</v>
      </c>
      <c r="HU38">
        <f>SUMIFS(Detail!$AW:$AW,Detail!$G:$G,'Rates-Service Fees'!HU$23,Detail!$H:$H,'Rates-Service Fees'!HU$17)*100</f>
        <v>0</v>
      </c>
      <c r="HV38">
        <f>SUMIFS(Detail!$AW:$AW,Detail!$G:$G,'Rates-Service Fees'!HV$23,Detail!$H:$H,'Rates-Service Fees'!HV$17)*100</f>
        <v>0</v>
      </c>
      <c r="HW38">
        <f>SUMIFS(Detail!$AW:$AW,Detail!$G:$G,'Rates-Service Fees'!HW$23,Detail!$H:$H,'Rates-Service Fees'!HW$17)*100</f>
        <v>0</v>
      </c>
      <c r="HX38">
        <f>SUMIFS(Detail!$AW:$AW,Detail!$G:$G,'Rates-Service Fees'!HX$23,Detail!$H:$H,'Rates-Service Fees'!HX$17)*100</f>
        <v>0</v>
      </c>
      <c r="HY38">
        <f>SUMIFS(Detail!$AW:$AW,Detail!$G:$G,'Rates-Service Fees'!HY$23,Detail!$H:$H,'Rates-Service Fees'!HY$17)*100</f>
        <v>0</v>
      </c>
      <c r="HZ38">
        <f>SUMIFS(Detail!$AW:$AW,Detail!$G:$G,'Rates-Service Fees'!HZ$23,Detail!$H:$H,'Rates-Service Fees'!HZ$17)*100</f>
        <v>0</v>
      </c>
      <c r="IA38">
        <f>SUMIFS(Detail!$AW:$AW,Detail!$G:$G,'Rates-Service Fees'!IA$23,Detail!$H:$H,'Rates-Service Fees'!IA$17)*100</f>
        <v>0</v>
      </c>
      <c r="IB38">
        <f>SUMIFS(Detail!$AW:$AW,Detail!$G:$G,'Rates-Service Fees'!IB$23,Detail!$H:$H,'Rates-Service Fees'!IB$17)*100</f>
        <v>0</v>
      </c>
      <c r="IC38">
        <f>SUMIFS(Detail!$AW:$AW,Detail!$G:$G,'Rates-Service Fees'!IC$23,Detail!$H:$H,'Rates-Service Fees'!IC$17)*100</f>
        <v>0</v>
      </c>
      <c r="ID38">
        <f>SUMIFS(Detail!$AW:$AW,Detail!$G:$G,'Rates-Service Fees'!ID$23,Detail!$H:$H,'Rates-Service Fees'!ID$17)*100</f>
        <v>0</v>
      </c>
      <c r="IE38">
        <f>SUMIFS(Detail!$AW:$AW,Detail!$G:$G,'Rates-Service Fees'!IE$23,Detail!$H:$H,'Rates-Service Fees'!IE$17)*100</f>
        <v>0</v>
      </c>
      <c r="IF38">
        <f>SUMIFS(Detail!$AW:$AW,Detail!$G:$G,'Rates-Service Fees'!IF$23,Detail!$H:$H,'Rates-Service Fees'!IF$17)*100</f>
        <v>0</v>
      </c>
      <c r="IG38">
        <f>SUMIFS(Detail!$AW:$AW,Detail!$G:$G,'Rates-Service Fees'!IG$23,Detail!$H:$H,'Rates-Service Fees'!IG$17)*100</f>
        <v>0</v>
      </c>
      <c r="IH38">
        <f>SUMIFS(Detail!$AW:$AW,Detail!$G:$G,'Rates-Service Fees'!IH$23,Detail!$H:$H,'Rates-Service Fees'!IH$17)*100</f>
        <v>0</v>
      </c>
      <c r="II38">
        <f>SUMIFS(Detail!$AW:$AW,Detail!$G:$G,'Rates-Service Fees'!II$23,Detail!$H:$H,'Rates-Service Fees'!II$17)*100</f>
        <v>0</v>
      </c>
      <c r="IJ38">
        <f>SUMIFS(Detail!$AW:$AW,Detail!$G:$G,'Rates-Service Fees'!IJ$23,Detail!$H:$H,'Rates-Service Fees'!IJ$17)*100</f>
        <v>0</v>
      </c>
      <c r="IK38">
        <f>SUMIFS(Detail!$AW:$AW,Detail!$G:$G,'Rates-Service Fees'!IK$23,Detail!$H:$H,'Rates-Service Fees'!IK$17)*100</f>
        <v>0</v>
      </c>
      <c r="IL38">
        <f>SUMIFS(Detail!$AW:$AW,Detail!$G:$G,'Rates-Service Fees'!IL$23,Detail!$H:$H,'Rates-Service Fees'!IL$17)*100</f>
        <v>0</v>
      </c>
      <c r="IM38">
        <f>SUMIFS(Detail!$AW:$AW,Detail!$G:$G,'Rates-Service Fees'!IM$23,Detail!$H:$H,'Rates-Service Fees'!IM$17)*100</f>
        <v>0</v>
      </c>
      <c r="IN38">
        <f>SUMIFS(Detail!$AW:$AW,Detail!$G:$G,'Rates-Service Fees'!IN$23,Detail!$H:$H,'Rates-Service Fees'!IN$17)*100</f>
        <v>0</v>
      </c>
      <c r="IO38">
        <f>SUMIFS(Detail!$AW:$AW,Detail!$G:$G,'Rates-Service Fees'!IO$23,Detail!$H:$H,'Rates-Service Fees'!IO$17)*100</f>
        <v>0</v>
      </c>
      <c r="IP38">
        <f>SUMIFS(Detail!$AW:$AW,Detail!$G:$G,'Rates-Service Fees'!IP$23,Detail!$H:$H,'Rates-Service Fees'!IP$17)*100</f>
        <v>0</v>
      </c>
      <c r="IQ38">
        <f>SUMIFS(Detail!$AW:$AW,Detail!$G:$G,'Rates-Service Fees'!IQ$23,Detail!$H:$H,'Rates-Service Fees'!IQ$17)*100</f>
        <v>0</v>
      </c>
      <c r="IR38">
        <f>SUMIFS(Detail!$AW:$AW,Detail!$G:$G,'Rates-Service Fees'!IR$23,Detail!$H:$H,'Rates-Service Fees'!IR$17)*100</f>
        <v>0</v>
      </c>
      <c r="IS38">
        <f>SUMIFS(Detail!$AW:$AW,Detail!$G:$G,'Rates-Service Fees'!IS$23,Detail!$H:$H,'Rates-Service Fees'!IS$17)*100</f>
        <v>0</v>
      </c>
      <c r="IT38">
        <f>SUMIFS(Detail!$AW:$AW,Detail!$G:$G,'Rates-Service Fees'!IT$23,Detail!$H:$H,'Rates-Service Fees'!IT$17)*100</f>
        <v>0</v>
      </c>
      <c r="IU38">
        <f>SUMIFS(Detail!$AW:$AW,Detail!$G:$G,'Rates-Service Fees'!IU$23,Detail!$H:$H,'Rates-Service Fees'!IU$17)*100</f>
        <v>0</v>
      </c>
      <c r="IV38">
        <f>SUMIFS(Detail!$AW:$AW,Detail!$G:$G,'Rates-Service Fees'!IV$23,Detail!$H:$H,'Rates-Service Fees'!IV$17)*100</f>
        <v>0</v>
      </c>
      <c r="IW38">
        <f>SUMIFS(Detail!$AW:$AW,Detail!$G:$G,'Rates-Service Fees'!IW$23,Detail!$H:$H,'Rates-Service Fees'!IW$17)*100</f>
        <v>0</v>
      </c>
      <c r="IX38">
        <f>SUMIFS(Detail!$AW:$AW,Detail!$G:$G,'Rates-Service Fees'!IX$23,Detail!$H:$H,'Rates-Service Fees'!IX$17)*100</f>
        <v>0</v>
      </c>
      <c r="IY38">
        <f>SUMIFS(Detail!$AW:$AW,Detail!$G:$G,'Rates-Service Fees'!IY$23,Detail!$H:$H,'Rates-Service Fees'!IY$17)*100</f>
        <v>0</v>
      </c>
      <c r="IZ38">
        <f>SUMIFS(Detail!$AW:$AW,Detail!$G:$G,'Rates-Service Fees'!IZ$23,Detail!$H:$H,'Rates-Service Fees'!IZ$17)*100</f>
        <v>0</v>
      </c>
      <c r="JA38">
        <f>SUMIFS(Detail!$AW:$AW,Detail!$G:$G,'Rates-Service Fees'!JA$23,Detail!$H:$H,'Rates-Service Fees'!JA$17)*100</f>
        <v>0</v>
      </c>
      <c r="JB38">
        <f>SUMIFS(Detail!$AW:$AW,Detail!$G:$G,'Rates-Service Fees'!JB$23,Detail!$H:$H,'Rates-Service Fees'!JB$17)*100</f>
        <v>0</v>
      </c>
      <c r="JC38">
        <f>SUMIFS(Detail!$AW:$AW,Detail!$G:$G,'Rates-Service Fees'!JC$23,Detail!$H:$H,'Rates-Service Fees'!JC$17)*100</f>
        <v>0</v>
      </c>
      <c r="JD38">
        <f>SUMIFS(Detail!$AW:$AW,Detail!$G:$G,'Rates-Service Fees'!JD$23,Detail!$H:$H,'Rates-Service Fees'!JD$17)*100</f>
        <v>0</v>
      </c>
      <c r="JE38">
        <f>SUMIFS(Detail!$AW:$AW,Detail!$G:$G,'Rates-Service Fees'!JE$23,Detail!$H:$H,'Rates-Service Fees'!JE$17)*100</f>
        <v>0</v>
      </c>
      <c r="JF38">
        <f>SUMIFS(Detail!$AW:$AW,Detail!$G:$G,'Rates-Service Fees'!JF$23,Detail!$H:$H,'Rates-Service Fees'!JF$17)*100</f>
        <v>0</v>
      </c>
      <c r="JG38">
        <f>SUMIFS(Detail!$AW:$AW,Detail!$G:$G,'Rates-Service Fees'!JG$23,Detail!$H:$H,'Rates-Service Fees'!JG$17)*100</f>
        <v>0</v>
      </c>
      <c r="JH38">
        <f>SUMIFS(Detail!$AW:$AW,Detail!$G:$G,'Rates-Service Fees'!JH$23,Detail!$H:$H,'Rates-Service Fees'!JH$17)*100</f>
        <v>0</v>
      </c>
      <c r="JI38">
        <f>SUMIFS(Detail!$AW:$AW,Detail!$G:$G,'Rates-Service Fees'!JI$23,Detail!$H:$H,'Rates-Service Fees'!JI$17)*100</f>
        <v>0</v>
      </c>
      <c r="JJ38">
        <f>SUMIFS(Detail!$AW:$AW,Detail!$G:$G,'Rates-Service Fees'!JJ$23,Detail!$H:$H,'Rates-Service Fees'!JJ$17)*100</f>
        <v>0</v>
      </c>
      <c r="JK38">
        <f>SUMIFS(Detail!$AW:$AW,Detail!$G:$G,'Rates-Service Fees'!JK$23,Detail!$H:$H,'Rates-Service Fees'!JK$17)*100</f>
        <v>0</v>
      </c>
      <c r="JL38">
        <f>SUMIFS(Detail!$AW:$AW,Detail!$G:$G,'Rates-Service Fees'!JL$23,Detail!$H:$H,'Rates-Service Fees'!JL$17)*100</f>
        <v>0</v>
      </c>
      <c r="JM38">
        <f>SUMIFS(Detail!$AW:$AW,Detail!$G:$G,'Rates-Service Fees'!JM$23,Detail!$H:$H,'Rates-Service Fees'!JM$17)*100</f>
        <v>0</v>
      </c>
      <c r="JN38">
        <f>SUMIFS(Detail!$AW:$AW,Detail!$G:$G,'Rates-Service Fees'!JN$23,Detail!$H:$H,'Rates-Service Fees'!JN$17)*100</f>
        <v>0</v>
      </c>
      <c r="JO38">
        <f>SUMIFS(Detail!$AW:$AW,Detail!$G:$G,'Rates-Service Fees'!JO$23,Detail!$H:$H,'Rates-Service Fees'!JO$17)*100</f>
        <v>0</v>
      </c>
      <c r="JP38">
        <f>SUMIFS(Detail!$AW:$AW,Detail!$G:$G,'Rates-Service Fees'!JP$23,Detail!$H:$H,'Rates-Service Fees'!JP$17)*100</f>
        <v>0</v>
      </c>
      <c r="JQ38">
        <f>SUMIFS(Detail!$AW:$AW,Detail!$G:$G,'Rates-Service Fees'!JQ$23,Detail!$H:$H,'Rates-Service Fees'!JQ$17)*100</f>
        <v>0</v>
      </c>
      <c r="JR38">
        <f>SUMIFS(Detail!$AW:$AW,Detail!$G:$G,'Rates-Service Fees'!JR$23,Detail!$H:$H,'Rates-Service Fees'!JR$17)*100</f>
        <v>0</v>
      </c>
      <c r="JS38">
        <f>SUMIFS(Detail!$AW:$AW,Detail!$G:$G,'Rates-Service Fees'!JS$23,Detail!$H:$H,'Rates-Service Fees'!JS$17)*100</f>
        <v>0</v>
      </c>
      <c r="JT38">
        <f>SUMIFS(Detail!$AW:$AW,Detail!$G:$G,'Rates-Service Fees'!JT$23,Detail!$H:$H,'Rates-Service Fees'!JT$17)*100</f>
        <v>0</v>
      </c>
      <c r="JU38">
        <f>SUMIFS(Detail!$AW:$AW,Detail!$G:$G,'Rates-Service Fees'!JU$23,Detail!$H:$H,'Rates-Service Fees'!JU$17)*100</f>
        <v>0</v>
      </c>
      <c r="JV38">
        <f>SUMIFS(Detail!$AW:$AW,Detail!$G:$G,'Rates-Service Fees'!JV$23,Detail!$H:$H,'Rates-Service Fees'!JV$17)*100</f>
        <v>0</v>
      </c>
      <c r="JW38">
        <f>SUMIFS(Detail!$AW:$AW,Detail!$G:$G,'Rates-Service Fees'!JW$23,Detail!$H:$H,'Rates-Service Fees'!JW$17)*100</f>
        <v>0</v>
      </c>
      <c r="JX38">
        <f>SUMIFS(Detail!$AW:$AW,Detail!$G:$G,'Rates-Service Fees'!JX$23,Detail!$H:$H,'Rates-Service Fees'!JX$17)*100</f>
        <v>0</v>
      </c>
      <c r="JY38">
        <f>SUMIFS(Detail!$AW:$AW,Detail!$G:$G,'Rates-Service Fees'!JY$23,Detail!$H:$H,'Rates-Service Fees'!JY$17)*100</f>
        <v>0</v>
      </c>
      <c r="JZ38">
        <f>SUMIFS(Detail!$AW:$AW,Detail!$G:$G,'Rates-Service Fees'!JZ$23,Detail!$H:$H,'Rates-Service Fees'!JZ$17)*100</f>
        <v>0</v>
      </c>
      <c r="KA38">
        <f>SUMIFS(Detail!$AW:$AW,Detail!$G:$G,'Rates-Service Fees'!KA$23,Detail!$H:$H,'Rates-Service Fees'!KA$17)*100</f>
        <v>0</v>
      </c>
      <c r="KB38">
        <f>SUMIFS(Detail!$AW:$AW,Detail!$G:$G,'Rates-Service Fees'!KB$23,Detail!$H:$H,'Rates-Service Fees'!KB$17)*100</f>
        <v>0</v>
      </c>
      <c r="KC38">
        <f>SUMIFS(Detail!$AW:$AW,Detail!$G:$G,'Rates-Service Fees'!KC$23,Detail!$H:$H,'Rates-Service Fees'!KC$17)*100</f>
        <v>0</v>
      </c>
      <c r="KD38">
        <f>SUMIFS(Detail!$AW:$AW,Detail!$G:$G,'Rates-Service Fees'!KD$23,Detail!$H:$H,'Rates-Service Fees'!KD$17)*100</f>
        <v>0</v>
      </c>
      <c r="KE38">
        <f>SUMIFS(Detail!$AW:$AW,Detail!$G:$G,'Rates-Service Fees'!KE$23,Detail!$H:$H,'Rates-Service Fees'!KE$17)*100</f>
        <v>0</v>
      </c>
      <c r="KF38">
        <f>SUMIFS(Detail!$AW:$AW,Detail!$G:$G,'Rates-Service Fees'!KF$23,Detail!$H:$H,'Rates-Service Fees'!KF$17)*100</f>
        <v>0</v>
      </c>
      <c r="KG38">
        <f>SUMIFS(Detail!$AW:$AW,Detail!$G:$G,'Rates-Service Fees'!KG$23,Detail!$H:$H,'Rates-Service Fees'!KG$17)*100</f>
        <v>0</v>
      </c>
      <c r="KH38">
        <f>SUMIFS(Detail!$AW:$AW,Detail!$G:$G,'Rates-Service Fees'!KH$23,Detail!$H:$H,'Rates-Service Fees'!KH$17)*100</f>
        <v>0</v>
      </c>
      <c r="KI38">
        <f>SUMIFS(Detail!$AW:$AW,Detail!$G:$G,'Rates-Service Fees'!KI$23,Detail!$H:$H,'Rates-Service Fees'!KI$17)*100</f>
        <v>0</v>
      </c>
      <c r="KJ38">
        <f>SUMIFS(Detail!$AW:$AW,Detail!$G:$G,'Rates-Service Fees'!KJ$23,Detail!$H:$H,'Rates-Service Fees'!KJ$17)*100</f>
        <v>0</v>
      </c>
      <c r="KK38">
        <f>SUMIFS(Detail!$AW:$AW,Detail!$G:$G,'Rates-Service Fees'!KK$23,Detail!$H:$H,'Rates-Service Fees'!KK$17)*100</f>
        <v>0</v>
      </c>
      <c r="KL38">
        <f>SUMIFS(Detail!$AW:$AW,Detail!$G:$G,'Rates-Service Fees'!KL$23,Detail!$H:$H,'Rates-Service Fees'!KL$17)*100</f>
        <v>0</v>
      </c>
      <c r="KM38">
        <f>SUMIFS(Detail!$AW:$AW,Detail!$G:$G,'Rates-Service Fees'!KM$23,Detail!$H:$H,'Rates-Service Fees'!KM$17)*100</f>
        <v>0</v>
      </c>
      <c r="KN38">
        <f>SUMIFS(Detail!$AW:$AW,Detail!$G:$G,'Rates-Service Fees'!KN$23,Detail!$H:$H,'Rates-Service Fees'!KN$17)*100</f>
        <v>0</v>
      </c>
      <c r="KO38">
        <f>SUMIFS(Detail!$AW:$AW,Detail!$G:$G,'Rates-Service Fees'!KO$23,Detail!$H:$H,'Rates-Service Fees'!KO$17)*100</f>
        <v>0</v>
      </c>
      <c r="KP38">
        <f>SUMIFS(Detail!$AW:$AW,Detail!$G:$G,'Rates-Service Fees'!KP$23,Detail!$H:$H,'Rates-Service Fees'!KP$17)*100</f>
        <v>0</v>
      </c>
      <c r="KQ38">
        <f>SUMIFS(Detail!$AW:$AW,Detail!$G:$G,'Rates-Service Fees'!KQ$23,Detail!$H:$H,'Rates-Service Fees'!KQ$17)*100</f>
        <v>0</v>
      </c>
      <c r="KR38">
        <f>SUMIFS(Detail!$AW:$AW,Detail!$G:$G,'Rates-Service Fees'!KR$23,Detail!$H:$H,'Rates-Service Fees'!KR$17)*100</f>
        <v>0</v>
      </c>
      <c r="KS38">
        <f>SUMIFS(Detail!$AW:$AW,Detail!$G:$G,'Rates-Service Fees'!KS$23,Detail!$H:$H,'Rates-Service Fees'!KS$17)*100</f>
        <v>0</v>
      </c>
      <c r="KT38">
        <f>SUMIFS(Detail!$AW:$AW,Detail!$G:$G,'Rates-Service Fees'!KT$23,Detail!$H:$H,'Rates-Service Fees'!KT$17)*100</f>
        <v>0</v>
      </c>
      <c r="KU38">
        <f>SUMIFS(Detail!$AW:$AW,Detail!$G:$G,'Rates-Service Fees'!KU$23,Detail!$H:$H,'Rates-Service Fees'!KU$17)*100</f>
        <v>0</v>
      </c>
      <c r="KV38">
        <f>SUMIFS(Detail!$AW:$AW,Detail!$G:$G,'Rates-Service Fees'!KV$23,Detail!$H:$H,'Rates-Service Fees'!KV$17)*100</f>
        <v>0</v>
      </c>
      <c r="KW38">
        <f>SUMIFS(Detail!$AW:$AW,Detail!$G:$G,'Rates-Service Fees'!KW$23,Detail!$H:$H,'Rates-Service Fees'!KW$17)*100</f>
        <v>0</v>
      </c>
      <c r="KX38">
        <f>SUMIFS(Detail!$AW:$AW,Detail!$G:$G,'Rates-Service Fees'!KX$23,Detail!$H:$H,'Rates-Service Fees'!KX$17)*100</f>
        <v>0</v>
      </c>
      <c r="KY38">
        <f>SUMIFS(Detail!$AW:$AW,Detail!$G:$G,'Rates-Service Fees'!KY$23,Detail!$H:$H,'Rates-Service Fees'!KY$17)*100</f>
        <v>0</v>
      </c>
      <c r="KZ38">
        <f>SUMIFS(Detail!$AW:$AW,Detail!$G:$G,'Rates-Service Fees'!KZ$23,Detail!$H:$H,'Rates-Service Fees'!KZ$17)*100</f>
        <v>0</v>
      </c>
      <c r="LA38">
        <f>SUMIFS(Detail!$AW:$AW,Detail!$G:$G,'Rates-Service Fees'!LA$23,Detail!$H:$H,'Rates-Service Fees'!LA$17)*100</f>
        <v>0</v>
      </c>
      <c r="LB38">
        <f>SUMIFS(Detail!$AW:$AW,Detail!$G:$G,'Rates-Service Fees'!LB$23,Detail!$H:$H,'Rates-Service Fees'!LB$17)*100</f>
        <v>0</v>
      </c>
      <c r="LC38">
        <f>SUMIFS(Detail!$AW:$AW,Detail!$G:$G,'Rates-Service Fees'!LC$23,Detail!$H:$H,'Rates-Service Fees'!LC$17)*100</f>
        <v>0</v>
      </c>
      <c r="LD38">
        <f>SUMIFS(Detail!$AW:$AW,Detail!$G:$G,'Rates-Service Fees'!LD$23,Detail!$H:$H,'Rates-Service Fees'!LD$17)*100</f>
        <v>0</v>
      </c>
      <c r="LE38">
        <f>SUMIFS(Detail!$AW:$AW,Detail!$G:$G,'Rates-Service Fees'!LE$23,Detail!$H:$H,'Rates-Service Fees'!LE$17)*100</f>
        <v>0</v>
      </c>
      <c r="LF38">
        <f>SUMIFS(Detail!$AW:$AW,Detail!$G:$G,'Rates-Service Fees'!LF$23,Detail!$H:$H,'Rates-Service Fees'!LF$17)*100</f>
        <v>0</v>
      </c>
      <c r="LG38">
        <f>SUMIFS(Detail!$AW:$AW,Detail!$G:$G,'Rates-Service Fees'!LG$23,Detail!$H:$H,'Rates-Service Fees'!LG$17)*100</f>
        <v>0</v>
      </c>
      <c r="LH38">
        <f>SUMIFS(Detail!$AW:$AW,Detail!$G:$G,'Rates-Service Fees'!LH$23,Detail!$H:$H,'Rates-Service Fees'!LH$17)*100</f>
        <v>0</v>
      </c>
      <c r="LI38">
        <f>SUMIFS(Detail!$AW:$AW,Detail!$G:$G,'Rates-Service Fees'!LI$23,Detail!$H:$H,'Rates-Service Fees'!LI$17)*100</f>
        <v>0</v>
      </c>
      <c r="LJ38">
        <f>SUMIFS(Detail!$AW:$AW,Detail!$G:$G,'Rates-Service Fees'!LJ$23,Detail!$H:$H,'Rates-Service Fees'!LJ$17)*100</f>
        <v>0</v>
      </c>
      <c r="LK38">
        <f>SUMIFS(Detail!$AW:$AW,Detail!$G:$G,'Rates-Service Fees'!LK$23,Detail!$H:$H,'Rates-Service Fees'!LK$17)*100</f>
        <v>0</v>
      </c>
      <c r="LL38">
        <f>SUMIFS(Detail!$AW:$AW,Detail!$G:$G,'Rates-Service Fees'!LL$23,Detail!$H:$H,'Rates-Service Fees'!LL$17)*100</f>
        <v>0</v>
      </c>
      <c r="LM38">
        <f>SUMIFS(Detail!$AW:$AW,Detail!$G:$G,'Rates-Service Fees'!LM$23,Detail!$H:$H,'Rates-Service Fees'!LM$17)*100</f>
        <v>0</v>
      </c>
      <c r="LN38">
        <f>SUMIFS(Detail!$AW:$AW,Detail!$G:$G,'Rates-Service Fees'!LN$23,Detail!$H:$H,'Rates-Service Fees'!LN$17)*100</f>
        <v>0</v>
      </c>
      <c r="LO38">
        <f>SUMIFS(Detail!$AW:$AW,Detail!$G:$G,'Rates-Service Fees'!LO$23,Detail!$H:$H,'Rates-Service Fees'!LO$17)*100</f>
        <v>0</v>
      </c>
      <c r="LP38">
        <f>SUMIFS(Detail!$AW:$AW,Detail!$G:$G,'Rates-Service Fees'!LP$23,Detail!$H:$H,'Rates-Service Fees'!LP$17)*100</f>
        <v>0</v>
      </c>
      <c r="LQ38">
        <f>SUMIFS(Detail!$AW:$AW,Detail!$G:$G,'Rates-Service Fees'!LQ$23,Detail!$H:$H,'Rates-Service Fees'!LQ$17)*100</f>
        <v>0</v>
      </c>
      <c r="LR38">
        <f>SUMIFS(Detail!$AW:$AW,Detail!$G:$G,'Rates-Service Fees'!LR$23,Detail!$H:$H,'Rates-Service Fees'!LR$17)*100</f>
        <v>0</v>
      </c>
      <c r="LS38">
        <f>SUMIFS(Detail!$AW:$AW,Detail!$G:$G,'Rates-Service Fees'!LS$23,Detail!$H:$H,'Rates-Service Fees'!LS$17)*100</f>
        <v>0</v>
      </c>
      <c r="LT38">
        <f>SUMIFS(Detail!$AW:$AW,Detail!$G:$G,'Rates-Service Fees'!LT$23,Detail!$H:$H,'Rates-Service Fees'!LT$17)*100</f>
        <v>0</v>
      </c>
      <c r="LU38">
        <f>SUMIFS(Detail!$AW:$AW,Detail!$G:$G,'Rates-Service Fees'!LU$23,Detail!$H:$H,'Rates-Service Fees'!LU$17)*100</f>
        <v>0</v>
      </c>
      <c r="LV38">
        <f>SUMIFS(Detail!$AW:$AW,Detail!$G:$G,'Rates-Service Fees'!LV$23,Detail!$H:$H,'Rates-Service Fees'!LV$17)*100</f>
        <v>0</v>
      </c>
      <c r="LW38">
        <f>SUMIFS(Detail!$AW:$AW,Detail!$G:$G,'Rates-Service Fees'!LW$23,Detail!$H:$H,'Rates-Service Fees'!LW$17)*100</f>
        <v>0</v>
      </c>
      <c r="LX38">
        <f>SUMIFS(Detail!$AW:$AW,Detail!$G:$G,'Rates-Service Fees'!LX$23,Detail!$H:$H,'Rates-Service Fees'!LX$17)*100</f>
        <v>0</v>
      </c>
      <c r="LY38">
        <f>SUMIFS(Detail!$AW:$AW,Detail!$G:$G,'Rates-Service Fees'!LY$23,Detail!$H:$H,'Rates-Service Fees'!LY$17)*100</f>
        <v>0</v>
      </c>
      <c r="LZ38">
        <f>SUMIFS(Detail!$AW:$AW,Detail!$G:$G,'Rates-Service Fees'!LZ$23,Detail!$H:$H,'Rates-Service Fees'!LZ$17)*100</f>
        <v>0</v>
      </c>
      <c r="MA38">
        <f>SUMIFS(Detail!$AW:$AW,Detail!$G:$G,'Rates-Service Fees'!MA$23,Detail!$H:$H,'Rates-Service Fees'!MA$17)*100</f>
        <v>0</v>
      </c>
      <c r="MB38">
        <f>SUMIFS(Detail!$AW:$AW,Detail!$G:$G,'Rates-Service Fees'!MB$23,Detail!$H:$H,'Rates-Service Fees'!MB$17)*100</f>
        <v>0</v>
      </c>
      <c r="MC38">
        <f>SUMIFS(Detail!$AW:$AW,Detail!$G:$G,'Rates-Service Fees'!MC$23,Detail!$H:$H,'Rates-Service Fees'!MC$17)*100</f>
        <v>0</v>
      </c>
      <c r="MD38">
        <f>SUMIFS(Detail!$AW:$AW,Detail!$G:$G,'Rates-Service Fees'!MD$23,Detail!$H:$H,'Rates-Service Fees'!MD$17)*100</f>
        <v>0</v>
      </c>
      <c r="ME38">
        <f>SUMIFS(Detail!$AW:$AW,Detail!$G:$G,'Rates-Service Fees'!ME$23,Detail!$H:$H,'Rates-Service Fees'!ME$17)*100</f>
        <v>0</v>
      </c>
      <c r="MF38">
        <f>SUMIFS(Detail!$AW:$AW,Detail!$G:$G,'Rates-Service Fees'!MF$23,Detail!$H:$H,'Rates-Service Fees'!MF$17)*100</f>
        <v>0</v>
      </c>
      <c r="MG38">
        <f>SUMIFS(Detail!$AW:$AW,Detail!$G:$G,'Rates-Service Fees'!MG$23,Detail!$H:$H,'Rates-Service Fees'!MG$17)*100</f>
        <v>0</v>
      </c>
      <c r="MH38">
        <f>SUMIFS(Detail!$AW:$AW,Detail!$G:$G,'Rates-Service Fees'!MH$23,Detail!$H:$H,'Rates-Service Fees'!MH$17)*100</f>
        <v>0</v>
      </c>
      <c r="MI38">
        <f>SUMIFS(Detail!$AW:$AW,Detail!$G:$G,'Rates-Service Fees'!MI$23,Detail!$H:$H,'Rates-Service Fees'!MI$17)*100</f>
        <v>0</v>
      </c>
      <c r="MJ38">
        <f>SUMIFS(Detail!$AW:$AW,Detail!$G:$G,'Rates-Service Fees'!MJ$23,Detail!$H:$H,'Rates-Service Fees'!MJ$17)*100</f>
        <v>0</v>
      </c>
      <c r="MK38">
        <f>SUMIFS(Detail!$AW:$AW,Detail!$G:$G,'Rates-Service Fees'!MK$23,Detail!$H:$H,'Rates-Service Fees'!MK$17)*100</f>
        <v>0</v>
      </c>
      <c r="ML38">
        <f>SUMIFS(Detail!$AW:$AW,Detail!$G:$G,'Rates-Service Fees'!ML$23,Detail!$H:$H,'Rates-Service Fees'!ML$17)*100</f>
        <v>0</v>
      </c>
      <c r="MM38">
        <f>SUMIFS(Detail!$AW:$AW,Detail!$G:$G,'Rates-Service Fees'!MM$23,Detail!$H:$H,'Rates-Service Fees'!MM$17)*100</f>
        <v>0</v>
      </c>
      <c r="MN38">
        <f>SUMIFS(Detail!$AW:$AW,Detail!$G:$G,'Rates-Service Fees'!MN$23,Detail!$H:$H,'Rates-Service Fees'!MN$17)*100</f>
        <v>0</v>
      </c>
      <c r="MO38">
        <f>SUMIFS(Detail!$AW:$AW,Detail!$G:$G,'Rates-Service Fees'!MO$23,Detail!$H:$H,'Rates-Service Fees'!MO$17)*100</f>
        <v>0</v>
      </c>
      <c r="MP38">
        <f>SUMIFS(Detail!$AW:$AW,Detail!$G:$G,'Rates-Service Fees'!MP$23,Detail!$H:$H,'Rates-Service Fees'!MP$17)*100</f>
        <v>0</v>
      </c>
      <c r="MQ38">
        <f>SUMIFS(Detail!$AW:$AW,Detail!$G:$G,'Rates-Service Fees'!MQ$23,Detail!$H:$H,'Rates-Service Fees'!MQ$17)*100</f>
        <v>0</v>
      </c>
      <c r="MR38">
        <f>SUMIFS(Detail!$AW:$AW,Detail!$G:$G,'Rates-Service Fees'!MR$23,Detail!$H:$H,'Rates-Service Fees'!MR$17)*100</f>
        <v>0</v>
      </c>
      <c r="MS38">
        <f>SUMIFS(Detail!$AW:$AW,Detail!$G:$G,'Rates-Service Fees'!MS$23,Detail!$H:$H,'Rates-Service Fees'!MS$17)*100</f>
        <v>0</v>
      </c>
      <c r="MT38">
        <f>SUMIFS(Detail!$AW:$AW,Detail!$G:$G,'Rates-Service Fees'!MT$23,Detail!$H:$H,'Rates-Service Fees'!MT$17)*100</f>
        <v>0</v>
      </c>
      <c r="MU38">
        <f>SUMIFS(Detail!$AW:$AW,Detail!$G:$G,'Rates-Service Fees'!MU$23,Detail!$H:$H,'Rates-Service Fees'!MU$17)*100</f>
        <v>0</v>
      </c>
      <c r="MV38">
        <f>SUMIFS(Detail!$AW:$AW,Detail!$G:$G,'Rates-Service Fees'!MV$23,Detail!$H:$H,'Rates-Service Fees'!MV$17)*100</f>
        <v>0</v>
      </c>
      <c r="MW38">
        <f>SUMIFS(Detail!$AW:$AW,Detail!$G:$G,'Rates-Service Fees'!MW$23,Detail!$H:$H,'Rates-Service Fees'!MW$17)*100</f>
        <v>0</v>
      </c>
      <c r="MX38">
        <f>SUMIFS(Detail!$AW:$AW,Detail!$G:$G,'Rates-Service Fees'!MX$23,Detail!$H:$H,'Rates-Service Fees'!MX$17)*100</f>
        <v>0</v>
      </c>
      <c r="MY38">
        <f>SUMIFS(Detail!$AW:$AW,Detail!$G:$G,'Rates-Service Fees'!MY$23,Detail!$H:$H,'Rates-Service Fees'!MY$17)*100</f>
        <v>0</v>
      </c>
      <c r="MZ38">
        <f>SUMIFS(Detail!$AW:$AW,Detail!$G:$G,'Rates-Service Fees'!MZ$23,Detail!$H:$H,'Rates-Service Fees'!MZ$17)*100</f>
        <v>0</v>
      </c>
      <c r="NA38">
        <f>SUMIFS(Detail!$AW:$AW,Detail!$G:$G,'Rates-Service Fees'!NA$23,Detail!$H:$H,'Rates-Service Fees'!NA$17)*100</f>
        <v>0</v>
      </c>
      <c r="NB38">
        <f>SUMIFS(Detail!$AW:$AW,Detail!$G:$G,'Rates-Service Fees'!NB$23,Detail!$H:$H,'Rates-Service Fees'!NB$17)*100</f>
        <v>0</v>
      </c>
      <c r="NC38">
        <f>SUMIFS(Detail!$AW:$AW,Detail!$G:$G,'Rates-Service Fees'!NC$23,Detail!$H:$H,'Rates-Service Fees'!NC$17)*100</f>
        <v>0</v>
      </c>
      <c r="ND38">
        <f>SUMIFS(Detail!$AW:$AW,Detail!$G:$G,'Rates-Service Fees'!ND$23,Detail!$H:$H,'Rates-Service Fees'!ND$17)*100</f>
        <v>0</v>
      </c>
      <c r="NE38">
        <f>SUMIFS(Detail!$AW:$AW,Detail!$G:$G,'Rates-Service Fees'!NE$23,Detail!$H:$H,'Rates-Service Fees'!NE$17)*100</f>
        <v>0</v>
      </c>
      <c r="NF38">
        <f>SUMIFS(Detail!$AW:$AW,Detail!$G:$G,'Rates-Service Fees'!NF$23,Detail!$H:$H,'Rates-Service Fees'!NF$17)*100</f>
        <v>0</v>
      </c>
      <c r="NG38">
        <f>SUMIFS(Detail!$AW:$AW,Detail!$G:$G,'Rates-Service Fees'!NG$23,Detail!$H:$H,'Rates-Service Fees'!NG$17)*100</f>
        <v>0</v>
      </c>
      <c r="NH38">
        <f>SUMIFS(Detail!$AW:$AW,Detail!$G:$G,'Rates-Service Fees'!NH$23,Detail!$H:$H,'Rates-Service Fees'!NH$17)*100</f>
        <v>0</v>
      </c>
      <c r="NI38">
        <f>SUMIFS(Detail!$AW:$AW,Detail!$G:$G,'Rates-Service Fees'!NI$23,Detail!$H:$H,'Rates-Service Fees'!NI$17)*100</f>
        <v>0</v>
      </c>
      <c r="NJ38">
        <f>SUMIFS(Detail!$AW:$AW,Detail!$G:$G,'Rates-Service Fees'!NJ$23,Detail!$H:$H,'Rates-Service Fees'!NJ$17)*100</f>
        <v>0</v>
      </c>
      <c r="NK38">
        <f>SUMIFS(Detail!$AW:$AW,Detail!$G:$G,'Rates-Service Fees'!NK$23,Detail!$H:$H,'Rates-Service Fees'!NK$17)*100</f>
        <v>0</v>
      </c>
      <c r="NL38">
        <f>SUMIFS(Detail!$AW:$AW,Detail!$G:$G,'Rates-Service Fees'!NL$23,Detail!$H:$H,'Rates-Service Fees'!NL$17)*100</f>
        <v>0</v>
      </c>
      <c r="NM38">
        <f>SUMIFS(Detail!$AW:$AW,Detail!$G:$G,'Rates-Service Fees'!NM$23,Detail!$H:$H,'Rates-Service Fees'!NM$17)*100</f>
        <v>0</v>
      </c>
      <c r="NN38">
        <f>SUMIFS(Detail!$AW:$AW,Detail!$G:$G,'Rates-Service Fees'!NN$23,Detail!$H:$H,'Rates-Service Fees'!NN$17)*100</f>
        <v>0</v>
      </c>
      <c r="NO38">
        <f>SUMIFS(Detail!$AW:$AW,Detail!$G:$G,'Rates-Service Fees'!NO$23,Detail!$H:$H,'Rates-Service Fees'!NO$17)*100</f>
        <v>0</v>
      </c>
      <c r="NP38">
        <f>SUMIFS(Detail!$AW:$AW,Detail!$G:$G,'Rates-Service Fees'!NP$23,Detail!$H:$H,'Rates-Service Fees'!NP$17)*100</f>
        <v>0</v>
      </c>
      <c r="NQ38">
        <f>SUMIFS(Detail!$AW:$AW,Detail!$G:$G,'Rates-Service Fees'!NQ$23,Detail!$H:$H,'Rates-Service Fees'!NQ$17)*100</f>
        <v>0</v>
      </c>
      <c r="NR38">
        <f>SUMIFS(Detail!$AW:$AW,Detail!$G:$G,'Rates-Service Fees'!NR$23,Detail!$H:$H,'Rates-Service Fees'!NR$17)*100</f>
        <v>0</v>
      </c>
      <c r="NS38">
        <f>SUMIFS(Detail!$AW:$AW,Detail!$G:$G,'Rates-Service Fees'!NS$23,Detail!$H:$H,'Rates-Service Fees'!NS$17)*100</f>
        <v>0</v>
      </c>
      <c r="NT38">
        <f>SUMIFS(Detail!$AW:$AW,Detail!$G:$G,'Rates-Service Fees'!NT$23,Detail!$H:$H,'Rates-Service Fees'!NT$17)*100</f>
        <v>0</v>
      </c>
      <c r="NU38">
        <f>SUMIFS(Detail!$AW:$AW,Detail!$G:$G,'Rates-Service Fees'!NU$23,Detail!$H:$H,'Rates-Service Fees'!NU$17)*100</f>
        <v>0</v>
      </c>
      <c r="NV38">
        <f>SUMIFS(Detail!$AW:$AW,Detail!$G:$G,'Rates-Service Fees'!NV$23,Detail!$H:$H,'Rates-Service Fees'!NV$17)*100</f>
        <v>0</v>
      </c>
      <c r="NW38">
        <f>SUMIFS(Detail!$AW:$AW,Detail!$G:$G,'Rates-Service Fees'!NW$23,Detail!$H:$H,'Rates-Service Fees'!NW$17)*100</f>
        <v>0</v>
      </c>
      <c r="NX38">
        <f>SUMIFS(Detail!$AW:$AW,Detail!$G:$G,'Rates-Service Fees'!NX$23,Detail!$H:$H,'Rates-Service Fees'!NX$17)*100</f>
        <v>0</v>
      </c>
      <c r="NY38">
        <f>SUMIFS(Detail!$AW:$AW,Detail!$G:$G,'Rates-Service Fees'!NY$23,Detail!$H:$H,'Rates-Service Fees'!NY$17)*100</f>
        <v>0</v>
      </c>
      <c r="NZ38">
        <f>SUMIFS(Detail!$AW:$AW,Detail!$G:$G,'Rates-Service Fees'!NZ$23,Detail!$H:$H,'Rates-Service Fees'!NZ$17)*100</f>
        <v>0</v>
      </c>
      <c r="OA38">
        <f>SUMIFS(Detail!$AW:$AW,Detail!$G:$G,'Rates-Service Fees'!OA$23,Detail!$H:$H,'Rates-Service Fees'!OA$17)*100</f>
        <v>0</v>
      </c>
      <c r="OB38">
        <f>SUMIFS(Detail!$AW:$AW,Detail!$G:$G,'Rates-Service Fees'!OB$23,Detail!$H:$H,'Rates-Service Fees'!OB$17)*100</f>
        <v>0</v>
      </c>
      <c r="OC38">
        <f>SUMIFS(Detail!$AW:$AW,Detail!$G:$G,'Rates-Service Fees'!OC$23,Detail!$H:$H,'Rates-Service Fees'!OC$17)*100</f>
        <v>0</v>
      </c>
      <c r="OD38">
        <f>SUMIFS(Detail!$AW:$AW,Detail!$G:$G,'Rates-Service Fees'!OD$23,Detail!$H:$H,'Rates-Service Fees'!OD$17)*100</f>
        <v>0</v>
      </c>
      <c r="OE38">
        <f>SUMIFS(Detail!$AW:$AW,Detail!$G:$G,'Rates-Service Fees'!OE$23,Detail!$H:$H,'Rates-Service Fees'!OE$17)*100</f>
        <v>0</v>
      </c>
      <c r="OF38">
        <f>SUMIFS(Detail!$AW:$AW,Detail!$G:$G,'Rates-Service Fees'!OF$23,Detail!$H:$H,'Rates-Service Fees'!OF$17)*100</f>
        <v>0</v>
      </c>
      <c r="OG38">
        <f>SUMIFS(Detail!$AW:$AW,Detail!$G:$G,'Rates-Service Fees'!OG$23,Detail!$H:$H,'Rates-Service Fees'!OG$17)*100</f>
        <v>0</v>
      </c>
      <c r="OH38">
        <f>SUMIFS(Detail!$AW:$AW,Detail!$G:$G,'Rates-Service Fees'!OH$23,Detail!$H:$H,'Rates-Service Fees'!OH$17)*100</f>
        <v>0</v>
      </c>
      <c r="OI38">
        <f>SUMIFS(Detail!$AW:$AW,Detail!$G:$G,'Rates-Service Fees'!OI$23,Detail!$H:$H,'Rates-Service Fees'!OI$17)*100</f>
        <v>0</v>
      </c>
      <c r="OJ38">
        <f>SUMIFS(Detail!$AW:$AW,Detail!$G:$G,'Rates-Service Fees'!OJ$23,Detail!$H:$H,'Rates-Service Fees'!OJ$17)*100</f>
        <v>0</v>
      </c>
      <c r="OK38">
        <f>SUMIFS(Detail!$AW:$AW,Detail!$G:$G,'Rates-Service Fees'!OK$23,Detail!$H:$H,'Rates-Service Fees'!OK$17)*100</f>
        <v>0</v>
      </c>
      <c r="OL38">
        <f>SUMIFS(Detail!$AW:$AW,Detail!$G:$G,'Rates-Service Fees'!OL$23,Detail!$H:$H,'Rates-Service Fees'!OL$17)*100</f>
        <v>0</v>
      </c>
      <c r="OM38">
        <f>SUMIFS(Detail!$AW:$AW,Detail!$G:$G,'Rates-Service Fees'!OM$23,Detail!$H:$H,'Rates-Service Fees'!OM$17)*100</f>
        <v>0</v>
      </c>
      <c r="ON38">
        <f>SUMIFS(Detail!$AW:$AW,Detail!$G:$G,'Rates-Service Fees'!ON$23,Detail!$H:$H,'Rates-Service Fees'!ON$17)*100</f>
        <v>0</v>
      </c>
      <c r="OO38">
        <f>SUMIFS(Detail!$AW:$AW,Detail!$G:$G,'Rates-Service Fees'!OO$23,Detail!$H:$H,'Rates-Service Fees'!OO$17)*100</f>
        <v>0</v>
      </c>
      <c r="OP38">
        <f>SUMIFS(Detail!$AW:$AW,Detail!$G:$G,'Rates-Service Fees'!OP$23,Detail!$H:$H,'Rates-Service Fees'!OP$17)*100</f>
        <v>0</v>
      </c>
      <c r="OQ38">
        <f>SUMIFS(Detail!$AW:$AW,Detail!$G:$G,'Rates-Service Fees'!OQ$23,Detail!$H:$H,'Rates-Service Fees'!OQ$17)*100</f>
        <v>0</v>
      </c>
      <c r="OR38">
        <f>SUMIFS(Detail!$AW:$AW,Detail!$G:$G,'Rates-Service Fees'!OR$23,Detail!$H:$H,'Rates-Service Fees'!OR$17)*100</f>
        <v>0</v>
      </c>
      <c r="OS38">
        <f>SUMIFS(Detail!$AW:$AW,Detail!$G:$G,'Rates-Service Fees'!OS$23,Detail!$H:$H,'Rates-Service Fees'!OS$17)*100</f>
        <v>0</v>
      </c>
      <c r="OT38">
        <f>SUMIFS(Detail!$AW:$AW,Detail!$G:$G,'Rates-Service Fees'!OT$23,Detail!$H:$H,'Rates-Service Fees'!OT$17)*100</f>
        <v>0</v>
      </c>
      <c r="OU38">
        <f>SUMIFS(Detail!$AW:$AW,Detail!$G:$G,'Rates-Service Fees'!OU$23,Detail!$H:$H,'Rates-Service Fees'!OU$17)*100</f>
        <v>0</v>
      </c>
      <c r="OV38">
        <f>SUMIFS(Detail!$AW:$AW,Detail!$G:$G,'Rates-Service Fees'!OV$23,Detail!$H:$H,'Rates-Service Fees'!OV$17)*100</f>
        <v>0</v>
      </c>
      <c r="OW38">
        <f>SUMIFS(Detail!$AW:$AW,Detail!$G:$G,'Rates-Service Fees'!OW$23,Detail!$H:$H,'Rates-Service Fees'!OW$17)*100</f>
        <v>0</v>
      </c>
      <c r="OX38">
        <f>SUMIFS(Detail!$AW:$AW,Detail!$G:$G,'Rates-Service Fees'!OX$23,Detail!$H:$H,'Rates-Service Fees'!OX$17)*100</f>
        <v>0</v>
      </c>
      <c r="OY38">
        <f>SUMIFS(Detail!$AW:$AW,Detail!$G:$G,'Rates-Service Fees'!OY$23,Detail!$H:$H,'Rates-Service Fees'!OY$17)*100</f>
        <v>0</v>
      </c>
      <c r="OZ38">
        <f>SUMIFS(Detail!$AW:$AW,Detail!$G:$G,'Rates-Service Fees'!OZ$23,Detail!$H:$H,'Rates-Service Fees'!OZ$17)*100</f>
        <v>0</v>
      </c>
      <c r="PA38">
        <f>SUMIFS(Detail!$AW:$AW,Detail!$G:$G,'Rates-Service Fees'!PA$23,Detail!$H:$H,'Rates-Service Fees'!PA$17)*100</f>
        <v>0</v>
      </c>
      <c r="PB38">
        <f>SUMIFS(Detail!$AW:$AW,Detail!$G:$G,'Rates-Service Fees'!PB$23,Detail!$H:$H,'Rates-Service Fees'!PB$17)*100</f>
        <v>0</v>
      </c>
      <c r="PC38">
        <f>SUMIFS(Detail!$AW:$AW,Detail!$G:$G,'Rates-Service Fees'!PC$23,Detail!$H:$H,'Rates-Service Fees'!PC$17)*100</f>
        <v>0</v>
      </c>
      <c r="PD38">
        <f>SUMIFS(Detail!$AW:$AW,Detail!$G:$G,'Rates-Service Fees'!PD$23,Detail!$H:$H,'Rates-Service Fees'!PD$17)*100</f>
        <v>0</v>
      </c>
      <c r="PE38">
        <f>SUMIFS(Detail!$AW:$AW,Detail!$G:$G,'Rates-Service Fees'!PE$23,Detail!$H:$H,'Rates-Service Fees'!PE$17)*100</f>
        <v>0</v>
      </c>
      <c r="PF38">
        <f>SUMIFS(Detail!$AW:$AW,Detail!$G:$G,'Rates-Service Fees'!PF$23,Detail!$H:$H,'Rates-Service Fees'!PF$17)*100</f>
        <v>0</v>
      </c>
      <c r="PG38">
        <f>SUMIFS(Detail!$AW:$AW,Detail!$G:$G,'Rates-Service Fees'!PG$23,Detail!$H:$H,'Rates-Service Fees'!PG$17)*100</f>
        <v>0</v>
      </c>
      <c r="PH38">
        <f>SUMIFS(Detail!$AW:$AW,Detail!$G:$G,'Rates-Service Fees'!PH$23,Detail!$H:$H,'Rates-Service Fees'!PH$17)*100</f>
        <v>0</v>
      </c>
      <c r="PI38">
        <f>SUMIFS(Detail!$AW:$AW,Detail!$G:$G,'Rates-Service Fees'!PI$23,Detail!$H:$H,'Rates-Service Fees'!PI$17)*100</f>
        <v>0</v>
      </c>
      <c r="PJ38">
        <f>SUMIFS(Detail!$AW:$AW,Detail!$G:$G,'Rates-Service Fees'!PJ$23,Detail!$H:$H,'Rates-Service Fees'!PJ$17)*100</f>
        <v>0</v>
      </c>
      <c r="PK38">
        <f>SUMIFS(Detail!$AW:$AW,Detail!$G:$G,'Rates-Service Fees'!PK$23,Detail!$H:$H,'Rates-Service Fees'!PK$17)*100</f>
        <v>0</v>
      </c>
      <c r="PL38">
        <f>SUMIFS(Detail!$AW:$AW,Detail!$G:$G,'Rates-Service Fees'!PL$23,Detail!$H:$H,'Rates-Service Fees'!PL$17)*100</f>
        <v>0</v>
      </c>
      <c r="PM38">
        <f>SUMIFS(Detail!$AW:$AW,Detail!$G:$G,'Rates-Service Fees'!PM$23,Detail!$H:$H,'Rates-Service Fees'!PM$17)*100</f>
        <v>0</v>
      </c>
      <c r="PN38">
        <f>SUMIFS(Detail!$AW:$AW,Detail!$G:$G,'Rates-Service Fees'!PN$23,Detail!$H:$H,'Rates-Service Fees'!PN$17)*100</f>
        <v>0</v>
      </c>
      <c r="PO38">
        <f>SUMIFS(Detail!$AW:$AW,Detail!$G:$G,'Rates-Service Fees'!PO$23,Detail!$H:$H,'Rates-Service Fees'!PO$17)*100</f>
        <v>0</v>
      </c>
      <c r="PP38">
        <f>SUMIFS(Detail!$AW:$AW,Detail!$G:$G,'Rates-Service Fees'!PP$23,Detail!$H:$H,'Rates-Service Fees'!PP$17)*100</f>
        <v>0</v>
      </c>
      <c r="PQ38">
        <f>SUMIFS(Detail!$AW:$AW,Detail!$G:$G,'Rates-Service Fees'!PQ$23,Detail!$H:$H,'Rates-Service Fees'!PQ$17)*100</f>
        <v>0</v>
      </c>
      <c r="PR38">
        <f>SUMIFS(Detail!$AW:$AW,Detail!$G:$G,'Rates-Service Fees'!PR$23,Detail!$H:$H,'Rates-Service Fees'!PR$17)*100</f>
        <v>0</v>
      </c>
      <c r="PS38">
        <f>SUMIFS(Detail!$AW:$AW,Detail!$G:$G,'Rates-Service Fees'!PS$23,Detail!$H:$H,'Rates-Service Fees'!PS$17)*100</f>
        <v>0</v>
      </c>
      <c r="PT38">
        <f>SUMIFS(Detail!$AW:$AW,Detail!$G:$G,'Rates-Service Fees'!PT$23,Detail!$H:$H,'Rates-Service Fees'!PT$17)*100</f>
        <v>0</v>
      </c>
      <c r="PU38">
        <f>SUMIFS(Detail!$AW:$AW,Detail!$G:$G,'Rates-Service Fees'!PU$23,Detail!$H:$H,'Rates-Service Fees'!PU$17)*100</f>
        <v>0</v>
      </c>
      <c r="PV38">
        <f>SUMIFS(Detail!$AW:$AW,Detail!$G:$G,'Rates-Service Fees'!PV$23,Detail!$H:$H,'Rates-Service Fees'!PV$17)*100</f>
        <v>0</v>
      </c>
      <c r="PW38">
        <f>SUMIFS(Detail!$AW:$AW,Detail!$G:$G,'Rates-Service Fees'!PW$23,Detail!$H:$H,'Rates-Service Fees'!PW$17)*100</f>
        <v>0</v>
      </c>
      <c r="PX38">
        <f>SUMIFS(Detail!$AW:$AW,Detail!$G:$G,'Rates-Service Fees'!PX$23,Detail!$H:$H,'Rates-Service Fees'!PX$17)*100</f>
        <v>0</v>
      </c>
      <c r="PY38">
        <f>SUMIFS(Detail!$AW:$AW,Detail!$G:$G,'Rates-Service Fees'!PY$23,Detail!$H:$H,'Rates-Service Fees'!PY$17)*100</f>
        <v>0</v>
      </c>
      <c r="PZ38">
        <f>SUMIFS(Detail!$AW:$AW,Detail!$G:$G,'Rates-Service Fees'!PZ$23,Detail!$H:$H,'Rates-Service Fees'!PZ$17)*100</f>
        <v>0</v>
      </c>
      <c r="QA38">
        <f>SUMIFS(Detail!$AW:$AW,Detail!$G:$G,'Rates-Service Fees'!QA$23,Detail!$H:$H,'Rates-Service Fees'!QA$17)*100</f>
        <v>0</v>
      </c>
      <c r="QB38">
        <f>SUMIFS(Detail!$AW:$AW,Detail!$G:$G,'Rates-Service Fees'!QB$23,Detail!$H:$H,'Rates-Service Fees'!QB$17)*100</f>
        <v>0</v>
      </c>
      <c r="QC38">
        <f>SUMIFS(Detail!$AW:$AW,Detail!$G:$G,'Rates-Service Fees'!QC$23,Detail!$H:$H,'Rates-Service Fees'!QC$17)*100</f>
        <v>0</v>
      </c>
      <c r="QD38">
        <f>SUMIFS(Detail!$AW:$AW,Detail!$G:$G,'Rates-Service Fees'!QD$23,Detail!$H:$H,'Rates-Service Fees'!QD$17)*100</f>
        <v>0</v>
      </c>
      <c r="QE38">
        <f>SUMIFS(Detail!$AW:$AW,Detail!$G:$G,'Rates-Service Fees'!QE$23,Detail!$H:$H,'Rates-Service Fees'!QE$17)*100</f>
        <v>0</v>
      </c>
      <c r="QF38">
        <f>SUMIFS(Detail!$AW:$AW,Detail!$G:$G,'Rates-Service Fees'!QF$23,Detail!$H:$H,'Rates-Service Fees'!QF$17)*100</f>
        <v>0</v>
      </c>
      <c r="QG38">
        <f>SUMIFS(Detail!$AW:$AW,Detail!$G:$G,'Rates-Service Fees'!QG$23,Detail!$H:$H,'Rates-Service Fees'!QG$17)*100</f>
        <v>0</v>
      </c>
      <c r="QH38">
        <f>SUMIFS(Detail!$AW:$AW,Detail!$G:$G,'Rates-Service Fees'!QH$23,Detail!$H:$H,'Rates-Service Fees'!QH$17)*100</f>
        <v>0</v>
      </c>
      <c r="QI38">
        <f>SUMIFS(Detail!$AW:$AW,Detail!$G:$G,'Rates-Service Fees'!QI$23,Detail!$H:$H,'Rates-Service Fees'!QI$17)*100</f>
        <v>0</v>
      </c>
      <c r="QJ38">
        <f>SUMIFS(Detail!$AW:$AW,Detail!$G:$G,'Rates-Service Fees'!QJ$23,Detail!$H:$H,'Rates-Service Fees'!QJ$17)*100</f>
        <v>0</v>
      </c>
      <c r="QK38">
        <f>SUMIFS(Detail!$AW:$AW,Detail!$G:$G,'Rates-Service Fees'!QK$23,Detail!$H:$H,'Rates-Service Fees'!QK$17)*100</f>
        <v>0</v>
      </c>
      <c r="QL38">
        <f>SUMIFS(Detail!$AW:$AW,Detail!$G:$G,'Rates-Service Fees'!QL$23,Detail!$H:$H,'Rates-Service Fees'!QL$17)*100</f>
        <v>0</v>
      </c>
      <c r="QM38">
        <f>SUMIFS(Detail!$AW:$AW,Detail!$G:$G,'Rates-Service Fees'!QM$23,Detail!$H:$H,'Rates-Service Fees'!QM$17)*100</f>
        <v>0</v>
      </c>
      <c r="QN38">
        <f>SUMIFS(Detail!$AW:$AW,Detail!$G:$G,'Rates-Service Fees'!QN$23,Detail!$H:$H,'Rates-Service Fees'!QN$17)*100</f>
        <v>0</v>
      </c>
      <c r="QO38">
        <f>SUMIFS(Detail!$AW:$AW,Detail!$G:$G,'Rates-Service Fees'!QO$23,Detail!$H:$H,'Rates-Service Fees'!QO$17)*100</f>
        <v>0</v>
      </c>
      <c r="QP38">
        <f>SUMIFS(Detail!$AW:$AW,Detail!$G:$G,'Rates-Service Fees'!QP$23,Detail!$H:$H,'Rates-Service Fees'!QP$17)*100</f>
        <v>0</v>
      </c>
      <c r="QQ38">
        <f>SUMIFS(Detail!$AW:$AW,Detail!$G:$G,'Rates-Service Fees'!QQ$23,Detail!$H:$H,'Rates-Service Fees'!QQ$17)*100</f>
        <v>0</v>
      </c>
      <c r="QR38">
        <f>SUMIFS(Detail!$AW:$AW,Detail!$G:$G,'Rates-Service Fees'!QR$23,Detail!$H:$H,'Rates-Service Fees'!QR$17)*100</f>
        <v>0</v>
      </c>
      <c r="QS38">
        <f>SUMIFS(Detail!$AW:$AW,Detail!$G:$G,'Rates-Service Fees'!QS$23,Detail!$H:$H,'Rates-Service Fees'!QS$17)*100</f>
        <v>0</v>
      </c>
      <c r="QT38">
        <f>SUMIFS(Detail!$AW:$AW,Detail!$G:$G,'Rates-Service Fees'!QT$23,Detail!$H:$H,'Rates-Service Fees'!QT$17)*100</f>
        <v>0</v>
      </c>
      <c r="QU38">
        <f>SUMIFS(Detail!$AW:$AW,Detail!$G:$G,'Rates-Service Fees'!QU$23,Detail!$H:$H,'Rates-Service Fees'!QU$17)*100</f>
        <v>0</v>
      </c>
      <c r="QV38">
        <f>SUMIFS(Detail!$AW:$AW,Detail!$G:$G,'Rates-Service Fees'!QV$23,Detail!$H:$H,'Rates-Service Fees'!QV$17)*100</f>
        <v>0</v>
      </c>
      <c r="QW38">
        <f>SUMIFS(Detail!$AW:$AW,Detail!$G:$G,'Rates-Service Fees'!QW$23,Detail!$H:$H,'Rates-Service Fees'!QW$17)*100</f>
        <v>0</v>
      </c>
      <c r="QX38">
        <f>SUMIFS(Detail!$AW:$AW,Detail!$G:$G,'Rates-Service Fees'!QX$23,Detail!$H:$H,'Rates-Service Fees'!QX$17)*100</f>
        <v>0</v>
      </c>
      <c r="QY38">
        <f>SUMIFS(Detail!$AW:$AW,Detail!$G:$G,'Rates-Service Fees'!QY$23,Detail!$H:$H,'Rates-Service Fees'!QY$17)*100</f>
        <v>0</v>
      </c>
      <c r="QZ38">
        <f>SUMIFS(Detail!$AW:$AW,Detail!$G:$G,'Rates-Service Fees'!QZ$23,Detail!$H:$H,'Rates-Service Fees'!QZ$17)*100</f>
        <v>0</v>
      </c>
      <c r="RA38">
        <f>SUMIFS(Detail!$AW:$AW,Detail!$G:$G,'Rates-Service Fees'!RA$23,Detail!$H:$H,'Rates-Service Fees'!RA$17)*100</f>
        <v>0</v>
      </c>
      <c r="RB38">
        <f>SUMIFS(Detail!$AW:$AW,Detail!$G:$G,'Rates-Service Fees'!RB$23,Detail!$H:$H,'Rates-Service Fees'!RB$17)*100</f>
        <v>0</v>
      </c>
      <c r="RC38">
        <f>SUMIFS(Detail!$AW:$AW,Detail!$G:$G,'Rates-Service Fees'!RC$23,Detail!$H:$H,'Rates-Service Fees'!RC$17)*100</f>
        <v>0</v>
      </c>
      <c r="RD38">
        <f>SUMIFS(Detail!$AW:$AW,Detail!$G:$G,'Rates-Service Fees'!RD$23,Detail!$H:$H,'Rates-Service Fees'!RD$17)*100</f>
        <v>0</v>
      </c>
      <c r="RE38">
        <f>SUMIFS(Detail!$AW:$AW,Detail!$G:$G,'Rates-Service Fees'!RE$23,Detail!$H:$H,'Rates-Service Fees'!RE$17)*100</f>
        <v>0</v>
      </c>
      <c r="RF38">
        <f>SUMIFS(Detail!$AW:$AW,Detail!$G:$G,'Rates-Service Fees'!RF$23,Detail!$H:$H,'Rates-Service Fees'!RF$17)*100</f>
        <v>0</v>
      </c>
      <c r="RG38">
        <f>SUMIFS(Detail!$AW:$AW,Detail!$G:$G,'Rates-Service Fees'!RG$23,Detail!$H:$H,'Rates-Service Fees'!RG$17)*100</f>
        <v>0</v>
      </c>
      <c r="RH38">
        <f>SUMIFS(Detail!$AW:$AW,Detail!$G:$G,'Rates-Service Fees'!RH$23,Detail!$H:$H,'Rates-Service Fees'!RH$17)*100</f>
        <v>0</v>
      </c>
      <c r="RI38">
        <f>SUMIFS(Detail!$AW:$AW,Detail!$G:$G,'Rates-Service Fees'!RI$23,Detail!$H:$H,'Rates-Service Fees'!RI$17)*100</f>
        <v>0</v>
      </c>
      <c r="RJ38">
        <f>SUMIFS(Detail!$AW:$AW,Detail!$G:$G,'Rates-Service Fees'!RJ$23,Detail!$H:$H,'Rates-Service Fees'!RJ$17)*100</f>
        <v>0</v>
      </c>
      <c r="RK38">
        <f>SUMIFS(Detail!$AW:$AW,Detail!$G:$G,'Rates-Service Fees'!RK$23,Detail!$H:$H,'Rates-Service Fees'!RK$17)*100</f>
        <v>0</v>
      </c>
      <c r="RL38">
        <f>SUMIFS(Detail!$AW:$AW,Detail!$G:$G,'Rates-Service Fees'!RL$23,Detail!$H:$H,'Rates-Service Fees'!RL$17)*100</f>
        <v>0</v>
      </c>
      <c r="RM38">
        <f>SUMIFS(Detail!$AW:$AW,Detail!$G:$G,'Rates-Service Fees'!RM$23,Detail!$H:$H,'Rates-Service Fees'!RM$17)*100</f>
        <v>0</v>
      </c>
      <c r="RN38">
        <f>SUMIFS(Detail!$AW:$AW,Detail!$G:$G,'Rates-Service Fees'!RN$23,Detail!$H:$H,'Rates-Service Fees'!RN$17)*100</f>
        <v>0</v>
      </c>
      <c r="RO38">
        <f>SUMIFS(Detail!$AW:$AW,Detail!$G:$G,'Rates-Service Fees'!RO$23,Detail!$H:$H,'Rates-Service Fees'!RO$17)*100</f>
        <v>0</v>
      </c>
      <c r="RP38">
        <f>SUMIFS(Detail!$AW:$AW,Detail!$G:$G,'Rates-Service Fees'!RP$23,Detail!$H:$H,'Rates-Service Fees'!RP$17)*100</f>
        <v>0</v>
      </c>
      <c r="RQ38">
        <f>SUMIFS(Detail!$AW:$AW,Detail!$G:$G,'Rates-Service Fees'!RQ$23,Detail!$H:$H,'Rates-Service Fees'!RQ$17)*100</f>
        <v>0</v>
      </c>
      <c r="RR38">
        <f>SUMIFS(Detail!$AW:$AW,Detail!$G:$G,'Rates-Service Fees'!RR$23,Detail!$H:$H,'Rates-Service Fees'!RR$17)*100</f>
        <v>0</v>
      </c>
      <c r="RS38">
        <f>SUMIFS(Detail!$AW:$AW,Detail!$G:$G,'Rates-Service Fees'!RS$23,Detail!$H:$H,'Rates-Service Fees'!RS$17)*100</f>
        <v>0</v>
      </c>
      <c r="RT38">
        <f>SUMIFS(Detail!$AW:$AW,Detail!$G:$G,'Rates-Service Fees'!RT$23,Detail!$H:$H,'Rates-Service Fees'!RT$17)*100</f>
        <v>0</v>
      </c>
      <c r="RU38">
        <f>SUMIFS(Detail!$AW:$AW,Detail!$G:$G,'Rates-Service Fees'!RU$23,Detail!$H:$H,'Rates-Service Fees'!RU$17)*100</f>
        <v>0</v>
      </c>
      <c r="RV38">
        <f>SUMIFS(Detail!$AW:$AW,Detail!$G:$G,'Rates-Service Fees'!RV$23,Detail!$H:$H,'Rates-Service Fees'!RV$17)*100</f>
        <v>0</v>
      </c>
      <c r="RW38">
        <f>SUMIFS(Detail!$AW:$AW,Detail!$G:$G,'Rates-Service Fees'!RW$23,Detail!$H:$H,'Rates-Service Fees'!RW$17)*100</f>
        <v>0</v>
      </c>
      <c r="RX38">
        <f>SUMIFS(Detail!$AW:$AW,Detail!$G:$G,'Rates-Service Fees'!RX$23,Detail!$H:$H,'Rates-Service Fees'!RX$17)*100</f>
        <v>0</v>
      </c>
      <c r="RY38">
        <f>SUMIFS(Detail!$AW:$AW,Detail!$G:$G,'Rates-Service Fees'!RY$23,Detail!$H:$H,'Rates-Service Fees'!RY$17)*100</f>
        <v>0</v>
      </c>
      <c r="RZ38">
        <f>SUMIFS(Detail!$AW:$AW,Detail!$G:$G,'Rates-Service Fees'!RZ$23,Detail!$H:$H,'Rates-Service Fees'!RZ$17)*100</f>
        <v>0</v>
      </c>
      <c r="SA38">
        <f>SUMIFS(Detail!$AW:$AW,Detail!$G:$G,'Rates-Service Fees'!SA$23,Detail!$H:$H,'Rates-Service Fees'!SA$17)*100</f>
        <v>0</v>
      </c>
      <c r="SB38">
        <f>SUMIFS(Detail!$AW:$AW,Detail!$G:$G,'Rates-Service Fees'!SB$23,Detail!$H:$H,'Rates-Service Fees'!SB$17)*100</f>
        <v>0</v>
      </c>
      <c r="SC38">
        <f>SUMIFS(Detail!$AW:$AW,Detail!$G:$G,'Rates-Service Fees'!SC$23,Detail!$H:$H,'Rates-Service Fees'!SC$17)*100</f>
        <v>0</v>
      </c>
      <c r="SD38">
        <f>SUMIFS(Detail!$AW:$AW,Detail!$G:$G,'Rates-Service Fees'!SD$23,Detail!$H:$H,'Rates-Service Fees'!SD$17)*100</f>
        <v>0</v>
      </c>
      <c r="SE38">
        <f>SUMIFS(Detail!$AW:$AW,Detail!$G:$G,'Rates-Service Fees'!SE$23,Detail!$H:$H,'Rates-Service Fees'!SE$17)*100</f>
        <v>0</v>
      </c>
      <c r="SF38">
        <f>SUMIFS(Detail!$AW:$AW,Detail!$G:$G,'Rates-Service Fees'!SF$23,Detail!$H:$H,'Rates-Service Fees'!SF$17)*100</f>
        <v>0</v>
      </c>
      <c r="SG38">
        <f>SUMIFS(Detail!$AW:$AW,Detail!$G:$G,'Rates-Service Fees'!SG$23,Detail!$H:$H,'Rates-Service Fees'!SG$17)*100</f>
        <v>0</v>
      </c>
      <c r="SH38">
        <f>SUMIFS(Detail!$AW:$AW,Detail!$G:$G,'Rates-Service Fees'!SH$23,Detail!$H:$H,'Rates-Service Fees'!SH$17)*100</f>
        <v>0</v>
      </c>
      <c r="SI38">
        <f>SUMIFS(Detail!$AW:$AW,Detail!$G:$G,'Rates-Service Fees'!SI$23,Detail!$H:$H,'Rates-Service Fees'!SI$17)*100</f>
        <v>0</v>
      </c>
      <c r="SJ38">
        <f>SUMIFS(Detail!$AW:$AW,Detail!$G:$G,'Rates-Service Fees'!SJ$23,Detail!$H:$H,'Rates-Service Fees'!SJ$17)*100</f>
        <v>0</v>
      </c>
      <c r="SK38">
        <f>SUMIFS(Detail!$AW:$AW,Detail!$G:$G,'Rates-Service Fees'!SK$23,Detail!$H:$H,'Rates-Service Fees'!SK$17)*100</f>
        <v>0</v>
      </c>
      <c r="SL38">
        <f>SUMIFS(Detail!$AW:$AW,Detail!$G:$G,'Rates-Service Fees'!SL$23,Detail!$H:$H,'Rates-Service Fees'!SL$17)*100</f>
        <v>0</v>
      </c>
      <c r="SM38">
        <f>SUMIFS(Detail!$AW:$AW,Detail!$G:$G,'Rates-Service Fees'!SM$23,Detail!$H:$H,'Rates-Service Fees'!SM$17)*100</f>
        <v>0</v>
      </c>
      <c r="SN38">
        <f>SUMIFS(Detail!$AW:$AW,Detail!$G:$G,'Rates-Service Fees'!SN$23,Detail!$H:$H,'Rates-Service Fees'!SN$17)*100</f>
        <v>0</v>
      </c>
      <c r="SO38">
        <f>SUMIFS(Detail!$AW:$AW,Detail!$G:$G,'Rates-Service Fees'!SO$23,Detail!$H:$H,'Rates-Service Fees'!SO$17)*100</f>
        <v>0</v>
      </c>
      <c r="SP38">
        <f>SUMIFS(Detail!$AW:$AW,Detail!$G:$G,'Rates-Service Fees'!SP$23,Detail!$H:$H,'Rates-Service Fees'!SP$17)*100</f>
        <v>0</v>
      </c>
      <c r="SQ38">
        <f>SUMIFS(Detail!$AW:$AW,Detail!$G:$G,'Rates-Service Fees'!SQ$23,Detail!$H:$H,'Rates-Service Fees'!SQ$17)*100</f>
        <v>0</v>
      </c>
      <c r="SR38">
        <f>SUMIFS(Detail!$AW:$AW,Detail!$G:$G,'Rates-Service Fees'!SR$23,Detail!$H:$H,'Rates-Service Fees'!SR$17)*100</f>
        <v>0</v>
      </c>
      <c r="SS38">
        <f>SUMIFS(Detail!$AW:$AW,Detail!$G:$G,'Rates-Service Fees'!SS$23,Detail!$H:$H,'Rates-Service Fees'!SS$17)*100</f>
        <v>0</v>
      </c>
      <c r="ST38">
        <f>SUMIFS(Detail!$AW:$AW,Detail!$G:$G,'Rates-Service Fees'!ST$23,Detail!$H:$H,'Rates-Service Fees'!ST$17)*100</f>
        <v>0</v>
      </c>
      <c r="SU38">
        <f>SUMIFS(Detail!$AW:$AW,Detail!$G:$G,'Rates-Service Fees'!SU$23,Detail!$H:$H,'Rates-Service Fees'!SU$17)*100</f>
        <v>0</v>
      </c>
      <c r="SV38">
        <f>SUMIFS(Detail!$AW:$AW,Detail!$G:$G,'Rates-Service Fees'!SV$23,Detail!$H:$H,'Rates-Service Fees'!SV$17)*100</f>
        <v>0</v>
      </c>
      <c r="SW38">
        <f>SUMIFS(Detail!$AW:$AW,Detail!$G:$G,'Rates-Service Fees'!SW$23,Detail!$H:$H,'Rates-Service Fees'!SW$17)*100</f>
        <v>0</v>
      </c>
      <c r="SX38">
        <f>SUMIFS(Detail!$AW:$AW,Detail!$G:$G,'Rates-Service Fees'!SX$23,Detail!$H:$H,'Rates-Service Fees'!SX$17)*100</f>
        <v>0</v>
      </c>
      <c r="SY38">
        <f>SUMIFS(Detail!$AW:$AW,Detail!$G:$G,'Rates-Service Fees'!SY$23,Detail!$H:$H,'Rates-Service Fees'!SY$17)*100</f>
        <v>0</v>
      </c>
      <c r="SZ38">
        <f>SUMIFS(Detail!$AW:$AW,Detail!$G:$G,'Rates-Service Fees'!SZ$23,Detail!$H:$H,'Rates-Service Fees'!SZ$17)*100</f>
        <v>0</v>
      </c>
      <c r="TA38">
        <f>SUMIFS(Detail!$AW:$AW,Detail!$G:$G,'Rates-Service Fees'!TA$23,Detail!$H:$H,'Rates-Service Fees'!TA$17)*100</f>
        <v>0</v>
      </c>
      <c r="TB38">
        <f>SUMIFS(Detail!$AW:$AW,Detail!$G:$G,'Rates-Service Fees'!TB$23,Detail!$H:$H,'Rates-Service Fees'!TB$17)*100</f>
        <v>0</v>
      </c>
      <c r="TC38">
        <f>SUMIFS(Detail!$AW:$AW,Detail!$G:$G,'Rates-Service Fees'!TC$23,Detail!$H:$H,'Rates-Service Fees'!TC$17)*100</f>
        <v>0</v>
      </c>
      <c r="TD38">
        <f>SUMIFS(Detail!$AW:$AW,Detail!$G:$G,'Rates-Service Fees'!TD$23,Detail!$H:$H,'Rates-Service Fees'!TD$17)*100</f>
        <v>0</v>
      </c>
      <c r="TE38">
        <f>SUMIFS(Detail!$AW:$AW,Detail!$G:$G,'Rates-Service Fees'!TE$23,Detail!$H:$H,'Rates-Service Fees'!TE$17)*100</f>
        <v>0</v>
      </c>
      <c r="TF38">
        <f>SUMIFS(Detail!$AW:$AW,Detail!$G:$G,'Rates-Service Fees'!TF$23,Detail!$H:$H,'Rates-Service Fees'!TF$17)*100</f>
        <v>0</v>
      </c>
      <c r="TG38">
        <f>SUMIFS(Detail!$AW:$AW,Detail!$G:$G,'Rates-Service Fees'!TG$23,Detail!$H:$H,'Rates-Service Fees'!TG$17)*100</f>
        <v>0</v>
      </c>
      <c r="TH38">
        <f>SUMIFS(Detail!$AW:$AW,Detail!$G:$G,'Rates-Service Fees'!TH$23,Detail!$H:$H,'Rates-Service Fees'!TH$17)*100</f>
        <v>0</v>
      </c>
      <c r="TI38">
        <f>SUMIFS(Detail!$AW:$AW,Detail!$G:$G,'Rates-Service Fees'!TI$23,Detail!$H:$H,'Rates-Service Fees'!TI$17)*100</f>
        <v>0</v>
      </c>
      <c r="TJ38">
        <f>SUMIFS(Detail!$AW:$AW,Detail!$G:$G,'Rates-Service Fees'!TJ$23,Detail!$H:$H,'Rates-Service Fees'!TJ$17)*100</f>
        <v>0</v>
      </c>
      <c r="TK38">
        <f>SUMIFS(Detail!$AW:$AW,Detail!$G:$G,'Rates-Service Fees'!TK$23,Detail!$H:$H,'Rates-Service Fees'!TK$17)*100</f>
        <v>0</v>
      </c>
      <c r="TL38">
        <f>SUMIFS(Detail!$AW:$AW,Detail!$G:$G,'Rates-Service Fees'!TL$23,Detail!$H:$H,'Rates-Service Fees'!TL$17)*100</f>
        <v>0</v>
      </c>
      <c r="TM38">
        <f>SUMIFS(Detail!$AW:$AW,Detail!$G:$G,'Rates-Service Fees'!TM$23,Detail!$H:$H,'Rates-Service Fees'!TM$17)*100</f>
        <v>0</v>
      </c>
      <c r="TN38">
        <f>SUMIFS(Detail!$AW:$AW,Detail!$G:$G,'Rates-Service Fees'!TN$23,Detail!$H:$H,'Rates-Service Fees'!TN$17)*100</f>
        <v>0</v>
      </c>
      <c r="TO38">
        <f>SUMIFS(Detail!$AW:$AW,Detail!$G:$G,'Rates-Service Fees'!TO$23,Detail!$H:$H,'Rates-Service Fees'!TO$17)*100</f>
        <v>0</v>
      </c>
      <c r="TP38">
        <f>SUMIFS(Detail!$AW:$AW,Detail!$G:$G,'Rates-Service Fees'!TP$23,Detail!$H:$H,'Rates-Service Fees'!TP$17)*100</f>
        <v>0</v>
      </c>
      <c r="TQ38">
        <f>SUMIFS(Detail!$AW:$AW,Detail!$G:$G,'Rates-Service Fees'!TQ$23,Detail!$H:$H,'Rates-Service Fees'!TQ$17)*100</f>
        <v>0</v>
      </c>
      <c r="TR38">
        <f>SUMIFS(Detail!$AW:$AW,Detail!$G:$G,'Rates-Service Fees'!TR$23,Detail!$H:$H,'Rates-Service Fees'!TR$17)*100</f>
        <v>0</v>
      </c>
      <c r="TS38">
        <f>SUMIFS(Detail!$AW:$AW,Detail!$G:$G,'Rates-Service Fees'!TS$23,Detail!$H:$H,'Rates-Service Fees'!TS$17)*100</f>
        <v>0</v>
      </c>
      <c r="TT38">
        <f>SUMIFS(Detail!$AW:$AW,Detail!$G:$G,'Rates-Service Fees'!TT$23,Detail!$H:$H,'Rates-Service Fees'!TT$17)*100</f>
        <v>0</v>
      </c>
      <c r="TU38">
        <f>SUMIFS(Detail!$AW:$AW,Detail!$G:$G,'Rates-Service Fees'!TU$23,Detail!$H:$H,'Rates-Service Fees'!TU$17)*100</f>
        <v>0</v>
      </c>
      <c r="TV38">
        <f>SUMIFS(Detail!$AW:$AW,Detail!$G:$G,'Rates-Service Fees'!TV$23,Detail!$H:$H,'Rates-Service Fees'!TV$17)*100</f>
        <v>0</v>
      </c>
      <c r="TW38">
        <f>SUMIFS(Detail!$AW:$AW,Detail!$G:$G,'Rates-Service Fees'!TW$23,Detail!$H:$H,'Rates-Service Fees'!TW$17)*100</f>
        <v>0</v>
      </c>
      <c r="TX38">
        <f>SUMIFS(Detail!$AW:$AW,Detail!$G:$G,'Rates-Service Fees'!TX$23,Detail!$H:$H,'Rates-Service Fees'!TX$17)*100</f>
        <v>0</v>
      </c>
      <c r="TY38">
        <f>SUMIFS(Detail!$AW:$AW,Detail!$G:$G,'Rates-Service Fees'!TY$23,Detail!$H:$H,'Rates-Service Fees'!TY$17)*100</f>
        <v>0</v>
      </c>
      <c r="TZ38">
        <f>SUMIFS(Detail!$AW:$AW,Detail!$G:$G,'Rates-Service Fees'!TZ$23,Detail!$H:$H,'Rates-Service Fees'!TZ$17)*100</f>
        <v>0</v>
      </c>
      <c r="UA38">
        <f>SUMIFS(Detail!$AW:$AW,Detail!$G:$G,'Rates-Service Fees'!UA$23,Detail!$H:$H,'Rates-Service Fees'!UA$17)*100</f>
        <v>0</v>
      </c>
      <c r="UB38">
        <f>SUMIFS(Detail!$AW:$AW,Detail!$G:$G,'Rates-Service Fees'!UB$23,Detail!$H:$H,'Rates-Service Fees'!UB$17)*100</f>
        <v>0</v>
      </c>
      <c r="UC38">
        <f>SUMIFS(Detail!$AW:$AW,Detail!$G:$G,'Rates-Service Fees'!UC$23,Detail!$H:$H,'Rates-Service Fees'!UC$17)*100</f>
        <v>0</v>
      </c>
      <c r="UD38">
        <f>SUMIFS(Detail!$AW:$AW,Detail!$G:$G,'Rates-Service Fees'!UD$23,Detail!$H:$H,'Rates-Service Fees'!UD$17)*100</f>
        <v>0</v>
      </c>
      <c r="UE38">
        <f>SUMIFS(Detail!$AW:$AW,Detail!$G:$G,'Rates-Service Fees'!UE$23,Detail!$H:$H,'Rates-Service Fees'!UE$17)*100</f>
        <v>0</v>
      </c>
      <c r="UF38">
        <f>SUMIFS(Detail!$AW:$AW,Detail!$G:$G,'Rates-Service Fees'!UF$23,Detail!$H:$H,'Rates-Service Fees'!UF$17)*100</f>
        <v>0</v>
      </c>
      <c r="UG38">
        <f>SUMIFS(Detail!$AW:$AW,Detail!$G:$G,'Rates-Service Fees'!UG$23,Detail!$H:$H,'Rates-Service Fees'!UG$17)*100</f>
        <v>0</v>
      </c>
      <c r="UH38">
        <f>SUMIFS(Detail!$AW:$AW,Detail!$G:$G,'Rates-Service Fees'!UH$23,Detail!$H:$H,'Rates-Service Fees'!UH$17)*100</f>
        <v>0</v>
      </c>
      <c r="UI38">
        <f>SUMIFS(Detail!$AW:$AW,Detail!$G:$G,'Rates-Service Fees'!UI$23,Detail!$H:$H,'Rates-Service Fees'!UI$17)*100</f>
        <v>0</v>
      </c>
      <c r="UJ38">
        <f>SUMIFS(Detail!$AW:$AW,Detail!$G:$G,'Rates-Service Fees'!UJ$23,Detail!$H:$H,'Rates-Service Fees'!UJ$17)*100</f>
        <v>0</v>
      </c>
      <c r="UK38">
        <f>SUMIFS(Detail!$AW:$AW,Detail!$G:$G,'Rates-Service Fees'!UK$23,Detail!$H:$H,'Rates-Service Fees'!UK$17)*100</f>
        <v>0</v>
      </c>
      <c r="UL38">
        <f>SUMIFS(Detail!$AW:$AW,Detail!$G:$G,'Rates-Service Fees'!UL$23,Detail!$H:$H,'Rates-Service Fees'!UL$17)*100</f>
        <v>0</v>
      </c>
      <c r="UM38">
        <f>SUMIFS(Detail!$AW:$AW,Detail!$G:$G,'Rates-Service Fees'!UM$23,Detail!$H:$H,'Rates-Service Fees'!UM$17)*100</f>
        <v>0</v>
      </c>
      <c r="UN38">
        <f>SUMIFS(Detail!$AW:$AW,Detail!$G:$G,'Rates-Service Fees'!UN$23,Detail!$H:$H,'Rates-Service Fees'!UN$17)*100</f>
        <v>0</v>
      </c>
      <c r="UO38">
        <f>SUMIFS(Detail!$AW:$AW,Detail!$G:$G,'Rates-Service Fees'!UO$23,Detail!$H:$H,'Rates-Service Fees'!UO$17)*100</f>
        <v>0</v>
      </c>
      <c r="UP38">
        <f>SUMIFS(Detail!$AW:$AW,Detail!$G:$G,'Rates-Service Fees'!UP$23,Detail!$H:$H,'Rates-Service Fees'!UP$17)*100</f>
        <v>0</v>
      </c>
      <c r="UQ38">
        <f>SUMIFS(Detail!$AW:$AW,Detail!$G:$G,'Rates-Service Fees'!UQ$23,Detail!$H:$H,'Rates-Service Fees'!UQ$17)*100</f>
        <v>0</v>
      </c>
      <c r="UR38">
        <f>SUMIFS(Detail!$AW:$AW,Detail!$G:$G,'Rates-Service Fees'!UR$23,Detail!$H:$H,'Rates-Service Fees'!UR$17)*100</f>
        <v>0</v>
      </c>
      <c r="US38">
        <f>SUMIFS(Detail!$AW:$AW,Detail!$G:$G,'Rates-Service Fees'!US$23,Detail!$H:$H,'Rates-Service Fees'!US$17)*100</f>
        <v>0</v>
      </c>
      <c r="UT38">
        <f>SUMIFS(Detail!$AW:$AW,Detail!$G:$G,'Rates-Service Fees'!UT$23,Detail!$H:$H,'Rates-Service Fees'!UT$17)*100</f>
        <v>0</v>
      </c>
      <c r="UU38">
        <f>SUMIFS(Detail!$AW:$AW,Detail!$G:$G,'Rates-Service Fees'!UU$23,Detail!$H:$H,'Rates-Service Fees'!UU$17)*100</f>
        <v>0</v>
      </c>
      <c r="UV38">
        <f>SUMIFS(Detail!$AW:$AW,Detail!$G:$G,'Rates-Service Fees'!UV$23,Detail!$H:$H,'Rates-Service Fees'!UV$17)*100</f>
        <v>0</v>
      </c>
      <c r="UW38">
        <f>SUMIFS(Detail!$AW:$AW,Detail!$G:$G,'Rates-Service Fees'!UW$23,Detail!$H:$H,'Rates-Service Fees'!UW$17)*100</f>
        <v>0</v>
      </c>
      <c r="UX38">
        <f>SUMIFS(Detail!$AW:$AW,Detail!$G:$G,'Rates-Service Fees'!UX$23,Detail!$H:$H,'Rates-Service Fees'!UX$17)*100</f>
        <v>0</v>
      </c>
      <c r="UY38">
        <f>SUMIFS(Detail!$AW:$AW,Detail!$G:$G,'Rates-Service Fees'!UY$23,Detail!$H:$H,'Rates-Service Fees'!UY$17)*100</f>
        <v>0</v>
      </c>
      <c r="UZ38">
        <f>SUMIFS(Detail!$AW:$AW,Detail!$G:$G,'Rates-Service Fees'!UZ$23,Detail!$H:$H,'Rates-Service Fees'!UZ$17)*100</f>
        <v>0</v>
      </c>
      <c r="VA38">
        <f>SUMIFS(Detail!$AW:$AW,Detail!$G:$G,'Rates-Service Fees'!VA$23,Detail!$H:$H,'Rates-Service Fees'!VA$17)*100</f>
        <v>0</v>
      </c>
      <c r="VB38">
        <f>SUMIFS(Detail!$AW:$AW,Detail!$G:$G,'Rates-Service Fees'!VB$23,Detail!$H:$H,'Rates-Service Fees'!VB$17)*100</f>
        <v>0</v>
      </c>
      <c r="VC38">
        <f>SUMIFS(Detail!$AW:$AW,Detail!$G:$G,'Rates-Service Fees'!VC$23,Detail!$H:$H,'Rates-Service Fees'!VC$17)*100</f>
        <v>0</v>
      </c>
      <c r="VD38">
        <f>SUMIFS(Detail!$AW:$AW,Detail!$G:$G,'Rates-Service Fees'!VD$23,Detail!$H:$H,'Rates-Service Fees'!VD$17)*100</f>
        <v>0</v>
      </c>
      <c r="VE38">
        <f>SUMIFS(Detail!$AW:$AW,Detail!$G:$G,'Rates-Service Fees'!VE$23,Detail!$H:$H,'Rates-Service Fees'!VE$17)*100</f>
        <v>0</v>
      </c>
      <c r="VF38">
        <f>SUMIFS(Detail!$AW:$AW,Detail!$G:$G,'Rates-Service Fees'!VF$23,Detail!$H:$H,'Rates-Service Fees'!VF$17)*100</f>
        <v>0</v>
      </c>
      <c r="VG38">
        <f>SUMIFS(Detail!$AW:$AW,Detail!$G:$G,'Rates-Service Fees'!VG$23,Detail!$H:$H,'Rates-Service Fees'!VG$17)*100</f>
        <v>0</v>
      </c>
      <c r="VH38">
        <f>SUMIFS(Detail!$AW:$AW,Detail!$G:$G,'Rates-Service Fees'!VH$23,Detail!$H:$H,'Rates-Service Fees'!VH$17)*100</f>
        <v>0</v>
      </c>
      <c r="VI38">
        <f>SUMIFS(Detail!$AW:$AW,Detail!$G:$G,'Rates-Service Fees'!VI$23,Detail!$H:$H,'Rates-Service Fees'!VI$17)*100</f>
        <v>0</v>
      </c>
      <c r="VJ38">
        <f>SUMIFS(Detail!$AW:$AW,Detail!$G:$G,'Rates-Service Fees'!VJ$23,Detail!$H:$H,'Rates-Service Fees'!VJ$17)*100</f>
        <v>0</v>
      </c>
      <c r="VK38">
        <f>SUMIFS(Detail!$AW:$AW,Detail!$G:$G,'Rates-Service Fees'!VK$23,Detail!$H:$H,'Rates-Service Fees'!VK$17)*100</f>
        <v>0</v>
      </c>
      <c r="VL38">
        <f>SUMIFS(Detail!$AW:$AW,Detail!$G:$G,'Rates-Service Fees'!VL$23,Detail!$H:$H,'Rates-Service Fees'!VL$17)*100</f>
        <v>0</v>
      </c>
      <c r="VM38">
        <f>SUMIFS(Detail!$AW:$AW,Detail!$G:$G,'Rates-Service Fees'!VM$23,Detail!$H:$H,'Rates-Service Fees'!VM$17)*100</f>
        <v>0</v>
      </c>
      <c r="VN38">
        <f>SUMIFS(Detail!$AW:$AW,Detail!$G:$G,'Rates-Service Fees'!VN$23,Detail!$H:$H,'Rates-Service Fees'!VN$17)*100</f>
        <v>0</v>
      </c>
      <c r="VO38">
        <f>SUMIFS(Detail!$AW:$AW,Detail!$G:$G,'Rates-Service Fees'!VO$23,Detail!$H:$H,'Rates-Service Fees'!VO$17)*100</f>
        <v>0</v>
      </c>
      <c r="VP38">
        <f>SUMIFS(Detail!$AW:$AW,Detail!$G:$G,'Rates-Service Fees'!VP$23,Detail!$H:$H,'Rates-Service Fees'!VP$17)*100</f>
        <v>0</v>
      </c>
      <c r="VQ38">
        <f>SUMIFS(Detail!$AW:$AW,Detail!$G:$G,'Rates-Service Fees'!VQ$23,Detail!$H:$H,'Rates-Service Fees'!VQ$17)*100</f>
        <v>0</v>
      </c>
      <c r="VR38">
        <f>SUMIFS(Detail!$AW:$AW,Detail!$G:$G,'Rates-Service Fees'!VR$23,Detail!$H:$H,'Rates-Service Fees'!VR$17)*100</f>
        <v>0</v>
      </c>
      <c r="VS38">
        <f>SUMIFS(Detail!$AW:$AW,Detail!$G:$G,'Rates-Service Fees'!VS$23,Detail!$H:$H,'Rates-Service Fees'!VS$17)*100</f>
        <v>0</v>
      </c>
      <c r="VT38">
        <f>SUMIFS(Detail!$AW:$AW,Detail!$G:$G,'Rates-Service Fees'!VT$23,Detail!$H:$H,'Rates-Service Fees'!VT$17)*100</f>
        <v>0</v>
      </c>
      <c r="VU38">
        <f>SUMIFS(Detail!$AW:$AW,Detail!$G:$G,'Rates-Service Fees'!VU$23,Detail!$H:$H,'Rates-Service Fees'!VU$17)*100</f>
        <v>0</v>
      </c>
      <c r="VV38">
        <f>SUMIFS(Detail!$AW:$AW,Detail!$G:$G,'Rates-Service Fees'!VV$23,Detail!$H:$H,'Rates-Service Fees'!VV$17)*100</f>
        <v>0</v>
      </c>
      <c r="VW38">
        <f>SUMIFS(Detail!$AW:$AW,Detail!$G:$G,'Rates-Service Fees'!VW$23,Detail!$H:$H,'Rates-Service Fees'!VW$17)*100</f>
        <v>0</v>
      </c>
      <c r="VX38">
        <f>SUMIFS(Detail!$AW:$AW,Detail!$G:$G,'Rates-Service Fees'!VX$23,Detail!$H:$H,'Rates-Service Fees'!VX$17)*100</f>
        <v>0</v>
      </c>
      <c r="VY38">
        <f>SUMIFS(Detail!$AW:$AW,Detail!$G:$G,'Rates-Service Fees'!VY$23,Detail!$H:$H,'Rates-Service Fees'!VY$17)*100</f>
        <v>0</v>
      </c>
      <c r="VZ38">
        <f>SUMIFS(Detail!$AW:$AW,Detail!$G:$G,'Rates-Service Fees'!VZ$23,Detail!$H:$H,'Rates-Service Fees'!VZ$17)*100</f>
        <v>0</v>
      </c>
      <c r="WA38">
        <f>SUMIFS(Detail!$AW:$AW,Detail!$G:$G,'Rates-Service Fees'!WA$23,Detail!$H:$H,'Rates-Service Fees'!WA$17)*100</f>
        <v>0</v>
      </c>
      <c r="WB38">
        <f>SUMIFS(Detail!$AW:$AW,Detail!$G:$G,'Rates-Service Fees'!WB$23,Detail!$H:$H,'Rates-Service Fees'!WB$17)*100</f>
        <v>0</v>
      </c>
      <c r="WC38">
        <f>SUMIFS(Detail!$AW:$AW,Detail!$G:$G,'Rates-Service Fees'!WC$23,Detail!$H:$H,'Rates-Service Fees'!WC$17)*100</f>
        <v>0</v>
      </c>
      <c r="WD38">
        <f>SUMIFS(Detail!$AW:$AW,Detail!$G:$G,'Rates-Service Fees'!WD$23,Detail!$H:$H,'Rates-Service Fees'!WD$17)*100</f>
        <v>0</v>
      </c>
      <c r="WE38">
        <f>SUMIFS(Detail!$AW:$AW,Detail!$G:$G,'Rates-Service Fees'!WE$23,Detail!$H:$H,'Rates-Service Fees'!WE$17)*100</f>
        <v>0</v>
      </c>
      <c r="WF38">
        <f>SUMIFS(Detail!$AW:$AW,Detail!$G:$G,'Rates-Service Fees'!WF$23,Detail!$H:$H,'Rates-Service Fees'!WF$17)*100</f>
        <v>0</v>
      </c>
      <c r="WG38">
        <f>SUMIFS(Detail!$AW:$AW,Detail!$G:$G,'Rates-Service Fees'!WG$23,Detail!$H:$H,'Rates-Service Fees'!WG$17)*100</f>
        <v>0</v>
      </c>
      <c r="WH38">
        <f>SUMIFS(Detail!$AW:$AW,Detail!$G:$G,'Rates-Service Fees'!WH$23,Detail!$H:$H,'Rates-Service Fees'!WH$17)*100</f>
        <v>0</v>
      </c>
      <c r="WI38">
        <f>SUMIFS(Detail!$AW:$AW,Detail!$G:$G,'Rates-Service Fees'!WI$23,Detail!$H:$H,'Rates-Service Fees'!WI$17)*100</f>
        <v>0</v>
      </c>
      <c r="WJ38">
        <f>SUMIFS(Detail!$AW:$AW,Detail!$G:$G,'Rates-Service Fees'!WJ$23,Detail!$H:$H,'Rates-Service Fees'!WJ$17)*100</f>
        <v>0</v>
      </c>
      <c r="WK38">
        <f>SUMIFS(Detail!$AW:$AW,Detail!$G:$G,'Rates-Service Fees'!WK$23,Detail!$H:$H,'Rates-Service Fees'!WK$17)*100</f>
        <v>0</v>
      </c>
      <c r="WL38">
        <f>SUMIFS(Detail!$AW:$AW,Detail!$G:$G,'Rates-Service Fees'!WL$23,Detail!$H:$H,'Rates-Service Fees'!WL$17)*100</f>
        <v>0</v>
      </c>
      <c r="WM38">
        <f>SUMIFS(Detail!$AW:$AW,Detail!$G:$G,'Rates-Service Fees'!WM$23,Detail!$H:$H,'Rates-Service Fees'!WM$17)*100</f>
        <v>0</v>
      </c>
      <c r="WN38">
        <f>SUMIFS(Detail!$AW:$AW,Detail!$G:$G,'Rates-Service Fees'!WN$23,Detail!$H:$H,'Rates-Service Fees'!WN$17)*100</f>
        <v>0</v>
      </c>
      <c r="WO38">
        <f>SUMIFS(Detail!$AW:$AW,Detail!$G:$G,'Rates-Service Fees'!WO$23,Detail!$H:$H,'Rates-Service Fees'!WO$17)*100</f>
        <v>0</v>
      </c>
      <c r="WP38">
        <f>SUMIFS(Detail!$AW:$AW,Detail!$G:$G,'Rates-Service Fees'!WP$23,Detail!$H:$H,'Rates-Service Fees'!WP$17)*100</f>
        <v>0</v>
      </c>
      <c r="WQ38">
        <f>SUMIFS(Detail!$AW:$AW,Detail!$G:$G,'Rates-Service Fees'!WQ$23,Detail!$H:$H,'Rates-Service Fees'!WQ$17)*100</f>
        <v>0</v>
      </c>
      <c r="WR38">
        <f>SUMIFS(Detail!$AW:$AW,Detail!$G:$G,'Rates-Service Fees'!WR$23,Detail!$H:$H,'Rates-Service Fees'!WR$17)*100</f>
        <v>0</v>
      </c>
      <c r="WS38">
        <f>SUMIFS(Detail!$AW:$AW,Detail!$G:$G,'Rates-Service Fees'!WS$23,Detail!$H:$H,'Rates-Service Fees'!WS$17)*100</f>
        <v>0</v>
      </c>
      <c r="WT38">
        <f>SUMIFS(Detail!$AW:$AW,Detail!$G:$G,'Rates-Service Fees'!WT$23,Detail!$H:$H,'Rates-Service Fees'!WT$17)*100</f>
        <v>0</v>
      </c>
      <c r="WU38">
        <f>SUMIFS(Detail!$AW:$AW,Detail!$G:$G,'Rates-Service Fees'!WU$23,Detail!$H:$H,'Rates-Service Fees'!WU$17)*100</f>
        <v>0</v>
      </c>
      <c r="WV38">
        <f>SUMIFS(Detail!$AW:$AW,Detail!$G:$G,'Rates-Service Fees'!WV$23,Detail!$H:$H,'Rates-Service Fees'!WV$17)*100</f>
        <v>0</v>
      </c>
      <c r="WW38">
        <f>SUMIFS(Detail!$AW:$AW,Detail!$G:$G,'Rates-Service Fees'!WW$23,Detail!$H:$H,'Rates-Service Fees'!WW$17)*100</f>
        <v>0</v>
      </c>
      <c r="WX38">
        <f>SUMIFS(Detail!$AW:$AW,Detail!$G:$G,'Rates-Service Fees'!WX$23,Detail!$H:$H,'Rates-Service Fees'!WX$17)*100</f>
        <v>0</v>
      </c>
      <c r="WY38">
        <f>SUMIFS(Detail!$AW:$AW,Detail!$G:$G,'Rates-Service Fees'!WY$23,Detail!$H:$H,'Rates-Service Fees'!WY$17)*100</f>
        <v>0</v>
      </c>
      <c r="WZ38">
        <f>SUMIFS(Detail!$AW:$AW,Detail!$G:$G,'Rates-Service Fees'!WZ$23,Detail!$H:$H,'Rates-Service Fees'!WZ$17)*100</f>
        <v>0</v>
      </c>
      <c r="XA38">
        <f>SUMIFS(Detail!$AW:$AW,Detail!$G:$G,'Rates-Service Fees'!XA$23,Detail!$H:$H,'Rates-Service Fees'!XA$17)*100</f>
        <v>0</v>
      </c>
      <c r="XB38">
        <f>SUMIFS(Detail!$AW:$AW,Detail!$G:$G,'Rates-Service Fees'!XB$23,Detail!$H:$H,'Rates-Service Fees'!XB$17)*100</f>
        <v>0</v>
      </c>
      <c r="XC38">
        <f>SUMIFS(Detail!$AW:$AW,Detail!$G:$G,'Rates-Service Fees'!XC$23,Detail!$H:$H,'Rates-Service Fees'!XC$17)*100</f>
        <v>0</v>
      </c>
      <c r="XD38">
        <f>SUMIFS(Detail!$AW:$AW,Detail!$G:$G,'Rates-Service Fees'!XD$23,Detail!$H:$H,'Rates-Service Fees'!XD$17)*100</f>
        <v>0</v>
      </c>
      <c r="XE38">
        <f>SUMIFS(Detail!$AW:$AW,Detail!$G:$G,'Rates-Service Fees'!XE$23,Detail!$H:$H,'Rates-Service Fees'!XE$17)*100</f>
        <v>0</v>
      </c>
      <c r="XF38">
        <f>SUMIFS(Detail!$AW:$AW,Detail!$G:$G,'Rates-Service Fees'!XF$23,Detail!$H:$H,'Rates-Service Fees'!XF$17)*100</f>
        <v>0</v>
      </c>
      <c r="XG38">
        <f>SUMIFS(Detail!$AW:$AW,Detail!$G:$G,'Rates-Service Fees'!XG$23,Detail!$H:$H,'Rates-Service Fees'!XG$17)*100</f>
        <v>0</v>
      </c>
      <c r="XH38">
        <f>SUMIFS(Detail!$AW:$AW,Detail!$G:$G,'Rates-Service Fees'!XH$23,Detail!$H:$H,'Rates-Service Fees'!XH$17)*100</f>
        <v>0</v>
      </c>
      <c r="XI38">
        <f>SUMIFS(Detail!$AW:$AW,Detail!$G:$G,'Rates-Service Fees'!XI$23,Detail!$H:$H,'Rates-Service Fees'!XI$17)*100</f>
        <v>0</v>
      </c>
      <c r="XJ38">
        <f>SUMIFS(Detail!$AW:$AW,Detail!$G:$G,'Rates-Service Fees'!XJ$23,Detail!$H:$H,'Rates-Service Fees'!XJ$17)*100</f>
        <v>0</v>
      </c>
      <c r="XK38">
        <f>SUMIFS(Detail!$AW:$AW,Detail!$G:$G,'Rates-Service Fees'!XK$23,Detail!$H:$H,'Rates-Service Fees'!XK$17)*100</f>
        <v>0</v>
      </c>
      <c r="XL38">
        <f>SUMIFS(Detail!$AW:$AW,Detail!$G:$G,'Rates-Service Fees'!XL$23,Detail!$H:$H,'Rates-Service Fees'!XL$17)*100</f>
        <v>0</v>
      </c>
      <c r="XM38">
        <f>SUMIFS(Detail!$AW:$AW,Detail!$G:$G,'Rates-Service Fees'!XM$23,Detail!$H:$H,'Rates-Service Fees'!XM$17)*100</f>
        <v>0</v>
      </c>
      <c r="XN38">
        <f>SUMIFS(Detail!$AW:$AW,Detail!$G:$G,'Rates-Service Fees'!XN$23,Detail!$H:$H,'Rates-Service Fees'!XN$17)*100</f>
        <v>0</v>
      </c>
      <c r="XO38">
        <f>SUMIFS(Detail!$AW:$AW,Detail!$G:$G,'Rates-Service Fees'!XO$23,Detail!$H:$H,'Rates-Service Fees'!XO$17)*100</f>
        <v>0</v>
      </c>
      <c r="XP38">
        <f>SUMIFS(Detail!$AW:$AW,Detail!$G:$G,'Rates-Service Fees'!XP$23,Detail!$H:$H,'Rates-Service Fees'!XP$17)*100</f>
        <v>0</v>
      </c>
      <c r="XQ38">
        <f>SUMIFS(Detail!$AW:$AW,Detail!$G:$G,'Rates-Service Fees'!XQ$23,Detail!$H:$H,'Rates-Service Fees'!XQ$17)*100</f>
        <v>0</v>
      </c>
      <c r="XR38">
        <f>SUMIFS(Detail!$AW:$AW,Detail!$G:$G,'Rates-Service Fees'!XR$23,Detail!$H:$H,'Rates-Service Fees'!XR$17)*100</f>
        <v>0</v>
      </c>
      <c r="XS38">
        <f>SUMIFS(Detail!$AW:$AW,Detail!$G:$G,'Rates-Service Fees'!XS$23,Detail!$H:$H,'Rates-Service Fees'!XS$17)*100</f>
        <v>0</v>
      </c>
      <c r="XT38">
        <f>SUMIFS(Detail!$AW:$AW,Detail!$G:$G,'Rates-Service Fees'!XT$23,Detail!$H:$H,'Rates-Service Fees'!XT$17)*100</f>
        <v>0</v>
      </c>
      <c r="XU38">
        <f>SUMIFS(Detail!$AW:$AW,Detail!$G:$G,'Rates-Service Fees'!XU$23,Detail!$H:$H,'Rates-Service Fees'!XU$17)*100</f>
        <v>0</v>
      </c>
      <c r="XV38">
        <f>SUMIFS(Detail!$AW:$AW,Detail!$G:$G,'Rates-Service Fees'!XV$23,Detail!$H:$H,'Rates-Service Fees'!XV$17)*100</f>
        <v>0</v>
      </c>
      <c r="XW38">
        <f>SUMIFS(Detail!$AW:$AW,Detail!$G:$G,'Rates-Service Fees'!XW$23,Detail!$H:$H,'Rates-Service Fees'!XW$17)*100</f>
        <v>0</v>
      </c>
      <c r="XX38">
        <f>SUMIFS(Detail!$AW:$AW,Detail!$G:$G,'Rates-Service Fees'!XX$23,Detail!$H:$H,'Rates-Service Fees'!XX$17)*100</f>
        <v>0</v>
      </c>
      <c r="XY38">
        <f>SUMIFS(Detail!$AW:$AW,Detail!$G:$G,'Rates-Service Fees'!XY$23,Detail!$H:$H,'Rates-Service Fees'!XY$17)*100</f>
        <v>0</v>
      </c>
      <c r="XZ38">
        <f>SUMIFS(Detail!$AW:$AW,Detail!$G:$G,'Rates-Service Fees'!XZ$23,Detail!$H:$H,'Rates-Service Fees'!XZ$17)*100</f>
        <v>0</v>
      </c>
      <c r="YA38">
        <f>SUMIFS(Detail!$AW:$AW,Detail!$G:$G,'Rates-Service Fees'!YA$23,Detail!$H:$H,'Rates-Service Fees'!YA$17)*100</f>
        <v>0</v>
      </c>
      <c r="YB38">
        <f>SUMIFS(Detail!$AW:$AW,Detail!$G:$G,'Rates-Service Fees'!YB$23,Detail!$H:$H,'Rates-Service Fees'!YB$17)*100</f>
        <v>0</v>
      </c>
      <c r="YC38">
        <f>SUMIFS(Detail!$AW:$AW,Detail!$G:$G,'Rates-Service Fees'!YC$23,Detail!$H:$H,'Rates-Service Fees'!YC$17)*100</f>
        <v>0</v>
      </c>
      <c r="YD38">
        <f>SUMIFS(Detail!$AW:$AW,Detail!$G:$G,'Rates-Service Fees'!YD$23,Detail!$H:$H,'Rates-Service Fees'!YD$17)*100</f>
        <v>0</v>
      </c>
      <c r="YE38">
        <f>SUMIFS(Detail!$AW:$AW,Detail!$G:$G,'Rates-Service Fees'!YE$23,Detail!$H:$H,'Rates-Service Fees'!YE$17)*100</f>
        <v>0</v>
      </c>
      <c r="YF38">
        <f>SUMIFS(Detail!$AW:$AW,Detail!$G:$G,'Rates-Service Fees'!YF$23,Detail!$H:$H,'Rates-Service Fees'!YF$17)*100</f>
        <v>0</v>
      </c>
      <c r="YG38">
        <f>SUMIFS(Detail!$AW:$AW,Detail!$G:$G,'Rates-Service Fees'!YG$23,Detail!$H:$H,'Rates-Service Fees'!YG$17)*100</f>
        <v>0</v>
      </c>
      <c r="YH38">
        <f>SUMIFS(Detail!$AW:$AW,Detail!$G:$G,'Rates-Service Fees'!YH$23,Detail!$H:$H,'Rates-Service Fees'!YH$17)*100</f>
        <v>0</v>
      </c>
      <c r="YI38">
        <f>SUMIFS(Detail!$AW:$AW,Detail!$G:$G,'Rates-Service Fees'!YI$23,Detail!$H:$H,'Rates-Service Fees'!YI$17)*100</f>
        <v>0</v>
      </c>
      <c r="YJ38">
        <f>SUMIFS(Detail!$AW:$AW,Detail!$G:$G,'Rates-Service Fees'!YJ$23,Detail!$H:$H,'Rates-Service Fees'!YJ$17)*100</f>
        <v>0</v>
      </c>
      <c r="YK38">
        <f>SUMIFS(Detail!$AW:$AW,Detail!$G:$G,'Rates-Service Fees'!YK$23,Detail!$H:$H,'Rates-Service Fees'!YK$17)*100</f>
        <v>0</v>
      </c>
      <c r="YL38">
        <f>SUMIFS(Detail!$AW:$AW,Detail!$G:$G,'Rates-Service Fees'!YL$23,Detail!$H:$H,'Rates-Service Fees'!YL$17)*100</f>
        <v>0</v>
      </c>
      <c r="YM38">
        <f>SUMIFS(Detail!$AW:$AW,Detail!$G:$G,'Rates-Service Fees'!YM$23,Detail!$H:$H,'Rates-Service Fees'!YM$17)*100</f>
        <v>0</v>
      </c>
      <c r="YN38">
        <f>SUMIFS(Detail!$AW:$AW,Detail!$G:$G,'Rates-Service Fees'!YN$23,Detail!$H:$H,'Rates-Service Fees'!YN$17)*100</f>
        <v>0</v>
      </c>
      <c r="YO38">
        <f>SUMIFS(Detail!$AW:$AW,Detail!$G:$G,'Rates-Service Fees'!YO$23,Detail!$H:$H,'Rates-Service Fees'!YO$17)*100</f>
        <v>0</v>
      </c>
      <c r="YP38">
        <f>SUMIFS(Detail!$AW:$AW,Detail!$G:$G,'Rates-Service Fees'!YP$23,Detail!$H:$H,'Rates-Service Fees'!YP$17)*100</f>
        <v>0</v>
      </c>
      <c r="YQ38">
        <f>SUMIFS(Detail!$AW:$AW,Detail!$G:$G,'Rates-Service Fees'!YQ$23,Detail!$H:$H,'Rates-Service Fees'!YQ$17)*100</f>
        <v>0</v>
      </c>
      <c r="YR38">
        <f>SUMIFS(Detail!$AW:$AW,Detail!$G:$G,'Rates-Service Fees'!YR$23,Detail!$H:$H,'Rates-Service Fees'!YR$17)*100</f>
        <v>0</v>
      </c>
      <c r="YS38">
        <f>SUMIFS(Detail!$AW:$AW,Detail!$G:$G,'Rates-Service Fees'!YS$23,Detail!$H:$H,'Rates-Service Fees'!YS$17)*100</f>
        <v>0</v>
      </c>
      <c r="YT38">
        <f>SUMIFS(Detail!$AW:$AW,Detail!$G:$G,'Rates-Service Fees'!YT$23,Detail!$H:$H,'Rates-Service Fees'!YT$17)*100</f>
        <v>0</v>
      </c>
      <c r="YU38">
        <f>SUMIFS(Detail!$AW:$AW,Detail!$G:$G,'Rates-Service Fees'!YU$23,Detail!$H:$H,'Rates-Service Fees'!YU$17)*100</f>
        <v>0</v>
      </c>
      <c r="YV38">
        <f>SUMIFS(Detail!$AW:$AW,Detail!$G:$G,'Rates-Service Fees'!YV$23,Detail!$H:$H,'Rates-Service Fees'!YV$17)*100</f>
        <v>0</v>
      </c>
      <c r="YW38">
        <f>SUMIFS(Detail!$AW:$AW,Detail!$G:$G,'Rates-Service Fees'!YW$23,Detail!$H:$H,'Rates-Service Fees'!YW$17)*100</f>
        <v>0</v>
      </c>
      <c r="YX38">
        <f>SUMIFS(Detail!$AW:$AW,Detail!$G:$G,'Rates-Service Fees'!YX$23,Detail!$H:$H,'Rates-Service Fees'!YX$17)*100</f>
        <v>0</v>
      </c>
      <c r="YY38">
        <f>SUMIFS(Detail!$AW:$AW,Detail!$G:$G,'Rates-Service Fees'!YY$23,Detail!$H:$H,'Rates-Service Fees'!YY$17)*100</f>
        <v>0</v>
      </c>
      <c r="YZ38">
        <f>SUMIFS(Detail!$AW:$AW,Detail!$G:$G,'Rates-Service Fees'!YZ$23,Detail!$H:$H,'Rates-Service Fees'!YZ$17)*100</f>
        <v>0</v>
      </c>
      <c r="ZA38">
        <f>SUMIFS(Detail!$AW:$AW,Detail!$G:$G,'Rates-Service Fees'!ZA$23,Detail!$H:$H,'Rates-Service Fees'!ZA$17)*100</f>
        <v>0</v>
      </c>
      <c r="ZB38">
        <f>SUMIFS(Detail!$AW:$AW,Detail!$G:$G,'Rates-Service Fees'!ZB$23,Detail!$H:$H,'Rates-Service Fees'!ZB$17)*100</f>
        <v>0</v>
      </c>
      <c r="ZC38">
        <f>SUMIFS(Detail!$AW:$AW,Detail!$G:$G,'Rates-Service Fees'!ZC$23,Detail!$H:$H,'Rates-Service Fees'!ZC$17)*100</f>
        <v>0</v>
      </c>
      <c r="ZD38">
        <f>SUMIFS(Detail!$AW:$AW,Detail!$G:$G,'Rates-Service Fees'!ZD$23,Detail!$H:$H,'Rates-Service Fees'!ZD$17)*100</f>
        <v>0</v>
      </c>
      <c r="ZE38">
        <f>SUMIFS(Detail!$AW:$AW,Detail!$G:$G,'Rates-Service Fees'!ZE$23,Detail!$H:$H,'Rates-Service Fees'!ZE$17)*100</f>
        <v>0</v>
      </c>
      <c r="ZF38">
        <f>SUMIFS(Detail!$AW:$AW,Detail!$G:$G,'Rates-Service Fees'!ZF$23,Detail!$H:$H,'Rates-Service Fees'!ZF$17)*100</f>
        <v>0</v>
      </c>
      <c r="ZG38">
        <f>SUMIFS(Detail!$AW:$AW,Detail!$G:$G,'Rates-Service Fees'!ZG$23,Detail!$H:$H,'Rates-Service Fees'!ZG$17)*100</f>
        <v>0</v>
      </c>
      <c r="ZH38">
        <f>SUMIFS(Detail!$AW:$AW,Detail!$G:$G,'Rates-Service Fees'!ZH$23,Detail!$H:$H,'Rates-Service Fees'!ZH$17)*100</f>
        <v>0</v>
      </c>
      <c r="ZI38">
        <f>SUMIFS(Detail!$AW:$AW,Detail!$G:$G,'Rates-Service Fees'!ZI$23,Detail!$H:$H,'Rates-Service Fees'!ZI$17)*100</f>
        <v>0</v>
      </c>
      <c r="ZJ38">
        <f>SUMIFS(Detail!$AW:$AW,Detail!$G:$G,'Rates-Service Fees'!ZJ$23,Detail!$H:$H,'Rates-Service Fees'!ZJ$17)*100</f>
        <v>0</v>
      </c>
      <c r="ZK38">
        <f>SUMIFS(Detail!$AW:$AW,Detail!$G:$G,'Rates-Service Fees'!ZK$23,Detail!$H:$H,'Rates-Service Fees'!ZK$17)*100</f>
        <v>0</v>
      </c>
      <c r="ZL38">
        <f>SUMIFS(Detail!$AW:$AW,Detail!$G:$G,'Rates-Service Fees'!ZL$23,Detail!$H:$H,'Rates-Service Fees'!ZL$17)*100</f>
        <v>0</v>
      </c>
      <c r="ZM38">
        <f>SUMIFS(Detail!$AW:$AW,Detail!$G:$G,'Rates-Service Fees'!ZM$23,Detail!$H:$H,'Rates-Service Fees'!ZM$17)*100</f>
        <v>0</v>
      </c>
      <c r="ZN38">
        <f>SUMIFS(Detail!$AW:$AW,Detail!$G:$G,'Rates-Service Fees'!ZN$23,Detail!$H:$H,'Rates-Service Fees'!ZN$17)*100</f>
        <v>0</v>
      </c>
      <c r="ZO38">
        <f>SUMIFS(Detail!$AW:$AW,Detail!$G:$G,'Rates-Service Fees'!ZO$23,Detail!$H:$H,'Rates-Service Fees'!ZO$17)*100</f>
        <v>0</v>
      </c>
      <c r="ZP38">
        <f>SUMIFS(Detail!$AW:$AW,Detail!$G:$G,'Rates-Service Fees'!ZP$23,Detail!$H:$H,'Rates-Service Fees'!ZP$17)*100</f>
        <v>0</v>
      </c>
      <c r="ZQ38">
        <f>SUMIFS(Detail!$AW:$AW,Detail!$G:$G,'Rates-Service Fees'!ZQ$23,Detail!$H:$H,'Rates-Service Fees'!ZQ$17)*100</f>
        <v>0</v>
      </c>
      <c r="ZR38">
        <f>SUMIFS(Detail!$AW:$AW,Detail!$G:$G,'Rates-Service Fees'!ZR$23,Detail!$H:$H,'Rates-Service Fees'!ZR$17)*100</f>
        <v>0</v>
      </c>
      <c r="ZS38">
        <f>SUMIFS(Detail!$AW:$AW,Detail!$G:$G,'Rates-Service Fees'!ZS$23,Detail!$H:$H,'Rates-Service Fees'!ZS$17)*100</f>
        <v>0</v>
      </c>
      <c r="ZT38">
        <f>SUMIFS(Detail!$AW:$AW,Detail!$G:$G,'Rates-Service Fees'!ZT$23,Detail!$H:$H,'Rates-Service Fees'!ZT$17)*100</f>
        <v>0</v>
      </c>
      <c r="ZU38">
        <f>SUMIFS(Detail!$AW:$AW,Detail!$G:$G,'Rates-Service Fees'!ZU$23,Detail!$H:$H,'Rates-Service Fees'!ZU$17)*100</f>
        <v>0</v>
      </c>
      <c r="ZV38">
        <f>SUMIFS(Detail!$AW:$AW,Detail!$G:$G,'Rates-Service Fees'!ZV$23,Detail!$H:$H,'Rates-Service Fees'!ZV$17)*100</f>
        <v>0</v>
      </c>
      <c r="ZW38">
        <f>SUMIFS(Detail!$AW:$AW,Detail!$G:$G,'Rates-Service Fees'!ZW$23,Detail!$H:$H,'Rates-Service Fees'!ZW$17)*100</f>
        <v>0</v>
      </c>
      <c r="ZX38">
        <f>SUMIFS(Detail!$AW:$AW,Detail!$G:$G,'Rates-Service Fees'!ZX$23,Detail!$H:$H,'Rates-Service Fees'!ZX$17)*100</f>
        <v>0</v>
      </c>
      <c r="ZY38">
        <f>SUMIFS(Detail!$AW:$AW,Detail!$G:$G,'Rates-Service Fees'!ZY$23,Detail!$H:$H,'Rates-Service Fees'!ZY$17)*100</f>
        <v>0</v>
      </c>
      <c r="ZZ38">
        <f>SUMIFS(Detail!$AW:$AW,Detail!$G:$G,'Rates-Service Fees'!ZZ$23,Detail!$H:$H,'Rates-Service Fees'!ZZ$17)*100</f>
        <v>0</v>
      </c>
      <c r="AAA38">
        <f>SUMIFS(Detail!$AW:$AW,Detail!$G:$G,'Rates-Service Fees'!AAA$23,Detail!$H:$H,'Rates-Service Fees'!AAA$17)*100</f>
        <v>0</v>
      </c>
      <c r="AAB38">
        <f>SUMIFS(Detail!$AW:$AW,Detail!$G:$G,'Rates-Service Fees'!AAB$23,Detail!$H:$H,'Rates-Service Fees'!AAB$17)*100</f>
        <v>0</v>
      </c>
      <c r="AAC38">
        <f>SUMIFS(Detail!$AW:$AW,Detail!$G:$G,'Rates-Service Fees'!AAC$23,Detail!$H:$H,'Rates-Service Fees'!AAC$17)*100</f>
        <v>0</v>
      </c>
      <c r="AAD38">
        <f>SUMIFS(Detail!$AW:$AW,Detail!$G:$G,'Rates-Service Fees'!AAD$23,Detail!$H:$H,'Rates-Service Fees'!AAD$17)*100</f>
        <v>0</v>
      </c>
      <c r="AAE38">
        <f>SUMIFS(Detail!$AW:$AW,Detail!$G:$G,'Rates-Service Fees'!AAE$23,Detail!$H:$H,'Rates-Service Fees'!AAE$17)*100</f>
        <v>0</v>
      </c>
      <c r="AAF38">
        <f>SUMIFS(Detail!$AW:$AW,Detail!$G:$G,'Rates-Service Fees'!AAF$23,Detail!$H:$H,'Rates-Service Fees'!AAF$17)*100</f>
        <v>0</v>
      </c>
      <c r="AAG38">
        <f>SUMIFS(Detail!$AW:$AW,Detail!$G:$G,'Rates-Service Fees'!AAG$23,Detail!$H:$H,'Rates-Service Fees'!AAG$17)*100</f>
        <v>0</v>
      </c>
      <c r="AAH38">
        <f>SUMIFS(Detail!$AW:$AW,Detail!$G:$G,'Rates-Service Fees'!AAH$23,Detail!$H:$H,'Rates-Service Fees'!AAH$17)*100</f>
        <v>0</v>
      </c>
      <c r="AAI38">
        <f>SUMIFS(Detail!$AW:$AW,Detail!$G:$G,'Rates-Service Fees'!AAI$23,Detail!$H:$H,'Rates-Service Fees'!AAI$17)*100</f>
        <v>0</v>
      </c>
      <c r="AAJ38">
        <f>SUMIFS(Detail!$AW:$AW,Detail!$G:$G,'Rates-Service Fees'!AAJ$23,Detail!$H:$H,'Rates-Service Fees'!AAJ$17)*100</f>
        <v>0</v>
      </c>
      <c r="AAK38">
        <f>SUMIFS(Detail!$AW:$AW,Detail!$G:$G,'Rates-Service Fees'!AAK$23,Detail!$H:$H,'Rates-Service Fees'!AAK$17)*100</f>
        <v>0</v>
      </c>
      <c r="AAL38">
        <f>SUMIFS(Detail!$AW:$AW,Detail!$G:$G,'Rates-Service Fees'!AAL$23,Detail!$H:$H,'Rates-Service Fees'!AAL$17)*100</f>
        <v>0</v>
      </c>
      <c r="AAM38">
        <f>SUMIFS(Detail!$AW:$AW,Detail!$G:$G,'Rates-Service Fees'!AAM$23,Detail!$H:$H,'Rates-Service Fees'!AAM$17)*100</f>
        <v>0</v>
      </c>
      <c r="AAN38">
        <f>SUMIFS(Detail!$AW:$AW,Detail!$G:$G,'Rates-Service Fees'!AAN$23,Detail!$H:$H,'Rates-Service Fees'!AAN$17)*100</f>
        <v>0</v>
      </c>
      <c r="AAO38">
        <f>SUMIFS(Detail!$AW:$AW,Detail!$G:$G,'Rates-Service Fees'!AAO$23,Detail!$H:$H,'Rates-Service Fees'!AAO$17)*100</f>
        <v>0</v>
      </c>
      <c r="AAP38">
        <f>SUMIFS(Detail!$AW:$AW,Detail!$G:$G,'Rates-Service Fees'!AAP$23,Detail!$H:$H,'Rates-Service Fees'!AAP$17)*100</f>
        <v>0</v>
      </c>
      <c r="AAQ38">
        <f>SUMIFS(Detail!$AW:$AW,Detail!$G:$G,'Rates-Service Fees'!AAQ$23,Detail!$H:$H,'Rates-Service Fees'!AAQ$17)*100</f>
        <v>0</v>
      </c>
      <c r="AAR38">
        <f>SUMIFS(Detail!$AW:$AW,Detail!$G:$G,'Rates-Service Fees'!AAR$23,Detail!$H:$H,'Rates-Service Fees'!AAR$17)*100</f>
        <v>0</v>
      </c>
      <c r="AAS38">
        <f>SUMIFS(Detail!$AW:$AW,Detail!$G:$G,'Rates-Service Fees'!AAS$23,Detail!$H:$H,'Rates-Service Fees'!AAS$17)*100</f>
        <v>0</v>
      </c>
      <c r="AAT38">
        <f>SUMIFS(Detail!$AW:$AW,Detail!$G:$G,'Rates-Service Fees'!AAT$23,Detail!$H:$H,'Rates-Service Fees'!AAT$17)*100</f>
        <v>0</v>
      </c>
      <c r="AAU38">
        <f>SUMIFS(Detail!$AW:$AW,Detail!$G:$G,'Rates-Service Fees'!AAU$23,Detail!$H:$H,'Rates-Service Fees'!AAU$17)*100</f>
        <v>0</v>
      </c>
      <c r="AAV38">
        <f>SUMIFS(Detail!$AW:$AW,Detail!$G:$G,'Rates-Service Fees'!AAV$23,Detail!$H:$H,'Rates-Service Fees'!AAV$17)*100</f>
        <v>0</v>
      </c>
      <c r="AAW38">
        <f>SUMIFS(Detail!$AW:$AW,Detail!$G:$G,'Rates-Service Fees'!AAW$23,Detail!$H:$H,'Rates-Service Fees'!AAW$17)*100</f>
        <v>0</v>
      </c>
      <c r="AAX38">
        <f>SUMIFS(Detail!$AW:$AW,Detail!$G:$G,'Rates-Service Fees'!AAX$23,Detail!$H:$H,'Rates-Service Fees'!AAX$17)*100</f>
        <v>0</v>
      </c>
      <c r="AAY38">
        <f>SUMIFS(Detail!$AW:$AW,Detail!$G:$G,'Rates-Service Fees'!AAY$23,Detail!$H:$H,'Rates-Service Fees'!AAY$17)*100</f>
        <v>0</v>
      </c>
      <c r="AAZ38">
        <f>SUMIFS(Detail!$AW:$AW,Detail!$G:$G,'Rates-Service Fees'!AAZ$23,Detail!$H:$H,'Rates-Service Fees'!AAZ$17)*100</f>
        <v>0</v>
      </c>
      <c r="ABA38">
        <f>SUMIFS(Detail!$AW:$AW,Detail!$G:$G,'Rates-Service Fees'!ABA$23,Detail!$H:$H,'Rates-Service Fees'!ABA$17)*100</f>
        <v>0</v>
      </c>
      <c r="ABB38">
        <f>SUMIFS(Detail!$AW:$AW,Detail!$G:$G,'Rates-Service Fees'!ABB$23,Detail!$H:$H,'Rates-Service Fees'!ABB$17)*100</f>
        <v>0</v>
      </c>
      <c r="ABC38">
        <f>SUMIFS(Detail!$AW:$AW,Detail!$G:$G,'Rates-Service Fees'!ABC$23,Detail!$H:$H,'Rates-Service Fees'!ABC$17)*100</f>
        <v>0</v>
      </c>
      <c r="ABD38">
        <f>SUMIFS(Detail!$AW:$AW,Detail!$G:$G,'Rates-Service Fees'!ABD$23,Detail!$H:$H,'Rates-Service Fees'!ABD$17)*100</f>
        <v>0</v>
      </c>
      <c r="ABE38">
        <f>SUMIFS(Detail!$AW:$AW,Detail!$G:$G,'Rates-Service Fees'!ABE$23,Detail!$H:$H,'Rates-Service Fees'!ABE$17)*100</f>
        <v>0</v>
      </c>
      <c r="ABF38">
        <f>SUMIFS(Detail!$AW:$AW,Detail!$G:$G,'Rates-Service Fees'!ABF$23,Detail!$H:$H,'Rates-Service Fees'!ABF$17)*100</f>
        <v>0</v>
      </c>
      <c r="ABG38">
        <f>SUMIFS(Detail!$AW:$AW,Detail!$G:$G,'Rates-Service Fees'!ABG$23,Detail!$H:$H,'Rates-Service Fees'!ABG$17)*100</f>
        <v>0</v>
      </c>
      <c r="ABH38">
        <f>SUMIFS(Detail!$AW:$AW,Detail!$G:$G,'Rates-Service Fees'!ABH$23,Detail!$H:$H,'Rates-Service Fees'!ABH$17)*100</f>
        <v>0</v>
      </c>
      <c r="ABI38">
        <f>SUMIFS(Detail!$AW:$AW,Detail!$G:$G,'Rates-Service Fees'!ABI$23,Detail!$H:$H,'Rates-Service Fees'!ABI$17)*100</f>
        <v>0</v>
      </c>
      <c r="ABJ38">
        <f>SUMIFS(Detail!$AW:$AW,Detail!$G:$G,'Rates-Service Fees'!ABJ$23,Detail!$H:$H,'Rates-Service Fees'!ABJ$17)*100</f>
        <v>0</v>
      </c>
      <c r="ABK38">
        <f>SUMIFS(Detail!$AW:$AW,Detail!$G:$G,'Rates-Service Fees'!ABK$23,Detail!$H:$H,'Rates-Service Fees'!ABK$17)*100</f>
        <v>0</v>
      </c>
      <c r="ABL38">
        <f>SUMIFS(Detail!$AW:$AW,Detail!$G:$G,'Rates-Service Fees'!ABL$23,Detail!$H:$H,'Rates-Service Fees'!ABL$17)*100</f>
        <v>0</v>
      </c>
      <c r="ABM38">
        <f>SUMIFS(Detail!$AW:$AW,Detail!$G:$G,'Rates-Service Fees'!ABM$23,Detail!$H:$H,'Rates-Service Fees'!ABM$17)*100</f>
        <v>0</v>
      </c>
      <c r="ABN38">
        <f>SUMIFS(Detail!$AW:$AW,Detail!$G:$G,'Rates-Service Fees'!ABN$23,Detail!$H:$H,'Rates-Service Fees'!ABN$17)*100</f>
        <v>0</v>
      </c>
      <c r="ABO38">
        <f>SUMIFS(Detail!$AW:$AW,Detail!$G:$G,'Rates-Service Fees'!ABO$23,Detail!$H:$H,'Rates-Service Fees'!ABO$17)*100</f>
        <v>0</v>
      </c>
      <c r="ABP38">
        <f>SUMIFS(Detail!$AW:$AW,Detail!$G:$G,'Rates-Service Fees'!ABP$23,Detail!$H:$H,'Rates-Service Fees'!ABP$17)*100</f>
        <v>0</v>
      </c>
      <c r="ABQ38">
        <f>SUMIFS(Detail!$AW:$AW,Detail!$G:$G,'Rates-Service Fees'!ABQ$23,Detail!$H:$H,'Rates-Service Fees'!ABQ$17)*100</f>
        <v>0</v>
      </c>
      <c r="ABR38">
        <f>SUMIFS(Detail!$AW:$AW,Detail!$G:$G,'Rates-Service Fees'!ABR$23,Detail!$H:$H,'Rates-Service Fees'!ABR$17)*100</f>
        <v>0</v>
      </c>
      <c r="ABS38">
        <f>SUMIFS(Detail!$AW:$AW,Detail!$G:$G,'Rates-Service Fees'!ABS$23,Detail!$H:$H,'Rates-Service Fees'!ABS$17)*100</f>
        <v>0</v>
      </c>
      <c r="ABT38">
        <f>SUMIFS(Detail!$AW:$AW,Detail!$G:$G,'Rates-Service Fees'!ABT$23,Detail!$H:$H,'Rates-Service Fees'!ABT$17)*100</f>
        <v>0</v>
      </c>
      <c r="ABU38">
        <f>SUMIFS(Detail!$AW:$AW,Detail!$G:$G,'Rates-Service Fees'!ABU$23,Detail!$H:$H,'Rates-Service Fees'!ABU$17)*100</f>
        <v>0</v>
      </c>
      <c r="ABV38">
        <f>SUMIFS(Detail!$AW:$AW,Detail!$G:$G,'Rates-Service Fees'!ABV$23,Detail!$H:$H,'Rates-Service Fees'!ABV$17)*100</f>
        <v>0</v>
      </c>
      <c r="ABW38">
        <f>SUMIFS(Detail!$AW:$AW,Detail!$G:$G,'Rates-Service Fees'!ABW$23,Detail!$H:$H,'Rates-Service Fees'!ABW$17)*100</f>
        <v>0</v>
      </c>
      <c r="ABX38">
        <f>SUMIFS(Detail!$AW:$AW,Detail!$G:$G,'Rates-Service Fees'!ABX$23,Detail!$H:$H,'Rates-Service Fees'!ABX$17)*100</f>
        <v>0</v>
      </c>
      <c r="ABY38">
        <f>SUMIFS(Detail!$AW:$AW,Detail!$G:$G,'Rates-Service Fees'!ABY$23,Detail!$H:$H,'Rates-Service Fees'!ABY$17)*100</f>
        <v>0</v>
      </c>
      <c r="ABZ38">
        <f>SUMIFS(Detail!$AW:$AW,Detail!$G:$G,'Rates-Service Fees'!ABZ$23,Detail!$H:$H,'Rates-Service Fees'!ABZ$17)*100</f>
        <v>0</v>
      </c>
      <c r="ACA38">
        <f>SUMIFS(Detail!$AW:$AW,Detail!$G:$G,'Rates-Service Fees'!ACA$23,Detail!$H:$H,'Rates-Service Fees'!ACA$17)*100</f>
        <v>0</v>
      </c>
      <c r="ACB38">
        <f>SUMIFS(Detail!$AW:$AW,Detail!$G:$G,'Rates-Service Fees'!ACB$23,Detail!$H:$H,'Rates-Service Fees'!ACB$17)*100</f>
        <v>0</v>
      </c>
      <c r="ACC38">
        <f>SUMIFS(Detail!$AW:$AW,Detail!$G:$G,'Rates-Service Fees'!ACC$23,Detail!$H:$H,'Rates-Service Fees'!ACC$17)*100</f>
        <v>0</v>
      </c>
      <c r="ACD38">
        <f>SUMIFS(Detail!$AW:$AW,Detail!$G:$G,'Rates-Service Fees'!ACD$23,Detail!$H:$H,'Rates-Service Fees'!ACD$17)*100</f>
        <v>0</v>
      </c>
      <c r="ACE38">
        <f>SUMIFS(Detail!$AW:$AW,Detail!$G:$G,'Rates-Service Fees'!ACE$23,Detail!$H:$H,'Rates-Service Fees'!ACE$17)*100</f>
        <v>0</v>
      </c>
      <c r="ACF38">
        <f>SUMIFS(Detail!$AW:$AW,Detail!$G:$G,'Rates-Service Fees'!ACF$23,Detail!$H:$H,'Rates-Service Fees'!ACF$17)*100</f>
        <v>0</v>
      </c>
      <c r="ACG38">
        <f>SUMIFS(Detail!$AW:$AW,Detail!$G:$G,'Rates-Service Fees'!ACG$23,Detail!$H:$H,'Rates-Service Fees'!ACG$17)*100</f>
        <v>0</v>
      </c>
      <c r="ACH38">
        <f>SUMIFS(Detail!$AW:$AW,Detail!$G:$G,'Rates-Service Fees'!ACH$23,Detail!$H:$H,'Rates-Service Fees'!ACH$17)*100</f>
        <v>0</v>
      </c>
      <c r="ACI38">
        <f>SUMIFS(Detail!$AW:$AW,Detail!$G:$G,'Rates-Service Fees'!ACI$23,Detail!$H:$H,'Rates-Service Fees'!ACI$17)*100</f>
        <v>0</v>
      </c>
      <c r="ACJ38">
        <f>SUMIFS(Detail!$AW:$AW,Detail!$G:$G,'Rates-Service Fees'!ACJ$23,Detail!$H:$H,'Rates-Service Fees'!ACJ$17)*100</f>
        <v>0</v>
      </c>
      <c r="ACK38">
        <f>SUMIFS(Detail!$AW:$AW,Detail!$G:$G,'Rates-Service Fees'!ACK$23,Detail!$H:$H,'Rates-Service Fees'!ACK$17)*100</f>
        <v>0</v>
      </c>
      <c r="ACL38">
        <f>SUMIFS(Detail!$AW:$AW,Detail!$G:$G,'Rates-Service Fees'!ACL$23,Detail!$H:$H,'Rates-Service Fees'!ACL$17)*100</f>
        <v>0</v>
      </c>
      <c r="ACM38">
        <f>SUMIFS(Detail!$AW:$AW,Detail!$G:$G,'Rates-Service Fees'!ACM$23,Detail!$H:$H,'Rates-Service Fees'!ACM$17)*100</f>
        <v>0</v>
      </c>
      <c r="ACN38">
        <f>SUMIFS(Detail!$AW:$AW,Detail!$G:$G,'Rates-Service Fees'!ACN$23,Detail!$H:$H,'Rates-Service Fees'!ACN$17)*100</f>
        <v>0</v>
      </c>
      <c r="ACO38">
        <f>SUMIFS(Detail!$AW:$AW,Detail!$G:$G,'Rates-Service Fees'!ACO$23,Detail!$H:$H,'Rates-Service Fees'!ACO$17)*100</f>
        <v>0</v>
      </c>
      <c r="ACP38">
        <f>SUMIFS(Detail!$AW:$AW,Detail!$G:$G,'Rates-Service Fees'!ACP$23,Detail!$H:$H,'Rates-Service Fees'!ACP$17)*100</f>
        <v>0</v>
      </c>
      <c r="ACQ38">
        <f>SUMIFS(Detail!$AW:$AW,Detail!$G:$G,'Rates-Service Fees'!ACQ$23,Detail!$H:$H,'Rates-Service Fees'!ACQ$17)*100</f>
        <v>0</v>
      </c>
      <c r="ACR38">
        <f>SUMIFS(Detail!$AW:$AW,Detail!$G:$G,'Rates-Service Fees'!ACR$23,Detail!$H:$H,'Rates-Service Fees'!ACR$17)*100</f>
        <v>0</v>
      </c>
      <c r="ACS38">
        <f>SUMIFS(Detail!$AW:$AW,Detail!$G:$G,'Rates-Service Fees'!ACS$23,Detail!$H:$H,'Rates-Service Fees'!ACS$17)*100</f>
        <v>0</v>
      </c>
      <c r="ACT38">
        <f>SUMIFS(Detail!$AW:$AW,Detail!$G:$G,'Rates-Service Fees'!ACT$23,Detail!$H:$H,'Rates-Service Fees'!ACT$17)*100</f>
        <v>0</v>
      </c>
      <c r="ACU38">
        <f>SUMIFS(Detail!$AW:$AW,Detail!$G:$G,'Rates-Service Fees'!ACU$23,Detail!$H:$H,'Rates-Service Fees'!ACU$17)*100</f>
        <v>0</v>
      </c>
      <c r="ACV38">
        <f>SUMIFS(Detail!$AW:$AW,Detail!$G:$G,'Rates-Service Fees'!ACV$23,Detail!$H:$H,'Rates-Service Fees'!ACV$17)*100</f>
        <v>0</v>
      </c>
      <c r="ACW38">
        <f>SUMIFS(Detail!$AW:$AW,Detail!$G:$G,'Rates-Service Fees'!ACW$23,Detail!$H:$H,'Rates-Service Fees'!ACW$17)*100</f>
        <v>0</v>
      </c>
      <c r="ACX38">
        <f>SUMIFS(Detail!$AW:$AW,Detail!$G:$G,'Rates-Service Fees'!ACX$23,Detail!$H:$H,'Rates-Service Fees'!ACX$17)*100</f>
        <v>0</v>
      </c>
      <c r="ACY38">
        <f>SUMIFS(Detail!$AW:$AW,Detail!$G:$G,'Rates-Service Fees'!ACY$23,Detail!$H:$H,'Rates-Service Fees'!ACY$17)*100</f>
        <v>0</v>
      </c>
      <c r="ACZ38">
        <f>SUMIFS(Detail!$AW:$AW,Detail!$G:$G,'Rates-Service Fees'!ACZ$23,Detail!$H:$H,'Rates-Service Fees'!ACZ$17)*100</f>
        <v>0</v>
      </c>
      <c r="ADA38">
        <f>SUMIFS(Detail!$AW:$AW,Detail!$G:$G,'Rates-Service Fees'!ADA$23,Detail!$H:$H,'Rates-Service Fees'!ADA$17)*100</f>
        <v>0</v>
      </c>
      <c r="ADB38">
        <f>SUMIFS(Detail!$AW:$AW,Detail!$G:$G,'Rates-Service Fees'!ADB$23,Detail!$H:$H,'Rates-Service Fees'!ADB$17)*100</f>
        <v>0</v>
      </c>
      <c r="ADC38">
        <f>SUMIFS(Detail!$AW:$AW,Detail!$G:$G,'Rates-Service Fees'!ADC$23,Detail!$H:$H,'Rates-Service Fees'!ADC$17)*100</f>
        <v>0</v>
      </c>
      <c r="ADD38">
        <f>SUMIFS(Detail!$AW:$AW,Detail!$G:$G,'Rates-Service Fees'!ADD$23,Detail!$H:$H,'Rates-Service Fees'!ADD$17)*100</f>
        <v>0</v>
      </c>
      <c r="ADE38">
        <f>SUMIFS(Detail!$AW:$AW,Detail!$G:$G,'Rates-Service Fees'!ADE$23,Detail!$H:$H,'Rates-Service Fees'!ADE$17)*100</f>
        <v>0</v>
      </c>
      <c r="ADF38">
        <f>SUMIFS(Detail!$AW:$AW,Detail!$G:$G,'Rates-Service Fees'!ADF$23,Detail!$H:$H,'Rates-Service Fees'!ADF$17)*100</f>
        <v>0</v>
      </c>
      <c r="ADG38">
        <f>SUMIFS(Detail!$AW:$AW,Detail!$G:$G,'Rates-Service Fees'!ADG$23,Detail!$H:$H,'Rates-Service Fees'!ADG$17)*100</f>
        <v>0</v>
      </c>
      <c r="ADH38">
        <f>SUMIFS(Detail!$AW:$AW,Detail!$G:$G,'Rates-Service Fees'!ADH$23,Detail!$H:$H,'Rates-Service Fees'!ADH$17)*100</f>
        <v>0</v>
      </c>
      <c r="ADI38">
        <f>SUMIFS(Detail!$AW:$AW,Detail!$G:$G,'Rates-Service Fees'!ADI$23,Detail!$H:$H,'Rates-Service Fees'!ADI$17)*100</f>
        <v>0</v>
      </c>
      <c r="ADJ38">
        <f>SUMIFS(Detail!$AW:$AW,Detail!$G:$G,'Rates-Service Fees'!ADJ$23,Detail!$H:$H,'Rates-Service Fees'!ADJ$17)*100</f>
        <v>0</v>
      </c>
      <c r="ADK38">
        <f>SUMIFS(Detail!$AW:$AW,Detail!$G:$G,'Rates-Service Fees'!ADK$23,Detail!$H:$H,'Rates-Service Fees'!ADK$17)*100</f>
        <v>0</v>
      </c>
      <c r="ADL38">
        <f>SUMIFS(Detail!$AW:$AW,Detail!$G:$G,'Rates-Service Fees'!ADL$23,Detail!$H:$H,'Rates-Service Fees'!ADL$17)*100</f>
        <v>0</v>
      </c>
      <c r="ADM38">
        <f>SUMIFS(Detail!$AW:$AW,Detail!$G:$G,'Rates-Service Fees'!ADM$23,Detail!$H:$H,'Rates-Service Fees'!ADM$17)*100</f>
        <v>0</v>
      </c>
      <c r="ADN38">
        <f>SUMIFS(Detail!$AW:$AW,Detail!$G:$G,'Rates-Service Fees'!ADN$23,Detail!$H:$H,'Rates-Service Fees'!ADN$17)*100</f>
        <v>0</v>
      </c>
      <c r="ADO38">
        <f>SUMIFS(Detail!$AW:$AW,Detail!$G:$G,'Rates-Service Fees'!ADO$23,Detail!$H:$H,'Rates-Service Fees'!ADO$17)*100</f>
        <v>0</v>
      </c>
      <c r="ADP38">
        <f>SUMIFS(Detail!$AW:$AW,Detail!$G:$G,'Rates-Service Fees'!ADP$23,Detail!$H:$H,'Rates-Service Fees'!ADP$17)*100</f>
        <v>0</v>
      </c>
      <c r="ADQ38">
        <f>SUMIFS(Detail!$AW:$AW,Detail!$G:$G,'Rates-Service Fees'!ADQ$23,Detail!$H:$H,'Rates-Service Fees'!ADQ$17)*100</f>
        <v>0</v>
      </c>
      <c r="ADR38">
        <f>SUMIFS(Detail!$AW:$AW,Detail!$G:$G,'Rates-Service Fees'!ADR$23,Detail!$H:$H,'Rates-Service Fees'!ADR$17)*100</f>
        <v>0</v>
      </c>
      <c r="ADS38">
        <f>SUMIFS(Detail!$AW:$AW,Detail!$G:$G,'Rates-Service Fees'!ADS$23,Detail!$H:$H,'Rates-Service Fees'!ADS$17)*100</f>
        <v>0</v>
      </c>
      <c r="ADT38">
        <f>SUMIFS(Detail!$AW:$AW,Detail!$G:$G,'Rates-Service Fees'!ADT$23,Detail!$H:$H,'Rates-Service Fees'!ADT$17)*100</f>
        <v>0</v>
      </c>
      <c r="ADU38">
        <f>SUMIFS(Detail!$AW:$AW,Detail!$G:$G,'Rates-Service Fees'!ADU$23,Detail!$H:$H,'Rates-Service Fees'!ADU$17)*100</f>
        <v>0</v>
      </c>
      <c r="ADV38">
        <f>SUMIFS(Detail!$AW:$AW,Detail!$G:$G,'Rates-Service Fees'!ADV$23,Detail!$H:$H,'Rates-Service Fees'!ADV$17)*100</f>
        <v>0</v>
      </c>
      <c r="ADW38">
        <f>SUMIFS(Detail!$AW:$AW,Detail!$G:$G,'Rates-Service Fees'!ADW$23,Detail!$H:$H,'Rates-Service Fees'!ADW$17)*100</f>
        <v>0</v>
      </c>
      <c r="ADX38">
        <f>SUMIFS(Detail!$AW:$AW,Detail!$G:$G,'Rates-Service Fees'!ADX$23,Detail!$H:$H,'Rates-Service Fees'!ADX$17)*100</f>
        <v>0</v>
      </c>
      <c r="ADY38">
        <f>SUMIFS(Detail!$AW:$AW,Detail!$G:$G,'Rates-Service Fees'!ADY$23,Detail!$H:$H,'Rates-Service Fees'!ADY$17)*100</f>
        <v>0</v>
      </c>
      <c r="ADZ38">
        <f>SUMIFS(Detail!$AW:$AW,Detail!$G:$G,'Rates-Service Fees'!ADZ$23,Detail!$H:$H,'Rates-Service Fees'!ADZ$17)*100</f>
        <v>0</v>
      </c>
      <c r="AEA38">
        <f>SUMIFS(Detail!$AW:$AW,Detail!$G:$G,'Rates-Service Fees'!AEA$23,Detail!$H:$H,'Rates-Service Fees'!AEA$17)*100</f>
        <v>0</v>
      </c>
      <c r="AEB38">
        <f>SUMIFS(Detail!$AW:$AW,Detail!$G:$G,'Rates-Service Fees'!AEB$23,Detail!$H:$H,'Rates-Service Fees'!AEB$17)*100</f>
        <v>0</v>
      </c>
      <c r="AEC38">
        <f>SUMIFS(Detail!$AW:$AW,Detail!$G:$G,'Rates-Service Fees'!AEC$23,Detail!$H:$H,'Rates-Service Fees'!AEC$17)*100</f>
        <v>0</v>
      </c>
      <c r="AED38">
        <f>SUMIFS(Detail!$AW:$AW,Detail!$G:$G,'Rates-Service Fees'!AED$23,Detail!$H:$H,'Rates-Service Fees'!AED$17)*100</f>
        <v>0</v>
      </c>
      <c r="AEE38">
        <f>SUMIFS(Detail!$AW:$AW,Detail!$G:$G,'Rates-Service Fees'!AEE$23,Detail!$H:$H,'Rates-Service Fees'!AEE$17)*100</f>
        <v>0</v>
      </c>
      <c r="AEF38">
        <f>SUMIFS(Detail!$AW:$AW,Detail!$G:$G,'Rates-Service Fees'!AEF$23,Detail!$H:$H,'Rates-Service Fees'!AEF$17)*100</f>
        <v>0</v>
      </c>
      <c r="AEG38">
        <f>SUMIFS(Detail!$AW:$AW,Detail!$G:$G,'Rates-Service Fees'!AEG$23,Detail!$H:$H,'Rates-Service Fees'!AEG$17)*100</f>
        <v>0</v>
      </c>
      <c r="AEH38">
        <f>SUMIFS(Detail!$AW:$AW,Detail!$G:$G,'Rates-Service Fees'!AEH$23,Detail!$H:$H,'Rates-Service Fees'!AEH$17)*100</f>
        <v>0</v>
      </c>
      <c r="AEI38">
        <f>SUMIFS(Detail!$AW:$AW,Detail!$G:$G,'Rates-Service Fees'!AEI$23,Detail!$H:$H,'Rates-Service Fees'!AEI$17)*100</f>
        <v>0</v>
      </c>
      <c r="AEJ38">
        <f>SUMIFS(Detail!$AW:$AW,Detail!$G:$G,'Rates-Service Fees'!AEJ$23,Detail!$H:$H,'Rates-Service Fees'!AEJ$17)*100</f>
        <v>0</v>
      </c>
      <c r="AEK38">
        <f>SUMIFS(Detail!$AW:$AW,Detail!$G:$G,'Rates-Service Fees'!AEK$23,Detail!$H:$H,'Rates-Service Fees'!AEK$17)*100</f>
        <v>0</v>
      </c>
      <c r="AEL38">
        <f>SUMIFS(Detail!$AW:$AW,Detail!$G:$G,'Rates-Service Fees'!AEL$23,Detail!$H:$H,'Rates-Service Fees'!AEL$17)*100</f>
        <v>0</v>
      </c>
      <c r="AEM38">
        <f>SUMIFS(Detail!$AW:$AW,Detail!$G:$G,'Rates-Service Fees'!AEM$23,Detail!$H:$H,'Rates-Service Fees'!AEM$17)*100</f>
        <v>0</v>
      </c>
      <c r="AEN38">
        <f>SUMIFS(Detail!$AW:$AW,Detail!$G:$G,'Rates-Service Fees'!AEN$23,Detail!$H:$H,'Rates-Service Fees'!AEN$17)*100</f>
        <v>0</v>
      </c>
      <c r="AEO38">
        <f>SUMIFS(Detail!$AW:$AW,Detail!$G:$G,'Rates-Service Fees'!AEO$23,Detail!$H:$H,'Rates-Service Fees'!AEO$17)*100</f>
        <v>0</v>
      </c>
      <c r="AEP38">
        <f>SUMIFS(Detail!$AW:$AW,Detail!$G:$G,'Rates-Service Fees'!AEP$23,Detail!$H:$H,'Rates-Service Fees'!AEP$17)*100</f>
        <v>0</v>
      </c>
      <c r="AEQ38">
        <f>SUMIFS(Detail!$AW:$AW,Detail!$G:$G,'Rates-Service Fees'!AEQ$23,Detail!$H:$H,'Rates-Service Fees'!AEQ$17)*100</f>
        <v>0</v>
      </c>
      <c r="AER38">
        <f>SUMIFS(Detail!$AW:$AW,Detail!$G:$G,'Rates-Service Fees'!AER$23,Detail!$H:$H,'Rates-Service Fees'!AER$17)*100</f>
        <v>0</v>
      </c>
      <c r="AES38">
        <f>SUMIFS(Detail!$AW:$AW,Detail!$G:$G,'Rates-Service Fees'!AES$23,Detail!$H:$H,'Rates-Service Fees'!AES$17)*100</f>
        <v>0</v>
      </c>
      <c r="AET38">
        <f>SUMIFS(Detail!$AW:$AW,Detail!$G:$G,'Rates-Service Fees'!AET$23,Detail!$H:$H,'Rates-Service Fees'!AET$17)*100</f>
        <v>0</v>
      </c>
      <c r="AEU38">
        <f>SUMIFS(Detail!$AW:$AW,Detail!$G:$G,'Rates-Service Fees'!AEU$23,Detail!$H:$H,'Rates-Service Fees'!AEU$17)*100</f>
        <v>0</v>
      </c>
      <c r="AEV38">
        <f>SUMIFS(Detail!$AW:$AW,Detail!$G:$G,'Rates-Service Fees'!AEV$23,Detail!$H:$H,'Rates-Service Fees'!AEV$17)*100</f>
        <v>0</v>
      </c>
      <c r="AEW38">
        <f>SUMIFS(Detail!$AW:$AW,Detail!$G:$G,'Rates-Service Fees'!AEW$23,Detail!$H:$H,'Rates-Service Fees'!AEW$17)*100</f>
        <v>0</v>
      </c>
      <c r="AEX38">
        <f>SUMIFS(Detail!$AW:$AW,Detail!$G:$G,'Rates-Service Fees'!AEX$23,Detail!$H:$H,'Rates-Service Fees'!AEX$17)*100</f>
        <v>0</v>
      </c>
      <c r="AEY38">
        <f>SUMIFS(Detail!$AW:$AW,Detail!$G:$G,'Rates-Service Fees'!AEY$23,Detail!$H:$H,'Rates-Service Fees'!AEY$17)*100</f>
        <v>0</v>
      </c>
      <c r="AEZ38">
        <f>SUMIFS(Detail!$AW:$AW,Detail!$G:$G,'Rates-Service Fees'!AEZ$23,Detail!$H:$H,'Rates-Service Fees'!AEZ$17)*100</f>
        <v>0</v>
      </c>
      <c r="AFA38">
        <f>SUMIFS(Detail!$AW:$AW,Detail!$G:$G,'Rates-Service Fees'!AFA$23,Detail!$H:$H,'Rates-Service Fees'!AFA$17)*100</f>
        <v>0</v>
      </c>
      <c r="AFB38">
        <f>SUMIFS(Detail!$AW:$AW,Detail!$G:$G,'Rates-Service Fees'!AFB$23,Detail!$H:$H,'Rates-Service Fees'!AFB$17)*100</f>
        <v>0</v>
      </c>
      <c r="AFC38">
        <f>SUMIFS(Detail!$AW:$AW,Detail!$G:$G,'Rates-Service Fees'!AFC$23,Detail!$H:$H,'Rates-Service Fees'!AFC$17)*100</f>
        <v>0</v>
      </c>
      <c r="AFD38">
        <f>SUMIFS(Detail!$AW:$AW,Detail!$G:$G,'Rates-Service Fees'!AFD$23,Detail!$H:$H,'Rates-Service Fees'!AFD$17)*100</f>
        <v>0</v>
      </c>
      <c r="AFE38">
        <f>SUMIFS(Detail!$AW:$AW,Detail!$G:$G,'Rates-Service Fees'!AFE$23,Detail!$H:$H,'Rates-Service Fees'!AFE$17)*100</f>
        <v>0</v>
      </c>
      <c r="AFF38">
        <f>SUMIFS(Detail!$AW:$AW,Detail!$G:$G,'Rates-Service Fees'!AFF$23,Detail!$H:$H,'Rates-Service Fees'!AFF$17)*100</f>
        <v>0</v>
      </c>
      <c r="AFG38">
        <f>SUMIFS(Detail!$AW:$AW,Detail!$G:$G,'Rates-Service Fees'!AFG$23,Detail!$H:$H,'Rates-Service Fees'!AFG$17)*100</f>
        <v>0</v>
      </c>
      <c r="AFH38">
        <f>SUMIFS(Detail!$AW:$AW,Detail!$G:$G,'Rates-Service Fees'!AFH$23,Detail!$H:$H,'Rates-Service Fees'!AFH$17)*100</f>
        <v>0</v>
      </c>
      <c r="AFI38">
        <f>SUMIFS(Detail!$AW:$AW,Detail!$G:$G,'Rates-Service Fees'!AFI$23,Detail!$H:$H,'Rates-Service Fees'!AFI$17)*100</f>
        <v>0</v>
      </c>
      <c r="AFJ38">
        <f>SUMIFS(Detail!$AW:$AW,Detail!$G:$G,'Rates-Service Fees'!AFJ$23,Detail!$H:$H,'Rates-Service Fees'!AFJ$17)*100</f>
        <v>0</v>
      </c>
      <c r="AFK38">
        <f>SUMIFS(Detail!$AW:$AW,Detail!$G:$G,'Rates-Service Fees'!AFK$23,Detail!$H:$H,'Rates-Service Fees'!AFK$17)*100</f>
        <v>0</v>
      </c>
      <c r="AFL38">
        <f>SUMIFS(Detail!$AW:$AW,Detail!$G:$G,'Rates-Service Fees'!AFL$23,Detail!$H:$H,'Rates-Service Fees'!AFL$17)*100</f>
        <v>0</v>
      </c>
      <c r="AFM38">
        <f>SUMIFS(Detail!$AW:$AW,Detail!$G:$G,'Rates-Service Fees'!AFM$23,Detail!$H:$H,'Rates-Service Fees'!AFM$17)*100</f>
        <v>0</v>
      </c>
      <c r="AFN38">
        <f>SUMIFS(Detail!$AW:$AW,Detail!$G:$G,'Rates-Service Fees'!AFN$23,Detail!$H:$H,'Rates-Service Fees'!AFN$17)*100</f>
        <v>0</v>
      </c>
      <c r="AFO38">
        <f>SUMIFS(Detail!$AW:$AW,Detail!$G:$G,'Rates-Service Fees'!AFO$23,Detail!$H:$H,'Rates-Service Fees'!AFO$17)*100</f>
        <v>0</v>
      </c>
      <c r="AFP38">
        <f>SUMIFS(Detail!$AW:$AW,Detail!$G:$G,'Rates-Service Fees'!AFP$23,Detail!$H:$H,'Rates-Service Fees'!AFP$17)*100</f>
        <v>0</v>
      </c>
      <c r="AFQ38">
        <f>SUMIFS(Detail!$AW:$AW,Detail!$G:$G,'Rates-Service Fees'!AFQ$23,Detail!$H:$H,'Rates-Service Fees'!AFQ$17)*100</f>
        <v>0</v>
      </c>
      <c r="AFR38">
        <f>SUMIFS(Detail!$AW:$AW,Detail!$G:$G,'Rates-Service Fees'!AFR$23,Detail!$H:$H,'Rates-Service Fees'!AFR$17)*100</f>
        <v>0</v>
      </c>
      <c r="AFS38">
        <f>SUMIFS(Detail!$AW:$AW,Detail!$G:$G,'Rates-Service Fees'!AFS$23,Detail!$H:$H,'Rates-Service Fees'!AFS$17)*100</f>
        <v>0</v>
      </c>
      <c r="AFT38">
        <f>SUMIFS(Detail!$AW:$AW,Detail!$G:$G,'Rates-Service Fees'!AFT$23,Detail!$H:$H,'Rates-Service Fees'!AFT$17)*100</f>
        <v>0</v>
      </c>
      <c r="AFU38">
        <f>SUMIFS(Detail!$AW:$AW,Detail!$G:$G,'Rates-Service Fees'!AFU$23,Detail!$H:$H,'Rates-Service Fees'!AFU$17)*100</f>
        <v>0</v>
      </c>
      <c r="AFV38">
        <f>SUMIFS(Detail!$AW:$AW,Detail!$G:$G,'Rates-Service Fees'!AFV$23,Detail!$H:$H,'Rates-Service Fees'!AFV$17)*100</f>
        <v>0</v>
      </c>
      <c r="AFW38">
        <f>SUMIFS(Detail!$AW:$AW,Detail!$G:$G,'Rates-Service Fees'!AFW$23,Detail!$H:$H,'Rates-Service Fees'!AFW$17)*100</f>
        <v>0</v>
      </c>
      <c r="AFX38">
        <f>SUMIFS(Detail!$AW:$AW,Detail!$G:$G,'Rates-Service Fees'!AFX$23,Detail!$H:$H,'Rates-Service Fees'!AFX$17)*100</f>
        <v>0</v>
      </c>
      <c r="AFY38">
        <f>SUMIFS(Detail!$AW:$AW,Detail!$G:$G,'Rates-Service Fees'!AFY$23,Detail!$H:$H,'Rates-Service Fees'!AFY$17)*100</f>
        <v>0</v>
      </c>
      <c r="AFZ38">
        <f>SUMIFS(Detail!$AW:$AW,Detail!$G:$G,'Rates-Service Fees'!AFZ$23,Detail!$H:$H,'Rates-Service Fees'!AFZ$17)*100</f>
        <v>0</v>
      </c>
      <c r="AGA38">
        <f>SUMIFS(Detail!$AW:$AW,Detail!$G:$G,'Rates-Service Fees'!AGA$23,Detail!$H:$H,'Rates-Service Fees'!AGA$17)*100</f>
        <v>0</v>
      </c>
      <c r="AGB38">
        <f>SUMIFS(Detail!$AW:$AW,Detail!$G:$G,'Rates-Service Fees'!AGB$23,Detail!$H:$H,'Rates-Service Fees'!AGB$17)*100</f>
        <v>0</v>
      </c>
      <c r="AGC38">
        <f>SUMIFS(Detail!$AW:$AW,Detail!$G:$G,'Rates-Service Fees'!AGC$23,Detail!$H:$H,'Rates-Service Fees'!AGC$17)*100</f>
        <v>0</v>
      </c>
      <c r="AGD38">
        <f>SUMIFS(Detail!$AW:$AW,Detail!$G:$G,'Rates-Service Fees'!AGD$23,Detail!$H:$H,'Rates-Service Fees'!AGD$17)*100</f>
        <v>0</v>
      </c>
      <c r="AGE38">
        <f>SUMIFS(Detail!$AW:$AW,Detail!$G:$G,'Rates-Service Fees'!AGE$23,Detail!$H:$H,'Rates-Service Fees'!AGE$17)*100</f>
        <v>0</v>
      </c>
      <c r="AGF38">
        <f>SUMIFS(Detail!$AW:$AW,Detail!$G:$G,'Rates-Service Fees'!AGF$23,Detail!$H:$H,'Rates-Service Fees'!AGF$17)*100</f>
        <v>0</v>
      </c>
      <c r="AGG38">
        <f>SUMIFS(Detail!$AW:$AW,Detail!$G:$G,'Rates-Service Fees'!AGG$23,Detail!$H:$H,'Rates-Service Fees'!AGG$17)*100</f>
        <v>0</v>
      </c>
      <c r="AGH38">
        <f>SUMIFS(Detail!$AW:$AW,Detail!$G:$G,'Rates-Service Fees'!AGH$23,Detail!$H:$H,'Rates-Service Fees'!AGH$17)*100</f>
        <v>0</v>
      </c>
      <c r="AGI38">
        <f>SUMIFS(Detail!$AW:$AW,Detail!$G:$G,'Rates-Service Fees'!AGI$23,Detail!$H:$H,'Rates-Service Fees'!AGI$17)*100</f>
        <v>0</v>
      </c>
      <c r="AGJ38">
        <f>SUMIFS(Detail!$AW:$AW,Detail!$G:$G,'Rates-Service Fees'!AGJ$23,Detail!$H:$H,'Rates-Service Fees'!AGJ$17)*100</f>
        <v>0</v>
      </c>
      <c r="AGK38">
        <f>SUMIFS(Detail!$AW:$AW,Detail!$G:$G,'Rates-Service Fees'!AGK$23,Detail!$H:$H,'Rates-Service Fees'!AGK$17)*100</f>
        <v>0</v>
      </c>
      <c r="AGL38">
        <f>SUMIFS(Detail!$AW:$AW,Detail!$G:$G,'Rates-Service Fees'!AGL$23,Detail!$H:$H,'Rates-Service Fees'!AGL$17)*100</f>
        <v>0</v>
      </c>
      <c r="AGM38">
        <f>SUMIFS(Detail!$AW:$AW,Detail!$G:$G,'Rates-Service Fees'!AGM$23,Detail!$H:$H,'Rates-Service Fees'!AGM$17)*100</f>
        <v>0</v>
      </c>
      <c r="AGN38">
        <f>SUMIFS(Detail!$AW:$AW,Detail!$G:$G,'Rates-Service Fees'!AGN$23,Detail!$H:$H,'Rates-Service Fees'!AGN$17)*100</f>
        <v>0</v>
      </c>
      <c r="AGO38">
        <f>SUMIFS(Detail!$AW:$AW,Detail!$G:$G,'Rates-Service Fees'!AGO$23,Detail!$H:$H,'Rates-Service Fees'!AGO$17)*100</f>
        <v>0</v>
      </c>
      <c r="AGP38">
        <f>SUMIFS(Detail!$AW:$AW,Detail!$G:$G,'Rates-Service Fees'!AGP$23,Detail!$H:$H,'Rates-Service Fees'!AGP$17)*100</f>
        <v>0</v>
      </c>
      <c r="AGQ38">
        <f>SUMIFS(Detail!$AW:$AW,Detail!$G:$G,'Rates-Service Fees'!AGQ$23,Detail!$H:$H,'Rates-Service Fees'!AGQ$17)*100</f>
        <v>0</v>
      </c>
      <c r="AGR38">
        <f>SUMIFS(Detail!$AW:$AW,Detail!$G:$G,'Rates-Service Fees'!AGR$23,Detail!$H:$H,'Rates-Service Fees'!AGR$17)*100</f>
        <v>0</v>
      </c>
      <c r="AGS38">
        <f>SUMIFS(Detail!$AW:$AW,Detail!$G:$G,'Rates-Service Fees'!AGS$23,Detail!$H:$H,'Rates-Service Fees'!AGS$17)*100</f>
        <v>0</v>
      </c>
      <c r="AGT38">
        <f>SUMIFS(Detail!$AW:$AW,Detail!$G:$G,'Rates-Service Fees'!AGT$23,Detail!$H:$H,'Rates-Service Fees'!AGT$17)*100</f>
        <v>0</v>
      </c>
      <c r="AGU38">
        <f>SUMIFS(Detail!$AW:$AW,Detail!$G:$G,'Rates-Service Fees'!AGU$23,Detail!$H:$H,'Rates-Service Fees'!AGU$17)*100</f>
        <v>0</v>
      </c>
      <c r="AGV38">
        <f>SUMIFS(Detail!$AW:$AW,Detail!$G:$G,'Rates-Service Fees'!AGV$23,Detail!$H:$H,'Rates-Service Fees'!AGV$17)*100</f>
        <v>0</v>
      </c>
      <c r="AGW38">
        <f>SUMIFS(Detail!$AW:$AW,Detail!$G:$G,'Rates-Service Fees'!AGW$23,Detail!$H:$H,'Rates-Service Fees'!AGW$17)*100</f>
        <v>0</v>
      </c>
      <c r="AGX38">
        <f>SUMIFS(Detail!$AW:$AW,Detail!$G:$G,'Rates-Service Fees'!AGX$23,Detail!$H:$H,'Rates-Service Fees'!AGX$17)*100</f>
        <v>0</v>
      </c>
      <c r="AGY38">
        <f>SUMIFS(Detail!$AW:$AW,Detail!$G:$G,'Rates-Service Fees'!AGY$23,Detail!$H:$H,'Rates-Service Fees'!AGY$17)*100</f>
        <v>0</v>
      </c>
      <c r="AGZ38">
        <f>SUMIFS(Detail!$AW:$AW,Detail!$G:$G,'Rates-Service Fees'!AGZ$23,Detail!$H:$H,'Rates-Service Fees'!AGZ$17)*100</f>
        <v>0</v>
      </c>
      <c r="AHA38">
        <f>SUMIFS(Detail!$AW:$AW,Detail!$G:$G,'Rates-Service Fees'!AHA$23,Detail!$H:$H,'Rates-Service Fees'!AHA$17)*100</f>
        <v>0</v>
      </c>
      <c r="AHB38">
        <f>SUMIFS(Detail!$AW:$AW,Detail!$G:$G,'Rates-Service Fees'!AHB$23,Detail!$H:$H,'Rates-Service Fees'!AHB$17)*100</f>
        <v>0</v>
      </c>
      <c r="AHC38">
        <f>SUMIFS(Detail!$AW:$AW,Detail!$G:$G,'Rates-Service Fees'!AHC$23,Detail!$H:$H,'Rates-Service Fees'!AHC$17)*100</f>
        <v>0</v>
      </c>
      <c r="AHD38">
        <f>SUMIFS(Detail!$AW:$AW,Detail!$G:$G,'Rates-Service Fees'!AHD$23,Detail!$H:$H,'Rates-Service Fees'!AHD$17)*100</f>
        <v>0</v>
      </c>
      <c r="AHE38">
        <f>SUMIFS(Detail!$AW:$AW,Detail!$G:$G,'Rates-Service Fees'!AHE$23,Detail!$H:$H,'Rates-Service Fees'!AHE$17)*100</f>
        <v>0</v>
      </c>
      <c r="AHF38">
        <f>SUMIFS(Detail!$AW:$AW,Detail!$G:$G,'Rates-Service Fees'!AHF$23,Detail!$H:$H,'Rates-Service Fees'!AHF$17)*100</f>
        <v>0</v>
      </c>
      <c r="AHG38">
        <f>SUMIFS(Detail!$AW:$AW,Detail!$G:$G,'Rates-Service Fees'!AHG$23,Detail!$H:$H,'Rates-Service Fees'!AHG$17)*100</f>
        <v>0</v>
      </c>
      <c r="AHH38">
        <f>SUMIFS(Detail!$AW:$AW,Detail!$G:$G,'Rates-Service Fees'!AHH$23,Detail!$H:$H,'Rates-Service Fees'!AHH$17)*100</f>
        <v>0</v>
      </c>
      <c r="AHI38">
        <f>SUMIFS(Detail!$AW:$AW,Detail!$G:$G,'Rates-Service Fees'!AHI$23,Detail!$H:$H,'Rates-Service Fees'!AHI$17)*100</f>
        <v>0</v>
      </c>
      <c r="AHJ38">
        <f>SUMIFS(Detail!$AW:$AW,Detail!$G:$G,'Rates-Service Fees'!AHJ$23,Detail!$H:$H,'Rates-Service Fees'!AHJ$17)*100</f>
        <v>0</v>
      </c>
      <c r="AHK38">
        <f>SUMIFS(Detail!$AW:$AW,Detail!$G:$G,'Rates-Service Fees'!AHK$23,Detail!$H:$H,'Rates-Service Fees'!AHK$17)*100</f>
        <v>0</v>
      </c>
      <c r="AHL38">
        <f>SUMIFS(Detail!$AW:$AW,Detail!$G:$G,'Rates-Service Fees'!AHL$23,Detail!$H:$H,'Rates-Service Fees'!AHL$17)*100</f>
        <v>0</v>
      </c>
      <c r="AHM38">
        <f>SUMIFS(Detail!$AW:$AW,Detail!$G:$G,'Rates-Service Fees'!AHM$23,Detail!$H:$H,'Rates-Service Fees'!AHM$17)*100</f>
        <v>0</v>
      </c>
      <c r="AHN38">
        <f>SUMIFS(Detail!$AW:$AW,Detail!$G:$G,'Rates-Service Fees'!AHN$23,Detail!$H:$H,'Rates-Service Fees'!AHN$17)*100</f>
        <v>0</v>
      </c>
      <c r="AHO38">
        <f>SUMIFS(Detail!$AW:$AW,Detail!$G:$G,'Rates-Service Fees'!AHO$23,Detail!$H:$H,'Rates-Service Fees'!AHO$17)*100</f>
        <v>0</v>
      </c>
      <c r="AHP38">
        <f>SUMIFS(Detail!$AW:$AW,Detail!$G:$G,'Rates-Service Fees'!AHP$23,Detail!$H:$H,'Rates-Service Fees'!AHP$17)*100</f>
        <v>0</v>
      </c>
      <c r="AHQ38">
        <f>SUMIFS(Detail!$AW:$AW,Detail!$G:$G,'Rates-Service Fees'!AHQ$23,Detail!$H:$H,'Rates-Service Fees'!AHQ$17)*100</f>
        <v>0</v>
      </c>
      <c r="AHR38">
        <f>SUMIFS(Detail!$AW:$AW,Detail!$G:$G,'Rates-Service Fees'!AHR$23,Detail!$H:$H,'Rates-Service Fees'!AHR$17)*100</f>
        <v>0</v>
      </c>
      <c r="AHS38">
        <f>SUMIFS(Detail!$AW:$AW,Detail!$G:$G,'Rates-Service Fees'!AHS$23,Detail!$H:$H,'Rates-Service Fees'!AHS$17)*100</f>
        <v>0</v>
      </c>
      <c r="AHT38">
        <f>SUMIFS(Detail!$AW:$AW,Detail!$G:$G,'Rates-Service Fees'!AHT$23,Detail!$H:$H,'Rates-Service Fees'!AHT$17)*100</f>
        <v>0</v>
      </c>
      <c r="AHU38">
        <f>SUMIFS(Detail!$AW:$AW,Detail!$G:$G,'Rates-Service Fees'!AHU$23,Detail!$H:$H,'Rates-Service Fees'!AHU$17)*100</f>
        <v>0</v>
      </c>
      <c r="AHV38">
        <f>SUMIFS(Detail!$AW:$AW,Detail!$G:$G,'Rates-Service Fees'!AHV$23,Detail!$H:$H,'Rates-Service Fees'!AHV$17)*100</f>
        <v>0</v>
      </c>
      <c r="AHW38">
        <f>SUMIFS(Detail!$AW:$AW,Detail!$G:$G,'Rates-Service Fees'!AHW$23,Detail!$H:$H,'Rates-Service Fees'!AHW$17)*100</f>
        <v>0</v>
      </c>
      <c r="AHX38">
        <f>SUMIFS(Detail!$AW:$AW,Detail!$G:$G,'Rates-Service Fees'!AHX$23,Detail!$H:$H,'Rates-Service Fees'!AHX$17)*100</f>
        <v>0</v>
      </c>
      <c r="AHY38">
        <f>SUMIFS(Detail!$AW:$AW,Detail!$G:$G,'Rates-Service Fees'!AHY$23,Detail!$H:$H,'Rates-Service Fees'!AHY$17)*100</f>
        <v>0</v>
      </c>
      <c r="AHZ38">
        <f>SUMIFS(Detail!$AW:$AW,Detail!$G:$G,'Rates-Service Fees'!AHZ$23,Detail!$H:$H,'Rates-Service Fees'!AHZ$17)*100</f>
        <v>0</v>
      </c>
      <c r="AIA38">
        <f>SUMIFS(Detail!$AW:$AW,Detail!$G:$G,'Rates-Service Fees'!AIA$23,Detail!$H:$H,'Rates-Service Fees'!AIA$17)*100</f>
        <v>0</v>
      </c>
      <c r="AIB38">
        <f>SUMIFS(Detail!$AW:$AW,Detail!$G:$G,'Rates-Service Fees'!AIB$23,Detail!$H:$H,'Rates-Service Fees'!AIB$17)*100</f>
        <v>0</v>
      </c>
      <c r="AIC38">
        <f>SUMIFS(Detail!$AW:$AW,Detail!$G:$G,'Rates-Service Fees'!AIC$23,Detail!$H:$H,'Rates-Service Fees'!AIC$17)*100</f>
        <v>0</v>
      </c>
      <c r="AID38">
        <f>SUMIFS(Detail!$AW:$AW,Detail!$G:$G,'Rates-Service Fees'!AID$23,Detail!$H:$H,'Rates-Service Fees'!AID$17)*100</f>
        <v>0</v>
      </c>
      <c r="AIE38">
        <f>SUMIFS(Detail!$AW:$AW,Detail!$G:$G,'Rates-Service Fees'!AIE$23,Detail!$H:$H,'Rates-Service Fees'!AIE$17)*100</f>
        <v>0</v>
      </c>
      <c r="AIF38">
        <f>SUMIFS(Detail!$AW:$AW,Detail!$G:$G,'Rates-Service Fees'!AIF$23,Detail!$H:$H,'Rates-Service Fees'!AIF$17)*100</f>
        <v>0</v>
      </c>
      <c r="AIG38">
        <f>SUMIFS(Detail!$AW:$AW,Detail!$G:$G,'Rates-Service Fees'!AIG$23,Detail!$H:$H,'Rates-Service Fees'!AIG$17)*100</f>
        <v>0</v>
      </c>
      <c r="AIH38">
        <f>SUMIFS(Detail!$AW:$AW,Detail!$G:$G,'Rates-Service Fees'!AIH$23,Detail!$H:$H,'Rates-Service Fees'!AIH$17)*100</f>
        <v>0</v>
      </c>
      <c r="AII38">
        <f>SUMIFS(Detail!$AW:$AW,Detail!$G:$G,'Rates-Service Fees'!AII$23,Detail!$H:$H,'Rates-Service Fees'!AII$17)*100</f>
        <v>0</v>
      </c>
      <c r="AIJ38">
        <f>SUMIFS(Detail!$AW:$AW,Detail!$G:$G,'Rates-Service Fees'!AIJ$23,Detail!$H:$H,'Rates-Service Fees'!AIJ$17)*100</f>
        <v>0</v>
      </c>
      <c r="AIK38">
        <f>SUMIFS(Detail!$AW:$AW,Detail!$G:$G,'Rates-Service Fees'!AIK$23,Detail!$H:$H,'Rates-Service Fees'!AIK$17)*100</f>
        <v>0</v>
      </c>
      <c r="AIL38">
        <f>SUMIFS(Detail!$AW:$AW,Detail!$G:$G,'Rates-Service Fees'!AIL$23,Detail!$H:$H,'Rates-Service Fees'!AIL$17)*100</f>
        <v>0</v>
      </c>
      <c r="AIM38">
        <f>SUMIFS(Detail!$AW:$AW,Detail!$G:$G,'Rates-Service Fees'!AIM$23,Detail!$H:$H,'Rates-Service Fees'!AIM$17)*100</f>
        <v>0</v>
      </c>
      <c r="AIN38">
        <f>SUMIFS(Detail!$AW:$AW,Detail!$G:$G,'Rates-Service Fees'!AIN$23,Detail!$H:$H,'Rates-Service Fees'!AIN$17)*100</f>
        <v>0</v>
      </c>
      <c r="AIO38">
        <f>SUMIFS(Detail!$AW:$AW,Detail!$G:$G,'Rates-Service Fees'!AIO$23,Detail!$H:$H,'Rates-Service Fees'!AIO$17)*100</f>
        <v>0</v>
      </c>
      <c r="AIP38">
        <f>SUMIFS(Detail!$AW:$AW,Detail!$G:$G,'Rates-Service Fees'!AIP$23,Detail!$H:$H,'Rates-Service Fees'!AIP$17)*100</f>
        <v>0</v>
      </c>
      <c r="AIQ38">
        <f>SUMIFS(Detail!$AW:$AW,Detail!$G:$G,'Rates-Service Fees'!AIQ$23,Detail!$H:$H,'Rates-Service Fees'!AIQ$17)*100</f>
        <v>0</v>
      </c>
      <c r="AIR38">
        <f>SUMIFS(Detail!$AW:$AW,Detail!$G:$G,'Rates-Service Fees'!AIR$23,Detail!$H:$H,'Rates-Service Fees'!AIR$17)*100</f>
        <v>0</v>
      </c>
      <c r="AIS38">
        <f>SUMIFS(Detail!$AW:$AW,Detail!$G:$G,'Rates-Service Fees'!AIS$23,Detail!$H:$H,'Rates-Service Fees'!AIS$17)*100</f>
        <v>0</v>
      </c>
      <c r="AIT38">
        <f>SUMIFS(Detail!$AW:$AW,Detail!$G:$G,'Rates-Service Fees'!AIT$23,Detail!$H:$H,'Rates-Service Fees'!AIT$17)*100</f>
        <v>0</v>
      </c>
      <c r="AIU38">
        <f>SUMIFS(Detail!$AW:$AW,Detail!$G:$G,'Rates-Service Fees'!AIU$23,Detail!$H:$H,'Rates-Service Fees'!AIU$17)*100</f>
        <v>0</v>
      </c>
      <c r="AIV38">
        <f>SUMIFS(Detail!$AW:$AW,Detail!$G:$G,'Rates-Service Fees'!AIV$23,Detail!$H:$H,'Rates-Service Fees'!AIV$17)*100</f>
        <v>0</v>
      </c>
      <c r="AIW38">
        <f>SUMIFS(Detail!$AW:$AW,Detail!$G:$G,'Rates-Service Fees'!AIW$23,Detail!$H:$H,'Rates-Service Fees'!AIW$17)*100</f>
        <v>0</v>
      </c>
      <c r="AIX38">
        <f>SUMIFS(Detail!$AW:$AW,Detail!$G:$G,'Rates-Service Fees'!AIX$23,Detail!$H:$H,'Rates-Service Fees'!AIX$17)*100</f>
        <v>0</v>
      </c>
      <c r="AIY38">
        <f>SUMIFS(Detail!$AW:$AW,Detail!$G:$G,'Rates-Service Fees'!AIY$23,Detail!$H:$H,'Rates-Service Fees'!AIY$17)*100</f>
        <v>0</v>
      </c>
      <c r="AIZ38">
        <f>SUMIFS(Detail!$AW:$AW,Detail!$G:$G,'Rates-Service Fees'!AIZ$23,Detail!$H:$H,'Rates-Service Fees'!AIZ$17)*100</f>
        <v>0</v>
      </c>
      <c r="AJA38">
        <f>SUMIFS(Detail!$AW:$AW,Detail!$G:$G,'Rates-Service Fees'!AJA$23,Detail!$H:$H,'Rates-Service Fees'!AJA$17)*100</f>
        <v>0</v>
      </c>
      <c r="AJB38">
        <f>SUMIFS(Detail!$AW:$AW,Detail!$G:$G,'Rates-Service Fees'!AJB$23,Detail!$H:$H,'Rates-Service Fees'!AJB$17)*100</f>
        <v>0</v>
      </c>
      <c r="AJC38">
        <f>SUMIFS(Detail!$AW:$AW,Detail!$G:$G,'Rates-Service Fees'!AJC$23,Detail!$H:$H,'Rates-Service Fees'!AJC$17)*100</f>
        <v>0</v>
      </c>
      <c r="AJD38">
        <f>SUMIFS(Detail!$AW:$AW,Detail!$G:$G,'Rates-Service Fees'!AJD$23,Detail!$H:$H,'Rates-Service Fees'!AJD$17)*100</f>
        <v>0</v>
      </c>
      <c r="AJE38">
        <f>SUMIFS(Detail!$AW:$AW,Detail!$G:$G,'Rates-Service Fees'!AJE$23,Detail!$H:$H,'Rates-Service Fees'!AJE$17)*100</f>
        <v>0</v>
      </c>
      <c r="AJF38">
        <f>SUMIFS(Detail!$AW:$AW,Detail!$G:$G,'Rates-Service Fees'!AJF$23,Detail!$H:$H,'Rates-Service Fees'!AJF$17)*100</f>
        <v>0</v>
      </c>
      <c r="AJG38">
        <f>SUMIFS(Detail!$AW:$AW,Detail!$G:$G,'Rates-Service Fees'!AJG$23,Detail!$H:$H,'Rates-Service Fees'!AJG$17)*100</f>
        <v>0</v>
      </c>
      <c r="AJH38">
        <f>SUMIFS(Detail!$AW:$AW,Detail!$G:$G,'Rates-Service Fees'!AJH$23,Detail!$H:$H,'Rates-Service Fees'!AJH$17)*100</f>
        <v>0</v>
      </c>
      <c r="AJI38">
        <f>SUMIFS(Detail!$AW:$AW,Detail!$G:$G,'Rates-Service Fees'!AJI$23,Detail!$H:$H,'Rates-Service Fees'!AJI$17)*100</f>
        <v>0</v>
      </c>
      <c r="AJJ38">
        <f>SUMIFS(Detail!$AW:$AW,Detail!$G:$G,'Rates-Service Fees'!AJJ$23,Detail!$H:$H,'Rates-Service Fees'!AJJ$17)*100</f>
        <v>0</v>
      </c>
      <c r="AJK38">
        <f>SUMIFS(Detail!$AW:$AW,Detail!$G:$G,'Rates-Service Fees'!AJK$23,Detail!$H:$H,'Rates-Service Fees'!AJK$17)*100</f>
        <v>0</v>
      </c>
      <c r="AJL38">
        <f>SUMIFS(Detail!$AW:$AW,Detail!$G:$G,'Rates-Service Fees'!AJL$23,Detail!$H:$H,'Rates-Service Fees'!AJL$17)*100</f>
        <v>0</v>
      </c>
      <c r="AJM38">
        <f>SUMIFS(Detail!$AW:$AW,Detail!$G:$G,'Rates-Service Fees'!AJM$23,Detail!$H:$H,'Rates-Service Fees'!AJM$17)*100</f>
        <v>0</v>
      </c>
      <c r="AJN38">
        <f>SUMIFS(Detail!$AW:$AW,Detail!$G:$G,'Rates-Service Fees'!AJN$23,Detail!$H:$H,'Rates-Service Fees'!AJN$17)*100</f>
        <v>0</v>
      </c>
      <c r="AJO38">
        <f>SUMIFS(Detail!$AW:$AW,Detail!$G:$G,'Rates-Service Fees'!AJO$23,Detail!$H:$H,'Rates-Service Fees'!AJO$17)*100</f>
        <v>0</v>
      </c>
      <c r="AJP38">
        <f>SUMIFS(Detail!$AW:$AW,Detail!$G:$G,'Rates-Service Fees'!AJP$23,Detail!$H:$H,'Rates-Service Fees'!AJP$17)*100</f>
        <v>0</v>
      </c>
      <c r="AJQ38">
        <f>SUMIFS(Detail!$AW:$AW,Detail!$G:$G,'Rates-Service Fees'!AJQ$23,Detail!$H:$H,'Rates-Service Fees'!AJQ$17)*100</f>
        <v>0</v>
      </c>
      <c r="AJR38">
        <f>SUMIFS(Detail!$AW:$AW,Detail!$G:$G,'Rates-Service Fees'!AJR$23,Detail!$H:$H,'Rates-Service Fees'!AJR$17)*100</f>
        <v>0</v>
      </c>
      <c r="AJS38">
        <f>SUMIFS(Detail!$AW:$AW,Detail!$G:$G,'Rates-Service Fees'!AJS$23,Detail!$H:$H,'Rates-Service Fees'!AJS$17)*100</f>
        <v>0</v>
      </c>
      <c r="AJT38">
        <f>SUMIFS(Detail!$AW:$AW,Detail!$G:$G,'Rates-Service Fees'!AJT$23,Detail!$H:$H,'Rates-Service Fees'!AJT$17)*100</f>
        <v>0</v>
      </c>
      <c r="AJU38">
        <f>SUMIFS(Detail!$AW:$AW,Detail!$G:$G,'Rates-Service Fees'!AJU$23,Detail!$H:$H,'Rates-Service Fees'!AJU$17)*100</f>
        <v>0</v>
      </c>
      <c r="AJV38">
        <f>SUMIFS(Detail!$AW:$AW,Detail!$G:$G,'Rates-Service Fees'!AJV$23,Detail!$H:$H,'Rates-Service Fees'!AJV$17)*100</f>
        <v>0</v>
      </c>
      <c r="AJW38">
        <f>SUMIFS(Detail!$AW:$AW,Detail!$G:$G,'Rates-Service Fees'!AJW$23,Detail!$H:$H,'Rates-Service Fees'!AJW$17)*100</f>
        <v>0</v>
      </c>
      <c r="AJX38">
        <f>SUMIFS(Detail!$AW:$AW,Detail!$G:$G,'Rates-Service Fees'!AJX$23,Detail!$H:$H,'Rates-Service Fees'!AJX$17)*100</f>
        <v>0</v>
      </c>
      <c r="AJY38">
        <f>SUMIFS(Detail!$AW:$AW,Detail!$G:$G,'Rates-Service Fees'!AJY$23,Detail!$H:$H,'Rates-Service Fees'!AJY$17)*100</f>
        <v>0</v>
      </c>
      <c r="AJZ38">
        <f>SUMIFS(Detail!$AW:$AW,Detail!$G:$G,'Rates-Service Fees'!AJZ$23,Detail!$H:$H,'Rates-Service Fees'!AJZ$17)*100</f>
        <v>0</v>
      </c>
      <c r="AKA38">
        <f>SUMIFS(Detail!$AW:$AW,Detail!$G:$G,'Rates-Service Fees'!AKA$23,Detail!$H:$H,'Rates-Service Fees'!AKA$17)*100</f>
        <v>0</v>
      </c>
      <c r="AKB38">
        <f>SUMIFS(Detail!$AW:$AW,Detail!$G:$G,'Rates-Service Fees'!AKB$23,Detail!$H:$H,'Rates-Service Fees'!AKB$17)*100</f>
        <v>0</v>
      </c>
      <c r="AKC38">
        <f>SUMIFS(Detail!$AW:$AW,Detail!$G:$G,'Rates-Service Fees'!AKC$23,Detail!$H:$H,'Rates-Service Fees'!AKC$17)*100</f>
        <v>0</v>
      </c>
      <c r="AKD38">
        <f>SUMIFS(Detail!$AW:$AW,Detail!$G:$G,'Rates-Service Fees'!AKD$23,Detail!$H:$H,'Rates-Service Fees'!AKD$17)*100</f>
        <v>0</v>
      </c>
      <c r="AKE38">
        <f>SUMIFS(Detail!$AW:$AW,Detail!$G:$G,'Rates-Service Fees'!AKE$23,Detail!$H:$H,'Rates-Service Fees'!AKE$17)*100</f>
        <v>0</v>
      </c>
      <c r="AKF38">
        <f>SUMIFS(Detail!$AW:$AW,Detail!$G:$G,'Rates-Service Fees'!AKF$23,Detail!$H:$H,'Rates-Service Fees'!AKF$17)*100</f>
        <v>0</v>
      </c>
      <c r="AKG38">
        <f>SUMIFS(Detail!$AW:$AW,Detail!$G:$G,'Rates-Service Fees'!AKG$23,Detail!$H:$H,'Rates-Service Fees'!AKG$17)*100</f>
        <v>0</v>
      </c>
      <c r="AKH38">
        <f>SUMIFS(Detail!$AW:$AW,Detail!$G:$G,'Rates-Service Fees'!AKH$23,Detail!$H:$H,'Rates-Service Fees'!AKH$17)*100</f>
        <v>0</v>
      </c>
      <c r="AKI38">
        <f>SUMIFS(Detail!$AW:$AW,Detail!$G:$G,'Rates-Service Fees'!AKI$23,Detail!$H:$H,'Rates-Service Fees'!AKI$17)*100</f>
        <v>0</v>
      </c>
      <c r="AKJ38">
        <f>SUMIFS(Detail!$AW:$AW,Detail!$G:$G,'Rates-Service Fees'!AKJ$23,Detail!$H:$H,'Rates-Service Fees'!AKJ$17)*100</f>
        <v>0</v>
      </c>
      <c r="AKK38">
        <f>SUMIFS(Detail!$AW:$AW,Detail!$G:$G,'Rates-Service Fees'!AKK$23,Detail!$H:$H,'Rates-Service Fees'!AKK$17)*100</f>
        <v>0</v>
      </c>
      <c r="AKL38">
        <f>SUMIFS(Detail!$AW:$AW,Detail!$G:$G,'Rates-Service Fees'!AKL$23,Detail!$H:$H,'Rates-Service Fees'!AKL$17)*100</f>
        <v>0</v>
      </c>
      <c r="AKM38">
        <f>SUMIFS(Detail!$AW:$AW,Detail!$G:$G,'Rates-Service Fees'!AKM$23,Detail!$H:$H,'Rates-Service Fees'!AKM$17)*100</f>
        <v>0</v>
      </c>
      <c r="AKN38">
        <f>SUMIFS(Detail!$AW:$AW,Detail!$G:$G,'Rates-Service Fees'!AKN$23,Detail!$H:$H,'Rates-Service Fees'!AKN$17)*100</f>
        <v>0</v>
      </c>
      <c r="AKO38">
        <f>SUMIFS(Detail!$AW:$AW,Detail!$G:$G,'Rates-Service Fees'!AKO$23,Detail!$H:$H,'Rates-Service Fees'!AKO$17)*100</f>
        <v>0</v>
      </c>
      <c r="AKP38">
        <f>SUMIFS(Detail!$AW:$AW,Detail!$G:$G,'Rates-Service Fees'!AKP$23,Detail!$H:$H,'Rates-Service Fees'!AKP$17)*100</f>
        <v>0</v>
      </c>
      <c r="AKQ38">
        <f>SUMIFS(Detail!$AW:$AW,Detail!$G:$G,'Rates-Service Fees'!AKQ$23,Detail!$H:$H,'Rates-Service Fees'!AKQ$17)*100</f>
        <v>0</v>
      </c>
      <c r="AKR38">
        <f>SUMIFS(Detail!$AW:$AW,Detail!$G:$G,'Rates-Service Fees'!AKR$23,Detail!$H:$H,'Rates-Service Fees'!AKR$17)*100</f>
        <v>0</v>
      </c>
      <c r="AKS38">
        <f>SUMIFS(Detail!$AW:$AW,Detail!$G:$G,'Rates-Service Fees'!AKS$23,Detail!$H:$H,'Rates-Service Fees'!AKS$17)*100</f>
        <v>0</v>
      </c>
      <c r="AKT38">
        <f>SUMIFS(Detail!$AW:$AW,Detail!$G:$G,'Rates-Service Fees'!AKT$23,Detail!$H:$H,'Rates-Service Fees'!AKT$17)*100</f>
        <v>0</v>
      </c>
      <c r="AKU38">
        <f>SUMIFS(Detail!$AW:$AW,Detail!$G:$G,'Rates-Service Fees'!AKU$23,Detail!$H:$H,'Rates-Service Fees'!AKU$17)*100</f>
        <v>0</v>
      </c>
      <c r="AKV38">
        <f>SUMIFS(Detail!$AW:$AW,Detail!$G:$G,'Rates-Service Fees'!AKV$23,Detail!$H:$H,'Rates-Service Fees'!AKV$17)*100</f>
        <v>0</v>
      </c>
      <c r="AKW38">
        <f>SUMIFS(Detail!$AW:$AW,Detail!$G:$G,'Rates-Service Fees'!AKW$23,Detail!$H:$H,'Rates-Service Fees'!AKW$17)*100</f>
        <v>0</v>
      </c>
      <c r="AKX38">
        <f>SUMIFS(Detail!$AW:$AW,Detail!$G:$G,'Rates-Service Fees'!AKX$23,Detail!$H:$H,'Rates-Service Fees'!AKX$17)*100</f>
        <v>0</v>
      </c>
      <c r="AKY38">
        <f>SUMIFS(Detail!$AW:$AW,Detail!$G:$G,'Rates-Service Fees'!AKY$23,Detail!$H:$H,'Rates-Service Fees'!AKY$17)*100</f>
        <v>0</v>
      </c>
      <c r="AKZ38">
        <f>SUMIFS(Detail!$AW:$AW,Detail!$G:$G,'Rates-Service Fees'!AKZ$23,Detail!$H:$H,'Rates-Service Fees'!AKZ$17)*100</f>
        <v>0</v>
      </c>
      <c r="ALA38">
        <f>SUMIFS(Detail!$AW:$AW,Detail!$G:$G,'Rates-Service Fees'!ALA$23,Detail!$H:$H,'Rates-Service Fees'!ALA$17)*100</f>
        <v>0</v>
      </c>
      <c r="ALB38">
        <f>SUMIFS(Detail!$AW:$AW,Detail!$G:$G,'Rates-Service Fees'!ALB$23,Detail!$H:$H,'Rates-Service Fees'!ALB$17)*100</f>
        <v>0</v>
      </c>
      <c r="ALC38">
        <f>SUMIFS(Detail!$AW:$AW,Detail!$G:$G,'Rates-Service Fees'!ALC$23,Detail!$H:$H,'Rates-Service Fees'!ALC$17)*100</f>
        <v>0</v>
      </c>
      <c r="ALD38">
        <f>SUMIFS(Detail!$AW:$AW,Detail!$G:$G,'Rates-Service Fees'!ALD$23,Detail!$H:$H,'Rates-Service Fees'!ALD$17)*100</f>
        <v>0</v>
      </c>
      <c r="ALE38">
        <f>SUMIFS(Detail!$AW:$AW,Detail!$G:$G,'Rates-Service Fees'!ALE$23,Detail!$H:$H,'Rates-Service Fees'!ALE$17)*100</f>
        <v>0</v>
      </c>
      <c r="ALF38">
        <f>SUMIFS(Detail!$AW:$AW,Detail!$G:$G,'Rates-Service Fees'!ALF$23,Detail!$H:$H,'Rates-Service Fees'!ALF$17)*100</f>
        <v>0</v>
      </c>
      <c r="ALG38">
        <f>SUMIFS(Detail!$AW:$AW,Detail!$G:$G,'Rates-Service Fees'!ALG$23,Detail!$H:$H,'Rates-Service Fees'!ALG$17)*100</f>
        <v>0</v>
      </c>
      <c r="ALH38">
        <f>SUMIFS(Detail!$AW:$AW,Detail!$G:$G,'Rates-Service Fees'!ALH$23,Detail!$H:$H,'Rates-Service Fees'!ALH$17)*100</f>
        <v>0</v>
      </c>
      <c r="ALI38">
        <f>SUMIFS(Detail!$AW:$AW,Detail!$G:$G,'Rates-Service Fees'!ALI$23,Detail!$H:$H,'Rates-Service Fees'!ALI$17)*100</f>
        <v>0</v>
      </c>
      <c r="ALJ38">
        <f>SUMIFS(Detail!$AW:$AW,Detail!$G:$G,'Rates-Service Fees'!ALJ$23,Detail!$H:$H,'Rates-Service Fees'!ALJ$17)*100</f>
        <v>0</v>
      </c>
      <c r="ALK38">
        <f>SUMIFS(Detail!$AW:$AW,Detail!$G:$G,'Rates-Service Fees'!ALK$23,Detail!$H:$H,'Rates-Service Fees'!ALK$17)*100</f>
        <v>0</v>
      </c>
      <c r="ALL38">
        <f>SUMIFS(Detail!$AW:$AW,Detail!$G:$G,'Rates-Service Fees'!ALL$23,Detail!$H:$H,'Rates-Service Fees'!ALL$17)*100</f>
        <v>0</v>
      </c>
      <c r="ALM38">
        <f>SUMIFS(Detail!$AW:$AW,Detail!$G:$G,'Rates-Service Fees'!ALM$23,Detail!$H:$H,'Rates-Service Fees'!ALM$17)*100</f>
        <v>0</v>
      </c>
    </row>
    <row r="39" spans="1:1001">
      <c r="A39" s="26"/>
      <c r="B39">
        <f>B20</f>
        <v>0</v>
      </c>
      <c r="C39">
        <f t="shared" ref="C39:BN39" si="78">C20</f>
        <v>0</v>
      </c>
      <c r="D39">
        <f t="shared" si="78"/>
        <v>0</v>
      </c>
      <c r="E39">
        <f t="shared" si="78"/>
        <v>0</v>
      </c>
      <c r="F39">
        <f t="shared" si="78"/>
        <v>0</v>
      </c>
      <c r="G39">
        <f t="shared" si="78"/>
        <v>0</v>
      </c>
      <c r="H39">
        <f t="shared" si="78"/>
        <v>0</v>
      </c>
      <c r="I39">
        <f t="shared" si="78"/>
        <v>0</v>
      </c>
      <c r="J39">
        <f t="shared" si="78"/>
        <v>0</v>
      </c>
      <c r="K39">
        <f t="shared" si="78"/>
        <v>0</v>
      </c>
      <c r="L39">
        <f t="shared" si="78"/>
        <v>0</v>
      </c>
      <c r="M39">
        <f t="shared" si="78"/>
        <v>0</v>
      </c>
      <c r="N39">
        <f t="shared" si="78"/>
        <v>0</v>
      </c>
      <c r="O39">
        <f t="shared" si="78"/>
        <v>0</v>
      </c>
      <c r="P39">
        <f t="shared" si="78"/>
        <v>0</v>
      </c>
      <c r="Q39">
        <f t="shared" si="78"/>
        <v>0</v>
      </c>
      <c r="R39">
        <f t="shared" si="78"/>
        <v>0</v>
      </c>
      <c r="S39">
        <f t="shared" si="78"/>
        <v>0</v>
      </c>
      <c r="T39">
        <f t="shared" si="78"/>
        <v>0</v>
      </c>
      <c r="U39">
        <f t="shared" si="78"/>
        <v>0</v>
      </c>
      <c r="V39">
        <f t="shared" si="78"/>
        <v>0</v>
      </c>
      <c r="W39">
        <f t="shared" si="78"/>
        <v>0</v>
      </c>
      <c r="X39">
        <f t="shared" si="78"/>
        <v>0</v>
      </c>
      <c r="Y39">
        <f t="shared" si="78"/>
        <v>0</v>
      </c>
      <c r="Z39">
        <f t="shared" si="78"/>
        <v>0</v>
      </c>
      <c r="AA39">
        <f t="shared" si="78"/>
        <v>0</v>
      </c>
      <c r="AB39">
        <f t="shared" si="78"/>
        <v>0</v>
      </c>
      <c r="AC39">
        <f t="shared" si="78"/>
        <v>0</v>
      </c>
      <c r="AD39">
        <f t="shared" si="78"/>
        <v>0</v>
      </c>
      <c r="AE39">
        <f t="shared" si="78"/>
        <v>0</v>
      </c>
      <c r="AF39">
        <f t="shared" si="78"/>
        <v>0</v>
      </c>
      <c r="AG39">
        <f t="shared" si="78"/>
        <v>0</v>
      </c>
      <c r="AH39">
        <f t="shared" si="78"/>
        <v>0</v>
      </c>
      <c r="AI39">
        <f t="shared" si="78"/>
        <v>0</v>
      </c>
      <c r="AJ39">
        <f t="shared" si="78"/>
        <v>0</v>
      </c>
      <c r="AK39">
        <f t="shared" si="78"/>
        <v>0</v>
      </c>
      <c r="AL39">
        <f t="shared" si="78"/>
        <v>0</v>
      </c>
      <c r="AM39">
        <f t="shared" si="78"/>
        <v>0</v>
      </c>
      <c r="AN39">
        <f t="shared" si="78"/>
        <v>0</v>
      </c>
      <c r="AO39">
        <f t="shared" si="78"/>
        <v>0</v>
      </c>
      <c r="AP39">
        <f t="shared" si="78"/>
        <v>0</v>
      </c>
      <c r="AQ39">
        <f t="shared" si="78"/>
        <v>0</v>
      </c>
      <c r="AR39">
        <f t="shared" si="78"/>
        <v>0</v>
      </c>
      <c r="AS39">
        <f t="shared" si="78"/>
        <v>0</v>
      </c>
      <c r="AT39">
        <f t="shared" si="78"/>
        <v>0</v>
      </c>
      <c r="AU39">
        <f t="shared" si="78"/>
        <v>0</v>
      </c>
      <c r="AV39">
        <f t="shared" si="78"/>
        <v>0</v>
      </c>
      <c r="AW39">
        <f t="shared" si="78"/>
        <v>0</v>
      </c>
      <c r="AX39">
        <f t="shared" si="78"/>
        <v>0</v>
      </c>
      <c r="AY39">
        <f t="shared" si="78"/>
        <v>0</v>
      </c>
      <c r="AZ39">
        <f t="shared" si="78"/>
        <v>0</v>
      </c>
      <c r="BA39">
        <f t="shared" si="78"/>
        <v>0</v>
      </c>
      <c r="BB39">
        <f t="shared" si="78"/>
        <v>0</v>
      </c>
      <c r="BC39">
        <f t="shared" si="78"/>
        <v>0</v>
      </c>
      <c r="BD39">
        <f t="shared" si="78"/>
        <v>0</v>
      </c>
      <c r="BE39">
        <f t="shared" si="78"/>
        <v>0</v>
      </c>
      <c r="BF39">
        <f t="shared" si="78"/>
        <v>0</v>
      </c>
      <c r="BG39">
        <f t="shared" si="78"/>
        <v>0</v>
      </c>
      <c r="BH39">
        <f t="shared" si="78"/>
        <v>0</v>
      </c>
      <c r="BI39">
        <f t="shared" si="78"/>
        <v>0</v>
      </c>
      <c r="BJ39">
        <f t="shared" si="78"/>
        <v>0</v>
      </c>
      <c r="BK39">
        <f t="shared" si="78"/>
        <v>0</v>
      </c>
      <c r="BL39">
        <f t="shared" si="78"/>
        <v>0</v>
      </c>
      <c r="BM39">
        <f t="shared" si="78"/>
        <v>0</v>
      </c>
      <c r="BN39">
        <f t="shared" si="78"/>
        <v>0</v>
      </c>
      <c r="BO39">
        <f t="shared" ref="BO39:DZ39" si="79">BO20</f>
        <v>0</v>
      </c>
      <c r="BP39">
        <f t="shared" si="79"/>
        <v>0</v>
      </c>
      <c r="BQ39">
        <f t="shared" si="79"/>
        <v>0</v>
      </c>
      <c r="BR39">
        <f t="shared" si="79"/>
        <v>0</v>
      </c>
      <c r="BS39">
        <f t="shared" si="79"/>
        <v>0</v>
      </c>
      <c r="BT39">
        <f t="shared" si="79"/>
        <v>0</v>
      </c>
      <c r="BU39">
        <f t="shared" si="79"/>
        <v>0</v>
      </c>
      <c r="BV39">
        <f t="shared" si="79"/>
        <v>0</v>
      </c>
      <c r="BW39">
        <f t="shared" si="79"/>
        <v>0</v>
      </c>
      <c r="BX39">
        <f t="shared" si="79"/>
        <v>0</v>
      </c>
      <c r="BY39">
        <f t="shared" si="79"/>
        <v>0</v>
      </c>
      <c r="BZ39">
        <f t="shared" si="79"/>
        <v>0</v>
      </c>
      <c r="CA39">
        <f t="shared" si="79"/>
        <v>0</v>
      </c>
      <c r="CB39">
        <f t="shared" si="79"/>
        <v>0</v>
      </c>
      <c r="CC39">
        <f t="shared" si="79"/>
        <v>0</v>
      </c>
      <c r="CD39">
        <f t="shared" si="79"/>
        <v>0</v>
      </c>
      <c r="CE39">
        <f t="shared" si="79"/>
        <v>0</v>
      </c>
      <c r="CF39">
        <f t="shared" si="79"/>
        <v>0</v>
      </c>
      <c r="CG39">
        <f t="shared" si="79"/>
        <v>0</v>
      </c>
      <c r="CH39">
        <f t="shared" si="79"/>
        <v>0</v>
      </c>
      <c r="CI39">
        <f t="shared" si="79"/>
        <v>0</v>
      </c>
      <c r="CJ39">
        <f t="shared" si="79"/>
        <v>0</v>
      </c>
      <c r="CK39">
        <f t="shared" si="79"/>
        <v>0</v>
      </c>
      <c r="CL39">
        <f t="shared" si="79"/>
        <v>0</v>
      </c>
      <c r="CM39">
        <f t="shared" si="79"/>
        <v>0</v>
      </c>
      <c r="CN39">
        <f t="shared" si="79"/>
        <v>0</v>
      </c>
      <c r="CO39">
        <f t="shared" si="79"/>
        <v>0</v>
      </c>
      <c r="CP39">
        <f t="shared" si="79"/>
        <v>0</v>
      </c>
      <c r="CQ39">
        <f t="shared" si="79"/>
        <v>0</v>
      </c>
      <c r="CR39">
        <f t="shared" si="79"/>
        <v>0</v>
      </c>
      <c r="CS39">
        <f t="shared" si="79"/>
        <v>0</v>
      </c>
      <c r="CT39">
        <f t="shared" si="79"/>
        <v>0</v>
      </c>
      <c r="CU39">
        <f t="shared" si="79"/>
        <v>0</v>
      </c>
      <c r="CV39">
        <f t="shared" si="79"/>
        <v>0</v>
      </c>
      <c r="CW39">
        <f t="shared" si="79"/>
        <v>0</v>
      </c>
      <c r="CX39">
        <f t="shared" si="79"/>
        <v>0</v>
      </c>
      <c r="CY39">
        <f t="shared" si="79"/>
        <v>0</v>
      </c>
      <c r="CZ39">
        <f t="shared" si="79"/>
        <v>0</v>
      </c>
      <c r="DA39">
        <f t="shared" si="79"/>
        <v>0</v>
      </c>
      <c r="DB39">
        <f t="shared" si="79"/>
        <v>0</v>
      </c>
      <c r="DC39">
        <f t="shared" si="79"/>
        <v>0</v>
      </c>
      <c r="DD39">
        <f t="shared" si="79"/>
        <v>0</v>
      </c>
      <c r="DE39">
        <f t="shared" si="79"/>
        <v>0</v>
      </c>
      <c r="DF39">
        <f t="shared" si="79"/>
        <v>0</v>
      </c>
      <c r="DG39">
        <f t="shared" si="79"/>
        <v>0</v>
      </c>
      <c r="DH39">
        <f t="shared" si="79"/>
        <v>0</v>
      </c>
      <c r="DI39">
        <f t="shared" si="79"/>
        <v>0</v>
      </c>
      <c r="DJ39">
        <f t="shared" si="79"/>
        <v>0</v>
      </c>
      <c r="DK39">
        <f t="shared" si="79"/>
        <v>0</v>
      </c>
      <c r="DL39">
        <f t="shared" si="79"/>
        <v>0</v>
      </c>
      <c r="DM39">
        <f t="shared" si="79"/>
        <v>0</v>
      </c>
      <c r="DN39">
        <f t="shared" si="79"/>
        <v>0</v>
      </c>
      <c r="DO39">
        <f t="shared" si="79"/>
        <v>0</v>
      </c>
      <c r="DP39">
        <f t="shared" si="79"/>
        <v>0</v>
      </c>
      <c r="DQ39">
        <f t="shared" si="79"/>
        <v>0</v>
      </c>
      <c r="DR39">
        <f t="shared" si="79"/>
        <v>0</v>
      </c>
      <c r="DS39">
        <f t="shared" si="79"/>
        <v>0</v>
      </c>
      <c r="DT39">
        <f t="shared" si="79"/>
        <v>0</v>
      </c>
      <c r="DU39">
        <f t="shared" si="79"/>
        <v>0</v>
      </c>
      <c r="DV39">
        <f t="shared" si="79"/>
        <v>0</v>
      </c>
      <c r="DW39">
        <f t="shared" si="79"/>
        <v>0</v>
      </c>
      <c r="DX39">
        <f t="shared" si="79"/>
        <v>0</v>
      </c>
      <c r="DY39">
        <f t="shared" si="79"/>
        <v>0</v>
      </c>
      <c r="DZ39">
        <f t="shared" si="79"/>
        <v>0</v>
      </c>
      <c r="EA39">
        <f t="shared" ref="EA39:GL39" si="80">EA20</f>
        <v>0</v>
      </c>
      <c r="EB39">
        <f t="shared" si="80"/>
        <v>0</v>
      </c>
      <c r="EC39">
        <f t="shared" si="80"/>
        <v>0</v>
      </c>
      <c r="ED39">
        <f t="shared" si="80"/>
        <v>0</v>
      </c>
      <c r="EE39">
        <f t="shared" si="80"/>
        <v>0</v>
      </c>
      <c r="EF39">
        <f t="shared" si="80"/>
        <v>0</v>
      </c>
      <c r="EG39">
        <f t="shared" si="80"/>
        <v>0</v>
      </c>
      <c r="EH39">
        <f t="shared" si="80"/>
        <v>0</v>
      </c>
      <c r="EI39">
        <f t="shared" si="80"/>
        <v>0</v>
      </c>
      <c r="EJ39">
        <f t="shared" si="80"/>
        <v>0</v>
      </c>
      <c r="EK39">
        <f t="shared" si="80"/>
        <v>0</v>
      </c>
      <c r="EL39">
        <f t="shared" si="80"/>
        <v>0</v>
      </c>
      <c r="EM39">
        <f t="shared" si="80"/>
        <v>0</v>
      </c>
      <c r="EN39">
        <f t="shared" si="80"/>
        <v>0</v>
      </c>
      <c r="EO39">
        <f t="shared" si="80"/>
        <v>0</v>
      </c>
      <c r="EP39">
        <f t="shared" si="80"/>
        <v>0</v>
      </c>
      <c r="EQ39">
        <f t="shared" si="80"/>
        <v>0</v>
      </c>
      <c r="ER39">
        <f t="shared" si="80"/>
        <v>0</v>
      </c>
      <c r="ES39">
        <f t="shared" si="80"/>
        <v>0</v>
      </c>
      <c r="ET39">
        <f t="shared" si="80"/>
        <v>0</v>
      </c>
      <c r="EU39">
        <f t="shared" si="80"/>
        <v>0</v>
      </c>
      <c r="EV39">
        <f t="shared" si="80"/>
        <v>0</v>
      </c>
      <c r="EW39">
        <f t="shared" si="80"/>
        <v>0</v>
      </c>
      <c r="EX39">
        <f t="shared" si="80"/>
        <v>0</v>
      </c>
      <c r="EY39">
        <f t="shared" si="80"/>
        <v>0</v>
      </c>
      <c r="EZ39">
        <f t="shared" si="80"/>
        <v>0</v>
      </c>
      <c r="FA39">
        <f t="shared" si="80"/>
        <v>0</v>
      </c>
      <c r="FB39">
        <f t="shared" si="80"/>
        <v>0</v>
      </c>
      <c r="FC39">
        <f t="shared" si="80"/>
        <v>0</v>
      </c>
      <c r="FD39">
        <f t="shared" si="80"/>
        <v>0</v>
      </c>
      <c r="FE39">
        <f t="shared" si="80"/>
        <v>0</v>
      </c>
      <c r="FF39">
        <f t="shared" si="80"/>
        <v>0</v>
      </c>
      <c r="FG39">
        <f t="shared" si="80"/>
        <v>0</v>
      </c>
      <c r="FH39">
        <f t="shared" si="80"/>
        <v>0</v>
      </c>
      <c r="FI39">
        <f t="shared" si="80"/>
        <v>0</v>
      </c>
      <c r="FJ39">
        <f t="shared" si="80"/>
        <v>0</v>
      </c>
      <c r="FK39">
        <f t="shared" si="80"/>
        <v>0</v>
      </c>
      <c r="FL39">
        <f t="shared" si="80"/>
        <v>0</v>
      </c>
      <c r="FM39">
        <f t="shared" si="80"/>
        <v>0</v>
      </c>
      <c r="FN39">
        <f t="shared" si="80"/>
        <v>0</v>
      </c>
      <c r="FO39">
        <f t="shared" si="80"/>
        <v>0</v>
      </c>
      <c r="FP39">
        <f t="shared" si="80"/>
        <v>0</v>
      </c>
      <c r="FQ39">
        <f t="shared" si="80"/>
        <v>0</v>
      </c>
      <c r="FR39">
        <f t="shared" si="80"/>
        <v>0</v>
      </c>
      <c r="FS39">
        <f t="shared" si="80"/>
        <v>0</v>
      </c>
      <c r="FT39">
        <f t="shared" si="80"/>
        <v>0</v>
      </c>
      <c r="FU39">
        <f t="shared" si="80"/>
        <v>0</v>
      </c>
      <c r="FV39">
        <f t="shared" si="80"/>
        <v>0</v>
      </c>
      <c r="FW39">
        <f t="shared" si="80"/>
        <v>0</v>
      </c>
      <c r="FX39">
        <f t="shared" si="80"/>
        <v>0</v>
      </c>
      <c r="FY39">
        <f t="shared" si="80"/>
        <v>0</v>
      </c>
      <c r="FZ39">
        <f t="shared" si="80"/>
        <v>0</v>
      </c>
      <c r="GA39">
        <f t="shared" si="80"/>
        <v>0</v>
      </c>
      <c r="GB39">
        <f t="shared" si="80"/>
        <v>0</v>
      </c>
      <c r="GC39">
        <f t="shared" si="80"/>
        <v>0</v>
      </c>
      <c r="GD39">
        <f t="shared" si="80"/>
        <v>0</v>
      </c>
      <c r="GE39">
        <f t="shared" si="80"/>
        <v>0</v>
      </c>
      <c r="GF39">
        <f t="shared" si="80"/>
        <v>0</v>
      </c>
      <c r="GG39">
        <f t="shared" si="80"/>
        <v>0</v>
      </c>
      <c r="GH39">
        <f t="shared" si="80"/>
        <v>0</v>
      </c>
      <c r="GI39">
        <f t="shared" si="80"/>
        <v>0</v>
      </c>
      <c r="GJ39">
        <f t="shared" si="80"/>
        <v>0</v>
      </c>
      <c r="GK39">
        <f t="shared" si="80"/>
        <v>0</v>
      </c>
      <c r="GL39">
        <f t="shared" si="80"/>
        <v>0</v>
      </c>
      <c r="GM39">
        <f t="shared" ref="GM39:IX39" si="81">GM20</f>
        <v>0</v>
      </c>
      <c r="GN39">
        <f t="shared" si="81"/>
        <v>0</v>
      </c>
      <c r="GO39">
        <f t="shared" si="81"/>
        <v>0</v>
      </c>
      <c r="GP39">
        <f t="shared" si="81"/>
        <v>0</v>
      </c>
      <c r="GQ39">
        <f t="shared" si="81"/>
        <v>0</v>
      </c>
      <c r="GR39">
        <f t="shared" si="81"/>
        <v>0</v>
      </c>
      <c r="GS39">
        <f t="shared" si="81"/>
        <v>0</v>
      </c>
      <c r="GT39">
        <f t="shared" si="81"/>
        <v>0</v>
      </c>
      <c r="GU39">
        <f t="shared" si="81"/>
        <v>0</v>
      </c>
      <c r="GV39">
        <f t="shared" si="81"/>
        <v>0</v>
      </c>
      <c r="GW39">
        <f t="shared" si="81"/>
        <v>0</v>
      </c>
      <c r="GX39">
        <f t="shared" si="81"/>
        <v>0</v>
      </c>
      <c r="GY39">
        <f t="shared" si="81"/>
        <v>0</v>
      </c>
      <c r="GZ39">
        <f t="shared" si="81"/>
        <v>0</v>
      </c>
      <c r="HA39">
        <f t="shared" si="81"/>
        <v>0</v>
      </c>
      <c r="HB39">
        <f t="shared" si="81"/>
        <v>0</v>
      </c>
      <c r="HC39">
        <f t="shared" si="81"/>
        <v>0</v>
      </c>
      <c r="HD39">
        <f t="shared" si="81"/>
        <v>0</v>
      </c>
      <c r="HE39">
        <f t="shared" si="81"/>
        <v>0</v>
      </c>
      <c r="HF39">
        <f t="shared" si="81"/>
        <v>0</v>
      </c>
      <c r="HG39">
        <f t="shared" si="81"/>
        <v>0</v>
      </c>
      <c r="HH39">
        <f t="shared" si="81"/>
        <v>0</v>
      </c>
      <c r="HI39">
        <f t="shared" si="81"/>
        <v>0</v>
      </c>
      <c r="HJ39">
        <f t="shared" si="81"/>
        <v>0</v>
      </c>
      <c r="HK39">
        <f t="shared" si="81"/>
        <v>0</v>
      </c>
      <c r="HL39">
        <f t="shared" si="81"/>
        <v>0</v>
      </c>
      <c r="HM39">
        <f t="shared" si="81"/>
        <v>0</v>
      </c>
      <c r="HN39">
        <f t="shared" si="81"/>
        <v>0</v>
      </c>
      <c r="HO39">
        <f t="shared" si="81"/>
        <v>0</v>
      </c>
      <c r="HP39">
        <f t="shared" si="81"/>
        <v>0</v>
      </c>
      <c r="HQ39">
        <f t="shared" si="81"/>
        <v>0</v>
      </c>
      <c r="HR39">
        <f t="shared" si="81"/>
        <v>0</v>
      </c>
      <c r="HS39">
        <f t="shared" si="81"/>
        <v>0</v>
      </c>
      <c r="HT39">
        <f t="shared" si="81"/>
        <v>0</v>
      </c>
      <c r="HU39">
        <f t="shared" si="81"/>
        <v>0</v>
      </c>
      <c r="HV39">
        <f t="shared" si="81"/>
        <v>0</v>
      </c>
      <c r="HW39">
        <f t="shared" si="81"/>
        <v>0</v>
      </c>
      <c r="HX39">
        <f t="shared" si="81"/>
        <v>0</v>
      </c>
      <c r="HY39">
        <f t="shared" si="81"/>
        <v>0</v>
      </c>
      <c r="HZ39">
        <f t="shared" si="81"/>
        <v>0</v>
      </c>
      <c r="IA39">
        <f t="shared" si="81"/>
        <v>0</v>
      </c>
      <c r="IB39">
        <f t="shared" si="81"/>
        <v>0</v>
      </c>
      <c r="IC39">
        <f t="shared" si="81"/>
        <v>0</v>
      </c>
      <c r="ID39">
        <f t="shared" si="81"/>
        <v>0</v>
      </c>
      <c r="IE39">
        <f t="shared" si="81"/>
        <v>0</v>
      </c>
      <c r="IF39">
        <f t="shared" si="81"/>
        <v>0</v>
      </c>
      <c r="IG39">
        <f t="shared" si="81"/>
        <v>0</v>
      </c>
      <c r="IH39">
        <f t="shared" si="81"/>
        <v>0</v>
      </c>
      <c r="II39">
        <f t="shared" si="81"/>
        <v>0</v>
      </c>
      <c r="IJ39">
        <f t="shared" si="81"/>
        <v>0</v>
      </c>
      <c r="IK39">
        <f t="shared" si="81"/>
        <v>0</v>
      </c>
      <c r="IL39">
        <f t="shared" si="81"/>
        <v>0</v>
      </c>
      <c r="IM39">
        <f t="shared" si="81"/>
        <v>0</v>
      </c>
      <c r="IN39">
        <f t="shared" si="81"/>
        <v>0</v>
      </c>
      <c r="IO39">
        <f t="shared" si="81"/>
        <v>0</v>
      </c>
      <c r="IP39">
        <f t="shared" si="81"/>
        <v>0</v>
      </c>
      <c r="IQ39">
        <f t="shared" si="81"/>
        <v>0</v>
      </c>
      <c r="IR39">
        <f t="shared" si="81"/>
        <v>0</v>
      </c>
      <c r="IS39">
        <f t="shared" si="81"/>
        <v>0</v>
      </c>
      <c r="IT39">
        <f t="shared" si="81"/>
        <v>0</v>
      </c>
      <c r="IU39">
        <f t="shared" si="81"/>
        <v>0</v>
      </c>
      <c r="IV39">
        <f t="shared" si="81"/>
        <v>0</v>
      </c>
      <c r="IW39">
        <f t="shared" si="81"/>
        <v>0</v>
      </c>
      <c r="IX39">
        <f t="shared" si="81"/>
        <v>0</v>
      </c>
      <c r="IY39">
        <f t="shared" ref="IY39:LJ39" si="82">IY20</f>
        <v>0</v>
      </c>
      <c r="IZ39">
        <f t="shared" si="82"/>
        <v>0</v>
      </c>
      <c r="JA39">
        <f t="shared" si="82"/>
        <v>0</v>
      </c>
      <c r="JB39">
        <f t="shared" si="82"/>
        <v>0</v>
      </c>
      <c r="JC39">
        <f t="shared" si="82"/>
        <v>0</v>
      </c>
      <c r="JD39">
        <f t="shared" si="82"/>
        <v>0</v>
      </c>
      <c r="JE39">
        <f t="shared" si="82"/>
        <v>0</v>
      </c>
      <c r="JF39">
        <f t="shared" si="82"/>
        <v>0</v>
      </c>
      <c r="JG39">
        <f t="shared" si="82"/>
        <v>0</v>
      </c>
      <c r="JH39">
        <f t="shared" si="82"/>
        <v>0</v>
      </c>
      <c r="JI39">
        <f t="shared" si="82"/>
        <v>0</v>
      </c>
      <c r="JJ39">
        <f t="shared" si="82"/>
        <v>0</v>
      </c>
      <c r="JK39">
        <f t="shared" si="82"/>
        <v>0</v>
      </c>
      <c r="JL39">
        <f t="shared" si="82"/>
        <v>0</v>
      </c>
      <c r="JM39">
        <f t="shared" si="82"/>
        <v>0</v>
      </c>
      <c r="JN39">
        <f t="shared" si="82"/>
        <v>0</v>
      </c>
      <c r="JO39">
        <f t="shared" si="82"/>
        <v>0</v>
      </c>
      <c r="JP39">
        <f t="shared" si="82"/>
        <v>0</v>
      </c>
      <c r="JQ39">
        <f t="shared" si="82"/>
        <v>0</v>
      </c>
      <c r="JR39">
        <f t="shared" si="82"/>
        <v>0</v>
      </c>
      <c r="JS39">
        <f t="shared" si="82"/>
        <v>0</v>
      </c>
      <c r="JT39">
        <f t="shared" si="82"/>
        <v>0</v>
      </c>
      <c r="JU39">
        <f t="shared" si="82"/>
        <v>0</v>
      </c>
      <c r="JV39">
        <f t="shared" si="82"/>
        <v>0</v>
      </c>
      <c r="JW39">
        <f t="shared" si="82"/>
        <v>0</v>
      </c>
      <c r="JX39">
        <f t="shared" si="82"/>
        <v>0</v>
      </c>
      <c r="JY39">
        <f t="shared" si="82"/>
        <v>0</v>
      </c>
      <c r="JZ39">
        <f t="shared" si="82"/>
        <v>0</v>
      </c>
      <c r="KA39">
        <f t="shared" si="82"/>
        <v>0</v>
      </c>
      <c r="KB39">
        <f t="shared" si="82"/>
        <v>0</v>
      </c>
      <c r="KC39">
        <f t="shared" si="82"/>
        <v>0</v>
      </c>
      <c r="KD39">
        <f t="shared" si="82"/>
        <v>0</v>
      </c>
      <c r="KE39">
        <f t="shared" si="82"/>
        <v>0</v>
      </c>
      <c r="KF39">
        <f t="shared" si="82"/>
        <v>0</v>
      </c>
      <c r="KG39">
        <f t="shared" si="82"/>
        <v>0</v>
      </c>
      <c r="KH39">
        <f t="shared" si="82"/>
        <v>0</v>
      </c>
      <c r="KI39">
        <f t="shared" si="82"/>
        <v>0</v>
      </c>
      <c r="KJ39">
        <f t="shared" si="82"/>
        <v>0</v>
      </c>
      <c r="KK39">
        <f t="shared" si="82"/>
        <v>0</v>
      </c>
      <c r="KL39">
        <f t="shared" si="82"/>
        <v>0</v>
      </c>
      <c r="KM39">
        <f t="shared" si="82"/>
        <v>0</v>
      </c>
      <c r="KN39">
        <f t="shared" si="82"/>
        <v>0</v>
      </c>
      <c r="KO39">
        <f t="shared" si="82"/>
        <v>0</v>
      </c>
      <c r="KP39">
        <f t="shared" si="82"/>
        <v>0</v>
      </c>
      <c r="KQ39">
        <f t="shared" si="82"/>
        <v>0</v>
      </c>
      <c r="KR39">
        <f t="shared" si="82"/>
        <v>0</v>
      </c>
      <c r="KS39">
        <f t="shared" si="82"/>
        <v>0</v>
      </c>
      <c r="KT39">
        <f t="shared" si="82"/>
        <v>0</v>
      </c>
      <c r="KU39">
        <f t="shared" si="82"/>
        <v>0</v>
      </c>
      <c r="KV39">
        <f t="shared" si="82"/>
        <v>0</v>
      </c>
      <c r="KW39">
        <f t="shared" si="82"/>
        <v>0</v>
      </c>
      <c r="KX39">
        <f t="shared" si="82"/>
        <v>0</v>
      </c>
      <c r="KY39">
        <f t="shared" si="82"/>
        <v>0</v>
      </c>
      <c r="KZ39">
        <f t="shared" si="82"/>
        <v>0</v>
      </c>
      <c r="LA39">
        <f t="shared" si="82"/>
        <v>0</v>
      </c>
      <c r="LB39">
        <f t="shared" si="82"/>
        <v>0</v>
      </c>
      <c r="LC39">
        <f t="shared" si="82"/>
        <v>0</v>
      </c>
      <c r="LD39">
        <f t="shared" si="82"/>
        <v>0</v>
      </c>
      <c r="LE39">
        <f t="shared" si="82"/>
        <v>0</v>
      </c>
      <c r="LF39">
        <f t="shared" si="82"/>
        <v>0</v>
      </c>
      <c r="LG39">
        <f t="shared" si="82"/>
        <v>0</v>
      </c>
      <c r="LH39">
        <f t="shared" si="82"/>
        <v>0</v>
      </c>
      <c r="LI39">
        <f t="shared" si="82"/>
        <v>0</v>
      </c>
      <c r="LJ39">
        <f t="shared" si="82"/>
        <v>0</v>
      </c>
      <c r="LK39">
        <f t="shared" ref="LK39:NV39" si="83">LK20</f>
        <v>0</v>
      </c>
      <c r="LL39">
        <f t="shared" si="83"/>
        <v>0</v>
      </c>
      <c r="LM39">
        <f t="shared" si="83"/>
        <v>0</v>
      </c>
      <c r="LN39">
        <f t="shared" si="83"/>
        <v>0</v>
      </c>
      <c r="LO39">
        <f t="shared" si="83"/>
        <v>0</v>
      </c>
      <c r="LP39">
        <f t="shared" si="83"/>
        <v>0</v>
      </c>
      <c r="LQ39">
        <f t="shared" si="83"/>
        <v>0</v>
      </c>
      <c r="LR39">
        <f t="shared" si="83"/>
        <v>0</v>
      </c>
      <c r="LS39">
        <f t="shared" si="83"/>
        <v>0</v>
      </c>
      <c r="LT39">
        <f t="shared" si="83"/>
        <v>0</v>
      </c>
      <c r="LU39">
        <f t="shared" si="83"/>
        <v>0</v>
      </c>
      <c r="LV39">
        <f t="shared" si="83"/>
        <v>0</v>
      </c>
      <c r="LW39">
        <f t="shared" si="83"/>
        <v>0</v>
      </c>
      <c r="LX39">
        <f t="shared" si="83"/>
        <v>0</v>
      </c>
      <c r="LY39">
        <f t="shared" si="83"/>
        <v>0</v>
      </c>
      <c r="LZ39">
        <f t="shared" si="83"/>
        <v>0</v>
      </c>
      <c r="MA39">
        <f t="shared" si="83"/>
        <v>0</v>
      </c>
      <c r="MB39">
        <f t="shared" si="83"/>
        <v>0</v>
      </c>
      <c r="MC39">
        <f t="shared" si="83"/>
        <v>0</v>
      </c>
      <c r="MD39">
        <f t="shared" si="83"/>
        <v>0</v>
      </c>
      <c r="ME39">
        <f t="shared" si="83"/>
        <v>0</v>
      </c>
      <c r="MF39">
        <f t="shared" si="83"/>
        <v>0</v>
      </c>
      <c r="MG39">
        <f t="shared" si="83"/>
        <v>0</v>
      </c>
      <c r="MH39">
        <f t="shared" si="83"/>
        <v>0</v>
      </c>
      <c r="MI39">
        <f t="shared" si="83"/>
        <v>0</v>
      </c>
      <c r="MJ39">
        <f t="shared" si="83"/>
        <v>0</v>
      </c>
      <c r="MK39">
        <f t="shared" si="83"/>
        <v>0</v>
      </c>
      <c r="ML39">
        <f t="shared" si="83"/>
        <v>0</v>
      </c>
      <c r="MM39">
        <f t="shared" si="83"/>
        <v>0</v>
      </c>
      <c r="MN39">
        <f t="shared" si="83"/>
        <v>0</v>
      </c>
      <c r="MO39">
        <f t="shared" si="83"/>
        <v>0</v>
      </c>
      <c r="MP39">
        <f t="shared" si="83"/>
        <v>0</v>
      </c>
      <c r="MQ39">
        <f t="shared" si="83"/>
        <v>0</v>
      </c>
      <c r="MR39">
        <f t="shared" si="83"/>
        <v>0</v>
      </c>
      <c r="MS39">
        <f t="shared" si="83"/>
        <v>0</v>
      </c>
      <c r="MT39">
        <f t="shared" si="83"/>
        <v>0</v>
      </c>
      <c r="MU39">
        <f t="shared" si="83"/>
        <v>0</v>
      </c>
      <c r="MV39">
        <f t="shared" si="83"/>
        <v>0</v>
      </c>
      <c r="MW39">
        <f t="shared" si="83"/>
        <v>0</v>
      </c>
      <c r="MX39">
        <f t="shared" si="83"/>
        <v>0</v>
      </c>
      <c r="MY39">
        <f t="shared" si="83"/>
        <v>0</v>
      </c>
      <c r="MZ39">
        <f t="shared" si="83"/>
        <v>0</v>
      </c>
      <c r="NA39">
        <f t="shared" si="83"/>
        <v>0</v>
      </c>
      <c r="NB39">
        <f t="shared" si="83"/>
        <v>0</v>
      </c>
      <c r="NC39">
        <f t="shared" si="83"/>
        <v>0</v>
      </c>
      <c r="ND39">
        <f t="shared" si="83"/>
        <v>0</v>
      </c>
      <c r="NE39">
        <f t="shared" si="83"/>
        <v>0</v>
      </c>
      <c r="NF39">
        <f t="shared" si="83"/>
        <v>0</v>
      </c>
      <c r="NG39">
        <f t="shared" si="83"/>
        <v>0</v>
      </c>
      <c r="NH39">
        <f t="shared" si="83"/>
        <v>0</v>
      </c>
      <c r="NI39">
        <f t="shared" si="83"/>
        <v>0</v>
      </c>
      <c r="NJ39">
        <f t="shared" si="83"/>
        <v>0</v>
      </c>
      <c r="NK39">
        <f t="shared" si="83"/>
        <v>0</v>
      </c>
      <c r="NL39">
        <f t="shared" si="83"/>
        <v>0</v>
      </c>
      <c r="NM39">
        <f t="shared" si="83"/>
        <v>0</v>
      </c>
      <c r="NN39">
        <f t="shared" si="83"/>
        <v>0</v>
      </c>
      <c r="NO39">
        <f t="shared" si="83"/>
        <v>0</v>
      </c>
      <c r="NP39">
        <f t="shared" si="83"/>
        <v>0</v>
      </c>
      <c r="NQ39">
        <f t="shared" si="83"/>
        <v>0</v>
      </c>
      <c r="NR39">
        <f t="shared" si="83"/>
        <v>0</v>
      </c>
      <c r="NS39">
        <f t="shared" si="83"/>
        <v>0</v>
      </c>
      <c r="NT39">
        <f t="shared" si="83"/>
        <v>0</v>
      </c>
      <c r="NU39">
        <f t="shared" si="83"/>
        <v>0</v>
      </c>
      <c r="NV39">
        <f t="shared" si="83"/>
        <v>0</v>
      </c>
      <c r="NW39">
        <f t="shared" ref="NW39:QH39" si="84">NW20</f>
        <v>0</v>
      </c>
      <c r="NX39">
        <f t="shared" si="84"/>
        <v>0</v>
      </c>
      <c r="NY39">
        <f t="shared" si="84"/>
        <v>0</v>
      </c>
      <c r="NZ39">
        <f t="shared" si="84"/>
        <v>0</v>
      </c>
      <c r="OA39">
        <f t="shared" si="84"/>
        <v>0</v>
      </c>
      <c r="OB39">
        <f t="shared" si="84"/>
        <v>0</v>
      </c>
      <c r="OC39">
        <f t="shared" si="84"/>
        <v>0</v>
      </c>
      <c r="OD39">
        <f t="shared" si="84"/>
        <v>0</v>
      </c>
      <c r="OE39">
        <f t="shared" si="84"/>
        <v>0</v>
      </c>
      <c r="OF39">
        <f t="shared" si="84"/>
        <v>0</v>
      </c>
      <c r="OG39">
        <f t="shared" si="84"/>
        <v>0</v>
      </c>
      <c r="OH39">
        <f t="shared" si="84"/>
        <v>0</v>
      </c>
      <c r="OI39">
        <f t="shared" si="84"/>
        <v>0</v>
      </c>
      <c r="OJ39">
        <f t="shared" si="84"/>
        <v>0</v>
      </c>
      <c r="OK39">
        <f t="shared" si="84"/>
        <v>0</v>
      </c>
      <c r="OL39">
        <f t="shared" si="84"/>
        <v>0</v>
      </c>
      <c r="OM39">
        <f t="shared" si="84"/>
        <v>0</v>
      </c>
      <c r="ON39">
        <f t="shared" si="84"/>
        <v>0</v>
      </c>
      <c r="OO39">
        <f t="shared" si="84"/>
        <v>0</v>
      </c>
      <c r="OP39">
        <f t="shared" si="84"/>
        <v>0</v>
      </c>
      <c r="OQ39">
        <f t="shared" si="84"/>
        <v>0</v>
      </c>
      <c r="OR39">
        <f t="shared" si="84"/>
        <v>0</v>
      </c>
      <c r="OS39">
        <f t="shared" si="84"/>
        <v>0</v>
      </c>
      <c r="OT39">
        <f t="shared" si="84"/>
        <v>0</v>
      </c>
      <c r="OU39">
        <f t="shared" si="84"/>
        <v>0</v>
      </c>
      <c r="OV39">
        <f t="shared" si="84"/>
        <v>0</v>
      </c>
      <c r="OW39">
        <f t="shared" si="84"/>
        <v>0</v>
      </c>
      <c r="OX39">
        <f t="shared" si="84"/>
        <v>0</v>
      </c>
      <c r="OY39">
        <f t="shared" si="84"/>
        <v>0</v>
      </c>
      <c r="OZ39">
        <f t="shared" si="84"/>
        <v>0</v>
      </c>
      <c r="PA39">
        <f t="shared" si="84"/>
        <v>0</v>
      </c>
      <c r="PB39">
        <f t="shared" si="84"/>
        <v>0</v>
      </c>
      <c r="PC39">
        <f t="shared" si="84"/>
        <v>0</v>
      </c>
      <c r="PD39">
        <f t="shared" si="84"/>
        <v>0</v>
      </c>
      <c r="PE39">
        <f t="shared" si="84"/>
        <v>0</v>
      </c>
      <c r="PF39">
        <f t="shared" si="84"/>
        <v>0</v>
      </c>
      <c r="PG39">
        <f t="shared" si="84"/>
        <v>0</v>
      </c>
      <c r="PH39">
        <f t="shared" si="84"/>
        <v>0</v>
      </c>
      <c r="PI39">
        <f t="shared" si="84"/>
        <v>0</v>
      </c>
      <c r="PJ39">
        <f t="shared" si="84"/>
        <v>0</v>
      </c>
      <c r="PK39">
        <f t="shared" si="84"/>
        <v>0</v>
      </c>
      <c r="PL39">
        <f t="shared" si="84"/>
        <v>0</v>
      </c>
      <c r="PM39">
        <f t="shared" si="84"/>
        <v>0</v>
      </c>
      <c r="PN39">
        <f t="shared" si="84"/>
        <v>0</v>
      </c>
      <c r="PO39">
        <f t="shared" si="84"/>
        <v>0</v>
      </c>
      <c r="PP39">
        <f t="shared" si="84"/>
        <v>0</v>
      </c>
      <c r="PQ39">
        <f t="shared" si="84"/>
        <v>0</v>
      </c>
      <c r="PR39">
        <f t="shared" si="84"/>
        <v>0</v>
      </c>
      <c r="PS39">
        <f t="shared" si="84"/>
        <v>0</v>
      </c>
      <c r="PT39">
        <f t="shared" si="84"/>
        <v>0</v>
      </c>
      <c r="PU39">
        <f t="shared" si="84"/>
        <v>0</v>
      </c>
      <c r="PV39">
        <f t="shared" si="84"/>
        <v>0</v>
      </c>
      <c r="PW39">
        <f t="shared" si="84"/>
        <v>0</v>
      </c>
      <c r="PX39">
        <f t="shared" si="84"/>
        <v>0</v>
      </c>
      <c r="PY39">
        <f t="shared" si="84"/>
        <v>0</v>
      </c>
      <c r="PZ39">
        <f t="shared" si="84"/>
        <v>0</v>
      </c>
      <c r="QA39">
        <f t="shared" si="84"/>
        <v>0</v>
      </c>
      <c r="QB39">
        <f t="shared" si="84"/>
        <v>0</v>
      </c>
      <c r="QC39">
        <f t="shared" si="84"/>
        <v>0</v>
      </c>
      <c r="QD39">
        <f t="shared" si="84"/>
        <v>0</v>
      </c>
      <c r="QE39">
        <f t="shared" si="84"/>
        <v>0</v>
      </c>
      <c r="QF39">
        <f t="shared" si="84"/>
        <v>0</v>
      </c>
      <c r="QG39">
        <f t="shared" si="84"/>
        <v>0</v>
      </c>
      <c r="QH39">
        <f t="shared" si="84"/>
        <v>0</v>
      </c>
      <c r="QI39">
        <f t="shared" ref="QI39:SG39" si="85">QI20</f>
        <v>0</v>
      </c>
      <c r="QJ39">
        <f t="shared" si="85"/>
        <v>0</v>
      </c>
      <c r="QK39">
        <f t="shared" si="85"/>
        <v>0</v>
      </c>
      <c r="QL39">
        <f t="shared" si="85"/>
        <v>0</v>
      </c>
      <c r="QM39">
        <f t="shared" si="85"/>
        <v>0</v>
      </c>
      <c r="QN39">
        <f t="shared" si="85"/>
        <v>0</v>
      </c>
      <c r="QO39">
        <f t="shared" si="85"/>
        <v>0</v>
      </c>
      <c r="QP39">
        <f t="shared" si="85"/>
        <v>0</v>
      </c>
      <c r="QQ39">
        <f t="shared" si="85"/>
        <v>0</v>
      </c>
      <c r="QR39">
        <f t="shared" si="85"/>
        <v>0</v>
      </c>
      <c r="QS39">
        <f t="shared" si="85"/>
        <v>0</v>
      </c>
      <c r="QT39">
        <f t="shared" si="85"/>
        <v>0</v>
      </c>
      <c r="QU39">
        <f t="shared" si="85"/>
        <v>0</v>
      </c>
      <c r="QV39">
        <f t="shared" si="85"/>
        <v>0</v>
      </c>
      <c r="QW39">
        <f t="shared" si="85"/>
        <v>0</v>
      </c>
      <c r="QX39">
        <f t="shared" si="85"/>
        <v>0</v>
      </c>
      <c r="QY39">
        <f t="shared" si="85"/>
        <v>0</v>
      </c>
      <c r="QZ39">
        <f t="shared" si="85"/>
        <v>0</v>
      </c>
      <c r="RA39">
        <f t="shared" si="85"/>
        <v>0</v>
      </c>
      <c r="RB39">
        <f t="shared" si="85"/>
        <v>0</v>
      </c>
      <c r="RC39">
        <f t="shared" si="85"/>
        <v>0</v>
      </c>
      <c r="RD39">
        <f t="shared" si="85"/>
        <v>0</v>
      </c>
      <c r="RE39">
        <f t="shared" si="85"/>
        <v>0</v>
      </c>
      <c r="RF39">
        <f t="shared" si="85"/>
        <v>0</v>
      </c>
      <c r="RG39">
        <f t="shared" si="85"/>
        <v>0</v>
      </c>
      <c r="RH39">
        <f t="shared" si="85"/>
        <v>0</v>
      </c>
      <c r="RI39">
        <f t="shared" si="85"/>
        <v>0</v>
      </c>
      <c r="RJ39">
        <f t="shared" si="85"/>
        <v>0</v>
      </c>
      <c r="RK39">
        <f t="shared" si="85"/>
        <v>0</v>
      </c>
      <c r="RL39">
        <f t="shared" si="85"/>
        <v>0</v>
      </c>
      <c r="RM39">
        <f t="shared" si="85"/>
        <v>0</v>
      </c>
      <c r="RN39">
        <f t="shared" si="85"/>
        <v>0</v>
      </c>
      <c r="RO39">
        <f t="shared" si="85"/>
        <v>0</v>
      </c>
      <c r="RP39">
        <f t="shared" si="85"/>
        <v>0</v>
      </c>
      <c r="RQ39">
        <f t="shared" si="85"/>
        <v>0</v>
      </c>
      <c r="RR39">
        <f t="shared" si="85"/>
        <v>0</v>
      </c>
      <c r="RS39">
        <f t="shared" si="85"/>
        <v>0</v>
      </c>
      <c r="RT39">
        <f t="shared" si="85"/>
        <v>0</v>
      </c>
      <c r="RU39">
        <f t="shared" si="85"/>
        <v>0</v>
      </c>
      <c r="RV39">
        <f t="shared" si="85"/>
        <v>0</v>
      </c>
      <c r="RW39">
        <f t="shared" si="85"/>
        <v>0</v>
      </c>
      <c r="RX39">
        <f t="shared" si="85"/>
        <v>0</v>
      </c>
      <c r="RY39">
        <f t="shared" si="85"/>
        <v>0</v>
      </c>
      <c r="RZ39">
        <f t="shared" si="85"/>
        <v>0</v>
      </c>
      <c r="SA39">
        <f t="shared" si="85"/>
        <v>0</v>
      </c>
      <c r="SB39">
        <f t="shared" si="85"/>
        <v>0</v>
      </c>
      <c r="SC39">
        <f t="shared" si="85"/>
        <v>0</v>
      </c>
      <c r="SD39">
        <f t="shared" si="85"/>
        <v>0</v>
      </c>
      <c r="SE39">
        <f t="shared" si="85"/>
        <v>0</v>
      </c>
      <c r="SF39">
        <f t="shared" si="85"/>
        <v>0</v>
      </c>
      <c r="SG39">
        <f t="shared" si="85"/>
        <v>0</v>
      </c>
      <c r="SH39">
        <f t="shared" ref="SH39:US39" si="86">SH20</f>
        <v>0</v>
      </c>
      <c r="SI39">
        <f t="shared" si="86"/>
        <v>0</v>
      </c>
      <c r="SJ39">
        <f t="shared" si="86"/>
        <v>0</v>
      </c>
      <c r="SK39">
        <f t="shared" si="86"/>
        <v>0</v>
      </c>
      <c r="SL39">
        <f t="shared" si="86"/>
        <v>0</v>
      </c>
      <c r="SM39">
        <f t="shared" si="86"/>
        <v>0</v>
      </c>
      <c r="SN39">
        <f t="shared" si="86"/>
        <v>0</v>
      </c>
      <c r="SO39">
        <f t="shared" si="86"/>
        <v>0</v>
      </c>
      <c r="SP39">
        <f t="shared" si="86"/>
        <v>0</v>
      </c>
      <c r="SQ39">
        <f t="shared" si="86"/>
        <v>0</v>
      </c>
      <c r="SR39">
        <f t="shared" si="86"/>
        <v>0</v>
      </c>
      <c r="SS39">
        <f t="shared" si="86"/>
        <v>0</v>
      </c>
      <c r="ST39">
        <f t="shared" si="86"/>
        <v>0</v>
      </c>
      <c r="SU39">
        <f t="shared" si="86"/>
        <v>0</v>
      </c>
      <c r="SV39">
        <f t="shared" si="86"/>
        <v>0</v>
      </c>
      <c r="SW39">
        <f t="shared" si="86"/>
        <v>0</v>
      </c>
      <c r="SX39">
        <f t="shared" si="86"/>
        <v>0</v>
      </c>
      <c r="SY39">
        <f t="shared" si="86"/>
        <v>0</v>
      </c>
      <c r="SZ39">
        <f t="shared" si="86"/>
        <v>0</v>
      </c>
      <c r="TA39">
        <f t="shared" si="86"/>
        <v>0</v>
      </c>
      <c r="TB39">
        <f t="shared" si="86"/>
        <v>0</v>
      </c>
      <c r="TC39">
        <f t="shared" si="86"/>
        <v>0</v>
      </c>
      <c r="TD39">
        <f t="shared" si="86"/>
        <v>0</v>
      </c>
      <c r="TE39">
        <f t="shared" si="86"/>
        <v>0</v>
      </c>
      <c r="TF39">
        <f t="shared" si="86"/>
        <v>0</v>
      </c>
      <c r="TG39">
        <f t="shared" si="86"/>
        <v>0</v>
      </c>
      <c r="TH39">
        <f t="shared" si="86"/>
        <v>0</v>
      </c>
      <c r="TI39">
        <f t="shared" si="86"/>
        <v>0</v>
      </c>
      <c r="TJ39">
        <f t="shared" si="86"/>
        <v>0</v>
      </c>
      <c r="TK39">
        <f t="shared" si="86"/>
        <v>0</v>
      </c>
      <c r="TL39">
        <f t="shared" si="86"/>
        <v>0</v>
      </c>
      <c r="TM39">
        <f t="shared" si="86"/>
        <v>0</v>
      </c>
      <c r="TN39">
        <f t="shared" si="86"/>
        <v>0</v>
      </c>
      <c r="TO39">
        <f t="shared" si="86"/>
        <v>0</v>
      </c>
      <c r="TP39">
        <f t="shared" si="86"/>
        <v>0</v>
      </c>
      <c r="TQ39">
        <f t="shared" si="86"/>
        <v>0</v>
      </c>
      <c r="TR39">
        <f t="shared" si="86"/>
        <v>0</v>
      </c>
      <c r="TS39">
        <f t="shared" si="86"/>
        <v>0</v>
      </c>
      <c r="TT39">
        <f t="shared" si="86"/>
        <v>0</v>
      </c>
      <c r="TU39">
        <f t="shared" si="86"/>
        <v>0</v>
      </c>
      <c r="TV39">
        <f t="shared" si="86"/>
        <v>0</v>
      </c>
      <c r="TW39">
        <f t="shared" si="86"/>
        <v>0</v>
      </c>
      <c r="TX39">
        <f t="shared" si="86"/>
        <v>0</v>
      </c>
      <c r="TY39">
        <f t="shared" si="86"/>
        <v>0</v>
      </c>
      <c r="TZ39">
        <f t="shared" si="86"/>
        <v>0</v>
      </c>
      <c r="UA39">
        <f t="shared" si="86"/>
        <v>0</v>
      </c>
      <c r="UB39">
        <f t="shared" si="86"/>
        <v>0</v>
      </c>
      <c r="UC39">
        <f t="shared" si="86"/>
        <v>0</v>
      </c>
      <c r="UD39">
        <f t="shared" si="86"/>
        <v>0</v>
      </c>
      <c r="UE39">
        <f t="shared" si="86"/>
        <v>0</v>
      </c>
      <c r="UF39">
        <f t="shared" si="86"/>
        <v>0</v>
      </c>
      <c r="UG39">
        <f t="shared" si="86"/>
        <v>0</v>
      </c>
      <c r="UH39">
        <f t="shared" si="86"/>
        <v>0</v>
      </c>
      <c r="UI39">
        <f t="shared" si="86"/>
        <v>0</v>
      </c>
      <c r="UJ39">
        <f t="shared" si="86"/>
        <v>0</v>
      </c>
      <c r="UK39">
        <f t="shared" si="86"/>
        <v>0</v>
      </c>
      <c r="UL39">
        <f t="shared" si="86"/>
        <v>0</v>
      </c>
      <c r="UM39">
        <f t="shared" si="86"/>
        <v>0</v>
      </c>
      <c r="UN39">
        <f t="shared" si="86"/>
        <v>0</v>
      </c>
      <c r="UO39">
        <f t="shared" si="86"/>
        <v>0</v>
      </c>
      <c r="UP39">
        <f t="shared" si="86"/>
        <v>0</v>
      </c>
      <c r="UQ39">
        <f t="shared" si="86"/>
        <v>0</v>
      </c>
      <c r="UR39">
        <f t="shared" si="86"/>
        <v>0</v>
      </c>
      <c r="US39">
        <f t="shared" si="86"/>
        <v>0</v>
      </c>
      <c r="UT39">
        <f t="shared" ref="UT39:XE39" si="87">UT20</f>
        <v>0</v>
      </c>
      <c r="UU39">
        <f t="shared" si="87"/>
        <v>0</v>
      </c>
      <c r="UV39">
        <f t="shared" si="87"/>
        <v>0</v>
      </c>
      <c r="UW39">
        <f t="shared" si="87"/>
        <v>0</v>
      </c>
      <c r="UX39">
        <f t="shared" si="87"/>
        <v>0</v>
      </c>
      <c r="UY39">
        <f t="shared" si="87"/>
        <v>0</v>
      </c>
      <c r="UZ39">
        <f t="shared" si="87"/>
        <v>0</v>
      </c>
      <c r="VA39">
        <f t="shared" si="87"/>
        <v>0</v>
      </c>
      <c r="VB39">
        <f t="shared" si="87"/>
        <v>0</v>
      </c>
      <c r="VC39">
        <f t="shared" si="87"/>
        <v>0</v>
      </c>
      <c r="VD39">
        <f t="shared" si="87"/>
        <v>0</v>
      </c>
      <c r="VE39">
        <f t="shared" si="87"/>
        <v>0</v>
      </c>
      <c r="VF39">
        <f t="shared" si="87"/>
        <v>0</v>
      </c>
      <c r="VG39">
        <f t="shared" si="87"/>
        <v>0</v>
      </c>
      <c r="VH39">
        <f t="shared" si="87"/>
        <v>0</v>
      </c>
      <c r="VI39">
        <f t="shared" si="87"/>
        <v>0</v>
      </c>
      <c r="VJ39">
        <f t="shared" si="87"/>
        <v>0</v>
      </c>
      <c r="VK39">
        <f t="shared" si="87"/>
        <v>0</v>
      </c>
      <c r="VL39">
        <f t="shared" si="87"/>
        <v>0</v>
      </c>
      <c r="VM39">
        <f t="shared" si="87"/>
        <v>0</v>
      </c>
      <c r="VN39">
        <f t="shared" si="87"/>
        <v>0</v>
      </c>
      <c r="VO39">
        <f t="shared" si="87"/>
        <v>0</v>
      </c>
      <c r="VP39">
        <f t="shared" si="87"/>
        <v>0</v>
      </c>
      <c r="VQ39">
        <f t="shared" si="87"/>
        <v>0</v>
      </c>
      <c r="VR39">
        <f t="shared" si="87"/>
        <v>0</v>
      </c>
      <c r="VS39">
        <f t="shared" si="87"/>
        <v>0</v>
      </c>
      <c r="VT39">
        <f t="shared" si="87"/>
        <v>0</v>
      </c>
      <c r="VU39">
        <f t="shared" si="87"/>
        <v>0</v>
      </c>
      <c r="VV39">
        <f t="shared" si="87"/>
        <v>0</v>
      </c>
      <c r="VW39">
        <f t="shared" si="87"/>
        <v>0</v>
      </c>
      <c r="VX39">
        <f t="shared" si="87"/>
        <v>0</v>
      </c>
      <c r="VY39">
        <f t="shared" si="87"/>
        <v>0</v>
      </c>
      <c r="VZ39">
        <f t="shared" si="87"/>
        <v>0</v>
      </c>
      <c r="WA39">
        <f t="shared" si="87"/>
        <v>0</v>
      </c>
      <c r="WB39">
        <f t="shared" si="87"/>
        <v>0</v>
      </c>
      <c r="WC39">
        <f t="shared" si="87"/>
        <v>0</v>
      </c>
      <c r="WD39">
        <f t="shared" si="87"/>
        <v>0</v>
      </c>
      <c r="WE39">
        <f t="shared" si="87"/>
        <v>0</v>
      </c>
      <c r="WF39">
        <f t="shared" si="87"/>
        <v>0</v>
      </c>
      <c r="WG39">
        <f t="shared" si="87"/>
        <v>0</v>
      </c>
      <c r="WH39">
        <f t="shared" si="87"/>
        <v>0</v>
      </c>
      <c r="WI39">
        <f t="shared" si="87"/>
        <v>0</v>
      </c>
      <c r="WJ39">
        <f t="shared" si="87"/>
        <v>0</v>
      </c>
      <c r="WK39">
        <f t="shared" si="87"/>
        <v>0</v>
      </c>
      <c r="WL39">
        <f t="shared" si="87"/>
        <v>0</v>
      </c>
      <c r="WM39">
        <f t="shared" si="87"/>
        <v>0</v>
      </c>
      <c r="WN39">
        <f t="shared" si="87"/>
        <v>0</v>
      </c>
      <c r="WO39">
        <f t="shared" si="87"/>
        <v>0</v>
      </c>
      <c r="WP39">
        <f t="shared" si="87"/>
        <v>0</v>
      </c>
      <c r="WQ39">
        <f t="shared" si="87"/>
        <v>0</v>
      </c>
      <c r="WR39">
        <f t="shared" si="87"/>
        <v>0</v>
      </c>
      <c r="WS39">
        <f t="shared" si="87"/>
        <v>0</v>
      </c>
      <c r="WT39">
        <f t="shared" si="87"/>
        <v>0</v>
      </c>
      <c r="WU39">
        <f t="shared" si="87"/>
        <v>0</v>
      </c>
      <c r="WV39">
        <f t="shared" si="87"/>
        <v>0</v>
      </c>
      <c r="WW39">
        <f t="shared" si="87"/>
        <v>0</v>
      </c>
      <c r="WX39">
        <f t="shared" si="87"/>
        <v>0</v>
      </c>
      <c r="WY39">
        <f t="shared" si="87"/>
        <v>0</v>
      </c>
      <c r="WZ39">
        <f t="shared" si="87"/>
        <v>0</v>
      </c>
      <c r="XA39">
        <f t="shared" si="87"/>
        <v>0</v>
      </c>
      <c r="XB39">
        <f t="shared" si="87"/>
        <v>0</v>
      </c>
      <c r="XC39">
        <f t="shared" si="87"/>
        <v>0</v>
      </c>
      <c r="XD39">
        <f t="shared" si="87"/>
        <v>0</v>
      </c>
      <c r="XE39">
        <f t="shared" si="87"/>
        <v>0</v>
      </c>
      <c r="XF39">
        <f t="shared" ref="XF39:ZQ39" si="88">XF20</f>
        <v>0</v>
      </c>
      <c r="XG39">
        <f t="shared" si="88"/>
        <v>0</v>
      </c>
      <c r="XH39">
        <f t="shared" si="88"/>
        <v>0</v>
      </c>
      <c r="XI39">
        <f t="shared" si="88"/>
        <v>0</v>
      </c>
      <c r="XJ39">
        <f t="shared" si="88"/>
        <v>0</v>
      </c>
      <c r="XK39">
        <f t="shared" si="88"/>
        <v>0</v>
      </c>
      <c r="XL39">
        <f t="shared" si="88"/>
        <v>0</v>
      </c>
      <c r="XM39">
        <f t="shared" si="88"/>
        <v>0</v>
      </c>
      <c r="XN39">
        <f t="shared" si="88"/>
        <v>0</v>
      </c>
      <c r="XO39">
        <f t="shared" si="88"/>
        <v>0</v>
      </c>
      <c r="XP39">
        <f t="shared" si="88"/>
        <v>0</v>
      </c>
      <c r="XQ39">
        <f t="shared" si="88"/>
        <v>0</v>
      </c>
      <c r="XR39">
        <f t="shared" si="88"/>
        <v>0</v>
      </c>
      <c r="XS39">
        <f t="shared" si="88"/>
        <v>0</v>
      </c>
      <c r="XT39">
        <f t="shared" si="88"/>
        <v>0</v>
      </c>
      <c r="XU39">
        <f t="shared" si="88"/>
        <v>0</v>
      </c>
      <c r="XV39">
        <f t="shared" si="88"/>
        <v>0</v>
      </c>
      <c r="XW39">
        <f t="shared" si="88"/>
        <v>0</v>
      </c>
      <c r="XX39">
        <f t="shared" si="88"/>
        <v>0</v>
      </c>
      <c r="XY39">
        <f t="shared" si="88"/>
        <v>0</v>
      </c>
      <c r="XZ39">
        <f t="shared" si="88"/>
        <v>0</v>
      </c>
      <c r="YA39">
        <f t="shared" si="88"/>
        <v>0</v>
      </c>
      <c r="YB39">
        <f t="shared" si="88"/>
        <v>0</v>
      </c>
      <c r="YC39">
        <f t="shared" si="88"/>
        <v>0</v>
      </c>
      <c r="YD39">
        <f t="shared" si="88"/>
        <v>0</v>
      </c>
      <c r="YE39">
        <f t="shared" si="88"/>
        <v>0</v>
      </c>
      <c r="YF39">
        <f t="shared" si="88"/>
        <v>0</v>
      </c>
      <c r="YG39">
        <f t="shared" si="88"/>
        <v>0</v>
      </c>
      <c r="YH39">
        <f t="shared" si="88"/>
        <v>0</v>
      </c>
      <c r="YI39">
        <f t="shared" si="88"/>
        <v>0</v>
      </c>
      <c r="YJ39">
        <f t="shared" si="88"/>
        <v>0</v>
      </c>
      <c r="YK39">
        <f t="shared" si="88"/>
        <v>0</v>
      </c>
      <c r="YL39">
        <f t="shared" si="88"/>
        <v>0</v>
      </c>
      <c r="YM39">
        <f t="shared" si="88"/>
        <v>0</v>
      </c>
      <c r="YN39">
        <f t="shared" si="88"/>
        <v>0</v>
      </c>
      <c r="YO39">
        <f t="shared" si="88"/>
        <v>0</v>
      </c>
      <c r="YP39">
        <f t="shared" si="88"/>
        <v>0</v>
      </c>
      <c r="YQ39">
        <f t="shared" si="88"/>
        <v>0</v>
      </c>
      <c r="YR39">
        <f t="shared" si="88"/>
        <v>0</v>
      </c>
      <c r="YS39">
        <f t="shared" si="88"/>
        <v>0</v>
      </c>
      <c r="YT39">
        <f t="shared" si="88"/>
        <v>0</v>
      </c>
      <c r="YU39">
        <f t="shared" si="88"/>
        <v>0</v>
      </c>
      <c r="YV39">
        <f t="shared" si="88"/>
        <v>0</v>
      </c>
      <c r="YW39">
        <f t="shared" si="88"/>
        <v>0</v>
      </c>
      <c r="YX39">
        <f t="shared" si="88"/>
        <v>0</v>
      </c>
      <c r="YY39">
        <f t="shared" si="88"/>
        <v>0</v>
      </c>
      <c r="YZ39">
        <f t="shared" si="88"/>
        <v>0</v>
      </c>
      <c r="ZA39">
        <f t="shared" si="88"/>
        <v>0</v>
      </c>
      <c r="ZB39">
        <f t="shared" si="88"/>
        <v>0</v>
      </c>
      <c r="ZC39">
        <f t="shared" si="88"/>
        <v>0</v>
      </c>
      <c r="ZD39">
        <f t="shared" si="88"/>
        <v>0</v>
      </c>
      <c r="ZE39">
        <f t="shared" si="88"/>
        <v>0</v>
      </c>
      <c r="ZF39">
        <f t="shared" si="88"/>
        <v>0</v>
      </c>
      <c r="ZG39">
        <f t="shared" si="88"/>
        <v>0</v>
      </c>
      <c r="ZH39">
        <f t="shared" si="88"/>
        <v>0</v>
      </c>
      <c r="ZI39">
        <f t="shared" si="88"/>
        <v>0</v>
      </c>
      <c r="ZJ39">
        <f t="shared" si="88"/>
        <v>0</v>
      </c>
      <c r="ZK39">
        <f t="shared" si="88"/>
        <v>0</v>
      </c>
      <c r="ZL39">
        <f t="shared" si="88"/>
        <v>0</v>
      </c>
      <c r="ZM39">
        <f t="shared" si="88"/>
        <v>0</v>
      </c>
      <c r="ZN39">
        <f t="shared" si="88"/>
        <v>0</v>
      </c>
      <c r="ZO39">
        <f t="shared" si="88"/>
        <v>0</v>
      </c>
      <c r="ZP39">
        <f t="shared" si="88"/>
        <v>0</v>
      </c>
      <c r="ZQ39">
        <f t="shared" si="88"/>
        <v>0</v>
      </c>
      <c r="ZR39">
        <f t="shared" ref="ZR39:ACC39" si="89">ZR20</f>
        <v>0</v>
      </c>
      <c r="ZS39">
        <f t="shared" si="89"/>
        <v>0</v>
      </c>
      <c r="ZT39">
        <f t="shared" si="89"/>
        <v>0</v>
      </c>
      <c r="ZU39">
        <f t="shared" si="89"/>
        <v>0</v>
      </c>
      <c r="ZV39">
        <f t="shared" si="89"/>
        <v>0</v>
      </c>
      <c r="ZW39">
        <f t="shared" si="89"/>
        <v>0</v>
      </c>
      <c r="ZX39">
        <f t="shared" si="89"/>
        <v>0</v>
      </c>
      <c r="ZY39">
        <f t="shared" si="89"/>
        <v>0</v>
      </c>
      <c r="ZZ39">
        <f t="shared" si="89"/>
        <v>0</v>
      </c>
      <c r="AAA39">
        <f t="shared" si="89"/>
        <v>0</v>
      </c>
      <c r="AAB39">
        <f t="shared" si="89"/>
        <v>0</v>
      </c>
      <c r="AAC39">
        <f t="shared" si="89"/>
        <v>0</v>
      </c>
      <c r="AAD39">
        <f t="shared" si="89"/>
        <v>0</v>
      </c>
      <c r="AAE39">
        <f t="shared" si="89"/>
        <v>0</v>
      </c>
      <c r="AAF39">
        <f t="shared" si="89"/>
        <v>0</v>
      </c>
      <c r="AAG39">
        <f t="shared" si="89"/>
        <v>0</v>
      </c>
      <c r="AAH39">
        <f t="shared" si="89"/>
        <v>0</v>
      </c>
      <c r="AAI39">
        <f t="shared" si="89"/>
        <v>0</v>
      </c>
      <c r="AAJ39">
        <f t="shared" si="89"/>
        <v>0</v>
      </c>
      <c r="AAK39">
        <f t="shared" si="89"/>
        <v>0</v>
      </c>
      <c r="AAL39">
        <f t="shared" si="89"/>
        <v>0</v>
      </c>
      <c r="AAM39">
        <f t="shared" si="89"/>
        <v>0</v>
      </c>
      <c r="AAN39">
        <f t="shared" si="89"/>
        <v>0</v>
      </c>
      <c r="AAO39">
        <f t="shared" si="89"/>
        <v>0</v>
      </c>
      <c r="AAP39">
        <f t="shared" si="89"/>
        <v>0</v>
      </c>
      <c r="AAQ39">
        <f t="shared" si="89"/>
        <v>0</v>
      </c>
      <c r="AAR39">
        <f t="shared" si="89"/>
        <v>0</v>
      </c>
      <c r="AAS39">
        <f t="shared" si="89"/>
        <v>0</v>
      </c>
      <c r="AAT39">
        <f t="shared" si="89"/>
        <v>0</v>
      </c>
      <c r="AAU39">
        <f t="shared" si="89"/>
        <v>0</v>
      </c>
      <c r="AAV39">
        <f t="shared" si="89"/>
        <v>0</v>
      </c>
      <c r="AAW39">
        <f t="shared" si="89"/>
        <v>0</v>
      </c>
      <c r="AAX39">
        <f t="shared" si="89"/>
        <v>0</v>
      </c>
      <c r="AAY39">
        <f t="shared" si="89"/>
        <v>0</v>
      </c>
      <c r="AAZ39">
        <f t="shared" si="89"/>
        <v>0</v>
      </c>
      <c r="ABA39">
        <f t="shared" si="89"/>
        <v>0</v>
      </c>
      <c r="ABB39">
        <f t="shared" si="89"/>
        <v>0</v>
      </c>
      <c r="ABC39">
        <f t="shared" si="89"/>
        <v>0</v>
      </c>
      <c r="ABD39">
        <f t="shared" si="89"/>
        <v>0</v>
      </c>
      <c r="ABE39">
        <f t="shared" si="89"/>
        <v>0</v>
      </c>
      <c r="ABF39">
        <f t="shared" si="89"/>
        <v>0</v>
      </c>
      <c r="ABG39">
        <f t="shared" si="89"/>
        <v>0</v>
      </c>
      <c r="ABH39">
        <f t="shared" si="89"/>
        <v>0</v>
      </c>
      <c r="ABI39">
        <f t="shared" si="89"/>
        <v>0</v>
      </c>
      <c r="ABJ39">
        <f t="shared" si="89"/>
        <v>0</v>
      </c>
      <c r="ABK39">
        <f t="shared" si="89"/>
        <v>0</v>
      </c>
      <c r="ABL39">
        <f t="shared" si="89"/>
        <v>0</v>
      </c>
      <c r="ABM39">
        <f t="shared" si="89"/>
        <v>0</v>
      </c>
      <c r="ABN39">
        <f t="shared" si="89"/>
        <v>0</v>
      </c>
      <c r="ABO39">
        <f t="shared" si="89"/>
        <v>0</v>
      </c>
      <c r="ABP39">
        <f t="shared" si="89"/>
        <v>0</v>
      </c>
      <c r="ABQ39">
        <f t="shared" si="89"/>
        <v>0</v>
      </c>
      <c r="ABR39">
        <f t="shared" si="89"/>
        <v>0</v>
      </c>
      <c r="ABS39">
        <f t="shared" si="89"/>
        <v>0</v>
      </c>
      <c r="ABT39">
        <f t="shared" si="89"/>
        <v>0</v>
      </c>
      <c r="ABU39">
        <f t="shared" si="89"/>
        <v>0</v>
      </c>
      <c r="ABV39">
        <f t="shared" si="89"/>
        <v>0</v>
      </c>
      <c r="ABW39">
        <f t="shared" si="89"/>
        <v>0</v>
      </c>
      <c r="ABX39">
        <f t="shared" si="89"/>
        <v>0</v>
      </c>
      <c r="ABY39">
        <f t="shared" si="89"/>
        <v>0</v>
      </c>
      <c r="ABZ39">
        <f t="shared" si="89"/>
        <v>0</v>
      </c>
      <c r="ACA39">
        <f t="shared" si="89"/>
        <v>0</v>
      </c>
      <c r="ACB39">
        <f t="shared" si="89"/>
        <v>0</v>
      </c>
      <c r="ACC39">
        <f t="shared" si="89"/>
        <v>0</v>
      </c>
      <c r="ACD39">
        <f t="shared" ref="ACD39:AEO39" si="90">ACD20</f>
        <v>0</v>
      </c>
      <c r="ACE39">
        <f t="shared" si="90"/>
        <v>0</v>
      </c>
      <c r="ACF39">
        <f t="shared" si="90"/>
        <v>0</v>
      </c>
      <c r="ACG39">
        <f t="shared" si="90"/>
        <v>0</v>
      </c>
      <c r="ACH39">
        <f t="shared" si="90"/>
        <v>0</v>
      </c>
      <c r="ACI39">
        <f t="shared" si="90"/>
        <v>0</v>
      </c>
      <c r="ACJ39">
        <f t="shared" si="90"/>
        <v>0</v>
      </c>
      <c r="ACK39">
        <f t="shared" si="90"/>
        <v>0</v>
      </c>
      <c r="ACL39">
        <f t="shared" si="90"/>
        <v>0</v>
      </c>
      <c r="ACM39">
        <f t="shared" si="90"/>
        <v>0</v>
      </c>
      <c r="ACN39">
        <f t="shared" si="90"/>
        <v>0</v>
      </c>
      <c r="ACO39">
        <f t="shared" si="90"/>
        <v>0</v>
      </c>
      <c r="ACP39">
        <f t="shared" si="90"/>
        <v>0</v>
      </c>
      <c r="ACQ39">
        <f t="shared" si="90"/>
        <v>0</v>
      </c>
      <c r="ACR39">
        <f t="shared" si="90"/>
        <v>0</v>
      </c>
      <c r="ACS39">
        <f t="shared" si="90"/>
        <v>0</v>
      </c>
      <c r="ACT39">
        <f t="shared" si="90"/>
        <v>0</v>
      </c>
      <c r="ACU39">
        <f t="shared" si="90"/>
        <v>0</v>
      </c>
      <c r="ACV39">
        <f t="shared" si="90"/>
        <v>0</v>
      </c>
      <c r="ACW39">
        <f t="shared" si="90"/>
        <v>0</v>
      </c>
      <c r="ACX39">
        <f t="shared" si="90"/>
        <v>0</v>
      </c>
      <c r="ACY39">
        <f t="shared" si="90"/>
        <v>0</v>
      </c>
      <c r="ACZ39">
        <f t="shared" si="90"/>
        <v>0</v>
      </c>
      <c r="ADA39">
        <f t="shared" si="90"/>
        <v>0</v>
      </c>
      <c r="ADB39">
        <f t="shared" si="90"/>
        <v>0</v>
      </c>
      <c r="ADC39">
        <f t="shared" si="90"/>
        <v>0</v>
      </c>
      <c r="ADD39">
        <f t="shared" si="90"/>
        <v>0</v>
      </c>
      <c r="ADE39">
        <f t="shared" si="90"/>
        <v>0</v>
      </c>
      <c r="ADF39">
        <f t="shared" si="90"/>
        <v>0</v>
      </c>
      <c r="ADG39">
        <f t="shared" si="90"/>
        <v>0</v>
      </c>
      <c r="ADH39">
        <f t="shared" si="90"/>
        <v>0</v>
      </c>
      <c r="ADI39">
        <f t="shared" si="90"/>
        <v>0</v>
      </c>
      <c r="ADJ39">
        <f t="shared" si="90"/>
        <v>0</v>
      </c>
      <c r="ADK39">
        <f t="shared" si="90"/>
        <v>0</v>
      </c>
      <c r="ADL39">
        <f t="shared" si="90"/>
        <v>0</v>
      </c>
      <c r="ADM39">
        <f t="shared" si="90"/>
        <v>0</v>
      </c>
      <c r="ADN39">
        <f t="shared" si="90"/>
        <v>0</v>
      </c>
      <c r="ADO39">
        <f t="shared" si="90"/>
        <v>0</v>
      </c>
      <c r="ADP39">
        <f t="shared" si="90"/>
        <v>0</v>
      </c>
      <c r="ADQ39">
        <f t="shared" si="90"/>
        <v>0</v>
      </c>
      <c r="ADR39">
        <f t="shared" si="90"/>
        <v>0</v>
      </c>
      <c r="ADS39">
        <f t="shared" si="90"/>
        <v>0</v>
      </c>
      <c r="ADT39">
        <f t="shared" si="90"/>
        <v>0</v>
      </c>
      <c r="ADU39">
        <f t="shared" si="90"/>
        <v>0</v>
      </c>
      <c r="ADV39">
        <f t="shared" si="90"/>
        <v>0</v>
      </c>
      <c r="ADW39">
        <f t="shared" si="90"/>
        <v>0</v>
      </c>
      <c r="ADX39">
        <f t="shared" si="90"/>
        <v>0</v>
      </c>
      <c r="ADY39">
        <f t="shared" si="90"/>
        <v>0</v>
      </c>
      <c r="ADZ39">
        <f t="shared" si="90"/>
        <v>0</v>
      </c>
      <c r="AEA39">
        <f t="shared" si="90"/>
        <v>0</v>
      </c>
      <c r="AEB39">
        <f t="shared" si="90"/>
        <v>0</v>
      </c>
      <c r="AEC39">
        <f t="shared" si="90"/>
        <v>0</v>
      </c>
      <c r="AED39">
        <f t="shared" si="90"/>
        <v>0</v>
      </c>
      <c r="AEE39">
        <f t="shared" si="90"/>
        <v>0</v>
      </c>
      <c r="AEF39">
        <f t="shared" si="90"/>
        <v>0</v>
      </c>
      <c r="AEG39">
        <f t="shared" si="90"/>
        <v>0</v>
      </c>
      <c r="AEH39">
        <f t="shared" si="90"/>
        <v>0</v>
      </c>
      <c r="AEI39">
        <f t="shared" si="90"/>
        <v>0</v>
      </c>
      <c r="AEJ39">
        <f t="shared" si="90"/>
        <v>0</v>
      </c>
      <c r="AEK39">
        <f t="shared" si="90"/>
        <v>0</v>
      </c>
      <c r="AEL39">
        <f t="shared" si="90"/>
        <v>0</v>
      </c>
      <c r="AEM39">
        <f t="shared" si="90"/>
        <v>0</v>
      </c>
      <c r="AEN39">
        <f t="shared" si="90"/>
        <v>0</v>
      </c>
      <c r="AEO39">
        <f t="shared" si="90"/>
        <v>0</v>
      </c>
      <c r="AEP39">
        <f t="shared" ref="AEP39:AHA39" si="91">AEP20</f>
        <v>0</v>
      </c>
      <c r="AEQ39">
        <f t="shared" si="91"/>
        <v>0</v>
      </c>
      <c r="AER39">
        <f t="shared" si="91"/>
        <v>0</v>
      </c>
      <c r="AES39">
        <f t="shared" si="91"/>
        <v>0</v>
      </c>
      <c r="AET39">
        <f t="shared" si="91"/>
        <v>0</v>
      </c>
      <c r="AEU39">
        <f t="shared" si="91"/>
        <v>0</v>
      </c>
      <c r="AEV39">
        <f t="shared" si="91"/>
        <v>0</v>
      </c>
      <c r="AEW39">
        <f t="shared" si="91"/>
        <v>0</v>
      </c>
      <c r="AEX39">
        <f t="shared" si="91"/>
        <v>0</v>
      </c>
      <c r="AEY39">
        <f t="shared" si="91"/>
        <v>0</v>
      </c>
      <c r="AEZ39">
        <f t="shared" si="91"/>
        <v>0</v>
      </c>
      <c r="AFA39">
        <f t="shared" si="91"/>
        <v>0</v>
      </c>
      <c r="AFB39">
        <f t="shared" si="91"/>
        <v>0</v>
      </c>
      <c r="AFC39">
        <f t="shared" si="91"/>
        <v>0</v>
      </c>
      <c r="AFD39">
        <f t="shared" si="91"/>
        <v>0</v>
      </c>
      <c r="AFE39">
        <f t="shared" si="91"/>
        <v>0</v>
      </c>
      <c r="AFF39">
        <f t="shared" si="91"/>
        <v>0</v>
      </c>
      <c r="AFG39">
        <f t="shared" si="91"/>
        <v>0</v>
      </c>
      <c r="AFH39">
        <f t="shared" si="91"/>
        <v>0</v>
      </c>
      <c r="AFI39">
        <f t="shared" si="91"/>
        <v>0</v>
      </c>
      <c r="AFJ39">
        <f t="shared" si="91"/>
        <v>0</v>
      </c>
      <c r="AFK39">
        <f t="shared" si="91"/>
        <v>0</v>
      </c>
      <c r="AFL39">
        <f t="shared" si="91"/>
        <v>0</v>
      </c>
      <c r="AFM39">
        <f t="shared" si="91"/>
        <v>0</v>
      </c>
      <c r="AFN39">
        <f t="shared" si="91"/>
        <v>0</v>
      </c>
      <c r="AFO39">
        <f t="shared" si="91"/>
        <v>0</v>
      </c>
      <c r="AFP39">
        <f t="shared" si="91"/>
        <v>0</v>
      </c>
      <c r="AFQ39">
        <f t="shared" si="91"/>
        <v>0</v>
      </c>
      <c r="AFR39">
        <f t="shared" si="91"/>
        <v>0</v>
      </c>
      <c r="AFS39">
        <f t="shared" si="91"/>
        <v>0</v>
      </c>
      <c r="AFT39">
        <f t="shared" si="91"/>
        <v>0</v>
      </c>
      <c r="AFU39">
        <f t="shared" si="91"/>
        <v>0</v>
      </c>
      <c r="AFV39">
        <f t="shared" si="91"/>
        <v>0</v>
      </c>
      <c r="AFW39">
        <f t="shared" si="91"/>
        <v>0</v>
      </c>
      <c r="AFX39">
        <f t="shared" si="91"/>
        <v>0</v>
      </c>
      <c r="AFY39">
        <f t="shared" si="91"/>
        <v>0</v>
      </c>
      <c r="AFZ39">
        <f t="shared" si="91"/>
        <v>0</v>
      </c>
      <c r="AGA39">
        <f t="shared" si="91"/>
        <v>0</v>
      </c>
      <c r="AGB39">
        <f t="shared" si="91"/>
        <v>0</v>
      </c>
      <c r="AGC39">
        <f t="shared" si="91"/>
        <v>0</v>
      </c>
      <c r="AGD39">
        <f t="shared" si="91"/>
        <v>0</v>
      </c>
      <c r="AGE39">
        <f t="shared" si="91"/>
        <v>0</v>
      </c>
      <c r="AGF39">
        <f t="shared" si="91"/>
        <v>0</v>
      </c>
      <c r="AGG39">
        <f t="shared" si="91"/>
        <v>0</v>
      </c>
      <c r="AGH39">
        <f t="shared" si="91"/>
        <v>0</v>
      </c>
      <c r="AGI39">
        <f t="shared" si="91"/>
        <v>0</v>
      </c>
      <c r="AGJ39">
        <f t="shared" si="91"/>
        <v>0</v>
      </c>
      <c r="AGK39">
        <f t="shared" si="91"/>
        <v>0</v>
      </c>
      <c r="AGL39">
        <f t="shared" si="91"/>
        <v>0</v>
      </c>
      <c r="AGM39">
        <f t="shared" si="91"/>
        <v>0</v>
      </c>
      <c r="AGN39">
        <f t="shared" si="91"/>
        <v>0</v>
      </c>
      <c r="AGO39">
        <f t="shared" si="91"/>
        <v>0</v>
      </c>
      <c r="AGP39">
        <f t="shared" si="91"/>
        <v>0</v>
      </c>
      <c r="AGQ39">
        <f t="shared" si="91"/>
        <v>0</v>
      </c>
      <c r="AGR39">
        <f t="shared" si="91"/>
        <v>0</v>
      </c>
      <c r="AGS39">
        <f t="shared" si="91"/>
        <v>0</v>
      </c>
      <c r="AGT39">
        <f t="shared" si="91"/>
        <v>0</v>
      </c>
      <c r="AGU39">
        <f t="shared" si="91"/>
        <v>0</v>
      </c>
      <c r="AGV39">
        <f t="shared" si="91"/>
        <v>0</v>
      </c>
      <c r="AGW39">
        <f t="shared" si="91"/>
        <v>0</v>
      </c>
      <c r="AGX39">
        <f t="shared" si="91"/>
        <v>0</v>
      </c>
      <c r="AGY39">
        <f t="shared" si="91"/>
        <v>0</v>
      </c>
      <c r="AGZ39">
        <f t="shared" si="91"/>
        <v>0</v>
      </c>
      <c r="AHA39">
        <f t="shared" si="91"/>
        <v>0</v>
      </c>
      <c r="AHB39">
        <f t="shared" ref="AHB39:AJM39" si="92">AHB20</f>
        <v>0</v>
      </c>
      <c r="AHC39">
        <f t="shared" si="92"/>
        <v>0</v>
      </c>
      <c r="AHD39">
        <f t="shared" si="92"/>
        <v>0</v>
      </c>
      <c r="AHE39">
        <f t="shared" si="92"/>
        <v>0</v>
      </c>
      <c r="AHF39">
        <f t="shared" si="92"/>
        <v>0</v>
      </c>
      <c r="AHG39">
        <f t="shared" si="92"/>
        <v>0</v>
      </c>
      <c r="AHH39">
        <f t="shared" si="92"/>
        <v>0</v>
      </c>
      <c r="AHI39">
        <f t="shared" si="92"/>
        <v>0</v>
      </c>
      <c r="AHJ39">
        <f t="shared" si="92"/>
        <v>0</v>
      </c>
      <c r="AHK39">
        <f t="shared" si="92"/>
        <v>0</v>
      </c>
      <c r="AHL39">
        <f t="shared" si="92"/>
        <v>0</v>
      </c>
      <c r="AHM39">
        <f t="shared" si="92"/>
        <v>0</v>
      </c>
      <c r="AHN39">
        <f t="shared" si="92"/>
        <v>0</v>
      </c>
      <c r="AHO39">
        <f t="shared" si="92"/>
        <v>0</v>
      </c>
      <c r="AHP39">
        <f t="shared" si="92"/>
        <v>0</v>
      </c>
      <c r="AHQ39">
        <f t="shared" si="92"/>
        <v>0</v>
      </c>
      <c r="AHR39">
        <f t="shared" si="92"/>
        <v>0</v>
      </c>
      <c r="AHS39">
        <f t="shared" si="92"/>
        <v>0</v>
      </c>
      <c r="AHT39">
        <f t="shared" si="92"/>
        <v>0</v>
      </c>
      <c r="AHU39">
        <f t="shared" si="92"/>
        <v>0</v>
      </c>
      <c r="AHV39">
        <f t="shared" si="92"/>
        <v>0</v>
      </c>
      <c r="AHW39">
        <f t="shared" si="92"/>
        <v>0</v>
      </c>
      <c r="AHX39">
        <f t="shared" si="92"/>
        <v>0</v>
      </c>
      <c r="AHY39">
        <f t="shared" si="92"/>
        <v>0</v>
      </c>
      <c r="AHZ39">
        <f t="shared" si="92"/>
        <v>0</v>
      </c>
      <c r="AIA39">
        <f t="shared" si="92"/>
        <v>0</v>
      </c>
      <c r="AIB39">
        <f t="shared" si="92"/>
        <v>0</v>
      </c>
      <c r="AIC39">
        <f t="shared" si="92"/>
        <v>0</v>
      </c>
      <c r="AID39">
        <f t="shared" si="92"/>
        <v>0</v>
      </c>
      <c r="AIE39">
        <f t="shared" si="92"/>
        <v>0</v>
      </c>
      <c r="AIF39">
        <f t="shared" si="92"/>
        <v>0</v>
      </c>
      <c r="AIG39">
        <f t="shared" si="92"/>
        <v>0</v>
      </c>
      <c r="AIH39">
        <f t="shared" si="92"/>
        <v>0</v>
      </c>
      <c r="AII39">
        <f t="shared" si="92"/>
        <v>0</v>
      </c>
      <c r="AIJ39">
        <f t="shared" si="92"/>
        <v>0</v>
      </c>
      <c r="AIK39">
        <f t="shared" si="92"/>
        <v>0</v>
      </c>
      <c r="AIL39">
        <f t="shared" si="92"/>
        <v>0</v>
      </c>
      <c r="AIM39">
        <f t="shared" si="92"/>
        <v>0</v>
      </c>
      <c r="AIN39">
        <f t="shared" si="92"/>
        <v>0</v>
      </c>
      <c r="AIO39">
        <f t="shared" si="92"/>
        <v>0</v>
      </c>
      <c r="AIP39">
        <f t="shared" si="92"/>
        <v>0</v>
      </c>
      <c r="AIQ39">
        <f t="shared" si="92"/>
        <v>0</v>
      </c>
      <c r="AIR39">
        <f t="shared" si="92"/>
        <v>0</v>
      </c>
      <c r="AIS39">
        <f t="shared" si="92"/>
        <v>0</v>
      </c>
      <c r="AIT39">
        <f t="shared" si="92"/>
        <v>0</v>
      </c>
      <c r="AIU39">
        <f t="shared" si="92"/>
        <v>0</v>
      </c>
      <c r="AIV39">
        <f t="shared" si="92"/>
        <v>0</v>
      </c>
      <c r="AIW39">
        <f t="shared" si="92"/>
        <v>0</v>
      </c>
      <c r="AIX39">
        <f t="shared" si="92"/>
        <v>0</v>
      </c>
      <c r="AIY39">
        <f t="shared" si="92"/>
        <v>0</v>
      </c>
      <c r="AIZ39">
        <f t="shared" si="92"/>
        <v>0</v>
      </c>
      <c r="AJA39">
        <f t="shared" si="92"/>
        <v>0</v>
      </c>
      <c r="AJB39">
        <f t="shared" si="92"/>
        <v>0</v>
      </c>
      <c r="AJC39">
        <f t="shared" si="92"/>
        <v>0</v>
      </c>
      <c r="AJD39">
        <f t="shared" si="92"/>
        <v>0</v>
      </c>
      <c r="AJE39">
        <f t="shared" si="92"/>
        <v>0</v>
      </c>
      <c r="AJF39">
        <f t="shared" si="92"/>
        <v>0</v>
      </c>
      <c r="AJG39">
        <f t="shared" si="92"/>
        <v>0</v>
      </c>
      <c r="AJH39">
        <f t="shared" si="92"/>
        <v>0</v>
      </c>
      <c r="AJI39">
        <f t="shared" si="92"/>
        <v>0</v>
      </c>
      <c r="AJJ39">
        <f t="shared" si="92"/>
        <v>0</v>
      </c>
      <c r="AJK39">
        <f t="shared" si="92"/>
        <v>0</v>
      </c>
      <c r="AJL39">
        <f t="shared" si="92"/>
        <v>0</v>
      </c>
      <c r="AJM39">
        <f t="shared" si="92"/>
        <v>0</v>
      </c>
      <c r="AJN39">
        <f t="shared" ref="AJN39:ALM39" si="93">AJN20</f>
        <v>0</v>
      </c>
      <c r="AJO39">
        <f t="shared" si="93"/>
        <v>0</v>
      </c>
      <c r="AJP39">
        <f t="shared" si="93"/>
        <v>0</v>
      </c>
      <c r="AJQ39">
        <f t="shared" si="93"/>
        <v>0</v>
      </c>
      <c r="AJR39">
        <f t="shared" si="93"/>
        <v>0</v>
      </c>
      <c r="AJS39">
        <f t="shared" si="93"/>
        <v>0</v>
      </c>
      <c r="AJT39">
        <f t="shared" si="93"/>
        <v>0</v>
      </c>
      <c r="AJU39">
        <f t="shared" si="93"/>
        <v>0</v>
      </c>
      <c r="AJV39">
        <f t="shared" si="93"/>
        <v>0</v>
      </c>
      <c r="AJW39">
        <f t="shared" si="93"/>
        <v>0</v>
      </c>
      <c r="AJX39">
        <f t="shared" si="93"/>
        <v>0</v>
      </c>
      <c r="AJY39">
        <f t="shared" si="93"/>
        <v>0</v>
      </c>
      <c r="AJZ39">
        <f t="shared" si="93"/>
        <v>0</v>
      </c>
      <c r="AKA39">
        <f t="shared" si="93"/>
        <v>0</v>
      </c>
      <c r="AKB39">
        <f t="shared" si="93"/>
        <v>0</v>
      </c>
      <c r="AKC39">
        <f t="shared" si="93"/>
        <v>0</v>
      </c>
      <c r="AKD39">
        <f t="shared" si="93"/>
        <v>0</v>
      </c>
      <c r="AKE39">
        <f t="shared" si="93"/>
        <v>0</v>
      </c>
      <c r="AKF39">
        <f t="shared" si="93"/>
        <v>0</v>
      </c>
      <c r="AKG39">
        <f t="shared" si="93"/>
        <v>0</v>
      </c>
      <c r="AKH39">
        <f t="shared" si="93"/>
        <v>0</v>
      </c>
      <c r="AKI39">
        <f t="shared" si="93"/>
        <v>0</v>
      </c>
      <c r="AKJ39">
        <f t="shared" si="93"/>
        <v>0</v>
      </c>
      <c r="AKK39">
        <f t="shared" si="93"/>
        <v>0</v>
      </c>
      <c r="AKL39">
        <f t="shared" si="93"/>
        <v>0</v>
      </c>
      <c r="AKM39">
        <f t="shared" si="93"/>
        <v>0</v>
      </c>
      <c r="AKN39">
        <f t="shared" si="93"/>
        <v>0</v>
      </c>
      <c r="AKO39">
        <f t="shared" si="93"/>
        <v>0</v>
      </c>
      <c r="AKP39">
        <f t="shared" si="93"/>
        <v>0</v>
      </c>
      <c r="AKQ39">
        <f t="shared" si="93"/>
        <v>0</v>
      </c>
      <c r="AKR39">
        <f t="shared" si="93"/>
        <v>0</v>
      </c>
      <c r="AKS39">
        <f t="shared" si="93"/>
        <v>0</v>
      </c>
      <c r="AKT39">
        <f t="shared" si="93"/>
        <v>0</v>
      </c>
      <c r="AKU39">
        <f t="shared" si="93"/>
        <v>0</v>
      </c>
      <c r="AKV39">
        <f t="shared" si="93"/>
        <v>0</v>
      </c>
      <c r="AKW39">
        <f t="shared" si="93"/>
        <v>0</v>
      </c>
      <c r="AKX39">
        <f t="shared" si="93"/>
        <v>0</v>
      </c>
      <c r="AKY39">
        <f t="shared" si="93"/>
        <v>0</v>
      </c>
      <c r="AKZ39">
        <f t="shared" si="93"/>
        <v>0</v>
      </c>
      <c r="ALA39">
        <f t="shared" si="93"/>
        <v>0</v>
      </c>
      <c r="ALB39">
        <f t="shared" si="93"/>
        <v>0</v>
      </c>
      <c r="ALC39">
        <f t="shared" si="93"/>
        <v>0</v>
      </c>
      <c r="ALD39">
        <f t="shared" si="93"/>
        <v>0</v>
      </c>
      <c r="ALE39">
        <f t="shared" si="93"/>
        <v>0</v>
      </c>
      <c r="ALF39">
        <f t="shared" si="93"/>
        <v>0</v>
      </c>
      <c r="ALG39">
        <f t="shared" si="93"/>
        <v>0</v>
      </c>
      <c r="ALH39">
        <f t="shared" si="93"/>
        <v>0</v>
      </c>
      <c r="ALI39">
        <f t="shared" si="93"/>
        <v>0</v>
      </c>
      <c r="ALJ39">
        <f t="shared" si="93"/>
        <v>0</v>
      </c>
      <c r="ALK39">
        <f t="shared" si="93"/>
        <v>0</v>
      </c>
      <c r="ALL39">
        <f t="shared" si="93"/>
        <v>0</v>
      </c>
      <c r="ALM39">
        <f t="shared" si="93"/>
        <v>0</v>
      </c>
    </row>
    <row r="40" spans="1:1001">
      <c r="A40" s="26"/>
      <c r="B40">
        <f>SUMIFS(Detail!$AS:$AS,Detail!$G:$G,'Rates-Service Fees'!B$23,Detail!$H:$H,'Rates-Service Fees'!B$20)*100</f>
        <v>0</v>
      </c>
      <c r="C40">
        <f>SUMIFS(Detail!$AS:$AS,Detail!$G:$G,'Rates-Service Fees'!C$23,Detail!$H:$H,'Rates-Service Fees'!C$20)*100</f>
        <v>0</v>
      </c>
      <c r="D40">
        <f>SUMIFS(Detail!$AS:$AS,Detail!$G:$G,'Rates-Service Fees'!D$23,Detail!$H:$H,'Rates-Service Fees'!D$20)*100</f>
        <v>0</v>
      </c>
      <c r="E40">
        <f>SUMIFS(Detail!$AS:$AS,Detail!$G:$G,'Rates-Service Fees'!E$23,Detail!$H:$H,'Rates-Service Fees'!E$20)*100</f>
        <v>0</v>
      </c>
      <c r="F40">
        <f>SUMIFS(Detail!$AS:$AS,Detail!$G:$G,'Rates-Service Fees'!F$23,Detail!$H:$H,'Rates-Service Fees'!F$20)*100</f>
        <v>0</v>
      </c>
      <c r="G40">
        <f>SUMIFS(Detail!$AS:$AS,Detail!$G:$G,'Rates-Service Fees'!G$23,Detail!$H:$H,'Rates-Service Fees'!G$20)*100</f>
        <v>0</v>
      </c>
      <c r="H40">
        <f>SUMIFS(Detail!$AS:$AS,Detail!$G:$G,'Rates-Service Fees'!H$23,Detail!$H:$H,'Rates-Service Fees'!H$20)*100</f>
        <v>0</v>
      </c>
      <c r="I40">
        <f>SUMIFS(Detail!$AS:$AS,Detail!$G:$G,'Rates-Service Fees'!I$23,Detail!$H:$H,'Rates-Service Fees'!I$20)*100</f>
        <v>0</v>
      </c>
      <c r="J40">
        <f>SUMIFS(Detail!$AS:$AS,Detail!$G:$G,'Rates-Service Fees'!J$23,Detail!$H:$H,'Rates-Service Fees'!J$20)*100</f>
        <v>0</v>
      </c>
      <c r="K40">
        <f>SUMIFS(Detail!$AS:$AS,Detail!$G:$G,'Rates-Service Fees'!K$23,Detail!$H:$H,'Rates-Service Fees'!K$20)*100</f>
        <v>0</v>
      </c>
      <c r="L40">
        <f>SUMIFS(Detail!$AS:$AS,Detail!$G:$G,'Rates-Service Fees'!L$23,Detail!$H:$H,'Rates-Service Fees'!L$20)*100</f>
        <v>0</v>
      </c>
      <c r="M40">
        <f>SUMIFS(Detail!$AS:$AS,Detail!$G:$G,'Rates-Service Fees'!M$23,Detail!$H:$H,'Rates-Service Fees'!M$20)*100</f>
        <v>0</v>
      </c>
      <c r="N40">
        <f>SUMIFS(Detail!$AS:$AS,Detail!$G:$G,'Rates-Service Fees'!N$23,Detail!$H:$H,'Rates-Service Fees'!N$20)*100</f>
        <v>0</v>
      </c>
      <c r="O40">
        <f>SUMIFS(Detail!$AS:$AS,Detail!$G:$G,'Rates-Service Fees'!O$23,Detail!$H:$H,'Rates-Service Fees'!O$20)*100</f>
        <v>0</v>
      </c>
      <c r="P40">
        <f>SUMIFS(Detail!$AS:$AS,Detail!$G:$G,'Rates-Service Fees'!P$23,Detail!$H:$H,'Rates-Service Fees'!P$20)*100</f>
        <v>0</v>
      </c>
      <c r="Q40">
        <f>SUMIFS(Detail!$AS:$AS,Detail!$G:$G,'Rates-Service Fees'!Q$23,Detail!$H:$H,'Rates-Service Fees'!Q$20)*100</f>
        <v>0</v>
      </c>
      <c r="R40">
        <f>SUMIFS(Detail!$AS:$AS,Detail!$G:$G,'Rates-Service Fees'!R$23,Detail!$H:$H,'Rates-Service Fees'!R$20)*100</f>
        <v>0</v>
      </c>
      <c r="S40">
        <f>SUMIFS(Detail!$AS:$AS,Detail!$G:$G,'Rates-Service Fees'!S$23,Detail!$H:$H,'Rates-Service Fees'!S$20)*100</f>
        <v>0</v>
      </c>
      <c r="T40">
        <f>SUMIFS(Detail!$AS:$AS,Detail!$G:$G,'Rates-Service Fees'!T$23,Detail!$H:$H,'Rates-Service Fees'!T$20)*100</f>
        <v>0</v>
      </c>
      <c r="U40">
        <f>SUMIFS(Detail!$AS:$AS,Detail!$G:$G,'Rates-Service Fees'!U$23,Detail!$H:$H,'Rates-Service Fees'!U$20)*100</f>
        <v>0</v>
      </c>
      <c r="V40">
        <f>SUMIFS(Detail!$AS:$AS,Detail!$G:$G,'Rates-Service Fees'!V$23,Detail!$H:$H,'Rates-Service Fees'!V$20)*100</f>
        <v>0</v>
      </c>
      <c r="W40">
        <f>SUMIFS(Detail!$AS:$AS,Detail!$G:$G,'Rates-Service Fees'!W$23,Detail!$H:$H,'Rates-Service Fees'!W$20)*100</f>
        <v>0</v>
      </c>
      <c r="X40">
        <f>SUMIFS(Detail!$AS:$AS,Detail!$G:$G,'Rates-Service Fees'!X$23,Detail!$H:$H,'Rates-Service Fees'!X$20)*100</f>
        <v>0</v>
      </c>
      <c r="Y40">
        <f>SUMIFS(Detail!$AS:$AS,Detail!$G:$G,'Rates-Service Fees'!Y$23,Detail!$H:$H,'Rates-Service Fees'!Y$20)*100</f>
        <v>0</v>
      </c>
      <c r="Z40">
        <f>SUMIFS(Detail!$AS:$AS,Detail!$G:$G,'Rates-Service Fees'!Z$23,Detail!$H:$H,'Rates-Service Fees'!Z$20)*100</f>
        <v>0</v>
      </c>
      <c r="AA40">
        <f>SUMIFS(Detail!$AS:$AS,Detail!$G:$G,'Rates-Service Fees'!AA$23,Detail!$H:$H,'Rates-Service Fees'!AA$20)*100</f>
        <v>0</v>
      </c>
      <c r="AB40">
        <f>SUMIFS(Detail!$AS:$AS,Detail!$G:$G,'Rates-Service Fees'!AB$23,Detail!$H:$H,'Rates-Service Fees'!AB$20)*100</f>
        <v>0</v>
      </c>
      <c r="AC40">
        <f>SUMIFS(Detail!$AS:$AS,Detail!$G:$G,'Rates-Service Fees'!AC$23,Detail!$H:$H,'Rates-Service Fees'!AC$20)*100</f>
        <v>0</v>
      </c>
      <c r="AD40">
        <f>SUMIFS(Detail!$AS:$AS,Detail!$G:$G,'Rates-Service Fees'!AD$23,Detail!$H:$H,'Rates-Service Fees'!AD$20)*100</f>
        <v>0</v>
      </c>
      <c r="AE40">
        <f>SUMIFS(Detail!$AS:$AS,Detail!$G:$G,'Rates-Service Fees'!AE$23,Detail!$H:$H,'Rates-Service Fees'!AE$20)*100</f>
        <v>0</v>
      </c>
      <c r="AF40">
        <f>SUMIFS(Detail!$AS:$AS,Detail!$G:$G,'Rates-Service Fees'!AF$23,Detail!$H:$H,'Rates-Service Fees'!AF$20)*100</f>
        <v>0</v>
      </c>
      <c r="AG40">
        <f>SUMIFS(Detail!$AS:$AS,Detail!$G:$G,'Rates-Service Fees'!AG$23,Detail!$H:$H,'Rates-Service Fees'!AG$20)*100</f>
        <v>0</v>
      </c>
      <c r="AH40">
        <f>SUMIFS(Detail!$AS:$AS,Detail!$G:$G,'Rates-Service Fees'!AH$23,Detail!$H:$H,'Rates-Service Fees'!AH$20)*100</f>
        <v>0</v>
      </c>
      <c r="AI40">
        <f>SUMIFS(Detail!$AS:$AS,Detail!$G:$G,'Rates-Service Fees'!AI$23,Detail!$H:$H,'Rates-Service Fees'!AI$20)*100</f>
        <v>0</v>
      </c>
      <c r="AJ40">
        <f>SUMIFS(Detail!$AS:$AS,Detail!$G:$G,'Rates-Service Fees'!AJ$23,Detail!$H:$H,'Rates-Service Fees'!AJ$20)*100</f>
        <v>0</v>
      </c>
      <c r="AK40">
        <f>SUMIFS(Detail!$AS:$AS,Detail!$G:$G,'Rates-Service Fees'!AK$23,Detail!$H:$H,'Rates-Service Fees'!AK$20)*100</f>
        <v>0</v>
      </c>
      <c r="AL40">
        <f>SUMIFS(Detail!$AS:$AS,Detail!$G:$G,'Rates-Service Fees'!AL$23,Detail!$H:$H,'Rates-Service Fees'!AL$20)*100</f>
        <v>0</v>
      </c>
      <c r="AM40">
        <f>SUMIFS(Detail!$AS:$AS,Detail!$G:$G,'Rates-Service Fees'!AM$23,Detail!$H:$H,'Rates-Service Fees'!AM$20)*100</f>
        <v>0</v>
      </c>
      <c r="AN40">
        <f>SUMIFS(Detail!$AS:$AS,Detail!$G:$G,'Rates-Service Fees'!AN$23,Detail!$H:$H,'Rates-Service Fees'!AN$20)*100</f>
        <v>0</v>
      </c>
      <c r="AO40">
        <f>SUMIFS(Detail!$AS:$AS,Detail!$G:$G,'Rates-Service Fees'!AO$23,Detail!$H:$H,'Rates-Service Fees'!AO$20)*100</f>
        <v>0</v>
      </c>
      <c r="AP40">
        <f>SUMIFS(Detail!$AS:$AS,Detail!$G:$G,'Rates-Service Fees'!AP$23,Detail!$H:$H,'Rates-Service Fees'!AP$20)*100</f>
        <v>0</v>
      </c>
      <c r="AQ40">
        <f>SUMIFS(Detail!$AS:$AS,Detail!$G:$G,'Rates-Service Fees'!AQ$23,Detail!$H:$H,'Rates-Service Fees'!AQ$20)*100</f>
        <v>0</v>
      </c>
      <c r="AR40">
        <f>SUMIFS(Detail!$AS:$AS,Detail!$G:$G,'Rates-Service Fees'!AR$23,Detail!$H:$H,'Rates-Service Fees'!AR$20)*100</f>
        <v>0</v>
      </c>
      <c r="AS40">
        <f>SUMIFS(Detail!$AS:$AS,Detail!$G:$G,'Rates-Service Fees'!AS$23,Detail!$H:$H,'Rates-Service Fees'!AS$20)*100</f>
        <v>0</v>
      </c>
      <c r="AT40">
        <f>SUMIFS(Detail!$AS:$AS,Detail!$G:$G,'Rates-Service Fees'!AT$23,Detail!$H:$H,'Rates-Service Fees'!AT$20)*100</f>
        <v>0</v>
      </c>
      <c r="AU40">
        <f>SUMIFS(Detail!$AS:$AS,Detail!$G:$G,'Rates-Service Fees'!AU$23,Detail!$H:$H,'Rates-Service Fees'!AU$20)*100</f>
        <v>0</v>
      </c>
      <c r="AV40">
        <f>SUMIFS(Detail!$AS:$AS,Detail!$G:$G,'Rates-Service Fees'!AV$23,Detail!$H:$H,'Rates-Service Fees'!AV$20)*100</f>
        <v>0</v>
      </c>
      <c r="AW40">
        <f>SUMIFS(Detail!$AS:$AS,Detail!$G:$G,'Rates-Service Fees'!AW$23,Detail!$H:$H,'Rates-Service Fees'!AW$20)*100</f>
        <v>0</v>
      </c>
      <c r="AX40">
        <f>SUMIFS(Detail!$AS:$AS,Detail!$G:$G,'Rates-Service Fees'!AX$23,Detail!$H:$H,'Rates-Service Fees'!AX$20)*100</f>
        <v>0</v>
      </c>
      <c r="AY40">
        <f>SUMIFS(Detail!$AS:$AS,Detail!$G:$G,'Rates-Service Fees'!AY$23,Detail!$H:$H,'Rates-Service Fees'!AY$20)*100</f>
        <v>0</v>
      </c>
      <c r="AZ40">
        <f>SUMIFS(Detail!$AS:$AS,Detail!$G:$G,'Rates-Service Fees'!AZ$23,Detail!$H:$H,'Rates-Service Fees'!AZ$20)*100</f>
        <v>0</v>
      </c>
      <c r="BA40">
        <f>SUMIFS(Detail!$AS:$AS,Detail!$G:$G,'Rates-Service Fees'!BA$23,Detail!$H:$H,'Rates-Service Fees'!BA$20)*100</f>
        <v>0</v>
      </c>
      <c r="BB40">
        <f>SUMIFS(Detail!$AS:$AS,Detail!$G:$G,'Rates-Service Fees'!BB$23,Detail!$H:$H,'Rates-Service Fees'!BB$20)*100</f>
        <v>0</v>
      </c>
      <c r="BC40">
        <f>SUMIFS(Detail!$AS:$AS,Detail!$G:$G,'Rates-Service Fees'!BC$23,Detail!$H:$H,'Rates-Service Fees'!BC$20)*100</f>
        <v>0</v>
      </c>
      <c r="BD40">
        <f>SUMIFS(Detail!$AS:$AS,Detail!$G:$G,'Rates-Service Fees'!BD$23,Detail!$H:$H,'Rates-Service Fees'!BD$20)*100</f>
        <v>0</v>
      </c>
      <c r="BE40">
        <f>SUMIFS(Detail!$AS:$AS,Detail!$G:$G,'Rates-Service Fees'!BE$23,Detail!$H:$H,'Rates-Service Fees'!BE$20)*100</f>
        <v>0</v>
      </c>
      <c r="BF40">
        <f>SUMIFS(Detail!$AS:$AS,Detail!$G:$G,'Rates-Service Fees'!BF$23,Detail!$H:$H,'Rates-Service Fees'!BF$20)*100</f>
        <v>0</v>
      </c>
      <c r="BG40">
        <f>SUMIFS(Detail!$AS:$AS,Detail!$G:$G,'Rates-Service Fees'!BG$23,Detail!$H:$H,'Rates-Service Fees'!BG$20)*100</f>
        <v>0</v>
      </c>
      <c r="BH40">
        <f>SUMIFS(Detail!$AS:$AS,Detail!$G:$G,'Rates-Service Fees'!BH$23,Detail!$H:$H,'Rates-Service Fees'!BH$20)*100</f>
        <v>0</v>
      </c>
      <c r="BI40">
        <f>SUMIFS(Detail!$AS:$AS,Detail!$G:$G,'Rates-Service Fees'!BI$23,Detail!$H:$H,'Rates-Service Fees'!BI$20)*100</f>
        <v>0</v>
      </c>
      <c r="BJ40">
        <f>SUMIFS(Detail!$AS:$AS,Detail!$G:$G,'Rates-Service Fees'!BJ$23,Detail!$H:$H,'Rates-Service Fees'!BJ$20)*100</f>
        <v>0</v>
      </c>
      <c r="BK40">
        <f>SUMIFS(Detail!$AS:$AS,Detail!$G:$G,'Rates-Service Fees'!BK$23,Detail!$H:$H,'Rates-Service Fees'!BK$20)*100</f>
        <v>0</v>
      </c>
      <c r="BL40">
        <f>SUMIFS(Detail!$AS:$AS,Detail!$G:$G,'Rates-Service Fees'!BL$23,Detail!$H:$H,'Rates-Service Fees'!BL$20)*100</f>
        <v>0</v>
      </c>
      <c r="BM40">
        <f>SUMIFS(Detail!$AS:$AS,Detail!$G:$G,'Rates-Service Fees'!BM$23,Detail!$H:$H,'Rates-Service Fees'!BM$20)*100</f>
        <v>0</v>
      </c>
      <c r="BN40">
        <f>SUMIFS(Detail!$AS:$AS,Detail!$G:$G,'Rates-Service Fees'!BN$23,Detail!$H:$H,'Rates-Service Fees'!BN$20)*100</f>
        <v>0</v>
      </c>
      <c r="BO40">
        <f>SUMIFS(Detail!$AS:$AS,Detail!$G:$G,'Rates-Service Fees'!BO$23,Detail!$H:$H,'Rates-Service Fees'!BO$20)*100</f>
        <v>0</v>
      </c>
      <c r="BP40">
        <f>SUMIFS(Detail!$AS:$AS,Detail!$G:$G,'Rates-Service Fees'!BP$23,Detail!$H:$H,'Rates-Service Fees'!BP$20)*100</f>
        <v>0</v>
      </c>
      <c r="BQ40">
        <f>SUMIFS(Detail!$AS:$AS,Detail!$G:$G,'Rates-Service Fees'!BQ$23,Detail!$H:$H,'Rates-Service Fees'!BQ$20)*100</f>
        <v>0</v>
      </c>
      <c r="BR40">
        <f>SUMIFS(Detail!$AS:$AS,Detail!$G:$G,'Rates-Service Fees'!BR$23,Detail!$H:$H,'Rates-Service Fees'!BR$20)*100</f>
        <v>0</v>
      </c>
      <c r="BS40">
        <f>SUMIFS(Detail!$AS:$AS,Detail!$G:$G,'Rates-Service Fees'!BS$23,Detail!$H:$H,'Rates-Service Fees'!BS$20)*100</f>
        <v>0</v>
      </c>
      <c r="BT40">
        <f>SUMIFS(Detail!$AS:$AS,Detail!$G:$G,'Rates-Service Fees'!BT$23,Detail!$H:$H,'Rates-Service Fees'!BT$20)*100</f>
        <v>0</v>
      </c>
      <c r="BU40">
        <f>SUMIFS(Detail!$AS:$AS,Detail!$G:$G,'Rates-Service Fees'!BU$23,Detail!$H:$H,'Rates-Service Fees'!BU$20)*100</f>
        <v>0</v>
      </c>
      <c r="BV40">
        <f>SUMIFS(Detail!$AS:$AS,Detail!$G:$G,'Rates-Service Fees'!BV$23,Detail!$H:$H,'Rates-Service Fees'!BV$20)*100</f>
        <v>0</v>
      </c>
      <c r="BW40">
        <f>SUMIFS(Detail!$AS:$AS,Detail!$G:$G,'Rates-Service Fees'!BW$23,Detail!$H:$H,'Rates-Service Fees'!BW$20)*100</f>
        <v>0</v>
      </c>
      <c r="BX40">
        <f>SUMIFS(Detail!$AS:$AS,Detail!$G:$G,'Rates-Service Fees'!BX$23,Detail!$H:$H,'Rates-Service Fees'!BX$20)*100</f>
        <v>0</v>
      </c>
      <c r="BY40">
        <f>SUMIFS(Detail!$AS:$AS,Detail!$G:$G,'Rates-Service Fees'!BY$23,Detail!$H:$H,'Rates-Service Fees'!BY$20)*100</f>
        <v>0</v>
      </c>
      <c r="BZ40">
        <f>SUMIFS(Detail!$AS:$AS,Detail!$G:$G,'Rates-Service Fees'!BZ$23,Detail!$H:$H,'Rates-Service Fees'!BZ$20)*100</f>
        <v>0</v>
      </c>
      <c r="CA40">
        <f>SUMIFS(Detail!$AS:$AS,Detail!$G:$G,'Rates-Service Fees'!CA$23,Detail!$H:$H,'Rates-Service Fees'!CA$20)*100</f>
        <v>0</v>
      </c>
      <c r="CB40">
        <f>SUMIFS(Detail!$AS:$AS,Detail!$G:$G,'Rates-Service Fees'!CB$23,Detail!$H:$H,'Rates-Service Fees'!CB$20)*100</f>
        <v>0</v>
      </c>
      <c r="CC40">
        <f>SUMIFS(Detail!$AS:$AS,Detail!$G:$G,'Rates-Service Fees'!CC$23,Detail!$H:$H,'Rates-Service Fees'!CC$20)*100</f>
        <v>0</v>
      </c>
      <c r="CD40">
        <f>SUMIFS(Detail!$AS:$AS,Detail!$G:$G,'Rates-Service Fees'!CD$23,Detail!$H:$H,'Rates-Service Fees'!CD$20)*100</f>
        <v>0</v>
      </c>
      <c r="CE40">
        <f>SUMIFS(Detail!$AS:$AS,Detail!$G:$G,'Rates-Service Fees'!CE$23,Detail!$H:$H,'Rates-Service Fees'!CE$20)*100</f>
        <v>0</v>
      </c>
      <c r="CF40">
        <f>SUMIFS(Detail!$AS:$AS,Detail!$G:$G,'Rates-Service Fees'!CF$23,Detail!$H:$H,'Rates-Service Fees'!CF$20)*100</f>
        <v>0</v>
      </c>
      <c r="CG40">
        <f>SUMIFS(Detail!$AS:$AS,Detail!$G:$G,'Rates-Service Fees'!CG$23,Detail!$H:$H,'Rates-Service Fees'!CG$20)*100</f>
        <v>0</v>
      </c>
      <c r="CH40">
        <f>SUMIFS(Detail!$AS:$AS,Detail!$G:$G,'Rates-Service Fees'!CH$23,Detail!$H:$H,'Rates-Service Fees'!CH$20)*100</f>
        <v>0</v>
      </c>
      <c r="CI40">
        <f>SUMIFS(Detail!$AS:$AS,Detail!$G:$G,'Rates-Service Fees'!CI$23,Detail!$H:$H,'Rates-Service Fees'!CI$20)*100</f>
        <v>0</v>
      </c>
      <c r="CJ40">
        <f>SUMIFS(Detail!$AS:$AS,Detail!$G:$G,'Rates-Service Fees'!CJ$23,Detail!$H:$H,'Rates-Service Fees'!CJ$20)*100</f>
        <v>0</v>
      </c>
      <c r="CK40">
        <f>SUMIFS(Detail!$AS:$AS,Detail!$G:$G,'Rates-Service Fees'!CK$23,Detail!$H:$H,'Rates-Service Fees'!CK$20)*100</f>
        <v>0</v>
      </c>
      <c r="CL40">
        <f>SUMIFS(Detail!$AS:$AS,Detail!$G:$G,'Rates-Service Fees'!CL$23,Detail!$H:$H,'Rates-Service Fees'!CL$20)*100</f>
        <v>0</v>
      </c>
      <c r="CM40">
        <f>SUMIFS(Detail!$AS:$AS,Detail!$G:$G,'Rates-Service Fees'!CM$23,Detail!$H:$H,'Rates-Service Fees'!CM$20)*100</f>
        <v>0</v>
      </c>
      <c r="CN40">
        <f>SUMIFS(Detail!$AS:$AS,Detail!$G:$G,'Rates-Service Fees'!CN$23,Detail!$H:$H,'Rates-Service Fees'!CN$20)*100</f>
        <v>0</v>
      </c>
      <c r="CO40">
        <f>SUMIFS(Detail!$AS:$AS,Detail!$G:$G,'Rates-Service Fees'!CO$23,Detail!$H:$H,'Rates-Service Fees'!CO$20)*100</f>
        <v>0</v>
      </c>
      <c r="CP40">
        <f>SUMIFS(Detail!$AS:$AS,Detail!$G:$G,'Rates-Service Fees'!CP$23,Detail!$H:$H,'Rates-Service Fees'!CP$20)*100</f>
        <v>0</v>
      </c>
      <c r="CQ40">
        <f>SUMIFS(Detail!$AS:$AS,Detail!$G:$G,'Rates-Service Fees'!CQ$23,Detail!$H:$H,'Rates-Service Fees'!CQ$20)*100</f>
        <v>0</v>
      </c>
      <c r="CR40">
        <f>SUMIFS(Detail!$AS:$AS,Detail!$G:$G,'Rates-Service Fees'!CR$23,Detail!$H:$H,'Rates-Service Fees'!CR$20)*100</f>
        <v>0</v>
      </c>
      <c r="CS40">
        <f>SUMIFS(Detail!$AS:$AS,Detail!$G:$G,'Rates-Service Fees'!CS$23,Detail!$H:$H,'Rates-Service Fees'!CS$20)*100</f>
        <v>0</v>
      </c>
      <c r="CT40">
        <f>SUMIFS(Detail!$AS:$AS,Detail!$G:$G,'Rates-Service Fees'!CT$23,Detail!$H:$H,'Rates-Service Fees'!CT$20)*100</f>
        <v>0</v>
      </c>
      <c r="CU40">
        <f>SUMIFS(Detail!$AS:$AS,Detail!$G:$G,'Rates-Service Fees'!CU$23,Detail!$H:$H,'Rates-Service Fees'!CU$20)*100</f>
        <v>0</v>
      </c>
      <c r="CV40">
        <f>SUMIFS(Detail!$AS:$AS,Detail!$G:$G,'Rates-Service Fees'!CV$23,Detail!$H:$H,'Rates-Service Fees'!CV$20)*100</f>
        <v>0</v>
      </c>
      <c r="CW40">
        <f>SUMIFS(Detail!$AS:$AS,Detail!$G:$G,'Rates-Service Fees'!CW$23,Detail!$H:$H,'Rates-Service Fees'!CW$20)*100</f>
        <v>0</v>
      </c>
      <c r="CX40">
        <f>SUMIFS(Detail!$AS:$AS,Detail!$G:$G,'Rates-Service Fees'!CX$23,Detail!$H:$H,'Rates-Service Fees'!CX$20)*100</f>
        <v>0</v>
      </c>
      <c r="CY40">
        <f>SUMIFS(Detail!$AS:$AS,Detail!$G:$G,'Rates-Service Fees'!CY$23,Detail!$H:$H,'Rates-Service Fees'!CY$20)*100</f>
        <v>0</v>
      </c>
      <c r="CZ40">
        <f>SUMIFS(Detail!$AS:$AS,Detail!$G:$G,'Rates-Service Fees'!CZ$23,Detail!$H:$H,'Rates-Service Fees'!CZ$20)*100</f>
        <v>0</v>
      </c>
      <c r="DA40">
        <f>SUMIFS(Detail!$AS:$AS,Detail!$G:$G,'Rates-Service Fees'!DA$23,Detail!$H:$H,'Rates-Service Fees'!DA$20)*100</f>
        <v>0</v>
      </c>
      <c r="DB40">
        <f>SUMIFS(Detail!$AS:$AS,Detail!$G:$G,'Rates-Service Fees'!DB$23,Detail!$H:$H,'Rates-Service Fees'!DB$20)*100</f>
        <v>0</v>
      </c>
      <c r="DC40">
        <f>SUMIFS(Detail!$AS:$AS,Detail!$G:$G,'Rates-Service Fees'!DC$23,Detail!$H:$H,'Rates-Service Fees'!DC$20)*100</f>
        <v>0</v>
      </c>
      <c r="DD40">
        <f>SUMIFS(Detail!$AS:$AS,Detail!$G:$G,'Rates-Service Fees'!DD$23,Detail!$H:$H,'Rates-Service Fees'!DD$20)*100</f>
        <v>0</v>
      </c>
      <c r="DE40">
        <f>SUMIFS(Detail!$AS:$AS,Detail!$G:$G,'Rates-Service Fees'!DE$23,Detail!$H:$H,'Rates-Service Fees'!DE$20)*100</f>
        <v>0</v>
      </c>
      <c r="DF40">
        <f>SUMIFS(Detail!$AS:$AS,Detail!$G:$G,'Rates-Service Fees'!DF$23,Detail!$H:$H,'Rates-Service Fees'!DF$20)*100</f>
        <v>0</v>
      </c>
      <c r="DG40">
        <f>SUMIFS(Detail!$AS:$AS,Detail!$G:$G,'Rates-Service Fees'!DG$23,Detail!$H:$H,'Rates-Service Fees'!DG$20)*100</f>
        <v>0</v>
      </c>
      <c r="DH40">
        <f>SUMIFS(Detail!$AS:$AS,Detail!$G:$G,'Rates-Service Fees'!DH$23,Detail!$H:$H,'Rates-Service Fees'!DH$20)*100</f>
        <v>0</v>
      </c>
      <c r="DI40">
        <f>SUMIFS(Detail!$AS:$AS,Detail!$G:$G,'Rates-Service Fees'!DI$23,Detail!$H:$H,'Rates-Service Fees'!DI$20)*100</f>
        <v>0</v>
      </c>
      <c r="DJ40">
        <f>SUMIFS(Detail!$AS:$AS,Detail!$G:$G,'Rates-Service Fees'!DJ$23,Detail!$H:$H,'Rates-Service Fees'!DJ$20)*100</f>
        <v>0</v>
      </c>
      <c r="DK40">
        <f>SUMIFS(Detail!$AS:$AS,Detail!$G:$G,'Rates-Service Fees'!DK$23,Detail!$H:$H,'Rates-Service Fees'!DK$20)*100</f>
        <v>0</v>
      </c>
      <c r="DL40">
        <f>SUMIFS(Detail!$AS:$AS,Detail!$G:$G,'Rates-Service Fees'!DL$23,Detail!$H:$H,'Rates-Service Fees'!DL$20)*100</f>
        <v>0</v>
      </c>
      <c r="DM40">
        <f>SUMIFS(Detail!$AS:$AS,Detail!$G:$G,'Rates-Service Fees'!DM$23,Detail!$H:$H,'Rates-Service Fees'!DM$20)*100</f>
        <v>0</v>
      </c>
      <c r="DN40">
        <f>SUMIFS(Detail!$AS:$AS,Detail!$G:$G,'Rates-Service Fees'!DN$23,Detail!$H:$H,'Rates-Service Fees'!DN$20)*100</f>
        <v>0</v>
      </c>
      <c r="DO40">
        <f>SUMIFS(Detail!$AS:$AS,Detail!$G:$G,'Rates-Service Fees'!DO$23,Detail!$H:$H,'Rates-Service Fees'!DO$20)*100</f>
        <v>0</v>
      </c>
      <c r="DP40">
        <f>SUMIFS(Detail!$AS:$AS,Detail!$G:$G,'Rates-Service Fees'!DP$23,Detail!$H:$H,'Rates-Service Fees'!DP$20)*100</f>
        <v>0</v>
      </c>
      <c r="DQ40">
        <f>SUMIFS(Detail!$AS:$AS,Detail!$G:$G,'Rates-Service Fees'!DQ$23,Detail!$H:$H,'Rates-Service Fees'!DQ$20)*100</f>
        <v>0</v>
      </c>
      <c r="DR40">
        <f>SUMIFS(Detail!$AS:$AS,Detail!$G:$G,'Rates-Service Fees'!DR$23,Detail!$H:$H,'Rates-Service Fees'!DR$20)*100</f>
        <v>0</v>
      </c>
      <c r="DS40">
        <f>SUMIFS(Detail!$AS:$AS,Detail!$G:$G,'Rates-Service Fees'!DS$23,Detail!$H:$H,'Rates-Service Fees'!DS$20)*100</f>
        <v>0</v>
      </c>
      <c r="DT40">
        <f>SUMIFS(Detail!$AS:$AS,Detail!$G:$G,'Rates-Service Fees'!DT$23,Detail!$H:$H,'Rates-Service Fees'!DT$20)*100</f>
        <v>0</v>
      </c>
      <c r="DU40">
        <f>SUMIFS(Detail!$AS:$AS,Detail!$G:$G,'Rates-Service Fees'!DU$23,Detail!$H:$H,'Rates-Service Fees'!DU$20)*100</f>
        <v>0</v>
      </c>
      <c r="DV40">
        <f>SUMIFS(Detail!$AS:$AS,Detail!$G:$G,'Rates-Service Fees'!DV$23,Detail!$H:$H,'Rates-Service Fees'!DV$20)*100</f>
        <v>0</v>
      </c>
      <c r="DW40">
        <f>SUMIFS(Detail!$AS:$AS,Detail!$G:$G,'Rates-Service Fees'!DW$23,Detail!$H:$H,'Rates-Service Fees'!DW$20)*100</f>
        <v>0</v>
      </c>
      <c r="DX40">
        <f>SUMIFS(Detail!$AS:$AS,Detail!$G:$G,'Rates-Service Fees'!DX$23,Detail!$H:$H,'Rates-Service Fees'!DX$20)*100</f>
        <v>0</v>
      </c>
      <c r="DY40">
        <f>SUMIFS(Detail!$AS:$AS,Detail!$G:$G,'Rates-Service Fees'!DY$23,Detail!$H:$H,'Rates-Service Fees'!DY$20)*100</f>
        <v>0</v>
      </c>
      <c r="DZ40">
        <f>SUMIFS(Detail!$AS:$AS,Detail!$G:$G,'Rates-Service Fees'!DZ$23,Detail!$H:$H,'Rates-Service Fees'!DZ$20)*100</f>
        <v>0</v>
      </c>
      <c r="EA40">
        <f>SUMIFS(Detail!$AS:$AS,Detail!$G:$G,'Rates-Service Fees'!EA$23,Detail!$H:$H,'Rates-Service Fees'!EA$20)*100</f>
        <v>0</v>
      </c>
      <c r="EB40">
        <f>SUMIFS(Detail!$AS:$AS,Detail!$G:$G,'Rates-Service Fees'!EB$23,Detail!$H:$H,'Rates-Service Fees'!EB$20)*100</f>
        <v>0</v>
      </c>
      <c r="EC40">
        <f>SUMIFS(Detail!$AS:$AS,Detail!$G:$G,'Rates-Service Fees'!EC$23,Detail!$H:$H,'Rates-Service Fees'!EC$20)*100</f>
        <v>0</v>
      </c>
      <c r="ED40">
        <f>SUMIFS(Detail!$AS:$AS,Detail!$G:$G,'Rates-Service Fees'!ED$23,Detail!$H:$H,'Rates-Service Fees'!ED$20)*100</f>
        <v>0</v>
      </c>
      <c r="EE40">
        <f>SUMIFS(Detail!$AS:$AS,Detail!$G:$G,'Rates-Service Fees'!EE$23,Detail!$H:$H,'Rates-Service Fees'!EE$20)*100</f>
        <v>0</v>
      </c>
      <c r="EF40">
        <f>SUMIFS(Detail!$AS:$AS,Detail!$G:$G,'Rates-Service Fees'!EF$23,Detail!$H:$H,'Rates-Service Fees'!EF$20)*100</f>
        <v>0</v>
      </c>
      <c r="EG40">
        <f>SUMIFS(Detail!$AS:$AS,Detail!$G:$G,'Rates-Service Fees'!EG$23,Detail!$H:$H,'Rates-Service Fees'!EG$20)*100</f>
        <v>0</v>
      </c>
      <c r="EH40">
        <f>SUMIFS(Detail!$AS:$AS,Detail!$G:$G,'Rates-Service Fees'!EH$23,Detail!$H:$H,'Rates-Service Fees'!EH$20)*100</f>
        <v>0</v>
      </c>
      <c r="EI40">
        <f>SUMIFS(Detail!$AS:$AS,Detail!$G:$G,'Rates-Service Fees'!EI$23,Detail!$H:$H,'Rates-Service Fees'!EI$20)*100</f>
        <v>0</v>
      </c>
      <c r="EJ40">
        <f>SUMIFS(Detail!$AS:$AS,Detail!$G:$G,'Rates-Service Fees'!EJ$23,Detail!$H:$H,'Rates-Service Fees'!EJ$20)*100</f>
        <v>0</v>
      </c>
      <c r="EK40">
        <f>SUMIFS(Detail!$AS:$AS,Detail!$G:$G,'Rates-Service Fees'!EK$23,Detail!$H:$H,'Rates-Service Fees'!EK$20)*100</f>
        <v>0</v>
      </c>
      <c r="EL40">
        <f>SUMIFS(Detail!$AS:$AS,Detail!$G:$G,'Rates-Service Fees'!EL$23,Detail!$H:$H,'Rates-Service Fees'!EL$20)*100</f>
        <v>0</v>
      </c>
      <c r="EM40">
        <f>SUMIFS(Detail!$AS:$AS,Detail!$G:$G,'Rates-Service Fees'!EM$23,Detail!$H:$H,'Rates-Service Fees'!EM$20)*100</f>
        <v>0</v>
      </c>
      <c r="EN40">
        <f>SUMIFS(Detail!$AS:$AS,Detail!$G:$G,'Rates-Service Fees'!EN$23,Detail!$H:$H,'Rates-Service Fees'!EN$20)*100</f>
        <v>0</v>
      </c>
      <c r="EO40">
        <f>SUMIFS(Detail!$AS:$AS,Detail!$G:$G,'Rates-Service Fees'!EO$23,Detail!$H:$H,'Rates-Service Fees'!EO$20)*100</f>
        <v>0</v>
      </c>
      <c r="EP40">
        <f>SUMIFS(Detail!$AS:$AS,Detail!$G:$G,'Rates-Service Fees'!EP$23,Detail!$H:$H,'Rates-Service Fees'!EP$20)*100</f>
        <v>0</v>
      </c>
      <c r="EQ40">
        <f>SUMIFS(Detail!$AS:$AS,Detail!$G:$G,'Rates-Service Fees'!EQ$23,Detail!$H:$H,'Rates-Service Fees'!EQ$20)*100</f>
        <v>0</v>
      </c>
      <c r="ER40">
        <f>SUMIFS(Detail!$AS:$AS,Detail!$G:$G,'Rates-Service Fees'!ER$23,Detail!$H:$H,'Rates-Service Fees'!ER$20)*100</f>
        <v>0</v>
      </c>
      <c r="ES40">
        <f>SUMIFS(Detail!$AS:$AS,Detail!$G:$G,'Rates-Service Fees'!ES$23,Detail!$H:$H,'Rates-Service Fees'!ES$20)*100</f>
        <v>0</v>
      </c>
      <c r="ET40">
        <f>SUMIFS(Detail!$AS:$AS,Detail!$G:$G,'Rates-Service Fees'!ET$23,Detail!$H:$H,'Rates-Service Fees'!ET$20)*100</f>
        <v>0</v>
      </c>
      <c r="EU40">
        <f>SUMIFS(Detail!$AS:$AS,Detail!$G:$G,'Rates-Service Fees'!EU$23,Detail!$H:$H,'Rates-Service Fees'!EU$20)*100</f>
        <v>0</v>
      </c>
      <c r="EV40">
        <f>SUMIFS(Detail!$AS:$AS,Detail!$G:$G,'Rates-Service Fees'!EV$23,Detail!$H:$H,'Rates-Service Fees'!EV$20)*100</f>
        <v>0</v>
      </c>
      <c r="EW40">
        <f>SUMIFS(Detail!$AS:$AS,Detail!$G:$G,'Rates-Service Fees'!EW$23,Detail!$H:$H,'Rates-Service Fees'!EW$20)*100</f>
        <v>0</v>
      </c>
      <c r="EX40">
        <f>SUMIFS(Detail!$AS:$AS,Detail!$G:$G,'Rates-Service Fees'!EX$23,Detail!$H:$H,'Rates-Service Fees'!EX$20)*100</f>
        <v>0</v>
      </c>
      <c r="EY40">
        <f>SUMIFS(Detail!$AS:$AS,Detail!$G:$G,'Rates-Service Fees'!EY$23,Detail!$H:$H,'Rates-Service Fees'!EY$20)*100</f>
        <v>0</v>
      </c>
      <c r="EZ40">
        <f>SUMIFS(Detail!$AS:$AS,Detail!$G:$G,'Rates-Service Fees'!EZ$23,Detail!$H:$H,'Rates-Service Fees'!EZ$20)*100</f>
        <v>0</v>
      </c>
      <c r="FA40">
        <f>SUMIFS(Detail!$AS:$AS,Detail!$G:$G,'Rates-Service Fees'!FA$23,Detail!$H:$H,'Rates-Service Fees'!FA$20)*100</f>
        <v>0</v>
      </c>
      <c r="FB40">
        <f>SUMIFS(Detail!$AS:$AS,Detail!$G:$G,'Rates-Service Fees'!FB$23,Detail!$H:$H,'Rates-Service Fees'!FB$20)*100</f>
        <v>0</v>
      </c>
      <c r="FC40">
        <f>SUMIFS(Detail!$AS:$AS,Detail!$G:$G,'Rates-Service Fees'!FC$23,Detail!$H:$H,'Rates-Service Fees'!FC$20)*100</f>
        <v>0</v>
      </c>
      <c r="FD40">
        <f>SUMIFS(Detail!$AS:$AS,Detail!$G:$G,'Rates-Service Fees'!FD$23,Detail!$H:$H,'Rates-Service Fees'!FD$20)*100</f>
        <v>0</v>
      </c>
      <c r="FE40">
        <f>SUMIFS(Detail!$AS:$AS,Detail!$G:$G,'Rates-Service Fees'!FE$23,Detail!$H:$H,'Rates-Service Fees'!FE$20)*100</f>
        <v>0</v>
      </c>
      <c r="FF40">
        <f>SUMIFS(Detail!$AS:$AS,Detail!$G:$G,'Rates-Service Fees'!FF$23,Detail!$H:$H,'Rates-Service Fees'!FF$20)*100</f>
        <v>0</v>
      </c>
      <c r="FG40">
        <f>SUMIFS(Detail!$AS:$AS,Detail!$G:$G,'Rates-Service Fees'!FG$23,Detail!$H:$H,'Rates-Service Fees'!FG$20)*100</f>
        <v>0</v>
      </c>
      <c r="FH40">
        <f>SUMIFS(Detail!$AS:$AS,Detail!$G:$G,'Rates-Service Fees'!FH$23,Detail!$H:$H,'Rates-Service Fees'!FH$20)*100</f>
        <v>0</v>
      </c>
      <c r="FI40">
        <f>SUMIFS(Detail!$AS:$AS,Detail!$G:$G,'Rates-Service Fees'!FI$23,Detail!$H:$H,'Rates-Service Fees'!FI$20)*100</f>
        <v>0</v>
      </c>
      <c r="FJ40">
        <f>SUMIFS(Detail!$AS:$AS,Detail!$G:$G,'Rates-Service Fees'!FJ$23,Detail!$H:$H,'Rates-Service Fees'!FJ$20)*100</f>
        <v>0</v>
      </c>
      <c r="FK40">
        <f>SUMIFS(Detail!$AS:$AS,Detail!$G:$G,'Rates-Service Fees'!FK$23,Detail!$H:$H,'Rates-Service Fees'!FK$20)*100</f>
        <v>0</v>
      </c>
      <c r="FL40">
        <f>SUMIFS(Detail!$AS:$AS,Detail!$G:$G,'Rates-Service Fees'!FL$23,Detail!$H:$H,'Rates-Service Fees'!FL$20)*100</f>
        <v>0</v>
      </c>
      <c r="FM40">
        <f>SUMIFS(Detail!$AS:$AS,Detail!$G:$G,'Rates-Service Fees'!FM$23,Detail!$H:$H,'Rates-Service Fees'!FM$20)*100</f>
        <v>0</v>
      </c>
      <c r="FN40">
        <f>SUMIFS(Detail!$AS:$AS,Detail!$G:$G,'Rates-Service Fees'!FN$23,Detail!$H:$H,'Rates-Service Fees'!FN$20)*100</f>
        <v>0</v>
      </c>
      <c r="FO40">
        <f>SUMIFS(Detail!$AS:$AS,Detail!$G:$G,'Rates-Service Fees'!FO$23,Detail!$H:$H,'Rates-Service Fees'!FO$20)*100</f>
        <v>0</v>
      </c>
      <c r="FP40">
        <f>SUMIFS(Detail!$AS:$AS,Detail!$G:$G,'Rates-Service Fees'!FP$23,Detail!$H:$H,'Rates-Service Fees'!FP$20)*100</f>
        <v>0</v>
      </c>
      <c r="FQ40">
        <f>SUMIFS(Detail!$AS:$AS,Detail!$G:$G,'Rates-Service Fees'!FQ$23,Detail!$H:$H,'Rates-Service Fees'!FQ$20)*100</f>
        <v>0</v>
      </c>
      <c r="FR40">
        <f>SUMIFS(Detail!$AS:$AS,Detail!$G:$G,'Rates-Service Fees'!FR$23,Detail!$H:$H,'Rates-Service Fees'!FR$20)*100</f>
        <v>0</v>
      </c>
      <c r="FS40">
        <f>SUMIFS(Detail!$AS:$AS,Detail!$G:$G,'Rates-Service Fees'!FS$23,Detail!$H:$H,'Rates-Service Fees'!FS$20)*100</f>
        <v>0</v>
      </c>
      <c r="FT40">
        <f>SUMIFS(Detail!$AS:$AS,Detail!$G:$G,'Rates-Service Fees'!FT$23,Detail!$H:$H,'Rates-Service Fees'!FT$20)*100</f>
        <v>0</v>
      </c>
      <c r="FU40">
        <f>SUMIFS(Detail!$AS:$AS,Detail!$G:$G,'Rates-Service Fees'!FU$23,Detail!$H:$H,'Rates-Service Fees'!FU$20)*100</f>
        <v>0</v>
      </c>
      <c r="FV40">
        <f>SUMIFS(Detail!$AS:$AS,Detail!$G:$G,'Rates-Service Fees'!FV$23,Detail!$H:$H,'Rates-Service Fees'!FV$20)*100</f>
        <v>0</v>
      </c>
      <c r="FW40">
        <f>SUMIFS(Detail!$AS:$AS,Detail!$G:$G,'Rates-Service Fees'!FW$23,Detail!$H:$H,'Rates-Service Fees'!FW$20)*100</f>
        <v>0</v>
      </c>
      <c r="FX40">
        <f>SUMIFS(Detail!$AS:$AS,Detail!$G:$G,'Rates-Service Fees'!FX$23,Detail!$H:$H,'Rates-Service Fees'!FX$20)*100</f>
        <v>0</v>
      </c>
      <c r="FY40">
        <f>SUMIFS(Detail!$AS:$AS,Detail!$G:$G,'Rates-Service Fees'!FY$23,Detail!$H:$H,'Rates-Service Fees'!FY$20)*100</f>
        <v>0</v>
      </c>
      <c r="FZ40">
        <f>SUMIFS(Detail!$AS:$AS,Detail!$G:$G,'Rates-Service Fees'!FZ$23,Detail!$H:$H,'Rates-Service Fees'!FZ$20)*100</f>
        <v>0</v>
      </c>
      <c r="GA40">
        <f>SUMIFS(Detail!$AS:$AS,Detail!$G:$G,'Rates-Service Fees'!GA$23,Detail!$H:$H,'Rates-Service Fees'!GA$20)*100</f>
        <v>0</v>
      </c>
      <c r="GB40">
        <f>SUMIFS(Detail!$AS:$AS,Detail!$G:$G,'Rates-Service Fees'!GB$23,Detail!$H:$H,'Rates-Service Fees'!GB$20)*100</f>
        <v>0</v>
      </c>
      <c r="GC40">
        <f>SUMIFS(Detail!$AS:$AS,Detail!$G:$G,'Rates-Service Fees'!GC$23,Detail!$H:$H,'Rates-Service Fees'!GC$20)*100</f>
        <v>0</v>
      </c>
      <c r="GD40">
        <f>SUMIFS(Detail!$AS:$AS,Detail!$G:$G,'Rates-Service Fees'!GD$23,Detail!$H:$H,'Rates-Service Fees'!GD$20)*100</f>
        <v>0</v>
      </c>
      <c r="GE40">
        <f>SUMIFS(Detail!$AS:$AS,Detail!$G:$G,'Rates-Service Fees'!GE$23,Detail!$H:$H,'Rates-Service Fees'!GE$20)*100</f>
        <v>0</v>
      </c>
      <c r="GF40">
        <f>SUMIFS(Detail!$AS:$AS,Detail!$G:$G,'Rates-Service Fees'!GF$23,Detail!$H:$H,'Rates-Service Fees'!GF$20)*100</f>
        <v>0</v>
      </c>
      <c r="GG40">
        <f>SUMIFS(Detail!$AS:$AS,Detail!$G:$G,'Rates-Service Fees'!GG$23,Detail!$H:$H,'Rates-Service Fees'!GG$20)*100</f>
        <v>0</v>
      </c>
      <c r="GH40">
        <f>SUMIFS(Detail!$AS:$AS,Detail!$G:$G,'Rates-Service Fees'!GH$23,Detail!$H:$H,'Rates-Service Fees'!GH$20)*100</f>
        <v>0</v>
      </c>
      <c r="GI40">
        <f>SUMIFS(Detail!$AS:$AS,Detail!$G:$G,'Rates-Service Fees'!GI$23,Detail!$H:$H,'Rates-Service Fees'!GI$20)*100</f>
        <v>0</v>
      </c>
      <c r="GJ40">
        <f>SUMIFS(Detail!$AS:$AS,Detail!$G:$G,'Rates-Service Fees'!GJ$23,Detail!$H:$H,'Rates-Service Fees'!GJ$20)*100</f>
        <v>0</v>
      </c>
      <c r="GK40">
        <f>SUMIFS(Detail!$AS:$AS,Detail!$G:$G,'Rates-Service Fees'!GK$23,Detail!$H:$H,'Rates-Service Fees'!GK$20)*100</f>
        <v>0</v>
      </c>
      <c r="GL40">
        <f>SUMIFS(Detail!$AS:$AS,Detail!$G:$G,'Rates-Service Fees'!GL$23,Detail!$H:$H,'Rates-Service Fees'!GL$20)*100</f>
        <v>0</v>
      </c>
      <c r="GM40">
        <f>SUMIFS(Detail!$AS:$AS,Detail!$G:$G,'Rates-Service Fees'!GM$23,Detail!$H:$H,'Rates-Service Fees'!GM$20)*100</f>
        <v>0</v>
      </c>
      <c r="GN40">
        <f>SUMIFS(Detail!$AS:$AS,Detail!$G:$G,'Rates-Service Fees'!GN$23,Detail!$H:$H,'Rates-Service Fees'!GN$20)*100</f>
        <v>0</v>
      </c>
      <c r="GO40">
        <f>SUMIFS(Detail!$AS:$AS,Detail!$G:$G,'Rates-Service Fees'!GO$23,Detail!$H:$H,'Rates-Service Fees'!GO$20)*100</f>
        <v>0</v>
      </c>
      <c r="GP40">
        <f>SUMIFS(Detail!$AS:$AS,Detail!$G:$G,'Rates-Service Fees'!GP$23,Detail!$H:$H,'Rates-Service Fees'!GP$20)*100</f>
        <v>0</v>
      </c>
      <c r="GQ40">
        <f>SUMIFS(Detail!$AS:$AS,Detail!$G:$G,'Rates-Service Fees'!GQ$23,Detail!$H:$H,'Rates-Service Fees'!GQ$20)*100</f>
        <v>0</v>
      </c>
      <c r="GR40">
        <f>SUMIFS(Detail!$AS:$AS,Detail!$G:$G,'Rates-Service Fees'!GR$23,Detail!$H:$H,'Rates-Service Fees'!GR$20)*100</f>
        <v>0</v>
      </c>
      <c r="GS40">
        <f>SUMIFS(Detail!$AS:$AS,Detail!$G:$G,'Rates-Service Fees'!GS$23,Detail!$H:$H,'Rates-Service Fees'!GS$20)*100</f>
        <v>0</v>
      </c>
      <c r="GT40">
        <f>SUMIFS(Detail!$AS:$AS,Detail!$G:$G,'Rates-Service Fees'!GT$23,Detail!$H:$H,'Rates-Service Fees'!GT$20)*100</f>
        <v>0</v>
      </c>
      <c r="GU40">
        <f>SUMIFS(Detail!$AS:$AS,Detail!$G:$G,'Rates-Service Fees'!GU$23,Detail!$H:$H,'Rates-Service Fees'!GU$20)*100</f>
        <v>0</v>
      </c>
      <c r="GV40">
        <f>SUMIFS(Detail!$AS:$AS,Detail!$G:$G,'Rates-Service Fees'!GV$23,Detail!$H:$H,'Rates-Service Fees'!GV$20)*100</f>
        <v>0</v>
      </c>
      <c r="GW40">
        <f>SUMIFS(Detail!$AS:$AS,Detail!$G:$G,'Rates-Service Fees'!GW$23,Detail!$H:$H,'Rates-Service Fees'!GW$20)*100</f>
        <v>0</v>
      </c>
      <c r="GX40">
        <f>SUMIFS(Detail!$AS:$AS,Detail!$G:$G,'Rates-Service Fees'!GX$23,Detail!$H:$H,'Rates-Service Fees'!GX$20)*100</f>
        <v>0</v>
      </c>
      <c r="GY40">
        <f>SUMIFS(Detail!$AS:$AS,Detail!$G:$G,'Rates-Service Fees'!GY$23,Detail!$H:$H,'Rates-Service Fees'!GY$20)*100</f>
        <v>0</v>
      </c>
      <c r="GZ40">
        <f>SUMIFS(Detail!$AS:$AS,Detail!$G:$G,'Rates-Service Fees'!GZ$23,Detail!$H:$H,'Rates-Service Fees'!GZ$20)*100</f>
        <v>0</v>
      </c>
      <c r="HA40">
        <f>SUMIFS(Detail!$AS:$AS,Detail!$G:$G,'Rates-Service Fees'!HA$23,Detail!$H:$H,'Rates-Service Fees'!HA$20)*100</f>
        <v>0</v>
      </c>
      <c r="HB40">
        <f>SUMIFS(Detail!$AS:$AS,Detail!$G:$G,'Rates-Service Fees'!HB$23,Detail!$H:$H,'Rates-Service Fees'!HB$20)*100</f>
        <v>0</v>
      </c>
      <c r="HC40">
        <f>SUMIFS(Detail!$AS:$AS,Detail!$G:$G,'Rates-Service Fees'!HC$23,Detail!$H:$H,'Rates-Service Fees'!HC$20)*100</f>
        <v>0</v>
      </c>
      <c r="HD40">
        <f>SUMIFS(Detail!$AS:$AS,Detail!$G:$G,'Rates-Service Fees'!HD$23,Detail!$H:$H,'Rates-Service Fees'!HD$20)*100</f>
        <v>0</v>
      </c>
      <c r="HE40">
        <f>SUMIFS(Detail!$AS:$AS,Detail!$G:$G,'Rates-Service Fees'!HE$23,Detail!$H:$H,'Rates-Service Fees'!HE$20)*100</f>
        <v>0</v>
      </c>
      <c r="HF40">
        <f>SUMIFS(Detail!$AS:$AS,Detail!$G:$G,'Rates-Service Fees'!HF$23,Detail!$H:$H,'Rates-Service Fees'!HF$20)*100</f>
        <v>0</v>
      </c>
      <c r="HG40">
        <f>SUMIFS(Detail!$AS:$AS,Detail!$G:$G,'Rates-Service Fees'!HG$23,Detail!$H:$H,'Rates-Service Fees'!HG$20)*100</f>
        <v>0</v>
      </c>
      <c r="HH40">
        <f>SUMIFS(Detail!$AS:$AS,Detail!$G:$G,'Rates-Service Fees'!HH$23,Detail!$H:$H,'Rates-Service Fees'!HH$20)*100</f>
        <v>0</v>
      </c>
      <c r="HI40">
        <f>SUMIFS(Detail!$AS:$AS,Detail!$G:$G,'Rates-Service Fees'!HI$23,Detail!$H:$H,'Rates-Service Fees'!HI$20)*100</f>
        <v>0</v>
      </c>
      <c r="HJ40">
        <f>SUMIFS(Detail!$AS:$AS,Detail!$G:$G,'Rates-Service Fees'!HJ$23,Detail!$H:$H,'Rates-Service Fees'!HJ$20)*100</f>
        <v>0</v>
      </c>
      <c r="HK40">
        <f>SUMIFS(Detail!$AS:$AS,Detail!$G:$G,'Rates-Service Fees'!HK$23,Detail!$H:$H,'Rates-Service Fees'!HK$20)*100</f>
        <v>0</v>
      </c>
      <c r="HL40">
        <f>SUMIFS(Detail!$AS:$AS,Detail!$G:$G,'Rates-Service Fees'!HL$23,Detail!$H:$H,'Rates-Service Fees'!HL$20)*100</f>
        <v>0</v>
      </c>
      <c r="HM40">
        <f>SUMIFS(Detail!$AS:$AS,Detail!$G:$G,'Rates-Service Fees'!HM$23,Detail!$H:$H,'Rates-Service Fees'!HM$20)*100</f>
        <v>0</v>
      </c>
      <c r="HN40">
        <f>SUMIFS(Detail!$AS:$AS,Detail!$G:$G,'Rates-Service Fees'!HN$23,Detail!$H:$H,'Rates-Service Fees'!HN$20)*100</f>
        <v>0</v>
      </c>
      <c r="HO40">
        <f>SUMIFS(Detail!$AS:$AS,Detail!$G:$G,'Rates-Service Fees'!HO$23,Detail!$H:$H,'Rates-Service Fees'!HO$20)*100</f>
        <v>0</v>
      </c>
      <c r="HP40">
        <f>SUMIFS(Detail!$AS:$AS,Detail!$G:$G,'Rates-Service Fees'!HP$23,Detail!$H:$H,'Rates-Service Fees'!HP$20)*100</f>
        <v>0</v>
      </c>
      <c r="HQ40">
        <f>SUMIFS(Detail!$AS:$AS,Detail!$G:$G,'Rates-Service Fees'!HQ$23,Detail!$H:$H,'Rates-Service Fees'!HQ$20)*100</f>
        <v>0</v>
      </c>
      <c r="HR40">
        <f>SUMIFS(Detail!$AS:$AS,Detail!$G:$G,'Rates-Service Fees'!HR$23,Detail!$H:$H,'Rates-Service Fees'!HR$20)*100</f>
        <v>0</v>
      </c>
      <c r="HS40">
        <f>SUMIFS(Detail!$AS:$AS,Detail!$G:$G,'Rates-Service Fees'!HS$23,Detail!$H:$H,'Rates-Service Fees'!HS$20)*100</f>
        <v>0</v>
      </c>
      <c r="HT40">
        <f>SUMIFS(Detail!$AS:$AS,Detail!$G:$G,'Rates-Service Fees'!HT$23,Detail!$H:$H,'Rates-Service Fees'!HT$20)*100</f>
        <v>0</v>
      </c>
      <c r="HU40">
        <f>SUMIFS(Detail!$AS:$AS,Detail!$G:$G,'Rates-Service Fees'!HU$23,Detail!$H:$H,'Rates-Service Fees'!HU$20)*100</f>
        <v>0</v>
      </c>
      <c r="HV40">
        <f>SUMIFS(Detail!$AS:$AS,Detail!$G:$G,'Rates-Service Fees'!HV$23,Detail!$H:$H,'Rates-Service Fees'!HV$20)*100</f>
        <v>0</v>
      </c>
      <c r="HW40">
        <f>SUMIFS(Detail!$AS:$AS,Detail!$G:$G,'Rates-Service Fees'!HW$23,Detail!$H:$H,'Rates-Service Fees'!HW$20)*100</f>
        <v>0</v>
      </c>
      <c r="HX40">
        <f>SUMIFS(Detail!$AS:$AS,Detail!$G:$G,'Rates-Service Fees'!HX$23,Detail!$H:$H,'Rates-Service Fees'!HX$20)*100</f>
        <v>0</v>
      </c>
      <c r="HY40">
        <f>SUMIFS(Detail!$AS:$AS,Detail!$G:$G,'Rates-Service Fees'!HY$23,Detail!$H:$H,'Rates-Service Fees'!HY$20)*100</f>
        <v>0</v>
      </c>
      <c r="HZ40">
        <f>SUMIFS(Detail!$AS:$AS,Detail!$G:$G,'Rates-Service Fees'!HZ$23,Detail!$H:$H,'Rates-Service Fees'!HZ$20)*100</f>
        <v>0</v>
      </c>
      <c r="IA40">
        <f>SUMIFS(Detail!$AS:$AS,Detail!$G:$G,'Rates-Service Fees'!IA$23,Detail!$H:$H,'Rates-Service Fees'!IA$20)*100</f>
        <v>0</v>
      </c>
      <c r="IB40">
        <f>SUMIFS(Detail!$AS:$AS,Detail!$G:$G,'Rates-Service Fees'!IB$23,Detail!$H:$H,'Rates-Service Fees'!IB$20)*100</f>
        <v>0</v>
      </c>
      <c r="IC40">
        <f>SUMIFS(Detail!$AS:$AS,Detail!$G:$G,'Rates-Service Fees'!IC$23,Detail!$H:$H,'Rates-Service Fees'!IC$20)*100</f>
        <v>0</v>
      </c>
      <c r="ID40">
        <f>SUMIFS(Detail!$AS:$AS,Detail!$G:$G,'Rates-Service Fees'!ID$23,Detail!$H:$H,'Rates-Service Fees'!ID$20)*100</f>
        <v>0</v>
      </c>
      <c r="IE40">
        <f>SUMIFS(Detail!$AS:$AS,Detail!$G:$G,'Rates-Service Fees'!IE$23,Detail!$H:$H,'Rates-Service Fees'!IE$20)*100</f>
        <v>0</v>
      </c>
      <c r="IF40">
        <f>SUMIFS(Detail!$AS:$AS,Detail!$G:$G,'Rates-Service Fees'!IF$23,Detail!$H:$H,'Rates-Service Fees'!IF$20)*100</f>
        <v>0</v>
      </c>
      <c r="IG40">
        <f>SUMIFS(Detail!$AS:$AS,Detail!$G:$G,'Rates-Service Fees'!IG$23,Detail!$H:$H,'Rates-Service Fees'!IG$20)*100</f>
        <v>0</v>
      </c>
      <c r="IH40">
        <f>SUMIFS(Detail!$AS:$AS,Detail!$G:$G,'Rates-Service Fees'!IH$23,Detail!$H:$H,'Rates-Service Fees'!IH$20)*100</f>
        <v>0</v>
      </c>
      <c r="II40">
        <f>SUMIFS(Detail!$AS:$AS,Detail!$G:$G,'Rates-Service Fees'!II$23,Detail!$H:$H,'Rates-Service Fees'!II$20)*100</f>
        <v>0</v>
      </c>
      <c r="IJ40">
        <f>SUMIFS(Detail!$AS:$AS,Detail!$G:$G,'Rates-Service Fees'!IJ$23,Detail!$H:$H,'Rates-Service Fees'!IJ$20)*100</f>
        <v>0</v>
      </c>
      <c r="IK40">
        <f>SUMIFS(Detail!$AS:$AS,Detail!$G:$G,'Rates-Service Fees'!IK$23,Detail!$H:$H,'Rates-Service Fees'!IK$20)*100</f>
        <v>0</v>
      </c>
      <c r="IL40">
        <f>SUMIFS(Detail!$AS:$AS,Detail!$G:$G,'Rates-Service Fees'!IL$23,Detail!$H:$H,'Rates-Service Fees'!IL$20)*100</f>
        <v>0</v>
      </c>
      <c r="IM40">
        <f>SUMIFS(Detail!$AS:$AS,Detail!$G:$G,'Rates-Service Fees'!IM$23,Detail!$H:$H,'Rates-Service Fees'!IM$20)*100</f>
        <v>0</v>
      </c>
      <c r="IN40">
        <f>SUMIFS(Detail!$AS:$AS,Detail!$G:$G,'Rates-Service Fees'!IN$23,Detail!$H:$H,'Rates-Service Fees'!IN$20)*100</f>
        <v>0</v>
      </c>
      <c r="IO40">
        <f>SUMIFS(Detail!$AS:$AS,Detail!$G:$G,'Rates-Service Fees'!IO$23,Detail!$H:$H,'Rates-Service Fees'!IO$20)*100</f>
        <v>0</v>
      </c>
      <c r="IP40">
        <f>SUMIFS(Detail!$AS:$AS,Detail!$G:$G,'Rates-Service Fees'!IP$23,Detail!$H:$H,'Rates-Service Fees'!IP$20)*100</f>
        <v>0</v>
      </c>
      <c r="IQ40">
        <f>SUMIFS(Detail!$AS:$AS,Detail!$G:$G,'Rates-Service Fees'!IQ$23,Detail!$H:$H,'Rates-Service Fees'!IQ$20)*100</f>
        <v>0</v>
      </c>
      <c r="IR40">
        <f>SUMIFS(Detail!$AS:$AS,Detail!$G:$G,'Rates-Service Fees'!IR$23,Detail!$H:$H,'Rates-Service Fees'!IR$20)*100</f>
        <v>0</v>
      </c>
      <c r="IS40">
        <f>SUMIFS(Detail!$AS:$AS,Detail!$G:$G,'Rates-Service Fees'!IS$23,Detail!$H:$H,'Rates-Service Fees'!IS$20)*100</f>
        <v>0</v>
      </c>
      <c r="IT40">
        <f>SUMIFS(Detail!$AS:$AS,Detail!$G:$G,'Rates-Service Fees'!IT$23,Detail!$H:$H,'Rates-Service Fees'!IT$20)*100</f>
        <v>0</v>
      </c>
      <c r="IU40">
        <f>SUMIFS(Detail!$AS:$AS,Detail!$G:$G,'Rates-Service Fees'!IU$23,Detail!$H:$H,'Rates-Service Fees'!IU$20)*100</f>
        <v>0</v>
      </c>
      <c r="IV40">
        <f>SUMIFS(Detail!$AS:$AS,Detail!$G:$G,'Rates-Service Fees'!IV$23,Detail!$H:$H,'Rates-Service Fees'!IV$20)*100</f>
        <v>0</v>
      </c>
      <c r="IW40">
        <f>SUMIFS(Detail!$AS:$AS,Detail!$G:$G,'Rates-Service Fees'!IW$23,Detail!$H:$H,'Rates-Service Fees'!IW$20)*100</f>
        <v>0</v>
      </c>
      <c r="IX40">
        <f>SUMIFS(Detail!$AS:$AS,Detail!$G:$G,'Rates-Service Fees'!IX$23,Detail!$H:$H,'Rates-Service Fees'!IX$20)*100</f>
        <v>0</v>
      </c>
      <c r="IY40">
        <f>SUMIFS(Detail!$AS:$AS,Detail!$G:$G,'Rates-Service Fees'!IY$23,Detail!$H:$H,'Rates-Service Fees'!IY$20)*100</f>
        <v>0</v>
      </c>
      <c r="IZ40">
        <f>SUMIFS(Detail!$AS:$AS,Detail!$G:$G,'Rates-Service Fees'!IZ$23,Detail!$H:$H,'Rates-Service Fees'!IZ$20)*100</f>
        <v>0</v>
      </c>
      <c r="JA40">
        <f>SUMIFS(Detail!$AS:$AS,Detail!$G:$G,'Rates-Service Fees'!JA$23,Detail!$H:$H,'Rates-Service Fees'!JA$20)*100</f>
        <v>0</v>
      </c>
      <c r="JB40">
        <f>SUMIFS(Detail!$AS:$AS,Detail!$G:$G,'Rates-Service Fees'!JB$23,Detail!$H:$H,'Rates-Service Fees'!JB$20)*100</f>
        <v>0</v>
      </c>
      <c r="JC40">
        <f>SUMIFS(Detail!$AS:$AS,Detail!$G:$G,'Rates-Service Fees'!JC$23,Detail!$H:$H,'Rates-Service Fees'!JC$20)*100</f>
        <v>0</v>
      </c>
      <c r="JD40">
        <f>SUMIFS(Detail!$AS:$AS,Detail!$G:$G,'Rates-Service Fees'!JD$23,Detail!$H:$H,'Rates-Service Fees'!JD$20)*100</f>
        <v>0</v>
      </c>
      <c r="JE40">
        <f>SUMIFS(Detail!$AS:$AS,Detail!$G:$G,'Rates-Service Fees'!JE$23,Detail!$H:$H,'Rates-Service Fees'!JE$20)*100</f>
        <v>0</v>
      </c>
      <c r="JF40">
        <f>SUMIFS(Detail!$AS:$AS,Detail!$G:$G,'Rates-Service Fees'!JF$23,Detail!$H:$H,'Rates-Service Fees'!JF$20)*100</f>
        <v>0</v>
      </c>
      <c r="JG40">
        <f>SUMIFS(Detail!$AS:$AS,Detail!$G:$G,'Rates-Service Fees'!JG$23,Detail!$H:$H,'Rates-Service Fees'!JG$20)*100</f>
        <v>0</v>
      </c>
      <c r="JH40">
        <f>SUMIFS(Detail!$AS:$AS,Detail!$G:$G,'Rates-Service Fees'!JH$23,Detail!$H:$H,'Rates-Service Fees'!JH$20)*100</f>
        <v>0</v>
      </c>
      <c r="JI40">
        <f>SUMIFS(Detail!$AS:$AS,Detail!$G:$G,'Rates-Service Fees'!JI$23,Detail!$H:$H,'Rates-Service Fees'!JI$20)*100</f>
        <v>0</v>
      </c>
      <c r="JJ40">
        <f>SUMIFS(Detail!$AS:$AS,Detail!$G:$G,'Rates-Service Fees'!JJ$23,Detail!$H:$H,'Rates-Service Fees'!JJ$20)*100</f>
        <v>0</v>
      </c>
      <c r="JK40">
        <f>SUMIFS(Detail!$AS:$AS,Detail!$G:$G,'Rates-Service Fees'!JK$23,Detail!$H:$H,'Rates-Service Fees'!JK$20)*100</f>
        <v>0</v>
      </c>
      <c r="JL40">
        <f>SUMIFS(Detail!$AS:$AS,Detail!$G:$G,'Rates-Service Fees'!JL$23,Detail!$H:$H,'Rates-Service Fees'!JL$20)*100</f>
        <v>0</v>
      </c>
      <c r="JM40">
        <f>SUMIFS(Detail!$AS:$AS,Detail!$G:$G,'Rates-Service Fees'!JM$23,Detail!$H:$H,'Rates-Service Fees'!JM$20)*100</f>
        <v>0</v>
      </c>
      <c r="JN40">
        <f>SUMIFS(Detail!$AS:$AS,Detail!$G:$G,'Rates-Service Fees'!JN$23,Detail!$H:$H,'Rates-Service Fees'!JN$20)*100</f>
        <v>0</v>
      </c>
      <c r="JO40">
        <f>SUMIFS(Detail!$AS:$AS,Detail!$G:$G,'Rates-Service Fees'!JO$23,Detail!$H:$H,'Rates-Service Fees'!JO$20)*100</f>
        <v>0</v>
      </c>
      <c r="JP40">
        <f>SUMIFS(Detail!$AS:$AS,Detail!$G:$G,'Rates-Service Fees'!JP$23,Detail!$H:$H,'Rates-Service Fees'!JP$20)*100</f>
        <v>0</v>
      </c>
      <c r="JQ40">
        <f>SUMIFS(Detail!$AS:$AS,Detail!$G:$G,'Rates-Service Fees'!JQ$23,Detail!$H:$H,'Rates-Service Fees'!JQ$20)*100</f>
        <v>0</v>
      </c>
      <c r="JR40">
        <f>SUMIFS(Detail!$AS:$AS,Detail!$G:$G,'Rates-Service Fees'!JR$23,Detail!$H:$H,'Rates-Service Fees'!JR$20)*100</f>
        <v>0</v>
      </c>
      <c r="JS40">
        <f>SUMIFS(Detail!$AS:$AS,Detail!$G:$G,'Rates-Service Fees'!JS$23,Detail!$H:$H,'Rates-Service Fees'!JS$20)*100</f>
        <v>0</v>
      </c>
      <c r="JT40">
        <f>SUMIFS(Detail!$AS:$AS,Detail!$G:$G,'Rates-Service Fees'!JT$23,Detail!$H:$H,'Rates-Service Fees'!JT$20)*100</f>
        <v>0</v>
      </c>
      <c r="JU40">
        <f>SUMIFS(Detail!$AS:$AS,Detail!$G:$G,'Rates-Service Fees'!JU$23,Detail!$H:$H,'Rates-Service Fees'!JU$20)*100</f>
        <v>0</v>
      </c>
      <c r="JV40">
        <f>SUMIFS(Detail!$AS:$AS,Detail!$G:$G,'Rates-Service Fees'!JV$23,Detail!$H:$H,'Rates-Service Fees'!JV$20)*100</f>
        <v>0</v>
      </c>
      <c r="JW40">
        <f>SUMIFS(Detail!$AS:$AS,Detail!$G:$G,'Rates-Service Fees'!JW$23,Detail!$H:$H,'Rates-Service Fees'!JW$20)*100</f>
        <v>0</v>
      </c>
      <c r="JX40">
        <f>SUMIFS(Detail!$AS:$AS,Detail!$G:$G,'Rates-Service Fees'!JX$23,Detail!$H:$H,'Rates-Service Fees'!JX$20)*100</f>
        <v>0</v>
      </c>
      <c r="JY40">
        <f>SUMIFS(Detail!$AS:$AS,Detail!$G:$G,'Rates-Service Fees'!JY$23,Detail!$H:$H,'Rates-Service Fees'!JY$20)*100</f>
        <v>0</v>
      </c>
      <c r="JZ40">
        <f>SUMIFS(Detail!$AS:$AS,Detail!$G:$G,'Rates-Service Fees'!JZ$23,Detail!$H:$H,'Rates-Service Fees'!JZ$20)*100</f>
        <v>0</v>
      </c>
      <c r="KA40">
        <f>SUMIFS(Detail!$AS:$AS,Detail!$G:$G,'Rates-Service Fees'!KA$23,Detail!$H:$H,'Rates-Service Fees'!KA$20)*100</f>
        <v>0</v>
      </c>
      <c r="KB40">
        <f>SUMIFS(Detail!$AS:$AS,Detail!$G:$G,'Rates-Service Fees'!KB$23,Detail!$H:$H,'Rates-Service Fees'!KB$20)*100</f>
        <v>0</v>
      </c>
      <c r="KC40">
        <f>SUMIFS(Detail!$AS:$AS,Detail!$G:$G,'Rates-Service Fees'!KC$23,Detail!$H:$H,'Rates-Service Fees'!KC$20)*100</f>
        <v>0</v>
      </c>
      <c r="KD40">
        <f>SUMIFS(Detail!$AS:$AS,Detail!$G:$G,'Rates-Service Fees'!KD$23,Detail!$H:$H,'Rates-Service Fees'!KD$20)*100</f>
        <v>0</v>
      </c>
      <c r="KE40">
        <f>SUMIFS(Detail!$AS:$AS,Detail!$G:$G,'Rates-Service Fees'!KE$23,Detail!$H:$H,'Rates-Service Fees'!KE$20)*100</f>
        <v>0</v>
      </c>
      <c r="KF40">
        <f>SUMIFS(Detail!$AS:$AS,Detail!$G:$G,'Rates-Service Fees'!KF$23,Detail!$H:$H,'Rates-Service Fees'!KF$20)*100</f>
        <v>0</v>
      </c>
      <c r="KG40">
        <f>SUMIFS(Detail!$AS:$AS,Detail!$G:$G,'Rates-Service Fees'!KG$23,Detail!$H:$H,'Rates-Service Fees'!KG$20)*100</f>
        <v>0</v>
      </c>
      <c r="KH40">
        <f>SUMIFS(Detail!$AS:$AS,Detail!$G:$G,'Rates-Service Fees'!KH$23,Detail!$H:$H,'Rates-Service Fees'!KH$20)*100</f>
        <v>0</v>
      </c>
      <c r="KI40">
        <f>SUMIFS(Detail!$AS:$AS,Detail!$G:$G,'Rates-Service Fees'!KI$23,Detail!$H:$H,'Rates-Service Fees'!KI$20)*100</f>
        <v>0</v>
      </c>
      <c r="KJ40">
        <f>SUMIFS(Detail!$AS:$AS,Detail!$G:$G,'Rates-Service Fees'!KJ$23,Detail!$H:$H,'Rates-Service Fees'!KJ$20)*100</f>
        <v>0</v>
      </c>
      <c r="KK40">
        <f>SUMIFS(Detail!$AS:$AS,Detail!$G:$G,'Rates-Service Fees'!KK$23,Detail!$H:$H,'Rates-Service Fees'!KK$20)*100</f>
        <v>0</v>
      </c>
      <c r="KL40">
        <f>SUMIFS(Detail!$AS:$AS,Detail!$G:$G,'Rates-Service Fees'!KL$23,Detail!$H:$H,'Rates-Service Fees'!KL$20)*100</f>
        <v>0</v>
      </c>
      <c r="KM40">
        <f>SUMIFS(Detail!$AS:$AS,Detail!$G:$G,'Rates-Service Fees'!KM$23,Detail!$H:$H,'Rates-Service Fees'!KM$20)*100</f>
        <v>0</v>
      </c>
      <c r="KN40">
        <f>SUMIFS(Detail!$AS:$AS,Detail!$G:$G,'Rates-Service Fees'!KN$23,Detail!$H:$H,'Rates-Service Fees'!KN$20)*100</f>
        <v>0</v>
      </c>
      <c r="KO40">
        <f>SUMIFS(Detail!$AS:$AS,Detail!$G:$G,'Rates-Service Fees'!KO$23,Detail!$H:$H,'Rates-Service Fees'!KO$20)*100</f>
        <v>0</v>
      </c>
      <c r="KP40">
        <f>SUMIFS(Detail!$AS:$AS,Detail!$G:$G,'Rates-Service Fees'!KP$23,Detail!$H:$H,'Rates-Service Fees'!KP$20)*100</f>
        <v>0</v>
      </c>
      <c r="KQ40">
        <f>SUMIFS(Detail!$AS:$AS,Detail!$G:$G,'Rates-Service Fees'!KQ$23,Detail!$H:$H,'Rates-Service Fees'!KQ$20)*100</f>
        <v>0</v>
      </c>
      <c r="KR40">
        <f>SUMIFS(Detail!$AS:$AS,Detail!$G:$G,'Rates-Service Fees'!KR$23,Detail!$H:$H,'Rates-Service Fees'!KR$20)*100</f>
        <v>0</v>
      </c>
      <c r="KS40">
        <f>SUMIFS(Detail!$AS:$AS,Detail!$G:$G,'Rates-Service Fees'!KS$23,Detail!$H:$H,'Rates-Service Fees'!KS$20)*100</f>
        <v>0</v>
      </c>
      <c r="KT40">
        <f>SUMIFS(Detail!$AS:$AS,Detail!$G:$G,'Rates-Service Fees'!KT$23,Detail!$H:$H,'Rates-Service Fees'!KT$20)*100</f>
        <v>0</v>
      </c>
      <c r="KU40">
        <f>SUMIFS(Detail!$AS:$AS,Detail!$G:$G,'Rates-Service Fees'!KU$23,Detail!$H:$H,'Rates-Service Fees'!KU$20)*100</f>
        <v>0</v>
      </c>
      <c r="KV40">
        <f>SUMIFS(Detail!$AS:$AS,Detail!$G:$G,'Rates-Service Fees'!KV$23,Detail!$H:$H,'Rates-Service Fees'!KV$20)*100</f>
        <v>0</v>
      </c>
      <c r="KW40">
        <f>SUMIFS(Detail!$AS:$AS,Detail!$G:$G,'Rates-Service Fees'!KW$23,Detail!$H:$H,'Rates-Service Fees'!KW$20)*100</f>
        <v>0</v>
      </c>
      <c r="KX40">
        <f>SUMIFS(Detail!$AS:$AS,Detail!$G:$G,'Rates-Service Fees'!KX$23,Detail!$H:$H,'Rates-Service Fees'!KX$20)*100</f>
        <v>0</v>
      </c>
      <c r="KY40">
        <f>SUMIFS(Detail!$AS:$AS,Detail!$G:$G,'Rates-Service Fees'!KY$23,Detail!$H:$H,'Rates-Service Fees'!KY$20)*100</f>
        <v>0</v>
      </c>
      <c r="KZ40">
        <f>SUMIFS(Detail!$AS:$AS,Detail!$G:$G,'Rates-Service Fees'!KZ$23,Detail!$H:$H,'Rates-Service Fees'!KZ$20)*100</f>
        <v>0</v>
      </c>
      <c r="LA40">
        <f>SUMIFS(Detail!$AS:$AS,Detail!$G:$G,'Rates-Service Fees'!LA$23,Detail!$H:$H,'Rates-Service Fees'!LA$20)*100</f>
        <v>0</v>
      </c>
      <c r="LB40">
        <f>SUMIFS(Detail!$AS:$AS,Detail!$G:$G,'Rates-Service Fees'!LB$23,Detail!$H:$H,'Rates-Service Fees'!LB$20)*100</f>
        <v>0</v>
      </c>
      <c r="LC40">
        <f>SUMIFS(Detail!$AS:$AS,Detail!$G:$G,'Rates-Service Fees'!LC$23,Detail!$H:$H,'Rates-Service Fees'!LC$20)*100</f>
        <v>0</v>
      </c>
      <c r="LD40">
        <f>SUMIFS(Detail!$AS:$AS,Detail!$G:$G,'Rates-Service Fees'!LD$23,Detail!$H:$H,'Rates-Service Fees'!LD$20)*100</f>
        <v>0</v>
      </c>
      <c r="LE40">
        <f>SUMIFS(Detail!$AS:$AS,Detail!$G:$G,'Rates-Service Fees'!LE$23,Detail!$H:$H,'Rates-Service Fees'!LE$20)*100</f>
        <v>0</v>
      </c>
      <c r="LF40">
        <f>SUMIFS(Detail!$AS:$AS,Detail!$G:$G,'Rates-Service Fees'!LF$23,Detail!$H:$H,'Rates-Service Fees'!LF$20)*100</f>
        <v>0</v>
      </c>
      <c r="LG40">
        <f>SUMIFS(Detail!$AS:$AS,Detail!$G:$G,'Rates-Service Fees'!LG$23,Detail!$H:$H,'Rates-Service Fees'!LG$20)*100</f>
        <v>0</v>
      </c>
      <c r="LH40">
        <f>SUMIFS(Detail!$AS:$AS,Detail!$G:$G,'Rates-Service Fees'!LH$23,Detail!$H:$H,'Rates-Service Fees'!LH$20)*100</f>
        <v>0</v>
      </c>
      <c r="LI40">
        <f>SUMIFS(Detail!$AS:$AS,Detail!$G:$G,'Rates-Service Fees'!LI$23,Detail!$H:$H,'Rates-Service Fees'!LI$20)*100</f>
        <v>0</v>
      </c>
      <c r="LJ40">
        <f>SUMIFS(Detail!$AS:$AS,Detail!$G:$G,'Rates-Service Fees'!LJ$23,Detail!$H:$H,'Rates-Service Fees'!LJ$20)*100</f>
        <v>0</v>
      </c>
      <c r="LK40">
        <f>SUMIFS(Detail!$AS:$AS,Detail!$G:$G,'Rates-Service Fees'!LK$23,Detail!$H:$H,'Rates-Service Fees'!LK$20)*100</f>
        <v>0</v>
      </c>
      <c r="LL40">
        <f>SUMIFS(Detail!$AS:$AS,Detail!$G:$G,'Rates-Service Fees'!LL$23,Detail!$H:$H,'Rates-Service Fees'!LL$20)*100</f>
        <v>0</v>
      </c>
      <c r="LM40">
        <f>SUMIFS(Detail!$AS:$AS,Detail!$G:$G,'Rates-Service Fees'!LM$23,Detail!$H:$H,'Rates-Service Fees'!LM$20)*100</f>
        <v>0</v>
      </c>
      <c r="LN40">
        <f>SUMIFS(Detail!$AS:$AS,Detail!$G:$G,'Rates-Service Fees'!LN$23,Detail!$H:$H,'Rates-Service Fees'!LN$20)*100</f>
        <v>0</v>
      </c>
      <c r="LO40">
        <f>SUMIFS(Detail!$AS:$AS,Detail!$G:$G,'Rates-Service Fees'!LO$23,Detail!$H:$H,'Rates-Service Fees'!LO$20)*100</f>
        <v>0</v>
      </c>
      <c r="LP40">
        <f>SUMIFS(Detail!$AS:$AS,Detail!$G:$G,'Rates-Service Fees'!LP$23,Detail!$H:$H,'Rates-Service Fees'!LP$20)*100</f>
        <v>0</v>
      </c>
      <c r="LQ40">
        <f>SUMIFS(Detail!$AS:$AS,Detail!$G:$G,'Rates-Service Fees'!LQ$23,Detail!$H:$H,'Rates-Service Fees'!LQ$20)*100</f>
        <v>0</v>
      </c>
      <c r="LR40">
        <f>SUMIFS(Detail!$AS:$AS,Detail!$G:$G,'Rates-Service Fees'!LR$23,Detail!$H:$H,'Rates-Service Fees'!LR$20)*100</f>
        <v>0</v>
      </c>
      <c r="LS40">
        <f>SUMIFS(Detail!$AS:$AS,Detail!$G:$G,'Rates-Service Fees'!LS$23,Detail!$H:$H,'Rates-Service Fees'!LS$20)*100</f>
        <v>0</v>
      </c>
      <c r="LT40">
        <f>SUMIFS(Detail!$AS:$AS,Detail!$G:$G,'Rates-Service Fees'!LT$23,Detail!$H:$H,'Rates-Service Fees'!LT$20)*100</f>
        <v>0</v>
      </c>
      <c r="LU40">
        <f>SUMIFS(Detail!$AS:$AS,Detail!$G:$G,'Rates-Service Fees'!LU$23,Detail!$H:$H,'Rates-Service Fees'!LU$20)*100</f>
        <v>0</v>
      </c>
      <c r="LV40">
        <f>SUMIFS(Detail!$AS:$AS,Detail!$G:$G,'Rates-Service Fees'!LV$23,Detail!$H:$H,'Rates-Service Fees'!LV$20)*100</f>
        <v>0</v>
      </c>
      <c r="LW40">
        <f>SUMIFS(Detail!$AS:$AS,Detail!$G:$G,'Rates-Service Fees'!LW$23,Detail!$H:$H,'Rates-Service Fees'!LW$20)*100</f>
        <v>0</v>
      </c>
      <c r="LX40">
        <f>SUMIFS(Detail!$AS:$AS,Detail!$G:$G,'Rates-Service Fees'!LX$23,Detail!$H:$H,'Rates-Service Fees'!LX$20)*100</f>
        <v>0</v>
      </c>
      <c r="LY40">
        <f>SUMIFS(Detail!$AS:$AS,Detail!$G:$G,'Rates-Service Fees'!LY$23,Detail!$H:$H,'Rates-Service Fees'!LY$20)*100</f>
        <v>0</v>
      </c>
      <c r="LZ40">
        <f>SUMIFS(Detail!$AS:$AS,Detail!$G:$G,'Rates-Service Fees'!LZ$23,Detail!$H:$H,'Rates-Service Fees'!LZ$20)*100</f>
        <v>0</v>
      </c>
      <c r="MA40">
        <f>SUMIFS(Detail!$AS:$AS,Detail!$G:$G,'Rates-Service Fees'!MA$23,Detail!$H:$H,'Rates-Service Fees'!MA$20)*100</f>
        <v>0</v>
      </c>
      <c r="MB40">
        <f>SUMIFS(Detail!$AS:$AS,Detail!$G:$G,'Rates-Service Fees'!MB$23,Detail!$H:$H,'Rates-Service Fees'!MB$20)*100</f>
        <v>0</v>
      </c>
      <c r="MC40">
        <f>SUMIFS(Detail!$AS:$AS,Detail!$G:$G,'Rates-Service Fees'!MC$23,Detail!$H:$H,'Rates-Service Fees'!MC$20)*100</f>
        <v>0</v>
      </c>
      <c r="MD40">
        <f>SUMIFS(Detail!$AS:$AS,Detail!$G:$G,'Rates-Service Fees'!MD$23,Detail!$H:$H,'Rates-Service Fees'!MD$20)*100</f>
        <v>0</v>
      </c>
      <c r="ME40">
        <f>SUMIFS(Detail!$AS:$AS,Detail!$G:$G,'Rates-Service Fees'!ME$23,Detail!$H:$H,'Rates-Service Fees'!ME$20)*100</f>
        <v>0</v>
      </c>
      <c r="MF40">
        <f>SUMIFS(Detail!$AS:$AS,Detail!$G:$G,'Rates-Service Fees'!MF$23,Detail!$H:$H,'Rates-Service Fees'!MF$20)*100</f>
        <v>0</v>
      </c>
      <c r="MG40">
        <f>SUMIFS(Detail!$AS:$AS,Detail!$G:$G,'Rates-Service Fees'!MG$23,Detail!$H:$H,'Rates-Service Fees'!MG$20)*100</f>
        <v>0</v>
      </c>
      <c r="MH40">
        <f>SUMIFS(Detail!$AS:$AS,Detail!$G:$G,'Rates-Service Fees'!MH$23,Detail!$H:$H,'Rates-Service Fees'!MH$20)*100</f>
        <v>0</v>
      </c>
      <c r="MI40">
        <f>SUMIFS(Detail!$AS:$AS,Detail!$G:$G,'Rates-Service Fees'!MI$23,Detail!$H:$H,'Rates-Service Fees'!MI$20)*100</f>
        <v>0</v>
      </c>
      <c r="MJ40">
        <f>SUMIFS(Detail!$AS:$AS,Detail!$G:$G,'Rates-Service Fees'!MJ$23,Detail!$H:$H,'Rates-Service Fees'!MJ$20)*100</f>
        <v>0</v>
      </c>
      <c r="MK40">
        <f>SUMIFS(Detail!$AS:$AS,Detail!$G:$G,'Rates-Service Fees'!MK$23,Detail!$H:$H,'Rates-Service Fees'!MK$20)*100</f>
        <v>0</v>
      </c>
      <c r="ML40">
        <f>SUMIFS(Detail!$AS:$AS,Detail!$G:$G,'Rates-Service Fees'!ML$23,Detail!$H:$H,'Rates-Service Fees'!ML$20)*100</f>
        <v>0</v>
      </c>
      <c r="MM40">
        <f>SUMIFS(Detail!$AS:$AS,Detail!$G:$G,'Rates-Service Fees'!MM$23,Detail!$H:$H,'Rates-Service Fees'!MM$20)*100</f>
        <v>0</v>
      </c>
      <c r="MN40">
        <f>SUMIFS(Detail!$AS:$AS,Detail!$G:$G,'Rates-Service Fees'!MN$23,Detail!$H:$H,'Rates-Service Fees'!MN$20)*100</f>
        <v>0</v>
      </c>
      <c r="MO40">
        <f>SUMIFS(Detail!$AS:$AS,Detail!$G:$G,'Rates-Service Fees'!MO$23,Detail!$H:$H,'Rates-Service Fees'!MO$20)*100</f>
        <v>0</v>
      </c>
      <c r="MP40">
        <f>SUMIFS(Detail!$AS:$AS,Detail!$G:$G,'Rates-Service Fees'!MP$23,Detail!$H:$H,'Rates-Service Fees'!MP$20)*100</f>
        <v>0</v>
      </c>
      <c r="MQ40">
        <f>SUMIFS(Detail!$AS:$AS,Detail!$G:$G,'Rates-Service Fees'!MQ$23,Detail!$H:$H,'Rates-Service Fees'!MQ$20)*100</f>
        <v>0</v>
      </c>
      <c r="MR40">
        <f>SUMIFS(Detail!$AS:$AS,Detail!$G:$G,'Rates-Service Fees'!MR$23,Detail!$H:$H,'Rates-Service Fees'!MR$20)*100</f>
        <v>0</v>
      </c>
      <c r="MS40">
        <f>SUMIFS(Detail!$AS:$AS,Detail!$G:$G,'Rates-Service Fees'!MS$23,Detail!$H:$H,'Rates-Service Fees'!MS$20)*100</f>
        <v>0</v>
      </c>
      <c r="MT40">
        <f>SUMIFS(Detail!$AS:$AS,Detail!$G:$G,'Rates-Service Fees'!MT$23,Detail!$H:$H,'Rates-Service Fees'!MT$20)*100</f>
        <v>0</v>
      </c>
      <c r="MU40">
        <f>SUMIFS(Detail!$AS:$AS,Detail!$G:$G,'Rates-Service Fees'!MU$23,Detail!$H:$H,'Rates-Service Fees'!MU$20)*100</f>
        <v>0</v>
      </c>
      <c r="MV40">
        <f>SUMIFS(Detail!$AS:$AS,Detail!$G:$G,'Rates-Service Fees'!MV$23,Detail!$H:$H,'Rates-Service Fees'!MV$20)*100</f>
        <v>0</v>
      </c>
      <c r="MW40">
        <f>SUMIFS(Detail!$AS:$AS,Detail!$G:$G,'Rates-Service Fees'!MW$23,Detail!$H:$H,'Rates-Service Fees'!MW$20)*100</f>
        <v>0</v>
      </c>
      <c r="MX40">
        <f>SUMIFS(Detail!$AS:$AS,Detail!$G:$G,'Rates-Service Fees'!MX$23,Detail!$H:$H,'Rates-Service Fees'!MX$20)*100</f>
        <v>0</v>
      </c>
      <c r="MY40">
        <f>SUMIFS(Detail!$AS:$AS,Detail!$G:$G,'Rates-Service Fees'!MY$23,Detail!$H:$H,'Rates-Service Fees'!MY$20)*100</f>
        <v>0</v>
      </c>
      <c r="MZ40">
        <f>SUMIFS(Detail!$AS:$AS,Detail!$G:$G,'Rates-Service Fees'!MZ$23,Detail!$H:$H,'Rates-Service Fees'!MZ$20)*100</f>
        <v>0</v>
      </c>
      <c r="NA40">
        <f>SUMIFS(Detail!$AS:$AS,Detail!$G:$G,'Rates-Service Fees'!NA$23,Detail!$H:$H,'Rates-Service Fees'!NA$20)*100</f>
        <v>0</v>
      </c>
      <c r="NB40">
        <f>SUMIFS(Detail!$AS:$AS,Detail!$G:$G,'Rates-Service Fees'!NB$23,Detail!$H:$H,'Rates-Service Fees'!NB$20)*100</f>
        <v>0</v>
      </c>
      <c r="NC40">
        <f>SUMIFS(Detail!$AS:$AS,Detail!$G:$G,'Rates-Service Fees'!NC$23,Detail!$H:$H,'Rates-Service Fees'!NC$20)*100</f>
        <v>0</v>
      </c>
      <c r="ND40">
        <f>SUMIFS(Detail!$AS:$AS,Detail!$G:$G,'Rates-Service Fees'!ND$23,Detail!$H:$H,'Rates-Service Fees'!ND$20)*100</f>
        <v>0</v>
      </c>
      <c r="NE40">
        <f>SUMIFS(Detail!$AS:$AS,Detail!$G:$G,'Rates-Service Fees'!NE$23,Detail!$H:$H,'Rates-Service Fees'!NE$20)*100</f>
        <v>0</v>
      </c>
      <c r="NF40">
        <f>SUMIFS(Detail!$AS:$AS,Detail!$G:$G,'Rates-Service Fees'!NF$23,Detail!$H:$H,'Rates-Service Fees'!NF$20)*100</f>
        <v>0</v>
      </c>
      <c r="NG40">
        <f>SUMIFS(Detail!$AS:$AS,Detail!$G:$G,'Rates-Service Fees'!NG$23,Detail!$H:$H,'Rates-Service Fees'!NG$20)*100</f>
        <v>0</v>
      </c>
      <c r="NH40">
        <f>SUMIFS(Detail!$AS:$AS,Detail!$G:$G,'Rates-Service Fees'!NH$23,Detail!$H:$H,'Rates-Service Fees'!NH$20)*100</f>
        <v>0</v>
      </c>
      <c r="NI40">
        <f>SUMIFS(Detail!$AS:$AS,Detail!$G:$G,'Rates-Service Fees'!NI$23,Detail!$H:$H,'Rates-Service Fees'!NI$20)*100</f>
        <v>0</v>
      </c>
      <c r="NJ40">
        <f>SUMIFS(Detail!$AS:$AS,Detail!$G:$G,'Rates-Service Fees'!NJ$23,Detail!$H:$H,'Rates-Service Fees'!NJ$20)*100</f>
        <v>0</v>
      </c>
      <c r="NK40">
        <f>SUMIFS(Detail!$AS:$AS,Detail!$G:$G,'Rates-Service Fees'!NK$23,Detail!$H:$H,'Rates-Service Fees'!NK$20)*100</f>
        <v>0</v>
      </c>
      <c r="NL40">
        <f>SUMIFS(Detail!$AS:$AS,Detail!$G:$G,'Rates-Service Fees'!NL$23,Detail!$H:$H,'Rates-Service Fees'!NL$20)*100</f>
        <v>0</v>
      </c>
      <c r="NM40">
        <f>SUMIFS(Detail!$AS:$AS,Detail!$G:$G,'Rates-Service Fees'!NM$23,Detail!$H:$H,'Rates-Service Fees'!NM$20)*100</f>
        <v>0</v>
      </c>
      <c r="NN40">
        <f>SUMIFS(Detail!$AS:$AS,Detail!$G:$G,'Rates-Service Fees'!NN$23,Detail!$H:$H,'Rates-Service Fees'!NN$20)*100</f>
        <v>0</v>
      </c>
      <c r="NO40">
        <f>SUMIFS(Detail!$AS:$AS,Detail!$G:$G,'Rates-Service Fees'!NO$23,Detail!$H:$H,'Rates-Service Fees'!NO$20)*100</f>
        <v>0</v>
      </c>
      <c r="NP40">
        <f>SUMIFS(Detail!$AS:$AS,Detail!$G:$G,'Rates-Service Fees'!NP$23,Detail!$H:$H,'Rates-Service Fees'!NP$20)*100</f>
        <v>0</v>
      </c>
      <c r="NQ40">
        <f>SUMIFS(Detail!$AS:$AS,Detail!$G:$G,'Rates-Service Fees'!NQ$23,Detail!$H:$H,'Rates-Service Fees'!NQ$20)*100</f>
        <v>0</v>
      </c>
      <c r="NR40">
        <f>SUMIFS(Detail!$AS:$AS,Detail!$G:$G,'Rates-Service Fees'!NR$23,Detail!$H:$H,'Rates-Service Fees'!NR$20)*100</f>
        <v>0</v>
      </c>
      <c r="NS40">
        <f>SUMIFS(Detail!$AS:$AS,Detail!$G:$G,'Rates-Service Fees'!NS$23,Detail!$H:$H,'Rates-Service Fees'!NS$20)*100</f>
        <v>0</v>
      </c>
      <c r="NT40">
        <f>SUMIFS(Detail!$AS:$AS,Detail!$G:$G,'Rates-Service Fees'!NT$23,Detail!$H:$H,'Rates-Service Fees'!NT$20)*100</f>
        <v>0</v>
      </c>
      <c r="NU40">
        <f>SUMIFS(Detail!$AS:$AS,Detail!$G:$G,'Rates-Service Fees'!NU$23,Detail!$H:$H,'Rates-Service Fees'!NU$20)*100</f>
        <v>0</v>
      </c>
      <c r="NV40">
        <f>SUMIFS(Detail!$AS:$AS,Detail!$G:$G,'Rates-Service Fees'!NV$23,Detail!$H:$H,'Rates-Service Fees'!NV$20)*100</f>
        <v>0</v>
      </c>
      <c r="NW40">
        <f>SUMIFS(Detail!$AS:$AS,Detail!$G:$G,'Rates-Service Fees'!NW$23,Detail!$H:$H,'Rates-Service Fees'!NW$20)*100</f>
        <v>0</v>
      </c>
      <c r="NX40">
        <f>SUMIFS(Detail!$AS:$AS,Detail!$G:$G,'Rates-Service Fees'!NX$23,Detail!$H:$H,'Rates-Service Fees'!NX$20)*100</f>
        <v>0</v>
      </c>
      <c r="NY40">
        <f>SUMIFS(Detail!$AS:$AS,Detail!$G:$G,'Rates-Service Fees'!NY$23,Detail!$H:$H,'Rates-Service Fees'!NY$20)*100</f>
        <v>0</v>
      </c>
      <c r="NZ40">
        <f>SUMIFS(Detail!$AS:$AS,Detail!$G:$G,'Rates-Service Fees'!NZ$23,Detail!$H:$H,'Rates-Service Fees'!NZ$20)*100</f>
        <v>0</v>
      </c>
      <c r="OA40">
        <f>SUMIFS(Detail!$AS:$AS,Detail!$G:$G,'Rates-Service Fees'!OA$23,Detail!$H:$H,'Rates-Service Fees'!OA$20)*100</f>
        <v>0</v>
      </c>
      <c r="OB40">
        <f>SUMIFS(Detail!$AS:$AS,Detail!$G:$G,'Rates-Service Fees'!OB$23,Detail!$H:$H,'Rates-Service Fees'!OB$20)*100</f>
        <v>0</v>
      </c>
      <c r="OC40">
        <f>SUMIFS(Detail!$AS:$AS,Detail!$G:$G,'Rates-Service Fees'!OC$23,Detail!$H:$H,'Rates-Service Fees'!OC$20)*100</f>
        <v>0</v>
      </c>
      <c r="OD40">
        <f>SUMIFS(Detail!$AS:$AS,Detail!$G:$G,'Rates-Service Fees'!OD$23,Detail!$H:$H,'Rates-Service Fees'!OD$20)*100</f>
        <v>0</v>
      </c>
      <c r="OE40">
        <f>SUMIFS(Detail!$AS:$AS,Detail!$G:$G,'Rates-Service Fees'!OE$23,Detail!$H:$H,'Rates-Service Fees'!OE$20)*100</f>
        <v>0</v>
      </c>
      <c r="OF40">
        <f>SUMIFS(Detail!$AS:$AS,Detail!$G:$G,'Rates-Service Fees'!OF$23,Detail!$H:$H,'Rates-Service Fees'!OF$20)*100</f>
        <v>0</v>
      </c>
      <c r="OG40">
        <f>SUMIFS(Detail!$AS:$AS,Detail!$G:$G,'Rates-Service Fees'!OG$23,Detail!$H:$H,'Rates-Service Fees'!OG$20)*100</f>
        <v>0</v>
      </c>
      <c r="OH40">
        <f>SUMIFS(Detail!$AS:$AS,Detail!$G:$G,'Rates-Service Fees'!OH$23,Detail!$H:$H,'Rates-Service Fees'!OH$20)*100</f>
        <v>0</v>
      </c>
      <c r="OI40">
        <f>SUMIFS(Detail!$AS:$AS,Detail!$G:$G,'Rates-Service Fees'!OI$23,Detail!$H:$H,'Rates-Service Fees'!OI$20)*100</f>
        <v>0</v>
      </c>
      <c r="OJ40">
        <f>SUMIFS(Detail!$AS:$AS,Detail!$G:$G,'Rates-Service Fees'!OJ$23,Detail!$H:$H,'Rates-Service Fees'!OJ$20)*100</f>
        <v>0</v>
      </c>
      <c r="OK40">
        <f>SUMIFS(Detail!$AS:$AS,Detail!$G:$G,'Rates-Service Fees'!OK$23,Detail!$H:$H,'Rates-Service Fees'!OK$20)*100</f>
        <v>0</v>
      </c>
      <c r="OL40">
        <f>SUMIFS(Detail!$AS:$AS,Detail!$G:$G,'Rates-Service Fees'!OL$23,Detail!$H:$H,'Rates-Service Fees'!OL$20)*100</f>
        <v>0</v>
      </c>
      <c r="OM40">
        <f>SUMIFS(Detail!$AS:$AS,Detail!$G:$G,'Rates-Service Fees'!OM$23,Detail!$H:$H,'Rates-Service Fees'!OM$20)*100</f>
        <v>0</v>
      </c>
      <c r="ON40">
        <f>SUMIFS(Detail!$AS:$AS,Detail!$G:$G,'Rates-Service Fees'!ON$23,Detail!$H:$H,'Rates-Service Fees'!ON$20)*100</f>
        <v>0</v>
      </c>
      <c r="OO40">
        <f>SUMIFS(Detail!$AS:$AS,Detail!$G:$G,'Rates-Service Fees'!OO$23,Detail!$H:$H,'Rates-Service Fees'!OO$20)*100</f>
        <v>0</v>
      </c>
      <c r="OP40">
        <f>SUMIFS(Detail!$AS:$AS,Detail!$G:$G,'Rates-Service Fees'!OP$23,Detail!$H:$H,'Rates-Service Fees'!OP$20)*100</f>
        <v>0</v>
      </c>
      <c r="OQ40">
        <f>SUMIFS(Detail!$AS:$AS,Detail!$G:$G,'Rates-Service Fees'!OQ$23,Detail!$H:$H,'Rates-Service Fees'!OQ$20)*100</f>
        <v>0</v>
      </c>
      <c r="OR40">
        <f>SUMIFS(Detail!$AS:$AS,Detail!$G:$G,'Rates-Service Fees'!OR$23,Detail!$H:$H,'Rates-Service Fees'!OR$20)*100</f>
        <v>0</v>
      </c>
      <c r="OS40">
        <f>SUMIFS(Detail!$AS:$AS,Detail!$G:$G,'Rates-Service Fees'!OS$23,Detail!$H:$H,'Rates-Service Fees'!OS$20)*100</f>
        <v>0</v>
      </c>
      <c r="OT40">
        <f>SUMIFS(Detail!$AS:$AS,Detail!$G:$G,'Rates-Service Fees'!OT$23,Detail!$H:$H,'Rates-Service Fees'!OT$20)*100</f>
        <v>0</v>
      </c>
      <c r="OU40">
        <f>SUMIFS(Detail!$AS:$AS,Detail!$G:$G,'Rates-Service Fees'!OU$23,Detail!$H:$H,'Rates-Service Fees'!OU$20)*100</f>
        <v>0</v>
      </c>
      <c r="OV40">
        <f>SUMIFS(Detail!$AS:$AS,Detail!$G:$G,'Rates-Service Fees'!OV$23,Detail!$H:$H,'Rates-Service Fees'!OV$20)*100</f>
        <v>0</v>
      </c>
      <c r="OW40">
        <f>SUMIFS(Detail!$AS:$AS,Detail!$G:$G,'Rates-Service Fees'!OW$23,Detail!$H:$H,'Rates-Service Fees'!OW$20)*100</f>
        <v>0</v>
      </c>
      <c r="OX40">
        <f>SUMIFS(Detail!$AS:$AS,Detail!$G:$G,'Rates-Service Fees'!OX$23,Detail!$H:$H,'Rates-Service Fees'!OX$20)*100</f>
        <v>0</v>
      </c>
      <c r="OY40">
        <f>SUMIFS(Detail!$AS:$AS,Detail!$G:$G,'Rates-Service Fees'!OY$23,Detail!$H:$H,'Rates-Service Fees'!OY$20)*100</f>
        <v>0</v>
      </c>
      <c r="OZ40">
        <f>SUMIFS(Detail!$AS:$AS,Detail!$G:$G,'Rates-Service Fees'!OZ$23,Detail!$H:$H,'Rates-Service Fees'!OZ$20)*100</f>
        <v>0</v>
      </c>
      <c r="PA40">
        <f>SUMIFS(Detail!$AS:$AS,Detail!$G:$G,'Rates-Service Fees'!PA$23,Detail!$H:$H,'Rates-Service Fees'!PA$20)*100</f>
        <v>0</v>
      </c>
      <c r="PB40">
        <f>SUMIFS(Detail!$AS:$AS,Detail!$G:$G,'Rates-Service Fees'!PB$23,Detail!$H:$H,'Rates-Service Fees'!PB$20)*100</f>
        <v>0</v>
      </c>
      <c r="PC40">
        <f>SUMIFS(Detail!$AS:$AS,Detail!$G:$G,'Rates-Service Fees'!PC$23,Detail!$H:$H,'Rates-Service Fees'!PC$20)*100</f>
        <v>0</v>
      </c>
      <c r="PD40">
        <f>SUMIFS(Detail!$AS:$AS,Detail!$G:$G,'Rates-Service Fees'!PD$23,Detail!$H:$H,'Rates-Service Fees'!PD$20)*100</f>
        <v>0</v>
      </c>
      <c r="PE40">
        <f>SUMIFS(Detail!$AS:$AS,Detail!$G:$G,'Rates-Service Fees'!PE$23,Detail!$H:$H,'Rates-Service Fees'!PE$20)*100</f>
        <v>0</v>
      </c>
      <c r="PF40">
        <f>SUMIFS(Detail!$AS:$AS,Detail!$G:$G,'Rates-Service Fees'!PF$23,Detail!$H:$H,'Rates-Service Fees'!PF$20)*100</f>
        <v>0</v>
      </c>
      <c r="PG40">
        <f>SUMIFS(Detail!$AS:$AS,Detail!$G:$G,'Rates-Service Fees'!PG$23,Detail!$H:$H,'Rates-Service Fees'!PG$20)*100</f>
        <v>0</v>
      </c>
      <c r="PH40">
        <f>SUMIFS(Detail!$AS:$AS,Detail!$G:$G,'Rates-Service Fees'!PH$23,Detail!$H:$H,'Rates-Service Fees'!PH$20)*100</f>
        <v>0</v>
      </c>
      <c r="PI40">
        <f>SUMIFS(Detail!$AS:$AS,Detail!$G:$G,'Rates-Service Fees'!PI$23,Detail!$H:$H,'Rates-Service Fees'!PI$20)*100</f>
        <v>0</v>
      </c>
      <c r="PJ40">
        <f>SUMIFS(Detail!$AS:$AS,Detail!$G:$G,'Rates-Service Fees'!PJ$23,Detail!$H:$H,'Rates-Service Fees'!PJ$20)*100</f>
        <v>0</v>
      </c>
      <c r="PK40">
        <f>SUMIFS(Detail!$AS:$AS,Detail!$G:$G,'Rates-Service Fees'!PK$23,Detail!$H:$H,'Rates-Service Fees'!PK$20)*100</f>
        <v>0</v>
      </c>
      <c r="PL40">
        <f>SUMIFS(Detail!$AS:$AS,Detail!$G:$G,'Rates-Service Fees'!PL$23,Detail!$H:$H,'Rates-Service Fees'!PL$20)*100</f>
        <v>0</v>
      </c>
      <c r="PM40">
        <f>SUMIFS(Detail!$AS:$AS,Detail!$G:$G,'Rates-Service Fees'!PM$23,Detail!$H:$H,'Rates-Service Fees'!PM$20)*100</f>
        <v>0</v>
      </c>
      <c r="PN40">
        <f>SUMIFS(Detail!$AS:$AS,Detail!$G:$G,'Rates-Service Fees'!PN$23,Detail!$H:$H,'Rates-Service Fees'!PN$20)*100</f>
        <v>0</v>
      </c>
      <c r="PO40">
        <f>SUMIFS(Detail!$AS:$AS,Detail!$G:$G,'Rates-Service Fees'!PO$23,Detail!$H:$H,'Rates-Service Fees'!PO$20)*100</f>
        <v>0</v>
      </c>
      <c r="PP40">
        <f>SUMIFS(Detail!$AS:$AS,Detail!$G:$G,'Rates-Service Fees'!PP$23,Detail!$H:$H,'Rates-Service Fees'!PP$20)*100</f>
        <v>0</v>
      </c>
      <c r="PQ40">
        <f>SUMIFS(Detail!$AS:$AS,Detail!$G:$G,'Rates-Service Fees'!PQ$23,Detail!$H:$H,'Rates-Service Fees'!PQ$20)*100</f>
        <v>0</v>
      </c>
      <c r="PR40">
        <f>SUMIFS(Detail!$AS:$AS,Detail!$G:$G,'Rates-Service Fees'!PR$23,Detail!$H:$H,'Rates-Service Fees'!PR$20)*100</f>
        <v>0</v>
      </c>
      <c r="PS40">
        <f>SUMIFS(Detail!$AS:$AS,Detail!$G:$G,'Rates-Service Fees'!PS$23,Detail!$H:$H,'Rates-Service Fees'!PS$20)*100</f>
        <v>0</v>
      </c>
      <c r="PT40">
        <f>SUMIFS(Detail!$AS:$AS,Detail!$G:$G,'Rates-Service Fees'!PT$23,Detail!$H:$H,'Rates-Service Fees'!PT$20)*100</f>
        <v>0</v>
      </c>
      <c r="PU40">
        <f>SUMIFS(Detail!$AS:$AS,Detail!$G:$G,'Rates-Service Fees'!PU$23,Detail!$H:$H,'Rates-Service Fees'!PU$20)*100</f>
        <v>0</v>
      </c>
      <c r="PV40">
        <f>SUMIFS(Detail!$AS:$AS,Detail!$G:$G,'Rates-Service Fees'!PV$23,Detail!$H:$H,'Rates-Service Fees'!PV$20)*100</f>
        <v>0</v>
      </c>
      <c r="PW40">
        <f>SUMIFS(Detail!$AS:$AS,Detail!$G:$G,'Rates-Service Fees'!PW$23,Detail!$H:$H,'Rates-Service Fees'!PW$20)*100</f>
        <v>0</v>
      </c>
      <c r="PX40">
        <f>SUMIFS(Detail!$AS:$AS,Detail!$G:$G,'Rates-Service Fees'!PX$23,Detail!$H:$H,'Rates-Service Fees'!PX$20)*100</f>
        <v>0</v>
      </c>
      <c r="PY40">
        <f>SUMIFS(Detail!$AS:$AS,Detail!$G:$G,'Rates-Service Fees'!PY$23,Detail!$H:$H,'Rates-Service Fees'!PY$20)*100</f>
        <v>0</v>
      </c>
      <c r="PZ40">
        <f>SUMIFS(Detail!$AS:$AS,Detail!$G:$G,'Rates-Service Fees'!PZ$23,Detail!$H:$H,'Rates-Service Fees'!PZ$20)*100</f>
        <v>0</v>
      </c>
      <c r="QA40">
        <f>SUMIFS(Detail!$AS:$AS,Detail!$G:$G,'Rates-Service Fees'!QA$23,Detail!$H:$H,'Rates-Service Fees'!QA$20)*100</f>
        <v>0</v>
      </c>
      <c r="QB40">
        <f>SUMIFS(Detail!$AS:$AS,Detail!$G:$G,'Rates-Service Fees'!QB$23,Detail!$H:$H,'Rates-Service Fees'!QB$20)*100</f>
        <v>0</v>
      </c>
      <c r="QC40">
        <f>SUMIFS(Detail!$AS:$AS,Detail!$G:$G,'Rates-Service Fees'!QC$23,Detail!$H:$H,'Rates-Service Fees'!QC$20)*100</f>
        <v>0</v>
      </c>
      <c r="QD40">
        <f>SUMIFS(Detail!$AS:$AS,Detail!$G:$G,'Rates-Service Fees'!QD$23,Detail!$H:$H,'Rates-Service Fees'!QD$20)*100</f>
        <v>0</v>
      </c>
      <c r="QE40">
        <f>SUMIFS(Detail!$AS:$AS,Detail!$G:$G,'Rates-Service Fees'!QE$23,Detail!$H:$H,'Rates-Service Fees'!QE$20)*100</f>
        <v>0</v>
      </c>
      <c r="QF40">
        <f>SUMIFS(Detail!$AS:$AS,Detail!$G:$G,'Rates-Service Fees'!QF$23,Detail!$H:$H,'Rates-Service Fees'!QF$20)*100</f>
        <v>0</v>
      </c>
      <c r="QG40">
        <f>SUMIFS(Detail!$AS:$AS,Detail!$G:$G,'Rates-Service Fees'!QG$23,Detail!$H:$H,'Rates-Service Fees'!QG$20)*100</f>
        <v>0</v>
      </c>
      <c r="QH40">
        <f>SUMIFS(Detail!$AS:$AS,Detail!$G:$G,'Rates-Service Fees'!QH$23,Detail!$H:$H,'Rates-Service Fees'!QH$20)*100</f>
        <v>0</v>
      </c>
      <c r="QI40">
        <f>SUMIFS(Detail!$AS:$AS,Detail!$G:$G,'Rates-Service Fees'!QI$23,Detail!$H:$H,'Rates-Service Fees'!QI$20)*100</f>
        <v>0</v>
      </c>
      <c r="QJ40">
        <f>SUMIFS(Detail!$AS:$AS,Detail!$G:$G,'Rates-Service Fees'!QJ$23,Detail!$H:$H,'Rates-Service Fees'!QJ$20)*100</f>
        <v>0</v>
      </c>
      <c r="QK40">
        <f>SUMIFS(Detail!$AS:$AS,Detail!$G:$G,'Rates-Service Fees'!QK$23,Detail!$H:$H,'Rates-Service Fees'!QK$20)*100</f>
        <v>0</v>
      </c>
      <c r="QL40">
        <f>SUMIFS(Detail!$AS:$AS,Detail!$G:$G,'Rates-Service Fees'!QL$23,Detail!$H:$H,'Rates-Service Fees'!QL$20)*100</f>
        <v>0</v>
      </c>
      <c r="QM40">
        <f>SUMIFS(Detail!$AS:$AS,Detail!$G:$G,'Rates-Service Fees'!QM$23,Detail!$H:$H,'Rates-Service Fees'!QM$20)*100</f>
        <v>0</v>
      </c>
      <c r="QN40">
        <f>SUMIFS(Detail!$AS:$AS,Detail!$G:$G,'Rates-Service Fees'!QN$23,Detail!$H:$H,'Rates-Service Fees'!QN$20)*100</f>
        <v>0</v>
      </c>
      <c r="QO40">
        <f>SUMIFS(Detail!$AS:$AS,Detail!$G:$G,'Rates-Service Fees'!QO$23,Detail!$H:$H,'Rates-Service Fees'!QO$20)*100</f>
        <v>0</v>
      </c>
      <c r="QP40">
        <f>SUMIFS(Detail!$AS:$AS,Detail!$G:$G,'Rates-Service Fees'!QP$23,Detail!$H:$H,'Rates-Service Fees'!QP$20)*100</f>
        <v>0</v>
      </c>
      <c r="QQ40">
        <f>SUMIFS(Detail!$AS:$AS,Detail!$G:$G,'Rates-Service Fees'!QQ$23,Detail!$H:$H,'Rates-Service Fees'!QQ$20)*100</f>
        <v>0</v>
      </c>
      <c r="QR40">
        <f>SUMIFS(Detail!$AS:$AS,Detail!$G:$G,'Rates-Service Fees'!QR$23,Detail!$H:$H,'Rates-Service Fees'!QR$20)*100</f>
        <v>0</v>
      </c>
      <c r="QS40">
        <f>SUMIFS(Detail!$AS:$AS,Detail!$G:$G,'Rates-Service Fees'!QS$23,Detail!$H:$H,'Rates-Service Fees'!QS$20)*100</f>
        <v>0</v>
      </c>
      <c r="QT40">
        <f>SUMIFS(Detail!$AS:$AS,Detail!$G:$G,'Rates-Service Fees'!QT$23,Detail!$H:$H,'Rates-Service Fees'!QT$20)*100</f>
        <v>0</v>
      </c>
      <c r="QU40">
        <f>SUMIFS(Detail!$AS:$AS,Detail!$G:$G,'Rates-Service Fees'!QU$23,Detail!$H:$H,'Rates-Service Fees'!QU$20)*100</f>
        <v>0</v>
      </c>
      <c r="QV40">
        <f>SUMIFS(Detail!$AS:$AS,Detail!$G:$G,'Rates-Service Fees'!QV$23,Detail!$H:$H,'Rates-Service Fees'!QV$20)*100</f>
        <v>0</v>
      </c>
      <c r="QW40">
        <f>SUMIFS(Detail!$AS:$AS,Detail!$G:$G,'Rates-Service Fees'!QW$23,Detail!$H:$H,'Rates-Service Fees'!QW$20)*100</f>
        <v>0</v>
      </c>
      <c r="QX40">
        <f>SUMIFS(Detail!$AS:$AS,Detail!$G:$G,'Rates-Service Fees'!QX$23,Detail!$H:$H,'Rates-Service Fees'!QX$20)*100</f>
        <v>0</v>
      </c>
      <c r="QY40">
        <f>SUMIFS(Detail!$AS:$AS,Detail!$G:$G,'Rates-Service Fees'!QY$23,Detail!$H:$H,'Rates-Service Fees'!QY$20)*100</f>
        <v>0</v>
      </c>
      <c r="QZ40">
        <f>SUMIFS(Detail!$AS:$AS,Detail!$G:$G,'Rates-Service Fees'!QZ$23,Detail!$H:$H,'Rates-Service Fees'!QZ$20)*100</f>
        <v>0</v>
      </c>
      <c r="RA40">
        <f>SUMIFS(Detail!$AS:$AS,Detail!$G:$G,'Rates-Service Fees'!RA$23,Detail!$H:$H,'Rates-Service Fees'!RA$20)*100</f>
        <v>0</v>
      </c>
      <c r="RB40">
        <f>SUMIFS(Detail!$AS:$AS,Detail!$G:$G,'Rates-Service Fees'!RB$23,Detail!$H:$H,'Rates-Service Fees'!RB$20)*100</f>
        <v>0</v>
      </c>
      <c r="RC40">
        <f>SUMIFS(Detail!$AS:$AS,Detail!$G:$G,'Rates-Service Fees'!RC$23,Detail!$H:$H,'Rates-Service Fees'!RC$20)*100</f>
        <v>0</v>
      </c>
      <c r="RD40">
        <f>SUMIFS(Detail!$AS:$AS,Detail!$G:$G,'Rates-Service Fees'!RD$23,Detail!$H:$H,'Rates-Service Fees'!RD$20)*100</f>
        <v>0</v>
      </c>
      <c r="RE40">
        <f>SUMIFS(Detail!$AS:$AS,Detail!$G:$G,'Rates-Service Fees'!RE$23,Detail!$H:$H,'Rates-Service Fees'!RE$20)*100</f>
        <v>0</v>
      </c>
      <c r="RF40">
        <f>SUMIFS(Detail!$AS:$AS,Detail!$G:$G,'Rates-Service Fees'!RF$23,Detail!$H:$H,'Rates-Service Fees'!RF$20)*100</f>
        <v>0</v>
      </c>
      <c r="RG40">
        <f>SUMIFS(Detail!$AS:$AS,Detail!$G:$G,'Rates-Service Fees'!RG$23,Detail!$H:$H,'Rates-Service Fees'!RG$20)*100</f>
        <v>0</v>
      </c>
      <c r="RH40">
        <f>SUMIFS(Detail!$AS:$AS,Detail!$G:$G,'Rates-Service Fees'!RH$23,Detail!$H:$H,'Rates-Service Fees'!RH$20)*100</f>
        <v>0</v>
      </c>
      <c r="RI40">
        <f>SUMIFS(Detail!$AS:$AS,Detail!$G:$G,'Rates-Service Fees'!RI$23,Detail!$H:$H,'Rates-Service Fees'!RI$20)*100</f>
        <v>0</v>
      </c>
      <c r="RJ40">
        <f>SUMIFS(Detail!$AS:$AS,Detail!$G:$G,'Rates-Service Fees'!RJ$23,Detail!$H:$H,'Rates-Service Fees'!RJ$20)*100</f>
        <v>0</v>
      </c>
      <c r="RK40">
        <f>SUMIFS(Detail!$AS:$AS,Detail!$G:$G,'Rates-Service Fees'!RK$23,Detail!$H:$H,'Rates-Service Fees'!RK$20)*100</f>
        <v>0</v>
      </c>
      <c r="RL40">
        <f>SUMIFS(Detail!$AS:$AS,Detail!$G:$G,'Rates-Service Fees'!RL$23,Detail!$H:$H,'Rates-Service Fees'!RL$20)*100</f>
        <v>0</v>
      </c>
      <c r="RM40">
        <f>SUMIFS(Detail!$AS:$AS,Detail!$G:$G,'Rates-Service Fees'!RM$23,Detail!$H:$H,'Rates-Service Fees'!RM$20)*100</f>
        <v>0</v>
      </c>
      <c r="RN40">
        <f>SUMIFS(Detail!$AS:$AS,Detail!$G:$G,'Rates-Service Fees'!RN$23,Detail!$H:$H,'Rates-Service Fees'!RN$20)*100</f>
        <v>0</v>
      </c>
      <c r="RO40">
        <f>SUMIFS(Detail!$AS:$AS,Detail!$G:$G,'Rates-Service Fees'!RO$23,Detail!$H:$H,'Rates-Service Fees'!RO$20)*100</f>
        <v>0</v>
      </c>
      <c r="RP40">
        <f>SUMIFS(Detail!$AS:$AS,Detail!$G:$G,'Rates-Service Fees'!RP$23,Detail!$H:$H,'Rates-Service Fees'!RP$20)*100</f>
        <v>0</v>
      </c>
      <c r="RQ40">
        <f>SUMIFS(Detail!$AS:$AS,Detail!$G:$G,'Rates-Service Fees'!RQ$23,Detail!$H:$H,'Rates-Service Fees'!RQ$20)*100</f>
        <v>0</v>
      </c>
      <c r="RR40">
        <f>SUMIFS(Detail!$AS:$AS,Detail!$G:$G,'Rates-Service Fees'!RR$23,Detail!$H:$H,'Rates-Service Fees'!RR$20)*100</f>
        <v>0</v>
      </c>
      <c r="RS40">
        <f>SUMIFS(Detail!$AS:$AS,Detail!$G:$G,'Rates-Service Fees'!RS$23,Detail!$H:$H,'Rates-Service Fees'!RS$20)*100</f>
        <v>0</v>
      </c>
      <c r="RT40">
        <f>SUMIFS(Detail!$AS:$AS,Detail!$G:$G,'Rates-Service Fees'!RT$23,Detail!$H:$H,'Rates-Service Fees'!RT$20)*100</f>
        <v>0</v>
      </c>
      <c r="RU40">
        <f>SUMIFS(Detail!$AS:$AS,Detail!$G:$G,'Rates-Service Fees'!RU$23,Detail!$H:$H,'Rates-Service Fees'!RU$20)*100</f>
        <v>0</v>
      </c>
      <c r="RV40">
        <f>SUMIFS(Detail!$AS:$AS,Detail!$G:$G,'Rates-Service Fees'!RV$23,Detail!$H:$H,'Rates-Service Fees'!RV$20)*100</f>
        <v>0</v>
      </c>
      <c r="RW40">
        <f>SUMIFS(Detail!$AS:$AS,Detail!$G:$G,'Rates-Service Fees'!RW$23,Detail!$H:$H,'Rates-Service Fees'!RW$20)*100</f>
        <v>0</v>
      </c>
      <c r="RX40">
        <f>SUMIFS(Detail!$AS:$AS,Detail!$G:$G,'Rates-Service Fees'!RX$23,Detail!$H:$H,'Rates-Service Fees'!RX$20)*100</f>
        <v>0</v>
      </c>
      <c r="RY40">
        <f>SUMIFS(Detail!$AS:$AS,Detail!$G:$G,'Rates-Service Fees'!RY$23,Detail!$H:$H,'Rates-Service Fees'!RY$20)*100</f>
        <v>0</v>
      </c>
      <c r="RZ40">
        <f>SUMIFS(Detail!$AS:$AS,Detail!$G:$G,'Rates-Service Fees'!RZ$23,Detail!$H:$H,'Rates-Service Fees'!RZ$20)*100</f>
        <v>0</v>
      </c>
      <c r="SA40">
        <f>SUMIFS(Detail!$AS:$AS,Detail!$G:$G,'Rates-Service Fees'!SA$23,Detail!$H:$H,'Rates-Service Fees'!SA$20)*100</f>
        <v>0</v>
      </c>
      <c r="SB40">
        <f>SUMIFS(Detail!$AS:$AS,Detail!$G:$G,'Rates-Service Fees'!SB$23,Detail!$H:$H,'Rates-Service Fees'!SB$20)*100</f>
        <v>0</v>
      </c>
      <c r="SC40">
        <f>SUMIFS(Detail!$AS:$AS,Detail!$G:$G,'Rates-Service Fees'!SC$23,Detail!$H:$H,'Rates-Service Fees'!SC$20)*100</f>
        <v>0</v>
      </c>
      <c r="SD40">
        <f>SUMIFS(Detail!$AS:$AS,Detail!$G:$G,'Rates-Service Fees'!SD$23,Detail!$H:$H,'Rates-Service Fees'!SD$20)*100</f>
        <v>0</v>
      </c>
      <c r="SE40">
        <f>SUMIFS(Detail!$AS:$AS,Detail!$G:$G,'Rates-Service Fees'!SE$23,Detail!$H:$H,'Rates-Service Fees'!SE$20)*100</f>
        <v>0</v>
      </c>
      <c r="SF40">
        <f>SUMIFS(Detail!$AS:$AS,Detail!$G:$G,'Rates-Service Fees'!SF$23,Detail!$H:$H,'Rates-Service Fees'!SF$20)*100</f>
        <v>0</v>
      </c>
      <c r="SG40">
        <f>SUMIFS(Detail!$AS:$AS,Detail!$G:$G,'Rates-Service Fees'!SG$23,Detail!$H:$H,'Rates-Service Fees'!SG$20)*100</f>
        <v>0</v>
      </c>
      <c r="SH40">
        <f>SUMIFS(Detail!$AS:$AS,Detail!$G:$G,'Rates-Service Fees'!SH$23,Detail!$H:$H,'Rates-Service Fees'!SH$20)*100</f>
        <v>0</v>
      </c>
      <c r="SI40">
        <f>SUMIFS(Detail!$AS:$AS,Detail!$G:$G,'Rates-Service Fees'!SI$23,Detail!$H:$H,'Rates-Service Fees'!SI$20)*100</f>
        <v>0</v>
      </c>
      <c r="SJ40">
        <f>SUMIFS(Detail!$AS:$AS,Detail!$G:$G,'Rates-Service Fees'!SJ$23,Detail!$H:$H,'Rates-Service Fees'!SJ$20)*100</f>
        <v>0</v>
      </c>
      <c r="SK40">
        <f>SUMIFS(Detail!$AS:$AS,Detail!$G:$G,'Rates-Service Fees'!SK$23,Detail!$H:$H,'Rates-Service Fees'!SK$20)*100</f>
        <v>0</v>
      </c>
      <c r="SL40">
        <f>SUMIFS(Detail!$AS:$AS,Detail!$G:$G,'Rates-Service Fees'!SL$23,Detail!$H:$H,'Rates-Service Fees'!SL$20)*100</f>
        <v>0</v>
      </c>
      <c r="SM40">
        <f>SUMIFS(Detail!$AS:$AS,Detail!$G:$G,'Rates-Service Fees'!SM$23,Detail!$H:$H,'Rates-Service Fees'!SM$20)*100</f>
        <v>0</v>
      </c>
      <c r="SN40">
        <f>SUMIFS(Detail!$AS:$AS,Detail!$G:$G,'Rates-Service Fees'!SN$23,Detail!$H:$H,'Rates-Service Fees'!SN$20)*100</f>
        <v>0</v>
      </c>
      <c r="SO40">
        <f>SUMIFS(Detail!$AS:$AS,Detail!$G:$G,'Rates-Service Fees'!SO$23,Detail!$H:$H,'Rates-Service Fees'!SO$20)*100</f>
        <v>0</v>
      </c>
      <c r="SP40">
        <f>SUMIFS(Detail!$AS:$AS,Detail!$G:$G,'Rates-Service Fees'!SP$23,Detail!$H:$H,'Rates-Service Fees'!SP$20)*100</f>
        <v>0</v>
      </c>
      <c r="SQ40">
        <f>SUMIFS(Detail!$AS:$AS,Detail!$G:$G,'Rates-Service Fees'!SQ$23,Detail!$H:$H,'Rates-Service Fees'!SQ$20)*100</f>
        <v>0</v>
      </c>
      <c r="SR40">
        <f>SUMIFS(Detail!$AS:$AS,Detail!$G:$G,'Rates-Service Fees'!SR$23,Detail!$H:$H,'Rates-Service Fees'!SR$20)*100</f>
        <v>0</v>
      </c>
      <c r="SS40">
        <f>SUMIFS(Detail!$AS:$AS,Detail!$G:$G,'Rates-Service Fees'!SS$23,Detail!$H:$H,'Rates-Service Fees'!SS$20)*100</f>
        <v>0</v>
      </c>
      <c r="ST40">
        <f>SUMIFS(Detail!$AS:$AS,Detail!$G:$G,'Rates-Service Fees'!ST$23,Detail!$H:$H,'Rates-Service Fees'!ST$20)*100</f>
        <v>0</v>
      </c>
      <c r="SU40">
        <f>SUMIFS(Detail!$AS:$AS,Detail!$G:$G,'Rates-Service Fees'!SU$23,Detail!$H:$H,'Rates-Service Fees'!SU$20)*100</f>
        <v>0</v>
      </c>
      <c r="SV40">
        <f>SUMIFS(Detail!$AS:$AS,Detail!$G:$G,'Rates-Service Fees'!SV$23,Detail!$H:$H,'Rates-Service Fees'!SV$20)*100</f>
        <v>0</v>
      </c>
      <c r="SW40">
        <f>SUMIFS(Detail!$AS:$AS,Detail!$G:$G,'Rates-Service Fees'!SW$23,Detail!$H:$H,'Rates-Service Fees'!SW$20)*100</f>
        <v>0</v>
      </c>
      <c r="SX40">
        <f>SUMIFS(Detail!$AS:$AS,Detail!$G:$G,'Rates-Service Fees'!SX$23,Detail!$H:$H,'Rates-Service Fees'!SX$20)*100</f>
        <v>0</v>
      </c>
      <c r="SY40">
        <f>SUMIFS(Detail!$AS:$AS,Detail!$G:$G,'Rates-Service Fees'!SY$23,Detail!$H:$H,'Rates-Service Fees'!SY$20)*100</f>
        <v>0</v>
      </c>
      <c r="SZ40">
        <f>SUMIFS(Detail!$AS:$AS,Detail!$G:$G,'Rates-Service Fees'!SZ$23,Detail!$H:$H,'Rates-Service Fees'!SZ$20)*100</f>
        <v>0</v>
      </c>
      <c r="TA40">
        <f>SUMIFS(Detail!$AS:$AS,Detail!$G:$G,'Rates-Service Fees'!TA$23,Detail!$H:$H,'Rates-Service Fees'!TA$20)*100</f>
        <v>0</v>
      </c>
      <c r="TB40">
        <f>SUMIFS(Detail!$AS:$AS,Detail!$G:$G,'Rates-Service Fees'!TB$23,Detail!$H:$H,'Rates-Service Fees'!TB$20)*100</f>
        <v>0</v>
      </c>
      <c r="TC40">
        <f>SUMIFS(Detail!$AS:$AS,Detail!$G:$G,'Rates-Service Fees'!TC$23,Detail!$H:$H,'Rates-Service Fees'!TC$20)*100</f>
        <v>0</v>
      </c>
      <c r="TD40">
        <f>SUMIFS(Detail!$AS:$AS,Detail!$G:$G,'Rates-Service Fees'!TD$23,Detail!$H:$H,'Rates-Service Fees'!TD$20)*100</f>
        <v>0</v>
      </c>
      <c r="TE40">
        <f>SUMIFS(Detail!$AS:$AS,Detail!$G:$G,'Rates-Service Fees'!TE$23,Detail!$H:$H,'Rates-Service Fees'!TE$20)*100</f>
        <v>0</v>
      </c>
      <c r="TF40">
        <f>SUMIFS(Detail!$AS:$AS,Detail!$G:$G,'Rates-Service Fees'!TF$23,Detail!$H:$H,'Rates-Service Fees'!TF$20)*100</f>
        <v>0</v>
      </c>
      <c r="TG40">
        <f>SUMIFS(Detail!$AS:$AS,Detail!$G:$G,'Rates-Service Fees'!TG$23,Detail!$H:$H,'Rates-Service Fees'!TG$20)*100</f>
        <v>0</v>
      </c>
      <c r="TH40">
        <f>SUMIFS(Detail!$AS:$AS,Detail!$G:$G,'Rates-Service Fees'!TH$23,Detail!$H:$H,'Rates-Service Fees'!TH$20)*100</f>
        <v>0</v>
      </c>
      <c r="TI40">
        <f>SUMIFS(Detail!$AS:$AS,Detail!$G:$G,'Rates-Service Fees'!TI$23,Detail!$H:$H,'Rates-Service Fees'!TI$20)*100</f>
        <v>0</v>
      </c>
      <c r="TJ40">
        <f>SUMIFS(Detail!$AS:$AS,Detail!$G:$G,'Rates-Service Fees'!TJ$23,Detail!$H:$H,'Rates-Service Fees'!TJ$20)*100</f>
        <v>0</v>
      </c>
      <c r="TK40">
        <f>SUMIFS(Detail!$AS:$AS,Detail!$G:$G,'Rates-Service Fees'!TK$23,Detail!$H:$H,'Rates-Service Fees'!TK$20)*100</f>
        <v>0</v>
      </c>
      <c r="TL40">
        <f>SUMIFS(Detail!$AS:$AS,Detail!$G:$G,'Rates-Service Fees'!TL$23,Detail!$H:$H,'Rates-Service Fees'!TL$20)*100</f>
        <v>0</v>
      </c>
      <c r="TM40">
        <f>SUMIFS(Detail!$AS:$AS,Detail!$G:$G,'Rates-Service Fees'!TM$23,Detail!$H:$H,'Rates-Service Fees'!TM$20)*100</f>
        <v>0</v>
      </c>
      <c r="TN40">
        <f>SUMIFS(Detail!$AS:$AS,Detail!$G:$G,'Rates-Service Fees'!TN$23,Detail!$H:$H,'Rates-Service Fees'!TN$20)*100</f>
        <v>0</v>
      </c>
      <c r="TO40">
        <f>SUMIFS(Detail!$AS:$AS,Detail!$G:$G,'Rates-Service Fees'!TO$23,Detail!$H:$H,'Rates-Service Fees'!TO$20)*100</f>
        <v>0</v>
      </c>
      <c r="TP40">
        <f>SUMIFS(Detail!$AS:$AS,Detail!$G:$G,'Rates-Service Fees'!TP$23,Detail!$H:$H,'Rates-Service Fees'!TP$20)*100</f>
        <v>0</v>
      </c>
      <c r="TQ40">
        <f>SUMIFS(Detail!$AS:$AS,Detail!$G:$G,'Rates-Service Fees'!TQ$23,Detail!$H:$H,'Rates-Service Fees'!TQ$20)*100</f>
        <v>0</v>
      </c>
      <c r="TR40">
        <f>SUMIFS(Detail!$AS:$AS,Detail!$G:$G,'Rates-Service Fees'!TR$23,Detail!$H:$H,'Rates-Service Fees'!TR$20)*100</f>
        <v>0</v>
      </c>
      <c r="TS40">
        <f>SUMIFS(Detail!$AS:$AS,Detail!$G:$G,'Rates-Service Fees'!TS$23,Detail!$H:$H,'Rates-Service Fees'!TS$20)*100</f>
        <v>0</v>
      </c>
      <c r="TT40">
        <f>SUMIFS(Detail!$AS:$AS,Detail!$G:$G,'Rates-Service Fees'!TT$23,Detail!$H:$H,'Rates-Service Fees'!TT$20)*100</f>
        <v>0</v>
      </c>
      <c r="TU40">
        <f>SUMIFS(Detail!$AS:$AS,Detail!$G:$G,'Rates-Service Fees'!TU$23,Detail!$H:$H,'Rates-Service Fees'!TU$20)*100</f>
        <v>0</v>
      </c>
      <c r="TV40">
        <f>SUMIFS(Detail!$AS:$AS,Detail!$G:$G,'Rates-Service Fees'!TV$23,Detail!$H:$H,'Rates-Service Fees'!TV$20)*100</f>
        <v>0</v>
      </c>
      <c r="TW40">
        <f>SUMIFS(Detail!$AS:$AS,Detail!$G:$G,'Rates-Service Fees'!TW$23,Detail!$H:$H,'Rates-Service Fees'!TW$20)*100</f>
        <v>0</v>
      </c>
      <c r="TX40">
        <f>SUMIFS(Detail!$AS:$AS,Detail!$G:$G,'Rates-Service Fees'!TX$23,Detail!$H:$H,'Rates-Service Fees'!TX$20)*100</f>
        <v>0</v>
      </c>
      <c r="TY40">
        <f>SUMIFS(Detail!$AS:$AS,Detail!$G:$G,'Rates-Service Fees'!TY$23,Detail!$H:$H,'Rates-Service Fees'!TY$20)*100</f>
        <v>0</v>
      </c>
      <c r="TZ40">
        <f>SUMIFS(Detail!$AS:$AS,Detail!$G:$G,'Rates-Service Fees'!TZ$23,Detail!$H:$H,'Rates-Service Fees'!TZ$20)*100</f>
        <v>0</v>
      </c>
      <c r="UA40">
        <f>SUMIFS(Detail!$AS:$AS,Detail!$G:$G,'Rates-Service Fees'!UA$23,Detail!$H:$H,'Rates-Service Fees'!UA$20)*100</f>
        <v>0</v>
      </c>
      <c r="UB40">
        <f>SUMIFS(Detail!$AS:$AS,Detail!$G:$G,'Rates-Service Fees'!UB$23,Detail!$H:$H,'Rates-Service Fees'!UB$20)*100</f>
        <v>0</v>
      </c>
      <c r="UC40">
        <f>SUMIFS(Detail!$AS:$AS,Detail!$G:$G,'Rates-Service Fees'!UC$23,Detail!$H:$H,'Rates-Service Fees'!UC$20)*100</f>
        <v>0</v>
      </c>
      <c r="UD40">
        <f>SUMIFS(Detail!$AS:$AS,Detail!$G:$G,'Rates-Service Fees'!UD$23,Detail!$H:$H,'Rates-Service Fees'!UD$20)*100</f>
        <v>0</v>
      </c>
      <c r="UE40">
        <f>SUMIFS(Detail!$AS:$AS,Detail!$G:$G,'Rates-Service Fees'!UE$23,Detail!$H:$H,'Rates-Service Fees'!UE$20)*100</f>
        <v>0</v>
      </c>
      <c r="UF40">
        <f>SUMIFS(Detail!$AS:$AS,Detail!$G:$G,'Rates-Service Fees'!UF$23,Detail!$H:$H,'Rates-Service Fees'!UF$20)*100</f>
        <v>0</v>
      </c>
      <c r="UG40">
        <f>SUMIFS(Detail!$AS:$AS,Detail!$G:$G,'Rates-Service Fees'!UG$23,Detail!$H:$H,'Rates-Service Fees'!UG$20)*100</f>
        <v>0</v>
      </c>
      <c r="UH40">
        <f>SUMIFS(Detail!$AS:$AS,Detail!$G:$G,'Rates-Service Fees'!UH$23,Detail!$H:$H,'Rates-Service Fees'!UH$20)*100</f>
        <v>0</v>
      </c>
      <c r="UI40">
        <f>SUMIFS(Detail!$AS:$AS,Detail!$G:$G,'Rates-Service Fees'!UI$23,Detail!$H:$H,'Rates-Service Fees'!UI$20)*100</f>
        <v>0</v>
      </c>
      <c r="UJ40">
        <f>SUMIFS(Detail!$AS:$AS,Detail!$G:$G,'Rates-Service Fees'!UJ$23,Detail!$H:$H,'Rates-Service Fees'!UJ$20)*100</f>
        <v>0</v>
      </c>
      <c r="UK40">
        <f>SUMIFS(Detail!$AS:$AS,Detail!$G:$G,'Rates-Service Fees'!UK$23,Detail!$H:$H,'Rates-Service Fees'!UK$20)*100</f>
        <v>0</v>
      </c>
      <c r="UL40">
        <f>SUMIFS(Detail!$AS:$AS,Detail!$G:$G,'Rates-Service Fees'!UL$23,Detail!$H:$H,'Rates-Service Fees'!UL$20)*100</f>
        <v>0</v>
      </c>
      <c r="UM40">
        <f>SUMIFS(Detail!$AS:$AS,Detail!$G:$G,'Rates-Service Fees'!UM$23,Detail!$H:$H,'Rates-Service Fees'!UM$20)*100</f>
        <v>0</v>
      </c>
      <c r="UN40">
        <f>SUMIFS(Detail!$AS:$AS,Detail!$G:$G,'Rates-Service Fees'!UN$23,Detail!$H:$H,'Rates-Service Fees'!UN$20)*100</f>
        <v>0</v>
      </c>
      <c r="UO40">
        <f>SUMIFS(Detail!$AS:$AS,Detail!$G:$G,'Rates-Service Fees'!UO$23,Detail!$H:$H,'Rates-Service Fees'!UO$20)*100</f>
        <v>0</v>
      </c>
      <c r="UP40">
        <f>SUMIFS(Detail!$AS:$AS,Detail!$G:$G,'Rates-Service Fees'!UP$23,Detail!$H:$H,'Rates-Service Fees'!UP$20)*100</f>
        <v>0</v>
      </c>
      <c r="UQ40">
        <f>SUMIFS(Detail!$AS:$AS,Detail!$G:$G,'Rates-Service Fees'!UQ$23,Detail!$H:$H,'Rates-Service Fees'!UQ$20)*100</f>
        <v>0</v>
      </c>
      <c r="UR40">
        <f>SUMIFS(Detail!$AS:$AS,Detail!$G:$G,'Rates-Service Fees'!UR$23,Detail!$H:$H,'Rates-Service Fees'!UR$20)*100</f>
        <v>0</v>
      </c>
      <c r="US40">
        <f>SUMIFS(Detail!$AS:$AS,Detail!$G:$G,'Rates-Service Fees'!US$23,Detail!$H:$H,'Rates-Service Fees'!US$20)*100</f>
        <v>0</v>
      </c>
      <c r="UT40">
        <f>SUMIFS(Detail!$AS:$AS,Detail!$G:$G,'Rates-Service Fees'!UT$23,Detail!$H:$H,'Rates-Service Fees'!UT$20)*100</f>
        <v>0</v>
      </c>
      <c r="UU40">
        <f>SUMIFS(Detail!$AS:$AS,Detail!$G:$G,'Rates-Service Fees'!UU$23,Detail!$H:$H,'Rates-Service Fees'!UU$20)*100</f>
        <v>0</v>
      </c>
      <c r="UV40">
        <f>SUMIFS(Detail!$AS:$AS,Detail!$G:$G,'Rates-Service Fees'!UV$23,Detail!$H:$H,'Rates-Service Fees'!UV$20)*100</f>
        <v>0</v>
      </c>
      <c r="UW40">
        <f>SUMIFS(Detail!$AS:$AS,Detail!$G:$G,'Rates-Service Fees'!UW$23,Detail!$H:$H,'Rates-Service Fees'!UW$20)*100</f>
        <v>0</v>
      </c>
      <c r="UX40">
        <f>SUMIFS(Detail!$AS:$AS,Detail!$G:$G,'Rates-Service Fees'!UX$23,Detail!$H:$H,'Rates-Service Fees'!UX$20)*100</f>
        <v>0</v>
      </c>
      <c r="UY40">
        <f>SUMIFS(Detail!$AS:$AS,Detail!$G:$G,'Rates-Service Fees'!UY$23,Detail!$H:$H,'Rates-Service Fees'!UY$20)*100</f>
        <v>0</v>
      </c>
      <c r="UZ40">
        <f>SUMIFS(Detail!$AS:$AS,Detail!$G:$G,'Rates-Service Fees'!UZ$23,Detail!$H:$H,'Rates-Service Fees'!UZ$20)*100</f>
        <v>0</v>
      </c>
      <c r="VA40">
        <f>SUMIFS(Detail!$AS:$AS,Detail!$G:$G,'Rates-Service Fees'!VA$23,Detail!$H:$H,'Rates-Service Fees'!VA$20)*100</f>
        <v>0</v>
      </c>
      <c r="VB40">
        <f>SUMIFS(Detail!$AS:$AS,Detail!$G:$G,'Rates-Service Fees'!VB$23,Detail!$H:$H,'Rates-Service Fees'!VB$20)*100</f>
        <v>0</v>
      </c>
      <c r="VC40">
        <f>SUMIFS(Detail!$AS:$AS,Detail!$G:$G,'Rates-Service Fees'!VC$23,Detail!$H:$H,'Rates-Service Fees'!VC$20)*100</f>
        <v>0</v>
      </c>
      <c r="VD40">
        <f>SUMIFS(Detail!$AS:$AS,Detail!$G:$G,'Rates-Service Fees'!VD$23,Detail!$H:$H,'Rates-Service Fees'!VD$20)*100</f>
        <v>0</v>
      </c>
      <c r="VE40">
        <f>SUMIFS(Detail!$AS:$AS,Detail!$G:$G,'Rates-Service Fees'!VE$23,Detail!$H:$H,'Rates-Service Fees'!VE$20)*100</f>
        <v>0</v>
      </c>
      <c r="VF40">
        <f>SUMIFS(Detail!$AS:$AS,Detail!$G:$G,'Rates-Service Fees'!VF$23,Detail!$H:$H,'Rates-Service Fees'!VF$20)*100</f>
        <v>0</v>
      </c>
      <c r="VG40">
        <f>SUMIFS(Detail!$AS:$AS,Detail!$G:$G,'Rates-Service Fees'!VG$23,Detail!$H:$H,'Rates-Service Fees'!VG$20)*100</f>
        <v>0</v>
      </c>
      <c r="VH40">
        <f>SUMIFS(Detail!$AS:$AS,Detail!$G:$G,'Rates-Service Fees'!VH$23,Detail!$H:$H,'Rates-Service Fees'!VH$20)*100</f>
        <v>0</v>
      </c>
      <c r="VI40">
        <f>SUMIFS(Detail!$AS:$AS,Detail!$G:$G,'Rates-Service Fees'!VI$23,Detail!$H:$H,'Rates-Service Fees'!VI$20)*100</f>
        <v>0</v>
      </c>
      <c r="VJ40">
        <f>SUMIFS(Detail!$AS:$AS,Detail!$G:$G,'Rates-Service Fees'!VJ$23,Detail!$H:$H,'Rates-Service Fees'!VJ$20)*100</f>
        <v>0</v>
      </c>
      <c r="VK40">
        <f>SUMIFS(Detail!$AS:$AS,Detail!$G:$G,'Rates-Service Fees'!VK$23,Detail!$H:$H,'Rates-Service Fees'!VK$20)*100</f>
        <v>0</v>
      </c>
      <c r="VL40">
        <f>SUMIFS(Detail!$AS:$AS,Detail!$G:$G,'Rates-Service Fees'!VL$23,Detail!$H:$H,'Rates-Service Fees'!VL$20)*100</f>
        <v>0</v>
      </c>
      <c r="VM40">
        <f>SUMIFS(Detail!$AS:$AS,Detail!$G:$G,'Rates-Service Fees'!VM$23,Detail!$H:$H,'Rates-Service Fees'!VM$20)*100</f>
        <v>0</v>
      </c>
      <c r="VN40">
        <f>SUMIFS(Detail!$AS:$AS,Detail!$G:$G,'Rates-Service Fees'!VN$23,Detail!$H:$H,'Rates-Service Fees'!VN$20)*100</f>
        <v>0</v>
      </c>
      <c r="VO40">
        <f>SUMIFS(Detail!$AS:$AS,Detail!$G:$G,'Rates-Service Fees'!VO$23,Detail!$H:$H,'Rates-Service Fees'!VO$20)*100</f>
        <v>0</v>
      </c>
      <c r="VP40">
        <f>SUMIFS(Detail!$AS:$AS,Detail!$G:$G,'Rates-Service Fees'!VP$23,Detail!$H:$H,'Rates-Service Fees'!VP$20)*100</f>
        <v>0</v>
      </c>
      <c r="VQ40">
        <f>SUMIFS(Detail!$AS:$AS,Detail!$G:$G,'Rates-Service Fees'!VQ$23,Detail!$H:$H,'Rates-Service Fees'!VQ$20)*100</f>
        <v>0</v>
      </c>
      <c r="VR40">
        <f>SUMIFS(Detail!$AS:$AS,Detail!$G:$G,'Rates-Service Fees'!VR$23,Detail!$H:$H,'Rates-Service Fees'!VR$20)*100</f>
        <v>0</v>
      </c>
      <c r="VS40">
        <f>SUMIFS(Detail!$AS:$AS,Detail!$G:$G,'Rates-Service Fees'!VS$23,Detail!$H:$H,'Rates-Service Fees'!VS$20)*100</f>
        <v>0</v>
      </c>
      <c r="VT40">
        <f>SUMIFS(Detail!$AS:$AS,Detail!$G:$G,'Rates-Service Fees'!VT$23,Detail!$H:$H,'Rates-Service Fees'!VT$20)*100</f>
        <v>0</v>
      </c>
      <c r="VU40">
        <f>SUMIFS(Detail!$AS:$AS,Detail!$G:$G,'Rates-Service Fees'!VU$23,Detail!$H:$H,'Rates-Service Fees'!VU$20)*100</f>
        <v>0</v>
      </c>
      <c r="VV40">
        <f>SUMIFS(Detail!$AS:$AS,Detail!$G:$G,'Rates-Service Fees'!VV$23,Detail!$H:$H,'Rates-Service Fees'!VV$20)*100</f>
        <v>0</v>
      </c>
      <c r="VW40">
        <f>SUMIFS(Detail!$AS:$AS,Detail!$G:$G,'Rates-Service Fees'!VW$23,Detail!$H:$H,'Rates-Service Fees'!VW$20)*100</f>
        <v>0</v>
      </c>
      <c r="VX40">
        <f>SUMIFS(Detail!$AS:$AS,Detail!$G:$G,'Rates-Service Fees'!VX$23,Detail!$H:$H,'Rates-Service Fees'!VX$20)*100</f>
        <v>0</v>
      </c>
      <c r="VY40">
        <f>SUMIFS(Detail!$AS:$AS,Detail!$G:$G,'Rates-Service Fees'!VY$23,Detail!$H:$H,'Rates-Service Fees'!VY$20)*100</f>
        <v>0</v>
      </c>
      <c r="VZ40">
        <f>SUMIFS(Detail!$AS:$AS,Detail!$G:$G,'Rates-Service Fees'!VZ$23,Detail!$H:$H,'Rates-Service Fees'!VZ$20)*100</f>
        <v>0</v>
      </c>
      <c r="WA40">
        <f>SUMIFS(Detail!$AS:$AS,Detail!$G:$G,'Rates-Service Fees'!WA$23,Detail!$H:$H,'Rates-Service Fees'!WA$20)*100</f>
        <v>0</v>
      </c>
      <c r="WB40">
        <f>SUMIFS(Detail!$AS:$AS,Detail!$G:$G,'Rates-Service Fees'!WB$23,Detail!$H:$H,'Rates-Service Fees'!WB$20)*100</f>
        <v>0</v>
      </c>
      <c r="WC40">
        <f>SUMIFS(Detail!$AS:$AS,Detail!$G:$G,'Rates-Service Fees'!WC$23,Detail!$H:$H,'Rates-Service Fees'!WC$20)*100</f>
        <v>0</v>
      </c>
      <c r="WD40">
        <f>SUMIFS(Detail!$AS:$AS,Detail!$G:$G,'Rates-Service Fees'!WD$23,Detail!$H:$H,'Rates-Service Fees'!WD$20)*100</f>
        <v>0</v>
      </c>
      <c r="WE40">
        <f>SUMIFS(Detail!$AS:$AS,Detail!$G:$G,'Rates-Service Fees'!WE$23,Detail!$H:$H,'Rates-Service Fees'!WE$20)*100</f>
        <v>0</v>
      </c>
      <c r="WF40">
        <f>SUMIFS(Detail!$AS:$AS,Detail!$G:$G,'Rates-Service Fees'!WF$23,Detail!$H:$H,'Rates-Service Fees'!WF$20)*100</f>
        <v>0</v>
      </c>
      <c r="WG40">
        <f>SUMIFS(Detail!$AS:$AS,Detail!$G:$G,'Rates-Service Fees'!WG$23,Detail!$H:$H,'Rates-Service Fees'!WG$20)*100</f>
        <v>0</v>
      </c>
      <c r="WH40">
        <f>SUMIFS(Detail!$AS:$AS,Detail!$G:$G,'Rates-Service Fees'!WH$23,Detail!$H:$H,'Rates-Service Fees'!WH$20)*100</f>
        <v>0</v>
      </c>
      <c r="WI40">
        <f>SUMIFS(Detail!$AS:$AS,Detail!$G:$G,'Rates-Service Fees'!WI$23,Detail!$H:$H,'Rates-Service Fees'!WI$20)*100</f>
        <v>0</v>
      </c>
      <c r="WJ40">
        <f>SUMIFS(Detail!$AS:$AS,Detail!$G:$G,'Rates-Service Fees'!WJ$23,Detail!$H:$H,'Rates-Service Fees'!WJ$20)*100</f>
        <v>0</v>
      </c>
      <c r="WK40">
        <f>SUMIFS(Detail!$AS:$AS,Detail!$G:$G,'Rates-Service Fees'!WK$23,Detail!$H:$H,'Rates-Service Fees'!WK$20)*100</f>
        <v>0</v>
      </c>
      <c r="WL40">
        <f>SUMIFS(Detail!$AS:$AS,Detail!$G:$G,'Rates-Service Fees'!WL$23,Detail!$H:$H,'Rates-Service Fees'!WL$20)*100</f>
        <v>0</v>
      </c>
      <c r="WM40">
        <f>SUMIFS(Detail!$AS:$AS,Detail!$G:$G,'Rates-Service Fees'!WM$23,Detail!$H:$H,'Rates-Service Fees'!WM$20)*100</f>
        <v>0</v>
      </c>
      <c r="WN40">
        <f>SUMIFS(Detail!$AS:$AS,Detail!$G:$G,'Rates-Service Fees'!WN$23,Detail!$H:$H,'Rates-Service Fees'!WN$20)*100</f>
        <v>0</v>
      </c>
      <c r="WO40">
        <f>SUMIFS(Detail!$AS:$AS,Detail!$G:$G,'Rates-Service Fees'!WO$23,Detail!$H:$H,'Rates-Service Fees'!WO$20)*100</f>
        <v>0</v>
      </c>
      <c r="WP40">
        <f>SUMIFS(Detail!$AS:$AS,Detail!$G:$G,'Rates-Service Fees'!WP$23,Detail!$H:$H,'Rates-Service Fees'!WP$20)*100</f>
        <v>0</v>
      </c>
      <c r="WQ40">
        <f>SUMIFS(Detail!$AS:$AS,Detail!$G:$G,'Rates-Service Fees'!WQ$23,Detail!$H:$H,'Rates-Service Fees'!WQ$20)*100</f>
        <v>0</v>
      </c>
      <c r="WR40">
        <f>SUMIFS(Detail!$AS:$AS,Detail!$G:$G,'Rates-Service Fees'!WR$23,Detail!$H:$H,'Rates-Service Fees'!WR$20)*100</f>
        <v>0</v>
      </c>
      <c r="WS40">
        <f>SUMIFS(Detail!$AS:$AS,Detail!$G:$G,'Rates-Service Fees'!WS$23,Detail!$H:$H,'Rates-Service Fees'!WS$20)*100</f>
        <v>0</v>
      </c>
      <c r="WT40">
        <f>SUMIFS(Detail!$AS:$AS,Detail!$G:$G,'Rates-Service Fees'!WT$23,Detail!$H:$H,'Rates-Service Fees'!WT$20)*100</f>
        <v>0</v>
      </c>
      <c r="WU40">
        <f>SUMIFS(Detail!$AS:$AS,Detail!$G:$G,'Rates-Service Fees'!WU$23,Detail!$H:$H,'Rates-Service Fees'!WU$20)*100</f>
        <v>0</v>
      </c>
      <c r="WV40">
        <f>SUMIFS(Detail!$AS:$AS,Detail!$G:$G,'Rates-Service Fees'!WV$23,Detail!$H:$H,'Rates-Service Fees'!WV$20)*100</f>
        <v>0</v>
      </c>
      <c r="WW40">
        <f>SUMIFS(Detail!$AS:$AS,Detail!$G:$G,'Rates-Service Fees'!WW$23,Detail!$H:$H,'Rates-Service Fees'!WW$20)*100</f>
        <v>0</v>
      </c>
      <c r="WX40">
        <f>SUMIFS(Detail!$AS:$AS,Detail!$G:$G,'Rates-Service Fees'!WX$23,Detail!$H:$H,'Rates-Service Fees'!WX$20)*100</f>
        <v>0</v>
      </c>
      <c r="WY40">
        <f>SUMIFS(Detail!$AS:$AS,Detail!$G:$G,'Rates-Service Fees'!WY$23,Detail!$H:$H,'Rates-Service Fees'!WY$20)*100</f>
        <v>0</v>
      </c>
      <c r="WZ40">
        <f>SUMIFS(Detail!$AS:$AS,Detail!$G:$G,'Rates-Service Fees'!WZ$23,Detail!$H:$H,'Rates-Service Fees'!WZ$20)*100</f>
        <v>0</v>
      </c>
      <c r="XA40">
        <f>SUMIFS(Detail!$AS:$AS,Detail!$G:$G,'Rates-Service Fees'!XA$23,Detail!$H:$H,'Rates-Service Fees'!XA$20)*100</f>
        <v>0</v>
      </c>
      <c r="XB40">
        <f>SUMIFS(Detail!$AS:$AS,Detail!$G:$G,'Rates-Service Fees'!XB$23,Detail!$H:$H,'Rates-Service Fees'!XB$20)*100</f>
        <v>0</v>
      </c>
      <c r="XC40">
        <f>SUMIFS(Detail!$AS:$AS,Detail!$G:$G,'Rates-Service Fees'!XC$23,Detail!$H:$H,'Rates-Service Fees'!XC$20)*100</f>
        <v>0</v>
      </c>
      <c r="XD40">
        <f>SUMIFS(Detail!$AS:$AS,Detail!$G:$G,'Rates-Service Fees'!XD$23,Detail!$H:$H,'Rates-Service Fees'!XD$20)*100</f>
        <v>0</v>
      </c>
      <c r="XE40">
        <f>SUMIFS(Detail!$AS:$AS,Detail!$G:$G,'Rates-Service Fees'!XE$23,Detail!$H:$H,'Rates-Service Fees'!XE$20)*100</f>
        <v>0</v>
      </c>
      <c r="XF40">
        <f>SUMIFS(Detail!$AS:$AS,Detail!$G:$G,'Rates-Service Fees'!XF$23,Detail!$H:$H,'Rates-Service Fees'!XF$20)*100</f>
        <v>0</v>
      </c>
      <c r="XG40">
        <f>SUMIFS(Detail!$AS:$AS,Detail!$G:$G,'Rates-Service Fees'!XG$23,Detail!$H:$H,'Rates-Service Fees'!XG$20)*100</f>
        <v>0</v>
      </c>
      <c r="XH40">
        <f>SUMIFS(Detail!$AS:$AS,Detail!$G:$G,'Rates-Service Fees'!XH$23,Detail!$H:$H,'Rates-Service Fees'!XH$20)*100</f>
        <v>0</v>
      </c>
      <c r="XI40">
        <f>SUMIFS(Detail!$AS:$AS,Detail!$G:$G,'Rates-Service Fees'!XI$23,Detail!$H:$H,'Rates-Service Fees'!XI$20)*100</f>
        <v>0</v>
      </c>
      <c r="XJ40">
        <f>SUMIFS(Detail!$AS:$AS,Detail!$G:$G,'Rates-Service Fees'!XJ$23,Detail!$H:$H,'Rates-Service Fees'!XJ$20)*100</f>
        <v>0</v>
      </c>
      <c r="XK40">
        <f>SUMIFS(Detail!$AS:$AS,Detail!$G:$G,'Rates-Service Fees'!XK$23,Detail!$H:$H,'Rates-Service Fees'!XK$20)*100</f>
        <v>0</v>
      </c>
      <c r="XL40">
        <f>SUMIFS(Detail!$AS:$AS,Detail!$G:$G,'Rates-Service Fees'!XL$23,Detail!$H:$H,'Rates-Service Fees'!XL$20)*100</f>
        <v>0</v>
      </c>
      <c r="XM40">
        <f>SUMIFS(Detail!$AS:$AS,Detail!$G:$G,'Rates-Service Fees'!XM$23,Detail!$H:$H,'Rates-Service Fees'!XM$20)*100</f>
        <v>0</v>
      </c>
      <c r="XN40">
        <f>SUMIFS(Detail!$AS:$AS,Detail!$G:$G,'Rates-Service Fees'!XN$23,Detail!$H:$H,'Rates-Service Fees'!XN$20)*100</f>
        <v>0</v>
      </c>
      <c r="XO40">
        <f>SUMIFS(Detail!$AS:$AS,Detail!$G:$G,'Rates-Service Fees'!XO$23,Detail!$H:$H,'Rates-Service Fees'!XO$20)*100</f>
        <v>0</v>
      </c>
      <c r="XP40">
        <f>SUMIFS(Detail!$AS:$AS,Detail!$G:$G,'Rates-Service Fees'!XP$23,Detail!$H:$H,'Rates-Service Fees'!XP$20)*100</f>
        <v>0</v>
      </c>
      <c r="XQ40">
        <f>SUMIFS(Detail!$AS:$AS,Detail!$G:$G,'Rates-Service Fees'!XQ$23,Detail!$H:$H,'Rates-Service Fees'!XQ$20)*100</f>
        <v>0</v>
      </c>
      <c r="XR40">
        <f>SUMIFS(Detail!$AS:$AS,Detail!$G:$G,'Rates-Service Fees'!XR$23,Detail!$H:$H,'Rates-Service Fees'!XR$20)*100</f>
        <v>0</v>
      </c>
      <c r="XS40">
        <f>SUMIFS(Detail!$AS:$AS,Detail!$G:$G,'Rates-Service Fees'!XS$23,Detail!$H:$H,'Rates-Service Fees'!XS$20)*100</f>
        <v>0</v>
      </c>
      <c r="XT40">
        <f>SUMIFS(Detail!$AS:$AS,Detail!$G:$G,'Rates-Service Fees'!XT$23,Detail!$H:$H,'Rates-Service Fees'!XT$20)*100</f>
        <v>0</v>
      </c>
      <c r="XU40">
        <f>SUMIFS(Detail!$AS:$AS,Detail!$G:$G,'Rates-Service Fees'!XU$23,Detail!$H:$H,'Rates-Service Fees'!XU$20)*100</f>
        <v>0</v>
      </c>
      <c r="XV40">
        <f>SUMIFS(Detail!$AS:$AS,Detail!$G:$G,'Rates-Service Fees'!XV$23,Detail!$H:$H,'Rates-Service Fees'!XV$20)*100</f>
        <v>0</v>
      </c>
      <c r="XW40">
        <f>SUMIFS(Detail!$AS:$AS,Detail!$G:$G,'Rates-Service Fees'!XW$23,Detail!$H:$H,'Rates-Service Fees'!XW$20)*100</f>
        <v>0</v>
      </c>
      <c r="XX40">
        <f>SUMIFS(Detail!$AS:$AS,Detail!$G:$G,'Rates-Service Fees'!XX$23,Detail!$H:$H,'Rates-Service Fees'!XX$20)*100</f>
        <v>0</v>
      </c>
      <c r="XY40">
        <f>SUMIFS(Detail!$AS:$AS,Detail!$G:$G,'Rates-Service Fees'!XY$23,Detail!$H:$H,'Rates-Service Fees'!XY$20)*100</f>
        <v>0</v>
      </c>
      <c r="XZ40">
        <f>SUMIFS(Detail!$AS:$AS,Detail!$G:$G,'Rates-Service Fees'!XZ$23,Detail!$H:$H,'Rates-Service Fees'!XZ$20)*100</f>
        <v>0</v>
      </c>
      <c r="YA40">
        <f>SUMIFS(Detail!$AS:$AS,Detail!$G:$G,'Rates-Service Fees'!YA$23,Detail!$H:$H,'Rates-Service Fees'!YA$20)*100</f>
        <v>0</v>
      </c>
      <c r="YB40">
        <f>SUMIFS(Detail!$AS:$AS,Detail!$G:$G,'Rates-Service Fees'!YB$23,Detail!$H:$H,'Rates-Service Fees'!YB$20)*100</f>
        <v>0</v>
      </c>
      <c r="YC40">
        <f>SUMIFS(Detail!$AS:$AS,Detail!$G:$G,'Rates-Service Fees'!YC$23,Detail!$H:$H,'Rates-Service Fees'!YC$20)*100</f>
        <v>0</v>
      </c>
      <c r="YD40">
        <f>SUMIFS(Detail!$AS:$AS,Detail!$G:$G,'Rates-Service Fees'!YD$23,Detail!$H:$H,'Rates-Service Fees'!YD$20)*100</f>
        <v>0</v>
      </c>
      <c r="YE40">
        <f>SUMIFS(Detail!$AS:$AS,Detail!$G:$G,'Rates-Service Fees'!YE$23,Detail!$H:$H,'Rates-Service Fees'!YE$20)*100</f>
        <v>0</v>
      </c>
      <c r="YF40">
        <f>SUMIFS(Detail!$AS:$AS,Detail!$G:$G,'Rates-Service Fees'!YF$23,Detail!$H:$H,'Rates-Service Fees'!YF$20)*100</f>
        <v>0</v>
      </c>
      <c r="YG40">
        <f>SUMIFS(Detail!$AS:$AS,Detail!$G:$G,'Rates-Service Fees'!YG$23,Detail!$H:$H,'Rates-Service Fees'!YG$20)*100</f>
        <v>0</v>
      </c>
      <c r="YH40">
        <f>SUMIFS(Detail!$AS:$AS,Detail!$G:$G,'Rates-Service Fees'!YH$23,Detail!$H:$H,'Rates-Service Fees'!YH$20)*100</f>
        <v>0</v>
      </c>
      <c r="YI40">
        <f>SUMIFS(Detail!$AS:$AS,Detail!$G:$G,'Rates-Service Fees'!YI$23,Detail!$H:$H,'Rates-Service Fees'!YI$20)*100</f>
        <v>0</v>
      </c>
      <c r="YJ40">
        <f>SUMIFS(Detail!$AS:$AS,Detail!$G:$G,'Rates-Service Fees'!YJ$23,Detail!$H:$H,'Rates-Service Fees'!YJ$20)*100</f>
        <v>0</v>
      </c>
      <c r="YK40">
        <f>SUMIFS(Detail!$AS:$AS,Detail!$G:$G,'Rates-Service Fees'!YK$23,Detail!$H:$H,'Rates-Service Fees'!YK$20)*100</f>
        <v>0</v>
      </c>
      <c r="YL40">
        <f>SUMIFS(Detail!$AS:$AS,Detail!$G:$G,'Rates-Service Fees'!YL$23,Detail!$H:$H,'Rates-Service Fees'!YL$20)*100</f>
        <v>0</v>
      </c>
      <c r="YM40">
        <f>SUMIFS(Detail!$AS:$AS,Detail!$G:$G,'Rates-Service Fees'!YM$23,Detail!$H:$H,'Rates-Service Fees'!YM$20)*100</f>
        <v>0</v>
      </c>
      <c r="YN40">
        <f>SUMIFS(Detail!$AS:$AS,Detail!$G:$G,'Rates-Service Fees'!YN$23,Detail!$H:$H,'Rates-Service Fees'!YN$20)*100</f>
        <v>0</v>
      </c>
      <c r="YO40">
        <f>SUMIFS(Detail!$AS:$AS,Detail!$G:$G,'Rates-Service Fees'!YO$23,Detail!$H:$H,'Rates-Service Fees'!YO$20)*100</f>
        <v>0</v>
      </c>
      <c r="YP40">
        <f>SUMIFS(Detail!$AS:$AS,Detail!$G:$G,'Rates-Service Fees'!YP$23,Detail!$H:$H,'Rates-Service Fees'!YP$20)*100</f>
        <v>0</v>
      </c>
      <c r="YQ40">
        <f>SUMIFS(Detail!$AS:$AS,Detail!$G:$G,'Rates-Service Fees'!YQ$23,Detail!$H:$H,'Rates-Service Fees'!YQ$20)*100</f>
        <v>0</v>
      </c>
      <c r="YR40">
        <f>SUMIFS(Detail!$AS:$AS,Detail!$G:$G,'Rates-Service Fees'!YR$23,Detail!$H:$H,'Rates-Service Fees'!YR$20)*100</f>
        <v>0</v>
      </c>
      <c r="YS40">
        <f>SUMIFS(Detail!$AS:$AS,Detail!$G:$G,'Rates-Service Fees'!YS$23,Detail!$H:$H,'Rates-Service Fees'!YS$20)*100</f>
        <v>0</v>
      </c>
      <c r="YT40">
        <f>SUMIFS(Detail!$AS:$AS,Detail!$G:$G,'Rates-Service Fees'!YT$23,Detail!$H:$H,'Rates-Service Fees'!YT$20)*100</f>
        <v>0</v>
      </c>
      <c r="YU40">
        <f>SUMIFS(Detail!$AS:$AS,Detail!$G:$G,'Rates-Service Fees'!YU$23,Detail!$H:$H,'Rates-Service Fees'!YU$20)*100</f>
        <v>0</v>
      </c>
      <c r="YV40">
        <f>SUMIFS(Detail!$AS:$AS,Detail!$G:$G,'Rates-Service Fees'!YV$23,Detail!$H:$H,'Rates-Service Fees'!YV$20)*100</f>
        <v>0</v>
      </c>
      <c r="YW40">
        <f>SUMIFS(Detail!$AS:$AS,Detail!$G:$G,'Rates-Service Fees'!YW$23,Detail!$H:$H,'Rates-Service Fees'!YW$20)*100</f>
        <v>0</v>
      </c>
      <c r="YX40">
        <f>SUMIFS(Detail!$AS:$AS,Detail!$G:$G,'Rates-Service Fees'!YX$23,Detail!$H:$H,'Rates-Service Fees'!YX$20)*100</f>
        <v>0</v>
      </c>
      <c r="YY40">
        <f>SUMIFS(Detail!$AS:$AS,Detail!$G:$G,'Rates-Service Fees'!YY$23,Detail!$H:$H,'Rates-Service Fees'!YY$20)*100</f>
        <v>0</v>
      </c>
      <c r="YZ40">
        <f>SUMIFS(Detail!$AS:$AS,Detail!$G:$G,'Rates-Service Fees'!YZ$23,Detail!$H:$H,'Rates-Service Fees'!YZ$20)*100</f>
        <v>0</v>
      </c>
      <c r="ZA40">
        <f>SUMIFS(Detail!$AS:$AS,Detail!$G:$G,'Rates-Service Fees'!ZA$23,Detail!$H:$H,'Rates-Service Fees'!ZA$20)*100</f>
        <v>0</v>
      </c>
      <c r="ZB40">
        <f>SUMIFS(Detail!$AS:$AS,Detail!$G:$G,'Rates-Service Fees'!ZB$23,Detail!$H:$H,'Rates-Service Fees'!ZB$20)*100</f>
        <v>0</v>
      </c>
      <c r="ZC40">
        <f>SUMIFS(Detail!$AS:$AS,Detail!$G:$G,'Rates-Service Fees'!ZC$23,Detail!$H:$H,'Rates-Service Fees'!ZC$20)*100</f>
        <v>0</v>
      </c>
      <c r="ZD40">
        <f>SUMIFS(Detail!$AS:$AS,Detail!$G:$G,'Rates-Service Fees'!ZD$23,Detail!$H:$H,'Rates-Service Fees'!ZD$20)*100</f>
        <v>0</v>
      </c>
      <c r="ZE40">
        <f>SUMIFS(Detail!$AS:$AS,Detail!$G:$G,'Rates-Service Fees'!ZE$23,Detail!$H:$H,'Rates-Service Fees'!ZE$20)*100</f>
        <v>0</v>
      </c>
      <c r="ZF40">
        <f>SUMIFS(Detail!$AS:$AS,Detail!$G:$G,'Rates-Service Fees'!ZF$23,Detail!$H:$H,'Rates-Service Fees'!ZF$20)*100</f>
        <v>0</v>
      </c>
      <c r="ZG40">
        <f>SUMIFS(Detail!$AS:$AS,Detail!$G:$G,'Rates-Service Fees'!ZG$23,Detail!$H:$H,'Rates-Service Fees'!ZG$20)*100</f>
        <v>0</v>
      </c>
      <c r="ZH40">
        <f>SUMIFS(Detail!$AS:$AS,Detail!$G:$G,'Rates-Service Fees'!ZH$23,Detail!$H:$H,'Rates-Service Fees'!ZH$20)*100</f>
        <v>0</v>
      </c>
      <c r="ZI40">
        <f>SUMIFS(Detail!$AS:$AS,Detail!$G:$G,'Rates-Service Fees'!ZI$23,Detail!$H:$H,'Rates-Service Fees'!ZI$20)*100</f>
        <v>0</v>
      </c>
      <c r="ZJ40">
        <f>SUMIFS(Detail!$AS:$AS,Detail!$G:$G,'Rates-Service Fees'!ZJ$23,Detail!$H:$H,'Rates-Service Fees'!ZJ$20)*100</f>
        <v>0</v>
      </c>
      <c r="ZK40">
        <f>SUMIFS(Detail!$AS:$AS,Detail!$G:$G,'Rates-Service Fees'!ZK$23,Detail!$H:$H,'Rates-Service Fees'!ZK$20)*100</f>
        <v>0</v>
      </c>
      <c r="ZL40">
        <f>SUMIFS(Detail!$AS:$AS,Detail!$G:$G,'Rates-Service Fees'!ZL$23,Detail!$H:$H,'Rates-Service Fees'!ZL$20)*100</f>
        <v>0</v>
      </c>
      <c r="ZM40">
        <f>SUMIFS(Detail!$AS:$AS,Detail!$G:$G,'Rates-Service Fees'!ZM$23,Detail!$H:$H,'Rates-Service Fees'!ZM$20)*100</f>
        <v>0</v>
      </c>
      <c r="ZN40">
        <f>SUMIFS(Detail!$AS:$AS,Detail!$G:$G,'Rates-Service Fees'!ZN$23,Detail!$H:$H,'Rates-Service Fees'!ZN$20)*100</f>
        <v>0</v>
      </c>
      <c r="ZO40">
        <f>SUMIFS(Detail!$AS:$AS,Detail!$G:$G,'Rates-Service Fees'!ZO$23,Detail!$H:$H,'Rates-Service Fees'!ZO$20)*100</f>
        <v>0</v>
      </c>
      <c r="ZP40">
        <f>SUMIFS(Detail!$AS:$AS,Detail!$G:$G,'Rates-Service Fees'!ZP$23,Detail!$H:$H,'Rates-Service Fees'!ZP$20)*100</f>
        <v>0</v>
      </c>
      <c r="ZQ40">
        <f>SUMIFS(Detail!$AS:$AS,Detail!$G:$G,'Rates-Service Fees'!ZQ$23,Detail!$H:$H,'Rates-Service Fees'!ZQ$20)*100</f>
        <v>0</v>
      </c>
      <c r="ZR40">
        <f>SUMIFS(Detail!$AS:$AS,Detail!$G:$G,'Rates-Service Fees'!ZR$23,Detail!$H:$H,'Rates-Service Fees'!ZR$20)*100</f>
        <v>0</v>
      </c>
      <c r="ZS40">
        <f>SUMIFS(Detail!$AS:$AS,Detail!$G:$G,'Rates-Service Fees'!ZS$23,Detail!$H:$H,'Rates-Service Fees'!ZS$20)*100</f>
        <v>0</v>
      </c>
      <c r="ZT40">
        <f>SUMIFS(Detail!$AS:$AS,Detail!$G:$G,'Rates-Service Fees'!ZT$23,Detail!$H:$H,'Rates-Service Fees'!ZT$20)*100</f>
        <v>0</v>
      </c>
      <c r="ZU40">
        <f>SUMIFS(Detail!$AS:$AS,Detail!$G:$G,'Rates-Service Fees'!ZU$23,Detail!$H:$H,'Rates-Service Fees'!ZU$20)*100</f>
        <v>0</v>
      </c>
      <c r="ZV40">
        <f>SUMIFS(Detail!$AS:$AS,Detail!$G:$G,'Rates-Service Fees'!ZV$23,Detail!$H:$H,'Rates-Service Fees'!ZV$20)*100</f>
        <v>0</v>
      </c>
      <c r="ZW40">
        <f>SUMIFS(Detail!$AS:$AS,Detail!$G:$G,'Rates-Service Fees'!ZW$23,Detail!$H:$H,'Rates-Service Fees'!ZW$20)*100</f>
        <v>0</v>
      </c>
      <c r="ZX40">
        <f>SUMIFS(Detail!$AS:$AS,Detail!$G:$G,'Rates-Service Fees'!ZX$23,Detail!$H:$H,'Rates-Service Fees'!ZX$20)*100</f>
        <v>0</v>
      </c>
      <c r="ZY40">
        <f>SUMIFS(Detail!$AS:$AS,Detail!$G:$G,'Rates-Service Fees'!ZY$23,Detail!$H:$H,'Rates-Service Fees'!ZY$20)*100</f>
        <v>0</v>
      </c>
      <c r="ZZ40">
        <f>SUMIFS(Detail!$AS:$AS,Detail!$G:$G,'Rates-Service Fees'!ZZ$23,Detail!$H:$H,'Rates-Service Fees'!ZZ$20)*100</f>
        <v>0</v>
      </c>
      <c r="AAA40">
        <f>SUMIFS(Detail!$AS:$AS,Detail!$G:$G,'Rates-Service Fees'!AAA$23,Detail!$H:$H,'Rates-Service Fees'!AAA$20)*100</f>
        <v>0</v>
      </c>
      <c r="AAB40">
        <f>SUMIFS(Detail!$AS:$AS,Detail!$G:$G,'Rates-Service Fees'!AAB$23,Detail!$H:$H,'Rates-Service Fees'!AAB$20)*100</f>
        <v>0</v>
      </c>
      <c r="AAC40">
        <f>SUMIFS(Detail!$AS:$AS,Detail!$G:$G,'Rates-Service Fees'!AAC$23,Detail!$H:$H,'Rates-Service Fees'!AAC$20)*100</f>
        <v>0</v>
      </c>
      <c r="AAD40">
        <f>SUMIFS(Detail!$AS:$AS,Detail!$G:$G,'Rates-Service Fees'!AAD$23,Detail!$H:$H,'Rates-Service Fees'!AAD$20)*100</f>
        <v>0</v>
      </c>
      <c r="AAE40">
        <f>SUMIFS(Detail!$AS:$AS,Detail!$G:$G,'Rates-Service Fees'!AAE$23,Detail!$H:$H,'Rates-Service Fees'!AAE$20)*100</f>
        <v>0</v>
      </c>
      <c r="AAF40">
        <f>SUMIFS(Detail!$AS:$AS,Detail!$G:$G,'Rates-Service Fees'!AAF$23,Detail!$H:$H,'Rates-Service Fees'!AAF$20)*100</f>
        <v>0</v>
      </c>
      <c r="AAG40">
        <f>SUMIFS(Detail!$AS:$AS,Detail!$G:$G,'Rates-Service Fees'!AAG$23,Detail!$H:$H,'Rates-Service Fees'!AAG$20)*100</f>
        <v>0</v>
      </c>
      <c r="AAH40">
        <f>SUMIFS(Detail!$AS:$AS,Detail!$G:$G,'Rates-Service Fees'!AAH$23,Detail!$H:$H,'Rates-Service Fees'!AAH$20)*100</f>
        <v>0</v>
      </c>
      <c r="AAI40">
        <f>SUMIFS(Detail!$AS:$AS,Detail!$G:$G,'Rates-Service Fees'!AAI$23,Detail!$H:$H,'Rates-Service Fees'!AAI$20)*100</f>
        <v>0</v>
      </c>
      <c r="AAJ40">
        <f>SUMIFS(Detail!$AS:$AS,Detail!$G:$G,'Rates-Service Fees'!AAJ$23,Detail!$H:$H,'Rates-Service Fees'!AAJ$20)*100</f>
        <v>0</v>
      </c>
      <c r="AAK40">
        <f>SUMIFS(Detail!$AS:$AS,Detail!$G:$G,'Rates-Service Fees'!AAK$23,Detail!$H:$H,'Rates-Service Fees'!AAK$20)*100</f>
        <v>0</v>
      </c>
      <c r="AAL40">
        <f>SUMIFS(Detail!$AS:$AS,Detail!$G:$G,'Rates-Service Fees'!AAL$23,Detail!$H:$H,'Rates-Service Fees'!AAL$20)*100</f>
        <v>0</v>
      </c>
      <c r="AAM40">
        <f>SUMIFS(Detail!$AS:$AS,Detail!$G:$G,'Rates-Service Fees'!AAM$23,Detail!$H:$H,'Rates-Service Fees'!AAM$20)*100</f>
        <v>0</v>
      </c>
      <c r="AAN40">
        <f>SUMIFS(Detail!$AS:$AS,Detail!$G:$G,'Rates-Service Fees'!AAN$23,Detail!$H:$H,'Rates-Service Fees'!AAN$20)*100</f>
        <v>0</v>
      </c>
      <c r="AAO40">
        <f>SUMIFS(Detail!$AS:$AS,Detail!$G:$G,'Rates-Service Fees'!AAO$23,Detail!$H:$H,'Rates-Service Fees'!AAO$20)*100</f>
        <v>0</v>
      </c>
      <c r="AAP40">
        <f>SUMIFS(Detail!$AS:$AS,Detail!$G:$G,'Rates-Service Fees'!AAP$23,Detail!$H:$H,'Rates-Service Fees'!AAP$20)*100</f>
        <v>0</v>
      </c>
      <c r="AAQ40">
        <f>SUMIFS(Detail!$AS:$AS,Detail!$G:$G,'Rates-Service Fees'!AAQ$23,Detail!$H:$H,'Rates-Service Fees'!AAQ$20)*100</f>
        <v>0</v>
      </c>
      <c r="AAR40">
        <f>SUMIFS(Detail!$AS:$AS,Detail!$G:$G,'Rates-Service Fees'!AAR$23,Detail!$H:$H,'Rates-Service Fees'!AAR$20)*100</f>
        <v>0</v>
      </c>
      <c r="AAS40">
        <f>SUMIFS(Detail!$AS:$AS,Detail!$G:$G,'Rates-Service Fees'!AAS$23,Detail!$H:$H,'Rates-Service Fees'!AAS$20)*100</f>
        <v>0</v>
      </c>
      <c r="AAT40">
        <f>SUMIFS(Detail!$AS:$AS,Detail!$G:$G,'Rates-Service Fees'!AAT$23,Detail!$H:$H,'Rates-Service Fees'!AAT$20)*100</f>
        <v>0</v>
      </c>
      <c r="AAU40">
        <f>SUMIFS(Detail!$AS:$AS,Detail!$G:$G,'Rates-Service Fees'!AAU$23,Detail!$H:$H,'Rates-Service Fees'!AAU$20)*100</f>
        <v>0</v>
      </c>
      <c r="AAV40">
        <f>SUMIFS(Detail!$AS:$AS,Detail!$G:$G,'Rates-Service Fees'!AAV$23,Detail!$H:$H,'Rates-Service Fees'!AAV$20)*100</f>
        <v>0</v>
      </c>
      <c r="AAW40">
        <f>SUMIFS(Detail!$AS:$AS,Detail!$G:$G,'Rates-Service Fees'!AAW$23,Detail!$H:$H,'Rates-Service Fees'!AAW$20)*100</f>
        <v>0</v>
      </c>
      <c r="AAX40">
        <f>SUMIFS(Detail!$AS:$AS,Detail!$G:$G,'Rates-Service Fees'!AAX$23,Detail!$H:$H,'Rates-Service Fees'!AAX$20)*100</f>
        <v>0</v>
      </c>
      <c r="AAY40">
        <f>SUMIFS(Detail!$AS:$AS,Detail!$G:$G,'Rates-Service Fees'!AAY$23,Detail!$H:$H,'Rates-Service Fees'!AAY$20)*100</f>
        <v>0</v>
      </c>
      <c r="AAZ40">
        <f>SUMIFS(Detail!$AS:$AS,Detail!$G:$G,'Rates-Service Fees'!AAZ$23,Detail!$H:$H,'Rates-Service Fees'!AAZ$20)*100</f>
        <v>0</v>
      </c>
      <c r="ABA40">
        <f>SUMIFS(Detail!$AS:$AS,Detail!$G:$G,'Rates-Service Fees'!ABA$23,Detail!$H:$H,'Rates-Service Fees'!ABA$20)*100</f>
        <v>0</v>
      </c>
      <c r="ABB40">
        <f>SUMIFS(Detail!$AS:$AS,Detail!$G:$G,'Rates-Service Fees'!ABB$23,Detail!$H:$H,'Rates-Service Fees'!ABB$20)*100</f>
        <v>0</v>
      </c>
      <c r="ABC40">
        <f>SUMIFS(Detail!$AS:$AS,Detail!$G:$G,'Rates-Service Fees'!ABC$23,Detail!$H:$H,'Rates-Service Fees'!ABC$20)*100</f>
        <v>0</v>
      </c>
      <c r="ABD40">
        <f>SUMIFS(Detail!$AS:$AS,Detail!$G:$G,'Rates-Service Fees'!ABD$23,Detail!$H:$H,'Rates-Service Fees'!ABD$20)*100</f>
        <v>0</v>
      </c>
      <c r="ABE40">
        <f>SUMIFS(Detail!$AS:$AS,Detail!$G:$G,'Rates-Service Fees'!ABE$23,Detail!$H:$H,'Rates-Service Fees'!ABE$20)*100</f>
        <v>0</v>
      </c>
      <c r="ABF40">
        <f>SUMIFS(Detail!$AS:$AS,Detail!$G:$G,'Rates-Service Fees'!ABF$23,Detail!$H:$H,'Rates-Service Fees'!ABF$20)*100</f>
        <v>0</v>
      </c>
      <c r="ABG40">
        <f>SUMIFS(Detail!$AS:$AS,Detail!$G:$G,'Rates-Service Fees'!ABG$23,Detail!$H:$H,'Rates-Service Fees'!ABG$20)*100</f>
        <v>0</v>
      </c>
      <c r="ABH40">
        <f>SUMIFS(Detail!$AS:$AS,Detail!$G:$G,'Rates-Service Fees'!ABH$23,Detail!$H:$H,'Rates-Service Fees'!ABH$20)*100</f>
        <v>0</v>
      </c>
      <c r="ABI40">
        <f>SUMIFS(Detail!$AS:$AS,Detail!$G:$G,'Rates-Service Fees'!ABI$23,Detail!$H:$H,'Rates-Service Fees'!ABI$20)*100</f>
        <v>0</v>
      </c>
      <c r="ABJ40">
        <f>SUMIFS(Detail!$AS:$AS,Detail!$G:$G,'Rates-Service Fees'!ABJ$23,Detail!$H:$H,'Rates-Service Fees'!ABJ$20)*100</f>
        <v>0</v>
      </c>
      <c r="ABK40">
        <f>SUMIFS(Detail!$AS:$AS,Detail!$G:$G,'Rates-Service Fees'!ABK$23,Detail!$H:$H,'Rates-Service Fees'!ABK$20)*100</f>
        <v>0</v>
      </c>
      <c r="ABL40">
        <f>SUMIFS(Detail!$AS:$AS,Detail!$G:$G,'Rates-Service Fees'!ABL$23,Detail!$H:$H,'Rates-Service Fees'!ABL$20)*100</f>
        <v>0</v>
      </c>
      <c r="ABM40">
        <f>SUMIFS(Detail!$AS:$AS,Detail!$G:$G,'Rates-Service Fees'!ABM$23,Detail!$H:$H,'Rates-Service Fees'!ABM$20)*100</f>
        <v>0</v>
      </c>
      <c r="ABN40">
        <f>SUMIFS(Detail!$AS:$AS,Detail!$G:$G,'Rates-Service Fees'!ABN$23,Detail!$H:$H,'Rates-Service Fees'!ABN$20)*100</f>
        <v>0</v>
      </c>
      <c r="ABO40">
        <f>SUMIFS(Detail!$AS:$AS,Detail!$G:$G,'Rates-Service Fees'!ABO$23,Detail!$H:$H,'Rates-Service Fees'!ABO$20)*100</f>
        <v>0</v>
      </c>
      <c r="ABP40">
        <f>SUMIFS(Detail!$AS:$AS,Detail!$G:$G,'Rates-Service Fees'!ABP$23,Detail!$H:$H,'Rates-Service Fees'!ABP$20)*100</f>
        <v>0</v>
      </c>
      <c r="ABQ40">
        <f>SUMIFS(Detail!$AS:$AS,Detail!$G:$G,'Rates-Service Fees'!ABQ$23,Detail!$H:$H,'Rates-Service Fees'!ABQ$20)*100</f>
        <v>0</v>
      </c>
      <c r="ABR40">
        <f>SUMIFS(Detail!$AS:$AS,Detail!$G:$G,'Rates-Service Fees'!ABR$23,Detail!$H:$H,'Rates-Service Fees'!ABR$20)*100</f>
        <v>0</v>
      </c>
      <c r="ABS40">
        <f>SUMIFS(Detail!$AS:$AS,Detail!$G:$G,'Rates-Service Fees'!ABS$23,Detail!$H:$H,'Rates-Service Fees'!ABS$20)*100</f>
        <v>0</v>
      </c>
      <c r="ABT40">
        <f>SUMIFS(Detail!$AS:$AS,Detail!$G:$G,'Rates-Service Fees'!ABT$23,Detail!$H:$H,'Rates-Service Fees'!ABT$20)*100</f>
        <v>0</v>
      </c>
      <c r="ABU40">
        <f>SUMIFS(Detail!$AS:$AS,Detail!$G:$G,'Rates-Service Fees'!ABU$23,Detail!$H:$H,'Rates-Service Fees'!ABU$20)*100</f>
        <v>0</v>
      </c>
      <c r="ABV40">
        <f>SUMIFS(Detail!$AS:$AS,Detail!$G:$G,'Rates-Service Fees'!ABV$23,Detail!$H:$H,'Rates-Service Fees'!ABV$20)*100</f>
        <v>0</v>
      </c>
      <c r="ABW40">
        <f>SUMIFS(Detail!$AS:$AS,Detail!$G:$G,'Rates-Service Fees'!ABW$23,Detail!$H:$H,'Rates-Service Fees'!ABW$20)*100</f>
        <v>0</v>
      </c>
      <c r="ABX40">
        <f>SUMIFS(Detail!$AS:$AS,Detail!$G:$G,'Rates-Service Fees'!ABX$23,Detail!$H:$H,'Rates-Service Fees'!ABX$20)*100</f>
        <v>0</v>
      </c>
      <c r="ABY40">
        <f>SUMIFS(Detail!$AS:$AS,Detail!$G:$G,'Rates-Service Fees'!ABY$23,Detail!$H:$H,'Rates-Service Fees'!ABY$20)*100</f>
        <v>0</v>
      </c>
      <c r="ABZ40">
        <f>SUMIFS(Detail!$AS:$AS,Detail!$G:$G,'Rates-Service Fees'!ABZ$23,Detail!$H:$H,'Rates-Service Fees'!ABZ$20)*100</f>
        <v>0</v>
      </c>
      <c r="ACA40">
        <f>SUMIFS(Detail!$AS:$AS,Detail!$G:$G,'Rates-Service Fees'!ACA$23,Detail!$H:$H,'Rates-Service Fees'!ACA$20)*100</f>
        <v>0</v>
      </c>
      <c r="ACB40">
        <f>SUMIFS(Detail!$AS:$AS,Detail!$G:$G,'Rates-Service Fees'!ACB$23,Detail!$H:$H,'Rates-Service Fees'!ACB$20)*100</f>
        <v>0</v>
      </c>
      <c r="ACC40">
        <f>SUMIFS(Detail!$AS:$AS,Detail!$G:$G,'Rates-Service Fees'!ACC$23,Detail!$H:$H,'Rates-Service Fees'!ACC$20)*100</f>
        <v>0</v>
      </c>
      <c r="ACD40">
        <f>SUMIFS(Detail!$AS:$AS,Detail!$G:$G,'Rates-Service Fees'!ACD$23,Detail!$H:$H,'Rates-Service Fees'!ACD$20)*100</f>
        <v>0</v>
      </c>
      <c r="ACE40">
        <f>SUMIFS(Detail!$AS:$AS,Detail!$G:$G,'Rates-Service Fees'!ACE$23,Detail!$H:$H,'Rates-Service Fees'!ACE$20)*100</f>
        <v>0</v>
      </c>
      <c r="ACF40">
        <f>SUMIFS(Detail!$AS:$AS,Detail!$G:$G,'Rates-Service Fees'!ACF$23,Detail!$H:$H,'Rates-Service Fees'!ACF$20)*100</f>
        <v>0</v>
      </c>
      <c r="ACG40">
        <f>SUMIFS(Detail!$AS:$AS,Detail!$G:$G,'Rates-Service Fees'!ACG$23,Detail!$H:$H,'Rates-Service Fees'!ACG$20)*100</f>
        <v>0</v>
      </c>
      <c r="ACH40">
        <f>SUMIFS(Detail!$AS:$AS,Detail!$G:$G,'Rates-Service Fees'!ACH$23,Detail!$H:$H,'Rates-Service Fees'!ACH$20)*100</f>
        <v>0</v>
      </c>
      <c r="ACI40">
        <f>SUMIFS(Detail!$AS:$AS,Detail!$G:$G,'Rates-Service Fees'!ACI$23,Detail!$H:$H,'Rates-Service Fees'!ACI$20)*100</f>
        <v>0</v>
      </c>
      <c r="ACJ40">
        <f>SUMIFS(Detail!$AS:$AS,Detail!$G:$G,'Rates-Service Fees'!ACJ$23,Detail!$H:$H,'Rates-Service Fees'!ACJ$20)*100</f>
        <v>0</v>
      </c>
      <c r="ACK40">
        <f>SUMIFS(Detail!$AS:$AS,Detail!$G:$G,'Rates-Service Fees'!ACK$23,Detail!$H:$H,'Rates-Service Fees'!ACK$20)*100</f>
        <v>0</v>
      </c>
      <c r="ACL40">
        <f>SUMIFS(Detail!$AS:$AS,Detail!$G:$G,'Rates-Service Fees'!ACL$23,Detail!$H:$H,'Rates-Service Fees'!ACL$20)*100</f>
        <v>0</v>
      </c>
      <c r="ACM40">
        <f>SUMIFS(Detail!$AS:$AS,Detail!$G:$G,'Rates-Service Fees'!ACM$23,Detail!$H:$H,'Rates-Service Fees'!ACM$20)*100</f>
        <v>0</v>
      </c>
      <c r="ACN40">
        <f>SUMIFS(Detail!$AS:$AS,Detail!$G:$G,'Rates-Service Fees'!ACN$23,Detail!$H:$H,'Rates-Service Fees'!ACN$20)*100</f>
        <v>0</v>
      </c>
      <c r="ACO40">
        <f>SUMIFS(Detail!$AS:$AS,Detail!$G:$G,'Rates-Service Fees'!ACO$23,Detail!$H:$H,'Rates-Service Fees'!ACO$20)*100</f>
        <v>0</v>
      </c>
      <c r="ACP40">
        <f>SUMIFS(Detail!$AS:$AS,Detail!$G:$G,'Rates-Service Fees'!ACP$23,Detail!$H:$H,'Rates-Service Fees'!ACP$20)*100</f>
        <v>0</v>
      </c>
      <c r="ACQ40">
        <f>SUMIFS(Detail!$AS:$AS,Detail!$G:$G,'Rates-Service Fees'!ACQ$23,Detail!$H:$H,'Rates-Service Fees'!ACQ$20)*100</f>
        <v>0</v>
      </c>
      <c r="ACR40">
        <f>SUMIFS(Detail!$AS:$AS,Detail!$G:$G,'Rates-Service Fees'!ACR$23,Detail!$H:$H,'Rates-Service Fees'!ACR$20)*100</f>
        <v>0</v>
      </c>
      <c r="ACS40">
        <f>SUMIFS(Detail!$AS:$AS,Detail!$G:$G,'Rates-Service Fees'!ACS$23,Detail!$H:$H,'Rates-Service Fees'!ACS$20)*100</f>
        <v>0</v>
      </c>
      <c r="ACT40">
        <f>SUMIFS(Detail!$AS:$AS,Detail!$G:$G,'Rates-Service Fees'!ACT$23,Detail!$H:$H,'Rates-Service Fees'!ACT$20)*100</f>
        <v>0</v>
      </c>
      <c r="ACU40">
        <f>SUMIFS(Detail!$AS:$AS,Detail!$G:$G,'Rates-Service Fees'!ACU$23,Detail!$H:$H,'Rates-Service Fees'!ACU$20)*100</f>
        <v>0</v>
      </c>
      <c r="ACV40">
        <f>SUMIFS(Detail!$AS:$AS,Detail!$G:$G,'Rates-Service Fees'!ACV$23,Detail!$H:$H,'Rates-Service Fees'!ACV$20)*100</f>
        <v>0</v>
      </c>
      <c r="ACW40">
        <f>SUMIFS(Detail!$AS:$AS,Detail!$G:$G,'Rates-Service Fees'!ACW$23,Detail!$H:$H,'Rates-Service Fees'!ACW$20)*100</f>
        <v>0</v>
      </c>
      <c r="ACX40">
        <f>SUMIFS(Detail!$AS:$AS,Detail!$G:$G,'Rates-Service Fees'!ACX$23,Detail!$H:$H,'Rates-Service Fees'!ACX$20)*100</f>
        <v>0</v>
      </c>
      <c r="ACY40">
        <f>SUMIFS(Detail!$AS:$AS,Detail!$G:$G,'Rates-Service Fees'!ACY$23,Detail!$H:$H,'Rates-Service Fees'!ACY$20)*100</f>
        <v>0</v>
      </c>
      <c r="ACZ40">
        <f>SUMIFS(Detail!$AS:$AS,Detail!$G:$G,'Rates-Service Fees'!ACZ$23,Detail!$H:$H,'Rates-Service Fees'!ACZ$20)*100</f>
        <v>0</v>
      </c>
      <c r="ADA40">
        <f>SUMIFS(Detail!$AS:$AS,Detail!$G:$G,'Rates-Service Fees'!ADA$23,Detail!$H:$H,'Rates-Service Fees'!ADA$20)*100</f>
        <v>0</v>
      </c>
      <c r="ADB40">
        <f>SUMIFS(Detail!$AS:$AS,Detail!$G:$G,'Rates-Service Fees'!ADB$23,Detail!$H:$H,'Rates-Service Fees'!ADB$20)*100</f>
        <v>0</v>
      </c>
      <c r="ADC40">
        <f>SUMIFS(Detail!$AS:$AS,Detail!$G:$G,'Rates-Service Fees'!ADC$23,Detail!$H:$H,'Rates-Service Fees'!ADC$20)*100</f>
        <v>0</v>
      </c>
      <c r="ADD40">
        <f>SUMIFS(Detail!$AS:$AS,Detail!$G:$G,'Rates-Service Fees'!ADD$23,Detail!$H:$H,'Rates-Service Fees'!ADD$20)*100</f>
        <v>0</v>
      </c>
      <c r="ADE40">
        <f>SUMIFS(Detail!$AS:$AS,Detail!$G:$G,'Rates-Service Fees'!ADE$23,Detail!$H:$H,'Rates-Service Fees'!ADE$20)*100</f>
        <v>0</v>
      </c>
      <c r="ADF40">
        <f>SUMIFS(Detail!$AS:$AS,Detail!$G:$G,'Rates-Service Fees'!ADF$23,Detail!$H:$H,'Rates-Service Fees'!ADF$20)*100</f>
        <v>0</v>
      </c>
      <c r="ADG40">
        <f>SUMIFS(Detail!$AS:$AS,Detail!$G:$G,'Rates-Service Fees'!ADG$23,Detail!$H:$H,'Rates-Service Fees'!ADG$20)*100</f>
        <v>0</v>
      </c>
      <c r="ADH40">
        <f>SUMIFS(Detail!$AS:$AS,Detail!$G:$G,'Rates-Service Fees'!ADH$23,Detail!$H:$H,'Rates-Service Fees'!ADH$20)*100</f>
        <v>0</v>
      </c>
      <c r="ADI40">
        <f>SUMIFS(Detail!$AS:$AS,Detail!$G:$G,'Rates-Service Fees'!ADI$23,Detail!$H:$H,'Rates-Service Fees'!ADI$20)*100</f>
        <v>0</v>
      </c>
      <c r="ADJ40">
        <f>SUMIFS(Detail!$AS:$AS,Detail!$G:$G,'Rates-Service Fees'!ADJ$23,Detail!$H:$H,'Rates-Service Fees'!ADJ$20)*100</f>
        <v>0</v>
      </c>
      <c r="ADK40">
        <f>SUMIFS(Detail!$AS:$AS,Detail!$G:$G,'Rates-Service Fees'!ADK$23,Detail!$H:$H,'Rates-Service Fees'!ADK$20)*100</f>
        <v>0</v>
      </c>
      <c r="ADL40">
        <f>SUMIFS(Detail!$AS:$AS,Detail!$G:$G,'Rates-Service Fees'!ADL$23,Detail!$H:$H,'Rates-Service Fees'!ADL$20)*100</f>
        <v>0</v>
      </c>
      <c r="ADM40">
        <f>SUMIFS(Detail!$AS:$AS,Detail!$G:$G,'Rates-Service Fees'!ADM$23,Detail!$H:$H,'Rates-Service Fees'!ADM$20)*100</f>
        <v>0</v>
      </c>
      <c r="ADN40">
        <f>SUMIFS(Detail!$AS:$AS,Detail!$G:$G,'Rates-Service Fees'!ADN$23,Detail!$H:$H,'Rates-Service Fees'!ADN$20)*100</f>
        <v>0</v>
      </c>
      <c r="ADO40">
        <f>SUMIFS(Detail!$AS:$AS,Detail!$G:$G,'Rates-Service Fees'!ADO$23,Detail!$H:$H,'Rates-Service Fees'!ADO$20)*100</f>
        <v>0</v>
      </c>
      <c r="ADP40">
        <f>SUMIFS(Detail!$AS:$AS,Detail!$G:$G,'Rates-Service Fees'!ADP$23,Detail!$H:$H,'Rates-Service Fees'!ADP$20)*100</f>
        <v>0</v>
      </c>
      <c r="ADQ40">
        <f>SUMIFS(Detail!$AS:$AS,Detail!$G:$G,'Rates-Service Fees'!ADQ$23,Detail!$H:$H,'Rates-Service Fees'!ADQ$20)*100</f>
        <v>0</v>
      </c>
      <c r="ADR40">
        <f>SUMIFS(Detail!$AS:$AS,Detail!$G:$G,'Rates-Service Fees'!ADR$23,Detail!$H:$H,'Rates-Service Fees'!ADR$20)*100</f>
        <v>0</v>
      </c>
      <c r="ADS40">
        <f>SUMIFS(Detail!$AS:$AS,Detail!$G:$G,'Rates-Service Fees'!ADS$23,Detail!$H:$H,'Rates-Service Fees'!ADS$20)*100</f>
        <v>0</v>
      </c>
      <c r="ADT40">
        <f>SUMIFS(Detail!$AS:$AS,Detail!$G:$G,'Rates-Service Fees'!ADT$23,Detail!$H:$H,'Rates-Service Fees'!ADT$20)*100</f>
        <v>0</v>
      </c>
      <c r="ADU40">
        <f>SUMIFS(Detail!$AS:$AS,Detail!$G:$G,'Rates-Service Fees'!ADU$23,Detail!$H:$H,'Rates-Service Fees'!ADU$20)*100</f>
        <v>0</v>
      </c>
      <c r="ADV40">
        <f>SUMIFS(Detail!$AS:$AS,Detail!$G:$G,'Rates-Service Fees'!ADV$23,Detail!$H:$H,'Rates-Service Fees'!ADV$20)*100</f>
        <v>0</v>
      </c>
      <c r="ADW40">
        <f>SUMIFS(Detail!$AS:$AS,Detail!$G:$G,'Rates-Service Fees'!ADW$23,Detail!$H:$H,'Rates-Service Fees'!ADW$20)*100</f>
        <v>0</v>
      </c>
      <c r="ADX40">
        <f>SUMIFS(Detail!$AS:$AS,Detail!$G:$G,'Rates-Service Fees'!ADX$23,Detail!$H:$H,'Rates-Service Fees'!ADX$20)*100</f>
        <v>0</v>
      </c>
      <c r="ADY40">
        <f>SUMIFS(Detail!$AS:$AS,Detail!$G:$G,'Rates-Service Fees'!ADY$23,Detail!$H:$H,'Rates-Service Fees'!ADY$20)*100</f>
        <v>0</v>
      </c>
      <c r="ADZ40">
        <f>SUMIFS(Detail!$AS:$AS,Detail!$G:$G,'Rates-Service Fees'!ADZ$23,Detail!$H:$H,'Rates-Service Fees'!ADZ$20)*100</f>
        <v>0</v>
      </c>
      <c r="AEA40">
        <f>SUMIFS(Detail!$AS:$AS,Detail!$G:$G,'Rates-Service Fees'!AEA$23,Detail!$H:$H,'Rates-Service Fees'!AEA$20)*100</f>
        <v>0</v>
      </c>
      <c r="AEB40">
        <f>SUMIFS(Detail!$AS:$AS,Detail!$G:$G,'Rates-Service Fees'!AEB$23,Detail!$H:$H,'Rates-Service Fees'!AEB$20)*100</f>
        <v>0</v>
      </c>
      <c r="AEC40">
        <f>SUMIFS(Detail!$AS:$AS,Detail!$G:$G,'Rates-Service Fees'!AEC$23,Detail!$H:$H,'Rates-Service Fees'!AEC$20)*100</f>
        <v>0</v>
      </c>
      <c r="AED40">
        <f>SUMIFS(Detail!$AS:$AS,Detail!$G:$G,'Rates-Service Fees'!AED$23,Detail!$H:$H,'Rates-Service Fees'!AED$20)*100</f>
        <v>0</v>
      </c>
      <c r="AEE40">
        <f>SUMIFS(Detail!$AS:$AS,Detail!$G:$G,'Rates-Service Fees'!AEE$23,Detail!$H:$H,'Rates-Service Fees'!AEE$20)*100</f>
        <v>0</v>
      </c>
      <c r="AEF40">
        <f>SUMIFS(Detail!$AS:$AS,Detail!$G:$G,'Rates-Service Fees'!AEF$23,Detail!$H:$H,'Rates-Service Fees'!AEF$20)*100</f>
        <v>0</v>
      </c>
      <c r="AEG40">
        <f>SUMIFS(Detail!$AS:$AS,Detail!$G:$G,'Rates-Service Fees'!AEG$23,Detail!$H:$H,'Rates-Service Fees'!AEG$20)*100</f>
        <v>0</v>
      </c>
      <c r="AEH40">
        <f>SUMIFS(Detail!$AS:$AS,Detail!$G:$G,'Rates-Service Fees'!AEH$23,Detail!$H:$H,'Rates-Service Fees'!AEH$20)*100</f>
        <v>0</v>
      </c>
      <c r="AEI40">
        <f>SUMIFS(Detail!$AS:$AS,Detail!$G:$G,'Rates-Service Fees'!AEI$23,Detail!$H:$H,'Rates-Service Fees'!AEI$20)*100</f>
        <v>0</v>
      </c>
      <c r="AEJ40">
        <f>SUMIFS(Detail!$AS:$AS,Detail!$G:$G,'Rates-Service Fees'!AEJ$23,Detail!$H:$H,'Rates-Service Fees'!AEJ$20)*100</f>
        <v>0</v>
      </c>
      <c r="AEK40">
        <f>SUMIFS(Detail!$AS:$AS,Detail!$G:$G,'Rates-Service Fees'!AEK$23,Detail!$H:$H,'Rates-Service Fees'!AEK$20)*100</f>
        <v>0</v>
      </c>
      <c r="AEL40">
        <f>SUMIFS(Detail!$AS:$AS,Detail!$G:$G,'Rates-Service Fees'!AEL$23,Detail!$H:$H,'Rates-Service Fees'!AEL$20)*100</f>
        <v>0</v>
      </c>
      <c r="AEM40">
        <f>SUMIFS(Detail!$AS:$AS,Detail!$G:$G,'Rates-Service Fees'!AEM$23,Detail!$H:$H,'Rates-Service Fees'!AEM$20)*100</f>
        <v>0</v>
      </c>
      <c r="AEN40">
        <f>SUMIFS(Detail!$AS:$AS,Detail!$G:$G,'Rates-Service Fees'!AEN$23,Detail!$H:$H,'Rates-Service Fees'!AEN$20)*100</f>
        <v>0</v>
      </c>
      <c r="AEO40">
        <f>SUMIFS(Detail!$AS:$AS,Detail!$G:$G,'Rates-Service Fees'!AEO$23,Detail!$H:$H,'Rates-Service Fees'!AEO$20)*100</f>
        <v>0</v>
      </c>
      <c r="AEP40">
        <f>SUMIFS(Detail!$AS:$AS,Detail!$G:$G,'Rates-Service Fees'!AEP$23,Detail!$H:$H,'Rates-Service Fees'!AEP$20)*100</f>
        <v>0</v>
      </c>
      <c r="AEQ40">
        <f>SUMIFS(Detail!$AS:$AS,Detail!$G:$G,'Rates-Service Fees'!AEQ$23,Detail!$H:$H,'Rates-Service Fees'!AEQ$20)*100</f>
        <v>0</v>
      </c>
      <c r="AER40">
        <f>SUMIFS(Detail!$AS:$AS,Detail!$G:$G,'Rates-Service Fees'!AER$23,Detail!$H:$H,'Rates-Service Fees'!AER$20)*100</f>
        <v>0</v>
      </c>
      <c r="AES40">
        <f>SUMIFS(Detail!$AS:$AS,Detail!$G:$G,'Rates-Service Fees'!AES$23,Detail!$H:$H,'Rates-Service Fees'!AES$20)*100</f>
        <v>0</v>
      </c>
      <c r="AET40">
        <f>SUMIFS(Detail!$AS:$AS,Detail!$G:$G,'Rates-Service Fees'!AET$23,Detail!$H:$H,'Rates-Service Fees'!AET$20)*100</f>
        <v>0</v>
      </c>
      <c r="AEU40">
        <f>SUMIFS(Detail!$AS:$AS,Detail!$G:$G,'Rates-Service Fees'!AEU$23,Detail!$H:$H,'Rates-Service Fees'!AEU$20)*100</f>
        <v>0</v>
      </c>
      <c r="AEV40">
        <f>SUMIFS(Detail!$AS:$AS,Detail!$G:$G,'Rates-Service Fees'!AEV$23,Detail!$H:$H,'Rates-Service Fees'!AEV$20)*100</f>
        <v>0</v>
      </c>
      <c r="AEW40">
        <f>SUMIFS(Detail!$AS:$AS,Detail!$G:$G,'Rates-Service Fees'!AEW$23,Detail!$H:$H,'Rates-Service Fees'!AEW$20)*100</f>
        <v>0</v>
      </c>
      <c r="AEX40">
        <f>SUMIFS(Detail!$AS:$AS,Detail!$G:$G,'Rates-Service Fees'!AEX$23,Detail!$H:$H,'Rates-Service Fees'!AEX$20)*100</f>
        <v>0</v>
      </c>
      <c r="AEY40">
        <f>SUMIFS(Detail!$AS:$AS,Detail!$G:$G,'Rates-Service Fees'!AEY$23,Detail!$H:$H,'Rates-Service Fees'!AEY$20)*100</f>
        <v>0</v>
      </c>
      <c r="AEZ40">
        <f>SUMIFS(Detail!$AS:$AS,Detail!$G:$G,'Rates-Service Fees'!AEZ$23,Detail!$H:$H,'Rates-Service Fees'!AEZ$20)*100</f>
        <v>0</v>
      </c>
      <c r="AFA40">
        <f>SUMIFS(Detail!$AS:$AS,Detail!$G:$G,'Rates-Service Fees'!AFA$23,Detail!$H:$H,'Rates-Service Fees'!AFA$20)*100</f>
        <v>0</v>
      </c>
      <c r="AFB40">
        <f>SUMIFS(Detail!$AS:$AS,Detail!$G:$G,'Rates-Service Fees'!AFB$23,Detail!$H:$H,'Rates-Service Fees'!AFB$20)*100</f>
        <v>0</v>
      </c>
      <c r="AFC40">
        <f>SUMIFS(Detail!$AS:$AS,Detail!$G:$G,'Rates-Service Fees'!AFC$23,Detail!$H:$H,'Rates-Service Fees'!AFC$20)*100</f>
        <v>0</v>
      </c>
      <c r="AFD40">
        <f>SUMIFS(Detail!$AS:$AS,Detail!$G:$G,'Rates-Service Fees'!AFD$23,Detail!$H:$H,'Rates-Service Fees'!AFD$20)*100</f>
        <v>0</v>
      </c>
      <c r="AFE40">
        <f>SUMIFS(Detail!$AS:$AS,Detail!$G:$G,'Rates-Service Fees'!AFE$23,Detail!$H:$H,'Rates-Service Fees'!AFE$20)*100</f>
        <v>0</v>
      </c>
      <c r="AFF40">
        <f>SUMIFS(Detail!$AS:$AS,Detail!$G:$G,'Rates-Service Fees'!AFF$23,Detail!$H:$H,'Rates-Service Fees'!AFF$20)*100</f>
        <v>0</v>
      </c>
      <c r="AFG40">
        <f>SUMIFS(Detail!$AS:$AS,Detail!$G:$G,'Rates-Service Fees'!AFG$23,Detail!$H:$H,'Rates-Service Fees'!AFG$20)*100</f>
        <v>0</v>
      </c>
      <c r="AFH40">
        <f>SUMIFS(Detail!$AS:$AS,Detail!$G:$G,'Rates-Service Fees'!AFH$23,Detail!$H:$H,'Rates-Service Fees'!AFH$20)*100</f>
        <v>0</v>
      </c>
      <c r="AFI40">
        <f>SUMIFS(Detail!$AS:$AS,Detail!$G:$G,'Rates-Service Fees'!AFI$23,Detail!$H:$H,'Rates-Service Fees'!AFI$20)*100</f>
        <v>0</v>
      </c>
      <c r="AFJ40">
        <f>SUMIFS(Detail!$AS:$AS,Detail!$G:$G,'Rates-Service Fees'!AFJ$23,Detail!$H:$H,'Rates-Service Fees'!AFJ$20)*100</f>
        <v>0</v>
      </c>
      <c r="AFK40">
        <f>SUMIFS(Detail!$AS:$AS,Detail!$G:$G,'Rates-Service Fees'!AFK$23,Detail!$H:$H,'Rates-Service Fees'!AFK$20)*100</f>
        <v>0</v>
      </c>
      <c r="AFL40">
        <f>SUMIFS(Detail!$AS:$AS,Detail!$G:$G,'Rates-Service Fees'!AFL$23,Detail!$H:$H,'Rates-Service Fees'!AFL$20)*100</f>
        <v>0</v>
      </c>
      <c r="AFM40">
        <f>SUMIFS(Detail!$AS:$AS,Detail!$G:$G,'Rates-Service Fees'!AFM$23,Detail!$H:$H,'Rates-Service Fees'!AFM$20)*100</f>
        <v>0</v>
      </c>
      <c r="AFN40">
        <f>SUMIFS(Detail!$AS:$AS,Detail!$G:$G,'Rates-Service Fees'!AFN$23,Detail!$H:$H,'Rates-Service Fees'!AFN$20)*100</f>
        <v>0</v>
      </c>
      <c r="AFO40">
        <f>SUMIFS(Detail!$AS:$AS,Detail!$G:$G,'Rates-Service Fees'!AFO$23,Detail!$H:$H,'Rates-Service Fees'!AFO$20)*100</f>
        <v>0</v>
      </c>
      <c r="AFP40">
        <f>SUMIFS(Detail!$AS:$AS,Detail!$G:$G,'Rates-Service Fees'!AFP$23,Detail!$H:$H,'Rates-Service Fees'!AFP$20)*100</f>
        <v>0</v>
      </c>
      <c r="AFQ40">
        <f>SUMIFS(Detail!$AS:$AS,Detail!$G:$G,'Rates-Service Fees'!AFQ$23,Detail!$H:$H,'Rates-Service Fees'!AFQ$20)*100</f>
        <v>0</v>
      </c>
      <c r="AFR40">
        <f>SUMIFS(Detail!$AS:$AS,Detail!$G:$G,'Rates-Service Fees'!AFR$23,Detail!$H:$H,'Rates-Service Fees'!AFR$20)*100</f>
        <v>0</v>
      </c>
      <c r="AFS40">
        <f>SUMIFS(Detail!$AS:$AS,Detail!$G:$G,'Rates-Service Fees'!AFS$23,Detail!$H:$H,'Rates-Service Fees'!AFS$20)*100</f>
        <v>0</v>
      </c>
      <c r="AFT40">
        <f>SUMIFS(Detail!$AS:$AS,Detail!$G:$G,'Rates-Service Fees'!AFT$23,Detail!$H:$H,'Rates-Service Fees'!AFT$20)*100</f>
        <v>0</v>
      </c>
      <c r="AFU40">
        <f>SUMIFS(Detail!$AS:$AS,Detail!$G:$G,'Rates-Service Fees'!AFU$23,Detail!$H:$H,'Rates-Service Fees'!AFU$20)*100</f>
        <v>0</v>
      </c>
      <c r="AFV40">
        <f>SUMIFS(Detail!$AS:$AS,Detail!$G:$G,'Rates-Service Fees'!AFV$23,Detail!$H:$H,'Rates-Service Fees'!AFV$20)*100</f>
        <v>0</v>
      </c>
      <c r="AFW40">
        <f>SUMIFS(Detail!$AS:$AS,Detail!$G:$G,'Rates-Service Fees'!AFW$23,Detail!$H:$H,'Rates-Service Fees'!AFW$20)*100</f>
        <v>0</v>
      </c>
      <c r="AFX40">
        <f>SUMIFS(Detail!$AS:$AS,Detail!$G:$G,'Rates-Service Fees'!AFX$23,Detail!$H:$H,'Rates-Service Fees'!AFX$20)*100</f>
        <v>0</v>
      </c>
      <c r="AFY40">
        <f>SUMIFS(Detail!$AS:$AS,Detail!$G:$G,'Rates-Service Fees'!AFY$23,Detail!$H:$H,'Rates-Service Fees'!AFY$20)*100</f>
        <v>0</v>
      </c>
      <c r="AFZ40">
        <f>SUMIFS(Detail!$AS:$AS,Detail!$G:$G,'Rates-Service Fees'!AFZ$23,Detail!$H:$H,'Rates-Service Fees'!AFZ$20)*100</f>
        <v>0</v>
      </c>
      <c r="AGA40">
        <f>SUMIFS(Detail!$AS:$AS,Detail!$G:$G,'Rates-Service Fees'!AGA$23,Detail!$H:$H,'Rates-Service Fees'!AGA$20)*100</f>
        <v>0</v>
      </c>
      <c r="AGB40">
        <f>SUMIFS(Detail!$AS:$AS,Detail!$G:$G,'Rates-Service Fees'!AGB$23,Detail!$H:$H,'Rates-Service Fees'!AGB$20)*100</f>
        <v>0</v>
      </c>
      <c r="AGC40">
        <f>SUMIFS(Detail!$AS:$AS,Detail!$G:$G,'Rates-Service Fees'!AGC$23,Detail!$H:$H,'Rates-Service Fees'!AGC$20)*100</f>
        <v>0</v>
      </c>
      <c r="AGD40">
        <f>SUMIFS(Detail!$AS:$AS,Detail!$G:$G,'Rates-Service Fees'!AGD$23,Detail!$H:$H,'Rates-Service Fees'!AGD$20)*100</f>
        <v>0</v>
      </c>
      <c r="AGE40">
        <f>SUMIFS(Detail!$AS:$AS,Detail!$G:$G,'Rates-Service Fees'!AGE$23,Detail!$H:$H,'Rates-Service Fees'!AGE$20)*100</f>
        <v>0</v>
      </c>
      <c r="AGF40">
        <f>SUMIFS(Detail!$AS:$AS,Detail!$G:$G,'Rates-Service Fees'!AGF$23,Detail!$H:$H,'Rates-Service Fees'!AGF$20)*100</f>
        <v>0</v>
      </c>
      <c r="AGG40">
        <f>SUMIFS(Detail!$AS:$AS,Detail!$G:$G,'Rates-Service Fees'!AGG$23,Detail!$H:$H,'Rates-Service Fees'!AGG$20)*100</f>
        <v>0</v>
      </c>
      <c r="AGH40">
        <f>SUMIFS(Detail!$AS:$AS,Detail!$G:$G,'Rates-Service Fees'!AGH$23,Detail!$H:$H,'Rates-Service Fees'!AGH$20)*100</f>
        <v>0</v>
      </c>
      <c r="AGI40">
        <f>SUMIFS(Detail!$AS:$AS,Detail!$G:$G,'Rates-Service Fees'!AGI$23,Detail!$H:$H,'Rates-Service Fees'!AGI$20)*100</f>
        <v>0</v>
      </c>
      <c r="AGJ40">
        <f>SUMIFS(Detail!$AS:$AS,Detail!$G:$G,'Rates-Service Fees'!AGJ$23,Detail!$H:$H,'Rates-Service Fees'!AGJ$20)*100</f>
        <v>0</v>
      </c>
      <c r="AGK40">
        <f>SUMIFS(Detail!$AS:$AS,Detail!$G:$G,'Rates-Service Fees'!AGK$23,Detail!$H:$H,'Rates-Service Fees'!AGK$20)*100</f>
        <v>0</v>
      </c>
      <c r="AGL40">
        <f>SUMIFS(Detail!$AS:$AS,Detail!$G:$G,'Rates-Service Fees'!AGL$23,Detail!$H:$H,'Rates-Service Fees'!AGL$20)*100</f>
        <v>0</v>
      </c>
      <c r="AGM40">
        <f>SUMIFS(Detail!$AS:$AS,Detail!$G:$G,'Rates-Service Fees'!AGM$23,Detail!$H:$H,'Rates-Service Fees'!AGM$20)*100</f>
        <v>0</v>
      </c>
      <c r="AGN40">
        <f>SUMIFS(Detail!$AS:$AS,Detail!$G:$G,'Rates-Service Fees'!AGN$23,Detail!$H:$H,'Rates-Service Fees'!AGN$20)*100</f>
        <v>0</v>
      </c>
      <c r="AGO40">
        <f>SUMIFS(Detail!$AS:$AS,Detail!$G:$G,'Rates-Service Fees'!AGO$23,Detail!$H:$H,'Rates-Service Fees'!AGO$20)*100</f>
        <v>0</v>
      </c>
      <c r="AGP40">
        <f>SUMIFS(Detail!$AS:$AS,Detail!$G:$G,'Rates-Service Fees'!AGP$23,Detail!$H:$H,'Rates-Service Fees'!AGP$20)*100</f>
        <v>0</v>
      </c>
      <c r="AGQ40">
        <f>SUMIFS(Detail!$AS:$AS,Detail!$G:$G,'Rates-Service Fees'!AGQ$23,Detail!$H:$H,'Rates-Service Fees'!AGQ$20)*100</f>
        <v>0</v>
      </c>
      <c r="AGR40">
        <f>SUMIFS(Detail!$AS:$AS,Detail!$G:$G,'Rates-Service Fees'!AGR$23,Detail!$H:$H,'Rates-Service Fees'!AGR$20)*100</f>
        <v>0</v>
      </c>
      <c r="AGS40">
        <f>SUMIFS(Detail!$AS:$AS,Detail!$G:$G,'Rates-Service Fees'!AGS$23,Detail!$H:$H,'Rates-Service Fees'!AGS$20)*100</f>
        <v>0</v>
      </c>
      <c r="AGT40">
        <f>SUMIFS(Detail!$AS:$AS,Detail!$G:$G,'Rates-Service Fees'!AGT$23,Detail!$H:$H,'Rates-Service Fees'!AGT$20)*100</f>
        <v>0</v>
      </c>
      <c r="AGU40">
        <f>SUMIFS(Detail!$AS:$AS,Detail!$G:$G,'Rates-Service Fees'!AGU$23,Detail!$H:$H,'Rates-Service Fees'!AGU$20)*100</f>
        <v>0</v>
      </c>
      <c r="AGV40">
        <f>SUMIFS(Detail!$AS:$AS,Detail!$G:$G,'Rates-Service Fees'!AGV$23,Detail!$H:$H,'Rates-Service Fees'!AGV$20)*100</f>
        <v>0</v>
      </c>
      <c r="AGW40">
        <f>SUMIFS(Detail!$AS:$AS,Detail!$G:$G,'Rates-Service Fees'!AGW$23,Detail!$H:$H,'Rates-Service Fees'!AGW$20)*100</f>
        <v>0</v>
      </c>
      <c r="AGX40">
        <f>SUMIFS(Detail!$AS:$AS,Detail!$G:$G,'Rates-Service Fees'!AGX$23,Detail!$H:$H,'Rates-Service Fees'!AGX$20)*100</f>
        <v>0</v>
      </c>
      <c r="AGY40">
        <f>SUMIFS(Detail!$AS:$AS,Detail!$G:$G,'Rates-Service Fees'!AGY$23,Detail!$H:$H,'Rates-Service Fees'!AGY$20)*100</f>
        <v>0</v>
      </c>
      <c r="AGZ40">
        <f>SUMIFS(Detail!$AS:$AS,Detail!$G:$G,'Rates-Service Fees'!AGZ$23,Detail!$H:$H,'Rates-Service Fees'!AGZ$20)*100</f>
        <v>0</v>
      </c>
      <c r="AHA40">
        <f>SUMIFS(Detail!$AS:$AS,Detail!$G:$G,'Rates-Service Fees'!AHA$23,Detail!$H:$H,'Rates-Service Fees'!AHA$20)*100</f>
        <v>0</v>
      </c>
      <c r="AHB40">
        <f>SUMIFS(Detail!$AS:$AS,Detail!$G:$G,'Rates-Service Fees'!AHB$23,Detail!$H:$H,'Rates-Service Fees'!AHB$20)*100</f>
        <v>0</v>
      </c>
      <c r="AHC40">
        <f>SUMIFS(Detail!$AS:$AS,Detail!$G:$G,'Rates-Service Fees'!AHC$23,Detail!$H:$H,'Rates-Service Fees'!AHC$20)*100</f>
        <v>0</v>
      </c>
      <c r="AHD40">
        <f>SUMIFS(Detail!$AS:$AS,Detail!$G:$G,'Rates-Service Fees'!AHD$23,Detail!$H:$H,'Rates-Service Fees'!AHD$20)*100</f>
        <v>0</v>
      </c>
      <c r="AHE40">
        <f>SUMIFS(Detail!$AS:$AS,Detail!$G:$G,'Rates-Service Fees'!AHE$23,Detail!$H:$H,'Rates-Service Fees'!AHE$20)*100</f>
        <v>0</v>
      </c>
      <c r="AHF40">
        <f>SUMIFS(Detail!$AS:$AS,Detail!$G:$G,'Rates-Service Fees'!AHF$23,Detail!$H:$H,'Rates-Service Fees'!AHF$20)*100</f>
        <v>0</v>
      </c>
      <c r="AHG40">
        <f>SUMIFS(Detail!$AS:$AS,Detail!$G:$G,'Rates-Service Fees'!AHG$23,Detail!$H:$H,'Rates-Service Fees'!AHG$20)*100</f>
        <v>0</v>
      </c>
      <c r="AHH40">
        <f>SUMIFS(Detail!$AS:$AS,Detail!$G:$G,'Rates-Service Fees'!AHH$23,Detail!$H:$H,'Rates-Service Fees'!AHH$20)*100</f>
        <v>0</v>
      </c>
      <c r="AHI40">
        <f>SUMIFS(Detail!$AS:$AS,Detail!$G:$G,'Rates-Service Fees'!AHI$23,Detail!$H:$H,'Rates-Service Fees'!AHI$20)*100</f>
        <v>0</v>
      </c>
      <c r="AHJ40">
        <f>SUMIFS(Detail!$AS:$AS,Detail!$G:$G,'Rates-Service Fees'!AHJ$23,Detail!$H:$H,'Rates-Service Fees'!AHJ$20)*100</f>
        <v>0</v>
      </c>
      <c r="AHK40">
        <f>SUMIFS(Detail!$AS:$AS,Detail!$G:$G,'Rates-Service Fees'!AHK$23,Detail!$H:$H,'Rates-Service Fees'!AHK$20)*100</f>
        <v>0</v>
      </c>
      <c r="AHL40">
        <f>SUMIFS(Detail!$AS:$AS,Detail!$G:$G,'Rates-Service Fees'!AHL$23,Detail!$H:$H,'Rates-Service Fees'!AHL$20)*100</f>
        <v>0</v>
      </c>
      <c r="AHM40">
        <f>SUMIFS(Detail!$AS:$AS,Detail!$G:$G,'Rates-Service Fees'!AHM$23,Detail!$H:$H,'Rates-Service Fees'!AHM$20)*100</f>
        <v>0</v>
      </c>
      <c r="AHN40">
        <f>SUMIFS(Detail!$AS:$AS,Detail!$G:$G,'Rates-Service Fees'!AHN$23,Detail!$H:$H,'Rates-Service Fees'!AHN$20)*100</f>
        <v>0</v>
      </c>
      <c r="AHO40">
        <f>SUMIFS(Detail!$AS:$AS,Detail!$G:$G,'Rates-Service Fees'!AHO$23,Detail!$H:$H,'Rates-Service Fees'!AHO$20)*100</f>
        <v>0</v>
      </c>
      <c r="AHP40">
        <f>SUMIFS(Detail!$AS:$AS,Detail!$G:$G,'Rates-Service Fees'!AHP$23,Detail!$H:$H,'Rates-Service Fees'!AHP$20)*100</f>
        <v>0</v>
      </c>
      <c r="AHQ40">
        <f>SUMIFS(Detail!$AS:$AS,Detail!$G:$G,'Rates-Service Fees'!AHQ$23,Detail!$H:$H,'Rates-Service Fees'!AHQ$20)*100</f>
        <v>0</v>
      </c>
      <c r="AHR40">
        <f>SUMIFS(Detail!$AS:$AS,Detail!$G:$G,'Rates-Service Fees'!AHR$23,Detail!$H:$H,'Rates-Service Fees'!AHR$20)*100</f>
        <v>0</v>
      </c>
      <c r="AHS40">
        <f>SUMIFS(Detail!$AS:$AS,Detail!$G:$G,'Rates-Service Fees'!AHS$23,Detail!$H:$H,'Rates-Service Fees'!AHS$20)*100</f>
        <v>0</v>
      </c>
      <c r="AHT40">
        <f>SUMIFS(Detail!$AS:$AS,Detail!$G:$G,'Rates-Service Fees'!AHT$23,Detail!$H:$H,'Rates-Service Fees'!AHT$20)*100</f>
        <v>0</v>
      </c>
      <c r="AHU40">
        <f>SUMIFS(Detail!$AS:$AS,Detail!$G:$G,'Rates-Service Fees'!AHU$23,Detail!$H:$H,'Rates-Service Fees'!AHU$20)*100</f>
        <v>0</v>
      </c>
      <c r="AHV40">
        <f>SUMIFS(Detail!$AS:$AS,Detail!$G:$G,'Rates-Service Fees'!AHV$23,Detail!$H:$H,'Rates-Service Fees'!AHV$20)*100</f>
        <v>0</v>
      </c>
      <c r="AHW40">
        <f>SUMIFS(Detail!$AS:$AS,Detail!$G:$G,'Rates-Service Fees'!AHW$23,Detail!$H:$H,'Rates-Service Fees'!AHW$20)*100</f>
        <v>0</v>
      </c>
      <c r="AHX40">
        <f>SUMIFS(Detail!$AS:$AS,Detail!$G:$G,'Rates-Service Fees'!AHX$23,Detail!$H:$H,'Rates-Service Fees'!AHX$20)*100</f>
        <v>0</v>
      </c>
      <c r="AHY40">
        <f>SUMIFS(Detail!$AS:$AS,Detail!$G:$G,'Rates-Service Fees'!AHY$23,Detail!$H:$H,'Rates-Service Fees'!AHY$20)*100</f>
        <v>0</v>
      </c>
      <c r="AHZ40">
        <f>SUMIFS(Detail!$AS:$AS,Detail!$G:$G,'Rates-Service Fees'!AHZ$23,Detail!$H:$H,'Rates-Service Fees'!AHZ$20)*100</f>
        <v>0</v>
      </c>
      <c r="AIA40">
        <f>SUMIFS(Detail!$AS:$AS,Detail!$G:$G,'Rates-Service Fees'!AIA$23,Detail!$H:$H,'Rates-Service Fees'!AIA$20)*100</f>
        <v>0</v>
      </c>
      <c r="AIB40">
        <f>SUMIFS(Detail!$AS:$AS,Detail!$G:$G,'Rates-Service Fees'!AIB$23,Detail!$H:$H,'Rates-Service Fees'!AIB$20)*100</f>
        <v>0</v>
      </c>
      <c r="AIC40">
        <f>SUMIFS(Detail!$AS:$AS,Detail!$G:$G,'Rates-Service Fees'!AIC$23,Detail!$H:$H,'Rates-Service Fees'!AIC$20)*100</f>
        <v>0</v>
      </c>
      <c r="AID40">
        <f>SUMIFS(Detail!$AS:$AS,Detail!$G:$G,'Rates-Service Fees'!AID$23,Detail!$H:$H,'Rates-Service Fees'!AID$20)*100</f>
        <v>0</v>
      </c>
      <c r="AIE40">
        <f>SUMIFS(Detail!$AS:$AS,Detail!$G:$G,'Rates-Service Fees'!AIE$23,Detail!$H:$H,'Rates-Service Fees'!AIE$20)*100</f>
        <v>0</v>
      </c>
      <c r="AIF40">
        <f>SUMIFS(Detail!$AS:$AS,Detail!$G:$G,'Rates-Service Fees'!AIF$23,Detail!$H:$H,'Rates-Service Fees'!AIF$20)*100</f>
        <v>0</v>
      </c>
      <c r="AIG40">
        <f>SUMIFS(Detail!$AS:$AS,Detail!$G:$G,'Rates-Service Fees'!AIG$23,Detail!$H:$H,'Rates-Service Fees'!AIG$20)*100</f>
        <v>0</v>
      </c>
      <c r="AIH40">
        <f>SUMIFS(Detail!$AS:$AS,Detail!$G:$G,'Rates-Service Fees'!AIH$23,Detail!$H:$H,'Rates-Service Fees'!AIH$20)*100</f>
        <v>0</v>
      </c>
      <c r="AII40">
        <f>SUMIFS(Detail!$AS:$AS,Detail!$G:$G,'Rates-Service Fees'!AII$23,Detail!$H:$H,'Rates-Service Fees'!AII$20)*100</f>
        <v>0</v>
      </c>
      <c r="AIJ40">
        <f>SUMIFS(Detail!$AS:$AS,Detail!$G:$G,'Rates-Service Fees'!AIJ$23,Detail!$H:$H,'Rates-Service Fees'!AIJ$20)*100</f>
        <v>0</v>
      </c>
      <c r="AIK40">
        <f>SUMIFS(Detail!$AS:$AS,Detail!$G:$G,'Rates-Service Fees'!AIK$23,Detail!$H:$H,'Rates-Service Fees'!AIK$20)*100</f>
        <v>0</v>
      </c>
      <c r="AIL40">
        <f>SUMIFS(Detail!$AS:$AS,Detail!$G:$G,'Rates-Service Fees'!AIL$23,Detail!$H:$H,'Rates-Service Fees'!AIL$20)*100</f>
        <v>0</v>
      </c>
      <c r="AIM40">
        <f>SUMIFS(Detail!$AS:$AS,Detail!$G:$G,'Rates-Service Fees'!AIM$23,Detail!$H:$H,'Rates-Service Fees'!AIM$20)*100</f>
        <v>0</v>
      </c>
      <c r="AIN40">
        <f>SUMIFS(Detail!$AS:$AS,Detail!$G:$G,'Rates-Service Fees'!AIN$23,Detail!$H:$H,'Rates-Service Fees'!AIN$20)*100</f>
        <v>0</v>
      </c>
      <c r="AIO40">
        <f>SUMIFS(Detail!$AS:$AS,Detail!$G:$G,'Rates-Service Fees'!AIO$23,Detail!$H:$H,'Rates-Service Fees'!AIO$20)*100</f>
        <v>0</v>
      </c>
      <c r="AIP40">
        <f>SUMIFS(Detail!$AS:$AS,Detail!$G:$G,'Rates-Service Fees'!AIP$23,Detail!$H:$H,'Rates-Service Fees'!AIP$20)*100</f>
        <v>0</v>
      </c>
      <c r="AIQ40">
        <f>SUMIFS(Detail!$AS:$AS,Detail!$G:$G,'Rates-Service Fees'!AIQ$23,Detail!$H:$H,'Rates-Service Fees'!AIQ$20)*100</f>
        <v>0</v>
      </c>
      <c r="AIR40">
        <f>SUMIFS(Detail!$AS:$AS,Detail!$G:$G,'Rates-Service Fees'!AIR$23,Detail!$H:$H,'Rates-Service Fees'!AIR$20)*100</f>
        <v>0</v>
      </c>
      <c r="AIS40">
        <f>SUMIFS(Detail!$AS:$AS,Detail!$G:$G,'Rates-Service Fees'!AIS$23,Detail!$H:$H,'Rates-Service Fees'!AIS$20)*100</f>
        <v>0</v>
      </c>
      <c r="AIT40">
        <f>SUMIFS(Detail!$AS:$AS,Detail!$G:$G,'Rates-Service Fees'!AIT$23,Detail!$H:$H,'Rates-Service Fees'!AIT$20)*100</f>
        <v>0</v>
      </c>
      <c r="AIU40">
        <f>SUMIFS(Detail!$AS:$AS,Detail!$G:$G,'Rates-Service Fees'!AIU$23,Detail!$H:$H,'Rates-Service Fees'!AIU$20)*100</f>
        <v>0</v>
      </c>
      <c r="AIV40">
        <f>SUMIFS(Detail!$AS:$AS,Detail!$G:$G,'Rates-Service Fees'!AIV$23,Detail!$H:$H,'Rates-Service Fees'!AIV$20)*100</f>
        <v>0</v>
      </c>
      <c r="AIW40">
        <f>SUMIFS(Detail!$AS:$AS,Detail!$G:$G,'Rates-Service Fees'!AIW$23,Detail!$H:$H,'Rates-Service Fees'!AIW$20)*100</f>
        <v>0</v>
      </c>
      <c r="AIX40">
        <f>SUMIFS(Detail!$AS:$AS,Detail!$G:$G,'Rates-Service Fees'!AIX$23,Detail!$H:$H,'Rates-Service Fees'!AIX$20)*100</f>
        <v>0</v>
      </c>
      <c r="AIY40">
        <f>SUMIFS(Detail!$AS:$AS,Detail!$G:$G,'Rates-Service Fees'!AIY$23,Detail!$H:$H,'Rates-Service Fees'!AIY$20)*100</f>
        <v>0</v>
      </c>
      <c r="AIZ40">
        <f>SUMIFS(Detail!$AS:$AS,Detail!$G:$G,'Rates-Service Fees'!AIZ$23,Detail!$H:$H,'Rates-Service Fees'!AIZ$20)*100</f>
        <v>0</v>
      </c>
      <c r="AJA40">
        <f>SUMIFS(Detail!$AS:$AS,Detail!$G:$G,'Rates-Service Fees'!AJA$23,Detail!$H:$H,'Rates-Service Fees'!AJA$20)*100</f>
        <v>0</v>
      </c>
      <c r="AJB40">
        <f>SUMIFS(Detail!$AS:$AS,Detail!$G:$G,'Rates-Service Fees'!AJB$23,Detail!$H:$H,'Rates-Service Fees'!AJB$20)*100</f>
        <v>0</v>
      </c>
      <c r="AJC40">
        <f>SUMIFS(Detail!$AS:$AS,Detail!$G:$G,'Rates-Service Fees'!AJC$23,Detail!$H:$H,'Rates-Service Fees'!AJC$20)*100</f>
        <v>0</v>
      </c>
      <c r="AJD40">
        <f>SUMIFS(Detail!$AS:$AS,Detail!$G:$G,'Rates-Service Fees'!AJD$23,Detail!$H:$H,'Rates-Service Fees'!AJD$20)*100</f>
        <v>0</v>
      </c>
      <c r="AJE40">
        <f>SUMIFS(Detail!$AS:$AS,Detail!$G:$G,'Rates-Service Fees'!AJE$23,Detail!$H:$H,'Rates-Service Fees'!AJE$20)*100</f>
        <v>0</v>
      </c>
      <c r="AJF40">
        <f>SUMIFS(Detail!$AS:$AS,Detail!$G:$G,'Rates-Service Fees'!AJF$23,Detail!$H:$H,'Rates-Service Fees'!AJF$20)*100</f>
        <v>0</v>
      </c>
      <c r="AJG40">
        <f>SUMIFS(Detail!$AS:$AS,Detail!$G:$G,'Rates-Service Fees'!AJG$23,Detail!$H:$H,'Rates-Service Fees'!AJG$20)*100</f>
        <v>0</v>
      </c>
      <c r="AJH40">
        <f>SUMIFS(Detail!$AS:$AS,Detail!$G:$G,'Rates-Service Fees'!AJH$23,Detail!$H:$H,'Rates-Service Fees'!AJH$20)*100</f>
        <v>0</v>
      </c>
      <c r="AJI40">
        <f>SUMIFS(Detail!$AS:$AS,Detail!$G:$G,'Rates-Service Fees'!AJI$23,Detail!$H:$H,'Rates-Service Fees'!AJI$20)*100</f>
        <v>0</v>
      </c>
      <c r="AJJ40">
        <f>SUMIFS(Detail!$AS:$AS,Detail!$G:$G,'Rates-Service Fees'!AJJ$23,Detail!$H:$H,'Rates-Service Fees'!AJJ$20)*100</f>
        <v>0</v>
      </c>
      <c r="AJK40">
        <f>SUMIFS(Detail!$AS:$AS,Detail!$G:$G,'Rates-Service Fees'!AJK$23,Detail!$H:$H,'Rates-Service Fees'!AJK$20)*100</f>
        <v>0</v>
      </c>
      <c r="AJL40">
        <f>SUMIFS(Detail!$AS:$AS,Detail!$G:$G,'Rates-Service Fees'!AJL$23,Detail!$H:$H,'Rates-Service Fees'!AJL$20)*100</f>
        <v>0</v>
      </c>
      <c r="AJM40">
        <f>SUMIFS(Detail!$AS:$AS,Detail!$G:$G,'Rates-Service Fees'!AJM$23,Detail!$H:$H,'Rates-Service Fees'!AJM$20)*100</f>
        <v>0</v>
      </c>
      <c r="AJN40">
        <f>SUMIFS(Detail!$AS:$AS,Detail!$G:$G,'Rates-Service Fees'!AJN$23,Detail!$H:$H,'Rates-Service Fees'!AJN$20)*100</f>
        <v>0</v>
      </c>
      <c r="AJO40">
        <f>SUMIFS(Detail!$AS:$AS,Detail!$G:$G,'Rates-Service Fees'!AJO$23,Detail!$H:$H,'Rates-Service Fees'!AJO$20)*100</f>
        <v>0</v>
      </c>
      <c r="AJP40">
        <f>SUMIFS(Detail!$AS:$AS,Detail!$G:$G,'Rates-Service Fees'!AJP$23,Detail!$H:$H,'Rates-Service Fees'!AJP$20)*100</f>
        <v>0</v>
      </c>
      <c r="AJQ40">
        <f>SUMIFS(Detail!$AS:$AS,Detail!$G:$G,'Rates-Service Fees'!AJQ$23,Detail!$H:$H,'Rates-Service Fees'!AJQ$20)*100</f>
        <v>0</v>
      </c>
      <c r="AJR40">
        <f>SUMIFS(Detail!$AS:$AS,Detail!$G:$G,'Rates-Service Fees'!AJR$23,Detail!$H:$H,'Rates-Service Fees'!AJR$20)*100</f>
        <v>0</v>
      </c>
      <c r="AJS40">
        <f>SUMIFS(Detail!$AS:$AS,Detail!$G:$G,'Rates-Service Fees'!AJS$23,Detail!$H:$H,'Rates-Service Fees'!AJS$20)*100</f>
        <v>0</v>
      </c>
      <c r="AJT40">
        <f>SUMIFS(Detail!$AS:$AS,Detail!$G:$G,'Rates-Service Fees'!AJT$23,Detail!$H:$H,'Rates-Service Fees'!AJT$20)*100</f>
        <v>0</v>
      </c>
      <c r="AJU40">
        <f>SUMIFS(Detail!$AS:$AS,Detail!$G:$G,'Rates-Service Fees'!AJU$23,Detail!$H:$H,'Rates-Service Fees'!AJU$20)*100</f>
        <v>0</v>
      </c>
      <c r="AJV40">
        <f>SUMIFS(Detail!$AS:$AS,Detail!$G:$G,'Rates-Service Fees'!AJV$23,Detail!$H:$H,'Rates-Service Fees'!AJV$20)*100</f>
        <v>0</v>
      </c>
      <c r="AJW40">
        <f>SUMIFS(Detail!$AS:$AS,Detail!$G:$G,'Rates-Service Fees'!AJW$23,Detail!$H:$H,'Rates-Service Fees'!AJW$20)*100</f>
        <v>0</v>
      </c>
      <c r="AJX40">
        <f>SUMIFS(Detail!$AS:$AS,Detail!$G:$G,'Rates-Service Fees'!AJX$23,Detail!$H:$H,'Rates-Service Fees'!AJX$20)*100</f>
        <v>0</v>
      </c>
      <c r="AJY40">
        <f>SUMIFS(Detail!$AS:$AS,Detail!$G:$G,'Rates-Service Fees'!AJY$23,Detail!$H:$H,'Rates-Service Fees'!AJY$20)*100</f>
        <v>0</v>
      </c>
      <c r="AJZ40">
        <f>SUMIFS(Detail!$AS:$AS,Detail!$G:$G,'Rates-Service Fees'!AJZ$23,Detail!$H:$H,'Rates-Service Fees'!AJZ$20)*100</f>
        <v>0</v>
      </c>
      <c r="AKA40">
        <f>SUMIFS(Detail!$AS:$AS,Detail!$G:$G,'Rates-Service Fees'!AKA$23,Detail!$H:$H,'Rates-Service Fees'!AKA$20)*100</f>
        <v>0</v>
      </c>
      <c r="AKB40">
        <f>SUMIFS(Detail!$AS:$AS,Detail!$G:$G,'Rates-Service Fees'!AKB$23,Detail!$H:$H,'Rates-Service Fees'!AKB$20)*100</f>
        <v>0</v>
      </c>
      <c r="AKC40">
        <f>SUMIFS(Detail!$AS:$AS,Detail!$G:$G,'Rates-Service Fees'!AKC$23,Detail!$H:$H,'Rates-Service Fees'!AKC$20)*100</f>
        <v>0</v>
      </c>
      <c r="AKD40">
        <f>SUMIFS(Detail!$AS:$AS,Detail!$G:$G,'Rates-Service Fees'!AKD$23,Detail!$H:$H,'Rates-Service Fees'!AKD$20)*100</f>
        <v>0</v>
      </c>
      <c r="AKE40">
        <f>SUMIFS(Detail!$AS:$AS,Detail!$G:$G,'Rates-Service Fees'!AKE$23,Detail!$H:$H,'Rates-Service Fees'!AKE$20)*100</f>
        <v>0</v>
      </c>
      <c r="AKF40">
        <f>SUMIFS(Detail!$AS:$AS,Detail!$G:$G,'Rates-Service Fees'!AKF$23,Detail!$H:$H,'Rates-Service Fees'!AKF$20)*100</f>
        <v>0</v>
      </c>
      <c r="AKG40">
        <f>SUMIFS(Detail!$AS:$AS,Detail!$G:$G,'Rates-Service Fees'!AKG$23,Detail!$H:$H,'Rates-Service Fees'!AKG$20)*100</f>
        <v>0</v>
      </c>
      <c r="AKH40">
        <f>SUMIFS(Detail!$AS:$AS,Detail!$G:$G,'Rates-Service Fees'!AKH$23,Detail!$H:$H,'Rates-Service Fees'!AKH$20)*100</f>
        <v>0</v>
      </c>
      <c r="AKI40">
        <f>SUMIFS(Detail!$AS:$AS,Detail!$G:$G,'Rates-Service Fees'!AKI$23,Detail!$H:$H,'Rates-Service Fees'!AKI$20)*100</f>
        <v>0</v>
      </c>
      <c r="AKJ40">
        <f>SUMIFS(Detail!$AS:$AS,Detail!$G:$G,'Rates-Service Fees'!AKJ$23,Detail!$H:$H,'Rates-Service Fees'!AKJ$20)*100</f>
        <v>0</v>
      </c>
      <c r="AKK40">
        <f>SUMIFS(Detail!$AS:$AS,Detail!$G:$G,'Rates-Service Fees'!AKK$23,Detail!$H:$H,'Rates-Service Fees'!AKK$20)*100</f>
        <v>0</v>
      </c>
      <c r="AKL40">
        <f>SUMIFS(Detail!$AS:$AS,Detail!$G:$G,'Rates-Service Fees'!AKL$23,Detail!$H:$H,'Rates-Service Fees'!AKL$20)*100</f>
        <v>0</v>
      </c>
      <c r="AKM40">
        <f>SUMIFS(Detail!$AS:$AS,Detail!$G:$G,'Rates-Service Fees'!AKM$23,Detail!$H:$H,'Rates-Service Fees'!AKM$20)*100</f>
        <v>0</v>
      </c>
      <c r="AKN40">
        <f>SUMIFS(Detail!$AS:$AS,Detail!$G:$G,'Rates-Service Fees'!AKN$23,Detail!$H:$H,'Rates-Service Fees'!AKN$20)*100</f>
        <v>0</v>
      </c>
      <c r="AKO40">
        <f>SUMIFS(Detail!$AS:$AS,Detail!$G:$G,'Rates-Service Fees'!AKO$23,Detail!$H:$H,'Rates-Service Fees'!AKO$20)*100</f>
        <v>0</v>
      </c>
      <c r="AKP40">
        <f>SUMIFS(Detail!$AS:$AS,Detail!$G:$G,'Rates-Service Fees'!AKP$23,Detail!$H:$H,'Rates-Service Fees'!AKP$20)*100</f>
        <v>0</v>
      </c>
      <c r="AKQ40">
        <f>SUMIFS(Detail!$AS:$AS,Detail!$G:$G,'Rates-Service Fees'!AKQ$23,Detail!$H:$H,'Rates-Service Fees'!AKQ$20)*100</f>
        <v>0</v>
      </c>
      <c r="AKR40">
        <f>SUMIFS(Detail!$AS:$AS,Detail!$G:$G,'Rates-Service Fees'!AKR$23,Detail!$H:$H,'Rates-Service Fees'!AKR$20)*100</f>
        <v>0</v>
      </c>
      <c r="AKS40">
        <f>SUMIFS(Detail!$AS:$AS,Detail!$G:$G,'Rates-Service Fees'!AKS$23,Detail!$H:$H,'Rates-Service Fees'!AKS$20)*100</f>
        <v>0</v>
      </c>
      <c r="AKT40">
        <f>SUMIFS(Detail!$AS:$AS,Detail!$G:$G,'Rates-Service Fees'!AKT$23,Detail!$H:$H,'Rates-Service Fees'!AKT$20)*100</f>
        <v>0</v>
      </c>
      <c r="AKU40">
        <f>SUMIFS(Detail!$AS:$AS,Detail!$G:$G,'Rates-Service Fees'!AKU$23,Detail!$H:$H,'Rates-Service Fees'!AKU$20)*100</f>
        <v>0</v>
      </c>
      <c r="AKV40">
        <f>SUMIFS(Detail!$AS:$AS,Detail!$G:$G,'Rates-Service Fees'!AKV$23,Detail!$H:$H,'Rates-Service Fees'!AKV$20)*100</f>
        <v>0</v>
      </c>
      <c r="AKW40">
        <f>SUMIFS(Detail!$AS:$AS,Detail!$G:$G,'Rates-Service Fees'!AKW$23,Detail!$H:$H,'Rates-Service Fees'!AKW$20)*100</f>
        <v>0</v>
      </c>
      <c r="AKX40">
        <f>SUMIFS(Detail!$AS:$AS,Detail!$G:$G,'Rates-Service Fees'!AKX$23,Detail!$H:$H,'Rates-Service Fees'!AKX$20)*100</f>
        <v>0</v>
      </c>
      <c r="AKY40">
        <f>SUMIFS(Detail!$AS:$AS,Detail!$G:$G,'Rates-Service Fees'!AKY$23,Detail!$H:$H,'Rates-Service Fees'!AKY$20)*100</f>
        <v>0</v>
      </c>
      <c r="AKZ40">
        <f>SUMIFS(Detail!$AS:$AS,Detail!$G:$G,'Rates-Service Fees'!AKZ$23,Detail!$H:$H,'Rates-Service Fees'!AKZ$20)*100</f>
        <v>0</v>
      </c>
      <c r="ALA40">
        <f>SUMIFS(Detail!$AS:$AS,Detail!$G:$G,'Rates-Service Fees'!ALA$23,Detail!$H:$H,'Rates-Service Fees'!ALA$20)*100</f>
        <v>0</v>
      </c>
      <c r="ALB40">
        <f>SUMIFS(Detail!$AS:$AS,Detail!$G:$G,'Rates-Service Fees'!ALB$23,Detail!$H:$H,'Rates-Service Fees'!ALB$20)*100</f>
        <v>0</v>
      </c>
      <c r="ALC40">
        <f>SUMIFS(Detail!$AS:$AS,Detail!$G:$G,'Rates-Service Fees'!ALC$23,Detail!$H:$H,'Rates-Service Fees'!ALC$20)*100</f>
        <v>0</v>
      </c>
      <c r="ALD40">
        <f>SUMIFS(Detail!$AS:$AS,Detail!$G:$G,'Rates-Service Fees'!ALD$23,Detail!$H:$H,'Rates-Service Fees'!ALD$20)*100</f>
        <v>0</v>
      </c>
      <c r="ALE40">
        <f>SUMIFS(Detail!$AS:$AS,Detail!$G:$G,'Rates-Service Fees'!ALE$23,Detail!$H:$H,'Rates-Service Fees'!ALE$20)*100</f>
        <v>0</v>
      </c>
      <c r="ALF40">
        <f>SUMIFS(Detail!$AS:$AS,Detail!$G:$G,'Rates-Service Fees'!ALF$23,Detail!$H:$H,'Rates-Service Fees'!ALF$20)*100</f>
        <v>0</v>
      </c>
      <c r="ALG40">
        <f>SUMIFS(Detail!$AS:$AS,Detail!$G:$G,'Rates-Service Fees'!ALG$23,Detail!$H:$H,'Rates-Service Fees'!ALG$20)*100</f>
        <v>0</v>
      </c>
      <c r="ALH40">
        <f>SUMIFS(Detail!$AS:$AS,Detail!$G:$G,'Rates-Service Fees'!ALH$23,Detail!$H:$H,'Rates-Service Fees'!ALH$20)*100</f>
        <v>0</v>
      </c>
      <c r="ALI40">
        <f>SUMIFS(Detail!$AS:$AS,Detail!$G:$G,'Rates-Service Fees'!ALI$23,Detail!$H:$H,'Rates-Service Fees'!ALI$20)*100</f>
        <v>0</v>
      </c>
      <c r="ALJ40">
        <f>SUMIFS(Detail!$AS:$AS,Detail!$G:$G,'Rates-Service Fees'!ALJ$23,Detail!$H:$H,'Rates-Service Fees'!ALJ$20)*100</f>
        <v>0</v>
      </c>
      <c r="ALK40">
        <f>SUMIFS(Detail!$AS:$AS,Detail!$G:$G,'Rates-Service Fees'!ALK$23,Detail!$H:$H,'Rates-Service Fees'!ALK$20)*100</f>
        <v>0</v>
      </c>
      <c r="ALL40">
        <f>SUMIFS(Detail!$AS:$AS,Detail!$G:$G,'Rates-Service Fees'!ALL$23,Detail!$H:$H,'Rates-Service Fees'!ALL$20)*100</f>
        <v>0</v>
      </c>
      <c r="ALM40">
        <f>SUMIFS(Detail!$AS:$AS,Detail!$G:$G,'Rates-Service Fees'!ALM$23,Detail!$H:$H,'Rates-Service Fees'!ALM$20)*100</f>
        <v>0</v>
      </c>
    </row>
    <row r="41" spans="1:1001">
      <c r="A41" s="26"/>
      <c r="B41">
        <f>SUMIFS(Detail!$AW:$AW,Detail!$G:$G,'Rates-Service Fees'!B$23,Detail!$H:$H,'Rates-Service Fees'!B$20)*100</f>
        <v>0</v>
      </c>
      <c r="C41">
        <f>SUMIFS(Detail!$AW:$AW,Detail!$G:$G,'Rates-Service Fees'!C$23,Detail!$H:$H,'Rates-Service Fees'!C$20)*100</f>
        <v>0</v>
      </c>
      <c r="D41">
        <f>SUMIFS(Detail!$AW:$AW,Detail!$G:$G,'Rates-Service Fees'!D$23,Detail!$H:$H,'Rates-Service Fees'!D$20)*100</f>
        <v>0</v>
      </c>
      <c r="E41">
        <f>SUMIFS(Detail!$AW:$AW,Detail!$G:$G,'Rates-Service Fees'!E$23,Detail!$H:$H,'Rates-Service Fees'!E$20)*100</f>
        <v>0</v>
      </c>
      <c r="F41">
        <f>SUMIFS(Detail!$AW:$AW,Detail!$G:$G,'Rates-Service Fees'!F$23,Detail!$H:$H,'Rates-Service Fees'!F$20)*100</f>
        <v>0</v>
      </c>
      <c r="G41">
        <f>SUMIFS(Detail!$AW:$AW,Detail!$G:$G,'Rates-Service Fees'!G$23,Detail!$H:$H,'Rates-Service Fees'!G$20)*100</f>
        <v>0</v>
      </c>
      <c r="H41">
        <f>SUMIFS(Detail!$AW:$AW,Detail!$G:$G,'Rates-Service Fees'!H$23,Detail!$H:$H,'Rates-Service Fees'!H$20)*100</f>
        <v>0</v>
      </c>
      <c r="I41">
        <f>SUMIFS(Detail!$AW:$AW,Detail!$G:$G,'Rates-Service Fees'!I$23,Detail!$H:$H,'Rates-Service Fees'!I$20)*100</f>
        <v>0</v>
      </c>
      <c r="J41">
        <f>SUMIFS(Detail!$AW:$AW,Detail!$G:$G,'Rates-Service Fees'!J$23,Detail!$H:$H,'Rates-Service Fees'!J$20)*100</f>
        <v>0</v>
      </c>
      <c r="K41">
        <f>SUMIFS(Detail!$AW:$AW,Detail!$G:$G,'Rates-Service Fees'!K$23,Detail!$H:$H,'Rates-Service Fees'!K$20)*100</f>
        <v>0</v>
      </c>
      <c r="L41">
        <f>SUMIFS(Detail!$AW:$AW,Detail!$G:$G,'Rates-Service Fees'!L$23,Detail!$H:$H,'Rates-Service Fees'!L$20)*100</f>
        <v>0</v>
      </c>
      <c r="M41">
        <f>SUMIFS(Detail!$AW:$AW,Detail!$G:$G,'Rates-Service Fees'!M$23,Detail!$H:$H,'Rates-Service Fees'!M$20)*100</f>
        <v>0</v>
      </c>
      <c r="N41">
        <f>SUMIFS(Detail!$AW:$AW,Detail!$G:$G,'Rates-Service Fees'!N$23,Detail!$H:$H,'Rates-Service Fees'!N$20)*100</f>
        <v>0</v>
      </c>
      <c r="O41">
        <f>SUMIFS(Detail!$AW:$AW,Detail!$G:$G,'Rates-Service Fees'!O$23,Detail!$H:$H,'Rates-Service Fees'!O$20)*100</f>
        <v>0</v>
      </c>
      <c r="P41">
        <f>SUMIFS(Detail!$AW:$AW,Detail!$G:$G,'Rates-Service Fees'!P$23,Detail!$H:$H,'Rates-Service Fees'!P$20)*100</f>
        <v>0</v>
      </c>
      <c r="Q41">
        <f>SUMIFS(Detail!$AW:$AW,Detail!$G:$G,'Rates-Service Fees'!Q$23,Detail!$H:$H,'Rates-Service Fees'!Q$20)*100</f>
        <v>0</v>
      </c>
      <c r="R41">
        <f>SUMIFS(Detail!$AW:$AW,Detail!$G:$G,'Rates-Service Fees'!R$23,Detail!$H:$H,'Rates-Service Fees'!R$20)*100</f>
        <v>0</v>
      </c>
      <c r="S41">
        <f>SUMIFS(Detail!$AW:$AW,Detail!$G:$G,'Rates-Service Fees'!S$23,Detail!$H:$H,'Rates-Service Fees'!S$20)*100</f>
        <v>0</v>
      </c>
      <c r="T41">
        <f>SUMIFS(Detail!$AW:$AW,Detail!$G:$G,'Rates-Service Fees'!T$23,Detail!$H:$H,'Rates-Service Fees'!T$20)*100</f>
        <v>0</v>
      </c>
      <c r="U41">
        <f>SUMIFS(Detail!$AW:$AW,Detail!$G:$G,'Rates-Service Fees'!U$23,Detail!$H:$H,'Rates-Service Fees'!U$20)*100</f>
        <v>0</v>
      </c>
      <c r="V41">
        <f>SUMIFS(Detail!$AW:$AW,Detail!$G:$G,'Rates-Service Fees'!V$23,Detail!$H:$H,'Rates-Service Fees'!V$20)*100</f>
        <v>0</v>
      </c>
      <c r="W41">
        <f>SUMIFS(Detail!$AW:$AW,Detail!$G:$G,'Rates-Service Fees'!W$23,Detail!$H:$H,'Rates-Service Fees'!W$20)*100</f>
        <v>0</v>
      </c>
      <c r="X41">
        <f>SUMIFS(Detail!$AW:$AW,Detail!$G:$G,'Rates-Service Fees'!X$23,Detail!$H:$H,'Rates-Service Fees'!X$20)*100</f>
        <v>0</v>
      </c>
      <c r="Y41">
        <f>SUMIFS(Detail!$AW:$AW,Detail!$G:$G,'Rates-Service Fees'!Y$23,Detail!$H:$H,'Rates-Service Fees'!Y$20)*100</f>
        <v>0</v>
      </c>
      <c r="Z41">
        <f>SUMIFS(Detail!$AW:$AW,Detail!$G:$G,'Rates-Service Fees'!Z$23,Detail!$H:$H,'Rates-Service Fees'!Z$20)*100</f>
        <v>0</v>
      </c>
      <c r="AA41">
        <f>SUMIFS(Detail!$AW:$AW,Detail!$G:$G,'Rates-Service Fees'!AA$23,Detail!$H:$H,'Rates-Service Fees'!AA$20)*100</f>
        <v>0</v>
      </c>
      <c r="AB41">
        <f>SUMIFS(Detail!$AW:$AW,Detail!$G:$G,'Rates-Service Fees'!AB$23,Detail!$H:$H,'Rates-Service Fees'!AB$20)*100</f>
        <v>0</v>
      </c>
      <c r="AC41">
        <f>SUMIFS(Detail!$AW:$AW,Detail!$G:$G,'Rates-Service Fees'!AC$23,Detail!$H:$H,'Rates-Service Fees'!AC$20)*100</f>
        <v>0</v>
      </c>
      <c r="AD41">
        <f>SUMIFS(Detail!$AW:$AW,Detail!$G:$G,'Rates-Service Fees'!AD$23,Detail!$H:$H,'Rates-Service Fees'!AD$20)*100</f>
        <v>0</v>
      </c>
      <c r="AE41">
        <f>SUMIFS(Detail!$AW:$AW,Detail!$G:$G,'Rates-Service Fees'!AE$23,Detail!$H:$H,'Rates-Service Fees'!AE$20)*100</f>
        <v>0</v>
      </c>
      <c r="AF41">
        <f>SUMIFS(Detail!$AW:$AW,Detail!$G:$G,'Rates-Service Fees'!AF$23,Detail!$H:$H,'Rates-Service Fees'!AF$20)*100</f>
        <v>0</v>
      </c>
      <c r="AG41">
        <f>SUMIFS(Detail!$AW:$AW,Detail!$G:$G,'Rates-Service Fees'!AG$23,Detail!$H:$H,'Rates-Service Fees'!AG$20)*100</f>
        <v>0</v>
      </c>
      <c r="AH41">
        <f>SUMIFS(Detail!$AW:$AW,Detail!$G:$G,'Rates-Service Fees'!AH$23,Detail!$H:$H,'Rates-Service Fees'!AH$20)*100</f>
        <v>0</v>
      </c>
      <c r="AI41">
        <f>SUMIFS(Detail!$AW:$AW,Detail!$G:$G,'Rates-Service Fees'!AI$23,Detail!$H:$H,'Rates-Service Fees'!AI$20)*100</f>
        <v>0</v>
      </c>
      <c r="AJ41">
        <f>SUMIFS(Detail!$AW:$AW,Detail!$G:$G,'Rates-Service Fees'!AJ$23,Detail!$H:$H,'Rates-Service Fees'!AJ$20)*100</f>
        <v>0</v>
      </c>
      <c r="AK41">
        <f>SUMIFS(Detail!$AW:$AW,Detail!$G:$G,'Rates-Service Fees'!AK$23,Detail!$H:$H,'Rates-Service Fees'!AK$20)*100</f>
        <v>0</v>
      </c>
      <c r="AL41">
        <f>SUMIFS(Detail!$AW:$AW,Detail!$G:$G,'Rates-Service Fees'!AL$23,Detail!$H:$H,'Rates-Service Fees'!AL$20)*100</f>
        <v>0</v>
      </c>
      <c r="AM41">
        <f>SUMIFS(Detail!$AW:$AW,Detail!$G:$G,'Rates-Service Fees'!AM$23,Detail!$H:$H,'Rates-Service Fees'!AM$20)*100</f>
        <v>0</v>
      </c>
      <c r="AN41">
        <f>SUMIFS(Detail!$AW:$AW,Detail!$G:$G,'Rates-Service Fees'!AN$23,Detail!$H:$H,'Rates-Service Fees'!AN$20)*100</f>
        <v>0</v>
      </c>
      <c r="AO41">
        <f>SUMIFS(Detail!$AW:$AW,Detail!$G:$G,'Rates-Service Fees'!AO$23,Detail!$H:$H,'Rates-Service Fees'!AO$20)*100</f>
        <v>0</v>
      </c>
      <c r="AP41">
        <f>SUMIFS(Detail!$AW:$AW,Detail!$G:$G,'Rates-Service Fees'!AP$23,Detail!$H:$H,'Rates-Service Fees'!AP$20)*100</f>
        <v>0</v>
      </c>
      <c r="AQ41">
        <f>SUMIFS(Detail!$AW:$AW,Detail!$G:$G,'Rates-Service Fees'!AQ$23,Detail!$H:$H,'Rates-Service Fees'!AQ$20)*100</f>
        <v>0</v>
      </c>
      <c r="AR41">
        <f>SUMIFS(Detail!$AW:$AW,Detail!$G:$G,'Rates-Service Fees'!AR$23,Detail!$H:$H,'Rates-Service Fees'!AR$20)*100</f>
        <v>0</v>
      </c>
      <c r="AS41">
        <f>SUMIFS(Detail!$AW:$AW,Detail!$G:$G,'Rates-Service Fees'!AS$23,Detail!$H:$H,'Rates-Service Fees'!AS$20)*100</f>
        <v>0</v>
      </c>
      <c r="AT41">
        <f>SUMIFS(Detail!$AW:$AW,Detail!$G:$G,'Rates-Service Fees'!AT$23,Detail!$H:$H,'Rates-Service Fees'!AT$20)*100</f>
        <v>0</v>
      </c>
      <c r="AU41">
        <f>SUMIFS(Detail!$AW:$AW,Detail!$G:$G,'Rates-Service Fees'!AU$23,Detail!$H:$H,'Rates-Service Fees'!AU$20)*100</f>
        <v>0</v>
      </c>
      <c r="AV41">
        <f>SUMIFS(Detail!$AW:$AW,Detail!$G:$G,'Rates-Service Fees'!AV$23,Detail!$H:$H,'Rates-Service Fees'!AV$20)*100</f>
        <v>0</v>
      </c>
      <c r="AW41">
        <f>SUMIFS(Detail!$AW:$AW,Detail!$G:$G,'Rates-Service Fees'!AW$23,Detail!$H:$H,'Rates-Service Fees'!AW$20)*100</f>
        <v>0</v>
      </c>
      <c r="AX41">
        <f>SUMIFS(Detail!$AW:$AW,Detail!$G:$G,'Rates-Service Fees'!AX$23,Detail!$H:$H,'Rates-Service Fees'!AX$20)*100</f>
        <v>0</v>
      </c>
      <c r="AY41">
        <f>SUMIFS(Detail!$AW:$AW,Detail!$G:$G,'Rates-Service Fees'!AY$23,Detail!$H:$H,'Rates-Service Fees'!AY$20)*100</f>
        <v>0</v>
      </c>
      <c r="AZ41">
        <f>SUMIFS(Detail!$AW:$AW,Detail!$G:$G,'Rates-Service Fees'!AZ$23,Detail!$H:$H,'Rates-Service Fees'!AZ$20)*100</f>
        <v>0</v>
      </c>
      <c r="BA41">
        <f>SUMIFS(Detail!$AW:$AW,Detail!$G:$G,'Rates-Service Fees'!BA$23,Detail!$H:$H,'Rates-Service Fees'!BA$20)*100</f>
        <v>0</v>
      </c>
      <c r="BB41">
        <f>SUMIFS(Detail!$AW:$AW,Detail!$G:$G,'Rates-Service Fees'!BB$23,Detail!$H:$H,'Rates-Service Fees'!BB$20)*100</f>
        <v>0</v>
      </c>
      <c r="BC41">
        <f>SUMIFS(Detail!$AW:$AW,Detail!$G:$G,'Rates-Service Fees'!BC$23,Detail!$H:$H,'Rates-Service Fees'!BC$20)*100</f>
        <v>0</v>
      </c>
      <c r="BD41">
        <f>SUMIFS(Detail!$AW:$AW,Detail!$G:$G,'Rates-Service Fees'!BD$23,Detail!$H:$H,'Rates-Service Fees'!BD$20)*100</f>
        <v>0</v>
      </c>
      <c r="BE41">
        <f>SUMIFS(Detail!$AW:$AW,Detail!$G:$G,'Rates-Service Fees'!BE$23,Detail!$H:$H,'Rates-Service Fees'!BE$20)*100</f>
        <v>0</v>
      </c>
      <c r="BF41">
        <f>SUMIFS(Detail!$AW:$AW,Detail!$G:$G,'Rates-Service Fees'!BF$23,Detail!$H:$H,'Rates-Service Fees'!BF$20)*100</f>
        <v>0</v>
      </c>
      <c r="BG41">
        <f>SUMIFS(Detail!$AW:$AW,Detail!$G:$G,'Rates-Service Fees'!BG$23,Detail!$H:$H,'Rates-Service Fees'!BG$20)*100</f>
        <v>0</v>
      </c>
      <c r="BH41">
        <f>SUMIFS(Detail!$AW:$AW,Detail!$G:$G,'Rates-Service Fees'!BH$23,Detail!$H:$H,'Rates-Service Fees'!BH$20)*100</f>
        <v>0</v>
      </c>
      <c r="BI41">
        <f>SUMIFS(Detail!$AW:$AW,Detail!$G:$G,'Rates-Service Fees'!BI$23,Detail!$H:$H,'Rates-Service Fees'!BI$20)*100</f>
        <v>0</v>
      </c>
      <c r="BJ41">
        <f>SUMIFS(Detail!$AW:$AW,Detail!$G:$G,'Rates-Service Fees'!BJ$23,Detail!$H:$H,'Rates-Service Fees'!BJ$20)*100</f>
        <v>0</v>
      </c>
      <c r="BK41">
        <f>SUMIFS(Detail!$AW:$AW,Detail!$G:$G,'Rates-Service Fees'!BK$23,Detail!$H:$H,'Rates-Service Fees'!BK$20)*100</f>
        <v>0</v>
      </c>
      <c r="BL41">
        <f>SUMIFS(Detail!$AW:$AW,Detail!$G:$G,'Rates-Service Fees'!BL$23,Detail!$H:$H,'Rates-Service Fees'!BL$20)*100</f>
        <v>0</v>
      </c>
      <c r="BM41">
        <f>SUMIFS(Detail!$AW:$AW,Detail!$G:$G,'Rates-Service Fees'!BM$23,Detail!$H:$H,'Rates-Service Fees'!BM$20)*100</f>
        <v>0</v>
      </c>
      <c r="BN41">
        <f>SUMIFS(Detail!$AW:$AW,Detail!$G:$G,'Rates-Service Fees'!BN$23,Detail!$H:$H,'Rates-Service Fees'!BN$20)*100</f>
        <v>0</v>
      </c>
      <c r="BO41">
        <f>SUMIFS(Detail!$AW:$AW,Detail!$G:$G,'Rates-Service Fees'!BO$23,Detail!$H:$H,'Rates-Service Fees'!BO$20)*100</f>
        <v>0</v>
      </c>
      <c r="BP41">
        <f>SUMIFS(Detail!$AW:$AW,Detail!$G:$G,'Rates-Service Fees'!BP$23,Detail!$H:$H,'Rates-Service Fees'!BP$20)*100</f>
        <v>0</v>
      </c>
      <c r="BQ41">
        <f>SUMIFS(Detail!$AW:$AW,Detail!$G:$G,'Rates-Service Fees'!BQ$23,Detail!$H:$H,'Rates-Service Fees'!BQ$20)*100</f>
        <v>0</v>
      </c>
      <c r="BR41">
        <f>SUMIFS(Detail!$AW:$AW,Detail!$G:$G,'Rates-Service Fees'!BR$23,Detail!$H:$H,'Rates-Service Fees'!BR$20)*100</f>
        <v>0</v>
      </c>
      <c r="BS41">
        <f>SUMIFS(Detail!$AW:$AW,Detail!$G:$G,'Rates-Service Fees'!BS$23,Detail!$H:$H,'Rates-Service Fees'!BS$20)*100</f>
        <v>0</v>
      </c>
      <c r="BT41">
        <f>SUMIFS(Detail!$AW:$AW,Detail!$G:$G,'Rates-Service Fees'!BT$23,Detail!$H:$H,'Rates-Service Fees'!BT$20)*100</f>
        <v>0</v>
      </c>
      <c r="BU41">
        <f>SUMIFS(Detail!$AW:$AW,Detail!$G:$G,'Rates-Service Fees'!BU$23,Detail!$H:$H,'Rates-Service Fees'!BU$20)*100</f>
        <v>0</v>
      </c>
      <c r="BV41">
        <f>SUMIFS(Detail!$AW:$AW,Detail!$G:$G,'Rates-Service Fees'!BV$23,Detail!$H:$H,'Rates-Service Fees'!BV$20)*100</f>
        <v>0</v>
      </c>
      <c r="BW41">
        <f>SUMIFS(Detail!$AW:$AW,Detail!$G:$G,'Rates-Service Fees'!BW$23,Detail!$H:$H,'Rates-Service Fees'!BW$20)*100</f>
        <v>0</v>
      </c>
      <c r="BX41">
        <f>SUMIFS(Detail!$AW:$AW,Detail!$G:$G,'Rates-Service Fees'!BX$23,Detail!$H:$H,'Rates-Service Fees'!BX$20)*100</f>
        <v>0</v>
      </c>
      <c r="BY41">
        <f>SUMIFS(Detail!$AW:$AW,Detail!$G:$G,'Rates-Service Fees'!BY$23,Detail!$H:$H,'Rates-Service Fees'!BY$20)*100</f>
        <v>0</v>
      </c>
      <c r="BZ41">
        <f>SUMIFS(Detail!$AW:$AW,Detail!$G:$G,'Rates-Service Fees'!BZ$23,Detail!$H:$H,'Rates-Service Fees'!BZ$20)*100</f>
        <v>0</v>
      </c>
      <c r="CA41">
        <f>SUMIFS(Detail!$AW:$AW,Detail!$G:$G,'Rates-Service Fees'!CA$23,Detail!$H:$H,'Rates-Service Fees'!CA$20)*100</f>
        <v>0</v>
      </c>
      <c r="CB41">
        <f>SUMIFS(Detail!$AW:$AW,Detail!$G:$G,'Rates-Service Fees'!CB$23,Detail!$H:$H,'Rates-Service Fees'!CB$20)*100</f>
        <v>0</v>
      </c>
      <c r="CC41">
        <f>SUMIFS(Detail!$AW:$AW,Detail!$G:$G,'Rates-Service Fees'!CC$23,Detail!$H:$H,'Rates-Service Fees'!CC$20)*100</f>
        <v>0</v>
      </c>
      <c r="CD41">
        <f>SUMIFS(Detail!$AW:$AW,Detail!$G:$G,'Rates-Service Fees'!CD$23,Detail!$H:$H,'Rates-Service Fees'!CD$20)*100</f>
        <v>0</v>
      </c>
      <c r="CE41">
        <f>SUMIFS(Detail!$AW:$AW,Detail!$G:$G,'Rates-Service Fees'!CE$23,Detail!$H:$H,'Rates-Service Fees'!CE$20)*100</f>
        <v>0</v>
      </c>
      <c r="CF41">
        <f>SUMIFS(Detail!$AW:$AW,Detail!$G:$G,'Rates-Service Fees'!CF$23,Detail!$H:$H,'Rates-Service Fees'!CF$20)*100</f>
        <v>0</v>
      </c>
      <c r="CG41">
        <f>SUMIFS(Detail!$AW:$AW,Detail!$G:$G,'Rates-Service Fees'!CG$23,Detail!$H:$H,'Rates-Service Fees'!CG$20)*100</f>
        <v>0</v>
      </c>
      <c r="CH41">
        <f>SUMIFS(Detail!$AW:$AW,Detail!$G:$G,'Rates-Service Fees'!CH$23,Detail!$H:$H,'Rates-Service Fees'!CH$20)*100</f>
        <v>0</v>
      </c>
      <c r="CI41">
        <f>SUMIFS(Detail!$AW:$AW,Detail!$G:$G,'Rates-Service Fees'!CI$23,Detail!$H:$H,'Rates-Service Fees'!CI$20)*100</f>
        <v>0</v>
      </c>
      <c r="CJ41">
        <f>SUMIFS(Detail!$AW:$AW,Detail!$G:$G,'Rates-Service Fees'!CJ$23,Detail!$H:$H,'Rates-Service Fees'!CJ$20)*100</f>
        <v>0</v>
      </c>
      <c r="CK41">
        <f>SUMIFS(Detail!$AW:$AW,Detail!$G:$G,'Rates-Service Fees'!CK$23,Detail!$H:$H,'Rates-Service Fees'!CK$20)*100</f>
        <v>0</v>
      </c>
      <c r="CL41">
        <f>SUMIFS(Detail!$AW:$AW,Detail!$G:$G,'Rates-Service Fees'!CL$23,Detail!$H:$H,'Rates-Service Fees'!CL$20)*100</f>
        <v>0</v>
      </c>
      <c r="CM41">
        <f>SUMIFS(Detail!$AW:$AW,Detail!$G:$G,'Rates-Service Fees'!CM$23,Detail!$H:$H,'Rates-Service Fees'!CM$20)*100</f>
        <v>0</v>
      </c>
      <c r="CN41">
        <f>SUMIFS(Detail!$AW:$AW,Detail!$G:$G,'Rates-Service Fees'!CN$23,Detail!$H:$H,'Rates-Service Fees'!CN$20)*100</f>
        <v>0</v>
      </c>
      <c r="CO41">
        <f>SUMIFS(Detail!$AW:$AW,Detail!$G:$G,'Rates-Service Fees'!CO$23,Detail!$H:$H,'Rates-Service Fees'!CO$20)*100</f>
        <v>0</v>
      </c>
      <c r="CP41">
        <f>SUMIFS(Detail!$AW:$AW,Detail!$G:$G,'Rates-Service Fees'!CP$23,Detail!$H:$H,'Rates-Service Fees'!CP$20)*100</f>
        <v>0</v>
      </c>
      <c r="CQ41">
        <f>SUMIFS(Detail!$AW:$AW,Detail!$G:$G,'Rates-Service Fees'!CQ$23,Detail!$H:$H,'Rates-Service Fees'!CQ$20)*100</f>
        <v>0</v>
      </c>
      <c r="CR41">
        <f>SUMIFS(Detail!$AW:$AW,Detail!$G:$G,'Rates-Service Fees'!CR$23,Detail!$H:$H,'Rates-Service Fees'!CR$20)*100</f>
        <v>0</v>
      </c>
      <c r="CS41">
        <f>SUMIFS(Detail!$AW:$AW,Detail!$G:$G,'Rates-Service Fees'!CS$23,Detail!$H:$H,'Rates-Service Fees'!CS$20)*100</f>
        <v>0</v>
      </c>
      <c r="CT41">
        <f>SUMIFS(Detail!$AW:$AW,Detail!$G:$G,'Rates-Service Fees'!CT$23,Detail!$H:$H,'Rates-Service Fees'!CT$20)*100</f>
        <v>0</v>
      </c>
      <c r="CU41">
        <f>SUMIFS(Detail!$AW:$AW,Detail!$G:$G,'Rates-Service Fees'!CU$23,Detail!$H:$H,'Rates-Service Fees'!CU$20)*100</f>
        <v>0</v>
      </c>
      <c r="CV41">
        <f>SUMIFS(Detail!$AW:$AW,Detail!$G:$G,'Rates-Service Fees'!CV$23,Detail!$H:$H,'Rates-Service Fees'!CV$20)*100</f>
        <v>0</v>
      </c>
      <c r="CW41">
        <f>SUMIFS(Detail!$AW:$AW,Detail!$G:$G,'Rates-Service Fees'!CW$23,Detail!$H:$H,'Rates-Service Fees'!CW$20)*100</f>
        <v>0</v>
      </c>
      <c r="CX41">
        <f>SUMIFS(Detail!$AW:$AW,Detail!$G:$G,'Rates-Service Fees'!CX$23,Detail!$H:$H,'Rates-Service Fees'!CX$20)*100</f>
        <v>0</v>
      </c>
      <c r="CY41">
        <f>SUMIFS(Detail!$AW:$AW,Detail!$G:$G,'Rates-Service Fees'!CY$23,Detail!$H:$H,'Rates-Service Fees'!CY$20)*100</f>
        <v>0</v>
      </c>
      <c r="CZ41">
        <f>SUMIFS(Detail!$AW:$AW,Detail!$G:$G,'Rates-Service Fees'!CZ$23,Detail!$H:$H,'Rates-Service Fees'!CZ$20)*100</f>
        <v>0</v>
      </c>
      <c r="DA41">
        <f>SUMIFS(Detail!$AW:$AW,Detail!$G:$G,'Rates-Service Fees'!DA$23,Detail!$H:$H,'Rates-Service Fees'!DA$20)*100</f>
        <v>0</v>
      </c>
      <c r="DB41">
        <f>SUMIFS(Detail!$AW:$AW,Detail!$G:$G,'Rates-Service Fees'!DB$23,Detail!$H:$H,'Rates-Service Fees'!DB$20)*100</f>
        <v>0</v>
      </c>
      <c r="DC41">
        <f>SUMIFS(Detail!$AW:$AW,Detail!$G:$G,'Rates-Service Fees'!DC$23,Detail!$H:$H,'Rates-Service Fees'!DC$20)*100</f>
        <v>0</v>
      </c>
      <c r="DD41">
        <f>SUMIFS(Detail!$AW:$AW,Detail!$G:$G,'Rates-Service Fees'!DD$23,Detail!$H:$H,'Rates-Service Fees'!DD$20)*100</f>
        <v>0</v>
      </c>
      <c r="DE41">
        <f>SUMIFS(Detail!$AW:$AW,Detail!$G:$G,'Rates-Service Fees'!DE$23,Detail!$H:$H,'Rates-Service Fees'!DE$20)*100</f>
        <v>0</v>
      </c>
      <c r="DF41">
        <f>SUMIFS(Detail!$AW:$AW,Detail!$G:$G,'Rates-Service Fees'!DF$23,Detail!$H:$H,'Rates-Service Fees'!DF$20)*100</f>
        <v>0</v>
      </c>
      <c r="DG41">
        <f>SUMIFS(Detail!$AW:$AW,Detail!$G:$G,'Rates-Service Fees'!DG$23,Detail!$H:$H,'Rates-Service Fees'!DG$20)*100</f>
        <v>0</v>
      </c>
      <c r="DH41">
        <f>SUMIFS(Detail!$AW:$AW,Detail!$G:$G,'Rates-Service Fees'!DH$23,Detail!$H:$H,'Rates-Service Fees'!DH$20)*100</f>
        <v>0</v>
      </c>
      <c r="DI41">
        <f>SUMIFS(Detail!$AW:$AW,Detail!$G:$G,'Rates-Service Fees'!DI$23,Detail!$H:$H,'Rates-Service Fees'!DI$20)*100</f>
        <v>0</v>
      </c>
      <c r="DJ41">
        <f>SUMIFS(Detail!$AW:$AW,Detail!$G:$G,'Rates-Service Fees'!DJ$23,Detail!$H:$H,'Rates-Service Fees'!DJ$20)*100</f>
        <v>0</v>
      </c>
      <c r="DK41">
        <f>SUMIFS(Detail!$AW:$AW,Detail!$G:$G,'Rates-Service Fees'!DK$23,Detail!$H:$H,'Rates-Service Fees'!DK$20)*100</f>
        <v>0</v>
      </c>
      <c r="DL41">
        <f>SUMIFS(Detail!$AW:$AW,Detail!$G:$G,'Rates-Service Fees'!DL$23,Detail!$H:$H,'Rates-Service Fees'!DL$20)*100</f>
        <v>0</v>
      </c>
      <c r="DM41">
        <f>SUMIFS(Detail!$AW:$AW,Detail!$G:$G,'Rates-Service Fees'!DM$23,Detail!$H:$H,'Rates-Service Fees'!DM$20)*100</f>
        <v>0</v>
      </c>
      <c r="DN41">
        <f>SUMIFS(Detail!$AW:$AW,Detail!$G:$G,'Rates-Service Fees'!DN$23,Detail!$H:$H,'Rates-Service Fees'!DN$20)*100</f>
        <v>0</v>
      </c>
      <c r="DO41">
        <f>SUMIFS(Detail!$AW:$AW,Detail!$G:$G,'Rates-Service Fees'!DO$23,Detail!$H:$H,'Rates-Service Fees'!DO$20)*100</f>
        <v>0</v>
      </c>
      <c r="DP41">
        <f>SUMIFS(Detail!$AW:$AW,Detail!$G:$G,'Rates-Service Fees'!DP$23,Detail!$H:$H,'Rates-Service Fees'!DP$20)*100</f>
        <v>0</v>
      </c>
      <c r="DQ41">
        <f>SUMIFS(Detail!$AW:$AW,Detail!$G:$G,'Rates-Service Fees'!DQ$23,Detail!$H:$H,'Rates-Service Fees'!DQ$20)*100</f>
        <v>0</v>
      </c>
      <c r="DR41">
        <f>SUMIFS(Detail!$AW:$AW,Detail!$G:$G,'Rates-Service Fees'!DR$23,Detail!$H:$H,'Rates-Service Fees'!DR$20)*100</f>
        <v>0</v>
      </c>
      <c r="DS41">
        <f>SUMIFS(Detail!$AW:$AW,Detail!$G:$G,'Rates-Service Fees'!DS$23,Detail!$H:$H,'Rates-Service Fees'!DS$20)*100</f>
        <v>0</v>
      </c>
      <c r="DT41">
        <f>SUMIFS(Detail!$AW:$AW,Detail!$G:$G,'Rates-Service Fees'!DT$23,Detail!$H:$H,'Rates-Service Fees'!DT$20)*100</f>
        <v>0</v>
      </c>
      <c r="DU41">
        <f>SUMIFS(Detail!$AW:$AW,Detail!$G:$G,'Rates-Service Fees'!DU$23,Detail!$H:$H,'Rates-Service Fees'!DU$20)*100</f>
        <v>0</v>
      </c>
      <c r="DV41">
        <f>SUMIFS(Detail!$AW:$AW,Detail!$G:$G,'Rates-Service Fees'!DV$23,Detail!$H:$H,'Rates-Service Fees'!DV$20)*100</f>
        <v>0</v>
      </c>
      <c r="DW41">
        <f>SUMIFS(Detail!$AW:$AW,Detail!$G:$G,'Rates-Service Fees'!DW$23,Detail!$H:$H,'Rates-Service Fees'!DW$20)*100</f>
        <v>0</v>
      </c>
      <c r="DX41">
        <f>SUMIFS(Detail!$AW:$AW,Detail!$G:$G,'Rates-Service Fees'!DX$23,Detail!$H:$H,'Rates-Service Fees'!DX$20)*100</f>
        <v>0</v>
      </c>
      <c r="DY41">
        <f>SUMIFS(Detail!$AW:$AW,Detail!$G:$G,'Rates-Service Fees'!DY$23,Detail!$H:$H,'Rates-Service Fees'!DY$20)*100</f>
        <v>0</v>
      </c>
      <c r="DZ41">
        <f>SUMIFS(Detail!$AW:$AW,Detail!$G:$G,'Rates-Service Fees'!DZ$23,Detail!$H:$H,'Rates-Service Fees'!DZ$20)*100</f>
        <v>0</v>
      </c>
      <c r="EA41">
        <f>SUMIFS(Detail!$AW:$AW,Detail!$G:$G,'Rates-Service Fees'!EA$23,Detail!$H:$H,'Rates-Service Fees'!EA$20)*100</f>
        <v>0</v>
      </c>
      <c r="EB41">
        <f>SUMIFS(Detail!$AW:$AW,Detail!$G:$G,'Rates-Service Fees'!EB$23,Detail!$H:$H,'Rates-Service Fees'!EB$20)*100</f>
        <v>0</v>
      </c>
      <c r="EC41">
        <f>SUMIFS(Detail!$AW:$AW,Detail!$G:$G,'Rates-Service Fees'!EC$23,Detail!$H:$H,'Rates-Service Fees'!EC$20)*100</f>
        <v>0</v>
      </c>
      <c r="ED41">
        <f>SUMIFS(Detail!$AW:$AW,Detail!$G:$G,'Rates-Service Fees'!ED$23,Detail!$H:$H,'Rates-Service Fees'!ED$20)*100</f>
        <v>0</v>
      </c>
      <c r="EE41">
        <f>SUMIFS(Detail!$AW:$AW,Detail!$G:$G,'Rates-Service Fees'!EE$23,Detail!$H:$H,'Rates-Service Fees'!EE$20)*100</f>
        <v>0</v>
      </c>
      <c r="EF41">
        <f>SUMIFS(Detail!$AW:$AW,Detail!$G:$G,'Rates-Service Fees'!EF$23,Detail!$H:$H,'Rates-Service Fees'!EF$20)*100</f>
        <v>0</v>
      </c>
      <c r="EG41">
        <f>SUMIFS(Detail!$AW:$AW,Detail!$G:$G,'Rates-Service Fees'!EG$23,Detail!$H:$H,'Rates-Service Fees'!EG$20)*100</f>
        <v>0</v>
      </c>
      <c r="EH41">
        <f>SUMIFS(Detail!$AW:$AW,Detail!$G:$G,'Rates-Service Fees'!EH$23,Detail!$H:$H,'Rates-Service Fees'!EH$20)*100</f>
        <v>0</v>
      </c>
      <c r="EI41">
        <f>SUMIFS(Detail!$AW:$AW,Detail!$G:$G,'Rates-Service Fees'!EI$23,Detail!$H:$H,'Rates-Service Fees'!EI$20)*100</f>
        <v>0</v>
      </c>
      <c r="EJ41">
        <f>SUMIFS(Detail!$AW:$AW,Detail!$G:$G,'Rates-Service Fees'!EJ$23,Detail!$H:$H,'Rates-Service Fees'!EJ$20)*100</f>
        <v>0</v>
      </c>
      <c r="EK41">
        <f>SUMIFS(Detail!$AW:$AW,Detail!$G:$G,'Rates-Service Fees'!EK$23,Detail!$H:$H,'Rates-Service Fees'!EK$20)*100</f>
        <v>0</v>
      </c>
      <c r="EL41">
        <f>SUMIFS(Detail!$AW:$AW,Detail!$G:$G,'Rates-Service Fees'!EL$23,Detail!$H:$H,'Rates-Service Fees'!EL$20)*100</f>
        <v>0</v>
      </c>
      <c r="EM41">
        <f>SUMIFS(Detail!$AW:$AW,Detail!$G:$G,'Rates-Service Fees'!EM$23,Detail!$H:$H,'Rates-Service Fees'!EM$20)*100</f>
        <v>0</v>
      </c>
      <c r="EN41">
        <f>SUMIFS(Detail!$AW:$AW,Detail!$G:$G,'Rates-Service Fees'!EN$23,Detail!$H:$H,'Rates-Service Fees'!EN$20)*100</f>
        <v>0</v>
      </c>
      <c r="EO41">
        <f>SUMIFS(Detail!$AW:$AW,Detail!$G:$G,'Rates-Service Fees'!EO$23,Detail!$H:$H,'Rates-Service Fees'!EO$20)*100</f>
        <v>0</v>
      </c>
      <c r="EP41">
        <f>SUMIFS(Detail!$AW:$AW,Detail!$G:$G,'Rates-Service Fees'!EP$23,Detail!$H:$H,'Rates-Service Fees'!EP$20)*100</f>
        <v>0</v>
      </c>
      <c r="EQ41">
        <f>SUMIFS(Detail!$AW:$AW,Detail!$G:$G,'Rates-Service Fees'!EQ$23,Detail!$H:$H,'Rates-Service Fees'!EQ$20)*100</f>
        <v>0</v>
      </c>
      <c r="ER41">
        <f>SUMIFS(Detail!$AW:$AW,Detail!$G:$G,'Rates-Service Fees'!ER$23,Detail!$H:$H,'Rates-Service Fees'!ER$20)*100</f>
        <v>0</v>
      </c>
      <c r="ES41">
        <f>SUMIFS(Detail!$AW:$AW,Detail!$G:$G,'Rates-Service Fees'!ES$23,Detail!$H:$H,'Rates-Service Fees'!ES$20)*100</f>
        <v>0</v>
      </c>
      <c r="ET41">
        <f>SUMIFS(Detail!$AW:$AW,Detail!$G:$G,'Rates-Service Fees'!ET$23,Detail!$H:$H,'Rates-Service Fees'!ET$20)*100</f>
        <v>0</v>
      </c>
      <c r="EU41">
        <f>SUMIFS(Detail!$AW:$AW,Detail!$G:$G,'Rates-Service Fees'!EU$23,Detail!$H:$H,'Rates-Service Fees'!EU$20)*100</f>
        <v>0</v>
      </c>
      <c r="EV41">
        <f>SUMIFS(Detail!$AW:$AW,Detail!$G:$G,'Rates-Service Fees'!EV$23,Detail!$H:$H,'Rates-Service Fees'!EV$20)*100</f>
        <v>0</v>
      </c>
      <c r="EW41">
        <f>SUMIFS(Detail!$AW:$AW,Detail!$G:$G,'Rates-Service Fees'!EW$23,Detail!$H:$H,'Rates-Service Fees'!EW$20)*100</f>
        <v>0</v>
      </c>
      <c r="EX41">
        <f>SUMIFS(Detail!$AW:$AW,Detail!$G:$G,'Rates-Service Fees'!EX$23,Detail!$H:$H,'Rates-Service Fees'!EX$20)*100</f>
        <v>0</v>
      </c>
      <c r="EY41">
        <f>SUMIFS(Detail!$AW:$AW,Detail!$G:$G,'Rates-Service Fees'!EY$23,Detail!$H:$H,'Rates-Service Fees'!EY$20)*100</f>
        <v>0</v>
      </c>
      <c r="EZ41">
        <f>SUMIFS(Detail!$AW:$AW,Detail!$G:$G,'Rates-Service Fees'!EZ$23,Detail!$H:$H,'Rates-Service Fees'!EZ$20)*100</f>
        <v>0</v>
      </c>
      <c r="FA41">
        <f>SUMIFS(Detail!$AW:$AW,Detail!$G:$G,'Rates-Service Fees'!FA$23,Detail!$H:$H,'Rates-Service Fees'!FA$20)*100</f>
        <v>0</v>
      </c>
      <c r="FB41">
        <f>SUMIFS(Detail!$AW:$AW,Detail!$G:$G,'Rates-Service Fees'!FB$23,Detail!$H:$H,'Rates-Service Fees'!FB$20)*100</f>
        <v>0</v>
      </c>
      <c r="FC41">
        <f>SUMIFS(Detail!$AW:$AW,Detail!$G:$G,'Rates-Service Fees'!FC$23,Detail!$H:$H,'Rates-Service Fees'!FC$20)*100</f>
        <v>0</v>
      </c>
      <c r="FD41">
        <f>SUMIFS(Detail!$AW:$AW,Detail!$G:$G,'Rates-Service Fees'!FD$23,Detail!$H:$H,'Rates-Service Fees'!FD$20)*100</f>
        <v>0</v>
      </c>
      <c r="FE41">
        <f>SUMIFS(Detail!$AW:$AW,Detail!$G:$G,'Rates-Service Fees'!FE$23,Detail!$H:$H,'Rates-Service Fees'!FE$20)*100</f>
        <v>0</v>
      </c>
      <c r="FF41">
        <f>SUMIFS(Detail!$AW:$AW,Detail!$G:$G,'Rates-Service Fees'!FF$23,Detail!$H:$H,'Rates-Service Fees'!FF$20)*100</f>
        <v>0</v>
      </c>
      <c r="FG41">
        <f>SUMIFS(Detail!$AW:$AW,Detail!$G:$G,'Rates-Service Fees'!FG$23,Detail!$H:$H,'Rates-Service Fees'!FG$20)*100</f>
        <v>0</v>
      </c>
      <c r="FH41">
        <f>SUMIFS(Detail!$AW:$AW,Detail!$G:$G,'Rates-Service Fees'!FH$23,Detail!$H:$H,'Rates-Service Fees'!FH$20)*100</f>
        <v>0</v>
      </c>
      <c r="FI41">
        <f>SUMIFS(Detail!$AW:$AW,Detail!$G:$G,'Rates-Service Fees'!FI$23,Detail!$H:$H,'Rates-Service Fees'!FI$20)*100</f>
        <v>0</v>
      </c>
      <c r="FJ41">
        <f>SUMIFS(Detail!$AW:$AW,Detail!$G:$G,'Rates-Service Fees'!FJ$23,Detail!$H:$H,'Rates-Service Fees'!FJ$20)*100</f>
        <v>0</v>
      </c>
      <c r="FK41">
        <f>SUMIFS(Detail!$AW:$AW,Detail!$G:$G,'Rates-Service Fees'!FK$23,Detail!$H:$H,'Rates-Service Fees'!FK$20)*100</f>
        <v>0</v>
      </c>
      <c r="FL41">
        <f>SUMIFS(Detail!$AW:$AW,Detail!$G:$G,'Rates-Service Fees'!FL$23,Detail!$H:$H,'Rates-Service Fees'!FL$20)*100</f>
        <v>0</v>
      </c>
      <c r="FM41">
        <f>SUMIFS(Detail!$AW:$AW,Detail!$G:$G,'Rates-Service Fees'!FM$23,Detail!$H:$H,'Rates-Service Fees'!FM$20)*100</f>
        <v>0</v>
      </c>
      <c r="FN41">
        <f>SUMIFS(Detail!$AW:$AW,Detail!$G:$G,'Rates-Service Fees'!FN$23,Detail!$H:$H,'Rates-Service Fees'!FN$20)*100</f>
        <v>0</v>
      </c>
      <c r="FO41">
        <f>SUMIFS(Detail!$AW:$AW,Detail!$G:$G,'Rates-Service Fees'!FO$23,Detail!$H:$H,'Rates-Service Fees'!FO$20)*100</f>
        <v>0</v>
      </c>
      <c r="FP41">
        <f>SUMIFS(Detail!$AW:$AW,Detail!$G:$G,'Rates-Service Fees'!FP$23,Detail!$H:$H,'Rates-Service Fees'!FP$20)*100</f>
        <v>0</v>
      </c>
      <c r="FQ41">
        <f>SUMIFS(Detail!$AW:$AW,Detail!$G:$G,'Rates-Service Fees'!FQ$23,Detail!$H:$H,'Rates-Service Fees'!FQ$20)*100</f>
        <v>0</v>
      </c>
      <c r="FR41">
        <f>SUMIFS(Detail!$AW:$AW,Detail!$G:$G,'Rates-Service Fees'!FR$23,Detail!$H:$H,'Rates-Service Fees'!FR$20)*100</f>
        <v>0</v>
      </c>
      <c r="FS41">
        <f>SUMIFS(Detail!$AW:$AW,Detail!$G:$G,'Rates-Service Fees'!FS$23,Detail!$H:$H,'Rates-Service Fees'!FS$20)*100</f>
        <v>0</v>
      </c>
      <c r="FT41">
        <f>SUMIFS(Detail!$AW:$AW,Detail!$G:$G,'Rates-Service Fees'!FT$23,Detail!$H:$H,'Rates-Service Fees'!FT$20)*100</f>
        <v>0</v>
      </c>
      <c r="FU41">
        <f>SUMIFS(Detail!$AW:$AW,Detail!$G:$G,'Rates-Service Fees'!FU$23,Detail!$H:$H,'Rates-Service Fees'!FU$20)*100</f>
        <v>0</v>
      </c>
      <c r="FV41">
        <f>SUMIFS(Detail!$AW:$AW,Detail!$G:$G,'Rates-Service Fees'!FV$23,Detail!$H:$H,'Rates-Service Fees'!FV$20)*100</f>
        <v>0</v>
      </c>
      <c r="FW41">
        <f>SUMIFS(Detail!$AW:$AW,Detail!$G:$G,'Rates-Service Fees'!FW$23,Detail!$H:$H,'Rates-Service Fees'!FW$20)*100</f>
        <v>0</v>
      </c>
      <c r="FX41">
        <f>SUMIFS(Detail!$AW:$AW,Detail!$G:$G,'Rates-Service Fees'!FX$23,Detail!$H:$H,'Rates-Service Fees'!FX$20)*100</f>
        <v>0</v>
      </c>
      <c r="FY41">
        <f>SUMIFS(Detail!$AW:$AW,Detail!$G:$G,'Rates-Service Fees'!FY$23,Detail!$H:$H,'Rates-Service Fees'!FY$20)*100</f>
        <v>0</v>
      </c>
      <c r="FZ41">
        <f>SUMIFS(Detail!$AW:$AW,Detail!$G:$G,'Rates-Service Fees'!FZ$23,Detail!$H:$H,'Rates-Service Fees'!FZ$20)*100</f>
        <v>0</v>
      </c>
      <c r="GA41">
        <f>SUMIFS(Detail!$AW:$AW,Detail!$G:$G,'Rates-Service Fees'!GA$23,Detail!$H:$H,'Rates-Service Fees'!GA$20)*100</f>
        <v>0</v>
      </c>
      <c r="GB41">
        <f>SUMIFS(Detail!$AW:$AW,Detail!$G:$G,'Rates-Service Fees'!GB$23,Detail!$H:$H,'Rates-Service Fees'!GB$20)*100</f>
        <v>0</v>
      </c>
      <c r="GC41">
        <f>SUMIFS(Detail!$AW:$AW,Detail!$G:$G,'Rates-Service Fees'!GC$23,Detail!$H:$H,'Rates-Service Fees'!GC$20)*100</f>
        <v>0</v>
      </c>
      <c r="GD41">
        <f>SUMIFS(Detail!$AW:$AW,Detail!$G:$G,'Rates-Service Fees'!GD$23,Detail!$H:$H,'Rates-Service Fees'!GD$20)*100</f>
        <v>0</v>
      </c>
      <c r="GE41">
        <f>SUMIFS(Detail!$AW:$AW,Detail!$G:$G,'Rates-Service Fees'!GE$23,Detail!$H:$H,'Rates-Service Fees'!GE$20)*100</f>
        <v>0</v>
      </c>
      <c r="GF41">
        <f>SUMIFS(Detail!$AW:$AW,Detail!$G:$G,'Rates-Service Fees'!GF$23,Detail!$H:$H,'Rates-Service Fees'!GF$20)*100</f>
        <v>0</v>
      </c>
      <c r="GG41">
        <f>SUMIFS(Detail!$AW:$AW,Detail!$G:$G,'Rates-Service Fees'!GG$23,Detail!$H:$H,'Rates-Service Fees'!GG$20)*100</f>
        <v>0</v>
      </c>
      <c r="GH41">
        <f>SUMIFS(Detail!$AW:$AW,Detail!$G:$G,'Rates-Service Fees'!GH$23,Detail!$H:$H,'Rates-Service Fees'!GH$20)*100</f>
        <v>0</v>
      </c>
      <c r="GI41">
        <f>SUMIFS(Detail!$AW:$AW,Detail!$G:$G,'Rates-Service Fees'!GI$23,Detail!$H:$H,'Rates-Service Fees'!GI$20)*100</f>
        <v>0</v>
      </c>
      <c r="GJ41">
        <f>SUMIFS(Detail!$AW:$AW,Detail!$G:$G,'Rates-Service Fees'!GJ$23,Detail!$H:$H,'Rates-Service Fees'!GJ$20)*100</f>
        <v>0</v>
      </c>
      <c r="GK41">
        <f>SUMIFS(Detail!$AW:$AW,Detail!$G:$G,'Rates-Service Fees'!GK$23,Detail!$H:$H,'Rates-Service Fees'!GK$20)*100</f>
        <v>0</v>
      </c>
      <c r="GL41">
        <f>SUMIFS(Detail!$AW:$AW,Detail!$G:$G,'Rates-Service Fees'!GL$23,Detail!$H:$H,'Rates-Service Fees'!GL$20)*100</f>
        <v>0</v>
      </c>
      <c r="GM41">
        <f>SUMIFS(Detail!$AW:$AW,Detail!$G:$G,'Rates-Service Fees'!GM$23,Detail!$H:$H,'Rates-Service Fees'!GM$20)*100</f>
        <v>0</v>
      </c>
      <c r="GN41">
        <f>SUMIFS(Detail!$AW:$AW,Detail!$G:$G,'Rates-Service Fees'!GN$23,Detail!$H:$H,'Rates-Service Fees'!GN$20)*100</f>
        <v>0</v>
      </c>
      <c r="GO41">
        <f>SUMIFS(Detail!$AW:$AW,Detail!$G:$G,'Rates-Service Fees'!GO$23,Detail!$H:$H,'Rates-Service Fees'!GO$20)*100</f>
        <v>0</v>
      </c>
      <c r="GP41">
        <f>SUMIFS(Detail!$AW:$AW,Detail!$G:$G,'Rates-Service Fees'!GP$23,Detail!$H:$H,'Rates-Service Fees'!GP$20)*100</f>
        <v>0</v>
      </c>
      <c r="GQ41">
        <f>SUMIFS(Detail!$AW:$AW,Detail!$G:$G,'Rates-Service Fees'!GQ$23,Detail!$H:$H,'Rates-Service Fees'!GQ$20)*100</f>
        <v>0</v>
      </c>
      <c r="GR41">
        <f>SUMIFS(Detail!$AW:$AW,Detail!$G:$G,'Rates-Service Fees'!GR$23,Detail!$H:$H,'Rates-Service Fees'!GR$20)*100</f>
        <v>0</v>
      </c>
      <c r="GS41">
        <f>SUMIFS(Detail!$AW:$AW,Detail!$G:$G,'Rates-Service Fees'!GS$23,Detail!$H:$H,'Rates-Service Fees'!GS$20)*100</f>
        <v>0</v>
      </c>
      <c r="GT41">
        <f>SUMIFS(Detail!$AW:$AW,Detail!$G:$G,'Rates-Service Fees'!GT$23,Detail!$H:$H,'Rates-Service Fees'!GT$20)*100</f>
        <v>0</v>
      </c>
      <c r="GU41">
        <f>SUMIFS(Detail!$AW:$AW,Detail!$G:$G,'Rates-Service Fees'!GU$23,Detail!$H:$H,'Rates-Service Fees'!GU$20)*100</f>
        <v>0</v>
      </c>
      <c r="GV41">
        <f>SUMIFS(Detail!$AW:$AW,Detail!$G:$G,'Rates-Service Fees'!GV$23,Detail!$H:$H,'Rates-Service Fees'!GV$20)*100</f>
        <v>0</v>
      </c>
      <c r="GW41">
        <f>SUMIFS(Detail!$AW:$AW,Detail!$G:$G,'Rates-Service Fees'!GW$23,Detail!$H:$H,'Rates-Service Fees'!GW$20)*100</f>
        <v>0</v>
      </c>
      <c r="GX41">
        <f>SUMIFS(Detail!$AW:$AW,Detail!$G:$G,'Rates-Service Fees'!GX$23,Detail!$H:$H,'Rates-Service Fees'!GX$20)*100</f>
        <v>0</v>
      </c>
      <c r="GY41">
        <f>SUMIFS(Detail!$AW:$AW,Detail!$G:$G,'Rates-Service Fees'!GY$23,Detail!$H:$H,'Rates-Service Fees'!GY$20)*100</f>
        <v>0</v>
      </c>
      <c r="GZ41">
        <f>SUMIFS(Detail!$AW:$AW,Detail!$G:$G,'Rates-Service Fees'!GZ$23,Detail!$H:$H,'Rates-Service Fees'!GZ$20)*100</f>
        <v>0</v>
      </c>
      <c r="HA41">
        <f>SUMIFS(Detail!$AW:$AW,Detail!$G:$G,'Rates-Service Fees'!HA$23,Detail!$H:$H,'Rates-Service Fees'!HA$20)*100</f>
        <v>0</v>
      </c>
      <c r="HB41">
        <f>SUMIFS(Detail!$AW:$AW,Detail!$G:$G,'Rates-Service Fees'!HB$23,Detail!$H:$H,'Rates-Service Fees'!HB$20)*100</f>
        <v>0</v>
      </c>
      <c r="HC41">
        <f>SUMIFS(Detail!$AW:$AW,Detail!$G:$G,'Rates-Service Fees'!HC$23,Detail!$H:$H,'Rates-Service Fees'!HC$20)*100</f>
        <v>0</v>
      </c>
      <c r="HD41">
        <f>SUMIFS(Detail!$AW:$AW,Detail!$G:$G,'Rates-Service Fees'!HD$23,Detail!$H:$H,'Rates-Service Fees'!HD$20)*100</f>
        <v>0</v>
      </c>
      <c r="HE41">
        <f>SUMIFS(Detail!$AW:$AW,Detail!$G:$G,'Rates-Service Fees'!HE$23,Detail!$H:$H,'Rates-Service Fees'!HE$20)*100</f>
        <v>0</v>
      </c>
      <c r="HF41">
        <f>SUMIFS(Detail!$AW:$AW,Detail!$G:$G,'Rates-Service Fees'!HF$23,Detail!$H:$H,'Rates-Service Fees'!HF$20)*100</f>
        <v>0</v>
      </c>
      <c r="HG41">
        <f>SUMIFS(Detail!$AW:$AW,Detail!$G:$G,'Rates-Service Fees'!HG$23,Detail!$H:$H,'Rates-Service Fees'!HG$20)*100</f>
        <v>0</v>
      </c>
      <c r="HH41">
        <f>SUMIFS(Detail!$AW:$AW,Detail!$G:$G,'Rates-Service Fees'!HH$23,Detail!$H:$H,'Rates-Service Fees'!HH$20)*100</f>
        <v>0</v>
      </c>
      <c r="HI41">
        <f>SUMIFS(Detail!$AW:$AW,Detail!$G:$G,'Rates-Service Fees'!HI$23,Detail!$H:$H,'Rates-Service Fees'!HI$20)*100</f>
        <v>0</v>
      </c>
      <c r="HJ41">
        <f>SUMIFS(Detail!$AW:$AW,Detail!$G:$G,'Rates-Service Fees'!HJ$23,Detail!$H:$H,'Rates-Service Fees'!HJ$20)*100</f>
        <v>0</v>
      </c>
      <c r="HK41">
        <f>SUMIFS(Detail!$AW:$AW,Detail!$G:$G,'Rates-Service Fees'!HK$23,Detail!$H:$H,'Rates-Service Fees'!HK$20)*100</f>
        <v>0</v>
      </c>
      <c r="HL41">
        <f>SUMIFS(Detail!$AW:$AW,Detail!$G:$G,'Rates-Service Fees'!HL$23,Detail!$H:$H,'Rates-Service Fees'!HL$20)*100</f>
        <v>0</v>
      </c>
      <c r="HM41">
        <f>SUMIFS(Detail!$AW:$AW,Detail!$G:$G,'Rates-Service Fees'!HM$23,Detail!$H:$H,'Rates-Service Fees'!HM$20)*100</f>
        <v>0</v>
      </c>
      <c r="HN41">
        <f>SUMIFS(Detail!$AW:$AW,Detail!$G:$G,'Rates-Service Fees'!HN$23,Detail!$H:$H,'Rates-Service Fees'!HN$20)*100</f>
        <v>0</v>
      </c>
      <c r="HO41">
        <f>SUMIFS(Detail!$AW:$AW,Detail!$G:$G,'Rates-Service Fees'!HO$23,Detail!$H:$H,'Rates-Service Fees'!HO$20)*100</f>
        <v>0</v>
      </c>
      <c r="HP41">
        <f>SUMIFS(Detail!$AW:$AW,Detail!$G:$G,'Rates-Service Fees'!HP$23,Detail!$H:$H,'Rates-Service Fees'!HP$20)*100</f>
        <v>0</v>
      </c>
      <c r="HQ41">
        <f>SUMIFS(Detail!$AW:$AW,Detail!$G:$G,'Rates-Service Fees'!HQ$23,Detail!$H:$H,'Rates-Service Fees'!HQ$20)*100</f>
        <v>0</v>
      </c>
      <c r="HR41">
        <f>SUMIFS(Detail!$AW:$AW,Detail!$G:$G,'Rates-Service Fees'!HR$23,Detail!$H:$H,'Rates-Service Fees'!HR$20)*100</f>
        <v>0</v>
      </c>
      <c r="HS41">
        <f>SUMIFS(Detail!$AW:$AW,Detail!$G:$G,'Rates-Service Fees'!HS$23,Detail!$H:$H,'Rates-Service Fees'!HS$20)*100</f>
        <v>0</v>
      </c>
      <c r="HT41">
        <f>SUMIFS(Detail!$AW:$AW,Detail!$G:$G,'Rates-Service Fees'!HT$23,Detail!$H:$H,'Rates-Service Fees'!HT$20)*100</f>
        <v>0</v>
      </c>
      <c r="HU41">
        <f>SUMIFS(Detail!$AW:$AW,Detail!$G:$G,'Rates-Service Fees'!HU$23,Detail!$H:$H,'Rates-Service Fees'!HU$20)*100</f>
        <v>0</v>
      </c>
      <c r="HV41">
        <f>SUMIFS(Detail!$AW:$AW,Detail!$G:$G,'Rates-Service Fees'!HV$23,Detail!$H:$H,'Rates-Service Fees'!HV$20)*100</f>
        <v>0</v>
      </c>
      <c r="HW41">
        <f>SUMIFS(Detail!$AW:$AW,Detail!$G:$G,'Rates-Service Fees'!HW$23,Detail!$H:$H,'Rates-Service Fees'!HW$20)*100</f>
        <v>0</v>
      </c>
      <c r="HX41">
        <f>SUMIFS(Detail!$AW:$AW,Detail!$G:$G,'Rates-Service Fees'!HX$23,Detail!$H:$H,'Rates-Service Fees'!HX$20)*100</f>
        <v>0</v>
      </c>
      <c r="HY41">
        <f>SUMIFS(Detail!$AW:$AW,Detail!$G:$G,'Rates-Service Fees'!HY$23,Detail!$H:$H,'Rates-Service Fees'!HY$20)*100</f>
        <v>0</v>
      </c>
      <c r="HZ41">
        <f>SUMIFS(Detail!$AW:$AW,Detail!$G:$G,'Rates-Service Fees'!HZ$23,Detail!$H:$H,'Rates-Service Fees'!HZ$20)*100</f>
        <v>0</v>
      </c>
      <c r="IA41">
        <f>SUMIFS(Detail!$AW:$AW,Detail!$G:$G,'Rates-Service Fees'!IA$23,Detail!$H:$H,'Rates-Service Fees'!IA$20)*100</f>
        <v>0</v>
      </c>
      <c r="IB41">
        <f>SUMIFS(Detail!$AW:$AW,Detail!$G:$G,'Rates-Service Fees'!IB$23,Detail!$H:$H,'Rates-Service Fees'!IB$20)*100</f>
        <v>0</v>
      </c>
      <c r="IC41">
        <f>SUMIFS(Detail!$AW:$AW,Detail!$G:$G,'Rates-Service Fees'!IC$23,Detail!$H:$H,'Rates-Service Fees'!IC$20)*100</f>
        <v>0</v>
      </c>
      <c r="ID41">
        <f>SUMIFS(Detail!$AW:$AW,Detail!$G:$G,'Rates-Service Fees'!ID$23,Detail!$H:$H,'Rates-Service Fees'!ID$20)*100</f>
        <v>0</v>
      </c>
      <c r="IE41">
        <f>SUMIFS(Detail!$AW:$AW,Detail!$G:$G,'Rates-Service Fees'!IE$23,Detail!$H:$H,'Rates-Service Fees'!IE$20)*100</f>
        <v>0</v>
      </c>
      <c r="IF41">
        <f>SUMIFS(Detail!$AW:$AW,Detail!$G:$G,'Rates-Service Fees'!IF$23,Detail!$H:$H,'Rates-Service Fees'!IF$20)*100</f>
        <v>0</v>
      </c>
      <c r="IG41">
        <f>SUMIFS(Detail!$AW:$AW,Detail!$G:$G,'Rates-Service Fees'!IG$23,Detail!$H:$H,'Rates-Service Fees'!IG$20)*100</f>
        <v>0</v>
      </c>
      <c r="IH41">
        <f>SUMIFS(Detail!$AW:$AW,Detail!$G:$G,'Rates-Service Fees'!IH$23,Detail!$H:$H,'Rates-Service Fees'!IH$20)*100</f>
        <v>0</v>
      </c>
      <c r="II41">
        <f>SUMIFS(Detail!$AW:$AW,Detail!$G:$G,'Rates-Service Fees'!II$23,Detail!$H:$H,'Rates-Service Fees'!II$20)*100</f>
        <v>0</v>
      </c>
      <c r="IJ41">
        <f>SUMIFS(Detail!$AW:$AW,Detail!$G:$G,'Rates-Service Fees'!IJ$23,Detail!$H:$H,'Rates-Service Fees'!IJ$20)*100</f>
        <v>0</v>
      </c>
      <c r="IK41">
        <f>SUMIFS(Detail!$AW:$AW,Detail!$G:$G,'Rates-Service Fees'!IK$23,Detail!$H:$H,'Rates-Service Fees'!IK$20)*100</f>
        <v>0</v>
      </c>
      <c r="IL41">
        <f>SUMIFS(Detail!$AW:$AW,Detail!$G:$G,'Rates-Service Fees'!IL$23,Detail!$H:$H,'Rates-Service Fees'!IL$20)*100</f>
        <v>0</v>
      </c>
      <c r="IM41">
        <f>SUMIFS(Detail!$AW:$AW,Detail!$G:$G,'Rates-Service Fees'!IM$23,Detail!$H:$H,'Rates-Service Fees'!IM$20)*100</f>
        <v>0</v>
      </c>
      <c r="IN41">
        <f>SUMIFS(Detail!$AW:$AW,Detail!$G:$G,'Rates-Service Fees'!IN$23,Detail!$H:$H,'Rates-Service Fees'!IN$20)*100</f>
        <v>0</v>
      </c>
      <c r="IO41">
        <f>SUMIFS(Detail!$AW:$AW,Detail!$G:$G,'Rates-Service Fees'!IO$23,Detail!$H:$H,'Rates-Service Fees'!IO$20)*100</f>
        <v>0</v>
      </c>
      <c r="IP41">
        <f>SUMIFS(Detail!$AW:$AW,Detail!$G:$G,'Rates-Service Fees'!IP$23,Detail!$H:$H,'Rates-Service Fees'!IP$20)*100</f>
        <v>0</v>
      </c>
      <c r="IQ41">
        <f>SUMIFS(Detail!$AW:$AW,Detail!$G:$G,'Rates-Service Fees'!IQ$23,Detail!$H:$H,'Rates-Service Fees'!IQ$20)*100</f>
        <v>0</v>
      </c>
      <c r="IR41">
        <f>SUMIFS(Detail!$AW:$AW,Detail!$G:$G,'Rates-Service Fees'!IR$23,Detail!$H:$H,'Rates-Service Fees'!IR$20)*100</f>
        <v>0</v>
      </c>
      <c r="IS41">
        <f>SUMIFS(Detail!$AW:$AW,Detail!$G:$G,'Rates-Service Fees'!IS$23,Detail!$H:$H,'Rates-Service Fees'!IS$20)*100</f>
        <v>0</v>
      </c>
      <c r="IT41">
        <f>SUMIFS(Detail!$AW:$AW,Detail!$G:$G,'Rates-Service Fees'!IT$23,Detail!$H:$H,'Rates-Service Fees'!IT$20)*100</f>
        <v>0</v>
      </c>
      <c r="IU41">
        <f>SUMIFS(Detail!$AW:$AW,Detail!$G:$G,'Rates-Service Fees'!IU$23,Detail!$H:$H,'Rates-Service Fees'!IU$20)*100</f>
        <v>0</v>
      </c>
      <c r="IV41">
        <f>SUMIFS(Detail!$AW:$AW,Detail!$G:$G,'Rates-Service Fees'!IV$23,Detail!$H:$H,'Rates-Service Fees'!IV$20)*100</f>
        <v>0</v>
      </c>
      <c r="IW41">
        <f>SUMIFS(Detail!$AW:$AW,Detail!$G:$G,'Rates-Service Fees'!IW$23,Detail!$H:$H,'Rates-Service Fees'!IW$20)*100</f>
        <v>0</v>
      </c>
      <c r="IX41">
        <f>SUMIFS(Detail!$AW:$AW,Detail!$G:$G,'Rates-Service Fees'!IX$23,Detail!$H:$H,'Rates-Service Fees'!IX$20)*100</f>
        <v>0</v>
      </c>
      <c r="IY41">
        <f>SUMIFS(Detail!$AW:$AW,Detail!$G:$G,'Rates-Service Fees'!IY$23,Detail!$H:$H,'Rates-Service Fees'!IY$20)*100</f>
        <v>0</v>
      </c>
      <c r="IZ41">
        <f>SUMIFS(Detail!$AW:$AW,Detail!$G:$G,'Rates-Service Fees'!IZ$23,Detail!$H:$H,'Rates-Service Fees'!IZ$20)*100</f>
        <v>0</v>
      </c>
      <c r="JA41">
        <f>SUMIFS(Detail!$AW:$AW,Detail!$G:$G,'Rates-Service Fees'!JA$23,Detail!$H:$H,'Rates-Service Fees'!JA$20)*100</f>
        <v>0</v>
      </c>
      <c r="JB41">
        <f>SUMIFS(Detail!$AW:$AW,Detail!$G:$G,'Rates-Service Fees'!JB$23,Detail!$H:$H,'Rates-Service Fees'!JB$20)*100</f>
        <v>0</v>
      </c>
      <c r="JC41">
        <f>SUMIFS(Detail!$AW:$AW,Detail!$G:$G,'Rates-Service Fees'!JC$23,Detail!$H:$H,'Rates-Service Fees'!JC$20)*100</f>
        <v>0</v>
      </c>
      <c r="JD41">
        <f>SUMIFS(Detail!$AW:$AW,Detail!$G:$G,'Rates-Service Fees'!JD$23,Detail!$H:$H,'Rates-Service Fees'!JD$20)*100</f>
        <v>0</v>
      </c>
      <c r="JE41">
        <f>SUMIFS(Detail!$AW:$AW,Detail!$G:$G,'Rates-Service Fees'!JE$23,Detail!$H:$H,'Rates-Service Fees'!JE$20)*100</f>
        <v>0</v>
      </c>
      <c r="JF41">
        <f>SUMIFS(Detail!$AW:$AW,Detail!$G:$G,'Rates-Service Fees'!JF$23,Detail!$H:$H,'Rates-Service Fees'!JF$20)*100</f>
        <v>0</v>
      </c>
      <c r="JG41">
        <f>SUMIFS(Detail!$AW:$AW,Detail!$G:$G,'Rates-Service Fees'!JG$23,Detail!$H:$H,'Rates-Service Fees'!JG$20)*100</f>
        <v>0</v>
      </c>
      <c r="JH41">
        <f>SUMIFS(Detail!$AW:$AW,Detail!$G:$G,'Rates-Service Fees'!JH$23,Detail!$H:$H,'Rates-Service Fees'!JH$20)*100</f>
        <v>0</v>
      </c>
      <c r="JI41">
        <f>SUMIFS(Detail!$AW:$AW,Detail!$G:$G,'Rates-Service Fees'!JI$23,Detail!$H:$H,'Rates-Service Fees'!JI$20)*100</f>
        <v>0</v>
      </c>
      <c r="JJ41">
        <f>SUMIFS(Detail!$AW:$AW,Detail!$G:$G,'Rates-Service Fees'!JJ$23,Detail!$H:$H,'Rates-Service Fees'!JJ$20)*100</f>
        <v>0</v>
      </c>
      <c r="JK41">
        <f>SUMIFS(Detail!$AW:$AW,Detail!$G:$G,'Rates-Service Fees'!JK$23,Detail!$H:$H,'Rates-Service Fees'!JK$20)*100</f>
        <v>0</v>
      </c>
      <c r="JL41">
        <f>SUMIFS(Detail!$AW:$AW,Detail!$G:$G,'Rates-Service Fees'!JL$23,Detail!$H:$H,'Rates-Service Fees'!JL$20)*100</f>
        <v>0</v>
      </c>
      <c r="JM41">
        <f>SUMIFS(Detail!$AW:$AW,Detail!$G:$G,'Rates-Service Fees'!JM$23,Detail!$H:$H,'Rates-Service Fees'!JM$20)*100</f>
        <v>0</v>
      </c>
      <c r="JN41">
        <f>SUMIFS(Detail!$AW:$AW,Detail!$G:$G,'Rates-Service Fees'!JN$23,Detail!$H:$H,'Rates-Service Fees'!JN$20)*100</f>
        <v>0</v>
      </c>
      <c r="JO41">
        <f>SUMIFS(Detail!$AW:$AW,Detail!$G:$G,'Rates-Service Fees'!JO$23,Detail!$H:$H,'Rates-Service Fees'!JO$20)*100</f>
        <v>0</v>
      </c>
      <c r="JP41">
        <f>SUMIFS(Detail!$AW:$AW,Detail!$G:$G,'Rates-Service Fees'!JP$23,Detail!$H:$H,'Rates-Service Fees'!JP$20)*100</f>
        <v>0</v>
      </c>
      <c r="JQ41">
        <f>SUMIFS(Detail!$AW:$AW,Detail!$G:$G,'Rates-Service Fees'!JQ$23,Detail!$H:$H,'Rates-Service Fees'!JQ$20)*100</f>
        <v>0</v>
      </c>
      <c r="JR41">
        <f>SUMIFS(Detail!$AW:$AW,Detail!$G:$G,'Rates-Service Fees'!JR$23,Detail!$H:$H,'Rates-Service Fees'!JR$20)*100</f>
        <v>0</v>
      </c>
      <c r="JS41">
        <f>SUMIFS(Detail!$AW:$AW,Detail!$G:$G,'Rates-Service Fees'!JS$23,Detail!$H:$H,'Rates-Service Fees'!JS$20)*100</f>
        <v>0</v>
      </c>
      <c r="JT41">
        <f>SUMIFS(Detail!$AW:$AW,Detail!$G:$G,'Rates-Service Fees'!JT$23,Detail!$H:$H,'Rates-Service Fees'!JT$20)*100</f>
        <v>0</v>
      </c>
      <c r="JU41">
        <f>SUMIFS(Detail!$AW:$AW,Detail!$G:$G,'Rates-Service Fees'!JU$23,Detail!$H:$H,'Rates-Service Fees'!JU$20)*100</f>
        <v>0</v>
      </c>
      <c r="JV41">
        <f>SUMIFS(Detail!$AW:$AW,Detail!$G:$G,'Rates-Service Fees'!JV$23,Detail!$H:$H,'Rates-Service Fees'!JV$20)*100</f>
        <v>0</v>
      </c>
      <c r="JW41">
        <f>SUMIFS(Detail!$AW:$AW,Detail!$G:$G,'Rates-Service Fees'!JW$23,Detail!$H:$H,'Rates-Service Fees'!JW$20)*100</f>
        <v>0</v>
      </c>
      <c r="JX41">
        <f>SUMIFS(Detail!$AW:$AW,Detail!$G:$G,'Rates-Service Fees'!JX$23,Detail!$H:$H,'Rates-Service Fees'!JX$20)*100</f>
        <v>0</v>
      </c>
      <c r="JY41">
        <f>SUMIFS(Detail!$AW:$AW,Detail!$G:$G,'Rates-Service Fees'!JY$23,Detail!$H:$H,'Rates-Service Fees'!JY$20)*100</f>
        <v>0</v>
      </c>
      <c r="JZ41">
        <f>SUMIFS(Detail!$AW:$AW,Detail!$G:$G,'Rates-Service Fees'!JZ$23,Detail!$H:$H,'Rates-Service Fees'!JZ$20)*100</f>
        <v>0</v>
      </c>
      <c r="KA41">
        <f>SUMIFS(Detail!$AW:$AW,Detail!$G:$G,'Rates-Service Fees'!KA$23,Detail!$H:$H,'Rates-Service Fees'!KA$20)*100</f>
        <v>0</v>
      </c>
      <c r="KB41">
        <f>SUMIFS(Detail!$AW:$AW,Detail!$G:$G,'Rates-Service Fees'!KB$23,Detail!$H:$H,'Rates-Service Fees'!KB$20)*100</f>
        <v>0</v>
      </c>
      <c r="KC41">
        <f>SUMIFS(Detail!$AW:$AW,Detail!$G:$G,'Rates-Service Fees'!KC$23,Detail!$H:$H,'Rates-Service Fees'!KC$20)*100</f>
        <v>0</v>
      </c>
      <c r="KD41">
        <f>SUMIFS(Detail!$AW:$AW,Detail!$G:$G,'Rates-Service Fees'!KD$23,Detail!$H:$H,'Rates-Service Fees'!KD$20)*100</f>
        <v>0</v>
      </c>
      <c r="KE41">
        <f>SUMIFS(Detail!$AW:$AW,Detail!$G:$G,'Rates-Service Fees'!KE$23,Detail!$H:$H,'Rates-Service Fees'!KE$20)*100</f>
        <v>0</v>
      </c>
      <c r="KF41">
        <f>SUMIFS(Detail!$AW:$AW,Detail!$G:$G,'Rates-Service Fees'!KF$23,Detail!$H:$H,'Rates-Service Fees'!KF$20)*100</f>
        <v>0</v>
      </c>
      <c r="KG41">
        <f>SUMIFS(Detail!$AW:$AW,Detail!$G:$G,'Rates-Service Fees'!KG$23,Detail!$H:$H,'Rates-Service Fees'!KG$20)*100</f>
        <v>0</v>
      </c>
      <c r="KH41">
        <f>SUMIFS(Detail!$AW:$AW,Detail!$G:$G,'Rates-Service Fees'!KH$23,Detail!$H:$H,'Rates-Service Fees'!KH$20)*100</f>
        <v>0</v>
      </c>
      <c r="KI41">
        <f>SUMIFS(Detail!$AW:$AW,Detail!$G:$G,'Rates-Service Fees'!KI$23,Detail!$H:$H,'Rates-Service Fees'!KI$20)*100</f>
        <v>0</v>
      </c>
      <c r="KJ41">
        <f>SUMIFS(Detail!$AW:$AW,Detail!$G:$G,'Rates-Service Fees'!KJ$23,Detail!$H:$H,'Rates-Service Fees'!KJ$20)*100</f>
        <v>0</v>
      </c>
      <c r="KK41">
        <f>SUMIFS(Detail!$AW:$AW,Detail!$G:$G,'Rates-Service Fees'!KK$23,Detail!$H:$H,'Rates-Service Fees'!KK$20)*100</f>
        <v>0</v>
      </c>
      <c r="KL41">
        <f>SUMIFS(Detail!$AW:$AW,Detail!$G:$G,'Rates-Service Fees'!KL$23,Detail!$H:$H,'Rates-Service Fees'!KL$20)*100</f>
        <v>0</v>
      </c>
      <c r="KM41">
        <f>SUMIFS(Detail!$AW:$AW,Detail!$G:$G,'Rates-Service Fees'!KM$23,Detail!$H:$H,'Rates-Service Fees'!KM$20)*100</f>
        <v>0</v>
      </c>
      <c r="KN41">
        <f>SUMIFS(Detail!$AW:$AW,Detail!$G:$G,'Rates-Service Fees'!KN$23,Detail!$H:$H,'Rates-Service Fees'!KN$20)*100</f>
        <v>0</v>
      </c>
      <c r="KO41">
        <f>SUMIFS(Detail!$AW:$AW,Detail!$G:$G,'Rates-Service Fees'!KO$23,Detail!$H:$H,'Rates-Service Fees'!KO$20)*100</f>
        <v>0</v>
      </c>
      <c r="KP41">
        <f>SUMIFS(Detail!$AW:$AW,Detail!$G:$G,'Rates-Service Fees'!KP$23,Detail!$H:$H,'Rates-Service Fees'!KP$20)*100</f>
        <v>0</v>
      </c>
      <c r="KQ41">
        <f>SUMIFS(Detail!$AW:$AW,Detail!$G:$G,'Rates-Service Fees'!KQ$23,Detail!$H:$H,'Rates-Service Fees'!KQ$20)*100</f>
        <v>0</v>
      </c>
      <c r="KR41">
        <f>SUMIFS(Detail!$AW:$AW,Detail!$G:$G,'Rates-Service Fees'!KR$23,Detail!$H:$H,'Rates-Service Fees'!KR$20)*100</f>
        <v>0</v>
      </c>
      <c r="KS41">
        <f>SUMIFS(Detail!$AW:$AW,Detail!$G:$G,'Rates-Service Fees'!KS$23,Detail!$H:$H,'Rates-Service Fees'!KS$20)*100</f>
        <v>0</v>
      </c>
      <c r="KT41">
        <f>SUMIFS(Detail!$AW:$AW,Detail!$G:$G,'Rates-Service Fees'!KT$23,Detail!$H:$H,'Rates-Service Fees'!KT$20)*100</f>
        <v>0</v>
      </c>
      <c r="KU41">
        <f>SUMIFS(Detail!$AW:$AW,Detail!$G:$G,'Rates-Service Fees'!KU$23,Detail!$H:$H,'Rates-Service Fees'!KU$20)*100</f>
        <v>0</v>
      </c>
      <c r="KV41">
        <f>SUMIFS(Detail!$AW:$AW,Detail!$G:$G,'Rates-Service Fees'!KV$23,Detail!$H:$H,'Rates-Service Fees'!KV$20)*100</f>
        <v>0</v>
      </c>
      <c r="KW41">
        <f>SUMIFS(Detail!$AW:$AW,Detail!$G:$G,'Rates-Service Fees'!KW$23,Detail!$H:$H,'Rates-Service Fees'!KW$20)*100</f>
        <v>0</v>
      </c>
      <c r="KX41">
        <f>SUMIFS(Detail!$AW:$AW,Detail!$G:$G,'Rates-Service Fees'!KX$23,Detail!$H:$H,'Rates-Service Fees'!KX$20)*100</f>
        <v>0</v>
      </c>
      <c r="KY41">
        <f>SUMIFS(Detail!$AW:$AW,Detail!$G:$G,'Rates-Service Fees'!KY$23,Detail!$H:$H,'Rates-Service Fees'!KY$20)*100</f>
        <v>0</v>
      </c>
      <c r="KZ41">
        <f>SUMIFS(Detail!$AW:$AW,Detail!$G:$G,'Rates-Service Fees'!KZ$23,Detail!$H:$H,'Rates-Service Fees'!KZ$20)*100</f>
        <v>0</v>
      </c>
      <c r="LA41">
        <f>SUMIFS(Detail!$AW:$AW,Detail!$G:$G,'Rates-Service Fees'!LA$23,Detail!$H:$H,'Rates-Service Fees'!LA$20)*100</f>
        <v>0</v>
      </c>
      <c r="LB41">
        <f>SUMIFS(Detail!$AW:$AW,Detail!$G:$G,'Rates-Service Fees'!LB$23,Detail!$H:$H,'Rates-Service Fees'!LB$20)*100</f>
        <v>0</v>
      </c>
      <c r="LC41">
        <f>SUMIFS(Detail!$AW:$AW,Detail!$G:$G,'Rates-Service Fees'!LC$23,Detail!$H:$H,'Rates-Service Fees'!LC$20)*100</f>
        <v>0</v>
      </c>
      <c r="LD41">
        <f>SUMIFS(Detail!$AW:$AW,Detail!$G:$G,'Rates-Service Fees'!LD$23,Detail!$H:$H,'Rates-Service Fees'!LD$20)*100</f>
        <v>0</v>
      </c>
      <c r="LE41">
        <f>SUMIFS(Detail!$AW:$AW,Detail!$G:$G,'Rates-Service Fees'!LE$23,Detail!$H:$H,'Rates-Service Fees'!LE$20)*100</f>
        <v>0</v>
      </c>
      <c r="LF41">
        <f>SUMIFS(Detail!$AW:$AW,Detail!$G:$G,'Rates-Service Fees'!LF$23,Detail!$H:$H,'Rates-Service Fees'!LF$20)*100</f>
        <v>0</v>
      </c>
      <c r="LG41">
        <f>SUMIFS(Detail!$AW:$AW,Detail!$G:$G,'Rates-Service Fees'!LG$23,Detail!$H:$H,'Rates-Service Fees'!LG$20)*100</f>
        <v>0</v>
      </c>
      <c r="LH41">
        <f>SUMIFS(Detail!$AW:$AW,Detail!$G:$G,'Rates-Service Fees'!LH$23,Detail!$H:$H,'Rates-Service Fees'!LH$20)*100</f>
        <v>0</v>
      </c>
      <c r="LI41">
        <f>SUMIFS(Detail!$AW:$AW,Detail!$G:$G,'Rates-Service Fees'!LI$23,Detail!$H:$H,'Rates-Service Fees'!LI$20)*100</f>
        <v>0</v>
      </c>
      <c r="LJ41">
        <f>SUMIFS(Detail!$AW:$AW,Detail!$G:$G,'Rates-Service Fees'!LJ$23,Detail!$H:$H,'Rates-Service Fees'!LJ$20)*100</f>
        <v>0</v>
      </c>
      <c r="LK41">
        <f>SUMIFS(Detail!$AW:$AW,Detail!$G:$G,'Rates-Service Fees'!LK$23,Detail!$H:$H,'Rates-Service Fees'!LK$20)*100</f>
        <v>0</v>
      </c>
      <c r="LL41">
        <f>SUMIFS(Detail!$AW:$AW,Detail!$G:$G,'Rates-Service Fees'!LL$23,Detail!$H:$H,'Rates-Service Fees'!LL$20)*100</f>
        <v>0</v>
      </c>
      <c r="LM41">
        <f>SUMIFS(Detail!$AW:$AW,Detail!$G:$G,'Rates-Service Fees'!LM$23,Detail!$H:$H,'Rates-Service Fees'!LM$20)*100</f>
        <v>0</v>
      </c>
      <c r="LN41">
        <f>SUMIFS(Detail!$AW:$AW,Detail!$G:$G,'Rates-Service Fees'!LN$23,Detail!$H:$H,'Rates-Service Fees'!LN$20)*100</f>
        <v>0</v>
      </c>
      <c r="LO41">
        <f>SUMIFS(Detail!$AW:$AW,Detail!$G:$G,'Rates-Service Fees'!LO$23,Detail!$H:$H,'Rates-Service Fees'!LO$20)*100</f>
        <v>0</v>
      </c>
      <c r="LP41">
        <f>SUMIFS(Detail!$AW:$AW,Detail!$G:$G,'Rates-Service Fees'!LP$23,Detail!$H:$H,'Rates-Service Fees'!LP$20)*100</f>
        <v>0</v>
      </c>
      <c r="LQ41">
        <f>SUMIFS(Detail!$AW:$AW,Detail!$G:$G,'Rates-Service Fees'!LQ$23,Detail!$H:$H,'Rates-Service Fees'!LQ$20)*100</f>
        <v>0</v>
      </c>
      <c r="LR41">
        <f>SUMIFS(Detail!$AW:$AW,Detail!$G:$G,'Rates-Service Fees'!LR$23,Detail!$H:$H,'Rates-Service Fees'!LR$20)*100</f>
        <v>0</v>
      </c>
      <c r="LS41">
        <f>SUMIFS(Detail!$AW:$AW,Detail!$G:$G,'Rates-Service Fees'!LS$23,Detail!$H:$H,'Rates-Service Fees'!LS$20)*100</f>
        <v>0</v>
      </c>
      <c r="LT41">
        <f>SUMIFS(Detail!$AW:$AW,Detail!$G:$G,'Rates-Service Fees'!LT$23,Detail!$H:$H,'Rates-Service Fees'!LT$20)*100</f>
        <v>0</v>
      </c>
      <c r="LU41">
        <f>SUMIFS(Detail!$AW:$AW,Detail!$G:$G,'Rates-Service Fees'!LU$23,Detail!$H:$H,'Rates-Service Fees'!LU$20)*100</f>
        <v>0</v>
      </c>
      <c r="LV41">
        <f>SUMIFS(Detail!$AW:$AW,Detail!$G:$G,'Rates-Service Fees'!LV$23,Detail!$H:$H,'Rates-Service Fees'!LV$20)*100</f>
        <v>0</v>
      </c>
      <c r="LW41">
        <f>SUMIFS(Detail!$AW:$AW,Detail!$G:$G,'Rates-Service Fees'!LW$23,Detail!$H:$H,'Rates-Service Fees'!LW$20)*100</f>
        <v>0</v>
      </c>
      <c r="LX41">
        <f>SUMIFS(Detail!$AW:$AW,Detail!$G:$G,'Rates-Service Fees'!LX$23,Detail!$H:$H,'Rates-Service Fees'!LX$20)*100</f>
        <v>0</v>
      </c>
      <c r="LY41">
        <f>SUMIFS(Detail!$AW:$AW,Detail!$G:$G,'Rates-Service Fees'!LY$23,Detail!$H:$H,'Rates-Service Fees'!LY$20)*100</f>
        <v>0</v>
      </c>
      <c r="LZ41">
        <f>SUMIFS(Detail!$AW:$AW,Detail!$G:$G,'Rates-Service Fees'!LZ$23,Detail!$H:$H,'Rates-Service Fees'!LZ$20)*100</f>
        <v>0</v>
      </c>
      <c r="MA41">
        <f>SUMIFS(Detail!$AW:$AW,Detail!$G:$G,'Rates-Service Fees'!MA$23,Detail!$H:$H,'Rates-Service Fees'!MA$20)*100</f>
        <v>0</v>
      </c>
      <c r="MB41">
        <f>SUMIFS(Detail!$AW:$AW,Detail!$G:$G,'Rates-Service Fees'!MB$23,Detail!$H:$H,'Rates-Service Fees'!MB$20)*100</f>
        <v>0</v>
      </c>
      <c r="MC41">
        <f>SUMIFS(Detail!$AW:$AW,Detail!$G:$G,'Rates-Service Fees'!MC$23,Detail!$H:$H,'Rates-Service Fees'!MC$20)*100</f>
        <v>0</v>
      </c>
      <c r="MD41">
        <f>SUMIFS(Detail!$AW:$AW,Detail!$G:$G,'Rates-Service Fees'!MD$23,Detail!$H:$H,'Rates-Service Fees'!MD$20)*100</f>
        <v>0</v>
      </c>
      <c r="ME41">
        <f>SUMIFS(Detail!$AW:$AW,Detail!$G:$G,'Rates-Service Fees'!ME$23,Detail!$H:$H,'Rates-Service Fees'!ME$20)*100</f>
        <v>0</v>
      </c>
      <c r="MF41">
        <f>SUMIFS(Detail!$AW:$AW,Detail!$G:$G,'Rates-Service Fees'!MF$23,Detail!$H:$H,'Rates-Service Fees'!MF$20)*100</f>
        <v>0</v>
      </c>
      <c r="MG41">
        <f>SUMIFS(Detail!$AW:$AW,Detail!$G:$G,'Rates-Service Fees'!MG$23,Detail!$H:$H,'Rates-Service Fees'!MG$20)*100</f>
        <v>0</v>
      </c>
      <c r="MH41">
        <f>SUMIFS(Detail!$AW:$AW,Detail!$G:$G,'Rates-Service Fees'!MH$23,Detail!$H:$H,'Rates-Service Fees'!MH$20)*100</f>
        <v>0</v>
      </c>
      <c r="MI41">
        <f>SUMIFS(Detail!$AW:$AW,Detail!$G:$G,'Rates-Service Fees'!MI$23,Detail!$H:$H,'Rates-Service Fees'!MI$20)*100</f>
        <v>0</v>
      </c>
      <c r="MJ41">
        <f>SUMIFS(Detail!$AW:$AW,Detail!$G:$G,'Rates-Service Fees'!MJ$23,Detail!$H:$H,'Rates-Service Fees'!MJ$20)*100</f>
        <v>0</v>
      </c>
      <c r="MK41">
        <f>SUMIFS(Detail!$AW:$AW,Detail!$G:$G,'Rates-Service Fees'!MK$23,Detail!$H:$H,'Rates-Service Fees'!MK$20)*100</f>
        <v>0</v>
      </c>
      <c r="ML41">
        <f>SUMIFS(Detail!$AW:$AW,Detail!$G:$G,'Rates-Service Fees'!ML$23,Detail!$H:$H,'Rates-Service Fees'!ML$20)*100</f>
        <v>0</v>
      </c>
      <c r="MM41">
        <f>SUMIFS(Detail!$AW:$AW,Detail!$G:$G,'Rates-Service Fees'!MM$23,Detail!$H:$H,'Rates-Service Fees'!MM$20)*100</f>
        <v>0</v>
      </c>
      <c r="MN41">
        <f>SUMIFS(Detail!$AW:$AW,Detail!$G:$G,'Rates-Service Fees'!MN$23,Detail!$H:$H,'Rates-Service Fees'!MN$20)*100</f>
        <v>0</v>
      </c>
      <c r="MO41">
        <f>SUMIFS(Detail!$AW:$AW,Detail!$G:$G,'Rates-Service Fees'!MO$23,Detail!$H:$H,'Rates-Service Fees'!MO$20)*100</f>
        <v>0</v>
      </c>
      <c r="MP41">
        <f>SUMIFS(Detail!$AW:$AW,Detail!$G:$G,'Rates-Service Fees'!MP$23,Detail!$H:$H,'Rates-Service Fees'!MP$20)*100</f>
        <v>0</v>
      </c>
      <c r="MQ41">
        <f>SUMIFS(Detail!$AW:$AW,Detail!$G:$G,'Rates-Service Fees'!MQ$23,Detail!$H:$H,'Rates-Service Fees'!MQ$20)*100</f>
        <v>0</v>
      </c>
      <c r="MR41">
        <f>SUMIFS(Detail!$AW:$AW,Detail!$G:$G,'Rates-Service Fees'!MR$23,Detail!$H:$H,'Rates-Service Fees'!MR$20)*100</f>
        <v>0</v>
      </c>
      <c r="MS41">
        <f>SUMIFS(Detail!$AW:$AW,Detail!$G:$G,'Rates-Service Fees'!MS$23,Detail!$H:$H,'Rates-Service Fees'!MS$20)*100</f>
        <v>0</v>
      </c>
      <c r="MT41">
        <f>SUMIFS(Detail!$AW:$AW,Detail!$G:$G,'Rates-Service Fees'!MT$23,Detail!$H:$H,'Rates-Service Fees'!MT$20)*100</f>
        <v>0</v>
      </c>
      <c r="MU41">
        <f>SUMIFS(Detail!$AW:$AW,Detail!$G:$G,'Rates-Service Fees'!MU$23,Detail!$H:$H,'Rates-Service Fees'!MU$20)*100</f>
        <v>0</v>
      </c>
      <c r="MV41">
        <f>SUMIFS(Detail!$AW:$AW,Detail!$G:$G,'Rates-Service Fees'!MV$23,Detail!$H:$H,'Rates-Service Fees'!MV$20)*100</f>
        <v>0</v>
      </c>
      <c r="MW41">
        <f>SUMIFS(Detail!$AW:$AW,Detail!$G:$G,'Rates-Service Fees'!MW$23,Detail!$H:$H,'Rates-Service Fees'!MW$20)*100</f>
        <v>0</v>
      </c>
      <c r="MX41">
        <f>SUMIFS(Detail!$AW:$AW,Detail!$G:$G,'Rates-Service Fees'!MX$23,Detail!$H:$H,'Rates-Service Fees'!MX$20)*100</f>
        <v>0</v>
      </c>
      <c r="MY41">
        <f>SUMIFS(Detail!$AW:$AW,Detail!$G:$G,'Rates-Service Fees'!MY$23,Detail!$H:$H,'Rates-Service Fees'!MY$20)*100</f>
        <v>0</v>
      </c>
      <c r="MZ41">
        <f>SUMIFS(Detail!$AW:$AW,Detail!$G:$G,'Rates-Service Fees'!MZ$23,Detail!$H:$H,'Rates-Service Fees'!MZ$20)*100</f>
        <v>0</v>
      </c>
      <c r="NA41">
        <f>SUMIFS(Detail!$AW:$AW,Detail!$G:$G,'Rates-Service Fees'!NA$23,Detail!$H:$H,'Rates-Service Fees'!NA$20)*100</f>
        <v>0</v>
      </c>
      <c r="NB41">
        <f>SUMIFS(Detail!$AW:$AW,Detail!$G:$G,'Rates-Service Fees'!NB$23,Detail!$H:$H,'Rates-Service Fees'!NB$20)*100</f>
        <v>0</v>
      </c>
      <c r="NC41">
        <f>SUMIFS(Detail!$AW:$AW,Detail!$G:$G,'Rates-Service Fees'!NC$23,Detail!$H:$H,'Rates-Service Fees'!NC$20)*100</f>
        <v>0</v>
      </c>
      <c r="ND41">
        <f>SUMIFS(Detail!$AW:$AW,Detail!$G:$G,'Rates-Service Fees'!ND$23,Detail!$H:$H,'Rates-Service Fees'!ND$20)*100</f>
        <v>0</v>
      </c>
      <c r="NE41">
        <f>SUMIFS(Detail!$AW:$AW,Detail!$G:$G,'Rates-Service Fees'!NE$23,Detail!$H:$H,'Rates-Service Fees'!NE$20)*100</f>
        <v>0</v>
      </c>
      <c r="NF41">
        <f>SUMIFS(Detail!$AW:$AW,Detail!$G:$G,'Rates-Service Fees'!NF$23,Detail!$H:$H,'Rates-Service Fees'!NF$20)*100</f>
        <v>0</v>
      </c>
      <c r="NG41">
        <f>SUMIFS(Detail!$AW:$AW,Detail!$G:$G,'Rates-Service Fees'!NG$23,Detail!$H:$H,'Rates-Service Fees'!NG$20)*100</f>
        <v>0</v>
      </c>
      <c r="NH41">
        <f>SUMIFS(Detail!$AW:$AW,Detail!$G:$G,'Rates-Service Fees'!NH$23,Detail!$H:$H,'Rates-Service Fees'!NH$20)*100</f>
        <v>0</v>
      </c>
      <c r="NI41">
        <f>SUMIFS(Detail!$AW:$AW,Detail!$G:$G,'Rates-Service Fees'!NI$23,Detail!$H:$H,'Rates-Service Fees'!NI$20)*100</f>
        <v>0</v>
      </c>
      <c r="NJ41">
        <f>SUMIFS(Detail!$AW:$AW,Detail!$G:$G,'Rates-Service Fees'!NJ$23,Detail!$H:$H,'Rates-Service Fees'!NJ$20)*100</f>
        <v>0</v>
      </c>
      <c r="NK41">
        <f>SUMIFS(Detail!$AW:$AW,Detail!$G:$G,'Rates-Service Fees'!NK$23,Detail!$H:$H,'Rates-Service Fees'!NK$20)*100</f>
        <v>0</v>
      </c>
      <c r="NL41">
        <f>SUMIFS(Detail!$AW:$AW,Detail!$G:$G,'Rates-Service Fees'!NL$23,Detail!$H:$H,'Rates-Service Fees'!NL$20)*100</f>
        <v>0</v>
      </c>
      <c r="NM41">
        <f>SUMIFS(Detail!$AW:$AW,Detail!$G:$G,'Rates-Service Fees'!NM$23,Detail!$H:$H,'Rates-Service Fees'!NM$20)*100</f>
        <v>0</v>
      </c>
      <c r="NN41">
        <f>SUMIFS(Detail!$AW:$AW,Detail!$G:$G,'Rates-Service Fees'!NN$23,Detail!$H:$H,'Rates-Service Fees'!NN$20)*100</f>
        <v>0</v>
      </c>
      <c r="NO41">
        <f>SUMIFS(Detail!$AW:$AW,Detail!$G:$G,'Rates-Service Fees'!NO$23,Detail!$H:$H,'Rates-Service Fees'!NO$20)*100</f>
        <v>0</v>
      </c>
      <c r="NP41">
        <f>SUMIFS(Detail!$AW:$AW,Detail!$G:$G,'Rates-Service Fees'!NP$23,Detail!$H:$H,'Rates-Service Fees'!NP$20)*100</f>
        <v>0</v>
      </c>
      <c r="NQ41">
        <f>SUMIFS(Detail!$AW:$AW,Detail!$G:$G,'Rates-Service Fees'!NQ$23,Detail!$H:$H,'Rates-Service Fees'!NQ$20)*100</f>
        <v>0</v>
      </c>
      <c r="NR41">
        <f>SUMIFS(Detail!$AW:$AW,Detail!$G:$G,'Rates-Service Fees'!NR$23,Detail!$H:$H,'Rates-Service Fees'!NR$20)*100</f>
        <v>0</v>
      </c>
      <c r="NS41">
        <f>SUMIFS(Detail!$AW:$AW,Detail!$G:$G,'Rates-Service Fees'!NS$23,Detail!$H:$H,'Rates-Service Fees'!NS$20)*100</f>
        <v>0</v>
      </c>
      <c r="NT41">
        <f>SUMIFS(Detail!$AW:$AW,Detail!$G:$G,'Rates-Service Fees'!NT$23,Detail!$H:$H,'Rates-Service Fees'!NT$20)*100</f>
        <v>0</v>
      </c>
      <c r="NU41">
        <f>SUMIFS(Detail!$AW:$AW,Detail!$G:$G,'Rates-Service Fees'!NU$23,Detail!$H:$H,'Rates-Service Fees'!NU$20)*100</f>
        <v>0</v>
      </c>
      <c r="NV41">
        <f>SUMIFS(Detail!$AW:$AW,Detail!$G:$G,'Rates-Service Fees'!NV$23,Detail!$H:$H,'Rates-Service Fees'!NV$20)*100</f>
        <v>0</v>
      </c>
      <c r="NW41">
        <f>SUMIFS(Detail!$AW:$AW,Detail!$G:$G,'Rates-Service Fees'!NW$23,Detail!$H:$H,'Rates-Service Fees'!NW$20)*100</f>
        <v>0</v>
      </c>
      <c r="NX41">
        <f>SUMIFS(Detail!$AW:$AW,Detail!$G:$G,'Rates-Service Fees'!NX$23,Detail!$H:$H,'Rates-Service Fees'!NX$20)*100</f>
        <v>0</v>
      </c>
      <c r="NY41">
        <f>SUMIFS(Detail!$AW:$AW,Detail!$G:$G,'Rates-Service Fees'!NY$23,Detail!$H:$H,'Rates-Service Fees'!NY$20)*100</f>
        <v>0</v>
      </c>
      <c r="NZ41">
        <f>SUMIFS(Detail!$AW:$AW,Detail!$G:$G,'Rates-Service Fees'!NZ$23,Detail!$H:$H,'Rates-Service Fees'!NZ$20)*100</f>
        <v>0</v>
      </c>
      <c r="OA41">
        <f>SUMIFS(Detail!$AW:$AW,Detail!$G:$G,'Rates-Service Fees'!OA$23,Detail!$H:$H,'Rates-Service Fees'!OA$20)*100</f>
        <v>0</v>
      </c>
      <c r="OB41">
        <f>SUMIFS(Detail!$AW:$AW,Detail!$G:$G,'Rates-Service Fees'!OB$23,Detail!$H:$H,'Rates-Service Fees'!OB$20)*100</f>
        <v>0</v>
      </c>
      <c r="OC41">
        <f>SUMIFS(Detail!$AW:$AW,Detail!$G:$G,'Rates-Service Fees'!OC$23,Detail!$H:$H,'Rates-Service Fees'!OC$20)*100</f>
        <v>0</v>
      </c>
      <c r="OD41">
        <f>SUMIFS(Detail!$AW:$AW,Detail!$G:$G,'Rates-Service Fees'!OD$23,Detail!$H:$H,'Rates-Service Fees'!OD$20)*100</f>
        <v>0</v>
      </c>
      <c r="OE41">
        <f>SUMIFS(Detail!$AW:$AW,Detail!$G:$G,'Rates-Service Fees'!OE$23,Detail!$H:$H,'Rates-Service Fees'!OE$20)*100</f>
        <v>0</v>
      </c>
      <c r="OF41">
        <f>SUMIFS(Detail!$AW:$AW,Detail!$G:$G,'Rates-Service Fees'!OF$23,Detail!$H:$H,'Rates-Service Fees'!OF$20)*100</f>
        <v>0</v>
      </c>
      <c r="OG41">
        <f>SUMIFS(Detail!$AW:$AW,Detail!$G:$G,'Rates-Service Fees'!OG$23,Detail!$H:$H,'Rates-Service Fees'!OG$20)*100</f>
        <v>0</v>
      </c>
      <c r="OH41">
        <f>SUMIFS(Detail!$AW:$AW,Detail!$G:$G,'Rates-Service Fees'!OH$23,Detail!$H:$H,'Rates-Service Fees'!OH$20)*100</f>
        <v>0</v>
      </c>
      <c r="OI41">
        <f>SUMIFS(Detail!$AW:$AW,Detail!$G:$G,'Rates-Service Fees'!OI$23,Detail!$H:$H,'Rates-Service Fees'!OI$20)*100</f>
        <v>0</v>
      </c>
      <c r="OJ41">
        <f>SUMIFS(Detail!$AW:$AW,Detail!$G:$G,'Rates-Service Fees'!OJ$23,Detail!$H:$H,'Rates-Service Fees'!OJ$20)*100</f>
        <v>0</v>
      </c>
      <c r="OK41">
        <f>SUMIFS(Detail!$AW:$AW,Detail!$G:$G,'Rates-Service Fees'!OK$23,Detail!$H:$H,'Rates-Service Fees'!OK$20)*100</f>
        <v>0</v>
      </c>
      <c r="OL41">
        <f>SUMIFS(Detail!$AW:$AW,Detail!$G:$G,'Rates-Service Fees'!OL$23,Detail!$H:$H,'Rates-Service Fees'!OL$20)*100</f>
        <v>0</v>
      </c>
      <c r="OM41">
        <f>SUMIFS(Detail!$AW:$AW,Detail!$G:$G,'Rates-Service Fees'!OM$23,Detail!$H:$H,'Rates-Service Fees'!OM$20)*100</f>
        <v>0</v>
      </c>
      <c r="ON41">
        <f>SUMIFS(Detail!$AW:$AW,Detail!$G:$G,'Rates-Service Fees'!ON$23,Detail!$H:$H,'Rates-Service Fees'!ON$20)*100</f>
        <v>0</v>
      </c>
      <c r="OO41">
        <f>SUMIFS(Detail!$AW:$AW,Detail!$G:$G,'Rates-Service Fees'!OO$23,Detail!$H:$H,'Rates-Service Fees'!OO$20)*100</f>
        <v>0</v>
      </c>
      <c r="OP41">
        <f>SUMIFS(Detail!$AW:$AW,Detail!$G:$G,'Rates-Service Fees'!OP$23,Detail!$H:$H,'Rates-Service Fees'!OP$20)*100</f>
        <v>0</v>
      </c>
      <c r="OQ41">
        <f>SUMIFS(Detail!$AW:$AW,Detail!$G:$G,'Rates-Service Fees'!OQ$23,Detail!$H:$H,'Rates-Service Fees'!OQ$20)*100</f>
        <v>0</v>
      </c>
      <c r="OR41">
        <f>SUMIFS(Detail!$AW:$AW,Detail!$G:$G,'Rates-Service Fees'!OR$23,Detail!$H:$H,'Rates-Service Fees'!OR$20)*100</f>
        <v>0</v>
      </c>
      <c r="OS41">
        <f>SUMIFS(Detail!$AW:$AW,Detail!$G:$G,'Rates-Service Fees'!OS$23,Detail!$H:$H,'Rates-Service Fees'!OS$20)*100</f>
        <v>0</v>
      </c>
      <c r="OT41">
        <f>SUMIFS(Detail!$AW:$AW,Detail!$G:$G,'Rates-Service Fees'!OT$23,Detail!$H:$H,'Rates-Service Fees'!OT$20)*100</f>
        <v>0</v>
      </c>
      <c r="OU41">
        <f>SUMIFS(Detail!$AW:$AW,Detail!$G:$G,'Rates-Service Fees'!OU$23,Detail!$H:$H,'Rates-Service Fees'!OU$20)*100</f>
        <v>0</v>
      </c>
      <c r="OV41">
        <f>SUMIFS(Detail!$AW:$AW,Detail!$G:$G,'Rates-Service Fees'!OV$23,Detail!$H:$H,'Rates-Service Fees'!OV$20)*100</f>
        <v>0</v>
      </c>
      <c r="OW41">
        <f>SUMIFS(Detail!$AW:$AW,Detail!$G:$G,'Rates-Service Fees'!OW$23,Detail!$H:$H,'Rates-Service Fees'!OW$20)*100</f>
        <v>0</v>
      </c>
      <c r="OX41">
        <f>SUMIFS(Detail!$AW:$AW,Detail!$G:$G,'Rates-Service Fees'!OX$23,Detail!$H:$H,'Rates-Service Fees'!OX$20)*100</f>
        <v>0</v>
      </c>
      <c r="OY41">
        <f>SUMIFS(Detail!$AW:$AW,Detail!$G:$G,'Rates-Service Fees'!OY$23,Detail!$H:$H,'Rates-Service Fees'!OY$20)*100</f>
        <v>0</v>
      </c>
      <c r="OZ41">
        <f>SUMIFS(Detail!$AW:$AW,Detail!$G:$G,'Rates-Service Fees'!OZ$23,Detail!$H:$H,'Rates-Service Fees'!OZ$20)*100</f>
        <v>0</v>
      </c>
      <c r="PA41">
        <f>SUMIFS(Detail!$AW:$AW,Detail!$G:$G,'Rates-Service Fees'!PA$23,Detail!$H:$H,'Rates-Service Fees'!PA$20)*100</f>
        <v>0</v>
      </c>
      <c r="PB41">
        <f>SUMIFS(Detail!$AW:$AW,Detail!$G:$G,'Rates-Service Fees'!PB$23,Detail!$H:$H,'Rates-Service Fees'!PB$20)*100</f>
        <v>0</v>
      </c>
      <c r="PC41">
        <f>SUMIFS(Detail!$AW:$AW,Detail!$G:$G,'Rates-Service Fees'!PC$23,Detail!$H:$H,'Rates-Service Fees'!PC$20)*100</f>
        <v>0</v>
      </c>
      <c r="PD41">
        <f>SUMIFS(Detail!$AW:$AW,Detail!$G:$G,'Rates-Service Fees'!PD$23,Detail!$H:$H,'Rates-Service Fees'!PD$20)*100</f>
        <v>0</v>
      </c>
      <c r="PE41">
        <f>SUMIFS(Detail!$AW:$AW,Detail!$G:$G,'Rates-Service Fees'!PE$23,Detail!$H:$H,'Rates-Service Fees'!PE$20)*100</f>
        <v>0</v>
      </c>
      <c r="PF41">
        <f>SUMIFS(Detail!$AW:$AW,Detail!$G:$G,'Rates-Service Fees'!PF$23,Detail!$H:$H,'Rates-Service Fees'!PF$20)*100</f>
        <v>0</v>
      </c>
      <c r="PG41">
        <f>SUMIFS(Detail!$AW:$AW,Detail!$G:$G,'Rates-Service Fees'!PG$23,Detail!$H:$H,'Rates-Service Fees'!PG$20)*100</f>
        <v>0</v>
      </c>
      <c r="PH41">
        <f>SUMIFS(Detail!$AW:$AW,Detail!$G:$G,'Rates-Service Fees'!PH$23,Detail!$H:$H,'Rates-Service Fees'!PH$20)*100</f>
        <v>0</v>
      </c>
      <c r="PI41">
        <f>SUMIFS(Detail!$AW:$AW,Detail!$G:$G,'Rates-Service Fees'!PI$23,Detail!$H:$H,'Rates-Service Fees'!PI$20)*100</f>
        <v>0</v>
      </c>
      <c r="PJ41">
        <f>SUMIFS(Detail!$AW:$AW,Detail!$G:$G,'Rates-Service Fees'!PJ$23,Detail!$H:$H,'Rates-Service Fees'!PJ$20)*100</f>
        <v>0</v>
      </c>
      <c r="PK41">
        <f>SUMIFS(Detail!$AW:$AW,Detail!$G:$G,'Rates-Service Fees'!PK$23,Detail!$H:$H,'Rates-Service Fees'!PK$20)*100</f>
        <v>0</v>
      </c>
      <c r="PL41">
        <f>SUMIFS(Detail!$AW:$AW,Detail!$G:$G,'Rates-Service Fees'!PL$23,Detail!$H:$H,'Rates-Service Fees'!PL$20)*100</f>
        <v>0</v>
      </c>
      <c r="PM41">
        <f>SUMIFS(Detail!$AW:$AW,Detail!$G:$G,'Rates-Service Fees'!PM$23,Detail!$H:$H,'Rates-Service Fees'!PM$20)*100</f>
        <v>0</v>
      </c>
      <c r="PN41">
        <f>SUMIFS(Detail!$AW:$AW,Detail!$G:$G,'Rates-Service Fees'!PN$23,Detail!$H:$H,'Rates-Service Fees'!PN$20)*100</f>
        <v>0</v>
      </c>
      <c r="PO41">
        <f>SUMIFS(Detail!$AW:$AW,Detail!$G:$G,'Rates-Service Fees'!PO$23,Detail!$H:$H,'Rates-Service Fees'!PO$20)*100</f>
        <v>0</v>
      </c>
      <c r="PP41">
        <f>SUMIFS(Detail!$AW:$AW,Detail!$G:$G,'Rates-Service Fees'!PP$23,Detail!$H:$H,'Rates-Service Fees'!PP$20)*100</f>
        <v>0</v>
      </c>
      <c r="PQ41">
        <f>SUMIFS(Detail!$AW:$AW,Detail!$G:$G,'Rates-Service Fees'!PQ$23,Detail!$H:$H,'Rates-Service Fees'!PQ$20)*100</f>
        <v>0</v>
      </c>
      <c r="PR41">
        <f>SUMIFS(Detail!$AW:$AW,Detail!$G:$G,'Rates-Service Fees'!PR$23,Detail!$H:$H,'Rates-Service Fees'!PR$20)*100</f>
        <v>0</v>
      </c>
      <c r="PS41">
        <f>SUMIFS(Detail!$AW:$AW,Detail!$G:$G,'Rates-Service Fees'!PS$23,Detail!$H:$H,'Rates-Service Fees'!PS$20)*100</f>
        <v>0</v>
      </c>
      <c r="PT41">
        <f>SUMIFS(Detail!$AW:$AW,Detail!$G:$G,'Rates-Service Fees'!PT$23,Detail!$H:$H,'Rates-Service Fees'!PT$20)*100</f>
        <v>0</v>
      </c>
      <c r="PU41">
        <f>SUMIFS(Detail!$AW:$AW,Detail!$G:$G,'Rates-Service Fees'!PU$23,Detail!$H:$H,'Rates-Service Fees'!PU$20)*100</f>
        <v>0</v>
      </c>
      <c r="PV41">
        <f>SUMIFS(Detail!$AW:$AW,Detail!$G:$G,'Rates-Service Fees'!PV$23,Detail!$H:$H,'Rates-Service Fees'!PV$20)*100</f>
        <v>0</v>
      </c>
      <c r="PW41">
        <f>SUMIFS(Detail!$AW:$AW,Detail!$G:$G,'Rates-Service Fees'!PW$23,Detail!$H:$H,'Rates-Service Fees'!PW$20)*100</f>
        <v>0</v>
      </c>
      <c r="PX41">
        <f>SUMIFS(Detail!$AW:$AW,Detail!$G:$G,'Rates-Service Fees'!PX$23,Detail!$H:$H,'Rates-Service Fees'!PX$20)*100</f>
        <v>0</v>
      </c>
      <c r="PY41">
        <f>SUMIFS(Detail!$AW:$AW,Detail!$G:$G,'Rates-Service Fees'!PY$23,Detail!$H:$H,'Rates-Service Fees'!PY$20)*100</f>
        <v>0</v>
      </c>
      <c r="PZ41">
        <f>SUMIFS(Detail!$AW:$AW,Detail!$G:$G,'Rates-Service Fees'!PZ$23,Detail!$H:$H,'Rates-Service Fees'!PZ$20)*100</f>
        <v>0</v>
      </c>
      <c r="QA41">
        <f>SUMIFS(Detail!$AW:$AW,Detail!$G:$G,'Rates-Service Fees'!QA$23,Detail!$H:$H,'Rates-Service Fees'!QA$20)*100</f>
        <v>0</v>
      </c>
      <c r="QB41">
        <f>SUMIFS(Detail!$AW:$AW,Detail!$G:$G,'Rates-Service Fees'!QB$23,Detail!$H:$H,'Rates-Service Fees'!QB$20)*100</f>
        <v>0</v>
      </c>
      <c r="QC41">
        <f>SUMIFS(Detail!$AW:$AW,Detail!$G:$G,'Rates-Service Fees'!QC$23,Detail!$H:$H,'Rates-Service Fees'!QC$20)*100</f>
        <v>0</v>
      </c>
      <c r="QD41">
        <f>SUMIFS(Detail!$AW:$AW,Detail!$G:$G,'Rates-Service Fees'!QD$23,Detail!$H:$H,'Rates-Service Fees'!QD$20)*100</f>
        <v>0</v>
      </c>
      <c r="QE41">
        <f>SUMIFS(Detail!$AW:$AW,Detail!$G:$G,'Rates-Service Fees'!QE$23,Detail!$H:$H,'Rates-Service Fees'!QE$20)*100</f>
        <v>0</v>
      </c>
      <c r="QF41">
        <f>SUMIFS(Detail!$AW:$AW,Detail!$G:$G,'Rates-Service Fees'!QF$23,Detail!$H:$H,'Rates-Service Fees'!QF$20)*100</f>
        <v>0</v>
      </c>
      <c r="QG41">
        <f>SUMIFS(Detail!$AW:$AW,Detail!$G:$G,'Rates-Service Fees'!QG$23,Detail!$H:$H,'Rates-Service Fees'!QG$20)*100</f>
        <v>0</v>
      </c>
      <c r="QH41">
        <f>SUMIFS(Detail!$AW:$AW,Detail!$G:$G,'Rates-Service Fees'!QH$23,Detail!$H:$H,'Rates-Service Fees'!QH$20)*100</f>
        <v>0</v>
      </c>
      <c r="QI41">
        <f>SUMIFS(Detail!$AW:$AW,Detail!$G:$G,'Rates-Service Fees'!QI$23,Detail!$H:$H,'Rates-Service Fees'!QI$20)*100</f>
        <v>0</v>
      </c>
      <c r="QJ41">
        <f>SUMIFS(Detail!$AW:$AW,Detail!$G:$G,'Rates-Service Fees'!QJ$23,Detail!$H:$H,'Rates-Service Fees'!QJ$20)*100</f>
        <v>0</v>
      </c>
      <c r="QK41">
        <f>SUMIFS(Detail!$AW:$AW,Detail!$G:$G,'Rates-Service Fees'!QK$23,Detail!$H:$H,'Rates-Service Fees'!QK$20)*100</f>
        <v>0</v>
      </c>
      <c r="QL41">
        <f>SUMIFS(Detail!$AW:$AW,Detail!$G:$G,'Rates-Service Fees'!QL$23,Detail!$H:$H,'Rates-Service Fees'!QL$20)*100</f>
        <v>0</v>
      </c>
      <c r="QM41">
        <f>SUMIFS(Detail!$AW:$AW,Detail!$G:$G,'Rates-Service Fees'!QM$23,Detail!$H:$H,'Rates-Service Fees'!QM$20)*100</f>
        <v>0</v>
      </c>
      <c r="QN41">
        <f>SUMIFS(Detail!$AW:$AW,Detail!$G:$G,'Rates-Service Fees'!QN$23,Detail!$H:$H,'Rates-Service Fees'!QN$20)*100</f>
        <v>0</v>
      </c>
      <c r="QO41">
        <f>SUMIFS(Detail!$AW:$AW,Detail!$G:$G,'Rates-Service Fees'!QO$23,Detail!$H:$H,'Rates-Service Fees'!QO$20)*100</f>
        <v>0</v>
      </c>
      <c r="QP41">
        <f>SUMIFS(Detail!$AW:$AW,Detail!$G:$G,'Rates-Service Fees'!QP$23,Detail!$H:$H,'Rates-Service Fees'!QP$20)*100</f>
        <v>0</v>
      </c>
      <c r="QQ41">
        <f>SUMIFS(Detail!$AW:$AW,Detail!$G:$G,'Rates-Service Fees'!QQ$23,Detail!$H:$H,'Rates-Service Fees'!QQ$20)*100</f>
        <v>0</v>
      </c>
      <c r="QR41">
        <f>SUMIFS(Detail!$AW:$AW,Detail!$G:$G,'Rates-Service Fees'!QR$23,Detail!$H:$H,'Rates-Service Fees'!QR$20)*100</f>
        <v>0</v>
      </c>
      <c r="QS41">
        <f>SUMIFS(Detail!$AW:$AW,Detail!$G:$G,'Rates-Service Fees'!QS$23,Detail!$H:$H,'Rates-Service Fees'!QS$20)*100</f>
        <v>0</v>
      </c>
      <c r="QT41">
        <f>SUMIFS(Detail!$AW:$AW,Detail!$G:$G,'Rates-Service Fees'!QT$23,Detail!$H:$H,'Rates-Service Fees'!QT$20)*100</f>
        <v>0</v>
      </c>
      <c r="QU41">
        <f>SUMIFS(Detail!$AW:$AW,Detail!$G:$G,'Rates-Service Fees'!QU$23,Detail!$H:$H,'Rates-Service Fees'!QU$20)*100</f>
        <v>0</v>
      </c>
      <c r="QV41">
        <f>SUMIFS(Detail!$AW:$AW,Detail!$G:$G,'Rates-Service Fees'!QV$23,Detail!$H:$H,'Rates-Service Fees'!QV$20)*100</f>
        <v>0</v>
      </c>
      <c r="QW41">
        <f>SUMIFS(Detail!$AW:$AW,Detail!$G:$G,'Rates-Service Fees'!QW$23,Detail!$H:$H,'Rates-Service Fees'!QW$20)*100</f>
        <v>0</v>
      </c>
      <c r="QX41">
        <f>SUMIFS(Detail!$AW:$AW,Detail!$G:$G,'Rates-Service Fees'!QX$23,Detail!$H:$H,'Rates-Service Fees'!QX$20)*100</f>
        <v>0</v>
      </c>
      <c r="QY41">
        <f>SUMIFS(Detail!$AW:$AW,Detail!$G:$G,'Rates-Service Fees'!QY$23,Detail!$H:$H,'Rates-Service Fees'!QY$20)*100</f>
        <v>0</v>
      </c>
      <c r="QZ41">
        <f>SUMIFS(Detail!$AW:$AW,Detail!$G:$G,'Rates-Service Fees'!QZ$23,Detail!$H:$H,'Rates-Service Fees'!QZ$20)*100</f>
        <v>0</v>
      </c>
      <c r="RA41">
        <f>SUMIFS(Detail!$AW:$AW,Detail!$G:$G,'Rates-Service Fees'!RA$23,Detail!$H:$H,'Rates-Service Fees'!RA$20)*100</f>
        <v>0</v>
      </c>
      <c r="RB41">
        <f>SUMIFS(Detail!$AW:$AW,Detail!$G:$G,'Rates-Service Fees'!RB$23,Detail!$H:$H,'Rates-Service Fees'!RB$20)*100</f>
        <v>0</v>
      </c>
      <c r="RC41">
        <f>SUMIFS(Detail!$AW:$AW,Detail!$G:$G,'Rates-Service Fees'!RC$23,Detail!$H:$H,'Rates-Service Fees'!RC$20)*100</f>
        <v>0</v>
      </c>
      <c r="RD41">
        <f>SUMIFS(Detail!$AW:$AW,Detail!$G:$G,'Rates-Service Fees'!RD$23,Detail!$H:$H,'Rates-Service Fees'!RD$20)*100</f>
        <v>0</v>
      </c>
      <c r="RE41">
        <f>SUMIFS(Detail!$AW:$AW,Detail!$G:$G,'Rates-Service Fees'!RE$23,Detail!$H:$H,'Rates-Service Fees'!RE$20)*100</f>
        <v>0</v>
      </c>
      <c r="RF41">
        <f>SUMIFS(Detail!$AW:$AW,Detail!$G:$G,'Rates-Service Fees'!RF$23,Detail!$H:$H,'Rates-Service Fees'!RF$20)*100</f>
        <v>0</v>
      </c>
      <c r="RG41">
        <f>SUMIFS(Detail!$AW:$AW,Detail!$G:$G,'Rates-Service Fees'!RG$23,Detail!$H:$H,'Rates-Service Fees'!RG$20)*100</f>
        <v>0</v>
      </c>
      <c r="RH41">
        <f>SUMIFS(Detail!$AW:$AW,Detail!$G:$G,'Rates-Service Fees'!RH$23,Detail!$H:$H,'Rates-Service Fees'!RH$20)*100</f>
        <v>0</v>
      </c>
      <c r="RI41">
        <f>SUMIFS(Detail!$AW:$AW,Detail!$G:$G,'Rates-Service Fees'!RI$23,Detail!$H:$H,'Rates-Service Fees'!RI$20)*100</f>
        <v>0</v>
      </c>
      <c r="RJ41">
        <f>SUMIFS(Detail!$AW:$AW,Detail!$G:$G,'Rates-Service Fees'!RJ$23,Detail!$H:$H,'Rates-Service Fees'!RJ$20)*100</f>
        <v>0</v>
      </c>
      <c r="RK41">
        <f>SUMIFS(Detail!$AW:$AW,Detail!$G:$G,'Rates-Service Fees'!RK$23,Detail!$H:$H,'Rates-Service Fees'!RK$20)*100</f>
        <v>0</v>
      </c>
      <c r="RL41">
        <f>SUMIFS(Detail!$AW:$AW,Detail!$G:$G,'Rates-Service Fees'!RL$23,Detail!$H:$H,'Rates-Service Fees'!RL$20)*100</f>
        <v>0</v>
      </c>
      <c r="RM41">
        <f>SUMIFS(Detail!$AW:$AW,Detail!$G:$G,'Rates-Service Fees'!RM$23,Detail!$H:$H,'Rates-Service Fees'!RM$20)*100</f>
        <v>0</v>
      </c>
      <c r="RN41">
        <f>SUMIFS(Detail!$AW:$AW,Detail!$G:$G,'Rates-Service Fees'!RN$23,Detail!$H:$H,'Rates-Service Fees'!RN$20)*100</f>
        <v>0</v>
      </c>
      <c r="RO41">
        <f>SUMIFS(Detail!$AW:$AW,Detail!$G:$G,'Rates-Service Fees'!RO$23,Detail!$H:$H,'Rates-Service Fees'!RO$20)*100</f>
        <v>0</v>
      </c>
      <c r="RP41">
        <f>SUMIFS(Detail!$AW:$AW,Detail!$G:$G,'Rates-Service Fees'!RP$23,Detail!$H:$H,'Rates-Service Fees'!RP$20)*100</f>
        <v>0</v>
      </c>
      <c r="RQ41">
        <f>SUMIFS(Detail!$AW:$AW,Detail!$G:$G,'Rates-Service Fees'!RQ$23,Detail!$H:$H,'Rates-Service Fees'!RQ$20)*100</f>
        <v>0</v>
      </c>
      <c r="RR41">
        <f>SUMIFS(Detail!$AW:$AW,Detail!$G:$G,'Rates-Service Fees'!RR$23,Detail!$H:$H,'Rates-Service Fees'!RR$20)*100</f>
        <v>0</v>
      </c>
      <c r="RS41">
        <f>SUMIFS(Detail!$AW:$AW,Detail!$G:$G,'Rates-Service Fees'!RS$23,Detail!$H:$H,'Rates-Service Fees'!RS$20)*100</f>
        <v>0</v>
      </c>
      <c r="RT41">
        <f>SUMIFS(Detail!$AW:$AW,Detail!$G:$G,'Rates-Service Fees'!RT$23,Detail!$H:$H,'Rates-Service Fees'!RT$20)*100</f>
        <v>0</v>
      </c>
      <c r="RU41">
        <f>SUMIFS(Detail!$AW:$AW,Detail!$G:$G,'Rates-Service Fees'!RU$23,Detail!$H:$H,'Rates-Service Fees'!RU$20)*100</f>
        <v>0</v>
      </c>
      <c r="RV41">
        <f>SUMIFS(Detail!$AW:$AW,Detail!$G:$G,'Rates-Service Fees'!RV$23,Detail!$H:$H,'Rates-Service Fees'!RV$20)*100</f>
        <v>0</v>
      </c>
      <c r="RW41">
        <f>SUMIFS(Detail!$AW:$AW,Detail!$G:$G,'Rates-Service Fees'!RW$23,Detail!$H:$H,'Rates-Service Fees'!RW$20)*100</f>
        <v>0</v>
      </c>
      <c r="RX41">
        <f>SUMIFS(Detail!$AW:$AW,Detail!$G:$G,'Rates-Service Fees'!RX$23,Detail!$H:$H,'Rates-Service Fees'!RX$20)*100</f>
        <v>0</v>
      </c>
      <c r="RY41">
        <f>SUMIFS(Detail!$AW:$AW,Detail!$G:$G,'Rates-Service Fees'!RY$23,Detail!$H:$H,'Rates-Service Fees'!RY$20)*100</f>
        <v>0</v>
      </c>
      <c r="RZ41">
        <f>SUMIFS(Detail!$AW:$AW,Detail!$G:$G,'Rates-Service Fees'!RZ$23,Detail!$H:$H,'Rates-Service Fees'!RZ$20)*100</f>
        <v>0</v>
      </c>
      <c r="SA41">
        <f>SUMIFS(Detail!$AW:$AW,Detail!$G:$G,'Rates-Service Fees'!SA$23,Detail!$H:$H,'Rates-Service Fees'!SA$20)*100</f>
        <v>0</v>
      </c>
      <c r="SB41">
        <f>SUMIFS(Detail!$AW:$AW,Detail!$G:$G,'Rates-Service Fees'!SB$23,Detail!$H:$H,'Rates-Service Fees'!SB$20)*100</f>
        <v>0</v>
      </c>
      <c r="SC41">
        <f>SUMIFS(Detail!$AW:$AW,Detail!$G:$G,'Rates-Service Fees'!SC$23,Detail!$H:$H,'Rates-Service Fees'!SC$20)*100</f>
        <v>0</v>
      </c>
      <c r="SD41">
        <f>SUMIFS(Detail!$AW:$AW,Detail!$G:$G,'Rates-Service Fees'!SD$23,Detail!$H:$H,'Rates-Service Fees'!SD$20)*100</f>
        <v>0</v>
      </c>
      <c r="SE41">
        <f>SUMIFS(Detail!$AW:$AW,Detail!$G:$G,'Rates-Service Fees'!SE$23,Detail!$H:$H,'Rates-Service Fees'!SE$20)*100</f>
        <v>0</v>
      </c>
      <c r="SF41">
        <f>SUMIFS(Detail!$AW:$AW,Detail!$G:$G,'Rates-Service Fees'!SF$23,Detail!$H:$H,'Rates-Service Fees'!SF$20)*100</f>
        <v>0</v>
      </c>
      <c r="SG41">
        <f>SUMIFS(Detail!$AW:$AW,Detail!$G:$G,'Rates-Service Fees'!SG$23,Detail!$H:$H,'Rates-Service Fees'!SG$20)*100</f>
        <v>0</v>
      </c>
      <c r="SH41">
        <f>SUMIFS(Detail!$AW:$AW,Detail!$G:$G,'Rates-Service Fees'!SH$23,Detail!$H:$H,'Rates-Service Fees'!SH$20)*100</f>
        <v>0</v>
      </c>
      <c r="SI41">
        <f>SUMIFS(Detail!$AW:$AW,Detail!$G:$G,'Rates-Service Fees'!SI$23,Detail!$H:$H,'Rates-Service Fees'!SI$20)*100</f>
        <v>0</v>
      </c>
      <c r="SJ41">
        <f>SUMIFS(Detail!$AW:$AW,Detail!$G:$G,'Rates-Service Fees'!SJ$23,Detail!$H:$H,'Rates-Service Fees'!SJ$20)*100</f>
        <v>0</v>
      </c>
      <c r="SK41">
        <f>SUMIFS(Detail!$AW:$AW,Detail!$G:$G,'Rates-Service Fees'!SK$23,Detail!$H:$H,'Rates-Service Fees'!SK$20)*100</f>
        <v>0</v>
      </c>
      <c r="SL41">
        <f>SUMIFS(Detail!$AW:$AW,Detail!$G:$G,'Rates-Service Fees'!SL$23,Detail!$H:$H,'Rates-Service Fees'!SL$20)*100</f>
        <v>0</v>
      </c>
      <c r="SM41">
        <f>SUMIFS(Detail!$AW:$AW,Detail!$G:$G,'Rates-Service Fees'!SM$23,Detail!$H:$H,'Rates-Service Fees'!SM$20)*100</f>
        <v>0</v>
      </c>
      <c r="SN41">
        <f>SUMIFS(Detail!$AW:$AW,Detail!$G:$G,'Rates-Service Fees'!SN$23,Detail!$H:$H,'Rates-Service Fees'!SN$20)*100</f>
        <v>0</v>
      </c>
      <c r="SO41">
        <f>SUMIFS(Detail!$AW:$AW,Detail!$G:$G,'Rates-Service Fees'!SO$23,Detail!$H:$H,'Rates-Service Fees'!SO$20)*100</f>
        <v>0</v>
      </c>
      <c r="SP41">
        <f>SUMIFS(Detail!$AW:$AW,Detail!$G:$G,'Rates-Service Fees'!SP$23,Detail!$H:$H,'Rates-Service Fees'!SP$20)*100</f>
        <v>0</v>
      </c>
      <c r="SQ41">
        <f>SUMIFS(Detail!$AW:$AW,Detail!$G:$G,'Rates-Service Fees'!SQ$23,Detail!$H:$H,'Rates-Service Fees'!SQ$20)*100</f>
        <v>0</v>
      </c>
      <c r="SR41">
        <f>SUMIFS(Detail!$AW:$AW,Detail!$G:$G,'Rates-Service Fees'!SR$23,Detail!$H:$H,'Rates-Service Fees'!SR$20)*100</f>
        <v>0</v>
      </c>
      <c r="SS41">
        <f>SUMIFS(Detail!$AW:$AW,Detail!$G:$G,'Rates-Service Fees'!SS$23,Detail!$H:$H,'Rates-Service Fees'!SS$20)*100</f>
        <v>0</v>
      </c>
      <c r="ST41">
        <f>SUMIFS(Detail!$AW:$AW,Detail!$G:$G,'Rates-Service Fees'!ST$23,Detail!$H:$H,'Rates-Service Fees'!ST$20)*100</f>
        <v>0</v>
      </c>
      <c r="SU41">
        <f>SUMIFS(Detail!$AW:$AW,Detail!$G:$G,'Rates-Service Fees'!SU$23,Detail!$H:$H,'Rates-Service Fees'!SU$20)*100</f>
        <v>0</v>
      </c>
      <c r="SV41">
        <f>SUMIFS(Detail!$AW:$AW,Detail!$G:$G,'Rates-Service Fees'!SV$23,Detail!$H:$H,'Rates-Service Fees'!SV$20)*100</f>
        <v>0</v>
      </c>
      <c r="SW41">
        <f>SUMIFS(Detail!$AW:$AW,Detail!$G:$G,'Rates-Service Fees'!SW$23,Detail!$H:$H,'Rates-Service Fees'!SW$20)*100</f>
        <v>0</v>
      </c>
      <c r="SX41">
        <f>SUMIFS(Detail!$AW:$AW,Detail!$G:$G,'Rates-Service Fees'!SX$23,Detail!$H:$H,'Rates-Service Fees'!SX$20)*100</f>
        <v>0</v>
      </c>
      <c r="SY41">
        <f>SUMIFS(Detail!$AW:$AW,Detail!$G:$G,'Rates-Service Fees'!SY$23,Detail!$H:$H,'Rates-Service Fees'!SY$20)*100</f>
        <v>0</v>
      </c>
      <c r="SZ41">
        <f>SUMIFS(Detail!$AW:$AW,Detail!$G:$G,'Rates-Service Fees'!SZ$23,Detail!$H:$H,'Rates-Service Fees'!SZ$20)*100</f>
        <v>0</v>
      </c>
      <c r="TA41">
        <f>SUMIFS(Detail!$AW:$AW,Detail!$G:$G,'Rates-Service Fees'!TA$23,Detail!$H:$H,'Rates-Service Fees'!TA$20)*100</f>
        <v>0</v>
      </c>
      <c r="TB41">
        <f>SUMIFS(Detail!$AW:$AW,Detail!$G:$G,'Rates-Service Fees'!TB$23,Detail!$H:$H,'Rates-Service Fees'!TB$20)*100</f>
        <v>0</v>
      </c>
      <c r="TC41">
        <f>SUMIFS(Detail!$AW:$AW,Detail!$G:$G,'Rates-Service Fees'!TC$23,Detail!$H:$H,'Rates-Service Fees'!TC$20)*100</f>
        <v>0</v>
      </c>
      <c r="TD41">
        <f>SUMIFS(Detail!$AW:$AW,Detail!$G:$G,'Rates-Service Fees'!TD$23,Detail!$H:$H,'Rates-Service Fees'!TD$20)*100</f>
        <v>0</v>
      </c>
      <c r="TE41">
        <f>SUMIFS(Detail!$AW:$AW,Detail!$G:$G,'Rates-Service Fees'!TE$23,Detail!$H:$H,'Rates-Service Fees'!TE$20)*100</f>
        <v>0</v>
      </c>
      <c r="TF41">
        <f>SUMIFS(Detail!$AW:$AW,Detail!$G:$G,'Rates-Service Fees'!TF$23,Detail!$H:$H,'Rates-Service Fees'!TF$20)*100</f>
        <v>0</v>
      </c>
      <c r="TG41">
        <f>SUMIFS(Detail!$AW:$AW,Detail!$G:$G,'Rates-Service Fees'!TG$23,Detail!$H:$H,'Rates-Service Fees'!TG$20)*100</f>
        <v>0</v>
      </c>
      <c r="TH41">
        <f>SUMIFS(Detail!$AW:$AW,Detail!$G:$G,'Rates-Service Fees'!TH$23,Detail!$H:$H,'Rates-Service Fees'!TH$20)*100</f>
        <v>0</v>
      </c>
      <c r="TI41">
        <f>SUMIFS(Detail!$AW:$AW,Detail!$G:$G,'Rates-Service Fees'!TI$23,Detail!$H:$H,'Rates-Service Fees'!TI$20)*100</f>
        <v>0</v>
      </c>
      <c r="TJ41">
        <f>SUMIFS(Detail!$AW:$AW,Detail!$G:$G,'Rates-Service Fees'!TJ$23,Detail!$H:$H,'Rates-Service Fees'!TJ$20)*100</f>
        <v>0</v>
      </c>
      <c r="TK41">
        <f>SUMIFS(Detail!$AW:$AW,Detail!$G:$G,'Rates-Service Fees'!TK$23,Detail!$H:$H,'Rates-Service Fees'!TK$20)*100</f>
        <v>0</v>
      </c>
      <c r="TL41">
        <f>SUMIFS(Detail!$AW:$AW,Detail!$G:$G,'Rates-Service Fees'!TL$23,Detail!$H:$H,'Rates-Service Fees'!TL$20)*100</f>
        <v>0</v>
      </c>
      <c r="TM41">
        <f>SUMIFS(Detail!$AW:$AW,Detail!$G:$G,'Rates-Service Fees'!TM$23,Detail!$H:$H,'Rates-Service Fees'!TM$20)*100</f>
        <v>0</v>
      </c>
      <c r="TN41">
        <f>SUMIFS(Detail!$AW:$AW,Detail!$G:$G,'Rates-Service Fees'!TN$23,Detail!$H:$H,'Rates-Service Fees'!TN$20)*100</f>
        <v>0</v>
      </c>
      <c r="TO41">
        <f>SUMIFS(Detail!$AW:$AW,Detail!$G:$G,'Rates-Service Fees'!TO$23,Detail!$H:$H,'Rates-Service Fees'!TO$20)*100</f>
        <v>0</v>
      </c>
      <c r="TP41">
        <f>SUMIFS(Detail!$AW:$AW,Detail!$G:$G,'Rates-Service Fees'!TP$23,Detail!$H:$H,'Rates-Service Fees'!TP$20)*100</f>
        <v>0</v>
      </c>
      <c r="TQ41">
        <f>SUMIFS(Detail!$AW:$AW,Detail!$G:$G,'Rates-Service Fees'!TQ$23,Detail!$H:$H,'Rates-Service Fees'!TQ$20)*100</f>
        <v>0</v>
      </c>
      <c r="TR41">
        <f>SUMIFS(Detail!$AW:$AW,Detail!$G:$G,'Rates-Service Fees'!TR$23,Detail!$H:$H,'Rates-Service Fees'!TR$20)*100</f>
        <v>0</v>
      </c>
      <c r="TS41">
        <f>SUMIFS(Detail!$AW:$AW,Detail!$G:$G,'Rates-Service Fees'!TS$23,Detail!$H:$H,'Rates-Service Fees'!TS$20)*100</f>
        <v>0</v>
      </c>
      <c r="TT41">
        <f>SUMIFS(Detail!$AW:$AW,Detail!$G:$G,'Rates-Service Fees'!TT$23,Detail!$H:$H,'Rates-Service Fees'!TT$20)*100</f>
        <v>0</v>
      </c>
      <c r="TU41">
        <f>SUMIFS(Detail!$AW:$AW,Detail!$G:$G,'Rates-Service Fees'!TU$23,Detail!$H:$H,'Rates-Service Fees'!TU$20)*100</f>
        <v>0</v>
      </c>
      <c r="TV41">
        <f>SUMIFS(Detail!$AW:$AW,Detail!$G:$G,'Rates-Service Fees'!TV$23,Detail!$H:$H,'Rates-Service Fees'!TV$20)*100</f>
        <v>0</v>
      </c>
      <c r="TW41">
        <f>SUMIFS(Detail!$AW:$AW,Detail!$G:$G,'Rates-Service Fees'!TW$23,Detail!$H:$H,'Rates-Service Fees'!TW$20)*100</f>
        <v>0</v>
      </c>
      <c r="TX41">
        <f>SUMIFS(Detail!$AW:$AW,Detail!$G:$G,'Rates-Service Fees'!TX$23,Detail!$H:$H,'Rates-Service Fees'!TX$20)*100</f>
        <v>0</v>
      </c>
      <c r="TY41">
        <f>SUMIFS(Detail!$AW:$AW,Detail!$G:$G,'Rates-Service Fees'!TY$23,Detail!$H:$H,'Rates-Service Fees'!TY$20)*100</f>
        <v>0</v>
      </c>
      <c r="TZ41">
        <f>SUMIFS(Detail!$AW:$AW,Detail!$G:$G,'Rates-Service Fees'!TZ$23,Detail!$H:$H,'Rates-Service Fees'!TZ$20)*100</f>
        <v>0</v>
      </c>
      <c r="UA41">
        <f>SUMIFS(Detail!$AW:$AW,Detail!$G:$G,'Rates-Service Fees'!UA$23,Detail!$H:$H,'Rates-Service Fees'!UA$20)*100</f>
        <v>0</v>
      </c>
      <c r="UB41">
        <f>SUMIFS(Detail!$AW:$AW,Detail!$G:$G,'Rates-Service Fees'!UB$23,Detail!$H:$H,'Rates-Service Fees'!UB$20)*100</f>
        <v>0</v>
      </c>
      <c r="UC41">
        <f>SUMIFS(Detail!$AW:$AW,Detail!$G:$G,'Rates-Service Fees'!UC$23,Detail!$H:$H,'Rates-Service Fees'!UC$20)*100</f>
        <v>0</v>
      </c>
      <c r="UD41">
        <f>SUMIFS(Detail!$AW:$AW,Detail!$G:$G,'Rates-Service Fees'!UD$23,Detail!$H:$H,'Rates-Service Fees'!UD$20)*100</f>
        <v>0</v>
      </c>
      <c r="UE41">
        <f>SUMIFS(Detail!$AW:$AW,Detail!$G:$G,'Rates-Service Fees'!UE$23,Detail!$H:$H,'Rates-Service Fees'!UE$20)*100</f>
        <v>0</v>
      </c>
      <c r="UF41">
        <f>SUMIFS(Detail!$AW:$AW,Detail!$G:$G,'Rates-Service Fees'!UF$23,Detail!$H:$H,'Rates-Service Fees'!UF$20)*100</f>
        <v>0</v>
      </c>
      <c r="UG41">
        <f>SUMIFS(Detail!$AW:$AW,Detail!$G:$G,'Rates-Service Fees'!UG$23,Detail!$H:$H,'Rates-Service Fees'!UG$20)*100</f>
        <v>0</v>
      </c>
      <c r="UH41">
        <f>SUMIFS(Detail!$AW:$AW,Detail!$G:$G,'Rates-Service Fees'!UH$23,Detail!$H:$H,'Rates-Service Fees'!UH$20)*100</f>
        <v>0</v>
      </c>
      <c r="UI41">
        <f>SUMIFS(Detail!$AW:$AW,Detail!$G:$G,'Rates-Service Fees'!UI$23,Detail!$H:$H,'Rates-Service Fees'!UI$20)*100</f>
        <v>0</v>
      </c>
      <c r="UJ41">
        <f>SUMIFS(Detail!$AW:$AW,Detail!$G:$G,'Rates-Service Fees'!UJ$23,Detail!$H:$H,'Rates-Service Fees'!UJ$20)*100</f>
        <v>0</v>
      </c>
      <c r="UK41">
        <f>SUMIFS(Detail!$AW:$AW,Detail!$G:$G,'Rates-Service Fees'!UK$23,Detail!$H:$H,'Rates-Service Fees'!UK$20)*100</f>
        <v>0</v>
      </c>
      <c r="UL41">
        <f>SUMIFS(Detail!$AW:$AW,Detail!$G:$G,'Rates-Service Fees'!UL$23,Detail!$H:$H,'Rates-Service Fees'!UL$20)*100</f>
        <v>0</v>
      </c>
      <c r="UM41">
        <f>SUMIFS(Detail!$AW:$AW,Detail!$G:$G,'Rates-Service Fees'!UM$23,Detail!$H:$H,'Rates-Service Fees'!UM$20)*100</f>
        <v>0</v>
      </c>
      <c r="UN41">
        <f>SUMIFS(Detail!$AW:$AW,Detail!$G:$G,'Rates-Service Fees'!UN$23,Detail!$H:$H,'Rates-Service Fees'!UN$20)*100</f>
        <v>0</v>
      </c>
      <c r="UO41">
        <f>SUMIFS(Detail!$AW:$AW,Detail!$G:$G,'Rates-Service Fees'!UO$23,Detail!$H:$H,'Rates-Service Fees'!UO$20)*100</f>
        <v>0</v>
      </c>
      <c r="UP41">
        <f>SUMIFS(Detail!$AW:$AW,Detail!$G:$G,'Rates-Service Fees'!UP$23,Detail!$H:$H,'Rates-Service Fees'!UP$20)*100</f>
        <v>0</v>
      </c>
      <c r="UQ41">
        <f>SUMIFS(Detail!$AW:$AW,Detail!$G:$G,'Rates-Service Fees'!UQ$23,Detail!$H:$H,'Rates-Service Fees'!UQ$20)*100</f>
        <v>0</v>
      </c>
      <c r="UR41">
        <f>SUMIFS(Detail!$AW:$AW,Detail!$G:$G,'Rates-Service Fees'!UR$23,Detail!$H:$H,'Rates-Service Fees'!UR$20)*100</f>
        <v>0</v>
      </c>
      <c r="US41">
        <f>SUMIFS(Detail!$AW:$AW,Detail!$G:$G,'Rates-Service Fees'!US$23,Detail!$H:$H,'Rates-Service Fees'!US$20)*100</f>
        <v>0</v>
      </c>
      <c r="UT41">
        <f>SUMIFS(Detail!$AW:$AW,Detail!$G:$G,'Rates-Service Fees'!UT$23,Detail!$H:$H,'Rates-Service Fees'!UT$20)*100</f>
        <v>0</v>
      </c>
      <c r="UU41">
        <f>SUMIFS(Detail!$AW:$AW,Detail!$G:$G,'Rates-Service Fees'!UU$23,Detail!$H:$H,'Rates-Service Fees'!UU$20)*100</f>
        <v>0</v>
      </c>
      <c r="UV41">
        <f>SUMIFS(Detail!$AW:$AW,Detail!$G:$G,'Rates-Service Fees'!UV$23,Detail!$H:$H,'Rates-Service Fees'!UV$20)*100</f>
        <v>0</v>
      </c>
      <c r="UW41">
        <f>SUMIFS(Detail!$AW:$AW,Detail!$G:$G,'Rates-Service Fees'!UW$23,Detail!$H:$H,'Rates-Service Fees'!UW$20)*100</f>
        <v>0</v>
      </c>
      <c r="UX41">
        <f>SUMIFS(Detail!$AW:$AW,Detail!$G:$G,'Rates-Service Fees'!UX$23,Detail!$H:$H,'Rates-Service Fees'!UX$20)*100</f>
        <v>0</v>
      </c>
      <c r="UY41">
        <f>SUMIFS(Detail!$AW:$AW,Detail!$G:$G,'Rates-Service Fees'!UY$23,Detail!$H:$H,'Rates-Service Fees'!UY$20)*100</f>
        <v>0</v>
      </c>
      <c r="UZ41">
        <f>SUMIFS(Detail!$AW:$AW,Detail!$G:$G,'Rates-Service Fees'!UZ$23,Detail!$H:$H,'Rates-Service Fees'!UZ$20)*100</f>
        <v>0</v>
      </c>
      <c r="VA41">
        <f>SUMIFS(Detail!$AW:$AW,Detail!$G:$G,'Rates-Service Fees'!VA$23,Detail!$H:$H,'Rates-Service Fees'!VA$20)*100</f>
        <v>0</v>
      </c>
      <c r="VB41">
        <f>SUMIFS(Detail!$AW:$AW,Detail!$G:$G,'Rates-Service Fees'!VB$23,Detail!$H:$H,'Rates-Service Fees'!VB$20)*100</f>
        <v>0</v>
      </c>
      <c r="VC41">
        <f>SUMIFS(Detail!$AW:$AW,Detail!$G:$G,'Rates-Service Fees'!VC$23,Detail!$H:$H,'Rates-Service Fees'!VC$20)*100</f>
        <v>0</v>
      </c>
      <c r="VD41">
        <f>SUMIFS(Detail!$AW:$AW,Detail!$G:$G,'Rates-Service Fees'!VD$23,Detail!$H:$H,'Rates-Service Fees'!VD$20)*100</f>
        <v>0</v>
      </c>
      <c r="VE41">
        <f>SUMIFS(Detail!$AW:$AW,Detail!$G:$G,'Rates-Service Fees'!VE$23,Detail!$H:$H,'Rates-Service Fees'!VE$20)*100</f>
        <v>0</v>
      </c>
      <c r="VF41">
        <f>SUMIFS(Detail!$AW:$AW,Detail!$G:$G,'Rates-Service Fees'!VF$23,Detail!$H:$H,'Rates-Service Fees'!VF$20)*100</f>
        <v>0</v>
      </c>
      <c r="VG41">
        <f>SUMIFS(Detail!$AW:$AW,Detail!$G:$G,'Rates-Service Fees'!VG$23,Detail!$H:$H,'Rates-Service Fees'!VG$20)*100</f>
        <v>0</v>
      </c>
      <c r="VH41">
        <f>SUMIFS(Detail!$AW:$AW,Detail!$G:$G,'Rates-Service Fees'!VH$23,Detail!$H:$H,'Rates-Service Fees'!VH$20)*100</f>
        <v>0</v>
      </c>
      <c r="VI41">
        <f>SUMIFS(Detail!$AW:$AW,Detail!$G:$G,'Rates-Service Fees'!VI$23,Detail!$H:$H,'Rates-Service Fees'!VI$20)*100</f>
        <v>0</v>
      </c>
      <c r="VJ41">
        <f>SUMIFS(Detail!$AW:$AW,Detail!$G:$G,'Rates-Service Fees'!VJ$23,Detail!$H:$H,'Rates-Service Fees'!VJ$20)*100</f>
        <v>0</v>
      </c>
      <c r="VK41">
        <f>SUMIFS(Detail!$AW:$AW,Detail!$G:$G,'Rates-Service Fees'!VK$23,Detail!$H:$H,'Rates-Service Fees'!VK$20)*100</f>
        <v>0</v>
      </c>
      <c r="VL41">
        <f>SUMIFS(Detail!$AW:$AW,Detail!$G:$G,'Rates-Service Fees'!VL$23,Detail!$H:$H,'Rates-Service Fees'!VL$20)*100</f>
        <v>0</v>
      </c>
      <c r="VM41">
        <f>SUMIFS(Detail!$AW:$AW,Detail!$G:$G,'Rates-Service Fees'!VM$23,Detail!$H:$H,'Rates-Service Fees'!VM$20)*100</f>
        <v>0</v>
      </c>
      <c r="VN41">
        <f>SUMIFS(Detail!$AW:$AW,Detail!$G:$G,'Rates-Service Fees'!VN$23,Detail!$H:$H,'Rates-Service Fees'!VN$20)*100</f>
        <v>0</v>
      </c>
      <c r="VO41">
        <f>SUMIFS(Detail!$AW:$AW,Detail!$G:$G,'Rates-Service Fees'!VO$23,Detail!$H:$H,'Rates-Service Fees'!VO$20)*100</f>
        <v>0</v>
      </c>
      <c r="VP41">
        <f>SUMIFS(Detail!$AW:$AW,Detail!$G:$G,'Rates-Service Fees'!VP$23,Detail!$H:$H,'Rates-Service Fees'!VP$20)*100</f>
        <v>0</v>
      </c>
      <c r="VQ41">
        <f>SUMIFS(Detail!$AW:$AW,Detail!$G:$G,'Rates-Service Fees'!VQ$23,Detail!$H:$H,'Rates-Service Fees'!VQ$20)*100</f>
        <v>0</v>
      </c>
      <c r="VR41">
        <f>SUMIFS(Detail!$AW:$AW,Detail!$G:$G,'Rates-Service Fees'!VR$23,Detail!$H:$H,'Rates-Service Fees'!VR$20)*100</f>
        <v>0</v>
      </c>
      <c r="VS41">
        <f>SUMIFS(Detail!$AW:$AW,Detail!$G:$G,'Rates-Service Fees'!VS$23,Detail!$H:$H,'Rates-Service Fees'!VS$20)*100</f>
        <v>0</v>
      </c>
      <c r="VT41">
        <f>SUMIFS(Detail!$AW:$AW,Detail!$G:$G,'Rates-Service Fees'!VT$23,Detail!$H:$H,'Rates-Service Fees'!VT$20)*100</f>
        <v>0</v>
      </c>
      <c r="VU41">
        <f>SUMIFS(Detail!$AW:$AW,Detail!$G:$G,'Rates-Service Fees'!VU$23,Detail!$H:$H,'Rates-Service Fees'!VU$20)*100</f>
        <v>0</v>
      </c>
      <c r="VV41">
        <f>SUMIFS(Detail!$AW:$AW,Detail!$G:$G,'Rates-Service Fees'!VV$23,Detail!$H:$H,'Rates-Service Fees'!VV$20)*100</f>
        <v>0</v>
      </c>
      <c r="VW41">
        <f>SUMIFS(Detail!$AW:$AW,Detail!$G:$G,'Rates-Service Fees'!VW$23,Detail!$H:$H,'Rates-Service Fees'!VW$20)*100</f>
        <v>0</v>
      </c>
      <c r="VX41">
        <f>SUMIFS(Detail!$AW:$AW,Detail!$G:$G,'Rates-Service Fees'!VX$23,Detail!$H:$H,'Rates-Service Fees'!VX$20)*100</f>
        <v>0</v>
      </c>
      <c r="VY41">
        <f>SUMIFS(Detail!$AW:$AW,Detail!$G:$G,'Rates-Service Fees'!VY$23,Detail!$H:$H,'Rates-Service Fees'!VY$20)*100</f>
        <v>0</v>
      </c>
      <c r="VZ41">
        <f>SUMIFS(Detail!$AW:$AW,Detail!$G:$G,'Rates-Service Fees'!VZ$23,Detail!$H:$H,'Rates-Service Fees'!VZ$20)*100</f>
        <v>0</v>
      </c>
      <c r="WA41">
        <f>SUMIFS(Detail!$AW:$AW,Detail!$G:$G,'Rates-Service Fees'!WA$23,Detail!$H:$H,'Rates-Service Fees'!WA$20)*100</f>
        <v>0</v>
      </c>
      <c r="WB41">
        <f>SUMIFS(Detail!$AW:$AW,Detail!$G:$G,'Rates-Service Fees'!WB$23,Detail!$H:$H,'Rates-Service Fees'!WB$20)*100</f>
        <v>0</v>
      </c>
      <c r="WC41">
        <f>SUMIFS(Detail!$AW:$AW,Detail!$G:$G,'Rates-Service Fees'!WC$23,Detail!$H:$H,'Rates-Service Fees'!WC$20)*100</f>
        <v>0</v>
      </c>
      <c r="WD41">
        <f>SUMIFS(Detail!$AW:$AW,Detail!$G:$G,'Rates-Service Fees'!WD$23,Detail!$H:$H,'Rates-Service Fees'!WD$20)*100</f>
        <v>0</v>
      </c>
      <c r="WE41">
        <f>SUMIFS(Detail!$AW:$AW,Detail!$G:$G,'Rates-Service Fees'!WE$23,Detail!$H:$H,'Rates-Service Fees'!WE$20)*100</f>
        <v>0</v>
      </c>
      <c r="WF41">
        <f>SUMIFS(Detail!$AW:$AW,Detail!$G:$G,'Rates-Service Fees'!WF$23,Detail!$H:$H,'Rates-Service Fees'!WF$20)*100</f>
        <v>0</v>
      </c>
      <c r="WG41">
        <f>SUMIFS(Detail!$AW:$AW,Detail!$G:$G,'Rates-Service Fees'!WG$23,Detail!$H:$H,'Rates-Service Fees'!WG$20)*100</f>
        <v>0</v>
      </c>
      <c r="WH41">
        <f>SUMIFS(Detail!$AW:$AW,Detail!$G:$G,'Rates-Service Fees'!WH$23,Detail!$H:$H,'Rates-Service Fees'!WH$20)*100</f>
        <v>0</v>
      </c>
      <c r="WI41">
        <f>SUMIFS(Detail!$AW:$AW,Detail!$G:$G,'Rates-Service Fees'!WI$23,Detail!$H:$H,'Rates-Service Fees'!WI$20)*100</f>
        <v>0</v>
      </c>
      <c r="WJ41">
        <f>SUMIFS(Detail!$AW:$AW,Detail!$G:$G,'Rates-Service Fees'!WJ$23,Detail!$H:$H,'Rates-Service Fees'!WJ$20)*100</f>
        <v>0</v>
      </c>
      <c r="WK41">
        <f>SUMIFS(Detail!$AW:$AW,Detail!$G:$G,'Rates-Service Fees'!WK$23,Detail!$H:$H,'Rates-Service Fees'!WK$20)*100</f>
        <v>0</v>
      </c>
      <c r="WL41">
        <f>SUMIFS(Detail!$AW:$AW,Detail!$G:$G,'Rates-Service Fees'!WL$23,Detail!$H:$H,'Rates-Service Fees'!WL$20)*100</f>
        <v>0</v>
      </c>
      <c r="WM41">
        <f>SUMIFS(Detail!$AW:$AW,Detail!$G:$G,'Rates-Service Fees'!WM$23,Detail!$H:$H,'Rates-Service Fees'!WM$20)*100</f>
        <v>0</v>
      </c>
      <c r="WN41">
        <f>SUMIFS(Detail!$AW:$AW,Detail!$G:$G,'Rates-Service Fees'!WN$23,Detail!$H:$H,'Rates-Service Fees'!WN$20)*100</f>
        <v>0</v>
      </c>
      <c r="WO41">
        <f>SUMIFS(Detail!$AW:$AW,Detail!$G:$G,'Rates-Service Fees'!WO$23,Detail!$H:$H,'Rates-Service Fees'!WO$20)*100</f>
        <v>0</v>
      </c>
      <c r="WP41">
        <f>SUMIFS(Detail!$AW:$AW,Detail!$G:$G,'Rates-Service Fees'!WP$23,Detail!$H:$H,'Rates-Service Fees'!WP$20)*100</f>
        <v>0</v>
      </c>
      <c r="WQ41">
        <f>SUMIFS(Detail!$AW:$AW,Detail!$G:$G,'Rates-Service Fees'!WQ$23,Detail!$H:$H,'Rates-Service Fees'!WQ$20)*100</f>
        <v>0</v>
      </c>
      <c r="WR41">
        <f>SUMIFS(Detail!$AW:$AW,Detail!$G:$G,'Rates-Service Fees'!WR$23,Detail!$H:$H,'Rates-Service Fees'!WR$20)*100</f>
        <v>0</v>
      </c>
      <c r="WS41">
        <f>SUMIFS(Detail!$AW:$AW,Detail!$G:$G,'Rates-Service Fees'!WS$23,Detail!$H:$H,'Rates-Service Fees'!WS$20)*100</f>
        <v>0</v>
      </c>
      <c r="WT41">
        <f>SUMIFS(Detail!$AW:$AW,Detail!$G:$G,'Rates-Service Fees'!WT$23,Detail!$H:$H,'Rates-Service Fees'!WT$20)*100</f>
        <v>0</v>
      </c>
      <c r="WU41">
        <f>SUMIFS(Detail!$AW:$AW,Detail!$G:$G,'Rates-Service Fees'!WU$23,Detail!$H:$H,'Rates-Service Fees'!WU$20)*100</f>
        <v>0</v>
      </c>
      <c r="WV41">
        <f>SUMIFS(Detail!$AW:$AW,Detail!$G:$G,'Rates-Service Fees'!WV$23,Detail!$H:$H,'Rates-Service Fees'!WV$20)*100</f>
        <v>0</v>
      </c>
      <c r="WW41">
        <f>SUMIFS(Detail!$AW:$AW,Detail!$G:$G,'Rates-Service Fees'!WW$23,Detail!$H:$H,'Rates-Service Fees'!WW$20)*100</f>
        <v>0</v>
      </c>
      <c r="WX41">
        <f>SUMIFS(Detail!$AW:$AW,Detail!$G:$G,'Rates-Service Fees'!WX$23,Detail!$H:$H,'Rates-Service Fees'!WX$20)*100</f>
        <v>0</v>
      </c>
      <c r="WY41">
        <f>SUMIFS(Detail!$AW:$AW,Detail!$G:$G,'Rates-Service Fees'!WY$23,Detail!$H:$H,'Rates-Service Fees'!WY$20)*100</f>
        <v>0</v>
      </c>
      <c r="WZ41">
        <f>SUMIFS(Detail!$AW:$AW,Detail!$G:$G,'Rates-Service Fees'!WZ$23,Detail!$H:$H,'Rates-Service Fees'!WZ$20)*100</f>
        <v>0</v>
      </c>
      <c r="XA41">
        <f>SUMIFS(Detail!$AW:$AW,Detail!$G:$G,'Rates-Service Fees'!XA$23,Detail!$H:$H,'Rates-Service Fees'!XA$20)*100</f>
        <v>0</v>
      </c>
      <c r="XB41">
        <f>SUMIFS(Detail!$AW:$AW,Detail!$G:$G,'Rates-Service Fees'!XB$23,Detail!$H:$H,'Rates-Service Fees'!XB$20)*100</f>
        <v>0</v>
      </c>
      <c r="XC41">
        <f>SUMIFS(Detail!$AW:$AW,Detail!$G:$G,'Rates-Service Fees'!XC$23,Detail!$H:$H,'Rates-Service Fees'!XC$20)*100</f>
        <v>0</v>
      </c>
      <c r="XD41">
        <f>SUMIFS(Detail!$AW:$AW,Detail!$G:$G,'Rates-Service Fees'!XD$23,Detail!$H:$H,'Rates-Service Fees'!XD$20)*100</f>
        <v>0</v>
      </c>
      <c r="XE41">
        <f>SUMIFS(Detail!$AW:$AW,Detail!$G:$G,'Rates-Service Fees'!XE$23,Detail!$H:$H,'Rates-Service Fees'!XE$20)*100</f>
        <v>0</v>
      </c>
      <c r="XF41">
        <f>SUMIFS(Detail!$AW:$AW,Detail!$G:$G,'Rates-Service Fees'!XF$23,Detail!$H:$H,'Rates-Service Fees'!XF$20)*100</f>
        <v>0</v>
      </c>
      <c r="XG41">
        <f>SUMIFS(Detail!$AW:$AW,Detail!$G:$G,'Rates-Service Fees'!XG$23,Detail!$H:$H,'Rates-Service Fees'!XG$20)*100</f>
        <v>0</v>
      </c>
      <c r="XH41">
        <f>SUMIFS(Detail!$AW:$AW,Detail!$G:$G,'Rates-Service Fees'!XH$23,Detail!$H:$H,'Rates-Service Fees'!XH$20)*100</f>
        <v>0</v>
      </c>
      <c r="XI41">
        <f>SUMIFS(Detail!$AW:$AW,Detail!$G:$G,'Rates-Service Fees'!XI$23,Detail!$H:$H,'Rates-Service Fees'!XI$20)*100</f>
        <v>0</v>
      </c>
      <c r="XJ41">
        <f>SUMIFS(Detail!$AW:$AW,Detail!$G:$G,'Rates-Service Fees'!XJ$23,Detail!$H:$H,'Rates-Service Fees'!XJ$20)*100</f>
        <v>0</v>
      </c>
      <c r="XK41">
        <f>SUMIFS(Detail!$AW:$AW,Detail!$G:$G,'Rates-Service Fees'!XK$23,Detail!$H:$H,'Rates-Service Fees'!XK$20)*100</f>
        <v>0</v>
      </c>
      <c r="XL41">
        <f>SUMIFS(Detail!$AW:$AW,Detail!$G:$G,'Rates-Service Fees'!XL$23,Detail!$H:$H,'Rates-Service Fees'!XL$20)*100</f>
        <v>0</v>
      </c>
      <c r="XM41">
        <f>SUMIFS(Detail!$AW:$AW,Detail!$G:$G,'Rates-Service Fees'!XM$23,Detail!$H:$H,'Rates-Service Fees'!XM$20)*100</f>
        <v>0</v>
      </c>
      <c r="XN41">
        <f>SUMIFS(Detail!$AW:$AW,Detail!$G:$G,'Rates-Service Fees'!XN$23,Detail!$H:$H,'Rates-Service Fees'!XN$20)*100</f>
        <v>0</v>
      </c>
      <c r="XO41">
        <f>SUMIFS(Detail!$AW:$AW,Detail!$G:$G,'Rates-Service Fees'!XO$23,Detail!$H:$H,'Rates-Service Fees'!XO$20)*100</f>
        <v>0</v>
      </c>
      <c r="XP41">
        <f>SUMIFS(Detail!$AW:$AW,Detail!$G:$G,'Rates-Service Fees'!XP$23,Detail!$H:$H,'Rates-Service Fees'!XP$20)*100</f>
        <v>0</v>
      </c>
      <c r="XQ41">
        <f>SUMIFS(Detail!$AW:$AW,Detail!$G:$G,'Rates-Service Fees'!XQ$23,Detail!$H:$H,'Rates-Service Fees'!XQ$20)*100</f>
        <v>0</v>
      </c>
      <c r="XR41">
        <f>SUMIFS(Detail!$AW:$AW,Detail!$G:$G,'Rates-Service Fees'!XR$23,Detail!$H:$H,'Rates-Service Fees'!XR$20)*100</f>
        <v>0</v>
      </c>
      <c r="XS41">
        <f>SUMIFS(Detail!$AW:$AW,Detail!$G:$G,'Rates-Service Fees'!XS$23,Detail!$H:$H,'Rates-Service Fees'!XS$20)*100</f>
        <v>0</v>
      </c>
      <c r="XT41">
        <f>SUMIFS(Detail!$AW:$AW,Detail!$G:$G,'Rates-Service Fees'!XT$23,Detail!$H:$H,'Rates-Service Fees'!XT$20)*100</f>
        <v>0</v>
      </c>
      <c r="XU41">
        <f>SUMIFS(Detail!$AW:$AW,Detail!$G:$G,'Rates-Service Fees'!XU$23,Detail!$H:$H,'Rates-Service Fees'!XU$20)*100</f>
        <v>0</v>
      </c>
      <c r="XV41">
        <f>SUMIFS(Detail!$AW:$AW,Detail!$G:$G,'Rates-Service Fees'!XV$23,Detail!$H:$H,'Rates-Service Fees'!XV$20)*100</f>
        <v>0</v>
      </c>
      <c r="XW41">
        <f>SUMIFS(Detail!$AW:$AW,Detail!$G:$G,'Rates-Service Fees'!XW$23,Detail!$H:$H,'Rates-Service Fees'!XW$20)*100</f>
        <v>0</v>
      </c>
      <c r="XX41">
        <f>SUMIFS(Detail!$AW:$AW,Detail!$G:$G,'Rates-Service Fees'!XX$23,Detail!$H:$H,'Rates-Service Fees'!XX$20)*100</f>
        <v>0</v>
      </c>
      <c r="XY41">
        <f>SUMIFS(Detail!$AW:$AW,Detail!$G:$G,'Rates-Service Fees'!XY$23,Detail!$H:$H,'Rates-Service Fees'!XY$20)*100</f>
        <v>0</v>
      </c>
      <c r="XZ41">
        <f>SUMIFS(Detail!$AW:$AW,Detail!$G:$G,'Rates-Service Fees'!XZ$23,Detail!$H:$H,'Rates-Service Fees'!XZ$20)*100</f>
        <v>0</v>
      </c>
      <c r="YA41">
        <f>SUMIFS(Detail!$AW:$AW,Detail!$G:$G,'Rates-Service Fees'!YA$23,Detail!$H:$H,'Rates-Service Fees'!YA$20)*100</f>
        <v>0</v>
      </c>
      <c r="YB41">
        <f>SUMIFS(Detail!$AW:$AW,Detail!$G:$G,'Rates-Service Fees'!YB$23,Detail!$H:$H,'Rates-Service Fees'!YB$20)*100</f>
        <v>0</v>
      </c>
      <c r="YC41">
        <f>SUMIFS(Detail!$AW:$AW,Detail!$G:$G,'Rates-Service Fees'!YC$23,Detail!$H:$H,'Rates-Service Fees'!YC$20)*100</f>
        <v>0</v>
      </c>
      <c r="YD41">
        <f>SUMIFS(Detail!$AW:$AW,Detail!$G:$G,'Rates-Service Fees'!YD$23,Detail!$H:$H,'Rates-Service Fees'!YD$20)*100</f>
        <v>0</v>
      </c>
      <c r="YE41">
        <f>SUMIFS(Detail!$AW:$AW,Detail!$G:$G,'Rates-Service Fees'!YE$23,Detail!$H:$H,'Rates-Service Fees'!YE$20)*100</f>
        <v>0</v>
      </c>
      <c r="YF41">
        <f>SUMIFS(Detail!$AW:$AW,Detail!$G:$G,'Rates-Service Fees'!YF$23,Detail!$H:$H,'Rates-Service Fees'!YF$20)*100</f>
        <v>0</v>
      </c>
      <c r="YG41">
        <f>SUMIFS(Detail!$AW:$AW,Detail!$G:$G,'Rates-Service Fees'!YG$23,Detail!$H:$H,'Rates-Service Fees'!YG$20)*100</f>
        <v>0</v>
      </c>
      <c r="YH41">
        <f>SUMIFS(Detail!$AW:$AW,Detail!$G:$G,'Rates-Service Fees'!YH$23,Detail!$H:$H,'Rates-Service Fees'!YH$20)*100</f>
        <v>0</v>
      </c>
      <c r="YI41">
        <f>SUMIFS(Detail!$AW:$AW,Detail!$G:$G,'Rates-Service Fees'!YI$23,Detail!$H:$H,'Rates-Service Fees'!YI$20)*100</f>
        <v>0</v>
      </c>
      <c r="YJ41">
        <f>SUMIFS(Detail!$AW:$AW,Detail!$G:$G,'Rates-Service Fees'!YJ$23,Detail!$H:$H,'Rates-Service Fees'!YJ$20)*100</f>
        <v>0</v>
      </c>
      <c r="YK41">
        <f>SUMIFS(Detail!$AW:$AW,Detail!$G:$G,'Rates-Service Fees'!YK$23,Detail!$H:$H,'Rates-Service Fees'!YK$20)*100</f>
        <v>0</v>
      </c>
      <c r="YL41">
        <f>SUMIFS(Detail!$AW:$AW,Detail!$G:$G,'Rates-Service Fees'!YL$23,Detail!$H:$H,'Rates-Service Fees'!YL$20)*100</f>
        <v>0</v>
      </c>
      <c r="YM41">
        <f>SUMIFS(Detail!$AW:$AW,Detail!$G:$G,'Rates-Service Fees'!YM$23,Detail!$H:$H,'Rates-Service Fees'!YM$20)*100</f>
        <v>0</v>
      </c>
      <c r="YN41">
        <f>SUMIFS(Detail!$AW:$AW,Detail!$G:$G,'Rates-Service Fees'!YN$23,Detail!$H:$H,'Rates-Service Fees'!YN$20)*100</f>
        <v>0</v>
      </c>
      <c r="YO41">
        <f>SUMIFS(Detail!$AW:$AW,Detail!$G:$G,'Rates-Service Fees'!YO$23,Detail!$H:$H,'Rates-Service Fees'!YO$20)*100</f>
        <v>0</v>
      </c>
      <c r="YP41">
        <f>SUMIFS(Detail!$AW:$AW,Detail!$G:$G,'Rates-Service Fees'!YP$23,Detail!$H:$H,'Rates-Service Fees'!YP$20)*100</f>
        <v>0</v>
      </c>
      <c r="YQ41">
        <f>SUMIFS(Detail!$AW:$AW,Detail!$G:$G,'Rates-Service Fees'!YQ$23,Detail!$H:$H,'Rates-Service Fees'!YQ$20)*100</f>
        <v>0</v>
      </c>
      <c r="YR41">
        <f>SUMIFS(Detail!$AW:$AW,Detail!$G:$G,'Rates-Service Fees'!YR$23,Detail!$H:$H,'Rates-Service Fees'!YR$20)*100</f>
        <v>0</v>
      </c>
      <c r="YS41">
        <f>SUMIFS(Detail!$AW:$AW,Detail!$G:$G,'Rates-Service Fees'!YS$23,Detail!$H:$H,'Rates-Service Fees'!YS$20)*100</f>
        <v>0</v>
      </c>
      <c r="YT41">
        <f>SUMIFS(Detail!$AW:$AW,Detail!$G:$G,'Rates-Service Fees'!YT$23,Detail!$H:$H,'Rates-Service Fees'!YT$20)*100</f>
        <v>0</v>
      </c>
      <c r="YU41">
        <f>SUMIFS(Detail!$AW:$AW,Detail!$G:$G,'Rates-Service Fees'!YU$23,Detail!$H:$H,'Rates-Service Fees'!YU$20)*100</f>
        <v>0</v>
      </c>
      <c r="YV41">
        <f>SUMIFS(Detail!$AW:$AW,Detail!$G:$G,'Rates-Service Fees'!YV$23,Detail!$H:$H,'Rates-Service Fees'!YV$20)*100</f>
        <v>0</v>
      </c>
      <c r="YW41">
        <f>SUMIFS(Detail!$AW:$AW,Detail!$G:$G,'Rates-Service Fees'!YW$23,Detail!$H:$H,'Rates-Service Fees'!YW$20)*100</f>
        <v>0</v>
      </c>
      <c r="YX41">
        <f>SUMIFS(Detail!$AW:$AW,Detail!$G:$G,'Rates-Service Fees'!YX$23,Detail!$H:$H,'Rates-Service Fees'!YX$20)*100</f>
        <v>0</v>
      </c>
      <c r="YY41">
        <f>SUMIFS(Detail!$AW:$AW,Detail!$G:$G,'Rates-Service Fees'!YY$23,Detail!$H:$H,'Rates-Service Fees'!YY$20)*100</f>
        <v>0</v>
      </c>
      <c r="YZ41">
        <f>SUMIFS(Detail!$AW:$AW,Detail!$G:$G,'Rates-Service Fees'!YZ$23,Detail!$H:$H,'Rates-Service Fees'!YZ$20)*100</f>
        <v>0</v>
      </c>
      <c r="ZA41">
        <f>SUMIFS(Detail!$AW:$AW,Detail!$G:$G,'Rates-Service Fees'!ZA$23,Detail!$H:$H,'Rates-Service Fees'!ZA$20)*100</f>
        <v>0</v>
      </c>
      <c r="ZB41">
        <f>SUMIFS(Detail!$AW:$AW,Detail!$G:$G,'Rates-Service Fees'!ZB$23,Detail!$H:$H,'Rates-Service Fees'!ZB$20)*100</f>
        <v>0</v>
      </c>
      <c r="ZC41">
        <f>SUMIFS(Detail!$AW:$AW,Detail!$G:$G,'Rates-Service Fees'!ZC$23,Detail!$H:$H,'Rates-Service Fees'!ZC$20)*100</f>
        <v>0</v>
      </c>
      <c r="ZD41">
        <f>SUMIFS(Detail!$AW:$AW,Detail!$G:$G,'Rates-Service Fees'!ZD$23,Detail!$H:$H,'Rates-Service Fees'!ZD$20)*100</f>
        <v>0</v>
      </c>
      <c r="ZE41">
        <f>SUMIFS(Detail!$AW:$AW,Detail!$G:$G,'Rates-Service Fees'!ZE$23,Detail!$H:$H,'Rates-Service Fees'!ZE$20)*100</f>
        <v>0</v>
      </c>
      <c r="ZF41">
        <f>SUMIFS(Detail!$AW:$AW,Detail!$G:$G,'Rates-Service Fees'!ZF$23,Detail!$H:$H,'Rates-Service Fees'!ZF$20)*100</f>
        <v>0</v>
      </c>
      <c r="ZG41">
        <f>SUMIFS(Detail!$AW:$AW,Detail!$G:$G,'Rates-Service Fees'!ZG$23,Detail!$H:$H,'Rates-Service Fees'!ZG$20)*100</f>
        <v>0</v>
      </c>
      <c r="ZH41">
        <f>SUMIFS(Detail!$AW:$AW,Detail!$G:$G,'Rates-Service Fees'!ZH$23,Detail!$H:$H,'Rates-Service Fees'!ZH$20)*100</f>
        <v>0</v>
      </c>
      <c r="ZI41">
        <f>SUMIFS(Detail!$AW:$AW,Detail!$G:$G,'Rates-Service Fees'!ZI$23,Detail!$H:$H,'Rates-Service Fees'!ZI$20)*100</f>
        <v>0</v>
      </c>
      <c r="ZJ41">
        <f>SUMIFS(Detail!$AW:$AW,Detail!$G:$G,'Rates-Service Fees'!ZJ$23,Detail!$H:$H,'Rates-Service Fees'!ZJ$20)*100</f>
        <v>0</v>
      </c>
      <c r="ZK41">
        <f>SUMIFS(Detail!$AW:$AW,Detail!$G:$G,'Rates-Service Fees'!ZK$23,Detail!$H:$H,'Rates-Service Fees'!ZK$20)*100</f>
        <v>0</v>
      </c>
      <c r="ZL41">
        <f>SUMIFS(Detail!$AW:$AW,Detail!$G:$G,'Rates-Service Fees'!ZL$23,Detail!$H:$H,'Rates-Service Fees'!ZL$20)*100</f>
        <v>0</v>
      </c>
      <c r="ZM41">
        <f>SUMIFS(Detail!$AW:$AW,Detail!$G:$G,'Rates-Service Fees'!ZM$23,Detail!$H:$H,'Rates-Service Fees'!ZM$20)*100</f>
        <v>0</v>
      </c>
      <c r="ZN41">
        <f>SUMIFS(Detail!$AW:$AW,Detail!$G:$G,'Rates-Service Fees'!ZN$23,Detail!$H:$H,'Rates-Service Fees'!ZN$20)*100</f>
        <v>0</v>
      </c>
      <c r="ZO41">
        <f>SUMIFS(Detail!$AW:$AW,Detail!$G:$G,'Rates-Service Fees'!ZO$23,Detail!$H:$H,'Rates-Service Fees'!ZO$20)*100</f>
        <v>0</v>
      </c>
      <c r="ZP41">
        <f>SUMIFS(Detail!$AW:$AW,Detail!$G:$G,'Rates-Service Fees'!ZP$23,Detail!$H:$H,'Rates-Service Fees'!ZP$20)*100</f>
        <v>0</v>
      </c>
      <c r="ZQ41">
        <f>SUMIFS(Detail!$AW:$AW,Detail!$G:$G,'Rates-Service Fees'!ZQ$23,Detail!$H:$H,'Rates-Service Fees'!ZQ$20)*100</f>
        <v>0</v>
      </c>
      <c r="ZR41">
        <f>SUMIFS(Detail!$AW:$AW,Detail!$G:$G,'Rates-Service Fees'!ZR$23,Detail!$H:$H,'Rates-Service Fees'!ZR$20)*100</f>
        <v>0</v>
      </c>
      <c r="ZS41">
        <f>SUMIFS(Detail!$AW:$AW,Detail!$G:$G,'Rates-Service Fees'!ZS$23,Detail!$H:$H,'Rates-Service Fees'!ZS$20)*100</f>
        <v>0</v>
      </c>
      <c r="ZT41">
        <f>SUMIFS(Detail!$AW:$AW,Detail!$G:$G,'Rates-Service Fees'!ZT$23,Detail!$H:$H,'Rates-Service Fees'!ZT$20)*100</f>
        <v>0</v>
      </c>
      <c r="ZU41">
        <f>SUMIFS(Detail!$AW:$AW,Detail!$G:$G,'Rates-Service Fees'!ZU$23,Detail!$H:$H,'Rates-Service Fees'!ZU$20)*100</f>
        <v>0</v>
      </c>
      <c r="ZV41">
        <f>SUMIFS(Detail!$AW:$AW,Detail!$G:$G,'Rates-Service Fees'!ZV$23,Detail!$H:$H,'Rates-Service Fees'!ZV$20)*100</f>
        <v>0</v>
      </c>
      <c r="ZW41">
        <f>SUMIFS(Detail!$AW:$AW,Detail!$G:$G,'Rates-Service Fees'!ZW$23,Detail!$H:$H,'Rates-Service Fees'!ZW$20)*100</f>
        <v>0</v>
      </c>
      <c r="ZX41">
        <f>SUMIFS(Detail!$AW:$AW,Detail!$G:$G,'Rates-Service Fees'!ZX$23,Detail!$H:$H,'Rates-Service Fees'!ZX$20)*100</f>
        <v>0</v>
      </c>
      <c r="ZY41">
        <f>SUMIFS(Detail!$AW:$AW,Detail!$G:$G,'Rates-Service Fees'!ZY$23,Detail!$H:$H,'Rates-Service Fees'!ZY$20)*100</f>
        <v>0</v>
      </c>
      <c r="ZZ41">
        <f>SUMIFS(Detail!$AW:$AW,Detail!$G:$G,'Rates-Service Fees'!ZZ$23,Detail!$H:$H,'Rates-Service Fees'!ZZ$20)*100</f>
        <v>0</v>
      </c>
      <c r="AAA41">
        <f>SUMIFS(Detail!$AW:$AW,Detail!$G:$G,'Rates-Service Fees'!AAA$23,Detail!$H:$H,'Rates-Service Fees'!AAA$20)*100</f>
        <v>0</v>
      </c>
      <c r="AAB41">
        <f>SUMIFS(Detail!$AW:$AW,Detail!$G:$G,'Rates-Service Fees'!AAB$23,Detail!$H:$H,'Rates-Service Fees'!AAB$20)*100</f>
        <v>0</v>
      </c>
      <c r="AAC41">
        <f>SUMIFS(Detail!$AW:$AW,Detail!$G:$G,'Rates-Service Fees'!AAC$23,Detail!$H:$H,'Rates-Service Fees'!AAC$20)*100</f>
        <v>0</v>
      </c>
      <c r="AAD41">
        <f>SUMIFS(Detail!$AW:$AW,Detail!$G:$G,'Rates-Service Fees'!AAD$23,Detail!$H:$H,'Rates-Service Fees'!AAD$20)*100</f>
        <v>0</v>
      </c>
      <c r="AAE41">
        <f>SUMIFS(Detail!$AW:$AW,Detail!$G:$G,'Rates-Service Fees'!AAE$23,Detail!$H:$H,'Rates-Service Fees'!AAE$20)*100</f>
        <v>0</v>
      </c>
      <c r="AAF41">
        <f>SUMIFS(Detail!$AW:$AW,Detail!$G:$G,'Rates-Service Fees'!AAF$23,Detail!$H:$H,'Rates-Service Fees'!AAF$20)*100</f>
        <v>0</v>
      </c>
      <c r="AAG41">
        <f>SUMIFS(Detail!$AW:$AW,Detail!$G:$G,'Rates-Service Fees'!AAG$23,Detail!$H:$H,'Rates-Service Fees'!AAG$20)*100</f>
        <v>0</v>
      </c>
      <c r="AAH41">
        <f>SUMIFS(Detail!$AW:$AW,Detail!$G:$G,'Rates-Service Fees'!AAH$23,Detail!$H:$H,'Rates-Service Fees'!AAH$20)*100</f>
        <v>0</v>
      </c>
      <c r="AAI41">
        <f>SUMIFS(Detail!$AW:$AW,Detail!$G:$G,'Rates-Service Fees'!AAI$23,Detail!$H:$H,'Rates-Service Fees'!AAI$20)*100</f>
        <v>0</v>
      </c>
      <c r="AAJ41">
        <f>SUMIFS(Detail!$AW:$AW,Detail!$G:$G,'Rates-Service Fees'!AAJ$23,Detail!$H:$H,'Rates-Service Fees'!AAJ$20)*100</f>
        <v>0</v>
      </c>
      <c r="AAK41">
        <f>SUMIFS(Detail!$AW:$AW,Detail!$G:$G,'Rates-Service Fees'!AAK$23,Detail!$H:$H,'Rates-Service Fees'!AAK$20)*100</f>
        <v>0</v>
      </c>
      <c r="AAL41">
        <f>SUMIFS(Detail!$AW:$AW,Detail!$G:$G,'Rates-Service Fees'!AAL$23,Detail!$H:$H,'Rates-Service Fees'!AAL$20)*100</f>
        <v>0</v>
      </c>
      <c r="AAM41">
        <f>SUMIFS(Detail!$AW:$AW,Detail!$G:$G,'Rates-Service Fees'!AAM$23,Detail!$H:$H,'Rates-Service Fees'!AAM$20)*100</f>
        <v>0</v>
      </c>
      <c r="AAN41">
        <f>SUMIFS(Detail!$AW:$AW,Detail!$G:$G,'Rates-Service Fees'!AAN$23,Detail!$H:$H,'Rates-Service Fees'!AAN$20)*100</f>
        <v>0</v>
      </c>
      <c r="AAO41">
        <f>SUMIFS(Detail!$AW:$AW,Detail!$G:$G,'Rates-Service Fees'!AAO$23,Detail!$H:$H,'Rates-Service Fees'!AAO$20)*100</f>
        <v>0</v>
      </c>
      <c r="AAP41">
        <f>SUMIFS(Detail!$AW:$AW,Detail!$G:$G,'Rates-Service Fees'!AAP$23,Detail!$H:$H,'Rates-Service Fees'!AAP$20)*100</f>
        <v>0</v>
      </c>
      <c r="AAQ41">
        <f>SUMIFS(Detail!$AW:$AW,Detail!$G:$G,'Rates-Service Fees'!AAQ$23,Detail!$H:$H,'Rates-Service Fees'!AAQ$20)*100</f>
        <v>0</v>
      </c>
      <c r="AAR41">
        <f>SUMIFS(Detail!$AW:$AW,Detail!$G:$G,'Rates-Service Fees'!AAR$23,Detail!$H:$H,'Rates-Service Fees'!AAR$20)*100</f>
        <v>0</v>
      </c>
      <c r="AAS41">
        <f>SUMIFS(Detail!$AW:$AW,Detail!$G:$G,'Rates-Service Fees'!AAS$23,Detail!$H:$H,'Rates-Service Fees'!AAS$20)*100</f>
        <v>0</v>
      </c>
      <c r="AAT41">
        <f>SUMIFS(Detail!$AW:$AW,Detail!$G:$G,'Rates-Service Fees'!AAT$23,Detail!$H:$H,'Rates-Service Fees'!AAT$20)*100</f>
        <v>0</v>
      </c>
      <c r="AAU41">
        <f>SUMIFS(Detail!$AW:$AW,Detail!$G:$G,'Rates-Service Fees'!AAU$23,Detail!$H:$H,'Rates-Service Fees'!AAU$20)*100</f>
        <v>0</v>
      </c>
      <c r="AAV41">
        <f>SUMIFS(Detail!$AW:$AW,Detail!$G:$G,'Rates-Service Fees'!AAV$23,Detail!$H:$H,'Rates-Service Fees'!AAV$20)*100</f>
        <v>0</v>
      </c>
      <c r="AAW41">
        <f>SUMIFS(Detail!$AW:$AW,Detail!$G:$G,'Rates-Service Fees'!AAW$23,Detail!$H:$H,'Rates-Service Fees'!AAW$20)*100</f>
        <v>0</v>
      </c>
      <c r="AAX41">
        <f>SUMIFS(Detail!$AW:$AW,Detail!$G:$G,'Rates-Service Fees'!AAX$23,Detail!$H:$H,'Rates-Service Fees'!AAX$20)*100</f>
        <v>0</v>
      </c>
      <c r="AAY41">
        <f>SUMIFS(Detail!$AW:$AW,Detail!$G:$G,'Rates-Service Fees'!AAY$23,Detail!$H:$H,'Rates-Service Fees'!AAY$20)*100</f>
        <v>0</v>
      </c>
      <c r="AAZ41">
        <f>SUMIFS(Detail!$AW:$AW,Detail!$G:$G,'Rates-Service Fees'!AAZ$23,Detail!$H:$H,'Rates-Service Fees'!AAZ$20)*100</f>
        <v>0</v>
      </c>
      <c r="ABA41">
        <f>SUMIFS(Detail!$AW:$AW,Detail!$G:$G,'Rates-Service Fees'!ABA$23,Detail!$H:$H,'Rates-Service Fees'!ABA$20)*100</f>
        <v>0</v>
      </c>
      <c r="ABB41">
        <f>SUMIFS(Detail!$AW:$AW,Detail!$G:$G,'Rates-Service Fees'!ABB$23,Detail!$H:$H,'Rates-Service Fees'!ABB$20)*100</f>
        <v>0</v>
      </c>
      <c r="ABC41">
        <f>SUMIFS(Detail!$AW:$AW,Detail!$G:$G,'Rates-Service Fees'!ABC$23,Detail!$H:$H,'Rates-Service Fees'!ABC$20)*100</f>
        <v>0</v>
      </c>
      <c r="ABD41">
        <f>SUMIFS(Detail!$AW:$AW,Detail!$G:$G,'Rates-Service Fees'!ABD$23,Detail!$H:$H,'Rates-Service Fees'!ABD$20)*100</f>
        <v>0</v>
      </c>
      <c r="ABE41">
        <f>SUMIFS(Detail!$AW:$AW,Detail!$G:$G,'Rates-Service Fees'!ABE$23,Detail!$H:$H,'Rates-Service Fees'!ABE$20)*100</f>
        <v>0</v>
      </c>
      <c r="ABF41">
        <f>SUMIFS(Detail!$AW:$AW,Detail!$G:$G,'Rates-Service Fees'!ABF$23,Detail!$H:$H,'Rates-Service Fees'!ABF$20)*100</f>
        <v>0</v>
      </c>
      <c r="ABG41">
        <f>SUMIFS(Detail!$AW:$AW,Detail!$G:$G,'Rates-Service Fees'!ABG$23,Detail!$H:$H,'Rates-Service Fees'!ABG$20)*100</f>
        <v>0</v>
      </c>
      <c r="ABH41">
        <f>SUMIFS(Detail!$AW:$AW,Detail!$G:$G,'Rates-Service Fees'!ABH$23,Detail!$H:$H,'Rates-Service Fees'!ABH$20)*100</f>
        <v>0</v>
      </c>
      <c r="ABI41">
        <f>SUMIFS(Detail!$AW:$AW,Detail!$G:$G,'Rates-Service Fees'!ABI$23,Detail!$H:$H,'Rates-Service Fees'!ABI$20)*100</f>
        <v>0</v>
      </c>
      <c r="ABJ41">
        <f>SUMIFS(Detail!$AW:$AW,Detail!$G:$G,'Rates-Service Fees'!ABJ$23,Detail!$H:$H,'Rates-Service Fees'!ABJ$20)*100</f>
        <v>0</v>
      </c>
      <c r="ABK41">
        <f>SUMIFS(Detail!$AW:$AW,Detail!$G:$G,'Rates-Service Fees'!ABK$23,Detail!$H:$H,'Rates-Service Fees'!ABK$20)*100</f>
        <v>0</v>
      </c>
      <c r="ABL41">
        <f>SUMIFS(Detail!$AW:$AW,Detail!$G:$G,'Rates-Service Fees'!ABL$23,Detail!$H:$H,'Rates-Service Fees'!ABL$20)*100</f>
        <v>0</v>
      </c>
      <c r="ABM41">
        <f>SUMIFS(Detail!$AW:$AW,Detail!$G:$G,'Rates-Service Fees'!ABM$23,Detail!$H:$H,'Rates-Service Fees'!ABM$20)*100</f>
        <v>0</v>
      </c>
      <c r="ABN41">
        <f>SUMIFS(Detail!$AW:$AW,Detail!$G:$G,'Rates-Service Fees'!ABN$23,Detail!$H:$H,'Rates-Service Fees'!ABN$20)*100</f>
        <v>0</v>
      </c>
      <c r="ABO41">
        <f>SUMIFS(Detail!$AW:$AW,Detail!$G:$G,'Rates-Service Fees'!ABO$23,Detail!$H:$H,'Rates-Service Fees'!ABO$20)*100</f>
        <v>0</v>
      </c>
      <c r="ABP41">
        <f>SUMIFS(Detail!$AW:$AW,Detail!$G:$G,'Rates-Service Fees'!ABP$23,Detail!$H:$H,'Rates-Service Fees'!ABP$20)*100</f>
        <v>0</v>
      </c>
      <c r="ABQ41">
        <f>SUMIFS(Detail!$AW:$AW,Detail!$G:$G,'Rates-Service Fees'!ABQ$23,Detail!$H:$H,'Rates-Service Fees'!ABQ$20)*100</f>
        <v>0</v>
      </c>
      <c r="ABR41">
        <f>SUMIFS(Detail!$AW:$AW,Detail!$G:$G,'Rates-Service Fees'!ABR$23,Detail!$H:$H,'Rates-Service Fees'!ABR$20)*100</f>
        <v>0</v>
      </c>
      <c r="ABS41">
        <f>SUMIFS(Detail!$AW:$AW,Detail!$G:$G,'Rates-Service Fees'!ABS$23,Detail!$H:$H,'Rates-Service Fees'!ABS$20)*100</f>
        <v>0</v>
      </c>
      <c r="ABT41">
        <f>SUMIFS(Detail!$AW:$AW,Detail!$G:$G,'Rates-Service Fees'!ABT$23,Detail!$H:$H,'Rates-Service Fees'!ABT$20)*100</f>
        <v>0</v>
      </c>
      <c r="ABU41">
        <f>SUMIFS(Detail!$AW:$AW,Detail!$G:$G,'Rates-Service Fees'!ABU$23,Detail!$H:$H,'Rates-Service Fees'!ABU$20)*100</f>
        <v>0</v>
      </c>
      <c r="ABV41">
        <f>SUMIFS(Detail!$AW:$AW,Detail!$G:$G,'Rates-Service Fees'!ABV$23,Detail!$H:$H,'Rates-Service Fees'!ABV$20)*100</f>
        <v>0</v>
      </c>
      <c r="ABW41">
        <f>SUMIFS(Detail!$AW:$AW,Detail!$G:$G,'Rates-Service Fees'!ABW$23,Detail!$H:$H,'Rates-Service Fees'!ABW$20)*100</f>
        <v>0</v>
      </c>
      <c r="ABX41">
        <f>SUMIFS(Detail!$AW:$AW,Detail!$G:$G,'Rates-Service Fees'!ABX$23,Detail!$H:$H,'Rates-Service Fees'!ABX$20)*100</f>
        <v>0</v>
      </c>
      <c r="ABY41">
        <f>SUMIFS(Detail!$AW:$AW,Detail!$G:$G,'Rates-Service Fees'!ABY$23,Detail!$H:$H,'Rates-Service Fees'!ABY$20)*100</f>
        <v>0</v>
      </c>
      <c r="ABZ41">
        <f>SUMIFS(Detail!$AW:$AW,Detail!$G:$G,'Rates-Service Fees'!ABZ$23,Detail!$H:$H,'Rates-Service Fees'!ABZ$20)*100</f>
        <v>0</v>
      </c>
      <c r="ACA41">
        <f>SUMIFS(Detail!$AW:$AW,Detail!$G:$G,'Rates-Service Fees'!ACA$23,Detail!$H:$H,'Rates-Service Fees'!ACA$20)*100</f>
        <v>0</v>
      </c>
      <c r="ACB41">
        <f>SUMIFS(Detail!$AW:$AW,Detail!$G:$G,'Rates-Service Fees'!ACB$23,Detail!$H:$H,'Rates-Service Fees'!ACB$20)*100</f>
        <v>0</v>
      </c>
      <c r="ACC41">
        <f>SUMIFS(Detail!$AW:$AW,Detail!$G:$G,'Rates-Service Fees'!ACC$23,Detail!$H:$H,'Rates-Service Fees'!ACC$20)*100</f>
        <v>0</v>
      </c>
      <c r="ACD41">
        <f>SUMIFS(Detail!$AW:$AW,Detail!$G:$G,'Rates-Service Fees'!ACD$23,Detail!$H:$H,'Rates-Service Fees'!ACD$20)*100</f>
        <v>0</v>
      </c>
      <c r="ACE41">
        <f>SUMIFS(Detail!$AW:$AW,Detail!$G:$G,'Rates-Service Fees'!ACE$23,Detail!$H:$H,'Rates-Service Fees'!ACE$20)*100</f>
        <v>0</v>
      </c>
      <c r="ACF41">
        <f>SUMIFS(Detail!$AW:$AW,Detail!$G:$G,'Rates-Service Fees'!ACF$23,Detail!$H:$H,'Rates-Service Fees'!ACF$20)*100</f>
        <v>0</v>
      </c>
      <c r="ACG41">
        <f>SUMIFS(Detail!$AW:$AW,Detail!$G:$G,'Rates-Service Fees'!ACG$23,Detail!$H:$H,'Rates-Service Fees'!ACG$20)*100</f>
        <v>0</v>
      </c>
      <c r="ACH41">
        <f>SUMIFS(Detail!$AW:$AW,Detail!$G:$G,'Rates-Service Fees'!ACH$23,Detail!$H:$H,'Rates-Service Fees'!ACH$20)*100</f>
        <v>0</v>
      </c>
      <c r="ACI41">
        <f>SUMIFS(Detail!$AW:$AW,Detail!$G:$G,'Rates-Service Fees'!ACI$23,Detail!$H:$H,'Rates-Service Fees'!ACI$20)*100</f>
        <v>0</v>
      </c>
      <c r="ACJ41">
        <f>SUMIFS(Detail!$AW:$AW,Detail!$G:$G,'Rates-Service Fees'!ACJ$23,Detail!$H:$H,'Rates-Service Fees'!ACJ$20)*100</f>
        <v>0</v>
      </c>
      <c r="ACK41">
        <f>SUMIFS(Detail!$AW:$AW,Detail!$G:$G,'Rates-Service Fees'!ACK$23,Detail!$H:$H,'Rates-Service Fees'!ACK$20)*100</f>
        <v>0</v>
      </c>
      <c r="ACL41">
        <f>SUMIFS(Detail!$AW:$AW,Detail!$G:$G,'Rates-Service Fees'!ACL$23,Detail!$H:$H,'Rates-Service Fees'!ACL$20)*100</f>
        <v>0</v>
      </c>
      <c r="ACM41">
        <f>SUMIFS(Detail!$AW:$AW,Detail!$G:$G,'Rates-Service Fees'!ACM$23,Detail!$H:$H,'Rates-Service Fees'!ACM$20)*100</f>
        <v>0</v>
      </c>
      <c r="ACN41">
        <f>SUMIFS(Detail!$AW:$AW,Detail!$G:$G,'Rates-Service Fees'!ACN$23,Detail!$H:$H,'Rates-Service Fees'!ACN$20)*100</f>
        <v>0</v>
      </c>
      <c r="ACO41">
        <f>SUMIFS(Detail!$AW:$AW,Detail!$G:$G,'Rates-Service Fees'!ACO$23,Detail!$H:$H,'Rates-Service Fees'!ACO$20)*100</f>
        <v>0</v>
      </c>
      <c r="ACP41">
        <f>SUMIFS(Detail!$AW:$AW,Detail!$G:$G,'Rates-Service Fees'!ACP$23,Detail!$H:$H,'Rates-Service Fees'!ACP$20)*100</f>
        <v>0</v>
      </c>
      <c r="ACQ41">
        <f>SUMIFS(Detail!$AW:$AW,Detail!$G:$G,'Rates-Service Fees'!ACQ$23,Detail!$H:$H,'Rates-Service Fees'!ACQ$20)*100</f>
        <v>0</v>
      </c>
      <c r="ACR41">
        <f>SUMIFS(Detail!$AW:$AW,Detail!$G:$G,'Rates-Service Fees'!ACR$23,Detail!$H:$H,'Rates-Service Fees'!ACR$20)*100</f>
        <v>0</v>
      </c>
      <c r="ACS41">
        <f>SUMIFS(Detail!$AW:$AW,Detail!$G:$G,'Rates-Service Fees'!ACS$23,Detail!$H:$H,'Rates-Service Fees'!ACS$20)*100</f>
        <v>0</v>
      </c>
      <c r="ACT41">
        <f>SUMIFS(Detail!$AW:$AW,Detail!$G:$G,'Rates-Service Fees'!ACT$23,Detail!$H:$H,'Rates-Service Fees'!ACT$20)*100</f>
        <v>0</v>
      </c>
      <c r="ACU41">
        <f>SUMIFS(Detail!$AW:$AW,Detail!$G:$G,'Rates-Service Fees'!ACU$23,Detail!$H:$H,'Rates-Service Fees'!ACU$20)*100</f>
        <v>0</v>
      </c>
      <c r="ACV41">
        <f>SUMIFS(Detail!$AW:$AW,Detail!$G:$G,'Rates-Service Fees'!ACV$23,Detail!$H:$H,'Rates-Service Fees'!ACV$20)*100</f>
        <v>0</v>
      </c>
      <c r="ACW41">
        <f>SUMIFS(Detail!$AW:$AW,Detail!$G:$G,'Rates-Service Fees'!ACW$23,Detail!$H:$H,'Rates-Service Fees'!ACW$20)*100</f>
        <v>0</v>
      </c>
      <c r="ACX41">
        <f>SUMIFS(Detail!$AW:$AW,Detail!$G:$G,'Rates-Service Fees'!ACX$23,Detail!$H:$H,'Rates-Service Fees'!ACX$20)*100</f>
        <v>0</v>
      </c>
      <c r="ACY41">
        <f>SUMIFS(Detail!$AW:$AW,Detail!$G:$G,'Rates-Service Fees'!ACY$23,Detail!$H:$H,'Rates-Service Fees'!ACY$20)*100</f>
        <v>0</v>
      </c>
      <c r="ACZ41">
        <f>SUMIFS(Detail!$AW:$AW,Detail!$G:$G,'Rates-Service Fees'!ACZ$23,Detail!$H:$H,'Rates-Service Fees'!ACZ$20)*100</f>
        <v>0</v>
      </c>
      <c r="ADA41">
        <f>SUMIFS(Detail!$AW:$AW,Detail!$G:$G,'Rates-Service Fees'!ADA$23,Detail!$H:$H,'Rates-Service Fees'!ADA$20)*100</f>
        <v>0</v>
      </c>
      <c r="ADB41">
        <f>SUMIFS(Detail!$AW:$AW,Detail!$G:$G,'Rates-Service Fees'!ADB$23,Detail!$H:$H,'Rates-Service Fees'!ADB$20)*100</f>
        <v>0</v>
      </c>
      <c r="ADC41">
        <f>SUMIFS(Detail!$AW:$AW,Detail!$G:$G,'Rates-Service Fees'!ADC$23,Detail!$H:$H,'Rates-Service Fees'!ADC$20)*100</f>
        <v>0</v>
      </c>
      <c r="ADD41">
        <f>SUMIFS(Detail!$AW:$AW,Detail!$G:$G,'Rates-Service Fees'!ADD$23,Detail!$H:$H,'Rates-Service Fees'!ADD$20)*100</f>
        <v>0</v>
      </c>
      <c r="ADE41">
        <f>SUMIFS(Detail!$AW:$AW,Detail!$G:$G,'Rates-Service Fees'!ADE$23,Detail!$H:$H,'Rates-Service Fees'!ADE$20)*100</f>
        <v>0</v>
      </c>
      <c r="ADF41">
        <f>SUMIFS(Detail!$AW:$AW,Detail!$G:$G,'Rates-Service Fees'!ADF$23,Detail!$H:$H,'Rates-Service Fees'!ADF$20)*100</f>
        <v>0</v>
      </c>
      <c r="ADG41">
        <f>SUMIFS(Detail!$AW:$AW,Detail!$G:$G,'Rates-Service Fees'!ADG$23,Detail!$H:$H,'Rates-Service Fees'!ADG$20)*100</f>
        <v>0</v>
      </c>
      <c r="ADH41">
        <f>SUMIFS(Detail!$AW:$AW,Detail!$G:$G,'Rates-Service Fees'!ADH$23,Detail!$H:$H,'Rates-Service Fees'!ADH$20)*100</f>
        <v>0</v>
      </c>
      <c r="ADI41">
        <f>SUMIFS(Detail!$AW:$AW,Detail!$G:$G,'Rates-Service Fees'!ADI$23,Detail!$H:$H,'Rates-Service Fees'!ADI$20)*100</f>
        <v>0</v>
      </c>
      <c r="ADJ41">
        <f>SUMIFS(Detail!$AW:$AW,Detail!$G:$G,'Rates-Service Fees'!ADJ$23,Detail!$H:$H,'Rates-Service Fees'!ADJ$20)*100</f>
        <v>0</v>
      </c>
      <c r="ADK41">
        <f>SUMIFS(Detail!$AW:$AW,Detail!$G:$G,'Rates-Service Fees'!ADK$23,Detail!$H:$H,'Rates-Service Fees'!ADK$20)*100</f>
        <v>0</v>
      </c>
      <c r="ADL41">
        <f>SUMIFS(Detail!$AW:$AW,Detail!$G:$G,'Rates-Service Fees'!ADL$23,Detail!$H:$H,'Rates-Service Fees'!ADL$20)*100</f>
        <v>0</v>
      </c>
      <c r="ADM41">
        <f>SUMIFS(Detail!$AW:$AW,Detail!$G:$G,'Rates-Service Fees'!ADM$23,Detail!$H:$H,'Rates-Service Fees'!ADM$20)*100</f>
        <v>0</v>
      </c>
      <c r="ADN41">
        <f>SUMIFS(Detail!$AW:$AW,Detail!$G:$G,'Rates-Service Fees'!ADN$23,Detail!$H:$H,'Rates-Service Fees'!ADN$20)*100</f>
        <v>0</v>
      </c>
      <c r="ADO41">
        <f>SUMIFS(Detail!$AW:$AW,Detail!$G:$G,'Rates-Service Fees'!ADO$23,Detail!$H:$H,'Rates-Service Fees'!ADO$20)*100</f>
        <v>0</v>
      </c>
      <c r="ADP41">
        <f>SUMIFS(Detail!$AW:$AW,Detail!$G:$G,'Rates-Service Fees'!ADP$23,Detail!$H:$H,'Rates-Service Fees'!ADP$20)*100</f>
        <v>0</v>
      </c>
      <c r="ADQ41">
        <f>SUMIFS(Detail!$AW:$AW,Detail!$G:$G,'Rates-Service Fees'!ADQ$23,Detail!$H:$H,'Rates-Service Fees'!ADQ$20)*100</f>
        <v>0</v>
      </c>
      <c r="ADR41">
        <f>SUMIFS(Detail!$AW:$AW,Detail!$G:$G,'Rates-Service Fees'!ADR$23,Detail!$H:$H,'Rates-Service Fees'!ADR$20)*100</f>
        <v>0</v>
      </c>
      <c r="ADS41">
        <f>SUMIFS(Detail!$AW:$AW,Detail!$G:$G,'Rates-Service Fees'!ADS$23,Detail!$H:$H,'Rates-Service Fees'!ADS$20)*100</f>
        <v>0</v>
      </c>
      <c r="ADT41">
        <f>SUMIFS(Detail!$AW:$AW,Detail!$G:$G,'Rates-Service Fees'!ADT$23,Detail!$H:$H,'Rates-Service Fees'!ADT$20)*100</f>
        <v>0</v>
      </c>
      <c r="ADU41">
        <f>SUMIFS(Detail!$AW:$AW,Detail!$G:$G,'Rates-Service Fees'!ADU$23,Detail!$H:$H,'Rates-Service Fees'!ADU$20)*100</f>
        <v>0</v>
      </c>
      <c r="ADV41">
        <f>SUMIFS(Detail!$AW:$AW,Detail!$G:$G,'Rates-Service Fees'!ADV$23,Detail!$H:$H,'Rates-Service Fees'!ADV$20)*100</f>
        <v>0</v>
      </c>
      <c r="ADW41">
        <f>SUMIFS(Detail!$AW:$AW,Detail!$G:$G,'Rates-Service Fees'!ADW$23,Detail!$H:$H,'Rates-Service Fees'!ADW$20)*100</f>
        <v>0</v>
      </c>
      <c r="ADX41">
        <f>SUMIFS(Detail!$AW:$AW,Detail!$G:$G,'Rates-Service Fees'!ADX$23,Detail!$H:$H,'Rates-Service Fees'!ADX$20)*100</f>
        <v>0</v>
      </c>
      <c r="ADY41">
        <f>SUMIFS(Detail!$AW:$AW,Detail!$G:$G,'Rates-Service Fees'!ADY$23,Detail!$H:$H,'Rates-Service Fees'!ADY$20)*100</f>
        <v>0</v>
      </c>
      <c r="ADZ41">
        <f>SUMIFS(Detail!$AW:$AW,Detail!$G:$G,'Rates-Service Fees'!ADZ$23,Detail!$H:$H,'Rates-Service Fees'!ADZ$20)*100</f>
        <v>0</v>
      </c>
      <c r="AEA41">
        <f>SUMIFS(Detail!$AW:$AW,Detail!$G:$G,'Rates-Service Fees'!AEA$23,Detail!$H:$H,'Rates-Service Fees'!AEA$20)*100</f>
        <v>0</v>
      </c>
      <c r="AEB41">
        <f>SUMIFS(Detail!$AW:$AW,Detail!$G:$G,'Rates-Service Fees'!AEB$23,Detail!$H:$H,'Rates-Service Fees'!AEB$20)*100</f>
        <v>0</v>
      </c>
      <c r="AEC41">
        <f>SUMIFS(Detail!$AW:$AW,Detail!$G:$G,'Rates-Service Fees'!AEC$23,Detail!$H:$H,'Rates-Service Fees'!AEC$20)*100</f>
        <v>0</v>
      </c>
      <c r="AED41">
        <f>SUMIFS(Detail!$AW:$AW,Detail!$G:$G,'Rates-Service Fees'!AED$23,Detail!$H:$H,'Rates-Service Fees'!AED$20)*100</f>
        <v>0</v>
      </c>
      <c r="AEE41">
        <f>SUMIFS(Detail!$AW:$AW,Detail!$G:$G,'Rates-Service Fees'!AEE$23,Detail!$H:$H,'Rates-Service Fees'!AEE$20)*100</f>
        <v>0</v>
      </c>
      <c r="AEF41">
        <f>SUMIFS(Detail!$AW:$AW,Detail!$G:$G,'Rates-Service Fees'!AEF$23,Detail!$H:$H,'Rates-Service Fees'!AEF$20)*100</f>
        <v>0</v>
      </c>
      <c r="AEG41">
        <f>SUMIFS(Detail!$AW:$AW,Detail!$G:$G,'Rates-Service Fees'!AEG$23,Detail!$H:$H,'Rates-Service Fees'!AEG$20)*100</f>
        <v>0</v>
      </c>
      <c r="AEH41">
        <f>SUMIFS(Detail!$AW:$AW,Detail!$G:$G,'Rates-Service Fees'!AEH$23,Detail!$H:$H,'Rates-Service Fees'!AEH$20)*100</f>
        <v>0</v>
      </c>
      <c r="AEI41">
        <f>SUMIFS(Detail!$AW:$AW,Detail!$G:$G,'Rates-Service Fees'!AEI$23,Detail!$H:$H,'Rates-Service Fees'!AEI$20)*100</f>
        <v>0</v>
      </c>
      <c r="AEJ41">
        <f>SUMIFS(Detail!$AW:$AW,Detail!$G:$G,'Rates-Service Fees'!AEJ$23,Detail!$H:$H,'Rates-Service Fees'!AEJ$20)*100</f>
        <v>0</v>
      </c>
      <c r="AEK41">
        <f>SUMIFS(Detail!$AW:$AW,Detail!$G:$G,'Rates-Service Fees'!AEK$23,Detail!$H:$H,'Rates-Service Fees'!AEK$20)*100</f>
        <v>0</v>
      </c>
      <c r="AEL41">
        <f>SUMIFS(Detail!$AW:$AW,Detail!$G:$G,'Rates-Service Fees'!AEL$23,Detail!$H:$H,'Rates-Service Fees'!AEL$20)*100</f>
        <v>0</v>
      </c>
      <c r="AEM41">
        <f>SUMIFS(Detail!$AW:$AW,Detail!$G:$G,'Rates-Service Fees'!AEM$23,Detail!$H:$H,'Rates-Service Fees'!AEM$20)*100</f>
        <v>0</v>
      </c>
      <c r="AEN41">
        <f>SUMIFS(Detail!$AW:$AW,Detail!$G:$G,'Rates-Service Fees'!AEN$23,Detail!$H:$H,'Rates-Service Fees'!AEN$20)*100</f>
        <v>0</v>
      </c>
      <c r="AEO41">
        <f>SUMIFS(Detail!$AW:$AW,Detail!$G:$G,'Rates-Service Fees'!AEO$23,Detail!$H:$H,'Rates-Service Fees'!AEO$20)*100</f>
        <v>0</v>
      </c>
      <c r="AEP41">
        <f>SUMIFS(Detail!$AW:$AW,Detail!$G:$G,'Rates-Service Fees'!AEP$23,Detail!$H:$H,'Rates-Service Fees'!AEP$20)*100</f>
        <v>0</v>
      </c>
      <c r="AEQ41">
        <f>SUMIFS(Detail!$AW:$AW,Detail!$G:$G,'Rates-Service Fees'!AEQ$23,Detail!$H:$H,'Rates-Service Fees'!AEQ$20)*100</f>
        <v>0</v>
      </c>
      <c r="AER41">
        <f>SUMIFS(Detail!$AW:$AW,Detail!$G:$G,'Rates-Service Fees'!AER$23,Detail!$H:$H,'Rates-Service Fees'!AER$20)*100</f>
        <v>0</v>
      </c>
      <c r="AES41">
        <f>SUMIFS(Detail!$AW:$AW,Detail!$G:$G,'Rates-Service Fees'!AES$23,Detail!$H:$H,'Rates-Service Fees'!AES$20)*100</f>
        <v>0</v>
      </c>
      <c r="AET41">
        <f>SUMIFS(Detail!$AW:$AW,Detail!$G:$G,'Rates-Service Fees'!AET$23,Detail!$H:$H,'Rates-Service Fees'!AET$20)*100</f>
        <v>0</v>
      </c>
      <c r="AEU41">
        <f>SUMIFS(Detail!$AW:$AW,Detail!$G:$G,'Rates-Service Fees'!AEU$23,Detail!$H:$H,'Rates-Service Fees'!AEU$20)*100</f>
        <v>0</v>
      </c>
      <c r="AEV41">
        <f>SUMIFS(Detail!$AW:$AW,Detail!$G:$G,'Rates-Service Fees'!AEV$23,Detail!$H:$H,'Rates-Service Fees'!AEV$20)*100</f>
        <v>0</v>
      </c>
      <c r="AEW41">
        <f>SUMIFS(Detail!$AW:$AW,Detail!$G:$G,'Rates-Service Fees'!AEW$23,Detail!$H:$H,'Rates-Service Fees'!AEW$20)*100</f>
        <v>0</v>
      </c>
      <c r="AEX41">
        <f>SUMIFS(Detail!$AW:$AW,Detail!$G:$G,'Rates-Service Fees'!AEX$23,Detail!$H:$H,'Rates-Service Fees'!AEX$20)*100</f>
        <v>0</v>
      </c>
      <c r="AEY41">
        <f>SUMIFS(Detail!$AW:$AW,Detail!$G:$G,'Rates-Service Fees'!AEY$23,Detail!$H:$H,'Rates-Service Fees'!AEY$20)*100</f>
        <v>0</v>
      </c>
      <c r="AEZ41">
        <f>SUMIFS(Detail!$AW:$AW,Detail!$G:$G,'Rates-Service Fees'!AEZ$23,Detail!$H:$H,'Rates-Service Fees'!AEZ$20)*100</f>
        <v>0</v>
      </c>
      <c r="AFA41">
        <f>SUMIFS(Detail!$AW:$AW,Detail!$G:$G,'Rates-Service Fees'!AFA$23,Detail!$H:$H,'Rates-Service Fees'!AFA$20)*100</f>
        <v>0</v>
      </c>
      <c r="AFB41">
        <f>SUMIFS(Detail!$AW:$AW,Detail!$G:$G,'Rates-Service Fees'!AFB$23,Detail!$H:$H,'Rates-Service Fees'!AFB$20)*100</f>
        <v>0</v>
      </c>
      <c r="AFC41">
        <f>SUMIFS(Detail!$AW:$AW,Detail!$G:$G,'Rates-Service Fees'!AFC$23,Detail!$H:$H,'Rates-Service Fees'!AFC$20)*100</f>
        <v>0</v>
      </c>
      <c r="AFD41">
        <f>SUMIFS(Detail!$AW:$AW,Detail!$G:$G,'Rates-Service Fees'!AFD$23,Detail!$H:$H,'Rates-Service Fees'!AFD$20)*100</f>
        <v>0</v>
      </c>
      <c r="AFE41">
        <f>SUMIFS(Detail!$AW:$AW,Detail!$G:$G,'Rates-Service Fees'!AFE$23,Detail!$H:$H,'Rates-Service Fees'!AFE$20)*100</f>
        <v>0</v>
      </c>
      <c r="AFF41">
        <f>SUMIFS(Detail!$AW:$AW,Detail!$G:$G,'Rates-Service Fees'!AFF$23,Detail!$H:$H,'Rates-Service Fees'!AFF$20)*100</f>
        <v>0</v>
      </c>
      <c r="AFG41">
        <f>SUMIFS(Detail!$AW:$AW,Detail!$G:$G,'Rates-Service Fees'!AFG$23,Detail!$H:$H,'Rates-Service Fees'!AFG$20)*100</f>
        <v>0</v>
      </c>
      <c r="AFH41">
        <f>SUMIFS(Detail!$AW:$AW,Detail!$G:$G,'Rates-Service Fees'!AFH$23,Detail!$H:$H,'Rates-Service Fees'!AFH$20)*100</f>
        <v>0</v>
      </c>
      <c r="AFI41">
        <f>SUMIFS(Detail!$AW:$AW,Detail!$G:$G,'Rates-Service Fees'!AFI$23,Detail!$H:$H,'Rates-Service Fees'!AFI$20)*100</f>
        <v>0</v>
      </c>
      <c r="AFJ41">
        <f>SUMIFS(Detail!$AW:$AW,Detail!$G:$G,'Rates-Service Fees'!AFJ$23,Detail!$H:$H,'Rates-Service Fees'!AFJ$20)*100</f>
        <v>0</v>
      </c>
      <c r="AFK41">
        <f>SUMIFS(Detail!$AW:$AW,Detail!$G:$G,'Rates-Service Fees'!AFK$23,Detail!$H:$H,'Rates-Service Fees'!AFK$20)*100</f>
        <v>0</v>
      </c>
      <c r="AFL41">
        <f>SUMIFS(Detail!$AW:$AW,Detail!$G:$G,'Rates-Service Fees'!AFL$23,Detail!$H:$H,'Rates-Service Fees'!AFL$20)*100</f>
        <v>0</v>
      </c>
      <c r="AFM41">
        <f>SUMIFS(Detail!$AW:$AW,Detail!$G:$G,'Rates-Service Fees'!AFM$23,Detail!$H:$H,'Rates-Service Fees'!AFM$20)*100</f>
        <v>0</v>
      </c>
      <c r="AFN41">
        <f>SUMIFS(Detail!$AW:$AW,Detail!$G:$G,'Rates-Service Fees'!AFN$23,Detail!$H:$H,'Rates-Service Fees'!AFN$20)*100</f>
        <v>0</v>
      </c>
      <c r="AFO41">
        <f>SUMIFS(Detail!$AW:$AW,Detail!$G:$G,'Rates-Service Fees'!AFO$23,Detail!$H:$H,'Rates-Service Fees'!AFO$20)*100</f>
        <v>0</v>
      </c>
      <c r="AFP41">
        <f>SUMIFS(Detail!$AW:$AW,Detail!$G:$G,'Rates-Service Fees'!AFP$23,Detail!$H:$H,'Rates-Service Fees'!AFP$20)*100</f>
        <v>0</v>
      </c>
      <c r="AFQ41">
        <f>SUMIFS(Detail!$AW:$AW,Detail!$G:$G,'Rates-Service Fees'!AFQ$23,Detail!$H:$H,'Rates-Service Fees'!AFQ$20)*100</f>
        <v>0</v>
      </c>
      <c r="AFR41">
        <f>SUMIFS(Detail!$AW:$AW,Detail!$G:$G,'Rates-Service Fees'!AFR$23,Detail!$H:$H,'Rates-Service Fees'!AFR$20)*100</f>
        <v>0</v>
      </c>
      <c r="AFS41">
        <f>SUMIFS(Detail!$AW:$AW,Detail!$G:$G,'Rates-Service Fees'!AFS$23,Detail!$H:$H,'Rates-Service Fees'!AFS$20)*100</f>
        <v>0</v>
      </c>
      <c r="AFT41">
        <f>SUMIFS(Detail!$AW:$AW,Detail!$G:$G,'Rates-Service Fees'!AFT$23,Detail!$H:$H,'Rates-Service Fees'!AFT$20)*100</f>
        <v>0</v>
      </c>
      <c r="AFU41">
        <f>SUMIFS(Detail!$AW:$AW,Detail!$G:$G,'Rates-Service Fees'!AFU$23,Detail!$H:$H,'Rates-Service Fees'!AFU$20)*100</f>
        <v>0</v>
      </c>
      <c r="AFV41">
        <f>SUMIFS(Detail!$AW:$AW,Detail!$G:$G,'Rates-Service Fees'!AFV$23,Detail!$H:$H,'Rates-Service Fees'!AFV$20)*100</f>
        <v>0</v>
      </c>
      <c r="AFW41">
        <f>SUMIFS(Detail!$AW:$AW,Detail!$G:$G,'Rates-Service Fees'!AFW$23,Detail!$H:$H,'Rates-Service Fees'!AFW$20)*100</f>
        <v>0</v>
      </c>
      <c r="AFX41">
        <f>SUMIFS(Detail!$AW:$AW,Detail!$G:$G,'Rates-Service Fees'!AFX$23,Detail!$H:$H,'Rates-Service Fees'!AFX$20)*100</f>
        <v>0</v>
      </c>
      <c r="AFY41">
        <f>SUMIFS(Detail!$AW:$AW,Detail!$G:$G,'Rates-Service Fees'!AFY$23,Detail!$H:$H,'Rates-Service Fees'!AFY$20)*100</f>
        <v>0</v>
      </c>
      <c r="AFZ41">
        <f>SUMIFS(Detail!$AW:$AW,Detail!$G:$G,'Rates-Service Fees'!AFZ$23,Detail!$H:$H,'Rates-Service Fees'!AFZ$20)*100</f>
        <v>0</v>
      </c>
      <c r="AGA41">
        <f>SUMIFS(Detail!$AW:$AW,Detail!$G:$G,'Rates-Service Fees'!AGA$23,Detail!$H:$H,'Rates-Service Fees'!AGA$20)*100</f>
        <v>0</v>
      </c>
      <c r="AGB41">
        <f>SUMIFS(Detail!$AW:$AW,Detail!$G:$G,'Rates-Service Fees'!AGB$23,Detail!$H:$H,'Rates-Service Fees'!AGB$20)*100</f>
        <v>0</v>
      </c>
      <c r="AGC41">
        <f>SUMIFS(Detail!$AW:$AW,Detail!$G:$G,'Rates-Service Fees'!AGC$23,Detail!$H:$H,'Rates-Service Fees'!AGC$20)*100</f>
        <v>0</v>
      </c>
      <c r="AGD41">
        <f>SUMIFS(Detail!$AW:$AW,Detail!$G:$G,'Rates-Service Fees'!AGD$23,Detail!$H:$H,'Rates-Service Fees'!AGD$20)*100</f>
        <v>0</v>
      </c>
      <c r="AGE41">
        <f>SUMIFS(Detail!$AW:$AW,Detail!$G:$G,'Rates-Service Fees'!AGE$23,Detail!$H:$H,'Rates-Service Fees'!AGE$20)*100</f>
        <v>0</v>
      </c>
      <c r="AGF41">
        <f>SUMIFS(Detail!$AW:$AW,Detail!$G:$G,'Rates-Service Fees'!AGF$23,Detail!$H:$H,'Rates-Service Fees'!AGF$20)*100</f>
        <v>0</v>
      </c>
      <c r="AGG41">
        <f>SUMIFS(Detail!$AW:$AW,Detail!$G:$G,'Rates-Service Fees'!AGG$23,Detail!$H:$H,'Rates-Service Fees'!AGG$20)*100</f>
        <v>0</v>
      </c>
      <c r="AGH41">
        <f>SUMIFS(Detail!$AW:$AW,Detail!$G:$G,'Rates-Service Fees'!AGH$23,Detail!$H:$H,'Rates-Service Fees'!AGH$20)*100</f>
        <v>0</v>
      </c>
      <c r="AGI41">
        <f>SUMIFS(Detail!$AW:$AW,Detail!$G:$G,'Rates-Service Fees'!AGI$23,Detail!$H:$H,'Rates-Service Fees'!AGI$20)*100</f>
        <v>0</v>
      </c>
      <c r="AGJ41">
        <f>SUMIFS(Detail!$AW:$AW,Detail!$G:$G,'Rates-Service Fees'!AGJ$23,Detail!$H:$H,'Rates-Service Fees'!AGJ$20)*100</f>
        <v>0</v>
      </c>
      <c r="AGK41">
        <f>SUMIFS(Detail!$AW:$AW,Detail!$G:$G,'Rates-Service Fees'!AGK$23,Detail!$H:$H,'Rates-Service Fees'!AGK$20)*100</f>
        <v>0</v>
      </c>
      <c r="AGL41">
        <f>SUMIFS(Detail!$AW:$AW,Detail!$G:$G,'Rates-Service Fees'!AGL$23,Detail!$H:$H,'Rates-Service Fees'!AGL$20)*100</f>
        <v>0</v>
      </c>
      <c r="AGM41">
        <f>SUMIFS(Detail!$AW:$AW,Detail!$G:$G,'Rates-Service Fees'!AGM$23,Detail!$H:$H,'Rates-Service Fees'!AGM$20)*100</f>
        <v>0</v>
      </c>
      <c r="AGN41">
        <f>SUMIFS(Detail!$AW:$AW,Detail!$G:$G,'Rates-Service Fees'!AGN$23,Detail!$H:$H,'Rates-Service Fees'!AGN$20)*100</f>
        <v>0</v>
      </c>
      <c r="AGO41">
        <f>SUMIFS(Detail!$AW:$AW,Detail!$G:$G,'Rates-Service Fees'!AGO$23,Detail!$H:$H,'Rates-Service Fees'!AGO$20)*100</f>
        <v>0</v>
      </c>
      <c r="AGP41">
        <f>SUMIFS(Detail!$AW:$AW,Detail!$G:$G,'Rates-Service Fees'!AGP$23,Detail!$H:$H,'Rates-Service Fees'!AGP$20)*100</f>
        <v>0</v>
      </c>
      <c r="AGQ41">
        <f>SUMIFS(Detail!$AW:$AW,Detail!$G:$G,'Rates-Service Fees'!AGQ$23,Detail!$H:$H,'Rates-Service Fees'!AGQ$20)*100</f>
        <v>0</v>
      </c>
      <c r="AGR41">
        <f>SUMIFS(Detail!$AW:$AW,Detail!$G:$G,'Rates-Service Fees'!AGR$23,Detail!$H:$H,'Rates-Service Fees'!AGR$20)*100</f>
        <v>0</v>
      </c>
      <c r="AGS41">
        <f>SUMIFS(Detail!$AW:$AW,Detail!$G:$G,'Rates-Service Fees'!AGS$23,Detail!$H:$H,'Rates-Service Fees'!AGS$20)*100</f>
        <v>0</v>
      </c>
      <c r="AGT41">
        <f>SUMIFS(Detail!$AW:$AW,Detail!$G:$G,'Rates-Service Fees'!AGT$23,Detail!$H:$H,'Rates-Service Fees'!AGT$20)*100</f>
        <v>0</v>
      </c>
      <c r="AGU41">
        <f>SUMIFS(Detail!$AW:$AW,Detail!$G:$G,'Rates-Service Fees'!AGU$23,Detail!$H:$H,'Rates-Service Fees'!AGU$20)*100</f>
        <v>0</v>
      </c>
      <c r="AGV41">
        <f>SUMIFS(Detail!$AW:$AW,Detail!$G:$G,'Rates-Service Fees'!AGV$23,Detail!$H:$H,'Rates-Service Fees'!AGV$20)*100</f>
        <v>0</v>
      </c>
      <c r="AGW41">
        <f>SUMIFS(Detail!$AW:$AW,Detail!$G:$G,'Rates-Service Fees'!AGW$23,Detail!$H:$H,'Rates-Service Fees'!AGW$20)*100</f>
        <v>0</v>
      </c>
      <c r="AGX41">
        <f>SUMIFS(Detail!$AW:$AW,Detail!$G:$G,'Rates-Service Fees'!AGX$23,Detail!$H:$H,'Rates-Service Fees'!AGX$20)*100</f>
        <v>0</v>
      </c>
      <c r="AGY41">
        <f>SUMIFS(Detail!$AW:$AW,Detail!$G:$G,'Rates-Service Fees'!AGY$23,Detail!$H:$H,'Rates-Service Fees'!AGY$20)*100</f>
        <v>0</v>
      </c>
      <c r="AGZ41">
        <f>SUMIFS(Detail!$AW:$AW,Detail!$G:$G,'Rates-Service Fees'!AGZ$23,Detail!$H:$H,'Rates-Service Fees'!AGZ$20)*100</f>
        <v>0</v>
      </c>
      <c r="AHA41">
        <f>SUMIFS(Detail!$AW:$AW,Detail!$G:$G,'Rates-Service Fees'!AHA$23,Detail!$H:$H,'Rates-Service Fees'!AHA$20)*100</f>
        <v>0</v>
      </c>
      <c r="AHB41">
        <f>SUMIFS(Detail!$AW:$AW,Detail!$G:$G,'Rates-Service Fees'!AHB$23,Detail!$H:$H,'Rates-Service Fees'!AHB$20)*100</f>
        <v>0</v>
      </c>
      <c r="AHC41">
        <f>SUMIFS(Detail!$AW:$AW,Detail!$G:$G,'Rates-Service Fees'!AHC$23,Detail!$H:$H,'Rates-Service Fees'!AHC$20)*100</f>
        <v>0</v>
      </c>
      <c r="AHD41">
        <f>SUMIFS(Detail!$AW:$AW,Detail!$G:$G,'Rates-Service Fees'!AHD$23,Detail!$H:$H,'Rates-Service Fees'!AHD$20)*100</f>
        <v>0</v>
      </c>
      <c r="AHE41">
        <f>SUMIFS(Detail!$AW:$AW,Detail!$G:$G,'Rates-Service Fees'!AHE$23,Detail!$H:$H,'Rates-Service Fees'!AHE$20)*100</f>
        <v>0</v>
      </c>
      <c r="AHF41">
        <f>SUMIFS(Detail!$AW:$AW,Detail!$G:$G,'Rates-Service Fees'!AHF$23,Detail!$H:$H,'Rates-Service Fees'!AHF$20)*100</f>
        <v>0</v>
      </c>
      <c r="AHG41">
        <f>SUMIFS(Detail!$AW:$AW,Detail!$G:$G,'Rates-Service Fees'!AHG$23,Detail!$H:$H,'Rates-Service Fees'!AHG$20)*100</f>
        <v>0</v>
      </c>
      <c r="AHH41">
        <f>SUMIFS(Detail!$AW:$AW,Detail!$G:$G,'Rates-Service Fees'!AHH$23,Detail!$H:$H,'Rates-Service Fees'!AHH$20)*100</f>
        <v>0</v>
      </c>
      <c r="AHI41">
        <f>SUMIFS(Detail!$AW:$AW,Detail!$G:$G,'Rates-Service Fees'!AHI$23,Detail!$H:$H,'Rates-Service Fees'!AHI$20)*100</f>
        <v>0</v>
      </c>
      <c r="AHJ41">
        <f>SUMIFS(Detail!$AW:$AW,Detail!$G:$G,'Rates-Service Fees'!AHJ$23,Detail!$H:$H,'Rates-Service Fees'!AHJ$20)*100</f>
        <v>0</v>
      </c>
      <c r="AHK41">
        <f>SUMIFS(Detail!$AW:$AW,Detail!$G:$G,'Rates-Service Fees'!AHK$23,Detail!$H:$H,'Rates-Service Fees'!AHK$20)*100</f>
        <v>0</v>
      </c>
      <c r="AHL41">
        <f>SUMIFS(Detail!$AW:$AW,Detail!$G:$G,'Rates-Service Fees'!AHL$23,Detail!$H:$H,'Rates-Service Fees'!AHL$20)*100</f>
        <v>0</v>
      </c>
      <c r="AHM41">
        <f>SUMIFS(Detail!$AW:$AW,Detail!$G:$G,'Rates-Service Fees'!AHM$23,Detail!$H:$H,'Rates-Service Fees'!AHM$20)*100</f>
        <v>0</v>
      </c>
      <c r="AHN41">
        <f>SUMIFS(Detail!$AW:$AW,Detail!$G:$G,'Rates-Service Fees'!AHN$23,Detail!$H:$H,'Rates-Service Fees'!AHN$20)*100</f>
        <v>0</v>
      </c>
      <c r="AHO41">
        <f>SUMIFS(Detail!$AW:$AW,Detail!$G:$G,'Rates-Service Fees'!AHO$23,Detail!$H:$H,'Rates-Service Fees'!AHO$20)*100</f>
        <v>0</v>
      </c>
      <c r="AHP41">
        <f>SUMIFS(Detail!$AW:$AW,Detail!$G:$G,'Rates-Service Fees'!AHP$23,Detail!$H:$H,'Rates-Service Fees'!AHP$20)*100</f>
        <v>0</v>
      </c>
      <c r="AHQ41">
        <f>SUMIFS(Detail!$AW:$AW,Detail!$G:$G,'Rates-Service Fees'!AHQ$23,Detail!$H:$H,'Rates-Service Fees'!AHQ$20)*100</f>
        <v>0</v>
      </c>
      <c r="AHR41">
        <f>SUMIFS(Detail!$AW:$AW,Detail!$G:$G,'Rates-Service Fees'!AHR$23,Detail!$H:$H,'Rates-Service Fees'!AHR$20)*100</f>
        <v>0</v>
      </c>
      <c r="AHS41">
        <f>SUMIFS(Detail!$AW:$AW,Detail!$G:$G,'Rates-Service Fees'!AHS$23,Detail!$H:$H,'Rates-Service Fees'!AHS$20)*100</f>
        <v>0</v>
      </c>
      <c r="AHT41">
        <f>SUMIFS(Detail!$AW:$AW,Detail!$G:$G,'Rates-Service Fees'!AHT$23,Detail!$H:$H,'Rates-Service Fees'!AHT$20)*100</f>
        <v>0</v>
      </c>
      <c r="AHU41">
        <f>SUMIFS(Detail!$AW:$AW,Detail!$G:$G,'Rates-Service Fees'!AHU$23,Detail!$H:$H,'Rates-Service Fees'!AHU$20)*100</f>
        <v>0</v>
      </c>
      <c r="AHV41">
        <f>SUMIFS(Detail!$AW:$AW,Detail!$G:$G,'Rates-Service Fees'!AHV$23,Detail!$H:$H,'Rates-Service Fees'!AHV$20)*100</f>
        <v>0</v>
      </c>
      <c r="AHW41">
        <f>SUMIFS(Detail!$AW:$AW,Detail!$G:$G,'Rates-Service Fees'!AHW$23,Detail!$H:$H,'Rates-Service Fees'!AHW$20)*100</f>
        <v>0</v>
      </c>
      <c r="AHX41">
        <f>SUMIFS(Detail!$AW:$AW,Detail!$G:$G,'Rates-Service Fees'!AHX$23,Detail!$H:$H,'Rates-Service Fees'!AHX$20)*100</f>
        <v>0</v>
      </c>
      <c r="AHY41">
        <f>SUMIFS(Detail!$AW:$AW,Detail!$G:$G,'Rates-Service Fees'!AHY$23,Detail!$H:$H,'Rates-Service Fees'!AHY$20)*100</f>
        <v>0</v>
      </c>
      <c r="AHZ41">
        <f>SUMIFS(Detail!$AW:$AW,Detail!$G:$G,'Rates-Service Fees'!AHZ$23,Detail!$H:$H,'Rates-Service Fees'!AHZ$20)*100</f>
        <v>0</v>
      </c>
      <c r="AIA41">
        <f>SUMIFS(Detail!$AW:$AW,Detail!$G:$G,'Rates-Service Fees'!AIA$23,Detail!$H:$H,'Rates-Service Fees'!AIA$20)*100</f>
        <v>0</v>
      </c>
      <c r="AIB41">
        <f>SUMIFS(Detail!$AW:$AW,Detail!$G:$G,'Rates-Service Fees'!AIB$23,Detail!$H:$H,'Rates-Service Fees'!AIB$20)*100</f>
        <v>0</v>
      </c>
      <c r="AIC41">
        <f>SUMIFS(Detail!$AW:$AW,Detail!$G:$G,'Rates-Service Fees'!AIC$23,Detail!$H:$H,'Rates-Service Fees'!AIC$20)*100</f>
        <v>0</v>
      </c>
      <c r="AID41">
        <f>SUMIFS(Detail!$AW:$AW,Detail!$G:$G,'Rates-Service Fees'!AID$23,Detail!$H:$H,'Rates-Service Fees'!AID$20)*100</f>
        <v>0</v>
      </c>
      <c r="AIE41">
        <f>SUMIFS(Detail!$AW:$AW,Detail!$G:$G,'Rates-Service Fees'!AIE$23,Detail!$H:$H,'Rates-Service Fees'!AIE$20)*100</f>
        <v>0</v>
      </c>
      <c r="AIF41">
        <f>SUMIFS(Detail!$AW:$AW,Detail!$G:$G,'Rates-Service Fees'!AIF$23,Detail!$H:$H,'Rates-Service Fees'!AIF$20)*100</f>
        <v>0</v>
      </c>
      <c r="AIG41">
        <f>SUMIFS(Detail!$AW:$AW,Detail!$G:$G,'Rates-Service Fees'!AIG$23,Detail!$H:$H,'Rates-Service Fees'!AIG$20)*100</f>
        <v>0</v>
      </c>
      <c r="AIH41">
        <f>SUMIFS(Detail!$AW:$AW,Detail!$G:$G,'Rates-Service Fees'!AIH$23,Detail!$H:$H,'Rates-Service Fees'!AIH$20)*100</f>
        <v>0</v>
      </c>
      <c r="AII41">
        <f>SUMIFS(Detail!$AW:$AW,Detail!$G:$G,'Rates-Service Fees'!AII$23,Detail!$H:$H,'Rates-Service Fees'!AII$20)*100</f>
        <v>0</v>
      </c>
      <c r="AIJ41">
        <f>SUMIFS(Detail!$AW:$AW,Detail!$G:$G,'Rates-Service Fees'!AIJ$23,Detail!$H:$H,'Rates-Service Fees'!AIJ$20)*100</f>
        <v>0</v>
      </c>
      <c r="AIK41">
        <f>SUMIFS(Detail!$AW:$AW,Detail!$G:$G,'Rates-Service Fees'!AIK$23,Detail!$H:$H,'Rates-Service Fees'!AIK$20)*100</f>
        <v>0</v>
      </c>
      <c r="AIL41">
        <f>SUMIFS(Detail!$AW:$AW,Detail!$G:$G,'Rates-Service Fees'!AIL$23,Detail!$H:$H,'Rates-Service Fees'!AIL$20)*100</f>
        <v>0</v>
      </c>
      <c r="AIM41">
        <f>SUMIFS(Detail!$AW:$AW,Detail!$G:$G,'Rates-Service Fees'!AIM$23,Detail!$H:$H,'Rates-Service Fees'!AIM$20)*100</f>
        <v>0</v>
      </c>
      <c r="AIN41">
        <f>SUMIFS(Detail!$AW:$AW,Detail!$G:$G,'Rates-Service Fees'!AIN$23,Detail!$H:$H,'Rates-Service Fees'!AIN$20)*100</f>
        <v>0</v>
      </c>
      <c r="AIO41">
        <f>SUMIFS(Detail!$AW:$AW,Detail!$G:$G,'Rates-Service Fees'!AIO$23,Detail!$H:$H,'Rates-Service Fees'!AIO$20)*100</f>
        <v>0</v>
      </c>
      <c r="AIP41">
        <f>SUMIFS(Detail!$AW:$AW,Detail!$G:$G,'Rates-Service Fees'!AIP$23,Detail!$H:$H,'Rates-Service Fees'!AIP$20)*100</f>
        <v>0</v>
      </c>
      <c r="AIQ41">
        <f>SUMIFS(Detail!$AW:$AW,Detail!$G:$G,'Rates-Service Fees'!AIQ$23,Detail!$H:$H,'Rates-Service Fees'!AIQ$20)*100</f>
        <v>0</v>
      </c>
      <c r="AIR41">
        <f>SUMIFS(Detail!$AW:$AW,Detail!$G:$G,'Rates-Service Fees'!AIR$23,Detail!$H:$H,'Rates-Service Fees'!AIR$20)*100</f>
        <v>0</v>
      </c>
      <c r="AIS41">
        <f>SUMIFS(Detail!$AW:$AW,Detail!$G:$G,'Rates-Service Fees'!AIS$23,Detail!$H:$H,'Rates-Service Fees'!AIS$20)*100</f>
        <v>0</v>
      </c>
      <c r="AIT41">
        <f>SUMIFS(Detail!$AW:$AW,Detail!$G:$G,'Rates-Service Fees'!AIT$23,Detail!$H:$H,'Rates-Service Fees'!AIT$20)*100</f>
        <v>0</v>
      </c>
      <c r="AIU41">
        <f>SUMIFS(Detail!$AW:$AW,Detail!$G:$G,'Rates-Service Fees'!AIU$23,Detail!$H:$H,'Rates-Service Fees'!AIU$20)*100</f>
        <v>0</v>
      </c>
      <c r="AIV41">
        <f>SUMIFS(Detail!$AW:$AW,Detail!$G:$G,'Rates-Service Fees'!AIV$23,Detail!$H:$H,'Rates-Service Fees'!AIV$20)*100</f>
        <v>0</v>
      </c>
      <c r="AIW41">
        <f>SUMIFS(Detail!$AW:$AW,Detail!$G:$G,'Rates-Service Fees'!AIW$23,Detail!$H:$H,'Rates-Service Fees'!AIW$20)*100</f>
        <v>0</v>
      </c>
      <c r="AIX41">
        <f>SUMIFS(Detail!$AW:$AW,Detail!$G:$G,'Rates-Service Fees'!AIX$23,Detail!$H:$H,'Rates-Service Fees'!AIX$20)*100</f>
        <v>0</v>
      </c>
      <c r="AIY41">
        <f>SUMIFS(Detail!$AW:$AW,Detail!$G:$G,'Rates-Service Fees'!AIY$23,Detail!$H:$H,'Rates-Service Fees'!AIY$20)*100</f>
        <v>0</v>
      </c>
      <c r="AIZ41">
        <f>SUMIFS(Detail!$AW:$AW,Detail!$G:$G,'Rates-Service Fees'!AIZ$23,Detail!$H:$H,'Rates-Service Fees'!AIZ$20)*100</f>
        <v>0</v>
      </c>
      <c r="AJA41">
        <f>SUMIFS(Detail!$AW:$AW,Detail!$G:$G,'Rates-Service Fees'!AJA$23,Detail!$H:$H,'Rates-Service Fees'!AJA$20)*100</f>
        <v>0</v>
      </c>
      <c r="AJB41">
        <f>SUMIFS(Detail!$AW:$AW,Detail!$G:$G,'Rates-Service Fees'!AJB$23,Detail!$H:$H,'Rates-Service Fees'!AJB$20)*100</f>
        <v>0</v>
      </c>
      <c r="AJC41">
        <f>SUMIFS(Detail!$AW:$AW,Detail!$G:$G,'Rates-Service Fees'!AJC$23,Detail!$H:$H,'Rates-Service Fees'!AJC$20)*100</f>
        <v>0</v>
      </c>
      <c r="AJD41">
        <f>SUMIFS(Detail!$AW:$AW,Detail!$G:$G,'Rates-Service Fees'!AJD$23,Detail!$H:$H,'Rates-Service Fees'!AJD$20)*100</f>
        <v>0</v>
      </c>
      <c r="AJE41">
        <f>SUMIFS(Detail!$AW:$AW,Detail!$G:$G,'Rates-Service Fees'!AJE$23,Detail!$H:$H,'Rates-Service Fees'!AJE$20)*100</f>
        <v>0</v>
      </c>
      <c r="AJF41">
        <f>SUMIFS(Detail!$AW:$AW,Detail!$G:$G,'Rates-Service Fees'!AJF$23,Detail!$H:$H,'Rates-Service Fees'!AJF$20)*100</f>
        <v>0</v>
      </c>
      <c r="AJG41">
        <f>SUMIFS(Detail!$AW:$AW,Detail!$G:$G,'Rates-Service Fees'!AJG$23,Detail!$H:$H,'Rates-Service Fees'!AJG$20)*100</f>
        <v>0</v>
      </c>
      <c r="AJH41">
        <f>SUMIFS(Detail!$AW:$AW,Detail!$G:$G,'Rates-Service Fees'!AJH$23,Detail!$H:$H,'Rates-Service Fees'!AJH$20)*100</f>
        <v>0</v>
      </c>
      <c r="AJI41">
        <f>SUMIFS(Detail!$AW:$AW,Detail!$G:$G,'Rates-Service Fees'!AJI$23,Detail!$H:$H,'Rates-Service Fees'!AJI$20)*100</f>
        <v>0</v>
      </c>
      <c r="AJJ41">
        <f>SUMIFS(Detail!$AW:$AW,Detail!$G:$G,'Rates-Service Fees'!AJJ$23,Detail!$H:$H,'Rates-Service Fees'!AJJ$20)*100</f>
        <v>0</v>
      </c>
      <c r="AJK41">
        <f>SUMIFS(Detail!$AW:$AW,Detail!$G:$G,'Rates-Service Fees'!AJK$23,Detail!$H:$H,'Rates-Service Fees'!AJK$20)*100</f>
        <v>0</v>
      </c>
      <c r="AJL41">
        <f>SUMIFS(Detail!$AW:$AW,Detail!$G:$G,'Rates-Service Fees'!AJL$23,Detail!$H:$H,'Rates-Service Fees'!AJL$20)*100</f>
        <v>0</v>
      </c>
      <c r="AJM41">
        <f>SUMIFS(Detail!$AW:$AW,Detail!$G:$G,'Rates-Service Fees'!AJM$23,Detail!$H:$H,'Rates-Service Fees'!AJM$20)*100</f>
        <v>0</v>
      </c>
      <c r="AJN41">
        <f>SUMIFS(Detail!$AW:$AW,Detail!$G:$G,'Rates-Service Fees'!AJN$23,Detail!$H:$H,'Rates-Service Fees'!AJN$20)*100</f>
        <v>0</v>
      </c>
      <c r="AJO41">
        <f>SUMIFS(Detail!$AW:$AW,Detail!$G:$G,'Rates-Service Fees'!AJO$23,Detail!$H:$H,'Rates-Service Fees'!AJO$20)*100</f>
        <v>0</v>
      </c>
      <c r="AJP41">
        <f>SUMIFS(Detail!$AW:$AW,Detail!$G:$G,'Rates-Service Fees'!AJP$23,Detail!$H:$H,'Rates-Service Fees'!AJP$20)*100</f>
        <v>0</v>
      </c>
      <c r="AJQ41">
        <f>SUMIFS(Detail!$AW:$AW,Detail!$G:$G,'Rates-Service Fees'!AJQ$23,Detail!$H:$H,'Rates-Service Fees'!AJQ$20)*100</f>
        <v>0</v>
      </c>
      <c r="AJR41">
        <f>SUMIFS(Detail!$AW:$AW,Detail!$G:$G,'Rates-Service Fees'!AJR$23,Detail!$H:$H,'Rates-Service Fees'!AJR$20)*100</f>
        <v>0</v>
      </c>
      <c r="AJS41">
        <f>SUMIFS(Detail!$AW:$AW,Detail!$G:$G,'Rates-Service Fees'!AJS$23,Detail!$H:$H,'Rates-Service Fees'!AJS$20)*100</f>
        <v>0</v>
      </c>
      <c r="AJT41">
        <f>SUMIFS(Detail!$AW:$AW,Detail!$G:$G,'Rates-Service Fees'!AJT$23,Detail!$H:$H,'Rates-Service Fees'!AJT$20)*100</f>
        <v>0</v>
      </c>
      <c r="AJU41">
        <f>SUMIFS(Detail!$AW:$AW,Detail!$G:$G,'Rates-Service Fees'!AJU$23,Detail!$H:$H,'Rates-Service Fees'!AJU$20)*100</f>
        <v>0</v>
      </c>
      <c r="AJV41">
        <f>SUMIFS(Detail!$AW:$AW,Detail!$G:$G,'Rates-Service Fees'!AJV$23,Detail!$H:$H,'Rates-Service Fees'!AJV$20)*100</f>
        <v>0</v>
      </c>
      <c r="AJW41">
        <f>SUMIFS(Detail!$AW:$AW,Detail!$G:$G,'Rates-Service Fees'!AJW$23,Detail!$H:$H,'Rates-Service Fees'!AJW$20)*100</f>
        <v>0</v>
      </c>
      <c r="AJX41">
        <f>SUMIFS(Detail!$AW:$AW,Detail!$G:$G,'Rates-Service Fees'!AJX$23,Detail!$H:$H,'Rates-Service Fees'!AJX$20)*100</f>
        <v>0</v>
      </c>
      <c r="AJY41">
        <f>SUMIFS(Detail!$AW:$AW,Detail!$G:$G,'Rates-Service Fees'!AJY$23,Detail!$H:$H,'Rates-Service Fees'!AJY$20)*100</f>
        <v>0</v>
      </c>
      <c r="AJZ41">
        <f>SUMIFS(Detail!$AW:$AW,Detail!$G:$G,'Rates-Service Fees'!AJZ$23,Detail!$H:$H,'Rates-Service Fees'!AJZ$20)*100</f>
        <v>0</v>
      </c>
      <c r="AKA41">
        <f>SUMIFS(Detail!$AW:$AW,Detail!$G:$G,'Rates-Service Fees'!AKA$23,Detail!$H:$H,'Rates-Service Fees'!AKA$20)*100</f>
        <v>0</v>
      </c>
      <c r="AKB41">
        <f>SUMIFS(Detail!$AW:$AW,Detail!$G:$G,'Rates-Service Fees'!AKB$23,Detail!$H:$H,'Rates-Service Fees'!AKB$20)*100</f>
        <v>0</v>
      </c>
      <c r="AKC41">
        <f>SUMIFS(Detail!$AW:$AW,Detail!$G:$G,'Rates-Service Fees'!AKC$23,Detail!$H:$H,'Rates-Service Fees'!AKC$20)*100</f>
        <v>0</v>
      </c>
      <c r="AKD41">
        <f>SUMIFS(Detail!$AW:$AW,Detail!$G:$G,'Rates-Service Fees'!AKD$23,Detail!$H:$H,'Rates-Service Fees'!AKD$20)*100</f>
        <v>0</v>
      </c>
      <c r="AKE41">
        <f>SUMIFS(Detail!$AW:$AW,Detail!$G:$G,'Rates-Service Fees'!AKE$23,Detail!$H:$H,'Rates-Service Fees'!AKE$20)*100</f>
        <v>0</v>
      </c>
      <c r="AKF41">
        <f>SUMIFS(Detail!$AW:$AW,Detail!$G:$G,'Rates-Service Fees'!AKF$23,Detail!$H:$H,'Rates-Service Fees'!AKF$20)*100</f>
        <v>0</v>
      </c>
      <c r="AKG41">
        <f>SUMIFS(Detail!$AW:$AW,Detail!$G:$G,'Rates-Service Fees'!AKG$23,Detail!$H:$H,'Rates-Service Fees'!AKG$20)*100</f>
        <v>0</v>
      </c>
      <c r="AKH41">
        <f>SUMIFS(Detail!$AW:$AW,Detail!$G:$G,'Rates-Service Fees'!AKH$23,Detail!$H:$H,'Rates-Service Fees'!AKH$20)*100</f>
        <v>0</v>
      </c>
      <c r="AKI41">
        <f>SUMIFS(Detail!$AW:$AW,Detail!$G:$G,'Rates-Service Fees'!AKI$23,Detail!$H:$H,'Rates-Service Fees'!AKI$20)*100</f>
        <v>0</v>
      </c>
      <c r="AKJ41">
        <f>SUMIFS(Detail!$AW:$AW,Detail!$G:$G,'Rates-Service Fees'!AKJ$23,Detail!$H:$H,'Rates-Service Fees'!AKJ$20)*100</f>
        <v>0</v>
      </c>
      <c r="AKK41">
        <f>SUMIFS(Detail!$AW:$AW,Detail!$G:$G,'Rates-Service Fees'!AKK$23,Detail!$H:$H,'Rates-Service Fees'!AKK$20)*100</f>
        <v>0</v>
      </c>
      <c r="AKL41">
        <f>SUMIFS(Detail!$AW:$AW,Detail!$G:$G,'Rates-Service Fees'!AKL$23,Detail!$H:$H,'Rates-Service Fees'!AKL$20)*100</f>
        <v>0</v>
      </c>
      <c r="AKM41">
        <f>SUMIFS(Detail!$AW:$AW,Detail!$G:$G,'Rates-Service Fees'!AKM$23,Detail!$H:$H,'Rates-Service Fees'!AKM$20)*100</f>
        <v>0</v>
      </c>
      <c r="AKN41">
        <f>SUMIFS(Detail!$AW:$AW,Detail!$G:$G,'Rates-Service Fees'!AKN$23,Detail!$H:$H,'Rates-Service Fees'!AKN$20)*100</f>
        <v>0</v>
      </c>
      <c r="AKO41">
        <f>SUMIFS(Detail!$AW:$AW,Detail!$G:$G,'Rates-Service Fees'!AKO$23,Detail!$H:$H,'Rates-Service Fees'!AKO$20)*100</f>
        <v>0</v>
      </c>
      <c r="AKP41">
        <f>SUMIFS(Detail!$AW:$AW,Detail!$G:$G,'Rates-Service Fees'!AKP$23,Detail!$H:$H,'Rates-Service Fees'!AKP$20)*100</f>
        <v>0</v>
      </c>
      <c r="AKQ41">
        <f>SUMIFS(Detail!$AW:$AW,Detail!$G:$G,'Rates-Service Fees'!AKQ$23,Detail!$H:$H,'Rates-Service Fees'!AKQ$20)*100</f>
        <v>0</v>
      </c>
      <c r="AKR41">
        <f>SUMIFS(Detail!$AW:$AW,Detail!$G:$G,'Rates-Service Fees'!AKR$23,Detail!$H:$H,'Rates-Service Fees'!AKR$20)*100</f>
        <v>0</v>
      </c>
      <c r="AKS41">
        <f>SUMIFS(Detail!$AW:$AW,Detail!$G:$G,'Rates-Service Fees'!AKS$23,Detail!$H:$H,'Rates-Service Fees'!AKS$20)*100</f>
        <v>0</v>
      </c>
      <c r="AKT41">
        <f>SUMIFS(Detail!$AW:$AW,Detail!$G:$G,'Rates-Service Fees'!AKT$23,Detail!$H:$H,'Rates-Service Fees'!AKT$20)*100</f>
        <v>0</v>
      </c>
      <c r="AKU41">
        <f>SUMIFS(Detail!$AW:$AW,Detail!$G:$G,'Rates-Service Fees'!AKU$23,Detail!$H:$H,'Rates-Service Fees'!AKU$20)*100</f>
        <v>0</v>
      </c>
      <c r="AKV41">
        <f>SUMIFS(Detail!$AW:$AW,Detail!$G:$G,'Rates-Service Fees'!AKV$23,Detail!$H:$H,'Rates-Service Fees'!AKV$20)*100</f>
        <v>0</v>
      </c>
      <c r="AKW41">
        <f>SUMIFS(Detail!$AW:$AW,Detail!$G:$G,'Rates-Service Fees'!AKW$23,Detail!$H:$H,'Rates-Service Fees'!AKW$20)*100</f>
        <v>0</v>
      </c>
      <c r="AKX41">
        <f>SUMIFS(Detail!$AW:$AW,Detail!$G:$G,'Rates-Service Fees'!AKX$23,Detail!$H:$H,'Rates-Service Fees'!AKX$20)*100</f>
        <v>0</v>
      </c>
      <c r="AKY41">
        <f>SUMIFS(Detail!$AW:$AW,Detail!$G:$G,'Rates-Service Fees'!AKY$23,Detail!$H:$H,'Rates-Service Fees'!AKY$20)*100</f>
        <v>0</v>
      </c>
      <c r="AKZ41">
        <f>SUMIFS(Detail!$AW:$AW,Detail!$G:$G,'Rates-Service Fees'!AKZ$23,Detail!$H:$H,'Rates-Service Fees'!AKZ$20)*100</f>
        <v>0</v>
      </c>
      <c r="ALA41">
        <f>SUMIFS(Detail!$AW:$AW,Detail!$G:$G,'Rates-Service Fees'!ALA$23,Detail!$H:$H,'Rates-Service Fees'!ALA$20)*100</f>
        <v>0</v>
      </c>
      <c r="ALB41">
        <f>SUMIFS(Detail!$AW:$AW,Detail!$G:$G,'Rates-Service Fees'!ALB$23,Detail!$H:$H,'Rates-Service Fees'!ALB$20)*100</f>
        <v>0</v>
      </c>
      <c r="ALC41">
        <f>SUMIFS(Detail!$AW:$AW,Detail!$G:$G,'Rates-Service Fees'!ALC$23,Detail!$H:$H,'Rates-Service Fees'!ALC$20)*100</f>
        <v>0</v>
      </c>
      <c r="ALD41">
        <f>SUMIFS(Detail!$AW:$AW,Detail!$G:$G,'Rates-Service Fees'!ALD$23,Detail!$H:$H,'Rates-Service Fees'!ALD$20)*100</f>
        <v>0</v>
      </c>
      <c r="ALE41">
        <f>SUMIFS(Detail!$AW:$AW,Detail!$G:$G,'Rates-Service Fees'!ALE$23,Detail!$H:$H,'Rates-Service Fees'!ALE$20)*100</f>
        <v>0</v>
      </c>
      <c r="ALF41">
        <f>SUMIFS(Detail!$AW:$AW,Detail!$G:$G,'Rates-Service Fees'!ALF$23,Detail!$H:$H,'Rates-Service Fees'!ALF$20)*100</f>
        <v>0</v>
      </c>
      <c r="ALG41">
        <f>SUMIFS(Detail!$AW:$AW,Detail!$G:$G,'Rates-Service Fees'!ALG$23,Detail!$H:$H,'Rates-Service Fees'!ALG$20)*100</f>
        <v>0</v>
      </c>
      <c r="ALH41">
        <f>SUMIFS(Detail!$AW:$AW,Detail!$G:$G,'Rates-Service Fees'!ALH$23,Detail!$H:$H,'Rates-Service Fees'!ALH$20)*100</f>
        <v>0</v>
      </c>
      <c r="ALI41">
        <f>SUMIFS(Detail!$AW:$AW,Detail!$G:$G,'Rates-Service Fees'!ALI$23,Detail!$H:$H,'Rates-Service Fees'!ALI$20)*100</f>
        <v>0</v>
      </c>
      <c r="ALJ41">
        <f>SUMIFS(Detail!$AW:$AW,Detail!$G:$G,'Rates-Service Fees'!ALJ$23,Detail!$H:$H,'Rates-Service Fees'!ALJ$20)*100</f>
        <v>0</v>
      </c>
      <c r="ALK41">
        <f>SUMIFS(Detail!$AW:$AW,Detail!$G:$G,'Rates-Service Fees'!ALK$23,Detail!$H:$H,'Rates-Service Fees'!ALK$20)*100</f>
        <v>0</v>
      </c>
      <c r="ALL41">
        <f>SUMIFS(Detail!$AW:$AW,Detail!$G:$G,'Rates-Service Fees'!ALL$23,Detail!$H:$H,'Rates-Service Fees'!ALL$20)*100</f>
        <v>0</v>
      </c>
      <c r="ALM41">
        <f>SUMIFS(Detail!$AW:$AW,Detail!$G:$G,'Rates-Service Fees'!ALM$23,Detail!$H:$H,'Rates-Service Fees'!ALM$20)*100</f>
        <v>0</v>
      </c>
    </row>
    <row r="43" spans="1:1001">
      <c r="A43" s="27" t="s">
        <v>2</v>
      </c>
      <c r="B43">
        <f>B27</f>
        <v>0</v>
      </c>
      <c r="C43">
        <f t="shared" ref="C43:BN43" si="94">C27</f>
        <v>0</v>
      </c>
      <c r="D43">
        <f t="shared" si="94"/>
        <v>0</v>
      </c>
      <c r="E43">
        <f t="shared" si="94"/>
        <v>0</v>
      </c>
      <c r="F43">
        <f t="shared" si="94"/>
        <v>0</v>
      </c>
      <c r="G43">
        <f t="shared" si="94"/>
        <v>0</v>
      </c>
      <c r="H43">
        <f t="shared" si="94"/>
        <v>0</v>
      </c>
      <c r="I43">
        <f t="shared" si="94"/>
        <v>0</v>
      </c>
      <c r="J43">
        <f t="shared" si="94"/>
        <v>0</v>
      </c>
      <c r="K43">
        <f t="shared" si="94"/>
        <v>0</v>
      </c>
      <c r="L43">
        <f t="shared" si="94"/>
        <v>0</v>
      </c>
      <c r="M43">
        <f t="shared" si="94"/>
        <v>0</v>
      </c>
      <c r="N43">
        <f t="shared" si="94"/>
        <v>0</v>
      </c>
      <c r="O43">
        <f t="shared" si="94"/>
        <v>0</v>
      </c>
      <c r="P43">
        <f t="shared" si="94"/>
        <v>0</v>
      </c>
      <c r="Q43">
        <f t="shared" si="94"/>
        <v>0</v>
      </c>
      <c r="R43">
        <f t="shared" si="94"/>
        <v>0</v>
      </c>
      <c r="S43">
        <f t="shared" si="94"/>
        <v>0</v>
      </c>
      <c r="T43">
        <f t="shared" si="94"/>
        <v>0</v>
      </c>
      <c r="U43">
        <f t="shared" si="94"/>
        <v>0</v>
      </c>
      <c r="V43">
        <f t="shared" si="94"/>
        <v>0</v>
      </c>
      <c r="W43">
        <f t="shared" si="94"/>
        <v>0</v>
      </c>
      <c r="X43">
        <f t="shared" si="94"/>
        <v>0</v>
      </c>
      <c r="Y43">
        <f t="shared" si="94"/>
        <v>0</v>
      </c>
      <c r="Z43">
        <f t="shared" si="94"/>
        <v>0</v>
      </c>
      <c r="AA43">
        <f t="shared" si="94"/>
        <v>0</v>
      </c>
      <c r="AB43">
        <f t="shared" si="94"/>
        <v>0</v>
      </c>
      <c r="AC43">
        <f t="shared" si="94"/>
        <v>0</v>
      </c>
      <c r="AD43">
        <f t="shared" si="94"/>
        <v>0</v>
      </c>
      <c r="AE43">
        <f t="shared" si="94"/>
        <v>0</v>
      </c>
      <c r="AF43">
        <f t="shared" si="94"/>
        <v>0</v>
      </c>
      <c r="AG43">
        <f t="shared" si="94"/>
        <v>0</v>
      </c>
      <c r="AH43">
        <f t="shared" si="94"/>
        <v>0</v>
      </c>
      <c r="AI43">
        <f t="shared" si="94"/>
        <v>0</v>
      </c>
      <c r="AJ43">
        <f t="shared" si="94"/>
        <v>0</v>
      </c>
      <c r="AK43">
        <f t="shared" si="94"/>
        <v>0</v>
      </c>
      <c r="AL43">
        <f t="shared" si="94"/>
        <v>0</v>
      </c>
      <c r="AM43">
        <f t="shared" si="94"/>
        <v>0</v>
      </c>
      <c r="AN43">
        <f t="shared" si="94"/>
        <v>0</v>
      </c>
      <c r="AO43">
        <f t="shared" si="94"/>
        <v>0</v>
      </c>
      <c r="AP43">
        <f t="shared" si="94"/>
        <v>0</v>
      </c>
      <c r="AQ43">
        <f t="shared" si="94"/>
        <v>0</v>
      </c>
      <c r="AR43">
        <f t="shared" si="94"/>
        <v>0</v>
      </c>
      <c r="AS43">
        <f t="shared" si="94"/>
        <v>0</v>
      </c>
      <c r="AT43">
        <f t="shared" si="94"/>
        <v>0</v>
      </c>
      <c r="AU43">
        <f t="shared" si="94"/>
        <v>0</v>
      </c>
      <c r="AV43">
        <f t="shared" si="94"/>
        <v>0</v>
      </c>
      <c r="AW43">
        <f t="shared" si="94"/>
        <v>0</v>
      </c>
      <c r="AX43">
        <f t="shared" si="94"/>
        <v>0</v>
      </c>
      <c r="AY43">
        <f t="shared" si="94"/>
        <v>0</v>
      </c>
      <c r="AZ43">
        <f t="shared" si="94"/>
        <v>0</v>
      </c>
      <c r="BA43">
        <f t="shared" si="94"/>
        <v>0</v>
      </c>
      <c r="BB43">
        <f t="shared" si="94"/>
        <v>0</v>
      </c>
      <c r="BC43">
        <f t="shared" si="94"/>
        <v>0</v>
      </c>
      <c r="BD43">
        <f t="shared" si="94"/>
        <v>0</v>
      </c>
      <c r="BE43">
        <f t="shared" si="94"/>
        <v>0</v>
      </c>
      <c r="BF43">
        <f t="shared" si="94"/>
        <v>0</v>
      </c>
      <c r="BG43">
        <f t="shared" si="94"/>
        <v>0</v>
      </c>
      <c r="BH43">
        <f t="shared" si="94"/>
        <v>0</v>
      </c>
      <c r="BI43">
        <f t="shared" si="94"/>
        <v>0</v>
      </c>
      <c r="BJ43">
        <f t="shared" si="94"/>
        <v>0</v>
      </c>
      <c r="BK43">
        <f t="shared" si="94"/>
        <v>0</v>
      </c>
      <c r="BL43">
        <f t="shared" si="94"/>
        <v>0</v>
      </c>
      <c r="BM43">
        <f t="shared" si="94"/>
        <v>0</v>
      </c>
      <c r="BN43">
        <f t="shared" si="94"/>
        <v>0</v>
      </c>
      <c r="BO43">
        <f t="shared" ref="BO43:DZ43" si="95">BO27</f>
        <v>0</v>
      </c>
      <c r="BP43">
        <f t="shared" si="95"/>
        <v>0</v>
      </c>
      <c r="BQ43">
        <f t="shared" si="95"/>
        <v>0</v>
      </c>
      <c r="BR43">
        <f t="shared" si="95"/>
        <v>0</v>
      </c>
      <c r="BS43">
        <f t="shared" si="95"/>
        <v>0</v>
      </c>
      <c r="BT43">
        <f t="shared" si="95"/>
        <v>0</v>
      </c>
      <c r="BU43">
        <f t="shared" si="95"/>
        <v>0</v>
      </c>
      <c r="BV43">
        <f t="shared" si="95"/>
        <v>0</v>
      </c>
      <c r="BW43">
        <f t="shared" si="95"/>
        <v>0</v>
      </c>
      <c r="BX43">
        <f t="shared" si="95"/>
        <v>0</v>
      </c>
      <c r="BY43">
        <f t="shared" si="95"/>
        <v>0</v>
      </c>
      <c r="BZ43">
        <f t="shared" si="95"/>
        <v>0</v>
      </c>
      <c r="CA43">
        <f t="shared" si="95"/>
        <v>0</v>
      </c>
      <c r="CB43">
        <f t="shared" si="95"/>
        <v>0</v>
      </c>
      <c r="CC43">
        <f t="shared" si="95"/>
        <v>0</v>
      </c>
      <c r="CD43">
        <f t="shared" si="95"/>
        <v>0</v>
      </c>
      <c r="CE43">
        <f t="shared" si="95"/>
        <v>0</v>
      </c>
      <c r="CF43">
        <f t="shared" si="95"/>
        <v>0</v>
      </c>
      <c r="CG43">
        <f t="shared" si="95"/>
        <v>0</v>
      </c>
      <c r="CH43">
        <f t="shared" si="95"/>
        <v>0</v>
      </c>
      <c r="CI43">
        <f t="shared" si="95"/>
        <v>0</v>
      </c>
      <c r="CJ43">
        <f t="shared" si="95"/>
        <v>0</v>
      </c>
      <c r="CK43">
        <f t="shared" si="95"/>
        <v>0</v>
      </c>
      <c r="CL43">
        <f t="shared" si="95"/>
        <v>0</v>
      </c>
      <c r="CM43">
        <f t="shared" si="95"/>
        <v>0</v>
      </c>
      <c r="CN43">
        <f t="shared" si="95"/>
        <v>0</v>
      </c>
      <c r="CO43">
        <f t="shared" si="95"/>
        <v>0</v>
      </c>
      <c r="CP43">
        <f t="shared" si="95"/>
        <v>0</v>
      </c>
      <c r="CQ43">
        <f t="shared" si="95"/>
        <v>0</v>
      </c>
      <c r="CR43">
        <f t="shared" si="95"/>
        <v>0</v>
      </c>
      <c r="CS43">
        <f t="shared" si="95"/>
        <v>0</v>
      </c>
      <c r="CT43">
        <f t="shared" si="95"/>
        <v>0</v>
      </c>
      <c r="CU43">
        <f t="shared" si="95"/>
        <v>0</v>
      </c>
      <c r="CV43">
        <f t="shared" si="95"/>
        <v>0</v>
      </c>
      <c r="CW43">
        <f t="shared" si="95"/>
        <v>0</v>
      </c>
      <c r="CX43">
        <f t="shared" si="95"/>
        <v>0</v>
      </c>
      <c r="CY43">
        <f t="shared" si="95"/>
        <v>0</v>
      </c>
      <c r="CZ43">
        <f t="shared" si="95"/>
        <v>0</v>
      </c>
      <c r="DA43">
        <f t="shared" si="95"/>
        <v>0</v>
      </c>
      <c r="DB43">
        <f t="shared" si="95"/>
        <v>0</v>
      </c>
      <c r="DC43">
        <f t="shared" si="95"/>
        <v>0</v>
      </c>
      <c r="DD43">
        <f t="shared" si="95"/>
        <v>0</v>
      </c>
      <c r="DE43">
        <f t="shared" si="95"/>
        <v>0</v>
      </c>
      <c r="DF43">
        <f t="shared" si="95"/>
        <v>0</v>
      </c>
      <c r="DG43">
        <f t="shared" si="95"/>
        <v>0</v>
      </c>
      <c r="DH43">
        <f t="shared" si="95"/>
        <v>0</v>
      </c>
      <c r="DI43">
        <f t="shared" si="95"/>
        <v>0</v>
      </c>
      <c r="DJ43">
        <f t="shared" si="95"/>
        <v>0</v>
      </c>
      <c r="DK43">
        <f t="shared" si="95"/>
        <v>0</v>
      </c>
      <c r="DL43">
        <f t="shared" si="95"/>
        <v>0</v>
      </c>
      <c r="DM43">
        <f t="shared" si="95"/>
        <v>0</v>
      </c>
      <c r="DN43">
        <f t="shared" si="95"/>
        <v>0</v>
      </c>
      <c r="DO43">
        <f t="shared" si="95"/>
        <v>0</v>
      </c>
      <c r="DP43">
        <f t="shared" si="95"/>
        <v>0</v>
      </c>
      <c r="DQ43">
        <f t="shared" si="95"/>
        <v>0</v>
      </c>
      <c r="DR43">
        <f t="shared" si="95"/>
        <v>0</v>
      </c>
      <c r="DS43">
        <f t="shared" si="95"/>
        <v>0</v>
      </c>
      <c r="DT43">
        <f t="shared" si="95"/>
        <v>0</v>
      </c>
      <c r="DU43">
        <f t="shared" si="95"/>
        <v>0</v>
      </c>
      <c r="DV43">
        <f t="shared" si="95"/>
        <v>0</v>
      </c>
      <c r="DW43">
        <f t="shared" si="95"/>
        <v>0</v>
      </c>
      <c r="DX43">
        <f t="shared" si="95"/>
        <v>0</v>
      </c>
      <c r="DY43">
        <f t="shared" si="95"/>
        <v>0</v>
      </c>
      <c r="DZ43">
        <f t="shared" si="95"/>
        <v>0</v>
      </c>
      <c r="EA43">
        <f t="shared" ref="EA43:GL43" si="96">EA27</f>
        <v>0</v>
      </c>
      <c r="EB43">
        <f t="shared" si="96"/>
        <v>0</v>
      </c>
      <c r="EC43">
        <f t="shared" si="96"/>
        <v>0</v>
      </c>
      <c r="ED43">
        <f t="shared" si="96"/>
        <v>0</v>
      </c>
      <c r="EE43">
        <f t="shared" si="96"/>
        <v>0</v>
      </c>
      <c r="EF43">
        <f t="shared" si="96"/>
        <v>0</v>
      </c>
      <c r="EG43">
        <f t="shared" si="96"/>
        <v>0</v>
      </c>
      <c r="EH43">
        <f t="shared" si="96"/>
        <v>0</v>
      </c>
      <c r="EI43">
        <f t="shared" si="96"/>
        <v>0</v>
      </c>
      <c r="EJ43">
        <f t="shared" si="96"/>
        <v>0</v>
      </c>
      <c r="EK43">
        <f t="shared" si="96"/>
        <v>0</v>
      </c>
      <c r="EL43">
        <f t="shared" si="96"/>
        <v>0</v>
      </c>
      <c r="EM43">
        <f t="shared" si="96"/>
        <v>0</v>
      </c>
      <c r="EN43">
        <f t="shared" si="96"/>
        <v>0</v>
      </c>
      <c r="EO43">
        <f t="shared" si="96"/>
        <v>0</v>
      </c>
      <c r="EP43">
        <f t="shared" si="96"/>
        <v>0</v>
      </c>
      <c r="EQ43">
        <f t="shared" si="96"/>
        <v>0</v>
      </c>
      <c r="ER43">
        <f t="shared" si="96"/>
        <v>0</v>
      </c>
      <c r="ES43">
        <f t="shared" si="96"/>
        <v>0</v>
      </c>
      <c r="ET43">
        <f t="shared" si="96"/>
        <v>0</v>
      </c>
      <c r="EU43">
        <f t="shared" si="96"/>
        <v>0</v>
      </c>
      <c r="EV43">
        <f t="shared" si="96"/>
        <v>0</v>
      </c>
      <c r="EW43">
        <f t="shared" si="96"/>
        <v>0</v>
      </c>
      <c r="EX43">
        <f t="shared" si="96"/>
        <v>0</v>
      </c>
      <c r="EY43">
        <f t="shared" si="96"/>
        <v>0</v>
      </c>
      <c r="EZ43">
        <f t="shared" si="96"/>
        <v>0</v>
      </c>
      <c r="FA43">
        <f t="shared" si="96"/>
        <v>0</v>
      </c>
      <c r="FB43">
        <f t="shared" si="96"/>
        <v>0</v>
      </c>
      <c r="FC43">
        <f t="shared" si="96"/>
        <v>0</v>
      </c>
      <c r="FD43">
        <f t="shared" si="96"/>
        <v>0</v>
      </c>
      <c r="FE43">
        <f t="shared" si="96"/>
        <v>0</v>
      </c>
      <c r="FF43">
        <f t="shared" si="96"/>
        <v>0</v>
      </c>
      <c r="FG43">
        <f t="shared" si="96"/>
        <v>0</v>
      </c>
      <c r="FH43">
        <f t="shared" si="96"/>
        <v>0</v>
      </c>
      <c r="FI43">
        <f t="shared" si="96"/>
        <v>0</v>
      </c>
      <c r="FJ43">
        <f t="shared" si="96"/>
        <v>0</v>
      </c>
      <c r="FK43">
        <f t="shared" si="96"/>
        <v>0</v>
      </c>
      <c r="FL43">
        <f t="shared" si="96"/>
        <v>0</v>
      </c>
      <c r="FM43">
        <f t="shared" si="96"/>
        <v>0</v>
      </c>
      <c r="FN43" s="1">
        <f t="shared" si="96"/>
        <v>0</v>
      </c>
      <c r="FO43" s="1">
        <f t="shared" si="96"/>
        <v>0</v>
      </c>
      <c r="FP43" s="1">
        <f t="shared" si="96"/>
        <v>0</v>
      </c>
      <c r="FQ43" s="1">
        <f t="shared" si="96"/>
        <v>0</v>
      </c>
      <c r="FR43" s="1">
        <f t="shared" si="96"/>
        <v>0</v>
      </c>
      <c r="FS43" s="1">
        <f t="shared" si="96"/>
        <v>0</v>
      </c>
      <c r="FT43" s="1">
        <f t="shared" si="96"/>
        <v>0</v>
      </c>
      <c r="FU43" s="1">
        <f t="shared" si="96"/>
        <v>0</v>
      </c>
      <c r="FV43" s="1">
        <f t="shared" si="96"/>
        <v>0</v>
      </c>
      <c r="FW43" s="1">
        <f t="shared" si="96"/>
        <v>0</v>
      </c>
      <c r="FX43" s="1">
        <f t="shared" si="96"/>
        <v>0</v>
      </c>
      <c r="FY43" s="1">
        <f t="shared" si="96"/>
        <v>0</v>
      </c>
      <c r="FZ43" s="1">
        <f t="shared" si="96"/>
        <v>0</v>
      </c>
      <c r="GA43" s="1">
        <f t="shared" si="96"/>
        <v>0</v>
      </c>
      <c r="GB43" s="1">
        <f t="shared" si="96"/>
        <v>0</v>
      </c>
      <c r="GC43" s="1">
        <f t="shared" si="96"/>
        <v>0</v>
      </c>
      <c r="GD43" s="1">
        <f t="shared" si="96"/>
        <v>0</v>
      </c>
      <c r="GE43" s="1">
        <f t="shared" si="96"/>
        <v>0</v>
      </c>
      <c r="GF43" s="1">
        <f t="shared" si="96"/>
        <v>0</v>
      </c>
      <c r="GG43" s="1">
        <f t="shared" si="96"/>
        <v>0</v>
      </c>
      <c r="GH43" s="1">
        <f t="shared" si="96"/>
        <v>0</v>
      </c>
      <c r="GI43" s="1">
        <f t="shared" si="96"/>
        <v>0</v>
      </c>
      <c r="GJ43" s="1">
        <f t="shared" si="96"/>
        <v>0</v>
      </c>
      <c r="GK43" s="1">
        <f t="shared" si="96"/>
        <v>0</v>
      </c>
      <c r="GL43" s="1">
        <f t="shared" si="96"/>
        <v>0</v>
      </c>
      <c r="GM43" s="1">
        <f t="shared" ref="GM43:IX43" si="97">GM27</f>
        <v>0</v>
      </c>
      <c r="GN43" s="1">
        <f t="shared" si="97"/>
        <v>0</v>
      </c>
      <c r="GO43" s="1">
        <f t="shared" si="97"/>
        <v>0</v>
      </c>
      <c r="GP43" s="1">
        <f t="shared" si="97"/>
        <v>0</v>
      </c>
      <c r="GQ43" s="1">
        <f t="shared" si="97"/>
        <v>0</v>
      </c>
      <c r="GR43" s="1">
        <f t="shared" si="97"/>
        <v>0</v>
      </c>
      <c r="GS43" s="1">
        <f t="shared" si="97"/>
        <v>0</v>
      </c>
      <c r="GT43" s="1">
        <f t="shared" si="97"/>
        <v>0</v>
      </c>
      <c r="GU43" s="1">
        <f t="shared" si="97"/>
        <v>0</v>
      </c>
      <c r="GV43" s="1">
        <f t="shared" si="97"/>
        <v>0</v>
      </c>
      <c r="GW43" s="1">
        <f t="shared" si="97"/>
        <v>0</v>
      </c>
      <c r="GX43" s="1">
        <f t="shared" si="97"/>
        <v>0</v>
      </c>
      <c r="GY43" s="1">
        <f t="shared" si="97"/>
        <v>0</v>
      </c>
      <c r="GZ43" s="1">
        <f t="shared" si="97"/>
        <v>0</v>
      </c>
      <c r="HA43" s="1">
        <f t="shared" si="97"/>
        <v>0</v>
      </c>
      <c r="HB43" s="1">
        <f t="shared" si="97"/>
        <v>0</v>
      </c>
      <c r="HC43" s="1">
        <f t="shared" si="97"/>
        <v>0</v>
      </c>
      <c r="HD43" s="1">
        <f t="shared" si="97"/>
        <v>0</v>
      </c>
      <c r="HE43" s="1">
        <f t="shared" si="97"/>
        <v>0</v>
      </c>
      <c r="HF43" s="1">
        <f t="shared" si="97"/>
        <v>0</v>
      </c>
      <c r="HG43" s="1">
        <f t="shared" si="97"/>
        <v>0</v>
      </c>
      <c r="HH43" s="1">
        <f t="shared" si="97"/>
        <v>0</v>
      </c>
      <c r="HI43" s="1">
        <f t="shared" si="97"/>
        <v>0</v>
      </c>
      <c r="HJ43" s="1">
        <f t="shared" si="97"/>
        <v>0</v>
      </c>
      <c r="HK43" s="1">
        <f t="shared" si="97"/>
        <v>0</v>
      </c>
      <c r="HL43" s="1">
        <f t="shared" si="97"/>
        <v>0</v>
      </c>
      <c r="HM43" s="1">
        <f t="shared" si="97"/>
        <v>0</v>
      </c>
      <c r="HN43" s="1">
        <f t="shared" si="97"/>
        <v>0</v>
      </c>
      <c r="HO43" s="1">
        <f t="shared" si="97"/>
        <v>0</v>
      </c>
      <c r="HP43" s="1">
        <f t="shared" si="97"/>
        <v>0</v>
      </c>
      <c r="HQ43" s="1">
        <f t="shared" si="97"/>
        <v>0</v>
      </c>
      <c r="HR43" s="1">
        <f t="shared" si="97"/>
        <v>0</v>
      </c>
      <c r="HS43" s="1">
        <f t="shared" si="97"/>
        <v>0</v>
      </c>
      <c r="HT43" s="1">
        <f t="shared" si="97"/>
        <v>0</v>
      </c>
      <c r="HU43" s="1">
        <f t="shared" si="97"/>
        <v>0</v>
      </c>
      <c r="HV43" s="1">
        <f t="shared" si="97"/>
        <v>0</v>
      </c>
      <c r="HW43" s="1">
        <f t="shared" si="97"/>
        <v>0</v>
      </c>
      <c r="HX43" s="1">
        <f t="shared" si="97"/>
        <v>0</v>
      </c>
      <c r="HY43" s="1">
        <f t="shared" si="97"/>
        <v>0</v>
      </c>
      <c r="HZ43" s="1">
        <f t="shared" si="97"/>
        <v>0</v>
      </c>
      <c r="IA43" s="1">
        <f t="shared" si="97"/>
        <v>0</v>
      </c>
      <c r="IB43" s="1">
        <f t="shared" si="97"/>
        <v>0</v>
      </c>
      <c r="IC43" s="1">
        <f t="shared" si="97"/>
        <v>0</v>
      </c>
      <c r="ID43" s="1">
        <f t="shared" si="97"/>
        <v>0</v>
      </c>
      <c r="IE43" s="1">
        <f t="shared" si="97"/>
        <v>0</v>
      </c>
      <c r="IF43" s="1">
        <f t="shared" si="97"/>
        <v>0</v>
      </c>
      <c r="IG43" s="1">
        <f t="shared" si="97"/>
        <v>0</v>
      </c>
      <c r="IH43" s="1">
        <f t="shared" si="97"/>
        <v>0</v>
      </c>
      <c r="II43" s="1">
        <f t="shared" si="97"/>
        <v>0</v>
      </c>
      <c r="IJ43" s="1">
        <f t="shared" si="97"/>
        <v>0</v>
      </c>
      <c r="IK43" s="1">
        <f t="shared" si="97"/>
        <v>0</v>
      </c>
      <c r="IL43" s="1">
        <f t="shared" si="97"/>
        <v>0</v>
      </c>
      <c r="IM43" s="1">
        <f t="shared" si="97"/>
        <v>0</v>
      </c>
      <c r="IN43" s="1">
        <f t="shared" si="97"/>
        <v>0</v>
      </c>
      <c r="IO43" s="1">
        <f t="shared" si="97"/>
        <v>0</v>
      </c>
      <c r="IP43" s="1">
        <f t="shared" si="97"/>
        <v>0</v>
      </c>
      <c r="IQ43" s="1">
        <f t="shared" si="97"/>
        <v>0</v>
      </c>
      <c r="IR43" s="1">
        <f t="shared" si="97"/>
        <v>0</v>
      </c>
      <c r="IS43" s="1">
        <f t="shared" si="97"/>
        <v>0</v>
      </c>
      <c r="IT43" s="1">
        <f t="shared" si="97"/>
        <v>0</v>
      </c>
      <c r="IU43" s="1">
        <f t="shared" si="97"/>
        <v>0</v>
      </c>
      <c r="IV43" s="1">
        <f t="shared" si="97"/>
        <v>0</v>
      </c>
      <c r="IW43" s="1">
        <f t="shared" si="97"/>
        <v>0</v>
      </c>
      <c r="IX43" s="1">
        <f t="shared" si="97"/>
        <v>0</v>
      </c>
      <c r="IY43" s="1">
        <f t="shared" ref="IY43:LJ43" si="98">IY27</f>
        <v>0</v>
      </c>
      <c r="IZ43" s="1">
        <f t="shared" si="98"/>
        <v>0</v>
      </c>
      <c r="JA43" s="1">
        <f t="shared" si="98"/>
        <v>0</v>
      </c>
      <c r="JB43" s="1">
        <f t="shared" si="98"/>
        <v>0</v>
      </c>
      <c r="JC43" s="1">
        <f t="shared" si="98"/>
        <v>0</v>
      </c>
      <c r="JD43" s="1">
        <f t="shared" si="98"/>
        <v>0</v>
      </c>
      <c r="JE43" s="1">
        <f t="shared" si="98"/>
        <v>0</v>
      </c>
      <c r="JF43" s="1">
        <f t="shared" si="98"/>
        <v>0</v>
      </c>
      <c r="JG43" s="1">
        <f t="shared" si="98"/>
        <v>0</v>
      </c>
      <c r="JH43" s="1">
        <f t="shared" si="98"/>
        <v>0</v>
      </c>
      <c r="JI43" s="1">
        <f t="shared" si="98"/>
        <v>0</v>
      </c>
      <c r="JJ43" s="1">
        <f t="shared" si="98"/>
        <v>0</v>
      </c>
      <c r="JK43" s="1">
        <f t="shared" si="98"/>
        <v>0</v>
      </c>
      <c r="JL43" s="1">
        <f t="shared" si="98"/>
        <v>0</v>
      </c>
      <c r="JM43" s="1">
        <f t="shared" si="98"/>
        <v>0</v>
      </c>
      <c r="JN43" s="1">
        <f t="shared" si="98"/>
        <v>0</v>
      </c>
      <c r="JO43" s="1">
        <f t="shared" si="98"/>
        <v>0</v>
      </c>
      <c r="JP43" s="1">
        <f t="shared" si="98"/>
        <v>0</v>
      </c>
      <c r="JQ43" s="1">
        <f t="shared" si="98"/>
        <v>0</v>
      </c>
      <c r="JR43" s="1">
        <f t="shared" si="98"/>
        <v>0</v>
      </c>
      <c r="JS43" s="1">
        <f t="shared" si="98"/>
        <v>0</v>
      </c>
      <c r="JT43" s="1">
        <f t="shared" si="98"/>
        <v>0</v>
      </c>
      <c r="JU43" s="1">
        <f t="shared" si="98"/>
        <v>0</v>
      </c>
      <c r="JV43" s="1">
        <f t="shared" si="98"/>
        <v>0</v>
      </c>
      <c r="JW43" s="1">
        <f t="shared" si="98"/>
        <v>0</v>
      </c>
      <c r="JX43" s="1">
        <f t="shared" si="98"/>
        <v>0</v>
      </c>
      <c r="JY43" s="1">
        <f t="shared" si="98"/>
        <v>0</v>
      </c>
      <c r="JZ43" s="1">
        <f t="shared" si="98"/>
        <v>0</v>
      </c>
      <c r="KA43" s="1">
        <f t="shared" si="98"/>
        <v>0</v>
      </c>
      <c r="KB43" s="1">
        <f t="shared" si="98"/>
        <v>0</v>
      </c>
      <c r="KC43" s="1">
        <f t="shared" si="98"/>
        <v>0</v>
      </c>
      <c r="KD43" s="1">
        <f t="shared" si="98"/>
        <v>0</v>
      </c>
      <c r="KE43" s="1">
        <f t="shared" si="98"/>
        <v>0</v>
      </c>
      <c r="KF43" s="1">
        <f t="shared" si="98"/>
        <v>0</v>
      </c>
      <c r="KG43" s="1">
        <f t="shared" si="98"/>
        <v>0</v>
      </c>
      <c r="KH43" s="1">
        <f t="shared" si="98"/>
        <v>0</v>
      </c>
      <c r="KI43" s="1">
        <f t="shared" si="98"/>
        <v>0</v>
      </c>
      <c r="KJ43" s="1">
        <f t="shared" si="98"/>
        <v>0</v>
      </c>
      <c r="KK43" s="1">
        <f t="shared" si="98"/>
        <v>0</v>
      </c>
      <c r="KL43" s="1">
        <f t="shared" si="98"/>
        <v>0</v>
      </c>
      <c r="KM43" s="1">
        <f t="shared" si="98"/>
        <v>0</v>
      </c>
      <c r="KN43" s="1">
        <f t="shared" si="98"/>
        <v>0</v>
      </c>
      <c r="KO43" s="1">
        <f t="shared" si="98"/>
        <v>0</v>
      </c>
      <c r="KP43" s="1">
        <f t="shared" si="98"/>
        <v>0</v>
      </c>
      <c r="KQ43" s="1">
        <f t="shared" si="98"/>
        <v>0</v>
      </c>
      <c r="KR43" s="1">
        <f t="shared" si="98"/>
        <v>0</v>
      </c>
      <c r="KS43" s="1">
        <f t="shared" si="98"/>
        <v>0</v>
      </c>
      <c r="KT43" s="1">
        <f t="shared" si="98"/>
        <v>0</v>
      </c>
      <c r="KU43" s="1">
        <f t="shared" si="98"/>
        <v>0</v>
      </c>
      <c r="KV43" s="1">
        <f t="shared" si="98"/>
        <v>0</v>
      </c>
      <c r="KW43" s="1">
        <f t="shared" si="98"/>
        <v>0</v>
      </c>
      <c r="KX43" s="1">
        <f t="shared" si="98"/>
        <v>0</v>
      </c>
      <c r="KY43" s="1">
        <f t="shared" si="98"/>
        <v>0</v>
      </c>
      <c r="KZ43" s="1">
        <f t="shared" si="98"/>
        <v>0</v>
      </c>
      <c r="LA43" s="1">
        <f t="shared" si="98"/>
        <v>0</v>
      </c>
      <c r="LB43" s="1">
        <f t="shared" si="98"/>
        <v>0</v>
      </c>
      <c r="LC43" s="1">
        <f t="shared" si="98"/>
        <v>0</v>
      </c>
      <c r="LD43" s="1">
        <f t="shared" si="98"/>
        <v>0</v>
      </c>
      <c r="LE43" s="1">
        <f t="shared" si="98"/>
        <v>0</v>
      </c>
      <c r="LF43" s="1">
        <f t="shared" si="98"/>
        <v>0</v>
      </c>
      <c r="LG43" s="1">
        <f t="shared" si="98"/>
        <v>0</v>
      </c>
      <c r="LH43" s="1">
        <f t="shared" si="98"/>
        <v>0</v>
      </c>
      <c r="LI43" s="1">
        <f t="shared" si="98"/>
        <v>0</v>
      </c>
      <c r="LJ43" s="1">
        <f t="shared" si="98"/>
        <v>0</v>
      </c>
      <c r="LK43" s="1">
        <f t="shared" ref="LK43:NV43" si="99">LK27</f>
        <v>0</v>
      </c>
      <c r="LL43" s="1">
        <f t="shared" si="99"/>
        <v>0</v>
      </c>
      <c r="LM43" s="1">
        <f t="shared" si="99"/>
        <v>0</v>
      </c>
      <c r="LN43" s="1">
        <f t="shared" si="99"/>
        <v>0</v>
      </c>
      <c r="LO43" s="1">
        <f t="shared" si="99"/>
        <v>0</v>
      </c>
      <c r="LP43" s="1">
        <f t="shared" si="99"/>
        <v>0</v>
      </c>
      <c r="LQ43" s="1">
        <f t="shared" si="99"/>
        <v>0</v>
      </c>
      <c r="LR43" s="1">
        <f t="shared" si="99"/>
        <v>0</v>
      </c>
      <c r="LS43" s="1">
        <f t="shared" si="99"/>
        <v>0</v>
      </c>
      <c r="LT43" s="1">
        <f t="shared" si="99"/>
        <v>0</v>
      </c>
      <c r="LU43" s="1">
        <f t="shared" si="99"/>
        <v>0</v>
      </c>
      <c r="LV43" s="1">
        <f t="shared" si="99"/>
        <v>0</v>
      </c>
      <c r="LW43" s="1">
        <f t="shared" si="99"/>
        <v>0</v>
      </c>
      <c r="LX43" s="1">
        <f t="shared" si="99"/>
        <v>0</v>
      </c>
      <c r="LY43" s="1">
        <f t="shared" si="99"/>
        <v>0</v>
      </c>
      <c r="LZ43" s="1">
        <f t="shared" si="99"/>
        <v>0</v>
      </c>
      <c r="MA43" s="1">
        <f t="shared" si="99"/>
        <v>0</v>
      </c>
      <c r="MB43" s="1">
        <f t="shared" si="99"/>
        <v>0</v>
      </c>
      <c r="MC43" s="1">
        <f t="shared" si="99"/>
        <v>0</v>
      </c>
      <c r="MD43" s="1">
        <f t="shared" si="99"/>
        <v>0</v>
      </c>
      <c r="ME43" s="1">
        <f t="shared" si="99"/>
        <v>0</v>
      </c>
      <c r="MF43" s="1">
        <f t="shared" si="99"/>
        <v>0</v>
      </c>
      <c r="MG43" s="1">
        <f t="shared" si="99"/>
        <v>0</v>
      </c>
      <c r="MH43" s="1">
        <f t="shared" si="99"/>
        <v>0</v>
      </c>
      <c r="MI43" s="1">
        <f t="shared" si="99"/>
        <v>0</v>
      </c>
      <c r="MJ43" s="1">
        <f t="shared" si="99"/>
        <v>0</v>
      </c>
      <c r="MK43" s="1">
        <f t="shared" si="99"/>
        <v>0</v>
      </c>
      <c r="ML43" s="1">
        <f t="shared" si="99"/>
        <v>0</v>
      </c>
      <c r="MM43" s="1">
        <f t="shared" si="99"/>
        <v>0</v>
      </c>
      <c r="MN43" s="1">
        <f t="shared" si="99"/>
        <v>0</v>
      </c>
      <c r="MO43" s="1">
        <f t="shared" si="99"/>
        <v>0</v>
      </c>
      <c r="MP43" s="1">
        <f t="shared" si="99"/>
        <v>0</v>
      </c>
      <c r="MQ43" s="1">
        <f t="shared" si="99"/>
        <v>0</v>
      </c>
      <c r="MR43" s="1">
        <f t="shared" si="99"/>
        <v>0</v>
      </c>
      <c r="MS43" s="1">
        <f t="shared" si="99"/>
        <v>0</v>
      </c>
      <c r="MT43" s="1">
        <f t="shared" si="99"/>
        <v>0</v>
      </c>
      <c r="MU43" s="1">
        <f t="shared" si="99"/>
        <v>0</v>
      </c>
      <c r="MV43" s="1">
        <f t="shared" si="99"/>
        <v>0</v>
      </c>
      <c r="MW43" s="1">
        <f t="shared" si="99"/>
        <v>0</v>
      </c>
      <c r="MX43" s="1">
        <f t="shared" si="99"/>
        <v>0</v>
      </c>
      <c r="MY43" s="1">
        <f t="shared" si="99"/>
        <v>0</v>
      </c>
      <c r="MZ43" s="1">
        <f t="shared" si="99"/>
        <v>0</v>
      </c>
      <c r="NA43" s="1">
        <f t="shared" si="99"/>
        <v>0</v>
      </c>
      <c r="NB43" s="1">
        <f t="shared" si="99"/>
        <v>0</v>
      </c>
      <c r="NC43" s="1">
        <f t="shared" si="99"/>
        <v>0</v>
      </c>
      <c r="ND43" s="1">
        <f t="shared" si="99"/>
        <v>0</v>
      </c>
      <c r="NE43" s="1">
        <f t="shared" si="99"/>
        <v>0</v>
      </c>
      <c r="NF43" s="1">
        <f t="shared" si="99"/>
        <v>0</v>
      </c>
      <c r="NG43" s="1">
        <f t="shared" si="99"/>
        <v>0</v>
      </c>
      <c r="NH43" s="1">
        <f t="shared" si="99"/>
        <v>0</v>
      </c>
      <c r="NI43" s="1">
        <f t="shared" si="99"/>
        <v>0</v>
      </c>
      <c r="NJ43" s="1">
        <f t="shared" si="99"/>
        <v>0</v>
      </c>
      <c r="NK43" s="1">
        <f t="shared" si="99"/>
        <v>0</v>
      </c>
      <c r="NL43" s="1">
        <f t="shared" si="99"/>
        <v>0</v>
      </c>
      <c r="NM43" s="1">
        <f t="shared" si="99"/>
        <v>0</v>
      </c>
      <c r="NN43" s="1">
        <f t="shared" si="99"/>
        <v>0</v>
      </c>
      <c r="NO43" s="1">
        <f t="shared" si="99"/>
        <v>0</v>
      </c>
      <c r="NP43" s="1">
        <f t="shared" si="99"/>
        <v>0</v>
      </c>
      <c r="NQ43" s="1">
        <f t="shared" si="99"/>
        <v>0</v>
      </c>
      <c r="NR43" s="1">
        <f t="shared" si="99"/>
        <v>0</v>
      </c>
      <c r="NS43" s="1">
        <f t="shared" si="99"/>
        <v>0</v>
      </c>
      <c r="NT43" s="1">
        <f t="shared" si="99"/>
        <v>0</v>
      </c>
      <c r="NU43" s="1">
        <f t="shared" si="99"/>
        <v>0</v>
      </c>
      <c r="NV43" s="1">
        <f t="shared" si="99"/>
        <v>0</v>
      </c>
      <c r="NW43" s="1">
        <f t="shared" ref="NW43:QH43" si="100">NW27</f>
        <v>0</v>
      </c>
      <c r="NX43" s="1">
        <f t="shared" si="100"/>
        <v>0</v>
      </c>
      <c r="NY43" s="1">
        <f t="shared" si="100"/>
        <v>0</v>
      </c>
      <c r="NZ43" s="1">
        <f t="shared" si="100"/>
        <v>0</v>
      </c>
      <c r="OA43" s="1">
        <f t="shared" si="100"/>
        <v>0</v>
      </c>
      <c r="OB43" s="1">
        <f t="shared" si="100"/>
        <v>0</v>
      </c>
      <c r="OC43" s="1">
        <f t="shared" si="100"/>
        <v>0</v>
      </c>
      <c r="OD43" s="1">
        <f t="shared" si="100"/>
        <v>0</v>
      </c>
      <c r="OE43" s="1">
        <f t="shared" si="100"/>
        <v>0</v>
      </c>
      <c r="OF43" s="1">
        <f t="shared" si="100"/>
        <v>0</v>
      </c>
      <c r="OG43" s="1">
        <f t="shared" si="100"/>
        <v>0</v>
      </c>
      <c r="OH43" s="1">
        <f t="shared" si="100"/>
        <v>0</v>
      </c>
      <c r="OI43" s="1">
        <f t="shared" si="100"/>
        <v>0</v>
      </c>
      <c r="OJ43" s="1">
        <f t="shared" si="100"/>
        <v>0</v>
      </c>
      <c r="OK43" s="1">
        <f t="shared" si="100"/>
        <v>0</v>
      </c>
      <c r="OL43" s="1">
        <f t="shared" si="100"/>
        <v>0</v>
      </c>
      <c r="OM43" s="1">
        <f t="shared" si="100"/>
        <v>0</v>
      </c>
      <c r="ON43" s="1">
        <f t="shared" si="100"/>
        <v>0</v>
      </c>
      <c r="OO43" s="1">
        <f t="shared" si="100"/>
        <v>0</v>
      </c>
      <c r="OP43" s="1">
        <f t="shared" si="100"/>
        <v>0</v>
      </c>
      <c r="OQ43" s="1">
        <f t="shared" si="100"/>
        <v>0</v>
      </c>
      <c r="OR43" s="1">
        <f t="shared" si="100"/>
        <v>0</v>
      </c>
      <c r="OS43" s="1">
        <f t="shared" si="100"/>
        <v>0</v>
      </c>
      <c r="OT43" s="1">
        <f t="shared" si="100"/>
        <v>0</v>
      </c>
      <c r="OU43" s="1">
        <f t="shared" si="100"/>
        <v>0</v>
      </c>
      <c r="OV43" s="1">
        <f t="shared" si="100"/>
        <v>0</v>
      </c>
      <c r="OW43" s="1">
        <f t="shared" si="100"/>
        <v>0</v>
      </c>
      <c r="OX43" s="1">
        <f t="shared" si="100"/>
        <v>0</v>
      </c>
      <c r="OY43" s="1">
        <f t="shared" si="100"/>
        <v>0</v>
      </c>
      <c r="OZ43" s="1">
        <f t="shared" si="100"/>
        <v>0</v>
      </c>
      <c r="PA43" s="1">
        <f t="shared" si="100"/>
        <v>0</v>
      </c>
      <c r="PB43" s="1">
        <f t="shared" si="100"/>
        <v>0</v>
      </c>
      <c r="PC43" s="1">
        <f t="shared" si="100"/>
        <v>0</v>
      </c>
      <c r="PD43" s="1">
        <f t="shared" si="100"/>
        <v>0</v>
      </c>
      <c r="PE43" s="1">
        <f t="shared" si="100"/>
        <v>0</v>
      </c>
      <c r="PF43" s="1">
        <f t="shared" si="100"/>
        <v>0</v>
      </c>
      <c r="PG43" s="1">
        <f t="shared" si="100"/>
        <v>0</v>
      </c>
      <c r="PH43" s="1">
        <f t="shared" si="100"/>
        <v>0</v>
      </c>
      <c r="PI43" s="1">
        <f t="shared" si="100"/>
        <v>0</v>
      </c>
      <c r="PJ43" s="1">
        <f t="shared" si="100"/>
        <v>0</v>
      </c>
      <c r="PK43" s="1">
        <f t="shared" si="100"/>
        <v>0</v>
      </c>
      <c r="PL43" s="1">
        <f t="shared" si="100"/>
        <v>0</v>
      </c>
      <c r="PM43" s="1">
        <f t="shared" si="100"/>
        <v>0</v>
      </c>
      <c r="PN43" s="1">
        <f t="shared" si="100"/>
        <v>0</v>
      </c>
      <c r="PO43" s="1">
        <f t="shared" si="100"/>
        <v>0</v>
      </c>
      <c r="PP43" s="1">
        <f t="shared" si="100"/>
        <v>0</v>
      </c>
      <c r="PQ43" s="1">
        <f t="shared" si="100"/>
        <v>0</v>
      </c>
      <c r="PR43" s="1">
        <f t="shared" si="100"/>
        <v>0</v>
      </c>
      <c r="PS43" s="1">
        <f t="shared" si="100"/>
        <v>0</v>
      </c>
      <c r="PT43" s="1">
        <f t="shared" si="100"/>
        <v>0</v>
      </c>
      <c r="PU43" s="1">
        <f t="shared" si="100"/>
        <v>0</v>
      </c>
      <c r="PV43" s="1">
        <f t="shared" si="100"/>
        <v>0</v>
      </c>
      <c r="PW43" s="1">
        <f t="shared" si="100"/>
        <v>0</v>
      </c>
      <c r="PX43" s="1">
        <f t="shared" si="100"/>
        <v>0</v>
      </c>
      <c r="PY43" s="1">
        <f t="shared" si="100"/>
        <v>0</v>
      </c>
      <c r="PZ43" s="1">
        <f t="shared" si="100"/>
        <v>0</v>
      </c>
      <c r="QA43" s="1">
        <f t="shared" si="100"/>
        <v>0</v>
      </c>
      <c r="QB43" s="1">
        <f t="shared" si="100"/>
        <v>0</v>
      </c>
      <c r="QC43" s="1">
        <f t="shared" si="100"/>
        <v>0</v>
      </c>
      <c r="QD43" s="1">
        <f t="shared" si="100"/>
        <v>0</v>
      </c>
      <c r="QE43" s="1">
        <f t="shared" si="100"/>
        <v>0</v>
      </c>
      <c r="QF43" s="1">
        <f t="shared" si="100"/>
        <v>0</v>
      </c>
      <c r="QG43" s="1">
        <f t="shared" si="100"/>
        <v>0</v>
      </c>
      <c r="QH43" s="1">
        <f t="shared" si="100"/>
        <v>0</v>
      </c>
      <c r="QI43" s="1">
        <f t="shared" ref="QI43:SG43" si="101">QI27</f>
        <v>0</v>
      </c>
      <c r="QJ43" s="1">
        <f t="shared" si="101"/>
        <v>0</v>
      </c>
      <c r="QK43" s="1">
        <f t="shared" si="101"/>
        <v>0</v>
      </c>
      <c r="QL43" s="1">
        <f t="shared" si="101"/>
        <v>0</v>
      </c>
      <c r="QM43" s="1">
        <f t="shared" si="101"/>
        <v>0</v>
      </c>
      <c r="QN43" s="1">
        <f t="shared" si="101"/>
        <v>0</v>
      </c>
      <c r="QO43" s="1">
        <f t="shared" si="101"/>
        <v>0</v>
      </c>
      <c r="QP43" s="1">
        <f t="shared" si="101"/>
        <v>0</v>
      </c>
      <c r="QQ43" s="1">
        <f t="shared" si="101"/>
        <v>0</v>
      </c>
      <c r="QR43" s="1">
        <f t="shared" si="101"/>
        <v>0</v>
      </c>
      <c r="QS43" s="1">
        <f t="shared" si="101"/>
        <v>0</v>
      </c>
      <c r="QT43" s="1">
        <f t="shared" si="101"/>
        <v>0</v>
      </c>
      <c r="QU43" s="1">
        <f t="shared" si="101"/>
        <v>0</v>
      </c>
      <c r="QV43" s="1">
        <f t="shared" si="101"/>
        <v>0</v>
      </c>
      <c r="QW43" s="1">
        <f t="shared" si="101"/>
        <v>0</v>
      </c>
      <c r="QX43" s="1">
        <f t="shared" si="101"/>
        <v>0</v>
      </c>
      <c r="QY43" s="1">
        <f t="shared" si="101"/>
        <v>0</v>
      </c>
      <c r="QZ43" s="1">
        <f t="shared" si="101"/>
        <v>0</v>
      </c>
      <c r="RA43" s="1">
        <f t="shared" si="101"/>
        <v>0</v>
      </c>
      <c r="RB43" s="1">
        <f t="shared" si="101"/>
        <v>0</v>
      </c>
      <c r="RC43" s="1">
        <f t="shared" si="101"/>
        <v>0</v>
      </c>
      <c r="RD43" s="1">
        <f t="shared" si="101"/>
        <v>0</v>
      </c>
      <c r="RE43" s="1">
        <f t="shared" si="101"/>
        <v>0</v>
      </c>
      <c r="RF43" s="1">
        <f t="shared" si="101"/>
        <v>0</v>
      </c>
      <c r="RG43" s="1">
        <f t="shared" si="101"/>
        <v>0</v>
      </c>
      <c r="RH43" s="1">
        <f t="shared" si="101"/>
        <v>0</v>
      </c>
      <c r="RI43" s="1">
        <f t="shared" si="101"/>
        <v>0</v>
      </c>
      <c r="RJ43" s="1">
        <f t="shared" si="101"/>
        <v>0</v>
      </c>
      <c r="RK43" s="1">
        <f t="shared" si="101"/>
        <v>0</v>
      </c>
      <c r="RL43" s="1">
        <f t="shared" si="101"/>
        <v>0</v>
      </c>
      <c r="RM43" s="1">
        <f t="shared" si="101"/>
        <v>0</v>
      </c>
      <c r="RN43" s="1">
        <f t="shared" si="101"/>
        <v>0</v>
      </c>
      <c r="RO43" s="1">
        <f t="shared" si="101"/>
        <v>0</v>
      </c>
      <c r="RP43" s="1">
        <f t="shared" si="101"/>
        <v>0</v>
      </c>
      <c r="RQ43" s="1">
        <f t="shared" si="101"/>
        <v>0</v>
      </c>
      <c r="RR43" s="1">
        <f t="shared" si="101"/>
        <v>0</v>
      </c>
      <c r="RS43" s="1">
        <f t="shared" si="101"/>
        <v>0</v>
      </c>
      <c r="RT43" s="1">
        <f t="shared" si="101"/>
        <v>0</v>
      </c>
      <c r="RU43" s="1">
        <f t="shared" si="101"/>
        <v>0</v>
      </c>
      <c r="RV43" s="1">
        <f t="shared" si="101"/>
        <v>0</v>
      </c>
      <c r="RW43" s="1">
        <f t="shared" si="101"/>
        <v>0</v>
      </c>
      <c r="RX43" s="1">
        <f t="shared" si="101"/>
        <v>0</v>
      </c>
      <c r="RY43" s="1">
        <f t="shared" si="101"/>
        <v>0</v>
      </c>
      <c r="RZ43" s="1">
        <f t="shared" si="101"/>
        <v>0</v>
      </c>
      <c r="SA43" s="1">
        <f t="shared" si="101"/>
        <v>0</v>
      </c>
      <c r="SB43" s="1">
        <f t="shared" si="101"/>
        <v>0</v>
      </c>
      <c r="SC43" s="1">
        <f t="shared" si="101"/>
        <v>0</v>
      </c>
      <c r="SD43" s="1">
        <f t="shared" si="101"/>
        <v>0</v>
      </c>
      <c r="SE43" s="1">
        <f t="shared" si="101"/>
        <v>0</v>
      </c>
      <c r="SF43" s="1">
        <f t="shared" si="101"/>
        <v>0</v>
      </c>
      <c r="SG43" s="1">
        <f t="shared" si="101"/>
        <v>0</v>
      </c>
      <c r="SH43" s="1">
        <f t="shared" ref="SH43:US43" si="102">SH27</f>
        <v>0</v>
      </c>
      <c r="SI43" s="1">
        <f t="shared" si="102"/>
        <v>0</v>
      </c>
      <c r="SJ43" s="1">
        <f t="shared" si="102"/>
        <v>0</v>
      </c>
      <c r="SK43" s="1">
        <f t="shared" si="102"/>
        <v>0</v>
      </c>
      <c r="SL43" s="1">
        <f t="shared" si="102"/>
        <v>0</v>
      </c>
      <c r="SM43" s="1">
        <f t="shared" si="102"/>
        <v>0</v>
      </c>
      <c r="SN43" s="1">
        <f t="shared" si="102"/>
        <v>0</v>
      </c>
      <c r="SO43" s="1">
        <f t="shared" si="102"/>
        <v>0</v>
      </c>
      <c r="SP43" s="1">
        <f t="shared" si="102"/>
        <v>0</v>
      </c>
      <c r="SQ43" s="1">
        <f t="shared" si="102"/>
        <v>0</v>
      </c>
      <c r="SR43" s="1">
        <f t="shared" si="102"/>
        <v>0</v>
      </c>
      <c r="SS43" s="1">
        <f t="shared" si="102"/>
        <v>0</v>
      </c>
      <c r="ST43" s="1">
        <f t="shared" si="102"/>
        <v>0</v>
      </c>
      <c r="SU43" s="1">
        <f t="shared" si="102"/>
        <v>0</v>
      </c>
      <c r="SV43" s="1">
        <f t="shared" si="102"/>
        <v>0</v>
      </c>
      <c r="SW43" s="1">
        <f t="shared" si="102"/>
        <v>0</v>
      </c>
      <c r="SX43" s="1">
        <f t="shared" si="102"/>
        <v>0</v>
      </c>
      <c r="SY43" s="1">
        <f t="shared" si="102"/>
        <v>0</v>
      </c>
      <c r="SZ43" s="1">
        <f t="shared" si="102"/>
        <v>0</v>
      </c>
      <c r="TA43" s="1">
        <f t="shared" si="102"/>
        <v>0</v>
      </c>
      <c r="TB43" s="1">
        <f t="shared" si="102"/>
        <v>0</v>
      </c>
      <c r="TC43" s="1">
        <f t="shared" si="102"/>
        <v>0</v>
      </c>
      <c r="TD43" s="1">
        <f t="shared" si="102"/>
        <v>0</v>
      </c>
      <c r="TE43" s="1">
        <f t="shared" si="102"/>
        <v>0</v>
      </c>
      <c r="TF43" s="1">
        <f t="shared" si="102"/>
        <v>0</v>
      </c>
      <c r="TG43" s="1">
        <f t="shared" si="102"/>
        <v>0</v>
      </c>
      <c r="TH43" s="1">
        <f t="shared" si="102"/>
        <v>0</v>
      </c>
      <c r="TI43" s="1">
        <f t="shared" si="102"/>
        <v>0</v>
      </c>
      <c r="TJ43" s="1">
        <f t="shared" si="102"/>
        <v>0</v>
      </c>
      <c r="TK43" s="1">
        <f t="shared" si="102"/>
        <v>0</v>
      </c>
      <c r="TL43" s="1">
        <f t="shared" si="102"/>
        <v>0</v>
      </c>
      <c r="TM43" s="1">
        <f t="shared" si="102"/>
        <v>0</v>
      </c>
      <c r="TN43" s="1">
        <f t="shared" si="102"/>
        <v>0</v>
      </c>
      <c r="TO43" s="1">
        <f t="shared" si="102"/>
        <v>0</v>
      </c>
      <c r="TP43" s="1">
        <f t="shared" si="102"/>
        <v>0</v>
      </c>
      <c r="TQ43" s="1">
        <f t="shared" si="102"/>
        <v>0</v>
      </c>
      <c r="TR43" s="1">
        <f t="shared" si="102"/>
        <v>0</v>
      </c>
      <c r="TS43" s="1">
        <f t="shared" si="102"/>
        <v>0</v>
      </c>
      <c r="TT43" s="1">
        <f t="shared" si="102"/>
        <v>0</v>
      </c>
      <c r="TU43" s="1">
        <f t="shared" si="102"/>
        <v>0</v>
      </c>
      <c r="TV43" s="1">
        <f t="shared" si="102"/>
        <v>0</v>
      </c>
      <c r="TW43" s="1">
        <f t="shared" si="102"/>
        <v>0</v>
      </c>
      <c r="TX43" s="1">
        <f t="shared" si="102"/>
        <v>0</v>
      </c>
      <c r="TY43" s="1">
        <f t="shared" si="102"/>
        <v>0</v>
      </c>
      <c r="TZ43" s="1">
        <f t="shared" si="102"/>
        <v>0</v>
      </c>
      <c r="UA43" s="1">
        <f t="shared" si="102"/>
        <v>0</v>
      </c>
      <c r="UB43" s="1">
        <f t="shared" si="102"/>
        <v>0</v>
      </c>
      <c r="UC43" s="1">
        <f t="shared" si="102"/>
        <v>0</v>
      </c>
      <c r="UD43" s="1">
        <f t="shared" si="102"/>
        <v>0</v>
      </c>
      <c r="UE43" s="1">
        <f t="shared" si="102"/>
        <v>0</v>
      </c>
      <c r="UF43" s="1">
        <f t="shared" si="102"/>
        <v>0</v>
      </c>
      <c r="UG43" s="1">
        <f t="shared" si="102"/>
        <v>0</v>
      </c>
      <c r="UH43" s="1">
        <f t="shared" si="102"/>
        <v>0</v>
      </c>
      <c r="UI43" s="1">
        <f t="shared" si="102"/>
        <v>0</v>
      </c>
      <c r="UJ43" s="1">
        <f t="shared" si="102"/>
        <v>0</v>
      </c>
      <c r="UK43" s="1">
        <f t="shared" si="102"/>
        <v>0</v>
      </c>
      <c r="UL43" s="1">
        <f t="shared" si="102"/>
        <v>0</v>
      </c>
      <c r="UM43" s="1">
        <f t="shared" si="102"/>
        <v>0</v>
      </c>
      <c r="UN43" s="1">
        <f t="shared" si="102"/>
        <v>0</v>
      </c>
      <c r="UO43" s="1">
        <f t="shared" si="102"/>
        <v>0</v>
      </c>
      <c r="UP43" s="1">
        <f t="shared" si="102"/>
        <v>0</v>
      </c>
      <c r="UQ43" s="1">
        <f t="shared" si="102"/>
        <v>0</v>
      </c>
      <c r="UR43" s="1">
        <f t="shared" si="102"/>
        <v>0</v>
      </c>
      <c r="US43" s="1">
        <f t="shared" si="102"/>
        <v>0</v>
      </c>
      <c r="UT43" s="1">
        <f t="shared" ref="UT43:XE43" si="103">UT27</f>
        <v>0</v>
      </c>
      <c r="UU43" s="1">
        <f t="shared" si="103"/>
        <v>0</v>
      </c>
      <c r="UV43" s="1">
        <f t="shared" si="103"/>
        <v>0</v>
      </c>
      <c r="UW43" s="1">
        <f t="shared" si="103"/>
        <v>0</v>
      </c>
      <c r="UX43" s="1">
        <f t="shared" si="103"/>
        <v>0</v>
      </c>
      <c r="UY43" s="1">
        <f t="shared" si="103"/>
        <v>0</v>
      </c>
      <c r="UZ43" s="1">
        <f t="shared" si="103"/>
        <v>0</v>
      </c>
      <c r="VA43" s="1">
        <f t="shared" si="103"/>
        <v>0</v>
      </c>
      <c r="VB43" s="1">
        <f t="shared" si="103"/>
        <v>0</v>
      </c>
      <c r="VC43" s="1">
        <f t="shared" si="103"/>
        <v>0</v>
      </c>
      <c r="VD43" s="1">
        <f t="shared" si="103"/>
        <v>0</v>
      </c>
      <c r="VE43" s="1">
        <f t="shared" si="103"/>
        <v>0</v>
      </c>
      <c r="VF43" s="1">
        <f t="shared" si="103"/>
        <v>0</v>
      </c>
      <c r="VG43" s="1">
        <f t="shared" si="103"/>
        <v>0</v>
      </c>
      <c r="VH43" s="1">
        <f t="shared" si="103"/>
        <v>0</v>
      </c>
      <c r="VI43" s="1">
        <f t="shared" si="103"/>
        <v>0</v>
      </c>
      <c r="VJ43" s="1">
        <f t="shared" si="103"/>
        <v>0</v>
      </c>
      <c r="VK43" s="1">
        <f t="shared" si="103"/>
        <v>0</v>
      </c>
      <c r="VL43" s="1">
        <f t="shared" si="103"/>
        <v>0</v>
      </c>
      <c r="VM43" s="1">
        <f t="shared" si="103"/>
        <v>0</v>
      </c>
      <c r="VN43" s="1">
        <f t="shared" si="103"/>
        <v>0</v>
      </c>
      <c r="VO43" s="1">
        <f t="shared" si="103"/>
        <v>0</v>
      </c>
      <c r="VP43" s="1">
        <f t="shared" si="103"/>
        <v>0</v>
      </c>
      <c r="VQ43" s="1">
        <f t="shared" si="103"/>
        <v>0</v>
      </c>
      <c r="VR43" s="1">
        <f t="shared" si="103"/>
        <v>0</v>
      </c>
      <c r="VS43" s="1">
        <f t="shared" si="103"/>
        <v>0</v>
      </c>
      <c r="VT43" s="1">
        <f t="shared" si="103"/>
        <v>0</v>
      </c>
      <c r="VU43" s="1">
        <f t="shared" si="103"/>
        <v>0</v>
      </c>
      <c r="VV43" s="1">
        <f t="shared" si="103"/>
        <v>0</v>
      </c>
      <c r="VW43" s="1">
        <f t="shared" si="103"/>
        <v>0</v>
      </c>
      <c r="VX43" s="1">
        <f t="shared" si="103"/>
        <v>0</v>
      </c>
      <c r="VY43" s="1">
        <f t="shared" si="103"/>
        <v>0</v>
      </c>
      <c r="VZ43" s="1">
        <f t="shared" si="103"/>
        <v>0</v>
      </c>
      <c r="WA43" s="1">
        <f t="shared" si="103"/>
        <v>0</v>
      </c>
      <c r="WB43" s="1">
        <f t="shared" si="103"/>
        <v>0</v>
      </c>
      <c r="WC43" s="1">
        <f t="shared" si="103"/>
        <v>0</v>
      </c>
      <c r="WD43" s="1">
        <f t="shared" si="103"/>
        <v>0</v>
      </c>
      <c r="WE43" s="1">
        <f t="shared" si="103"/>
        <v>0</v>
      </c>
      <c r="WF43" s="1">
        <f t="shared" si="103"/>
        <v>0</v>
      </c>
      <c r="WG43" s="1">
        <f t="shared" si="103"/>
        <v>0</v>
      </c>
      <c r="WH43" s="1">
        <f t="shared" si="103"/>
        <v>0</v>
      </c>
      <c r="WI43" s="1">
        <f t="shared" si="103"/>
        <v>0</v>
      </c>
      <c r="WJ43" s="1">
        <f t="shared" si="103"/>
        <v>0</v>
      </c>
      <c r="WK43" s="1">
        <f t="shared" si="103"/>
        <v>0</v>
      </c>
      <c r="WL43" s="1">
        <f t="shared" si="103"/>
        <v>0</v>
      </c>
      <c r="WM43" s="1">
        <f t="shared" si="103"/>
        <v>0</v>
      </c>
      <c r="WN43" s="1">
        <f t="shared" si="103"/>
        <v>0</v>
      </c>
      <c r="WO43" s="1">
        <f t="shared" si="103"/>
        <v>0</v>
      </c>
      <c r="WP43" s="1">
        <f t="shared" si="103"/>
        <v>0</v>
      </c>
      <c r="WQ43" s="1">
        <f t="shared" si="103"/>
        <v>0</v>
      </c>
      <c r="WR43" s="1">
        <f t="shared" si="103"/>
        <v>0</v>
      </c>
      <c r="WS43" s="1">
        <f t="shared" si="103"/>
        <v>0</v>
      </c>
      <c r="WT43" s="1">
        <f t="shared" si="103"/>
        <v>0</v>
      </c>
      <c r="WU43" s="1">
        <f t="shared" si="103"/>
        <v>0</v>
      </c>
      <c r="WV43" s="1">
        <f t="shared" si="103"/>
        <v>0</v>
      </c>
      <c r="WW43" s="1">
        <f t="shared" si="103"/>
        <v>0</v>
      </c>
      <c r="WX43" s="1">
        <f t="shared" si="103"/>
        <v>0</v>
      </c>
      <c r="WY43" s="1">
        <f t="shared" si="103"/>
        <v>0</v>
      </c>
      <c r="WZ43" s="1">
        <f t="shared" si="103"/>
        <v>0</v>
      </c>
      <c r="XA43" s="1">
        <f t="shared" si="103"/>
        <v>0</v>
      </c>
      <c r="XB43" s="1">
        <f t="shared" si="103"/>
        <v>0</v>
      </c>
      <c r="XC43" s="1">
        <f t="shared" si="103"/>
        <v>0</v>
      </c>
      <c r="XD43" s="1">
        <f t="shared" si="103"/>
        <v>0</v>
      </c>
      <c r="XE43" s="1">
        <f t="shared" si="103"/>
        <v>0</v>
      </c>
      <c r="XF43" s="1">
        <f t="shared" ref="XF43:ZQ43" si="104">XF27</f>
        <v>0</v>
      </c>
      <c r="XG43" s="1">
        <f t="shared" si="104"/>
        <v>0</v>
      </c>
      <c r="XH43" s="1">
        <f t="shared" si="104"/>
        <v>0</v>
      </c>
      <c r="XI43" s="1">
        <f t="shared" si="104"/>
        <v>0</v>
      </c>
      <c r="XJ43" s="1">
        <f t="shared" si="104"/>
        <v>0</v>
      </c>
      <c r="XK43" s="1">
        <f t="shared" si="104"/>
        <v>0</v>
      </c>
      <c r="XL43" s="1">
        <f t="shared" si="104"/>
        <v>0</v>
      </c>
      <c r="XM43" s="1">
        <f t="shared" si="104"/>
        <v>0</v>
      </c>
      <c r="XN43" s="1">
        <f t="shared" si="104"/>
        <v>0</v>
      </c>
      <c r="XO43" s="1">
        <f t="shared" si="104"/>
        <v>0</v>
      </c>
      <c r="XP43" s="1">
        <f t="shared" si="104"/>
        <v>0</v>
      </c>
      <c r="XQ43" s="1">
        <f t="shared" si="104"/>
        <v>0</v>
      </c>
      <c r="XR43" s="1">
        <f t="shared" si="104"/>
        <v>0</v>
      </c>
      <c r="XS43" s="1">
        <f t="shared" si="104"/>
        <v>0</v>
      </c>
      <c r="XT43" s="1">
        <f t="shared" si="104"/>
        <v>0</v>
      </c>
      <c r="XU43" s="1">
        <f t="shared" si="104"/>
        <v>0</v>
      </c>
      <c r="XV43" s="1">
        <f t="shared" si="104"/>
        <v>0</v>
      </c>
      <c r="XW43" s="1">
        <f t="shared" si="104"/>
        <v>0</v>
      </c>
      <c r="XX43" s="1">
        <f t="shared" si="104"/>
        <v>0</v>
      </c>
      <c r="XY43" s="1">
        <f t="shared" si="104"/>
        <v>0</v>
      </c>
      <c r="XZ43" s="1">
        <f t="shared" si="104"/>
        <v>0</v>
      </c>
      <c r="YA43" s="1">
        <f t="shared" si="104"/>
        <v>0</v>
      </c>
      <c r="YB43" s="1">
        <f t="shared" si="104"/>
        <v>0</v>
      </c>
      <c r="YC43" s="1">
        <f t="shared" si="104"/>
        <v>0</v>
      </c>
      <c r="YD43" s="1">
        <f t="shared" si="104"/>
        <v>0</v>
      </c>
      <c r="YE43" s="1">
        <f t="shared" si="104"/>
        <v>0</v>
      </c>
      <c r="YF43" s="1">
        <f t="shared" si="104"/>
        <v>0</v>
      </c>
      <c r="YG43" s="1">
        <f t="shared" si="104"/>
        <v>0</v>
      </c>
      <c r="YH43" s="1">
        <f t="shared" si="104"/>
        <v>0</v>
      </c>
      <c r="YI43" s="1">
        <f t="shared" si="104"/>
        <v>0</v>
      </c>
      <c r="YJ43" s="1">
        <f t="shared" si="104"/>
        <v>0</v>
      </c>
      <c r="YK43" s="1">
        <f t="shared" si="104"/>
        <v>0</v>
      </c>
      <c r="YL43" s="1">
        <f t="shared" si="104"/>
        <v>0</v>
      </c>
      <c r="YM43" s="1">
        <f t="shared" si="104"/>
        <v>0</v>
      </c>
      <c r="YN43" s="1">
        <f t="shared" si="104"/>
        <v>0</v>
      </c>
      <c r="YO43" s="1">
        <f t="shared" si="104"/>
        <v>0</v>
      </c>
      <c r="YP43" s="1">
        <f t="shared" si="104"/>
        <v>0</v>
      </c>
      <c r="YQ43" s="1">
        <f t="shared" si="104"/>
        <v>0</v>
      </c>
      <c r="YR43" s="1">
        <f t="shared" si="104"/>
        <v>0</v>
      </c>
      <c r="YS43" s="1">
        <f t="shared" si="104"/>
        <v>0</v>
      </c>
      <c r="YT43" s="1">
        <f t="shared" si="104"/>
        <v>0</v>
      </c>
      <c r="YU43" s="1">
        <f t="shared" si="104"/>
        <v>0</v>
      </c>
      <c r="YV43" s="1">
        <f t="shared" si="104"/>
        <v>0</v>
      </c>
      <c r="YW43" s="1">
        <f t="shared" si="104"/>
        <v>0</v>
      </c>
      <c r="YX43" s="1">
        <f t="shared" si="104"/>
        <v>0</v>
      </c>
      <c r="YY43" s="1">
        <f t="shared" si="104"/>
        <v>0</v>
      </c>
      <c r="YZ43" s="1">
        <f t="shared" si="104"/>
        <v>0</v>
      </c>
      <c r="ZA43" s="1">
        <f t="shared" si="104"/>
        <v>0</v>
      </c>
      <c r="ZB43" s="1">
        <f t="shared" si="104"/>
        <v>0</v>
      </c>
      <c r="ZC43" s="1">
        <f t="shared" si="104"/>
        <v>0</v>
      </c>
      <c r="ZD43" s="1">
        <f t="shared" si="104"/>
        <v>0</v>
      </c>
      <c r="ZE43" s="1">
        <f t="shared" si="104"/>
        <v>0</v>
      </c>
      <c r="ZF43" s="1">
        <f t="shared" si="104"/>
        <v>0</v>
      </c>
      <c r="ZG43" s="1">
        <f t="shared" si="104"/>
        <v>0</v>
      </c>
      <c r="ZH43" s="1">
        <f t="shared" si="104"/>
        <v>0</v>
      </c>
      <c r="ZI43" s="1">
        <f t="shared" si="104"/>
        <v>0</v>
      </c>
      <c r="ZJ43" s="1">
        <f t="shared" si="104"/>
        <v>0</v>
      </c>
      <c r="ZK43" s="1">
        <f t="shared" si="104"/>
        <v>0</v>
      </c>
      <c r="ZL43" s="1">
        <f t="shared" si="104"/>
        <v>0</v>
      </c>
      <c r="ZM43" s="1">
        <f t="shared" si="104"/>
        <v>0</v>
      </c>
      <c r="ZN43" s="1">
        <f t="shared" si="104"/>
        <v>0</v>
      </c>
      <c r="ZO43" s="1">
        <f t="shared" si="104"/>
        <v>0</v>
      </c>
      <c r="ZP43" s="1">
        <f t="shared" si="104"/>
        <v>0</v>
      </c>
      <c r="ZQ43" s="1">
        <f t="shared" si="104"/>
        <v>0</v>
      </c>
      <c r="ZR43" s="1">
        <f t="shared" ref="ZR43:ACC43" si="105">ZR27</f>
        <v>0</v>
      </c>
      <c r="ZS43" s="1">
        <f t="shared" si="105"/>
        <v>0</v>
      </c>
      <c r="ZT43" s="1">
        <f t="shared" si="105"/>
        <v>0</v>
      </c>
      <c r="ZU43" s="1">
        <f t="shared" si="105"/>
        <v>0</v>
      </c>
      <c r="ZV43" s="1">
        <f t="shared" si="105"/>
        <v>0</v>
      </c>
      <c r="ZW43" s="1">
        <f t="shared" si="105"/>
        <v>0</v>
      </c>
      <c r="ZX43" s="1">
        <f t="shared" si="105"/>
        <v>0</v>
      </c>
      <c r="ZY43" s="1">
        <f t="shared" si="105"/>
        <v>0</v>
      </c>
      <c r="ZZ43" s="1">
        <f t="shared" si="105"/>
        <v>0</v>
      </c>
      <c r="AAA43" s="1">
        <f t="shared" si="105"/>
        <v>0</v>
      </c>
      <c r="AAB43" s="1">
        <f t="shared" si="105"/>
        <v>0</v>
      </c>
      <c r="AAC43" s="1">
        <f t="shared" si="105"/>
        <v>0</v>
      </c>
      <c r="AAD43" s="1">
        <f t="shared" si="105"/>
        <v>0</v>
      </c>
      <c r="AAE43" s="1">
        <f t="shared" si="105"/>
        <v>0</v>
      </c>
      <c r="AAF43" s="1">
        <f t="shared" si="105"/>
        <v>0</v>
      </c>
      <c r="AAG43" s="1">
        <f t="shared" si="105"/>
        <v>0</v>
      </c>
      <c r="AAH43" s="1">
        <f t="shared" si="105"/>
        <v>0</v>
      </c>
      <c r="AAI43" s="1">
        <f t="shared" si="105"/>
        <v>0</v>
      </c>
      <c r="AAJ43" s="1">
        <f t="shared" si="105"/>
        <v>0</v>
      </c>
      <c r="AAK43" s="1">
        <f t="shared" si="105"/>
        <v>0</v>
      </c>
      <c r="AAL43" s="1">
        <f t="shared" si="105"/>
        <v>0</v>
      </c>
      <c r="AAM43" s="1">
        <f t="shared" si="105"/>
        <v>0</v>
      </c>
      <c r="AAN43" s="1">
        <f t="shared" si="105"/>
        <v>0</v>
      </c>
      <c r="AAO43" s="1">
        <f t="shared" si="105"/>
        <v>0</v>
      </c>
      <c r="AAP43" s="1">
        <f t="shared" si="105"/>
        <v>0</v>
      </c>
      <c r="AAQ43" s="1">
        <f t="shared" si="105"/>
        <v>0</v>
      </c>
      <c r="AAR43" s="1">
        <f t="shared" si="105"/>
        <v>0</v>
      </c>
      <c r="AAS43" s="1">
        <f t="shared" si="105"/>
        <v>0</v>
      </c>
      <c r="AAT43" s="1">
        <f t="shared" si="105"/>
        <v>0</v>
      </c>
      <c r="AAU43" s="1">
        <f t="shared" si="105"/>
        <v>0</v>
      </c>
      <c r="AAV43" s="1">
        <f t="shared" si="105"/>
        <v>0</v>
      </c>
      <c r="AAW43" s="1">
        <f t="shared" si="105"/>
        <v>0</v>
      </c>
      <c r="AAX43" s="1">
        <f t="shared" si="105"/>
        <v>0</v>
      </c>
      <c r="AAY43" s="1">
        <f t="shared" si="105"/>
        <v>0</v>
      </c>
      <c r="AAZ43" s="1">
        <f t="shared" si="105"/>
        <v>0</v>
      </c>
      <c r="ABA43" s="1">
        <f t="shared" si="105"/>
        <v>0</v>
      </c>
      <c r="ABB43" s="1">
        <f t="shared" si="105"/>
        <v>0</v>
      </c>
      <c r="ABC43" s="1">
        <f t="shared" si="105"/>
        <v>0</v>
      </c>
      <c r="ABD43" s="1">
        <f t="shared" si="105"/>
        <v>0</v>
      </c>
      <c r="ABE43" s="1">
        <f t="shared" si="105"/>
        <v>0</v>
      </c>
      <c r="ABF43" s="1">
        <f t="shared" si="105"/>
        <v>0</v>
      </c>
      <c r="ABG43" s="1">
        <f t="shared" si="105"/>
        <v>0</v>
      </c>
      <c r="ABH43" s="1">
        <f t="shared" si="105"/>
        <v>0</v>
      </c>
      <c r="ABI43" s="1">
        <f t="shared" si="105"/>
        <v>0</v>
      </c>
      <c r="ABJ43" s="1">
        <f t="shared" si="105"/>
        <v>0</v>
      </c>
      <c r="ABK43" s="1">
        <f t="shared" si="105"/>
        <v>0</v>
      </c>
      <c r="ABL43" s="1">
        <f t="shared" si="105"/>
        <v>0</v>
      </c>
      <c r="ABM43" s="1">
        <f t="shared" si="105"/>
        <v>0</v>
      </c>
      <c r="ABN43" s="1">
        <f t="shared" si="105"/>
        <v>0</v>
      </c>
      <c r="ABO43" s="1">
        <f t="shared" si="105"/>
        <v>0</v>
      </c>
      <c r="ABP43" s="1">
        <f t="shared" si="105"/>
        <v>0</v>
      </c>
      <c r="ABQ43" s="1">
        <f t="shared" si="105"/>
        <v>0</v>
      </c>
      <c r="ABR43" s="1">
        <f t="shared" si="105"/>
        <v>0</v>
      </c>
      <c r="ABS43" s="1">
        <f t="shared" si="105"/>
        <v>0</v>
      </c>
      <c r="ABT43" s="1">
        <f t="shared" si="105"/>
        <v>0</v>
      </c>
      <c r="ABU43" s="1">
        <f t="shared" si="105"/>
        <v>0</v>
      </c>
      <c r="ABV43" s="1">
        <f t="shared" si="105"/>
        <v>0</v>
      </c>
      <c r="ABW43" s="1">
        <f t="shared" si="105"/>
        <v>0</v>
      </c>
      <c r="ABX43" s="1">
        <f t="shared" si="105"/>
        <v>0</v>
      </c>
      <c r="ABY43" s="1">
        <f t="shared" si="105"/>
        <v>0</v>
      </c>
      <c r="ABZ43" s="1">
        <f t="shared" si="105"/>
        <v>0</v>
      </c>
      <c r="ACA43" s="1">
        <f t="shared" si="105"/>
        <v>0</v>
      </c>
      <c r="ACB43" s="1">
        <f t="shared" si="105"/>
        <v>0</v>
      </c>
      <c r="ACC43" s="1">
        <f t="shared" si="105"/>
        <v>0</v>
      </c>
      <c r="ACD43" s="1">
        <f t="shared" ref="ACD43:AEO43" si="106">ACD27</f>
        <v>0</v>
      </c>
      <c r="ACE43" s="1">
        <f t="shared" si="106"/>
        <v>0</v>
      </c>
      <c r="ACF43" s="1">
        <f t="shared" si="106"/>
        <v>0</v>
      </c>
      <c r="ACG43" s="1">
        <f t="shared" si="106"/>
        <v>0</v>
      </c>
      <c r="ACH43" s="1">
        <f t="shared" si="106"/>
        <v>0</v>
      </c>
      <c r="ACI43" s="1">
        <f t="shared" si="106"/>
        <v>0</v>
      </c>
      <c r="ACJ43" s="1">
        <f t="shared" si="106"/>
        <v>0</v>
      </c>
      <c r="ACK43" s="1">
        <f t="shared" si="106"/>
        <v>0</v>
      </c>
      <c r="ACL43" s="1">
        <f t="shared" si="106"/>
        <v>0</v>
      </c>
      <c r="ACM43" s="1">
        <f t="shared" si="106"/>
        <v>0</v>
      </c>
      <c r="ACN43" s="1">
        <f t="shared" si="106"/>
        <v>0</v>
      </c>
      <c r="ACO43" s="1">
        <f t="shared" si="106"/>
        <v>0</v>
      </c>
      <c r="ACP43" s="1">
        <f t="shared" si="106"/>
        <v>0</v>
      </c>
      <c r="ACQ43" s="1">
        <f t="shared" si="106"/>
        <v>0</v>
      </c>
      <c r="ACR43" s="1">
        <f t="shared" si="106"/>
        <v>0</v>
      </c>
      <c r="ACS43" s="1">
        <f t="shared" si="106"/>
        <v>0</v>
      </c>
      <c r="ACT43" s="1">
        <f t="shared" si="106"/>
        <v>0</v>
      </c>
      <c r="ACU43" s="1">
        <f t="shared" si="106"/>
        <v>0</v>
      </c>
      <c r="ACV43" s="1">
        <f t="shared" si="106"/>
        <v>0</v>
      </c>
      <c r="ACW43" s="1">
        <f t="shared" si="106"/>
        <v>0</v>
      </c>
      <c r="ACX43" s="1">
        <f t="shared" si="106"/>
        <v>0</v>
      </c>
      <c r="ACY43" s="1">
        <f t="shared" si="106"/>
        <v>0</v>
      </c>
      <c r="ACZ43" s="1">
        <f t="shared" si="106"/>
        <v>0</v>
      </c>
      <c r="ADA43" s="1">
        <f t="shared" si="106"/>
        <v>0</v>
      </c>
      <c r="ADB43" s="1">
        <f t="shared" si="106"/>
        <v>0</v>
      </c>
      <c r="ADC43" s="1">
        <f t="shared" si="106"/>
        <v>0</v>
      </c>
      <c r="ADD43" s="1">
        <f t="shared" si="106"/>
        <v>0</v>
      </c>
      <c r="ADE43" s="1">
        <f t="shared" si="106"/>
        <v>0</v>
      </c>
      <c r="ADF43" s="1">
        <f t="shared" si="106"/>
        <v>0</v>
      </c>
      <c r="ADG43" s="1">
        <f t="shared" si="106"/>
        <v>0</v>
      </c>
      <c r="ADH43" s="1">
        <f t="shared" si="106"/>
        <v>0</v>
      </c>
      <c r="ADI43" s="1">
        <f t="shared" si="106"/>
        <v>0</v>
      </c>
      <c r="ADJ43" s="1">
        <f t="shared" si="106"/>
        <v>0</v>
      </c>
      <c r="ADK43" s="1">
        <f t="shared" si="106"/>
        <v>0</v>
      </c>
      <c r="ADL43" s="1">
        <f t="shared" si="106"/>
        <v>0</v>
      </c>
      <c r="ADM43" s="1">
        <f t="shared" si="106"/>
        <v>0</v>
      </c>
      <c r="ADN43" s="1">
        <f t="shared" si="106"/>
        <v>0</v>
      </c>
      <c r="ADO43" s="1">
        <f t="shared" si="106"/>
        <v>0</v>
      </c>
      <c r="ADP43" s="1">
        <f t="shared" si="106"/>
        <v>0</v>
      </c>
      <c r="ADQ43" s="1">
        <f t="shared" si="106"/>
        <v>0</v>
      </c>
      <c r="ADR43" s="1">
        <f t="shared" si="106"/>
        <v>0</v>
      </c>
      <c r="ADS43" s="1">
        <f t="shared" si="106"/>
        <v>0</v>
      </c>
      <c r="ADT43" s="1">
        <f t="shared" si="106"/>
        <v>0</v>
      </c>
      <c r="ADU43" s="1">
        <f t="shared" si="106"/>
        <v>0</v>
      </c>
      <c r="ADV43" s="1">
        <f t="shared" si="106"/>
        <v>0</v>
      </c>
      <c r="ADW43" s="1">
        <f t="shared" si="106"/>
        <v>0</v>
      </c>
      <c r="ADX43" s="1">
        <f t="shared" si="106"/>
        <v>0</v>
      </c>
      <c r="ADY43" s="1">
        <f t="shared" si="106"/>
        <v>0</v>
      </c>
      <c r="ADZ43" s="1">
        <f t="shared" si="106"/>
        <v>0</v>
      </c>
      <c r="AEA43" s="1">
        <f t="shared" si="106"/>
        <v>0</v>
      </c>
      <c r="AEB43" s="1">
        <f t="shared" si="106"/>
        <v>0</v>
      </c>
      <c r="AEC43" s="1">
        <f t="shared" si="106"/>
        <v>0</v>
      </c>
      <c r="AED43" s="1">
        <f t="shared" si="106"/>
        <v>0</v>
      </c>
      <c r="AEE43" s="1">
        <f t="shared" si="106"/>
        <v>0</v>
      </c>
      <c r="AEF43" s="1">
        <f t="shared" si="106"/>
        <v>0</v>
      </c>
      <c r="AEG43" s="1">
        <f t="shared" si="106"/>
        <v>0</v>
      </c>
      <c r="AEH43" s="1">
        <f t="shared" si="106"/>
        <v>0</v>
      </c>
      <c r="AEI43" s="1">
        <f t="shared" si="106"/>
        <v>0</v>
      </c>
      <c r="AEJ43" s="1">
        <f t="shared" si="106"/>
        <v>0</v>
      </c>
      <c r="AEK43" s="1">
        <f t="shared" si="106"/>
        <v>0</v>
      </c>
      <c r="AEL43" s="1">
        <f t="shared" si="106"/>
        <v>0</v>
      </c>
      <c r="AEM43" s="1">
        <f t="shared" si="106"/>
        <v>0</v>
      </c>
      <c r="AEN43" s="1">
        <f t="shared" si="106"/>
        <v>0</v>
      </c>
      <c r="AEO43" s="1">
        <f t="shared" si="106"/>
        <v>0</v>
      </c>
      <c r="AEP43" s="1">
        <f t="shared" ref="AEP43:AHA43" si="107">AEP27</f>
        <v>0</v>
      </c>
      <c r="AEQ43" s="1">
        <f t="shared" si="107"/>
        <v>0</v>
      </c>
      <c r="AER43" s="1">
        <f t="shared" si="107"/>
        <v>0</v>
      </c>
      <c r="AES43" s="1">
        <f t="shared" si="107"/>
        <v>0</v>
      </c>
      <c r="AET43" s="1">
        <f t="shared" si="107"/>
        <v>0</v>
      </c>
      <c r="AEU43" s="1">
        <f t="shared" si="107"/>
        <v>0</v>
      </c>
      <c r="AEV43" s="1">
        <f t="shared" si="107"/>
        <v>0</v>
      </c>
      <c r="AEW43" s="1">
        <f t="shared" si="107"/>
        <v>0</v>
      </c>
      <c r="AEX43" s="1">
        <f t="shared" si="107"/>
        <v>0</v>
      </c>
      <c r="AEY43" s="1">
        <f t="shared" si="107"/>
        <v>0</v>
      </c>
      <c r="AEZ43" s="1">
        <f t="shared" si="107"/>
        <v>0</v>
      </c>
      <c r="AFA43" s="1">
        <f t="shared" si="107"/>
        <v>0</v>
      </c>
      <c r="AFB43" s="1">
        <f t="shared" si="107"/>
        <v>0</v>
      </c>
      <c r="AFC43" s="1">
        <f t="shared" si="107"/>
        <v>0</v>
      </c>
      <c r="AFD43" s="1">
        <f t="shared" si="107"/>
        <v>0</v>
      </c>
      <c r="AFE43" s="1">
        <f t="shared" si="107"/>
        <v>0</v>
      </c>
      <c r="AFF43" s="1">
        <f t="shared" si="107"/>
        <v>0</v>
      </c>
      <c r="AFG43" s="1">
        <f t="shared" si="107"/>
        <v>0</v>
      </c>
      <c r="AFH43" s="1">
        <f t="shared" si="107"/>
        <v>0</v>
      </c>
      <c r="AFI43" s="1">
        <f t="shared" si="107"/>
        <v>0</v>
      </c>
      <c r="AFJ43" s="1">
        <f t="shared" si="107"/>
        <v>0</v>
      </c>
      <c r="AFK43" s="1">
        <f t="shared" si="107"/>
        <v>0</v>
      </c>
      <c r="AFL43" s="1">
        <f t="shared" si="107"/>
        <v>0</v>
      </c>
      <c r="AFM43" s="1">
        <f t="shared" si="107"/>
        <v>0</v>
      </c>
      <c r="AFN43" s="1">
        <f t="shared" si="107"/>
        <v>0</v>
      </c>
      <c r="AFO43" s="1">
        <f t="shared" si="107"/>
        <v>0</v>
      </c>
      <c r="AFP43" s="1">
        <f t="shared" si="107"/>
        <v>0</v>
      </c>
      <c r="AFQ43" s="1">
        <f t="shared" si="107"/>
        <v>0</v>
      </c>
      <c r="AFR43" s="1">
        <f t="shared" si="107"/>
        <v>0</v>
      </c>
      <c r="AFS43" s="1">
        <f t="shared" si="107"/>
        <v>0</v>
      </c>
      <c r="AFT43" s="1">
        <f t="shared" si="107"/>
        <v>0</v>
      </c>
      <c r="AFU43" s="1">
        <f t="shared" si="107"/>
        <v>0</v>
      </c>
      <c r="AFV43" s="1">
        <f t="shared" si="107"/>
        <v>0</v>
      </c>
      <c r="AFW43" s="1">
        <f t="shared" si="107"/>
        <v>0</v>
      </c>
      <c r="AFX43" s="1">
        <f t="shared" si="107"/>
        <v>0</v>
      </c>
      <c r="AFY43" s="1">
        <f t="shared" si="107"/>
        <v>0</v>
      </c>
      <c r="AFZ43" s="1">
        <f t="shared" si="107"/>
        <v>0</v>
      </c>
      <c r="AGA43" s="1">
        <f t="shared" si="107"/>
        <v>0</v>
      </c>
      <c r="AGB43" s="1">
        <f t="shared" si="107"/>
        <v>0</v>
      </c>
      <c r="AGC43" s="1">
        <f t="shared" si="107"/>
        <v>0</v>
      </c>
      <c r="AGD43" s="1">
        <f t="shared" si="107"/>
        <v>0</v>
      </c>
      <c r="AGE43" s="1">
        <f t="shared" si="107"/>
        <v>0</v>
      </c>
      <c r="AGF43" s="1">
        <f t="shared" si="107"/>
        <v>0</v>
      </c>
      <c r="AGG43" s="1">
        <f t="shared" si="107"/>
        <v>0</v>
      </c>
      <c r="AGH43" s="1">
        <f t="shared" si="107"/>
        <v>0</v>
      </c>
      <c r="AGI43" s="1">
        <f t="shared" si="107"/>
        <v>0</v>
      </c>
      <c r="AGJ43" s="1">
        <f t="shared" si="107"/>
        <v>0</v>
      </c>
      <c r="AGK43" s="1">
        <f t="shared" si="107"/>
        <v>0</v>
      </c>
      <c r="AGL43" s="1">
        <f t="shared" si="107"/>
        <v>0</v>
      </c>
      <c r="AGM43" s="1">
        <f t="shared" si="107"/>
        <v>0</v>
      </c>
      <c r="AGN43" s="1">
        <f t="shared" si="107"/>
        <v>0</v>
      </c>
      <c r="AGO43" s="1">
        <f t="shared" si="107"/>
        <v>0</v>
      </c>
      <c r="AGP43" s="1">
        <f t="shared" si="107"/>
        <v>0</v>
      </c>
      <c r="AGQ43" s="1">
        <f t="shared" si="107"/>
        <v>0</v>
      </c>
      <c r="AGR43" s="1">
        <f t="shared" si="107"/>
        <v>0</v>
      </c>
      <c r="AGS43" s="1">
        <f t="shared" si="107"/>
        <v>0</v>
      </c>
      <c r="AGT43" s="1">
        <f t="shared" si="107"/>
        <v>0</v>
      </c>
      <c r="AGU43" s="1">
        <f t="shared" si="107"/>
        <v>0</v>
      </c>
      <c r="AGV43" s="1">
        <f t="shared" si="107"/>
        <v>0</v>
      </c>
      <c r="AGW43" s="1">
        <f t="shared" si="107"/>
        <v>0</v>
      </c>
      <c r="AGX43" s="1">
        <f t="shared" si="107"/>
        <v>0</v>
      </c>
      <c r="AGY43" s="1">
        <f t="shared" si="107"/>
        <v>0</v>
      </c>
      <c r="AGZ43" s="1">
        <f t="shared" si="107"/>
        <v>0</v>
      </c>
      <c r="AHA43" s="1">
        <f t="shared" si="107"/>
        <v>0</v>
      </c>
      <c r="AHB43" s="1">
        <f t="shared" ref="AHB43:AJM43" si="108">AHB27</f>
        <v>0</v>
      </c>
      <c r="AHC43" s="1">
        <f t="shared" si="108"/>
        <v>0</v>
      </c>
      <c r="AHD43" s="1">
        <f t="shared" si="108"/>
        <v>0</v>
      </c>
      <c r="AHE43" s="1">
        <f t="shared" si="108"/>
        <v>0</v>
      </c>
      <c r="AHF43" s="1">
        <f t="shared" si="108"/>
        <v>0</v>
      </c>
      <c r="AHG43" s="1">
        <f t="shared" si="108"/>
        <v>0</v>
      </c>
      <c r="AHH43" s="1">
        <f t="shared" si="108"/>
        <v>0</v>
      </c>
      <c r="AHI43" s="1">
        <f t="shared" si="108"/>
        <v>0</v>
      </c>
      <c r="AHJ43" s="1">
        <f t="shared" si="108"/>
        <v>0</v>
      </c>
      <c r="AHK43" s="1">
        <f t="shared" si="108"/>
        <v>0</v>
      </c>
      <c r="AHL43" s="1">
        <f t="shared" si="108"/>
        <v>0</v>
      </c>
      <c r="AHM43" s="1">
        <f t="shared" si="108"/>
        <v>0</v>
      </c>
      <c r="AHN43" s="1">
        <f t="shared" si="108"/>
        <v>0</v>
      </c>
      <c r="AHO43" s="1">
        <f t="shared" si="108"/>
        <v>0</v>
      </c>
      <c r="AHP43" s="1">
        <f t="shared" si="108"/>
        <v>0</v>
      </c>
      <c r="AHQ43" s="1">
        <f t="shared" si="108"/>
        <v>0</v>
      </c>
      <c r="AHR43" s="1">
        <f t="shared" si="108"/>
        <v>0</v>
      </c>
      <c r="AHS43" s="1">
        <f t="shared" si="108"/>
        <v>0</v>
      </c>
      <c r="AHT43" s="1">
        <f t="shared" si="108"/>
        <v>0</v>
      </c>
      <c r="AHU43" s="1">
        <f t="shared" si="108"/>
        <v>0</v>
      </c>
      <c r="AHV43" s="1">
        <f t="shared" si="108"/>
        <v>0</v>
      </c>
      <c r="AHW43" s="1">
        <f t="shared" si="108"/>
        <v>0</v>
      </c>
      <c r="AHX43" s="1">
        <f t="shared" si="108"/>
        <v>0</v>
      </c>
      <c r="AHY43" s="1">
        <f t="shared" si="108"/>
        <v>0</v>
      </c>
      <c r="AHZ43" s="1">
        <f t="shared" si="108"/>
        <v>0</v>
      </c>
      <c r="AIA43" s="1">
        <f t="shared" si="108"/>
        <v>0</v>
      </c>
      <c r="AIB43" s="1">
        <f t="shared" si="108"/>
        <v>0</v>
      </c>
      <c r="AIC43" s="1">
        <f t="shared" si="108"/>
        <v>0</v>
      </c>
      <c r="AID43" s="1">
        <f t="shared" si="108"/>
        <v>0</v>
      </c>
      <c r="AIE43" s="1">
        <f t="shared" si="108"/>
        <v>0</v>
      </c>
      <c r="AIF43" s="1">
        <f t="shared" si="108"/>
        <v>0</v>
      </c>
      <c r="AIG43" s="1">
        <f t="shared" si="108"/>
        <v>0</v>
      </c>
      <c r="AIH43" s="1">
        <f t="shared" si="108"/>
        <v>0</v>
      </c>
      <c r="AII43" s="1">
        <f t="shared" si="108"/>
        <v>0</v>
      </c>
      <c r="AIJ43" s="1">
        <f t="shared" si="108"/>
        <v>0</v>
      </c>
      <c r="AIK43" s="1">
        <f t="shared" si="108"/>
        <v>0</v>
      </c>
      <c r="AIL43" s="1">
        <f t="shared" si="108"/>
        <v>0</v>
      </c>
      <c r="AIM43" s="1">
        <f t="shared" si="108"/>
        <v>0</v>
      </c>
      <c r="AIN43" s="1">
        <f t="shared" si="108"/>
        <v>0</v>
      </c>
      <c r="AIO43" s="1">
        <f t="shared" si="108"/>
        <v>0</v>
      </c>
      <c r="AIP43" s="1">
        <f t="shared" si="108"/>
        <v>0</v>
      </c>
      <c r="AIQ43" s="1">
        <f t="shared" si="108"/>
        <v>0</v>
      </c>
      <c r="AIR43" s="1">
        <f t="shared" si="108"/>
        <v>0</v>
      </c>
      <c r="AIS43" s="1">
        <f t="shared" si="108"/>
        <v>0</v>
      </c>
      <c r="AIT43" s="1">
        <f t="shared" si="108"/>
        <v>0</v>
      </c>
      <c r="AIU43" s="1">
        <f t="shared" si="108"/>
        <v>0</v>
      </c>
      <c r="AIV43" s="1">
        <f t="shared" si="108"/>
        <v>0</v>
      </c>
      <c r="AIW43" s="1">
        <f t="shared" si="108"/>
        <v>0</v>
      </c>
      <c r="AIX43" s="1">
        <f t="shared" si="108"/>
        <v>0</v>
      </c>
      <c r="AIY43" s="1">
        <f t="shared" si="108"/>
        <v>0</v>
      </c>
      <c r="AIZ43" s="1">
        <f t="shared" si="108"/>
        <v>0</v>
      </c>
      <c r="AJA43" s="1">
        <f t="shared" si="108"/>
        <v>0</v>
      </c>
      <c r="AJB43" s="1">
        <f t="shared" si="108"/>
        <v>0</v>
      </c>
      <c r="AJC43" s="1">
        <f t="shared" si="108"/>
        <v>0</v>
      </c>
      <c r="AJD43" s="1">
        <f t="shared" si="108"/>
        <v>0</v>
      </c>
      <c r="AJE43" s="1">
        <f t="shared" si="108"/>
        <v>0</v>
      </c>
      <c r="AJF43" s="1">
        <f t="shared" si="108"/>
        <v>0</v>
      </c>
      <c r="AJG43" s="1">
        <f t="shared" si="108"/>
        <v>0</v>
      </c>
      <c r="AJH43" s="1">
        <f t="shared" si="108"/>
        <v>0</v>
      </c>
      <c r="AJI43" s="1">
        <f t="shared" si="108"/>
        <v>0</v>
      </c>
      <c r="AJJ43" s="1">
        <f t="shared" si="108"/>
        <v>0</v>
      </c>
      <c r="AJK43" s="1">
        <f t="shared" si="108"/>
        <v>0</v>
      </c>
      <c r="AJL43" s="1">
        <f t="shared" si="108"/>
        <v>0</v>
      </c>
      <c r="AJM43" s="1">
        <f t="shared" si="108"/>
        <v>0</v>
      </c>
      <c r="AJN43" s="1">
        <f t="shared" ref="AJN43:ALM43" si="109">AJN27</f>
        <v>0</v>
      </c>
      <c r="AJO43" s="1">
        <f t="shared" si="109"/>
        <v>0</v>
      </c>
      <c r="AJP43" s="1">
        <f t="shared" si="109"/>
        <v>0</v>
      </c>
      <c r="AJQ43" s="1">
        <f t="shared" si="109"/>
        <v>0</v>
      </c>
      <c r="AJR43" s="1">
        <f t="shared" si="109"/>
        <v>0</v>
      </c>
      <c r="AJS43" s="1">
        <f t="shared" si="109"/>
        <v>0</v>
      </c>
      <c r="AJT43" s="1">
        <f t="shared" si="109"/>
        <v>0</v>
      </c>
      <c r="AJU43" s="1">
        <f t="shared" si="109"/>
        <v>0</v>
      </c>
      <c r="AJV43" s="1">
        <f t="shared" si="109"/>
        <v>0</v>
      </c>
      <c r="AJW43" s="1">
        <f t="shared" si="109"/>
        <v>0</v>
      </c>
      <c r="AJX43" s="1">
        <f t="shared" si="109"/>
        <v>0</v>
      </c>
      <c r="AJY43" s="1">
        <f t="shared" si="109"/>
        <v>0</v>
      </c>
      <c r="AJZ43" s="1">
        <f t="shared" si="109"/>
        <v>0</v>
      </c>
      <c r="AKA43" s="1">
        <f t="shared" si="109"/>
        <v>0</v>
      </c>
      <c r="AKB43" s="1">
        <f t="shared" si="109"/>
        <v>0</v>
      </c>
      <c r="AKC43" s="1">
        <f t="shared" si="109"/>
        <v>0</v>
      </c>
      <c r="AKD43" s="1">
        <f t="shared" si="109"/>
        <v>0</v>
      </c>
      <c r="AKE43" s="1">
        <f t="shared" si="109"/>
        <v>0</v>
      </c>
      <c r="AKF43" s="1">
        <f t="shared" si="109"/>
        <v>0</v>
      </c>
      <c r="AKG43" s="1">
        <f t="shared" si="109"/>
        <v>0</v>
      </c>
      <c r="AKH43" s="1">
        <f t="shared" si="109"/>
        <v>0</v>
      </c>
      <c r="AKI43" s="1">
        <f t="shared" si="109"/>
        <v>0</v>
      </c>
      <c r="AKJ43" s="1">
        <f t="shared" si="109"/>
        <v>0</v>
      </c>
      <c r="AKK43" s="1">
        <f t="shared" si="109"/>
        <v>0</v>
      </c>
      <c r="AKL43" s="1">
        <f t="shared" si="109"/>
        <v>0</v>
      </c>
      <c r="AKM43" s="1">
        <f t="shared" si="109"/>
        <v>0</v>
      </c>
      <c r="AKN43" s="1">
        <f t="shared" si="109"/>
        <v>0</v>
      </c>
      <c r="AKO43" s="1">
        <f t="shared" si="109"/>
        <v>0</v>
      </c>
      <c r="AKP43" s="1">
        <f t="shared" si="109"/>
        <v>0</v>
      </c>
      <c r="AKQ43" s="1">
        <f t="shared" si="109"/>
        <v>0</v>
      </c>
      <c r="AKR43" s="1">
        <f t="shared" si="109"/>
        <v>0</v>
      </c>
      <c r="AKS43" s="1">
        <f t="shared" si="109"/>
        <v>0</v>
      </c>
      <c r="AKT43" s="1">
        <f t="shared" si="109"/>
        <v>0</v>
      </c>
      <c r="AKU43" s="1">
        <f t="shared" si="109"/>
        <v>0</v>
      </c>
      <c r="AKV43" s="1">
        <f t="shared" si="109"/>
        <v>0</v>
      </c>
      <c r="AKW43" s="1">
        <f t="shared" si="109"/>
        <v>0</v>
      </c>
      <c r="AKX43" s="1">
        <f t="shared" si="109"/>
        <v>0</v>
      </c>
      <c r="AKY43" s="1">
        <f t="shared" si="109"/>
        <v>0</v>
      </c>
      <c r="AKZ43" s="1">
        <f t="shared" si="109"/>
        <v>0</v>
      </c>
      <c r="ALA43" s="1">
        <f t="shared" si="109"/>
        <v>0</v>
      </c>
      <c r="ALB43" s="1">
        <f t="shared" si="109"/>
        <v>0</v>
      </c>
      <c r="ALC43" s="1">
        <f t="shared" si="109"/>
        <v>0</v>
      </c>
      <c r="ALD43" s="1">
        <f t="shared" si="109"/>
        <v>0</v>
      </c>
      <c r="ALE43" s="1">
        <f t="shared" si="109"/>
        <v>0</v>
      </c>
      <c r="ALF43" s="1">
        <f t="shared" si="109"/>
        <v>0</v>
      </c>
      <c r="ALG43" s="1">
        <f t="shared" si="109"/>
        <v>0</v>
      </c>
      <c r="ALH43" s="1">
        <f t="shared" si="109"/>
        <v>0</v>
      </c>
      <c r="ALI43" s="1">
        <f t="shared" si="109"/>
        <v>0</v>
      </c>
      <c r="ALJ43" s="1">
        <f t="shared" si="109"/>
        <v>0</v>
      </c>
      <c r="ALK43" s="1">
        <f t="shared" si="109"/>
        <v>0</v>
      </c>
      <c r="ALL43" s="1">
        <f t="shared" si="109"/>
        <v>0</v>
      </c>
      <c r="ALM43" s="1">
        <f t="shared" si="109"/>
        <v>0</v>
      </c>
    </row>
    <row r="44" spans="1:1001">
      <c r="A44" s="27"/>
      <c r="B44">
        <f>B28-B9</f>
        <v>0</v>
      </c>
      <c r="C44">
        <f t="shared" ref="C44:BN44" si="110">C28-C9</f>
        <v>0</v>
      </c>
      <c r="D44">
        <f t="shared" si="110"/>
        <v>0</v>
      </c>
      <c r="E44">
        <f t="shared" si="110"/>
        <v>0</v>
      </c>
      <c r="F44">
        <f t="shared" si="110"/>
        <v>0</v>
      </c>
      <c r="G44">
        <f t="shared" si="110"/>
        <v>0</v>
      </c>
      <c r="H44">
        <f t="shared" si="110"/>
        <v>0</v>
      </c>
      <c r="I44">
        <f t="shared" si="110"/>
        <v>0</v>
      </c>
      <c r="J44">
        <f t="shared" si="110"/>
        <v>0</v>
      </c>
      <c r="K44">
        <f t="shared" si="110"/>
        <v>0</v>
      </c>
      <c r="L44">
        <f t="shared" si="110"/>
        <v>0</v>
      </c>
      <c r="M44">
        <f t="shared" si="110"/>
        <v>0</v>
      </c>
      <c r="N44">
        <f t="shared" si="110"/>
        <v>0</v>
      </c>
      <c r="O44">
        <f t="shared" si="110"/>
        <v>0</v>
      </c>
      <c r="P44">
        <f t="shared" si="110"/>
        <v>0</v>
      </c>
      <c r="Q44">
        <f t="shared" si="110"/>
        <v>0</v>
      </c>
      <c r="R44">
        <f t="shared" si="110"/>
        <v>0</v>
      </c>
      <c r="S44">
        <f t="shared" si="110"/>
        <v>0</v>
      </c>
      <c r="T44">
        <f t="shared" si="110"/>
        <v>0</v>
      </c>
      <c r="U44">
        <f t="shared" si="110"/>
        <v>0</v>
      </c>
      <c r="V44">
        <f t="shared" si="110"/>
        <v>0</v>
      </c>
      <c r="W44">
        <f t="shared" si="110"/>
        <v>0</v>
      </c>
      <c r="X44">
        <f t="shared" si="110"/>
        <v>0</v>
      </c>
      <c r="Y44">
        <f t="shared" si="110"/>
        <v>0</v>
      </c>
      <c r="Z44">
        <f t="shared" si="110"/>
        <v>0</v>
      </c>
      <c r="AA44">
        <f t="shared" si="110"/>
        <v>0</v>
      </c>
      <c r="AB44">
        <f t="shared" si="110"/>
        <v>0</v>
      </c>
      <c r="AC44">
        <f t="shared" si="110"/>
        <v>0</v>
      </c>
      <c r="AD44">
        <f t="shared" si="110"/>
        <v>0</v>
      </c>
      <c r="AE44">
        <f t="shared" si="110"/>
        <v>0</v>
      </c>
      <c r="AF44">
        <f t="shared" si="110"/>
        <v>0</v>
      </c>
      <c r="AG44">
        <f t="shared" si="110"/>
        <v>0</v>
      </c>
      <c r="AH44">
        <f t="shared" si="110"/>
        <v>0</v>
      </c>
      <c r="AI44">
        <f t="shared" si="110"/>
        <v>0</v>
      </c>
      <c r="AJ44">
        <f t="shared" si="110"/>
        <v>0</v>
      </c>
      <c r="AK44">
        <f t="shared" si="110"/>
        <v>0</v>
      </c>
      <c r="AL44">
        <f t="shared" si="110"/>
        <v>0</v>
      </c>
      <c r="AM44">
        <f t="shared" si="110"/>
        <v>0</v>
      </c>
      <c r="AN44">
        <f t="shared" si="110"/>
        <v>0</v>
      </c>
      <c r="AO44">
        <f t="shared" si="110"/>
        <v>0</v>
      </c>
      <c r="AP44">
        <f t="shared" si="110"/>
        <v>0</v>
      </c>
      <c r="AQ44">
        <f t="shared" si="110"/>
        <v>0</v>
      </c>
      <c r="AR44">
        <f t="shared" si="110"/>
        <v>0</v>
      </c>
      <c r="AS44">
        <f t="shared" si="110"/>
        <v>0</v>
      </c>
      <c r="AT44">
        <f t="shared" si="110"/>
        <v>0</v>
      </c>
      <c r="AU44">
        <f t="shared" si="110"/>
        <v>0</v>
      </c>
      <c r="AV44">
        <f t="shared" si="110"/>
        <v>0</v>
      </c>
      <c r="AW44">
        <f t="shared" si="110"/>
        <v>0</v>
      </c>
      <c r="AX44">
        <f t="shared" si="110"/>
        <v>0</v>
      </c>
      <c r="AY44">
        <f t="shared" si="110"/>
        <v>0</v>
      </c>
      <c r="AZ44">
        <f t="shared" si="110"/>
        <v>0</v>
      </c>
      <c r="BA44">
        <f t="shared" si="110"/>
        <v>0</v>
      </c>
      <c r="BB44">
        <f t="shared" si="110"/>
        <v>0</v>
      </c>
      <c r="BC44">
        <f t="shared" si="110"/>
        <v>0</v>
      </c>
      <c r="BD44">
        <f t="shared" si="110"/>
        <v>0</v>
      </c>
      <c r="BE44">
        <f t="shared" si="110"/>
        <v>0</v>
      </c>
      <c r="BF44">
        <f t="shared" si="110"/>
        <v>0</v>
      </c>
      <c r="BG44">
        <f t="shared" si="110"/>
        <v>0</v>
      </c>
      <c r="BH44">
        <f t="shared" si="110"/>
        <v>0</v>
      </c>
      <c r="BI44">
        <f t="shared" si="110"/>
        <v>0</v>
      </c>
      <c r="BJ44">
        <f t="shared" si="110"/>
        <v>0</v>
      </c>
      <c r="BK44">
        <f t="shared" si="110"/>
        <v>0</v>
      </c>
      <c r="BL44">
        <f t="shared" si="110"/>
        <v>0</v>
      </c>
      <c r="BM44">
        <f t="shared" si="110"/>
        <v>0</v>
      </c>
      <c r="BN44">
        <f t="shared" si="110"/>
        <v>0</v>
      </c>
      <c r="BO44">
        <f t="shared" ref="BO44:DZ44" si="111">BO28-BO9</f>
        <v>0</v>
      </c>
      <c r="BP44">
        <f t="shared" si="111"/>
        <v>0</v>
      </c>
      <c r="BQ44">
        <f t="shared" si="111"/>
        <v>0</v>
      </c>
      <c r="BR44">
        <f t="shared" si="111"/>
        <v>0</v>
      </c>
      <c r="BS44">
        <f t="shared" si="111"/>
        <v>0</v>
      </c>
      <c r="BT44">
        <f t="shared" si="111"/>
        <v>0</v>
      </c>
      <c r="BU44">
        <f t="shared" si="111"/>
        <v>0</v>
      </c>
      <c r="BV44">
        <f t="shared" si="111"/>
        <v>0</v>
      </c>
      <c r="BW44">
        <f t="shared" si="111"/>
        <v>0</v>
      </c>
      <c r="BX44">
        <f t="shared" si="111"/>
        <v>0</v>
      </c>
      <c r="BY44">
        <f t="shared" si="111"/>
        <v>0</v>
      </c>
      <c r="BZ44">
        <f t="shared" si="111"/>
        <v>0</v>
      </c>
      <c r="CA44">
        <f t="shared" si="111"/>
        <v>0</v>
      </c>
      <c r="CB44">
        <f t="shared" si="111"/>
        <v>0</v>
      </c>
      <c r="CC44">
        <f t="shared" si="111"/>
        <v>0</v>
      </c>
      <c r="CD44">
        <f t="shared" si="111"/>
        <v>0</v>
      </c>
      <c r="CE44">
        <f t="shared" si="111"/>
        <v>0</v>
      </c>
      <c r="CF44">
        <f t="shared" si="111"/>
        <v>0</v>
      </c>
      <c r="CG44">
        <f t="shared" si="111"/>
        <v>0</v>
      </c>
      <c r="CH44">
        <f t="shared" si="111"/>
        <v>0</v>
      </c>
      <c r="CI44">
        <f t="shared" si="111"/>
        <v>0</v>
      </c>
      <c r="CJ44">
        <f t="shared" si="111"/>
        <v>0</v>
      </c>
      <c r="CK44">
        <f t="shared" si="111"/>
        <v>0</v>
      </c>
      <c r="CL44">
        <f t="shared" si="111"/>
        <v>0</v>
      </c>
      <c r="CM44">
        <f t="shared" si="111"/>
        <v>0</v>
      </c>
      <c r="CN44">
        <f t="shared" si="111"/>
        <v>0</v>
      </c>
      <c r="CO44">
        <f t="shared" si="111"/>
        <v>0</v>
      </c>
      <c r="CP44">
        <f t="shared" si="111"/>
        <v>0</v>
      </c>
      <c r="CQ44">
        <f t="shared" si="111"/>
        <v>0</v>
      </c>
      <c r="CR44">
        <f t="shared" si="111"/>
        <v>0</v>
      </c>
      <c r="CS44">
        <f t="shared" si="111"/>
        <v>0</v>
      </c>
      <c r="CT44">
        <f t="shared" si="111"/>
        <v>0</v>
      </c>
      <c r="CU44">
        <f t="shared" si="111"/>
        <v>0</v>
      </c>
      <c r="CV44">
        <f t="shared" si="111"/>
        <v>0</v>
      </c>
      <c r="CW44">
        <f t="shared" si="111"/>
        <v>0</v>
      </c>
      <c r="CX44">
        <f t="shared" si="111"/>
        <v>0</v>
      </c>
      <c r="CY44">
        <f t="shared" si="111"/>
        <v>0</v>
      </c>
      <c r="CZ44">
        <f t="shared" si="111"/>
        <v>0</v>
      </c>
      <c r="DA44">
        <f t="shared" si="111"/>
        <v>0</v>
      </c>
      <c r="DB44">
        <f t="shared" si="111"/>
        <v>0</v>
      </c>
      <c r="DC44">
        <f t="shared" si="111"/>
        <v>0</v>
      </c>
      <c r="DD44">
        <f t="shared" si="111"/>
        <v>0</v>
      </c>
      <c r="DE44">
        <f t="shared" si="111"/>
        <v>0</v>
      </c>
      <c r="DF44">
        <f t="shared" si="111"/>
        <v>0</v>
      </c>
      <c r="DG44">
        <f t="shared" si="111"/>
        <v>0</v>
      </c>
      <c r="DH44">
        <f t="shared" si="111"/>
        <v>0</v>
      </c>
      <c r="DI44">
        <f t="shared" si="111"/>
        <v>0</v>
      </c>
      <c r="DJ44">
        <f t="shared" si="111"/>
        <v>0</v>
      </c>
      <c r="DK44">
        <f t="shared" si="111"/>
        <v>0</v>
      </c>
      <c r="DL44">
        <f t="shared" si="111"/>
        <v>0</v>
      </c>
      <c r="DM44">
        <f t="shared" si="111"/>
        <v>0</v>
      </c>
      <c r="DN44">
        <f t="shared" si="111"/>
        <v>0</v>
      </c>
      <c r="DO44">
        <f t="shared" si="111"/>
        <v>0</v>
      </c>
      <c r="DP44">
        <f t="shared" si="111"/>
        <v>0</v>
      </c>
      <c r="DQ44">
        <f t="shared" si="111"/>
        <v>0</v>
      </c>
      <c r="DR44">
        <f t="shared" si="111"/>
        <v>0</v>
      </c>
      <c r="DS44">
        <f t="shared" si="111"/>
        <v>0</v>
      </c>
      <c r="DT44">
        <f t="shared" si="111"/>
        <v>0</v>
      </c>
      <c r="DU44">
        <f t="shared" si="111"/>
        <v>0</v>
      </c>
      <c r="DV44">
        <f t="shared" si="111"/>
        <v>0</v>
      </c>
      <c r="DW44">
        <f t="shared" si="111"/>
        <v>0</v>
      </c>
      <c r="DX44">
        <f t="shared" si="111"/>
        <v>0</v>
      </c>
      <c r="DY44">
        <f t="shared" si="111"/>
        <v>0</v>
      </c>
      <c r="DZ44">
        <f t="shared" si="111"/>
        <v>0</v>
      </c>
      <c r="EA44">
        <f t="shared" ref="EA44:GL44" si="112">EA28-EA9</f>
        <v>0</v>
      </c>
      <c r="EB44">
        <f t="shared" si="112"/>
        <v>0</v>
      </c>
      <c r="EC44">
        <f t="shared" si="112"/>
        <v>0</v>
      </c>
      <c r="ED44">
        <f t="shared" si="112"/>
        <v>0</v>
      </c>
      <c r="EE44">
        <f t="shared" si="112"/>
        <v>0</v>
      </c>
      <c r="EF44">
        <f t="shared" si="112"/>
        <v>0</v>
      </c>
      <c r="EG44">
        <f t="shared" si="112"/>
        <v>0</v>
      </c>
      <c r="EH44">
        <f t="shared" si="112"/>
        <v>0</v>
      </c>
      <c r="EI44">
        <f t="shared" si="112"/>
        <v>0</v>
      </c>
      <c r="EJ44">
        <f t="shared" si="112"/>
        <v>0</v>
      </c>
      <c r="EK44">
        <f t="shared" si="112"/>
        <v>0</v>
      </c>
      <c r="EL44">
        <f t="shared" si="112"/>
        <v>0</v>
      </c>
      <c r="EM44">
        <f t="shared" si="112"/>
        <v>0</v>
      </c>
      <c r="EN44">
        <f t="shared" si="112"/>
        <v>0</v>
      </c>
      <c r="EO44">
        <f t="shared" si="112"/>
        <v>0</v>
      </c>
      <c r="EP44">
        <f t="shared" si="112"/>
        <v>0</v>
      </c>
      <c r="EQ44">
        <f t="shared" si="112"/>
        <v>0</v>
      </c>
      <c r="ER44">
        <f t="shared" si="112"/>
        <v>0</v>
      </c>
      <c r="ES44">
        <f t="shared" si="112"/>
        <v>0</v>
      </c>
      <c r="ET44">
        <f t="shared" si="112"/>
        <v>0</v>
      </c>
      <c r="EU44">
        <f t="shared" si="112"/>
        <v>0</v>
      </c>
      <c r="EV44">
        <f t="shared" si="112"/>
        <v>0</v>
      </c>
      <c r="EW44">
        <f t="shared" si="112"/>
        <v>0</v>
      </c>
      <c r="EX44">
        <f t="shared" si="112"/>
        <v>0</v>
      </c>
      <c r="EY44">
        <f t="shared" si="112"/>
        <v>0</v>
      </c>
      <c r="EZ44">
        <f t="shared" si="112"/>
        <v>0</v>
      </c>
      <c r="FA44">
        <f t="shared" si="112"/>
        <v>0</v>
      </c>
      <c r="FB44">
        <f t="shared" si="112"/>
        <v>0</v>
      </c>
      <c r="FC44">
        <f t="shared" si="112"/>
        <v>0</v>
      </c>
      <c r="FD44">
        <f t="shared" si="112"/>
        <v>0</v>
      </c>
      <c r="FE44">
        <f t="shared" si="112"/>
        <v>0</v>
      </c>
      <c r="FF44">
        <f t="shared" si="112"/>
        <v>0</v>
      </c>
      <c r="FG44">
        <f t="shared" si="112"/>
        <v>0</v>
      </c>
      <c r="FH44">
        <f t="shared" si="112"/>
        <v>0</v>
      </c>
      <c r="FI44">
        <f t="shared" si="112"/>
        <v>0</v>
      </c>
      <c r="FJ44">
        <f t="shared" si="112"/>
        <v>0</v>
      </c>
      <c r="FK44">
        <f t="shared" si="112"/>
        <v>0</v>
      </c>
      <c r="FL44">
        <f t="shared" si="112"/>
        <v>0</v>
      </c>
      <c r="FM44">
        <f t="shared" si="112"/>
        <v>0</v>
      </c>
      <c r="FN44" s="1">
        <f t="shared" si="112"/>
        <v>0</v>
      </c>
      <c r="FO44" s="1">
        <f t="shared" si="112"/>
        <v>0</v>
      </c>
      <c r="FP44" s="1">
        <f t="shared" si="112"/>
        <v>0</v>
      </c>
      <c r="FQ44" s="1">
        <f t="shared" si="112"/>
        <v>0</v>
      </c>
      <c r="FR44" s="1">
        <f t="shared" si="112"/>
        <v>0</v>
      </c>
      <c r="FS44" s="1">
        <f t="shared" si="112"/>
        <v>0</v>
      </c>
      <c r="FT44" s="1">
        <f t="shared" si="112"/>
        <v>0</v>
      </c>
      <c r="FU44" s="1">
        <f t="shared" si="112"/>
        <v>0</v>
      </c>
      <c r="FV44" s="1">
        <f t="shared" si="112"/>
        <v>0</v>
      </c>
      <c r="FW44" s="1">
        <f t="shared" si="112"/>
        <v>0</v>
      </c>
      <c r="FX44" s="1">
        <f t="shared" si="112"/>
        <v>0</v>
      </c>
      <c r="FY44" s="1">
        <f t="shared" si="112"/>
        <v>0</v>
      </c>
      <c r="FZ44" s="1">
        <f t="shared" si="112"/>
        <v>0</v>
      </c>
      <c r="GA44" s="1">
        <f t="shared" si="112"/>
        <v>0</v>
      </c>
      <c r="GB44" s="1">
        <f t="shared" si="112"/>
        <v>0</v>
      </c>
      <c r="GC44" s="1">
        <f t="shared" si="112"/>
        <v>0</v>
      </c>
      <c r="GD44" s="1">
        <f t="shared" si="112"/>
        <v>0</v>
      </c>
      <c r="GE44" s="1">
        <f t="shared" si="112"/>
        <v>0</v>
      </c>
      <c r="GF44" s="1">
        <f t="shared" si="112"/>
        <v>0</v>
      </c>
      <c r="GG44" s="1">
        <f t="shared" si="112"/>
        <v>0</v>
      </c>
      <c r="GH44" s="1">
        <f t="shared" si="112"/>
        <v>0</v>
      </c>
      <c r="GI44" s="1">
        <f t="shared" si="112"/>
        <v>0</v>
      </c>
      <c r="GJ44" s="1">
        <f t="shared" si="112"/>
        <v>0</v>
      </c>
      <c r="GK44" s="1">
        <f t="shared" si="112"/>
        <v>0</v>
      </c>
      <c r="GL44" s="1">
        <f t="shared" si="112"/>
        <v>0</v>
      </c>
      <c r="GM44" s="1">
        <f t="shared" ref="GM44:IX44" si="113">GM28-GM9</f>
        <v>0</v>
      </c>
      <c r="GN44" s="1">
        <f t="shared" si="113"/>
        <v>0</v>
      </c>
      <c r="GO44" s="1">
        <f t="shared" si="113"/>
        <v>0</v>
      </c>
      <c r="GP44" s="1">
        <f t="shared" si="113"/>
        <v>0</v>
      </c>
      <c r="GQ44" s="1">
        <f t="shared" si="113"/>
        <v>0</v>
      </c>
      <c r="GR44" s="1">
        <f t="shared" si="113"/>
        <v>0</v>
      </c>
      <c r="GS44" s="1">
        <f t="shared" si="113"/>
        <v>0</v>
      </c>
      <c r="GT44" s="1">
        <f t="shared" si="113"/>
        <v>0</v>
      </c>
      <c r="GU44" s="1">
        <f t="shared" si="113"/>
        <v>0</v>
      </c>
      <c r="GV44" s="1">
        <f t="shared" si="113"/>
        <v>0</v>
      </c>
      <c r="GW44" s="1">
        <f t="shared" si="113"/>
        <v>0</v>
      </c>
      <c r="GX44" s="1">
        <f t="shared" si="113"/>
        <v>0</v>
      </c>
      <c r="GY44" s="1">
        <f t="shared" si="113"/>
        <v>0</v>
      </c>
      <c r="GZ44" s="1">
        <f t="shared" si="113"/>
        <v>0</v>
      </c>
      <c r="HA44" s="1">
        <f t="shared" si="113"/>
        <v>0</v>
      </c>
      <c r="HB44" s="1">
        <f t="shared" si="113"/>
        <v>0</v>
      </c>
      <c r="HC44" s="1">
        <f t="shared" si="113"/>
        <v>0</v>
      </c>
      <c r="HD44" s="1">
        <f t="shared" si="113"/>
        <v>0</v>
      </c>
      <c r="HE44" s="1">
        <f t="shared" si="113"/>
        <v>0</v>
      </c>
      <c r="HF44" s="1">
        <f t="shared" si="113"/>
        <v>0</v>
      </c>
      <c r="HG44" s="1">
        <f t="shared" si="113"/>
        <v>0</v>
      </c>
      <c r="HH44" s="1">
        <f t="shared" si="113"/>
        <v>0</v>
      </c>
      <c r="HI44" s="1">
        <f t="shared" si="113"/>
        <v>0</v>
      </c>
      <c r="HJ44" s="1">
        <f t="shared" si="113"/>
        <v>0</v>
      </c>
      <c r="HK44" s="1">
        <f t="shared" si="113"/>
        <v>0</v>
      </c>
      <c r="HL44" s="1">
        <f t="shared" si="113"/>
        <v>0</v>
      </c>
      <c r="HM44" s="1">
        <f t="shared" si="113"/>
        <v>0</v>
      </c>
      <c r="HN44" s="1">
        <f t="shared" si="113"/>
        <v>0</v>
      </c>
      <c r="HO44" s="1">
        <f t="shared" si="113"/>
        <v>0</v>
      </c>
      <c r="HP44" s="1">
        <f t="shared" si="113"/>
        <v>0</v>
      </c>
      <c r="HQ44" s="1">
        <f t="shared" si="113"/>
        <v>0</v>
      </c>
      <c r="HR44" s="1">
        <f t="shared" si="113"/>
        <v>0</v>
      </c>
      <c r="HS44" s="1">
        <f t="shared" si="113"/>
        <v>0</v>
      </c>
      <c r="HT44" s="1">
        <f t="shared" si="113"/>
        <v>0</v>
      </c>
      <c r="HU44" s="1">
        <f t="shared" si="113"/>
        <v>0</v>
      </c>
      <c r="HV44" s="1">
        <f t="shared" si="113"/>
        <v>0</v>
      </c>
      <c r="HW44" s="1">
        <f t="shared" si="113"/>
        <v>0</v>
      </c>
      <c r="HX44" s="1">
        <f t="shared" si="113"/>
        <v>0</v>
      </c>
      <c r="HY44" s="1">
        <f t="shared" si="113"/>
        <v>0</v>
      </c>
      <c r="HZ44" s="1">
        <f t="shared" si="113"/>
        <v>0</v>
      </c>
      <c r="IA44" s="1">
        <f t="shared" si="113"/>
        <v>0</v>
      </c>
      <c r="IB44" s="1">
        <f t="shared" si="113"/>
        <v>0</v>
      </c>
      <c r="IC44" s="1">
        <f t="shared" si="113"/>
        <v>0</v>
      </c>
      <c r="ID44" s="1">
        <f t="shared" si="113"/>
        <v>0</v>
      </c>
      <c r="IE44" s="1">
        <f t="shared" si="113"/>
        <v>0</v>
      </c>
      <c r="IF44" s="1">
        <f t="shared" si="113"/>
        <v>0</v>
      </c>
      <c r="IG44" s="1">
        <f t="shared" si="113"/>
        <v>0</v>
      </c>
      <c r="IH44" s="1">
        <f t="shared" si="113"/>
        <v>0</v>
      </c>
      <c r="II44" s="1">
        <f t="shared" si="113"/>
        <v>0</v>
      </c>
      <c r="IJ44" s="1">
        <f t="shared" si="113"/>
        <v>0</v>
      </c>
      <c r="IK44" s="1">
        <f t="shared" si="113"/>
        <v>0</v>
      </c>
      <c r="IL44" s="1">
        <f t="shared" si="113"/>
        <v>0</v>
      </c>
      <c r="IM44" s="1">
        <f t="shared" si="113"/>
        <v>0</v>
      </c>
      <c r="IN44" s="1">
        <f t="shared" si="113"/>
        <v>0</v>
      </c>
      <c r="IO44" s="1">
        <f t="shared" si="113"/>
        <v>0</v>
      </c>
      <c r="IP44" s="1">
        <f t="shared" si="113"/>
        <v>0</v>
      </c>
      <c r="IQ44" s="1">
        <f t="shared" si="113"/>
        <v>0</v>
      </c>
      <c r="IR44" s="1">
        <f t="shared" si="113"/>
        <v>0</v>
      </c>
      <c r="IS44" s="1">
        <f t="shared" si="113"/>
        <v>0</v>
      </c>
      <c r="IT44" s="1">
        <f t="shared" si="113"/>
        <v>0</v>
      </c>
      <c r="IU44" s="1">
        <f t="shared" si="113"/>
        <v>0</v>
      </c>
      <c r="IV44" s="1">
        <f t="shared" si="113"/>
        <v>0</v>
      </c>
      <c r="IW44" s="1">
        <f t="shared" si="113"/>
        <v>0</v>
      </c>
      <c r="IX44" s="1">
        <f t="shared" si="113"/>
        <v>0</v>
      </c>
      <c r="IY44" s="1">
        <f t="shared" ref="IY44:LJ44" si="114">IY28-IY9</f>
        <v>0</v>
      </c>
      <c r="IZ44" s="1">
        <f t="shared" si="114"/>
        <v>0</v>
      </c>
      <c r="JA44" s="1">
        <f t="shared" si="114"/>
        <v>0</v>
      </c>
      <c r="JB44" s="1">
        <f t="shared" si="114"/>
        <v>0</v>
      </c>
      <c r="JC44" s="1">
        <f t="shared" si="114"/>
        <v>0</v>
      </c>
      <c r="JD44" s="1">
        <f t="shared" si="114"/>
        <v>0</v>
      </c>
      <c r="JE44" s="1">
        <f t="shared" si="114"/>
        <v>0</v>
      </c>
      <c r="JF44" s="1">
        <f t="shared" si="114"/>
        <v>0</v>
      </c>
      <c r="JG44" s="1">
        <f t="shared" si="114"/>
        <v>0</v>
      </c>
      <c r="JH44" s="1">
        <f t="shared" si="114"/>
        <v>0</v>
      </c>
      <c r="JI44" s="1">
        <f t="shared" si="114"/>
        <v>0</v>
      </c>
      <c r="JJ44" s="1">
        <f t="shared" si="114"/>
        <v>0</v>
      </c>
      <c r="JK44" s="1">
        <f t="shared" si="114"/>
        <v>0</v>
      </c>
      <c r="JL44" s="1">
        <f t="shared" si="114"/>
        <v>0</v>
      </c>
      <c r="JM44" s="1">
        <f t="shared" si="114"/>
        <v>0</v>
      </c>
      <c r="JN44" s="1">
        <f t="shared" si="114"/>
        <v>0</v>
      </c>
      <c r="JO44" s="1">
        <f t="shared" si="114"/>
        <v>0</v>
      </c>
      <c r="JP44" s="1">
        <f t="shared" si="114"/>
        <v>0</v>
      </c>
      <c r="JQ44" s="1">
        <f t="shared" si="114"/>
        <v>0</v>
      </c>
      <c r="JR44" s="1">
        <f t="shared" si="114"/>
        <v>0</v>
      </c>
      <c r="JS44" s="1">
        <f t="shared" si="114"/>
        <v>0</v>
      </c>
      <c r="JT44" s="1">
        <f t="shared" si="114"/>
        <v>0</v>
      </c>
      <c r="JU44" s="1">
        <f t="shared" si="114"/>
        <v>0</v>
      </c>
      <c r="JV44" s="1">
        <f t="shared" si="114"/>
        <v>0</v>
      </c>
      <c r="JW44" s="1">
        <f t="shared" si="114"/>
        <v>0</v>
      </c>
      <c r="JX44" s="1">
        <f t="shared" si="114"/>
        <v>0</v>
      </c>
      <c r="JY44" s="1">
        <f t="shared" si="114"/>
        <v>0</v>
      </c>
      <c r="JZ44" s="1">
        <f t="shared" si="114"/>
        <v>0</v>
      </c>
      <c r="KA44" s="1">
        <f t="shared" si="114"/>
        <v>0</v>
      </c>
      <c r="KB44" s="1">
        <f t="shared" si="114"/>
        <v>0</v>
      </c>
      <c r="KC44" s="1">
        <f t="shared" si="114"/>
        <v>0</v>
      </c>
      <c r="KD44" s="1">
        <f t="shared" si="114"/>
        <v>0</v>
      </c>
      <c r="KE44" s="1">
        <f t="shared" si="114"/>
        <v>0</v>
      </c>
      <c r="KF44" s="1">
        <f t="shared" si="114"/>
        <v>0</v>
      </c>
      <c r="KG44" s="1">
        <f t="shared" si="114"/>
        <v>0</v>
      </c>
      <c r="KH44" s="1">
        <f t="shared" si="114"/>
        <v>0</v>
      </c>
      <c r="KI44" s="1">
        <f t="shared" si="114"/>
        <v>0</v>
      </c>
      <c r="KJ44" s="1">
        <f t="shared" si="114"/>
        <v>0</v>
      </c>
      <c r="KK44" s="1">
        <f t="shared" si="114"/>
        <v>0</v>
      </c>
      <c r="KL44" s="1">
        <f t="shared" si="114"/>
        <v>0</v>
      </c>
      <c r="KM44" s="1">
        <f t="shared" si="114"/>
        <v>0</v>
      </c>
      <c r="KN44" s="1">
        <f t="shared" si="114"/>
        <v>0</v>
      </c>
      <c r="KO44" s="1">
        <f t="shared" si="114"/>
        <v>0</v>
      </c>
      <c r="KP44" s="1">
        <f t="shared" si="114"/>
        <v>0</v>
      </c>
      <c r="KQ44" s="1">
        <f t="shared" si="114"/>
        <v>0</v>
      </c>
      <c r="KR44" s="1">
        <f t="shared" si="114"/>
        <v>0</v>
      </c>
      <c r="KS44" s="1">
        <f t="shared" si="114"/>
        <v>0</v>
      </c>
      <c r="KT44" s="1">
        <f t="shared" si="114"/>
        <v>0</v>
      </c>
      <c r="KU44" s="1">
        <f t="shared" si="114"/>
        <v>0</v>
      </c>
      <c r="KV44" s="1">
        <f t="shared" si="114"/>
        <v>0</v>
      </c>
      <c r="KW44" s="1">
        <f t="shared" si="114"/>
        <v>0</v>
      </c>
      <c r="KX44" s="1">
        <f t="shared" si="114"/>
        <v>0</v>
      </c>
      <c r="KY44" s="1">
        <f t="shared" si="114"/>
        <v>0</v>
      </c>
      <c r="KZ44" s="1">
        <f t="shared" si="114"/>
        <v>0</v>
      </c>
      <c r="LA44" s="1">
        <f t="shared" si="114"/>
        <v>0</v>
      </c>
      <c r="LB44" s="1">
        <f t="shared" si="114"/>
        <v>0</v>
      </c>
      <c r="LC44" s="1">
        <f t="shared" si="114"/>
        <v>0</v>
      </c>
      <c r="LD44" s="1">
        <f t="shared" si="114"/>
        <v>0</v>
      </c>
      <c r="LE44" s="1">
        <f t="shared" si="114"/>
        <v>0</v>
      </c>
      <c r="LF44" s="1">
        <f t="shared" si="114"/>
        <v>0</v>
      </c>
      <c r="LG44" s="1">
        <f t="shared" si="114"/>
        <v>0</v>
      </c>
      <c r="LH44" s="1">
        <f t="shared" si="114"/>
        <v>0</v>
      </c>
      <c r="LI44" s="1">
        <f t="shared" si="114"/>
        <v>0</v>
      </c>
      <c r="LJ44" s="1">
        <f t="shared" si="114"/>
        <v>0</v>
      </c>
      <c r="LK44" s="1">
        <f t="shared" ref="LK44:NV44" si="115">LK28-LK9</f>
        <v>0</v>
      </c>
      <c r="LL44" s="1">
        <f t="shared" si="115"/>
        <v>0</v>
      </c>
      <c r="LM44" s="1">
        <f t="shared" si="115"/>
        <v>0</v>
      </c>
      <c r="LN44" s="1">
        <f t="shared" si="115"/>
        <v>0</v>
      </c>
      <c r="LO44" s="1">
        <f t="shared" si="115"/>
        <v>0</v>
      </c>
      <c r="LP44" s="1">
        <f t="shared" si="115"/>
        <v>0</v>
      </c>
      <c r="LQ44" s="1">
        <f t="shared" si="115"/>
        <v>0</v>
      </c>
      <c r="LR44" s="1">
        <f t="shared" si="115"/>
        <v>0</v>
      </c>
      <c r="LS44" s="1">
        <f t="shared" si="115"/>
        <v>0</v>
      </c>
      <c r="LT44" s="1">
        <f t="shared" si="115"/>
        <v>0</v>
      </c>
      <c r="LU44" s="1">
        <f t="shared" si="115"/>
        <v>0</v>
      </c>
      <c r="LV44" s="1">
        <f t="shared" si="115"/>
        <v>0</v>
      </c>
      <c r="LW44" s="1">
        <f t="shared" si="115"/>
        <v>0</v>
      </c>
      <c r="LX44" s="1">
        <f t="shared" si="115"/>
        <v>0</v>
      </c>
      <c r="LY44" s="1">
        <f t="shared" si="115"/>
        <v>0</v>
      </c>
      <c r="LZ44" s="1">
        <f t="shared" si="115"/>
        <v>0</v>
      </c>
      <c r="MA44" s="1">
        <f t="shared" si="115"/>
        <v>0</v>
      </c>
      <c r="MB44" s="1">
        <f t="shared" si="115"/>
        <v>0</v>
      </c>
      <c r="MC44" s="1">
        <f t="shared" si="115"/>
        <v>0</v>
      </c>
      <c r="MD44" s="1">
        <f t="shared" si="115"/>
        <v>0</v>
      </c>
      <c r="ME44" s="1">
        <f t="shared" si="115"/>
        <v>0</v>
      </c>
      <c r="MF44" s="1">
        <f t="shared" si="115"/>
        <v>0</v>
      </c>
      <c r="MG44" s="1">
        <f t="shared" si="115"/>
        <v>0</v>
      </c>
      <c r="MH44" s="1">
        <f t="shared" si="115"/>
        <v>0</v>
      </c>
      <c r="MI44" s="1">
        <f t="shared" si="115"/>
        <v>0</v>
      </c>
      <c r="MJ44" s="1">
        <f t="shared" si="115"/>
        <v>0</v>
      </c>
      <c r="MK44" s="1">
        <f t="shared" si="115"/>
        <v>0</v>
      </c>
      <c r="ML44" s="1">
        <f t="shared" si="115"/>
        <v>0</v>
      </c>
      <c r="MM44" s="1">
        <f t="shared" si="115"/>
        <v>0</v>
      </c>
      <c r="MN44" s="1">
        <f t="shared" si="115"/>
        <v>0</v>
      </c>
      <c r="MO44" s="1">
        <f t="shared" si="115"/>
        <v>0</v>
      </c>
      <c r="MP44" s="1">
        <f t="shared" si="115"/>
        <v>0</v>
      </c>
      <c r="MQ44" s="1">
        <f t="shared" si="115"/>
        <v>0</v>
      </c>
      <c r="MR44" s="1">
        <f t="shared" si="115"/>
        <v>0</v>
      </c>
      <c r="MS44" s="1">
        <f t="shared" si="115"/>
        <v>0</v>
      </c>
      <c r="MT44" s="1">
        <f t="shared" si="115"/>
        <v>0</v>
      </c>
      <c r="MU44" s="1">
        <f t="shared" si="115"/>
        <v>0</v>
      </c>
      <c r="MV44" s="1">
        <f t="shared" si="115"/>
        <v>0</v>
      </c>
      <c r="MW44" s="1">
        <f t="shared" si="115"/>
        <v>0</v>
      </c>
      <c r="MX44" s="1">
        <f t="shared" si="115"/>
        <v>0</v>
      </c>
      <c r="MY44" s="1">
        <f t="shared" si="115"/>
        <v>0</v>
      </c>
      <c r="MZ44" s="1">
        <f t="shared" si="115"/>
        <v>0</v>
      </c>
      <c r="NA44" s="1">
        <f t="shared" si="115"/>
        <v>0</v>
      </c>
      <c r="NB44" s="1">
        <f t="shared" si="115"/>
        <v>0</v>
      </c>
      <c r="NC44" s="1">
        <f t="shared" si="115"/>
        <v>0</v>
      </c>
      <c r="ND44" s="1">
        <f t="shared" si="115"/>
        <v>0</v>
      </c>
      <c r="NE44" s="1">
        <f t="shared" si="115"/>
        <v>0</v>
      </c>
      <c r="NF44" s="1">
        <f t="shared" si="115"/>
        <v>0</v>
      </c>
      <c r="NG44" s="1">
        <f t="shared" si="115"/>
        <v>0</v>
      </c>
      <c r="NH44" s="1">
        <f t="shared" si="115"/>
        <v>0</v>
      </c>
      <c r="NI44" s="1">
        <f t="shared" si="115"/>
        <v>0</v>
      </c>
      <c r="NJ44" s="1">
        <f t="shared" si="115"/>
        <v>0</v>
      </c>
      <c r="NK44" s="1">
        <f t="shared" si="115"/>
        <v>0</v>
      </c>
      <c r="NL44" s="1">
        <f t="shared" si="115"/>
        <v>0</v>
      </c>
      <c r="NM44" s="1">
        <f t="shared" si="115"/>
        <v>0</v>
      </c>
      <c r="NN44" s="1">
        <f t="shared" si="115"/>
        <v>0</v>
      </c>
      <c r="NO44" s="1">
        <f t="shared" si="115"/>
        <v>0</v>
      </c>
      <c r="NP44" s="1">
        <f t="shared" si="115"/>
        <v>0</v>
      </c>
      <c r="NQ44" s="1">
        <f t="shared" si="115"/>
        <v>0</v>
      </c>
      <c r="NR44" s="1">
        <f t="shared" si="115"/>
        <v>0</v>
      </c>
      <c r="NS44" s="1">
        <f t="shared" si="115"/>
        <v>0</v>
      </c>
      <c r="NT44" s="1">
        <f t="shared" si="115"/>
        <v>0</v>
      </c>
      <c r="NU44" s="1">
        <f t="shared" si="115"/>
        <v>0</v>
      </c>
      <c r="NV44" s="1">
        <f t="shared" si="115"/>
        <v>0</v>
      </c>
      <c r="NW44" s="1">
        <f t="shared" ref="NW44:QH44" si="116">NW28-NW9</f>
        <v>0</v>
      </c>
      <c r="NX44" s="1">
        <f t="shared" si="116"/>
        <v>0</v>
      </c>
      <c r="NY44" s="1">
        <f t="shared" si="116"/>
        <v>0</v>
      </c>
      <c r="NZ44" s="1">
        <f t="shared" si="116"/>
        <v>0</v>
      </c>
      <c r="OA44" s="1">
        <f t="shared" si="116"/>
        <v>0</v>
      </c>
      <c r="OB44" s="1">
        <f t="shared" si="116"/>
        <v>0</v>
      </c>
      <c r="OC44" s="1">
        <f t="shared" si="116"/>
        <v>0</v>
      </c>
      <c r="OD44" s="1">
        <f t="shared" si="116"/>
        <v>0</v>
      </c>
      <c r="OE44" s="1">
        <f t="shared" si="116"/>
        <v>0</v>
      </c>
      <c r="OF44" s="1">
        <f t="shared" si="116"/>
        <v>0</v>
      </c>
      <c r="OG44" s="1">
        <f t="shared" si="116"/>
        <v>0</v>
      </c>
      <c r="OH44" s="1">
        <f t="shared" si="116"/>
        <v>0</v>
      </c>
      <c r="OI44" s="1">
        <f t="shared" si="116"/>
        <v>0</v>
      </c>
      <c r="OJ44" s="1">
        <f t="shared" si="116"/>
        <v>0</v>
      </c>
      <c r="OK44" s="1">
        <f t="shared" si="116"/>
        <v>0</v>
      </c>
      <c r="OL44" s="1">
        <f t="shared" si="116"/>
        <v>0</v>
      </c>
      <c r="OM44" s="1">
        <f t="shared" si="116"/>
        <v>0</v>
      </c>
      <c r="ON44" s="1">
        <f t="shared" si="116"/>
        <v>0</v>
      </c>
      <c r="OO44" s="1">
        <f t="shared" si="116"/>
        <v>0</v>
      </c>
      <c r="OP44" s="1">
        <f t="shared" si="116"/>
        <v>0</v>
      </c>
      <c r="OQ44" s="1">
        <f t="shared" si="116"/>
        <v>0</v>
      </c>
      <c r="OR44" s="1">
        <f t="shared" si="116"/>
        <v>0</v>
      </c>
      <c r="OS44" s="1">
        <f t="shared" si="116"/>
        <v>0</v>
      </c>
      <c r="OT44" s="1">
        <f t="shared" si="116"/>
        <v>0</v>
      </c>
      <c r="OU44" s="1">
        <f t="shared" si="116"/>
        <v>0</v>
      </c>
      <c r="OV44" s="1">
        <f t="shared" si="116"/>
        <v>0</v>
      </c>
      <c r="OW44" s="1">
        <f t="shared" si="116"/>
        <v>0</v>
      </c>
      <c r="OX44" s="1">
        <f t="shared" si="116"/>
        <v>0</v>
      </c>
      <c r="OY44" s="1">
        <f t="shared" si="116"/>
        <v>0</v>
      </c>
      <c r="OZ44" s="1">
        <f t="shared" si="116"/>
        <v>0</v>
      </c>
      <c r="PA44" s="1">
        <f t="shared" si="116"/>
        <v>0</v>
      </c>
      <c r="PB44" s="1">
        <f t="shared" si="116"/>
        <v>0</v>
      </c>
      <c r="PC44" s="1">
        <f t="shared" si="116"/>
        <v>0</v>
      </c>
      <c r="PD44" s="1">
        <f t="shared" si="116"/>
        <v>0</v>
      </c>
      <c r="PE44" s="1">
        <f t="shared" si="116"/>
        <v>0</v>
      </c>
      <c r="PF44" s="1">
        <f t="shared" si="116"/>
        <v>0</v>
      </c>
      <c r="PG44" s="1">
        <f t="shared" si="116"/>
        <v>0</v>
      </c>
      <c r="PH44" s="1">
        <f t="shared" si="116"/>
        <v>0</v>
      </c>
      <c r="PI44" s="1">
        <f t="shared" si="116"/>
        <v>0</v>
      </c>
      <c r="PJ44" s="1">
        <f t="shared" si="116"/>
        <v>0</v>
      </c>
      <c r="PK44" s="1">
        <f t="shared" si="116"/>
        <v>0</v>
      </c>
      <c r="PL44" s="1">
        <f t="shared" si="116"/>
        <v>0</v>
      </c>
      <c r="PM44" s="1">
        <f t="shared" si="116"/>
        <v>0</v>
      </c>
      <c r="PN44" s="1">
        <f t="shared" si="116"/>
        <v>0</v>
      </c>
      <c r="PO44" s="1">
        <f t="shared" si="116"/>
        <v>0</v>
      </c>
      <c r="PP44" s="1">
        <f t="shared" si="116"/>
        <v>0</v>
      </c>
      <c r="PQ44" s="1">
        <f t="shared" si="116"/>
        <v>0</v>
      </c>
      <c r="PR44" s="1">
        <f t="shared" si="116"/>
        <v>0</v>
      </c>
      <c r="PS44" s="1">
        <f t="shared" si="116"/>
        <v>0</v>
      </c>
      <c r="PT44" s="1">
        <f t="shared" si="116"/>
        <v>0</v>
      </c>
      <c r="PU44" s="1">
        <f t="shared" si="116"/>
        <v>0</v>
      </c>
      <c r="PV44" s="1">
        <f t="shared" si="116"/>
        <v>0</v>
      </c>
      <c r="PW44" s="1">
        <f t="shared" si="116"/>
        <v>0</v>
      </c>
      <c r="PX44" s="1">
        <f t="shared" si="116"/>
        <v>0</v>
      </c>
      <c r="PY44" s="1">
        <f t="shared" si="116"/>
        <v>0</v>
      </c>
      <c r="PZ44" s="1">
        <f t="shared" si="116"/>
        <v>0</v>
      </c>
      <c r="QA44" s="1">
        <f t="shared" si="116"/>
        <v>0</v>
      </c>
      <c r="QB44" s="1">
        <f t="shared" si="116"/>
        <v>0</v>
      </c>
      <c r="QC44" s="1">
        <f t="shared" si="116"/>
        <v>0</v>
      </c>
      <c r="QD44" s="1">
        <f t="shared" si="116"/>
        <v>0</v>
      </c>
      <c r="QE44" s="1">
        <f t="shared" si="116"/>
        <v>0</v>
      </c>
      <c r="QF44" s="1">
        <f t="shared" si="116"/>
        <v>0</v>
      </c>
      <c r="QG44" s="1">
        <f t="shared" si="116"/>
        <v>0</v>
      </c>
      <c r="QH44" s="1">
        <f t="shared" si="116"/>
        <v>0</v>
      </c>
      <c r="QI44" s="1">
        <f t="shared" ref="QI44:SG44" si="117">QI28-QI9</f>
        <v>0</v>
      </c>
      <c r="QJ44" s="1">
        <f t="shared" si="117"/>
        <v>0</v>
      </c>
      <c r="QK44" s="1">
        <f t="shared" si="117"/>
        <v>0</v>
      </c>
      <c r="QL44" s="1">
        <f t="shared" si="117"/>
        <v>0</v>
      </c>
      <c r="QM44" s="1">
        <f t="shared" si="117"/>
        <v>0</v>
      </c>
      <c r="QN44" s="1">
        <f t="shared" si="117"/>
        <v>0</v>
      </c>
      <c r="QO44" s="1">
        <f t="shared" si="117"/>
        <v>0</v>
      </c>
      <c r="QP44" s="1">
        <f t="shared" si="117"/>
        <v>0</v>
      </c>
      <c r="QQ44" s="1">
        <f t="shared" si="117"/>
        <v>0</v>
      </c>
      <c r="QR44" s="1">
        <f t="shared" si="117"/>
        <v>0</v>
      </c>
      <c r="QS44" s="1">
        <f t="shared" si="117"/>
        <v>0</v>
      </c>
      <c r="QT44" s="1">
        <f t="shared" si="117"/>
        <v>0</v>
      </c>
      <c r="QU44" s="1">
        <f t="shared" si="117"/>
        <v>0</v>
      </c>
      <c r="QV44" s="1">
        <f t="shared" si="117"/>
        <v>0</v>
      </c>
      <c r="QW44" s="1">
        <f t="shared" si="117"/>
        <v>0</v>
      </c>
      <c r="QX44" s="1">
        <f t="shared" si="117"/>
        <v>0</v>
      </c>
      <c r="QY44" s="1">
        <f t="shared" si="117"/>
        <v>0</v>
      </c>
      <c r="QZ44" s="1">
        <f t="shared" si="117"/>
        <v>0</v>
      </c>
      <c r="RA44" s="1">
        <f t="shared" si="117"/>
        <v>0</v>
      </c>
      <c r="RB44" s="1">
        <f t="shared" si="117"/>
        <v>0</v>
      </c>
      <c r="RC44" s="1">
        <f t="shared" si="117"/>
        <v>0</v>
      </c>
      <c r="RD44" s="1">
        <f t="shared" si="117"/>
        <v>0</v>
      </c>
      <c r="RE44" s="1">
        <f t="shared" si="117"/>
        <v>0</v>
      </c>
      <c r="RF44" s="1">
        <f t="shared" si="117"/>
        <v>0</v>
      </c>
      <c r="RG44" s="1">
        <f t="shared" si="117"/>
        <v>0</v>
      </c>
      <c r="RH44" s="1">
        <f t="shared" si="117"/>
        <v>0</v>
      </c>
      <c r="RI44" s="1">
        <f t="shared" si="117"/>
        <v>0</v>
      </c>
      <c r="RJ44" s="1">
        <f t="shared" si="117"/>
        <v>0</v>
      </c>
      <c r="RK44" s="1">
        <f t="shared" si="117"/>
        <v>0</v>
      </c>
      <c r="RL44" s="1">
        <f t="shared" si="117"/>
        <v>0</v>
      </c>
      <c r="RM44" s="1">
        <f t="shared" si="117"/>
        <v>0</v>
      </c>
      <c r="RN44" s="1">
        <f t="shared" si="117"/>
        <v>0</v>
      </c>
      <c r="RO44" s="1">
        <f t="shared" si="117"/>
        <v>0</v>
      </c>
      <c r="RP44" s="1">
        <f t="shared" si="117"/>
        <v>0</v>
      </c>
      <c r="RQ44" s="1">
        <f t="shared" si="117"/>
        <v>0</v>
      </c>
      <c r="RR44" s="1">
        <f t="shared" si="117"/>
        <v>0</v>
      </c>
      <c r="RS44" s="1">
        <f t="shared" si="117"/>
        <v>0</v>
      </c>
      <c r="RT44" s="1">
        <f t="shared" si="117"/>
        <v>0</v>
      </c>
      <c r="RU44" s="1">
        <f t="shared" si="117"/>
        <v>0</v>
      </c>
      <c r="RV44" s="1">
        <f t="shared" si="117"/>
        <v>0</v>
      </c>
      <c r="RW44" s="1">
        <f t="shared" si="117"/>
        <v>0</v>
      </c>
      <c r="RX44" s="1">
        <f t="shared" si="117"/>
        <v>0</v>
      </c>
      <c r="RY44" s="1">
        <f t="shared" si="117"/>
        <v>0</v>
      </c>
      <c r="RZ44" s="1">
        <f t="shared" si="117"/>
        <v>0</v>
      </c>
      <c r="SA44" s="1">
        <f t="shared" si="117"/>
        <v>0</v>
      </c>
      <c r="SB44" s="1">
        <f t="shared" si="117"/>
        <v>0</v>
      </c>
      <c r="SC44" s="1">
        <f t="shared" si="117"/>
        <v>0</v>
      </c>
      <c r="SD44" s="1">
        <f t="shared" si="117"/>
        <v>0</v>
      </c>
      <c r="SE44" s="1">
        <f t="shared" si="117"/>
        <v>0</v>
      </c>
      <c r="SF44" s="1">
        <f t="shared" si="117"/>
        <v>0</v>
      </c>
      <c r="SG44" s="1">
        <f t="shared" si="117"/>
        <v>0</v>
      </c>
      <c r="SH44" s="1">
        <f t="shared" ref="SH44:US44" si="118">SH28-SH9</f>
        <v>0</v>
      </c>
      <c r="SI44" s="1">
        <f t="shared" si="118"/>
        <v>0</v>
      </c>
      <c r="SJ44" s="1">
        <f t="shared" si="118"/>
        <v>0</v>
      </c>
      <c r="SK44" s="1">
        <f t="shared" si="118"/>
        <v>0</v>
      </c>
      <c r="SL44" s="1">
        <f t="shared" si="118"/>
        <v>0</v>
      </c>
      <c r="SM44" s="1">
        <f t="shared" si="118"/>
        <v>0</v>
      </c>
      <c r="SN44" s="1">
        <f t="shared" si="118"/>
        <v>0</v>
      </c>
      <c r="SO44" s="1">
        <f t="shared" si="118"/>
        <v>0</v>
      </c>
      <c r="SP44" s="1">
        <f t="shared" si="118"/>
        <v>0</v>
      </c>
      <c r="SQ44" s="1">
        <f t="shared" si="118"/>
        <v>0</v>
      </c>
      <c r="SR44" s="1">
        <f t="shared" si="118"/>
        <v>0</v>
      </c>
      <c r="SS44" s="1">
        <f t="shared" si="118"/>
        <v>0</v>
      </c>
      <c r="ST44" s="1">
        <f t="shared" si="118"/>
        <v>0</v>
      </c>
      <c r="SU44" s="1">
        <f t="shared" si="118"/>
        <v>0</v>
      </c>
      <c r="SV44" s="1">
        <f t="shared" si="118"/>
        <v>0</v>
      </c>
      <c r="SW44" s="1">
        <f t="shared" si="118"/>
        <v>0</v>
      </c>
      <c r="SX44" s="1">
        <f t="shared" si="118"/>
        <v>0</v>
      </c>
      <c r="SY44" s="1">
        <f t="shared" si="118"/>
        <v>0</v>
      </c>
      <c r="SZ44" s="1">
        <f t="shared" si="118"/>
        <v>0</v>
      </c>
      <c r="TA44" s="1">
        <f t="shared" si="118"/>
        <v>0</v>
      </c>
      <c r="TB44" s="1">
        <f t="shared" si="118"/>
        <v>0</v>
      </c>
      <c r="TC44" s="1">
        <f t="shared" si="118"/>
        <v>0</v>
      </c>
      <c r="TD44" s="1">
        <f t="shared" si="118"/>
        <v>0</v>
      </c>
      <c r="TE44" s="1">
        <f t="shared" si="118"/>
        <v>0</v>
      </c>
      <c r="TF44" s="1">
        <f t="shared" si="118"/>
        <v>0</v>
      </c>
      <c r="TG44" s="1">
        <f t="shared" si="118"/>
        <v>0</v>
      </c>
      <c r="TH44" s="1">
        <f t="shared" si="118"/>
        <v>0</v>
      </c>
      <c r="TI44" s="1">
        <f t="shared" si="118"/>
        <v>0</v>
      </c>
      <c r="TJ44" s="1">
        <f t="shared" si="118"/>
        <v>0</v>
      </c>
      <c r="TK44" s="1">
        <f t="shared" si="118"/>
        <v>0</v>
      </c>
      <c r="TL44" s="1">
        <f t="shared" si="118"/>
        <v>0</v>
      </c>
      <c r="TM44" s="1">
        <f t="shared" si="118"/>
        <v>0</v>
      </c>
      <c r="TN44" s="1">
        <f t="shared" si="118"/>
        <v>0</v>
      </c>
      <c r="TO44" s="1">
        <f t="shared" si="118"/>
        <v>0</v>
      </c>
      <c r="TP44" s="1">
        <f t="shared" si="118"/>
        <v>0</v>
      </c>
      <c r="TQ44" s="1">
        <f t="shared" si="118"/>
        <v>0</v>
      </c>
      <c r="TR44" s="1">
        <f t="shared" si="118"/>
        <v>0</v>
      </c>
      <c r="TS44" s="1">
        <f t="shared" si="118"/>
        <v>0</v>
      </c>
      <c r="TT44" s="1">
        <f t="shared" si="118"/>
        <v>0</v>
      </c>
      <c r="TU44" s="1">
        <f t="shared" si="118"/>
        <v>0</v>
      </c>
      <c r="TV44" s="1">
        <f t="shared" si="118"/>
        <v>0</v>
      </c>
      <c r="TW44" s="1">
        <f t="shared" si="118"/>
        <v>0</v>
      </c>
      <c r="TX44" s="1">
        <f t="shared" si="118"/>
        <v>0</v>
      </c>
      <c r="TY44" s="1">
        <f t="shared" si="118"/>
        <v>0</v>
      </c>
      <c r="TZ44" s="1">
        <f t="shared" si="118"/>
        <v>0</v>
      </c>
      <c r="UA44" s="1">
        <f t="shared" si="118"/>
        <v>0</v>
      </c>
      <c r="UB44" s="1">
        <f t="shared" si="118"/>
        <v>0</v>
      </c>
      <c r="UC44" s="1">
        <f t="shared" si="118"/>
        <v>0</v>
      </c>
      <c r="UD44" s="1">
        <f t="shared" si="118"/>
        <v>0</v>
      </c>
      <c r="UE44" s="1">
        <f t="shared" si="118"/>
        <v>0</v>
      </c>
      <c r="UF44" s="1">
        <f t="shared" si="118"/>
        <v>0</v>
      </c>
      <c r="UG44" s="1">
        <f t="shared" si="118"/>
        <v>0</v>
      </c>
      <c r="UH44" s="1">
        <f t="shared" si="118"/>
        <v>0</v>
      </c>
      <c r="UI44" s="1">
        <f t="shared" si="118"/>
        <v>0</v>
      </c>
      <c r="UJ44" s="1">
        <f t="shared" si="118"/>
        <v>0</v>
      </c>
      <c r="UK44" s="1">
        <f t="shared" si="118"/>
        <v>0</v>
      </c>
      <c r="UL44" s="1">
        <f t="shared" si="118"/>
        <v>0</v>
      </c>
      <c r="UM44" s="1">
        <f t="shared" si="118"/>
        <v>0</v>
      </c>
      <c r="UN44" s="1">
        <f t="shared" si="118"/>
        <v>0</v>
      </c>
      <c r="UO44" s="1">
        <f t="shared" si="118"/>
        <v>0</v>
      </c>
      <c r="UP44" s="1">
        <f t="shared" si="118"/>
        <v>0</v>
      </c>
      <c r="UQ44" s="1">
        <f t="shared" si="118"/>
        <v>0</v>
      </c>
      <c r="UR44" s="1">
        <f t="shared" si="118"/>
        <v>0</v>
      </c>
      <c r="US44" s="1">
        <f t="shared" si="118"/>
        <v>0</v>
      </c>
      <c r="UT44" s="1">
        <f t="shared" ref="UT44:XE44" si="119">UT28-UT9</f>
        <v>0</v>
      </c>
      <c r="UU44" s="1">
        <f t="shared" si="119"/>
        <v>0</v>
      </c>
      <c r="UV44" s="1">
        <f t="shared" si="119"/>
        <v>0</v>
      </c>
      <c r="UW44" s="1">
        <f t="shared" si="119"/>
        <v>0</v>
      </c>
      <c r="UX44" s="1">
        <f t="shared" si="119"/>
        <v>0</v>
      </c>
      <c r="UY44" s="1">
        <f t="shared" si="119"/>
        <v>0</v>
      </c>
      <c r="UZ44" s="1">
        <f t="shared" si="119"/>
        <v>0</v>
      </c>
      <c r="VA44" s="1">
        <f t="shared" si="119"/>
        <v>0</v>
      </c>
      <c r="VB44" s="1">
        <f t="shared" si="119"/>
        <v>0</v>
      </c>
      <c r="VC44" s="1">
        <f t="shared" si="119"/>
        <v>0</v>
      </c>
      <c r="VD44" s="1">
        <f t="shared" si="119"/>
        <v>0</v>
      </c>
      <c r="VE44" s="1">
        <f t="shared" si="119"/>
        <v>0</v>
      </c>
      <c r="VF44" s="1">
        <f t="shared" si="119"/>
        <v>0</v>
      </c>
      <c r="VG44" s="1">
        <f t="shared" si="119"/>
        <v>0</v>
      </c>
      <c r="VH44" s="1">
        <f t="shared" si="119"/>
        <v>0</v>
      </c>
      <c r="VI44" s="1">
        <f t="shared" si="119"/>
        <v>0</v>
      </c>
      <c r="VJ44" s="1">
        <f t="shared" si="119"/>
        <v>0</v>
      </c>
      <c r="VK44" s="1">
        <f t="shared" si="119"/>
        <v>0</v>
      </c>
      <c r="VL44" s="1">
        <f t="shared" si="119"/>
        <v>0</v>
      </c>
      <c r="VM44" s="1">
        <f t="shared" si="119"/>
        <v>0</v>
      </c>
      <c r="VN44" s="1">
        <f t="shared" si="119"/>
        <v>0</v>
      </c>
      <c r="VO44" s="1">
        <f t="shared" si="119"/>
        <v>0</v>
      </c>
      <c r="VP44" s="1">
        <f t="shared" si="119"/>
        <v>0</v>
      </c>
      <c r="VQ44" s="1">
        <f t="shared" si="119"/>
        <v>0</v>
      </c>
      <c r="VR44" s="1">
        <f t="shared" si="119"/>
        <v>0</v>
      </c>
      <c r="VS44" s="1">
        <f t="shared" si="119"/>
        <v>0</v>
      </c>
      <c r="VT44" s="1">
        <f t="shared" si="119"/>
        <v>0</v>
      </c>
      <c r="VU44" s="1">
        <f t="shared" si="119"/>
        <v>0</v>
      </c>
      <c r="VV44" s="1">
        <f t="shared" si="119"/>
        <v>0</v>
      </c>
      <c r="VW44" s="1">
        <f t="shared" si="119"/>
        <v>0</v>
      </c>
      <c r="VX44" s="1">
        <f t="shared" si="119"/>
        <v>0</v>
      </c>
      <c r="VY44" s="1">
        <f t="shared" si="119"/>
        <v>0</v>
      </c>
      <c r="VZ44" s="1">
        <f t="shared" si="119"/>
        <v>0</v>
      </c>
      <c r="WA44" s="1">
        <f t="shared" si="119"/>
        <v>0</v>
      </c>
      <c r="WB44" s="1">
        <f t="shared" si="119"/>
        <v>0</v>
      </c>
      <c r="WC44" s="1">
        <f t="shared" si="119"/>
        <v>0</v>
      </c>
      <c r="WD44" s="1">
        <f t="shared" si="119"/>
        <v>0</v>
      </c>
      <c r="WE44" s="1">
        <f t="shared" si="119"/>
        <v>0</v>
      </c>
      <c r="WF44" s="1">
        <f t="shared" si="119"/>
        <v>0</v>
      </c>
      <c r="WG44" s="1">
        <f t="shared" si="119"/>
        <v>0</v>
      </c>
      <c r="WH44" s="1">
        <f t="shared" si="119"/>
        <v>0</v>
      </c>
      <c r="WI44" s="1">
        <f t="shared" si="119"/>
        <v>0</v>
      </c>
      <c r="WJ44" s="1">
        <f t="shared" si="119"/>
        <v>0</v>
      </c>
      <c r="WK44" s="1">
        <f t="shared" si="119"/>
        <v>0</v>
      </c>
      <c r="WL44" s="1">
        <f t="shared" si="119"/>
        <v>0</v>
      </c>
      <c r="WM44" s="1">
        <f t="shared" si="119"/>
        <v>0</v>
      </c>
      <c r="WN44" s="1">
        <f t="shared" si="119"/>
        <v>0</v>
      </c>
      <c r="WO44" s="1">
        <f t="shared" si="119"/>
        <v>0</v>
      </c>
      <c r="WP44" s="1">
        <f t="shared" si="119"/>
        <v>0</v>
      </c>
      <c r="WQ44" s="1">
        <f t="shared" si="119"/>
        <v>0</v>
      </c>
      <c r="WR44" s="1">
        <f t="shared" si="119"/>
        <v>0</v>
      </c>
      <c r="WS44" s="1">
        <f t="shared" si="119"/>
        <v>0</v>
      </c>
      <c r="WT44" s="1">
        <f t="shared" si="119"/>
        <v>0</v>
      </c>
      <c r="WU44" s="1">
        <f t="shared" si="119"/>
        <v>0</v>
      </c>
      <c r="WV44" s="1">
        <f t="shared" si="119"/>
        <v>0</v>
      </c>
      <c r="WW44" s="1">
        <f t="shared" si="119"/>
        <v>0</v>
      </c>
      <c r="WX44" s="1">
        <f t="shared" si="119"/>
        <v>0</v>
      </c>
      <c r="WY44" s="1">
        <f t="shared" si="119"/>
        <v>0</v>
      </c>
      <c r="WZ44" s="1">
        <f t="shared" si="119"/>
        <v>0</v>
      </c>
      <c r="XA44" s="1">
        <f t="shared" si="119"/>
        <v>0</v>
      </c>
      <c r="XB44" s="1">
        <f t="shared" si="119"/>
        <v>0</v>
      </c>
      <c r="XC44" s="1">
        <f t="shared" si="119"/>
        <v>0</v>
      </c>
      <c r="XD44" s="1">
        <f t="shared" si="119"/>
        <v>0</v>
      </c>
      <c r="XE44" s="1">
        <f t="shared" si="119"/>
        <v>0</v>
      </c>
      <c r="XF44" s="1">
        <f t="shared" ref="XF44:ZQ44" si="120">XF28-XF9</f>
        <v>0</v>
      </c>
      <c r="XG44" s="1">
        <f t="shared" si="120"/>
        <v>0</v>
      </c>
      <c r="XH44" s="1">
        <f t="shared" si="120"/>
        <v>0</v>
      </c>
      <c r="XI44" s="1">
        <f t="shared" si="120"/>
        <v>0</v>
      </c>
      <c r="XJ44" s="1">
        <f t="shared" si="120"/>
        <v>0</v>
      </c>
      <c r="XK44" s="1">
        <f t="shared" si="120"/>
        <v>0</v>
      </c>
      <c r="XL44" s="1">
        <f t="shared" si="120"/>
        <v>0</v>
      </c>
      <c r="XM44" s="1">
        <f t="shared" si="120"/>
        <v>0</v>
      </c>
      <c r="XN44" s="1">
        <f t="shared" si="120"/>
        <v>0</v>
      </c>
      <c r="XO44" s="1">
        <f t="shared" si="120"/>
        <v>0</v>
      </c>
      <c r="XP44" s="1">
        <f t="shared" si="120"/>
        <v>0</v>
      </c>
      <c r="XQ44" s="1">
        <f t="shared" si="120"/>
        <v>0</v>
      </c>
      <c r="XR44" s="1">
        <f t="shared" si="120"/>
        <v>0</v>
      </c>
      <c r="XS44" s="1">
        <f t="shared" si="120"/>
        <v>0</v>
      </c>
      <c r="XT44" s="1">
        <f t="shared" si="120"/>
        <v>0</v>
      </c>
      <c r="XU44" s="1">
        <f t="shared" si="120"/>
        <v>0</v>
      </c>
      <c r="XV44" s="1">
        <f t="shared" si="120"/>
        <v>0</v>
      </c>
      <c r="XW44" s="1">
        <f t="shared" si="120"/>
        <v>0</v>
      </c>
      <c r="XX44" s="1">
        <f t="shared" si="120"/>
        <v>0</v>
      </c>
      <c r="XY44" s="1">
        <f t="shared" si="120"/>
        <v>0</v>
      </c>
      <c r="XZ44" s="1">
        <f t="shared" si="120"/>
        <v>0</v>
      </c>
      <c r="YA44" s="1">
        <f t="shared" si="120"/>
        <v>0</v>
      </c>
      <c r="YB44" s="1">
        <f t="shared" si="120"/>
        <v>0</v>
      </c>
      <c r="YC44" s="1">
        <f t="shared" si="120"/>
        <v>0</v>
      </c>
      <c r="YD44" s="1">
        <f t="shared" si="120"/>
        <v>0</v>
      </c>
      <c r="YE44" s="1">
        <f t="shared" si="120"/>
        <v>0</v>
      </c>
      <c r="YF44" s="1">
        <f t="shared" si="120"/>
        <v>0</v>
      </c>
      <c r="YG44" s="1">
        <f t="shared" si="120"/>
        <v>0</v>
      </c>
      <c r="YH44" s="1">
        <f t="shared" si="120"/>
        <v>0</v>
      </c>
      <c r="YI44" s="1">
        <f t="shared" si="120"/>
        <v>0</v>
      </c>
      <c r="YJ44" s="1">
        <f t="shared" si="120"/>
        <v>0</v>
      </c>
      <c r="YK44" s="1">
        <f t="shared" si="120"/>
        <v>0</v>
      </c>
      <c r="YL44" s="1">
        <f t="shared" si="120"/>
        <v>0</v>
      </c>
      <c r="YM44" s="1">
        <f t="shared" si="120"/>
        <v>0</v>
      </c>
      <c r="YN44" s="1">
        <f t="shared" si="120"/>
        <v>0</v>
      </c>
      <c r="YO44" s="1">
        <f t="shared" si="120"/>
        <v>0</v>
      </c>
      <c r="YP44" s="1">
        <f t="shared" si="120"/>
        <v>0</v>
      </c>
      <c r="YQ44" s="1">
        <f t="shared" si="120"/>
        <v>0</v>
      </c>
      <c r="YR44" s="1">
        <f t="shared" si="120"/>
        <v>0</v>
      </c>
      <c r="YS44" s="1">
        <f t="shared" si="120"/>
        <v>0</v>
      </c>
      <c r="YT44" s="1">
        <f t="shared" si="120"/>
        <v>0</v>
      </c>
      <c r="YU44" s="1">
        <f t="shared" si="120"/>
        <v>0</v>
      </c>
      <c r="YV44" s="1">
        <f t="shared" si="120"/>
        <v>0</v>
      </c>
      <c r="YW44" s="1">
        <f t="shared" si="120"/>
        <v>0</v>
      </c>
      <c r="YX44" s="1">
        <f t="shared" si="120"/>
        <v>0</v>
      </c>
      <c r="YY44" s="1">
        <f t="shared" si="120"/>
        <v>0</v>
      </c>
      <c r="YZ44" s="1">
        <f t="shared" si="120"/>
        <v>0</v>
      </c>
      <c r="ZA44" s="1">
        <f t="shared" si="120"/>
        <v>0</v>
      </c>
      <c r="ZB44" s="1">
        <f t="shared" si="120"/>
        <v>0</v>
      </c>
      <c r="ZC44" s="1">
        <f t="shared" si="120"/>
        <v>0</v>
      </c>
      <c r="ZD44" s="1">
        <f t="shared" si="120"/>
        <v>0</v>
      </c>
      <c r="ZE44" s="1">
        <f t="shared" si="120"/>
        <v>0</v>
      </c>
      <c r="ZF44" s="1">
        <f t="shared" si="120"/>
        <v>0</v>
      </c>
      <c r="ZG44" s="1">
        <f t="shared" si="120"/>
        <v>0</v>
      </c>
      <c r="ZH44" s="1">
        <f t="shared" si="120"/>
        <v>0</v>
      </c>
      <c r="ZI44" s="1">
        <f t="shared" si="120"/>
        <v>0</v>
      </c>
      <c r="ZJ44" s="1">
        <f t="shared" si="120"/>
        <v>0</v>
      </c>
      <c r="ZK44" s="1">
        <f t="shared" si="120"/>
        <v>0</v>
      </c>
      <c r="ZL44" s="1">
        <f t="shared" si="120"/>
        <v>0</v>
      </c>
      <c r="ZM44" s="1">
        <f t="shared" si="120"/>
        <v>0</v>
      </c>
      <c r="ZN44" s="1">
        <f t="shared" si="120"/>
        <v>0</v>
      </c>
      <c r="ZO44" s="1">
        <f t="shared" si="120"/>
        <v>0</v>
      </c>
      <c r="ZP44" s="1">
        <f t="shared" si="120"/>
        <v>0</v>
      </c>
      <c r="ZQ44" s="1">
        <f t="shared" si="120"/>
        <v>0</v>
      </c>
      <c r="ZR44" s="1">
        <f t="shared" ref="ZR44:ACC44" si="121">ZR28-ZR9</f>
        <v>0</v>
      </c>
      <c r="ZS44" s="1">
        <f t="shared" si="121"/>
        <v>0</v>
      </c>
      <c r="ZT44" s="1">
        <f t="shared" si="121"/>
        <v>0</v>
      </c>
      <c r="ZU44" s="1">
        <f t="shared" si="121"/>
        <v>0</v>
      </c>
      <c r="ZV44" s="1">
        <f t="shared" si="121"/>
        <v>0</v>
      </c>
      <c r="ZW44" s="1">
        <f t="shared" si="121"/>
        <v>0</v>
      </c>
      <c r="ZX44" s="1">
        <f t="shared" si="121"/>
        <v>0</v>
      </c>
      <c r="ZY44" s="1">
        <f t="shared" si="121"/>
        <v>0</v>
      </c>
      <c r="ZZ44" s="1">
        <f t="shared" si="121"/>
        <v>0</v>
      </c>
      <c r="AAA44" s="1">
        <f t="shared" si="121"/>
        <v>0</v>
      </c>
      <c r="AAB44" s="1">
        <f t="shared" si="121"/>
        <v>0</v>
      </c>
      <c r="AAC44" s="1">
        <f t="shared" si="121"/>
        <v>0</v>
      </c>
      <c r="AAD44" s="1">
        <f t="shared" si="121"/>
        <v>0</v>
      </c>
      <c r="AAE44" s="1">
        <f t="shared" si="121"/>
        <v>0</v>
      </c>
      <c r="AAF44" s="1">
        <f t="shared" si="121"/>
        <v>0</v>
      </c>
      <c r="AAG44" s="1">
        <f t="shared" si="121"/>
        <v>0</v>
      </c>
      <c r="AAH44" s="1">
        <f t="shared" si="121"/>
        <v>0</v>
      </c>
      <c r="AAI44" s="1">
        <f t="shared" si="121"/>
        <v>0</v>
      </c>
      <c r="AAJ44" s="1">
        <f t="shared" si="121"/>
        <v>0</v>
      </c>
      <c r="AAK44" s="1">
        <f t="shared" si="121"/>
        <v>0</v>
      </c>
      <c r="AAL44" s="1">
        <f t="shared" si="121"/>
        <v>0</v>
      </c>
      <c r="AAM44" s="1">
        <f t="shared" si="121"/>
        <v>0</v>
      </c>
      <c r="AAN44" s="1">
        <f t="shared" si="121"/>
        <v>0</v>
      </c>
      <c r="AAO44" s="1">
        <f t="shared" si="121"/>
        <v>0</v>
      </c>
      <c r="AAP44" s="1">
        <f t="shared" si="121"/>
        <v>0</v>
      </c>
      <c r="AAQ44" s="1">
        <f t="shared" si="121"/>
        <v>0</v>
      </c>
      <c r="AAR44" s="1">
        <f t="shared" si="121"/>
        <v>0</v>
      </c>
      <c r="AAS44" s="1">
        <f t="shared" si="121"/>
        <v>0</v>
      </c>
      <c r="AAT44" s="1">
        <f t="shared" si="121"/>
        <v>0</v>
      </c>
      <c r="AAU44" s="1">
        <f t="shared" si="121"/>
        <v>0</v>
      </c>
      <c r="AAV44" s="1">
        <f t="shared" si="121"/>
        <v>0</v>
      </c>
      <c r="AAW44" s="1">
        <f t="shared" si="121"/>
        <v>0</v>
      </c>
      <c r="AAX44" s="1">
        <f t="shared" si="121"/>
        <v>0</v>
      </c>
      <c r="AAY44" s="1">
        <f t="shared" si="121"/>
        <v>0</v>
      </c>
      <c r="AAZ44" s="1">
        <f t="shared" si="121"/>
        <v>0</v>
      </c>
      <c r="ABA44" s="1">
        <f t="shared" si="121"/>
        <v>0</v>
      </c>
      <c r="ABB44" s="1">
        <f t="shared" si="121"/>
        <v>0</v>
      </c>
      <c r="ABC44" s="1">
        <f t="shared" si="121"/>
        <v>0</v>
      </c>
      <c r="ABD44" s="1">
        <f t="shared" si="121"/>
        <v>0</v>
      </c>
      <c r="ABE44" s="1">
        <f t="shared" si="121"/>
        <v>0</v>
      </c>
      <c r="ABF44" s="1">
        <f t="shared" si="121"/>
        <v>0</v>
      </c>
      <c r="ABG44" s="1">
        <f t="shared" si="121"/>
        <v>0</v>
      </c>
      <c r="ABH44" s="1">
        <f t="shared" si="121"/>
        <v>0</v>
      </c>
      <c r="ABI44" s="1">
        <f t="shared" si="121"/>
        <v>0</v>
      </c>
      <c r="ABJ44" s="1">
        <f t="shared" si="121"/>
        <v>0</v>
      </c>
      <c r="ABK44" s="1">
        <f t="shared" si="121"/>
        <v>0</v>
      </c>
      <c r="ABL44" s="1">
        <f t="shared" si="121"/>
        <v>0</v>
      </c>
      <c r="ABM44" s="1">
        <f t="shared" si="121"/>
        <v>0</v>
      </c>
      <c r="ABN44" s="1">
        <f t="shared" si="121"/>
        <v>0</v>
      </c>
      <c r="ABO44" s="1">
        <f t="shared" si="121"/>
        <v>0</v>
      </c>
      <c r="ABP44" s="1">
        <f t="shared" si="121"/>
        <v>0</v>
      </c>
      <c r="ABQ44" s="1">
        <f t="shared" si="121"/>
        <v>0</v>
      </c>
      <c r="ABR44" s="1">
        <f t="shared" si="121"/>
        <v>0</v>
      </c>
      <c r="ABS44" s="1">
        <f t="shared" si="121"/>
        <v>0</v>
      </c>
      <c r="ABT44" s="1">
        <f t="shared" si="121"/>
        <v>0</v>
      </c>
      <c r="ABU44" s="1">
        <f t="shared" si="121"/>
        <v>0</v>
      </c>
      <c r="ABV44" s="1">
        <f t="shared" si="121"/>
        <v>0</v>
      </c>
      <c r="ABW44" s="1">
        <f t="shared" si="121"/>
        <v>0</v>
      </c>
      <c r="ABX44" s="1">
        <f t="shared" si="121"/>
        <v>0</v>
      </c>
      <c r="ABY44" s="1">
        <f t="shared" si="121"/>
        <v>0</v>
      </c>
      <c r="ABZ44" s="1">
        <f t="shared" si="121"/>
        <v>0</v>
      </c>
      <c r="ACA44" s="1">
        <f t="shared" si="121"/>
        <v>0</v>
      </c>
      <c r="ACB44" s="1">
        <f t="shared" si="121"/>
        <v>0</v>
      </c>
      <c r="ACC44" s="1">
        <f t="shared" si="121"/>
        <v>0</v>
      </c>
      <c r="ACD44" s="1">
        <f t="shared" ref="ACD44:AEO44" si="122">ACD28-ACD9</f>
        <v>0</v>
      </c>
      <c r="ACE44" s="1">
        <f t="shared" si="122"/>
        <v>0</v>
      </c>
      <c r="ACF44" s="1">
        <f t="shared" si="122"/>
        <v>0</v>
      </c>
      <c r="ACG44" s="1">
        <f t="shared" si="122"/>
        <v>0</v>
      </c>
      <c r="ACH44" s="1">
        <f t="shared" si="122"/>
        <v>0</v>
      </c>
      <c r="ACI44" s="1">
        <f t="shared" si="122"/>
        <v>0</v>
      </c>
      <c r="ACJ44" s="1">
        <f t="shared" si="122"/>
        <v>0</v>
      </c>
      <c r="ACK44" s="1">
        <f t="shared" si="122"/>
        <v>0</v>
      </c>
      <c r="ACL44" s="1">
        <f t="shared" si="122"/>
        <v>0</v>
      </c>
      <c r="ACM44" s="1">
        <f t="shared" si="122"/>
        <v>0</v>
      </c>
      <c r="ACN44" s="1">
        <f t="shared" si="122"/>
        <v>0</v>
      </c>
      <c r="ACO44" s="1">
        <f t="shared" si="122"/>
        <v>0</v>
      </c>
      <c r="ACP44" s="1">
        <f t="shared" si="122"/>
        <v>0</v>
      </c>
      <c r="ACQ44" s="1">
        <f t="shared" si="122"/>
        <v>0</v>
      </c>
      <c r="ACR44" s="1">
        <f t="shared" si="122"/>
        <v>0</v>
      </c>
      <c r="ACS44" s="1">
        <f t="shared" si="122"/>
        <v>0</v>
      </c>
      <c r="ACT44" s="1">
        <f t="shared" si="122"/>
        <v>0</v>
      </c>
      <c r="ACU44" s="1">
        <f t="shared" si="122"/>
        <v>0</v>
      </c>
      <c r="ACV44" s="1">
        <f t="shared" si="122"/>
        <v>0</v>
      </c>
      <c r="ACW44" s="1">
        <f t="shared" si="122"/>
        <v>0</v>
      </c>
      <c r="ACX44" s="1">
        <f t="shared" si="122"/>
        <v>0</v>
      </c>
      <c r="ACY44" s="1">
        <f t="shared" si="122"/>
        <v>0</v>
      </c>
      <c r="ACZ44" s="1">
        <f t="shared" si="122"/>
        <v>0</v>
      </c>
      <c r="ADA44" s="1">
        <f t="shared" si="122"/>
        <v>0</v>
      </c>
      <c r="ADB44" s="1">
        <f t="shared" si="122"/>
        <v>0</v>
      </c>
      <c r="ADC44" s="1">
        <f t="shared" si="122"/>
        <v>0</v>
      </c>
      <c r="ADD44" s="1">
        <f t="shared" si="122"/>
        <v>0</v>
      </c>
      <c r="ADE44" s="1">
        <f t="shared" si="122"/>
        <v>0</v>
      </c>
      <c r="ADF44" s="1">
        <f t="shared" si="122"/>
        <v>0</v>
      </c>
      <c r="ADG44" s="1">
        <f t="shared" si="122"/>
        <v>0</v>
      </c>
      <c r="ADH44" s="1">
        <f t="shared" si="122"/>
        <v>0</v>
      </c>
      <c r="ADI44" s="1">
        <f t="shared" si="122"/>
        <v>0</v>
      </c>
      <c r="ADJ44" s="1">
        <f t="shared" si="122"/>
        <v>0</v>
      </c>
      <c r="ADK44" s="1">
        <f t="shared" si="122"/>
        <v>0</v>
      </c>
      <c r="ADL44" s="1">
        <f t="shared" si="122"/>
        <v>0</v>
      </c>
      <c r="ADM44" s="1">
        <f t="shared" si="122"/>
        <v>0</v>
      </c>
      <c r="ADN44" s="1">
        <f t="shared" si="122"/>
        <v>0</v>
      </c>
      <c r="ADO44" s="1">
        <f t="shared" si="122"/>
        <v>0</v>
      </c>
      <c r="ADP44" s="1">
        <f t="shared" si="122"/>
        <v>0</v>
      </c>
      <c r="ADQ44" s="1">
        <f t="shared" si="122"/>
        <v>0</v>
      </c>
      <c r="ADR44" s="1">
        <f t="shared" si="122"/>
        <v>0</v>
      </c>
      <c r="ADS44" s="1">
        <f t="shared" si="122"/>
        <v>0</v>
      </c>
      <c r="ADT44" s="1">
        <f t="shared" si="122"/>
        <v>0</v>
      </c>
      <c r="ADU44" s="1">
        <f t="shared" si="122"/>
        <v>0</v>
      </c>
      <c r="ADV44" s="1">
        <f t="shared" si="122"/>
        <v>0</v>
      </c>
      <c r="ADW44" s="1">
        <f t="shared" si="122"/>
        <v>0</v>
      </c>
      <c r="ADX44" s="1">
        <f t="shared" si="122"/>
        <v>0</v>
      </c>
      <c r="ADY44" s="1">
        <f t="shared" si="122"/>
        <v>0</v>
      </c>
      <c r="ADZ44" s="1">
        <f t="shared" si="122"/>
        <v>0</v>
      </c>
      <c r="AEA44" s="1">
        <f t="shared" si="122"/>
        <v>0</v>
      </c>
      <c r="AEB44" s="1">
        <f t="shared" si="122"/>
        <v>0</v>
      </c>
      <c r="AEC44" s="1">
        <f t="shared" si="122"/>
        <v>0</v>
      </c>
      <c r="AED44" s="1">
        <f t="shared" si="122"/>
        <v>0</v>
      </c>
      <c r="AEE44" s="1">
        <f t="shared" si="122"/>
        <v>0</v>
      </c>
      <c r="AEF44" s="1">
        <f t="shared" si="122"/>
        <v>0</v>
      </c>
      <c r="AEG44" s="1">
        <f t="shared" si="122"/>
        <v>0</v>
      </c>
      <c r="AEH44" s="1">
        <f t="shared" si="122"/>
        <v>0</v>
      </c>
      <c r="AEI44" s="1">
        <f t="shared" si="122"/>
        <v>0</v>
      </c>
      <c r="AEJ44" s="1">
        <f t="shared" si="122"/>
        <v>0</v>
      </c>
      <c r="AEK44" s="1">
        <f t="shared" si="122"/>
        <v>0</v>
      </c>
      <c r="AEL44" s="1">
        <f t="shared" si="122"/>
        <v>0</v>
      </c>
      <c r="AEM44" s="1">
        <f t="shared" si="122"/>
        <v>0</v>
      </c>
      <c r="AEN44" s="1">
        <f t="shared" si="122"/>
        <v>0</v>
      </c>
      <c r="AEO44" s="1">
        <f t="shared" si="122"/>
        <v>0</v>
      </c>
      <c r="AEP44" s="1">
        <f t="shared" ref="AEP44:AHA44" si="123">AEP28-AEP9</f>
        <v>0</v>
      </c>
      <c r="AEQ44" s="1">
        <f t="shared" si="123"/>
        <v>0</v>
      </c>
      <c r="AER44" s="1">
        <f t="shared" si="123"/>
        <v>0</v>
      </c>
      <c r="AES44" s="1">
        <f t="shared" si="123"/>
        <v>0</v>
      </c>
      <c r="AET44" s="1">
        <f t="shared" si="123"/>
        <v>0</v>
      </c>
      <c r="AEU44" s="1">
        <f t="shared" si="123"/>
        <v>0</v>
      </c>
      <c r="AEV44" s="1">
        <f t="shared" si="123"/>
        <v>0</v>
      </c>
      <c r="AEW44" s="1">
        <f t="shared" si="123"/>
        <v>0</v>
      </c>
      <c r="AEX44" s="1">
        <f t="shared" si="123"/>
        <v>0</v>
      </c>
      <c r="AEY44" s="1">
        <f t="shared" si="123"/>
        <v>0</v>
      </c>
      <c r="AEZ44" s="1">
        <f t="shared" si="123"/>
        <v>0</v>
      </c>
      <c r="AFA44" s="1">
        <f t="shared" si="123"/>
        <v>0</v>
      </c>
      <c r="AFB44" s="1">
        <f t="shared" si="123"/>
        <v>0</v>
      </c>
      <c r="AFC44" s="1">
        <f t="shared" si="123"/>
        <v>0</v>
      </c>
      <c r="AFD44" s="1">
        <f t="shared" si="123"/>
        <v>0</v>
      </c>
      <c r="AFE44" s="1">
        <f t="shared" si="123"/>
        <v>0</v>
      </c>
      <c r="AFF44" s="1">
        <f t="shared" si="123"/>
        <v>0</v>
      </c>
      <c r="AFG44" s="1">
        <f t="shared" si="123"/>
        <v>0</v>
      </c>
      <c r="AFH44" s="1">
        <f t="shared" si="123"/>
        <v>0</v>
      </c>
      <c r="AFI44" s="1">
        <f t="shared" si="123"/>
        <v>0</v>
      </c>
      <c r="AFJ44" s="1">
        <f t="shared" si="123"/>
        <v>0</v>
      </c>
      <c r="AFK44" s="1">
        <f t="shared" si="123"/>
        <v>0</v>
      </c>
      <c r="AFL44" s="1">
        <f t="shared" si="123"/>
        <v>0</v>
      </c>
      <c r="AFM44" s="1">
        <f t="shared" si="123"/>
        <v>0</v>
      </c>
      <c r="AFN44" s="1">
        <f t="shared" si="123"/>
        <v>0</v>
      </c>
      <c r="AFO44" s="1">
        <f t="shared" si="123"/>
        <v>0</v>
      </c>
      <c r="AFP44" s="1">
        <f t="shared" si="123"/>
        <v>0</v>
      </c>
      <c r="AFQ44" s="1">
        <f t="shared" si="123"/>
        <v>0</v>
      </c>
      <c r="AFR44" s="1">
        <f t="shared" si="123"/>
        <v>0</v>
      </c>
      <c r="AFS44" s="1">
        <f t="shared" si="123"/>
        <v>0</v>
      </c>
      <c r="AFT44" s="1">
        <f t="shared" si="123"/>
        <v>0</v>
      </c>
      <c r="AFU44" s="1">
        <f t="shared" si="123"/>
        <v>0</v>
      </c>
      <c r="AFV44" s="1">
        <f t="shared" si="123"/>
        <v>0</v>
      </c>
      <c r="AFW44" s="1">
        <f t="shared" si="123"/>
        <v>0</v>
      </c>
      <c r="AFX44" s="1">
        <f t="shared" si="123"/>
        <v>0</v>
      </c>
      <c r="AFY44" s="1">
        <f t="shared" si="123"/>
        <v>0</v>
      </c>
      <c r="AFZ44" s="1">
        <f t="shared" si="123"/>
        <v>0</v>
      </c>
      <c r="AGA44" s="1">
        <f t="shared" si="123"/>
        <v>0</v>
      </c>
      <c r="AGB44" s="1">
        <f t="shared" si="123"/>
        <v>0</v>
      </c>
      <c r="AGC44" s="1">
        <f t="shared" si="123"/>
        <v>0</v>
      </c>
      <c r="AGD44" s="1">
        <f t="shared" si="123"/>
        <v>0</v>
      </c>
      <c r="AGE44" s="1">
        <f t="shared" si="123"/>
        <v>0</v>
      </c>
      <c r="AGF44" s="1">
        <f t="shared" si="123"/>
        <v>0</v>
      </c>
      <c r="AGG44" s="1">
        <f t="shared" si="123"/>
        <v>0</v>
      </c>
      <c r="AGH44" s="1">
        <f t="shared" si="123"/>
        <v>0</v>
      </c>
      <c r="AGI44" s="1">
        <f t="shared" si="123"/>
        <v>0</v>
      </c>
      <c r="AGJ44" s="1">
        <f t="shared" si="123"/>
        <v>0</v>
      </c>
      <c r="AGK44" s="1">
        <f t="shared" si="123"/>
        <v>0</v>
      </c>
      <c r="AGL44" s="1">
        <f t="shared" si="123"/>
        <v>0</v>
      </c>
      <c r="AGM44" s="1">
        <f t="shared" si="123"/>
        <v>0</v>
      </c>
      <c r="AGN44" s="1">
        <f t="shared" si="123"/>
        <v>0</v>
      </c>
      <c r="AGO44" s="1">
        <f t="shared" si="123"/>
        <v>0</v>
      </c>
      <c r="AGP44" s="1">
        <f t="shared" si="123"/>
        <v>0</v>
      </c>
      <c r="AGQ44" s="1">
        <f t="shared" si="123"/>
        <v>0</v>
      </c>
      <c r="AGR44" s="1">
        <f t="shared" si="123"/>
        <v>0</v>
      </c>
      <c r="AGS44" s="1">
        <f t="shared" si="123"/>
        <v>0</v>
      </c>
      <c r="AGT44" s="1">
        <f t="shared" si="123"/>
        <v>0</v>
      </c>
      <c r="AGU44" s="1">
        <f t="shared" si="123"/>
        <v>0</v>
      </c>
      <c r="AGV44" s="1">
        <f t="shared" si="123"/>
        <v>0</v>
      </c>
      <c r="AGW44" s="1">
        <f t="shared" si="123"/>
        <v>0</v>
      </c>
      <c r="AGX44" s="1">
        <f t="shared" si="123"/>
        <v>0</v>
      </c>
      <c r="AGY44" s="1">
        <f t="shared" si="123"/>
        <v>0</v>
      </c>
      <c r="AGZ44" s="1">
        <f t="shared" si="123"/>
        <v>0</v>
      </c>
      <c r="AHA44" s="1">
        <f t="shared" si="123"/>
        <v>0</v>
      </c>
      <c r="AHB44" s="1">
        <f t="shared" ref="AHB44:AJM44" si="124">AHB28-AHB9</f>
        <v>0</v>
      </c>
      <c r="AHC44" s="1">
        <f t="shared" si="124"/>
        <v>0</v>
      </c>
      <c r="AHD44" s="1">
        <f t="shared" si="124"/>
        <v>0</v>
      </c>
      <c r="AHE44" s="1">
        <f t="shared" si="124"/>
        <v>0</v>
      </c>
      <c r="AHF44" s="1">
        <f t="shared" si="124"/>
        <v>0</v>
      </c>
      <c r="AHG44" s="1">
        <f t="shared" si="124"/>
        <v>0</v>
      </c>
      <c r="AHH44" s="1">
        <f t="shared" si="124"/>
        <v>0</v>
      </c>
      <c r="AHI44" s="1">
        <f t="shared" si="124"/>
        <v>0</v>
      </c>
      <c r="AHJ44" s="1">
        <f t="shared" si="124"/>
        <v>0</v>
      </c>
      <c r="AHK44" s="1">
        <f t="shared" si="124"/>
        <v>0</v>
      </c>
      <c r="AHL44" s="1">
        <f t="shared" si="124"/>
        <v>0</v>
      </c>
      <c r="AHM44" s="1">
        <f t="shared" si="124"/>
        <v>0</v>
      </c>
      <c r="AHN44" s="1">
        <f t="shared" si="124"/>
        <v>0</v>
      </c>
      <c r="AHO44" s="1">
        <f t="shared" si="124"/>
        <v>0</v>
      </c>
      <c r="AHP44" s="1">
        <f t="shared" si="124"/>
        <v>0</v>
      </c>
      <c r="AHQ44" s="1">
        <f t="shared" si="124"/>
        <v>0</v>
      </c>
      <c r="AHR44" s="1">
        <f t="shared" si="124"/>
        <v>0</v>
      </c>
      <c r="AHS44" s="1">
        <f t="shared" si="124"/>
        <v>0</v>
      </c>
      <c r="AHT44" s="1">
        <f t="shared" si="124"/>
        <v>0</v>
      </c>
      <c r="AHU44" s="1">
        <f t="shared" si="124"/>
        <v>0</v>
      </c>
      <c r="AHV44" s="1">
        <f t="shared" si="124"/>
        <v>0</v>
      </c>
      <c r="AHW44" s="1">
        <f t="shared" si="124"/>
        <v>0</v>
      </c>
      <c r="AHX44" s="1">
        <f t="shared" si="124"/>
        <v>0</v>
      </c>
      <c r="AHY44" s="1">
        <f t="shared" si="124"/>
        <v>0</v>
      </c>
      <c r="AHZ44" s="1">
        <f t="shared" si="124"/>
        <v>0</v>
      </c>
      <c r="AIA44" s="1">
        <f t="shared" si="124"/>
        <v>0</v>
      </c>
      <c r="AIB44" s="1">
        <f t="shared" si="124"/>
        <v>0</v>
      </c>
      <c r="AIC44" s="1">
        <f t="shared" si="124"/>
        <v>0</v>
      </c>
      <c r="AID44" s="1">
        <f t="shared" si="124"/>
        <v>0</v>
      </c>
      <c r="AIE44" s="1">
        <f t="shared" si="124"/>
        <v>0</v>
      </c>
      <c r="AIF44" s="1">
        <f t="shared" si="124"/>
        <v>0</v>
      </c>
      <c r="AIG44" s="1">
        <f t="shared" si="124"/>
        <v>0</v>
      </c>
      <c r="AIH44" s="1">
        <f t="shared" si="124"/>
        <v>0</v>
      </c>
      <c r="AII44" s="1">
        <f t="shared" si="124"/>
        <v>0</v>
      </c>
      <c r="AIJ44" s="1">
        <f t="shared" si="124"/>
        <v>0</v>
      </c>
      <c r="AIK44" s="1">
        <f t="shared" si="124"/>
        <v>0</v>
      </c>
      <c r="AIL44" s="1">
        <f t="shared" si="124"/>
        <v>0</v>
      </c>
      <c r="AIM44" s="1">
        <f t="shared" si="124"/>
        <v>0</v>
      </c>
      <c r="AIN44" s="1">
        <f t="shared" si="124"/>
        <v>0</v>
      </c>
      <c r="AIO44" s="1">
        <f t="shared" si="124"/>
        <v>0</v>
      </c>
      <c r="AIP44" s="1">
        <f t="shared" si="124"/>
        <v>0</v>
      </c>
      <c r="AIQ44" s="1">
        <f t="shared" si="124"/>
        <v>0</v>
      </c>
      <c r="AIR44" s="1">
        <f t="shared" si="124"/>
        <v>0</v>
      </c>
      <c r="AIS44" s="1">
        <f t="shared" si="124"/>
        <v>0</v>
      </c>
      <c r="AIT44" s="1">
        <f t="shared" si="124"/>
        <v>0</v>
      </c>
      <c r="AIU44" s="1">
        <f t="shared" si="124"/>
        <v>0</v>
      </c>
      <c r="AIV44" s="1">
        <f t="shared" si="124"/>
        <v>0</v>
      </c>
      <c r="AIW44" s="1">
        <f t="shared" si="124"/>
        <v>0</v>
      </c>
      <c r="AIX44" s="1">
        <f t="shared" si="124"/>
        <v>0</v>
      </c>
      <c r="AIY44" s="1">
        <f t="shared" si="124"/>
        <v>0</v>
      </c>
      <c r="AIZ44" s="1">
        <f t="shared" si="124"/>
        <v>0</v>
      </c>
      <c r="AJA44" s="1">
        <f t="shared" si="124"/>
        <v>0</v>
      </c>
      <c r="AJB44" s="1">
        <f t="shared" si="124"/>
        <v>0</v>
      </c>
      <c r="AJC44" s="1">
        <f t="shared" si="124"/>
        <v>0</v>
      </c>
      <c r="AJD44" s="1">
        <f t="shared" si="124"/>
        <v>0</v>
      </c>
      <c r="AJE44" s="1">
        <f t="shared" si="124"/>
        <v>0</v>
      </c>
      <c r="AJF44" s="1">
        <f t="shared" si="124"/>
        <v>0</v>
      </c>
      <c r="AJG44" s="1">
        <f t="shared" si="124"/>
        <v>0</v>
      </c>
      <c r="AJH44" s="1">
        <f t="shared" si="124"/>
        <v>0</v>
      </c>
      <c r="AJI44" s="1">
        <f t="shared" si="124"/>
        <v>0</v>
      </c>
      <c r="AJJ44" s="1">
        <f t="shared" si="124"/>
        <v>0</v>
      </c>
      <c r="AJK44" s="1">
        <f t="shared" si="124"/>
        <v>0</v>
      </c>
      <c r="AJL44" s="1">
        <f t="shared" si="124"/>
        <v>0</v>
      </c>
      <c r="AJM44" s="1">
        <f t="shared" si="124"/>
        <v>0</v>
      </c>
      <c r="AJN44" s="1">
        <f t="shared" ref="AJN44:ALM44" si="125">AJN28-AJN9</f>
        <v>0</v>
      </c>
      <c r="AJO44" s="1">
        <f t="shared" si="125"/>
        <v>0</v>
      </c>
      <c r="AJP44" s="1">
        <f t="shared" si="125"/>
        <v>0</v>
      </c>
      <c r="AJQ44" s="1">
        <f t="shared" si="125"/>
        <v>0</v>
      </c>
      <c r="AJR44" s="1">
        <f t="shared" si="125"/>
        <v>0</v>
      </c>
      <c r="AJS44" s="1">
        <f t="shared" si="125"/>
        <v>0</v>
      </c>
      <c r="AJT44" s="1">
        <f t="shared" si="125"/>
        <v>0</v>
      </c>
      <c r="AJU44" s="1">
        <f t="shared" si="125"/>
        <v>0</v>
      </c>
      <c r="AJV44" s="1">
        <f t="shared" si="125"/>
        <v>0</v>
      </c>
      <c r="AJW44" s="1">
        <f t="shared" si="125"/>
        <v>0</v>
      </c>
      <c r="AJX44" s="1">
        <f t="shared" si="125"/>
        <v>0</v>
      </c>
      <c r="AJY44" s="1">
        <f t="shared" si="125"/>
        <v>0</v>
      </c>
      <c r="AJZ44" s="1">
        <f t="shared" si="125"/>
        <v>0</v>
      </c>
      <c r="AKA44" s="1">
        <f t="shared" si="125"/>
        <v>0</v>
      </c>
      <c r="AKB44" s="1">
        <f t="shared" si="125"/>
        <v>0</v>
      </c>
      <c r="AKC44" s="1">
        <f t="shared" si="125"/>
        <v>0</v>
      </c>
      <c r="AKD44" s="1">
        <f t="shared" si="125"/>
        <v>0</v>
      </c>
      <c r="AKE44" s="1">
        <f t="shared" si="125"/>
        <v>0</v>
      </c>
      <c r="AKF44" s="1">
        <f t="shared" si="125"/>
        <v>0</v>
      </c>
      <c r="AKG44" s="1">
        <f t="shared" si="125"/>
        <v>0</v>
      </c>
      <c r="AKH44" s="1">
        <f t="shared" si="125"/>
        <v>0</v>
      </c>
      <c r="AKI44" s="1">
        <f t="shared" si="125"/>
        <v>0</v>
      </c>
      <c r="AKJ44" s="1">
        <f t="shared" si="125"/>
        <v>0</v>
      </c>
      <c r="AKK44" s="1">
        <f t="shared" si="125"/>
        <v>0</v>
      </c>
      <c r="AKL44" s="1">
        <f t="shared" si="125"/>
        <v>0</v>
      </c>
      <c r="AKM44" s="1">
        <f t="shared" si="125"/>
        <v>0</v>
      </c>
      <c r="AKN44" s="1">
        <f t="shared" si="125"/>
        <v>0</v>
      </c>
      <c r="AKO44" s="1">
        <f t="shared" si="125"/>
        <v>0</v>
      </c>
      <c r="AKP44" s="1">
        <f t="shared" si="125"/>
        <v>0</v>
      </c>
      <c r="AKQ44" s="1">
        <f t="shared" si="125"/>
        <v>0</v>
      </c>
      <c r="AKR44" s="1">
        <f t="shared" si="125"/>
        <v>0</v>
      </c>
      <c r="AKS44" s="1">
        <f t="shared" si="125"/>
        <v>0</v>
      </c>
      <c r="AKT44" s="1">
        <f t="shared" si="125"/>
        <v>0</v>
      </c>
      <c r="AKU44" s="1">
        <f t="shared" si="125"/>
        <v>0</v>
      </c>
      <c r="AKV44" s="1">
        <f t="shared" si="125"/>
        <v>0</v>
      </c>
      <c r="AKW44" s="1">
        <f t="shared" si="125"/>
        <v>0</v>
      </c>
      <c r="AKX44" s="1">
        <f t="shared" si="125"/>
        <v>0</v>
      </c>
      <c r="AKY44" s="1">
        <f t="shared" si="125"/>
        <v>0</v>
      </c>
      <c r="AKZ44" s="1">
        <f t="shared" si="125"/>
        <v>0</v>
      </c>
      <c r="ALA44" s="1">
        <f t="shared" si="125"/>
        <v>0</v>
      </c>
      <c r="ALB44" s="1">
        <f t="shared" si="125"/>
        <v>0</v>
      </c>
      <c r="ALC44" s="1">
        <f t="shared" si="125"/>
        <v>0</v>
      </c>
      <c r="ALD44" s="1">
        <f t="shared" si="125"/>
        <v>0</v>
      </c>
      <c r="ALE44" s="1">
        <f t="shared" si="125"/>
        <v>0</v>
      </c>
      <c r="ALF44" s="1">
        <f t="shared" si="125"/>
        <v>0</v>
      </c>
      <c r="ALG44" s="1">
        <f t="shared" si="125"/>
        <v>0</v>
      </c>
      <c r="ALH44" s="1">
        <f t="shared" si="125"/>
        <v>0</v>
      </c>
      <c r="ALI44" s="1">
        <f t="shared" si="125"/>
        <v>0</v>
      </c>
      <c r="ALJ44" s="1">
        <f t="shared" si="125"/>
        <v>0</v>
      </c>
      <c r="ALK44" s="1">
        <f t="shared" si="125"/>
        <v>0</v>
      </c>
      <c r="ALL44" s="1">
        <f t="shared" si="125"/>
        <v>0</v>
      </c>
      <c r="ALM44" s="1">
        <f t="shared" si="125"/>
        <v>0</v>
      </c>
    </row>
    <row r="45" spans="1:1001">
      <c r="A45" s="27"/>
      <c r="B45">
        <f>B29-B10</f>
        <v>0</v>
      </c>
      <c r="C45">
        <f t="shared" ref="C45:BN45" si="126">C29-C10</f>
        <v>0</v>
      </c>
      <c r="D45">
        <f t="shared" si="126"/>
        <v>0</v>
      </c>
      <c r="E45">
        <f t="shared" si="126"/>
        <v>0</v>
      </c>
      <c r="F45">
        <f t="shared" si="126"/>
        <v>0</v>
      </c>
      <c r="G45">
        <f t="shared" si="126"/>
        <v>0</v>
      </c>
      <c r="H45">
        <f t="shared" si="126"/>
        <v>0</v>
      </c>
      <c r="I45">
        <f t="shared" si="126"/>
        <v>0</v>
      </c>
      <c r="J45">
        <f t="shared" si="126"/>
        <v>0</v>
      </c>
      <c r="K45">
        <f t="shared" si="126"/>
        <v>0</v>
      </c>
      <c r="L45">
        <f t="shared" si="126"/>
        <v>0</v>
      </c>
      <c r="M45">
        <f t="shared" si="126"/>
        <v>0</v>
      </c>
      <c r="N45">
        <f t="shared" si="126"/>
        <v>0</v>
      </c>
      <c r="O45">
        <f t="shared" si="126"/>
        <v>0</v>
      </c>
      <c r="P45">
        <f t="shared" si="126"/>
        <v>0</v>
      </c>
      <c r="Q45">
        <f t="shared" si="126"/>
        <v>0</v>
      </c>
      <c r="R45">
        <f t="shared" si="126"/>
        <v>0</v>
      </c>
      <c r="S45">
        <f t="shared" si="126"/>
        <v>0</v>
      </c>
      <c r="T45">
        <f t="shared" si="126"/>
        <v>0</v>
      </c>
      <c r="U45">
        <f t="shared" si="126"/>
        <v>0</v>
      </c>
      <c r="V45">
        <f t="shared" si="126"/>
        <v>0</v>
      </c>
      <c r="W45">
        <f t="shared" si="126"/>
        <v>0</v>
      </c>
      <c r="X45">
        <f t="shared" si="126"/>
        <v>0</v>
      </c>
      <c r="Y45">
        <f t="shared" si="126"/>
        <v>0</v>
      </c>
      <c r="Z45">
        <f t="shared" si="126"/>
        <v>0</v>
      </c>
      <c r="AA45">
        <f t="shared" si="126"/>
        <v>0</v>
      </c>
      <c r="AB45">
        <f t="shared" si="126"/>
        <v>0</v>
      </c>
      <c r="AC45">
        <f t="shared" si="126"/>
        <v>0</v>
      </c>
      <c r="AD45">
        <f t="shared" si="126"/>
        <v>0</v>
      </c>
      <c r="AE45">
        <f t="shared" si="126"/>
        <v>0</v>
      </c>
      <c r="AF45">
        <f t="shared" si="126"/>
        <v>0</v>
      </c>
      <c r="AG45">
        <f t="shared" si="126"/>
        <v>0</v>
      </c>
      <c r="AH45">
        <f t="shared" si="126"/>
        <v>0</v>
      </c>
      <c r="AI45">
        <f t="shared" si="126"/>
        <v>0</v>
      </c>
      <c r="AJ45">
        <f t="shared" si="126"/>
        <v>0</v>
      </c>
      <c r="AK45">
        <f t="shared" si="126"/>
        <v>0</v>
      </c>
      <c r="AL45">
        <f t="shared" si="126"/>
        <v>0</v>
      </c>
      <c r="AM45">
        <f t="shared" si="126"/>
        <v>0</v>
      </c>
      <c r="AN45">
        <f t="shared" si="126"/>
        <v>0</v>
      </c>
      <c r="AO45">
        <f t="shared" si="126"/>
        <v>0</v>
      </c>
      <c r="AP45">
        <f t="shared" si="126"/>
        <v>0</v>
      </c>
      <c r="AQ45">
        <f t="shared" si="126"/>
        <v>0</v>
      </c>
      <c r="AR45">
        <f t="shared" si="126"/>
        <v>0</v>
      </c>
      <c r="AS45">
        <f t="shared" si="126"/>
        <v>0</v>
      </c>
      <c r="AT45">
        <f t="shared" si="126"/>
        <v>0</v>
      </c>
      <c r="AU45">
        <f t="shared" si="126"/>
        <v>0</v>
      </c>
      <c r="AV45">
        <f t="shared" si="126"/>
        <v>0</v>
      </c>
      <c r="AW45">
        <f t="shared" si="126"/>
        <v>0</v>
      </c>
      <c r="AX45">
        <f t="shared" si="126"/>
        <v>0</v>
      </c>
      <c r="AY45">
        <f t="shared" si="126"/>
        <v>0</v>
      </c>
      <c r="AZ45">
        <f t="shared" si="126"/>
        <v>0</v>
      </c>
      <c r="BA45">
        <f t="shared" si="126"/>
        <v>0</v>
      </c>
      <c r="BB45">
        <f t="shared" si="126"/>
        <v>0</v>
      </c>
      <c r="BC45">
        <f t="shared" si="126"/>
        <v>0</v>
      </c>
      <c r="BD45">
        <f t="shared" si="126"/>
        <v>0</v>
      </c>
      <c r="BE45">
        <f t="shared" si="126"/>
        <v>0</v>
      </c>
      <c r="BF45">
        <f t="shared" si="126"/>
        <v>0</v>
      </c>
      <c r="BG45">
        <f t="shared" si="126"/>
        <v>0</v>
      </c>
      <c r="BH45">
        <f t="shared" si="126"/>
        <v>0</v>
      </c>
      <c r="BI45">
        <f t="shared" si="126"/>
        <v>0</v>
      </c>
      <c r="BJ45">
        <f t="shared" si="126"/>
        <v>0</v>
      </c>
      <c r="BK45">
        <f t="shared" si="126"/>
        <v>0</v>
      </c>
      <c r="BL45">
        <f t="shared" si="126"/>
        <v>0</v>
      </c>
      <c r="BM45">
        <f t="shared" si="126"/>
        <v>0</v>
      </c>
      <c r="BN45">
        <f t="shared" si="126"/>
        <v>0</v>
      </c>
      <c r="BO45">
        <f t="shared" ref="BO45:DZ45" si="127">BO29-BO10</f>
        <v>0</v>
      </c>
      <c r="BP45">
        <f t="shared" si="127"/>
        <v>0</v>
      </c>
      <c r="BQ45">
        <f t="shared" si="127"/>
        <v>0</v>
      </c>
      <c r="BR45">
        <f t="shared" si="127"/>
        <v>0</v>
      </c>
      <c r="BS45">
        <f t="shared" si="127"/>
        <v>0</v>
      </c>
      <c r="BT45">
        <f t="shared" si="127"/>
        <v>0</v>
      </c>
      <c r="BU45">
        <f t="shared" si="127"/>
        <v>0</v>
      </c>
      <c r="BV45">
        <f t="shared" si="127"/>
        <v>0</v>
      </c>
      <c r="BW45">
        <f t="shared" si="127"/>
        <v>0</v>
      </c>
      <c r="BX45">
        <f t="shared" si="127"/>
        <v>0</v>
      </c>
      <c r="BY45">
        <f t="shared" si="127"/>
        <v>0</v>
      </c>
      <c r="BZ45">
        <f t="shared" si="127"/>
        <v>0</v>
      </c>
      <c r="CA45">
        <f t="shared" si="127"/>
        <v>0</v>
      </c>
      <c r="CB45">
        <f t="shared" si="127"/>
        <v>0</v>
      </c>
      <c r="CC45">
        <f t="shared" si="127"/>
        <v>0</v>
      </c>
      <c r="CD45">
        <f t="shared" si="127"/>
        <v>0</v>
      </c>
      <c r="CE45">
        <f t="shared" si="127"/>
        <v>0</v>
      </c>
      <c r="CF45">
        <f t="shared" si="127"/>
        <v>0</v>
      </c>
      <c r="CG45">
        <f t="shared" si="127"/>
        <v>0</v>
      </c>
      <c r="CH45">
        <f t="shared" si="127"/>
        <v>0</v>
      </c>
      <c r="CI45">
        <f t="shared" si="127"/>
        <v>0</v>
      </c>
      <c r="CJ45">
        <f t="shared" si="127"/>
        <v>0</v>
      </c>
      <c r="CK45">
        <f t="shared" si="127"/>
        <v>0</v>
      </c>
      <c r="CL45">
        <f t="shared" si="127"/>
        <v>0</v>
      </c>
      <c r="CM45">
        <f t="shared" si="127"/>
        <v>0</v>
      </c>
      <c r="CN45">
        <f t="shared" si="127"/>
        <v>0</v>
      </c>
      <c r="CO45">
        <f t="shared" si="127"/>
        <v>0</v>
      </c>
      <c r="CP45">
        <f t="shared" si="127"/>
        <v>0</v>
      </c>
      <c r="CQ45">
        <f t="shared" si="127"/>
        <v>0</v>
      </c>
      <c r="CR45">
        <f t="shared" si="127"/>
        <v>0</v>
      </c>
      <c r="CS45">
        <f t="shared" si="127"/>
        <v>0</v>
      </c>
      <c r="CT45">
        <f t="shared" si="127"/>
        <v>0</v>
      </c>
      <c r="CU45">
        <f t="shared" si="127"/>
        <v>0</v>
      </c>
      <c r="CV45">
        <f t="shared" si="127"/>
        <v>0</v>
      </c>
      <c r="CW45">
        <f t="shared" si="127"/>
        <v>0</v>
      </c>
      <c r="CX45">
        <f t="shared" si="127"/>
        <v>0</v>
      </c>
      <c r="CY45">
        <f t="shared" si="127"/>
        <v>0</v>
      </c>
      <c r="CZ45">
        <f t="shared" si="127"/>
        <v>0</v>
      </c>
      <c r="DA45">
        <f t="shared" si="127"/>
        <v>0</v>
      </c>
      <c r="DB45">
        <f t="shared" si="127"/>
        <v>0</v>
      </c>
      <c r="DC45">
        <f t="shared" si="127"/>
        <v>0</v>
      </c>
      <c r="DD45">
        <f t="shared" si="127"/>
        <v>0</v>
      </c>
      <c r="DE45">
        <f t="shared" si="127"/>
        <v>0</v>
      </c>
      <c r="DF45">
        <f t="shared" si="127"/>
        <v>0</v>
      </c>
      <c r="DG45">
        <f t="shared" si="127"/>
        <v>0</v>
      </c>
      <c r="DH45">
        <f t="shared" si="127"/>
        <v>0</v>
      </c>
      <c r="DI45">
        <f t="shared" si="127"/>
        <v>0</v>
      </c>
      <c r="DJ45">
        <f t="shared" si="127"/>
        <v>0</v>
      </c>
      <c r="DK45">
        <f t="shared" si="127"/>
        <v>0</v>
      </c>
      <c r="DL45">
        <f t="shared" si="127"/>
        <v>0</v>
      </c>
      <c r="DM45">
        <f t="shared" si="127"/>
        <v>0</v>
      </c>
      <c r="DN45">
        <f t="shared" si="127"/>
        <v>0</v>
      </c>
      <c r="DO45">
        <f t="shared" si="127"/>
        <v>0</v>
      </c>
      <c r="DP45">
        <f t="shared" si="127"/>
        <v>0</v>
      </c>
      <c r="DQ45">
        <f t="shared" si="127"/>
        <v>0</v>
      </c>
      <c r="DR45">
        <f t="shared" si="127"/>
        <v>0</v>
      </c>
      <c r="DS45">
        <f t="shared" si="127"/>
        <v>0</v>
      </c>
      <c r="DT45">
        <f t="shared" si="127"/>
        <v>0</v>
      </c>
      <c r="DU45">
        <f t="shared" si="127"/>
        <v>0</v>
      </c>
      <c r="DV45">
        <f t="shared" si="127"/>
        <v>0</v>
      </c>
      <c r="DW45">
        <f t="shared" si="127"/>
        <v>0</v>
      </c>
      <c r="DX45">
        <f t="shared" si="127"/>
        <v>0</v>
      </c>
      <c r="DY45">
        <f t="shared" si="127"/>
        <v>0</v>
      </c>
      <c r="DZ45">
        <f t="shared" si="127"/>
        <v>0</v>
      </c>
      <c r="EA45">
        <f t="shared" ref="EA45:GL45" si="128">EA29-EA10</f>
        <v>0</v>
      </c>
      <c r="EB45">
        <f t="shared" si="128"/>
        <v>0</v>
      </c>
      <c r="EC45">
        <f t="shared" si="128"/>
        <v>0</v>
      </c>
      <c r="ED45">
        <f t="shared" si="128"/>
        <v>0</v>
      </c>
      <c r="EE45">
        <f t="shared" si="128"/>
        <v>0</v>
      </c>
      <c r="EF45">
        <f t="shared" si="128"/>
        <v>0</v>
      </c>
      <c r="EG45">
        <f t="shared" si="128"/>
        <v>0</v>
      </c>
      <c r="EH45">
        <f t="shared" si="128"/>
        <v>0</v>
      </c>
      <c r="EI45">
        <f t="shared" si="128"/>
        <v>0</v>
      </c>
      <c r="EJ45">
        <f t="shared" si="128"/>
        <v>0</v>
      </c>
      <c r="EK45">
        <f t="shared" si="128"/>
        <v>0</v>
      </c>
      <c r="EL45">
        <f t="shared" si="128"/>
        <v>0</v>
      </c>
      <c r="EM45">
        <f t="shared" si="128"/>
        <v>0</v>
      </c>
      <c r="EN45">
        <f t="shared" si="128"/>
        <v>0</v>
      </c>
      <c r="EO45">
        <f t="shared" si="128"/>
        <v>0</v>
      </c>
      <c r="EP45">
        <f t="shared" si="128"/>
        <v>0</v>
      </c>
      <c r="EQ45">
        <f t="shared" si="128"/>
        <v>0</v>
      </c>
      <c r="ER45">
        <f t="shared" si="128"/>
        <v>0</v>
      </c>
      <c r="ES45">
        <f t="shared" si="128"/>
        <v>0</v>
      </c>
      <c r="ET45">
        <f t="shared" si="128"/>
        <v>0</v>
      </c>
      <c r="EU45">
        <f t="shared" si="128"/>
        <v>0</v>
      </c>
      <c r="EV45">
        <f t="shared" si="128"/>
        <v>0</v>
      </c>
      <c r="EW45">
        <f t="shared" si="128"/>
        <v>0</v>
      </c>
      <c r="EX45">
        <f t="shared" si="128"/>
        <v>0</v>
      </c>
      <c r="EY45">
        <f t="shared" si="128"/>
        <v>0</v>
      </c>
      <c r="EZ45">
        <f t="shared" si="128"/>
        <v>0</v>
      </c>
      <c r="FA45">
        <f t="shared" si="128"/>
        <v>0</v>
      </c>
      <c r="FB45">
        <f t="shared" si="128"/>
        <v>0</v>
      </c>
      <c r="FC45">
        <f t="shared" si="128"/>
        <v>0</v>
      </c>
      <c r="FD45">
        <f t="shared" si="128"/>
        <v>0</v>
      </c>
      <c r="FE45">
        <f t="shared" si="128"/>
        <v>0</v>
      </c>
      <c r="FF45">
        <f t="shared" si="128"/>
        <v>0</v>
      </c>
      <c r="FG45">
        <f t="shared" si="128"/>
        <v>0</v>
      </c>
      <c r="FH45">
        <f t="shared" si="128"/>
        <v>0</v>
      </c>
      <c r="FI45">
        <f t="shared" si="128"/>
        <v>0</v>
      </c>
      <c r="FJ45">
        <f t="shared" si="128"/>
        <v>0</v>
      </c>
      <c r="FK45">
        <f t="shared" si="128"/>
        <v>0</v>
      </c>
      <c r="FL45">
        <f t="shared" si="128"/>
        <v>0</v>
      </c>
      <c r="FM45">
        <f t="shared" si="128"/>
        <v>0</v>
      </c>
      <c r="FN45" s="1">
        <f t="shared" si="128"/>
        <v>0</v>
      </c>
      <c r="FO45" s="1">
        <f t="shared" si="128"/>
        <v>0</v>
      </c>
      <c r="FP45" s="1">
        <f t="shared" si="128"/>
        <v>0</v>
      </c>
      <c r="FQ45" s="1">
        <f t="shared" si="128"/>
        <v>0</v>
      </c>
      <c r="FR45" s="1">
        <f t="shared" si="128"/>
        <v>0</v>
      </c>
      <c r="FS45" s="1">
        <f t="shared" si="128"/>
        <v>0</v>
      </c>
      <c r="FT45" s="1">
        <f t="shared" si="128"/>
        <v>0</v>
      </c>
      <c r="FU45" s="1">
        <f t="shared" si="128"/>
        <v>0</v>
      </c>
      <c r="FV45" s="1">
        <f t="shared" si="128"/>
        <v>0</v>
      </c>
      <c r="FW45" s="1">
        <f t="shared" si="128"/>
        <v>0</v>
      </c>
      <c r="FX45" s="1">
        <f t="shared" si="128"/>
        <v>0</v>
      </c>
      <c r="FY45" s="1">
        <f t="shared" si="128"/>
        <v>0</v>
      </c>
      <c r="FZ45" s="1">
        <f t="shared" si="128"/>
        <v>0</v>
      </c>
      <c r="GA45" s="1">
        <f t="shared" si="128"/>
        <v>0</v>
      </c>
      <c r="GB45" s="1">
        <f t="shared" si="128"/>
        <v>0</v>
      </c>
      <c r="GC45" s="1">
        <f t="shared" si="128"/>
        <v>0</v>
      </c>
      <c r="GD45" s="1">
        <f t="shared" si="128"/>
        <v>0</v>
      </c>
      <c r="GE45" s="1">
        <f t="shared" si="128"/>
        <v>0</v>
      </c>
      <c r="GF45" s="1">
        <f t="shared" si="128"/>
        <v>0</v>
      </c>
      <c r="GG45" s="1">
        <f t="shared" si="128"/>
        <v>0</v>
      </c>
      <c r="GH45" s="1">
        <f t="shared" si="128"/>
        <v>0</v>
      </c>
      <c r="GI45" s="1">
        <f t="shared" si="128"/>
        <v>0</v>
      </c>
      <c r="GJ45" s="1">
        <f t="shared" si="128"/>
        <v>0</v>
      </c>
      <c r="GK45" s="1">
        <f t="shared" si="128"/>
        <v>0</v>
      </c>
      <c r="GL45" s="1">
        <f t="shared" si="128"/>
        <v>0</v>
      </c>
      <c r="GM45" s="1">
        <f t="shared" ref="GM45:IX45" si="129">GM29-GM10</f>
        <v>0</v>
      </c>
      <c r="GN45" s="1">
        <f t="shared" si="129"/>
        <v>0</v>
      </c>
      <c r="GO45" s="1">
        <f t="shared" si="129"/>
        <v>0</v>
      </c>
      <c r="GP45" s="1">
        <f t="shared" si="129"/>
        <v>0</v>
      </c>
      <c r="GQ45" s="1">
        <f t="shared" si="129"/>
        <v>0</v>
      </c>
      <c r="GR45" s="1">
        <f t="shared" si="129"/>
        <v>0</v>
      </c>
      <c r="GS45" s="1">
        <f t="shared" si="129"/>
        <v>0</v>
      </c>
      <c r="GT45" s="1">
        <f t="shared" si="129"/>
        <v>0</v>
      </c>
      <c r="GU45" s="1">
        <f t="shared" si="129"/>
        <v>0</v>
      </c>
      <c r="GV45" s="1">
        <f t="shared" si="129"/>
        <v>0</v>
      </c>
      <c r="GW45" s="1">
        <f t="shared" si="129"/>
        <v>0</v>
      </c>
      <c r="GX45" s="1">
        <f t="shared" si="129"/>
        <v>0</v>
      </c>
      <c r="GY45" s="1">
        <f t="shared" si="129"/>
        <v>0</v>
      </c>
      <c r="GZ45" s="1">
        <f t="shared" si="129"/>
        <v>0</v>
      </c>
      <c r="HA45" s="1">
        <f t="shared" si="129"/>
        <v>0</v>
      </c>
      <c r="HB45" s="1">
        <f t="shared" si="129"/>
        <v>0</v>
      </c>
      <c r="HC45" s="1">
        <f t="shared" si="129"/>
        <v>0</v>
      </c>
      <c r="HD45" s="1">
        <f t="shared" si="129"/>
        <v>0</v>
      </c>
      <c r="HE45" s="1">
        <f t="shared" si="129"/>
        <v>0</v>
      </c>
      <c r="HF45" s="1">
        <f t="shared" si="129"/>
        <v>0</v>
      </c>
      <c r="HG45" s="1">
        <f t="shared" si="129"/>
        <v>0</v>
      </c>
      <c r="HH45" s="1">
        <f t="shared" si="129"/>
        <v>0</v>
      </c>
      <c r="HI45" s="1">
        <f t="shared" si="129"/>
        <v>0</v>
      </c>
      <c r="HJ45" s="1">
        <f t="shared" si="129"/>
        <v>0</v>
      </c>
      <c r="HK45" s="1">
        <f t="shared" si="129"/>
        <v>0</v>
      </c>
      <c r="HL45" s="1">
        <f t="shared" si="129"/>
        <v>0</v>
      </c>
      <c r="HM45" s="1">
        <f t="shared" si="129"/>
        <v>0</v>
      </c>
      <c r="HN45" s="1">
        <f t="shared" si="129"/>
        <v>0</v>
      </c>
      <c r="HO45" s="1">
        <f t="shared" si="129"/>
        <v>0</v>
      </c>
      <c r="HP45" s="1">
        <f t="shared" si="129"/>
        <v>0</v>
      </c>
      <c r="HQ45" s="1">
        <f t="shared" si="129"/>
        <v>0</v>
      </c>
      <c r="HR45" s="1">
        <f t="shared" si="129"/>
        <v>0</v>
      </c>
      <c r="HS45" s="1">
        <f t="shared" si="129"/>
        <v>0</v>
      </c>
      <c r="HT45" s="1">
        <f t="shared" si="129"/>
        <v>0</v>
      </c>
      <c r="HU45" s="1">
        <f t="shared" si="129"/>
        <v>0</v>
      </c>
      <c r="HV45" s="1">
        <f t="shared" si="129"/>
        <v>0</v>
      </c>
      <c r="HW45" s="1">
        <f t="shared" si="129"/>
        <v>0</v>
      </c>
      <c r="HX45" s="1">
        <f t="shared" si="129"/>
        <v>0</v>
      </c>
      <c r="HY45" s="1">
        <f t="shared" si="129"/>
        <v>0</v>
      </c>
      <c r="HZ45" s="1">
        <f t="shared" si="129"/>
        <v>0</v>
      </c>
      <c r="IA45" s="1">
        <f t="shared" si="129"/>
        <v>0</v>
      </c>
      <c r="IB45" s="1">
        <f t="shared" si="129"/>
        <v>0</v>
      </c>
      <c r="IC45" s="1">
        <f t="shared" si="129"/>
        <v>0</v>
      </c>
      <c r="ID45" s="1">
        <f t="shared" si="129"/>
        <v>0</v>
      </c>
      <c r="IE45" s="1">
        <f t="shared" si="129"/>
        <v>0</v>
      </c>
      <c r="IF45" s="1">
        <f t="shared" si="129"/>
        <v>0</v>
      </c>
      <c r="IG45" s="1">
        <f t="shared" si="129"/>
        <v>0</v>
      </c>
      <c r="IH45" s="1">
        <f t="shared" si="129"/>
        <v>0</v>
      </c>
      <c r="II45" s="1">
        <f t="shared" si="129"/>
        <v>0</v>
      </c>
      <c r="IJ45" s="1">
        <f t="shared" si="129"/>
        <v>0</v>
      </c>
      <c r="IK45" s="1">
        <f t="shared" si="129"/>
        <v>0</v>
      </c>
      <c r="IL45" s="1">
        <f t="shared" si="129"/>
        <v>0</v>
      </c>
      <c r="IM45" s="1">
        <f t="shared" si="129"/>
        <v>0</v>
      </c>
      <c r="IN45" s="1">
        <f t="shared" si="129"/>
        <v>0</v>
      </c>
      <c r="IO45" s="1">
        <f t="shared" si="129"/>
        <v>0</v>
      </c>
      <c r="IP45" s="1">
        <f t="shared" si="129"/>
        <v>0</v>
      </c>
      <c r="IQ45" s="1">
        <f t="shared" si="129"/>
        <v>0</v>
      </c>
      <c r="IR45" s="1">
        <f t="shared" si="129"/>
        <v>0</v>
      </c>
      <c r="IS45" s="1">
        <f t="shared" si="129"/>
        <v>0</v>
      </c>
      <c r="IT45" s="1">
        <f t="shared" si="129"/>
        <v>0</v>
      </c>
      <c r="IU45" s="1">
        <f t="shared" si="129"/>
        <v>0</v>
      </c>
      <c r="IV45" s="1">
        <f t="shared" si="129"/>
        <v>0</v>
      </c>
      <c r="IW45" s="1">
        <f t="shared" si="129"/>
        <v>0</v>
      </c>
      <c r="IX45" s="1">
        <f t="shared" si="129"/>
        <v>0</v>
      </c>
      <c r="IY45" s="1">
        <f t="shared" ref="IY45:LJ45" si="130">IY29-IY10</f>
        <v>0</v>
      </c>
      <c r="IZ45" s="1">
        <f t="shared" si="130"/>
        <v>0</v>
      </c>
      <c r="JA45" s="1">
        <f t="shared" si="130"/>
        <v>0</v>
      </c>
      <c r="JB45" s="1">
        <f t="shared" si="130"/>
        <v>0</v>
      </c>
      <c r="JC45" s="1">
        <f t="shared" si="130"/>
        <v>0</v>
      </c>
      <c r="JD45" s="1">
        <f t="shared" si="130"/>
        <v>0</v>
      </c>
      <c r="JE45" s="1">
        <f t="shared" si="130"/>
        <v>0</v>
      </c>
      <c r="JF45" s="1">
        <f t="shared" si="130"/>
        <v>0</v>
      </c>
      <c r="JG45" s="1">
        <f t="shared" si="130"/>
        <v>0</v>
      </c>
      <c r="JH45" s="1">
        <f t="shared" si="130"/>
        <v>0</v>
      </c>
      <c r="JI45" s="1">
        <f t="shared" si="130"/>
        <v>0</v>
      </c>
      <c r="JJ45" s="1">
        <f t="shared" si="130"/>
        <v>0</v>
      </c>
      <c r="JK45" s="1">
        <f t="shared" si="130"/>
        <v>0</v>
      </c>
      <c r="JL45" s="1">
        <f t="shared" si="130"/>
        <v>0</v>
      </c>
      <c r="JM45" s="1">
        <f t="shared" si="130"/>
        <v>0</v>
      </c>
      <c r="JN45" s="1">
        <f t="shared" si="130"/>
        <v>0</v>
      </c>
      <c r="JO45" s="1">
        <f t="shared" si="130"/>
        <v>0</v>
      </c>
      <c r="JP45" s="1">
        <f t="shared" si="130"/>
        <v>0</v>
      </c>
      <c r="JQ45" s="1">
        <f t="shared" si="130"/>
        <v>0</v>
      </c>
      <c r="JR45" s="1">
        <f t="shared" si="130"/>
        <v>0</v>
      </c>
      <c r="JS45" s="1">
        <f t="shared" si="130"/>
        <v>0</v>
      </c>
      <c r="JT45" s="1">
        <f t="shared" si="130"/>
        <v>0</v>
      </c>
      <c r="JU45" s="1">
        <f t="shared" si="130"/>
        <v>0</v>
      </c>
      <c r="JV45" s="1">
        <f t="shared" si="130"/>
        <v>0</v>
      </c>
      <c r="JW45" s="1">
        <f t="shared" si="130"/>
        <v>0</v>
      </c>
      <c r="JX45" s="1">
        <f t="shared" si="130"/>
        <v>0</v>
      </c>
      <c r="JY45" s="1">
        <f t="shared" si="130"/>
        <v>0</v>
      </c>
      <c r="JZ45" s="1">
        <f t="shared" si="130"/>
        <v>0</v>
      </c>
      <c r="KA45" s="1">
        <f t="shared" si="130"/>
        <v>0</v>
      </c>
      <c r="KB45" s="1">
        <f t="shared" si="130"/>
        <v>0</v>
      </c>
      <c r="KC45" s="1">
        <f t="shared" si="130"/>
        <v>0</v>
      </c>
      <c r="KD45" s="1">
        <f t="shared" si="130"/>
        <v>0</v>
      </c>
      <c r="KE45" s="1">
        <f t="shared" si="130"/>
        <v>0</v>
      </c>
      <c r="KF45" s="1">
        <f t="shared" si="130"/>
        <v>0</v>
      </c>
      <c r="KG45" s="1">
        <f t="shared" si="130"/>
        <v>0</v>
      </c>
      <c r="KH45" s="1">
        <f t="shared" si="130"/>
        <v>0</v>
      </c>
      <c r="KI45" s="1">
        <f t="shared" si="130"/>
        <v>0</v>
      </c>
      <c r="KJ45" s="1">
        <f t="shared" si="130"/>
        <v>0</v>
      </c>
      <c r="KK45" s="1">
        <f t="shared" si="130"/>
        <v>0</v>
      </c>
      <c r="KL45" s="1">
        <f t="shared" si="130"/>
        <v>0</v>
      </c>
      <c r="KM45" s="1">
        <f t="shared" si="130"/>
        <v>0</v>
      </c>
      <c r="KN45" s="1">
        <f t="shared" si="130"/>
        <v>0</v>
      </c>
      <c r="KO45" s="1">
        <f t="shared" si="130"/>
        <v>0</v>
      </c>
      <c r="KP45" s="1">
        <f t="shared" si="130"/>
        <v>0</v>
      </c>
      <c r="KQ45" s="1">
        <f t="shared" si="130"/>
        <v>0</v>
      </c>
      <c r="KR45" s="1">
        <f t="shared" si="130"/>
        <v>0</v>
      </c>
      <c r="KS45" s="1">
        <f t="shared" si="130"/>
        <v>0</v>
      </c>
      <c r="KT45" s="1">
        <f t="shared" si="130"/>
        <v>0</v>
      </c>
      <c r="KU45" s="1">
        <f t="shared" si="130"/>
        <v>0</v>
      </c>
      <c r="KV45" s="1">
        <f t="shared" si="130"/>
        <v>0</v>
      </c>
      <c r="KW45" s="1">
        <f t="shared" si="130"/>
        <v>0</v>
      </c>
      <c r="KX45" s="1">
        <f t="shared" si="130"/>
        <v>0</v>
      </c>
      <c r="KY45" s="1">
        <f t="shared" si="130"/>
        <v>0</v>
      </c>
      <c r="KZ45" s="1">
        <f t="shared" si="130"/>
        <v>0</v>
      </c>
      <c r="LA45" s="1">
        <f t="shared" si="130"/>
        <v>0</v>
      </c>
      <c r="LB45" s="1">
        <f t="shared" si="130"/>
        <v>0</v>
      </c>
      <c r="LC45" s="1">
        <f t="shared" si="130"/>
        <v>0</v>
      </c>
      <c r="LD45" s="1">
        <f t="shared" si="130"/>
        <v>0</v>
      </c>
      <c r="LE45" s="1">
        <f t="shared" si="130"/>
        <v>0</v>
      </c>
      <c r="LF45" s="1">
        <f t="shared" si="130"/>
        <v>0</v>
      </c>
      <c r="LG45" s="1">
        <f t="shared" si="130"/>
        <v>0</v>
      </c>
      <c r="LH45" s="1">
        <f t="shared" si="130"/>
        <v>0</v>
      </c>
      <c r="LI45" s="1">
        <f t="shared" si="130"/>
        <v>0</v>
      </c>
      <c r="LJ45" s="1">
        <f t="shared" si="130"/>
        <v>0</v>
      </c>
      <c r="LK45" s="1">
        <f t="shared" ref="LK45:NV45" si="131">LK29-LK10</f>
        <v>0</v>
      </c>
      <c r="LL45" s="1">
        <f t="shared" si="131"/>
        <v>0</v>
      </c>
      <c r="LM45" s="1">
        <f t="shared" si="131"/>
        <v>0</v>
      </c>
      <c r="LN45" s="1">
        <f t="shared" si="131"/>
        <v>0</v>
      </c>
      <c r="LO45" s="1">
        <f t="shared" si="131"/>
        <v>0</v>
      </c>
      <c r="LP45" s="1">
        <f t="shared" si="131"/>
        <v>0</v>
      </c>
      <c r="LQ45" s="1">
        <f t="shared" si="131"/>
        <v>0</v>
      </c>
      <c r="LR45" s="1">
        <f t="shared" si="131"/>
        <v>0</v>
      </c>
      <c r="LS45" s="1">
        <f t="shared" si="131"/>
        <v>0</v>
      </c>
      <c r="LT45" s="1">
        <f t="shared" si="131"/>
        <v>0</v>
      </c>
      <c r="LU45" s="1">
        <f t="shared" si="131"/>
        <v>0</v>
      </c>
      <c r="LV45" s="1">
        <f t="shared" si="131"/>
        <v>0</v>
      </c>
      <c r="LW45" s="1">
        <f t="shared" si="131"/>
        <v>0</v>
      </c>
      <c r="LX45" s="1">
        <f t="shared" si="131"/>
        <v>0</v>
      </c>
      <c r="LY45" s="1">
        <f t="shared" si="131"/>
        <v>0</v>
      </c>
      <c r="LZ45" s="1">
        <f t="shared" si="131"/>
        <v>0</v>
      </c>
      <c r="MA45" s="1">
        <f t="shared" si="131"/>
        <v>0</v>
      </c>
      <c r="MB45" s="1">
        <f t="shared" si="131"/>
        <v>0</v>
      </c>
      <c r="MC45" s="1">
        <f t="shared" si="131"/>
        <v>0</v>
      </c>
      <c r="MD45" s="1">
        <f t="shared" si="131"/>
        <v>0</v>
      </c>
      <c r="ME45" s="1">
        <f t="shared" si="131"/>
        <v>0</v>
      </c>
      <c r="MF45" s="1">
        <f t="shared" si="131"/>
        <v>0</v>
      </c>
      <c r="MG45" s="1">
        <f t="shared" si="131"/>
        <v>0</v>
      </c>
      <c r="MH45" s="1">
        <f t="shared" si="131"/>
        <v>0</v>
      </c>
      <c r="MI45" s="1">
        <f t="shared" si="131"/>
        <v>0</v>
      </c>
      <c r="MJ45" s="1">
        <f t="shared" si="131"/>
        <v>0</v>
      </c>
      <c r="MK45" s="1">
        <f t="shared" si="131"/>
        <v>0</v>
      </c>
      <c r="ML45" s="1">
        <f t="shared" si="131"/>
        <v>0</v>
      </c>
      <c r="MM45" s="1">
        <f t="shared" si="131"/>
        <v>0</v>
      </c>
      <c r="MN45" s="1">
        <f t="shared" si="131"/>
        <v>0</v>
      </c>
      <c r="MO45" s="1">
        <f t="shared" si="131"/>
        <v>0</v>
      </c>
      <c r="MP45" s="1">
        <f t="shared" si="131"/>
        <v>0</v>
      </c>
      <c r="MQ45" s="1">
        <f t="shared" si="131"/>
        <v>0</v>
      </c>
      <c r="MR45" s="1">
        <f t="shared" si="131"/>
        <v>0</v>
      </c>
      <c r="MS45" s="1">
        <f t="shared" si="131"/>
        <v>0</v>
      </c>
      <c r="MT45" s="1">
        <f t="shared" si="131"/>
        <v>0</v>
      </c>
      <c r="MU45" s="1">
        <f t="shared" si="131"/>
        <v>0</v>
      </c>
      <c r="MV45" s="1">
        <f t="shared" si="131"/>
        <v>0</v>
      </c>
      <c r="MW45" s="1">
        <f t="shared" si="131"/>
        <v>0</v>
      </c>
      <c r="MX45" s="1">
        <f t="shared" si="131"/>
        <v>0</v>
      </c>
      <c r="MY45" s="1">
        <f t="shared" si="131"/>
        <v>0</v>
      </c>
      <c r="MZ45" s="1">
        <f t="shared" si="131"/>
        <v>0</v>
      </c>
      <c r="NA45" s="1">
        <f t="shared" si="131"/>
        <v>0</v>
      </c>
      <c r="NB45" s="1">
        <f t="shared" si="131"/>
        <v>0</v>
      </c>
      <c r="NC45" s="1">
        <f t="shared" si="131"/>
        <v>0</v>
      </c>
      <c r="ND45" s="1">
        <f t="shared" si="131"/>
        <v>0</v>
      </c>
      <c r="NE45" s="1">
        <f t="shared" si="131"/>
        <v>0</v>
      </c>
      <c r="NF45" s="1">
        <f t="shared" si="131"/>
        <v>0</v>
      </c>
      <c r="NG45" s="1">
        <f t="shared" si="131"/>
        <v>0</v>
      </c>
      <c r="NH45" s="1">
        <f t="shared" si="131"/>
        <v>0</v>
      </c>
      <c r="NI45" s="1">
        <f t="shared" si="131"/>
        <v>0</v>
      </c>
      <c r="NJ45" s="1">
        <f t="shared" si="131"/>
        <v>0</v>
      </c>
      <c r="NK45" s="1">
        <f t="shared" si="131"/>
        <v>0</v>
      </c>
      <c r="NL45" s="1">
        <f t="shared" si="131"/>
        <v>0</v>
      </c>
      <c r="NM45" s="1">
        <f t="shared" si="131"/>
        <v>0</v>
      </c>
      <c r="NN45" s="1">
        <f t="shared" si="131"/>
        <v>0</v>
      </c>
      <c r="NO45" s="1">
        <f t="shared" si="131"/>
        <v>0</v>
      </c>
      <c r="NP45" s="1">
        <f t="shared" si="131"/>
        <v>0</v>
      </c>
      <c r="NQ45" s="1">
        <f t="shared" si="131"/>
        <v>0</v>
      </c>
      <c r="NR45" s="1">
        <f t="shared" si="131"/>
        <v>0</v>
      </c>
      <c r="NS45" s="1">
        <f t="shared" si="131"/>
        <v>0</v>
      </c>
      <c r="NT45" s="1">
        <f t="shared" si="131"/>
        <v>0</v>
      </c>
      <c r="NU45" s="1">
        <f t="shared" si="131"/>
        <v>0</v>
      </c>
      <c r="NV45" s="1">
        <f t="shared" si="131"/>
        <v>0</v>
      </c>
      <c r="NW45" s="1">
        <f t="shared" ref="NW45:QH45" si="132">NW29-NW10</f>
        <v>0</v>
      </c>
      <c r="NX45" s="1">
        <f t="shared" si="132"/>
        <v>0</v>
      </c>
      <c r="NY45" s="1">
        <f t="shared" si="132"/>
        <v>0</v>
      </c>
      <c r="NZ45" s="1">
        <f t="shared" si="132"/>
        <v>0</v>
      </c>
      <c r="OA45" s="1">
        <f t="shared" si="132"/>
        <v>0</v>
      </c>
      <c r="OB45" s="1">
        <f t="shared" si="132"/>
        <v>0</v>
      </c>
      <c r="OC45" s="1">
        <f t="shared" si="132"/>
        <v>0</v>
      </c>
      <c r="OD45" s="1">
        <f t="shared" si="132"/>
        <v>0</v>
      </c>
      <c r="OE45" s="1">
        <f t="shared" si="132"/>
        <v>0</v>
      </c>
      <c r="OF45" s="1">
        <f t="shared" si="132"/>
        <v>0</v>
      </c>
      <c r="OG45" s="1">
        <f t="shared" si="132"/>
        <v>0</v>
      </c>
      <c r="OH45" s="1">
        <f t="shared" si="132"/>
        <v>0</v>
      </c>
      <c r="OI45" s="1">
        <f t="shared" si="132"/>
        <v>0</v>
      </c>
      <c r="OJ45" s="1">
        <f t="shared" si="132"/>
        <v>0</v>
      </c>
      <c r="OK45" s="1">
        <f t="shared" si="132"/>
        <v>0</v>
      </c>
      <c r="OL45" s="1">
        <f t="shared" si="132"/>
        <v>0</v>
      </c>
      <c r="OM45" s="1">
        <f t="shared" si="132"/>
        <v>0</v>
      </c>
      <c r="ON45" s="1">
        <f t="shared" si="132"/>
        <v>0</v>
      </c>
      <c r="OO45" s="1">
        <f t="shared" si="132"/>
        <v>0</v>
      </c>
      <c r="OP45" s="1">
        <f t="shared" si="132"/>
        <v>0</v>
      </c>
      <c r="OQ45" s="1">
        <f t="shared" si="132"/>
        <v>0</v>
      </c>
      <c r="OR45" s="1">
        <f t="shared" si="132"/>
        <v>0</v>
      </c>
      <c r="OS45" s="1">
        <f t="shared" si="132"/>
        <v>0</v>
      </c>
      <c r="OT45" s="1">
        <f t="shared" si="132"/>
        <v>0</v>
      </c>
      <c r="OU45" s="1">
        <f t="shared" si="132"/>
        <v>0</v>
      </c>
      <c r="OV45" s="1">
        <f t="shared" si="132"/>
        <v>0</v>
      </c>
      <c r="OW45" s="1">
        <f t="shared" si="132"/>
        <v>0</v>
      </c>
      <c r="OX45" s="1">
        <f t="shared" si="132"/>
        <v>0</v>
      </c>
      <c r="OY45" s="1">
        <f t="shared" si="132"/>
        <v>0</v>
      </c>
      <c r="OZ45" s="1">
        <f t="shared" si="132"/>
        <v>0</v>
      </c>
      <c r="PA45" s="1">
        <f t="shared" si="132"/>
        <v>0</v>
      </c>
      <c r="PB45" s="1">
        <f t="shared" si="132"/>
        <v>0</v>
      </c>
      <c r="PC45" s="1">
        <f t="shared" si="132"/>
        <v>0</v>
      </c>
      <c r="PD45" s="1">
        <f t="shared" si="132"/>
        <v>0</v>
      </c>
      <c r="PE45" s="1">
        <f t="shared" si="132"/>
        <v>0</v>
      </c>
      <c r="PF45" s="1">
        <f t="shared" si="132"/>
        <v>0</v>
      </c>
      <c r="PG45" s="1">
        <f t="shared" si="132"/>
        <v>0</v>
      </c>
      <c r="PH45" s="1">
        <f t="shared" si="132"/>
        <v>0</v>
      </c>
      <c r="PI45" s="1">
        <f t="shared" si="132"/>
        <v>0</v>
      </c>
      <c r="PJ45" s="1">
        <f t="shared" si="132"/>
        <v>0</v>
      </c>
      <c r="PK45" s="1">
        <f t="shared" si="132"/>
        <v>0</v>
      </c>
      <c r="PL45" s="1">
        <f t="shared" si="132"/>
        <v>0</v>
      </c>
      <c r="PM45" s="1">
        <f t="shared" si="132"/>
        <v>0</v>
      </c>
      <c r="PN45" s="1">
        <f t="shared" si="132"/>
        <v>0</v>
      </c>
      <c r="PO45" s="1">
        <f t="shared" si="132"/>
        <v>0</v>
      </c>
      <c r="PP45" s="1">
        <f t="shared" si="132"/>
        <v>0</v>
      </c>
      <c r="PQ45" s="1">
        <f t="shared" si="132"/>
        <v>0</v>
      </c>
      <c r="PR45" s="1">
        <f t="shared" si="132"/>
        <v>0</v>
      </c>
      <c r="PS45" s="1">
        <f t="shared" si="132"/>
        <v>0</v>
      </c>
      <c r="PT45" s="1">
        <f t="shared" si="132"/>
        <v>0</v>
      </c>
      <c r="PU45" s="1">
        <f t="shared" si="132"/>
        <v>0</v>
      </c>
      <c r="PV45" s="1">
        <f t="shared" si="132"/>
        <v>0</v>
      </c>
      <c r="PW45" s="1">
        <f t="shared" si="132"/>
        <v>0</v>
      </c>
      <c r="PX45" s="1">
        <f t="shared" si="132"/>
        <v>0</v>
      </c>
      <c r="PY45" s="1">
        <f t="shared" si="132"/>
        <v>0</v>
      </c>
      <c r="PZ45" s="1">
        <f t="shared" si="132"/>
        <v>0</v>
      </c>
      <c r="QA45" s="1">
        <f t="shared" si="132"/>
        <v>0</v>
      </c>
      <c r="QB45" s="1">
        <f t="shared" si="132"/>
        <v>0</v>
      </c>
      <c r="QC45" s="1">
        <f t="shared" si="132"/>
        <v>0</v>
      </c>
      <c r="QD45" s="1">
        <f t="shared" si="132"/>
        <v>0</v>
      </c>
      <c r="QE45" s="1">
        <f t="shared" si="132"/>
        <v>0</v>
      </c>
      <c r="QF45" s="1">
        <f t="shared" si="132"/>
        <v>0</v>
      </c>
      <c r="QG45" s="1">
        <f t="shared" si="132"/>
        <v>0</v>
      </c>
      <c r="QH45" s="1">
        <f t="shared" si="132"/>
        <v>0</v>
      </c>
      <c r="QI45" s="1">
        <f t="shared" ref="QI45:SG45" si="133">QI29-QI10</f>
        <v>0</v>
      </c>
      <c r="QJ45" s="1">
        <f t="shared" si="133"/>
        <v>0</v>
      </c>
      <c r="QK45" s="1">
        <f t="shared" si="133"/>
        <v>0</v>
      </c>
      <c r="QL45" s="1">
        <f t="shared" si="133"/>
        <v>0</v>
      </c>
      <c r="QM45" s="1">
        <f t="shared" si="133"/>
        <v>0</v>
      </c>
      <c r="QN45" s="1">
        <f t="shared" si="133"/>
        <v>0</v>
      </c>
      <c r="QO45" s="1">
        <f t="shared" si="133"/>
        <v>0</v>
      </c>
      <c r="QP45" s="1">
        <f t="shared" si="133"/>
        <v>0</v>
      </c>
      <c r="QQ45" s="1">
        <f t="shared" si="133"/>
        <v>0</v>
      </c>
      <c r="QR45" s="1">
        <f t="shared" si="133"/>
        <v>0</v>
      </c>
      <c r="QS45" s="1">
        <f t="shared" si="133"/>
        <v>0</v>
      </c>
      <c r="QT45" s="1">
        <f t="shared" si="133"/>
        <v>0</v>
      </c>
      <c r="QU45" s="1">
        <f t="shared" si="133"/>
        <v>0</v>
      </c>
      <c r="QV45" s="1">
        <f t="shared" si="133"/>
        <v>0</v>
      </c>
      <c r="QW45" s="1">
        <f t="shared" si="133"/>
        <v>0</v>
      </c>
      <c r="QX45" s="1">
        <f t="shared" si="133"/>
        <v>0</v>
      </c>
      <c r="QY45" s="1">
        <f t="shared" si="133"/>
        <v>0</v>
      </c>
      <c r="QZ45" s="1">
        <f t="shared" si="133"/>
        <v>0</v>
      </c>
      <c r="RA45" s="1">
        <f t="shared" si="133"/>
        <v>0</v>
      </c>
      <c r="RB45" s="1">
        <f t="shared" si="133"/>
        <v>0</v>
      </c>
      <c r="RC45" s="1">
        <f t="shared" si="133"/>
        <v>0</v>
      </c>
      <c r="RD45" s="1">
        <f t="shared" si="133"/>
        <v>0</v>
      </c>
      <c r="RE45" s="1">
        <f t="shared" si="133"/>
        <v>0</v>
      </c>
      <c r="RF45" s="1">
        <f t="shared" si="133"/>
        <v>0</v>
      </c>
      <c r="RG45" s="1">
        <f t="shared" si="133"/>
        <v>0</v>
      </c>
      <c r="RH45" s="1">
        <f t="shared" si="133"/>
        <v>0</v>
      </c>
      <c r="RI45" s="1">
        <f t="shared" si="133"/>
        <v>0</v>
      </c>
      <c r="RJ45" s="1">
        <f t="shared" si="133"/>
        <v>0</v>
      </c>
      <c r="RK45" s="1">
        <f t="shared" si="133"/>
        <v>0</v>
      </c>
      <c r="RL45" s="1">
        <f t="shared" si="133"/>
        <v>0</v>
      </c>
      <c r="RM45" s="1">
        <f t="shared" si="133"/>
        <v>0</v>
      </c>
      <c r="RN45" s="1">
        <f t="shared" si="133"/>
        <v>0</v>
      </c>
      <c r="RO45" s="1">
        <f t="shared" si="133"/>
        <v>0</v>
      </c>
      <c r="RP45" s="1">
        <f t="shared" si="133"/>
        <v>0</v>
      </c>
      <c r="RQ45" s="1">
        <f t="shared" si="133"/>
        <v>0</v>
      </c>
      <c r="RR45" s="1">
        <f t="shared" si="133"/>
        <v>0</v>
      </c>
      <c r="RS45" s="1">
        <f t="shared" si="133"/>
        <v>0</v>
      </c>
      <c r="RT45" s="1">
        <f t="shared" si="133"/>
        <v>0</v>
      </c>
      <c r="RU45" s="1">
        <f t="shared" si="133"/>
        <v>0</v>
      </c>
      <c r="RV45" s="1">
        <f t="shared" si="133"/>
        <v>0</v>
      </c>
      <c r="RW45" s="1">
        <f t="shared" si="133"/>
        <v>0</v>
      </c>
      <c r="RX45" s="1">
        <f t="shared" si="133"/>
        <v>0</v>
      </c>
      <c r="RY45" s="1">
        <f t="shared" si="133"/>
        <v>0</v>
      </c>
      <c r="RZ45" s="1">
        <f t="shared" si="133"/>
        <v>0</v>
      </c>
      <c r="SA45" s="1">
        <f t="shared" si="133"/>
        <v>0</v>
      </c>
      <c r="SB45" s="1">
        <f t="shared" si="133"/>
        <v>0</v>
      </c>
      <c r="SC45" s="1">
        <f t="shared" si="133"/>
        <v>0</v>
      </c>
      <c r="SD45" s="1">
        <f t="shared" si="133"/>
        <v>0</v>
      </c>
      <c r="SE45" s="1">
        <f t="shared" si="133"/>
        <v>0</v>
      </c>
      <c r="SF45" s="1">
        <f t="shared" si="133"/>
        <v>0</v>
      </c>
      <c r="SG45" s="1">
        <f t="shared" si="133"/>
        <v>0</v>
      </c>
      <c r="SH45" s="1">
        <f t="shared" ref="SH45:US45" si="134">SH29-SH10</f>
        <v>0</v>
      </c>
      <c r="SI45" s="1">
        <f t="shared" si="134"/>
        <v>0</v>
      </c>
      <c r="SJ45" s="1">
        <f t="shared" si="134"/>
        <v>0</v>
      </c>
      <c r="SK45" s="1">
        <f t="shared" si="134"/>
        <v>0</v>
      </c>
      <c r="SL45" s="1">
        <f t="shared" si="134"/>
        <v>0</v>
      </c>
      <c r="SM45" s="1">
        <f t="shared" si="134"/>
        <v>0</v>
      </c>
      <c r="SN45" s="1">
        <f t="shared" si="134"/>
        <v>0</v>
      </c>
      <c r="SO45" s="1">
        <f t="shared" si="134"/>
        <v>0</v>
      </c>
      <c r="SP45" s="1">
        <f t="shared" si="134"/>
        <v>0</v>
      </c>
      <c r="SQ45" s="1">
        <f t="shared" si="134"/>
        <v>0</v>
      </c>
      <c r="SR45" s="1">
        <f t="shared" si="134"/>
        <v>0</v>
      </c>
      <c r="SS45" s="1">
        <f t="shared" si="134"/>
        <v>0</v>
      </c>
      <c r="ST45" s="1">
        <f t="shared" si="134"/>
        <v>0</v>
      </c>
      <c r="SU45" s="1">
        <f t="shared" si="134"/>
        <v>0</v>
      </c>
      <c r="SV45" s="1">
        <f t="shared" si="134"/>
        <v>0</v>
      </c>
      <c r="SW45" s="1">
        <f t="shared" si="134"/>
        <v>0</v>
      </c>
      <c r="SX45" s="1">
        <f t="shared" si="134"/>
        <v>0</v>
      </c>
      <c r="SY45" s="1">
        <f t="shared" si="134"/>
        <v>0</v>
      </c>
      <c r="SZ45" s="1">
        <f t="shared" si="134"/>
        <v>0</v>
      </c>
      <c r="TA45" s="1">
        <f t="shared" si="134"/>
        <v>0</v>
      </c>
      <c r="TB45" s="1">
        <f t="shared" si="134"/>
        <v>0</v>
      </c>
      <c r="TC45" s="1">
        <f t="shared" si="134"/>
        <v>0</v>
      </c>
      <c r="TD45" s="1">
        <f t="shared" si="134"/>
        <v>0</v>
      </c>
      <c r="TE45" s="1">
        <f t="shared" si="134"/>
        <v>0</v>
      </c>
      <c r="TF45" s="1">
        <f t="shared" si="134"/>
        <v>0</v>
      </c>
      <c r="TG45" s="1">
        <f t="shared" si="134"/>
        <v>0</v>
      </c>
      <c r="TH45" s="1">
        <f t="shared" si="134"/>
        <v>0</v>
      </c>
      <c r="TI45" s="1">
        <f t="shared" si="134"/>
        <v>0</v>
      </c>
      <c r="TJ45" s="1">
        <f t="shared" si="134"/>
        <v>0</v>
      </c>
      <c r="TK45" s="1">
        <f t="shared" si="134"/>
        <v>0</v>
      </c>
      <c r="TL45" s="1">
        <f t="shared" si="134"/>
        <v>0</v>
      </c>
      <c r="TM45" s="1">
        <f t="shared" si="134"/>
        <v>0</v>
      </c>
      <c r="TN45" s="1">
        <f t="shared" si="134"/>
        <v>0</v>
      </c>
      <c r="TO45" s="1">
        <f t="shared" si="134"/>
        <v>0</v>
      </c>
      <c r="TP45" s="1">
        <f t="shared" si="134"/>
        <v>0</v>
      </c>
      <c r="TQ45" s="1">
        <f t="shared" si="134"/>
        <v>0</v>
      </c>
      <c r="TR45" s="1">
        <f t="shared" si="134"/>
        <v>0</v>
      </c>
      <c r="TS45" s="1">
        <f t="shared" si="134"/>
        <v>0</v>
      </c>
      <c r="TT45" s="1">
        <f t="shared" si="134"/>
        <v>0</v>
      </c>
      <c r="TU45" s="1">
        <f t="shared" si="134"/>
        <v>0</v>
      </c>
      <c r="TV45" s="1">
        <f t="shared" si="134"/>
        <v>0</v>
      </c>
      <c r="TW45" s="1">
        <f t="shared" si="134"/>
        <v>0</v>
      </c>
      <c r="TX45" s="1">
        <f t="shared" si="134"/>
        <v>0</v>
      </c>
      <c r="TY45" s="1">
        <f t="shared" si="134"/>
        <v>0</v>
      </c>
      <c r="TZ45" s="1">
        <f t="shared" si="134"/>
        <v>0</v>
      </c>
      <c r="UA45" s="1">
        <f t="shared" si="134"/>
        <v>0</v>
      </c>
      <c r="UB45" s="1">
        <f t="shared" si="134"/>
        <v>0</v>
      </c>
      <c r="UC45" s="1">
        <f t="shared" si="134"/>
        <v>0</v>
      </c>
      <c r="UD45" s="1">
        <f t="shared" si="134"/>
        <v>0</v>
      </c>
      <c r="UE45" s="1">
        <f t="shared" si="134"/>
        <v>0</v>
      </c>
      <c r="UF45" s="1">
        <f t="shared" si="134"/>
        <v>0</v>
      </c>
      <c r="UG45" s="1">
        <f t="shared" si="134"/>
        <v>0</v>
      </c>
      <c r="UH45" s="1">
        <f t="shared" si="134"/>
        <v>0</v>
      </c>
      <c r="UI45" s="1">
        <f t="shared" si="134"/>
        <v>0</v>
      </c>
      <c r="UJ45" s="1">
        <f t="shared" si="134"/>
        <v>0</v>
      </c>
      <c r="UK45" s="1">
        <f t="shared" si="134"/>
        <v>0</v>
      </c>
      <c r="UL45" s="1">
        <f t="shared" si="134"/>
        <v>0</v>
      </c>
      <c r="UM45" s="1">
        <f t="shared" si="134"/>
        <v>0</v>
      </c>
      <c r="UN45" s="1">
        <f t="shared" si="134"/>
        <v>0</v>
      </c>
      <c r="UO45" s="1">
        <f t="shared" si="134"/>
        <v>0</v>
      </c>
      <c r="UP45" s="1">
        <f t="shared" si="134"/>
        <v>0</v>
      </c>
      <c r="UQ45" s="1">
        <f t="shared" si="134"/>
        <v>0</v>
      </c>
      <c r="UR45" s="1">
        <f t="shared" si="134"/>
        <v>0</v>
      </c>
      <c r="US45" s="1">
        <f t="shared" si="134"/>
        <v>0</v>
      </c>
      <c r="UT45" s="1">
        <f t="shared" ref="UT45:XE45" si="135">UT29-UT10</f>
        <v>0</v>
      </c>
      <c r="UU45" s="1">
        <f t="shared" si="135"/>
        <v>0</v>
      </c>
      <c r="UV45" s="1">
        <f t="shared" si="135"/>
        <v>0</v>
      </c>
      <c r="UW45" s="1">
        <f t="shared" si="135"/>
        <v>0</v>
      </c>
      <c r="UX45" s="1">
        <f t="shared" si="135"/>
        <v>0</v>
      </c>
      <c r="UY45" s="1">
        <f t="shared" si="135"/>
        <v>0</v>
      </c>
      <c r="UZ45" s="1">
        <f t="shared" si="135"/>
        <v>0</v>
      </c>
      <c r="VA45" s="1">
        <f t="shared" si="135"/>
        <v>0</v>
      </c>
      <c r="VB45" s="1">
        <f t="shared" si="135"/>
        <v>0</v>
      </c>
      <c r="VC45" s="1">
        <f t="shared" si="135"/>
        <v>0</v>
      </c>
      <c r="VD45" s="1">
        <f t="shared" si="135"/>
        <v>0</v>
      </c>
      <c r="VE45" s="1">
        <f t="shared" si="135"/>
        <v>0</v>
      </c>
      <c r="VF45" s="1">
        <f t="shared" si="135"/>
        <v>0</v>
      </c>
      <c r="VG45" s="1">
        <f t="shared" si="135"/>
        <v>0</v>
      </c>
      <c r="VH45" s="1">
        <f t="shared" si="135"/>
        <v>0</v>
      </c>
      <c r="VI45" s="1">
        <f t="shared" si="135"/>
        <v>0</v>
      </c>
      <c r="VJ45" s="1">
        <f t="shared" si="135"/>
        <v>0</v>
      </c>
      <c r="VK45" s="1">
        <f t="shared" si="135"/>
        <v>0</v>
      </c>
      <c r="VL45" s="1">
        <f t="shared" si="135"/>
        <v>0</v>
      </c>
      <c r="VM45" s="1">
        <f t="shared" si="135"/>
        <v>0</v>
      </c>
      <c r="VN45" s="1">
        <f t="shared" si="135"/>
        <v>0</v>
      </c>
      <c r="VO45" s="1">
        <f t="shared" si="135"/>
        <v>0</v>
      </c>
      <c r="VP45" s="1">
        <f t="shared" si="135"/>
        <v>0</v>
      </c>
      <c r="VQ45" s="1">
        <f t="shared" si="135"/>
        <v>0</v>
      </c>
      <c r="VR45" s="1">
        <f t="shared" si="135"/>
        <v>0</v>
      </c>
      <c r="VS45" s="1">
        <f t="shared" si="135"/>
        <v>0</v>
      </c>
      <c r="VT45" s="1">
        <f t="shared" si="135"/>
        <v>0</v>
      </c>
      <c r="VU45" s="1">
        <f t="shared" si="135"/>
        <v>0</v>
      </c>
      <c r="VV45" s="1">
        <f t="shared" si="135"/>
        <v>0</v>
      </c>
      <c r="VW45" s="1">
        <f t="shared" si="135"/>
        <v>0</v>
      </c>
      <c r="VX45" s="1">
        <f t="shared" si="135"/>
        <v>0</v>
      </c>
      <c r="VY45" s="1">
        <f t="shared" si="135"/>
        <v>0</v>
      </c>
      <c r="VZ45" s="1">
        <f t="shared" si="135"/>
        <v>0</v>
      </c>
      <c r="WA45" s="1">
        <f t="shared" si="135"/>
        <v>0</v>
      </c>
      <c r="WB45" s="1">
        <f t="shared" si="135"/>
        <v>0</v>
      </c>
      <c r="WC45" s="1">
        <f t="shared" si="135"/>
        <v>0</v>
      </c>
      <c r="WD45" s="1">
        <f t="shared" si="135"/>
        <v>0</v>
      </c>
      <c r="WE45" s="1">
        <f t="shared" si="135"/>
        <v>0</v>
      </c>
      <c r="WF45" s="1">
        <f t="shared" si="135"/>
        <v>0</v>
      </c>
      <c r="WG45" s="1">
        <f t="shared" si="135"/>
        <v>0</v>
      </c>
      <c r="WH45" s="1">
        <f t="shared" si="135"/>
        <v>0</v>
      </c>
      <c r="WI45" s="1">
        <f t="shared" si="135"/>
        <v>0</v>
      </c>
      <c r="WJ45" s="1">
        <f t="shared" si="135"/>
        <v>0</v>
      </c>
      <c r="WK45" s="1">
        <f t="shared" si="135"/>
        <v>0</v>
      </c>
      <c r="WL45" s="1">
        <f t="shared" si="135"/>
        <v>0</v>
      </c>
      <c r="WM45" s="1">
        <f t="shared" si="135"/>
        <v>0</v>
      </c>
      <c r="WN45" s="1">
        <f t="shared" si="135"/>
        <v>0</v>
      </c>
      <c r="WO45" s="1">
        <f t="shared" si="135"/>
        <v>0</v>
      </c>
      <c r="WP45" s="1">
        <f t="shared" si="135"/>
        <v>0</v>
      </c>
      <c r="WQ45" s="1">
        <f t="shared" si="135"/>
        <v>0</v>
      </c>
      <c r="WR45" s="1">
        <f t="shared" si="135"/>
        <v>0</v>
      </c>
      <c r="WS45" s="1">
        <f t="shared" si="135"/>
        <v>0</v>
      </c>
      <c r="WT45" s="1">
        <f t="shared" si="135"/>
        <v>0</v>
      </c>
      <c r="WU45" s="1">
        <f t="shared" si="135"/>
        <v>0</v>
      </c>
      <c r="WV45" s="1">
        <f t="shared" si="135"/>
        <v>0</v>
      </c>
      <c r="WW45" s="1">
        <f t="shared" si="135"/>
        <v>0</v>
      </c>
      <c r="WX45" s="1">
        <f t="shared" si="135"/>
        <v>0</v>
      </c>
      <c r="WY45" s="1">
        <f t="shared" si="135"/>
        <v>0</v>
      </c>
      <c r="WZ45" s="1">
        <f t="shared" si="135"/>
        <v>0</v>
      </c>
      <c r="XA45" s="1">
        <f t="shared" si="135"/>
        <v>0</v>
      </c>
      <c r="XB45" s="1">
        <f t="shared" si="135"/>
        <v>0</v>
      </c>
      <c r="XC45" s="1">
        <f t="shared" si="135"/>
        <v>0</v>
      </c>
      <c r="XD45" s="1">
        <f t="shared" si="135"/>
        <v>0</v>
      </c>
      <c r="XE45" s="1">
        <f t="shared" si="135"/>
        <v>0</v>
      </c>
      <c r="XF45" s="1">
        <f t="shared" ref="XF45:ZQ45" si="136">XF29-XF10</f>
        <v>0</v>
      </c>
      <c r="XG45" s="1">
        <f t="shared" si="136"/>
        <v>0</v>
      </c>
      <c r="XH45" s="1">
        <f t="shared" si="136"/>
        <v>0</v>
      </c>
      <c r="XI45" s="1">
        <f t="shared" si="136"/>
        <v>0</v>
      </c>
      <c r="XJ45" s="1">
        <f t="shared" si="136"/>
        <v>0</v>
      </c>
      <c r="XK45" s="1">
        <f t="shared" si="136"/>
        <v>0</v>
      </c>
      <c r="XL45" s="1">
        <f t="shared" si="136"/>
        <v>0</v>
      </c>
      <c r="XM45" s="1">
        <f t="shared" si="136"/>
        <v>0</v>
      </c>
      <c r="XN45" s="1">
        <f t="shared" si="136"/>
        <v>0</v>
      </c>
      <c r="XO45" s="1">
        <f t="shared" si="136"/>
        <v>0</v>
      </c>
      <c r="XP45" s="1">
        <f t="shared" si="136"/>
        <v>0</v>
      </c>
      <c r="XQ45" s="1">
        <f t="shared" si="136"/>
        <v>0</v>
      </c>
      <c r="XR45" s="1">
        <f t="shared" si="136"/>
        <v>0</v>
      </c>
      <c r="XS45" s="1">
        <f t="shared" si="136"/>
        <v>0</v>
      </c>
      <c r="XT45" s="1">
        <f t="shared" si="136"/>
        <v>0</v>
      </c>
      <c r="XU45" s="1">
        <f t="shared" si="136"/>
        <v>0</v>
      </c>
      <c r="XV45" s="1">
        <f t="shared" si="136"/>
        <v>0</v>
      </c>
      <c r="XW45" s="1">
        <f t="shared" si="136"/>
        <v>0</v>
      </c>
      <c r="XX45" s="1">
        <f t="shared" si="136"/>
        <v>0</v>
      </c>
      <c r="XY45" s="1">
        <f t="shared" si="136"/>
        <v>0</v>
      </c>
      <c r="XZ45" s="1">
        <f t="shared" si="136"/>
        <v>0</v>
      </c>
      <c r="YA45" s="1">
        <f t="shared" si="136"/>
        <v>0</v>
      </c>
      <c r="YB45" s="1">
        <f t="shared" si="136"/>
        <v>0</v>
      </c>
      <c r="YC45" s="1">
        <f t="shared" si="136"/>
        <v>0</v>
      </c>
      <c r="YD45" s="1">
        <f t="shared" si="136"/>
        <v>0</v>
      </c>
      <c r="YE45" s="1">
        <f t="shared" si="136"/>
        <v>0</v>
      </c>
      <c r="YF45" s="1">
        <f t="shared" si="136"/>
        <v>0</v>
      </c>
      <c r="YG45" s="1">
        <f t="shared" si="136"/>
        <v>0</v>
      </c>
      <c r="YH45" s="1">
        <f t="shared" si="136"/>
        <v>0</v>
      </c>
      <c r="YI45" s="1">
        <f t="shared" si="136"/>
        <v>0</v>
      </c>
      <c r="YJ45" s="1">
        <f t="shared" si="136"/>
        <v>0</v>
      </c>
      <c r="YK45" s="1">
        <f t="shared" si="136"/>
        <v>0</v>
      </c>
      <c r="YL45" s="1">
        <f t="shared" si="136"/>
        <v>0</v>
      </c>
      <c r="YM45" s="1">
        <f t="shared" si="136"/>
        <v>0</v>
      </c>
      <c r="YN45" s="1">
        <f t="shared" si="136"/>
        <v>0</v>
      </c>
      <c r="YO45" s="1">
        <f t="shared" si="136"/>
        <v>0</v>
      </c>
      <c r="YP45" s="1">
        <f t="shared" si="136"/>
        <v>0</v>
      </c>
      <c r="YQ45" s="1">
        <f t="shared" si="136"/>
        <v>0</v>
      </c>
      <c r="YR45" s="1">
        <f t="shared" si="136"/>
        <v>0</v>
      </c>
      <c r="YS45" s="1">
        <f t="shared" si="136"/>
        <v>0</v>
      </c>
      <c r="YT45" s="1">
        <f t="shared" si="136"/>
        <v>0</v>
      </c>
      <c r="YU45" s="1">
        <f t="shared" si="136"/>
        <v>0</v>
      </c>
      <c r="YV45" s="1">
        <f t="shared" si="136"/>
        <v>0</v>
      </c>
      <c r="YW45" s="1">
        <f t="shared" si="136"/>
        <v>0</v>
      </c>
      <c r="YX45" s="1">
        <f t="shared" si="136"/>
        <v>0</v>
      </c>
      <c r="YY45" s="1">
        <f t="shared" si="136"/>
        <v>0</v>
      </c>
      <c r="YZ45" s="1">
        <f t="shared" si="136"/>
        <v>0</v>
      </c>
      <c r="ZA45" s="1">
        <f t="shared" si="136"/>
        <v>0</v>
      </c>
      <c r="ZB45" s="1">
        <f t="shared" si="136"/>
        <v>0</v>
      </c>
      <c r="ZC45" s="1">
        <f t="shared" si="136"/>
        <v>0</v>
      </c>
      <c r="ZD45" s="1">
        <f t="shared" si="136"/>
        <v>0</v>
      </c>
      <c r="ZE45" s="1">
        <f t="shared" si="136"/>
        <v>0</v>
      </c>
      <c r="ZF45" s="1">
        <f t="shared" si="136"/>
        <v>0</v>
      </c>
      <c r="ZG45" s="1">
        <f t="shared" si="136"/>
        <v>0</v>
      </c>
      <c r="ZH45" s="1">
        <f t="shared" si="136"/>
        <v>0</v>
      </c>
      <c r="ZI45" s="1">
        <f t="shared" si="136"/>
        <v>0</v>
      </c>
      <c r="ZJ45" s="1">
        <f t="shared" si="136"/>
        <v>0</v>
      </c>
      <c r="ZK45" s="1">
        <f t="shared" si="136"/>
        <v>0</v>
      </c>
      <c r="ZL45" s="1">
        <f t="shared" si="136"/>
        <v>0</v>
      </c>
      <c r="ZM45" s="1">
        <f t="shared" si="136"/>
        <v>0</v>
      </c>
      <c r="ZN45" s="1">
        <f t="shared" si="136"/>
        <v>0</v>
      </c>
      <c r="ZO45" s="1">
        <f t="shared" si="136"/>
        <v>0</v>
      </c>
      <c r="ZP45" s="1">
        <f t="shared" si="136"/>
        <v>0</v>
      </c>
      <c r="ZQ45" s="1">
        <f t="shared" si="136"/>
        <v>0</v>
      </c>
      <c r="ZR45" s="1">
        <f t="shared" ref="ZR45:ACC45" si="137">ZR29-ZR10</f>
        <v>0</v>
      </c>
      <c r="ZS45" s="1">
        <f t="shared" si="137"/>
        <v>0</v>
      </c>
      <c r="ZT45" s="1">
        <f t="shared" si="137"/>
        <v>0</v>
      </c>
      <c r="ZU45" s="1">
        <f t="shared" si="137"/>
        <v>0</v>
      </c>
      <c r="ZV45" s="1">
        <f t="shared" si="137"/>
        <v>0</v>
      </c>
      <c r="ZW45" s="1">
        <f t="shared" si="137"/>
        <v>0</v>
      </c>
      <c r="ZX45" s="1">
        <f t="shared" si="137"/>
        <v>0</v>
      </c>
      <c r="ZY45" s="1">
        <f t="shared" si="137"/>
        <v>0</v>
      </c>
      <c r="ZZ45" s="1">
        <f t="shared" si="137"/>
        <v>0</v>
      </c>
      <c r="AAA45" s="1">
        <f t="shared" si="137"/>
        <v>0</v>
      </c>
      <c r="AAB45" s="1">
        <f t="shared" si="137"/>
        <v>0</v>
      </c>
      <c r="AAC45" s="1">
        <f t="shared" si="137"/>
        <v>0</v>
      </c>
      <c r="AAD45" s="1">
        <f t="shared" si="137"/>
        <v>0</v>
      </c>
      <c r="AAE45" s="1">
        <f t="shared" si="137"/>
        <v>0</v>
      </c>
      <c r="AAF45" s="1">
        <f t="shared" si="137"/>
        <v>0</v>
      </c>
      <c r="AAG45" s="1">
        <f t="shared" si="137"/>
        <v>0</v>
      </c>
      <c r="AAH45" s="1">
        <f t="shared" si="137"/>
        <v>0</v>
      </c>
      <c r="AAI45" s="1">
        <f t="shared" si="137"/>
        <v>0</v>
      </c>
      <c r="AAJ45" s="1">
        <f t="shared" si="137"/>
        <v>0</v>
      </c>
      <c r="AAK45" s="1">
        <f t="shared" si="137"/>
        <v>0</v>
      </c>
      <c r="AAL45" s="1">
        <f t="shared" si="137"/>
        <v>0</v>
      </c>
      <c r="AAM45" s="1">
        <f t="shared" si="137"/>
        <v>0</v>
      </c>
      <c r="AAN45" s="1">
        <f t="shared" si="137"/>
        <v>0</v>
      </c>
      <c r="AAO45" s="1">
        <f t="shared" si="137"/>
        <v>0</v>
      </c>
      <c r="AAP45" s="1">
        <f t="shared" si="137"/>
        <v>0</v>
      </c>
      <c r="AAQ45" s="1">
        <f t="shared" si="137"/>
        <v>0</v>
      </c>
      <c r="AAR45" s="1">
        <f t="shared" si="137"/>
        <v>0</v>
      </c>
      <c r="AAS45" s="1">
        <f t="shared" si="137"/>
        <v>0</v>
      </c>
      <c r="AAT45" s="1">
        <f t="shared" si="137"/>
        <v>0</v>
      </c>
      <c r="AAU45" s="1">
        <f t="shared" si="137"/>
        <v>0</v>
      </c>
      <c r="AAV45" s="1">
        <f t="shared" si="137"/>
        <v>0</v>
      </c>
      <c r="AAW45" s="1">
        <f t="shared" si="137"/>
        <v>0</v>
      </c>
      <c r="AAX45" s="1">
        <f t="shared" si="137"/>
        <v>0</v>
      </c>
      <c r="AAY45" s="1">
        <f t="shared" si="137"/>
        <v>0</v>
      </c>
      <c r="AAZ45" s="1">
        <f t="shared" si="137"/>
        <v>0</v>
      </c>
      <c r="ABA45" s="1">
        <f t="shared" si="137"/>
        <v>0</v>
      </c>
      <c r="ABB45" s="1">
        <f t="shared" si="137"/>
        <v>0</v>
      </c>
      <c r="ABC45" s="1">
        <f t="shared" si="137"/>
        <v>0</v>
      </c>
      <c r="ABD45" s="1">
        <f t="shared" si="137"/>
        <v>0</v>
      </c>
      <c r="ABE45" s="1">
        <f t="shared" si="137"/>
        <v>0</v>
      </c>
      <c r="ABF45" s="1">
        <f t="shared" si="137"/>
        <v>0</v>
      </c>
      <c r="ABG45" s="1">
        <f t="shared" si="137"/>
        <v>0</v>
      </c>
      <c r="ABH45" s="1">
        <f t="shared" si="137"/>
        <v>0</v>
      </c>
      <c r="ABI45" s="1">
        <f t="shared" si="137"/>
        <v>0</v>
      </c>
      <c r="ABJ45" s="1">
        <f t="shared" si="137"/>
        <v>0</v>
      </c>
      <c r="ABK45" s="1">
        <f t="shared" si="137"/>
        <v>0</v>
      </c>
      <c r="ABL45" s="1">
        <f t="shared" si="137"/>
        <v>0</v>
      </c>
      <c r="ABM45" s="1">
        <f t="shared" si="137"/>
        <v>0</v>
      </c>
      <c r="ABN45" s="1">
        <f t="shared" si="137"/>
        <v>0</v>
      </c>
      <c r="ABO45" s="1">
        <f t="shared" si="137"/>
        <v>0</v>
      </c>
      <c r="ABP45" s="1">
        <f t="shared" si="137"/>
        <v>0</v>
      </c>
      <c r="ABQ45" s="1">
        <f t="shared" si="137"/>
        <v>0</v>
      </c>
      <c r="ABR45" s="1">
        <f t="shared" si="137"/>
        <v>0</v>
      </c>
      <c r="ABS45" s="1">
        <f t="shared" si="137"/>
        <v>0</v>
      </c>
      <c r="ABT45" s="1">
        <f t="shared" si="137"/>
        <v>0</v>
      </c>
      <c r="ABU45" s="1">
        <f t="shared" si="137"/>
        <v>0</v>
      </c>
      <c r="ABV45" s="1">
        <f t="shared" si="137"/>
        <v>0</v>
      </c>
      <c r="ABW45" s="1">
        <f t="shared" si="137"/>
        <v>0</v>
      </c>
      <c r="ABX45" s="1">
        <f t="shared" si="137"/>
        <v>0</v>
      </c>
      <c r="ABY45" s="1">
        <f t="shared" si="137"/>
        <v>0</v>
      </c>
      <c r="ABZ45" s="1">
        <f t="shared" si="137"/>
        <v>0</v>
      </c>
      <c r="ACA45" s="1">
        <f t="shared" si="137"/>
        <v>0</v>
      </c>
      <c r="ACB45" s="1">
        <f t="shared" si="137"/>
        <v>0</v>
      </c>
      <c r="ACC45" s="1">
        <f t="shared" si="137"/>
        <v>0</v>
      </c>
      <c r="ACD45" s="1">
        <f t="shared" ref="ACD45:AEO45" si="138">ACD29-ACD10</f>
        <v>0</v>
      </c>
      <c r="ACE45" s="1">
        <f t="shared" si="138"/>
        <v>0</v>
      </c>
      <c r="ACF45" s="1">
        <f t="shared" si="138"/>
        <v>0</v>
      </c>
      <c r="ACG45" s="1">
        <f t="shared" si="138"/>
        <v>0</v>
      </c>
      <c r="ACH45" s="1">
        <f t="shared" si="138"/>
        <v>0</v>
      </c>
      <c r="ACI45" s="1">
        <f t="shared" si="138"/>
        <v>0</v>
      </c>
      <c r="ACJ45" s="1">
        <f t="shared" si="138"/>
        <v>0</v>
      </c>
      <c r="ACK45" s="1">
        <f t="shared" si="138"/>
        <v>0</v>
      </c>
      <c r="ACL45" s="1">
        <f t="shared" si="138"/>
        <v>0</v>
      </c>
      <c r="ACM45" s="1">
        <f t="shared" si="138"/>
        <v>0</v>
      </c>
      <c r="ACN45" s="1">
        <f t="shared" si="138"/>
        <v>0</v>
      </c>
      <c r="ACO45" s="1">
        <f t="shared" si="138"/>
        <v>0</v>
      </c>
      <c r="ACP45" s="1">
        <f t="shared" si="138"/>
        <v>0</v>
      </c>
      <c r="ACQ45" s="1">
        <f t="shared" si="138"/>
        <v>0</v>
      </c>
      <c r="ACR45" s="1">
        <f t="shared" si="138"/>
        <v>0</v>
      </c>
      <c r="ACS45" s="1">
        <f t="shared" si="138"/>
        <v>0</v>
      </c>
      <c r="ACT45" s="1">
        <f t="shared" si="138"/>
        <v>0</v>
      </c>
      <c r="ACU45" s="1">
        <f t="shared" si="138"/>
        <v>0</v>
      </c>
      <c r="ACV45" s="1">
        <f t="shared" si="138"/>
        <v>0</v>
      </c>
      <c r="ACW45" s="1">
        <f t="shared" si="138"/>
        <v>0</v>
      </c>
      <c r="ACX45" s="1">
        <f t="shared" si="138"/>
        <v>0</v>
      </c>
      <c r="ACY45" s="1">
        <f t="shared" si="138"/>
        <v>0</v>
      </c>
      <c r="ACZ45" s="1">
        <f t="shared" si="138"/>
        <v>0</v>
      </c>
      <c r="ADA45" s="1">
        <f t="shared" si="138"/>
        <v>0</v>
      </c>
      <c r="ADB45" s="1">
        <f t="shared" si="138"/>
        <v>0</v>
      </c>
      <c r="ADC45" s="1">
        <f t="shared" si="138"/>
        <v>0</v>
      </c>
      <c r="ADD45" s="1">
        <f t="shared" si="138"/>
        <v>0</v>
      </c>
      <c r="ADE45" s="1">
        <f t="shared" si="138"/>
        <v>0</v>
      </c>
      <c r="ADF45" s="1">
        <f t="shared" si="138"/>
        <v>0</v>
      </c>
      <c r="ADG45" s="1">
        <f t="shared" si="138"/>
        <v>0</v>
      </c>
      <c r="ADH45" s="1">
        <f t="shared" si="138"/>
        <v>0</v>
      </c>
      <c r="ADI45" s="1">
        <f t="shared" si="138"/>
        <v>0</v>
      </c>
      <c r="ADJ45" s="1">
        <f t="shared" si="138"/>
        <v>0</v>
      </c>
      <c r="ADK45" s="1">
        <f t="shared" si="138"/>
        <v>0</v>
      </c>
      <c r="ADL45" s="1">
        <f t="shared" si="138"/>
        <v>0</v>
      </c>
      <c r="ADM45" s="1">
        <f t="shared" si="138"/>
        <v>0</v>
      </c>
      <c r="ADN45" s="1">
        <f t="shared" si="138"/>
        <v>0</v>
      </c>
      <c r="ADO45" s="1">
        <f t="shared" si="138"/>
        <v>0</v>
      </c>
      <c r="ADP45" s="1">
        <f t="shared" si="138"/>
        <v>0</v>
      </c>
      <c r="ADQ45" s="1">
        <f t="shared" si="138"/>
        <v>0</v>
      </c>
      <c r="ADR45" s="1">
        <f t="shared" si="138"/>
        <v>0</v>
      </c>
      <c r="ADS45" s="1">
        <f t="shared" si="138"/>
        <v>0</v>
      </c>
      <c r="ADT45" s="1">
        <f t="shared" si="138"/>
        <v>0</v>
      </c>
      <c r="ADU45" s="1">
        <f t="shared" si="138"/>
        <v>0</v>
      </c>
      <c r="ADV45" s="1">
        <f t="shared" si="138"/>
        <v>0</v>
      </c>
      <c r="ADW45" s="1">
        <f t="shared" si="138"/>
        <v>0</v>
      </c>
      <c r="ADX45" s="1">
        <f t="shared" si="138"/>
        <v>0</v>
      </c>
      <c r="ADY45" s="1">
        <f t="shared" si="138"/>
        <v>0</v>
      </c>
      <c r="ADZ45" s="1">
        <f t="shared" si="138"/>
        <v>0</v>
      </c>
      <c r="AEA45" s="1">
        <f t="shared" si="138"/>
        <v>0</v>
      </c>
      <c r="AEB45" s="1">
        <f t="shared" si="138"/>
        <v>0</v>
      </c>
      <c r="AEC45" s="1">
        <f t="shared" si="138"/>
        <v>0</v>
      </c>
      <c r="AED45" s="1">
        <f t="shared" si="138"/>
        <v>0</v>
      </c>
      <c r="AEE45" s="1">
        <f t="shared" si="138"/>
        <v>0</v>
      </c>
      <c r="AEF45" s="1">
        <f t="shared" si="138"/>
        <v>0</v>
      </c>
      <c r="AEG45" s="1">
        <f t="shared" si="138"/>
        <v>0</v>
      </c>
      <c r="AEH45" s="1">
        <f t="shared" si="138"/>
        <v>0</v>
      </c>
      <c r="AEI45" s="1">
        <f t="shared" si="138"/>
        <v>0</v>
      </c>
      <c r="AEJ45" s="1">
        <f t="shared" si="138"/>
        <v>0</v>
      </c>
      <c r="AEK45" s="1">
        <f t="shared" si="138"/>
        <v>0</v>
      </c>
      <c r="AEL45" s="1">
        <f t="shared" si="138"/>
        <v>0</v>
      </c>
      <c r="AEM45" s="1">
        <f t="shared" si="138"/>
        <v>0</v>
      </c>
      <c r="AEN45" s="1">
        <f t="shared" si="138"/>
        <v>0</v>
      </c>
      <c r="AEO45" s="1">
        <f t="shared" si="138"/>
        <v>0</v>
      </c>
      <c r="AEP45" s="1">
        <f t="shared" ref="AEP45:AHA45" si="139">AEP29-AEP10</f>
        <v>0</v>
      </c>
      <c r="AEQ45" s="1">
        <f t="shared" si="139"/>
        <v>0</v>
      </c>
      <c r="AER45" s="1">
        <f t="shared" si="139"/>
        <v>0</v>
      </c>
      <c r="AES45" s="1">
        <f t="shared" si="139"/>
        <v>0</v>
      </c>
      <c r="AET45" s="1">
        <f t="shared" si="139"/>
        <v>0</v>
      </c>
      <c r="AEU45" s="1">
        <f t="shared" si="139"/>
        <v>0</v>
      </c>
      <c r="AEV45" s="1">
        <f t="shared" si="139"/>
        <v>0</v>
      </c>
      <c r="AEW45" s="1">
        <f t="shared" si="139"/>
        <v>0</v>
      </c>
      <c r="AEX45" s="1">
        <f t="shared" si="139"/>
        <v>0</v>
      </c>
      <c r="AEY45" s="1">
        <f t="shared" si="139"/>
        <v>0</v>
      </c>
      <c r="AEZ45" s="1">
        <f t="shared" si="139"/>
        <v>0</v>
      </c>
      <c r="AFA45" s="1">
        <f t="shared" si="139"/>
        <v>0</v>
      </c>
      <c r="AFB45" s="1">
        <f t="shared" si="139"/>
        <v>0</v>
      </c>
      <c r="AFC45" s="1">
        <f t="shared" si="139"/>
        <v>0</v>
      </c>
      <c r="AFD45" s="1">
        <f t="shared" si="139"/>
        <v>0</v>
      </c>
      <c r="AFE45" s="1">
        <f t="shared" si="139"/>
        <v>0</v>
      </c>
      <c r="AFF45" s="1">
        <f t="shared" si="139"/>
        <v>0</v>
      </c>
      <c r="AFG45" s="1">
        <f t="shared" si="139"/>
        <v>0</v>
      </c>
      <c r="AFH45" s="1">
        <f t="shared" si="139"/>
        <v>0</v>
      </c>
      <c r="AFI45" s="1">
        <f t="shared" si="139"/>
        <v>0</v>
      </c>
      <c r="AFJ45" s="1">
        <f t="shared" si="139"/>
        <v>0</v>
      </c>
      <c r="AFK45" s="1">
        <f t="shared" si="139"/>
        <v>0</v>
      </c>
      <c r="AFL45" s="1">
        <f t="shared" si="139"/>
        <v>0</v>
      </c>
      <c r="AFM45" s="1">
        <f t="shared" si="139"/>
        <v>0</v>
      </c>
      <c r="AFN45" s="1">
        <f t="shared" si="139"/>
        <v>0</v>
      </c>
      <c r="AFO45" s="1">
        <f t="shared" si="139"/>
        <v>0</v>
      </c>
      <c r="AFP45" s="1">
        <f t="shared" si="139"/>
        <v>0</v>
      </c>
      <c r="AFQ45" s="1">
        <f t="shared" si="139"/>
        <v>0</v>
      </c>
      <c r="AFR45" s="1">
        <f t="shared" si="139"/>
        <v>0</v>
      </c>
      <c r="AFS45" s="1">
        <f t="shared" si="139"/>
        <v>0</v>
      </c>
      <c r="AFT45" s="1">
        <f t="shared" si="139"/>
        <v>0</v>
      </c>
      <c r="AFU45" s="1">
        <f t="shared" si="139"/>
        <v>0</v>
      </c>
      <c r="AFV45" s="1">
        <f t="shared" si="139"/>
        <v>0</v>
      </c>
      <c r="AFW45" s="1">
        <f t="shared" si="139"/>
        <v>0</v>
      </c>
      <c r="AFX45" s="1">
        <f t="shared" si="139"/>
        <v>0</v>
      </c>
      <c r="AFY45" s="1">
        <f t="shared" si="139"/>
        <v>0</v>
      </c>
      <c r="AFZ45" s="1">
        <f t="shared" si="139"/>
        <v>0</v>
      </c>
      <c r="AGA45" s="1">
        <f t="shared" si="139"/>
        <v>0</v>
      </c>
      <c r="AGB45" s="1">
        <f t="shared" si="139"/>
        <v>0</v>
      </c>
      <c r="AGC45" s="1">
        <f t="shared" si="139"/>
        <v>0</v>
      </c>
      <c r="AGD45" s="1">
        <f t="shared" si="139"/>
        <v>0</v>
      </c>
      <c r="AGE45" s="1">
        <f t="shared" si="139"/>
        <v>0</v>
      </c>
      <c r="AGF45" s="1">
        <f t="shared" si="139"/>
        <v>0</v>
      </c>
      <c r="AGG45" s="1">
        <f t="shared" si="139"/>
        <v>0</v>
      </c>
      <c r="AGH45" s="1">
        <f t="shared" si="139"/>
        <v>0</v>
      </c>
      <c r="AGI45" s="1">
        <f t="shared" si="139"/>
        <v>0</v>
      </c>
      <c r="AGJ45" s="1">
        <f t="shared" si="139"/>
        <v>0</v>
      </c>
      <c r="AGK45" s="1">
        <f t="shared" si="139"/>
        <v>0</v>
      </c>
      <c r="AGL45" s="1">
        <f t="shared" si="139"/>
        <v>0</v>
      </c>
      <c r="AGM45" s="1">
        <f t="shared" si="139"/>
        <v>0</v>
      </c>
      <c r="AGN45" s="1">
        <f t="shared" si="139"/>
        <v>0</v>
      </c>
      <c r="AGO45" s="1">
        <f t="shared" si="139"/>
        <v>0</v>
      </c>
      <c r="AGP45" s="1">
        <f t="shared" si="139"/>
        <v>0</v>
      </c>
      <c r="AGQ45" s="1">
        <f t="shared" si="139"/>
        <v>0</v>
      </c>
      <c r="AGR45" s="1">
        <f t="shared" si="139"/>
        <v>0</v>
      </c>
      <c r="AGS45" s="1">
        <f t="shared" si="139"/>
        <v>0</v>
      </c>
      <c r="AGT45" s="1">
        <f t="shared" si="139"/>
        <v>0</v>
      </c>
      <c r="AGU45" s="1">
        <f t="shared" si="139"/>
        <v>0</v>
      </c>
      <c r="AGV45" s="1">
        <f t="shared" si="139"/>
        <v>0</v>
      </c>
      <c r="AGW45" s="1">
        <f t="shared" si="139"/>
        <v>0</v>
      </c>
      <c r="AGX45" s="1">
        <f t="shared" si="139"/>
        <v>0</v>
      </c>
      <c r="AGY45" s="1">
        <f t="shared" si="139"/>
        <v>0</v>
      </c>
      <c r="AGZ45" s="1">
        <f t="shared" si="139"/>
        <v>0</v>
      </c>
      <c r="AHA45" s="1">
        <f t="shared" si="139"/>
        <v>0</v>
      </c>
      <c r="AHB45" s="1">
        <f t="shared" ref="AHB45:AJM45" si="140">AHB29-AHB10</f>
        <v>0</v>
      </c>
      <c r="AHC45" s="1">
        <f t="shared" si="140"/>
        <v>0</v>
      </c>
      <c r="AHD45" s="1">
        <f t="shared" si="140"/>
        <v>0</v>
      </c>
      <c r="AHE45" s="1">
        <f t="shared" si="140"/>
        <v>0</v>
      </c>
      <c r="AHF45" s="1">
        <f t="shared" si="140"/>
        <v>0</v>
      </c>
      <c r="AHG45" s="1">
        <f t="shared" si="140"/>
        <v>0</v>
      </c>
      <c r="AHH45" s="1">
        <f t="shared" si="140"/>
        <v>0</v>
      </c>
      <c r="AHI45" s="1">
        <f t="shared" si="140"/>
        <v>0</v>
      </c>
      <c r="AHJ45" s="1">
        <f t="shared" si="140"/>
        <v>0</v>
      </c>
      <c r="AHK45" s="1">
        <f t="shared" si="140"/>
        <v>0</v>
      </c>
      <c r="AHL45" s="1">
        <f t="shared" si="140"/>
        <v>0</v>
      </c>
      <c r="AHM45" s="1">
        <f t="shared" si="140"/>
        <v>0</v>
      </c>
      <c r="AHN45" s="1">
        <f t="shared" si="140"/>
        <v>0</v>
      </c>
      <c r="AHO45" s="1">
        <f t="shared" si="140"/>
        <v>0</v>
      </c>
      <c r="AHP45" s="1">
        <f t="shared" si="140"/>
        <v>0</v>
      </c>
      <c r="AHQ45" s="1">
        <f t="shared" si="140"/>
        <v>0</v>
      </c>
      <c r="AHR45" s="1">
        <f t="shared" si="140"/>
        <v>0</v>
      </c>
      <c r="AHS45" s="1">
        <f t="shared" si="140"/>
        <v>0</v>
      </c>
      <c r="AHT45" s="1">
        <f t="shared" si="140"/>
        <v>0</v>
      </c>
      <c r="AHU45" s="1">
        <f t="shared" si="140"/>
        <v>0</v>
      </c>
      <c r="AHV45" s="1">
        <f t="shared" si="140"/>
        <v>0</v>
      </c>
      <c r="AHW45" s="1">
        <f t="shared" si="140"/>
        <v>0</v>
      </c>
      <c r="AHX45" s="1">
        <f t="shared" si="140"/>
        <v>0</v>
      </c>
      <c r="AHY45" s="1">
        <f t="shared" si="140"/>
        <v>0</v>
      </c>
      <c r="AHZ45" s="1">
        <f t="shared" si="140"/>
        <v>0</v>
      </c>
      <c r="AIA45" s="1">
        <f t="shared" si="140"/>
        <v>0</v>
      </c>
      <c r="AIB45" s="1">
        <f t="shared" si="140"/>
        <v>0</v>
      </c>
      <c r="AIC45" s="1">
        <f t="shared" si="140"/>
        <v>0</v>
      </c>
      <c r="AID45" s="1">
        <f t="shared" si="140"/>
        <v>0</v>
      </c>
      <c r="AIE45" s="1">
        <f t="shared" si="140"/>
        <v>0</v>
      </c>
      <c r="AIF45" s="1">
        <f t="shared" si="140"/>
        <v>0</v>
      </c>
      <c r="AIG45" s="1">
        <f t="shared" si="140"/>
        <v>0</v>
      </c>
      <c r="AIH45" s="1">
        <f t="shared" si="140"/>
        <v>0</v>
      </c>
      <c r="AII45" s="1">
        <f t="shared" si="140"/>
        <v>0</v>
      </c>
      <c r="AIJ45" s="1">
        <f t="shared" si="140"/>
        <v>0</v>
      </c>
      <c r="AIK45" s="1">
        <f t="shared" si="140"/>
        <v>0</v>
      </c>
      <c r="AIL45" s="1">
        <f t="shared" si="140"/>
        <v>0</v>
      </c>
      <c r="AIM45" s="1">
        <f t="shared" si="140"/>
        <v>0</v>
      </c>
      <c r="AIN45" s="1">
        <f t="shared" si="140"/>
        <v>0</v>
      </c>
      <c r="AIO45" s="1">
        <f t="shared" si="140"/>
        <v>0</v>
      </c>
      <c r="AIP45" s="1">
        <f t="shared" si="140"/>
        <v>0</v>
      </c>
      <c r="AIQ45" s="1">
        <f t="shared" si="140"/>
        <v>0</v>
      </c>
      <c r="AIR45" s="1">
        <f t="shared" si="140"/>
        <v>0</v>
      </c>
      <c r="AIS45" s="1">
        <f t="shared" si="140"/>
        <v>0</v>
      </c>
      <c r="AIT45" s="1">
        <f t="shared" si="140"/>
        <v>0</v>
      </c>
      <c r="AIU45" s="1">
        <f t="shared" si="140"/>
        <v>0</v>
      </c>
      <c r="AIV45" s="1">
        <f t="shared" si="140"/>
        <v>0</v>
      </c>
      <c r="AIW45" s="1">
        <f t="shared" si="140"/>
        <v>0</v>
      </c>
      <c r="AIX45" s="1">
        <f t="shared" si="140"/>
        <v>0</v>
      </c>
      <c r="AIY45" s="1">
        <f t="shared" si="140"/>
        <v>0</v>
      </c>
      <c r="AIZ45" s="1">
        <f t="shared" si="140"/>
        <v>0</v>
      </c>
      <c r="AJA45" s="1">
        <f t="shared" si="140"/>
        <v>0</v>
      </c>
      <c r="AJB45" s="1">
        <f t="shared" si="140"/>
        <v>0</v>
      </c>
      <c r="AJC45" s="1">
        <f t="shared" si="140"/>
        <v>0</v>
      </c>
      <c r="AJD45" s="1">
        <f t="shared" si="140"/>
        <v>0</v>
      </c>
      <c r="AJE45" s="1">
        <f t="shared" si="140"/>
        <v>0</v>
      </c>
      <c r="AJF45" s="1">
        <f t="shared" si="140"/>
        <v>0</v>
      </c>
      <c r="AJG45" s="1">
        <f t="shared" si="140"/>
        <v>0</v>
      </c>
      <c r="AJH45" s="1">
        <f t="shared" si="140"/>
        <v>0</v>
      </c>
      <c r="AJI45" s="1">
        <f t="shared" si="140"/>
        <v>0</v>
      </c>
      <c r="AJJ45" s="1">
        <f t="shared" si="140"/>
        <v>0</v>
      </c>
      <c r="AJK45" s="1">
        <f t="shared" si="140"/>
        <v>0</v>
      </c>
      <c r="AJL45" s="1">
        <f t="shared" si="140"/>
        <v>0</v>
      </c>
      <c r="AJM45" s="1">
        <f t="shared" si="140"/>
        <v>0</v>
      </c>
      <c r="AJN45" s="1">
        <f t="shared" ref="AJN45:ALM45" si="141">AJN29-AJN10</f>
        <v>0</v>
      </c>
      <c r="AJO45" s="1">
        <f t="shared" si="141"/>
        <v>0</v>
      </c>
      <c r="AJP45" s="1">
        <f t="shared" si="141"/>
        <v>0</v>
      </c>
      <c r="AJQ45" s="1">
        <f t="shared" si="141"/>
        <v>0</v>
      </c>
      <c r="AJR45" s="1">
        <f t="shared" si="141"/>
        <v>0</v>
      </c>
      <c r="AJS45" s="1">
        <f t="shared" si="141"/>
        <v>0</v>
      </c>
      <c r="AJT45" s="1">
        <f t="shared" si="141"/>
        <v>0</v>
      </c>
      <c r="AJU45" s="1">
        <f t="shared" si="141"/>
        <v>0</v>
      </c>
      <c r="AJV45" s="1">
        <f t="shared" si="141"/>
        <v>0</v>
      </c>
      <c r="AJW45" s="1">
        <f t="shared" si="141"/>
        <v>0</v>
      </c>
      <c r="AJX45" s="1">
        <f t="shared" si="141"/>
        <v>0</v>
      </c>
      <c r="AJY45" s="1">
        <f t="shared" si="141"/>
        <v>0</v>
      </c>
      <c r="AJZ45" s="1">
        <f t="shared" si="141"/>
        <v>0</v>
      </c>
      <c r="AKA45" s="1">
        <f t="shared" si="141"/>
        <v>0</v>
      </c>
      <c r="AKB45" s="1">
        <f t="shared" si="141"/>
        <v>0</v>
      </c>
      <c r="AKC45" s="1">
        <f t="shared" si="141"/>
        <v>0</v>
      </c>
      <c r="AKD45" s="1">
        <f t="shared" si="141"/>
        <v>0</v>
      </c>
      <c r="AKE45" s="1">
        <f t="shared" si="141"/>
        <v>0</v>
      </c>
      <c r="AKF45" s="1">
        <f t="shared" si="141"/>
        <v>0</v>
      </c>
      <c r="AKG45" s="1">
        <f t="shared" si="141"/>
        <v>0</v>
      </c>
      <c r="AKH45" s="1">
        <f t="shared" si="141"/>
        <v>0</v>
      </c>
      <c r="AKI45" s="1">
        <f t="shared" si="141"/>
        <v>0</v>
      </c>
      <c r="AKJ45" s="1">
        <f t="shared" si="141"/>
        <v>0</v>
      </c>
      <c r="AKK45" s="1">
        <f t="shared" si="141"/>
        <v>0</v>
      </c>
      <c r="AKL45" s="1">
        <f t="shared" si="141"/>
        <v>0</v>
      </c>
      <c r="AKM45" s="1">
        <f t="shared" si="141"/>
        <v>0</v>
      </c>
      <c r="AKN45" s="1">
        <f t="shared" si="141"/>
        <v>0</v>
      </c>
      <c r="AKO45" s="1">
        <f t="shared" si="141"/>
        <v>0</v>
      </c>
      <c r="AKP45" s="1">
        <f t="shared" si="141"/>
        <v>0</v>
      </c>
      <c r="AKQ45" s="1">
        <f t="shared" si="141"/>
        <v>0</v>
      </c>
      <c r="AKR45" s="1">
        <f t="shared" si="141"/>
        <v>0</v>
      </c>
      <c r="AKS45" s="1">
        <f t="shared" si="141"/>
        <v>0</v>
      </c>
      <c r="AKT45" s="1">
        <f t="shared" si="141"/>
        <v>0</v>
      </c>
      <c r="AKU45" s="1">
        <f t="shared" si="141"/>
        <v>0</v>
      </c>
      <c r="AKV45" s="1">
        <f t="shared" si="141"/>
        <v>0</v>
      </c>
      <c r="AKW45" s="1">
        <f t="shared" si="141"/>
        <v>0</v>
      </c>
      <c r="AKX45" s="1">
        <f t="shared" si="141"/>
        <v>0</v>
      </c>
      <c r="AKY45" s="1">
        <f t="shared" si="141"/>
        <v>0</v>
      </c>
      <c r="AKZ45" s="1">
        <f t="shared" si="141"/>
        <v>0</v>
      </c>
      <c r="ALA45" s="1">
        <f t="shared" si="141"/>
        <v>0</v>
      </c>
      <c r="ALB45" s="1">
        <f t="shared" si="141"/>
        <v>0</v>
      </c>
      <c r="ALC45" s="1">
        <f t="shared" si="141"/>
        <v>0</v>
      </c>
      <c r="ALD45" s="1">
        <f t="shared" si="141"/>
        <v>0</v>
      </c>
      <c r="ALE45" s="1">
        <f t="shared" si="141"/>
        <v>0</v>
      </c>
      <c r="ALF45" s="1">
        <f t="shared" si="141"/>
        <v>0</v>
      </c>
      <c r="ALG45" s="1">
        <f t="shared" si="141"/>
        <v>0</v>
      </c>
      <c r="ALH45" s="1">
        <f t="shared" si="141"/>
        <v>0</v>
      </c>
      <c r="ALI45" s="1">
        <f t="shared" si="141"/>
        <v>0</v>
      </c>
      <c r="ALJ45" s="1">
        <f t="shared" si="141"/>
        <v>0</v>
      </c>
      <c r="ALK45" s="1">
        <f t="shared" si="141"/>
        <v>0</v>
      </c>
      <c r="ALL45" s="1">
        <f t="shared" si="141"/>
        <v>0</v>
      </c>
      <c r="ALM45" s="1">
        <f t="shared" si="141"/>
        <v>0</v>
      </c>
    </row>
    <row r="46" spans="1:1001">
      <c r="A46" s="27"/>
      <c r="B46">
        <f>B30</f>
        <v>0</v>
      </c>
      <c r="C46">
        <f t="shared" ref="C46:BN46" si="142">C30</f>
        <v>0</v>
      </c>
      <c r="D46">
        <f t="shared" si="142"/>
        <v>0</v>
      </c>
      <c r="E46">
        <f t="shared" si="142"/>
        <v>0</v>
      </c>
      <c r="F46">
        <f t="shared" si="142"/>
        <v>0</v>
      </c>
      <c r="G46">
        <f t="shared" si="142"/>
        <v>0</v>
      </c>
      <c r="H46">
        <f t="shared" si="142"/>
        <v>0</v>
      </c>
      <c r="I46">
        <f t="shared" si="142"/>
        <v>0</v>
      </c>
      <c r="J46">
        <f t="shared" si="142"/>
        <v>0</v>
      </c>
      <c r="K46">
        <f t="shared" si="142"/>
        <v>0</v>
      </c>
      <c r="L46">
        <f t="shared" si="142"/>
        <v>0</v>
      </c>
      <c r="M46">
        <f t="shared" si="142"/>
        <v>0</v>
      </c>
      <c r="N46">
        <f t="shared" si="142"/>
        <v>0</v>
      </c>
      <c r="O46">
        <f t="shared" si="142"/>
        <v>0</v>
      </c>
      <c r="P46">
        <f t="shared" si="142"/>
        <v>0</v>
      </c>
      <c r="Q46">
        <f t="shared" si="142"/>
        <v>0</v>
      </c>
      <c r="R46">
        <f t="shared" si="142"/>
        <v>0</v>
      </c>
      <c r="S46">
        <f t="shared" si="142"/>
        <v>0</v>
      </c>
      <c r="T46">
        <f t="shared" si="142"/>
        <v>0</v>
      </c>
      <c r="U46">
        <f t="shared" si="142"/>
        <v>0</v>
      </c>
      <c r="V46">
        <f t="shared" si="142"/>
        <v>0</v>
      </c>
      <c r="W46">
        <f t="shared" si="142"/>
        <v>0</v>
      </c>
      <c r="X46">
        <f t="shared" si="142"/>
        <v>0</v>
      </c>
      <c r="Y46">
        <f t="shared" si="142"/>
        <v>0</v>
      </c>
      <c r="Z46">
        <f t="shared" si="142"/>
        <v>0</v>
      </c>
      <c r="AA46">
        <f t="shared" si="142"/>
        <v>0</v>
      </c>
      <c r="AB46">
        <f t="shared" si="142"/>
        <v>0</v>
      </c>
      <c r="AC46">
        <f t="shared" si="142"/>
        <v>0</v>
      </c>
      <c r="AD46">
        <f t="shared" si="142"/>
        <v>0</v>
      </c>
      <c r="AE46">
        <f t="shared" si="142"/>
        <v>0</v>
      </c>
      <c r="AF46">
        <f t="shared" si="142"/>
        <v>0</v>
      </c>
      <c r="AG46">
        <f t="shared" si="142"/>
        <v>0</v>
      </c>
      <c r="AH46">
        <f t="shared" si="142"/>
        <v>0</v>
      </c>
      <c r="AI46">
        <f t="shared" si="142"/>
        <v>0</v>
      </c>
      <c r="AJ46">
        <f t="shared" si="142"/>
        <v>0</v>
      </c>
      <c r="AK46">
        <f t="shared" si="142"/>
        <v>0</v>
      </c>
      <c r="AL46">
        <f t="shared" si="142"/>
        <v>0</v>
      </c>
      <c r="AM46">
        <f t="shared" si="142"/>
        <v>0</v>
      </c>
      <c r="AN46">
        <f t="shared" si="142"/>
        <v>0</v>
      </c>
      <c r="AO46">
        <f t="shared" si="142"/>
        <v>0</v>
      </c>
      <c r="AP46">
        <f t="shared" si="142"/>
        <v>0</v>
      </c>
      <c r="AQ46">
        <f t="shared" si="142"/>
        <v>0</v>
      </c>
      <c r="AR46">
        <f t="shared" si="142"/>
        <v>0</v>
      </c>
      <c r="AS46">
        <f t="shared" si="142"/>
        <v>0</v>
      </c>
      <c r="AT46">
        <f t="shared" si="142"/>
        <v>0</v>
      </c>
      <c r="AU46">
        <f t="shared" si="142"/>
        <v>0</v>
      </c>
      <c r="AV46">
        <f t="shared" si="142"/>
        <v>0</v>
      </c>
      <c r="AW46">
        <f t="shared" si="142"/>
        <v>0</v>
      </c>
      <c r="AX46">
        <f t="shared" si="142"/>
        <v>0</v>
      </c>
      <c r="AY46">
        <f t="shared" si="142"/>
        <v>0</v>
      </c>
      <c r="AZ46">
        <f t="shared" si="142"/>
        <v>0</v>
      </c>
      <c r="BA46">
        <f t="shared" si="142"/>
        <v>0</v>
      </c>
      <c r="BB46">
        <f t="shared" si="142"/>
        <v>0</v>
      </c>
      <c r="BC46">
        <f t="shared" si="142"/>
        <v>0</v>
      </c>
      <c r="BD46">
        <f t="shared" si="142"/>
        <v>0</v>
      </c>
      <c r="BE46">
        <f t="shared" si="142"/>
        <v>0</v>
      </c>
      <c r="BF46">
        <f t="shared" si="142"/>
        <v>0</v>
      </c>
      <c r="BG46">
        <f t="shared" si="142"/>
        <v>0</v>
      </c>
      <c r="BH46">
        <f t="shared" si="142"/>
        <v>0</v>
      </c>
      <c r="BI46">
        <f t="shared" si="142"/>
        <v>0</v>
      </c>
      <c r="BJ46">
        <f t="shared" si="142"/>
        <v>0</v>
      </c>
      <c r="BK46">
        <f t="shared" si="142"/>
        <v>0</v>
      </c>
      <c r="BL46">
        <f t="shared" si="142"/>
        <v>0</v>
      </c>
      <c r="BM46">
        <f t="shared" si="142"/>
        <v>0</v>
      </c>
      <c r="BN46">
        <f t="shared" si="142"/>
        <v>0</v>
      </c>
      <c r="BO46">
        <f t="shared" ref="BO46:DZ46" si="143">BO30</f>
        <v>0</v>
      </c>
      <c r="BP46">
        <f t="shared" si="143"/>
        <v>0</v>
      </c>
      <c r="BQ46">
        <f t="shared" si="143"/>
        <v>0</v>
      </c>
      <c r="BR46">
        <f t="shared" si="143"/>
        <v>0</v>
      </c>
      <c r="BS46">
        <f t="shared" si="143"/>
        <v>0</v>
      </c>
      <c r="BT46">
        <f t="shared" si="143"/>
        <v>0</v>
      </c>
      <c r="BU46">
        <f t="shared" si="143"/>
        <v>0</v>
      </c>
      <c r="BV46">
        <f t="shared" si="143"/>
        <v>0</v>
      </c>
      <c r="BW46">
        <f t="shared" si="143"/>
        <v>0</v>
      </c>
      <c r="BX46">
        <f t="shared" si="143"/>
        <v>0</v>
      </c>
      <c r="BY46">
        <f t="shared" si="143"/>
        <v>0</v>
      </c>
      <c r="BZ46">
        <f t="shared" si="143"/>
        <v>0</v>
      </c>
      <c r="CA46">
        <f t="shared" si="143"/>
        <v>0</v>
      </c>
      <c r="CB46">
        <f t="shared" si="143"/>
        <v>0</v>
      </c>
      <c r="CC46">
        <f t="shared" si="143"/>
        <v>0</v>
      </c>
      <c r="CD46">
        <f t="shared" si="143"/>
        <v>0</v>
      </c>
      <c r="CE46">
        <f t="shared" si="143"/>
        <v>0</v>
      </c>
      <c r="CF46">
        <f t="shared" si="143"/>
        <v>0</v>
      </c>
      <c r="CG46">
        <f t="shared" si="143"/>
        <v>0</v>
      </c>
      <c r="CH46">
        <f t="shared" si="143"/>
        <v>0</v>
      </c>
      <c r="CI46">
        <f t="shared" si="143"/>
        <v>0</v>
      </c>
      <c r="CJ46">
        <f t="shared" si="143"/>
        <v>0</v>
      </c>
      <c r="CK46">
        <f t="shared" si="143"/>
        <v>0</v>
      </c>
      <c r="CL46">
        <f t="shared" si="143"/>
        <v>0</v>
      </c>
      <c r="CM46">
        <f t="shared" si="143"/>
        <v>0</v>
      </c>
      <c r="CN46">
        <f t="shared" si="143"/>
        <v>0</v>
      </c>
      <c r="CO46">
        <f t="shared" si="143"/>
        <v>0</v>
      </c>
      <c r="CP46">
        <f t="shared" si="143"/>
        <v>0</v>
      </c>
      <c r="CQ46">
        <f t="shared" si="143"/>
        <v>0</v>
      </c>
      <c r="CR46">
        <f t="shared" si="143"/>
        <v>0</v>
      </c>
      <c r="CS46">
        <f t="shared" si="143"/>
        <v>0</v>
      </c>
      <c r="CT46">
        <f t="shared" si="143"/>
        <v>0</v>
      </c>
      <c r="CU46">
        <f t="shared" si="143"/>
        <v>0</v>
      </c>
      <c r="CV46">
        <f t="shared" si="143"/>
        <v>0</v>
      </c>
      <c r="CW46">
        <f t="shared" si="143"/>
        <v>0</v>
      </c>
      <c r="CX46">
        <f t="shared" si="143"/>
        <v>0</v>
      </c>
      <c r="CY46">
        <f t="shared" si="143"/>
        <v>0</v>
      </c>
      <c r="CZ46">
        <f t="shared" si="143"/>
        <v>0</v>
      </c>
      <c r="DA46">
        <f t="shared" si="143"/>
        <v>0</v>
      </c>
      <c r="DB46">
        <f t="shared" si="143"/>
        <v>0</v>
      </c>
      <c r="DC46">
        <f t="shared" si="143"/>
        <v>0</v>
      </c>
      <c r="DD46">
        <f t="shared" si="143"/>
        <v>0</v>
      </c>
      <c r="DE46">
        <f t="shared" si="143"/>
        <v>0</v>
      </c>
      <c r="DF46">
        <f t="shared" si="143"/>
        <v>0</v>
      </c>
      <c r="DG46">
        <f t="shared" si="143"/>
        <v>0</v>
      </c>
      <c r="DH46">
        <f t="shared" si="143"/>
        <v>0</v>
      </c>
      <c r="DI46">
        <f t="shared" si="143"/>
        <v>0</v>
      </c>
      <c r="DJ46">
        <f t="shared" si="143"/>
        <v>0</v>
      </c>
      <c r="DK46">
        <f t="shared" si="143"/>
        <v>0</v>
      </c>
      <c r="DL46">
        <f t="shared" si="143"/>
        <v>0</v>
      </c>
      <c r="DM46">
        <f t="shared" si="143"/>
        <v>0</v>
      </c>
      <c r="DN46">
        <f t="shared" si="143"/>
        <v>0</v>
      </c>
      <c r="DO46">
        <f t="shared" si="143"/>
        <v>0</v>
      </c>
      <c r="DP46">
        <f t="shared" si="143"/>
        <v>0</v>
      </c>
      <c r="DQ46">
        <f t="shared" si="143"/>
        <v>0</v>
      </c>
      <c r="DR46">
        <f t="shared" si="143"/>
        <v>0</v>
      </c>
      <c r="DS46">
        <f t="shared" si="143"/>
        <v>0</v>
      </c>
      <c r="DT46">
        <f t="shared" si="143"/>
        <v>0</v>
      </c>
      <c r="DU46">
        <f t="shared" si="143"/>
        <v>0</v>
      </c>
      <c r="DV46">
        <f t="shared" si="143"/>
        <v>0</v>
      </c>
      <c r="DW46">
        <f t="shared" si="143"/>
        <v>0</v>
      </c>
      <c r="DX46">
        <f t="shared" si="143"/>
        <v>0</v>
      </c>
      <c r="DY46">
        <f t="shared" si="143"/>
        <v>0</v>
      </c>
      <c r="DZ46">
        <f t="shared" si="143"/>
        <v>0</v>
      </c>
      <c r="EA46">
        <f t="shared" ref="EA46:GL46" si="144">EA30</f>
        <v>0</v>
      </c>
      <c r="EB46">
        <f t="shared" si="144"/>
        <v>0</v>
      </c>
      <c r="EC46">
        <f t="shared" si="144"/>
        <v>0</v>
      </c>
      <c r="ED46">
        <f t="shared" si="144"/>
        <v>0</v>
      </c>
      <c r="EE46">
        <f t="shared" si="144"/>
        <v>0</v>
      </c>
      <c r="EF46">
        <f t="shared" si="144"/>
        <v>0</v>
      </c>
      <c r="EG46">
        <f t="shared" si="144"/>
        <v>0</v>
      </c>
      <c r="EH46">
        <f t="shared" si="144"/>
        <v>0</v>
      </c>
      <c r="EI46">
        <f t="shared" si="144"/>
        <v>0</v>
      </c>
      <c r="EJ46">
        <f t="shared" si="144"/>
        <v>0</v>
      </c>
      <c r="EK46">
        <f t="shared" si="144"/>
        <v>0</v>
      </c>
      <c r="EL46">
        <f t="shared" si="144"/>
        <v>0</v>
      </c>
      <c r="EM46">
        <f t="shared" si="144"/>
        <v>0</v>
      </c>
      <c r="EN46">
        <f t="shared" si="144"/>
        <v>0</v>
      </c>
      <c r="EO46">
        <f t="shared" si="144"/>
        <v>0</v>
      </c>
      <c r="EP46">
        <f t="shared" si="144"/>
        <v>0</v>
      </c>
      <c r="EQ46">
        <f>EQ30</f>
        <v>0</v>
      </c>
      <c r="ER46">
        <f t="shared" si="144"/>
        <v>0</v>
      </c>
      <c r="ES46">
        <f t="shared" si="144"/>
        <v>0</v>
      </c>
      <c r="ET46">
        <f t="shared" si="144"/>
        <v>0</v>
      </c>
      <c r="EU46">
        <f t="shared" si="144"/>
        <v>0</v>
      </c>
      <c r="EV46">
        <f t="shared" si="144"/>
        <v>0</v>
      </c>
      <c r="EW46">
        <f t="shared" si="144"/>
        <v>0</v>
      </c>
      <c r="EX46">
        <f t="shared" si="144"/>
        <v>0</v>
      </c>
      <c r="EY46">
        <f t="shared" si="144"/>
        <v>0</v>
      </c>
      <c r="EZ46">
        <f t="shared" si="144"/>
        <v>0</v>
      </c>
      <c r="FA46">
        <f t="shared" si="144"/>
        <v>0</v>
      </c>
      <c r="FB46">
        <f t="shared" si="144"/>
        <v>0</v>
      </c>
      <c r="FC46">
        <f t="shared" si="144"/>
        <v>0</v>
      </c>
      <c r="FD46">
        <f t="shared" si="144"/>
        <v>0</v>
      </c>
      <c r="FE46">
        <f t="shared" si="144"/>
        <v>0</v>
      </c>
      <c r="FF46">
        <f t="shared" si="144"/>
        <v>0</v>
      </c>
      <c r="FG46">
        <f t="shared" si="144"/>
        <v>0</v>
      </c>
      <c r="FH46">
        <f t="shared" si="144"/>
        <v>0</v>
      </c>
      <c r="FI46">
        <f t="shared" si="144"/>
        <v>0</v>
      </c>
      <c r="FJ46">
        <f t="shared" si="144"/>
        <v>0</v>
      </c>
      <c r="FK46">
        <f t="shared" si="144"/>
        <v>0</v>
      </c>
      <c r="FL46">
        <f t="shared" si="144"/>
        <v>0</v>
      </c>
      <c r="FM46">
        <f t="shared" si="144"/>
        <v>0</v>
      </c>
      <c r="FN46" s="1">
        <f t="shared" si="144"/>
        <v>0</v>
      </c>
      <c r="FO46" s="1">
        <f t="shared" si="144"/>
        <v>0</v>
      </c>
      <c r="FP46" s="1">
        <f t="shared" si="144"/>
        <v>0</v>
      </c>
      <c r="FQ46" s="1">
        <f t="shared" si="144"/>
        <v>0</v>
      </c>
      <c r="FR46" s="1">
        <f t="shared" si="144"/>
        <v>0</v>
      </c>
      <c r="FS46" s="1">
        <f t="shared" si="144"/>
        <v>0</v>
      </c>
      <c r="FT46" s="1">
        <f t="shared" si="144"/>
        <v>0</v>
      </c>
      <c r="FU46" s="1">
        <f t="shared" si="144"/>
        <v>0</v>
      </c>
      <c r="FV46" s="1">
        <f t="shared" si="144"/>
        <v>0</v>
      </c>
      <c r="FW46" s="1">
        <f t="shared" si="144"/>
        <v>0</v>
      </c>
      <c r="FX46" s="1">
        <f t="shared" si="144"/>
        <v>0</v>
      </c>
      <c r="FY46" s="1">
        <f t="shared" si="144"/>
        <v>0</v>
      </c>
      <c r="FZ46" s="1">
        <f t="shared" si="144"/>
        <v>0</v>
      </c>
      <c r="GA46" s="1">
        <f t="shared" si="144"/>
        <v>0</v>
      </c>
      <c r="GB46" s="1">
        <f t="shared" si="144"/>
        <v>0</v>
      </c>
      <c r="GC46" s="1">
        <f t="shared" si="144"/>
        <v>0</v>
      </c>
      <c r="GD46" s="1">
        <f t="shared" si="144"/>
        <v>0</v>
      </c>
      <c r="GE46" s="1">
        <f t="shared" si="144"/>
        <v>0</v>
      </c>
      <c r="GF46" s="1">
        <f t="shared" si="144"/>
        <v>0</v>
      </c>
      <c r="GG46" s="1">
        <f t="shared" si="144"/>
        <v>0</v>
      </c>
      <c r="GH46" s="1">
        <f t="shared" si="144"/>
        <v>0</v>
      </c>
      <c r="GI46" s="1">
        <f t="shared" si="144"/>
        <v>0</v>
      </c>
      <c r="GJ46" s="1">
        <f t="shared" si="144"/>
        <v>0</v>
      </c>
      <c r="GK46" s="1">
        <f t="shared" si="144"/>
        <v>0</v>
      </c>
      <c r="GL46" s="1">
        <f t="shared" si="144"/>
        <v>0</v>
      </c>
      <c r="GM46" s="1">
        <f t="shared" ref="GM46:IX46" si="145">GM30</f>
        <v>0</v>
      </c>
      <c r="GN46" s="1">
        <f t="shared" si="145"/>
        <v>0</v>
      </c>
      <c r="GO46" s="1">
        <f t="shared" si="145"/>
        <v>0</v>
      </c>
      <c r="GP46" s="1">
        <f t="shared" si="145"/>
        <v>0</v>
      </c>
      <c r="GQ46" s="1">
        <f t="shared" si="145"/>
        <v>0</v>
      </c>
      <c r="GR46" s="1">
        <f t="shared" si="145"/>
        <v>0</v>
      </c>
      <c r="GS46" s="1">
        <f t="shared" si="145"/>
        <v>0</v>
      </c>
      <c r="GT46" s="1">
        <f t="shared" si="145"/>
        <v>0</v>
      </c>
      <c r="GU46" s="1">
        <f t="shared" si="145"/>
        <v>0</v>
      </c>
      <c r="GV46" s="1">
        <f t="shared" si="145"/>
        <v>0</v>
      </c>
      <c r="GW46" s="1">
        <f t="shared" si="145"/>
        <v>0</v>
      </c>
      <c r="GX46" s="1">
        <f t="shared" si="145"/>
        <v>0</v>
      </c>
      <c r="GY46" s="1">
        <f t="shared" si="145"/>
        <v>0</v>
      </c>
      <c r="GZ46" s="1">
        <f t="shared" si="145"/>
        <v>0</v>
      </c>
      <c r="HA46" s="1">
        <f t="shared" si="145"/>
        <v>0</v>
      </c>
      <c r="HB46" s="1">
        <f t="shared" si="145"/>
        <v>0</v>
      </c>
      <c r="HC46" s="1">
        <f t="shared" si="145"/>
        <v>0</v>
      </c>
      <c r="HD46" s="1">
        <f t="shared" si="145"/>
        <v>0</v>
      </c>
      <c r="HE46" s="1">
        <f t="shared" si="145"/>
        <v>0</v>
      </c>
      <c r="HF46" s="1">
        <f t="shared" si="145"/>
        <v>0</v>
      </c>
      <c r="HG46" s="1">
        <f t="shared" si="145"/>
        <v>0</v>
      </c>
      <c r="HH46" s="1">
        <f t="shared" si="145"/>
        <v>0</v>
      </c>
      <c r="HI46" s="1">
        <f t="shared" si="145"/>
        <v>0</v>
      </c>
      <c r="HJ46" s="1">
        <f t="shared" si="145"/>
        <v>0</v>
      </c>
      <c r="HK46" s="1">
        <f t="shared" si="145"/>
        <v>0</v>
      </c>
      <c r="HL46" s="1">
        <f t="shared" si="145"/>
        <v>0</v>
      </c>
      <c r="HM46" s="1">
        <f t="shared" si="145"/>
        <v>0</v>
      </c>
      <c r="HN46" s="1">
        <f t="shared" si="145"/>
        <v>0</v>
      </c>
      <c r="HO46" s="1">
        <f t="shared" si="145"/>
        <v>0</v>
      </c>
      <c r="HP46" s="1">
        <f t="shared" si="145"/>
        <v>0</v>
      </c>
      <c r="HQ46" s="1">
        <f t="shared" si="145"/>
        <v>0</v>
      </c>
      <c r="HR46" s="1">
        <f t="shared" si="145"/>
        <v>0</v>
      </c>
      <c r="HS46" s="1">
        <f t="shared" si="145"/>
        <v>0</v>
      </c>
      <c r="HT46" s="1">
        <f t="shared" si="145"/>
        <v>0</v>
      </c>
      <c r="HU46" s="1">
        <f t="shared" si="145"/>
        <v>0</v>
      </c>
      <c r="HV46" s="1">
        <f t="shared" si="145"/>
        <v>0</v>
      </c>
      <c r="HW46" s="1">
        <f t="shared" si="145"/>
        <v>0</v>
      </c>
      <c r="HX46" s="1">
        <f t="shared" si="145"/>
        <v>0</v>
      </c>
      <c r="HY46" s="1">
        <f t="shared" si="145"/>
        <v>0</v>
      </c>
      <c r="HZ46" s="1">
        <f t="shared" si="145"/>
        <v>0</v>
      </c>
      <c r="IA46" s="1">
        <f t="shared" si="145"/>
        <v>0</v>
      </c>
      <c r="IB46" s="1">
        <f t="shared" si="145"/>
        <v>0</v>
      </c>
      <c r="IC46" s="1">
        <f t="shared" si="145"/>
        <v>0</v>
      </c>
      <c r="ID46" s="1">
        <f t="shared" si="145"/>
        <v>0</v>
      </c>
      <c r="IE46" s="1">
        <f t="shared" si="145"/>
        <v>0</v>
      </c>
      <c r="IF46" s="1">
        <f t="shared" si="145"/>
        <v>0</v>
      </c>
      <c r="IG46" s="1">
        <f t="shared" si="145"/>
        <v>0</v>
      </c>
      <c r="IH46" s="1">
        <f t="shared" si="145"/>
        <v>0</v>
      </c>
      <c r="II46" s="1">
        <f t="shared" si="145"/>
        <v>0</v>
      </c>
      <c r="IJ46" s="1">
        <f t="shared" si="145"/>
        <v>0</v>
      </c>
      <c r="IK46" s="1">
        <f t="shared" si="145"/>
        <v>0</v>
      </c>
      <c r="IL46" s="1">
        <f t="shared" si="145"/>
        <v>0</v>
      </c>
      <c r="IM46" s="1">
        <f t="shared" si="145"/>
        <v>0</v>
      </c>
      <c r="IN46" s="1">
        <f t="shared" si="145"/>
        <v>0</v>
      </c>
      <c r="IO46" s="1">
        <f t="shared" si="145"/>
        <v>0</v>
      </c>
      <c r="IP46" s="1">
        <f t="shared" si="145"/>
        <v>0</v>
      </c>
      <c r="IQ46" s="1">
        <f t="shared" si="145"/>
        <v>0</v>
      </c>
      <c r="IR46" s="1">
        <f t="shared" si="145"/>
        <v>0</v>
      </c>
      <c r="IS46" s="1">
        <f t="shared" si="145"/>
        <v>0</v>
      </c>
      <c r="IT46" s="1">
        <f t="shared" si="145"/>
        <v>0</v>
      </c>
      <c r="IU46" s="1">
        <f t="shared" si="145"/>
        <v>0</v>
      </c>
      <c r="IV46" s="1">
        <f t="shared" si="145"/>
        <v>0</v>
      </c>
      <c r="IW46" s="1">
        <f t="shared" si="145"/>
        <v>0</v>
      </c>
      <c r="IX46" s="1">
        <f t="shared" si="145"/>
        <v>0</v>
      </c>
      <c r="IY46" s="1">
        <f t="shared" ref="IY46:LJ46" si="146">IY30</f>
        <v>0</v>
      </c>
      <c r="IZ46" s="1">
        <f t="shared" si="146"/>
        <v>0</v>
      </c>
      <c r="JA46" s="1">
        <f t="shared" si="146"/>
        <v>0</v>
      </c>
      <c r="JB46" s="1">
        <f t="shared" si="146"/>
        <v>0</v>
      </c>
      <c r="JC46" s="1">
        <f t="shared" si="146"/>
        <v>0</v>
      </c>
      <c r="JD46" s="1">
        <f t="shared" si="146"/>
        <v>0</v>
      </c>
      <c r="JE46" s="1">
        <f t="shared" si="146"/>
        <v>0</v>
      </c>
      <c r="JF46" s="1">
        <f t="shared" si="146"/>
        <v>0</v>
      </c>
      <c r="JG46" s="1">
        <f t="shared" si="146"/>
        <v>0</v>
      </c>
      <c r="JH46" s="1">
        <f t="shared" si="146"/>
        <v>0</v>
      </c>
      <c r="JI46" s="1">
        <f t="shared" si="146"/>
        <v>0</v>
      </c>
      <c r="JJ46" s="1">
        <f t="shared" si="146"/>
        <v>0</v>
      </c>
      <c r="JK46" s="1">
        <f t="shared" si="146"/>
        <v>0</v>
      </c>
      <c r="JL46" s="1">
        <f t="shared" si="146"/>
        <v>0</v>
      </c>
      <c r="JM46" s="1">
        <f t="shared" si="146"/>
        <v>0</v>
      </c>
      <c r="JN46" s="1">
        <f t="shared" si="146"/>
        <v>0</v>
      </c>
      <c r="JO46" s="1">
        <f t="shared" si="146"/>
        <v>0</v>
      </c>
      <c r="JP46" s="1">
        <f t="shared" si="146"/>
        <v>0</v>
      </c>
      <c r="JQ46" s="1">
        <f t="shared" si="146"/>
        <v>0</v>
      </c>
      <c r="JR46" s="1">
        <f t="shared" si="146"/>
        <v>0</v>
      </c>
      <c r="JS46" s="1">
        <f t="shared" si="146"/>
        <v>0</v>
      </c>
      <c r="JT46" s="1">
        <f t="shared" si="146"/>
        <v>0</v>
      </c>
      <c r="JU46" s="1">
        <f t="shared" si="146"/>
        <v>0</v>
      </c>
      <c r="JV46" s="1">
        <f t="shared" si="146"/>
        <v>0</v>
      </c>
      <c r="JW46" s="1">
        <f t="shared" si="146"/>
        <v>0</v>
      </c>
      <c r="JX46" s="1">
        <f t="shared" si="146"/>
        <v>0</v>
      </c>
      <c r="JY46" s="1">
        <f t="shared" si="146"/>
        <v>0</v>
      </c>
      <c r="JZ46" s="1">
        <f t="shared" si="146"/>
        <v>0</v>
      </c>
      <c r="KA46" s="1">
        <f t="shared" si="146"/>
        <v>0</v>
      </c>
      <c r="KB46" s="1">
        <f t="shared" si="146"/>
        <v>0</v>
      </c>
      <c r="KC46" s="1">
        <f t="shared" si="146"/>
        <v>0</v>
      </c>
      <c r="KD46" s="1">
        <f t="shared" si="146"/>
        <v>0</v>
      </c>
      <c r="KE46" s="1">
        <f t="shared" si="146"/>
        <v>0</v>
      </c>
      <c r="KF46" s="1">
        <f t="shared" si="146"/>
        <v>0</v>
      </c>
      <c r="KG46" s="1">
        <f t="shared" si="146"/>
        <v>0</v>
      </c>
      <c r="KH46" s="1">
        <f t="shared" si="146"/>
        <v>0</v>
      </c>
      <c r="KI46" s="1">
        <f t="shared" si="146"/>
        <v>0</v>
      </c>
      <c r="KJ46" s="1">
        <f t="shared" si="146"/>
        <v>0</v>
      </c>
      <c r="KK46" s="1">
        <f t="shared" si="146"/>
        <v>0</v>
      </c>
      <c r="KL46" s="1">
        <f t="shared" si="146"/>
        <v>0</v>
      </c>
      <c r="KM46" s="1">
        <f t="shared" si="146"/>
        <v>0</v>
      </c>
      <c r="KN46" s="1">
        <f t="shared" si="146"/>
        <v>0</v>
      </c>
      <c r="KO46" s="1">
        <f t="shared" si="146"/>
        <v>0</v>
      </c>
      <c r="KP46" s="1">
        <f t="shared" si="146"/>
        <v>0</v>
      </c>
      <c r="KQ46" s="1">
        <f t="shared" si="146"/>
        <v>0</v>
      </c>
      <c r="KR46" s="1">
        <f t="shared" si="146"/>
        <v>0</v>
      </c>
      <c r="KS46" s="1">
        <f t="shared" si="146"/>
        <v>0</v>
      </c>
      <c r="KT46" s="1">
        <f t="shared" si="146"/>
        <v>0</v>
      </c>
      <c r="KU46" s="1">
        <f t="shared" si="146"/>
        <v>0</v>
      </c>
      <c r="KV46" s="1">
        <f t="shared" si="146"/>
        <v>0</v>
      </c>
      <c r="KW46" s="1">
        <f t="shared" si="146"/>
        <v>0</v>
      </c>
      <c r="KX46" s="1">
        <f t="shared" si="146"/>
        <v>0</v>
      </c>
      <c r="KY46" s="1">
        <f t="shared" si="146"/>
        <v>0</v>
      </c>
      <c r="KZ46" s="1">
        <f t="shared" si="146"/>
        <v>0</v>
      </c>
      <c r="LA46" s="1">
        <f t="shared" si="146"/>
        <v>0</v>
      </c>
      <c r="LB46" s="1">
        <f t="shared" si="146"/>
        <v>0</v>
      </c>
      <c r="LC46" s="1">
        <f t="shared" si="146"/>
        <v>0</v>
      </c>
      <c r="LD46" s="1">
        <f t="shared" si="146"/>
        <v>0</v>
      </c>
      <c r="LE46" s="1">
        <f t="shared" si="146"/>
        <v>0</v>
      </c>
      <c r="LF46" s="1">
        <f t="shared" si="146"/>
        <v>0</v>
      </c>
      <c r="LG46" s="1">
        <f t="shared" si="146"/>
        <v>0</v>
      </c>
      <c r="LH46" s="1">
        <f t="shared" si="146"/>
        <v>0</v>
      </c>
      <c r="LI46" s="1">
        <f t="shared" si="146"/>
        <v>0</v>
      </c>
      <c r="LJ46" s="1">
        <f t="shared" si="146"/>
        <v>0</v>
      </c>
      <c r="LK46" s="1">
        <f t="shared" ref="LK46:NV46" si="147">LK30</f>
        <v>0</v>
      </c>
      <c r="LL46" s="1">
        <f t="shared" si="147"/>
        <v>0</v>
      </c>
      <c r="LM46" s="1">
        <f t="shared" si="147"/>
        <v>0</v>
      </c>
      <c r="LN46" s="1">
        <f t="shared" si="147"/>
        <v>0</v>
      </c>
      <c r="LO46" s="1">
        <f t="shared" si="147"/>
        <v>0</v>
      </c>
      <c r="LP46" s="1">
        <f t="shared" si="147"/>
        <v>0</v>
      </c>
      <c r="LQ46" s="1">
        <f t="shared" si="147"/>
        <v>0</v>
      </c>
      <c r="LR46" s="1">
        <f t="shared" si="147"/>
        <v>0</v>
      </c>
      <c r="LS46" s="1">
        <f t="shared" si="147"/>
        <v>0</v>
      </c>
      <c r="LT46" s="1">
        <f t="shared" si="147"/>
        <v>0</v>
      </c>
      <c r="LU46" s="1">
        <f t="shared" si="147"/>
        <v>0</v>
      </c>
      <c r="LV46" s="1">
        <f t="shared" si="147"/>
        <v>0</v>
      </c>
      <c r="LW46" s="1">
        <f t="shared" si="147"/>
        <v>0</v>
      </c>
      <c r="LX46" s="1">
        <f t="shared" si="147"/>
        <v>0</v>
      </c>
      <c r="LY46" s="1">
        <f t="shared" si="147"/>
        <v>0</v>
      </c>
      <c r="LZ46" s="1">
        <f t="shared" si="147"/>
        <v>0</v>
      </c>
      <c r="MA46" s="1">
        <f t="shared" si="147"/>
        <v>0</v>
      </c>
      <c r="MB46" s="1">
        <f t="shared" si="147"/>
        <v>0</v>
      </c>
      <c r="MC46" s="1">
        <f t="shared" si="147"/>
        <v>0</v>
      </c>
      <c r="MD46" s="1">
        <f t="shared" si="147"/>
        <v>0</v>
      </c>
      <c r="ME46" s="1">
        <f t="shared" si="147"/>
        <v>0</v>
      </c>
      <c r="MF46" s="1">
        <f t="shared" si="147"/>
        <v>0</v>
      </c>
      <c r="MG46" s="1">
        <f t="shared" si="147"/>
        <v>0</v>
      </c>
      <c r="MH46" s="1">
        <f t="shared" si="147"/>
        <v>0</v>
      </c>
      <c r="MI46" s="1">
        <f t="shared" si="147"/>
        <v>0</v>
      </c>
      <c r="MJ46" s="1">
        <f t="shared" si="147"/>
        <v>0</v>
      </c>
      <c r="MK46" s="1">
        <f t="shared" si="147"/>
        <v>0</v>
      </c>
      <c r="ML46" s="1">
        <f t="shared" si="147"/>
        <v>0</v>
      </c>
      <c r="MM46" s="1">
        <f t="shared" si="147"/>
        <v>0</v>
      </c>
      <c r="MN46" s="1">
        <f t="shared" si="147"/>
        <v>0</v>
      </c>
      <c r="MO46" s="1">
        <f t="shared" si="147"/>
        <v>0</v>
      </c>
      <c r="MP46" s="1">
        <f t="shared" si="147"/>
        <v>0</v>
      </c>
      <c r="MQ46" s="1">
        <f t="shared" si="147"/>
        <v>0</v>
      </c>
      <c r="MR46" s="1">
        <f t="shared" si="147"/>
        <v>0</v>
      </c>
      <c r="MS46" s="1">
        <f t="shared" si="147"/>
        <v>0</v>
      </c>
      <c r="MT46" s="1">
        <f t="shared" si="147"/>
        <v>0</v>
      </c>
      <c r="MU46" s="1">
        <f t="shared" si="147"/>
        <v>0</v>
      </c>
      <c r="MV46" s="1">
        <f t="shared" si="147"/>
        <v>0</v>
      </c>
      <c r="MW46" s="1">
        <f t="shared" si="147"/>
        <v>0</v>
      </c>
      <c r="MX46" s="1">
        <f t="shared" si="147"/>
        <v>0</v>
      </c>
      <c r="MY46" s="1">
        <f t="shared" si="147"/>
        <v>0</v>
      </c>
      <c r="MZ46" s="1">
        <f t="shared" si="147"/>
        <v>0</v>
      </c>
      <c r="NA46" s="1">
        <f t="shared" si="147"/>
        <v>0</v>
      </c>
      <c r="NB46" s="1">
        <f t="shared" si="147"/>
        <v>0</v>
      </c>
      <c r="NC46" s="1">
        <f t="shared" si="147"/>
        <v>0</v>
      </c>
      <c r="ND46" s="1">
        <f t="shared" si="147"/>
        <v>0</v>
      </c>
      <c r="NE46" s="1">
        <f t="shared" si="147"/>
        <v>0</v>
      </c>
      <c r="NF46" s="1">
        <f t="shared" si="147"/>
        <v>0</v>
      </c>
      <c r="NG46" s="1">
        <f t="shared" si="147"/>
        <v>0</v>
      </c>
      <c r="NH46" s="1">
        <f t="shared" si="147"/>
        <v>0</v>
      </c>
      <c r="NI46" s="1">
        <f t="shared" si="147"/>
        <v>0</v>
      </c>
      <c r="NJ46" s="1">
        <f t="shared" si="147"/>
        <v>0</v>
      </c>
      <c r="NK46" s="1">
        <f t="shared" si="147"/>
        <v>0</v>
      </c>
      <c r="NL46" s="1">
        <f t="shared" si="147"/>
        <v>0</v>
      </c>
      <c r="NM46" s="1">
        <f t="shared" si="147"/>
        <v>0</v>
      </c>
      <c r="NN46" s="1">
        <f t="shared" si="147"/>
        <v>0</v>
      </c>
      <c r="NO46" s="1">
        <f t="shared" si="147"/>
        <v>0</v>
      </c>
      <c r="NP46" s="1">
        <f t="shared" si="147"/>
        <v>0</v>
      </c>
      <c r="NQ46" s="1">
        <f t="shared" si="147"/>
        <v>0</v>
      </c>
      <c r="NR46" s="1">
        <f t="shared" si="147"/>
        <v>0</v>
      </c>
      <c r="NS46" s="1">
        <f t="shared" si="147"/>
        <v>0</v>
      </c>
      <c r="NT46" s="1">
        <f t="shared" si="147"/>
        <v>0</v>
      </c>
      <c r="NU46" s="1">
        <f t="shared" si="147"/>
        <v>0</v>
      </c>
      <c r="NV46" s="1">
        <f t="shared" si="147"/>
        <v>0</v>
      </c>
      <c r="NW46" s="1">
        <f t="shared" ref="NW46:QH46" si="148">NW30</f>
        <v>0</v>
      </c>
      <c r="NX46" s="1">
        <f t="shared" si="148"/>
        <v>0</v>
      </c>
      <c r="NY46" s="1">
        <f t="shared" si="148"/>
        <v>0</v>
      </c>
      <c r="NZ46" s="1">
        <f t="shared" si="148"/>
        <v>0</v>
      </c>
      <c r="OA46" s="1">
        <f t="shared" si="148"/>
        <v>0</v>
      </c>
      <c r="OB46" s="1">
        <f t="shared" si="148"/>
        <v>0</v>
      </c>
      <c r="OC46" s="1">
        <f t="shared" si="148"/>
        <v>0</v>
      </c>
      <c r="OD46" s="1">
        <f t="shared" si="148"/>
        <v>0</v>
      </c>
      <c r="OE46" s="1">
        <f t="shared" si="148"/>
        <v>0</v>
      </c>
      <c r="OF46" s="1">
        <f t="shared" si="148"/>
        <v>0</v>
      </c>
      <c r="OG46" s="1">
        <f t="shared" si="148"/>
        <v>0</v>
      </c>
      <c r="OH46" s="1">
        <f t="shared" si="148"/>
        <v>0</v>
      </c>
      <c r="OI46" s="1">
        <f t="shared" si="148"/>
        <v>0</v>
      </c>
      <c r="OJ46" s="1">
        <f t="shared" si="148"/>
        <v>0</v>
      </c>
      <c r="OK46" s="1">
        <f t="shared" si="148"/>
        <v>0</v>
      </c>
      <c r="OL46" s="1">
        <f t="shared" si="148"/>
        <v>0</v>
      </c>
      <c r="OM46" s="1">
        <f t="shared" si="148"/>
        <v>0</v>
      </c>
      <c r="ON46" s="1">
        <f t="shared" si="148"/>
        <v>0</v>
      </c>
      <c r="OO46" s="1">
        <f t="shared" si="148"/>
        <v>0</v>
      </c>
      <c r="OP46" s="1">
        <f t="shared" si="148"/>
        <v>0</v>
      </c>
      <c r="OQ46" s="1">
        <f t="shared" si="148"/>
        <v>0</v>
      </c>
      <c r="OR46" s="1">
        <f t="shared" si="148"/>
        <v>0</v>
      </c>
      <c r="OS46" s="1">
        <f t="shared" si="148"/>
        <v>0</v>
      </c>
      <c r="OT46" s="1">
        <f t="shared" si="148"/>
        <v>0</v>
      </c>
      <c r="OU46" s="1">
        <f t="shared" si="148"/>
        <v>0</v>
      </c>
      <c r="OV46" s="1">
        <f t="shared" si="148"/>
        <v>0</v>
      </c>
      <c r="OW46" s="1">
        <f t="shared" si="148"/>
        <v>0</v>
      </c>
      <c r="OX46" s="1">
        <f t="shared" si="148"/>
        <v>0</v>
      </c>
      <c r="OY46" s="1">
        <f t="shared" si="148"/>
        <v>0</v>
      </c>
      <c r="OZ46" s="1">
        <f t="shared" si="148"/>
        <v>0</v>
      </c>
      <c r="PA46" s="1">
        <f t="shared" si="148"/>
        <v>0</v>
      </c>
      <c r="PB46" s="1">
        <f t="shared" si="148"/>
        <v>0</v>
      </c>
      <c r="PC46" s="1">
        <f t="shared" si="148"/>
        <v>0</v>
      </c>
      <c r="PD46" s="1">
        <f t="shared" si="148"/>
        <v>0</v>
      </c>
      <c r="PE46" s="1">
        <f t="shared" si="148"/>
        <v>0</v>
      </c>
      <c r="PF46" s="1">
        <f t="shared" si="148"/>
        <v>0</v>
      </c>
      <c r="PG46" s="1">
        <f t="shared" si="148"/>
        <v>0</v>
      </c>
      <c r="PH46" s="1">
        <f t="shared" si="148"/>
        <v>0</v>
      </c>
      <c r="PI46" s="1">
        <f t="shared" si="148"/>
        <v>0</v>
      </c>
      <c r="PJ46" s="1">
        <f t="shared" si="148"/>
        <v>0</v>
      </c>
      <c r="PK46" s="1">
        <f t="shared" si="148"/>
        <v>0</v>
      </c>
      <c r="PL46" s="1">
        <f t="shared" si="148"/>
        <v>0</v>
      </c>
      <c r="PM46" s="1">
        <f t="shared" si="148"/>
        <v>0</v>
      </c>
      <c r="PN46" s="1">
        <f t="shared" si="148"/>
        <v>0</v>
      </c>
      <c r="PO46" s="1">
        <f t="shared" si="148"/>
        <v>0</v>
      </c>
      <c r="PP46" s="1">
        <f t="shared" si="148"/>
        <v>0</v>
      </c>
      <c r="PQ46" s="1">
        <f t="shared" si="148"/>
        <v>0</v>
      </c>
      <c r="PR46" s="1">
        <f t="shared" si="148"/>
        <v>0</v>
      </c>
      <c r="PS46" s="1">
        <f t="shared" si="148"/>
        <v>0</v>
      </c>
      <c r="PT46" s="1">
        <f t="shared" si="148"/>
        <v>0</v>
      </c>
      <c r="PU46" s="1">
        <f t="shared" si="148"/>
        <v>0</v>
      </c>
      <c r="PV46" s="1">
        <f t="shared" si="148"/>
        <v>0</v>
      </c>
      <c r="PW46" s="1">
        <f t="shared" si="148"/>
        <v>0</v>
      </c>
      <c r="PX46" s="1">
        <f t="shared" si="148"/>
        <v>0</v>
      </c>
      <c r="PY46" s="1">
        <f t="shared" si="148"/>
        <v>0</v>
      </c>
      <c r="PZ46" s="1">
        <f t="shared" si="148"/>
        <v>0</v>
      </c>
      <c r="QA46" s="1">
        <f t="shared" si="148"/>
        <v>0</v>
      </c>
      <c r="QB46" s="1">
        <f t="shared" si="148"/>
        <v>0</v>
      </c>
      <c r="QC46" s="1">
        <f t="shared" si="148"/>
        <v>0</v>
      </c>
      <c r="QD46" s="1">
        <f t="shared" si="148"/>
        <v>0</v>
      </c>
      <c r="QE46" s="1">
        <f t="shared" si="148"/>
        <v>0</v>
      </c>
      <c r="QF46" s="1">
        <f t="shared" si="148"/>
        <v>0</v>
      </c>
      <c r="QG46" s="1">
        <f t="shared" si="148"/>
        <v>0</v>
      </c>
      <c r="QH46" s="1">
        <f t="shared" si="148"/>
        <v>0</v>
      </c>
      <c r="QI46" s="1">
        <f t="shared" ref="QI46:SG46" si="149">QI30</f>
        <v>0</v>
      </c>
      <c r="QJ46" s="1">
        <f t="shared" si="149"/>
        <v>0</v>
      </c>
      <c r="QK46" s="1">
        <f t="shared" si="149"/>
        <v>0</v>
      </c>
      <c r="QL46" s="1">
        <f t="shared" si="149"/>
        <v>0</v>
      </c>
      <c r="QM46" s="1">
        <f t="shared" si="149"/>
        <v>0</v>
      </c>
      <c r="QN46" s="1">
        <f t="shared" si="149"/>
        <v>0</v>
      </c>
      <c r="QO46" s="1">
        <f t="shared" si="149"/>
        <v>0</v>
      </c>
      <c r="QP46" s="1">
        <f t="shared" si="149"/>
        <v>0</v>
      </c>
      <c r="QQ46" s="1">
        <f t="shared" si="149"/>
        <v>0</v>
      </c>
      <c r="QR46" s="1">
        <f t="shared" si="149"/>
        <v>0</v>
      </c>
      <c r="QS46" s="1">
        <f t="shared" si="149"/>
        <v>0</v>
      </c>
      <c r="QT46" s="1">
        <f t="shared" si="149"/>
        <v>0</v>
      </c>
      <c r="QU46" s="1">
        <f t="shared" si="149"/>
        <v>0</v>
      </c>
      <c r="QV46" s="1">
        <f t="shared" si="149"/>
        <v>0</v>
      </c>
      <c r="QW46" s="1">
        <f t="shared" si="149"/>
        <v>0</v>
      </c>
      <c r="QX46" s="1">
        <f t="shared" si="149"/>
        <v>0</v>
      </c>
      <c r="QY46" s="1">
        <f t="shared" si="149"/>
        <v>0</v>
      </c>
      <c r="QZ46" s="1">
        <f t="shared" si="149"/>
        <v>0</v>
      </c>
      <c r="RA46" s="1">
        <f t="shared" si="149"/>
        <v>0</v>
      </c>
      <c r="RB46" s="1">
        <f t="shared" si="149"/>
        <v>0</v>
      </c>
      <c r="RC46" s="1">
        <f t="shared" si="149"/>
        <v>0</v>
      </c>
      <c r="RD46" s="1">
        <f t="shared" si="149"/>
        <v>0</v>
      </c>
      <c r="RE46" s="1">
        <f t="shared" si="149"/>
        <v>0</v>
      </c>
      <c r="RF46" s="1">
        <f t="shared" si="149"/>
        <v>0</v>
      </c>
      <c r="RG46" s="1">
        <f t="shared" si="149"/>
        <v>0</v>
      </c>
      <c r="RH46" s="1">
        <f t="shared" si="149"/>
        <v>0</v>
      </c>
      <c r="RI46" s="1">
        <f t="shared" si="149"/>
        <v>0</v>
      </c>
      <c r="RJ46" s="1">
        <f t="shared" si="149"/>
        <v>0</v>
      </c>
      <c r="RK46" s="1">
        <f t="shared" si="149"/>
        <v>0</v>
      </c>
      <c r="RL46" s="1">
        <f t="shared" si="149"/>
        <v>0</v>
      </c>
      <c r="RM46" s="1">
        <f t="shared" si="149"/>
        <v>0</v>
      </c>
      <c r="RN46" s="1">
        <f t="shared" si="149"/>
        <v>0</v>
      </c>
      <c r="RO46" s="1">
        <f t="shared" si="149"/>
        <v>0</v>
      </c>
      <c r="RP46" s="1">
        <f t="shared" si="149"/>
        <v>0</v>
      </c>
      <c r="RQ46" s="1">
        <f t="shared" si="149"/>
        <v>0</v>
      </c>
      <c r="RR46" s="1">
        <f t="shared" si="149"/>
        <v>0</v>
      </c>
      <c r="RS46" s="1">
        <f t="shared" si="149"/>
        <v>0</v>
      </c>
      <c r="RT46" s="1">
        <f t="shared" si="149"/>
        <v>0</v>
      </c>
      <c r="RU46" s="1">
        <f t="shared" si="149"/>
        <v>0</v>
      </c>
      <c r="RV46" s="1">
        <f t="shared" si="149"/>
        <v>0</v>
      </c>
      <c r="RW46" s="1">
        <f t="shared" si="149"/>
        <v>0</v>
      </c>
      <c r="RX46" s="1">
        <f t="shared" si="149"/>
        <v>0</v>
      </c>
      <c r="RY46" s="1">
        <f t="shared" si="149"/>
        <v>0</v>
      </c>
      <c r="RZ46" s="1">
        <f t="shared" si="149"/>
        <v>0</v>
      </c>
      <c r="SA46" s="1">
        <f t="shared" si="149"/>
        <v>0</v>
      </c>
      <c r="SB46" s="1">
        <f t="shared" si="149"/>
        <v>0</v>
      </c>
      <c r="SC46" s="1">
        <f t="shared" si="149"/>
        <v>0</v>
      </c>
      <c r="SD46" s="1">
        <f t="shared" si="149"/>
        <v>0</v>
      </c>
      <c r="SE46" s="1">
        <f t="shared" si="149"/>
        <v>0</v>
      </c>
      <c r="SF46" s="1">
        <f t="shared" si="149"/>
        <v>0</v>
      </c>
      <c r="SG46" s="1">
        <f t="shared" si="149"/>
        <v>0</v>
      </c>
      <c r="SH46" s="1">
        <f t="shared" ref="SH46:US46" si="150">SH30</f>
        <v>0</v>
      </c>
      <c r="SI46" s="1">
        <f t="shared" si="150"/>
        <v>0</v>
      </c>
      <c r="SJ46" s="1">
        <f t="shared" si="150"/>
        <v>0</v>
      </c>
      <c r="SK46" s="1">
        <f t="shared" si="150"/>
        <v>0</v>
      </c>
      <c r="SL46" s="1">
        <f t="shared" si="150"/>
        <v>0</v>
      </c>
      <c r="SM46" s="1">
        <f t="shared" si="150"/>
        <v>0</v>
      </c>
      <c r="SN46" s="1">
        <f t="shared" si="150"/>
        <v>0</v>
      </c>
      <c r="SO46" s="1">
        <f t="shared" si="150"/>
        <v>0</v>
      </c>
      <c r="SP46" s="1">
        <f t="shared" si="150"/>
        <v>0</v>
      </c>
      <c r="SQ46" s="1">
        <f t="shared" si="150"/>
        <v>0</v>
      </c>
      <c r="SR46" s="1">
        <f t="shared" si="150"/>
        <v>0</v>
      </c>
      <c r="SS46" s="1">
        <f t="shared" si="150"/>
        <v>0</v>
      </c>
      <c r="ST46" s="1">
        <f t="shared" si="150"/>
        <v>0</v>
      </c>
      <c r="SU46" s="1">
        <f t="shared" si="150"/>
        <v>0</v>
      </c>
      <c r="SV46" s="1">
        <f t="shared" si="150"/>
        <v>0</v>
      </c>
      <c r="SW46" s="1">
        <f t="shared" si="150"/>
        <v>0</v>
      </c>
      <c r="SX46" s="1">
        <f t="shared" si="150"/>
        <v>0</v>
      </c>
      <c r="SY46" s="1">
        <f t="shared" si="150"/>
        <v>0</v>
      </c>
      <c r="SZ46" s="1">
        <f t="shared" si="150"/>
        <v>0</v>
      </c>
      <c r="TA46" s="1">
        <f t="shared" si="150"/>
        <v>0</v>
      </c>
      <c r="TB46" s="1">
        <f t="shared" si="150"/>
        <v>0</v>
      </c>
      <c r="TC46" s="1">
        <f t="shared" si="150"/>
        <v>0</v>
      </c>
      <c r="TD46" s="1">
        <f t="shared" si="150"/>
        <v>0</v>
      </c>
      <c r="TE46" s="1">
        <f t="shared" si="150"/>
        <v>0</v>
      </c>
      <c r="TF46" s="1">
        <f t="shared" si="150"/>
        <v>0</v>
      </c>
      <c r="TG46" s="1">
        <f t="shared" si="150"/>
        <v>0</v>
      </c>
      <c r="TH46" s="1">
        <f t="shared" si="150"/>
        <v>0</v>
      </c>
      <c r="TI46" s="1">
        <f t="shared" si="150"/>
        <v>0</v>
      </c>
      <c r="TJ46" s="1">
        <f t="shared" si="150"/>
        <v>0</v>
      </c>
      <c r="TK46" s="1">
        <f t="shared" si="150"/>
        <v>0</v>
      </c>
      <c r="TL46" s="1">
        <f t="shared" si="150"/>
        <v>0</v>
      </c>
      <c r="TM46" s="1">
        <f t="shared" si="150"/>
        <v>0</v>
      </c>
      <c r="TN46" s="1">
        <f t="shared" si="150"/>
        <v>0</v>
      </c>
      <c r="TO46" s="1">
        <f t="shared" si="150"/>
        <v>0</v>
      </c>
      <c r="TP46" s="1">
        <f t="shared" si="150"/>
        <v>0</v>
      </c>
      <c r="TQ46" s="1">
        <f t="shared" si="150"/>
        <v>0</v>
      </c>
      <c r="TR46" s="1">
        <f t="shared" si="150"/>
        <v>0</v>
      </c>
      <c r="TS46" s="1">
        <f t="shared" si="150"/>
        <v>0</v>
      </c>
      <c r="TT46" s="1">
        <f t="shared" si="150"/>
        <v>0</v>
      </c>
      <c r="TU46" s="1">
        <f t="shared" si="150"/>
        <v>0</v>
      </c>
      <c r="TV46" s="1">
        <f t="shared" si="150"/>
        <v>0</v>
      </c>
      <c r="TW46" s="1">
        <f t="shared" si="150"/>
        <v>0</v>
      </c>
      <c r="TX46" s="1">
        <f t="shared" si="150"/>
        <v>0</v>
      </c>
      <c r="TY46" s="1">
        <f t="shared" si="150"/>
        <v>0</v>
      </c>
      <c r="TZ46" s="1">
        <f t="shared" si="150"/>
        <v>0</v>
      </c>
      <c r="UA46" s="1">
        <f t="shared" si="150"/>
        <v>0</v>
      </c>
      <c r="UB46" s="1">
        <f t="shared" si="150"/>
        <v>0</v>
      </c>
      <c r="UC46" s="1">
        <f t="shared" si="150"/>
        <v>0</v>
      </c>
      <c r="UD46" s="1">
        <f t="shared" si="150"/>
        <v>0</v>
      </c>
      <c r="UE46" s="1">
        <f t="shared" si="150"/>
        <v>0</v>
      </c>
      <c r="UF46" s="1">
        <f t="shared" si="150"/>
        <v>0</v>
      </c>
      <c r="UG46" s="1">
        <f t="shared" si="150"/>
        <v>0</v>
      </c>
      <c r="UH46" s="1">
        <f t="shared" si="150"/>
        <v>0</v>
      </c>
      <c r="UI46" s="1">
        <f t="shared" si="150"/>
        <v>0</v>
      </c>
      <c r="UJ46" s="1">
        <f t="shared" si="150"/>
        <v>0</v>
      </c>
      <c r="UK46" s="1">
        <f t="shared" si="150"/>
        <v>0</v>
      </c>
      <c r="UL46" s="1">
        <f t="shared" si="150"/>
        <v>0</v>
      </c>
      <c r="UM46" s="1">
        <f t="shared" si="150"/>
        <v>0</v>
      </c>
      <c r="UN46" s="1">
        <f t="shared" si="150"/>
        <v>0</v>
      </c>
      <c r="UO46" s="1">
        <f t="shared" si="150"/>
        <v>0</v>
      </c>
      <c r="UP46" s="1">
        <f t="shared" si="150"/>
        <v>0</v>
      </c>
      <c r="UQ46" s="1">
        <f t="shared" si="150"/>
        <v>0</v>
      </c>
      <c r="UR46" s="1">
        <f t="shared" si="150"/>
        <v>0</v>
      </c>
      <c r="US46" s="1">
        <f t="shared" si="150"/>
        <v>0</v>
      </c>
      <c r="UT46" s="1">
        <f t="shared" ref="UT46:XE46" si="151">UT30</f>
        <v>0</v>
      </c>
      <c r="UU46" s="1">
        <f t="shared" si="151"/>
        <v>0</v>
      </c>
      <c r="UV46" s="1">
        <f t="shared" si="151"/>
        <v>0</v>
      </c>
      <c r="UW46" s="1">
        <f t="shared" si="151"/>
        <v>0</v>
      </c>
      <c r="UX46" s="1">
        <f t="shared" si="151"/>
        <v>0</v>
      </c>
      <c r="UY46" s="1">
        <f t="shared" si="151"/>
        <v>0</v>
      </c>
      <c r="UZ46" s="1">
        <f t="shared" si="151"/>
        <v>0</v>
      </c>
      <c r="VA46" s="1">
        <f t="shared" si="151"/>
        <v>0</v>
      </c>
      <c r="VB46" s="1">
        <f t="shared" si="151"/>
        <v>0</v>
      </c>
      <c r="VC46" s="1">
        <f t="shared" si="151"/>
        <v>0</v>
      </c>
      <c r="VD46" s="1">
        <f t="shared" si="151"/>
        <v>0</v>
      </c>
      <c r="VE46" s="1">
        <f t="shared" si="151"/>
        <v>0</v>
      </c>
      <c r="VF46" s="1">
        <f t="shared" si="151"/>
        <v>0</v>
      </c>
      <c r="VG46" s="1">
        <f t="shared" si="151"/>
        <v>0</v>
      </c>
      <c r="VH46" s="1">
        <f t="shared" si="151"/>
        <v>0</v>
      </c>
      <c r="VI46" s="1">
        <f t="shared" si="151"/>
        <v>0</v>
      </c>
      <c r="VJ46" s="1">
        <f t="shared" si="151"/>
        <v>0</v>
      </c>
      <c r="VK46" s="1">
        <f t="shared" si="151"/>
        <v>0</v>
      </c>
      <c r="VL46" s="1">
        <f t="shared" si="151"/>
        <v>0</v>
      </c>
      <c r="VM46" s="1">
        <f t="shared" si="151"/>
        <v>0</v>
      </c>
      <c r="VN46" s="1">
        <f t="shared" si="151"/>
        <v>0</v>
      </c>
      <c r="VO46" s="1">
        <f t="shared" si="151"/>
        <v>0</v>
      </c>
      <c r="VP46" s="1">
        <f t="shared" si="151"/>
        <v>0</v>
      </c>
      <c r="VQ46" s="1">
        <f t="shared" si="151"/>
        <v>0</v>
      </c>
      <c r="VR46" s="1">
        <f t="shared" si="151"/>
        <v>0</v>
      </c>
      <c r="VS46" s="1">
        <f t="shared" si="151"/>
        <v>0</v>
      </c>
      <c r="VT46" s="1">
        <f t="shared" si="151"/>
        <v>0</v>
      </c>
      <c r="VU46" s="1">
        <f t="shared" si="151"/>
        <v>0</v>
      </c>
      <c r="VV46" s="1">
        <f t="shared" si="151"/>
        <v>0</v>
      </c>
      <c r="VW46" s="1">
        <f t="shared" si="151"/>
        <v>0</v>
      </c>
      <c r="VX46" s="1">
        <f t="shared" si="151"/>
        <v>0</v>
      </c>
      <c r="VY46" s="1">
        <f t="shared" si="151"/>
        <v>0</v>
      </c>
      <c r="VZ46" s="1">
        <f t="shared" si="151"/>
        <v>0</v>
      </c>
      <c r="WA46" s="1">
        <f t="shared" si="151"/>
        <v>0</v>
      </c>
      <c r="WB46" s="1">
        <f t="shared" si="151"/>
        <v>0</v>
      </c>
      <c r="WC46" s="1">
        <f t="shared" si="151"/>
        <v>0</v>
      </c>
      <c r="WD46" s="1">
        <f t="shared" si="151"/>
        <v>0</v>
      </c>
      <c r="WE46" s="1">
        <f t="shared" si="151"/>
        <v>0</v>
      </c>
      <c r="WF46" s="1">
        <f t="shared" si="151"/>
        <v>0</v>
      </c>
      <c r="WG46" s="1">
        <f t="shared" si="151"/>
        <v>0</v>
      </c>
      <c r="WH46" s="1">
        <f t="shared" si="151"/>
        <v>0</v>
      </c>
      <c r="WI46" s="1">
        <f t="shared" si="151"/>
        <v>0</v>
      </c>
      <c r="WJ46" s="1">
        <f t="shared" si="151"/>
        <v>0</v>
      </c>
      <c r="WK46" s="1">
        <f t="shared" si="151"/>
        <v>0</v>
      </c>
      <c r="WL46" s="1">
        <f t="shared" si="151"/>
        <v>0</v>
      </c>
      <c r="WM46" s="1">
        <f t="shared" si="151"/>
        <v>0</v>
      </c>
      <c r="WN46" s="1">
        <f t="shared" si="151"/>
        <v>0</v>
      </c>
      <c r="WO46" s="1">
        <f t="shared" si="151"/>
        <v>0</v>
      </c>
      <c r="WP46" s="1">
        <f t="shared" si="151"/>
        <v>0</v>
      </c>
      <c r="WQ46" s="1">
        <f t="shared" si="151"/>
        <v>0</v>
      </c>
      <c r="WR46" s="1">
        <f t="shared" si="151"/>
        <v>0</v>
      </c>
      <c r="WS46" s="1">
        <f t="shared" si="151"/>
        <v>0</v>
      </c>
      <c r="WT46" s="1">
        <f t="shared" si="151"/>
        <v>0</v>
      </c>
      <c r="WU46" s="1">
        <f t="shared" si="151"/>
        <v>0</v>
      </c>
      <c r="WV46" s="1">
        <f t="shared" si="151"/>
        <v>0</v>
      </c>
      <c r="WW46" s="1">
        <f t="shared" si="151"/>
        <v>0</v>
      </c>
      <c r="WX46" s="1">
        <f t="shared" si="151"/>
        <v>0</v>
      </c>
      <c r="WY46" s="1">
        <f t="shared" si="151"/>
        <v>0</v>
      </c>
      <c r="WZ46" s="1">
        <f t="shared" si="151"/>
        <v>0</v>
      </c>
      <c r="XA46" s="1">
        <f t="shared" si="151"/>
        <v>0</v>
      </c>
      <c r="XB46" s="1">
        <f t="shared" si="151"/>
        <v>0</v>
      </c>
      <c r="XC46" s="1">
        <f t="shared" si="151"/>
        <v>0</v>
      </c>
      <c r="XD46" s="1">
        <f t="shared" si="151"/>
        <v>0</v>
      </c>
      <c r="XE46" s="1">
        <f t="shared" si="151"/>
        <v>0</v>
      </c>
      <c r="XF46" s="1">
        <f t="shared" ref="XF46:ZQ46" si="152">XF30</f>
        <v>0</v>
      </c>
      <c r="XG46" s="1">
        <f t="shared" si="152"/>
        <v>0</v>
      </c>
      <c r="XH46" s="1">
        <f t="shared" si="152"/>
        <v>0</v>
      </c>
      <c r="XI46" s="1">
        <f t="shared" si="152"/>
        <v>0</v>
      </c>
      <c r="XJ46" s="1">
        <f t="shared" si="152"/>
        <v>0</v>
      </c>
      <c r="XK46" s="1">
        <f t="shared" si="152"/>
        <v>0</v>
      </c>
      <c r="XL46" s="1">
        <f t="shared" si="152"/>
        <v>0</v>
      </c>
      <c r="XM46" s="1">
        <f t="shared" si="152"/>
        <v>0</v>
      </c>
      <c r="XN46" s="1">
        <f t="shared" si="152"/>
        <v>0</v>
      </c>
      <c r="XO46" s="1">
        <f t="shared" si="152"/>
        <v>0</v>
      </c>
      <c r="XP46" s="1">
        <f t="shared" si="152"/>
        <v>0</v>
      </c>
      <c r="XQ46" s="1">
        <f t="shared" si="152"/>
        <v>0</v>
      </c>
      <c r="XR46" s="1">
        <f t="shared" si="152"/>
        <v>0</v>
      </c>
      <c r="XS46" s="1">
        <f t="shared" si="152"/>
        <v>0</v>
      </c>
      <c r="XT46" s="1">
        <f t="shared" si="152"/>
        <v>0</v>
      </c>
      <c r="XU46" s="1">
        <f t="shared" si="152"/>
        <v>0</v>
      </c>
      <c r="XV46" s="1">
        <f t="shared" si="152"/>
        <v>0</v>
      </c>
      <c r="XW46" s="1">
        <f t="shared" si="152"/>
        <v>0</v>
      </c>
      <c r="XX46" s="1">
        <f t="shared" si="152"/>
        <v>0</v>
      </c>
      <c r="XY46" s="1">
        <f t="shared" si="152"/>
        <v>0</v>
      </c>
      <c r="XZ46" s="1">
        <f t="shared" si="152"/>
        <v>0</v>
      </c>
      <c r="YA46" s="1">
        <f t="shared" si="152"/>
        <v>0</v>
      </c>
      <c r="YB46" s="1">
        <f t="shared" si="152"/>
        <v>0</v>
      </c>
      <c r="YC46" s="1">
        <f t="shared" si="152"/>
        <v>0</v>
      </c>
      <c r="YD46" s="1">
        <f t="shared" si="152"/>
        <v>0</v>
      </c>
      <c r="YE46" s="1">
        <f t="shared" si="152"/>
        <v>0</v>
      </c>
      <c r="YF46" s="1">
        <f t="shared" si="152"/>
        <v>0</v>
      </c>
      <c r="YG46" s="1">
        <f t="shared" si="152"/>
        <v>0</v>
      </c>
      <c r="YH46" s="1">
        <f t="shared" si="152"/>
        <v>0</v>
      </c>
      <c r="YI46" s="1">
        <f t="shared" si="152"/>
        <v>0</v>
      </c>
      <c r="YJ46" s="1">
        <f t="shared" si="152"/>
        <v>0</v>
      </c>
      <c r="YK46" s="1">
        <f t="shared" si="152"/>
        <v>0</v>
      </c>
      <c r="YL46" s="1">
        <f t="shared" si="152"/>
        <v>0</v>
      </c>
      <c r="YM46" s="1">
        <f t="shared" si="152"/>
        <v>0</v>
      </c>
      <c r="YN46" s="1">
        <f t="shared" si="152"/>
        <v>0</v>
      </c>
      <c r="YO46" s="1">
        <f t="shared" si="152"/>
        <v>0</v>
      </c>
      <c r="YP46" s="1">
        <f t="shared" si="152"/>
        <v>0</v>
      </c>
      <c r="YQ46" s="1">
        <f t="shared" si="152"/>
        <v>0</v>
      </c>
      <c r="YR46" s="1">
        <f t="shared" si="152"/>
        <v>0</v>
      </c>
      <c r="YS46" s="1">
        <f t="shared" si="152"/>
        <v>0</v>
      </c>
      <c r="YT46" s="1">
        <f t="shared" si="152"/>
        <v>0</v>
      </c>
      <c r="YU46" s="1">
        <f t="shared" si="152"/>
        <v>0</v>
      </c>
      <c r="YV46" s="1">
        <f t="shared" si="152"/>
        <v>0</v>
      </c>
      <c r="YW46" s="1">
        <f t="shared" si="152"/>
        <v>0</v>
      </c>
      <c r="YX46" s="1">
        <f t="shared" si="152"/>
        <v>0</v>
      </c>
      <c r="YY46" s="1">
        <f t="shared" si="152"/>
        <v>0</v>
      </c>
      <c r="YZ46" s="1">
        <f t="shared" si="152"/>
        <v>0</v>
      </c>
      <c r="ZA46" s="1">
        <f t="shared" si="152"/>
        <v>0</v>
      </c>
      <c r="ZB46" s="1">
        <f t="shared" si="152"/>
        <v>0</v>
      </c>
      <c r="ZC46" s="1">
        <f t="shared" si="152"/>
        <v>0</v>
      </c>
      <c r="ZD46" s="1">
        <f t="shared" si="152"/>
        <v>0</v>
      </c>
      <c r="ZE46" s="1">
        <f t="shared" si="152"/>
        <v>0</v>
      </c>
      <c r="ZF46" s="1">
        <f t="shared" si="152"/>
        <v>0</v>
      </c>
      <c r="ZG46" s="1">
        <f t="shared" si="152"/>
        <v>0</v>
      </c>
      <c r="ZH46" s="1">
        <f t="shared" si="152"/>
        <v>0</v>
      </c>
      <c r="ZI46" s="1">
        <f t="shared" si="152"/>
        <v>0</v>
      </c>
      <c r="ZJ46" s="1">
        <f t="shared" si="152"/>
        <v>0</v>
      </c>
      <c r="ZK46" s="1">
        <f t="shared" si="152"/>
        <v>0</v>
      </c>
      <c r="ZL46" s="1">
        <f t="shared" si="152"/>
        <v>0</v>
      </c>
      <c r="ZM46" s="1">
        <f t="shared" si="152"/>
        <v>0</v>
      </c>
      <c r="ZN46" s="1">
        <f t="shared" si="152"/>
        <v>0</v>
      </c>
      <c r="ZO46" s="1">
        <f t="shared" si="152"/>
        <v>0</v>
      </c>
      <c r="ZP46" s="1">
        <f t="shared" si="152"/>
        <v>0</v>
      </c>
      <c r="ZQ46" s="1">
        <f t="shared" si="152"/>
        <v>0</v>
      </c>
      <c r="ZR46" s="1">
        <f t="shared" ref="ZR46:ACC46" si="153">ZR30</f>
        <v>0</v>
      </c>
      <c r="ZS46" s="1">
        <f t="shared" si="153"/>
        <v>0</v>
      </c>
      <c r="ZT46" s="1">
        <f t="shared" si="153"/>
        <v>0</v>
      </c>
      <c r="ZU46" s="1">
        <f t="shared" si="153"/>
        <v>0</v>
      </c>
      <c r="ZV46" s="1">
        <f t="shared" si="153"/>
        <v>0</v>
      </c>
      <c r="ZW46" s="1">
        <f t="shared" si="153"/>
        <v>0</v>
      </c>
      <c r="ZX46" s="1">
        <f t="shared" si="153"/>
        <v>0</v>
      </c>
      <c r="ZY46" s="1">
        <f t="shared" si="153"/>
        <v>0</v>
      </c>
      <c r="ZZ46" s="1">
        <f t="shared" si="153"/>
        <v>0</v>
      </c>
      <c r="AAA46" s="1">
        <f t="shared" si="153"/>
        <v>0</v>
      </c>
      <c r="AAB46" s="1">
        <f t="shared" si="153"/>
        <v>0</v>
      </c>
      <c r="AAC46" s="1">
        <f t="shared" si="153"/>
        <v>0</v>
      </c>
      <c r="AAD46" s="1">
        <f t="shared" si="153"/>
        <v>0</v>
      </c>
      <c r="AAE46" s="1">
        <f t="shared" si="153"/>
        <v>0</v>
      </c>
      <c r="AAF46" s="1">
        <f t="shared" si="153"/>
        <v>0</v>
      </c>
      <c r="AAG46" s="1">
        <f t="shared" si="153"/>
        <v>0</v>
      </c>
      <c r="AAH46" s="1">
        <f t="shared" si="153"/>
        <v>0</v>
      </c>
      <c r="AAI46" s="1">
        <f t="shared" si="153"/>
        <v>0</v>
      </c>
      <c r="AAJ46" s="1">
        <f t="shared" si="153"/>
        <v>0</v>
      </c>
      <c r="AAK46" s="1">
        <f t="shared" si="153"/>
        <v>0</v>
      </c>
      <c r="AAL46" s="1">
        <f t="shared" si="153"/>
        <v>0</v>
      </c>
      <c r="AAM46" s="1">
        <f t="shared" si="153"/>
        <v>0</v>
      </c>
      <c r="AAN46" s="1">
        <f t="shared" si="153"/>
        <v>0</v>
      </c>
      <c r="AAO46" s="1">
        <f t="shared" si="153"/>
        <v>0</v>
      </c>
      <c r="AAP46" s="1">
        <f t="shared" si="153"/>
        <v>0</v>
      </c>
      <c r="AAQ46" s="1">
        <f t="shared" si="153"/>
        <v>0</v>
      </c>
      <c r="AAR46" s="1">
        <f t="shared" si="153"/>
        <v>0</v>
      </c>
      <c r="AAS46" s="1">
        <f t="shared" si="153"/>
        <v>0</v>
      </c>
      <c r="AAT46" s="1">
        <f t="shared" si="153"/>
        <v>0</v>
      </c>
      <c r="AAU46" s="1">
        <f t="shared" si="153"/>
        <v>0</v>
      </c>
      <c r="AAV46" s="1">
        <f t="shared" si="153"/>
        <v>0</v>
      </c>
      <c r="AAW46" s="1">
        <f t="shared" si="153"/>
        <v>0</v>
      </c>
      <c r="AAX46" s="1">
        <f t="shared" si="153"/>
        <v>0</v>
      </c>
      <c r="AAY46" s="1">
        <f t="shared" si="153"/>
        <v>0</v>
      </c>
      <c r="AAZ46" s="1">
        <f t="shared" si="153"/>
        <v>0</v>
      </c>
      <c r="ABA46" s="1">
        <f t="shared" si="153"/>
        <v>0</v>
      </c>
      <c r="ABB46" s="1">
        <f t="shared" si="153"/>
        <v>0</v>
      </c>
      <c r="ABC46" s="1">
        <f t="shared" si="153"/>
        <v>0</v>
      </c>
      <c r="ABD46" s="1">
        <f t="shared" si="153"/>
        <v>0</v>
      </c>
      <c r="ABE46" s="1">
        <f t="shared" si="153"/>
        <v>0</v>
      </c>
      <c r="ABF46" s="1">
        <f t="shared" si="153"/>
        <v>0</v>
      </c>
      <c r="ABG46" s="1">
        <f t="shared" si="153"/>
        <v>0</v>
      </c>
      <c r="ABH46" s="1">
        <f t="shared" si="153"/>
        <v>0</v>
      </c>
      <c r="ABI46" s="1">
        <f t="shared" si="153"/>
        <v>0</v>
      </c>
      <c r="ABJ46" s="1">
        <f t="shared" si="153"/>
        <v>0</v>
      </c>
      <c r="ABK46" s="1">
        <f t="shared" si="153"/>
        <v>0</v>
      </c>
      <c r="ABL46" s="1">
        <f t="shared" si="153"/>
        <v>0</v>
      </c>
      <c r="ABM46" s="1">
        <f t="shared" si="153"/>
        <v>0</v>
      </c>
      <c r="ABN46" s="1">
        <f t="shared" si="153"/>
        <v>0</v>
      </c>
      <c r="ABO46" s="1">
        <f t="shared" si="153"/>
        <v>0</v>
      </c>
      <c r="ABP46" s="1">
        <f t="shared" si="153"/>
        <v>0</v>
      </c>
      <c r="ABQ46" s="1">
        <f t="shared" si="153"/>
        <v>0</v>
      </c>
      <c r="ABR46" s="1">
        <f t="shared" si="153"/>
        <v>0</v>
      </c>
      <c r="ABS46" s="1">
        <f t="shared" si="153"/>
        <v>0</v>
      </c>
      <c r="ABT46" s="1">
        <f t="shared" si="153"/>
        <v>0</v>
      </c>
      <c r="ABU46" s="1">
        <f t="shared" si="153"/>
        <v>0</v>
      </c>
      <c r="ABV46" s="1">
        <f t="shared" si="153"/>
        <v>0</v>
      </c>
      <c r="ABW46" s="1">
        <f t="shared" si="153"/>
        <v>0</v>
      </c>
      <c r="ABX46" s="1">
        <f t="shared" si="153"/>
        <v>0</v>
      </c>
      <c r="ABY46" s="1">
        <f t="shared" si="153"/>
        <v>0</v>
      </c>
      <c r="ABZ46" s="1">
        <f t="shared" si="153"/>
        <v>0</v>
      </c>
      <c r="ACA46" s="1">
        <f t="shared" si="153"/>
        <v>0</v>
      </c>
      <c r="ACB46" s="1">
        <f t="shared" si="153"/>
        <v>0</v>
      </c>
      <c r="ACC46" s="1">
        <f t="shared" si="153"/>
        <v>0</v>
      </c>
      <c r="ACD46" s="1">
        <f t="shared" ref="ACD46:AEO46" si="154">ACD30</f>
        <v>0</v>
      </c>
      <c r="ACE46" s="1">
        <f t="shared" si="154"/>
        <v>0</v>
      </c>
      <c r="ACF46" s="1">
        <f t="shared" si="154"/>
        <v>0</v>
      </c>
      <c r="ACG46" s="1">
        <f t="shared" si="154"/>
        <v>0</v>
      </c>
      <c r="ACH46" s="1">
        <f t="shared" si="154"/>
        <v>0</v>
      </c>
      <c r="ACI46" s="1">
        <f t="shared" si="154"/>
        <v>0</v>
      </c>
      <c r="ACJ46" s="1">
        <f t="shared" si="154"/>
        <v>0</v>
      </c>
      <c r="ACK46" s="1">
        <f t="shared" si="154"/>
        <v>0</v>
      </c>
      <c r="ACL46" s="1">
        <f t="shared" si="154"/>
        <v>0</v>
      </c>
      <c r="ACM46" s="1">
        <f t="shared" si="154"/>
        <v>0</v>
      </c>
      <c r="ACN46" s="1">
        <f t="shared" si="154"/>
        <v>0</v>
      </c>
      <c r="ACO46" s="1">
        <f t="shared" si="154"/>
        <v>0</v>
      </c>
      <c r="ACP46" s="1">
        <f t="shared" si="154"/>
        <v>0</v>
      </c>
      <c r="ACQ46" s="1">
        <f t="shared" si="154"/>
        <v>0</v>
      </c>
      <c r="ACR46" s="1">
        <f t="shared" si="154"/>
        <v>0</v>
      </c>
      <c r="ACS46" s="1">
        <f t="shared" si="154"/>
        <v>0</v>
      </c>
      <c r="ACT46" s="1">
        <f t="shared" si="154"/>
        <v>0</v>
      </c>
      <c r="ACU46" s="1">
        <f t="shared" si="154"/>
        <v>0</v>
      </c>
      <c r="ACV46" s="1">
        <f t="shared" si="154"/>
        <v>0</v>
      </c>
      <c r="ACW46" s="1">
        <f t="shared" si="154"/>
        <v>0</v>
      </c>
      <c r="ACX46" s="1">
        <f t="shared" si="154"/>
        <v>0</v>
      </c>
      <c r="ACY46" s="1">
        <f t="shared" si="154"/>
        <v>0</v>
      </c>
      <c r="ACZ46" s="1">
        <f t="shared" si="154"/>
        <v>0</v>
      </c>
      <c r="ADA46" s="1">
        <f t="shared" si="154"/>
        <v>0</v>
      </c>
      <c r="ADB46" s="1">
        <f t="shared" si="154"/>
        <v>0</v>
      </c>
      <c r="ADC46" s="1">
        <f t="shared" si="154"/>
        <v>0</v>
      </c>
      <c r="ADD46" s="1">
        <f t="shared" si="154"/>
        <v>0</v>
      </c>
      <c r="ADE46" s="1">
        <f t="shared" si="154"/>
        <v>0</v>
      </c>
      <c r="ADF46" s="1">
        <f t="shared" si="154"/>
        <v>0</v>
      </c>
      <c r="ADG46" s="1">
        <f t="shared" si="154"/>
        <v>0</v>
      </c>
      <c r="ADH46" s="1">
        <f t="shared" si="154"/>
        <v>0</v>
      </c>
      <c r="ADI46" s="1">
        <f t="shared" si="154"/>
        <v>0</v>
      </c>
      <c r="ADJ46" s="1">
        <f t="shared" si="154"/>
        <v>0</v>
      </c>
      <c r="ADK46" s="1">
        <f t="shared" si="154"/>
        <v>0</v>
      </c>
      <c r="ADL46" s="1">
        <f t="shared" si="154"/>
        <v>0</v>
      </c>
      <c r="ADM46" s="1">
        <f t="shared" si="154"/>
        <v>0</v>
      </c>
      <c r="ADN46" s="1">
        <f t="shared" si="154"/>
        <v>0</v>
      </c>
      <c r="ADO46" s="1">
        <f t="shared" si="154"/>
        <v>0</v>
      </c>
      <c r="ADP46" s="1">
        <f t="shared" si="154"/>
        <v>0</v>
      </c>
      <c r="ADQ46" s="1">
        <f t="shared" si="154"/>
        <v>0</v>
      </c>
      <c r="ADR46" s="1">
        <f t="shared" si="154"/>
        <v>0</v>
      </c>
      <c r="ADS46" s="1">
        <f t="shared" si="154"/>
        <v>0</v>
      </c>
      <c r="ADT46" s="1">
        <f t="shared" si="154"/>
        <v>0</v>
      </c>
      <c r="ADU46" s="1">
        <f t="shared" si="154"/>
        <v>0</v>
      </c>
      <c r="ADV46" s="1">
        <f t="shared" si="154"/>
        <v>0</v>
      </c>
      <c r="ADW46" s="1">
        <f t="shared" si="154"/>
        <v>0</v>
      </c>
      <c r="ADX46" s="1">
        <f t="shared" si="154"/>
        <v>0</v>
      </c>
      <c r="ADY46" s="1">
        <f t="shared" si="154"/>
        <v>0</v>
      </c>
      <c r="ADZ46" s="1">
        <f t="shared" si="154"/>
        <v>0</v>
      </c>
      <c r="AEA46" s="1">
        <f t="shared" si="154"/>
        <v>0</v>
      </c>
      <c r="AEB46" s="1">
        <f t="shared" si="154"/>
        <v>0</v>
      </c>
      <c r="AEC46" s="1">
        <f t="shared" si="154"/>
        <v>0</v>
      </c>
      <c r="AED46" s="1">
        <f t="shared" si="154"/>
        <v>0</v>
      </c>
      <c r="AEE46" s="1">
        <f t="shared" si="154"/>
        <v>0</v>
      </c>
      <c r="AEF46" s="1">
        <f t="shared" si="154"/>
        <v>0</v>
      </c>
      <c r="AEG46" s="1">
        <f t="shared" si="154"/>
        <v>0</v>
      </c>
      <c r="AEH46" s="1">
        <f t="shared" si="154"/>
        <v>0</v>
      </c>
      <c r="AEI46" s="1">
        <f t="shared" si="154"/>
        <v>0</v>
      </c>
      <c r="AEJ46" s="1">
        <f t="shared" si="154"/>
        <v>0</v>
      </c>
      <c r="AEK46" s="1">
        <f t="shared" si="154"/>
        <v>0</v>
      </c>
      <c r="AEL46" s="1">
        <f t="shared" si="154"/>
        <v>0</v>
      </c>
      <c r="AEM46" s="1">
        <f t="shared" si="154"/>
        <v>0</v>
      </c>
      <c r="AEN46" s="1">
        <f t="shared" si="154"/>
        <v>0</v>
      </c>
      <c r="AEO46" s="1">
        <f t="shared" si="154"/>
        <v>0</v>
      </c>
      <c r="AEP46" s="1">
        <f t="shared" ref="AEP46:AHA46" si="155">AEP30</f>
        <v>0</v>
      </c>
      <c r="AEQ46" s="1">
        <f t="shared" si="155"/>
        <v>0</v>
      </c>
      <c r="AER46" s="1">
        <f t="shared" si="155"/>
        <v>0</v>
      </c>
      <c r="AES46" s="1">
        <f t="shared" si="155"/>
        <v>0</v>
      </c>
      <c r="AET46" s="1">
        <f t="shared" si="155"/>
        <v>0</v>
      </c>
      <c r="AEU46" s="1">
        <f t="shared" si="155"/>
        <v>0</v>
      </c>
      <c r="AEV46" s="1">
        <f t="shared" si="155"/>
        <v>0</v>
      </c>
      <c r="AEW46" s="1">
        <f t="shared" si="155"/>
        <v>0</v>
      </c>
      <c r="AEX46" s="1">
        <f t="shared" si="155"/>
        <v>0</v>
      </c>
      <c r="AEY46" s="1">
        <f t="shared" si="155"/>
        <v>0</v>
      </c>
      <c r="AEZ46" s="1">
        <f t="shared" si="155"/>
        <v>0</v>
      </c>
      <c r="AFA46" s="1">
        <f t="shared" si="155"/>
        <v>0</v>
      </c>
      <c r="AFB46" s="1">
        <f t="shared" si="155"/>
        <v>0</v>
      </c>
      <c r="AFC46" s="1">
        <f t="shared" si="155"/>
        <v>0</v>
      </c>
      <c r="AFD46" s="1">
        <f t="shared" si="155"/>
        <v>0</v>
      </c>
      <c r="AFE46" s="1">
        <f t="shared" si="155"/>
        <v>0</v>
      </c>
      <c r="AFF46" s="1">
        <f t="shared" si="155"/>
        <v>0</v>
      </c>
      <c r="AFG46" s="1">
        <f t="shared" si="155"/>
        <v>0</v>
      </c>
      <c r="AFH46" s="1">
        <f t="shared" si="155"/>
        <v>0</v>
      </c>
      <c r="AFI46" s="1">
        <f t="shared" si="155"/>
        <v>0</v>
      </c>
      <c r="AFJ46" s="1">
        <f t="shared" si="155"/>
        <v>0</v>
      </c>
      <c r="AFK46" s="1">
        <f t="shared" si="155"/>
        <v>0</v>
      </c>
      <c r="AFL46" s="1">
        <f t="shared" si="155"/>
        <v>0</v>
      </c>
      <c r="AFM46" s="1">
        <f t="shared" si="155"/>
        <v>0</v>
      </c>
      <c r="AFN46" s="1">
        <f t="shared" si="155"/>
        <v>0</v>
      </c>
      <c r="AFO46" s="1">
        <f t="shared" si="155"/>
        <v>0</v>
      </c>
      <c r="AFP46" s="1">
        <f t="shared" si="155"/>
        <v>0</v>
      </c>
      <c r="AFQ46" s="1">
        <f t="shared" si="155"/>
        <v>0</v>
      </c>
      <c r="AFR46" s="1">
        <f t="shared" si="155"/>
        <v>0</v>
      </c>
      <c r="AFS46" s="1">
        <f t="shared" si="155"/>
        <v>0</v>
      </c>
      <c r="AFT46" s="1">
        <f t="shared" si="155"/>
        <v>0</v>
      </c>
      <c r="AFU46" s="1">
        <f t="shared" si="155"/>
        <v>0</v>
      </c>
      <c r="AFV46" s="1">
        <f t="shared" si="155"/>
        <v>0</v>
      </c>
      <c r="AFW46" s="1">
        <f t="shared" si="155"/>
        <v>0</v>
      </c>
      <c r="AFX46" s="1">
        <f t="shared" si="155"/>
        <v>0</v>
      </c>
      <c r="AFY46" s="1">
        <f t="shared" si="155"/>
        <v>0</v>
      </c>
      <c r="AFZ46" s="1">
        <f t="shared" si="155"/>
        <v>0</v>
      </c>
      <c r="AGA46" s="1">
        <f t="shared" si="155"/>
        <v>0</v>
      </c>
      <c r="AGB46" s="1">
        <f t="shared" si="155"/>
        <v>0</v>
      </c>
      <c r="AGC46" s="1">
        <f t="shared" si="155"/>
        <v>0</v>
      </c>
      <c r="AGD46" s="1">
        <f t="shared" si="155"/>
        <v>0</v>
      </c>
      <c r="AGE46" s="1">
        <f t="shared" si="155"/>
        <v>0</v>
      </c>
      <c r="AGF46" s="1">
        <f t="shared" si="155"/>
        <v>0</v>
      </c>
      <c r="AGG46" s="1">
        <f t="shared" si="155"/>
        <v>0</v>
      </c>
      <c r="AGH46" s="1">
        <f t="shared" si="155"/>
        <v>0</v>
      </c>
      <c r="AGI46" s="1">
        <f t="shared" si="155"/>
        <v>0</v>
      </c>
      <c r="AGJ46" s="1">
        <f t="shared" si="155"/>
        <v>0</v>
      </c>
      <c r="AGK46" s="1">
        <f t="shared" si="155"/>
        <v>0</v>
      </c>
      <c r="AGL46" s="1">
        <f t="shared" si="155"/>
        <v>0</v>
      </c>
      <c r="AGM46" s="1">
        <f t="shared" si="155"/>
        <v>0</v>
      </c>
      <c r="AGN46" s="1">
        <f t="shared" si="155"/>
        <v>0</v>
      </c>
      <c r="AGO46" s="1">
        <f t="shared" si="155"/>
        <v>0</v>
      </c>
      <c r="AGP46" s="1">
        <f t="shared" si="155"/>
        <v>0</v>
      </c>
      <c r="AGQ46" s="1">
        <f t="shared" si="155"/>
        <v>0</v>
      </c>
      <c r="AGR46" s="1">
        <f t="shared" si="155"/>
        <v>0</v>
      </c>
      <c r="AGS46" s="1">
        <f t="shared" si="155"/>
        <v>0</v>
      </c>
      <c r="AGT46" s="1">
        <f t="shared" si="155"/>
        <v>0</v>
      </c>
      <c r="AGU46" s="1">
        <f t="shared" si="155"/>
        <v>0</v>
      </c>
      <c r="AGV46" s="1">
        <f t="shared" si="155"/>
        <v>0</v>
      </c>
      <c r="AGW46" s="1">
        <f t="shared" si="155"/>
        <v>0</v>
      </c>
      <c r="AGX46" s="1">
        <f t="shared" si="155"/>
        <v>0</v>
      </c>
      <c r="AGY46" s="1">
        <f t="shared" si="155"/>
        <v>0</v>
      </c>
      <c r="AGZ46" s="1">
        <f t="shared" si="155"/>
        <v>0</v>
      </c>
      <c r="AHA46" s="1">
        <f t="shared" si="155"/>
        <v>0</v>
      </c>
      <c r="AHB46" s="1">
        <f t="shared" ref="AHB46:AJM46" si="156">AHB30</f>
        <v>0</v>
      </c>
      <c r="AHC46" s="1">
        <f t="shared" si="156"/>
        <v>0</v>
      </c>
      <c r="AHD46" s="1">
        <f t="shared" si="156"/>
        <v>0</v>
      </c>
      <c r="AHE46" s="1">
        <f t="shared" si="156"/>
        <v>0</v>
      </c>
      <c r="AHF46" s="1">
        <f t="shared" si="156"/>
        <v>0</v>
      </c>
      <c r="AHG46" s="1">
        <f t="shared" si="156"/>
        <v>0</v>
      </c>
      <c r="AHH46" s="1">
        <f t="shared" si="156"/>
        <v>0</v>
      </c>
      <c r="AHI46" s="1">
        <f t="shared" si="156"/>
        <v>0</v>
      </c>
      <c r="AHJ46" s="1">
        <f t="shared" si="156"/>
        <v>0</v>
      </c>
      <c r="AHK46" s="1">
        <f t="shared" si="156"/>
        <v>0</v>
      </c>
      <c r="AHL46" s="1">
        <f t="shared" si="156"/>
        <v>0</v>
      </c>
      <c r="AHM46" s="1">
        <f t="shared" si="156"/>
        <v>0</v>
      </c>
      <c r="AHN46" s="1">
        <f t="shared" si="156"/>
        <v>0</v>
      </c>
      <c r="AHO46" s="1">
        <f t="shared" si="156"/>
        <v>0</v>
      </c>
      <c r="AHP46" s="1">
        <f t="shared" si="156"/>
        <v>0</v>
      </c>
      <c r="AHQ46" s="1">
        <f t="shared" si="156"/>
        <v>0</v>
      </c>
      <c r="AHR46" s="1">
        <f t="shared" si="156"/>
        <v>0</v>
      </c>
      <c r="AHS46" s="1">
        <f t="shared" si="156"/>
        <v>0</v>
      </c>
      <c r="AHT46" s="1">
        <f t="shared" si="156"/>
        <v>0</v>
      </c>
      <c r="AHU46" s="1">
        <f t="shared" si="156"/>
        <v>0</v>
      </c>
      <c r="AHV46" s="1">
        <f t="shared" si="156"/>
        <v>0</v>
      </c>
      <c r="AHW46" s="1">
        <f t="shared" si="156"/>
        <v>0</v>
      </c>
      <c r="AHX46" s="1">
        <f t="shared" si="156"/>
        <v>0</v>
      </c>
      <c r="AHY46" s="1">
        <f t="shared" si="156"/>
        <v>0</v>
      </c>
      <c r="AHZ46" s="1">
        <f t="shared" si="156"/>
        <v>0</v>
      </c>
      <c r="AIA46" s="1">
        <f t="shared" si="156"/>
        <v>0</v>
      </c>
      <c r="AIB46" s="1">
        <f t="shared" si="156"/>
        <v>0</v>
      </c>
      <c r="AIC46" s="1">
        <f t="shared" si="156"/>
        <v>0</v>
      </c>
      <c r="AID46" s="1">
        <f t="shared" si="156"/>
        <v>0</v>
      </c>
      <c r="AIE46" s="1">
        <f t="shared" si="156"/>
        <v>0</v>
      </c>
      <c r="AIF46" s="1">
        <f t="shared" si="156"/>
        <v>0</v>
      </c>
      <c r="AIG46" s="1">
        <f t="shared" si="156"/>
        <v>0</v>
      </c>
      <c r="AIH46" s="1">
        <f t="shared" si="156"/>
        <v>0</v>
      </c>
      <c r="AII46" s="1">
        <f t="shared" si="156"/>
        <v>0</v>
      </c>
      <c r="AIJ46" s="1">
        <f t="shared" si="156"/>
        <v>0</v>
      </c>
      <c r="AIK46" s="1">
        <f t="shared" si="156"/>
        <v>0</v>
      </c>
      <c r="AIL46" s="1">
        <f t="shared" si="156"/>
        <v>0</v>
      </c>
      <c r="AIM46" s="1">
        <f t="shared" si="156"/>
        <v>0</v>
      </c>
      <c r="AIN46" s="1">
        <f t="shared" si="156"/>
        <v>0</v>
      </c>
      <c r="AIO46" s="1">
        <f t="shared" si="156"/>
        <v>0</v>
      </c>
      <c r="AIP46" s="1">
        <f t="shared" si="156"/>
        <v>0</v>
      </c>
      <c r="AIQ46" s="1">
        <f t="shared" si="156"/>
        <v>0</v>
      </c>
      <c r="AIR46" s="1">
        <f t="shared" si="156"/>
        <v>0</v>
      </c>
      <c r="AIS46" s="1">
        <f t="shared" si="156"/>
        <v>0</v>
      </c>
      <c r="AIT46" s="1">
        <f t="shared" si="156"/>
        <v>0</v>
      </c>
      <c r="AIU46" s="1">
        <f t="shared" si="156"/>
        <v>0</v>
      </c>
      <c r="AIV46" s="1">
        <f t="shared" si="156"/>
        <v>0</v>
      </c>
      <c r="AIW46" s="1">
        <f t="shared" si="156"/>
        <v>0</v>
      </c>
      <c r="AIX46" s="1">
        <f t="shared" si="156"/>
        <v>0</v>
      </c>
      <c r="AIY46" s="1">
        <f t="shared" si="156"/>
        <v>0</v>
      </c>
      <c r="AIZ46" s="1">
        <f t="shared" si="156"/>
        <v>0</v>
      </c>
      <c r="AJA46" s="1">
        <f t="shared" si="156"/>
        <v>0</v>
      </c>
      <c r="AJB46" s="1">
        <f t="shared" si="156"/>
        <v>0</v>
      </c>
      <c r="AJC46" s="1">
        <f t="shared" si="156"/>
        <v>0</v>
      </c>
      <c r="AJD46" s="1">
        <f t="shared" si="156"/>
        <v>0</v>
      </c>
      <c r="AJE46" s="1">
        <f t="shared" si="156"/>
        <v>0</v>
      </c>
      <c r="AJF46" s="1">
        <f t="shared" si="156"/>
        <v>0</v>
      </c>
      <c r="AJG46" s="1">
        <f t="shared" si="156"/>
        <v>0</v>
      </c>
      <c r="AJH46" s="1">
        <f t="shared" si="156"/>
        <v>0</v>
      </c>
      <c r="AJI46" s="1">
        <f t="shared" si="156"/>
        <v>0</v>
      </c>
      <c r="AJJ46" s="1">
        <f t="shared" si="156"/>
        <v>0</v>
      </c>
      <c r="AJK46" s="1">
        <f t="shared" si="156"/>
        <v>0</v>
      </c>
      <c r="AJL46" s="1">
        <f t="shared" si="156"/>
        <v>0</v>
      </c>
      <c r="AJM46" s="1">
        <f t="shared" si="156"/>
        <v>0</v>
      </c>
      <c r="AJN46" s="1">
        <f t="shared" ref="AJN46:ALM46" si="157">AJN30</f>
        <v>0</v>
      </c>
      <c r="AJO46" s="1">
        <f t="shared" si="157"/>
        <v>0</v>
      </c>
      <c r="AJP46" s="1">
        <f t="shared" si="157"/>
        <v>0</v>
      </c>
      <c r="AJQ46" s="1">
        <f t="shared" si="157"/>
        <v>0</v>
      </c>
      <c r="AJR46" s="1">
        <f t="shared" si="157"/>
        <v>0</v>
      </c>
      <c r="AJS46" s="1">
        <f t="shared" si="157"/>
        <v>0</v>
      </c>
      <c r="AJT46" s="1">
        <f t="shared" si="157"/>
        <v>0</v>
      </c>
      <c r="AJU46" s="1">
        <f t="shared" si="157"/>
        <v>0</v>
      </c>
      <c r="AJV46" s="1">
        <f t="shared" si="157"/>
        <v>0</v>
      </c>
      <c r="AJW46" s="1">
        <f t="shared" si="157"/>
        <v>0</v>
      </c>
      <c r="AJX46" s="1">
        <f t="shared" si="157"/>
        <v>0</v>
      </c>
      <c r="AJY46" s="1">
        <f t="shared" si="157"/>
        <v>0</v>
      </c>
      <c r="AJZ46" s="1">
        <f t="shared" si="157"/>
        <v>0</v>
      </c>
      <c r="AKA46" s="1">
        <f t="shared" si="157"/>
        <v>0</v>
      </c>
      <c r="AKB46" s="1">
        <f t="shared" si="157"/>
        <v>0</v>
      </c>
      <c r="AKC46" s="1">
        <f t="shared" si="157"/>
        <v>0</v>
      </c>
      <c r="AKD46" s="1">
        <f t="shared" si="157"/>
        <v>0</v>
      </c>
      <c r="AKE46" s="1">
        <f t="shared" si="157"/>
        <v>0</v>
      </c>
      <c r="AKF46" s="1">
        <f t="shared" si="157"/>
        <v>0</v>
      </c>
      <c r="AKG46" s="1">
        <f t="shared" si="157"/>
        <v>0</v>
      </c>
      <c r="AKH46" s="1">
        <f t="shared" si="157"/>
        <v>0</v>
      </c>
      <c r="AKI46" s="1">
        <f t="shared" si="157"/>
        <v>0</v>
      </c>
      <c r="AKJ46" s="1">
        <f t="shared" si="157"/>
        <v>0</v>
      </c>
      <c r="AKK46" s="1">
        <f t="shared" si="157"/>
        <v>0</v>
      </c>
      <c r="AKL46" s="1">
        <f t="shared" si="157"/>
        <v>0</v>
      </c>
      <c r="AKM46" s="1">
        <f t="shared" si="157"/>
        <v>0</v>
      </c>
      <c r="AKN46" s="1">
        <f t="shared" si="157"/>
        <v>0</v>
      </c>
      <c r="AKO46" s="1">
        <f t="shared" si="157"/>
        <v>0</v>
      </c>
      <c r="AKP46" s="1">
        <f t="shared" si="157"/>
        <v>0</v>
      </c>
      <c r="AKQ46" s="1">
        <f t="shared" si="157"/>
        <v>0</v>
      </c>
      <c r="AKR46" s="1">
        <f t="shared" si="157"/>
        <v>0</v>
      </c>
      <c r="AKS46" s="1">
        <f t="shared" si="157"/>
        <v>0</v>
      </c>
      <c r="AKT46" s="1">
        <f t="shared" si="157"/>
        <v>0</v>
      </c>
      <c r="AKU46" s="1">
        <f t="shared" si="157"/>
        <v>0</v>
      </c>
      <c r="AKV46" s="1">
        <f t="shared" si="157"/>
        <v>0</v>
      </c>
      <c r="AKW46" s="1">
        <f t="shared" si="157"/>
        <v>0</v>
      </c>
      <c r="AKX46" s="1">
        <f t="shared" si="157"/>
        <v>0</v>
      </c>
      <c r="AKY46" s="1">
        <f t="shared" si="157"/>
        <v>0</v>
      </c>
      <c r="AKZ46" s="1">
        <f t="shared" si="157"/>
        <v>0</v>
      </c>
      <c r="ALA46" s="1">
        <f t="shared" si="157"/>
        <v>0</v>
      </c>
      <c r="ALB46" s="1">
        <f t="shared" si="157"/>
        <v>0</v>
      </c>
      <c r="ALC46" s="1">
        <f t="shared" si="157"/>
        <v>0</v>
      </c>
      <c r="ALD46" s="1">
        <f t="shared" si="157"/>
        <v>0</v>
      </c>
      <c r="ALE46" s="1">
        <f t="shared" si="157"/>
        <v>0</v>
      </c>
      <c r="ALF46" s="1">
        <f t="shared" si="157"/>
        <v>0</v>
      </c>
      <c r="ALG46" s="1">
        <f t="shared" si="157"/>
        <v>0</v>
      </c>
      <c r="ALH46" s="1">
        <f t="shared" si="157"/>
        <v>0</v>
      </c>
      <c r="ALI46" s="1">
        <f t="shared" si="157"/>
        <v>0</v>
      </c>
      <c r="ALJ46" s="1">
        <f t="shared" si="157"/>
        <v>0</v>
      </c>
      <c r="ALK46" s="1">
        <f t="shared" si="157"/>
        <v>0</v>
      </c>
      <c r="ALL46" s="1">
        <f t="shared" si="157"/>
        <v>0</v>
      </c>
      <c r="ALM46" s="1">
        <f t="shared" si="157"/>
        <v>0</v>
      </c>
    </row>
    <row r="47" spans="1:1001">
      <c r="A47" s="27"/>
      <c r="B47">
        <f>B31-B12</f>
        <v>0</v>
      </c>
      <c r="C47">
        <f t="shared" ref="C47:BN47" si="158">C31-C12</f>
        <v>0</v>
      </c>
      <c r="D47">
        <f t="shared" si="158"/>
        <v>0</v>
      </c>
      <c r="E47">
        <f t="shared" si="158"/>
        <v>0</v>
      </c>
      <c r="F47">
        <f t="shared" si="158"/>
        <v>0</v>
      </c>
      <c r="G47">
        <f t="shared" si="158"/>
        <v>0</v>
      </c>
      <c r="H47">
        <f t="shared" si="158"/>
        <v>0</v>
      </c>
      <c r="I47">
        <f t="shared" si="158"/>
        <v>0</v>
      </c>
      <c r="J47">
        <f t="shared" si="158"/>
        <v>0</v>
      </c>
      <c r="K47">
        <f t="shared" si="158"/>
        <v>0</v>
      </c>
      <c r="L47">
        <f t="shared" si="158"/>
        <v>0</v>
      </c>
      <c r="M47">
        <f t="shared" si="158"/>
        <v>0</v>
      </c>
      <c r="N47">
        <f t="shared" si="158"/>
        <v>0</v>
      </c>
      <c r="O47">
        <f t="shared" si="158"/>
        <v>0</v>
      </c>
      <c r="P47">
        <f t="shared" si="158"/>
        <v>0</v>
      </c>
      <c r="Q47">
        <f t="shared" si="158"/>
        <v>0</v>
      </c>
      <c r="R47">
        <f t="shared" si="158"/>
        <v>0</v>
      </c>
      <c r="S47">
        <f t="shared" si="158"/>
        <v>0</v>
      </c>
      <c r="T47">
        <f t="shared" si="158"/>
        <v>0</v>
      </c>
      <c r="U47">
        <f t="shared" si="158"/>
        <v>0</v>
      </c>
      <c r="V47">
        <f t="shared" si="158"/>
        <v>0</v>
      </c>
      <c r="W47">
        <f t="shared" si="158"/>
        <v>0</v>
      </c>
      <c r="X47">
        <f t="shared" si="158"/>
        <v>0</v>
      </c>
      <c r="Y47">
        <f t="shared" si="158"/>
        <v>0</v>
      </c>
      <c r="Z47">
        <f t="shared" si="158"/>
        <v>0</v>
      </c>
      <c r="AA47">
        <f t="shared" si="158"/>
        <v>0</v>
      </c>
      <c r="AB47">
        <f t="shared" si="158"/>
        <v>0</v>
      </c>
      <c r="AC47">
        <f t="shared" si="158"/>
        <v>0</v>
      </c>
      <c r="AD47">
        <f t="shared" si="158"/>
        <v>0</v>
      </c>
      <c r="AE47">
        <f t="shared" si="158"/>
        <v>0</v>
      </c>
      <c r="AF47">
        <f t="shared" si="158"/>
        <v>0</v>
      </c>
      <c r="AG47">
        <f t="shared" si="158"/>
        <v>0</v>
      </c>
      <c r="AH47">
        <f t="shared" si="158"/>
        <v>0</v>
      </c>
      <c r="AI47">
        <f t="shared" si="158"/>
        <v>0</v>
      </c>
      <c r="AJ47">
        <f t="shared" si="158"/>
        <v>0</v>
      </c>
      <c r="AK47">
        <f t="shared" si="158"/>
        <v>0</v>
      </c>
      <c r="AL47">
        <f t="shared" si="158"/>
        <v>0</v>
      </c>
      <c r="AM47">
        <f t="shared" si="158"/>
        <v>0</v>
      </c>
      <c r="AN47">
        <f t="shared" si="158"/>
        <v>0</v>
      </c>
      <c r="AO47">
        <f t="shared" si="158"/>
        <v>0</v>
      </c>
      <c r="AP47">
        <f t="shared" si="158"/>
        <v>0</v>
      </c>
      <c r="AQ47">
        <f t="shared" si="158"/>
        <v>0</v>
      </c>
      <c r="AR47">
        <f t="shared" si="158"/>
        <v>0</v>
      </c>
      <c r="AS47">
        <f t="shared" si="158"/>
        <v>0</v>
      </c>
      <c r="AT47">
        <f t="shared" si="158"/>
        <v>0</v>
      </c>
      <c r="AU47">
        <f t="shared" si="158"/>
        <v>0</v>
      </c>
      <c r="AV47">
        <f t="shared" si="158"/>
        <v>0</v>
      </c>
      <c r="AW47">
        <f t="shared" si="158"/>
        <v>0</v>
      </c>
      <c r="AX47">
        <f t="shared" si="158"/>
        <v>0</v>
      </c>
      <c r="AY47">
        <f t="shared" si="158"/>
        <v>0</v>
      </c>
      <c r="AZ47">
        <f t="shared" si="158"/>
        <v>0</v>
      </c>
      <c r="BA47">
        <f t="shared" si="158"/>
        <v>0</v>
      </c>
      <c r="BB47">
        <f t="shared" si="158"/>
        <v>0</v>
      </c>
      <c r="BC47">
        <f t="shared" si="158"/>
        <v>0</v>
      </c>
      <c r="BD47">
        <f t="shared" si="158"/>
        <v>0</v>
      </c>
      <c r="BE47">
        <f t="shared" si="158"/>
        <v>0</v>
      </c>
      <c r="BF47">
        <f t="shared" si="158"/>
        <v>0</v>
      </c>
      <c r="BG47">
        <f t="shared" si="158"/>
        <v>0</v>
      </c>
      <c r="BH47">
        <f t="shared" si="158"/>
        <v>0</v>
      </c>
      <c r="BI47">
        <f t="shared" si="158"/>
        <v>0</v>
      </c>
      <c r="BJ47">
        <f t="shared" si="158"/>
        <v>0</v>
      </c>
      <c r="BK47">
        <f t="shared" si="158"/>
        <v>0</v>
      </c>
      <c r="BL47">
        <f t="shared" si="158"/>
        <v>0</v>
      </c>
      <c r="BM47">
        <f t="shared" si="158"/>
        <v>0</v>
      </c>
      <c r="BN47">
        <f t="shared" si="158"/>
        <v>0</v>
      </c>
      <c r="BO47">
        <f t="shared" ref="BO47:DZ47" si="159">BO31-BO12</f>
        <v>0</v>
      </c>
      <c r="BP47">
        <f t="shared" si="159"/>
        <v>0</v>
      </c>
      <c r="BQ47">
        <f t="shared" si="159"/>
        <v>0</v>
      </c>
      <c r="BR47">
        <f t="shared" si="159"/>
        <v>0</v>
      </c>
      <c r="BS47">
        <f t="shared" si="159"/>
        <v>0</v>
      </c>
      <c r="BT47">
        <f t="shared" si="159"/>
        <v>0</v>
      </c>
      <c r="BU47">
        <f t="shared" si="159"/>
        <v>0</v>
      </c>
      <c r="BV47">
        <f t="shared" si="159"/>
        <v>0</v>
      </c>
      <c r="BW47">
        <f t="shared" si="159"/>
        <v>0</v>
      </c>
      <c r="BX47">
        <f t="shared" si="159"/>
        <v>0</v>
      </c>
      <c r="BY47">
        <f t="shared" si="159"/>
        <v>0</v>
      </c>
      <c r="BZ47">
        <f t="shared" si="159"/>
        <v>0</v>
      </c>
      <c r="CA47">
        <f t="shared" si="159"/>
        <v>0</v>
      </c>
      <c r="CB47">
        <f t="shared" si="159"/>
        <v>0</v>
      </c>
      <c r="CC47">
        <f t="shared" si="159"/>
        <v>0</v>
      </c>
      <c r="CD47">
        <f t="shared" si="159"/>
        <v>0</v>
      </c>
      <c r="CE47">
        <f t="shared" si="159"/>
        <v>0</v>
      </c>
      <c r="CF47">
        <f t="shared" si="159"/>
        <v>0</v>
      </c>
      <c r="CG47">
        <f t="shared" si="159"/>
        <v>0</v>
      </c>
      <c r="CH47">
        <f t="shared" si="159"/>
        <v>0</v>
      </c>
      <c r="CI47">
        <f t="shared" si="159"/>
        <v>0</v>
      </c>
      <c r="CJ47">
        <f t="shared" si="159"/>
        <v>0</v>
      </c>
      <c r="CK47">
        <f t="shared" si="159"/>
        <v>0</v>
      </c>
      <c r="CL47">
        <f t="shared" si="159"/>
        <v>0</v>
      </c>
      <c r="CM47">
        <f t="shared" si="159"/>
        <v>0</v>
      </c>
      <c r="CN47">
        <f t="shared" si="159"/>
        <v>0</v>
      </c>
      <c r="CO47">
        <f t="shared" si="159"/>
        <v>0</v>
      </c>
      <c r="CP47">
        <f t="shared" si="159"/>
        <v>0</v>
      </c>
      <c r="CQ47">
        <f t="shared" si="159"/>
        <v>0</v>
      </c>
      <c r="CR47">
        <f t="shared" si="159"/>
        <v>0</v>
      </c>
      <c r="CS47">
        <f t="shared" si="159"/>
        <v>0</v>
      </c>
      <c r="CT47">
        <f t="shared" si="159"/>
        <v>0</v>
      </c>
      <c r="CU47">
        <f t="shared" si="159"/>
        <v>0</v>
      </c>
      <c r="CV47">
        <f t="shared" si="159"/>
        <v>0</v>
      </c>
      <c r="CW47">
        <f t="shared" si="159"/>
        <v>0</v>
      </c>
      <c r="CX47">
        <f t="shared" si="159"/>
        <v>0</v>
      </c>
      <c r="CY47">
        <f t="shared" si="159"/>
        <v>0</v>
      </c>
      <c r="CZ47">
        <f t="shared" si="159"/>
        <v>0</v>
      </c>
      <c r="DA47">
        <f t="shared" si="159"/>
        <v>0</v>
      </c>
      <c r="DB47">
        <f t="shared" si="159"/>
        <v>0</v>
      </c>
      <c r="DC47">
        <f t="shared" si="159"/>
        <v>0</v>
      </c>
      <c r="DD47">
        <f t="shared" si="159"/>
        <v>0</v>
      </c>
      <c r="DE47">
        <f t="shared" si="159"/>
        <v>0</v>
      </c>
      <c r="DF47">
        <f t="shared" si="159"/>
        <v>0</v>
      </c>
      <c r="DG47">
        <f t="shared" si="159"/>
        <v>0</v>
      </c>
      <c r="DH47">
        <f t="shared" si="159"/>
        <v>0</v>
      </c>
      <c r="DI47">
        <f t="shared" si="159"/>
        <v>0</v>
      </c>
      <c r="DJ47">
        <f t="shared" si="159"/>
        <v>0</v>
      </c>
      <c r="DK47">
        <f t="shared" si="159"/>
        <v>0</v>
      </c>
      <c r="DL47">
        <f t="shared" si="159"/>
        <v>0</v>
      </c>
      <c r="DM47">
        <f t="shared" si="159"/>
        <v>0</v>
      </c>
      <c r="DN47">
        <f t="shared" si="159"/>
        <v>0</v>
      </c>
      <c r="DO47">
        <f t="shared" si="159"/>
        <v>0</v>
      </c>
      <c r="DP47">
        <f>DP31-DP12</f>
        <v>0</v>
      </c>
      <c r="DQ47">
        <f t="shared" si="159"/>
        <v>0</v>
      </c>
      <c r="DR47">
        <f t="shared" si="159"/>
        <v>0</v>
      </c>
      <c r="DS47">
        <f t="shared" si="159"/>
        <v>0</v>
      </c>
      <c r="DT47">
        <f t="shared" si="159"/>
        <v>0</v>
      </c>
      <c r="DU47">
        <f t="shared" si="159"/>
        <v>0</v>
      </c>
      <c r="DV47">
        <f t="shared" si="159"/>
        <v>0</v>
      </c>
      <c r="DW47">
        <f t="shared" si="159"/>
        <v>0</v>
      </c>
      <c r="DX47">
        <f t="shared" si="159"/>
        <v>0</v>
      </c>
      <c r="DY47">
        <f t="shared" si="159"/>
        <v>0</v>
      </c>
      <c r="DZ47">
        <f t="shared" si="159"/>
        <v>0</v>
      </c>
      <c r="EA47">
        <f t="shared" ref="EA47:GL47" si="160">EA31-EA12</f>
        <v>0</v>
      </c>
      <c r="EB47">
        <f t="shared" si="160"/>
        <v>0</v>
      </c>
      <c r="EC47">
        <f t="shared" si="160"/>
        <v>0</v>
      </c>
      <c r="ED47">
        <f t="shared" si="160"/>
        <v>0</v>
      </c>
      <c r="EE47">
        <f t="shared" si="160"/>
        <v>0</v>
      </c>
      <c r="EF47">
        <f t="shared" si="160"/>
        <v>0</v>
      </c>
      <c r="EG47">
        <f t="shared" si="160"/>
        <v>0</v>
      </c>
      <c r="EH47">
        <f t="shared" si="160"/>
        <v>0</v>
      </c>
      <c r="EI47">
        <f t="shared" si="160"/>
        <v>0</v>
      </c>
      <c r="EJ47">
        <f t="shared" si="160"/>
        <v>0</v>
      </c>
      <c r="EK47">
        <f t="shared" si="160"/>
        <v>0</v>
      </c>
      <c r="EL47">
        <f t="shared" si="160"/>
        <v>0</v>
      </c>
      <c r="EM47">
        <f t="shared" si="160"/>
        <v>0</v>
      </c>
      <c r="EN47">
        <f t="shared" si="160"/>
        <v>0</v>
      </c>
      <c r="EO47">
        <f t="shared" si="160"/>
        <v>0</v>
      </c>
      <c r="EP47">
        <f t="shared" si="160"/>
        <v>0</v>
      </c>
      <c r="EQ47">
        <f t="shared" si="160"/>
        <v>0</v>
      </c>
      <c r="ER47">
        <f t="shared" si="160"/>
        <v>0</v>
      </c>
      <c r="ES47">
        <f t="shared" si="160"/>
        <v>0</v>
      </c>
      <c r="ET47">
        <f t="shared" si="160"/>
        <v>0</v>
      </c>
      <c r="EU47">
        <f t="shared" si="160"/>
        <v>0</v>
      </c>
      <c r="EV47">
        <f t="shared" si="160"/>
        <v>0</v>
      </c>
      <c r="EW47">
        <f t="shared" si="160"/>
        <v>0</v>
      </c>
      <c r="EX47">
        <f t="shared" si="160"/>
        <v>0</v>
      </c>
      <c r="EY47">
        <f t="shared" si="160"/>
        <v>0</v>
      </c>
      <c r="EZ47">
        <f t="shared" si="160"/>
        <v>0</v>
      </c>
      <c r="FA47">
        <f t="shared" si="160"/>
        <v>0</v>
      </c>
      <c r="FB47">
        <f t="shared" si="160"/>
        <v>0</v>
      </c>
      <c r="FC47">
        <f t="shared" si="160"/>
        <v>0</v>
      </c>
      <c r="FD47">
        <f t="shared" si="160"/>
        <v>0</v>
      </c>
      <c r="FE47">
        <f t="shared" si="160"/>
        <v>0</v>
      </c>
      <c r="FF47">
        <f t="shared" si="160"/>
        <v>0</v>
      </c>
      <c r="FG47">
        <f t="shared" si="160"/>
        <v>0</v>
      </c>
      <c r="FH47">
        <f t="shared" si="160"/>
        <v>0</v>
      </c>
      <c r="FI47">
        <f t="shared" si="160"/>
        <v>0</v>
      </c>
      <c r="FJ47">
        <f t="shared" si="160"/>
        <v>0</v>
      </c>
      <c r="FK47">
        <f t="shared" si="160"/>
        <v>0</v>
      </c>
      <c r="FL47">
        <f t="shared" si="160"/>
        <v>0</v>
      </c>
      <c r="FM47">
        <f t="shared" si="160"/>
        <v>0</v>
      </c>
      <c r="FN47" s="1">
        <f t="shared" si="160"/>
        <v>0</v>
      </c>
      <c r="FO47" s="1">
        <f t="shared" si="160"/>
        <v>0</v>
      </c>
      <c r="FP47" s="1">
        <f t="shared" si="160"/>
        <v>0</v>
      </c>
      <c r="FQ47" s="1">
        <f t="shared" si="160"/>
        <v>0</v>
      </c>
      <c r="FR47" s="1">
        <f t="shared" si="160"/>
        <v>0</v>
      </c>
      <c r="FS47" s="1">
        <f t="shared" si="160"/>
        <v>0</v>
      </c>
      <c r="FT47" s="1">
        <f t="shared" si="160"/>
        <v>0</v>
      </c>
      <c r="FU47" s="1">
        <f t="shared" si="160"/>
        <v>0</v>
      </c>
      <c r="FV47" s="1">
        <f t="shared" si="160"/>
        <v>0</v>
      </c>
      <c r="FW47" s="1">
        <f t="shared" si="160"/>
        <v>0</v>
      </c>
      <c r="FX47" s="1">
        <f t="shared" si="160"/>
        <v>0</v>
      </c>
      <c r="FY47" s="1">
        <f t="shared" si="160"/>
        <v>0</v>
      </c>
      <c r="FZ47" s="1">
        <f t="shared" si="160"/>
        <v>0</v>
      </c>
      <c r="GA47" s="1">
        <f t="shared" si="160"/>
        <v>0</v>
      </c>
      <c r="GB47" s="1">
        <f t="shared" si="160"/>
        <v>0</v>
      </c>
      <c r="GC47" s="1">
        <f t="shared" si="160"/>
        <v>0</v>
      </c>
      <c r="GD47" s="1">
        <f t="shared" si="160"/>
        <v>0</v>
      </c>
      <c r="GE47" s="1">
        <f t="shared" si="160"/>
        <v>0</v>
      </c>
      <c r="GF47" s="1">
        <f t="shared" si="160"/>
        <v>0</v>
      </c>
      <c r="GG47" s="1">
        <f t="shared" si="160"/>
        <v>0</v>
      </c>
      <c r="GH47" s="1">
        <f t="shared" si="160"/>
        <v>0</v>
      </c>
      <c r="GI47" s="1">
        <f t="shared" si="160"/>
        <v>0</v>
      </c>
      <c r="GJ47" s="1">
        <f t="shared" si="160"/>
        <v>0</v>
      </c>
      <c r="GK47" s="1">
        <f t="shared" si="160"/>
        <v>0</v>
      </c>
      <c r="GL47" s="1">
        <f t="shared" si="160"/>
        <v>0</v>
      </c>
      <c r="GM47" s="1">
        <f t="shared" ref="GM47:IX47" si="161">GM31-GM12</f>
        <v>0</v>
      </c>
      <c r="GN47" s="1">
        <f t="shared" si="161"/>
        <v>0</v>
      </c>
      <c r="GO47" s="1">
        <f t="shared" si="161"/>
        <v>0</v>
      </c>
      <c r="GP47" s="1">
        <f t="shared" si="161"/>
        <v>0</v>
      </c>
      <c r="GQ47" s="1">
        <f t="shared" si="161"/>
        <v>0</v>
      </c>
      <c r="GR47" s="1">
        <f t="shared" si="161"/>
        <v>0</v>
      </c>
      <c r="GS47" s="1">
        <f t="shared" si="161"/>
        <v>0</v>
      </c>
      <c r="GT47" s="1">
        <f t="shared" si="161"/>
        <v>0</v>
      </c>
      <c r="GU47" s="1">
        <f t="shared" si="161"/>
        <v>0</v>
      </c>
      <c r="GV47" s="1">
        <f t="shared" si="161"/>
        <v>0</v>
      </c>
      <c r="GW47" s="1">
        <f t="shared" si="161"/>
        <v>0</v>
      </c>
      <c r="GX47" s="1">
        <f t="shared" si="161"/>
        <v>0</v>
      </c>
      <c r="GY47" s="1">
        <f t="shared" si="161"/>
        <v>0</v>
      </c>
      <c r="GZ47" s="1">
        <f t="shared" si="161"/>
        <v>0</v>
      </c>
      <c r="HA47" s="1">
        <f t="shared" si="161"/>
        <v>0</v>
      </c>
      <c r="HB47" s="1">
        <f t="shared" si="161"/>
        <v>0</v>
      </c>
      <c r="HC47" s="1">
        <f t="shared" si="161"/>
        <v>0</v>
      </c>
      <c r="HD47" s="1">
        <f t="shared" si="161"/>
        <v>0</v>
      </c>
      <c r="HE47" s="1">
        <f t="shared" si="161"/>
        <v>0</v>
      </c>
      <c r="HF47" s="1">
        <f t="shared" si="161"/>
        <v>0</v>
      </c>
      <c r="HG47" s="1">
        <f t="shared" si="161"/>
        <v>0</v>
      </c>
      <c r="HH47" s="1">
        <f t="shared" si="161"/>
        <v>0</v>
      </c>
      <c r="HI47" s="1">
        <f t="shared" si="161"/>
        <v>0</v>
      </c>
      <c r="HJ47" s="1">
        <f t="shared" si="161"/>
        <v>0</v>
      </c>
      <c r="HK47" s="1">
        <f t="shared" si="161"/>
        <v>0</v>
      </c>
      <c r="HL47" s="1">
        <f t="shared" si="161"/>
        <v>0</v>
      </c>
      <c r="HM47" s="1">
        <f t="shared" si="161"/>
        <v>0</v>
      </c>
      <c r="HN47" s="1">
        <f t="shared" si="161"/>
        <v>0</v>
      </c>
      <c r="HO47" s="1">
        <f t="shared" si="161"/>
        <v>0</v>
      </c>
      <c r="HP47" s="1">
        <f t="shared" si="161"/>
        <v>0</v>
      </c>
      <c r="HQ47" s="1">
        <f t="shared" si="161"/>
        <v>0</v>
      </c>
      <c r="HR47" s="1">
        <f t="shared" si="161"/>
        <v>0</v>
      </c>
      <c r="HS47" s="1">
        <f t="shared" si="161"/>
        <v>0</v>
      </c>
      <c r="HT47" s="1">
        <f t="shared" si="161"/>
        <v>0</v>
      </c>
      <c r="HU47" s="1">
        <f t="shared" si="161"/>
        <v>0</v>
      </c>
      <c r="HV47" s="1">
        <f t="shared" si="161"/>
        <v>0</v>
      </c>
      <c r="HW47" s="1">
        <f t="shared" si="161"/>
        <v>0</v>
      </c>
      <c r="HX47" s="1">
        <f t="shared" si="161"/>
        <v>0</v>
      </c>
      <c r="HY47" s="1">
        <f t="shared" si="161"/>
        <v>0</v>
      </c>
      <c r="HZ47" s="1">
        <f t="shared" si="161"/>
        <v>0</v>
      </c>
      <c r="IA47" s="1">
        <f t="shared" si="161"/>
        <v>0</v>
      </c>
      <c r="IB47" s="1">
        <f t="shared" si="161"/>
        <v>0</v>
      </c>
      <c r="IC47" s="1">
        <f t="shared" si="161"/>
        <v>0</v>
      </c>
      <c r="ID47" s="1">
        <f t="shared" si="161"/>
        <v>0</v>
      </c>
      <c r="IE47" s="1">
        <f t="shared" si="161"/>
        <v>0</v>
      </c>
      <c r="IF47" s="1">
        <f t="shared" si="161"/>
        <v>0</v>
      </c>
      <c r="IG47" s="1">
        <f t="shared" si="161"/>
        <v>0</v>
      </c>
      <c r="IH47" s="1">
        <f t="shared" si="161"/>
        <v>0</v>
      </c>
      <c r="II47" s="1">
        <f t="shared" si="161"/>
        <v>0</v>
      </c>
      <c r="IJ47" s="1">
        <f t="shared" si="161"/>
        <v>0</v>
      </c>
      <c r="IK47" s="1">
        <f t="shared" si="161"/>
        <v>0</v>
      </c>
      <c r="IL47" s="1">
        <f t="shared" si="161"/>
        <v>0</v>
      </c>
      <c r="IM47" s="1">
        <f t="shared" si="161"/>
        <v>0</v>
      </c>
      <c r="IN47" s="1">
        <f t="shared" si="161"/>
        <v>0</v>
      </c>
      <c r="IO47" s="1">
        <f t="shared" si="161"/>
        <v>0</v>
      </c>
      <c r="IP47" s="1">
        <f t="shared" si="161"/>
        <v>0</v>
      </c>
      <c r="IQ47" s="1">
        <f t="shared" si="161"/>
        <v>0</v>
      </c>
      <c r="IR47" s="1">
        <f t="shared" si="161"/>
        <v>0</v>
      </c>
      <c r="IS47" s="1">
        <f t="shared" si="161"/>
        <v>0</v>
      </c>
      <c r="IT47" s="1">
        <f t="shared" si="161"/>
        <v>0</v>
      </c>
      <c r="IU47" s="1">
        <f t="shared" si="161"/>
        <v>0</v>
      </c>
      <c r="IV47" s="1">
        <f t="shared" si="161"/>
        <v>0</v>
      </c>
      <c r="IW47" s="1">
        <f t="shared" si="161"/>
        <v>0</v>
      </c>
      <c r="IX47" s="1">
        <f t="shared" si="161"/>
        <v>0</v>
      </c>
      <c r="IY47" s="1">
        <f t="shared" ref="IY47:LJ47" si="162">IY31-IY12</f>
        <v>0</v>
      </c>
      <c r="IZ47" s="1">
        <f t="shared" si="162"/>
        <v>0</v>
      </c>
      <c r="JA47" s="1">
        <f t="shared" si="162"/>
        <v>0</v>
      </c>
      <c r="JB47" s="1">
        <f t="shared" si="162"/>
        <v>0</v>
      </c>
      <c r="JC47" s="1">
        <f t="shared" si="162"/>
        <v>0</v>
      </c>
      <c r="JD47" s="1">
        <f t="shared" si="162"/>
        <v>0</v>
      </c>
      <c r="JE47" s="1">
        <f t="shared" si="162"/>
        <v>0</v>
      </c>
      <c r="JF47" s="1">
        <f t="shared" si="162"/>
        <v>0</v>
      </c>
      <c r="JG47" s="1">
        <f t="shared" si="162"/>
        <v>0</v>
      </c>
      <c r="JH47" s="1">
        <f t="shared" si="162"/>
        <v>0</v>
      </c>
      <c r="JI47" s="1">
        <f t="shared" si="162"/>
        <v>0</v>
      </c>
      <c r="JJ47" s="1">
        <f t="shared" si="162"/>
        <v>0</v>
      </c>
      <c r="JK47" s="1">
        <f t="shared" si="162"/>
        <v>0</v>
      </c>
      <c r="JL47" s="1">
        <f t="shared" si="162"/>
        <v>0</v>
      </c>
      <c r="JM47" s="1">
        <f t="shared" si="162"/>
        <v>0</v>
      </c>
      <c r="JN47" s="1">
        <f t="shared" si="162"/>
        <v>0</v>
      </c>
      <c r="JO47" s="1">
        <f t="shared" si="162"/>
        <v>0</v>
      </c>
      <c r="JP47" s="1">
        <f t="shared" si="162"/>
        <v>0</v>
      </c>
      <c r="JQ47" s="1">
        <f t="shared" si="162"/>
        <v>0</v>
      </c>
      <c r="JR47" s="1">
        <f t="shared" si="162"/>
        <v>0</v>
      </c>
      <c r="JS47" s="1">
        <f t="shared" si="162"/>
        <v>0</v>
      </c>
      <c r="JT47" s="1">
        <f t="shared" si="162"/>
        <v>0</v>
      </c>
      <c r="JU47" s="1">
        <f t="shared" si="162"/>
        <v>0</v>
      </c>
      <c r="JV47" s="1">
        <f t="shared" si="162"/>
        <v>0</v>
      </c>
      <c r="JW47" s="1">
        <f t="shared" si="162"/>
        <v>0</v>
      </c>
      <c r="JX47" s="1">
        <f t="shared" si="162"/>
        <v>0</v>
      </c>
      <c r="JY47" s="1">
        <f t="shared" si="162"/>
        <v>0</v>
      </c>
      <c r="JZ47" s="1">
        <f t="shared" si="162"/>
        <v>0</v>
      </c>
      <c r="KA47" s="1">
        <f t="shared" si="162"/>
        <v>0</v>
      </c>
      <c r="KB47" s="1">
        <f t="shared" si="162"/>
        <v>0</v>
      </c>
      <c r="KC47" s="1">
        <f t="shared" si="162"/>
        <v>0</v>
      </c>
      <c r="KD47" s="1">
        <f t="shared" si="162"/>
        <v>0</v>
      </c>
      <c r="KE47" s="1">
        <f t="shared" si="162"/>
        <v>0</v>
      </c>
      <c r="KF47" s="1">
        <f t="shared" si="162"/>
        <v>0</v>
      </c>
      <c r="KG47" s="1">
        <f t="shared" si="162"/>
        <v>0</v>
      </c>
      <c r="KH47" s="1">
        <f t="shared" si="162"/>
        <v>0</v>
      </c>
      <c r="KI47" s="1">
        <f t="shared" si="162"/>
        <v>0</v>
      </c>
      <c r="KJ47" s="1">
        <f t="shared" si="162"/>
        <v>0</v>
      </c>
      <c r="KK47" s="1">
        <f t="shared" si="162"/>
        <v>0</v>
      </c>
      <c r="KL47" s="1">
        <f t="shared" si="162"/>
        <v>0</v>
      </c>
      <c r="KM47" s="1">
        <f t="shared" si="162"/>
        <v>0</v>
      </c>
      <c r="KN47" s="1">
        <f t="shared" si="162"/>
        <v>0</v>
      </c>
      <c r="KO47" s="1">
        <f t="shared" si="162"/>
        <v>0</v>
      </c>
      <c r="KP47" s="1">
        <f t="shared" si="162"/>
        <v>0</v>
      </c>
      <c r="KQ47" s="1">
        <f t="shared" si="162"/>
        <v>0</v>
      </c>
      <c r="KR47" s="1">
        <f t="shared" si="162"/>
        <v>0</v>
      </c>
      <c r="KS47" s="1">
        <f t="shared" si="162"/>
        <v>0</v>
      </c>
      <c r="KT47" s="1">
        <f t="shared" si="162"/>
        <v>0</v>
      </c>
      <c r="KU47" s="1">
        <f t="shared" si="162"/>
        <v>0</v>
      </c>
      <c r="KV47" s="1">
        <f t="shared" si="162"/>
        <v>0</v>
      </c>
      <c r="KW47" s="1">
        <f t="shared" si="162"/>
        <v>0</v>
      </c>
      <c r="KX47" s="1">
        <f t="shared" si="162"/>
        <v>0</v>
      </c>
      <c r="KY47" s="1">
        <f t="shared" si="162"/>
        <v>0</v>
      </c>
      <c r="KZ47" s="1">
        <f t="shared" si="162"/>
        <v>0</v>
      </c>
      <c r="LA47" s="1">
        <f t="shared" si="162"/>
        <v>0</v>
      </c>
      <c r="LB47" s="1">
        <f t="shared" si="162"/>
        <v>0</v>
      </c>
      <c r="LC47" s="1">
        <f t="shared" si="162"/>
        <v>0</v>
      </c>
      <c r="LD47" s="1">
        <f t="shared" si="162"/>
        <v>0</v>
      </c>
      <c r="LE47" s="1">
        <f t="shared" si="162"/>
        <v>0</v>
      </c>
      <c r="LF47" s="1">
        <f t="shared" si="162"/>
        <v>0</v>
      </c>
      <c r="LG47" s="1">
        <f t="shared" si="162"/>
        <v>0</v>
      </c>
      <c r="LH47" s="1">
        <f t="shared" si="162"/>
        <v>0</v>
      </c>
      <c r="LI47" s="1">
        <f t="shared" si="162"/>
        <v>0</v>
      </c>
      <c r="LJ47" s="1">
        <f t="shared" si="162"/>
        <v>0</v>
      </c>
      <c r="LK47" s="1">
        <f t="shared" ref="LK47:NV47" si="163">LK31-LK12</f>
        <v>0</v>
      </c>
      <c r="LL47" s="1">
        <f t="shared" si="163"/>
        <v>0</v>
      </c>
      <c r="LM47" s="1">
        <f t="shared" si="163"/>
        <v>0</v>
      </c>
      <c r="LN47" s="1">
        <f t="shared" si="163"/>
        <v>0</v>
      </c>
      <c r="LO47" s="1">
        <f t="shared" si="163"/>
        <v>0</v>
      </c>
      <c r="LP47" s="1">
        <f t="shared" si="163"/>
        <v>0</v>
      </c>
      <c r="LQ47" s="1">
        <f t="shared" si="163"/>
        <v>0</v>
      </c>
      <c r="LR47" s="1">
        <f t="shared" si="163"/>
        <v>0</v>
      </c>
      <c r="LS47" s="1">
        <f t="shared" si="163"/>
        <v>0</v>
      </c>
      <c r="LT47" s="1">
        <f t="shared" si="163"/>
        <v>0</v>
      </c>
      <c r="LU47" s="1">
        <f t="shared" si="163"/>
        <v>0</v>
      </c>
      <c r="LV47" s="1">
        <f t="shared" si="163"/>
        <v>0</v>
      </c>
      <c r="LW47" s="1">
        <f t="shared" si="163"/>
        <v>0</v>
      </c>
      <c r="LX47" s="1">
        <f t="shared" si="163"/>
        <v>0</v>
      </c>
      <c r="LY47" s="1">
        <f t="shared" si="163"/>
        <v>0</v>
      </c>
      <c r="LZ47" s="1">
        <f t="shared" si="163"/>
        <v>0</v>
      </c>
      <c r="MA47" s="1">
        <f t="shared" si="163"/>
        <v>0</v>
      </c>
      <c r="MB47" s="1">
        <f t="shared" si="163"/>
        <v>0</v>
      </c>
      <c r="MC47" s="1">
        <f t="shared" si="163"/>
        <v>0</v>
      </c>
      <c r="MD47" s="1">
        <f t="shared" si="163"/>
        <v>0</v>
      </c>
      <c r="ME47" s="1">
        <f t="shared" si="163"/>
        <v>0</v>
      </c>
      <c r="MF47" s="1">
        <f t="shared" si="163"/>
        <v>0</v>
      </c>
      <c r="MG47" s="1">
        <f t="shared" si="163"/>
        <v>0</v>
      </c>
      <c r="MH47" s="1">
        <f t="shared" si="163"/>
        <v>0</v>
      </c>
      <c r="MI47" s="1">
        <f t="shared" si="163"/>
        <v>0</v>
      </c>
      <c r="MJ47" s="1">
        <f t="shared" si="163"/>
        <v>0</v>
      </c>
      <c r="MK47" s="1">
        <f t="shared" si="163"/>
        <v>0</v>
      </c>
      <c r="ML47" s="1">
        <f t="shared" si="163"/>
        <v>0</v>
      </c>
      <c r="MM47" s="1">
        <f t="shared" si="163"/>
        <v>0</v>
      </c>
      <c r="MN47" s="1">
        <f t="shared" si="163"/>
        <v>0</v>
      </c>
      <c r="MO47" s="1">
        <f t="shared" si="163"/>
        <v>0</v>
      </c>
      <c r="MP47" s="1">
        <f t="shared" si="163"/>
        <v>0</v>
      </c>
      <c r="MQ47" s="1">
        <f t="shared" si="163"/>
        <v>0</v>
      </c>
      <c r="MR47" s="1">
        <f t="shared" si="163"/>
        <v>0</v>
      </c>
      <c r="MS47" s="1">
        <f t="shared" si="163"/>
        <v>0</v>
      </c>
      <c r="MT47" s="1">
        <f t="shared" si="163"/>
        <v>0</v>
      </c>
      <c r="MU47" s="1">
        <f t="shared" si="163"/>
        <v>0</v>
      </c>
      <c r="MV47" s="1">
        <f t="shared" si="163"/>
        <v>0</v>
      </c>
      <c r="MW47" s="1">
        <f t="shared" si="163"/>
        <v>0</v>
      </c>
      <c r="MX47" s="1">
        <f t="shared" si="163"/>
        <v>0</v>
      </c>
      <c r="MY47" s="1">
        <f t="shared" si="163"/>
        <v>0</v>
      </c>
      <c r="MZ47" s="1">
        <f t="shared" si="163"/>
        <v>0</v>
      </c>
      <c r="NA47" s="1">
        <f t="shared" si="163"/>
        <v>0</v>
      </c>
      <c r="NB47" s="1">
        <f t="shared" si="163"/>
        <v>0</v>
      </c>
      <c r="NC47" s="1">
        <f t="shared" si="163"/>
        <v>0</v>
      </c>
      <c r="ND47" s="1">
        <f t="shared" si="163"/>
        <v>0</v>
      </c>
      <c r="NE47" s="1">
        <f t="shared" si="163"/>
        <v>0</v>
      </c>
      <c r="NF47" s="1">
        <f t="shared" si="163"/>
        <v>0</v>
      </c>
      <c r="NG47" s="1">
        <f t="shared" si="163"/>
        <v>0</v>
      </c>
      <c r="NH47" s="1">
        <f t="shared" si="163"/>
        <v>0</v>
      </c>
      <c r="NI47" s="1">
        <f t="shared" si="163"/>
        <v>0</v>
      </c>
      <c r="NJ47" s="1">
        <f t="shared" si="163"/>
        <v>0</v>
      </c>
      <c r="NK47" s="1">
        <f t="shared" si="163"/>
        <v>0</v>
      </c>
      <c r="NL47" s="1">
        <f t="shared" si="163"/>
        <v>0</v>
      </c>
      <c r="NM47" s="1">
        <f t="shared" si="163"/>
        <v>0</v>
      </c>
      <c r="NN47" s="1">
        <f t="shared" si="163"/>
        <v>0</v>
      </c>
      <c r="NO47" s="1">
        <f t="shared" si="163"/>
        <v>0</v>
      </c>
      <c r="NP47" s="1">
        <f t="shared" si="163"/>
        <v>0</v>
      </c>
      <c r="NQ47" s="1">
        <f t="shared" si="163"/>
        <v>0</v>
      </c>
      <c r="NR47" s="1">
        <f t="shared" si="163"/>
        <v>0</v>
      </c>
      <c r="NS47" s="1">
        <f t="shared" si="163"/>
        <v>0</v>
      </c>
      <c r="NT47" s="1">
        <f t="shared" si="163"/>
        <v>0</v>
      </c>
      <c r="NU47" s="1">
        <f t="shared" si="163"/>
        <v>0</v>
      </c>
      <c r="NV47" s="1">
        <f t="shared" si="163"/>
        <v>0</v>
      </c>
      <c r="NW47" s="1">
        <f t="shared" ref="NW47:QH47" si="164">NW31-NW12</f>
        <v>0</v>
      </c>
      <c r="NX47" s="1">
        <f t="shared" si="164"/>
        <v>0</v>
      </c>
      <c r="NY47" s="1">
        <f t="shared" si="164"/>
        <v>0</v>
      </c>
      <c r="NZ47" s="1">
        <f t="shared" si="164"/>
        <v>0</v>
      </c>
      <c r="OA47" s="1">
        <f t="shared" si="164"/>
        <v>0</v>
      </c>
      <c r="OB47" s="1">
        <f t="shared" si="164"/>
        <v>0</v>
      </c>
      <c r="OC47" s="1">
        <f t="shared" si="164"/>
        <v>0</v>
      </c>
      <c r="OD47" s="1">
        <f t="shared" si="164"/>
        <v>0</v>
      </c>
      <c r="OE47" s="1">
        <f t="shared" si="164"/>
        <v>0</v>
      </c>
      <c r="OF47" s="1">
        <f t="shared" si="164"/>
        <v>0</v>
      </c>
      <c r="OG47" s="1">
        <f t="shared" si="164"/>
        <v>0</v>
      </c>
      <c r="OH47" s="1">
        <f t="shared" si="164"/>
        <v>0</v>
      </c>
      <c r="OI47" s="1">
        <f t="shared" si="164"/>
        <v>0</v>
      </c>
      <c r="OJ47" s="1">
        <f t="shared" si="164"/>
        <v>0</v>
      </c>
      <c r="OK47" s="1">
        <f t="shared" si="164"/>
        <v>0</v>
      </c>
      <c r="OL47" s="1">
        <f t="shared" si="164"/>
        <v>0</v>
      </c>
      <c r="OM47" s="1">
        <f t="shared" si="164"/>
        <v>0</v>
      </c>
      <c r="ON47" s="1">
        <f t="shared" si="164"/>
        <v>0</v>
      </c>
      <c r="OO47" s="1">
        <f t="shared" si="164"/>
        <v>0</v>
      </c>
      <c r="OP47" s="1">
        <f t="shared" si="164"/>
        <v>0</v>
      </c>
      <c r="OQ47" s="1">
        <f t="shared" si="164"/>
        <v>0</v>
      </c>
      <c r="OR47" s="1">
        <f t="shared" si="164"/>
        <v>0</v>
      </c>
      <c r="OS47" s="1">
        <f t="shared" si="164"/>
        <v>0</v>
      </c>
      <c r="OT47" s="1">
        <f t="shared" si="164"/>
        <v>0</v>
      </c>
      <c r="OU47" s="1">
        <f t="shared" si="164"/>
        <v>0</v>
      </c>
      <c r="OV47" s="1">
        <f t="shared" si="164"/>
        <v>0</v>
      </c>
      <c r="OW47" s="1">
        <f t="shared" si="164"/>
        <v>0</v>
      </c>
      <c r="OX47" s="1">
        <f t="shared" si="164"/>
        <v>0</v>
      </c>
      <c r="OY47" s="1">
        <f t="shared" si="164"/>
        <v>0</v>
      </c>
      <c r="OZ47" s="1">
        <f t="shared" si="164"/>
        <v>0</v>
      </c>
      <c r="PA47" s="1">
        <f t="shared" si="164"/>
        <v>0</v>
      </c>
      <c r="PB47" s="1">
        <f t="shared" si="164"/>
        <v>0</v>
      </c>
      <c r="PC47" s="1">
        <f t="shared" si="164"/>
        <v>0</v>
      </c>
      <c r="PD47" s="1">
        <f t="shared" si="164"/>
        <v>0</v>
      </c>
      <c r="PE47" s="1">
        <f t="shared" si="164"/>
        <v>0</v>
      </c>
      <c r="PF47" s="1">
        <f t="shared" si="164"/>
        <v>0</v>
      </c>
      <c r="PG47" s="1">
        <f t="shared" si="164"/>
        <v>0</v>
      </c>
      <c r="PH47" s="1">
        <f t="shared" si="164"/>
        <v>0</v>
      </c>
      <c r="PI47" s="1">
        <f t="shared" si="164"/>
        <v>0</v>
      </c>
      <c r="PJ47" s="1">
        <f t="shared" si="164"/>
        <v>0</v>
      </c>
      <c r="PK47" s="1">
        <f t="shared" si="164"/>
        <v>0</v>
      </c>
      <c r="PL47" s="1">
        <f t="shared" si="164"/>
        <v>0</v>
      </c>
      <c r="PM47" s="1">
        <f t="shared" si="164"/>
        <v>0</v>
      </c>
      <c r="PN47" s="1">
        <f t="shared" si="164"/>
        <v>0</v>
      </c>
      <c r="PO47" s="1">
        <f t="shared" si="164"/>
        <v>0</v>
      </c>
      <c r="PP47" s="1">
        <f t="shared" si="164"/>
        <v>0</v>
      </c>
      <c r="PQ47" s="1">
        <f t="shared" si="164"/>
        <v>0</v>
      </c>
      <c r="PR47" s="1">
        <f t="shared" si="164"/>
        <v>0</v>
      </c>
      <c r="PS47" s="1">
        <f t="shared" si="164"/>
        <v>0</v>
      </c>
      <c r="PT47" s="1">
        <f t="shared" si="164"/>
        <v>0</v>
      </c>
      <c r="PU47" s="1">
        <f t="shared" si="164"/>
        <v>0</v>
      </c>
      <c r="PV47" s="1">
        <f t="shared" si="164"/>
        <v>0</v>
      </c>
      <c r="PW47" s="1">
        <f t="shared" si="164"/>
        <v>0</v>
      </c>
      <c r="PX47" s="1">
        <f t="shared" si="164"/>
        <v>0</v>
      </c>
      <c r="PY47" s="1">
        <f t="shared" si="164"/>
        <v>0</v>
      </c>
      <c r="PZ47" s="1">
        <f t="shared" si="164"/>
        <v>0</v>
      </c>
      <c r="QA47" s="1">
        <f t="shared" si="164"/>
        <v>0</v>
      </c>
      <c r="QB47" s="1">
        <f t="shared" si="164"/>
        <v>0</v>
      </c>
      <c r="QC47" s="1">
        <f t="shared" si="164"/>
        <v>0</v>
      </c>
      <c r="QD47" s="1">
        <f t="shared" si="164"/>
        <v>0</v>
      </c>
      <c r="QE47" s="1">
        <f t="shared" si="164"/>
        <v>0</v>
      </c>
      <c r="QF47" s="1">
        <f t="shared" si="164"/>
        <v>0</v>
      </c>
      <c r="QG47" s="1">
        <f t="shared" si="164"/>
        <v>0</v>
      </c>
      <c r="QH47" s="1">
        <f t="shared" si="164"/>
        <v>0</v>
      </c>
      <c r="QI47" s="1">
        <f t="shared" ref="QI47:SG47" si="165">QI31-QI12</f>
        <v>0</v>
      </c>
      <c r="QJ47" s="1">
        <f t="shared" si="165"/>
        <v>0</v>
      </c>
      <c r="QK47" s="1">
        <f t="shared" si="165"/>
        <v>0</v>
      </c>
      <c r="QL47" s="1">
        <f t="shared" si="165"/>
        <v>0</v>
      </c>
      <c r="QM47" s="1">
        <f t="shared" si="165"/>
        <v>0</v>
      </c>
      <c r="QN47" s="1">
        <f t="shared" si="165"/>
        <v>0</v>
      </c>
      <c r="QO47" s="1">
        <f t="shared" si="165"/>
        <v>0</v>
      </c>
      <c r="QP47" s="1">
        <f t="shared" si="165"/>
        <v>0</v>
      </c>
      <c r="QQ47" s="1">
        <f t="shared" si="165"/>
        <v>0</v>
      </c>
      <c r="QR47" s="1">
        <f t="shared" si="165"/>
        <v>0</v>
      </c>
      <c r="QS47" s="1">
        <f t="shared" si="165"/>
        <v>0</v>
      </c>
      <c r="QT47" s="1">
        <f t="shared" si="165"/>
        <v>0</v>
      </c>
      <c r="QU47" s="1">
        <f t="shared" si="165"/>
        <v>0</v>
      </c>
      <c r="QV47" s="1">
        <f t="shared" si="165"/>
        <v>0</v>
      </c>
      <c r="QW47" s="1">
        <f t="shared" si="165"/>
        <v>0</v>
      </c>
      <c r="QX47" s="1">
        <f t="shared" si="165"/>
        <v>0</v>
      </c>
      <c r="QY47" s="1">
        <f t="shared" si="165"/>
        <v>0</v>
      </c>
      <c r="QZ47" s="1">
        <f t="shared" si="165"/>
        <v>0</v>
      </c>
      <c r="RA47" s="1">
        <f t="shared" si="165"/>
        <v>0</v>
      </c>
      <c r="RB47" s="1">
        <f t="shared" si="165"/>
        <v>0</v>
      </c>
      <c r="RC47" s="1">
        <f t="shared" si="165"/>
        <v>0</v>
      </c>
      <c r="RD47" s="1">
        <f t="shared" si="165"/>
        <v>0</v>
      </c>
      <c r="RE47" s="1">
        <f t="shared" si="165"/>
        <v>0</v>
      </c>
      <c r="RF47" s="1">
        <f t="shared" si="165"/>
        <v>0</v>
      </c>
      <c r="RG47" s="1">
        <f t="shared" si="165"/>
        <v>0</v>
      </c>
      <c r="RH47" s="1">
        <f t="shared" si="165"/>
        <v>0</v>
      </c>
      <c r="RI47" s="1">
        <f t="shared" si="165"/>
        <v>0</v>
      </c>
      <c r="RJ47" s="1">
        <f t="shared" si="165"/>
        <v>0</v>
      </c>
      <c r="RK47" s="1">
        <f t="shared" si="165"/>
        <v>0</v>
      </c>
      <c r="RL47" s="1">
        <f t="shared" si="165"/>
        <v>0</v>
      </c>
      <c r="RM47" s="1">
        <f t="shared" si="165"/>
        <v>0</v>
      </c>
      <c r="RN47" s="1">
        <f t="shared" si="165"/>
        <v>0</v>
      </c>
      <c r="RO47" s="1">
        <f t="shared" si="165"/>
        <v>0</v>
      </c>
      <c r="RP47" s="1">
        <f t="shared" si="165"/>
        <v>0</v>
      </c>
      <c r="RQ47" s="1">
        <f t="shared" si="165"/>
        <v>0</v>
      </c>
      <c r="RR47" s="1">
        <f t="shared" si="165"/>
        <v>0</v>
      </c>
      <c r="RS47" s="1">
        <f t="shared" si="165"/>
        <v>0</v>
      </c>
      <c r="RT47" s="1">
        <f t="shared" si="165"/>
        <v>0</v>
      </c>
      <c r="RU47" s="1">
        <f t="shared" si="165"/>
        <v>0</v>
      </c>
      <c r="RV47" s="1">
        <f t="shared" si="165"/>
        <v>0</v>
      </c>
      <c r="RW47" s="1">
        <f t="shared" si="165"/>
        <v>0</v>
      </c>
      <c r="RX47" s="1">
        <f t="shared" si="165"/>
        <v>0</v>
      </c>
      <c r="RY47" s="1">
        <f t="shared" si="165"/>
        <v>0</v>
      </c>
      <c r="RZ47" s="1">
        <f t="shared" si="165"/>
        <v>0</v>
      </c>
      <c r="SA47" s="1">
        <f t="shared" si="165"/>
        <v>0</v>
      </c>
      <c r="SB47" s="1">
        <f t="shared" si="165"/>
        <v>0</v>
      </c>
      <c r="SC47" s="1">
        <f t="shared" si="165"/>
        <v>0</v>
      </c>
      <c r="SD47" s="1">
        <f t="shared" si="165"/>
        <v>0</v>
      </c>
      <c r="SE47" s="1">
        <f t="shared" si="165"/>
        <v>0</v>
      </c>
      <c r="SF47" s="1">
        <f t="shared" si="165"/>
        <v>0</v>
      </c>
      <c r="SG47" s="1">
        <f t="shared" si="165"/>
        <v>0</v>
      </c>
      <c r="SH47" s="1">
        <f t="shared" ref="SH47:US47" si="166">SH31-SH12</f>
        <v>0</v>
      </c>
      <c r="SI47" s="1">
        <f t="shared" si="166"/>
        <v>0</v>
      </c>
      <c r="SJ47" s="1">
        <f t="shared" si="166"/>
        <v>0</v>
      </c>
      <c r="SK47" s="1">
        <f t="shared" si="166"/>
        <v>0</v>
      </c>
      <c r="SL47" s="1">
        <f t="shared" si="166"/>
        <v>0</v>
      </c>
      <c r="SM47" s="1">
        <f t="shared" si="166"/>
        <v>0</v>
      </c>
      <c r="SN47" s="1">
        <f t="shared" si="166"/>
        <v>0</v>
      </c>
      <c r="SO47" s="1">
        <f t="shared" si="166"/>
        <v>0</v>
      </c>
      <c r="SP47" s="1">
        <f t="shared" si="166"/>
        <v>0</v>
      </c>
      <c r="SQ47" s="1">
        <f t="shared" si="166"/>
        <v>0</v>
      </c>
      <c r="SR47" s="1">
        <f t="shared" si="166"/>
        <v>0</v>
      </c>
      <c r="SS47" s="1">
        <f t="shared" si="166"/>
        <v>0</v>
      </c>
      <c r="ST47" s="1">
        <f t="shared" si="166"/>
        <v>0</v>
      </c>
      <c r="SU47" s="1">
        <f t="shared" si="166"/>
        <v>0</v>
      </c>
      <c r="SV47" s="1">
        <f t="shared" si="166"/>
        <v>0</v>
      </c>
      <c r="SW47" s="1">
        <f t="shared" si="166"/>
        <v>0</v>
      </c>
      <c r="SX47" s="1">
        <f t="shared" si="166"/>
        <v>0</v>
      </c>
      <c r="SY47" s="1">
        <f t="shared" si="166"/>
        <v>0</v>
      </c>
      <c r="SZ47" s="1">
        <f t="shared" si="166"/>
        <v>0</v>
      </c>
      <c r="TA47" s="1">
        <f t="shared" si="166"/>
        <v>0</v>
      </c>
      <c r="TB47" s="1">
        <f t="shared" si="166"/>
        <v>0</v>
      </c>
      <c r="TC47" s="1">
        <f t="shared" si="166"/>
        <v>0</v>
      </c>
      <c r="TD47" s="1">
        <f t="shared" si="166"/>
        <v>0</v>
      </c>
      <c r="TE47" s="1">
        <f t="shared" si="166"/>
        <v>0</v>
      </c>
      <c r="TF47" s="1">
        <f t="shared" si="166"/>
        <v>0</v>
      </c>
      <c r="TG47" s="1">
        <f t="shared" si="166"/>
        <v>0</v>
      </c>
      <c r="TH47" s="1">
        <f t="shared" si="166"/>
        <v>0</v>
      </c>
      <c r="TI47" s="1">
        <f t="shared" si="166"/>
        <v>0</v>
      </c>
      <c r="TJ47" s="1">
        <f t="shared" si="166"/>
        <v>0</v>
      </c>
      <c r="TK47" s="1">
        <f t="shared" si="166"/>
        <v>0</v>
      </c>
      <c r="TL47" s="1">
        <f t="shared" si="166"/>
        <v>0</v>
      </c>
      <c r="TM47" s="1">
        <f t="shared" si="166"/>
        <v>0</v>
      </c>
      <c r="TN47" s="1">
        <f t="shared" si="166"/>
        <v>0</v>
      </c>
      <c r="TO47" s="1">
        <f t="shared" si="166"/>
        <v>0</v>
      </c>
      <c r="TP47" s="1">
        <f t="shared" si="166"/>
        <v>0</v>
      </c>
      <c r="TQ47" s="1">
        <f t="shared" si="166"/>
        <v>0</v>
      </c>
      <c r="TR47" s="1">
        <f t="shared" si="166"/>
        <v>0</v>
      </c>
      <c r="TS47" s="1">
        <f t="shared" si="166"/>
        <v>0</v>
      </c>
      <c r="TT47" s="1">
        <f t="shared" si="166"/>
        <v>0</v>
      </c>
      <c r="TU47" s="1">
        <f t="shared" si="166"/>
        <v>0</v>
      </c>
      <c r="TV47" s="1">
        <f t="shared" si="166"/>
        <v>0</v>
      </c>
      <c r="TW47" s="1">
        <f t="shared" si="166"/>
        <v>0</v>
      </c>
      <c r="TX47" s="1">
        <f t="shared" si="166"/>
        <v>0</v>
      </c>
      <c r="TY47" s="1">
        <f t="shared" si="166"/>
        <v>0</v>
      </c>
      <c r="TZ47" s="1">
        <f t="shared" si="166"/>
        <v>0</v>
      </c>
      <c r="UA47" s="1">
        <f t="shared" si="166"/>
        <v>0</v>
      </c>
      <c r="UB47" s="1">
        <f t="shared" si="166"/>
        <v>0</v>
      </c>
      <c r="UC47" s="1">
        <f t="shared" si="166"/>
        <v>0</v>
      </c>
      <c r="UD47" s="1">
        <f t="shared" si="166"/>
        <v>0</v>
      </c>
      <c r="UE47" s="1">
        <f t="shared" si="166"/>
        <v>0</v>
      </c>
      <c r="UF47" s="1">
        <f t="shared" si="166"/>
        <v>0</v>
      </c>
      <c r="UG47" s="1">
        <f t="shared" si="166"/>
        <v>0</v>
      </c>
      <c r="UH47" s="1">
        <f t="shared" si="166"/>
        <v>0</v>
      </c>
      <c r="UI47" s="1">
        <f t="shared" si="166"/>
        <v>0</v>
      </c>
      <c r="UJ47" s="1">
        <f t="shared" si="166"/>
        <v>0</v>
      </c>
      <c r="UK47" s="1">
        <f t="shared" si="166"/>
        <v>0</v>
      </c>
      <c r="UL47" s="1">
        <f t="shared" si="166"/>
        <v>0</v>
      </c>
      <c r="UM47" s="1">
        <f t="shared" si="166"/>
        <v>0</v>
      </c>
      <c r="UN47" s="1">
        <f t="shared" si="166"/>
        <v>0</v>
      </c>
      <c r="UO47" s="1">
        <f t="shared" si="166"/>
        <v>0</v>
      </c>
      <c r="UP47" s="1">
        <f t="shared" si="166"/>
        <v>0</v>
      </c>
      <c r="UQ47" s="1">
        <f t="shared" si="166"/>
        <v>0</v>
      </c>
      <c r="UR47" s="1">
        <f t="shared" si="166"/>
        <v>0</v>
      </c>
      <c r="US47" s="1">
        <f t="shared" si="166"/>
        <v>0</v>
      </c>
      <c r="UT47" s="1">
        <f t="shared" ref="UT47:XE47" si="167">UT31-UT12</f>
        <v>0</v>
      </c>
      <c r="UU47" s="1">
        <f t="shared" si="167"/>
        <v>0</v>
      </c>
      <c r="UV47" s="1">
        <f t="shared" si="167"/>
        <v>0</v>
      </c>
      <c r="UW47" s="1">
        <f t="shared" si="167"/>
        <v>0</v>
      </c>
      <c r="UX47" s="1">
        <f t="shared" si="167"/>
        <v>0</v>
      </c>
      <c r="UY47" s="1">
        <f t="shared" si="167"/>
        <v>0</v>
      </c>
      <c r="UZ47" s="1">
        <f t="shared" si="167"/>
        <v>0</v>
      </c>
      <c r="VA47" s="1">
        <f t="shared" si="167"/>
        <v>0</v>
      </c>
      <c r="VB47" s="1">
        <f t="shared" si="167"/>
        <v>0</v>
      </c>
      <c r="VC47" s="1">
        <f t="shared" si="167"/>
        <v>0</v>
      </c>
      <c r="VD47" s="1">
        <f t="shared" si="167"/>
        <v>0</v>
      </c>
      <c r="VE47" s="1">
        <f t="shared" si="167"/>
        <v>0</v>
      </c>
      <c r="VF47" s="1">
        <f t="shared" si="167"/>
        <v>0</v>
      </c>
      <c r="VG47" s="1">
        <f t="shared" si="167"/>
        <v>0</v>
      </c>
      <c r="VH47" s="1">
        <f t="shared" si="167"/>
        <v>0</v>
      </c>
      <c r="VI47" s="1">
        <f t="shared" si="167"/>
        <v>0</v>
      </c>
      <c r="VJ47" s="1">
        <f t="shared" si="167"/>
        <v>0</v>
      </c>
      <c r="VK47" s="1">
        <f t="shared" si="167"/>
        <v>0</v>
      </c>
      <c r="VL47" s="1">
        <f t="shared" si="167"/>
        <v>0</v>
      </c>
      <c r="VM47" s="1">
        <f t="shared" si="167"/>
        <v>0</v>
      </c>
      <c r="VN47" s="1">
        <f t="shared" si="167"/>
        <v>0</v>
      </c>
      <c r="VO47" s="1">
        <f t="shared" si="167"/>
        <v>0</v>
      </c>
      <c r="VP47" s="1">
        <f t="shared" si="167"/>
        <v>0</v>
      </c>
      <c r="VQ47" s="1">
        <f t="shared" si="167"/>
        <v>0</v>
      </c>
      <c r="VR47" s="1">
        <f t="shared" si="167"/>
        <v>0</v>
      </c>
      <c r="VS47" s="1">
        <f t="shared" si="167"/>
        <v>0</v>
      </c>
      <c r="VT47" s="1">
        <f t="shared" si="167"/>
        <v>0</v>
      </c>
      <c r="VU47" s="1">
        <f t="shared" si="167"/>
        <v>0</v>
      </c>
      <c r="VV47" s="1">
        <f t="shared" si="167"/>
        <v>0</v>
      </c>
      <c r="VW47" s="1">
        <f t="shared" si="167"/>
        <v>0</v>
      </c>
      <c r="VX47" s="1">
        <f t="shared" si="167"/>
        <v>0</v>
      </c>
      <c r="VY47" s="1">
        <f t="shared" si="167"/>
        <v>0</v>
      </c>
      <c r="VZ47" s="1">
        <f t="shared" si="167"/>
        <v>0</v>
      </c>
      <c r="WA47" s="1">
        <f t="shared" si="167"/>
        <v>0</v>
      </c>
      <c r="WB47" s="1">
        <f t="shared" si="167"/>
        <v>0</v>
      </c>
      <c r="WC47" s="1">
        <f t="shared" si="167"/>
        <v>0</v>
      </c>
      <c r="WD47" s="1">
        <f t="shared" si="167"/>
        <v>0</v>
      </c>
      <c r="WE47" s="1">
        <f t="shared" si="167"/>
        <v>0</v>
      </c>
      <c r="WF47" s="1">
        <f t="shared" si="167"/>
        <v>0</v>
      </c>
      <c r="WG47" s="1">
        <f t="shared" si="167"/>
        <v>0</v>
      </c>
      <c r="WH47" s="1">
        <f t="shared" si="167"/>
        <v>0</v>
      </c>
      <c r="WI47" s="1">
        <f t="shared" si="167"/>
        <v>0</v>
      </c>
      <c r="WJ47" s="1">
        <f t="shared" si="167"/>
        <v>0</v>
      </c>
      <c r="WK47" s="1">
        <f t="shared" si="167"/>
        <v>0</v>
      </c>
      <c r="WL47" s="1">
        <f t="shared" si="167"/>
        <v>0</v>
      </c>
      <c r="WM47" s="1">
        <f t="shared" si="167"/>
        <v>0</v>
      </c>
      <c r="WN47" s="1">
        <f t="shared" si="167"/>
        <v>0</v>
      </c>
      <c r="WO47" s="1">
        <f t="shared" si="167"/>
        <v>0</v>
      </c>
      <c r="WP47" s="1">
        <f t="shared" si="167"/>
        <v>0</v>
      </c>
      <c r="WQ47" s="1">
        <f t="shared" si="167"/>
        <v>0</v>
      </c>
      <c r="WR47" s="1">
        <f t="shared" si="167"/>
        <v>0</v>
      </c>
      <c r="WS47" s="1">
        <f t="shared" si="167"/>
        <v>0</v>
      </c>
      <c r="WT47" s="1">
        <f t="shared" si="167"/>
        <v>0</v>
      </c>
      <c r="WU47" s="1">
        <f t="shared" si="167"/>
        <v>0</v>
      </c>
      <c r="WV47" s="1">
        <f t="shared" si="167"/>
        <v>0</v>
      </c>
      <c r="WW47" s="1">
        <f t="shared" si="167"/>
        <v>0</v>
      </c>
      <c r="WX47" s="1">
        <f t="shared" si="167"/>
        <v>0</v>
      </c>
      <c r="WY47" s="1">
        <f t="shared" si="167"/>
        <v>0</v>
      </c>
      <c r="WZ47" s="1">
        <f t="shared" si="167"/>
        <v>0</v>
      </c>
      <c r="XA47" s="1">
        <f t="shared" si="167"/>
        <v>0</v>
      </c>
      <c r="XB47" s="1">
        <f t="shared" si="167"/>
        <v>0</v>
      </c>
      <c r="XC47" s="1">
        <f t="shared" si="167"/>
        <v>0</v>
      </c>
      <c r="XD47" s="1">
        <f t="shared" si="167"/>
        <v>0</v>
      </c>
      <c r="XE47" s="1">
        <f t="shared" si="167"/>
        <v>0</v>
      </c>
      <c r="XF47" s="1">
        <f t="shared" ref="XF47:ZQ47" si="168">XF31-XF12</f>
        <v>0</v>
      </c>
      <c r="XG47" s="1">
        <f t="shared" si="168"/>
        <v>0</v>
      </c>
      <c r="XH47" s="1">
        <f t="shared" si="168"/>
        <v>0</v>
      </c>
      <c r="XI47" s="1">
        <f t="shared" si="168"/>
        <v>0</v>
      </c>
      <c r="XJ47" s="1">
        <f t="shared" si="168"/>
        <v>0</v>
      </c>
      <c r="XK47" s="1">
        <f t="shared" si="168"/>
        <v>0</v>
      </c>
      <c r="XL47" s="1">
        <f t="shared" si="168"/>
        <v>0</v>
      </c>
      <c r="XM47" s="1">
        <f t="shared" si="168"/>
        <v>0</v>
      </c>
      <c r="XN47" s="1">
        <f t="shared" si="168"/>
        <v>0</v>
      </c>
      <c r="XO47" s="1">
        <f t="shared" si="168"/>
        <v>0</v>
      </c>
      <c r="XP47" s="1">
        <f t="shared" si="168"/>
        <v>0</v>
      </c>
      <c r="XQ47" s="1">
        <f t="shared" si="168"/>
        <v>0</v>
      </c>
      <c r="XR47" s="1">
        <f t="shared" si="168"/>
        <v>0</v>
      </c>
      <c r="XS47" s="1">
        <f t="shared" si="168"/>
        <v>0</v>
      </c>
      <c r="XT47" s="1">
        <f t="shared" si="168"/>
        <v>0</v>
      </c>
      <c r="XU47" s="1">
        <f t="shared" si="168"/>
        <v>0</v>
      </c>
      <c r="XV47" s="1">
        <f t="shared" si="168"/>
        <v>0</v>
      </c>
      <c r="XW47" s="1">
        <f t="shared" si="168"/>
        <v>0</v>
      </c>
      <c r="XX47" s="1">
        <f t="shared" si="168"/>
        <v>0</v>
      </c>
      <c r="XY47" s="1">
        <f t="shared" si="168"/>
        <v>0</v>
      </c>
      <c r="XZ47" s="1">
        <f t="shared" si="168"/>
        <v>0</v>
      </c>
      <c r="YA47" s="1">
        <f t="shared" si="168"/>
        <v>0</v>
      </c>
      <c r="YB47" s="1">
        <f t="shared" si="168"/>
        <v>0</v>
      </c>
      <c r="YC47" s="1">
        <f t="shared" si="168"/>
        <v>0</v>
      </c>
      <c r="YD47" s="1">
        <f t="shared" si="168"/>
        <v>0</v>
      </c>
      <c r="YE47" s="1">
        <f t="shared" si="168"/>
        <v>0</v>
      </c>
      <c r="YF47" s="1">
        <f t="shared" si="168"/>
        <v>0</v>
      </c>
      <c r="YG47" s="1">
        <f t="shared" si="168"/>
        <v>0</v>
      </c>
      <c r="YH47" s="1">
        <f t="shared" si="168"/>
        <v>0</v>
      </c>
      <c r="YI47" s="1">
        <f t="shared" si="168"/>
        <v>0</v>
      </c>
      <c r="YJ47" s="1">
        <f t="shared" si="168"/>
        <v>0</v>
      </c>
      <c r="YK47" s="1">
        <f t="shared" si="168"/>
        <v>0</v>
      </c>
      <c r="YL47" s="1">
        <f t="shared" si="168"/>
        <v>0</v>
      </c>
      <c r="YM47" s="1">
        <f t="shared" si="168"/>
        <v>0</v>
      </c>
      <c r="YN47" s="1">
        <f t="shared" si="168"/>
        <v>0</v>
      </c>
      <c r="YO47" s="1">
        <f t="shared" si="168"/>
        <v>0</v>
      </c>
      <c r="YP47" s="1">
        <f t="shared" si="168"/>
        <v>0</v>
      </c>
      <c r="YQ47" s="1">
        <f t="shared" si="168"/>
        <v>0</v>
      </c>
      <c r="YR47" s="1">
        <f t="shared" si="168"/>
        <v>0</v>
      </c>
      <c r="YS47" s="1">
        <f t="shared" si="168"/>
        <v>0</v>
      </c>
      <c r="YT47" s="1">
        <f t="shared" si="168"/>
        <v>0</v>
      </c>
      <c r="YU47" s="1">
        <f t="shared" si="168"/>
        <v>0</v>
      </c>
      <c r="YV47" s="1">
        <f t="shared" si="168"/>
        <v>0</v>
      </c>
      <c r="YW47" s="1">
        <f t="shared" si="168"/>
        <v>0</v>
      </c>
      <c r="YX47" s="1">
        <f t="shared" si="168"/>
        <v>0</v>
      </c>
      <c r="YY47" s="1">
        <f t="shared" si="168"/>
        <v>0</v>
      </c>
      <c r="YZ47" s="1">
        <f t="shared" si="168"/>
        <v>0</v>
      </c>
      <c r="ZA47" s="1">
        <f t="shared" si="168"/>
        <v>0</v>
      </c>
      <c r="ZB47" s="1">
        <f t="shared" si="168"/>
        <v>0</v>
      </c>
      <c r="ZC47" s="1">
        <f t="shared" si="168"/>
        <v>0</v>
      </c>
      <c r="ZD47" s="1">
        <f t="shared" si="168"/>
        <v>0</v>
      </c>
      <c r="ZE47" s="1">
        <f t="shared" si="168"/>
        <v>0</v>
      </c>
      <c r="ZF47" s="1">
        <f t="shared" si="168"/>
        <v>0</v>
      </c>
      <c r="ZG47" s="1">
        <f t="shared" si="168"/>
        <v>0</v>
      </c>
      <c r="ZH47" s="1">
        <f t="shared" si="168"/>
        <v>0</v>
      </c>
      <c r="ZI47" s="1">
        <f t="shared" si="168"/>
        <v>0</v>
      </c>
      <c r="ZJ47" s="1">
        <f t="shared" si="168"/>
        <v>0</v>
      </c>
      <c r="ZK47" s="1">
        <f t="shared" si="168"/>
        <v>0</v>
      </c>
      <c r="ZL47" s="1">
        <f t="shared" si="168"/>
        <v>0</v>
      </c>
      <c r="ZM47" s="1">
        <f t="shared" si="168"/>
        <v>0</v>
      </c>
      <c r="ZN47" s="1">
        <f t="shared" si="168"/>
        <v>0</v>
      </c>
      <c r="ZO47" s="1">
        <f t="shared" si="168"/>
        <v>0</v>
      </c>
      <c r="ZP47" s="1">
        <f t="shared" si="168"/>
        <v>0</v>
      </c>
      <c r="ZQ47" s="1">
        <f t="shared" si="168"/>
        <v>0</v>
      </c>
      <c r="ZR47" s="1">
        <f>ZR31-ZR12</f>
        <v>0</v>
      </c>
      <c r="ZS47" s="1">
        <f t="shared" ref="ZS47:ACC47" si="169">ZS31-ZS12</f>
        <v>0</v>
      </c>
      <c r="ZT47" s="1">
        <f t="shared" si="169"/>
        <v>0</v>
      </c>
      <c r="ZU47" s="1">
        <f t="shared" si="169"/>
        <v>0</v>
      </c>
      <c r="ZV47" s="1">
        <f t="shared" si="169"/>
        <v>0</v>
      </c>
      <c r="ZW47" s="1">
        <f t="shared" si="169"/>
        <v>0</v>
      </c>
      <c r="ZX47" s="1">
        <f t="shared" si="169"/>
        <v>0</v>
      </c>
      <c r="ZY47" s="1">
        <f t="shared" si="169"/>
        <v>0</v>
      </c>
      <c r="ZZ47" s="1">
        <f t="shared" si="169"/>
        <v>0</v>
      </c>
      <c r="AAA47" s="1">
        <f t="shared" si="169"/>
        <v>0</v>
      </c>
      <c r="AAB47" s="1">
        <f t="shared" si="169"/>
        <v>0</v>
      </c>
      <c r="AAC47" s="1">
        <f t="shared" si="169"/>
        <v>0</v>
      </c>
      <c r="AAD47" s="1">
        <f t="shared" si="169"/>
        <v>0</v>
      </c>
      <c r="AAE47" s="1">
        <f t="shared" si="169"/>
        <v>0</v>
      </c>
      <c r="AAF47" s="1">
        <f t="shared" si="169"/>
        <v>0</v>
      </c>
      <c r="AAG47" s="1">
        <f t="shared" si="169"/>
        <v>0</v>
      </c>
      <c r="AAH47" s="1">
        <f t="shared" si="169"/>
        <v>0</v>
      </c>
      <c r="AAI47" s="1">
        <f t="shared" si="169"/>
        <v>0</v>
      </c>
      <c r="AAJ47" s="1">
        <f t="shared" si="169"/>
        <v>0</v>
      </c>
      <c r="AAK47" s="1">
        <f t="shared" si="169"/>
        <v>0</v>
      </c>
      <c r="AAL47" s="1">
        <f t="shared" si="169"/>
        <v>0</v>
      </c>
      <c r="AAM47" s="1">
        <f t="shared" si="169"/>
        <v>0</v>
      </c>
      <c r="AAN47" s="1">
        <f t="shared" si="169"/>
        <v>0</v>
      </c>
      <c r="AAO47" s="1">
        <f t="shared" si="169"/>
        <v>0</v>
      </c>
      <c r="AAP47" s="1">
        <f t="shared" si="169"/>
        <v>0</v>
      </c>
      <c r="AAQ47" s="1">
        <f t="shared" si="169"/>
        <v>0</v>
      </c>
      <c r="AAR47" s="1">
        <f t="shared" si="169"/>
        <v>0</v>
      </c>
      <c r="AAS47" s="1">
        <f t="shared" si="169"/>
        <v>0</v>
      </c>
      <c r="AAT47" s="1">
        <f t="shared" si="169"/>
        <v>0</v>
      </c>
      <c r="AAU47" s="1">
        <f t="shared" si="169"/>
        <v>0</v>
      </c>
      <c r="AAV47" s="1">
        <f t="shared" si="169"/>
        <v>0</v>
      </c>
      <c r="AAW47" s="1">
        <f t="shared" si="169"/>
        <v>0</v>
      </c>
      <c r="AAX47" s="1">
        <f t="shared" si="169"/>
        <v>0</v>
      </c>
      <c r="AAY47" s="1">
        <f t="shared" si="169"/>
        <v>0</v>
      </c>
      <c r="AAZ47" s="1">
        <f t="shared" si="169"/>
        <v>0</v>
      </c>
      <c r="ABA47" s="1">
        <f t="shared" si="169"/>
        <v>0</v>
      </c>
      <c r="ABB47" s="1">
        <f t="shared" si="169"/>
        <v>0</v>
      </c>
      <c r="ABC47" s="1">
        <f t="shared" si="169"/>
        <v>0</v>
      </c>
      <c r="ABD47" s="1">
        <f t="shared" si="169"/>
        <v>0</v>
      </c>
      <c r="ABE47" s="1">
        <f t="shared" si="169"/>
        <v>0</v>
      </c>
      <c r="ABF47" s="1">
        <f t="shared" si="169"/>
        <v>0</v>
      </c>
      <c r="ABG47" s="1">
        <f t="shared" si="169"/>
        <v>0</v>
      </c>
      <c r="ABH47" s="1">
        <f t="shared" si="169"/>
        <v>0</v>
      </c>
      <c r="ABI47" s="1">
        <f t="shared" si="169"/>
        <v>0</v>
      </c>
      <c r="ABJ47" s="1">
        <f t="shared" si="169"/>
        <v>0</v>
      </c>
      <c r="ABK47" s="1">
        <f t="shared" si="169"/>
        <v>0</v>
      </c>
      <c r="ABL47" s="1">
        <f t="shared" si="169"/>
        <v>0</v>
      </c>
      <c r="ABM47" s="1">
        <f t="shared" si="169"/>
        <v>0</v>
      </c>
      <c r="ABN47" s="1">
        <f t="shared" si="169"/>
        <v>0</v>
      </c>
      <c r="ABO47" s="1">
        <f t="shared" si="169"/>
        <v>0</v>
      </c>
      <c r="ABP47" s="1">
        <f t="shared" si="169"/>
        <v>0</v>
      </c>
      <c r="ABQ47" s="1">
        <f t="shared" si="169"/>
        <v>0</v>
      </c>
      <c r="ABR47" s="1">
        <f t="shared" si="169"/>
        <v>0</v>
      </c>
      <c r="ABS47" s="1">
        <f t="shared" si="169"/>
        <v>0</v>
      </c>
      <c r="ABT47" s="1">
        <f t="shared" si="169"/>
        <v>0</v>
      </c>
      <c r="ABU47" s="1">
        <f t="shared" si="169"/>
        <v>0</v>
      </c>
      <c r="ABV47" s="1">
        <f t="shared" si="169"/>
        <v>0</v>
      </c>
      <c r="ABW47" s="1">
        <f t="shared" si="169"/>
        <v>0</v>
      </c>
      <c r="ABX47" s="1">
        <f t="shared" si="169"/>
        <v>0</v>
      </c>
      <c r="ABY47" s="1">
        <f t="shared" si="169"/>
        <v>0</v>
      </c>
      <c r="ABZ47" s="1">
        <f t="shared" si="169"/>
        <v>0</v>
      </c>
      <c r="ACA47" s="1">
        <f t="shared" si="169"/>
        <v>0</v>
      </c>
      <c r="ACB47" s="1">
        <f t="shared" si="169"/>
        <v>0</v>
      </c>
      <c r="ACC47" s="1">
        <f t="shared" si="169"/>
        <v>0</v>
      </c>
      <c r="ACD47" s="1">
        <f t="shared" ref="ACD47:AEO47" si="170">ACD31-ACD12</f>
        <v>0</v>
      </c>
      <c r="ACE47" s="1">
        <f t="shared" si="170"/>
        <v>0</v>
      </c>
      <c r="ACF47" s="1">
        <f t="shared" si="170"/>
        <v>0</v>
      </c>
      <c r="ACG47" s="1">
        <f t="shared" si="170"/>
        <v>0</v>
      </c>
      <c r="ACH47" s="1">
        <f t="shared" si="170"/>
        <v>0</v>
      </c>
      <c r="ACI47" s="1">
        <f t="shared" si="170"/>
        <v>0</v>
      </c>
      <c r="ACJ47" s="1">
        <f t="shared" si="170"/>
        <v>0</v>
      </c>
      <c r="ACK47" s="1">
        <f t="shared" si="170"/>
        <v>0</v>
      </c>
      <c r="ACL47" s="1">
        <f t="shared" si="170"/>
        <v>0</v>
      </c>
      <c r="ACM47" s="1">
        <f t="shared" si="170"/>
        <v>0</v>
      </c>
      <c r="ACN47" s="1">
        <f t="shared" si="170"/>
        <v>0</v>
      </c>
      <c r="ACO47" s="1">
        <f t="shared" si="170"/>
        <v>0</v>
      </c>
      <c r="ACP47" s="1">
        <f t="shared" si="170"/>
        <v>0</v>
      </c>
      <c r="ACQ47" s="1">
        <f t="shared" si="170"/>
        <v>0</v>
      </c>
      <c r="ACR47" s="1">
        <f t="shared" si="170"/>
        <v>0</v>
      </c>
      <c r="ACS47" s="1">
        <f t="shared" si="170"/>
        <v>0</v>
      </c>
      <c r="ACT47" s="1">
        <f t="shared" si="170"/>
        <v>0</v>
      </c>
      <c r="ACU47" s="1">
        <f t="shared" si="170"/>
        <v>0</v>
      </c>
      <c r="ACV47" s="1">
        <f t="shared" si="170"/>
        <v>0</v>
      </c>
      <c r="ACW47" s="1">
        <f t="shared" si="170"/>
        <v>0</v>
      </c>
      <c r="ACX47" s="1">
        <f t="shared" si="170"/>
        <v>0</v>
      </c>
      <c r="ACY47" s="1">
        <f t="shared" si="170"/>
        <v>0</v>
      </c>
      <c r="ACZ47" s="1">
        <f t="shared" si="170"/>
        <v>0</v>
      </c>
      <c r="ADA47" s="1">
        <f t="shared" si="170"/>
        <v>0</v>
      </c>
      <c r="ADB47" s="1">
        <f t="shared" si="170"/>
        <v>0</v>
      </c>
      <c r="ADC47" s="1">
        <f t="shared" si="170"/>
        <v>0</v>
      </c>
      <c r="ADD47" s="1">
        <f t="shared" si="170"/>
        <v>0</v>
      </c>
      <c r="ADE47" s="1">
        <f t="shared" si="170"/>
        <v>0</v>
      </c>
      <c r="ADF47" s="1">
        <f t="shared" si="170"/>
        <v>0</v>
      </c>
      <c r="ADG47" s="1">
        <f t="shared" si="170"/>
        <v>0</v>
      </c>
      <c r="ADH47" s="1">
        <f t="shared" si="170"/>
        <v>0</v>
      </c>
      <c r="ADI47" s="1">
        <f t="shared" si="170"/>
        <v>0</v>
      </c>
      <c r="ADJ47" s="1">
        <f t="shared" si="170"/>
        <v>0</v>
      </c>
      <c r="ADK47" s="1">
        <f t="shared" si="170"/>
        <v>0</v>
      </c>
      <c r="ADL47" s="1">
        <f t="shared" si="170"/>
        <v>0</v>
      </c>
      <c r="ADM47" s="1">
        <f t="shared" si="170"/>
        <v>0</v>
      </c>
      <c r="ADN47" s="1">
        <f t="shared" si="170"/>
        <v>0</v>
      </c>
      <c r="ADO47" s="1">
        <f t="shared" si="170"/>
        <v>0</v>
      </c>
      <c r="ADP47" s="1">
        <f t="shared" si="170"/>
        <v>0</v>
      </c>
      <c r="ADQ47" s="1">
        <f t="shared" si="170"/>
        <v>0</v>
      </c>
      <c r="ADR47" s="1">
        <f t="shared" si="170"/>
        <v>0</v>
      </c>
      <c r="ADS47" s="1">
        <f t="shared" si="170"/>
        <v>0</v>
      </c>
      <c r="ADT47" s="1">
        <f t="shared" si="170"/>
        <v>0</v>
      </c>
      <c r="ADU47" s="1">
        <f t="shared" si="170"/>
        <v>0</v>
      </c>
      <c r="ADV47" s="1">
        <f t="shared" si="170"/>
        <v>0</v>
      </c>
      <c r="ADW47" s="1">
        <f t="shared" si="170"/>
        <v>0</v>
      </c>
      <c r="ADX47" s="1">
        <f t="shared" si="170"/>
        <v>0</v>
      </c>
      <c r="ADY47" s="1">
        <f t="shared" si="170"/>
        <v>0</v>
      </c>
      <c r="ADZ47" s="1">
        <f t="shared" si="170"/>
        <v>0</v>
      </c>
      <c r="AEA47" s="1">
        <f t="shared" si="170"/>
        <v>0</v>
      </c>
      <c r="AEB47" s="1">
        <f t="shared" si="170"/>
        <v>0</v>
      </c>
      <c r="AEC47" s="1">
        <f t="shared" si="170"/>
        <v>0</v>
      </c>
      <c r="AED47" s="1">
        <f t="shared" si="170"/>
        <v>0</v>
      </c>
      <c r="AEE47" s="1">
        <f t="shared" si="170"/>
        <v>0</v>
      </c>
      <c r="AEF47" s="1">
        <f t="shared" si="170"/>
        <v>0</v>
      </c>
      <c r="AEG47" s="1">
        <f t="shared" si="170"/>
        <v>0</v>
      </c>
      <c r="AEH47" s="1">
        <f t="shared" si="170"/>
        <v>0</v>
      </c>
      <c r="AEI47" s="1">
        <f t="shared" si="170"/>
        <v>0</v>
      </c>
      <c r="AEJ47" s="1">
        <f t="shared" si="170"/>
        <v>0</v>
      </c>
      <c r="AEK47" s="1">
        <f t="shared" si="170"/>
        <v>0</v>
      </c>
      <c r="AEL47" s="1">
        <f t="shared" si="170"/>
        <v>0</v>
      </c>
      <c r="AEM47" s="1">
        <f t="shared" si="170"/>
        <v>0</v>
      </c>
      <c r="AEN47" s="1">
        <f t="shared" si="170"/>
        <v>0</v>
      </c>
      <c r="AEO47" s="1">
        <f t="shared" si="170"/>
        <v>0</v>
      </c>
      <c r="AEP47" s="1">
        <f t="shared" ref="AEP47:AHA47" si="171">AEP31-AEP12</f>
        <v>0</v>
      </c>
      <c r="AEQ47" s="1">
        <f t="shared" si="171"/>
        <v>0</v>
      </c>
      <c r="AER47" s="1">
        <f t="shared" si="171"/>
        <v>0</v>
      </c>
      <c r="AES47" s="1">
        <f t="shared" si="171"/>
        <v>0</v>
      </c>
      <c r="AET47" s="1">
        <f t="shared" si="171"/>
        <v>0</v>
      </c>
      <c r="AEU47" s="1">
        <f t="shared" si="171"/>
        <v>0</v>
      </c>
      <c r="AEV47" s="1">
        <f t="shared" si="171"/>
        <v>0</v>
      </c>
      <c r="AEW47" s="1">
        <f t="shared" si="171"/>
        <v>0</v>
      </c>
      <c r="AEX47" s="1">
        <f t="shared" si="171"/>
        <v>0</v>
      </c>
      <c r="AEY47" s="1">
        <f t="shared" si="171"/>
        <v>0</v>
      </c>
      <c r="AEZ47" s="1">
        <f t="shared" si="171"/>
        <v>0</v>
      </c>
      <c r="AFA47" s="1">
        <f t="shared" si="171"/>
        <v>0</v>
      </c>
      <c r="AFB47" s="1">
        <f t="shared" si="171"/>
        <v>0</v>
      </c>
      <c r="AFC47" s="1">
        <f t="shared" si="171"/>
        <v>0</v>
      </c>
      <c r="AFD47" s="1">
        <f t="shared" si="171"/>
        <v>0</v>
      </c>
      <c r="AFE47" s="1">
        <f t="shared" si="171"/>
        <v>0</v>
      </c>
      <c r="AFF47" s="1">
        <f t="shared" si="171"/>
        <v>0</v>
      </c>
      <c r="AFG47" s="1">
        <f t="shared" si="171"/>
        <v>0</v>
      </c>
      <c r="AFH47" s="1">
        <f t="shared" si="171"/>
        <v>0</v>
      </c>
      <c r="AFI47" s="1">
        <f t="shared" si="171"/>
        <v>0</v>
      </c>
      <c r="AFJ47" s="1">
        <f t="shared" si="171"/>
        <v>0</v>
      </c>
      <c r="AFK47" s="1">
        <f t="shared" si="171"/>
        <v>0</v>
      </c>
      <c r="AFL47" s="1">
        <f t="shared" si="171"/>
        <v>0</v>
      </c>
      <c r="AFM47" s="1">
        <f t="shared" si="171"/>
        <v>0</v>
      </c>
      <c r="AFN47" s="1">
        <f t="shared" si="171"/>
        <v>0</v>
      </c>
      <c r="AFO47" s="1">
        <f t="shared" si="171"/>
        <v>0</v>
      </c>
      <c r="AFP47" s="1">
        <f t="shared" si="171"/>
        <v>0</v>
      </c>
      <c r="AFQ47" s="1">
        <f t="shared" si="171"/>
        <v>0</v>
      </c>
      <c r="AFR47" s="1">
        <f t="shared" si="171"/>
        <v>0</v>
      </c>
      <c r="AFS47" s="1">
        <f t="shared" si="171"/>
        <v>0</v>
      </c>
      <c r="AFT47" s="1">
        <f t="shared" si="171"/>
        <v>0</v>
      </c>
      <c r="AFU47" s="1">
        <f t="shared" si="171"/>
        <v>0</v>
      </c>
      <c r="AFV47" s="1">
        <f t="shared" si="171"/>
        <v>0</v>
      </c>
      <c r="AFW47" s="1">
        <f t="shared" si="171"/>
        <v>0</v>
      </c>
      <c r="AFX47" s="1">
        <f t="shared" si="171"/>
        <v>0</v>
      </c>
      <c r="AFY47" s="1">
        <f t="shared" si="171"/>
        <v>0</v>
      </c>
      <c r="AFZ47" s="1">
        <f t="shared" si="171"/>
        <v>0</v>
      </c>
      <c r="AGA47" s="1">
        <f t="shared" si="171"/>
        <v>0</v>
      </c>
      <c r="AGB47" s="1">
        <f t="shared" si="171"/>
        <v>0</v>
      </c>
      <c r="AGC47" s="1">
        <f t="shared" si="171"/>
        <v>0</v>
      </c>
      <c r="AGD47" s="1">
        <f t="shared" si="171"/>
        <v>0</v>
      </c>
      <c r="AGE47" s="1">
        <f t="shared" si="171"/>
        <v>0</v>
      </c>
      <c r="AGF47" s="1">
        <f t="shared" si="171"/>
        <v>0</v>
      </c>
      <c r="AGG47" s="1">
        <f t="shared" si="171"/>
        <v>0</v>
      </c>
      <c r="AGH47" s="1">
        <f t="shared" si="171"/>
        <v>0</v>
      </c>
      <c r="AGI47" s="1">
        <f t="shared" si="171"/>
        <v>0</v>
      </c>
      <c r="AGJ47" s="1">
        <f t="shared" si="171"/>
        <v>0</v>
      </c>
      <c r="AGK47" s="1">
        <f t="shared" si="171"/>
        <v>0</v>
      </c>
      <c r="AGL47" s="1">
        <f t="shared" si="171"/>
        <v>0</v>
      </c>
      <c r="AGM47" s="1">
        <f t="shared" si="171"/>
        <v>0</v>
      </c>
      <c r="AGN47" s="1">
        <f t="shared" si="171"/>
        <v>0</v>
      </c>
      <c r="AGO47" s="1">
        <f t="shared" si="171"/>
        <v>0</v>
      </c>
      <c r="AGP47" s="1">
        <f t="shared" si="171"/>
        <v>0</v>
      </c>
      <c r="AGQ47" s="1">
        <f t="shared" si="171"/>
        <v>0</v>
      </c>
      <c r="AGR47" s="1">
        <f t="shared" si="171"/>
        <v>0</v>
      </c>
      <c r="AGS47" s="1">
        <f t="shared" si="171"/>
        <v>0</v>
      </c>
      <c r="AGT47" s="1">
        <f t="shared" si="171"/>
        <v>0</v>
      </c>
      <c r="AGU47" s="1">
        <f t="shared" si="171"/>
        <v>0</v>
      </c>
      <c r="AGV47" s="1">
        <f t="shared" si="171"/>
        <v>0</v>
      </c>
      <c r="AGW47" s="1">
        <f t="shared" si="171"/>
        <v>0</v>
      </c>
      <c r="AGX47" s="1">
        <f t="shared" si="171"/>
        <v>0</v>
      </c>
      <c r="AGY47" s="1">
        <f t="shared" si="171"/>
        <v>0</v>
      </c>
      <c r="AGZ47" s="1">
        <f t="shared" si="171"/>
        <v>0</v>
      </c>
      <c r="AHA47" s="1">
        <f t="shared" si="171"/>
        <v>0</v>
      </c>
      <c r="AHB47" s="1">
        <f t="shared" ref="AHB47:AJM47" si="172">AHB31-AHB12</f>
        <v>0</v>
      </c>
      <c r="AHC47" s="1">
        <f t="shared" si="172"/>
        <v>0</v>
      </c>
      <c r="AHD47" s="1">
        <f t="shared" si="172"/>
        <v>0</v>
      </c>
      <c r="AHE47" s="1">
        <f t="shared" si="172"/>
        <v>0</v>
      </c>
      <c r="AHF47" s="1">
        <f t="shared" si="172"/>
        <v>0</v>
      </c>
      <c r="AHG47" s="1">
        <f t="shared" si="172"/>
        <v>0</v>
      </c>
      <c r="AHH47" s="1">
        <f t="shared" si="172"/>
        <v>0</v>
      </c>
      <c r="AHI47" s="1">
        <f t="shared" si="172"/>
        <v>0</v>
      </c>
      <c r="AHJ47" s="1">
        <f t="shared" si="172"/>
        <v>0</v>
      </c>
      <c r="AHK47" s="1">
        <f t="shared" si="172"/>
        <v>0</v>
      </c>
      <c r="AHL47" s="1">
        <f t="shared" si="172"/>
        <v>0</v>
      </c>
      <c r="AHM47" s="1">
        <f t="shared" si="172"/>
        <v>0</v>
      </c>
      <c r="AHN47" s="1">
        <f t="shared" si="172"/>
        <v>0</v>
      </c>
      <c r="AHO47" s="1">
        <f t="shared" si="172"/>
        <v>0</v>
      </c>
      <c r="AHP47" s="1">
        <f t="shared" si="172"/>
        <v>0</v>
      </c>
      <c r="AHQ47" s="1">
        <f t="shared" si="172"/>
        <v>0</v>
      </c>
      <c r="AHR47" s="1">
        <f t="shared" si="172"/>
        <v>0</v>
      </c>
      <c r="AHS47" s="1">
        <f t="shared" si="172"/>
        <v>0</v>
      </c>
      <c r="AHT47" s="1">
        <f t="shared" si="172"/>
        <v>0</v>
      </c>
      <c r="AHU47" s="1">
        <f t="shared" si="172"/>
        <v>0</v>
      </c>
      <c r="AHV47" s="1">
        <f t="shared" si="172"/>
        <v>0</v>
      </c>
      <c r="AHW47" s="1">
        <f t="shared" si="172"/>
        <v>0</v>
      </c>
      <c r="AHX47" s="1">
        <f t="shared" si="172"/>
        <v>0</v>
      </c>
      <c r="AHY47" s="1">
        <f t="shared" si="172"/>
        <v>0</v>
      </c>
      <c r="AHZ47" s="1">
        <f t="shared" si="172"/>
        <v>0</v>
      </c>
      <c r="AIA47" s="1">
        <f t="shared" si="172"/>
        <v>0</v>
      </c>
      <c r="AIB47" s="1">
        <f t="shared" si="172"/>
        <v>0</v>
      </c>
      <c r="AIC47" s="1">
        <f t="shared" si="172"/>
        <v>0</v>
      </c>
      <c r="AID47" s="1">
        <f t="shared" si="172"/>
        <v>0</v>
      </c>
      <c r="AIE47" s="1">
        <f t="shared" si="172"/>
        <v>0</v>
      </c>
      <c r="AIF47" s="1">
        <f t="shared" si="172"/>
        <v>0</v>
      </c>
      <c r="AIG47" s="1">
        <f t="shared" si="172"/>
        <v>0</v>
      </c>
      <c r="AIH47" s="1">
        <f t="shared" si="172"/>
        <v>0</v>
      </c>
      <c r="AII47" s="1">
        <f t="shared" si="172"/>
        <v>0</v>
      </c>
      <c r="AIJ47" s="1">
        <f t="shared" si="172"/>
        <v>0</v>
      </c>
      <c r="AIK47" s="1">
        <f t="shared" si="172"/>
        <v>0</v>
      </c>
      <c r="AIL47" s="1">
        <f t="shared" si="172"/>
        <v>0</v>
      </c>
      <c r="AIM47" s="1">
        <f t="shared" si="172"/>
        <v>0</v>
      </c>
      <c r="AIN47" s="1">
        <f t="shared" si="172"/>
        <v>0</v>
      </c>
      <c r="AIO47" s="1">
        <f t="shared" si="172"/>
        <v>0</v>
      </c>
      <c r="AIP47" s="1">
        <f t="shared" si="172"/>
        <v>0</v>
      </c>
      <c r="AIQ47" s="1">
        <f t="shared" si="172"/>
        <v>0</v>
      </c>
      <c r="AIR47" s="1">
        <f t="shared" si="172"/>
        <v>0</v>
      </c>
      <c r="AIS47" s="1">
        <f t="shared" si="172"/>
        <v>0</v>
      </c>
      <c r="AIT47" s="1">
        <f t="shared" si="172"/>
        <v>0</v>
      </c>
      <c r="AIU47" s="1">
        <f t="shared" si="172"/>
        <v>0</v>
      </c>
      <c r="AIV47" s="1">
        <f t="shared" si="172"/>
        <v>0</v>
      </c>
      <c r="AIW47" s="1">
        <f t="shared" si="172"/>
        <v>0</v>
      </c>
      <c r="AIX47" s="1">
        <f t="shared" si="172"/>
        <v>0</v>
      </c>
      <c r="AIY47" s="1">
        <f t="shared" si="172"/>
        <v>0</v>
      </c>
      <c r="AIZ47" s="1">
        <f t="shared" si="172"/>
        <v>0</v>
      </c>
      <c r="AJA47" s="1">
        <f t="shared" si="172"/>
        <v>0</v>
      </c>
      <c r="AJB47" s="1">
        <f t="shared" si="172"/>
        <v>0</v>
      </c>
      <c r="AJC47" s="1">
        <f t="shared" si="172"/>
        <v>0</v>
      </c>
      <c r="AJD47" s="1">
        <f t="shared" si="172"/>
        <v>0</v>
      </c>
      <c r="AJE47" s="1">
        <f t="shared" si="172"/>
        <v>0</v>
      </c>
      <c r="AJF47" s="1">
        <f t="shared" si="172"/>
        <v>0</v>
      </c>
      <c r="AJG47" s="1">
        <f t="shared" si="172"/>
        <v>0</v>
      </c>
      <c r="AJH47" s="1">
        <f t="shared" si="172"/>
        <v>0</v>
      </c>
      <c r="AJI47" s="1">
        <f t="shared" si="172"/>
        <v>0</v>
      </c>
      <c r="AJJ47" s="1">
        <f t="shared" si="172"/>
        <v>0</v>
      </c>
      <c r="AJK47" s="1">
        <f t="shared" si="172"/>
        <v>0</v>
      </c>
      <c r="AJL47" s="1">
        <f t="shared" si="172"/>
        <v>0</v>
      </c>
      <c r="AJM47" s="1">
        <f t="shared" si="172"/>
        <v>0</v>
      </c>
      <c r="AJN47" s="1">
        <f t="shared" ref="AJN47:ALM47" si="173">AJN31-AJN12</f>
        <v>0</v>
      </c>
      <c r="AJO47" s="1">
        <f t="shared" si="173"/>
        <v>0</v>
      </c>
      <c r="AJP47" s="1">
        <f t="shared" si="173"/>
        <v>0</v>
      </c>
      <c r="AJQ47" s="1">
        <f t="shared" si="173"/>
        <v>0</v>
      </c>
      <c r="AJR47" s="1">
        <f t="shared" si="173"/>
        <v>0</v>
      </c>
      <c r="AJS47" s="1">
        <f t="shared" si="173"/>
        <v>0</v>
      </c>
      <c r="AJT47" s="1">
        <f t="shared" si="173"/>
        <v>0</v>
      </c>
      <c r="AJU47" s="1">
        <f t="shared" si="173"/>
        <v>0</v>
      </c>
      <c r="AJV47" s="1">
        <f t="shared" si="173"/>
        <v>0</v>
      </c>
      <c r="AJW47" s="1">
        <f t="shared" si="173"/>
        <v>0</v>
      </c>
      <c r="AJX47" s="1">
        <f t="shared" si="173"/>
        <v>0</v>
      </c>
      <c r="AJY47" s="1">
        <f t="shared" si="173"/>
        <v>0</v>
      </c>
      <c r="AJZ47" s="1">
        <f t="shared" si="173"/>
        <v>0</v>
      </c>
      <c r="AKA47" s="1">
        <f t="shared" si="173"/>
        <v>0</v>
      </c>
      <c r="AKB47" s="1">
        <f t="shared" si="173"/>
        <v>0</v>
      </c>
      <c r="AKC47" s="1">
        <f t="shared" si="173"/>
        <v>0</v>
      </c>
      <c r="AKD47" s="1">
        <f t="shared" si="173"/>
        <v>0</v>
      </c>
      <c r="AKE47" s="1">
        <f t="shared" si="173"/>
        <v>0</v>
      </c>
      <c r="AKF47" s="1">
        <f t="shared" si="173"/>
        <v>0</v>
      </c>
      <c r="AKG47" s="1">
        <f t="shared" si="173"/>
        <v>0</v>
      </c>
      <c r="AKH47" s="1">
        <f t="shared" si="173"/>
        <v>0</v>
      </c>
      <c r="AKI47" s="1">
        <f t="shared" si="173"/>
        <v>0</v>
      </c>
      <c r="AKJ47" s="1">
        <f t="shared" si="173"/>
        <v>0</v>
      </c>
      <c r="AKK47" s="1">
        <f t="shared" si="173"/>
        <v>0</v>
      </c>
      <c r="AKL47" s="1">
        <f t="shared" si="173"/>
        <v>0</v>
      </c>
      <c r="AKM47" s="1">
        <f t="shared" si="173"/>
        <v>0</v>
      </c>
      <c r="AKN47" s="1">
        <f t="shared" si="173"/>
        <v>0</v>
      </c>
      <c r="AKO47" s="1">
        <f t="shared" si="173"/>
        <v>0</v>
      </c>
      <c r="AKP47" s="1">
        <f t="shared" si="173"/>
        <v>0</v>
      </c>
      <c r="AKQ47" s="1">
        <f t="shared" si="173"/>
        <v>0</v>
      </c>
      <c r="AKR47" s="1">
        <f t="shared" si="173"/>
        <v>0</v>
      </c>
      <c r="AKS47" s="1">
        <f t="shared" si="173"/>
        <v>0</v>
      </c>
      <c r="AKT47" s="1">
        <f t="shared" si="173"/>
        <v>0</v>
      </c>
      <c r="AKU47" s="1">
        <f t="shared" si="173"/>
        <v>0</v>
      </c>
      <c r="AKV47" s="1">
        <f t="shared" si="173"/>
        <v>0</v>
      </c>
      <c r="AKW47" s="1">
        <f t="shared" si="173"/>
        <v>0</v>
      </c>
      <c r="AKX47" s="1">
        <f t="shared" si="173"/>
        <v>0</v>
      </c>
      <c r="AKY47" s="1">
        <f t="shared" si="173"/>
        <v>0</v>
      </c>
      <c r="AKZ47" s="1">
        <f t="shared" si="173"/>
        <v>0</v>
      </c>
      <c r="ALA47" s="1">
        <f t="shared" si="173"/>
        <v>0</v>
      </c>
      <c r="ALB47" s="1">
        <f t="shared" si="173"/>
        <v>0</v>
      </c>
      <c r="ALC47" s="1">
        <f t="shared" si="173"/>
        <v>0</v>
      </c>
      <c r="ALD47" s="1">
        <f t="shared" si="173"/>
        <v>0</v>
      </c>
      <c r="ALE47" s="1">
        <f t="shared" si="173"/>
        <v>0</v>
      </c>
      <c r="ALF47" s="1">
        <f t="shared" si="173"/>
        <v>0</v>
      </c>
      <c r="ALG47" s="1">
        <f t="shared" si="173"/>
        <v>0</v>
      </c>
      <c r="ALH47" s="1">
        <f t="shared" si="173"/>
        <v>0</v>
      </c>
      <c r="ALI47" s="1">
        <f t="shared" si="173"/>
        <v>0</v>
      </c>
      <c r="ALJ47" s="1">
        <f t="shared" si="173"/>
        <v>0</v>
      </c>
      <c r="ALK47" s="1">
        <f t="shared" si="173"/>
        <v>0</v>
      </c>
      <c r="ALL47" s="1">
        <f t="shared" si="173"/>
        <v>0</v>
      </c>
      <c r="ALM47" s="1">
        <f t="shared" si="173"/>
        <v>0</v>
      </c>
    </row>
    <row r="48" spans="1:1001">
      <c r="A48" s="27"/>
      <c r="B48">
        <f>B32-B13</f>
        <v>0</v>
      </c>
      <c r="C48">
        <f t="shared" ref="C48:BN48" si="174">C32-C13</f>
        <v>0</v>
      </c>
      <c r="D48">
        <f t="shared" si="174"/>
        <v>0</v>
      </c>
      <c r="E48">
        <f t="shared" si="174"/>
        <v>0</v>
      </c>
      <c r="F48">
        <f t="shared" si="174"/>
        <v>0</v>
      </c>
      <c r="G48">
        <f t="shared" si="174"/>
        <v>0</v>
      </c>
      <c r="H48">
        <f t="shared" si="174"/>
        <v>0</v>
      </c>
      <c r="I48">
        <f t="shared" si="174"/>
        <v>0</v>
      </c>
      <c r="J48">
        <f t="shared" si="174"/>
        <v>0</v>
      </c>
      <c r="K48">
        <f t="shared" si="174"/>
        <v>0</v>
      </c>
      <c r="L48">
        <f t="shared" si="174"/>
        <v>0</v>
      </c>
      <c r="M48">
        <f t="shared" si="174"/>
        <v>0</v>
      </c>
      <c r="N48">
        <f t="shared" si="174"/>
        <v>0</v>
      </c>
      <c r="O48">
        <f t="shared" si="174"/>
        <v>0</v>
      </c>
      <c r="P48">
        <f t="shared" si="174"/>
        <v>0</v>
      </c>
      <c r="Q48">
        <f t="shared" si="174"/>
        <v>0</v>
      </c>
      <c r="R48">
        <f t="shared" si="174"/>
        <v>0</v>
      </c>
      <c r="S48">
        <f t="shared" si="174"/>
        <v>0</v>
      </c>
      <c r="T48">
        <f t="shared" si="174"/>
        <v>0</v>
      </c>
      <c r="U48">
        <f t="shared" si="174"/>
        <v>0</v>
      </c>
      <c r="V48">
        <f t="shared" si="174"/>
        <v>0</v>
      </c>
      <c r="W48">
        <f t="shared" si="174"/>
        <v>0</v>
      </c>
      <c r="X48">
        <f t="shared" si="174"/>
        <v>0</v>
      </c>
      <c r="Y48">
        <f t="shared" si="174"/>
        <v>0</v>
      </c>
      <c r="Z48">
        <f t="shared" si="174"/>
        <v>0</v>
      </c>
      <c r="AA48">
        <f t="shared" si="174"/>
        <v>0</v>
      </c>
      <c r="AB48">
        <f t="shared" si="174"/>
        <v>0</v>
      </c>
      <c r="AC48">
        <f t="shared" si="174"/>
        <v>0</v>
      </c>
      <c r="AD48">
        <f t="shared" si="174"/>
        <v>0</v>
      </c>
      <c r="AE48">
        <f t="shared" si="174"/>
        <v>0</v>
      </c>
      <c r="AF48">
        <f t="shared" si="174"/>
        <v>0</v>
      </c>
      <c r="AG48">
        <f t="shared" si="174"/>
        <v>0</v>
      </c>
      <c r="AH48">
        <f t="shared" si="174"/>
        <v>0</v>
      </c>
      <c r="AI48">
        <f t="shared" si="174"/>
        <v>0</v>
      </c>
      <c r="AJ48">
        <f t="shared" si="174"/>
        <v>0</v>
      </c>
      <c r="AK48">
        <f t="shared" si="174"/>
        <v>0</v>
      </c>
      <c r="AL48">
        <f t="shared" si="174"/>
        <v>0</v>
      </c>
      <c r="AM48">
        <f t="shared" si="174"/>
        <v>0</v>
      </c>
      <c r="AN48">
        <f t="shared" si="174"/>
        <v>0</v>
      </c>
      <c r="AO48">
        <f t="shared" si="174"/>
        <v>0</v>
      </c>
      <c r="AP48">
        <f t="shared" si="174"/>
        <v>0</v>
      </c>
      <c r="AQ48">
        <f t="shared" si="174"/>
        <v>0</v>
      </c>
      <c r="AR48">
        <f t="shared" si="174"/>
        <v>0</v>
      </c>
      <c r="AS48">
        <f t="shared" si="174"/>
        <v>0</v>
      </c>
      <c r="AT48">
        <f t="shared" si="174"/>
        <v>0</v>
      </c>
      <c r="AU48">
        <f t="shared" si="174"/>
        <v>0</v>
      </c>
      <c r="AV48">
        <f t="shared" si="174"/>
        <v>0</v>
      </c>
      <c r="AW48">
        <f t="shared" si="174"/>
        <v>0</v>
      </c>
      <c r="AX48">
        <f t="shared" si="174"/>
        <v>0</v>
      </c>
      <c r="AY48">
        <f t="shared" si="174"/>
        <v>0</v>
      </c>
      <c r="AZ48">
        <f t="shared" si="174"/>
        <v>0</v>
      </c>
      <c r="BA48">
        <f t="shared" si="174"/>
        <v>0</v>
      </c>
      <c r="BB48">
        <f t="shared" si="174"/>
        <v>0</v>
      </c>
      <c r="BC48">
        <f t="shared" si="174"/>
        <v>0</v>
      </c>
      <c r="BD48">
        <f t="shared" si="174"/>
        <v>0</v>
      </c>
      <c r="BE48">
        <f t="shared" si="174"/>
        <v>0</v>
      </c>
      <c r="BF48">
        <f t="shared" si="174"/>
        <v>0</v>
      </c>
      <c r="BG48">
        <f t="shared" si="174"/>
        <v>0</v>
      </c>
      <c r="BH48">
        <f t="shared" si="174"/>
        <v>0</v>
      </c>
      <c r="BI48">
        <f t="shared" si="174"/>
        <v>0</v>
      </c>
      <c r="BJ48">
        <f t="shared" si="174"/>
        <v>0</v>
      </c>
      <c r="BK48">
        <f t="shared" si="174"/>
        <v>0</v>
      </c>
      <c r="BL48">
        <f t="shared" si="174"/>
        <v>0</v>
      </c>
      <c r="BM48">
        <f t="shared" si="174"/>
        <v>0</v>
      </c>
      <c r="BN48">
        <f t="shared" si="174"/>
        <v>0</v>
      </c>
      <c r="BO48">
        <f t="shared" ref="BO48:DZ48" si="175">BO32-BO13</f>
        <v>0</v>
      </c>
      <c r="BP48">
        <f t="shared" si="175"/>
        <v>0</v>
      </c>
      <c r="BQ48">
        <f t="shared" si="175"/>
        <v>0</v>
      </c>
      <c r="BR48">
        <f t="shared" si="175"/>
        <v>0</v>
      </c>
      <c r="BS48">
        <f t="shared" si="175"/>
        <v>0</v>
      </c>
      <c r="BT48">
        <f t="shared" si="175"/>
        <v>0</v>
      </c>
      <c r="BU48">
        <f t="shared" si="175"/>
        <v>0</v>
      </c>
      <c r="BV48">
        <f t="shared" si="175"/>
        <v>0</v>
      </c>
      <c r="BW48">
        <f t="shared" si="175"/>
        <v>0</v>
      </c>
      <c r="BX48">
        <f t="shared" si="175"/>
        <v>0</v>
      </c>
      <c r="BY48">
        <f t="shared" si="175"/>
        <v>0</v>
      </c>
      <c r="BZ48">
        <f t="shared" si="175"/>
        <v>0</v>
      </c>
      <c r="CA48">
        <f t="shared" si="175"/>
        <v>0</v>
      </c>
      <c r="CB48">
        <f t="shared" si="175"/>
        <v>0</v>
      </c>
      <c r="CC48">
        <f t="shared" si="175"/>
        <v>0</v>
      </c>
      <c r="CD48">
        <f t="shared" si="175"/>
        <v>0</v>
      </c>
      <c r="CE48">
        <f t="shared" si="175"/>
        <v>0</v>
      </c>
      <c r="CF48">
        <f t="shared" si="175"/>
        <v>0</v>
      </c>
      <c r="CG48">
        <f t="shared" si="175"/>
        <v>0</v>
      </c>
      <c r="CH48">
        <f t="shared" si="175"/>
        <v>0</v>
      </c>
      <c r="CI48">
        <f t="shared" si="175"/>
        <v>0</v>
      </c>
      <c r="CJ48">
        <f t="shared" si="175"/>
        <v>0</v>
      </c>
      <c r="CK48">
        <f t="shared" si="175"/>
        <v>0</v>
      </c>
      <c r="CL48">
        <f t="shared" si="175"/>
        <v>0</v>
      </c>
      <c r="CM48">
        <f t="shared" si="175"/>
        <v>0</v>
      </c>
      <c r="CN48">
        <f t="shared" si="175"/>
        <v>0</v>
      </c>
      <c r="CO48">
        <f t="shared" si="175"/>
        <v>0</v>
      </c>
      <c r="CP48">
        <f>CP32-CP13</f>
        <v>0</v>
      </c>
      <c r="CQ48">
        <f t="shared" si="175"/>
        <v>0</v>
      </c>
      <c r="CR48">
        <f t="shared" si="175"/>
        <v>0</v>
      </c>
      <c r="CS48">
        <f t="shared" si="175"/>
        <v>0</v>
      </c>
      <c r="CT48">
        <f t="shared" si="175"/>
        <v>0</v>
      </c>
      <c r="CU48">
        <f t="shared" si="175"/>
        <v>0</v>
      </c>
      <c r="CV48">
        <f t="shared" si="175"/>
        <v>0</v>
      </c>
      <c r="CW48">
        <f t="shared" si="175"/>
        <v>0</v>
      </c>
      <c r="CX48">
        <f t="shared" si="175"/>
        <v>0</v>
      </c>
      <c r="CY48">
        <f t="shared" si="175"/>
        <v>0</v>
      </c>
      <c r="CZ48">
        <f t="shared" si="175"/>
        <v>0</v>
      </c>
      <c r="DA48">
        <f t="shared" si="175"/>
        <v>0</v>
      </c>
      <c r="DB48">
        <f t="shared" si="175"/>
        <v>0</v>
      </c>
      <c r="DC48">
        <f t="shared" si="175"/>
        <v>0</v>
      </c>
      <c r="DD48">
        <f t="shared" si="175"/>
        <v>0</v>
      </c>
      <c r="DE48">
        <f t="shared" si="175"/>
        <v>0</v>
      </c>
      <c r="DF48">
        <f t="shared" si="175"/>
        <v>0</v>
      </c>
      <c r="DG48">
        <f t="shared" si="175"/>
        <v>0</v>
      </c>
      <c r="DH48">
        <f t="shared" si="175"/>
        <v>0</v>
      </c>
      <c r="DI48">
        <f t="shared" si="175"/>
        <v>0</v>
      </c>
      <c r="DJ48">
        <f t="shared" si="175"/>
        <v>0</v>
      </c>
      <c r="DK48">
        <f t="shared" si="175"/>
        <v>0</v>
      </c>
      <c r="DL48">
        <f t="shared" si="175"/>
        <v>0</v>
      </c>
      <c r="DM48">
        <f t="shared" si="175"/>
        <v>0</v>
      </c>
      <c r="DN48">
        <f t="shared" si="175"/>
        <v>0</v>
      </c>
      <c r="DO48">
        <f t="shared" si="175"/>
        <v>0</v>
      </c>
      <c r="DP48">
        <f t="shared" si="175"/>
        <v>0</v>
      </c>
      <c r="DQ48">
        <f t="shared" si="175"/>
        <v>0</v>
      </c>
      <c r="DR48">
        <f t="shared" si="175"/>
        <v>0</v>
      </c>
      <c r="DS48">
        <f t="shared" si="175"/>
        <v>0</v>
      </c>
      <c r="DT48">
        <f t="shared" si="175"/>
        <v>0</v>
      </c>
      <c r="DU48">
        <f t="shared" si="175"/>
        <v>0</v>
      </c>
      <c r="DV48">
        <f t="shared" si="175"/>
        <v>0</v>
      </c>
      <c r="DW48">
        <f t="shared" si="175"/>
        <v>0</v>
      </c>
      <c r="DX48">
        <f t="shared" si="175"/>
        <v>0</v>
      </c>
      <c r="DY48">
        <f t="shared" si="175"/>
        <v>0</v>
      </c>
      <c r="DZ48">
        <f t="shared" si="175"/>
        <v>0</v>
      </c>
      <c r="EA48">
        <f t="shared" ref="EA48:GL48" si="176">EA32-EA13</f>
        <v>0</v>
      </c>
      <c r="EB48">
        <f t="shared" si="176"/>
        <v>0</v>
      </c>
      <c r="EC48">
        <f t="shared" si="176"/>
        <v>0</v>
      </c>
      <c r="ED48">
        <f t="shared" si="176"/>
        <v>0</v>
      </c>
      <c r="EE48">
        <f t="shared" si="176"/>
        <v>0</v>
      </c>
      <c r="EF48">
        <f t="shared" si="176"/>
        <v>0</v>
      </c>
      <c r="EG48">
        <f t="shared" si="176"/>
        <v>0</v>
      </c>
      <c r="EH48">
        <f t="shared" si="176"/>
        <v>0</v>
      </c>
      <c r="EI48">
        <f t="shared" si="176"/>
        <v>0</v>
      </c>
      <c r="EJ48">
        <f t="shared" si="176"/>
        <v>0</v>
      </c>
      <c r="EK48">
        <f t="shared" si="176"/>
        <v>0</v>
      </c>
      <c r="EL48">
        <f t="shared" si="176"/>
        <v>0</v>
      </c>
      <c r="EM48">
        <f t="shared" si="176"/>
        <v>0</v>
      </c>
      <c r="EN48">
        <f t="shared" si="176"/>
        <v>0</v>
      </c>
      <c r="EO48">
        <f t="shared" si="176"/>
        <v>0</v>
      </c>
      <c r="EP48">
        <f t="shared" si="176"/>
        <v>0</v>
      </c>
      <c r="EQ48">
        <f t="shared" si="176"/>
        <v>0</v>
      </c>
      <c r="ER48">
        <f t="shared" si="176"/>
        <v>0</v>
      </c>
      <c r="ES48">
        <f t="shared" si="176"/>
        <v>0</v>
      </c>
      <c r="ET48">
        <f t="shared" si="176"/>
        <v>0</v>
      </c>
      <c r="EU48">
        <f t="shared" si="176"/>
        <v>0</v>
      </c>
      <c r="EV48">
        <f t="shared" si="176"/>
        <v>0</v>
      </c>
      <c r="EW48">
        <f t="shared" si="176"/>
        <v>0</v>
      </c>
      <c r="EX48">
        <f t="shared" si="176"/>
        <v>0</v>
      </c>
      <c r="EY48">
        <f t="shared" si="176"/>
        <v>0</v>
      </c>
      <c r="EZ48">
        <f t="shared" si="176"/>
        <v>0</v>
      </c>
      <c r="FA48">
        <f t="shared" si="176"/>
        <v>0</v>
      </c>
      <c r="FB48">
        <f t="shared" si="176"/>
        <v>0</v>
      </c>
      <c r="FC48">
        <f t="shared" si="176"/>
        <v>0</v>
      </c>
      <c r="FD48">
        <f t="shared" si="176"/>
        <v>0</v>
      </c>
      <c r="FE48">
        <f t="shared" si="176"/>
        <v>0</v>
      </c>
      <c r="FF48">
        <f t="shared" si="176"/>
        <v>0</v>
      </c>
      <c r="FG48">
        <f t="shared" si="176"/>
        <v>0</v>
      </c>
      <c r="FH48">
        <f t="shared" si="176"/>
        <v>0</v>
      </c>
      <c r="FI48">
        <f t="shared" si="176"/>
        <v>0</v>
      </c>
      <c r="FJ48">
        <f t="shared" si="176"/>
        <v>0</v>
      </c>
      <c r="FK48">
        <f t="shared" si="176"/>
        <v>0</v>
      </c>
      <c r="FL48">
        <f t="shared" si="176"/>
        <v>0</v>
      </c>
      <c r="FM48">
        <f t="shared" si="176"/>
        <v>0</v>
      </c>
      <c r="FN48" s="1">
        <f t="shared" si="176"/>
        <v>0</v>
      </c>
      <c r="FO48" s="1">
        <f t="shared" si="176"/>
        <v>0</v>
      </c>
      <c r="FP48" s="1">
        <f t="shared" si="176"/>
        <v>0</v>
      </c>
      <c r="FQ48" s="1">
        <f t="shared" si="176"/>
        <v>0</v>
      </c>
      <c r="FR48" s="1">
        <f t="shared" si="176"/>
        <v>0</v>
      </c>
      <c r="FS48" s="1">
        <f t="shared" si="176"/>
        <v>0</v>
      </c>
      <c r="FT48" s="1">
        <f t="shared" si="176"/>
        <v>0</v>
      </c>
      <c r="FU48" s="1">
        <f t="shared" si="176"/>
        <v>0</v>
      </c>
      <c r="FV48" s="1">
        <f t="shared" si="176"/>
        <v>0</v>
      </c>
      <c r="FW48" s="1">
        <f t="shared" si="176"/>
        <v>0</v>
      </c>
      <c r="FX48" s="1">
        <f t="shared" si="176"/>
        <v>0</v>
      </c>
      <c r="FY48" s="1">
        <f t="shared" si="176"/>
        <v>0</v>
      </c>
      <c r="FZ48" s="1">
        <f t="shared" si="176"/>
        <v>0</v>
      </c>
      <c r="GA48" s="1">
        <f t="shared" si="176"/>
        <v>0</v>
      </c>
      <c r="GB48" s="1">
        <f t="shared" si="176"/>
        <v>0</v>
      </c>
      <c r="GC48" s="1">
        <f t="shared" si="176"/>
        <v>0</v>
      </c>
      <c r="GD48" s="1">
        <f t="shared" si="176"/>
        <v>0</v>
      </c>
      <c r="GE48" s="1">
        <f t="shared" si="176"/>
        <v>0</v>
      </c>
      <c r="GF48" s="1">
        <f t="shared" si="176"/>
        <v>0</v>
      </c>
      <c r="GG48" s="1">
        <f t="shared" si="176"/>
        <v>0</v>
      </c>
      <c r="GH48" s="1">
        <f t="shared" si="176"/>
        <v>0</v>
      </c>
      <c r="GI48" s="1">
        <f t="shared" si="176"/>
        <v>0</v>
      </c>
      <c r="GJ48" s="1">
        <f t="shared" si="176"/>
        <v>0</v>
      </c>
      <c r="GK48" s="1">
        <f t="shared" si="176"/>
        <v>0</v>
      </c>
      <c r="GL48" s="1">
        <f t="shared" si="176"/>
        <v>0</v>
      </c>
      <c r="GM48" s="1">
        <f t="shared" ref="GM48:IX48" si="177">GM32-GM13</f>
        <v>0</v>
      </c>
      <c r="GN48" s="1">
        <f t="shared" si="177"/>
        <v>0</v>
      </c>
      <c r="GO48" s="1">
        <f t="shared" si="177"/>
        <v>0</v>
      </c>
      <c r="GP48" s="1">
        <f t="shared" si="177"/>
        <v>0</v>
      </c>
      <c r="GQ48" s="1">
        <f t="shared" si="177"/>
        <v>0</v>
      </c>
      <c r="GR48" s="1">
        <f t="shared" si="177"/>
        <v>0</v>
      </c>
      <c r="GS48" s="1">
        <f t="shared" si="177"/>
        <v>0</v>
      </c>
      <c r="GT48" s="1">
        <f t="shared" si="177"/>
        <v>0</v>
      </c>
      <c r="GU48" s="1">
        <f t="shared" si="177"/>
        <v>0</v>
      </c>
      <c r="GV48" s="1">
        <f t="shared" si="177"/>
        <v>0</v>
      </c>
      <c r="GW48" s="1">
        <f t="shared" si="177"/>
        <v>0</v>
      </c>
      <c r="GX48" s="1">
        <f t="shared" si="177"/>
        <v>0</v>
      </c>
      <c r="GY48" s="1">
        <f t="shared" si="177"/>
        <v>0</v>
      </c>
      <c r="GZ48" s="1">
        <f t="shared" si="177"/>
        <v>0</v>
      </c>
      <c r="HA48" s="1">
        <f t="shared" si="177"/>
        <v>0</v>
      </c>
      <c r="HB48" s="1">
        <f t="shared" si="177"/>
        <v>0</v>
      </c>
      <c r="HC48" s="1">
        <f t="shared" si="177"/>
        <v>0</v>
      </c>
      <c r="HD48" s="1">
        <f t="shared" si="177"/>
        <v>0</v>
      </c>
      <c r="HE48" s="1">
        <f t="shared" si="177"/>
        <v>0</v>
      </c>
      <c r="HF48" s="1">
        <f t="shared" si="177"/>
        <v>0</v>
      </c>
      <c r="HG48" s="1">
        <f t="shared" si="177"/>
        <v>0</v>
      </c>
      <c r="HH48" s="1">
        <f t="shared" si="177"/>
        <v>0</v>
      </c>
      <c r="HI48" s="1">
        <f t="shared" si="177"/>
        <v>0</v>
      </c>
      <c r="HJ48" s="1">
        <f t="shared" si="177"/>
        <v>0</v>
      </c>
      <c r="HK48" s="1">
        <f t="shared" si="177"/>
        <v>0</v>
      </c>
      <c r="HL48" s="1">
        <f t="shared" si="177"/>
        <v>0</v>
      </c>
      <c r="HM48" s="1">
        <f t="shared" si="177"/>
        <v>0</v>
      </c>
      <c r="HN48" s="1">
        <f t="shared" si="177"/>
        <v>0</v>
      </c>
      <c r="HO48" s="1">
        <f t="shared" si="177"/>
        <v>0</v>
      </c>
      <c r="HP48" s="1">
        <f t="shared" si="177"/>
        <v>0</v>
      </c>
      <c r="HQ48" s="1">
        <f t="shared" si="177"/>
        <v>0</v>
      </c>
      <c r="HR48" s="1">
        <f t="shared" si="177"/>
        <v>0</v>
      </c>
      <c r="HS48" s="1">
        <f t="shared" si="177"/>
        <v>0</v>
      </c>
      <c r="HT48" s="1">
        <f t="shared" si="177"/>
        <v>0</v>
      </c>
      <c r="HU48" s="1">
        <f t="shared" si="177"/>
        <v>0</v>
      </c>
      <c r="HV48" s="1">
        <f t="shared" si="177"/>
        <v>0</v>
      </c>
      <c r="HW48" s="1">
        <f t="shared" si="177"/>
        <v>0</v>
      </c>
      <c r="HX48" s="1">
        <f t="shared" si="177"/>
        <v>0</v>
      </c>
      <c r="HY48" s="1">
        <f t="shared" si="177"/>
        <v>0</v>
      </c>
      <c r="HZ48" s="1">
        <f t="shared" si="177"/>
        <v>0</v>
      </c>
      <c r="IA48" s="1">
        <f t="shared" si="177"/>
        <v>0</v>
      </c>
      <c r="IB48" s="1">
        <f t="shared" si="177"/>
        <v>0</v>
      </c>
      <c r="IC48" s="1">
        <f t="shared" si="177"/>
        <v>0</v>
      </c>
      <c r="ID48" s="1">
        <f t="shared" si="177"/>
        <v>0</v>
      </c>
      <c r="IE48" s="1">
        <f t="shared" si="177"/>
        <v>0</v>
      </c>
      <c r="IF48" s="1">
        <f t="shared" si="177"/>
        <v>0</v>
      </c>
      <c r="IG48" s="1">
        <f t="shared" si="177"/>
        <v>0</v>
      </c>
      <c r="IH48" s="1">
        <f t="shared" si="177"/>
        <v>0</v>
      </c>
      <c r="II48" s="1">
        <f t="shared" si="177"/>
        <v>0</v>
      </c>
      <c r="IJ48" s="1">
        <f t="shared" si="177"/>
        <v>0</v>
      </c>
      <c r="IK48" s="1">
        <f t="shared" si="177"/>
        <v>0</v>
      </c>
      <c r="IL48" s="1">
        <f t="shared" si="177"/>
        <v>0</v>
      </c>
      <c r="IM48" s="1">
        <f t="shared" si="177"/>
        <v>0</v>
      </c>
      <c r="IN48" s="1">
        <f t="shared" si="177"/>
        <v>0</v>
      </c>
      <c r="IO48" s="1">
        <f t="shared" si="177"/>
        <v>0</v>
      </c>
      <c r="IP48" s="1">
        <f t="shared" si="177"/>
        <v>0</v>
      </c>
      <c r="IQ48" s="1">
        <f t="shared" si="177"/>
        <v>0</v>
      </c>
      <c r="IR48" s="1">
        <f t="shared" si="177"/>
        <v>0</v>
      </c>
      <c r="IS48" s="1">
        <f t="shared" si="177"/>
        <v>0</v>
      </c>
      <c r="IT48" s="1">
        <f t="shared" si="177"/>
        <v>0</v>
      </c>
      <c r="IU48" s="1">
        <f t="shared" si="177"/>
        <v>0</v>
      </c>
      <c r="IV48" s="1">
        <f t="shared" si="177"/>
        <v>0</v>
      </c>
      <c r="IW48" s="1">
        <f t="shared" si="177"/>
        <v>0</v>
      </c>
      <c r="IX48" s="1">
        <f t="shared" si="177"/>
        <v>0</v>
      </c>
      <c r="IY48" s="1">
        <f t="shared" ref="IY48:LJ48" si="178">IY32-IY13</f>
        <v>0</v>
      </c>
      <c r="IZ48" s="1">
        <f t="shared" si="178"/>
        <v>0</v>
      </c>
      <c r="JA48" s="1">
        <f t="shared" si="178"/>
        <v>0</v>
      </c>
      <c r="JB48" s="1">
        <f t="shared" si="178"/>
        <v>0</v>
      </c>
      <c r="JC48" s="1">
        <f t="shared" si="178"/>
        <v>0</v>
      </c>
      <c r="JD48" s="1">
        <f t="shared" si="178"/>
        <v>0</v>
      </c>
      <c r="JE48" s="1">
        <f t="shared" si="178"/>
        <v>0</v>
      </c>
      <c r="JF48" s="1">
        <f t="shared" si="178"/>
        <v>0</v>
      </c>
      <c r="JG48" s="1">
        <f t="shared" si="178"/>
        <v>0</v>
      </c>
      <c r="JH48" s="1">
        <f t="shared" si="178"/>
        <v>0</v>
      </c>
      <c r="JI48" s="1">
        <f t="shared" si="178"/>
        <v>0</v>
      </c>
      <c r="JJ48" s="1">
        <f t="shared" si="178"/>
        <v>0</v>
      </c>
      <c r="JK48" s="1">
        <f t="shared" si="178"/>
        <v>0</v>
      </c>
      <c r="JL48" s="1">
        <f t="shared" si="178"/>
        <v>0</v>
      </c>
      <c r="JM48" s="1">
        <f t="shared" si="178"/>
        <v>0</v>
      </c>
      <c r="JN48" s="1">
        <f t="shared" si="178"/>
        <v>0</v>
      </c>
      <c r="JO48" s="1">
        <f t="shared" si="178"/>
        <v>0</v>
      </c>
      <c r="JP48" s="1">
        <f t="shared" si="178"/>
        <v>0</v>
      </c>
      <c r="JQ48" s="1">
        <f t="shared" si="178"/>
        <v>0</v>
      </c>
      <c r="JR48" s="1">
        <f t="shared" si="178"/>
        <v>0</v>
      </c>
      <c r="JS48" s="1">
        <f t="shared" si="178"/>
        <v>0</v>
      </c>
      <c r="JT48" s="1">
        <f t="shared" si="178"/>
        <v>0</v>
      </c>
      <c r="JU48" s="1">
        <f t="shared" si="178"/>
        <v>0</v>
      </c>
      <c r="JV48" s="1">
        <f t="shared" si="178"/>
        <v>0</v>
      </c>
      <c r="JW48" s="1">
        <f t="shared" si="178"/>
        <v>0</v>
      </c>
      <c r="JX48" s="1">
        <f t="shared" si="178"/>
        <v>0</v>
      </c>
      <c r="JY48" s="1">
        <f t="shared" si="178"/>
        <v>0</v>
      </c>
      <c r="JZ48" s="1">
        <f t="shared" si="178"/>
        <v>0</v>
      </c>
      <c r="KA48" s="1">
        <f t="shared" si="178"/>
        <v>0</v>
      </c>
      <c r="KB48" s="1">
        <f t="shared" si="178"/>
        <v>0</v>
      </c>
      <c r="KC48" s="1">
        <f t="shared" si="178"/>
        <v>0</v>
      </c>
      <c r="KD48" s="1">
        <f t="shared" si="178"/>
        <v>0</v>
      </c>
      <c r="KE48" s="1">
        <f t="shared" si="178"/>
        <v>0</v>
      </c>
      <c r="KF48" s="1">
        <f t="shared" si="178"/>
        <v>0</v>
      </c>
      <c r="KG48" s="1">
        <f t="shared" si="178"/>
        <v>0</v>
      </c>
      <c r="KH48" s="1">
        <f t="shared" si="178"/>
        <v>0</v>
      </c>
      <c r="KI48" s="1">
        <f t="shared" si="178"/>
        <v>0</v>
      </c>
      <c r="KJ48" s="1">
        <f t="shared" si="178"/>
        <v>0</v>
      </c>
      <c r="KK48" s="1">
        <f t="shared" si="178"/>
        <v>0</v>
      </c>
      <c r="KL48" s="1">
        <f t="shared" si="178"/>
        <v>0</v>
      </c>
      <c r="KM48" s="1">
        <f t="shared" si="178"/>
        <v>0</v>
      </c>
      <c r="KN48" s="1">
        <f t="shared" si="178"/>
        <v>0</v>
      </c>
      <c r="KO48" s="1">
        <f t="shared" si="178"/>
        <v>0</v>
      </c>
      <c r="KP48" s="1">
        <f t="shared" si="178"/>
        <v>0</v>
      </c>
      <c r="KQ48" s="1">
        <f t="shared" si="178"/>
        <v>0</v>
      </c>
      <c r="KR48" s="1">
        <f t="shared" si="178"/>
        <v>0</v>
      </c>
      <c r="KS48" s="1">
        <f t="shared" si="178"/>
        <v>0</v>
      </c>
      <c r="KT48" s="1">
        <f t="shared" si="178"/>
        <v>0</v>
      </c>
      <c r="KU48" s="1">
        <f t="shared" si="178"/>
        <v>0</v>
      </c>
      <c r="KV48" s="1">
        <f t="shared" si="178"/>
        <v>0</v>
      </c>
      <c r="KW48" s="1">
        <f t="shared" si="178"/>
        <v>0</v>
      </c>
      <c r="KX48" s="1">
        <f t="shared" si="178"/>
        <v>0</v>
      </c>
      <c r="KY48" s="1">
        <f t="shared" si="178"/>
        <v>0</v>
      </c>
      <c r="KZ48" s="1">
        <f t="shared" si="178"/>
        <v>0</v>
      </c>
      <c r="LA48" s="1">
        <f t="shared" si="178"/>
        <v>0</v>
      </c>
      <c r="LB48" s="1">
        <f t="shared" si="178"/>
        <v>0</v>
      </c>
      <c r="LC48" s="1">
        <f t="shared" si="178"/>
        <v>0</v>
      </c>
      <c r="LD48" s="1">
        <f t="shared" si="178"/>
        <v>0</v>
      </c>
      <c r="LE48" s="1">
        <f t="shared" si="178"/>
        <v>0</v>
      </c>
      <c r="LF48" s="1">
        <f t="shared" si="178"/>
        <v>0</v>
      </c>
      <c r="LG48" s="1">
        <f t="shared" si="178"/>
        <v>0</v>
      </c>
      <c r="LH48" s="1">
        <f t="shared" si="178"/>
        <v>0</v>
      </c>
      <c r="LI48" s="1">
        <f t="shared" si="178"/>
        <v>0</v>
      </c>
      <c r="LJ48" s="1">
        <f t="shared" si="178"/>
        <v>0</v>
      </c>
      <c r="LK48" s="1">
        <f t="shared" ref="LK48:NV48" si="179">LK32-LK13</f>
        <v>0</v>
      </c>
      <c r="LL48" s="1">
        <f t="shared" si="179"/>
        <v>0</v>
      </c>
      <c r="LM48" s="1">
        <f t="shared" si="179"/>
        <v>0</v>
      </c>
      <c r="LN48" s="1">
        <f t="shared" si="179"/>
        <v>0</v>
      </c>
      <c r="LO48" s="1">
        <f t="shared" si="179"/>
        <v>0</v>
      </c>
      <c r="LP48" s="1">
        <f t="shared" si="179"/>
        <v>0</v>
      </c>
      <c r="LQ48" s="1">
        <f t="shared" si="179"/>
        <v>0</v>
      </c>
      <c r="LR48" s="1">
        <f t="shared" si="179"/>
        <v>0</v>
      </c>
      <c r="LS48" s="1">
        <f t="shared" si="179"/>
        <v>0</v>
      </c>
      <c r="LT48" s="1">
        <f t="shared" si="179"/>
        <v>0</v>
      </c>
      <c r="LU48" s="1">
        <f t="shared" si="179"/>
        <v>0</v>
      </c>
      <c r="LV48" s="1">
        <f t="shared" si="179"/>
        <v>0</v>
      </c>
      <c r="LW48" s="1">
        <f t="shared" si="179"/>
        <v>0</v>
      </c>
      <c r="LX48" s="1">
        <f t="shared" si="179"/>
        <v>0</v>
      </c>
      <c r="LY48" s="1">
        <f t="shared" si="179"/>
        <v>0</v>
      </c>
      <c r="LZ48" s="1">
        <f t="shared" si="179"/>
        <v>0</v>
      </c>
      <c r="MA48" s="1">
        <f t="shared" si="179"/>
        <v>0</v>
      </c>
      <c r="MB48" s="1">
        <f t="shared" si="179"/>
        <v>0</v>
      </c>
      <c r="MC48" s="1">
        <f t="shared" si="179"/>
        <v>0</v>
      </c>
      <c r="MD48" s="1">
        <f t="shared" si="179"/>
        <v>0</v>
      </c>
      <c r="ME48" s="1">
        <f t="shared" si="179"/>
        <v>0</v>
      </c>
      <c r="MF48" s="1">
        <f t="shared" si="179"/>
        <v>0</v>
      </c>
      <c r="MG48" s="1">
        <f t="shared" si="179"/>
        <v>0</v>
      </c>
      <c r="MH48" s="1">
        <f t="shared" si="179"/>
        <v>0</v>
      </c>
      <c r="MI48" s="1">
        <f t="shared" si="179"/>
        <v>0</v>
      </c>
      <c r="MJ48" s="1">
        <f t="shared" si="179"/>
        <v>0</v>
      </c>
      <c r="MK48" s="1">
        <f t="shared" si="179"/>
        <v>0</v>
      </c>
      <c r="ML48" s="1">
        <f t="shared" si="179"/>
        <v>0</v>
      </c>
      <c r="MM48" s="1">
        <f t="shared" si="179"/>
        <v>0</v>
      </c>
      <c r="MN48" s="1">
        <f t="shared" si="179"/>
        <v>0</v>
      </c>
      <c r="MO48" s="1">
        <f t="shared" si="179"/>
        <v>0</v>
      </c>
      <c r="MP48" s="1">
        <f t="shared" si="179"/>
        <v>0</v>
      </c>
      <c r="MQ48" s="1">
        <f t="shared" si="179"/>
        <v>0</v>
      </c>
      <c r="MR48" s="1">
        <f t="shared" si="179"/>
        <v>0</v>
      </c>
      <c r="MS48" s="1">
        <f t="shared" si="179"/>
        <v>0</v>
      </c>
      <c r="MT48" s="1">
        <f t="shared" si="179"/>
        <v>0</v>
      </c>
      <c r="MU48" s="1">
        <f t="shared" si="179"/>
        <v>0</v>
      </c>
      <c r="MV48" s="1">
        <f t="shared" si="179"/>
        <v>0</v>
      </c>
      <c r="MW48" s="1">
        <f t="shared" si="179"/>
        <v>0</v>
      </c>
      <c r="MX48" s="1">
        <f t="shared" si="179"/>
        <v>0</v>
      </c>
      <c r="MY48" s="1">
        <f t="shared" si="179"/>
        <v>0</v>
      </c>
      <c r="MZ48" s="1">
        <f t="shared" si="179"/>
        <v>0</v>
      </c>
      <c r="NA48" s="1">
        <f t="shared" si="179"/>
        <v>0</v>
      </c>
      <c r="NB48" s="1">
        <f t="shared" si="179"/>
        <v>0</v>
      </c>
      <c r="NC48" s="1">
        <f t="shared" si="179"/>
        <v>0</v>
      </c>
      <c r="ND48" s="1">
        <f t="shared" si="179"/>
        <v>0</v>
      </c>
      <c r="NE48" s="1">
        <f t="shared" si="179"/>
        <v>0</v>
      </c>
      <c r="NF48" s="1">
        <f t="shared" si="179"/>
        <v>0</v>
      </c>
      <c r="NG48" s="1">
        <f t="shared" si="179"/>
        <v>0</v>
      </c>
      <c r="NH48" s="1">
        <f t="shared" si="179"/>
        <v>0</v>
      </c>
      <c r="NI48" s="1">
        <f t="shared" si="179"/>
        <v>0</v>
      </c>
      <c r="NJ48" s="1">
        <f t="shared" si="179"/>
        <v>0</v>
      </c>
      <c r="NK48" s="1">
        <f t="shared" si="179"/>
        <v>0</v>
      </c>
      <c r="NL48" s="1">
        <f t="shared" si="179"/>
        <v>0</v>
      </c>
      <c r="NM48" s="1">
        <f t="shared" si="179"/>
        <v>0</v>
      </c>
      <c r="NN48" s="1">
        <f t="shared" si="179"/>
        <v>0</v>
      </c>
      <c r="NO48" s="1">
        <f t="shared" si="179"/>
        <v>0</v>
      </c>
      <c r="NP48" s="1">
        <f t="shared" si="179"/>
        <v>0</v>
      </c>
      <c r="NQ48" s="1">
        <f t="shared" si="179"/>
        <v>0</v>
      </c>
      <c r="NR48" s="1">
        <f t="shared" si="179"/>
        <v>0</v>
      </c>
      <c r="NS48" s="1">
        <f t="shared" si="179"/>
        <v>0</v>
      </c>
      <c r="NT48" s="1">
        <f t="shared" si="179"/>
        <v>0</v>
      </c>
      <c r="NU48" s="1">
        <f t="shared" si="179"/>
        <v>0</v>
      </c>
      <c r="NV48" s="1">
        <f t="shared" si="179"/>
        <v>0</v>
      </c>
      <c r="NW48" s="1">
        <f t="shared" ref="NW48:QH48" si="180">NW32-NW13</f>
        <v>0</v>
      </c>
      <c r="NX48" s="1">
        <f t="shared" si="180"/>
        <v>0</v>
      </c>
      <c r="NY48" s="1">
        <f t="shared" si="180"/>
        <v>0</v>
      </c>
      <c r="NZ48" s="1">
        <f t="shared" si="180"/>
        <v>0</v>
      </c>
      <c r="OA48" s="1">
        <f t="shared" si="180"/>
        <v>0</v>
      </c>
      <c r="OB48" s="1">
        <f t="shared" si="180"/>
        <v>0</v>
      </c>
      <c r="OC48" s="1">
        <f t="shared" si="180"/>
        <v>0</v>
      </c>
      <c r="OD48" s="1">
        <f t="shared" si="180"/>
        <v>0</v>
      </c>
      <c r="OE48" s="1">
        <f t="shared" si="180"/>
        <v>0</v>
      </c>
      <c r="OF48" s="1">
        <f t="shared" si="180"/>
        <v>0</v>
      </c>
      <c r="OG48" s="1">
        <f t="shared" si="180"/>
        <v>0</v>
      </c>
      <c r="OH48" s="1">
        <f t="shared" si="180"/>
        <v>0</v>
      </c>
      <c r="OI48" s="1">
        <f t="shared" si="180"/>
        <v>0</v>
      </c>
      <c r="OJ48" s="1">
        <f t="shared" si="180"/>
        <v>0</v>
      </c>
      <c r="OK48" s="1">
        <f t="shared" si="180"/>
        <v>0</v>
      </c>
      <c r="OL48" s="1">
        <f t="shared" si="180"/>
        <v>0</v>
      </c>
      <c r="OM48" s="1">
        <f t="shared" si="180"/>
        <v>0</v>
      </c>
      <c r="ON48" s="1">
        <f t="shared" si="180"/>
        <v>0</v>
      </c>
      <c r="OO48" s="1">
        <f t="shared" si="180"/>
        <v>0</v>
      </c>
      <c r="OP48" s="1">
        <f t="shared" si="180"/>
        <v>0</v>
      </c>
      <c r="OQ48" s="1">
        <f t="shared" si="180"/>
        <v>0</v>
      </c>
      <c r="OR48" s="1">
        <f t="shared" si="180"/>
        <v>0</v>
      </c>
      <c r="OS48" s="1">
        <f t="shared" si="180"/>
        <v>0</v>
      </c>
      <c r="OT48" s="1">
        <f t="shared" si="180"/>
        <v>0</v>
      </c>
      <c r="OU48" s="1">
        <f t="shared" si="180"/>
        <v>0</v>
      </c>
      <c r="OV48" s="1">
        <f t="shared" si="180"/>
        <v>0</v>
      </c>
      <c r="OW48" s="1">
        <f t="shared" si="180"/>
        <v>0</v>
      </c>
      <c r="OX48" s="1">
        <f t="shared" si="180"/>
        <v>0</v>
      </c>
      <c r="OY48" s="1">
        <f t="shared" si="180"/>
        <v>0</v>
      </c>
      <c r="OZ48" s="1">
        <f t="shared" si="180"/>
        <v>0</v>
      </c>
      <c r="PA48" s="1">
        <f t="shared" si="180"/>
        <v>0</v>
      </c>
      <c r="PB48" s="1">
        <f t="shared" si="180"/>
        <v>0</v>
      </c>
      <c r="PC48" s="1">
        <f t="shared" si="180"/>
        <v>0</v>
      </c>
      <c r="PD48" s="1">
        <f t="shared" si="180"/>
        <v>0</v>
      </c>
      <c r="PE48" s="1">
        <f t="shared" si="180"/>
        <v>0</v>
      </c>
      <c r="PF48" s="1">
        <f t="shared" si="180"/>
        <v>0</v>
      </c>
      <c r="PG48" s="1">
        <f t="shared" si="180"/>
        <v>0</v>
      </c>
      <c r="PH48" s="1">
        <f t="shared" si="180"/>
        <v>0</v>
      </c>
      <c r="PI48" s="1">
        <f t="shared" si="180"/>
        <v>0</v>
      </c>
      <c r="PJ48" s="1">
        <f t="shared" si="180"/>
        <v>0</v>
      </c>
      <c r="PK48" s="1">
        <f t="shared" si="180"/>
        <v>0</v>
      </c>
      <c r="PL48" s="1">
        <f t="shared" si="180"/>
        <v>0</v>
      </c>
      <c r="PM48" s="1">
        <f t="shared" si="180"/>
        <v>0</v>
      </c>
      <c r="PN48" s="1">
        <f t="shared" si="180"/>
        <v>0</v>
      </c>
      <c r="PO48" s="1">
        <f t="shared" si="180"/>
        <v>0</v>
      </c>
      <c r="PP48" s="1">
        <f t="shared" si="180"/>
        <v>0</v>
      </c>
      <c r="PQ48" s="1">
        <f t="shared" si="180"/>
        <v>0</v>
      </c>
      <c r="PR48" s="1">
        <f t="shared" si="180"/>
        <v>0</v>
      </c>
      <c r="PS48" s="1">
        <f t="shared" si="180"/>
        <v>0</v>
      </c>
      <c r="PT48" s="1">
        <f t="shared" si="180"/>
        <v>0</v>
      </c>
      <c r="PU48" s="1">
        <f t="shared" si="180"/>
        <v>0</v>
      </c>
      <c r="PV48" s="1">
        <f t="shared" si="180"/>
        <v>0</v>
      </c>
      <c r="PW48" s="1">
        <f t="shared" si="180"/>
        <v>0</v>
      </c>
      <c r="PX48" s="1">
        <f t="shared" si="180"/>
        <v>0</v>
      </c>
      <c r="PY48" s="1">
        <f t="shared" si="180"/>
        <v>0</v>
      </c>
      <c r="PZ48" s="1">
        <f t="shared" si="180"/>
        <v>0</v>
      </c>
      <c r="QA48" s="1">
        <f t="shared" si="180"/>
        <v>0</v>
      </c>
      <c r="QB48" s="1">
        <f t="shared" si="180"/>
        <v>0</v>
      </c>
      <c r="QC48" s="1">
        <f t="shared" si="180"/>
        <v>0</v>
      </c>
      <c r="QD48" s="1">
        <f t="shared" si="180"/>
        <v>0</v>
      </c>
      <c r="QE48" s="1">
        <f t="shared" si="180"/>
        <v>0</v>
      </c>
      <c r="QF48" s="1">
        <f t="shared" si="180"/>
        <v>0</v>
      </c>
      <c r="QG48" s="1">
        <f t="shared" si="180"/>
        <v>0</v>
      </c>
      <c r="QH48" s="1">
        <f t="shared" si="180"/>
        <v>0</v>
      </c>
      <c r="QI48" s="1">
        <f t="shared" ref="QI48:SG48" si="181">QI32-QI13</f>
        <v>0</v>
      </c>
      <c r="QJ48" s="1">
        <f t="shared" si="181"/>
        <v>0</v>
      </c>
      <c r="QK48" s="1">
        <f t="shared" si="181"/>
        <v>0</v>
      </c>
      <c r="QL48" s="1">
        <f t="shared" si="181"/>
        <v>0</v>
      </c>
      <c r="QM48" s="1">
        <f t="shared" si="181"/>
        <v>0</v>
      </c>
      <c r="QN48" s="1">
        <f t="shared" si="181"/>
        <v>0</v>
      </c>
      <c r="QO48" s="1">
        <f t="shared" si="181"/>
        <v>0</v>
      </c>
      <c r="QP48" s="1">
        <f t="shared" si="181"/>
        <v>0</v>
      </c>
      <c r="QQ48" s="1">
        <f t="shared" si="181"/>
        <v>0</v>
      </c>
      <c r="QR48" s="1">
        <f t="shared" si="181"/>
        <v>0</v>
      </c>
      <c r="QS48" s="1">
        <f t="shared" si="181"/>
        <v>0</v>
      </c>
      <c r="QT48" s="1">
        <f t="shared" si="181"/>
        <v>0</v>
      </c>
      <c r="QU48" s="1">
        <f t="shared" si="181"/>
        <v>0</v>
      </c>
      <c r="QV48" s="1">
        <f t="shared" si="181"/>
        <v>0</v>
      </c>
      <c r="QW48" s="1">
        <f t="shared" si="181"/>
        <v>0</v>
      </c>
      <c r="QX48" s="1">
        <f t="shared" si="181"/>
        <v>0</v>
      </c>
      <c r="QY48" s="1">
        <f t="shared" si="181"/>
        <v>0</v>
      </c>
      <c r="QZ48" s="1">
        <f t="shared" si="181"/>
        <v>0</v>
      </c>
      <c r="RA48" s="1">
        <f t="shared" si="181"/>
        <v>0</v>
      </c>
      <c r="RB48" s="1">
        <f t="shared" si="181"/>
        <v>0</v>
      </c>
      <c r="RC48" s="1">
        <f t="shared" si="181"/>
        <v>0</v>
      </c>
      <c r="RD48" s="1">
        <f t="shared" si="181"/>
        <v>0</v>
      </c>
      <c r="RE48" s="1">
        <f t="shared" si="181"/>
        <v>0</v>
      </c>
      <c r="RF48" s="1">
        <f t="shared" si="181"/>
        <v>0</v>
      </c>
      <c r="RG48" s="1">
        <f t="shared" si="181"/>
        <v>0</v>
      </c>
      <c r="RH48" s="1">
        <f t="shared" si="181"/>
        <v>0</v>
      </c>
      <c r="RI48" s="1">
        <f t="shared" si="181"/>
        <v>0</v>
      </c>
      <c r="RJ48" s="1">
        <f t="shared" si="181"/>
        <v>0</v>
      </c>
      <c r="RK48" s="1">
        <f t="shared" si="181"/>
        <v>0</v>
      </c>
      <c r="RL48" s="1">
        <f t="shared" si="181"/>
        <v>0</v>
      </c>
      <c r="RM48" s="1">
        <f t="shared" si="181"/>
        <v>0</v>
      </c>
      <c r="RN48" s="1">
        <f t="shared" si="181"/>
        <v>0</v>
      </c>
      <c r="RO48" s="1">
        <f t="shared" si="181"/>
        <v>0</v>
      </c>
      <c r="RP48" s="1">
        <f t="shared" si="181"/>
        <v>0</v>
      </c>
      <c r="RQ48" s="1">
        <f t="shared" si="181"/>
        <v>0</v>
      </c>
      <c r="RR48" s="1">
        <f t="shared" si="181"/>
        <v>0</v>
      </c>
      <c r="RS48" s="1">
        <f t="shared" si="181"/>
        <v>0</v>
      </c>
      <c r="RT48" s="1">
        <f t="shared" si="181"/>
        <v>0</v>
      </c>
      <c r="RU48" s="1">
        <f t="shared" si="181"/>
        <v>0</v>
      </c>
      <c r="RV48" s="1">
        <f t="shared" si="181"/>
        <v>0</v>
      </c>
      <c r="RW48" s="1">
        <f t="shared" si="181"/>
        <v>0</v>
      </c>
      <c r="RX48" s="1">
        <f t="shared" si="181"/>
        <v>0</v>
      </c>
      <c r="RY48" s="1">
        <f t="shared" si="181"/>
        <v>0</v>
      </c>
      <c r="RZ48" s="1">
        <f t="shared" si="181"/>
        <v>0</v>
      </c>
      <c r="SA48" s="1">
        <f t="shared" si="181"/>
        <v>0</v>
      </c>
      <c r="SB48" s="1">
        <f t="shared" si="181"/>
        <v>0</v>
      </c>
      <c r="SC48" s="1">
        <f t="shared" si="181"/>
        <v>0</v>
      </c>
      <c r="SD48" s="1">
        <f t="shared" si="181"/>
        <v>0</v>
      </c>
      <c r="SE48" s="1">
        <f t="shared" si="181"/>
        <v>0</v>
      </c>
      <c r="SF48" s="1">
        <f t="shared" si="181"/>
        <v>0</v>
      </c>
      <c r="SG48" s="1">
        <f t="shared" si="181"/>
        <v>0</v>
      </c>
      <c r="SH48" s="1">
        <f t="shared" ref="SH48:US48" si="182">SH32-SH13</f>
        <v>0</v>
      </c>
      <c r="SI48" s="1">
        <f t="shared" si="182"/>
        <v>0</v>
      </c>
      <c r="SJ48" s="1">
        <f t="shared" si="182"/>
        <v>0</v>
      </c>
      <c r="SK48" s="1">
        <f t="shared" si="182"/>
        <v>0</v>
      </c>
      <c r="SL48" s="1">
        <f t="shared" si="182"/>
        <v>0</v>
      </c>
      <c r="SM48" s="1">
        <f t="shared" si="182"/>
        <v>0</v>
      </c>
      <c r="SN48" s="1">
        <f t="shared" si="182"/>
        <v>0</v>
      </c>
      <c r="SO48" s="1">
        <f t="shared" si="182"/>
        <v>0</v>
      </c>
      <c r="SP48" s="1">
        <f t="shared" si="182"/>
        <v>0</v>
      </c>
      <c r="SQ48" s="1">
        <f t="shared" si="182"/>
        <v>0</v>
      </c>
      <c r="SR48" s="1">
        <f t="shared" si="182"/>
        <v>0</v>
      </c>
      <c r="SS48" s="1">
        <f t="shared" si="182"/>
        <v>0</v>
      </c>
      <c r="ST48" s="1">
        <f t="shared" si="182"/>
        <v>0</v>
      </c>
      <c r="SU48" s="1">
        <f t="shared" si="182"/>
        <v>0</v>
      </c>
      <c r="SV48" s="1">
        <f t="shared" si="182"/>
        <v>0</v>
      </c>
      <c r="SW48" s="1">
        <f t="shared" si="182"/>
        <v>0</v>
      </c>
      <c r="SX48" s="1">
        <f t="shared" si="182"/>
        <v>0</v>
      </c>
      <c r="SY48" s="1">
        <f t="shared" si="182"/>
        <v>0</v>
      </c>
      <c r="SZ48" s="1">
        <f t="shared" si="182"/>
        <v>0</v>
      </c>
      <c r="TA48" s="1">
        <f t="shared" si="182"/>
        <v>0</v>
      </c>
      <c r="TB48" s="1">
        <f t="shared" si="182"/>
        <v>0</v>
      </c>
      <c r="TC48" s="1">
        <f t="shared" si="182"/>
        <v>0</v>
      </c>
      <c r="TD48" s="1">
        <f t="shared" si="182"/>
        <v>0</v>
      </c>
      <c r="TE48" s="1">
        <f t="shared" si="182"/>
        <v>0</v>
      </c>
      <c r="TF48" s="1">
        <f t="shared" si="182"/>
        <v>0</v>
      </c>
      <c r="TG48" s="1">
        <f t="shared" si="182"/>
        <v>0</v>
      </c>
      <c r="TH48" s="1">
        <f t="shared" si="182"/>
        <v>0</v>
      </c>
      <c r="TI48" s="1">
        <f t="shared" si="182"/>
        <v>0</v>
      </c>
      <c r="TJ48" s="1">
        <f t="shared" si="182"/>
        <v>0</v>
      </c>
      <c r="TK48" s="1">
        <f t="shared" si="182"/>
        <v>0</v>
      </c>
      <c r="TL48" s="1">
        <f t="shared" si="182"/>
        <v>0</v>
      </c>
      <c r="TM48" s="1">
        <f t="shared" si="182"/>
        <v>0</v>
      </c>
      <c r="TN48" s="1">
        <f t="shared" si="182"/>
        <v>0</v>
      </c>
      <c r="TO48" s="1">
        <f t="shared" si="182"/>
        <v>0</v>
      </c>
      <c r="TP48" s="1">
        <f t="shared" si="182"/>
        <v>0</v>
      </c>
      <c r="TQ48" s="1">
        <f t="shared" si="182"/>
        <v>0</v>
      </c>
      <c r="TR48" s="1">
        <f t="shared" si="182"/>
        <v>0</v>
      </c>
      <c r="TS48" s="1">
        <f t="shared" si="182"/>
        <v>0</v>
      </c>
      <c r="TT48" s="1">
        <f t="shared" si="182"/>
        <v>0</v>
      </c>
      <c r="TU48" s="1">
        <f t="shared" si="182"/>
        <v>0</v>
      </c>
      <c r="TV48" s="1">
        <f t="shared" si="182"/>
        <v>0</v>
      </c>
      <c r="TW48" s="1">
        <f t="shared" si="182"/>
        <v>0</v>
      </c>
      <c r="TX48" s="1">
        <f t="shared" si="182"/>
        <v>0</v>
      </c>
      <c r="TY48" s="1">
        <f t="shared" si="182"/>
        <v>0</v>
      </c>
      <c r="TZ48" s="1">
        <f t="shared" si="182"/>
        <v>0</v>
      </c>
      <c r="UA48" s="1">
        <f t="shared" si="182"/>
        <v>0</v>
      </c>
      <c r="UB48" s="1">
        <f t="shared" si="182"/>
        <v>0</v>
      </c>
      <c r="UC48" s="1">
        <f t="shared" si="182"/>
        <v>0</v>
      </c>
      <c r="UD48" s="1">
        <f t="shared" si="182"/>
        <v>0</v>
      </c>
      <c r="UE48" s="1">
        <f t="shared" si="182"/>
        <v>0</v>
      </c>
      <c r="UF48" s="1">
        <f t="shared" si="182"/>
        <v>0</v>
      </c>
      <c r="UG48" s="1">
        <f t="shared" si="182"/>
        <v>0</v>
      </c>
      <c r="UH48" s="1">
        <f t="shared" si="182"/>
        <v>0</v>
      </c>
      <c r="UI48" s="1">
        <f t="shared" si="182"/>
        <v>0</v>
      </c>
      <c r="UJ48" s="1">
        <f t="shared" si="182"/>
        <v>0</v>
      </c>
      <c r="UK48" s="1">
        <f t="shared" si="182"/>
        <v>0</v>
      </c>
      <c r="UL48" s="1">
        <f t="shared" si="182"/>
        <v>0</v>
      </c>
      <c r="UM48" s="1">
        <f t="shared" si="182"/>
        <v>0</v>
      </c>
      <c r="UN48" s="1">
        <f t="shared" si="182"/>
        <v>0</v>
      </c>
      <c r="UO48" s="1">
        <f t="shared" si="182"/>
        <v>0</v>
      </c>
      <c r="UP48" s="1">
        <f t="shared" si="182"/>
        <v>0</v>
      </c>
      <c r="UQ48" s="1">
        <f t="shared" si="182"/>
        <v>0</v>
      </c>
      <c r="UR48" s="1">
        <f t="shared" si="182"/>
        <v>0</v>
      </c>
      <c r="US48" s="1">
        <f t="shared" si="182"/>
        <v>0</v>
      </c>
      <c r="UT48" s="1">
        <f t="shared" ref="UT48:XE48" si="183">UT32-UT13</f>
        <v>0</v>
      </c>
      <c r="UU48" s="1">
        <f t="shared" si="183"/>
        <v>0</v>
      </c>
      <c r="UV48" s="1">
        <f t="shared" si="183"/>
        <v>0</v>
      </c>
      <c r="UW48" s="1">
        <f t="shared" si="183"/>
        <v>0</v>
      </c>
      <c r="UX48" s="1">
        <f t="shared" si="183"/>
        <v>0</v>
      </c>
      <c r="UY48" s="1">
        <f t="shared" si="183"/>
        <v>0</v>
      </c>
      <c r="UZ48" s="1">
        <f t="shared" si="183"/>
        <v>0</v>
      </c>
      <c r="VA48" s="1">
        <f t="shared" si="183"/>
        <v>0</v>
      </c>
      <c r="VB48" s="1">
        <f t="shared" si="183"/>
        <v>0</v>
      </c>
      <c r="VC48" s="1">
        <f t="shared" si="183"/>
        <v>0</v>
      </c>
      <c r="VD48" s="1">
        <f t="shared" si="183"/>
        <v>0</v>
      </c>
      <c r="VE48" s="1">
        <f t="shared" si="183"/>
        <v>0</v>
      </c>
      <c r="VF48" s="1">
        <f t="shared" si="183"/>
        <v>0</v>
      </c>
      <c r="VG48" s="1">
        <f t="shared" si="183"/>
        <v>0</v>
      </c>
      <c r="VH48" s="1">
        <f t="shared" si="183"/>
        <v>0</v>
      </c>
      <c r="VI48" s="1">
        <f t="shared" si="183"/>
        <v>0</v>
      </c>
      <c r="VJ48" s="1">
        <f t="shared" si="183"/>
        <v>0</v>
      </c>
      <c r="VK48" s="1">
        <f t="shared" si="183"/>
        <v>0</v>
      </c>
      <c r="VL48" s="1">
        <f t="shared" si="183"/>
        <v>0</v>
      </c>
      <c r="VM48" s="1">
        <f t="shared" si="183"/>
        <v>0</v>
      </c>
      <c r="VN48" s="1">
        <f t="shared" si="183"/>
        <v>0</v>
      </c>
      <c r="VO48" s="1">
        <f t="shared" si="183"/>
        <v>0</v>
      </c>
      <c r="VP48" s="1">
        <f t="shared" si="183"/>
        <v>0</v>
      </c>
      <c r="VQ48" s="1">
        <f t="shared" si="183"/>
        <v>0</v>
      </c>
      <c r="VR48" s="1">
        <f t="shared" si="183"/>
        <v>0</v>
      </c>
      <c r="VS48" s="1">
        <f t="shared" si="183"/>
        <v>0</v>
      </c>
      <c r="VT48" s="1">
        <f t="shared" si="183"/>
        <v>0</v>
      </c>
      <c r="VU48" s="1">
        <f t="shared" si="183"/>
        <v>0</v>
      </c>
      <c r="VV48" s="1">
        <f t="shared" si="183"/>
        <v>0</v>
      </c>
      <c r="VW48" s="1">
        <f t="shared" si="183"/>
        <v>0</v>
      </c>
      <c r="VX48" s="1">
        <f t="shared" si="183"/>
        <v>0</v>
      </c>
      <c r="VY48" s="1">
        <f t="shared" si="183"/>
        <v>0</v>
      </c>
      <c r="VZ48" s="1">
        <f t="shared" si="183"/>
        <v>0</v>
      </c>
      <c r="WA48" s="1">
        <f t="shared" si="183"/>
        <v>0</v>
      </c>
      <c r="WB48" s="1">
        <f t="shared" si="183"/>
        <v>0</v>
      </c>
      <c r="WC48" s="1">
        <f t="shared" si="183"/>
        <v>0</v>
      </c>
      <c r="WD48" s="1">
        <f t="shared" si="183"/>
        <v>0</v>
      </c>
      <c r="WE48" s="1">
        <f t="shared" si="183"/>
        <v>0</v>
      </c>
      <c r="WF48" s="1">
        <f t="shared" si="183"/>
        <v>0</v>
      </c>
      <c r="WG48" s="1">
        <f t="shared" si="183"/>
        <v>0</v>
      </c>
      <c r="WH48" s="1">
        <f t="shared" si="183"/>
        <v>0</v>
      </c>
      <c r="WI48" s="1">
        <f t="shared" si="183"/>
        <v>0</v>
      </c>
      <c r="WJ48" s="1">
        <f t="shared" si="183"/>
        <v>0</v>
      </c>
      <c r="WK48" s="1">
        <f t="shared" si="183"/>
        <v>0</v>
      </c>
      <c r="WL48" s="1">
        <f t="shared" si="183"/>
        <v>0</v>
      </c>
      <c r="WM48" s="1">
        <f t="shared" si="183"/>
        <v>0</v>
      </c>
      <c r="WN48" s="1">
        <f t="shared" si="183"/>
        <v>0</v>
      </c>
      <c r="WO48" s="1">
        <f t="shared" si="183"/>
        <v>0</v>
      </c>
      <c r="WP48" s="1">
        <f t="shared" si="183"/>
        <v>0</v>
      </c>
      <c r="WQ48" s="1">
        <f t="shared" si="183"/>
        <v>0</v>
      </c>
      <c r="WR48" s="1">
        <f t="shared" si="183"/>
        <v>0</v>
      </c>
      <c r="WS48" s="1">
        <f t="shared" si="183"/>
        <v>0</v>
      </c>
      <c r="WT48" s="1">
        <f t="shared" si="183"/>
        <v>0</v>
      </c>
      <c r="WU48" s="1">
        <f t="shared" si="183"/>
        <v>0</v>
      </c>
      <c r="WV48" s="1">
        <f t="shared" si="183"/>
        <v>0</v>
      </c>
      <c r="WW48" s="1">
        <f t="shared" si="183"/>
        <v>0</v>
      </c>
      <c r="WX48" s="1">
        <f t="shared" si="183"/>
        <v>0</v>
      </c>
      <c r="WY48" s="1">
        <f t="shared" si="183"/>
        <v>0</v>
      </c>
      <c r="WZ48" s="1">
        <f t="shared" si="183"/>
        <v>0</v>
      </c>
      <c r="XA48" s="1">
        <f t="shared" si="183"/>
        <v>0</v>
      </c>
      <c r="XB48" s="1">
        <f t="shared" si="183"/>
        <v>0</v>
      </c>
      <c r="XC48" s="1">
        <f t="shared" si="183"/>
        <v>0</v>
      </c>
      <c r="XD48" s="1">
        <f t="shared" si="183"/>
        <v>0</v>
      </c>
      <c r="XE48" s="1">
        <f t="shared" si="183"/>
        <v>0</v>
      </c>
      <c r="XF48" s="1">
        <f t="shared" ref="XF48:ZQ48" si="184">XF32-XF13</f>
        <v>0</v>
      </c>
      <c r="XG48" s="1">
        <f t="shared" si="184"/>
        <v>0</v>
      </c>
      <c r="XH48" s="1">
        <f t="shared" si="184"/>
        <v>0</v>
      </c>
      <c r="XI48" s="1">
        <f t="shared" si="184"/>
        <v>0</v>
      </c>
      <c r="XJ48" s="1">
        <f t="shared" si="184"/>
        <v>0</v>
      </c>
      <c r="XK48" s="1">
        <f t="shared" si="184"/>
        <v>0</v>
      </c>
      <c r="XL48" s="1">
        <f t="shared" si="184"/>
        <v>0</v>
      </c>
      <c r="XM48" s="1">
        <f t="shared" si="184"/>
        <v>0</v>
      </c>
      <c r="XN48" s="1">
        <f t="shared" si="184"/>
        <v>0</v>
      </c>
      <c r="XO48" s="1">
        <f t="shared" si="184"/>
        <v>0</v>
      </c>
      <c r="XP48" s="1">
        <f t="shared" si="184"/>
        <v>0</v>
      </c>
      <c r="XQ48" s="1">
        <f t="shared" si="184"/>
        <v>0</v>
      </c>
      <c r="XR48" s="1">
        <f t="shared" si="184"/>
        <v>0</v>
      </c>
      <c r="XS48" s="1">
        <f t="shared" si="184"/>
        <v>0</v>
      </c>
      <c r="XT48" s="1">
        <f t="shared" si="184"/>
        <v>0</v>
      </c>
      <c r="XU48" s="1">
        <f t="shared" si="184"/>
        <v>0</v>
      </c>
      <c r="XV48" s="1">
        <f t="shared" si="184"/>
        <v>0</v>
      </c>
      <c r="XW48" s="1">
        <f t="shared" si="184"/>
        <v>0</v>
      </c>
      <c r="XX48" s="1">
        <f t="shared" si="184"/>
        <v>0</v>
      </c>
      <c r="XY48" s="1">
        <f t="shared" si="184"/>
        <v>0</v>
      </c>
      <c r="XZ48" s="1">
        <f t="shared" si="184"/>
        <v>0</v>
      </c>
      <c r="YA48" s="1">
        <f t="shared" si="184"/>
        <v>0</v>
      </c>
      <c r="YB48" s="1">
        <f t="shared" si="184"/>
        <v>0</v>
      </c>
      <c r="YC48" s="1">
        <f t="shared" si="184"/>
        <v>0</v>
      </c>
      <c r="YD48" s="1">
        <f t="shared" si="184"/>
        <v>0</v>
      </c>
      <c r="YE48" s="1">
        <f t="shared" si="184"/>
        <v>0</v>
      </c>
      <c r="YF48" s="1">
        <f t="shared" si="184"/>
        <v>0</v>
      </c>
      <c r="YG48" s="1">
        <f t="shared" si="184"/>
        <v>0</v>
      </c>
      <c r="YH48" s="1">
        <f t="shared" si="184"/>
        <v>0</v>
      </c>
      <c r="YI48" s="1">
        <f t="shared" si="184"/>
        <v>0</v>
      </c>
      <c r="YJ48" s="1">
        <f t="shared" si="184"/>
        <v>0</v>
      </c>
      <c r="YK48" s="1">
        <f t="shared" si="184"/>
        <v>0</v>
      </c>
      <c r="YL48" s="1">
        <f t="shared" si="184"/>
        <v>0</v>
      </c>
      <c r="YM48" s="1">
        <f t="shared" si="184"/>
        <v>0</v>
      </c>
      <c r="YN48" s="1">
        <f t="shared" si="184"/>
        <v>0</v>
      </c>
      <c r="YO48" s="1">
        <f t="shared" si="184"/>
        <v>0</v>
      </c>
      <c r="YP48" s="1">
        <f t="shared" si="184"/>
        <v>0</v>
      </c>
      <c r="YQ48" s="1">
        <f t="shared" si="184"/>
        <v>0</v>
      </c>
      <c r="YR48" s="1">
        <f t="shared" si="184"/>
        <v>0</v>
      </c>
      <c r="YS48" s="1">
        <f t="shared" si="184"/>
        <v>0</v>
      </c>
      <c r="YT48" s="1">
        <f t="shared" si="184"/>
        <v>0</v>
      </c>
      <c r="YU48" s="1">
        <f t="shared" si="184"/>
        <v>0</v>
      </c>
      <c r="YV48" s="1">
        <f t="shared" si="184"/>
        <v>0</v>
      </c>
      <c r="YW48" s="1">
        <f t="shared" si="184"/>
        <v>0</v>
      </c>
      <c r="YX48" s="1">
        <f t="shared" si="184"/>
        <v>0</v>
      </c>
      <c r="YY48" s="1">
        <f t="shared" si="184"/>
        <v>0</v>
      </c>
      <c r="YZ48" s="1">
        <f t="shared" si="184"/>
        <v>0</v>
      </c>
      <c r="ZA48" s="1">
        <f t="shared" si="184"/>
        <v>0</v>
      </c>
      <c r="ZB48" s="1">
        <f t="shared" si="184"/>
        <v>0</v>
      </c>
      <c r="ZC48" s="1">
        <f t="shared" si="184"/>
        <v>0</v>
      </c>
      <c r="ZD48" s="1">
        <f t="shared" si="184"/>
        <v>0</v>
      </c>
      <c r="ZE48" s="1">
        <f t="shared" si="184"/>
        <v>0</v>
      </c>
      <c r="ZF48" s="1">
        <f t="shared" si="184"/>
        <v>0</v>
      </c>
      <c r="ZG48" s="1">
        <f t="shared" si="184"/>
        <v>0</v>
      </c>
      <c r="ZH48" s="1">
        <f t="shared" si="184"/>
        <v>0</v>
      </c>
      <c r="ZI48" s="1">
        <f t="shared" si="184"/>
        <v>0</v>
      </c>
      <c r="ZJ48" s="1">
        <f t="shared" si="184"/>
        <v>0</v>
      </c>
      <c r="ZK48" s="1">
        <f t="shared" si="184"/>
        <v>0</v>
      </c>
      <c r="ZL48" s="1">
        <f t="shared" si="184"/>
        <v>0</v>
      </c>
      <c r="ZM48" s="1">
        <f t="shared" si="184"/>
        <v>0</v>
      </c>
      <c r="ZN48" s="1">
        <f t="shared" si="184"/>
        <v>0</v>
      </c>
      <c r="ZO48" s="1">
        <f t="shared" si="184"/>
        <v>0</v>
      </c>
      <c r="ZP48" s="1">
        <f t="shared" si="184"/>
        <v>0</v>
      </c>
      <c r="ZQ48" s="1">
        <f t="shared" si="184"/>
        <v>0</v>
      </c>
      <c r="ZR48" s="1">
        <f t="shared" ref="ZR48:ACC48" si="185">ZR32-ZR13</f>
        <v>0</v>
      </c>
      <c r="ZS48" s="1">
        <f t="shared" si="185"/>
        <v>0</v>
      </c>
      <c r="ZT48" s="1">
        <f t="shared" si="185"/>
        <v>0</v>
      </c>
      <c r="ZU48" s="1">
        <f t="shared" si="185"/>
        <v>0</v>
      </c>
      <c r="ZV48" s="1">
        <f t="shared" si="185"/>
        <v>0</v>
      </c>
      <c r="ZW48" s="1">
        <f t="shared" si="185"/>
        <v>0</v>
      </c>
      <c r="ZX48" s="1">
        <f t="shared" si="185"/>
        <v>0</v>
      </c>
      <c r="ZY48" s="1">
        <f t="shared" si="185"/>
        <v>0</v>
      </c>
      <c r="ZZ48" s="1">
        <f t="shared" si="185"/>
        <v>0</v>
      </c>
      <c r="AAA48" s="1">
        <f t="shared" si="185"/>
        <v>0</v>
      </c>
      <c r="AAB48" s="1">
        <f t="shared" si="185"/>
        <v>0</v>
      </c>
      <c r="AAC48" s="1">
        <f t="shared" si="185"/>
        <v>0</v>
      </c>
      <c r="AAD48" s="1">
        <f t="shared" si="185"/>
        <v>0</v>
      </c>
      <c r="AAE48" s="1">
        <f t="shared" si="185"/>
        <v>0</v>
      </c>
      <c r="AAF48" s="1">
        <f t="shared" si="185"/>
        <v>0</v>
      </c>
      <c r="AAG48" s="1">
        <f t="shared" si="185"/>
        <v>0</v>
      </c>
      <c r="AAH48" s="1">
        <f t="shared" si="185"/>
        <v>0</v>
      </c>
      <c r="AAI48" s="1">
        <f t="shared" si="185"/>
        <v>0</v>
      </c>
      <c r="AAJ48" s="1">
        <f t="shared" si="185"/>
        <v>0</v>
      </c>
      <c r="AAK48" s="1">
        <f t="shared" si="185"/>
        <v>0</v>
      </c>
      <c r="AAL48" s="1">
        <f t="shared" si="185"/>
        <v>0</v>
      </c>
      <c r="AAM48" s="1">
        <f t="shared" si="185"/>
        <v>0</v>
      </c>
      <c r="AAN48" s="1">
        <f t="shared" si="185"/>
        <v>0</v>
      </c>
      <c r="AAO48" s="1">
        <f t="shared" si="185"/>
        <v>0</v>
      </c>
      <c r="AAP48" s="1">
        <f t="shared" si="185"/>
        <v>0</v>
      </c>
      <c r="AAQ48" s="1">
        <f t="shared" si="185"/>
        <v>0</v>
      </c>
      <c r="AAR48" s="1">
        <f t="shared" si="185"/>
        <v>0</v>
      </c>
      <c r="AAS48" s="1">
        <f t="shared" si="185"/>
        <v>0</v>
      </c>
      <c r="AAT48" s="1">
        <f t="shared" si="185"/>
        <v>0</v>
      </c>
      <c r="AAU48" s="1">
        <f t="shared" si="185"/>
        <v>0</v>
      </c>
      <c r="AAV48" s="1">
        <f t="shared" si="185"/>
        <v>0</v>
      </c>
      <c r="AAW48" s="1">
        <f t="shared" si="185"/>
        <v>0</v>
      </c>
      <c r="AAX48" s="1">
        <f t="shared" si="185"/>
        <v>0</v>
      </c>
      <c r="AAY48" s="1">
        <f t="shared" si="185"/>
        <v>0</v>
      </c>
      <c r="AAZ48" s="1">
        <f t="shared" si="185"/>
        <v>0</v>
      </c>
      <c r="ABA48" s="1">
        <f t="shared" si="185"/>
        <v>0</v>
      </c>
      <c r="ABB48" s="1">
        <f t="shared" si="185"/>
        <v>0</v>
      </c>
      <c r="ABC48" s="1">
        <f t="shared" si="185"/>
        <v>0</v>
      </c>
      <c r="ABD48" s="1">
        <f t="shared" si="185"/>
        <v>0</v>
      </c>
      <c r="ABE48" s="1">
        <f t="shared" si="185"/>
        <v>0</v>
      </c>
      <c r="ABF48" s="1">
        <f t="shared" si="185"/>
        <v>0</v>
      </c>
      <c r="ABG48" s="1">
        <f t="shared" si="185"/>
        <v>0</v>
      </c>
      <c r="ABH48" s="1">
        <f t="shared" si="185"/>
        <v>0</v>
      </c>
      <c r="ABI48" s="1">
        <f t="shared" si="185"/>
        <v>0</v>
      </c>
      <c r="ABJ48" s="1">
        <f t="shared" si="185"/>
        <v>0</v>
      </c>
      <c r="ABK48" s="1">
        <f t="shared" si="185"/>
        <v>0</v>
      </c>
      <c r="ABL48" s="1">
        <f t="shared" si="185"/>
        <v>0</v>
      </c>
      <c r="ABM48" s="1">
        <f t="shared" si="185"/>
        <v>0</v>
      </c>
      <c r="ABN48" s="1">
        <f t="shared" si="185"/>
        <v>0</v>
      </c>
      <c r="ABO48" s="1">
        <f t="shared" si="185"/>
        <v>0</v>
      </c>
      <c r="ABP48" s="1">
        <f t="shared" si="185"/>
        <v>0</v>
      </c>
      <c r="ABQ48" s="1">
        <f t="shared" si="185"/>
        <v>0</v>
      </c>
      <c r="ABR48" s="1">
        <f t="shared" si="185"/>
        <v>0</v>
      </c>
      <c r="ABS48" s="1">
        <f t="shared" si="185"/>
        <v>0</v>
      </c>
      <c r="ABT48" s="1">
        <f t="shared" si="185"/>
        <v>0</v>
      </c>
      <c r="ABU48" s="1">
        <f t="shared" si="185"/>
        <v>0</v>
      </c>
      <c r="ABV48" s="1">
        <f t="shared" si="185"/>
        <v>0</v>
      </c>
      <c r="ABW48" s="1">
        <f t="shared" si="185"/>
        <v>0</v>
      </c>
      <c r="ABX48" s="1">
        <f t="shared" si="185"/>
        <v>0</v>
      </c>
      <c r="ABY48" s="1">
        <f t="shared" si="185"/>
        <v>0</v>
      </c>
      <c r="ABZ48" s="1">
        <f t="shared" si="185"/>
        <v>0</v>
      </c>
      <c r="ACA48" s="1">
        <f t="shared" si="185"/>
        <v>0</v>
      </c>
      <c r="ACB48" s="1">
        <f t="shared" si="185"/>
        <v>0</v>
      </c>
      <c r="ACC48" s="1">
        <f t="shared" si="185"/>
        <v>0</v>
      </c>
      <c r="ACD48" s="1">
        <f t="shared" ref="ACD48:AEO48" si="186">ACD32-ACD13</f>
        <v>0</v>
      </c>
      <c r="ACE48" s="1">
        <f t="shared" si="186"/>
        <v>0</v>
      </c>
      <c r="ACF48" s="1">
        <f t="shared" si="186"/>
        <v>0</v>
      </c>
      <c r="ACG48" s="1">
        <f t="shared" si="186"/>
        <v>0</v>
      </c>
      <c r="ACH48" s="1">
        <f t="shared" si="186"/>
        <v>0</v>
      </c>
      <c r="ACI48" s="1">
        <f t="shared" si="186"/>
        <v>0</v>
      </c>
      <c r="ACJ48" s="1">
        <f t="shared" si="186"/>
        <v>0</v>
      </c>
      <c r="ACK48" s="1">
        <f t="shared" si="186"/>
        <v>0</v>
      </c>
      <c r="ACL48" s="1">
        <f t="shared" si="186"/>
        <v>0</v>
      </c>
      <c r="ACM48" s="1">
        <f t="shared" si="186"/>
        <v>0</v>
      </c>
      <c r="ACN48" s="1">
        <f t="shared" si="186"/>
        <v>0</v>
      </c>
      <c r="ACO48" s="1">
        <f t="shared" si="186"/>
        <v>0</v>
      </c>
      <c r="ACP48" s="1">
        <f t="shared" si="186"/>
        <v>0</v>
      </c>
      <c r="ACQ48" s="1">
        <f t="shared" si="186"/>
        <v>0</v>
      </c>
      <c r="ACR48" s="1">
        <f t="shared" si="186"/>
        <v>0</v>
      </c>
      <c r="ACS48" s="1">
        <f t="shared" si="186"/>
        <v>0</v>
      </c>
      <c r="ACT48" s="1">
        <f t="shared" si="186"/>
        <v>0</v>
      </c>
      <c r="ACU48" s="1">
        <f t="shared" si="186"/>
        <v>0</v>
      </c>
      <c r="ACV48" s="1">
        <f t="shared" si="186"/>
        <v>0</v>
      </c>
      <c r="ACW48" s="1">
        <f t="shared" si="186"/>
        <v>0</v>
      </c>
      <c r="ACX48" s="1">
        <f t="shared" si="186"/>
        <v>0</v>
      </c>
      <c r="ACY48" s="1">
        <f t="shared" si="186"/>
        <v>0</v>
      </c>
      <c r="ACZ48" s="1">
        <f t="shared" si="186"/>
        <v>0</v>
      </c>
      <c r="ADA48" s="1">
        <f t="shared" si="186"/>
        <v>0</v>
      </c>
      <c r="ADB48" s="1">
        <f t="shared" si="186"/>
        <v>0</v>
      </c>
      <c r="ADC48" s="1">
        <f t="shared" si="186"/>
        <v>0</v>
      </c>
      <c r="ADD48" s="1">
        <f t="shared" si="186"/>
        <v>0</v>
      </c>
      <c r="ADE48" s="1">
        <f t="shared" si="186"/>
        <v>0</v>
      </c>
      <c r="ADF48" s="1">
        <f t="shared" si="186"/>
        <v>0</v>
      </c>
      <c r="ADG48" s="1">
        <f t="shared" si="186"/>
        <v>0</v>
      </c>
      <c r="ADH48" s="1">
        <f t="shared" si="186"/>
        <v>0</v>
      </c>
      <c r="ADI48" s="1">
        <f t="shared" si="186"/>
        <v>0</v>
      </c>
      <c r="ADJ48" s="1">
        <f t="shared" si="186"/>
        <v>0</v>
      </c>
      <c r="ADK48" s="1">
        <f t="shared" si="186"/>
        <v>0</v>
      </c>
      <c r="ADL48" s="1">
        <f t="shared" si="186"/>
        <v>0</v>
      </c>
      <c r="ADM48" s="1">
        <f t="shared" si="186"/>
        <v>0</v>
      </c>
      <c r="ADN48" s="1">
        <f t="shared" si="186"/>
        <v>0</v>
      </c>
      <c r="ADO48" s="1">
        <f t="shared" si="186"/>
        <v>0</v>
      </c>
      <c r="ADP48" s="1">
        <f t="shared" si="186"/>
        <v>0</v>
      </c>
      <c r="ADQ48" s="1">
        <f t="shared" si="186"/>
        <v>0</v>
      </c>
      <c r="ADR48" s="1">
        <f t="shared" si="186"/>
        <v>0</v>
      </c>
      <c r="ADS48" s="1">
        <f t="shared" si="186"/>
        <v>0</v>
      </c>
      <c r="ADT48" s="1">
        <f t="shared" si="186"/>
        <v>0</v>
      </c>
      <c r="ADU48" s="1">
        <f t="shared" si="186"/>
        <v>0</v>
      </c>
      <c r="ADV48" s="1">
        <f t="shared" si="186"/>
        <v>0</v>
      </c>
      <c r="ADW48" s="1">
        <f t="shared" si="186"/>
        <v>0</v>
      </c>
      <c r="ADX48" s="1">
        <f t="shared" si="186"/>
        <v>0</v>
      </c>
      <c r="ADY48" s="1">
        <f t="shared" si="186"/>
        <v>0</v>
      </c>
      <c r="ADZ48" s="1">
        <f t="shared" si="186"/>
        <v>0</v>
      </c>
      <c r="AEA48" s="1">
        <f t="shared" si="186"/>
        <v>0</v>
      </c>
      <c r="AEB48" s="1">
        <f t="shared" si="186"/>
        <v>0</v>
      </c>
      <c r="AEC48" s="1">
        <f t="shared" si="186"/>
        <v>0</v>
      </c>
      <c r="AED48" s="1">
        <f t="shared" si="186"/>
        <v>0</v>
      </c>
      <c r="AEE48" s="1">
        <f t="shared" si="186"/>
        <v>0</v>
      </c>
      <c r="AEF48" s="1">
        <f t="shared" si="186"/>
        <v>0</v>
      </c>
      <c r="AEG48" s="1">
        <f t="shared" si="186"/>
        <v>0</v>
      </c>
      <c r="AEH48" s="1">
        <f t="shared" si="186"/>
        <v>0</v>
      </c>
      <c r="AEI48" s="1">
        <f t="shared" si="186"/>
        <v>0</v>
      </c>
      <c r="AEJ48" s="1">
        <f t="shared" si="186"/>
        <v>0</v>
      </c>
      <c r="AEK48" s="1">
        <f t="shared" si="186"/>
        <v>0</v>
      </c>
      <c r="AEL48" s="1">
        <f t="shared" si="186"/>
        <v>0</v>
      </c>
      <c r="AEM48" s="1">
        <f t="shared" si="186"/>
        <v>0</v>
      </c>
      <c r="AEN48" s="1">
        <f t="shared" si="186"/>
        <v>0</v>
      </c>
      <c r="AEO48" s="1">
        <f t="shared" si="186"/>
        <v>0</v>
      </c>
      <c r="AEP48" s="1">
        <f t="shared" ref="AEP48:AHA48" si="187">AEP32-AEP13</f>
        <v>0</v>
      </c>
      <c r="AEQ48" s="1">
        <f t="shared" si="187"/>
        <v>0</v>
      </c>
      <c r="AER48" s="1">
        <f t="shared" si="187"/>
        <v>0</v>
      </c>
      <c r="AES48" s="1">
        <f t="shared" si="187"/>
        <v>0</v>
      </c>
      <c r="AET48" s="1">
        <f t="shared" si="187"/>
        <v>0</v>
      </c>
      <c r="AEU48" s="1">
        <f t="shared" si="187"/>
        <v>0</v>
      </c>
      <c r="AEV48" s="1">
        <f t="shared" si="187"/>
        <v>0</v>
      </c>
      <c r="AEW48" s="1">
        <f t="shared" si="187"/>
        <v>0</v>
      </c>
      <c r="AEX48" s="1">
        <f t="shared" si="187"/>
        <v>0</v>
      </c>
      <c r="AEY48" s="1">
        <f t="shared" si="187"/>
        <v>0</v>
      </c>
      <c r="AEZ48" s="1">
        <f t="shared" si="187"/>
        <v>0</v>
      </c>
      <c r="AFA48" s="1">
        <f t="shared" si="187"/>
        <v>0</v>
      </c>
      <c r="AFB48" s="1">
        <f t="shared" si="187"/>
        <v>0</v>
      </c>
      <c r="AFC48" s="1">
        <f t="shared" si="187"/>
        <v>0</v>
      </c>
      <c r="AFD48" s="1">
        <f t="shared" si="187"/>
        <v>0</v>
      </c>
      <c r="AFE48" s="1">
        <f t="shared" si="187"/>
        <v>0</v>
      </c>
      <c r="AFF48" s="1">
        <f t="shared" si="187"/>
        <v>0</v>
      </c>
      <c r="AFG48" s="1">
        <f t="shared" si="187"/>
        <v>0</v>
      </c>
      <c r="AFH48" s="1">
        <f t="shared" si="187"/>
        <v>0</v>
      </c>
      <c r="AFI48" s="1">
        <f t="shared" si="187"/>
        <v>0</v>
      </c>
      <c r="AFJ48" s="1">
        <f t="shared" si="187"/>
        <v>0</v>
      </c>
      <c r="AFK48" s="1">
        <f t="shared" si="187"/>
        <v>0</v>
      </c>
      <c r="AFL48" s="1">
        <f t="shared" si="187"/>
        <v>0</v>
      </c>
      <c r="AFM48" s="1">
        <f t="shared" si="187"/>
        <v>0</v>
      </c>
      <c r="AFN48" s="1">
        <f t="shared" si="187"/>
        <v>0</v>
      </c>
      <c r="AFO48" s="1">
        <f t="shared" si="187"/>
        <v>0</v>
      </c>
      <c r="AFP48" s="1">
        <f t="shared" si="187"/>
        <v>0</v>
      </c>
      <c r="AFQ48" s="1">
        <f t="shared" si="187"/>
        <v>0</v>
      </c>
      <c r="AFR48" s="1">
        <f t="shared" si="187"/>
        <v>0</v>
      </c>
      <c r="AFS48" s="1">
        <f t="shared" si="187"/>
        <v>0</v>
      </c>
      <c r="AFT48" s="1">
        <f t="shared" si="187"/>
        <v>0</v>
      </c>
      <c r="AFU48" s="1">
        <f t="shared" si="187"/>
        <v>0</v>
      </c>
      <c r="AFV48" s="1">
        <f t="shared" si="187"/>
        <v>0</v>
      </c>
      <c r="AFW48" s="1">
        <f t="shared" si="187"/>
        <v>0</v>
      </c>
      <c r="AFX48" s="1">
        <f t="shared" si="187"/>
        <v>0</v>
      </c>
      <c r="AFY48" s="1">
        <f t="shared" si="187"/>
        <v>0</v>
      </c>
      <c r="AFZ48" s="1">
        <f t="shared" si="187"/>
        <v>0</v>
      </c>
      <c r="AGA48" s="1">
        <f t="shared" si="187"/>
        <v>0</v>
      </c>
      <c r="AGB48" s="1">
        <f t="shared" si="187"/>
        <v>0</v>
      </c>
      <c r="AGC48" s="1">
        <f t="shared" si="187"/>
        <v>0</v>
      </c>
      <c r="AGD48" s="1">
        <f t="shared" si="187"/>
        <v>0</v>
      </c>
      <c r="AGE48" s="1">
        <f t="shared" si="187"/>
        <v>0</v>
      </c>
      <c r="AGF48" s="1">
        <f t="shared" si="187"/>
        <v>0</v>
      </c>
      <c r="AGG48" s="1">
        <f t="shared" si="187"/>
        <v>0</v>
      </c>
      <c r="AGH48" s="1">
        <f t="shared" si="187"/>
        <v>0</v>
      </c>
      <c r="AGI48" s="1">
        <f t="shared" si="187"/>
        <v>0</v>
      </c>
      <c r="AGJ48" s="1">
        <f t="shared" si="187"/>
        <v>0</v>
      </c>
      <c r="AGK48" s="1">
        <f t="shared" si="187"/>
        <v>0</v>
      </c>
      <c r="AGL48" s="1">
        <f t="shared" si="187"/>
        <v>0</v>
      </c>
      <c r="AGM48" s="1">
        <f t="shared" si="187"/>
        <v>0</v>
      </c>
      <c r="AGN48" s="1">
        <f t="shared" si="187"/>
        <v>0</v>
      </c>
      <c r="AGO48" s="1">
        <f t="shared" si="187"/>
        <v>0</v>
      </c>
      <c r="AGP48" s="1">
        <f t="shared" si="187"/>
        <v>0</v>
      </c>
      <c r="AGQ48" s="1">
        <f t="shared" si="187"/>
        <v>0</v>
      </c>
      <c r="AGR48" s="1">
        <f t="shared" si="187"/>
        <v>0</v>
      </c>
      <c r="AGS48" s="1">
        <f t="shared" si="187"/>
        <v>0</v>
      </c>
      <c r="AGT48" s="1">
        <f t="shared" si="187"/>
        <v>0</v>
      </c>
      <c r="AGU48" s="1">
        <f t="shared" si="187"/>
        <v>0</v>
      </c>
      <c r="AGV48" s="1">
        <f t="shared" si="187"/>
        <v>0</v>
      </c>
      <c r="AGW48" s="1">
        <f t="shared" si="187"/>
        <v>0</v>
      </c>
      <c r="AGX48" s="1">
        <f t="shared" si="187"/>
        <v>0</v>
      </c>
      <c r="AGY48" s="1">
        <f t="shared" si="187"/>
        <v>0</v>
      </c>
      <c r="AGZ48" s="1">
        <f t="shared" si="187"/>
        <v>0</v>
      </c>
      <c r="AHA48" s="1">
        <f t="shared" si="187"/>
        <v>0</v>
      </c>
      <c r="AHB48" s="1">
        <f t="shared" ref="AHB48:AJM48" si="188">AHB32-AHB13</f>
        <v>0</v>
      </c>
      <c r="AHC48" s="1">
        <f t="shared" si="188"/>
        <v>0</v>
      </c>
      <c r="AHD48" s="1">
        <f t="shared" si="188"/>
        <v>0</v>
      </c>
      <c r="AHE48" s="1">
        <f t="shared" si="188"/>
        <v>0</v>
      </c>
      <c r="AHF48" s="1">
        <f t="shared" si="188"/>
        <v>0</v>
      </c>
      <c r="AHG48" s="1">
        <f t="shared" si="188"/>
        <v>0</v>
      </c>
      <c r="AHH48" s="1">
        <f t="shared" si="188"/>
        <v>0</v>
      </c>
      <c r="AHI48" s="1">
        <f t="shared" si="188"/>
        <v>0</v>
      </c>
      <c r="AHJ48" s="1">
        <f t="shared" si="188"/>
        <v>0</v>
      </c>
      <c r="AHK48" s="1">
        <f t="shared" si="188"/>
        <v>0</v>
      </c>
      <c r="AHL48" s="1">
        <f t="shared" si="188"/>
        <v>0</v>
      </c>
      <c r="AHM48" s="1">
        <f t="shared" si="188"/>
        <v>0</v>
      </c>
      <c r="AHN48" s="1">
        <f t="shared" si="188"/>
        <v>0</v>
      </c>
      <c r="AHO48" s="1">
        <f t="shared" si="188"/>
        <v>0</v>
      </c>
      <c r="AHP48" s="1">
        <f t="shared" si="188"/>
        <v>0</v>
      </c>
      <c r="AHQ48" s="1">
        <f t="shared" si="188"/>
        <v>0</v>
      </c>
      <c r="AHR48" s="1">
        <f t="shared" si="188"/>
        <v>0</v>
      </c>
      <c r="AHS48" s="1">
        <f t="shared" si="188"/>
        <v>0</v>
      </c>
      <c r="AHT48" s="1">
        <f t="shared" si="188"/>
        <v>0</v>
      </c>
      <c r="AHU48" s="1">
        <f t="shared" si="188"/>
        <v>0</v>
      </c>
      <c r="AHV48" s="1">
        <f t="shared" si="188"/>
        <v>0</v>
      </c>
      <c r="AHW48" s="1">
        <f t="shared" si="188"/>
        <v>0</v>
      </c>
      <c r="AHX48" s="1">
        <f t="shared" si="188"/>
        <v>0</v>
      </c>
      <c r="AHY48" s="1">
        <f t="shared" si="188"/>
        <v>0</v>
      </c>
      <c r="AHZ48" s="1">
        <f t="shared" si="188"/>
        <v>0</v>
      </c>
      <c r="AIA48" s="1">
        <f t="shared" si="188"/>
        <v>0</v>
      </c>
      <c r="AIB48" s="1">
        <f t="shared" si="188"/>
        <v>0</v>
      </c>
      <c r="AIC48" s="1">
        <f t="shared" si="188"/>
        <v>0</v>
      </c>
      <c r="AID48" s="1">
        <f t="shared" si="188"/>
        <v>0</v>
      </c>
      <c r="AIE48" s="1">
        <f t="shared" si="188"/>
        <v>0</v>
      </c>
      <c r="AIF48" s="1">
        <f t="shared" si="188"/>
        <v>0</v>
      </c>
      <c r="AIG48" s="1">
        <f t="shared" si="188"/>
        <v>0</v>
      </c>
      <c r="AIH48" s="1">
        <f t="shared" si="188"/>
        <v>0</v>
      </c>
      <c r="AII48" s="1">
        <f t="shared" si="188"/>
        <v>0</v>
      </c>
      <c r="AIJ48" s="1">
        <f t="shared" si="188"/>
        <v>0</v>
      </c>
      <c r="AIK48" s="1">
        <f t="shared" si="188"/>
        <v>0</v>
      </c>
      <c r="AIL48" s="1">
        <f t="shared" si="188"/>
        <v>0</v>
      </c>
      <c r="AIM48" s="1">
        <f t="shared" si="188"/>
        <v>0</v>
      </c>
      <c r="AIN48" s="1">
        <f t="shared" si="188"/>
        <v>0</v>
      </c>
      <c r="AIO48" s="1">
        <f t="shared" si="188"/>
        <v>0</v>
      </c>
      <c r="AIP48" s="1">
        <f t="shared" si="188"/>
        <v>0</v>
      </c>
      <c r="AIQ48" s="1">
        <f t="shared" si="188"/>
        <v>0</v>
      </c>
      <c r="AIR48" s="1">
        <f t="shared" si="188"/>
        <v>0</v>
      </c>
      <c r="AIS48" s="1">
        <f t="shared" si="188"/>
        <v>0</v>
      </c>
      <c r="AIT48" s="1">
        <f t="shared" si="188"/>
        <v>0</v>
      </c>
      <c r="AIU48" s="1">
        <f t="shared" si="188"/>
        <v>0</v>
      </c>
      <c r="AIV48" s="1">
        <f t="shared" si="188"/>
        <v>0</v>
      </c>
      <c r="AIW48" s="1">
        <f t="shared" si="188"/>
        <v>0</v>
      </c>
      <c r="AIX48" s="1">
        <f t="shared" si="188"/>
        <v>0</v>
      </c>
      <c r="AIY48" s="1">
        <f t="shared" si="188"/>
        <v>0</v>
      </c>
      <c r="AIZ48" s="1">
        <f t="shared" si="188"/>
        <v>0</v>
      </c>
      <c r="AJA48" s="1">
        <f t="shared" si="188"/>
        <v>0</v>
      </c>
      <c r="AJB48" s="1">
        <f t="shared" si="188"/>
        <v>0</v>
      </c>
      <c r="AJC48" s="1">
        <f t="shared" si="188"/>
        <v>0</v>
      </c>
      <c r="AJD48" s="1">
        <f t="shared" si="188"/>
        <v>0</v>
      </c>
      <c r="AJE48" s="1">
        <f t="shared" si="188"/>
        <v>0</v>
      </c>
      <c r="AJF48" s="1">
        <f t="shared" si="188"/>
        <v>0</v>
      </c>
      <c r="AJG48" s="1">
        <f t="shared" si="188"/>
        <v>0</v>
      </c>
      <c r="AJH48" s="1">
        <f t="shared" si="188"/>
        <v>0</v>
      </c>
      <c r="AJI48" s="1">
        <f t="shared" si="188"/>
        <v>0</v>
      </c>
      <c r="AJJ48" s="1">
        <f t="shared" si="188"/>
        <v>0</v>
      </c>
      <c r="AJK48" s="1">
        <f t="shared" si="188"/>
        <v>0</v>
      </c>
      <c r="AJL48" s="1">
        <f t="shared" si="188"/>
        <v>0</v>
      </c>
      <c r="AJM48" s="1">
        <f t="shared" si="188"/>
        <v>0</v>
      </c>
      <c r="AJN48" s="1">
        <f t="shared" ref="AJN48:ALM48" si="189">AJN32-AJN13</f>
        <v>0</v>
      </c>
      <c r="AJO48" s="1">
        <f t="shared" si="189"/>
        <v>0</v>
      </c>
      <c r="AJP48" s="1">
        <f t="shared" si="189"/>
        <v>0</v>
      </c>
      <c r="AJQ48" s="1">
        <f t="shared" si="189"/>
        <v>0</v>
      </c>
      <c r="AJR48" s="1">
        <f t="shared" si="189"/>
        <v>0</v>
      </c>
      <c r="AJS48" s="1">
        <f t="shared" si="189"/>
        <v>0</v>
      </c>
      <c r="AJT48" s="1">
        <f t="shared" si="189"/>
        <v>0</v>
      </c>
      <c r="AJU48" s="1">
        <f t="shared" si="189"/>
        <v>0</v>
      </c>
      <c r="AJV48" s="1">
        <f t="shared" si="189"/>
        <v>0</v>
      </c>
      <c r="AJW48" s="1">
        <f t="shared" si="189"/>
        <v>0</v>
      </c>
      <c r="AJX48" s="1">
        <f t="shared" si="189"/>
        <v>0</v>
      </c>
      <c r="AJY48" s="1">
        <f t="shared" si="189"/>
        <v>0</v>
      </c>
      <c r="AJZ48" s="1">
        <f t="shared" si="189"/>
        <v>0</v>
      </c>
      <c r="AKA48" s="1">
        <f t="shared" si="189"/>
        <v>0</v>
      </c>
      <c r="AKB48" s="1">
        <f t="shared" si="189"/>
        <v>0</v>
      </c>
      <c r="AKC48" s="1">
        <f t="shared" si="189"/>
        <v>0</v>
      </c>
      <c r="AKD48" s="1">
        <f t="shared" si="189"/>
        <v>0</v>
      </c>
      <c r="AKE48" s="1">
        <f t="shared" si="189"/>
        <v>0</v>
      </c>
      <c r="AKF48" s="1">
        <f t="shared" si="189"/>
        <v>0</v>
      </c>
      <c r="AKG48" s="1">
        <f t="shared" si="189"/>
        <v>0</v>
      </c>
      <c r="AKH48" s="1">
        <f t="shared" si="189"/>
        <v>0</v>
      </c>
      <c r="AKI48" s="1">
        <f t="shared" si="189"/>
        <v>0</v>
      </c>
      <c r="AKJ48" s="1">
        <f t="shared" si="189"/>
        <v>0</v>
      </c>
      <c r="AKK48" s="1">
        <f t="shared" si="189"/>
        <v>0</v>
      </c>
      <c r="AKL48" s="1">
        <f t="shared" si="189"/>
        <v>0</v>
      </c>
      <c r="AKM48" s="1">
        <f t="shared" si="189"/>
        <v>0</v>
      </c>
      <c r="AKN48" s="1">
        <f t="shared" si="189"/>
        <v>0</v>
      </c>
      <c r="AKO48" s="1">
        <f t="shared" si="189"/>
        <v>0</v>
      </c>
      <c r="AKP48" s="1">
        <f t="shared" si="189"/>
        <v>0</v>
      </c>
      <c r="AKQ48" s="1">
        <f t="shared" si="189"/>
        <v>0</v>
      </c>
      <c r="AKR48" s="1">
        <f t="shared" si="189"/>
        <v>0</v>
      </c>
      <c r="AKS48" s="1">
        <f t="shared" si="189"/>
        <v>0</v>
      </c>
      <c r="AKT48" s="1">
        <f t="shared" si="189"/>
        <v>0</v>
      </c>
      <c r="AKU48" s="1">
        <f t="shared" si="189"/>
        <v>0</v>
      </c>
      <c r="AKV48" s="1">
        <f t="shared" si="189"/>
        <v>0</v>
      </c>
      <c r="AKW48" s="1">
        <f t="shared" si="189"/>
        <v>0</v>
      </c>
      <c r="AKX48" s="1">
        <f t="shared" si="189"/>
        <v>0</v>
      </c>
      <c r="AKY48" s="1">
        <f t="shared" si="189"/>
        <v>0</v>
      </c>
      <c r="AKZ48" s="1">
        <f t="shared" si="189"/>
        <v>0</v>
      </c>
      <c r="ALA48" s="1">
        <f t="shared" si="189"/>
        <v>0</v>
      </c>
      <c r="ALB48" s="1">
        <f t="shared" si="189"/>
        <v>0</v>
      </c>
      <c r="ALC48" s="1">
        <f t="shared" si="189"/>
        <v>0</v>
      </c>
      <c r="ALD48" s="1">
        <f t="shared" si="189"/>
        <v>0</v>
      </c>
      <c r="ALE48" s="1">
        <f t="shared" si="189"/>
        <v>0</v>
      </c>
      <c r="ALF48" s="1">
        <f t="shared" si="189"/>
        <v>0</v>
      </c>
      <c r="ALG48" s="1">
        <f t="shared" si="189"/>
        <v>0</v>
      </c>
      <c r="ALH48" s="1">
        <f t="shared" si="189"/>
        <v>0</v>
      </c>
      <c r="ALI48" s="1">
        <f t="shared" si="189"/>
        <v>0</v>
      </c>
      <c r="ALJ48" s="1">
        <f t="shared" si="189"/>
        <v>0</v>
      </c>
      <c r="ALK48" s="1">
        <f t="shared" si="189"/>
        <v>0</v>
      </c>
      <c r="ALL48" s="1">
        <f t="shared" si="189"/>
        <v>0</v>
      </c>
      <c r="ALM48" s="1">
        <f t="shared" si="189"/>
        <v>0</v>
      </c>
    </row>
    <row r="49" spans="1:1001">
      <c r="A49" s="27"/>
      <c r="B49">
        <f>B33</f>
        <v>0</v>
      </c>
      <c r="C49">
        <f t="shared" ref="C49:BN49" si="190">C33</f>
        <v>0</v>
      </c>
      <c r="D49">
        <f t="shared" si="190"/>
        <v>0</v>
      </c>
      <c r="E49">
        <f t="shared" si="190"/>
        <v>0</v>
      </c>
      <c r="F49">
        <f t="shared" si="190"/>
        <v>0</v>
      </c>
      <c r="G49">
        <f t="shared" si="190"/>
        <v>0</v>
      </c>
      <c r="H49">
        <f t="shared" si="190"/>
        <v>0</v>
      </c>
      <c r="I49">
        <f t="shared" si="190"/>
        <v>0</v>
      </c>
      <c r="J49">
        <f t="shared" si="190"/>
        <v>0</v>
      </c>
      <c r="K49">
        <f t="shared" si="190"/>
        <v>0</v>
      </c>
      <c r="L49">
        <f t="shared" si="190"/>
        <v>0</v>
      </c>
      <c r="M49">
        <f t="shared" si="190"/>
        <v>0</v>
      </c>
      <c r="N49">
        <f t="shared" si="190"/>
        <v>0</v>
      </c>
      <c r="O49">
        <f t="shared" si="190"/>
        <v>0</v>
      </c>
      <c r="P49">
        <f t="shared" si="190"/>
        <v>0</v>
      </c>
      <c r="Q49">
        <f t="shared" si="190"/>
        <v>0</v>
      </c>
      <c r="R49">
        <f t="shared" si="190"/>
        <v>0</v>
      </c>
      <c r="S49">
        <f t="shared" si="190"/>
        <v>0</v>
      </c>
      <c r="T49">
        <f t="shared" si="190"/>
        <v>0</v>
      </c>
      <c r="U49">
        <f t="shared" si="190"/>
        <v>0</v>
      </c>
      <c r="V49">
        <f t="shared" si="190"/>
        <v>0</v>
      </c>
      <c r="W49">
        <f t="shared" si="190"/>
        <v>0</v>
      </c>
      <c r="X49">
        <f t="shared" si="190"/>
        <v>0</v>
      </c>
      <c r="Y49">
        <f t="shared" si="190"/>
        <v>0</v>
      </c>
      <c r="Z49">
        <f t="shared" si="190"/>
        <v>0</v>
      </c>
      <c r="AA49">
        <f t="shared" si="190"/>
        <v>0</v>
      </c>
      <c r="AB49">
        <f t="shared" si="190"/>
        <v>0</v>
      </c>
      <c r="AC49">
        <f t="shared" si="190"/>
        <v>0</v>
      </c>
      <c r="AD49">
        <f t="shared" si="190"/>
        <v>0</v>
      </c>
      <c r="AE49">
        <f t="shared" si="190"/>
        <v>0</v>
      </c>
      <c r="AF49">
        <f t="shared" si="190"/>
        <v>0</v>
      </c>
      <c r="AG49">
        <f t="shared" si="190"/>
        <v>0</v>
      </c>
      <c r="AH49">
        <f t="shared" si="190"/>
        <v>0</v>
      </c>
      <c r="AI49">
        <f t="shared" si="190"/>
        <v>0</v>
      </c>
      <c r="AJ49">
        <f t="shared" si="190"/>
        <v>0</v>
      </c>
      <c r="AK49">
        <f t="shared" si="190"/>
        <v>0</v>
      </c>
      <c r="AL49">
        <f t="shared" si="190"/>
        <v>0</v>
      </c>
      <c r="AM49">
        <f t="shared" si="190"/>
        <v>0</v>
      </c>
      <c r="AN49">
        <f t="shared" si="190"/>
        <v>0</v>
      </c>
      <c r="AO49">
        <f t="shared" si="190"/>
        <v>0</v>
      </c>
      <c r="AP49">
        <f t="shared" si="190"/>
        <v>0</v>
      </c>
      <c r="AQ49">
        <f t="shared" si="190"/>
        <v>0</v>
      </c>
      <c r="AR49">
        <f t="shared" si="190"/>
        <v>0</v>
      </c>
      <c r="AS49">
        <f t="shared" si="190"/>
        <v>0</v>
      </c>
      <c r="AT49">
        <f t="shared" si="190"/>
        <v>0</v>
      </c>
      <c r="AU49">
        <f t="shared" si="190"/>
        <v>0</v>
      </c>
      <c r="AV49">
        <f t="shared" si="190"/>
        <v>0</v>
      </c>
      <c r="AW49">
        <f t="shared" si="190"/>
        <v>0</v>
      </c>
      <c r="AX49">
        <f t="shared" si="190"/>
        <v>0</v>
      </c>
      <c r="AY49">
        <f t="shared" si="190"/>
        <v>0</v>
      </c>
      <c r="AZ49">
        <f t="shared" si="190"/>
        <v>0</v>
      </c>
      <c r="BA49">
        <f t="shared" si="190"/>
        <v>0</v>
      </c>
      <c r="BB49">
        <f t="shared" si="190"/>
        <v>0</v>
      </c>
      <c r="BC49">
        <f t="shared" si="190"/>
        <v>0</v>
      </c>
      <c r="BD49">
        <f t="shared" si="190"/>
        <v>0</v>
      </c>
      <c r="BE49">
        <f t="shared" si="190"/>
        <v>0</v>
      </c>
      <c r="BF49">
        <f t="shared" si="190"/>
        <v>0</v>
      </c>
      <c r="BG49">
        <f t="shared" si="190"/>
        <v>0</v>
      </c>
      <c r="BH49">
        <f t="shared" si="190"/>
        <v>0</v>
      </c>
      <c r="BI49">
        <f t="shared" si="190"/>
        <v>0</v>
      </c>
      <c r="BJ49">
        <f t="shared" si="190"/>
        <v>0</v>
      </c>
      <c r="BK49">
        <f t="shared" si="190"/>
        <v>0</v>
      </c>
      <c r="BL49">
        <f t="shared" si="190"/>
        <v>0</v>
      </c>
      <c r="BM49">
        <f t="shared" si="190"/>
        <v>0</v>
      </c>
      <c r="BN49">
        <f t="shared" si="190"/>
        <v>0</v>
      </c>
      <c r="BO49">
        <f t="shared" ref="BO49:DZ49" si="191">BO33</f>
        <v>0</v>
      </c>
      <c r="BP49">
        <f t="shared" si="191"/>
        <v>0</v>
      </c>
      <c r="BQ49">
        <f t="shared" si="191"/>
        <v>0</v>
      </c>
      <c r="BR49">
        <f t="shared" si="191"/>
        <v>0</v>
      </c>
      <c r="BS49">
        <f t="shared" si="191"/>
        <v>0</v>
      </c>
      <c r="BT49">
        <f t="shared" si="191"/>
        <v>0</v>
      </c>
      <c r="BU49">
        <f t="shared" si="191"/>
        <v>0</v>
      </c>
      <c r="BV49">
        <f t="shared" si="191"/>
        <v>0</v>
      </c>
      <c r="BW49">
        <f t="shared" si="191"/>
        <v>0</v>
      </c>
      <c r="BX49">
        <f t="shared" si="191"/>
        <v>0</v>
      </c>
      <c r="BY49">
        <f t="shared" si="191"/>
        <v>0</v>
      </c>
      <c r="BZ49">
        <f t="shared" si="191"/>
        <v>0</v>
      </c>
      <c r="CA49">
        <f t="shared" si="191"/>
        <v>0</v>
      </c>
      <c r="CB49">
        <f t="shared" si="191"/>
        <v>0</v>
      </c>
      <c r="CC49">
        <f t="shared" si="191"/>
        <v>0</v>
      </c>
      <c r="CD49">
        <f t="shared" si="191"/>
        <v>0</v>
      </c>
      <c r="CE49">
        <f t="shared" si="191"/>
        <v>0</v>
      </c>
      <c r="CF49">
        <f t="shared" si="191"/>
        <v>0</v>
      </c>
      <c r="CG49">
        <f t="shared" si="191"/>
        <v>0</v>
      </c>
      <c r="CH49">
        <f t="shared" si="191"/>
        <v>0</v>
      </c>
      <c r="CI49">
        <f t="shared" si="191"/>
        <v>0</v>
      </c>
      <c r="CJ49">
        <f t="shared" si="191"/>
        <v>0</v>
      </c>
      <c r="CK49">
        <f t="shared" si="191"/>
        <v>0</v>
      </c>
      <c r="CL49">
        <f t="shared" si="191"/>
        <v>0</v>
      </c>
      <c r="CM49">
        <f t="shared" si="191"/>
        <v>0</v>
      </c>
      <c r="CN49">
        <f t="shared" si="191"/>
        <v>0</v>
      </c>
      <c r="CO49">
        <f t="shared" si="191"/>
        <v>0</v>
      </c>
      <c r="CP49">
        <f t="shared" si="191"/>
        <v>0</v>
      </c>
      <c r="CQ49">
        <f t="shared" si="191"/>
        <v>0</v>
      </c>
      <c r="CR49">
        <f t="shared" si="191"/>
        <v>0</v>
      </c>
      <c r="CS49">
        <f t="shared" si="191"/>
        <v>0</v>
      </c>
      <c r="CT49">
        <f t="shared" si="191"/>
        <v>0</v>
      </c>
      <c r="CU49">
        <f t="shared" si="191"/>
        <v>0</v>
      </c>
      <c r="CV49">
        <f t="shared" si="191"/>
        <v>0</v>
      </c>
      <c r="CW49">
        <f t="shared" si="191"/>
        <v>0</v>
      </c>
      <c r="CX49">
        <f t="shared" si="191"/>
        <v>0</v>
      </c>
      <c r="CY49">
        <f t="shared" si="191"/>
        <v>0</v>
      </c>
      <c r="CZ49">
        <f t="shared" si="191"/>
        <v>0</v>
      </c>
      <c r="DA49">
        <f t="shared" si="191"/>
        <v>0</v>
      </c>
      <c r="DB49">
        <f t="shared" si="191"/>
        <v>0</v>
      </c>
      <c r="DC49">
        <f t="shared" si="191"/>
        <v>0</v>
      </c>
      <c r="DD49">
        <f t="shared" si="191"/>
        <v>0</v>
      </c>
      <c r="DE49">
        <f t="shared" si="191"/>
        <v>0</v>
      </c>
      <c r="DF49">
        <f t="shared" si="191"/>
        <v>0</v>
      </c>
      <c r="DG49">
        <f t="shared" si="191"/>
        <v>0</v>
      </c>
      <c r="DH49">
        <f t="shared" si="191"/>
        <v>0</v>
      </c>
      <c r="DI49">
        <f t="shared" si="191"/>
        <v>0</v>
      </c>
      <c r="DJ49">
        <f t="shared" si="191"/>
        <v>0</v>
      </c>
      <c r="DK49">
        <f t="shared" si="191"/>
        <v>0</v>
      </c>
      <c r="DL49">
        <f t="shared" si="191"/>
        <v>0</v>
      </c>
      <c r="DM49">
        <f t="shared" si="191"/>
        <v>0</v>
      </c>
      <c r="DN49">
        <f t="shared" si="191"/>
        <v>0</v>
      </c>
      <c r="DO49">
        <f t="shared" si="191"/>
        <v>0</v>
      </c>
      <c r="DP49">
        <f t="shared" si="191"/>
        <v>0</v>
      </c>
      <c r="DQ49">
        <f t="shared" si="191"/>
        <v>0</v>
      </c>
      <c r="DR49">
        <f t="shared" si="191"/>
        <v>0</v>
      </c>
      <c r="DS49">
        <f t="shared" si="191"/>
        <v>0</v>
      </c>
      <c r="DT49">
        <f t="shared" si="191"/>
        <v>0</v>
      </c>
      <c r="DU49">
        <f t="shared" si="191"/>
        <v>0</v>
      </c>
      <c r="DV49">
        <f t="shared" si="191"/>
        <v>0</v>
      </c>
      <c r="DW49">
        <f t="shared" si="191"/>
        <v>0</v>
      </c>
      <c r="DX49">
        <f t="shared" si="191"/>
        <v>0</v>
      </c>
      <c r="DY49">
        <f t="shared" si="191"/>
        <v>0</v>
      </c>
      <c r="DZ49">
        <f t="shared" si="191"/>
        <v>0</v>
      </c>
      <c r="EA49">
        <f t="shared" ref="EA49:GL49" si="192">EA33</f>
        <v>0</v>
      </c>
      <c r="EB49">
        <f t="shared" si="192"/>
        <v>0</v>
      </c>
      <c r="EC49">
        <f t="shared" si="192"/>
        <v>0</v>
      </c>
      <c r="ED49">
        <f t="shared" si="192"/>
        <v>0</v>
      </c>
      <c r="EE49">
        <f t="shared" si="192"/>
        <v>0</v>
      </c>
      <c r="EF49">
        <f t="shared" si="192"/>
        <v>0</v>
      </c>
      <c r="EG49">
        <f t="shared" si="192"/>
        <v>0</v>
      </c>
      <c r="EH49">
        <f t="shared" si="192"/>
        <v>0</v>
      </c>
      <c r="EI49">
        <f t="shared" si="192"/>
        <v>0</v>
      </c>
      <c r="EJ49">
        <f t="shared" si="192"/>
        <v>0</v>
      </c>
      <c r="EK49">
        <f t="shared" si="192"/>
        <v>0</v>
      </c>
      <c r="EL49">
        <f t="shared" si="192"/>
        <v>0</v>
      </c>
      <c r="EM49">
        <f t="shared" si="192"/>
        <v>0</v>
      </c>
      <c r="EN49">
        <f t="shared" si="192"/>
        <v>0</v>
      </c>
      <c r="EO49">
        <f t="shared" si="192"/>
        <v>0</v>
      </c>
      <c r="EP49">
        <f t="shared" si="192"/>
        <v>0</v>
      </c>
      <c r="EQ49">
        <f t="shared" si="192"/>
        <v>0</v>
      </c>
      <c r="ER49">
        <f t="shared" si="192"/>
        <v>0</v>
      </c>
      <c r="ES49">
        <f t="shared" si="192"/>
        <v>0</v>
      </c>
      <c r="ET49">
        <f t="shared" si="192"/>
        <v>0</v>
      </c>
      <c r="EU49">
        <f t="shared" si="192"/>
        <v>0</v>
      </c>
      <c r="EV49">
        <f t="shared" si="192"/>
        <v>0</v>
      </c>
      <c r="EW49">
        <f t="shared" si="192"/>
        <v>0</v>
      </c>
      <c r="EX49">
        <f t="shared" si="192"/>
        <v>0</v>
      </c>
      <c r="EY49">
        <f t="shared" si="192"/>
        <v>0</v>
      </c>
      <c r="EZ49">
        <f t="shared" si="192"/>
        <v>0</v>
      </c>
      <c r="FA49">
        <f t="shared" si="192"/>
        <v>0</v>
      </c>
      <c r="FB49">
        <f t="shared" si="192"/>
        <v>0</v>
      </c>
      <c r="FC49">
        <f t="shared" si="192"/>
        <v>0</v>
      </c>
      <c r="FD49">
        <f t="shared" si="192"/>
        <v>0</v>
      </c>
      <c r="FE49">
        <f t="shared" si="192"/>
        <v>0</v>
      </c>
      <c r="FF49">
        <f t="shared" si="192"/>
        <v>0</v>
      </c>
      <c r="FG49">
        <f t="shared" si="192"/>
        <v>0</v>
      </c>
      <c r="FH49">
        <f t="shared" si="192"/>
        <v>0</v>
      </c>
      <c r="FI49">
        <f t="shared" si="192"/>
        <v>0</v>
      </c>
      <c r="FJ49">
        <f t="shared" si="192"/>
        <v>0</v>
      </c>
      <c r="FK49">
        <f t="shared" si="192"/>
        <v>0</v>
      </c>
      <c r="FL49">
        <f t="shared" si="192"/>
        <v>0</v>
      </c>
      <c r="FM49">
        <f t="shared" si="192"/>
        <v>0</v>
      </c>
      <c r="FN49" s="1">
        <f t="shared" si="192"/>
        <v>0</v>
      </c>
      <c r="FO49" s="1">
        <f t="shared" si="192"/>
        <v>0</v>
      </c>
      <c r="FP49" s="1">
        <f t="shared" si="192"/>
        <v>0</v>
      </c>
      <c r="FQ49" s="1">
        <f t="shared" si="192"/>
        <v>0</v>
      </c>
      <c r="FR49" s="1">
        <f t="shared" si="192"/>
        <v>0</v>
      </c>
      <c r="FS49" s="1">
        <f t="shared" si="192"/>
        <v>0</v>
      </c>
      <c r="FT49" s="1">
        <f t="shared" si="192"/>
        <v>0</v>
      </c>
      <c r="FU49" s="1">
        <f t="shared" si="192"/>
        <v>0</v>
      </c>
      <c r="FV49" s="1">
        <f t="shared" si="192"/>
        <v>0</v>
      </c>
      <c r="FW49" s="1">
        <f t="shared" si="192"/>
        <v>0</v>
      </c>
      <c r="FX49" s="1">
        <f t="shared" si="192"/>
        <v>0</v>
      </c>
      <c r="FY49" s="1">
        <f t="shared" si="192"/>
        <v>0</v>
      </c>
      <c r="FZ49" s="1">
        <f t="shared" si="192"/>
        <v>0</v>
      </c>
      <c r="GA49" s="1">
        <f t="shared" si="192"/>
        <v>0</v>
      </c>
      <c r="GB49" s="1">
        <f t="shared" si="192"/>
        <v>0</v>
      </c>
      <c r="GC49" s="1">
        <f t="shared" si="192"/>
        <v>0</v>
      </c>
      <c r="GD49" s="1">
        <f t="shared" si="192"/>
        <v>0</v>
      </c>
      <c r="GE49" s="1">
        <f t="shared" si="192"/>
        <v>0</v>
      </c>
      <c r="GF49" s="1">
        <f t="shared" si="192"/>
        <v>0</v>
      </c>
      <c r="GG49" s="1">
        <f t="shared" si="192"/>
        <v>0</v>
      </c>
      <c r="GH49" s="1">
        <f t="shared" si="192"/>
        <v>0</v>
      </c>
      <c r="GI49" s="1">
        <f t="shared" si="192"/>
        <v>0</v>
      </c>
      <c r="GJ49" s="1">
        <f t="shared" si="192"/>
        <v>0</v>
      </c>
      <c r="GK49" s="1">
        <f t="shared" si="192"/>
        <v>0</v>
      </c>
      <c r="GL49" s="1">
        <f t="shared" si="192"/>
        <v>0</v>
      </c>
      <c r="GM49" s="1">
        <f t="shared" ref="GM49:IX49" si="193">GM33</f>
        <v>0</v>
      </c>
      <c r="GN49" s="1">
        <f t="shared" si="193"/>
        <v>0</v>
      </c>
      <c r="GO49" s="1">
        <f t="shared" si="193"/>
        <v>0</v>
      </c>
      <c r="GP49" s="1">
        <f t="shared" si="193"/>
        <v>0</v>
      </c>
      <c r="GQ49" s="1">
        <f t="shared" si="193"/>
        <v>0</v>
      </c>
      <c r="GR49" s="1">
        <f t="shared" si="193"/>
        <v>0</v>
      </c>
      <c r="GS49" s="1">
        <f t="shared" si="193"/>
        <v>0</v>
      </c>
      <c r="GT49" s="1">
        <f t="shared" si="193"/>
        <v>0</v>
      </c>
      <c r="GU49" s="1">
        <f t="shared" si="193"/>
        <v>0</v>
      </c>
      <c r="GV49" s="1">
        <f t="shared" si="193"/>
        <v>0</v>
      </c>
      <c r="GW49" s="1">
        <f t="shared" si="193"/>
        <v>0</v>
      </c>
      <c r="GX49" s="1">
        <f t="shared" si="193"/>
        <v>0</v>
      </c>
      <c r="GY49" s="1">
        <f t="shared" si="193"/>
        <v>0</v>
      </c>
      <c r="GZ49" s="1">
        <f t="shared" si="193"/>
        <v>0</v>
      </c>
      <c r="HA49" s="1">
        <f t="shared" si="193"/>
        <v>0</v>
      </c>
      <c r="HB49" s="1">
        <f t="shared" si="193"/>
        <v>0</v>
      </c>
      <c r="HC49" s="1">
        <f t="shared" si="193"/>
        <v>0</v>
      </c>
      <c r="HD49" s="1">
        <f t="shared" si="193"/>
        <v>0</v>
      </c>
      <c r="HE49" s="1">
        <f t="shared" si="193"/>
        <v>0</v>
      </c>
      <c r="HF49" s="1">
        <f t="shared" si="193"/>
        <v>0</v>
      </c>
      <c r="HG49" s="1">
        <f t="shared" si="193"/>
        <v>0</v>
      </c>
      <c r="HH49" s="1">
        <f t="shared" si="193"/>
        <v>0</v>
      </c>
      <c r="HI49" s="1">
        <f t="shared" si="193"/>
        <v>0</v>
      </c>
      <c r="HJ49" s="1">
        <f t="shared" si="193"/>
        <v>0</v>
      </c>
      <c r="HK49" s="1">
        <f t="shared" si="193"/>
        <v>0</v>
      </c>
      <c r="HL49" s="1">
        <f t="shared" si="193"/>
        <v>0</v>
      </c>
      <c r="HM49" s="1">
        <f t="shared" si="193"/>
        <v>0</v>
      </c>
      <c r="HN49" s="1">
        <f t="shared" si="193"/>
        <v>0</v>
      </c>
      <c r="HO49" s="1">
        <f t="shared" si="193"/>
        <v>0</v>
      </c>
      <c r="HP49" s="1">
        <f t="shared" si="193"/>
        <v>0</v>
      </c>
      <c r="HQ49" s="1">
        <f t="shared" si="193"/>
        <v>0</v>
      </c>
      <c r="HR49" s="1">
        <f t="shared" si="193"/>
        <v>0</v>
      </c>
      <c r="HS49" s="1">
        <f t="shared" si="193"/>
        <v>0</v>
      </c>
      <c r="HT49" s="1">
        <f t="shared" si="193"/>
        <v>0</v>
      </c>
      <c r="HU49" s="1">
        <f t="shared" si="193"/>
        <v>0</v>
      </c>
      <c r="HV49" s="1">
        <f t="shared" si="193"/>
        <v>0</v>
      </c>
      <c r="HW49" s="1">
        <f t="shared" si="193"/>
        <v>0</v>
      </c>
      <c r="HX49" s="1">
        <f t="shared" si="193"/>
        <v>0</v>
      </c>
      <c r="HY49" s="1">
        <f t="shared" si="193"/>
        <v>0</v>
      </c>
      <c r="HZ49" s="1">
        <f t="shared" si="193"/>
        <v>0</v>
      </c>
      <c r="IA49" s="1">
        <f t="shared" si="193"/>
        <v>0</v>
      </c>
      <c r="IB49" s="1">
        <f t="shared" si="193"/>
        <v>0</v>
      </c>
      <c r="IC49" s="1">
        <f t="shared" si="193"/>
        <v>0</v>
      </c>
      <c r="ID49" s="1">
        <f t="shared" si="193"/>
        <v>0</v>
      </c>
      <c r="IE49" s="1">
        <f t="shared" si="193"/>
        <v>0</v>
      </c>
      <c r="IF49" s="1">
        <f t="shared" si="193"/>
        <v>0</v>
      </c>
      <c r="IG49" s="1">
        <f t="shared" si="193"/>
        <v>0</v>
      </c>
      <c r="IH49" s="1">
        <f t="shared" si="193"/>
        <v>0</v>
      </c>
      <c r="II49" s="1">
        <f t="shared" si="193"/>
        <v>0</v>
      </c>
      <c r="IJ49" s="1">
        <f t="shared" si="193"/>
        <v>0</v>
      </c>
      <c r="IK49" s="1">
        <f t="shared" si="193"/>
        <v>0</v>
      </c>
      <c r="IL49" s="1">
        <f t="shared" si="193"/>
        <v>0</v>
      </c>
      <c r="IM49" s="1">
        <f t="shared" si="193"/>
        <v>0</v>
      </c>
      <c r="IN49" s="1">
        <f t="shared" si="193"/>
        <v>0</v>
      </c>
      <c r="IO49" s="1">
        <f t="shared" si="193"/>
        <v>0</v>
      </c>
      <c r="IP49" s="1">
        <f t="shared" si="193"/>
        <v>0</v>
      </c>
      <c r="IQ49" s="1">
        <f t="shared" si="193"/>
        <v>0</v>
      </c>
      <c r="IR49" s="1">
        <f t="shared" si="193"/>
        <v>0</v>
      </c>
      <c r="IS49" s="1">
        <f t="shared" si="193"/>
        <v>0</v>
      </c>
      <c r="IT49" s="1">
        <f t="shared" si="193"/>
        <v>0</v>
      </c>
      <c r="IU49" s="1">
        <f t="shared" si="193"/>
        <v>0</v>
      </c>
      <c r="IV49" s="1">
        <f t="shared" si="193"/>
        <v>0</v>
      </c>
      <c r="IW49" s="1">
        <f t="shared" si="193"/>
        <v>0</v>
      </c>
      <c r="IX49" s="1">
        <f t="shared" si="193"/>
        <v>0</v>
      </c>
      <c r="IY49" s="1">
        <f t="shared" ref="IY49:LJ49" si="194">IY33</f>
        <v>0</v>
      </c>
      <c r="IZ49" s="1">
        <f t="shared" si="194"/>
        <v>0</v>
      </c>
      <c r="JA49" s="1">
        <f t="shared" si="194"/>
        <v>0</v>
      </c>
      <c r="JB49" s="1">
        <f t="shared" si="194"/>
        <v>0</v>
      </c>
      <c r="JC49" s="1">
        <f t="shared" si="194"/>
        <v>0</v>
      </c>
      <c r="JD49" s="1">
        <f t="shared" si="194"/>
        <v>0</v>
      </c>
      <c r="JE49" s="1">
        <f t="shared" si="194"/>
        <v>0</v>
      </c>
      <c r="JF49" s="1">
        <f t="shared" si="194"/>
        <v>0</v>
      </c>
      <c r="JG49" s="1">
        <f t="shared" si="194"/>
        <v>0</v>
      </c>
      <c r="JH49" s="1">
        <f t="shared" si="194"/>
        <v>0</v>
      </c>
      <c r="JI49" s="1">
        <f t="shared" si="194"/>
        <v>0</v>
      </c>
      <c r="JJ49" s="1">
        <f t="shared" si="194"/>
        <v>0</v>
      </c>
      <c r="JK49" s="1">
        <f t="shared" si="194"/>
        <v>0</v>
      </c>
      <c r="JL49" s="1">
        <f t="shared" si="194"/>
        <v>0</v>
      </c>
      <c r="JM49" s="1">
        <f t="shared" si="194"/>
        <v>0</v>
      </c>
      <c r="JN49" s="1">
        <f t="shared" si="194"/>
        <v>0</v>
      </c>
      <c r="JO49" s="1">
        <f t="shared" si="194"/>
        <v>0</v>
      </c>
      <c r="JP49" s="1">
        <f t="shared" si="194"/>
        <v>0</v>
      </c>
      <c r="JQ49" s="1">
        <f t="shared" si="194"/>
        <v>0</v>
      </c>
      <c r="JR49" s="1">
        <f t="shared" si="194"/>
        <v>0</v>
      </c>
      <c r="JS49" s="1">
        <f t="shared" si="194"/>
        <v>0</v>
      </c>
      <c r="JT49" s="1">
        <f t="shared" si="194"/>
        <v>0</v>
      </c>
      <c r="JU49" s="1">
        <f t="shared" si="194"/>
        <v>0</v>
      </c>
      <c r="JV49" s="1">
        <f t="shared" si="194"/>
        <v>0</v>
      </c>
      <c r="JW49" s="1">
        <f t="shared" si="194"/>
        <v>0</v>
      </c>
      <c r="JX49" s="1">
        <f t="shared" si="194"/>
        <v>0</v>
      </c>
      <c r="JY49" s="1">
        <f t="shared" si="194"/>
        <v>0</v>
      </c>
      <c r="JZ49" s="1">
        <f t="shared" si="194"/>
        <v>0</v>
      </c>
      <c r="KA49" s="1">
        <f t="shared" si="194"/>
        <v>0</v>
      </c>
      <c r="KB49" s="1">
        <f t="shared" si="194"/>
        <v>0</v>
      </c>
      <c r="KC49" s="1">
        <f t="shared" si="194"/>
        <v>0</v>
      </c>
      <c r="KD49" s="1">
        <f t="shared" si="194"/>
        <v>0</v>
      </c>
      <c r="KE49" s="1">
        <f t="shared" si="194"/>
        <v>0</v>
      </c>
      <c r="KF49" s="1">
        <f t="shared" si="194"/>
        <v>0</v>
      </c>
      <c r="KG49" s="1">
        <f t="shared" si="194"/>
        <v>0</v>
      </c>
      <c r="KH49" s="1">
        <f t="shared" si="194"/>
        <v>0</v>
      </c>
      <c r="KI49" s="1">
        <f t="shared" si="194"/>
        <v>0</v>
      </c>
      <c r="KJ49" s="1">
        <f t="shared" si="194"/>
        <v>0</v>
      </c>
      <c r="KK49" s="1">
        <f t="shared" si="194"/>
        <v>0</v>
      </c>
      <c r="KL49" s="1">
        <f t="shared" si="194"/>
        <v>0</v>
      </c>
      <c r="KM49" s="1">
        <f t="shared" si="194"/>
        <v>0</v>
      </c>
      <c r="KN49" s="1">
        <f t="shared" si="194"/>
        <v>0</v>
      </c>
      <c r="KO49" s="1">
        <f t="shared" si="194"/>
        <v>0</v>
      </c>
      <c r="KP49" s="1">
        <f t="shared" si="194"/>
        <v>0</v>
      </c>
      <c r="KQ49" s="1">
        <f t="shared" si="194"/>
        <v>0</v>
      </c>
      <c r="KR49" s="1">
        <f t="shared" si="194"/>
        <v>0</v>
      </c>
      <c r="KS49" s="1">
        <f t="shared" si="194"/>
        <v>0</v>
      </c>
      <c r="KT49" s="1">
        <f t="shared" si="194"/>
        <v>0</v>
      </c>
      <c r="KU49" s="1">
        <f t="shared" si="194"/>
        <v>0</v>
      </c>
      <c r="KV49" s="1">
        <f t="shared" si="194"/>
        <v>0</v>
      </c>
      <c r="KW49" s="1">
        <f t="shared" si="194"/>
        <v>0</v>
      </c>
      <c r="KX49" s="1">
        <f t="shared" si="194"/>
        <v>0</v>
      </c>
      <c r="KY49" s="1">
        <f t="shared" si="194"/>
        <v>0</v>
      </c>
      <c r="KZ49" s="1">
        <f t="shared" si="194"/>
        <v>0</v>
      </c>
      <c r="LA49" s="1">
        <f t="shared" si="194"/>
        <v>0</v>
      </c>
      <c r="LB49" s="1">
        <f t="shared" si="194"/>
        <v>0</v>
      </c>
      <c r="LC49" s="1">
        <f t="shared" si="194"/>
        <v>0</v>
      </c>
      <c r="LD49" s="1">
        <f t="shared" si="194"/>
        <v>0</v>
      </c>
      <c r="LE49" s="1">
        <f t="shared" si="194"/>
        <v>0</v>
      </c>
      <c r="LF49" s="1">
        <f t="shared" si="194"/>
        <v>0</v>
      </c>
      <c r="LG49" s="1">
        <f t="shared" si="194"/>
        <v>0</v>
      </c>
      <c r="LH49" s="1">
        <f t="shared" si="194"/>
        <v>0</v>
      </c>
      <c r="LI49" s="1">
        <f t="shared" si="194"/>
        <v>0</v>
      </c>
      <c r="LJ49" s="1">
        <f t="shared" si="194"/>
        <v>0</v>
      </c>
      <c r="LK49" s="1">
        <f t="shared" ref="LK49:NV49" si="195">LK33</f>
        <v>0</v>
      </c>
      <c r="LL49" s="1">
        <f t="shared" si="195"/>
        <v>0</v>
      </c>
      <c r="LM49" s="1">
        <f t="shared" si="195"/>
        <v>0</v>
      </c>
      <c r="LN49" s="1">
        <f t="shared" si="195"/>
        <v>0</v>
      </c>
      <c r="LO49" s="1">
        <f t="shared" si="195"/>
        <v>0</v>
      </c>
      <c r="LP49" s="1">
        <f t="shared" si="195"/>
        <v>0</v>
      </c>
      <c r="LQ49" s="1">
        <f t="shared" si="195"/>
        <v>0</v>
      </c>
      <c r="LR49" s="1">
        <f t="shared" si="195"/>
        <v>0</v>
      </c>
      <c r="LS49" s="1">
        <f t="shared" si="195"/>
        <v>0</v>
      </c>
      <c r="LT49" s="1">
        <f t="shared" si="195"/>
        <v>0</v>
      </c>
      <c r="LU49" s="1">
        <f t="shared" si="195"/>
        <v>0</v>
      </c>
      <c r="LV49" s="1">
        <f t="shared" si="195"/>
        <v>0</v>
      </c>
      <c r="LW49" s="1">
        <f t="shared" si="195"/>
        <v>0</v>
      </c>
      <c r="LX49" s="1">
        <f t="shared" si="195"/>
        <v>0</v>
      </c>
      <c r="LY49" s="1">
        <f t="shared" si="195"/>
        <v>0</v>
      </c>
      <c r="LZ49" s="1">
        <f t="shared" si="195"/>
        <v>0</v>
      </c>
      <c r="MA49" s="1">
        <f t="shared" si="195"/>
        <v>0</v>
      </c>
      <c r="MB49" s="1">
        <f t="shared" si="195"/>
        <v>0</v>
      </c>
      <c r="MC49" s="1">
        <f t="shared" si="195"/>
        <v>0</v>
      </c>
      <c r="MD49" s="1">
        <f t="shared" si="195"/>
        <v>0</v>
      </c>
      <c r="ME49" s="1">
        <f t="shared" si="195"/>
        <v>0</v>
      </c>
      <c r="MF49" s="1">
        <f t="shared" si="195"/>
        <v>0</v>
      </c>
      <c r="MG49" s="1">
        <f t="shared" si="195"/>
        <v>0</v>
      </c>
      <c r="MH49" s="1">
        <f t="shared" si="195"/>
        <v>0</v>
      </c>
      <c r="MI49" s="1">
        <f t="shared" si="195"/>
        <v>0</v>
      </c>
      <c r="MJ49" s="1">
        <f t="shared" si="195"/>
        <v>0</v>
      </c>
      <c r="MK49" s="1">
        <f t="shared" si="195"/>
        <v>0</v>
      </c>
      <c r="ML49" s="1">
        <f t="shared" si="195"/>
        <v>0</v>
      </c>
      <c r="MM49" s="1">
        <f t="shared" si="195"/>
        <v>0</v>
      </c>
      <c r="MN49" s="1">
        <f t="shared" si="195"/>
        <v>0</v>
      </c>
      <c r="MO49" s="1">
        <f t="shared" si="195"/>
        <v>0</v>
      </c>
      <c r="MP49" s="1">
        <f t="shared" si="195"/>
        <v>0</v>
      </c>
      <c r="MQ49" s="1">
        <f t="shared" si="195"/>
        <v>0</v>
      </c>
      <c r="MR49" s="1">
        <f t="shared" si="195"/>
        <v>0</v>
      </c>
      <c r="MS49" s="1">
        <f t="shared" si="195"/>
        <v>0</v>
      </c>
      <c r="MT49" s="1">
        <f t="shared" si="195"/>
        <v>0</v>
      </c>
      <c r="MU49" s="1">
        <f t="shared" si="195"/>
        <v>0</v>
      </c>
      <c r="MV49" s="1">
        <f t="shared" si="195"/>
        <v>0</v>
      </c>
      <c r="MW49" s="1">
        <f t="shared" si="195"/>
        <v>0</v>
      </c>
      <c r="MX49" s="1">
        <f t="shared" si="195"/>
        <v>0</v>
      </c>
      <c r="MY49" s="1">
        <f t="shared" si="195"/>
        <v>0</v>
      </c>
      <c r="MZ49" s="1">
        <f t="shared" si="195"/>
        <v>0</v>
      </c>
      <c r="NA49" s="1">
        <f t="shared" si="195"/>
        <v>0</v>
      </c>
      <c r="NB49" s="1">
        <f t="shared" si="195"/>
        <v>0</v>
      </c>
      <c r="NC49" s="1">
        <f t="shared" si="195"/>
        <v>0</v>
      </c>
      <c r="ND49" s="1">
        <f t="shared" si="195"/>
        <v>0</v>
      </c>
      <c r="NE49" s="1">
        <f t="shared" si="195"/>
        <v>0</v>
      </c>
      <c r="NF49" s="1">
        <f t="shared" si="195"/>
        <v>0</v>
      </c>
      <c r="NG49" s="1">
        <f t="shared" si="195"/>
        <v>0</v>
      </c>
      <c r="NH49" s="1">
        <f t="shared" si="195"/>
        <v>0</v>
      </c>
      <c r="NI49" s="1">
        <f t="shared" si="195"/>
        <v>0</v>
      </c>
      <c r="NJ49" s="1">
        <f t="shared" si="195"/>
        <v>0</v>
      </c>
      <c r="NK49" s="1">
        <f t="shared" si="195"/>
        <v>0</v>
      </c>
      <c r="NL49" s="1">
        <f t="shared" si="195"/>
        <v>0</v>
      </c>
      <c r="NM49" s="1">
        <f t="shared" si="195"/>
        <v>0</v>
      </c>
      <c r="NN49" s="1">
        <f t="shared" si="195"/>
        <v>0</v>
      </c>
      <c r="NO49" s="1">
        <f t="shared" si="195"/>
        <v>0</v>
      </c>
      <c r="NP49" s="1">
        <f t="shared" si="195"/>
        <v>0</v>
      </c>
      <c r="NQ49" s="1">
        <f t="shared" si="195"/>
        <v>0</v>
      </c>
      <c r="NR49" s="1">
        <f t="shared" si="195"/>
        <v>0</v>
      </c>
      <c r="NS49" s="1">
        <f t="shared" si="195"/>
        <v>0</v>
      </c>
      <c r="NT49" s="1">
        <f t="shared" si="195"/>
        <v>0</v>
      </c>
      <c r="NU49" s="1">
        <f t="shared" si="195"/>
        <v>0</v>
      </c>
      <c r="NV49" s="1">
        <f t="shared" si="195"/>
        <v>0</v>
      </c>
      <c r="NW49" s="1">
        <f t="shared" ref="NW49:QH49" si="196">NW33</f>
        <v>0</v>
      </c>
      <c r="NX49" s="1">
        <f t="shared" si="196"/>
        <v>0</v>
      </c>
      <c r="NY49" s="1">
        <f t="shared" si="196"/>
        <v>0</v>
      </c>
      <c r="NZ49" s="1">
        <f t="shared" si="196"/>
        <v>0</v>
      </c>
      <c r="OA49" s="1">
        <f t="shared" si="196"/>
        <v>0</v>
      </c>
      <c r="OB49" s="1">
        <f t="shared" si="196"/>
        <v>0</v>
      </c>
      <c r="OC49" s="1">
        <f t="shared" si="196"/>
        <v>0</v>
      </c>
      <c r="OD49" s="1">
        <f t="shared" si="196"/>
        <v>0</v>
      </c>
      <c r="OE49" s="1">
        <f t="shared" si="196"/>
        <v>0</v>
      </c>
      <c r="OF49" s="1">
        <f t="shared" si="196"/>
        <v>0</v>
      </c>
      <c r="OG49" s="1">
        <f t="shared" si="196"/>
        <v>0</v>
      </c>
      <c r="OH49" s="1">
        <f t="shared" si="196"/>
        <v>0</v>
      </c>
      <c r="OI49" s="1">
        <f t="shared" si="196"/>
        <v>0</v>
      </c>
      <c r="OJ49" s="1">
        <f t="shared" si="196"/>
        <v>0</v>
      </c>
      <c r="OK49" s="1">
        <f t="shared" si="196"/>
        <v>0</v>
      </c>
      <c r="OL49" s="1">
        <f t="shared" si="196"/>
        <v>0</v>
      </c>
      <c r="OM49" s="1">
        <f t="shared" si="196"/>
        <v>0</v>
      </c>
      <c r="ON49" s="1">
        <f t="shared" si="196"/>
        <v>0</v>
      </c>
      <c r="OO49" s="1">
        <f t="shared" si="196"/>
        <v>0</v>
      </c>
      <c r="OP49" s="1">
        <f t="shared" si="196"/>
        <v>0</v>
      </c>
      <c r="OQ49" s="1">
        <f t="shared" si="196"/>
        <v>0</v>
      </c>
      <c r="OR49" s="1">
        <f t="shared" si="196"/>
        <v>0</v>
      </c>
      <c r="OS49" s="1">
        <f t="shared" si="196"/>
        <v>0</v>
      </c>
      <c r="OT49" s="1">
        <f t="shared" si="196"/>
        <v>0</v>
      </c>
      <c r="OU49" s="1">
        <f t="shared" si="196"/>
        <v>0</v>
      </c>
      <c r="OV49" s="1">
        <f t="shared" si="196"/>
        <v>0</v>
      </c>
      <c r="OW49" s="1">
        <f t="shared" si="196"/>
        <v>0</v>
      </c>
      <c r="OX49" s="1">
        <f t="shared" si="196"/>
        <v>0</v>
      </c>
      <c r="OY49" s="1">
        <f t="shared" si="196"/>
        <v>0</v>
      </c>
      <c r="OZ49" s="1">
        <f t="shared" si="196"/>
        <v>0</v>
      </c>
      <c r="PA49" s="1">
        <f t="shared" si="196"/>
        <v>0</v>
      </c>
      <c r="PB49" s="1">
        <f t="shared" si="196"/>
        <v>0</v>
      </c>
      <c r="PC49" s="1">
        <f t="shared" si="196"/>
        <v>0</v>
      </c>
      <c r="PD49" s="1">
        <f t="shared" si="196"/>
        <v>0</v>
      </c>
      <c r="PE49" s="1">
        <f t="shared" si="196"/>
        <v>0</v>
      </c>
      <c r="PF49" s="1">
        <f t="shared" si="196"/>
        <v>0</v>
      </c>
      <c r="PG49" s="1">
        <f t="shared" si="196"/>
        <v>0</v>
      </c>
      <c r="PH49" s="1">
        <f t="shared" si="196"/>
        <v>0</v>
      </c>
      <c r="PI49" s="1">
        <f t="shared" si="196"/>
        <v>0</v>
      </c>
      <c r="PJ49" s="1">
        <f t="shared" si="196"/>
        <v>0</v>
      </c>
      <c r="PK49" s="1">
        <f t="shared" si="196"/>
        <v>0</v>
      </c>
      <c r="PL49" s="1">
        <f t="shared" si="196"/>
        <v>0</v>
      </c>
      <c r="PM49" s="1">
        <f t="shared" si="196"/>
        <v>0</v>
      </c>
      <c r="PN49" s="1">
        <f t="shared" si="196"/>
        <v>0</v>
      </c>
      <c r="PO49" s="1">
        <f t="shared" si="196"/>
        <v>0</v>
      </c>
      <c r="PP49" s="1">
        <f t="shared" si="196"/>
        <v>0</v>
      </c>
      <c r="PQ49" s="1">
        <f t="shared" si="196"/>
        <v>0</v>
      </c>
      <c r="PR49" s="1">
        <f t="shared" si="196"/>
        <v>0</v>
      </c>
      <c r="PS49" s="1">
        <f t="shared" si="196"/>
        <v>0</v>
      </c>
      <c r="PT49" s="1">
        <f t="shared" si="196"/>
        <v>0</v>
      </c>
      <c r="PU49" s="1">
        <f t="shared" si="196"/>
        <v>0</v>
      </c>
      <c r="PV49" s="1">
        <f t="shared" si="196"/>
        <v>0</v>
      </c>
      <c r="PW49" s="1">
        <f t="shared" si="196"/>
        <v>0</v>
      </c>
      <c r="PX49" s="1">
        <f t="shared" si="196"/>
        <v>0</v>
      </c>
      <c r="PY49" s="1">
        <f t="shared" si="196"/>
        <v>0</v>
      </c>
      <c r="PZ49" s="1">
        <f t="shared" si="196"/>
        <v>0</v>
      </c>
      <c r="QA49" s="1">
        <f t="shared" si="196"/>
        <v>0</v>
      </c>
      <c r="QB49" s="1">
        <f t="shared" si="196"/>
        <v>0</v>
      </c>
      <c r="QC49" s="1">
        <f t="shared" si="196"/>
        <v>0</v>
      </c>
      <c r="QD49" s="1">
        <f t="shared" si="196"/>
        <v>0</v>
      </c>
      <c r="QE49" s="1">
        <f t="shared" si="196"/>
        <v>0</v>
      </c>
      <c r="QF49" s="1">
        <f t="shared" si="196"/>
        <v>0</v>
      </c>
      <c r="QG49" s="1">
        <f t="shared" si="196"/>
        <v>0</v>
      </c>
      <c r="QH49" s="1">
        <f t="shared" si="196"/>
        <v>0</v>
      </c>
      <c r="QI49" s="1">
        <f t="shared" ref="QI49:SG49" si="197">QI33</f>
        <v>0</v>
      </c>
      <c r="QJ49" s="1">
        <f t="shared" si="197"/>
        <v>0</v>
      </c>
      <c r="QK49" s="1">
        <f t="shared" si="197"/>
        <v>0</v>
      </c>
      <c r="QL49" s="1">
        <f t="shared" si="197"/>
        <v>0</v>
      </c>
      <c r="QM49" s="1">
        <f t="shared" si="197"/>
        <v>0</v>
      </c>
      <c r="QN49" s="1">
        <f t="shared" si="197"/>
        <v>0</v>
      </c>
      <c r="QO49" s="1">
        <f t="shared" si="197"/>
        <v>0</v>
      </c>
      <c r="QP49" s="1">
        <f t="shared" si="197"/>
        <v>0</v>
      </c>
      <c r="QQ49" s="1">
        <f t="shared" si="197"/>
        <v>0</v>
      </c>
      <c r="QR49" s="1">
        <f t="shared" si="197"/>
        <v>0</v>
      </c>
      <c r="QS49" s="1">
        <f t="shared" si="197"/>
        <v>0</v>
      </c>
      <c r="QT49" s="1">
        <f t="shared" si="197"/>
        <v>0</v>
      </c>
      <c r="QU49" s="1">
        <f t="shared" si="197"/>
        <v>0</v>
      </c>
      <c r="QV49" s="1">
        <f t="shared" si="197"/>
        <v>0</v>
      </c>
      <c r="QW49" s="1">
        <f t="shared" si="197"/>
        <v>0</v>
      </c>
      <c r="QX49" s="1">
        <f t="shared" si="197"/>
        <v>0</v>
      </c>
      <c r="QY49" s="1">
        <f t="shared" si="197"/>
        <v>0</v>
      </c>
      <c r="QZ49" s="1">
        <f t="shared" si="197"/>
        <v>0</v>
      </c>
      <c r="RA49" s="1">
        <f t="shared" si="197"/>
        <v>0</v>
      </c>
      <c r="RB49" s="1">
        <f t="shared" si="197"/>
        <v>0</v>
      </c>
      <c r="RC49" s="1">
        <f t="shared" si="197"/>
        <v>0</v>
      </c>
      <c r="RD49" s="1">
        <f t="shared" si="197"/>
        <v>0</v>
      </c>
      <c r="RE49" s="1">
        <f t="shared" si="197"/>
        <v>0</v>
      </c>
      <c r="RF49" s="1">
        <f t="shared" si="197"/>
        <v>0</v>
      </c>
      <c r="RG49" s="1">
        <f t="shared" si="197"/>
        <v>0</v>
      </c>
      <c r="RH49" s="1">
        <f t="shared" si="197"/>
        <v>0</v>
      </c>
      <c r="RI49" s="1">
        <f t="shared" si="197"/>
        <v>0</v>
      </c>
      <c r="RJ49" s="1">
        <f t="shared" si="197"/>
        <v>0</v>
      </c>
      <c r="RK49" s="1">
        <f t="shared" si="197"/>
        <v>0</v>
      </c>
      <c r="RL49" s="1">
        <f t="shared" si="197"/>
        <v>0</v>
      </c>
      <c r="RM49" s="1">
        <f t="shared" si="197"/>
        <v>0</v>
      </c>
      <c r="RN49" s="1">
        <f t="shared" si="197"/>
        <v>0</v>
      </c>
      <c r="RO49" s="1">
        <f t="shared" si="197"/>
        <v>0</v>
      </c>
      <c r="RP49" s="1">
        <f t="shared" si="197"/>
        <v>0</v>
      </c>
      <c r="RQ49" s="1">
        <f t="shared" si="197"/>
        <v>0</v>
      </c>
      <c r="RR49" s="1">
        <f t="shared" si="197"/>
        <v>0</v>
      </c>
      <c r="RS49" s="1">
        <f t="shared" si="197"/>
        <v>0</v>
      </c>
      <c r="RT49" s="1">
        <f t="shared" si="197"/>
        <v>0</v>
      </c>
      <c r="RU49" s="1">
        <f t="shared" si="197"/>
        <v>0</v>
      </c>
      <c r="RV49" s="1">
        <f t="shared" si="197"/>
        <v>0</v>
      </c>
      <c r="RW49" s="1">
        <f t="shared" si="197"/>
        <v>0</v>
      </c>
      <c r="RX49" s="1">
        <f t="shared" si="197"/>
        <v>0</v>
      </c>
      <c r="RY49" s="1">
        <f t="shared" si="197"/>
        <v>0</v>
      </c>
      <c r="RZ49" s="1">
        <f t="shared" si="197"/>
        <v>0</v>
      </c>
      <c r="SA49" s="1">
        <f t="shared" si="197"/>
        <v>0</v>
      </c>
      <c r="SB49" s="1">
        <f t="shared" si="197"/>
        <v>0</v>
      </c>
      <c r="SC49" s="1">
        <f t="shared" si="197"/>
        <v>0</v>
      </c>
      <c r="SD49" s="1">
        <f t="shared" si="197"/>
        <v>0</v>
      </c>
      <c r="SE49" s="1">
        <f t="shared" si="197"/>
        <v>0</v>
      </c>
      <c r="SF49" s="1">
        <f t="shared" si="197"/>
        <v>0</v>
      </c>
      <c r="SG49" s="1">
        <f t="shared" si="197"/>
        <v>0</v>
      </c>
      <c r="SH49" s="1">
        <f t="shared" ref="SH49:US49" si="198">SH33</f>
        <v>0</v>
      </c>
      <c r="SI49" s="1">
        <f t="shared" si="198"/>
        <v>0</v>
      </c>
      <c r="SJ49" s="1">
        <f t="shared" si="198"/>
        <v>0</v>
      </c>
      <c r="SK49" s="1">
        <f t="shared" si="198"/>
        <v>0</v>
      </c>
      <c r="SL49" s="1">
        <f t="shared" si="198"/>
        <v>0</v>
      </c>
      <c r="SM49" s="1">
        <f t="shared" si="198"/>
        <v>0</v>
      </c>
      <c r="SN49" s="1">
        <f t="shared" si="198"/>
        <v>0</v>
      </c>
      <c r="SO49" s="1">
        <f t="shared" si="198"/>
        <v>0</v>
      </c>
      <c r="SP49" s="1">
        <f t="shared" si="198"/>
        <v>0</v>
      </c>
      <c r="SQ49" s="1">
        <f t="shared" si="198"/>
        <v>0</v>
      </c>
      <c r="SR49" s="1">
        <f t="shared" si="198"/>
        <v>0</v>
      </c>
      <c r="SS49" s="1">
        <f t="shared" si="198"/>
        <v>0</v>
      </c>
      <c r="ST49" s="1">
        <f t="shared" si="198"/>
        <v>0</v>
      </c>
      <c r="SU49" s="1">
        <f t="shared" si="198"/>
        <v>0</v>
      </c>
      <c r="SV49" s="1">
        <f t="shared" si="198"/>
        <v>0</v>
      </c>
      <c r="SW49" s="1">
        <f t="shared" si="198"/>
        <v>0</v>
      </c>
      <c r="SX49" s="1">
        <f t="shared" si="198"/>
        <v>0</v>
      </c>
      <c r="SY49" s="1">
        <f t="shared" si="198"/>
        <v>0</v>
      </c>
      <c r="SZ49" s="1">
        <f t="shared" si="198"/>
        <v>0</v>
      </c>
      <c r="TA49" s="1">
        <f t="shared" si="198"/>
        <v>0</v>
      </c>
      <c r="TB49" s="1">
        <f t="shared" si="198"/>
        <v>0</v>
      </c>
      <c r="TC49" s="1">
        <f t="shared" si="198"/>
        <v>0</v>
      </c>
      <c r="TD49" s="1">
        <f t="shared" si="198"/>
        <v>0</v>
      </c>
      <c r="TE49" s="1">
        <f t="shared" si="198"/>
        <v>0</v>
      </c>
      <c r="TF49" s="1">
        <f t="shared" si="198"/>
        <v>0</v>
      </c>
      <c r="TG49" s="1">
        <f t="shared" si="198"/>
        <v>0</v>
      </c>
      <c r="TH49" s="1">
        <f t="shared" si="198"/>
        <v>0</v>
      </c>
      <c r="TI49" s="1">
        <f t="shared" si="198"/>
        <v>0</v>
      </c>
      <c r="TJ49" s="1">
        <f t="shared" si="198"/>
        <v>0</v>
      </c>
      <c r="TK49" s="1">
        <f t="shared" si="198"/>
        <v>0</v>
      </c>
      <c r="TL49" s="1">
        <f t="shared" si="198"/>
        <v>0</v>
      </c>
      <c r="TM49" s="1">
        <f t="shared" si="198"/>
        <v>0</v>
      </c>
      <c r="TN49" s="1">
        <f t="shared" si="198"/>
        <v>0</v>
      </c>
      <c r="TO49" s="1">
        <f t="shared" si="198"/>
        <v>0</v>
      </c>
      <c r="TP49" s="1">
        <f t="shared" si="198"/>
        <v>0</v>
      </c>
      <c r="TQ49" s="1">
        <f t="shared" si="198"/>
        <v>0</v>
      </c>
      <c r="TR49" s="1">
        <f t="shared" si="198"/>
        <v>0</v>
      </c>
      <c r="TS49" s="1">
        <f t="shared" si="198"/>
        <v>0</v>
      </c>
      <c r="TT49" s="1">
        <f t="shared" si="198"/>
        <v>0</v>
      </c>
      <c r="TU49" s="1">
        <f t="shared" si="198"/>
        <v>0</v>
      </c>
      <c r="TV49" s="1">
        <f t="shared" si="198"/>
        <v>0</v>
      </c>
      <c r="TW49" s="1">
        <f t="shared" si="198"/>
        <v>0</v>
      </c>
      <c r="TX49" s="1">
        <f t="shared" si="198"/>
        <v>0</v>
      </c>
      <c r="TY49" s="1">
        <f t="shared" si="198"/>
        <v>0</v>
      </c>
      <c r="TZ49" s="1">
        <f t="shared" si="198"/>
        <v>0</v>
      </c>
      <c r="UA49" s="1">
        <f t="shared" si="198"/>
        <v>0</v>
      </c>
      <c r="UB49" s="1">
        <f t="shared" si="198"/>
        <v>0</v>
      </c>
      <c r="UC49" s="1">
        <f t="shared" si="198"/>
        <v>0</v>
      </c>
      <c r="UD49" s="1">
        <f t="shared" si="198"/>
        <v>0</v>
      </c>
      <c r="UE49" s="1">
        <f t="shared" si="198"/>
        <v>0</v>
      </c>
      <c r="UF49" s="1">
        <f t="shared" si="198"/>
        <v>0</v>
      </c>
      <c r="UG49" s="1">
        <f t="shared" si="198"/>
        <v>0</v>
      </c>
      <c r="UH49" s="1">
        <f t="shared" si="198"/>
        <v>0</v>
      </c>
      <c r="UI49" s="1">
        <f t="shared" si="198"/>
        <v>0</v>
      </c>
      <c r="UJ49" s="1">
        <f t="shared" si="198"/>
        <v>0</v>
      </c>
      <c r="UK49" s="1">
        <f t="shared" si="198"/>
        <v>0</v>
      </c>
      <c r="UL49" s="1">
        <f t="shared" si="198"/>
        <v>0</v>
      </c>
      <c r="UM49" s="1">
        <f t="shared" si="198"/>
        <v>0</v>
      </c>
      <c r="UN49" s="1">
        <f t="shared" si="198"/>
        <v>0</v>
      </c>
      <c r="UO49" s="1">
        <f t="shared" si="198"/>
        <v>0</v>
      </c>
      <c r="UP49" s="1">
        <f t="shared" si="198"/>
        <v>0</v>
      </c>
      <c r="UQ49" s="1">
        <f t="shared" si="198"/>
        <v>0</v>
      </c>
      <c r="UR49" s="1">
        <f t="shared" si="198"/>
        <v>0</v>
      </c>
      <c r="US49" s="1">
        <f t="shared" si="198"/>
        <v>0</v>
      </c>
      <c r="UT49" s="1">
        <f t="shared" ref="UT49:XE49" si="199">UT33</f>
        <v>0</v>
      </c>
      <c r="UU49" s="1">
        <f t="shared" si="199"/>
        <v>0</v>
      </c>
      <c r="UV49" s="1">
        <f t="shared" si="199"/>
        <v>0</v>
      </c>
      <c r="UW49" s="1">
        <f t="shared" si="199"/>
        <v>0</v>
      </c>
      <c r="UX49" s="1">
        <f t="shared" si="199"/>
        <v>0</v>
      </c>
      <c r="UY49" s="1">
        <f t="shared" si="199"/>
        <v>0</v>
      </c>
      <c r="UZ49" s="1">
        <f t="shared" si="199"/>
        <v>0</v>
      </c>
      <c r="VA49" s="1">
        <f t="shared" si="199"/>
        <v>0</v>
      </c>
      <c r="VB49" s="1">
        <f t="shared" si="199"/>
        <v>0</v>
      </c>
      <c r="VC49" s="1">
        <f t="shared" si="199"/>
        <v>0</v>
      </c>
      <c r="VD49" s="1">
        <f t="shared" si="199"/>
        <v>0</v>
      </c>
      <c r="VE49" s="1">
        <f t="shared" si="199"/>
        <v>0</v>
      </c>
      <c r="VF49" s="1">
        <f t="shared" si="199"/>
        <v>0</v>
      </c>
      <c r="VG49" s="1">
        <f t="shared" si="199"/>
        <v>0</v>
      </c>
      <c r="VH49" s="1">
        <f t="shared" si="199"/>
        <v>0</v>
      </c>
      <c r="VI49" s="1">
        <f t="shared" si="199"/>
        <v>0</v>
      </c>
      <c r="VJ49" s="1">
        <f t="shared" si="199"/>
        <v>0</v>
      </c>
      <c r="VK49" s="1">
        <f t="shared" si="199"/>
        <v>0</v>
      </c>
      <c r="VL49" s="1">
        <f t="shared" si="199"/>
        <v>0</v>
      </c>
      <c r="VM49" s="1">
        <f t="shared" si="199"/>
        <v>0</v>
      </c>
      <c r="VN49" s="1">
        <f t="shared" si="199"/>
        <v>0</v>
      </c>
      <c r="VO49" s="1">
        <f t="shared" si="199"/>
        <v>0</v>
      </c>
      <c r="VP49" s="1">
        <f t="shared" si="199"/>
        <v>0</v>
      </c>
      <c r="VQ49" s="1">
        <f t="shared" si="199"/>
        <v>0</v>
      </c>
      <c r="VR49" s="1">
        <f t="shared" si="199"/>
        <v>0</v>
      </c>
      <c r="VS49" s="1">
        <f t="shared" si="199"/>
        <v>0</v>
      </c>
      <c r="VT49" s="1">
        <f t="shared" si="199"/>
        <v>0</v>
      </c>
      <c r="VU49" s="1">
        <f t="shared" si="199"/>
        <v>0</v>
      </c>
      <c r="VV49" s="1">
        <f t="shared" si="199"/>
        <v>0</v>
      </c>
      <c r="VW49" s="1">
        <f t="shared" si="199"/>
        <v>0</v>
      </c>
      <c r="VX49" s="1">
        <f t="shared" si="199"/>
        <v>0</v>
      </c>
      <c r="VY49" s="1">
        <f t="shared" si="199"/>
        <v>0</v>
      </c>
      <c r="VZ49" s="1">
        <f t="shared" si="199"/>
        <v>0</v>
      </c>
      <c r="WA49" s="1">
        <f t="shared" si="199"/>
        <v>0</v>
      </c>
      <c r="WB49" s="1">
        <f t="shared" si="199"/>
        <v>0</v>
      </c>
      <c r="WC49" s="1">
        <f t="shared" si="199"/>
        <v>0</v>
      </c>
      <c r="WD49" s="1">
        <f t="shared" si="199"/>
        <v>0</v>
      </c>
      <c r="WE49" s="1">
        <f t="shared" si="199"/>
        <v>0</v>
      </c>
      <c r="WF49" s="1">
        <f t="shared" si="199"/>
        <v>0</v>
      </c>
      <c r="WG49" s="1">
        <f t="shared" si="199"/>
        <v>0</v>
      </c>
      <c r="WH49" s="1">
        <f t="shared" si="199"/>
        <v>0</v>
      </c>
      <c r="WI49" s="1">
        <f t="shared" si="199"/>
        <v>0</v>
      </c>
      <c r="WJ49" s="1">
        <f t="shared" si="199"/>
        <v>0</v>
      </c>
      <c r="WK49" s="1">
        <f t="shared" si="199"/>
        <v>0</v>
      </c>
      <c r="WL49" s="1">
        <f t="shared" si="199"/>
        <v>0</v>
      </c>
      <c r="WM49" s="1">
        <f t="shared" si="199"/>
        <v>0</v>
      </c>
      <c r="WN49" s="1">
        <f t="shared" si="199"/>
        <v>0</v>
      </c>
      <c r="WO49" s="1">
        <f t="shared" si="199"/>
        <v>0</v>
      </c>
      <c r="WP49" s="1">
        <f t="shared" si="199"/>
        <v>0</v>
      </c>
      <c r="WQ49" s="1">
        <f t="shared" si="199"/>
        <v>0</v>
      </c>
      <c r="WR49" s="1">
        <f t="shared" si="199"/>
        <v>0</v>
      </c>
      <c r="WS49" s="1">
        <f t="shared" si="199"/>
        <v>0</v>
      </c>
      <c r="WT49" s="1">
        <f t="shared" si="199"/>
        <v>0</v>
      </c>
      <c r="WU49" s="1">
        <f t="shared" si="199"/>
        <v>0</v>
      </c>
      <c r="WV49" s="1">
        <f t="shared" si="199"/>
        <v>0</v>
      </c>
      <c r="WW49" s="1">
        <f t="shared" si="199"/>
        <v>0</v>
      </c>
      <c r="WX49" s="1">
        <f t="shared" si="199"/>
        <v>0</v>
      </c>
      <c r="WY49" s="1">
        <f t="shared" si="199"/>
        <v>0</v>
      </c>
      <c r="WZ49" s="1">
        <f t="shared" si="199"/>
        <v>0</v>
      </c>
      <c r="XA49" s="1">
        <f t="shared" si="199"/>
        <v>0</v>
      </c>
      <c r="XB49" s="1">
        <f t="shared" si="199"/>
        <v>0</v>
      </c>
      <c r="XC49" s="1">
        <f t="shared" si="199"/>
        <v>0</v>
      </c>
      <c r="XD49" s="1">
        <f t="shared" si="199"/>
        <v>0</v>
      </c>
      <c r="XE49" s="1">
        <f t="shared" si="199"/>
        <v>0</v>
      </c>
      <c r="XF49" s="1">
        <f t="shared" ref="XF49:ZQ49" si="200">XF33</f>
        <v>0</v>
      </c>
      <c r="XG49" s="1">
        <f t="shared" si="200"/>
        <v>0</v>
      </c>
      <c r="XH49" s="1">
        <f t="shared" si="200"/>
        <v>0</v>
      </c>
      <c r="XI49" s="1">
        <f t="shared" si="200"/>
        <v>0</v>
      </c>
      <c r="XJ49" s="1">
        <f t="shared" si="200"/>
        <v>0</v>
      </c>
      <c r="XK49" s="1">
        <f t="shared" si="200"/>
        <v>0</v>
      </c>
      <c r="XL49" s="1">
        <f t="shared" si="200"/>
        <v>0</v>
      </c>
      <c r="XM49" s="1">
        <f t="shared" si="200"/>
        <v>0</v>
      </c>
      <c r="XN49" s="1">
        <f t="shared" si="200"/>
        <v>0</v>
      </c>
      <c r="XO49" s="1">
        <f t="shared" si="200"/>
        <v>0</v>
      </c>
      <c r="XP49" s="1">
        <f t="shared" si="200"/>
        <v>0</v>
      </c>
      <c r="XQ49" s="1">
        <f t="shared" si="200"/>
        <v>0</v>
      </c>
      <c r="XR49" s="1">
        <f t="shared" si="200"/>
        <v>0</v>
      </c>
      <c r="XS49" s="1">
        <f t="shared" si="200"/>
        <v>0</v>
      </c>
      <c r="XT49" s="1">
        <f t="shared" si="200"/>
        <v>0</v>
      </c>
      <c r="XU49" s="1">
        <f t="shared" si="200"/>
        <v>0</v>
      </c>
      <c r="XV49" s="1">
        <f t="shared" si="200"/>
        <v>0</v>
      </c>
      <c r="XW49" s="1">
        <f t="shared" si="200"/>
        <v>0</v>
      </c>
      <c r="XX49" s="1">
        <f t="shared" si="200"/>
        <v>0</v>
      </c>
      <c r="XY49" s="1">
        <f t="shared" si="200"/>
        <v>0</v>
      </c>
      <c r="XZ49" s="1">
        <f t="shared" si="200"/>
        <v>0</v>
      </c>
      <c r="YA49" s="1">
        <f t="shared" si="200"/>
        <v>0</v>
      </c>
      <c r="YB49" s="1">
        <f t="shared" si="200"/>
        <v>0</v>
      </c>
      <c r="YC49" s="1">
        <f t="shared" si="200"/>
        <v>0</v>
      </c>
      <c r="YD49" s="1">
        <f t="shared" si="200"/>
        <v>0</v>
      </c>
      <c r="YE49" s="1">
        <f t="shared" si="200"/>
        <v>0</v>
      </c>
      <c r="YF49" s="1">
        <f t="shared" si="200"/>
        <v>0</v>
      </c>
      <c r="YG49" s="1">
        <f t="shared" si="200"/>
        <v>0</v>
      </c>
      <c r="YH49" s="1">
        <f t="shared" si="200"/>
        <v>0</v>
      </c>
      <c r="YI49" s="1">
        <f t="shared" si="200"/>
        <v>0</v>
      </c>
      <c r="YJ49" s="1">
        <f t="shared" si="200"/>
        <v>0</v>
      </c>
      <c r="YK49" s="1">
        <f t="shared" si="200"/>
        <v>0</v>
      </c>
      <c r="YL49" s="1">
        <f t="shared" si="200"/>
        <v>0</v>
      </c>
      <c r="YM49" s="1">
        <f t="shared" si="200"/>
        <v>0</v>
      </c>
      <c r="YN49" s="1">
        <f t="shared" si="200"/>
        <v>0</v>
      </c>
      <c r="YO49" s="1">
        <f t="shared" si="200"/>
        <v>0</v>
      </c>
      <c r="YP49" s="1">
        <f t="shared" si="200"/>
        <v>0</v>
      </c>
      <c r="YQ49" s="1">
        <f t="shared" si="200"/>
        <v>0</v>
      </c>
      <c r="YR49" s="1">
        <f t="shared" si="200"/>
        <v>0</v>
      </c>
      <c r="YS49" s="1">
        <f t="shared" si="200"/>
        <v>0</v>
      </c>
      <c r="YT49" s="1">
        <f t="shared" si="200"/>
        <v>0</v>
      </c>
      <c r="YU49" s="1">
        <f t="shared" si="200"/>
        <v>0</v>
      </c>
      <c r="YV49" s="1">
        <f t="shared" si="200"/>
        <v>0</v>
      </c>
      <c r="YW49" s="1">
        <f t="shared" si="200"/>
        <v>0</v>
      </c>
      <c r="YX49" s="1">
        <f t="shared" si="200"/>
        <v>0</v>
      </c>
      <c r="YY49" s="1">
        <f t="shared" si="200"/>
        <v>0</v>
      </c>
      <c r="YZ49" s="1">
        <f t="shared" si="200"/>
        <v>0</v>
      </c>
      <c r="ZA49" s="1">
        <f t="shared" si="200"/>
        <v>0</v>
      </c>
      <c r="ZB49" s="1">
        <f t="shared" si="200"/>
        <v>0</v>
      </c>
      <c r="ZC49" s="1">
        <f t="shared" si="200"/>
        <v>0</v>
      </c>
      <c r="ZD49" s="1">
        <f t="shared" si="200"/>
        <v>0</v>
      </c>
      <c r="ZE49" s="1">
        <f t="shared" si="200"/>
        <v>0</v>
      </c>
      <c r="ZF49" s="1">
        <f t="shared" si="200"/>
        <v>0</v>
      </c>
      <c r="ZG49" s="1">
        <f t="shared" si="200"/>
        <v>0</v>
      </c>
      <c r="ZH49" s="1">
        <f t="shared" si="200"/>
        <v>0</v>
      </c>
      <c r="ZI49" s="1">
        <f t="shared" si="200"/>
        <v>0</v>
      </c>
      <c r="ZJ49" s="1">
        <f t="shared" si="200"/>
        <v>0</v>
      </c>
      <c r="ZK49" s="1">
        <f t="shared" si="200"/>
        <v>0</v>
      </c>
      <c r="ZL49" s="1">
        <f t="shared" si="200"/>
        <v>0</v>
      </c>
      <c r="ZM49" s="1">
        <f t="shared" si="200"/>
        <v>0</v>
      </c>
      <c r="ZN49" s="1">
        <f t="shared" si="200"/>
        <v>0</v>
      </c>
      <c r="ZO49" s="1">
        <f t="shared" si="200"/>
        <v>0</v>
      </c>
      <c r="ZP49" s="1">
        <f t="shared" si="200"/>
        <v>0</v>
      </c>
      <c r="ZQ49" s="1">
        <f t="shared" si="200"/>
        <v>0</v>
      </c>
      <c r="ZR49" s="1">
        <f t="shared" ref="ZR49:ACC49" si="201">ZR33</f>
        <v>0</v>
      </c>
      <c r="ZS49" s="1">
        <f t="shared" si="201"/>
        <v>0</v>
      </c>
      <c r="ZT49" s="1">
        <f t="shared" si="201"/>
        <v>0</v>
      </c>
      <c r="ZU49" s="1">
        <f t="shared" si="201"/>
        <v>0</v>
      </c>
      <c r="ZV49" s="1">
        <f t="shared" si="201"/>
        <v>0</v>
      </c>
      <c r="ZW49" s="1">
        <f t="shared" si="201"/>
        <v>0</v>
      </c>
      <c r="ZX49" s="1">
        <f t="shared" si="201"/>
        <v>0</v>
      </c>
      <c r="ZY49" s="1">
        <f t="shared" si="201"/>
        <v>0</v>
      </c>
      <c r="ZZ49" s="1">
        <f t="shared" si="201"/>
        <v>0</v>
      </c>
      <c r="AAA49" s="1">
        <f t="shared" si="201"/>
        <v>0</v>
      </c>
      <c r="AAB49" s="1">
        <f t="shared" si="201"/>
        <v>0</v>
      </c>
      <c r="AAC49" s="1">
        <f t="shared" si="201"/>
        <v>0</v>
      </c>
      <c r="AAD49" s="1">
        <f t="shared" si="201"/>
        <v>0</v>
      </c>
      <c r="AAE49" s="1">
        <f t="shared" si="201"/>
        <v>0</v>
      </c>
      <c r="AAF49" s="1">
        <f t="shared" si="201"/>
        <v>0</v>
      </c>
      <c r="AAG49" s="1">
        <f t="shared" si="201"/>
        <v>0</v>
      </c>
      <c r="AAH49" s="1">
        <f t="shared" si="201"/>
        <v>0</v>
      </c>
      <c r="AAI49" s="1">
        <f t="shared" si="201"/>
        <v>0</v>
      </c>
      <c r="AAJ49" s="1">
        <f t="shared" si="201"/>
        <v>0</v>
      </c>
      <c r="AAK49" s="1">
        <f t="shared" si="201"/>
        <v>0</v>
      </c>
      <c r="AAL49" s="1">
        <f t="shared" si="201"/>
        <v>0</v>
      </c>
      <c r="AAM49" s="1">
        <f t="shared" si="201"/>
        <v>0</v>
      </c>
      <c r="AAN49" s="1">
        <f t="shared" si="201"/>
        <v>0</v>
      </c>
      <c r="AAO49" s="1">
        <f t="shared" si="201"/>
        <v>0</v>
      </c>
      <c r="AAP49" s="1">
        <f t="shared" si="201"/>
        <v>0</v>
      </c>
      <c r="AAQ49" s="1">
        <f t="shared" si="201"/>
        <v>0</v>
      </c>
      <c r="AAR49" s="1">
        <f t="shared" si="201"/>
        <v>0</v>
      </c>
      <c r="AAS49" s="1">
        <f t="shared" si="201"/>
        <v>0</v>
      </c>
      <c r="AAT49" s="1">
        <f t="shared" si="201"/>
        <v>0</v>
      </c>
      <c r="AAU49" s="1">
        <f t="shared" si="201"/>
        <v>0</v>
      </c>
      <c r="AAV49" s="1">
        <f t="shared" si="201"/>
        <v>0</v>
      </c>
      <c r="AAW49" s="1">
        <f t="shared" si="201"/>
        <v>0</v>
      </c>
      <c r="AAX49" s="1">
        <f t="shared" si="201"/>
        <v>0</v>
      </c>
      <c r="AAY49" s="1">
        <f t="shared" si="201"/>
        <v>0</v>
      </c>
      <c r="AAZ49" s="1">
        <f t="shared" si="201"/>
        <v>0</v>
      </c>
      <c r="ABA49" s="1">
        <f t="shared" si="201"/>
        <v>0</v>
      </c>
      <c r="ABB49" s="1">
        <f t="shared" si="201"/>
        <v>0</v>
      </c>
      <c r="ABC49" s="1">
        <f t="shared" si="201"/>
        <v>0</v>
      </c>
      <c r="ABD49" s="1">
        <f t="shared" si="201"/>
        <v>0</v>
      </c>
      <c r="ABE49" s="1">
        <f t="shared" si="201"/>
        <v>0</v>
      </c>
      <c r="ABF49" s="1">
        <f t="shared" si="201"/>
        <v>0</v>
      </c>
      <c r="ABG49" s="1">
        <f t="shared" si="201"/>
        <v>0</v>
      </c>
      <c r="ABH49" s="1">
        <f t="shared" si="201"/>
        <v>0</v>
      </c>
      <c r="ABI49" s="1">
        <f t="shared" si="201"/>
        <v>0</v>
      </c>
      <c r="ABJ49" s="1">
        <f t="shared" si="201"/>
        <v>0</v>
      </c>
      <c r="ABK49" s="1">
        <f t="shared" si="201"/>
        <v>0</v>
      </c>
      <c r="ABL49" s="1">
        <f t="shared" si="201"/>
        <v>0</v>
      </c>
      <c r="ABM49" s="1">
        <f t="shared" si="201"/>
        <v>0</v>
      </c>
      <c r="ABN49" s="1">
        <f t="shared" si="201"/>
        <v>0</v>
      </c>
      <c r="ABO49" s="1">
        <f t="shared" si="201"/>
        <v>0</v>
      </c>
      <c r="ABP49" s="1">
        <f t="shared" si="201"/>
        <v>0</v>
      </c>
      <c r="ABQ49" s="1">
        <f t="shared" si="201"/>
        <v>0</v>
      </c>
      <c r="ABR49" s="1">
        <f t="shared" si="201"/>
        <v>0</v>
      </c>
      <c r="ABS49" s="1">
        <f t="shared" si="201"/>
        <v>0</v>
      </c>
      <c r="ABT49" s="1">
        <f t="shared" si="201"/>
        <v>0</v>
      </c>
      <c r="ABU49" s="1">
        <f t="shared" si="201"/>
        <v>0</v>
      </c>
      <c r="ABV49" s="1">
        <f t="shared" si="201"/>
        <v>0</v>
      </c>
      <c r="ABW49" s="1">
        <f t="shared" si="201"/>
        <v>0</v>
      </c>
      <c r="ABX49" s="1">
        <f t="shared" si="201"/>
        <v>0</v>
      </c>
      <c r="ABY49" s="1">
        <f t="shared" si="201"/>
        <v>0</v>
      </c>
      <c r="ABZ49" s="1">
        <f t="shared" si="201"/>
        <v>0</v>
      </c>
      <c r="ACA49" s="1">
        <f t="shared" si="201"/>
        <v>0</v>
      </c>
      <c r="ACB49" s="1">
        <f t="shared" si="201"/>
        <v>0</v>
      </c>
      <c r="ACC49" s="1">
        <f t="shared" si="201"/>
        <v>0</v>
      </c>
      <c r="ACD49" s="1">
        <f t="shared" ref="ACD49:AEO49" si="202">ACD33</f>
        <v>0</v>
      </c>
      <c r="ACE49" s="1">
        <f t="shared" si="202"/>
        <v>0</v>
      </c>
      <c r="ACF49" s="1">
        <f t="shared" si="202"/>
        <v>0</v>
      </c>
      <c r="ACG49" s="1">
        <f t="shared" si="202"/>
        <v>0</v>
      </c>
      <c r="ACH49" s="1">
        <f t="shared" si="202"/>
        <v>0</v>
      </c>
      <c r="ACI49" s="1">
        <f t="shared" si="202"/>
        <v>0</v>
      </c>
      <c r="ACJ49" s="1">
        <f t="shared" si="202"/>
        <v>0</v>
      </c>
      <c r="ACK49" s="1">
        <f t="shared" si="202"/>
        <v>0</v>
      </c>
      <c r="ACL49" s="1">
        <f t="shared" si="202"/>
        <v>0</v>
      </c>
      <c r="ACM49" s="1">
        <f t="shared" si="202"/>
        <v>0</v>
      </c>
      <c r="ACN49" s="1">
        <f t="shared" si="202"/>
        <v>0</v>
      </c>
      <c r="ACO49" s="1">
        <f t="shared" si="202"/>
        <v>0</v>
      </c>
      <c r="ACP49" s="1">
        <f t="shared" si="202"/>
        <v>0</v>
      </c>
      <c r="ACQ49" s="1">
        <f t="shared" si="202"/>
        <v>0</v>
      </c>
      <c r="ACR49" s="1">
        <f t="shared" si="202"/>
        <v>0</v>
      </c>
      <c r="ACS49" s="1">
        <f t="shared" si="202"/>
        <v>0</v>
      </c>
      <c r="ACT49" s="1">
        <f t="shared" si="202"/>
        <v>0</v>
      </c>
      <c r="ACU49" s="1">
        <f t="shared" si="202"/>
        <v>0</v>
      </c>
      <c r="ACV49" s="1">
        <f t="shared" si="202"/>
        <v>0</v>
      </c>
      <c r="ACW49" s="1">
        <f t="shared" si="202"/>
        <v>0</v>
      </c>
      <c r="ACX49" s="1">
        <f t="shared" si="202"/>
        <v>0</v>
      </c>
      <c r="ACY49" s="1">
        <f t="shared" si="202"/>
        <v>0</v>
      </c>
      <c r="ACZ49" s="1">
        <f t="shared" si="202"/>
        <v>0</v>
      </c>
      <c r="ADA49" s="1">
        <f t="shared" si="202"/>
        <v>0</v>
      </c>
      <c r="ADB49" s="1">
        <f t="shared" si="202"/>
        <v>0</v>
      </c>
      <c r="ADC49" s="1">
        <f t="shared" si="202"/>
        <v>0</v>
      </c>
      <c r="ADD49" s="1">
        <f t="shared" si="202"/>
        <v>0</v>
      </c>
      <c r="ADE49" s="1">
        <f t="shared" si="202"/>
        <v>0</v>
      </c>
      <c r="ADF49" s="1">
        <f t="shared" si="202"/>
        <v>0</v>
      </c>
      <c r="ADG49" s="1">
        <f t="shared" si="202"/>
        <v>0</v>
      </c>
      <c r="ADH49" s="1">
        <f t="shared" si="202"/>
        <v>0</v>
      </c>
      <c r="ADI49" s="1">
        <f t="shared" si="202"/>
        <v>0</v>
      </c>
      <c r="ADJ49" s="1">
        <f t="shared" si="202"/>
        <v>0</v>
      </c>
      <c r="ADK49" s="1">
        <f t="shared" si="202"/>
        <v>0</v>
      </c>
      <c r="ADL49" s="1">
        <f t="shared" si="202"/>
        <v>0</v>
      </c>
      <c r="ADM49" s="1">
        <f t="shared" si="202"/>
        <v>0</v>
      </c>
      <c r="ADN49" s="1">
        <f t="shared" si="202"/>
        <v>0</v>
      </c>
      <c r="ADO49" s="1">
        <f t="shared" si="202"/>
        <v>0</v>
      </c>
      <c r="ADP49" s="1">
        <f t="shared" si="202"/>
        <v>0</v>
      </c>
      <c r="ADQ49" s="1">
        <f t="shared" si="202"/>
        <v>0</v>
      </c>
      <c r="ADR49" s="1">
        <f t="shared" si="202"/>
        <v>0</v>
      </c>
      <c r="ADS49" s="1">
        <f t="shared" si="202"/>
        <v>0</v>
      </c>
      <c r="ADT49" s="1">
        <f t="shared" si="202"/>
        <v>0</v>
      </c>
      <c r="ADU49" s="1">
        <f t="shared" si="202"/>
        <v>0</v>
      </c>
      <c r="ADV49" s="1">
        <f t="shared" si="202"/>
        <v>0</v>
      </c>
      <c r="ADW49" s="1">
        <f t="shared" si="202"/>
        <v>0</v>
      </c>
      <c r="ADX49" s="1">
        <f t="shared" si="202"/>
        <v>0</v>
      </c>
      <c r="ADY49" s="1">
        <f t="shared" si="202"/>
        <v>0</v>
      </c>
      <c r="ADZ49" s="1">
        <f t="shared" si="202"/>
        <v>0</v>
      </c>
      <c r="AEA49" s="1">
        <f t="shared" si="202"/>
        <v>0</v>
      </c>
      <c r="AEB49" s="1">
        <f t="shared" si="202"/>
        <v>0</v>
      </c>
      <c r="AEC49" s="1">
        <f t="shared" si="202"/>
        <v>0</v>
      </c>
      <c r="AED49" s="1">
        <f t="shared" si="202"/>
        <v>0</v>
      </c>
      <c r="AEE49" s="1">
        <f t="shared" si="202"/>
        <v>0</v>
      </c>
      <c r="AEF49" s="1">
        <f t="shared" si="202"/>
        <v>0</v>
      </c>
      <c r="AEG49" s="1">
        <f t="shared" si="202"/>
        <v>0</v>
      </c>
      <c r="AEH49" s="1">
        <f t="shared" si="202"/>
        <v>0</v>
      </c>
      <c r="AEI49" s="1">
        <f t="shared" si="202"/>
        <v>0</v>
      </c>
      <c r="AEJ49" s="1">
        <f t="shared" si="202"/>
        <v>0</v>
      </c>
      <c r="AEK49" s="1">
        <f t="shared" si="202"/>
        <v>0</v>
      </c>
      <c r="AEL49" s="1">
        <f t="shared" si="202"/>
        <v>0</v>
      </c>
      <c r="AEM49" s="1">
        <f t="shared" si="202"/>
        <v>0</v>
      </c>
      <c r="AEN49" s="1">
        <f t="shared" si="202"/>
        <v>0</v>
      </c>
      <c r="AEO49" s="1">
        <f t="shared" si="202"/>
        <v>0</v>
      </c>
      <c r="AEP49" s="1">
        <f t="shared" ref="AEP49:AHA49" si="203">AEP33</f>
        <v>0</v>
      </c>
      <c r="AEQ49" s="1">
        <f t="shared" si="203"/>
        <v>0</v>
      </c>
      <c r="AER49" s="1">
        <f t="shared" si="203"/>
        <v>0</v>
      </c>
      <c r="AES49" s="1">
        <f t="shared" si="203"/>
        <v>0</v>
      </c>
      <c r="AET49" s="1">
        <f t="shared" si="203"/>
        <v>0</v>
      </c>
      <c r="AEU49" s="1">
        <f t="shared" si="203"/>
        <v>0</v>
      </c>
      <c r="AEV49" s="1">
        <f t="shared" si="203"/>
        <v>0</v>
      </c>
      <c r="AEW49" s="1">
        <f t="shared" si="203"/>
        <v>0</v>
      </c>
      <c r="AEX49" s="1">
        <f t="shared" si="203"/>
        <v>0</v>
      </c>
      <c r="AEY49" s="1">
        <f t="shared" si="203"/>
        <v>0</v>
      </c>
      <c r="AEZ49" s="1">
        <f t="shared" si="203"/>
        <v>0</v>
      </c>
      <c r="AFA49" s="1">
        <f t="shared" si="203"/>
        <v>0</v>
      </c>
      <c r="AFB49" s="1">
        <f t="shared" si="203"/>
        <v>0</v>
      </c>
      <c r="AFC49" s="1">
        <f t="shared" si="203"/>
        <v>0</v>
      </c>
      <c r="AFD49" s="1">
        <f t="shared" si="203"/>
        <v>0</v>
      </c>
      <c r="AFE49" s="1">
        <f t="shared" si="203"/>
        <v>0</v>
      </c>
      <c r="AFF49" s="1">
        <f t="shared" si="203"/>
        <v>0</v>
      </c>
      <c r="AFG49" s="1">
        <f t="shared" si="203"/>
        <v>0</v>
      </c>
      <c r="AFH49" s="1">
        <f t="shared" si="203"/>
        <v>0</v>
      </c>
      <c r="AFI49" s="1">
        <f t="shared" si="203"/>
        <v>0</v>
      </c>
      <c r="AFJ49" s="1">
        <f t="shared" si="203"/>
        <v>0</v>
      </c>
      <c r="AFK49" s="1">
        <f t="shared" si="203"/>
        <v>0</v>
      </c>
      <c r="AFL49" s="1">
        <f t="shared" si="203"/>
        <v>0</v>
      </c>
      <c r="AFM49" s="1">
        <f t="shared" si="203"/>
        <v>0</v>
      </c>
      <c r="AFN49" s="1">
        <f t="shared" si="203"/>
        <v>0</v>
      </c>
      <c r="AFO49" s="1">
        <f t="shared" si="203"/>
        <v>0</v>
      </c>
      <c r="AFP49" s="1">
        <f t="shared" si="203"/>
        <v>0</v>
      </c>
      <c r="AFQ49" s="1">
        <f t="shared" si="203"/>
        <v>0</v>
      </c>
      <c r="AFR49" s="1">
        <f t="shared" si="203"/>
        <v>0</v>
      </c>
      <c r="AFS49" s="1">
        <f t="shared" si="203"/>
        <v>0</v>
      </c>
      <c r="AFT49" s="1">
        <f t="shared" si="203"/>
        <v>0</v>
      </c>
      <c r="AFU49" s="1">
        <f t="shared" si="203"/>
        <v>0</v>
      </c>
      <c r="AFV49" s="1">
        <f t="shared" si="203"/>
        <v>0</v>
      </c>
      <c r="AFW49" s="1">
        <f t="shared" si="203"/>
        <v>0</v>
      </c>
      <c r="AFX49" s="1">
        <f t="shared" si="203"/>
        <v>0</v>
      </c>
      <c r="AFY49" s="1">
        <f t="shared" si="203"/>
        <v>0</v>
      </c>
      <c r="AFZ49" s="1">
        <f t="shared" si="203"/>
        <v>0</v>
      </c>
      <c r="AGA49" s="1">
        <f t="shared" si="203"/>
        <v>0</v>
      </c>
      <c r="AGB49" s="1">
        <f t="shared" si="203"/>
        <v>0</v>
      </c>
      <c r="AGC49" s="1">
        <f t="shared" si="203"/>
        <v>0</v>
      </c>
      <c r="AGD49" s="1">
        <f t="shared" si="203"/>
        <v>0</v>
      </c>
      <c r="AGE49" s="1">
        <f t="shared" si="203"/>
        <v>0</v>
      </c>
      <c r="AGF49" s="1">
        <f t="shared" si="203"/>
        <v>0</v>
      </c>
      <c r="AGG49" s="1">
        <f t="shared" si="203"/>
        <v>0</v>
      </c>
      <c r="AGH49" s="1">
        <f t="shared" si="203"/>
        <v>0</v>
      </c>
      <c r="AGI49" s="1">
        <f t="shared" si="203"/>
        <v>0</v>
      </c>
      <c r="AGJ49" s="1">
        <f t="shared" si="203"/>
        <v>0</v>
      </c>
      <c r="AGK49" s="1">
        <f t="shared" si="203"/>
        <v>0</v>
      </c>
      <c r="AGL49" s="1">
        <f t="shared" si="203"/>
        <v>0</v>
      </c>
      <c r="AGM49" s="1">
        <f t="shared" si="203"/>
        <v>0</v>
      </c>
      <c r="AGN49" s="1">
        <f t="shared" si="203"/>
        <v>0</v>
      </c>
      <c r="AGO49" s="1">
        <f t="shared" si="203"/>
        <v>0</v>
      </c>
      <c r="AGP49" s="1">
        <f t="shared" si="203"/>
        <v>0</v>
      </c>
      <c r="AGQ49" s="1">
        <f t="shared" si="203"/>
        <v>0</v>
      </c>
      <c r="AGR49" s="1">
        <f t="shared" si="203"/>
        <v>0</v>
      </c>
      <c r="AGS49" s="1">
        <f t="shared" si="203"/>
        <v>0</v>
      </c>
      <c r="AGT49" s="1">
        <f t="shared" si="203"/>
        <v>0</v>
      </c>
      <c r="AGU49" s="1">
        <f t="shared" si="203"/>
        <v>0</v>
      </c>
      <c r="AGV49" s="1">
        <f t="shared" si="203"/>
        <v>0</v>
      </c>
      <c r="AGW49" s="1">
        <f t="shared" si="203"/>
        <v>0</v>
      </c>
      <c r="AGX49" s="1">
        <f t="shared" si="203"/>
        <v>0</v>
      </c>
      <c r="AGY49" s="1">
        <f t="shared" si="203"/>
        <v>0</v>
      </c>
      <c r="AGZ49" s="1">
        <f t="shared" si="203"/>
        <v>0</v>
      </c>
      <c r="AHA49" s="1">
        <f t="shared" si="203"/>
        <v>0</v>
      </c>
      <c r="AHB49" s="1">
        <f t="shared" ref="AHB49:AJM49" si="204">AHB33</f>
        <v>0</v>
      </c>
      <c r="AHC49" s="1">
        <f t="shared" si="204"/>
        <v>0</v>
      </c>
      <c r="AHD49" s="1">
        <f t="shared" si="204"/>
        <v>0</v>
      </c>
      <c r="AHE49" s="1">
        <f t="shared" si="204"/>
        <v>0</v>
      </c>
      <c r="AHF49" s="1">
        <f t="shared" si="204"/>
        <v>0</v>
      </c>
      <c r="AHG49" s="1">
        <f t="shared" si="204"/>
        <v>0</v>
      </c>
      <c r="AHH49" s="1">
        <f t="shared" si="204"/>
        <v>0</v>
      </c>
      <c r="AHI49" s="1">
        <f t="shared" si="204"/>
        <v>0</v>
      </c>
      <c r="AHJ49" s="1">
        <f t="shared" si="204"/>
        <v>0</v>
      </c>
      <c r="AHK49" s="1">
        <f t="shared" si="204"/>
        <v>0</v>
      </c>
      <c r="AHL49" s="1">
        <f t="shared" si="204"/>
        <v>0</v>
      </c>
      <c r="AHM49" s="1">
        <f t="shared" si="204"/>
        <v>0</v>
      </c>
      <c r="AHN49" s="1">
        <f t="shared" si="204"/>
        <v>0</v>
      </c>
      <c r="AHO49" s="1">
        <f t="shared" si="204"/>
        <v>0</v>
      </c>
      <c r="AHP49" s="1">
        <f t="shared" si="204"/>
        <v>0</v>
      </c>
      <c r="AHQ49" s="1">
        <f t="shared" si="204"/>
        <v>0</v>
      </c>
      <c r="AHR49" s="1">
        <f t="shared" si="204"/>
        <v>0</v>
      </c>
      <c r="AHS49" s="1">
        <f t="shared" si="204"/>
        <v>0</v>
      </c>
      <c r="AHT49" s="1">
        <f t="shared" si="204"/>
        <v>0</v>
      </c>
      <c r="AHU49" s="1">
        <f t="shared" si="204"/>
        <v>0</v>
      </c>
      <c r="AHV49" s="1">
        <f t="shared" si="204"/>
        <v>0</v>
      </c>
      <c r="AHW49" s="1">
        <f t="shared" si="204"/>
        <v>0</v>
      </c>
      <c r="AHX49" s="1">
        <f t="shared" si="204"/>
        <v>0</v>
      </c>
      <c r="AHY49" s="1">
        <f t="shared" si="204"/>
        <v>0</v>
      </c>
      <c r="AHZ49" s="1">
        <f t="shared" si="204"/>
        <v>0</v>
      </c>
      <c r="AIA49" s="1">
        <f t="shared" si="204"/>
        <v>0</v>
      </c>
      <c r="AIB49" s="1">
        <f t="shared" si="204"/>
        <v>0</v>
      </c>
      <c r="AIC49" s="1">
        <f t="shared" si="204"/>
        <v>0</v>
      </c>
      <c r="AID49" s="1">
        <f t="shared" si="204"/>
        <v>0</v>
      </c>
      <c r="AIE49" s="1">
        <f t="shared" si="204"/>
        <v>0</v>
      </c>
      <c r="AIF49" s="1">
        <f t="shared" si="204"/>
        <v>0</v>
      </c>
      <c r="AIG49" s="1">
        <f t="shared" si="204"/>
        <v>0</v>
      </c>
      <c r="AIH49" s="1">
        <f t="shared" si="204"/>
        <v>0</v>
      </c>
      <c r="AII49" s="1">
        <f t="shared" si="204"/>
        <v>0</v>
      </c>
      <c r="AIJ49" s="1">
        <f t="shared" si="204"/>
        <v>0</v>
      </c>
      <c r="AIK49" s="1">
        <f t="shared" si="204"/>
        <v>0</v>
      </c>
      <c r="AIL49" s="1">
        <f t="shared" si="204"/>
        <v>0</v>
      </c>
      <c r="AIM49" s="1">
        <f t="shared" si="204"/>
        <v>0</v>
      </c>
      <c r="AIN49" s="1">
        <f t="shared" si="204"/>
        <v>0</v>
      </c>
      <c r="AIO49" s="1">
        <f t="shared" si="204"/>
        <v>0</v>
      </c>
      <c r="AIP49" s="1">
        <f t="shared" si="204"/>
        <v>0</v>
      </c>
      <c r="AIQ49" s="1">
        <f t="shared" si="204"/>
        <v>0</v>
      </c>
      <c r="AIR49" s="1">
        <f t="shared" si="204"/>
        <v>0</v>
      </c>
      <c r="AIS49" s="1">
        <f t="shared" si="204"/>
        <v>0</v>
      </c>
      <c r="AIT49" s="1">
        <f t="shared" si="204"/>
        <v>0</v>
      </c>
      <c r="AIU49" s="1">
        <f t="shared" si="204"/>
        <v>0</v>
      </c>
      <c r="AIV49" s="1">
        <f t="shared" si="204"/>
        <v>0</v>
      </c>
      <c r="AIW49" s="1">
        <f t="shared" si="204"/>
        <v>0</v>
      </c>
      <c r="AIX49" s="1">
        <f t="shared" si="204"/>
        <v>0</v>
      </c>
      <c r="AIY49" s="1">
        <f t="shared" si="204"/>
        <v>0</v>
      </c>
      <c r="AIZ49" s="1">
        <f t="shared" si="204"/>
        <v>0</v>
      </c>
      <c r="AJA49" s="1">
        <f t="shared" si="204"/>
        <v>0</v>
      </c>
      <c r="AJB49" s="1">
        <f t="shared" si="204"/>
        <v>0</v>
      </c>
      <c r="AJC49" s="1">
        <f t="shared" si="204"/>
        <v>0</v>
      </c>
      <c r="AJD49" s="1">
        <f t="shared" si="204"/>
        <v>0</v>
      </c>
      <c r="AJE49" s="1">
        <f t="shared" si="204"/>
        <v>0</v>
      </c>
      <c r="AJF49" s="1">
        <f t="shared" si="204"/>
        <v>0</v>
      </c>
      <c r="AJG49" s="1">
        <f t="shared" si="204"/>
        <v>0</v>
      </c>
      <c r="AJH49" s="1">
        <f t="shared" si="204"/>
        <v>0</v>
      </c>
      <c r="AJI49" s="1">
        <f t="shared" si="204"/>
        <v>0</v>
      </c>
      <c r="AJJ49" s="1">
        <f t="shared" si="204"/>
        <v>0</v>
      </c>
      <c r="AJK49" s="1">
        <f t="shared" si="204"/>
        <v>0</v>
      </c>
      <c r="AJL49" s="1">
        <f t="shared" si="204"/>
        <v>0</v>
      </c>
      <c r="AJM49" s="1">
        <f t="shared" si="204"/>
        <v>0</v>
      </c>
      <c r="AJN49" s="1">
        <f t="shared" ref="AJN49:ALM49" si="205">AJN33</f>
        <v>0</v>
      </c>
      <c r="AJO49" s="1">
        <f t="shared" si="205"/>
        <v>0</v>
      </c>
      <c r="AJP49" s="1">
        <f t="shared" si="205"/>
        <v>0</v>
      </c>
      <c r="AJQ49" s="1">
        <f t="shared" si="205"/>
        <v>0</v>
      </c>
      <c r="AJR49" s="1">
        <f t="shared" si="205"/>
        <v>0</v>
      </c>
      <c r="AJS49" s="1">
        <f t="shared" si="205"/>
        <v>0</v>
      </c>
      <c r="AJT49" s="1">
        <f t="shared" si="205"/>
        <v>0</v>
      </c>
      <c r="AJU49" s="1">
        <f t="shared" si="205"/>
        <v>0</v>
      </c>
      <c r="AJV49" s="1">
        <f t="shared" si="205"/>
        <v>0</v>
      </c>
      <c r="AJW49" s="1">
        <f t="shared" si="205"/>
        <v>0</v>
      </c>
      <c r="AJX49" s="1">
        <f t="shared" si="205"/>
        <v>0</v>
      </c>
      <c r="AJY49" s="1">
        <f t="shared" si="205"/>
        <v>0</v>
      </c>
      <c r="AJZ49" s="1">
        <f t="shared" si="205"/>
        <v>0</v>
      </c>
      <c r="AKA49" s="1">
        <f t="shared" si="205"/>
        <v>0</v>
      </c>
      <c r="AKB49" s="1">
        <f t="shared" si="205"/>
        <v>0</v>
      </c>
      <c r="AKC49" s="1">
        <f t="shared" si="205"/>
        <v>0</v>
      </c>
      <c r="AKD49" s="1">
        <f t="shared" si="205"/>
        <v>0</v>
      </c>
      <c r="AKE49" s="1">
        <f t="shared" si="205"/>
        <v>0</v>
      </c>
      <c r="AKF49" s="1">
        <f t="shared" si="205"/>
        <v>0</v>
      </c>
      <c r="AKG49" s="1">
        <f t="shared" si="205"/>
        <v>0</v>
      </c>
      <c r="AKH49" s="1">
        <f t="shared" si="205"/>
        <v>0</v>
      </c>
      <c r="AKI49" s="1">
        <f t="shared" si="205"/>
        <v>0</v>
      </c>
      <c r="AKJ49" s="1">
        <f t="shared" si="205"/>
        <v>0</v>
      </c>
      <c r="AKK49" s="1">
        <f t="shared" si="205"/>
        <v>0</v>
      </c>
      <c r="AKL49" s="1">
        <f t="shared" si="205"/>
        <v>0</v>
      </c>
      <c r="AKM49" s="1">
        <f t="shared" si="205"/>
        <v>0</v>
      </c>
      <c r="AKN49" s="1">
        <f t="shared" si="205"/>
        <v>0</v>
      </c>
      <c r="AKO49" s="1">
        <f t="shared" si="205"/>
        <v>0</v>
      </c>
      <c r="AKP49" s="1">
        <f t="shared" si="205"/>
        <v>0</v>
      </c>
      <c r="AKQ49" s="1">
        <f t="shared" si="205"/>
        <v>0</v>
      </c>
      <c r="AKR49" s="1">
        <f t="shared" si="205"/>
        <v>0</v>
      </c>
      <c r="AKS49" s="1">
        <f t="shared" si="205"/>
        <v>0</v>
      </c>
      <c r="AKT49" s="1">
        <f t="shared" si="205"/>
        <v>0</v>
      </c>
      <c r="AKU49" s="1">
        <f t="shared" si="205"/>
        <v>0</v>
      </c>
      <c r="AKV49" s="1">
        <f t="shared" si="205"/>
        <v>0</v>
      </c>
      <c r="AKW49" s="1">
        <f t="shared" si="205"/>
        <v>0</v>
      </c>
      <c r="AKX49" s="1">
        <f t="shared" si="205"/>
        <v>0</v>
      </c>
      <c r="AKY49" s="1">
        <f t="shared" si="205"/>
        <v>0</v>
      </c>
      <c r="AKZ49" s="1">
        <f t="shared" si="205"/>
        <v>0</v>
      </c>
      <c r="ALA49" s="1">
        <f t="shared" si="205"/>
        <v>0</v>
      </c>
      <c r="ALB49" s="1">
        <f t="shared" si="205"/>
        <v>0</v>
      </c>
      <c r="ALC49" s="1">
        <f t="shared" si="205"/>
        <v>0</v>
      </c>
      <c r="ALD49" s="1">
        <f t="shared" si="205"/>
        <v>0</v>
      </c>
      <c r="ALE49" s="1">
        <f t="shared" si="205"/>
        <v>0</v>
      </c>
      <c r="ALF49" s="1">
        <f t="shared" si="205"/>
        <v>0</v>
      </c>
      <c r="ALG49" s="1">
        <f t="shared" si="205"/>
        <v>0</v>
      </c>
      <c r="ALH49" s="1">
        <f t="shared" si="205"/>
        <v>0</v>
      </c>
      <c r="ALI49" s="1">
        <f t="shared" si="205"/>
        <v>0</v>
      </c>
      <c r="ALJ49" s="1">
        <f t="shared" si="205"/>
        <v>0</v>
      </c>
      <c r="ALK49" s="1">
        <f t="shared" si="205"/>
        <v>0</v>
      </c>
      <c r="ALL49" s="1">
        <f t="shared" si="205"/>
        <v>0</v>
      </c>
      <c r="ALM49" s="1">
        <f t="shared" si="205"/>
        <v>0</v>
      </c>
    </row>
    <row r="50" spans="1:1001">
      <c r="A50" s="27"/>
      <c r="B50">
        <f>B34-B15</f>
        <v>0</v>
      </c>
      <c r="C50">
        <f t="shared" ref="C50:BN50" si="206">C34-C15</f>
        <v>0</v>
      </c>
      <c r="D50">
        <f t="shared" si="206"/>
        <v>0</v>
      </c>
      <c r="E50">
        <f t="shared" si="206"/>
        <v>0</v>
      </c>
      <c r="F50">
        <f t="shared" si="206"/>
        <v>0</v>
      </c>
      <c r="G50">
        <f>G34-G15</f>
        <v>0</v>
      </c>
      <c r="H50">
        <f t="shared" si="206"/>
        <v>0</v>
      </c>
      <c r="I50">
        <f t="shared" si="206"/>
        <v>0</v>
      </c>
      <c r="J50">
        <f t="shared" si="206"/>
        <v>0</v>
      </c>
      <c r="K50">
        <f t="shared" si="206"/>
        <v>0</v>
      </c>
      <c r="L50">
        <f t="shared" si="206"/>
        <v>0</v>
      </c>
      <c r="M50">
        <f t="shared" si="206"/>
        <v>0</v>
      </c>
      <c r="N50">
        <f t="shared" si="206"/>
        <v>0</v>
      </c>
      <c r="O50">
        <f t="shared" si="206"/>
        <v>0</v>
      </c>
      <c r="P50">
        <f t="shared" si="206"/>
        <v>0</v>
      </c>
      <c r="Q50">
        <f t="shared" si="206"/>
        <v>0</v>
      </c>
      <c r="R50">
        <f t="shared" si="206"/>
        <v>0</v>
      </c>
      <c r="S50">
        <f t="shared" si="206"/>
        <v>0</v>
      </c>
      <c r="T50">
        <f t="shared" si="206"/>
        <v>0</v>
      </c>
      <c r="U50">
        <f t="shared" si="206"/>
        <v>0</v>
      </c>
      <c r="V50">
        <f t="shared" si="206"/>
        <v>0</v>
      </c>
      <c r="W50">
        <f t="shared" si="206"/>
        <v>0</v>
      </c>
      <c r="X50">
        <f t="shared" si="206"/>
        <v>0</v>
      </c>
      <c r="Y50">
        <f t="shared" si="206"/>
        <v>0</v>
      </c>
      <c r="Z50">
        <f t="shared" si="206"/>
        <v>0</v>
      </c>
      <c r="AA50">
        <f t="shared" si="206"/>
        <v>0</v>
      </c>
      <c r="AB50">
        <f t="shared" si="206"/>
        <v>0</v>
      </c>
      <c r="AC50">
        <f t="shared" si="206"/>
        <v>0</v>
      </c>
      <c r="AD50">
        <f t="shared" si="206"/>
        <v>0</v>
      </c>
      <c r="AE50">
        <f t="shared" si="206"/>
        <v>0</v>
      </c>
      <c r="AF50">
        <f t="shared" si="206"/>
        <v>0</v>
      </c>
      <c r="AG50">
        <f t="shared" si="206"/>
        <v>0</v>
      </c>
      <c r="AH50">
        <f t="shared" si="206"/>
        <v>0</v>
      </c>
      <c r="AI50">
        <f t="shared" si="206"/>
        <v>0</v>
      </c>
      <c r="AJ50">
        <f t="shared" si="206"/>
        <v>0</v>
      </c>
      <c r="AK50">
        <f t="shared" si="206"/>
        <v>0</v>
      </c>
      <c r="AL50">
        <f t="shared" si="206"/>
        <v>0</v>
      </c>
      <c r="AM50">
        <f t="shared" si="206"/>
        <v>0</v>
      </c>
      <c r="AN50">
        <f t="shared" si="206"/>
        <v>0</v>
      </c>
      <c r="AO50">
        <f t="shared" si="206"/>
        <v>0</v>
      </c>
      <c r="AP50">
        <f t="shared" si="206"/>
        <v>0</v>
      </c>
      <c r="AQ50">
        <f t="shared" si="206"/>
        <v>0</v>
      </c>
      <c r="AR50">
        <f t="shared" si="206"/>
        <v>0</v>
      </c>
      <c r="AS50">
        <f t="shared" si="206"/>
        <v>0</v>
      </c>
      <c r="AT50">
        <f t="shared" si="206"/>
        <v>0</v>
      </c>
      <c r="AU50">
        <f t="shared" si="206"/>
        <v>0</v>
      </c>
      <c r="AV50">
        <f t="shared" si="206"/>
        <v>0</v>
      </c>
      <c r="AW50">
        <f t="shared" si="206"/>
        <v>0</v>
      </c>
      <c r="AX50">
        <f t="shared" si="206"/>
        <v>0</v>
      </c>
      <c r="AY50">
        <f t="shared" si="206"/>
        <v>0</v>
      </c>
      <c r="AZ50">
        <f t="shared" si="206"/>
        <v>0</v>
      </c>
      <c r="BA50">
        <f t="shared" si="206"/>
        <v>0</v>
      </c>
      <c r="BB50">
        <f t="shared" si="206"/>
        <v>0</v>
      </c>
      <c r="BC50">
        <f t="shared" si="206"/>
        <v>0</v>
      </c>
      <c r="BD50">
        <f t="shared" si="206"/>
        <v>0</v>
      </c>
      <c r="BE50">
        <f t="shared" si="206"/>
        <v>0</v>
      </c>
      <c r="BF50">
        <f t="shared" si="206"/>
        <v>0</v>
      </c>
      <c r="BG50">
        <f t="shared" si="206"/>
        <v>0</v>
      </c>
      <c r="BH50">
        <f t="shared" si="206"/>
        <v>0</v>
      </c>
      <c r="BI50">
        <f t="shared" si="206"/>
        <v>0</v>
      </c>
      <c r="BJ50">
        <f t="shared" si="206"/>
        <v>0</v>
      </c>
      <c r="BK50">
        <f t="shared" si="206"/>
        <v>0</v>
      </c>
      <c r="BL50">
        <f t="shared" si="206"/>
        <v>0</v>
      </c>
      <c r="BM50">
        <f t="shared" si="206"/>
        <v>0</v>
      </c>
      <c r="BN50">
        <f t="shared" si="206"/>
        <v>0</v>
      </c>
      <c r="BO50">
        <f t="shared" ref="BO50:DZ50" si="207">BO34-BO15</f>
        <v>0</v>
      </c>
      <c r="BP50">
        <f t="shared" si="207"/>
        <v>0</v>
      </c>
      <c r="BQ50">
        <f t="shared" si="207"/>
        <v>0</v>
      </c>
      <c r="BR50">
        <f t="shared" si="207"/>
        <v>0</v>
      </c>
      <c r="BS50">
        <f t="shared" si="207"/>
        <v>0</v>
      </c>
      <c r="BT50">
        <f t="shared" si="207"/>
        <v>0</v>
      </c>
      <c r="BU50">
        <f t="shared" si="207"/>
        <v>0</v>
      </c>
      <c r="BV50">
        <f t="shared" si="207"/>
        <v>0</v>
      </c>
      <c r="BW50">
        <f t="shared" si="207"/>
        <v>0</v>
      </c>
      <c r="BX50">
        <f t="shared" si="207"/>
        <v>0</v>
      </c>
      <c r="BY50">
        <f t="shared" si="207"/>
        <v>0</v>
      </c>
      <c r="BZ50">
        <f t="shared" si="207"/>
        <v>0</v>
      </c>
      <c r="CA50">
        <f t="shared" si="207"/>
        <v>0</v>
      </c>
      <c r="CB50">
        <f t="shared" si="207"/>
        <v>0</v>
      </c>
      <c r="CC50">
        <f t="shared" si="207"/>
        <v>0</v>
      </c>
      <c r="CD50">
        <f t="shared" si="207"/>
        <v>0</v>
      </c>
      <c r="CE50">
        <f t="shared" si="207"/>
        <v>0</v>
      </c>
      <c r="CF50">
        <f t="shared" si="207"/>
        <v>0</v>
      </c>
      <c r="CG50">
        <f t="shared" si="207"/>
        <v>0</v>
      </c>
      <c r="CH50">
        <f t="shared" si="207"/>
        <v>0</v>
      </c>
      <c r="CI50">
        <f t="shared" si="207"/>
        <v>0</v>
      </c>
      <c r="CJ50">
        <f t="shared" si="207"/>
        <v>0</v>
      </c>
      <c r="CK50">
        <f t="shared" si="207"/>
        <v>0</v>
      </c>
      <c r="CL50">
        <f t="shared" si="207"/>
        <v>0</v>
      </c>
      <c r="CM50">
        <f t="shared" si="207"/>
        <v>0</v>
      </c>
      <c r="CN50">
        <f>CN34-CN15</f>
        <v>0</v>
      </c>
      <c r="CO50">
        <f t="shared" si="207"/>
        <v>0</v>
      </c>
      <c r="CP50">
        <f t="shared" si="207"/>
        <v>0</v>
      </c>
      <c r="CQ50">
        <f t="shared" si="207"/>
        <v>0</v>
      </c>
      <c r="CR50">
        <f t="shared" si="207"/>
        <v>0</v>
      </c>
      <c r="CS50">
        <f t="shared" si="207"/>
        <v>0</v>
      </c>
      <c r="CT50">
        <f t="shared" si="207"/>
        <v>0</v>
      </c>
      <c r="CU50">
        <f t="shared" si="207"/>
        <v>0</v>
      </c>
      <c r="CV50">
        <f t="shared" si="207"/>
        <v>0</v>
      </c>
      <c r="CW50">
        <f t="shared" si="207"/>
        <v>0</v>
      </c>
      <c r="CX50">
        <f t="shared" si="207"/>
        <v>0</v>
      </c>
      <c r="CY50">
        <f t="shared" si="207"/>
        <v>0</v>
      </c>
      <c r="CZ50">
        <f t="shared" si="207"/>
        <v>0</v>
      </c>
      <c r="DA50">
        <f t="shared" si="207"/>
        <v>0</v>
      </c>
      <c r="DB50">
        <f t="shared" si="207"/>
        <v>0</v>
      </c>
      <c r="DC50">
        <f t="shared" si="207"/>
        <v>0</v>
      </c>
      <c r="DD50">
        <f t="shared" si="207"/>
        <v>0</v>
      </c>
      <c r="DE50">
        <f t="shared" si="207"/>
        <v>0</v>
      </c>
      <c r="DF50">
        <f t="shared" si="207"/>
        <v>0</v>
      </c>
      <c r="DG50">
        <f t="shared" si="207"/>
        <v>0</v>
      </c>
      <c r="DH50">
        <f t="shared" si="207"/>
        <v>0</v>
      </c>
      <c r="DI50">
        <f t="shared" si="207"/>
        <v>0</v>
      </c>
      <c r="DJ50">
        <f t="shared" si="207"/>
        <v>0</v>
      </c>
      <c r="DK50">
        <f t="shared" si="207"/>
        <v>0</v>
      </c>
      <c r="DL50">
        <f t="shared" si="207"/>
        <v>0</v>
      </c>
      <c r="DM50">
        <f t="shared" si="207"/>
        <v>0</v>
      </c>
      <c r="DN50">
        <f t="shared" si="207"/>
        <v>0</v>
      </c>
      <c r="DO50">
        <f t="shared" si="207"/>
        <v>0</v>
      </c>
      <c r="DP50">
        <f t="shared" si="207"/>
        <v>0</v>
      </c>
      <c r="DQ50">
        <f t="shared" si="207"/>
        <v>0</v>
      </c>
      <c r="DR50">
        <f t="shared" si="207"/>
        <v>0</v>
      </c>
      <c r="DS50">
        <f t="shared" si="207"/>
        <v>0</v>
      </c>
      <c r="DT50">
        <f t="shared" si="207"/>
        <v>0</v>
      </c>
      <c r="DU50">
        <f t="shared" si="207"/>
        <v>0</v>
      </c>
      <c r="DV50">
        <f t="shared" si="207"/>
        <v>0</v>
      </c>
      <c r="DW50">
        <f t="shared" si="207"/>
        <v>0</v>
      </c>
      <c r="DX50">
        <f t="shared" si="207"/>
        <v>0</v>
      </c>
      <c r="DY50">
        <f t="shared" si="207"/>
        <v>0</v>
      </c>
      <c r="DZ50">
        <f t="shared" si="207"/>
        <v>0</v>
      </c>
      <c r="EA50">
        <f t="shared" ref="EA50:GL50" si="208">EA34-EA15</f>
        <v>0</v>
      </c>
      <c r="EB50">
        <f t="shared" si="208"/>
        <v>0</v>
      </c>
      <c r="EC50">
        <f t="shared" si="208"/>
        <v>0</v>
      </c>
      <c r="ED50">
        <f t="shared" si="208"/>
        <v>0</v>
      </c>
      <c r="EE50">
        <f t="shared" si="208"/>
        <v>0</v>
      </c>
      <c r="EF50">
        <f t="shared" si="208"/>
        <v>0</v>
      </c>
      <c r="EG50">
        <f t="shared" si="208"/>
        <v>0</v>
      </c>
      <c r="EH50">
        <f t="shared" si="208"/>
        <v>0</v>
      </c>
      <c r="EI50">
        <f t="shared" si="208"/>
        <v>0</v>
      </c>
      <c r="EJ50">
        <f t="shared" si="208"/>
        <v>0</v>
      </c>
      <c r="EK50">
        <f t="shared" si="208"/>
        <v>0</v>
      </c>
      <c r="EL50">
        <f t="shared" si="208"/>
        <v>0</v>
      </c>
      <c r="EM50">
        <f t="shared" si="208"/>
        <v>0</v>
      </c>
      <c r="EN50">
        <f t="shared" si="208"/>
        <v>0</v>
      </c>
      <c r="EO50">
        <f t="shared" si="208"/>
        <v>0</v>
      </c>
      <c r="EP50">
        <f t="shared" si="208"/>
        <v>0</v>
      </c>
      <c r="EQ50">
        <f t="shared" si="208"/>
        <v>0</v>
      </c>
      <c r="ER50">
        <f t="shared" si="208"/>
        <v>0</v>
      </c>
      <c r="ES50">
        <f t="shared" si="208"/>
        <v>0</v>
      </c>
      <c r="ET50">
        <f t="shared" si="208"/>
        <v>0</v>
      </c>
      <c r="EU50">
        <f t="shared" si="208"/>
        <v>0</v>
      </c>
      <c r="EV50">
        <f t="shared" si="208"/>
        <v>0</v>
      </c>
      <c r="EW50">
        <f t="shared" si="208"/>
        <v>0</v>
      </c>
      <c r="EX50">
        <f t="shared" si="208"/>
        <v>0</v>
      </c>
      <c r="EY50">
        <f t="shared" si="208"/>
        <v>0</v>
      </c>
      <c r="EZ50">
        <f t="shared" si="208"/>
        <v>0</v>
      </c>
      <c r="FA50">
        <f t="shared" si="208"/>
        <v>0</v>
      </c>
      <c r="FB50">
        <f t="shared" si="208"/>
        <v>0</v>
      </c>
      <c r="FC50">
        <f t="shared" si="208"/>
        <v>0</v>
      </c>
      <c r="FD50">
        <f t="shared" si="208"/>
        <v>0</v>
      </c>
      <c r="FE50">
        <f t="shared" si="208"/>
        <v>0</v>
      </c>
      <c r="FF50">
        <f t="shared" si="208"/>
        <v>0</v>
      </c>
      <c r="FG50">
        <f t="shared" si="208"/>
        <v>0</v>
      </c>
      <c r="FH50">
        <f t="shared" si="208"/>
        <v>0</v>
      </c>
      <c r="FI50">
        <f t="shared" si="208"/>
        <v>0</v>
      </c>
      <c r="FJ50">
        <f t="shared" si="208"/>
        <v>0</v>
      </c>
      <c r="FK50">
        <f t="shared" si="208"/>
        <v>0</v>
      </c>
      <c r="FL50">
        <f t="shared" si="208"/>
        <v>0</v>
      </c>
      <c r="FM50">
        <f t="shared" si="208"/>
        <v>0</v>
      </c>
      <c r="FN50" s="1">
        <f t="shared" si="208"/>
        <v>0</v>
      </c>
      <c r="FO50" s="1">
        <f t="shared" si="208"/>
        <v>0</v>
      </c>
      <c r="FP50" s="1">
        <f t="shared" si="208"/>
        <v>0</v>
      </c>
      <c r="FQ50" s="1">
        <f t="shared" si="208"/>
        <v>0</v>
      </c>
      <c r="FR50" s="1">
        <f t="shared" si="208"/>
        <v>0</v>
      </c>
      <c r="FS50" s="1">
        <f t="shared" si="208"/>
        <v>0</v>
      </c>
      <c r="FT50" s="1">
        <f t="shared" si="208"/>
        <v>0</v>
      </c>
      <c r="FU50" s="1">
        <f t="shared" si="208"/>
        <v>0</v>
      </c>
      <c r="FV50" s="1">
        <f t="shared" si="208"/>
        <v>0</v>
      </c>
      <c r="FW50" s="1">
        <f t="shared" si="208"/>
        <v>0</v>
      </c>
      <c r="FX50" s="1">
        <f t="shared" si="208"/>
        <v>0</v>
      </c>
      <c r="FY50" s="1">
        <f t="shared" si="208"/>
        <v>0</v>
      </c>
      <c r="FZ50" s="1">
        <f t="shared" si="208"/>
        <v>0</v>
      </c>
      <c r="GA50" s="1">
        <f t="shared" si="208"/>
        <v>0</v>
      </c>
      <c r="GB50" s="1">
        <f t="shared" si="208"/>
        <v>0</v>
      </c>
      <c r="GC50" s="1">
        <f t="shared" si="208"/>
        <v>0</v>
      </c>
      <c r="GD50" s="1">
        <f t="shared" si="208"/>
        <v>0</v>
      </c>
      <c r="GE50" s="1">
        <f t="shared" si="208"/>
        <v>0</v>
      </c>
      <c r="GF50" s="1">
        <f t="shared" si="208"/>
        <v>0</v>
      </c>
      <c r="GG50" s="1">
        <f t="shared" si="208"/>
        <v>0</v>
      </c>
      <c r="GH50" s="1">
        <f t="shared" si="208"/>
        <v>0</v>
      </c>
      <c r="GI50" s="1">
        <f t="shared" si="208"/>
        <v>0</v>
      </c>
      <c r="GJ50" s="1">
        <f t="shared" si="208"/>
        <v>0</v>
      </c>
      <c r="GK50" s="1">
        <f t="shared" si="208"/>
        <v>0</v>
      </c>
      <c r="GL50" s="1">
        <f t="shared" si="208"/>
        <v>0</v>
      </c>
      <c r="GM50" s="1">
        <f t="shared" ref="GM50:IX50" si="209">GM34-GM15</f>
        <v>0</v>
      </c>
      <c r="GN50" s="1">
        <f t="shared" si="209"/>
        <v>0</v>
      </c>
      <c r="GO50" s="1">
        <f t="shared" si="209"/>
        <v>0</v>
      </c>
      <c r="GP50" s="1">
        <f t="shared" si="209"/>
        <v>0</v>
      </c>
      <c r="GQ50" s="1">
        <f t="shared" si="209"/>
        <v>0</v>
      </c>
      <c r="GR50" s="1">
        <f t="shared" si="209"/>
        <v>0</v>
      </c>
      <c r="GS50" s="1">
        <f t="shared" si="209"/>
        <v>0</v>
      </c>
      <c r="GT50" s="1">
        <f t="shared" si="209"/>
        <v>0</v>
      </c>
      <c r="GU50" s="1">
        <f t="shared" si="209"/>
        <v>0</v>
      </c>
      <c r="GV50" s="1">
        <f t="shared" si="209"/>
        <v>0</v>
      </c>
      <c r="GW50" s="1">
        <f t="shared" si="209"/>
        <v>0</v>
      </c>
      <c r="GX50" s="1">
        <f t="shared" si="209"/>
        <v>0</v>
      </c>
      <c r="GY50" s="1">
        <f t="shared" si="209"/>
        <v>0</v>
      </c>
      <c r="GZ50" s="1">
        <f t="shared" si="209"/>
        <v>0</v>
      </c>
      <c r="HA50" s="1">
        <f t="shared" si="209"/>
        <v>0</v>
      </c>
      <c r="HB50" s="1">
        <f t="shared" si="209"/>
        <v>0</v>
      </c>
      <c r="HC50" s="1">
        <f t="shared" si="209"/>
        <v>0</v>
      </c>
      <c r="HD50" s="1">
        <f t="shared" si="209"/>
        <v>0</v>
      </c>
      <c r="HE50" s="1">
        <f t="shared" si="209"/>
        <v>0</v>
      </c>
      <c r="HF50" s="1">
        <f t="shared" si="209"/>
        <v>0</v>
      </c>
      <c r="HG50" s="1">
        <f t="shared" si="209"/>
        <v>0</v>
      </c>
      <c r="HH50" s="1">
        <f t="shared" si="209"/>
        <v>0</v>
      </c>
      <c r="HI50" s="1">
        <f t="shared" si="209"/>
        <v>0</v>
      </c>
      <c r="HJ50" s="1">
        <f t="shared" si="209"/>
        <v>0</v>
      </c>
      <c r="HK50" s="1">
        <f t="shared" si="209"/>
        <v>0</v>
      </c>
      <c r="HL50" s="1">
        <f t="shared" si="209"/>
        <v>0</v>
      </c>
      <c r="HM50" s="1">
        <f t="shared" si="209"/>
        <v>0</v>
      </c>
      <c r="HN50" s="1">
        <f t="shared" si="209"/>
        <v>0</v>
      </c>
      <c r="HO50" s="1">
        <f t="shared" si="209"/>
        <v>0</v>
      </c>
      <c r="HP50" s="1">
        <f t="shared" si="209"/>
        <v>0</v>
      </c>
      <c r="HQ50" s="1">
        <f t="shared" si="209"/>
        <v>0</v>
      </c>
      <c r="HR50" s="1">
        <f t="shared" si="209"/>
        <v>0</v>
      </c>
      <c r="HS50" s="1">
        <f t="shared" si="209"/>
        <v>0</v>
      </c>
      <c r="HT50" s="1">
        <f t="shared" si="209"/>
        <v>0</v>
      </c>
      <c r="HU50" s="1">
        <f t="shared" si="209"/>
        <v>0</v>
      </c>
      <c r="HV50" s="1">
        <f t="shared" si="209"/>
        <v>0</v>
      </c>
      <c r="HW50" s="1">
        <f t="shared" si="209"/>
        <v>0</v>
      </c>
      <c r="HX50" s="1">
        <f t="shared" si="209"/>
        <v>0</v>
      </c>
      <c r="HY50" s="1">
        <f t="shared" si="209"/>
        <v>0</v>
      </c>
      <c r="HZ50" s="1">
        <f t="shared" si="209"/>
        <v>0</v>
      </c>
      <c r="IA50" s="1">
        <f t="shared" si="209"/>
        <v>0</v>
      </c>
      <c r="IB50" s="1">
        <f t="shared" si="209"/>
        <v>0</v>
      </c>
      <c r="IC50" s="1">
        <f t="shared" si="209"/>
        <v>0</v>
      </c>
      <c r="ID50" s="1">
        <f t="shared" si="209"/>
        <v>0</v>
      </c>
      <c r="IE50" s="1">
        <f t="shared" si="209"/>
        <v>0</v>
      </c>
      <c r="IF50" s="1">
        <f t="shared" si="209"/>
        <v>0</v>
      </c>
      <c r="IG50" s="1">
        <f t="shared" si="209"/>
        <v>0</v>
      </c>
      <c r="IH50" s="1">
        <f t="shared" si="209"/>
        <v>0</v>
      </c>
      <c r="II50" s="1">
        <f t="shared" si="209"/>
        <v>0</v>
      </c>
      <c r="IJ50" s="1">
        <f t="shared" si="209"/>
        <v>0</v>
      </c>
      <c r="IK50" s="1">
        <f t="shared" si="209"/>
        <v>0</v>
      </c>
      <c r="IL50" s="1">
        <f t="shared" si="209"/>
        <v>0</v>
      </c>
      <c r="IM50" s="1">
        <f t="shared" si="209"/>
        <v>0</v>
      </c>
      <c r="IN50" s="1">
        <f t="shared" si="209"/>
        <v>0</v>
      </c>
      <c r="IO50" s="1">
        <f t="shared" si="209"/>
        <v>0</v>
      </c>
      <c r="IP50" s="1">
        <f t="shared" si="209"/>
        <v>0</v>
      </c>
      <c r="IQ50" s="1">
        <f t="shared" si="209"/>
        <v>0</v>
      </c>
      <c r="IR50" s="1">
        <f t="shared" si="209"/>
        <v>0</v>
      </c>
      <c r="IS50" s="1">
        <f t="shared" si="209"/>
        <v>0</v>
      </c>
      <c r="IT50" s="1">
        <f t="shared" si="209"/>
        <v>0</v>
      </c>
      <c r="IU50" s="1">
        <f t="shared" si="209"/>
        <v>0</v>
      </c>
      <c r="IV50" s="1">
        <f t="shared" si="209"/>
        <v>0</v>
      </c>
      <c r="IW50" s="1">
        <f t="shared" si="209"/>
        <v>0</v>
      </c>
      <c r="IX50" s="1">
        <f t="shared" si="209"/>
        <v>0</v>
      </c>
      <c r="IY50" s="1">
        <f t="shared" ref="IY50:LJ50" si="210">IY34-IY15</f>
        <v>0</v>
      </c>
      <c r="IZ50" s="1">
        <f t="shared" si="210"/>
        <v>0</v>
      </c>
      <c r="JA50" s="1">
        <f t="shared" si="210"/>
        <v>0</v>
      </c>
      <c r="JB50" s="1">
        <f t="shared" si="210"/>
        <v>0</v>
      </c>
      <c r="JC50" s="1">
        <f t="shared" si="210"/>
        <v>0</v>
      </c>
      <c r="JD50" s="1">
        <f t="shared" si="210"/>
        <v>0</v>
      </c>
      <c r="JE50" s="1">
        <f t="shared" si="210"/>
        <v>0</v>
      </c>
      <c r="JF50" s="1">
        <f t="shared" si="210"/>
        <v>0</v>
      </c>
      <c r="JG50" s="1">
        <f t="shared" si="210"/>
        <v>0</v>
      </c>
      <c r="JH50" s="1">
        <f t="shared" si="210"/>
        <v>0</v>
      </c>
      <c r="JI50" s="1">
        <f t="shared" si="210"/>
        <v>0</v>
      </c>
      <c r="JJ50" s="1">
        <f t="shared" si="210"/>
        <v>0</v>
      </c>
      <c r="JK50" s="1">
        <f t="shared" si="210"/>
        <v>0</v>
      </c>
      <c r="JL50" s="1">
        <f t="shared" si="210"/>
        <v>0</v>
      </c>
      <c r="JM50" s="1">
        <f t="shared" si="210"/>
        <v>0</v>
      </c>
      <c r="JN50" s="1">
        <f t="shared" si="210"/>
        <v>0</v>
      </c>
      <c r="JO50" s="1">
        <f t="shared" si="210"/>
        <v>0</v>
      </c>
      <c r="JP50" s="1">
        <f t="shared" si="210"/>
        <v>0</v>
      </c>
      <c r="JQ50" s="1">
        <f t="shared" si="210"/>
        <v>0</v>
      </c>
      <c r="JR50" s="1">
        <f t="shared" si="210"/>
        <v>0</v>
      </c>
      <c r="JS50" s="1">
        <f t="shared" si="210"/>
        <v>0</v>
      </c>
      <c r="JT50" s="1">
        <f t="shared" si="210"/>
        <v>0</v>
      </c>
      <c r="JU50" s="1">
        <f t="shared" si="210"/>
        <v>0</v>
      </c>
      <c r="JV50" s="1">
        <f t="shared" si="210"/>
        <v>0</v>
      </c>
      <c r="JW50" s="1">
        <f t="shared" si="210"/>
        <v>0</v>
      </c>
      <c r="JX50" s="1">
        <f t="shared" si="210"/>
        <v>0</v>
      </c>
      <c r="JY50" s="1">
        <f t="shared" si="210"/>
        <v>0</v>
      </c>
      <c r="JZ50" s="1">
        <f t="shared" si="210"/>
        <v>0</v>
      </c>
      <c r="KA50" s="1">
        <f t="shared" si="210"/>
        <v>0</v>
      </c>
      <c r="KB50" s="1">
        <f t="shared" si="210"/>
        <v>0</v>
      </c>
      <c r="KC50" s="1">
        <f t="shared" si="210"/>
        <v>0</v>
      </c>
      <c r="KD50" s="1">
        <f t="shared" si="210"/>
        <v>0</v>
      </c>
      <c r="KE50" s="1">
        <f t="shared" si="210"/>
        <v>0</v>
      </c>
      <c r="KF50" s="1">
        <f t="shared" si="210"/>
        <v>0</v>
      </c>
      <c r="KG50" s="1">
        <f t="shared" si="210"/>
        <v>0</v>
      </c>
      <c r="KH50" s="1">
        <f t="shared" si="210"/>
        <v>0</v>
      </c>
      <c r="KI50" s="1">
        <f t="shared" si="210"/>
        <v>0</v>
      </c>
      <c r="KJ50" s="1">
        <f t="shared" si="210"/>
        <v>0</v>
      </c>
      <c r="KK50" s="1">
        <f t="shared" si="210"/>
        <v>0</v>
      </c>
      <c r="KL50" s="1">
        <f t="shared" si="210"/>
        <v>0</v>
      </c>
      <c r="KM50" s="1">
        <f t="shared" si="210"/>
        <v>0</v>
      </c>
      <c r="KN50" s="1">
        <f t="shared" si="210"/>
        <v>0</v>
      </c>
      <c r="KO50" s="1">
        <f t="shared" si="210"/>
        <v>0</v>
      </c>
      <c r="KP50" s="1">
        <f t="shared" si="210"/>
        <v>0</v>
      </c>
      <c r="KQ50" s="1">
        <f t="shared" si="210"/>
        <v>0</v>
      </c>
      <c r="KR50" s="1">
        <f t="shared" si="210"/>
        <v>0</v>
      </c>
      <c r="KS50" s="1">
        <f t="shared" si="210"/>
        <v>0</v>
      </c>
      <c r="KT50" s="1">
        <f t="shared" si="210"/>
        <v>0</v>
      </c>
      <c r="KU50" s="1">
        <f t="shared" si="210"/>
        <v>0</v>
      </c>
      <c r="KV50" s="1">
        <f t="shared" si="210"/>
        <v>0</v>
      </c>
      <c r="KW50" s="1">
        <f t="shared" si="210"/>
        <v>0</v>
      </c>
      <c r="KX50" s="1">
        <f t="shared" si="210"/>
        <v>0</v>
      </c>
      <c r="KY50" s="1">
        <f t="shared" si="210"/>
        <v>0</v>
      </c>
      <c r="KZ50" s="1">
        <f t="shared" si="210"/>
        <v>0</v>
      </c>
      <c r="LA50" s="1">
        <f t="shared" si="210"/>
        <v>0</v>
      </c>
      <c r="LB50" s="1">
        <f t="shared" si="210"/>
        <v>0</v>
      </c>
      <c r="LC50" s="1">
        <f t="shared" si="210"/>
        <v>0</v>
      </c>
      <c r="LD50" s="1">
        <f t="shared" si="210"/>
        <v>0</v>
      </c>
      <c r="LE50" s="1">
        <f t="shared" si="210"/>
        <v>0</v>
      </c>
      <c r="LF50" s="1">
        <f t="shared" si="210"/>
        <v>0</v>
      </c>
      <c r="LG50" s="1">
        <f t="shared" si="210"/>
        <v>0</v>
      </c>
      <c r="LH50" s="1">
        <f t="shared" si="210"/>
        <v>0</v>
      </c>
      <c r="LI50" s="1">
        <f t="shared" si="210"/>
        <v>0</v>
      </c>
      <c r="LJ50" s="1">
        <f t="shared" si="210"/>
        <v>0</v>
      </c>
      <c r="LK50" s="1">
        <f t="shared" ref="LK50:NV50" si="211">LK34-LK15</f>
        <v>0</v>
      </c>
      <c r="LL50" s="1">
        <f t="shared" si="211"/>
        <v>0</v>
      </c>
      <c r="LM50" s="1">
        <f t="shared" si="211"/>
        <v>0</v>
      </c>
      <c r="LN50" s="1">
        <f t="shared" si="211"/>
        <v>0</v>
      </c>
      <c r="LO50" s="1">
        <f t="shared" si="211"/>
        <v>0</v>
      </c>
      <c r="LP50" s="1">
        <f t="shared" si="211"/>
        <v>0</v>
      </c>
      <c r="LQ50" s="1">
        <f t="shared" si="211"/>
        <v>0</v>
      </c>
      <c r="LR50" s="1">
        <f t="shared" si="211"/>
        <v>0</v>
      </c>
      <c r="LS50" s="1">
        <f t="shared" si="211"/>
        <v>0</v>
      </c>
      <c r="LT50" s="1">
        <f t="shared" si="211"/>
        <v>0</v>
      </c>
      <c r="LU50" s="1">
        <f t="shared" si="211"/>
        <v>0</v>
      </c>
      <c r="LV50" s="1">
        <f t="shared" si="211"/>
        <v>0</v>
      </c>
      <c r="LW50" s="1">
        <f t="shared" si="211"/>
        <v>0</v>
      </c>
      <c r="LX50" s="1">
        <f t="shared" si="211"/>
        <v>0</v>
      </c>
      <c r="LY50" s="1">
        <f t="shared" si="211"/>
        <v>0</v>
      </c>
      <c r="LZ50" s="1">
        <f t="shared" si="211"/>
        <v>0</v>
      </c>
      <c r="MA50" s="1">
        <f t="shared" si="211"/>
        <v>0</v>
      </c>
      <c r="MB50" s="1">
        <f t="shared" si="211"/>
        <v>0</v>
      </c>
      <c r="MC50" s="1">
        <f t="shared" si="211"/>
        <v>0</v>
      </c>
      <c r="MD50" s="1">
        <f t="shared" si="211"/>
        <v>0</v>
      </c>
      <c r="ME50" s="1">
        <f t="shared" si="211"/>
        <v>0</v>
      </c>
      <c r="MF50" s="1">
        <f t="shared" si="211"/>
        <v>0</v>
      </c>
      <c r="MG50" s="1">
        <f t="shared" si="211"/>
        <v>0</v>
      </c>
      <c r="MH50" s="1">
        <f t="shared" si="211"/>
        <v>0</v>
      </c>
      <c r="MI50" s="1">
        <f t="shared" si="211"/>
        <v>0</v>
      </c>
      <c r="MJ50" s="1">
        <f t="shared" si="211"/>
        <v>0</v>
      </c>
      <c r="MK50" s="1">
        <f t="shared" si="211"/>
        <v>0</v>
      </c>
      <c r="ML50" s="1">
        <f t="shared" si="211"/>
        <v>0</v>
      </c>
      <c r="MM50" s="1">
        <f t="shared" si="211"/>
        <v>0</v>
      </c>
      <c r="MN50" s="1">
        <f t="shared" si="211"/>
        <v>0</v>
      </c>
      <c r="MO50" s="1">
        <f t="shared" si="211"/>
        <v>0</v>
      </c>
      <c r="MP50" s="1">
        <f t="shared" si="211"/>
        <v>0</v>
      </c>
      <c r="MQ50" s="1">
        <f t="shared" si="211"/>
        <v>0</v>
      </c>
      <c r="MR50" s="1">
        <f t="shared" si="211"/>
        <v>0</v>
      </c>
      <c r="MS50" s="1">
        <f t="shared" si="211"/>
        <v>0</v>
      </c>
      <c r="MT50" s="1">
        <f t="shared" si="211"/>
        <v>0</v>
      </c>
      <c r="MU50" s="1">
        <f t="shared" si="211"/>
        <v>0</v>
      </c>
      <c r="MV50" s="1">
        <f t="shared" si="211"/>
        <v>0</v>
      </c>
      <c r="MW50" s="1">
        <f t="shared" si="211"/>
        <v>0</v>
      </c>
      <c r="MX50" s="1">
        <f t="shared" si="211"/>
        <v>0</v>
      </c>
      <c r="MY50" s="1">
        <f t="shared" si="211"/>
        <v>0</v>
      </c>
      <c r="MZ50" s="1">
        <f t="shared" si="211"/>
        <v>0</v>
      </c>
      <c r="NA50" s="1">
        <f t="shared" si="211"/>
        <v>0</v>
      </c>
      <c r="NB50" s="1">
        <f t="shared" si="211"/>
        <v>0</v>
      </c>
      <c r="NC50" s="1">
        <f t="shared" si="211"/>
        <v>0</v>
      </c>
      <c r="ND50" s="1">
        <f t="shared" si="211"/>
        <v>0</v>
      </c>
      <c r="NE50" s="1">
        <f t="shared" si="211"/>
        <v>0</v>
      </c>
      <c r="NF50" s="1">
        <f t="shared" si="211"/>
        <v>0</v>
      </c>
      <c r="NG50" s="1">
        <f t="shared" si="211"/>
        <v>0</v>
      </c>
      <c r="NH50" s="1">
        <f t="shared" si="211"/>
        <v>0</v>
      </c>
      <c r="NI50" s="1">
        <f t="shared" si="211"/>
        <v>0</v>
      </c>
      <c r="NJ50" s="1">
        <f t="shared" si="211"/>
        <v>0</v>
      </c>
      <c r="NK50" s="1">
        <f t="shared" si="211"/>
        <v>0</v>
      </c>
      <c r="NL50" s="1">
        <f t="shared" si="211"/>
        <v>0</v>
      </c>
      <c r="NM50" s="1">
        <f t="shared" si="211"/>
        <v>0</v>
      </c>
      <c r="NN50" s="1">
        <f t="shared" si="211"/>
        <v>0</v>
      </c>
      <c r="NO50" s="1">
        <f t="shared" si="211"/>
        <v>0</v>
      </c>
      <c r="NP50" s="1">
        <f t="shared" si="211"/>
        <v>0</v>
      </c>
      <c r="NQ50" s="1">
        <f t="shared" si="211"/>
        <v>0</v>
      </c>
      <c r="NR50" s="1">
        <f t="shared" si="211"/>
        <v>0</v>
      </c>
      <c r="NS50" s="1">
        <f t="shared" si="211"/>
        <v>0</v>
      </c>
      <c r="NT50" s="1">
        <f t="shared" si="211"/>
        <v>0</v>
      </c>
      <c r="NU50" s="1">
        <f t="shared" si="211"/>
        <v>0</v>
      </c>
      <c r="NV50" s="1">
        <f t="shared" si="211"/>
        <v>0</v>
      </c>
      <c r="NW50" s="1">
        <f t="shared" ref="NW50:QH50" si="212">NW34-NW15</f>
        <v>0</v>
      </c>
      <c r="NX50" s="1">
        <f t="shared" si="212"/>
        <v>0</v>
      </c>
      <c r="NY50" s="1">
        <f t="shared" si="212"/>
        <v>0</v>
      </c>
      <c r="NZ50" s="1">
        <f t="shared" si="212"/>
        <v>0</v>
      </c>
      <c r="OA50" s="1">
        <f t="shared" si="212"/>
        <v>0</v>
      </c>
      <c r="OB50" s="1">
        <f t="shared" si="212"/>
        <v>0</v>
      </c>
      <c r="OC50" s="1">
        <f t="shared" si="212"/>
        <v>0</v>
      </c>
      <c r="OD50" s="1">
        <f t="shared" si="212"/>
        <v>0</v>
      </c>
      <c r="OE50" s="1">
        <f t="shared" si="212"/>
        <v>0</v>
      </c>
      <c r="OF50" s="1">
        <f t="shared" si="212"/>
        <v>0</v>
      </c>
      <c r="OG50" s="1">
        <f t="shared" si="212"/>
        <v>0</v>
      </c>
      <c r="OH50" s="1">
        <f t="shared" si="212"/>
        <v>0</v>
      </c>
      <c r="OI50" s="1">
        <f t="shared" si="212"/>
        <v>0</v>
      </c>
      <c r="OJ50" s="1">
        <f t="shared" si="212"/>
        <v>0</v>
      </c>
      <c r="OK50" s="1">
        <f t="shared" si="212"/>
        <v>0</v>
      </c>
      <c r="OL50" s="1">
        <f t="shared" si="212"/>
        <v>0</v>
      </c>
      <c r="OM50" s="1">
        <f t="shared" si="212"/>
        <v>0</v>
      </c>
      <c r="ON50" s="1">
        <f t="shared" si="212"/>
        <v>0</v>
      </c>
      <c r="OO50" s="1">
        <f t="shared" si="212"/>
        <v>0</v>
      </c>
      <c r="OP50" s="1">
        <f t="shared" si="212"/>
        <v>0</v>
      </c>
      <c r="OQ50" s="1">
        <f t="shared" si="212"/>
        <v>0</v>
      </c>
      <c r="OR50" s="1">
        <f t="shared" si="212"/>
        <v>0</v>
      </c>
      <c r="OS50" s="1">
        <f t="shared" si="212"/>
        <v>0</v>
      </c>
      <c r="OT50" s="1">
        <f t="shared" si="212"/>
        <v>0</v>
      </c>
      <c r="OU50" s="1">
        <f t="shared" si="212"/>
        <v>0</v>
      </c>
      <c r="OV50" s="1">
        <f t="shared" si="212"/>
        <v>0</v>
      </c>
      <c r="OW50" s="1">
        <f t="shared" si="212"/>
        <v>0</v>
      </c>
      <c r="OX50" s="1">
        <f t="shared" si="212"/>
        <v>0</v>
      </c>
      <c r="OY50" s="1">
        <f t="shared" si="212"/>
        <v>0</v>
      </c>
      <c r="OZ50" s="1">
        <f t="shared" si="212"/>
        <v>0</v>
      </c>
      <c r="PA50" s="1">
        <f t="shared" si="212"/>
        <v>0</v>
      </c>
      <c r="PB50" s="1">
        <f t="shared" si="212"/>
        <v>0</v>
      </c>
      <c r="PC50" s="1">
        <f t="shared" si="212"/>
        <v>0</v>
      </c>
      <c r="PD50" s="1">
        <f t="shared" si="212"/>
        <v>0</v>
      </c>
      <c r="PE50" s="1">
        <f t="shared" si="212"/>
        <v>0</v>
      </c>
      <c r="PF50" s="1">
        <f t="shared" si="212"/>
        <v>0</v>
      </c>
      <c r="PG50" s="1">
        <f t="shared" si="212"/>
        <v>0</v>
      </c>
      <c r="PH50" s="1">
        <f t="shared" si="212"/>
        <v>0</v>
      </c>
      <c r="PI50" s="1">
        <f t="shared" si="212"/>
        <v>0</v>
      </c>
      <c r="PJ50" s="1">
        <f t="shared" si="212"/>
        <v>0</v>
      </c>
      <c r="PK50" s="1">
        <f t="shared" si="212"/>
        <v>0</v>
      </c>
      <c r="PL50" s="1">
        <f t="shared" si="212"/>
        <v>0</v>
      </c>
      <c r="PM50" s="1">
        <f t="shared" si="212"/>
        <v>0</v>
      </c>
      <c r="PN50" s="1">
        <f t="shared" si="212"/>
        <v>0</v>
      </c>
      <c r="PO50" s="1">
        <f t="shared" si="212"/>
        <v>0</v>
      </c>
      <c r="PP50" s="1">
        <f t="shared" si="212"/>
        <v>0</v>
      </c>
      <c r="PQ50" s="1">
        <f t="shared" si="212"/>
        <v>0</v>
      </c>
      <c r="PR50" s="1">
        <f t="shared" si="212"/>
        <v>0</v>
      </c>
      <c r="PS50" s="1">
        <f t="shared" si="212"/>
        <v>0</v>
      </c>
      <c r="PT50" s="1">
        <f t="shared" si="212"/>
        <v>0</v>
      </c>
      <c r="PU50" s="1">
        <f t="shared" si="212"/>
        <v>0</v>
      </c>
      <c r="PV50" s="1">
        <f t="shared" si="212"/>
        <v>0</v>
      </c>
      <c r="PW50" s="1">
        <f t="shared" si="212"/>
        <v>0</v>
      </c>
      <c r="PX50" s="1">
        <f t="shared" si="212"/>
        <v>0</v>
      </c>
      <c r="PY50" s="1">
        <f t="shared" si="212"/>
        <v>0</v>
      </c>
      <c r="PZ50" s="1">
        <f t="shared" si="212"/>
        <v>0</v>
      </c>
      <c r="QA50" s="1">
        <f t="shared" si="212"/>
        <v>0</v>
      </c>
      <c r="QB50" s="1">
        <f t="shared" si="212"/>
        <v>0</v>
      </c>
      <c r="QC50" s="1">
        <f t="shared" si="212"/>
        <v>0</v>
      </c>
      <c r="QD50" s="1">
        <f t="shared" si="212"/>
        <v>0</v>
      </c>
      <c r="QE50" s="1">
        <f t="shared" si="212"/>
        <v>0</v>
      </c>
      <c r="QF50" s="1">
        <f t="shared" si="212"/>
        <v>0</v>
      </c>
      <c r="QG50" s="1">
        <f t="shared" si="212"/>
        <v>0</v>
      </c>
      <c r="QH50" s="1">
        <f t="shared" si="212"/>
        <v>0</v>
      </c>
      <c r="QI50" s="1">
        <f t="shared" ref="QI50:SG50" si="213">QI34-QI15</f>
        <v>0</v>
      </c>
      <c r="QJ50" s="1">
        <f t="shared" si="213"/>
        <v>0</v>
      </c>
      <c r="QK50" s="1">
        <f t="shared" si="213"/>
        <v>0</v>
      </c>
      <c r="QL50" s="1">
        <f t="shared" si="213"/>
        <v>0</v>
      </c>
      <c r="QM50" s="1">
        <f t="shared" si="213"/>
        <v>0</v>
      </c>
      <c r="QN50" s="1">
        <f t="shared" si="213"/>
        <v>0</v>
      </c>
      <c r="QO50" s="1">
        <f t="shared" si="213"/>
        <v>0</v>
      </c>
      <c r="QP50" s="1">
        <f t="shared" si="213"/>
        <v>0</v>
      </c>
      <c r="QQ50" s="1">
        <f t="shared" si="213"/>
        <v>0</v>
      </c>
      <c r="QR50" s="1">
        <f t="shared" si="213"/>
        <v>0</v>
      </c>
      <c r="QS50" s="1">
        <f t="shared" si="213"/>
        <v>0</v>
      </c>
      <c r="QT50" s="1">
        <f t="shared" si="213"/>
        <v>0</v>
      </c>
      <c r="QU50" s="1">
        <f t="shared" si="213"/>
        <v>0</v>
      </c>
      <c r="QV50" s="1">
        <f t="shared" si="213"/>
        <v>0</v>
      </c>
      <c r="QW50" s="1">
        <f t="shared" si="213"/>
        <v>0</v>
      </c>
      <c r="QX50" s="1">
        <f t="shared" si="213"/>
        <v>0</v>
      </c>
      <c r="QY50" s="1">
        <f t="shared" si="213"/>
        <v>0</v>
      </c>
      <c r="QZ50" s="1">
        <f t="shared" si="213"/>
        <v>0</v>
      </c>
      <c r="RA50" s="1">
        <f t="shared" si="213"/>
        <v>0</v>
      </c>
      <c r="RB50" s="1">
        <f t="shared" si="213"/>
        <v>0</v>
      </c>
      <c r="RC50" s="1">
        <f t="shared" si="213"/>
        <v>0</v>
      </c>
      <c r="RD50" s="1">
        <f t="shared" si="213"/>
        <v>0</v>
      </c>
      <c r="RE50" s="1">
        <f t="shared" si="213"/>
        <v>0</v>
      </c>
      <c r="RF50" s="1">
        <f t="shared" si="213"/>
        <v>0</v>
      </c>
      <c r="RG50" s="1">
        <f t="shared" si="213"/>
        <v>0</v>
      </c>
      <c r="RH50" s="1">
        <f t="shared" si="213"/>
        <v>0</v>
      </c>
      <c r="RI50" s="1">
        <f t="shared" si="213"/>
        <v>0</v>
      </c>
      <c r="RJ50" s="1">
        <f t="shared" si="213"/>
        <v>0</v>
      </c>
      <c r="RK50" s="1">
        <f t="shared" si="213"/>
        <v>0</v>
      </c>
      <c r="RL50" s="1">
        <f t="shared" si="213"/>
        <v>0</v>
      </c>
      <c r="RM50" s="1">
        <f t="shared" si="213"/>
        <v>0</v>
      </c>
      <c r="RN50" s="1">
        <f t="shared" si="213"/>
        <v>0</v>
      </c>
      <c r="RO50" s="1">
        <f t="shared" si="213"/>
        <v>0</v>
      </c>
      <c r="RP50" s="1">
        <f t="shared" si="213"/>
        <v>0</v>
      </c>
      <c r="RQ50" s="1">
        <f t="shared" si="213"/>
        <v>0</v>
      </c>
      <c r="RR50" s="1">
        <f t="shared" si="213"/>
        <v>0</v>
      </c>
      <c r="RS50" s="1">
        <f t="shared" si="213"/>
        <v>0</v>
      </c>
      <c r="RT50" s="1">
        <f t="shared" si="213"/>
        <v>0</v>
      </c>
      <c r="RU50" s="1">
        <f t="shared" si="213"/>
        <v>0</v>
      </c>
      <c r="RV50" s="1">
        <f t="shared" si="213"/>
        <v>0</v>
      </c>
      <c r="RW50" s="1">
        <f t="shared" si="213"/>
        <v>0</v>
      </c>
      <c r="RX50" s="1">
        <f t="shared" si="213"/>
        <v>0</v>
      </c>
      <c r="RY50" s="1">
        <f t="shared" si="213"/>
        <v>0</v>
      </c>
      <c r="RZ50" s="1">
        <f t="shared" si="213"/>
        <v>0</v>
      </c>
      <c r="SA50" s="1">
        <f t="shared" si="213"/>
        <v>0</v>
      </c>
      <c r="SB50" s="1">
        <f t="shared" si="213"/>
        <v>0</v>
      </c>
      <c r="SC50" s="1">
        <f t="shared" si="213"/>
        <v>0</v>
      </c>
      <c r="SD50" s="1">
        <f t="shared" si="213"/>
        <v>0</v>
      </c>
      <c r="SE50" s="1">
        <f t="shared" si="213"/>
        <v>0</v>
      </c>
      <c r="SF50" s="1">
        <f t="shared" si="213"/>
        <v>0</v>
      </c>
      <c r="SG50" s="1">
        <f t="shared" si="213"/>
        <v>0</v>
      </c>
      <c r="SH50" s="1">
        <f t="shared" ref="SH50:US50" si="214">SH34-SH15</f>
        <v>0</v>
      </c>
      <c r="SI50" s="1">
        <f t="shared" si="214"/>
        <v>0</v>
      </c>
      <c r="SJ50" s="1">
        <f t="shared" si="214"/>
        <v>0</v>
      </c>
      <c r="SK50" s="1">
        <f t="shared" si="214"/>
        <v>0</v>
      </c>
      <c r="SL50" s="1">
        <f t="shared" si="214"/>
        <v>0</v>
      </c>
      <c r="SM50" s="1">
        <f t="shared" si="214"/>
        <v>0</v>
      </c>
      <c r="SN50" s="1">
        <f t="shared" si="214"/>
        <v>0</v>
      </c>
      <c r="SO50" s="1">
        <f t="shared" si="214"/>
        <v>0</v>
      </c>
      <c r="SP50" s="1">
        <f t="shared" si="214"/>
        <v>0</v>
      </c>
      <c r="SQ50" s="1">
        <f t="shared" si="214"/>
        <v>0</v>
      </c>
      <c r="SR50" s="1">
        <f t="shared" si="214"/>
        <v>0</v>
      </c>
      <c r="SS50" s="1">
        <f t="shared" si="214"/>
        <v>0</v>
      </c>
      <c r="ST50" s="1">
        <f t="shared" si="214"/>
        <v>0</v>
      </c>
      <c r="SU50" s="1">
        <f t="shared" si="214"/>
        <v>0</v>
      </c>
      <c r="SV50" s="1">
        <f t="shared" si="214"/>
        <v>0</v>
      </c>
      <c r="SW50" s="1">
        <f t="shared" si="214"/>
        <v>0</v>
      </c>
      <c r="SX50" s="1">
        <f t="shared" si="214"/>
        <v>0</v>
      </c>
      <c r="SY50" s="1">
        <f t="shared" si="214"/>
        <v>0</v>
      </c>
      <c r="SZ50" s="1">
        <f t="shared" si="214"/>
        <v>0</v>
      </c>
      <c r="TA50" s="1">
        <f t="shared" si="214"/>
        <v>0</v>
      </c>
      <c r="TB50" s="1">
        <f t="shared" si="214"/>
        <v>0</v>
      </c>
      <c r="TC50" s="1">
        <f t="shared" si="214"/>
        <v>0</v>
      </c>
      <c r="TD50" s="1">
        <f t="shared" si="214"/>
        <v>0</v>
      </c>
      <c r="TE50" s="1">
        <f t="shared" si="214"/>
        <v>0</v>
      </c>
      <c r="TF50" s="1">
        <f t="shared" si="214"/>
        <v>0</v>
      </c>
      <c r="TG50" s="1">
        <f t="shared" si="214"/>
        <v>0</v>
      </c>
      <c r="TH50" s="1">
        <f t="shared" si="214"/>
        <v>0</v>
      </c>
      <c r="TI50" s="1">
        <f t="shared" si="214"/>
        <v>0</v>
      </c>
      <c r="TJ50" s="1">
        <f t="shared" si="214"/>
        <v>0</v>
      </c>
      <c r="TK50" s="1">
        <f t="shared" si="214"/>
        <v>0</v>
      </c>
      <c r="TL50" s="1">
        <f t="shared" si="214"/>
        <v>0</v>
      </c>
      <c r="TM50" s="1">
        <f t="shared" si="214"/>
        <v>0</v>
      </c>
      <c r="TN50" s="1">
        <f t="shared" si="214"/>
        <v>0</v>
      </c>
      <c r="TO50" s="1">
        <f t="shared" si="214"/>
        <v>0</v>
      </c>
      <c r="TP50" s="1">
        <f t="shared" si="214"/>
        <v>0</v>
      </c>
      <c r="TQ50" s="1">
        <f t="shared" si="214"/>
        <v>0</v>
      </c>
      <c r="TR50" s="1">
        <f t="shared" si="214"/>
        <v>0</v>
      </c>
      <c r="TS50" s="1">
        <f t="shared" si="214"/>
        <v>0</v>
      </c>
      <c r="TT50" s="1">
        <f t="shared" si="214"/>
        <v>0</v>
      </c>
      <c r="TU50" s="1">
        <f t="shared" si="214"/>
        <v>0</v>
      </c>
      <c r="TV50" s="1">
        <f t="shared" si="214"/>
        <v>0</v>
      </c>
      <c r="TW50" s="1">
        <f t="shared" si="214"/>
        <v>0</v>
      </c>
      <c r="TX50" s="1">
        <f t="shared" si="214"/>
        <v>0</v>
      </c>
      <c r="TY50" s="1">
        <f t="shared" si="214"/>
        <v>0</v>
      </c>
      <c r="TZ50" s="1">
        <f t="shared" si="214"/>
        <v>0</v>
      </c>
      <c r="UA50" s="1">
        <f t="shared" si="214"/>
        <v>0</v>
      </c>
      <c r="UB50" s="1">
        <f t="shared" si="214"/>
        <v>0</v>
      </c>
      <c r="UC50" s="1">
        <f t="shared" si="214"/>
        <v>0</v>
      </c>
      <c r="UD50" s="1">
        <f t="shared" si="214"/>
        <v>0</v>
      </c>
      <c r="UE50" s="1">
        <f t="shared" si="214"/>
        <v>0</v>
      </c>
      <c r="UF50" s="1">
        <f t="shared" si="214"/>
        <v>0</v>
      </c>
      <c r="UG50" s="1">
        <f t="shared" si="214"/>
        <v>0</v>
      </c>
      <c r="UH50" s="1">
        <f t="shared" si="214"/>
        <v>0</v>
      </c>
      <c r="UI50" s="1">
        <f t="shared" si="214"/>
        <v>0</v>
      </c>
      <c r="UJ50" s="1">
        <f t="shared" si="214"/>
        <v>0</v>
      </c>
      <c r="UK50" s="1">
        <f t="shared" si="214"/>
        <v>0</v>
      </c>
      <c r="UL50" s="1">
        <f t="shared" si="214"/>
        <v>0</v>
      </c>
      <c r="UM50" s="1">
        <f t="shared" si="214"/>
        <v>0</v>
      </c>
      <c r="UN50" s="1">
        <f t="shared" si="214"/>
        <v>0</v>
      </c>
      <c r="UO50" s="1">
        <f t="shared" si="214"/>
        <v>0</v>
      </c>
      <c r="UP50" s="1">
        <f t="shared" si="214"/>
        <v>0</v>
      </c>
      <c r="UQ50" s="1">
        <f t="shared" si="214"/>
        <v>0</v>
      </c>
      <c r="UR50" s="1">
        <f t="shared" si="214"/>
        <v>0</v>
      </c>
      <c r="US50" s="1">
        <f t="shared" si="214"/>
        <v>0</v>
      </c>
      <c r="UT50" s="1">
        <f t="shared" ref="UT50:XE50" si="215">UT34-UT15</f>
        <v>0</v>
      </c>
      <c r="UU50" s="1">
        <f t="shared" si="215"/>
        <v>0</v>
      </c>
      <c r="UV50" s="1">
        <f t="shared" si="215"/>
        <v>0</v>
      </c>
      <c r="UW50" s="1">
        <f t="shared" si="215"/>
        <v>0</v>
      </c>
      <c r="UX50" s="1">
        <f t="shared" si="215"/>
        <v>0</v>
      </c>
      <c r="UY50" s="1">
        <f t="shared" si="215"/>
        <v>0</v>
      </c>
      <c r="UZ50" s="1">
        <f t="shared" si="215"/>
        <v>0</v>
      </c>
      <c r="VA50" s="1">
        <f t="shared" si="215"/>
        <v>0</v>
      </c>
      <c r="VB50" s="1">
        <f t="shared" si="215"/>
        <v>0</v>
      </c>
      <c r="VC50" s="1">
        <f t="shared" si="215"/>
        <v>0</v>
      </c>
      <c r="VD50" s="1">
        <f t="shared" si="215"/>
        <v>0</v>
      </c>
      <c r="VE50" s="1">
        <f t="shared" si="215"/>
        <v>0</v>
      </c>
      <c r="VF50" s="1">
        <f t="shared" si="215"/>
        <v>0</v>
      </c>
      <c r="VG50" s="1">
        <f t="shared" si="215"/>
        <v>0</v>
      </c>
      <c r="VH50" s="1">
        <f t="shared" si="215"/>
        <v>0</v>
      </c>
      <c r="VI50" s="1">
        <f t="shared" si="215"/>
        <v>0</v>
      </c>
      <c r="VJ50" s="1">
        <f t="shared" si="215"/>
        <v>0</v>
      </c>
      <c r="VK50" s="1">
        <f t="shared" si="215"/>
        <v>0</v>
      </c>
      <c r="VL50" s="1">
        <f t="shared" si="215"/>
        <v>0</v>
      </c>
      <c r="VM50" s="1">
        <f t="shared" si="215"/>
        <v>0</v>
      </c>
      <c r="VN50" s="1">
        <f t="shared" si="215"/>
        <v>0</v>
      </c>
      <c r="VO50" s="1">
        <f t="shared" si="215"/>
        <v>0</v>
      </c>
      <c r="VP50" s="1">
        <f t="shared" si="215"/>
        <v>0</v>
      </c>
      <c r="VQ50" s="1">
        <f t="shared" si="215"/>
        <v>0</v>
      </c>
      <c r="VR50" s="1">
        <f t="shared" si="215"/>
        <v>0</v>
      </c>
      <c r="VS50" s="1">
        <f t="shared" si="215"/>
        <v>0</v>
      </c>
      <c r="VT50" s="1">
        <f t="shared" si="215"/>
        <v>0</v>
      </c>
      <c r="VU50" s="1">
        <f t="shared" si="215"/>
        <v>0</v>
      </c>
      <c r="VV50" s="1">
        <f t="shared" si="215"/>
        <v>0</v>
      </c>
      <c r="VW50" s="1">
        <f t="shared" si="215"/>
        <v>0</v>
      </c>
      <c r="VX50" s="1">
        <f t="shared" si="215"/>
        <v>0</v>
      </c>
      <c r="VY50" s="1">
        <f t="shared" si="215"/>
        <v>0</v>
      </c>
      <c r="VZ50" s="1">
        <f t="shared" si="215"/>
        <v>0</v>
      </c>
      <c r="WA50" s="1">
        <f t="shared" si="215"/>
        <v>0</v>
      </c>
      <c r="WB50" s="1">
        <f t="shared" si="215"/>
        <v>0</v>
      </c>
      <c r="WC50" s="1">
        <f t="shared" si="215"/>
        <v>0</v>
      </c>
      <c r="WD50" s="1">
        <f t="shared" si="215"/>
        <v>0</v>
      </c>
      <c r="WE50" s="1">
        <f t="shared" si="215"/>
        <v>0</v>
      </c>
      <c r="WF50" s="1">
        <f t="shared" si="215"/>
        <v>0</v>
      </c>
      <c r="WG50" s="1">
        <f t="shared" si="215"/>
        <v>0</v>
      </c>
      <c r="WH50" s="1">
        <f t="shared" si="215"/>
        <v>0</v>
      </c>
      <c r="WI50" s="1">
        <f t="shared" si="215"/>
        <v>0</v>
      </c>
      <c r="WJ50" s="1">
        <f t="shared" si="215"/>
        <v>0</v>
      </c>
      <c r="WK50" s="1">
        <f t="shared" si="215"/>
        <v>0</v>
      </c>
      <c r="WL50" s="1">
        <f t="shared" si="215"/>
        <v>0</v>
      </c>
      <c r="WM50" s="1">
        <f t="shared" si="215"/>
        <v>0</v>
      </c>
      <c r="WN50" s="1">
        <f t="shared" si="215"/>
        <v>0</v>
      </c>
      <c r="WO50" s="1">
        <f t="shared" si="215"/>
        <v>0</v>
      </c>
      <c r="WP50" s="1">
        <f t="shared" si="215"/>
        <v>0</v>
      </c>
      <c r="WQ50" s="1">
        <f t="shared" si="215"/>
        <v>0</v>
      </c>
      <c r="WR50" s="1">
        <f t="shared" si="215"/>
        <v>0</v>
      </c>
      <c r="WS50" s="1">
        <f t="shared" si="215"/>
        <v>0</v>
      </c>
      <c r="WT50" s="1">
        <f t="shared" si="215"/>
        <v>0</v>
      </c>
      <c r="WU50" s="1">
        <f t="shared" si="215"/>
        <v>0</v>
      </c>
      <c r="WV50" s="1">
        <f t="shared" si="215"/>
        <v>0</v>
      </c>
      <c r="WW50" s="1">
        <f t="shared" si="215"/>
        <v>0</v>
      </c>
      <c r="WX50" s="1">
        <f t="shared" si="215"/>
        <v>0</v>
      </c>
      <c r="WY50" s="1">
        <f t="shared" si="215"/>
        <v>0</v>
      </c>
      <c r="WZ50" s="1">
        <f t="shared" si="215"/>
        <v>0</v>
      </c>
      <c r="XA50" s="1">
        <f t="shared" si="215"/>
        <v>0</v>
      </c>
      <c r="XB50" s="1">
        <f t="shared" si="215"/>
        <v>0</v>
      </c>
      <c r="XC50" s="1">
        <f t="shared" si="215"/>
        <v>0</v>
      </c>
      <c r="XD50" s="1">
        <f t="shared" si="215"/>
        <v>0</v>
      </c>
      <c r="XE50" s="1">
        <f t="shared" si="215"/>
        <v>0</v>
      </c>
      <c r="XF50" s="1">
        <f t="shared" ref="XF50:ZQ50" si="216">XF34-XF15</f>
        <v>0</v>
      </c>
      <c r="XG50" s="1">
        <f t="shared" si="216"/>
        <v>0</v>
      </c>
      <c r="XH50" s="1">
        <f t="shared" si="216"/>
        <v>0</v>
      </c>
      <c r="XI50" s="1">
        <f t="shared" si="216"/>
        <v>0</v>
      </c>
      <c r="XJ50" s="1">
        <f t="shared" si="216"/>
        <v>0</v>
      </c>
      <c r="XK50" s="1">
        <f t="shared" si="216"/>
        <v>0</v>
      </c>
      <c r="XL50" s="1">
        <f t="shared" si="216"/>
        <v>0</v>
      </c>
      <c r="XM50" s="1">
        <f t="shared" si="216"/>
        <v>0</v>
      </c>
      <c r="XN50" s="1">
        <f t="shared" si="216"/>
        <v>0</v>
      </c>
      <c r="XO50" s="1">
        <f t="shared" si="216"/>
        <v>0</v>
      </c>
      <c r="XP50" s="1">
        <f t="shared" si="216"/>
        <v>0</v>
      </c>
      <c r="XQ50" s="1">
        <f t="shared" si="216"/>
        <v>0</v>
      </c>
      <c r="XR50" s="1">
        <f t="shared" si="216"/>
        <v>0</v>
      </c>
      <c r="XS50" s="1">
        <f t="shared" si="216"/>
        <v>0</v>
      </c>
      <c r="XT50" s="1">
        <f t="shared" si="216"/>
        <v>0</v>
      </c>
      <c r="XU50" s="1">
        <f t="shared" si="216"/>
        <v>0</v>
      </c>
      <c r="XV50" s="1">
        <f t="shared" si="216"/>
        <v>0</v>
      </c>
      <c r="XW50" s="1">
        <f t="shared" si="216"/>
        <v>0</v>
      </c>
      <c r="XX50" s="1">
        <f t="shared" si="216"/>
        <v>0</v>
      </c>
      <c r="XY50" s="1">
        <f t="shared" si="216"/>
        <v>0</v>
      </c>
      <c r="XZ50" s="1">
        <f t="shared" si="216"/>
        <v>0</v>
      </c>
      <c r="YA50" s="1">
        <f t="shared" si="216"/>
        <v>0</v>
      </c>
      <c r="YB50" s="1">
        <f t="shared" si="216"/>
        <v>0</v>
      </c>
      <c r="YC50" s="1">
        <f t="shared" si="216"/>
        <v>0</v>
      </c>
      <c r="YD50" s="1">
        <f t="shared" si="216"/>
        <v>0</v>
      </c>
      <c r="YE50" s="1">
        <f t="shared" si="216"/>
        <v>0</v>
      </c>
      <c r="YF50" s="1">
        <f t="shared" si="216"/>
        <v>0</v>
      </c>
      <c r="YG50" s="1">
        <f t="shared" si="216"/>
        <v>0</v>
      </c>
      <c r="YH50" s="1">
        <f t="shared" si="216"/>
        <v>0</v>
      </c>
      <c r="YI50" s="1">
        <f t="shared" si="216"/>
        <v>0</v>
      </c>
      <c r="YJ50" s="1">
        <f t="shared" si="216"/>
        <v>0</v>
      </c>
      <c r="YK50" s="1">
        <f t="shared" si="216"/>
        <v>0</v>
      </c>
      <c r="YL50" s="1">
        <f t="shared" si="216"/>
        <v>0</v>
      </c>
      <c r="YM50" s="1">
        <f t="shared" si="216"/>
        <v>0</v>
      </c>
      <c r="YN50" s="1">
        <f t="shared" si="216"/>
        <v>0</v>
      </c>
      <c r="YO50" s="1">
        <f t="shared" si="216"/>
        <v>0</v>
      </c>
      <c r="YP50" s="1">
        <f t="shared" si="216"/>
        <v>0</v>
      </c>
      <c r="YQ50" s="1">
        <f t="shared" si="216"/>
        <v>0</v>
      </c>
      <c r="YR50" s="1">
        <f t="shared" si="216"/>
        <v>0</v>
      </c>
      <c r="YS50" s="1">
        <f t="shared" si="216"/>
        <v>0</v>
      </c>
      <c r="YT50" s="1">
        <f t="shared" si="216"/>
        <v>0</v>
      </c>
      <c r="YU50" s="1">
        <f t="shared" si="216"/>
        <v>0</v>
      </c>
      <c r="YV50" s="1">
        <f t="shared" si="216"/>
        <v>0</v>
      </c>
      <c r="YW50" s="1">
        <f t="shared" si="216"/>
        <v>0</v>
      </c>
      <c r="YX50" s="1">
        <f t="shared" si="216"/>
        <v>0</v>
      </c>
      <c r="YY50" s="1">
        <f t="shared" si="216"/>
        <v>0</v>
      </c>
      <c r="YZ50" s="1">
        <f t="shared" si="216"/>
        <v>0</v>
      </c>
      <c r="ZA50" s="1">
        <f t="shared" si="216"/>
        <v>0</v>
      </c>
      <c r="ZB50" s="1">
        <f t="shared" si="216"/>
        <v>0</v>
      </c>
      <c r="ZC50" s="1">
        <f t="shared" si="216"/>
        <v>0</v>
      </c>
      <c r="ZD50" s="1">
        <f t="shared" si="216"/>
        <v>0</v>
      </c>
      <c r="ZE50" s="1">
        <f t="shared" si="216"/>
        <v>0</v>
      </c>
      <c r="ZF50" s="1">
        <f t="shared" si="216"/>
        <v>0</v>
      </c>
      <c r="ZG50" s="1">
        <f t="shared" si="216"/>
        <v>0</v>
      </c>
      <c r="ZH50" s="1">
        <f t="shared" si="216"/>
        <v>0</v>
      </c>
      <c r="ZI50" s="1">
        <f t="shared" si="216"/>
        <v>0</v>
      </c>
      <c r="ZJ50" s="1">
        <f t="shared" si="216"/>
        <v>0</v>
      </c>
      <c r="ZK50" s="1">
        <f t="shared" si="216"/>
        <v>0</v>
      </c>
      <c r="ZL50" s="1">
        <f t="shared" si="216"/>
        <v>0</v>
      </c>
      <c r="ZM50" s="1">
        <f t="shared" si="216"/>
        <v>0</v>
      </c>
      <c r="ZN50" s="1">
        <f t="shared" si="216"/>
        <v>0</v>
      </c>
      <c r="ZO50" s="1">
        <f t="shared" si="216"/>
        <v>0</v>
      </c>
      <c r="ZP50" s="1">
        <f t="shared" si="216"/>
        <v>0</v>
      </c>
      <c r="ZQ50" s="1">
        <f t="shared" si="216"/>
        <v>0</v>
      </c>
      <c r="ZR50" s="1">
        <f t="shared" ref="ZR50:ACC50" si="217">ZR34-ZR15</f>
        <v>0</v>
      </c>
      <c r="ZS50" s="1">
        <f t="shared" si="217"/>
        <v>0</v>
      </c>
      <c r="ZT50" s="1">
        <f t="shared" si="217"/>
        <v>0</v>
      </c>
      <c r="ZU50" s="1">
        <f t="shared" si="217"/>
        <v>0</v>
      </c>
      <c r="ZV50" s="1">
        <f t="shared" si="217"/>
        <v>0</v>
      </c>
      <c r="ZW50" s="1">
        <f t="shared" si="217"/>
        <v>0</v>
      </c>
      <c r="ZX50" s="1">
        <f t="shared" si="217"/>
        <v>0</v>
      </c>
      <c r="ZY50" s="1">
        <f t="shared" si="217"/>
        <v>0</v>
      </c>
      <c r="ZZ50" s="1">
        <f t="shared" si="217"/>
        <v>0</v>
      </c>
      <c r="AAA50" s="1">
        <f t="shared" si="217"/>
        <v>0</v>
      </c>
      <c r="AAB50" s="1">
        <f t="shared" si="217"/>
        <v>0</v>
      </c>
      <c r="AAC50" s="1">
        <f t="shared" si="217"/>
        <v>0</v>
      </c>
      <c r="AAD50" s="1">
        <f t="shared" si="217"/>
        <v>0</v>
      </c>
      <c r="AAE50" s="1">
        <f t="shared" si="217"/>
        <v>0</v>
      </c>
      <c r="AAF50" s="1">
        <f t="shared" si="217"/>
        <v>0</v>
      </c>
      <c r="AAG50" s="1">
        <f t="shared" si="217"/>
        <v>0</v>
      </c>
      <c r="AAH50" s="1">
        <f t="shared" si="217"/>
        <v>0</v>
      </c>
      <c r="AAI50" s="1">
        <f t="shared" si="217"/>
        <v>0</v>
      </c>
      <c r="AAJ50" s="1">
        <f t="shared" si="217"/>
        <v>0</v>
      </c>
      <c r="AAK50" s="1">
        <f t="shared" si="217"/>
        <v>0</v>
      </c>
      <c r="AAL50" s="1">
        <f t="shared" si="217"/>
        <v>0</v>
      </c>
      <c r="AAM50" s="1">
        <f t="shared" si="217"/>
        <v>0</v>
      </c>
      <c r="AAN50" s="1">
        <f t="shared" si="217"/>
        <v>0</v>
      </c>
      <c r="AAO50" s="1">
        <f t="shared" si="217"/>
        <v>0</v>
      </c>
      <c r="AAP50" s="1">
        <f t="shared" si="217"/>
        <v>0</v>
      </c>
      <c r="AAQ50" s="1">
        <f t="shared" si="217"/>
        <v>0</v>
      </c>
      <c r="AAR50" s="1">
        <f t="shared" si="217"/>
        <v>0</v>
      </c>
      <c r="AAS50" s="1">
        <f t="shared" si="217"/>
        <v>0</v>
      </c>
      <c r="AAT50" s="1">
        <f t="shared" si="217"/>
        <v>0</v>
      </c>
      <c r="AAU50" s="1">
        <f t="shared" si="217"/>
        <v>0</v>
      </c>
      <c r="AAV50" s="1">
        <f t="shared" si="217"/>
        <v>0</v>
      </c>
      <c r="AAW50" s="1">
        <f t="shared" si="217"/>
        <v>0</v>
      </c>
      <c r="AAX50" s="1">
        <f t="shared" si="217"/>
        <v>0</v>
      </c>
      <c r="AAY50" s="1">
        <f t="shared" si="217"/>
        <v>0</v>
      </c>
      <c r="AAZ50" s="1">
        <f t="shared" si="217"/>
        <v>0</v>
      </c>
      <c r="ABA50" s="1">
        <f t="shared" si="217"/>
        <v>0</v>
      </c>
      <c r="ABB50" s="1">
        <f t="shared" si="217"/>
        <v>0</v>
      </c>
      <c r="ABC50" s="1">
        <f t="shared" si="217"/>
        <v>0</v>
      </c>
      <c r="ABD50" s="1">
        <f t="shared" si="217"/>
        <v>0</v>
      </c>
      <c r="ABE50" s="1">
        <f t="shared" si="217"/>
        <v>0</v>
      </c>
      <c r="ABF50" s="1">
        <f t="shared" si="217"/>
        <v>0</v>
      </c>
      <c r="ABG50" s="1">
        <f t="shared" si="217"/>
        <v>0</v>
      </c>
      <c r="ABH50" s="1">
        <f t="shared" si="217"/>
        <v>0</v>
      </c>
      <c r="ABI50" s="1">
        <f t="shared" si="217"/>
        <v>0</v>
      </c>
      <c r="ABJ50" s="1">
        <f t="shared" si="217"/>
        <v>0</v>
      </c>
      <c r="ABK50" s="1">
        <f t="shared" si="217"/>
        <v>0</v>
      </c>
      <c r="ABL50" s="1">
        <f t="shared" si="217"/>
        <v>0</v>
      </c>
      <c r="ABM50" s="1">
        <f t="shared" si="217"/>
        <v>0</v>
      </c>
      <c r="ABN50" s="1">
        <f t="shared" si="217"/>
        <v>0</v>
      </c>
      <c r="ABO50" s="1">
        <f t="shared" si="217"/>
        <v>0</v>
      </c>
      <c r="ABP50" s="1">
        <f t="shared" si="217"/>
        <v>0</v>
      </c>
      <c r="ABQ50" s="1">
        <f t="shared" si="217"/>
        <v>0</v>
      </c>
      <c r="ABR50" s="1">
        <f t="shared" si="217"/>
        <v>0</v>
      </c>
      <c r="ABS50" s="1">
        <f t="shared" si="217"/>
        <v>0</v>
      </c>
      <c r="ABT50" s="1">
        <f t="shared" si="217"/>
        <v>0</v>
      </c>
      <c r="ABU50" s="1">
        <f t="shared" si="217"/>
        <v>0</v>
      </c>
      <c r="ABV50" s="1">
        <f t="shared" si="217"/>
        <v>0</v>
      </c>
      <c r="ABW50" s="1">
        <f t="shared" si="217"/>
        <v>0</v>
      </c>
      <c r="ABX50" s="1">
        <f t="shared" si="217"/>
        <v>0</v>
      </c>
      <c r="ABY50" s="1">
        <f t="shared" si="217"/>
        <v>0</v>
      </c>
      <c r="ABZ50" s="1">
        <f t="shared" si="217"/>
        <v>0</v>
      </c>
      <c r="ACA50" s="1">
        <f t="shared" si="217"/>
        <v>0</v>
      </c>
      <c r="ACB50" s="1">
        <f t="shared" si="217"/>
        <v>0</v>
      </c>
      <c r="ACC50" s="1">
        <f t="shared" si="217"/>
        <v>0</v>
      </c>
      <c r="ACD50" s="1">
        <f t="shared" ref="ACD50:AEO50" si="218">ACD34-ACD15</f>
        <v>0</v>
      </c>
      <c r="ACE50" s="1">
        <f t="shared" si="218"/>
        <v>0</v>
      </c>
      <c r="ACF50" s="1">
        <f t="shared" si="218"/>
        <v>0</v>
      </c>
      <c r="ACG50" s="1">
        <f t="shared" si="218"/>
        <v>0</v>
      </c>
      <c r="ACH50" s="1">
        <f t="shared" si="218"/>
        <v>0</v>
      </c>
      <c r="ACI50" s="1">
        <f t="shared" si="218"/>
        <v>0</v>
      </c>
      <c r="ACJ50" s="1">
        <f t="shared" si="218"/>
        <v>0</v>
      </c>
      <c r="ACK50" s="1">
        <f t="shared" si="218"/>
        <v>0</v>
      </c>
      <c r="ACL50" s="1">
        <f t="shared" si="218"/>
        <v>0</v>
      </c>
      <c r="ACM50" s="1">
        <f t="shared" si="218"/>
        <v>0</v>
      </c>
      <c r="ACN50" s="1">
        <f t="shared" si="218"/>
        <v>0</v>
      </c>
      <c r="ACO50" s="1">
        <f t="shared" si="218"/>
        <v>0</v>
      </c>
      <c r="ACP50" s="1">
        <f t="shared" si="218"/>
        <v>0</v>
      </c>
      <c r="ACQ50" s="1">
        <f t="shared" si="218"/>
        <v>0</v>
      </c>
      <c r="ACR50" s="1">
        <f t="shared" si="218"/>
        <v>0</v>
      </c>
      <c r="ACS50" s="1">
        <f t="shared" si="218"/>
        <v>0</v>
      </c>
      <c r="ACT50" s="1">
        <f t="shared" si="218"/>
        <v>0</v>
      </c>
      <c r="ACU50" s="1">
        <f t="shared" si="218"/>
        <v>0</v>
      </c>
      <c r="ACV50" s="1">
        <f t="shared" si="218"/>
        <v>0</v>
      </c>
      <c r="ACW50" s="1">
        <f t="shared" si="218"/>
        <v>0</v>
      </c>
      <c r="ACX50" s="1">
        <f t="shared" si="218"/>
        <v>0</v>
      </c>
      <c r="ACY50" s="1">
        <f t="shared" si="218"/>
        <v>0</v>
      </c>
      <c r="ACZ50" s="1">
        <f t="shared" si="218"/>
        <v>0</v>
      </c>
      <c r="ADA50" s="1">
        <f t="shared" si="218"/>
        <v>0</v>
      </c>
      <c r="ADB50" s="1">
        <f t="shared" si="218"/>
        <v>0</v>
      </c>
      <c r="ADC50" s="1">
        <f t="shared" si="218"/>
        <v>0</v>
      </c>
      <c r="ADD50" s="1">
        <f t="shared" si="218"/>
        <v>0</v>
      </c>
      <c r="ADE50" s="1">
        <f t="shared" si="218"/>
        <v>0</v>
      </c>
      <c r="ADF50" s="1">
        <f t="shared" si="218"/>
        <v>0</v>
      </c>
      <c r="ADG50" s="1">
        <f t="shared" si="218"/>
        <v>0</v>
      </c>
      <c r="ADH50" s="1">
        <f t="shared" si="218"/>
        <v>0</v>
      </c>
      <c r="ADI50" s="1">
        <f t="shared" si="218"/>
        <v>0</v>
      </c>
      <c r="ADJ50" s="1">
        <f t="shared" si="218"/>
        <v>0</v>
      </c>
      <c r="ADK50" s="1">
        <f t="shared" si="218"/>
        <v>0</v>
      </c>
      <c r="ADL50" s="1">
        <f t="shared" si="218"/>
        <v>0</v>
      </c>
      <c r="ADM50" s="1">
        <f t="shared" si="218"/>
        <v>0</v>
      </c>
      <c r="ADN50" s="1">
        <f t="shared" si="218"/>
        <v>0</v>
      </c>
      <c r="ADO50" s="1">
        <f t="shared" si="218"/>
        <v>0</v>
      </c>
      <c r="ADP50" s="1">
        <f t="shared" si="218"/>
        <v>0</v>
      </c>
      <c r="ADQ50" s="1">
        <f t="shared" si="218"/>
        <v>0</v>
      </c>
      <c r="ADR50" s="1">
        <f t="shared" si="218"/>
        <v>0</v>
      </c>
      <c r="ADS50" s="1">
        <f t="shared" si="218"/>
        <v>0</v>
      </c>
      <c r="ADT50" s="1">
        <f t="shared" si="218"/>
        <v>0</v>
      </c>
      <c r="ADU50" s="1">
        <f t="shared" si="218"/>
        <v>0</v>
      </c>
      <c r="ADV50" s="1">
        <f t="shared" si="218"/>
        <v>0</v>
      </c>
      <c r="ADW50" s="1">
        <f t="shared" si="218"/>
        <v>0</v>
      </c>
      <c r="ADX50" s="1">
        <f t="shared" si="218"/>
        <v>0</v>
      </c>
      <c r="ADY50" s="1">
        <f t="shared" si="218"/>
        <v>0</v>
      </c>
      <c r="ADZ50" s="1">
        <f t="shared" si="218"/>
        <v>0</v>
      </c>
      <c r="AEA50" s="1">
        <f t="shared" si="218"/>
        <v>0</v>
      </c>
      <c r="AEB50" s="1">
        <f t="shared" si="218"/>
        <v>0</v>
      </c>
      <c r="AEC50" s="1">
        <f t="shared" si="218"/>
        <v>0</v>
      </c>
      <c r="AED50" s="1">
        <f t="shared" si="218"/>
        <v>0</v>
      </c>
      <c r="AEE50" s="1">
        <f t="shared" si="218"/>
        <v>0</v>
      </c>
      <c r="AEF50" s="1">
        <f t="shared" si="218"/>
        <v>0</v>
      </c>
      <c r="AEG50" s="1">
        <f t="shared" si="218"/>
        <v>0</v>
      </c>
      <c r="AEH50" s="1">
        <f t="shared" si="218"/>
        <v>0</v>
      </c>
      <c r="AEI50" s="1">
        <f t="shared" si="218"/>
        <v>0</v>
      </c>
      <c r="AEJ50" s="1">
        <f t="shared" si="218"/>
        <v>0</v>
      </c>
      <c r="AEK50" s="1">
        <f t="shared" si="218"/>
        <v>0</v>
      </c>
      <c r="AEL50" s="1">
        <f t="shared" si="218"/>
        <v>0</v>
      </c>
      <c r="AEM50" s="1">
        <f t="shared" si="218"/>
        <v>0</v>
      </c>
      <c r="AEN50" s="1">
        <f t="shared" si="218"/>
        <v>0</v>
      </c>
      <c r="AEO50" s="1">
        <f t="shared" si="218"/>
        <v>0</v>
      </c>
      <c r="AEP50" s="1">
        <f t="shared" ref="AEP50:AHA50" si="219">AEP34-AEP15</f>
        <v>0</v>
      </c>
      <c r="AEQ50" s="1">
        <f t="shared" si="219"/>
        <v>0</v>
      </c>
      <c r="AER50" s="1">
        <f t="shared" si="219"/>
        <v>0</v>
      </c>
      <c r="AES50" s="1">
        <f t="shared" si="219"/>
        <v>0</v>
      </c>
      <c r="AET50" s="1">
        <f t="shared" si="219"/>
        <v>0</v>
      </c>
      <c r="AEU50" s="1">
        <f t="shared" si="219"/>
        <v>0</v>
      </c>
      <c r="AEV50" s="1">
        <f t="shared" si="219"/>
        <v>0</v>
      </c>
      <c r="AEW50" s="1">
        <f t="shared" si="219"/>
        <v>0</v>
      </c>
      <c r="AEX50" s="1">
        <f t="shared" si="219"/>
        <v>0</v>
      </c>
      <c r="AEY50" s="1">
        <f t="shared" si="219"/>
        <v>0</v>
      </c>
      <c r="AEZ50" s="1">
        <f t="shared" si="219"/>
        <v>0</v>
      </c>
      <c r="AFA50" s="1">
        <f t="shared" si="219"/>
        <v>0</v>
      </c>
      <c r="AFB50" s="1">
        <f t="shared" si="219"/>
        <v>0</v>
      </c>
      <c r="AFC50" s="1">
        <f t="shared" si="219"/>
        <v>0</v>
      </c>
      <c r="AFD50" s="1">
        <f t="shared" si="219"/>
        <v>0</v>
      </c>
      <c r="AFE50" s="1">
        <f t="shared" si="219"/>
        <v>0</v>
      </c>
      <c r="AFF50" s="1">
        <f t="shared" si="219"/>
        <v>0</v>
      </c>
      <c r="AFG50" s="1">
        <f t="shared" si="219"/>
        <v>0</v>
      </c>
      <c r="AFH50" s="1">
        <f t="shared" si="219"/>
        <v>0</v>
      </c>
      <c r="AFI50" s="1">
        <f t="shared" si="219"/>
        <v>0</v>
      </c>
      <c r="AFJ50" s="1">
        <f t="shared" si="219"/>
        <v>0</v>
      </c>
      <c r="AFK50" s="1">
        <f t="shared" si="219"/>
        <v>0</v>
      </c>
      <c r="AFL50" s="1">
        <f t="shared" si="219"/>
        <v>0</v>
      </c>
      <c r="AFM50" s="1">
        <f t="shared" si="219"/>
        <v>0</v>
      </c>
      <c r="AFN50" s="1">
        <f t="shared" si="219"/>
        <v>0</v>
      </c>
      <c r="AFO50" s="1">
        <f t="shared" si="219"/>
        <v>0</v>
      </c>
      <c r="AFP50" s="1">
        <f t="shared" si="219"/>
        <v>0</v>
      </c>
      <c r="AFQ50" s="1">
        <f t="shared" si="219"/>
        <v>0</v>
      </c>
      <c r="AFR50" s="1">
        <f t="shared" si="219"/>
        <v>0</v>
      </c>
      <c r="AFS50" s="1">
        <f t="shared" si="219"/>
        <v>0</v>
      </c>
      <c r="AFT50" s="1">
        <f t="shared" si="219"/>
        <v>0</v>
      </c>
      <c r="AFU50" s="1">
        <f t="shared" si="219"/>
        <v>0</v>
      </c>
      <c r="AFV50" s="1">
        <f t="shared" si="219"/>
        <v>0</v>
      </c>
      <c r="AFW50" s="1">
        <f t="shared" si="219"/>
        <v>0</v>
      </c>
      <c r="AFX50" s="1">
        <f t="shared" si="219"/>
        <v>0</v>
      </c>
      <c r="AFY50" s="1">
        <f t="shared" si="219"/>
        <v>0</v>
      </c>
      <c r="AFZ50" s="1">
        <f t="shared" si="219"/>
        <v>0</v>
      </c>
      <c r="AGA50" s="1">
        <f t="shared" si="219"/>
        <v>0</v>
      </c>
      <c r="AGB50" s="1">
        <f t="shared" si="219"/>
        <v>0</v>
      </c>
      <c r="AGC50" s="1">
        <f t="shared" si="219"/>
        <v>0</v>
      </c>
      <c r="AGD50" s="1">
        <f t="shared" si="219"/>
        <v>0</v>
      </c>
      <c r="AGE50" s="1">
        <f t="shared" si="219"/>
        <v>0</v>
      </c>
      <c r="AGF50" s="1">
        <f t="shared" si="219"/>
        <v>0</v>
      </c>
      <c r="AGG50" s="1">
        <f t="shared" si="219"/>
        <v>0</v>
      </c>
      <c r="AGH50" s="1">
        <f t="shared" si="219"/>
        <v>0</v>
      </c>
      <c r="AGI50" s="1">
        <f t="shared" si="219"/>
        <v>0</v>
      </c>
      <c r="AGJ50" s="1">
        <f t="shared" si="219"/>
        <v>0</v>
      </c>
      <c r="AGK50" s="1">
        <f t="shared" si="219"/>
        <v>0</v>
      </c>
      <c r="AGL50" s="1">
        <f t="shared" si="219"/>
        <v>0</v>
      </c>
      <c r="AGM50" s="1">
        <f t="shared" si="219"/>
        <v>0</v>
      </c>
      <c r="AGN50" s="1">
        <f t="shared" si="219"/>
        <v>0</v>
      </c>
      <c r="AGO50" s="1">
        <f t="shared" si="219"/>
        <v>0</v>
      </c>
      <c r="AGP50" s="1">
        <f t="shared" si="219"/>
        <v>0</v>
      </c>
      <c r="AGQ50" s="1">
        <f t="shared" si="219"/>
        <v>0</v>
      </c>
      <c r="AGR50" s="1">
        <f t="shared" si="219"/>
        <v>0</v>
      </c>
      <c r="AGS50" s="1">
        <f t="shared" si="219"/>
        <v>0</v>
      </c>
      <c r="AGT50" s="1">
        <f t="shared" si="219"/>
        <v>0</v>
      </c>
      <c r="AGU50" s="1">
        <f t="shared" si="219"/>
        <v>0</v>
      </c>
      <c r="AGV50" s="1">
        <f t="shared" si="219"/>
        <v>0</v>
      </c>
      <c r="AGW50" s="1">
        <f t="shared" si="219"/>
        <v>0</v>
      </c>
      <c r="AGX50" s="1">
        <f t="shared" si="219"/>
        <v>0</v>
      </c>
      <c r="AGY50" s="1">
        <f t="shared" si="219"/>
        <v>0</v>
      </c>
      <c r="AGZ50" s="1">
        <f t="shared" si="219"/>
        <v>0</v>
      </c>
      <c r="AHA50" s="1">
        <f t="shared" si="219"/>
        <v>0</v>
      </c>
      <c r="AHB50" s="1">
        <f t="shared" ref="AHB50:AJM50" si="220">AHB34-AHB15</f>
        <v>0</v>
      </c>
      <c r="AHC50" s="1">
        <f t="shared" si="220"/>
        <v>0</v>
      </c>
      <c r="AHD50" s="1">
        <f t="shared" si="220"/>
        <v>0</v>
      </c>
      <c r="AHE50" s="1">
        <f t="shared" si="220"/>
        <v>0</v>
      </c>
      <c r="AHF50" s="1">
        <f t="shared" si="220"/>
        <v>0</v>
      </c>
      <c r="AHG50" s="1">
        <f t="shared" si="220"/>
        <v>0</v>
      </c>
      <c r="AHH50" s="1">
        <f t="shared" si="220"/>
        <v>0</v>
      </c>
      <c r="AHI50" s="1">
        <f t="shared" si="220"/>
        <v>0</v>
      </c>
      <c r="AHJ50" s="1">
        <f t="shared" si="220"/>
        <v>0</v>
      </c>
      <c r="AHK50" s="1">
        <f t="shared" si="220"/>
        <v>0</v>
      </c>
      <c r="AHL50" s="1">
        <f t="shared" si="220"/>
        <v>0</v>
      </c>
      <c r="AHM50" s="1">
        <f t="shared" si="220"/>
        <v>0</v>
      </c>
      <c r="AHN50" s="1">
        <f t="shared" si="220"/>
        <v>0</v>
      </c>
      <c r="AHO50" s="1">
        <f t="shared" si="220"/>
        <v>0</v>
      </c>
      <c r="AHP50" s="1">
        <f t="shared" si="220"/>
        <v>0</v>
      </c>
      <c r="AHQ50" s="1">
        <f t="shared" si="220"/>
        <v>0</v>
      </c>
      <c r="AHR50" s="1">
        <f t="shared" si="220"/>
        <v>0</v>
      </c>
      <c r="AHS50" s="1">
        <f t="shared" si="220"/>
        <v>0</v>
      </c>
      <c r="AHT50" s="1">
        <f t="shared" si="220"/>
        <v>0</v>
      </c>
      <c r="AHU50" s="1">
        <f t="shared" si="220"/>
        <v>0</v>
      </c>
      <c r="AHV50" s="1">
        <f t="shared" si="220"/>
        <v>0</v>
      </c>
      <c r="AHW50" s="1">
        <f t="shared" si="220"/>
        <v>0</v>
      </c>
      <c r="AHX50" s="1">
        <f t="shared" si="220"/>
        <v>0</v>
      </c>
      <c r="AHY50" s="1">
        <f t="shared" si="220"/>
        <v>0</v>
      </c>
      <c r="AHZ50" s="1">
        <f t="shared" si="220"/>
        <v>0</v>
      </c>
      <c r="AIA50" s="1">
        <f t="shared" si="220"/>
        <v>0</v>
      </c>
      <c r="AIB50" s="1">
        <f t="shared" si="220"/>
        <v>0</v>
      </c>
      <c r="AIC50" s="1">
        <f t="shared" si="220"/>
        <v>0</v>
      </c>
      <c r="AID50" s="1">
        <f t="shared" si="220"/>
        <v>0</v>
      </c>
      <c r="AIE50" s="1">
        <f t="shared" si="220"/>
        <v>0</v>
      </c>
      <c r="AIF50" s="1">
        <f t="shared" si="220"/>
        <v>0</v>
      </c>
      <c r="AIG50" s="1">
        <f t="shared" si="220"/>
        <v>0</v>
      </c>
      <c r="AIH50" s="1">
        <f t="shared" si="220"/>
        <v>0</v>
      </c>
      <c r="AII50" s="1">
        <f t="shared" si="220"/>
        <v>0</v>
      </c>
      <c r="AIJ50" s="1">
        <f t="shared" si="220"/>
        <v>0</v>
      </c>
      <c r="AIK50" s="1">
        <f t="shared" si="220"/>
        <v>0</v>
      </c>
      <c r="AIL50" s="1">
        <f t="shared" si="220"/>
        <v>0</v>
      </c>
      <c r="AIM50" s="1">
        <f t="shared" si="220"/>
        <v>0</v>
      </c>
      <c r="AIN50" s="1">
        <f t="shared" si="220"/>
        <v>0</v>
      </c>
      <c r="AIO50" s="1">
        <f t="shared" si="220"/>
        <v>0</v>
      </c>
      <c r="AIP50" s="1">
        <f t="shared" si="220"/>
        <v>0</v>
      </c>
      <c r="AIQ50" s="1">
        <f t="shared" si="220"/>
        <v>0</v>
      </c>
      <c r="AIR50" s="1">
        <f t="shared" si="220"/>
        <v>0</v>
      </c>
      <c r="AIS50" s="1">
        <f t="shared" si="220"/>
        <v>0</v>
      </c>
      <c r="AIT50" s="1">
        <f t="shared" si="220"/>
        <v>0</v>
      </c>
      <c r="AIU50" s="1">
        <f t="shared" si="220"/>
        <v>0</v>
      </c>
      <c r="AIV50" s="1">
        <f t="shared" si="220"/>
        <v>0</v>
      </c>
      <c r="AIW50" s="1">
        <f t="shared" si="220"/>
        <v>0</v>
      </c>
      <c r="AIX50" s="1">
        <f t="shared" si="220"/>
        <v>0</v>
      </c>
      <c r="AIY50" s="1">
        <f t="shared" si="220"/>
        <v>0</v>
      </c>
      <c r="AIZ50" s="1">
        <f t="shared" si="220"/>
        <v>0</v>
      </c>
      <c r="AJA50" s="1">
        <f t="shared" si="220"/>
        <v>0</v>
      </c>
      <c r="AJB50" s="1">
        <f t="shared" si="220"/>
        <v>0</v>
      </c>
      <c r="AJC50" s="1">
        <f t="shared" si="220"/>
        <v>0</v>
      </c>
      <c r="AJD50" s="1">
        <f t="shared" si="220"/>
        <v>0</v>
      </c>
      <c r="AJE50" s="1">
        <f t="shared" si="220"/>
        <v>0</v>
      </c>
      <c r="AJF50" s="1">
        <f t="shared" si="220"/>
        <v>0</v>
      </c>
      <c r="AJG50" s="1">
        <f t="shared" si="220"/>
        <v>0</v>
      </c>
      <c r="AJH50" s="1">
        <f t="shared" si="220"/>
        <v>0</v>
      </c>
      <c r="AJI50" s="1">
        <f t="shared" si="220"/>
        <v>0</v>
      </c>
      <c r="AJJ50" s="1">
        <f t="shared" si="220"/>
        <v>0</v>
      </c>
      <c r="AJK50" s="1">
        <f t="shared" si="220"/>
        <v>0</v>
      </c>
      <c r="AJL50" s="1">
        <f t="shared" si="220"/>
        <v>0</v>
      </c>
      <c r="AJM50" s="1">
        <f t="shared" si="220"/>
        <v>0</v>
      </c>
      <c r="AJN50" s="1">
        <f t="shared" ref="AJN50:ALM50" si="221">AJN34-AJN15</f>
        <v>0</v>
      </c>
      <c r="AJO50" s="1">
        <f t="shared" si="221"/>
        <v>0</v>
      </c>
      <c r="AJP50" s="1">
        <f t="shared" si="221"/>
        <v>0</v>
      </c>
      <c r="AJQ50" s="1">
        <f t="shared" si="221"/>
        <v>0</v>
      </c>
      <c r="AJR50" s="1">
        <f t="shared" si="221"/>
        <v>0</v>
      </c>
      <c r="AJS50" s="1">
        <f t="shared" si="221"/>
        <v>0</v>
      </c>
      <c r="AJT50" s="1">
        <f t="shared" si="221"/>
        <v>0</v>
      </c>
      <c r="AJU50" s="1">
        <f t="shared" si="221"/>
        <v>0</v>
      </c>
      <c r="AJV50" s="1">
        <f t="shared" si="221"/>
        <v>0</v>
      </c>
      <c r="AJW50" s="1">
        <f t="shared" si="221"/>
        <v>0</v>
      </c>
      <c r="AJX50" s="1">
        <f t="shared" si="221"/>
        <v>0</v>
      </c>
      <c r="AJY50" s="1">
        <f t="shared" si="221"/>
        <v>0</v>
      </c>
      <c r="AJZ50" s="1">
        <f t="shared" si="221"/>
        <v>0</v>
      </c>
      <c r="AKA50" s="1">
        <f t="shared" si="221"/>
        <v>0</v>
      </c>
      <c r="AKB50" s="1">
        <f t="shared" si="221"/>
        <v>0</v>
      </c>
      <c r="AKC50" s="1">
        <f t="shared" si="221"/>
        <v>0</v>
      </c>
      <c r="AKD50" s="1">
        <f t="shared" si="221"/>
        <v>0</v>
      </c>
      <c r="AKE50" s="1">
        <f t="shared" si="221"/>
        <v>0</v>
      </c>
      <c r="AKF50" s="1">
        <f t="shared" si="221"/>
        <v>0</v>
      </c>
      <c r="AKG50" s="1">
        <f t="shared" si="221"/>
        <v>0</v>
      </c>
      <c r="AKH50" s="1">
        <f t="shared" si="221"/>
        <v>0</v>
      </c>
      <c r="AKI50" s="1">
        <f t="shared" si="221"/>
        <v>0</v>
      </c>
      <c r="AKJ50" s="1">
        <f t="shared" si="221"/>
        <v>0</v>
      </c>
      <c r="AKK50" s="1">
        <f t="shared" si="221"/>
        <v>0</v>
      </c>
      <c r="AKL50" s="1">
        <f t="shared" si="221"/>
        <v>0</v>
      </c>
      <c r="AKM50" s="1">
        <f t="shared" si="221"/>
        <v>0</v>
      </c>
      <c r="AKN50" s="1">
        <f t="shared" si="221"/>
        <v>0</v>
      </c>
      <c r="AKO50" s="1">
        <f t="shared" si="221"/>
        <v>0</v>
      </c>
      <c r="AKP50" s="1">
        <f t="shared" si="221"/>
        <v>0</v>
      </c>
      <c r="AKQ50" s="1">
        <f t="shared" si="221"/>
        <v>0</v>
      </c>
      <c r="AKR50" s="1">
        <f t="shared" si="221"/>
        <v>0</v>
      </c>
      <c r="AKS50" s="1">
        <f t="shared" si="221"/>
        <v>0</v>
      </c>
      <c r="AKT50" s="1">
        <f t="shared" si="221"/>
        <v>0</v>
      </c>
      <c r="AKU50" s="1">
        <f t="shared" si="221"/>
        <v>0</v>
      </c>
      <c r="AKV50" s="1">
        <f t="shared" si="221"/>
        <v>0</v>
      </c>
      <c r="AKW50" s="1">
        <f t="shared" si="221"/>
        <v>0</v>
      </c>
      <c r="AKX50" s="1">
        <f t="shared" si="221"/>
        <v>0</v>
      </c>
      <c r="AKY50" s="1">
        <f t="shared" si="221"/>
        <v>0</v>
      </c>
      <c r="AKZ50" s="1">
        <f t="shared" si="221"/>
        <v>0</v>
      </c>
      <c r="ALA50" s="1">
        <f t="shared" si="221"/>
        <v>0</v>
      </c>
      <c r="ALB50" s="1">
        <f t="shared" si="221"/>
        <v>0</v>
      </c>
      <c r="ALC50" s="1">
        <f t="shared" si="221"/>
        <v>0</v>
      </c>
      <c r="ALD50" s="1">
        <f t="shared" si="221"/>
        <v>0</v>
      </c>
      <c r="ALE50" s="1">
        <f t="shared" si="221"/>
        <v>0</v>
      </c>
      <c r="ALF50" s="1">
        <f t="shared" si="221"/>
        <v>0</v>
      </c>
      <c r="ALG50" s="1">
        <f t="shared" si="221"/>
        <v>0</v>
      </c>
      <c r="ALH50" s="1">
        <f t="shared" si="221"/>
        <v>0</v>
      </c>
      <c r="ALI50" s="1">
        <f t="shared" si="221"/>
        <v>0</v>
      </c>
      <c r="ALJ50" s="1">
        <f t="shared" si="221"/>
        <v>0</v>
      </c>
      <c r="ALK50" s="1">
        <f t="shared" si="221"/>
        <v>0</v>
      </c>
      <c r="ALL50" s="1">
        <f t="shared" si="221"/>
        <v>0</v>
      </c>
      <c r="ALM50" s="1">
        <f t="shared" si="221"/>
        <v>0</v>
      </c>
    </row>
    <row r="51" spans="1:1001">
      <c r="A51" s="27"/>
      <c r="B51">
        <f>B35-B16</f>
        <v>0</v>
      </c>
      <c r="C51">
        <f t="shared" ref="C51:BN51" si="222">C35-C16</f>
        <v>0</v>
      </c>
      <c r="D51">
        <f t="shared" si="222"/>
        <v>0</v>
      </c>
      <c r="E51">
        <f t="shared" si="222"/>
        <v>0</v>
      </c>
      <c r="F51">
        <f t="shared" si="222"/>
        <v>0</v>
      </c>
      <c r="G51">
        <f t="shared" si="222"/>
        <v>0</v>
      </c>
      <c r="H51">
        <f t="shared" si="222"/>
        <v>0</v>
      </c>
      <c r="I51">
        <f t="shared" si="222"/>
        <v>0</v>
      </c>
      <c r="J51">
        <f t="shared" si="222"/>
        <v>0</v>
      </c>
      <c r="K51">
        <f t="shared" si="222"/>
        <v>0</v>
      </c>
      <c r="L51">
        <f t="shared" si="222"/>
        <v>0</v>
      </c>
      <c r="M51">
        <f t="shared" si="222"/>
        <v>0</v>
      </c>
      <c r="N51">
        <f t="shared" si="222"/>
        <v>0</v>
      </c>
      <c r="O51">
        <f t="shared" si="222"/>
        <v>0</v>
      </c>
      <c r="P51">
        <f t="shared" si="222"/>
        <v>0</v>
      </c>
      <c r="Q51">
        <f t="shared" si="222"/>
        <v>0</v>
      </c>
      <c r="R51">
        <f t="shared" si="222"/>
        <v>0</v>
      </c>
      <c r="S51">
        <f t="shared" si="222"/>
        <v>0</v>
      </c>
      <c r="T51">
        <f t="shared" si="222"/>
        <v>0</v>
      </c>
      <c r="U51">
        <f t="shared" si="222"/>
        <v>0</v>
      </c>
      <c r="V51">
        <f t="shared" si="222"/>
        <v>0</v>
      </c>
      <c r="W51">
        <f t="shared" si="222"/>
        <v>0</v>
      </c>
      <c r="X51">
        <f t="shared" si="222"/>
        <v>0</v>
      </c>
      <c r="Y51">
        <f t="shared" si="222"/>
        <v>0</v>
      </c>
      <c r="Z51">
        <f t="shared" si="222"/>
        <v>0</v>
      </c>
      <c r="AA51">
        <f t="shared" si="222"/>
        <v>0</v>
      </c>
      <c r="AB51">
        <f t="shared" si="222"/>
        <v>0</v>
      </c>
      <c r="AC51">
        <f t="shared" si="222"/>
        <v>0</v>
      </c>
      <c r="AD51">
        <f t="shared" si="222"/>
        <v>0</v>
      </c>
      <c r="AE51">
        <f t="shared" si="222"/>
        <v>0</v>
      </c>
      <c r="AF51">
        <f t="shared" si="222"/>
        <v>0</v>
      </c>
      <c r="AG51">
        <f t="shared" si="222"/>
        <v>0</v>
      </c>
      <c r="AH51">
        <f t="shared" si="222"/>
        <v>0</v>
      </c>
      <c r="AI51">
        <f t="shared" si="222"/>
        <v>0</v>
      </c>
      <c r="AJ51">
        <f t="shared" si="222"/>
        <v>0</v>
      </c>
      <c r="AK51">
        <f t="shared" si="222"/>
        <v>0</v>
      </c>
      <c r="AL51">
        <f t="shared" si="222"/>
        <v>0</v>
      </c>
      <c r="AM51">
        <f t="shared" si="222"/>
        <v>0</v>
      </c>
      <c r="AN51">
        <f t="shared" si="222"/>
        <v>0</v>
      </c>
      <c r="AO51">
        <f t="shared" si="222"/>
        <v>0</v>
      </c>
      <c r="AP51">
        <f t="shared" si="222"/>
        <v>0</v>
      </c>
      <c r="AQ51">
        <f t="shared" si="222"/>
        <v>0</v>
      </c>
      <c r="AR51">
        <f t="shared" si="222"/>
        <v>0</v>
      </c>
      <c r="AS51">
        <f t="shared" si="222"/>
        <v>0</v>
      </c>
      <c r="AT51">
        <f t="shared" si="222"/>
        <v>0</v>
      </c>
      <c r="AU51">
        <f t="shared" si="222"/>
        <v>0</v>
      </c>
      <c r="AV51">
        <f t="shared" si="222"/>
        <v>0</v>
      </c>
      <c r="AW51">
        <f t="shared" si="222"/>
        <v>0</v>
      </c>
      <c r="AX51">
        <f t="shared" si="222"/>
        <v>0</v>
      </c>
      <c r="AY51">
        <f t="shared" si="222"/>
        <v>0</v>
      </c>
      <c r="AZ51">
        <f t="shared" si="222"/>
        <v>0</v>
      </c>
      <c r="BA51">
        <f t="shared" si="222"/>
        <v>0</v>
      </c>
      <c r="BB51">
        <f t="shared" si="222"/>
        <v>0</v>
      </c>
      <c r="BC51">
        <f t="shared" si="222"/>
        <v>0</v>
      </c>
      <c r="BD51">
        <f t="shared" si="222"/>
        <v>0</v>
      </c>
      <c r="BE51">
        <f t="shared" si="222"/>
        <v>0</v>
      </c>
      <c r="BF51">
        <f t="shared" si="222"/>
        <v>0</v>
      </c>
      <c r="BG51">
        <f t="shared" si="222"/>
        <v>0</v>
      </c>
      <c r="BH51">
        <f t="shared" si="222"/>
        <v>0</v>
      </c>
      <c r="BI51">
        <f t="shared" si="222"/>
        <v>0</v>
      </c>
      <c r="BJ51">
        <f t="shared" si="222"/>
        <v>0</v>
      </c>
      <c r="BK51">
        <f t="shared" si="222"/>
        <v>0</v>
      </c>
      <c r="BL51">
        <f t="shared" si="222"/>
        <v>0</v>
      </c>
      <c r="BM51">
        <f t="shared" si="222"/>
        <v>0</v>
      </c>
      <c r="BN51">
        <f t="shared" si="222"/>
        <v>0</v>
      </c>
      <c r="BO51">
        <f t="shared" ref="BO51:DZ51" si="223">BO35-BO16</f>
        <v>0</v>
      </c>
      <c r="BP51">
        <f t="shared" si="223"/>
        <v>0</v>
      </c>
      <c r="BQ51">
        <f t="shared" si="223"/>
        <v>0</v>
      </c>
      <c r="BR51">
        <f t="shared" si="223"/>
        <v>0</v>
      </c>
      <c r="BS51">
        <f t="shared" si="223"/>
        <v>0</v>
      </c>
      <c r="BT51">
        <f t="shared" si="223"/>
        <v>0</v>
      </c>
      <c r="BU51">
        <f t="shared" si="223"/>
        <v>0</v>
      </c>
      <c r="BV51">
        <f t="shared" si="223"/>
        <v>0</v>
      </c>
      <c r="BW51">
        <f t="shared" si="223"/>
        <v>0</v>
      </c>
      <c r="BX51">
        <f t="shared" si="223"/>
        <v>0</v>
      </c>
      <c r="BY51">
        <f t="shared" si="223"/>
        <v>0</v>
      </c>
      <c r="BZ51">
        <f t="shared" si="223"/>
        <v>0</v>
      </c>
      <c r="CA51">
        <f t="shared" si="223"/>
        <v>0</v>
      </c>
      <c r="CB51">
        <f t="shared" si="223"/>
        <v>0</v>
      </c>
      <c r="CC51">
        <f t="shared" si="223"/>
        <v>0</v>
      </c>
      <c r="CD51">
        <f t="shared" si="223"/>
        <v>0</v>
      </c>
      <c r="CE51">
        <f t="shared" si="223"/>
        <v>0</v>
      </c>
      <c r="CF51">
        <f t="shared" si="223"/>
        <v>0</v>
      </c>
      <c r="CG51">
        <f t="shared" si="223"/>
        <v>0</v>
      </c>
      <c r="CH51">
        <f t="shared" si="223"/>
        <v>0</v>
      </c>
      <c r="CI51">
        <f t="shared" si="223"/>
        <v>0</v>
      </c>
      <c r="CJ51">
        <f t="shared" si="223"/>
        <v>0</v>
      </c>
      <c r="CK51">
        <f t="shared" si="223"/>
        <v>0</v>
      </c>
      <c r="CL51">
        <f t="shared" si="223"/>
        <v>0</v>
      </c>
      <c r="CM51">
        <f t="shared" si="223"/>
        <v>0</v>
      </c>
      <c r="CN51">
        <f t="shared" si="223"/>
        <v>0</v>
      </c>
      <c r="CO51">
        <f t="shared" si="223"/>
        <v>0</v>
      </c>
      <c r="CP51">
        <f t="shared" si="223"/>
        <v>0</v>
      </c>
      <c r="CQ51">
        <f t="shared" si="223"/>
        <v>0</v>
      </c>
      <c r="CR51">
        <f t="shared" si="223"/>
        <v>0</v>
      </c>
      <c r="CS51">
        <f t="shared" si="223"/>
        <v>0</v>
      </c>
      <c r="CT51">
        <f t="shared" si="223"/>
        <v>0</v>
      </c>
      <c r="CU51">
        <f t="shared" si="223"/>
        <v>0</v>
      </c>
      <c r="CV51">
        <f t="shared" si="223"/>
        <v>0</v>
      </c>
      <c r="CW51">
        <f t="shared" si="223"/>
        <v>0</v>
      </c>
      <c r="CX51">
        <f t="shared" si="223"/>
        <v>0</v>
      </c>
      <c r="CY51">
        <f t="shared" si="223"/>
        <v>0</v>
      </c>
      <c r="CZ51">
        <f t="shared" si="223"/>
        <v>0</v>
      </c>
      <c r="DA51">
        <f t="shared" si="223"/>
        <v>0</v>
      </c>
      <c r="DB51">
        <f t="shared" si="223"/>
        <v>0</v>
      </c>
      <c r="DC51">
        <f t="shared" si="223"/>
        <v>0</v>
      </c>
      <c r="DD51">
        <f t="shared" si="223"/>
        <v>0</v>
      </c>
      <c r="DE51">
        <f t="shared" si="223"/>
        <v>0</v>
      </c>
      <c r="DF51">
        <f t="shared" si="223"/>
        <v>0</v>
      </c>
      <c r="DG51">
        <f t="shared" si="223"/>
        <v>0</v>
      </c>
      <c r="DH51">
        <f t="shared" si="223"/>
        <v>0</v>
      </c>
      <c r="DI51">
        <f t="shared" si="223"/>
        <v>0</v>
      </c>
      <c r="DJ51">
        <f t="shared" si="223"/>
        <v>0</v>
      </c>
      <c r="DK51">
        <f t="shared" si="223"/>
        <v>0</v>
      </c>
      <c r="DL51">
        <f t="shared" si="223"/>
        <v>0</v>
      </c>
      <c r="DM51">
        <f t="shared" si="223"/>
        <v>0</v>
      </c>
      <c r="DN51">
        <f t="shared" si="223"/>
        <v>0</v>
      </c>
      <c r="DO51">
        <f t="shared" si="223"/>
        <v>0</v>
      </c>
      <c r="DP51">
        <f t="shared" si="223"/>
        <v>0</v>
      </c>
      <c r="DQ51">
        <f t="shared" si="223"/>
        <v>0</v>
      </c>
      <c r="DR51">
        <f t="shared" si="223"/>
        <v>0</v>
      </c>
      <c r="DS51">
        <f t="shared" si="223"/>
        <v>0</v>
      </c>
      <c r="DT51">
        <f t="shared" si="223"/>
        <v>0</v>
      </c>
      <c r="DU51">
        <f t="shared" si="223"/>
        <v>0</v>
      </c>
      <c r="DV51">
        <f t="shared" si="223"/>
        <v>0</v>
      </c>
      <c r="DW51">
        <f t="shared" si="223"/>
        <v>0</v>
      </c>
      <c r="DX51">
        <f t="shared" si="223"/>
        <v>0</v>
      </c>
      <c r="DY51">
        <f t="shared" si="223"/>
        <v>0</v>
      </c>
      <c r="DZ51">
        <f t="shared" si="223"/>
        <v>0</v>
      </c>
      <c r="EA51">
        <f t="shared" ref="EA51:GL51" si="224">EA35-EA16</f>
        <v>0</v>
      </c>
      <c r="EB51">
        <f t="shared" si="224"/>
        <v>0</v>
      </c>
      <c r="EC51">
        <f t="shared" si="224"/>
        <v>0</v>
      </c>
      <c r="ED51">
        <f t="shared" si="224"/>
        <v>0</v>
      </c>
      <c r="EE51">
        <f t="shared" si="224"/>
        <v>0</v>
      </c>
      <c r="EF51">
        <f t="shared" si="224"/>
        <v>0</v>
      </c>
      <c r="EG51">
        <f t="shared" si="224"/>
        <v>0</v>
      </c>
      <c r="EH51">
        <f t="shared" si="224"/>
        <v>0</v>
      </c>
      <c r="EI51">
        <f t="shared" si="224"/>
        <v>0</v>
      </c>
      <c r="EJ51">
        <f t="shared" si="224"/>
        <v>0</v>
      </c>
      <c r="EK51">
        <f t="shared" si="224"/>
        <v>0</v>
      </c>
      <c r="EL51">
        <f t="shared" si="224"/>
        <v>0</v>
      </c>
      <c r="EM51">
        <f t="shared" si="224"/>
        <v>0</v>
      </c>
      <c r="EN51">
        <f t="shared" si="224"/>
        <v>0</v>
      </c>
      <c r="EO51">
        <f t="shared" si="224"/>
        <v>0</v>
      </c>
      <c r="EP51">
        <f t="shared" si="224"/>
        <v>0</v>
      </c>
      <c r="EQ51">
        <f t="shared" si="224"/>
        <v>0</v>
      </c>
      <c r="ER51">
        <f t="shared" si="224"/>
        <v>0</v>
      </c>
      <c r="ES51">
        <f t="shared" si="224"/>
        <v>0</v>
      </c>
      <c r="ET51">
        <f t="shared" si="224"/>
        <v>0</v>
      </c>
      <c r="EU51">
        <f t="shared" si="224"/>
        <v>0</v>
      </c>
      <c r="EV51">
        <f t="shared" si="224"/>
        <v>0</v>
      </c>
      <c r="EW51">
        <f t="shared" si="224"/>
        <v>0</v>
      </c>
      <c r="EX51">
        <f t="shared" si="224"/>
        <v>0</v>
      </c>
      <c r="EY51">
        <f t="shared" si="224"/>
        <v>0</v>
      </c>
      <c r="EZ51">
        <f t="shared" si="224"/>
        <v>0</v>
      </c>
      <c r="FA51">
        <f t="shared" si="224"/>
        <v>0</v>
      </c>
      <c r="FB51">
        <f t="shared" si="224"/>
        <v>0</v>
      </c>
      <c r="FC51">
        <f t="shared" si="224"/>
        <v>0</v>
      </c>
      <c r="FD51">
        <f t="shared" si="224"/>
        <v>0</v>
      </c>
      <c r="FE51">
        <f t="shared" si="224"/>
        <v>0</v>
      </c>
      <c r="FF51">
        <f t="shared" si="224"/>
        <v>0</v>
      </c>
      <c r="FG51">
        <f t="shared" si="224"/>
        <v>0</v>
      </c>
      <c r="FH51">
        <f t="shared" si="224"/>
        <v>0</v>
      </c>
      <c r="FI51">
        <f t="shared" si="224"/>
        <v>0</v>
      </c>
      <c r="FJ51">
        <f t="shared" si="224"/>
        <v>0</v>
      </c>
      <c r="FK51">
        <f t="shared" si="224"/>
        <v>0</v>
      </c>
      <c r="FL51">
        <f t="shared" si="224"/>
        <v>0</v>
      </c>
      <c r="FM51">
        <f t="shared" si="224"/>
        <v>0</v>
      </c>
      <c r="FN51" s="1">
        <f t="shared" si="224"/>
        <v>0</v>
      </c>
      <c r="FO51" s="1">
        <f t="shared" si="224"/>
        <v>0</v>
      </c>
      <c r="FP51" s="1">
        <f t="shared" si="224"/>
        <v>0</v>
      </c>
      <c r="FQ51" s="1">
        <f t="shared" si="224"/>
        <v>0</v>
      </c>
      <c r="FR51" s="1">
        <f t="shared" si="224"/>
        <v>0</v>
      </c>
      <c r="FS51" s="1">
        <f t="shared" si="224"/>
        <v>0</v>
      </c>
      <c r="FT51" s="1">
        <f t="shared" si="224"/>
        <v>0</v>
      </c>
      <c r="FU51" s="1">
        <f t="shared" si="224"/>
        <v>0</v>
      </c>
      <c r="FV51" s="1">
        <f t="shared" si="224"/>
        <v>0</v>
      </c>
      <c r="FW51" s="1">
        <f t="shared" si="224"/>
        <v>0</v>
      </c>
      <c r="FX51" s="1">
        <f t="shared" si="224"/>
        <v>0</v>
      </c>
      <c r="FY51" s="1">
        <f t="shared" si="224"/>
        <v>0</v>
      </c>
      <c r="FZ51" s="1">
        <f t="shared" si="224"/>
        <v>0</v>
      </c>
      <c r="GA51" s="1">
        <f t="shared" si="224"/>
        <v>0</v>
      </c>
      <c r="GB51" s="1">
        <f t="shared" si="224"/>
        <v>0</v>
      </c>
      <c r="GC51" s="1">
        <f t="shared" si="224"/>
        <v>0</v>
      </c>
      <c r="GD51" s="1">
        <f t="shared" si="224"/>
        <v>0</v>
      </c>
      <c r="GE51" s="1">
        <f t="shared" si="224"/>
        <v>0</v>
      </c>
      <c r="GF51" s="1">
        <f t="shared" si="224"/>
        <v>0</v>
      </c>
      <c r="GG51" s="1">
        <f t="shared" si="224"/>
        <v>0</v>
      </c>
      <c r="GH51" s="1">
        <f t="shared" si="224"/>
        <v>0</v>
      </c>
      <c r="GI51" s="1">
        <f t="shared" si="224"/>
        <v>0</v>
      </c>
      <c r="GJ51" s="1">
        <f t="shared" si="224"/>
        <v>0</v>
      </c>
      <c r="GK51" s="1">
        <f t="shared" si="224"/>
        <v>0</v>
      </c>
      <c r="GL51" s="1">
        <f t="shared" si="224"/>
        <v>0</v>
      </c>
      <c r="GM51" s="1">
        <f t="shared" ref="GM51:IX51" si="225">GM35-GM16</f>
        <v>0</v>
      </c>
      <c r="GN51" s="1">
        <f t="shared" si="225"/>
        <v>0</v>
      </c>
      <c r="GO51" s="1">
        <f t="shared" si="225"/>
        <v>0</v>
      </c>
      <c r="GP51" s="1">
        <f t="shared" si="225"/>
        <v>0</v>
      </c>
      <c r="GQ51" s="1">
        <f t="shared" si="225"/>
        <v>0</v>
      </c>
      <c r="GR51" s="1">
        <f t="shared" si="225"/>
        <v>0</v>
      </c>
      <c r="GS51" s="1">
        <f t="shared" si="225"/>
        <v>0</v>
      </c>
      <c r="GT51" s="1">
        <f t="shared" si="225"/>
        <v>0</v>
      </c>
      <c r="GU51" s="1">
        <f t="shared" si="225"/>
        <v>0</v>
      </c>
      <c r="GV51" s="1">
        <f t="shared" si="225"/>
        <v>0</v>
      </c>
      <c r="GW51" s="1">
        <f t="shared" si="225"/>
        <v>0</v>
      </c>
      <c r="GX51" s="1">
        <f t="shared" si="225"/>
        <v>0</v>
      </c>
      <c r="GY51" s="1">
        <f t="shared" si="225"/>
        <v>0</v>
      </c>
      <c r="GZ51" s="1">
        <f t="shared" si="225"/>
        <v>0</v>
      </c>
      <c r="HA51" s="1">
        <f t="shared" si="225"/>
        <v>0</v>
      </c>
      <c r="HB51" s="1">
        <f t="shared" si="225"/>
        <v>0</v>
      </c>
      <c r="HC51" s="1">
        <f t="shared" si="225"/>
        <v>0</v>
      </c>
      <c r="HD51" s="1">
        <f t="shared" si="225"/>
        <v>0</v>
      </c>
      <c r="HE51" s="1">
        <f t="shared" si="225"/>
        <v>0</v>
      </c>
      <c r="HF51" s="1">
        <f t="shared" si="225"/>
        <v>0</v>
      </c>
      <c r="HG51" s="1">
        <f t="shared" si="225"/>
        <v>0</v>
      </c>
      <c r="HH51" s="1">
        <f t="shared" si="225"/>
        <v>0</v>
      </c>
      <c r="HI51" s="1">
        <f t="shared" si="225"/>
        <v>0</v>
      </c>
      <c r="HJ51" s="1">
        <f t="shared" si="225"/>
        <v>0</v>
      </c>
      <c r="HK51" s="1">
        <f t="shared" si="225"/>
        <v>0</v>
      </c>
      <c r="HL51" s="1">
        <f t="shared" si="225"/>
        <v>0</v>
      </c>
      <c r="HM51" s="1">
        <f t="shared" si="225"/>
        <v>0</v>
      </c>
      <c r="HN51" s="1">
        <f t="shared" si="225"/>
        <v>0</v>
      </c>
      <c r="HO51" s="1">
        <f t="shared" si="225"/>
        <v>0</v>
      </c>
      <c r="HP51" s="1">
        <f t="shared" si="225"/>
        <v>0</v>
      </c>
      <c r="HQ51" s="1">
        <f t="shared" si="225"/>
        <v>0</v>
      </c>
      <c r="HR51" s="1">
        <f t="shared" si="225"/>
        <v>0</v>
      </c>
      <c r="HS51" s="1">
        <f t="shared" si="225"/>
        <v>0</v>
      </c>
      <c r="HT51" s="1">
        <f t="shared" si="225"/>
        <v>0</v>
      </c>
      <c r="HU51" s="1">
        <f t="shared" si="225"/>
        <v>0</v>
      </c>
      <c r="HV51" s="1">
        <f t="shared" si="225"/>
        <v>0</v>
      </c>
      <c r="HW51" s="1">
        <f t="shared" si="225"/>
        <v>0</v>
      </c>
      <c r="HX51" s="1">
        <f t="shared" si="225"/>
        <v>0</v>
      </c>
      <c r="HY51" s="1">
        <f t="shared" si="225"/>
        <v>0</v>
      </c>
      <c r="HZ51" s="1">
        <f t="shared" si="225"/>
        <v>0</v>
      </c>
      <c r="IA51" s="1">
        <f t="shared" si="225"/>
        <v>0</v>
      </c>
      <c r="IB51" s="1">
        <f t="shared" si="225"/>
        <v>0</v>
      </c>
      <c r="IC51" s="1">
        <f t="shared" si="225"/>
        <v>0</v>
      </c>
      <c r="ID51" s="1">
        <f t="shared" si="225"/>
        <v>0</v>
      </c>
      <c r="IE51" s="1">
        <f t="shared" si="225"/>
        <v>0</v>
      </c>
      <c r="IF51" s="1">
        <f t="shared" si="225"/>
        <v>0</v>
      </c>
      <c r="IG51" s="1">
        <f t="shared" si="225"/>
        <v>0</v>
      </c>
      <c r="IH51" s="1">
        <f t="shared" si="225"/>
        <v>0</v>
      </c>
      <c r="II51" s="1">
        <f t="shared" si="225"/>
        <v>0</v>
      </c>
      <c r="IJ51" s="1">
        <f t="shared" si="225"/>
        <v>0</v>
      </c>
      <c r="IK51" s="1">
        <f t="shared" si="225"/>
        <v>0</v>
      </c>
      <c r="IL51" s="1">
        <f t="shared" si="225"/>
        <v>0</v>
      </c>
      <c r="IM51" s="1">
        <f t="shared" si="225"/>
        <v>0</v>
      </c>
      <c r="IN51" s="1">
        <f t="shared" si="225"/>
        <v>0</v>
      </c>
      <c r="IO51" s="1">
        <f t="shared" si="225"/>
        <v>0</v>
      </c>
      <c r="IP51" s="1">
        <f t="shared" si="225"/>
        <v>0</v>
      </c>
      <c r="IQ51" s="1">
        <f t="shared" si="225"/>
        <v>0</v>
      </c>
      <c r="IR51" s="1">
        <f t="shared" si="225"/>
        <v>0</v>
      </c>
      <c r="IS51" s="1">
        <f t="shared" si="225"/>
        <v>0</v>
      </c>
      <c r="IT51" s="1">
        <f t="shared" si="225"/>
        <v>0</v>
      </c>
      <c r="IU51" s="1">
        <f t="shared" si="225"/>
        <v>0</v>
      </c>
      <c r="IV51" s="1">
        <f t="shared" si="225"/>
        <v>0</v>
      </c>
      <c r="IW51" s="1">
        <f t="shared" si="225"/>
        <v>0</v>
      </c>
      <c r="IX51" s="1">
        <f t="shared" si="225"/>
        <v>0</v>
      </c>
      <c r="IY51" s="1">
        <f t="shared" ref="IY51:LJ51" si="226">IY35-IY16</f>
        <v>0</v>
      </c>
      <c r="IZ51" s="1">
        <f t="shared" si="226"/>
        <v>0</v>
      </c>
      <c r="JA51" s="1">
        <f t="shared" si="226"/>
        <v>0</v>
      </c>
      <c r="JB51" s="1">
        <f t="shared" si="226"/>
        <v>0</v>
      </c>
      <c r="JC51" s="1">
        <f t="shared" si="226"/>
        <v>0</v>
      </c>
      <c r="JD51" s="1">
        <f t="shared" si="226"/>
        <v>0</v>
      </c>
      <c r="JE51" s="1">
        <f t="shared" si="226"/>
        <v>0</v>
      </c>
      <c r="JF51" s="1">
        <f t="shared" si="226"/>
        <v>0</v>
      </c>
      <c r="JG51" s="1">
        <f t="shared" si="226"/>
        <v>0</v>
      </c>
      <c r="JH51" s="1">
        <f t="shared" si="226"/>
        <v>0</v>
      </c>
      <c r="JI51" s="1">
        <f t="shared" si="226"/>
        <v>0</v>
      </c>
      <c r="JJ51" s="1">
        <f t="shared" si="226"/>
        <v>0</v>
      </c>
      <c r="JK51" s="1">
        <f t="shared" si="226"/>
        <v>0</v>
      </c>
      <c r="JL51" s="1">
        <f t="shared" si="226"/>
        <v>0</v>
      </c>
      <c r="JM51" s="1">
        <f t="shared" si="226"/>
        <v>0</v>
      </c>
      <c r="JN51" s="1">
        <f t="shared" si="226"/>
        <v>0</v>
      </c>
      <c r="JO51" s="1">
        <f t="shared" si="226"/>
        <v>0</v>
      </c>
      <c r="JP51" s="1">
        <f t="shared" si="226"/>
        <v>0</v>
      </c>
      <c r="JQ51" s="1">
        <f t="shared" si="226"/>
        <v>0</v>
      </c>
      <c r="JR51" s="1">
        <f t="shared" si="226"/>
        <v>0</v>
      </c>
      <c r="JS51" s="1">
        <f t="shared" si="226"/>
        <v>0</v>
      </c>
      <c r="JT51" s="1">
        <f t="shared" si="226"/>
        <v>0</v>
      </c>
      <c r="JU51" s="1">
        <f t="shared" si="226"/>
        <v>0</v>
      </c>
      <c r="JV51" s="1">
        <f t="shared" si="226"/>
        <v>0</v>
      </c>
      <c r="JW51" s="1">
        <f t="shared" si="226"/>
        <v>0</v>
      </c>
      <c r="JX51" s="1">
        <f t="shared" si="226"/>
        <v>0</v>
      </c>
      <c r="JY51" s="1">
        <f t="shared" si="226"/>
        <v>0</v>
      </c>
      <c r="JZ51" s="1">
        <f t="shared" si="226"/>
        <v>0</v>
      </c>
      <c r="KA51" s="1">
        <f t="shared" si="226"/>
        <v>0</v>
      </c>
      <c r="KB51" s="1">
        <f t="shared" si="226"/>
        <v>0</v>
      </c>
      <c r="KC51" s="1">
        <f t="shared" si="226"/>
        <v>0</v>
      </c>
      <c r="KD51" s="1">
        <f t="shared" si="226"/>
        <v>0</v>
      </c>
      <c r="KE51" s="1">
        <f t="shared" si="226"/>
        <v>0</v>
      </c>
      <c r="KF51" s="1">
        <f t="shared" si="226"/>
        <v>0</v>
      </c>
      <c r="KG51" s="1">
        <f t="shared" si="226"/>
        <v>0</v>
      </c>
      <c r="KH51" s="1">
        <f t="shared" si="226"/>
        <v>0</v>
      </c>
      <c r="KI51" s="1">
        <f t="shared" si="226"/>
        <v>0</v>
      </c>
      <c r="KJ51" s="1">
        <f t="shared" si="226"/>
        <v>0</v>
      </c>
      <c r="KK51" s="1">
        <f t="shared" si="226"/>
        <v>0</v>
      </c>
      <c r="KL51" s="1">
        <f t="shared" si="226"/>
        <v>0</v>
      </c>
      <c r="KM51" s="1">
        <f t="shared" si="226"/>
        <v>0</v>
      </c>
      <c r="KN51" s="1">
        <f t="shared" si="226"/>
        <v>0</v>
      </c>
      <c r="KO51" s="1">
        <f t="shared" si="226"/>
        <v>0</v>
      </c>
      <c r="KP51" s="1">
        <f t="shared" si="226"/>
        <v>0</v>
      </c>
      <c r="KQ51" s="1">
        <f t="shared" si="226"/>
        <v>0</v>
      </c>
      <c r="KR51" s="1">
        <f t="shared" si="226"/>
        <v>0</v>
      </c>
      <c r="KS51" s="1">
        <f t="shared" si="226"/>
        <v>0</v>
      </c>
      <c r="KT51" s="1">
        <f t="shared" si="226"/>
        <v>0</v>
      </c>
      <c r="KU51" s="1">
        <f t="shared" si="226"/>
        <v>0</v>
      </c>
      <c r="KV51" s="1">
        <f t="shared" si="226"/>
        <v>0</v>
      </c>
      <c r="KW51" s="1">
        <f t="shared" si="226"/>
        <v>0</v>
      </c>
      <c r="KX51" s="1">
        <f t="shared" si="226"/>
        <v>0</v>
      </c>
      <c r="KY51" s="1">
        <f t="shared" si="226"/>
        <v>0</v>
      </c>
      <c r="KZ51" s="1">
        <f t="shared" si="226"/>
        <v>0</v>
      </c>
      <c r="LA51" s="1">
        <f t="shared" si="226"/>
        <v>0</v>
      </c>
      <c r="LB51" s="1">
        <f t="shared" si="226"/>
        <v>0</v>
      </c>
      <c r="LC51" s="1">
        <f t="shared" si="226"/>
        <v>0</v>
      </c>
      <c r="LD51" s="1">
        <f t="shared" si="226"/>
        <v>0</v>
      </c>
      <c r="LE51" s="1">
        <f t="shared" si="226"/>
        <v>0</v>
      </c>
      <c r="LF51" s="1">
        <f t="shared" si="226"/>
        <v>0</v>
      </c>
      <c r="LG51" s="1">
        <f t="shared" si="226"/>
        <v>0</v>
      </c>
      <c r="LH51" s="1">
        <f t="shared" si="226"/>
        <v>0</v>
      </c>
      <c r="LI51" s="1">
        <f t="shared" si="226"/>
        <v>0</v>
      </c>
      <c r="LJ51" s="1">
        <f t="shared" si="226"/>
        <v>0</v>
      </c>
      <c r="LK51" s="1">
        <f t="shared" ref="LK51:NV51" si="227">LK35-LK16</f>
        <v>0</v>
      </c>
      <c r="LL51" s="1">
        <f t="shared" si="227"/>
        <v>0</v>
      </c>
      <c r="LM51" s="1">
        <f t="shared" si="227"/>
        <v>0</v>
      </c>
      <c r="LN51" s="1">
        <f t="shared" si="227"/>
        <v>0</v>
      </c>
      <c r="LO51" s="1">
        <f t="shared" si="227"/>
        <v>0</v>
      </c>
      <c r="LP51" s="1">
        <f t="shared" si="227"/>
        <v>0</v>
      </c>
      <c r="LQ51" s="1">
        <f t="shared" si="227"/>
        <v>0</v>
      </c>
      <c r="LR51" s="1">
        <f t="shared" si="227"/>
        <v>0</v>
      </c>
      <c r="LS51" s="1">
        <f t="shared" si="227"/>
        <v>0</v>
      </c>
      <c r="LT51" s="1">
        <f t="shared" si="227"/>
        <v>0</v>
      </c>
      <c r="LU51" s="1">
        <f t="shared" si="227"/>
        <v>0</v>
      </c>
      <c r="LV51" s="1">
        <f t="shared" si="227"/>
        <v>0</v>
      </c>
      <c r="LW51" s="1">
        <f t="shared" si="227"/>
        <v>0</v>
      </c>
      <c r="LX51" s="1">
        <f t="shared" si="227"/>
        <v>0</v>
      </c>
      <c r="LY51" s="1">
        <f t="shared" si="227"/>
        <v>0</v>
      </c>
      <c r="LZ51" s="1">
        <f t="shared" si="227"/>
        <v>0</v>
      </c>
      <c r="MA51" s="1">
        <f t="shared" si="227"/>
        <v>0</v>
      </c>
      <c r="MB51" s="1">
        <f t="shared" si="227"/>
        <v>0</v>
      </c>
      <c r="MC51" s="1">
        <f t="shared" si="227"/>
        <v>0</v>
      </c>
      <c r="MD51" s="1">
        <f t="shared" si="227"/>
        <v>0</v>
      </c>
      <c r="ME51" s="1">
        <f t="shared" si="227"/>
        <v>0</v>
      </c>
      <c r="MF51" s="1">
        <f t="shared" si="227"/>
        <v>0</v>
      </c>
      <c r="MG51" s="1">
        <f t="shared" si="227"/>
        <v>0</v>
      </c>
      <c r="MH51" s="1">
        <f t="shared" si="227"/>
        <v>0</v>
      </c>
      <c r="MI51" s="1">
        <f t="shared" si="227"/>
        <v>0</v>
      </c>
      <c r="MJ51" s="1">
        <f t="shared" si="227"/>
        <v>0</v>
      </c>
      <c r="MK51" s="1">
        <f t="shared" si="227"/>
        <v>0</v>
      </c>
      <c r="ML51" s="1">
        <f t="shared" si="227"/>
        <v>0</v>
      </c>
      <c r="MM51" s="1">
        <f t="shared" si="227"/>
        <v>0</v>
      </c>
      <c r="MN51" s="1">
        <f t="shared" si="227"/>
        <v>0</v>
      </c>
      <c r="MO51" s="1">
        <f t="shared" si="227"/>
        <v>0</v>
      </c>
      <c r="MP51" s="1">
        <f t="shared" si="227"/>
        <v>0</v>
      </c>
      <c r="MQ51" s="1">
        <f t="shared" si="227"/>
        <v>0</v>
      </c>
      <c r="MR51" s="1">
        <f t="shared" si="227"/>
        <v>0</v>
      </c>
      <c r="MS51" s="1">
        <f t="shared" si="227"/>
        <v>0</v>
      </c>
      <c r="MT51" s="1">
        <f t="shared" si="227"/>
        <v>0</v>
      </c>
      <c r="MU51" s="1">
        <f t="shared" si="227"/>
        <v>0</v>
      </c>
      <c r="MV51" s="1">
        <f t="shared" si="227"/>
        <v>0</v>
      </c>
      <c r="MW51" s="1">
        <f t="shared" si="227"/>
        <v>0</v>
      </c>
      <c r="MX51" s="1">
        <f t="shared" si="227"/>
        <v>0</v>
      </c>
      <c r="MY51" s="1">
        <f t="shared" si="227"/>
        <v>0</v>
      </c>
      <c r="MZ51" s="1">
        <f t="shared" si="227"/>
        <v>0</v>
      </c>
      <c r="NA51" s="1">
        <f t="shared" si="227"/>
        <v>0</v>
      </c>
      <c r="NB51" s="1">
        <f t="shared" si="227"/>
        <v>0</v>
      </c>
      <c r="NC51" s="1">
        <f t="shared" si="227"/>
        <v>0</v>
      </c>
      <c r="ND51" s="1">
        <f t="shared" si="227"/>
        <v>0</v>
      </c>
      <c r="NE51" s="1">
        <f t="shared" si="227"/>
        <v>0</v>
      </c>
      <c r="NF51" s="1">
        <f t="shared" si="227"/>
        <v>0</v>
      </c>
      <c r="NG51" s="1">
        <f t="shared" si="227"/>
        <v>0</v>
      </c>
      <c r="NH51" s="1">
        <f t="shared" si="227"/>
        <v>0</v>
      </c>
      <c r="NI51" s="1">
        <f t="shared" si="227"/>
        <v>0</v>
      </c>
      <c r="NJ51" s="1">
        <f t="shared" si="227"/>
        <v>0</v>
      </c>
      <c r="NK51" s="1">
        <f t="shared" si="227"/>
        <v>0</v>
      </c>
      <c r="NL51" s="1">
        <f t="shared" si="227"/>
        <v>0</v>
      </c>
      <c r="NM51" s="1">
        <f t="shared" si="227"/>
        <v>0</v>
      </c>
      <c r="NN51" s="1">
        <f t="shared" si="227"/>
        <v>0</v>
      </c>
      <c r="NO51" s="1">
        <f t="shared" si="227"/>
        <v>0</v>
      </c>
      <c r="NP51" s="1">
        <f t="shared" si="227"/>
        <v>0</v>
      </c>
      <c r="NQ51" s="1">
        <f t="shared" si="227"/>
        <v>0</v>
      </c>
      <c r="NR51" s="1">
        <f t="shared" si="227"/>
        <v>0</v>
      </c>
      <c r="NS51" s="1">
        <f t="shared" si="227"/>
        <v>0</v>
      </c>
      <c r="NT51" s="1">
        <f t="shared" si="227"/>
        <v>0</v>
      </c>
      <c r="NU51" s="1">
        <f t="shared" si="227"/>
        <v>0</v>
      </c>
      <c r="NV51" s="1">
        <f t="shared" si="227"/>
        <v>0</v>
      </c>
      <c r="NW51" s="1">
        <f t="shared" ref="NW51:QH51" si="228">NW35-NW16</f>
        <v>0</v>
      </c>
      <c r="NX51" s="1">
        <f t="shared" si="228"/>
        <v>0</v>
      </c>
      <c r="NY51" s="1">
        <f t="shared" si="228"/>
        <v>0</v>
      </c>
      <c r="NZ51" s="1">
        <f t="shared" si="228"/>
        <v>0</v>
      </c>
      <c r="OA51" s="1">
        <f t="shared" si="228"/>
        <v>0</v>
      </c>
      <c r="OB51" s="1">
        <f t="shared" si="228"/>
        <v>0</v>
      </c>
      <c r="OC51" s="1">
        <f t="shared" si="228"/>
        <v>0</v>
      </c>
      <c r="OD51" s="1">
        <f t="shared" si="228"/>
        <v>0</v>
      </c>
      <c r="OE51" s="1">
        <f t="shared" si="228"/>
        <v>0</v>
      </c>
      <c r="OF51" s="1">
        <f t="shared" si="228"/>
        <v>0</v>
      </c>
      <c r="OG51" s="1">
        <f t="shared" si="228"/>
        <v>0</v>
      </c>
      <c r="OH51" s="1">
        <f t="shared" si="228"/>
        <v>0</v>
      </c>
      <c r="OI51" s="1">
        <f t="shared" si="228"/>
        <v>0</v>
      </c>
      <c r="OJ51" s="1">
        <f t="shared" si="228"/>
        <v>0</v>
      </c>
      <c r="OK51" s="1">
        <f t="shared" si="228"/>
        <v>0</v>
      </c>
      <c r="OL51" s="1">
        <f t="shared" si="228"/>
        <v>0</v>
      </c>
      <c r="OM51" s="1">
        <f t="shared" si="228"/>
        <v>0</v>
      </c>
      <c r="ON51" s="1">
        <f t="shared" si="228"/>
        <v>0</v>
      </c>
      <c r="OO51" s="1">
        <f t="shared" si="228"/>
        <v>0</v>
      </c>
      <c r="OP51" s="1">
        <f t="shared" si="228"/>
        <v>0</v>
      </c>
      <c r="OQ51" s="1">
        <f t="shared" si="228"/>
        <v>0</v>
      </c>
      <c r="OR51" s="1">
        <f t="shared" si="228"/>
        <v>0</v>
      </c>
      <c r="OS51" s="1">
        <f t="shared" si="228"/>
        <v>0</v>
      </c>
      <c r="OT51" s="1">
        <f t="shared" si="228"/>
        <v>0</v>
      </c>
      <c r="OU51" s="1">
        <f t="shared" si="228"/>
        <v>0</v>
      </c>
      <c r="OV51" s="1">
        <f t="shared" si="228"/>
        <v>0</v>
      </c>
      <c r="OW51" s="1">
        <f t="shared" si="228"/>
        <v>0</v>
      </c>
      <c r="OX51" s="1">
        <f t="shared" si="228"/>
        <v>0</v>
      </c>
      <c r="OY51" s="1">
        <f t="shared" si="228"/>
        <v>0</v>
      </c>
      <c r="OZ51" s="1">
        <f t="shared" si="228"/>
        <v>0</v>
      </c>
      <c r="PA51" s="1">
        <f t="shared" si="228"/>
        <v>0</v>
      </c>
      <c r="PB51" s="1">
        <f t="shared" si="228"/>
        <v>0</v>
      </c>
      <c r="PC51" s="1">
        <f t="shared" si="228"/>
        <v>0</v>
      </c>
      <c r="PD51" s="1">
        <f t="shared" si="228"/>
        <v>0</v>
      </c>
      <c r="PE51" s="1">
        <f t="shared" si="228"/>
        <v>0</v>
      </c>
      <c r="PF51" s="1">
        <f t="shared" si="228"/>
        <v>0</v>
      </c>
      <c r="PG51" s="1">
        <f t="shared" si="228"/>
        <v>0</v>
      </c>
      <c r="PH51" s="1">
        <f t="shared" si="228"/>
        <v>0</v>
      </c>
      <c r="PI51" s="1">
        <f t="shared" si="228"/>
        <v>0</v>
      </c>
      <c r="PJ51" s="1">
        <f t="shared" si="228"/>
        <v>0</v>
      </c>
      <c r="PK51" s="1">
        <f t="shared" si="228"/>
        <v>0</v>
      </c>
      <c r="PL51" s="1">
        <f t="shared" si="228"/>
        <v>0</v>
      </c>
      <c r="PM51" s="1">
        <f t="shared" si="228"/>
        <v>0</v>
      </c>
      <c r="PN51" s="1">
        <f t="shared" si="228"/>
        <v>0</v>
      </c>
      <c r="PO51" s="1">
        <f t="shared" si="228"/>
        <v>0</v>
      </c>
      <c r="PP51" s="1">
        <f t="shared" si="228"/>
        <v>0</v>
      </c>
      <c r="PQ51" s="1">
        <f t="shared" si="228"/>
        <v>0</v>
      </c>
      <c r="PR51" s="1">
        <f t="shared" si="228"/>
        <v>0</v>
      </c>
      <c r="PS51" s="1">
        <f t="shared" si="228"/>
        <v>0</v>
      </c>
      <c r="PT51" s="1">
        <f t="shared" si="228"/>
        <v>0</v>
      </c>
      <c r="PU51" s="1">
        <f t="shared" si="228"/>
        <v>0</v>
      </c>
      <c r="PV51" s="1">
        <f t="shared" si="228"/>
        <v>0</v>
      </c>
      <c r="PW51" s="1">
        <f t="shared" si="228"/>
        <v>0</v>
      </c>
      <c r="PX51" s="1">
        <f t="shared" si="228"/>
        <v>0</v>
      </c>
      <c r="PY51" s="1">
        <f t="shared" si="228"/>
        <v>0</v>
      </c>
      <c r="PZ51" s="1">
        <f t="shared" si="228"/>
        <v>0</v>
      </c>
      <c r="QA51" s="1">
        <f t="shared" si="228"/>
        <v>0</v>
      </c>
      <c r="QB51" s="1">
        <f t="shared" si="228"/>
        <v>0</v>
      </c>
      <c r="QC51" s="1">
        <f t="shared" si="228"/>
        <v>0</v>
      </c>
      <c r="QD51" s="1">
        <f t="shared" si="228"/>
        <v>0</v>
      </c>
      <c r="QE51" s="1">
        <f t="shared" si="228"/>
        <v>0</v>
      </c>
      <c r="QF51" s="1">
        <f t="shared" si="228"/>
        <v>0</v>
      </c>
      <c r="QG51" s="1">
        <f t="shared" si="228"/>
        <v>0</v>
      </c>
      <c r="QH51" s="1">
        <f t="shared" si="228"/>
        <v>0</v>
      </c>
      <c r="QI51" s="1">
        <f t="shared" ref="QI51:SG51" si="229">QI35-QI16</f>
        <v>0</v>
      </c>
      <c r="QJ51" s="1">
        <f t="shared" si="229"/>
        <v>0</v>
      </c>
      <c r="QK51" s="1">
        <f t="shared" si="229"/>
        <v>0</v>
      </c>
      <c r="QL51" s="1">
        <f t="shared" si="229"/>
        <v>0</v>
      </c>
      <c r="QM51" s="1">
        <f t="shared" si="229"/>
        <v>0</v>
      </c>
      <c r="QN51" s="1">
        <f t="shared" si="229"/>
        <v>0</v>
      </c>
      <c r="QO51" s="1">
        <f t="shared" si="229"/>
        <v>0</v>
      </c>
      <c r="QP51" s="1">
        <f t="shared" si="229"/>
        <v>0</v>
      </c>
      <c r="QQ51" s="1">
        <f t="shared" si="229"/>
        <v>0</v>
      </c>
      <c r="QR51" s="1">
        <f t="shared" si="229"/>
        <v>0</v>
      </c>
      <c r="QS51" s="1">
        <f t="shared" si="229"/>
        <v>0</v>
      </c>
      <c r="QT51" s="1">
        <f t="shared" si="229"/>
        <v>0</v>
      </c>
      <c r="QU51" s="1">
        <f t="shared" si="229"/>
        <v>0</v>
      </c>
      <c r="QV51" s="1">
        <f t="shared" si="229"/>
        <v>0</v>
      </c>
      <c r="QW51" s="1">
        <f t="shared" si="229"/>
        <v>0</v>
      </c>
      <c r="QX51" s="1">
        <f t="shared" si="229"/>
        <v>0</v>
      </c>
      <c r="QY51" s="1">
        <f t="shared" si="229"/>
        <v>0</v>
      </c>
      <c r="QZ51" s="1">
        <f t="shared" si="229"/>
        <v>0</v>
      </c>
      <c r="RA51" s="1">
        <f t="shared" si="229"/>
        <v>0</v>
      </c>
      <c r="RB51" s="1">
        <f t="shared" si="229"/>
        <v>0</v>
      </c>
      <c r="RC51" s="1">
        <f t="shared" si="229"/>
        <v>0</v>
      </c>
      <c r="RD51" s="1">
        <f t="shared" si="229"/>
        <v>0</v>
      </c>
      <c r="RE51" s="1">
        <f t="shared" si="229"/>
        <v>0</v>
      </c>
      <c r="RF51" s="1">
        <f t="shared" si="229"/>
        <v>0</v>
      </c>
      <c r="RG51" s="1">
        <f t="shared" si="229"/>
        <v>0</v>
      </c>
      <c r="RH51" s="1">
        <f t="shared" si="229"/>
        <v>0</v>
      </c>
      <c r="RI51" s="1">
        <f t="shared" si="229"/>
        <v>0</v>
      </c>
      <c r="RJ51" s="1">
        <f t="shared" si="229"/>
        <v>0</v>
      </c>
      <c r="RK51" s="1">
        <f t="shared" si="229"/>
        <v>0</v>
      </c>
      <c r="RL51" s="1">
        <f t="shared" si="229"/>
        <v>0</v>
      </c>
      <c r="RM51" s="1">
        <f t="shared" si="229"/>
        <v>0</v>
      </c>
      <c r="RN51" s="1">
        <f t="shared" si="229"/>
        <v>0</v>
      </c>
      <c r="RO51" s="1">
        <f t="shared" si="229"/>
        <v>0</v>
      </c>
      <c r="RP51" s="1">
        <f t="shared" si="229"/>
        <v>0</v>
      </c>
      <c r="RQ51" s="1">
        <f t="shared" si="229"/>
        <v>0</v>
      </c>
      <c r="RR51" s="1">
        <f t="shared" si="229"/>
        <v>0</v>
      </c>
      <c r="RS51" s="1">
        <f t="shared" si="229"/>
        <v>0</v>
      </c>
      <c r="RT51" s="1">
        <f t="shared" si="229"/>
        <v>0</v>
      </c>
      <c r="RU51" s="1">
        <f t="shared" si="229"/>
        <v>0</v>
      </c>
      <c r="RV51" s="1">
        <f t="shared" si="229"/>
        <v>0</v>
      </c>
      <c r="RW51" s="1">
        <f t="shared" si="229"/>
        <v>0</v>
      </c>
      <c r="RX51" s="1">
        <f t="shared" si="229"/>
        <v>0</v>
      </c>
      <c r="RY51" s="1">
        <f t="shared" si="229"/>
        <v>0</v>
      </c>
      <c r="RZ51" s="1">
        <f t="shared" si="229"/>
        <v>0</v>
      </c>
      <c r="SA51" s="1">
        <f t="shared" si="229"/>
        <v>0</v>
      </c>
      <c r="SB51" s="1">
        <f t="shared" si="229"/>
        <v>0</v>
      </c>
      <c r="SC51" s="1">
        <f t="shared" si="229"/>
        <v>0</v>
      </c>
      <c r="SD51" s="1">
        <f t="shared" si="229"/>
        <v>0</v>
      </c>
      <c r="SE51" s="1">
        <f t="shared" si="229"/>
        <v>0</v>
      </c>
      <c r="SF51" s="1">
        <f t="shared" si="229"/>
        <v>0</v>
      </c>
      <c r="SG51" s="1">
        <f t="shared" si="229"/>
        <v>0</v>
      </c>
      <c r="SH51" s="1">
        <f t="shared" ref="SH51:US51" si="230">SH35-SH16</f>
        <v>0</v>
      </c>
      <c r="SI51" s="1">
        <f t="shared" si="230"/>
        <v>0</v>
      </c>
      <c r="SJ51" s="1">
        <f t="shared" si="230"/>
        <v>0</v>
      </c>
      <c r="SK51" s="1">
        <f t="shared" si="230"/>
        <v>0</v>
      </c>
      <c r="SL51" s="1">
        <f t="shared" si="230"/>
        <v>0</v>
      </c>
      <c r="SM51" s="1">
        <f t="shared" si="230"/>
        <v>0</v>
      </c>
      <c r="SN51" s="1">
        <f t="shared" si="230"/>
        <v>0</v>
      </c>
      <c r="SO51" s="1">
        <f t="shared" si="230"/>
        <v>0</v>
      </c>
      <c r="SP51" s="1">
        <f t="shared" si="230"/>
        <v>0</v>
      </c>
      <c r="SQ51" s="1">
        <f t="shared" si="230"/>
        <v>0</v>
      </c>
      <c r="SR51" s="1">
        <f t="shared" si="230"/>
        <v>0</v>
      </c>
      <c r="SS51" s="1">
        <f t="shared" si="230"/>
        <v>0</v>
      </c>
      <c r="ST51" s="1">
        <f t="shared" si="230"/>
        <v>0</v>
      </c>
      <c r="SU51" s="1">
        <f t="shared" si="230"/>
        <v>0</v>
      </c>
      <c r="SV51" s="1">
        <f t="shared" si="230"/>
        <v>0</v>
      </c>
      <c r="SW51" s="1">
        <f t="shared" si="230"/>
        <v>0</v>
      </c>
      <c r="SX51" s="1">
        <f t="shared" si="230"/>
        <v>0</v>
      </c>
      <c r="SY51" s="1">
        <f t="shared" si="230"/>
        <v>0</v>
      </c>
      <c r="SZ51" s="1">
        <f t="shared" si="230"/>
        <v>0</v>
      </c>
      <c r="TA51" s="1">
        <f t="shared" si="230"/>
        <v>0</v>
      </c>
      <c r="TB51" s="1">
        <f t="shared" si="230"/>
        <v>0</v>
      </c>
      <c r="TC51" s="1">
        <f t="shared" si="230"/>
        <v>0</v>
      </c>
      <c r="TD51" s="1">
        <f t="shared" si="230"/>
        <v>0</v>
      </c>
      <c r="TE51" s="1">
        <f t="shared" si="230"/>
        <v>0</v>
      </c>
      <c r="TF51" s="1">
        <f t="shared" si="230"/>
        <v>0</v>
      </c>
      <c r="TG51" s="1">
        <f t="shared" si="230"/>
        <v>0</v>
      </c>
      <c r="TH51" s="1">
        <f t="shared" si="230"/>
        <v>0</v>
      </c>
      <c r="TI51" s="1">
        <f t="shared" si="230"/>
        <v>0</v>
      </c>
      <c r="TJ51" s="1">
        <f t="shared" si="230"/>
        <v>0</v>
      </c>
      <c r="TK51" s="1">
        <f t="shared" si="230"/>
        <v>0</v>
      </c>
      <c r="TL51" s="1">
        <f t="shared" si="230"/>
        <v>0</v>
      </c>
      <c r="TM51" s="1">
        <f t="shared" si="230"/>
        <v>0</v>
      </c>
      <c r="TN51" s="1">
        <f t="shared" si="230"/>
        <v>0</v>
      </c>
      <c r="TO51" s="1">
        <f t="shared" si="230"/>
        <v>0</v>
      </c>
      <c r="TP51" s="1">
        <f t="shared" si="230"/>
        <v>0</v>
      </c>
      <c r="TQ51" s="1">
        <f t="shared" si="230"/>
        <v>0</v>
      </c>
      <c r="TR51" s="1">
        <f t="shared" si="230"/>
        <v>0</v>
      </c>
      <c r="TS51" s="1">
        <f t="shared" si="230"/>
        <v>0</v>
      </c>
      <c r="TT51" s="1">
        <f t="shared" si="230"/>
        <v>0</v>
      </c>
      <c r="TU51" s="1">
        <f t="shared" si="230"/>
        <v>0</v>
      </c>
      <c r="TV51" s="1">
        <f t="shared" si="230"/>
        <v>0</v>
      </c>
      <c r="TW51" s="1">
        <f t="shared" si="230"/>
        <v>0</v>
      </c>
      <c r="TX51" s="1">
        <f t="shared" si="230"/>
        <v>0</v>
      </c>
      <c r="TY51" s="1">
        <f t="shared" si="230"/>
        <v>0</v>
      </c>
      <c r="TZ51" s="1">
        <f t="shared" si="230"/>
        <v>0</v>
      </c>
      <c r="UA51" s="1">
        <f t="shared" si="230"/>
        <v>0</v>
      </c>
      <c r="UB51" s="1">
        <f t="shared" si="230"/>
        <v>0</v>
      </c>
      <c r="UC51" s="1">
        <f t="shared" si="230"/>
        <v>0</v>
      </c>
      <c r="UD51" s="1">
        <f t="shared" si="230"/>
        <v>0</v>
      </c>
      <c r="UE51" s="1">
        <f t="shared" si="230"/>
        <v>0</v>
      </c>
      <c r="UF51" s="1">
        <f t="shared" si="230"/>
        <v>0</v>
      </c>
      <c r="UG51" s="1">
        <f t="shared" si="230"/>
        <v>0</v>
      </c>
      <c r="UH51" s="1">
        <f t="shared" si="230"/>
        <v>0</v>
      </c>
      <c r="UI51" s="1">
        <f t="shared" si="230"/>
        <v>0</v>
      </c>
      <c r="UJ51" s="1">
        <f t="shared" si="230"/>
        <v>0</v>
      </c>
      <c r="UK51" s="1">
        <f t="shared" si="230"/>
        <v>0</v>
      </c>
      <c r="UL51" s="1">
        <f t="shared" si="230"/>
        <v>0</v>
      </c>
      <c r="UM51" s="1">
        <f t="shared" si="230"/>
        <v>0</v>
      </c>
      <c r="UN51" s="1">
        <f t="shared" si="230"/>
        <v>0</v>
      </c>
      <c r="UO51" s="1">
        <f t="shared" si="230"/>
        <v>0</v>
      </c>
      <c r="UP51" s="1">
        <f t="shared" si="230"/>
        <v>0</v>
      </c>
      <c r="UQ51" s="1">
        <f t="shared" si="230"/>
        <v>0</v>
      </c>
      <c r="UR51" s="1">
        <f t="shared" si="230"/>
        <v>0</v>
      </c>
      <c r="US51" s="1">
        <f t="shared" si="230"/>
        <v>0</v>
      </c>
      <c r="UT51" s="1">
        <f t="shared" ref="UT51:XE51" si="231">UT35-UT16</f>
        <v>0</v>
      </c>
      <c r="UU51" s="1">
        <f t="shared" si="231"/>
        <v>0</v>
      </c>
      <c r="UV51" s="1">
        <f t="shared" si="231"/>
        <v>0</v>
      </c>
      <c r="UW51" s="1">
        <f t="shared" si="231"/>
        <v>0</v>
      </c>
      <c r="UX51" s="1">
        <f t="shared" si="231"/>
        <v>0</v>
      </c>
      <c r="UY51" s="1">
        <f t="shared" si="231"/>
        <v>0</v>
      </c>
      <c r="UZ51" s="1">
        <f t="shared" si="231"/>
        <v>0</v>
      </c>
      <c r="VA51" s="1">
        <f t="shared" si="231"/>
        <v>0</v>
      </c>
      <c r="VB51" s="1">
        <f t="shared" si="231"/>
        <v>0</v>
      </c>
      <c r="VC51" s="1">
        <f t="shared" si="231"/>
        <v>0</v>
      </c>
      <c r="VD51" s="1">
        <f t="shared" si="231"/>
        <v>0</v>
      </c>
      <c r="VE51" s="1">
        <f t="shared" si="231"/>
        <v>0</v>
      </c>
      <c r="VF51" s="1">
        <f t="shared" si="231"/>
        <v>0</v>
      </c>
      <c r="VG51" s="1">
        <f t="shared" si="231"/>
        <v>0</v>
      </c>
      <c r="VH51" s="1">
        <f t="shared" si="231"/>
        <v>0</v>
      </c>
      <c r="VI51" s="1">
        <f t="shared" si="231"/>
        <v>0</v>
      </c>
      <c r="VJ51" s="1">
        <f t="shared" si="231"/>
        <v>0</v>
      </c>
      <c r="VK51" s="1">
        <f t="shared" si="231"/>
        <v>0</v>
      </c>
      <c r="VL51" s="1">
        <f t="shared" si="231"/>
        <v>0</v>
      </c>
      <c r="VM51" s="1">
        <f t="shared" si="231"/>
        <v>0</v>
      </c>
      <c r="VN51" s="1">
        <f t="shared" si="231"/>
        <v>0</v>
      </c>
      <c r="VO51" s="1">
        <f t="shared" si="231"/>
        <v>0</v>
      </c>
      <c r="VP51" s="1">
        <f t="shared" si="231"/>
        <v>0</v>
      </c>
      <c r="VQ51" s="1">
        <f t="shared" si="231"/>
        <v>0</v>
      </c>
      <c r="VR51" s="1">
        <f t="shared" si="231"/>
        <v>0</v>
      </c>
      <c r="VS51" s="1">
        <f t="shared" si="231"/>
        <v>0</v>
      </c>
      <c r="VT51" s="1">
        <f t="shared" si="231"/>
        <v>0</v>
      </c>
      <c r="VU51" s="1">
        <f t="shared" si="231"/>
        <v>0</v>
      </c>
      <c r="VV51" s="1">
        <f t="shared" si="231"/>
        <v>0</v>
      </c>
      <c r="VW51" s="1">
        <f t="shared" si="231"/>
        <v>0</v>
      </c>
      <c r="VX51" s="1">
        <f t="shared" si="231"/>
        <v>0</v>
      </c>
      <c r="VY51" s="1">
        <f t="shared" si="231"/>
        <v>0</v>
      </c>
      <c r="VZ51" s="1">
        <f t="shared" si="231"/>
        <v>0</v>
      </c>
      <c r="WA51" s="1">
        <f t="shared" si="231"/>
        <v>0</v>
      </c>
      <c r="WB51" s="1">
        <f t="shared" si="231"/>
        <v>0</v>
      </c>
      <c r="WC51" s="1">
        <f t="shared" si="231"/>
        <v>0</v>
      </c>
      <c r="WD51" s="1">
        <f t="shared" si="231"/>
        <v>0</v>
      </c>
      <c r="WE51" s="1">
        <f t="shared" si="231"/>
        <v>0</v>
      </c>
      <c r="WF51" s="1">
        <f t="shared" si="231"/>
        <v>0</v>
      </c>
      <c r="WG51" s="1">
        <f t="shared" si="231"/>
        <v>0</v>
      </c>
      <c r="WH51" s="1">
        <f t="shared" si="231"/>
        <v>0</v>
      </c>
      <c r="WI51" s="1">
        <f t="shared" si="231"/>
        <v>0</v>
      </c>
      <c r="WJ51" s="1">
        <f t="shared" si="231"/>
        <v>0</v>
      </c>
      <c r="WK51" s="1">
        <f t="shared" si="231"/>
        <v>0</v>
      </c>
      <c r="WL51" s="1">
        <f t="shared" si="231"/>
        <v>0</v>
      </c>
      <c r="WM51" s="1">
        <f t="shared" si="231"/>
        <v>0</v>
      </c>
      <c r="WN51" s="1">
        <f t="shared" si="231"/>
        <v>0</v>
      </c>
      <c r="WO51" s="1">
        <f t="shared" si="231"/>
        <v>0</v>
      </c>
      <c r="WP51" s="1">
        <f t="shared" si="231"/>
        <v>0</v>
      </c>
      <c r="WQ51" s="1">
        <f t="shared" si="231"/>
        <v>0</v>
      </c>
      <c r="WR51" s="1">
        <f t="shared" si="231"/>
        <v>0</v>
      </c>
      <c r="WS51" s="1">
        <f t="shared" si="231"/>
        <v>0</v>
      </c>
      <c r="WT51" s="1">
        <f t="shared" si="231"/>
        <v>0</v>
      </c>
      <c r="WU51" s="1">
        <f t="shared" si="231"/>
        <v>0</v>
      </c>
      <c r="WV51" s="1">
        <f t="shared" si="231"/>
        <v>0</v>
      </c>
      <c r="WW51" s="1">
        <f t="shared" si="231"/>
        <v>0</v>
      </c>
      <c r="WX51" s="1">
        <f t="shared" si="231"/>
        <v>0</v>
      </c>
      <c r="WY51" s="1">
        <f t="shared" si="231"/>
        <v>0</v>
      </c>
      <c r="WZ51" s="1">
        <f t="shared" si="231"/>
        <v>0</v>
      </c>
      <c r="XA51" s="1">
        <f t="shared" si="231"/>
        <v>0</v>
      </c>
      <c r="XB51" s="1">
        <f t="shared" si="231"/>
        <v>0</v>
      </c>
      <c r="XC51" s="1">
        <f t="shared" si="231"/>
        <v>0</v>
      </c>
      <c r="XD51" s="1">
        <f t="shared" si="231"/>
        <v>0</v>
      </c>
      <c r="XE51" s="1">
        <f t="shared" si="231"/>
        <v>0</v>
      </c>
      <c r="XF51" s="1">
        <f t="shared" ref="XF51:ZQ51" si="232">XF35-XF16</f>
        <v>0</v>
      </c>
      <c r="XG51" s="1">
        <f t="shared" si="232"/>
        <v>0</v>
      </c>
      <c r="XH51" s="1">
        <f t="shared" si="232"/>
        <v>0</v>
      </c>
      <c r="XI51" s="1">
        <f t="shared" si="232"/>
        <v>0</v>
      </c>
      <c r="XJ51" s="1">
        <f t="shared" si="232"/>
        <v>0</v>
      </c>
      <c r="XK51" s="1">
        <f t="shared" si="232"/>
        <v>0</v>
      </c>
      <c r="XL51" s="1">
        <f t="shared" si="232"/>
        <v>0</v>
      </c>
      <c r="XM51" s="1">
        <f t="shared" si="232"/>
        <v>0</v>
      </c>
      <c r="XN51" s="1">
        <f t="shared" si="232"/>
        <v>0</v>
      </c>
      <c r="XO51" s="1">
        <f t="shared" si="232"/>
        <v>0</v>
      </c>
      <c r="XP51" s="1">
        <f t="shared" si="232"/>
        <v>0</v>
      </c>
      <c r="XQ51" s="1">
        <f t="shared" si="232"/>
        <v>0</v>
      </c>
      <c r="XR51" s="1">
        <f t="shared" si="232"/>
        <v>0</v>
      </c>
      <c r="XS51" s="1">
        <f t="shared" si="232"/>
        <v>0</v>
      </c>
      <c r="XT51" s="1">
        <f t="shared" si="232"/>
        <v>0</v>
      </c>
      <c r="XU51" s="1">
        <f t="shared" si="232"/>
        <v>0</v>
      </c>
      <c r="XV51" s="1">
        <f t="shared" si="232"/>
        <v>0</v>
      </c>
      <c r="XW51" s="1">
        <f t="shared" si="232"/>
        <v>0</v>
      </c>
      <c r="XX51" s="1">
        <f t="shared" si="232"/>
        <v>0</v>
      </c>
      <c r="XY51" s="1">
        <f t="shared" si="232"/>
        <v>0</v>
      </c>
      <c r="XZ51" s="1">
        <f t="shared" si="232"/>
        <v>0</v>
      </c>
      <c r="YA51" s="1">
        <f t="shared" si="232"/>
        <v>0</v>
      </c>
      <c r="YB51" s="1">
        <f t="shared" si="232"/>
        <v>0</v>
      </c>
      <c r="YC51" s="1">
        <f t="shared" si="232"/>
        <v>0</v>
      </c>
      <c r="YD51" s="1">
        <f t="shared" si="232"/>
        <v>0</v>
      </c>
      <c r="YE51" s="1">
        <f t="shared" si="232"/>
        <v>0</v>
      </c>
      <c r="YF51" s="1">
        <f t="shared" si="232"/>
        <v>0</v>
      </c>
      <c r="YG51" s="1">
        <f t="shared" si="232"/>
        <v>0</v>
      </c>
      <c r="YH51" s="1">
        <f t="shared" si="232"/>
        <v>0</v>
      </c>
      <c r="YI51" s="1">
        <f t="shared" si="232"/>
        <v>0</v>
      </c>
      <c r="YJ51" s="1">
        <f t="shared" si="232"/>
        <v>0</v>
      </c>
      <c r="YK51" s="1">
        <f t="shared" si="232"/>
        <v>0</v>
      </c>
      <c r="YL51" s="1">
        <f t="shared" si="232"/>
        <v>0</v>
      </c>
      <c r="YM51" s="1">
        <f t="shared" si="232"/>
        <v>0</v>
      </c>
      <c r="YN51" s="1">
        <f t="shared" si="232"/>
        <v>0</v>
      </c>
      <c r="YO51" s="1">
        <f t="shared" si="232"/>
        <v>0</v>
      </c>
      <c r="YP51" s="1">
        <f t="shared" si="232"/>
        <v>0</v>
      </c>
      <c r="YQ51" s="1">
        <f t="shared" si="232"/>
        <v>0</v>
      </c>
      <c r="YR51" s="1">
        <f t="shared" si="232"/>
        <v>0</v>
      </c>
      <c r="YS51" s="1">
        <f t="shared" si="232"/>
        <v>0</v>
      </c>
      <c r="YT51" s="1">
        <f t="shared" si="232"/>
        <v>0</v>
      </c>
      <c r="YU51" s="1">
        <f t="shared" si="232"/>
        <v>0</v>
      </c>
      <c r="YV51" s="1">
        <f t="shared" si="232"/>
        <v>0</v>
      </c>
      <c r="YW51" s="1">
        <f t="shared" si="232"/>
        <v>0</v>
      </c>
      <c r="YX51" s="1">
        <f t="shared" si="232"/>
        <v>0</v>
      </c>
      <c r="YY51" s="1">
        <f t="shared" si="232"/>
        <v>0</v>
      </c>
      <c r="YZ51" s="1">
        <f t="shared" si="232"/>
        <v>0</v>
      </c>
      <c r="ZA51" s="1">
        <f t="shared" si="232"/>
        <v>0</v>
      </c>
      <c r="ZB51" s="1">
        <f t="shared" si="232"/>
        <v>0</v>
      </c>
      <c r="ZC51" s="1">
        <f t="shared" si="232"/>
        <v>0</v>
      </c>
      <c r="ZD51" s="1">
        <f t="shared" si="232"/>
        <v>0</v>
      </c>
      <c r="ZE51" s="1">
        <f t="shared" si="232"/>
        <v>0</v>
      </c>
      <c r="ZF51" s="1">
        <f t="shared" si="232"/>
        <v>0</v>
      </c>
      <c r="ZG51" s="1">
        <f t="shared" si="232"/>
        <v>0</v>
      </c>
      <c r="ZH51" s="1">
        <f t="shared" si="232"/>
        <v>0</v>
      </c>
      <c r="ZI51" s="1">
        <f t="shared" si="232"/>
        <v>0</v>
      </c>
      <c r="ZJ51" s="1">
        <f t="shared" si="232"/>
        <v>0</v>
      </c>
      <c r="ZK51" s="1">
        <f t="shared" si="232"/>
        <v>0</v>
      </c>
      <c r="ZL51" s="1">
        <f t="shared" si="232"/>
        <v>0</v>
      </c>
      <c r="ZM51" s="1">
        <f t="shared" si="232"/>
        <v>0</v>
      </c>
      <c r="ZN51" s="1">
        <f t="shared" si="232"/>
        <v>0</v>
      </c>
      <c r="ZO51" s="1">
        <f t="shared" si="232"/>
        <v>0</v>
      </c>
      <c r="ZP51" s="1">
        <f t="shared" si="232"/>
        <v>0</v>
      </c>
      <c r="ZQ51" s="1">
        <f t="shared" si="232"/>
        <v>0</v>
      </c>
      <c r="ZR51" s="1">
        <f t="shared" ref="ZR51:ACC51" si="233">ZR35-ZR16</f>
        <v>0</v>
      </c>
      <c r="ZS51" s="1">
        <f t="shared" si="233"/>
        <v>0</v>
      </c>
      <c r="ZT51" s="1">
        <f t="shared" si="233"/>
        <v>0</v>
      </c>
      <c r="ZU51" s="1">
        <f t="shared" si="233"/>
        <v>0</v>
      </c>
      <c r="ZV51" s="1">
        <f t="shared" si="233"/>
        <v>0</v>
      </c>
      <c r="ZW51" s="1">
        <f t="shared" si="233"/>
        <v>0</v>
      </c>
      <c r="ZX51" s="1">
        <f t="shared" si="233"/>
        <v>0</v>
      </c>
      <c r="ZY51" s="1">
        <f t="shared" si="233"/>
        <v>0</v>
      </c>
      <c r="ZZ51" s="1">
        <f t="shared" si="233"/>
        <v>0</v>
      </c>
      <c r="AAA51" s="1">
        <f t="shared" si="233"/>
        <v>0</v>
      </c>
      <c r="AAB51" s="1">
        <f t="shared" si="233"/>
        <v>0</v>
      </c>
      <c r="AAC51" s="1">
        <f t="shared" si="233"/>
        <v>0</v>
      </c>
      <c r="AAD51" s="1">
        <f t="shared" si="233"/>
        <v>0</v>
      </c>
      <c r="AAE51" s="1">
        <f t="shared" si="233"/>
        <v>0</v>
      </c>
      <c r="AAF51" s="1">
        <f t="shared" si="233"/>
        <v>0</v>
      </c>
      <c r="AAG51" s="1">
        <f t="shared" si="233"/>
        <v>0</v>
      </c>
      <c r="AAH51" s="1">
        <f t="shared" si="233"/>
        <v>0</v>
      </c>
      <c r="AAI51" s="1">
        <f t="shared" si="233"/>
        <v>0</v>
      </c>
      <c r="AAJ51" s="1">
        <f t="shared" si="233"/>
        <v>0</v>
      </c>
      <c r="AAK51" s="1">
        <f t="shared" si="233"/>
        <v>0</v>
      </c>
      <c r="AAL51" s="1">
        <f t="shared" si="233"/>
        <v>0</v>
      </c>
      <c r="AAM51" s="1">
        <f t="shared" si="233"/>
        <v>0</v>
      </c>
      <c r="AAN51" s="1">
        <f t="shared" si="233"/>
        <v>0</v>
      </c>
      <c r="AAO51" s="1">
        <f t="shared" si="233"/>
        <v>0</v>
      </c>
      <c r="AAP51" s="1">
        <f t="shared" si="233"/>
        <v>0</v>
      </c>
      <c r="AAQ51" s="1">
        <f t="shared" si="233"/>
        <v>0</v>
      </c>
      <c r="AAR51" s="1">
        <f t="shared" si="233"/>
        <v>0</v>
      </c>
      <c r="AAS51" s="1">
        <f t="shared" si="233"/>
        <v>0</v>
      </c>
      <c r="AAT51" s="1">
        <f t="shared" si="233"/>
        <v>0</v>
      </c>
      <c r="AAU51" s="1">
        <f t="shared" si="233"/>
        <v>0</v>
      </c>
      <c r="AAV51" s="1">
        <f t="shared" si="233"/>
        <v>0</v>
      </c>
      <c r="AAW51" s="1">
        <f t="shared" si="233"/>
        <v>0</v>
      </c>
      <c r="AAX51" s="1">
        <f t="shared" si="233"/>
        <v>0</v>
      </c>
      <c r="AAY51" s="1">
        <f t="shared" si="233"/>
        <v>0</v>
      </c>
      <c r="AAZ51" s="1">
        <f t="shared" si="233"/>
        <v>0</v>
      </c>
      <c r="ABA51" s="1">
        <f t="shared" si="233"/>
        <v>0</v>
      </c>
      <c r="ABB51" s="1">
        <f t="shared" si="233"/>
        <v>0</v>
      </c>
      <c r="ABC51" s="1">
        <f t="shared" si="233"/>
        <v>0</v>
      </c>
      <c r="ABD51" s="1">
        <f t="shared" si="233"/>
        <v>0</v>
      </c>
      <c r="ABE51" s="1">
        <f t="shared" si="233"/>
        <v>0</v>
      </c>
      <c r="ABF51" s="1">
        <f t="shared" si="233"/>
        <v>0</v>
      </c>
      <c r="ABG51" s="1">
        <f t="shared" si="233"/>
        <v>0</v>
      </c>
      <c r="ABH51" s="1">
        <f t="shared" si="233"/>
        <v>0</v>
      </c>
      <c r="ABI51" s="1">
        <f t="shared" si="233"/>
        <v>0</v>
      </c>
      <c r="ABJ51" s="1">
        <f t="shared" si="233"/>
        <v>0</v>
      </c>
      <c r="ABK51" s="1">
        <f t="shared" si="233"/>
        <v>0</v>
      </c>
      <c r="ABL51" s="1">
        <f t="shared" si="233"/>
        <v>0</v>
      </c>
      <c r="ABM51" s="1">
        <f t="shared" si="233"/>
        <v>0</v>
      </c>
      <c r="ABN51" s="1">
        <f t="shared" si="233"/>
        <v>0</v>
      </c>
      <c r="ABO51" s="1">
        <f t="shared" si="233"/>
        <v>0</v>
      </c>
      <c r="ABP51" s="1">
        <f t="shared" si="233"/>
        <v>0</v>
      </c>
      <c r="ABQ51" s="1">
        <f t="shared" si="233"/>
        <v>0</v>
      </c>
      <c r="ABR51" s="1">
        <f t="shared" si="233"/>
        <v>0</v>
      </c>
      <c r="ABS51" s="1">
        <f t="shared" si="233"/>
        <v>0</v>
      </c>
      <c r="ABT51" s="1">
        <f t="shared" si="233"/>
        <v>0</v>
      </c>
      <c r="ABU51" s="1">
        <f t="shared" si="233"/>
        <v>0</v>
      </c>
      <c r="ABV51" s="1">
        <f t="shared" si="233"/>
        <v>0</v>
      </c>
      <c r="ABW51" s="1">
        <f t="shared" si="233"/>
        <v>0</v>
      </c>
      <c r="ABX51" s="1">
        <f t="shared" si="233"/>
        <v>0</v>
      </c>
      <c r="ABY51" s="1">
        <f t="shared" si="233"/>
        <v>0</v>
      </c>
      <c r="ABZ51" s="1">
        <f t="shared" si="233"/>
        <v>0</v>
      </c>
      <c r="ACA51" s="1">
        <f t="shared" si="233"/>
        <v>0</v>
      </c>
      <c r="ACB51" s="1">
        <f t="shared" si="233"/>
        <v>0</v>
      </c>
      <c r="ACC51" s="1">
        <f t="shared" si="233"/>
        <v>0</v>
      </c>
      <c r="ACD51" s="1">
        <f t="shared" ref="ACD51:AEO51" si="234">ACD35-ACD16</f>
        <v>0</v>
      </c>
      <c r="ACE51" s="1">
        <f t="shared" si="234"/>
        <v>0</v>
      </c>
      <c r="ACF51" s="1">
        <f t="shared" si="234"/>
        <v>0</v>
      </c>
      <c r="ACG51" s="1">
        <f t="shared" si="234"/>
        <v>0</v>
      </c>
      <c r="ACH51" s="1">
        <f t="shared" si="234"/>
        <v>0</v>
      </c>
      <c r="ACI51" s="1">
        <f t="shared" si="234"/>
        <v>0</v>
      </c>
      <c r="ACJ51" s="1">
        <f t="shared" si="234"/>
        <v>0</v>
      </c>
      <c r="ACK51" s="1">
        <f t="shared" si="234"/>
        <v>0</v>
      </c>
      <c r="ACL51" s="1">
        <f t="shared" si="234"/>
        <v>0</v>
      </c>
      <c r="ACM51" s="1">
        <f t="shared" si="234"/>
        <v>0</v>
      </c>
      <c r="ACN51" s="1">
        <f t="shared" si="234"/>
        <v>0</v>
      </c>
      <c r="ACO51" s="1">
        <f t="shared" si="234"/>
        <v>0</v>
      </c>
      <c r="ACP51" s="1">
        <f t="shared" si="234"/>
        <v>0</v>
      </c>
      <c r="ACQ51" s="1">
        <f t="shared" si="234"/>
        <v>0</v>
      </c>
      <c r="ACR51" s="1">
        <f t="shared" si="234"/>
        <v>0</v>
      </c>
      <c r="ACS51" s="1">
        <f t="shared" si="234"/>
        <v>0</v>
      </c>
      <c r="ACT51" s="1">
        <f t="shared" si="234"/>
        <v>0</v>
      </c>
      <c r="ACU51" s="1">
        <f t="shared" si="234"/>
        <v>0</v>
      </c>
      <c r="ACV51" s="1">
        <f t="shared" si="234"/>
        <v>0</v>
      </c>
      <c r="ACW51" s="1">
        <f t="shared" si="234"/>
        <v>0</v>
      </c>
      <c r="ACX51" s="1">
        <f t="shared" si="234"/>
        <v>0</v>
      </c>
      <c r="ACY51" s="1">
        <f t="shared" si="234"/>
        <v>0</v>
      </c>
      <c r="ACZ51" s="1">
        <f t="shared" si="234"/>
        <v>0</v>
      </c>
      <c r="ADA51" s="1">
        <f t="shared" si="234"/>
        <v>0</v>
      </c>
      <c r="ADB51" s="1">
        <f t="shared" si="234"/>
        <v>0</v>
      </c>
      <c r="ADC51" s="1">
        <f t="shared" si="234"/>
        <v>0</v>
      </c>
      <c r="ADD51" s="1">
        <f t="shared" si="234"/>
        <v>0</v>
      </c>
      <c r="ADE51" s="1">
        <f t="shared" si="234"/>
        <v>0</v>
      </c>
      <c r="ADF51" s="1">
        <f t="shared" si="234"/>
        <v>0</v>
      </c>
      <c r="ADG51" s="1">
        <f t="shared" si="234"/>
        <v>0</v>
      </c>
      <c r="ADH51" s="1">
        <f t="shared" si="234"/>
        <v>0</v>
      </c>
      <c r="ADI51" s="1">
        <f t="shared" si="234"/>
        <v>0</v>
      </c>
      <c r="ADJ51" s="1">
        <f t="shared" si="234"/>
        <v>0</v>
      </c>
      <c r="ADK51" s="1">
        <f t="shared" si="234"/>
        <v>0</v>
      </c>
      <c r="ADL51" s="1">
        <f t="shared" si="234"/>
        <v>0</v>
      </c>
      <c r="ADM51" s="1">
        <f t="shared" si="234"/>
        <v>0</v>
      </c>
      <c r="ADN51" s="1">
        <f t="shared" si="234"/>
        <v>0</v>
      </c>
      <c r="ADO51" s="1">
        <f t="shared" si="234"/>
        <v>0</v>
      </c>
      <c r="ADP51" s="1">
        <f t="shared" si="234"/>
        <v>0</v>
      </c>
      <c r="ADQ51" s="1">
        <f t="shared" si="234"/>
        <v>0</v>
      </c>
      <c r="ADR51" s="1">
        <f t="shared" si="234"/>
        <v>0</v>
      </c>
      <c r="ADS51" s="1">
        <f t="shared" si="234"/>
        <v>0</v>
      </c>
      <c r="ADT51" s="1">
        <f t="shared" si="234"/>
        <v>0</v>
      </c>
      <c r="ADU51" s="1">
        <f t="shared" si="234"/>
        <v>0</v>
      </c>
      <c r="ADV51" s="1">
        <f t="shared" si="234"/>
        <v>0</v>
      </c>
      <c r="ADW51" s="1">
        <f t="shared" si="234"/>
        <v>0</v>
      </c>
      <c r="ADX51" s="1">
        <f t="shared" si="234"/>
        <v>0</v>
      </c>
      <c r="ADY51" s="1">
        <f t="shared" si="234"/>
        <v>0</v>
      </c>
      <c r="ADZ51" s="1">
        <f t="shared" si="234"/>
        <v>0</v>
      </c>
      <c r="AEA51" s="1">
        <f t="shared" si="234"/>
        <v>0</v>
      </c>
      <c r="AEB51" s="1">
        <f t="shared" si="234"/>
        <v>0</v>
      </c>
      <c r="AEC51" s="1">
        <f t="shared" si="234"/>
        <v>0</v>
      </c>
      <c r="AED51" s="1">
        <f t="shared" si="234"/>
        <v>0</v>
      </c>
      <c r="AEE51" s="1">
        <f t="shared" si="234"/>
        <v>0</v>
      </c>
      <c r="AEF51" s="1">
        <f t="shared" si="234"/>
        <v>0</v>
      </c>
      <c r="AEG51" s="1">
        <f t="shared" si="234"/>
        <v>0</v>
      </c>
      <c r="AEH51" s="1">
        <f t="shared" si="234"/>
        <v>0</v>
      </c>
      <c r="AEI51" s="1">
        <f t="shared" si="234"/>
        <v>0</v>
      </c>
      <c r="AEJ51" s="1">
        <f t="shared" si="234"/>
        <v>0</v>
      </c>
      <c r="AEK51" s="1">
        <f t="shared" si="234"/>
        <v>0</v>
      </c>
      <c r="AEL51" s="1">
        <f t="shared" si="234"/>
        <v>0</v>
      </c>
      <c r="AEM51" s="1">
        <f t="shared" si="234"/>
        <v>0</v>
      </c>
      <c r="AEN51" s="1">
        <f t="shared" si="234"/>
        <v>0</v>
      </c>
      <c r="AEO51" s="1">
        <f t="shared" si="234"/>
        <v>0</v>
      </c>
      <c r="AEP51" s="1">
        <f t="shared" ref="AEP51:AHA51" si="235">AEP35-AEP16</f>
        <v>0</v>
      </c>
      <c r="AEQ51" s="1">
        <f t="shared" si="235"/>
        <v>0</v>
      </c>
      <c r="AER51" s="1">
        <f t="shared" si="235"/>
        <v>0</v>
      </c>
      <c r="AES51" s="1">
        <f t="shared" si="235"/>
        <v>0</v>
      </c>
      <c r="AET51" s="1">
        <f t="shared" si="235"/>
        <v>0</v>
      </c>
      <c r="AEU51" s="1">
        <f t="shared" si="235"/>
        <v>0</v>
      </c>
      <c r="AEV51" s="1">
        <f t="shared" si="235"/>
        <v>0</v>
      </c>
      <c r="AEW51" s="1">
        <f t="shared" si="235"/>
        <v>0</v>
      </c>
      <c r="AEX51" s="1">
        <f t="shared" si="235"/>
        <v>0</v>
      </c>
      <c r="AEY51" s="1">
        <f t="shared" si="235"/>
        <v>0</v>
      </c>
      <c r="AEZ51" s="1">
        <f t="shared" si="235"/>
        <v>0</v>
      </c>
      <c r="AFA51" s="1">
        <f t="shared" si="235"/>
        <v>0</v>
      </c>
      <c r="AFB51" s="1">
        <f t="shared" si="235"/>
        <v>0</v>
      </c>
      <c r="AFC51" s="1">
        <f t="shared" si="235"/>
        <v>0</v>
      </c>
      <c r="AFD51" s="1">
        <f t="shared" si="235"/>
        <v>0</v>
      </c>
      <c r="AFE51" s="1">
        <f t="shared" si="235"/>
        <v>0</v>
      </c>
      <c r="AFF51" s="1">
        <f t="shared" si="235"/>
        <v>0</v>
      </c>
      <c r="AFG51" s="1">
        <f t="shared" si="235"/>
        <v>0</v>
      </c>
      <c r="AFH51" s="1">
        <f t="shared" si="235"/>
        <v>0</v>
      </c>
      <c r="AFI51" s="1">
        <f t="shared" si="235"/>
        <v>0</v>
      </c>
      <c r="AFJ51" s="1">
        <f t="shared" si="235"/>
        <v>0</v>
      </c>
      <c r="AFK51" s="1">
        <f t="shared" si="235"/>
        <v>0</v>
      </c>
      <c r="AFL51" s="1">
        <f t="shared" si="235"/>
        <v>0</v>
      </c>
      <c r="AFM51" s="1">
        <f t="shared" si="235"/>
        <v>0</v>
      </c>
      <c r="AFN51" s="1">
        <f t="shared" si="235"/>
        <v>0</v>
      </c>
      <c r="AFO51" s="1">
        <f t="shared" si="235"/>
        <v>0</v>
      </c>
      <c r="AFP51" s="1">
        <f t="shared" si="235"/>
        <v>0</v>
      </c>
      <c r="AFQ51" s="1">
        <f t="shared" si="235"/>
        <v>0</v>
      </c>
      <c r="AFR51" s="1">
        <f t="shared" si="235"/>
        <v>0</v>
      </c>
      <c r="AFS51" s="1">
        <f t="shared" si="235"/>
        <v>0</v>
      </c>
      <c r="AFT51" s="1">
        <f t="shared" si="235"/>
        <v>0</v>
      </c>
      <c r="AFU51" s="1">
        <f t="shared" si="235"/>
        <v>0</v>
      </c>
      <c r="AFV51" s="1">
        <f t="shared" si="235"/>
        <v>0</v>
      </c>
      <c r="AFW51" s="1">
        <f t="shared" si="235"/>
        <v>0</v>
      </c>
      <c r="AFX51" s="1">
        <f t="shared" si="235"/>
        <v>0</v>
      </c>
      <c r="AFY51" s="1">
        <f t="shared" si="235"/>
        <v>0</v>
      </c>
      <c r="AFZ51" s="1">
        <f t="shared" si="235"/>
        <v>0</v>
      </c>
      <c r="AGA51" s="1">
        <f t="shared" si="235"/>
        <v>0</v>
      </c>
      <c r="AGB51" s="1">
        <f t="shared" si="235"/>
        <v>0</v>
      </c>
      <c r="AGC51" s="1">
        <f t="shared" si="235"/>
        <v>0</v>
      </c>
      <c r="AGD51" s="1">
        <f t="shared" si="235"/>
        <v>0</v>
      </c>
      <c r="AGE51" s="1">
        <f t="shared" si="235"/>
        <v>0</v>
      </c>
      <c r="AGF51" s="1">
        <f t="shared" si="235"/>
        <v>0</v>
      </c>
      <c r="AGG51" s="1">
        <f t="shared" si="235"/>
        <v>0</v>
      </c>
      <c r="AGH51" s="1">
        <f t="shared" si="235"/>
        <v>0</v>
      </c>
      <c r="AGI51" s="1">
        <f t="shared" si="235"/>
        <v>0</v>
      </c>
      <c r="AGJ51" s="1">
        <f t="shared" si="235"/>
        <v>0</v>
      </c>
      <c r="AGK51" s="1">
        <f t="shared" si="235"/>
        <v>0</v>
      </c>
      <c r="AGL51" s="1">
        <f t="shared" si="235"/>
        <v>0</v>
      </c>
      <c r="AGM51" s="1">
        <f t="shared" si="235"/>
        <v>0</v>
      </c>
      <c r="AGN51" s="1">
        <f t="shared" si="235"/>
        <v>0</v>
      </c>
      <c r="AGO51" s="1">
        <f t="shared" si="235"/>
        <v>0</v>
      </c>
      <c r="AGP51" s="1">
        <f t="shared" si="235"/>
        <v>0</v>
      </c>
      <c r="AGQ51" s="1">
        <f t="shared" si="235"/>
        <v>0</v>
      </c>
      <c r="AGR51" s="1">
        <f t="shared" si="235"/>
        <v>0</v>
      </c>
      <c r="AGS51" s="1">
        <f t="shared" si="235"/>
        <v>0</v>
      </c>
      <c r="AGT51" s="1">
        <f t="shared" si="235"/>
        <v>0</v>
      </c>
      <c r="AGU51" s="1">
        <f t="shared" si="235"/>
        <v>0</v>
      </c>
      <c r="AGV51" s="1">
        <f t="shared" si="235"/>
        <v>0</v>
      </c>
      <c r="AGW51" s="1">
        <f t="shared" si="235"/>
        <v>0</v>
      </c>
      <c r="AGX51" s="1">
        <f t="shared" si="235"/>
        <v>0</v>
      </c>
      <c r="AGY51" s="1">
        <f t="shared" si="235"/>
        <v>0</v>
      </c>
      <c r="AGZ51" s="1">
        <f t="shared" si="235"/>
        <v>0</v>
      </c>
      <c r="AHA51" s="1">
        <f t="shared" si="235"/>
        <v>0</v>
      </c>
      <c r="AHB51" s="1">
        <f t="shared" ref="AHB51:AJM51" si="236">AHB35-AHB16</f>
        <v>0</v>
      </c>
      <c r="AHC51" s="1">
        <f t="shared" si="236"/>
        <v>0</v>
      </c>
      <c r="AHD51" s="1">
        <f t="shared" si="236"/>
        <v>0</v>
      </c>
      <c r="AHE51" s="1">
        <f t="shared" si="236"/>
        <v>0</v>
      </c>
      <c r="AHF51" s="1">
        <f t="shared" si="236"/>
        <v>0</v>
      </c>
      <c r="AHG51" s="1">
        <f t="shared" si="236"/>
        <v>0</v>
      </c>
      <c r="AHH51" s="1">
        <f t="shared" si="236"/>
        <v>0</v>
      </c>
      <c r="AHI51" s="1">
        <f t="shared" si="236"/>
        <v>0</v>
      </c>
      <c r="AHJ51" s="1">
        <f t="shared" si="236"/>
        <v>0</v>
      </c>
      <c r="AHK51" s="1">
        <f t="shared" si="236"/>
        <v>0</v>
      </c>
      <c r="AHL51" s="1">
        <f t="shared" si="236"/>
        <v>0</v>
      </c>
      <c r="AHM51" s="1">
        <f t="shared" si="236"/>
        <v>0</v>
      </c>
      <c r="AHN51" s="1">
        <f t="shared" si="236"/>
        <v>0</v>
      </c>
      <c r="AHO51" s="1">
        <f t="shared" si="236"/>
        <v>0</v>
      </c>
      <c r="AHP51" s="1">
        <f t="shared" si="236"/>
        <v>0</v>
      </c>
      <c r="AHQ51" s="1">
        <f t="shared" si="236"/>
        <v>0</v>
      </c>
      <c r="AHR51" s="1">
        <f t="shared" si="236"/>
        <v>0</v>
      </c>
      <c r="AHS51" s="1">
        <f t="shared" si="236"/>
        <v>0</v>
      </c>
      <c r="AHT51" s="1">
        <f t="shared" si="236"/>
        <v>0</v>
      </c>
      <c r="AHU51" s="1">
        <f t="shared" si="236"/>
        <v>0</v>
      </c>
      <c r="AHV51" s="1">
        <f t="shared" si="236"/>
        <v>0</v>
      </c>
      <c r="AHW51" s="1">
        <f t="shared" si="236"/>
        <v>0</v>
      </c>
      <c r="AHX51" s="1">
        <f t="shared" si="236"/>
        <v>0</v>
      </c>
      <c r="AHY51" s="1">
        <f t="shared" si="236"/>
        <v>0</v>
      </c>
      <c r="AHZ51" s="1">
        <f t="shared" si="236"/>
        <v>0</v>
      </c>
      <c r="AIA51" s="1">
        <f t="shared" si="236"/>
        <v>0</v>
      </c>
      <c r="AIB51" s="1">
        <f t="shared" si="236"/>
        <v>0</v>
      </c>
      <c r="AIC51" s="1">
        <f t="shared" si="236"/>
        <v>0</v>
      </c>
      <c r="AID51" s="1">
        <f t="shared" si="236"/>
        <v>0</v>
      </c>
      <c r="AIE51" s="1">
        <f t="shared" si="236"/>
        <v>0</v>
      </c>
      <c r="AIF51" s="1">
        <f t="shared" si="236"/>
        <v>0</v>
      </c>
      <c r="AIG51" s="1">
        <f t="shared" si="236"/>
        <v>0</v>
      </c>
      <c r="AIH51" s="1">
        <f t="shared" si="236"/>
        <v>0</v>
      </c>
      <c r="AII51" s="1">
        <f t="shared" si="236"/>
        <v>0</v>
      </c>
      <c r="AIJ51" s="1">
        <f t="shared" si="236"/>
        <v>0</v>
      </c>
      <c r="AIK51" s="1">
        <f t="shared" si="236"/>
        <v>0</v>
      </c>
      <c r="AIL51" s="1">
        <f t="shared" si="236"/>
        <v>0</v>
      </c>
      <c r="AIM51" s="1">
        <f t="shared" si="236"/>
        <v>0</v>
      </c>
      <c r="AIN51" s="1">
        <f t="shared" si="236"/>
        <v>0</v>
      </c>
      <c r="AIO51" s="1">
        <f t="shared" si="236"/>
        <v>0</v>
      </c>
      <c r="AIP51" s="1">
        <f t="shared" si="236"/>
        <v>0</v>
      </c>
      <c r="AIQ51" s="1">
        <f t="shared" si="236"/>
        <v>0</v>
      </c>
      <c r="AIR51" s="1">
        <f t="shared" si="236"/>
        <v>0</v>
      </c>
      <c r="AIS51" s="1">
        <f t="shared" si="236"/>
        <v>0</v>
      </c>
      <c r="AIT51" s="1">
        <f t="shared" si="236"/>
        <v>0</v>
      </c>
      <c r="AIU51" s="1">
        <f t="shared" si="236"/>
        <v>0</v>
      </c>
      <c r="AIV51" s="1">
        <f t="shared" si="236"/>
        <v>0</v>
      </c>
      <c r="AIW51" s="1">
        <f t="shared" si="236"/>
        <v>0</v>
      </c>
      <c r="AIX51" s="1">
        <f t="shared" si="236"/>
        <v>0</v>
      </c>
      <c r="AIY51" s="1">
        <f t="shared" si="236"/>
        <v>0</v>
      </c>
      <c r="AIZ51" s="1">
        <f t="shared" si="236"/>
        <v>0</v>
      </c>
      <c r="AJA51" s="1">
        <f t="shared" si="236"/>
        <v>0</v>
      </c>
      <c r="AJB51" s="1">
        <f t="shared" si="236"/>
        <v>0</v>
      </c>
      <c r="AJC51" s="1">
        <f t="shared" si="236"/>
        <v>0</v>
      </c>
      <c r="AJD51" s="1">
        <f t="shared" si="236"/>
        <v>0</v>
      </c>
      <c r="AJE51" s="1">
        <f t="shared" si="236"/>
        <v>0</v>
      </c>
      <c r="AJF51" s="1">
        <f t="shared" si="236"/>
        <v>0</v>
      </c>
      <c r="AJG51" s="1">
        <f t="shared" si="236"/>
        <v>0</v>
      </c>
      <c r="AJH51" s="1">
        <f t="shared" si="236"/>
        <v>0</v>
      </c>
      <c r="AJI51" s="1">
        <f t="shared" si="236"/>
        <v>0</v>
      </c>
      <c r="AJJ51" s="1">
        <f t="shared" si="236"/>
        <v>0</v>
      </c>
      <c r="AJK51" s="1">
        <f t="shared" si="236"/>
        <v>0</v>
      </c>
      <c r="AJL51" s="1">
        <f t="shared" si="236"/>
        <v>0</v>
      </c>
      <c r="AJM51" s="1">
        <f t="shared" si="236"/>
        <v>0</v>
      </c>
      <c r="AJN51" s="1">
        <f t="shared" ref="AJN51:ALM51" si="237">AJN35-AJN16</f>
        <v>0</v>
      </c>
      <c r="AJO51" s="1">
        <f t="shared" si="237"/>
        <v>0</v>
      </c>
      <c r="AJP51" s="1">
        <f t="shared" si="237"/>
        <v>0</v>
      </c>
      <c r="AJQ51" s="1">
        <f t="shared" si="237"/>
        <v>0</v>
      </c>
      <c r="AJR51" s="1">
        <f t="shared" si="237"/>
        <v>0</v>
      </c>
      <c r="AJS51" s="1">
        <f t="shared" si="237"/>
        <v>0</v>
      </c>
      <c r="AJT51" s="1">
        <f t="shared" si="237"/>
        <v>0</v>
      </c>
      <c r="AJU51" s="1">
        <f t="shared" si="237"/>
        <v>0</v>
      </c>
      <c r="AJV51" s="1">
        <f t="shared" si="237"/>
        <v>0</v>
      </c>
      <c r="AJW51" s="1">
        <f t="shared" si="237"/>
        <v>0</v>
      </c>
      <c r="AJX51" s="1">
        <f t="shared" si="237"/>
        <v>0</v>
      </c>
      <c r="AJY51" s="1">
        <f t="shared" si="237"/>
        <v>0</v>
      </c>
      <c r="AJZ51" s="1">
        <f t="shared" si="237"/>
        <v>0</v>
      </c>
      <c r="AKA51" s="1">
        <f t="shared" si="237"/>
        <v>0</v>
      </c>
      <c r="AKB51" s="1">
        <f t="shared" si="237"/>
        <v>0</v>
      </c>
      <c r="AKC51" s="1">
        <f t="shared" si="237"/>
        <v>0</v>
      </c>
      <c r="AKD51" s="1">
        <f t="shared" si="237"/>
        <v>0</v>
      </c>
      <c r="AKE51" s="1">
        <f t="shared" si="237"/>
        <v>0</v>
      </c>
      <c r="AKF51" s="1">
        <f t="shared" si="237"/>
        <v>0</v>
      </c>
      <c r="AKG51" s="1">
        <f t="shared" si="237"/>
        <v>0</v>
      </c>
      <c r="AKH51" s="1">
        <f t="shared" si="237"/>
        <v>0</v>
      </c>
      <c r="AKI51" s="1">
        <f t="shared" si="237"/>
        <v>0</v>
      </c>
      <c r="AKJ51" s="1">
        <f t="shared" si="237"/>
        <v>0</v>
      </c>
      <c r="AKK51" s="1">
        <f t="shared" si="237"/>
        <v>0</v>
      </c>
      <c r="AKL51" s="1">
        <f t="shared" si="237"/>
        <v>0</v>
      </c>
      <c r="AKM51" s="1">
        <f t="shared" si="237"/>
        <v>0</v>
      </c>
      <c r="AKN51" s="1">
        <f t="shared" si="237"/>
        <v>0</v>
      </c>
      <c r="AKO51" s="1">
        <f t="shared" si="237"/>
        <v>0</v>
      </c>
      <c r="AKP51" s="1">
        <f t="shared" si="237"/>
        <v>0</v>
      </c>
      <c r="AKQ51" s="1">
        <f t="shared" si="237"/>
        <v>0</v>
      </c>
      <c r="AKR51" s="1">
        <f t="shared" si="237"/>
        <v>0</v>
      </c>
      <c r="AKS51" s="1">
        <f t="shared" si="237"/>
        <v>0</v>
      </c>
      <c r="AKT51" s="1">
        <f t="shared" si="237"/>
        <v>0</v>
      </c>
      <c r="AKU51" s="1">
        <f t="shared" si="237"/>
        <v>0</v>
      </c>
      <c r="AKV51" s="1">
        <f t="shared" si="237"/>
        <v>0</v>
      </c>
      <c r="AKW51" s="1">
        <f t="shared" si="237"/>
        <v>0</v>
      </c>
      <c r="AKX51" s="1">
        <f t="shared" si="237"/>
        <v>0</v>
      </c>
      <c r="AKY51" s="1">
        <f t="shared" si="237"/>
        <v>0</v>
      </c>
      <c r="AKZ51" s="1">
        <f t="shared" si="237"/>
        <v>0</v>
      </c>
      <c r="ALA51" s="1">
        <f t="shared" si="237"/>
        <v>0</v>
      </c>
      <c r="ALB51" s="1">
        <f t="shared" si="237"/>
        <v>0</v>
      </c>
      <c r="ALC51" s="1">
        <f t="shared" si="237"/>
        <v>0</v>
      </c>
      <c r="ALD51" s="1">
        <f t="shared" si="237"/>
        <v>0</v>
      </c>
      <c r="ALE51" s="1">
        <f t="shared" si="237"/>
        <v>0</v>
      </c>
      <c r="ALF51" s="1">
        <f t="shared" si="237"/>
        <v>0</v>
      </c>
      <c r="ALG51" s="1">
        <f t="shared" si="237"/>
        <v>0</v>
      </c>
      <c r="ALH51" s="1">
        <f t="shared" si="237"/>
        <v>0</v>
      </c>
      <c r="ALI51" s="1">
        <f t="shared" si="237"/>
        <v>0</v>
      </c>
      <c r="ALJ51" s="1">
        <f t="shared" si="237"/>
        <v>0</v>
      </c>
      <c r="ALK51" s="1">
        <f t="shared" si="237"/>
        <v>0</v>
      </c>
      <c r="ALL51" s="1">
        <f t="shared" si="237"/>
        <v>0</v>
      </c>
      <c r="ALM51" s="1">
        <f t="shared" si="237"/>
        <v>0</v>
      </c>
    </row>
    <row r="52" spans="1:1001">
      <c r="A52" s="27"/>
      <c r="B52">
        <f>B36</f>
        <v>0</v>
      </c>
      <c r="C52">
        <f t="shared" ref="C52:BN52" si="238">C36</f>
        <v>0</v>
      </c>
      <c r="D52">
        <f t="shared" si="238"/>
        <v>0</v>
      </c>
      <c r="E52">
        <f t="shared" si="238"/>
        <v>0</v>
      </c>
      <c r="F52">
        <f t="shared" si="238"/>
        <v>0</v>
      </c>
      <c r="G52">
        <f t="shared" si="238"/>
        <v>0</v>
      </c>
      <c r="H52">
        <f t="shared" si="238"/>
        <v>0</v>
      </c>
      <c r="I52">
        <f t="shared" si="238"/>
        <v>0</v>
      </c>
      <c r="J52">
        <f t="shared" si="238"/>
        <v>0</v>
      </c>
      <c r="K52">
        <f t="shared" si="238"/>
        <v>0</v>
      </c>
      <c r="L52">
        <f t="shared" si="238"/>
        <v>0</v>
      </c>
      <c r="M52">
        <f t="shared" si="238"/>
        <v>0</v>
      </c>
      <c r="N52">
        <f t="shared" si="238"/>
        <v>0</v>
      </c>
      <c r="O52">
        <f t="shared" si="238"/>
        <v>0</v>
      </c>
      <c r="P52">
        <f t="shared" si="238"/>
        <v>0</v>
      </c>
      <c r="Q52">
        <f t="shared" si="238"/>
        <v>0</v>
      </c>
      <c r="R52">
        <f t="shared" si="238"/>
        <v>0</v>
      </c>
      <c r="S52">
        <f t="shared" si="238"/>
        <v>0</v>
      </c>
      <c r="T52">
        <f t="shared" si="238"/>
        <v>0</v>
      </c>
      <c r="U52">
        <f t="shared" si="238"/>
        <v>0</v>
      </c>
      <c r="V52">
        <f t="shared" si="238"/>
        <v>0</v>
      </c>
      <c r="W52">
        <f t="shared" si="238"/>
        <v>0</v>
      </c>
      <c r="X52">
        <f t="shared" si="238"/>
        <v>0</v>
      </c>
      <c r="Y52">
        <f t="shared" si="238"/>
        <v>0</v>
      </c>
      <c r="Z52">
        <f t="shared" si="238"/>
        <v>0</v>
      </c>
      <c r="AA52">
        <f t="shared" si="238"/>
        <v>0</v>
      </c>
      <c r="AB52">
        <f t="shared" si="238"/>
        <v>0</v>
      </c>
      <c r="AC52">
        <f t="shared" si="238"/>
        <v>0</v>
      </c>
      <c r="AD52">
        <f t="shared" si="238"/>
        <v>0</v>
      </c>
      <c r="AE52">
        <f t="shared" si="238"/>
        <v>0</v>
      </c>
      <c r="AF52">
        <f t="shared" si="238"/>
        <v>0</v>
      </c>
      <c r="AG52">
        <f t="shared" si="238"/>
        <v>0</v>
      </c>
      <c r="AH52">
        <f t="shared" si="238"/>
        <v>0</v>
      </c>
      <c r="AI52">
        <f t="shared" si="238"/>
        <v>0</v>
      </c>
      <c r="AJ52">
        <f t="shared" si="238"/>
        <v>0</v>
      </c>
      <c r="AK52">
        <f t="shared" si="238"/>
        <v>0</v>
      </c>
      <c r="AL52">
        <f t="shared" si="238"/>
        <v>0</v>
      </c>
      <c r="AM52">
        <f t="shared" si="238"/>
        <v>0</v>
      </c>
      <c r="AN52">
        <f t="shared" si="238"/>
        <v>0</v>
      </c>
      <c r="AO52">
        <f t="shared" si="238"/>
        <v>0</v>
      </c>
      <c r="AP52">
        <f t="shared" si="238"/>
        <v>0</v>
      </c>
      <c r="AQ52">
        <f t="shared" si="238"/>
        <v>0</v>
      </c>
      <c r="AR52">
        <f t="shared" si="238"/>
        <v>0</v>
      </c>
      <c r="AS52">
        <f t="shared" si="238"/>
        <v>0</v>
      </c>
      <c r="AT52">
        <f t="shared" si="238"/>
        <v>0</v>
      </c>
      <c r="AU52">
        <f t="shared" si="238"/>
        <v>0</v>
      </c>
      <c r="AV52">
        <f t="shared" si="238"/>
        <v>0</v>
      </c>
      <c r="AW52">
        <f t="shared" si="238"/>
        <v>0</v>
      </c>
      <c r="AX52">
        <f t="shared" si="238"/>
        <v>0</v>
      </c>
      <c r="AY52">
        <f t="shared" si="238"/>
        <v>0</v>
      </c>
      <c r="AZ52">
        <f t="shared" si="238"/>
        <v>0</v>
      </c>
      <c r="BA52">
        <f t="shared" si="238"/>
        <v>0</v>
      </c>
      <c r="BB52">
        <f t="shared" si="238"/>
        <v>0</v>
      </c>
      <c r="BC52">
        <f t="shared" si="238"/>
        <v>0</v>
      </c>
      <c r="BD52">
        <f t="shared" si="238"/>
        <v>0</v>
      </c>
      <c r="BE52">
        <f t="shared" si="238"/>
        <v>0</v>
      </c>
      <c r="BF52">
        <f t="shared" si="238"/>
        <v>0</v>
      </c>
      <c r="BG52">
        <f t="shared" si="238"/>
        <v>0</v>
      </c>
      <c r="BH52">
        <f t="shared" si="238"/>
        <v>0</v>
      </c>
      <c r="BI52">
        <f t="shared" si="238"/>
        <v>0</v>
      </c>
      <c r="BJ52">
        <f t="shared" si="238"/>
        <v>0</v>
      </c>
      <c r="BK52">
        <f t="shared" si="238"/>
        <v>0</v>
      </c>
      <c r="BL52">
        <f t="shared" si="238"/>
        <v>0</v>
      </c>
      <c r="BM52">
        <f t="shared" si="238"/>
        <v>0</v>
      </c>
      <c r="BN52">
        <f t="shared" si="238"/>
        <v>0</v>
      </c>
      <c r="BO52">
        <f t="shared" ref="BO52:DZ52" si="239">BO36</f>
        <v>0</v>
      </c>
      <c r="BP52">
        <f t="shared" si="239"/>
        <v>0</v>
      </c>
      <c r="BQ52">
        <f t="shared" si="239"/>
        <v>0</v>
      </c>
      <c r="BR52">
        <f t="shared" si="239"/>
        <v>0</v>
      </c>
      <c r="BS52">
        <f t="shared" si="239"/>
        <v>0</v>
      </c>
      <c r="BT52">
        <f t="shared" si="239"/>
        <v>0</v>
      </c>
      <c r="BU52">
        <f t="shared" si="239"/>
        <v>0</v>
      </c>
      <c r="BV52">
        <f t="shared" si="239"/>
        <v>0</v>
      </c>
      <c r="BW52">
        <f t="shared" si="239"/>
        <v>0</v>
      </c>
      <c r="BX52">
        <f t="shared" si="239"/>
        <v>0</v>
      </c>
      <c r="BY52">
        <f t="shared" si="239"/>
        <v>0</v>
      </c>
      <c r="BZ52">
        <f t="shared" si="239"/>
        <v>0</v>
      </c>
      <c r="CA52">
        <f t="shared" si="239"/>
        <v>0</v>
      </c>
      <c r="CB52">
        <f t="shared" si="239"/>
        <v>0</v>
      </c>
      <c r="CC52">
        <f t="shared" si="239"/>
        <v>0</v>
      </c>
      <c r="CD52">
        <f t="shared" si="239"/>
        <v>0</v>
      </c>
      <c r="CE52">
        <f t="shared" si="239"/>
        <v>0</v>
      </c>
      <c r="CF52">
        <f t="shared" si="239"/>
        <v>0</v>
      </c>
      <c r="CG52">
        <f t="shared" si="239"/>
        <v>0</v>
      </c>
      <c r="CH52">
        <f t="shared" si="239"/>
        <v>0</v>
      </c>
      <c r="CI52">
        <f t="shared" si="239"/>
        <v>0</v>
      </c>
      <c r="CJ52">
        <f t="shared" si="239"/>
        <v>0</v>
      </c>
      <c r="CK52">
        <f t="shared" si="239"/>
        <v>0</v>
      </c>
      <c r="CL52">
        <f t="shared" si="239"/>
        <v>0</v>
      </c>
      <c r="CM52">
        <f t="shared" si="239"/>
        <v>0</v>
      </c>
      <c r="CN52">
        <f t="shared" si="239"/>
        <v>0</v>
      </c>
      <c r="CO52">
        <f t="shared" si="239"/>
        <v>0</v>
      </c>
      <c r="CP52">
        <f t="shared" si="239"/>
        <v>0</v>
      </c>
      <c r="CQ52">
        <f t="shared" si="239"/>
        <v>0</v>
      </c>
      <c r="CR52">
        <f t="shared" si="239"/>
        <v>0</v>
      </c>
      <c r="CS52">
        <f t="shared" si="239"/>
        <v>0</v>
      </c>
      <c r="CT52">
        <f t="shared" si="239"/>
        <v>0</v>
      </c>
      <c r="CU52">
        <f t="shared" si="239"/>
        <v>0</v>
      </c>
      <c r="CV52">
        <f t="shared" si="239"/>
        <v>0</v>
      </c>
      <c r="CW52">
        <f t="shared" si="239"/>
        <v>0</v>
      </c>
      <c r="CX52">
        <f t="shared" si="239"/>
        <v>0</v>
      </c>
      <c r="CY52">
        <f t="shared" si="239"/>
        <v>0</v>
      </c>
      <c r="CZ52">
        <f t="shared" si="239"/>
        <v>0</v>
      </c>
      <c r="DA52">
        <f t="shared" si="239"/>
        <v>0</v>
      </c>
      <c r="DB52">
        <f t="shared" si="239"/>
        <v>0</v>
      </c>
      <c r="DC52">
        <f t="shared" si="239"/>
        <v>0</v>
      </c>
      <c r="DD52">
        <f t="shared" si="239"/>
        <v>0</v>
      </c>
      <c r="DE52">
        <f t="shared" si="239"/>
        <v>0</v>
      </c>
      <c r="DF52">
        <f t="shared" si="239"/>
        <v>0</v>
      </c>
      <c r="DG52">
        <f t="shared" si="239"/>
        <v>0</v>
      </c>
      <c r="DH52">
        <f t="shared" si="239"/>
        <v>0</v>
      </c>
      <c r="DI52">
        <f t="shared" si="239"/>
        <v>0</v>
      </c>
      <c r="DJ52">
        <f t="shared" si="239"/>
        <v>0</v>
      </c>
      <c r="DK52">
        <f t="shared" si="239"/>
        <v>0</v>
      </c>
      <c r="DL52">
        <f t="shared" si="239"/>
        <v>0</v>
      </c>
      <c r="DM52">
        <f t="shared" si="239"/>
        <v>0</v>
      </c>
      <c r="DN52">
        <f t="shared" si="239"/>
        <v>0</v>
      </c>
      <c r="DO52">
        <f t="shared" si="239"/>
        <v>0</v>
      </c>
      <c r="DP52">
        <f t="shared" si="239"/>
        <v>0</v>
      </c>
      <c r="DQ52">
        <f t="shared" si="239"/>
        <v>0</v>
      </c>
      <c r="DR52">
        <f t="shared" si="239"/>
        <v>0</v>
      </c>
      <c r="DS52">
        <f t="shared" si="239"/>
        <v>0</v>
      </c>
      <c r="DT52">
        <f t="shared" si="239"/>
        <v>0</v>
      </c>
      <c r="DU52">
        <f t="shared" si="239"/>
        <v>0</v>
      </c>
      <c r="DV52">
        <f t="shared" si="239"/>
        <v>0</v>
      </c>
      <c r="DW52">
        <f t="shared" si="239"/>
        <v>0</v>
      </c>
      <c r="DX52">
        <f t="shared" si="239"/>
        <v>0</v>
      </c>
      <c r="DY52">
        <f t="shared" si="239"/>
        <v>0</v>
      </c>
      <c r="DZ52">
        <f t="shared" si="239"/>
        <v>0</v>
      </c>
      <c r="EA52">
        <f t="shared" ref="EA52:GL52" si="240">EA36</f>
        <v>0</v>
      </c>
      <c r="EB52">
        <f t="shared" si="240"/>
        <v>0</v>
      </c>
      <c r="EC52">
        <f t="shared" si="240"/>
        <v>0</v>
      </c>
      <c r="ED52">
        <f t="shared" si="240"/>
        <v>0</v>
      </c>
      <c r="EE52">
        <f t="shared" si="240"/>
        <v>0</v>
      </c>
      <c r="EF52">
        <f t="shared" si="240"/>
        <v>0</v>
      </c>
      <c r="EG52">
        <f t="shared" si="240"/>
        <v>0</v>
      </c>
      <c r="EH52">
        <f t="shared" si="240"/>
        <v>0</v>
      </c>
      <c r="EI52">
        <f t="shared" si="240"/>
        <v>0</v>
      </c>
      <c r="EJ52">
        <f t="shared" si="240"/>
        <v>0</v>
      </c>
      <c r="EK52">
        <f t="shared" si="240"/>
        <v>0</v>
      </c>
      <c r="EL52">
        <f t="shared" si="240"/>
        <v>0</v>
      </c>
      <c r="EM52">
        <f t="shared" si="240"/>
        <v>0</v>
      </c>
      <c r="EN52">
        <f t="shared" si="240"/>
        <v>0</v>
      </c>
      <c r="EO52">
        <f t="shared" si="240"/>
        <v>0</v>
      </c>
      <c r="EP52">
        <f t="shared" si="240"/>
        <v>0</v>
      </c>
      <c r="EQ52">
        <f t="shared" si="240"/>
        <v>0</v>
      </c>
      <c r="ER52">
        <f t="shared" si="240"/>
        <v>0</v>
      </c>
      <c r="ES52">
        <f t="shared" si="240"/>
        <v>0</v>
      </c>
      <c r="ET52">
        <f t="shared" si="240"/>
        <v>0</v>
      </c>
      <c r="EU52">
        <f t="shared" si="240"/>
        <v>0</v>
      </c>
      <c r="EV52">
        <f t="shared" si="240"/>
        <v>0</v>
      </c>
      <c r="EW52">
        <f t="shared" si="240"/>
        <v>0</v>
      </c>
      <c r="EX52">
        <f t="shared" si="240"/>
        <v>0</v>
      </c>
      <c r="EY52">
        <f t="shared" si="240"/>
        <v>0</v>
      </c>
      <c r="EZ52">
        <f t="shared" si="240"/>
        <v>0</v>
      </c>
      <c r="FA52">
        <f t="shared" si="240"/>
        <v>0</v>
      </c>
      <c r="FB52">
        <f t="shared" si="240"/>
        <v>0</v>
      </c>
      <c r="FC52">
        <f t="shared" si="240"/>
        <v>0</v>
      </c>
      <c r="FD52">
        <f t="shared" si="240"/>
        <v>0</v>
      </c>
      <c r="FE52">
        <f t="shared" si="240"/>
        <v>0</v>
      </c>
      <c r="FF52">
        <f t="shared" si="240"/>
        <v>0</v>
      </c>
      <c r="FG52">
        <f t="shared" si="240"/>
        <v>0</v>
      </c>
      <c r="FH52">
        <f t="shared" si="240"/>
        <v>0</v>
      </c>
      <c r="FI52">
        <f t="shared" si="240"/>
        <v>0</v>
      </c>
      <c r="FJ52">
        <f t="shared" si="240"/>
        <v>0</v>
      </c>
      <c r="FK52">
        <f t="shared" si="240"/>
        <v>0</v>
      </c>
      <c r="FL52">
        <f t="shared" si="240"/>
        <v>0</v>
      </c>
      <c r="FM52">
        <f t="shared" si="240"/>
        <v>0</v>
      </c>
      <c r="FN52" s="1">
        <f t="shared" si="240"/>
        <v>0</v>
      </c>
      <c r="FO52" s="1">
        <f t="shared" si="240"/>
        <v>0</v>
      </c>
      <c r="FP52" s="1">
        <f t="shared" si="240"/>
        <v>0</v>
      </c>
      <c r="FQ52" s="1">
        <f t="shared" si="240"/>
        <v>0</v>
      </c>
      <c r="FR52" s="1">
        <f t="shared" si="240"/>
        <v>0</v>
      </c>
      <c r="FS52" s="1">
        <f t="shared" si="240"/>
        <v>0</v>
      </c>
      <c r="FT52" s="1">
        <f t="shared" si="240"/>
        <v>0</v>
      </c>
      <c r="FU52" s="1">
        <f t="shared" si="240"/>
        <v>0</v>
      </c>
      <c r="FV52" s="1">
        <f t="shared" si="240"/>
        <v>0</v>
      </c>
      <c r="FW52" s="1">
        <f t="shared" si="240"/>
        <v>0</v>
      </c>
      <c r="FX52" s="1">
        <f t="shared" si="240"/>
        <v>0</v>
      </c>
      <c r="FY52" s="1">
        <f t="shared" si="240"/>
        <v>0</v>
      </c>
      <c r="FZ52" s="1">
        <f t="shared" si="240"/>
        <v>0</v>
      </c>
      <c r="GA52" s="1">
        <f t="shared" si="240"/>
        <v>0</v>
      </c>
      <c r="GB52" s="1">
        <f t="shared" si="240"/>
        <v>0</v>
      </c>
      <c r="GC52" s="1">
        <f t="shared" si="240"/>
        <v>0</v>
      </c>
      <c r="GD52" s="1">
        <f t="shared" si="240"/>
        <v>0</v>
      </c>
      <c r="GE52" s="1">
        <f t="shared" si="240"/>
        <v>0</v>
      </c>
      <c r="GF52" s="1">
        <f t="shared" si="240"/>
        <v>0</v>
      </c>
      <c r="GG52" s="1">
        <f t="shared" si="240"/>
        <v>0</v>
      </c>
      <c r="GH52" s="1">
        <f t="shared" si="240"/>
        <v>0</v>
      </c>
      <c r="GI52" s="1">
        <f t="shared" si="240"/>
        <v>0</v>
      </c>
      <c r="GJ52" s="1">
        <f t="shared" si="240"/>
        <v>0</v>
      </c>
      <c r="GK52" s="1">
        <f t="shared" si="240"/>
        <v>0</v>
      </c>
      <c r="GL52" s="1">
        <f t="shared" si="240"/>
        <v>0</v>
      </c>
      <c r="GM52" s="1">
        <f t="shared" ref="GM52:IX52" si="241">GM36</f>
        <v>0</v>
      </c>
      <c r="GN52" s="1">
        <f t="shared" si="241"/>
        <v>0</v>
      </c>
      <c r="GO52" s="1">
        <f t="shared" si="241"/>
        <v>0</v>
      </c>
      <c r="GP52" s="1">
        <f t="shared" si="241"/>
        <v>0</v>
      </c>
      <c r="GQ52" s="1">
        <f t="shared" si="241"/>
        <v>0</v>
      </c>
      <c r="GR52" s="1">
        <f t="shared" si="241"/>
        <v>0</v>
      </c>
      <c r="GS52" s="1">
        <f t="shared" si="241"/>
        <v>0</v>
      </c>
      <c r="GT52" s="1">
        <f t="shared" si="241"/>
        <v>0</v>
      </c>
      <c r="GU52" s="1">
        <f t="shared" si="241"/>
        <v>0</v>
      </c>
      <c r="GV52" s="1">
        <f t="shared" si="241"/>
        <v>0</v>
      </c>
      <c r="GW52" s="1">
        <f t="shared" si="241"/>
        <v>0</v>
      </c>
      <c r="GX52" s="1">
        <f t="shared" si="241"/>
        <v>0</v>
      </c>
      <c r="GY52" s="1">
        <f t="shared" si="241"/>
        <v>0</v>
      </c>
      <c r="GZ52" s="1">
        <f t="shared" si="241"/>
        <v>0</v>
      </c>
      <c r="HA52" s="1">
        <f t="shared" si="241"/>
        <v>0</v>
      </c>
      <c r="HB52" s="1">
        <f t="shared" si="241"/>
        <v>0</v>
      </c>
      <c r="HC52" s="1">
        <f t="shared" si="241"/>
        <v>0</v>
      </c>
      <c r="HD52" s="1">
        <f t="shared" si="241"/>
        <v>0</v>
      </c>
      <c r="HE52" s="1">
        <f t="shared" si="241"/>
        <v>0</v>
      </c>
      <c r="HF52" s="1">
        <f t="shared" si="241"/>
        <v>0</v>
      </c>
      <c r="HG52" s="1">
        <f t="shared" si="241"/>
        <v>0</v>
      </c>
      <c r="HH52" s="1">
        <f t="shared" si="241"/>
        <v>0</v>
      </c>
      <c r="HI52" s="1">
        <f t="shared" si="241"/>
        <v>0</v>
      </c>
      <c r="HJ52" s="1">
        <f t="shared" si="241"/>
        <v>0</v>
      </c>
      <c r="HK52" s="1">
        <f t="shared" si="241"/>
        <v>0</v>
      </c>
      <c r="HL52" s="1">
        <f t="shared" si="241"/>
        <v>0</v>
      </c>
      <c r="HM52" s="1">
        <f t="shared" si="241"/>
        <v>0</v>
      </c>
      <c r="HN52" s="1">
        <f t="shared" si="241"/>
        <v>0</v>
      </c>
      <c r="HO52" s="1">
        <f t="shared" si="241"/>
        <v>0</v>
      </c>
      <c r="HP52" s="1">
        <f t="shared" si="241"/>
        <v>0</v>
      </c>
      <c r="HQ52" s="1">
        <f t="shared" si="241"/>
        <v>0</v>
      </c>
      <c r="HR52" s="1">
        <f t="shared" si="241"/>
        <v>0</v>
      </c>
      <c r="HS52" s="1">
        <f t="shared" si="241"/>
        <v>0</v>
      </c>
      <c r="HT52" s="1">
        <f t="shared" si="241"/>
        <v>0</v>
      </c>
      <c r="HU52" s="1">
        <f t="shared" si="241"/>
        <v>0</v>
      </c>
      <c r="HV52" s="1">
        <f t="shared" si="241"/>
        <v>0</v>
      </c>
      <c r="HW52" s="1">
        <f t="shared" si="241"/>
        <v>0</v>
      </c>
      <c r="HX52" s="1">
        <f t="shared" si="241"/>
        <v>0</v>
      </c>
      <c r="HY52" s="1">
        <f t="shared" si="241"/>
        <v>0</v>
      </c>
      <c r="HZ52" s="1">
        <f t="shared" si="241"/>
        <v>0</v>
      </c>
      <c r="IA52" s="1">
        <f t="shared" si="241"/>
        <v>0</v>
      </c>
      <c r="IB52" s="1">
        <f t="shared" si="241"/>
        <v>0</v>
      </c>
      <c r="IC52" s="1">
        <f t="shared" si="241"/>
        <v>0</v>
      </c>
      <c r="ID52" s="1">
        <f t="shared" si="241"/>
        <v>0</v>
      </c>
      <c r="IE52" s="1">
        <f t="shared" si="241"/>
        <v>0</v>
      </c>
      <c r="IF52" s="1">
        <f t="shared" si="241"/>
        <v>0</v>
      </c>
      <c r="IG52" s="1">
        <f t="shared" si="241"/>
        <v>0</v>
      </c>
      <c r="IH52" s="1">
        <f t="shared" si="241"/>
        <v>0</v>
      </c>
      <c r="II52" s="1">
        <f t="shared" si="241"/>
        <v>0</v>
      </c>
      <c r="IJ52" s="1">
        <f t="shared" si="241"/>
        <v>0</v>
      </c>
      <c r="IK52" s="1">
        <f t="shared" si="241"/>
        <v>0</v>
      </c>
      <c r="IL52" s="1">
        <f t="shared" si="241"/>
        <v>0</v>
      </c>
      <c r="IM52" s="1">
        <f t="shared" si="241"/>
        <v>0</v>
      </c>
      <c r="IN52" s="1">
        <f t="shared" si="241"/>
        <v>0</v>
      </c>
      <c r="IO52" s="1">
        <f t="shared" si="241"/>
        <v>0</v>
      </c>
      <c r="IP52" s="1">
        <f t="shared" si="241"/>
        <v>0</v>
      </c>
      <c r="IQ52" s="1">
        <f t="shared" si="241"/>
        <v>0</v>
      </c>
      <c r="IR52" s="1">
        <f t="shared" si="241"/>
        <v>0</v>
      </c>
      <c r="IS52" s="1">
        <f t="shared" si="241"/>
        <v>0</v>
      </c>
      <c r="IT52" s="1">
        <f t="shared" si="241"/>
        <v>0</v>
      </c>
      <c r="IU52" s="1">
        <f t="shared" si="241"/>
        <v>0</v>
      </c>
      <c r="IV52" s="1">
        <f t="shared" si="241"/>
        <v>0</v>
      </c>
      <c r="IW52" s="1">
        <f t="shared" si="241"/>
        <v>0</v>
      </c>
      <c r="IX52" s="1">
        <f t="shared" si="241"/>
        <v>0</v>
      </c>
      <c r="IY52" s="1">
        <f t="shared" ref="IY52:LJ52" si="242">IY36</f>
        <v>0</v>
      </c>
      <c r="IZ52" s="1">
        <f t="shared" si="242"/>
        <v>0</v>
      </c>
      <c r="JA52" s="1">
        <f t="shared" si="242"/>
        <v>0</v>
      </c>
      <c r="JB52" s="1">
        <f t="shared" si="242"/>
        <v>0</v>
      </c>
      <c r="JC52" s="1">
        <f t="shared" si="242"/>
        <v>0</v>
      </c>
      <c r="JD52" s="1">
        <f t="shared" si="242"/>
        <v>0</v>
      </c>
      <c r="JE52" s="1">
        <f t="shared" si="242"/>
        <v>0</v>
      </c>
      <c r="JF52" s="1">
        <f t="shared" si="242"/>
        <v>0</v>
      </c>
      <c r="JG52" s="1">
        <f t="shared" si="242"/>
        <v>0</v>
      </c>
      <c r="JH52" s="1">
        <f t="shared" si="242"/>
        <v>0</v>
      </c>
      <c r="JI52" s="1">
        <f t="shared" si="242"/>
        <v>0</v>
      </c>
      <c r="JJ52" s="1">
        <f t="shared" si="242"/>
        <v>0</v>
      </c>
      <c r="JK52" s="1">
        <f t="shared" si="242"/>
        <v>0</v>
      </c>
      <c r="JL52" s="1">
        <f t="shared" si="242"/>
        <v>0</v>
      </c>
      <c r="JM52" s="1">
        <f t="shared" si="242"/>
        <v>0</v>
      </c>
      <c r="JN52" s="1">
        <f t="shared" si="242"/>
        <v>0</v>
      </c>
      <c r="JO52" s="1">
        <f t="shared" si="242"/>
        <v>0</v>
      </c>
      <c r="JP52" s="1">
        <f t="shared" si="242"/>
        <v>0</v>
      </c>
      <c r="JQ52" s="1">
        <f t="shared" si="242"/>
        <v>0</v>
      </c>
      <c r="JR52" s="1">
        <f t="shared" si="242"/>
        <v>0</v>
      </c>
      <c r="JS52" s="1">
        <f t="shared" si="242"/>
        <v>0</v>
      </c>
      <c r="JT52" s="1">
        <f t="shared" si="242"/>
        <v>0</v>
      </c>
      <c r="JU52" s="1">
        <f t="shared" si="242"/>
        <v>0</v>
      </c>
      <c r="JV52" s="1">
        <f t="shared" si="242"/>
        <v>0</v>
      </c>
      <c r="JW52" s="1">
        <f t="shared" si="242"/>
        <v>0</v>
      </c>
      <c r="JX52" s="1">
        <f t="shared" si="242"/>
        <v>0</v>
      </c>
      <c r="JY52" s="1">
        <f t="shared" si="242"/>
        <v>0</v>
      </c>
      <c r="JZ52" s="1">
        <f t="shared" si="242"/>
        <v>0</v>
      </c>
      <c r="KA52" s="1">
        <f t="shared" si="242"/>
        <v>0</v>
      </c>
      <c r="KB52" s="1">
        <f t="shared" si="242"/>
        <v>0</v>
      </c>
      <c r="KC52" s="1">
        <f t="shared" si="242"/>
        <v>0</v>
      </c>
      <c r="KD52" s="1">
        <f t="shared" si="242"/>
        <v>0</v>
      </c>
      <c r="KE52" s="1">
        <f t="shared" si="242"/>
        <v>0</v>
      </c>
      <c r="KF52" s="1">
        <f t="shared" si="242"/>
        <v>0</v>
      </c>
      <c r="KG52" s="1">
        <f t="shared" si="242"/>
        <v>0</v>
      </c>
      <c r="KH52" s="1">
        <f t="shared" si="242"/>
        <v>0</v>
      </c>
      <c r="KI52" s="1">
        <f t="shared" si="242"/>
        <v>0</v>
      </c>
      <c r="KJ52" s="1">
        <f t="shared" si="242"/>
        <v>0</v>
      </c>
      <c r="KK52" s="1">
        <f t="shared" si="242"/>
        <v>0</v>
      </c>
      <c r="KL52" s="1">
        <f t="shared" si="242"/>
        <v>0</v>
      </c>
      <c r="KM52" s="1">
        <f t="shared" si="242"/>
        <v>0</v>
      </c>
      <c r="KN52" s="1">
        <f t="shared" si="242"/>
        <v>0</v>
      </c>
      <c r="KO52" s="1">
        <f t="shared" si="242"/>
        <v>0</v>
      </c>
      <c r="KP52" s="1">
        <f t="shared" si="242"/>
        <v>0</v>
      </c>
      <c r="KQ52" s="1">
        <f t="shared" si="242"/>
        <v>0</v>
      </c>
      <c r="KR52" s="1">
        <f t="shared" si="242"/>
        <v>0</v>
      </c>
      <c r="KS52" s="1">
        <f t="shared" si="242"/>
        <v>0</v>
      </c>
      <c r="KT52" s="1">
        <f t="shared" si="242"/>
        <v>0</v>
      </c>
      <c r="KU52" s="1">
        <f t="shared" si="242"/>
        <v>0</v>
      </c>
      <c r="KV52" s="1">
        <f t="shared" si="242"/>
        <v>0</v>
      </c>
      <c r="KW52" s="1">
        <f t="shared" si="242"/>
        <v>0</v>
      </c>
      <c r="KX52" s="1">
        <f t="shared" si="242"/>
        <v>0</v>
      </c>
      <c r="KY52" s="1">
        <f t="shared" si="242"/>
        <v>0</v>
      </c>
      <c r="KZ52" s="1">
        <f t="shared" si="242"/>
        <v>0</v>
      </c>
      <c r="LA52" s="1">
        <f t="shared" si="242"/>
        <v>0</v>
      </c>
      <c r="LB52" s="1">
        <f t="shared" si="242"/>
        <v>0</v>
      </c>
      <c r="LC52" s="1">
        <f t="shared" si="242"/>
        <v>0</v>
      </c>
      <c r="LD52" s="1">
        <f t="shared" si="242"/>
        <v>0</v>
      </c>
      <c r="LE52" s="1">
        <f t="shared" si="242"/>
        <v>0</v>
      </c>
      <c r="LF52" s="1">
        <f t="shared" si="242"/>
        <v>0</v>
      </c>
      <c r="LG52" s="1">
        <f t="shared" si="242"/>
        <v>0</v>
      </c>
      <c r="LH52" s="1">
        <f t="shared" si="242"/>
        <v>0</v>
      </c>
      <c r="LI52" s="1">
        <f t="shared" si="242"/>
        <v>0</v>
      </c>
      <c r="LJ52" s="1">
        <f t="shared" si="242"/>
        <v>0</v>
      </c>
      <c r="LK52" s="1">
        <f t="shared" ref="LK52:NV52" si="243">LK36</f>
        <v>0</v>
      </c>
      <c r="LL52" s="1">
        <f t="shared" si="243"/>
        <v>0</v>
      </c>
      <c r="LM52" s="1">
        <f t="shared" si="243"/>
        <v>0</v>
      </c>
      <c r="LN52" s="1">
        <f t="shared" si="243"/>
        <v>0</v>
      </c>
      <c r="LO52" s="1">
        <f t="shared" si="243"/>
        <v>0</v>
      </c>
      <c r="LP52" s="1">
        <f t="shared" si="243"/>
        <v>0</v>
      </c>
      <c r="LQ52" s="1">
        <f t="shared" si="243"/>
        <v>0</v>
      </c>
      <c r="LR52" s="1">
        <f t="shared" si="243"/>
        <v>0</v>
      </c>
      <c r="LS52" s="1">
        <f t="shared" si="243"/>
        <v>0</v>
      </c>
      <c r="LT52" s="1">
        <f t="shared" si="243"/>
        <v>0</v>
      </c>
      <c r="LU52" s="1">
        <f t="shared" si="243"/>
        <v>0</v>
      </c>
      <c r="LV52" s="1">
        <f t="shared" si="243"/>
        <v>0</v>
      </c>
      <c r="LW52" s="1">
        <f t="shared" si="243"/>
        <v>0</v>
      </c>
      <c r="LX52" s="1">
        <f t="shared" si="243"/>
        <v>0</v>
      </c>
      <c r="LY52" s="1">
        <f t="shared" si="243"/>
        <v>0</v>
      </c>
      <c r="LZ52" s="1">
        <f t="shared" si="243"/>
        <v>0</v>
      </c>
      <c r="MA52" s="1">
        <f t="shared" si="243"/>
        <v>0</v>
      </c>
      <c r="MB52" s="1">
        <f t="shared" si="243"/>
        <v>0</v>
      </c>
      <c r="MC52" s="1">
        <f t="shared" si="243"/>
        <v>0</v>
      </c>
      <c r="MD52" s="1">
        <f t="shared" si="243"/>
        <v>0</v>
      </c>
      <c r="ME52" s="1">
        <f t="shared" si="243"/>
        <v>0</v>
      </c>
      <c r="MF52" s="1">
        <f t="shared" si="243"/>
        <v>0</v>
      </c>
      <c r="MG52" s="1">
        <f t="shared" si="243"/>
        <v>0</v>
      </c>
      <c r="MH52" s="1">
        <f t="shared" si="243"/>
        <v>0</v>
      </c>
      <c r="MI52" s="1">
        <f t="shared" si="243"/>
        <v>0</v>
      </c>
      <c r="MJ52" s="1">
        <f t="shared" si="243"/>
        <v>0</v>
      </c>
      <c r="MK52" s="1">
        <f t="shared" si="243"/>
        <v>0</v>
      </c>
      <c r="ML52" s="1">
        <f t="shared" si="243"/>
        <v>0</v>
      </c>
      <c r="MM52" s="1">
        <f t="shared" si="243"/>
        <v>0</v>
      </c>
      <c r="MN52" s="1">
        <f t="shared" si="243"/>
        <v>0</v>
      </c>
      <c r="MO52" s="1">
        <f t="shared" si="243"/>
        <v>0</v>
      </c>
      <c r="MP52" s="1">
        <f t="shared" si="243"/>
        <v>0</v>
      </c>
      <c r="MQ52" s="1">
        <f t="shared" si="243"/>
        <v>0</v>
      </c>
      <c r="MR52" s="1">
        <f t="shared" si="243"/>
        <v>0</v>
      </c>
      <c r="MS52" s="1">
        <f t="shared" si="243"/>
        <v>0</v>
      </c>
      <c r="MT52" s="1">
        <f t="shared" si="243"/>
        <v>0</v>
      </c>
      <c r="MU52" s="1">
        <f t="shared" si="243"/>
        <v>0</v>
      </c>
      <c r="MV52" s="1">
        <f t="shared" si="243"/>
        <v>0</v>
      </c>
      <c r="MW52" s="1">
        <f t="shared" si="243"/>
        <v>0</v>
      </c>
      <c r="MX52" s="1">
        <f t="shared" si="243"/>
        <v>0</v>
      </c>
      <c r="MY52" s="1">
        <f t="shared" si="243"/>
        <v>0</v>
      </c>
      <c r="MZ52" s="1">
        <f t="shared" si="243"/>
        <v>0</v>
      </c>
      <c r="NA52" s="1">
        <f t="shared" si="243"/>
        <v>0</v>
      </c>
      <c r="NB52" s="1">
        <f t="shared" si="243"/>
        <v>0</v>
      </c>
      <c r="NC52" s="1">
        <f t="shared" si="243"/>
        <v>0</v>
      </c>
      <c r="ND52" s="1">
        <f t="shared" si="243"/>
        <v>0</v>
      </c>
      <c r="NE52" s="1">
        <f t="shared" si="243"/>
        <v>0</v>
      </c>
      <c r="NF52" s="1">
        <f t="shared" si="243"/>
        <v>0</v>
      </c>
      <c r="NG52" s="1">
        <f t="shared" si="243"/>
        <v>0</v>
      </c>
      <c r="NH52" s="1">
        <f t="shared" si="243"/>
        <v>0</v>
      </c>
      <c r="NI52" s="1">
        <f t="shared" si="243"/>
        <v>0</v>
      </c>
      <c r="NJ52" s="1">
        <f t="shared" si="243"/>
        <v>0</v>
      </c>
      <c r="NK52" s="1">
        <f t="shared" si="243"/>
        <v>0</v>
      </c>
      <c r="NL52" s="1">
        <f t="shared" si="243"/>
        <v>0</v>
      </c>
      <c r="NM52" s="1">
        <f t="shared" si="243"/>
        <v>0</v>
      </c>
      <c r="NN52" s="1">
        <f t="shared" si="243"/>
        <v>0</v>
      </c>
      <c r="NO52" s="1">
        <f t="shared" si="243"/>
        <v>0</v>
      </c>
      <c r="NP52" s="1">
        <f t="shared" si="243"/>
        <v>0</v>
      </c>
      <c r="NQ52" s="1">
        <f t="shared" si="243"/>
        <v>0</v>
      </c>
      <c r="NR52" s="1">
        <f t="shared" si="243"/>
        <v>0</v>
      </c>
      <c r="NS52" s="1">
        <f t="shared" si="243"/>
        <v>0</v>
      </c>
      <c r="NT52" s="1">
        <f t="shared" si="243"/>
        <v>0</v>
      </c>
      <c r="NU52" s="1">
        <f t="shared" si="243"/>
        <v>0</v>
      </c>
      <c r="NV52" s="1">
        <f t="shared" si="243"/>
        <v>0</v>
      </c>
      <c r="NW52" s="1">
        <f t="shared" ref="NW52:QH52" si="244">NW36</f>
        <v>0</v>
      </c>
      <c r="NX52" s="1">
        <f t="shared" si="244"/>
        <v>0</v>
      </c>
      <c r="NY52" s="1">
        <f t="shared" si="244"/>
        <v>0</v>
      </c>
      <c r="NZ52" s="1">
        <f t="shared" si="244"/>
        <v>0</v>
      </c>
      <c r="OA52" s="1">
        <f t="shared" si="244"/>
        <v>0</v>
      </c>
      <c r="OB52" s="1">
        <f t="shared" si="244"/>
        <v>0</v>
      </c>
      <c r="OC52" s="1">
        <f t="shared" si="244"/>
        <v>0</v>
      </c>
      <c r="OD52" s="1">
        <f t="shared" si="244"/>
        <v>0</v>
      </c>
      <c r="OE52" s="1">
        <f t="shared" si="244"/>
        <v>0</v>
      </c>
      <c r="OF52" s="1">
        <f t="shared" si="244"/>
        <v>0</v>
      </c>
      <c r="OG52" s="1">
        <f t="shared" si="244"/>
        <v>0</v>
      </c>
      <c r="OH52" s="1">
        <f t="shared" si="244"/>
        <v>0</v>
      </c>
      <c r="OI52" s="1">
        <f t="shared" si="244"/>
        <v>0</v>
      </c>
      <c r="OJ52" s="1">
        <f t="shared" si="244"/>
        <v>0</v>
      </c>
      <c r="OK52" s="1">
        <f t="shared" si="244"/>
        <v>0</v>
      </c>
      <c r="OL52" s="1">
        <f t="shared" si="244"/>
        <v>0</v>
      </c>
      <c r="OM52" s="1">
        <f t="shared" si="244"/>
        <v>0</v>
      </c>
      <c r="ON52" s="1">
        <f t="shared" si="244"/>
        <v>0</v>
      </c>
      <c r="OO52" s="1">
        <f t="shared" si="244"/>
        <v>0</v>
      </c>
      <c r="OP52" s="1">
        <f t="shared" si="244"/>
        <v>0</v>
      </c>
      <c r="OQ52" s="1">
        <f t="shared" si="244"/>
        <v>0</v>
      </c>
      <c r="OR52" s="1">
        <f t="shared" si="244"/>
        <v>0</v>
      </c>
      <c r="OS52" s="1">
        <f t="shared" si="244"/>
        <v>0</v>
      </c>
      <c r="OT52" s="1">
        <f t="shared" si="244"/>
        <v>0</v>
      </c>
      <c r="OU52" s="1">
        <f t="shared" si="244"/>
        <v>0</v>
      </c>
      <c r="OV52" s="1">
        <f t="shared" si="244"/>
        <v>0</v>
      </c>
      <c r="OW52" s="1">
        <f t="shared" si="244"/>
        <v>0</v>
      </c>
      <c r="OX52" s="1">
        <f t="shared" si="244"/>
        <v>0</v>
      </c>
      <c r="OY52" s="1">
        <f t="shared" si="244"/>
        <v>0</v>
      </c>
      <c r="OZ52" s="1">
        <f t="shared" si="244"/>
        <v>0</v>
      </c>
      <c r="PA52" s="1">
        <f t="shared" si="244"/>
        <v>0</v>
      </c>
      <c r="PB52" s="1">
        <f t="shared" si="244"/>
        <v>0</v>
      </c>
      <c r="PC52" s="1">
        <f t="shared" si="244"/>
        <v>0</v>
      </c>
      <c r="PD52" s="1">
        <f t="shared" si="244"/>
        <v>0</v>
      </c>
      <c r="PE52" s="1">
        <f t="shared" si="244"/>
        <v>0</v>
      </c>
      <c r="PF52" s="1">
        <f t="shared" si="244"/>
        <v>0</v>
      </c>
      <c r="PG52" s="1">
        <f t="shared" si="244"/>
        <v>0</v>
      </c>
      <c r="PH52" s="1">
        <f t="shared" si="244"/>
        <v>0</v>
      </c>
      <c r="PI52" s="1">
        <f t="shared" si="244"/>
        <v>0</v>
      </c>
      <c r="PJ52" s="1">
        <f t="shared" si="244"/>
        <v>0</v>
      </c>
      <c r="PK52" s="1">
        <f t="shared" si="244"/>
        <v>0</v>
      </c>
      <c r="PL52" s="1">
        <f t="shared" si="244"/>
        <v>0</v>
      </c>
      <c r="PM52" s="1">
        <f t="shared" si="244"/>
        <v>0</v>
      </c>
      <c r="PN52" s="1">
        <f t="shared" si="244"/>
        <v>0</v>
      </c>
      <c r="PO52" s="1">
        <f t="shared" si="244"/>
        <v>0</v>
      </c>
      <c r="PP52" s="1">
        <f t="shared" si="244"/>
        <v>0</v>
      </c>
      <c r="PQ52" s="1">
        <f t="shared" si="244"/>
        <v>0</v>
      </c>
      <c r="PR52" s="1">
        <f t="shared" si="244"/>
        <v>0</v>
      </c>
      <c r="PS52" s="1">
        <f t="shared" si="244"/>
        <v>0</v>
      </c>
      <c r="PT52" s="1">
        <f t="shared" si="244"/>
        <v>0</v>
      </c>
      <c r="PU52" s="1">
        <f t="shared" si="244"/>
        <v>0</v>
      </c>
      <c r="PV52" s="1">
        <f t="shared" si="244"/>
        <v>0</v>
      </c>
      <c r="PW52" s="1">
        <f t="shared" si="244"/>
        <v>0</v>
      </c>
      <c r="PX52" s="1">
        <f t="shared" si="244"/>
        <v>0</v>
      </c>
      <c r="PY52" s="1">
        <f t="shared" si="244"/>
        <v>0</v>
      </c>
      <c r="PZ52" s="1">
        <f t="shared" si="244"/>
        <v>0</v>
      </c>
      <c r="QA52" s="1">
        <f t="shared" si="244"/>
        <v>0</v>
      </c>
      <c r="QB52" s="1">
        <f t="shared" si="244"/>
        <v>0</v>
      </c>
      <c r="QC52" s="1">
        <f t="shared" si="244"/>
        <v>0</v>
      </c>
      <c r="QD52" s="1">
        <f t="shared" si="244"/>
        <v>0</v>
      </c>
      <c r="QE52" s="1">
        <f t="shared" si="244"/>
        <v>0</v>
      </c>
      <c r="QF52" s="1">
        <f t="shared" si="244"/>
        <v>0</v>
      </c>
      <c r="QG52" s="1">
        <f t="shared" si="244"/>
        <v>0</v>
      </c>
      <c r="QH52" s="1">
        <f t="shared" si="244"/>
        <v>0</v>
      </c>
      <c r="QI52" s="1">
        <f t="shared" ref="QI52:SG52" si="245">QI36</f>
        <v>0</v>
      </c>
      <c r="QJ52" s="1">
        <f t="shared" si="245"/>
        <v>0</v>
      </c>
      <c r="QK52" s="1">
        <f t="shared" si="245"/>
        <v>0</v>
      </c>
      <c r="QL52" s="1">
        <f t="shared" si="245"/>
        <v>0</v>
      </c>
      <c r="QM52" s="1">
        <f t="shared" si="245"/>
        <v>0</v>
      </c>
      <c r="QN52" s="1">
        <f t="shared" si="245"/>
        <v>0</v>
      </c>
      <c r="QO52" s="1">
        <f t="shared" si="245"/>
        <v>0</v>
      </c>
      <c r="QP52" s="1">
        <f t="shared" si="245"/>
        <v>0</v>
      </c>
      <c r="QQ52" s="1">
        <f t="shared" si="245"/>
        <v>0</v>
      </c>
      <c r="QR52" s="1">
        <f t="shared" si="245"/>
        <v>0</v>
      </c>
      <c r="QS52" s="1">
        <f t="shared" si="245"/>
        <v>0</v>
      </c>
      <c r="QT52" s="1">
        <f t="shared" si="245"/>
        <v>0</v>
      </c>
      <c r="QU52" s="1">
        <f t="shared" si="245"/>
        <v>0</v>
      </c>
      <c r="QV52" s="1">
        <f t="shared" si="245"/>
        <v>0</v>
      </c>
      <c r="QW52" s="1">
        <f t="shared" si="245"/>
        <v>0</v>
      </c>
      <c r="QX52" s="1">
        <f t="shared" si="245"/>
        <v>0</v>
      </c>
      <c r="QY52" s="1">
        <f t="shared" si="245"/>
        <v>0</v>
      </c>
      <c r="QZ52" s="1">
        <f t="shared" si="245"/>
        <v>0</v>
      </c>
      <c r="RA52" s="1">
        <f t="shared" si="245"/>
        <v>0</v>
      </c>
      <c r="RB52" s="1">
        <f t="shared" si="245"/>
        <v>0</v>
      </c>
      <c r="RC52" s="1">
        <f t="shared" si="245"/>
        <v>0</v>
      </c>
      <c r="RD52" s="1">
        <f t="shared" si="245"/>
        <v>0</v>
      </c>
      <c r="RE52" s="1">
        <f t="shared" si="245"/>
        <v>0</v>
      </c>
      <c r="RF52" s="1">
        <f t="shared" si="245"/>
        <v>0</v>
      </c>
      <c r="RG52" s="1">
        <f t="shared" si="245"/>
        <v>0</v>
      </c>
      <c r="RH52" s="1">
        <f t="shared" si="245"/>
        <v>0</v>
      </c>
      <c r="RI52" s="1">
        <f t="shared" si="245"/>
        <v>0</v>
      </c>
      <c r="RJ52" s="1">
        <f t="shared" si="245"/>
        <v>0</v>
      </c>
      <c r="RK52" s="1">
        <f t="shared" si="245"/>
        <v>0</v>
      </c>
      <c r="RL52" s="1">
        <f t="shared" si="245"/>
        <v>0</v>
      </c>
      <c r="RM52" s="1">
        <f t="shared" si="245"/>
        <v>0</v>
      </c>
      <c r="RN52" s="1">
        <f t="shared" si="245"/>
        <v>0</v>
      </c>
      <c r="RO52" s="1">
        <f t="shared" si="245"/>
        <v>0</v>
      </c>
      <c r="RP52" s="1">
        <f t="shared" si="245"/>
        <v>0</v>
      </c>
      <c r="RQ52" s="1">
        <f t="shared" si="245"/>
        <v>0</v>
      </c>
      <c r="RR52" s="1">
        <f t="shared" si="245"/>
        <v>0</v>
      </c>
      <c r="RS52" s="1">
        <f t="shared" si="245"/>
        <v>0</v>
      </c>
      <c r="RT52" s="1">
        <f t="shared" si="245"/>
        <v>0</v>
      </c>
      <c r="RU52" s="1">
        <f t="shared" si="245"/>
        <v>0</v>
      </c>
      <c r="RV52" s="1">
        <f t="shared" si="245"/>
        <v>0</v>
      </c>
      <c r="RW52" s="1">
        <f t="shared" si="245"/>
        <v>0</v>
      </c>
      <c r="RX52" s="1">
        <f t="shared" si="245"/>
        <v>0</v>
      </c>
      <c r="RY52" s="1">
        <f t="shared" si="245"/>
        <v>0</v>
      </c>
      <c r="RZ52" s="1">
        <f t="shared" si="245"/>
        <v>0</v>
      </c>
      <c r="SA52" s="1">
        <f t="shared" si="245"/>
        <v>0</v>
      </c>
      <c r="SB52" s="1">
        <f t="shared" si="245"/>
        <v>0</v>
      </c>
      <c r="SC52" s="1">
        <f t="shared" si="245"/>
        <v>0</v>
      </c>
      <c r="SD52" s="1">
        <f t="shared" si="245"/>
        <v>0</v>
      </c>
      <c r="SE52" s="1">
        <f t="shared" si="245"/>
        <v>0</v>
      </c>
      <c r="SF52" s="1">
        <f t="shared" si="245"/>
        <v>0</v>
      </c>
      <c r="SG52" s="1">
        <f t="shared" si="245"/>
        <v>0</v>
      </c>
      <c r="SH52" s="1">
        <f t="shared" ref="SH52:US52" si="246">SH36</f>
        <v>0</v>
      </c>
      <c r="SI52" s="1">
        <f t="shared" si="246"/>
        <v>0</v>
      </c>
      <c r="SJ52" s="1">
        <f t="shared" si="246"/>
        <v>0</v>
      </c>
      <c r="SK52" s="1">
        <f t="shared" si="246"/>
        <v>0</v>
      </c>
      <c r="SL52" s="1">
        <f t="shared" si="246"/>
        <v>0</v>
      </c>
      <c r="SM52" s="1">
        <f t="shared" si="246"/>
        <v>0</v>
      </c>
      <c r="SN52" s="1">
        <f t="shared" si="246"/>
        <v>0</v>
      </c>
      <c r="SO52" s="1">
        <f t="shared" si="246"/>
        <v>0</v>
      </c>
      <c r="SP52" s="1">
        <f t="shared" si="246"/>
        <v>0</v>
      </c>
      <c r="SQ52" s="1">
        <f t="shared" si="246"/>
        <v>0</v>
      </c>
      <c r="SR52" s="1">
        <f t="shared" si="246"/>
        <v>0</v>
      </c>
      <c r="SS52" s="1">
        <f t="shared" si="246"/>
        <v>0</v>
      </c>
      <c r="ST52" s="1">
        <f t="shared" si="246"/>
        <v>0</v>
      </c>
      <c r="SU52" s="1">
        <f t="shared" si="246"/>
        <v>0</v>
      </c>
      <c r="SV52" s="1">
        <f t="shared" si="246"/>
        <v>0</v>
      </c>
      <c r="SW52" s="1">
        <f t="shared" si="246"/>
        <v>0</v>
      </c>
      <c r="SX52" s="1">
        <f t="shared" si="246"/>
        <v>0</v>
      </c>
      <c r="SY52" s="1">
        <f t="shared" si="246"/>
        <v>0</v>
      </c>
      <c r="SZ52" s="1">
        <f t="shared" si="246"/>
        <v>0</v>
      </c>
      <c r="TA52" s="1">
        <f t="shared" si="246"/>
        <v>0</v>
      </c>
      <c r="TB52" s="1">
        <f t="shared" si="246"/>
        <v>0</v>
      </c>
      <c r="TC52" s="1">
        <f t="shared" si="246"/>
        <v>0</v>
      </c>
      <c r="TD52" s="1">
        <f t="shared" si="246"/>
        <v>0</v>
      </c>
      <c r="TE52" s="1">
        <f t="shared" si="246"/>
        <v>0</v>
      </c>
      <c r="TF52" s="1">
        <f t="shared" si="246"/>
        <v>0</v>
      </c>
      <c r="TG52" s="1">
        <f t="shared" si="246"/>
        <v>0</v>
      </c>
      <c r="TH52" s="1">
        <f t="shared" si="246"/>
        <v>0</v>
      </c>
      <c r="TI52" s="1">
        <f t="shared" si="246"/>
        <v>0</v>
      </c>
      <c r="TJ52" s="1">
        <f t="shared" si="246"/>
        <v>0</v>
      </c>
      <c r="TK52" s="1">
        <f t="shared" si="246"/>
        <v>0</v>
      </c>
      <c r="TL52" s="1">
        <f t="shared" si="246"/>
        <v>0</v>
      </c>
      <c r="TM52" s="1">
        <f t="shared" si="246"/>
        <v>0</v>
      </c>
      <c r="TN52" s="1">
        <f t="shared" si="246"/>
        <v>0</v>
      </c>
      <c r="TO52" s="1">
        <f t="shared" si="246"/>
        <v>0</v>
      </c>
      <c r="TP52" s="1">
        <f t="shared" si="246"/>
        <v>0</v>
      </c>
      <c r="TQ52" s="1">
        <f t="shared" si="246"/>
        <v>0</v>
      </c>
      <c r="TR52" s="1">
        <f t="shared" si="246"/>
        <v>0</v>
      </c>
      <c r="TS52" s="1">
        <f t="shared" si="246"/>
        <v>0</v>
      </c>
      <c r="TT52" s="1">
        <f t="shared" si="246"/>
        <v>0</v>
      </c>
      <c r="TU52" s="1">
        <f t="shared" si="246"/>
        <v>0</v>
      </c>
      <c r="TV52" s="1">
        <f t="shared" si="246"/>
        <v>0</v>
      </c>
      <c r="TW52" s="1">
        <f t="shared" si="246"/>
        <v>0</v>
      </c>
      <c r="TX52" s="1">
        <f t="shared" si="246"/>
        <v>0</v>
      </c>
      <c r="TY52" s="1">
        <f t="shared" si="246"/>
        <v>0</v>
      </c>
      <c r="TZ52" s="1">
        <f t="shared" si="246"/>
        <v>0</v>
      </c>
      <c r="UA52" s="1">
        <f t="shared" si="246"/>
        <v>0</v>
      </c>
      <c r="UB52" s="1">
        <f t="shared" si="246"/>
        <v>0</v>
      </c>
      <c r="UC52" s="1">
        <f t="shared" si="246"/>
        <v>0</v>
      </c>
      <c r="UD52" s="1">
        <f t="shared" si="246"/>
        <v>0</v>
      </c>
      <c r="UE52" s="1">
        <f t="shared" si="246"/>
        <v>0</v>
      </c>
      <c r="UF52" s="1">
        <f t="shared" si="246"/>
        <v>0</v>
      </c>
      <c r="UG52" s="1">
        <f t="shared" si="246"/>
        <v>0</v>
      </c>
      <c r="UH52" s="1">
        <f t="shared" si="246"/>
        <v>0</v>
      </c>
      <c r="UI52" s="1">
        <f t="shared" si="246"/>
        <v>0</v>
      </c>
      <c r="UJ52" s="1">
        <f t="shared" si="246"/>
        <v>0</v>
      </c>
      <c r="UK52" s="1">
        <f t="shared" si="246"/>
        <v>0</v>
      </c>
      <c r="UL52" s="1">
        <f t="shared" si="246"/>
        <v>0</v>
      </c>
      <c r="UM52" s="1">
        <f t="shared" si="246"/>
        <v>0</v>
      </c>
      <c r="UN52" s="1">
        <f t="shared" si="246"/>
        <v>0</v>
      </c>
      <c r="UO52" s="1">
        <f t="shared" si="246"/>
        <v>0</v>
      </c>
      <c r="UP52" s="1">
        <f t="shared" si="246"/>
        <v>0</v>
      </c>
      <c r="UQ52" s="1">
        <f t="shared" si="246"/>
        <v>0</v>
      </c>
      <c r="UR52" s="1">
        <f t="shared" si="246"/>
        <v>0</v>
      </c>
      <c r="US52" s="1">
        <f t="shared" si="246"/>
        <v>0</v>
      </c>
      <c r="UT52" s="1">
        <f t="shared" ref="UT52:XE52" si="247">UT36</f>
        <v>0</v>
      </c>
      <c r="UU52" s="1">
        <f t="shared" si="247"/>
        <v>0</v>
      </c>
      <c r="UV52" s="1">
        <f t="shared" si="247"/>
        <v>0</v>
      </c>
      <c r="UW52" s="1">
        <f t="shared" si="247"/>
        <v>0</v>
      </c>
      <c r="UX52" s="1">
        <f t="shared" si="247"/>
        <v>0</v>
      </c>
      <c r="UY52" s="1">
        <f t="shared" si="247"/>
        <v>0</v>
      </c>
      <c r="UZ52" s="1">
        <f t="shared" si="247"/>
        <v>0</v>
      </c>
      <c r="VA52" s="1">
        <f t="shared" si="247"/>
        <v>0</v>
      </c>
      <c r="VB52" s="1">
        <f t="shared" si="247"/>
        <v>0</v>
      </c>
      <c r="VC52" s="1">
        <f t="shared" si="247"/>
        <v>0</v>
      </c>
      <c r="VD52" s="1">
        <f t="shared" si="247"/>
        <v>0</v>
      </c>
      <c r="VE52" s="1">
        <f t="shared" si="247"/>
        <v>0</v>
      </c>
      <c r="VF52" s="1">
        <f t="shared" si="247"/>
        <v>0</v>
      </c>
      <c r="VG52" s="1">
        <f t="shared" si="247"/>
        <v>0</v>
      </c>
      <c r="VH52" s="1">
        <f t="shared" si="247"/>
        <v>0</v>
      </c>
      <c r="VI52" s="1">
        <f t="shared" si="247"/>
        <v>0</v>
      </c>
      <c r="VJ52" s="1">
        <f t="shared" si="247"/>
        <v>0</v>
      </c>
      <c r="VK52" s="1">
        <f t="shared" si="247"/>
        <v>0</v>
      </c>
      <c r="VL52" s="1">
        <f t="shared" si="247"/>
        <v>0</v>
      </c>
      <c r="VM52" s="1">
        <f t="shared" si="247"/>
        <v>0</v>
      </c>
      <c r="VN52" s="1">
        <f t="shared" si="247"/>
        <v>0</v>
      </c>
      <c r="VO52" s="1">
        <f t="shared" si="247"/>
        <v>0</v>
      </c>
      <c r="VP52" s="1">
        <f t="shared" si="247"/>
        <v>0</v>
      </c>
      <c r="VQ52" s="1">
        <f t="shared" si="247"/>
        <v>0</v>
      </c>
      <c r="VR52" s="1">
        <f t="shared" si="247"/>
        <v>0</v>
      </c>
      <c r="VS52" s="1">
        <f t="shared" si="247"/>
        <v>0</v>
      </c>
      <c r="VT52" s="1">
        <f t="shared" si="247"/>
        <v>0</v>
      </c>
      <c r="VU52" s="1">
        <f t="shared" si="247"/>
        <v>0</v>
      </c>
      <c r="VV52" s="1">
        <f t="shared" si="247"/>
        <v>0</v>
      </c>
      <c r="VW52" s="1">
        <f t="shared" si="247"/>
        <v>0</v>
      </c>
      <c r="VX52" s="1">
        <f t="shared" si="247"/>
        <v>0</v>
      </c>
      <c r="VY52" s="1">
        <f t="shared" si="247"/>
        <v>0</v>
      </c>
      <c r="VZ52" s="1">
        <f t="shared" si="247"/>
        <v>0</v>
      </c>
      <c r="WA52" s="1">
        <f t="shared" si="247"/>
        <v>0</v>
      </c>
      <c r="WB52" s="1">
        <f t="shared" si="247"/>
        <v>0</v>
      </c>
      <c r="WC52" s="1">
        <f t="shared" si="247"/>
        <v>0</v>
      </c>
      <c r="WD52" s="1">
        <f t="shared" si="247"/>
        <v>0</v>
      </c>
      <c r="WE52" s="1">
        <f t="shared" si="247"/>
        <v>0</v>
      </c>
      <c r="WF52" s="1">
        <f t="shared" si="247"/>
        <v>0</v>
      </c>
      <c r="WG52" s="1">
        <f t="shared" si="247"/>
        <v>0</v>
      </c>
      <c r="WH52" s="1">
        <f t="shared" si="247"/>
        <v>0</v>
      </c>
      <c r="WI52" s="1">
        <f t="shared" si="247"/>
        <v>0</v>
      </c>
      <c r="WJ52" s="1">
        <f t="shared" si="247"/>
        <v>0</v>
      </c>
      <c r="WK52" s="1">
        <f t="shared" si="247"/>
        <v>0</v>
      </c>
      <c r="WL52" s="1">
        <f t="shared" si="247"/>
        <v>0</v>
      </c>
      <c r="WM52" s="1">
        <f t="shared" si="247"/>
        <v>0</v>
      </c>
      <c r="WN52" s="1">
        <f t="shared" si="247"/>
        <v>0</v>
      </c>
      <c r="WO52" s="1">
        <f t="shared" si="247"/>
        <v>0</v>
      </c>
      <c r="WP52" s="1">
        <f t="shared" si="247"/>
        <v>0</v>
      </c>
      <c r="WQ52" s="1">
        <f t="shared" si="247"/>
        <v>0</v>
      </c>
      <c r="WR52" s="1">
        <f t="shared" si="247"/>
        <v>0</v>
      </c>
      <c r="WS52" s="1">
        <f t="shared" si="247"/>
        <v>0</v>
      </c>
      <c r="WT52" s="1">
        <f t="shared" si="247"/>
        <v>0</v>
      </c>
      <c r="WU52" s="1">
        <f t="shared" si="247"/>
        <v>0</v>
      </c>
      <c r="WV52" s="1">
        <f t="shared" si="247"/>
        <v>0</v>
      </c>
      <c r="WW52" s="1">
        <f t="shared" si="247"/>
        <v>0</v>
      </c>
      <c r="WX52" s="1">
        <f t="shared" si="247"/>
        <v>0</v>
      </c>
      <c r="WY52" s="1">
        <f t="shared" si="247"/>
        <v>0</v>
      </c>
      <c r="WZ52" s="1">
        <f t="shared" si="247"/>
        <v>0</v>
      </c>
      <c r="XA52" s="1">
        <f t="shared" si="247"/>
        <v>0</v>
      </c>
      <c r="XB52" s="1">
        <f t="shared" si="247"/>
        <v>0</v>
      </c>
      <c r="XC52" s="1">
        <f t="shared" si="247"/>
        <v>0</v>
      </c>
      <c r="XD52" s="1">
        <f t="shared" si="247"/>
        <v>0</v>
      </c>
      <c r="XE52" s="1">
        <f t="shared" si="247"/>
        <v>0</v>
      </c>
      <c r="XF52" s="1">
        <f t="shared" ref="XF52:ZQ52" si="248">XF36</f>
        <v>0</v>
      </c>
      <c r="XG52" s="1">
        <f t="shared" si="248"/>
        <v>0</v>
      </c>
      <c r="XH52" s="1">
        <f t="shared" si="248"/>
        <v>0</v>
      </c>
      <c r="XI52" s="1">
        <f t="shared" si="248"/>
        <v>0</v>
      </c>
      <c r="XJ52" s="1">
        <f t="shared" si="248"/>
        <v>0</v>
      </c>
      <c r="XK52" s="1">
        <f t="shared" si="248"/>
        <v>0</v>
      </c>
      <c r="XL52" s="1">
        <f t="shared" si="248"/>
        <v>0</v>
      </c>
      <c r="XM52" s="1">
        <f t="shared" si="248"/>
        <v>0</v>
      </c>
      <c r="XN52" s="1">
        <f t="shared" si="248"/>
        <v>0</v>
      </c>
      <c r="XO52" s="1">
        <f t="shared" si="248"/>
        <v>0</v>
      </c>
      <c r="XP52" s="1">
        <f t="shared" si="248"/>
        <v>0</v>
      </c>
      <c r="XQ52" s="1">
        <f t="shared" si="248"/>
        <v>0</v>
      </c>
      <c r="XR52" s="1">
        <f t="shared" si="248"/>
        <v>0</v>
      </c>
      <c r="XS52" s="1">
        <f t="shared" si="248"/>
        <v>0</v>
      </c>
      <c r="XT52" s="1">
        <f t="shared" si="248"/>
        <v>0</v>
      </c>
      <c r="XU52" s="1">
        <f t="shared" si="248"/>
        <v>0</v>
      </c>
      <c r="XV52" s="1">
        <f t="shared" si="248"/>
        <v>0</v>
      </c>
      <c r="XW52" s="1">
        <f t="shared" si="248"/>
        <v>0</v>
      </c>
      <c r="XX52" s="1">
        <f t="shared" si="248"/>
        <v>0</v>
      </c>
      <c r="XY52" s="1">
        <f t="shared" si="248"/>
        <v>0</v>
      </c>
      <c r="XZ52" s="1">
        <f t="shared" si="248"/>
        <v>0</v>
      </c>
      <c r="YA52" s="1">
        <f t="shared" si="248"/>
        <v>0</v>
      </c>
      <c r="YB52" s="1">
        <f t="shared" si="248"/>
        <v>0</v>
      </c>
      <c r="YC52" s="1">
        <f t="shared" si="248"/>
        <v>0</v>
      </c>
      <c r="YD52" s="1">
        <f t="shared" si="248"/>
        <v>0</v>
      </c>
      <c r="YE52" s="1">
        <f t="shared" si="248"/>
        <v>0</v>
      </c>
      <c r="YF52" s="1">
        <f t="shared" si="248"/>
        <v>0</v>
      </c>
      <c r="YG52" s="1">
        <f t="shared" si="248"/>
        <v>0</v>
      </c>
      <c r="YH52" s="1">
        <f t="shared" si="248"/>
        <v>0</v>
      </c>
      <c r="YI52" s="1">
        <f t="shared" si="248"/>
        <v>0</v>
      </c>
      <c r="YJ52" s="1">
        <f t="shared" si="248"/>
        <v>0</v>
      </c>
      <c r="YK52" s="1">
        <f t="shared" si="248"/>
        <v>0</v>
      </c>
      <c r="YL52" s="1">
        <f t="shared" si="248"/>
        <v>0</v>
      </c>
      <c r="YM52" s="1">
        <f t="shared" si="248"/>
        <v>0</v>
      </c>
      <c r="YN52" s="1">
        <f t="shared" si="248"/>
        <v>0</v>
      </c>
      <c r="YO52" s="1">
        <f t="shared" si="248"/>
        <v>0</v>
      </c>
      <c r="YP52" s="1">
        <f t="shared" si="248"/>
        <v>0</v>
      </c>
      <c r="YQ52" s="1">
        <f t="shared" si="248"/>
        <v>0</v>
      </c>
      <c r="YR52" s="1">
        <f t="shared" si="248"/>
        <v>0</v>
      </c>
      <c r="YS52" s="1">
        <f t="shared" si="248"/>
        <v>0</v>
      </c>
      <c r="YT52" s="1">
        <f t="shared" si="248"/>
        <v>0</v>
      </c>
      <c r="YU52" s="1">
        <f t="shared" si="248"/>
        <v>0</v>
      </c>
      <c r="YV52" s="1">
        <f t="shared" si="248"/>
        <v>0</v>
      </c>
      <c r="YW52" s="1">
        <f t="shared" si="248"/>
        <v>0</v>
      </c>
      <c r="YX52" s="1">
        <f t="shared" si="248"/>
        <v>0</v>
      </c>
      <c r="YY52" s="1">
        <f t="shared" si="248"/>
        <v>0</v>
      </c>
      <c r="YZ52" s="1">
        <f t="shared" si="248"/>
        <v>0</v>
      </c>
      <c r="ZA52" s="1">
        <f t="shared" si="248"/>
        <v>0</v>
      </c>
      <c r="ZB52" s="1">
        <f t="shared" si="248"/>
        <v>0</v>
      </c>
      <c r="ZC52" s="1">
        <f t="shared" si="248"/>
        <v>0</v>
      </c>
      <c r="ZD52" s="1">
        <f t="shared" si="248"/>
        <v>0</v>
      </c>
      <c r="ZE52" s="1">
        <f t="shared" si="248"/>
        <v>0</v>
      </c>
      <c r="ZF52" s="1">
        <f t="shared" si="248"/>
        <v>0</v>
      </c>
      <c r="ZG52" s="1">
        <f t="shared" si="248"/>
        <v>0</v>
      </c>
      <c r="ZH52" s="1">
        <f t="shared" si="248"/>
        <v>0</v>
      </c>
      <c r="ZI52" s="1">
        <f t="shared" si="248"/>
        <v>0</v>
      </c>
      <c r="ZJ52" s="1">
        <f t="shared" si="248"/>
        <v>0</v>
      </c>
      <c r="ZK52" s="1">
        <f t="shared" si="248"/>
        <v>0</v>
      </c>
      <c r="ZL52" s="1">
        <f t="shared" si="248"/>
        <v>0</v>
      </c>
      <c r="ZM52" s="1">
        <f t="shared" si="248"/>
        <v>0</v>
      </c>
      <c r="ZN52" s="1">
        <f t="shared" si="248"/>
        <v>0</v>
      </c>
      <c r="ZO52" s="1">
        <f t="shared" si="248"/>
        <v>0</v>
      </c>
      <c r="ZP52" s="1">
        <f t="shared" si="248"/>
        <v>0</v>
      </c>
      <c r="ZQ52" s="1">
        <f t="shared" si="248"/>
        <v>0</v>
      </c>
      <c r="ZR52" s="1">
        <f t="shared" ref="ZR52:ACC52" si="249">ZR36</f>
        <v>0</v>
      </c>
      <c r="ZS52" s="1">
        <f t="shared" si="249"/>
        <v>0</v>
      </c>
      <c r="ZT52" s="1">
        <f t="shared" si="249"/>
        <v>0</v>
      </c>
      <c r="ZU52" s="1">
        <f t="shared" si="249"/>
        <v>0</v>
      </c>
      <c r="ZV52" s="1">
        <f t="shared" si="249"/>
        <v>0</v>
      </c>
      <c r="ZW52" s="1">
        <f t="shared" si="249"/>
        <v>0</v>
      </c>
      <c r="ZX52" s="1">
        <f t="shared" si="249"/>
        <v>0</v>
      </c>
      <c r="ZY52" s="1">
        <f t="shared" si="249"/>
        <v>0</v>
      </c>
      <c r="ZZ52" s="1">
        <f t="shared" si="249"/>
        <v>0</v>
      </c>
      <c r="AAA52" s="1">
        <f t="shared" si="249"/>
        <v>0</v>
      </c>
      <c r="AAB52" s="1">
        <f t="shared" si="249"/>
        <v>0</v>
      </c>
      <c r="AAC52" s="1">
        <f t="shared" si="249"/>
        <v>0</v>
      </c>
      <c r="AAD52" s="1">
        <f t="shared" si="249"/>
        <v>0</v>
      </c>
      <c r="AAE52" s="1">
        <f t="shared" si="249"/>
        <v>0</v>
      </c>
      <c r="AAF52" s="1">
        <f t="shared" si="249"/>
        <v>0</v>
      </c>
      <c r="AAG52" s="1">
        <f t="shared" si="249"/>
        <v>0</v>
      </c>
      <c r="AAH52" s="1">
        <f t="shared" si="249"/>
        <v>0</v>
      </c>
      <c r="AAI52" s="1">
        <f t="shared" si="249"/>
        <v>0</v>
      </c>
      <c r="AAJ52" s="1">
        <f t="shared" si="249"/>
        <v>0</v>
      </c>
      <c r="AAK52" s="1">
        <f t="shared" si="249"/>
        <v>0</v>
      </c>
      <c r="AAL52" s="1">
        <f t="shared" si="249"/>
        <v>0</v>
      </c>
      <c r="AAM52" s="1">
        <f t="shared" si="249"/>
        <v>0</v>
      </c>
      <c r="AAN52" s="1">
        <f t="shared" si="249"/>
        <v>0</v>
      </c>
      <c r="AAO52" s="1">
        <f t="shared" si="249"/>
        <v>0</v>
      </c>
      <c r="AAP52" s="1">
        <f t="shared" si="249"/>
        <v>0</v>
      </c>
      <c r="AAQ52" s="1">
        <f t="shared" si="249"/>
        <v>0</v>
      </c>
      <c r="AAR52" s="1">
        <f t="shared" si="249"/>
        <v>0</v>
      </c>
      <c r="AAS52" s="1">
        <f t="shared" si="249"/>
        <v>0</v>
      </c>
      <c r="AAT52" s="1">
        <f t="shared" si="249"/>
        <v>0</v>
      </c>
      <c r="AAU52" s="1">
        <f t="shared" si="249"/>
        <v>0</v>
      </c>
      <c r="AAV52" s="1">
        <f t="shared" si="249"/>
        <v>0</v>
      </c>
      <c r="AAW52" s="1">
        <f t="shared" si="249"/>
        <v>0</v>
      </c>
      <c r="AAX52" s="1">
        <f t="shared" si="249"/>
        <v>0</v>
      </c>
      <c r="AAY52" s="1">
        <f t="shared" si="249"/>
        <v>0</v>
      </c>
      <c r="AAZ52" s="1">
        <f t="shared" si="249"/>
        <v>0</v>
      </c>
      <c r="ABA52" s="1">
        <f t="shared" si="249"/>
        <v>0</v>
      </c>
      <c r="ABB52" s="1">
        <f t="shared" si="249"/>
        <v>0</v>
      </c>
      <c r="ABC52" s="1">
        <f t="shared" si="249"/>
        <v>0</v>
      </c>
      <c r="ABD52" s="1">
        <f t="shared" si="249"/>
        <v>0</v>
      </c>
      <c r="ABE52" s="1">
        <f t="shared" si="249"/>
        <v>0</v>
      </c>
      <c r="ABF52" s="1">
        <f t="shared" si="249"/>
        <v>0</v>
      </c>
      <c r="ABG52" s="1">
        <f t="shared" si="249"/>
        <v>0</v>
      </c>
      <c r="ABH52" s="1">
        <f t="shared" si="249"/>
        <v>0</v>
      </c>
      <c r="ABI52" s="1">
        <f t="shared" si="249"/>
        <v>0</v>
      </c>
      <c r="ABJ52" s="1">
        <f t="shared" si="249"/>
        <v>0</v>
      </c>
      <c r="ABK52" s="1">
        <f t="shared" si="249"/>
        <v>0</v>
      </c>
      <c r="ABL52" s="1">
        <f t="shared" si="249"/>
        <v>0</v>
      </c>
      <c r="ABM52" s="1">
        <f t="shared" si="249"/>
        <v>0</v>
      </c>
      <c r="ABN52" s="1">
        <f t="shared" si="249"/>
        <v>0</v>
      </c>
      <c r="ABO52" s="1">
        <f t="shared" si="249"/>
        <v>0</v>
      </c>
      <c r="ABP52" s="1">
        <f t="shared" si="249"/>
        <v>0</v>
      </c>
      <c r="ABQ52" s="1">
        <f t="shared" si="249"/>
        <v>0</v>
      </c>
      <c r="ABR52" s="1">
        <f t="shared" si="249"/>
        <v>0</v>
      </c>
      <c r="ABS52" s="1">
        <f t="shared" si="249"/>
        <v>0</v>
      </c>
      <c r="ABT52" s="1">
        <f t="shared" si="249"/>
        <v>0</v>
      </c>
      <c r="ABU52" s="1">
        <f t="shared" si="249"/>
        <v>0</v>
      </c>
      <c r="ABV52" s="1">
        <f t="shared" si="249"/>
        <v>0</v>
      </c>
      <c r="ABW52" s="1">
        <f t="shared" si="249"/>
        <v>0</v>
      </c>
      <c r="ABX52" s="1">
        <f t="shared" si="249"/>
        <v>0</v>
      </c>
      <c r="ABY52" s="1">
        <f t="shared" si="249"/>
        <v>0</v>
      </c>
      <c r="ABZ52" s="1">
        <f t="shared" si="249"/>
        <v>0</v>
      </c>
      <c r="ACA52" s="1">
        <f t="shared" si="249"/>
        <v>0</v>
      </c>
      <c r="ACB52" s="1">
        <f t="shared" si="249"/>
        <v>0</v>
      </c>
      <c r="ACC52" s="1">
        <f t="shared" si="249"/>
        <v>0</v>
      </c>
      <c r="ACD52" s="1">
        <f t="shared" ref="ACD52:AEO52" si="250">ACD36</f>
        <v>0</v>
      </c>
      <c r="ACE52" s="1">
        <f t="shared" si="250"/>
        <v>0</v>
      </c>
      <c r="ACF52" s="1">
        <f t="shared" si="250"/>
        <v>0</v>
      </c>
      <c r="ACG52" s="1">
        <f t="shared" si="250"/>
        <v>0</v>
      </c>
      <c r="ACH52" s="1">
        <f t="shared" si="250"/>
        <v>0</v>
      </c>
      <c r="ACI52" s="1">
        <f t="shared" si="250"/>
        <v>0</v>
      </c>
      <c r="ACJ52" s="1">
        <f t="shared" si="250"/>
        <v>0</v>
      </c>
      <c r="ACK52" s="1">
        <f t="shared" si="250"/>
        <v>0</v>
      </c>
      <c r="ACL52" s="1">
        <f t="shared" si="250"/>
        <v>0</v>
      </c>
      <c r="ACM52" s="1">
        <f t="shared" si="250"/>
        <v>0</v>
      </c>
      <c r="ACN52" s="1">
        <f t="shared" si="250"/>
        <v>0</v>
      </c>
      <c r="ACO52" s="1">
        <f t="shared" si="250"/>
        <v>0</v>
      </c>
      <c r="ACP52" s="1">
        <f t="shared" si="250"/>
        <v>0</v>
      </c>
      <c r="ACQ52" s="1">
        <f t="shared" si="250"/>
        <v>0</v>
      </c>
      <c r="ACR52" s="1">
        <f t="shared" si="250"/>
        <v>0</v>
      </c>
      <c r="ACS52" s="1">
        <f t="shared" si="250"/>
        <v>0</v>
      </c>
      <c r="ACT52" s="1">
        <f t="shared" si="250"/>
        <v>0</v>
      </c>
      <c r="ACU52" s="1">
        <f t="shared" si="250"/>
        <v>0</v>
      </c>
      <c r="ACV52" s="1">
        <f t="shared" si="250"/>
        <v>0</v>
      </c>
      <c r="ACW52" s="1">
        <f t="shared" si="250"/>
        <v>0</v>
      </c>
      <c r="ACX52" s="1">
        <f t="shared" si="250"/>
        <v>0</v>
      </c>
      <c r="ACY52" s="1">
        <f t="shared" si="250"/>
        <v>0</v>
      </c>
      <c r="ACZ52" s="1">
        <f t="shared" si="250"/>
        <v>0</v>
      </c>
      <c r="ADA52" s="1">
        <f t="shared" si="250"/>
        <v>0</v>
      </c>
      <c r="ADB52" s="1">
        <f t="shared" si="250"/>
        <v>0</v>
      </c>
      <c r="ADC52" s="1">
        <f t="shared" si="250"/>
        <v>0</v>
      </c>
      <c r="ADD52" s="1">
        <f t="shared" si="250"/>
        <v>0</v>
      </c>
      <c r="ADE52" s="1">
        <f t="shared" si="250"/>
        <v>0</v>
      </c>
      <c r="ADF52" s="1">
        <f t="shared" si="250"/>
        <v>0</v>
      </c>
      <c r="ADG52" s="1">
        <f t="shared" si="250"/>
        <v>0</v>
      </c>
      <c r="ADH52" s="1">
        <f t="shared" si="250"/>
        <v>0</v>
      </c>
      <c r="ADI52" s="1">
        <f t="shared" si="250"/>
        <v>0</v>
      </c>
      <c r="ADJ52" s="1">
        <f t="shared" si="250"/>
        <v>0</v>
      </c>
      <c r="ADK52" s="1">
        <f t="shared" si="250"/>
        <v>0</v>
      </c>
      <c r="ADL52" s="1">
        <f t="shared" si="250"/>
        <v>0</v>
      </c>
      <c r="ADM52" s="1">
        <f t="shared" si="250"/>
        <v>0</v>
      </c>
      <c r="ADN52" s="1">
        <f t="shared" si="250"/>
        <v>0</v>
      </c>
      <c r="ADO52" s="1">
        <f t="shared" si="250"/>
        <v>0</v>
      </c>
      <c r="ADP52" s="1">
        <f t="shared" si="250"/>
        <v>0</v>
      </c>
      <c r="ADQ52" s="1">
        <f t="shared" si="250"/>
        <v>0</v>
      </c>
      <c r="ADR52" s="1">
        <f t="shared" si="250"/>
        <v>0</v>
      </c>
      <c r="ADS52" s="1">
        <f t="shared" si="250"/>
        <v>0</v>
      </c>
      <c r="ADT52" s="1">
        <f t="shared" si="250"/>
        <v>0</v>
      </c>
      <c r="ADU52" s="1">
        <f t="shared" si="250"/>
        <v>0</v>
      </c>
      <c r="ADV52" s="1">
        <f t="shared" si="250"/>
        <v>0</v>
      </c>
      <c r="ADW52" s="1">
        <f t="shared" si="250"/>
        <v>0</v>
      </c>
      <c r="ADX52" s="1">
        <f t="shared" si="250"/>
        <v>0</v>
      </c>
      <c r="ADY52" s="1">
        <f t="shared" si="250"/>
        <v>0</v>
      </c>
      <c r="ADZ52" s="1">
        <f t="shared" si="250"/>
        <v>0</v>
      </c>
      <c r="AEA52" s="1">
        <f t="shared" si="250"/>
        <v>0</v>
      </c>
      <c r="AEB52" s="1">
        <f t="shared" si="250"/>
        <v>0</v>
      </c>
      <c r="AEC52" s="1">
        <f t="shared" si="250"/>
        <v>0</v>
      </c>
      <c r="AED52" s="1">
        <f t="shared" si="250"/>
        <v>0</v>
      </c>
      <c r="AEE52" s="1">
        <f t="shared" si="250"/>
        <v>0</v>
      </c>
      <c r="AEF52" s="1">
        <f t="shared" si="250"/>
        <v>0</v>
      </c>
      <c r="AEG52" s="1">
        <f t="shared" si="250"/>
        <v>0</v>
      </c>
      <c r="AEH52" s="1">
        <f t="shared" si="250"/>
        <v>0</v>
      </c>
      <c r="AEI52" s="1">
        <f t="shared" si="250"/>
        <v>0</v>
      </c>
      <c r="AEJ52" s="1">
        <f t="shared" si="250"/>
        <v>0</v>
      </c>
      <c r="AEK52" s="1">
        <f t="shared" si="250"/>
        <v>0</v>
      </c>
      <c r="AEL52" s="1">
        <f t="shared" si="250"/>
        <v>0</v>
      </c>
      <c r="AEM52" s="1">
        <f t="shared" si="250"/>
        <v>0</v>
      </c>
      <c r="AEN52" s="1">
        <f t="shared" si="250"/>
        <v>0</v>
      </c>
      <c r="AEO52" s="1">
        <f t="shared" si="250"/>
        <v>0</v>
      </c>
      <c r="AEP52" s="1">
        <f t="shared" ref="AEP52:AHA52" si="251">AEP36</f>
        <v>0</v>
      </c>
      <c r="AEQ52" s="1">
        <f t="shared" si="251"/>
        <v>0</v>
      </c>
      <c r="AER52" s="1">
        <f t="shared" si="251"/>
        <v>0</v>
      </c>
      <c r="AES52" s="1">
        <f t="shared" si="251"/>
        <v>0</v>
      </c>
      <c r="AET52" s="1">
        <f t="shared" si="251"/>
        <v>0</v>
      </c>
      <c r="AEU52" s="1">
        <f t="shared" si="251"/>
        <v>0</v>
      </c>
      <c r="AEV52" s="1">
        <f t="shared" si="251"/>
        <v>0</v>
      </c>
      <c r="AEW52" s="1">
        <f t="shared" si="251"/>
        <v>0</v>
      </c>
      <c r="AEX52" s="1">
        <f t="shared" si="251"/>
        <v>0</v>
      </c>
      <c r="AEY52" s="1">
        <f t="shared" si="251"/>
        <v>0</v>
      </c>
      <c r="AEZ52" s="1">
        <f t="shared" si="251"/>
        <v>0</v>
      </c>
      <c r="AFA52" s="1">
        <f t="shared" si="251"/>
        <v>0</v>
      </c>
      <c r="AFB52" s="1">
        <f t="shared" si="251"/>
        <v>0</v>
      </c>
      <c r="AFC52" s="1">
        <f t="shared" si="251"/>
        <v>0</v>
      </c>
      <c r="AFD52" s="1">
        <f t="shared" si="251"/>
        <v>0</v>
      </c>
      <c r="AFE52" s="1">
        <f t="shared" si="251"/>
        <v>0</v>
      </c>
      <c r="AFF52" s="1">
        <f t="shared" si="251"/>
        <v>0</v>
      </c>
      <c r="AFG52" s="1">
        <f t="shared" si="251"/>
        <v>0</v>
      </c>
      <c r="AFH52" s="1">
        <f t="shared" si="251"/>
        <v>0</v>
      </c>
      <c r="AFI52" s="1">
        <f t="shared" si="251"/>
        <v>0</v>
      </c>
      <c r="AFJ52" s="1">
        <f t="shared" si="251"/>
        <v>0</v>
      </c>
      <c r="AFK52" s="1">
        <f t="shared" si="251"/>
        <v>0</v>
      </c>
      <c r="AFL52" s="1">
        <f t="shared" si="251"/>
        <v>0</v>
      </c>
      <c r="AFM52" s="1">
        <f t="shared" si="251"/>
        <v>0</v>
      </c>
      <c r="AFN52" s="1">
        <f t="shared" si="251"/>
        <v>0</v>
      </c>
      <c r="AFO52" s="1">
        <f t="shared" si="251"/>
        <v>0</v>
      </c>
      <c r="AFP52" s="1">
        <f t="shared" si="251"/>
        <v>0</v>
      </c>
      <c r="AFQ52" s="1">
        <f t="shared" si="251"/>
        <v>0</v>
      </c>
      <c r="AFR52" s="1">
        <f t="shared" si="251"/>
        <v>0</v>
      </c>
      <c r="AFS52" s="1">
        <f t="shared" si="251"/>
        <v>0</v>
      </c>
      <c r="AFT52" s="1">
        <f t="shared" si="251"/>
        <v>0</v>
      </c>
      <c r="AFU52" s="1">
        <f t="shared" si="251"/>
        <v>0</v>
      </c>
      <c r="AFV52" s="1">
        <f t="shared" si="251"/>
        <v>0</v>
      </c>
      <c r="AFW52" s="1">
        <f t="shared" si="251"/>
        <v>0</v>
      </c>
      <c r="AFX52" s="1">
        <f t="shared" si="251"/>
        <v>0</v>
      </c>
      <c r="AFY52" s="1">
        <f t="shared" si="251"/>
        <v>0</v>
      </c>
      <c r="AFZ52" s="1">
        <f t="shared" si="251"/>
        <v>0</v>
      </c>
      <c r="AGA52" s="1">
        <f t="shared" si="251"/>
        <v>0</v>
      </c>
      <c r="AGB52" s="1">
        <f t="shared" si="251"/>
        <v>0</v>
      </c>
      <c r="AGC52" s="1">
        <f t="shared" si="251"/>
        <v>0</v>
      </c>
      <c r="AGD52" s="1">
        <f t="shared" si="251"/>
        <v>0</v>
      </c>
      <c r="AGE52" s="1">
        <f t="shared" si="251"/>
        <v>0</v>
      </c>
      <c r="AGF52" s="1">
        <f t="shared" si="251"/>
        <v>0</v>
      </c>
      <c r="AGG52" s="1">
        <f t="shared" si="251"/>
        <v>0</v>
      </c>
      <c r="AGH52" s="1">
        <f t="shared" si="251"/>
        <v>0</v>
      </c>
      <c r="AGI52" s="1">
        <f t="shared" si="251"/>
        <v>0</v>
      </c>
      <c r="AGJ52" s="1">
        <f t="shared" si="251"/>
        <v>0</v>
      </c>
      <c r="AGK52" s="1">
        <f t="shared" si="251"/>
        <v>0</v>
      </c>
      <c r="AGL52" s="1">
        <f t="shared" si="251"/>
        <v>0</v>
      </c>
      <c r="AGM52" s="1">
        <f t="shared" si="251"/>
        <v>0</v>
      </c>
      <c r="AGN52" s="1">
        <f t="shared" si="251"/>
        <v>0</v>
      </c>
      <c r="AGO52" s="1">
        <f t="shared" si="251"/>
        <v>0</v>
      </c>
      <c r="AGP52" s="1">
        <f t="shared" si="251"/>
        <v>0</v>
      </c>
      <c r="AGQ52" s="1">
        <f t="shared" si="251"/>
        <v>0</v>
      </c>
      <c r="AGR52" s="1">
        <f t="shared" si="251"/>
        <v>0</v>
      </c>
      <c r="AGS52" s="1">
        <f t="shared" si="251"/>
        <v>0</v>
      </c>
      <c r="AGT52" s="1">
        <f t="shared" si="251"/>
        <v>0</v>
      </c>
      <c r="AGU52" s="1">
        <f t="shared" si="251"/>
        <v>0</v>
      </c>
      <c r="AGV52" s="1">
        <f t="shared" si="251"/>
        <v>0</v>
      </c>
      <c r="AGW52" s="1">
        <f t="shared" si="251"/>
        <v>0</v>
      </c>
      <c r="AGX52" s="1">
        <f t="shared" si="251"/>
        <v>0</v>
      </c>
      <c r="AGY52" s="1">
        <f t="shared" si="251"/>
        <v>0</v>
      </c>
      <c r="AGZ52" s="1">
        <f t="shared" si="251"/>
        <v>0</v>
      </c>
      <c r="AHA52" s="1">
        <f t="shared" si="251"/>
        <v>0</v>
      </c>
      <c r="AHB52" s="1">
        <f t="shared" ref="AHB52:AJM52" si="252">AHB36</f>
        <v>0</v>
      </c>
      <c r="AHC52" s="1">
        <f t="shared" si="252"/>
        <v>0</v>
      </c>
      <c r="AHD52" s="1">
        <f t="shared" si="252"/>
        <v>0</v>
      </c>
      <c r="AHE52" s="1">
        <f t="shared" si="252"/>
        <v>0</v>
      </c>
      <c r="AHF52" s="1">
        <f t="shared" si="252"/>
        <v>0</v>
      </c>
      <c r="AHG52" s="1">
        <f t="shared" si="252"/>
        <v>0</v>
      </c>
      <c r="AHH52" s="1">
        <f t="shared" si="252"/>
        <v>0</v>
      </c>
      <c r="AHI52" s="1">
        <f t="shared" si="252"/>
        <v>0</v>
      </c>
      <c r="AHJ52" s="1">
        <f t="shared" si="252"/>
        <v>0</v>
      </c>
      <c r="AHK52" s="1">
        <f t="shared" si="252"/>
        <v>0</v>
      </c>
      <c r="AHL52" s="1">
        <f t="shared" si="252"/>
        <v>0</v>
      </c>
      <c r="AHM52" s="1">
        <f t="shared" si="252"/>
        <v>0</v>
      </c>
      <c r="AHN52" s="1">
        <f t="shared" si="252"/>
        <v>0</v>
      </c>
      <c r="AHO52" s="1">
        <f t="shared" si="252"/>
        <v>0</v>
      </c>
      <c r="AHP52" s="1">
        <f t="shared" si="252"/>
        <v>0</v>
      </c>
      <c r="AHQ52" s="1">
        <f t="shared" si="252"/>
        <v>0</v>
      </c>
      <c r="AHR52" s="1">
        <f t="shared" si="252"/>
        <v>0</v>
      </c>
      <c r="AHS52" s="1">
        <f t="shared" si="252"/>
        <v>0</v>
      </c>
      <c r="AHT52" s="1">
        <f t="shared" si="252"/>
        <v>0</v>
      </c>
      <c r="AHU52" s="1">
        <f t="shared" si="252"/>
        <v>0</v>
      </c>
      <c r="AHV52" s="1">
        <f t="shared" si="252"/>
        <v>0</v>
      </c>
      <c r="AHW52" s="1">
        <f t="shared" si="252"/>
        <v>0</v>
      </c>
      <c r="AHX52" s="1">
        <f t="shared" si="252"/>
        <v>0</v>
      </c>
      <c r="AHY52" s="1">
        <f t="shared" si="252"/>
        <v>0</v>
      </c>
      <c r="AHZ52" s="1">
        <f t="shared" si="252"/>
        <v>0</v>
      </c>
      <c r="AIA52" s="1">
        <f t="shared" si="252"/>
        <v>0</v>
      </c>
      <c r="AIB52" s="1">
        <f t="shared" si="252"/>
        <v>0</v>
      </c>
      <c r="AIC52" s="1">
        <f t="shared" si="252"/>
        <v>0</v>
      </c>
      <c r="AID52" s="1">
        <f t="shared" si="252"/>
        <v>0</v>
      </c>
      <c r="AIE52" s="1">
        <f t="shared" si="252"/>
        <v>0</v>
      </c>
      <c r="AIF52" s="1">
        <f t="shared" si="252"/>
        <v>0</v>
      </c>
      <c r="AIG52" s="1">
        <f t="shared" si="252"/>
        <v>0</v>
      </c>
      <c r="AIH52" s="1">
        <f t="shared" si="252"/>
        <v>0</v>
      </c>
      <c r="AII52" s="1">
        <f t="shared" si="252"/>
        <v>0</v>
      </c>
      <c r="AIJ52" s="1">
        <f t="shared" si="252"/>
        <v>0</v>
      </c>
      <c r="AIK52" s="1">
        <f t="shared" si="252"/>
        <v>0</v>
      </c>
      <c r="AIL52" s="1">
        <f t="shared" si="252"/>
        <v>0</v>
      </c>
      <c r="AIM52" s="1">
        <f t="shared" si="252"/>
        <v>0</v>
      </c>
      <c r="AIN52" s="1">
        <f t="shared" si="252"/>
        <v>0</v>
      </c>
      <c r="AIO52" s="1">
        <f t="shared" si="252"/>
        <v>0</v>
      </c>
      <c r="AIP52" s="1">
        <f t="shared" si="252"/>
        <v>0</v>
      </c>
      <c r="AIQ52" s="1">
        <f t="shared" si="252"/>
        <v>0</v>
      </c>
      <c r="AIR52" s="1">
        <f t="shared" si="252"/>
        <v>0</v>
      </c>
      <c r="AIS52" s="1">
        <f t="shared" si="252"/>
        <v>0</v>
      </c>
      <c r="AIT52" s="1">
        <f t="shared" si="252"/>
        <v>0</v>
      </c>
      <c r="AIU52" s="1">
        <f t="shared" si="252"/>
        <v>0</v>
      </c>
      <c r="AIV52" s="1">
        <f t="shared" si="252"/>
        <v>0</v>
      </c>
      <c r="AIW52" s="1">
        <f t="shared" si="252"/>
        <v>0</v>
      </c>
      <c r="AIX52" s="1">
        <f t="shared" si="252"/>
        <v>0</v>
      </c>
      <c r="AIY52" s="1">
        <f t="shared" si="252"/>
        <v>0</v>
      </c>
      <c r="AIZ52" s="1">
        <f t="shared" si="252"/>
        <v>0</v>
      </c>
      <c r="AJA52" s="1">
        <f t="shared" si="252"/>
        <v>0</v>
      </c>
      <c r="AJB52" s="1">
        <f t="shared" si="252"/>
        <v>0</v>
      </c>
      <c r="AJC52" s="1">
        <f t="shared" si="252"/>
        <v>0</v>
      </c>
      <c r="AJD52" s="1">
        <f t="shared" si="252"/>
        <v>0</v>
      </c>
      <c r="AJE52" s="1">
        <f t="shared" si="252"/>
        <v>0</v>
      </c>
      <c r="AJF52" s="1">
        <f t="shared" si="252"/>
        <v>0</v>
      </c>
      <c r="AJG52" s="1">
        <f t="shared" si="252"/>
        <v>0</v>
      </c>
      <c r="AJH52" s="1">
        <f t="shared" si="252"/>
        <v>0</v>
      </c>
      <c r="AJI52" s="1">
        <f t="shared" si="252"/>
        <v>0</v>
      </c>
      <c r="AJJ52" s="1">
        <f t="shared" si="252"/>
        <v>0</v>
      </c>
      <c r="AJK52" s="1">
        <f t="shared" si="252"/>
        <v>0</v>
      </c>
      <c r="AJL52" s="1">
        <f t="shared" si="252"/>
        <v>0</v>
      </c>
      <c r="AJM52" s="1">
        <f t="shared" si="252"/>
        <v>0</v>
      </c>
      <c r="AJN52" s="1">
        <f t="shared" ref="AJN52:ALM52" si="253">AJN36</f>
        <v>0</v>
      </c>
      <c r="AJO52" s="1">
        <f t="shared" si="253"/>
        <v>0</v>
      </c>
      <c r="AJP52" s="1">
        <f t="shared" si="253"/>
        <v>0</v>
      </c>
      <c r="AJQ52" s="1">
        <f t="shared" si="253"/>
        <v>0</v>
      </c>
      <c r="AJR52" s="1">
        <f t="shared" si="253"/>
        <v>0</v>
      </c>
      <c r="AJS52" s="1">
        <f t="shared" si="253"/>
        <v>0</v>
      </c>
      <c r="AJT52" s="1">
        <f t="shared" si="253"/>
        <v>0</v>
      </c>
      <c r="AJU52" s="1">
        <f t="shared" si="253"/>
        <v>0</v>
      </c>
      <c r="AJV52" s="1">
        <f t="shared" si="253"/>
        <v>0</v>
      </c>
      <c r="AJW52" s="1">
        <f t="shared" si="253"/>
        <v>0</v>
      </c>
      <c r="AJX52" s="1">
        <f t="shared" si="253"/>
        <v>0</v>
      </c>
      <c r="AJY52" s="1">
        <f t="shared" si="253"/>
        <v>0</v>
      </c>
      <c r="AJZ52" s="1">
        <f t="shared" si="253"/>
        <v>0</v>
      </c>
      <c r="AKA52" s="1">
        <f t="shared" si="253"/>
        <v>0</v>
      </c>
      <c r="AKB52" s="1">
        <f t="shared" si="253"/>
        <v>0</v>
      </c>
      <c r="AKC52" s="1">
        <f t="shared" si="253"/>
        <v>0</v>
      </c>
      <c r="AKD52" s="1">
        <f t="shared" si="253"/>
        <v>0</v>
      </c>
      <c r="AKE52" s="1">
        <f t="shared" si="253"/>
        <v>0</v>
      </c>
      <c r="AKF52" s="1">
        <f t="shared" si="253"/>
        <v>0</v>
      </c>
      <c r="AKG52" s="1">
        <f t="shared" si="253"/>
        <v>0</v>
      </c>
      <c r="AKH52" s="1">
        <f t="shared" si="253"/>
        <v>0</v>
      </c>
      <c r="AKI52" s="1">
        <f t="shared" si="253"/>
        <v>0</v>
      </c>
      <c r="AKJ52" s="1">
        <f t="shared" si="253"/>
        <v>0</v>
      </c>
      <c r="AKK52" s="1">
        <f t="shared" si="253"/>
        <v>0</v>
      </c>
      <c r="AKL52" s="1">
        <f t="shared" si="253"/>
        <v>0</v>
      </c>
      <c r="AKM52" s="1">
        <f t="shared" si="253"/>
        <v>0</v>
      </c>
      <c r="AKN52" s="1">
        <f t="shared" si="253"/>
        <v>0</v>
      </c>
      <c r="AKO52" s="1">
        <f t="shared" si="253"/>
        <v>0</v>
      </c>
      <c r="AKP52" s="1">
        <f t="shared" si="253"/>
        <v>0</v>
      </c>
      <c r="AKQ52" s="1">
        <f t="shared" si="253"/>
        <v>0</v>
      </c>
      <c r="AKR52" s="1">
        <f t="shared" si="253"/>
        <v>0</v>
      </c>
      <c r="AKS52" s="1">
        <f t="shared" si="253"/>
        <v>0</v>
      </c>
      <c r="AKT52" s="1">
        <f t="shared" si="253"/>
        <v>0</v>
      </c>
      <c r="AKU52" s="1">
        <f t="shared" si="253"/>
        <v>0</v>
      </c>
      <c r="AKV52" s="1">
        <f t="shared" si="253"/>
        <v>0</v>
      </c>
      <c r="AKW52" s="1">
        <f t="shared" si="253"/>
        <v>0</v>
      </c>
      <c r="AKX52" s="1">
        <f t="shared" si="253"/>
        <v>0</v>
      </c>
      <c r="AKY52" s="1">
        <f t="shared" si="253"/>
        <v>0</v>
      </c>
      <c r="AKZ52" s="1">
        <f t="shared" si="253"/>
        <v>0</v>
      </c>
      <c r="ALA52" s="1">
        <f t="shared" si="253"/>
        <v>0</v>
      </c>
      <c r="ALB52" s="1">
        <f t="shared" si="253"/>
        <v>0</v>
      </c>
      <c r="ALC52" s="1">
        <f t="shared" si="253"/>
        <v>0</v>
      </c>
      <c r="ALD52" s="1">
        <f t="shared" si="253"/>
        <v>0</v>
      </c>
      <c r="ALE52" s="1">
        <f t="shared" si="253"/>
        <v>0</v>
      </c>
      <c r="ALF52" s="1">
        <f t="shared" si="253"/>
        <v>0</v>
      </c>
      <c r="ALG52" s="1">
        <f t="shared" si="253"/>
        <v>0</v>
      </c>
      <c r="ALH52" s="1">
        <f t="shared" si="253"/>
        <v>0</v>
      </c>
      <c r="ALI52" s="1">
        <f t="shared" si="253"/>
        <v>0</v>
      </c>
      <c r="ALJ52" s="1">
        <f t="shared" si="253"/>
        <v>0</v>
      </c>
      <c r="ALK52" s="1">
        <f t="shared" si="253"/>
        <v>0</v>
      </c>
      <c r="ALL52" s="1">
        <f t="shared" si="253"/>
        <v>0</v>
      </c>
      <c r="ALM52" s="1">
        <f t="shared" si="253"/>
        <v>0</v>
      </c>
    </row>
    <row r="53" spans="1:1001">
      <c r="A53" s="27"/>
      <c r="B53">
        <f>B37-B18</f>
        <v>0</v>
      </c>
      <c r="C53">
        <f t="shared" ref="C53:BN53" si="254">C37-C18</f>
        <v>0</v>
      </c>
      <c r="D53">
        <f t="shared" si="254"/>
        <v>0</v>
      </c>
      <c r="E53">
        <f t="shared" si="254"/>
        <v>0</v>
      </c>
      <c r="F53">
        <f t="shared" si="254"/>
        <v>0</v>
      </c>
      <c r="G53">
        <f t="shared" si="254"/>
        <v>0</v>
      </c>
      <c r="H53">
        <f t="shared" si="254"/>
        <v>0</v>
      </c>
      <c r="I53">
        <f t="shared" si="254"/>
        <v>0</v>
      </c>
      <c r="J53">
        <f t="shared" si="254"/>
        <v>0</v>
      </c>
      <c r="K53">
        <f t="shared" si="254"/>
        <v>0</v>
      </c>
      <c r="L53">
        <f t="shared" si="254"/>
        <v>0</v>
      </c>
      <c r="M53">
        <f t="shared" si="254"/>
        <v>0</v>
      </c>
      <c r="N53">
        <f t="shared" si="254"/>
        <v>0</v>
      </c>
      <c r="O53">
        <f t="shared" si="254"/>
        <v>0</v>
      </c>
      <c r="P53">
        <f t="shared" si="254"/>
        <v>0</v>
      </c>
      <c r="Q53">
        <f t="shared" si="254"/>
        <v>0</v>
      </c>
      <c r="R53">
        <f t="shared" si="254"/>
        <v>0</v>
      </c>
      <c r="S53">
        <f t="shared" si="254"/>
        <v>0</v>
      </c>
      <c r="T53">
        <f t="shared" si="254"/>
        <v>0</v>
      </c>
      <c r="U53">
        <f t="shared" si="254"/>
        <v>0</v>
      </c>
      <c r="V53">
        <f t="shared" si="254"/>
        <v>0</v>
      </c>
      <c r="W53">
        <f t="shared" si="254"/>
        <v>0</v>
      </c>
      <c r="X53">
        <f t="shared" si="254"/>
        <v>0</v>
      </c>
      <c r="Y53">
        <f t="shared" si="254"/>
        <v>0</v>
      </c>
      <c r="Z53">
        <f t="shared" si="254"/>
        <v>0</v>
      </c>
      <c r="AA53">
        <f t="shared" si="254"/>
        <v>0</v>
      </c>
      <c r="AB53">
        <f t="shared" si="254"/>
        <v>0</v>
      </c>
      <c r="AC53">
        <f t="shared" si="254"/>
        <v>0</v>
      </c>
      <c r="AD53">
        <f t="shared" si="254"/>
        <v>0</v>
      </c>
      <c r="AE53">
        <f t="shared" si="254"/>
        <v>0</v>
      </c>
      <c r="AF53">
        <f t="shared" si="254"/>
        <v>0</v>
      </c>
      <c r="AG53">
        <f t="shared" si="254"/>
        <v>0</v>
      </c>
      <c r="AH53">
        <f t="shared" si="254"/>
        <v>0</v>
      </c>
      <c r="AI53">
        <f t="shared" si="254"/>
        <v>0</v>
      </c>
      <c r="AJ53">
        <f t="shared" si="254"/>
        <v>0</v>
      </c>
      <c r="AK53">
        <f t="shared" si="254"/>
        <v>0</v>
      </c>
      <c r="AL53">
        <f t="shared" si="254"/>
        <v>0</v>
      </c>
      <c r="AM53">
        <f t="shared" si="254"/>
        <v>0</v>
      </c>
      <c r="AN53">
        <f t="shared" si="254"/>
        <v>0</v>
      </c>
      <c r="AO53">
        <f t="shared" si="254"/>
        <v>0</v>
      </c>
      <c r="AP53">
        <f t="shared" si="254"/>
        <v>0</v>
      </c>
      <c r="AQ53">
        <f t="shared" si="254"/>
        <v>0</v>
      </c>
      <c r="AR53">
        <f t="shared" si="254"/>
        <v>0</v>
      </c>
      <c r="AS53">
        <f t="shared" si="254"/>
        <v>0</v>
      </c>
      <c r="AT53">
        <f t="shared" si="254"/>
        <v>0</v>
      </c>
      <c r="AU53">
        <f t="shared" si="254"/>
        <v>0</v>
      </c>
      <c r="AV53">
        <f t="shared" si="254"/>
        <v>0</v>
      </c>
      <c r="AW53">
        <f t="shared" si="254"/>
        <v>0</v>
      </c>
      <c r="AX53">
        <f t="shared" si="254"/>
        <v>0</v>
      </c>
      <c r="AY53">
        <f t="shared" si="254"/>
        <v>0</v>
      </c>
      <c r="AZ53">
        <f t="shared" si="254"/>
        <v>0</v>
      </c>
      <c r="BA53">
        <f t="shared" si="254"/>
        <v>0</v>
      </c>
      <c r="BB53">
        <f t="shared" si="254"/>
        <v>0</v>
      </c>
      <c r="BC53">
        <f t="shared" si="254"/>
        <v>0</v>
      </c>
      <c r="BD53">
        <f t="shared" si="254"/>
        <v>0</v>
      </c>
      <c r="BE53">
        <f t="shared" si="254"/>
        <v>0</v>
      </c>
      <c r="BF53">
        <f t="shared" si="254"/>
        <v>0</v>
      </c>
      <c r="BG53">
        <f t="shared" si="254"/>
        <v>0</v>
      </c>
      <c r="BH53">
        <f t="shared" si="254"/>
        <v>0</v>
      </c>
      <c r="BI53">
        <f t="shared" si="254"/>
        <v>0</v>
      </c>
      <c r="BJ53">
        <f t="shared" si="254"/>
        <v>0</v>
      </c>
      <c r="BK53">
        <f t="shared" si="254"/>
        <v>0</v>
      </c>
      <c r="BL53">
        <f t="shared" si="254"/>
        <v>0</v>
      </c>
      <c r="BM53">
        <f t="shared" si="254"/>
        <v>0</v>
      </c>
      <c r="BN53">
        <f t="shared" si="254"/>
        <v>0</v>
      </c>
      <c r="BO53">
        <f t="shared" ref="BO53:DZ53" si="255">BO37-BO18</f>
        <v>0</v>
      </c>
      <c r="BP53">
        <f t="shared" si="255"/>
        <v>0</v>
      </c>
      <c r="BQ53">
        <f t="shared" si="255"/>
        <v>0</v>
      </c>
      <c r="BR53">
        <f t="shared" si="255"/>
        <v>0</v>
      </c>
      <c r="BS53">
        <f t="shared" si="255"/>
        <v>0</v>
      </c>
      <c r="BT53">
        <f t="shared" si="255"/>
        <v>0</v>
      </c>
      <c r="BU53">
        <f t="shared" si="255"/>
        <v>0</v>
      </c>
      <c r="BV53">
        <f t="shared" si="255"/>
        <v>0</v>
      </c>
      <c r="BW53">
        <f t="shared" si="255"/>
        <v>0</v>
      </c>
      <c r="BX53">
        <f t="shared" si="255"/>
        <v>0</v>
      </c>
      <c r="BY53">
        <f t="shared" si="255"/>
        <v>0</v>
      </c>
      <c r="BZ53">
        <f t="shared" si="255"/>
        <v>0</v>
      </c>
      <c r="CA53">
        <f t="shared" si="255"/>
        <v>0</v>
      </c>
      <c r="CB53">
        <f t="shared" si="255"/>
        <v>0</v>
      </c>
      <c r="CC53">
        <f t="shared" si="255"/>
        <v>0</v>
      </c>
      <c r="CD53">
        <f t="shared" si="255"/>
        <v>0</v>
      </c>
      <c r="CE53">
        <f t="shared" si="255"/>
        <v>0</v>
      </c>
      <c r="CF53">
        <f t="shared" si="255"/>
        <v>0</v>
      </c>
      <c r="CG53">
        <f t="shared" si="255"/>
        <v>0</v>
      </c>
      <c r="CH53">
        <f t="shared" si="255"/>
        <v>0</v>
      </c>
      <c r="CI53">
        <f t="shared" si="255"/>
        <v>0</v>
      </c>
      <c r="CJ53">
        <f t="shared" si="255"/>
        <v>0</v>
      </c>
      <c r="CK53">
        <f t="shared" si="255"/>
        <v>0</v>
      </c>
      <c r="CL53">
        <f t="shared" si="255"/>
        <v>0</v>
      </c>
      <c r="CM53">
        <f t="shared" si="255"/>
        <v>0</v>
      </c>
      <c r="CN53">
        <f t="shared" si="255"/>
        <v>0</v>
      </c>
      <c r="CO53">
        <f t="shared" si="255"/>
        <v>0</v>
      </c>
      <c r="CP53">
        <f t="shared" si="255"/>
        <v>0</v>
      </c>
      <c r="CQ53">
        <f t="shared" si="255"/>
        <v>0</v>
      </c>
      <c r="CR53">
        <f t="shared" si="255"/>
        <v>0</v>
      </c>
      <c r="CS53">
        <f t="shared" si="255"/>
        <v>0</v>
      </c>
      <c r="CT53">
        <f t="shared" si="255"/>
        <v>0</v>
      </c>
      <c r="CU53">
        <f t="shared" si="255"/>
        <v>0</v>
      </c>
      <c r="CV53">
        <f t="shared" si="255"/>
        <v>0</v>
      </c>
      <c r="CW53">
        <f t="shared" si="255"/>
        <v>0</v>
      </c>
      <c r="CX53">
        <f t="shared" si="255"/>
        <v>0</v>
      </c>
      <c r="CY53">
        <f t="shared" si="255"/>
        <v>0</v>
      </c>
      <c r="CZ53">
        <f t="shared" si="255"/>
        <v>0</v>
      </c>
      <c r="DA53">
        <f t="shared" si="255"/>
        <v>0</v>
      </c>
      <c r="DB53">
        <f t="shared" si="255"/>
        <v>0</v>
      </c>
      <c r="DC53">
        <f t="shared" si="255"/>
        <v>0</v>
      </c>
      <c r="DD53">
        <f t="shared" si="255"/>
        <v>0</v>
      </c>
      <c r="DE53">
        <f t="shared" si="255"/>
        <v>0</v>
      </c>
      <c r="DF53">
        <f t="shared" si="255"/>
        <v>0</v>
      </c>
      <c r="DG53">
        <f t="shared" si="255"/>
        <v>0</v>
      </c>
      <c r="DH53">
        <f t="shared" si="255"/>
        <v>0</v>
      </c>
      <c r="DI53">
        <f t="shared" si="255"/>
        <v>0</v>
      </c>
      <c r="DJ53">
        <f t="shared" si="255"/>
        <v>0</v>
      </c>
      <c r="DK53">
        <f t="shared" si="255"/>
        <v>0</v>
      </c>
      <c r="DL53">
        <f t="shared" si="255"/>
        <v>0</v>
      </c>
      <c r="DM53">
        <f t="shared" si="255"/>
        <v>0</v>
      </c>
      <c r="DN53">
        <f t="shared" si="255"/>
        <v>0</v>
      </c>
      <c r="DO53">
        <f t="shared" si="255"/>
        <v>0</v>
      </c>
      <c r="DP53">
        <f t="shared" si="255"/>
        <v>0</v>
      </c>
      <c r="DQ53">
        <f t="shared" si="255"/>
        <v>0</v>
      </c>
      <c r="DR53">
        <f t="shared" si="255"/>
        <v>0</v>
      </c>
      <c r="DS53">
        <f t="shared" si="255"/>
        <v>0</v>
      </c>
      <c r="DT53">
        <f t="shared" si="255"/>
        <v>0</v>
      </c>
      <c r="DU53">
        <f t="shared" si="255"/>
        <v>0</v>
      </c>
      <c r="DV53">
        <f t="shared" si="255"/>
        <v>0</v>
      </c>
      <c r="DW53">
        <f t="shared" si="255"/>
        <v>0</v>
      </c>
      <c r="DX53">
        <f t="shared" si="255"/>
        <v>0</v>
      </c>
      <c r="DY53">
        <f t="shared" si="255"/>
        <v>0</v>
      </c>
      <c r="DZ53">
        <f t="shared" si="255"/>
        <v>0</v>
      </c>
      <c r="EA53">
        <f t="shared" ref="EA53:GL53" si="256">EA37-EA18</f>
        <v>0</v>
      </c>
      <c r="EB53">
        <f t="shared" si="256"/>
        <v>0</v>
      </c>
      <c r="EC53">
        <f t="shared" si="256"/>
        <v>0</v>
      </c>
      <c r="ED53">
        <f t="shared" si="256"/>
        <v>0</v>
      </c>
      <c r="EE53">
        <f t="shared" si="256"/>
        <v>0</v>
      </c>
      <c r="EF53">
        <f t="shared" si="256"/>
        <v>0</v>
      </c>
      <c r="EG53">
        <f t="shared" si="256"/>
        <v>0</v>
      </c>
      <c r="EH53">
        <f t="shared" si="256"/>
        <v>0</v>
      </c>
      <c r="EI53">
        <f t="shared" si="256"/>
        <v>0</v>
      </c>
      <c r="EJ53">
        <f t="shared" si="256"/>
        <v>0</v>
      </c>
      <c r="EK53">
        <f t="shared" si="256"/>
        <v>0</v>
      </c>
      <c r="EL53">
        <f t="shared" si="256"/>
        <v>0</v>
      </c>
      <c r="EM53">
        <f t="shared" si="256"/>
        <v>0</v>
      </c>
      <c r="EN53">
        <f t="shared" si="256"/>
        <v>0</v>
      </c>
      <c r="EO53">
        <f t="shared" si="256"/>
        <v>0</v>
      </c>
      <c r="EP53">
        <f t="shared" si="256"/>
        <v>0</v>
      </c>
      <c r="EQ53">
        <f t="shared" si="256"/>
        <v>0</v>
      </c>
      <c r="ER53">
        <f t="shared" si="256"/>
        <v>0</v>
      </c>
      <c r="ES53">
        <f t="shared" si="256"/>
        <v>0</v>
      </c>
      <c r="ET53">
        <f t="shared" si="256"/>
        <v>0</v>
      </c>
      <c r="EU53">
        <f t="shared" si="256"/>
        <v>0</v>
      </c>
      <c r="EV53">
        <f t="shared" si="256"/>
        <v>0</v>
      </c>
      <c r="EW53">
        <f t="shared" si="256"/>
        <v>0</v>
      </c>
      <c r="EX53">
        <f t="shared" si="256"/>
        <v>0</v>
      </c>
      <c r="EY53">
        <f t="shared" si="256"/>
        <v>0</v>
      </c>
      <c r="EZ53">
        <f t="shared" si="256"/>
        <v>0</v>
      </c>
      <c r="FA53">
        <f t="shared" si="256"/>
        <v>0</v>
      </c>
      <c r="FB53">
        <f t="shared" si="256"/>
        <v>0</v>
      </c>
      <c r="FC53">
        <f t="shared" si="256"/>
        <v>0</v>
      </c>
      <c r="FD53">
        <f t="shared" si="256"/>
        <v>0</v>
      </c>
      <c r="FE53">
        <f t="shared" si="256"/>
        <v>0</v>
      </c>
      <c r="FF53">
        <f t="shared" si="256"/>
        <v>0</v>
      </c>
      <c r="FG53">
        <f t="shared" si="256"/>
        <v>0</v>
      </c>
      <c r="FH53">
        <f t="shared" si="256"/>
        <v>0</v>
      </c>
      <c r="FI53">
        <f t="shared" si="256"/>
        <v>0</v>
      </c>
      <c r="FJ53">
        <f t="shared" si="256"/>
        <v>0</v>
      </c>
      <c r="FK53">
        <f t="shared" si="256"/>
        <v>0</v>
      </c>
      <c r="FL53">
        <f t="shared" si="256"/>
        <v>0</v>
      </c>
      <c r="FM53">
        <f t="shared" si="256"/>
        <v>0</v>
      </c>
      <c r="FN53" s="1">
        <f t="shared" si="256"/>
        <v>0</v>
      </c>
      <c r="FO53" s="1">
        <f t="shared" si="256"/>
        <v>0</v>
      </c>
      <c r="FP53" s="1">
        <f t="shared" si="256"/>
        <v>0</v>
      </c>
      <c r="FQ53" s="1">
        <f t="shared" si="256"/>
        <v>0</v>
      </c>
      <c r="FR53" s="1">
        <f t="shared" si="256"/>
        <v>0</v>
      </c>
      <c r="FS53" s="1">
        <f t="shared" si="256"/>
        <v>0</v>
      </c>
      <c r="FT53" s="1">
        <f t="shared" si="256"/>
        <v>0</v>
      </c>
      <c r="FU53" s="1">
        <f t="shared" si="256"/>
        <v>0</v>
      </c>
      <c r="FV53" s="1">
        <f t="shared" si="256"/>
        <v>0</v>
      </c>
      <c r="FW53" s="1">
        <f t="shared" si="256"/>
        <v>0</v>
      </c>
      <c r="FX53" s="1">
        <f t="shared" si="256"/>
        <v>0</v>
      </c>
      <c r="FY53" s="1">
        <f t="shared" si="256"/>
        <v>0</v>
      </c>
      <c r="FZ53" s="1">
        <f t="shared" si="256"/>
        <v>0</v>
      </c>
      <c r="GA53" s="1">
        <f t="shared" si="256"/>
        <v>0</v>
      </c>
      <c r="GB53" s="1">
        <f t="shared" si="256"/>
        <v>0</v>
      </c>
      <c r="GC53" s="1">
        <f t="shared" si="256"/>
        <v>0</v>
      </c>
      <c r="GD53" s="1">
        <f t="shared" si="256"/>
        <v>0</v>
      </c>
      <c r="GE53" s="1">
        <f t="shared" si="256"/>
        <v>0</v>
      </c>
      <c r="GF53" s="1">
        <f t="shared" si="256"/>
        <v>0</v>
      </c>
      <c r="GG53" s="1">
        <f t="shared" si="256"/>
        <v>0</v>
      </c>
      <c r="GH53" s="1">
        <f t="shared" si="256"/>
        <v>0</v>
      </c>
      <c r="GI53" s="1">
        <f t="shared" si="256"/>
        <v>0</v>
      </c>
      <c r="GJ53" s="1">
        <f t="shared" si="256"/>
        <v>0</v>
      </c>
      <c r="GK53" s="1">
        <f t="shared" si="256"/>
        <v>0</v>
      </c>
      <c r="GL53" s="1">
        <f t="shared" si="256"/>
        <v>0</v>
      </c>
      <c r="GM53" s="1">
        <f t="shared" ref="GM53:IX53" si="257">GM37-GM18</f>
        <v>0</v>
      </c>
      <c r="GN53" s="1">
        <f t="shared" si="257"/>
        <v>0</v>
      </c>
      <c r="GO53" s="1">
        <f t="shared" si="257"/>
        <v>0</v>
      </c>
      <c r="GP53" s="1">
        <f t="shared" si="257"/>
        <v>0</v>
      </c>
      <c r="GQ53" s="1">
        <f t="shared" si="257"/>
        <v>0</v>
      </c>
      <c r="GR53" s="1">
        <f t="shared" si="257"/>
        <v>0</v>
      </c>
      <c r="GS53" s="1">
        <f t="shared" si="257"/>
        <v>0</v>
      </c>
      <c r="GT53" s="1">
        <f t="shared" si="257"/>
        <v>0</v>
      </c>
      <c r="GU53" s="1">
        <f t="shared" si="257"/>
        <v>0</v>
      </c>
      <c r="GV53" s="1">
        <f t="shared" si="257"/>
        <v>0</v>
      </c>
      <c r="GW53" s="1">
        <f t="shared" si="257"/>
        <v>0</v>
      </c>
      <c r="GX53" s="1">
        <f t="shared" si="257"/>
        <v>0</v>
      </c>
      <c r="GY53" s="1">
        <f t="shared" si="257"/>
        <v>0</v>
      </c>
      <c r="GZ53" s="1">
        <f t="shared" si="257"/>
        <v>0</v>
      </c>
      <c r="HA53" s="1">
        <f t="shared" si="257"/>
        <v>0</v>
      </c>
      <c r="HB53" s="1">
        <f t="shared" si="257"/>
        <v>0</v>
      </c>
      <c r="HC53" s="1">
        <f t="shared" si="257"/>
        <v>0</v>
      </c>
      <c r="HD53" s="1">
        <f t="shared" si="257"/>
        <v>0</v>
      </c>
      <c r="HE53" s="1">
        <f t="shared" si="257"/>
        <v>0</v>
      </c>
      <c r="HF53" s="1">
        <f t="shared" si="257"/>
        <v>0</v>
      </c>
      <c r="HG53" s="1">
        <f t="shared" si="257"/>
        <v>0</v>
      </c>
      <c r="HH53" s="1">
        <f t="shared" si="257"/>
        <v>0</v>
      </c>
      <c r="HI53" s="1">
        <f t="shared" si="257"/>
        <v>0</v>
      </c>
      <c r="HJ53" s="1">
        <f t="shared" si="257"/>
        <v>0</v>
      </c>
      <c r="HK53" s="1">
        <f t="shared" si="257"/>
        <v>0</v>
      </c>
      <c r="HL53" s="1">
        <f t="shared" si="257"/>
        <v>0</v>
      </c>
      <c r="HM53" s="1">
        <f t="shared" si="257"/>
        <v>0</v>
      </c>
      <c r="HN53" s="1">
        <f t="shared" si="257"/>
        <v>0</v>
      </c>
      <c r="HO53" s="1">
        <f t="shared" si="257"/>
        <v>0</v>
      </c>
      <c r="HP53" s="1">
        <f t="shared" si="257"/>
        <v>0</v>
      </c>
      <c r="HQ53" s="1">
        <f t="shared" si="257"/>
        <v>0</v>
      </c>
      <c r="HR53" s="1">
        <f t="shared" si="257"/>
        <v>0</v>
      </c>
      <c r="HS53" s="1">
        <f t="shared" si="257"/>
        <v>0</v>
      </c>
      <c r="HT53" s="1">
        <f t="shared" si="257"/>
        <v>0</v>
      </c>
      <c r="HU53" s="1">
        <f t="shared" si="257"/>
        <v>0</v>
      </c>
      <c r="HV53" s="1">
        <f t="shared" si="257"/>
        <v>0</v>
      </c>
      <c r="HW53" s="1">
        <f t="shared" si="257"/>
        <v>0</v>
      </c>
      <c r="HX53" s="1">
        <f t="shared" si="257"/>
        <v>0</v>
      </c>
      <c r="HY53" s="1">
        <f t="shared" si="257"/>
        <v>0</v>
      </c>
      <c r="HZ53" s="1">
        <f t="shared" si="257"/>
        <v>0</v>
      </c>
      <c r="IA53" s="1">
        <f t="shared" si="257"/>
        <v>0</v>
      </c>
      <c r="IB53" s="1">
        <f t="shared" si="257"/>
        <v>0</v>
      </c>
      <c r="IC53" s="1">
        <f t="shared" si="257"/>
        <v>0</v>
      </c>
      <c r="ID53" s="1">
        <f t="shared" si="257"/>
        <v>0</v>
      </c>
      <c r="IE53" s="1">
        <f t="shared" si="257"/>
        <v>0</v>
      </c>
      <c r="IF53" s="1">
        <f t="shared" si="257"/>
        <v>0</v>
      </c>
      <c r="IG53" s="1">
        <f t="shared" si="257"/>
        <v>0</v>
      </c>
      <c r="IH53" s="1">
        <f t="shared" si="257"/>
        <v>0</v>
      </c>
      <c r="II53" s="1">
        <f t="shared" si="257"/>
        <v>0</v>
      </c>
      <c r="IJ53" s="1">
        <f t="shared" si="257"/>
        <v>0</v>
      </c>
      <c r="IK53" s="1">
        <f t="shared" si="257"/>
        <v>0</v>
      </c>
      <c r="IL53" s="1">
        <f t="shared" si="257"/>
        <v>0</v>
      </c>
      <c r="IM53" s="1">
        <f t="shared" si="257"/>
        <v>0</v>
      </c>
      <c r="IN53" s="1">
        <f t="shared" si="257"/>
        <v>0</v>
      </c>
      <c r="IO53" s="1">
        <f t="shared" si="257"/>
        <v>0</v>
      </c>
      <c r="IP53" s="1">
        <f t="shared" si="257"/>
        <v>0</v>
      </c>
      <c r="IQ53" s="1">
        <f t="shared" si="257"/>
        <v>0</v>
      </c>
      <c r="IR53" s="1">
        <f t="shared" si="257"/>
        <v>0</v>
      </c>
      <c r="IS53" s="1">
        <f t="shared" si="257"/>
        <v>0</v>
      </c>
      <c r="IT53" s="1">
        <f t="shared" si="257"/>
        <v>0</v>
      </c>
      <c r="IU53" s="1">
        <f t="shared" si="257"/>
        <v>0</v>
      </c>
      <c r="IV53" s="1">
        <f t="shared" si="257"/>
        <v>0</v>
      </c>
      <c r="IW53" s="1">
        <f t="shared" si="257"/>
        <v>0</v>
      </c>
      <c r="IX53" s="1">
        <f t="shared" si="257"/>
        <v>0</v>
      </c>
      <c r="IY53" s="1">
        <f t="shared" ref="IY53:LJ53" si="258">IY37-IY18</f>
        <v>0</v>
      </c>
      <c r="IZ53" s="1">
        <f t="shared" si="258"/>
        <v>0</v>
      </c>
      <c r="JA53" s="1">
        <f t="shared" si="258"/>
        <v>0</v>
      </c>
      <c r="JB53" s="1">
        <f t="shared" si="258"/>
        <v>0</v>
      </c>
      <c r="JC53" s="1">
        <f t="shared" si="258"/>
        <v>0</v>
      </c>
      <c r="JD53" s="1">
        <f t="shared" si="258"/>
        <v>0</v>
      </c>
      <c r="JE53" s="1">
        <f t="shared" si="258"/>
        <v>0</v>
      </c>
      <c r="JF53" s="1">
        <f t="shared" si="258"/>
        <v>0</v>
      </c>
      <c r="JG53" s="1">
        <f t="shared" si="258"/>
        <v>0</v>
      </c>
      <c r="JH53" s="1">
        <f t="shared" si="258"/>
        <v>0</v>
      </c>
      <c r="JI53" s="1">
        <f t="shared" si="258"/>
        <v>0</v>
      </c>
      <c r="JJ53" s="1">
        <f t="shared" si="258"/>
        <v>0</v>
      </c>
      <c r="JK53" s="1">
        <f t="shared" si="258"/>
        <v>0</v>
      </c>
      <c r="JL53" s="1">
        <f t="shared" si="258"/>
        <v>0</v>
      </c>
      <c r="JM53" s="1">
        <f t="shared" si="258"/>
        <v>0</v>
      </c>
      <c r="JN53" s="1">
        <f t="shared" si="258"/>
        <v>0</v>
      </c>
      <c r="JO53" s="1">
        <f t="shared" si="258"/>
        <v>0</v>
      </c>
      <c r="JP53" s="1">
        <f t="shared" si="258"/>
        <v>0</v>
      </c>
      <c r="JQ53" s="1">
        <f t="shared" si="258"/>
        <v>0</v>
      </c>
      <c r="JR53" s="1">
        <f t="shared" si="258"/>
        <v>0</v>
      </c>
      <c r="JS53" s="1">
        <f t="shared" si="258"/>
        <v>0</v>
      </c>
      <c r="JT53" s="1">
        <f t="shared" si="258"/>
        <v>0</v>
      </c>
      <c r="JU53" s="1">
        <f t="shared" si="258"/>
        <v>0</v>
      </c>
      <c r="JV53" s="1">
        <f t="shared" si="258"/>
        <v>0</v>
      </c>
      <c r="JW53" s="1">
        <f t="shared" si="258"/>
        <v>0</v>
      </c>
      <c r="JX53" s="1">
        <f t="shared" si="258"/>
        <v>0</v>
      </c>
      <c r="JY53" s="1">
        <f t="shared" si="258"/>
        <v>0</v>
      </c>
      <c r="JZ53" s="1">
        <f t="shared" si="258"/>
        <v>0</v>
      </c>
      <c r="KA53" s="1">
        <f t="shared" si="258"/>
        <v>0</v>
      </c>
      <c r="KB53" s="1">
        <f t="shared" si="258"/>
        <v>0</v>
      </c>
      <c r="KC53" s="1">
        <f t="shared" si="258"/>
        <v>0</v>
      </c>
      <c r="KD53" s="1">
        <f t="shared" si="258"/>
        <v>0</v>
      </c>
      <c r="KE53" s="1">
        <f t="shared" si="258"/>
        <v>0</v>
      </c>
      <c r="KF53" s="1">
        <f t="shared" si="258"/>
        <v>0</v>
      </c>
      <c r="KG53" s="1">
        <f t="shared" si="258"/>
        <v>0</v>
      </c>
      <c r="KH53" s="1">
        <f t="shared" si="258"/>
        <v>0</v>
      </c>
      <c r="KI53" s="1">
        <f t="shared" si="258"/>
        <v>0</v>
      </c>
      <c r="KJ53" s="1">
        <f t="shared" si="258"/>
        <v>0</v>
      </c>
      <c r="KK53" s="1">
        <f t="shared" si="258"/>
        <v>0</v>
      </c>
      <c r="KL53" s="1">
        <f t="shared" si="258"/>
        <v>0</v>
      </c>
      <c r="KM53" s="1">
        <f t="shared" si="258"/>
        <v>0</v>
      </c>
      <c r="KN53" s="1">
        <f t="shared" si="258"/>
        <v>0</v>
      </c>
      <c r="KO53" s="1">
        <f t="shared" si="258"/>
        <v>0</v>
      </c>
      <c r="KP53" s="1">
        <f t="shared" si="258"/>
        <v>0</v>
      </c>
      <c r="KQ53" s="1">
        <f t="shared" si="258"/>
        <v>0</v>
      </c>
      <c r="KR53" s="1">
        <f t="shared" si="258"/>
        <v>0</v>
      </c>
      <c r="KS53" s="1">
        <f t="shared" si="258"/>
        <v>0</v>
      </c>
      <c r="KT53" s="1">
        <f t="shared" si="258"/>
        <v>0</v>
      </c>
      <c r="KU53" s="1">
        <f t="shared" si="258"/>
        <v>0</v>
      </c>
      <c r="KV53" s="1">
        <f t="shared" si="258"/>
        <v>0</v>
      </c>
      <c r="KW53" s="1">
        <f t="shared" si="258"/>
        <v>0</v>
      </c>
      <c r="KX53" s="1">
        <f t="shared" si="258"/>
        <v>0</v>
      </c>
      <c r="KY53" s="1">
        <f t="shared" si="258"/>
        <v>0</v>
      </c>
      <c r="KZ53" s="1">
        <f t="shared" si="258"/>
        <v>0</v>
      </c>
      <c r="LA53" s="1">
        <f t="shared" si="258"/>
        <v>0</v>
      </c>
      <c r="LB53" s="1">
        <f t="shared" si="258"/>
        <v>0</v>
      </c>
      <c r="LC53" s="1">
        <f t="shared" si="258"/>
        <v>0</v>
      </c>
      <c r="LD53" s="1">
        <f t="shared" si="258"/>
        <v>0</v>
      </c>
      <c r="LE53" s="1">
        <f t="shared" si="258"/>
        <v>0</v>
      </c>
      <c r="LF53" s="1">
        <f t="shared" si="258"/>
        <v>0</v>
      </c>
      <c r="LG53" s="1">
        <f t="shared" si="258"/>
        <v>0</v>
      </c>
      <c r="LH53" s="1">
        <f t="shared" si="258"/>
        <v>0</v>
      </c>
      <c r="LI53" s="1">
        <f t="shared" si="258"/>
        <v>0</v>
      </c>
      <c r="LJ53" s="1">
        <f t="shared" si="258"/>
        <v>0</v>
      </c>
      <c r="LK53" s="1">
        <f t="shared" ref="LK53:NV53" si="259">LK37-LK18</f>
        <v>0</v>
      </c>
      <c r="LL53" s="1">
        <f t="shared" si="259"/>
        <v>0</v>
      </c>
      <c r="LM53" s="1">
        <f t="shared" si="259"/>
        <v>0</v>
      </c>
      <c r="LN53" s="1">
        <f t="shared" si="259"/>
        <v>0</v>
      </c>
      <c r="LO53" s="1">
        <f t="shared" si="259"/>
        <v>0</v>
      </c>
      <c r="LP53" s="1">
        <f t="shared" si="259"/>
        <v>0</v>
      </c>
      <c r="LQ53" s="1">
        <f t="shared" si="259"/>
        <v>0</v>
      </c>
      <c r="LR53" s="1">
        <f t="shared" si="259"/>
        <v>0</v>
      </c>
      <c r="LS53" s="1">
        <f t="shared" si="259"/>
        <v>0</v>
      </c>
      <c r="LT53" s="1">
        <f t="shared" si="259"/>
        <v>0</v>
      </c>
      <c r="LU53" s="1">
        <f t="shared" si="259"/>
        <v>0</v>
      </c>
      <c r="LV53" s="1">
        <f t="shared" si="259"/>
        <v>0</v>
      </c>
      <c r="LW53" s="1">
        <f t="shared" si="259"/>
        <v>0</v>
      </c>
      <c r="LX53" s="1">
        <f t="shared" si="259"/>
        <v>0</v>
      </c>
      <c r="LY53" s="1">
        <f t="shared" si="259"/>
        <v>0</v>
      </c>
      <c r="LZ53" s="1">
        <f t="shared" si="259"/>
        <v>0</v>
      </c>
      <c r="MA53" s="1">
        <f t="shared" si="259"/>
        <v>0</v>
      </c>
      <c r="MB53" s="1">
        <f t="shared" si="259"/>
        <v>0</v>
      </c>
      <c r="MC53" s="1">
        <f t="shared" si="259"/>
        <v>0</v>
      </c>
      <c r="MD53" s="1">
        <f t="shared" si="259"/>
        <v>0</v>
      </c>
      <c r="ME53" s="1">
        <f t="shared" si="259"/>
        <v>0</v>
      </c>
      <c r="MF53" s="1">
        <f t="shared" si="259"/>
        <v>0</v>
      </c>
      <c r="MG53" s="1">
        <f t="shared" si="259"/>
        <v>0</v>
      </c>
      <c r="MH53" s="1">
        <f t="shared" si="259"/>
        <v>0</v>
      </c>
      <c r="MI53" s="1">
        <f t="shared" si="259"/>
        <v>0</v>
      </c>
      <c r="MJ53" s="1">
        <f t="shared" si="259"/>
        <v>0</v>
      </c>
      <c r="MK53" s="1">
        <f t="shared" si="259"/>
        <v>0</v>
      </c>
      <c r="ML53" s="1">
        <f t="shared" si="259"/>
        <v>0</v>
      </c>
      <c r="MM53" s="1">
        <f t="shared" si="259"/>
        <v>0</v>
      </c>
      <c r="MN53" s="1">
        <f t="shared" si="259"/>
        <v>0</v>
      </c>
      <c r="MO53" s="1">
        <f t="shared" si="259"/>
        <v>0</v>
      </c>
      <c r="MP53" s="1">
        <f t="shared" si="259"/>
        <v>0</v>
      </c>
      <c r="MQ53" s="1">
        <f t="shared" si="259"/>
        <v>0</v>
      </c>
      <c r="MR53" s="1">
        <f t="shared" si="259"/>
        <v>0</v>
      </c>
      <c r="MS53" s="1">
        <f t="shared" si="259"/>
        <v>0</v>
      </c>
      <c r="MT53" s="1">
        <f t="shared" si="259"/>
        <v>0</v>
      </c>
      <c r="MU53" s="1">
        <f t="shared" si="259"/>
        <v>0</v>
      </c>
      <c r="MV53" s="1">
        <f t="shared" si="259"/>
        <v>0</v>
      </c>
      <c r="MW53" s="1">
        <f t="shared" si="259"/>
        <v>0</v>
      </c>
      <c r="MX53" s="1">
        <f t="shared" si="259"/>
        <v>0</v>
      </c>
      <c r="MY53" s="1">
        <f t="shared" si="259"/>
        <v>0</v>
      </c>
      <c r="MZ53" s="1">
        <f t="shared" si="259"/>
        <v>0</v>
      </c>
      <c r="NA53" s="1">
        <f t="shared" si="259"/>
        <v>0</v>
      </c>
      <c r="NB53" s="1">
        <f t="shared" si="259"/>
        <v>0</v>
      </c>
      <c r="NC53" s="1">
        <f t="shared" si="259"/>
        <v>0</v>
      </c>
      <c r="ND53" s="1">
        <f t="shared" si="259"/>
        <v>0</v>
      </c>
      <c r="NE53" s="1">
        <f t="shared" si="259"/>
        <v>0</v>
      </c>
      <c r="NF53" s="1">
        <f t="shared" si="259"/>
        <v>0</v>
      </c>
      <c r="NG53" s="1">
        <f t="shared" si="259"/>
        <v>0</v>
      </c>
      <c r="NH53" s="1">
        <f t="shared" si="259"/>
        <v>0</v>
      </c>
      <c r="NI53" s="1">
        <f t="shared" si="259"/>
        <v>0</v>
      </c>
      <c r="NJ53" s="1">
        <f t="shared" si="259"/>
        <v>0</v>
      </c>
      <c r="NK53" s="1">
        <f t="shared" si="259"/>
        <v>0</v>
      </c>
      <c r="NL53" s="1">
        <f t="shared" si="259"/>
        <v>0</v>
      </c>
      <c r="NM53" s="1">
        <f t="shared" si="259"/>
        <v>0</v>
      </c>
      <c r="NN53" s="1">
        <f t="shared" si="259"/>
        <v>0</v>
      </c>
      <c r="NO53" s="1">
        <f t="shared" si="259"/>
        <v>0</v>
      </c>
      <c r="NP53" s="1">
        <f t="shared" si="259"/>
        <v>0</v>
      </c>
      <c r="NQ53" s="1">
        <f t="shared" si="259"/>
        <v>0</v>
      </c>
      <c r="NR53" s="1">
        <f t="shared" si="259"/>
        <v>0</v>
      </c>
      <c r="NS53" s="1">
        <f t="shared" si="259"/>
        <v>0</v>
      </c>
      <c r="NT53" s="1">
        <f t="shared" si="259"/>
        <v>0</v>
      </c>
      <c r="NU53" s="1">
        <f t="shared" si="259"/>
        <v>0</v>
      </c>
      <c r="NV53" s="1">
        <f t="shared" si="259"/>
        <v>0</v>
      </c>
      <c r="NW53" s="1">
        <f t="shared" ref="NW53:QH53" si="260">NW37-NW18</f>
        <v>0</v>
      </c>
      <c r="NX53" s="1">
        <f t="shared" si="260"/>
        <v>0</v>
      </c>
      <c r="NY53" s="1">
        <f t="shared" si="260"/>
        <v>0</v>
      </c>
      <c r="NZ53" s="1">
        <f t="shared" si="260"/>
        <v>0</v>
      </c>
      <c r="OA53" s="1">
        <f t="shared" si="260"/>
        <v>0</v>
      </c>
      <c r="OB53" s="1">
        <f t="shared" si="260"/>
        <v>0</v>
      </c>
      <c r="OC53" s="1">
        <f t="shared" si="260"/>
        <v>0</v>
      </c>
      <c r="OD53" s="1">
        <f t="shared" si="260"/>
        <v>0</v>
      </c>
      <c r="OE53" s="1">
        <f t="shared" si="260"/>
        <v>0</v>
      </c>
      <c r="OF53" s="1">
        <f t="shared" si="260"/>
        <v>0</v>
      </c>
      <c r="OG53" s="1">
        <f t="shared" si="260"/>
        <v>0</v>
      </c>
      <c r="OH53" s="1">
        <f t="shared" si="260"/>
        <v>0</v>
      </c>
      <c r="OI53" s="1">
        <f t="shared" si="260"/>
        <v>0</v>
      </c>
      <c r="OJ53" s="1">
        <f t="shared" si="260"/>
        <v>0</v>
      </c>
      <c r="OK53" s="1">
        <f t="shared" si="260"/>
        <v>0</v>
      </c>
      <c r="OL53" s="1">
        <f t="shared" si="260"/>
        <v>0</v>
      </c>
      <c r="OM53" s="1">
        <f t="shared" si="260"/>
        <v>0</v>
      </c>
      <c r="ON53" s="1">
        <f t="shared" si="260"/>
        <v>0</v>
      </c>
      <c r="OO53" s="1">
        <f t="shared" si="260"/>
        <v>0</v>
      </c>
      <c r="OP53" s="1">
        <f t="shared" si="260"/>
        <v>0</v>
      </c>
      <c r="OQ53" s="1">
        <f t="shared" si="260"/>
        <v>0</v>
      </c>
      <c r="OR53" s="1">
        <f t="shared" si="260"/>
        <v>0</v>
      </c>
      <c r="OS53" s="1">
        <f t="shared" si="260"/>
        <v>0</v>
      </c>
      <c r="OT53" s="1">
        <f t="shared" si="260"/>
        <v>0</v>
      </c>
      <c r="OU53" s="1">
        <f t="shared" si="260"/>
        <v>0</v>
      </c>
      <c r="OV53" s="1">
        <f t="shared" si="260"/>
        <v>0</v>
      </c>
      <c r="OW53" s="1">
        <f t="shared" si="260"/>
        <v>0</v>
      </c>
      <c r="OX53" s="1">
        <f t="shared" si="260"/>
        <v>0</v>
      </c>
      <c r="OY53" s="1">
        <f t="shared" si="260"/>
        <v>0</v>
      </c>
      <c r="OZ53" s="1">
        <f t="shared" si="260"/>
        <v>0</v>
      </c>
      <c r="PA53" s="1">
        <f t="shared" si="260"/>
        <v>0</v>
      </c>
      <c r="PB53" s="1">
        <f t="shared" si="260"/>
        <v>0</v>
      </c>
      <c r="PC53" s="1">
        <f t="shared" si="260"/>
        <v>0</v>
      </c>
      <c r="PD53" s="1">
        <f t="shared" si="260"/>
        <v>0</v>
      </c>
      <c r="PE53" s="1">
        <f t="shared" si="260"/>
        <v>0</v>
      </c>
      <c r="PF53" s="1">
        <f t="shared" si="260"/>
        <v>0</v>
      </c>
      <c r="PG53" s="1">
        <f t="shared" si="260"/>
        <v>0</v>
      </c>
      <c r="PH53" s="1">
        <f t="shared" si="260"/>
        <v>0</v>
      </c>
      <c r="PI53" s="1">
        <f t="shared" si="260"/>
        <v>0</v>
      </c>
      <c r="PJ53" s="1">
        <f t="shared" si="260"/>
        <v>0</v>
      </c>
      <c r="PK53" s="1">
        <f t="shared" si="260"/>
        <v>0</v>
      </c>
      <c r="PL53" s="1">
        <f t="shared" si="260"/>
        <v>0</v>
      </c>
      <c r="PM53" s="1">
        <f t="shared" si="260"/>
        <v>0</v>
      </c>
      <c r="PN53" s="1">
        <f t="shared" si="260"/>
        <v>0</v>
      </c>
      <c r="PO53" s="1">
        <f t="shared" si="260"/>
        <v>0</v>
      </c>
      <c r="PP53" s="1">
        <f t="shared" si="260"/>
        <v>0</v>
      </c>
      <c r="PQ53" s="1">
        <f t="shared" si="260"/>
        <v>0</v>
      </c>
      <c r="PR53" s="1">
        <f t="shared" si="260"/>
        <v>0</v>
      </c>
      <c r="PS53" s="1">
        <f t="shared" si="260"/>
        <v>0</v>
      </c>
      <c r="PT53" s="1">
        <f t="shared" si="260"/>
        <v>0</v>
      </c>
      <c r="PU53" s="1">
        <f t="shared" si="260"/>
        <v>0</v>
      </c>
      <c r="PV53" s="1">
        <f t="shared" si="260"/>
        <v>0</v>
      </c>
      <c r="PW53" s="1">
        <f t="shared" si="260"/>
        <v>0</v>
      </c>
      <c r="PX53" s="1">
        <f t="shared" si="260"/>
        <v>0</v>
      </c>
      <c r="PY53" s="1">
        <f t="shared" si="260"/>
        <v>0</v>
      </c>
      <c r="PZ53" s="1">
        <f t="shared" si="260"/>
        <v>0</v>
      </c>
      <c r="QA53" s="1">
        <f t="shared" si="260"/>
        <v>0</v>
      </c>
      <c r="QB53" s="1">
        <f t="shared" si="260"/>
        <v>0</v>
      </c>
      <c r="QC53" s="1">
        <f t="shared" si="260"/>
        <v>0</v>
      </c>
      <c r="QD53" s="1">
        <f t="shared" si="260"/>
        <v>0</v>
      </c>
      <c r="QE53" s="1">
        <f t="shared" si="260"/>
        <v>0</v>
      </c>
      <c r="QF53" s="1">
        <f t="shared" si="260"/>
        <v>0</v>
      </c>
      <c r="QG53" s="1">
        <f t="shared" si="260"/>
        <v>0</v>
      </c>
      <c r="QH53" s="1">
        <f t="shared" si="260"/>
        <v>0</v>
      </c>
      <c r="QI53" s="1">
        <f t="shared" ref="QI53:SG53" si="261">QI37-QI18</f>
        <v>0</v>
      </c>
      <c r="QJ53" s="1">
        <f t="shared" si="261"/>
        <v>0</v>
      </c>
      <c r="QK53" s="1">
        <f t="shared" si="261"/>
        <v>0</v>
      </c>
      <c r="QL53" s="1">
        <f t="shared" si="261"/>
        <v>0</v>
      </c>
      <c r="QM53" s="1">
        <f t="shared" si="261"/>
        <v>0</v>
      </c>
      <c r="QN53" s="1">
        <f t="shared" si="261"/>
        <v>0</v>
      </c>
      <c r="QO53" s="1">
        <f t="shared" si="261"/>
        <v>0</v>
      </c>
      <c r="QP53" s="1">
        <f t="shared" si="261"/>
        <v>0</v>
      </c>
      <c r="QQ53" s="1">
        <f t="shared" si="261"/>
        <v>0</v>
      </c>
      <c r="QR53" s="1">
        <f t="shared" si="261"/>
        <v>0</v>
      </c>
      <c r="QS53" s="1">
        <f t="shared" si="261"/>
        <v>0</v>
      </c>
      <c r="QT53" s="1">
        <f t="shared" si="261"/>
        <v>0</v>
      </c>
      <c r="QU53" s="1">
        <f t="shared" si="261"/>
        <v>0</v>
      </c>
      <c r="QV53" s="1">
        <f t="shared" si="261"/>
        <v>0</v>
      </c>
      <c r="QW53" s="1">
        <f t="shared" si="261"/>
        <v>0</v>
      </c>
      <c r="QX53" s="1">
        <f t="shared" si="261"/>
        <v>0</v>
      </c>
      <c r="QY53" s="1">
        <f t="shared" si="261"/>
        <v>0</v>
      </c>
      <c r="QZ53" s="1">
        <f t="shared" si="261"/>
        <v>0</v>
      </c>
      <c r="RA53" s="1">
        <f t="shared" si="261"/>
        <v>0</v>
      </c>
      <c r="RB53" s="1">
        <f t="shared" si="261"/>
        <v>0</v>
      </c>
      <c r="RC53" s="1">
        <f t="shared" si="261"/>
        <v>0</v>
      </c>
      <c r="RD53" s="1">
        <f t="shared" si="261"/>
        <v>0</v>
      </c>
      <c r="RE53" s="1">
        <f t="shared" si="261"/>
        <v>0</v>
      </c>
      <c r="RF53" s="1">
        <f t="shared" si="261"/>
        <v>0</v>
      </c>
      <c r="RG53" s="1">
        <f t="shared" si="261"/>
        <v>0</v>
      </c>
      <c r="RH53" s="1">
        <f t="shared" si="261"/>
        <v>0</v>
      </c>
      <c r="RI53" s="1">
        <f t="shared" si="261"/>
        <v>0</v>
      </c>
      <c r="RJ53" s="1">
        <f t="shared" si="261"/>
        <v>0</v>
      </c>
      <c r="RK53" s="1">
        <f t="shared" si="261"/>
        <v>0</v>
      </c>
      <c r="RL53" s="1">
        <f t="shared" si="261"/>
        <v>0</v>
      </c>
      <c r="RM53" s="1">
        <f t="shared" si="261"/>
        <v>0</v>
      </c>
      <c r="RN53" s="1">
        <f t="shared" si="261"/>
        <v>0</v>
      </c>
      <c r="RO53" s="1">
        <f t="shared" si="261"/>
        <v>0</v>
      </c>
      <c r="RP53" s="1">
        <f t="shared" si="261"/>
        <v>0</v>
      </c>
      <c r="RQ53" s="1">
        <f t="shared" si="261"/>
        <v>0</v>
      </c>
      <c r="RR53" s="1">
        <f t="shared" si="261"/>
        <v>0</v>
      </c>
      <c r="RS53" s="1">
        <f t="shared" si="261"/>
        <v>0</v>
      </c>
      <c r="RT53" s="1">
        <f t="shared" si="261"/>
        <v>0</v>
      </c>
      <c r="RU53" s="1">
        <f t="shared" si="261"/>
        <v>0</v>
      </c>
      <c r="RV53" s="1">
        <f t="shared" si="261"/>
        <v>0</v>
      </c>
      <c r="RW53" s="1">
        <f t="shared" si="261"/>
        <v>0</v>
      </c>
      <c r="RX53" s="1">
        <f t="shared" si="261"/>
        <v>0</v>
      </c>
      <c r="RY53" s="1">
        <f t="shared" si="261"/>
        <v>0</v>
      </c>
      <c r="RZ53" s="1">
        <f t="shared" si="261"/>
        <v>0</v>
      </c>
      <c r="SA53" s="1">
        <f t="shared" si="261"/>
        <v>0</v>
      </c>
      <c r="SB53" s="1">
        <f t="shared" si="261"/>
        <v>0</v>
      </c>
      <c r="SC53" s="1">
        <f t="shared" si="261"/>
        <v>0</v>
      </c>
      <c r="SD53" s="1">
        <f t="shared" si="261"/>
        <v>0</v>
      </c>
      <c r="SE53" s="1">
        <f t="shared" si="261"/>
        <v>0</v>
      </c>
      <c r="SF53" s="1">
        <f t="shared" si="261"/>
        <v>0</v>
      </c>
      <c r="SG53" s="1">
        <f t="shared" si="261"/>
        <v>0</v>
      </c>
      <c r="SH53" s="1">
        <f t="shared" ref="SH53:US53" si="262">SH37-SH18</f>
        <v>0</v>
      </c>
      <c r="SI53" s="1">
        <f t="shared" si="262"/>
        <v>0</v>
      </c>
      <c r="SJ53" s="1">
        <f t="shared" si="262"/>
        <v>0</v>
      </c>
      <c r="SK53" s="1">
        <f t="shared" si="262"/>
        <v>0</v>
      </c>
      <c r="SL53" s="1">
        <f t="shared" si="262"/>
        <v>0</v>
      </c>
      <c r="SM53" s="1">
        <f t="shared" si="262"/>
        <v>0</v>
      </c>
      <c r="SN53" s="1">
        <f t="shared" si="262"/>
        <v>0</v>
      </c>
      <c r="SO53" s="1">
        <f t="shared" si="262"/>
        <v>0</v>
      </c>
      <c r="SP53" s="1">
        <f t="shared" si="262"/>
        <v>0</v>
      </c>
      <c r="SQ53" s="1">
        <f t="shared" si="262"/>
        <v>0</v>
      </c>
      <c r="SR53" s="1">
        <f t="shared" si="262"/>
        <v>0</v>
      </c>
      <c r="SS53" s="1">
        <f t="shared" si="262"/>
        <v>0</v>
      </c>
      <c r="ST53" s="1">
        <f t="shared" si="262"/>
        <v>0</v>
      </c>
      <c r="SU53" s="1">
        <f t="shared" si="262"/>
        <v>0</v>
      </c>
      <c r="SV53" s="1">
        <f t="shared" si="262"/>
        <v>0</v>
      </c>
      <c r="SW53" s="1">
        <f t="shared" si="262"/>
        <v>0</v>
      </c>
      <c r="SX53" s="1">
        <f t="shared" si="262"/>
        <v>0</v>
      </c>
      <c r="SY53" s="1">
        <f t="shared" si="262"/>
        <v>0</v>
      </c>
      <c r="SZ53" s="1">
        <f t="shared" si="262"/>
        <v>0</v>
      </c>
      <c r="TA53" s="1">
        <f t="shared" si="262"/>
        <v>0</v>
      </c>
      <c r="TB53" s="1">
        <f t="shared" si="262"/>
        <v>0</v>
      </c>
      <c r="TC53" s="1">
        <f t="shared" si="262"/>
        <v>0</v>
      </c>
      <c r="TD53" s="1">
        <f t="shared" si="262"/>
        <v>0</v>
      </c>
      <c r="TE53" s="1">
        <f t="shared" si="262"/>
        <v>0</v>
      </c>
      <c r="TF53" s="1">
        <f t="shared" si="262"/>
        <v>0</v>
      </c>
      <c r="TG53" s="1">
        <f t="shared" si="262"/>
        <v>0</v>
      </c>
      <c r="TH53" s="1">
        <f t="shared" si="262"/>
        <v>0</v>
      </c>
      <c r="TI53" s="1">
        <f t="shared" si="262"/>
        <v>0</v>
      </c>
      <c r="TJ53" s="1">
        <f t="shared" si="262"/>
        <v>0</v>
      </c>
      <c r="TK53" s="1">
        <f t="shared" si="262"/>
        <v>0</v>
      </c>
      <c r="TL53" s="1">
        <f t="shared" si="262"/>
        <v>0</v>
      </c>
      <c r="TM53" s="1">
        <f t="shared" si="262"/>
        <v>0</v>
      </c>
      <c r="TN53" s="1">
        <f t="shared" si="262"/>
        <v>0</v>
      </c>
      <c r="TO53" s="1">
        <f t="shared" si="262"/>
        <v>0</v>
      </c>
      <c r="TP53" s="1">
        <f t="shared" si="262"/>
        <v>0</v>
      </c>
      <c r="TQ53" s="1">
        <f t="shared" si="262"/>
        <v>0</v>
      </c>
      <c r="TR53" s="1">
        <f t="shared" si="262"/>
        <v>0</v>
      </c>
      <c r="TS53" s="1">
        <f t="shared" si="262"/>
        <v>0</v>
      </c>
      <c r="TT53" s="1">
        <f t="shared" si="262"/>
        <v>0</v>
      </c>
      <c r="TU53" s="1">
        <f t="shared" si="262"/>
        <v>0</v>
      </c>
      <c r="TV53" s="1">
        <f t="shared" si="262"/>
        <v>0</v>
      </c>
      <c r="TW53" s="1">
        <f t="shared" si="262"/>
        <v>0</v>
      </c>
      <c r="TX53" s="1">
        <f t="shared" si="262"/>
        <v>0</v>
      </c>
      <c r="TY53" s="1">
        <f t="shared" si="262"/>
        <v>0</v>
      </c>
      <c r="TZ53" s="1">
        <f t="shared" si="262"/>
        <v>0</v>
      </c>
      <c r="UA53" s="1">
        <f t="shared" si="262"/>
        <v>0</v>
      </c>
      <c r="UB53" s="1">
        <f t="shared" si="262"/>
        <v>0</v>
      </c>
      <c r="UC53" s="1">
        <f t="shared" si="262"/>
        <v>0</v>
      </c>
      <c r="UD53" s="1">
        <f t="shared" si="262"/>
        <v>0</v>
      </c>
      <c r="UE53" s="1">
        <f t="shared" si="262"/>
        <v>0</v>
      </c>
      <c r="UF53" s="1">
        <f t="shared" si="262"/>
        <v>0</v>
      </c>
      <c r="UG53" s="1">
        <f t="shared" si="262"/>
        <v>0</v>
      </c>
      <c r="UH53" s="1">
        <f t="shared" si="262"/>
        <v>0</v>
      </c>
      <c r="UI53" s="1">
        <f t="shared" si="262"/>
        <v>0</v>
      </c>
      <c r="UJ53" s="1">
        <f t="shared" si="262"/>
        <v>0</v>
      </c>
      <c r="UK53" s="1">
        <f t="shared" si="262"/>
        <v>0</v>
      </c>
      <c r="UL53" s="1">
        <f t="shared" si="262"/>
        <v>0</v>
      </c>
      <c r="UM53" s="1">
        <f t="shared" si="262"/>
        <v>0</v>
      </c>
      <c r="UN53" s="1">
        <f t="shared" si="262"/>
        <v>0</v>
      </c>
      <c r="UO53" s="1">
        <f t="shared" si="262"/>
        <v>0</v>
      </c>
      <c r="UP53" s="1">
        <f t="shared" si="262"/>
        <v>0</v>
      </c>
      <c r="UQ53" s="1">
        <f t="shared" si="262"/>
        <v>0</v>
      </c>
      <c r="UR53" s="1">
        <f t="shared" si="262"/>
        <v>0</v>
      </c>
      <c r="US53" s="1">
        <f t="shared" si="262"/>
        <v>0</v>
      </c>
      <c r="UT53" s="1">
        <f t="shared" ref="UT53:XE53" si="263">UT37-UT18</f>
        <v>0</v>
      </c>
      <c r="UU53" s="1">
        <f t="shared" si="263"/>
        <v>0</v>
      </c>
      <c r="UV53" s="1">
        <f t="shared" si="263"/>
        <v>0</v>
      </c>
      <c r="UW53" s="1">
        <f t="shared" si="263"/>
        <v>0</v>
      </c>
      <c r="UX53" s="1">
        <f t="shared" si="263"/>
        <v>0</v>
      </c>
      <c r="UY53" s="1">
        <f t="shared" si="263"/>
        <v>0</v>
      </c>
      <c r="UZ53" s="1">
        <f t="shared" si="263"/>
        <v>0</v>
      </c>
      <c r="VA53" s="1">
        <f t="shared" si="263"/>
        <v>0</v>
      </c>
      <c r="VB53" s="1">
        <f t="shared" si="263"/>
        <v>0</v>
      </c>
      <c r="VC53" s="1">
        <f t="shared" si="263"/>
        <v>0</v>
      </c>
      <c r="VD53" s="1">
        <f t="shared" si="263"/>
        <v>0</v>
      </c>
      <c r="VE53" s="1">
        <f t="shared" si="263"/>
        <v>0</v>
      </c>
      <c r="VF53" s="1">
        <f t="shared" si="263"/>
        <v>0</v>
      </c>
      <c r="VG53" s="1">
        <f t="shared" si="263"/>
        <v>0</v>
      </c>
      <c r="VH53" s="1">
        <f t="shared" si="263"/>
        <v>0</v>
      </c>
      <c r="VI53" s="1">
        <f t="shared" si="263"/>
        <v>0</v>
      </c>
      <c r="VJ53" s="1">
        <f t="shared" si="263"/>
        <v>0</v>
      </c>
      <c r="VK53" s="1">
        <f t="shared" si="263"/>
        <v>0</v>
      </c>
      <c r="VL53" s="1">
        <f t="shared" si="263"/>
        <v>0</v>
      </c>
      <c r="VM53" s="1">
        <f t="shared" si="263"/>
        <v>0</v>
      </c>
      <c r="VN53" s="1">
        <f t="shared" si="263"/>
        <v>0</v>
      </c>
      <c r="VO53" s="1">
        <f t="shared" si="263"/>
        <v>0</v>
      </c>
      <c r="VP53" s="1">
        <f t="shared" si="263"/>
        <v>0</v>
      </c>
      <c r="VQ53" s="1">
        <f t="shared" si="263"/>
        <v>0</v>
      </c>
      <c r="VR53" s="1">
        <f t="shared" si="263"/>
        <v>0</v>
      </c>
      <c r="VS53" s="1">
        <f t="shared" si="263"/>
        <v>0</v>
      </c>
      <c r="VT53" s="1">
        <f t="shared" si="263"/>
        <v>0</v>
      </c>
      <c r="VU53" s="1">
        <f t="shared" si="263"/>
        <v>0</v>
      </c>
      <c r="VV53" s="1">
        <f t="shared" si="263"/>
        <v>0</v>
      </c>
      <c r="VW53" s="1">
        <f t="shared" si="263"/>
        <v>0</v>
      </c>
      <c r="VX53" s="1">
        <f t="shared" si="263"/>
        <v>0</v>
      </c>
      <c r="VY53" s="1">
        <f t="shared" si="263"/>
        <v>0</v>
      </c>
      <c r="VZ53" s="1">
        <f t="shared" si="263"/>
        <v>0</v>
      </c>
      <c r="WA53" s="1">
        <f t="shared" si="263"/>
        <v>0</v>
      </c>
      <c r="WB53" s="1">
        <f t="shared" si="263"/>
        <v>0</v>
      </c>
      <c r="WC53" s="1">
        <f t="shared" si="263"/>
        <v>0</v>
      </c>
      <c r="WD53" s="1">
        <f t="shared" si="263"/>
        <v>0</v>
      </c>
      <c r="WE53" s="1">
        <f t="shared" si="263"/>
        <v>0</v>
      </c>
      <c r="WF53" s="1">
        <f t="shared" si="263"/>
        <v>0</v>
      </c>
      <c r="WG53" s="1">
        <f t="shared" si="263"/>
        <v>0</v>
      </c>
      <c r="WH53" s="1">
        <f t="shared" si="263"/>
        <v>0</v>
      </c>
      <c r="WI53" s="1">
        <f t="shared" si="263"/>
        <v>0</v>
      </c>
      <c r="WJ53" s="1">
        <f t="shared" si="263"/>
        <v>0</v>
      </c>
      <c r="WK53" s="1">
        <f t="shared" si="263"/>
        <v>0</v>
      </c>
      <c r="WL53" s="1">
        <f t="shared" si="263"/>
        <v>0</v>
      </c>
      <c r="WM53" s="1">
        <f t="shared" si="263"/>
        <v>0</v>
      </c>
      <c r="WN53" s="1">
        <f t="shared" si="263"/>
        <v>0</v>
      </c>
      <c r="WO53" s="1">
        <f t="shared" si="263"/>
        <v>0</v>
      </c>
      <c r="WP53" s="1">
        <f t="shared" si="263"/>
        <v>0</v>
      </c>
      <c r="WQ53" s="1">
        <f t="shared" si="263"/>
        <v>0</v>
      </c>
      <c r="WR53" s="1">
        <f t="shared" si="263"/>
        <v>0</v>
      </c>
      <c r="WS53" s="1">
        <f t="shared" si="263"/>
        <v>0</v>
      </c>
      <c r="WT53" s="1">
        <f t="shared" si="263"/>
        <v>0</v>
      </c>
      <c r="WU53" s="1">
        <f t="shared" si="263"/>
        <v>0</v>
      </c>
      <c r="WV53" s="1">
        <f t="shared" si="263"/>
        <v>0</v>
      </c>
      <c r="WW53" s="1">
        <f t="shared" si="263"/>
        <v>0</v>
      </c>
      <c r="WX53" s="1">
        <f t="shared" si="263"/>
        <v>0</v>
      </c>
      <c r="WY53" s="1">
        <f t="shared" si="263"/>
        <v>0</v>
      </c>
      <c r="WZ53" s="1">
        <f t="shared" si="263"/>
        <v>0</v>
      </c>
      <c r="XA53" s="1">
        <f t="shared" si="263"/>
        <v>0</v>
      </c>
      <c r="XB53" s="1">
        <f t="shared" si="263"/>
        <v>0</v>
      </c>
      <c r="XC53" s="1">
        <f t="shared" si="263"/>
        <v>0</v>
      </c>
      <c r="XD53" s="1">
        <f t="shared" si="263"/>
        <v>0</v>
      </c>
      <c r="XE53" s="1">
        <f t="shared" si="263"/>
        <v>0</v>
      </c>
      <c r="XF53" s="1">
        <f t="shared" ref="XF53:ZQ53" si="264">XF37-XF18</f>
        <v>0</v>
      </c>
      <c r="XG53" s="1">
        <f t="shared" si="264"/>
        <v>0</v>
      </c>
      <c r="XH53" s="1">
        <f t="shared" si="264"/>
        <v>0</v>
      </c>
      <c r="XI53" s="1">
        <f t="shared" si="264"/>
        <v>0</v>
      </c>
      <c r="XJ53" s="1">
        <f t="shared" si="264"/>
        <v>0</v>
      </c>
      <c r="XK53" s="1">
        <f t="shared" si="264"/>
        <v>0</v>
      </c>
      <c r="XL53" s="1">
        <f t="shared" si="264"/>
        <v>0</v>
      </c>
      <c r="XM53" s="1">
        <f t="shared" si="264"/>
        <v>0</v>
      </c>
      <c r="XN53" s="1">
        <f t="shared" si="264"/>
        <v>0</v>
      </c>
      <c r="XO53" s="1">
        <f t="shared" si="264"/>
        <v>0</v>
      </c>
      <c r="XP53" s="1">
        <f t="shared" si="264"/>
        <v>0</v>
      </c>
      <c r="XQ53" s="1">
        <f t="shared" si="264"/>
        <v>0</v>
      </c>
      <c r="XR53" s="1">
        <f t="shared" si="264"/>
        <v>0</v>
      </c>
      <c r="XS53" s="1">
        <f t="shared" si="264"/>
        <v>0</v>
      </c>
      <c r="XT53" s="1">
        <f t="shared" si="264"/>
        <v>0</v>
      </c>
      <c r="XU53" s="1">
        <f t="shared" si="264"/>
        <v>0</v>
      </c>
      <c r="XV53" s="1">
        <f t="shared" si="264"/>
        <v>0</v>
      </c>
      <c r="XW53" s="1">
        <f t="shared" si="264"/>
        <v>0</v>
      </c>
      <c r="XX53" s="1">
        <f t="shared" si="264"/>
        <v>0</v>
      </c>
      <c r="XY53" s="1">
        <f t="shared" si="264"/>
        <v>0</v>
      </c>
      <c r="XZ53" s="1">
        <f t="shared" si="264"/>
        <v>0</v>
      </c>
      <c r="YA53" s="1">
        <f t="shared" si="264"/>
        <v>0</v>
      </c>
      <c r="YB53" s="1">
        <f t="shared" si="264"/>
        <v>0</v>
      </c>
      <c r="YC53" s="1">
        <f t="shared" si="264"/>
        <v>0</v>
      </c>
      <c r="YD53" s="1">
        <f t="shared" si="264"/>
        <v>0</v>
      </c>
      <c r="YE53" s="1">
        <f t="shared" si="264"/>
        <v>0</v>
      </c>
      <c r="YF53" s="1">
        <f t="shared" si="264"/>
        <v>0</v>
      </c>
      <c r="YG53" s="1">
        <f t="shared" si="264"/>
        <v>0</v>
      </c>
      <c r="YH53" s="1">
        <f t="shared" si="264"/>
        <v>0</v>
      </c>
      <c r="YI53" s="1">
        <f t="shared" si="264"/>
        <v>0</v>
      </c>
      <c r="YJ53" s="1">
        <f t="shared" si="264"/>
        <v>0</v>
      </c>
      <c r="YK53" s="1">
        <f t="shared" si="264"/>
        <v>0</v>
      </c>
      <c r="YL53" s="1">
        <f t="shared" si="264"/>
        <v>0</v>
      </c>
      <c r="YM53" s="1">
        <f t="shared" si="264"/>
        <v>0</v>
      </c>
      <c r="YN53" s="1">
        <f t="shared" si="264"/>
        <v>0</v>
      </c>
      <c r="YO53" s="1">
        <f t="shared" si="264"/>
        <v>0</v>
      </c>
      <c r="YP53" s="1">
        <f t="shared" si="264"/>
        <v>0</v>
      </c>
      <c r="YQ53" s="1">
        <f t="shared" si="264"/>
        <v>0</v>
      </c>
      <c r="YR53" s="1">
        <f t="shared" si="264"/>
        <v>0</v>
      </c>
      <c r="YS53" s="1">
        <f t="shared" si="264"/>
        <v>0</v>
      </c>
      <c r="YT53" s="1">
        <f t="shared" si="264"/>
        <v>0</v>
      </c>
      <c r="YU53" s="1">
        <f t="shared" si="264"/>
        <v>0</v>
      </c>
      <c r="YV53" s="1">
        <f t="shared" si="264"/>
        <v>0</v>
      </c>
      <c r="YW53" s="1">
        <f t="shared" si="264"/>
        <v>0</v>
      </c>
      <c r="YX53" s="1">
        <f t="shared" si="264"/>
        <v>0</v>
      </c>
      <c r="YY53" s="1">
        <f t="shared" si="264"/>
        <v>0</v>
      </c>
      <c r="YZ53" s="1">
        <f t="shared" si="264"/>
        <v>0</v>
      </c>
      <c r="ZA53" s="1">
        <f t="shared" si="264"/>
        <v>0</v>
      </c>
      <c r="ZB53" s="1">
        <f t="shared" si="264"/>
        <v>0</v>
      </c>
      <c r="ZC53" s="1">
        <f t="shared" si="264"/>
        <v>0</v>
      </c>
      <c r="ZD53" s="1">
        <f t="shared" si="264"/>
        <v>0</v>
      </c>
      <c r="ZE53" s="1">
        <f t="shared" si="264"/>
        <v>0</v>
      </c>
      <c r="ZF53" s="1">
        <f t="shared" si="264"/>
        <v>0</v>
      </c>
      <c r="ZG53" s="1">
        <f t="shared" si="264"/>
        <v>0</v>
      </c>
      <c r="ZH53" s="1">
        <f t="shared" si="264"/>
        <v>0</v>
      </c>
      <c r="ZI53" s="1">
        <f t="shared" si="264"/>
        <v>0</v>
      </c>
      <c r="ZJ53" s="1">
        <f t="shared" si="264"/>
        <v>0</v>
      </c>
      <c r="ZK53" s="1">
        <f t="shared" si="264"/>
        <v>0</v>
      </c>
      <c r="ZL53" s="1">
        <f t="shared" si="264"/>
        <v>0</v>
      </c>
      <c r="ZM53" s="1">
        <f t="shared" si="264"/>
        <v>0</v>
      </c>
      <c r="ZN53" s="1">
        <f t="shared" si="264"/>
        <v>0</v>
      </c>
      <c r="ZO53" s="1">
        <f t="shared" si="264"/>
        <v>0</v>
      </c>
      <c r="ZP53" s="1">
        <f t="shared" si="264"/>
        <v>0</v>
      </c>
      <c r="ZQ53" s="1">
        <f t="shared" si="264"/>
        <v>0</v>
      </c>
      <c r="ZR53" s="1">
        <f t="shared" ref="ZR53:ACC53" si="265">ZR37-ZR18</f>
        <v>0</v>
      </c>
      <c r="ZS53" s="1">
        <f t="shared" si="265"/>
        <v>0</v>
      </c>
      <c r="ZT53" s="1">
        <f t="shared" si="265"/>
        <v>0</v>
      </c>
      <c r="ZU53" s="1">
        <f t="shared" si="265"/>
        <v>0</v>
      </c>
      <c r="ZV53" s="1">
        <f t="shared" si="265"/>
        <v>0</v>
      </c>
      <c r="ZW53" s="1">
        <f t="shared" si="265"/>
        <v>0</v>
      </c>
      <c r="ZX53" s="1">
        <f t="shared" si="265"/>
        <v>0</v>
      </c>
      <c r="ZY53" s="1">
        <f t="shared" si="265"/>
        <v>0</v>
      </c>
      <c r="ZZ53" s="1">
        <f t="shared" si="265"/>
        <v>0</v>
      </c>
      <c r="AAA53" s="1">
        <f t="shared" si="265"/>
        <v>0</v>
      </c>
      <c r="AAB53" s="1">
        <f t="shared" si="265"/>
        <v>0</v>
      </c>
      <c r="AAC53" s="1">
        <f t="shared" si="265"/>
        <v>0</v>
      </c>
      <c r="AAD53" s="1">
        <f t="shared" si="265"/>
        <v>0</v>
      </c>
      <c r="AAE53" s="1">
        <f t="shared" si="265"/>
        <v>0</v>
      </c>
      <c r="AAF53" s="1">
        <f t="shared" si="265"/>
        <v>0</v>
      </c>
      <c r="AAG53" s="1">
        <f t="shared" si="265"/>
        <v>0</v>
      </c>
      <c r="AAH53" s="1">
        <f t="shared" si="265"/>
        <v>0</v>
      </c>
      <c r="AAI53" s="1">
        <f t="shared" si="265"/>
        <v>0</v>
      </c>
      <c r="AAJ53" s="1">
        <f t="shared" si="265"/>
        <v>0</v>
      </c>
      <c r="AAK53" s="1">
        <f t="shared" si="265"/>
        <v>0</v>
      </c>
      <c r="AAL53" s="1">
        <f t="shared" si="265"/>
        <v>0</v>
      </c>
      <c r="AAM53" s="1">
        <f t="shared" si="265"/>
        <v>0</v>
      </c>
      <c r="AAN53" s="1">
        <f t="shared" si="265"/>
        <v>0</v>
      </c>
      <c r="AAO53" s="1">
        <f t="shared" si="265"/>
        <v>0</v>
      </c>
      <c r="AAP53" s="1">
        <f t="shared" si="265"/>
        <v>0</v>
      </c>
      <c r="AAQ53" s="1">
        <f t="shared" si="265"/>
        <v>0</v>
      </c>
      <c r="AAR53" s="1">
        <f t="shared" si="265"/>
        <v>0</v>
      </c>
      <c r="AAS53" s="1">
        <f t="shared" si="265"/>
        <v>0</v>
      </c>
      <c r="AAT53" s="1">
        <f t="shared" si="265"/>
        <v>0</v>
      </c>
      <c r="AAU53" s="1">
        <f t="shared" si="265"/>
        <v>0</v>
      </c>
      <c r="AAV53" s="1">
        <f t="shared" si="265"/>
        <v>0</v>
      </c>
      <c r="AAW53" s="1">
        <f t="shared" si="265"/>
        <v>0</v>
      </c>
      <c r="AAX53" s="1">
        <f t="shared" si="265"/>
        <v>0</v>
      </c>
      <c r="AAY53" s="1">
        <f t="shared" si="265"/>
        <v>0</v>
      </c>
      <c r="AAZ53" s="1">
        <f t="shared" si="265"/>
        <v>0</v>
      </c>
      <c r="ABA53" s="1">
        <f t="shared" si="265"/>
        <v>0</v>
      </c>
      <c r="ABB53" s="1">
        <f t="shared" si="265"/>
        <v>0</v>
      </c>
      <c r="ABC53" s="1">
        <f t="shared" si="265"/>
        <v>0</v>
      </c>
      <c r="ABD53" s="1">
        <f t="shared" si="265"/>
        <v>0</v>
      </c>
      <c r="ABE53" s="1">
        <f t="shared" si="265"/>
        <v>0</v>
      </c>
      <c r="ABF53" s="1">
        <f t="shared" si="265"/>
        <v>0</v>
      </c>
      <c r="ABG53" s="1">
        <f t="shared" si="265"/>
        <v>0</v>
      </c>
      <c r="ABH53" s="1">
        <f t="shared" si="265"/>
        <v>0</v>
      </c>
      <c r="ABI53" s="1">
        <f t="shared" si="265"/>
        <v>0</v>
      </c>
      <c r="ABJ53" s="1">
        <f t="shared" si="265"/>
        <v>0</v>
      </c>
      <c r="ABK53" s="1">
        <f t="shared" si="265"/>
        <v>0</v>
      </c>
      <c r="ABL53" s="1">
        <f t="shared" si="265"/>
        <v>0</v>
      </c>
      <c r="ABM53" s="1">
        <f t="shared" si="265"/>
        <v>0</v>
      </c>
      <c r="ABN53" s="1">
        <f t="shared" si="265"/>
        <v>0</v>
      </c>
      <c r="ABO53" s="1">
        <f t="shared" si="265"/>
        <v>0</v>
      </c>
      <c r="ABP53" s="1">
        <f t="shared" si="265"/>
        <v>0</v>
      </c>
      <c r="ABQ53" s="1">
        <f t="shared" si="265"/>
        <v>0</v>
      </c>
      <c r="ABR53" s="1">
        <f t="shared" si="265"/>
        <v>0</v>
      </c>
      <c r="ABS53" s="1">
        <f t="shared" si="265"/>
        <v>0</v>
      </c>
      <c r="ABT53" s="1">
        <f t="shared" si="265"/>
        <v>0</v>
      </c>
      <c r="ABU53" s="1">
        <f t="shared" si="265"/>
        <v>0</v>
      </c>
      <c r="ABV53" s="1">
        <f t="shared" si="265"/>
        <v>0</v>
      </c>
      <c r="ABW53" s="1">
        <f t="shared" si="265"/>
        <v>0</v>
      </c>
      <c r="ABX53" s="1">
        <f t="shared" si="265"/>
        <v>0</v>
      </c>
      <c r="ABY53" s="1">
        <f t="shared" si="265"/>
        <v>0</v>
      </c>
      <c r="ABZ53" s="1">
        <f t="shared" si="265"/>
        <v>0</v>
      </c>
      <c r="ACA53" s="1">
        <f t="shared" si="265"/>
        <v>0</v>
      </c>
      <c r="ACB53" s="1">
        <f t="shared" si="265"/>
        <v>0</v>
      </c>
      <c r="ACC53" s="1">
        <f t="shared" si="265"/>
        <v>0</v>
      </c>
      <c r="ACD53" s="1">
        <f t="shared" ref="ACD53:AEO53" si="266">ACD37-ACD18</f>
        <v>0</v>
      </c>
      <c r="ACE53" s="1">
        <f t="shared" si="266"/>
        <v>0</v>
      </c>
      <c r="ACF53" s="1">
        <f t="shared" si="266"/>
        <v>0</v>
      </c>
      <c r="ACG53" s="1">
        <f t="shared" si="266"/>
        <v>0</v>
      </c>
      <c r="ACH53" s="1">
        <f t="shared" si="266"/>
        <v>0</v>
      </c>
      <c r="ACI53" s="1">
        <f t="shared" si="266"/>
        <v>0</v>
      </c>
      <c r="ACJ53" s="1">
        <f t="shared" si="266"/>
        <v>0</v>
      </c>
      <c r="ACK53" s="1">
        <f t="shared" si="266"/>
        <v>0</v>
      </c>
      <c r="ACL53" s="1">
        <f t="shared" si="266"/>
        <v>0</v>
      </c>
      <c r="ACM53" s="1">
        <f t="shared" si="266"/>
        <v>0</v>
      </c>
      <c r="ACN53" s="1">
        <f t="shared" si="266"/>
        <v>0</v>
      </c>
      <c r="ACO53" s="1">
        <f t="shared" si="266"/>
        <v>0</v>
      </c>
      <c r="ACP53" s="1">
        <f t="shared" si="266"/>
        <v>0</v>
      </c>
      <c r="ACQ53" s="1">
        <f t="shared" si="266"/>
        <v>0</v>
      </c>
      <c r="ACR53" s="1">
        <f t="shared" si="266"/>
        <v>0</v>
      </c>
      <c r="ACS53" s="1">
        <f t="shared" si="266"/>
        <v>0</v>
      </c>
      <c r="ACT53" s="1">
        <f t="shared" si="266"/>
        <v>0</v>
      </c>
      <c r="ACU53" s="1">
        <f t="shared" si="266"/>
        <v>0</v>
      </c>
      <c r="ACV53" s="1">
        <f t="shared" si="266"/>
        <v>0</v>
      </c>
      <c r="ACW53" s="1">
        <f t="shared" si="266"/>
        <v>0</v>
      </c>
      <c r="ACX53" s="1">
        <f t="shared" si="266"/>
        <v>0</v>
      </c>
      <c r="ACY53" s="1">
        <f t="shared" si="266"/>
        <v>0</v>
      </c>
      <c r="ACZ53" s="1">
        <f t="shared" si="266"/>
        <v>0</v>
      </c>
      <c r="ADA53" s="1">
        <f t="shared" si="266"/>
        <v>0</v>
      </c>
      <c r="ADB53" s="1">
        <f t="shared" si="266"/>
        <v>0</v>
      </c>
      <c r="ADC53" s="1">
        <f t="shared" si="266"/>
        <v>0</v>
      </c>
      <c r="ADD53" s="1">
        <f t="shared" si="266"/>
        <v>0</v>
      </c>
      <c r="ADE53" s="1">
        <f t="shared" si="266"/>
        <v>0</v>
      </c>
      <c r="ADF53" s="1">
        <f t="shared" si="266"/>
        <v>0</v>
      </c>
      <c r="ADG53" s="1">
        <f t="shared" si="266"/>
        <v>0</v>
      </c>
      <c r="ADH53" s="1">
        <f t="shared" si="266"/>
        <v>0</v>
      </c>
      <c r="ADI53" s="1">
        <f t="shared" si="266"/>
        <v>0</v>
      </c>
      <c r="ADJ53" s="1">
        <f t="shared" si="266"/>
        <v>0</v>
      </c>
      <c r="ADK53" s="1">
        <f t="shared" si="266"/>
        <v>0</v>
      </c>
      <c r="ADL53" s="1">
        <f t="shared" si="266"/>
        <v>0</v>
      </c>
      <c r="ADM53" s="1">
        <f t="shared" si="266"/>
        <v>0</v>
      </c>
      <c r="ADN53" s="1">
        <f t="shared" si="266"/>
        <v>0</v>
      </c>
      <c r="ADO53" s="1">
        <f t="shared" si="266"/>
        <v>0</v>
      </c>
      <c r="ADP53" s="1">
        <f t="shared" si="266"/>
        <v>0</v>
      </c>
      <c r="ADQ53" s="1">
        <f t="shared" si="266"/>
        <v>0</v>
      </c>
      <c r="ADR53" s="1">
        <f t="shared" si="266"/>
        <v>0</v>
      </c>
      <c r="ADS53" s="1">
        <f t="shared" si="266"/>
        <v>0</v>
      </c>
      <c r="ADT53" s="1">
        <f t="shared" si="266"/>
        <v>0</v>
      </c>
      <c r="ADU53" s="1">
        <f t="shared" si="266"/>
        <v>0</v>
      </c>
      <c r="ADV53" s="1">
        <f t="shared" si="266"/>
        <v>0</v>
      </c>
      <c r="ADW53" s="1">
        <f t="shared" si="266"/>
        <v>0</v>
      </c>
      <c r="ADX53" s="1">
        <f t="shared" si="266"/>
        <v>0</v>
      </c>
      <c r="ADY53" s="1">
        <f t="shared" si="266"/>
        <v>0</v>
      </c>
      <c r="ADZ53" s="1">
        <f t="shared" si="266"/>
        <v>0</v>
      </c>
      <c r="AEA53" s="1">
        <f t="shared" si="266"/>
        <v>0</v>
      </c>
      <c r="AEB53" s="1">
        <f t="shared" si="266"/>
        <v>0</v>
      </c>
      <c r="AEC53" s="1">
        <f t="shared" si="266"/>
        <v>0</v>
      </c>
      <c r="AED53" s="1">
        <f t="shared" si="266"/>
        <v>0</v>
      </c>
      <c r="AEE53" s="1">
        <f t="shared" si="266"/>
        <v>0</v>
      </c>
      <c r="AEF53" s="1">
        <f t="shared" si="266"/>
        <v>0</v>
      </c>
      <c r="AEG53" s="1">
        <f t="shared" si="266"/>
        <v>0</v>
      </c>
      <c r="AEH53" s="1">
        <f t="shared" si="266"/>
        <v>0</v>
      </c>
      <c r="AEI53" s="1">
        <f t="shared" si="266"/>
        <v>0</v>
      </c>
      <c r="AEJ53" s="1">
        <f t="shared" si="266"/>
        <v>0</v>
      </c>
      <c r="AEK53" s="1">
        <f t="shared" si="266"/>
        <v>0</v>
      </c>
      <c r="AEL53" s="1">
        <f t="shared" si="266"/>
        <v>0</v>
      </c>
      <c r="AEM53" s="1">
        <f t="shared" si="266"/>
        <v>0</v>
      </c>
      <c r="AEN53" s="1">
        <f t="shared" si="266"/>
        <v>0</v>
      </c>
      <c r="AEO53" s="1">
        <f t="shared" si="266"/>
        <v>0</v>
      </c>
      <c r="AEP53" s="1">
        <f t="shared" ref="AEP53:AHA53" si="267">AEP37-AEP18</f>
        <v>0</v>
      </c>
      <c r="AEQ53" s="1">
        <f t="shared" si="267"/>
        <v>0</v>
      </c>
      <c r="AER53" s="1">
        <f t="shared" si="267"/>
        <v>0</v>
      </c>
      <c r="AES53" s="1">
        <f t="shared" si="267"/>
        <v>0</v>
      </c>
      <c r="AET53" s="1">
        <f t="shared" si="267"/>
        <v>0</v>
      </c>
      <c r="AEU53" s="1">
        <f t="shared" si="267"/>
        <v>0</v>
      </c>
      <c r="AEV53" s="1">
        <f t="shared" si="267"/>
        <v>0</v>
      </c>
      <c r="AEW53" s="1">
        <f t="shared" si="267"/>
        <v>0</v>
      </c>
      <c r="AEX53" s="1">
        <f t="shared" si="267"/>
        <v>0</v>
      </c>
      <c r="AEY53" s="1">
        <f t="shared" si="267"/>
        <v>0</v>
      </c>
      <c r="AEZ53" s="1">
        <f t="shared" si="267"/>
        <v>0</v>
      </c>
      <c r="AFA53" s="1">
        <f t="shared" si="267"/>
        <v>0</v>
      </c>
      <c r="AFB53" s="1">
        <f t="shared" si="267"/>
        <v>0</v>
      </c>
      <c r="AFC53" s="1">
        <f t="shared" si="267"/>
        <v>0</v>
      </c>
      <c r="AFD53" s="1">
        <f t="shared" si="267"/>
        <v>0</v>
      </c>
      <c r="AFE53" s="1">
        <f t="shared" si="267"/>
        <v>0</v>
      </c>
      <c r="AFF53" s="1">
        <f t="shared" si="267"/>
        <v>0</v>
      </c>
      <c r="AFG53" s="1">
        <f t="shared" si="267"/>
        <v>0</v>
      </c>
      <c r="AFH53" s="1">
        <f t="shared" si="267"/>
        <v>0</v>
      </c>
      <c r="AFI53" s="1">
        <f t="shared" si="267"/>
        <v>0</v>
      </c>
      <c r="AFJ53" s="1">
        <f t="shared" si="267"/>
        <v>0</v>
      </c>
      <c r="AFK53" s="1">
        <f t="shared" si="267"/>
        <v>0</v>
      </c>
      <c r="AFL53" s="1">
        <f t="shared" si="267"/>
        <v>0</v>
      </c>
      <c r="AFM53" s="1">
        <f t="shared" si="267"/>
        <v>0</v>
      </c>
      <c r="AFN53" s="1">
        <f t="shared" si="267"/>
        <v>0</v>
      </c>
      <c r="AFO53" s="1">
        <f t="shared" si="267"/>
        <v>0</v>
      </c>
      <c r="AFP53" s="1">
        <f t="shared" si="267"/>
        <v>0</v>
      </c>
      <c r="AFQ53" s="1">
        <f t="shared" si="267"/>
        <v>0</v>
      </c>
      <c r="AFR53" s="1">
        <f t="shared" si="267"/>
        <v>0</v>
      </c>
      <c r="AFS53" s="1">
        <f t="shared" si="267"/>
        <v>0</v>
      </c>
      <c r="AFT53" s="1">
        <f t="shared" si="267"/>
        <v>0</v>
      </c>
      <c r="AFU53" s="1">
        <f t="shared" si="267"/>
        <v>0</v>
      </c>
      <c r="AFV53" s="1">
        <f t="shared" si="267"/>
        <v>0</v>
      </c>
      <c r="AFW53" s="1">
        <f t="shared" si="267"/>
        <v>0</v>
      </c>
      <c r="AFX53" s="1">
        <f t="shared" si="267"/>
        <v>0</v>
      </c>
      <c r="AFY53" s="1">
        <f t="shared" si="267"/>
        <v>0</v>
      </c>
      <c r="AFZ53" s="1">
        <f t="shared" si="267"/>
        <v>0</v>
      </c>
      <c r="AGA53" s="1">
        <f t="shared" si="267"/>
        <v>0</v>
      </c>
      <c r="AGB53" s="1">
        <f t="shared" si="267"/>
        <v>0</v>
      </c>
      <c r="AGC53" s="1">
        <f t="shared" si="267"/>
        <v>0</v>
      </c>
      <c r="AGD53" s="1">
        <f t="shared" si="267"/>
        <v>0</v>
      </c>
      <c r="AGE53" s="1">
        <f t="shared" si="267"/>
        <v>0</v>
      </c>
      <c r="AGF53" s="1">
        <f t="shared" si="267"/>
        <v>0</v>
      </c>
      <c r="AGG53" s="1">
        <f t="shared" si="267"/>
        <v>0</v>
      </c>
      <c r="AGH53" s="1">
        <f t="shared" si="267"/>
        <v>0</v>
      </c>
      <c r="AGI53" s="1">
        <f t="shared" si="267"/>
        <v>0</v>
      </c>
      <c r="AGJ53" s="1">
        <f t="shared" si="267"/>
        <v>0</v>
      </c>
      <c r="AGK53" s="1">
        <f t="shared" si="267"/>
        <v>0</v>
      </c>
      <c r="AGL53" s="1">
        <f t="shared" si="267"/>
        <v>0</v>
      </c>
      <c r="AGM53" s="1">
        <f t="shared" si="267"/>
        <v>0</v>
      </c>
      <c r="AGN53" s="1">
        <f t="shared" si="267"/>
        <v>0</v>
      </c>
      <c r="AGO53" s="1">
        <f t="shared" si="267"/>
        <v>0</v>
      </c>
      <c r="AGP53" s="1">
        <f t="shared" si="267"/>
        <v>0</v>
      </c>
      <c r="AGQ53" s="1">
        <f t="shared" si="267"/>
        <v>0</v>
      </c>
      <c r="AGR53" s="1">
        <f t="shared" si="267"/>
        <v>0</v>
      </c>
      <c r="AGS53" s="1">
        <f t="shared" si="267"/>
        <v>0</v>
      </c>
      <c r="AGT53" s="1">
        <f t="shared" si="267"/>
        <v>0</v>
      </c>
      <c r="AGU53" s="1">
        <f t="shared" si="267"/>
        <v>0</v>
      </c>
      <c r="AGV53" s="1">
        <f t="shared" si="267"/>
        <v>0</v>
      </c>
      <c r="AGW53" s="1">
        <f t="shared" si="267"/>
        <v>0</v>
      </c>
      <c r="AGX53" s="1">
        <f t="shared" si="267"/>
        <v>0</v>
      </c>
      <c r="AGY53" s="1">
        <f t="shared" si="267"/>
        <v>0</v>
      </c>
      <c r="AGZ53" s="1">
        <f t="shared" si="267"/>
        <v>0</v>
      </c>
      <c r="AHA53" s="1">
        <f t="shared" si="267"/>
        <v>0</v>
      </c>
      <c r="AHB53" s="1">
        <f t="shared" ref="AHB53:AJM53" si="268">AHB37-AHB18</f>
        <v>0</v>
      </c>
      <c r="AHC53" s="1">
        <f t="shared" si="268"/>
        <v>0</v>
      </c>
      <c r="AHD53" s="1">
        <f t="shared" si="268"/>
        <v>0</v>
      </c>
      <c r="AHE53" s="1">
        <f t="shared" si="268"/>
        <v>0</v>
      </c>
      <c r="AHF53" s="1">
        <f t="shared" si="268"/>
        <v>0</v>
      </c>
      <c r="AHG53" s="1">
        <f t="shared" si="268"/>
        <v>0</v>
      </c>
      <c r="AHH53" s="1">
        <f t="shared" si="268"/>
        <v>0</v>
      </c>
      <c r="AHI53" s="1">
        <f t="shared" si="268"/>
        <v>0</v>
      </c>
      <c r="AHJ53" s="1">
        <f t="shared" si="268"/>
        <v>0</v>
      </c>
      <c r="AHK53" s="1">
        <f t="shared" si="268"/>
        <v>0</v>
      </c>
      <c r="AHL53" s="1">
        <f t="shared" si="268"/>
        <v>0</v>
      </c>
      <c r="AHM53" s="1">
        <f t="shared" si="268"/>
        <v>0</v>
      </c>
      <c r="AHN53" s="1">
        <f t="shared" si="268"/>
        <v>0</v>
      </c>
      <c r="AHO53" s="1">
        <f t="shared" si="268"/>
        <v>0</v>
      </c>
      <c r="AHP53" s="1">
        <f t="shared" si="268"/>
        <v>0</v>
      </c>
      <c r="AHQ53" s="1">
        <f t="shared" si="268"/>
        <v>0</v>
      </c>
      <c r="AHR53" s="1">
        <f t="shared" si="268"/>
        <v>0</v>
      </c>
      <c r="AHS53" s="1">
        <f t="shared" si="268"/>
        <v>0</v>
      </c>
      <c r="AHT53" s="1">
        <f t="shared" si="268"/>
        <v>0</v>
      </c>
      <c r="AHU53" s="1">
        <f t="shared" si="268"/>
        <v>0</v>
      </c>
      <c r="AHV53" s="1">
        <f t="shared" si="268"/>
        <v>0</v>
      </c>
      <c r="AHW53" s="1">
        <f t="shared" si="268"/>
        <v>0</v>
      </c>
      <c r="AHX53" s="1">
        <f t="shared" si="268"/>
        <v>0</v>
      </c>
      <c r="AHY53" s="1">
        <f t="shared" si="268"/>
        <v>0</v>
      </c>
      <c r="AHZ53" s="1">
        <f t="shared" si="268"/>
        <v>0</v>
      </c>
      <c r="AIA53" s="1">
        <f t="shared" si="268"/>
        <v>0</v>
      </c>
      <c r="AIB53" s="1">
        <f t="shared" si="268"/>
        <v>0</v>
      </c>
      <c r="AIC53" s="1">
        <f t="shared" si="268"/>
        <v>0</v>
      </c>
      <c r="AID53" s="1">
        <f t="shared" si="268"/>
        <v>0</v>
      </c>
      <c r="AIE53" s="1">
        <f t="shared" si="268"/>
        <v>0</v>
      </c>
      <c r="AIF53" s="1">
        <f t="shared" si="268"/>
        <v>0</v>
      </c>
      <c r="AIG53" s="1">
        <f t="shared" si="268"/>
        <v>0</v>
      </c>
      <c r="AIH53" s="1">
        <f t="shared" si="268"/>
        <v>0</v>
      </c>
      <c r="AII53" s="1">
        <f t="shared" si="268"/>
        <v>0</v>
      </c>
      <c r="AIJ53" s="1">
        <f t="shared" si="268"/>
        <v>0</v>
      </c>
      <c r="AIK53" s="1">
        <f t="shared" si="268"/>
        <v>0</v>
      </c>
      <c r="AIL53" s="1">
        <f t="shared" si="268"/>
        <v>0</v>
      </c>
      <c r="AIM53" s="1">
        <f t="shared" si="268"/>
        <v>0</v>
      </c>
      <c r="AIN53" s="1">
        <f t="shared" si="268"/>
        <v>0</v>
      </c>
      <c r="AIO53" s="1">
        <f t="shared" si="268"/>
        <v>0</v>
      </c>
      <c r="AIP53" s="1">
        <f t="shared" si="268"/>
        <v>0</v>
      </c>
      <c r="AIQ53" s="1">
        <f t="shared" si="268"/>
        <v>0</v>
      </c>
      <c r="AIR53" s="1">
        <f t="shared" si="268"/>
        <v>0</v>
      </c>
      <c r="AIS53" s="1">
        <f t="shared" si="268"/>
        <v>0</v>
      </c>
      <c r="AIT53" s="1">
        <f t="shared" si="268"/>
        <v>0</v>
      </c>
      <c r="AIU53" s="1">
        <f t="shared" si="268"/>
        <v>0</v>
      </c>
      <c r="AIV53" s="1">
        <f t="shared" si="268"/>
        <v>0</v>
      </c>
      <c r="AIW53" s="1">
        <f t="shared" si="268"/>
        <v>0</v>
      </c>
      <c r="AIX53" s="1">
        <f t="shared" si="268"/>
        <v>0</v>
      </c>
      <c r="AIY53" s="1">
        <f t="shared" si="268"/>
        <v>0</v>
      </c>
      <c r="AIZ53" s="1">
        <f t="shared" si="268"/>
        <v>0</v>
      </c>
      <c r="AJA53" s="1">
        <f t="shared" si="268"/>
        <v>0</v>
      </c>
      <c r="AJB53" s="1">
        <f t="shared" si="268"/>
        <v>0</v>
      </c>
      <c r="AJC53" s="1">
        <f t="shared" si="268"/>
        <v>0</v>
      </c>
      <c r="AJD53" s="1">
        <f t="shared" si="268"/>
        <v>0</v>
      </c>
      <c r="AJE53" s="1">
        <f t="shared" si="268"/>
        <v>0</v>
      </c>
      <c r="AJF53" s="1">
        <f t="shared" si="268"/>
        <v>0</v>
      </c>
      <c r="AJG53" s="1">
        <f t="shared" si="268"/>
        <v>0</v>
      </c>
      <c r="AJH53" s="1">
        <f t="shared" si="268"/>
        <v>0</v>
      </c>
      <c r="AJI53" s="1">
        <f t="shared" si="268"/>
        <v>0</v>
      </c>
      <c r="AJJ53" s="1">
        <f t="shared" si="268"/>
        <v>0</v>
      </c>
      <c r="AJK53" s="1">
        <f t="shared" si="268"/>
        <v>0</v>
      </c>
      <c r="AJL53" s="1">
        <f t="shared" si="268"/>
        <v>0</v>
      </c>
      <c r="AJM53" s="1">
        <f t="shared" si="268"/>
        <v>0</v>
      </c>
      <c r="AJN53" s="1">
        <f t="shared" ref="AJN53:ALM53" si="269">AJN37-AJN18</f>
        <v>0</v>
      </c>
      <c r="AJO53" s="1">
        <f t="shared" si="269"/>
        <v>0</v>
      </c>
      <c r="AJP53" s="1">
        <f t="shared" si="269"/>
        <v>0</v>
      </c>
      <c r="AJQ53" s="1">
        <f t="shared" si="269"/>
        <v>0</v>
      </c>
      <c r="AJR53" s="1">
        <f t="shared" si="269"/>
        <v>0</v>
      </c>
      <c r="AJS53" s="1">
        <f t="shared" si="269"/>
        <v>0</v>
      </c>
      <c r="AJT53" s="1">
        <f t="shared" si="269"/>
        <v>0</v>
      </c>
      <c r="AJU53" s="1">
        <f t="shared" si="269"/>
        <v>0</v>
      </c>
      <c r="AJV53" s="1">
        <f t="shared" si="269"/>
        <v>0</v>
      </c>
      <c r="AJW53" s="1">
        <f t="shared" si="269"/>
        <v>0</v>
      </c>
      <c r="AJX53" s="1">
        <f t="shared" si="269"/>
        <v>0</v>
      </c>
      <c r="AJY53" s="1">
        <f t="shared" si="269"/>
        <v>0</v>
      </c>
      <c r="AJZ53" s="1">
        <f t="shared" si="269"/>
        <v>0</v>
      </c>
      <c r="AKA53" s="1">
        <f t="shared" si="269"/>
        <v>0</v>
      </c>
      <c r="AKB53" s="1">
        <f t="shared" si="269"/>
        <v>0</v>
      </c>
      <c r="AKC53" s="1">
        <f t="shared" si="269"/>
        <v>0</v>
      </c>
      <c r="AKD53" s="1">
        <f t="shared" si="269"/>
        <v>0</v>
      </c>
      <c r="AKE53" s="1">
        <f t="shared" si="269"/>
        <v>0</v>
      </c>
      <c r="AKF53" s="1">
        <f t="shared" si="269"/>
        <v>0</v>
      </c>
      <c r="AKG53" s="1">
        <f t="shared" si="269"/>
        <v>0</v>
      </c>
      <c r="AKH53" s="1">
        <f t="shared" si="269"/>
        <v>0</v>
      </c>
      <c r="AKI53" s="1">
        <f t="shared" si="269"/>
        <v>0</v>
      </c>
      <c r="AKJ53" s="1">
        <f t="shared" si="269"/>
        <v>0</v>
      </c>
      <c r="AKK53" s="1">
        <f t="shared" si="269"/>
        <v>0</v>
      </c>
      <c r="AKL53" s="1">
        <f t="shared" si="269"/>
        <v>0</v>
      </c>
      <c r="AKM53" s="1">
        <f t="shared" si="269"/>
        <v>0</v>
      </c>
      <c r="AKN53" s="1">
        <f t="shared" si="269"/>
        <v>0</v>
      </c>
      <c r="AKO53" s="1">
        <f t="shared" si="269"/>
        <v>0</v>
      </c>
      <c r="AKP53" s="1">
        <f t="shared" si="269"/>
        <v>0</v>
      </c>
      <c r="AKQ53" s="1">
        <f t="shared" si="269"/>
        <v>0</v>
      </c>
      <c r="AKR53" s="1">
        <f t="shared" si="269"/>
        <v>0</v>
      </c>
      <c r="AKS53" s="1">
        <f t="shared" si="269"/>
        <v>0</v>
      </c>
      <c r="AKT53" s="1">
        <f t="shared" si="269"/>
        <v>0</v>
      </c>
      <c r="AKU53" s="1">
        <f t="shared" si="269"/>
        <v>0</v>
      </c>
      <c r="AKV53" s="1">
        <f t="shared" si="269"/>
        <v>0</v>
      </c>
      <c r="AKW53" s="1">
        <f t="shared" si="269"/>
        <v>0</v>
      </c>
      <c r="AKX53" s="1">
        <f t="shared" si="269"/>
        <v>0</v>
      </c>
      <c r="AKY53" s="1">
        <f t="shared" si="269"/>
        <v>0</v>
      </c>
      <c r="AKZ53" s="1">
        <f t="shared" si="269"/>
        <v>0</v>
      </c>
      <c r="ALA53" s="1">
        <f t="shared" si="269"/>
        <v>0</v>
      </c>
      <c r="ALB53" s="1">
        <f t="shared" si="269"/>
        <v>0</v>
      </c>
      <c r="ALC53" s="1">
        <f t="shared" si="269"/>
        <v>0</v>
      </c>
      <c r="ALD53" s="1">
        <f t="shared" si="269"/>
        <v>0</v>
      </c>
      <c r="ALE53" s="1">
        <f t="shared" si="269"/>
        <v>0</v>
      </c>
      <c r="ALF53" s="1">
        <f t="shared" si="269"/>
        <v>0</v>
      </c>
      <c r="ALG53" s="1">
        <f t="shared" si="269"/>
        <v>0</v>
      </c>
      <c r="ALH53" s="1">
        <f t="shared" si="269"/>
        <v>0</v>
      </c>
      <c r="ALI53" s="1">
        <f t="shared" si="269"/>
        <v>0</v>
      </c>
      <c r="ALJ53" s="1">
        <f t="shared" si="269"/>
        <v>0</v>
      </c>
      <c r="ALK53" s="1">
        <f t="shared" si="269"/>
        <v>0</v>
      </c>
      <c r="ALL53" s="1">
        <f t="shared" si="269"/>
        <v>0</v>
      </c>
      <c r="ALM53" s="1">
        <f t="shared" si="269"/>
        <v>0</v>
      </c>
    </row>
    <row r="54" spans="1:1001">
      <c r="A54" s="27"/>
      <c r="B54">
        <f>B38-B19</f>
        <v>0</v>
      </c>
      <c r="C54">
        <f t="shared" ref="C54:BN54" si="270">C38-C19</f>
        <v>0</v>
      </c>
      <c r="D54">
        <f t="shared" si="270"/>
        <v>0</v>
      </c>
      <c r="E54">
        <f t="shared" si="270"/>
        <v>0</v>
      </c>
      <c r="F54">
        <f t="shared" si="270"/>
        <v>0</v>
      </c>
      <c r="G54">
        <f t="shared" si="270"/>
        <v>0</v>
      </c>
      <c r="H54">
        <f t="shared" si="270"/>
        <v>0</v>
      </c>
      <c r="I54">
        <f t="shared" si="270"/>
        <v>0</v>
      </c>
      <c r="J54">
        <f t="shared" si="270"/>
        <v>0</v>
      </c>
      <c r="K54">
        <f t="shared" si="270"/>
        <v>0</v>
      </c>
      <c r="L54">
        <f t="shared" si="270"/>
        <v>0</v>
      </c>
      <c r="M54">
        <f t="shared" si="270"/>
        <v>0</v>
      </c>
      <c r="N54">
        <f t="shared" si="270"/>
        <v>0</v>
      </c>
      <c r="O54">
        <f t="shared" si="270"/>
        <v>0</v>
      </c>
      <c r="P54">
        <f t="shared" si="270"/>
        <v>0</v>
      </c>
      <c r="Q54">
        <f t="shared" si="270"/>
        <v>0</v>
      </c>
      <c r="R54">
        <f t="shared" si="270"/>
        <v>0</v>
      </c>
      <c r="S54">
        <f t="shared" si="270"/>
        <v>0</v>
      </c>
      <c r="T54">
        <f t="shared" si="270"/>
        <v>0</v>
      </c>
      <c r="U54">
        <f t="shared" si="270"/>
        <v>0</v>
      </c>
      <c r="V54">
        <f t="shared" si="270"/>
        <v>0</v>
      </c>
      <c r="W54">
        <f t="shared" si="270"/>
        <v>0</v>
      </c>
      <c r="X54">
        <f t="shared" si="270"/>
        <v>0</v>
      </c>
      <c r="Y54">
        <f t="shared" si="270"/>
        <v>0</v>
      </c>
      <c r="Z54">
        <f t="shared" si="270"/>
        <v>0</v>
      </c>
      <c r="AA54">
        <f t="shared" si="270"/>
        <v>0</v>
      </c>
      <c r="AB54">
        <f t="shared" si="270"/>
        <v>0</v>
      </c>
      <c r="AC54">
        <f t="shared" si="270"/>
        <v>0</v>
      </c>
      <c r="AD54">
        <f t="shared" si="270"/>
        <v>0</v>
      </c>
      <c r="AE54">
        <f t="shared" si="270"/>
        <v>0</v>
      </c>
      <c r="AF54">
        <f t="shared" si="270"/>
        <v>0</v>
      </c>
      <c r="AG54">
        <f t="shared" si="270"/>
        <v>0</v>
      </c>
      <c r="AH54">
        <f t="shared" si="270"/>
        <v>0</v>
      </c>
      <c r="AI54">
        <f t="shared" si="270"/>
        <v>0</v>
      </c>
      <c r="AJ54">
        <f t="shared" si="270"/>
        <v>0</v>
      </c>
      <c r="AK54">
        <f t="shared" si="270"/>
        <v>0</v>
      </c>
      <c r="AL54">
        <f t="shared" si="270"/>
        <v>0</v>
      </c>
      <c r="AM54">
        <f t="shared" si="270"/>
        <v>0</v>
      </c>
      <c r="AN54">
        <f t="shared" si="270"/>
        <v>0</v>
      </c>
      <c r="AO54">
        <f t="shared" si="270"/>
        <v>0</v>
      </c>
      <c r="AP54">
        <f t="shared" si="270"/>
        <v>0</v>
      </c>
      <c r="AQ54">
        <f t="shared" si="270"/>
        <v>0</v>
      </c>
      <c r="AR54">
        <f t="shared" si="270"/>
        <v>0</v>
      </c>
      <c r="AS54">
        <f t="shared" si="270"/>
        <v>0</v>
      </c>
      <c r="AT54">
        <f t="shared" si="270"/>
        <v>0</v>
      </c>
      <c r="AU54">
        <f t="shared" si="270"/>
        <v>0</v>
      </c>
      <c r="AV54">
        <f t="shared" si="270"/>
        <v>0</v>
      </c>
      <c r="AW54">
        <f t="shared" si="270"/>
        <v>0</v>
      </c>
      <c r="AX54">
        <f t="shared" si="270"/>
        <v>0</v>
      </c>
      <c r="AY54">
        <f t="shared" si="270"/>
        <v>0</v>
      </c>
      <c r="AZ54">
        <f t="shared" si="270"/>
        <v>0</v>
      </c>
      <c r="BA54">
        <f t="shared" si="270"/>
        <v>0</v>
      </c>
      <c r="BB54">
        <f t="shared" si="270"/>
        <v>0</v>
      </c>
      <c r="BC54">
        <f t="shared" si="270"/>
        <v>0</v>
      </c>
      <c r="BD54">
        <f t="shared" si="270"/>
        <v>0</v>
      </c>
      <c r="BE54">
        <f t="shared" si="270"/>
        <v>0</v>
      </c>
      <c r="BF54">
        <f t="shared" si="270"/>
        <v>0</v>
      </c>
      <c r="BG54">
        <f t="shared" si="270"/>
        <v>0</v>
      </c>
      <c r="BH54">
        <f t="shared" si="270"/>
        <v>0</v>
      </c>
      <c r="BI54">
        <f t="shared" si="270"/>
        <v>0</v>
      </c>
      <c r="BJ54">
        <f t="shared" si="270"/>
        <v>0</v>
      </c>
      <c r="BK54">
        <f t="shared" si="270"/>
        <v>0</v>
      </c>
      <c r="BL54">
        <f t="shared" si="270"/>
        <v>0</v>
      </c>
      <c r="BM54">
        <f t="shared" si="270"/>
        <v>0</v>
      </c>
      <c r="BN54">
        <f t="shared" si="270"/>
        <v>0</v>
      </c>
      <c r="BO54">
        <f t="shared" ref="BO54:DZ54" si="271">BO38-BO19</f>
        <v>0</v>
      </c>
      <c r="BP54">
        <f t="shared" si="271"/>
        <v>0</v>
      </c>
      <c r="BQ54">
        <f t="shared" si="271"/>
        <v>0</v>
      </c>
      <c r="BR54">
        <f t="shared" si="271"/>
        <v>0</v>
      </c>
      <c r="BS54">
        <f t="shared" si="271"/>
        <v>0</v>
      </c>
      <c r="BT54">
        <f t="shared" si="271"/>
        <v>0</v>
      </c>
      <c r="BU54">
        <f t="shared" si="271"/>
        <v>0</v>
      </c>
      <c r="BV54">
        <f t="shared" si="271"/>
        <v>0</v>
      </c>
      <c r="BW54">
        <f t="shared" si="271"/>
        <v>0</v>
      </c>
      <c r="BX54">
        <f t="shared" si="271"/>
        <v>0</v>
      </c>
      <c r="BY54">
        <f t="shared" si="271"/>
        <v>0</v>
      </c>
      <c r="BZ54">
        <f t="shared" si="271"/>
        <v>0</v>
      </c>
      <c r="CA54">
        <f t="shared" si="271"/>
        <v>0</v>
      </c>
      <c r="CB54">
        <f t="shared" si="271"/>
        <v>0</v>
      </c>
      <c r="CC54">
        <f t="shared" si="271"/>
        <v>0</v>
      </c>
      <c r="CD54">
        <f t="shared" si="271"/>
        <v>0</v>
      </c>
      <c r="CE54">
        <f t="shared" si="271"/>
        <v>0</v>
      </c>
      <c r="CF54">
        <f t="shared" si="271"/>
        <v>0</v>
      </c>
      <c r="CG54">
        <f t="shared" si="271"/>
        <v>0</v>
      </c>
      <c r="CH54">
        <f t="shared" si="271"/>
        <v>0</v>
      </c>
      <c r="CI54">
        <f t="shared" si="271"/>
        <v>0</v>
      </c>
      <c r="CJ54">
        <f t="shared" si="271"/>
        <v>0</v>
      </c>
      <c r="CK54">
        <f t="shared" si="271"/>
        <v>0</v>
      </c>
      <c r="CL54">
        <f t="shared" si="271"/>
        <v>0</v>
      </c>
      <c r="CM54">
        <f t="shared" si="271"/>
        <v>0</v>
      </c>
      <c r="CN54">
        <f t="shared" si="271"/>
        <v>0</v>
      </c>
      <c r="CO54">
        <f t="shared" si="271"/>
        <v>0</v>
      </c>
      <c r="CP54">
        <f t="shared" si="271"/>
        <v>0</v>
      </c>
      <c r="CQ54">
        <f t="shared" si="271"/>
        <v>0</v>
      </c>
      <c r="CR54">
        <f t="shared" si="271"/>
        <v>0</v>
      </c>
      <c r="CS54">
        <f t="shared" si="271"/>
        <v>0</v>
      </c>
      <c r="CT54">
        <f t="shared" si="271"/>
        <v>0</v>
      </c>
      <c r="CU54">
        <f t="shared" si="271"/>
        <v>0</v>
      </c>
      <c r="CV54">
        <f t="shared" si="271"/>
        <v>0</v>
      </c>
      <c r="CW54">
        <f t="shared" si="271"/>
        <v>0</v>
      </c>
      <c r="CX54">
        <f t="shared" si="271"/>
        <v>0</v>
      </c>
      <c r="CY54">
        <f t="shared" si="271"/>
        <v>0</v>
      </c>
      <c r="CZ54">
        <f t="shared" si="271"/>
        <v>0</v>
      </c>
      <c r="DA54">
        <f t="shared" si="271"/>
        <v>0</v>
      </c>
      <c r="DB54">
        <f t="shared" si="271"/>
        <v>0</v>
      </c>
      <c r="DC54">
        <f t="shared" si="271"/>
        <v>0</v>
      </c>
      <c r="DD54">
        <f t="shared" si="271"/>
        <v>0</v>
      </c>
      <c r="DE54">
        <f t="shared" si="271"/>
        <v>0</v>
      </c>
      <c r="DF54">
        <f t="shared" si="271"/>
        <v>0</v>
      </c>
      <c r="DG54">
        <f t="shared" si="271"/>
        <v>0</v>
      </c>
      <c r="DH54">
        <f t="shared" si="271"/>
        <v>0</v>
      </c>
      <c r="DI54">
        <f t="shared" si="271"/>
        <v>0</v>
      </c>
      <c r="DJ54">
        <f t="shared" si="271"/>
        <v>0</v>
      </c>
      <c r="DK54">
        <f t="shared" si="271"/>
        <v>0</v>
      </c>
      <c r="DL54">
        <f t="shared" si="271"/>
        <v>0</v>
      </c>
      <c r="DM54">
        <f t="shared" si="271"/>
        <v>0</v>
      </c>
      <c r="DN54">
        <f t="shared" si="271"/>
        <v>0</v>
      </c>
      <c r="DO54">
        <f t="shared" si="271"/>
        <v>0</v>
      </c>
      <c r="DP54">
        <f t="shared" si="271"/>
        <v>0</v>
      </c>
      <c r="DQ54">
        <f t="shared" si="271"/>
        <v>0</v>
      </c>
      <c r="DR54">
        <f t="shared" si="271"/>
        <v>0</v>
      </c>
      <c r="DS54">
        <f t="shared" si="271"/>
        <v>0</v>
      </c>
      <c r="DT54">
        <f t="shared" si="271"/>
        <v>0</v>
      </c>
      <c r="DU54">
        <f t="shared" si="271"/>
        <v>0</v>
      </c>
      <c r="DV54">
        <f t="shared" si="271"/>
        <v>0</v>
      </c>
      <c r="DW54">
        <f t="shared" si="271"/>
        <v>0</v>
      </c>
      <c r="DX54">
        <f t="shared" si="271"/>
        <v>0</v>
      </c>
      <c r="DY54">
        <f t="shared" si="271"/>
        <v>0</v>
      </c>
      <c r="DZ54">
        <f t="shared" si="271"/>
        <v>0</v>
      </c>
      <c r="EA54">
        <f t="shared" ref="EA54:GL54" si="272">EA38-EA19</f>
        <v>0</v>
      </c>
      <c r="EB54">
        <f t="shared" si="272"/>
        <v>0</v>
      </c>
      <c r="EC54">
        <f t="shared" si="272"/>
        <v>0</v>
      </c>
      <c r="ED54">
        <f t="shared" si="272"/>
        <v>0</v>
      </c>
      <c r="EE54">
        <f t="shared" si="272"/>
        <v>0</v>
      </c>
      <c r="EF54">
        <f t="shared" si="272"/>
        <v>0</v>
      </c>
      <c r="EG54">
        <f t="shared" si="272"/>
        <v>0</v>
      </c>
      <c r="EH54">
        <f t="shared" si="272"/>
        <v>0</v>
      </c>
      <c r="EI54">
        <f t="shared" si="272"/>
        <v>0</v>
      </c>
      <c r="EJ54">
        <f t="shared" si="272"/>
        <v>0</v>
      </c>
      <c r="EK54">
        <f t="shared" si="272"/>
        <v>0</v>
      </c>
      <c r="EL54">
        <f t="shared" si="272"/>
        <v>0</v>
      </c>
      <c r="EM54">
        <f t="shared" si="272"/>
        <v>0</v>
      </c>
      <c r="EN54">
        <f t="shared" si="272"/>
        <v>0</v>
      </c>
      <c r="EO54">
        <f t="shared" si="272"/>
        <v>0</v>
      </c>
      <c r="EP54">
        <f t="shared" si="272"/>
        <v>0</v>
      </c>
      <c r="EQ54">
        <f t="shared" si="272"/>
        <v>0</v>
      </c>
      <c r="ER54">
        <f t="shared" si="272"/>
        <v>0</v>
      </c>
      <c r="ES54">
        <f t="shared" si="272"/>
        <v>0</v>
      </c>
      <c r="ET54">
        <f t="shared" si="272"/>
        <v>0</v>
      </c>
      <c r="EU54">
        <f t="shared" si="272"/>
        <v>0</v>
      </c>
      <c r="EV54">
        <f t="shared" si="272"/>
        <v>0</v>
      </c>
      <c r="EW54">
        <f t="shared" si="272"/>
        <v>0</v>
      </c>
      <c r="EX54">
        <f t="shared" si="272"/>
        <v>0</v>
      </c>
      <c r="EY54">
        <f t="shared" si="272"/>
        <v>0</v>
      </c>
      <c r="EZ54">
        <f t="shared" si="272"/>
        <v>0</v>
      </c>
      <c r="FA54">
        <f t="shared" si="272"/>
        <v>0</v>
      </c>
      <c r="FB54">
        <f t="shared" si="272"/>
        <v>0</v>
      </c>
      <c r="FC54">
        <f t="shared" si="272"/>
        <v>0</v>
      </c>
      <c r="FD54">
        <f t="shared" si="272"/>
        <v>0</v>
      </c>
      <c r="FE54">
        <f t="shared" si="272"/>
        <v>0</v>
      </c>
      <c r="FF54">
        <f t="shared" si="272"/>
        <v>0</v>
      </c>
      <c r="FG54">
        <f t="shared" si="272"/>
        <v>0</v>
      </c>
      <c r="FH54">
        <f t="shared" si="272"/>
        <v>0</v>
      </c>
      <c r="FI54">
        <f t="shared" si="272"/>
        <v>0</v>
      </c>
      <c r="FJ54">
        <f t="shared" si="272"/>
        <v>0</v>
      </c>
      <c r="FK54">
        <f t="shared" si="272"/>
        <v>0</v>
      </c>
      <c r="FL54">
        <f t="shared" si="272"/>
        <v>0</v>
      </c>
      <c r="FM54">
        <f t="shared" si="272"/>
        <v>0</v>
      </c>
      <c r="FN54" s="1">
        <f t="shared" si="272"/>
        <v>0</v>
      </c>
      <c r="FO54" s="1">
        <f t="shared" si="272"/>
        <v>0</v>
      </c>
      <c r="FP54" s="1">
        <f t="shared" si="272"/>
        <v>0</v>
      </c>
      <c r="FQ54" s="1">
        <f t="shared" si="272"/>
        <v>0</v>
      </c>
      <c r="FR54" s="1">
        <f t="shared" si="272"/>
        <v>0</v>
      </c>
      <c r="FS54" s="1">
        <f t="shared" si="272"/>
        <v>0</v>
      </c>
      <c r="FT54" s="1">
        <f t="shared" si="272"/>
        <v>0</v>
      </c>
      <c r="FU54" s="1">
        <f t="shared" si="272"/>
        <v>0</v>
      </c>
      <c r="FV54" s="1">
        <f t="shared" si="272"/>
        <v>0</v>
      </c>
      <c r="FW54" s="1">
        <f t="shared" si="272"/>
        <v>0</v>
      </c>
      <c r="FX54" s="1">
        <f t="shared" si="272"/>
        <v>0</v>
      </c>
      <c r="FY54" s="1">
        <f t="shared" si="272"/>
        <v>0</v>
      </c>
      <c r="FZ54" s="1">
        <f t="shared" si="272"/>
        <v>0</v>
      </c>
      <c r="GA54" s="1">
        <f t="shared" si="272"/>
        <v>0</v>
      </c>
      <c r="GB54" s="1">
        <f t="shared" si="272"/>
        <v>0</v>
      </c>
      <c r="GC54" s="1">
        <f t="shared" si="272"/>
        <v>0</v>
      </c>
      <c r="GD54" s="1">
        <f t="shared" si="272"/>
        <v>0</v>
      </c>
      <c r="GE54" s="1">
        <f t="shared" si="272"/>
        <v>0</v>
      </c>
      <c r="GF54" s="1">
        <f t="shared" si="272"/>
        <v>0</v>
      </c>
      <c r="GG54" s="1">
        <f t="shared" si="272"/>
        <v>0</v>
      </c>
      <c r="GH54" s="1">
        <f t="shared" si="272"/>
        <v>0</v>
      </c>
      <c r="GI54" s="1">
        <f t="shared" si="272"/>
        <v>0</v>
      </c>
      <c r="GJ54" s="1">
        <f t="shared" si="272"/>
        <v>0</v>
      </c>
      <c r="GK54" s="1">
        <f t="shared" si="272"/>
        <v>0</v>
      </c>
      <c r="GL54" s="1">
        <f t="shared" si="272"/>
        <v>0</v>
      </c>
      <c r="GM54" s="1">
        <f t="shared" ref="GM54:IX54" si="273">GM38-GM19</f>
        <v>0</v>
      </c>
      <c r="GN54" s="1">
        <f t="shared" si="273"/>
        <v>0</v>
      </c>
      <c r="GO54" s="1">
        <f t="shared" si="273"/>
        <v>0</v>
      </c>
      <c r="GP54" s="1">
        <f t="shared" si="273"/>
        <v>0</v>
      </c>
      <c r="GQ54" s="1">
        <f t="shared" si="273"/>
        <v>0</v>
      </c>
      <c r="GR54" s="1">
        <f t="shared" si="273"/>
        <v>0</v>
      </c>
      <c r="GS54" s="1">
        <f t="shared" si="273"/>
        <v>0</v>
      </c>
      <c r="GT54" s="1">
        <f t="shared" si="273"/>
        <v>0</v>
      </c>
      <c r="GU54" s="1">
        <f t="shared" si="273"/>
        <v>0</v>
      </c>
      <c r="GV54" s="1">
        <f t="shared" si="273"/>
        <v>0</v>
      </c>
      <c r="GW54" s="1">
        <f t="shared" si="273"/>
        <v>0</v>
      </c>
      <c r="GX54" s="1">
        <f t="shared" si="273"/>
        <v>0</v>
      </c>
      <c r="GY54" s="1">
        <f t="shared" si="273"/>
        <v>0</v>
      </c>
      <c r="GZ54" s="1">
        <f t="shared" si="273"/>
        <v>0</v>
      </c>
      <c r="HA54" s="1">
        <f t="shared" si="273"/>
        <v>0</v>
      </c>
      <c r="HB54" s="1">
        <f t="shared" si="273"/>
        <v>0</v>
      </c>
      <c r="HC54" s="1">
        <f t="shared" si="273"/>
        <v>0</v>
      </c>
      <c r="HD54" s="1">
        <f t="shared" si="273"/>
        <v>0</v>
      </c>
      <c r="HE54" s="1">
        <f t="shared" si="273"/>
        <v>0</v>
      </c>
      <c r="HF54" s="1">
        <f t="shared" si="273"/>
        <v>0</v>
      </c>
      <c r="HG54" s="1">
        <f t="shared" si="273"/>
        <v>0</v>
      </c>
      <c r="HH54" s="1">
        <f t="shared" si="273"/>
        <v>0</v>
      </c>
      <c r="HI54" s="1">
        <f t="shared" si="273"/>
        <v>0</v>
      </c>
      <c r="HJ54" s="1">
        <f t="shared" si="273"/>
        <v>0</v>
      </c>
      <c r="HK54" s="1">
        <f t="shared" si="273"/>
        <v>0</v>
      </c>
      <c r="HL54" s="1">
        <f t="shared" si="273"/>
        <v>0</v>
      </c>
      <c r="HM54" s="1">
        <f t="shared" si="273"/>
        <v>0</v>
      </c>
      <c r="HN54" s="1">
        <f t="shared" si="273"/>
        <v>0</v>
      </c>
      <c r="HO54" s="1">
        <f t="shared" si="273"/>
        <v>0</v>
      </c>
      <c r="HP54" s="1">
        <f t="shared" si="273"/>
        <v>0</v>
      </c>
      <c r="HQ54" s="1">
        <f t="shared" si="273"/>
        <v>0</v>
      </c>
      <c r="HR54" s="1">
        <f t="shared" si="273"/>
        <v>0</v>
      </c>
      <c r="HS54" s="1">
        <f t="shared" si="273"/>
        <v>0</v>
      </c>
      <c r="HT54" s="1">
        <f t="shared" si="273"/>
        <v>0</v>
      </c>
      <c r="HU54" s="1">
        <f t="shared" si="273"/>
        <v>0</v>
      </c>
      <c r="HV54" s="1">
        <f t="shared" si="273"/>
        <v>0</v>
      </c>
      <c r="HW54" s="1">
        <f t="shared" si="273"/>
        <v>0</v>
      </c>
      <c r="HX54" s="1">
        <f t="shared" si="273"/>
        <v>0</v>
      </c>
      <c r="HY54" s="1">
        <f t="shared" si="273"/>
        <v>0</v>
      </c>
      <c r="HZ54" s="1">
        <f t="shared" si="273"/>
        <v>0</v>
      </c>
      <c r="IA54" s="1">
        <f t="shared" si="273"/>
        <v>0</v>
      </c>
      <c r="IB54" s="1">
        <f t="shared" si="273"/>
        <v>0</v>
      </c>
      <c r="IC54" s="1">
        <f t="shared" si="273"/>
        <v>0</v>
      </c>
      <c r="ID54" s="1">
        <f t="shared" si="273"/>
        <v>0</v>
      </c>
      <c r="IE54" s="1">
        <f t="shared" si="273"/>
        <v>0</v>
      </c>
      <c r="IF54" s="1">
        <f t="shared" si="273"/>
        <v>0</v>
      </c>
      <c r="IG54" s="1">
        <f t="shared" si="273"/>
        <v>0</v>
      </c>
      <c r="IH54" s="1">
        <f t="shared" si="273"/>
        <v>0</v>
      </c>
      <c r="II54" s="1">
        <f t="shared" si="273"/>
        <v>0</v>
      </c>
      <c r="IJ54" s="1">
        <f t="shared" si="273"/>
        <v>0</v>
      </c>
      <c r="IK54" s="1">
        <f t="shared" si="273"/>
        <v>0</v>
      </c>
      <c r="IL54" s="1">
        <f t="shared" si="273"/>
        <v>0</v>
      </c>
      <c r="IM54" s="1">
        <f t="shared" si="273"/>
        <v>0</v>
      </c>
      <c r="IN54" s="1">
        <f t="shared" si="273"/>
        <v>0</v>
      </c>
      <c r="IO54" s="1">
        <f t="shared" si="273"/>
        <v>0</v>
      </c>
      <c r="IP54" s="1">
        <f t="shared" si="273"/>
        <v>0</v>
      </c>
      <c r="IQ54" s="1">
        <f t="shared" si="273"/>
        <v>0</v>
      </c>
      <c r="IR54" s="1">
        <f t="shared" si="273"/>
        <v>0</v>
      </c>
      <c r="IS54" s="1">
        <f t="shared" si="273"/>
        <v>0</v>
      </c>
      <c r="IT54" s="1">
        <f t="shared" si="273"/>
        <v>0</v>
      </c>
      <c r="IU54" s="1">
        <f t="shared" si="273"/>
        <v>0</v>
      </c>
      <c r="IV54" s="1">
        <f t="shared" si="273"/>
        <v>0</v>
      </c>
      <c r="IW54" s="1">
        <f t="shared" si="273"/>
        <v>0</v>
      </c>
      <c r="IX54" s="1">
        <f t="shared" si="273"/>
        <v>0</v>
      </c>
      <c r="IY54" s="1">
        <f t="shared" ref="IY54:LJ54" si="274">IY38-IY19</f>
        <v>0</v>
      </c>
      <c r="IZ54" s="1">
        <f t="shared" si="274"/>
        <v>0</v>
      </c>
      <c r="JA54" s="1">
        <f t="shared" si="274"/>
        <v>0</v>
      </c>
      <c r="JB54" s="1">
        <f t="shared" si="274"/>
        <v>0</v>
      </c>
      <c r="JC54" s="1">
        <f t="shared" si="274"/>
        <v>0</v>
      </c>
      <c r="JD54" s="1">
        <f t="shared" si="274"/>
        <v>0</v>
      </c>
      <c r="JE54" s="1">
        <f t="shared" si="274"/>
        <v>0</v>
      </c>
      <c r="JF54" s="1">
        <f t="shared" si="274"/>
        <v>0</v>
      </c>
      <c r="JG54" s="1">
        <f t="shared" si="274"/>
        <v>0</v>
      </c>
      <c r="JH54" s="1">
        <f t="shared" si="274"/>
        <v>0</v>
      </c>
      <c r="JI54" s="1">
        <f t="shared" si="274"/>
        <v>0</v>
      </c>
      <c r="JJ54" s="1">
        <f t="shared" si="274"/>
        <v>0</v>
      </c>
      <c r="JK54" s="1">
        <f t="shared" si="274"/>
        <v>0</v>
      </c>
      <c r="JL54" s="1">
        <f t="shared" si="274"/>
        <v>0</v>
      </c>
      <c r="JM54" s="1">
        <f t="shared" si="274"/>
        <v>0</v>
      </c>
      <c r="JN54" s="1">
        <f t="shared" si="274"/>
        <v>0</v>
      </c>
      <c r="JO54" s="1">
        <f t="shared" si="274"/>
        <v>0</v>
      </c>
      <c r="JP54" s="1">
        <f t="shared" si="274"/>
        <v>0</v>
      </c>
      <c r="JQ54" s="1">
        <f t="shared" si="274"/>
        <v>0</v>
      </c>
      <c r="JR54" s="1">
        <f t="shared" si="274"/>
        <v>0</v>
      </c>
      <c r="JS54" s="1">
        <f t="shared" si="274"/>
        <v>0</v>
      </c>
      <c r="JT54" s="1">
        <f t="shared" si="274"/>
        <v>0</v>
      </c>
      <c r="JU54" s="1">
        <f t="shared" si="274"/>
        <v>0</v>
      </c>
      <c r="JV54" s="1">
        <f t="shared" si="274"/>
        <v>0</v>
      </c>
      <c r="JW54" s="1">
        <f t="shared" si="274"/>
        <v>0</v>
      </c>
      <c r="JX54" s="1">
        <f t="shared" si="274"/>
        <v>0</v>
      </c>
      <c r="JY54" s="1">
        <f t="shared" si="274"/>
        <v>0</v>
      </c>
      <c r="JZ54" s="1">
        <f t="shared" si="274"/>
        <v>0</v>
      </c>
      <c r="KA54" s="1">
        <f t="shared" si="274"/>
        <v>0</v>
      </c>
      <c r="KB54" s="1">
        <f t="shared" si="274"/>
        <v>0</v>
      </c>
      <c r="KC54" s="1">
        <f t="shared" si="274"/>
        <v>0</v>
      </c>
      <c r="KD54" s="1">
        <f t="shared" si="274"/>
        <v>0</v>
      </c>
      <c r="KE54" s="1">
        <f t="shared" si="274"/>
        <v>0</v>
      </c>
      <c r="KF54" s="1">
        <f t="shared" si="274"/>
        <v>0</v>
      </c>
      <c r="KG54" s="1">
        <f t="shared" si="274"/>
        <v>0</v>
      </c>
      <c r="KH54" s="1">
        <f t="shared" si="274"/>
        <v>0</v>
      </c>
      <c r="KI54" s="1">
        <f t="shared" si="274"/>
        <v>0</v>
      </c>
      <c r="KJ54" s="1">
        <f t="shared" si="274"/>
        <v>0</v>
      </c>
      <c r="KK54" s="1">
        <f t="shared" si="274"/>
        <v>0</v>
      </c>
      <c r="KL54" s="1">
        <f t="shared" si="274"/>
        <v>0</v>
      </c>
      <c r="KM54" s="1">
        <f t="shared" si="274"/>
        <v>0</v>
      </c>
      <c r="KN54" s="1">
        <f t="shared" si="274"/>
        <v>0</v>
      </c>
      <c r="KO54" s="1">
        <f t="shared" si="274"/>
        <v>0</v>
      </c>
      <c r="KP54" s="1">
        <f t="shared" si="274"/>
        <v>0</v>
      </c>
      <c r="KQ54" s="1">
        <f t="shared" si="274"/>
        <v>0</v>
      </c>
      <c r="KR54" s="1">
        <f t="shared" si="274"/>
        <v>0</v>
      </c>
      <c r="KS54" s="1">
        <f t="shared" si="274"/>
        <v>0</v>
      </c>
      <c r="KT54" s="1">
        <f t="shared" si="274"/>
        <v>0</v>
      </c>
      <c r="KU54" s="1">
        <f t="shared" si="274"/>
        <v>0</v>
      </c>
      <c r="KV54" s="1">
        <f t="shared" si="274"/>
        <v>0</v>
      </c>
      <c r="KW54" s="1">
        <f t="shared" si="274"/>
        <v>0</v>
      </c>
      <c r="KX54" s="1">
        <f t="shared" si="274"/>
        <v>0</v>
      </c>
      <c r="KY54" s="1">
        <f t="shared" si="274"/>
        <v>0</v>
      </c>
      <c r="KZ54" s="1">
        <f t="shared" si="274"/>
        <v>0</v>
      </c>
      <c r="LA54" s="1">
        <f t="shared" si="274"/>
        <v>0</v>
      </c>
      <c r="LB54" s="1">
        <f t="shared" si="274"/>
        <v>0</v>
      </c>
      <c r="LC54" s="1">
        <f t="shared" si="274"/>
        <v>0</v>
      </c>
      <c r="LD54" s="1">
        <f t="shared" si="274"/>
        <v>0</v>
      </c>
      <c r="LE54" s="1">
        <f t="shared" si="274"/>
        <v>0</v>
      </c>
      <c r="LF54" s="1">
        <f t="shared" si="274"/>
        <v>0</v>
      </c>
      <c r="LG54" s="1">
        <f t="shared" si="274"/>
        <v>0</v>
      </c>
      <c r="LH54" s="1">
        <f t="shared" si="274"/>
        <v>0</v>
      </c>
      <c r="LI54" s="1">
        <f t="shared" si="274"/>
        <v>0</v>
      </c>
      <c r="LJ54" s="1">
        <f t="shared" si="274"/>
        <v>0</v>
      </c>
      <c r="LK54" s="1">
        <f t="shared" ref="LK54:NV54" si="275">LK38-LK19</f>
        <v>0</v>
      </c>
      <c r="LL54" s="1">
        <f t="shared" si="275"/>
        <v>0</v>
      </c>
      <c r="LM54" s="1">
        <f t="shared" si="275"/>
        <v>0</v>
      </c>
      <c r="LN54" s="1">
        <f t="shared" si="275"/>
        <v>0</v>
      </c>
      <c r="LO54" s="1">
        <f t="shared" si="275"/>
        <v>0</v>
      </c>
      <c r="LP54" s="1">
        <f t="shared" si="275"/>
        <v>0</v>
      </c>
      <c r="LQ54" s="1">
        <f t="shared" si="275"/>
        <v>0</v>
      </c>
      <c r="LR54" s="1">
        <f t="shared" si="275"/>
        <v>0</v>
      </c>
      <c r="LS54" s="1">
        <f t="shared" si="275"/>
        <v>0</v>
      </c>
      <c r="LT54" s="1">
        <f t="shared" si="275"/>
        <v>0</v>
      </c>
      <c r="LU54" s="1">
        <f t="shared" si="275"/>
        <v>0</v>
      </c>
      <c r="LV54" s="1">
        <f t="shared" si="275"/>
        <v>0</v>
      </c>
      <c r="LW54" s="1">
        <f t="shared" si="275"/>
        <v>0</v>
      </c>
      <c r="LX54" s="1">
        <f t="shared" si="275"/>
        <v>0</v>
      </c>
      <c r="LY54" s="1">
        <f t="shared" si="275"/>
        <v>0</v>
      </c>
      <c r="LZ54" s="1">
        <f t="shared" si="275"/>
        <v>0</v>
      </c>
      <c r="MA54" s="1">
        <f t="shared" si="275"/>
        <v>0</v>
      </c>
      <c r="MB54" s="1">
        <f t="shared" si="275"/>
        <v>0</v>
      </c>
      <c r="MC54" s="1">
        <f t="shared" si="275"/>
        <v>0</v>
      </c>
      <c r="MD54" s="1">
        <f t="shared" si="275"/>
        <v>0</v>
      </c>
      <c r="ME54" s="1">
        <f t="shared" si="275"/>
        <v>0</v>
      </c>
      <c r="MF54" s="1">
        <f t="shared" si="275"/>
        <v>0</v>
      </c>
      <c r="MG54" s="1">
        <f t="shared" si="275"/>
        <v>0</v>
      </c>
      <c r="MH54" s="1">
        <f t="shared" si="275"/>
        <v>0</v>
      </c>
      <c r="MI54" s="1">
        <f t="shared" si="275"/>
        <v>0</v>
      </c>
      <c r="MJ54" s="1">
        <f t="shared" si="275"/>
        <v>0</v>
      </c>
      <c r="MK54" s="1">
        <f t="shared" si="275"/>
        <v>0</v>
      </c>
      <c r="ML54" s="1">
        <f t="shared" si="275"/>
        <v>0</v>
      </c>
      <c r="MM54" s="1">
        <f t="shared" si="275"/>
        <v>0</v>
      </c>
      <c r="MN54" s="1">
        <f t="shared" si="275"/>
        <v>0</v>
      </c>
      <c r="MO54" s="1">
        <f t="shared" si="275"/>
        <v>0</v>
      </c>
      <c r="MP54" s="1">
        <f t="shared" si="275"/>
        <v>0</v>
      </c>
      <c r="MQ54" s="1">
        <f t="shared" si="275"/>
        <v>0</v>
      </c>
      <c r="MR54" s="1">
        <f t="shared" si="275"/>
        <v>0</v>
      </c>
      <c r="MS54" s="1">
        <f t="shared" si="275"/>
        <v>0</v>
      </c>
      <c r="MT54" s="1">
        <f t="shared" si="275"/>
        <v>0</v>
      </c>
      <c r="MU54" s="1">
        <f t="shared" si="275"/>
        <v>0</v>
      </c>
      <c r="MV54" s="1">
        <f t="shared" si="275"/>
        <v>0</v>
      </c>
      <c r="MW54" s="1">
        <f t="shared" si="275"/>
        <v>0</v>
      </c>
      <c r="MX54" s="1">
        <f t="shared" si="275"/>
        <v>0</v>
      </c>
      <c r="MY54" s="1">
        <f t="shared" si="275"/>
        <v>0</v>
      </c>
      <c r="MZ54" s="1">
        <f t="shared" si="275"/>
        <v>0</v>
      </c>
      <c r="NA54" s="1">
        <f t="shared" si="275"/>
        <v>0</v>
      </c>
      <c r="NB54" s="1">
        <f t="shared" si="275"/>
        <v>0</v>
      </c>
      <c r="NC54" s="1">
        <f t="shared" si="275"/>
        <v>0</v>
      </c>
      <c r="ND54" s="1">
        <f t="shared" si="275"/>
        <v>0</v>
      </c>
      <c r="NE54" s="1">
        <f t="shared" si="275"/>
        <v>0</v>
      </c>
      <c r="NF54" s="1">
        <f t="shared" si="275"/>
        <v>0</v>
      </c>
      <c r="NG54" s="1">
        <f t="shared" si="275"/>
        <v>0</v>
      </c>
      <c r="NH54" s="1">
        <f t="shared" si="275"/>
        <v>0</v>
      </c>
      <c r="NI54" s="1">
        <f t="shared" si="275"/>
        <v>0</v>
      </c>
      <c r="NJ54" s="1">
        <f t="shared" si="275"/>
        <v>0</v>
      </c>
      <c r="NK54" s="1">
        <f t="shared" si="275"/>
        <v>0</v>
      </c>
      <c r="NL54" s="1">
        <f t="shared" si="275"/>
        <v>0</v>
      </c>
      <c r="NM54" s="1">
        <f t="shared" si="275"/>
        <v>0</v>
      </c>
      <c r="NN54" s="1">
        <f t="shared" si="275"/>
        <v>0</v>
      </c>
      <c r="NO54" s="1">
        <f t="shared" si="275"/>
        <v>0</v>
      </c>
      <c r="NP54" s="1">
        <f t="shared" si="275"/>
        <v>0</v>
      </c>
      <c r="NQ54" s="1">
        <f t="shared" si="275"/>
        <v>0</v>
      </c>
      <c r="NR54" s="1">
        <f t="shared" si="275"/>
        <v>0</v>
      </c>
      <c r="NS54" s="1">
        <f t="shared" si="275"/>
        <v>0</v>
      </c>
      <c r="NT54" s="1">
        <f t="shared" si="275"/>
        <v>0</v>
      </c>
      <c r="NU54" s="1">
        <f t="shared" si="275"/>
        <v>0</v>
      </c>
      <c r="NV54" s="1">
        <f t="shared" si="275"/>
        <v>0</v>
      </c>
      <c r="NW54" s="1">
        <f t="shared" ref="NW54:QH54" si="276">NW38-NW19</f>
        <v>0</v>
      </c>
      <c r="NX54" s="1">
        <f t="shared" si="276"/>
        <v>0</v>
      </c>
      <c r="NY54" s="1">
        <f t="shared" si="276"/>
        <v>0</v>
      </c>
      <c r="NZ54" s="1">
        <f t="shared" si="276"/>
        <v>0</v>
      </c>
      <c r="OA54" s="1">
        <f t="shared" si="276"/>
        <v>0</v>
      </c>
      <c r="OB54" s="1">
        <f t="shared" si="276"/>
        <v>0</v>
      </c>
      <c r="OC54" s="1">
        <f t="shared" si="276"/>
        <v>0</v>
      </c>
      <c r="OD54" s="1">
        <f t="shared" si="276"/>
        <v>0</v>
      </c>
      <c r="OE54" s="1">
        <f t="shared" si="276"/>
        <v>0</v>
      </c>
      <c r="OF54" s="1">
        <f t="shared" si="276"/>
        <v>0</v>
      </c>
      <c r="OG54" s="1">
        <f t="shared" si="276"/>
        <v>0</v>
      </c>
      <c r="OH54" s="1">
        <f t="shared" si="276"/>
        <v>0</v>
      </c>
      <c r="OI54" s="1">
        <f t="shared" si="276"/>
        <v>0</v>
      </c>
      <c r="OJ54" s="1">
        <f t="shared" si="276"/>
        <v>0</v>
      </c>
      <c r="OK54" s="1">
        <f t="shared" si="276"/>
        <v>0</v>
      </c>
      <c r="OL54" s="1">
        <f t="shared" si="276"/>
        <v>0</v>
      </c>
      <c r="OM54" s="1">
        <f t="shared" si="276"/>
        <v>0</v>
      </c>
      <c r="ON54" s="1">
        <f t="shared" si="276"/>
        <v>0</v>
      </c>
      <c r="OO54" s="1">
        <f t="shared" si="276"/>
        <v>0</v>
      </c>
      <c r="OP54" s="1">
        <f t="shared" si="276"/>
        <v>0</v>
      </c>
      <c r="OQ54" s="1">
        <f t="shared" si="276"/>
        <v>0</v>
      </c>
      <c r="OR54" s="1">
        <f t="shared" si="276"/>
        <v>0</v>
      </c>
      <c r="OS54" s="1">
        <f t="shared" si="276"/>
        <v>0</v>
      </c>
      <c r="OT54" s="1">
        <f t="shared" si="276"/>
        <v>0</v>
      </c>
      <c r="OU54" s="1">
        <f t="shared" si="276"/>
        <v>0</v>
      </c>
      <c r="OV54" s="1">
        <f t="shared" si="276"/>
        <v>0</v>
      </c>
      <c r="OW54" s="1">
        <f t="shared" si="276"/>
        <v>0</v>
      </c>
      <c r="OX54" s="1">
        <f t="shared" si="276"/>
        <v>0</v>
      </c>
      <c r="OY54" s="1">
        <f t="shared" si="276"/>
        <v>0</v>
      </c>
      <c r="OZ54" s="1">
        <f t="shared" si="276"/>
        <v>0</v>
      </c>
      <c r="PA54" s="1">
        <f t="shared" si="276"/>
        <v>0</v>
      </c>
      <c r="PB54" s="1">
        <f t="shared" si="276"/>
        <v>0</v>
      </c>
      <c r="PC54" s="1">
        <f t="shared" si="276"/>
        <v>0</v>
      </c>
      <c r="PD54" s="1">
        <f t="shared" si="276"/>
        <v>0</v>
      </c>
      <c r="PE54" s="1">
        <f t="shared" si="276"/>
        <v>0</v>
      </c>
      <c r="PF54" s="1">
        <f t="shared" si="276"/>
        <v>0</v>
      </c>
      <c r="PG54" s="1">
        <f t="shared" si="276"/>
        <v>0</v>
      </c>
      <c r="PH54" s="1">
        <f t="shared" si="276"/>
        <v>0</v>
      </c>
      <c r="PI54" s="1">
        <f t="shared" si="276"/>
        <v>0</v>
      </c>
      <c r="PJ54" s="1">
        <f t="shared" si="276"/>
        <v>0</v>
      </c>
      <c r="PK54" s="1">
        <f t="shared" si="276"/>
        <v>0</v>
      </c>
      <c r="PL54" s="1">
        <f t="shared" si="276"/>
        <v>0</v>
      </c>
      <c r="PM54" s="1">
        <f t="shared" si="276"/>
        <v>0</v>
      </c>
      <c r="PN54" s="1">
        <f t="shared" si="276"/>
        <v>0</v>
      </c>
      <c r="PO54" s="1">
        <f t="shared" si="276"/>
        <v>0</v>
      </c>
      <c r="PP54" s="1">
        <f t="shared" si="276"/>
        <v>0</v>
      </c>
      <c r="PQ54" s="1">
        <f t="shared" si="276"/>
        <v>0</v>
      </c>
      <c r="PR54" s="1">
        <f t="shared" si="276"/>
        <v>0</v>
      </c>
      <c r="PS54" s="1">
        <f t="shared" si="276"/>
        <v>0</v>
      </c>
      <c r="PT54" s="1">
        <f t="shared" si="276"/>
        <v>0</v>
      </c>
      <c r="PU54" s="1">
        <f t="shared" si="276"/>
        <v>0</v>
      </c>
      <c r="PV54" s="1">
        <f t="shared" si="276"/>
        <v>0</v>
      </c>
      <c r="PW54" s="1">
        <f t="shared" si="276"/>
        <v>0</v>
      </c>
      <c r="PX54" s="1">
        <f t="shared" si="276"/>
        <v>0</v>
      </c>
      <c r="PY54" s="1">
        <f t="shared" si="276"/>
        <v>0</v>
      </c>
      <c r="PZ54" s="1">
        <f t="shared" si="276"/>
        <v>0</v>
      </c>
      <c r="QA54" s="1">
        <f t="shared" si="276"/>
        <v>0</v>
      </c>
      <c r="QB54" s="1">
        <f t="shared" si="276"/>
        <v>0</v>
      </c>
      <c r="QC54" s="1">
        <f t="shared" si="276"/>
        <v>0</v>
      </c>
      <c r="QD54" s="1">
        <f t="shared" si="276"/>
        <v>0</v>
      </c>
      <c r="QE54" s="1">
        <f t="shared" si="276"/>
        <v>0</v>
      </c>
      <c r="QF54" s="1">
        <f t="shared" si="276"/>
        <v>0</v>
      </c>
      <c r="QG54" s="1">
        <f t="shared" si="276"/>
        <v>0</v>
      </c>
      <c r="QH54" s="1">
        <f t="shared" si="276"/>
        <v>0</v>
      </c>
      <c r="QI54" s="1">
        <f t="shared" ref="QI54:SG54" si="277">QI38-QI19</f>
        <v>0</v>
      </c>
      <c r="QJ54" s="1">
        <f t="shared" si="277"/>
        <v>0</v>
      </c>
      <c r="QK54" s="1">
        <f t="shared" si="277"/>
        <v>0</v>
      </c>
      <c r="QL54" s="1">
        <f t="shared" si="277"/>
        <v>0</v>
      </c>
      <c r="QM54" s="1">
        <f t="shared" si="277"/>
        <v>0</v>
      </c>
      <c r="QN54" s="1">
        <f t="shared" si="277"/>
        <v>0</v>
      </c>
      <c r="QO54" s="1">
        <f t="shared" si="277"/>
        <v>0</v>
      </c>
      <c r="QP54" s="1">
        <f t="shared" si="277"/>
        <v>0</v>
      </c>
      <c r="QQ54" s="1">
        <f t="shared" si="277"/>
        <v>0</v>
      </c>
      <c r="QR54" s="1">
        <f t="shared" si="277"/>
        <v>0</v>
      </c>
      <c r="QS54" s="1">
        <f t="shared" si="277"/>
        <v>0</v>
      </c>
      <c r="QT54" s="1">
        <f t="shared" si="277"/>
        <v>0</v>
      </c>
      <c r="QU54" s="1">
        <f t="shared" si="277"/>
        <v>0</v>
      </c>
      <c r="QV54" s="1">
        <f t="shared" si="277"/>
        <v>0</v>
      </c>
      <c r="QW54" s="1">
        <f t="shared" si="277"/>
        <v>0</v>
      </c>
      <c r="QX54" s="1">
        <f t="shared" si="277"/>
        <v>0</v>
      </c>
      <c r="QY54" s="1">
        <f t="shared" si="277"/>
        <v>0</v>
      </c>
      <c r="QZ54" s="1">
        <f t="shared" si="277"/>
        <v>0</v>
      </c>
      <c r="RA54" s="1">
        <f t="shared" si="277"/>
        <v>0</v>
      </c>
      <c r="RB54" s="1">
        <f t="shared" si="277"/>
        <v>0</v>
      </c>
      <c r="RC54" s="1">
        <f t="shared" si="277"/>
        <v>0</v>
      </c>
      <c r="RD54" s="1">
        <f t="shared" si="277"/>
        <v>0</v>
      </c>
      <c r="RE54" s="1">
        <f t="shared" si="277"/>
        <v>0</v>
      </c>
      <c r="RF54" s="1">
        <f t="shared" si="277"/>
        <v>0</v>
      </c>
      <c r="RG54" s="1">
        <f t="shared" si="277"/>
        <v>0</v>
      </c>
      <c r="RH54" s="1">
        <f t="shared" si="277"/>
        <v>0</v>
      </c>
      <c r="RI54" s="1">
        <f t="shared" si="277"/>
        <v>0</v>
      </c>
      <c r="RJ54" s="1">
        <f t="shared" si="277"/>
        <v>0</v>
      </c>
      <c r="RK54" s="1">
        <f t="shared" si="277"/>
        <v>0</v>
      </c>
      <c r="RL54" s="1">
        <f t="shared" si="277"/>
        <v>0</v>
      </c>
      <c r="RM54" s="1">
        <f t="shared" si="277"/>
        <v>0</v>
      </c>
      <c r="RN54" s="1">
        <f t="shared" si="277"/>
        <v>0</v>
      </c>
      <c r="RO54" s="1">
        <f t="shared" si="277"/>
        <v>0</v>
      </c>
      <c r="RP54" s="1">
        <f t="shared" si="277"/>
        <v>0</v>
      </c>
      <c r="RQ54" s="1">
        <f t="shared" si="277"/>
        <v>0</v>
      </c>
      <c r="RR54" s="1">
        <f t="shared" si="277"/>
        <v>0</v>
      </c>
      <c r="RS54" s="1">
        <f t="shared" si="277"/>
        <v>0</v>
      </c>
      <c r="RT54" s="1">
        <f t="shared" si="277"/>
        <v>0</v>
      </c>
      <c r="RU54" s="1">
        <f t="shared" si="277"/>
        <v>0</v>
      </c>
      <c r="RV54" s="1">
        <f t="shared" si="277"/>
        <v>0</v>
      </c>
      <c r="RW54" s="1">
        <f t="shared" si="277"/>
        <v>0</v>
      </c>
      <c r="RX54" s="1">
        <f t="shared" si="277"/>
        <v>0</v>
      </c>
      <c r="RY54" s="1">
        <f t="shared" si="277"/>
        <v>0</v>
      </c>
      <c r="RZ54" s="1">
        <f t="shared" si="277"/>
        <v>0</v>
      </c>
      <c r="SA54" s="1">
        <f t="shared" si="277"/>
        <v>0</v>
      </c>
      <c r="SB54" s="1">
        <f t="shared" si="277"/>
        <v>0</v>
      </c>
      <c r="SC54" s="1">
        <f t="shared" si="277"/>
        <v>0</v>
      </c>
      <c r="SD54" s="1">
        <f t="shared" si="277"/>
        <v>0</v>
      </c>
      <c r="SE54" s="1">
        <f t="shared" si="277"/>
        <v>0</v>
      </c>
      <c r="SF54" s="1">
        <f t="shared" si="277"/>
        <v>0</v>
      </c>
      <c r="SG54" s="1">
        <f t="shared" si="277"/>
        <v>0</v>
      </c>
      <c r="SH54" s="1">
        <f t="shared" ref="SH54:US54" si="278">SH38-SH19</f>
        <v>0</v>
      </c>
      <c r="SI54" s="1">
        <f t="shared" si="278"/>
        <v>0</v>
      </c>
      <c r="SJ54" s="1">
        <f t="shared" si="278"/>
        <v>0</v>
      </c>
      <c r="SK54" s="1">
        <f t="shared" si="278"/>
        <v>0</v>
      </c>
      <c r="SL54" s="1">
        <f t="shared" si="278"/>
        <v>0</v>
      </c>
      <c r="SM54" s="1">
        <f t="shared" si="278"/>
        <v>0</v>
      </c>
      <c r="SN54" s="1">
        <f t="shared" si="278"/>
        <v>0</v>
      </c>
      <c r="SO54" s="1">
        <f t="shared" si="278"/>
        <v>0</v>
      </c>
      <c r="SP54" s="1">
        <f t="shared" si="278"/>
        <v>0</v>
      </c>
      <c r="SQ54" s="1">
        <f t="shared" si="278"/>
        <v>0</v>
      </c>
      <c r="SR54" s="1">
        <f t="shared" si="278"/>
        <v>0</v>
      </c>
      <c r="SS54" s="1">
        <f t="shared" si="278"/>
        <v>0</v>
      </c>
      <c r="ST54" s="1">
        <f t="shared" si="278"/>
        <v>0</v>
      </c>
      <c r="SU54" s="1">
        <f t="shared" si="278"/>
        <v>0</v>
      </c>
      <c r="SV54" s="1">
        <f t="shared" si="278"/>
        <v>0</v>
      </c>
      <c r="SW54" s="1">
        <f t="shared" si="278"/>
        <v>0</v>
      </c>
      <c r="SX54" s="1">
        <f t="shared" si="278"/>
        <v>0</v>
      </c>
      <c r="SY54" s="1">
        <f t="shared" si="278"/>
        <v>0</v>
      </c>
      <c r="SZ54" s="1">
        <f t="shared" si="278"/>
        <v>0</v>
      </c>
      <c r="TA54" s="1">
        <f t="shared" si="278"/>
        <v>0</v>
      </c>
      <c r="TB54" s="1">
        <f t="shared" si="278"/>
        <v>0</v>
      </c>
      <c r="TC54" s="1">
        <f t="shared" si="278"/>
        <v>0</v>
      </c>
      <c r="TD54" s="1">
        <f t="shared" si="278"/>
        <v>0</v>
      </c>
      <c r="TE54" s="1">
        <f t="shared" si="278"/>
        <v>0</v>
      </c>
      <c r="TF54" s="1">
        <f t="shared" si="278"/>
        <v>0</v>
      </c>
      <c r="TG54" s="1">
        <f t="shared" si="278"/>
        <v>0</v>
      </c>
      <c r="TH54" s="1">
        <f t="shared" si="278"/>
        <v>0</v>
      </c>
      <c r="TI54" s="1">
        <f t="shared" si="278"/>
        <v>0</v>
      </c>
      <c r="TJ54" s="1">
        <f t="shared" si="278"/>
        <v>0</v>
      </c>
      <c r="TK54" s="1">
        <f t="shared" si="278"/>
        <v>0</v>
      </c>
      <c r="TL54" s="1">
        <f t="shared" si="278"/>
        <v>0</v>
      </c>
      <c r="TM54" s="1">
        <f t="shared" si="278"/>
        <v>0</v>
      </c>
      <c r="TN54" s="1">
        <f t="shared" si="278"/>
        <v>0</v>
      </c>
      <c r="TO54" s="1">
        <f t="shared" si="278"/>
        <v>0</v>
      </c>
      <c r="TP54" s="1">
        <f t="shared" si="278"/>
        <v>0</v>
      </c>
      <c r="TQ54" s="1">
        <f t="shared" si="278"/>
        <v>0</v>
      </c>
      <c r="TR54" s="1">
        <f t="shared" si="278"/>
        <v>0</v>
      </c>
      <c r="TS54" s="1">
        <f t="shared" si="278"/>
        <v>0</v>
      </c>
      <c r="TT54" s="1">
        <f t="shared" si="278"/>
        <v>0</v>
      </c>
      <c r="TU54" s="1">
        <f t="shared" si="278"/>
        <v>0</v>
      </c>
      <c r="TV54" s="1">
        <f t="shared" si="278"/>
        <v>0</v>
      </c>
      <c r="TW54" s="1">
        <f t="shared" si="278"/>
        <v>0</v>
      </c>
      <c r="TX54" s="1">
        <f t="shared" si="278"/>
        <v>0</v>
      </c>
      <c r="TY54" s="1">
        <f t="shared" si="278"/>
        <v>0</v>
      </c>
      <c r="TZ54" s="1">
        <f t="shared" si="278"/>
        <v>0</v>
      </c>
      <c r="UA54" s="1">
        <f t="shared" si="278"/>
        <v>0</v>
      </c>
      <c r="UB54" s="1">
        <f t="shared" si="278"/>
        <v>0</v>
      </c>
      <c r="UC54" s="1">
        <f t="shared" si="278"/>
        <v>0</v>
      </c>
      <c r="UD54" s="1">
        <f t="shared" si="278"/>
        <v>0</v>
      </c>
      <c r="UE54" s="1">
        <f t="shared" si="278"/>
        <v>0</v>
      </c>
      <c r="UF54" s="1">
        <f t="shared" si="278"/>
        <v>0</v>
      </c>
      <c r="UG54" s="1">
        <f t="shared" si="278"/>
        <v>0</v>
      </c>
      <c r="UH54" s="1">
        <f t="shared" si="278"/>
        <v>0</v>
      </c>
      <c r="UI54" s="1">
        <f t="shared" si="278"/>
        <v>0</v>
      </c>
      <c r="UJ54" s="1">
        <f t="shared" si="278"/>
        <v>0</v>
      </c>
      <c r="UK54" s="1">
        <f t="shared" si="278"/>
        <v>0</v>
      </c>
      <c r="UL54" s="1">
        <f t="shared" si="278"/>
        <v>0</v>
      </c>
      <c r="UM54" s="1">
        <f t="shared" si="278"/>
        <v>0</v>
      </c>
      <c r="UN54" s="1">
        <f t="shared" si="278"/>
        <v>0</v>
      </c>
      <c r="UO54" s="1">
        <f t="shared" si="278"/>
        <v>0</v>
      </c>
      <c r="UP54" s="1">
        <f t="shared" si="278"/>
        <v>0</v>
      </c>
      <c r="UQ54" s="1">
        <f t="shared" si="278"/>
        <v>0</v>
      </c>
      <c r="UR54" s="1">
        <f t="shared" si="278"/>
        <v>0</v>
      </c>
      <c r="US54" s="1">
        <f t="shared" si="278"/>
        <v>0</v>
      </c>
      <c r="UT54" s="1">
        <f t="shared" ref="UT54:XE54" si="279">UT38-UT19</f>
        <v>0</v>
      </c>
      <c r="UU54" s="1">
        <f t="shared" si="279"/>
        <v>0</v>
      </c>
      <c r="UV54" s="1">
        <f t="shared" si="279"/>
        <v>0</v>
      </c>
      <c r="UW54" s="1">
        <f t="shared" si="279"/>
        <v>0</v>
      </c>
      <c r="UX54" s="1">
        <f t="shared" si="279"/>
        <v>0</v>
      </c>
      <c r="UY54" s="1">
        <f t="shared" si="279"/>
        <v>0</v>
      </c>
      <c r="UZ54" s="1">
        <f t="shared" si="279"/>
        <v>0</v>
      </c>
      <c r="VA54" s="1">
        <f t="shared" si="279"/>
        <v>0</v>
      </c>
      <c r="VB54" s="1">
        <f t="shared" si="279"/>
        <v>0</v>
      </c>
      <c r="VC54" s="1">
        <f t="shared" si="279"/>
        <v>0</v>
      </c>
      <c r="VD54" s="1">
        <f t="shared" si="279"/>
        <v>0</v>
      </c>
      <c r="VE54" s="1">
        <f t="shared" si="279"/>
        <v>0</v>
      </c>
      <c r="VF54" s="1">
        <f t="shared" si="279"/>
        <v>0</v>
      </c>
      <c r="VG54" s="1">
        <f t="shared" si="279"/>
        <v>0</v>
      </c>
      <c r="VH54" s="1">
        <f t="shared" si="279"/>
        <v>0</v>
      </c>
      <c r="VI54" s="1">
        <f t="shared" si="279"/>
        <v>0</v>
      </c>
      <c r="VJ54" s="1">
        <f t="shared" si="279"/>
        <v>0</v>
      </c>
      <c r="VK54" s="1">
        <f t="shared" si="279"/>
        <v>0</v>
      </c>
      <c r="VL54" s="1">
        <f t="shared" si="279"/>
        <v>0</v>
      </c>
      <c r="VM54" s="1">
        <f t="shared" si="279"/>
        <v>0</v>
      </c>
      <c r="VN54" s="1">
        <f t="shared" si="279"/>
        <v>0</v>
      </c>
      <c r="VO54" s="1">
        <f t="shared" si="279"/>
        <v>0</v>
      </c>
      <c r="VP54" s="1">
        <f t="shared" si="279"/>
        <v>0</v>
      </c>
      <c r="VQ54" s="1">
        <f t="shared" si="279"/>
        <v>0</v>
      </c>
      <c r="VR54" s="1">
        <f t="shared" si="279"/>
        <v>0</v>
      </c>
      <c r="VS54" s="1">
        <f t="shared" si="279"/>
        <v>0</v>
      </c>
      <c r="VT54" s="1">
        <f t="shared" si="279"/>
        <v>0</v>
      </c>
      <c r="VU54" s="1">
        <f t="shared" si="279"/>
        <v>0</v>
      </c>
      <c r="VV54" s="1">
        <f t="shared" si="279"/>
        <v>0</v>
      </c>
      <c r="VW54" s="1">
        <f t="shared" si="279"/>
        <v>0</v>
      </c>
      <c r="VX54" s="1">
        <f t="shared" si="279"/>
        <v>0</v>
      </c>
      <c r="VY54" s="1">
        <f t="shared" si="279"/>
        <v>0</v>
      </c>
      <c r="VZ54" s="1">
        <f t="shared" si="279"/>
        <v>0</v>
      </c>
      <c r="WA54" s="1">
        <f t="shared" si="279"/>
        <v>0</v>
      </c>
      <c r="WB54" s="1">
        <f t="shared" si="279"/>
        <v>0</v>
      </c>
      <c r="WC54" s="1">
        <f t="shared" si="279"/>
        <v>0</v>
      </c>
      <c r="WD54" s="1">
        <f t="shared" si="279"/>
        <v>0</v>
      </c>
      <c r="WE54" s="1">
        <f t="shared" si="279"/>
        <v>0</v>
      </c>
      <c r="WF54" s="1">
        <f t="shared" si="279"/>
        <v>0</v>
      </c>
      <c r="WG54" s="1">
        <f t="shared" si="279"/>
        <v>0</v>
      </c>
      <c r="WH54" s="1">
        <f t="shared" si="279"/>
        <v>0</v>
      </c>
      <c r="WI54" s="1">
        <f t="shared" si="279"/>
        <v>0</v>
      </c>
      <c r="WJ54" s="1">
        <f t="shared" si="279"/>
        <v>0</v>
      </c>
      <c r="WK54" s="1">
        <f t="shared" si="279"/>
        <v>0</v>
      </c>
      <c r="WL54" s="1">
        <f t="shared" si="279"/>
        <v>0</v>
      </c>
      <c r="WM54" s="1">
        <f t="shared" si="279"/>
        <v>0</v>
      </c>
      <c r="WN54" s="1">
        <f t="shared" si="279"/>
        <v>0</v>
      </c>
      <c r="WO54" s="1">
        <f t="shared" si="279"/>
        <v>0</v>
      </c>
      <c r="WP54" s="1">
        <f t="shared" si="279"/>
        <v>0</v>
      </c>
      <c r="WQ54" s="1">
        <f t="shared" si="279"/>
        <v>0</v>
      </c>
      <c r="WR54" s="1">
        <f t="shared" si="279"/>
        <v>0</v>
      </c>
      <c r="WS54" s="1">
        <f t="shared" si="279"/>
        <v>0</v>
      </c>
      <c r="WT54" s="1">
        <f t="shared" si="279"/>
        <v>0</v>
      </c>
      <c r="WU54" s="1">
        <f t="shared" si="279"/>
        <v>0</v>
      </c>
      <c r="WV54" s="1">
        <f t="shared" si="279"/>
        <v>0</v>
      </c>
      <c r="WW54" s="1">
        <f t="shared" si="279"/>
        <v>0</v>
      </c>
      <c r="WX54" s="1">
        <f t="shared" si="279"/>
        <v>0</v>
      </c>
      <c r="WY54" s="1">
        <f t="shared" si="279"/>
        <v>0</v>
      </c>
      <c r="WZ54" s="1">
        <f t="shared" si="279"/>
        <v>0</v>
      </c>
      <c r="XA54" s="1">
        <f t="shared" si="279"/>
        <v>0</v>
      </c>
      <c r="XB54" s="1">
        <f t="shared" si="279"/>
        <v>0</v>
      </c>
      <c r="XC54" s="1">
        <f t="shared" si="279"/>
        <v>0</v>
      </c>
      <c r="XD54" s="1">
        <f t="shared" si="279"/>
        <v>0</v>
      </c>
      <c r="XE54" s="1">
        <f t="shared" si="279"/>
        <v>0</v>
      </c>
      <c r="XF54" s="1">
        <f t="shared" ref="XF54:ZQ54" si="280">XF38-XF19</f>
        <v>0</v>
      </c>
      <c r="XG54" s="1">
        <f t="shared" si="280"/>
        <v>0</v>
      </c>
      <c r="XH54" s="1">
        <f t="shared" si="280"/>
        <v>0</v>
      </c>
      <c r="XI54" s="1">
        <f t="shared" si="280"/>
        <v>0</v>
      </c>
      <c r="XJ54" s="1">
        <f t="shared" si="280"/>
        <v>0</v>
      </c>
      <c r="XK54" s="1">
        <f t="shared" si="280"/>
        <v>0</v>
      </c>
      <c r="XL54" s="1">
        <f t="shared" si="280"/>
        <v>0</v>
      </c>
      <c r="XM54" s="1">
        <f t="shared" si="280"/>
        <v>0</v>
      </c>
      <c r="XN54" s="1">
        <f t="shared" si="280"/>
        <v>0</v>
      </c>
      <c r="XO54" s="1">
        <f t="shared" si="280"/>
        <v>0</v>
      </c>
      <c r="XP54" s="1">
        <f t="shared" si="280"/>
        <v>0</v>
      </c>
      <c r="XQ54" s="1">
        <f t="shared" si="280"/>
        <v>0</v>
      </c>
      <c r="XR54" s="1">
        <f t="shared" si="280"/>
        <v>0</v>
      </c>
      <c r="XS54" s="1">
        <f t="shared" si="280"/>
        <v>0</v>
      </c>
      <c r="XT54" s="1">
        <f t="shared" si="280"/>
        <v>0</v>
      </c>
      <c r="XU54" s="1">
        <f t="shared" si="280"/>
        <v>0</v>
      </c>
      <c r="XV54" s="1">
        <f t="shared" si="280"/>
        <v>0</v>
      </c>
      <c r="XW54" s="1">
        <f t="shared" si="280"/>
        <v>0</v>
      </c>
      <c r="XX54" s="1">
        <f t="shared" si="280"/>
        <v>0</v>
      </c>
      <c r="XY54" s="1">
        <f t="shared" si="280"/>
        <v>0</v>
      </c>
      <c r="XZ54" s="1">
        <f t="shared" si="280"/>
        <v>0</v>
      </c>
      <c r="YA54" s="1">
        <f t="shared" si="280"/>
        <v>0</v>
      </c>
      <c r="YB54" s="1">
        <f t="shared" si="280"/>
        <v>0</v>
      </c>
      <c r="YC54" s="1">
        <f t="shared" si="280"/>
        <v>0</v>
      </c>
      <c r="YD54" s="1">
        <f t="shared" si="280"/>
        <v>0</v>
      </c>
      <c r="YE54" s="1">
        <f t="shared" si="280"/>
        <v>0</v>
      </c>
      <c r="YF54" s="1">
        <f t="shared" si="280"/>
        <v>0</v>
      </c>
      <c r="YG54" s="1">
        <f t="shared" si="280"/>
        <v>0</v>
      </c>
      <c r="YH54" s="1">
        <f t="shared" si="280"/>
        <v>0</v>
      </c>
      <c r="YI54" s="1">
        <f t="shared" si="280"/>
        <v>0</v>
      </c>
      <c r="YJ54" s="1">
        <f t="shared" si="280"/>
        <v>0</v>
      </c>
      <c r="YK54" s="1">
        <f t="shared" si="280"/>
        <v>0</v>
      </c>
      <c r="YL54" s="1">
        <f t="shared" si="280"/>
        <v>0</v>
      </c>
      <c r="YM54" s="1">
        <f t="shared" si="280"/>
        <v>0</v>
      </c>
      <c r="YN54" s="1">
        <f t="shared" si="280"/>
        <v>0</v>
      </c>
      <c r="YO54" s="1">
        <f t="shared" si="280"/>
        <v>0</v>
      </c>
      <c r="YP54" s="1">
        <f t="shared" si="280"/>
        <v>0</v>
      </c>
      <c r="YQ54" s="1">
        <f t="shared" si="280"/>
        <v>0</v>
      </c>
      <c r="YR54" s="1">
        <f t="shared" si="280"/>
        <v>0</v>
      </c>
      <c r="YS54" s="1">
        <f t="shared" si="280"/>
        <v>0</v>
      </c>
      <c r="YT54" s="1">
        <f t="shared" si="280"/>
        <v>0</v>
      </c>
      <c r="YU54" s="1">
        <f t="shared" si="280"/>
        <v>0</v>
      </c>
      <c r="YV54" s="1">
        <f t="shared" si="280"/>
        <v>0</v>
      </c>
      <c r="YW54" s="1">
        <f t="shared" si="280"/>
        <v>0</v>
      </c>
      <c r="YX54" s="1">
        <f t="shared" si="280"/>
        <v>0</v>
      </c>
      <c r="YY54" s="1">
        <f t="shared" si="280"/>
        <v>0</v>
      </c>
      <c r="YZ54" s="1">
        <f t="shared" si="280"/>
        <v>0</v>
      </c>
      <c r="ZA54" s="1">
        <f t="shared" si="280"/>
        <v>0</v>
      </c>
      <c r="ZB54" s="1">
        <f t="shared" si="280"/>
        <v>0</v>
      </c>
      <c r="ZC54" s="1">
        <f t="shared" si="280"/>
        <v>0</v>
      </c>
      <c r="ZD54" s="1">
        <f t="shared" si="280"/>
        <v>0</v>
      </c>
      <c r="ZE54" s="1">
        <f t="shared" si="280"/>
        <v>0</v>
      </c>
      <c r="ZF54" s="1">
        <f t="shared" si="280"/>
        <v>0</v>
      </c>
      <c r="ZG54" s="1">
        <f t="shared" si="280"/>
        <v>0</v>
      </c>
      <c r="ZH54" s="1">
        <f t="shared" si="280"/>
        <v>0</v>
      </c>
      <c r="ZI54" s="1">
        <f t="shared" si="280"/>
        <v>0</v>
      </c>
      <c r="ZJ54" s="1">
        <f t="shared" si="280"/>
        <v>0</v>
      </c>
      <c r="ZK54" s="1">
        <f t="shared" si="280"/>
        <v>0</v>
      </c>
      <c r="ZL54" s="1">
        <f t="shared" si="280"/>
        <v>0</v>
      </c>
      <c r="ZM54" s="1">
        <f t="shared" si="280"/>
        <v>0</v>
      </c>
      <c r="ZN54" s="1">
        <f t="shared" si="280"/>
        <v>0</v>
      </c>
      <c r="ZO54" s="1">
        <f t="shared" si="280"/>
        <v>0</v>
      </c>
      <c r="ZP54" s="1">
        <f t="shared" si="280"/>
        <v>0</v>
      </c>
      <c r="ZQ54" s="1">
        <f t="shared" si="280"/>
        <v>0</v>
      </c>
      <c r="ZR54" s="1">
        <f t="shared" ref="ZR54:ACC54" si="281">ZR38-ZR19</f>
        <v>0</v>
      </c>
      <c r="ZS54" s="1">
        <f t="shared" si="281"/>
        <v>0</v>
      </c>
      <c r="ZT54" s="1">
        <f t="shared" si="281"/>
        <v>0</v>
      </c>
      <c r="ZU54" s="1">
        <f t="shared" si="281"/>
        <v>0</v>
      </c>
      <c r="ZV54" s="1">
        <f t="shared" si="281"/>
        <v>0</v>
      </c>
      <c r="ZW54" s="1">
        <f t="shared" si="281"/>
        <v>0</v>
      </c>
      <c r="ZX54" s="1">
        <f t="shared" si="281"/>
        <v>0</v>
      </c>
      <c r="ZY54" s="1">
        <f t="shared" si="281"/>
        <v>0</v>
      </c>
      <c r="ZZ54" s="1">
        <f t="shared" si="281"/>
        <v>0</v>
      </c>
      <c r="AAA54" s="1">
        <f t="shared" si="281"/>
        <v>0</v>
      </c>
      <c r="AAB54" s="1">
        <f t="shared" si="281"/>
        <v>0</v>
      </c>
      <c r="AAC54" s="1">
        <f t="shared" si="281"/>
        <v>0</v>
      </c>
      <c r="AAD54" s="1">
        <f t="shared" si="281"/>
        <v>0</v>
      </c>
      <c r="AAE54" s="1">
        <f t="shared" si="281"/>
        <v>0</v>
      </c>
      <c r="AAF54" s="1">
        <f t="shared" si="281"/>
        <v>0</v>
      </c>
      <c r="AAG54" s="1">
        <f t="shared" si="281"/>
        <v>0</v>
      </c>
      <c r="AAH54" s="1">
        <f t="shared" si="281"/>
        <v>0</v>
      </c>
      <c r="AAI54" s="1">
        <f t="shared" si="281"/>
        <v>0</v>
      </c>
      <c r="AAJ54" s="1">
        <f t="shared" si="281"/>
        <v>0</v>
      </c>
      <c r="AAK54" s="1">
        <f t="shared" si="281"/>
        <v>0</v>
      </c>
      <c r="AAL54" s="1">
        <f t="shared" si="281"/>
        <v>0</v>
      </c>
      <c r="AAM54" s="1">
        <f t="shared" si="281"/>
        <v>0</v>
      </c>
      <c r="AAN54" s="1">
        <f t="shared" si="281"/>
        <v>0</v>
      </c>
      <c r="AAO54" s="1">
        <f t="shared" si="281"/>
        <v>0</v>
      </c>
      <c r="AAP54" s="1">
        <f t="shared" si="281"/>
        <v>0</v>
      </c>
      <c r="AAQ54" s="1">
        <f t="shared" si="281"/>
        <v>0</v>
      </c>
      <c r="AAR54" s="1">
        <f t="shared" si="281"/>
        <v>0</v>
      </c>
      <c r="AAS54" s="1">
        <f t="shared" si="281"/>
        <v>0</v>
      </c>
      <c r="AAT54" s="1">
        <f t="shared" si="281"/>
        <v>0</v>
      </c>
      <c r="AAU54" s="1">
        <f t="shared" si="281"/>
        <v>0</v>
      </c>
      <c r="AAV54" s="1">
        <f t="shared" si="281"/>
        <v>0</v>
      </c>
      <c r="AAW54" s="1">
        <f t="shared" si="281"/>
        <v>0</v>
      </c>
      <c r="AAX54" s="1">
        <f t="shared" si="281"/>
        <v>0</v>
      </c>
      <c r="AAY54" s="1">
        <f t="shared" si="281"/>
        <v>0</v>
      </c>
      <c r="AAZ54" s="1">
        <f t="shared" si="281"/>
        <v>0</v>
      </c>
      <c r="ABA54" s="1">
        <f t="shared" si="281"/>
        <v>0</v>
      </c>
      <c r="ABB54" s="1">
        <f t="shared" si="281"/>
        <v>0</v>
      </c>
      <c r="ABC54" s="1">
        <f t="shared" si="281"/>
        <v>0</v>
      </c>
      <c r="ABD54" s="1">
        <f t="shared" si="281"/>
        <v>0</v>
      </c>
      <c r="ABE54" s="1">
        <f t="shared" si="281"/>
        <v>0</v>
      </c>
      <c r="ABF54" s="1">
        <f t="shared" si="281"/>
        <v>0</v>
      </c>
      <c r="ABG54" s="1">
        <f t="shared" si="281"/>
        <v>0</v>
      </c>
      <c r="ABH54" s="1">
        <f t="shared" si="281"/>
        <v>0</v>
      </c>
      <c r="ABI54" s="1">
        <f t="shared" si="281"/>
        <v>0</v>
      </c>
      <c r="ABJ54" s="1">
        <f t="shared" si="281"/>
        <v>0</v>
      </c>
      <c r="ABK54" s="1">
        <f t="shared" si="281"/>
        <v>0</v>
      </c>
      <c r="ABL54" s="1">
        <f t="shared" si="281"/>
        <v>0</v>
      </c>
      <c r="ABM54" s="1">
        <f t="shared" si="281"/>
        <v>0</v>
      </c>
      <c r="ABN54" s="1">
        <f t="shared" si="281"/>
        <v>0</v>
      </c>
      <c r="ABO54" s="1">
        <f t="shared" si="281"/>
        <v>0</v>
      </c>
      <c r="ABP54" s="1">
        <f t="shared" si="281"/>
        <v>0</v>
      </c>
      <c r="ABQ54" s="1">
        <f t="shared" si="281"/>
        <v>0</v>
      </c>
      <c r="ABR54" s="1">
        <f t="shared" si="281"/>
        <v>0</v>
      </c>
      <c r="ABS54" s="1">
        <f t="shared" si="281"/>
        <v>0</v>
      </c>
      <c r="ABT54" s="1">
        <f t="shared" si="281"/>
        <v>0</v>
      </c>
      <c r="ABU54" s="1">
        <f t="shared" si="281"/>
        <v>0</v>
      </c>
      <c r="ABV54" s="1">
        <f t="shared" si="281"/>
        <v>0</v>
      </c>
      <c r="ABW54" s="1">
        <f t="shared" si="281"/>
        <v>0</v>
      </c>
      <c r="ABX54" s="1">
        <f t="shared" si="281"/>
        <v>0</v>
      </c>
      <c r="ABY54" s="1">
        <f t="shared" si="281"/>
        <v>0</v>
      </c>
      <c r="ABZ54" s="1">
        <f t="shared" si="281"/>
        <v>0</v>
      </c>
      <c r="ACA54" s="1">
        <f t="shared" si="281"/>
        <v>0</v>
      </c>
      <c r="ACB54" s="1">
        <f t="shared" si="281"/>
        <v>0</v>
      </c>
      <c r="ACC54" s="1">
        <f t="shared" si="281"/>
        <v>0</v>
      </c>
      <c r="ACD54" s="1">
        <f t="shared" ref="ACD54:AEO54" si="282">ACD38-ACD19</f>
        <v>0</v>
      </c>
      <c r="ACE54" s="1">
        <f t="shared" si="282"/>
        <v>0</v>
      </c>
      <c r="ACF54" s="1">
        <f t="shared" si="282"/>
        <v>0</v>
      </c>
      <c r="ACG54" s="1">
        <f t="shared" si="282"/>
        <v>0</v>
      </c>
      <c r="ACH54" s="1">
        <f t="shared" si="282"/>
        <v>0</v>
      </c>
      <c r="ACI54" s="1">
        <f t="shared" si="282"/>
        <v>0</v>
      </c>
      <c r="ACJ54" s="1">
        <f t="shared" si="282"/>
        <v>0</v>
      </c>
      <c r="ACK54" s="1">
        <f t="shared" si="282"/>
        <v>0</v>
      </c>
      <c r="ACL54" s="1">
        <f t="shared" si="282"/>
        <v>0</v>
      </c>
      <c r="ACM54" s="1">
        <f t="shared" si="282"/>
        <v>0</v>
      </c>
      <c r="ACN54" s="1">
        <f t="shared" si="282"/>
        <v>0</v>
      </c>
      <c r="ACO54" s="1">
        <f t="shared" si="282"/>
        <v>0</v>
      </c>
      <c r="ACP54" s="1">
        <f t="shared" si="282"/>
        <v>0</v>
      </c>
      <c r="ACQ54" s="1">
        <f t="shared" si="282"/>
        <v>0</v>
      </c>
      <c r="ACR54" s="1">
        <f t="shared" si="282"/>
        <v>0</v>
      </c>
      <c r="ACS54" s="1">
        <f t="shared" si="282"/>
        <v>0</v>
      </c>
      <c r="ACT54" s="1">
        <f t="shared" si="282"/>
        <v>0</v>
      </c>
      <c r="ACU54" s="1">
        <f t="shared" si="282"/>
        <v>0</v>
      </c>
      <c r="ACV54" s="1">
        <f t="shared" si="282"/>
        <v>0</v>
      </c>
      <c r="ACW54" s="1">
        <f t="shared" si="282"/>
        <v>0</v>
      </c>
      <c r="ACX54" s="1">
        <f t="shared" si="282"/>
        <v>0</v>
      </c>
      <c r="ACY54" s="1">
        <f t="shared" si="282"/>
        <v>0</v>
      </c>
      <c r="ACZ54" s="1">
        <f t="shared" si="282"/>
        <v>0</v>
      </c>
      <c r="ADA54" s="1">
        <f t="shared" si="282"/>
        <v>0</v>
      </c>
      <c r="ADB54" s="1">
        <f t="shared" si="282"/>
        <v>0</v>
      </c>
      <c r="ADC54" s="1">
        <f t="shared" si="282"/>
        <v>0</v>
      </c>
      <c r="ADD54" s="1">
        <f t="shared" si="282"/>
        <v>0</v>
      </c>
      <c r="ADE54" s="1">
        <f t="shared" si="282"/>
        <v>0</v>
      </c>
      <c r="ADF54" s="1">
        <f t="shared" si="282"/>
        <v>0</v>
      </c>
      <c r="ADG54" s="1">
        <f t="shared" si="282"/>
        <v>0</v>
      </c>
      <c r="ADH54" s="1">
        <f t="shared" si="282"/>
        <v>0</v>
      </c>
      <c r="ADI54" s="1">
        <f t="shared" si="282"/>
        <v>0</v>
      </c>
      <c r="ADJ54" s="1">
        <f t="shared" si="282"/>
        <v>0</v>
      </c>
      <c r="ADK54" s="1">
        <f t="shared" si="282"/>
        <v>0</v>
      </c>
      <c r="ADL54" s="1">
        <f t="shared" si="282"/>
        <v>0</v>
      </c>
      <c r="ADM54" s="1">
        <f t="shared" si="282"/>
        <v>0</v>
      </c>
      <c r="ADN54" s="1">
        <f t="shared" si="282"/>
        <v>0</v>
      </c>
      <c r="ADO54" s="1">
        <f t="shared" si="282"/>
        <v>0</v>
      </c>
      <c r="ADP54" s="1">
        <f t="shared" si="282"/>
        <v>0</v>
      </c>
      <c r="ADQ54" s="1">
        <f t="shared" si="282"/>
        <v>0</v>
      </c>
      <c r="ADR54" s="1">
        <f t="shared" si="282"/>
        <v>0</v>
      </c>
      <c r="ADS54" s="1">
        <f t="shared" si="282"/>
        <v>0</v>
      </c>
      <c r="ADT54" s="1">
        <f t="shared" si="282"/>
        <v>0</v>
      </c>
      <c r="ADU54" s="1">
        <f t="shared" si="282"/>
        <v>0</v>
      </c>
      <c r="ADV54" s="1">
        <f t="shared" si="282"/>
        <v>0</v>
      </c>
      <c r="ADW54" s="1">
        <f t="shared" si="282"/>
        <v>0</v>
      </c>
      <c r="ADX54" s="1">
        <f t="shared" si="282"/>
        <v>0</v>
      </c>
      <c r="ADY54" s="1">
        <f t="shared" si="282"/>
        <v>0</v>
      </c>
      <c r="ADZ54" s="1">
        <f t="shared" si="282"/>
        <v>0</v>
      </c>
      <c r="AEA54" s="1">
        <f t="shared" si="282"/>
        <v>0</v>
      </c>
      <c r="AEB54" s="1">
        <f t="shared" si="282"/>
        <v>0</v>
      </c>
      <c r="AEC54" s="1">
        <f t="shared" si="282"/>
        <v>0</v>
      </c>
      <c r="AED54" s="1">
        <f t="shared" si="282"/>
        <v>0</v>
      </c>
      <c r="AEE54" s="1">
        <f t="shared" si="282"/>
        <v>0</v>
      </c>
      <c r="AEF54" s="1">
        <f t="shared" si="282"/>
        <v>0</v>
      </c>
      <c r="AEG54" s="1">
        <f t="shared" si="282"/>
        <v>0</v>
      </c>
      <c r="AEH54" s="1">
        <f t="shared" si="282"/>
        <v>0</v>
      </c>
      <c r="AEI54" s="1">
        <f t="shared" si="282"/>
        <v>0</v>
      </c>
      <c r="AEJ54" s="1">
        <f t="shared" si="282"/>
        <v>0</v>
      </c>
      <c r="AEK54" s="1">
        <f t="shared" si="282"/>
        <v>0</v>
      </c>
      <c r="AEL54" s="1">
        <f t="shared" si="282"/>
        <v>0</v>
      </c>
      <c r="AEM54" s="1">
        <f t="shared" si="282"/>
        <v>0</v>
      </c>
      <c r="AEN54" s="1">
        <f t="shared" si="282"/>
        <v>0</v>
      </c>
      <c r="AEO54" s="1">
        <f t="shared" si="282"/>
        <v>0</v>
      </c>
      <c r="AEP54" s="1">
        <f t="shared" ref="AEP54:AHA54" si="283">AEP38-AEP19</f>
        <v>0</v>
      </c>
      <c r="AEQ54" s="1">
        <f t="shared" si="283"/>
        <v>0</v>
      </c>
      <c r="AER54" s="1">
        <f t="shared" si="283"/>
        <v>0</v>
      </c>
      <c r="AES54" s="1">
        <f t="shared" si="283"/>
        <v>0</v>
      </c>
      <c r="AET54" s="1">
        <f t="shared" si="283"/>
        <v>0</v>
      </c>
      <c r="AEU54" s="1">
        <f t="shared" si="283"/>
        <v>0</v>
      </c>
      <c r="AEV54" s="1">
        <f t="shared" si="283"/>
        <v>0</v>
      </c>
      <c r="AEW54" s="1">
        <f t="shared" si="283"/>
        <v>0</v>
      </c>
      <c r="AEX54" s="1">
        <f t="shared" si="283"/>
        <v>0</v>
      </c>
      <c r="AEY54" s="1">
        <f t="shared" si="283"/>
        <v>0</v>
      </c>
      <c r="AEZ54" s="1">
        <f t="shared" si="283"/>
        <v>0</v>
      </c>
      <c r="AFA54" s="1">
        <f t="shared" si="283"/>
        <v>0</v>
      </c>
      <c r="AFB54" s="1">
        <f t="shared" si="283"/>
        <v>0</v>
      </c>
      <c r="AFC54" s="1">
        <f t="shared" si="283"/>
        <v>0</v>
      </c>
      <c r="AFD54" s="1">
        <f t="shared" si="283"/>
        <v>0</v>
      </c>
      <c r="AFE54" s="1">
        <f t="shared" si="283"/>
        <v>0</v>
      </c>
      <c r="AFF54" s="1">
        <f t="shared" si="283"/>
        <v>0</v>
      </c>
      <c r="AFG54" s="1">
        <f t="shared" si="283"/>
        <v>0</v>
      </c>
      <c r="AFH54" s="1">
        <f t="shared" si="283"/>
        <v>0</v>
      </c>
      <c r="AFI54" s="1">
        <f t="shared" si="283"/>
        <v>0</v>
      </c>
      <c r="AFJ54" s="1">
        <f t="shared" si="283"/>
        <v>0</v>
      </c>
      <c r="AFK54" s="1">
        <f t="shared" si="283"/>
        <v>0</v>
      </c>
      <c r="AFL54" s="1">
        <f t="shared" si="283"/>
        <v>0</v>
      </c>
      <c r="AFM54" s="1">
        <f t="shared" si="283"/>
        <v>0</v>
      </c>
      <c r="AFN54" s="1">
        <f t="shared" si="283"/>
        <v>0</v>
      </c>
      <c r="AFO54" s="1">
        <f t="shared" si="283"/>
        <v>0</v>
      </c>
      <c r="AFP54" s="1">
        <f t="shared" si="283"/>
        <v>0</v>
      </c>
      <c r="AFQ54" s="1">
        <f t="shared" si="283"/>
        <v>0</v>
      </c>
      <c r="AFR54" s="1">
        <f t="shared" si="283"/>
        <v>0</v>
      </c>
      <c r="AFS54" s="1">
        <f t="shared" si="283"/>
        <v>0</v>
      </c>
      <c r="AFT54" s="1">
        <f t="shared" si="283"/>
        <v>0</v>
      </c>
      <c r="AFU54" s="1">
        <f t="shared" si="283"/>
        <v>0</v>
      </c>
      <c r="AFV54" s="1">
        <f t="shared" si="283"/>
        <v>0</v>
      </c>
      <c r="AFW54" s="1">
        <f t="shared" si="283"/>
        <v>0</v>
      </c>
      <c r="AFX54" s="1">
        <f t="shared" si="283"/>
        <v>0</v>
      </c>
      <c r="AFY54" s="1">
        <f t="shared" si="283"/>
        <v>0</v>
      </c>
      <c r="AFZ54" s="1">
        <f t="shared" si="283"/>
        <v>0</v>
      </c>
      <c r="AGA54" s="1">
        <f t="shared" si="283"/>
        <v>0</v>
      </c>
      <c r="AGB54" s="1">
        <f t="shared" si="283"/>
        <v>0</v>
      </c>
      <c r="AGC54" s="1">
        <f t="shared" si="283"/>
        <v>0</v>
      </c>
      <c r="AGD54" s="1">
        <f t="shared" si="283"/>
        <v>0</v>
      </c>
      <c r="AGE54" s="1">
        <f t="shared" si="283"/>
        <v>0</v>
      </c>
      <c r="AGF54" s="1">
        <f t="shared" si="283"/>
        <v>0</v>
      </c>
      <c r="AGG54" s="1">
        <f t="shared" si="283"/>
        <v>0</v>
      </c>
      <c r="AGH54" s="1">
        <f t="shared" si="283"/>
        <v>0</v>
      </c>
      <c r="AGI54" s="1">
        <f t="shared" si="283"/>
        <v>0</v>
      </c>
      <c r="AGJ54" s="1">
        <f t="shared" si="283"/>
        <v>0</v>
      </c>
      <c r="AGK54" s="1">
        <f t="shared" si="283"/>
        <v>0</v>
      </c>
      <c r="AGL54" s="1">
        <f t="shared" si="283"/>
        <v>0</v>
      </c>
      <c r="AGM54" s="1">
        <f t="shared" si="283"/>
        <v>0</v>
      </c>
      <c r="AGN54" s="1">
        <f t="shared" si="283"/>
        <v>0</v>
      </c>
      <c r="AGO54" s="1">
        <f t="shared" si="283"/>
        <v>0</v>
      </c>
      <c r="AGP54" s="1">
        <f t="shared" si="283"/>
        <v>0</v>
      </c>
      <c r="AGQ54" s="1">
        <f t="shared" si="283"/>
        <v>0</v>
      </c>
      <c r="AGR54" s="1">
        <f t="shared" si="283"/>
        <v>0</v>
      </c>
      <c r="AGS54" s="1">
        <f t="shared" si="283"/>
        <v>0</v>
      </c>
      <c r="AGT54" s="1">
        <f t="shared" si="283"/>
        <v>0</v>
      </c>
      <c r="AGU54" s="1">
        <f t="shared" si="283"/>
        <v>0</v>
      </c>
      <c r="AGV54" s="1">
        <f t="shared" si="283"/>
        <v>0</v>
      </c>
      <c r="AGW54" s="1">
        <f t="shared" si="283"/>
        <v>0</v>
      </c>
      <c r="AGX54" s="1">
        <f t="shared" si="283"/>
        <v>0</v>
      </c>
      <c r="AGY54" s="1">
        <f t="shared" si="283"/>
        <v>0</v>
      </c>
      <c r="AGZ54" s="1">
        <f t="shared" si="283"/>
        <v>0</v>
      </c>
      <c r="AHA54" s="1">
        <f t="shared" si="283"/>
        <v>0</v>
      </c>
      <c r="AHB54" s="1">
        <f t="shared" ref="AHB54:AJM54" si="284">AHB38-AHB19</f>
        <v>0</v>
      </c>
      <c r="AHC54" s="1">
        <f t="shared" si="284"/>
        <v>0</v>
      </c>
      <c r="AHD54" s="1">
        <f t="shared" si="284"/>
        <v>0</v>
      </c>
      <c r="AHE54" s="1">
        <f t="shared" si="284"/>
        <v>0</v>
      </c>
      <c r="AHF54" s="1">
        <f t="shared" si="284"/>
        <v>0</v>
      </c>
      <c r="AHG54" s="1">
        <f t="shared" si="284"/>
        <v>0</v>
      </c>
      <c r="AHH54" s="1">
        <f t="shared" si="284"/>
        <v>0</v>
      </c>
      <c r="AHI54" s="1">
        <f t="shared" si="284"/>
        <v>0</v>
      </c>
      <c r="AHJ54" s="1">
        <f t="shared" si="284"/>
        <v>0</v>
      </c>
      <c r="AHK54" s="1">
        <f t="shared" si="284"/>
        <v>0</v>
      </c>
      <c r="AHL54" s="1">
        <f t="shared" si="284"/>
        <v>0</v>
      </c>
      <c r="AHM54" s="1">
        <f t="shared" si="284"/>
        <v>0</v>
      </c>
      <c r="AHN54" s="1">
        <f t="shared" si="284"/>
        <v>0</v>
      </c>
      <c r="AHO54" s="1">
        <f t="shared" si="284"/>
        <v>0</v>
      </c>
      <c r="AHP54" s="1">
        <f t="shared" si="284"/>
        <v>0</v>
      </c>
      <c r="AHQ54" s="1">
        <f t="shared" si="284"/>
        <v>0</v>
      </c>
      <c r="AHR54" s="1">
        <f t="shared" si="284"/>
        <v>0</v>
      </c>
      <c r="AHS54" s="1">
        <f t="shared" si="284"/>
        <v>0</v>
      </c>
      <c r="AHT54" s="1">
        <f t="shared" si="284"/>
        <v>0</v>
      </c>
      <c r="AHU54" s="1">
        <f t="shared" si="284"/>
        <v>0</v>
      </c>
      <c r="AHV54" s="1">
        <f t="shared" si="284"/>
        <v>0</v>
      </c>
      <c r="AHW54" s="1">
        <f t="shared" si="284"/>
        <v>0</v>
      </c>
      <c r="AHX54" s="1">
        <f t="shared" si="284"/>
        <v>0</v>
      </c>
      <c r="AHY54" s="1">
        <f t="shared" si="284"/>
        <v>0</v>
      </c>
      <c r="AHZ54" s="1">
        <f t="shared" si="284"/>
        <v>0</v>
      </c>
      <c r="AIA54" s="1">
        <f t="shared" si="284"/>
        <v>0</v>
      </c>
      <c r="AIB54" s="1">
        <f t="shared" si="284"/>
        <v>0</v>
      </c>
      <c r="AIC54" s="1">
        <f t="shared" si="284"/>
        <v>0</v>
      </c>
      <c r="AID54" s="1">
        <f t="shared" si="284"/>
        <v>0</v>
      </c>
      <c r="AIE54" s="1">
        <f t="shared" si="284"/>
        <v>0</v>
      </c>
      <c r="AIF54" s="1">
        <f t="shared" si="284"/>
        <v>0</v>
      </c>
      <c r="AIG54" s="1">
        <f t="shared" si="284"/>
        <v>0</v>
      </c>
      <c r="AIH54" s="1">
        <f t="shared" si="284"/>
        <v>0</v>
      </c>
      <c r="AII54" s="1">
        <f t="shared" si="284"/>
        <v>0</v>
      </c>
      <c r="AIJ54" s="1">
        <f t="shared" si="284"/>
        <v>0</v>
      </c>
      <c r="AIK54" s="1">
        <f t="shared" si="284"/>
        <v>0</v>
      </c>
      <c r="AIL54" s="1">
        <f t="shared" si="284"/>
        <v>0</v>
      </c>
      <c r="AIM54" s="1">
        <f t="shared" si="284"/>
        <v>0</v>
      </c>
      <c r="AIN54" s="1">
        <f t="shared" si="284"/>
        <v>0</v>
      </c>
      <c r="AIO54" s="1">
        <f t="shared" si="284"/>
        <v>0</v>
      </c>
      <c r="AIP54" s="1">
        <f t="shared" si="284"/>
        <v>0</v>
      </c>
      <c r="AIQ54" s="1">
        <f t="shared" si="284"/>
        <v>0</v>
      </c>
      <c r="AIR54" s="1">
        <f t="shared" si="284"/>
        <v>0</v>
      </c>
      <c r="AIS54" s="1">
        <f t="shared" si="284"/>
        <v>0</v>
      </c>
      <c r="AIT54" s="1">
        <f t="shared" si="284"/>
        <v>0</v>
      </c>
      <c r="AIU54" s="1">
        <f t="shared" si="284"/>
        <v>0</v>
      </c>
      <c r="AIV54" s="1">
        <f t="shared" si="284"/>
        <v>0</v>
      </c>
      <c r="AIW54" s="1">
        <f t="shared" si="284"/>
        <v>0</v>
      </c>
      <c r="AIX54" s="1">
        <f t="shared" si="284"/>
        <v>0</v>
      </c>
      <c r="AIY54" s="1">
        <f t="shared" si="284"/>
        <v>0</v>
      </c>
      <c r="AIZ54" s="1">
        <f t="shared" si="284"/>
        <v>0</v>
      </c>
      <c r="AJA54" s="1">
        <f t="shared" si="284"/>
        <v>0</v>
      </c>
      <c r="AJB54" s="1">
        <f t="shared" si="284"/>
        <v>0</v>
      </c>
      <c r="AJC54" s="1">
        <f t="shared" si="284"/>
        <v>0</v>
      </c>
      <c r="AJD54" s="1">
        <f t="shared" si="284"/>
        <v>0</v>
      </c>
      <c r="AJE54" s="1">
        <f t="shared" si="284"/>
        <v>0</v>
      </c>
      <c r="AJF54" s="1">
        <f t="shared" si="284"/>
        <v>0</v>
      </c>
      <c r="AJG54" s="1">
        <f t="shared" si="284"/>
        <v>0</v>
      </c>
      <c r="AJH54" s="1">
        <f t="shared" si="284"/>
        <v>0</v>
      </c>
      <c r="AJI54" s="1">
        <f t="shared" si="284"/>
        <v>0</v>
      </c>
      <c r="AJJ54" s="1">
        <f t="shared" si="284"/>
        <v>0</v>
      </c>
      <c r="AJK54" s="1">
        <f t="shared" si="284"/>
        <v>0</v>
      </c>
      <c r="AJL54" s="1">
        <f t="shared" si="284"/>
        <v>0</v>
      </c>
      <c r="AJM54" s="1">
        <f t="shared" si="284"/>
        <v>0</v>
      </c>
      <c r="AJN54" s="1">
        <f t="shared" ref="AJN54:ALM54" si="285">AJN38-AJN19</f>
        <v>0</v>
      </c>
      <c r="AJO54" s="1">
        <f t="shared" si="285"/>
        <v>0</v>
      </c>
      <c r="AJP54" s="1">
        <f t="shared" si="285"/>
        <v>0</v>
      </c>
      <c r="AJQ54" s="1">
        <f t="shared" si="285"/>
        <v>0</v>
      </c>
      <c r="AJR54" s="1">
        <f t="shared" si="285"/>
        <v>0</v>
      </c>
      <c r="AJS54" s="1">
        <f t="shared" si="285"/>
        <v>0</v>
      </c>
      <c r="AJT54" s="1">
        <f t="shared" si="285"/>
        <v>0</v>
      </c>
      <c r="AJU54" s="1">
        <f t="shared" si="285"/>
        <v>0</v>
      </c>
      <c r="AJV54" s="1">
        <f t="shared" si="285"/>
        <v>0</v>
      </c>
      <c r="AJW54" s="1">
        <f t="shared" si="285"/>
        <v>0</v>
      </c>
      <c r="AJX54" s="1">
        <f t="shared" si="285"/>
        <v>0</v>
      </c>
      <c r="AJY54" s="1">
        <f t="shared" si="285"/>
        <v>0</v>
      </c>
      <c r="AJZ54" s="1">
        <f t="shared" si="285"/>
        <v>0</v>
      </c>
      <c r="AKA54" s="1">
        <f t="shared" si="285"/>
        <v>0</v>
      </c>
      <c r="AKB54" s="1">
        <f t="shared" si="285"/>
        <v>0</v>
      </c>
      <c r="AKC54" s="1">
        <f t="shared" si="285"/>
        <v>0</v>
      </c>
      <c r="AKD54" s="1">
        <f t="shared" si="285"/>
        <v>0</v>
      </c>
      <c r="AKE54" s="1">
        <f t="shared" si="285"/>
        <v>0</v>
      </c>
      <c r="AKF54" s="1">
        <f t="shared" si="285"/>
        <v>0</v>
      </c>
      <c r="AKG54" s="1">
        <f t="shared" si="285"/>
        <v>0</v>
      </c>
      <c r="AKH54" s="1">
        <f t="shared" si="285"/>
        <v>0</v>
      </c>
      <c r="AKI54" s="1">
        <f t="shared" si="285"/>
        <v>0</v>
      </c>
      <c r="AKJ54" s="1">
        <f t="shared" si="285"/>
        <v>0</v>
      </c>
      <c r="AKK54" s="1">
        <f t="shared" si="285"/>
        <v>0</v>
      </c>
      <c r="AKL54" s="1">
        <f t="shared" si="285"/>
        <v>0</v>
      </c>
      <c r="AKM54" s="1">
        <f t="shared" si="285"/>
        <v>0</v>
      </c>
      <c r="AKN54" s="1">
        <f t="shared" si="285"/>
        <v>0</v>
      </c>
      <c r="AKO54" s="1">
        <f t="shared" si="285"/>
        <v>0</v>
      </c>
      <c r="AKP54" s="1">
        <f t="shared" si="285"/>
        <v>0</v>
      </c>
      <c r="AKQ54" s="1">
        <f t="shared" si="285"/>
        <v>0</v>
      </c>
      <c r="AKR54" s="1">
        <f t="shared" si="285"/>
        <v>0</v>
      </c>
      <c r="AKS54" s="1">
        <f t="shared" si="285"/>
        <v>0</v>
      </c>
      <c r="AKT54" s="1">
        <f t="shared" si="285"/>
        <v>0</v>
      </c>
      <c r="AKU54" s="1">
        <f t="shared" si="285"/>
        <v>0</v>
      </c>
      <c r="AKV54" s="1">
        <f t="shared" si="285"/>
        <v>0</v>
      </c>
      <c r="AKW54" s="1">
        <f t="shared" si="285"/>
        <v>0</v>
      </c>
      <c r="AKX54" s="1">
        <f t="shared" si="285"/>
        <v>0</v>
      </c>
      <c r="AKY54" s="1">
        <f t="shared" si="285"/>
        <v>0</v>
      </c>
      <c r="AKZ54" s="1">
        <f t="shared" si="285"/>
        <v>0</v>
      </c>
      <c r="ALA54" s="1">
        <f t="shared" si="285"/>
        <v>0</v>
      </c>
      <c r="ALB54" s="1">
        <f t="shared" si="285"/>
        <v>0</v>
      </c>
      <c r="ALC54" s="1">
        <f t="shared" si="285"/>
        <v>0</v>
      </c>
      <c r="ALD54" s="1">
        <f t="shared" si="285"/>
        <v>0</v>
      </c>
      <c r="ALE54" s="1">
        <f t="shared" si="285"/>
        <v>0</v>
      </c>
      <c r="ALF54" s="1">
        <f t="shared" si="285"/>
        <v>0</v>
      </c>
      <c r="ALG54" s="1">
        <f t="shared" si="285"/>
        <v>0</v>
      </c>
      <c r="ALH54" s="1">
        <f t="shared" si="285"/>
        <v>0</v>
      </c>
      <c r="ALI54" s="1">
        <f t="shared" si="285"/>
        <v>0</v>
      </c>
      <c r="ALJ54" s="1">
        <f t="shared" si="285"/>
        <v>0</v>
      </c>
      <c r="ALK54" s="1">
        <f t="shared" si="285"/>
        <v>0</v>
      </c>
      <c r="ALL54" s="1">
        <f t="shared" si="285"/>
        <v>0</v>
      </c>
      <c r="ALM54" s="1">
        <f t="shared" si="285"/>
        <v>0</v>
      </c>
    </row>
    <row r="55" spans="1:1001">
      <c r="A55" s="27"/>
      <c r="B55">
        <f>B39</f>
        <v>0</v>
      </c>
      <c r="C55">
        <f t="shared" ref="C55:BN55" si="286">C39</f>
        <v>0</v>
      </c>
      <c r="D55">
        <f t="shared" si="286"/>
        <v>0</v>
      </c>
      <c r="E55">
        <f t="shared" si="286"/>
        <v>0</v>
      </c>
      <c r="F55">
        <f t="shared" si="286"/>
        <v>0</v>
      </c>
      <c r="G55">
        <f t="shared" si="286"/>
        <v>0</v>
      </c>
      <c r="H55">
        <f t="shared" si="286"/>
        <v>0</v>
      </c>
      <c r="I55">
        <f t="shared" si="286"/>
        <v>0</v>
      </c>
      <c r="J55">
        <f t="shared" si="286"/>
        <v>0</v>
      </c>
      <c r="K55">
        <f t="shared" si="286"/>
        <v>0</v>
      </c>
      <c r="L55">
        <f t="shared" si="286"/>
        <v>0</v>
      </c>
      <c r="M55">
        <f t="shared" si="286"/>
        <v>0</v>
      </c>
      <c r="N55">
        <f t="shared" si="286"/>
        <v>0</v>
      </c>
      <c r="O55">
        <f t="shared" si="286"/>
        <v>0</v>
      </c>
      <c r="P55">
        <f t="shared" si="286"/>
        <v>0</v>
      </c>
      <c r="Q55">
        <f t="shared" si="286"/>
        <v>0</v>
      </c>
      <c r="R55">
        <f t="shared" si="286"/>
        <v>0</v>
      </c>
      <c r="S55">
        <f t="shared" si="286"/>
        <v>0</v>
      </c>
      <c r="T55">
        <f t="shared" si="286"/>
        <v>0</v>
      </c>
      <c r="U55">
        <f t="shared" si="286"/>
        <v>0</v>
      </c>
      <c r="V55">
        <f t="shared" si="286"/>
        <v>0</v>
      </c>
      <c r="W55">
        <f t="shared" si="286"/>
        <v>0</v>
      </c>
      <c r="X55">
        <f t="shared" si="286"/>
        <v>0</v>
      </c>
      <c r="Y55">
        <f t="shared" si="286"/>
        <v>0</v>
      </c>
      <c r="Z55">
        <f t="shared" si="286"/>
        <v>0</v>
      </c>
      <c r="AA55">
        <f t="shared" si="286"/>
        <v>0</v>
      </c>
      <c r="AB55">
        <f t="shared" si="286"/>
        <v>0</v>
      </c>
      <c r="AC55">
        <f t="shared" si="286"/>
        <v>0</v>
      </c>
      <c r="AD55">
        <f t="shared" si="286"/>
        <v>0</v>
      </c>
      <c r="AE55">
        <f t="shared" si="286"/>
        <v>0</v>
      </c>
      <c r="AF55">
        <f t="shared" si="286"/>
        <v>0</v>
      </c>
      <c r="AG55">
        <f t="shared" si="286"/>
        <v>0</v>
      </c>
      <c r="AH55">
        <f t="shared" si="286"/>
        <v>0</v>
      </c>
      <c r="AI55">
        <f t="shared" si="286"/>
        <v>0</v>
      </c>
      <c r="AJ55">
        <f t="shared" si="286"/>
        <v>0</v>
      </c>
      <c r="AK55">
        <f t="shared" si="286"/>
        <v>0</v>
      </c>
      <c r="AL55">
        <f t="shared" si="286"/>
        <v>0</v>
      </c>
      <c r="AM55">
        <f t="shared" si="286"/>
        <v>0</v>
      </c>
      <c r="AN55">
        <f t="shared" si="286"/>
        <v>0</v>
      </c>
      <c r="AO55">
        <f t="shared" si="286"/>
        <v>0</v>
      </c>
      <c r="AP55">
        <f t="shared" si="286"/>
        <v>0</v>
      </c>
      <c r="AQ55">
        <f t="shared" si="286"/>
        <v>0</v>
      </c>
      <c r="AR55">
        <f t="shared" si="286"/>
        <v>0</v>
      </c>
      <c r="AS55">
        <f t="shared" si="286"/>
        <v>0</v>
      </c>
      <c r="AT55">
        <f t="shared" si="286"/>
        <v>0</v>
      </c>
      <c r="AU55">
        <f t="shared" si="286"/>
        <v>0</v>
      </c>
      <c r="AV55">
        <f t="shared" si="286"/>
        <v>0</v>
      </c>
      <c r="AW55">
        <f t="shared" si="286"/>
        <v>0</v>
      </c>
      <c r="AX55">
        <f t="shared" si="286"/>
        <v>0</v>
      </c>
      <c r="AY55">
        <f t="shared" si="286"/>
        <v>0</v>
      </c>
      <c r="AZ55">
        <f t="shared" si="286"/>
        <v>0</v>
      </c>
      <c r="BA55">
        <f t="shared" si="286"/>
        <v>0</v>
      </c>
      <c r="BB55">
        <f t="shared" si="286"/>
        <v>0</v>
      </c>
      <c r="BC55">
        <f t="shared" si="286"/>
        <v>0</v>
      </c>
      <c r="BD55">
        <f t="shared" si="286"/>
        <v>0</v>
      </c>
      <c r="BE55">
        <f t="shared" si="286"/>
        <v>0</v>
      </c>
      <c r="BF55">
        <f t="shared" si="286"/>
        <v>0</v>
      </c>
      <c r="BG55">
        <f t="shared" si="286"/>
        <v>0</v>
      </c>
      <c r="BH55">
        <f t="shared" si="286"/>
        <v>0</v>
      </c>
      <c r="BI55">
        <f t="shared" si="286"/>
        <v>0</v>
      </c>
      <c r="BJ55">
        <f t="shared" si="286"/>
        <v>0</v>
      </c>
      <c r="BK55">
        <f t="shared" si="286"/>
        <v>0</v>
      </c>
      <c r="BL55">
        <f t="shared" si="286"/>
        <v>0</v>
      </c>
      <c r="BM55">
        <f t="shared" si="286"/>
        <v>0</v>
      </c>
      <c r="BN55">
        <f t="shared" si="286"/>
        <v>0</v>
      </c>
      <c r="BO55">
        <f t="shared" ref="BO55:DZ55" si="287">BO39</f>
        <v>0</v>
      </c>
      <c r="BP55">
        <f t="shared" si="287"/>
        <v>0</v>
      </c>
      <c r="BQ55">
        <f t="shared" si="287"/>
        <v>0</v>
      </c>
      <c r="BR55">
        <f t="shared" si="287"/>
        <v>0</v>
      </c>
      <c r="BS55">
        <f t="shared" si="287"/>
        <v>0</v>
      </c>
      <c r="BT55">
        <f t="shared" si="287"/>
        <v>0</v>
      </c>
      <c r="BU55">
        <f t="shared" si="287"/>
        <v>0</v>
      </c>
      <c r="BV55">
        <f t="shared" si="287"/>
        <v>0</v>
      </c>
      <c r="BW55">
        <f t="shared" si="287"/>
        <v>0</v>
      </c>
      <c r="BX55">
        <f t="shared" si="287"/>
        <v>0</v>
      </c>
      <c r="BY55">
        <f t="shared" si="287"/>
        <v>0</v>
      </c>
      <c r="BZ55">
        <f t="shared" si="287"/>
        <v>0</v>
      </c>
      <c r="CA55">
        <f t="shared" si="287"/>
        <v>0</v>
      </c>
      <c r="CB55">
        <f t="shared" si="287"/>
        <v>0</v>
      </c>
      <c r="CC55">
        <f t="shared" si="287"/>
        <v>0</v>
      </c>
      <c r="CD55">
        <f t="shared" si="287"/>
        <v>0</v>
      </c>
      <c r="CE55">
        <f t="shared" si="287"/>
        <v>0</v>
      </c>
      <c r="CF55">
        <f t="shared" si="287"/>
        <v>0</v>
      </c>
      <c r="CG55">
        <f t="shared" si="287"/>
        <v>0</v>
      </c>
      <c r="CH55">
        <f t="shared" si="287"/>
        <v>0</v>
      </c>
      <c r="CI55">
        <f t="shared" si="287"/>
        <v>0</v>
      </c>
      <c r="CJ55">
        <f t="shared" si="287"/>
        <v>0</v>
      </c>
      <c r="CK55">
        <f t="shared" si="287"/>
        <v>0</v>
      </c>
      <c r="CL55">
        <f t="shared" si="287"/>
        <v>0</v>
      </c>
      <c r="CM55">
        <f t="shared" si="287"/>
        <v>0</v>
      </c>
      <c r="CN55">
        <f t="shared" si="287"/>
        <v>0</v>
      </c>
      <c r="CO55">
        <f t="shared" si="287"/>
        <v>0</v>
      </c>
      <c r="CP55">
        <f t="shared" si="287"/>
        <v>0</v>
      </c>
      <c r="CQ55">
        <f t="shared" si="287"/>
        <v>0</v>
      </c>
      <c r="CR55">
        <f t="shared" si="287"/>
        <v>0</v>
      </c>
      <c r="CS55">
        <f t="shared" si="287"/>
        <v>0</v>
      </c>
      <c r="CT55">
        <f t="shared" si="287"/>
        <v>0</v>
      </c>
      <c r="CU55">
        <f t="shared" si="287"/>
        <v>0</v>
      </c>
      <c r="CV55">
        <f t="shared" si="287"/>
        <v>0</v>
      </c>
      <c r="CW55">
        <f t="shared" si="287"/>
        <v>0</v>
      </c>
      <c r="CX55">
        <f t="shared" si="287"/>
        <v>0</v>
      </c>
      <c r="CY55">
        <f t="shared" si="287"/>
        <v>0</v>
      </c>
      <c r="CZ55">
        <f t="shared" si="287"/>
        <v>0</v>
      </c>
      <c r="DA55">
        <f t="shared" si="287"/>
        <v>0</v>
      </c>
      <c r="DB55">
        <f t="shared" si="287"/>
        <v>0</v>
      </c>
      <c r="DC55">
        <f t="shared" si="287"/>
        <v>0</v>
      </c>
      <c r="DD55">
        <f t="shared" si="287"/>
        <v>0</v>
      </c>
      <c r="DE55">
        <f t="shared" si="287"/>
        <v>0</v>
      </c>
      <c r="DF55">
        <f t="shared" si="287"/>
        <v>0</v>
      </c>
      <c r="DG55">
        <f t="shared" si="287"/>
        <v>0</v>
      </c>
      <c r="DH55">
        <f t="shared" si="287"/>
        <v>0</v>
      </c>
      <c r="DI55">
        <f t="shared" si="287"/>
        <v>0</v>
      </c>
      <c r="DJ55">
        <f t="shared" si="287"/>
        <v>0</v>
      </c>
      <c r="DK55">
        <f t="shared" si="287"/>
        <v>0</v>
      </c>
      <c r="DL55">
        <f t="shared" si="287"/>
        <v>0</v>
      </c>
      <c r="DM55">
        <f t="shared" si="287"/>
        <v>0</v>
      </c>
      <c r="DN55">
        <f t="shared" si="287"/>
        <v>0</v>
      </c>
      <c r="DO55">
        <f t="shared" si="287"/>
        <v>0</v>
      </c>
      <c r="DP55">
        <f t="shared" si="287"/>
        <v>0</v>
      </c>
      <c r="DQ55">
        <f t="shared" si="287"/>
        <v>0</v>
      </c>
      <c r="DR55">
        <f t="shared" si="287"/>
        <v>0</v>
      </c>
      <c r="DS55">
        <f t="shared" si="287"/>
        <v>0</v>
      </c>
      <c r="DT55">
        <f t="shared" si="287"/>
        <v>0</v>
      </c>
      <c r="DU55">
        <f t="shared" si="287"/>
        <v>0</v>
      </c>
      <c r="DV55">
        <f t="shared" si="287"/>
        <v>0</v>
      </c>
      <c r="DW55">
        <f t="shared" si="287"/>
        <v>0</v>
      </c>
      <c r="DX55">
        <f t="shared" si="287"/>
        <v>0</v>
      </c>
      <c r="DY55">
        <f t="shared" si="287"/>
        <v>0</v>
      </c>
      <c r="DZ55">
        <f t="shared" si="287"/>
        <v>0</v>
      </c>
      <c r="EA55">
        <f t="shared" ref="EA55:GL55" si="288">EA39</f>
        <v>0</v>
      </c>
      <c r="EB55">
        <f t="shared" si="288"/>
        <v>0</v>
      </c>
      <c r="EC55">
        <f t="shared" si="288"/>
        <v>0</v>
      </c>
      <c r="ED55">
        <f t="shared" si="288"/>
        <v>0</v>
      </c>
      <c r="EE55">
        <f t="shared" si="288"/>
        <v>0</v>
      </c>
      <c r="EF55">
        <f t="shared" si="288"/>
        <v>0</v>
      </c>
      <c r="EG55">
        <f t="shared" si="288"/>
        <v>0</v>
      </c>
      <c r="EH55">
        <f t="shared" si="288"/>
        <v>0</v>
      </c>
      <c r="EI55">
        <f t="shared" si="288"/>
        <v>0</v>
      </c>
      <c r="EJ55">
        <f t="shared" si="288"/>
        <v>0</v>
      </c>
      <c r="EK55">
        <f t="shared" si="288"/>
        <v>0</v>
      </c>
      <c r="EL55">
        <f t="shared" si="288"/>
        <v>0</v>
      </c>
      <c r="EM55">
        <f t="shared" si="288"/>
        <v>0</v>
      </c>
      <c r="EN55">
        <f t="shared" si="288"/>
        <v>0</v>
      </c>
      <c r="EO55">
        <f t="shared" si="288"/>
        <v>0</v>
      </c>
      <c r="EP55">
        <f t="shared" si="288"/>
        <v>0</v>
      </c>
      <c r="EQ55">
        <f t="shared" si="288"/>
        <v>0</v>
      </c>
      <c r="ER55">
        <f t="shared" si="288"/>
        <v>0</v>
      </c>
      <c r="ES55">
        <f t="shared" si="288"/>
        <v>0</v>
      </c>
      <c r="ET55">
        <f t="shared" si="288"/>
        <v>0</v>
      </c>
      <c r="EU55">
        <f t="shared" si="288"/>
        <v>0</v>
      </c>
      <c r="EV55">
        <f t="shared" si="288"/>
        <v>0</v>
      </c>
      <c r="EW55">
        <f t="shared" si="288"/>
        <v>0</v>
      </c>
      <c r="EX55">
        <f t="shared" si="288"/>
        <v>0</v>
      </c>
      <c r="EY55">
        <f t="shared" si="288"/>
        <v>0</v>
      </c>
      <c r="EZ55">
        <f t="shared" si="288"/>
        <v>0</v>
      </c>
      <c r="FA55">
        <f t="shared" si="288"/>
        <v>0</v>
      </c>
      <c r="FB55">
        <f t="shared" si="288"/>
        <v>0</v>
      </c>
      <c r="FC55">
        <f t="shared" si="288"/>
        <v>0</v>
      </c>
      <c r="FD55">
        <f t="shared" si="288"/>
        <v>0</v>
      </c>
      <c r="FE55">
        <f t="shared" si="288"/>
        <v>0</v>
      </c>
      <c r="FF55">
        <f t="shared" si="288"/>
        <v>0</v>
      </c>
      <c r="FG55">
        <f t="shared" si="288"/>
        <v>0</v>
      </c>
      <c r="FH55">
        <f t="shared" si="288"/>
        <v>0</v>
      </c>
      <c r="FI55">
        <f t="shared" si="288"/>
        <v>0</v>
      </c>
      <c r="FJ55">
        <f t="shared" si="288"/>
        <v>0</v>
      </c>
      <c r="FK55">
        <f t="shared" si="288"/>
        <v>0</v>
      </c>
      <c r="FL55">
        <f t="shared" si="288"/>
        <v>0</v>
      </c>
      <c r="FM55">
        <f t="shared" si="288"/>
        <v>0</v>
      </c>
      <c r="FN55" s="1">
        <f t="shared" si="288"/>
        <v>0</v>
      </c>
      <c r="FO55" s="1">
        <f t="shared" si="288"/>
        <v>0</v>
      </c>
      <c r="FP55" s="1">
        <f t="shared" si="288"/>
        <v>0</v>
      </c>
      <c r="FQ55" s="1">
        <f t="shared" si="288"/>
        <v>0</v>
      </c>
      <c r="FR55" s="1">
        <f t="shared" si="288"/>
        <v>0</v>
      </c>
      <c r="FS55" s="1">
        <f t="shared" si="288"/>
        <v>0</v>
      </c>
      <c r="FT55" s="1">
        <f t="shared" si="288"/>
        <v>0</v>
      </c>
      <c r="FU55" s="1">
        <f t="shared" si="288"/>
        <v>0</v>
      </c>
      <c r="FV55" s="1">
        <f t="shared" si="288"/>
        <v>0</v>
      </c>
      <c r="FW55" s="1">
        <f t="shared" si="288"/>
        <v>0</v>
      </c>
      <c r="FX55" s="1">
        <f t="shared" si="288"/>
        <v>0</v>
      </c>
      <c r="FY55" s="1">
        <f t="shared" si="288"/>
        <v>0</v>
      </c>
      <c r="FZ55" s="1">
        <f t="shared" si="288"/>
        <v>0</v>
      </c>
      <c r="GA55" s="1">
        <f t="shared" si="288"/>
        <v>0</v>
      </c>
      <c r="GB55" s="1">
        <f t="shared" si="288"/>
        <v>0</v>
      </c>
      <c r="GC55" s="1">
        <f t="shared" si="288"/>
        <v>0</v>
      </c>
      <c r="GD55" s="1">
        <f t="shared" si="288"/>
        <v>0</v>
      </c>
      <c r="GE55" s="1">
        <f t="shared" si="288"/>
        <v>0</v>
      </c>
      <c r="GF55" s="1">
        <f t="shared" si="288"/>
        <v>0</v>
      </c>
      <c r="GG55" s="1">
        <f t="shared" si="288"/>
        <v>0</v>
      </c>
      <c r="GH55" s="1">
        <f t="shared" si="288"/>
        <v>0</v>
      </c>
      <c r="GI55" s="1">
        <f t="shared" si="288"/>
        <v>0</v>
      </c>
      <c r="GJ55" s="1">
        <f t="shared" si="288"/>
        <v>0</v>
      </c>
      <c r="GK55" s="1">
        <f t="shared" si="288"/>
        <v>0</v>
      </c>
      <c r="GL55" s="1">
        <f t="shared" si="288"/>
        <v>0</v>
      </c>
      <c r="GM55" s="1">
        <f t="shared" ref="GM55:IX55" si="289">GM39</f>
        <v>0</v>
      </c>
      <c r="GN55" s="1">
        <f t="shared" si="289"/>
        <v>0</v>
      </c>
      <c r="GO55" s="1">
        <f t="shared" si="289"/>
        <v>0</v>
      </c>
      <c r="GP55" s="1">
        <f t="shared" si="289"/>
        <v>0</v>
      </c>
      <c r="GQ55" s="1">
        <f t="shared" si="289"/>
        <v>0</v>
      </c>
      <c r="GR55" s="1">
        <f t="shared" si="289"/>
        <v>0</v>
      </c>
      <c r="GS55" s="1">
        <f t="shared" si="289"/>
        <v>0</v>
      </c>
      <c r="GT55" s="1">
        <f t="shared" si="289"/>
        <v>0</v>
      </c>
      <c r="GU55" s="1">
        <f t="shared" si="289"/>
        <v>0</v>
      </c>
      <c r="GV55" s="1">
        <f t="shared" si="289"/>
        <v>0</v>
      </c>
      <c r="GW55" s="1">
        <f t="shared" si="289"/>
        <v>0</v>
      </c>
      <c r="GX55" s="1">
        <f t="shared" si="289"/>
        <v>0</v>
      </c>
      <c r="GY55" s="1">
        <f t="shared" si="289"/>
        <v>0</v>
      </c>
      <c r="GZ55" s="1">
        <f t="shared" si="289"/>
        <v>0</v>
      </c>
      <c r="HA55" s="1">
        <f t="shared" si="289"/>
        <v>0</v>
      </c>
      <c r="HB55" s="1">
        <f t="shared" si="289"/>
        <v>0</v>
      </c>
      <c r="HC55" s="1">
        <f t="shared" si="289"/>
        <v>0</v>
      </c>
      <c r="HD55" s="1">
        <f t="shared" si="289"/>
        <v>0</v>
      </c>
      <c r="HE55" s="1">
        <f t="shared" si="289"/>
        <v>0</v>
      </c>
      <c r="HF55" s="1">
        <f t="shared" si="289"/>
        <v>0</v>
      </c>
      <c r="HG55" s="1">
        <f t="shared" si="289"/>
        <v>0</v>
      </c>
      <c r="HH55" s="1">
        <f t="shared" si="289"/>
        <v>0</v>
      </c>
      <c r="HI55" s="1">
        <f t="shared" si="289"/>
        <v>0</v>
      </c>
      <c r="HJ55" s="1">
        <f t="shared" si="289"/>
        <v>0</v>
      </c>
      <c r="HK55" s="1">
        <f t="shared" si="289"/>
        <v>0</v>
      </c>
      <c r="HL55" s="1">
        <f t="shared" si="289"/>
        <v>0</v>
      </c>
      <c r="HM55" s="1">
        <f t="shared" si="289"/>
        <v>0</v>
      </c>
      <c r="HN55" s="1">
        <f t="shared" si="289"/>
        <v>0</v>
      </c>
      <c r="HO55" s="1">
        <f t="shared" si="289"/>
        <v>0</v>
      </c>
      <c r="HP55" s="1">
        <f t="shared" si="289"/>
        <v>0</v>
      </c>
      <c r="HQ55" s="1">
        <f t="shared" si="289"/>
        <v>0</v>
      </c>
      <c r="HR55" s="1">
        <f t="shared" si="289"/>
        <v>0</v>
      </c>
      <c r="HS55" s="1">
        <f t="shared" si="289"/>
        <v>0</v>
      </c>
      <c r="HT55" s="1">
        <f t="shared" si="289"/>
        <v>0</v>
      </c>
      <c r="HU55" s="1">
        <f t="shared" si="289"/>
        <v>0</v>
      </c>
      <c r="HV55" s="1">
        <f t="shared" si="289"/>
        <v>0</v>
      </c>
      <c r="HW55" s="1">
        <f t="shared" si="289"/>
        <v>0</v>
      </c>
      <c r="HX55" s="1">
        <f t="shared" si="289"/>
        <v>0</v>
      </c>
      <c r="HY55" s="1">
        <f t="shared" si="289"/>
        <v>0</v>
      </c>
      <c r="HZ55" s="1">
        <f t="shared" si="289"/>
        <v>0</v>
      </c>
      <c r="IA55" s="1">
        <f t="shared" si="289"/>
        <v>0</v>
      </c>
      <c r="IB55" s="1">
        <f t="shared" si="289"/>
        <v>0</v>
      </c>
      <c r="IC55" s="1">
        <f t="shared" si="289"/>
        <v>0</v>
      </c>
      <c r="ID55" s="1">
        <f t="shared" si="289"/>
        <v>0</v>
      </c>
      <c r="IE55" s="1">
        <f t="shared" si="289"/>
        <v>0</v>
      </c>
      <c r="IF55" s="1">
        <f t="shared" si="289"/>
        <v>0</v>
      </c>
      <c r="IG55" s="1">
        <f t="shared" si="289"/>
        <v>0</v>
      </c>
      <c r="IH55" s="1">
        <f t="shared" si="289"/>
        <v>0</v>
      </c>
      <c r="II55" s="1">
        <f t="shared" si="289"/>
        <v>0</v>
      </c>
      <c r="IJ55" s="1">
        <f t="shared" si="289"/>
        <v>0</v>
      </c>
      <c r="IK55" s="1">
        <f t="shared" si="289"/>
        <v>0</v>
      </c>
      <c r="IL55" s="1">
        <f t="shared" si="289"/>
        <v>0</v>
      </c>
      <c r="IM55" s="1">
        <f t="shared" si="289"/>
        <v>0</v>
      </c>
      <c r="IN55" s="1">
        <f t="shared" si="289"/>
        <v>0</v>
      </c>
      <c r="IO55" s="1">
        <f t="shared" si="289"/>
        <v>0</v>
      </c>
      <c r="IP55" s="1">
        <f t="shared" si="289"/>
        <v>0</v>
      </c>
      <c r="IQ55" s="1">
        <f t="shared" si="289"/>
        <v>0</v>
      </c>
      <c r="IR55" s="1">
        <f t="shared" si="289"/>
        <v>0</v>
      </c>
      <c r="IS55" s="1">
        <f t="shared" si="289"/>
        <v>0</v>
      </c>
      <c r="IT55" s="1">
        <f t="shared" si="289"/>
        <v>0</v>
      </c>
      <c r="IU55" s="1">
        <f t="shared" si="289"/>
        <v>0</v>
      </c>
      <c r="IV55" s="1">
        <f t="shared" si="289"/>
        <v>0</v>
      </c>
      <c r="IW55" s="1">
        <f t="shared" si="289"/>
        <v>0</v>
      </c>
      <c r="IX55" s="1">
        <f t="shared" si="289"/>
        <v>0</v>
      </c>
      <c r="IY55" s="1">
        <f t="shared" ref="IY55:LJ55" si="290">IY39</f>
        <v>0</v>
      </c>
      <c r="IZ55" s="1">
        <f t="shared" si="290"/>
        <v>0</v>
      </c>
      <c r="JA55" s="1">
        <f t="shared" si="290"/>
        <v>0</v>
      </c>
      <c r="JB55" s="1">
        <f t="shared" si="290"/>
        <v>0</v>
      </c>
      <c r="JC55" s="1">
        <f t="shared" si="290"/>
        <v>0</v>
      </c>
      <c r="JD55" s="1">
        <f t="shared" si="290"/>
        <v>0</v>
      </c>
      <c r="JE55" s="1">
        <f t="shared" si="290"/>
        <v>0</v>
      </c>
      <c r="JF55" s="1">
        <f t="shared" si="290"/>
        <v>0</v>
      </c>
      <c r="JG55" s="1">
        <f t="shared" si="290"/>
        <v>0</v>
      </c>
      <c r="JH55" s="1">
        <f t="shared" si="290"/>
        <v>0</v>
      </c>
      <c r="JI55" s="1">
        <f t="shared" si="290"/>
        <v>0</v>
      </c>
      <c r="JJ55" s="1">
        <f t="shared" si="290"/>
        <v>0</v>
      </c>
      <c r="JK55" s="1">
        <f t="shared" si="290"/>
        <v>0</v>
      </c>
      <c r="JL55" s="1">
        <f t="shared" si="290"/>
        <v>0</v>
      </c>
      <c r="JM55" s="1">
        <f t="shared" si="290"/>
        <v>0</v>
      </c>
      <c r="JN55" s="1">
        <f t="shared" si="290"/>
        <v>0</v>
      </c>
      <c r="JO55" s="1">
        <f t="shared" si="290"/>
        <v>0</v>
      </c>
      <c r="JP55" s="1">
        <f t="shared" si="290"/>
        <v>0</v>
      </c>
      <c r="JQ55" s="1">
        <f t="shared" si="290"/>
        <v>0</v>
      </c>
      <c r="JR55" s="1">
        <f t="shared" si="290"/>
        <v>0</v>
      </c>
      <c r="JS55" s="1">
        <f t="shared" si="290"/>
        <v>0</v>
      </c>
      <c r="JT55" s="1">
        <f t="shared" si="290"/>
        <v>0</v>
      </c>
      <c r="JU55" s="1">
        <f t="shared" si="290"/>
        <v>0</v>
      </c>
      <c r="JV55" s="1">
        <f t="shared" si="290"/>
        <v>0</v>
      </c>
      <c r="JW55" s="1">
        <f t="shared" si="290"/>
        <v>0</v>
      </c>
      <c r="JX55" s="1">
        <f t="shared" si="290"/>
        <v>0</v>
      </c>
      <c r="JY55" s="1">
        <f t="shared" si="290"/>
        <v>0</v>
      </c>
      <c r="JZ55" s="1">
        <f t="shared" si="290"/>
        <v>0</v>
      </c>
      <c r="KA55" s="1">
        <f t="shared" si="290"/>
        <v>0</v>
      </c>
      <c r="KB55" s="1">
        <f t="shared" si="290"/>
        <v>0</v>
      </c>
      <c r="KC55" s="1">
        <f t="shared" si="290"/>
        <v>0</v>
      </c>
      <c r="KD55" s="1">
        <f t="shared" si="290"/>
        <v>0</v>
      </c>
      <c r="KE55" s="1">
        <f t="shared" si="290"/>
        <v>0</v>
      </c>
      <c r="KF55" s="1">
        <f t="shared" si="290"/>
        <v>0</v>
      </c>
      <c r="KG55" s="1">
        <f t="shared" si="290"/>
        <v>0</v>
      </c>
      <c r="KH55" s="1">
        <f t="shared" si="290"/>
        <v>0</v>
      </c>
      <c r="KI55" s="1">
        <f t="shared" si="290"/>
        <v>0</v>
      </c>
      <c r="KJ55" s="1">
        <f t="shared" si="290"/>
        <v>0</v>
      </c>
      <c r="KK55" s="1">
        <f t="shared" si="290"/>
        <v>0</v>
      </c>
      <c r="KL55" s="1">
        <f t="shared" si="290"/>
        <v>0</v>
      </c>
      <c r="KM55" s="1">
        <f t="shared" si="290"/>
        <v>0</v>
      </c>
      <c r="KN55" s="1">
        <f t="shared" si="290"/>
        <v>0</v>
      </c>
      <c r="KO55" s="1">
        <f t="shared" si="290"/>
        <v>0</v>
      </c>
      <c r="KP55" s="1">
        <f t="shared" si="290"/>
        <v>0</v>
      </c>
      <c r="KQ55" s="1">
        <f t="shared" si="290"/>
        <v>0</v>
      </c>
      <c r="KR55" s="1">
        <f t="shared" si="290"/>
        <v>0</v>
      </c>
      <c r="KS55" s="1">
        <f t="shared" si="290"/>
        <v>0</v>
      </c>
      <c r="KT55" s="1">
        <f t="shared" si="290"/>
        <v>0</v>
      </c>
      <c r="KU55" s="1">
        <f t="shared" si="290"/>
        <v>0</v>
      </c>
      <c r="KV55" s="1">
        <f t="shared" si="290"/>
        <v>0</v>
      </c>
      <c r="KW55" s="1">
        <f t="shared" si="290"/>
        <v>0</v>
      </c>
      <c r="KX55" s="1">
        <f t="shared" si="290"/>
        <v>0</v>
      </c>
      <c r="KY55" s="1">
        <f t="shared" si="290"/>
        <v>0</v>
      </c>
      <c r="KZ55" s="1">
        <f t="shared" si="290"/>
        <v>0</v>
      </c>
      <c r="LA55" s="1">
        <f t="shared" si="290"/>
        <v>0</v>
      </c>
      <c r="LB55" s="1">
        <f t="shared" si="290"/>
        <v>0</v>
      </c>
      <c r="LC55" s="1">
        <f t="shared" si="290"/>
        <v>0</v>
      </c>
      <c r="LD55" s="1">
        <f t="shared" si="290"/>
        <v>0</v>
      </c>
      <c r="LE55" s="1">
        <f t="shared" si="290"/>
        <v>0</v>
      </c>
      <c r="LF55" s="1">
        <f t="shared" si="290"/>
        <v>0</v>
      </c>
      <c r="LG55" s="1">
        <f t="shared" si="290"/>
        <v>0</v>
      </c>
      <c r="LH55" s="1">
        <f t="shared" si="290"/>
        <v>0</v>
      </c>
      <c r="LI55" s="1">
        <f t="shared" si="290"/>
        <v>0</v>
      </c>
      <c r="LJ55" s="1">
        <f t="shared" si="290"/>
        <v>0</v>
      </c>
      <c r="LK55" s="1">
        <f t="shared" ref="LK55:NV55" si="291">LK39</f>
        <v>0</v>
      </c>
      <c r="LL55" s="1">
        <f t="shared" si="291"/>
        <v>0</v>
      </c>
      <c r="LM55" s="1">
        <f t="shared" si="291"/>
        <v>0</v>
      </c>
      <c r="LN55" s="1">
        <f t="shared" si="291"/>
        <v>0</v>
      </c>
      <c r="LO55" s="1">
        <f t="shared" si="291"/>
        <v>0</v>
      </c>
      <c r="LP55" s="1">
        <f t="shared" si="291"/>
        <v>0</v>
      </c>
      <c r="LQ55" s="1">
        <f t="shared" si="291"/>
        <v>0</v>
      </c>
      <c r="LR55" s="1">
        <f t="shared" si="291"/>
        <v>0</v>
      </c>
      <c r="LS55" s="1">
        <f t="shared" si="291"/>
        <v>0</v>
      </c>
      <c r="LT55" s="1">
        <f t="shared" si="291"/>
        <v>0</v>
      </c>
      <c r="LU55" s="1">
        <f t="shared" si="291"/>
        <v>0</v>
      </c>
      <c r="LV55" s="1">
        <f t="shared" si="291"/>
        <v>0</v>
      </c>
      <c r="LW55" s="1">
        <f t="shared" si="291"/>
        <v>0</v>
      </c>
      <c r="LX55" s="1">
        <f t="shared" si="291"/>
        <v>0</v>
      </c>
      <c r="LY55" s="1">
        <f t="shared" si="291"/>
        <v>0</v>
      </c>
      <c r="LZ55" s="1">
        <f t="shared" si="291"/>
        <v>0</v>
      </c>
      <c r="MA55" s="1">
        <f t="shared" si="291"/>
        <v>0</v>
      </c>
      <c r="MB55" s="1">
        <f t="shared" si="291"/>
        <v>0</v>
      </c>
      <c r="MC55" s="1">
        <f t="shared" si="291"/>
        <v>0</v>
      </c>
      <c r="MD55" s="1">
        <f t="shared" si="291"/>
        <v>0</v>
      </c>
      <c r="ME55" s="1">
        <f t="shared" si="291"/>
        <v>0</v>
      </c>
      <c r="MF55" s="1">
        <f t="shared" si="291"/>
        <v>0</v>
      </c>
      <c r="MG55" s="1">
        <f t="shared" si="291"/>
        <v>0</v>
      </c>
      <c r="MH55" s="1">
        <f t="shared" si="291"/>
        <v>0</v>
      </c>
      <c r="MI55" s="1">
        <f t="shared" si="291"/>
        <v>0</v>
      </c>
      <c r="MJ55" s="1">
        <f t="shared" si="291"/>
        <v>0</v>
      </c>
      <c r="MK55" s="1">
        <f t="shared" si="291"/>
        <v>0</v>
      </c>
      <c r="ML55" s="1">
        <f t="shared" si="291"/>
        <v>0</v>
      </c>
      <c r="MM55" s="1">
        <f t="shared" si="291"/>
        <v>0</v>
      </c>
      <c r="MN55" s="1">
        <f t="shared" si="291"/>
        <v>0</v>
      </c>
      <c r="MO55" s="1">
        <f t="shared" si="291"/>
        <v>0</v>
      </c>
      <c r="MP55" s="1">
        <f t="shared" si="291"/>
        <v>0</v>
      </c>
      <c r="MQ55" s="1">
        <f t="shared" si="291"/>
        <v>0</v>
      </c>
      <c r="MR55" s="1">
        <f t="shared" si="291"/>
        <v>0</v>
      </c>
      <c r="MS55" s="1">
        <f t="shared" si="291"/>
        <v>0</v>
      </c>
      <c r="MT55" s="1">
        <f t="shared" si="291"/>
        <v>0</v>
      </c>
      <c r="MU55" s="1">
        <f t="shared" si="291"/>
        <v>0</v>
      </c>
      <c r="MV55" s="1">
        <f t="shared" si="291"/>
        <v>0</v>
      </c>
      <c r="MW55" s="1">
        <f t="shared" si="291"/>
        <v>0</v>
      </c>
      <c r="MX55" s="1">
        <f t="shared" si="291"/>
        <v>0</v>
      </c>
      <c r="MY55" s="1">
        <f t="shared" si="291"/>
        <v>0</v>
      </c>
      <c r="MZ55" s="1">
        <f t="shared" si="291"/>
        <v>0</v>
      </c>
      <c r="NA55" s="1">
        <f t="shared" si="291"/>
        <v>0</v>
      </c>
      <c r="NB55" s="1">
        <f t="shared" si="291"/>
        <v>0</v>
      </c>
      <c r="NC55" s="1">
        <f t="shared" si="291"/>
        <v>0</v>
      </c>
      <c r="ND55" s="1">
        <f t="shared" si="291"/>
        <v>0</v>
      </c>
      <c r="NE55" s="1">
        <f t="shared" si="291"/>
        <v>0</v>
      </c>
      <c r="NF55" s="1">
        <f t="shared" si="291"/>
        <v>0</v>
      </c>
      <c r="NG55" s="1">
        <f t="shared" si="291"/>
        <v>0</v>
      </c>
      <c r="NH55" s="1">
        <f t="shared" si="291"/>
        <v>0</v>
      </c>
      <c r="NI55" s="1">
        <f t="shared" si="291"/>
        <v>0</v>
      </c>
      <c r="NJ55" s="1">
        <f t="shared" si="291"/>
        <v>0</v>
      </c>
      <c r="NK55" s="1">
        <f t="shared" si="291"/>
        <v>0</v>
      </c>
      <c r="NL55" s="1">
        <f t="shared" si="291"/>
        <v>0</v>
      </c>
      <c r="NM55" s="1">
        <f t="shared" si="291"/>
        <v>0</v>
      </c>
      <c r="NN55" s="1">
        <f t="shared" si="291"/>
        <v>0</v>
      </c>
      <c r="NO55" s="1">
        <f t="shared" si="291"/>
        <v>0</v>
      </c>
      <c r="NP55" s="1">
        <f t="shared" si="291"/>
        <v>0</v>
      </c>
      <c r="NQ55" s="1">
        <f t="shared" si="291"/>
        <v>0</v>
      </c>
      <c r="NR55" s="1">
        <f t="shared" si="291"/>
        <v>0</v>
      </c>
      <c r="NS55" s="1">
        <f t="shared" si="291"/>
        <v>0</v>
      </c>
      <c r="NT55" s="1">
        <f t="shared" si="291"/>
        <v>0</v>
      </c>
      <c r="NU55" s="1">
        <f t="shared" si="291"/>
        <v>0</v>
      </c>
      <c r="NV55" s="1">
        <f t="shared" si="291"/>
        <v>0</v>
      </c>
      <c r="NW55" s="1">
        <f t="shared" ref="NW55:QH55" si="292">NW39</f>
        <v>0</v>
      </c>
      <c r="NX55" s="1">
        <f t="shared" si="292"/>
        <v>0</v>
      </c>
      <c r="NY55" s="1">
        <f t="shared" si="292"/>
        <v>0</v>
      </c>
      <c r="NZ55" s="1">
        <f t="shared" si="292"/>
        <v>0</v>
      </c>
      <c r="OA55" s="1">
        <f t="shared" si="292"/>
        <v>0</v>
      </c>
      <c r="OB55" s="1">
        <f t="shared" si="292"/>
        <v>0</v>
      </c>
      <c r="OC55" s="1">
        <f t="shared" si="292"/>
        <v>0</v>
      </c>
      <c r="OD55" s="1">
        <f t="shared" si="292"/>
        <v>0</v>
      </c>
      <c r="OE55" s="1">
        <f t="shared" si="292"/>
        <v>0</v>
      </c>
      <c r="OF55" s="1">
        <f t="shared" si="292"/>
        <v>0</v>
      </c>
      <c r="OG55" s="1">
        <f t="shared" si="292"/>
        <v>0</v>
      </c>
      <c r="OH55" s="1">
        <f t="shared" si="292"/>
        <v>0</v>
      </c>
      <c r="OI55" s="1">
        <f t="shared" si="292"/>
        <v>0</v>
      </c>
      <c r="OJ55" s="1">
        <f t="shared" si="292"/>
        <v>0</v>
      </c>
      <c r="OK55" s="1">
        <f t="shared" si="292"/>
        <v>0</v>
      </c>
      <c r="OL55" s="1">
        <f t="shared" si="292"/>
        <v>0</v>
      </c>
      <c r="OM55" s="1">
        <f t="shared" si="292"/>
        <v>0</v>
      </c>
      <c r="ON55" s="1">
        <f t="shared" si="292"/>
        <v>0</v>
      </c>
      <c r="OO55" s="1">
        <f t="shared" si="292"/>
        <v>0</v>
      </c>
      <c r="OP55" s="1">
        <f t="shared" si="292"/>
        <v>0</v>
      </c>
      <c r="OQ55" s="1">
        <f t="shared" si="292"/>
        <v>0</v>
      </c>
      <c r="OR55" s="1">
        <f t="shared" si="292"/>
        <v>0</v>
      </c>
      <c r="OS55" s="1">
        <f t="shared" si="292"/>
        <v>0</v>
      </c>
      <c r="OT55" s="1">
        <f t="shared" si="292"/>
        <v>0</v>
      </c>
      <c r="OU55" s="1">
        <f t="shared" si="292"/>
        <v>0</v>
      </c>
      <c r="OV55" s="1">
        <f t="shared" si="292"/>
        <v>0</v>
      </c>
      <c r="OW55" s="1">
        <f t="shared" si="292"/>
        <v>0</v>
      </c>
      <c r="OX55" s="1">
        <f t="shared" si="292"/>
        <v>0</v>
      </c>
      <c r="OY55" s="1">
        <f t="shared" si="292"/>
        <v>0</v>
      </c>
      <c r="OZ55" s="1">
        <f t="shared" si="292"/>
        <v>0</v>
      </c>
      <c r="PA55" s="1">
        <f t="shared" si="292"/>
        <v>0</v>
      </c>
      <c r="PB55" s="1">
        <f t="shared" si="292"/>
        <v>0</v>
      </c>
      <c r="PC55" s="1">
        <f t="shared" si="292"/>
        <v>0</v>
      </c>
      <c r="PD55" s="1">
        <f t="shared" si="292"/>
        <v>0</v>
      </c>
      <c r="PE55" s="1">
        <f t="shared" si="292"/>
        <v>0</v>
      </c>
      <c r="PF55" s="1">
        <f t="shared" si="292"/>
        <v>0</v>
      </c>
      <c r="PG55" s="1">
        <f t="shared" si="292"/>
        <v>0</v>
      </c>
      <c r="PH55" s="1">
        <f t="shared" si="292"/>
        <v>0</v>
      </c>
      <c r="PI55" s="1">
        <f t="shared" si="292"/>
        <v>0</v>
      </c>
      <c r="PJ55" s="1">
        <f t="shared" si="292"/>
        <v>0</v>
      </c>
      <c r="PK55" s="1">
        <f t="shared" si="292"/>
        <v>0</v>
      </c>
      <c r="PL55" s="1">
        <f t="shared" si="292"/>
        <v>0</v>
      </c>
      <c r="PM55" s="1">
        <f t="shared" si="292"/>
        <v>0</v>
      </c>
      <c r="PN55" s="1">
        <f t="shared" si="292"/>
        <v>0</v>
      </c>
      <c r="PO55" s="1">
        <f t="shared" si="292"/>
        <v>0</v>
      </c>
      <c r="PP55" s="1">
        <f t="shared" si="292"/>
        <v>0</v>
      </c>
      <c r="PQ55" s="1">
        <f t="shared" si="292"/>
        <v>0</v>
      </c>
      <c r="PR55" s="1">
        <f t="shared" si="292"/>
        <v>0</v>
      </c>
      <c r="PS55" s="1">
        <f t="shared" si="292"/>
        <v>0</v>
      </c>
      <c r="PT55" s="1">
        <f t="shared" si="292"/>
        <v>0</v>
      </c>
      <c r="PU55" s="1">
        <f t="shared" si="292"/>
        <v>0</v>
      </c>
      <c r="PV55" s="1">
        <f t="shared" si="292"/>
        <v>0</v>
      </c>
      <c r="PW55" s="1">
        <f t="shared" si="292"/>
        <v>0</v>
      </c>
      <c r="PX55" s="1">
        <f t="shared" si="292"/>
        <v>0</v>
      </c>
      <c r="PY55" s="1">
        <f t="shared" si="292"/>
        <v>0</v>
      </c>
      <c r="PZ55" s="1">
        <f t="shared" si="292"/>
        <v>0</v>
      </c>
      <c r="QA55" s="1">
        <f t="shared" si="292"/>
        <v>0</v>
      </c>
      <c r="QB55" s="1">
        <f t="shared" si="292"/>
        <v>0</v>
      </c>
      <c r="QC55" s="1">
        <f t="shared" si="292"/>
        <v>0</v>
      </c>
      <c r="QD55" s="1">
        <f t="shared" si="292"/>
        <v>0</v>
      </c>
      <c r="QE55" s="1">
        <f t="shared" si="292"/>
        <v>0</v>
      </c>
      <c r="QF55" s="1">
        <f t="shared" si="292"/>
        <v>0</v>
      </c>
      <c r="QG55" s="1">
        <f t="shared" si="292"/>
        <v>0</v>
      </c>
      <c r="QH55" s="1">
        <f t="shared" si="292"/>
        <v>0</v>
      </c>
      <c r="QI55" s="1">
        <f t="shared" ref="QI55:SG55" si="293">QI39</f>
        <v>0</v>
      </c>
      <c r="QJ55" s="1">
        <f t="shared" si="293"/>
        <v>0</v>
      </c>
      <c r="QK55" s="1">
        <f t="shared" si="293"/>
        <v>0</v>
      </c>
      <c r="QL55" s="1">
        <f t="shared" si="293"/>
        <v>0</v>
      </c>
      <c r="QM55" s="1">
        <f t="shared" si="293"/>
        <v>0</v>
      </c>
      <c r="QN55" s="1">
        <f t="shared" si="293"/>
        <v>0</v>
      </c>
      <c r="QO55" s="1">
        <f t="shared" si="293"/>
        <v>0</v>
      </c>
      <c r="QP55" s="1">
        <f t="shared" si="293"/>
        <v>0</v>
      </c>
      <c r="QQ55" s="1">
        <f t="shared" si="293"/>
        <v>0</v>
      </c>
      <c r="QR55" s="1">
        <f t="shared" si="293"/>
        <v>0</v>
      </c>
      <c r="QS55" s="1">
        <f t="shared" si="293"/>
        <v>0</v>
      </c>
      <c r="QT55" s="1">
        <f t="shared" si="293"/>
        <v>0</v>
      </c>
      <c r="QU55" s="1">
        <f t="shared" si="293"/>
        <v>0</v>
      </c>
      <c r="QV55" s="1">
        <f t="shared" si="293"/>
        <v>0</v>
      </c>
      <c r="QW55" s="1">
        <f t="shared" si="293"/>
        <v>0</v>
      </c>
      <c r="QX55" s="1">
        <f t="shared" si="293"/>
        <v>0</v>
      </c>
      <c r="QY55" s="1">
        <f t="shared" si="293"/>
        <v>0</v>
      </c>
      <c r="QZ55" s="1">
        <f t="shared" si="293"/>
        <v>0</v>
      </c>
      <c r="RA55" s="1">
        <f t="shared" si="293"/>
        <v>0</v>
      </c>
      <c r="RB55" s="1">
        <f t="shared" si="293"/>
        <v>0</v>
      </c>
      <c r="RC55" s="1">
        <f t="shared" si="293"/>
        <v>0</v>
      </c>
      <c r="RD55" s="1">
        <f t="shared" si="293"/>
        <v>0</v>
      </c>
      <c r="RE55" s="1">
        <f t="shared" si="293"/>
        <v>0</v>
      </c>
      <c r="RF55" s="1">
        <f t="shared" si="293"/>
        <v>0</v>
      </c>
      <c r="RG55" s="1">
        <f t="shared" si="293"/>
        <v>0</v>
      </c>
      <c r="RH55" s="1">
        <f t="shared" si="293"/>
        <v>0</v>
      </c>
      <c r="RI55" s="1">
        <f t="shared" si="293"/>
        <v>0</v>
      </c>
      <c r="RJ55" s="1">
        <f t="shared" si="293"/>
        <v>0</v>
      </c>
      <c r="RK55" s="1">
        <f t="shared" si="293"/>
        <v>0</v>
      </c>
      <c r="RL55" s="1">
        <f t="shared" si="293"/>
        <v>0</v>
      </c>
      <c r="RM55" s="1">
        <f t="shared" si="293"/>
        <v>0</v>
      </c>
      <c r="RN55" s="1">
        <f t="shared" si="293"/>
        <v>0</v>
      </c>
      <c r="RO55" s="1">
        <f t="shared" si="293"/>
        <v>0</v>
      </c>
      <c r="RP55" s="1">
        <f t="shared" si="293"/>
        <v>0</v>
      </c>
      <c r="RQ55" s="1">
        <f t="shared" si="293"/>
        <v>0</v>
      </c>
      <c r="RR55" s="1">
        <f t="shared" si="293"/>
        <v>0</v>
      </c>
      <c r="RS55" s="1">
        <f t="shared" si="293"/>
        <v>0</v>
      </c>
      <c r="RT55" s="1">
        <f t="shared" si="293"/>
        <v>0</v>
      </c>
      <c r="RU55" s="1">
        <f t="shared" si="293"/>
        <v>0</v>
      </c>
      <c r="RV55" s="1">
        <f t="shared" si="293"/>
        <v>0</v>
      </c>
      <c r="RW55" s="1">
        <f t="shared" si="293"/>
        <v>0</v>
      </c>
      <c r="RX55" s="1">
        <f t="shared" si="293"/>
        <v>0</v>
      </c>
      <c r="RY55" s="1">
        <f t="shared" si="293"/>
        <v>0</v>
      </c>
      <c r="RZ55" s="1">
        <f t="shared" si="293"/>
        <v>0</v>
      </c>
      <c r="SA55" s="1">
        <f t="shared" si="293"/>
        <v>0</v>
      </c>
      <c r="SB55" s="1">
        <f t="shared" si="293"/>
        <v>0</v>
      </c>
      <c r="SC55" s="1">
        <f t="shared" si="293"/>
        <v>0</v>
      </c>
      <c r="SD55" s="1">
        <f t="shared" si="293"/>
        <v>0</v>
      </c>
      <c r="SE55" s="1">
        <f t="shared" si="293"/>
        <v>0</v>
      </c>
      <c r="SF55" s="1">
        <f t="shared" si="293"/>
        <v>0</v>
      </c>
      <c r="SG55" s="1">
        <f t="shared" si="293"/>
        <v>0</v>
      </c>
      <c r="SH55" s="1">
        <f t="shared" ref="SH55:US55" si="294">SH39</f>
        <v>0</v>
      </c>
      <c r="SI55" s="1">
        <f t="shared" si="294"/>
        <v>0</v>
      </c>
      <c r="SJ55" s="1">
        <f t="shared" si="294"/>
        <v>0</v>
      </c>
      <c r="SK55" s="1">
        <f t="shared" si="294"/>
        <v>0</v>
      </c>
      <c r="SL55" s="1">
        <f t="shared" si="294"/>
        <v>0</v>
      </c>
      <c r="SM55" s="1">
        <f t="shared" si="294"/>
        <v>0</v>
      </c>
      <c r="SN55" s="1">
        <f t="shared" si="294"/>
        <v>0</v>
      </c>
      <c r="SO55" s="1">
        <f t="shared" si="294"/>
        <v>0</v>
      </c>
      <c r="SP55" s="1">
        <f t="shared" si="294"/>
        <v>0</v>
      </c>
      <c r="SQ55" s="1">
        <f t="shared" si="294"/>
        <v>0</v>
      </c>
      <c r="SR55" s="1">
        <f t="shared" si="294"/>
        <v>0</v>
      </c>
      <c r="SS55" s="1">
        <f t="shared" si="294"/>
        <v>0</v>
      </c>
      <c r="ST55" s="1">
        <f t="shared" si="294"/>
        <v>0</v>
      </c>
      <c r="SU55" s="1">
        <f t="shared" si="294"/>
        <v>0</v>
      </c>
      <c r="SV55" s="1">
        <f t="shared" si="294"/>
        <v>0</v>
      </c>
      <c r="SW55" s="1">
        <f t="shared" si="294"/>
        <v>0</v>
      </c>
      <c r="SX55" s="1">
        <f t="shared" si="294"/>
        <v>0</v>
      </c>
      <c r="SY55" s="1">
        <f t="shared" si="294"/>
        <v>0</v>
      </c>
      <c r="SZ55" s="1">
        <f t="shared" si="294"/>
        <v>0</v>
      </c>
      <c r="TA55" s="1">
        <f t="shared" si="294"/>
        <v>0</v>
      </c>
      <c r="TB55" s="1">
        <f t="shared" si="294"/>
        <v>0</v>
      </c>
      <c r="TC55" s="1">
        <f t="shared" si="294"/>
        <v>0</v>
      </c>
      <c r="TD55" s="1">
        <f t="shared" si="294"/>
        <v>0</v>
      </c>
      <c r="TE55" s="1">
        <f t="shared" si="294"/>
        <v>0</v>
      </c>
      <c r="TF55" s="1">
        <f t="shared" si="294"/>
        <v>0</v>
      </c>
      <c r="TG55" s="1">
        <f t="shared" si="294"/>
        <v>0</v>
      </c>
      <c r="TH55" s="1">
        <f t="shared" si="294"/>
        <v>0</v>
      </c>
      <c r="TI55" s="1">
        <f t="shared" si="294"/>
        <v>0</v>
      </c>
      <c r="TJ55" s="1">
        <f t="shared" si="294"/>
        <v>0</v>
      </c>
      <c r="TK55" s="1">
        <f t="shared" si="294"/>
        <v>0</v>
      </c>
      <c r="TL55" s="1">
        <f t="shared" si="294"/>
        <v>0</v>
      </c>
      <c r="TM55" s="1">
        <f t="shared" si="294"/>
        <v>0</v>
      </c>
      <c r="TN55" s="1">
        <f t="shared" si="294"/>
        <v>0</v>
      </c>
      <c r="TO55" s="1">
        <f t="shared" si="294"/>
        <v>0</v>
      </c>
      <c r="TP55" s="1">
        <f t="shared" si="294"/>
        <v>0</v>
      </c>
      <c r="TQ55" s="1">
        <f t="shared" si="294"/>
        <v>0</v>
      </c>
      <c r="TR55" s="1">
        <f t="shared" si="294"/>
        <v>0</v>
      </c>
      <c r="TS55" s="1">
        <f t="shared" si="294"/>
        <v>0</v>
      </c>
      <c r="TT55" s="1">
        <f t="shared" si="294"/>
        <v>0</v>
      </c>
      <c r="TU55" s="1">
        <f t="shared" si="294"/>
        <v>0</v>
      </c>
      <c r="TV55" s="1">
        <f t="shared" si="294"/>
        <v>0</v>
      </c>
      <c r="TW55" s="1">
        <f t="shared" si="294"/>
        <v>0</v>
      </c>
      <c r="TX55" s="1">
        <f t="shared" si="294"/>
        <v>0</v>
      </c>
      <c r="TY55" s="1">
        <f t="shared" si="294"/>
        <v>0</v>
      </c>
      <c r="TZ55" s="1">
        <f t="shared" si="294"/>
        <v>0</v>
      </c>
      <c r="UA55" s="1">
        <f t="shared" si="294"/>
        <v>0</v>
      </c>
      <c r="UB55" s="1">
        <f t="shared" si="294"/>
        <v>0</v>
      </c>
      <c r="UC55" s="1">
        <f t="shared" si="294"/>
        <v>0</v>
      </c>
      <c r="UD55" s="1">
        <f t="shared" si="294"/>
        <v>0</v>
      </c>
      <c r="UE55" s="1">
        <f t="shared" si="294"/>
        <v>0</v>
      </c>
      <c r="UF55" s="1">
        <f t="shared" si="294"/>
        <v>0</v>
      </c>
      <c r="UG55" s="1">
        <f t="shared" si="294"/>
        <v>0</v>
      </c>
      <c r="UH55" s="1">
        <f t="shared" si="294"/>
        <v>0</v>
      </c>
      <c r="UI55" s="1">
        <f t="shared" si="294"/>
        <v>0</v>
      </c>
      <c r="UJ55" s="1">
        <f t="shared" si="294"/>
        <v>0</v>
      </c>
      <c r="UK55" s="1">
        <f t="shared" si="294"/>
        <v>0</v>
      </c>
      <c r="UL55" s="1">
        <f t="shared" si="294"/>
        <v>0</v>
      </c>
      <c r="UM55" s="1">
        <f t="shared" si="294"/>
        <v>0</v>
      </c>
      <c r="UN55" s="1">
        <f t="shared" si="294"/>
        <v>0</v>
      </c>
      <c r="UO55" s="1">
        <f t="shared" si="294"/>
        <v>0</v>
      </c>
      <c r="UP55" s="1">
        <f t="shared" si="294"/>
        <v>0</v>
      </c>
      <c r="UQ55" s="1">
        <f t="shared" si="294"/>
        <v>0</v>
      </c>
      <c r="UR55" s="1">
        <f t="shared" si="294"/>
        <v>0</v>
      </c>
      <c r="US55" s="1">
        <f t="shared" si="294"/>
        <v>0</v>
      </c>
      <c r="UT55" s="1">
        <f t="shared" ref="UT55:XE55" si="295">UT39</f>
        <v>0</v>
      </c>
      <c r="UU55" s="1">
        <f t="shared" si="295"/>
        <v>0</v>
      </c>
      <c r="UV55" s="1">
        <f t="shared" si="295"/>
        <v>0</v>
      </c>
      <c r="UW55" s="1">
        <f t="shared" si="295"/>
        <v>0</v>
      </c>
      <c r="UX55" s="1">
        <f t="shared" si="295"/>
        <v>0</v>
      </c>
      <c r="UY55" s="1">
        <f t="shared" si="295"/>
        <v>0</v>
      </c>
      <c r="UZ55" s="1">
        <f t="shared" si="295"/>
        <v>0</v>
      </c>
      <c r="VA55" s="1">
        <f t="shared" si="295"/>
        <v>0</v>
      </c>
      <c r="VB55" s="1">
        <f t="shared" si="295"/>
        <v>0</v>
      </c>
      <c r="VC55" s="1">
        <f t="shared" si="295"/>
        <v>0</v>
      </c>
      <c r="VD55" s="1">
        <f t="shared" si="295"/>
        <v>0</v>
      </c>
      <c r="VE55" s="1">
        <f t="shared" si="295"/>
        <v>0</v>
      </c>
      <c r="VF55" s="1">
        <f t="shared" si="295"/>
        <v>0</v>
      </c>
      <c r="VG55" s="1">
        <f t="shared" si="295"/>
        <v>0</v>
      </c>
      <c r="VH55" s="1">
        <f t="shared" si="295"/>
        <v>0</v>
      </c>
      <c r="VI55" s="1">
        <f t="shared" si="295"/>
        <v>0</v>
      </c>
      <c r="VJ55" s="1">
        <f t="shared" si="295"/>
        <v>0</v>
      </c>
      <c r="VK55" s="1">
        <f t="shared" si="295"/>
        <v>0</v>
      </c>
      <c r="VL55" s="1">
        <f t="shared" si="295"/>
        <v>0</v>
      </c>
      <c r="VM55" s="1">
        <f t="shared" si="295"/>
        <v>0</v>
      </c>
      <c r="VN55" s="1">
        <f t="shared" si="295"/>
        <v>0</v>
      </c>
      <c r="VO55" s="1">
        <f t="shared" si="295"/>
        <v>0</v>
      </c>
      <c r="VP55" s="1">
        <f t="shared" si="295"/>
        <v>0</v>
      </c>
      <c r="VQ55" s="1">
        <f t="shared" si="295"/>
        <v>0</v>
      </c>
      <c r="VR55" s="1">
        <f t="shared" si="295"/>
        <v>0</v>
      </c>
      <c r="VS55" s="1">
        <f t="shared" si="295"/>
        <v>0</v>
      </c>
      <c r="VT55" s="1">
        <f t="shared" si="295"/>
        <v>0</v>
      </c>
      <c r="VU55" s="1">
        <f t="shared" si="295"/>
        <v>0</v>
      </c>
      <c r="VV55" s="1">
        <f t="shared" si="295"/>
        <v>0</v>
      </c>
      <c r="VW55" s="1">
        <f t="shared" si="295"/>
        <v>0</v>
      </c>
      <c r="VX55" s="1">
        <f t="shared" si="295"/>
        <v>0</v>
      </c>
      <c r="VY55" s="1">
        <f t="shared" si="295"/>
        <v>0</v>
      </c>
      <c r="VZ55" s="1">
        <f t="shared" si="295"/>
        <v>0</v>
      </c>
      <c r="WA55" s="1">
        <f t="shared" si="295"/>
        <v>0</v>
      </c>
      <c r="WB55" s="1">
        <f t="shared" si="295"/>
        <v>0</v>
      </c>
      <c r="WC55" s="1">
        <f t="shared" si="295"/>
        <v>0</v>
      </c>
      <c r="WD55" s="1">
        <f t="shared" si="295"/>
        <v>0</v>
      </c>
      <c r="WE55" s="1">
        <f t="shared" si="295"/>
        <v>0</v>
      </c>
      <c r="WF55" s="1">
        <f t="shared" si="295"/>
        <v>0</v>
      </c>
      <c r="WG55" s="1">
        <f t="shared" si="295"/>
        <v>0</v>
      </c>
      <c r="WH55" s="1">
        <f t="shared" si="295"/>
        <v>0</v>
      </c>
      <c r="WI55" s="1">
        <f t="shared" si="295"/>
        <v>0</v>
      </c>
      <c r="WJ55" s="1">
        <f t="shared" si="295"/>
        <v>0</v>
      </c>
      <c r="WK55" s="1">
        <f t="shared" si="295"/>
        <v>0</v>
      </c>
      <c r="WL55" s="1">
        <f t="shared" si="295"/>
        <v>0</v>
      </c>
      <c r="WM55" s="1">
        <f t="shared" si="295"/>
        <v>0</v>
      </c>
      <c r="WN55" s="1">
        <f t="shared" si="295"/>
        <v>0</v>
      </c>
      <c r="WO55" s="1">
        <f t="shared" si="295"/>
        <v>0</v>
      </c>
      <c r="WP55" s="1">
        <f t="shared" si="295"/>
        <v>0</v>
      </c>
      <c r="WQ55" s="1">
        <f t="shared" si="295"/>
        <v>0</v>
      </c>
      <c r="WR55" s="1">
        <f t="shared" si="295"/>
        <v>0</v>
      </c>
      <c r="WS55" s="1">
        <f t="shared" si="295"/>
        <v>0</v>
      </c>
      <c r="WT55" s="1">
        <f t="shared" si="295"/>
        <v>0</v>
      </c>
      <c r="WU55" s="1">
        <f t="shared" si="295"/>
        <v>0</v>
      </c>
      <c r="WV55" s="1">
        <f t="shared" si="295"/>
        <v>0</v>
      </c>
      <c r="WW55" s="1">
        <f t="shared" si="295"/>
        <v>0</v>
      </c>
      <c r="WX55" s="1">
        <f t="shared" si="295"/>
        <v>0</v>
      </c>
      <c r="WY55" s="1">
        <f t="shared" si="295"/>
        <v>0</v>
      </c>
      <c r="WZ55" s="1">
        <f t="shared" si="295"/>
        <v>0</v>
      </c>
      <c r="XA55" s="1">
        <f t="shared" si="295"/>
        <v>0</v>
      </c>
      <c r="XB55" s="1">
        <f t="shared" si="295"/>
        <v>0</v>
      </c>
      <c r="XC55" s="1">
        <f t="shared" si="295"/>
        <v>0</v>
      </c>
      <c r="XD55" s="1">
        <f t="shared" si="295"/>
        <v>0</v>
      </c>
      <c r="XE55" s="1">
        <f t="shared" si="295"/>
        <v>0</v>
      </c>
      <c r="XF55" s="1">
        <f t="shared" ref="XF55:ZQ55" si="296">XF39</f>
        <v>0</v>
      </c>
      <c r="XG55" s="1">
        <f t="shared" si="296"/>
        <v>0</v>
      </c>
      <c r="XH55" s="1">
        <f t="shared" si="296"/>
        <v>0</v>
      </c>
      <c r="XI55" s="1">
        <f t="shared" si="296"/>
        <v>0</v>
      </c>
      <c r="XJ55" s="1">
        <f t="shared" si="296"/>
        <v>0</v>
      </c>
      <c r="XK55" s="1">
        <f t="shared" si="296"/>
        <v>0</v>
      </c>
      <c r="XL55" s="1">
        <f t="shared" si="296"/>
        <v>0</v>
      </c>
      <c r="XM55" s="1">
        <f t="shared" si="296"/>
        <v>0</v>
      </c>
      <c r="XN55" s="1">
        <f t="shared" si="296"/>
        <v>0</v>
      </c>
      <c r="XO55" s="1">
        <f t="shared" si="296"/>
        <v>0</v>
      </c>
      <c r="XP55" s="1">
        <f t="shared" si="296"/>
        <v>0</v>
      </c>
      <c r="XQ55" s="1">
        <f t="shared" si="296"/>
        <v>0</v>
      </c>
      <c r="XR55" s="1">
        <f t="shared" si="296"/>
        <v>0</v>
      </c>
      <c r="XS55" s="1">
        <f t="shared" si="296"/>
        <v>0</v>
      </c>
      <c r="XT55" s="1">
        <f t="shared" si="296"/>
        <v>0</v>
      </c>
      <c r="XU55" s="1">
        <f t="shared" si="296"/>
        <v>0</v>
      </c>
      <c r="XV55" s="1">
        <f t="shared" si="296"/>
        <v>0</v>
      </c>
      <c r="XW55" s="1">
        <f t="shared" si="296"/>
        <v>0</v>
      </c>
      <c r="XX55" s="1">
        <f t="shared" si="296"/>
        <v>0</v>
      </c>
      <c r="XY55" s="1">
        <f t="shared" si="296"/>
        <v>0</v>
      </c>
      <c r="XZ55" s="1">
        <f t="shared" si="296"/>
        <v>0</v>
      </c>
      <c r="YA55" s="1">
        <f t="shared" si="296"/>
        <v>0</v>
      </c>
      <c r="YB55" s="1">
        <f t="shared" si="296"/>
        <v>0</v>
      </c>
      <c r="YC55" s="1">
        <f t="shared" si="296"/>
        <v>0</v>
      </c>
      <c r="YD55" s="1">
        <f t="shared" si="296"/>
        <v>0</v>
      </c>
      <c r="YE55" s="1">
        <f t="shared" si="296"/>
        <v>0</v>
      </c>
      <c r="YF55" s="1">
        <f t="shared" si="296"/>
        <v>0</v>
      </c>
      <c r="YG55" s="1">
        <f t="shared" si="296"/>
        <v>0</v>
      </c>
      <c r="YH55" s="1">
        <f t="shared" si="296"/>
        <v>0</v>
      </c>
      <c r="YI55" s="1">
        <f t="shared" si="296"/>
        <v>0</v>
      </c>
      <c r="YJ55" s="1">
        <f t="shared" si="296"/>
        <v>0</v>
      </c>
      <c r="YK55" s="1">
        <f t="shared" si="296"/>
        <v>0</v>
      </c>
      <c r="YL55" s="1">
        <f t="shared" si="296"/>
        <v>0</v>
      </c>
      <c r="YM55" s="1">
        <f t="shared" si="296"/>
        <v>0</v>
      </c>
      <c r="YN55" s="1">
        <f t="shared" si="296"/>
        <v>0</v>
      </c>
      <c r="YO55" s="1">
        <f t="shared" si="296"/>
        <v>0</v>
      </c>
      <c r="YP55" s="1">
        <f t="shared" si="296"/>
        <v>0</v>
      </c>
      <c r="YQ55" s="1">
        <f t="shared" si="296"/>
        <v>0</v>
      </c>
      <c r="YR55" s="1">
        <f t="shared" si="296"/>
        <v>0</v>
      </c>
      <c r="YS55" s="1">
        <f t="shared" si="296"/>
        <v>0</v>
      </c>
      <c r="YT55" s="1">
        <f t="shared" si="296"/>
        <v>0</v>
      </c>
      <c r="YU55" s="1">
        <f t="shared" si="296"/>
        <v>0</v>
      </c>
      <c r="YV55" s="1">
        <f t="shared" si="296"/>
        <v>0</v>
      </c>
      <c r="YW55" s="1">
        <f t="shared" si="296"/>
        <v>0</v>
      </c>
      <c r="YX55" s="1">
        <f t="shared" si="296"/>
        <v>0</v>
      </c>
      <c r="YY55" s="1">
        <f t="shared" si="296"/>
        <v>0</v>
      </c>
      <c r="YZ55" s="1">
        <f t="shared" si="296"/>
        <v>0</v>
      </c>
      <c r="ZA55" s="1">
        <f t="shared" si="296"/>
        <v>0</v>
      </c>
      <c r="ZB55" s="1">
        <f t="shared" si="296"/>
        <v>0</v>
      </c>
      <c r="ZC55" s="1">
        <f t="shared" si="296"/>
        <v>0</v>
      </c>
      <c r="ZD55" s="1">
        <f t="shared" si="296"/>
        <v>0</v>
      </c>
      <c r="ZE55" s="1">
        <f t="shared" si="296"/>
        <v>0</v>
      </c>
      <c r="ZF55" s="1">
        <f t="shared" si="296"/>
        <v>0</v>
      </c>
      <c r="ZG55" s="1">
        <f t="shared" si="296"/>
        <v>0</v>
      </c>
      <c r="ZH55" s="1">
        <f t="shared" si="296"/>
        <v>0</v>
      </c>
      <c r="ZI55" s="1">
        <f t="shared" si="296"/>
        <v>0</v>
      </c>
      <c r="ZJ55" s="1">
        <f t="shared" si="296"/>
        <v>0</v>
      </c>
      <c r="ZK55" s="1">
        <f t="shared" si="296"/>
        <v>0</v>
      </c>
      <c r="ZL55" s="1">
        <f t="shared" si="296"/>
        <v>0</v>
      </c>
      <c r="ZM55" s="1">
        <f t="shared" si="296"/>
        <v>0</v>
      </c>
      <c r="ZN55" s="1">
        <f t="shared" si="296"/>
        <v>0</v>
      </c>
      <c r="ZO55" s="1">
        <f t="shared" si="296"/>
        <v>0</v>
      </c>
      <c r="ZP55" s="1">
        <f t="shared" si="296"/>
        <v>0</v>
      </c>
      <c r="ZQ55" s="1">
        <f t="shared" si="296"/>
        <v>0</v>
      </c>
      <c r="ZR55" s="1">
        <f t="shared" ref="ZR55:ACC55" si="297">ZR39</f>
        <v>0</v>
      </c>
      <c r="ZS55" s="1">
        <f t="shared" si="297"/>
        <v>0</v>
      </c>
      <c r="ZT55" s="1">
        <f t="shared" si="297"/>
        <v>0</v>
      </c>
      <c r="ZU55" s="1">
        <f t="shared" si="297"/>
        <v>0</v>
      </c>
      <c r="ZV55" s="1">
        <f t="shared" si="297"/>
        <v>0</v>
      </c>
      <c r="ZW55" s="1">
        <f t="shared" si="297"/>
        <v>0</v>
      </c>
      <c r="ZX55" s="1">
        <f t="shared" si="297"/>
        <v>0</v>
      </c>
      <c r="ZY55" s="1">
        <f t="shared" si="297"/>
        <v>0</v>
      </c>
      <c r="ZZ55" s="1">
        <f t="shared" si="297"/>
        <v>0</v>
      </c>
      <c r="AAA55" s="1">
        <f t="shared" si="297"/>
        <v>0</v>
      </c>
      <c r="AAB55" s="1">
        <f t="shared" si="297"/>
        <v>0</v>
      </c>
      <c r="AAC55" s="1">
        <f t="shared" si="297"/>
        <v>0</v>
      </c>
      <c r="AAD55" s="1">
        <f t="shared" si="297"/>
        <v>0</v>
      </c>
      <c r="AAE55" s="1">
        <f t="shared" si="297"/>
        <v>0</v>
      </c>
      <c r="AAF55" s="1">
        <f t="shared" si="297"/>
        <v>0</v>
      </c>
      <c r="AAG55" s="1">
        <f t="shared" si="297"/>
        <v>0</v>
      </c>
      <c r="AAH55" s="1">
        <f t="shared" si="297"/>
        <v>0</v>
      </c>
      <c r="AAI55" s="1">
        <f t="shared" si="297"/>
        <v>0</v>
      </c>
      <c r="AAJ55" s="1">
        <f t="shared" si="297"/>
        <v>0</v>
      </c>
      <c r="AAK55" s="1">
        <f t="shared" si="297"/>
        <v>0</v>
      </c>
      <c r="AAL55" s="1">
        <f t="shared" si="297"/>
        <v>0</v>
      </c>
      <c r="AAM55" s="1">
        <f t="shared" si="297"/>
        <v>0</v>
      </c>
      <c r="AAN55" s="1">
        <f t="shared" si="297"/>
        <v>0</v>
      </c>
      <c r="AAO55" s="1">
        <f t="shared" si="297"/>
        <v>0</v>
      </c>
      <c r="AAP55" s="1">
        <f t="shared" si="297"/>
        <v>0</v>
      </c>
      <c r="AAQ55" s="1">
        <f t="shared" si="297"/>
        <v>0</v>
      </c>
      <c r="AAR55" s="1">
        <f t="shared" si="297"/>
        <v>0</v>
      </c>
      <c r="AAS55" s="1">
        <f t="shared" si="297"/>
        <v>0</v>
      </c>
      <c r="AAT55" s="1">
        <f t="shared" si="297"/>
        <v>0</v>
      </c>
      <c r="AAU55" s="1">
        <f t="shared" si="297"/>
        <v>0</v>
      </c>
      <c r="AAV55" s="1">
        <f t="shared" si="297"/>
        <v>0</v>
      </c>
      <c r="AAW55" s="1">
        <f t="shared" si="297"/>
        <v>0</v>
      </c>
      <c r="AAX55" s="1">
        <f t="shared" si="297"/>
        <v>0</v>
      </c>
      <c r="AAY55" s="1">
        <f t="shared" si="297"/>
        <v>0</v>
      </c>
      <c r="AAZ55" s="1">
        <f t="shared" si="297"/>
        <v>0</v>
      </c>
      <c r="ABA55" s="1">
        <f t="shared" si="297"/>
        <v>0</v>
      </c>
      <c r="ABB55" s="1">
        <f t="shared" si="297"/>
        <v>0</v>
      </c>
      <c r="ABC55" s="1">
        <f t="shared" si="297"/>
        <v>0</v>
      </c>
      <c r="ABD55" s="1">
        <f t="shared" si="297"/>
        <v>0</v>
      </c>
      <c r="ABE55" s="1">
        <f t="shared" si="297"/>
        <v>0</v>
      </c>
      <c r="ABF55" s="1">
        <f t="shared" si="297"/>
        <v>0</v>
      </c>
      <c r="ABG55" s="1">
        <f t="shared" si="297"/>
        <v>0</v>
      </c>
      <c r="ABH55" s="1">
        <f t="shared" si="297"/>
        <v>0</v>
      </c>
      <c r="ABI55" s="1">
        <f t="shared" si="297"/>
        <v>0</v>
      </c>
      <c r="ABJ55" s="1">
        <f t="shared" si="297"/>
        <v>0</v>
      </c>
      <c r="ABK55" s="1">
        <f t="shared" si="297"/>
        <v>0</v>
      </c>
      <c r="ABL55" s="1">
        <f t="shared" si="297"/>
        <v>0</v>
      </c>
      <c r="ABM55" s="1">
        <f t="shared" si="297"/>
        <v>0</v>
      </c>
      <c r="ABN55" s="1">
        <f t="shared" si="297"/>
        <v>0</v>
      </c>
      <c r="ABO55" s="1">
        <f t="shared" si="297"/>
        <v>0</v>
      </c>
      <c r="ABP55" s="1">
        <f t="shared" si="297"/>
        <v>0</v>
      </c>
      <c r="ABQ55" s="1">
        <f t="shared" si="297"/>
        <v>0</v>
      </c>
      <c r="ABR55" s="1">
        <f t="shared" si="297"/>
        <v>0</v>
      </c>
      <c r="ABS55" s="1">
        <f t="shared" si="297"/>
        <v>0</v>
      </c>
      <c r="ABT55" s="1">
        <f t="shared" si="297"/>
        <v>0</v>
      </c>
      <c r="ABU55" s="1">
        <f t="shared" si="297"/>
        <v>0</v>
      </c>
      <c r="ABV55" s="1">
        <f t="shared" si="297"/>
        <v>0</v>
      </c>
      <c r="ABW55" s="1">
        <f t="shared" si="297"/>
        <v>0</v>
      </c>
      <c r="ABX55" s="1">
        <f t="shared" si="297"/>
        <v>0</v>
      </c>
      <c r="ABY55" s="1">
        <f t="shared" si="297"/>
        <v>0</v>
      </c>
      <c r="ABZ55" s="1">
        <f t="shared" si="297"/>
        <v>0</v>
      </c>
      <c r="ACA55" s="1">
        <f t="shared" si="297"/>
        <v>0</v>
      </c>
      <c r="ACB55" s="1">
        <f t="shared" si="297"/>
        <v>0</v>
      </c>
      <c r="ACC55" s="1">
        <f t="shared" si="297"/>
        <v>0</v>
      </c>
      <c r="ACD55" s="1">
        <f t="shared" ref="ACD55:AEO55" si="298">ACD39</f>
        <v>0</v>
      </c>
      <c r="ACE55" s="1">
        <f t="shared" si="298"/>
        <v>0</v>
      </c>
      <c r="ACF55" s="1">
        <f t="shared" si="298"/>
        <v>0</v>
      </c>
      <c r="ACG55" s="1">
        <f t="shared" si="298"/>
        <v>0</v>
      </c>
      <c r="ACH55" s="1">
        <f t="shared" si="298"/>
        <v>0</v>
      </c>
      <c r="ACI55" s="1">
        <f t="shared" si="298"/>
        <v>0</v>
      </c>
      <c r="ACJ55" s="1">
        <f t="shared" si="298"/>
        <v>0</v>
      </c>
      <c r="ACK55" s="1">
        <f t="shared" si="298"/>
        <v>0</v>
      </c>
      <c r="ACL55" s="1">
        <f t="shared" si="298"/>
        <v>0</v>
      </c>
      <c r="ACM55" s="1">
        <f t="shared" si="298"/>
        <v>0</v>
      </c>
      <c r="ACN55" s="1">
        <f t="shared" si="298"/>
        <v>0</v>
      </c>
      <c r="ACO55" s="1">
        <f t="shared" si="298"/>
        <v>0</v>
      </c>
      <c r="ACP55" s="1">
        <f t="shared" si="298"/>
        <v>0</v>
      </c>
      <c r="ACQ55" s="1">
        <f t="shared" si="298"/>
        <v>0</v>
      </c>
      <c r="ACR55" s="1">
        <f t="shared" si="298"/>
        <v>0</v>
      </c>
      <c r="ACS55" s="1">
        <f t="shared" si="298"/>
        <v>0</v>
      </c>
      <c r="ACT55" s="1">
        <f t="shared" si="298"/>
        <v>0</v>
      </c>
      <c r="ACU55" s="1">
        <f t="shared" si="298"/>
        <v>0</v>
      </c>
      <c r="ACV55" s="1">
        <f t="shared" si="298"/>
        <v>0</v>
      </c>
      <c r="ACW55" s="1">
        <f t="shared" si="298"/>
        <v>0</v>
      </c>
      <c r="ACX55" s="1">
        <f t="shared" si="298"/>
        <v>0</v>
      </c>
      <c r="ACY55" s="1">
        <f t="shared" si="298"/>
        <v>0</v>
      </c>
      <c r="ACZ55" s="1">
        <f t="shared" si="298"/>
        <v>0</v>
      </c>
      <c r="ADA55" s="1">
        <f t="shared" si="298"/>
        <v>0</v>
      </c>
      <c r="ADB55" s="1">
        <f t="shared" si="298"/>
        <v>0</v>
      </c>
      <c r="ADC55" s="1">
        <f t="shared" si="298"/>
        <v>0</v>
      </c>
      <c r="ADD55" s="1">
        <f t="shared" si="298"/>
        <v>0</v>
      </c>
      <c r="ADE55" s="1">
        <f t="shared" si="298"/>
        <v>0</v>
      </c>
      <c r="ADF55" s="1">
        <f t="shared" si="298"/>
        <v>0</v>
      </c>
      <c r="ADG55" s="1">
        <f t="shared" si="298"/>
        <v>0</v>
      </c>
      <c r="ADH55" s="1">
        <f t="shared" si="298"/>
        <v>0</v>
      </c>
      <c r="ADI55" s="1">
        <f t="shared" si="298"/>
        <v>0</v>
      </c>
      <c r="ADJ55" s="1">
        <f t="shared" si="298"/>
        <v>0</v>
      </c>
      <c r="ADK55" s="1">
        <f t="shared" si="298"/>
        <v>0</v>
      </c>
      <c r="ADL55" s="1">
        <f t="shared" si="298"/>
        <v>0</v>
      </c>
      <c r="ADM55" s="1">
        <f t="shared" si="298"/>
        <v>0</v>
      </c>
      <c r="ADN55" s="1">
        <f t="shared" si="298"/>
        <v>0</v>
      </c>
      <c r="ADO55" s="1">
        <f t="shared" si="298"/>
        <v>0</v>
      </c>
      <c r="ADP55" s="1">
        <f t="shared" si="298"/>
        <v>0</v>
      </c>
      <c r="ADQ55" s="1">
        <f t="shared" si="298"/>
        <v>0</v>
      </c>
      <c r="ADR55" s="1">
        <f t="shared" si="298"/>
        <v>0</v>
      </c>
      <c r="ADS55" s="1">
        <f t="shared" si="298"/>
        <v>0</v>
      </c>
      <c r="ADT55" s="1">
        <f t="shared" si="298"/>
        <v>0</v>
      </c>
      <c r="ADU55" s="1">
        <f t="shared" si="298"/>
        <v>0</v>
      </c>
      <c r="ADV55" s="1">
        <f t="shared" si="298"/>
        <v>0</v>
      </c>
      <c r="ADW55" s="1">
        <f t="shared" si="298"/>
        <v>0</v>
      </c>
      <c r="ADX55" s="1">
        <f t="shared" si="298"/>
        <v>0</v>
      </c>
      <c r="ADY55" s="1">
        <f t="shared" si="298"/>
        <v>0</v>
      </c>
      <c r="ADZ55" s="1">
        <f t="shared" si="298"/>
        <v>0</v>
      </c>
      <c r="AEA55" s="1">
        <f t="shared" si="298"/>
        <v>0</v>
      </c>
      <c r="AEB55" s="1">
        <f t="shared" si="298"/>
        <v>0</v>
      </c>
      <c r="AEC55" s="1">
        <f t="shared" si="298"/>
        <v>0</v>
      </c>
      <c r="AED55" s="1">
        <f t="shared" si="298"/>
        <v>0</v>
      </c>
      <c r="AEE55" s="1">
        <f t="shared" si="298"/>
        <v>0</v>
      </c>
      <c r="AEF55" s="1">
        <f t="shared" si="298"/>
        <v>0</v>
      </c>
      <c r="AEG55" s="1">
        <f t="shared" si="298"/>
        <v>0</v>
      </c>
      <c r="AEH55" s="1">
        <f t="shared" si="298"/>
        <v>0</v>
      </c>
      <c r="AEI55" s="1">
        <f t="shared" si="298"/>
        <v>0</v>
      </c>
      <c r="AEJ55" s="1">
        <f t="shared" si="298"/>
        <v>0</v>
      </c>
      <c r="AEK55" s="1">
        <f t="shared" si="298"/>
        <v>0</v>
      </c>
      <c r="AEL55" s="1">
        <f t="shared" si="298"/>
        <v>0</v>
      </c>
      <c r="AEM55" s="1">
        <f t="shared" si="298"/>
        <v>0</v>
      </c>
      <c r="AEN55" s="1">
        <f t="shared" si="298"/>
        <v>0</v>
      </c>
      <c r="AEO55" s="1">
        <f t="shared" si="298"/>
        <v>0</v>
      </c>
      <c r="AEP55" s="1">
        <f t="shared" ref="AEP55:AHA55" si="299">AEP39</f>
        <v>0</v>
      </c>
      <c r="AEQ55" s="1">
        <f t="shared" si="299"/>
        <v>0</v>
      </c>
      <c r="AER55" s="1">
        <f t="shared" si="299"/>
        <v>0</v>
      </c>
      <c r="AES55" s="1">
        <f t="shared" si="299"/>
        <v>0</v>
      </c>
      <c r="AET55" s="1">
        <f t="shared" si="299"/>
        <v>0</v>
      </c>
      <c r="AEU55" s="1">
        <f t="shared" si="299"/>
        <v>0</v>
      </c>
      <c r="AEV55" s="1">
        <f t="shared" si="299"/>
        <v>0</v>
      </c>
      <c r="AEW55" s="1">
        <f t="shared" si="299"/>
        <v>0</v>
      </c>
      <c r="AEX55" s="1">
        <f t="shared" si="299"/>
        <v>0</v>
      </c>
      <c r="AEY55" s="1">
        <f t="shared" si="299"/>
        <v>0</v>
      </c>
      <c r="AEZ55" s="1">
        <f t="shared" si="299"/>
        <v>0</v>
      </c>
      <c r="AFA55" s="1">
        <f t="shared" si="299"/>
        <v>0</v>
      </c>
      <c r="AFB55" s="1">
        <f t="shared" si="299"/>
        <v>0</v>
      </c>
      <c r="AFC55" s="1">
        <f t="shared" si="299"/>
        <v>0</v>
      </c>
      <c r="AFD55" s="1">
        <f t="shared" si="299"/>
        <v>0</v>
      </c>
      <c r="AFE55" s="1">
        <f t="shared" si="299"/>
        <v>0</v>
      </c>
      <c r="AFF55" s="1">
        <f t="shared" si="299"/>
        <v>0</v>
      </c>
      <c r="AFG55" s="1">
        <f t="shared" si="299"/>
        <v>0</v>
      </c>
      <c r="AFH55" s="1">
        <f t="shared" si="299"/>
        <v>0</v>
      </c>
      <c r="AFI55" s="1">
        <f t="shared" si="299"/>
        <v>0</v>
      </c>
      <c r="AFJ55" s="1">
        <f t="shared" si="299"/>
        <v>0</v>
      </c>
      <c r="AFK55" s="1">
        <f t="shared" si="299"/>
        <v>0</v>
      </c>
      <c r="AFL55" s="1">
        <f t="shared" si="299"/>
        <v>0</v>
      </c>
      <c r="AFM55" s="1">
        <f t="shared" si="299"/>
        <v>0</v>
      </c>
      <c r="AFN55" s="1">
        <f t="shared" si="299"/>
        <v>0</v>
      </c>
      <c r="AFO55" s="1">
        <f t="shared" si="299"/>
        <v>0</v>
      </c>
      <c r="AFP55" s="1">
        <f t="shared" si="299"/>
        <v>0</v>
      </c>
      <c r="AFQ55" s="1">
        <f t="shared" si="299"/>
        <v>0</v>
      </c>
      <c r="AFR55" s="1">
        <f t="shared" si="299"/>
        <v>0</v>
      </c>
      <c r="AFS55" s="1">
        <f t="shared" si="299"/>
        <v>0</v>
      </c>
      <c r="AFT55" s="1">
        <f t="shared" si="299"/>
        <v>0</v>
      </c>
      <c r="AFU55" s="1">
        <f t="shared" si="299"/>
        <v>0</v>
      </c>
      <c r="AFV55" s="1">
        <f t="shared" si="299"/>
        <v>0</v>
      </c>
      <c r="AFW55" s="1">
        <f t="shared" si="299"/>
        <v>0</v>
      </c>
      <c r="AFX55" s="1">
        <f t="shared" si="299"/>
        <v>0</v>
      </c>
      <c r="AFY55" s="1">
        <f t="shared" si="299"/>
        <v>0</v>
      </c>
      <c r="AFZ55" s="1">
        <f t="shared" si="299"/>
        <v>0</v>
      </c>
      <c r="AGA55" s="1">
        <f t="shared" si="299"/>
        <v>0</v>
      </c>
      <c r="AGB55" s="1">
        <f t="shared" si="299"/>
        <v>0</v>
      </c>
      <c r="AGC55" s="1">
        <f t="shared" si="299"/>
        <v>0</v>
      </c>
      <c r="AGD55" s="1">
        <f t="shared" si="299"/>
        <v>0</v>
      </c>
      <c r="AGE55" s="1">
        <f t="shared" si="299"/>
        <v>0</v>
      </c>
      <c r="AGF55" s="1">
        <f t="shared" si="299"/>
        <v>0</v>
      </c>
      <c r="AGG55" s="1">
        <f t="shared" si="299"/>
        <v>0</v>
      </c>
      <c r="AGH55" s="1">
        <f t="shared" si="299"/>
        <v>0</v>
      </c>
      <c r="AGI55" s="1">
        <f t="shared" si="299"/>
        <v>0</v>
      </c>
      <c r="AGJ55" s="1">
        <f t="shared" si="299"/>
        <v>0</v>
      </c>
      <c r="AGK55" s="1">
        <f t="shared" si="299"/>
        <v>0</v>
      </c>
      <c r="AGL55" s="1">
        <f t="shared" si="299"/>
        <v>0</v>
      </c>
      <c r="AGM55" s="1">
        <f t="shared" si="299"/>
        <v>0</v>
      </c>
      <c r="AGN55" s="1">
        <f t="shared" si="299"/>
        <v>0</v>
      </c>
      <c r="AGO55" s="1">
        <f t="shared" si="299"/>
        <v>0</v>
      </c>
      <c r="AGP55" s="1">
        <f t="shared" si="299"/>
        <v>0</v>
      </c>
      <c r="AGQ55" s="1">
        <f t="shared" si="299"/>
        <v>0</v>
      </c>
      <c r="AGR55" s="1">
        <f t="shared" si="299"/>
        <v>0</v>
      </c>
      <c r="AGS55" s="1">
        <f t="shared" si="299"/>
        <v>0</v>
      </c>
      <c r="AGT55" s="1">
        <f t="shared" si="299"/>
        <v>0</v>
      </c>
      <c r="AGU55" s="1">
        <f t="shared" si="299"/>
        <v>0</v>
      </c>
      <c r="AGV55" s="1">
        <f t="shared" si="299"/>
        <v>0</v>
      </c>
      <c r="AGW55" s="1">
        <f t="shared" si="299"/>
        <v>0</v>
      </c>
      <c r="AGX55" s="1">
        <f t="shared" si="299"/>
        <v>0</v>
      </c>
      <c r="AGY55" s="1">
        <f t="shared" si="299"/>
        <v>0</v>
      </c>
      <c r="AGZ55" s="1">
        <f t="shared" si="299"/>
        <v>0</v>
      </c>
      <c r="AHA55" s="1">
        <f t="shared" si="299"/>
        <v>0</v>
      </c>
      <c r="AHB55" s="1">
        <f t="shared" ref="AHB55:AJM55" si="300">AHB39</f>
        <v>0</v>
      </c>
      <c r="AHC55" s="1">
        <f t="shared" si="300"/>
        <v>0</v>
      </c>
      <c r="AHD55" s="1">
        <f t="shared" si="300"/>
        <v>0</v>
      </c>
      <c r="AHE55" s="1">
        <f t="shared" si="300"/>
        <v>0</v>
      </c>
      <c r="AHF55" s="1">
        <f t="shared" si="300"/>
        <v>0</v>
      </c>
      <c r="AHG55" s="1">
        <f t="shared" si="300"/>
        <v>0</v>
      </c>
      <c r="AHH55" s="1">
        <f t="shared" si="300"/>
        <v>0</v>
      </c>
      <c r="AHI55" s="1">
        <f t="shared" si="300"/>
        <v>0</v>
      </c>
      <c r="AHJ55" s="1">
        <f t="shared" si="300"/>
        <v>0</v>
      </c>
      <c r="AHK55" s="1">
        <f t="shared" si="300"/>
        <v>0</v>
      </c>
      <c r="AHL55" s="1">
        <f t="shared" si="300"/>
        <v>0</v>
      </c>
      <c r="AHM55" s="1">
        <f t="shared" si="300"/>
        <v>0</v>
      </c>
      <c r="AHN55" s="1">
        <f t="shared" si="300"/>
        <v>0</v>
      </c>
      <c r="AHO55" s="1">
        <f t="shared" si="300"/>
        <v>0</v>
      </c>
      <c r="AHP55" s="1">
        <f t="shared" si="300"/>
        <v>0</v>
      </c>
      <c r="AHQ55" s="1">
        <f t="shared" si="300"/>
        <v>0</v>
      </c>
      <c r="AHR55" s="1">
        <f t="shared" si="300"/>
        <v>0</v>
      </c>
      <c r="AHS55" s="1">
        <f t="shared" si="300"/>
        <v>0</v>
      </c>
      <c r="AHT55" s="1">
        <f t="shared" si="300"/>
        <v>0</v>
      </c>
      <c r="AHU55" s="1">
        <f t="shared" si="300"/>
        <v>0</v>
      </c>
      <c r="AHV55" s="1">
        <f t="shared" si="300"/>
        <v>0</v>
      </c>
      <c r="AHW55" s="1">
        <f t="shared" si="300"/>
        <v>0</v>
      </c>
      <c r="AHX55" s="1">
        <f t="shared" si="300"/>
        <v>0</v>
      </c>
      <c r="AHY55" s="1">
        <f t="shared" si="300"/>
        <v>0</v>
      </c>
      <c r="AHZ55" s="1">
        <f t="shared" si="300"/>
        <v>0</v>
      </c>
      <c r="AIA55" s="1">
        <f t="shared" si="300"/>
        <v>0</v>
      </c>
      <c r="AIB55" s="1">
        <f t="shared" si="300"/>
        <v>0</v>
      </c>
      <c r="AIC55" s="1">
        <f t="shared" si="300"/>
        <v>0</v>
      </c>
      <c r="AID55" s="1">
        <f t="shared" si="300"/>
        <v>0</v>
      </c>
      <c r="AIE55" s="1">
        <f t="shared" si="300"/>
        <v>0</v>
      </c>
      <c r="AIF55" s="1">
        <f t="shared" si="300"/>
        <v>0</v>
      </c>
      <c r="AIG55" s="1">
        <f t="shared" si="300"/>
        <v>0</v>
      </c>
      <c r="AIH55" s="1">
        <f t="shared" si="300"/>
        <v>0</v>
      </c>
      <c r="AII55" s="1">
        <f t="shared" si="300"/>
        <v>0</v>
      </c>
      <c r="AIJ55" s="1">
        <f t="shared" si="300"/>
        <v>0</v>
      </c>
      <c r="AIK55" s="1">
        <f t="shared" si="300"/>
        <v>0</v>
      </c>
      <c r="AIL55" s="1">
        <f t="shared" si="300"/>
        <v>0</v>
      </c>
      <c r="AIM55" s="1">
        <f t="shared" si="300"/>
        <v>0</v>
      </c>
      <c r="AIN55" s="1">
        <f t="shared" si="300"/>
        <v>0</v>
      </c>
      <c r="AIO55" s="1">
        <f t="shared" si="300"/>
        <v>0</v>
      </c>
      <c r="AIP55" s="1">
        <f t="shared" si="300"/>
        <v>0</v>
      </c>
      <c r="AIQ55" s="1">
        <f t="shared" si="300"/>
        <v>0</v>
      </c>
      <c r="AIR55" s="1">
        <f t="shared" si="300"/>
        <v>0</v>
      </c>
      <c r="AIS55" s="1">
        <f t="shared" si="300"/>
        <v>0</v>
      </c>
      <c r="AIT55" s="1">
        <f t="shared" si="300"/>
        <v>0</v>
      </c>
      <c r="AIU55" s="1">
        <f t="shared" si="300"/>
        <v>0</v>
      </c>
      <c r="AIV55" s="1">
        <f t="shared" si="300"/>
        <v>0</v>
      </c>
      <c r="AIW55" s="1">
        <f t="shared" si="300"/>
        <v>0</v>
      </c>
      <c r="AIX55" s="1">
        <f t="shared" si="300"/>
        <v>0</v>
      </c>
      <c r="AIY55" s="1">
        <f t="shared" si="300"/>
        <v>0</v>
      </c>
      <c r="AIZ55" s="1">
        <f t="shared" si="300"/>
        <v>0</v>
      </c>
      <c r="AJA55" s="1">
        <f t="shared" si="300"/>
        <v>0</v>
      </c>
      <c r="AJB55" s="1">
        <f t="shared" si="300"/>
        <v>0</v>
      </c>
      <c r="AJC55" s="1">
        <f t="shared" si="300"/>
        <v>0</v>
      </c>
      <c r="AJD55" s="1">
        <f t="shared" si="300"/>
        <v>0</v>
      </c>
      <c r="AJE55" s="1">
        <f t="shared" si="300"/>
        <v>0</v>
      </c>
      <c r="AJF55" s="1">
        <f t="shared" si="300"/>
        <v>0</v>
      </c>
      <c r="AJG55" s="1">
        <f t="shared" si="300"/>
        <v>0</v>
      </c>
      <c r="AJH55" s="1">
        <f t="shared" si="300"/>
        <v>0</v>
      </c>
      <c r="AJI55" s="1">
        <f t="shared" si="300"/>
        <v>0</v>
      </c>
      <c r="AJJ55" s="1">
        <f t="shared" si="300"/>
        <v>0</v>
      </c>
      <c r="AJK55" s="1">
        <f t="shared" si="300"/>
        <v>0</v>
      </c>
      <c r="AJL55" s="1">
        <f t="shared" si="300"/>
        <v>0</v>
      </c>
      <c r="AJM55" s="1">
        <f t="shared" si="300"/>
        <v>0</v>
      </c>
      <c r="AJN55" s="1">
        <f t="shared" ref="AJN55:ALM55" si="301">AJN39</f>
        <v>0</v>
      </c>
      <c r="AJO55" s="1">
        <f t="shared" si="301"/>
        <v>0</v>
      </c>
      <c r="AJP55" s="1">
        <f t="shared" si="301"/>
        <v>0</v>
      </c>
      <c r="AJQ55" s="1">
        <f t="shared" si="301"/>
        <v>0</v>
      </c>
      <c r="AJR55" s="1">
        <f t="shared" si="301"/>
        <v>0</v>
      </c>
      <c r="AJS55" s="1">
        <f t="shared" si="301"/>
        <v>0</v>
      </c>
      <c r="AJT55" s="1">
        <f t="shared" si="301"/>
        <v>0</v>
      </c>
      <c r="AJU55" s="1">
        <f t="shared" si="301"/>
        <v>0</v>
      </c>
      <c r="AJV55" s="1">
        <f t="shared" si="301"/>
        <v>0</v>
      </c>
      <c r="AJW55" s="1">
        <f t="shared" si="301"/>
        <v>0</v>
      </c>
      <c r="AJX55" s="1">
        <f t="shared" si="301"/>
        <v>0</v>
      </c>
      <c r="AJY55" s="1">
        <f t="shared" si="301"/>
        <v>0</v>
      </c>
      <c r="AJZ55" s="1">
        <f t="shared" si="301"/>
        <v>0</v>
      </c>
      <c r="AKA55" s="1">
        <f t="shared" si="301"/>
        <v>0</v>
      </c>
      <c r="AKB55" s="1">
        <f t="shared" si="301"/>
        <v>0</v>
      </c>
      <c r="AKC55" s="1">
        <f t="shared" si="301"/>
        <v>0</v>
      </c>
      <c r="AKD55" s="1">
        <f t="shared" si="301"/>
        <v>0</v>
      </c>
      <c r="AKE55" s="1">
        <f t="shared" si="301"/>
        <v>0</v>
      </c>
      <c r="AKF55" s="1">
        <f t="shared" si="301"/>
        <v>0</v>
      </c>
      <c r="AKG55" s="1">
        <f t="shared" si="301"/>
        <v>0</v>
      </c>
      <c r="AKH55" s="1">
        <f t="shared" si="301"/>
        <v>0</v>
      </c>
      <c r="AKI55" s="1">
        <f t="shared" si="301"/>
        <v>0</v>
      </c>
      <c r="AKJ55" s="1">
        <f t="shared" si="301"/>
        <v>0</v>
      </c>
      <c r="AKK55" s="1">
        <f t="shared" si="301"/>
        <v>0</v>
      </c>
      <c r="AKL55" s="1">
        <f t="shared" si="301"/>
        <v>0</v>
      </c>
      <c r="AKM55" s="1">
        <f t="shared" si="301"/>
        <v>0</v>
      </c>
      <c r="AKN55" s="1">
        <f t="shared" si="301"/>
        <v>0</v>
      </c>
      <c r="AKO55" s="1">
        <f t="shared" si="301"/>
        <v>0</v>
      </c>
      <c r="AKP55" s="1">
        <f t="shared" si="301"/>
        <v>0</v>
      </c>
      <c r="AKQ55" s="1">
        <f t="shared" si="301"/>
        <v>0</v>
      </c>
      <c r="AKR55" s="1">
        <f t="shared" si="301"/>
        <v>0</v>
      </c>
      <c r="AKS55" s="1">
        <f t="shared" si="301"/>
        <v>0</v>
      </c>
      <c r="AKT55" s="1">
        <f t="shared" si="301"/>
        <v>0</v>
      </c>
      <c r="AKU55" s="1">
        <f t="shared" si="301"/>
        <v>0</v>
      </c>
      <c r="AKV55" s="1">
        <f t="shared" si="301"/>
        <v>0</v>
      </c>
      <c r="AKW55" s="1">
        <f t="shared" si="301"/>
        <v>0</v>
      </c>
      <c r="AKX55" s="1">
        <f t="shared" si="301"/>
        <v>0</v>
      </c>
      <c r="AKY55" s="1">
        <f t="shared" si="301"/>
        <v>0</v>
      </c>
      <c r="AKZ55" s="1">
        <f t="shared" si="301"/>
        <v>0</v>
      </c>
      <c r="ALA55" s="1">
        <f t="shared" si="301"/>
        <v>0</v>
      </c>
      <c r="ALB55" s="1">
        <f t="shared" si="301"/>
        <v>0</v>
      </c>
      <c r="ALC55" s="1">
        <f t="shared" si="301"/>
        <v>0</v>
      </c>
      <c r="ALD55" s="1">
        <f t="shared" si="301"/>
        <v>0</v>
      </c>
      <c r="ALE55" s="1">
        <f t="shared" si="301"/>
        <v>0</v>
      </c>
      <c r="ALF55" s="1">
        <f t="shared" si="301"/>
        <v>0</v>
      </c>
      <c r="ALG55" s="1">
        <f t="shared" si="301"/>
        <v>0</v>
      </c>
      <c r="ALH55" s="1">
        <f t="shared" si="301"/>
        <v>0</v>
      </c>
      <c r="ALI55" s="1">
        <f t="shared" si="301"/>
        <v>0</v>
      </c>
      <c r="ALJ55" s="1">
        <f t="shared" si="301"/>
        <v>0</v>
      </c>
      <c r="ALK55" s="1">
        <f t="shared" si="301"/>
        <v>0</v>
      </c>
      <c r="ALL55" s="1">
        <f t="shared" si="301"/>
        <v>0</v>
      </c>
      <c r="ALM55" s="1">
        <f t="shared" si="301"/>
        <v>0</v>
      </c>
    </row>
    <row r="56" spans="1:1001">
      <c r="A56" s="27"/>
      <c r="B56">
        <f>B40-B21</f>
        <v>0</v>
      </c>
      <c r="C56">
        <f t="shared" ref="C56:BN56" si="302">C40-C21</f>
        <v>0</v>
      </c>
      <c r="D56">
        <f t="shared" si="302"/>
        <v>0</v>
      </c>
      <c r="E56">
        <f t="shared" si="302"/>
        <v>0</v>
      </c>
      <c r="F56">
        <f t="shared" si="302"/>
        <v>0</v>
      </c>
      <c r="G56">
        <f t="shared" si="302"/>
        <v>0</v>
      </c>
      <c r="H56">
        <f t="shared" si="302"/>
        <v>0</v>
      </c>
      <c r="I56">
        <f t="shared" si="302"/>
        <v>0</v>
      </c>
      <c r="J56">
        <f t="shared" si="302"/>
        <v>0</v>
      </c>
      <c r="K56">
        <f t="shared" si="302"/>
        <v>0</v>
      </c>
      <c r="L56">
        <f t="shared" si="302"/>
        <v>0</v>
      </c>
      <c r="M56">
        <f t="shared" si="302"/>
        <v>0</v>
      </c>
      <c r="N56">
        <f t="shared" si="302"/>
        <v>0</v>
      </c>
      <c r="O56">
        <f t="shared" si="302"/>
        <v>0</v>
      </c>
      <c r="P56">
        <f t="shared" si="302"/>
        <v>0</v>
      </c>
      <c r="Q56">
        <f t="shared" si="302"/>
        <v>0</v>
      </c>
      <c r="R56">
        <f t="shared" si="302"/>
        <v>0</v>
      </c>
      <c r="S56">
        <f t="shared" si="302"/>
        <v>0</v>
      </c>
      <c r="T56">
        <f t="shared" si="302"/>
        <v>0</v>
      </c>
      <c r="U56">
        <f t="shared" si="302"/>
        <v>0</v>
      </c>
      <c r="V56">
        <f t="shared" si="302"/>
        <v>0</v>
      </c>
      <c r="W56">
        <f t="shared" si="302"/>
        <v>0</v>
      </c>
      <c r="X56">
        <f t="shared" si="302"/>
        <v>0</v>
      </c>
      <c r="Y56">
        <f t="shared" si="302"/>
        <v>0</v>
      </c>
      <c r="Z56">
        <f t="shared" si="302"/>
        <v>0</v>
      </c>
      <c r="AA56">
        <f t="shared" si="302"/>
        <v>0</v>
      </c>
      <c r="AB56">
        <f t="shared" si="302"/>
        <v>0</v>
      </c>
      <c r="AC56">
        <f t="shared" si="302"/>
        <v>0</v>
      </c>
      <c r="AD56">
        <f t="shared" si="302"/>
        <v>0</v>
      </c>
      <c r="AE56">
        <f t="shared" si="302"/>
        <v>0</v>
      </c>
      <c r="AF56">
        <f t="shared" si="302"/>
        <v>0</v>
      </c>
      <c r="AG56">
        <f t="shared" si="302"/>
        <v>0</v>
      </c>
      <c r="AH56">
        <f t="shared" si="302"/>
        <v>0</v>
      </c>
      <c r="AI56">
        <f t="shared" si="302"/>
        <v>0</v>
      </c>
      <c r="AJ56">
        <f t="shared" si="302"/>
        <v>0</v>
      </c>
      <c r="AK56">
        <f t="shared" si="302"/>
        <v>0</v>
      </c>
      <c r="AL56">
        <f t="shared" si="302"/>
        <v>0</v>
      </c>
      <c r="AM56">
        <f t="shared" si="302"/>
        <v>0</v>
      </c>
      <c r="AN56">
        <f t="shared" si="302"/>
        <v>0</v>
      </c>
      <c r="AO56">
        <f t="shared" si="302"/>
        <v>0</v>
      </c>
      <c r="AP56">
        <f t="shared" si="302"/>
        <v>0</v>
      </c>
      <c r="AQ56">
        <f t="shared" si="302"/>
        <v>0</v>
      </c>
      <c r="AR56">
        <f t="shared" si="302"/>
        <v>0</v>
      </c>
      <c r="AS56">
        <f t="shared" si="302"/>
        <v>0</v>
      </c>
      <c r="AT56">
        <f t="shared" si="302"/>
        <v>0</v>
      </c>
      <c r="AU56">
        <f t="shared" si="302"/>
        <v>0</v>
      </c>
      <c r="AV56">
        <f t="shared" si="302"/>
        <v>0</v>
      </c>
      <c r="AW56">
        <f t="shared" si="302"/>
        <v>0</v>
      </c>
      <c r="AX56">
        <f t="shared" si="302"/>
        <v>0</v>
      </c>
      <c r="AY56">
        <f t="shared" si="302"/>
        <v>0</v>
      </c>
      <c r="AZ56">
        <f t="shared" si="302"/>
        <v>0</v>
      </c>
      <c r="BA56">
        <f t="shared" si="302"/>
        <v>0</v>
      </c>
      <c r="BB56">
        <f t="shared" si="302"/>
        <v>0</v>
      </c>
      <c r="BC56">
        <f t="shared" si="302"/>
        <v>0</v>
      </c>
      <c r="BD56">
        <f t="shared" si="302"/>
        <v>0</v>
      </c>
      <c r="BE56">
        <f t="shared" si="302"/>
        <v>0</v>
      </c>
      <c r="BF56">
        <f t="shared" si="302"/>
        <v>0</v>
      </c>
      <c r="BG56">
        <f t="shared" si="302"/>
        <v>0</v>
      </c>
      <c r="BH56">
        <f t="shared" si="302"/>
        <v>0</v>
      </c>
      <c r="BI56">
        <f t="shared" si="302"/>
        <v>0</v>
      </c>
      <c r="BJ56">
        <f t="shared" si="302"/>
        <v>0</v>
      </c>
      <c r="BK56">
        <f t="shared" si="302"/>
        <v>0</v>
      </c>
      <c r="BL56">
        <f t="shared" si="302"/>
        <v>0</v>
      </c>
      <c r="BM56">
        <f t="shared" si="302"/>
        <v>0</v>
      </c>
      <c r="BN56">
        <f t="shared" si="302"/>
        <v>0</v>
      </c>
      <c r="BO56">
        <f t="shared" ref="BO56:DZ56" si="303">BO40-BO21</f>
        <v>0</v>
      </c>
      <c r="BP56">
        <f t="shared" si="303"/>
        <v>0</v>
      </c>
      <c r="BQ56">
        <f t="shared" si="303"/>
        <v>0</v>
      </c>
      <c r="BR56">
        <f t="shared" si="303"/>
        <v>0</v>
      </c>
      <c r="BS56">
        <f t="shared" si="303"/>
        <v>0</v>
      </c>
      <c r="BT56">
        <f t="shared" si="303"/>
        <v>0</v>
      </c>
      <c r="BU56">
        <f t="shared" si="303"/>
        <v>0</v>
      </c>
      <c r="BV56">
        <f t="shared" si="303"/>
        <v>0</v>
      </c>
      <c r="BW56">
        <f t="shared" si="303"/>
        <v>0</v>
      </c>
      <c r="BX56">
        <f t="shared" si="303"/>
        <v>0</v>
      </c>
      <c r="BY56">
        <f t="shared" si="303"/>
        <v>0</v>
      </c>
      <c r="BZ56">
        <f t="shared" si="303"/>
        <v>0</v>
      </c>
      <c r="CA56">
        <f t="shared" si="303"/>
        <v>0</v>
      </c>
      <c r="CB56">
        <f t="shared" si="303"/>
        <v>0</v>
      </c>
      <c r="CC56">
        <f t="shared" si="303"/>
        <v>0</v>
      </c>
      <c r="CD56">
        <f t="shared" si="303"/>
        <v>0</v>
      </c>
      <c r="CE56">
        <f t="shared" si="303"/>
        <v>0</v>
      </c>
      <c r="CF56">
        <f t="shared" si="303"/>
        <v>0</v>
      </c>
      <c r="CG56">
        <f t="shared" si="303"/>
        <v>0</v>
      </c>
      <c r="CH56">
        <f t="shared" si="303"/>
        <v>0</v>
      </c>
      <c r="CI56">
        <f t="shared" si="303"/>
        <v>0</v>
      </c>
      <c r="CJ56">
        <f t="shared" si="303"/>
        <v>0</v>
      </c>
      <c r="CK56">
        <f t="shared" si="303"/>
        <v>0</v>
      </c>
      <c r="CL56">
        <f t="shared" si="303"/>
        <v>0</v>
      </c>
      <c r="CM56">
        <f t="shared" si="303"/>
        <v>0</v>
      </c>
      <c r="CN56">
        <f t="shared" si="303"/>
        <v>0</v>
      </c>
      <c r="CO56">
        <f t="shared" si="303"/>
        <v>0</v>
      </c>
      <c r="CP56">
        <f t="shared" si="303"/>
        <v>0</v>
      </c>
      <c r="CQ56">
        <f t="shared" si="303"/>
        <v>0</v>
      </c>
      <c r="CR56">
        <f t="shared" si="303"/>
        <v>0</v>
      </c>
      <c r="CS56">
        <f t="shared" si="303"/>
        <v>0</v>
      </c>
      <c r="CT56">
        <f t="shared" si="303"/>
        <v>0</v>
      </c>
      <c r="CU56">
        <f t="shared" si="303"/>
        <v>0</v>
      </c>
      <c r="CV56">
        <f t="shared" si="303"/>
        <v>0</v>
      </c>
      <c r="CW56">
        <f t="shared" si="303"/>
        <v>0</v>
      </c>
      <c r="CX56">
        <f t="shared" si="303"/>
        <v>0</v>
      </c>
      <c r="CY56">
        <f t="shared" si="303"/>
        <v>0</v>
      </c>
      <c r="CZ56">
        <f t="shared" si="303"/>
        <v>0</v>
      </c>
      <c r="DA56">
        <f t="shared" si="303"/>
        <v>0</v>
      </c>
      <c r="DB56">
        <f t="shared" si="303"/>
        <v>0</v>
      </c>
      <c r="DC56">
        <f t="shared" si="303"/>
        <v>0</v>
      </c>
      <c r="DD56">
        <f t="shared" si="303"/>
        <v>0</v>
      </c>
      <c r="DE56">
        <f t="shared" si="303"/>
        <v>0</v>
      </c>
      <c r="DF56">
        <f t="shared" si="303"/>
        <v>0</v>
      </c>
      <c r="DG56">
        <f t="shared" si="303"/>
        <v>0</v>
      </c>
      <c r="DH56">
        <f t="shared" si="303"/>
        <v>0</v>
      </c>
      <c r="DI56">
        <f t="shared" si="303"/>
        <v>0</v>
      </c>
      <c r="DJ56">
        <f t="shared" si="303"/>
        <v>0</v>
      </c>
      <c r="DK56">
        <f t="shared" si="303"/>
        <v>0</v>
      </c>
      <c r="DL56">
        <f t="shared" si="303"/>
        <v>0</v>
      </c>
      <c r="DM56">
        <f t="shared" si="303"/>
        <v>0</v>
      </c>
      <c r="DN56">
        <f t="shared" si="303"/>
        <v>0</v>
      </c>
      <c r="DO56">
        <f t="shared" si="303"/>
        <v>0</v>
      </c>
      <c r="DP56">
        <f t="shared" si="303"/>
        <v>0</v>
      </c>
      <c r="DQ56">
        <f t="shared" si="303"/>
        <v>0</v>
      </c>
      <c r="DR56">
        <f t="shared" si="303"/>
        <v>0</v>
      </c>
      <c r="DS56">
        <f t="shared" si="303"/>
        <v>0</v>
      </c>
      <c r="DT56">
        <f t="shared" si="303"/>
        <v>0</v>
      </c>
      <c r="DU56">
        <f t="shared" si="303"/>
        <v>0</v>
      </c>
      <c r="DV56">
        <f t="shared" si="303"/>
        <v>0</v>
      </c>
      <c r="DW56">
        <f t="shared" si="303"/>
        <v>0</v>
      </c>
      <c r="DX56">
        <f t="shared" si="303"/>
        <v>0</v>
      </c>
      <c r="DY56">
        <f t="shared" si="303"/>
        <v>0</v>
      </c>
      <c r="DZ56">
        <f t="shared" si="303"/>
        <v>0</v>
      </c>
      <c r="EA56">
        <f t="shared" ref="EA56:GL56" si="304">EA40-EA21</f>
        <v>0</v>
      </c>
      <c r="EB56">
        <f t="shared" si="304"/>
        <v>0</v>
      </c>
      <c r="EC56">
        <f t="shared" si="304"/>
        <v>0</v>
      </c>
      <c r="ED56">
        <f t="shared" si="304"/>
        <v>0</v>
      </c>
      <c r="EE56">
        <f t="shared" si="304"/>
        <v>0</v>
      </c>
      <c r="EF56">
        <f t="shared" si="304"/>
        <v>0</v>
      </c>
      <c r="EG56">
        <f t="shared" si="304"/>
        <v>0</v>
      </c>
      <c r="EH56">
        <f t="shared" si="304"/>
        <v>0</v>
      </c>
      <c r="EI56">
        <f t="shared" si="304"/>
        <v>0</v>
      </c>
      <c r="EJ56">
        <f t="shared" si="304"/>
        <v>0</v>
      </c>
      <c r="EK56">
        <f t="shared" si="304"/>
        <v>0</v>
      </c>
      <c r="EL56">
        <f t="shared" si="304"/>
        <v>0</v>
      </c>
      <c r="EM56">
        <f t="shared" si="304"/>
        <v>0</v>
      </c>
      <c r="EN56">
        <f t="shared" si="304"/>
        <v>0</v>
      </c>
      <c r="EO56">
        <f t="shared" si="304"/>
        <v>0</v>
      </c>
      <c r="EP56">
        <f t="shared" si="304"/>
        <v>0</v>
      </c>
      <c r="EQ56">
        <f t="shared" si="304"/>
        <v>0</v>
      </c>
      <c r="ER56">
        <f t="shared" si="304"/>
        <v>0</v>
      </c>
      <c r="ES56">
        <f t="shared" si="304"/>
        <v>0</v>
      </c>
      <c r="ET56">
        <f t="shared" si="304"/>
        <v>0</v>
      </c>
      <c r="EU56">
        <f t="shared" si="304"/>
        <v>0</v>
      </c>
      <c r="EV56">
        <f t="shared" si="304"/>
        <v>0</v>
      </c>
      <c r="EW56">
        <f t="shared" si="304"/>
        <v>0</v>
      </c>
      <c r="EX56">
        <f t="shared" si="304"/>
        <v>0</v>
      </c>
      <c r="EY56">
        <f t="shared" si="304"/>
        <v>0</v>
      </c>
      <c r="EZ56">
        <f t="shared" si="304"/>
        <v>0</v>
      </c>
      <c r="FA56">
        <f t="shared" si="304"/>
        <v>0</v>
      </c>
      <c r="FB56">
        <f t="shared" si="304"/>
        <v>0</v>
      </c>
      <c r="FC56">
        <f t="shared" si="304"/>
        <v>0</v>
      </c>
      <c r="FD56">
        <f t="shared" si="304"/>
        <v>0</v>
      </c>
      <c r="FE56">
        <f t="shared" si="304"/>
        <v>0</v>
      </c>
      <c r="FF56">
        <f t="shared" si="304"/>
        <v>0</v>
      </c>
      <c r="FG56">
        <f t="shared" si="304"/>
        <v>0</v>
      </c>
      <c r="FH56">
        <f t="shared" si="304"/>
        <v>0</v>
      </c>
      <c r="FI56">
        <f t="shared" si="304"/>
        <v>0</v>
      </c>
      <c r="FJ56">
        <f t="shared" si="304"/>
        <v>0</v>
      </c>
      <c r="FK56">
        <f t="shared" si="304"/>
        <v>0</v>
      </c>
      <c r="FL56">
        <f t="shared" si="304"/>
        <v>0</v>
      </c>
      <c r="FM56">
        <f t="shared" si="304"/>
        <v>0</v>
      </c>
      <c r="FN56" s="1">
        <f t="shared" si="304"/>
        <v>0</v>
      </c>
      <c r="FO56" s="1">
        <f t="shared" si="304"/>
        <v>0</v>
      </c>
      <c r="FP56" s="1">
        <f t="shared" si="304"/>
        <v>0</v>
      </c>
      <c r="FQ56" s="1">
        <f t="shared" si="304"/>
        <v>0</v>
      </c>
      <c r="FR56" s="1">
        <f t="shared" si="304"/>
        <v>0</v>
      </c>
      <c r="FS56" s="1">
        <f t="shared" si="304"/>
        <v>0</v>
      </c>
      <c r="FT56" s="1">
        <f t="shared" si="304"/>
        <v>0</v>
      </c>
      <c r="FU56" s="1">
        <f t="shared" si="304"/>
        <v>0</v>
      </c>
      <c r="FV56" s="1">
        <f t="shared" si="304"/>
        <v>0</v>
      </c>
      <c r="FW56" s="1">
        <f t="shared" si="304"/>
        <v>0</v>
      </c>
      <c r="FX56" s="1">
        <f t="shared" si="304"/>
        <v>0</v>
      </c>
      <c r="FY56" s="1">
        <f t="shared" si="304"/>
        <v>0</v>
      </c>
      <c r="FZ56" s="1">
        <f t="shared" si="304"/>
        <v>0</v>
      </c>
      <c r="GA56" s="1">
        <f t="shared" si="304"/>
        <v>0</v>
      </c>
      <c r="GB56" s="1">
        <f t="shared" si="304"/>
        <v>0</v>
      </c>
      <c r="GC56" s="1">
        <f t="shared" si="304"/>
        <v>0</v>
      </c>
      <c r="GD56" s="1">
        <f t="shared" si="304"/>
        <v>0</v>
      </c>
      <c r="GE56" s="1">
        <f t="shared" si="304"/>
        <v>0</v>
      </c>
      <c r="GF56" s="1">
        <f t="shared" si="304"/>
        <v>0</v>
      </c>
      <c r="GG56" s="1">
        <f t="shared" si="304"/>
        <v>0</v>
      </c>
      <c r="GH56" s="1">
        <f t="shared" si="304"/>
        <v>0</v>
      </c>
      <c r="GI56" s="1">
        <f t="shared" si="304"/>
        <v>0</v>
      </c>
      <c r="GJ56" s="1">
        <f t="shared" si="304"/>
        <v>0</v>
      </c>
      <c r="GK56" s="1">
        <f t="shared" si="304"/>
        <v>0</v>
      </c>
      <c r="GL56" s="1">
        <f t="shared" si="304"/>
        <v>0</v>
      </c>
      <c r="GM56" s="1">
        <f t="shared" ref="GM56:IX56" si="305">GM40-GM21</f>
        <v>0</v>
      </c>
      <c r="GN56" s="1">
        <f t="shared" si="305"/>
        <v>0</v>
      </c>
      <c r="GO56" s="1">
        <f t="shared" si="305"/>
        <v>0</v>
      </c>
      <c r="GP56" s="1">
        <f t="shared" si="305"/>
        <v>0</v>
      </c>
      <c r="GQ56" s="1">
        <f t="shared" si="305"/>
        <v>0</v>
      </c>
      <c r="GR56" s="1">
        <f t="shared" si="305"/>
        <v>0</v>
      </c>
      <c r="GS56" s="1">
        <f t="shared" si="305"/>
        <v>0</v>
      </c>
      <c r="GT56" s="1">
        <f t="shared" si="305"/>
        <v>0</v>
      </c>
      <c r="GU56" s="1">
        <f t="shared" si="305"/>
        <v>0</v>
      </c>
      <c r="GV56" s="1">
        <f t="shared" si="305"/>
        <v>0</v>
      </c>
      <c r="GW56" s="1">
        <f t="shared" si="305"/>
        <v>0</v>
      </c>
      <c r="GX56" s="1">
        <f t="shared" si="305"/>
        <v>0</v>
      </c>
      <c r="GY56" s="1">
        <f t="shared" si="305"/>
        <v>0</v>
      </c>
      <c r="GZ56" s="1">
        <f t="shared" si="305"/>
        <v>0</v>
      </c>
      <c r="HA56" s="1">
        <f t="shared" si="305"/>
        <v>0</v>
      </c>
      <c r="HB56" s="1">
        <f t="shared" si="305"/>
        <v>0</v>
      </c>
      <c r="HC56" s="1">
        <f t="shared" si="305"/>
        <v>0</v>
      </c>
      <c r="HD56" s="1">
        <f t="shared" si="305"/>
        <v>0</v>
      </c>
      <c r="HE56" s="1">
        <f t="shared" si="305"/>
        <v>0</v>
      </c>
      <c r="HF56" s="1">
        <f t="shared" si="305"/>
        <v>0</v>
      </c>
      <c r="HG56" s="1">
        <f t="shared" si="305"/>
        <v>0</v>
      </c>
      <c r="HH56" s="1">
        <f t="shared" si="305"/>
        <v>0</v>
      </c>
      <c r="HI56" s="1">
        <f t="shared" si="305"/>
        <v>0</v>
      </c>
      <c r="HJ56" s="1">
        <f t="shared" si="305"/>
        <v>0</v>
      </c>
      <c r="HK56" s="1">
        <f t="shared" si="305"/>
        <v>0</v>
      </c>
      <c r="HL56" s="1">
        <f t="shared" si="305"/>
        <v>0</v>
      </c>
      <c r="HM56" s="1">
        <f t="shared" si="305"/>
        <v>0</v>
      </c>
      <c r="HN56" s="1">
        <f t="shared" si="305"/>
        <v>0</v>
      </c>
      <c r="HO56" s="1">
        <f t="shared" si="305"/>
        <v>0</v>
      </c>
      <c r="HP56" s="1">
        <f t="shared" si="305"/>
        <v>0</v>
      </c>
      <c r="HQ56" s="1">
        <f t="shared" si="305"/>
        <v>0</v>
      </c>
      <c r="HR56" s="1">
        <f t="shared" si="305"/>
        <v>0</v>
      </c>
      <c r="HS56" s="1">
        <f t="shared" si="305"/>
        <v>0</v>
      </c>
      <c r="HT56" s="1">
        <f t="shared" si="305"/>
        <v>0</v>
      </c>
      <c r="HU56" s="1">
        <f t="shared" si="305"/>
        <v>0</v>
      </c>
      <c r="HV56" s="1">
        <f t="shared" si="305"/>
        <v>0</v>
      </c>
      <c r="HW56" s="1">
        <f t="shared" si="305"/>
        <v>0</v>
      </c>
      <c r="HX56" s="1">
        <f t="shared" si="305"/>
        <v>0</v>
      </c>
      <c r="HY56" s="1">
        <f t="shared" si="305"/>
        <v>0</v>
      </c>
      <c r="HZ56" s="1">
        <f t="shared" si="305"/>
        <v>0</v>
      </c>
      <c r="IA56" s="1">
        <f t="shared" si="305"/>
        <v>0</v>
      </c>
      <c r="IB56" s="1">
        <f t="shared" si="305"/>
        <v>0</v>
      </c>
      <c r="IC56" s="1">
        <f t="shared" si="305"/>
        <v>0</v>
      </c>
      <c r="ID56" s="1">
        <f t="shared" si="305"/>
        <v>0</v>
      </c>
      <c r="IE56" s="1">
        <f t="shared" si="305"/>
        <v>0</v>
      </c>
      <c r="IF56" s="1">
        <f t="shared" si="305"/>
        <v>0</v>
      </c>
      <c r="IG56" s="1">
        <f t="shared" si="305"/>
        <v>0</v>
      </c>
      <c r="IH56" s="1">
        <f t="shared" si="305"/>
        <v>0</v>
      </c>
      <c r="II56" s="1">
        <f t="shared" si="305"/>
        <v>0</v>
      </c>
      <c r="IJ56" s="1">
        <f t="shared" si="305"/>
        <v>0</v>
      </c>
      <c r="IK56" s="1">
        <f t="shared" si="305"/>
        <v>0</v>
      </c>
      <c r="IL56" s="1">
        <f t="shared" si="305"/>
        <v>0</v>
      </c>
      <c r="IM56" s="1">
        <f t="shared" si="305"/>
        <v>0</v>
      </c>
      <c r="IN56" s="1">
        <f t="shared" si="305"/>
        <v>0</v>
      </c>
      <c r="IO56" s="1">
        <f t="shared" si="305"/>
        <v>0</v>
      </c>
      <c r="IP56" s="1">
        <f t="shared" si="305"/>
        <v>0</v>
      </c>
      <c r="IQ56" s="1">
        <f t="shared" si="305"/>
        <v>0</v>
      </c>
      <c r="IR56" s="1">
        <f t="shared" si="305"/>
        <v>0</v>
      </c>
      <c r="IS56" s="1">
        <f t="shared" si="305"/>
        <v>0</v>
      </c>
      <c r="IT56" s="1">
        <f t="shared" si="305"/>
        <v>0</v>
      </c>
      <c r="IU56" s="1">
        <f t="shared" si="305"/>
        <v>0</v>
      </c>
      <c r="IV56" s="1">
        <f t="shared" si="305"/>
        <v>0</v>
      </c>
      <c r="IW56" s="1">
        <f t="shared" si="305"/>
        <v>0</v>
      </c>
      <c r="IX56" s="1">
        <f t="shared" si="305"/>
        <v>0</v>
      </c>
      <c r="IY56" s="1">
        <f t="shared" ref="IY56:LJ56" si="306">IY40-IY21</f>
        <v>0</v>
      </c>
      <c r="IZ56" s="1">
        <f t="shared" si="306"/>
        <v>0</v>
      </c>
      <c r="JA56" s="1">
        <f t="shared" si="306"/>
        <v>0</v>
      </c>
      <c r="JB56" s="1">
        <f t="shared" si="306"/>
        <v>0</v>
      </c>
      <c r="JC56" s="1">
        <f t="shared" si="306"/>
        <v>0</v>
      </c>
      <c r="JD56" s="1">
        <f t="shared" si="306"/>
        <v>0</v>
      </c>
      <c r="JE56" s="1">
        <f t="shared" si="306"/>
        <v>0</v>
      </c>
      <c r="JF56" s="1">
        <f t="shared" si="306"/>
        <v>0</v>
      </c>
      <c r="JG56" s="1">
        <f t="shared" si="306"/>
        <v>0</v>
      </c>
      <c r="JH56" s="1">
        <f t="shared" si="306"/>
        <v>0</v>
      </c>
      <c r="JI56" s="1">
        <f t="shared" si="306"/>
        <v>0</v>
      </c>
      <c r="JJ56" s="1">
        <f t="shared" si="306"/>
        <v>0</v>
      </c>
      <c r="JK56" s="1">
        <f t="shared" si="306"/>
        <v>0</v>
      </c>
      <c r="JL56" s="1">
        <f t="shared" si="306"/>
        <v>0</v>
      </c>
      <c r="JM56" s="1">
        <f t="shared" si="306"/>
        <v>0</v>
      </c>
      <c r="JN56" s="1">
        <f t="shared" si="306"/>
        <v>0</v>
      </c>
      <c r="JO56" s="1">
        <f t="shared" si="306"/>
        <v>0</v>
      </c>
      <c r="JP56" s="1">
        <f t="shared" si="306"/>
        <v>0</v>
      </c>
      <c r="JQ56" s="1">
        <f t="shared" si="306"/>
        <v>0</v>
      </c>
      <c r="JR56" s="1">
        <f t="shared" si="306"/>
        <v>0</v>
      </c>
      <c r="JS56" s="1">
        <f t="shared" si="306"/>
        <v>0</v>
      </c>
      <c r="JT56" s="1">
        <f t="shared" si="306"/>
        <v>0</v>
      </c>
      <c r="JU56" s="1">
        <f t="shared" si="306"/>
        <v>0</v>
      </c>
      <c r="JV56" s="1">
        <f t="shared" si="306"/>
        <v>0</v>
      </c>
      <c r="JW56" s="1">
        <f t="shared" si="306"/>
        <v>0</v>
      </c>
      <c r="JX56" s="1">
        <f t="shared" si="306"/>
        <v>0</v>
      </c>
      <c r="JY56" s="1">
        <f t="shared" si="306"/>
        <v>0</v>
      </c>
      <c r="JZ56" s="1">
        <f t="shared" si="306"/>
        <v>0</v>
      </c>
      <c r="KA56" s="1">
        <f t="shared" si="306"/>
        <v>0</v>
      </c>
      <c r="KB56" s="1">
        <f t="shared" si="306"/>
        <v>0</v>
      </c>
      <c r="KC56" s="1">
        <f t="shared" si="306"/>
        <v>0</v>
      </c>
      <c r="KD56" s="1">
        <f t="shared" si="306"/>
        <v>0</v>
      </c>
      <c r="KE56" s="1">
        <f t="shared" si="306"/>
        <v>0</v>
      </c>
      <c r="KF56" s="1">
        <f t="shared" si="306"/>
        <v>0</v>
      </c>
      <c r="KG56" s="1">
        <f t="shared" si="306"/>
        <v>0</v>
      </c>
      <c r="KH56" s="1">
        <f t="shared" si="306"/>
        <v>0</v>
      </c>
      <c r="KI56" s="1">
        <f t="shared" si="306"/>
        <v>0</v>
      </c>
      <c r="KJ56" s="1">
        <f t="shared" si="306"/>
        <v>0</v>
      </c>
      <c r="KK56" s="1">
        <f t="shared" si="306"/>
        <v>0</v>
      </c>
      <c r="KL56" s="1">
        <f t="shared" si="306"/>
        <v>0</v>
      </c>
      <c r="KM56" s="1">
        <f t="shared" si="306"/>
        <v>0</v>
      </c>
      <c r="KN56" s="1">
        <f t="shared" si="306"/>
        <v>0</v>
      </c>
      <c r="KO56" s="1">
        <f t="shared" si="306"/>
        <v>0</v>
      </c>
      <c r="KP56" s="1">
        <f t="shared" si="306"/>
        <v>0</v>
      </c>
      <c r="KQ56" s="1">
        <f t="shared" si="306"/>
        <v>0</v>
      </c>
      <c r="KR56" s="1">
        <f t="shared" si="306"/>
        <v>0</v>
      </c>
      <c r="KS56" s="1">
        <f t="shared" si="306"/>
        <v>0</v>
      </c>
      <c r="KT56" s="1">
        <f t="shared" si="306"/>
        <v>0</v>
      </c>
      <c r="KU56" s="1">
        <f t="shared" si="306"/>
        <v>0</v>
      </c>
      <c r="KV56" s="1">
        <f t="shared" si="306"/>
        <v>0</v>
      </c>
      <c r="KW56" s="1">
        <f t="shared" si="306"/>
        <v>0</v>
      </c>
      <c r="KX56" s="1">
        <f t="shared" si="306"/>
        <v>0</v>
      </c>
      <c r="KY56" s="1">
        <f t="shared" si="306"/>
        <v>0</v>
      </c>
      <c r="KZ56" s="1">
        <f t="shared" si="306"/>
        <v>0</v>
      </c>
      <c r="LA56" s="1">
        <f t="shared" si="306"/>
        <v>0</v>
      </c>
      <c r="LB56" s="1">
        <f t="shared" si="306"/>
        <v>0</v>
      </c>
      <c r="LC56" s="1">
        <f t="shared" si="306"/>
        <v>0</v>
      </c>
      <c r="LD56" s="1">
        <f t="shared" si="306"/>
        <v>0</v>
      </c>
      <c r="LE56" s="1">
        <f t="shared" si="306"/>
        <v>0</v>
      </c>
      <c r="LF56" s="1">
        <f t="shared" si="306"/>
        <v>0</v>
      </c>
      <c r="LG56" s="1">
        <f t="shared" si="306"/>
        <v>0</v>
      </c>
      <c r="LH56" s="1">
        <f t="shared" si="306"/>
        <v>0</v>
      </c>
      <c r="LI56" s="1">
        <f t="shared" si="306"/>
        <v>0</v>
      </c>
      <c r="LJ56" s="1">
        <f t="shared" si="306"/>
        <v>0</v>
      </c>
      <c r="LK56" s="1">
        <f t="shared" ref="LK56:NV56" si="307">LK40-LK21</f>
        <v>0</v>
      </c>
      <c r="LL56" s="1">
        <f t="shared" si="307"/>
        <v>0</v>
      </c>
      <c r="LM56" s="1">
        <f t="shared" si="307"/>
        <v>0</v>
      </c>
      <c r="LN56" s="1">
        <f t="shared" si="307"/>
        <v>0</v>
      </c>
      <c r="LO56" s="1">
        <f t="shared" si="307"/>
        <v>0</v>
      </c>
      <c r="LP56" s="1">
        <f t="shared" si="307"/>
        <v>0</v>
      </c>
      <c r="LQ56" s="1">
        <f t="shared" si="307"/>
        <v>0</v>
      </c>
      <c r="LR56" s="1">
        <f t="shared" si="307"/>
        <v>0</v>
      </c>
      <c r="LS56" s="1">
        <f t="shared" si="307"/>
        <v>0</v>
      </c>
      <c r="LT56" s="1">
        <f t="shared" si="307"/>
        <v>0</v>
      </c>
      <c r="LU56" s="1">
        <f t="shared" si="307"/>
        <v>0</v>
      </c>
      <c r="LV56" s="1">
        <f t="shared" si="307"/>
        <v>0</v>
      </c>
      <c r="LW56" s="1">
        <f t="shared" si="307"/>
        <v>0</v>
      </c>
      <c r="LX56" s="1">
        <f t="shared" si="307"/>
        <v>0</v>
      </c>
      <c r="LY56" s="1">
        <f t="shared" si="307"/>
        <v>0</v>
      </c>
      <c r="LZ56" s="1">
        <f t="shared" si="307"/>
        <v>0</v>
      </c>
      <c r="MA56" s="1">
        <f t="shared" si="307"/>
        <v>0</v>
      </c>
      <c r="MB56" s="1">
        <f t="shared" si="307"/>
        <v>0</v>
      </c>
      <c r="MC56" s="1">
        <f t="shared" si="307"/>
        <v>0</v>
      </c>
      <c r="MD56" s="1">
        <f t="shared" si="307"/>
        <v>0</v>
      </c>
      <c r="ME56" s="1">
        <f t="shared" si="307"/>
        <v>0</v>
      </c>
      <c r="MF56" s="1">
        <f t="shared" si="307"/>
        <v>0</v>
      </c>
      <c r="MG56" s="1">
        <f t="shared" si="307"/>
        <v>0</v>
      </c>
      <c r="MH56" s="1">
        <f t="shared" si="307"/>
        <v>0</v>
      </c>
      <c r="MI56" s="1">
        <f t="shared" si="307"/>
        <v>0</v>
      </c>
      <c r="MJ56" s="1">
        <f t="shared" si="307"/>
        <v>0</v>
      </c>
      <c r="MK56" s="1">
        <f t="shared" si="307"/>
        <v>0</v>
      </c>
      <c r="ML56" s="1">
        <f t="shared" si="307"/>
        <v>0</v>
      </c>
      <c r="MM56" s="1">
        <f t="shared" si="307"/>
        <v>0</v>
      </c>
      <c r="MN56" s="1">
        <f t="shared" si="307"/>
        <v>0</v>
      </c>
      <c r="MO56" s="1">
        <f t="shared" si="307"/>
        <v>0</v>
      </c>
      <c r="MP56" s="1">
        <f t="shared" si="307"/>
        <v>0</v>
      </c>
      <c r="MQ56" s="1">
        <f t="shared" si="307"/>
        <v>0</v>
      </c>
      <c r="MR56" s="1">
        <f t="shared" si="307"/>
        <v>0</v>
      </c>
      <c r="MS56" s="1">
        <f t="shared" si="307"/>
        <v>0</v>
      </c>
      <c r="MT56" s="1">
        <f t="shared" si="307"/>
        <v>0</v>
      </c>
      <c r="MU56" s="1">
        <f t="shared" si="307"/>
        <v>0</v>
      </c>
      <c r="MV56" s="1">
        <f t="shared" si="307"/>
        <v>0</v>
      </c>
      <c r="MW56" s="1">
        <f t="shared" si="307"/>
        <v>0</v>
      </c>
      <c r="MX56" s="1">
        <f t="shared" si="307"/>
        <v>0</v>
      </c>
      <c r="MY56" s="1">
        <f t="shared" si="307"/>
        <v>0</v>
      </c>
      <c r="MZ56" s="1">
        <f t="shared" si="307"/>
        <v>0</v>
      </c>
      <c r="NA56" s="1">
        <f t="shared" si="307"/>
        <v>0</v>
      </c>
      <c r="NB56" s="1">
        <f t="shared" si="307"/>
        <v>0</v>
      </c>
      <c r="NC56" s="1">
        <f t="shared" si="307"/>
        <v>0</v>
      </c>
      <c r="ND56" s="1">
        <f t="shared" si="307"/>
        <v>0</v>
      </c>
      <c r="NE56" s="1">
        <f t="shared" si="307"/>
        <v>0</v>
      </c>
      <c r="NF56" s="1">
        <f t="shared" si="307"/>
        <v>0</v>
      </c>
      <c r="NG56" s="1">
        <f t="shared" si="307"/>
        <v>0</v>
      </c>
      <c r="NH56" s="1">
        <f t="shared" si="307"/>
        <v>0</v>
      </c>
      <c r="NI56" s="1">
        <f t="shared" si="307"/>
        <v>0</v>
      </c>
      <c r="NJ56" s="1">
        <f t="shared" si="307"/>
        <v>0</v>
      </c>
      <c r="NK56" s="1">
        <f t="shared" si="307"/>
        <v>0</v>
      </c>
      <c r="NL56" s="1">
        <f t="shared" si="307"/>
        <v>0</v>
      </c>
      <c r="NM56" s="1">
        <f t="shared" si="307"/>
        <v>0</v>
      </c>
      <c r="NN56" s="1">
        <f t="shared" si="307"/>
        <v>0</v>
      </c>
      <c r="NO56" s="1">
        <f t="shared" si="307"/>
        <v>0</v>
      </c>
      <c r="NP56" s="1">
        <f t="shared" si="307"/>
        <v>0</v>
      </c>
      <c r="NQ56" s="1">
        <f t="shared" si="307"/>
        <v>0</v>
      </c>
      <c r="NR56" s="1">
        <f t="shared" si="307"/>
        <v>0</v>
      </c>
      <c r="NS56" s="1">
        <f t="shared" si="307"/>
        <v>0</v>
      </c>
      <c r="NT56" s="1">
        <f t="shared" si="307"/>
        <v>0</v>
      </c>
      <c r="NU56" s="1">
        <f t="shared" si="307"/>
        <v>0</v>
      </c>
      <c r="NV56" s="1">
        <f t="shared" si="307"/>
        <v>0</v>
      </c>
      <c r="NW56" s="1">
        <f t="shared" ref="NW56:QH56" si="308">NW40-NW21</f>
        <v>0</v>
      </c>
      <c r="NX56" s="1">
        <f t="shared" si="308"/>
        <v>0</v>
      </c>
      <c r="NY56" s="1">
        <f t="shared" si="308"/>
        <v>0</v>
      </c>
      <c r="NZ56" s="1">
        <f t="shared" si="308"/>
        <v>0</v>
      </c>
      <c r="OA56" s="1">
        <f t="shared" si="308"/>
        <v>0</v>
      </c>
      <c r="OB56" s="1">
        <f t="shared" si="308"/>
        <v>0</v>
      </c>
      <c r="OC56" s="1">
        <f t="shared" si="308"/>
        <v>0</v>
      </c>
      <c r="OD56" s="1">
        <f t="shared" si="308"/>
        <v>0</v>
      </c>
      <c r="OE56" s="1">
        <f t="shared" si="308"/>
        <v>0</v>
      </c>
      <c r="OF56" s="1">
        <f t="shared" si="308"/>
        <v>0</v>
      </c>
      <c r="OG56" s="1">
        <f t="shared" si="308"/>
        <v>0</v>
      </c>
      <c r="OH56" s="1">
        <f t="shared" si="308"/>
        <v>0</v>
      </c>
      <c r="OI56" s="1">
        <f t="shared" si="308"/>
        <v>0</v>
      </c>
      <c r="OJ56" s="1">
        <f t="shared" si="308"/>
        <v>0</v>
      </c>
      <c r="OK56" s="1">
        <f t="shared" si="308"/>
        <v>0</v>
      </c>
      <c r="OL56" s="1">
        <f t="shared" si="308"/>
        <v>0</v>
      </c>
      <c r="OM56" s="1">
        <f t="shared" si="308"/>
        <v>0</v>
      </c>
      <c r="ON56" s="1">
        <f t="shared" si="308"/>
        <v>0</v>
      </c>
      <c r="OO56" s="1">
        <f t="shared" si="308"/>
        <v>0</v>
      </c>
      <c r="OP56" s="1">
        <f t="shared" si="308"/>
        <v>0</v>
      </c>
      <c r="OQ56" s="1">
        <f t="shared" si="308"/>
        <v>0</v>
      </c>
      <c r="OR56" s="1">
        <f t="shared" si="308"/>
        <v>0</v>
      </c>
      <c r="OS56" s="1">
        <f t="shared" si="308"/>
        <v>0</v>
      </c>
      <c r="OT56" s="1">
        <f t="shared" si="308"/>
        <v>0</v>
      </c>
      <c r="OU56" s="1">
        <f t="shared" si="308"/>
        <v>0</v>
      </c>
      <c r="OV56" s="1">
        <f t="shared" si="308"/>
        <v>0</v>
      </c>
      <c r="OW56" s="1">
        <f t="shared" si="308"/>
        <v>0</v>
      </c>
      <c r="OX56" s="1">
        <f t="shared" si="308"/>
        <v>0</v>
      </c>
      <c r="OY56" s="1">
        <f t="shared" si="308"/>
        <v>0</v>
      </c>
      <c r="OZ56" s="1">
        <f t="shared" si="308"/>
        <v>0</v>
      </c>
      <c r="PA56" s="1">
        <f t="shared" si="308"/>
        <v>0</v>
      </c>
      <c r="PB56" s="1">
        <f t="shared" si="308"/>
        <v>0</v>
      </c>
      <c r="PC56" s="1">
        <f t="shared" si="308"/>
        <v>0</v>
      </c>
      <c r="PD56" s="1">
        <f t="shared" si="308"/>
        <v>0</v>
      </c>
      <c r="PE56" s="1">
        <f t="shared" si="308"/>
        <v>0</v>
      </c>
      <c r="PF56" s="1">
        <f t="shared" si="308"/>
        <v>0</v>
      </c>
      <c r="PG56" s="1">
        <f t="shared" si="308"/>
        <v>0</v>
      </c>
      <c r="PH56" s="1">
        <f t="shared" si="308"/>
        <v>0</v>
      </c>
      <c r="PI56" s="1">
        <f t="shared" si="308"/>
        <v>0</v>
      </c>
      <c r="PJ56" s="1">
        <f t="shared" si="308"/>
        <v>0</v>
      </c>
      <c r="PK56" s="1">
        <f t="shared" si="308"/>
        <v>0</v>
      </c>
      <c r="PL56" s="1">
        <f t="shared" si="308"/>
        <v>0</v>
      </c>
      <c r="PM56" s="1">
        <f t="shared" si="308"/>
        <v>0</v>
      </c>
      <c r="PN56" s="1">
        <f t="shared" si="308"/>
        <v>0</v>
      </c>
      <c r="PO56" s="1">
        <f t="shared" si="308"/>
        <v>0</v>
      </c>
      <c r="PP56" s="1">
        <f t="shared" si="308"/>
        <v>0</v>
      </c>
      <c r="PQ56" s="1">
        <f t="shared" si="308"/>
        <v>0</v>
      </c>
      <c r="PR56" s="1">
        <f t="shared" si="308"/>
        <v>0</v>
      </c>
      <c r="PS56" s="1">
        <f t="shared" si="308"/>
        <v>0</v>
      </c>
      <c r="PT56" s="1">
        <f t="shared" si="308"/>
        <v>0</v>
      </c>
      <c r="PU56" s="1">
        <f t="shared" si="308"/>
        <v>0</v>
      </c>
      <c r="PV56" s="1">
        <f t="shared" si="308"/>
        <v>0</v>
      </c>
      <c r="PW56" s="1">
        <f t="shared" si="308"/>
        <v>0</v>
      </c>
      <c r="PX56" s="1">
        <f t="shared" si="308"/>
        <v>0</v>
      </c>
      <c r="PY56" s="1">
        <f t="shared" si="308"/>
        <v>0</v>
      </c>
      <c r="PZ56" s="1">
        <f t="shared" si="308"/>
        <v>0</v>
      </c>
      <c r="QA56" s="1">
        <f t="shared" si="308"/>
        <v>0</v>
      </c>
      <c r="QB56" s="1">
        <f t="shared" si="308"/>
        <v>0</v>
      </c>
      <c r="QC56" s="1">
        <f t="shared" si="308"/>
        <v>0</v>
      </c>
      <c r="QD56" s="1">
        <f t="shared" si="308"/>
        <v>0</v>
      </c>
      <c r="QE56" s="1">
        <f t="shared" si="308"/>
        <v>0</v>
      </c>
      <c r="QF56" s="1">
        <f t="shared" si="308"/>
        <v>0</v>
      </c>
      <c r="QG56" s="1">
        <f t="shared" si="308"/>
        <v>0</v>
      </c>
      <c r="QH56" s="1">
        <f t="shared" si="308"/>
        <v>0</v>
      </c>
      <c r="QI56" s="1">
        <f t="shared" ref="QI56:SG56" si="309">QI40-QI21</f>
        <v>0</v>
      </c>
      <c r="QJ56" s="1">
        <f t="shared" si="309"/>
        <v>0</v>
      </c>
      <c r="QK56" s="1">
        <f t="shared" si="309"/>
        <v>0</v>
      </c>
      <c r="QL56" s="1">
        <f t="shared" si="309"/>
        <v>0</v>
      </c>
      <c r="QM56" s="1">
        <f t="shared" si="309"/>
        <v>0</v>
      </c>
      <c r="QN56" s="1">
        <f t="shared" si="309"/>
        <v>0</v>
      </c>
      <c r="QO56" s="1">
        <f t="shared" si="309"/>
        <v>0</v>
      </c>
      <c r="QP56" s="1">
        <f t="shared" si="309"/>
        <v>0</v>
      </c>
      <c r="QQ56" s="1">
        <f t="shared" si="309"/>
        <v>0</v>
      </c>
      <c r="QR56" s="1">
        <f t="shared" si="309"/>
        <v>0</v>
      </c>
      <c r="QS56" s="1">
        <f t="shared" si="309"/>
        <v>0</v>
      </c>
      <c r="QT56" s="1">
        <f t="shared" si="309"/>
        <v>0</v>
      </c>
      <c r="QU56" s="1">
        <f t="shared" si="309"/>
        <v>0</v>
      </c>
      <c r="QV56" s="1">
        <f t="shared" si="309"/>
        <v>0</v>
      </c>
      <c r="QW56" s="1">
        <f t="shared" si="309"/>
        <v>0</v>
      </c>
      <c r="QX56" s="1">
        <f t="shared" si="309"/>
        <v>0</v>
      </c>
      <c r="QY56" s="1">
        <f t="shared" si="309"/>
        <v>0</v>
      </c>
      <c r="QZ56" s="1">
        <f t="shared" si="309"/>
        <v>0</v>
      </c>
      <c r="RA56" s="1">
        <f t="shared" si="309"/>
        <v>0</v>
      </c>
      <c r="RB56" s="1">
        <f t="shared" si="309"/>
        <v>0</v>
      </c>
      <c r="RC56" s="1">
        <f t="shared" si="309"/>
        <v>0</v>
      </c>
      <c r="RD56" s="1">
        <f t="shared" si="309"/>
        <v>0</v>
      </c>
      <c r="RE56" s="1">
        <f t="shared" si="309"/>
        <v>0</v>
      </c>
      <c r="RF56" s="1">
        <f t="shared" si="309"/>
        <v>0</v>
      </c>
      <c r="RG56" s="1">
        <f t="shared" si="309"/>
        <v>0</v>
      </c>
      <c r="RH56" s="1">
        <f t="shared" si="309"/>
        <v>0</v>
      </c>
      <c r="RI56" s="1">
        <f t="shared" si="309"/>
        <v>0</v>
      </c>
      <c r="RJ56" s="1">
        <f t="shared" si="309"/>
        <v>0</v>
      </c>
      <c r="RK56" s="1">
        <f t="shared" si="309"/>
        <v>0</v>
      </c>
      <c r="RL56" s="1">
        <f t="shared" si="309"/>
        <v>0</v>
      </c>
      <c r="RM56" s="1">
        <f t="shared" si="309"/>
        <v>0</v>
      </c>
      <c r="RN56" s="1">
        <f t="shared" si="309"/>
        <v>0</v>
      </c>
      <c r="RO56" s="1">
        <f t="shared" si="309"/>
        <v>0</v>
      </c>
      <c r="RP56" s="1">
        <f t="shared" si="309"/>
        <v>0</v>
      </c>
      <c r="RQ56" s="1">
        <f t="shared" si="309"/>
        <v>0</v>
      </c>
      <c r="RR56" s="1">
        <f t="shared" si="309"/>
        <v>0</v>
      </c>
      <c r="RS56" s="1">
        <f t="shared" si="309"/>
        <v>0</v>
      </c>
      <c r="RT56" s="1">
        <f t="shared" si="309"/>
        <v>0</v>
      </c>
      <c r="RU56" s="1">
        <f t="shared" si="309"/>
        <v>0</v>
      </c>
      <c r="RV56" s="1">
        <f t="shared" si="309"/>
        <v>0</v>
      </c>
      <c r="RW56" s="1">
        <f t="shared" si="309"/>
        <v>0</v>
      </c>
      <c r="RX56" s="1">
        <f t="shared" si="309"/>
        <v>0</v>
      </c>
      <c r="RY56" s="1">
        <f t="shared" si="309"/>
        <v>0</v>
      </c>
      <c r="RZ56" s="1">
        <f t="shared" si="309"/>
        <v>0</v>
      </c>
      <c r="SA56" s="1">
        <f t="shared" si="309"/>
        <v>0</v>
      </c>
      <c r="SB56" s="1">
        <f t="shared" si="309"/>
        <v>0</v>
      </c>
      <c r="SC56" s="1">
        <f t="shared" si="309"/>
        <v>0</v>
      </c>
      <c r="SD56" s="1">
        <f t="shared" si="309"/>
        <v>0</v>
      </c>
      <c r="SE56" s="1">
        <f t="shared" si="309"/>
        <v>0</v>
      </c>
      <c r="SF56" s="1">
        <f t="shared" si="309"/>
        <v>0</v>
      </c>
      <c r="SG56" s="1">
        <f t="shared" si="309"/>
        <v>0</v>
      </c>
      <c r="SH56" s="1">
        <f t="shared" ref="SH56:US56" si="310">SH40-SH21</f>
        <v>0</v>
      </c>
      <c r="SI56" s="1">
        <f t="shared" si="310"/>
        <v>0</v>
      </c>
      <c r="SJ56" s="1">
        <f t="shared" si="310"/>
        <v>0</v>
      </c>
      <c r="SK56" s="1">
        <f t="shared" si="310"/>
        <v>0</v>
      </c>
      <c r="SL56" s="1">
        <f t="shared" si="310"/>
        <v>0</v>
      </c>
      <c r="SM56" s="1">
        <f t="shared" si="310"/>
        <v>0</v>
      </c>
      <c r="SN56" s="1">
        <f t="shared" si="310"/>
        <v>0</v>
      </c>
      <c r="SO56" s="1">
        <f t="shared" si="310"/>
        <v>0</v>
      </c>
      <c r="SP56" s="1">
        <f t="shared" si="310"/>
        <v>0</v>
      </c>
      <c r="SQ56" s="1">
        <f t="shared" si="310"/>
        <v>0</v>
      </c>
      <c r="SR56" s="1">
        <f t="shared" si="310"/>
        <v>0</v>
      </c>
      <c r="SS56" s="1">
        <f t="shared" si="310"/>
        <v>0</v>
      </c>
      <c r="ST56" s="1">
        <f t="shared" si="310"/>
        <v>0</v>
      </c>
      <c r="SU56" s="1">
        <f t="shared" si="310"/>
        <v>0</v>
      </c>
      <c r="SV56" s="1">
        <f t="shared" si="310"/>
        <v>0</v>
      </c>
      <c r="SW56" s="1">
        <f t="shared" si="310"/>
        <v>0</v>
      </c>
      <c r="SX56" s="1">
        <f t="shared" si="310"/>
        <v>0</v>
      </c>
      <c r="SY56" s="1">
        <f t="shared" si="310"/>
        <v>0</v>
      </c>
      <c r="SZ56" s="1">
        <f t="shared" si="310"/>
        <v>0</v>
      </c>
      <c r="TA56" s="1">
        <f t="shared" si="310"/>
        <v>0</v>
      </c>
      <c r="TB56" s="1">
        <f t="shared" si="310"/>
        <v>0</v>
      </c>
      <c r="TC56" s="1">
        <f t="shared" si="310"/>
        <v>0</v>
      </c>
      <c r="TD56" s="1">
        <f t="shared" si="310"/>
        <v>0</v>
      </c>
      <c r="TE56" s="1">
        <f t="shared" si="310"/>
        <v>0</v>
      </c>
      <c r="TF56" s="1">
        <f t="shared" si="310"/>
        <v>0</v>
      </c>
      <c r="TG56" s="1">
        <f t="shared" si="310"/>
        <v>0</v>
      </c>
      <c r="TH56" s="1">
        <f t="shared" si="310"/>
        <v>0</v>
      </c>
      <c r="TI56" s="1">
        <f t="shared" si="310"/>
        <v>0</v>
      </c>
      <c r="TJ56" s="1">
        <f t="shared" si="310"/>
        <v>0</v>
      </c>
      <c r="TK56" s="1">
        <f t="shared" si="310"/>
        <v>0</v>
      </c>
      <c r="TL56" s="1">
        <f t="shared" si="310"/>
        <v>0</v>
      </c>
      <c r="TM56" s="1">
        <f t="shared" si="310"/>
        <v>0</v>
      </c>
      <c r="TN56" s="1">
        <f t="shared" si="310"/>
        <v>0</v>
      </c>
      <c r="TO56" s="1">
        <f t="shared" si="310"/>
        <v>0</v>
      </c>
      <c r="TP56" s="1">
        <f t="shared" si="310"/>
        <v>0</v>
      </c>
      <c r="TQ56" s="1">
        <f t="shared" si="310"/>
        <v>0</v>
      </c>
      <c r="TR56" s="1">
        <f t="shared" si="310"/>
        <v>0</v>
      </c>
      <c r="TS56" s="1">
        <f t="shared" si="310"/>
        <v>0</v>
      </c>
      <c r="TT56" s="1">
        <f t="shared" si="310"/>
        <v>0</v>
      </c>
      <c r="TU56" s="1">
        <f t="shared" si="310"/>
        <v>0</v>
      </c>
      <c r="TV56" s="1">
        <f t="shared" si="310"/>
        <v>0</v>
      </c>
      <c r="TW56" s="1">
        <f t="shared" si="310"/>
        <v>0</v>
      </c>
      <c r="TX56" s="1">
        <f t="shared" si="310"/>
        <v>0</v>
      </c>
      <c r="TY56" s="1">
        <f t="shared" si="310"/>
        <v>0</v>
      </c>
      <c r="TZ56" s="1">
        <f t="shared" si="310"/>
        <v>0</v>
      </c>
      <c r="UA56" s="1">
        <f t="shared" si="310"/>
        <v>0</v>
      </c>
      <c r="UB56" s="1">
        <f t="shared" si="310"/>
        <v>0</v>
      </c>
      <c r="UC56" s="1">
        <f t="shared" si="310"/>
        <v>0</v>
      </c>
      <c r="UD56" s="1">
        <f t="shared" si="310"/>
        <v>0</v>
      </c>
      <c r="UE56" s="1">
        <f t="shared" si="310"/>
        <v>0</v>
      </c>
      <c r="UF56" s="1">
        <f t="shared" si="310"/>
        <v>0</v>
      </c>
      <c r="UG56" s="1">
        <f t="shared" si="310"/>
        <v>0</v>
      </c>
      <c r="UH56" s="1">
        <f t="shared" si="310"/>
        <v>0</v>
      </c>
      <c r="UI56" s="1">
        <f t="shared" si="310"/>
        <v>0</v>
      </c>
      <c r="UJ56" s="1">
        <f t="shared" si="310"/>
        <v>0</v>
      </c>
      <c r="UK56" s="1">
        <f t="shared" si="310"/>
        <v>0</v>
      </c>
      <c r="UL56" s="1">
        <f t="shared" si="310"/>
        <v>0</v>
      </c>
      <c r="UM56" s="1">
        <f t="shared" si="310"/>
        <v>0</v>
      </c>
      <c r="UN56" s="1">
        <f t="shared" si="310"/>
        <v>0</v>
      </c>
      <c r="UO56" s="1">
        <f t="shared" si="310"/>
        <v>0</v>
      </c>
      <c r="UP56" s="1">
        <f t="shared" si="310"/>
        <v>0</v>
      </c>
      <c r="UQ56" s="1">
        <f t="shared" si="310"/>
        <v>0</v>
      </c>
      <c r="UR56" s="1">
        <f t="shared" si="310"/>
        <v>0</v>
      </c>
      <c r="US56" s="1">
        <f t="shared" si="310"/>
        <v>0</v>
      </c>
      <c r="UT56" s="1">
        <f t="shared" ref="UT56:XE56" si="311">UT40-UT21</f>
        <v>0</v>
      </c>
      <c r="UU56" s="1">
        <f t="shared" si="311"/>
        <v>0</v>
      </c>
      <c r="UV56" s="1">
        <f t="shared" si="311"/>
        <v>0</v>
      </c>
      <c r="UW56" s="1">
        <f t="shared" si="311"/>
        <v>0</v>
      </c>
      <c r="UX56" s="1">
        <f t="shared" si="311"/>
        <v>0</v>
      </c>
      <c r="UY56" s="1">
        <f t="shared" si="311"/>
        <v>0</v>
      </c>
      <c r="UZ56" s="1">
        <f t="shared" si="311"/>
        <v>0</v>
      </c>
      <c r="VA56" s="1">
        <f t="shared" si="311"/>
        <v>0</v>
      </c>
      <c r="VB56" s="1">
        <f t="shared" si="311"/>
        <v>0</v>
      </c>
      <c r="VC56" s="1">
        <f t="shared" si="311"/>
        <v>0</v>
      </c>
      <c r="VD56" s="1">
        <f t="shared" si="311"/>
        <v>0</v>
      </c>
      <c r="VE56" s="1">
        <f t="shared" si="311"/>
        <v>0</v>
      </c>
      <c r="VF56" s="1">
        <f t="shared" si="311"/>
        <v>0</v>
      </c>
      <c r="VG56" s="1">
        <f t="shared" si="311"/>
        <v>0</v>
      </c>
      <c r="VH56" s="1">
        <f t="shared" si="311"/>
        <v>0</v>
      </c>
      <c r="VI56" s="1">
        <f t="shared" si="311"/>
        <v>0</v>
      </c>
      <c r="VJ56" s="1">
        <f t="shared" si="311"/>
        <v>0</v>
      </c>
      <c r="VK56" s="1">
        <f t="shared" si="311"/>
        <v>0</v>
      </c>
      <c r="VL56" s="1">
        <f t="shared" si="311"/>
        <v>0</v>
      </c>
      <c r="VM56" s="1">
        <f t="shared" si="311"/>
        <v>0</v>
      </c>
      <c r="VN56" s="1">
        <f t="shared" si="311"/>
        <v>0</v>
      </c>
      <c r="VO56" s="1">
        <f t="shared" si="311"/>
        <v>0</v>
      </c>
      <c r="VP56" s="1">
        <f t="shared" si="311"/>
        <v>0</v>
      </c>
      <c r="VQ56" s="1">
        <f t="shared" si="311"/>
        <v>0</v>
      </c>
      <c r="VR56" s="1">
        <f t="shared" si="311"/>
        <v>0</v>
      </c>
      <c r="VS56" s="1">
        <f t="shared" si="311"/>
        <v>0</v>
      </c>
      <c r="VT56" s="1">
        <f t="shared" si="311"/>
        <v>0</v>
      </c>
      <c r="VU56" s="1">
        <f t="shared" si="311"/>
        <v>0</v>
      </c>
      <c r="VV56" s="1">
        <f t="shared" si="311"/>
        <v>0</v>
      </c>
      <c r="VW56" s="1">
        <f t="shared" si="311"/>
        <v>0</v>
      </c>
      <c r="VX56" s="1">
        <f t="shared" si="311"/>
        <v>0</v>
      </c>
      <c r="VY56" s="1">
        <f t="shared" si="311"/>
        <v>0</v>
      </c>
      <c r="VZ56" s="1">
        <f t="shared" si="311"/>
        <v>0</v>
      </c>
      <c r="WA56" s="1">
        <f t="shared" si="311"/>
        <v>0</v>
      </c>
      <c r="WB56" s="1">
        <f t="shared" si="311"/>
        <v>0</v>
      </c>
      <c r="WC56" s="1">
        <f t="shared" si="311"/>
        <v>0</v>
      </c>
      <c r="WD56" s="1">
        <f t="shared" si="311"/>
        <v>0</v>
      </c>
      <c r="WE56" s="1">
        <f t="shared" si="311"/>
        <v>0</v>
      </c>
      <c r="WF56" s="1">
        <f t="shared" si="311"/>
        <v>0</v>
      </c>
      <c r="WG56" s="1">
        <f t="shared" si="311"/>
        <v>0</v>
      </c>
      <c r="WH56" s="1">
        <f t="shared" si="311"/>
        <v>0</v>
      </c>
      <c r="WI56" s="1">
        <f t="shared" si="311"/>
        <v>0</v>
      </c>
      <c r="WJ56" s="1">
        <f t="shared" si="311"/>
        <v>0</v>
      </c>
      <c r="WK56" s="1">
        <f t="shared" si="311"/>
        <v>0</v>
      </c>
      <c r="WL56" s="1">
        <f t="shared" si="311"/>
        <v>0</v>
      </c>
      <c r="WM56" s="1">
        <f t="shared" si="311"/>
        <v>0</v>
      </c>
      <c r="WN56" s="1">
        <f t="shared" si="311"/>
        <v>0</v>
      </c>
      <c r="WO56" s="1">
        <f t="shared" si="311"/>
        <v>0</v>
      </c>
      <c r="WP56" s="1">
        <f t="shared" si="311"/>
        <v>0</v>
      </c>
      <c r="WQ56" s="1">
        <f t="shared" si="311"/>
        <v>0</v>
      </c>
      <c r="WR56" s="1">
        <f t="shared" si="311"/>
        <v>0</v>
      </c>
      <c r="WS56" s="1">
        <f t="shared" si="311"/>
        <v>0</v>
      </c>
      <c r="WT56" s="1">
        <f t="shared" si="311"/>
        <v>0</v>
      </c>
      <c r="WU56" s="1">
        <f t="shared" si="311"/>
        <v>0</v>
      </c>
      <c r="WV56" s="1">
        <f t="shared" si="311"/>
        <v>0</v>
      </c>
      <c r="WW56" s="1">
        <f t="shared" si="311"/>
        <v>0</v>
      </c>
      <c r="WX56" s="1">
        <f t="shared" si="311"/>
        <v>0</v>
      </c>
      <c r="WY56" s="1">
        <f t="shared" si="311"/>
        <v>0</v>
      </c>
      <c r="WZ56" s="1">
        <f t="shared" si="311"/>
        <v>0</v>
      </c>
      <c r="XA56" s="1">
        <f t="shared" si="311"/>
        <v>0</v>
      </c>
      <c r="XB56" s="1">
        <f t="shared" si="311"/>
        <v>0</v>
      </c>
      <c r="XC56" s="1">
        <f t="shared" si="311"/>
        <v>0</v>
      </c>
      <c r="XD56" s="1">
        <f t="shared" si="311"/>
        <v>0</v>
      </c>
      <c r="XE56" s="1">
        <f t="shared" si="311"/>
        <v>0</v>
      </c>
      <c r="XF56" s="1">
        <f t="shared" ref="XF56:ZQ56" si="312">XF40-XF21</f>
        <v>0</v>
      </c>
      <c r="XG56" s="1">
        <f t="shared" si="312"/>
        <v>0</v>
      </c>
      <c r="XH56" s="1">
        <f t="shared" si="312"/>
        <v>0</v>
      </c>
      <c r="XI56" s="1">
        <f t="shared" si="312"/>
        <v>0</v>
      </c>
      <c r="XJ56" s="1">
        <f t="shared" si="312"/>
        <v>0</v>
      </c>
      <c r="XK56" s="1">
        <f t="shared" si="312"/>
        <v>0</v>
      </c>
      <c r="XL56" s="1">
        <f t="shared" si="312"/>
        <v>0</v>
      </c>
      <c r="XM56" s="1">
        <f t="shared" si="312"/>
        <v>0</v>
      </c>
      <c r="XN56" s="1">
        <f t="shared" si="312"/>
        <v>0</v>
      </c>
      <c r="XO56" s="1">
        <f t="shared" si="312"/>
        <v>0</v>
      </c>
      <c r="XP56" s="1">
        <f t="shared" si="312"/>
        <v>0</v>
      </c>
      <c r="XQ56" s="1">
        <f t="shared" si="312"/>
        <v>0</v>
      </c>
      <c r="XR56" s="1">
        <f t="shared" si="312"/>
        <v>0</v>
      </c>
      <c r="XS56" s="1">
        <f t="shared" si="312"/>
        <v>0</v>
      </c>
      <c r="XT56" s="1">
        <f t="shared" si="312"/>
        <v>0</v>
      </c>
      <c r="XU56" s="1">
        <f t="shared" si="312"/>
        <v>0</v>
      </c>
      <c r="XV56" s="1">
        <f t="shared" si="312"/>
        <v>0</v>
      </c>
      <c r="XW56" s="1">
        <f t="shared" si="312"/>
        <v>0</v>
      </c>
      <c r="XX56" s="1">
        <f t="shared" si="312"/>
        <v>0</v>
      </c>
      <c r="XY56" s="1">
        <f t="shared" si="312"/>
        <v>0</v>
      </c>
      <c r="XZ56" s="1">
        <f t="shared" si="312"/>
        <v>0</v>
      </c>
      <c r="YA56" s="1">
        <f t="shared" si="312"/>
        <v>0</v>
      </c>
      <c r="YB56" s="1">
        <f t="shared" si="312"/>
        <v>0</v>
      </c>
      <c r="YC56" s="1">
        <f t="shared" si="312"/>
        <v>0</v>
      </c>
      <c r="YD56" s="1">
        <f t="shared" si="312"/>
        <v>0</v>
      </c>
      <c r="YE56" s="1">
        <f t="shared" si="312"/>
        <v>0</v>
      </c>
      <c r="YF56" s="1">
        <f t="shared" si="312"/>
        <v>0</v>
      </c>
      <c r="YG56" s="1">
        <f t="shared" si="312"/>
        <v>0</v>
      </c>
      <c r="YH56" s="1">
        <f t="shared" si="312"/>
        <v>0</v>
      </c>
      <c r="YI56" s="1">
        <f t="shared" si="312"/>
        <v>0</v>
      </c>
      <c r="YJ56" s="1">
        <f t="shared" si="312"/>
        <v>0</v>
      </c>
      <c r="YK56" s="1">
        <f t="shared" si="312"/>
        <v>0</v>
      </c>
      <c r="YL56" s="1">
        <f t="shared" si="312"/>
        <v>0</v>
      </c>
      <c r="YM56" s="1">
        <f t="shared" si="312"/>
        <v>0</v>
      </c>
      <c r="YN56" s="1">
        <f t="shared" si="312"/>
        <v>0</v>
      </c>
      <c r="YO56" s="1">
        <f t="shared" si="312"/>
        <v>0</v>
      </c>
      <c r="YP56" s="1">
        <f t="shared" si="312"/>
        <v>0</v>
      </c>
      <c r="YQ56" s="1">
        <f t="shared" si="312"/>
        <v>0</v>
      </c>
      <c r="YR56" s="1">
        <f t="shared" si="312"/>
        <v>0</v>
      </c>
      <c r="YS56" s="1">
        <f t="shared" si="312"/>
        <v>0</v>
      </c>
      <c r="YT56" s="1">
        <f t="shared" si="312"/>
        <v>0</v>
      </c>
      <c r="YU56" s="1">
        <f t="shared" si="312"/>
        <v>0</v>
      </c>
      <c r="YV56" s="1">
        <f t="shared" si="312"/>
        <v>0</v>
      </c>
      <c r="YW56" s="1">
        <f t="shared" si="312"/>
        <v>0</v>
      </c>
      <c r="YX56" s="1">
        <f t="shared" si="312"/>
        <v>0</v>
      </c>
      <c r="YY56" s="1">
        <f t="shared" si="312"/>
        <v>0</v>
      </c>
      <c r="YZ56" s="1">
        <f t="shared" si="312"/>
        <v>0</v>
      </c>
      <c r="ZA56" s="1">
        <f t="shared" si="312"/>
        <v>0</v>
      </c>
      <c r="ZB56" s="1">
        <f t="shared" si="312"/>
        <v>0</v>
      </c>
      <c r="ZC56" s="1">
        <f t="shared" si="312"/>
        <v>0</v>
      </c>
      <c r="ZD56" s="1">
        <f t="shared" si="312"/>
        <v>0</v>
      </c>
      <c r="ZE56" s="1">
        <f t="shared" si="312"/>
        <v>0</v>
      </c>
      <c r="ZF56" s="1">
        <f t="shared" si="312"/>
        <v>0</v>
      </c>
      <c r="ZG56" s="1">
        <f t="shared" si="312"/>
        <v>0</v>
      </c>
      <c r="ZH56" s="1">
        <f t="shared" si="312"/>
        <v>0</v>
      </c>
      <c r="ZI56" s="1">
        <f t="shared" si="312"/>
        <v>0</v>
      </c>
      <c r="ZJ56" s="1">
        <f t="shared" si="312"/>
        <v>0</v>
      </c>
      <c r="ZK56" s="1">
        <f t="shared" si="312"/>
        <v>0</v>
      </c>
      <c r="ZL56" s="1">
        <f t="shared" si="312"/>
        <v>0</v>
      </c>
      <c r="ZM56" s="1">
        <f t="shared" si="312"/>
        <v>0</v>
      </c>
      <c r="ZN56" s="1">
        <f t="shared" si="312"/>
        <v>0</v>
      </c>
      <c r="ZO56" s="1">
        <f t="shared" si="312"/>
        <v>0</v>
      </c>
      <c r="ZP56" s="1">
        <f t="shared" si="312"/>
        <v>0</v>
      </c>
      <c r="ZQ56" s="1">
        <f t="shared" si="312"/>
        <v>0</v>
      </c>
      <c r="ZR56" s="1">
        <f t="shared" ref="ZR56:ACC56" si="313">ZR40-ZR21</f>
        <v>0</v>
      </c>
      <c r="ZS56" s="1">
        <f t="shared" si="313"/>
        <v>0</v>
      </c>
      <c r="ZT56" s="1">
        <f t="shared" si="313"/>
        <v>0</v>
      </c>
      <c r="ZU56" s="1">
        <f t="shared" si="313"/>
        <v>0</v>
      </c>
      <c r="ZV56" s="1">
        <f t="shared" si="313"/>
        <v>0</v>
      </c>
      <c r="ZW56" s="1">
        <f t="shared" si="313"/>
        <v>0</v>
      </c>
      <c r="ZX56" s="1">
        <f t="shared" si="313"/>
        <v>0</v>
      </c>
      <c r="ZY56" s="1">
        <f t="shared" si="313"/>
        <v>0</v>
      </c>
      <c r="ZZ56" s="1">
        <f t="shared" si="313"/>
        <v>0</v>
      </c>
      <c r="AAA56" s="1">
        <f t="shared" si="313"/>
        <v>0</v>
      </c>
      <c r="AAB56" s="1">
        <f t="shared" si="313"/>
        <v>0</v>
      </c>
      <c r="AAC56" s="1">
        <f t="shared" si="313"/>
        <v>0</v>
      </c>
      <c r="AAD56" s="1">
        <f t="shared" si="313"/>
        <v>0</v>
      </c>
      <c r="AAE56" s="1">
        <f t="shared" si="313"/>
        <v>0</v>
      </c>
      <c r="AAF56" s="1">
        <f t="shared" si="313"/>
        <v>0</v>
      </c>
      <c r="AAG56" s="1">
        <f t="shared" si="313"/>
        <v>0</v>
      </c>
      <c r="AAH56" s="1">
        <f t="shared" si="313"/>
        <v>0</v>
      </c>
      <c r="AAI56" s="1">
        <f t="shared" si="313"/>
        <v>0</v>
      </c>
      <c r="AAJ56" s="1">
        <f t="shared" si="313"/>
        <v>0</v>
      </c>
      <c r="AAK56" s="1">
        <f t="shared" si="313"/>
        <v>0</v>
      </c>
      <c r="AAL56" s="1">
        <f t="shared" si="313"/>
        <v>0</v>
      </c>
      <c r="AAM56" s="1">
        <f t="shared" si="313"/>
        <v>0</v>
      </c>
      <c r="AAN56" s="1">
        <f t="shared" si="313"/>
        <v>0</v>
      </c>
      <c r="AAO56" s="1">
        <f t="shared" si="313"/>
        <v>0</v>
      </c>
      <c r="AAP56" s="1">
        <f t="shared" si="313"/>
        <v>0</v>
      </c>
      <c r="AAQ56" s="1">
        <f t="shared" si="313"/>
        <v>0</v>
      </c>
      <c r="AAR56" s="1">
        <f t="shared" si="313"/>
        <v>0</v>
      </c>
      <c r="AAS56" s="1">
        <f t="shared" si="313"/>
        <v>0</v>
      </c>
      <c r="AAT56" s="1">
        <f t="shared" si="313"/>
        <v>0</v>
      </c>
      <c r="AAU56" s="1">
        <f t="shared" si="313"/>
        <v>0</v>
      </c>
      <c r="AAV56" s="1">
        <f t="shared" si="313"/>
        <v>0</v>
      </c>
      <c r="AAW56" s="1">
        <f t="shared" si="313"/>
        <v>0</v>
      </c>
      <c r="AAX56" s="1">
        <f t="shared" si="313"/>
        <v>0</v>
      </c>
      <c r="AAY56" s="1">
        <f t="shared" si="313"/>
        <v>0</v>
      </c>
      <c r="AAZ56" s="1">
        <f t="shared" si="313"/>
        <v>0</v>
      </c>
      <c r="ABA56" s="1">
        <f t="shared" si="313"/>
        <v>0</v>
      </c>
      <c r="ABB56" s="1">
        <f t="shared" si="313"/>
        <v>0</v>
      </c>
      <c r="ABC56" s="1">
        <f t="shared" si="313"/>
        <v>0</v>
      </c>
      <c r="ABD56" s="1">
        <f t="shared" si="313"/>
        <v>0</v>
      </c>
      <c r="ABE56" s="1">
        <f t="shared" si="313"/>
        <v>0</v>
      </c>
      <c r="ABF56" s="1">
        <f t="shared" si="313"/>
        <v>0</v>
      </c>
      <c r="ABG56" s="1">
        <f t="shared" si="313"/>
        <v>0</v>
      </c>
      <c r="ABH56" s="1">
        <f t="shared" si="313"/>
        <v>0</v>
      </c>
      <c r="ABI56" s="1">
        <f t="shared" si="313"/>
        <v>0</v>
      </c>
      <c r="ABJ56" s="1">
        <f t="shared" si="313"/>
        <v>0</v>
      </c>
      <c r="ABK56" s="1">
        <f t="shared" si="313"/>
        <v>0</v>
      </c>
      <c r="ABL56" s="1">
        <f t="shared" si="313"/>
        <v>0</v>
      </c>
      <c r="ABM56" s="1">
        <f t="shared" si="313"/>
        <v>0</v>
      </c>
      <c r="ABN56" s="1">
        <f t="shared" si="313"/>
        <v>0</v>
      </c>
      <c r="ABO56" s="1">
        <f t="shared" si="313"/>
        <v>0</v>
      </c>
      <c r="ABP56" s="1">
        <f t="shared" si="313"/>
        <v>0</v>
      </c>
      <c r="ABQ56" s="1">
        <f t="shared" si="313"/>
        <v>0</v>
      </c>
      <c r="ABR56" s="1">
        <f t="shared" si="313"/>
        <v>0</v>
      </c>
      <c r="ABS56" s="1">
        <f t="shared" si="313"/>
        <v>0</v>
      </c>
      <c r="ABT56" s="1">
        <f t="shared" si="313"/>
        <v>0</v>
      </c>
      <c r="ABU56" s="1">
        <f t="shared" si="313"/>
        <v>0</v>
      </c>
      <c r="ABV56" s="1">
        <f t="shared" si="313"/>
        <v>0</v>
      </c>
      <c r="ABW56" s="1">
        <f t="shared" si="313"/>
        <v>0</v>
      </c>
      <c r="ABX56" s="1">
        <f t="shared" si="313"/>
        <v>0</v>
      </c>
      <c r="ABY56" s="1">
        <f t="shared" si="313"/>
        <v>0</v>
      </c>
      <c r="ABZ56" s="1">
        <f t="shared" si="313"/>
        <v>0</v>
      </c>
      <c r="ACA56" s="1">
        <f t="shared" si="313"/>
        <v>0</v>
      </c>
      <c r="ACB56" s="1">
        <f t="shared" si="313"/>
        <v>0</v>
      </c>
      <c r="ACC56" s="1">
        <f t="shared" si="313"/>
        <v>0</v>
      </c>
      <c r="ACD56" s="1">
        <f t="shared" ref="ACD56:AEO56" si="314">ACD40-ACD21</f>
        <v>0</v>
      </c>
      <c r="ACE56" s="1">
        <f t="shared" si="314"/>
        <v>0</v>
      </c>
      <c r="ACF56" s="1">
        <f t="shared" si="314"/>
        <v>0</v>
      </c>
      <c r="ACG56" s="1">
        <f t="shared" si="314"/>
        <v>0</v>
      </c>
      <c r="ACH56" s="1">
        <f t="shared" si="314"/>
        <v>0</v>
      </c>
      <c r="ACI56" s="1">
        <f t="shared" si="314"/>
        <v>0</v>
      </c>
      <c r="ACJ56" s="1">
        <f t="shared" si="314"/>
        <v>0</v>
      </c>
      <c r="ACK56" s="1">
        <f t="shared" si="314"/>
        <v>0</v>
      </c>
      <c r="ACL56" s="1">
        <f t="shared" si="314"/>
        <v>0</v>
      </c>
      <c r="ACM56" s="1">
        <f t="shared" si="314"/>
        <v>0</v>
      </c>
      <c r="ACN56" s="1">
        <f t="shared" si="314"/>
        <v>0</v>
      </c>
      <c r="ACO56" s="1">
        <f t="shared" si="314"/>
        <v>0</v>
      </c>
      <c r="ACP56" s="1">
        <f t="shared" si="314"/>
        <v>0</v>
      </c>
      <c r="ACQ56" s="1">
        <f t="shared" si="314"/>
        <v>0</v>
      </c>
      <c r="ACR56" s="1">
        <f t="shared" si="314"/>
        <v>0</v>
      </c>
      <c r="ACS56" s="1">
        <f t="shared" si="314"/>
        <v>0</v>
      </c>
      <c r="ACT56" s="1">
        <f t="shared" si="314"/>
        <v>0</v>
      </c>
      <c r="ACU56" s="1">
        <f t="shared" si="314"/>
        <v>0</v>
      </c>
      <c r="ACV56" s="1">
        <f t="shared" si="314"/>
        <v>0</v>
      </c>
      <c r="ACW56" s="1">
        <f t="shared" si="314"/>
        <v>0</v>
      </c>
      <c r="ACX56" s="1">
        <f t="shared" si="314"/>
        <v>0</v>
      </c>
      <c r="ACY56" s="1">
        <f t="shared" si="314"/>
        <v>0</v>
      </c>
      <c r="ACZ56" s="1">
        <f t="shared" si="314"/>
        <v>0</v>
      </c>
      <c r="ADA56" s="1">
        <f t="shared" si="314"/>
        <v>0</v>
      </c>
      <c r="ADB56" s="1">
        <f t="shared" si="314"/>
        <v>0</v>
      </c>
      <c r="ADC56" s="1">
        <f t="shared" si="314"/>
        <v>0</v>
      </c>
      <c r="ADD56" s="1">
        <f t="shared" si="314"/>
        <v>0</v>
      </c>
      <c r="ADE56" s="1">
        <f t="shared" si="314"/>
        <v>0</v>
      </c>
      <c r="ADF56" s="1">
        <f t="shared" si="314"/>
        <v>0</v>
      </c>
      <c r="ADG56" s="1">
        <f t="shared" si="314"/>
        <v>0</v>
      </c>
      <c r="ADH56" s="1">
        <f t="shared" si="314"/>
        <v>0</v>
      </c>
      <c r="ADI56" s="1">
        <f t="shared" si="314"/>
        <v>0</v>
      </c>
      <c r="ADJ56" s="1">
        <f t="shared" si="314"/>
        <v>0</v>
      </c>
      <c r="ADK56" s="1">
        <f t="shared" si="314"/>
        <v>0</v>
      </c>
      <c r="ADL56" s="1">
        <f t="shared" si="314"/>
        <v>0</v>
      </c>
      <c r="ADM56" s="1">
        <f t="shared" si="314"/>
        <v>0</v>
      </c>
      <c r="ADN56" s="1">
        <f t="shared" si="314"/>
        <v>0</v>
      </c>
      <c r="ADO56" s="1">
        <f t="shared" si="314"/>
        <v>0</v>
      </c>
      <c r="ADP56" s="1">
        <f t="shared" si="314"/>
        <v>0</v>
      </c>
      <c r="ADQ56" s="1">
        <f t="shared" si="314"/>
        <v>0</v>
      </c>
      <c r="ADR56" s="1">
        <f t="shared" si="314"/>
        <v>0</v>
      </c>
      <c r="ADS56" s="1">
        <f t="shared" si="314"/>
        <v>0</v>
      </c>
      <c r="ADT56" s="1">
        <f t="shared" si="314"/>
        <v>0</v>
      </c>
      <c r="ADU56" s="1">
        <f t="shared" si="314"/>
        <v>0</v>
      </c>
      <c r="ADV56" s="1">
        <f t="shared" si="314"/>
        <v>0</v>
      </c>
      <c r="ADW56" s="1">
        <f t="shared" si="314"/>
        <v>0</v>
      </c>
      <c r="ADX56" s="1">
        <f t="shared" si="314"/>
        <v>0</v>
      </c>
      <c r="ADY56" s="1">
        <f t="shared" si="314"/>
        <v>0</v>
      </c>
      <c r="ADZ56" s="1">
        <f t="shared" si="314"/>
        <v>0</v>
      </c>
      <c r="AEA56" s="1">
        <f t="shared" si="314"/>
        <v>0</v>
      </c>
      <c r="AEB56" s="1">
        <f t="shared" si="314"/>
        <v>0</v>
      </c>
      <c r="AEC56" s="1">
        <f t="shared" si="314"/>
        <v>0</v>
      </c>
      <c r="AED56" s="1">
        <f t="shared" si="314"/>
        <v>0</v>
      </c>
      <c r="AEE56" s="1">
        <f t="shared" si="314"/>
        <v>0</v>
      </c>
      <c r="AEF56" s="1">
        <f t="shared" si="314"/>
        <v>0</v>
      </c>
      <c r="AEG56" s="1">
        <f t="shared" si="314"/>
        <v>0</v>
      </c>
      <c r="AEH56" s="1">
        <f t="shared" si="314"/>
        <v>0</v>
      </c>
      <c r="AEI56" s="1">
        <f t="shared" si="314"/>
        <v>0</v>
      </c>
      <c r="AEJ56" s="1">
        <f t="shared" si="314"/>
        <v>0</v>
      </c>
      <c r="AEK56" s="1">
        <f t="shared" si="314"/>
        <v>0</v>
      </c>
      <c r="AEL56" s="1">
        <f t="shared" si="314"/>
        <v>0</v>
      </c>
      <c r="AEM56" s="1">
        <f t="shared" si="314"/>
        <v>0</v>
      </c>
      <c r="AEN56" s="1">
        <f t="shared" si="314"/>
        <v>0</v>
      </c>
      <c r="AEO56" s="1">
        <f t="shared" si="314"/>
        <v>0</v>
      </c>
      <c r="AEP56" s="1">
        <f t="shared" ref="AEP56:AHA56" si="315">AEP40-AEP21</f>
        <v>0</v>
      </c>
      <c r="AEQ56" s="1">
        <f t="shared" si="315"/>
        <v>0</v>
      </c>
      <c r="AER56" s="1">
        <f t="shared" si="315"/>
        <v>0</v>
      </c>
      <c r="AES56" s="1">
        <f t="shared" si="315"/>
        <v>0</v>
      </c>
      <c r="AET56" s="1">
        <f t="shared" si="315"/>
        <v>0</v>
      </c>
      <c r="AEU56" s="1">
        <f t="shared" si="315"/>
        <v>0</v>
      </c>
      <c r="AEV56" s="1">
        <f t="shared" si="315"/>
        <v>0</v>
      </c>
      <c r="AEW56" s="1">
        <f t="shared" si="315"/>
        <v>0</v>
      </c>
      <c r="AEX56" s="1">
        <f t="shared" si="315"/>
        <v>0</v>
      </c>
      <c r="AEY56" s="1">
        <f t="shared" si="315"/>
        <v>0</v>
      </c>
      <c r="AEZ56" s="1">
        <f t="shared" si="315"/>
        <v>0</v>
      </c>
      <c r="AFA56" s="1">
        <f t="shared" si="315"/>
        <v>0</v>
      </c>
      <c r="AFB56" s="1">
        <f t="shared" si="315"/>
        <v>0</v>
      </c>
      <c r="AFC56" s="1">
        <f t="shared" si="315"/>
        <v>0</v>
      </c>
      <c r="AFD56" s="1">
        <f t="shared" si="315"/>
        <v>0</v>
      </c>
      <c r="AFE56" s="1">
        <f t="shared" si="315"/>
        <v>0</v>
      </c>
      <c r="AFF56" s="1">
        <f t="shared" si="315"/>
        <v>0</v>
      </c>
      <c r="AFG56" s="1">
        <f t="shared" si="315"/>
        <v>0</v>
      </c>
      <c r="AFH56" s="1">
        <f t="shared" si="315"/>
        <v>0</v>
      </c>
      <c r="AFI56" s="1">
        <f t="shared" si="315"/>
        <v>0</v>
      </c>
      <c r="AFJ56" s="1">
        <f t="shared" si="315"/>
        <v>0</v>
      </c>
      <c r="AFK56" s="1">
        <f t="shared" si="315"/>
        <v>0</v>
      </c>
      <c r="AFL56" s="1">
        <f t="shared" si="315"/>
        <v>0</v>
      </c>
      <c r="AFM56" s="1">
        <f t="shared" si="315"/>
        <v>0</v>
      </c>
      <c r="AFN56" s="1">
        <f t="shared" si="315"/>
        <v>0</v>
      </c>
      <c r="AFO56" s="1">
        <f t="shared" si="315"/>
        <v>0</v>
      </c>
      <c r="AFP56" s="1">
        <f t="shared" si="315"/>
        <v>0</v>
      </c>
      <c r="AFQ56" s="1">
        <f t="shared" si="315"/>
        <v>0</v>
      </c>
      <c r="AFR56" s="1">
        <f t="shared" si="315"/>
        <v>0</v>
      </c>
      <c r="AFS56" s="1">
        <f t="shared" si="315"/>
        <v>0</v>
      </c>
      <c r="AFT56" s="1">
        <f t="shared" si="315"/>
        <v>0</v>
      </c>
      <c r="AFU56" s="1">
        <f t="shared" si="315"/>
        <v>0</v>
      </c>
      <c r="AFV56" s="1">
        <f t="shared" si="315"/>
        <v>0</v>
      </c>
      <c r="AFW56" s="1">
        <f t="shared" si="315"/>
        <v>0</v>
      </c>
      <c r="AFX56" s="1">
        <f t="shared" si="315"/>
        <v>0</v>
      </c>
      <c r="AFY56" s="1">
        <f t="shared" si="315"/>
        <v>0</v>
      </c>
      <c r="AFZ56" s="1">
        <f t="shared" si="315"/>
        <v>0</v>
      </c>
      <c r="AGA56" s="1">
        <f t="shared" si="315"/>
        <v>0</v>
      </c>
      <c r="AGB56" s="1">
        <f t="shared" si="315"/>
        <v>0</v>
      </c>
      <c r="AGC56" s="1">
        <f t="shared" si="315"/>
        <v>0</v>
      </c>
      <c r="AGD56" s="1">
        <f t="shared" si="315"/>
        <v>0</v>
      </c>
      <c r="AGE56" s="1">
        <f t="shared" si="315"/>
        <v>0</v>
      </c>
      <c r="AGF56" s="1">
        <f t="shared" si="315"/>
        <v>0</v>
      </c>
      <c r="AGG56" s="1">
        <f t="shared" si="315"/>
        <v>0</v>
      </c>
      <c r="AGH56" s="1">
        <f t="shared" si="315"/>
        <v>0</v>
      </c>
      <c r="AGI56" s="1">
        <f t="shared" si="315"/>
        <v>0</v>
      </c>
      <c r="AGJ56" s="1">
        <f t="shared" si="315"/>
        <v>0</v>
      </c>
      <c r="AGK56" s="1">
        <f t="shared" si="315"/>
        <v>0</v>
      </c>
      <c r="AGL56" s="1">
        <f t="shared" si="315"/>
        <v>0</v>
      </c>
      <c r="AGM56" s="1">
        <f t="shared" si="315"/>
        <v>0</v>
      </c>
      <c r="AGN56" s="1">
        <f t="shared" si="315"/>
        <v>0</v>
      </c>
      <c r="AGO56" s="1">
        <f t="shared" si="315"/>
        <v>0</v>
      </c>
      <c r="AGP56" s="1">
        <f t="shared" si="315"/>
        <v>0</v>
      </c>
      <c r="AGQ56" s="1">
        <f t="shared" si="315"/>
        <v>0</v>
      </c>
      <c r="AGR56" s="1">
        <f t="shared" si="315"/>
        <v>0</v>
      </c>
      <c r="AGS56" s="1">
        <f t="shared" si="315"/>
        <v>0</v>
      </c>
      <c r="AGT56" s="1">
        <f t="shared" si="315"/>
        <v>0</v>
      </c>
      <c r="AGU56" s="1">
        <f t="shared" si="315"/>
        <v>0</v>
      </c>
      <c r="AGV56" s="1">
        <f t="shared" si="315"/>
        <v>0</v>
      </c>
      <c r="AGW56" s="1">
        <f t="shared" si="315"/>
        <v>0</v>
      </c>
      <c r="AGX56" s="1">
        <f t="shared" si="315"/>
        <v>0</v>
      </c>
      <c r="AGY56" s="1">
        <f t="shared" si="315"/>
        <v>0</v>
      </c>
      <c r="AGZ56" s="1">
        <f t="shared" si="315"/>
        <v>0</v>
      </c>
      <c r="AHA56" s="1">
        <f t="shared" si="315"/>
        <v>0</v>
      </c>
      <c r="AHB56" s="1">
        <f t="shared" ref="AHB56:AJM56" si="316">AHB40-AHB21</f>
        <v>0</v>
      </c>
      <c r="AHC56" s="1">
        <f t="shared" si="316"/>
        <v>0</v>
      </c>
      <c r="AHD56" s="1">
        <f t="shared" si="316"/>
        <v>0</v>
      </c>
      <c r="AHE56" s="1">
        <f t="shared" si="316"/>
        <v>0</v>
      </c>
      <c r="AHF56" s="1">
        <f t="shared" si="316"/>
        <v>0</v>
      </c>
      <c r="AHG56" s="1">
        <f t="shared" si="316"/>
        <v>0</v>
      </c>
      <c r="AHH56" s="1">
        <f t="shared" si="316"/>
        <v>0</v>
      </c>
      <c r="AHI56" s="1">
        <f t="shared" si="316"/>
        <v>0</v>
      </c>
      <c r="AHJ56" s="1">
        <f t="shared" si="316"/>
        <v>0</v>
      </c>
      <c r="AHK56" s="1">
        <f t="shared" si="316"/>
        <v>0</v>
      </c>
      <c r="AHL56" s="1">
        <f t="shared" si="316"/>
        <v>0</v>
      </c>
      <c r="AHM56" s="1">
        <f t="shared" si="316"/>
        <v>0</v>
      </c>
      <c r="AHN56" s="1">
        <f t="shared" si="316"/>
        <v>0</v>
      </c>
      <c r="AHO56" s="1">
        <f t="shared" si="316"/>
        <v>0</v>
      </c>
      <c r="AHP56" s="1">
        <f t="shared" si="316"/>
        <v>0</v>
      </c>
      <c r="AHQ56" s="1">
        <f t="shared" si="316"/>
        <v>0</v>
      </c>
      <c r="AHR56" s="1">
        <f t="shared" si="316"/>
        <v>0</v>
      </c>
      <c r="AHS56" s="1">
        <f t="shared" si="316"/>
        <v>0</v>
      </c>
      <c r="AHT56" s="1">
        <f t="shared" si="316"/>
        <v>0</v>
      </c>
      <c r="AHU56" s="1">
        <f t="shared" si="316"/>
        <v>0</v>
      </c>
      <c r="AHV56" s="1">
        <f t="shared" si="316"/>
        <v>0</v>
      </c>
      <c r="AHW56" s="1">
        <f t="shared" si="316"/>
        <v>0</v>
      </c>
      <c r="AHX56" s="1">
        <f t="shared" si="316"/>
        <v>0</v>
      </c>
      <c r="AHY56" s="1">
        <f t="shared" si="316"/>
        <v>0</v>
      </c>
      <c r="AHZ56" s="1">
        <f t="shared" si="316"/>
        <v>0</v>
      </c>
      <c r="AIA56" s="1">
        <f t="shared" si="316"/>
        <v>0</v>
      </c>
      <c r="AIB56" s="1">
        <f t="shared" si="316"/>
        <v>0</v>
      </c>
      <c r="AIC56" s="1">
        <f t="shared" si="316"/>
        <v>0</v>
      </c>
      <c r="AID56" s="1">
        <f t="shared" si="316"/>
        <v>0</v>
      </c>
      <c r="AIE56" s="1">
        <f t="shared" si="316"/>
        <v>0</v>
      </c>
      <c r="AIF56" s="1">
        <f t="shared" si="316"/>
        <v>0</v>
      </c>
      <c r="AIG56" s="1">
        <f t="shared" si="316"/>
        <v>0</v>
      </c>
      <c r="AIH56" s="1">
        <f t="shared" si="316"/>
        <v>0</v>
      </c>
      <c r="AII56" s="1">
        <f t="shared" si="316"/>
        <v>0</v>
      </c>
      <c r="AIJ56" s="1">
        <f t="shared" si="316"/>
        <v>0</v>
      </c>
      <c r="AIK56" s="1">
        <f t="shared" si="316"/>
        <v>0</v>
      </c>
      <c r="AIL56" s="1">
        <f t="shared" si="316"/>
        <v>0</v>
      </c>
      <c r="AIM56" s="1">
        <f t="shared" si="316"/>
        <v>0</v>
      </c>
      <c r="AIN56" s="1">
        <f t="shared" si="316"/>
        <v>0</v>
      </c>
      <c r="AIO56" s="1">
        <f t="shared" si="316"/>
        <v>0</v>
      </c>
      <c r="AIP56" s="1">
        <f t="shared" si="316"/>
        <v>0</v>
      </c>
      <c r="AIQ56" s="1">
        <f t="shared" si="316"/>
        <v>0</v>
      </c>
      <c r="AIR56" s="1">
        <f t="shared" si="316"/>
        <v>0</v>
      </c>
      <c r="AIS56" s="1">
        <f t="shared" si="316"/>
        <v>0</v>
      </c>
      <c r="AIT56" s="1">
        <f t="shared" si="316"/>
        <v>0</v>
      </c>
      <c r="AIU56" s="1">
        <f t="shared" si="316"/>
        <v>0</v>
      </c>
      <c r="AIV56" s="1">
        <f t="shared" si="316"/>
        <v>0</v>
      </c>
      <c r="AIW56" s="1">
        <f t="shared" si="316"/>
        <v>0</v>
      </c>
      <c r="AIX56" s="1">
        <f t="shared" si="316"/>
        <v>0</v>
      </c>
      <c r="AIY56" s="1">
        <f t="shared" si="316"/>
        <v>0</v>
      </c>
      <c r="AIZ56" s="1">
        <f t="shared" si="316"/>
        <v>0</v>
      </c>
      <c r="AJA56" s="1">
        <f t="shared" si="316"/>
        <v>0</v>
      </c>
      <c r="AJB56" s="1">
        <f t="shared" si="316"/>
        <v>0</v>
      </c>
      <c r="AJC56" s="1">
        <f t="shared" si="316"/>
        <v>0</v>
      </c>
      <c r="AJD56" s="1">
        <f t="shared" si="316"/>
        <v>0</v>
      </c>
      <c r="AJE56" s="1">
        <f t="shared" si="316"/>
        <v>0</v>
      </c>
      <c r="AJF56" s="1">
        <f t="shared" si="316"/>
        <v>0</v>
      </c>
      <c r="AJG56" s="1">
        <f t="shared" si="316"/>
        <v>0</v>
      </c>
      <c r="AJH56" s="1">
        <f t="shared" si="316"/>
        <v>0</v>
      </c>
      <c r="AJI56" s="1">
        <f t="shared" si="316"/>
        <v>0</v>
      </c>
      <c r="AJJ56" s="1">
        <f t="shared" si="316"/>
        <v>0</v>
      </c>
      <c r="AJK56" s="1">
        <f t="shared" si="316"/>
        <v>0</v>
      </c>
      <c r="AJL56" s="1">
        <f t="shared" si="316"/>
        <v>0</v>
      </c>
      <c r="AJM56" s="1">
        <f t="shared" si="316"/>
        <v>0</v>
      </c>
      <c r="AJN56" s="1">
        <f t="shared" ref="AJN56:ALM56" si="317">AJN40-AJN21</f>
        <v>0</v>
      </c>
      <c r="AJO56" s="1">
        <f t="shared" si="317"/>
        <v>0</v>
      </c>
      <c r="AJP56" s="1">
        <f t="shared" si="317"/>
        <v>0</v>
      </c>
      <c r="AJQ56" s="1">
        <f t="shared" si="317"/>
        <v>0</v>
      </c>
      <c r="AJR56" s="1">
        <f t="shared" si="317"/>
        <v>0</v>
      </c>
      <c r="AJS56" s="1">
        <f t="shared" si="317"/>
        <v>0</v>
      </c>
      <c r="AJT56" s="1">
        <f t="shared" si="317"/>
        <v>0</v>
      </c>
      <c r="AJU56" s="1">
        <f t="shared" si="317"/>
        <v>0</v>
      </c>
      <c r="AJV56" s="1">
        <f t="shared" si="317"/>
        <v>0</v>
      </c>
      <c r="AJW56" s="1">
        <f t="shared" si="317"/>
        <v>0</v>
      </c>
      <c r="AJX56" s="1">
        <f t="shared" si="317"/>
        <v>0</v>
      </c>
      <c r="AJY56" s="1">
        <f t="shared" si="317"/>
        <v>0</v>
      </c>
      <c r="AJZ56" s="1">
        <f t="shared" si="317"/>
        <v>0</v>
      </c>
      <c r="AKA56" s="1">
        <f t="shared" si="317"/>
        <v>0</v>
      </c>
      <c r="AKB56" s="1">
        <f t="shared" si="317"/>
        <v>0</v>
      </c>
      <c r="AKC56" s="1">
        <f t="shared" si="317"/>
        <v>0</v>
      </c>
      <c r="AKD56" s="1">
        <f t="shared" si="317"/>
        <v>0</v>
      </c>
      <c r="AKE56" s="1">
        <f t="shared" si="317"/>
        <v>0</v>
      </c>
      <c r="AKF56" s="1">
        <f t="shared" si="317"/>
        <v>0</v>
      </c>
      <c r="AKG56" s="1">
        <f t="shared" si="317"/>
        <v>0</v>
      </c>
      <c r="AKH56" s="1">
        <f t="shared" si="317"/>
        <v>0</v>
      </c>
      <c r="AKI56" s="1">
        <f t="shared" si="317"/>
        <v>0</v>
      </c>
      <c r="AKJ56" s="1">
        <f t="shared" si="317"/>
        <v>0</v>
      </c>
      <c r="AKK56" s="1">
        <f t="shared" si="317"/>
        <v>0</v>
      </c>
      <c r="AKL56" s="1">
        <f t="shared" si="317"/>
        <v>0</v>
      </c>
      <c r="AKM56" s="1">
        <f t="shared" si="317"/>
        <v>0</v>
      </c>
      <c r="AKN56" s="1">
        <f t="shared" si="317"/>
        <v>0</v>
      </c>
      <c r="AKO56" s="1">
        <f t="shared" si="317"/>
        <v>0</v>
      </c>
      <c r="AKP56" s="1">
        <f t="shared" si="317"/>
        <v>0</v>
      </c>
      <c r="AKQ56" s="1">
        <f t="shared" si="317"/>
        <v>0</v>
      </c>
      <c r="AKR56" s="1">
        <f t="shared" si="317"/>
        <v>0</v>
      </c>
      <c r="AKS56" s="1">
        <f t="shared" si="317"/>
        <v>0</v>
      </c>
      <c r="AKT56" s="1">
        <f t="shared" si="317"/>
        <v>0</v>
      </c>
      <c r="AKU56" s="1">
        <f t="shared" si="317"/>
        <v>0</v>
      </c>
      <c r="AKV56" s="1">
        <f t="shared" si="317"/>
        <v>0</v>
      </c>
      <c r="AKW56" s="1">
        <f t="shared" si="317"/>
        <v>0</v>
      </c>
      <c r="AKX56" s="1">
        <f t="shared" si="317"/>
        <v>0</v>
      </c>
      <c r="AKY56" s="1">
        <f t="shared" si="317"/>
        <v>0</v>
      </c>
      <c r="AKZ56" s="1">
        <f t="shared" si="317"/>
        <v>0</v>
      </c>
      <c r="ALA56" s="1">
        <f t="shared" si="317"/>
        <v>0</v>
      </c>
      <c r="ALB56" s="1">
        <f t="shared" si="317"/>
        <v>0</v>
      </c>
      <c r="ALC56" s="1">
        <f t="shared" si="317"/>
        <v>0</v>
      </c>
      <c r="ALD56" s="1">
        <f t="shared" si="317"/>
        <v>0</v>
      </c>
      <c r="ALE56" s="1">
        <f t="shared" si="317"/>
        <v>0</v>
      </c>
      <c r="ALF56" s="1">
        <f t="shared" si="317"/>
        <v>0</v>
      </c>
      <c r="ALG56" s="1">
        <f t="shared" si="317"/>
        <v>0</v>
      </c>
      <c r="ALH56" s="1">
        <f t="shared" si="317"/>
        <v>0</v>
      </c>
      <c r="ALI56" s="1">
        <f t="shared" si="317"/>
        <v>0</v>
      </c>
      <c r="ALJ56" s="1">
        <f t="shared" si="317"/>
        <v>0</v>
      </c>
      <c r="ALK56" s="1">
        <f t="shared" si="317"/>
        <v>0</v>
      </c>
      <c r="ALL56" s="1">
        <f t="shared" si="317"/>
        <v>0</v>
      </c>
      <c r="ALM56" s="1">
        <f t="shared" si="317"/>
        <v>0</v>
      </c>
    </row>
    <row r="57" spans="1:1001">
      <c r="A57" s="27"/>
      <c r="B57">
        <f>B41-B22</f>
        <v>0</v>
      </c>
      <c r="C57">
        <f t="shared" ref="C57:BN57" si="318">C41-C22</f>
        <v>0</v>
      </c>
      <c r="D57">
        <f t="shared" si="318"/>
        <v>0</v>
      </c>
      <c r="E57">
        <f t="shared" si="318"/>
        <v>0</v>
      </c>
      <c r="F57">
        <f t="shared" si="318"/>
        <v>0</v>
      </c>
      <c r="G57">
        <f t="shared" si="318"/>
        <v>0</v>
      </c>
      <c r="H57">
        <f t="shared" si="318"/>
        <v>0</v>
      </c>
      <c r="I57">
        <f t="shared" si="318"/>
        <v>0</v>
      </c>
      <c r="J57">
        <f t="shared" si="318"/>
        <v>0</v>
      </c>
      <c r="K57">
        <f t="shared" si="318"/>
        <v>0</v>
      </c>
      <c r="L57">
        <f t="shared" si="318"/>
        <v>0</v>
      </c>
      <c r="M57">
        <f t="shared" si="318"/>
        <v>0</v>
      </c>
      <c r="N57">
        <f t="shared" si="318"/>
        <v>0</v>
      </c>
      <c r="O57">
        <f t="shared" si="318"/>
        <v>0</v>
      </c>
      <c r="P57">
        <f t="shared" si="318"/>
        <v>0</v>
      </c>
      <c r="Q57">
        <f t="shared" si="318"/>
        <v>0</v>
      </c>
      <c r="R57">
        <f t="shared" si="318"/>
        <v>0</v>
      </c>
      <c r="S57">
        <f t="shared" si="318"/>
        <v>0</v>
      </c>
      <c r="T57">
        <f t="shared" si="318"/>
        <v>0</v>
      </c>
      <c r="U57">
        <f t="shared" si="318"/>
        <v>0</v>
      </c>
      <c r="V57">
        <f t="shared" si="318"/>
        <v>0</v>
      </c>
      <c r="W57">
        <f t="shared" si="318"/>
        <v>0</v>
      </c>
      <c r="X57">
        <f t="shared" si="318"/>
        <v>0</v>
      </c>
      <c r="Y57">
        <f t="shared" si="318"/>
        <v>0</v>
      </c>
      <c r="Z57">
        <f t="shared" si="318"/>
        <v>0</v>
      </c>
      <c r="AA57">
        <f t="shared" si="318"/>
        <v>0</v>
      </c>
      <c r="AB57">
        <f t="shared" si="318"/>
        <v>0</v>
      </c>
      <c r="AC57">
        <f t="shared" si="318"/>
        <v>0</v>
      </c>
      <c r="AD57">
        <f t="shared" si="318"/>
        <v>0</v>
      </c>
      <c r="AE57">
        <f t="shared" si="318"/>
        <v>0</v>
      </c>
      <c r="AF57">
        <f t="shared" si="318"/>
        <v>0</v>
      </c>
      <c r="AG57">
        <f t="shared" si="318"/>
        <v>0</v>
      </c>
      <c r="AH57">
        <f t="shared" si="318"/>
        <v>0</v>
      </c>
      <c r="AI57">
        <f t="shared" si="318"/>
        <v>0</v>
      </c>
      <c r="AJ57">
        <f t="shared" si="318"/>
        <v>0</v>
      </c>
      <c r="AK57">
        <f t="shared" si="318"/>
        <v>0</v>
      </c>
      <c r="AL57">
        <f t="shared" si="318"/>
        <v>0</v>
      </c>
      <c r="AM57">
        <f t="shared" si="318"/>
        <v>0</v>
      </c>
      <c r="AN57">
        <f t="shared" si="318"/>
        <v>0</v>
      </c>
      <c r="AO57">
        <f t="shared" si="318"/>
        <v>0</v>
      </c>
      <c r="AP57">
        <f t="shared" si="318"/>
        <v>0</v>
      </c>
      <c r="AQ57">
        <f t="shared" si="318"/>
        <v>0</v>
      </c>
      <c r="AR57">
        <f t="shared" si="318"/>
        <v>0</v>
      </c>
      <c r="AS57">
        <f t="shared" si="318"/>
        <v>0</v>
      </c>
      <c r="AT57">
        <f t="shared" si="318"/>
        <v>0</v>
      </c>
      <c r="AU57">
        <f t="shared" si="318"/>
        <v>0</v>
      </c>
      <c r="AV57">
        <f t="shared" si="318"/>
        <v>0</v>
      </c>
      <c r="AW57">
        <f t="shared" si="318"/>
        <v>0</v>
      </c>
      <c r="AX57">
        <f t="shared" si="318"/>
        <v>0</v>
      </c>
      <c r="AY57">
        <f t="shared" si="318"/>
        <v>0</v>
      </c>
      <c r="AZ57">
        <f t="shared" si="318"/>
        <v>0</v>
      </c>
      <c r="BA57">
        <f t="shared" si="318"/>
        <v>0</v>
      </c>
      <c r="BB57">
        <f t="shared" si="318"/>
        <v>0</v>
      </c>
      <c r="BC57">
        <f t="shared" si="318"/>
        <v>0</v>
      </c>
      <c r="BD57">
        <f t="shared" si="318"/>
        <v>0</v>
      </c>
      <c r="BE57">
        <f t="shared" si="318"/>
        <v>0</v>
      </c>
      <c r="BF57">
        <f t="shared" si="318"/>
        <v>0</v>
      </c>
      <c r="BG57">
        <f t="shared" si="318"/>
        <v>0</v>
      </c>
      <c r="BH57">
        <f t="shared" si="318"/>
        <v>0</v>
      </c>
      <c r="BI57">
        <f t="shared" si="318"/>
        <v>0</v>
      </c>
      <c r="BJ57">
        <f t="shared" si="318"/>
        <v>0</v>
      </c>
      <c r="BK57">
        <f t="shared" si="318"/>
        <v>0</v>
      </c>
      <c r="BL57">
        <f t="shared" si="318"/>
        <v>0</v>
      </c>
      <c r="BM57">
        <f t="shared" si="318"/>
        <v>0</v>
      </c>
      <c r="BN57">
        <f t="shared" si="318"/>
        <v>0</v>
      </c>
      <c r="BO57">
        <f t="shared" ref="BO57:DZ57" si="319">BO41-BO22</f>
        <v>0</v>
      </c>
      <c r="BP57">
        <f t="shared" si="319"/>
        <v>0</v>
      </c>
      <c r="BQ57">
        <f t="shared" si="319"/>
        <v>0</v>
      </c>
      <c r="BR57">
        <f t="shared" si="319"/>
        <v>0</v>
      </c>
      <c r="BS57">
        <f t="shared" si="319"/>
        <v>0</v>
      </c>
      <c r="BT57">
        <f t="shared" si="319"/>
        <v>0</v>
      </c>
      <c r="BU57">
        <f t="shared" si="319"/>
        <v>0</v>
      </c>
      <c r="BV57">
        <f t="shared" si="319"/>
        <v>0</v>
      </c>
      <c r="BW57">
        <f t="shared" si="319"/>
        <v>0</v>
      </c>
      <c r="BX57">
        <f t="shared" si="319"/>
        <v>0</v>
      </c>
      <c r="BY57">
        <f t="shared" si="319"/>
        <v>0</v>
      </c>
      <c r="BZ57">
        <f t="shared" si="319"/>
        <v>0</v>
      </c>
      <c r="CA57">
        <f t="shared" si="319"/>
        <v>0</v>
      </c>
      <c r="CB57">
        <f t="shared" si="319"/>
        <v>0</v>
      </c>
      <c r="CC57">
        <f t="shared" si="319"/>
        <v>0</v>
      </c>
      <c r="CD57">
        <f t="shared" si="319"/>
        <v>0</v>
      </c>
      <c r="CE57">
        <f t="shared" si="319"/>
        <v>0</v>
      </c>
      <c r="CF57">
        <f t="shared" si="319"/>
        <v>0</v>
      </c>
      <c r="CG57">
        <f t="shared" si="319"/>
        <v>0</v>
      </c>
      <c r="CH57">
        <f t="shared" si="319"/>
        <v>0</v>
      </c>
      <c r="CI57">
        <f t="shared" si="319"/>
        <v>0</v>
      </c>
      <c r="CJ57">
        <f t="shared" si="319"/>
        <v>0</v>
      </c>
      <c r="CK57">
        <f t="shared" si="319"/>
        <v>0</v>
      </c>
      <c r="CL57">
        <f t="shared" si="319"/>
        <v>0</v>
      </c>
      <c r="CM57">
        <f t="shared" si="319"/>
        <v>0</v>
      </c>
      <c r="CN57">
        <f t="shared" si="319"/>
        <v>0</v>
      </c>
      <c r="CO57">
        <f t="shared" si="319"/>
        <v>0</v>
      </c>
      <c r="CP57">
        <f t="shared" si="319"/>
        <v>0</v>
      </c>
      <c r="CQ57">
        <f t="shared" si="319"/>
        <v>0</v>
      </c>
      <c r="CR57">
        <f t="shared" si="319"/>
        <v>0</v>
      </c>
      <c r="CS57">
        <f t="shared" si="319"/>
        <v>0</v>
      </c>
      <c r="CT57">
        <f t="shared" si="319"/>
        <v>0</v>
      </c>
      <c r="CU57">
        <f t="shared" si="319"/>
        <v>0</v>
      </c>
      <c r="CV57">
        <f t="shared" si="319"/>
        <v>0</v>
      </c>
      <c r="CW57">
        <f t="shared" si="319"/>
        <v>0</v>
      </c>
      <c r="CX57">
        <f t="shared" si="319"/>
        <v>0</v>
      </c>
      <c r="CY57">
        <f t="shared" si="319"/>
        <v>0</v>
      </c>
      <c r="CZ57">
        <f t="shared" si="319"/>
        <v>0</v>
      </c>
      <c r="DA57">
        <f t="shared" si="319"/>
        <v>0</v>
      </c>
      <c r="DB57">
        <f t="shared" si="319"/>
        <v>0</v>
      </c>
      <c r="DC57">
        <f t="shared" si="319"/>
        <v>0</v>
      </c>
      <c r="DD57">
        <f t="shared" si="319"/>
        <v>0</v>
      </c>
      <c r="DE57">
        <f t="shared" si="319"/>
        <v>0</v>
      </c>
      <c r="DF57">
        <f t="shared" si="319"/>
        <v>0</v>
      </c>
      <c r="DG57">
        <f t="shared" si="319"/>
        <v>0</v>
      </c>
      <c r="DH57">
        <f t="shared" si="319"/>
        <v>0</v>
      </c>
      <c r="DI57">
        <f t="shared" si="319"/>
        <v>0</v>
      </c>
      <c r="DJ57">
        <f t="shared" si="319"/>
        <v>0</v>
      </c>
      <c r="DK57">
        <f t="shared" si="319"/>
        <v>0</v>
      </c>
      <c r="DL57">
        <f t="shared" si="319"/>
        <v>0</v>
      </c>
      <c r="DM57">
        <f t="shared" si="319"/>
        <v>0</v>
      </c>
      <c r="DN57">
        <f t="shared" si="319"/>
        <v>0</v>
      </c>
      <c r="DO57">
        <f t="shared" si="319"/>
        <v>0</v>
      </c>
      <c r="DP57">
        <f t="shared" si="319"/>
        <v>0</v>
      </c>
      <c r="DQ57">
        <f t="shared" si="319"/>
        <v>0</v>
      </c>
      <c r="DR57">
        <f t="shared" si="319"/>
        <v>0</v>
      </c>
      <c r="DS57">
        <f t="shared" si="319"/>
        <v>0</v>
      </c>
      <c r="DT57">
        <f t="shared" si="319"/>
        <v>0</v>
      </c>
      <c r="DU57">
        <f t="shared" si="319"/>
        <v>0</v>
      </c>
      <c r="DV57">
        <f t="shared" si="319"/>
        <v>0</v>
      </c>
      <c r="DW57">
        <f t="shared" si="319"/>
        <v>0</v>
      </c>
      <c r="DX57">
        <f t="shared" si="319"/>
        <v>0</v>
      </c>
      <c r="DY57">
        <f t="shared" si="319"/>
        <v>0</v>
      </c>
      <c r="DZ57">
        <f t="shared" si="319"/>
        <v>0</v>
      </c>
      <c r="EA57">
        <f t="shared" ref="EA57:GL57" si="320">EA41-EA22</f>
        <v>0</v>
      </c>
      <c r="EB57">
        <f t="shared" si="320"/>
        <v>0</v>
      </c>
      <c r="EC57">
        <f t="shared" si="320"/>
        <v>0</v>
      </c>
      <c r="ED57">
        <f t="shared" si="320"/>
        <v>0</v>
      </c>
      <c r="EE57">
        <f t="shared" si="320"/>
        <v>0</v>
      </c>
      <c r="EF57">
        <f t="shared" si="320"/>
        <v>0</v>
      </c>
      <c r="EG57">
        <f t="shared" si="320"/>
        <v>0</v>
      </c>
      <c r="EH57">
        <f t="shared" si="320"/>
        <v>0</v>
      </c>
      <c r="EI57">
        <f t="shared" si="320"/>
        <v>0</v>
      </c>
      <c r="EJ57">
        <f t="shared" si="320"/>
        <v>0</v>
      </c>
      <c r="EK57">
        <f t="shared" si="320"/>
        <v>0</v>
      </c>
      <c r="EL57">
        <f t="shared" si="320"/>
        <v>0</v>
      </c>
      <c r="EM57">
        <f t="shared" si="320"/>
        <v>0</v>
      </c>
      <c r="EN57">
        <f t="shared" si="320"/>
        <v>0</v>
      </c>
      <c r="EO57">
        <f t="shared" si="320"/>
        <v>0</v>
      </c>
      <c r="EP57">
        <f t="shared" si="320"/>
        <v>0</v>
      </c>
      <c r="EQ57">
        <f t="shared" si="320"/>
        <v>0</v>
      </c>
      <c r="ER57">
        <f t="shared" si="320"/>
        <v>0</v>
      </c>
      <c r="ES57">
        <f t="shared" si="320"/>
        <v>0</v>
      </c>
      <c r="ET57">
        <f t="shared" si="320"/>
        <v>0</v>
      </c>
      <c r="EU57">
        <f t="shared" si="320"/>
        <v>0</v>
      </c>
      <c r="EV57">
        <f t="shared" si="320"/>
        <v>0</v>
      </c>
      <c r="EW57">
        <f t="shared" si="320"/>
        <v>0</v>
      </c>
      <c r="EX57">
        <f t="shared" si="320"/>
        <v>0</v>
      </c>
      <c r="EY57">
        <f t="shared" si="320"/>
        <v>0</v>
      </c>
      <c r="EZ57">
        <f t="shared" si="320"/>
        <v>0</v>
      </c>
      <c r="FA57">
        <f t="shared" si="320"/>
        <v>0</v>
      </c>
      <c r="FB57">
        <f t="shared" si="320"/>
        <v>0</v>
      </c>
      <c r="FC57">
        <f t="shared" si="320"/>
        <v>0</v>
      </c>
      <c r="FD57">
        <f t="shared" si="320"/>
        <v>0</v>
      </c>
      <c r="FE57">
        <f t="shared" si="320"/>
        <v>0</v>
      </c>
      <c r="FF57">
        <f t="shared" si="320"/>
        <v>0</v>
      </c>
      <c r="FG57">
        <f t="shared" si="320"/>
        <v>0</v>
      </c>
      <c r="FH57">
        <f t="shared" si="320"/>
        <v>0</v>
      </c>
      <c r="FI57">
        <f t="shared" si="320"/>
        <v>0</v>
      </c>
      <c r="FJ57">
        <f t="shared" si="320"/>
        <v>0</v>
      </c>
      <c r="FK57">
        <f t="shared" si="320"/>
        <v>0</v>
      </c>
      <c r="FL57">
        <f t="shared" si="320"/>
        <v>0</v>
      </c>
      <c r="FM57">
        <f t="shared" si="320"/>
        <v>0</v>
      </c>
      <c r="FN57" s="1">
        <f t="shared" si="320"/>
        <v>0</v>
      </c>
      <c r="FO57" s="1">
        <f t="shared" si="320"/>
        <v>0</v>
      </c>
      <c r="FP57" s="1">
        <f t="shared" si="320"/>
        <v>0</v>
      </c>
      <c r="FQ57" s="1">
        <f t="shared" si="320"/>
        <v>0</v>
      </c>
      <c r="FR57" s="1">
        <f t="shared" si="320"/>
        <v>0</v>
      </c>
      <c r="FS57" s="1">
        <f t="shared" si="320"/>
        <v>0</v>
      </c>
      <c r="FT57" s="1">
        <f t="shared" si="320"/>
        <v>0</v>
      </c>
      <c r="FU57" s="1">
        <f t="shared" si="320"/>
        <v>0</v>
      </c>
      <c r="FV57" s="1">
        <f t="shared" si="320"/>
        <v>0</v>
      </c>
      <c r="FW57" s="1">
        <f t="shared" si="320"/>
        <v>0</v>
      </c>
      <c r="FX57" s="1">
        <f t="shared" si="320"/>
        <v>0</v>
      </c>
      <c r="FY57" s="1">
        <f t="shared" si="320"/>
        <v>0</v>
      </c>
      <c r="FZ57" s="1">
        <f t="shared" si="320"/>
        <v>0</v>
      </c>
      <c r="GA57" s="1">
        <f t="shared" si="320"/>
        <v>0</v>
      </c>
      <c r="GB57" s="1">
        <f t="shared" si="320"/>
        <v>0</v>
      </c>
      <c r="GC57" s="1">
        <f t="shared" si="320"/>
        <v>0</v>
      </c>
      <c r="GD57" s="1">
        <f t="shared" si="320"/>
        <v>0</v>
      </c>
      <c r="GE57" s="1">
        <f t="shared" si="320"/>
        <v>0</v>
      </c>
      <c r="GF57" s="1">
        <f t="shared" si="320"/>
        <v>0</v>
      </c>
      <c r="GG57" s="1">
        <f t="shared" si="320"/>
        <v>0</v>
      </c>
      <c r="GH57" s="1">
        <f t="shared" si="320"/>
        <v>0</v>
      </c>
      <c r="GI57" s="1">
        <f t="shared" si="320"/>
        <v>0</v>
      </c>
      <c r="GJ57" s="1">
        <f t="shared" si="320"/>
        <v>0</v>
      </c>
      <c r="GK57" s="1">
        <f t="shared" si="320"/>
        <v>0</v>
      </c>
      <c r="GL57" s="1">
        <f t="shared" si="320"/>
        <v>0</v>
      </c>
      <c r="GM57" s="1">
        <f t="shared" ref="GM57:IX57" si="321">GM41-GM22</f>
        <v>0</v>
      </c>
      <c r="GN57" s="1">
        <f t="shared" si="321"/>
        <v>0</v>
      </c>
      <c r="GO57" s="1">
        <f t="shared" si="321"/>
        <v>0</v>
      </c>
      <c r="GP57" s="1">
        <f t="shared" si="321"/>
        <v>0</v>
      </c>
      <c r="GQ57" s="1">
        <f t="shared" si="321"/>
        <v>0</v>
      </c>
      <c r="GR57" s="1">
        <f t="shared" si="321"/>
        <v>0</v>
      </c>
      <c r="GS57" s="1">
        <f t="shared" si="321"/>
        <v>0</v>
      </c>
      <c r="GT57" s="1">
        <f t="shared" si="321"/>
        <v>0</v>
      </c>
      <c r="GU57" s="1">
        <f t="shared" si="321"/>
        <v>0</v>
      </c>
      <c r="GV57" s="1">
        <f t="shared" si="321"/>
        <v>0</v>
      </c>
      <c r="GW57" s="1">
        <f t="shared" si="321"/>
        <v>0</v>
      </c>
      <c r="GX57" s="1">
        <f t="shared" si="321"/>
        <v>0</v>
      </c>
      <c r="GY57" s="1">
        <f t="shared" si="321"/>
        <v>0</v>
      </c>
      <c r="GZ57" s="1">
        <f t="shared" si="321"/>
        <v>0</v>
      </c>
      <c r="HA57" s="1">
        <f t="shared" si="321"/>
        <v>0</v>
      </c>
      <c r="HB57" s="1">
        <f t="shared" si="321"/>
        <v>0</v>
      </c>
      <c r="HC57" s="1">
        <f t="shared" si="321"/>
        <v>0</v>
      </c>
      <c r="HD57" s="1">
        <f t="shared" si="321"/>
        <v>0</v>
      </c>
      <c r="HE57" s="1">
        <f t="shared" si="321"/>
        <v>0</v>
      </c>
      <c r="HF57" s="1">
        <f t="shared" si="321"/>
        <v>0</v>
      </c>
      <c r="HG57" s="1">
        <f t="shared" si="321"/>
        <v>0</v>
      </c>
      <c r="HH57" s="1">
        <f t="shared" si="321"/>
        <v>0</v>
      </c>
      <c r="HI57" s="1">
        <f t="shared" si="321"/>
        <v>0</v>
      </c>
      <c r="HJ57" s="1">
        <f t="shared" si="321"/>
        <v>0</v>
      </c>
      <c r="HK57" s="1">
        <f t="shared" si="321"/>
        <v>0</v>
      </c>
      <c r="HL57" s="1">
        <f t="shared" si="321"/>
        <v>0</v>
      </c>
      <c r="HM57" s="1">
        <f t="shared" si="321"/>
        <v>0</v>
      </c>
      <c r="HN57" s="1">
        <f t="shared" si="321"/>
        <v>0</v>
      </c>
      <c r="HO57" s="1">
        <f t="shared" si="321"/>
        <v>0</v>
      </c>
      <c r="HP57" s="1">
        <f t="shared" si="321"/>
        <v>0</v>
      </c>
      <c r="HQ57" s="1">
        <f t="shared" si="321"/>
        <v>0</v>
      </c>
      <c r="HR57" s="1">
        <f t="shared" si="321"/>
        <v>0</v>
      </c>
      <c r="HS57" s="1">
        <f t="shared" si="321"/>
        <v>0</v>
      </c>
      <c r="HT57" s="1">
        <f t="shared" si="321"/>
        <v>0</v>
      </c>
      <c r="HU57" s="1">
        <f t="shared" si="321"/>
        <v>0</v>
      </c>
      <c r="HV57" s="1">
        <f t="shared" si="321"/>
        <v>0</v>
      </c>
      <c r="HW57" s="1">
        <f t="shared" si="321"/>
        <v>0</v>
      </c>
      <c r="HX57" s="1">
        <f t="shared" si="321"/>
        <v>0</v>
      </c>
      <c r="HY57" s="1">
        <f t="shared" si="321"/>
        <v>0</v>
      </c>
      <c r="HZ57" s="1">
        <f t="shared" si="321"/>
        <v>0</v>
      </c>
      <c r="IA57" s="1">
        <f t="shared" si="321"/>
        <v>0</v>
      </c>
      <c r="IB57" s="1">
        <f t="shared" si="321"/>
        <v>0</v>
      </c>
      <c r="IC57" s="1">
        <f t="shared" si="321"/>
        <v>0</v>
      </c>
      <c r="ID57" s="1">
        <f t="shared" si="321"/>
        <v>0</v>
      </c>
      <c r="IE57" s="1">
        <f t="shared" si="321"/>
        <v>0</v>
      </c>
      <c r="IF57" s="1">
        <f t="shared" si="321"/>
        <v>0</v>
      </c>
      <c r="IG57" s="1">
        <f t="shared" si="321"/>
        <v>0</v>
      </c>
      <c r="IH57" s="1">
        <f t="shared" si="321"/>
        <v>0</v>
      </c>
      <c r="II57" s="1">
        <f t="shared" si="321"/>
        <v>0</v>
      </c>
      <c r="IJ57" s="1">
        <f t="shared" si="321"/>
        <v>0</v>
      </c>
      <c r="IK57" s="1">
        <f t="shared" si="321"/>
        <v>0</v>
      </c>
      <c r="IL57" s="1">
        <f t="shared" si="321"/>
        <v>0</v>
      </c>
      <c r="IM57" s="1">
        <f t="shared" si="321"/>
        <v>0</v>
      </c>
      <c r="IN57" s="1">
        <f t="shared" si="321"/>
        <v>0</v>
      </c>
      <c r="IO57" s="1">
        <f t="shared" si="321"/>
        <v>0</v>
      </c>
      <c r="IP57" s="1">
        <f t="shared" si="321"/>
        <v>0</v>
      </c>
      <c r="IQ57" s="1">
        <f t="shared" si="321"/>
        <v>0</v>
      </c>
      <c r="IR57" s="1">
        <f t="shared" si="321"/>
        <v>0</v>
      </c>
      <c r="IS57" s="1">
        <f t="shared" si="321"/>
        <v>0</v>
      </c>
      <c r="IT57" s="1">
        <f t="shared" si="321"/>
        <v>0</v>
      </c>
      <c r="IU57" s="1">
        <f t="shared" si="321"/>
        <v>0</v>
      </c>
      <c r="IV57" s="1">
        <f t="shared" si="321"/>
        <v>0</v>
      </c>
      <c r="IW57" s="1">
        <f t="shared" si="321"/>
        <v>0</v>
      </c>
      <c r="IX57" s="1">
        <f t="shared" si="321"/>
        <v>0</v>
      </c>
      <c r="IY57" s="1">
        <f t="shared" ref="IY57:LJ57" si="322">IY41-IY22</f>
        <v>0</v>
      </c>
      <c r="IZ57" s="1">
        <f t="shared" si="322"/>
        <v>0</v>
      </c>
      <c r="JA57" s="1">
        <f t="shared" si="322"/>
        <v>0</v>
      </c>
      <c r="JB57" s="1">
        <f t="shared" si="322"/>
        <v>0</v>
      </c>
      <c r="JC57" s="1">
        <f t="shared" si="322"/>
        <v>0</v>
      </c>
      <c r="JD57" s="1">
        <f t="shared" si="322"/>
        <v>0</v>
      </c>
      <c r="JE57" s="1">
        <f t="shared" si="322"/>
        <v>0</v>
      </c>
      <c r="JF57" s="1">
        <f t="shared" si="322"/>
        <v>0</v>
      </c>
      <c r="JG57" s="1">
        <f t="shared" si="322"/>
        <v>0</v>
      </c>
      <c r="JH57" s="1">
        <f t="shared" si="322"/>
        <v>0</v>
      </c>
      <c r="JI57" s="1">
        <f t="shared" si="322"/>
        <v>0</v>
      </c>
      <c r="JJ57" s="1">
        <f t="shared" si="322"/>
        <v>0</v>
      </c>
      <c r="JK57" s="1">
        <f t="shared" si="322"/>
        <v>0</v>
      </c>
      <c r="JL57" s="1">
        <f t="shared" si="322"/>
        <v>0</v>
      </c>
      <c r="JM57" s="1">
        <f t="shared" si="322"/>
        <v>0</v>
      </c>
      <c r="JN57" s="1">
        <f t="shared" si="322"/>
        <v>0</v>
      </c>
      <c r="JO57" s="1">
        <f t="shared" si="322"/>
        <v>0</v>
      </c>
      <c r="JP57" s="1">
        <f t="shared" si="322"/>
        <v>0</v>
      </c>
      <c r="JQ57" s="1">
        <f t="shared" si="322"/>
        <v>0</v>
      </c>
      <c r="JR57" s="1">
        <f t="shared" si="322"/>
        <v>0</v>
      </c>
      <c r="JS57" s="1">
        <f t="shared" si="322"/>
        <v>0</v>
      </c>
      <c r="JT57" s="1">
        <f t="shared" si="322"/>
        <v>0</v>
      </c>
      <c r="JU57" s="1">
        <f t="shared" si="322"/>
        <v>0</v>
      </c>
      <c r="JV57" s="1">
        <f t="shared" si="322"/>
        <v>0</v>
      </c>
      <c r="JW57" s="1">
        <f t="shared" si="322"/>
        <v>0</v>
      </c>
      <c r="JX57" s="1">
        <f t="shared" si="322"/>
        <v>0</v>
      </c>
      <c r="JY57" s="1">
        <f t="shared" si="322"/>
        <v>0</v>
      </c>
      <c r="JZ57" s="1">
        <f t="shared" si="322"/>
        <v>0</v>
      </c>
      <c r="KA57" s="1">
        <f t="shared" si="322"/>
        <v>0</v>
      </c>
      <c r="KB57" s="1">
        <f t="shared" si="322"/>
        <v>0</v>
      </c>
      <c r="KC57" s="1">
        <f t="shared" si="322"/>
        <v>0</v>
      </c>
      <c r="KD57" s="1">
        <f t="shared" si="322"/>
        <v>0</v>
      </c>
      <c r="KE57" s="1">
        <f t="shared" si="322"/>
        <v>0</v>
      </c>
      <c r="KF57" s="1">
        <f t="shared" si="322"/>
        <v>0</v>
      </c>
      <c r="KG57" s="1">
        <f t="shared" si="322"/>
        <v>0</v>
      </c>
      <c r="KH57" s="1">
        <f t="shared" si="322"/>
        <v>0</v>
      </c>
      <c r="KI57" s="1">
        <f t="shared" si="322"/>
        <v>0</v>
      </c>
      <c r="KJ57" s="1">
        <f t="shared" si="322"/>
        <v>0</v>
      </c>
      <c r="KK57" s="1">
        <f t="shared" si="322"/>
        <v>0</v>
      </c>
      <c r="KL57" s="1">
        <f t="shared" si="322"/>
        <v>0</v>
      </c>
      <c r="KM57" s="1">
        <f t="shared" si="322"/>
        <v>0</v>
      </c>
      <c r="KN57" s="1">
        <f t="shared" si="322"/>
        <v>0</v>
      </c>
      <c r="KO57" s="1">
        <f t="shared" si="322"/>
        <v>0</v>
      </c>
      <c r="KP57" s="1">
        <f t="shared" si="322"/>
        <v>0</v>
      </c>
      <c r="KQ57" s="1">
        <f t="shared" si="322"/>
        <v>0</v>
      </c>
      <c r="KR57" s="1">
        <f t="shared" si="322"/>
        <v>0</v>
      </c>
      <c r="KS57" s="1">
        <f t="shared" si="322"/>
        <v>0</v>
      </c>
      <c r="KT57" s="1">
        <f t="shared" si="322"/>
        <v>0</v>
      </c>
      <c r="KU57" s="1">
        <f t="shared" si="322"/>
        <v>0</v>
      </c>
      <c r="KV57" s="1">
        <f t="shared" si="322"/>
        <v>0</v>
      </c>
      <c r="KW57" s="1">
        <f t="shared" si="322"/>
        <v>0</v>
      </c>
      <c r="KX57" s="1">
        <f t="shared" si="322"/>
        <v>0</v>
      </c>
      <c r="KY57" s="1">
        <f t="shared" si="322"/>
        <v>0</v>
      </c>
      <c r="KZ57" s="1">
        <f t="shared" si="322"/>
        <v>0</v>
      </c>
      <c r="LA57" s="1">
        <f t="shared" si="322"/>
        <v>0</v>
      </c>
      <c r="LB57" s="1">
        <f t="shared" si="322"/>
        <v>0</v>
      </c>
      <c r="LC57" s="1">
        <f t="shared" si="322"/>
        <v>0</v>
      </c>
      <c r="LD57" s="1">
        <f t="shared" si="322"/>
        <v>0</v>
      </c>
      <c r="LE57" s="1">
        <f t="shared" si="322"/>
        <v>0</v>
      </c>
      <c r="LF57" s="1">
        <f t="shared" si="322"/>
        <v>0</v>
      </c>
      <c r="LG57" s="1">
        <f t="shared" si="322"/>
        <v>0</v>
      </c>
      <c r="LH57" s="1">
        <f t="shared" si="322"/>
        <v>0</v>
      </c>
      <c r="LI57" s="1">
        <f t="shared" si="322"/>
        <v>0</v>
      </c>
      <c r="LJ57" s="1">
        <f t="shared" si="322"/>
        <v>0</v>
      </c>
      <c r="LK57" s="1">
        <f t="shared" ref="LK57:NV57" si="323">LK41-LK22</f>
        <v>0</v>
      </c>
      <c r="LL57" s="1">
        <f t="shared" si="323"/>
        <v>0</v>
      </c>
      <c r="LM57" s="1">
        <f t="shared" si="323"/>
        <v>0</v>
      </c>
      <c r="LN57" s="1">
        <f t="shared" si="323"/>
        <v>0</v>
      </c>
      <c r="LO57" s="1">
        <f t="shared" si="323"/>
        <v>0</v>
      </c>
      <c r="LP57" s="1">
        <f t="shared" si="323"/>
        <v>0</v>
      </c>
      <c r="LQ57" s="1">
        <f t="shared" si="323"/>
        <v>0</v>
      </c>
      <c r="LR57" s="1">
        <f t="shared" si="323"/>
        <v>0</v>
      </c>
      <c r="LS57" s="1">
        <f t="shared" si="323"/>
        <v>0</v>
      </c>
      <c r="LT57" s="1">
        <f t="shared" si="323"/>
        <v>0</v>
      </c>
      <c r="LU57" s="1">
        <f t="shared" si="323"/>
        <v>0</v>
      </c>
      <c r="LV57" s="1">
        <f t="shared" si="323"/>
        <v>0</v>
      </c>
      <c r="LW57" s="1">
        <f t="shared" si="323"/>
        <v>0</v>
      </c>
      <c r="LX57" s="1">
        <f t="shared" si="323"/>
        <v>0</v>
      </c>
      <c r="LY57" s="1">
        <f t="shared" si="323"/>
        <v>0</v>
      </c>
      <c r="LZ57" s="1">
        <f t="shared" si="323"/>
        <v>0</v>
      </c>
      <c r="MA57" s="1">
        <f t="shared" si="323"/>
        <v>0</v>
      </c>
      <c r="MB57" s="1">
        <f t="shared" si="323"/>
        <v>0</v>
      </c>
      <c r="MC57" s="1">
        <f t="shared" si="323"/>
        <v>0</v>
      </c>
      <c r="MD57" s="1">
        <f t="shared" si="323"/>
        <v>0</v>
      </c>
      <c r="ME57" s="1">
        <f t="shared" si="323"/>
        <v>0</v>
      </c>
      <c r="MF57" s="1">
        <f t="shared" si="323"/>
        <v>0</v>
      </c>
      <c r="MG57" s="1">
        <f t="shared" si="323"/>
        <v>0</v>
      </c>
      <c r="MH57" s="1">
        <f t="shared" si="323"/>
        <v>0</v>
      </c>
      <c r="MI57" s="1">
        <f t="shared" si="323"/>
        <v>0</v>
      </c>
      <c r="MJ57" s="1">
        <f t="shared" si="323"/>
        <v>0</v>
      </c>
      <c r="MK57" s="1">
        <f t="shared" si="323"/>
        <v>0</v>
      </c>
      <c r="ML57" s="1">
        <f t="shared" si="323"/>
        <v>0</v>
      </c>
      <c r="MM57" s="1">
        <f t="shared" si="323"/>
        <v>0</v>
      </c>
      <c r="MN57" s="1">
        <f t="shared" si="323"/>
        <v>0</v>
      </c>
      <c r="MO57" s="1">
        <f t="shared" si="323"/>
        <v>0</v>
      </c>
      <c r="MP57" s="1">
        <f t="shared" si="323"/>
        <v>0</v>
      </c>
      <c r="MQ57" s="1">
        <f t="shared" si="323"/>
        <v>0</v>
      </c>
      <c r="MR57" s="1">
        <f t="shared" si="323"/>
        <v>0</v>
      </c>
      <c r="MS57" s="1">
        <f t="shared" si="323"/>
        <v>0</v>
      </c>
      <c r="MT57" s="1">
        <f t="shared" si="323"/>
        <v>0</v>
      </c>
      <c r="MU57" s="1">
        <f t="shared" si="323"/>
        <v>0</v>
      </c>
      <c r="MV57" s="1">
        <f t="shared" si="323"/>
        <v>0</v>
      </c>
      <c r="MW57" s="1">
        <f t="shared" si="323"/>
        <v>0</v>
      </c>
      <c r="MX57" s="1">
        <f t="shared" si="323"/>
        <v>0</v>
      </c>
      <c r="MY57" s="1">
        <f t="shared" si="323"/>
        <v>0</v>
      </c>
      <c r="MZ57" s="1">
        <f t="shared" si="323"/>
        <v>0</v>
      </c>
      <c r="NA57" s="1">
        <f t="shared" si="323"/>
        <v>0</v>
      </c>
      <c r="NB57" s="1">
        <f t="shared" si="323"/>
        <v>0</v>
      </c>
      <c r="NC57" s="1">
        <f t="shared" si="323"/>
        <v>0</v>
      </c>
      <c r="ND57" s="1">
        <f t="shared" si="323"/>
        <v>0</v>
      </c>
      <c r="NE57" s="1">
        <f t="shared" si="323"/>
        <v>0</v>
      </c>
      <c r="NF57" s="1">
        <f t="shared" si="323"/>
        <v>0</v>
      </c>
      <c r="NG57" s="1">
        <f t="shared" si="323"/>
        <v>0</v>
      </c>
      <c r="NH57" s="1">
        <f t="shared" si="323"/>
        <v>0</v>
      </c>
      <c r="NI57" s="1">
        <f t="shared" si="323"/>
        <v>0</v>
      </c>
      <c r="NJ57" s="1">
        <f t="shared" si="323"/>
        <v>0</v>
      </c>
      <c r="NK57" s="1">
        <f t="shared" si="323"/>
        <v>0</v>
      </c>
      <c r="NL57" s="1">
        <f t="shared" si="323"/>
        <v>0</v>
      </c>
      <c r="NM57" s="1">
        <f t="shared" si="323"/>
        <v>0</v>
      </c>
      <c r="NN57" s="1">
        <f t="shared" si="323"/>
        <v>0</v>
      </c>
      <c r="NO57" s="1">
        <f t="shared" si="323"/>
        <v>0</v>
      </c>
      <c r="NP57" s="1">
        <f t="shared" si="323"/>
        <v>0</v>
      </c>
      <c r="NQ57" s="1">
        <f t="shared" si="323"/>
        <v>0</v>
      </c>
      <c r="NR57" s="1">
        <f t="shared" si="323"/>
        <v>0</v>
      </c>
      <c r="NS57" s="1">
        <f t="shared" si="323"/>
        <v>0</v>
      </c>
      <c r="NT57" s="1">
        <f t="shared" si="323"/>
        <v>0</v>
      </c>
      <c r="NU57" s="1">
        <f t="shared" si="323"/>
        <v>0</v>
      </c>
      <c r="NV57" s="1">
        <f t="shared" si="323"/>
        <v>0</v>
      </c>
      <c r="NW57" s="1">
        <f t="shared" ref="NW57:QH57" si="324">NW41-NW22</f>
        <v>0</v>
      </c>
      <c r="NX57" s="1">
        <f t="shared" si="324"/>
        <v>0</v>
      </c>
      <c r="NY57" s="1">
        <f t="shared" si="324"/>
        <v>0</v>
      </c>
      <c r="NZ57" s="1">
        <f t="shared" si="324"/>
        <v>0</v>
      </c>
      <c r="OA57" s="1">
        <f t="shared" si="324"/>
        <v>0</v>
      </c>
      <c r="OB57" s="1">
        <f t="shared" si="324"/>
        <v>0</v>
      </c>
      <c r="OC57" s="1">
        <f t="shared" si="324"/>
        <v>0</v>
      </c>
      <c r="OD57" s="1">
        <f t="shared" si="324"/>
        <v>0</v>
      </c>
      <c r="OE57" s="1">
        <f t="shared" si="324"/>
        <v>0</v>
      </c>
      <c r="OF57" s="1">
        <f t="shared" si="324"/>
        <v>0</v>
      </c>
      <c r="OG57" s="1">
        <f t="shared" si="324"/>
        <v>0</v>
      </c>
      <c r="OH57" s="1">
        <f t="shared" si="324"/>
        <v>0</v>
      </c>
      <c r="OI57" s="1">
        <f t="shared" si="324"/>
        <v>0</v>
      </c>
      <c r="OJ57" s="1">
        <f t="shared" si="324"/>
        <v>0</v>
      </c>
      <c r="OK57" s="1">
        <f t="shared" si="324"/>
        <v>0</v>
      </c>
      <c r="OL57" s="1">
        <f t="shared" si="324"/>
        <v>0</v>
      </c>
      <c r="OM57" s="1">
        <f t="shared" si="324"/>
        <v>0</v>
      </c>
      <c r="ON57" s="1">
        <f t="shared" si="324"/>
        <v>0</v>
      </c>
      <c r="OO57" s="1">
        <f t="shared" si="324"/>
        <v>0</v>
      </c>
      <c r="OP57" s="1">
        <f t="shared" si="324"/>
        <v>0</v>
      </c>
      <c r="OQ57" s="1">
        <f t="shared" si="324"/>
        <v>0</v>
      </c>
      <c r="OR57" s="1">
        <f t="shared" si="324"/>
        <v>0</v>
      </c>
      <c r="OS57" s="1">
        <f t="shared" si="324"/>
        <v>0</v>
      </c>
      <c r="OT57" s="1">
        <f t="shared" si="324"/>
        <v>0</v>
      </c>
      <c r="OU57" s="1">
        <f t="shared" si="324"/>
        <v>0</v>
      </c>
      <c r="OV57" s="1">
        <f t="shared" si="324"/>
        <v>0</v>
      </c>
      <c r="OW57" s="1">
        <f t="shared" si="324"/>
        <v>0</v>
      </c>
      <c r="OX57" s="1">
        <f t="shared" si="324"/>
        <v>0</v>
      </c>
      <c r="OY57" s="1">
        <f t="shared" si="324"/>
        <v>0</v>
      </c>
      <c r="OZ57" s="1">
        <f t="shared" si="324"/>
        <v>0</v>
      </c>
      <c r="PA57" s="1">
        <f t="shared" si="324"/>
        <v>0</v>
      </c>
      <c r="PB57" s="1">
        <f t="shared" si="324"/>
        <v>0</v>
      </c>
      <c r="PC57" s="1">
        <f t="shared" si="324"/>
        <v>0</v>
      </c>
      <c r="PD57" s="1">
        <f t="shared" si="324"/>
        <v>0</v>
      </c>
      <c r="PE57" s="1">
        <f t="shared" si="324"/>
        <v>0</v>
      </c>
      <c r="PF57" s="1">
        <f t="shared" si="324"/>
        <v>0</v>
      </c>
      <c r="PG57" s="1">
        <f t="shared" si="324"/>
        <v>0</v>
      </c>
      <c r="PH57" s="1">
        <f t="shared" si="324"/>
        <v>0</v>
      </c>
      <c r="PI57" s="1">
        <f t="shared" si="324"/>
        <v>0</v>
      </c>
      <c r="PJ57" s="1">
        <f t="shared" si="324"/>
        <v>0</v>
      </c>
      <c r="PK57" s="1">
        <f t="shared" si="324"/>
        <v>0</v>
      </c>
      <c r="PL57" s="1">
        <f t="shared" si="324"/>
        <v>0</v>
      </c>
      <c r="PM57" s="1">
        <f t="shared" si="324"/>
        <v>0</v>
      </c>
      <c r="PN57" s="1">
        <f t="shared" si="324"/>
        <v>0</v>
      </c>
      <c r="PO57" s="1">
        <f t="shared" si="324"/>
        <v>0</v>
      </c>
      <c r="PP57" s="1">
        <f t="shared" si="324"/>
        <v>0</v>
      </c>
      <c r="PQ57" s="1">
        <f t="shared" si="324"/>
        <v>0</v>
      </c>
      <c r="PR57" s="1">
        <f t="shared" si="324"/>
        <v>0</v>
      </c>
      <c r="PS57" s="1">
        <f t="shared" si="324"/>
        <v>0</v>
      </c>
      <c r="PT57" s="1">
        <f t="shared" si="324"/>
        <v>0</v>
      </c>
      <c r="PU57" s="1">
        <f t="shared" si="324"/>
        <v>0</v>
      </c>
      <c r="PV57" s="1">
        <f t="shared" si="324"/>
        <v>0</v>
      </c>
      <c r="PW57" s="1">
        <f t="shared" si="324"/>
        <v>0</v>
      </c>
      <c r="PX57" s="1">
        <f t="shared" si="324"/>
        <v>0</v>
      </c>
      <c r="PY57" s="1">
        <f t="shared" si="324"/>
        <v>0</v>
      </c>
      <c r="PZ57" s="1">
        <f t="shared" si="324"/>
        <v>0</v>
      </c>
      <c r="QA57" s="1">
        <f t="shared" si="324"/>
        <v>0</v>
      </c>
      <c r="QB57" s="1">
        <f t="shared" si="324"/>
        <v>0</v>
      </c>
      <c r="QC57" s="1">
        <f t="shared" si="324"/>
        <v>0</v>
      </c>
      <c r="QD57" s="1">
        <f t="shared" si="324"/>
        <v>0</v>
      </c>
      <c r="QE57" s="1">
        <f t="shared" si="324"/>
        <v>0</v>
      </c>
      <c r="QF57" s="1">
        <f t="shared" si="324"/>
        <v>0</v>
      </c>
      <c r="QG57" s="1">
        <f t="shared" si="324"/>
        <v>0</v>
      </c>
      <c r="QH57" s="1">
        <f t="shared" si="324"/>
        <v>0</v>
      </c>
      <c r="QI57" s="1">
        <f t="shared" ref="QI57:SG57" si="325">QI41-QI22</f>
        <v>0</v>
      </c>
      <c r="QJ57" s="1">
        <f t="shared" si="325"/>
        <v>0</v>
      </c>
      <c r="QK57" s="1">
        <f t="shared" si="325"/>
        <v>0</v>
      </c>
      <c r="QL57" s="1">
        <f t="shared" si="325"/>
        <v>0</v>
      </c>
      <c r="QM57" s="1">
        <f t="shared" si="325"/>
        <v>0</v>
      </c>
      <c r="QN57" s="1">
        <f t="shared" si="325"/>
        <v>0</v>
      </c>
      <c r="QO57" s="1">
        <f t="shared" si="325"/>
        <v>0</v>
      </c>
      <c r="QP57" s="1">
        <f t="shared" si="325"/>
        <v>0</v>
      </c>
      <c r="QQ57" s="1">
        <f t="shared" si="325"/>
        <v>0</v>
      </c>
      <c r="QR57" s="1">
        <f t="shared" si="325"/>
        <v>0</v>
      </c>
      <c r="QS57" s="1">
        <f t="shared" si="325"/>
        <v>0</v>
      </c>
      <c r="QT57" s="1">
        <f t="shared" si="325"/>
        <v>0</v>
      </c>
      <c r="QU57" s="1">
        <f t="shared" si="325"/>
        <v>0</v>
      </c>
      <c r="QV57" s="1">
        <f t="shared" si="325"/>
        <v>0</v>
      </c>
      <c r="QW57" s="1">
        <f t="shared" si="325"/>
        <v>0</v>
      </c>
      <c r="QX57" s="1">
        <f t="shared" si="325"/>
        <v>0</v>
      </c>
      <c r="QY57" s="1">
        <f t="shared" si="325"/>
        <v>0</v>
      </c>
      <c r="QZ57" s="1">
        <f t="shared" si="325"/>
        <v>0</v>
      </c>
      <c r="RA57" s="1">
        <f t="shared" si="325"/>
        <v>0</v>
      </c>
      <c r="RB57" s="1">
        <f t="shared" si="325"/>
        <v>0</v>
      </c>
      <c r="RC57" s="1">
        <f t="shared" si="325"/>
        <v>0</v>
      </c>
      <c r="RD57" s="1">
        <f t="shared" si="325"/>
        <v>0</v>
      </c>
      <c r="RE57" s="1">
        <f t="shared" si="325"/>
        <v>0</v>
      </c>
      <c r="RF57" s="1">
        <f t="shared" si="325"/>
        <v>0</v>
      </c>
      <c r="RG57" s="1">
        <f t="shared" si="325"/>
        <v>0</v>
      </c>
      <c r="RH57" s="1">
        <f t="shared" si="325"/>
        <v>0</v>
      </c>
      <c r="RI57" s="1">
        <f t="shared" si="325"/>
        <v>0</v>
      </c>
      <c r="RJ57" s="1">
        <f t="shared" si="325"/>
        <v>0</v>
      </c>
      <c r="RK57" s="1">
        <f t="shared" si="325"/>
        <v>0</v>
      </c>
      <c r="RL57" s="1">
        <f t="shared" si="325"/>
        <v>0</v>
      </c>
      <c r="RM57" s="1">
        <f t="shared" si="325"/>
        <v>0</v>
      </c>
      <c r="RN57" s="1">
        <f t="shared" si="325"/>
        <v>0</v>
      </c>
      <c r="RO57" s="1">
        <f t="shared" si="325"/>
        <v>0</v>
      </c>
      <c r="RP57" s="1">
        <f t="shared" si="325"/>
        <v>0</v>
      </c>
      <c r="RQ57" s="1">
        <f t="shared" si="325"/>
        <v>0</v>
      </c>
      <c r="RR57" s="1">
        <f t="shared" si="325"/>
        <v>0</v>
      </c>
      <c r="RS57" s="1">
        <f t="shared" si="325"/>
        <v>0</v>
      </c>
      <c r="RT57" s="1">
        <f t="shared" si="325"/>
        <v>0</v>
      </c>
      <c r="RU57" s="1">
        <f t="shared" si="325"/>
        <v>0</v>
      </c>
      <c r="RV57" s="1">
        <f t="shared" si="325"/>
        <v>0</v>
      </c>
      <c r="RW57" s="1">
        <f t="shared" si="325"/>
        <v>0</v>
      </c>
      <c r="RX57" s="1">
        <f t="shared" si="325"/>
        <v>0</v>
      </c>
      <c r="RY57" s="1">
        <f t="shared" si="325"/>
        <v>0</v>
      </c>
      <c r="RZ57" s="1">
        <f t="shared" si="325"/>
        <v>0</v>
      </c>
      <c r="SA57" s="1">
        <f t="shared" si="325"/>
        <v>0</v>
      </c>
      <c r="SB57" s="1">
        <f t="shared" si="325"/>
        <v>0</v>
      </c>
      <c r="SC57" s="1">
        <f t="shared" si="325"/>
        <v>0</v>
      </c>
      <c r="SD57" s="1">
        <f t="shared" si="325"/>
        <v>0</v>
      </c>
      <c r="SE57" s="1">
        <f t="shared" si="325"/>
        <v>0</v>
      </c>
      <c r="SF57" s="1">
        <f t="shared" si="325"/>
        <v>0</v>
      </c>
      <c r="SG57" s="1">
        <f t="shared" si="325"/>
        <v>0</v>
      </c>
      <c r="SH57" s="1">
        <f t="shared" ref="SH57:US57" si="326">SH41-SH22</f>
        <v>0</v>
      </c>
      <c r="SI57" s="1">
        <f t="shared" si="326"/>
        <v>0</v>
      </c>
      <c r="SJ57" s="1">
        <f t="shared" si="326"/>
        <v>0</v>
      </c>
      <c r="SK57" s="1">
        <f t="shared" si="326"/>
        <v>0</v>
      </c>
      <c r="SL57" s="1">
        <f t="shared" si="326"/>
        <v>0</v>
      </c>
      <c r="SM57" s="1">
        <f t="shared" si="326"/>
        <v>0</v>
      </c>
      <c r="SN57" s="1">
        <f t="shared" si="326"/>
        <v>0</v>
      </c>
      <c r="SO57" s="1">
        <f t="shared" si="326"/>
        <v>0</v>
      </c>
      <c r="SP57" s="1">
        <f t="shared" si="326"/>
        <v>0</v>
      </c>
      <c r="SQ57" s="1">
        <f t="shared" si="326"/>
        <v>0</v>
      </c>
      <c r="SR57" s="1">
        <f t="shared" si="326"/>
        <v>0</v>
      </c>
      <c r="SS57" s="1">
        <f t="shared" si="326"/>
        <v>0</v>
      </c>
      <c r="ST57" s="1">
        <f t="shared" si="326"/>
        <v>0</v>
      </c>
      <c r="SU57" s="1">
        <f t="shared" si="326"/>
        <v>0</v>
      </c>
      <c r="SV57" s="1">
        <f t="shared" si="326"/>
        <v>0</v>
      </c>
      <c r="SW57" s="1">
        <f t="shared" si="326"/>
        <v>0</v>
      </c>
      <c r="SX57" s="1">
        <f t="shared" si="326"/>
        <v>0</v>
      </c>
      <c r="SY57" s="1">
        <f t="shared" si="326"/>
        <v>0</v>
      </c>
      <c r="SZ57" s="1">
        <f t="shared" si="326"/>
        <v>0</v>
      </c>
      <c r="TA57" s="1">
        <f t="shared" si="326"/>
        <v>0</v>
      </c>
      <c r="TB57" s="1">
        <f t="shared" si="326"/>
        <v>0</v>
      </c>
      <c r="TC57" s="1">
        <f t="shared" si="326"/>
        <v>0</v>
      </c>
      <c r="TD57" s="1">
        <f t="shared" si="326"/>
        <v>0</v>
      </c>
      <c r="TE57" s="1">
        <f t="shared" si="326"/>
        <v>0</v>
      </c>
      <c r="TF57" s="1">
        <f t="shared" si="326"/>
        <v>0</v>
      </c>
      <c r="TG57" s="1">
        <f t="shared" si="326"/>
        <v>0</v>
      </c>
      <c r="TH57" s="1">
        <f t="shared" si="326"/>
        <v>0</v>
      </c>
      <c r="TI57" s="1">
        <f t="shared" si="326"/>
        <v>0</v>
      </c>
      <c r="TJ57" s="1">
        <f t="shared" si="326"/>
        <v>0</v>
      </c>
      <c r="TK57" s="1">
        <f t="shared" si="326"/>
        <v>0</v>
      </c>
      <c r="TL57" s="1">
        <f t="shared" si="326"/>
        <v>0</v>
      </c>
      <c r="TM57" s="1">
        <f t="shared" si="326"/>
        <v>0</v>
      </c>
      <c r="TN57" s="1">
        <f t="shared" si="326"/>
        <v>0</v>
      </c>
      <c r="TO57" s="1">
        <f t="shared" si="326"/>
        <v>0</v>
      </c>
      <c r="TP57" s="1">
        <f t="shared" si="326"/>
        <v>0</v>
      </c>
      <c r="TQ57" s="1">
        <f t="shared" si="326"/>
        <v>0</v>
      </c>
      <c r="TR57" s="1">
        <f t="shared" si="326"/>
        <v>0</v>
      </c>
      <c r="TS57" s="1">
        <f t="shared" si="326"/>
        <v>0</v>
      </c>
      <c r="TT57" s="1">
        <f t="shared" si="326"/>
        <v>0</v>
      </c>
      <c r="TU57" s="1">
        <f t="shared" si="326"/>
        <v>0</v>
      </c>
      <c r="TV57" s="1">
        <f t="shared" si="326"/>
        <v>0</v>
      </c>
      <c r="TW57" s="1">
        <f t="shared" si="326"/>
        <v>0</v>
      </c>
      <c r="TX57" s="1">
        <f t="shared" si="326"/>
        <v>0</v>
      </c>
      <c r="TY57" s="1">
        <f t="shared" si="326"/>
        <v>0</v>
      </c>
      <c r="TZ57" s="1">
        <f t="shared" si="326"/>
        <v>0</v>
      </c>
      <c r="UA57" s="1">
        <f t="shared" si="326"/>
        <v>0</v>
      </c>
      <c r="UB57" s="1">
        <f t="shared" si="326"/>
        <v>0</v>
      </c>
      <c r="UC57" s="1">
        <f t="shared" si="326"/>
        <v>0</v>
      </c>
      <c r="UD57" s="1">
        <f t="shared" si="326"/>
        <v>0</v>
      </c>
      <c r="UE57" s="1">
        <f t="shared" si="326"/>
        <v>0</v>
      </c>
      <c r="UF57" s="1">
        <f t="shared" si="326"/>
        <v>0</v>
      </c>
      <c r="UG57" s="1">
        <f t="shared" si="326"/>
        <v>0</v>
      </c>
      <c r="UH57" s="1">
        <f t="shared" si="326"/>
        <v>0</v>
      </c>
      <c r="UI57" s="1">
        <f t="shared" si="326"/>
        <v>0</v>
      </c>
      <c r="UJ57" s="1">
        <f t="shared" si="326"/>
        <v>0</v>
      </c>
      <c r="UK57" s="1">
        <f t="shared" si="326"/>
        <v>0</v>
      </c>
      <c r="UL57" s="1">
        <f t="shared" si="326"/>
        <v>0</v>
      </c>
      <c r="UM57" s="1">
        <f t="shared" si="326"/>
        <v>0</v>
      </c>
      <c r="UN57" s="1">
        <f t="shared" si="326"/>
        <v>0</v>
      </c>
      <c r="UO57" s="1">
        <f t="shared" si="326"/>
        <v>0</v>
      </c>
      <c r="UP57" s="1">
        <f t="shared" si="326"/>
        <v>0</v>
      </c>
      <c r="UQ57" s="1">
        <f t="shared" si="326"/>
        <v>0</v>
      </c>
      <c r="UR57" s="1">
        <f t="shared" si="326"/>
        <v>0</v>
      </c>
      <c r="US57" s="1">
        <f t="shared" si="326"/>
        <v>0</v>
      </c>
      <c r="UT57" s="1">
        <f t="shared" ref="UT57:XE57" si="327">UT41-UT22</f>
        <v>0</v>
      </c>
      <c r="UU57" s="1">
        <f t="shared" si="327"/>
        <v>0</v>
      </c>
      <c r="UV57" s="1">
        <f t="shared" si="327"/>
        <v>0</v>
      </c>
      <c r="UW57" s="1">
        <f t="shared" si="327"/>
        <v>0</v>
      </c>
      <c r="UX57" s="1">
        <f t="shared" si="327"/>
        <v>0</v>
      </c>
      <c r="UY57" s="1">
        <f t="shared" si="327"/>
        <v>0</v>
      </c>
      <c r="UZ57" s="1">
        <f t="shared" si="327"/>
        <v>0</v>
      </c>
      <c r="VA57" s="1">
        <f t="shared" si="327"/>
        <v>0</v>
      </c>
      <c r="VB57" s="1">
        <f t="shared" si="327"/>
        <v>0</v>
      </c>
      <c r="VC57" s="1">
        <f t="shared" si="327"/>
        <v>0</v>
      </c>
      <c r="VD57" s="1">
        <f t="shared" si="327"/>
        <v>0</v>
      </c>
      <c r="VE57" s="1">
        <f t="shared" si="327"/>
        <v>0</v>
      </c>
      <c r="VF57" s="1">
        <f t="shared" si="327"/>
        <v>0</v>
      </c>
      <c r="VG57" s="1">
        <f t="shared" si="327"/>
        <v>0</v>
      </c>
      <c r="VH57" s="1">
        <f t="shared" si="327"/>
        <v>0</v>
      </c>
      <c r="VI57" s="1">
        <f t="shared" si="327"/>
        <v>0</v>
      </c>
      <c r="VJ57" s="1">
        <f t="shared" si="327"/>
        <v>0</v>
      </c>
      <c r="VK57" s="1">
        <f t="shared" si="327"/>
        <v>0</v>
      </c>
      <c r="VL57" s="1">
        <f t="shared" si="327"/>
        <v>0</v>
      </c>
      <c r="VM57" s="1">
        <f t="shared" si="327"/>
        <v>0</v>
      </c>
      <c r="VN57" s="1">
        <f t="shared" si="327"/>
        <v>0</v>
      </c>
      <c r="VO57" s="1">
        <f t="shared" si="327"/>
        <v>0</v>
      </c>
      <c r="VP57" s="1">
        <f t="shared" si="327"/>
        <v>0</v>
      </c>
      <c r="VQ57" s="1">
        <f t="shared" si="327"/>
        <v>0</v>
      </c>
      <c r="VR57" s="1">
        <f t="shared" si="327"/>
        <v>0</v>
      </c>
      <c r="VS57" s="1">
        <f t="shared" si="327"/>
        <v>0</v>
      </c>
      <c r="VT57" s="1">
        <f t="shared" si="327"/>
        <v>0</v>
      </c>
      <c r="VU57" s="1">
        <f t="shared" si="327"/>
        <v>0</v>
      </c>
      <c r="VV57" s="1">
        <f t="shared" si="327"/>
        <v>0</v>
      </c>
      <c r="VW57" s="1">
        <f t="shared" si="327"/>
        <v>0</v>
      </c>
      <c r="VX57" s="1">
        <f t="shared" si="327"/>
        <v>0</v>
      </c>
      <c r="VY57" s="1">
        <f t="shared" si="327"/>
        <v>0</v>
      </c>
      <c r="VZ57" s="1">
        <f t="shared" si="327"/>
        <v>0</v>
      </c>
      <c r="WA57" s="1">
        <f t="shared" si="327"/>
        <v>0</v>
      </c>
      <c r="WB57" s="1">
        <f t="shared" si="327"/>
        <v>0</v>
      </c>
      <c r="WC57" s="1">
        <f t="shared" si="327"/>
        <v>0</v>
      </c>
      <c r="WD57" s="1">
        <f t="shared" si="327"/>
        <v>0</v>
      </c>
      <c r="WE57" s="1">
        <f t="shared" si="327"/>
        <v>0</v>
      </c>
      <c r="WF57" s="1">
        <f t="shared" si="327"/>
        <v>0</v>
      </c>
      <c r="WG57" s="1">
        <f t="shared" si="327"/>
        <v>0</v>
      </c>
      <c r="WH57" s="1">
        <f t="shared" si="327"/>
        <v>0</v>
      </c>
      <c r="WI57" s="1">
        <f t="shared" si="327"/>
        <v>0</v>
      </c>
      <c r="WJ57" s="1">
        <f t="shared" si="327"/>
        <v>0</v>
      </c>
      <c r="WK57" s="1">
        <f t="shared" si="327"/>
        <v>0</v>
      </c>
      <c r="WL57" s="1">
        <f t="shared" si="327"/>
        <v>0</v>
      </c>
      <c r="WM57" s="1">
        <f t="shared" si="327"/>
        <v>0</v>
      </c>
      <c r="WN57" s="1">
        <f t="shared" si="327"/>
        <v>0</v>
      </c>
      <c r="WO57" s="1">
        <f t="shared" si="327"/>
        <v>0</v>
      </c>
      <c r="WP57" s="1">
        <f t="shared" si="327"/>
        <v>0</v>
      </c>
      <c r="WQ57" s="1">
        <f t="shared" si="327"/>
        <v>0</v>
      </c>
      <c r="WR57" s="1">
        <f t="shared" si="327"/>
        <v>0</v>
      </c>
      <c r="WS57" s="1">
        <f t="shared" si="327"/>
        <v>0</v>
      </c>
      <c r="WT57" s="1">
        <f t="shared" si="327"/>
        <v>0</v>
      </c>
      <c r="WU57" s="1">
        <f t="shared" si="327"/>
        <v>0</v>
      </c>
      <c r="WV57" s="1">
        <f t="shared" si="327"/>
        <v>0</v>
      </c>
      <c r="WW57" s="1">
        <f t="shared" si="327"/>
        <v>0</v>
      </c>
      <c r="WX57" s="1">
        <f t="shared" si="327"/>
        <v>0</v>
      </c>
      <c r="WY57" s="1">
        <f t="shared" si="327"/>
        <v>0</v>
      </c>
      <c r="WZ57" s="1">
        <f t="shared" si="327"/>
        <v>0</v>
      </c>
      <c r="XA57" s="1">
        <f t="shared" si="327"/>
        <v>0</v>
      </c>
      <c r="XB57" s="1">
        <f t="shared" si="327"/>
        <v>0</v>
      </c>
      <c r="XC57" s="1">
        <f t="shared" si="327"/>
        <v>0</v>
      </c>
      <c r="XD57" s="1">
        <f t="shared" si="327"/>
        <v>0</v>
      </c>
      <c r="XE57" s="1">
        <f t="shared" si="327"/>
        <v>0</v>
      </c>
      <c r="XF57" s="1">
        <f t="shared" ref="XF57:ZQ57" si="328">XF41-XF22</f>
        <v>0</v>
      </c>
      <c r="XG57" s="1">
        <f t="shared" si="328"/>
        <v>0</v>
      </c>
      <c r="XH57" s="1">
        <f t="shared" si="328"/>
        <v>0</v>
      </c>
      <c r="XI57" s="1">
        <f t="shared" si="328"/>
        <v>0</v>
      </c>
      <c r="XJ57" s="1">
        <f t="shared" si="328"/>
        <v>0</v>
      </c>
      <c r="XK57" s="1">
        <f t="shared" si="328"/>
        <v>0</v>
      </c>
      <c r="XL57" s="1">
        <f t="shared" si="328"/>
        <v>0</v>
      </c>
      <c r="XM57" s="1">
        <f t="shared" si="328"/>
        <v>0</v>
      </c>
      <c r="XN57" s="1">
        <f t="shared" si="328"/>
        <v>0</v>
      </c>
      <c r="XO57" s="1">
        <f t="shared" si="328"/>
        <v>0</v>
      </c>
      <c r="XP57" s="1">
        <f t="shared" si="328"/>
        <v>0</v>
      </c>
      <c r="XQ57" s="1">
        <f t="shared" si="328"/>
        <v>0</v>
      </c>
      <c r="XR57" s="1">
        <f t="shared" si="328"/>
        <v>0</v>
      </c>
      <c r="XS57" s="1">
        <f t="shared" si="328"/>
        <v>0</v>
      </c>
      <c r="XT57" s="1">
        <f t="shared" si="328"/>
        <v>0</v>
      </c>
      <c r="XU57" s="1">
        <f t="shared" si="328"/>
        <v>0</v>
      </c>
      <c r="XV57" s="1">
        <f t="shared" si="328"/>
        <v>0</v>
      </c>
      <c r="XW57" s="1">
        <f t="shared" si="328"/>
        <v>0</v>
      </c>
      <c r="XX57" s="1">
        <f t="shared" si="328"/>
        <v>0</v>
      </c>
      <c r="XY57" s="1">
        <f t="shared" si="328"/>
        <v>0</v>
      </c>
      <c r="XZ57" s="1">
        <f t="shared" si="328"/>
        <v>0</v>
      </c>
      <c r="YA57" s="1">
        <f t="shared" si="328"/>
        <v>0</v>
      </c>
      <c r="YB57" s="1">
        <f t="shared" si="328"/>
        <v>0</v>
      </c>
      <c r="YC57" s="1">
        <f t="shared" si="328"/>
        <v>0</v>
      </c>
      <c r="YD57" s="1">
        <f t="shared" si="328"/>
        <v>0</v>
      </c>
      <c r="YE57" s="1">
        <f t="shared" si="328"/>
        <v>0</v>
      </c>
      <c r="YF57" s="1">
        <f t="shared" si="328"/>
        <v>0</v>
      </c>
      <c r="YG57" s="1">
        <f t="shared" si="328"/>
        <v>0</v>
      </c>
      <c r="YH57" s="1">
        <f t="shared" si="328"/>
        <v>0</v>
      </c>
      <c r="YI57" s="1">
        <f t="shared" si="328"/>
        <v>0</v>
      </c>
      <c r="YJ57" s="1">
        <f t="shared" si="328"/>
        <v>0</v>
      </c>
      <c r="YK57" s="1">
        <f t="shared" si="328"/>
        <v>0</v>
      </c>
      <c r="YL57" s="1">
        <f t="shared" si="328"/>
        <v>0</v>
      </c>
      <c r="YM57" s="1">
        <f t="shared" si="328"/>
        <v>0</v>
      </c>
      <c r="YN57" s="1">
        <f t="shared" si="328"/>
        <v>0</v>
      </c>
      <c r="YO57" s="1">
        <f t="shared" si="328"/>
        <v>0</v>
      </c>
      <c r="YP57" s="1">
        <f t="shared" si="328"/>
        <v>0</v>
      </c>
      <c r="YQ57" s="1">
        <f t="shared" si="328"/>
        <v>0</v>
      </c>
      <c r="YR57" s="1">
        <f t="shared" si="328"/>
        <v>0</v>
      </c>
      <c r="YS57" s="1">
        <f t="shared" si="328"/>
        <v>0</v>
      </c>
      <c r="YT57" s="1">
        <f t="shared" si="328"/>
        <v>0</v>
      </c>
      <c r="YU57" s="1">
        <f t="shared" si="328"/>
        <v>0</v>
      </c>
      <c r="YV57" s="1">
        <f t="shared" si="328"/>
        <v>0</v>
      </c>
      <c r="YW57" s="1">
        <f t="shared" si="328"/>
        <v>0</v>
      </c>
      <c r="YX57" s="1">
        <f t="shared" si="328"/>
        <v>0</v>
      </c>
      <c r="YY57" s="1">
        <f t="shared" si="328"/>
        <v>0</v>
      </c>
      <c r="YZ57" s="1">
        <f t="shared" si="328"/>
        <v>0</v>
      </c>
      <c r="ZA57" s="1">
        <f t="shared" si="328"/>
        <v>0</v>
      </c>
      <c r="ZB57" s="1">
        <f t="shared" si="328"/>
        <v>0</v>
      </c>
      <c r="ZC57" s="1">
        <f t="shared" si="328"/>
        <v>0</v>
      </c>
      <c r="ZD57" s="1">
        <f t="shared" si="328"/>
        <v>0</v>
      </c>
      <c r="ZE57" s="1">
        <f t="shared" si="328"/>
        <v>0</v>
      </c>
      <c r="ZF57" s="1">
        <f t="shared" si="328"/>
        <v>0</v>
      </c>
      <c r="ZG57" s="1">
        <f t="shared" si="328"/>
        <v>0</v>
      </c>
      <c r="ZH57" s="1">
        <f t="shared" si="328"/>
        <v>0</v>
      </c>
      <c r="ZI57" s="1">
        <f t="shared" si="328"/>
        <v>0</v>
      </c>
      <c r="ZJ57" s="1">
        <f t="shared" si="328"/>
        <v>0</v>
      </c>
      <c r="ZK57" s="1">
        <f t="shared" si="328"/>
        <v>0</v>
      </c>
      <c r="ZL57" s="1">
        <f t="shared" si="328"/>
        <v>0</v>
      </c>
      <c r="ZM57" s="1">
        <f t="shared" si="328"/>
        <v>0</v>
      </c>
      <c r="ZN57" s="1">
        <f t="shared" si="328"/>
        <v>0</v>
      </c>
      <c r="ZO57" s="1">
        <f t="shared" si="328"/>
        <v>0</v>
      </c>
      <c r="ZP57" s="1">
        <f t="shared" si="328"/>
        <v>0</v>
      </c>
      <c r="ZQ57" s="1">
        <f t="shared" si="328"/>
        <v>0</v>
      </c>
      <c r="ZR57" s="1">
        <f t="shared" ref="ZR57:ACC57" si="329">ZR41-ZR22</f>
        <v>0</v>
      </c>
      <c r="ZS57" s="1">
        <f t="shared" si="329"/>
        <v>0</v>
      </c>
      <c r="ZT57" s="1">
        <f t="shared" si="329"/>
        <v>0</v>
      </c>
      <c r="ZU57" s="1">
        <f t="shared" si="329"/>
        <v>0</v>
      </c>
      <c r="ZV57" s="1">
        <f t="shared" si="329"/>
        <v>0</v>
      </c>
      <c r="ZW57" s="1">
        <f t="shared" si="329"/>
        <v>0</v>
      </c>
      <c r="ZX57" s="1">
        <f t="shared" si="329"/>
        <v>0</v>
      </c>
      <c r="ZY57" s="1">
        <f t="shared" si="329"/>
        <v>0</v>
      </c>
      <c r="ZZ57" s="1">
        <f t="shared" si="329"/>
        <v>0</v>
      </c>
      <c r="AAA57" s="1">
        <f t="shared" si="329"/>
        <v>0</v>
      </c>
      <c r="AAB57" s="1">
        <f t="shared" si="329"/>
        <v>0</v>
      </c>
      <c r="AAC57" s="1">
        <f t="shared" si="329"/>
        <v>0</v>
      </c>
      <c r="AAD57" s="1">
        <f t="shared" si="329"/>
        <v>0</v>
      </c>
      <c r="AAE57" s="1">
        <f t="shared" si="329"/>
        <v>0</v>
      </c>
      <c r="AAF57" s="1">
        <f t="shared" si="329"/>
        <v>0</v>
      </c>
      <c r="AAG57" s="1">
        <f t="shared" si="329"/>
        <v>0</v>
      </c>
      <c r="AAH57" s="1">
        <f t="shared" si="329"/>
        <v>0</v>
      </c>
      <c r="AAI57" s="1">
        <f t="shared" si="329"/>
        <v>0</v>
      </c>
      <c r="AAJ57" s="1">
        <f t="shared" si="329"/>
        <v>0</v>
      </c>
      <c r="AAK57" s="1">
        <f t="shared" si="329"/>
        <v>0</v>
      </c>
      <c r="AAL57" s="1">
        <f t="shared" si="329"/>
        <v>0</v>
      </c>
      <c r="AAM57" s="1">
        <f t="shared" si="329"/>
        <v>0</v>
      </c>
      <c r="AAN57" s="1">
        <f t="shared" si="329"/>
        <v>0</v>
      </c>
      <c r="AAO57" s="1">
        <f t="shared" si="329"/>
        <v>0</v>
      </c>
      <c r="AAP57" s="1">
        <f t="shared" si="329"/>
        <v>0</v>
      </c>
      <c r="AAQ57" s="1">
        <f t="shared" si="329"/>
        <v>0</v>
      </c>
      <c r="AAR57" s="1">
        <f t="shared" si="329"/>
        <v>0</v>
      </c>
      <c r="AAS57" s="1">
        <f t="shared" si="329"/>
        <v>0</v>
      </c>
      <c r="AAT57" s="1">
        <f t="shared" si="329"/>
        <v>0</v>
      </c>
      <c r="AAU57" s="1">
        <f t="shared" si="329"/>
        <v>0</v>
      </c>
      <c r="AAV57" s="1">
        <f t="shared" si="329"/>
        <v>0</v>
      </c>
      <c r="AAW57" s="1">
        <f t="shared" si="329"/>
        <v>0</v>
      </c>
      <c r="AAX57" s="1">
        <f t="shared" si="329"/>
        <v>0</v>
      </c>
      <c r="AAY57" s="1">
        <f t="shared" si="329"/>
        <v>0</v>
      </c>
      <c r="AAZ57" s="1">
        <f t="shared" si="329"/>
        <v>0</v>
      </c>
      <c r="ABA57" s="1">
        <f t="shared" si="329"/>
        <v>0</v>
      </c>
      <c r="ABB57" s="1">
        <f t="shared" si="329"/>
        <v>0</v>
      </c>
      <c r="ABC57" s="1">
        <f t="shared" si="329"/>
        <v>0</v>
      </c>
      <c r="ABD57" s="1">
        <f t="shared" si="329"/>
        <v>0</v>
      </c>
      <c r="ABE57" s="1">
        <f t="shared" si="329"/>
        <v>0</v>
      </c>
      <c r="ABF57" s="1">
        <f t="shared" si="329"/>
        <v>0</v>
      </c>
      <c r="ABG57" s="1">
        <f t="shared" si="329"/>
        <v>0</v>
      </c>
      <c r="ABH57" s="1">
        <f t="shared" si="329"/>
        <v>0</v>
      </c>
      <c r="ABI57" s="1">
        <f t="shared" si="329"/>
        <v>0</v>
      </c>
      <c r="ABJ57" s="1">
        <f t="shared" si="329"/>
        <v>0</v>
      </c>
      <c r="ABK57" s="1">
        <f t="shared" si="329"/>
        <v>0</v>
      </c>
      <c r="ABL57" s="1">
        <f t="shared" si="329"/>
        <v>0</v>
      </c>
      <c r="ABM57" s="1">
        <f t="shared" si="329"/>
        <v>0</v>
      </c>
      <c r="ABN57" s="1">
        <f t="shared" si="329"/>
        <v>0</v>
      </c>
      <c r="ABO57" s="1">
        <f t="shared" si="329"/>
        <v>0</v>
      </c>
      <c r="ABP57" s="1">
        <f t="shared" si="329"/>
        <v>0</v>
      </c>
      <c r="ABQ57" s="1">
        <f t="shared" si="329"/>
        <v>0</v>
      </c>
      <c r="ABR57" s="1">
        <f t="shared" si="329"/>
        <v>0</v>
      </c>
      <c r="ABS57" s="1">
        <f t="shared" si="329"/>
        <v>0</v>
      </c>
      <c r="ABT57" s="1">
        <f t="shared" si="329"/>
        <v>0</v>
      </c>
      <c r="ABU57" s="1">
        <f t="shared" si="329"/>
        <v>0</v>
      </c>
      <c r="ABV57" s="1">
        <f t="shared" si="329"/>
        <v>0</v>
      </c>
      <c r="ABW57" s="1">
        <f t="shared" si="329"/>
        <v>0</v>
      </c>
      <c r="ABX57" s="1">
        <f t="shared" si="329"/>
        <v>0</v>
      </c>
      <c r="ABY57" s="1">
        <f t="shared" si="329"/>
        <v>0</v>
      </c>
      <c r="ABZ57" s="1">
        <f t="shared" si="329"/>
        <v>0</v>
      </c>
      <c r="ACA57" s="1">
        <f t="shared" si="329"/>
        <v>0</v>
      </c>
      <c r="ACB57" s="1">
        <f t="shared" si="329"/>
        <v>0</v>
      </c>
      <c r="ACC57" s="1">
        <f t="shared" si="329"/>
        <v>0</v>
      </c>
      <c r="ACD57" s="1">
        <f t="shared" ref="ACD57:AEO57" si="330">ACD41-ACD22</f>
        <v>0</v>
      </c>
      <c r="ACE57" s="1">
        <f t="shared" si="330"/>
        <v>0</v>
      </c>
      <c r="ACF57" s="1">
        <f t="shared" si="330"/>
        <v>0</v>
      </c>
      <c r="ACG57" s="1">
        <f t="shared" si="330"/>
        <v>0</v>
      </c>
      <c r="ACH57" s="1">
        <f t="shared" si="330"/>
        <v>0</v>
      </c>
      <c r="ACI57" s="1">
        <f t="shared" si="330"/>
        <v>0</v>
      </c>
      <c r="ACJ57" s="1">
        <f t="shared" si="330"/>
        <v>0</v>
      </c>
      <c r="ACK57" s="1">
        <f t="shared" si="330"/>
        <v>0</v>
      </c>
      <c r="ACL57" s="1">
        <f t="shared" si="330"/>
        <v>0</v>
      </c>
      <c r="ACM57" s="1">
        <f t="shared" si="330"/>
        <v>0</v>
      </c>
      <c r="ACN57" s="1">
        <f t="shared" si="330"/>
        <v>0</v>
      </c>
      <c r="ACO57" s="1">
        <f t="shared" si="330"/>
        <v>0</v>
      </c>
      <c r="ACP57" s="1">
        <f t="shared" si="330"/>
        <v>0</v>
      </c>
      <c r="ACQ57" s="1">
        <f t="shared" si="330"/>
        <v>0</v>
      </c>
      <c r="ACR57" s="1">
        <f t="shared" si="330"/>
        <v>0</v>
      </c>
      <c r="ACS57" s="1">
        <f t="shared" si="330"/>
        <v>0</v>
      </c>
      <c r="ACT57" s="1">
        <f t="shared" si="330"/>
        <v>0</v>
      </c>
      <c r="ACU57" s="1">
        <f t="shared" si="330"/>
        <v>0</v>
      </c>
      <c r="ACV57" s="1">
        <f t="shared" si="330"/>
        <v>0</v>
      </c>
      <c r="ACW57" s="1">
        <f t="shared" si="330"/>
        <v>0</v>
      </c>
      <c r="ACX57" s="1">
        <f t="shared" si="330"/>
        <v>0</v>
      </c>
      <c r="ACY57" s="1">
        <f t="shared" si="330"/>
        <v>0</v>
      </c>
      <c r="ACZ57" s="1">
        <f t="shared" si="330"/>
        <v>0</v>
      </c>
      <c r="ADA57" s="1">
        <f t="shared" si="330"/>
        <v>0</v>
      </c>
      <c r="ADB57" s="1">
        <f t="shared" si="330"/>
        <v>0</v>
      </c>
      <c r="ADC57" s="1">
        <f t="shared" si="330"/>
        <v>0</v>
      </c>
      <c r="ADD57" s="1">
        <f t="shared" si="330"/>
        <v>0</v>
      </c>
      <c r="ADE57" s="1">
        <f t="shared" si="330"/>
        <v>0</v>
      </c>
      <c r="ADF57" s="1">
        <f t="shared" si="330"/>
        <v>0</v>
      </c>
      <c r="ADG57" s="1">
        <f t="shared" si="330"/>
        <v>0</v>
      </c>
      <c r="ADH57" s="1">
        <f t="shared" si="330"/>
        <v>0</v>
      </c>
      <c r="ADI57" s="1">
        <f t="shared" si="330"/>
        <v>0</v>
      </c>
      <c r="ADJ57" s="1">
        <f t="shared" si="330"/>
        <v>0</v>
      </c>
      <c r="ADK57" s="1">
        <f t="shared" si="330"/>
        <v>0</v>
      </c>
      <c r="ADL57" s="1">
        <f t="shared" si="330"/>
        <v>0</v>
      </c>
      <c r="ADM57" s="1">
        <f t="shared" si="330"/>
        <v>0</v>
      </c>
      <c r="ADN57" s="1">
        <f t="shared" si="330"/>
        <v>0</v>
      </c>
      <c r="ADO57" s="1">
        <f t="shared" si="330"/>
        <v>0</v>
      </c>
      <c r="ADP57" s="1">
        <f t="shared" si="330"/>
        <v>0</v>
      </c>
      <c r="ADQ57" s="1">
        <f t="shared" si="330"/>
        <v>0</v>
      </c>
      <c r="ADR57" s="1">
        <f t="shared" si="330"/>
        <v>0</v>
      </c>
      <c r="ADS57" s="1">
        <f t="shared" si="330"/>
        <v>0</v>
      </c>
      <c r="ADT57" s="1">
        <f t="shared" si="330"/>
        <v>0</v>
      </c>
      <c r="ADU57" s="1">
        <f t="shared" si="330"/>
        <v>0</v>
      </c>
      <c r="ADV57" s="1">
        <f t="shared" si="330"/>
        <v>0</v>
      </c>
      <c r="ADW57" s="1">
        <f t="shared" si="330"/>
        <v>0</v>
      </c>
      <c r="ADX57" s="1">
        <f t="shared" si="330"/>
        <v>0</v>
      </c>
      <c r="ADY57" s="1">
        <f t="shared" si="330"/>
        <v>0</v>
      </c>
      <c r="ADZ57" s="1">
        <f t="shared" si="330"/>
        <v>0</v>
      </c>
      <c r="AEA57" s="1">
        <f t="shared" si="330"/>
        <v>0</v>
      </c>
      <c r="AEB57" s="1">
        <f t="shared" si="330"/>
        <v>0</v>
      </c>
      <c r="AEC57" s="1">
        <f t="shared" si="330"/>
        <v>0</v>
      </c>
      <c r="AED57" s="1">
        <f t="shared" si="330"/>
        <v>0</v>
      </c>
      <c r="AEE57" s="1">
        <f t="shared" si="330"/>
        <v>0</v>
      </c>
      <c r="AEF57" s="1">
        <f t="shared" si="330"/>
        <v>0</v>
      </c>
      <c r="AEG57" s="1">
        <f t="shared" si="330"/>
        <v>0</v>
      </c>
      <c r="AEH57" s="1">
        <f t="shared" si="330"/>
        <v>0</v>
      </c>
      <c r="AEI57" s="1">
        <f t="shared" si="330"/>
        <v>0</v>
      </c>
      <c r="AEJ57" s="1">
        <f t="shared" si="330"/>
        <v>0</v>
      </c>
      <c r="AEK57" s="1">
        <f t="shared" si="330"/>
        <v>0</v>
      </c>
      <c r="AEL57" s="1">
        <f t="shared" si="330"/>
        <v>0</v>
      </c>
      <c r="AEM57" s="1">
        <f t="shared" si="330"/>
        <v>0</v>
      </c>
      <c r="AEN57" s="1">
        <f t="shared" si="330"/>
        <v>0</v>
      </c>
      <c r="AEO57" s="1">
        <f t="shared" si="330"/>
        <v>0</v>
      </c>
      <c r="AEP57" s="1">
        <f t="shared" ref="AEP57:AHA57" si="331">AEP41-AEP22</f>
        <v>0</v>
      </c>
      <c r="AEQ57" s="1">
        <f t="shared" si="331"/>
        <v>0</v>
      </c>
      <c r="AER57" s="1">
        <f t="shared" si="331"/>
        <v>0</v>
      </c>
      <c r="AES57" s="1">
        <f t="shared" si="331"/>
        <v>0</v>
      </c>
      <c r="AET57" s="1">
        <f t="shared" si="331"/>
        <v>0</v>
      </c>
      <c r="AEU57" s="1">
        <f t="shared" si="331"/>
        <v>0</v>
      </c>
      <c r="AEV57" s="1">
        <f t="shared" si="331"/>
        <v>0</v>
      </c>
      <c r="AEW57" s="1">
        <f t="shared" si="331"/>
        <v>0</v>
      </c>
      <c r="AEX57" s="1">
        <f t="shared" si="331"/>
        <v>0</v>
      </c>
      <c r="AEY57" s="1">
        <f t="shared" si="331"/>
        <v>0</v>
      </c>
      <c r="AEZ57" s="1">
        <f t="shared" si="331"/>
        <v>0</v>
      </c>
      <c r="AFA57" s="1">
        <f t="shared" si="331"/>
        <v>0</v>
      </c>
      <c r="AFB57" s="1">
        <f t="shared" si="331"/>
        <v>0</v>
      </c>
      <c r="AFC57" s="1">
        <f t="shared" si="331"/>
        <v>0</v>
      </c>
      <c r="AFD57" s="1">
        <f t="shared" si="331"/>
        <v>0</v>
      </c>
      <c r="AFE57" s="1">
        <f t="shared" si="331"/>
        <v>0</v>
      </c>
      <c r="AFF57" s="1">
        <f t="shared" si="331"/>
        <v>0</v>
      </c>
      <c r="AFG57" s="1">
        <f t="shared" si="331"/>
        <v>0</v>
      </c>
      <c r="AFH57" s="1">
        <f t="shared" si="331"/>
        <v>0</v>
      </c>
      <c r="AFI57" s="1">
        <f t="shared" si="331"/>
        <v>0</v>
      </c>
      <c r="AFJ57" s="1">
        <f t="shared" si="331"/>
        <v>0</v>
      </c>
      <c r="AFK57" s="1">
        <f t="shared" si="331"/>
        <v>0</v>
      </c>
      <c r="AFL57" s="1">
        <f t="shared" si="331"/>
        <v>0</v>
      </c>
      <c r="AFM57" s="1">
        <f t="shared" si="331"/>
        <v>0</v>
      </c>
      <c r="AFN57" s="1">
        <f t="shared" si="331"/>
        <v>0</v>
      </c>
      <c r="AFO57" s="1">
        <f t="shared" si="331"/>
        <v>0</v>
      </c>
      <c r="AFP57" s="1">
        <f t="shared" si="331"/>
        <v>0</v>
      </c>
      <c r="AFQ57" s="1">
        <f t="shared" si="331"/>
        <v>0</v>
      </c>
      <c r="AFR57" s="1">
        <f t="shared" si="331"/>
        <v>0</v>
      </c>
      <c r="AFS57" s="1">
        <f t="shared" si="331"/>
        <v>0</v>
      </c>
      <c r="AFT57" s="1">
        <f t="shared" si="331"/>
        <v>0</v>
      </c>
      <c r="AFU57" s="1">
        <f t="shared" si="331"/>
        <v>0</v>
      </c>
      <c r="AFV57" s="1">
        <f t="shared" si="331"/>
        <v>0</v>
      </c>
      <c r="AFW57" s="1">
        <f t="shared" si="331"/>
        <v>0</v>
      </c>
      <c r="AFX57" s="1">
        <f t="shared" si="331"/>
        <v>0</v>
      </c>
      <c r="AFY57" s="1">
        <f t="shared" si="331"/>
        <v>0</v>
      </c>
      <c r="AFZ57" s="1">
        <f t="shared" si="331"/>
        <v>0</v>
      </c>
      <c r="AGA57" s="1">
        <f t="shared" si="331"/>
        <v>0</v>
      </c>
      <c r="AGB57" s="1">
        <f t="shared" si="331"/>
        <v>0</v>
      </c>
      <c r="AGC57" s="1">
        <f t="shared" si="331"/>
        <v>0</v>
      </c>
      <c r="AGD57" s="1">
        <f t="shared" si="331"/>
        <v>0</v>
      </c>
      <c r="AGE57" s="1">
        <f t="shared" si="331"/>
        <v>0</v>
      </c>
      <c r="AGF57" s="1">
        <f t="shared" si="331"/>
        <v>0</v>
      </c>
      <c r="AGG57" s="1">
        <f t="shared" si="331"/>
        <v>0</v>
      </c>
      <c r="AGH57" s="1">
        <f t="shared" si="331"/>
        <v>0</v>
      </c>
      <c r="AGI57" s="1">
        <f t="shared" si="331"/>
        <v>0</v>
      </c>
      <c r="AGJ57" s="1">
        <f t="shared" si="331"/>
        <v>0</v>
      </c>
      <c r="AGK57" s="1">
        <f t="shared" si="331"/>
        <v>0</v>
      </c>
      <c r="AGL57" s="1">
        <f t="shared" si="331"/>
        <v>0</v>
      </c>
      <c r="AGM57" s="1">
        <f t="shared" si="331"/>
        <v>0</v>
      </c>
      <c r="AGN57" s="1">
        <f t="shared" si="331"/>
        <v>0</v>
      </c>
      <c r="AGO57" s="1">
        <f t="shared" si="331"/>
        <v>0</v>
      </c>
      <c r="AGP57" s="1">
        <f t="shared" si="331"/>
        <v>0</v>
      </c>
      <c r="AGQ57" s="1">
        <f t="shared" si="331"/>
        <v>0</v>
      </c>
      <c r="AGR57" s="1">
        <f t="shared" si="331"/>
        <v>0</v>
      </c>
      <c r="AGS57" s="1">
        <f t="shared" si="331"/>
        <v>0</v>
      </c>
      <c r="AGT57" s="1">
        <f t="shared" si="331"/>
        <v>0</v>
      </c>
      <c r="AGU57" s="1">
        <f t="shared" si="331"/>
        <v>0</v>
      </c>
      <c r="AGV57" s="1">
        <f t="shared" si="331"/>
        <v>0</v>
      </c>
      <c r="AGW57" s="1">
        <f t="shared" si="331"/>
        <v>0</v>
      </c>
      <c r="AGX57" s="1">
        <f t="shared" si="331"/>
        <v>0</v>
      </c>
      <c r="AGY57" s="1">
        <f t="shared" si="331"/>
        <v>0</v>
      </c>
      <c r="AGZ57" s="1">
        <f t="shared" si="331"/>
        <v>0</v>
      </c>
      <c r="AHA57" s="1">
        <f t="shared" si="331"/>
        <v>0</v>
      </c>
      <c r="AHB57" s="1">
        <f t="shared" ref="AHB57:AJM57" si="332">AHB41-AHB22</f>
        <v>0</v>
      </c>
      <c r="AHC57" s="1">
        <f t="shared" si="332"/>
        <v>0</v>
      </c>
      <c r="AHD57" s="1">
        <f t="shared" si="332"/>
        <v>0</v>
      </c>
      <c r="AHE57" s="1">
        <f t="shared" si="332"/>
        <v>0</v>
      </c>
      <c r="AHF57" s="1">
        <f t="shared" si="332"/>
        <v>0</v>
      </c>
      <c r="AHG57" s="1">
        <f t="shared" si="332"/>
        <v>0</v>
      </c>
      <c r="AHH57" s="1">
        <f t="shared" si="332"/>
        <v>0</v>
      </c>
      <c r="AHI57" s="1">
        <f t="shared" si="332"/>
        <v>0</v>
      </c>
      <c r="AHJ57" s="1">
        <f t="shared" si="332"/>
        <v>0</v>
      </c>
      <c r="AHK57" s="1">
        <f t="shared" si="332"/>
        <v>0</v>
      </c>
      <c r="AHL57" s="1">
        <f t="shared" si="332"/>
        <v>0</v>
      </c>
      <c r="AHM57" s="1">
        <f t="shared" si="332"/>
        <v>0</v>
      </c>
      <c r="AHN57" s="1">
        <f t="shared" si="332"/>
        <v>0</v>
      </c>
      <c r="AHO57" s="1">
        <f t="shared" si="332"/>
        <v>0</v>
      </c>
      <c r="AHP57" s="1">
        <f t="shared" si="332"/>
        <v>0</v>
      </c>
      <c r="AHQ57" s="1">
        <f t="shared" si="332"/>
        <v>0</v>
      </c>
      <c r="AHR57" s="1">
        <f t="shared" si="332"/>
        <v>0</v>
      </c>
      <c r="AHS57" s="1">
        <f t="shared" si="332"/>
        <v>0</v>
      </c>
      <c r="AHT57" s="1">
        <f t="shared" si="332"/>
        <v>0</v>
      </c>
      <c r="AHU57" s="1">
        <f t="shared" si="332"/>
        <v>0</v>
      </c>
      <c r="AHV57" s="1">
        <f t="shared" si="332"/>
        <v>0</v>
      </c>
      <c r="AHW57" s="1">
        <f t="shared" si="332"/>
        <v>0</v>
      </c>
      <c r="AHX57" s="1">
        <f t="shared" si="332"/>
        <v>0</v>
      </c>
      <c r="AHY57" s="1">
        <f t="shared" si="332"/>
        <v>0</v>
      </c>
      <c r="AHZ57" s="1">
        <f t="shared" si="332"/>
        <v>0</v>
      </c>
      <c r="AIA57" s="1">
        <f t="shared" si="332"/>
        <v>0</v>
      </c>
      <c r="AIB57" s="1">
        <f t="shared" si="332"/>
        <v>0</v>
      </c>
      <c r="AIC57" s="1">
        <f t="shared" si="332"/>
        <v>0</v>
      </c>
      <c r="AID57" s="1">
        <f t="shared" si="332"/>
        <v>0</v>
      </c>
      <c r="AIE57" s="1">
        <f t="shared" si="332"/>
        <v>0</v>
      </c>
      <c r="AIF57" s="1">
        <f t="shared" si="332"/>
        <v>0</v>
      </c>
      <c r="AIG57" s="1">
        <f t="shared" si="332"/>
        <v>0</v>
      </c>
      <c r="AIH57" s="1">
        <f t="shared" si="332"/>
        <v>0</v>
      </c>
      <c r="AII57" s="1">
        <f t="shared" si="332"/>
        <v>0</v>
      </c>
      <c r="AIJ57" s="1">
        <f t="shared" si="332"/>
        <v>0</v>
      </c>
      <c r="AIK57" s="1">
        <f t="shared" si="332"/>
        <v>0</v>
      </c>
      <c r="AIL57" s="1">
        <f t="shared" si="332"/>
        <v>0</v>
      </c>
      <c r="AIM57" s="1">
        <f t="shared" si="332"/>
        <v>0</v>
      </c>
      <c r="AIN57" s="1">
        <f t="shared" si="332"/>
        <v>0</v>
      </c>
      <c r="AIO57" s="1">
        <f t="shared" si="332"/>
        <v>0</v>
      </c>
      <c r="AIP57" s="1">
        <f t="shared" si="332"/>
        <v>0</v>
      </c>
      <c r="AIQ57" s="1">
        <f t="shared" si="332"/>
        <v>0</v>
      </c>
      <c r="AIR57" s="1">
        <f t="shared" si="332"/>
        <v>0</v>
      </c>
      <c r="AIS57" s="1">
        <f t="shared" si="332"/>
        <v>0</v>
      </c>
      <c r="AIT57" s="1">
        <f t="shared" si="332"/>
        <v>0</v>
      </c>
      <c r="AIU57" s="1">
        <f t="shared" si="332"/>
        <v>0</v>
      </c>
      <c r="AIV57" s="1">
        <f t="shared" si="332"/>
        <v>0</v>
      </c>
      <c r="AIW57" s="1">
        <f t="shared" si="332"/>
        <v>0</v>
      </c>
      <c r="AIX57" s="1">
        <f t="shared" si="332"/>
        <v>0</v>
      </c>
      <c r="AIY57" s="1">
        <f t="shared" si="332"/>
        <v>0</v>
      </c>
      <c r="AIZ57" s="1">
        <f t="shared" si="332"/>
        <v>0</v>
      </c>
      <c r="AJA57" s="1">
        <f t="shared" si="332"/>
        <v>0</v>
      </c>
      <c r="AJB57" s="1">
        <f t="shared" si="332"/>
        <v>0</v>
      </c>
      <c r="AJC57" s="1">
        <f t="shared" si="332"/>
        <v>0</v>
      </c>
      <c r="AJD57" s="1">
        <f t="shared" si="332"/>
        <v>0</v>
      </c>
      <c r="AJE57" s="1">
        <f t="shared" si="332"/>
        <v>0</v>
      </c>
      <c r="AJF57" s="1">
        <f t="shared" si="332"/>
        <v>0</v>
      </c>
      <c r="AJG57" s="1">
        <f t="shared" si="332"/>
        <v>0</v>
      </c>
      <c r="AJH57" s="1">
        <f t="shared" si="332"/>
        <v>0</v>
      </c>
      <c r="AJI57" s="1">
        <f t="shared" si="332"/>
        <v>0</v>
      </c>
      <c r="AJJ57" s="1">
        <f t="shared" si="332"/>
        <v>0</v>
      </c>
      <c r="AJK57" s="1">
        <f t="shared" si="332"/>
        <v>0</v>
      </c>
      <c r="AJL57" s="1">
        <f t="shared" si="332"/>
        <v>0</v>
      </c>
      <c r="AJM57" s="1">
        <f t="shared" si="332"/>
        <v>0</v>
      </c>
      <c r="AJN57" s="1">
        <f t="shared" ref="AJN57:ALM57" si="333">AJN41-AJN22</f>
        <v>0</v>
      </c>
      <c r="AJO57" s="1">
        <f t="shared" si="333"/>
        <v>0</v>
      </c>
      <c r="AJP57" s="1">
        <f t="shared" si="333"/>
        <v>0</v>
      </c>
      <c r="AJQ57" s="1">
        <f t="shared" si="333"/>
        <v>0</v>
      </c>
      <c r="AJR57" s="1">
        <f t="shared" si="333"/>
        <v>0</v>
      </c>
      <c r="AJS57" s="1">
        <f t="shared" si="333"/>
        <v>0</v>
      </c>
      <c r="AJT57" s="1">
        <f t="shared" si="333"/>
        <v>0</v>
      </c>
      <c r="AJU57" s="1">
        <f t="shared" si="333"/>
        <v>0</v>
      </c>
      <c r="AJV57" s="1">
        <f t="shared" si="333"/>
        <v>0</v>
      </c>
      <c r="AJW57" s="1">
        <f t="shared" si="333"/>
        <v>0</v>
      </c>
      <c r="AJX57" s="1">
        <f t="shared" si="333"/>
        <v>0</v>
      </c>
      <c r="AJY57" s="1">
        <f t="shared" si="333"/>
        <v>0</v>
      </c>
      <c r="AJZ57" s="1">
        <f t="shared" si="333"/>
        <v>0</v>
      </c>
      <c r="AKA57" s="1">
        <f t="shared" si="333"/>
        <v>0</v>
      </c>
      <c r="AKB57" s="1">
        <f t="shared" si="333"/>
        <v>0</v>
      </c>
      <c r="AKC57" s="1">
        <f t="shared" si="333"/>
        <v>0</v>
      </c>
      <c r="AKD57" s="1">
        <f t="shared" si="333"/>
        <v>0</v>
      </c>
      <c r="AKE57" s="1">
        <f t="shared" si="333"/>
        <v>0</v>
      </c>
      <c r="AKF57" s="1">
        <f t="shared" si="333"/>
        <v>0</v>
      </c>
      <c r="AKG57" s="1">
        <f t="shared" si="333"/>
        <v>0</v>
      </c>
      <c r="AKH57" s="1">
        <f t="shared" si="333"/>
        <v>0</v>
      </c>
      <c r="AKI57" s="1">
        <f t="shared" si="333"/>
        <v>0</v>
      </c>
      <c r="AKJ57" s="1">
        <f t="shared" si="333"/>
        <v>0</v>
      </c>
      <c r="AKK57" s="1">
        <f t="shared" si="333"/>
        <v>0</v>
      </c>
      <c r="AKL57" s="1">
        <f t="shared" si="333"/>
        <v>0</v>
      </c>
      <c r="AKM57" s="1">
        <f t="shared" si="333"/>
        <v>0</v>
      </c>
      <c r="AKN57" s="1">
        <f t="shared" si="333"/>
        <v>0</v>
      </c>
      <c r="AKO57" s="1">
        <f t="shared" si="333"/>
        <v>0</v>
      </c>
      <c r="AKP57" s="1">
        <f t="shared" si="333"/>
        <v>0</v>
      </c>
      <c r="AKQ57" s="1">
        <f t="shared" si="333"/>
        <v>0</v>
      </c>
      <c r="AKR57" s="1">
        <f t="shared" si="333"/>
        <v>0</v>
      </c>
      <c r="AKS57" s="1">
        <f t="shared" si="333"/>
        <v>0</v>
      </c>
      <c r="AKT57" s="1">
        <f t="shared" si="333"/>
        <v>0</v>
      </c>
      <c r="AKU57" s="1">
        <f t="shared" si="333"/>
        <v>0</v>
      </c>
      <c r="AKV57" s="1">
        <f t="shared" si="333"/>
        <v>0</v>
      </c>
      <c r="AKW57" s="1">
        <f t="shared" si="333"/>
        <v>0</v>
      </c>
      <c r="AKX57" s="1">
        <f t="shared" si="333"/>
        <v>0</v>
      </c>
      <c r="AKY57" s="1">
        <f t="shared" si="333"/>
        <v>0</v>
      </c>
      <c r="AKZ57" s="1">
        <f t="shared" si="333"/>
        <v>0</v>
      </c>
      <c r="ALA57" s="1">
        <f t="shared" si="333"/>
        <v>0</v>
      </c>
      <c r="ALB57" s="1">
        <f t="shared" si="333"/>
        <v>0</v>
      </c>
      <c r="ALC57" s="1">
        <f t="shared" si="333"/>
        <v>0</v>
      </c>
      <c r="ALD57" s="1">
        <f t="shared" si="333"/>
        <v>0</v>
      </c>
      <c r="ALE57" s="1">
        <f t="shared" si="333"/>
        <v>0</v>
      </c>
      <c r="ALF57" s="1">
        <f t="shared" si="333"/>
        <v>0</v>
      </c>
      <c r="ALG57" s="1">
        <f t="shared" si="333"/>
        <v>0</v>
      </c>
      <c r="ALH57" s="1">
        <f t="shared" si="333"/>
        <v>0</v>
      </c>
      <c r="ALI57" s="1">
        <f t="shared" si="333"/>
        <v>0</v>
      </c>
      <c r="ALJ57" s="1">
        <f t="shared" si="333"/>
        <v>0</v>
      </c>
      <c r="ALK57" s="1">
        <f t="shared" si="333"/>
        <v>0</v>
      </c>
      <c r="ALL57" s="1">
        <f t="shared" si="333"/>
        <v>0</v>
      </c>
      <c r="ALM57" s="1">
        <f t="shared" si="333"/>
        <v>0</v>
      </c>
    </row>
    <row r="58" spans="1:1001" s="12" customFormat="1">
      <c r="A58" s="27"/>
      <c r="B58" s="11">
        <f>IF(B1&lt;&gt;0, SUMIFS(Detail!$L:$L,Detail!$G:$G,'Rates-Service Fees'!B$23,Detail!$H:$H,"State"), 0)</f>
        <v>0</v>
      </c>
      <c r="C58" s="11">
        <f>IF(C1&lt;&gt;0, SUMIFS(Detail!$L:$L,Detail!$G:$G,'Rates-Service Fees'!C$23,Detail!$H:$H,"State"), 0)</f>
        <v>0</v>
      </c>
      <c r="D58" s="11">
        <f>IF(D1&lt;&gt;0, SUMIFS(Detail!$L:$L,Detail!$G:$G,'Rates-Service Fees'!D$23,Detail!$H:$H,"State"), 0)</f>
        <v>0</v>
      </c>
      <c r="E58" s="11">
        <f>IF(E1&lt;&gt;0, SUMIFS(Detail!$L:$L,Detail!$G:$G,'Rates-Service Fees'!E$23,Detail!$H:$H,"State"), 0)</f>
        <v>0</v>
      </c>
      <c r="F58" s="11">
        <f>IF(F1&lt;&gt;0, SUMIFS(Detail!$L:$L,Detail!$G:$G,'Rates-Service Fees'!F$23,Detail!$H:$H,"State"), 0)</f>
        <v>0</v>
      </c>
      <c r="G58" s="11">
        <f>IF(G1&lt;&gt;0, SUMIFS(Detail!$L:$L,Detail!$G:$G,'Rates-Service Fees'!G$23,Detail!$H:$H,"State"), 0)</f>
        <v>0</v>
      </c>
      <c r="H58" s="11">
        <f>IF(H1&lt;&gt;0, SUMIFS(Detail!$L:$L,Detail!$G:$G,'Rates-Service Fees'!H$23,Detail!$H:$H,"State"), 0)</f>
        <v>0</v>
      </c>
      <c r="I58" s="11">
        <f>IF(I1&lt;&gt;0, SUMIFS(Detail!$L:$L,Detail!$G:$G,'Rates-Service Fees'!I$23,Detail!$H:$H,"State"), 0)</f>
        <v>0</v>
      </c>
      <c r="J58" s="11">
        <f>IF(J1&lt;&gt;0, SUMIFS(Detail!$L:$L,Detail!$G:$G,'Rates-Service Fees'!J$23,Detail!$H:$H,"State"), 0)</f>
        <v>0</v>
      </c>
      <c r="K58" s="11">
        <f>IF(K1&lt;&gt;0, SUMIFS(Detail!$L:$L,Detail!$G:$G,'Rates-Service Fees'!K$23,Detail!$H:$H,"State"), 0)</f>
        <v>0</v>
      </c>
      <c r="L58" s="11">
        <f>IF(L1&lt;&gt;0, SUMIFS(Detail!$L:$L,Detail!$G:$G,'Rates-Service Fees'!L$23,Detail!$H:$H,"State"), 0)</f>
        <v>0</v>
      </c>
      <c r="M58" s="11">
        <f>IF(M1&lt;&gt;0, SUMIFS(Detail!$L:$L,Detail!$G:$G,'Rates-Service Fees'!M$23,Detail!$H:$H,"State"), 0)</f>
        <v>0</v>
      </c>
      <c r="N58" s="11">
        <f>IF(N1&lt;&gt;0, SUMIFS(Detail!$L:$L,Detail!$G:$G,'Rates-Service Fees'!N$23,Detail!$H:$H,"State"), 0)</f>
        <v>0</v>
      </c>
      <c r="O58" s="11">
        <f>IF(O1&lt;&gt;0, SUMIFS(Detail!$L:$L,Detail!$G:$G,'Rates-Service Fees'!O$23,Detail!$H:$H,"State"), 0)</f>
        <v>0</v>
      </c>
      <c r="P58" s="11">
        <f>IF(P1&lt;&gt;0, SUMIFS(Detail!$L:$L,Detail!$G:$G,'Rates-Service Fees'!P$23,Detail!$H:$H,"State"), 0)</f>
        <v>0</v>
      </c>
      <c r="Q58" s="11">
        <f>IF(Q1&lt;&gt;0, SUMIFS(Detail!$L:$L,Detail!$G:$G,'Rates-Service Fees'!Q$23,Detail!$H:$H,"State"), 0)</f>
        <v>0</v>
      </c>
      <c r="R58" s="11">
        <f>IF(R1&lt;&gt;0, SUMIFS(Detail!$L:$L,Detail!$G:$G,'Rates-Service Fees'!R$23,Detail!$H:$H,"State"), 0)</f>
        <v>0</v>
      </c>
      <c r="S58" s="11">
        <f>IF(S1&lt;&gt;0, SUMIFS(Detail!$L:$L,Detail!$G:$G,'Rates-Service Fees'!S$23,Detail!$H:$H,"State"), 0)</f>
        <v>0</v>
      </c>
      <c r="T58" s="11">
        <f>IF(T1&lt;&gt;0, SUMIFS(Detail!$L:$L,Detail!$G:$G,'Rates-Service Fees'!T$23,Detail!$H:$H,"State"), 0)</f>
        <v>0</v>
      </c>
      <c r="U58" s="11">
        <f>IF(U1&lt;&gt;0, SUMIFS(Detail!$L:$L,Detail!$G:$G,'Rates-Service Fees'!U$23,Detail!$H:$H,"State"), 0)</f>
        <v>0</v>
      </c>
      <c r="V58" s="11">
        <f>IF(V1&lt;&gt;0, SUMIFS(Detail!$L:$L,Detail!$G:$G,'Rates-Service Fees'!V$23,Detail!$H:$H,"State"), 0)</f>
        <v>0</v>
      </c>
      <c r="W58" s="11">
        <f>IF(W1&lt;&gt;0, SUMIFS(Detail!$L:$L,Detail!$G:$G,'Rates-Service Fees'!W$23,Detail!$H:$H,"State"), 0)</f>
        <v>0</v>
      </c>
      <c r="X58" s="11">
        <f>IF(X1&lt;&gt;0, SUMIFS(Detail!$L:$L,Detail!$G:$G,'Rates-Service Fees'!X$23,Detail!$H:$H,"State"), 0)</f>
        <v>0</v>
      </c>
      <c r="Y58" s="11">
        <f>IF(Y1&lt;&gt;0, SUMIFS(Detail!$L:$L,Detail!$G:$G,'Rates-Service Fees'!Y$23,Detail!$H:$H,"State"), 0)</f>
        <v>0</v>
      </c>
      <c r="Z58" s="11">
        <f>IF(Z1&lt;&gt;0, SUMIFS(Detail!$L:$L,Detail!$G:$G,'Rates-Service Fees'!Z$23,Detail!$H:$H,"State"), 0)</f>
        <v>0</v>
      </c>
      <c r="AA58" s="11">
        <f>IF(AA1&lt;&gt;0, SUMIFS(Detail!$L:$L,Detail!$G:$G,'Rates-Service Fees'!AA$23,Detail!$H:$H,"State"), 0)</f>
        <v>0</v>
      </c>
      <c r="AB58" s="11">
        <f>IF(AB1&lt;&gt;0, SUMIFS(Detail!$L:$L,Detail!$G:$G,'Rates-Service Fees'!AB$23,Detail!$H:$H,"State"), 0)</f>
        <v>0</v>
      </c>
      <c r="AC58" s="11">
        <f>IF(AC1&lt;&gt;0, SUMIFS(Detail!$L:$L,Detail!$G:$G,'Rates-Service Fees'!AC$23,Detail!$H:$H,"State"), 0)</f>
        <v>0</v>
      </c>
      <c r="AD58" s="11">
        <f>IF(AD1&lt;&gt;0, SUMIFS(Detail!$L:$L,Detail!$G:$G,'Rates-Service Fees'!AD$23,Detail!$H:$H,"State"), 0)</f>
        <v>0</v>
      </c>
      <c r="AE58" s="11">
        <f>IF(AE1&lt;&gt;0, SUMIFS(Detail!$L:$L,Detail!$G:$G,'Rates-Service Fees'!AE$23,Detail!$H:$H,"State"), 0)</f>
        <v>0</v>
      </c>
      <c r="AF58" s="11">
        <f>IF(AF1&lt;&gt;0, SUMIFS(Detail!$L:$L,Detail!$G:$G,'Rates-Service Fees'!AF$23,Detail!$H:$H,"State"), 0)</f>
        <v>0</v>
      </c>
      <c r="AG58" s="11">
        <f>IF(AG1&lt;&gt;0, SUMIFS(Detail!$L:$L,Detail!$G:$G,'Rates-Service Fees'!AG$23,Detail!$H:$H,"State"), 0)</f>
        <v>0</v>
      </c>
      <c r="AH58" s="11">
        <f>IF(AH1&lt;&gt;0, SUMIFS(Detail!$L:$L,Detail!$G:$G,'Rates-Service Fees'!AH$23,Detail!$H:$H,"State"), 0)</f>
        <v>0</v>
      </c>
      <c r="AI58" s="11">
        <f>IF(AI1&lt;&gt;0, SUMIFS(Detail!$L:$L,Detail!$G:$G,'Rates-Service Fees'!AI$23,Detail!$H:$H,"State"), 0)</f>
        <v>0</v>
      </c>
      <c r="AJ58" s="11">
        <f>IF(AJ1&lt;&gt;0, SUMIFS(Detail!$L:$L,Detail!$G:$G,'Rates-Service Fees'!AJ$23,Detail!$H:$H,"State"), 0)</f>
        <v>0</v>
      </c>
      <c r="AK58" s="11">
        <f>IF(AK1&lt;&gt;0, SUMIFS(Detail!$L:$L,Detail!$G:$G,'Rates-Service Fees'!AK$23,Detail!$H:$H,"State"), 0)</f>
        <v>0</v>
      </c>
      <c r="AL58" s="11">
        <f>IF(AL1&lt;&gt;0, SUMIFS(Detail!$L:$L,Detail!$G:$G,'Rates-Service Fees'!AL$23,Detail!$H:$H,"State"), 0)</f>
        <v>0</v>
      </c>
      <c r="AM58" s="11">
        <f>IF(AM1&lt;&gt;0, SUMIFS(Detail!$L:$L,Detail!$G:$G,'Rates-Service Fees'!AM$23,Detail!$H:$H,"State"), 0)</f>
        <v>0</v>
      </c>
      <c r="AN58" s="11">
        <f>IF(AN1&lt;&gt;0, SUMIFS(Detail!$L:$L,Detail!$G:$G,'Rates-Service Fees'!AN$23,Detail!$H:$H,"State"), 0)</f>
        <v>0</v>
      </c>
      <c r="AO58" s="11">
        <f>IF(AO1&lt;&gt;0, SUMIFS(Detail!$L:$L,Detail!$G:$G,'Rates-Service Fees'!AO$23,Detail!$H:$H,"State"), 0)</f>
        <v>0</v>
      </c>
      <c r="AP58" s="11">
        <f>IF(AP1&lt;&gt;0, SUMIFS(Detail!$L:$L,Detail!$G:$G,'Rates-Service Fees'!AP$23,Detail!$H:$H,"State"), 0)</f>
        <v>0</v>
      </c>
      <c r="AQ58" s="11">
        <f>IF(AQ1&lt;&gt;0, SUMIFS(Detail!$L:$L,Detail!$G:$G,'Rates-Service Fees'!AQ$23,Detail!$H:$H,"State"), 0)</f>
        <v>0</v>
      </c>
      <c r="AR58" s="11">
        <f>IF(AR1&lt;&gt;0, SUMIFS(Detail!$L:$L,Detail!$G:$G,'Rates-Service Fees'!AR$23,Detail!$H:$H,"State"), 0)</f>
        <v>0</v>
      </c>
      <c r="AS58" s="11">
        <f>IF(AS1&lt;&gt;0, SUMIFS(Detail!$L:$L,Detail!$G:$G,'Rates-Service Fees'!AS$23,Detail!$H:$H,"State"), 0)</f>
        <v>0</v>
      </c>
      <c r="AT58" s="11">
        <f>IF(AT1&lt;&gt;0, SUMIFS(Detail!$L:$L,Detail!$G:$G,'Rates-Service Fees'!AT$23,Detail!$H:$H,"State"), 0)</f>
        <v>0</v>
      </c>
      <c r="AU58" s="11">
        <f>IF(AU1&lt;&gt;0, SUMIFS(Detail!$L:$L,Detail!$G:$G,'Rates-Service Fees'!AU$23,Detail!$H:$H,"State"), 0)</f>
        <v>0</v>
      </c>
      <c r="AV58" s="11">
        <f>IF(AV1&lt;&gt;0, SUMIFS(Detail!$L:$L,Detail!$G:$G,'Rates-Service Fees'!AV$23,Detail!$H:$H,"State"), 0)</f>
        <v>0</v>
      </c>
      <c r="AW58" s="11">
        <f>IF(AW1&lt;&gt;0, SUMIFS(Detail!$L:$L,Detail!$G:$G,'Rates-Service Fees'!AW$23,Detail!$H:$H,"State"), 0)</f>
        <v>0</v>
      </c>
      <c r="AX58" s="11">
        <f>IF(AX1&lt;&gt;0, SUMIFS(Detail!$L:$L,Detail!$G:$G,'Rates-Service Fees'!AX$23,Detail!$H:$H,"State"), 0)</f>
        <v>0</v>
      </c>
      <c r="AY58" s="11">
        <f>IF(AY1&lt;&gt;0, SUMIFS(Detail!$L:$L,Detail!$G:$G,'Rates-Service Fees'!AY$23,Detail!$H:$H,"State"), 0)</f>
        <v>0</v>
      </c>
      <c r="AZ58" s="11">
        <f>IF(AZ1&lt;&gt;0, SUMIFS(Detail!$L:$L,Detail!$G:$G,'Rates-Service Fees'!AZ$23,Detail!$H:$H,"State"), 0)</f>
        <v>0</v>
      </c>
      <c r="BA58" s="11">
        <f>IF(BA1&lt;&gt;0, SUMIFS(Detail!$L:$L,Detail!$G:$G,'Rates-Service Fees'!BA$23,Detail!$H:$H,"State"), 0)</f>
        <v>0</v>
      </c>
      <c r="BB58" s="11">
        <f>IF(BB1&lt;&gt;0, SUMIFS(Detail!$L:$L,Detail!$G:$G,'Rates-Service Fees'!BB$23,Detail!$H:$H,"State"), 0)</f>
        <v>0</v>
      </c>
      <c r="BC58" s="11">
        <f>IF(BC1&lt;&gt;0, SUMIFS(Detail!$L:$L,Detail!$G:$G,'Rates-Service Fees'!BC$23,Detail!$H:$H,"State"), 0)</f>
        <v>0</v>
      </c>
      <c r="BD58" s="11">
        <f>IF(BD1&lt;&gt;0, SUMIFS(Detail!$L:$L,Detail!$G:$G,'Rates-Service Fees'!BD$23,Detail!$H:$H,"State"), 0)</f>
        <v>0</v>
      </c>
      <c r="BE58" s="11">
        <f>IF(BE1&lt;&gt;0, SUMIFS(Detail!$L:$L,Detail!$G:$G,'Rates-Service Fees'!BE$23,Detail!$H:$H,"State"), 0)</f>
        <v>0</v>
      </c>
      <c r="BF58" s="11">
        <f>IF(BF1&lt;&gt;0, SUMIFS(Detail!$L:$L,Detail!$G:$G,'Rates-Service Fees'!BF$23,Detail!$H:$H,"State"), 0)</f>
        <v>0</v>
      </c>
      <c r="BG58" s="11">
        <f>IF(BG1&lt;&gt;0, SUMIFS(Detail!$L:$L,Detail!$G:$G,'Rates-Service Fees'!BG$23,Detail!$H:$H,"State"), 0)</f>
        <v>0</v>
      </c>
      <c r="BH58" s="11">
        <f>IF(BH1&lt;&gt;0, SUMIFS(Detail!$L:$L,Detail!$G:$G,'Rates-Service Fees'!BH$23,Detail!$H:$H,"State"), 0)</f>
        <v>0</v>
      </c>
      <c r="BI58" s="11">
        <f>IF(BI1&lt;&gt;0, SUMIFS(Detail!$L:$L,Detail!$G:$G,'Rates-Service Fees'!BI$23,Detail!$H:$H,"State"), 0)</f>
        <v>0</v>
      </c>
      <c r="BJ58" s="11">
        <f>IF(BJ1&lt;&gt;0, SUMIFS(Detail!$L:$L,Detail!$G:$G,'Rates-Service Fees'!BJ$23,Detail!$H:$H,"State"), 0)</f>
        <v>0</v>
      </c>
      <c r="BK58" s="11">
        <f>IF(BK1&lt;&gt;0, SUMIFS(Detail!$L:$L,Detail!$G:$G,'Rates-Service Fees'!BK$23,Detail!$H:$H,"State"), 0)</f>
        <v>0</v>
      </c>
      <c r="BL58" s="11">
        <f>IF(BL1&lt;&gt;0, SUMIFS(Detail!$L:$L,Detail!$G:$G,'Rates-Service Fees'!BL$23,Detail!$H:$H,"State"), 0)</f>
        <v>0</v>
      </c>
      <c r="BM58" s="11">
        <f>IF(BM1&lt;&gt;0, SUMIFS(Detail!$L:$L,Detail!$G:$G,'Rates-Service Fees'!BM$23,Detail!$H:$H,"State"), 0)</f>
        <v>0</v>
      </c>
      <c r="BN58" s="11">
        <f>IF(BN1&lt;&gt;0, SUMIFS(Detail!$L:$L,Detail!$G:$G,'Rates-Service Fees'!BN$23,Detail!$H:$H,"State"), 0)</f>
        <v>0</v>
      </c>
      <c r="BO58" s="11">
        <f>IF(BO1&lt;&gt;0, SUMIFS(Detail!$L:$L,Detail!$G:$G,'Rates-Service Fees'!BO$23,Detail!$H:$H,"State"), 0)</f>
        <v>0</v>
      </c>
      <c r="BP58" s="11">
        <f>IF(BP1&lt;&gt;0, SUMIFS(Detail!$L:$L,Detail!$G:$G,'Rates-Service Fees'!BP$23,Detail!$H:$H,"State"), 0)</f>
        <v>0</v>
      </c>
      <c r="BQ58" s="11">
        <f>IF(BQ1&lt;&gt;0, SUMIFS(Detail!$L:$L,Detail!$G:$G,'Rates-Service Fees'!BQ$23,Detail!$H:$H,"State"), 0)</f>
        <v>0</v>
      </c>
      <c r="BR58" s="11">
        <f>IF(BR1&lt;&gt;0, SUMIFS(Detail!$L:$L,Detail!$G:$G,'Rates-Service Fees'!BR$23,Detail!$H:$H,"State"), 0)</f>
        <v>0</v>
      </c>
      <c r="BS58" s="11">
        <f>IF(BS1&lt;&gt;0, SUMIFS(Detail!$L:$L,Detail!$G:$G,'Rates-Service Fees'!BS$23,Detail!$H:$H,"State"), 0)</f>
        <v>0</v>
      </c>
      <c r="BT58" s="11">
        <f>IF(BT1&lt;&gt;0, SUMIFS(Detail!$L:$L,Detail!$G:$G,'Rates-Service Fees'!BT$23,Detail!$H:$H,"State"), 0)</f>
        <v>0</v>
      </c>
      <c r="BU58" s="11">
        <f>IF(BU1&lt;&gt;0, SUMIFS(Detail!$L:$L,Detail!$G:$G,'Rates-Service Fees'!BU$23,Detail!$H:$H,"State"), 0)</f>
        <v>0</v>
      </c>
      <c r="BV58" s="11">
        <f>IF(BV1&lt;&gt;0, SUMIFS(Detail!$L:$L,Detail!$G:$G,'Rates-Service Fees'!BV$23,Detail!$H:$H,"State"), 0)</f>
        <v>0</v>
      </c>
      <c r="BW58" s="11">
        <f>IF(BW1&lt;&gt;0, SUMIFS(Detail!$L:$L,Detail!$G:$G,'Rates-Service Fees'!BW$23,Detail!$H:$H,"State"), 0)</f>
        <v>0</v>
      </c>
      <c r="BX58" s="11">
        <f>IF(BX1&lt;&gt;0, SUMIFS(Detail!$L:$L,Detail!$G:$G,'Rates-Service Fees'!BX$23,Detail!$H:$H,"State"), 0)</f>
        <v>0</v>
      </c>
      <c r="BY58" s="11">
        <f>IF(BY1&lt;&gt;0, SUMIFS(Detail!$L:$L,Detail!$G:$G,'Rates-Service Fees'!BY$23,Detail!$H:$H,"State"), 0)</f>
        <v>0</v>
      </c>
      <c r="BZ58" s="11">
        <f>IF(BZ1&lt;&gt;0, SUMIFS(Detail!$L:$L,Detail!$G:$G,'Rates-Service Fees'!BZ$23,Detail!$H:$H,"State"), 0)</f>
        <v>0</v>
      </c>
      <c r="CA58" s="11">
        <f>IF(CA1&lt;&gt;0, SUMIFS(Detail!$L:$L,Detail!$G:$G,'Rates-Service Fees'!CA$23,Detail!$H:$H,"State"), 0)</f>
        <v>0</v>
      </c>
      <c r="CB58" s="11">
        <f>IF(CB1&lt;&gt;0, SUMIFS(Detail!$L:$L,Detail!$G:$G,'Rates-Service Fees'!CB$23,Detail!$H:$H,"State"), 0)</f>
        <v>0</v>
      </c>
      <c r="CC58" s="11">
        <f>IF(CC1&lt;&gt;0, SUMIFS(Detail!$L:$L,Detail!$G:$G,'Rates-Service Fees'!CC$23,Detail!$H:$H,"State"), 0)</f>
        <v>0</v>
      </c>
      <c r="CD58" s="11">
        <f>IF(CD1&lt;&gt;0, SUMIFS(Detail!$L:$L,Detail!$G:$G,'Rates-Service Fees'!CD$23,Detail!$H:$H,"State"), 0)</f>
        <v>0</v>
      </c>
      <c r="CE58" s="11">
        <f>IF(CE1&lt;&gt;0, SUMIFS(Detail!$L:$L,Detail!$G:$G,'Rates-Service Fees'!CE$23,Detail!$H:$H,"State"), 0)</f>
        <v>0</v>
      </c>
      <c r="CF58" s="11">
        <f>IF(CF1&lt;&gt;0, SUMIFS(Detail!$L:$L,Detail!$G:$G,'Rates-Service Fees'!CF$23,Detail!$H:$H,"State"), 0)</f>
        <v>0</v>
      </c>
      <c r="CG58" s="11">
        <f>IF(CG1&lt;&gt;0, SUMIFS(Detail!$L:$L,Detail!$G:$G,'Rates-Service Fees'!CG$23,Detail!$H:$H,"State"), 0)</f>
        <v>0</v>
      </c>
      <c r="CH58" s="11">
        <f>IF(CH1&lt;&gt;0, SUMIFS(Detail!$L:$L,Detail!$G:$G,'Rates-Service Fees'!CH$23,Detail!$H:$H,"State"), 0)</f>
        <v>0</v>
      </c>
      <c r="CI58" s="11">
        <f>IF(CI1&lt;&gt;0, SUMIFS(Detail!$L:$L,Detail!$G:$G,'Rates-Service Fees'!CI$23,Detail!$H:$H,"State"), 0)</f>
        <v>0</v>
      </c>
      <c r="CJ58" s="11">
        <f>IF(CJ1&lt;&gt;0, SUMIFS(Detail!$L:$L,Detail!$G:$G,'Rates-Service Fees'!CJ$23,Detail!$H:$H,"State"), 0)</f>
        <v>0</v>
      </c>
      <c r="CK58" s="11">
        <f>IF(CK1&lt;&gt;0, SUMIFS(Detail!$L:$L,Detail!$G:$G,'Rates-Service Fees'!CK$23,Detail!$H:$H,"State"), 0)</f>
        <v>0</v>
      </c>
      <c r="CL58" s="11">
        <f>IF(CL1&lt;&gt;0, SUMIFS(Detail!$L:$L,Detail!$G:$G,'Rates-Service Fees'!CL$23,Detail!$H:$H,"State"), 0)</f>
        <v>0</v>
      </c>
      <c r="CM58" s="11">
        <f>IF(CM1&lt;&gt;0, SUMIFS(Detail!$L:$L,Detail!$G:$G,'Rates-Service Fees'!CM$23,Detail!$H:$H,"State"), 0)</f>
        <v>0</v>
      </c>
      <c r="CN58" s="11">
        <f>IF(CN1&lt;&gt;0, SUMIFS(Detail!$L:$L,Detail!$G:$G,'Rates-Service Fees'!CN$23,Detail!$H:$H,"State"), 0)</f>
        <v>0</v>
      </c>
      <c r="CO58" s="11">
        <f>IF(CO1&lt;&gt;0, SUMIFS(Detail!$L:$L,Detail!$G:$G,'Rates-Service Fees'!CO$23,Detail!$H:$H,"State"), 0)</f>
        <v>0</v>
      </c>
      <c r="CP58" s="11">
        <f>IF(CP1&lt;&gt;0, SUMIFS(Detail!$L:$L,Detail!$G:$G,'Rates-Service Fees'!CP$23,Detail!$H:$H,"State"), 0)</f>
        <v>0</v>
      </c>
      <c r="CQ58" s="11">
        <f>IF(CQ1&lt;&gt;0, SUMIFS(Detail!$L:$L,Detail!$G:$G,'Rates-Service Fees'!CQ$23,Detail!$H:$H,"State"), 0)</f>
        <v>0</v>
      </c>
      <c r="CR58" s="11">
        <f>IF(CR1&lt;&gt;0, SUMIFS(Detail!$L:$L,Detail!$G:$G,'Rates-Service Fees'!CR$23,Detail!$H:$H,"State"), 0)</f>
        <v>0</v>
      </c>
      <c r="CS58" s="11">
        <f>IF(CS1&lt;&gt;0, SUMIFS(Detail!$L:$L,Detail!$G:$G,'Rates-Service Fees'!CS$23,Detail!$H:$H,"State"), 0)</f>
        <v>0</v>
      </c>
      <c r="CT58" s="11">
        <f>IF(CT1&lt;&gt;0, SUMIFS(Detail!$L:$L,Detail!$G:$G,'Rates-Service Fees'!CT$23,Detail!$H:$H,"State"), 0)</f>
        <v>0</v>
      </c>
      <c r="CU58" s="11">
        <f>IF(CU1&lt;&gt;0, SUMIFS(Detail!$L:$L,Detail!$G:$G,'Rates-Service Fees'!CU$23,Detail!$H:$H,"State"), 0)</f>
        <v>0</v>
      </c>
      <c r="CV58" s="11">
        <f>IF(CV1&lt;&gt;0, SUMIFS(Detail!$L:$L,Detail!$G:$G,'Rates-Service Fees'!CV$23,Detail!$H:$H,"State"), 0)</f>
        <v>0</v>
      </c>
      <c r="CW58" s="11">
        <f>IF(CW1&lt;&gt;0, SUMIFS(Detail!$L:$L,Detail!$G:$G,'Rates-Service Fees'!CW$23,Detail!$H:$H,"State"), 0)</f>
        <v>0</v>
      </c>
      <c r="CX58" s="11">
        <f>IF(CX1&lt;&gt;0, SUMIFS(Detail!$L:$L,Detail!$G:$G,'Rates-Service Fees'!CX$23,Detail!$H:$H,"State"), 0)</f>
        <v>0</v>
      </c>
      <c r="CY58" s="11">
        <f>IF(CY1&lt;&gt;0, SUMIFS(Detail!$L:$L,Detail!$G:$G,'Rates-Service Fees'!CY$23,Detail!$H:$H,"State"), 0)</f>
        <v>0</v>
      </c>
      <c r="CZ58" s="11">
        <f>IF(CZ1&lt;&gt;0, SUMIFS(Detail!$L:$L,Detail!$G:$G,'Rates-Service Fees'!CZ$23,Detail!$H:$H,"State"), 0)</f>
        <v>0</v>
      </c>
      <c r="DA58" s="11">
        <f>IF(DA1&lt;&gt;0, SUMIFS(Detail!$L:$L,Detail!$G:$G,'Rates-Service Fees'!DA$23,Detail!$H:$H,"State"), 0)</f>
        <v>0</v>
      </c>
      <c r="DB58" s="11">
        <f>IF(DB1&lt;&gt;0, SUMIFS(Detail!$L:$L,Detail!$G:$G,'Rates-Service Fees'!DB$23,Detail!$H:$H,"State"), 0)</f>
        <v>0</v>
      </c>
      <c r="DC58" s="11">
        <f>IF(DC1&lt;&gt;0, SUMIFS(Detail!$L:$L,Detail!$G:$G,'Rates-Service Fees'!DC$23,Detail!$H:$H,"State"), 0)</f>
        <v>0</v>
      </c>
      <c r="DD58" s="11">
        <f>IF(DD1&lt;&gt;0, SUMIFS(Detail!$L:$L,Detail!$G:$G,'Rates-Service Fees'!DD$23,Detail!$H:$H,"State"), 0)</f>
        <v>0</v>
      </c>
      <c r="DE58" s="11">
        <f>IF(DE1&lt;&gt;0, SUMIFS(Detail!$L:$L,Detail!$G:$G,'Rates-Service Fees'!DE$23,Detail!$H:$H,"State"), 0)</f>
        <v>0</v>
      </c>
      <c r="DF58" s="11">
        <f>IF(DF1&lt;&gt;0, SUMIFS(Detail!$L:$L,Detail!$G:$G,'Rates-Service Fees'!DF$23,Detail!$H:$H,"State"), 0)</f>
        <v>0</v>
      </c>
      <c r="DG58" s="11">
        <f>IF(DG1&lt;&gt;0, SUMIFS(Detail!$L:$L,Detail!$G:$G,'Rates-Service Fees'!DG$23,Detail!$H:$H,"State"), 0)</f>
        <v>0</v>
      </c>
      <c r="DH58" s="11">
        <f>IF(DH1&lt;&gt;0, SUMIFS(Detail!$L:$L,Detail!$G:$G,'Rates-Service Fees'!DH$23,Detail!$H:$H,"State"), 0)</f>
        <v>0</v>
      </c>
      <c r="DI58" s="11">
        <f>IF(DI1&lt;&gt;0, SUMIFS(Detail!$L:$L,Detail!$G:$G,'Rates-Service Fees'!DI$23,Detail!$H:$H,"State"), 0)</f>
        <v>0</v>
      </c>
      <c r="DJ58" s="11">
        <f>IF(DJ1&lt;&gt;0, SUMIFS(Detail!$L:$L,Detail!$G:$G,'Rates-Service Fees'!DJ$23,Detail!$H:$H,"State"), 0)</f>
        <v>0</v>
      </c>
      <c r="DK58" s="11">
        <f>IF(DK1&lt;&gt;0, SUMIFS(Detail!$L:$L,Detail!$G:$G,'Rates-Service Fees'!DK$23,Detail!$H:$H,"State"), 0)</f>
        <v>0</v>
      </c>
      <c r="DL58" s="11">
        <f>IF(DL1&lt;&gt;0, SUMIFS(Detail!$L:$L,Detail!$G:$G,'Rates-Service Fees'!DL$23,Detail!$H:$H,"State"), 0)</f>
        <v>0</v>
      </c>
      <c r="DM58" s="11">
        <f>IF(DM1&lt;&gt;0, SUMIFS(Detail!$L:$L,Detail!$G:$G,'Rates-Service Fees'!DM$23,Detail!$H:$H,"State"), 0)</f>
        <v>0</v>
      </c>
      <c r="DN58" s="11">
        <f>IF(DN1&lt;&gt;0, SUMIFS(Detail!$L:$L,Detail!$G:$G,'Rates-Service Fees'!DN$23,Detail!$H:$H,"State"), 0)</f>
        <v>0</v>
      </c>
      <c r="DO58" s="11">
        <f>IF(DO1&lt;&gt;0, SUMIFS(Detail!$L:$L,Detail!$G:$G,'Rates-Service Fees'!DO$23,Detail!$H:$H,"State"), 0)</f>
        <v>0</v>
      </c>
      <c r="DP58" s="11">
        <f>IF(DP1&lt;&gt;0, SUMIFS(Detail!$L:$L,Detail!$G:$G,'Rates-Service Fees'!DP$23,Detail!$H:$H,"State"), 0)</f>
        <v>0</v>
      </c>
      <c r="DQ58" s="11">
        <f>IF(DQ1&lt;&gt;0, SUMIFS(Detail!$L:$L,Detail!$G:$G,'Rates-Service Fees'!DQ$23,Detail!$H:$H,"State"), 0)</f>
        <v>0</v>
      </c>
      <c r="DR58" s="11">
        <f>IF(DR1&lt;&gt;0, SUMIFS(Detail!$L:$L,Detail!$G:$G,'Rates-Service Fees'!DR$23,Detail!$H:$H,"State"), 0)</f>
        <v>0</v>
      </c>
      <c r="DS58" s="11">
        <f>IF(DS1&lt;&gt;0, SUMIFS(Detail!$L:$L,Detail!$G:$G,'Rates-Service Fees'!DS$23,Detail!$H:$H,"State"), 0)</f>
        <v>0</v>
      </c>
      <c r="DT58" s="11">
        <f>IF(DT1&lt;&gt;0, SUMIFS(Detail!$L:$L,Detail!$G:$G,'Rates-Service Fees'!DT$23,Detail!$H:$H,"State"), 0)</f>
        <v>0</v>
      </c>
      <c r="DU58" s="11">
        <f>IF(DU1&lt;&gt;0, SUMIFS(Detail!$L:$L,Detail!$G:$G,'Rates-Service Fees'!DU$23,Detail!$H:$H,"State"), 0)</f>
        <v>0</v>
      </c>
      <c r="DV58" s="11">
        <f>IF(DV1&lt;&gt;0, SUMIFS(Detail!$L:$L,Detail!$G:$G,'Rates-Service Fees'!DV$23,Detail!$H:$H,"State"), 0)</f>
        <v>0</v>
      </c>
      <c r="DW58" s="11">
        <f>IF(DW1&lt;&gt;0, SUMIFS(Detail!$L:$L,Detail!$G:$G,'Rates-Service Fees'!DW$23,Detail!$H:$H,"State"), 0)</f>
        <v>0</v>
      </c>
      <c r="DX58" s="11">
        <f>IF(DX1&lt;&gt;0, SUMIFS(Detail!$L:$L,Detail!$G:$G,'Rates-Service Fees'!DX$23,Detail!$H:$H,"State"), 0)</f>
        <v>0</v>
      </c>
      <c r="DY58" s="11">
        <f>IF(DY1&lt;&gt;0, SUMIFS(Detail!$L:$L,Detail!$G:$G,'Rates-Service Fees'!DY$23,Detail!$H:$H,"State"), 0)</f>
        <v>0</v>
      </c>
      <c r="DZ58" s="11">
        <f>IF(DZ1&lt;&gt;0, SUMIFS(Detail!$L:$L,Detail!$G:$G,'Rates-Service Fees'!DZ$23,Detail!$H:$H,"State"), 0)</f>
        <v>0</v>
      </c>
      <c r="EA58" s="11">
        <f>IF(EA1&lt;&gt;0, SUMIFS(Detail!$L:$L,Detail!$G:$G,'Rates-Service Fees'!EA$23,Detail!$H:$H,"State"), 0)</f>
        <v>0</v>
      </c>
      <c r="EB58" s="11">
        <f>IF(EB1&lt;&gt;0, SUMIFS(Detail!$L:$L,Detail!$G:$G,'Rates-Service Fees'!EB$23,Detail!$H:$H,"State"), 0)</f>
        <v>0</v>
      </c>
      <c r="EC58" s="11">
        <f>IF(EC1&lt;&gt;0, SUMIFS(Detail!$L:$L,Detail!$G:$G,'Rates-Service Fees'!EC$23,Detail!$H:$H,"State"), 0)</f>
        <v>0</v>
      </c>
      <c r="ED58" s="11">
        <f>IF(ED1&lt;&gt;0, SUMIFS(Detail!$L:$L,Detail!$G:$G,'Rates-Service Fees'!ED$23,Detail!$H:$H,"State"), 0)</f>
        <v>0</v>
      </c>
      <c r="EE58" s="11">
        <f>IF(EE1&lt;&gt;0, SUMIFS(Detail!$L:$L,Detail!$G:$G,'Rates-Service Fees'!EE$23,Detail!$H:$H,"State"), 0)</f>
        <v>0</v>
      </c>
      <c r="EF58" s="11">
        <f>IF(EF1&lt;&gt;0, SUMIFS(Detail!$L:$L,Detail!$G:$G,'Rates-Service Fees'!EF$23,Detail!$H:$H,"State"), 0)</f>
        <v>0</v>
      </c>
      <c r="EG58" s="11">
        <f>IF(EG1&lt;&gt;0, SUMIFS(Detail!$L:$L,Detail!$G:$G,'Rates-Service Fees'!EG$23,Detail!$H:$H,"State"), 0)</f>
        <v>0</v>
      </c>
      <c r="EH58" s="11">
        <f>IF(EH1&lt;&gt;0, SUMIFS(Detail!$L:$L,Detail!$G:$G,'Rates-Service Fees'!EH$23,Detail!$H:$H,"State"), 0)</f>
        <v>0</v>
      </c>
      <c r="EI58" s="11">
        <f>IF(EI1&lt;&gt;0, SUMIFS(Detail!$L:$L,Detail!$G:$G,'Rates-Service Fees'!EI$23,Detail!$H:$H,"State"), 0)</f>
        <v>0</v>
      </c>
      <c r="EJ58" s="11">
        <f>IF(EJ1&lt;&gt;0, SUMIFS(Detail!$L:$L,Detail!$G:$G,'Rates-Service Fees'!EJ$23,Detail!$H:$H,"State"), 0)</f>
        <v>0</v>
      </c>
      <c r="EK58" s="11">
        <f>IF(EK1&lt;&gt;0, SUMIFS(Detail!$L:$L,Detail!$G:$G,'Rates-Service Fees'!EK$23,Detail!$H:$H,"State"), 0)</f>
        <v>0</v>
      </c>
      <c r="EL58" s="11">
        <f>IF(EL1&lt;&gt;0, SUMIFS(Detail!$L:$L,Detail!$G:$G,'Rates-Service Fees'!EL$23,Detail!$H:$H,"State"), 0)</f>
        <v>0</v>
      </c>
      <c r="EM58" s="11">
        <f>IF(EM1&lt;&gt;0, SUMIFS(Detail!$L:$L,Detail!$G:$G,'Rates-Service Fees'!EM$23,Detail!$H:$H,"State"), 0)</f>
        <v>0</v>
      </c>
      <c r="EN58" s="11">
        <f>IF(EN1&lt;&gt;0, SUMIFS(Detail!$L:$L,Detail!$G:$G,'Rates-Service Fees'!EN$23,Detail!$H:$H,"State"), 0)</f>
        <v>0</v>
      </c>
      <c r="EO58" s="11">
        <f>IF(EO1&lt;&gt;0, SUMIFS(Detail!$L:$L,Detail!$G:$G,'Rates-Service Fees'!EO$23,Detail!$H:$H,"State"), 0)</f>
        <v>0</v>
      </c>
      <c r="EP58" s="11">
        <f>IF(EP1&lt;&gt;0, SUMIFS(Detail!$L:$L,Detail!$G:$G,'Rates-Service Fees'!EP$23,Detail!$H:$H,"State"), 0)</f>
        <v>0</v>
      </c>
      <c r="EQ58" s="11">
        <f>IF(EQ1&lt;&gt;0, SUMIFS(Detail!$L:$L,Detail!$G:$G,'Rates-Service Fees'!EQ$23,Detail!$H:$H,"State"), 0)</f>
        <v>0</v>
      </c>
      <c r="ER58" s="11">
        <f>IF(ER1&lt;&gt;0, SUMIFS(Detail!$L:$L,Detail!$G:$G,'Rates-Service Fees'!ER$23,Detail!$H:$H,"State"), 0)</f>
        <v>0</v>
      </c>
      <c r="ES58" s="11">
        <f>IF(ES1&lt;&gt;0, SUMIFS(Detail!$L:$L,Detail!$G:$G,'Rates-Service Fees'!ES$23,Detail!$H:$H,"State"), 0)</f>
        <v>0</v>
      </c>
      <c r="ET58" s="11">
        <f>IF(ET1&lt;&gt;0, SUMIFS(Detail!$L:$L,Detail!$G:$G,'Rates-Service Fees'!ET$23,Detail!$H:$H,"State"), 0)</f>
        <v>0</v>
      </c>
      <c r="EU58" s="11">
        <f>IF(EU1&lt;&gt;0, SUMIFS(Detail!$L:$L,Detail!$G:$G,'Rates-Service Fees'!EU$23,Detail!$H:$H,"State"), 0)</f>
        <v>0</v>
      </c>
      <c r="EV58" s="11">
        <f>IF(EV1&lt;&gt;0, SUMIFS(Detail!$L:$L,Detail!$G:$G,'Rates-Service Fees'!EV$23,Detail!$H:$H,"State"), 0)</f>
        <v>0</v>
      </c>
      <c r="EW58" s="11">
        <f>IF(EW1&lt;&gt;0, SUMIFS(Detail!$L:$L,Detail!$G:$G,'Rates-Service Fees'!EW$23,Detail!$H:$H,"State"), 0)</f>
        <v>0</v>
      </c>
      <c r="EX58" s="11">
        <f>IF(EX1&lt;&gt;0, SUMIFS(Detail!$L:$L,Detail!$G:$G,'Rates-Service Fees'!EX$23,Detail!$H:$H,"State"), 0)</f>
        <v>0</v>
      </c>
      <c r="EY58" s="11">
        <f>IF(EY1&lt;&gt;0, SUMIFS(Detail!$L:$L,Detail!$G:$G,'Rates-Service Fees'!EY$23,Detail!$H:$H,"State"), 0)</f>
        <v>0</v>
      </c>
      <c r="EZ58" s="11">
        <f>IF(EZ1&lt;&gt;0, SUMIFS(Detail!$L:$L,Detail!$G:$G,'Rates-Service Fees'!EZ$23,Detail!$H:$H,"State"), 0)</f>
        <v>0</v>
      </c>
      <c r="FA58" s="11">
        <f>IF(FA1&lt;&gt;0, SUMIFS(Detail!$L:$L,Detail!$G:$G,'Rates-Service Fees'!FA$23,Detail!$H:$H,"State"), 0)</f>
        <v>0</v>
      </c>
      <c r="FB58" s="11">
        <f>IF(FB1&lt;&gt;0, SUMIFS(Detail!$L:$L,Detail!$G:$G,'Rates-Service Fees'!FB$23,Detail!$H:$H,"State"), 0)</f>
        <v>0</v>
      </c>
      <c r="FC58" s="11">
        <f>IF(FC1&lt;&gt;0, SUMIFS(Detail!$L:$L,Detail!$G:$G,'Rates-Service Fees'!FC$23,Detail!$H:$H,"State"), 0)</f>
        <v>0</v>
      </c>
      <c r="FD58" s="11">
        <f>IF(FD1&lt;&gt;0, SUMIFS(Detail!$L:$L,Detail!$G:$G,'Rates-Service Fees'!FD$23,Detail!$H:$H,"State"), 0)</f>
        <v>0</v>
      </c>
      <c r="FE58" s="11">
        <f>IF(FE1&lt;&gt;0, SUMIFS(Detail!$L:$L,Detail!$G:$G,'Rates-Service Fees'!FE$23,Detail!$H:$H,"State"), 0)</f>
        <v>0</v>
      </c>
      <c r="FF58" s="11">
        <f>IF(FF1&lt;&gt;0, SUMIFS(Detail!$L:$L,Detail!$G:$G,'Rates-Service Fees'!FF$23,Detail!$H:$H,"State"), 0)</f>
        <v>0</v>
      </c>
      <c r="FG58" s="11">
        <f>IF(FG1&lt;&gt;0, SUMIFS(Detail!$L:$L,Detail!$G:$G,'Rates-Service Fees'!FG$23,Detail!$H:$H,"State"), 0)</f>
        <v>0</v>
      </c>
      <c r="FH58" s="11">
        <f>IF(FH1&lt;&gt;0, SUMIFS(Detail!$L:$L,Detail!$G:$G,'Rates-Service Fees'!FH$23,Detail!$H:$H,"State"), 0)</f>
        <v>0</v>
      </c>
      <c r="FI58" s="11">
        <f>IF(FI1&lt;&gt;0, SUMIFS(Detail!$L:$L,Detail!$G:$G,'Rates-Service Fees'!FI$23,Detail!$H:$H,"State"), 0)</f>
        <v>0</v>
      </c>
      <c r="FJ58" s="11">
        <f>IF(FJ1&lt;&gt;0, SUMIFS(Detail!$L:$L,Detail!$G:$G,'Rates-Service Fees'!FJ$23,Detail!$H:$H,"State"), 0)</f>
        <v>0</v>
      </c>
      <c r="FK58" s="11">
        <f>IF(FK1&lt;&gt;0, SUMIFS(Detail!$L:$L,Detail!$G:$G,'Rates-Service Fees'!FK$23,Detail!$H:$H,"State"), 0)</f>
        <v>0</v>
      </c>
      <c r="FL58" s="11">
        <f>IF(FL1&lt;&gt;0, SUMIFS(Detail!$L:$L,Detail!$G:$G,'Rates-Service Fees'!FL$23,Detail!$H:$H,"State"), 0)</f>
        <v>0</v>
      </c>
      <c r="FM58" s="11">
        <f>IF(FM1&lt;&gt;0, SUMIFS(Detail!$L:$L,Detail!$G:$G,'Rates-Service Fees'!FM$23,Detail!$H:$H,"State"), 0)</f>
        <v>0</v>
      </c>
      <c r="FN58" s="11">
        <f>IF(FN1&lt;&gt;0, SUMIFS(Detail!$L:$L,Detail!$G:$G,'Rates-Service Fees'!FN$23,Detail!$H:$H,"State"), 0)</f>
        <v>0</v>
      </c>
      <c r="FO58" s="11">
        <f>IF(FO1&lt;&gt;0, SUMIFS(Detail!$L:$L,Detail!$G:$G,'Rates-Service Fees'!FO$23,Detail!$H:$H,"State"), 0)</f>
        <v>0</v>
      </c>
      <c r="FP58" s="11">
        <f>IF(FP1&lt;&gt;0, SUMIFS(Detail!$L:$L,Detail!$G:$G,'Rates-Service Fees'!FP$23,Detail!$H:$H,"State"), 0)</f>
        <v>0</v>
      </c>
      <c r="FQ58" s="11">
        <f>IF(FQ1&lt;&gt;0, SUMIFS(Detail!$L:$L,Detail!$G:$G,'Rates-Service Fees'!FQ$23,Detail!$H:$H,"State"), 0)</f>
        <v>0</v>
      </c>
      <c r="FR58" s="11">
        <f>IF(FR1&lt;&gt;0, SUMIFS(Detail!$L:$L,Detail!$G:$G,'Rates-Service Fees'!FR$23,Detail!$H:$H,"State"), 0)</f>
        <v>0</v>
      </c>
      <c r="FS58" s="11">
        <f>IF(FS1&lt;&gt;0, SUMIFS(Detail!$L:$L,Detail!$G:$G,'Rates-Service Fees'!FS$23,Detail!$H:$H,"State"), 0)</f>
        <v>0</v>
      </c>
      <c r="FT58" s="11">
        <f>IF(FT1&lt;&gt;0, SUMIFS(Detail!$L:$L,Detail!$G:$G,'Rates-Service Fees'!FT$23,Detail!$H:$H,"State"), 0)</f>
        <v>0</v>
      </c>
      <c r="FU58" s="11">
        <f>IF(FU1&lt;&gt;0, SUMIFS(Detail!$L:$L,Detail!$G:$G,'Rates-Service Fees'!FU$23,Detail!$H:$H,"State"), 0)</f>
        <v>0</v>
      </c>
      <c r="FV58" s="11">
        <f>IF(FV1&lt;&gt;0, SUMIFS(Detail!$L:$L,Detail!$G:$G,'Rates-Service Fees'!FV$23,Detail!$H:$H,"State"), 0)</f>
        <v>0</v>
      </c>
      <c r="FW58" s="11">
        <f>IF(FW1&lt;&gt;0, SUMIFS(Detail!$L:$L,Detail!$G:$G,'Rates-Service Fees'!FW$23,Detail!$H:$H,"State"), 0)</f>
        <v>0</v>
      </c>
      <c r="FX58" s="11">
        <f>IF(FX1&lt;&gt;0, SUMIFS(Detail!$L:$L,Detail!$G:$G,'Rates-Service Fees'!FX$23,Detail!$H:$H,"State"), 0)</f>
        <v>0</v>
      </c>
      <c r="FY58" s="11">
        <f>IF(FY1&lt;&gt;0, SUMIFS(Detail!$L:$L,Detail!$G:$G,'Rates-Service Fees'!FY$23,Detail!$H:$H,"State"), 0)</f>
        <v>0</v>
      </c>
      <c r="FZ58" s="11">
        <f>IF(FZ1&lt;&gt;0, SUMIFS(Detail!$L:$L,Detail!$G:$G,'Rates-Service Fees'!FZ$23,Detail!$H:$H,"State"), 0)</f>
        <v>0</v>
      </c>
      <c r="GA58" s="11">
        <f>IF(GA1&lt;&gt;0, SUMIFS(Detail!$L:$L,Detail!$G:$G,'Rates-Service Fees'!GA$23,Detail!$H:$H,"State"), 0)</f>
        <v>0</v>
      </c>
      <c r="GB58" s="11">
        <f>IF(GB1&lt;&gt;0, SUMIFS(Detail!$L:$L,Detail!$G:$G,'Rates-Service Fees'!GB$23,Detail!$H:$H,"State"), 0)</f>
        <v>0</v>
      </c>
      <c r="GC58" s="11">
        <f>IF(GC1&lt;&gt;0, SUMIFS(Detail!$L:$L,Detail!$G:$G,'Rates-Service Fees'!GC$23,Detail!$H:$H,"State"), 0)</f>
        <v>0</v>
      </c>
      <c r="GD58" s="11">
        <f>IF(GD1&lt;&gt;0, SUMIFS(Detail!$L:$L,Detail!$G:$G,'Rates-Service Fees'!GD$23,Detail!$H:$H,"State"), 0)</f>
        <v>0</v>
      </c>
      <c r="GE58" s="11">
        <f>IF(GE1&lt;&gt;0, SUMIFS(Detail!$L:$L,Detail!$G:$G,'Rates-Service Fees'!GE$23,Detail!$H:$H,"State"), 0)</f>
        <v>0</v>
      </c>
      <c r="GF58" s="11">
        <f>IF(GF1&lt;&gt;0, SUMIFS(Detail!$L:$L,Detail!$G:$G,'Rates-Service Fees'!GF$23,Detail!$H:$H,"State"), 0)</f>
        <v>0</v>
      </c>
      <c r="GG58" s="11">
        <f>IF(GG1&lt;&gt;0, SUMIFS(Detail!$L:$L,Detail!$G:$G,'Rates-Service Fees'!GG$23,Detail!$H:$H,"State"), 0)</f>
        <v>0</v>
      </c>
      <c r="GH58" s="11">
        <f>IF(GH1&lt;&gt;0, SUMIFS(Detail!$L:$L,Detail!$G:$G,'Rates-Service Fees'!GH$23,Detail!$H:$H,"State"), 0)</f>
        <v>0</v>
      </c>
      <c r="GI58" s="11">
        <f>IF(GI1&lt;&gt;0, SUMIFS(Detail!$L:$L,Detail!$G:$G,'Rates-Service Fees'!GI$23,Detail!$H:$H,"State"), 0)</f>
        <v>0</v>
      </c>
      <c r="GJ58" s="11">
        <f>IF(GJ1&lt;&gt;0, SUMIFS(Detail!$L:$L,Detail!$G:$G,'Rates-Service Fees'!GJ$23,Detail!$H:$H,"State"), 0)</f>
        <v>0</v>
      </c>
      <c r="GK58" s="11">
        <f>IF(GK1&lt;&gt;0, SUMIFS(Detail!$L:$L,Detail!$G:$G,'Rates-Service Fees'!GK$23,Detail!$H:$H,"State"), 0)</f>
        <v>0</v>
      </c>
      <c r="GL58" s="11">
        <f>IF(GL1&lt;&gt;0, SUMIFS(Detail!$L:$L,Detail!$G:$G,'Rates-Service Fees'!GL$23,Detail!$H:$H,"State"), 0)</f>
        <v>0</v>
      </c>
      <c r="GM58" s="11">
        <f>IF(GM1&lt;&gt;0, SUMIFS(Detail!$L:$L,Detail!$G:$G,'Rates-Service Fees'!GM$23,Detail!$H:$H,"State"), 0)</f>
        <v>0</v>
      </c>
      <c r="GN58" s="11">
        <f>IF(GN1&lt;&gt;0, SUMIFS(Detail!$L:$L,Detail!$G:$G,'Rates-Service Fees'!GN$23,Detail!$H:$H,"State"), 0)</f>
        <v>0</v>
      </c>
      <c r="GO58" s="11">
        <f>IF(GO1&lt;&gt;0, SUMIFS(Detail!$L:$L,Detail!$G:$G,'Rates-Service Fees'!GO$23,Detail!$H:$H,"State"), 0)</f>
        <v>0</v>
      </c>
      <c r="GP58" s="11">
        <f>IF(GP1&lt;&gt;0, SUMIFS(Detail!$L:$L,Detail!$G:$G,'Rates-Service Fees'!GP$23,Detail!$H:$H,"State"), 0)</f>
        <v>0</v>
      </c>
      <c r="GQ58" s="11">
        <f>IF(GQ1&lt;&gt;0, SUMIFS(Detail!$L:$L,Detail!$G:$G,'Rates-Service Fees'!GQ$23,Detail!$H:$H,"State"), 0)</f>
        <v>0</v>
      </c>
      <c r="GR58" s="11">
        <f>IF(GR1&lt;&gt;0, SUMIFS(Detail!$L:$L,Detail!$G:$G,'Rates-Service Fees'!GR$23,Detail!$H:$H,"State"), 0)</f>
        <v>0</v>
      </c>
      <c r="GS58" s="11">
        <f>IF(GS1&lt;&gt;0, SUMIFS(Detail!$L:$L,Detail!$G:$G,'Rates-Service Fees'!GS$23,Detail!$H:$H,"State"), 0)</f>
        <v>0</v>
      </c>
      <c r="GT58" s="11">
        <f>IF(GT1&lt;&gt;0, SUMIFS(Detail!$L:$L,Detail!$G:$G,'Rates-Service Fees'!GT$23,Detail!$H:$H,"State"), 0)</f>
        <v>0</v>
      </c>
      <c r="GU58" s="11">
        <f>IF(GU1&lt;&gt;0, SUMIFS(Detail!$L:$L,Detail!$G:$G,'Rates-Service Fees'!GU$23,Detail!$H:$H,"State"), 0)</f>
        <v>0</v>
      </c>
      <c r="GV58" s="11">
        <f>IF(GV1&lt;&gt;0, SUMIFS(Detail!$L:$L,Detail!$G:$G,'Rates-Service Fees'!GV$23,Detail!$H:$H,"State"), 0)</f>
        <v>0</v>
      </c>
      <c r="GW58" s="11">
        <f>IF(GW1&lt;&gt;0, SUMIFS(Detail!$L:$L,Detail!$G:$G,'Rates-Service Fees'!GW$23,Detail!$H:$H,"State"), 0)</f>
        <v>0</v>
      </c>
      <c r="GX58" s="11">
        <f>IF(GX1&lt;&gt;0, SUMIFS(Detail!$L:$L,Detail!$G:$G,'Rates-Service Fees'!GX$23,Detail!$H:$H,"State"), 0)</f>
        <v>0</v>
      </c>
      <c r="GY58" s="11">
        <f>IF(GY1&lt;&gt;0, SUMIFS(Detail!$L:$L,Detail!$G:$G,'Rates-Service Fees'!GY$23,Detail!$H:$H,"State"), 0)</f>
        <v>0</v>
      </c>
      <c r="GZ58" s="11">
        <f>IF(GZ1&lt;&gt;0, SUMIFS(Detail!$L:$L,Detail!$G:$G,'Rates-Service Fees'!GZ$23,Detail!$H:$H,"State"), 0)</f>
        <v>0</v>
      </c>
      <c r="HA58" s="11">
        <f>IF(HA1&lt;&gt;0, SUMIFS(Detail!$L:$L,Detail!$G:$G,'Rates-Service Fees'!HA$23,Detail!$H:$H,"State"), 0)</f>
        <v>0</v>
      </c>
      <c r="HB58" s="11">
        <f>IF(HB1&lt;&gt;0, SUMIFS(Detail!$L:$L,Detail!$G:$G,'Rates-Service Fees'!HB$23,Detail!$H:$H,"State"), 0)</f>
        <v>0</v>
      </c>
      <c r="HC58" s="11">
        <f>IF(HC1&lt;&gt;0, SUMIFS(Detail!$L:$L,Detail!$G:$G,'Rates-Service Fees'!HC$23,Detail!$H:$H,"State"), 0)</f>
        <v>0</v>
      </c>
      <c r="HD58" s="11">
        <f>IF(HD1&lt;&gt;0, SUMIFS(Detail!$L:$L,Detail!$G:$G,'Rates-Service Fees'!HD$23,Detail!$H:$H,"State"), 0)</f>
        <v>0</v>
      </c>
      <c r="HE58" s="11">
        <f>IF(HE1&lt;&gt;0, SUMIFS(Detail!$L:$L,Detail!$G:$G,'Rates-Service Fees'!HE$23,Detail!$H:$H,"State"), 0)</f>
        <v>0</v>
      </c>
      <c r="HF58" s="11">
        <f>IF(HF1&lt;&gt;0, SUMIFS(Detail!$L:$L,Detail!$G:$G,'Rates-Service Fees'!HF$23,Detail!$H:$H,"State"), 0)</f>
        <v>0</v>
      </c>
      <c r="HG58" s="11">
        <f>IF(HG1&lt;&gt;0, SUMIFS(Detail!$L:$L,Detail!$G:$G,'Rates-Service Fees'!HG$23,Detail!$H:$H,"State"), 0)</f>
        <v>0</v>
      </c>
      <c r="HH58" s="11">
        <f>IF(HH1&lt;&gt;0, SUMIFS(Detail!$L:$L,Detail!$G:$G,'Rates-Service Fees'!HH$23,Detail!$H:$H,"State"), 0)</f>
        <v>0</v>
      </c>
      <c r="HI58" s="11">
        <f>IF(HI1&lt;&gt;0, SUMIFS(Detail!$L:$L,Detail!$G:$G,'Rates-Service Fees'!HI$23,Detail!$H:$H,"State"), 0)</f>
        <v>0</v>
      </c>
      <c r="HJ58" s="11">
        <f>IF(HJ1&lt;&gt;0, SUMIFS(Detail!$L:$L,Detail!$G:$G,'Rates-Service Fees'!HJ$23,Detail!$H:$H,"State"), 0)</f>
        <v>0</v>
      </c>
      <c r="HK58" s="11">
        <f>IF(HK1&lt;&gt;0, SUMIFS(Detail!$L:$L,Detail!$G:$G,'Rates-Service Fees'!HK$23,Detail!$H:$H,"State"), 0)</f>
        <v>0</v>
      </c>
      <c r="HL58" s="11">
        <f>IF(HL1&lt;&gt;0, SUMIFS(Detail!$L:$L,Detail!$G:$G,'Rates-Service Fees'!HL$23,Detail!$H:$H,"State"), 0)</f>
        <v>0</v>
      </c>
      <c r="HM58" s="11">
        <f>IF(HM1&lt;&gt;0, SUMIFS(Detail!$L:$L,Detail!$G:$G,'Rates-Service Fees'!HM$23,Detail!$H:$H,"State"), 0)</f>
        <v>0</v>
      </c>
      <c r="HN58" s="11">
        <f>IF(HN1&lt;&gt;0, SUMIFS(Detail!$L:$L,Detail!$G:$G,'Rates-Service Fees'!HN$23,Detail!$H:$H,"State"), 0)</f>
        <v>0</v>
      </c>
      <c r="HO58" s="11">
        <f>IF(HO1&lt;&gt;0, SUMIFS(Detail!$L:$L,Detail!$G:$G,'Rates-Service Fees'!HO$23,Detail!$H:$H,"State"), 0)</f>
        <v>0</v>
      </c>
      <c r="HP58" s="11">
        <f>IF(HP1&lt;&gt;0, SUMIFS(Detail!$L:$L,Detail!$G:$G,'Rates-Service Fees'!HP$23,Detail!$H:$H,"State"), 0)</f>
        <v>0</v>
      </c>
      <c r="HQ58" s="11">
        <f>IF(HQ1&lt;&gt;0, SUMIFS(Detail!$L:$L,Detail!$G:$G,'Rates-Service Fees'!HQ$23,Detail!$H:$H,"State"), 0)</f>
        <v>0</v>
      </c>
      <c r="HR58" s="11">
        <f>IF(HR1&lt;&gt;0, SUMIFS(Detail!$L:$L,Detail!$G:$G,'Rates-Service Fees'!HR$23,Detail!$H:$H,"State"), 0)</f>
        <v>0</v>
      </c>
      <c r="HS58" s="11">
        <f>IF(HS1&lt;&gt;0, SUMIFS(Detail!$L:$L,Detail!$G:$G,'Rates-Service Fees'!HS$23,Detail!$H:$H,"State"), 0)</f>
        <v>0</v>
      </c>
      <c r="HT58" s="11">
        <f>IF(HT1&lt;&gt;0, SUMIFS(Detail!$L:$L,Detail!$G:$G,'Rates-Service Fees'!HT$23,Detail!$H:$H,"State"), 0)</f>
        <v>0</v>
      </c>
      <c r="HU58" s="11">
        <f>IF(HU1&lt;&gt;0, SUMIFS(Detail!$L:$L,Detail!$G:$G,'Rates-Service Fees'!HU$23,Detail!$H:$H,"State"), 0)</f>
        <v>0</v>
      </c>
      <c r="HV58" s="11">
        <f>IF(HV1&lt;&gt;0, SUMIFS(Detail!$L:$L,Detail!$G:$G,'Rates-Service Fees'!HV$23,Detail!$H:$H,"State"), 0)</f>
        <v>0</v>
      </c>
      <c r="HW58" s="11">
        <f>IF(HW1&lt;&gt;0, SUMIFS(Detail!$L:$L,Detail!$G:$G,'Rates-Service Fees'!HW$23,Detail!$H:$H,"State"), 0)</f>
        <v>0</v>
      </c>
      <c r="HX58" s="11">
        <f>IF(HX1&lt;&gt;0, SUMIFS(Detail!$L:$L,Detail!$G:$G,'Rates-Service Fees'!HX$23,Detail!$H:$H,"State"), 0)</f>
        <v>0</v>
      </c>
      <c r="HY58" s="11">
        <f>IF(HY1&lt;&gt;0, SUMIFS(Detail!$L:$L,Detail!$G:$G,'Rates-Service Fees'!HY$23,Detail!$H:$H,"State"), 0)</f>
        <v>0</v>
      </c>
      <c r="HZ58" s="11">
        <f>IF(HZ1&lt;&gt;0, SUMIFS(Detail!$L:$L,Detail!$G:$G,'Rates-Service Fees'!HZ$23,Detail!$H:$H,"State"), 0)</f>
        <v>0</v>
      </c>
      <c r="IA58" s="11">
        <f>IF(IA1&lt;&gt;0, SUMIFS(Detail!$L:$L,Detail!$G:$G,'Rates-Service Fees'!IA$23,Detail!$H:$H,"State"), 0)</f>
        <v>0</v>
      </c>
      <c r="IB58" s="11">
        <f>IF(IB1&lt;&gt;0, SUMIFS(Detail!$L:$L,Detail!$G:$G,'Rates-Service Fees'!IB$23,Detail!$H:$H,"State"), 0)</f>
        <v>0</v>
      </c>
      <c r="IC58" s="11">
        <f>IF(IC1&lt;&gt;0, SUMIFS(Detail!$L:$L,Detail!$G:$G,'Rates-Service Fees'!IC$23,Detail!$H:$H,"State"), 0)</f>
        <v>0</v>
      </c>
      <c r="ID58" s="11">
        <f>IF(ID1&lt;&gt;0, SUMIFS(Detail!$L:$L,Detail!$G:$G,'Rates-Service Fees'!ID$23,Detail!$H:$H,"State"), 0)</f>
        <v>0</v>
      </c>
      <c r="IE58" s="11">
        <f>IF(IE1&lt;&gt;0, SUMIFS(Detail!$L:$L,Detail!$G:$G,'Rates-Service Fees'!IE$23,Detail!$H:$H,"State"), 0)</f>
        <v>0</v>
      </c>
      <c r="IF58" s="11">
        <f>IF(IF1&lt;&gt;0, SUMIFS(Detail!$L:$L,Detail!$G:$G,'Rates-Service Fees'!IF$23,Detail!$H:$H,"State"), 0)</f>
        <v>0</v>
      </c>
      <c r="IG58" s="11">
        <f>IF(IG1&lt;&gt;0, SUMIFS(Detail!$L:$L,Detail!$G:$G,'Rates-Service Fees'!IG$23,Detail!$H:$H,"State"), 0)</f>
        <v>0</v>
      </c>
      <c r="IH58" s="11">
        <f>IF(IH1&lt;&gt;0, SUMIFS(Detail!$L:$L,Detail!$G:$G,'Rates-Service Fees'!IH$23,Detail!$H:$H,"State"), 0)</f>
        <v>0</v>
      </c>
      <c r="II58" s="11">
        <f>IF(II1&lt;&gt;0, SUMIFS(Detail!$L:$L,Detail!$G:$G,'Rates-Service Fees'!II$23,Detail!$H:$H,"State"), 0)</f>
        <v>0</v>
      </c>
      <c r="IJ58" s="11">
        <f>IF(IJ1&lt;&gt;0, SUMIFS(Detail!$L:$L,Detail!$G:$G,'Rates-Service Fees'!IJ$23,Detail!$H:$H,"State"), 0)</f>
        <v>0</v>
      </c>
      <c r="IK58" s="11">
        <f>IF(IK1&lt;&gt;0, SUMIFS(Detail!$L:$L,Detail!$G:$G,'Rates-Service Fees'!IK$23,Detail!$H:$H,"State"), 0)</f>
        <v>0</v>
      </c>
      <c r="IL58" s="11">
        <f>IF(IL1&lt;&gt;0, SUMIFS(Detail!$L:$L,Detail!$G:$G,'Rates-Service Fees'!IL$23,Detail!$H:$H,"State"), 0)</f>
        <v>0</v>
      </c>
      <c r="IM58" s="11">
        <f>IF(IM1&lt;&gt;0, SUMIFS(Detail!$L:$L,Detail!$G:$G,'Rates-Service Fees'!IM$23,Detail!$H:$H,"State"), 0)</f>
        <v>0</v>
      </c>
      <c r="IN58" s="11">
        <f>IF(IN1&lt;&gt;0, SUMIFS(Detail!$L:$L,Detail!$G:$G,'Rates-Service Fees'!IN$23,Detail!$H:$H,"State"), 0)</f>
        <v>0</v>
      </c>
      <c r="IO58" s="11">
        <f>IF(IO1&lt;&gt;0, SUMIFS(Detail!$L:$L,Detail!$G:$G,'Rates-Service Fees'!IO$23,Detail!$H:$H,"State"), 0)</f>
        <v>0</v>
      </c>
      <c r="IP58" s="11">
        <f>IF(IP1&lt;&gt;0, SUMIFS(Detail!$L:$L,Detail!$G:$G,'Rates-Service Fees'!IP$23,Detail!$H:$H,"State"), 0)</f>
        <v>0</v>
      </c>
      <c r="IQ58" s="11">
        <f>IF(IQ1&lt;&gt;0, SUMIFS(Detail!$L:$L,Detail!$G:$G,'Rates-Service Fees'!IQ$23,Detail!$H:$H,"State"), 0)</f>
        <v>0</v>
      </c>
      <c r="IR58" s="11">
        <f>IF(IR1&lt;&gt;0, SUMIFS(Detail!$L:$L,Detail!$G:$G,'Rates-Service Fees'!IR$23,Detail!$H:$H,"State"), 0)</f>
        <v>0</v>
      </c>
      <c r="IS58" s="11">
        <f>IF(IS1&lt;&gt;0, SUMIFS(Detail!$L:$L,Detail!$G:$G,'Rates-Service Fees'!IS$23,Detail!$H:$H,"State"), 0)</f>
        <v>0</v>
      </c>
      <c r="IT58" s="11">
        <f>IF(IT1&lt;&gt;0, SUMIFS(Detail!$L:$L,Detail!$G:$G,'Rates-Service Fees'!IT$23,Detail!$H:$H,"State"), 0)</f>
        <v>0</v>
      </c>
      <c r="IU58" s="11">
        <f>IF(IU1&lt;&gt;0, SUMIFS(Detail!$L:$L,Detail!$G:$G,'Rates-Service Fees'!IU$23,Detail!$H:$H,"State"), 0)</f>
        <v>0</v>
      </c>
      <c r="IV58" s="11">
        <f>IF(IV1&lt;&gt;0, SUMIFS(Detail!$L:$L,Detail!$G:$G,'Rates-Service Fees'!IV$23,Detail!$H:$H,"State"), 0)</f>
        <v>0</v>
      </c>
      <c r="IW58" s="11">
        <f>IF(IW1&lt;&gt;0, SUMIFS(Detail!$L:$L,Detail!$G:$G,'Rates-Service Fees'!IW$23,Detail!$H:$H,"State"), 0)</f>
        <v>0</v>
      </c>
      <c r="IX58" s="11">
        <f>IF(IX1&lt;&gt;0, SUMIFS(Detail!$L:$L,Detail!$G:$G,'Rates-Service Fees'!IX$23,Detail!$H:$H,"State"), 0)</f>
        <v>0</v>
      </c>
      <c r="IY58" s="11">
        <f>IF(IY1&lt;&gt;0, SUMIFS(Detail!$L:$L,Detail!$G:$G,'Rates-Service Fees'!IY$23,Detail!$H:$H,"State"), 0)</f>
        <v>0</v>
      </c>
      <c r="IZ58" s="11">
        <f>IF(IZ1&lt;&gt;0, SUMIFS(Detail!$L:$L,Detail!$G:$G,'Rates-Service Fees'!IZ$23,Detail!$H:$H,"State"), 0)</f>
        <v>0</v>
      </c>
      <c r="JA58" s="11">
        <f>IF(JA1&lt;&gt;0, SUMIFS(Detail!$L:$L,Detail!$G:$G,'Rates-Service Fees'!JA$23,Detail!$H:$H,"State"), 0)</f>
        <v>0</v>
      </c>
      <c r="JB58" s="11">
        <f>IF(JB1&lt;&gt;0, SUMIFS(Detail!$L:$L,Detail!$G:$G,'Rates-Service Fees'!JB$23,Detail!$H:$H,"State"), 0)</f>
        <v>0</v>
      </c>
      <c r="JC58" s="11">
        <f>IF(JC1&lt;&gt;0, SUMIFS(Detail!$L:$L,Detail!$G:$G,'Rates-Service Fees'!JC$23,Detail!$H:$H,"State"), 0)</f>
        <v>0</v>
      </c>
      <c r="JD58" s="11">
        <f>IF(JD1&lt;&gt;0, SUMIFS(Detail!$L:$L,Detail!$G:$G,'Rates-Service Fees'!JD$23,Detail!$H:$H,"State"), 0)</f>
        <v>0</v>
      </c>
      <c r="JE58" s="11">
        <f>IF(JE1&lt;&gt;0, SUMIFS(Detail!$L:$L,Detail!$G:$G,'Rates-Service Fees'!JE$23,Detail!$H:$H,"State"), 0)</f>
        <v>0</v>
      </c>
      <c r="JF58" s="11">
        <f>IF(JF1&lt;&gt;0, SUMIFS(Detail!$L:$L,Detail!$G:$G,'Rates-Service Fees'!JF$23,Detail!$H:$H,"State"), 0)</f>
        <v>0</v>
      </c>
      <c r="JG58" s="11">
        <f>IF(JG1&lt;&gt;0, SUMIFS(Detail!$L:$L,Detail!$G:$G,'Rates-Service Fees'!JG$23,Detail!$H:$H,"State"), 0)</f>
        <v>0</v>
      </c>
      <c r="JH58" s="11">
        <f>IF(JH1&lt;&gt;0, SUMIFS(Detail!$L:$L,Detail!$G:$G,'Rates-Service Fees'!JH$23,Detail!$H:$H,"State"), 0)</f>
        <v>0</v>
      </c>
      <c r="JI58" s="11">
        <f>IF(JI1&lt;&gt;0, SUMIFS(Detail!$L:$L,Detail!$G:$G,'Rates-Service Fees'!JI$23,Detail!$H:$H,"State"), 0)</f>
        <v>0</v>
      </c>
      <c r="JJ58" s="11">
        <f>IF(JJ1&lt;&gt;0, SUMIFS(Detail!$L:$L,Detail!$G:$G,'Rates-Service Fees'!JJ$23,Detail!$H:$H,"State"), 0)</f>
        <v>0</v>
      </c>
      <c r="JK58" s="11">
        <f>IF(JK1&lt;&gt;0, SUMIFS(Detail!$L:$L,Detail!$G:$G,'Rates-Service Fees'!JK$23,Detail!$H:$H,"State"), 0)</f>
        <v>0</v>
      </c>
      <c r="JL58" s="11">
        <f>IF(JL1&lt;&gt;0, SUMIFS(Detail!$L:$L,Detail!$G:$G,'Rates-Service Fees'!JL$23,Detail!$H:$H,"State"), 0)</f>
        <v>0</v>
      </c>
      <c r="JM58" s="11">
        <f>IF(JM1&lt;&gt;0, SUMIFS(Detail!$L:$L,Detail!$G:$G,'Rates-Service Fees'!JM$23,Detail!$H:$H,"State"), 0)</f>
        <v>0</v>
      </c>
      <c r="JN58" s="11">
        <f>IF(JN1&lt;&gt;0, SUMIFS(Detail!$L:$L,Detail!$G:$G,'Rates-Service Fees'!JN$23,Detail!$H:$H,"State"), 0)</f>
        <v>0</v>
      </c>
      <c r="JO58" s="11">
        <f>IF(JO1&lt;&gt;0, SUMIFS(Detail!$L:$L,Detail!$G:$G,'Rates-Service Fees'!JO$23,Detail!$H:$H,"State"), 0)</f>
        <v>0</v>
      </c>
      <c r="JP58" s="11">
        <f>IF(JP1&lt;&gt;0, SUMIFS(Detail!$L:$L,Detail!$G:$G,'Rates-Service Fees'!JP$23,Detail!$H:$H,"State"), 0)</f>
        <v>0</v>
      </c>
      <c r="JQ58" s="11">
        <f>IF(JQ1&lt;&gt;0, SUMIFS(Detail!$L:$L,Detail!$G:$G,'Rates-Service Fees'!JQ$23,Detail!$H:$H,"State"), 0)</f>
        <v>0</v>
      </c>
      <c r="JR58" s="11">
        <f>IF(JR1&lt;&gt;0, SUMIFS(Detail!$L:$L,Detail!$G:$G,'Rates-Service Fees'!JR$23,Detail!$H:$H,"State"), 0)</f>
        <v>0</v>
      </c>
      <c r="JS58" s="11">
        <f>IF(JS1&lt;&gt;0, SUMIFS(Detail!$L:$L,Detail!$G:$G,'Rates-Service Fees'!JS$23,Detail!$H:$H,"State"), 0)</f>
        <v>0</v>
      </c>
      <c r="JT58" s="11">
        <f>IF(JT1&lt;&gt;0, SUMIFS(Detail!$L:$L,Detail!$G:$G,'Rates-Service Fees'!JT$23,Detail!$H:$H,"State"), 0)</f>
        <v>0</v>
      </c>
      <c r="JU58" s="11">
        <f>IF(JU1&lt;&gt;0, SUMIFS(Detail!$L:$L,Detail!$G:$G,'Rates-Service Fees'!JU$23,Detail!$H:$H,"State"), 0)</f>
        <v>0</v>
      </c>
      <c r="JV58" s="11">
        <f>IF(JV1&lt;&gt;0, SUMIFS(Detail!$L:$L,Detail!$G:$G,'Rates-Service Fees'!JV$23,Detail!$H:$H,"State"), 0)</f>
        <v>0</v>
      </c>
      <c r="JW58" s="11">
        <f>IF(JW1&lt;&gt;0, SUMIFS(Detail!$L:$L,Detail!$G:$G,'Rates-Service Fees'!JW$23,Detail!$H:$H,"State"), 0)</f>
        <v>0</v>
      </c>
      <c r="JX58" s="11">
        <f>IF(JX1&lt;&gt;0, SUMIFS(Detail!$L:$L,Detail!$G:$G,'Rates-Service Fees'!JX$23,Detail!$H:$H,"State"), 0)</f>
        <v>0</v>
      </c>
      <c r="JY58" s="11">
        <f>IF(JY1&lt;&gt;0, SUMIFS(Detail!$L:$L,Detail!$G:$G,'Rates-Service Fees'!JY$23,Detail!$H:$H,"State"), 0)</f>
        <v>0</v>
      </c>
      <c r="JZ58" s="11">
        <f>IF(JZ1&lt;&gt;0, SUMIFS(Detail!$L:$L,Detail!$G:$G,'Rates-Service Fees'!JZ$23,Detail!$H:$H,"State"), 0)</f>
        <v>0</v>
      </c>
      <c r="KA58" s="11">
        <f>IF(KA1&lt;&gt;0, SUMIFS(Detail!$L:$L,Detail!$G:$G,'Rates-Service Fees'!KA$23,Detail!$H:$H,"State"), 0)</f>
        <v>0</v>
      </c>
      <c r="KB58" s="11">
        <f>IF(KB1&lt;&gt;0, SUMIFS(Detail!$L:$L,Detail!$G:$G,'Rates-Service Fees'!KB$23,Detail!$H:$H,"State"), 0)</f>
        <v>0</v>
      </c>
      <c r="KC58" s="11">
        <f>IF(KC1&lt;&gt;0, SUMIFS(Detail!$L:$L,Detail!$G:$G,'Rates-Service Fees'!KC$23,Detail!$H:$H,"State"), 0)</f>
        <v>0</v>
      </c>
      <c r="KD58" s="11">
        <f>IF(KD1&lt;&gt;0, SUMIFS(Detail!$L:$L,Detail!$G:$G,'Rates-Service Fees'!KD$23,Detail!$H:$H,"State"), 0)</f>
        <v>0</v>
      </c>
      <c r="KE58" s="11">
        <f>IF(KE1&lt;&gt;0, SUMIFS(Detail!$L:$L,Detail!$G:$G,'Rates-Service Fees'!KE$23,Detail!$H:$H,"State"), 0)</f>
        <v>0</v>
      </c>
      <c r="KF58" s="11">
        <f>IF(KF1&lt;&gt;0, SUMIFS(Detail!$L:$L,Detail!$G:$G,'Rates-Service Fees'!KF$23,Detail!$H:$H,"State"), 0)</f>
        <v>0</v>
      </c>
      <c r="KG58" s="11">
        <f>IF(KG1&lt;&gt;0, SUMIFS(Detail!$L:$L,Detail!$G:$G,'Rates-Service Fees'!KG$23,Detail!$H:$H,"State"), 0)</f>
        <v>0</v>
      </c>
      <c r="KH58" s="11">
        <f>IF(KH1&lt;&gt;0, SUMIFS(Detail!$L:$L,Detail!$G:$G,'Rates-Service Fees'!KH$23,Detail!$H:$H,"State"), 0)</f>
        <v>0</v>
      </c>
      <c r="KI58" s="11">
        <f>IF(KI1&lt;&gt;0, SUMIFS(Detail!$L:$L,Detail!$G:$G,'Rates-Service Fees'!KI$23,Detail!$H:$H,"State"), 0)</f>
        <v>0</v>
      </c>
      <c r="KJ58" s="11">
        <f>IF(KJ1&lt;&gt;0, SUMIFS(Detail!$L:$L,Detail!$G:$G,'Rates-Service Fees'!KJ$23,Detail!$H:$H,"State"), 0)</f>
        <v>0</v>
      </c>
      <c r="KK58" s="11">
        <f>IF(KK1&lt;&gt;0, SUMIFS(Detail!$L:$L,Detail!$G:$G,'Rates-Service Fees'!KK$23,Detail!$H:$H,"State"), 0)</f>
        <v>0</v>
      </c>
      <c r="KL58" s="11">
        <f>IF(KL1&lt;&gt;0, SUMIFS(Detail!$L:$L,Detail!$G:$G,'Rates-Service Fees'!KL$23,Detail!$H:$H,"State"), 0)</f>
        <v>0</v>
      </c>
      <c r="KM58" s="11">
        <f>IF(KM1&lt;&gt;0, SUMIFS(Detail!$L:$L,Detail!$G:$G,'Rates-Service Fees'!KM$23,Detail!$H:$H,"State"), 0)</f>
        <v>0</v>
      </c>
      <c r="KN58" s="11">
        <f>IF(KN1&lt;&gt;0, SUMIFS(Detail!$L:$L,Detail!$G:$G,'Rates-Service Fees'!KN$23,Detail!$H:$H,"State"), 0)</f>
        <v>0</v>
      </c>
      <c r="KO58" s="11">
        <f>IF(KO1&lt;&gt;0, SUMIFS(Detail!$L:$L,Detail!$G:$G,'Rates-Service Fees'!KO$23,Detail!$H:$H,"State"), 0)</f>
        <v>0</v>
      </c>
      <c r="KP58" s="11">
        <f>IF(KP1&lt;&gt;0, SUMIFS(Detail!$L:$L,Detail!$G:$G,'Rates-Service Fees'!KP$23,Detail!$H:$H,"State"), 0)</f>
        <v>0</v>
      </c>
      <c r="KQ58" s="11">
        <f>IF(KQ1&lt;&gt;0, SUMIFS(Detail!$L:$L,Detail!$G:$G,'Rates-Service Fees'!KQ$23,Detail!$H:$H,"State"), 0)</f>
        <v>0</v>
      </c>
      <c r="KR58" s="11">
        <f>IF(KR1&lt;&gt;0, SUMIFS(Detail!$L:$L,Detail!$G:$G,'Rates-Service Fees'!KR$23,Detail!$H:$H,"State"), 0)</f>
        <v>0</v>
      </c>
      <c r="KS58" s="11">
        <f>IF(KS1&lt;&gt;0, SUMIFS(Detail!$L:$L,Detail!$G:$G,'Rates-Service Fees'!KS$23,Detail!$H:$H,"State"), 0)</f>
        <v>0</v>
      </c>
      <c r="KT58" s="11">
        <f>IF(KT1&lt;&gt;0, SUMIFS(Detail!$L:$L,Detail!$G:$G,'Rates-Service Fees'!KT$23,Detail!$H:$H,"State"), 0)</f>
        <v>0</v>
      </c>
      <c r="KU58" s="11">
        <f>IF(KU1&lt;&gt;0, SUMIFS(Detail!$L:$L,Detail!$G:$G,'Rates-Service Fees'!KU$23,Detail!$H:$H,"State"), 0)</f>
        <v>0</v>
      </c>
      <c r="KV58" s="11">
        <f>IF(KV1&lt;&gt;0, SUMIFS(Detail!$L:$L,Detail!$G:$G,'Rates-Service Fees'!KV$23,Detail!$H:$H,"State"), 0)</f>
        <v>0</v>
      </c>
      <c r="KW58" s="11">
        <f>IF(KW1&lt;&gt;0, SUMIFS(Detail!$L:$L,Detail!$G:$G,'Rates-Service Fees'!KW$23,Detail!$H:$H,"State"), 0)</f>
        <v>0</v>
      </c>
      <c r="KX58" s="11">
        <f>IF(KX1&lt;&gt;0, SUMIFS(Detail!$L:$L,Detail!$G:$G,'Rates-Service Fees'!KX$23,Detail!$H:$H,"State"), 0)</f>
        <v>0</v>
      </c>
      <c r="KY58" s="11">
        <f>IF(KY1&lt;&gt;0, SUMIFS(Detail!$L:$L,Detail!$G:$G,'Rates-Service Fees'!KY$23,Detail!$H:$H,"State"), 0)</f>
        <v>0</v>
      </c>
      <c r="KZ58" s="11">
        <f>IF(KZ1&lt;&gt;0, SUMIFS(Detail!$L:$L,Detail!$G:$G,'Rates-Service Fees'!KZ$23,Detail!$H:$H,"State"), 0)</f>
        <v>0</v>
      </c>
      <c r="LA58" s="11">
        <f>IF(LA1&lt;&gt;0, SUMIFS(Detail!$L:$L,Detail!$G:$G,'Rates-Service Fees'!LA$23,Detail!$H:$H,"State"), 0)</f>
        <v>0</v>
      </c>
      <c r="LB58" s="11">
        <f>IF(LB1&lt;&gt;0, SUMIFS(Detail!$L:$L,Detail!$G:$G,'Rates-Service Fees'!LB$23,Detail!$H:$H,"State"), 0)</f>
        <v>0</v>
      </c>
      <c r="LC58" s="11">
        <f>IF(LC1&lt;&gt;0, SUMIFS(Detail!$L:$L,Detail!$G:$G,'Rates-Service Fees'!LC$23,Detail!$H:$H,"State"), 0)</f>
        <v>0</v>
      </c>
      <c r="LD58" s="11">
        <f>IF(LD1&lt;&gt;0, SUMIFS(Detail!$L:$L,Detail!$G:$G,'Rates-Service Fees'!LD$23,Detail!$H:$H,"State"), 0)</f>
        <v>0</v>
      </c>
      <c r="LE58" s="11">
        <f>IF(LE1&lt;&gt;0, SUMIFS(Detail!$L:$L,Detail!$G:$G,'Rates-Service Fees'!LE$23,Detail!$H:$H,"State"), 0)</f>
        <v>0</v>
      </c>
      <c r="LF58" s="11">
        <f>IF(LF1&lt;&gt;0, SUMIFS(Detail!$L:$L,Detail!$G:$G,'Rates-Service Fees'!LF$23,Detail!$H:$H,"State"), 0)</f>
        <v>0</v>
      </c>
      <c r="LG58" s="11">
        <f>IF(LG1&lt;&gt;0, SUMIFS(Detail!$L:$L,Detail!$G:$G,'Rates-Service Fees'!LG$23,Detail!$H:$H,"State"), 0)</f>
        <v>0</v>
      </c>
      <c r="LH58" s="11">
        <f>IF(LH1&lt;&gt;0, SUMIFS(Detail!$L:$L,Detail!$G:$G,'Rates-Service Fees'!LH$23,Detail!$H:$H,"State"), 0)</f>
        <v>0</v>
      </c>
      <c r="LI58" s="11">
        <f>IF(LI1&lt;&gt;0, SUMIFS(Detail!$L:$L,Detail!$G:$G,'Rates-Service Fees'!LI$23,Detail!$H:$H,"State"), 0)</f>
        <v>0</v>
      </c>
      <c r="LJ58" s="11">
        <f>IF(LJ1&lt;&gt;0, SUMIFS(Detail!$L:$L,Detail!$G:$G,'Rates-Service Fees'!LJ$23,Detail!$H:$H,"State"), 0)</f>
        <v>0</v>
      </c>
      <c r="LK58" s="11">
        <f>IF(LK1&lt;&gt;0, SUMIFS(Detail!$L:$L,Detail!$G:$G,'Rates-Service Fees'!LK$23,Detail!$H:$H,"State"), 0)</f>
        <v>0</v>
      </c>
      <c r="LL58" s="11">
        <f>IF(LL1&lt;&gt;0, SUMIFS(Detail!$L:$L,Detail!$G:$G,'Rates-Service Fees'!LL$23,Detail!$H:$H,"State"), 0)</f>
        <v>0</v>
      </c>
      <c r="LM58" s="11">
        <f>IF(LM1&lt;&gt;0, SUMIFS(Detail!$L:$L,Detail!$G:$G,'Rates-Service Fees'!LM$23,Detail!$H:$H,"State"), 0)</f>
        <v>0</v>
      </c>
      <c r="LN58" s="11">
        <f>IF(LN1&lt;&gt;0, SUMIFS(Detail!$L:$L,Detail!$G:$G,'Rates-Service Fees'!LN$23,Detail!$H:$H,"State"), 0)</f>
        <v>0</v>
      </c>
      <c r="LO58" s="11">
        <f>IF(LO1&lt;&gt;0, SUMIFS(Detail!$L:$L,Detail!$G:$G,'Rates-Service Fees'!LO$23,Detail!$H:$H,"State"), 0)</f>
        <v>0</v>
      </c>
      <c r="LP58" s="11">
        <f>IF(LP1&lt;&gt;0, SUMIFS(Detail!$L:$L,Detail!$G:$G,'Rates-Service Fees'!LP$23,Detail!$H:$H,"State"), 0)</f>
        <v>0</v>
      </c>
      <c r="LQ58" s="11">
        <f>IF(LQ1&lt;&gt;0, SUMIFS(Detail!$L:$L,Detail!$G:$G,'Rates-Service Fees'!LQ$23,Detail!$H:$H,"State"), 0)</f>
        <v>0</v>
      </c>
      <c r="LR58" s="11">
        <f>IF(LR1&lt;&gt;0, SUMIFS(Detail!$L:$L,Detail!$G:$G,'Rates-Service Fees'!LR$23,Detail!$H:$H,"State"), 0)</f>
        <v>0</v>
      </c>
      <c r="LS58" s="11">
        <f>IF(LS1&lt;&gt;0, SUMIFS(Detail!$L:$L,Detail!$G:$G,'Rates-Service Fees'!LS$23,Detail!$H:$H,"State"), 0)</f>
        <v>0</v>
      </c>
      <c r="LT58" s="11">
        <f>IF(LT1&lt;&gt;0, SUMIFS(Detail!$L:$L,Detail!$G:$G,'Rates-Service Fees'!LT$23,Detail!$H:$H,"State"), 0)</f>
        <v>0</v>
      </c>
      <c r="LU58" s="11">
        <f>IF(LU1&lt;&gt;0, SUMIFS(Detail!$L:$L,Detail!$G:$G,'Rates-Service Fees'!LU$23,Detail!$H:$H,"State"), 0)</f>
        <v>0</v>
      </c>
      <c r="LV58" s="11">
        <f>IF(LV1&lt;&gt;0, SUMIFS(Detail!$L:$L,Detail!$G:$G,'Rates-Service Fees'!LV$23,Detail!$H:$H,"State"), 0)</f>
        <v>0</v>
      </c>
      <c r="LW58" s="11">
        <f>IF(LW1&lt;&gt;0, SUMIFS(Detail!$L:$L,Detail!$G:$G,'Rates-Service Fees'!LW$23,Detail!$H:$H,"State"), 0)</f>
        <v>0</v>
      </c>
      <c r="LX58" s="11">
        <f>IF(LX1&lt;&gt;0, SUMIFS(Detail!$L:$L,Detail!$G:$G,'Rates-Service Fees'!LX$23,Detail!$H:$H,"State"), 0)</f>
        <v>0</v>
      </c>
      <c r="LY58" s="11">
        <f>IF(LY1&lt;&gt;0, SUMIFS(Detail!$L:$L,Detail!$G:$G,'Rates-Service Fees'!LY$23,Detail!$H:$H,"State"), 0)</f>
        <v>0</v>
      </c>
      <c r="LZ58" s="11">
        <f>IF(LZ1&lt;&gt;0, SUMIFS(Detail!$L:$L,Detail!$G:$G,'Rates-Service Fees'!LZ$23,Detail!$H:$H,"State"), 0)</f>
        <v>0</v>
      </c>
      <c r="MA58" s="11">
        <f>IF(MA1&lt;&gt;0, SUMIFS(Detail!$L:$L,Detail!$G:$G,'Rates-Service Fees'!MA$23,Detail!$H:$H,"State"), 0)</f>
        <v>0</v>
      </c>
      <c r="MB58" s="11">
        <f>IF(MB1&lt;&gt;0, SUMIFS(Detail!$L:$L,Detail!$G:$G,'Rates-Service Fees'!MB$23,Detail!$H:$H,"State"), 0)</f>
        <v>0</v>
      </c>
      <c r="MC58" s="11">
        <f>IF(MC1&lt;&gt;0, SUMIFS(Detail!$L:$L,Detail!$G:$G,'Rates-Service Fees'!MC$23,Detail!$H:$H,"State"), 0)</f>
        <v>0</v>
      </c>
      <c r="MD58" s="11">
        <f>IF(MD1&lt;&gt;0, SUMIFS(Detail!$L:$L,Detail!$G:$G,'Rates-Service Fees'!MD$23,Detail!$H:$H,"State"), 0)</f>
        <v>0</v>
      </c>
      <c r="ME58" s="11">
        <f>IF(ME1&lt;&gt;0, SUMIFS(Detail!$L:$L,Detail!$G:$G,'Rates-Service Fees'!ME$23,Detail!$H:$H,"State"), 0)</f>
        <v>0</v>
      </c>
      <c r="MF58" s="11">
        <f>IF(MF1&lt;&gt;0, SUMIFS(Detail!$L:$L,Detail!$G:$G,'Rates-Service Fees'!MF$23,Detail!$H:$H,"State"), 0)</f>
        <v>0</v>
      </c>
      <c r="MG58" s="11">
        <f>IF(MG1&lt;&gt;0, SUMIFS(Detail!$L:$L,Detail!$G:$G,'Rates-Service Fees'!MG$23,Detail!$H:$H,"State"), 0)</f>
        <v>0</v>
      </c>
      <c r="MH58" s="11">
        <f>IF(MH1&lt;&gt;0, SUMIFS(Detail!$L:$L,Detail!$G:$G,'Rates-Service Fees'!MH$23,Detail!$H:$H,"State"), 0)</f>
        <v>0</v>
      </c>
      <c r="MI58" s="11">
        <f>IF(MI1&lt;&gt;0, SUMIFS(Detail!$L:$L,Detail!$G:$G,'Rates-Service Fees'!MI$23,Detail!$H:$H,"State"), 0)</f>
        <v>0</v>
      </c>
      <c r="MJ58" s="11">
        <f>IF(MJ1&lt;&gt;0, SUMIFS(Detail!$L:$L,Detail!$G:$G,'Rates-Service Fees'!MJ$23,Detail!$H:$H,"State"), 0)</f>
        <v>0</v>
      </c>
      <c r="MK58" s="11">
        <f>IF(MK1&lt;&gt;0, SUMIFS(Detail!$L:$L,Detail!$G:$G,'Rates-Service Fees'!MK$23,Detail!$H:$H,"State"), 0)</f>
        <v>0</v>
      </c>
      <c r="ML58" s="11">
        <f>IF(ML1&lt;&gt;0, SUMIFS(Detail!$L:$L,Detail!$G:$G,'Rates-Service Fees'!ML$23,Detail!$H:$H,"State"), 0)</f>
        <v>0</v>
      </c>
      <c r="MM58" s="11">
        <f>IF(MM1&lt;&gt;0, SUMIFS(Detail!$L:$L,Detail!$G:$G,'Rates-Service Fees'!MM$23,Detail!$H:$H,"State"), 0)</f>
        <v>0</v>
      </c>
      <c r="MN58" s="11">
        <f>IF(MN1&lt;&gt;0, SUMIFS(Detail!$L:$L,Detail!$G:$G,'Rates-Service Fees'!MN$23,Detail!$H:$H,"State"), 0)</f>
        <v>0</v>
      </c>
      <c r="MO58" s="11">
        <f>IF(MO1&lt;&gt;0, SUMIFS(Detail!$L:$L,Detail!$G:$G,'Rates-Service Fees'!MO$23,Detail!$H:$H,"State"), 0)</f>
        <v>0</v>
      </c>
      <c r="MP58" s="11">
        <f>IF(MP1&lt;&gt;0, SUMIFS(Detail!$L:$L,Detail!$G:$G,'Rates-Service Fees'!MP$23,Detail!$H:$H,"State"), 0)</f>
        <v>0</v>
      </c>
      <c r="MQ58" s="11">
        <f>IF(MQ1&lt;&gt;0, SUMIFS(Detail!$L:$L,Detail!$G:$G,'Rates-Service Fees'!MQ$23,Detail!$H:$H,"State"), 0)</f>
        <v>0</v>
      </c>
      <c r="MR58" s="11">
        <f>IF(MR1&lt;&gt;0, SUMIFS(Detail!$L:$L,Detail!$G:$G,'Rates-Service Fees'!MR$23,Detail!$H:$H,"State"), 0)</f>
        <v>0</v>
      </c>
      <c r="MS58" s="11">
        <f>IF(MS1&lt;&gt;0, SUMIFS(Detail!$L:$L,Detail!$G:$G,'Rates-Service Fees'!MS$23,Detail!$H:$H,"State"), 0)</f>
        <v>0</v>
      </c>
      <c r="MT58" s="11">
        <f>IF(MT1&lt;&gt;0, SUMIFS(Detail!$L:$L,Detail!$G:$G,'Rates-Service Fees'!MT$23,Detail!$H:$H,"State"), 0)</f>
        <v>0</v>
      </c>
      <c r="MU58" s="11">
        <f>IF(MU1&lt;&gt;0, SUMIFS(Detail!$L:$L,Detail!$G:$G,'Rates-Service Fees'!MU$23,Detail!$H:$H,"State"), 0)</f>
        <v>0</v>
      </c>
      <c r="MV58" s="11">
        <f>IF(MV1&lt;&gt;0, SUMIFS(Detail!$L:$L,Detail!$G:$G,'Rates-Service Fees'!MV$23,Detail!$H:$H,"State"), 0)</f>
        <v>0</v>
      </c>
      <c r="MW58" s="11">
        <f>IF(MW1&lt;&gt;0, SUMIFS(Detail!$L:$L,Detail!$G:$G,'Rates-Service Fees'!MW$23,Detail!$H:$H,"State"), 0)</f>
        <v>0</v>
      </c>
      <c r="MX58" s="11">
        <f>IF(MX1&lt;&gt;0, SUMIFS(Detail!$L:$L,Detail!$G:$G,'Rates-Service Fees'!MX$23,Detail!$H:$H,"State"), 0)</f>
        <v>0</v>
      </c>
      <c r="MY58" s="11">
        <f>IF(MY1&lt;&gt;0, SUMIFS(Detail!$L:$L,Detail!$G:$G,'Rates-Service Fees'!MY$23,Detail!$H:$H,"State"), 0)</f>
        <v>0</v>
      </c>
      <c r="MZ58" s="11">
        <f>IF(MZ1&lt;&gt;0, SUMIFS(Detail!$L:$L,Detail!$G:$G,'Rates-Service Fees'!MZ$23,Detail!$H:$H,"State"), 0)</f>
        <v>0</v>
      </c>
      <c r="NA58" s="11">
        <f>IF(NA1&lt;&gt;0, SUMIFS(Detail!$L:$L,Detail!$G:$G,'Rates-Service Fees'!NA$23,Detail!$H:$H,"State"), 0)</f>
        <v>0</v>
      </c>
      <c r="NB58" s="11">
        <f>IF(NB1&lt;&gt;0, SUMIFS(Detail!$L:$L,Detail!$G:$G,'Rates-Service Fees'!NB$23,Detail!$H:$H,"State"), 0)</f>
        <v>0</v>
      </c>
      <c r="NC58" s="11">
        <f>IF(NC1&lt;&gt;0, SUMIFS(Detail!$L:$L,Detail!$G:$G,'Rates-Service Fees'!NC$23,Detail!$H:$H,"State"), 0)</f>
        <v>0</v>
      </c>
      <c r="ND58" s="11">
        <f>IF(ND1&lt;&gt;0, SUMIFS(Detail!$L:$L,Detail!$G:$G,'Rates-Service Fees'!ND$23,Detail!$H:$H,"State"), 0)</f>
        <v>0</v>
      </c>
      <c r="NE58" s="11">
        <f>IF(NE1&lt;&gt;0, SUMIFS(Detail!$L:$L,Detail!$G:$G,'Rates-Service Fees'!NE$23,Detail!$H:$H,"State"), 0)</f>
        <v>0</v>
      </c>
      <c r="NF58" s="11">
        <f>IF(NF1&lt;&gt;0, SUMIFS(Detail!$L:$L,Detail!$G:$G,'Rates-Service Fees'!NF$23,Detail!$H:$H,"State"), 0)</f>
        <v>0</v>
      </c>
      <c r="NG58" s="11">
        <f>IF(NG1&lt;&gt;0, SUMIFS(Detail!$L:$L,Detail!$G:$G,'Rates-Service Fees'!NG$23,Detail!$H:$H,"State"), 0)</f>
        <v>0</v>
      </c>
      <c r="NH58" s="11">
        <f>IF(NH1&lt;&gt;0, SUMIFS(Detail!$L:$L,Detail!$G:$G,'Rates-Service Fees'!NH$23,Detail!$H:$H,"State"), 0)</f>
        <v>0</v>
      </c>
      <c r="NI58" s="11">
        <f>IF(NI1&lt;&gt;0, SUMIFS(Detail!$L:$L,Detail!$G:$G,'Rates-Service Fees'!NI$23,Detail!$H:$H,"State"), 0)</f>
        <v>0</v>
      </c>
      <c r="NJ58" s="11">
        <f>IF(NJ1&lt;&gt;0, SUMIFS(Detail!$L:$L,Detail!$G:$G,'Rates-Service Fees'!NJ$23,Detail!$H:$H,"State"), 0)</f>
        <v>0</v>
      </c>
      <c r="NK58" s="11">
        <f>IF(NK1&lt;&gt;0, SUMIFS(Detail!$L:$L,Detail!$G:$G,'Rates-Service Fees'!NK$23,Detail!$H:$H,"State"), 0)</f>
        <v>0</v>
      </c>
      <c r="NL58" s="11">
        <f>IF(NL1&lt;&gt;0, SUMIFS(Detail!$L:$L,Detail!$G:$G,'Rates-Service Fees'!NL$23,Detail!$H:$H,"State"), 0)</f>
        <v>0</v>
      </c>
      <c r="NM58" s="11">
        <f>IF(NM1&lt;&gt;0, SUMIFS(Detail!$L:$L,Detail!$G:$G,'Rates-Service Fees'!NM$23,Detail!$H:$H,"State"), 0)</f>
        <v>0</v>
      </c>
      <c r="NN58" s="11">
        <f>IF(NN1&lt;&gt;0, SUMIFS(Detail!$L:$L,Detail!$G:$G,'Rates-Service Fees'!NN$23,Detail!$H:$H,"State"), 0)</f>
        <v>0</v>
      </c>
      <c r="NO58" s="11">
        <f>IF(NO1&lt;&gt;0, SUMIFS(Detail!$L:$L,Detail!$G:$G,'Rates-Service Fees'!NO$23,Detail!$H:$H,"State"), 0)</f>
        <v>0</v>
      </c>
      <c r="NP58" s="11">
        <f>IF(NP1&lt;&gt;0, SUMIFS(Detail!$L:$L,Detail!$G:$G,'Rates-Service Fees'!NP$23,Detail!$H:$H,"State"), 0)</f>
        <v>0</v>
      </c>
      <c r="NQ58" s="11">
        <f>IF(NQ1&lt;&gt;0, SUMIFS(Detail!$L:$L,Detail!$G:$G,'Rates-Service Fees'!NQ$23,Detail!$H:$H,"State"), 0)</f>
        <v>0</v>
      </c>
      <c r="NR58" s="11">
        <f>IF(NR1&lt;&gt;0, SUMIFS(Detail!$L:$L,Detail!$G:$G,'Rates-Service Fees'!NR$23,Detail!$H:$H,"State"), 0)</f>
        <v>0</v>
      </c>
      <c r="NS58" s="11">
        <f>IF(NS1&lt;&gt;0, SUMIFS(Detail!$L:$L,Detail!$G:$G,'Rates-Service Fees'!NS$23,Detail!$H:$H,"State"), 0)</f>
        <v>0</v>
      </c>
      <c r="NT58" s="11">
        <f>IF(NT1&lt;&gt;0, SUMIFS(Detail!$L:$L,Detail!$G:$G,'Rates-Service Fees'!NT$23,Detail!$H:$H,"State"), 0)</f>
        <v>0</v>
      </c>
      <c r="NU58" s="11">
        <f>IF(NU1&lt;&gt;0, SUMIFS(Detail!$L:$L,Detail!$G:$G,'Rates-Service Fees'!NU$23,Detail!$H:$H,"State"), 0)</f>
        <v>0</v>
      </c>
      <c r="NV58" s="11">
        <f>IF(NV1&lt;&gt;0, SUMIFS(Detail!$L:$L,Detail!$G:$G,'Rates-Service Fees'!NV$23,Detail!$H:$H,"State"), 0)</f>
        <v>0</v>
      </c>
      <c r="NW58" s="11">
        <f>IF(NW1&lt;&gt;0, SUMIFS(Detail!$L:$L,Detail!$G:$G,'Rates-Service Fees'!NW$23,Detail!$H:$H,"State"), 0)</f>
        <v>0</v>
      </c>
      <c r="NX58" s="11">
        <f>IF(NX1&lt;&gt;0, SUMIFS(Detail!$L:$L,Detail!$G:$G,'Rates-Service Fees'!NX$23,Detail!$H:$H,"State"), 0)</f>
        <v>0</v>
      </c>
      <c r="NY58" s="11">
        <f>IF(NY1&lt;&gt;0, SUMIFS(Detail!$L:$L,Detail!$G:$G,'Rates-Service Fees'!NY$23,Detail!$H:$H,"State"), 0)</f>
        <v>0</v>
      </c>
      <c r="NZ58" s="11">
        <f>IF(NZ1&lt;&gt;0, SUMIFS(Detail!$L:$L,Detail!$G:$G,'Rates-Service Fees'!NZ$23,Detail!$H:$H,"State"), 0)</f>
        <v>0</v>
      </c>
      <c r="OA58" s="11">
        <f>IF(OA1&lt;&gt;0, SUMIFS(Detail!$L:$L,Detail!$G:$G,'Rates-Service Fees'!OA$23,Detail!$H:$H,"State"), 0)</f>
        <v>0</v>
      </c>
      <c r="OB58" s="11">
        <f>IF(OB1&lt;&gt;0, SUMIFS(Detail!$L:$L,Detail!$G:$G,'Rates-Service Fees'!OB$23,Detail!$H:$H,"State"), 0)</f>
        <v>0</v>
      </c>
      <c r="OC58" s="11">
        <f>IF(OC1&lt;&gt;0, SUMIFS(Detail!$L:$L,Detail!$G:$G,'Rates-Service Fees'!OC$23,Detail!$H:$H,"State"), 0)</f>
        <v>0</v>
      </c>
      <c r="OD58" s="11">
        <f>IF(OD1&lt;&gt;0, SUMIFS(Detail!$L:$L,Detail!$G:$G,'Rates-Service Fees'!OD$23,Detail!$H:$H,"State"), 0)</f>
        <v>0</v>
      </c>
      <c r="OE58" s="11">
        <f>IF(OE1&lt;&gt;0, SUMIFS(Detail!$L:$L,Detail!$G:$G,'Rates-Service Fees'!OE$23,Detail!$H:$H,"State"), 0)</f>
        <v>0</v>
      </c>
      <c r="OF58" s="11">
        <f>IF(OF1&lt;&gt;0, SUMIFS(Detail!$L:$L,Detail!$G:$G,'Rates-Service Fees'!OF$23,Detail!$H:$H,"State"), 0)</f>
        <v>0</v>
      </c>
      <c r="OG58" s="11">
        <f>IF(OG1&lt;&gt;0, SUMIFS(Detail!$L:$L,Detail!$G:$G,'Rates-Service Fees'!OG$23,Detail!$H:$H,"State"), 0)</f>
        <v>0</v>
      </c>
      <c r="OH58" s="11">
        <f>IF(OH1&lt;&gt;0, SUMIFS(Detail!$L:$L,Detail!$G:$G,'Rates-Service Fees'!OH$23,Detail!$H:$H,"State"), 0)</f>
        <v>0</v>
      </c>
      <c r="OI58" s="11">
        <f>IF(OI1&lt;&gt;0, SUMIFS(Detail!$L:$L,Detail!$G:$G,'Rates-Service Fees'!OI$23,Detail!$H:$H,"State"), 0)</f>
        <v>0</v>
      </c>
      <c r="OJ58" s="11">
        <f>IF(OJ1&lt;&gt;0, SUMIFS(Detail!$L:$L,Detail!$G:$G,'Rates-Service Fees'!OJ$23,Detail!$H:$H,"State"), 0)</f>
        <v>0</v>
      </c>
      <c r="OK58" s="11">
        <f>IF(OK1&lt;&gt;0, SUMIFS(Detail!$L:$L,Detail!$G:$G,'Rates-Service Fees'!OK$23,Detail!$H:$H,"State"), 0)</f>
        <v>0</v>
      </c>
      <c r="OL58" s="11">
        <f>IF(OL1&lt;&gt;0, SUMIFS(Detail!$L:$L,Detail!$G:$G,'Rates-Service Fees'!OL$23,Detail!$H:$H,"State"), 0)</f>
        <v>0</v>
      </c>
      <c r="OM58" s="11">
        <f>IF(OM1&lt;&gt;0, SUMIFS(Detail!$L:$L,Detail!$G:$G,'Rates-Service Fees'!OM$23,Detail!$H:$H,"State"), 0)</f>
        <v>0</v>
      </c>
      <c r="ON58" s="11">
        <f>IF(ON1&lt;&gt;0, SUMIFS(Detail!$L:$L,Detail!$G:$G,'Rates-Service Fees'!ON$23,Detail!$H:$H,"State"), 0)</f>
        <v>0</v>
      </c>
      <c r="OO58" s="11">
        <f>IF(OO1&lt;&gt;0, SUMIFS(Detail!$L:$L,Detail!$G:$G,'Rates-Service Fees'!OO$23,Detail!$H:$H,"State"), 0)</f>
        <v>0</v>
      </c>
      <c r="OP58" s="11">
        <f>IF(OP1&lt;&gt;0, SUMIFS(Detail!$L:$L,Detail!$G:$G,'Rates-Service Fees'!OP$23,Detail!$H:$H,"State"), 0)</f>
        <v>0</v>
      </c>
      <c r="OQ58" s="11">
        <f>IF(OQ1&lt;&gt;0, SUMIFS(Detail!$L:$L,Detail!$G:$G,'Rates-Service Fees'!OQ$23,Detail!$H:$H,"State"), 0)</f>
        <v>0</v>
      </c>
      <c r="OR58" s="11">
        <f>IF(OR1&lt;&gt;0, SUMIFS(Detail!$L:$L,Detail!$G:$G,'Rates-Service Fees'!OR$23,Detail!$H:$H,"State"), 0)</f>
        <v>0</v>
      </c>
      <c r="OS58" s="11">
        <f>IF(OS1&lt;&gt;0, SUMIFS(Detail!$L:$L,Detail!$G:$G,'Rates-Service Fees'!OS$23,Detail!$H:$H,"State"), 0)</f>
        <v>0</v>
      </c>
      <c r="OT58" s="11">
        <f>IF(OT1&lt;&gt;0, SUMIFS(Detail!$L:$L,Detail!$G:$G,'Rates-Service Fees'!OT$23,Detail!$H:$H,"State"), 0)</f>
        <v>0</v>
      </c>
      <c r="OU58" s="11">
        <f>IF(OU1&lt;&gt;0, SUMIFS(Detail!$L:$L,Detail!$G:$G,'Rates-Service Fees'!OU$23,Detail!$H:$H,"State"), 0)</f>
        <v>0</v>
      </c>
      <c r="OV58" s="11">
        <f>IF(OV1&lt;&gt;0, SUMIFS(Detail!$L:$L,Detail!$G:$G,'Rates-Service Fees'!OV$23,Detail!$H:$H,"State"), 0)</f>
        <v>0</v>
      </c>
      <c r="OW58" s="11">
        <f>IF(OW1&lt;&gt;0, SUMIFS(Detail!$L:$L,Detail!$G:$G,'Rates-Service Fees'!OW$23,Detail!$H:$H,"State"), 0)</f>
        <v>0</v>
      </c>
      <c r="OX58" s="11">
        <f>IF(OX1&lt;&gt;0, SUMIFS(Detail!$L:$L,Detail!$G:$G,'Rates-Service Fees'!OX$23,Detail!$H:$H,"State"), 0)</f>
        <v>0</v>
      </c>
      <c r="OY58" s="11">
        <f>IF(OY1&lt;&gt;0, SUMIFS(Detail!$L:$L,Detail!$G:$G,'Rates-Service Fees'!OY$23,Detail!$H:$H,"State"), 0)</f>
        <v>0</v>
      </c>
      <c r="OZ58" s="11">
        <f>IF(OZ1&lt;&gt;0, SUMIFS(Detail!$L:$L,Detail!$G:$G,'Rates-Service Fees'!OZ$23,Detail!$H:$H,"State"), 0)</f>
        <v>0</v>
      </c>
      <c r="PA58" s="11">
        <f>IF(PA1&lt;&gt;0, SUMIFS(Detail!$L:$L,Detail!$G:$G,'Rates-Service Fees'!PA$23,Detail!$H:$H,"State"), 0)</f>
        <v>0</v>
      </c>
      <c r="PB58" s="11">
        <f>IF(PB1&lt;&gt;0, SUMIFS(Detail!$L:$L,Detail!$G:$G,'Rates-Service Fees'!PB$23,Detail!$H:$H,"State"), 0)</f>
        <v>0</v>
      </c>
      <c r="PC58" s="11">
        <f>IF(PC1&lt;&gt;0, SUMIFS(Detail!$L:$L,Detail!$G:$G,'Rates-Service Fees'!PC$23,Detail!$H:$H,"State"), 0)</f>
        <v>0</v>
      </c>
      <c r="PD58" s="11">
        <f>IF(PD1&lt;&gt;0, SUMIFS(Detail!$L:$L,Detail!$G:$G,'Rates-Service Fees'!PD$23,Detail!$H:$H,"State"), 0)</f>
        <v>0</v>
      </c>
      <c r="PE58" s="11">
        <f>IF(PE1&lt;&gt;0, SUMIFS(Detail!$L:$L,Detail!$G:$G,'Rates-Service Fees'!PE$23,Detail!$H:$H,"State"), 0)</f>
        <v>0</v>
      </c>
      <c r="PF58" s="11">
        <f>IF(PF1&lt;&gt;0, SUMIFS(Detail!$L:$L,Detail!$G:$G,'Rates-Service Fees'!PF$23,Detail!$H:$H,"State"), 0)</f>
        <v>0</v>
      </c>
      <c r="PG58" s="11">
        <f>IF(PG1&lt;&gt;0, SUMIFS(Detail!$L:$L,Detail!$G:$G,'Rates-Service Fees'!PG$23,Detail!$H:$H,"State"), 0)</f>
        <v>0</v>
      </c>
      <c r="PH58" s="11">
        <f>IF(PH1&lt;&gt;0, SUMIFS(Detail!$L:$L,Detail!$G:$G,'Rates-Service Fees'!PH$23,Detail!$H:$H,"State"), 0)</f>
        <v>0</v>
      </c>
      <c r="PI58" s="11">
        <f>IF(PI1&lt;&gt;0, SUMIFS(Detail!$L:$L,Detail!$G:$G,'Rates-Service Fees'!PI$23,Detail!$H:$H,"State"), 0)</f>
        <v>0</v>
      </c>
      <c r="PJ58" s="11">
        <f>IF(PJ1&lt;&gt;0, SUMIFS(Detail!$L:$L,Detail!$G:$G,'Rates-Service Fees'!PJ$23,Detail!$H:$H,"State"), 0)</f>
        <v>0</v>
      </c>
      <c r="PK58" s="11">
        <f>IF(PK1&lt;&gt;0, SUMIFS(Detail!$L:$L,Detail!$G:$G,'Rates-Service Fees'!PK$23,Detail!$H:$H,"State"), 0)</f>
        <v>0</v>
      </c>
      <c r="PL58" s="11">
        <f>IF(PL1&lt;&gt;0, SUMIFS(Detail!$L:$L,Detail!$G:$G,'Rates-Service Fees'!PL$23,Detail!$H:$H,"State"), 0)</f>
        <v>0</v>
      </c>
      <c r="PM58" s="11">
        <f>IF(PM1&lt;&gt;0, SUMIFS(Detail!$L:$L,Detail!$G:$G,'Rates-Service Fees'!PM$23,Detail!$H:$H,"State"), 0)</f>
        <v>0</v>
      </c>
      <c r="PN58" s="11">
        <f>IF(PN1&lt;&gt;0, SUMIFS(Detail!$L:$L,Detail!$G:$G,'Rates-Service Fees'!PN$23,Detail!$H:$H,"State"), 0)</f>
        <v>0</v>
      </c>
      <c r="PO58" s="11">
        <f>IF(PO1&lt;&gt;0, SUMIFS(Detail!$L:$L,Detail!$G:$G,'Rates-Service Fees'!PO$23,Detail!$H:$H,"State"), 0)</f>
        <v>0</v>
      </c>
      <c r="PP58" s="11">
        <f>IF(PP1&lt;&gt;0, SUMIFS(Detail!$L:$L,Detail!$G:$G,'Rates-Service Fees'!PP$23,Detail!$H:$H,"State"), 0)</f>
        <v>0</v>
      </c>
      <c r="PQ58" s="11">
        <f>IF(PQ1&lt;&gt;0, SUMIFS(Detail!$L:$L,Detail!$G:$G,'Rates-Service Fees'!PQ$23,Detail!$H:$H,"State"), 0)</f>
        <v>0</v>
      </c>
      <c r="PR58" s="11">
        <f>IF(PR1&lt;&gt;0, SUMIFS(Detail!$L:$L,Detail!$G:$G,'Rates-Service Fees'!PR$23,Detail!$H:$H,"State"), 0)</f>
        <v>0</v>
      </c>
      <c r="PS58" s="11">
        <f>IF(PS1&lt;&gt;0, SUMIFS(Detail!$L:$L,Detail!$G:$G,'Rates-Service Fees'!PS$23,Detail!$H:$H,"State"), 0)</f>
        <v>0</v>
      </c>
      <c r="PT58" s="11">
        <f>IF(PT1&lt;&gt;0, SUMIFS(Detail!$L:$L,Detail!$G:$G,'Rates-Service Fees'!PT$23,Detail!$H:$H,"State"), 0)</f>
        <v>0</v>
      </c>
      <c r="PU58" s="11">
        <f>IF(PU1&lt;&gt;0, SUMIFS(Detail!$L:$L,Detail!$G:$G,'Rates-Service Fees'!PU$23,Detail!$H:$H,"State"), 0)</f>
        <v>0</v>
      </c>
      <c r="PV58" s="11">
        <f>IF(PV1&lt;&gt;0, SUMIFS(Detail!$L:$L,Detail!$G:$G,'Rates-Service Fees'!PV$23,Detail!$H:$H,"State"), 0)</f>
        <v>0</v>
      </c>
      <c r="PW58" s="11">
        <f>IF(PW1&lt;&gt;0, SUMIFS(Detail!$L:$L,Detail!$G:$G,'Rates-Service Fees'!PW$23,Detail!$H:$H,"State"), 0)</f>
        <v>0</v>
      </c>
      <c r="PX58" s="11">
        <f>IF(PX1&lt;&gt;0, SUMIFS(Detail!$L:$L,Detail!$G:$G,'Rates-Service Fees'!PX$23,Detail!$H:$H,"State"), 0)</f>
        <v>0</v>
      </c>
      <c r="PY58" s="11">
        <f>IF(PY1&lt;&gt;0, SUMIFS(Detail!$L:$L,Detail!$G:$G,'Rates-Service Fees'!PY$23,Detail!$H:$H,"State"), 0)</f>
        <v>0</v>
      </c>
      <c r="PZ58" s="11">
        <f>IF(PZ1&lt;&gt;0, SUMIFS(Detail!$L:$L,Detail!$G:$G,'Rates-Service Fees'!PZ$23,Detail!$H:$H,"State"), 0)</f>
        <v>0</v>
      </c>
      <c r="QA58" s="11">
        <f>IF(QA1&lt;&gt;0, SUMIFS(Detail!$L:$L,Detail!$G:$G,'Rates-Service Fees'!QA$23,Detail!$H:$H,"State"), 0)</f>
        <v>0</v>
      </c>
      <c r="QB58" s="11">
        <f>IF(QB1&lt;&gt;0, SUMIFS(Detail!$L:$L,Detail!$G:$G,'Rates-Service Fees'!QB$23,Detail!$H:$H,"State"), 0)</f>
        <v>0</v>
      </c>
      <c r="QC58" s="11">
        <f>IF(QC1&lt;&gt;0, SUMIFS(Detail!$L:$L,Detail!$G:$G,'Rates-Service Fees'!QC$23,Detail!$H:$H,"State"), 0)</f>
        <v>0</v>
      </c>
      <c r="QD58" s="11">
        <f>IF(QD1&lt;&gt;0, SUMIFS(Detail!$L:$L,Detail!$G:$G,'Rates-Service Fees'!QD$23,Detail!$H:$H,"State"), 0)</f>
        <v>0</v>
      </c>
      <c r="QE58" s="11">
        <f>IF(QE1&lt;&gt;0, SUMIFS(Detail!$L:$L,Detail!$G:$G,'Rates-Service Fees'!QE$23,Detail!$H:$H,"State"), 0)</f>
        <v>0</v>
      </c>
      <c r="QF58" s="11">
        <f>IF(QF1&lt;&gt;0, SUMIFS(Detail!$L:$L,Detail!$G:$G,'Rates-Service Fees'!QF$23,Detail!$H:$H,"State"), 0)</f>
        <v>0</v>
      </c>
      <c r="QG58" s="11">
        <f>IF(QG1&lt;&gt;0, SUMIFS(Detail!$L:$L,Detail!$G:$G,'Rates-Service Fees'!QG$23,Detail!$H:$H,"State"), 0)</f>
        <v>0</v>
      </c>
      <c r="QH58" s="11">
        <f>IF(QH1&lt;&gt;0, SUMIFS(Detail!$L:$L,Detail!$G:$G,'Rates-Service Fees'!QH$23,Detail!$H:$H,"State"), 0)</f>
        <v>0</v>
      </c>
      <c r="QI58" s="11">
        <f>IF(QI1&lt;&gt;0, SUMIFS(Detail!$L:$L,Detail!$G:$G,'Rates-Service Fees'!QI$23,Detail!$H:$H,"State"), 0)</f>
        <v>0</v>
      </c>
      <c r="QJ58" s="11">
        <f>IF(QJ1&lt;&gt;0, SUMIFS(Detail!$L:$L,Detail!$G:$G,'Rates-Service Fees'!QJ$23,Detail!$H:$H,"State"), 0)</f>
        <v>0</v>
      </c>
      <c r="QK58" s="11">
        <f>IF(QK1&lt;&gt;0, SUMIFS(Detail!$L:$L,Detail!$G:$G,'Rates-Service Fees'!QK$23,Detail!$H:$H,"State"), 0)</f>
        <v>0</v>
      </c>
      <c r="QL58" s="11">
        <f>IF(QL1&lt;&gt;0, SUMIFS(Detail!$L:$L,Detail!$G:$G,'Rates-Service Fees'!QL$23,Detail!$H:$H,"State"), 0)</f>
        <v>0</v>
      </c>
      <c r="QM58" s="11">
        <f>IF(QM1&lt;&gt;0, SUMIFS(Detail!$L:$L,Detail!$G:$G,'Rates-Service Fees'!QM$23,Detail!$H:$H,"State"), 0)</f>
        <v>0</v>
      </c>
      <c r="QN58" s="11">
        <f>IF(QN1&lt;&gt;0, SUMIFS(Detail!$L:$L,Detail!$G:$G,'Rates-Service Fees'!QN$23,Detail!$H:$H,"State"), 0)</f>
        <v>0</v>
      </c>
      <c r="QO58" s="11">
        <f>IF(QO1&lt;&gt;0, SUMIFS(Detail!$L:$L,Detail!$G:$G,'Rates-Service Fees'!QO$23,Detail!$H:$H,"State"), 0)</f>
        <v>0</v>
      </c>
      <c r="QP58" s="11">
        <f>IF(QP1&lt;&gt;0, SUMIFS(Detail!$L:$L,Detail!$G:$G,'Rates-Service Fees'!QP$23,Detail!$H:$H,"State"), 0)</f>
        <v>0</v>
      </c>
      <c r="QQ58" s="11">
        <f>IF(QQ1&lt;&gt;0, SUMIFS(Detail!$L:$L,Detail!$G:$G,'Rates-Service Fees'!QQ$23,Detail!$H:$H,"State"), 0)</f>
        <v>0</v>
      </c>
      <c r="QR58" s="11">
        <f>IF(QR1&lt;&gt;0, SUMIFS(Detail!$L:$L,Detail!$G:$G,'Rates-Service Fees'!QR$23,Detail!$H:$H,"State"), 0)</f>
        <v>0</v>
      </c>
      <c r="QS58" s="11">
        <f>IF(QS1&lt;&gt;0, SUMIFS(Detail!$L:$L,Detail!$G:$G,'Rates-Service Fees'!QS$23,Detail!$H:$H,"State"), 0)</f>
        <v>0</v>
      </c>
      <c r="QT58" s="11">
        <f>IF(QT1&lt;&gt;0, SUMIFS(Detail!$L:$L,Detail!$G:$G,'Rates-Service Fees'!QT$23,Detail!$H:$H,"State"), 0)</f>
        <v>0</v>
      </c>
      <c r="QU58" s="11">
        <f>IF(QU1&lt;&gt;0, SUMIFS(Detail!$L:$L,Detail!$G:$G,'Rates-Service Fees'!QU$23,Detail!$H:$H,"State"), 0)</f>
        <v>0</v>
      </c>
      <c r="QV58" s="11">
        <f>IF(QV1&lt;&gt;0, SUMIFS(Detail!$L:$L,Detail!$G:$G,'Rates-Service Fees'!QV$23,Detail!$H:$H,"State"), 0)</f>
        <v>0</v>
      </c>
      <c r="QW58" s="11">
        <f>IF(QW1&lt;&gt;0, SUMIFS(Detail!$L:$L,Detail!$G:$G,'Rates-Service Fees'!QW$23,Detail!$H:$H,"State"), 0)</f>
        <v>0</v>
      </c>
      <c r="QX58" s="11">
        <f>IF(QX1&lt;&gt;0, SUMIFS(Detail!$L:$L,Detail!$G:$G,'Rates-Service Fees'!QX$23,Detail!$H:$H,"State"), 0)</f>
        <v>0</v>
      </c>
      <c r="QY58" s="11">
        <f>IF(QY1&lt;&gt;0, SUMIFS(Detail!$L:$L,Detail!$G:$G,'Rates-Service Fees'!QY$23,Detail!$H:$H,"State"), 0)</f>
        <v>0</v>
      </c>
      <c r="QZ58" s="11">
        <f>IF(QZ1&lt;&gt;0, SUMIFS(Detail!$L:$L,Detail!$G:$G,'Rates-Service Fees'!QZ$23,Detail!$H:$H,"State"), 0)</f>
        <v>0</v>
      </c>
      <c r="RA58" s="11">
        <f>IF(RA1&lt;&gt;0, SUMIFS(Detail!$L:$L,Detail!$G:$G,'Rates-Service Fees'!RA$23,Detail!$H:$H,"State"), 0)</f>
        <v>0</v>
      </c>
      <c r="RB58" s="11">
        <f>IF(RB1&lt;&gt;0, SUMIFS(Detail!$L:$L,Detail!$G:$G,'Rates-Service Fees'!RB$23,Detail!$H:$H,"State"), 0)</f>
        <v>0</v>
      </c>
      <c r="RC58" s="11">
        <f>IF(RC1&lt;&gt;0, SUMIFS(Detail!$L:$L,Detail!$G:$G,'Rates-Service Fees'!RC$23,Detail!$H:$H,"State"), 0)</f>
        <v>0</v>
      </c>
      <c r="RD58" s="11">
        <f>IF(RD1&lt;&gt;0, SUMIFS(Detail!$L:$L,Detail!$G:$G,'Rates-Service Fees'!RD$23,Detail!$H:$H,"State"), 0)</f>
        <v>0</v>
      </c>
      <c r="RE58" s="11">
        <f>IF(RE1&lt;&gt;0, SUMIFS(Detail!$L:$L,Detail!$G:$G,'Rates-Service Fees'!RE$23,Detail!$H:$H,"State"), 0)</f>
        <v>0</v>
      </c>
      <c r="RF58" s="11">
        <f>IF(RF1&lt;&gt;0, SUMIFS(Detail!$L:$L,Detail!$G:$G,'Rates-Service Fees'!RF$23,Detail!$H:$H,"State"), 0)</f>
        <v>0</v>
      </c>
      <c r="RG58" s="11">
        <f>IF(RG1&lt;&gt;0, SUMIFS(Detail!$L:$L,Detail!$G:$G,'Rates-Service Fees'!RG$23,Detail!$H:$H,"State"), 0)</f>
        <v>0</v>
      </c>
      <c r="RH58" s="11">
        <f>IF(RH1&lt;&gt;0, SUMIFS(Detail!$L:$L,Detail!$G:$G,'Rates-Service Fees'!RH$23,Detail!$H:$H,"State"), 0)</f>
        <v>0</v>
      </c>
      <c r="RI58" s="11">
        <f>IF(RI1&lt;&gt;0, SUMIFS(Detail!$L:$L,Detail!$G:$G,'Rates-Service Fees'!RI$23,Detail!$H:$H,"State"), 0)</f>
        <v>0</v>
      </c>
      <c r="RJ58" s="11">
        <f>IF(RJ1&lt;&gt;0, SUMIFS(Detail!$L:$L,Detail!$G:$G,'Rates-Service Fees'!RJ$23,Detail!$H:$H,"State"), 0)</f>
        <v>0</v>
      </c>
      <c r="RK58" s="11">
        <f>IF(RK1&lt;&gt;0, SUMIFS(Detail!$L:$L,Detail!$G:$G,'Rates-Service Fees'!RK$23,Detail!$H:$H,"State"), 0)</f>
        <v>0</v>
      </c>
      <c r="RL58" s="11">
        <f>IF(RL1&lt;&gt;0, SUMIFS(Detail!$L:$L,Detail!$G:$G,'Rates-Service Fees'!RL$23,Detail!$H:$H,"State"), 0)</f>
        <v>0</v>
      </c>
      <c r="RM58" s="11">
        <f>IF(RM1&lt;&gt;0, SUMIFS(Detail!$L:$L,Detail!$G:$G,'Rates-Service Fees'!RM$23,Detail!$H:$H,"State"), 0)</f>
        <v>0</v>
      </c>
      <c r="RN58" s="11">
        <f>IF(RN1&lt;&gt;0, SUMIFS(Detail!$L:$L,Detail!$G:$G,'Rates-Service Fees'!RN$23,Detail!$H:$H,"State"), 0)</f>
        <v>0</v>
      </c>
      <c r="RO58" s="11">
        <f>IF(RO1&lt;&gt;0, SUMIFS(Detail!$L:$L,Detail!$G:$G,'Rates-Service Fees'!RO$23,Detail!$H:$H,"State"), 0)</f>
        <v>0</v>
      </c>
      <c r="RP58" s="11">
        <f>IF(RP1&lt;&gt;0, SUMIFS(Detail!$L:$L,Detail!$G:$G,'Rates-Service Fees'!RP$23,Detail!$H:$H,"State"), 0)</f>
        <v>0</v>
      </c>
      <c r="RQ58" s="11">
        <f>IF(RQ1&lt;&gt;0, SUMIFS(Detail!$L:$L,Detail!$G:$G,'Rates-Service Fees'!RQ$23,Detail!$H:$H,"State"), 0)</f>
        <v>0</v>
      </c>
      <c r="RR58" s="11">
        <f>IF(RR1&lt;&gt;0, SUMIFS(Detail!$L:$L,Detail!$G:$G,'Rates-Service Fees'!RR$23,Detail!$H:$H,"State"), 0)</f>
        <v>0</v>
      </c>
      <c r="RS58" s="11">
        <f>IF(RS1&lt;&gt;0, SUMIFS(Detail!$L:$L,Detail!$G:$G,'Rates-Service Fees'!RS$23,Detail!$H:$H,"State"), 0)</f>
        <v>0</v>
      </c>
      <c r="RT58" s="11">
        <f>IF(RT1&lt;&gt;0, SUMIFS(Detail!$L:$L,Detail!$G:$G,'Rates-Service Fees'!RT$23,Detail!$H:$H,"State"), 0)</f>
        <v>0</v>
      </c>
      <c r="RU58" s="11">
        <f>IF(RU1&lt;&gt;0, SUMIFS(Detail!$L:$L,Detail!$G:$G,'Rates-Service Fees'!RU$23,Detail!$H:$H,"State"), 0)</f>
        <v>0</v>
      </c>
      <c r="RV58" s="11">
        <f>IF(RV1&lt;&gt;0, SUMIFS(Detail!$L:$L,Detail!$G:$G,'Rates-Service Fees'!RV$23,Detail!$H:$H,"State"), 0)</f>
        <v>0</v>
      </c>
      <c r="RW58" s="11">
        <f>IF(RW1&lt;&gt;0, SUMIFS(Detail!$L:$L,Detail!$G:$G,'Rates-Service Fees'!RW$23,Detail!$H:$H,"State"), 0)</f>
        <v>0</v>
      </c>
      <c r="RX58" s="11">
        <f>IF(RX1&lt;&gt;0, SUMIFS(Detail!$L:$L,Detail!$G:$G,'Rates-Service Fees'!RX$23,Detail!$H:$H,"State"), 0)</f>
        <v>0</v>
      </c>
      <c r="RY58" s="11">
        <f>IF(RY1&lt;&gt;0, SUMIFS(Detail!$L:$L,Detail!$G:$G,'Rates-Service Fees'!RY$23,Detail!$H:$H,"State"), 0)</f>
        <v>0</v>
      </c>
      <c r="RZ58" s="11">
        <f>IF(RZ1&lt;&gt;0, SUMIFS(Detail!$L:$L,Detail!$G:$G,'Rates-Service Fees'!RZ$23,Detail!$H:$H,"State"), 0)</f>
        <v>0</v>
      </c>
      <c r="SA58" s="11">
        <f>IF(SA1&lt;&gt;0, SUMIFS(Detail!$L:$L,Detail!$G:$G,'Rates-Service Fees'!SA$23,Detail!$H:$H,"State"), 0)</f>
        <v>0</v>
      </c>
      <c r="SB58" s="11">
        <f>IF(SB1&lt;&gt;0, SUMIFS(Detail!$L:$L,Detail!$G:$G,'Rates-Service Fees'!SB$23,Detail!$H:$H,"State"), 0)</f>
        <v>0</v>
      </c>
      <c r="SC58" s="11">
        <f>IF(SC1&lt;&gt;0, SUMIFS(Detail!$L:$L,Detail!$G:$G,'Rates-Service Fees'!SC$23,Detail!$H:$H,"State"), 0)</f>
        <v>0</v>
      </c>
      <c r="SD58" s="11">
        <f>IF(SD1&lt;&gt;0, SUMIFS(Detail!$L:$L,Detail!$G:$G,'Rates-Service Fees'!SD$23,Detail!$H:$H,"State"), 0)</f>
        <v>0</v>
      </c>
      <c r="SE58" s="11">
        <f>IF(SE1&lt;&gt;0, SUMIFS(Detail!$L:$L,Detail!$G:$G,'Rates-Service Fees'!SE$23,Detail!$H:$H,"State"), 0)</f>
        <v>0</v>
      </c>
      <c r="SF58" s="11">
        <f>IF(SF1&lt;&gt;0, SUMIFS(Detail!$L:$L,Detail!$G:$G,'Rates-Service Fees'!SF$23,Detail!$H:$H,"State"), 0)</f>
        <v>0</v>
      </c>
      <c r="SG58" s="11">
        <f>IF(SG1&lt;&gt;0, SUMIFS(Detail!$L:$L,Detail!$G:$G,'Rates-Service Fees'!SG$23,Detail!$H:$H,"State"), 0)</f>
        <v>0</v>
      </c>
      <c r="SH58" s="11">
        <f>IF(SH1&lt;&gt;0, SUMIFS(Detail!$L:$L,Detail!$G:$G,'Rates-Service Fees'!SH$23,Detail!$H:$H,"State"), 0)</f>
        <v>0</v>
      </c>
      <c r="SI58" s="11">
        <f>IF(SI1&lt;&gt;0, SUMIFS(Detail!$L:$L,Detail!$G:$G,'Rates-Service Fees'!SI$23,Detail!$H:$H,"State"), 0)</f>
        <v>0</v>
      </c>
      <c r="SJ58" s="11">
        <f>IF(SJ1&lt;&gt;0, SUMIFS(Detail!$L:$L,Detail!$G:$G,'Rates-Service Fees'!SJ$23,Detail!$H:$H,"State"), 0)</f>
        <v>0</v>
      </c>
      <c r="SK58" s="11">
        <f>IF(SK1&lt;&gt;0, SUMIFS(Detail!$L:$L,Detail!$G:$G,'Rates-Service Fees'!SK$23,Detail!$H:$H,"State"), 0)</f>
        <v>0</v>
      </c>
      <c r="SL58" s="11">
        <f>IF(SL1&lt;&gt;0, SUMIFS(Detail!$L:$L,Detail!$G:$G,'Rates-Service Fees'!SL$23,Detail!$H:$H,"State"), 0)</f>
        <v>0</v>
      </c>
      <c r="SM58" s="11">
        <f>IF(SM1&lt;&gt;0, SUMIFS(Detail!$L:$L,Detail!$G:$G,'Rates-Service Fees'!SM$23,Detail!$H:$H,"State"), 0)</f>
        <v>0</v>
      </c>
      <c r="SN58" s="11">
        <f>IF(SN1&lt;&gt;0, SUMIFS(Detail!$L:$L,Detail!$G:$G,'Rates-Service Fees'!SN$23,Detail!$H:$H,"State"), 0)</f>
        <v>0</v>
      </c>
      <c r="SO58" s="11">
        <f>IF(SO1&lt;&gt;0, SUMIFS(Detail!$L:$L,Detail!$G:$G,'Rates-Service Fees'!SO$23,Detail!$H:$H,"State"), 0)</f>
        <v>0</v>
      </c>
      <c r="SP58" s="11">
        <f>IF(SP1&lt;&gt;0, SUMIFS(Detail!$L:$L,Detail!$G:$G,'Rates-Service Fees'!SP$23,Detail!$H:$H,"State"), 0)</f>
        <v>0</v>
      </c>
      <c r="SQ58" s="11">
        <f>IF(SQ1&lt;&gt;0, SUMIFS(Detail!$L:$L,Detail!$G:$G,'Rates-Service Fees'!SQ$23,Detail!$H:$H,"State"), 0)</f>
        <v>0</v>
      </c>
      <c r="SR58" s="11">
        <f>IF(SR1&lt;&gt;0, SUMIFS(Detail!$L:$L,Detail!$G:$G,'Rates-Service Fees'!SR$23,Detail!$H:$H,"State"), 0)</f>
        <v>0</v>
      </c>
      <c r="SS58" s="11">
        <f>IF(SS1&lt;&gt;0, SUMIFS(Detail!$L:$L,Detail!$G:$G,'Rates-Service Fees'!SS$23,Detail!$H:$H,"State"), 0)</f>
        <v>0</v>
      </c>
      <c r="ST58" s="11">
        <f>IF(ST1&lt;&gt;0, SUMIFS(Detail!$L:$L,Detail!$G:$G,'Rates-Service Fees'!ST$23,Detail!$H:$H,"State"), 0)</f>
        <v>0</v>
      </c>
      <c r="SU58" s="11">
        <f>IF(SU1&lt;&gt;0, SUMIFS(Detail!$L:$L,Detail!$G:$G,'Rates-Service Fees'!SU$23,Detail!$H:$H,"State"), 0)</f>
        <v>0</v>
      </c>
      <c r="SV58" s="11">
        <f>IF(SV1&lt;&gt;0, SUMIFS(Detail!$L:$L,Detail!$G:$G,'Rates-Service Fees'!SV$23,Detail!$H:$H,"State"), 0)</f>
        <v>0</v>
      </c>
      <c r="SW58" s="11">
        <f>IF(SW1&lt;&gt;0, SUMIFS(Detail!$L:$L,Detail!$G:$G,'Rates-Service Fees'!SW$23,Detail!$H:$H,"State"), 0)</f>
        <v>0</v>
      </c>
      <c r="SX58" s="11">
        <f>IF(SX1&lt;&gt;0, SUMIFS(Detail!$L:$L,Detail!$G:$G,'Rates-Service Fees'!SX$23,Detail!$H:$H,"State"), 0)</f>
        <v>0</v>
      </c>
      <c r="SY58" s="11">
        <f>IF(SY1&lt;&gt;0, SUMIFS(Detail!$L:$L,Detail!$G:$G,'Rates-Service Fees'!SY$23,Detail!$H:$H,"State"), 0)</f>
        <v>0</v>
      </c>
      <c r="SZ58" s="11">
        <f>IF(SZ1&lt;&gt;0, SUMIFS(Detail!$L:$L,Detail!$G:$G,'Rates-Service Fees'!SZ$23,Detail!$H:$H,"State"), 0)</f>
        <v>0</v>
      </c>
      <c r="TA58" s="11">
        <f>IF(TA1&lt;&gt;0, SUMIFS(Detail!$L:$L,Detail!$G:$G,'Rates-Service Fees'!TA$23,Detail!$H:$H,"State"), 0)</f>
        <v>0</v>
      </c>
      <c r="TB58" s="11">
        <f>IF(TB1&lt;&gt;0, SUMIFS(Detail!$L:$L,Detail!$G:$G,'Rates-Service Fees'!TB$23,Detail!$H:$H,"State"), 0)</f>
        <v>0</v>
      </c>
      <c r="TC58" s="11">
        <f>IF(TC1&lt;&gt;0, SUMIFS(Detail!$L:$L,Detail!$G:$G,'Rates-Service Fees'!TC$23,Detail!$H:$H,"State"), 0)</f>
        <v>0</v>
      </c>
      <c r="TD58" s="11">
        <f>IF(TD1&lt;&gt;0, SUMIFS(Detail!$L:$L,Detail!$G:$G,'Rates-Service Fees'!TD$23,Detail!$H:$H,"State"), 0)</f>
        <v>0</v>
      </c>
      <c r="TE58" s="11">
        <f>IF(TE1&lt;&gt;0, SUMIFS(Detail!$L:$L,Detail!$G:$G,'Rates-Service Fees'!TE$23,Detail!$H:$H,"State"), 0)</f>
        <v>0</v>
      </c>
      <c r="TF58" s="11">
        <f>IF(TF1&lt;&gt;0, SUMIFS(Detail!$L:$L,Detail!$G:$G,'Rates-Service Fees'!TF$23,Detail!$H:$H,"State"), 0)</f>
        <v>0</v>
      </c>
      <c r="TG58" s="11">
        <f>IF(TG1&lt;&gt;0, SUMIFS(Detail!$L:$L,Detail!$G:$G,'Rates-Service Fees'!TG$23,Detail!$H:$H,"State"), 0)</f>
        <v>0</v>
      </c>
      <c r="TH58" s="11">
        <f>IF(TH1&lt;&gt;0, SUMIFS(Detail!$L:$L,Detail!$G:$G,'Rates-Service Fees'!TH$23,Detail!$H:$H,"State"), 0)</f>
        <v>0</v>
      </c>
      <c r="TI58" s="11">
        <f>IF(TI1&lt;&gt;0, SUMIFS(Detail!$L:$L,Detail!$G:$G,'Rates-Service Fees'!TI$23,Detail!$H:$H,"State"), 0)</f>
        <v>0</v>
      </c>
      <c r="TJ58" s="11">
        <f>IF(TJ1&lt;&gt;0, SUMIFS(Detail!$L:$L,Detail!$G:$G,'Rates-Service Fees'!TJ$23,Detail!$H:$H,"State"), 0)</f>
        <v>0</v>
      </c>
      <c r="TK58" s="11">
        <f>IF(TK1&lt;&gt;0, SUMIFS(Detail!$L:$L,Detail!$G:$G,'Rates-Service Fees'!TK$23,Detail!$H:$H,"State"), 0)</f>
        <v>0</v>
      </c>
      <c r="TL58" s="11">
        <f>IF(TL1&lt;&gt;0, SUMIFS(Detail!$L:$L,Detail!$G:$G,'Rates-Service Fees'!TL$23,Detail!$H:$H,"State"), 0)</f>
        <v>0</v>
      </c>
      <c r="TM58" s="11">
        <f>IF(TM1&lt;&gt;0, SUMIFS(Detail!$L:$L,Detail!$G:$G,'Rates-Service Fees'!TM$23,Detail!$H:$H,"State"), 0)</f>
        <v>0</v>
      </c>
      <c r="TN58" s="11">
        <f>IF(TN1&lt;&gt;0, SUMIFS(Detail!$L:$L,Detail!$G:$G,'Rates-Service Fees'!TN$23,Detail!$H:$H,"State"), 0)</f>
        <v>0</v>
      </c>
      <c r="TO58" s="11">
        <f>IF(TO1&lt;&gt;0, SUMIFS(Detail!$L:$L,Detail!$G:$G,'Rates-Service Fees'!TO$23,Detail!$H:$H,"State"), 0)</f>
        <v>0</v>
      </c>
      <c r="TP58" s="11">
        <f>IF(TP1&lt;&gt;0, SUMIFS(Detail!$L:$L,Detail!$G:$G,'Rates-Service Fees'!TP$23,Detail!$H:$H,"State"), 0)</f>
        <v>0</v>
      </c>
      <c r="TQ58" s="11">
        <f>IF(TQ1&lt;&gt;0, SUMIFS(Detail!$L:$L,Detail!$G:$G,'Rates-Service Fees'!TQ$23,Detail!$H:$H,"State"), 0)</f>
        <v>0</v>
      </c>
      <c r="TR58" s="11">
        <f>IF(TR1&lt;&gt;0, SUMIFS(Detail!$L:$L,Detail!$G:$G,'Rates-Service Fees'!TR$23,Detail!$H:$H,"State"), 0)</f>
        <v>0</v>
      </c>
      <c r="TS58" s="11">
        <f>IF(TS1&lt;&gt;0, SUMIFS(Detail!$L:$L,Detail!$G:$G,'Rates-Service Fees'!TS$23,Detail!$H:$H,"State"), 0)</f>
        <v>0</v>
      </c>
      <c r="TT58" s="11">
        <f>IF(TT1&lt;&gt;0, SUMIFS(Detail!$L:$L,Detail!$G:$G,'Rates-Service Fees'!TT$23,Detail!$H:$H,"State"), 0)</f>
        <v>0</v>
      </c>
      <c r="TU58" s="11">
        <f>IF(TU1&lt;&gt;0, SUMIFS(Detail!$L:$L,Detail!$G:$G,'Rates-Service Fees'!TU$23,Detail!$H:$H,"State"), 0)</f>
        <v>0</v>
      </c>
      <c r="TV58" s="11">
        <f>IF(TV1&lt;&gt;0, SUMIFS(Detail!$L:$L,Detail!$G:$G,'Rates-Service Fees'!TV$23,Detail!$H:$H,"State"), 0)</f>
        <v>0</v>
      </c>
      <c r="TW58" s="11">
        <f>IF(TW1&lt;&gt;0, SUMIFS(Detail!$L:$L,Detail!$G:$G,'Rates-Service Fees'!TW$23,Detail!$H:$H,"State"), 0)</f>
        <v>0</v>
      </c>
      <c r="TX58" s="11">
        <f>IF(TX1&lt;&gt;0, SUMIFS(Detail!$L:$L,Detail!$G:$G,'Rates-Service Fees'!TX$23,Detail!$H:$H,"State"), 0)</f>
        <v>0</v>
      </c>
      <c r="TY58" s="11">
        <f>IF(TY1&lt;&gt;0, SUMIFS(Detail!$L:$L,Detail!$G:$G,'Rates-Service Fees'!TY$23,Detail!$H:$H,"State"), 0)</f>
        <v>0</v>
      </c>
      <c r="TZ58" s="11">
        <f>IF(TZ1&lt;&gt;0, SUMIFS(Detail!$L:$L,Detail!$G:$G,'Rates-Service Fees'!TZ$23,Detail!$H:$H,"State"), 0)</f>
        <v>0</v>
      </c>
      <c r="UA58" s="11">
        <f>IF(UA1&lt;&gt;0, SUMIFS(Detail!$L:$L,Detail!$G:$G,'Rates-Service Fees'!UA$23,Detail!$H:$H,"State"), 0)</f>
        <v>0</v>
      </c>
      <c r="UB58" s="11">
        <f>IF(UB1&lt;&gt;0, SUMIFS(Detail!$L:$L,Detail!$G:$G,'Rates-Service Fees'!UB$23,Detail!$H:$H,"State"), 0)</f>
        <v>0</v>
      </c>
      <c r="UC58" s="11">
        <f>IF(UC1&lt;&gt;0, SUMIFS(Detail!$L:$L,Detail!$G:$G,'Rates-Service Fees'!UC$23,Detail!$H:$H,"State"), 0)</f>
        <v>0</v>
      </c>
      <c r="UD58" s="11">
        <f>IF(UD1&lt;&gt;0, SUMIFS(Detail!$L:$L,Detail!$G:$G,'Rates-Service Fees'!UD$23,Detail!$H:$H,"State"), 0)</f>
        <v>0</v>
      </c>
      <c r="UE58" s="11">
        <f>IF(UE1&lt;&gt;0, SUMIFS(Detail!$L:$L,Detail!$G:$G,'Rates-Service Fees'!UE$23,Detail!$H:$H,"State"), 0)</f>
        <v>0</v>
      </c>
      <c r="UF58" s="11">
        <f>IF(UF1&lt;&gt;0, SUMIFS(Detail!$L:$L,Detail!$G:$G,'Rates-Service Fees'!UF$23,Detail!$H:$H,"State"), 0)</f>
        <v>0</v>
      </c>
      <c r="UG58" s="11">
        <f>IF(UG1&lt;&gt;0, SUMIFS(Detail!$L:$L,Detail!$G:$G,'Rates-Service Fees'!UG$23,Detail!$H:$H,"State"), 0)</f>
        <v>0</v>
      </c>
      <c r="UH58" s="11">
        <f>IF(UH1&lt;&gt;0, SUMIFS(Detail!$L:$L,Detail!$G:$G,'Rates-Service Fees'!UH$23,Detail!$H:$H,"State"), 0)</f>
        <v>0</v>
      </c>
      <c r="UI58" s="11">
        <f>IF(UI1&lt;&gt;0, SUMIFS(Detail!$L:$L,Detail!$G:$G,'Rates-Service Fees'!UI$23,Detail!$H:$H,"State"), 0)</f>
        <v>0</v>
      </c>
      <c r="UJ58" s="11">
        <f>IF(UJ1&lt;&gt;0, SUMIFS(Detail!$L:$L,Detail!$G:$G,'Rates-Service Fees'!UJ$23,Detail!$H:$H,"State"), 0)</f>
        <v>0</v>
      </c>
      <c r="UK58" s="11">
        <f>IF(UK1&lt;&gt;0, SUMIFS(Detail!$L:$L,Detail!$G:$G,'Rates-Service Fees'!UK$23,Detail!$H:$H,"State"), 0)</f>
        <v>0</v>
      </c>
      <c r="UL58" s="11">
        <f>IF(UL1&lt;&gt;0, SUMIFS(Detail!$L:$L,Detail!$G:$G,'Rates-Service Fees'!UL$23,Detail!$H:$H,"State"), 0)</f>
        <v>0</v>
      </c>
      <c r="UM58" s="11">
        <f>IF(UM1&lt;&gt;0, SUMIFS(Detail!$L:$L,Detail!$G:$G,'Rates-Service Fees'!UM$23,Detail!$H:$H,"State"), 0)</f>
        <v>0</v>
      </c>
      <c r="UN58" s="11">
        <f>IF(UN1&lt;&gt;0, SUMIFS(Detail!$L:$L,Detail!$G:$G,'Rates-Service Fees'!UN$23,Detail!$H:$H,"State"), 0)</f>
        <v>0</v>
      </c>
      <c r="UO58" s="11">
        <f>IF(UO1&lt;&gt;0, SUMIFS(Detail!$L:$L,Detail!$G:$G,'Rates-Service Fees'!UO$23,Detail!$H:$H,"State"), 0)</f>
        <v>0</v>
      </c>
      <c r="UP58" s="11">
        <f>IF(UP1&lt;&gt;0, SUMIFS(Detail!$L:$L,Detail!$G:$G,'Rates-Service Fees'!UP$23,Detail!$H:$H,"State"), 0)</f>
        <v>0</v>
      </c>
      <c r="UQ58" s="11">
        <f>IF(UQ1&lt;&gt;0, SUMIFS(Detail!$L:$L,Detail!$G:$G,'Rates-Service Fees'!UQ$23,Detail!$H:$H,"State"), 0)</f>
        <v>0</v>
      </c>
      <c r="UR58" s="11">
        <f>IF(UR1&lt;&gt;0, SUMIFS(Detail!$L:$L,Detail!$G:$G,'Rates-Service Fees'!UR$23,Detail!$H:$H,"State"), 0)</f>
        <v>0</v>
      </c>
      <c r="US58" s="11">
        <f>IF(US1&lt;&gt;0, SUMIFS(Detail!$L:$L,Detail!$G:$G,'Rates-Service Fees'!US$23,Detail!$H:$H,"State"), 0)</f>
        <v>0</v>
      </c>
      <c r="UT58" s="11">
        <f>IF(UT1&lt;&gt;0, SUMIFS(Detail!$L:$L,Detail!$G:$G,'Rates-Service Fees'!UT$23,Detail!$H:$H,"State"), 0)</f>
        <v>0</v>
      </c>
      <c r="UU58" s="11">
        <f>IF(UU1&lt;&gt;0, SUMIFS(Detail!$L:$L,Detail!$G:$G,'Rates-Service Fees'!UU$23,Detail!$H:$H,"State"), 0)</f>
        <v>0</v>
      </c>
      <c r="UV58" s="11">
        <f>IF(UV1&lt;&gt;0, SUMIFS(Detail!$L:$L,Detail!$G:$G,'Rates-Service Fees'!UV$23,Detail!$H:$H,"State"), 0)</f>
        <v>0</v>
      </c>
      <c r="UW58" s="11">
        <f>IF(UW1&lt;&gt;0, SUMIFS(Detail!$L:$L,Detail!$G:$G,'Rates-Service Fees'!UW$23,Detail!$H:$H,"State"), 0)</f>
        <v>0</v>
      </c>
      <c r="UX58" s="11">
        <f>IF(UX1&lt;&gt;0, SUMIFS(Detail!$L:$L,Detail!$G:$G,'Rates-Service Fees'!UX$23,Detail!$H:$H,"State"), 0)</f>
        <v>0</v>
      </c>
      <c r="UY58" s="11">
        <f>IF(UY1&lt;&gt;0, SUMIFS(Detail!$L:$L,Detail!$G:$G,'Rates-Service Fees'!UY$23,Detail!$H:$H,"State"), 0)</f>
        <v>0</v>
      </c>
      <c r="UZ58" s="11">
        <f>IF(UZ1&lt;&gt;0, SUMIFS(Detail!$L:$L,Detail!$G:$G,'Rates-Service Fees'!UZ$23,Detail!$H:$H,"State"), 0)</f>
        <v>0</v>
      </c>
      <c r="VA58" s="11">
        <f>IF(VA1&lt;&gt;0, SUMIFS(Detail!$L:$L,Detail!$G:$G,'Rates-Service Fees'!VA$23,Detail!$H:$H,"State"), 0)</f>
        <v>0</v>
      </c>
      <c r="VB58" s="11">
        <f>IF(VB1&lt;&gt;0, SUMIFS(Detail!$L:$L,Detail!$G:$G,'Rates-Service Fees'!VB$23,Detail!$H:$H,"State"), 0)</f>
        <v>0</v>
      </c>
      <c r="VC58" s="11">
        <f>IF(VC1&lt;&gt;0, SUMIFS(Detail!$L:$L,Detail!$G:$G,'Rates-Service Fees'!VC$23,Detail!$H:$H,"State"), 0)</f>
        <v>0</v>
      </c>
      <c r="VD58" s="11">
        <f>IF(VD1&lt;&gt;0, SUMIFS(Detail!$L:$L,Detail!$G:$G,'Rates-Service Fees'!VD$23,Detail!$H:$H,"State"), 0)</f>
        <v>0</v>
      </c>
      <c r="VE58" s="11">
        <f>IF(VE1&lt;&gt;0, SUMIFS(Detail!$L:$L,Detail!$G:$G,'Rates-Service Fees'!VE$23,Detail!$H:$H,"State"), 0)</f>
        <v>0</v>
      </c>
      <c r="VF58" s="11">
        <f>IF(VF1&lt;&gt;0, SUMIFS(Detail!$L:$L,Detail!$G:$G,'Rates-Service Fees'!VF$23,Detail!$H:$H,"State"), 0)</f>
        <v>0</v>
      </c>
      <c r="VG58" s="11">
        <f>IF(VG1&lt;&gt;0, SUMIFS(Detail!$L:$L,Detail!$G:$G,'Rates-Service Fees'!VG$23,Detail!$H:$H,"State"), 0)</f>
        <v>0</v>
      </c>
      <c r="VH58" s="11">
        <f>IF(VH1&lt;&gt;0, SUMIFS(Detail!$L:$L,Detail!$G:$G,'Rates-Service Fees'!VH$23,Detail!$H:$H,"State"), 0)</f>
        <v>0</v>
      </c>
      <c r="VI58" s="11">
        <f>IF(VI1&lt;&gt;0, SUMIFS(Detail!$L:$L,Detail!$G:$G,'Rates-Service Fees'!VI$23,Detail!$H:$H,"State"), 0)</f>
        <v>0</v>
      </c>
      <c r="VJ58" s="11">
        <f>IF(VJ1&lt;&gt;0, SUMIFS(Detail!$L:$L,Detail!$G:$G,'Rates-Service Fees'!VJ$23,Detail!$H:$H,"State"), 0)</f>
        <v>0</v>
      </c>
      <c r="VK58" s="11">
        <f>IF(VK1&lt;&gt;0, SUMIFS(Detail!$L:$L,Detail!$G:$G,'Rates-Service Fees'!VK$23,Detail!$H:$H,"State"), 0)</f>
        <v>0</v>
      </c>
      <c r="VL58" s="11">
        <f>IF(VL1&lt;&gt;0, SUMIFS(Detail!$L:$L,Detail!$G:$G,'Rates-Service Fees'!VL$23,Detail!$H:$H,"State"), 0)</f>
        <v>0</v>
      </c>
      <c r="VM58" s="11">
        <f>IF(VM1&lt;&gt;0, SUMIFS(Detail!$L:$L,Detail!$G:$G,'Rates-Service Fees'!VM$23,Detail!$H:$H,"State"), 0)</f>
        <v>0</v>
      </c>
      <c r="VN58" s="11">
        <f>IF(VN1&lt;&gt;0, SUMIFS(Detail!$L:$L,Detail!$G:$G,'Rates-Service Fees'!VN$23,Detail!$H:$H,"State"), 0)</f>
        <v>0</v>
      </c>
      <c r="VO58" s="11">
        <f>IF(VO1&lt;&gt;0, SUMIFS(Detail!$L:$L,Detail!$G:$G,'Rates-Service Fees'!VO$23,Detail!$H:$H,"State"), 0)</f>
        <v>0</v>
      </c>
      <c r="VP58" s="11">
        <f>IF(VP1&lt;&gt;0, SUMIFS(Detail!$L:$L,Detail!$G:$G,'Rates-Service Fees'!VP$23,Detail!$H:$H,"State"), 0)</f>
        <v>0</v>
      </c>
      <c r="VQ58" s="11">
        <f>IF(VQ1&lt;&gt;0, SUMIFS(Detail!$L:$L,Detail!$G:$G,'Rates-Service Fees'!VQ$23,Detail!$H:$H,"State"), 0)</f>
        <v>0</v>
      </c>
      <c r="VR58" s="11">
        <f>IF(VR1&lt;&gt;0, SUMIFS(Detail!$L:$L,Detail!$G:$G,'Rates-Service Fees'!VR$23,Detail!$H:$H,"State"), 0)</f>
        <v>0</v>
      </c>
      <c r="VS58" s="11">
        <f>IF(VS1&lt;&gt;0, SUMIFS(Detail!$L:$L,Detail!$G:$G,'Rates-Service Fees'!VS$23,Detail!$H:$H,"State"), 0)</f>
        <v>0</v>
      </c>
      <c r="VT58" s="11">
        <f>IF(VT1&lt;&gt;0, SUMIFS(Detail!$L:$L,Detail!$G:$G,'Rates-Service Fees'!VT$23,Detail!$H:$H,"State"), 0)</f>
        <v>0</v>
      </c>
      <c r="VU58" s="11">
        <f>IF(VU1&lt;&gt;0, SUMIFS(Detail!$L:$L,Detail!$G:$G,'Rates-Service Fees'!VU$23,Detail!$H:$H,"State"), 0)</f>
        <v>0</v>
      </c>
      <c r="VV58" s="11">
        <f>IF(VV1&lt;&gt;0, SUMIFS(Detail!$L:$L,Detail!$G:$G,'Rates-Service Fees'!VV$23,Detail!$H:$H,"State"), 0)</f>
        <v>0</v>
      </c>
      <c r="VW58" s="11">
        <f>IF(VW1&lt;&gt;0, SUMIFS(Detail!$L:$L,Detail!$G:$G,'Rates-Service Fees'!VW$23,Detail!$H:$H,"State"), 0)</f>
        <v>0</v>
      </c>
      <c r="VX58" s="11">
        <f>IF(VX1&lt;&gt;0, SUMIFS(Detail!$L:$L,Detail!$G:$G,'Rates-Service Fees'!VX$23,Detail!$H:$H,"State"), 0)</f>
        <v>0</v>
      </c>
      <c r="VY58" s="11">
        <f>IF(VY1&lt;&gt;0, SUMIFS(Detail!$L:$L,Detail!$G:$G,'Rates-Service Fees'!VY$23,Detail!$H:$H,"State"), 0)</f>
        <v>0</v>
      </c>
      <c r="VZ58" s="11">
        <f>IF(VZ1&lt;&gt;0, SUMIFS(Detail!$L:$L,Detail!$G:$G,'Rates-Service Fees'!VZ$23,Detail!$H:$H,"State"), 0)</f>
        <v>0</v>
      </c>
      <c r="WA58" s="11">
        <f>IF(WA1&lt;&gt;0, SUMIFS(Detail!$L:$L,Detail!$G:$G,'Rates-Service Fees'!WA$23,Detail!$H:$H,"State"), 0)</f>
        <v>0</v>
      </c>
      <c r="WB58" s="11">
        <f>IF(WB1&lt;&gt;0, SUMIFS(Detail!$L:$L,Detail!$G:$G,'Rates-Service Fees'!WB$23,Detail!$H:$H,"State"), 0)</f>
        <v>0</v>
      </c>
      <c r="WC58" s="11">
        <f>IF(WC1&lt;&gt;0, SUMIFS(Detail!$L:$L,Detail!$G:$G,'Rates-Service Fees'!WC$23,Detail!$H:$H,"State"), 0)</f>
        <v>0</v>
      </c>
      <c r="WD58" s="11">
        <f>IF(WD1&lt;&gt;0, SUMIFS(Detail!$L:$L,Detail!$G:$G,'Rates-Service Fees'!WD$23,Detail!$H:$H,"State"), 0)</f>
        <v>0</v>
      </c>
      <c r="WE58" s="11">
        <f>IF(WE1&lt;&gt;0, SUMIFS(Detail!$L:$L,Detail!$G:$G,'Rates-Service Fees'!WE$23,Detail!$H:$H,"State"), 0)</f>
        <v>0</v>
      </c>
      <c r="WF58" s="11">
        <f>IF(WF1&lt;&gt;0, SUMIFS(Detail!$L:$L,Detail!$G:$G,'Rates-Service Fees'!WF$23,Detail!$H:$H,"State"), 0)</f>
        <v>0</v>
      </c>
      <c r="WG58" s="11">
        <f>IF(WG1&lt;&gt;0, SUMIFS(Detail!$L:$L,Detail!$G:$G,'Rates-Service Fees'!WG$23,Detail!$H:$H,"State"), 0)</f>
        <v>0</v>
      </c>
      <c r="WH58" s="11">
        <f>IF(WH1&lt;&gt;0, SUMIFS(Detail!$L:$L,Detail!$G:$G,'Rates-Service Fees'!WH$23,Detail!$H:$H,"State"), 0)</f>
        <v>0</v>
      </c>
      <c r="WI58" s="11">
        <f>IF(WI1&lt;&gt;0, SUMIFS(Detail!$L:$L,Detail!$G:$G,'Rates-Service Fees'!WI$23,Detail!$H:$H,"State"), 0)</f>
        <v>0</v>
      </c>
      <c r="WJ58" s="11">
        <f>IF(WJ1&lt;&gt;0, SUMIFS(Detail!$L:$L,Detail!$G:$G,'Rates-Service Fees'!WJ$23,Detail!$H:$H,"State"), 0)</f>
        <v>0</v>
      </c>
      <c r="WK58" s="11">
        <f>IF(WK1&lt;&gt;0, SUMIFS(Detail!$L:$L,Detail!$G:$G,'Rates-Service Fees'!WK$23,Detail!$H:$H,"State"), 0)</f>
        <v>0</v>
      </c>
      <c r="WL58" s="11">
        <f>IF(WL1&lt;&gt;0, SUMIFS(Detail!$L:$L,Detail!$G:$G,'Rates-Service Fees'!WL$23,Detail!$H:$H,"State"), 0)</f>
        <v>0</v>
      </c>
      <c r="WM58" s="11">
        <f>IF(WM1&lt;&gt;0, SUMIFS(Detail!$L:$L,Detail!$G:$G,'Rates-Service Fees'!WM$23,Detail!$H:$H,"State"), 0)</f>
        <v>0</v>
      </c>
      <c r="WN58" s="11">
        <f>IF(WN1&lt;&gt;0, SUMIFS(Detail!$L:$L,Detail!$G:$G,'Rates-Service Fees'!WN$23,Detail!$H:$H,"State"), 0)</f>
        <v>0</v>
      </c>
      <c r="WO58" s="11">
        <f>IF(WO1&lt;&gt;0, SUMIFS(Detail!$L:$L,Detail!$G:$G,'Rates-Service Fees'!WO$23,Detail!$H:$H,"State"), 0)</f>
        <v>0</v>
      </c>
      <c r="WP58" s="11">
        <f>IF(WP1&lt;&gt;0, SUMIFS(Detail!$L:$L,Detail!$G:$G,'Rates-Service Fees'!WP$23,Detail!$H:$H,"State"), 0)</f>
        <v>0</v>
      </c>
      <c r="WQ58" s="11">
        <f>IF(WQ1&lt;&gt;0, SUMIFS(Detail!$L:$L,Detail!$G:$G,'Rates-Service Fees'!WQ$23,Detail!$H:$H,"State"), 0)</f>
        <v>0</v>
      </c>
      <c r="WR58" s="11">
        <f>IF(WR1&lt;&gt;0, SUMIFS(Detail!$L:$L,Detail!$G:$G,'Rates-Service Fees'!WR$23,Detail!$H:$H,"State"), 0)</f>
        <v>0</v>
      </c>
      <c r="WS58" s="11">
        <f>IF(WS1&lt;&gt;0, SUMIFS(Detail!$L:$L,Detail!$G:$G,'Rates-Service Fees'!WS$23,Detail!$H:$H,"State"), 0)</f>
        <v>0</v>
      </c>
      <c r="WT58" s="11">
        <f>IF(WT1&lt;&gt;0, SUMIFS(Detail!$L:$L,Detail!$G:$G,'Rates-Service Fees'!WT$23,Detail!$H:$H,"State"), 0)</f>
        <v>0</v>
      </c>
      <c r="WU58" s="11">
        <f>IF(WU1&lt;&gt;0, SUMIFS(Detail!$L:$L,Detail!$G:$G,'Rates-Service Fees'!WU$23,Detail!$H:$H,"State"), 0)</f>
        <v>0</v>
      </c>
      <c r="WV58" s="11">
        <f>IF(WV1&lt;&gt;0, SUMIFS(Detail!$L:$L,Detail!$G:$G,'Rates-Service Fees'!WV$23,Detail!$H:$H,"State"), 0)</f>
        <v>0</v>
      </c>
      <c r="WW58" s="11">
        <f>IF(WW1&lt;&gt;0, SUMIFS(Detail!$L:$L,Detail!$G:$G,'Rates-Service Fees'!WW$23,Detail!$H:$H,"State"), 0)</f>
        <v>0</v>
      </c>
      <c r="WX58" s="11">
        <f>IF(WX1&lt;&gt;0, SUMIFS(Detail!$L:$L,Detail!$G:$G,'Rates-Service Fees'!WX$23,Detail!$H:$H,"State"), 0)</f>
        <v>0</v>
      </c>
      <c r="WY58" s="11">
        <f>IF(WY1&lt;&gt;0, SUMIFS(Detail!$L:$L,Detail!$G:$G,'Rates-Service Fees'!WY$23,Detail!$H:$H,"State"), 0)</f>
        <v>0</v>
      </c>
      <c r="WZ58" s="11">
        <f>IF(WZ1&lt;&gt;0, SUMIFS(Detail!$L:$L,Detail!$G:$G,'Rates-Service Fees'!WZ$23,Detail!$H:$H,"State"), 0)</f>
        <v>0</v>
      </c>
      <c r="XA58" s="11">
        <f>IF(XA1&lt;&gt;0, SUMIFS(Detail!$L:$L,Detail!$G:$G,'Rates-Service Fees'!XA$23,Detail!$H:$H,"State"), 0)</f>
        <v>0</v>
      </c>
      <c r="XB58" s="11">
        <f>IF(XB1&lt;&gt;0, SUMIFS(Detail!$L:$L,Detail!$G:$G,'Rates-Service Fees'!XB$23,Detail!$H:$H,"State"), 0)</f>
        <v>0</v>
      </c>
      <c r="XC58" s="11">
        <f>IF(XC1&lt;&gt;0, SUMIFS(Detail!$L:$L,Detail!$G:$G,'Rates-Service Fees'!XC$23,Detail!$H:$H,"State"), 0)</f>
        <v>0</v>
      </c>
      <c r="XD58" s="11">
        <f>IF(XD1&lt;&gt;0, SUMIFS(Detail!$L:$L,Detail!$G:$G,'Rates-Service Fees'!XD$23,Detail!$H:$H,"State"), 0)</f>
        <v>0</v>
      </c>
      <c r="XE58" s="11">
        <f>IF(XE1&lt;&gt;0, SUMIFS(Detail!$L:$L,Detail!$G:$G,'Rates-Service Fees'!XE$23,Detail!$H:$H,"State"), 0)</f>
        <v>0</v>
      </c>
      <c r="XF58" s="11">
        <f>IF(XF1&lt;&gt;0, SUMIFS(Detail!$L:$L,Detail!$G:$G,'Rates-Service Fees'!XF$23,Detail!$H:$H,"State"), 0)</f>
        <v>0</v>
      </c>
      <c r="XG58" s="11">
        <f>IF(XG1&lt;&gt;0, SUMIFS(Detail!$L:$L,Detail!$G:$G,'Rates-Service Fees'!XG$23,Detail!$H:$H,"State"), 0)</f>
        <v>0</v>
      </c>
      <c r="XH58" s="11">
        <f>IF(XH1&lt;&gt;0, SUMIFS(Detail!$L:$L,Detail!$G:$G,'Rates-Service Fees'!XH$23,Detail!$H:$H,"State"), 0)</f>
        <v>0</v>
      </c>
      <c r="XI58" s="11">
        <f>IF(XI1&lt;&gt;0, SUMIFS(Detail!$L:$L,Detail!$G:$G,'Rates-Service Fees'!XI$23,Detail!$H:$H,"State"), 0)</f>
        <v>0</v>
      </c>
      <c r="XJ58" s="11">
        <f>IF(XJ1&lt;&gt;0, SUMIFS(Detail!$L:$L,Detail!$G:$G,'Rates-Service Fees'!XJ$23,Detail!$H:$H,"State"), 0)</f>
        <v>0</v>
      </c>
      <c r="XK58" s="11">
        <f>IF(XK1&lt;&gt;0, SUMIFS(Detail!$L:$L,Detail!$G:$G,'Rates-Service Fees'!XK$23,Detail!$H:$H,"State"), 0)</f>
        <v>0</v>
      </c>
      <c r="XL58" s="11">
        <f>IF(XL1&lt;&gt;0, SUMIFS(Detail!$L:$L,Detail!$G:$G,'Rates-Service Fees'!XL$23,Detail!$H:$H,"State"), 0)</f>
        <v>0</v>
      </c>
      <c r="XM58" s="11">
        <f>IF(XM1&lt;&gt;0, SUMIFS(Detail!$L:$L,Detail!$G:$G,'Rates-Service Fees'!XM$23,Detail!$H:$H,"State"), 0)</f>
        <v>0</v>
      </c>
      <c r="XN58" s="11">
        <f>IF(XN1&lt;&gt;0, SUMIFS(Detail!$L:$L,Detail!$G:$G,'Rates-Service Fees'!XN$23,Detail!$H:$H,"State"), 0)</f>
        <v>0</v>
      </c>
      <c r="XO58" s="11">
        <f>IF(XO1&lt;&gt;0, SUMIFS(Detail!$L:$L,Detail!$G:$G,'Rates-Service Fees'!XO$23,Detail!$H:$H,"State"), 0)</f>
        <v>0</v>
      </c>
      <c r="XP58" s="11">
        <f>IF(XP1&lt;&gt;0, SUMIFS(Detail!$L:$L,Detail!$G:$G,'Rates-Service Fees'!XP$23,Detail!$H:$H,"State"), 0)</f>
        <v>0</v>
      </c>
      <c r="XQ58" s="11">
        <f>IF(XQ1&lt;&gt;0, SUMIFS(Detail!$L:$L,Detail!$G:$G,'Rates-Service Fees'!XQ$23,Detail!$H:$H,"State"), 0)</f>
        <v>0</v>
      </c>
      <c r="XR58" s="11">
        <f>IF(XR1&lt;&gt;0, SUMIFS(Detail!$L:$L,Detail!$G:$G,'Rates-Service Fees'!XR$23,Detail!$H:$H,"State"), 0)</f>
        <v>0</v>
      </c>
      <c r="XS58" s="11">
        <f>IF(XS1&lt;&gt;0, SUMIFS(Detail!$L:$L,Detail!$G:$G,'Rates-Service Fees'!XS$23,Detail!$H:$H,"State"), 0)</f>
        <v>0</v>
      </c>
      <c r="XT58" s="11">
        <f>IF(XT1&lt;&gt;0, SUMIFS(Detail!$L:$L,Detail!$G:$G,'Rates-Service Fees'!XT$23,Detail!$H:$H,"State"), 0)</f>
        <v>0</v>
      </c>
      <c r="XU58" s="11">
        <f>IF(XU1&lt;&gt;0, SUMIFS(Detail!$L:$L,Detail!$G:$G,'Rates-Service Fees'!XU$23,Detail!$H:$H,"State"), 0)</f>
        <v>0</v>
      </c>
      <c r="XV58" s="11">
        <f>IF(XV1&lt;&gt;0, SUMIFS(Detail!$L:$L,Detail!$G:$G,'Rates-Service Fees'!XV$23,Detail!$H:$H,"State"), 0)</f>
        <v>0</v>
      </c>
      <c r="XW58" s="11">
        <f>IF(XW1&lt;&gt;0, SUMIFS(Detail!$L:$L,Detail!$G:$G,'Rates-Service Fees'!XW$23,Detail!$H:$H,"State"), 0)</f>
        <v>0</v>
      </c>
      <c r="XX58" s="11">
        <f>IF(XX1&lt;&gt;0, SUMIFS(Detail!$L:$L,Detail!$G:$G,'Rates-Service Fees'!XX$23,Detail!$H:$H,"State"), 0)</f>
        <v>0</v>
      </c>
      <c r="XY58" s="11">
        <f>IF(XY1&lt;&gt;0, SUMIFS(Detail!$L:$L,Detail!$G:$G,'Rates-Service Fees'!XY$23,Detail!$H:$H,"State"), 0)</f>
        <v>0</v>
      </c>
      <c r="XZ58" s="11">
        <f>IF(XZ1&lt;&gt;0, SUMIFS(Detail!$L:$L,Detail!$G:$G,'Rates-Service Fees'!XZ$23,Detail!$H:$H,"State"), 0)</f>
        <v>0</v>
      </c>
      <c r="YA58" s="11">
        <f>IF(YA1&lt;&gt;0, SUMIFS(Detail!$L:$L,Detail!$G:$G,'Rates-Service Fees'!YA$23,Detail!$H:$H,"State"), 0)</f>
        <v>0</v>
      </c>
      <c r="YB58" s="11">
        <f>IF(YB1&lt;&gt;0, SUMIFS(Detail!$L:$L,Detail!$G:$G,'Rates-Service Fees'!YB$23,Detail!$H:$H,"State"), 0)</f>
        <v>0</v>
      </c>
      <c r="YC58" s="11">
        <f>IF(YC1&lt;&gt;0, SUMIFS(Detail!$L:$L,Detail!$G:$G,'Rates-Service Fees'!YC$23,Detail!$H:$H,"State"), 0)</f>
        <v>0</v>
      </c>
      <c r="YD58" s="11">
        <f>IF(YD1&lt;&gt;0, SUMIFS(Detail!$L:$L,Detail!$G:$G,'Rates-Service Fees'!YD$23,Detail!$H:$H,"State"), 0)</f>
        <v>0</v>
      </c>
      <c r="YE58" s="11">
        <f>IF(YE1&lt;&gt;0, SUMIFS(Detail!$L:$L,Detail!$G:$G,'Rates-Service Fees'!YE$23,Detail!$H:$H,"State"), 0)</f>
        <v>0</v>
      </c>
      <c r="YF58" s="11">
        <f>IF(YF1&lt;&gt;0, SUMIFS(Detail!$L:$L,Detail!$G:$G,'Rates-Service Fees'!YF$23,Detail!$H:$H,"State"), 0)</f>
        <v>0</v>
      </c>
      <c r="YG58" s="11">
        <f>IF(YG1&lt;&gt;0, SUMIFS(Detail!$L:$L,Detail!$G:$G,'Rates-Service Fees'!YG$23,Detail!$H:$H,"State"), 0)</f>
        <v>0</v>
      </c>
      <c r="YH58" s="11">
        <f>IF(YH1&lt;&gt;0, SUMIFS(Detail!$L:$L,Detail!$G:$G,'Rates-Service Fees'!YH$23,Detail!$H:$H,"State"), 0)</f>
        <v>0</v>
      </c>
      <c r="YI58" s="11">
        <f>IF(YI1&lt;&gt;0, SUMIFS(Detail!$L:$L,Detail!$G:$G,'Rates-Service Fees'!YI$23,Detail!$H:$H,"State"), 0)</f>
        <v>0</v>
      </c>
      <c r="YJ58" s="11">
        <f>IF(YJ1&lt;&gt;0, SUMIFS(Detail!$L:$L,Detail!$G:$G,'Rates-Service Fees'!YJ$23,Detail!$H:$H,"State"), 0)</f>
        <v>0</v>
      </c>
      <c r="YK58" s="11">
        <f>IF(YK1&lt;&gt;0, SUMIFS(Detail!$L:$L,Detail!$G:$G,'Rates-Service Fees'!YK$23,Detail!$H:$H,"State"), 0)</f>
        <v>0</v>
      </c>
      <c r="YL58" s="11">
        <f>IF(YL1&lt;&gt;0, SUMIFS(Detail!$L:$L,Detail!$G:$G,'Rates-Service Fees'!YL$23,Detail!$H:$H,"State"), 0)</f>
        <v>0</v>
      </c>
      <c r="YM58" s="11">
        <f>IF(YM1&lt;&gt;0, SUMIFS(Detail!$L:$L,Detail!$G:$G,'Rates-Service Fees'!YM$23,Detail!$H:$H,"State"), 0)</f>
        <v>0</v>
      </c>
      <c r="YN58" s="11">
        <f>IF(YN1&lt;&gt;0, SUMIFS(Detail!$L:$L,Detail!$G:$G,'Rates-Service Fees'!YN$23,Detail!$H:$H,"State"), 0)</f>
        <v>0</v>
      </c>
      <c r="YO58" s="11">
        <f>IF(YO1&lt;&gt;0, SUMIFS(Detail!$L:$L,Detail!$G:$G,'Rates-Service Fees'!YO$23,Detail!$H:$H,"State"), 0)</f>
        <v>0</v>
      </c>
      <c r="YP58" s="11">
        <f>IF(YP1&lt;&gt;0, SUMIFS(Detail!$L:$L,Detail!$G:$G,'Rates-Service Fees'!YP$23,Detail!$H:$H,"State"), 0)</f>
        <v>0</v>
      </c>
      <c r="YQ58" s="11">
        <f>IF(YQ1&lt;&gt;0, SUMIFS(Detail!$L:$L,Detail!$G:$G,'Rates-Service Fees'!YQ$23,Detail!$H:$H,"State"), 0)</f>
        <v>0</v>
      </c>
      <c r="YR58" s="11">
        <f>IF(YR1&lt;&gt;0, SUMIFS(Detail!$L:$L,Detail!$G:$G,'Rates-Service Fees'!YR$23,Detail!$H:$H,"State"), 0)</f>
        <v>0</v>
      </c>
      <c r="YS58" s="11">
        <f>IF(YS1&lt;&gt;0, SUMIFS(Detail!$L:$L,Detail!$G:$G,'Rates-Service Fees'!YS$23,Detail!$H:$H,"State"), 0)</f>
        <v>0</v>
      </c>
      <c r="YT58" s="11">
        <f>IF(YT1&lt;&gt;0, SUMIFS(Detail!$L:$L,Detail!$G:$G,'Rates-Service Fees'!YT$23,Detail!$H:$H,"State"), 0)</f>
        <v>0</v>
      </c>
      <c r="YU58" s="11">
        <f>IF(YU1&lt;&gt;0, SUMIFS(Detail!$L:$L,Detail!$G:$G,'Rates-Service Fees'!YU$23,Detail!$H:$H,"State"), 0)</f>
        <v>0</v>
      </c>
      <c r="YV58" s="11">
        <f>IF(YV1&lt;&gt;0, SUMIFS(Detail!$L:$L,Detail!$G:$G,'Rates-Service Fees'!YV$23,Detail!$H:$H,"State"), 0)</f>
        <v>0</v>
      </c>
      <c r="YW58" s="11">
        <f>IF(YW1&lt;&gt;0, SUMIFS(Detail!$L:$L,Detail!$G:$G,'Rates-Service Fees'!YW$23,Detail!$H:$H,"State"), 0)</f>
        <v>0</v>
      </c>
      <c r="YX58" s="11">
        <f>IF(YX1&lt;&gt;0, SUMIFS(Detail!$L:$L,Detail!$G:$G,'Rates-Service Fees'!YX$23,Detail!$H:$H,"State"), 0)</f>
        <v>0</v>
      </c>
      <c r="YY58" s="11">
        <f>IF(YY1&lt;&gt;0, SUMIFS(Detail!$L:$L,Detail!$G:$G,'Rates-Service Fees'!YY$23,Detail!$H:$H,"State"), 0)</f>
        <v>0</v>
      </c>
      <c r="YZ58" s="11">
        <f>IF(YZ1&lt;&gt;0, SUMIFS(Detail!$L:$L,Detail!$G:$G,'Rates-Service Fees'!YZ$23,Detail!$H:$H,"State"), 0)</f>
        <v>0</v>
      </c>
      <c r="ZA58" s="11">
        <f>IF(ZA1&lt;&gt;0, SUMIFS(Detail!$L:$L,Detail!$G:$G,'Rates-Service Fees'!ZA$23,Detail!$H:$H,"State"), 0)</f>
        <v>0</v>
      </c>
      <c r="ZB58" s="11">
        <f>IF(ZB1&lt;&gt;0, SUMIFS(Detail!$L:$L,Detail!$G:$G,'Rates-Service Fees'!ZB$23,Detail!$H:$H,"State"), 0)</f>
        <v>0</v>
      </c>
      <c r="ZC58" s="11">
        <f>IF(ZC1&lt;&gt;0, SUMIFS(Detail!$L:$L,Detail!$G:$G,'Rates-Service Fees'!ZC$23,Detail!$H:$H,"State"), 0)</f>
        <v>0</v>
      </c>
      <c r="ZD58" s="11">
        <f>IF(ZD1&lt;&gt;0, SUMIFS(Detail!$L:$L,Detail!$G:$G,'Rates-Service Fees'!ZD$23,Detail!$H:$H,"State"), 0)</f>
        <v>0</v>
      </c>
      <c r="ZE58" s="11">
        <f>IF(ZE1&lt;&gt;0, SUMIFS(Detail!$L:$L,Detail!$G:$G,'Rates-Service Fees'!ZE$23,Detail!$H:$H,"State"), 0)</f>
        <v>0</v>
      </c>
      <c r="ZF58" s="11">
        <f>IF(ZF1&lt;&gt;0, SUMIFS(Detail!$L:$L,Detail!$G:$G,'Rates-Service Fees'!ZF$23,Detail!$H:$H,"State"), 0)</f>
        <v>0</v>
      </c>
      <c r="ZG58" s="11">
        <f>IF(ZG1&lt;&gt;0, SUMIFS(Detail!$L:$L,Detail!$G:$G,'Rates-Service Fees'!ZG$23,Detail!$H:$H,"State"), 0)</f>
        <v>0</v>
      </c>
      <c r="ZH58" s="11">
        <f>IF(ZH1&lt;&gt;0, SUMIFS(Detail!$L:$L,Detail!$G:$G,'Rates-Service Fees'!ZH$23,Detail!$H:$H,"State"), 0)</f>
        <v>0</v>
      </c>
      <c r="ZI58" s="11">
        <f>IF(ZI1&lt;&gt;0, SUMIFS(Detail!$L:$L,Detail!$G:$G,'Rates-Service Fees'!ZI$23,Detail!$H:$H,"State"), 0)</f>
        <v>0</v>
      </c>
      <c r="ZJ58" s="11">
        <f>IF(ZJ1&lt;&gt;0, SUMIFS(Detail!$L:$L,Detail!$G:$G,'Rates-Service Fees'!ZJ$23,Detail!$H:$H,"State"), 0)</f>
        <v>0</v>
      </c>
      <c r="ZK58" s="11">
        <f>IF(ZK1&lt;&gt;0, SUMIFS(Detail!$L:$L,Detail!$G:$G,'Rates-Service Fees'!ZK$23,Detail!$H:$H,"State"), 0)</f>
        <v>0</v>
      </c>
      <c r="ZL58" s="11">
        <f>IF(ZL1&lt;&gt;0, SUMIFS(Detail!$L:$L,Detail!$G:$G,'Rates-Service Fees'!ZL$23,Detail!$H:$H,"State"), 0)</f>
        <v>0</v>
      </c>
      <c r="ZM58" s="11">
        <f>IF(ZM1&lt;&gt;0, SUMIFS(Detail!$L:$L,Detail!$G:$G,'Rates-Service Fees'!ZM$23,Detail!$H:$H,"State"), 0)</f>
        <v>0</v>
      </c>
      <c r="ZN58" s="11">
        <f>IF(ZN1&lt;&gt;0, SUMIFS(Detail!$L:$L,Detail!$G:$G,'Rates-Service Fees'!ZN$23,Detail!$H:$H,"State"), 0)</f>
        <v>0</v>
      </c>
      <c r="ZO58" s="11">
        <f>IF(ZO1&lt;&gt;0, SUMIFS(Detail!$L:$L,Detail!$G:$G,'Rates-Service Fees'!ZO$23,Detail!$H:$H,"State"), 0)</f>
        <v>0</v>
      </c>
      <c r="ZP58" s="11">
        <f>IF(ZP1&lt;&gt;0, SUMIFS(Detail!$L:$L,Detail!$G:$G,'Rates-Service Fees'!ZP$23,Detail!$H:$H,"State"), 0)</f>
        <v>0</v>
      </c>
      <c r="ZQ58" s="11">
        <f>IF(ZQ1&lt;&gt;0, SUMIFS(Detail!$L:$L,Detail!$G:$G,'Rates-Service Fees'!ZQ$23,Detail!$H:$H,"State"), 0)</f>
        <v>0</v>
      </c>
      <c r="ZR58" s="11">
        <f>IF(ZR1&lt;&gt;0, SUMIFS(Detail!$L:$L,Detail!$G:$G,'Rates-Service Fees'!ZR$23,Detail!$H:$H,"State"), 0)</f>
        <v>0</v>
      </c>
      <c r="ZS58" s="11">
        <f>IF(ZS1&lt;&gt;0, SUMIFS(Detail!$L:$L,Detail!$G:$G,'Rates-Service Fees'!ZS$23,Detail!$H:$H,"State"), 0)</f>
        <v>0</v>
      </c>
      <c r="ZT58" s="11">
        <f>IF(ZT1&lt;&gt;0, SUMIFS(Detail!$L:$L,Detail!$G:$G,'Rates-Service Fees'!ZT$23,Detail!$H:$H,"State"), 0)</f>
        <v>0</v>
      </c>
      <c r="ZU58" s="11">
        <f>IF(ZU1&lt;&gt;0, SUMIFS(Detail!$L:$L,Detail!$G:$G,'Rates-Service Fees'!ZU$23,Detail!$H:$H,"State"), 0)</f>
        <v>0</v>
      </c>
      <c r="ZV58" s="11">
        <f>IF(ZV1&lt;&gt;0, SUMIFS(Detail!$L:$L,Detail!$G:$G,'Rates-Service Fees'!ZV$23,Detail!$H:$H,"State"), 0)</f>
        <v>0</v>
      </c>
      <c r="ZW58" s="11">
        <f>IF(ZW1&lt;&gt;0, SUMIFS(Detail!$L:$L,Detail!$G:$G,'Rates-Service Fees'!ZW$23,Detail!$H:$H,"State"), 0)</f>
        <v>0</v>
      </c>
      <c r="ZX58" s="11">
        <f>IF(ZX1&lt;&gt;0, SUMIFS(Detail!$L:$L,Detail!$G:$G,'Rates-Service Fees'!ZX$23,Detail!$H:$H,"State"), 0)</f>
        <v>0</v>
      </c>
      <c r="ZY58" s="11">
        <f>IF(ZY1&lt;&gt;0, SUMIFS(Detail!$L:$L,Detail!$G:$G,'Rates-Service Fees'!ZY$23,Detail!$H:$H,"State"), 0)</f>
        <v>0</v>
      </c>
      <c r="ZZ58" s="11">
        <f>IF(ZZ1&lt;&gt;0, SUMIFS(Detail!$L:$L,Detail!$G:$G,'Rates-Service Fees'!ZZ$23,Detail!$H:$H,"State"), 0)</f>
        <v>0</v>
      </c>
      <c r="AAA58" s="11">
        <f>IF(AAA1&lt;&gt;0, SUMIFS(Detail!$L:$L,Detail!$G:$G,'Rates-Service Fees'!AAA$23,Detail!$H:$H,"State"), 0)</f>
        <v>0</v>
      </c>
      <c r="AAB58" s="11">
        <f>IF(AAB1&lt;&gt;0, SUMIFS(Detail!$L:$L,Detail!$G:$G,'Rates-Service Fees'!AAB$23,Detail!$H:$H,"State"), 0)</f>
        <v>0</v>
      </c>
      <c r="AAC58" s="11">
        <f>IF(AAC1&lt;&gt;0, SUMIFS(Detail!$L:$L,Detail!$G:$G,'Rates-Service Fees'!AAC$23,Detail!$H:$H,"State"), 0)</f>
        <v>0</v>
      </c>
      <c r="AAD58" s="11">
        <f>IF(AAD1&lt;&gt;0, SUMIFS(Detail!$L:$L,Detail!$G:$G,'Rates-Service Fees'!AAD$23,Detail!$H:$H,"State"), 0)</f>
        <v>0</v>
      </c>
      <c r="AAE58" s="11">
        <f>IF(AAE1&lt;&gt;0, SUMIFS(Detail!$L:$L,Detail!$G:$G,'Rates-Service Fees'!AAE$23,Detail!$H:$H,"State"), 0)</f>
        <v>0</v>
      </c>
      <c r="AAF58" s="11">
        <f>IF(AAF1&lt;&gt;0, SUMIFS(Detail!$L:$L,Detail!$G:$G,'Rates-Service Fees'!AAF$23,Detail!$H:$H,"State"), 0)</f>
        <v>0</v>
      </c>
      <c r="AAG58" s="11">
        <f>IF(AAG1&lt;&gt;0, SUMIFS(Detail!$L:$L,Detail!$G:$G,'Rates-Service Fees'!AAG$23,Detail!$H:$H,"State"), 0)</f>
        <v>0</v>
      </c>
      <c r="AAH58" s="11">
        <f>IF(AAH1&lt;&gt;0, SUMIFS(Detail!$L:$L,Detail!$G:$G,'Rates-Service Fees'!AAH$23,Detail!$H:$H,"State"), 0)</f>
        <v>0</v>
      </c>
      <c r="AAI58" s="11">
        <f>IF(AAI1&lt;&gt;0, SUMIFS(Detail!$L:$L,Detail!$G:$G,'Rates-Service Fees'!AAI$23,Detail!$H:$H,"State"), 0)</f>
        <v>0</v>
      </c>
      <c r="AAJ58" s="11">
        <f>IF(AAJ1&lt;&gt;0, SUMIFS(Detail!$L:$L,Detail!$G:$G,'Rates-Service Fees'!AAJ$23,Detail!$H:$H,"State"), 0)</f>
        <v>0</v>
      </c>
      <c r="AAK58" s="11">
        <f>IF(AAK1&lt;&gt;0, SUMIFS(Detail!$L:$L,Detail!$G:$G,'Rates-Service Fees'!AAK$23,Detail!$H:$H,"State"), 0)</f>
        <v>0</v>
      </c>
      <c r="AAL58" s="11">
        <f>IF(AAL1&lt;&gt;0, SUMIFS(Detail!$L:$L,Detail!$G:$G,'Rates-Service Fees'!AAL$23,Detail!$H:$H,"State"), 0)</f>
        <v>0</v>
      </c>
      <c r="AAM58" s="11">
        <f>IF(AAM1&lt;&gt;0, SUMIFS(Detail!$L:$L,Detail!$G:$G,'Rates-Service Fees'!AAM$23,Detail!$H:$H,"State"), 0)</f>
        <v>0</v>
      </c>
      <c r="AAN58" s="11">
        <f>IF(AAN1&lt;&gt;0, SUMIFS(Detail!$L:$L,Detail!$G:$G,'Rates-Service Fees'!AAN$23,Detail!$H:$H,"State"), 0)</f>
        <v>0</v>
      </c>
      <c r="AAO58" s="11">
        <f>IF(AAO1&lt;&gt;0, SUMIFS(Detail!$L:$L,Detail!$G:$G,'Rates-Service Fees'!AAO$23,Detail!$H:$H,"State"), 0)</f>
        <v>0</v>
      </c>
      <c r="AAP58" s="11">
        <f>IF(AAP1&lt;&gt;0, SUMIFS(Detail!$L:$L,Detail!$G:$G,'Rates-Service Fees'!AAP$23,Detail!$H:$H,"State"), 0)</f>
        <v>0</v>
      </c>
      <c r="AAQ58" s="11">
        <f>IF(AAQ1&lt;&gt;0, SUMIFS(Detail!$L:$L,Detail!$G:$G,'Rates-Service Fees'!AAQ$23,Detail!$H:$H,"State"), 0)</f>
        <v>0</v>
      </c>
      <c r="AAR58" s="11">
        <f>IF(AAR1&lt;&gt;0, SUMIFS(Detail!$L:$L,Detail!$G:$G,'Rates-Service Fees'!AAR$23,Detail!$H:$H,"State"), 0)</f>
        <v>0</v>
      </c>
      <c r="AAS58" s="11">
        <f>IF(AAS1&lt;&gt;0, SUMIFS(Detail!$L:$L,Detail!$G:$G,'Rates-Service Fees'!AAS$23,Detail!$H:$H,"State"), 0)</f>
        <v>0</v>
      </c>
      <c r="AAT58" s="11">
        <f>IF(AAT1&lt;&gt;0, SUMIFS(Detail!$L:$L,Detail!$G:$G,'Rates-Service Fees'!AAT$23,Detail!$H:$H,"State"), 0)</f>
        <v>0</v>
      </c>
      <c r="AAU58" s="11">
        <f>IF(AAU1&lt;&gt;0, SUMIFS(Detail!$L:$L,Detail!$G:$G,'Rates-Service Fees'!AAU$23,Detail!$H:$H,"State"), 0)</f>
        <v>0</v>
      </c>
      <c r="AAV58" s="11">
        <f>IF(AAV1&lt;&gt;0, SUMIFS(Detail!$L:$L,Detail!$G:$G,'Rates-Service Fees'!AAV$23,Detail!$H:$H,"State"), 0)</f>
        <v>0</v>
      </c>
      <c r="AAW58" s="11">
        <f>IF(AAW1&lt;&gt;0, SUMIFS(Detail!$L:$L,Detail!$G:$G,'Rates-Service Fees'!AAW$23,Detail!$H:$H,"State"), 0)</f>
        <v>0</v>
      </c>
      <c r="AAX58" s="11">
        <f>IF(AAX1&lt;&gt;0, SUMIFS(Detail!$L:$L,Detail!$G:$G,'Rates-Service Fees'!AAX$23,Detail!$H:$H,"State"), 0)</f>
        <v>0</v>
      </c>
      <c r="AAY58" s="11">
        <f>IF(AAY1&lt;&gt;0, SUMIFS(Detail!$L:$L,Detail!$G:$G,'Rates-Service Fees'!AAY$23,Detail!$H:$H,"State"), 0)</f>
        <v>0</v>
      </c>
      <c r="AAZ58" s="11">
        <f>IF(AAZ1&lt;&gt;0, SUMIFS(Detail!$L:$L,Detail!$G:$G,'Rates-Service Fees'!AAZ$23,Detail!$H:$H,"State"), 0)</f>
        <v>0</v>
      </c>
      <c r="ABA58" s="11">
        <f>IF(ABA1&lt;&gt;0, SUMIFS(Detail!$L:$L,Detail!$G:$G,'Rates-Service Fees'!ABA$23,Detail!$H:$H,"State"), 0)</f>
        <v>0</v>
      </c>
      <c r="ABB58" s="11">
        <f>IF(ABB1&lt;&gt;0, SUMIFS(Detail!$L:$L,Detail!$G:$G,'Rates-Service Fees'!ABB$23,Detail!$H:$H,"State"), 0)</f>
        <v>0</v>
      </c>
      <c r="ABC58" s="11">
        <f>IF(ABC1&lt;&gt;0, SUMIFS(Detail!$L:$L,Detail!$G:$G,'Rates-Service Fees'!ABC$23,Detail!$H:$H,"State"), 0)</f>
        <v>0</v>
      </c>
      <c r="ABD58" s="11">
        <f>IF(ABD1&lt;&gt;0, SUMIFS(Detail!$L:$L,Detail!$G:$G,'Rates-Service Fees'!ABD$23,Detail!$H:$H,"State"), 0)</f>
        <v>0</v>
      </c>
      <c r="ABE58" s="11">
        <f>IF(ABE1&lt;&gt;0, SUMIFS(Detail!$L:$L,Detail!$G:$G,'Rates-Service Fees'!ABE$23,Detail!$H:$H,"State"), 0)</f>
        <v>0</v>
      </c>
      <c r="ABF58" s="11">
        <f>IF(ABF1&lt;&gt;0, SUMIFS(Detail!$L:$L,Detail!$G:$G,'Rates-Service Fees'!ABF$23,Detail!$H:$H,"State"), 0)</f>
        <v>0</v>
      </c>
      <c r="ABG58" s="11">
        <f>IF(ABG1&lt;&gt;0, SUMIFS(Detail!$L:$L,Detail!$G:$G,'Rates-Service Fees'!ABG$23,Detail!$H:$H,"State"), 0)</f>
        <v>0</v>
      </c>
      <c r="ABH58" s="11">
        <f>IF(ABH1&lt;&gt;0, SUMIFS(Detail!$L:$L,Detail!$G:$G,'Rates-Service Fees'!ABH$23,Detail!$H:$H,"State"), 0)</f>
        <v>0</v>
      </c>
      <c r="ABI58" s="11">
        <f>IF(ABI1&lt;&gt;0, SUMIFS(Detail!$L:$L,Detail!$G:$G,'Rates-Service Fees'!ABI$23,Detail!$H:$H,"State"), 0)</f>
        <v>0</v>
      </c>
      <c r="ABJ58" s="11">
        <f>IF(ABJ1&lt;&gt;0, SUMIFS(Detail!$L:$L,Detail!$G:$G,'Rates-Service Fees'!ABJ$23,Detail!$H:$H,"State"), 0)</f>
        <v>0</v>
      </c>
      <c r="ABK58" s="11">
        <f>IF(ABK1&lt;&gt;0, SUMIFS(Detail!$L:$L,Detail!$G:$G,'Rates-Service Fees'!ABK$23,Detail!$H:$H,"State"), 0)</f>
        <v>0</v>
      </c>
      <c r="ABL58" s="11">
        <f>IF(ABL1&lt;&gt;0, SUMIFS(Detail!$L:$L,Detail!$G:$G,'Rates-Service Fees'!ABL$23,Detail!$H:$H,"State"), 0)</f>
        <v>0</v>
      </c>
      <c r="ABM58" s="11">
        <f>IF(ABM1&lt;&gt;0, SUMIFS(Detail!$L:$L,Detail!$G:$G,'Rates-Service Fees'!ABM$23,Detail!$H:$H,"State"), 0)</f>
        <v>0</v>
      </c>
      <c r="ABN58" s="11">
        <f>IF(ABN1&lt;&gt;0, SUMIFS(Detail!$L:$L,Detail!$G:$G,'Rates-Service Fees'!ABN$23,Detail!$H:$H,"State"), 0)</f>
        <v>0</v>
      </c>
      <c r="ABO58" s="11">
        <f>IF(ABO1&lt;&gt;0, SUMIFS(Detail!$L:$L,Detail!$G:$G,'Rates-Service Fees'!ABO$23,Detail!$H:$H,"State"), 0)</f>
        <v>0</v>
      </c>
      <c r="ABP58" s="11">
        <f>IF(ABP1&lt;&gt;0, SUMIFS(Detail!$L:$L,Detail!$G:$G,'Rates-Service Fees'!ABP$23,Detail!$H:$H,"State"), 0)</f>
        <v>0</v>
      </c>
      <c r="ABQ58" s="11">
        <f>IF(ABQ1&lt;&gt;0, SUMIFS(Detail!$L:$L,Detail!$G:$G,'Rates-Service Fees'!ABQ$23,Detail!$H:$H,"State"), 0)</f>
        <v>0</v>
      </c>
      <c r="ABR58" s="11">
        <f>IF(ABR1&lt;&gt;0, SUMIFS(Detail!$L:$L,Detail!$G:$G,'Rates-Service Fees'!ABR$23,Detail!$H:$H,"State"), 0)</f>
        <v>0</v>
      </c>
      <c r="ABS58" s="11">
        <f>IF(ABS1&lt;&gt;0, SUMIFS(Detail!$L:$L,Detail!$G:$G,'Rates-Service Fees'!ABS$23,Detail!$H:$H,"State"), 0)</f>
        <v>0</v>
      </c>
      <c r="ABT58" s="11">
        <f>IF(ABT1&lt;&gt;0, SUMIFS(Detail!$L:$L,Detail!$G:$G,'Rates-Service Fees'!ABT$23,Detail!$H:$H,"State"), 0)</f>
        <v>0</v>
      </c>
      <c r="ABU58" s="11">
        <f>IF(ABU1&lt;&gt;0, SUMIFS(Detail!$L:$L,Detail!$G:$G,'Rates-Service Fees'!ABU$23,Detail!$H:$H,"State"), 0)</f>
        <v>0</v>
      </c>
      <c r="ABV58" s="11">
        <f>IF(ABV1&lt;&gt;0, SUMIFS(Detail!$L:$L,Detail!$G:$G,'Rates-Service Fees'!ABV$23,Detail!$H:$H,"State"), 0)</f>
        <v>0</v>
      </c>
      <c r="ABW58" s="11">
        <f>IF(ABW1&lt;&gt;0, SUMIFS(Detail!$L:$L,Detail!$G:$G,'Rates-Service Fees'!ABW$23,Detail!$H:$H,"State"), 0)</f>
        <v>0</v>
      </c>
      <c r="ABX58" s="11">
        <f>IF(ABX1&lt;&gt;0, SUMIFS(Detail!$L:$L,Detail!$G:$G,'Rates-Service Fees'!ABX$23,Detail!$H:$H,"State"), 0)</f>
        <v>0</v>
      </c>
      <c r="ABY58" s="11">
        <f>IF(ABY1&lt;&gt;0, SUMIFS(Detail!$L:$L,Detail!$G:$G,'Rates-Service Fees'!ABY$23,Detail!$H:$H,"State"), 0)</f>
        <v>0</v>
      </c>
      <c r="ABZ58" s="11">
        <f>IF(ABZ1&lt;&gt;0, SUMIFS(Detail!$L:$L,Detail!$G:$G,'Rates-Service Fees'!ABZ$23,Detail!$H:$H,"State"), 0)</f>
        <v>0</v>
      </c>
      <c r="ACA58" s="11">
        <f>IF(ACA1&lt;&gt;0, SUMIFS(Detail!$L:$L,Detail!$G:$G,'Rates-Service Fees'!ACA$23,Detail!$H:$H,"State"), 0)</f>
        <v>0</v>
      </c>
      <c r="ACB58" s="11">
        <f>IF(ACB1&lt;&gt;0, SUMIFS(Detail!$L:$L,Detail!$G:$G,'Rates-Service Fees'!ACB$23,Detail!$H:$H,"State"), 0)</f>
        <v>0</v>
      </c>
      <c r="ACC58" s="11">
        <f>IF(ACC1&lt;&gt;0, SUMIFS(Detail!$L:$L,Detail!$G:$G,'Rates-Service Fees'!ACC$23,Detail!$H:$H,"State"), 0)</f>
        <v>0</v>
      </c>
      <c r="ACD58" s="11">
        <f>IF(ACD1&lt;&gt;0, SUMIFS(Detail!$L:$L,Detail!$G:$G,'Rates-Service Fees'!ACD$23,Detail!$H:$H,"State"), 0)</f>
        <v>0</v>
      </c>
      <c r="ACE58" s="11">
        <f>IF(ACE1&lt;&gt;0, SUMIFS(Detail!$L:$L,Detail!$G:$G,'Rates-Service Fees'!ACE$23,Detail!$H:$H,"State"), 0)</f>
        <v>0</v>
      </c>
      <c r="ACF58" s="11">
        <f>IF(ACF1&lt;&gt;0, SUMIFS(Detail!$L:$L,Detail!$G:$G,'Rates-Service Fees'!ACF$23,Detail!$H:$H,"State"), 0)</f>
        <v>0</v>
      </c>
      <c r="ACG58" s="11">
        <f>IF(ACG1&lt;&gt;0, SUMIFS(Detail!$L:$L,Detail!$G:$G,'Rates-Service Fees'!ACG$23,Detail!$H:$H,"State"), 0)</f>
        <v>0</v>
      </c>
      <c r="ACH58" s="11">
        <f>IF(ACH1&lt;&gt;0, SUMIFS(Detail!$L:$L,Detail!$G:$G,'Rates-Service Fees'!ACH$23,Detail!$H:$H,"State"), 0)</f>
        <v>0</v>
      </c>
      <c r="ACI58" s="11">
        <f>IF(ACI1&lt;&gt;0, SUMIFS(Detail!$L:$L,Detail!$G:$G,'Rates-Service Fees'!ACI$23,Detail!$H:$H,"State"), 0)</f>
        <v>0</v>
      </c>
      <c r="ACJ58" s="11">
        <f>IF(ACJ1&lt;&gt;0, SUMIFS(Detail!$L:$L,Detail!$G:$G,'Rates-Service Fees'!ACJ$23,Detail!$H:$H,"State"), 0)</f>
        <v>0</v>
      </c>
      <c r="ACK58" s="11">
        <f>IF(ACK1&lt;&gt;0, SUMIFS(Detail!$L:$L,Detail!$G:$G,'Rates-Service Fees'!ACK$23,Detail!$H:$H,"State"), 0)</f>
        <v>0</v>
      </c>
      <c r="ACL58" s="11">
        <f>IF(ACL1&lt;&gt;0, SUMIFS(Detail!$L:$L,Detail!$G:$G,'Rates-Service Fees'!ACL$23,Detail!$H:$H,"State"), 0)</f>
        <v>0</v>
      </c>
      <c r="ACM58" s="11">
        <f>IF(ACM1&lt;&gt;0, SUMIFS(Detail!$L:$L,Detail!$G:$G,'Rates-Service Fees'!ACM$23,Detail!$H:$H,"State"), 0)</f>
        <v>0</v>
      </c>
      <c r="ACN58" s="11">
        <f>IF(ACN1&lt;&gt;0, SUMIFS(Detail!$L:$L,Detail!$G:$G,'Rates-Service Fees'!ACN$23,Detail!$H:$H,"State"), 0)</f>
        <v>0</v>
      </c>
      <c r="ACO58" s="11">
        <f>IF(ACO1&lt;&gt;0, SUMIFS(Detail!$L:$L,Detail!$G:$G,'Rates-Service Fees'!ACO$23,Detail!$H:$H,"State"), 0)</f>
        <v>0</v>
      </c>
      <c r="ACP58" s="11">
        <f>IF(ACP1&lt;&gt;0, SUMIFS(Detail!$L:$L,Detail!$G:$G,'Rates-Service Fees'!ACP$23,Detail!$H:$H,"State"), 0)</f>
        <v>0</v>
      </c>
      <c r="ACQ58" s="11">
        <f>IF(ACQ1&lt;&gt;0, SUMIFS(Detail!$L:$L,Detail!$G:$G,'Rates-Service Fees'!ACQ$23,Detail!$H:$H,"State"), 0)</f>
        <v>0</v>
      </c>
      <c r="ACR58" s="11">
        <f>IF(ACR1&lt;&gt;0, SUMIFS(Detail!$L:$L,Detail!$G:$G,'Rates-Service Fees'!ACR$23,Detail!$H:$H,"State"), 0)</f>
        <v>0</v>
      </c>
      <c r="ACS58" s="11">
        <f>IF(ACS1&lt;&gt;0, SUMIFS(Detail!$L:$L,Detail!$G:$G,'Rates-Service Fees'!ACS$23,Detail!$H:$H,"State"), 0)</f>
        <v>0</v>
      </c>
      <c r="ACT58" s="11">
        <f>IF(ACT1&lt;&gt;0, SUMIFS(Detail!$L:$L,Detail!$G:$G,'Rates-Service Fees'!ACT$23,Detail!$H:$H,"State"), 0)</f>
        <v>0</v>
      </c>
      <c r="ACU58" s="11">
        <f>IF(ACU1&lt;&gt;0, SUMIFS(Detail!$L:$L,Detail!$G:$G,'Rates-Service Fees'!ACU$23,Detail!$H:$H,"State"), 0)</f>
        <v>0</v>
      </c>
      <c r="ACV58" s="11">
        <f>IF(ACV1&lt;&gt;0, SUMIFS(Detail!$L:$L,Detail!$G:$G,'Rates-Service Fees'!ACV$23,Detail!$H:$H,"State"), 0)</f>
        <v>0</v>
      </c>
      <c r="ACW58" s="11">
        <f>IF(ACW1&lt;&gt;0, SUMIFS(Detail!$L:$L,Detail!$G:$G,'Rates-Service Fees'!ACW$23,Detail!$H:$H,"State"), 0)</f>
        <v>0</v>
      </c>
      <c r="ACX58" s="11">
        <f>IF(ACX1&lt;&gt;0, SUMIFS(Detail!$L:$L,Detail!$G:$G,'Rates-Service Fees'!ACX$23,Detail!$H:$H,"State"), 0)</f>
        <v>0</v>
      </c>
      <c r="ACY58" s="11">
        <f>IF(ACY1&lt;&gt;0, SUMIFS(Detail!$L:$L,Detail!$G:$G,'Rates-Service Fees'!ACY$23,Detail!$H:$H,"State"), 0)</f>
        <v>0</v>
      </c>
      <c r="ACZ58" s="11">
        <f>IF(ACZ1&lt;&gt;0, SUMIFS(Detail!$L:$L,Detail!$G:$G,'Rates-Service Fees'!ACZ$23,Detail!$H:$H,"State"), 0)</f>
        <v>0</v>
      </c>
      <c r="ADA58" s="11">
        <f>IF(ADA1&lt;&gt;0, SUMIFS(Detail!$L:$L,Detail!$G:$G,'Rates-Service Fees'!ADA$23,Detail!$H:$H,"State"), 0)</f>
        <v>0</v>
      </c>
      <c r="ADB58" s="11">
        <f>IF(ADB1&lt;&gt;0, SUMIFS(Detail!$L:$L,Detail!$G:$G,'Rates-Service Fees'!ADB$23,Detail!$H:$H,"State"), 0)</f>
        <v>0</v>
      </c>
      <c r="ADC58" s="11">
        <f>IF(ADC1&lt;&gt;0, SUMIFS(Detail!$L:$L,Detail!$G:$G,'Rates-Service Fees'!ADC$23,Detail!$H:$H,"State"), 0)</f>
        <v>0</v>
      </c>
      <c r="ADD58" s="11">
        <f>IF(ADD1&lt;&gt;0, SUMIFS(Detail!$L:$L,Detail!$G:$G,'Rates-Service Fees'!ADD$23,Detail!$H:$H,"State"), 0)</f>
        <v>0</v>
      </c>
      <c r="ADE58" s="11">
        <f>IF(ADE1&lt;&gt;0, SUMIFS(Detail!$L:$L,Detail!$G:$G,'Rates-Service Fees'!ADE$23,Detail!$H:$H,"State"), 0)</f>
        <v>0</v>
      </c>
      <c r="ADF58" s="11">
        <f>IF(ADF1&lt;&gt;0, SUMIFS(Detail!$L:$L,Detail!$G:$G,'Rates-Service Fees'!ADF$23,Detail!$H:$H,"State"), 0)</f>
        <v>0</v>
      </c>
      <c r="ADG58" s="11">
        <f>IF(ADG1&lt;&gt;0, SUMIFS(Detail!$L:$L,Detail!$G:$G,'Rates-Service Fees'!ADG$23,Detail!$H:$H,"State"), 0)</f>
        <v>0</v>
      </c>
      <c r="ADH58" s="11">
        <f>IF(ADH1&lt;&gt;0, SUMIFS(Detail!$L:$L,Detail!$G:$G,'Rates-Service Fees'!ADH$23,Detail!$H:$H,"State"), 0)</f>
        <v>0</v>
      </c>
      <c r="ADI58" s="11">
        <f>IF(ADI1&lt;&gt;0, SUMIFS(Detail!$L:$L,Detail!$G:$G,'Rates-Service Fees'!ADI$23,Detail!$H:$H,"State"), 0)</f>
        <v>0</v>
      </c>
      <c r="ADJ58" s="11">
        <f>IF(ADJ1&lt;&gt;0, SUMIFS(Detail!$L:$L,Detail!$G:$G,'Rates-Service Fees'!ADJ$23,Detail!$H:$H,"State"), 0)</f>
        <v>0</v>
      </c>
      <c r="ADK58" s="11">
        <f>IF(ADK1&lt;&gt;0, SUMIFS(Detail!$L:$L,Detail!$G:$G,'Rates-Service Fees'!ADK$23,Detail!$H:$H,"State"), 0)</f>
        <v>0</v>
      </c>
      <c r="ADL58" s="11">
        <f>IF(ADL1&lt;&gt;0, SUMIFS(Detail!$L:$L,Detail!$G:$G,'Rates-Service Fees'!ADL$23,Detail!$H:$H,"State"), 0)</f>
        <v>0</v>
      </c>
      <c r="ADM58" s="11">
        <f>IF(ADM1&lt;&gt;0, SUMIFS(Detail!$L:$L,Detail!$G:$G,'Rates-Service Fees'!ADM$23,Detail!$H:$H,"State"), 0)</f>
        <v>0</v>
      </c>
      <c r="ADN58" s="11">
        <f>IF(ADN1&lt;&gt;0, SUMIFS(Detail!$L:$L,Detail!$G:$G,'Rates-Service Fees'!ADN$23,Detail!$H:$H,"State"), 0)</f>
        <v>0</v>
      </c>
      <c r="ADO58" s="11">
        <f>IF(ADO1&lt;&gt;0, SUMIFS(Detail!$L:$L,Detail!$G:$G,'Rates-Service Fees'!ADO$23,Detail!$H:$H,"State"), 0)</f>
        <v>0</v>
      </c>
      <c r="ADP58" s="11">
        <f>IF(ADP1&lt;&gt;0, SUMIFS(Detail!$L:$L,Detail!$G:$G,'Rates-Service Fees'!ADP$23,Detail!$H:$H,"State"), 0)</f>
        <v>0</v>
      </c>
      <c r="ADQ58" s="11">
        <f>IF(ADQ1&lt;&gt;0, SUMIFS(Detail!$L:$L,Detail!$G:$G,'Rates-Service Fees'!ADQ$23,Detail!$H:$H,"State"), 0)</f>
        <v>0</v>
      </c>
      <c r="ADR58" s="11">
        <f>IF(ADR1&lt;&gt;0, SUMIFS(Detail!$L:$L,Detail!$G:$G,'Rates-Service Fees'!ADR$23,Detail!$H:$H,"State"), 0)</f>
        <v>0</v>
      </c>
      <c r="ADS58" s="11">
        <f>IF(ADS1&lt;&gt;0, SUMIFS(Detail!$L:$L,Detail!$G:$G,'Rates-Service Fees'!ADS$23,Detail!$H:$H,"State"), 0)</f>
        <v>0</v>
      </c>
      <c r="ADT58" s="11">
        <f>IF(ADT1&lt;&gt;0, SUMIFS(Detail!$L:$L,Detail!$G:$G,'Rates-Service Fees'!ADT$23,Detail!$H:$H,"State"), 0)</f>
        <v>0</v>
      </c>
      <c r="ADU58" s="11">
        <f>IF(ADU1&lt;&gt;0, SUMIFS(Detail!$L:$L,Detail!$G:$G,'Rates-Service Fees'!ADU$23,Detail!$H:$H,"State"), 0)</f>
        <v>0</v>
      </c>
      <c r="ADV58" s="11">
        <f>IF(ADV1&lt;&gt;0, SUMIFS(Detail!$L:$L,Detail!$G:$G,'Rates-Service Fees'!ADV$23,Detail!$H:$H,"State"), 0)</f>
        <v>0</v>
      </c>
      <c r="ADW58" s="11">
        <f>IF(ADW1&lt;&gt;0, SUMIFS(Detail!$L:$L,Detail!$G:$G,'Rates-Service Fees'!ADW$23,Detail!$H:$H,"State"), 0)</f>
        <v>0</v>
      </c>
      <c r="ADX58" s="11">
        <f>IF(ADX1&lt;&gt;0, SUMIFS(Detail!$L:$L,Detail!$G:$G,'Rates-Service Fees'!ADX$23,Detail!$H:$H,"State"), 0)</f>
        <v>0</v>
      </c>
      <c r="ADY58" s="11">
        <f>IF(ADY1&lt;&gt;0, SUMIFS(Detail!$L:$L,Detail!$G:$G,'Rates-Service Fees'!ADY$23,Detail!$H:$H,"State"), 0)</f>
        <v>0</v>
      </c>
      <c r="ADZ58" s="11">
        <f>IF(ADZ1&lt;&gt;0, SUMIFS(Detail!$L:$L,Detail!$G:$G,'Rates-Service Fees'!ADZ$23,Detail!$H:$H,"State"), 0)</f>
        <v>0</v>
      </c>
      <c r="AEA58" s="11">
        <f>IF(AEA1&lt;&gt;0, SUMIFS(Detail!$L:$L,Detail!$G:$G,'Rates-Service Fees'!AEA$23,Detail!$H:$H,"State"), 0)</f>
        <v>0</v>
      </c>
      <c r="AEB58" s="11">
        <f>IF(AEB1&lt;&gt;0, SUMIFS(Detail!$L:$L,Detail!$G:$G,'Rates-Service Fees'!AEB$23,Detail!$H:$H,"State"), 0)</f>
        <v>0</v>
      </c>
      <c r="AEC58" s="11">
        <f>IF(AEC1&lt;&gt;0, SUMIFS(Detail!$L:$L,Detail!$G:$G,'Rates-Service Fees'!AEC$23,Detail!$H:$H,"State"), 0)</f>
        <v>0</v>
      </c>
      <c r="AED58" s="11">
        <f>IF(AED1&lt;&gt;0, SUMIFS(Detail!$L:$L,Detail!$G:$G,'Rates-Service Fees'!AED$23,Detail!$H:$H,"State"), 0)</f>
        <v>0</v>
      </c>
      <c r="AEE58" s="11">
        <f>IF(AEE1&lt;&gt;0, SUMIFS(Detail!$L:$L,Detail!$G:$G,'Rates-Service Fees'!AEE$23,Detail!$H:$H,"State"), 0)</f>
        <v>0</v>
      </c>
      <c r="AEF58" s="11">
        <f>IF(AEF1&lt;&gt;0, SUMIFS(Detail!$L:$L,Detail!$G:$G,'Rates-Service Fees'!AEF$23,Detail!$H:$H,"State"), 0)</f>
        <v>0</v>
      </c>
      <c r="AEG58" s="11">
        <f>IF(AEG1&lt;&gt;0, SUMIFS(Detail!$L:$L,Detail!$G:$G,'Rates-Service Fees'!AEG$23,Detail!$H:$H,"State"), 0)</f>
        <v>0</v>
      </c>
      <c r="AEH58" s="11">
        <f>IF(AEH1&lt;&gt;0, SUMIFS(Detail!$L:$L,Detail!$G:$G,'Rates-Service Fees'!AEH$23,Detail!$H:$H,"State"), 0)</f>
        <v>0</v>
      </c>
      <c r="AEI58" s="11">
        <f>IF(AEI1&lt;&gt;0, SUMIFS(Detail!$L:$L,Detail!$G:$G,'Rates-Service Fees'!AEI$23,Detail!$H:$H,"State"), 0)</f>
        <v>0</v>
      </c>
      <c r="AEJ58" s="11">
        <f>IF(AEJ1&lt;&gt;0, SUMIFS(Detail!$L:$L,Detail!$G:$G,'Rates-Service Fees'!AEJ$23,Detail!$H:$H,"State"), 0)</f>
        <v>0</v>
      </c>
      <c r="AEK58" s="11">
        <f>IF(AEK1&lt;&gt;0, SUMIFS(Detail!$L:$L,Detail!$G:$G,'Rates-Service Fees'!AEK$23,Detail!$H:$H,"State"), 0)</f>
        <v>0</v>
      </c>
      <c r="AEL58" s="11">
        <f>IF(AEL1&lt;&gt;0, SUMIFS(Detail!$L:$L,Detail!$G:$G,'Rates-Service Fees'!AEL$23,Detail!$H:$H,"State"), 0)</f>
        <v>0</v>
      </c>
      <c r="AEM58" s="11">
        <f>IF(AEM1&lt;&gt;0, SUMIFS(Detail!$L:$L,Detail!$G:$G,'Rates-Service Fees'!AEM$23,Detail!$H:$H,"State"), 0)</f>
        <v>0</v>
      </c>
      <c r="AEN58" s="11">
        <f>IF(AEN1&lt;&gt;0, SUMIFS(Detail!$L:$L,Detail!$G:$G,'Rates-Service Fees'!AEN$23,Detail!$H:$H,"State"), 0)</f>
        <v>0</v>
      </c>
      <c r="AEO58" s="11">
        <f>IF(AEO1&lt;&gt;0, SUMIFS(Detail!$L:$L,Detail!$G:$G,'Rates-Service Fees'!AEO$23,Detail!$H:$H,"State"), 0)</f>
        <v>0</v>
      </c>
      <c r="AEP58" s="11">
        <f>IF(AEP1&lt;&gt;0, SUMIFS(Detail!$L:$L,Detail!$G:$G,'Rates-Service Fees'!AEP$23,Detail!$H:$H,"State"), 0)</f>
        <v>0</v>
      </c>
      <c r="AEQ58" s="11">
        <f>IF(AEQ1&lt;&gt;0, SUMIFS(Detail!$L:$L,Detail!$G:$G,'Rates-Service Fees'!AEQ$23,Detail!$H:$H,"State"), 0)</f>
        <v>0</v>
      </c>
      <c r="AER58" s="11">
        <f>IF(AER1&lt;&gt;0, SUMIFS(Detail!$L:$L,Detail!$G:$G,'Rates-Service Fees'!AER$23,Detail!$H:$H,"State"), 0)</f>
        <v>0</v>
      </c>
      <c r="AES58" s="11">
        <f>IF(AES1&lt;&gt;0, SUMIFS(Detail!$L:$L,Detail!$G:$G,'Rates-Service Fees'!AES$23,Detail!$H:$H,"State"), 0)</f>
        <v>0</v>
      </c>
      <c r="AET58" s="11">
        <f>IF(AET1&lt;&gt;0, SUMIFS(Detail!$L:$L,Detail!$G:$G,'Rates-Service Fees'!AET$23,Detail!$H:$H,"State"), 0)</f>
        <v>0</v>
      </c>
      <c r="AEU58" s="11">
        <f>IF(AEU1&lt;&gt;0, SUMIFS(Detail!$L:$L,Detail!$G:$G,'Rates-Service Fees'!AEU$23,Detail!$H:$H,"State"), 0)</f>
        <v>0</v>
      </c>
      <c r="AEV58" s="11">
        <f>IF(AEV1&lt;&gt;0, SUMIFS(Detail!$L:$L,Detail!$G:$G,'Rates-Service Fees'!AEV$23,Detail!$H:$H,"State"), 0)</f>
        <v>0</v>
      </c>
      <c r="AEW58" s="11">
        <f>IF(AEW1&lt;&gt;0, SUMIFS(Detail!$L:$L,Detail!$G:$G,'Rates-Service Fees'!AEW$23,Detail!$H:$H,"State"), 0)</f>
        <v>0</v>
      </c>
      <c r="AEX58" s="11">
        <f>IF(AEX1&lt;&gt;0, SUMIFS(Detail!$L:$L,Detail!$G:$G,'Rates-Service Fees'!AEX$23,Detail!$H:$H,"State"), 0)</f>
        <v>0</v>
      </c>
      <c r="AEY58" s="11">
        <f>IF(AEY1&lt;&gt;0, SUMIFS(Detail!$L:$L,Detail!$G:$G,'Rates-Service Fees'!AEY$23,Detail!$H:$H,"State"), 0)</f>
        <v>0</v>
      </c>
      <c r="AEZ58" s="11">
        <f>IF(AEZ1&lt;&gt;0, SUMIFS(Detail!$L:$L,Detail!$G:$G,'Rates-Service Fees'!AEZ$23,Detail!$H:$H,"State"), 0)</f>
        <v>0</v>
      </c>
      <c r="AFA58" s="11">
        <f>IF(AFA1&lt;&gt;0, SUMIFS(Detail!$L:$L,Detail!$G:$G,'Rates-Service Fees'!AFA$23,Detail!$H:$H,"State"), 0)</f>
        <v>0</v>
      </c>
      <c r="AFB58" s="11">
        <f>IF(AFB1&lt;&gt;0, SUMIFS(Detail!$L:$L,Detail!$G:$G,'Rates-Service Fees'!AFB$23,Detail!$H:$H,"State"), 0)</f>
        <v>0</v>
      </c>
      <c r="AFC58" s="11">
        <f>IF(AFC1&lt;&gt;0, SUMIFS(Detail!$L:$L,Detail!$G:$G,'Rates-Service Fees'!AFC$23,Detail!$H:$H,"State"), 0)</f>
        <v>0</v>
      </c>
      <c r="AFD58" s="11">
        <f>IF(AFD1&lt;&gt;0, SUMIFS(Detail!$L:$L,Detail!$G:$G,'Rates-Service Fees'!AFD$23,Detail!$H:$H,"State"), 0)</f>
        <v>0</v>
      </c>
      <c r="AFE58" s="11">
        <f>IF(AFE1&lt;&gt;0, SUMIFS(Detail!$L:$L,Detail!$G:$G,'Rates-Service Fees'!AFE$23,Detail!$H:$H,"State"), 0)</f>
        <v>0</v>
      </c>
      <c r="AFF58" s="11">
        <f>IF(AFF1&lt;&gt;0, SUMIFS(Detail!$L:$L,Detail!$G:$G,'Rates-Service Fees'!AFF$23,Detail!$H:$H,"State"), 0)</f>
        <v>0</v>
      </c>
      <c r="AFG58" s="11">
        <f>IF(AFG1&lt;&gt;0, SUMIFS(Detail!$L:$L,Detail!$G:$G,'Rates-Service Fees'!AFG$23,Detail!$H:$H,"State"), 0)</f>
        <v>0</v>
      </c>
      <c r="AFH58" s="11">
        <f>IF(AFH1&lt;&gt;0, SUMIFS(Detail!$L:$L,Detail!$G:$G,'Rates-Service Fees'!AFH$23,Detail!$H:$H,"State"), 0)</f>
        <v>0</v>
      </c>
      <c r="AFI58" s="11">
        <f>IF(AFI1&lt;&gt;0, SUMIFS(Detail!$L:$L,Detail!$G:$G,'Rates-Service Fees'!AFI$23,Detail!$H:$H,"State"), 0)</f>
        <v>0</v>
      </c>
      <c r="AFJ58" s="11">
        <f>IF(AFJ1&lt;&gt;0, SUMIFS(Detail!$L:$L,Detail!$G:$G,'Rates-Service Fees'!AFJ$23,Detail!$H:$H,"State"), 0)</f>
        <v>0</v>
      </c>
      <c r="AFK58" s="11">
        <f>IF(AFK1&lt;&gt;0, SUMIFS(Detail!$L:$L,Detail!$G:$G,'Rates-Service Fees'!AFK$23,Detail!$H:$H,"State"), 0)</f>
        <v>0</v>
      </c>
      <c r="AFL58" s="11">
        <f>IF(AFL1&lt;&gt;0, SUMIFS(Detail!$L:$L,Detail!$G:$G,'Rates-Service Fees'!AFL$23,Detail!$H:$H,"State"), 0)</f>
        <v>0</v>
      </c>
      <c r="AFM58" s="11">
        <f>IF(AFM1&lt;&gt;0, SUMIFS(Detail!$L:$L,Detail!$G:$G,'Rates-Service Fees'!AFM$23,Detail!$H:$H,"State"), 0)</f>
        <v>0</v>
      </c>
      <c r="AFN58" s="11">
        <f>IF(AFN1&lt;&gt;0, SUMIFS(Detail!$L:$L,Detail!$G:$G,'Rates-Service Fees'!AFN$23,Detail!$H:$H,"State"), 0)</f>
        <v>0</v>
      </c>
      <c r="AFO58" s="11">
        <f>IF(AFO1&lt;&gt;0, SUMIFS(Detail!$L:$L,Detail!$G:$G,'Rates-Service Fees'!AFO$23,Detail!$H:$H,"State"), 0)</f>
        <v>0</v>
      </c>
      <c r="AFP58" s="11">
        <f>IF(AFP1&lt;&gt;0, SUMIFS(Detail!$L:$L,Detail!$G:$G,'Rates-Service Fees'!AFP$23,Detail!$H:$H,"State"), 0)</f>
        <v>0</v>
      </c>
      <c r="AFQ58" s="11">
        <f>IF(AFQ1&lt;&gt;0, SUMIFS(Detail!$L:$L,Detail!$G:$G,'Rates-Service Fees'!AFQ$23,Detail!$H:$H,"State"), 0)</f>
        <v>0</v>
      </c>
      <c r="AFR58" s="11">
        <f>IF(AFR1&lt;&gt;0, SUMIFS(Detail!$L:$L,Detail!$G:$G,'Rates-Service Fees'!AFR$23,Detail!$H:$H,"State"), 0)</f>
        <v>0</v>
      </c>
      <c r="AFS58" s="11">
        <f>IF(AFS1&lt;&gt;0, SUMIFS(Detail!$L:$L,Detail!$G:$G,'Rates-Service Fees'!AFS$23,Detail!$H:$H,"State"), 0)</f>
        <v>0</v>
      </c>
      <c r="AFT58" s="11">
        <f>IF(AFT1&lt;&gt;0, SUMIFS(Detail!$L:$L,Detail!$G:$G,'Rates-Service Fees'!AFT$23,Detail!$H:$H,"State"), 0)</f>
        <v>0</v>
      </c>
      <c r="AFU58" s="11">
        <f>IF(AFU1&lt;&gt;0, SUMIFS(Detail!$L:$L,Detail!$G:$G,'Rates-Service Fees'!AFU$23,Detail!$H:$H,"State"), 0)</f>
        <v>0</v>
      </c>
      <c r="AFV58" s="11">
        <f>IF(AFV1&lt;&gt;0, SUMIFS(Detail!$L:$L,Detail!$G:$G,'Rates-Service Fees'!AFV$23,Detail!$H:$H,"State"), 0)</f>
        <v>0</v>
      </c>
      <c r="AFW58" s="11">
        <f>IF(AFW1&lt;&gt;0, SUMIFS(Detail!$L:$L,Detail!$G:$G,'Rates-Service Fees'!AFW$23,Detail!$H:$H,"State"), 0)</f>
        <v>0</v>
      </c>
      <c r="AFX58" s="11">
        <f>IF(AFX1&lt;&gt;0, SUMIFS(Detail!$L:$L,Detail!$G:$G,'Rates-Service Fees'!AFX$23,Detail!$H:$H,"State"), 0)</f>
        <v>0</v>
      </c>
      <c r="AFY58" s="11">
        <f>IF(AFY1&lt;&gt;0, SUMIFS(Detail!$L:$L,Detail!$G:$G,'Rates-Service Fees'!AFY$23,Detail!$H:$H,"State"), 0)</f>
        <v>0</v>
      </c>
      <c r="AFZ58" s="11">
        <f>IF(AFZ1&lt;&gt;0, SUMIFS(Detail!$L:$L,Detail!$G:$G,'Rates-Service Fees'!AFZ$23,Detail!$H:$H,"State"), 0)</f>
        <v>0</v>
      </c>
      <c r="AGA58" s="11">
        <f>IF(AGA1&lt;&gt;0, SUMIFS(Detail!$L:$L,Detail!$G:$G,'Rates-Service Fees'!AGA$23,Detail!$H:$H,"State"), 0)</f>
        <v>0</v>
      </c>
      <c r="AGB58" s="11">
        <f>IF(AGB1&lt;&gt;0, SUMIFS(Detail!$L:$L,Detail!$G:$G,'Rates-Service Fees'!AGB$23,Detail!$H:$H,"State"), 0)</f>
        <v>0</v>
      </c>
      <c r="AGC58" s="11">
        <f>IF(AGC1&lt;&gt;0, SUMIFS(Detail!$L:$L,Detail!$G:$G,'Rates-Service Fees'!AGC$23,Detail!$H:$H,"State"), 0)</f>
        <v>0</v>
      </c>
      <c r="AGD58" s="11">
        <f>IF(AGD1&lt;&gt;0, SUMIFS(Detail!$L:$L,Detail!$G:$G,'Rates-Service Fees'!AGD$23,Detail!$H:$H,"State"), 0)</f>
        <v>0</v>
      </c>
      <c r="AGE58" s="11">
        <f>IF(AGE1&lt;&gt;0, SUMIFS(Detail!$L:$L,Detail!$G:$G,'Rates-Service Fees'!AGE$23,Detail!$H:$H,"State"), 0)</f>
        <v>0</v>
      </c>
      <c r="AGF58" s="11">
        <f>IF(AGF1&lt;&gt;0, SUMIFS(Detail!$L:$L,Detail!$G:$G,'Rates-Service Fees'!AGF$23,Detail!$H:$H,"State"), 0)</f>
        <v>0</v>
      </c>
      <c r="AGG58" s="11">
        <f>IF(AGG1&lt;&gt;0, SUMIFS(Detail!$L:$L,Detail!$G:$G,'Rates-Service Fees'!AGG$23,Detail!$H:$H,"State"), 0)</f>
        <v>0</v>
      </c>
      <c r="AGH58" s="11">
        <f>IF(AGH1&lt;&gt;0, SUMIFS(Detail!$L:$L,Detail!$G:$G,'Rates-Service Fees'!AGH$23,Detail!$H:$H,"State"), 0)</f>
        <v>0</v>
      </c>
      <c r="AGI58" s="11">
        <f>IF(AGI1&lt;&gt;0, SUMIFS(Detail!$L:$L,Detail!$G:$G,'Rates-Service Fees'!AGI$23,Detail!$H:$H,"State"), 0)</f>
        <v>0</v>
      </c>
      <c r="AGJ58" s="11">
        <f>IF(AGJ1&lt;&gt;0, SUMIFS(Detail!$L:$L,Detail!$G:$G,'Rates-Service Fees'!AGJ$23,Detail!$H:$H,"State"), 0)</f>
        <v>0</v>
      </c>
      <c r="AGK58" s="11">
        <f>IF(AGK1&lt;&gt;0, SUMIFS(Detail!$L:$L,Detail!$G:$G,'Rates-Service Fees'!AGK$23,Detail!$H:$H,"State"), 0)</f>
        <v>0</v>
      </c>
      <c r="AGL58" s="11">
        <f>IF(AGL1&lt;&gt;0, SUMIFS(Detail!$L:$L,Detail!$G:$G,'Rates-Service Fees'!AGL$23,Detail!$H:$H,"State"), 0)</f>
        <v>0</v>
      </c>
      <c r="AGM58" s="11">
        <f>IF(AGM1&lt;&gt;0, SUMIFS(Detail!$L:$L,Detail!$G:$G,'Rates-Service Fees'!AGM$23,Detail!$H:$H,"State"), 0)</f>
        <v>0</v>
      </c>
      <c r="AGN58" s="11">
        <f>IF(AGN1&lt;&gt;0, SUMIFS(Detail!$L:$L,Detail!$G:$G,'Rates-Service Fees'!AGN$23,Detail!$H:$H,"State"), 0)</f>
        <v>0</v>
      </c>
      <c r="AGO58" s="11">
        <f>IF(AGO1&lt;&gt;0, SUMIFS(Detail!$L:$L,Detail!$G:$G,'Rates-Service Fees'!AGO$23,Detail!$H:$H,"State"), 0)</f>
        <v>0</v>
      </c>
      <c r="AGP58" s="11">
        <f>IF(AGP1&lt;&gt;0, SUMIFS(Detail!$L:$L,Detail!$G:$G,'Rates-Service Fees'!AGP$23,Detail!$H:$H,"State"), 0)</f>
        <v>0</v>
      </c>
      <c r="AGQ58" s="11">
        <f>IF(AGQ1&lt;&gt;0, SUMIFS(Detail!$L:$L,Detail!$G:$G,'Rates-Service Fees'!AGQ$23,Detail!$H:$H,"State"), 0)</f>
        <v>0</v>
      </c>
      <c r="AGR58" s="11">
        <f>IF(AGR1&lt;&gt;0, SUMIFS(Detail!$L:$L,Detail!$G:$G,'Rates-Service Fees'!AGR$23,Detail!$H:$H,"State"), 0)</f>
        <v>0</v>
      </c>
      <c r="AGS58" s="11">
        <f>IF(AGS1&lt;&gt;0, SUMIFS(Detail!$L:$L,Detail!$G:$G,'Rates-Service Fees'!AGS$23,Detail!$H:$H,"State"), 0)</f>
        <v>0</v>
      </c>
      <c r="AGT58" s="11">
        <f>IF(AGT1&lt;&gt;0, SUMIFS(Detail!$L:$L,Detail!$G:$G,'Rates-Service Fees'!AGT$23,Detail!$H:$H,"State"), 0)</f>
        <v>0</v>
      </c>
      <c r="AGU58" s="11">
        <f>IF(AGU1&lt;&gt;0, SUMIFS(Detail!$L:$L,Detail!$G:$G,'Rates-Service Fees'!AGU$23,Detail!$H:$H,"State"), 0)</f>
        <v>0</v>
      </c>
      <c r="AGV58" s="11">
        <f>IF(AGV1&lt;&gt;0, SUMIFS(Detail!$L:$L,Detail!$G:$G,'Rates-Service Fees'!AGV$23,Detail!$H:$H,"State"), 0)</f>
        <v>0</v>
      </c>
      <c r="AGW58" s="11">
        <f>IF(AGW1&lt;&gt;0, SUMIFS(Detail!$L:$L,Detail!$G:$G,'Rates-Service Fees'!AGW$23,Detail!$H:$H,"State"), 0)</f>
        <v>0</v>
      </c>
      <c r="AGX58" s="11">
        <f>IF(AGX1&lt;&gt;0, SUMIFS(Detail!$L:$L,Detail!$G:$G,'Rates-Service Fees'!AGX$23,Detail!$H:$H,"State"), 0)</f>
        <v>0</v>
      </c>
      <c r="AGY58" s="11">
        <f>IF(AGY1&lt;&gt;0, SUMIFS(Detail!$L:$L,Detail!$G:$G,'Rates-Service Fees'!AGY$23,Detail!$H:$H,"State"), 0)</f>
        <v>0</v>
      </c>
      <c r="AGZ58" s="11">
        <f>IF(AGZ1&lt;&gt;0, SUMIFS(Detail!$L:$L,Detail!$G:$G,'Rates-Service Fees'!AGZ$23,Detail!$H:$H,"State"), 0)</f>
        <v>0</v>
      </c>
      <c r="AHA58" s="11">
        <f>IF(AHA1&lt;&gt;0, SUMIFS(Detail!$L:$L,Detail!$G:$G,'Rates-Service Fees'!AHA$23,Detail!$H:$H,"State"), 0)</f>
        <v>0</v>
      </c>
      <c r="AHB58" s="11">
        <f>IF(AHB1&lt;&gt;0, SUMIFS(Detail!$L:$L,Detail!$G:$G,'Rates-Service Fees'!AHB$23,Detail!$H:$H,"State"), 0)</f>
        <v>0</v>
      </c>
      <c r="AHC58" s="11">
        <f>IF(AHC1&lt;&gt;0, SUMIFS(Detail!$L:$L,Detail!$G:$G,'Rates-Service Fees'!AHC$23,Detail!$H:$H,"State"), 0)</f>
        <v>0</v>
      </c>
      <c r="AHD58" s="11">
        <f>IF(AHD1&lt;&gt;0, SUMIFS(Detail!$L:$L,Detail!$G:$G,'Rates-Service Fees'!AHD$23,Detail!$H:$H,"State"), 0)</f>
        <v>0</v>
      </c>
      <c r="AHE58" s="11">
        <f>IF(AHE1&lt;&gt;0, SUMIFS(Detail!$L:$L,Detail!$G:$G,'Rates-Service Fees'!AHE$23,Detail!$H:$H,"State"), 0)</f>
        <v>0</v>
      </c>
      <c r="AHF58" s="11">
        <f>IF(AHF1&lt;&gt;0, SUMIFS(Detail!$L:$L,Detail!$G:$G,'Rates-Service Fees'!AHF$23,Detail!$H:$H,"State"), 0)</f>
        <v>0</v>
      </c>
      <c r="AHG58" s="11">
        <f>IF(AHG1&lt;&gt;0, SUMIFS(Detail!$L:$L,Detail!$G:$G,'Rates-Service Fees'!AHG$23,Detail!$H:$H,"State"), 0)</f>
        <v>0</v>
      </c>
      <c r="AHH58" s="11">
        <f>IF(AHH1&lt;&gt;0, SUMIFS(Detail!$L:$L,Detail!$G:$G,'Rates-Service Fees'!AHH$23,Detail!$H:$H,"State"), 0)</f>
        <v>0</v>
      </c>
      <c r="AHI58" s="11">
        <f>IF(AHI1&lt;&gt;0, SUMIFS(Detail!$L:$L,Detail!$G:$G,'Rates-Service Fees'!AHI$23,Detail!$H:$H,"State"), 0)</f>
        <v>0</v>
      </c>
      <c r="AHJ58" s="11">
        <f>IF(AHJ1&lt;&gt;0, SUMIFS(Detail!$L:$L,Detail!$G:$G,'Rates-Service Fees'!AHJ$23,Detail!$H:$H,"State"), 0)</f>
        <v>0</v>
      </c>
      <c r="AHK58" s="11">
        <f>IF(AHK1&lt;&gt;0, SUMIFS(Detail!$L:$L,Detail!$G:$G,'Rates-Service Fees'!AHK$23,Detail!$H:$H,"State"), 0)</f>
        <v>0</v>
      </c>
      <c r="AHL58" s="11">
        <f>IF(AHL1&lt;&gt;0, SUMIFS(Detail!$L:$L,Detail!$G:$G,'Rates-Service Fees'!AHL$23,Detail!$H:$H,"State"), 0)</f>
        <v>0</v>
      </c>
      <c r="AHM58" s="11">
        <f>IF(AHM1&lt;&gt;0, SUMIFS(Detail!$L:$L,Detail!$G:$G,'Rates-Service Fees'!AHM$23,Detail!$H:$H,"State"), 0)</f>
        <v>0</v>
      </c>
      <c r="AHN58" s="11">
        <f>IF(AHN1&lt;&gt;0, SUMIFS(Detail!$L:$L,Detail!$G:$G,'Rates-Service Fees'!AHN$23,Detail!$H:$H,"State"), 0)</f>
        <v>0</v>
      </c>
      <c r="AHO58" s="11">
        <f>IF(AHO1&lt;&gt;0, SUMIFS(Detail!$L:$L,Detail!$G:$G,'Rates-Service Fees'!AHO$23,Detail!$H:$H,"State"), 0)</f>
        <v>0</v>
      </c>
      <c r="AHP58" s="11">
        <f>IF(AHP1&lt;&gt;0, SUMIFS(Detail!$L:$L,Detail!$G:$G,'Rates-Service Fees'!AHP$23,Detail!$H:$H,"State"), 0)</f>
        <v>0</v>
      </c>
      <c r="AHQ58" s="11">
        <f>IF(AHQ1&lt;&gt;0, SUMIFS(Detail!$L:$L,Detail!$G:$G,'Rates-Service Fees'!AHQ$23,Detail!$H:$H,"State"), 0)</f>
        <v>0</v>
      </c>
      <c r="AHR58" s="11">
        <f>IF(AHR1&lt;&gt;0, SUMIFS(Detail!$L:$L,Detail!$G:$G,'Rates-Service Fees'!AHR$23,Detail!$H:$H,"State"), 0)</f>
        <v>0</v>
      </c>
      <c r="AHS58" s="11">
        <f>IF(AHS1&lt;&gt;0, SUMIFS(Detail!$L:$L,Detail!$G:$G,'Rates-Service Fees'!AHS$23,Detail!$H:$H,"State"), 0)</f>
        <v>0</v>
      </c>
      <c r="AHT58" s="11">
        <f>IF(AHT1&lt;&gt;0, SUMIFS(Detail!$L:$L,Detail!$G:$G,'Rates-Service Fees'!AHT$23,Detail!$H:$H,"State"), 0)</f>
        <v>0</v>
      </c>
      <c r="AHU58" s="11">
        <f>IF(AHU1&lt;&gt;0, SUMIFS(Detail!$L:$L,Detail!$G:$G,'Rates-Service Fees'!AHU$23,Detail!$H:$H,"State"), 0)</f>
        <v>0</v>
      </c>
      <c r="AHV58" s="11">
        <f>IF(AHV1&lt;&gt;0, SUMIFS(Detail!$L:$L,Detail!$G:$G,'Rates-Service Fees'!AHV$23,Detail!$H:$H,"State"), 0)</f>
        <v>0</v>
      </c>
      <c r="AHW58" s="11">
        <f>IF(AHW1&lt;&gt;0, SUMIFS(Detail!$L:$L,Detail!$G:$G,'Rates-Service Fees'!AHW$23,Detail!$H:$H,"State"), 0)</f>
        <v>0</v>
      </c>
      <c r="AHX58" s="11">
        <f>IF(AHX1&lt;&gt;0, SUMIFS(Detail!$L:$L,Detail!$G:$G,'Rates-Service Fees'!AHX$23,Detail!$H:$H,"State"), 0)</f>
        <v>0</v>
      </c>
      <c r="AHY58" s="11">
        <f>IF(AHY1&lt;&gt;0, SUMIFS(Detail!$L:$L,Detail!$G:$G,'Rates-Service Fees'!AHY$23,Detail!$H:$H,"State"), 0)</f>
        <v>0</v>
      </c>
      <c r="AHZ58" s="11">
        <f>IF(AHZ1&lt;&gt;0, SUMIFS(Detail!$L:$L,Detail!$G:$G,'Rates-Service Fees'!AHZ$23,Detail!$H:$H,"State"), 0)</f>
        <v>0</v>
      </c>
      <c r="AIA58" s="11">
        <f>IF(AIA1&lt;&gt;0, SUMIFS(Detail!$L:$L,Detail!$G:$G,'Rates-Service Fees'!AIA$23,Detail!$H:$H,"State"), 0)</f>
        <v>0</v>
      </c>
      <c r="AIB58" s="11">
        <f>IF(AIB1&lt;&gt;0, SUMIFS(Detail!$L:$L,Detail!$G:$G,'Rates-Service Fees'!AIB$23,Detail!$H:$H,"State"), 0)</f>
        <v>0</v>
      </c>
      <c r="AIC58" s="11">
        <f>IF(AIC1&lt;&gt;0, SUMIFS(Detail!$L:$L,Detail!$G:$G,'Rates-Service Fees'!AIC$23,Detail!$H:$H,"State"), 0)</f>
        <v>0</v>
      </c>
      <c r="AID58" s="11">
        <f>IF(AID1&lt;&gt;0, SUMIFS(Detail!$L:$L,Detail!$G:$G,'Rates-Service Fees'!AID$23,Detail!$H:$H,"State"), 0)</f>
        <v>0</v>
      </c>
      <c r="AIE58" s="11">
        <f>IF(AIE1&lt;&gt;0, SUMIFS(Detail!$L:$L,Detail!$G:$G,'Rates-Service Fees'!AIE$23,Detail!$H:$H,"State"), 0)</f>
        <v>0</v>
      </c>
      <c r="AIF58" s="11">
        <f>IF(AIF1&lt;&gt;0, SUMIFS(Detail!$L:$L,Detail!$G:$G,'Rates-Service Fees'!AIF$23,Detail!$H:$H,"State"), 0)</f>
        <v>0</v>
      </c>
      <c r="AIG58" s="11">
        <f>IF(AIG1&lt;&gt;0, SUMIFS(Detail!$L:$L,Detail!$G:$G,'Rates-Service Fees'!AIG$23,Detail!$H:$H,"State"), 0)</f>
        <v>0</v>
      </c>
      <c r="AIH58" s="11">
        <f>IF(AIH1&lt;&gt;0, SUMIFS(Detail!$L:$L,Detail!$G:$G,'Rates-Service Fees'!AIH$23,Detail!$H:$H,"State"), 0)</f>
        <v>0</v>
      </c>
      <c r="AII58" s="11">
        <f>IF(AII1&lt;&gt;0, SUMIFS(Detail!$L:$L,Detail!$G:$G,'Rates-Service Fees'!AII$23,Detail!$H:$H,"State"), 0)</f>
        <v>0</v>
      </c>
      <c r="AIJ58" s="11">
        <f>IF(AIJ1&lt;&gt;0, SUMIFS(Detail!$L:$L,Detail!$G:$G,'Rates-Service Fees'!AIJ$23,Detail!$H:$H,"State"), 0)</f>
        <v>0</v>
      </c>
      <c r="AIK58" s="11">
        <f>IF(AIK1&lt;&gt;0, SUMIFS(Detail!$L:$L,Detail!$G:$G,'Rates-Service Fees'!AIK$23,Detail!$H:$H,"State"), 0)</f>
        <v>0</v>
      </c>
      <c r="AIL58" s="11">
        <f>IF(AIL1&lt;&gt;0, SUMIFS(Detail!$L:$L,Detail!$G:$G,'Rates-Service Fees'!AIL$23,Detail!$H:$H,"State"), 0)</f>
        <v>0</v>
      </c>
      <c r="AIM58" s="11">
        <f>IF(AIM1&lt;&gt;0, SUMIFS(Detail!$L:$L,Detail!$G:$G,'Rates-Service Fees'!AIM$23,Detail!$H:$H,"State"), 0)</f>
        <v>0</v>
      </c>
      <c r="AIN58" s="11">
        <f>IF(AIN1&lt;&gt;0, SUMIFS(Detail!$L:$L,Detail!$G:$G,'Rates-Service Fees'!AIN$23,Detail!$H:$H,"State"), 0)</f>
        <v>0</v>
      </c>
      <c r="AIO58" s="11">
        <f>IF(AIO1&lt;&gt;0, SUMIFS(Detail!$L:$L,Detail!$G:$G,'Rates-Service Fees'!AIO$23,Detail!$H:$H,"State"), 0)</f>
        <v>0</v>
      </c>
      <c r="AIP58" s="11">
        <f>IF(AIP1&lt;&gt;0, SUMIFS(Detail!$L:$L,Detail!$G:$G,'Rates-Service Fees'!AIP$23,Detail!$H:$H,"State"), 0)</f>
        <v>0</v>
      </c>
      <c r="AIQ58" s="11">
        <f>IF(AIQ1&lt;&gt;0, SUMIFS(Detail!$L:$L,Detail!$G:$G,'Rates-Service Fees'!AIQ$23,Detail!$H:$H,"State"), 0)</f>
        <v>0</v>
      </c>
      <c r="AIR58" s="11">
        <f>IF(AIR1&lt;&gt;0, SUMIFS(Detail!$L:$L,Detail!$G:$G,'Rates-Service Fees'!AIR$23,Detail!$H:$H,"State"), 0)</f>
        <v>0</v>
      </c>
      <c r="AIS58" s="11">
        <f>IF(AIS1&lt;&gt;0, SUMIFS(Detail!$L:$L,Detail!$G:$G,'Rates-Service Fees'!AIS$23,Detail!$H:$H,"State"), 0)</f>
        <v>0</v>
      </c>
      <c r="AIT58" s="11">
        <f>IF(AIT1&lt;&gt;0, SUMIFS(Detail!$L:$L,Detail!$G:$G,'Rates-Service Fees'!AIT$23,Detail!$H:$H,"State"), 0)</f>
        <v>0</v>
      </c>
      <c r="AIU58" s="11">
        <f>IF(AIU1&lt;&gt;0, SUMIFS(Detail!$L:$L,Detail!$G:$G,'Rates-Service Fees'!AIU$23,Detail!$H:$H,"State"), 0)</f>
        <v>0</v>
      </c>
      <c r="AIV58" s="11">
        <f>IF(AIV1&lt;&gt;0, SUMIFS(Detail!$L:$L,Detail!$G:$G,'Rates-Service Fees'!AIV$23,Detail!$H:$H,"State"), 0)</f>
        <v>0</v>
      </c>
      <c r="AIW58" s="11">
        <f>IF(AIW1&lt;&gt;0, SUMIFS(Detail!$L:$L,Detail!$G:$G,'Rates-Service Fees'!AIW$23,Detail!$H:$H,"State"), 0)</f>
        <v>0</v>
      </c>
      <c r="AIX58" s="11">
        <f>IF(AIX1&lt;&gt;0, SUMIFS(Detail!$L:$L,Detail!$G:$G,'Rates-Service Fees'!AIX$23,Detail!$H:$H,"State"), 0)</f>
        <v>0</v>
      </c>
      <c r="AIY58" s="11">
        <f>IF(AIY1&lt;&gt;0, SUMIFS(Detail!$L:$L,Detail!$G:$G,'Rates-Service Fees'!AIY$23,Detail!$H:$H,"State"), 0)</f>
        <v>0</v>
      </c>
      <c r="AIZ58" s="11">
        <f>IF(AIZ1&lt;&gt;0, SUMIFS(Detail!$L:$L,Detail!$G:$G,'Rates-Service Fees'!AIZ$23,Detail!$H:$H,"State"), 0)</f>
        <v>0</v>
      </c>
      <c r="AJA58" s="11">
        <f>IF(AJA1&lt;&gt;0, SUMIFS(Detail!$L:$L,Detail!$G:$G,'Rates-Service Fees'!AJA$23,Detail!$H:$H,"State"), 0)</f>
        <v>0</v>
      </c>
      <c r="AJB58" s="11">
        <f>IF(AJB1&lt;&gt;0, SUMIFS(Detail!$L:$L,Detail!$G:$G,'Rates-Service Fees'!AJB$23,Detail!$H:$H,"State"), 0)</f>
        <v>0</v>
      </c>
      <c r="AJC58" s="11">
        <f>IF(AJC1&lt;&gt;0, SUMIFS(Detail!$L:$L,Detail!$G:$G,'Rates-Service Fees'!AJC$23,Detail!$H:$H,"State"), 0)</f>
        <v>0</v>
      </c>
      <c r="AJD58" s="11">
        <f>IF(AJD1&lt;&gt;0, SUMIFS(Detail!$L:$L,Detail!$G:$G,'Rates-Service Fees'!AJD$23,Detail!$H:$H,"State"), 0)</f>
        <v>0</v>
      </c>
      <c r="AJE58" s="11">
        <f>IF(AJE1&lt;&gt;0, SUMIFS(Detail!$L:$L,Detail!$G:$G,'Rates-Service Fees'!AJE$23,Detail!$H:$H,"State"), 0)</f>
        <v>0</v>
      </c>
      <c r="AJF58" s="11">
        <f>IF(AJF1&lt;&gt;0, SUMIFS(Detail!$L:$L,Detail!$G:$G,'Rates-Service Fees'!AJF$23,Detail!$H:$H,"State"), 0)</f>
        <v>0</v>
      </c>
      <c r="AJG58" s="11">
        <f>IF(AJG1&lt;&gt;0, SUMIFS(Detail!$L:$L,Detail!$G:$G,'Rates-Service Fees'!AJG$23,Detail!$H:$H,"State"), 0)</f>
        <v>0</v>
      </c>
      <c r="AJH58" s="11">
        <f>IF(AJH1&lt;&gt;0, SUMIFS(Detail!$L:$L,Detail!$G:$G,'Rates-Service Fees'!AJH$23,Detail!$H:$H,"State"), 0)</f>
        <v>0</v>
      </c>
      <c r="AJI58" s="11">
        <f>IF(AJI1&lt;&gt;0, SUMIFS(Detail!$L:$L,Detail!$G:$G,'Rates-Service Fees'!AJI$23,Detail!$H:$H,"State"), 0)</f>
        <v>0</v>
      </c>
      <c r="AJJ58" s="11">
        <f>IF(AJJ1&lt;&gt;0, SUMIFS(Detail!$L:$L,Detail!$G:$G,'Rates-Service Fees'!AJJ$23,Detail!$H:$H,"State"), 0)</f>
        <v>0</v>
      </c>
      <c r="AJK58" s="11">
        <f>IF(AJK1&lt;&gt;0, SUMIFS(Detail!$L:$L,Detail!$G:$G,'Rates-Service Fees'!AJK$23,Detail!$H:$H,"State"), 0)</f>
        <v>0</v>
      </c>
      <c r="AJL58" s="11">
        <f>IF(AJL1&lt;&gt;0, SUMIFS(Detail!$L:$L,Detail!$G:$G,'Rates-Service Fees'!AJL$23,Detail!$H:$H,"State"), 0)</f>
        <v>0</v>
      </c>
      <c r="AJM58" s="11">
        <f>IF(AJM1&lt;&gt;0, SUMIFS(Detail!$L:$L,Detail!$G:$G,'Rates-Service Fees'!AJM$23,Detail!$H:$H,"State"), 0)</f>
        <v>0</v>
      </c>
      <c r="AJN58" s="11">
        <f>IF(AJN1&lt;&gt;0, SUMIFS(Detail!$L:$L,Detail!$G:$G,'Rates-Service Fees'!AJN$23,Detail!$H:$H,"State"), 0)</f>
        <v>0</v>
      </c>
      <c r="AJO58" s="11">
        <f>IF(AJO1&lt;&gt;0, SUMIFS(Detail!$L:$L,Detail!$G:$G,'Rates-Service Fees'!AJO$23,Detail!$H:$H,"State"), 0)</f>
        <v>0</v>
      </c>
      <c r="AJP58" s="11">
        <f>IF(AJP1&lt;&gt;0, SUMIFS(Detail!$L:$L,Detail!$G:$G,'Rates-Service Fees'!AJP$23,Detail!$H:$H,"State"), 0)</f>
        <v>0</v>
      </c>
      <c r="AJQ58" s="11">
        <f>IF(AJQ1&lt;&gt;0, SUMIFS(Detail!$L:$L,Detail!$G:$G,'Rates-Service Fees'!AJQ$23,Detail!$H:$H,"State"), 0)</f>
        <v>0</v>
      </c>
      <c r="AJR58" s="11">
        <f>IF(AJR1&lt;&gt;0, SUMIFS(Detail!$L:$L,Detail!$G:$G,'Rates-Service Fees'!AJR$23,Detail!$H:$H,"State"), 0)</f>
        <v>0</v>
      </c>
      <c r="AJS58" s="11">
        <f>IF(AJS1&lt;&gt;0, SUMIFS(Detail!$L:$L,Detail!$G:$G,'Rates-Service Fees'!AJS$23,Detail!$H:$H,"State"), 0)</f>
        <v>0</v>
      </c>
      <c r="AJT58" s="11">
        <f>IF(AJT1&lt;&gt;0, SUMIFS(Detail!$L:$L,Detail!$G:$G,'Rates-Service Fees'!AJT$23,Detail!$H:$H,"State"), 0)</f>
        <v>0</v>
      </c>
      <c r="AJU58" s="11">
        <f>IF(AJU1&lt;&gt;0, SUMIFS(Detail!$L:$L,Detail!$G:$G,'Rates-Service Fees'!AJU$23,Detail!$H:$H,"State"), 0)</f>
        <v>0</v>
      </c>
      <c r="AJV58" s="11">
        <f>IF(AJV1&lt;&gt;0, SUMIFS(Detail!$L:$L,Detail!$G:$G,'Rates-Service Fees'!AJV$23,Detail!$H:$H,"State"), 0)</f>
        <v>0</v>
      </c>
      <c r="AJW58" s="11">
        <f>IF(AJW1&lt;&gt;0, SUMIFS(Detail!$L:$L,Detail!$G:$G,'Rates-Service Fees'!AJW$23,Detail!$H:$H,"State"), 0)</f>
        <v>0</v>
      </c>
      <c r="AJX58" s="11">
        <f>IF(AJX1&lt;&gt;0, SUMIFS(Detail!$L:$L,Detail!$G:$G,'Rates-Service Fees'!AJX$23,Detail!$H:$H,"State"), 0)</f>
        <v>0</v>
      </c>
      <c r="AJY58" s="11">
        <f>IF(AJY1&lt;&gt;0, SUMIFS(Detail!$L:$L,Detail!$G:$G,'Rates-Service Fees'!AJY$23,Detail!$H:$H,"State"), 0)</f>
        <v>0</v>
      </c>
      <c r="AJZ58" s="11">
        <f>IF(AJZ1&lt;&gt;0, SUMIFS(Detail!$L:$L,Detail!$G:$G,'Rates-Service Fees'!AJZ$23,Detail!$H:$H,"State"), 0)</f>
        <v>0</v>
      </c>
      <c r="AKA58" s="11">
        <f>IF(AKA1&lt;&gt;0, SUMIFS(Detail!$L:$L,Detail!$G:$G,'Rates-Service Fees'!AKA$23,Detail!$H:$H,"State"), 0)</f>
        <v>0</v>
      </c>
      <c r="AKB58" s="11">
        <f>IF(AKB1&lt;&gt;0, SUMIFS(Detail!$L:$L,Detail!$G:$G,'Rates-Service Fees'!AKB$23,Detail!$H:$H,"State"), 0)</f>
        <v>0</v>
      </c>
      <c r="AKC58" s="11">
        <f>IF(AKC1&lt;&gt;0, SUMIFS(Detail!$L:$L,Detail!$G:$G,'Rates-Service Fees'!AKC$23,Detail!$H:$H,"State"), 0)</f>
        <v>0</v>
      </c>
      <c r="AKD58" s="11">
        <f>IF(AKD1&lt;&gt;0, SUMIFS(Detail!$L:$L,Detail!$G:$G,'Rates-Service Fees'!AKD$23,Detail!$H:$H,"State"), 0)</f>
        <v>0</v>
      </c>
      <c r="AKE58" s="11">
        <f>IF(AKE1&lt;&gt;0, SUMIFS(Detail!$L:$L,Detail!$G:$G,'Rates-Service Fees'!AKE$23,Detail!$H:$H,"State"), 0)</f>
        <v>0</v>
      </c>
      <c r="AKF58" s="11">
        <f>IF(AKF1&lt;&gt;0, SUMIFS(Detail!$L:$L,Detail!$G:$G,'Rates-Service Fees'!AKF$23,Detail!$H:$H,"State"), 0)</f>
        <v>0</v>
      </c>
      <c r="AKG58" s="11">
        <f>IF(AKG1&lt;&gt;0, SUMIFS(Detail!$L:$L,Detail!$G:$G,'Rates-Service Fees'!AKG$23,Detail!$H:$H,"State"), 0)</f>
        <v>0</v>
      </c>
      <c r="AKH58" s="11">
        <f>IF(AKH1&lt;&gt;0, SUMIFS(Detail!$L:$L,Detail!$G:$G,'Rates-Service Fees'!AKH$23,Detail!$H:$H,"State"), 0)</f>
        <v>0</v>
      </c>
      <c r="AKI58" s="11">
        <f>IF(AKI1&lt;&gt;0, SUMIFS(Detail!$L:$L,Detail!$G:$G,'Rates-Service Fees'!AKI$23,Detail!$H:$H,"State"), 0)</f>
        <v>0</v>
      </c>
      <c r="AKJ58" s="11">
        <f>IF(AKJ1&lt;&gt;0, SUMIFS(Detail!$L:$L,Detail!$G:$G,'Rates-Service Fees'!AKJ$23,Detail!$H:$H,"State"), 0)</f>
        <v>0</v>
      </c>
      <c r="AKK58" s="11">
        <f>IF(AKK1&lt;&gt;0, SUMIFS(Detail!$L:$L,Detail!$G:$G,'Rates-Service Fees'!AKK$23,Detail!$H:$H,"State"), 0)</f>
        <v>0</v>
      </c>
      <c r="AKL58" s="11">
        <f>IF(AKL1&lt;&gt;0, SUMIFS(Detail!$L:$L,Detail!$G:$G,'Rates-Service Fees'!AKL$23,Detail!$H:$H,"State"), 0)</f>
        <v>0</v>
      </c>
      <c r="AKM58" s="11">
        <f>IF(AKM1&lt;&gt;0, SUMIFS(Detail!$L:$L,Detail!$G:$G,'Rates-Service Fees'!AKM$23,Detail!$H:$H,"State"), 0)</f>
        <v>0</v>
      </c>
      <c r="AKN58" s="11">
        <f>IF(AKN1&lt;&gt;0, SUMIFS(Detail!$L:$L,Detail!$G:$G,'Rates-Service Fees'!AKN$23,Detail!$H:$H,"State"), 0)</f>
        <v>0</v>
      </c>
      <c r="AKO58" s="11">
        <f>IF(AKO1&lt;&gt;0, SUMIFS(Detail!$L:$L,Detail!$G:$G,'Rates-Service Fees'!AKO$23,Detail!$H:$H,"State"), 0)</f>
        <v>0</v>
      </c>
      <c r="AKP58" s="11">
        <f>IF(AKP1&lt;&gt;0, SUMIFS(Detail!$L:$L,Detail!$G:$G,'Rates-Service Fees'!AKP$23,Detail!$H:$H,"State"), 0)</f>
        <v>0</v>
      </c>
      <c r="AKQ58" s="11">
        <f>IF(AKQ1&lt;&gt;0, SUMIFS(Detail!$L:$L,Detail!$G:$G,'Rates-Service Fees'!AKQ$23,Detail!$H:$H,"State"), 0)</f>
        <v>0</v>
      </c>
      <c r="AKR58" s="11">
        <f>IF(AKR1&lt;&gt;0, SUMIFS(Detail!$L:$L,Detail!$G:$G,'Rates-Service Fees'!AKR$23,Detail!$H:$H,"State"), 0)</f>
        <v>0</v>
      </c>
      <c r="AKS58" s="11">
        <f>IF(AKS1&lt;&gt;0, SUMIFS(Detail!$L:$L,Detail!$G:$G,'Rates-Service Fees'!AKS$23,Detail!$H:$H,"State"), 0)</f>
        <v>0</v>
      </c>
      <c r="AKT58" s="11">
        <f>IF(AKT1&lt;&gt;0, SUMIFS(Detail!$L:$L,Detail!$G:$G,'Rates-Service Fees'!AKT$23,Detail!$H:$H,"State"), 0)</f>
        <v>0</v>
      </c>
      <c r="AKU58" s="11">
        <f>IF(AKU1&lt;&gt;0, SUMIFS(Detail!$L:$L,Detail!$G:$G,'Rates-Service Fees'!AKU$23,Detail!$H:$H,"State"), 0)</f>
        <v>0</v>
      </c>
      <c r="AKV58" s="11">
        <f>IF(AKV1&lt;&gt;0, SUMIFS(Detail!$L:$L,Detail!$G:$G,'Rates-Service Fees'!AKV$23,Detail!$H:$H,"State"), 0)</f>
        <v>0</v>
      </c>
      <c r="AKW58" s="11">
        <f>IF(AKW1&lt;&gt;0, SUMIFS(Detail!$L:$L,Detail!$G:$G,'Rates-Service Fees'!AKW$23,Detail!$H:$H,"State"), 0)</f>
        <v>0</v>
      </c>
      <c r="AKX58" s="11">
        <f>IF(AKX1&lt;&gt;0, SUMIFS(Detail!$L:$L,Detail!$G:$G,'Rates-Service Fees'!AKX$23,Detail!$H:$H,"State"), 0)</f>
        <v>0</v>
      </c>
      <c r="AKY58" s="11">
        <f>IF(AKY1&lt;&gt;0, SUMIFS(Detail!$L:$L,Detail!$G:$G,'Rates-Service Fees'!AKY$23,Detail!$H:$H,"State"), 0)</f>
        <v>0</v>
      </c>
      <c r="AKZ58" s="11">
        <f>IF(AKZ1&lt;&gt;0, SUMIFS(Detail!$L:$L,Detail!$G:$G,'Rates-Service Fees'!AKZ$23,Detail!$H:$H,"State"), 0)</f>
        <v>0</v>
      </c>
      <c r="ALA58" s="11">
        <f>IF(ALA1&lt;&gt;0, SUMIFS(Detail!$L:$L,Detail!$G:$G,'Rates-Service Fees'!ALA$23,Detail!$H:$H,"State"), 0)</f>
        <v>0</v>
      </c>
      <c r="ALB58" s="11">
        <f>IF(ALB1&lt;&gt;0, SUMIFS(Detail!$L:$L,Detail!$G:$G,'Rates-Service Fees'!ALB$23,Detail!$H:$H,"State"), 0)</f>
        <v>0</v>
      </c>
      <c r="ALC58" s="11">
        <f>IF(ALC1&lt;&gt;0, SUMIFS(Detail!$L:$L,Detail!$G:$G,'Rates-Service Fees'!ALC$23,Detail!$H:$H,"State"), 0)</f>
        <v>0</v>
      </c>
      <c r="ALD58" s="11">
        <f>IF(ALD1&lt;&gt;0, SUMIFS(Detail!$L:$L,Detail!$G:$G,'Rates-Service Fees'!ALD$23,Detail!$H:$H,"State"), 0)</f>
        <v>0</v>
      </c>
      <c r="ALE58" s="11">
        <f>IF(ALE1&lt;&gt;0, SUMIFS(Detail!$L:$L,Detail!$G:$G,'Rates-Service Fees'!ALE$23,Detail!$H:$H,"State"), 0)</f>
        <v>0</v>
      </c>
      <c r="ALF58" s="11">
        <f>IF(ALF1&lt;&gt;0, SUMIFS(Detail!$L:$L,Detail!$G:$G,'Rates-Service Fees'!ALF$23,Detail!$H:$H,"State"), 0)</f>
        <v>0</v>
      </c>
      <c r="ALG58" s="11">
        <f>IF(ALG1&lt;&gt;0, SUMIFS(Detail!$L:$L,Detail!$G:$G,'Rates-Service Fees'!ALG$23,Detail!$H:$H,"State"), 0)</f>
        <v>0</v>
      </c>
      <c r="ALH58" s="11">
        <f>IF(ALH1&lt;&gt;0, SUMIFS(Detail!$L:$L,Detail!$G:$G,'Rates-Service Fees'!ALH$23,Detail!$H:$H,"State"), 0)</f>
        <v>0</v>
      </c>
      <c r="ALI58" s="11">
        <f>IF(ALI1&lt;&gt;0, SUMIFS(Detail!$L:$L,Detail!$G:$G,'Rates-Service Fees'!ALI$23,Detail!$H:$H,"State"), 0)</f>
        <v>0</v>
      </c>
      <c r="ALJ58" s="11">
        <f>IF(ALJ1&lt;&gt;0, SUMIFS(Detail!$L:$L,Detail!$G:$G,'Rates-Service Fees'!ALJ$23,Detail!$H:$H,"State"), 0)</f>
        <v>0</v>
      </c>
      <c r="ALK58" s="11">
        <f>IF(ALK1&lt;&gt;0, SUMIFS(Detail!$L:$L,Detail!$G:$G,'Rates-Service Fees'!ALK$23,Detail!$H:$H,"State"), 0)</f>
        <v>0</v>
      </c>
      <c r="ALL58" s="11">
        <f>IF(ALL1&lt;&gt;0, SUMIFS(Detail!$L:$L,Detail!$G:$G,'Rates-Service Fees'!ALL$23,Detail!$H:$H,"State"), 0)</f>
        <v>0</v>
      </c>
      <c r="ALM58" s="11">
        <f>IF(ALM1&lt;&gt;0, SUMIFS(Detail!$L:$L,Detail!$G:$G,'Rates-Service Fees'!ALM$23,Detail!$H:$H,"State"), 0)</f>
        <v>0</v>
      </c>
    </row>
    <row r="59" spans="1:1001" s="3" customFormat="1">
      <c r="A59" s="5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/>
      <c r="UO59" s="2"/>
      <c r="UP59" s="2"/>
      <c r="UQ59" s="2"/>
      <c r="UR59" s="2"/>
      <c r="US59" s="2"/>
      <c r="UT59" s="2"/>
      <c r="UU59" s="2"/>
      <c r="UV59" s="2"/>
      <c r="UW59" s="2"/>
      <c r="UX59" s="2"/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/>
      <c r="WP59" s="2"/>
      <c r="WQ59" s="2"/>
      <c r="WR59" s="2"/>
      <c r="WS59" s="2"/>
      <c r="WT59" s="2"/>
      <c r="WU59" s="2"/>
      <c r="WV59" s="2"/>
      <c r="WW59" s="2"/>
      <c r="WX59" s="2"/>
      <c r="WY59" s="2"/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/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  <c r="AAA59" s="2"/>
      <c r="AAB59" s="2"/>
      <c r="AAC59" s="2"/>
      <c r="AAD59" s="2"/>
      <c r="AAE59" s="2"/>
      <c r="AAF59" s="2"/>
      <c r="AAG59" s="2"/>
      <c r="AAH59" s="2"/>
      <c r="AAI59" s="2"/>
      <c r="AAJ59" s="2"/>
      <c r="AAK59" s="2"/>
      <c r="AAL59" s="2"/>
      <c r="AAM59" s="2"/>
      <c r="AAN59" s="2"/>
      <c r="AAO59" s="2"/>
      <c r="AAP59" s="2"/>
      <c r="AAQ59" s="2"/>
      <c r="AAR59" s="2"/>
      <c r="AAS59" s="2"/>
      <c r="AAT59" s="2"/>
      <c r="AAU59" s="2"/>
      <c r="AAV59" s="2"/>
      <c r="AAW59" s="2"/>
      <c r="AAX59" s="2"/>
      <c r="AAY59" s="2"/>
      <c r="AAZ59" s="2"/>
      <c r="ABA59" s="2"/>
      <c r="ABB59" s="2"/>
      <c r="ABC59" s="2"/>
      <c r="ABD59" s="2"/>
      <c r="ABE59" s="2"/>
      <c r="ABF59" s="2"/>
      <c r="ABG59" s="2"/>
      <c r="ABH59" s="2"/>
      <c r="ABI59" s="2"/>
      <c r="ABJ59" s="2"/>
      <c r="ABK59" s="2"/>
      <c r="ABL59" s="2"/>
      <c r="ABM59" s="2"/>
      <c r="ABN59" s="2"/>
      <c r="ABO59" s="2"/>
      <c r="ABP59" s="2"/>
      <c r="ABQ59" s="2"/>
      <c r="ABR59" s="2"/>
      <c r="ABS59" s="2"/>
      <c r="ABT59" s="2"/>
      <c r="ABU59" s="2"/>
      <c r="ABV59" s="2"/>
      <c r="ABW59" s="2"/>
      <c r="ABX59" s="2"/>
      <c r="ABY59" s="2"/>
      <c r="ABZ59" s="2"/>
      <c r="ACA59" s="2"/>
      <c r="ACB59" s="2"/>
      <c r="ACC59" s="2"/>
      <c r="ACD59" s="2"/>
      <c r="ACE59" s="2"/>
      <c r="ACF59" s="2"/>
      <c r="ACG59" s="2"/>
      <c r="ACH59" s="2"/>
      <c r="ACI59" s="2"/>
      <c r="ACJ59" s="2"/>
      <c r="ACK59" s="2"/>
      <c r="ACL59" s="2"/>
      <c r="ACM59" s="2"/>
      <c r="ACN59" s="2"/>
      <c r="ACO59" s="2"/>
      <c r="ACP59" s="2"/>
      <c r="ACQ59" s="2"/>
      <c r="ACR59" s="2"/>
      <c r="ACS59" s="2"/>
      <c r="ACT59" s="2"/>
      <c r="ACU59" s="2"/>
      <c r="ACV59" s="2"/>
      <c r="ACW59" s="2"/>
      <c r="ACX59" s="2"/>
      <c r="ACY59" s="2"/>
      <c r="ACZ59" s="2"/>
      <c r="ADA59" s="2"/>
      <c r="ADB59" s="2"/>
      <c r="ADC59" s="2"/>
      <c r="ADD59" s="2"/>
      <c r="ADE59" s="2"/>
      <c r="ADF59" s="2"/>
      <c r="ADG59" s="2"/>
      <c r="ADH59" s="2"/>
      <c r="ADI59" s="2"/>
      <c r="ADJ59" s="2"/>
      <c r="ADK59" s="2"/>
      <c r="ADL59" s="2"/>
      <c r="ADM59" s="2"/>
      <c r="ADN59" s="2"/>
      <c r="ADO59" s="2"/>
      <c r="ADP59" s="2"/>
      <c r="ADQ59" s="2"/>
      <c r="ADR59" s="2"/>
      <c r="ADS59" s="2"/>
      <c r="ADT59" s="2"/>
      <c r="ADU59" s="2"/>
      <c r="ADV59" s="2"/>
      <c r="ADW59" s="2"/>
      <c r="ADX59" s="2"/>
      <c r="ADY59" s="2"/>
      <c r="ADZ59" s="2"/>
      <c r="AEA59" s="2"/>
      <c r="AEB59" s="2"/>
      <c r="AEC59" s="2"/>
      <c r="AED59" s="2"/>
      <c r="AEE59" s="2"/>
      <c r="AEF59" s="2"/>
      <c r="AEG59" s="2"/>
      <c r="AEH59" s="2"/>
      <c r="AEI59" s="2"/>
      <c r="AEJ59" s="2"/>
      <c r="AEK59" s="2"/>
      <c r="AEL59" s="2"/>
      <c r="AEM59" s="2"/>
      <c r="AEN59" s="2"/>
      <c r="AEO59" s="2"/>
      <c r="AEP59" s="2"/>
      <c r="AEQ59" s="2"/>
      <c r="AER59" s="2"/>
      <c r="AES59" s="2"/>
      <c r="AET59" s="2"/>
      <c r="AEU59" s="2"/>
      <c r="AEV59" s="2"/>
      <c r="AEW59" s="2"/>
      <c r="AEX59" s="2"/>
      <c r="AEY59" s="2"/>
      <c r="AEZ59" s="2"/>
      <c r="AFA59" s="2"/>
      <c r="AFB59" s="2"/>
      <c r="AFC59" s="2"/>
      <c r="AFD59" s="2"/>
      <c r="AFE59" s="2"/>
      <c r="AFF59" s="2"/>
      <c r="AFG59" s="2"/>
      <c r="AFH59" s="2"/>
      <c r="AFI59" s="2"/>
      <c r="AFJ59" s="2"/>
      <c r="AFK59" s="2"/>
      <c r="AFL59" s="2"/>
      <c r="AFM59" s="2"/>
      <c r="AFN59" s="2"/>
      <c r="AFO59" s="2"/>
      <c r="AFP59" s="2"/>
      <c r="AFQ59" s="2"/>
      <c r="AFR59" s="2"/>
      <c r="AFS59" s="2"/>
      <c r="AFT59" s="2"/>
      <c r="AFU59" s="2"/>
      <c r="AFV59" s="2"/>
      <c r="AFW59" s="2"/>
      <c r="AFX59" s="2"/>
      <c r="AFY59" s="2"/>
      <c r="AFZ59" s="2"/>
      <c r="AGA59" s="2"/>
      <c r="AGB59" s="2"/>
      <c r="AGC59" s="2"/>
      <c r="AGD59" s="2"/>
      <c r="AGE59" s="2"/>
      <c r="AGF59" s="2"/>
      <c r="AGG59" s="2"/>
      <c r="AGH59" s="2"/>
      <c r="AGI59" s="2"/>
      <c r="AGJ59" s="2"/>
      <c r="AGK59" s="2"/>
      <c r="AGL59" s="2"/>
      <c r="AGM59" s="2"/>
      <c r="AGN59" s="2"/>
      <c r="AGO59" s="2"/>
      <c r="AGP59" s="2"/>
      <c r="AGQ59" s="2"/>
      <c r="AGR59" s="2"/>
      <c r="AGS59" s="2"/>
      <c r="AGT59" s="2"/>
      <c r="AGU59" s="2"/>
      <c r="AGV59" s="2"/>
      <c r="AGW59" s="2"/>
      <c r="AGX59" s="2"/>
      <c r="AGY59" s="2"/>
      <c r="AGZ59" s="2"/>
      <c r="AHA59" s="2"/>
      <c r="AHB59" s="2"/>
      <c r="AHC59" s="2"/>
      <c r="AHD59" s="2"/>
      <c r="AHE59" s="2"/>
      <c r="AHF59" s="2"/>
      <c r="AHG59" s="2"/>
      <c r="AHH59" s="2"/>
      <c r="AHI59" s="2"/>
      <c r="AHJ59" s="2"/>
      <c r="AHK59" s="2"/>
      <c r="AHL59" s="2"/>
      <c r="AHM59" s="2"/>
      <c r="AHN59" s="2"/>
      <c r="AHO59" s="2"/>
      <c r="AHP59" s="2"/>
      <c r="AHQ59" s="2"/>
      <c r="AHR59" s="2"/>
      <c r="AHS59" s="2"/>
      <c r="AHT59" s="2"/>
      <c r="AHU59" s="2"/>
      <c r="AHV59" s="2"/>
      <c r="AHW59" s="2"/>
      <c r="AHX59" s="2"/>
      <c r="AHY59" s="2"/>
      <c r="AHZ59" s="2"/>
      <c r="AIA59" s="2"/>
      <c r="AIB59" s="2"/>
      <c r="AIC59" s="2"/>
      <c r="AID59" s="2"/>
      <c r="AIE59" s="2"/>
      <c r="AIF59" s="2"/>
      <c r="AIG59" s="2"/>
      <c r="AIH59" s="2"/>
      <c r="AII59" s="2"/>
      <c r="AIJ59" s="2"/>
      <c r="AIK59" s="2"/>
      <c r="AIL59" s="2"/>
      <c r="AIM59" s="2"/>
      <c r="AIN59" s="2"/>
      <c r="AIO59" s="2"/>
      <c r="AIP59" s="2"/>
      <c r="AIQ59" s="2"/>
      <c r="AIR59" s="2"/>
      <c r="AIS59" s="2"/>
      <c r="AIT59" s="2"/>
      <c r="AIU59" s="2"/>
      <c r="AIV59" s="2"/>
      <c r="AIW59" s="2"/>
      <c r="AIX59" s="2"/>
      <c r="AIY59" s="2"/>
      <c r="AIZ59" s="2"/>
      <c r="AJA59" s="2"/>
      <c r="AJB59" s="2"/>
      <c r="AJC59" s="2"/>
      <c r="AJD59" s="2"/>
      <c r="AJE59" s="2"/>
      <c r="AJF59" s="2"/>
      <c r="AJG59" s="2"/>
      <c r="AJH59" s="2"/>
      <c r="AJI59" s="2"/>
      <c r="AJJ59" s="2"/>
      <c r="AJK59" s="2"/>
      <c r="AJL59" s="2"/>
      <c r="AJM59" s="2"/>
      <c r="AJN59" s="2"/>
      <c r="AJO59" s="2"/>
      <c r="AJP59" s="2"/>
      <c r="AJQ59" s="2"/>
      <c r="AJR59" s="2"/>
      <c r="AJS59" s="2"/>
      <c r="AJT59" s="2"/>
      <c r="AJU59" s="2"/>
      <c r="AJV59" s="2"/>
      <c r="AJW59" s="2"/>
      <c r="AJX59" s="2"/>
      <c r="AJY59" s="2"/>
      <c r="AJZ59" s="2"/>
      <c r="AKA59" s="2"/>
      <c r="AKB59" s="2"/>
      <c r="AKC59" s="2"/>
      <c r="AKD59" s="2"/>
      <c r="AKE59" s="2"/>
      <c r="AKF59" s="2"/>
      <c r="AKG59" s="2"/>
      <c r="AKH59" s="2"/>
      <c r="AKI59" s="2"/>
      <c r="AKJ59" s="2"/>
      <c r="AKK59" s="2"/>
      <c r="AKL59" s="2"/>
      <c r="AKM59" s="2"/>
      <c r="AKN59" s="2"/>
      <c r="AKO59" s="2"/>
      <c r="AKP59" s="2"/>
      <c r="AKQ59" s="2"/>
      <c r="AKR59" s="2"/>
      <c r="AKS59" s="2"/>
      <c r="AKT59" s="2"/>
      <c r="AKU59" s="2"/>
      <c r="AKV59" s="2"/>
      <c r="AKW59" s="2"/>
      <c r="AKX59" s="2"/>
      <c r="AKY59" s="2"/>
      <c r="AKZ59" s="2"/>
      <c r="ALA59" s="2"/>
      <c r="ALB59" s="2"/>
      <c r="ALC59" s="2"/>
      <c r="ALD59" s="2"/>
      <c r="ALE59" s="2"/>
      <c r="ALF59" s="2"/>
      <c r="ALG59" s="2"/>
      <c r="ALH59" s="2"/>
      <c r="ALI59" s="2"/>
      <c r="ALJ59" s="2"/>
      <c r="ALK59" s="2"/>
      <c r="ALL59" s="2"/>
      <c r="ALM59" s="2"/>
    </row>
    <row r="60" spans="1:1001" s="3" customFormat="1">
      <c r="A60" s="4" t="s">
        <v>4</v>
      </c>
      <c r="B60">
        <f>IF(B1&lt;&gt;0,(COUNTIF(B9,"&lt;&gt;0")+COUNTIF(B12,"&lt;&gt;0")+COUNTIF(B15,"&lt;&gt;0")+COUNTIF(B18,"&lt;&gt;0")+COUNTIF(B21,"&lt;&gt;0"))   -   COUNTIF(Detail!$G:$G,'Rates-Service Fees'!B$23), 0)</f>
        <v>0</v>
      </c>
      <c r="C60">
        <f>IF(C1&lt;&gt;0,(COUNTIF(C9,"&lt;&gt;0")+COUNTIF(C12,"&lt;&gt;0")+COUNTIF(C15,"&lt;&gt;0")+COUNTIF(C18,"&lt;&gt;0")+COUNTIF(C21,"&lt;&gt;0"))   -   COUNTIF(Detail!$G:$G,'Rates-Service Fees'!C$23), 0)</f>
        <v>0</v>
      </c>
      <c r="D60">
        <f>IF(D1&lt;&gt;0,(COUNTIF(D9,"&lt;&gt;0")+COUNTIF(D12,"&lt;&gt;0")+COUNTIF(D15,"&lt;&gt;0")+COUNTIF(D18,"&lt;&gt;0")+COUNTIF(D21,"&lt;&gt;0"))   -   COUNTIF(Detail!$G:$G,'Rates-Service Fees'!D$23), 0)</f>
        <v>0</v>
      </c>
      <c r="E60">
        <f>IF(E1&lt;&gt;0,(COUNTIF(E9,"&lt;&gt;0")+COUNTIF(E12,"&lt;&gt;0")+COUNTIF(E15,"&lt;&gt;0")+COUNTIF(E18,"&lt;&gt;0")+COUNTIF(E21,"&lt;&gt;0"))   -   COUNTIF(Detail!$G:$G,'Rates-Service Fees'!E$23), 0)</f>
        <v>0</v>
      </c>
      <c r="F60">
        <f>IF(F1&lt;&gt;0,(COUNTIF(F9,"&lt;&gt;0")+COUNTIF(F12,"&lt;&gt;0")+COUNTIF(F15,"&lt;&gt;0")+COUNTIF(F18,"&lt;&gt;0")+COUNTIF(F21,"&lt;&gt;0"))   -   COUNTIF(Detail!$G:$G,'Rates-Service Fees'!F$23), 0)</f>
        <v>0</v>
      </c>
      <c r="G60">
        <f>IF(G1&lt;&gt;0,(COUNTIF(G9,"&lt;&gt;0")+COUNTIF(G12,"&lt;&gt;0")+COUNTIF(G15,"&lt;&gt;0")+COUNTIF(G18,"&lt;&gt;0")+COUNTIF(G21,"&lt;&gt;0"))   -   COUNTIF(Detail!$G:$G,'Rates-Service Fees'!G$23), 0)</f>
        <v>0</v>
      </c>
      <c r="H60">
        <f>IF(H1&lt;&gt;0,(COUNTIF(H9,"&lt;&gt;0")+COUNTIF(H12,"&lt;&gt;0")+COUNTIF(H15,"&lt;&gt;0")+COUNTIF(H18,"&lt;&gt;0")+COUNTIF(H21,"&lt;&gt;0"))   -   COUNTIF(Detail!$G:$G,'Rates-Service Fees'!H$23), 0)</f>
        <v>0</v>
      </c>
      <c r="I60">
        <f>IF(I1&lt;&gt;0,(COUNTIF(I9,"&lt;&gt;0")+COUNTIF(I12,"&lt;&gt;0")+COUNTIF(I15,"&lt;&gt;0")+COUNTIF(I18,"&lt;&gt;0")+COUNTIF(I21,"&lt;&gt;0"))   -   COUNTIF(Detail!$G:$G,'Rates-Service Fees'!I$23), 0)</f>
        <v>0</v>
      </c>
      <c r="J60">
        <f>IF(J1&lt;&gt;0,(COUNTIF(J9,"&lt;&gt;0")+COUNTIF(J12,"&lt;&gt;0")+COUNTIF(J15,"&lt;&gt;0")+COUNTIF(J18,"&lt;&gt;0")+COUNTIF(J21,"&lt;&gt;0"))   -   COUNTIF(Detail!$G:$G,'Rates-Service Fees'!J$23), 0)</f>
        <v>0</v>
      </c>
      <c r="K60">
        <f>IF(K1&lt;&gt;0,(COUNTIF(K9,"&lt;&gt;0")+COUNTIF(K12,"&lt;&gt;0")+COUNTIF(K15,"&lt;&gt;0")+COUNTIF(K18,"&lt;&gt;0")+COUNTIF(K21,"&lt;&gt;0"))   -   COUNTIF(Detail!$G:$G,'Rates-Service Fees'!K$23), 0)</f>
        <v>0</v>
      </c>
      <c r="L60">
        <f>IF(L1&lt;&gt;0,(COUNTIF(L9,"&lt;&gt;0")+COUNTIF(L12,"&lt;&gt;0")+COUNTIF(L15,"&lt;&gt;0")+COUNTIF(L18,"&lt;&gt;0")+COUNTIF(L21,"&lt;&gt;0"))   -   COUNTIF(Detail!$G:$G,'Rates-Service Fees'!L$23), 0)</f>
        <v>0</v>
      </c>
      <c r="M60">
        <f>IF(M1&lt;&gt;0,(COUNTIF(M9,"&lt;&gt;0")+COUNTIF(M12,"&lt;&gt;0")+COUNTIF(M15,"&lt;&gt;0")+COUNTIF(M18,"&lt;&gt;0")+COUNTIF(M21,"&lt;&gt;0"))   -   COUNTIF(Detail!$G:$G,'Rates-Service Fees'!M$23), 0)</f>
        <v>0</v>
      </c>
      <c r="N60">
        <f>IF(N1&lt;&gt;0,(COUNTIF(N9,"&lt;&gt;0")+COUNTIF(N12,"&lt;&gt;0")+COUNTIF(N15,"&lt;&gt;0")+COUNTIF(N18,"&lt;&gt;0")+COUNTIF(N21,"&lt;&gt;0"))   -   COUNTIF(Detail!$G:$G,'Rates-Service Fees'!N$23), 0)</f>
        <v>0</v>
      </c>
      <c r="O60">
        <f>IF(O1&lt;&gt;0,(COUNTIF(O9,"&lt;&gt;0")+COUNTIF(O12,"&lt;&gt;0")+COUNTIF(O15,"&lt;&gt;0")+COUNTIF(O18,"&lt;&gt;0")+COUNTIF(O21,"&lt;&gt;0"))   -   COUNTIF(Detail!$G:$G,'Rates-Service Fees'!O$23), 0)</f>
        <v>0</v>
      </c>
      <c r="P60">
        <f>IF(P1&lt;&gt;0,(COUNTIF(P9,"&lt;&gt;0")+COUNTIF(P12,"&lt;&gt;0")+COUNTIF(P15,"&lt;&gt;0")+COUNTIF(P18,"&lt;&gt;0")+COUNTIF(P21,"&lt;&gt;0"))   -   COUNTIF(Detail!$G:$G,'Rates-Service Fees'!P$23), 0)</f>
        <v>0</v>
      </c>
      <c r="Q60">
        <f>IF(Q1&lt;&gt;0,(COUNTIF(Q9,"&lt;&gt;0")+COUNTIF(Q12,"&lt;&gt;0")+COUNTIF(Q15,"&lt;&gt;0")+COUNTIF(Q18,"&lt;&gt;0")+COUNTIF(Q21,"&lt;&gt;0"))   -   COUNTIF(Detail!$G:$G,'Rates-Service Fees'!Q$23), 0)</f>
        <v>0</v>
      </c>
      <c r="R60">
        <f>IF(R1&lt;&gt;0,(COUNTIF(R9,"&lt;&gt;0")+COUNTIF(R12,"&lt;&gt;0")+COUNTIF(R15,"&lt;&gt;0")+COUNTIF(R18,"&lt;&gt;0")+COUNTIF(R21,"&lt;&gt;0"))   -   COUNTIF(Detail!$G:$G,'Rates-Service Fees'!R$23), 0)</f>
        <v>0</v>
      </c>
      <c r="S60">
        <f>IF(S1&lt;&gt;0,(COUNTIF(S9,"&lt;&gt;0")+COUNTIF(S12,"&lt;&gt;0")+COUNTIF(S15,"&lt;&gt;0")+COUNTIF(S18,"&lt;&gt;0")+COUNTIF(S21,"&lt;&gt;0"))   -   COUNTIF(Detail!$G:$G,'Rates-Service Fees'!S$23), 0)</f>
        <v>0</v>
      </c>
      <c r="T60">
        <f>IF(T1&lt;&gt;0,(COUNTIF(T9,"&lt;&gt;0")+COUNTIF(T12,"&lt;&gt;0")+COUNTIF(T15,"&lt;&gt;0")+COUNTIF(T18,"&lt;&gt;0")+COUNTIF(T21,"&lt;&gt;0"))   -   COUNTIF(Detail!$G:$G,'Rates-Service Fees'!T$23), 0)</f>
        <v>0</v>
      </c>
      <c r="U60">
        <f>IF(U1&lt;&gt;0,(COUNTIF(U9,"&lt;&gt;0")+COUNTIF(U12,"&lt;&gt;0")+COUNTIF(U15,"&lt;&gt;0")+COUNTIF(U18,"&lt;&gt;0")+COUNTIF(U21,"&lt;&gt;0"))   -   COUNTIF(Detail!$G:$G,'Rates-Service Fees'!U$23), 0)</f>
        <v>0</v>
      </c>
      <c r="V60">
        <f>IF(V1&lt;&gt;0,(COUNTIF(V9,"&lt;&gt;0")+COUNTIF(V12,"&lt;&gt;0")+COUNTIF(V15,"&lt;&gt;0")+COUNTIF(V18,"&lt;&gt;0")+COUNTIF(V21,"&lt;&gt;0"))   -   COUNTIF(Detail!$G:$G,'Rates-Service Fees'!V$23), 0)</f>
        <v>0</v>
      </c>
      <c r="W60">
        <f>IF(W1&lt;&gt;0,(COUNTIF(W9,"&lt;&gt;0")+COUNTIF(W12,"&lt;&gt;0")+COUNTIF(W15,"&lt;&gt;0")+COUNTIF(W18,"&lt;&gt;0")+COUNTIF(W21,"&lt;&gt;0"))   -   COUNTIF(Detail!$G:$G,'Rates-Service Fees'!W$23), 0)</f>
        <v>0</v>
      </c>
      <c r="X60">
        <f>IF(X1&lt;&gt;0,(COUNTIF(X9,"&lt;&gt;0")+COUNTIF(X12,"&lt;&gt;0")+COUNTIF(X15,"&lt;&gt;0")+COUNTIF(X18,"&lt;&gt;0")+COUNTIF(X21,"&lt;&gt;0"))   -   COUNTIF(Detail!$G:$G,'Rates-Service Fees'!X$23), 0)</f>
        <v>0</v>
      </c>
      <c r="Y60">
        <f>IF(Y1&lt;&gt;0,(COUNTIF(Y9,"&lt;&gt;0")+COUNTIF(Y12,"&lt;&gt;0")+COUNTIF(Y15,"&lt;&gt;0")+COUNTIF(Y18,"&lt;&gt;0")+COUNTIF(Y21,"&lt;&gt;0"))   -   COUNTIF(Detail!$G:$G,'Rates-Service Fees'!Y$23), 0)</f>
        <v>0</v>
      </c>
      <c r="Z60">
        <f>IF(Z1&lt;&gt;0,(COUNTIF(Z9,"&lt;&gt;0")+COUNTIF(Z12,"&lt;&gt;0")+COUNTIF(Z15,"&lt;&gt;0")+COUNTIF(Z18,"&lt;&gt;0")+COUNTIF(Z21,"&lt;&gt;0"))   -   COUNTIF(Detail!$G:$G,'Rates-Service Fees'!Z$23), 0)</f>
        <v>0</v>
      </c>
      <c r="AA60">
        <f>IF(AA1&lt;&gt;0,(COUNTIF(AA9,"&lt;&gt;0")+COUNTIF(AA12,"&lt;&gt;0")+COUNTIF(AA15,"&lt;&gt;0")+COUNTIF(AA18,"&lt;&gt;0")+COUNTIF(AA21,"&lt;&gt;0"))   -   COUNTIF(Detail!$G:$G,'Rates-Service Fees'!AA$23), 0)</f>
        <v>0</v>
      </c>
      <c r="AB60">
        <f>IF(AB1&lt;&gt;0,(COUNTIF(AB9,"&lt;&gt;0")+COUNTIF(AB12,"&lt;&gt;0")+COUNTIF(AB15,"&lt;&gt;0")+COUNTIF(AB18,"&lt;&gt;0")+COUNTIF(AB21,"&lt;&gt;0"))   -   COUNTIF(Detail!$G:$G,'Rates-Service Fees'!AB$23), 0)</f>
        <v>0</v>
      </c>
      <c r="AC60">
        <f>IF(AC1&lt;&gt;0,(COUNTIF(AC9,"&lt;&gt;0")+COUNTIF(AC12,"&lt;&gt;0")+COUNTIF(AC15,"&lt;&gt;0")+COUNTIF(AC18,"&lt;&gt;0")+COUNTIF(AC21,"&lt;&gt;0"))   -   COUNTIF(Detail!$G:$G,'Rates-Service Fees'!AC$23), 0)</f>
        <v>0</v>
      </c>
      <c r="AD60">
        <f>IF(AD1&lt;&gt;0,(COUNTIF(AD9,"&lt;&gt;0")+COUNTIF(AD12,"&lt;&gt;0")+COUNTIF(AD15,"&lt;&gt;0")+COUNTIF(AD18,"&lt;&gt;0")+COUNTIF(AD21,"&lt;&gt;0"))   -   COUNTIF(Detail!$G:$G,'Rates-Service Fees'!AD$23), 0)</f>
        <v>0</v>
      </c>
      <c r="AE60">
        <f>IF(AE1&lt;&gt;0,(COUNTIF(AE9,"&lt;&gt;0")+COUNTIF(AE12,"&lt;&gt;0")+COUNTIF(AE15,"&lt;&gt;0")+COUNTIF(AE18,"&lt;&gt;0")+COUNTIF(AE21,"&lt;&gt;0"))   -   COUNTIF(Detail!$G:$G,'Rates-Service Fees'!AE$23), 0)</f>
        <v>0</v>
      </c>
      <c r="AF60">
        <f>IF(AF1&lt;&gt;0,(COUNTIF(AF9,"&lt;&gt;0")+COUNTIF(AF12,"&lt;&gt;0")+COUNTIF(AF15,"&lt;&gt;0")+COUNTIF(AF18,"&lt;&gt;0")+COUNTIF(AF21,"&lt;&gt;0"))   -   COUNTIF(Detail!$G:$G,'Rates-Service Fees'!AF$23), 0)</f>
        <v>0</v>
      </c>
      <c r="AG60">
        <f>IF(AG1&lt;&gt;0,(COUNTIF(AG9,"&lt;&gt;0")+COUNTIF(AG12,"&lt;&gt;0")+COUNTIF(AG15,"&lt;&gt;0")+COUNTIF(AG18,"&lt;&gt;0")+COUNTIF(AG21,"&lt;&gt;0"))   -   COUNTIF(Detail!$G:$G,'Rates-Service Fees'!AG$23), 0)</f>
        <v>0</v>
      </c>
      <c r="AH60">
        <f>IF(AH1&lt;&gt;0,(COUNTIF(AH9,"&lt;&gt;0")+COUNTIF(AH12,"&lt;&gt;0")+COUNTIF(AH15,"&lt;&gt;0")+COUNTIF(AH18,"&lt;&gt;0")+COUNTIF(AH21,"&lt;&gt;0"))   -   COUNTIF(Detail!$G:$G,'Rates-Service Fees'!AH$23), 0)</f>
        <v>0</v>
      </c>
      <c r="AI60">
        <f>IF(AI1&lt;&gt;0,(COUNTIF(AI9,"&lt;&gt;0")+COUNTIF(AI12,"&lt;&gt;0")+COUNTIF(AI15,"&lt;&gt;0")+COUNTIF(AI18,"&lt;&gt;0")+COUNTIF(AI21,"&lt;&gt;0"))   -   COUNTIF(Detail!$G:$G,'Rates-Service Fees'!AI$23), 0)</f>
        <v>0</v>
      </c>
      <c r="AJ60">
        <f>IF(AJ1&lt;&gt;0,(COUNTIF(AJ9,"&lt;&gt;0")+COUNTIF(AJ12,"&lt;&gt;0")+COUNTIF(AJ15,"&lt;&gt;0")+COUNTIF(AJ18,"&lt;&gt;0")+COUNTIF(AJ21,"&lt;&gt;0"))   -   COUNTIF(Detail!$G:$G,'Rates-Service Fees'!AJ$23), 0)</f>
        <v>0</v>
      </c>
      <c r="AK60">
        <f>IF(AK1&lt;&gt;0,(COUNTIF(AK9,"&lt;&gt;0")+COUNTIF(AK12,"&lt;&gt;0")+COUNTIF(AK15,"&lt;&gt;0")+COUNTIF(AK18,"&lt;&gt;0")+COUNTIF(AK21,"&lt;&gt;0"))   -   COUNTIF(Detail!$G:$G,'Rates-Service Fees'!AK$23), 0)</f>
        <v>0</v>
      </c>
      <c r="AL60">
        <f>IF(AL1&lt;&gt;0,(COUNTIF(AL9,"&lt;&gt;0")+COUNTIF(AL12,"&lt;&gt;0")+COUNTIF(AL15,"&lt;&gt;0")+COUNTIF(AL18,"&lt;&gt;0")+COUNTIF(AL21,"&lt;&gt;0"))   -   COUNTIF(Detail!$G:$G,'Rates-Service Fees'!AL$23), 0)</f>
        <v>0</v>
      </c>
      <c r="AM60">
        <f>IF(AM1&lt;&gt;0,(COUNTIF(AM9,"&lt;&gt;0")+COUNTIF(AM12,"&lt;&gt;0")+COUNTIF(AM15,"&lt;&gt;0")+COUNTIF(AM18,"&lt;&gt;0")+COUNTIF(AM21,"&lt;&gt;0"))   -   COUNTIF(Detail!$G:$G,'Rates-Service Fees'!AM$23), 0)</f>
        <v>0</v>
      </c>
      <c r="AN60">
        <f>IF(AN1&lt;&gt;0,(COUNTIF(AN9,"&lt;&gt;0")+COUNTIF(AN12,"&lt;&gt;0")+COUNTIF(AN15,"&lt;&gt;0")+COUNTIF(AN18,"&lt;&gt;0")+COUNTIF(AN21,"&lt;&gt;0"))   -   COUNTIF(Detail!$G:$G,'Rates-Service Fees'!AN$23), 0)</f>
        <v>0</v>
      </c>
      <c r="AO60">
        <f>IF(AO1&lt;&gt;0,(COUNTIF(AO9,"&lt;&gt;0")+COUNTIF(AO12,"&lt;&gt;0")+COUNTIF(AO15,"&lt;&gt;0")+COUNTIF(AO18,"&lt;&gt;0")+COUNTIF(AO21,"&lt;&gt;0"))   -   COUNTIF(Detail!$G:$G,'Rates-Service Fees'!AO$23), 0)</f>
        <v>0</v>
      </c>
      <c r="AP60">
        <f>IF(AP1&lt;&gt;0,(COUNTIF(AP9,"&lt;&gt;0")+COUNTIF(AP12,"&lt;&gt;0")+COUNTIF(AP15,"&lt;&gt;0")+COUNTIF(AP18,"&lt;&gt;0")+COUNTIF(AP21,"&lt;&gt;0"))   -   COUNTIF(Detail!$G:$G,'Rates-Service Fees'!AP$23), 0)</f>
        <v>0</v>
      </c>
      <c r="AQ60">
        <f>IF(AQ1&lt;&gt;0,(COUNTIF(AQ9,"&lt;&gt;0")+COUNTIF(AQ12,"&lt;&gt;0")+COUNTIF(AQ15,"&lt;&gt;0")+COUNTIF(AQ18,"&lt;&gt;0")+COUNTIF(AQ21,"&lt;&gt;0"))   -   COUNTIF(Detail!$G:$G,'Rates-Service Fees'!AQ$23), 0)</f>
        <v>0</v>
      </c>
      <c r="AR60">
        <f>IF(AR1&lt;&gt;0,(COUNTIF(AR9,"&lt;&gt;0")+COUNTIF(AR12,"&lt;&gt;0")+COUNTIF(AR15,"&lt;&gt;0")+COUNTIF(AR18,"&lt;&gt;0")+COUNTIF(AR21,"&lt;&gt;0"))   -   COUNTIF(Detail!$G:$G,'Rates-Service Fees'!AR$23), 0)</f>
        <v>0</v>
      </c>
      <c r="AS60">
        <f>IF(AS1&lt;&gt;0,(COUNTIF(AS9,"&lt;&gt;0")+COUNTIF(AS12,"&lt;&gt;0")+COUNTIF(AS15,"&lt;&gt;0")+COUNTIF(AS18,"&lt;&gt;0")+COUNTIF(AS21,"&lt;&gt;0"))   -   COUNTIF(Detail!$G:$G,'Rates-Service Fees'!AS$23), 0)</f>
        <v>0</v>
      </c>
      <c r="AT60">
        <f>IF(AT1&lt;&gt;0,(COUNTIF(AT9,"&lt;&gt;0")+COUNTIF(AT12,"&lt;&gt;0")+COUNTIF(AT15,"&lt;&gt;0")+COUNTIF(AT18,"&lt;&gt;0")+COUNTIF(AT21,"&lt;&gt;0"))   -   COUNTIF(Detail!$G:$G,'Rates-Service Fees'!AT$23), 0)</f>
        <v>0</v>
      </c>
      <c r="AU60">
        <f>IF(AU1&lt;&gt;0,(COUNTIF(AU9,"&lt;&gt;0")+COUNTIF(AU12,"&lt;&gt;0")+COUNTIF(AU15,"&lt;&gt;0")+COUNTIF(AU18,"&lt;&gt;0")+COUNTIF(AU21,"&lt;&gt;0"))   -   COUNTIF(Detail!$G:$G,'Rates-Service Fees'!AU$23), 0)</f>
        <v>0</v>
      </c>
      <c r="AV60">
        <f>IF(AV1&lt;&gt;0,(COUNTIF(AV9,"&lt;&gt;0")+COUNTIF(AV12,"&lt;&gt;0")+COUNTIF(AV15,"&lt;&gt;0")+COUNTIF(AV18,"&lt;&gt;0")+COUNTIF(AV21,"&lt;&gt;0"))   -   COUNTIF(Detail!$G:$G,'Rates-Service Fees'!AV$23), 0)</f>
        <v>0</v>
      </c>
      <c r="AW60">
        <f>IF(AW1&lt;&gt;0,(COUNTIF(AW9,"&lt;&gt;0")+COUNTIF(AW12,"&lt;&gt;0")+COUNTIF(AW15,"&lt;&gt;0")+COUNTIF(AW18,"&lt;&gt;0")+COUNTIF(AW21,"&lt;&gt;0"))   -   COUNTIF(Detail!$G:$G,'Rates-Service Fees'!AW$23), 0)</f>
        <v>0</v>
      </c>
      <c r="AX60">
        <f>IF(AX1&lt;&gt;0,(COUNTIF(AX9,"&lt;&gt;0")+COUNTIF(AX12,"&lt;&gt;0")+COUNTIF(AX15,"&lt;&gt;0")+COUNTIF(AX18,"&lt;&gt;0")+COUNTIF(AX21,"&lt;&gt;0"))   -   COUNTIF(Detail!$G:$G,'Rates-Service Fees'!AX$23), 0)</f>
        <v>0</v>
      </c>
      <c r="AY60">
        <f>IF(AY1&lt;&gt;0,(COUNTIF(AY9,"&lt;&gt;0")+COUNTIF(AY12,"&lt;&gt;0")+COUNTIF(AY15,"&lt;&gt;0")+COUNTIF(AY18,"&lt;&gt;0")+COUNTIF(AY21,"&lt;&gt;0"))   -   COUNTIF(Detail!$G:$G,'Rates-Service Fees'!AY$23), 0)</f>
        <v>0</v>
      </c>
      <c r="AZ60">
        <f>IF(AZ1&lt;&gt;0,(COUNTIF(AZ9,"&lt;&gt;0")+COUNTIF(AZ12,"&lt;&gt;0")+COUNTIF(AZ15,"&lt;&gt;0")+COUNTIF(AZ18,"&lt;&gt;0")+COUNTIF(AZ21,"&lt;&gt;0"))   -   COUNTIF(Detail!$G:$G,'Rates-Service Fees'!AZ$23), 0)</f>
        <v>0</v>
      </c>
      <c r="BA60">
        <f>IF(BA1&lt;&gt;0,(COUNTIF(BA9,"&lt;&gt;0")+COUNTIF(BA12,"&lt;&gt;0")+COUNTIF(BA15,"&lt;&gt;0")+COUNTIF(BA18,"&lt;&gt;0")+COUNTIF(BA21,"&lt;&gt;0"))   -   COUNTIF(Detail!$G:$G,'Rates-Service Fees'!BA$23), 0)</f>
        <v>0</v>
      </c>
      <c r="BB60">
        <f>IF(BB1&lt;&gt;0,(COUNTIF(BB9,"&lt;&gt;0")+COUNTIF(BB12,"&lt;&gt;0")+COUNTIF(BB15,"&lt;&gt;0")+COUNTIF(BB18,"&lt;&gt;0")+COUNTIF(BB21,"&lt;&gt;0"))   -   COUNTIF(Detail!$G:$G,'Rates-Service Fees'!BB$23), 0)</f>
        <v>0</v>
      </c>
      <c r="BC60">
        <f>IF(BC1&lt;&gt;0,(COUNTIF(BC9,"&lt;&gt;0")+COUNTIF(BC12,"&lt;&gt;0")+COUNTIF(BC15,"&lt;&gt;0")+COUNTIF(BC18,"&lt;&gt;0")+COUNTIF(BC21,"&lt;&gt;0"))   -   COUNTIF(Detail!$G:$G,'Rates-Service Fees'!BC$23), 0)</f>
        <v>0</v>
      </c>
      <c r="BD60">
        <f>IF(BD1&lt;&gt;0,(COUNTIF(BD9,"&lt;&gt;0")+COUNTIF(BD12,"&lt;&gt;0")+COUNTIF(BD15,"&lt;&gt;0")+COUNTIF(BD18,"&lt;&gt;0")+COUNTIF(BD21,"&lt;&gt;0"))   -   COUNTIF(Detail!$G:$G,'Rates-Service Fees'!BD$23), 0)</f>
        <v>0</v>
      </c>
      <c r="BE60">
        <f>IF(BE1&lt;&gt;0,(COUNTIF(BE9,"&lt;&gt;0")+COUNTIF(BE12,"&lt;&gt;0")+COUNTIF(BE15,"&lt;&gt;0")+COUNTIF(BE18,"&lt;&gt;0")+COUNTIF(BE21,"&lt;&gt;0"))   -   COUNTIF(Detail!$G:$G,'Rates-Service Fees'!BE$23), 0)</f>
        <v>0</v>
      </c>
      <c r="BF60">
        <f>IF(BF1&lt;&gt;0,(COUNTIF(BF9,"&lt;&gt;0")+COUNTIF(BF12,"&lt;&gt;0")+COUNTIF(BF15,"&lt;&gt;0")+COUNTIF(BF18,"&lt;&gt;0")+COUNTIF(BF21,"&lt;&gt;0"))   -   COUNTIF(Detail!$G:$G,'Rates-Service Fees'!BF$23), 0)</f>
        <v>0</v>
      </c>
      <c r="BG60">
        <f>IF(BG1&lt;&gt;0,(COUNTIF(BG9,"&lt;&gt;0")+COUNTIF(BG12,"&lt;&gt;0")+COUNTIF(BG15,"&lt;&gt;0")+COUNTIF(BG18,"&lt;&gt;0")+COUNTIF(BG21,"&lt;&gt;0"))   -   COUNTIF(Detail!$G:$G,'Rates-Service Fees'!BG$23), 0)</f>
        <v>0</v>
      </c>
      <c r="BH60">
        <f>IF(BH1&lt;&gt;0,(COUNTIF(BH9,"&lt;&gt;0")+COUNTIF(BH12,"&lt;&gt;0")+COUNTIF(BH15,"&lt;&gt;0")+COUNTIF(BH18,"&lt;&gt;0")+COUNTIF(BH21,"&lt;&gt;0"))   -   COUNTIF(Detail!$G:$G,'Rates-Service Fees'!BH$23), 0)</f>
        <v>0</v>
      </c>
      <c r="BI60">
        <f>IF(BI1&lt;&gt;0,(COUNTIF(BI9,"&lt;&gt;0")+COUNTIF(BI12,"&lt;&gt;0")+COUNTIF(BI15,"&lt;&gt;0")+COUNTIF(BI18,"&lt;&gt;0")+COUNTIF(BI21,"&lt;&gt;0"))   -   COUNTIF(Detail!$G:$G,'Rates-Service Fees'!BI$23), 0)</f>
        <v>0</v>
      </c>
      <c r="BJ60">
        <f>IF(BJ1&lt;&gt;0,(COUNTIF(BJ9,"&lt;&gt;0")+COUNTIF(BJ12,"&lt;&gt;0")+COUNTIF(BJ15,"&lt;&gt;0")+COUNTIF(BJ18,"&lt;&gt;0")+COUNTIF(BJ21,"&lt;&gt;0"))   -   COUNTIF(Detail!$G:$G,'Rates-Service Fees'!BJ$23), 0)</f>
        <v>0</v>
      </c>
      <c r="BK60">
        <f>IF(BK1&lt;&gt;0,(COUNTIF(BK9,"&lt;&gt;0")+COUNTIF(BK12,"&lt;&gt;0")+COUNTIF(BK15,"&lt;&gt;0")+COUNTIF(BK18,"&lt;&gt;0")+COUNTIF(BK21,"&lt;&gt;0"))   -   COUNTIF(Detail!$G:$G,'Rates-Service Fees'!BK$23), 0)</f>
        <v>0</v>
      </c>
      <c r="BL60">
        <f>IF(BL1&lt;&gt;0,(COUNTIF(BL9,"&lt;&gt;0")+COUNTIF(BL12,"&lt;&gt;0")+COUNTIF(BL15,"&lt;&gt;0")+COUNTIF(BL18,"&lt;&gt;0")+COUNTIF(BL21,"&lt;&gt;0"))   -   COUNTIF(Detail!$G:$G,'Rates-Service Fees'!BL$23), 0)</f>
        <v>0</v>
      </c>
      <c r="BM60">
        <f>IF(BM1&lt;&gt;0,(COUNTIF(BM9,"&lt;&gt;0")+COUNTIF(BM12,"&lt;&gt;0")+COUNTIF(BM15,"&lt;&gt;0")+COUNTIF(BM18,"&lt;&gt;0")+COUNTIF(BM21,"&lt;&gt;0"))   -   COUNTIF(Detail!$G:$G,'Rates-Service Fees'!BM$23), 0)</f>
        <v>0</v>
      </c>
      <c r="BN60">
        <f>IF(BN1&lt;&gt;0,(COUNTIF(BN9,"&lt;&gt;0")+COUNTIF(BN12,"&lt;&gt;0")+COUNTIF(BN15,"&lt;&gt;0")+COUNTIF(BN18,"&lt;&gt;0")+COUNTIF(BN21,"&lt;&gt;0"))   -   COUNTIF(Detail!$G:$G,'Rates-Service Fees'!BN$23), 0)</f>
        <v>0</v>
      </c>
      <c r="BO60">
        <f>IF(BO1&lt;&gt;0,(COUNTIF(BO9,"&lt;&gt;0")+COUNTIF(BO12,"&lt;&gt;0")+COUNTIF(BO15,"&lt;&gt;0")+COUNTIF(BO18,"&lt;&gt;0")+COUNTIF(BO21,"&lt;&gt;0"))   -   COUNTIF(Detail!$G:$G,'Rates-Service Fees'!BO$23), 0)</f>
        <v>0</v>
      </c>
      <c r="BP60">
        <f>IF(BP1&lt;&gt;0,(COUNTIF(BP9,"&lt;&gt;0")+COUNTIF(BP12,"&lt;&gt;0")+COUNTIF(BP15,"&lt;&gt;0")+COUNTIF(BP18,"&lt;&gt;0")+COUNTIF(BP21,"&lt;&gt;0"))   -   COUNTIF(Detail!$G:$G,'Rates-Service Fees'!BP$23), 0)</f>
        <v>0</v>
      </c>
      <c r="BQ60">
        <f>IF(BQ1&lt;&gt;0,(COUNTIF(BQ9,"&lt;&gt;0")+COUNTIF(BQ12,"&lt;&gt;0")+COUNTIF(BQ15,"&lt;&gt;0")+COUNTIF(BQ18,"&lt;&gt;0")+COUNTIF(BQ21,"&lt;&gt;0"))   -   COUNTIF(Detail!$G:$G,'Rates-Service Fees'!BQ$23), 0)</f>
        <v>0</v>
      </c>
      <c r="BR60">
        <f>IF(BR1&lt;&gt;0,(COUNTIF(BR9,"&lt;&gt;0")+COUNTIF(BR12,"&lt;&gt;0")+COUNTIF(BR15,"&lt;&gt;0")+COUNTIF(BR18,"&lt;&gt;0")+COUNTIF(BR21,"&lt;&gt;0"))   -   COUNTIF(Detail!$G:$G,'Rates-Service Fees'!BR$23), 0)</f>
        <v>0</v>
      </c>
      <c r="BS60">
        <f>IF(BS1&lt;&gt;0,(COUNTIF(BS9,"&lt;&gt;0")+COUNTIF(BS12,"&lt;&gt;0")+COUNTIF(BS15,"&lt;&gt;0")+COUNTIF(BS18,"&lt;&gt;0")+COUNTIF(BS21,"&lt;&gt;0"))   -   COUNTIF(Detail!$G:$G,'Rates-Service Fees'!BS$23), 0)</f>
        <v>0</v>
      </c>
      <c r="BT60">
        <f>IF(BT1&lt;&gt;0,(COUNTIF(BT9,"&lt;&gt;0")+COUNTIF(BT12,"&lt;&gt;0")+COUNTIF(BT15,"&lt;&gt;0")+COUNTIF(BT18,"&lt;&gt;0")+COUNTIF(BT21,"&lt;&gt;0"))   -   COUNTIF(Detail!$G:$G,'Rates-Service Fees'!BT$23), 0)</f>
        <v>0</v>
      </c>
      <c r="BU60">
        <f>IF(BU1&lt;&gt;0,(COUNTIF(BU9,"&lt;&gt;0")+COUNTIF(BU12,"&lt;&gt;0")+COUNTIF(BU15,"&lt;&gt;0")+COUNTIF(BU18,"&lt;&gt;0")+COUNTIF(BU21,"&lt;&gt;0"))   -   COUNTIF(Detail!$G:$G,'Rates-Service Fees'!BU$23), 0)</f>
        <v>0</v>
      </c>
      <c r="BV60">
        <f>IF(BV1&lt;&gt;0,(COUNTIF(BV9,"&lt;&gt;0")+COUNTIF(BV12,"&lt;&gt;0")+COUNTIF(BV15,"&lt;&gt;0")+COUNTIF(BV18,"&lt;&gt;0")+COUNTIF(BV21,"&lt;&gt;0"))   -   COUNTIF(Detail!$G:$G,'Rates-Service Fees'!BV$23), 0)</f>
        <v>0</v>
      </c>
      <c r="BW60">
        <f>IF(BW1&lt;&gt;0,(COUNTIF(BW9,"&lt;&gt;0")+COUNTIF(BW12,"&lt;&gt;0")+COUNTIF(BW15,"&lt;&gt;0")+COUNTIF(BW18,"&lt;&gt;0")+COUNTIF(BW21,"&lt;&gt;0"))   -   COUNTIF(Detail!$G:$G,'Rates-Service Fees'!BW$23), 0)</f>
        <v>0</v>
      </c>
      <c r="BX60">
        <f>IF(BX1&lt;&gt;0,(COUNTIF(BX9,"&lt;&gt;0")+COUNTIF(BX12,"&lt;&gt;0")+COUNTIF(BX15,"&lt;&gt;0")+COUNTIF(BX18,"&lt;&gt;0")+COUNTIF(BX21,"&lt;&gt;0"))   -   COUNTIF(Detail!$G:$G,'Rates-Service Fees'!BX$23), 0)</f>
        <v>0</v>
      </c>
      <c r="BY60">
        <f>IF(BY1&lt;&gt;0,(COUNTIF(BY9,"&lt;&gt;0")+COUNTIF(BY12,"&lt;&gt;0")+COUNTIF(BY15,"&lt;&gt;0")+COUNTIF(BY18,"&lt;&gt;0")+COUNTIF(BY21,"&lt;&gt;0"))   -   COUNTIF(Detail!$G:$G,'Rates-Service Fees'!BY$23), 0)</f>
        <v>0</v>
      </c>
      <c r="BZ60">
        <f>IF(BZ1&lt;&gt;0,(COUNTIF(BZ9,"&lt;&gt;0")+COUNTIF(BZ12,"&lt;&gt;0")+COUNTIF(BZ15,"&lt;&gt;0")+COUNTIF(BZ18,"&lt;&gt;0")+COUNTIF(BZ21,"&lt;&gt;0"))   -   COUNTIF(Detail!$G:$G,'Rates-Service Fees'!BZ$23), 0)</f>
        <v>0</v>
      </c>
      <c r="CA60">
        <f>IF(CA1&lt;&gt;0,(COUNTIF(CA9,"&lt;&gt;0")+COUNTIF(CA12,"&lt;&gt;0")+COUNTIF(CA15,"&lt;&gt;0")+COUNTIF(CA18,"&lt;&gt;0")+COUNTIF(CA21,"&lt;&gt;0"))   -   COUNTIF(Detail!$G:$G,'Rates-Service Fees'!CA$23), 0)</f>
        <v>0</v>
      </c>
      <c r="CB60">
        <f>IF(CB1&lt;&gt;0,(COUNTIF(CB9,"&lt;&gt;0")+COUNTIF(CB12,"&lt;&gt;0")+COUNTIF(CB15,"&lt;&gt;0")+COUNTIF(CB18,"&lt;&gt;0")+COUNTIF(CB21,"&lt;&gt;0"))   -   COUNTIF(Detail!$G:$G,'Rates-Service Fees'!CB$23), 0)</f>
        <v>0</v>
      </c>
      <c r="CC60">
        <f>IF(CC1&lt;&gt;0,(COUNTIF(CC9,"&lt;&gt;0")+COUNTIF(CC12,"&lt;&gt;0")+COUNTIF(CC15,"&lt;&gt;0")+COUNTIF(CC18,"&lt;&gt;0")+COUNTIF(CC21,"&lt;&gt;0"))   -   COUNTIF(Detail!$G:$G,'Rates-Service Fees'!CC$23), 0)</f>
        <v>0</v>
      </c>
      <c r="CD60">
        <f>IF(CD1&lt;&gt;0,(COUNTIF(CD9,"&lt;&gt;0")+COUNTIF(CD12,"&lt;&gt;0")+COUNTIF(CD15,"&lt;&gt;0")+COUNTIF(CD18,"&lt;&gt;0")+COUNTIF(CD21,"&lt;&gt;0"))   -   COUNTIF(Detail!$G:$G,'Rates-Service Fees'!CD$23), 0)</f>
        <v>0</v>
      </c>
      <c r="CE60">
        <f>IF(CE1&lt;&gt;0,(COUNTIF(CE9,"&lt;&gt;0")+COUNTIF(CE12,"&lt;&gt;0")+COUNTIF(CE15,"&lt;&gt;0")+COUNTIF(CE18,"&lt;&gt;0")+COUNTIF(CE21,"&lt;&gt;0"))   -   COUNTIF(Detail!$G:$G,'Rates-Service Fees'!CE$23), 0)</f>
        <v>0</v>
      </c>
      <c r="CF60">
        <f>IF(CF1&lt;&gt;0,(COUNTIF(CF9,"&lt;&gt;0")+COUNTIF(CF12,"&lt;&gt;0")+COUNTIF(CF15,"&lt;&gt;0")+COUNTIF(CF18,"&lt;&gt;0")+COUNTIF(CF21,"&lt;&gt;0"))   -   COUNTIF(Detail!$G:$G,'Rates-Service Fees'!CF$23), 0)</f>
        <v>0</v>
      </c>
      <c r="CG60">
        <f>IF(CG1&lt;&gt;0,(COUNTIF(CG9,"&lt;&gt;0")+COUNTIF(CG12,"&lt;&gt;0")+COUNTIF(CG15,"&lt;&gt;0")+COUNTIF(CG18,"&lt;&gt;0")+COUNTIF(CG21,"&lt;&gt;0"))   -   COUNTIF(Detail!$G:$G,'Rates-Service Fees'!CG$23), 0)</f>
        <v>0</v>
      </c>
      <c r="CH60">
        <f>IF(CH1&lt;&gt;0,(COUNTIF(CH9,"&lt;&gt;0")+COUNTIF(CH12,"&lt;&gt;0")+COUNTIF(CH15,"&lt;&gt;0")+COUNTIF(CH18,"&lt;&gt;0")+COUNTIF(CH21,"&lt;&gt;0"))   -   COUNTIF(Detail!$G:$G,'Rates-Service Fees'!CH$23), 0)</f>
        <v>0</v>
      </c>
      <c r="CI60">
        <f>IF(CI1&lt;&gt;0,(COUNTIF(CI9,"&lt;&gt;0")+COUNTIF(CI12,"&lt;&gt;0")+COUNTIF(CI15,"&lt;&gt;0")+COUNTIF(CI18,"&lt;&gt;0")+COUNTIF(CI21,"&lt;&gt;0"))   -   COUNTIF(Detail!$G:$G,'Rates-Service Fees'!CI$23), 0)</f>
        <v>0</v>
      </c>
      <c r="CJ60">
        <f>IF(CJ1&lt;&gt;0,(COUNTIF(CJ9,"&lt;&gt;0")+COUNTIF(CJ12,"&lt;&gt;0")+COUNTIF(CJ15,"&lt;&gt;0")+COUNTIF(CJ18,"&lt;&gt;0")+COUNTIF(CJ21,"&lt;&gt;0"))   -   COUNTIF(Detail!$G:$G,'Rates-Service Fees'!CJ$23), 0)</f>
        <v>0</v>
      </c>
      <c r="CK60">
        <f>IF(CK1&lt;&gt;0,(COUNTIF(CK9,"&lt;&gt;0")+COUNTIF(CK12,"&lt;&gt;0")+COUNTIF(CK15,"&lt;&gt;0")+COUNTIF(CK18,"&lt;&gt;0")+COUNTIF(CK21,"&lt;&gt;0"))   -   COUNTIF(Detail!$G:$G,'Rates-Service Fees'!CK$23), 0)</f>
        <v>0</v>
      </c>
      <c r="CL60">
        <f>IF(CL1&lt;&gt;0,(COUNTIF(CL9,"&lt;&gt;0")+COUNTIF(CL12,"&lt;&gt;0")+COUNTIF(CL15,"&lt;&gt;0")+COUNTIF(CL18,"&lt;&gt;0")+COUNTIF(CL21,"&lt;&gt;0"))   -   COUNTIF(Detail!$G:$G,'Rates-Service Fees'!CL$23), 0)</f>
        <v>0</v>
      </c>
      <c r="CM60">
        <f>IF(CM1&lt;&gt;0,(COUNTIF(CM9,"&lt;&gt;0")+COUNTIF(CM12,"&lt;&gt;0")+COUNTIF(CM15,"&lt;&gt;0")+COUNTIF(CM18,"&lt;&gt;0")+COUNTIF(CM21,"&lt;&gt;0"))   -   COUNTIF(Detail!$G:$G,'Rates-Service Fees'!CM$23), 0)</f>
        <v>0</v>
      </c>
      <c r="CN60">
        <f>IF(CN1&lt;&gt;0,(COUNTIF(CN9,"&lt;&gt;0")+COUNTIF(CN12,"&lt;&gt;0")+COUNTIF(CN15,"&lt;&gt;0")+COUNTIF(CN18,"&lt;&gt;0")+COUNTIF(CN21,"&lt;&gt;0"))   -   COUNTIF(Detail!$G:$G,'Rates-Service Fees'!CN$23), 0)</f>
        <v>0</v>
      </c>
      <c r="CO60">
        <f>IF(CO1&lt;&gt;0,(COUNTIF(CO9,"&lt;&gt;0")+COUNTIF(CO12,"&lt;&gt;0")+COUNTIF(CO15,"&lt;&gt;0")+COUNTIF(CO18,"&lt;&gt;0")+COUNTIF(CO21,"&lt;&gt;0"))   -   COUNTIF(Detail!$G:$G,'Rates-Service Fees'!CO$23), 0)</f>
        <v>0</v>
      </c>
      <c r="CP60">
        <f>IF(CP1&lt;&gt;0,(COUNTIF(CP9,"&lt;&gt;0")+COUNTIF(CP12,"&lt;&gt;0")+COUNTIF(CP15,"&lt;&gt;0")+COUNTIF(CP18,"&lt;&gt;0")+COUNTIF(CP21,"&lt;&gt;0"))   -   COUNTIF(Detail!$G:$G,'Rates-Service Fees'!CP$23), 0)</f>
        <v>0</v>
      </c>
      <c r="CQ60">
        <f>IF(CQ1&lt;&gt;0,(COUNTIF(CQ9,"&lt;&gt;0")+COUNTIF(CQ12,"&lt;&gt;0")+COUNTIF(CQ15,"&lt;&gt;0")+COUNTIF(CQ18,"&lt;&gt;0")+COUNTIF(CQ21,"&lt;&gt;0"))   -   COUNTIF(Detail!$G:$G,'Rates-Service Fees'!CQ$23), 0)</f>
        <v>0</v>
      </c>
      <c r="CR60">
        <f>IF(CR1&lt;&gt;0,(COUNTIF(CR9,"&lt;&gt;0")+COUNTIF(CR12,"&lt;&gt;0")+COUNTIF(CR15,"&lt;&gt;0")+COUNTIF(CR18,"&lt;&gt;0")+COUNTIF(CR21,"&lt;&gt;0"))   -   COUNTIF(Detail!$G:$G,'Rates-Service Fees'!CR$23), 0)</f>
        <v>0</v>
      </c>
      <c r="CS60">
        <f>IF(CS1&lt;&gt;0,(COUNTIF(CS9,"&lt;&gt;0")+COUNTIF(CS12,"&lt;&gt;0")+COUNTIF(CS15,"&lt;&gt;0")+COUNTIF(CS18,"&lt;&gt;0")+COUNTIF(CS21,"&lt;&gt;0"))   -   COUNTIF(Detail!$G:$G,'Rates-Service Fees'!CS$23), 0)</f>
        <v>0</v>
      </c>
      <c r="CT60">
        <f>IF(CT1&lt;&gt;0,(COUNTIF(CT9,"&lt;&gt;0")+COUNTIF(CT12,"&lt;&gt;0")+COUNTIF(CT15,"&lt;&gt;0")+COUNTIF(CT18,"&lt;&gt;0")+COUNTIF(CT21,"&lt;&gt;0"))   -   COUNTIF(Detail!$G:$G,'Rates-Service Fees'!CT$23), 0)</f>
        <v>0</v>
      </c>
      <c r="CU60">
        <f>IF(CU1&lt;&gt;0,(COUNTIF(CU9,"&lt;&gt;0")+COUNTIF(CU12,"&lt;&gt;0")+COUNTIF(CU15,"&lt;&gt;0")+COUNTIF(CU18,"&lt;&gt;0")+COUNTIF(CU21,"&lt;&gt;0"))   -   COUNTIF(Detail!$G:$G,'Rates-Service Fees'!CU$23), 0)</f>
        <v>0</v>
      </c>
      <c r="CV60">
        <f>IF(CV1&lt;&gt;0,(COUNTIF(CV9,"&lt;&gt;0")+COUNTIF(CV12,"&lt;&gt;0")+COUNTIF(CV15,"&lt;&gt;0")+COUNTIF(CV18,"&lt;&gt;0")+COUNTIF(CV21,"&lt;&gt;0"))   -   COUNTIF(Detail!$G:$G,'Rates-Service Fees'!CV$23), 0)</f>
        <v>0</v>
      </c>
      <c r="CW60">
        <f>IF(CW1&lt;&gt;0,(COUNTIF(CW9,"&lt;&gt;0")+COUNTIF(CW12,"&lt;&gt;0")+COUNTIF(CW15,"&lt;&gt;0")+COUNTIF(CW18,"&lt;&gt;0")+COUNTIF(CW21,"&lt;&gt;0"))   -   COUNTIF(Detail!$G:$G,'Rates-Service Fees'!CW$23), 0)</f>
        <v>0</v>
      </c>
      <c r="CX60">
        <f>IF(CX1&lt;&gt;0,(COUNTIF(CX9,"&lt;&gt;0")+COUNTIF(CX12,"&lt;&gt;0")+COUNTIF(CX15,"&lt;&gt;0")+COUNTIF(CX18,"&lt;&gt;0")+COUNTIF(CX21,"&lt;&gt;0"))   -   COUNTIF(Detail!$G:$G,'Rates-Service Fees'!CX$23), 0)</f>
        <v>0</v>
      </c>
      <c r="CY60">
        <f>IF(CY1&lt;&gt;0,(COUNTIF(CY9,"&lt;&gt;0")+COUNTIF(CY12,"&lt;&gt;0")+COUNTIF(CY15,"&lt;&gt;0")+COUNTIF(CY18,"&lt;&gt;0")+COUNTIF(CY21,"&lt;&gt;0"))   -   COUNTIF(Detail!$G:$G,'Rates-Service Fees'!CY$23), 0)</f>
        <v>0</v>
      </c>
      <c r="CZ60">
        <f>IF(CZ1&lt;&gt;0,(COUNTIF(CZ9,"&lt;&gt;0")+COUNTIF(CZ12,"&lt;&gt;0")+COUNTIF(CZ15,"&lt;&gt;0")+COUNTIF(CZ18,"&lt;&gt;0")+COUNTIF(CZ21,"&lt;&gt;0"))   -   COUNTIF(Detail!$G:$G,'Rates-Service Fees'!CZ$23), 0)</f>
        <v>0</v>
      </c>
      <c r="DA60">
        <f>IF(DA1&lt;&gt;0,(COUNTIF(DA9,"&lt;&gt;0")+COUNTIF(DA12,"&lt;&gt;0")+COUNTIF(DA15,"&lt;&gt;0")+COUNTIF(DA18,"&lt;&gt;0")+COUNTIF(DA21,"&lt;&gt;0"))   -   COUNTIF(Detail!$G:$G,'Rates-Service Fees'!DA$23), 0)</f>
        <v>0</v>
      </c>
      <c r="DB60">
        <f>IF(DB1&lt;&gt;0,(COUNTIF(DB9,"&lt;&gt;0")+COUNTIF(DB12,"&lt;&gt;0")+COUNTIF(DB15,"&lt;&gt;0")+COUNTIF(DB18,"&lt;&gt;0")+COUNTIF(DB21,"&lt;&gt;0"))   -   COUNTIF(Detail!$G:$G,'Rates-Service Fees'!DB$23), 0)</f>
        <v>0</v>
      </c>
      <c r="DC60">
        <f>IF(DC1&lt;&gt;0,(COUNTIF(DC9,"&lt;&gt;0")+COUNTIF(DC12,"&lt;&gt;0")+COUNTIF(DC15,"&lt;&gt;0")+COUNTIF(DC18,"&lt;&gt;0")+COUNTIF(DC21,"&lt;&gt;0"))   -   COUNTIF(Detail!$G:$G,'Rates-Service Fees'!DC$23), 0)</f>
        <v>0</v>
      </c>
      <c r="DD60">
        <f>IF(DD1&lt;&gt;0,(COUNTIF(DD9,"&lt;&gt;0")+COUNTIF(DD12,"&lt;&gt;0")+COUNTIF(DD15,"&lt;&gt;0")+COUNTIF(DD18,"&lt;&gt;0")+COUNTIF(DD21,"&lt;&gt;0"))   -   COUNTIF(Detail!$G:$G,'Rates-Service Fees'!DD$23), 0)</f>
        <v>0</v>
      </c>
      <c r="DE60">
        <f>IF(DE1&lt;&gt;0,(COUNTIF(DE9,"&lt;&gt;0")+COUNTIF(DE12,"&lt;&gt;0")+COUNTIF(DE15,"&lt;&gt;0")+COUNTIF(DE18,"&lt;&gt;0")+COUNTIF(DE21,"&lt;&gt;0"))   -   COUNTIF(Detail!$G:$G,'Rates-Service Fees'!DE$23), 0)</f>
        <v>0</v>
      </c>
      <c r="DF60">
        <f>IF(DF1&lt;&gt;0,(COUNTIF(DF9,"&lt;&gt;0")+COUNTIF(DF12,"&lt;&gt;0")+COUNTIF(DF15,"&lt;&gt;0")+COUNTIF(DF18,"&lt;&gt;0")+COUNTIF(DF21,"&lt;&gt;0"))   -   COUNTIF(Detail!$G:$G,'Rates-Service Fees'!DF$23), 0)</f>
        <v>0</v>
      </c>
      <c r="DG60">
        <f>IF(DG1&lt;&gt;0,(COUNTIF(DG9,"&lt;&gt;0")+COUNTIF(DG12,"&lt;&gt;0")+COUNTIF(DG15,"&lt;&gt;0")+COUNTIF(DG18,"&lt;&gt;0")+COUNTIF(DG21,"&lt;&gt;0"))   -   COUNTIF(Detail!$G:$G,'Rates-Service Fees'!DG$23), 0)</f>
        <v>0</v>
      </c>
      <c r="DH60">
        <f>IF(DH1&lt;&gt;0,(COUNTIF(DH9,"&lt;&gt;0")+COUNTIF(DH12,"&lt;&gt;0")+COUNTIF(DH15,"&lt;&gt;0")+COUNTIF(DH18,"&lt;&gt;0")+COUNTIF(DH21,"&lt;&gt;0"))   -   COUNTIF(Detail!$G:$G,'Rates-Service Fees'!DH$23), 0)</f>
        <v>0</v>
      </c>
      <c r="DI60">
        <f>IF(DI1&lt;&gt;0,(COUNTIF(DI9,"&lt;&gt;0")+COUNTIF(DI12,"&lt;&gt;0")+COUNTIF(DI15,"&lt;&gt;0")+COUNTIF(DI18,"&lt;&gt;0")+COUNTIF(DI21,"&lt;&gt;0"))   -   COUNTIF(Detail!$G:$G,'Rates-Service Fees'!DI$23), 0)</f>
        <v>0</v>
      </c>
      <c r="DJ60">
        <f>IF(DJ1&lt;&gt;0,(COUNTIF(DJ9,"&lt;&gt;0")+COUNTIF(DJ12,"&lt;&gt;0")+COUNTIF(DJ15,"&lt;&gt;0")+COUNTIF(DJ18,"&lt;&gt;0")+COUNTIF(DJ21,"&lt;&gt;0"))   -   COUNTIF(Detail!$G:$G,'Rates-Service Fees'!DJ$23), 0)</f>
        <v>0</v>
      </c>
      <c r="DK60">
        <f>IF(DK1&lt;&gt;0,(COUNTIF(DK9,"&lt;&gt;0")+COUNTIF(DK12,"&lt;&gt;0")+COUNTIF(DK15,"&lt;&gt;0")+COUNTIF(DK18,"&lt;&gt;0")+COUNTIF(DK21,"&lt;&gt;0"))   -   COUNTIF(Detail!$G:$G,'Rates-Service Fees'!DK$23), 0)</f>
        <v>0</v>
      </c>
      <c r="DL60">
        <f>IF(DL1&lt;&gt;0,(COUNTIF(DL9,"&lt;&gt;0")+COUNTIF(DL12,"&lt;&gt;0")+COUNTIF(DL15,"&lt;&gt;0")+COUNTIF(DL18,"&lt;&gt;0")+COUNTIF(DL21,"&lt;&gt;0"))   -   COUNTIF(Detail!$G:$G,'Rates-Service Fees'!DL$23), 0)</f>
        <v>0</v>
      </c>
      <c r="DM60">
        <f>IF(DM1&lt;&gt;0,(COUNTIF(DM9,"&lt;&gt;0")+COUNTIF(DM12,"&lt;&gt;0")+COUNTIF(DM15,"&lt;&gt;0")+COUNTIF(DM18,"&lt;&gt;0")+COUNTIF(DM21,"&lt;&gt;0"))   -   COUNTIF(Detail!$G:$G,'Rates-Service Fees'!DM$23), 0)</f>
        <v>0</v>
      </c>
      <c r="DN60">
        <f>IF(DN1&lt;&gt;0,(COUNTIF(DN9,"&lt;&gt;0")+COUNTIF(DN12,"&lt;&gt;0")+COUNTIF(DN15,"&lt;&gt;0")+COUNTIF(DN18,"&lt;&gt;0")+COUNTIF(DN21,"&lt;&gt;0"))   -   COUNTIF(Detail!$G:$G,'Rates-Service Fees'!DN$23), 0)</f>
        <v>0</v>
      </c>
      <c r="DO60">
        <f>IF(DO1&lt;&gt;0,(COUNTIF(DO9,"&lt;&gt;0")+COUNTIF(DO12,"&lt;&gt;0")+COUNTIF(DO15,"&lt;&gt;0")+COUNTIF(DO18,"&lt;&gt;0")+COUNTIF(DO21,"&lt;&gt;0"))   -   COUNTIF(Detail!$G:$G,'Rates-Service Fees'!DO$23), 0)</f>
        <v>0</v>
      </c>
      <c r="DP60">
        <f>IF(DP1&lt;&gt;0,(COUNTIF(DP9,"&lt;&gt;0")+COUNTIF(DP12,"&lt;&gt;0")+COUNTIF(DP15,"&lt;&gt;0")+COUNTIF(DP18,"&lt;&gt;0")+COUNTIF(DP21,"&lt;&gt;0"))   -   COUNTIF(Detail!$G:$G,'Rates-Service Fees'!DP$23), 0)</f>
        <v>0</v>
      </c>
      <c r="DQ60">
        <f>IF(DQ1&lt;&gt;0,(COUNTIF(DQ9,"&lt;&gt;0")+COUNTIF(DQ12,"&lt;&gt;0")+COUNTIF(DQ15,"&lt;&gt;0")+COUNTIF(DQ18,"&lt;&gt;0")+COUNTIF(DQ21,"&lt;&gt;0"))   -   COUNTIF(Detail!$G:$G,'Rates-Service Fees'!DQ$23), 0)</f>
        <v>0</v>
      </c>
      <c r="DR60">
        <f>IF(DR1&lt;&gt;0,(COUNTIF(DR9,"&lt;&gt;0")+COUNTIF(DR12,"&lt;&gt;0")+COUNTIF(DR15,"&lt;&gt;0")+COUNTIF(DR18,"&lt;&gt;0")+COUNTIF(DR21,"&lt;&gt;0"))   -   COUNTIF(Detail!$G:$G,'Rates-Service Fees'!DR$23), 0)</f>
        <v>0</v>
      </c>
      <c r="DS60">
        <f>IF(DS1&lt;&gt;0,(COUNTIF(DS9,"&lt;&gt;0")+COUNTIF(DS12,"&lt;&gt;0")+COUNTIF(DS15,"&lt;&gt;0")+COUNTIF(DS18,"&lt;&gt;0")+COUNTIF(DS21,"&lt;&gt;0"))   -   COUNTIF(Detail!$G:$G,'Rates-Service Fees'!DS$23), 0)</f>
        <v>0</v>
      </c>
      <c r="DT60">
        <f>IF(DT1&lt;&gt;0,(COUNTIF(DT9,"&lt;&gt;0")+COUNTIF(DT12,"&lt;&gt;0")+COUNTIF(DT15,"&lt;&gt;0")+COUNTIF(DT18,"&lt;&gt;0")+COUNTIF(DT21,"&lt;&gt;0"))   -   COUNTIF(Detail!$G:$G,'Rates-Service Fees'!DT$23), 0)</f>
        <v>0</v>
      </c>
      <c r="DU60">
        <f>IF(DU1&lt;&gt;0,(COUNTIF(DU9,"&lt;&gt;0")+COUNTIF(DU12,"&lt;&gt;0")+COUNTIF(DU15,"&lt;&gt;0")+COUNTIF(DU18,"&lt;&gt;0")+COUNTIF(DU21,"&lt;&gt;0"))   -   COUNTIF(Detail!$G:$G,'Rates-Service Fees'!DU$23), 0)</f>
        <v>0</v>
      </c>
      <c r="DV60">
        <f>IF(DV1&lt;&gt;0,(COUNTIF(DV9,"&lt;&gt;0")+COUNTIF(DV12,"&lt;&gt;0")+COUNTIF(DV15,"&lt;&gt;0")+COUNTIF(DV18,"&lt;&gt;0")+COUNTIF(DV21,"&lt;&gt;0"))   -   COUNTIF(Detail!$G:$G,'Rates-Service Fees'!DV$23), 0)</f>
        <v>0</v>
      </c>
      <c r="DW60">
        <f>IF(DW1&lt;&gt;0,(COUNTIF(DW9,"&lt;&gt;0")+COUNTIF(DW12,"&lt;&gt;0")+COUNTIF(DW15,"&lt;&gt;0")+COUNTIF(DW18,"&lt;&gt;0")+COUNTIF(DW21,"&lt;&gt;0"))   -   COUNTIF(Detail!$G:$G,'Rates-Service Fees'!DW$23), 0)</f>
        <v>0</v>
      </c>
      <c r="DX60">
        <f>IF(DX1&lt;&gt;0,(COUNTIF(DX9,"&lt;&gt;0")+COUNTIF(DX12,"&lt;&gt;0")+COUNTIF(DX15,"&lt;&gt;0")+COUNTIF(DX18,"&lt;&gt;0")+COUNTIF(DX21,"&lt;&gt;0"))   -   COUNTIF(Detail!$G:$G,'Rates-Service Fees'!DX$23), 0)</f>
        <v>0</v>
      </c>
      <c r="DY60">
        <f>IF(DY1&lt;&gt;0,(COUNTIF(DY9,"&lt;&gt;0")+COUNTIF(DY12,"&lt;&gt;0")+COUNTIF(DY15,"&lt;&gt;0")+COUNTIF(DY18,"&lt;&gt;0")+COUNTIF(DY21,"&lt;&gt;0"))   -   COUNTIF(Detail!$G:$G,'Rates-Service Fees'!DY$23), 0)</f>
        <v>0</v>
      </c>
      <c r="DZ60">
        <f>IF(DZ1&lt;&gt;0,(COUNTIF(DZ9,"&lt;&gt;0")+COUNTIF(DZ12,"&lt;&gt;0")+COUNTIF(DZ15,"&lt;&gt;0")+COUNTIF(DZ18,"&lt;&gt;0")+COUNTIF(DZ21,"&lt;&gt;0"))   -   COUNTIF(Detail!$G:$G,'Rates-Service Fees'!DZ$23), 0)</f>
        <v>0</v>
      </c>
      <c r="EA60">
        <f>IF(EA1&lt;&gt;0,(COUNTIF(EA9,"&lt;&gt;0")+COUNTIF(EA12,"&lt;&gt;0")+COUNTIF(EA15,"&lt;&gt;0")+COUNTIF(EA18,"&lt;&gt;0")+COUNTIF(EA21,"&lt;&gt;0"))   -   COUNTIF(Detail!$G:$G,'Rates-Service Fees'!EA$23), 0)</f>
        <v>0</v>
      </c>
      <c r="EB60">
        <f>IF(EB1&lt;&gt;0,(COUNTIF(EB9,"&lt;&gt;0")+COUNTIF(EB12,"&lt;&gt;0")+COUNTIF(EB15,"&lt;&gt;0")+COUNTIF(EB18,"&lt;&gt;0")+COUNTIF(EB21,"&lt;&gt;0"))   -   COUNTIF(Detail!$G:$G,'Rates-Service Fees'!EB$23), 0)</f>
        <v>0</v>
      </c>
      <c r="EC60">
        <f>IF(EC1&lt;&gt;0,(COUNTIF(EC9,"&lt;&gt;0")+COUNTIF(EC12,"&lt;&gt;0")+COUNTIF(EC15,"&lt;&gt;0")+COUNTIF(EC18,"&lt;&gt;0")+COUNTIF(EC21,"&lt;&gt;0"))   -   COUNTIF(Detail!$G:$G,'Rates-Service Fees'!EC$23), 0)</f>
        <v>0</v>
      </c>
      <c r="ED60">
        <f>IF(ED1&lt;&gt;0,(COUNTIF(ED9,"&lt;&gt;0")+COUNTIF(ED12,"&lt;&gt;0")+COUNTIF(ED15,"&lt;&gt;0")+COUNTIF(ED18,"&lt;&gt;0")+COUNTIF(ED21,"&lt;&gt;0"))   -   COUNTIF(Detail!$G:$G,'Rates-Service Fees'!ED$23), 0)</f>
        <v>0</v>
      </c>
      <c r="EE60">
        <f>IF(EE1&lt;&gt;0,(COUNTIF(EE9,"&lt;&gt;0")+COUNTIF(EE12,"&lt;&gt;0")+COUNTIF(EE15,"&lt;&gt;0")+COUNTIF(EE18,"&lt;&gt;0")+COUNTIF(EE21,"&lt;&gt;0"))   -   COUNTIF(Detail!$G:$G,'Rates-Service Fees'!EE$23), 0)</f>
        <v>0</v>
      </c>
      <c r="EF60">
        <f>IF(EF1&lt;&gt;0,(COUNTIF(EF9,"&lt;&gt;0")+COUNTIF(EF12,"&lt;&gt;0")+COUNTIF(EF15,"&lt;&gt;0")+COUNTIF(EF18,"&lt;&gt;0")+COUNTIF(EF21,"&lt;&gt;0"))   -   COUNTIF(Detail!$G:$G,'Rates-Service Fees'!EF$23), 0)</f>
        <v>0</v>
      </c>
      <c r="EG60">
        <f>IF(EG1&lt;&gt;0,(COUNTIF(EG9,"&lt;&gt;0")+COUNTIF(EG12,"&lt;&gt;0")+COUNTIF(EG15,"&lt;&gt;0")+COUNTIF(EG18,"&lt;&gt;0")+COUNTIF(EG21,"&lt;&gt;0"))   -   COUNTIF(Detail!$G:$G,'Rates-Service Fees'!EG$23), 0)</f>
        <v>0</v>
      </c>
      <c r="EH60">
        <f>IF(EH1&lt;&gt;0,(COUNTIF(EH9,"&lt;&gt;0")+COUNTIF(EH12,"&lt;&gt;0")+COUNTIF(EH15,"&lt;&gt;0")+COUNTIF(EH18,"&lt;&gt;0")+COUNTIF(EH21,"&lt;&gt;0"))   -   COUNTIF(Detail!$G:$G,'Rates-Service Fees'!EH$23), 0)</f>
        <v>0</v>
      </c>
      <c r="EI60">
        <f>IF(EI1&lt;&gt;0,(COUNTIF(EI9,"&lt;&gt;0")+COUNTIF(EI12,"&lt;&gt;0")+COUNTIF(EI15,"&lt;&gt;0")+COUNTIF(EI18,"&lt;&gt;0")+COUNTIF(EI21,"&lt;&gt;0"))   -   COUNTIF(Detail!$G:$G,'Rates-Service Fees'!EI$23), 0)</f>
        <v>0</v>
      </c>
      <c r="EJ60">
        <f>IF(EJ1&lt;&gt;0,(COUNTIF(EJ9,"&lt;&gt;0")+COUNTIF(EJ12,"&lt;&gt;0")+COUNTIF(EJ15,"&lt;&gt;0")+COUNTIF(EJ18,"&lt;&gt;0")+COUNTIF(EJ21,"&lt;&gt;0"))   -   COUNTIF(Detail!$G:$G,'Rates-Service Fees'!EJ$23), 0)</f>
        <v>0</v>
      </c>
      <c r="EK60">
        <f>IF(EK1&lt;&gt;0,(COUNTIF(EK9,"&lt;&gt;0")+COUNTIF(EK12,"&lt;&gt;0")+COUNTIF(EK15,"&lt;&gt;0")+COUNTIF(EK18,"&lt;&gt;0")+COUNTIF(EK21,"&lt;&gt;0"))   -   COUNTIF(Detail!$G:$G,'Rates-Service Fees'!EK$23), 0)</f>
        <v>0</v>
      </c>
      <c r="EL60">
        <f>IF(EL1&lt;&gt;0,(COUNTIF(EL9,"&lt;&gt;0")+COUNTIF(EL12,"&lt;&gt;0")+COUNTIF(EL15,"&lt;&gt;0")+COUNTIF(EL18,"&lt;&gt;0")+COUNTIF(EL21,"&lt;&gt;0"))   -   COUNTIF(Detail!$G:$G,'Rates-Service Fees'!EL$23), 0)</f>
        <v>0</v>
      </c>
      <c r="EM60">
        <f>IF(EM1&lt;&gt;0,(COUNTIF(EM9,"&lt;&gt;0")+COUNTIF(EM12,"&lt;&gt;0")+COUNTIF(EM15,"&lt;&gt;0")+COUNTIF(EM18,"&lt;&gt;0")+COUNTIF(EM21,"&lt;&gt;0"))   -   COUNTIF(Detail!$G:$G,'Rates-Service Fees'!EM$23), 0)</f>
        <v>0</v>
      </c>
      <c r="EN60">
        <f>IF(EN1&lt;&gt;0,(COUNTIF(EN9,"&lt;&gt;0")+COUNTIF(EN12,"&lt;&gt;0")+COUNTIF(EN15,"&lt;&gt;0")+COUNTIF(EN18,"&lt;&gt;0")+COUNTIF(EN21,"&lt;&gt;0"))   -   COUNTIF(Detail!$G:$G,'Rates-Service Fees'!EN$23), 0)</f>
        <v>0</v>
      </c>
      <c r="EO60">
        <f>IF(EO1&lt;&gt;0,(COUNTIF(EO9,"&lt;&gt;0")+COUNTIF(EO12,"&lt;&gt;0")+COUNTIF(EO15,"&lt;&gt;0")+COUNTIF(EO18,"&lt;&gt;0")+COUNTIF(EO21,"&lt;&gt;0"))   -   COUNTIF(Detail!$G:$G,'Rates-Service Fees'!EO$23), 0)</f>
        <v>0</v>
      </c>
      <c r="EP60">
        <f>IF(EP1&lt;&gt;0,(COUNTIF(EP9,"&lt;&gt;0")+COUNTIF(EP12,"&lt;&gt;0")+COUNTIF(EP15,"&lt;&gt;0")+COUNTIF(EP18,"&lt;&gt;0")+COUNTIF(EP21,"&lt;&gt;0"))   -   COUNTIF(Detail!$G:$G,'Rates-Service Fees'!EP$23), 0)</f>
        <v>0</v>
      </c>
      <c r="EQ60">
        <f>IF(EQ1&lt;&gt;0,(COUNTIF(EQ9,"&lt;&gt;0")+COUNTIF(EQ12,"&lt;&gt;0")+COUNTIF(EQ15,"&lt;&gt;0")+COUNTIF(EQ18,"&lt;&gt;0")+COUNTIF(EQ21,"&lt;&gt;0"))   -   COUNTIF(Detail!$G:$G,'Rates-Service Fees'!EQ$23), 0)</f>
        <v>0</v>
      </c>
      <c r="ER60">
        <f>IF(ER1&lt;&gt;0,(COUNTIF(ER9,"&lt;&gt;0")+COUNTIF(ER12,"&lt;&gt;0")+COUNTIF(ER15,"&lt;&gt;0")+COUNTIF(ER18,"&lt;&gt;0")+COUNTIF(ER21,"&lt;&gt;0"))   -   COUNTIF(Detail!$G:$G,'Rates-Service Fees'!ER$23), 0)</f>
        <v>0</v>
      </c>
      <c r="ES60">
        <f>IF(ES1&lt;&gt;0,(COUNTIF(ES9,"&lt;&gt;0")+COUNTIF(ES12,"&lt;&gt;0")+COUNTIF(ES15,"&lt;&gt;0")+COUNTIF(ES18,"&lt;&gt;0")+COUNTIF(ES21,"&lt;&gt;0"))   -   COUNTIF(Detail!$G:$G,'Rates-Service Fees'!ES$23), 0)</f>
        <v>0</v>
      </c>
      <c r="ET60">
        <f>IF(ET1&lt;&gt;0,(COUNTIF(ET9,"&lt;&gt;0")+COUNTIF(ET12,"&lt;&gt;0")+COUNTIF(ET15,"&lt;&gt;0")+COUNTIF(ET18,"&lt;&gt;0")+COUNTIF(ET21,"&lt;&gt;0"))   -   COUNTIF(Detail!$G:$G,'Rates-Service Fees'!ET$23), 0)</f>
        <v>0</v>
      </c>
      <c r="EU60">
        <f>IF(EU1&lt;&gt;0,(COUNTIF(EU9,"&lt;&gt;0")+COUNTIF(EU12,"&lt;&gt;0")+COUNTIF(EU15,"&lt;&gt;0")+COUNTIF(EU18,"&lt;&gt;0")+COUNTIF(EU21,"&lt;&gt;0"))   -   COUNTIF(Detail!$G:$G,'Rates-Service Fees'!EU$23), 0)</f>
        <v>0</v>
      </c>
      <c r="EV60">
        <f>IF(EV1&lt;&gt;0,(COUNTIF(EV9,"&lt;&gt;0")+COUNTIF(EV12,"&lt;&gt;0")+COUNTIF(EV15,"&lt;&gt;0")+COUNTIF(EV18,"&lt;&gt;0")+COUNTIF(EV21,"&lt;&gt;0"))   -   COUNTIF(Detail!$G:$G,'Rates-Service Fees'!EV$23), 0)</f>
        <v>0</v>
      </c>
      <c r="EW60">
        <f>IF(EW1&lt;&gt;0,(COUNTIF(EW9,"&lt;&gt;0")+COUNTIF(EW12,"&lt;&gt;0")+COUNTIF(EW15,"&lt;&gt;0")+COUNTIF(EW18,"&lt;&gt;0")+COUNTIF(EW21,"&lt;&gt;0"))   -   COUNTIF(Detail!$G:$G,'Rates-Service Fees'!EW$23), 0)</f>
        <v>0</v>
      </c>
      <c r="EX60">
        <f>IF(EX1&lt;&gt;0,(COUNTIF(EX9,"&lt;&gt;0")+COUNTIF(EX12,"&lt;&gt;0")+COUNTIF(EX15,"&lt;&gt;0")+COUNTIF(EX18,"&lt;&gt;0")+COUNTIF(EX21,"&lt;&gt;0"))   -   COUNTIF(Detail!$G:$G,'Rates-Service Fees'!EX$23), 0)</f>
        <v>0</v>
      </c>
      <c r="EY60">
        <f>IF(EY1&lt;&gt;0,(COUNTIF(EY9,"&lt;&gt;0")+COUNTIF(EY12,"&lt;&gt;0")+COUNTIF(EY15,"&lt;&gt;0")+COUNTIF(EY18,"&lt;&gt;0")+COUNTIF(EY21,"&lt;&gt;0"))   -   COUNTIF(Detail!$G:$G,'Rates-Service Fees'!EY$23), 0)</f>
        <v>0</v>
      </c>
      <c r="EZ60">
        <f>IF(EZ1&lt;&gt;0,(COUNTIF(EZ9,"&lt;&gt;0")+COUNTIF(EZ12,"&lt;&gt;0")+COUNTIF(EZ15,"&lt;&gt;0")+COUNTIF(EZ18,"&lt;&gt;0")+COUNTIF(EZ21,"&lt;&gt;0"))   -   COUNTIF(Detail!$G:$G,'Rates-Service Fees'!EZ$23), 0)</f>
        <v>0</v>
      </c>
      <c r="FA60">
        <f>IF(FA1&lt;&gt;0,(COUNTIF(FA9,"&lt;&gt;0")+COUNTIF(FA12,"&lt;&gt;0")+COUNTIF(FA15,"&lt;&gt;0")+COUNTIF(FA18,"&lt;&gt;0")+COUNTIF(FA21,"&lt;&gt;0"))   -   COUNTIF(Detail!$G:$G,'Rates-Service Fees'!FA$23), 0)</f>
        <v>0</v>
      </c>
      <c r="FB60">
        <f>IF(FB1&lt;&gt;0,(COUNTIF(FB9,"&lt;&gt;0")+COUNTIF(FB12,"&lt;&gt;0")+COUNTIF(FB15,"&lt;&gt;0")+COUNTIF(FB18,"&lt;&gt;0")+COUNTIF(FB21,"&lt;&gt;0"))   -   COUNTIF(Detail!$G:$G,'Rates-Service Fees'!FB$23), 0)</f>
        <v>0</v>
      </c>
      <c r="FC60">
        <f>IF(FC1&lt;&gt;0,(COUNTIF(FC9,"&lt;&gt;0")+COUNTIF(FC12,"&lt;&gt;0")+COUNTIF(FC15,"&lt;&gt;0")+COUNTIF(FC18,"&lt;&gt;0")+COUNTIF(FC21,"&lt;&gt;0"))   -   COUNTIF(Detail!$G:$G,'Rates-Service Fees'!FC$23), 0)</f>
        <v>0</v>
      </c>
      <c r="FD60">
        <f>IF(FD1&lt;&gt;0,(COUNTIF(FD9,"&lt;&gt;0")+COUNTIF(FD12,"&lt;&gt;0")+COUNTIF(FD15,"&lt;&gt;0")+COUNTIF(FD18,"&lt;&gt;0")+COUNTIF(FD21,"&lt;&gt;0"))   -   COUNTIF(Detail!$G:$G,'Rates-Service Fees'!FD$23), 0)</f>
        <v>0</v>
      </c>
      <c r="FE60">
        <f>IF(FE1&lt;&gt;0,(COUNTIF(FE9,"&lt;&gt;0")+COUNTIF(FE12,"&lt;&gt;0")+COUNTIF(FE15,"&lt;&gt;0")+COUNTIF(FE18,"&lt;&gt;0")+COUNTIF(FE21,"&lt;&gt;0"))   -   COUNTIF(Detail!$G:$G,'Rates-Service Fees'!FE$23), 0)</f>
        <v>0</v>
      </c>
      <c r="FF60">
        <f>IF(FF1&lt;&gt;0,(COUNTIF(FF9,"&lt;&gt;0")+COUNTIF(FF12,"&lt;&gt;0")+COUNTIF(FF15,"&lt;&gt;0")+COUNTIF(FF18,"&lt;&gt;0")+COUNTIF(FF21,"&lt;&gt;0"))   -   COUNTIF(Detail!$G:$G,'Rates-Service Fees'!FF$23), 0)</f>
        <v>0</v>
      </c>
      <c r="FG60">
        <f>IF(FG1&lt;&gt;0,(COUNTIF(FG9,"&lt;&gt;0")+COUNTIF(FG12,"&lt;&gt;0")+COUNTIF(FG15,"&lt;&gt;0")+COUNTIF(FG18,"&lt;&gt;0")+COUNTIF(FG21,"&lt;&gt;0"))   -   COUNTIF(Detail!$G:$G,'Rates-Service Fees'!FG$23), 0)</f>
        <v>0</v>
      </c>
      <c r="FH60">
        <f>IF(FH1&lt;&gt;0,(COUNTIF(FH9,"&lt;&gt;0")+COUNTIF(FH12,"&lt;&gt;0")+COUNTIF(FH15,"&lt;&gt;0")+COUNTIF(FH18,"&lt;&gt;0")+COUNTIF(FH21,"&lt;&gt;0"))   -   COUNTIF(Detail!$G:$G,'Rates-Service Fees'!FH$23), 0)</f>
        <v>0</v>
      </c>
      <c r="FI60">
        <f>IF(FI1&lt;&gt;0,(COUNTIF(FI9,"&lt;&gt;0")+COUNTIF(FI12,"&lt;&gt;0")+COUNTIF(FI15,"&lt;&gt;0")+COUNTIF(FI18,"&lt;&gt;0")+COUNTIF(FI21,"&lt;&gt;0"))   -   COUNTIF(Detail!$G:$G,'Rates-Service Fees'!FI$23), 0)</f>
        <v>0</v>
      </c>
      <c r="FJ60">
        <f>IF(FJ1&lt;&gt;0,(COUNTIF(FJ9,"&lt;&gt;0")+COUNTIF(FJ12,"&lt;&gt;0")+COUNTIF(FJ15,"&lt;&gt;0")+COUNTIF(FJ18,"&lt;&gt;0")+COUNTIF(FJ21,"&lt;&gt;0"))   -   COUNTIF(Detail!$G:$G,'Rates-Service Fees'!FJ$23), 0)</f>
        <v>0</v>
      </c>
      <c r="FK60">
        <f>IF(FK1&lt;&gt;0,(COUNTIF(FK9,"&lt;&gt;0")+COUNTIF(FK12,"&lt;&gt;0")+COUNTIF(FK15,"&lt;&gt;0")+COUNTIF(FK18,"&lt;&gt;0")+COUNTIF(FK21,"&lt;&gt;0"))   -   COUNTIF(Detail!$G:$G,'Rates-Service Fees'!FK$23), 0)</f>
        <v>0</v>
      </c>
      <c r="FL60">
        <f>IF(FL1&lt;&gt;0,(COUNTIF(FL9,"&lt;&gt;0")+COUNTIF(FL12,"&lt;&gt;0")+COUNTIF(FL15,"&lt;&gt;0")+COUNTIF(FL18,"&lt;&gt;0")+COUNTIF(FL21,"&lt;&gt;0"))   -   COUNTIF(Detail!$G:$G,'Rates-Service Fees'!FL$23), 0)</f>
        <v>0</v>
      </c>
      <c r="FM60">
        <f>IF(FM1&lt;&gt;0,(COUNTIF(FM9,"&lt;&gt;0")+COUNTIF(FM12,"&lt;&gt;0")+COUNTIF(FM15,"&lt;&gt;0")+COUNTIF(FM18,"&lt;&gt;0")+COUNTIF(FM21,"&lt;&gt;0"))   -   COUNTIF(Detail!$G:$G,'Rates-Service Fees'!FM$23), 0)</f>
        <v>0</v>
      </c>
      <c r="FN60">
        <f>IF(FN1&lt;&gt;0,(COUNTIF(FN9,"&lt;&gt;0")+COUNTIF(FN12,"&lt;&gt;0")+COUNTIF(FN15,"&lt;&gt;0")+COUNTIF(FN18,"&lt;&gt;0")+COUNTIF(FN21,"&lt;&gt;0"))   -   COUNTIF(Detail!$G:$G,'Rates-Service Fees'!FN$23), 0)</f>
        <v>0</v>
      </c>
      <c r="FO60">
        <f>IF(FO1&lt;&gt;0,(COUNTIF(FO9,"&lt;&gt;0")+COUNTIF(FO12,"&lt;&gt;0")+COUNTIF(FO15,"&lt;&gt;0")+COUNTIF(FO18,"&lt;&gt;0")+COUNTIF(FO21,"&lt;&gt;0"))   -   COUNTIF(Detail!$G:$G,'Rates-Service Fees'!FO$23), 0)</f>
        <v>0</v>
      </c>
      <c r="FP60">
        <f>IF(FP1&lt;&gt;0,(COUNTIF(FP9,"&lt;&gt;0")+COUNTIF(FP12,"&lt;&gt;0")+COUNTIF(FP15,"&lt;&gt;0")+COUNTIF(FP18,"&lt;&gt;0")+COUNTIF(FP21,"&lt;&gt;0"))   -   COUNTIF(Detail!$G:$G,'Rates-Service Fees'!FP$23), 0)</f>
        <v>0</v>
      </c>
      <c r="FQ60">
        <f>IF(FQ1&lt;&gt;0,(COUNTIF(FQ9,"&lt;&gt;0")+COUNTIF(FQ12,"&lt;&gt;0")+COUNTIF(FQ15,"&lt;&gt;0")+COUNTIF(FQ18,"&lt;&gt;0")+COUNTIF(FQ21,"&lt;&gt;0"))   -   COUNTIF(Detail!$G:$G,'Rates-Service Fees'!FQ$23), 0)</f>
        <v>0</v>
      </c>
      <c r="FR60">
        <f>IF(FR1&lt;&gt;0,(COUNTIF(FR9,"&lt;&gt;0")+COUNTIF(FR12,"&lt;&gt;0")+COUNTIF(FR15,"&lt;&gt;0")+COUNTIF(FR18,"&lt;&gt;0")+COUNTIF(FR21,"&lt;&gt;0"))   -   COUNTIF(Detail!$G:$G,'Rates-Service Fees'!FR$23), 0)</f>
        <v>0</v>
      </c>
      <c r="FS60">
        <f>IF(FS1&lt;&gt;0,(COUNTIF(FS9,"&lt;&gt;0")+COUNTIF(FS12,"&lt;&gt;0")+COUNTIF(FS15,"&lt;&gt;0")+COUNTIF(FS18,"&lt;&gt;0")+COUNTIF(FS21,"&lt;&gt;0"))   -   COUNTIF(Detail!$G:$G,'Rates-Service Fees'!FS$23), 0)</f>
        <v>0</v>
      </c>
      <c r="FT60">
        <f>IF(FT1&lt;&gt;0,(COUNTIF(FT9,"&lt;&gt;0")+COUNTIF(FT12,"&lt;&gt;0")+COUNTIF(FT15,"&lt;&gt;0")+COUNTIF(FT18,"&lt;&gt;0")+COUNTIF(FT21,"&lt;&gt;0"))   -   COUNTIF(Detail!$G:$G,'Rates-Service Fees'!FT$23), 0)</f>
        <v>0</v>
      </c>
      <c r="FU60">
        <f>IF(FU1&lt;&gt;0,(COUNTIF(FU9,"&lt;&gt;0")+COUNTIF(FU12,"&lt;&gt;0")+COUNTIF(FU15,"&lt;&gt;0")+COUNTIF(FU18,"&lt;&gt;0")+COUNTIF(FU21,"&lt;&gt;0"))   -   COUNTIF(Detail!$G:$G,'Rates-Service Fees'!FU$23), 0)</f>
        <v>0</v>
      </c>
      <c r="FV60">
        <f>IF(FV1&lt;&gt;0,(COUNTIF(FV9,"&lt;&gt;0")+COUNTIF(FV12,"&lt;&gt;0")+COUNTIF(FV15,"&lt;&gt;0")+COUNTIF(FV18,"&lt;&gt;0")+COUNTIF(FV21,"&lt;&gt;0"))   -   COUNTIF(Detail!$G:$G,'Rates-Service Fees'!FV$23), 0)</f>
        <v>0</v>
      </c>
      <c r="FW60">
        <f>IF(FW1&lt;&gt;0,(COUNTIF(FW9,"&lt;&gt;0")+COUNTIF(FW12,"&lt;&gt;0")+COUNTIF(FW15,"&lt;&gt;0")+COUNTIF(FW18,"&lt;&gt;0")+COUNTIF(FW21,"&lt;&gt;0"))   -   COUNTIF(Detail!$G:$G,'Rates-Service Fees'!FW$23), 0)</f>
        <v>0</v>
      </c>
      <c r="FX60">
        <f>IF(FX1&lt;&gt;0,(COUNTIF(FX9,"&lt;&gt;0")+COUNTIF(FX12,"&lt;&gt;0")+COUNTIF(FX15,"&lt;&gt;0")+COUNTIF(FX18,"&lt;&gt;0")+COUNTIF(FX21,"&lt;&gt;0"))   -   COUNTIF(Detail!$G:$G,'Rates-Service Fees'!FX$23), 0)</f>
        <v>0</v>
      </c>
      <c r="FY60">
        <f>IF(FY1&lt;&gt;0,(COUNTIF(FY9,"&lt;&gt;0")+COUNTIF(FY12,"&lt;&gt;0")+COUNTIF(FY15,"&lt;&gt;0")+COUNTIF(FY18,"&lt;&gt;0")+COUNTIF(FY21,"&lt;&gt;0"))   -   COUNTIF(Detail!$G:$G,'Rates-Service Fees'!FY$23), 0)</f>
        <v>0</v>
      </c>
      <c r="FZ60">
        <f>IF(FZ1&lt;&gt;0,(COUNTIF(FZ9,"&lt;&gt;0")+COUNTIF(FZ12,"&lt;&gt;0")+COUNTIF(FZ15,"&lt;&gt;0")+COUNTIF(FZ18,"&lt;&gt;0")+COUNTIF(FZ21,"&lt;&gt;0"))   -   COUNTIF(Detail!$G:$G,'Rates-Service Fees'!FZ$23), 0)</f>
        <v>0</v>
      </c>
      <c r="GA60">
        <f>IF(GA1&lt;&gt;0,(COUNTIF(GA9,"&lt;&gt;0")+COUNTIF(GA12,"&lt;&gt;0")+COUNTIF(GA15,"&lt;&gt;0")+COUNTIF(GA18,"&lt;&gt;0")+COUNTIF(GA21,"&lt;&gt;0"))   -   COUNTIF(Detail!$G:$G,'Rates-Service Fees'!GA$23), 0)</f>
        <v>0</v>
      </c>
      <c r="GB60">
        <f>IF(GB1&lt;&gt;0,(COUNTIF(GB9,"&lt;&gt;0")+COUNTIF(GB12,"&lt;&gt;0")+COUNTIF(GB15,"&lt;&gt;0")+COUNTIF(GB18,"&lt;&gt;0")+COUNTIF(GB21,"&lt;&gt;0"))   -   COUNTIF(Detail!$G:$G,'Rates-Service Fees'!GB$23), 0)</f>
        <v>0</v>
      </c>
      <c r="GC60">
        <f>IF(GC1&lt;&gt;0,(COUNTIF(GC9,"&lt;&gt;0")+COUNTIF(GC12,"&lt;&gt;0")+COUNTIF(GC15,"&lt;&gt;0")+COUNTIF(GC18,"&lt;&gt;0")+COUNTIF(GC21,"&lt;&gt;0"))   -   COUNTIF(Detail!$G:$G,'Rates-Service Fees'!GC$23), 0)</f>
        <v>0</v>
      </c>
      <c r="GD60">
        <f>IF(GD1&lt;&gt;0,(COUNTIF(GD9,"&lt;&gt;0")+COUNTIF(GD12,"&lt;&gt;0")+COUNTIF(GD15,"&lt;&gt;0")+COUNTIF(GD18,"&lt;&gt;0")+COUNTIF(GD21,"&lt;&gt;0"))   -   COUNTIF(Detail!$G:$G,'Rates-Service Fees'!GD$23), 0)</f>
        <v>0</v>
      </c>
      <c r="GE60">
        <f>IF(GE1&lt;&gt;0,(COUNTIF(GE9,"&lt;&gt;0")+COUNTIF(GE12,"&lt;&gt;0")+COUNTIF(GE15,"&lt;&gt;0")+COUNTIF(GE18,"&lt;&gt;0")+COUNTIF(GE21,"&lt;&gt;0"))   -   COUNTIF(Detail!$G:$G,'Rates-Service Fees'!GE$23), 0)</f>
        <v>0</v>
      </c>
      <c r="GF60">
        <f>IF(GF1&lt;&gt;0,(COUNTIF(GF9,"&lt;&gt;0")+COUNTIF(GF12,"&lt;&gt;0")+COUNTIF(GF15,"&lt;&gt;0")+COUNTIF(GF18,"&lt;&gt;0")+COUNTIF(GF21,"&lt;&gt;0"))   -   COUNTIF(Detail!$G:$G,'Rates-Service Fees'!GF$23), 0)</f>
        <v>0</v>
      </c>
      <c r="GG60">
        <f>IF(GG1&lt;&gt;0,(COUNTIF(GG9,"&lt;&gt;0")+COUNTIF(GG12,"&lt;&gt;0")+COUNTIF(GG15,"&lt;&gt;0")+COUNTIF(GG18,"&lt;&gt;0")+COUNTIF(GG21,"&lt;&gt;0"))   -   COUNTIF(Detail!$G:$G,'Rates-Service Fees'!GG$23), 0)</f>
        <v>0</v>
      </c>
      <c r="GH60">
        <f>IF(GH1&lt;&gt;0,(COUNTIF(GH9,"&lt;&gt;0")+COUNTIF(GH12,"&lt;&gt;0")+COUNTIF(GH15,"&lt;&gt;0")+COUNTIF(GH18,"&lt;&gt;0")+COUNTIF(GH21,"&lt;&gt;0"))   -   COUNTIF(Detail!$G:$G,'Rates-Service Fees'!GH$23), 0)</f>
        <v>0</v>
      </c>
      <c r="GI60">
        <f>IF(GI1&lt;&gt;0,(COUNTIF(GI9,"&lt;&gt;0")+COUNTIF(GI12,"&lt;&gt;0")+COUNTIF(GI15,"&lt;&gt;0")+COUNTIF(GI18,"&lt;&gt;0")+COUNTIF(GI21,"&lt;&gt;0"))   -   COUNTIF(Detail!$G:$G,'Rates-Service Fees'!GI$23), 0)</f>
        <v>0</v>
      </c>
      <c r="GJ60">
        <f>IF(GJ1&lt;&gt;0,(COUNTIF(GJ9,"&lt;&gt;0")+COUNTIF(GJ12,"&lt;&gt;0")+COUNTIF(GJ15,"&lt;&gt;0")+COUNTIF(GJ18,"&lt;&gt;0")+COUNTIF(GJ21,"&lt;&gt;0"))   -   COUNTIF(Detail!$G:$G,'Rates-Service Fees'!GJ$23), 0)</f>
        <v>0</v>
      </c>
      <c r="GK60">
        <f>IF(GK1&lt;&gt;0,(COUNTIF(GK9,"&lt;&gt;0")+COUNTIF(GK12,"&lt;&gt;0")+COUNTIF(GK15,"&lt;&gt;0")+COUNTIF(GK18,"&lt;&gt;0")+COUNTIF(GK21,"&lt;&gt;0"))   -   COUNTIF(Detail!$G:$G,'Rates-Service Fees'!GK$23), 0)</f>
        <v>0</v>
      </c>
      <c r="GL60">
        <f>IF(GL1&lt;&gt;0,(COUNTIF(GL9,"&lt;&gt;0")+COUNTIF(GL12,"&lt;&gt;0")+COUNTIF(GL15,"&lt;&gt;0")+COUNTIF(GL18,"&lt;&gt;0")+COUNTIF(GL21,"&lt;&gt;0"))   -   COUNTIF(Detail!$G:$G,'Rates-Service Fees'!GL$23), 0)</f>
        <v>0</v>
      </c>
      <c r="GM60">
        <f>IF(GM1&lt;&gt;0,(COUNTIF(GM9,"&lt;&gt;0")+COUNTIF(GM12,"&lt;&gt;0")+COUNTIF(GM15,"&lt;&gt;0")+COUNTIF(GM18,"&lt;&gt;0")+COUNTIF(GM21,"&lt;&gt;0"))   -   COUNTIF(Detail!$G:$G,'Rates-Service Fees'!GM$23), 0)</f>
        <v>0</v>
      </c>
      <c r="GN60">
        <f>IF(GN1&lt;&gt;0,(COUNTIF(GN9,"&lt;&gt;0")+COUNTIF(GN12,"&lt;&gt;0")+COUNTIF(GN15,"&lt;&gt;0")+COUNTIF(GN18,"&lt;&gt;0")+COUNTIF(GN21,"&lt;&gt;0"))   -   COUNTIF(Detail!$G:$G,'Rates-Service Fees'!GN$23), 0)</f>
        <v>0</v>
      </c>
      <c r="GO60">
        <f>IF(GO1&lt;&gt;0,(COUNTIF(GO9,"&lt;&gt;0")+COUNTIF(GO12,"&lt;&gt;0")+COUNTIF(GO15,"&lt;&gt;0")+COUNTIF(GO18,"&lt;&gt;0")+COUNTIF(GO21,"&lt;&gt;0"))   -   COUNTIF(Detail!$G:$G,'Rates-Service Fees'!GO$23), 0)</f>
        <v>0</v>
      </c>
      <c r="GP60">
        <f>IF(GP1&lt;&gt;0,(COUNTIF(GP9,"&lt;&gt;0")+COUNTIF(GP12,"&lt;&gt;0")+COUNTIF(GP15,"&lt;&gt;0")+COUNTIF(GP18,"&lt;&gt;0")+COUNTIF(GP21,"&lt;&gt;0"))   -   COUNTIF(Detail!$G:$G,'Rates-Service Fees'!GP$23), 0)</f>
        <v>0</v>
      </c>
      <c r="GQ60">
        <f>IF(GQ1&lt;&gt;0,(COUNTIF(GQ9,"&lt;&gt;0")+COUNTIF(GQ12,"&lt;&gt;0")+COUNTIF(GQ15,"&lt;&gt;0")+COUNTIF(GQ18,"&lt;&gt;0")+COUNTIF(GQ21,"&lt;&gt;0"))   -   COUNTIF(Detail!$G:$G,'Rates-Service Fees'!GQ$23), 0)</f>
        <v>0</v>
      </c>
      <c r="GR60">
        <f>IF(GR1&lt;&gt;0,(COUNTIF(GR9,"&lt;&gt;0")+COUNTIF(GR12,"&lt;&gt;0")+COUNTIF(GR15,"&lt;&gt;0")+COUNTIF(GR18,"&lt;&gt;0")+COUNTIF(GR21,"&lt;&gt;0"))   -   COUNTIF(Detail!$G:$G,'Rates-Service Fees'!GR$23), 0)</f>
        <v>0</v>
      </c>
      <c r="GS60">
        <f>IF(GS1&lt;&gt;0,(COUNTIF(GS9,"&lt;&gt;0")+COUNTIF(GS12,"&lt;&gt;0")+COUNTIF(GS15,"&lt;&gt;0")+COUNTIF(GS18,"&lt;&gt;0")+COUNTIF(GS21,"&lt;&gt;0"))   -   COUNTIF(Detail!$G:$G,'Rates-Service Fees'!GS$23), 0)</f>
        <v>0</v>
      </c>
      <c r="GT60">
        <f>IF(GT1&lt;&gt;0,(COUNTIF(GT9,"&lt;&gt;0")+COUNTIF(GT12,"&lt;&gt;0")+COUNTIF(GT15,"&lt;&gt;0")+COUNTIF(GT18,"&lt;&gt;0")+COUNTIF(GT21,"&lt;&gt;0"))   -   COUNTIF(Detail!$G:$G,'Rates-Service Fees'!GT$23), 0)</f>
        <v>0</v>
      </c>
      <c r="GU60">
        <f>IF(GU1&lt;&gt;0,(COUNTIF(GU9,"&lt;&gt;0")+COUNTIF(GU12,"&lt;&gt;0")+COUNTIF(GU15,"&lt;&gt;0")+COUNTIF(GU18,"&lt;&gt;0")+COUNTIF(GU21,"&lt;&gt;0"))   -   COUNTIF(Detail!$G:$G,'Rates-Service Fees'!GU$23), 0)</f>
        <v>0</v>
      </c>
      <c r="GV60">
        <f>IF(GV1&lt;&gt;0,(COUNTIF(GV9,"&lt;&gt;0")+COUNTIF(GV12,"&lt;&gt;0")+COUNTIF(GV15,"&lt;&gt;0")+COUNTIF(GV18,"&lt;&gt;0")+COUNTIF(GV21,"&lt;&gt;0"))   -   COUNTIF(Detail!$G:$G,'Rates-Service Fees'!GV$23), 0)</f>
        <v>0</v>
      </c>
      <c r="GW60">
        <f>IF(GW1&lt;&gt;0,(COUNTIF(GW9,"&lt;&gt;0")+COUNTIF(GW12,"&lt;&gt;0")+COUNTIF(GW15,"&lt;&gt;0")+COUNTIF(GW18,"&lt;&gt;0")+COUNTIF(GW21,"&lt;&gt;0"))   -   COUNTIF(Detail!$G:$G,'Rates-Service Fees'!GW$23), 0)</f>
        <v>0</v>
      </c>
      <c r="GX60">
        <f>IF(GX1&lt;&gt;0,(COUNTIF(GX9,"&lt;&gt;0")+COUNTIF(GX12,"&lt;&gt;0")+COUNTIF(GX15,"&lt;&gt;0")+COUNTIF(GX18,"&lt;&gt;0")+COUNTIF(GX21,"&lt;&gt;0"))   -   COUNTIF(Detail!$G:$G,'Rates-Service Fees'!GX$23), 0)</f>
        <v>0</v>
      </c>
      <c r="GY60">
        <f>IF(GY1&lt;&gt;0,(COUNTIF(GY9,"&lt;&gt;0")+COUNTIF(GY12,"&lt;&gt;0")+COUNTIF(GY15,"&lt;&gt;0")+COUNTIF(GY18,"&lt;&gt;0")+COUNTIF(GY21,"&lt;&gt;0"))   -   COUNTIF(Detail!$G:$G,'Rates-Service Fees'!GY$23), 0)</f>
        <v>0</v>
      </c>
      <c r="GZ60">
        <f>IF(GZ1&lt;&gt;0,(COUNTIF(GZ9,"&lt;&gt;0")+COUNTIF(GZ12,"&lt;&gt;0")+COUNTIF(GZ15,"&lt;&gt;0")+COUNTIF(GZ18,"&lt;&gt;0")+COUNTIF(GZ21,"&lt;&gt;0"))   -   COUNTIF(Detail!$G:$G,'Rates-Service Fees'!GZ$23), 0)</f>
        <v>0</v>
      </c>
      <c r="HA60">
        <f>IF(HA1&lt;&gt;0,(COUNTIF(HA9,"&lt;&gt;0")+COUNTIF(HA12,"&lt;&gt;0")+COUNTIF(HA15,"&lt;&gt;0")+COUNTIF(HA18,"&lt;&gt;0")+COUNTIF(HA21,"&lt;&gt;0"))   -   COUNTIF(Detail!$G:$G,'Rates-Service Fees'!HA$23), 0)</f>
        <v>0</v>
      </c>
      <c r="HB60">
        <f>IF(HB1&lt;&gt;0,(COUNTIF(HB9,"&lt;&gt;0")+COUNTIF(HB12,"&lt;&gt;0")+COUNTIF(HB15,"&lt;&gt;0")+COUNTIF(HB18,"&lt;&gt;0")+COUNTIF(HB21,"&lt;&gt;0"))   -   COUNTIF(Detail!$G:$G,'Rates-Service Fees'!HB$23), 0)</f>
        <v>0</v>
      </c>
      <c r="HC60">
        <f>IF(HC1&lt;&gt;0,(COUNTIF(HC9,"&lt;&gt;0")+COUNTIF(HC12,"&lt;&gt;0")+COUNTIF(HC15,"&lt;&gt;0")+COUNTIF(HC18,"&lt;&gt;0")+COUNTIF(HC21,"&lt;&gt;0"))   -   COUNTIF(Detail!$G:$G,'Rates-Service Fees'!HC$23), 0)</f>
        <v>0</v>
      </c>
      <c r="HD60">
        <f>IF(HD1&lt;&gt;0,(COUNTIF(HD9,"&lt;&gt;0")+COUNTIF(HD12,"&lt;&gt;0")+COUNTIF(HD15,"&lt;&gt;0")+COUNTIF(HD18,"&lt;&gt;0")+COUNTIF(HD21,"&lt;&gt;0"))   -   COUNTIF(Detail!$G:$G,'Rates-Service Fees'!HD$23), 0)</f>
        <v>0</v>
      </c>
      <c r="HE60">
        <f>IF(HE1&lt;&gt;0,(COUNTIF(HE9,"&lt;&gt;0")+COUNTIF(HE12,"&lt;&gt;0")+COUNTIF(HE15,"&lt;&gt;0")+COUNTIF(HE18,"&lt;&gt;0")+COUNTIF(HE21,"&lt;&gt;0"))   -   COUNTIF(Detail!$G:$G,'Rates-Service Fees'!HE$23), 0)</f>
        <v>0</v>
      </c>
      <c r="HF60">
        <f>IF(HF1&lt;&gt;0,(COUNTIF(HF9,"&lt;&gt;0")+COUNTIF(HF12,"&lt;&gt;0")+COUNTIF(HF15,"&lt;&gt;0")+COUNTIF(HF18,"&lt;&gt;0")+COUNTIF(HF21,"&lt;&gt;0"))   -   COUNTIF(Detail!$G:$G,'Rates-Service Fees'!HF$23), 0)</f>
        <v>0</v>
      </c>
      <c r="HG60">
        <f>IF(HG1&lt;&gt;0,(COUNTIF(HG9,"&lt;&gt;0")+COUNTIF(HG12,"&lt;&gt;0")+COUNTIF(HG15,"&lt;&gt;0")+COUNTIF(HG18,"&lt;&gt;0")+COUNTIF(HG21,"&lt;&gt;0"))   -   COUNTIF(Detail!$G:$G,'Rates-Service Fees'!HG$23), 0)</f>
        <v>0</v>
      </c>
      <c r="HH60">
        <f>IF(HH1&lt;&gt;0,(COUNTIF(HH9,"&lt;&gt;0")+COUNTIF(HH12,"&lt;&gt;0")+COUNTIF(HH15,"&lt;&gt;0")+COUNTIF(HH18,"&lt;&gt;0")+COUNTIF(HH21,"&lt;&gt;0"))   -   COUNTIF(Detail!$G:$G,'Rates-Service Fees'!HH$23), 0)</f>
        <v>0</v>
      </c>
      <c r="HI60">
        <f>IF(HI1&lt;&gt;0,(COUNTIF(HI9,"&lt;&gt;0")+COUNTIF(HI12,"&lt;&gt;0")+COUNTIF(HI15,"&lt;&gt;0")+COUNTIF(HI18,"&lt;&gt;0")+COUNTIF(HI21,"&lt;&gt;0"))   -   COUNTIF(Detail!$G:$G,'Rates-Service Fees'!HI$23), 0)</f>
        <v>0</v>
      </c>
      <c r="HJ60">
        <f>IF(HJ1&lt;&gt;0,(COUNTIF(HJ9,"&lt;&gt;0")+COUNTIF(HJ12,"&lt;&gt;0")+COUNTIF(HJ15,"&lt;&gt;0")+COUNTIF(HJ18,"&lt;&gt;0")+COUNTIF(HJ21,"&lt;&gt;0"))   -   COUNTIF(Detail!$G:$G,'Rates-Service Fees'!HJ$23), 0)</f>
        <v>0</v>
      </c>
      <c r="HK60">
        <f>IF(HK1&lt;&gt;0,(COUNTIF(HK9,"&lt;&gt;0")+COUNTIF(HK12,"&lt;&gt;0")+COUNTIF(HK15,"&lt;&gt;0")+COUNTIF(HK18,"&lt;&gt;0")+COUNTIF(HK21,"&lt;&gt;0"))   -   COUNTIF(Detail!$G:$G,'Rates-Service Fees'!HK$23), 0)</f>
        <v>0</v>
      </c>
      <c r="HL60">
        <f>IF(HL1&lt;&gt;0,(COUNTIF(HL9,"&lt;&gt;0")+COUNTIF(HL12,"&lt;&gt;0")+COUNTIF(HL15,"&lt;&gt;0")+COUNTIF(HL18,"&lt;&gt;0")+COUNTIF(HL21,"&lt;&gt;0"))   -   COUNTIF(Detail!$G:$G,'Rates-Service Fees'!HL$23), 0)</f>
        <v>0</v>
      </c>
      <c r="HM60">
        <f>IF(HM1&lt;&gt;0,(COUNTIF(HM9,"&lt;&gt;0")+COUNTIF(HM12,"&lt;&gt;0")+COUNTIF(HM15,"&lt;&gt;0")+COUNTIF(HM18,"&lt;&gt;0")+COUNTIF(HM21,"&lt;&gt;0"))   -   COUNTIF(Detail!$G:$G,'Rates-Service Fees'!HM$23), 0)</f>
        <v>0</v>
      </c>
      <c r="HN60">
        <f>IF(HN1&lt;&gt;0,(COUNTIF(HN9,"&lt;&gt;0")+COUNTIF(HN12,"&lt;&gt;0")+COUNTIF(HN15,"&lt;&gt;0")+COUNTIF(HN18,"&lt;&gt;0")+COUNTIF(HN21,"&lt;&gt;0"))   -   COUNTIF(Detail!$G:$G,'Rates-Service Fees'!HN$23), 0)</f>
        <v>0</v>
      </c>
      <c r="HO60">
        <f>IF(HO1&lt;&gt;0,(COUNTIF(HO9,"&lt;&gt;0")+COUNTIF(HO12,"&lt;&gt;0")+COUNTIF(HO15,"&lt;&gt;0")+COUNTIF(HO18,"&lt;&gt;0")+COUNTIF(HO21,"&lt;&gt;0"))   -   COUNTIF(Detail!$G:$G,'Rates-Service Fees'!HO$23), 0)</f>
        <v>0</v>
      </c>
      <c r="HP60">
        <f>IF(HP1&lt;&gt;0,(COUNTIF(HP9,"&lt;&gt;0")+COUNTIF(HP12,"&lt;&gt;0")+COUNTIF(HP15,"&lt;&gt;0")+COUNTIF(HP18,"&lt;&gt;0")+COUNTIF(HP21,"&lt;&gt;0"))   -   COUNTIF(Detail!$G:$G,'Rates-Service Fees'!HP$23), 0)</f>
        <v>0</v>
      </c>
      <c r="HQ60">
        <f>IF(HQ1&lt;&gt;0,(COUNTIF(HQ9,"&lt;&gt;0")+COUNTIF(HQ12,"&lt;&gt;0")+COUNTIF(HQ15,"&lt;&gt;0")+COUNTIF(HQ18,"&lt;&gt;0")+COUNTIF(HQ21,"&lt;&gt;0"))   -   COUNTIF(Detail!$G:$G,'Rates-Service Fees'!HQ$23), 0)</f>
        <v>0</v>
      </c>
      <c r="HR60">
        <f>IF(HR1&lt;&gt;0,(COUNTIF(HR9,"&lt;&gt;0")+COUNTIF(HR12,"&lt;&gt;0")+COUNTIF(HR15,"&lt;&gt;0")+COUNTIF(HR18,"&lt;&gt;0")+COUNTIF(HR21,"&lt;&gt;0"))   -   COUNTIF(Detail!$G:$G,'Rates-Service Fees'!HR$23), 0)</f>
        <v>0</v>
      </c>
      <c r="HS60">
        <f>IF(HS1&lt;&gt;0,(COUNTIF(HS9,"&lt;&gt;0")+COUNTIF(HS12,"&lt;&gt;0")+COUNTIF(HS15,"&lt;&gt;0")+COUNTIF(HS18,"&lt;&gt;0")+COUNTIF(HS21,"&lt;&gt;0"))   -   COUNTIF(Detail!$G:$G,'Rates-Service Fees'!HS$23), 0)</f>
        <v>0</v>
      </c>
      <c r="HT60">
        <f>IF(HT1&lt;&gt;0,(COUNTIF(HT9,"&lt;&gt;0")+COUNTIF(HT12,"&lt;&gt;0")+COUNTIF(HT15,"&lt;&gt;0")+COUNTIF(HT18,"&lt;&gt;0")+COUNTIF(HT21,"&lt;&gt;0"))   -   COUNTIF(Detail!$G:$G,'Rates-Service Fees'!HT$23), 0)</f>
        <v>0</v>
      </c>
      <c r="HU60">
        <f>IF(HU1&lt;&gt;0,(COUNTIF(HU9,"&lt;&gt;0")+COUNTIF(HU12,"&lt;&gt;0")+COUNTIF(HU15,"&lt;&gt;0")+COUNTIF(HU18,"&lt;&gt;0")+COUNTIF(HU21,"&lt;&gt;0"))   -   COUNTIF(Detail!$G:$G,'Rates-Service Fees'!HU$23), 0)</f>
        <v>0</v>
      </c>
      <c r="HV60">
        <f>IF(HV1&lt;&gt;0,(COUNTIF(HV9,"&lt;&gt;0")+COUNTIF(HV12,"&lt;&gt;0")+COUNTIF(HV15,"&lt;&gt;0")+COUNTIF(HV18,"&lt;&gt;0")+COUNTIF(HV21,"&lt;&gt;0"))   -   COUNTIF(Detail!$G:$G,'Rates-Service Fees'!HV$23), 0)</f>
        <v>0</v>
      </c>
      <c r="HW60">
        <f>IF(HW1&lt;&gt;0,(COUNTIF(HW9,"&lt;&gt;0")+COUNTIF(HW12,"&lt;&gt;0")+COUNTIF(HW15,"&lt;&gt;0")+COUNTIF(HW18,"&lt;&gt;0")+COUNTIF(HW21,"&lt;&gt;0"))   -   COUNTIF(Detail!$G:$G,'Rates-Service Fees'!HW$23), 0)</f>
        <v>0</v>
      </c>
      <c r="HX60">
        <f>IF(HX1&lt;&gt;0,(COUNTIF(HX9,"&lt;&gt;0")+COUNTIF(HX12,"&lt;&gt;0")+COUNTIF(HX15,"&lt;&gt;0")+COUNTIF(HX18,"&lt;&gt;0")+COUNTIF(HX21,"&lt;&gt;0"))   -   COUNTIF(Detail!$G:$G,'Rates-Service Fees'!HX$23), 0)</f>
        <v>0</v>
      </c>
      <c r="HY60">
        <f>IF(HY1&lt;&gt;0,(COUNTIF(HY9,"&lt;&gt;0")+COUNTIF(HY12,"&lt;&gt;0")+COUNTIF(HY15,"&lt;&gt;0")+COUNTIF(HY18,"&lt;&gt;0")+COUNTIF(HY21,"&lt;&gt;0"))   -   COUNTIF(Detail!$G:$G,'Rates-Service Fees'!HY$23), 0)</f>
        <v>0</v>
      </c>
      <c r="HZ60">
        <f>IF(HZ1&lt;&gt;0,(COUNTIF(HZ9,"&lt;&gt;0")+COUNTIF(HZ12,"&lt;&gt;0")+COUNTIF(HZ15,"&lt;&gt;0")+COUNTIF(HZ18,"&lt;&gt;0")+COUNTIF(HZ21,"&lt;&gt;0"))   -   COUNTIF(Detail!$G:$G,'Rates-Service Fees'!HZ$23), 0)</f>
        <v>0</v>
      </c>
      <c r="IA60">
        <f>IF(IA1&lt;&gt;0,(COUNTIF(IA9,"&lt;&gt;0")+COUNTIF(IA12,"&lt;&gt;0")+COUNTIF(IA15,"&lt;&gt;0")+COUNTIF(IA18,"&lt;&gt;0")+COUNTIF(IA21,"&lt;&gt;0"))   -   COUNTIF(Detail!$G:$G,'Rates-Service Fees'!IA$23), 0)</f>
        <v>0</v>
      </c>
      <c r="IB60">
        <f>IF(IB1&lt;&gt;0,(COUNTIF(IB9,"&lt;&gt;0")+COUNTIF(IB12,"&lt;&gt;0")+COUNTIF(IB15,"&lt;&gt;0")+COUNTIF(IB18,"&lt;&gt;0")+COUNTIF(IB21,"&lt;&gt;0"))   -   COUNTIF(Detail!$G:$G,'Rates-Service Fees'!IB$23), 0)</f>
        <v>0</v>
      </c>
      <c r="IC60">
        <f>IF(IC1&lt;&gt;0,(COUNTIF(IC9,"&lt;&gt;0")+COUNTIF(IC12,"&lt;&gt;0")+COUNTIF(IC15,"&lt;&gt;0")+COUNTIF(IC18,"&lt;&gt;0")+COUNTIF(IC21,"&lt;&gt;0"))   -   COUNTIF(Detail!$G:$G,'Rates-Service Fees'!IC$23), 0)</f>
        <v>0</v>
      </c>
      <c r="ID60">
        <f>IF(ID1&lt;&gt;0,(COUNTIF(ID9,"&lt;&gt;0")+COUNTIF(ID12,"&lt;&gt;0")+COUNTIF(ID15,"&lt;&gt;0")+COUNTIF(ID18,"&lt;&gt;0")+COUNTIF(ID21,"&lt;&gt;0"))   -   COUNTIF(Detail!$G:$G,'Rates-Service Fees'!ID$23), 0)</f>
        <v>0</v>
      </c>
      <c r="IE60">
        <f>IF(IE1&lt;&gt;0,(COUNTIF(IE9,"&lt;&gt;0")+COUNTIF(IE12,"&lt;&gt;0")+COUNTIF(IE15,"&lt;&gt;0")+COUNTIF(IE18,"&lt;&gt;0")+COUNTIF(IE21,"&lt;&gt;0"))   -   COUNTIF(Detail!$G:$G,'Rates-Service Fees'!IE$23), 0)</f>
        <v>0</v>
      </c>
      <c r="IF60">
        <f>IF(IF1&lt;&gt;0,(COUNTIF(IF9,"&lt;&gt;0")+COUNTIF(IF12,"&lt;&gt;0")+COUNTIF(IF15,"&lt;&gt;0")+COUNTIF(IF18,"&lt;&gt;0")+COUNTIF(IF21,"&lt;&gt;0"))   -   COUNTIF(Detail!$G:$G,'Rates-Service Fees'!IF$23), 0)</f>
        <v>0</v>
      </c>
      <c r="IG60">
        <f>IF(IG1&lt;&gt;0,(COUNTIF(IG9,"&lt;&gt;0")+COUNTIF(IG12,"&lt;&gt;0")+COUNTIF(IG15,"&lt;&gt;0")+COUNTIF(IG18,"&lt;&gt;0")+COUNTIF(IG21,"&lt;&gt;0"))   -   COUNTIF(Detail!$G:$G,'Rates-Service Fees'!IG$23), 0)</f>
        <v>0</v>
      </c>
      <c r="IH60">
        <f>IF(IH1&lt;&gt;0,(COUNTIF(IH9,"&lt;&gt;0")+COUNTIF(IH12,"&lt;&gt;0")+COUNTIF(IH15,"&lt;&gt;0")+COUNTIF(IH18,"&lt;&gt;0")+COUNTIF(IH21,"&lt;&gt;0"))   -   COUNTIF(Detail!$G:$G,'Rates-Service Fees'!IH$23), 0)</f>
        <v>0</v>
      </c>
      <c r="II60">
        <f>IF(II1&lt;&gt;0,(COUNTIF(II9,"&lt;&gt;0")+COUNTIF(II12,"&lt;&gt;0")+COUNTIF(II15,"&lt;&gt;0")+COUNTIF(II18,"&lt;&gt;0")+COUNTIF(II21,"&lt;&gt;0"))   -   COUNTIF(Detail!$G:$G,'Rates-Service Fees'!II$23), 0)</f>
        <v>0</v>
      </c>
      <c r="IJ60">
        <f>IF(IJ1&lt;&gt;0,(COUNTIF(IJ9,"&lt;&gt;0")+COUNTIF(IJ12,"&lt;&gt;0")+COUNTIF(IJ15,"&lt;&gt;0")+COUNTIF(IJ18,"&lt;&gt;0")+COUNTIF(IJ21,"&lt;&gt;0"))   -   COUNTIF(Detail!$G:$G,'Rates-Service Fees'!IJ$23), 0)</f>
        <v>0</v>
      </c>
      <c r="IK60">
        <f>IF(IK1&lt;&gt;0,(COUNTIF(IK9,"&lt;&gt;0")+COUNTIF(IK12,"&lt;&gt;0")+COUNTIF(IK15,"&lt;&gt;0")+COUNTIF(IK18,"&lt;&gt;0")+COUNTIF(IK21,"&lt;&gt;0"))   -   COUNTIF(Detail!$G:$G,'Rates-Service Fees'!IK$23), 0)</f>
        <v>0</v>
      </c>
      <c r="IL60">
        <f>IF(IL1&lt;&gt;0,(COUNTIF(IL9,"&lt;&gt;0")+COUNTIF(IL12,"&lt;&gt;0")+COUNTIF(IL15,"&lt;&gt;0")+COUNTIF(IL18,"&lt;&gt;0")+COUNTIF(IL21,"&lt;&gt;0"))   -   COUNTIF(Detail!$G:$G,'Rates-Service Fees'!IL$23), 0)</f>
        <v>0</v>
      </c>
      <c r="IM60">
        <f>IF(IM1&lt;&gt;0,(COUNTIF(IM9,"&lt;&gt;0")+COUNTIF(IM12,"&lt;&gt;0")+COUNTIF(IM15,"&lt;&gt;0")+COUNTIF(IM18,"&lt;&gt;0")+COUNTIF(IM21,"&lt;&gt;0"))   -   COUNTIF(Detail!$G:$G,'Rates-Service Fees'!IM$23), 0)</f>
        <v>0</v>
      </c>
      <c r="IN60">
        <f>IF(IN1&lt;&gt;0,(COUNTIF(IN9,"&lt;&gt;0")+COUNTIF(IN12,"&lt;&gt;0")+COUNTIF(IN15,"&lt;&gt;0")+COUNTIF(IN18,"&lt;&gt;0")+COUNTIF(IN21,"&lt;&gt;0"))   -   COUNTIF(Detail!$G:$G,'Rates-Service Fees'!IN$23), 0)</f>
        <v>0</v>
      </c>
      <c r="IO60">
        <f>IF(IO1&lt;&gt;0,(COUNTIF(IO9,"&lt;&gt;0")+COUNTIF(IO12,"&lt;&gt;0")+COUNTIF(IO15,"&lt;&gt;0")+COUNTIF(IO18,"&lt;&gt;0")+COUNTIF(IO21,"&lt;&gt;0"))   -   COUNTIF(Detail!$G:$G,'Rates-Service Fees'!IO$23), 0)</f>
        <v>0</v>
      </c>
      <c r="IP60">
        <f>IF(IP1&lt;&gt;0,(COUNTIF(IP9,"&lt;&gt;0")+COUNTIF(IP12,"&lt;&gt;0")+COUNTIF(IP15,"&lt;&gt;0")+COUNTIF(IP18,"&lt;&gt;0")+COUNTIF(IP21,"&lt;&gt;0"))   -   COUNTIF(Detail!$G:$G,'Rates-Service Fees'!IP$23), 0)</f>
        <v>0</v>
      </c>
      <c r="IQ60">
        <f>IF(IQ1&lt;&gt;0,(COUNTIF(IQ9,"&lt;&gt;0")+COUNTIF(IQ12,"&lt;&gt;0")+COUNTIF(IQ15,"&lt;&gt;0")+COUNTIF(IQ18,"&lt;&gt;0")+COUNTIF(IQ21,"&lt;&gt;0"))   -   COUNTIF(Detail!$G:$G,'Rates-Service Fees'!IQ$23), 0)</f>
        <v>0</v>
      </c>
      <c r="IR60">
        <f>IF(IR1&lt;&gt;0,(COUNTIF(IR9,"&lt;&gt;0")+COUNTIF(IR12,"&lt;&gt;0")+COUNTIF(IR15,"&lt;&gt;0")+COUNTIF(IR18,"&lt;&gt;0")+COUNTIF(IR21,"&lt;&gt;0"))   -   COUNTIF(Detail!$G:$G,'Rates-Service Fees'!IR$23), 0)</f>
        <v>0</v>
      </c>
      <c r="IS60">
        <f>IF(IS1&lt;&gt;0,(COUNTIF(IS9,"&lt;&gt;0")+COUNTIF(IS12,"&lt;&gt;0")+COUNTIF(IS15,"&lt;&gt;0")+COUNTIF(IS18,"&lt;&gt;0")+COUNTIF(IS21,"&lt;&gt;0"))   -   COUNTIF(Detail!$G:$G,'Rates-Service Fees'!IS$23), 0)</f>
        <v>0</v>
      </c>
      <c r="IT60">
        <f>IF(IT1&lt;&gt;0,(COUNTIF(IT9,"&lt;&gt;0")+COUNTIF(IT12,"&lt;&gt;0")+COUNTIF(IT15,"&lt;&gt;0")+COUNTIF(IT18,"&lt;&gt;0")+COUNTIF(IT21,"&lt;&gt;0"))   -   COUNTIF(Detail!$G:$G,'Rates-Service Fees'!IT$23), 0)</f>
        <v>0</v>
      </c>
      <c r="IU60">
        <f>IF(IU1&lt;&gt;0,(COUNTIF(IU9,"&lt;&gt;0")+COUNTIF(IU12,"&lt;&gt;0")+COUNTIF(IU15,"&lt;&gt;0")+COUNTIF(IU18,"&lt;&gt;0")+COUNTIF(IU21,"&lt;&gt;0"))   -   COUNTIF(Detail!$G:$G,'Rates-Service Fees'!IU$23), 0)</f>
        <v>0</v>
      </c>
      <c r="IV60">
        <f>IF(IV1&lt;&gt;0,(COUNTIF(IV9,"&lt;&gt;0")+COUNTIF(IV12,"&lt;&gt;0")+COUNTIF(IV15,"&lt;&gt;0")+COUNTIF(IV18,"&lt;&gt;0")+COUNTIF(IV21,"&lt;&gt;0"))   -   COUNTIF(Detail!$G:$G,'Rates-Service Fees'!IV$23), 0)</f>
        <v>0</v>
      </c>
      <c r="IW60">
        <f>IF(IW1&lt;&gt;0,(COUNTIF(IW9,"&lt;&gt;0")+COUNTIF(IW12,"&lt;&gt;0")+COUNTIF(IW15,"&lt;&gt;0")+COUNTIF(IW18,"&lt;&gt;0")+COUNTIF(IW21,"&lt;&gt;0"))   -   COUNTIF(Detail!$G:$G,'Rates-Service Fees'!IW$23), 0)</f>
        <v>0</v>
      </c>
      <c r="IX60">
        <f>IF(IX1&lt;&gt;0,(COUNTIF(IX9,"&lt;&gt;0")+COUNTIF(IX12,"&lt;&gt;0")+COUNTIF(IX15,"&lt;&gt;0")+COUNTIF(IX18,"&lt;&gt;0")+COUNTIF(IX21,"&lt;&gt;0"))   -   COUNTIF(Detail!$G:$G,'Rates-Service Fees'!IX$23), 0)</f>
        <v>0</v>
      </c>
      <c r="IY60">
        <f>IF(IY1&lt;&gt;0,(COUNTIF(IY9,"&lt;&gt;0")+COUNTIF(IY12,"&lt;&gt;0")+COUNTIF(IY15,"&lt;&gt;0")+COUNTIF(IY18,"&lt;&gt;0")+COUNTIF(IY21,"&lt;&gt;0"))   -   COUNTIF(Detail!$G:$G,'Rates-Service Fees'!IY$23), 0)</f>
        <v>0</v>
      </c>
      <c r="IZ60">
        <f>IF(IZ1&lt;&gt;0,(COUNTIF(IZ9,"&lt;&gt;0")+COUNTIF(IZ12,"&lt;&gt;0")+COUNTIF(IZ15,"&lt;&gt;0")+COUNTIF(IZ18,"&lt;&gt;0")+COUNTIF(IZ21,"&lt;&gt;0"))   -   COUNTIF(Detail!$G:$G,'Rates-Service Fees'!IZ$23), 0)</f>
        <v>0</v>
      </c>
      <c r="JA60">
        <f>IF(JA1&lt;&gt;0,(COUNTIF(JA9,"&lt;&gt;0")+COUNTIF(JA12,"&lt;&gt;0")+COUNTIF(JA15,"&lt;&gt;0")+COUNTIF(JA18,"&lt;&gt;0")+COUNTIF(JA21,"&lt;&gt;0"))   -   COUNTIF(Detail!$G:$G,'Rates-Service Fees'!JA$23), 0)</f>
        <v>0</v>
      </c>
      <c r="JB60">
        <f>IF(JB1&lt;&gt;0,(COUNTIF(JB9,"&lt;&gt;0")+COUNTIF(JB12,"&lt;&gt;0")+COUNTIF(JB15,"&lt;&gt;0")+COUNTIF(JB18,"&lt;&gt;0")+COUNTIF(JB21,"&lt;&gt;0"))   -   COUNTIF(Detail!$G:$G,'Rates-Service Fees'!JB$23), 0)</f>
        <v>0</v>
      </c>
      <c r="JC60">
        <f>IF(JC1&lt;&gt;0,(COUNTIF(JC9,"&lt;&gt;0")+COUNTIF(JC12,"&lt;&gt;0")+COUNTIF(JC15,"&lt;&gt;0")+COUNTIF(JC18,"&lt;&gt;0")+COUNTIF(JC21,"&lt;&gt;0"))   -   COUNTIF(Detail!$G:$G,'Rates-Service Fees'!JC$23), 0)</f>
        <v>0</v>
      </c>
      <c r="JD60">
        <f>IF(JD1&lt;&gt;0,(COUNTIF(JD9,"&lt;&gt;0")+COUNTIF(JD12,"&lt;&gt;0")+COUNTIF(JD15,"&lt;&gt;0")+COUNTIF(JD18,"&lt;&gt;0")+COUNTIF(JD21,"&lt;&gt;0"))   -   COUNTIF(Detail!$G:$G,'Rates-Service Fees'!JD$23), 0)</f>
        <v>0</v>
      </c>
      <c r="JE60">
        <f>IF(JE1&lt;&gt;0,(COUNTIF(JE9,"&lt;&gt;0")+COUNTIF(JE12,"&lt;&gt;0")+COUNTIF(JE15,"&lt;&gt;0")+COUNTIF(JE18,"&lt;&gt;0")+COUNTIF(JE21,"&lt;&gt;0"))   -   COUNTIF(Detail!$G:$G,'Rates-Service Fees'!JE$23), 0)</f>
        <v>0</v>
      </c>
      <c r="JF60">
        <f>IF(JF1&lt;&gt;0,(COUNTIF(JF9,"&lt;&gt;0")+COUNTIF(JF12,"&lt;&gt;0")+COUNTIF(JF15,"&lt;&gt;0")+COUNTIF(JF18,"&lt;&gt;0")+COUNTIF(JF21,"&lt;&gt;0"))   -   COUNTIF(Detail!$G:$G,'Rates-Service Fees'!JF$23), 0)</f>
        <v>0</v>
      </c>
      <c r="JG60">
        <f>IF(JG1&lt;&gt;0,(COUNTIF(JG9,"&lt;&gt;0")+COUNTIF(JG12,"&lt;&gt;0")+COUNTIF(JG15,"&lt;&gt;0")+COUNTIF(JG18,"&lt;&gt;0")+COUNTIF(JG21,"&lt;&gt;0"))   -   COUNTIF(Detail!$G:$G,'Rates-Service Fees'!JG$23), 0)</f>
        <v>0</v>
      </c>
      <c r="JH60">
        <f>IF(JH1&lt;&gt;0,(COUNTIF(JH9,"&lt;&gt;0")+COUNTIF(JH12,"&lt;&gt;0")+COUNTIF(JH15,"&lt;&gt;0")+COUNTIF(JH18,"&lt;&gt;0")+COUNTIF(JH21,"&lt;&gt;0"))   -   COUNTIF(Detail!$G:$G,'Rates-Service Fees'!JH$23), 0)</f>
        <v>0</v>
      </c>
      <c r="JI60">
        <f>IF(JI1&lt;&gt;0,(COUNTIF(JI9,"&lt;&gt;0")+COUNTIF(JI12,"&lt;&gt;0")+COUNTIF(JI15,"&lt;&gt;0")+COUNTIF(JI18,"&lt;&gt;0")+COUNTIF(JI21,"&lt;&gt;0"))   -   COUNTIF(Detail!$G:$G,'Rates-Service Fees'!JI$23), 0)</f>
        <v>0</v>
      </c>
      <c r="JJ60">
        <f>IF(JJ1&lt;&gt;0,(COUNTIF(JJ9,"&lt;&gt;0")+COUNTIF(JJ12,"&lt;&gt;0")+COUNTIF(JJ15,"&lt;&gt;0")+COUNTIF(JJ18,"&lt;&gt;0")+COUNTIF(JJ21,"&lt;&gt;0"))   -   COUNTIF(Detail!$G:$G,'Rates-Service Fees'!JJ$23), 0)</f>
        <v>0</v>
      </c>
      <c r="JK60">
        <f>IF(JK1&lt;&gt;0,(COUNTIF(JK9,"&lt;&gt;0")+COUNTIF(JK12,"&lt;&gt;0")+COUNTIF(JK15,"&lt;&gt;0")+COUNTIF(JK18,"&lt;&gt;0")+COUNTIF(JK21,"&lt;&gt;0"))   -   COUNTIF(Detail!$G:$G,'Rates-Service Fees'!JK$23), 0)</f>
        <v>0</v>
      </c>
      <c r="JL60">
        <f>IF(JL1&lt;&gt;0,(COUNTIF(JL9,"&lt;&gt;0")+COUNTIF(JL12,"&lt;&gt;0")+COUNTIF(JL15,"&lt;&gt;0")+COUNTIF(JL18,"&lt;&gt;0")+COUNTIF(JL21,"&lt;&gt;0"))   -   COUNTIF(Detail!$G:$G,'Rates-Service Fees'!JL$23), 0)</f>
        <v>0</v>
      </c>
      <c r="JM60">
        <f>IF(JM1&lt;&gt;0,(COUNTIF(JM9,"&lt;&gt;0")+COUNTIF(JM12,"&lt;&gt;0")+COUNTIF(JM15,"&lt;&gt;0")+COUNTIF(JM18,"&lt;&gt;0")+COUNTIF(JM21,"&lt;&gt;0"))   -   COUNTIF(Detail!$G:$G,'Rates-Service Fees'!JM$23), 0)</f>
        <v>0</v>
      </c>
      <c r="JN60">
        <f>IF(JN1&lt;&gt;0,(COUNTIF(JN9,"&lt;&gt;0")+COUNTIF(JN12,"&lt;&gt;0")+COUNTIF(JN15,"&lt;&gt;0")+COUNTIF(JN18,"&lt;&gt;0")+COUNTIF(JN21,"&lt;&gt;0"))   -   COUNTIF(Detail!$G:$G,'Rates-Service Fees'!JN$23), 0)</f>
        <v>0</v>
      </c>
      <c r="JO60">
        <f>IF(JO1&lt;&gt;0,(COUNTIF(JO9,"&lt;&gt;0")+COUNTIF(JO12,"&lt;&gt;0")+COUNTIF(JO15,"&lt;&gt;0")+COUNTIF(JO18,"&lt;&gt;0")+COUNTIF(JO21,"&lt;&gt;0"))   -   COUNTIF(Detail!$G:$G,'Rates-Service Fees'!JO$23), 0)</f>
        <v>0</v>
      </c>
      <c r="JP60">
        <f>IF(JP1&lt;&gt;0,(COUNTIF(JP9,"&lt;&gt;0")+COUNTIF(JP12,"&lt;&gt;0")+COUNTIF(JP15,"&lt;&gt;0")+COUNTIF(JP18,"&lt;&gt;0")+COUNTIF(JP21,"&lt;&gt;0"))   -   COUNTIF(Detail!$G:$G,'Rates-Service Fees'!JP$23), 0)</f>
        <v>0</v>
      </c>
      <c r="JQ60">
        <f>IF(JQ1&lt;&gt;0,(COUNTIF(JQ9,"&lt;&gt;0")+COUNTIF(JQ12,"&lt;&gt;0")+COUNTIF(JQ15,"&lt;&gt;0")+COUNTIF(JQ18,"&lt;&gt;0")+COUNTIF(JQ21,"&lt;&gt;0"))   -   COUNTIF(Detail!$G:$G,'Rates-Service Fees'!JQ$23), 0)</f>
        <v>0</v>
      </c>
      <c r="JR60">
        <f>IF(JR1&lt;&gt;0,(COUNTIF(JR9,"&lt;&gt;0")+COUNTIF(JR12,"&lt;&gt;0")+COUNTIF(JR15,"&lt;&gt;0")+COUNTIF(JR18,"&lt;&gt;0")+COUNTIF(JR21,"&lt;&gt;0"))   -   COUNTIF(Detail!$G:$G,'Rates-Service Fees'!JR$23), 0)</f>
        <v>0</v>
      </c>
      <c r="JS60">
        <f>IF(JS1&lt;&gt;0,(COUNTIF(JS9,"&lt;&gt;0")+COUNTIF(JS12,"&lt;&gt;0")+COUNTIF(JS15,"&lt;&gt;0")+COUNTIF(JS18,"&lt;&gt;0")+COUNTIF(JS21,"&lt;&gt;0"))   -   COUNTIF(Detail!$G:$G,'Rates-Service Fees'!JS$23), 0)</f>
        <v>0</v>
      </c>
      <c r="JT60">
        <f>IF(JT1&lt;&gt;0,(COUNTIF(JT9,"&lt;&gt;0")+COUNTIF(JT12,"&lt;&gt;0")+COUNTIF(JT15,"&lt;&gt;0")+COUNTIF(JT18,"&lt;&gt;0")+COUNTIF(JT21,"&lt;&gt;0"))   -   COUNTIF(Detail!$G:$G,'Rates-Service Fees'!JT$23), 0)</f>
        <v>0</v>
      </c>
      <c r="JU60">
        <f>IF(JU1&lt;&gt;0,(COUNTIF(JU9,"&lt;&gt;0")+COUNTIF(JU12,"&lt;&gt;0")+COUNTIF(JU15,"&lt;&gt;0")+COUNTIF(JU18,"&lt;&gt;0")+COUNTIF(JU21,"&lt;&gt;0"))   -   COUNTIF(Detail!$G:$G,'Rates-Service Fees'!JU$23), 0)</f>
        <v>0</v>
      </c>
      <c r="JV60">
        <f>IF(JV1&lt;&gt;0,(COUNTIF(JV9,"&lt;&gt;0")+COUNTIF(JV12,"&lt;&gt;0")+COUNTIF(JV15,"&lt;&gt;0")+COUNTIF(JV18,"&lt;&gt;0")+COUNTIF(JV21,"&lt;&gt;0"))   -   COUNTIF(Detail!$G:$G,'Rates-Service Fees'!JV$23), 0)</f>
        <v>0</v>
      </c>
      <c r="JW60">
        <f>IF(JW1&lt;&gt;0,(COUNTIF(JW9,"&lt;&gt;0")+COUNTIF(JW12,"&lt;&gt;0")+COUNTIF(JW15,"&lt;&gt;0")+COUNTIF(JW18,"&lt;&gt;0")+COUNTIF(JW21,"&lt;&gt;0"))   -   COUNTIF(Detail!$G:$G,'Rates-Service Fees'!JW$23), 0)</f>
        <v>0</v>
      </c>
      <c r="JX60">
        <f>IF(JX1&lt;&gt;0,(COUNTIF(JX9,"&lt;&gt;0")+COUNTIF(JX12,"&lt;&gt;0")+COUNTIF(JX15,"&lt;&gt;0")+COUNTIF(JX18,"&lt;&gt;0")+COUNTIF(JX21,"&lt;&gt;0"))   -   COUNTIF(Detail!$G:$G,'Rates-Service Fees'!JX$23), 0)</f>
        <v>0</v>
      </c>
      <c r="JY60">
        <f>IF(JY1&lt;&gt;0,(COUNTIF(JY9,"&lt;&gt;0")+COUNTIF(JY12,"&lt;&gt;0")+COUNTIF(JY15,"&lt;&gt;0")+COUNTIF(JY18,"&lt;&gt;0")+COUNTIF(JY21,"&lt;&gt;0"))   -   COUNTIF(Detail!$G:$G,'Rates-Service Fees'!JY$23), 0)</f>
        <v>0</v>
      </c>
      <c r="JZ60">
        <f>IF(JZ1&lt;&gt;0,(COUNTIF(JZ9,"&lt;&gt;0")+COUNTIF(JZ12,"&lt;&gt;0")+COUNTIF(JZ15,"&lt;&gt;0")+COUNTIF(JZ18,"&lt;&gt;0")+COUNTIF(JZ21,"&lt;&gt;0"))   -   COUNTIF(Detail!$G:$G,'Rates-Service Fees'!JZ$23), 0)</f>
        <v>0</v>
      </c>
      <c r="KA60">
        <f>IF(KA1&lt;&gt;0,(COUNTIF(KA9,"&lt;&gt;0")+COUNTIF(KA12,"&lt;&gt;0")+COUNTIF(KA15,"&lt;&gt;0")+COUNTIF(KA18,"&lt;&gt;0")+COUNTIF(KA21,"&lt;&gt;0"))   -   COUNTIF(Detail!$G:$G,'Rates-Service Fees'!KA$23), 0)</f>
        <v>0</v>
      </c>
      <c r="KB60">
        <f>IF(KB1&lt;&gt;0,(COUNTIF(KB9,"&lt;&gt;0")+COUNTIF(KB12,"&lt;&gt;0")+COUNTIF(KB15,"&lt;&gt;0")+COUNTIF(KB18,"&lt;&gt;0")+COUNTIF(KB21,"&lt;&gt;0"))   -   COUNTIF(Detail!$G:$G,'Rates-Service Fees'!KB$23), 0)</f>
        <v>0</v>
      </c>
      <c r="KC60">
        <f>IF(KC1&lt;&gt;0,(COUNTIF(KC9,"&lt;&gt;0")+COUNTIF(KC12,"&lt;&gt;0")+COUNTIF(KC15,"&lt;&gt;0")+COUNTIF(KC18,"&lt;&gt;0")+COUNTIF(KC21,"&lt;&gt;0"))   -   COUNTIF(Detail!$G:$G,'Rates-Service Fees'!KC$23), 0)</f>
        <v>0</v>
      </c>
      <c r="KD60">
        <f>IF(KD1&lt;&gt;0,(COUNTIF(KD9,"&lt;&gt;0")+COUNTIF(KD12,"&lt;&gt;0")+COUNTIF(KD15,"&lt;&gt;0")+COUNTIF(KD18,"&lt;&gt;0")+COUNTIF(KD21,"&lt;&gt;0"))   -   COUNTIF(Detail!$G:$G,'Rates-Service Fees'!KD$23), 0)</f>
        <v>0</v>
      </c>
      <c r="KE60">
        <f>IF(KE1&lt;&gt;0,(COUNTIF(KE9,"&lt;&gt;0")+COUNTIF(KE12,"&lt;&gt;0")+COUNTIF(KE15,"&lt;&gt;0")+COUNTIF(KE18,"&lt;&gt;0")+COUNTIF(KE21,"&lt;&gt;0"))   -   COUNTIF(Detail!$G:$G,'Rates-Service Fees'!KE$23), 0)</f>
        <v>0</v>
      </c>
      <c r="KF60">
        <f>IF(KF1&lt;&gt;0,(COUNTIF(KF9,"&lt;&gt;0")+COUNTIF(KF12,"&lt;&gt;0")+COUNTIF(KF15,"&lt;&gt;0")+COUNTIF(KF18,"&lt;&gt;0")+COUNTIF(KF21,"&lt;&gt;0"))   -   COUNTIF(Detail!$G:$G,'Rates-Service Fees'!KF$23), 0)</f>
        <v>0</v>
      </c>
      <c r="KG60">
        <f>IF(KG1&lt;&gt;0,(COUNTIF(KG9,"&lt;&gt;0")+COUNTIF(KG12,"&lt;&gt;0")+COUNTIF(KG15,"&lt;&gt;0")+COUNTIF(KG18,"&lt;&gt;0")+COUNTIF(KG21,"&lt;&gt;0"))   -   COUNTIF(Detail!$G:$G,'Rates-Service Fees'!KG$23), 0)</f>
        <v>0</v>
      </c>
      <c r="KH60">
        <f>IF(KH1&lt;&gt;0,(COUNTIF(KH9,"&lt;&gt;0")+COUNTIF(KH12,"&lt;&gt;0")+COUNTIF(KH15,"&lt;&gt;0")+COUNTIF(KH18,"&lt;&gt;0")+COUNTIF(KH21,"&lt;&gt;0"))   -   COUNTIF(Detail!$G:$G,'Rates-Service Fees'!KH$23), 0)</f>
        <v>0</v>
      </c>
      <c r="KI60">
        <f>IF(KI1&lt;&gt;0,(COUNTIF(KI9,"&lt;&gt;0")+COUNTIF(KI12,"&lt;&gt;0")+COUNTIF(KI15,"&lt;&gt;0")+COUNTIF(KI18,"&lt;&gt;0")+COUNTIF(KI21,"&lt;&gt;0"))   -   COUNTIF(Detail!$G:$G,'Rates-Service Fees'!KI$23), 0)</f>
        <v>0</v>
      </c>
      <c r="KJ60">
        <f>IF(KJ1&lt;&gt;0,(COUNTIF(KJ9,"&lt;&gt;0")+COUNTIF(KJ12,"&lt;&gt;0")+COUNTIF(KJ15,"&lt;&gt;0")+COUNTIF(KJ18,"&lt;&gt;0")+COUNTIF(KJ21,"&lt;&gt;0"))   -   COUNTIF(Detail!$G:$G,'Rates-Service Fees'!KJ$23), 0)</f>
        <v>0</v>
      </c>
      <c r="KK60">
        <f>IF(KK1&lt;&gt;0,(COUNTIF(KK9,"&lt;&gt;0")+COUNTIF(KK12,"&lt;&gt;0")+COUNTIF(KK15,"&lt;&gt;0")+COUNTIF(KK18,"&lt;&gt;0")+COUNTIF(KK21,"&lt;&gt;0"))   -   COUNTIF(Detail!$G:$G,'Rates-Service Fees'!KK$23), 0)</f>
        <v>0</v>
      </c>
      <c r="KL60">
        <f>IF(KL1&lt;&gt;0,(COUNTIF(KL9,"&lt;&gt;0")+COUNTIF(KL12,"&lt;&gt;0")+COUNTIF(KL15,"&lt;&gt;0")+COUNTIF(KL18,"&lt;&gt;0")+COUNTIF(KL21,"&lt;&gt;0"))   -   COUNTIF(Detail!$G:$G,'Rates-Service Fees'!KL$23), 0)</f>
        <v>0</v>
      </c>
      <c r="KM60">
        <f>IF(KM1&lt;&gt;0,(COUNTIF(KM9,"&lt;&gt;0")+COUNTIF(KM12,"&lt;&gt;0")+COUNTIF(KM15,"&lt;&gt;0")+COUNTIF(KM18,"&lt;&gt;0")+COUNTIF(KM21,"&lt;&gt;0"))   -   COUNTIF(Detail!$G:$G,'Rates-Service Fees'!KM$23), 0)</f>
        <v>0</v>
      </c>
      <c r="KN60">
        <f>IF(KN1&lt;&gt;0,(COUNTIF(KN9,"&lt;&gt;0")+COUNTIF(KN12,"&lt;&gt;0")+COUNTIF(KN15,"&lt;&gt;0")+COUNTIF(KN18,"&lt;&gt;0")+COUNTIF(KN21,"&lt;&gt;0"))   -   COUNTIF(Detail!$G:$G,'Rates-Service Fees'!KN$23), 0)</f>
        <v>0</v>
      </c>
      <c r="KO60">
        <f>IF(KO1&lt;&gt;0,(COUNTIF(KO9,"&lt;&gt;0")+COUNTIF(KO12,"&lt;&gt;0")+COUNTIF(KO15,"&lt;&gt;0")+COUNTIF(KO18,"&lt;&gt;0")+COUNTIF(KO21,"&lt;&gt;0"))   -   COUNTIF(Detail!$G:$G,'Rates-Service Fees'!KO$23), 0)</f>
        <v>0</v>
      </c>
      <c r="KP60">
        <f>IF(KP1&lt;&gt;0,(COUNTIF(KP9,"&lt;&gt;0")+COUNTIF(KP12,"&lt;&gt;0")+COUNTIF(KP15,"&lt;&gt;0")+COUNTIF(KP18,"&lt;&gt;0")+COUNTIF(KP21,"&lt;&gt;0"))   -   COUNTIF(Detail!$G:$G,'Rates-Service Fees'!KP$23), 0)</f>
        <v>0</v>
      </c>
      <c r="KQ60">
        <f>IF(KQ1&lt;&gt;0,(COUNTIF(KQ9,"&lt;&gt;0")+COUNTIF(KQ12,"&lt;&gt;0")+COUNTIF(KQ15,"&lt;&gt;0")+COUNTIF(KQ18,"&lt;&gt;0")+COUNTIF(KQ21,"&lt;&gt;0"))   -   COUNTIF(Detail!$G:$G,'Rates-Service Fees'!KQ$23), 0)</f>
        <v>0</v>
      </c>
      <c r="KR60">
        <f>IF(KR1&lt;&gt;0,(COUNTIF(KR9,"&lt;&gt;0")+COUNTIF(KR12,"&lt;&gt;0")+COUNTIF(KR15,"&lt;&gt;0")+COUNTIF(KR18,"&lt;&gt;0")+COUNTIF(KR21,"&lt;&gt;0"))   -   COUNTIF(Detail!$G:$G,'Rates-Service Fees'!KR$23), 0)</f>
        <v>0</v>
      </c>
      <c r="KS60">
        <f>IF(KS1&lt;&gt;0,(COUNTIF(KS9,"&lt;&gt;0")+COUNTIF(KS12,"&lt;&gt;0")+COUNTIF(KS15,"&lt;&gt;0")+COUNTIF(KS18,"&lt;&gt;0")+COUNTIF(KS21,"&lt;&gt;0"))   -   COUNTIF(Detail!$G:$G,'Rates-Service Fees'!KS$23), 0)</f>
        <v>0</v>
      </c>
      <c r="KT60">
        <f>IF(KT1&lt;&gt;0,(COUNTIF(KT9,"&lt;&gt;0")+COUNTIF(KT12,"&lt;&gt;0")+COUNTIF(KT15,"&lt;&gt;0")+COUNTIF(KT18,"&lt;&gt;0")+COUNTIF(KT21,"&lt;&gt;0"))   -   COUNTIF(Detail!$G:$G,'Rates-Service Fees'!KT$23), 0)</f>
        <v>0</v>
      </c>
      <c r="KU60">
        <f>IF(KU1&lt;&gt;0,(COUNTIF(KU9,"&lt;&gt;0")+COUNTIF(KU12,"&lt;&gt;0")+COUNTIF(KU15,"&lt;&gt;0")+COUNTIF(KU18,"&lt;&gt;0")+COUNTIF(KU21,"&lt;&gt;0"))   -   COUNTIF(Detail!$G:$G,'Rates-Service Fees'!KU$23), 0)</f>
        <v>0</v>
      </c>
      <c r="KV60">
        <f>IF(KV1&lt;&gt;0,(COUNTIF(KV9,"&lt;&gt;0")+COUNTIF(KV12,"&lt;&gt;0")+COUNTIF(KV15,"&lt;&gt;0")+COUNTIF(KV18,"&lt;&gt;0")+COUNTIF(KV21,"&lt;&gt;0"))   -   COUNTIF(Detail!$G:$G,'Rates-Service Fees'!KV$23), 0)</f>
        <v>0</v>
      </c>
      <c r="KW60">
        <f>IF(KW1&lt;&gt;0,(COUNTIF(KW9,"&lt;&gt;0")+COUNTIF(KW12,"&lt;&gt;0")+COUNTIF(KW15,"&lt;&gt;0")+COUNTIF(KW18,"&lt;&gt;0")+COUNTIF(KW21,"&lt;&gt;0"))   -   COUNTIF(Detail!$G:$G,'Rates-Service Fees'!KW$23), 0)</f>
        <v>0</v>
      </c>
      <c r="KX60">
        <f>IF(KX1&lt;&gt;0,(COUNTIF(KX9,"&lt;&gt;0")+COUNTIF(KX12,"&lt;&gt;0")+COUNTIF(KX15,"&lt;&gt;0")+COUNTIF(KX18,"&lt;&gt;0")+COUNTIF(KX21,"&lt;&gt;0"))   -   COUNTIF(Detail!$G:$G,'Rates-Service Fees'!KX$23), 0)</f>
        <v>0</v>
      </c>
      <c r="KY60">
        <f>IF(KY1&lt;&gt;0,(COUNTIF(KY9,"&lt;&gt;0")+COUNTIF(KY12,"&lt;&gt;0")+COUNTIF(KY15,"&lt;&gt;0")+COUNTIF(KY18,"&lt;&gt;0")+COUNTIF(KY21,"&lt;&gt;0"))   -   COUNTIF(Detail!$G:$G,'Rates-Service Fees'!KY$23), 0)</f>
        <v>0</v>
      </c>
      <c r="KZ60">
        <f>IF(KZ1&lt;&gt;0,(COUNTIF(KZ9,"&lt;&gt;0")+COUNTIF(KZ12,"&lt;&gt;0")+COUNTIF(KZ15,"&lt;&gt;0")+COUNTIF(KZ18,"&lt;&gt;0")+COUNTIF(KZ21,"&lt;&gt;0"))   -   COUNTIF(Detail!$G:$G,'Rates-Service Fees'!KZ$23), 0)</f>
        <v>0</v>
      </c>
      <c r="LA60">
        <f>IF(LA1&lt;&gt;0,(COUNTIF(LA9,"&lt;&gt;0")+COUNTIF(LA12,"&lt;&gt;0")+COUNTIF(LA15,"&lt;&gt;0")+COUNTIF(LA18,"&lt;&gt;0")+COUNTIF(LA21,"&lt;&gt;0"))   -   COUNTIF(Detail!$G:$G,'Rates-Service Fees'!LA$23), 0)</f>
        <v>0</v>
      </c>
      <c r="LB60">
        <f>IF(LB1&lt;&gt;0,(COUNTIF(LB9,"&lt;&gt;0")+COUNTIF(LB12,"&lt;&gt;0")+COUNTIF(LB15,"&lt;&gt;0")+COUNTIF(LB18,"&lt;&gt;0")+COUNTIF(LB21,"&lt;&gt;0"))   -   COUNTIF(Detail!$G:$G,'Rates-Service Fees'!LB$23), 0)</f>
        <v>0</v>
      </c>
      <c r="LC60">
        <f>IF(LC1&lt;&gt;0,(COUNTIF(LC9,"&lt;&gt;0")+COUNTIF(LC12,"&lt;&gt;0")+COUNTIF(LC15,"&lt;&gt;0")+COUNTIF(LC18,"&lt;&gt;0")+COUNTIF(LC21,"&lt;&gt;0"))   -   COUNTIF(Detail!$G:$G,'Rates-Service Fees'!LC$23), 0)</f>
        <v>0</v>
      </c>
      <c r="LD60">
        <f>IF(LD1&lt;&gt;0,(COUNTIF(LD9,"&lt;&gt;0")+COUNTIF(LD12,"&lt;&gt;0")+COUNTIF(LD15,"&lt;&gt;0")+COUNTIF(LD18,"&lt;&gt;0")+COUNTIF(LD21,"&lt;&gt;0"))   -   COUNTIF(Detail!$G:$G,'Rates-Service Fees'!LD$23), 0)</f>
        <v>0</v>
      </c>
      <c r="LE60">
        <f>IF(LE1&lt;&gt;0,(COUNTIF(LE9,"&lt;&gt;0")+COUNTIF(LE12,"&lt;&gt;0")+COUNTIF(LE15,"&lt;&gt;0")+COUNTIF(LE18,"&lt;&gt;0")+COUNTIF(LE21,"&lt;&gt;0"))   -   COUNTIF(Detail!$G:$G,'Rates-Service Fees'!LE$23), 0)</f>
        <v>0</v>
      </c>
      <c r="LF60">
        <f>IF(LF1&lt;&gt;0,(COUNTIF(LF9,"&lt;&gt;0")+COUNTIF(LF12,"&lt;&gt;0")+COUNTIF(LF15,"&lt;&gt;0")+COUNTIF(LF18,"&lt;&gt;0")+COUNTIF(LF21,"&lt;&gt;0"))   -   COUNTIF(Detail!$G:$G,'Rates-Service Fees'!LF$23), 0)</f>
        <v>0</v>
      </c>
      <c r="LG60">
        <f>IF(LG1&lt;&gt;0,(COUNTIF(LG9,"&lt;&gt;0")+COUNTIF(LG12,"&lt;&gt;0")+COUNTIF(LG15,"&lt;&gt;0")+COUNTIF(LG18,"&lt;&gt;0")+COUNTIF(LG21,"&lt;&gt;0"))   -   COUNTIF(Detail!$G:$G,'Rates-Service Fees'!LG$23), 0)</f>
        <v>0</v>
      </c>
      <c r="LH60">
        <f>IF(LH1&lt;&gt;0,(COUNTIF(LH9,"&lt;&gt;0")+COUNTIF(LH12,"&lt;&gt;0")+COUNTIF(LH15,"&lt;&gt;0")+COUNTIF(LH18,"&lt;&gt;0")+COUNTIF(LH21,"&lt;&gt;0"))   -   COUNTIF(Detail!$G:$G,'Rates-Service Fees'!LH$23), 0)</f>
        <v>0</v>
      </c>
      <c r="LI60">
        <f>IF(LI1&lt;&gt;0,(COUNTIF(LI9,"&lt;&gt;0")+COUNTIF(LI12,"&lt;&gt;0")+COUNTIF(LI15,"&lt;&gt;0")+COUNTIF(LI18,"&lt;&gt;0")+COUNTIF(LI21,"&lt;&gt;0"))   -   COUNTIF(Detail!$G:$G,'Rates-Service Fees'!LI$23), 0)</f>
        <v>0</v>
      </c>
      <c r="LJ60">
        <f>IF(LJ1&lt;&gt;0,(COUNTIF(LJ9,"&lt;&gt;0")+COUNTIF(LJ12,"&lt;&gt;0")+COUNTIF(LJ15,"&lt;&gt;0")+COUNTIF(LJ18,"&lt;&gt;0")+COUNTIF(LJ21,"&lt;&gt;0"))   -   COUNTIF(Detail!$G:$G,'Rates-Service Fees'!LJ$23), 0)</f>
        <v>0</v>
      </c>
      <c r="LK60">
        <f>IF(LK1&lt;&gt;0,(COUNTIF(LK9,"&lt;&gt;0")+COUNTIF(LK12,"&lt;&gt;0")+COUNTIF(LK15,"&lt;&gt;0")+COUNTIF(LK18,"&lt;&gt;0")+COUNTIF(LK21,"&lt;&gt;0"))   -   COUNTIF(Detail!$G:$G,'Rates-Service Fees'!LK$23), 0)</f>
        <v>0</v>
      </c>
      <c r="LL60">
        <f>IF(LL1&lt;&gt;0,(COUNTIF(LL9,"&lt;&gt;0")+COUNTIF(LL12,"&lt;&gt;0")+COUNTIF(LL15,"&lt;&gt;0")+COUNTIF(LL18,"&lt;&gt;0")+COUNTIF(LL21,"&lt;&gt;0"))   -   COUNTIF(Detail!$G:$G,'Rates-Service Fees'!LL$23), 0)</f>
        <v>0</v>
      </c>
      <c r="LM60">
        <f>IF(LM1&lt;&gt;0,(COUNTIF(LM9,"&lt;&gt;0")+COUNTIF(LM12,"&lt;&gt;0")+COUNTIF(LM15,"&lt;&gt;0")+COUNTIF(LM18,"&lt;&gt;0")+COUNTIF(LM21,"&lt;&gt;0"))   -   COUNTIF(Detail!$G:$G,'Rates-Service Fees'!LM$23), 0)</f>
        <v>0</v>
      </c>
      <c r="LN60">
        <f>IF(LN1&lt;&gt;0,(COUNTIF(LN9,"&lt;&gt;0")+COUNTIF(LN12,"&lt;&gt;0")+COUNTIF(LN15,"&lt;&gt;0")+COUNTIF(LN18,"&lt;&gt;0")+COUNTIF(LN21,"&lt;&gt;0"))   -   COUNTIF(Detail!$G:$G,'Rates-Service Fees'!LN$23), 0)</f>
        <v>0</v>
      </c>
      <c r="LO60">
        <f>IF(LO1&lt;&gt;0,(COUNTIF(LO9,"&lt;&gt;0")+COUNTIF(LO12,"&lt;&gt;0")+COUNTIF(LO15,"&lt;&gt;0")+COUNTIF(LO18,"&lt;&gt;0")+COUNTIF(LO21,"&lt;&gt;0"))   -   COUNTIF(Detail!$G:$G,'Rates-Service Fees'!LO$23), 0)</f>
        <v>0</v>
      </c>
      <c r="LP60">
        <f>IF(LP1&lt;&gt;0,(COUNTIF(LP9,"&lt;&gt;0")+COUNTIF(LP12,"&lt;&gt;0")+COUNTIF(LP15,"&lt;&gt;0")+COUNTIF(LP18,"&lt;&gt;0")+COUNTIF(LP21,"&lt;&gt;0"))   -   COUNTIF(Detail!$G:$G,'Rates-Service Fees'!LP$23), 0)</f>
        <v>0</v>
      </c>
      <c r="LQ60">
        <f>IF(LQ1&lt;&gt;0,(COUNTIF(LQ9,"&lt;&gt;0")+COUNTIF(LQ12,"&lt;&gt;0")+COUNTIF(LQ15,"&lt;&gt;0")+COUNTIF(LQ18,"&lt;&gt;0")+COUNTIF(LQ21,"&lt;&gt;0"))   -   COUNTIF(Detail!$G:$G,'Rates-Service Fees'!LQ$23), 0)</f>
        <v>0</v>
      </c>
      <c r="LR60">
        <f>IF(LR1&lt;&gt;0,(COUNTIF(LR9,"&lt;&gt;0")+COUNTIF(LR12,"&lt;&gt;0")+COUNTIF(LR15,"&lt;&gt;0")+COUNTIF(LR18,"&lt;&gt;0")+COUNTIF(LR21,"&lt;&gt;0"))   -   COUNTIF(Detail!$G:$G,'Rates-Service Fees'!LR$23), 0)</f>
        <v>0</v>
      </c>
      <c r="LS60">
        <f>IF(LS1&lt;&gt;0,(COUNTIF(LS9,"&lt;&gt;0")+COUNTIF(LS12,"&lt;&gt;0")+COUNTIF(LS15,"&lt;&gt;0")+COUNTIF(LS18,"&lt;&gt;0")+COUNTIF(LS21,"&lt;&gt;0"))   -   COUNTIF(Detail!$G:$G,'Rates-Service Fees'!LS$23), 0)</f>
        <v>0</v>
      </c>
      <c r="LT60">
        <f>IF(LT1&lt;&gt;0,(COUNTIF(LT9,"&lt;&gt;0")+COUNTIF(LT12,"&lt;&gt;0")+COUNTIF(LT15,"&lt;&gt;0")+COUNTIF(LT18,"&lt;&gt;0")+COUNTIF(LT21,"&lt;&gt;0"))   -   COUNTIF(Detail!$G:$G,'Rates-Service Fees'!LT$23), 0)</f>
        <v>0</v>
      </c>
      <c r="LU60">
        <f>IF(LU1&lt;&gt;0,(COUNTIF(LU9,"&lt;&gt;0")+COUNTIF(LU12,"&lt;&gt;0")+COUNTIF(LU15,"&lt;&gt;0")+COUNTIF(LU18,"&lt;&gt;0")+COUNTIF(LU21,"&lt;&gt;0"))   -   COUNTIF(Detail!$G:$G,'Rates-Service Fees'!LU$23), 0)</f>
        <v>0</v>
      </c>
      <c r="LV60">
        <f>IF(LV1&lt;&gt;0,(COUNTIF(LV9,"&lt;&gt;0")+COUNTIF(LV12,"&lt;&gt;0")+COUNTIF(LV15,"&lt;&gt;0")+COUNTIF(LV18,"&lt;&gt;0")+COUNTIF(LV21,"&lt;&gt;0"))   -   COUNTIF(Detail!$G:$G,'Rates-Service Fees'!LV$23), 0)</f>
        <v>0</v>
      </c>
      <c r="LW60">
        <f>IF(LW1&lt;&gt;0,(COUNTIF(LW9,"&lt;&gt;0")+COUNTIF(LW12,"&lt;&gt;0")+COUNTIF(LW15,"&lt;&gt;0")+COUNTIF(LW18,"&lt;&gt;0")+COUNTIF(LW21,"&lt;&gt;0"))   -   COUNTIF(Detail!$G:$G,'Rates-Service Fees'!LW$23), 0)</f>
        <v>0</v>
      </c>
      <c r="LX60">
        <f>IF(LX1&lt;&gt;0,(COUNTIF(LX9,"&lt;&gt;0")+COUNTIF(LX12,"&lt;&gt;0")+COUNTIF(LX15,"&lt;&gt;0")+COUNTIF(LX18,"&lt;&gt;0")+COUNTIF(LX21,"&lt;&gt;0"))   -   COUNTIF(Detail!$G:$G,'Rates-Service Fees'!LX$23), 0)</f>
        <v>0</v>
      </c>
      <c r="LY60">
        <f>IF(LY1&lt;&gt;0,(COUNTIF(LY9,"&lt;&gt;0")+COUNTIF(LY12,"&lt;&gt;0")+COUNTIF(LY15,"&lt;&gt;0")+COUNTIF(LY18,"&lt;&gt;0")+COUNTIF(LY21,"&lt;&gt;0"))   -   COUNTIF(Detail!$G:$G,'Rates-Service Fees'!LY$23), 0)</f>
        <v>0</v>
      </c>
      <c r="LZ60">
        <f>IF(LZ1&lt;&gt;0,(COUNTIF(LZ9,"&lt;&gt;0")+COUNTIF(LZ12,"&lt;&gt;0")+COUNTIF(LZ15,"&lt;&gt;0")+COUNTIF(LZ18,"&lt;&gt;0")+COUNTIF(LZ21,"&lt;&gt;0"))   -   COUNTIF(Detail!$G:$G,'Rates-Service Fees'!LZ$23), 0)</f>
        <v>0</v>
      </c>
      <c r="MA60">
        <f>IF(MA1&lt;&gt;0,(COUNTIF(MA9,"&lt;&gt;0")+COUNTIF(MA12,"&lt;&gt;0")+COUNTIF(MA15,"&lt;&gt;0")+COUNTIF(MA18,"&lt;&gt;0")+COUNTIF(MA21,"&lt;&gt;0"))   -   COUNTIF(Detail!$G:$G,'Rates-Service Fees'!MA$23), 0)</f>
        <v>0</v>
      </c>
      <c r="MB60">
        <f>IF(MB1&lt;&gt;0,(COUNTIF(MB9,"&lt;&gt;0")+COUNTIF(MB12,"&lt;&gt;0")+COUNTIF(MB15,"&lt;&gt;0")+COUNTIF(MB18,"&lt;&gt;0")+COUNTIF(MB21,"&lt;&gt;0"))   -   COUNTIF(Detail!$G:$G,'Rates-Service Fees'!MB$23), 0)</f>
        <v>0</v>
      </c>
      <c r="MC60">
        <f>IF(MC1&lt;&gt;0,(COUNTIF(MC9,"&lt;&gt;0")+COUNTIF(MC12,"&lt;&gt;0")+COUNTIF(MC15,"&lt;&gt;0")+COUNTIF(MC18,"&lt;&gt;0")+COUNTIF(MC21,"&lt;&gt;0"))   -   COUNTIF(Detail!$G:$G,'Rates-Service Fees'!MC$23), 0)</f>
        <v>0</v>
      </c>
      <c r="MD60">
        <f>IF(MD1&lt;&gt;0,(COUNTIF(MD9,"&lt;&gt;0")+COUNTIF(MD12,"&lt;&gt;0")+COUNTIF(MD15,"&lt;&gt;0")+COUNTIF(MD18,"&lt;&gt;0")+COUNTIF(MD21,"&lt;&gt;0"))   -   COUNTIF(Detail!$G:$G,'Rates-Service Fees'!MD$23), 0)</f>
        <v>0</v>
      </c>
      <c r="ME60">
        <f>IF(ME1&lt;&gt;0,(COUNTIF(ME9,"&lt;&gt;0")+COUNTIF(ME12,"&lt;&gt;0")+COUNTIF(ME15,"&lt;&gt;0")+COUNTIF(ME18,"&lt;&gt;0")+COUNTIF(ME21,"&lt;&gt;0"))   -   COUNTIF(Detail!$G:$G,'Rates-Service Fees'!ME$23), 0)</f>
        <v>0</v>
      </c>
      <c r="MF60">
        <f>IF(MF1&lt;&gt;0,(COUNTIF(MF9,"&lt;&gt;0")+COUNTIF(MF12,"&lt;&gt;0")+COUNTIF(MF15,"&lt;&gt;0")+COUNTIF(MF18,"&lt;&gt;0")+COUNTIF(MF21,"&lt;&gt;0"))   -   COUNTIF(Detail!$G:$G,'Rates-Service Fees'!MF$23), 0)</f>
        <v>0</v>
      </c>
      <c r="MG60">
        <f>IF(MG1&lt;&gt;0,(COUNTIF(MG9,"&lt;&gt;0")+COUNTIF(MG12,"&lt;&gt;0")+COUNTIF(MG15,"&lt;&gt;0")+COUNTIF(MG18,"&lt;&gt;0")+COUNTIF(MG21,"&lt;&gt;0"))   -   COUNTIF(Detail!$G:$G,'Rates-Service Fees'!MG$23), 0)</f>
        <v>0</v>
      </c>
      <c r="MH60">
        <f>IF(MH1&lt;&gt;0,(COUNTIF(MH9,"&lt;&gt;0")+COUNTIF(MH12,"&lt;&gt;0")+COUNTIF(MH15,"&lt;&gt;0")+COUNTIF(MH18,"&lt;&gt;0")+COUNTIF(MH21,"&lt;&gt;0"))   -   COUNTIF(Detail!$G:$G,'Rates-Service Fees'!MH$23), 0)</f>
        <v>0</v>
      </c>
      <c r="MI60">
        <f>IF(MI1&lt;&gt;0,(COUNTIF(MI9,"&lt;&gt;0")+COUNTIF(MI12,"&lt;&gt;0")+COUNTIF(MI15,"&lt;&gt;0")+COUNTIF(MI18,"&lt;&gt;0")+COUNTIF(MI21,"&lt;&gt;0"))   -   COUNTIF(Detail!$G:$G,'Rates-Service Fees'!MI$23), 0)</f>
        <v>0</v>
      </c>
      <c r="MJ60">
        <f>IF(MJ1&lt;&gt;0,(COUNTIF(MJ9,"&lt;&gt;0")+COUNTIF(MJ12,"&lt;&gt;0")+COUNTIF(MJ15,"&lt;&gt;0")+COUNTIF(MJ18,"&lt;&gt;0")+COUNTIF(MJ21,"&lt;&gt;0"))   -   COUNTIF(Detail!$G:$G,'Rates-Service Fees'!MJ$23), 0)</f>
        <v>0</v>
      </c>
      <c r="MK60">
        <f>IF(MK1&lt;&gt;0,(COUNTIF(MK9,"&lt;&gt;0")+COUNTIF(MK12,"&lt;&gt;0")+COUNTIF(MK15,"&lt;&gt;0")+COUNTIF(MK18,"&lt;&gt;0")+COUNTIF(MK21,"&lt;&gt;0"))   -   COUNTIF(Detail!$G:$G,'Rates-Service Fees'!MK$23), 0)</f>
        <v>0</v>
      </c>
      <c r="ML60">
        <f>IF(ML1&lt;&gt;0,(COUNTIF(ML9,"&lt;&gt;0")+COUNTIF(ML12,"&lt;&gt;0")+COUNTIF(ML15,"&lt;&gt;0")+COUNTIF(ML18,"&lt;&gt;0")+COUNTIF(ML21,"&lt;&gt;0"))   -   COUNTIF(Detail!$G:$G,'Rates-Service Fees'!ML$23), 0)</f>
        <v>0</v>
      </c>
      <c r="MM60">
        <f>IF(MM1&lt;&gt;0,(COUNTIF(MM9,"&lt;&gt;0")+COUNTIF(MM12,"&lt;&gt;0")+COUNTIF(MM15,"&lt;&gt;0")+COUNTIF(MM18,"&lt;&gt;0")+COUNTIF(MM21,"&lt;&gt;0"))   -   COUNTIF(Detail!$G:$G,'Rates-Service Fees'!MM$23), 0)</f>
        <v>0</v>
      </c>
      <c r="MN60">
        <f>IF(MN1&lt;&gt;0,(COUNTIF(MN9,"&lt;&gt;0")+COUNTIF(MN12,"&lt;&gt;0")+COUNTIF(MN15,"&lt;&gt;0")+COUNTIF(MN18,"&lt;&gt;0")+COUNTIF(MN21,"&lt;&gt;0"))   -   COUNTIF(Detail!$G:$G,'Rates-Service Fees'!MN$23), 0)</f>
        <v>0</v>
      </c>
      <c r="MO60">
        <f>IF(MO1&lt;&gt;0,(COUNTIF(MO9,"&lt;&gt;0")+COUNTIF(MO12,"&lt;&gt;0")+COUNTIF(MO15,"&lt;&gt;0")+COUNTIF(MO18,"&lt;&gt;0")+COUNTIF(MO21,"&lt;&gt;0"))   -   COUNTIF(Detail!$G:$G,'Rates-Service Fees'!MO$23), 0)</f>
        <v>0</v>
      </c>
      <c r="MP60">
        <f>IF(MP1&lt;&gt;0,(COUNTIF(MP9,"&lt;&gt;0")+COUNTIF(MP12,"&lt;&gt;0")+COUNTIF(MP15,"&lt;&gt;0")+COUNTIF(MP18,"&lt;&gt;0")+COUNTIF(MP21,"&lt;&gt;0"))   -   COUNTIF(Detail!$G:$G,'Rates-Service Fees'!MP$23), 0)</f>
        <v>0</v>
      </c>
      <c r="MQ60">
        <f>IF(MQ1&lt;&gt;0,(COUNTIF(MQ9,"&lt;&gt;0")+COUNTIF(MQ12,"&lt;&gt;0")+COUNTIF(MQ15,"&lt;&gt;0")+COUNTIF(MQ18,"&lt;&gt;0")+COUNTIF(MQ21,"&lt;&gt;0"))   -   COUNTIF(Detail!$G:$G,'Rates-Service Fees'!MQ$23), 0)</f>
        <v>0</v>
      </c>
      <c r="MR60">
        <f>IF(MR1&lt;&gt;0,(COUNTIF(MR9,"&lt;&gt;0")+COUNTIF(MR12,"&lt;&gt;0")+COUNTIF(MR15,"&lt;&gt;0")+COUNTIF(MR18,"&lt;&gt;0")+COUNTIF(MR21,"&lt;&gt;0"))   -   COUNTIF(Detail!$G:$G,'Rates-Service Fees'!MR$23), 0)</f>
        <v>0</v>
      </c>
      <c r="MS60">
        <f>IF(MS1&lt;&gt;0,(COUNTIF(MS9,"&lt;&gt;0")+COUNTIF(MS12,"&lt;&gt;0")+COUNTIF(MS15,"&lt;&gt;0")+COUNTIF(MS18,"&lt;&gt;0")+COUNTIF(MS21,"&lt;&gt;0"))   -   COUNTIF(Detail!$G:$G,'Rates-Service Fees'!MS$23), 0)</f>
        <v>0</v>
      </c>
      <c r="MT60">
        <f>IF(MT1&lt;&gt;0,(COUNTIF(MT9,"&lt;&gt;0")+COUNTIF(MT12,"&lt;&gt;0")+COUNTIF(MT15,"&lt;&gt;0")+COUNTIF(MT18,"&lt;&gt;0")+COUNTIF(MT21,"&lt;&gt;0"))   -   COUNTIF(Detail!$G:$G,'Rates-Service Fees'!MT$23), 0)</f>
        <v>0</v>
      </c>
      <c r="MU60">
        <f>IF(MU1&lt;&gt;0,(COUNTIF(MU9,"&lt;&gt;0")+COUNTIF(MU12,"&lt;&gt;0")+COUNTIF(MU15,"&lt;&gt;0")+COUNTIF(MU18,"&lt;&gt;0")+COUNTIF(MU21,"&lt;&gt;0"))   -   COUNTIF(Detail!$G:$G,'Rates-Service Fees'!MU$23), 0)</f>
        <v>0</v>
      </c>
      <c r="MV60">
        <f>IF(MV1&lt;&gt;0,(COUNTIF(MV9,"&lt;&gt;0")+COUNTIF(MV12,"&lt;&gt;0")+COUNTIF(MV15,"&lt;&gt;0")+COUNTIF(MV18,"&lt;&gt;0")+COUNTIF(MV21,"&lt;&gt;0"))   -   COUNTIF(Detail!$G:$G,'Rates-Service Fees'!MV$23), 0)</f>
        <v>0</v>
      </c>
      <c r="MW60">
        <f>IF(MW1&lt;&gt;0,(COUNTIF(MW9,"&lt;&gt;0")+COUNTIF(MW12,"&lt;&gt;0")+COUNTIF(MW15,"&lt;&gt;0")+COUNTIF(MW18,"&lt;&gt;0")+COUNTIF(MW21,"&lt;&gt;0"))   -   COUNTIF(Detail!$G:$G,'Rates-Service Fees'!MW$23), 0)</f>
        <v>0</v>
      </c>
      <c r="MX60">
        <f>IF(MX1&lt;&gt;0,(COUNTIF(MX9,"&lt;&gt;0")+COUNTIF(MX12,"&lt;&gt;0")+COUNTIF(MX15,"&lt;&gt;0")+COUNTIF(MX18,"&lt;&gt;0")+COUNTIF(MX21,"&lt;&gt;0"))   -   COUNTIF(Detail!$G:$G,'Rates-Service Fees'!MX$23), 0)</f>
        <v>0</v>
      </c>
      <c r="MY60">
        <f>IF(MY1&lt;&gt;0,(COUNTIF(MY9,"&lt;&gt;0")+COUNTIF(MY12,"&lt;&gt;0")+COUNTIF(MY15,"&lt;&gt;0")+COUNTIF(MY18,"&lt;&gt;0")+COUNTIF(MY21,"&lt;&gt;0"))   -   COUNTIF(Detail!$G:$G,'Rates-Service Fees'!MY$23), 0)</f>
        <v>0</v>
      </c>
      <c r="MZ60">
        <f>IF(MZ1&lt;&gt;0,(COUNTIF(MZ9,"&lt;&gt;0")+COUNTIF(MZ12,"&lt;&gt;0")+COUNTIF(MZ15,"&lt;&gt;0")+COUNTIF(MZ18,"&lt;&gt;0")+COUNTIF(MZ21,"&lt;&gt;0"))   -   COUNTIF(Detail!$G:$G,'Rates-Service Fees'!MZ$23), 0)</f>
        <v>0</v>
      </c>
      <c r="NA60">
        <f>IF(NA1&lt;&gt;0,(COUNTIF(NA9,"&lt;&gt;0")+COUNTIF(NA12,"&lt;&gt;0")+COUNTIF(NA15,"&lt;&gt;0")+COUNTIF(NA18,"&lt;&gt;0")+COUNTIF(NA21,"&lt;&gt;0"))   -   COUNTIF(Detail!$G:$G,'Rates-Service Fees'!NA$23), 0)</f>
        <v>0</v>
      </c>
      <c r="NB60">
        <f>IF(NB1&lt;&gt;0,(COUNTIF(NB9,"&lt;&gt;0")+COUNTIF(NB12,"&lt;&gt;0")+COUNTIF(NB15,"&lt;&gt;0")+COUNTIF(NB18,"&lt;&gt;0")+COUNTIF(NB21,"&lt;&gt;0"))   -   COUNTIF(Detail!$G:$G,'Rates-Service Fees'!NB$23), 0)</f>
        <v>0</v>
      </c>
      <c r="NC60">
        <f>IF(NC1&lt;&gt;0,(COUNTIF(NC9,"&lt;&gt;0")+COUNTIF(NC12,"&lt;&gt;0")+COUNTIF(NC15,"&lt;&gt;0")+COUNTIF(NC18,"&lt;&gt;0")+COUNTIF(NC21,"&lt;&gt;0"))   -   COUNTIF(Detail!$G:$G,'Rates-Service Fees'!NC$23), 0)</f>
        <v>0</v>
      </c>
      <c r="ND60">
        <f>IF(ND1&lt;&gt;0,(COUNTIF(ND9,"&lt;&gt;0")+COUNTIF(ND12,"&lt;&gt;0")+COUNTIF(ND15,"&lt;&gt;0")+COUNTIF(ND18,"&lt;&gt;0")+COUNTIF(ND21,"&lt;&gt;0"))   -   COUNTIF(Detail!$G:$G,'Rates-Service Fees'!ND$23), 0)</f>
        <v>0</v>
      </c>
      <c r="NE60">
        <f>IF(NE1&lt;&gt;0,(COUNTIF(NE9,"&lt;&gt;0")+COUNTIF(NE12,"&lt;&gt;0")+COUNTIF(NE15,"&lt;&gt;0")+COUNTIF(NE18,"&lt;&gt;0")+COUNTIF(NE21,"&lt;&gt;0"))   -   COUNTIF(Detail!$G:$G,'Rates-Service Fees'!NE$23), 0)</f>
        <v>0</v>
      </c>
      <c r="NF60">
        <f>IF(NF1&lt;&gt;0,(COUNTIF(NF9,"&lt;&gt;0")+COUNTIF(NF12,"&lt;&gt;0")+COUNTIF(NF15,"&lt;&gt;0")+COUNTIF(NF18,"&lt;&gt;0")+COUNTIF(NF21,"&lt;&gt;0"))   -   COUNTIF(Detail!$G:$G,'Rates-Service Fees'!NF$23), 0)</f>
        <v>0</v>
      </c>
      <c r="NG60">
        <f>IF(NG1&lt;&gt;0,(COUNTIF(NG9,"&lt;&gt;0")+COUNTIF(NG12,"&lt;&gt;0")+COUNTIF(NG15,"&lt;&gt;0")+COUNTIF(NG18,"&lt;&gt;0")+COUNTIF(NG21,"&lt;&gt;0"))   -   COUNTIF(Detail!$G:$G,'Rates-Service Fees'!NG$23), 0)</f>
        <v>0</v>
      </c>
      <c r="NH60">
        <f>IF(NH1&lt;&gt;0,(COUNTIF(NH9,"&lt;&gt;0")+COUNTIF(NH12,"&lt;&gt;0")+COUNTIF(NH15,"&lt;&gt;0")+COUNTIF(NH18,"&lt;&gt;0")+COUNTIF(NH21,"&lt;&gt;0"))   -   COUNTIF(Detail!$G:$G,'Rates-Service Fees'!NH$23), 0)</f>
        <v>0</v>
      </c>
      <c r="NI60">
        <f>IF(NI1&lt;&gt;0,(COUNTIF(NI9,"&lt;&gt;0")+COUNTIF(NI12,"&lt;&gt;0")+COUNTIF(NI15,"&lt;&gt;0")+COUNTIF(NI18,"&lt;&gt;0")+COUNTIF(NI21,"&lt;&gt;0"))   -   COUNTIF(Detail!$G:$G,'Rates-Service Fees'!NI$23), 0)</f>
        <v>0</v>
      </c>
      <c r="NJ60">
        <f>IF(NJ1&lt;&gt;0,(COUNTIF(NJ9,"&lt;&gt;0")+COUNTIF(NJ12,"&lt;&gt;0")+COUNTIF(NJ15,"&lt;&gt;0")+COUNTIF(NJ18,"&lt;&gt;0")+COUNTIF(NJ21,"&lt;&gt;0"))   -   COUNTIF(Detail!$G:$G,'Rates-Service Fees'!NJ$23), 0)</f>
        <v>0</v>
      </c>
      <c r="NK60">
        <f>IF(NK1&lt;&gt;0,(COUNTIF(NK9,"&lt;&gt;0")+COUNTIF(NK12,"&lt;&gt;0")+COUNTIF(NK15,"&lt;&gt;0")+COUNTIF(NK18,"&lt;&gt;0")+COUNTIF(NK21,"&lt;&gt;0"))   -   COUNTIF(Detail!$G:$G,'Rates-Service Fees'!NK$23), 0)</f>
        <v>0</v>
      </c>
      <c r="NL60">
        <f>IF(NL1&lt;&gt;0,(COUNTIF(NL9,"&lt;&gt;0")+COUNTIF(NL12,"&lt;&gt;0")+COUNTIF(NL15,"&lt;&gt;0")+COUNTIF(NL18,"&lt;&gt;0")+COUNTIF(NL21,"&lt;&gt;0"))   -   COUNTIF(Detail!$G:$G,'Rates-Service Fees'!NL$23), 0)</f>
        <v>0</v>
      </c>
      <c r="NM60">
        <f>IF(NM1&lt;&gt;0,(COUNTIF(NM9,"&lt;&gt;0")+COUNTIF(NM12,"&lt;&gt;0")+COUNTIF(NM15,"&lt;&gt;0")+COUNTIF(NM18,"&lt;&gt;0")+COUNTIF(NM21,"&lt;&gt;0"))   -   COUNTIF(Detail!$G:$G,'Rates-Service Fees'!NM$23), 0)</f>
        <v>0</v>
      </c>
      <c r="NN60">
        <f>IF(NN1&lt;&gt;0,(COUNTIF(NN9,"&lt;&gt;0")+COUNTIF(NN12,"&lt;&gt;0")+COUNTIF(NN15,"&lt;&gt;0")+COUNTIF(NN18,"&lt;&gt;0")+COUNTIF(NN21,"&lt;&gt;0"))   -   COUNTIF(Detail!$G:$G,'Rates-Service Fees'!NN$23), 0)</f>
        <v>0</v>
      </c>
      <c r="NO60">
        <f>IF(NO1&lt;&gt;0,(COUNTIF(NO9,"&lt;&gt;0")+COUNTIF(NO12,"&lt;&gt;0")+COUNTIF(NO15,"&lt;&gt;0")+COUNTIF(NO18,"&lt;&gt;0")+COUNTIF(NO21,"&lt;&gt;0"))   -   COUNTIF(Detail!$G:$G,'Rates-Service Fees'!NO$23), 0)</f>
        <v>0</v>
      </c>
      <c r="NP60">
        <f>IF(NP1&lt;&gt;0,(COUNTIF(NP9,"&lt;&gt;0")+COUNTIF(NP12,"&lt;&gt;0")+COUNTIF(NP15,"&lt;&gt;0")+COUNTIF(NP18,"&lt;&gt;0")+COUNTIF(NP21,"&lt;&gt;0"))   -   COUNTIF(Detail!$G:$G,'Rates-Service Fees'!NP$23), 0)</f>
        <v>0</v>
      </c>
      <c r="NQ60">
        <f>IF(NQ1&lt;&gt;0,(COUNTIF(NQ9,"&lt;&gt;0")+COUNTIF(NQ12,"&lt;&gt;0")+COUNTIF(NQ15,"&lt;&gt;0")+COUNTIF(NQ18,"&lt;&gt;0")+COUNTIF(NQ21,"&lt;&gt;0"))   -   COUNTIF(Detail!$G:$G,'Rates-Service Fees'!NQ$23), 0)</f>
        <v>0</v>
      </c>
      <c r="NR60">
        <f>IF(NR1&lt;&gt;0,(COUNTIF(NR9,"&lt;&gt;0")+COUNTIF(NR12,"&lt;&gt;0")+COUNTIF(NR15,"&lt;&gt;0")+COUNTIF(NR18,"&lt;&gt;0")+COUNTIF(NR21,"&lt;&gt;0"))   -   COUNTIF(Detail!$G:$G,'Rates-Service Fees'!NR$23), 0)</f>
        <v>0</v>
      </c>
      <c r="NS60">
        <f>IF(NS1&lt;&gt;0,(COUNTIF(NS9,"&lt;&gt;0")+COUNTIF(NS12,"&lt;&gt;0")+COUNTIF(NS15,"&lt;&gt;0")+COUNTIF(NS18,"&lt;&gt;0")+COUNTIF(NS21,"&lt;&gt;0"))   -   COUNTIF(Detail!$G:$G,'Rates-Service Fees'!NS$23), 0)</f>
        <v>0</v>
      </c>
      <c r="NT60">
        <f>IF(NT1&lt;&gt;0,(COUNTIF(NT9,"&lt;&gt;0")+COUNTIF(NT12,"&lt;&gt;0")+COUNTIF(NT15,"&lt;&gt;0")+COUNTIF(NT18,"&lt;&gt;0")+COUNTIF(NT21,"&lt;&gt;0"))   -   COUNTIF(Detail!$G:$G,'Rates-Service Fees'!NT$23), 0)</f>
        <v>0</v>
      </c>
      <c r="NU60">
        <f>IF(NU1&lt;&gt;0,(COUNTIF(NU9,"&lt;&gt;0")+COUNTIF(NU12,"&lt;&gt;0")+COUNTIF(NU15,"&lt;&gt;0")+COUNTIF(NU18,"&lt;&gt;0")+COUNTIF(NU21,"&lt;&gt;0"))   -   COUNTIF(Detail!$G:$G,'Rates-Service Fees'!NU$23), 0)</f>
        <v>0</v>
      </c>
      <c r="NV60">
        <f>IF(NV1&lt;&gt;0,(COUNTIF(NV9,"&lt;&gt;0")+COUNTIF(NV12,"&lt;&gt;0")+COUNTIF(NV15,"&lt;&gt;0")+COUNTIF(NV18,"&lt;&gt;0")+COUNTIF(NV21,"&lt;&gt;0"))   -   COUNTIF(Detail!$G:$G,'Rates-Service Fees'!NV$23), 0)</f>
        <v>0</v>
      </c>
      <c r="NW60">
        <f>IF(NW1&lt;&gt;0,(COUNTIF(NW9,"&lt;&gt;0")+COUNTIF(NW12,"&lt;&gt;0")+COUNTIF(NW15,"&lt;&gt;0")+COUNTIF(NW18,"&lt;&gt;0")+COUNTIF(NW21,"&lt;&gt;0"))   -   COUNTIF(Detail!$G:$G,'Rates-Service Fees'!NW$23), 0)</f>
        <v>0</v>
      </c>
      <c r="NX60">
        <f>IF(NX1&lt;&gt;0,(COUNTIF(NX9,"&lt;&gt;0")+COUNTIF(NX12,"&lt;&gt;0")+COUNTIF(NX15,"&lt;&gt;0")+COUNTIF(NX18,"&lt;&gt;0")+COUNTIF(NX21,"&lt;&gt;0"))   -   COUNTIF(Detail!$G:$G,'Rates-Service Fees'!NX$23), 0)</f>
        <v>0</v>
      </c>
      <c r="NY60">
        <f>IF(NY1&lt;&gt;0,(COUNTIF(NY9,"&lt;&gt;0")+COUNTIF(NY12,"&lt;&gt;0")+COUNTIF(NY15,"&lt;&gt;0")+COUNTIF(NY18,"&lt;&gt;0")+COUNTIF(NY21,"&lt;&gt;0"))   -   COUNTIF(Detail!$G:$G,'Rates-Service Fees'!NY$23), 0)</f>
        <v>0</v>
      </c>
      <c r="NZ60">
        <f>IF(NZ1&lt;&gt;0,(COUNTIF(NZ9,"&lt;&gt;0")+COUNTIF(NZ12,"&lt;&gt;0")+COUNTIF(NZ15,"&lt;&gt;0")+COUNTIF(NZ18,"&lt;&gt;0")+COUNTIF(NZ21,"&lt;&gt;0"))   -   COUNTIF(Detail!$G:$G,'Rates-Service Fees'!NZ$23), 0)</f>
        <v>0</v>
      </c>
      <c r="OA60">
        <f>IF(OA1&lt;&gt;0,(COUNTIF(OA9,"&lt;&gt;0")+COUNTIF(OA12,"&lt;&gt;0")+COUNTIF(OA15,"&lt;&gt;0")+COUNTIF(OA18,"&lt;&gt;0")+COUNTIF(OA21,"&lt;&gt;0"))   -   COUNTIF(Detail!$G:$G,'Rates-Service Fees'!OA$23), 0)</f>
        <v>0</v>
      </c>
      <c r="OB60">
        <f>IF(OB1&lt;&gt;0,(COUNTIF(OB9,"&lt;&gt;0")+COUNTIF(OB12,"&lt;&gt;0")+COUNTIF(OB15,"&lt;&gt;0")+COUNTIF(OB18,"&lt;&gt;0")+COUNTIF(OB21,"&lt;&gt;0"))   -   COUNTIF(Detail!$G:$G,'Rates-Service Fees'!OB$23), 0)</f>
        <v>0</v>
      </c>
      <c r="OC60">
        <f>IF(OC1&lt;&gt;0,(COUNTIF(OC9,"&lt;&gt;0")+COUNTIF(OC12,"&lt;&gt;0")+COUNTIF(OC15,"&lt;&gt;0")+COUNTIF(OC18,"&lt;&gt;0")+COUNTIF(OC21,"&lt;&gt;0"))   -   COUNTIF(Detail!$G:$G,'Rates-Service Fees'!OC$23), 0)</f>
        <v>0</v>
      </c>
      <c r="OD60">
        <f>IF(OD1&lt;&gt;0,(COUNTIF(OD9,"&lt;&gt;0")+COUNTIF(OD12,"&lt;&gt;0")+COUNTIF(OD15,"&lt;&gt;0")+COUNTIF(OD18,"&lt;&gt;0")+COUNTIF(OD21,"&lt;&gt;0"))   -   COUNTIF(Detail!$G:$G,'Rates-Service Fees'!OD$23), 0)</f>
        <v>0</v>
      </c>
      <c r="OE60">
        <f>IF(OE1&lt;&gt;0,(COUNTIF(OE9,"&lt;&gt;0")+COUNTIF(OE12,"&lt;&gt;0")+COUNTIF(OE15,"&lt;&gt;0")+COUNTIF(OE18,"&lt;&gt;0")+COUNTIF(OE21,"&lt;&gt;0"))   -   COUNTIF(Detail!$G:$G,'Rates-Service Fees'!OE$23), 0)</f>
        <v>0</v>
      </c>
      <c r="OF60">
        <f>IF(OF1&lt;&gt;0,(COUNTIF(OF9,"&lt;&gt;0")+COUNTIF(OF12,"&lt;&gt;0")+COUNTIF(OF15,"&lt;&gt;0")+COUNTIF(OF18,"&lt;&gt;0")+COUNTIF(OF21,"&lt;&gt;0"))   -   COUNTIF(Detail!$G:$G,'Rates-Service Fees'!OF$23), 0)</f>
        <v>0</v>
      </c>
      <c r="OG60">
        <f>IF(OG1&lt;&gt;0,(COUNTIF(OG9,"&lt;&gt;0")+COUNTIF(OG12,"&lt;&gt;0")+COUNTIF(OG15,"&lt;&gt;0")+COUNTIF(OG18,"&lt;&gt;0")+COUNTIF(OG21,"&lt;&gt;0"))   -   COUNTIF(Detail!$G:$G,'Rates-Service Fees'!OG$23), 0)</f>
        <v>0</v>
      </c>
      <c r="OH60">
        <f>IF(OH1&lt;&gt;0,(COUNTIF(OH9,"&lt;&gt;0")+COUNTIF(OH12,"&lt;&gt;0")+COUNTIF(OH15,"&lt;&gt;0")+COUNTIF(OH18,"&lt;&gt;0")+COUNTIF(OH21,"&lt;&gt;0"))   -   COUNTIF(Detail!$G:$G,'Rates-Service Fees'!OH$23), 0)</f>
        <v>0</v>
      </c>
      <c r="OI60">
        <f>IF(OI1&lt;&gt;0,(COUNTIF(OI9,"&lt;&gt;0")+COUNTIF(OI12,"&lt;&gt;0")+COUNTIF(OI15,"&lt;&gt;0")+COUNTIF(OI18,"&lt;&gt;0")+COUNTIF(OI21,"&lt;&gt;0"))   -   COUNTIF(Detail!$G:$G,'Rates-Service Fees'!OI$23), 0)</f>
        <v>0</v>
      </c>
      <c r="OJ60">
        <f>IF(OJ1&lt;&gt;0,(COUNTIF(OJ9,"&lt;&gt;0")+COUNTIF(OJ12,"&lt;&gt;0")+COUNTIF(OJ15,"&lt;&gt;0")+COUNTIF(OJ18,"&lt;&gt;0")+COUNTIF(OJ21,"&lt;&gt;0"))   -   COUNTIF(Detail!$G:$G,'Rates-Service Fees'!OJ$23), 0)</f>
        <v>0</v>
      </c>
      <c r="OK60">
        <f>IF(OK1&lt;&gt;0,(COUNTIF(OK9,"&lt;&gt;0")+COUNTIF(OK12,"&lt;&gt;0")+COUNTIF(OK15,"&lt;&gt;0")+COUNTIF(OK18,"&lt;&gt;0")+COUNTIF(OK21,"&lt;&gt;0"))   -   COUNTIF(Detail!$G:$G,'Rates-Service Fees'!OK$23), 0)</f>
        <v>0</v>
      </c>
      <c r="OL60">
        <f>IF(OL1&lt;&gt;0,(COUNTIF(OL9,"&lt;&gt;0")+COUNTIF(OL12,"&lt;&gt;0")+COUNTIF(OL15,"&lt;&gt;0")+COUNTIF(OL18,"&lt;&gt;0")+COUNTIF(OL21,"&lt;&gt;0"))   -   COUNTIF(Detail!$G:$G,'Rates-Service Fees'!OL$23), 0)</f>
        <v>0</v>
      </c>
      <c r="OM60">
        <f>IF(OM1&lt;&gt;0,(COUNTIF(OM9,"&lt;&gt;0")+COUNTIF(OM12,"&lt;&gt;0")+COUNTIF(OM15,"&lt;&gt;0")+COUNTIF(OM18,"&lt;&gt;0")+COUNTIF(OM21,"&lt;&gt;0"))   -   COUNTIF(Detail!$G:$G,'Rates-Service Fees'!OM$23), 0)</f>
        <v>0</v>
      </c>
      <c r="ON60">
        <f>IF(ON1&lt;&gt;0,(COUNTIF(ON9,"&lt;&gt;0")+COUNTIF(ON12,"&lt;&gt;0")+COUNTIF(ON15,"&lt;&gt;0")+COUNTIF(ON18,"&lt;&gt;0")+COUNTIF(ON21,"&lt;&gt;0"))   -   COUNTIF(Detail!$G:$G,'Rates-Service Fees'!ON$23), 0)</f>
        <v>0</v>
      </c>
      <c r="OO60">
        <f>IF(OO1&lt;&gt;0,(COUNTIF(OO9,"&lt;&gt;0")+COUNTIF(OO12,"&lt;&gt;0")+COUNTIF(OO15,"&lt;&gt;0")+COUNTIF(OO18,"&lt;&gt;0")+COUNTIF(OO21,"&lt;&gt;0"))   -   COUNTIF(Detail!$G:$G,'Rates-Service Fees'!OO$23), 0)</f>
        <v>0</v>
      </c>
      <c r="OP60">
        <f>IF(OP1&lt;&gt;0,(COUNTIF(OP9,"&lt;&gt;0")+COUNTIF(OP12,"&lt;&gt;0")+COUNTIF(OP15,"&lt;&gt;0")+COUNTIF(OP18,"&lt;&gt;0")+COUNTIF(OP21,"&lt;&gt;0"))   -   COUNTIF(Detail!$G:$G,'Rates-Service Fees'!OP$23), 0)</f>
        <v>0</v>
      </c>
      <c r="OQ60">
        <f>IF(OQ1&lt;&gt;0,(COUNTIF(OQ9,"&lt;&gt;0")+COUNTIF(OQ12,"&lt;&gt;0")+COUNTIF(OQ15,"&lt;&gt;0")+COUNTIF(OQ18,"&lt;&gt;0")+COUNTIF(OQ21,"&lt;&gt;0"))   -   COUNTIF(Detail!$G:$G,'Rates-Service Fees'!OQ$23), 0)</f>
        <v>0</v>
      </c>
      <c r="OR60">
        <f>IF(OR1&lt;&gt;0,(COUNTIF(OR9,"&lt;&gt;0")+COUNTIF(OR12,"&lt;&gt;0")+COUNTIF(OR15,"&lt;&gt;0")+COUNTIF(OR18,"&lt;&gt;0")+COUNTIF(OR21,"&lt;&gt;0"))   -   COUNTIF(Detail!$G:$G,'Rates-Service Fees'!OR$23), 0)</f>
        <v>0</v>
      </c>
      <c r="OS60">
        <f>IF(OS1&lt;&gt;0,(COUNTIF(OS9,"&lt;&gt;0")+COUNTIF(OS12,"&lt;&gt;0")+COUNTIF(OS15,"&lt;&gt;0")+COUNTIF(OS18,"&lt;&gt;0")+COUNTIF(OS21,"&lt;&gt;0"))   -   COUNTIF(Detail!$G:$G,'Rates-Service Fees'!OS$23), 0)</f>
        <v>0</v>
      </c>
      <c r="OT60">
        <f>IF(OT1&lt;&gt;0,(COUNTIF(OT9,"&lt;&gt;0")+COUNTIF(OT12,"&lt;&gt;0")+COUNTIF(OT15,"&lt;&gt;0")+COUNTIF(OT18,"&lt;&gt;0")+COUNTIF(OT21,"&lt;&gt;0"))   -   COUNTIF(Detail!$G:$G,'Rates-Service Fees'!OT$23), 0)</f>
        <v>0</v>
      </c>
      <c r="OU60">
        <f>IF(OU1&lt;&gt;0,(COUNTIF(OU9,"&lt;&gt;0")+COUNTIF(OU12,"&lt;&gt;0")+COUNTIF(OU15,"&lt;&gt;0")+COUNTIF(OU18,"&lt;&gt;0")+COUNTIF(OU21,"&lt;&gt;0"))   -   COUNTIF(Detail!$G:$G,'Rates-Service Fees'!OU$23), 0)</f>
        <v>0</v>
      </c>
      <c r="OV60">
        <f>IF(OV1&lt;&gt;0,(COUNTIF(OV9,"&lt;&gt;0")+COUNTIF(OV12,"&lt;&gt;0")+COUNTIF(OV15,"&lt;&gt;0")+COUNTIF(OV18,"&lt;&gt;0")+COUNTIF(OV21,"&lt;&gt;0"))   -   COUNTIF(Detail!$G:$G,'Rates-Service Fees'!OV$23), 0)</f>
        <v>0</v>
      </c>
      <c r="OW60">
        <f>IF(OW1&lt;&gt;0,(COUNTIF(OW9,"&lt;&gt;0")+COUNTIF(OW12,"&lt;&gt;0")+COUNTIF(OW15,"&lt;&gt;0")+COUNTIF(OW18,"&lt;&gt;0")+COUNTIF(OW21,"&lt;&gt;0"))   -   COUNTIF(Detail!$G:$G,'Rates-Service Fees'!OW$23), 0)</f>
        <v>0</v>
      </c>
      <c r="OX60">
        <f>IF(OX1&lt;&gt;0,(COUNTIF(OX9,"&lt;&gt;0")+COUNTIF(OX12,"&lt;&gt;0")+COUNTIF(OX15,"&lt;&gt;0")+COUNTIF(OX18,"&lt;&gt;0")+COUNTIF(OX21,"&lt;&gt;0"))   -   COUNTIF(Detail!$G:$G,'Rates-Service Fees'!OX$23), 0)</f>
        <v>0</v>
      </c>
      <c r="OY60">
        <f>IF(OY1&lt;&gt;0,(COUNTIF(OY9,"&lt;&gt;0")+COUNTIF(OY12,"&lt;&gt;0")+COUNTIF(OY15,"&lt;&gt;0")+COUNTIF(OY18,"&lt;&gt;0")+COUNTIF(OY21,"&lt;&gt;0"))   -   COUNTIF(Detail!$G:$G,'Rates-Service Fees'!OY$23), 0)</f>
        <v>0</v>
      </c>
      <c r="OZ60">
        <f>IF(OZ1&lt;&gt;0,(COUNTIF(OZ9,"&lt;&gt;0")+COUNTIF(OZ12,"&lt;&gt;0")+COUNTIF(OZ15,"&lt;&gt;0")+COUNTIF(OZ18,"&lt;&gt;0")+COUNTIF(OZ21,"&lt;&gt;0"))   -   COUNTIF(Detail!$G:$G,'Rates-Service Fees'!OZ$23), 0)</f>
        <v>0</v>
      </c>
      <c r="PA60">
        <f>IF(PA1&lt;&gt;0,(COUNTIF(PA9,"&lt;&gt;0")+COUNTIF(PA12,"&lt;&gt;0")+COUNTIF(PA15,"&lt;&gt;0")+COUNTIF(PA18,"&lt;&gt;0")+COUNTIF(PA21,"&lt;&gt;0"))   -   COUNTIF(Detail!$G:$G,'Rates-Service Fees'!PA$23), 0)</f>
        <v>0</v>
      </c>
      <c r="PB60">
        <f>IF(PB1&lt;&gt;0,(COUNTIF(PB9,"&lt;&gt;0")+COUNTIF(PB12,"&lt;&gt;0")+COUNTIF(PB15,"&lt;&gt;0")+COUNTIF(PB18,"&lt;&gt;0")+COUNTIF(PB21,"&lt;&gt;0"))   -   COUNTIF(Detail!$G:$G,'Rates-Service Fees'!PB$23), 0)</f>
        <v>0</v>
      </c>
      <c r="PC60">
        <f>IF(PC1&lt;&gt;0,(COUNTIF(PC9,"&lt;&gt;0")+COUNTIF(PC12,"&lt;&gt;0")+COUNTIF(PC15,"&lt;&gt;0")+COUNTIF(PC18,"&lt;&gt;0")+COUNTIF(PC21,"&lt;&gt;0"))   -   COUNTIF(Detail!$G:$G,'Rates-Service Fees'!PC$23), 0)</f>
        <v>0</v>
      </c>
      <c r="PD60">
        <f>IF(PD1&lt;&gt;0,(COUNTIF(PD9,"&lt;&gt;0")+COUNTIF(PD12,"&lt;&gt;0")+COUNTIF(PD15,"&lt;&gt;0")+COUNTIF(PD18,"&lt;&gt;0")+COUNTIF(PD21,"&lt;&gt;0"))   -   COUNTIF(Detail!$G:$G,'Rates-Service Fees'!PD$23), 0)</f>
        <v>0</v>
      </c>
      <c r="PE60">
        <f>IF(PE1&lt;&gt;0,(COUNTIF(PE9,"&lt;&gt;0")+COUNTIF(PE12,"&lt;&gt;0")+COUNTIF(PE15,"&lt;&gt;0")+COUNTIF(PE18,"&lt;&gt;0")+COUNTIF(PE21,"&lt;&gt;0"))   -   COUNTIF(Detail!$G:$G,'Rates-Service Fees'!PE$23), 0)</f>
        <v>0</v>
      </c>
      <c r="PF60">
        <f>IF(PF1&lt;&gt;0,(COUNTIF(PF9,"&lt;&gt;0")+COUNTIF(PF12,"&lt;&gt;0")+COUNTIF(PF15,"&lt;&gt;0")+COUNTIF(PF18,"&lt;&gt;0")+COUNTIF(PF21,"&lt;&gt;0"))   -   COUNTIF(Detail!$G:$G,'Rates-Service Fees'!PF$23), 0)</f>
        <v>0</v>
      </c>
      <c r="PG60">
        <f>IF(PG1&lt;&gt;0,(COUNTIF(PG9,"&lt;&gt;0")+COUNTIF(PG12,"&lt;&gt;0")+COUNTIF(PG15,"&lt;&gt;0")+COUNTIF(PG18,"&lt;&gt;0")+COUNTIF(PG21,"&lt;&gt;0"))   -   COUNTIF(Detail!$G:$G,'Rates-Service Fees'!PG$23), 0)</f>
        <v>0</v>
      </c>
      <c r="PH60">
        <f>IF(PH1&lt;&gt;0,(COUNTIF(PH9,"&lt;&gt;0")+COUNTIF(PH12,"&lt;&gt;0")+COUNTIF(PH15,"&lt;&gt;0")+COUNTIF(PH18,"&lt;&gt;0")+COUNTIF(PH21,"&lt;&gt;0"))   -   COUNTIF(Detail!$G:$G,'Rates-Service Fees'!PH$23), 0)</f>
        <v>0</v>
      </c>
      <c r="PI60">
        <f>IF(PI1&lt;&gt;0,(COUNTIF(PI9,"&lt;&gt;0")+COUNTIF(PI12,"&lt;&gt;0")+COUNTIF(PI15,"&lt;&gt;0")+COUNTIF(PI18,"&lt;&gt;0")+COUNTIF(PI21,"&lt;&gt;0"))   -   COUNTIF(Detail!$G:$G,'Rates-Service Fees'!PI$23), 0)</f>
        <v>0</v>
      </c>
      <c r="PJ60">
        <f>IF(PJ1&lt;&gt;0,(COUNTIF(PJ9,"&lt;&gt;0")+COUNTIF(PJ12,"&lt;&gt;0")+COUNTIF(PJ15,"&lt;&gt;0")+COUNTIF(PJ18,"&lt;&gt;0")+COUNTIF(PJ21,"&lt;&gt;0"))   -   COUNTIF(Detail!$G:$G,'Rates-Service Fees'!PJ$23), 0)</f>
        <v>0</v>
      </c>
      <c r="PK60">
        <f>IF(PK1&lt;&gt;0,(COUNTIF(PK9,"&lt;&gt;0")+COUNTIF(PK12,"&lt;&gt;0")+COUNTIF(PK15,"&lt;&gt;0")+COUNTIF(PK18,"&lt;&gt;0")+COUNTIF(PK21,"&lt;&gt;0"))   -   COUNTIF(Detail!$G:$G,'Rates-Service Fees'!PK$23), 0)</f>
        <v>0</v>
      </c>
      <c r="PL60">
        <f>IF(PL1&lt;&gt;0,(COUNTIF(PL9,"&lt;&gt;0")+COUNTIF(PL12,"&lt;&gt;0")+COUNTIF(PL15,"&lt;&gt;0")+COUNTIF(PL18,"&lt;&gt;0")+COUNTIF(PL21,"&lt;&gt;0"))   -   COUNTIF(Detail!$G:$G,'Rates-Service Fees'!PL$23), 0)</f>
        <v>0</v>
      </c>
      <c r="PM60">
        <f>IF(PM1&lt;&gt;0,(COUNTIF(PM9,"&lt;&gt;0")+COUNTIF(PM12,"&lt;&gt;0")+COUNTIF(PM15,"&lt;&gt;0")+COUNTIF(PM18,"&lt;&gt;0")+COUNTIF(PM21,"&lt;&gt;0"))   -   COUNTIF(Detail!$G:$G,'Rates-Service Fees'!PM$23), 0)</f>
        <v>0</v>
      </c>
      <c r="PN60">
        <f>IF(PN1&lt;&gt;0,(COUNTIF(PN9,"&lt;&gt;0")+COUNTIF(PN12,"&lt;&gt;0")+COUNTIF(PN15,"&lt;&gt;0")+COUNTIF(PN18,"&lt;&gt;0")+COUNTIF(PN21,"&lt;&gt;0"))   -   COUNTIF(Detail!$G:$G,'Rates-Service Fees'!PN$23), 0)</f>
        <v>0</v>
      </c>
      <c r="PO60">
        <f>IF(PO1&lt;&gt;0,(COUNTIF(PO9,"&lt;&gt;0")+COUNTIF(PO12,"&lt;&gt;0")+COUNTIF(PO15,"&lt;&gt;0")+COUNTIF(PO18,"&lt;&gt;0")+COUNTIF(PO21,"&lt;&gt;0"))   -   COUNTIF(Detail!$G:$G,'Rates-Service Fees'!PO$23), 0)</f>
        <v>0</v>
      </c>
      <c r="PP60">
        <f>IF(PP1&lt;&gt;0,(COUNTIF(PP9,"&lt;&gt;0")+COUNTIF(PP12,"&lt;&gt;0")+COUNTIF(PP15,"&lt;&gt;0")+COUNTIF(PP18,"&lt;&gt;0")+COUNTIF(PP21,"&lt;&gt;0"))   -   COUNTIF(Detail!$G:$G,'Rates-Service Fees'!PP$23), 0)</f>
        <v>0</v>
      </c>
      <c r="PQ60">
        <f>IF(PQ1&lt;&gt;0,(COUNTIF(PQ9,"&lt;&gt;0")+COUNTIF(PQ12,"&lt;&gt;0")+COUNTIF(PQ15,"&lt;&gt;0")+COUNTIF(PQ18,"&lt;&gt;0")+COUNTIF(PQ21,"&lt;&gt;0"))   -   COUNTIF(Detail!$G:$G,'Rates-Service Fees'!PQ$23), 0)</f>
        <v>0</v>
      </c>
      <c r="PR60">
        <f>IF(PR1&lt;&gt;0,(COUNTIF(PR9,"&lt;&gt;0")+COUNTIF(PR12,"&lt;&gt;0")+COUNTIF(PR15,"&lt;&gt;0")+COUNTIF(PR18,"&lt;&gt;0")+COUNTIF(PR21,"&lt;&gt;0"))   -   COUNTIF(Detail!$G:$G,'Rates-Service Fees'!PR$23), 0)</f>
        <v>0</v>
      </c>
      <c r="PS60">
        <f>IF(PS1&lt;&gt;0,(COUNTIF(PS9,"&lt;&gt;0")+COUNTIF(PS12,"&lt;&gt;0")+COUNTIF(PS15,"&lt;&gt;0")+COUNTIF(PS18,"&lt;&gt;0")+COUNTIF(PS21,"&lt;&gt;0"))   -   COUNTIF(Detail!$G:$G,'Rates-Service Fees'!PS$23), 0)</f>
        <v>0</v>
      </c>
      <c r="PT60">
        <f>IF(PT1&lt;&gt;0,(COUNTIF(PT9,"&lt;&gt;0")+COUNTIF(PT12,"&lt;&gt;0")+COUNTIF(PT15,"&lt;&gt;0")+COUNTIF(PT18,"&lt;&gt;0")+COUNTIF(PT21,"&lt;&gt;0"))   -   COUNTIF(Detail!$G:$G,'Rates-Service Fees'!PT$23), 0)</f>
        <v>0</v>
      </c>
      <c r="PU60">
        <f>IF(PU1&lt;&gt;0,(COUNTIF(PU9,"&lt;&gt;0")+COUNTIF(PU12,"&lt;&gt;0")+COUNTIF(PU15,"&lt;&gt;0")+COUNTIF(PU18,"&lt;&gt;0")+COUNTIF(PU21,"&lt;&gt;0"))   -   COUNTIF(Detail!$G:$G,'Rates-Service Fees'!PU$23), 0)</f>
        <v>0</v>
      </c>
      <c r="PV60">
        <f>IF(PV1&lt;&gt;0,(COUNTIF(PV9,"&lt;&gt;0")+COUNTIF(PV12,"&lt;&gt;0")+COUNTIF(PV15,"&lt;&gt;0")+COUNTIF(PV18,"&lt;&gt;0")+COUNTIF(PV21,"&lt;&gt;0"))   -   COUNTIF(Detail!$G:$G,'Rates-Service Fees'!PV$23), 0)</f>
        <v>0</v>
      </c>
      <c r="PW60">
        <f>IF(PW1&lt;&gt;0,(COUNTIF(PW9,"&lt;&gt;0")+COUNTIF(PW12,"&lt;&gt;0")+COUNTIF(PW15,"&lt;&gt;0")+COUNTIF(PW18,"&lt;&gt;0")+COUNTIF(PW21,"&lt;&gt;0"))   -   COUNTIF(Detail!$G:$G,'Rates-Service Fees'!PW$23), 0)</f>
        <v>0</v>
      </c>
      <c r="PX60">
        <f>IF(PX1&lt;&gt;0,(COUNTIF(PX9,"&lt;&gt;0")+COUNTIF(PX12,"&lt;&gt;0")+COUNTIF(PX15,"&lt;&gt;0")+COUNTIF(PX18,"&lt;&gt;0")+COUNTIF(PX21,"&lt;&gt;0"))   -   COUNTIF(Detail!$G:$G,'Rates-Service Fees'!PX$23), 0)</f>
        <v>0</v>
      </c>
      <c r="PY60">
        <f>IF(PY1&lt;&gt;0,(COUNTIF(PY9,"&lt;&gt;0")+COUNTIF(PY12,"&lt;&gt;0")+COUNTIF(PY15,"&lt;&gt;0")+COUNTIF(PY18,"&lt;&gt;0")+COUNTIF(PY21,"&lt;&gt;0"))   -   COUNTIF(Detail!$G:$G,'Rates-Service Fees'!PY$23), 0)</f>
        <v>0</v>
      </c>
      <c r="PZ60">
        <f>IF(PZ1&lt;&gt;0,(COUNTIF(PZ9,"&lt;&gt;0")+COUNTIF(PZ12,"&lt;&gt;0")+COUNTIF(PZ15,"&lt;&gt;0")+COUNTIF(PZ18,"&lt;&gt;0")+COUNTIF(PZ21,"&lt;&gt;0"))   -   COUNTIF(Detail!$G:$G,'Rates-Service Fees'!PZ$23), 0)</f>
        <v>0</v>
      </c>
      <c r="QA60">
        <f>IF(QA1&lt;&gt;0,(COUNTIF(QA9,"&lt;&gt;0")+COUNTIF(QA12,"&lt;&gt;0")+COUNTIF(QA15,"&lt;&gt;0")+COUNTIF(QA18,"&lt;&gt;0")+COUNTIF(QA21,"&lt;&gt;0"))   -   COUNTIF(Detail!$G:$G,'Rates-Service Fees'!QA$23), 0)</f>
        <v>0</v>
      </c>
      <c r="QB60">
        <f>IF(QB1&lt;&gt;0,(COUNTIF(QB9,"&lt;&gt;0")+COUNTIF(QB12,"&lt;&gt;0")+COUNTIF(QB15,"&lt;&gt;0")+COUNTIF(QB18,"&lt;&gt;0")+COUNTIF(QB21,"&lt;&gt;0"))   -   COUNTIF(Detail!$G:$G,'Rates-Service Fees'!QB$23), 0)</f>
        <v>0</v>
      </c>
      <c r="QC60">
        <f>IF(QC1&lt;&gt;0,(COUNTIF(QC9,"&lt;&gt;0")+COUNTIF(QC12,"&lt;&gt;0")+COUNTIF(QC15,"&lt;&gt;0")+COUNTIF(QC18,"&lt;&gt;0")+COUNTIF(QC21,"&lt;&gt;0"))   -   COUNTIF(Detail!$G:$G,'Rates-Service Fees'!QC$23), 0)</f>
        <v>0</v>
      </c>
      <c r="QD60">
        <f>IF(QD1&lt;&gt;0,(COUNTIF(QD9,"&lt;&gt;0")+COUNTIF(QD12,"&lt;&gt;0")+COUNTIF(QD15,"&lt;&gt;0")+COUNTIF(QD18,"&lt;&gt;0")+COUNTIF(QD21,"&lt;&gt;0"))   -   COUNTIF(Detail!$G:$G,'Rates-Service Fees'!QD$23), 0)</f>
        <v>0</v>
      </c>
      <c r="QE60">
        <f>IF(QE1&lt;&gt;0,(COUNTIF(QE9,"&lt;&gt;0")+COUNTIF(QE12,"&lt;&gt;0")+COUNTIF(QE15,"&lt;&gt;0")+COUNTIF(QE18,"&lt;&gt;0")+COUNTIF(QE21,"&lt;&gt;0"))   -   COUNTIF(Detail!$G:$G,'Rates-Service Fees'!QE$23), 0)</f>
        <v>0</v>
      </c>
      <c r="QF60">
        <f>IF(QF1&lt;&gt;0,(COUNTIF(QF9,"&lt;&gt;0")+COUNTIF(QF12,"&lt;&gt;0")+COUNTIF(QF15,"&lt;&gt;0")+COUNTIF(QF18,"&lt;&gt;0")+COUNTIF(QF21,"&lt;&gt;0"))   -   COUNTIF(Detail!$G:$G,'Rates-Service Fees'!QF$23), 0)</f>
        <v>0</v>
      </c>
      <c r="QG60">
        <f>IF(QG1&lt;&gt;0,(COUNTIF(QG9,"&lt;&gt;0")+COUNTIF(QG12,"&lt;&gt;0")+COUNTIF(QG15,"&lt;&gt;0")+COUNTIF(QG18,"&lt;&gt;0")+COUNTIF(QG21,"&lt;&gt;0"))   -   COUNTIF(Detail!$G:$G,'Rates-Service Fees'!QG$23), 0)</f>
        <v>0</v>
      </c>
      <c r="QH60">
        <f>IF(QH1&lt;&gt;0,(COUNTIF(QH9,"&lt;&gt;0")+COUNTIF(QH12,"&lt;&gt;0")+COUNTIF(QH15,"&lt;&gt;0")+COUNTIF(QH18,"&lt;&gt;0")+COUNTIF(QH21,"&lt;&gt;0"))   -   COUNTIF(Detail!$G:$G,'Rates-Service Fees'!QH$23), 0)</f>
        <v>0</v>
      </c>
      <c r="QI60">
        <f>IF(QI1&lt;&gt;0,(COUNTIF(QI9,"&lt;&gt;0")+COUNTIF(QI12,"&lt;&gt;0")+COUNTIF(QI15,"&lt;&gt;0")+COUNTIF(QI18,"&lt;&gt;0")+COUNTIF(QI21,"&lt;&gt;0"))   -   COUNTIF(Detail!$G:$G,'Rates-Service Fees'!QI$23), 0)</f>
        <v>0</v>
      </c>
      <c r="QJ60">
        <f>IF(QJ1&lt;&gt;0,(COUNTIF(QJ9,"&lt;&gt;0")+COUNTIF(QJ12,"&lt;&gt;0")+COUNTIF(QJ15,"&lt;&gt;0")+COUNTIF(QJ18,"&lt;&gt;0")+COUNTIF(QJ21,"&lt;&gt;0"))   -   COUNTIF(Detail!$G:$G,'Rates-Service Fees'!QJ$23), 0)</f>
        <v>0</v>
      </c>
      <c r="QK60">
        <f>IF(QK1&lt;&gt;0,(COUNTIF(QK9,"&lt;&gt;0")+COUNTIF(QK12,"&lt;&gt;0")+COUNTIF(QK15,"&lt;&gt;0")+COUNTIF(QK18,"&lt;&gt;0")+COUNTIF(QK21,"&lt;&gt;0"))   -   COUNTIF(Detail!$G:$G,'Rates-Service Fees'!QK$23), 0)</f>
        <v>0</v>
      </c>
      <c r="QL60">
        <f>IF(QL1&lt;&gt;0,(COUNTIF(QL9,"&lt;&gt;0")+COUNTIF(QL12,"&lt;&gt;0")+COUNTIF(QL15,"&lt;&gt;0")+COUNTIF(QL18,"&lt;&gt;0")+COUNTIF(QL21,"&lt;&gt;0"))   -   COUNTIF(Detail!$G:$G,'Rates-Service Fees'!QL$23), 0)</f>
        <v>0</v>
      </c>
      <c r="QM60">
        <f>IF(QM1&lt;&gt;0,(COUNTIF(QM9,"&lt;&gt;0")+COUNTIF(QM12,"&lt;&gt;0")+COUNTIF(QM15,"&lt;&gt;0")+COUNTIF(QM18,"&lt;&gt;0")+COUNTIF(QM21,"&lt;&gt;0"))   -   COUNTIF(Detail!$G:$G,'Rates-Service Fees'!QM$23), 0)</f>
        <v>0</v>
      </c>
      <c r="QN60">
        <f>IF(QN1&lt;&gt;0,(COUNTIF(QN9,"&lt;&gt;0")+COUNTIF(QN12,"&lt;&gt;0")+COUNTIF(QN15,"&lt;&gt;0")+COUNTIF(QN18,"&lt;&gt;0")+COUNTIF(QN21,"&lt;&gt;0"))   -   COUNTIF(Detail!$G:$G,'Rates-Service Fees'!QN$23), 0)</f>
        <v>0</v>
      </c>
      <c r="QO60">
        <f>IF(QO1&lt;&gt;0,(COUNTIF(QO9,"&lt;&gt;0")+COUNTIF(QO12,"&lt;&gt;0")+COUNTIF(QO15,"&lt;&gt;0")+COUNTIF(QO18,"&lt;&gt;0")+COUNTIF(QO21,"&lt;&gt;0"))   -   COUNTIF(Detail!$G:$G,'Rates-Service Fees'!QO$23), 0)</f>
        <v>0</v>
      </c>
      <c r="QP60">
        <f>IF(QP1&lt;&gt;0,(COUNTIF(QP9,"&lt;&gt;0")+COUNTIF(QP12,"&lt;&gt;0")+COUNTIF(QP15,"&lt;&gt;0")+COUNTIF(QP18,"&lt;&gt;0")+COUNTIF(QP21,"&lt;&gt;0"))   -   COUNTIF(Detail!$G:$G,'Rates-Service Fees'!QP$23), 0)</f>
        <v>0</v>
      </c>
      <c r="QQ60">
        <f>IF(QQ1&lt;&gt;0,(COUNTIF(QQ9,"&lt;&gt;0")+COUNTIF(QQ12,"&lt;&gt;0")+COUNTIF(QQ15,"&lt;&gt;0")+COUNTIF(QQ18,"&lt;&gt;0")+COUNTIF(QQ21,"&lt;&gt;0"))   -   COUNTIF(Detail!$G:$G,'Rates-Service Fees'!QQ$23), 0)</f>
        <v>0</v>
      </c>
      <c r="QR60">
        <f>IF(QR1&lt;&gt;0,(COUNTIF(QR9,"&lt;&gt;0")+COUNTIF(QR12,"&lt;&gt;0")+COUNTIF(QR15,"&lt;&gt;0")+COUNTIF(QR18,"&lt;&gt;0")+COUNTIF(QR21,"&lt;&gt;0"))   -   COUNTIF(Detail!$G:$G,'Rates-Service Fees'!QR$23), 0)</f>
        <v>0</v>
      </c>
      <c r="QS60">
        <f>IF(QS1&lt;&gt;0,(COUNTIF(QS9,"&lt;&gt;0")+COUNTIF(QS12,"&lt;&gt;0")+COUNTIF(QS15,"&lt;&gt;0")+COUNTIF(QS18,"&lt;&gt;0")+COUNTIF(QS21,"&lt;&gt;0"))   -   COUNTIF(Detail!$G:$G,'Rates-Service Fees'!QS$23), 0)</f>
        <v>0</v>
      </c>
      <c r="QT60">
        <f>IF(QT1&lt;&gt;0,(COUNTIF(QT9,"&lt;&gt;0")+COUNTIF(QT12,"&lt;&gt;0")+COUNTIF(QT15,"&lt;&gt;0")+COUNTIF(QT18,"&lt;&gt;0")+COUNTIF(QT21,"&lt;&gt;0"))   -   COUNTIF(Detail!$G:$G,'Rates-Service Fees'!QT$23), 0)</f>
        <v>0</v>
      </c>
      <c r="QU60">
        <f>IF(QU1&lt;&gt;0,(COUNTIF(QU9,"&lt;&gt;0")+COUNTIF(QU12,"&lt;&gt;0")+COUNTIF(QU15,"&lt;&gt;0")+COUNTIF(QU18,"&lt;&gt;0")+COUNTIF(QU21,"&lt;&gt;0"))   -   COUNTIF(Detail!$G:$G,'Rates-Service Fees'!QU$23), 0)</f>
        <v>0</v>
      </c>
      <c r="QV60">
        <f>IF(QV1&lt;&gt;0,(COUNTIF(QV9,"&lt;&gt;0")+COUNTIF(QV12,"&lt;&gt;0")+COUNTIF(QV15,"&lt;&gt;0")+COUNTIF(QV18,"&lt;&gt;0")+COUNTIF(QV21,"&lt;&gt;0"))   -   COUNTIF(Detail!$G:$G,'Rates-Service Fees'!QV$23), 0)</f>
        <v>0</v>
      </c>
      <c r="QW60">
        <f>IF(QW1&lt;&gt;0,(COUNTIF(QW9,"&lt;&gt;0")+COUNTIF(QW12,"&lt;&gt;0")+COUNTIF(QW15,"&lt;&gt;0")+COUNTIF(QW18,"&lt;&gt;0")+COUNTIF(QW21,"&lt;&gt;0"))   -   COUNTIF(Detail!$G:$G,'Rates-Service Fees'!QW$23), 0)</f>
        <v>0</v>
      </c>
      <c r="QX60">
        <f>IF(QX1&lt;&gt;0,(COUNTIF(QX9,"&lt;&gt;0")+COUNTIF(QX12,"&lt;&gt;0")+COUNTIF(QX15,"&lt;&gt;0")+COUNTIF(QX18,"&lt;&gt;0")+COUNTIF(QX21,"&lt;&gt;0"))   -   COUNTIF(Detail!$G:$G,'Rates-Service Fees'!QX$23), 0)</f>
        <v>0</v>
      </c>
      <c r="QY60">
        <f>IF(QY1&lt;&gt;0,(COUNTIF(QY9,"&lt;&gt;0")+COUNTIF(QY12,"&lt;&gt;0")+COUNTIF(QY15,"&lt;&gt;0")+COUNTIF(QY18,"&lt;&gt;0")+COUNTIF(QY21,"&lt;&gt;0"))   -   COUNTIF(Detail!$G:$G,'Rates-Service Fees'!QY$23), 0)</f>
        <v>0</v>
      </c>
      <c r="QZ60">
        <f>IF(QZ1&lt;&gt;0,(COUNTIF(QZ9,"&lt;&gt;0")+COUNTIF(QZ12,"&lt;&gt;0")+COUNTIF(QZ15,"&lt;&gt;0")+COUNTIF(QZ18,"&lt;&gt;0")+COUNTIF(QZ21,"&lt;&gt;0"))   -   COUNTIF(Detail!$G:$G,'Rates-Service Fees'!QZ$23), 0)</f>
        <v>0</v>
      </c>
      <c r="RA60">
        <f>IF(RA1&lt;&gt;0,(COUNTIF(RA9,"&lt;&gt;0")+COUNTIF(RA12,"&lt;&gt;0")+COUNTIF(RA15,"&lt;&gt;0")+COUNTIF(RA18,"&lt;&gt;0")+COUNTIF(RA21,"&lt;&gt;0"))   -   COUNTIF(Detail!$G:$G,'Rates-Service Fees'!RA$23), 0)</f>
        <v>0</v>
      </c>
      <c r="RB60">
        <f>IF(RB1&lt;&gt;0,(COUNTIF(RB9,"&lt;&gt;0")+COUNTIF(RB12,"&lt;&gt;0")+COUNTIF(RB15,"&lt;&gt;0")+COUNTIF(RB18,"&lt;&gt;0")+COUNTIF(RB21,"&lt;&gt;0"))   -   COUNTIF(Detail!$G:$G,'Rates-Service Fees'!RB$23), 0)</f>
        <v>0</v>
      </c>
      <c r="RC60">
        <f>IF(RC1&lt;&gt;0,(COUNTIF(RC9,"&lt;&gt;0")+COUNTIF(RC12,"&lt;&gt;0")+COUNTIF(RC15,"&lt;&gt;0")+COUNTIF(RC18,"&lt;&gt;0")+COUNTIF(RC21,"&lt;&gt;0"))   -   COUNTIF(Detail!$G:$G,'Rates-Service Fees'!RC$23), 0)</f>
        <v>0</v>
      </c>
      <c r="RD60">
        <f>IF(RD1&lt;&gt;0,(COUNTIF(RD9,"&lt;&gt;0")+COUNTIF(RD12,"&lt;&gt;0")+COUNTIF(RD15,"&lt;&gt;0")+COUNTIF(RD18,"&lt;&gt;0")+COUNTIF(RD21,"&lt;&gt;0"))   -   COUNTIF(Detail!$G:$G,'Rates-Service Fees'!RD$23), 0)</f>
        <v>0</v>
      </c>
      <c r="RE60">
        <f>IF(RE1&lt;&gt;0,(COUNTIF(RE9,"&lt;&gt;0")+COUNTIF(RE12,"&lt;&gt;0")+COUNTIF(RE15,"&lt;&gt;0")+COUNTIF(RE18,"&lt;&gt;0")+COUNTIF(RE21,"&lt;&gt;0"))   -   COUNTIF(Detail!$G:$G,'Rates-Service Fees'!RE$23), 0)</f>
        <v>0</v>
      </c>
      <c r="RF60">
        <f>IF(RF1&lt;&gt;0,(COUNTIF(RF9,"&lt;&gt;0")+COUNTIF(RF12,"&lt;&gt;0")+COUNTIF(RF15,"&lt;&gt;0")+COUNTIF(RF18,"&lt;&gt;0")+COUNTIF(RF21,"&lt;&gt;0"))   -   COUNTIF(Detail!$G:$G,'Rates-Service Fees'!RF$23), 0)</f>
        <v>0</v>
      </c>
      <c r="RG60">
        <f>IF(RG1&lt;&gt;0,(COUNTIF(RG9,"&lt;&gt;0")+COUNTIF(RG12,"&lt;&gt;0")+COUNTIF(RG15,"&lt;&gt;0")+COUNTIF(RG18,"&lt;&gt;0")+COUNTIF(RG21,"&lt;&gt;0"))   -   COUNTIF(Detail!$G:$G,'Rates-Service Fees'!RG$23), 0)</f>
        <v>0</v>
      </c>
      <c r="RH60">
        <f>IF(RH1&lt;&gt;0,(COUNTIF(RH9,"&lt;&gt;0")+COUNTIF(RH12,"&lt;&gt;0")+COUNTIF(RH15,"&lt;&gt;0")+COUNTIF(RH18,"&lt;&gt;0")+COUNTIF(RH21,"&lt;&gt;0"))   -   COUNTIF(Detail!$G:$G,'Rates-Service Fees'!RH$23), 0)</f>
        <v>0</v>
      </c>
      <c r="RI60">
        <f>IF(RI1&lt;&gt;0,(COUNTIF(RI9,"&lt;&gt;0")+COUNTIF(RI12,"&lt;&gt;0")+COUNTIF(RI15,"&lt;&gt;0")+COUNTIF(RI18,"&lt;&gt;0")+COUNTIF(RI21,"&lt;&gt;0"))   -   COUNTIF(Detail!$G:$G,'Rates-Service Fees'!RI$23), 0)</f>
        <v>0</v>
      </c>
      <c r="RJ60">
        <f>IF(RJ1&lt;&gt;0,(COUNTIF(RJ9,"&lt;&gt;0")+COUNTIF(RJ12,"&lt;&gt;0")+COUNTIF(RJ15,"&lt;&gt;0")+COUNTIF(RJ18,"&lt;&gt;0")+COUNTIF(RJ21,"&lt;&gt;0"))   -   COUNTIF(Detail!$G:$G,'Rates-Service Fees'!RJ$23), 0)</f>
        <v>0</v>
      </c>
      <c r="RK60">
        <f>IF(RK1&lt;&gt;0,(COUNTIF(RK9,"&lt;&gt;0")+COUNTIF(RK12,"&lt;&gt;0")+COUNTIF(RK15,"&lt;&gt;0")+COUNTIF(RK18,"&lt;&gt;0")+COUNTIF(RK21,"&lt;&gt;0"))   -   COUNTIF(Detail!$G:$G,'Rates-Service Fees'!RK$23), 0)</f>
        <v>0</v>
      </c>
      <c r="RL60">
        <f>IF(RL1&lt;&gt;0,(COUNTIF(RL9,"&lt;&gt;0")+COUNTIF(RL12,"&lt;&gt;0")+COUNTIF(RL15,"&lt;&gt;0")+COUNTIF(RL18,"&lt;&gt;0")+COUNTIF(RL21,"&lt;&gt;0"))   -   COUNTIF(Detail!$G:$G,'Rates-Service Fees'!RL$23), 0)</f>
        <v>0</v>
      </c>
      <c r="RM60">
        <f>IF(RM1&lt;&gt;0,(COUNTIF(RM9,"&lt;&gt;0")+COUNTIF(RM12,"&lt;&gt;0")+COUNTIF(RM15,"&lt;&gt;0")+COUNTIF(RM18,"&lt;&gt;0")+COUNTIF(RM21,"&lt;&gt;0"))   -   COUNTIF(Detail!$G:$G,'Rates-Service Fees'!RM$23), 0)</f>
        <v>0</v>
      </c>
      <c r="RN60">
        <f>IF(RN1&lt;&gt;0,(COUNTIF(RN9,"&lt;&gt;0")+COUNTIF(RN12,"&lt;&gt;0")+COUNTIF(RN15,"&lt;&gt;0")+COUNTIF(RN18,"&lt;&gt;0")+COUNTIF(RN21,"&lt;&gt;0"))   -   COUNTIF(Detail!$G:$G,'Rates-Service Fees'!RN$23), 0)</f>
        <v>0</v>
      </c>
      <c r="RO60">
        <f>IF(RO1&lt;&gt;0,(COUNTIF(RO9,"&lt;&gt;0")+COUNTIF(RO12,"&lt;&gt;0")+COUNTIF(RO15,"&lt;&gt;0")+COUNTIF(RO18,"&lt;&gt;0")+COUNTIF(RO21,"&lt;&gt;0"))   -   COUNTIF(Detail!$G:$G,'Rates-Service Fees'!RO$23), 0)</f>
        <v>0</v>
      </c>
      <c r="RP60">
        <f>IF(RP1&lt;&gt;0,(COUNTIF(RP9,"&lt;&gt;0")+COUNTIF(RP12,"&lt;&gt;0")+COUNTIF(RP15,"&lt;&gt;0")+COUNTIF(RP18,"&lt;&gt;0")+COUNTIF(RP21,"&lt;&gt;0"))   -   COUNTIF(Detail!$G:$G,'Rates-Service Fees'!RP$23), 0)</f>
        <v>0</v>
      </c>
      <c r="RQ60">
        <f>IF(RQ1&lt;&gt;0,(COUNTIF(RQ9,"&lt;&gt;0")+COUNTIF(RQ12,"&lt;&gt;0")+COUNTIF(RQ15,"&lt;&gt;0")+COUNTIF(RQ18,"&lt;&gt;0")+COUNTIF(RQ21,"&lt;&gt;0"))   -   COUNTIF(Detail!$G:$G,'Rates-Service Fees'!RQ$23), 0)</f>
        <v>0</v>
      </c>
      <c r="RR60">
        <f>IF(RR1&lt;&gt;0,(COUNTIF(RR9,"&lt;&gt;0")+COUNTIF(RR12,"&lt;&gt;0")+COUNTIF(RR15,"&lt;&gt;0")+COUNTIF(RR18,"&lt;&gt;0")+COUNTIF(RR21,"&lt;&gt;0"))   -   COUNTIF(Detail!$G:$G,'Rates-Service Fees'!RR$23), 0)</f>
        <v>0</v>
      </c>
      <c r="RS60">
        <f>IF(RS1&lt;&gt;0,(COUNTIF(RS9,"&lt;&gt;0")+COUNTIF(RS12,"&lt;&gt;0")+COUNTIF(RS15,"&lt;&gt;0")+COUNTIF(RS18,"&lt;&gt;0")+COUNTIF(RS21,"&lt;&gt;0"))   -   COUNTIF(Detail!$G:$G,'Rates-Service Fees'!RS$23), 0)</f>
        <v>0</v>
      </c>
      <c r="RT60">
        <f>IF(RT1&lt;&gt;0,(COUNTIF(RT9,"&lt;&gt;0")+COUNTIF(RT12,"&lt;&gt;0")+COUNTIF(RT15,"&lt;&gt;0")+COUNTIF(RT18,"&lt;&gt;0")+COUNTIF(RT21,"&lt;&gt;0"))   -   COUNTIF(Detail!$G:$G,'Rates-Service Fees'!RT$23), 0)</f>
        <v>0</v>
      </c>
      <c r="RU60">
        <f>IF(RU1&lt;&gt;0,(COUNTIF(RU9,"&lt;&gt;0")+COUNTIF(RU12,"&lt;&gt;0")+COUNTIF(RU15,"&lt;&gt;0")+COUNTIF(RU18,"&lt;&gt;0")+COUNTIF(RU21,"&lt;&gt;0"))   -   COUNTIF(Detail!$G:$G,'Rates-Service Fees'!RU$23), 0)</f>
        <v>0</v>
      </c>
      <c r="RV60">
        <f>IF(RV1&lt;&gt;0,(COUNTIF(RV9,"&lt;&gt;0")+COUNTIF(RV12,"&lt;&gt;0")+COUNTIF(RV15,"&lt;&gt;0")+COUNTIF(RV18,"&lt;&gt;0")+COUNTIF(RV21,"&lt;&gt;0"))   -   COUNTIF(Detail!$G:$G,'Rates-Service Fees'!RV$23), 0)</f>
        <v>0</v>
      </c>
      <c r="RW60">
        <f>IF(RW1&lt;&gt;0,(COUNTIF(RW9,"&lt;&gt;0")+COUNTIF(RW12,"&lt;&gt;0")+COUNTIF(RW15,"&lt;&gt;0")+COUNTIF(RW18,"&lt;&gt;0")+COUNTIF(RW21,"&lt;&gt;0"))   -   COUNTIF(Detail!$G:$G,'Rates-Service Fees'!RW$23), 0)</f>
        <v>0</v>
      </c>
      <c r="RX60">
        <f>IF(RX1&lt;&gt;0,(COUNTIF(RX9,"&lt;&gt;0")+COUNTIF(RX12,"&lt;&gt;0")+COUNTIF(RX15,"&lt;&gt;0")+COUNTIF(RX18,"&lt;&gt;0")+COUNTIF(RX21,"&lt;&gt;0"))   -   COUNTIF(Detail!$G:$G,'Rates-Service Fees'!RX$23), 0)</f>
        <v>0</v>
      </c>
      <c r="RY60">
        <f>IF(RY1&lt;&gt;0,(COUNTIF(RY9,"&lt;&gt;0")+COUNTIF(RY12,"&lt;&gt;0")+COUNTIF(RY15,"&lt;&gt;0")+COUNTIF(RY18,"&lt;&gt;0")+COUNTIF(RY21,"&lt;&gt;0"))   -   COUNTIF(Detail!$G:$G,'Rates-Service Fees'!RY$23), 0)</f>
        <v>0</v>
      </c>
      <c r="RZ60">
        <f>IF(RZ1&lt;&gt;0,(COUNTIF(RZ9,"&lt;&gt;0")+COUNTIF(RZ12,"&lt;&gt;0")+COUNTIF(RZ15,"&lt;&gt;0")+COUNTIF(RZ18,"&lt;&gt;0")+COUNTIF(RZ21,"&lt;&gt;0"))   -   COUNTIF(Detail!$G:$G,'Rates-Service Fees'!RZ$23), 0)</f>
        <v>0</v>
      </c>
      <c r="SA60">
        <f>IF(SA1&lt;&gt;0,(COUNTIF(SA9,"&lt;&gt;0")+COUNTIF(SA12,"&lt;&gt;0")+COUNTIF(SA15,"&lt;&gt;0")+COUNTIF(SA18,"&lt;&gt;0")+COUNTIF(SA21,"&lt;&gt;0"))   -   COUNTIF(Detail!$G:$G,'Rates-Service Fees'!SA$23), 0)</f>
        <v>0</v>
      </c>
      <c r="SB60">
        <f>IF(SB1&lt;&gt;0,(COUNTIF(SB9,"&lt;&gt;0")+COUNTIF(SB12,"&lt;&gt;0")+COUNTIF(SB15,"&lt;&gt;0")+COUNTIF(SB18,"&lt;&gt;0")+COUNTIF(SB21,"&lt;&gt;0"))   -   COUNTIF(Detail!$G:$G,'Rates-Service Fees'!SB$23), 0)</f>
        <v>0</v>
      </c>
      <c r="SC60">
        <f>IF(SC1&lt;&gt;0,(COUNTIF(SC9,"&lt;&gt;0")+COUNTIF(SC12,"&lt;&gt;0")+COUNTIF(SC15,"&lt;&gt;0")+COUNTIF(SC18,"&lt;&gt;0")+COUNTIF(SC21,"&lt;&gt;0"))   -   COUNTIF(Detail!$G:$G,'Rates-Service Fees'!SC$23), 0)</f>
        <v>0</v>
      </c>
      <c r="SD60">
        <f>IF(SD1&lt;&gt;0,(COUNTIF(SD9,"&lt;&gt;0")+COUNTIF(SD12,"&lt;&gt;0")+COUNTIF(SD15,"&lt;&gt;0")+COUNTIF(SD18,"&lt;&gt;0")+COUNTIF(SD21,"&lt;&gt;0"))   -   COUNTIF(Detail!$G:$G,'Rates-Service Fees'!SD$23), 0)</f>
        <v>0</v>
      </c>
      <c r="SE60">
        <f>IF(SE1&lt;&gt;0,(COUNTIF(SE9,"&lt;&gt;0")+COUNTIF(SE12,"&lt;&gt;0")+COUNTIF(SE15,"&lt;&gt;0")+COUNTIF(SE18,"&lt;&gt;0")+COUNTIF(SE21,"&lt;&gt;0"))   -   COUNTIF(Detail!$G:$G,'Rates-Service Fees'!SE$23), 0)</f>
        <v>0</v>
      </c>
      <c r="SF60">
        <f>IF(SF1&lt;&gt;0,(COUNTIF(SF9,"&lt;&gt;0")+COUNTIF(SF12,"&lt;&gt;0")+COUNTIF(SF15,"&lt;&gt;0")+COUNTIF(SF18,"&lt;&gt;0")+COUNTIF(SF21,"&lt;&gt;0"))   -   COUNTIF(Detail!$G:$G,'Rates-Service Fees'!SF$23), 0)</f>
        <v>0</v>
      </c>
      <c r="SG60">
        <f>IF(SG1&lt;&gt;0,(COUNTIF(SG9,"&lt;&gt;0")+COUNTIF(SG12,"&lt;&gt;0")+COUNTIF(SG15,"&lt;&gt;0")+COUNTIF(SG18,"&lt;&gt;0")+COUNTIF(SG21,"&lt;&gt;0"))   -   COUNTIF(Detail!$G:$G,'Rates-Service Fees'!SG$23), 0)</f>
        <v>0</v>
      </c>
      <c r="SH60">
        <f>IF(SH1&lt;&gt;0,(COUNTIF(SH9,"&lt;&gt;0")+COUNTIF(SH12,"&lt;&gt;0")+COUNTIF(SH15,"&lt;&gt;0")+COUNTIF(SH18,"&lt;&gt;0")+COUNTIF(SH21,"&lt;&gt;0"))   -   COUNTIF(Detail!$G:$G,'Rates-Service Fees'!SH$23), 0)</f>
        <v>0</v>
      </c>
      <c r="SI60">
        <f>IF(SI1&lt;&gt;0,(COUNTIF(SI9,"&lt;&gt;0")+COUNTIF(SI12,"&lt;&gt;0")+COUNTIF(SI15,"&lt;&gt;0")+COUNTIF(SI18,"&lt;&gt;0")+COUNTIF(SI21,"&lt;&gt;0"))   -   COUNTIF(Detail!$G:$G,'Rates-Service Fees'!SI$23), 0)</f>
        <v>0</v>
      </c>
      <c r="SJ60">
        <f>IF(SJ1&lt;&gt;0,(COUNTIF(SJ9,"&lt;&gt;0")+COUNTIF(SJ12,"&lt;&gt;0")+COUNTIF(SJ15,"&lt;&gt;0")+COUNTIF(SJ18,"&lt;&gt;0")+COUNTIF(SJ21,"&lt;&gt;0"))   -   COUNTIF(Detail!$G:$G,'Rates-Service Fees'!SJ$23), 0)</f>
        <v>0</v>
      </c>
      <c r="SK60">
        <f>IF(SK1&lt;&gt;0,(COUNTIF(SK9,"&lt;&gt;0")+COUNTIF(SK12,"&lt;&gt;0")+COUNTIF(SK15,"&lt;&gt;0")+COUNTIF(SK18,"&lt;&gt;0")+COUNTIF(SK21,"&lt;&gt;0"))   -   COUNTIF(Detail!$G:$G,'Rates-Service Fees'!SK$23), 0)</f>
        <v>0</v>
      </c>
      <c r="SL60">
        <f>IF(SL1&lt;&gt;0,(COUNTIF(SL9,"&lt;&gt;0")+COUNTIF(SL12,"&lt;&gt;0")+COUNTIF(SL15,"&lt;&gt;0")+COUNTIF(SL18,"&lt;&gt;0")+COUNTIF(SL21,"&lt;&gt;0"))   -   COUNTIF(Detail!$G:$G,'Rates-Service Fees'!SL$23), 0)</f>
        <v>0</v>
      </c>
      <c r="SM60">
        <f>IF(SM1&lt;&gt;0,(COUNTIF(SM9,"&lt;&gt;0")+COUNTIF(SM12,"&lt;&gt;0")+COUNTIF(SM15,"&lt;&gt;0")+COUNTIF(SM18,"&lt;&gt;0")+COUNTIF(SM21,"&lt;&gt;0"))   -   COUNTIF(Detail!$G:$G,'Rates-Service Fees'!SM$23), 0)</f>
        <v>0</v>
      </c>
      <c r="SN60">
        <f>IF(SN1&lt;&gt;0,(COUNTIF(SN9,"&lt;&gt;0")+COUNTIF(SN12,"&lt;&gt;0")+COUNTIF(SN15,"&lt;&gt;0")+COUNTIF(SN18,"&lt;&gt;0")+COUNTIF(SN21,"&lt;&gt;0"))   -   COUNTIF(Detail!$G:$G,'Rates-Service Fees'!SN$23), 0)</f>
        <v>0</v>
      </c>
      <c r="SO60">
        <f>IF(SO1&lt;&gt;0,(COUNTIF(SO9,"&lt;&gt;0")+COUNTIF(SO12,"&lt;&gt;0")+COUNTIF(SO15,"&lt;&gt;0")+COUNTIF(SO18,"&lt;&gt;0")+COUNTIF(SO21,"&lt;&gt;0"))   -   COUNTIF(Detail!$G:$G,'Rates-Service Fees'!SO$23), 0)</f>
        <v>0</v>
      </c>
      <c r="SP60">
        <f>IF(SP1&lt;&gt;0,(COUNTIF(SP9,"&lt;&gt;0")+COUNTIF(SP12,"&lt;&gt;0")+COUNTIF(SP15,"&lt;&gt;0")+COUNTIF(SP18,"&lt;&gt;0")+COUNTIF(SP21,"&lt;&gt;0"))   -   COUNTIF(Detail!$G:$G,'Rates-Service Fees'!SP$23), 0)</f>
        <v>0</v>
      </c>
      <c r="SQ60">
        <f>IF(SQ1&lt;&gt;0,(COUNTIF(SQ9,"&lt;&gt;0")+COUNTIF(SQ12,"&lt;&gt;0")+COUNTIF(SQ15,"&lt;&gt;0")+COUNTIF(SQ18,"&lt;&gt;0")+COUNTIF(SQ21,"&lt;&gt;0"))   -   COUNTIF(Detail!$G:$G,'Rates-Service Fees'!SQ$23), 0)</f>
        <v>0</v>
      </c>
      <c r="SR60">
        <f>IF(SR1&lt;&gt;0,(COUNTIF(SR9,"&lt;&gt;0")+COUNTIF(SR12,"&lt;&gt;0")+COUNTIF(SR15,"&lt;&gt;0")+COUNTIF(SR18,"&lt;&gt;0")+COUNTIF(SR21,"&lt;&gt;0"))   -   COUNTIF(Detail!$G:$G,'Rates-Service Fees'!SR$23), 0)</f>
        <v>0</v>
      </c>
      <c r="SS60">
        <f>IF(SS1&lt;&gt;0,(COUNTIF(SS9,"&lt;&gt;0")+COUNTIF(SS12,"&lt;&gt;0")+COUNTIF(SS15,"&lt;&gt;0")+COUNTIF(SS18,"&lt;&gt;0")+COUNTIF(SS21,"&lt;&gt;0"))   -   COUNTIF(Detail!$G:$G,'Rates-Service Fees'!SS$23), 0)</f>
        <v>0</v>
      </c>
      <c r="ST60">
        <f>IF(ST1&lt;&gt;0,(COUNTIF(ST9,"&lt;&gt;0")+COUNTIF(ST12,"&lt;&gt;0")+COUNTIF(ST15,"&lt;&gt;0")+COUNTIF(ST18,"&lt;&gt;0")+COUNTIF(ST21,"&lt;&gt;0"))   -   COUNTIF(Detail!$G:$G,'Rates-Service Fees'!ST$23), 0)</f>
        <v>0</v>
      </c>
      <c r="SU60">
        <f>IF(SU1&lt;&gt;0,(COUNTIF(SU9,"&lt;&gt;0")+COUNTIF(SU12,"&lt;&gt;0")+COUNTIF(SU15,"&lt;&gt;0")+COUNTIF(SU18,"&lt;&gt;0")+COUNTIF(SU21,"&lt;&gt;0"))   -   COUNTIF(Detail!$G:$G,'Rates-Service Fees'!SU$23), 0)</f>
        <v>0</v>
      </c>
      <c r="SV60">
        <f>IF(SV1&lt;&gt;0,(COUNTIF(SV9,"&lt;&gt;0")+COUNTIF(SV12,"&lt;&gt;0")+COUNTIF(SV15,"&lt;&gt;0")+COUNTIF(SV18,"&lt;&gt;0")+COUNTIF(SV21,"&lt;&gt;0"))   -   COUNTIF(Detail!$G:$G,'Rates-Service Fees'!SV$23), 0)</f>
        <v>0</v>
      </c>
      <c r="SW60">
        <f>IF(SW1&lt;&gt;0,(COUNTIF(SW9,"&lt;&gt;0")+COUNTIF(SW12,"&lt;&gt;0")+COUNTIF(SW15,"&lt;&gt;0")+COUNTIF(SW18,"&lt;&gt;0")+COUNTIF(SW21,"&lt;&gt;0"))   -   COUNTIF(Detail!$G:$G,'Rates-Service Fees'!SW$23), 0)</f>
        <v>0</v>
      </c>
      <c r="SX60">
        <f>IF(SX1&lt;&gt;0,(COUNTIF(SX9,"&lt;&gt;0")+COUNTIF(SX12,"&lt;&gt;0")+COUNTIF(SX15,"&lt;&gt;0")+COUNTIF(SX18,"&lt;&gt;0")+COUNTIF(SX21,"&lt;&gt;0"))   -   COUNTIF(Detail!$G:$G,'Rates-Service Fees'!SX$23), 0)</f>
        <v>0</v>
      </c>
      <c r="SY60">
        <f>IF(SY1&lt;&gt;0,(COUNTIF(SY9,"&lt;&gt;0")+COUNTIF(SY12,"&lt;&gt;0")+COUNTIF(SY15,"&lt;&gt;0")+COUNTIF(SY18,"&lt;&gt;0")+COUNTIF(SY21,"&lt;&gt;0"))   -   COUNTIF(Detail!$G:$G,'Rates-Service Fees'!SY$23), 0)</f>
        <v>0</v>
      </c>
      <c r="SZ60">
        <f>IF(SZ1&lt;&gt;0,(COUNTIF(SZ9,"&lt;&gt;0")+COUNTIF(SZ12,"&lt;&gt;0")+COUNTIF(SZ15,"&lt;&gt;0")+COUNTIF(SZ18,"&lt;&gt;0")+COUNTIF(SZ21,"&lt;&gt;0"))   -   COUNTIF(Detail!$G:$G,'Rates-Service Fees'!SZ$23), 0)</f>
        <v>0</v>
      </c>
      <c r="TA60">
        <f>IF(TA1&lt;&gt;0,(COUNTIF(TA9,"&lt;&gt;0")+COUNTIF(TA12,"&lt;&gt;0")+COUNTIF(TA15,"&lt;&gt;0")+COUNTIF(TA18,"&lt;&gt;0")+COUNTIF(TA21,"&lt;&gt;0"))   -   COUNTIF(Detail!$G:$G,'Rates-Service Fees'!TA$23), 0)</f>
        <v>0</v>
      </c>
      <c r="TB60">
        <f>IF(TB1&lt;&gt;0,(COUNTIF(TB9,"&lt;&gt;0")+COUNTIF(TB12,"&lt;&gt;0")+COUNTIF(TB15,"&lt;&gt;0")+COUNTIF(TB18,"&lt;&gt;0")+COUNTIF(TB21,"&lt;&gt;0"))   -   COUNTIF(Detail!$G:$G,'Rates-Service Fees'!TB$23), 0)</f>
        <v>0</v>
      </c>
      <c r="TC60">
        <f>IF(TC1&lt;&gt;0,(COUNTIF(TC9,"&lt;&gt;0")+COUNTIF(TC12,"&lt;&gt;0")+COUNTIF(TC15,"&lt;&gt;0")+COUNTIF(TC18,"&lt;&gt;0")+COUNTIF(TC21,"&lt;&gt;0"))   -   COUNTIF(Detail!$G:$G,'Rates-Service Fees'!TC$23), 0)</f>
        <v>0</v>
      </c>
      <c r="TD60">
        <f>IF(TD1&lt;&gt;0,(COUNTIF(TD9,"&lt;&gt;0")+COUNTIF(TD12,"&lt;&gt;0")+COUNTIF(TD15,"&lt;&gt;0")+COUNTIF(TD18,"&lt;&gt;0")+COUNTIF(TD21,"&lt;&gt;0"))   -   COUNTIF(Detail!$G:$G,'Rates-Service Fees'!TD$23), 0)</f>
        <v>0</v>
      </c>
      <c r="TE60">
        <f>IF(TE1&lt;&gt;0,(COUNTIF(TE9,"&lt;&gt;0")+COUNTIF(TE12,"&lt;&gt;0")+COUNTIF(TE15,"&lt;&gt;0")+COUNTIF(TE18,"&lt;&gt;0")+COUNTIF(TE21,"&lt;&gt;0"))   -   COUNTIF(Detail!$G:$G,'Rates-Service Fees'!TE$23), 0)</f>
        <v>0</v>
      </c>
      <c r="TF60">
        <f>IF(TF1&lt;&gt;0,(COUNTIF(TF9,"&lt;&gt;0")+COUNTIF(TF12,"&lt;&gt;0")+COUNTIF(TF15,"&lt;&gt;0")+COUNTIF(TF18,"&lt;&gt;0")+COUNTIF(TF21,"&lt;&gt;0"))   -   COUNTIF(Detail!$G:$G,'Rates-Service Fees'!TF$23), 0)</f>
        <v>0</v>
      </c>
      <c r="TG60">
        <f>IF(TG1&lt;&gt;0,(COUNTIF(TG9,"&lt;&gt;0")+COUNTIF(TG12,"&lt;&gt;0")+COUNTIF(TG15,"&lt;&gt;0")+COUNTIF(TG18,"&lt;&gt;0")+COUNTIF(TG21,"&lt;&gt;0"))   -   COUNTIF(Detail!$G:$G,'Rates-Service Fees'!TG$23), 0)</f>
        <v>0</v>
      </c>
      <c r="TH60">
        <f>IF(TH1&lt;&gt;0,(COUNTIF(TH9,"&lt;&gt;0")+COUNTIF(TH12,"&lt;&gt;0")+COUNTIF(TH15,"&lt;&gt;0")+COUNTIF(TH18,"&lt;&gt;0")+COUNTIF(TH21,"&lt;&gt;0"))   -   COUNTIF(Detail!$G:$G,'Rates-Service Fees'!TH$23), 0)</f>
        <v>0</v>
      </c>
      <c r="TI60">
        <f>IF(TI1&lt;&gt;0,(COUNTIF(TI9,"&lt;&gt;0")+COUNTIF(TI12,"&lt;&gt;0")+COUNTIF(TI15,"&lt;&gt;0")+COUNTIF(TI18,"&lt;&gt;0")+COUNTIF(TI21,"&lt;&gt;0"))   -   COUNTIF(Detail!$G:$G,'Rates-Service Fees'!TI$23), 0)</f>
        <v>0</v>
      </c>
      <c r="TJ60">
        <f>IF(TJ1&lt;&gt;0,(COUNTIF(TJ9,"&lt;&gt;0")+COUNTIF(TJ12,"&lt;&gt;0")+COUNTIF(TJ15,"&lt;&gt;0")+COUNTIF(TJ18,"&lt;&gt;0")+COUNTIF(TJ21,"&lt;&gt;0"))   -   COUNTIF(Detail!$G:$G,'Rates-Service Fees'!TJ$23), 0)</f>
        <v>0</v>
      </c>
      <c r="TK60">
        <f>IF(TK1&lt;&gt;0,(COUNTIF(TK9,"&lt;&gt;0")+COUNTIF(TK12,"&lt;&gt;0")+COUNTIF(TK15,"&lt;&gt;0")+COUNTIF(TK18,"&lt;&gt;0")+COUNTIF(TK21,"&lt;&gt;0"))   -   COUNTIF(Detail!$G:$G,'Rates-Service Fees'!TK$23), 0)</f>
        <v>0</v>
      </c>
      <c r="TL60">
        <f>IF(TL1&lt;&gt;0,(COUNTIF(TL9,"&lt;&gt;0")+COUNTIF(TL12,"&lt;&gt;0")+COUNTIF(TL15,"&lt;&gt;0")+COUNTIF(TL18,"&lt;&gt;0")+COUNTIF(TL21,"&lt;&gt;0"))   -   COUNTIF(Detail!$G:$G,'Rates-Service Fees'!TL$23), 0)</f>
        <v>0</v>
      </c>
      <c r="TM60">
        <f>IF(TM1&lt;&gt;0,(COUNTIF(TM9,"&lt;&gt;0")+COUNTIF(TM12,"&lt;&gt;0")+COUNTIF(TM15,"&lt;&gt;0")+COUNTIF(TM18,"&lt;&gt;0")+COUNTIF(TM21,"&lt;&gt;0"))   -   COUNTIF(Detail!$G:$G,'Rates-Service Fees'!TM$23), 0)</f>
        <v>0</v>
      </c>
      <c r="TN60">
        <f>IF(TN1&lt;&gt;0,(COUNTIF(TN9,"&lt;&gt;0")+COUNTIF(TN12,"&lt;&gt;0")+COUNTIF(TN15,"&lt;&gt;0")+COUNTIF(TN18,"&lt;&gt;0")+COUNTIF(TN21,"&lt;&gt;0"))   -   COUNTIF(Detail!$G:$G,'Rates-Service Fees'!TN$23), 0)</f>
        <v>0</v>
      </c>
      <c r="TO60">
        <f>IF(TO1&lt;&gt;0,(COUNTIF(TO9,"&lt;&gt;0")+COUNTIF(TO12,"&lt;&gt;0")+COUNTIF(TO15,"&lt;&gt;0")+COUNTIF(TO18,"&lt;&gt;0")+COUNTIF(TO21,"&lt;&gt;0"))   -   COUNTIF(Detail!$G:$G,'Rates-Service Fees'!TO$23), 0)</f>
        <v>0</v>
      </c>
      <c r="TP60">
        <f>IF(TP1&lt;&gt;0,(COUNTIF(TP9,"&lt;&gt;0")+COUNTIF(TP12,"&lt;&gt;0")+COUNTIF(TP15,"&lt;&gt;0")+COUNTIF(TP18,"&lt;&gt;0")+COUNTIF(TP21,"&lt;&gt;0"))   -   COUNTIF(Detail!$G:$G,'Rates-Service Fees'!TP$23), 0)</f>
        <v>0</v>
      </c>
      <c r="TQ60">
        <f>IF(TQ1&lt;&gt;0,(COUNTIF(TQ9,"&lt;&gt;0")+COUNTIF(TQ12,"&lt;&gt;0")+COUNTIF(TQ15,"&lt;&gt;0")+COUNTIF(TQ18,"&lt;&gt;0")+COUNTIF(TQ21,"&lt;&gt;0"))   -   COUNTIF(Detail!$G:$G,'Rates-Service Fees'!TQ$23), 0)</f>
        <v>0</v>
      </c>
      <c r="TR60">
        <f>IF(TR1&lt;&gt;0,(COUNTIF(TR9,"&lt;&gt;0")+COUNTIF(TR12,"&lt;&gt;0")+COUNTIF(TR15,"&lt;&gt;0")+COUNTIF(TR18,"&lt;&gt;0")+COUNTIF(TR21,"&lt;&gt;0"))   -   COUNTIF(Detail!$G:$G,'Rates-Service Fees'!TR$23), 0)</f>
        <v>0</v>
      </c>
      <c r="TS60">
        <f>IF(TS1&lt;&gt;0,(COUNTIF(TS9,"&lt;&gt;0")+COUNTIF(TS12,"&lt;&gt;0")+COUNTIF(TS15,"&lt;&gt;0")+COUNTIF(TS18,"&lt;&gt;0")+COUNTIF(TS21,"&lt;&gt;0"))   -   COUNTIF(Detail!$G:$G,'Rates-Service Fees'!TS$23), 0)</f>
        <v>0</v>
      </c>
      <c r="TT60">
        <f>IF(TT1&lt;&gt;0,(COUNTIF(TT9,"&lt;&gt;0")+COUNTIF(TT12,"&lt;&gt;0")+COUNTIF(TT15,"&lt;&gt;0")+COUNTIF(TT18,"&lt;&gt;0")+COUNTIF(TT21,"&lt;&gt;0"))   -   COUNTIF(Detail!$G:$G,'Rates-Service Fees'!TT$23), 0)</f>
        <v>0</v>
      </c>
      <c r="TU60">
        <f>IF(TU1&lt;&gt;0,(COUNTIF(TU9,"&lt;&gt;0")+COUNTIF(TU12,"&lt;&gt;0")+COUNTIF(TU15,"&lt;&gt;0")+COUNTIF(TU18,"&lt;&gt;0")+COUNTIF(TU21,"&lt;&gt;0"))   -   COUNTIF(Detail!$G:$G,'Rates-Service Fees'!TU$23), 0)</f>
        <v>0</v>
      </c>
      <c r="TV60">
        <f>IF(TV1&lt;&gt;0,(COUNTIF(TV9,"&lt;&gt;0")+COUNTIF(TV12,"&lt;&gt;0")+COUNTIF(TV15,"&lt;&gt;0")+COUNTIF(TV18,"&lt;&gt;0")+COUNTIF(TV21,"&lt;&gt;0"))   -   COUNTIF(Detail!$G:$G,'Rates-Service Fees'!TV$23), 0)</f>
        <v>0</v>
      </c>
      <c r="TW60">
        <f>IF(TW1&lt;&gt;0,(COUNTIF(TW9,"&lt;&gt;0")+COUNTIF(TW12,"&lt;&gt;0")+COUNTIF(TW15,"&lt;&gt;0")+COUNTIF(TW18,"&lt;&gt;0")+COUNTIF(TW21,"&lt;&gt;0"))   -   COUNTIF(Detail!$G:$G,'Rates-Service Fees'!TW$23), 0)</f>
        <v>0</v>
      </c>
      <c r="TX60">
        <f>IF(TX1&lt;&gt;0,(COUNTIF(TX9,"&lt;&gt;0")+COUNTIF(TX12,"&lt;&gt;0")+COUNTIF(TX15,"&lt;&gt;0")+COUNTIF(TX18,"&lt;&gt;0")+COUNTIF(TX21,"&lt;&gt;0"))   -   COUNTIF(Detail!$G:$G,'Rates-Service Fees'!TX$23), 0)</f>
        <v>0</v>
      </c>
      <c r="TY60">
        <f>IF(TY1&lt;&gt;0,(COUNTIF(TY9,"&lt;&gt;0")+COUNTIF(TY12,"&lt;&gt;0")+COUNTIF(TY15,"&lt;&gt;0")+COUNTIF(TY18,"&lt;&gt;0")+COUNTIF(TY21,"&lt;&gt;0"))   -   COUNTIF(Detail!$G:$G,'Rates-Service Fees'!TY$23), 0)</f>
        <v>0</v>
      </c>
      <c r="TZ60">
        <f>IF(TZ1&lt;&gt;0,(COUNTIF(TZ9,"&lt;&gt;0")+COUNTIF(TZ12,"&lt;&gt;0")+COUNTIF(TZ15,"&lt;&gt;0")+COUNTIF(TZ18,"&lt;&gt;0")+COUNTIF(TZ21,"&lt;&gt;0"))   -   COUNTIF(Detail!$G:$G,'Rates-Service Fees'!TZ$23), 0)</f>
        <v>0</v>
      </c>
      <c r="UA60">
        <f>IF(UA1&lt;&gt;0,(COUNTIF(UA9,"&lt;&gt;0")+COUNTIF(UA12,"&lt;&gt;0")+COUNTIF(UA15,"&lt;&gt;0")+COUNTIF(UA18,"&lt;&gt;0")+COUNTIF(UA21,"&lt;&gt;0"))   -   COUNTIF(Detail!$G:$G,'Rates-Service Fees'!UA$23), 0)</f>
        <v>0</v>
      </c>
      <c r="UB60">
        <f>IF(UB1&lt;&gt;0,(COUNTIF(UB9,"&lt;&gt;0")+COUNTIF(UB12,"&lt;&gt;0")+COUNTIF(UB15,"&lt;&gt;0")+COUNTIF(UB18,"&lt;&gt;0")+COUNTIF(UB21,"&lt;&gt;0"))   -   COUNTIF(Detail!$G:$G,'Rates-Service Fees'!UB$23), 0)</f>
        <v>0</v>
      </c>
      <c r="UC60">
        <f>IF(UC1&lt;&gt;0,(COUNTIF(UC9,"&lt;&gt;0")+COUNTIF(UC12,"&lt;&gt;0")+COUNTIF(UC15,"&lt;&gt;0")+COUNTIF(UC18,"&lt;&gt;0")+COUNTIF(UC21,"&lt;&gt;0"))   -   COUNTIF(Detail!$G:$G,'Rates-Service Fees'!UC$23), 0)</f>
        <v>0</v>
      </c>
      <c r="UD60">
        <f>IF(UD1&lt;&gt;0,(COUNTIF(UD9,"&lt;&gt;0")+COUNTIF(UD12,"&lt;&gt;0")+COUNTIF(UD15,"&lt;&gt;0")+COUNTIF(UD18,"&lt;&gt;0")+COUNTIF(UD21,"&lt;&gt;0"))   -   COUNTIF(Detail!$G:$G,'Rates-Service Fees'!UD$23), 0)</f>
        <v>0</v>
      </c>
      <c r="UE60">
        <f>IF(UE1&lt;&gt;0,(COUNTIF(UE9,"&lt;&gt;0")+COUNTIF(UE12,"&lt;&gt;0")+COUNTIF(UE15,"&lt;&gt;0")+COUNTIF(UE18,"&lt;&gt;0")+COUNTIF(UE21,"&lt;&gt;0"))   -   COUNTIF(Detail!$G:$G,'Rates-Service Fees'!UE$23), 0)</f>
        <v>0</v>
      </c>
      <c r="UF60">
        <f>IF(UF1&lt;&gt;0,(COUNTIF(UF9,"&lt;&gt;0")+COUNTIF(UF12,"&lt;&gt;0")+COUNTIF(UF15,"&lt;&gt;0")+COUNTIF(UF18,"&lt;&gt;0")+COUNTIF(UF21,"&lt;&gt;0"))   -   COUNTIF(Detail!$G:$G,'Rates-Service Fees'!UF$23), 0)</f>
        <v>0</v>
      </c>
      <c r="UG60">
        <f>IF(UG1&lt;&gt;0,(COUNTIF(UG9,"&lt;&gt;0")+COUNTIF(UG12,"&lt;&gt;0")+COUNTIF(UG15,"&lt;&gt;0")+COUNTIF(UG18,"&lt;&gt;0")+COUNTIF(UG21,"&lt;&gt;0"))   -   COUNTIF(Detail!$G:$G,'Rates-Service Fees'!UG$23), 0)</f>
        <v>0</v>
      </c>
      <c r="UH60">
        <f>IF(UH1&lt;&gt;0,(COUNTIF(UH9,"&lt;&gt;0")+COUNTIF(UH12,"&lt;&gt;0")+COUNTIF(UH15,"&lt;&gt;0")+COUNTIF(UH18,"&lt;&gt;0")+COUNTIF(UH21,"&lt;&gt;0"))   -   COUNTIF(Detail!$G:$G,'Rates-Service Fees'!UH$23), 0)</f>
        <v>0</v>
      </c>
      <c r="UI60">
        <f>IF(UI1&lt;&gt;0,(COUNTIF(UI9,"&lt;&gt;0")+COUNTIF(UI12,"&lt;&gt;0")+COUNTIF(UI15,"&lt;&gt;0")+COUNTIF(UI18,"&lt;&gt;0")+COUNTIF(UI21,"&lt;&gt;0"))   -   COUNTIF(Detail!$G:$G,'Rates-Service Fees'!UI$23), 0)</f>
        <v>0</v>
      </c>
      <c r="UJ60">
        <f>IF(UJ1&lt;&gt;0,(COUNTIF(UJ9,"&lt;&gt;0")+COUNTIF(UJ12,"&lt;&gt;0")+COUNTIF(UJ15,"&lt;&gt;0")+COUNTIF(UJ18,"&lt;&gt;0")+COUNTIF(UJ21,"&lt;&gt;0"))   -   COUNTIF(Detail!$G:$G,'Rates-Service Fees'!UJ$23), 0)</f>
        <v>0</v>
      </c>
      <c r="UK60">
        <f>IF(UK1&lt;&gt;0,(COUNTIF(UK9,"&lt;&gt;0")+COUNTIF(UK12,"&lt;&gt;0")+COUNTIF(UK15,"&lt;&gt;0")+COUNTIF(UK18,"&lt;&gt;0")+COUNTIF(UK21,"&lt;&gt;0"))   -   COUNTIF(Detail!$G:$G,'Rates-Service Fees'!UK$23), 0)</f>
        <v>0</v>
      </c>
      <c r="UL60">
        <f>IF(UL1&lt;&gt;0,(COUNTIF(UL9,"&lt;&gt;0")+COUNTIF(UL12,"&lt;&gt;0")+COUNTIF(UL15,"&lt;&gt;0")+COUNTIF(UL18,"&lt;&gt;0")+COUNTIF(UL21,"&lt;&gt;0"))   -   COUNTIF(Detail!$G:$G,'Rates-Service Fees'!UL$23), 0)</f>
        <v>0</v>
      </c>
      <c r="UM60">
        <f>IF(UM1&lt;&gt;0,(COUNTIF(UM9,"&lt;&gt;0")+COUNTIF(UM12,"&lt;&gt;0")+COUNTIF(UM15,"&lt;&gt;0")+COUNTIF(UM18,"&lt;&gt;0")+COUNTIF(UM21,"&lt;&gt;0"))   -   COUNTIF(Detail!$G:$G,'Rates-Service Fees'!UM$23), 0)</f>
        <v>0</v>
      </c>
      <c r="UN60">
        <f>IF(UN1&lt;&gt;0,(COUNTIF(UN9,"&lt;&gt;0")+COUNTIF(UN12,"&lt;&gt;0")+COUNTIF(UN15,"&lt;&gt;0")+COUNTIF(UN18,"&lt;&gt;0")+COUNTIF(UN21,"&lt;&gt;0"))   -   COUNTIF(Detail!$G:$G,'Rates-Service Fees'!UN$23), 0)</f>
        <v>0</v>
      </c>
      <c r="UO60">
        <f>IF(UO1&lt;&gt;0,(COUNTIF(UO9,"&lt;&gt;0")+COUNTIF(UO12,"&lt;&gt;0")+COUNTIF(UO15,"&lt;&gt;0")+COUNTIF(UO18,"&lt;&gt;0")+COUNTIF(UO21,"&lt;&gt;0"))   -   COUNTIF(Detail!$G:$G,'Rates-Service Fees'!UO$23), 0)</f>
        <v>0</v>
      </c>
      <c r="UP60">
        <f>IF(UP1&lt;&gt;0,(COUNTIF(UP9,"&lt;&gt;0")+COUNTIF(UP12,"&lt;&gt;0")+COUNTIF(UP15,"&lt;&gt;0")+COUNTIF(UP18,"&lt;&gt;0")+COUNTIF(UP21,"&lt;&gt;0"))   -   COUNTIF(Detail!$G:$G,'Rates-Service Fees'!UP$23), 0)</f>
        <v>0</v>
      </c>
      <c r="UQ60">
        <f>IF(UQ1&lt;&gt;0,(COUNTIF(UQ9,"&lt;&gt;0")+COUNTIF(UQ12,"&lt;&gt;0")+COUNTIF(UQ15,"&lt;&gt;0")+COUNTIF(UQ18,"&lt;&gt;0")+COUNTIF(UQ21,"&lt;&gt;0"))   -   COUNTIF(Detail!$G:$G,'Rates-Service Fees'!UQ$23), 0)</f>
        <v>0</v>
      </c>
      <c r="UR60">
        <f>IF(UR1&lt;&gt;0,(COUNTIF(UR9,"&lt;&gt;0")+COUNTIF(UR12,"&lt;&gt;0")+COUNTIF(UR15,"&lt;&gt;0")+COUNTIF(UR18,"&lt;&gt;0")+COUNTIF(UR21,"&lt;&gt;0"))   -   COUNTIF(Detail!$G:$G,'Rates-Service Fees'!UR$23), 0)</f>
        <v>0</v>
      </c>
      <c r="US60">
        <f>IF(US1&lt;&gt;0,(COUNTIF(US9,"&lt;&gt;0")+COUNTIF(US12,"&lt;&gt;0")+COUNTIF(US15,"&lt;&gt;0")+COUNTIF(US18,"&lt;&gt;0")+COUNTIF(US21,"&lt;&gt;0"))   -   COUNTIF(Detail!$G:$G,'Rates-Service Fees'!US$23), 0)</f>
        <v>0</v>
      </c>
      <c r="UT60">
        <f>IF(UT1&lt;&gt;0,(COUNTIF(UT9,"&lt;&gt;0")+COUNTIF(UT12,"&lt;&gt;0")+COUNTIF(UT15,"&lt;&gt;0")+COUNTIF(UT18,"&lt;&gt;0")+COUNTIF(UT21,"&lt;&gt;0"))   -   COUNTIF(Detail!$G:$G,'Rates-Service Fees'!UT$23), 0)</f>
        <v>0</v>
      </c>
      <c r="UU60">
        <f>IF(UU1&lt;&gt;0,(COUNTIF(UU9,"&lt;&gt;0")+COUNTIF(UU12,"&lt;&gt;0")+COUNTIF(UU15,"&lt;&gt;0")+COUNTIF(UU18,"&lt;&gt;0")+COUNTIF(UU21,"&lt;&gt;0"))   -   COUNTIF(Detail!$G:$G,'Rates-Service Fees'!UU$23), 0)</f>
        <v>0</v>
      </c>
      <c r="UV60">
        <f>IF(UV1&lt;&gt;0,(COUNTIF(UV9,"&lt;&gt;0")+COUNTIF(UV12,"&lt;&gt;0")+COUNTIF(UV15,"&lt;&gt;0")+COUNTIF(UV18,"&lt;&gt;0")+COUNTIF(UV21,"&lt;&gt;0"))   -   COUNTIF(Detail!$G:$G,'Rates-Service Fees'!UV$23), 0)</f>
        <v>0</v>
      </c>
      <c r="UW60">
        <f>IF(UW1&lt;&gt;0,(COUNTIF(UW9,"&lt;&gt;0")+COUNTIF(UW12,"&lt;&gt;0")+COUNTIF(UW15,"&lt;&gt;0")+COUNTIF(UW18,"&lt;&gt;0")+COUNTIF(UW21,"&lt;&gt;0"))   -   COUNTIF(Detail!$G:$G,'Rates-Service Fees'!UW$23), 0)</f>
        <v>0</v>
      </c>
      <c r="UX60">
        <f>IF(UX1&lt;&gt;0,(COUNTIF(UX9,"&lt;&gt;0")+COUNTIF(UX12,"&lt;&gt;0")+COUNTIF(UX15,"&lt;&gt;0")+COUNTIF(UX18,"&lt;&gt;0")+COUNTIF(UX21,"&lt;&gt;0"))   -   COUNTIF(Detail!$G:$G,'Rates-Service Fees'!UX$23), 0)</f>
        <v>0</v>
      </c>
      <c r="UY60">
        <f>IF(UY1&lt;&gt;0,(COUNTIF(UY9,"&lt;&gt;0")+COUNTIF(UY12,"&lt;&gt;0")+COUNTIF(UY15,"&lt;&gt;0")+COUNTIF(UY18,"&lt;&gt;0")+COUNTIF(UY21,"&lt;&gt;0"))   -   COUNTIF(Detail!$G:$G,'Rates-Service Fees'!UY$23), 0)</f>
        <v>0</v>
      </c>
      <c r="UZ60">
        <f>IF(UZ1&lt;&gt;0,(COUNTIF(UZ9,"&lt;&gt;0")+COUNTIF(UZ12,"&lt;&gt;0")+COUNTIF(UZ15,"&lt;&gt;0")+COUNTIF(UZ18,"&lt;&gt;0")+COUNTIF(UZ21,"&lt;&gt;0"))   -   COUNTIF(Detail!$G:$G,'Rates-Service Fees'!UZ$23), 0)</f>
        <v>0</v>
      </c>
      <c r="VA60">
        <f>IF(VA1&lt;&gt;0,(COUNTIF(VA9,"&lt;&gt;0")+COUNTIF(VA12,"&lt;&gt;0")+COUNTIF(VA15,"&lt;&gt;0")+COUNTIF(VA18,"&lt;&gt;0")+COUNTIF(VA21,"&lt;&gt;0"))   -   COUNTIF(Detail!$G:$G,'Rates-Service Fees'!VA$23), 0)</f>
        <v>0</v>
      </c>
      <c r="VB60">
        <f>IF(VB1&lt;&gt;0,(COUNTIF(VB9,"&lt;&gt;0")+COUNTIF(VB12,"&lt;&gt;0")+COUNTIF(VB15,"&lt;&gt;0")+COUNTIF(VB18,"&lt;&gt;0")+COUNTIF(VB21,"&lt;&gt;0"))   -   COUNTIF(Detail!$G:$G,'Rates-Service Fees'!VB$23), 0)</f>
        <v>0</v>
      </c>
      <c r="VC60">
        <f>IF(VC1&lt;&gt;0,(COUNTIF(VC9,"&lt;&gt;0")+COUNTIF(VC12,"&lt;&gt;0")+COUNTIF(VC15,"&lt;&gt;0")+COUNTIF(VC18,"&lt;&gt;0")+COUNTIF(VC21,"&lt;&gt;0"))   -   COUNTIF(Detail!$G:$G,'Rates-Service Fees'!VC$23), 0)</f>
        <v>0</v>
      </c>
      <c r="VD60">
        <f>IF(VD1&lt;&gt;0,(COUNTIF(VD9,"&lt;&gt;0")+COUNTIF(VD12,"&lt;&gt;0")+COUNTIF(VD15,"&lt;&gt;0")+COUNTIF(VD18,"&lt;&gt;0")+COUNTIF(VD21,"&lt;&gt;0"))   -   COUNTIF(Detail!$G:$G,'Rates-Service Fees'!VD$23), 0)</f>
        <v>0</v>
      </c>
      <c r="VE60">
        <f>IF(VE1&lt;&gt;0,(COUNTIF(VE9,"&lt;&gt;0")+COUNTIF(VE12,"&lt;&gt;0")+COUNTIF(VE15,"&lt;&gt;0")+COUNTIF(VE18,"&lt;&gt;0")+COUNTIF(VE21,"&lt;&gt;0"))   -   COUNTIF(Detail!$G:$G,'Rates-Service Fees'!VE$23), 0)</f>
        <v>0</v>
      </c>
      <c r="VF60">
        <f>IF(VF1&lt;&gt;0,(COUNTIF(VF9,"&lt;&gt;0")+COUNTIF(VF12,"&lt;&gt;0")+COUNTIF(VF15,"&lt;&gt;0")+COUNTIF(VF18,"&lt;&gt;0")+COUNTIF(VF21,"&lt;&gt;0"))   -   COUNTIF(Detail!$G:$G,'Rates-Service Fees'!VF$23), 0)</f>
        <v>0</v>
      </c>
      <c r="VG60">
        <f>IF(VG1&lt;&gt;0,(COUNTIF(VG9,"&lt;&gt;0")+COUNTIF(VG12,"&lt;&gt;0")+COUNTIF(VG15,"&lt;&gt;0")+COUNTIF(VG18,"&lt;&gt;0")+COUNTIF(VG21,"&lt;&gt;0"))   -   COUNTIF(Detail!$G:$G,'Rates-Service Fees'!VG$23), 0)</f>
        <v>0</v>
      </c>
      <c r="VH60">
        <f>IF(VH1&lt;&gt;0,(COUNTIF(VH9,"&lt;&gt;0")+COUNTIF(VH12,"&lt;&gt;0")+COUNTIF(VH15,"&lt;&gt;0")+COUNTIF(VH18,"&lt;&gt;0")+COUNTIF(VH21,"&lt;&gt;0"))   -   COUNTIF(Detail!$G:$G,'Rates-Service Fees'!VH$23), 0)</f>
        <v>0</v>
      </c>
      <c r="VI60">
        <f>IF(VI1&lt;&gt;0,(COUNTIF(VI9,"&lt;&gt;0")+COUNTIF(VI12,"&lt;&gt;0")+COUNTIF(VI15,"&lt;&gt;0")+COUNTIF(VI18,"&lt;&gt;0")+COUNTIF(VI21,"&lt;&gt;0"))   -   COUNTIF(Detail!$G:$G,'Rates-Service Fees'!VI$23), 0)</f>
        <v>0</v>
      </c>
      <c r="VJ60">
        <f>IF(VJ1&lt;&gt;0,(COUNTIF(VJ9,"&lt;&gt;0")+COUNTIF(VJ12,"&lt;&gt;0")+COUNTIF(VJ15,"&lt;&gt;0")+COUNTIF(VJ18,"&lt;&gt;0")+COUNTIF(VJ21,"&lt;&gt;0"))   -   COUNTIF(Detail!$G:$G,'Rates-Service Fees'!VJ$23), 0)</f>
        <v>0</v>
      </c>
      <c r="VK60">
        <f>IF(VK1&lt;&gt;0,(COUNTIF(VK9,"&lt;&gt;0")+COUNTIF(VK12,"&lt;&gt;0")+COUNTIF(VK15,"&lt;&gt;0")+COUNTIF(VK18,"&lt;&gt;0")+COUNTIF(VK21,"&lt;&gt;0"))   -   COUNTIF(Detail!$G:$G,'Rates-Service Fees'!VK$23), 0)</f>
        <v>0</v>
      </c>
      <c r="VL60">
        <f>IF(VL1&lt;&gt;0,(COUNTIF(VL9,"&lt;&gt;0")+COUNTIF(VL12,"&lt;&gt;0")+COUNTIF(VL15,"&lt;&gt;0")+COUNTIF(VL18,"&lt;&gt;0")+COUNTIF(VL21,"&lt;&gt;0"))   -   COUNTIF(Detail!$G:$G,'Rates-Service Fees'!VL$23), 0)</f>
        <v>0</v>
      </c>
      <c r="VM60">
        <f>IF(VM1&lt;&gt;0,(COUNTIF(VM9,"&lt;&gt;0")+COUNTIF(VM12,"&lt;&gt;0")+COUNTIF(VM15,"&lt;&gt;0")+COUNTIF(VM18,"&lt;&gt;0")+COUNTIF(VM21,"&lt;&gt;0"))   -   COUNTIF(Detail!$G:$G,'Rates-Service Fees'!VM$23), 0)</f>
        <v>0</v>
      </c>
      <c r="VN60">
        <f>IF(VN1&lt;&gt;0,(COUNTIF(VN9,"&lt;&gt;0")+COUNTIF(VN12,"&lt;&gt;0")+COUNTIF(VN15,"&lt;&gt;0")+COUNTIF(VN18,"&lt;&gt;0")+COUNTIF(VN21,"&lt;&gt;0"))   -   COUNTIF(Detail!$G:$G,'Rates-Service Fees'!VN$23), 0)</f>
        <v>0</v>
      </c>
      <c r="VO60">
        <f>IF(VO1&lt;&gt;0,(COUNTIF(VO9,"&lt;&gt;0")+COUNTIF(VO12,"&lt;&gt;0")+COUNTIF(VO15,"&lt;&gt;0")+COUNTIF(VO18,"&lt;&gt;0")+COUNTIF(VO21,"&lt;&gt;0"))   -   COUNTIF(Detail!$G:$G,'Rates-Service Fees'!VO$23), 0)</f>
        <v>0</v>
      </c>
      <c r="VP60">
        <f>IF(VP1&lt;&gt;0,(COUNTIF(VP9,"&lt;&gt;0")+COUNTIF(VP12,"&lt;&gt;0")+COUNTIF(VP15,"&lt;&gt;0")+COUNTIF(VP18,"&lt;&gt;0")+COUNTIF(VP21,"&lt;&gt;0"))   -   COUNTIF(Detail!$G:$G,'Rates-Service Fees'!VP$23), 0)</f>
        <v>0</v>
      </c>
      <c r="VQ60">
        <f>IF(VQ1&lt;&gt;0,(COUNTIF(VQ9,"&lt;&gt;0")+COUNTIF(VQ12,"&lt;&gt;0")+COUNTIF(VQ15,"&lt;&gt;0")+COUNTIF(VQ18,"&lt;&gt;0")+COUNTIF(VQ21,"&lt;&gt;0"))   -   COUNTIF(Detail!$G:$G,'Rates-Service Fees'!VQ$23), 0)</f>
        <v>0</v>
      </c>
      <c r="VR60">
        <f>IF(VR1&lt;&gt;0,(COUNTIF(VR9,"&lt;&gt;0")+COUNTIF(VR12,"&lt;&gt;0")+COUNTIF(VR15,"&lt;&gt;0")+COUNTIF(VR18,"&lt;&gt;0")+COUNTIF(VR21,"&lt;&gt;0"))   -   COUNTIF(Detail!$G:$G,'Rates-Service Fees'!VR$23), 0)</f>
        <v>0</v>
      </c>
      <c r="VS60">
        <f>IF(VS1&lt;&gt;0,(COUNTIF(VS9,"&lt;&gt;0")+COUNTIF(VS12,"&lt;&gt;0")+COUNTIF(VS15,"&lt;&gt;0")+COUNTIF(VS18,"&lt;&gt;0")+COUNTIF(VS21,"&lt;&gt;0"))   -   COUNTIF(Detail!$G:$G,'Rates-Service Fees'!VS$23), 0)</f>
        <v>0</v>
      </c>
      <c r="VT60">
        <f>IF(VT1&lt;&gt;0,(COUNTIF(VT9,"&lt;&gt;0")+COUNTIF(VT12,"&lt;&gt;0")+COUNTIF(VT15,"&lt;&gt;0")+COUNTIF(VT18,"&lt;&gt;0")+COUNTIF(VT21,"&lt;&gt;0"))   -   COUNTIF(Detail!$G:$G,'Rates-Service Fees'!VT$23), 0)</f>
        <v>0</v>
      </c>
      <c r="VU60">
        <f>IF(VU1&lt;&gt;0,(COUNTIF(VU9,"&lt;&gt;0")+COUNTIF(VU12,"&lt;&gt;0")+COUNTIF(VU15,"&lt;&gt;0")+COUNTIF(VU18,"&lt;&gt;0")+COUNTIF(VU21,"&lt;&gt;0"))   -   COUNTIF(Detail!$G:$G,'Rates-Service Fees'!VU$23), 0)</f>
        <v>0</v>
      </c>
      <c r="VV60">
        <f>IF(VV1&lt;&gt;0,(COUNTIF(VV9,"&lt;&gt;0")+COUNTIF(VV12,"&lt;&gt;0")+COUNTIF(VV15,"&lt;&gt;0")+COUNTIF(VV18,"&lt;&gt;0")+COUNTIF(VV21,"&lt;&gt;0"))   -   COUNTIF(Detail!$G:$G,'Rates-Service Fees'!VV$23), 0)</f>
        <v>0</v>
      </c>
      <c r="VW60">
        <f>IF(VW1&lt;&gt;0,(COUNTIF(VW9,"&lt;&gt;0")+COUNTIF(VW12,"&lt;&gt;0")+COUNTIF(VW15,"&lt;&gt;0")+COUNTIF(VW18,"&lt;&gt;0")+COUNTIF(VW21,"&lt;&gt;0"))   -   COUNTIF(Detail!$G:$G,'Rates-Service Fees'!VW$23), 0)</f>
        <v>0</v>
      </c>
      <c r="VX60">
        <f>IF(VX1&lt;&gt;0,(COUNTIF(VX9,"&lt;&gt;0")+COUNTIF(VX12,"&lt;&gt;0")+COUNTIF(VX15,"&lt;&gt;0")+COUNTIF(VX18,"&lt;&gt;0")+COUNTIF(VX21,"&lt;&gt;0"))   -   COUNTIF(Detail!$G:$G,'Rates-Service Fees'!VX$23), 0)</f>
        <v>0</v>
      </c>
      <c r="VY60">
        <f>IF(VY1&lt;&gt;0,(COUNTIF(VY9,"&lt;&gt;0")+COUNTIF(VY12,"&lt;&gt;0")+COUNTIF(VY15,"&lt;&gt;0")+COUNTIF(VY18,"&lt;&gt;0")+COUNTIF(VY21,"&lt;&gt;0"))   -   COUNTIF(Detail!$G:$G,'Rates-Service Fees'!VY$23), 0)</f>
        <v>0</v>
      </c>
      <c r="VZ60">
        <f>IF(VZ1&lt;&gt;0,(COUNTIF(VZ9,"&lt;&gt;0")+COUNTIF(VZ12,"&lt;&gt;0")+COUNTIF(VZ15,"&lt;&gt;0")+COUNTIF(VZ18,"&lt;&gt;0")+COUNTIF(VZ21,"&lt;&gt;0"))   -   COUNTIF(Detail!$G:$G,'Rates-Service Fees'!VZ$23), 0)</f>
        <v>0</v>
      </c>
      <c r="WA60">
        <f>IF(WA1&lt;&gt;0,(COUNTIF(WA9,"&lt;&gt;0")+COUNTIF(WA12,"&lt;&gt;0")+COUNTIF(WA15,"&lt;&gt;0")+COUNTIF(WA18,"&lt;&gt;0")+COUNTIF(WA21,"&lt;&gt;0"))   -   COUNTIF(Detail!$G:$G,'Rates-Service Fees'!WA$23), 0)</f>
        <v>0</v>
      </c>
      <c r="WB60">
        <f>IF(WB1&lt;&gt;0,(COUNTIF(WB9,"&lt;&gt;0")+COUNTIF(WB12,"&lt;&gt;0")+COUNTIF(WB15,"&lt;&gt;0")+COUNTIF(WB18,"&lt;&gt;0")+COUNTIF(WB21,"&lt;&gt;0"))   -   COUNTIF(Detail!$G:$G,'Rates-Service Fees'!WB$23), 0)</f>
        <v>0</v>
      </c>
      <c r="WC60">
        <f>IF(WC1&lt;&gt;0,(COUNTIF(WC9,"&lt;&gt;0")+COUNTIF(WC12,"&lt;&gt;0")+COUNTIF(WC15,"&lt;&gt;0")+COUNTIF(WC18,"&lt;&gt;0")+COUNTIF(WC21,"&lt;&gt;0"))   -   COUNTIF(Detail!$G:$G,'Rates-Service Fees'!WC$23), 0)</f>
        <v>0</v>
      </c>
      <c r="WD60">
        <f>IF(WD1&lt;&gt;0,(COUNTIF(WD9,"&lt;&gt;0")+COUNTIF(WD12,"&lt;&gt;0")+COUNTIF(WD15,"&lt;&gt;0")+COUNTIF(WD18,"&lt;&gt;0")+COUNTIF(WD21,"&lt;&gt;0"))   -   COUNTIF(Detail!$G:$G,'Rates-Service Fees'!WD$23), 0)</f>
        <v>0</v>
      </c>
      <c r="WE60">
        <f>IF(WE1&lt;&gt;0,(COUNTIF(WE9,"&lt;&gt;0")+COUNTIF(WE12,"&lt;&gt;0")+COUNTIF(WE15,"&lt;&gt;0")+COUNTIF(WE18,"&lt;&gt;0")+COUNTIF(WE21,"&lt;&gt;0"))   -   COUNTIF(Detail!$G:$G,'Rates-Service Fees'!WE$23), 0)</f>
        <v>0</v>
      </c>
      <c r="WF60">
        <f>IF(WF1&lt;&gt;0,(COUNTIF(WF9,"&lt;&gt;0")+COUNTIF(WF12,"&lt;&gt;0")+COUNTIF(WF15,"&lt;&gt;0")+COUNTIF(WF18,"&lt;&gt;0")+COUNTIF(WF21,"&lt;&gt;0"))   -   COUNTIF(Detail!$G:$G,'Rates-Service Fees'!WF$23), 0)</f>
        <v>0</v>
      </c>
      <c r="WG60">
        <f>IF(WG1&lt;&gt;0,(COUNTIF(WG9,"&lt;&gt;0")+COUNTIF(WG12,"&lt;&gt;0")+COUNTIF(WG15,"&lt;&gt;0")+COUNTIF(WG18,"&lt;&gt;0")+COUNTIF(WG21,"&lt;&gt;0"))   -   COUNTIF(Detail!$G:$G,'Rates-Service Fees'!WG$23), 0)</f>
        <v>0</v>
      </c>
      <c r="WH60">
        <f>IF(WH1&lt;&gt;0,(COUNTIF(WH9,"&lt;&gt;0")+COUNTIF(WH12,"&lt;&gt;0")+COUNTIF(WH15,"&lt;&gt;0")+COUNTIF(WH18,"&lt;&gt;0")+COUNTIF(WH21,"&lt;&gt;0"))   -   COUNTIF(Detail!$G:$G,'Rates-Service Fees'!WH$23), 0)</f>
        <v>0</v>
      </c>
      <c r="WI60">
        <f>IF(WI1&lt;&gt;0,(COUNTIF(WI9,"&lt;&gt;0")+COUNTIF(WI12,"&lt;&gt;0")+COUNTIF(WI15,"&lt;&gt;0")+COUNTIF(WI18,"&lt;&gt;0")+COUNTIF(WI21,"&lt;&gt;0"))   -   COUNTIF(Detail!$G:$G,'Rates-Service Fees'!WI$23), 0)</f>
        <v>0</v>
      </c>
      <c r="WJ60">
        <f>IF(WJ1&lt;&gt;0,(COUNTIF(WJ9,"&lt;&gt;0")+COUNTIF(WJ12,"&lt;&gt;0")+COUNTIF(WJ15,"&lt;&gt;0")+COUNTIF(WJ18,"&lt;&gt;0")+COUNTIF(WJ21,"&lt;&gt;0"))   -   COUNTIF(Detail!$G:$G,'Rates-Service Fees'!WJ$23), 0)</f>
        <v>0</v>
      </c>
      <c r="WK60">
        <f>IF(WK1&lt;&gt;0,(COUNTIF(WK9,"&lt;&gt;0")+COUNTIF(WK12,"&lt;&gt;0")+COUNTIF(WK15,"&lt;&gt;0")+COUNTIF(WK18,"&lt;&gt;0")+COUNTIF(WK21,"&lt;&gt;0"))   -   COUNTIF(Detail!$G:$G,'Rates-Service Fees'!WK$23), 0)</f>
        <v>0</v>
      </c>
      <c r="WL60">
        <f>IF(WL1&lt;&gt;0,(COUNTIF(WL9,"&lt;&gt;0")+COUNTIF(WL12,"&lt;&gt;0")+COUNTIF(WL15,"&lt;&gt;0")+COUNTIF(WL18,"&lt;&gt;0")+COUNTIF(WL21,"&lt;&gt;0"))   -   COUNTIF(Detail!$G:$G,'Rates-Service Fees'!WL$23), 0)</f>
        <v>0</v>
      </c>
      <c r="WM60">
        <f>IF(WM1&lt;&gt;0,(COUNTIF(WM9,"&lt;&gt;0")+COUNTIF(WM12,"&lt;&gt;0")+COUNTIF(WM15,"&lt;&gt;0")+COUNTIF(WM18,"&lt;&gt;0")+COUNTIF(WM21,"&lt;&gt;0"))   -   COUNTIF(Detail!$G:$G,'Rates-Service Fees'!WM$23), 0)</f>
        <v>0</v>
      </c>
      <c r="WN60">
        <f>IF(WN1&lt;&gt;0,(COUNTIF(WN9,"&lt;&gt;0")+COUNTIF(WN12,"&lt;&gt;0")+COUNTIF(WN15,"&lt;&gt;0")+COUNTIF(WN18,"&lt;&gt;0")+COUNTIF(WN21,"&lt;&gt;0"))   -   COUNTIF(Detail!$G:$G,'Rates-Service Fees'!WN$23), 0)</f>
        <v>0</v>
      </c>
      <c r="WO60">
        <f>IF(WO1&lt;&gt;0,(COUNTIF(WO9,"&lt;&gt;0")+COUNTIF(WO12,"&lt;&gt;0")+COUNTIF(WO15,"&lt;&gt;0")+COUNTIF(WO18,"&lt;&gt;0")+COUNTIF(WO21,"&lt;&gt;0"))   -   COUNTIF(Detail!$G:$G,'Rates-Service Fees'!WO$23), 0)</f>
        <v>0</v>
      </c>
      <c r="WP60">
        <f>IF(WP1&lt;&gt;0,(COUNTIF(WP9,"&lt;&gt;0")+COUNTIF(WP12,"&lt;&gt;0")+COUNTIF(WP15,"&lt;&gt;0")+COUNTIF(WP18,"&lt;&gt;0")+COUNTIF(WP21,"&lt;&gt;0"))   -   COUNTIF(Detail!$G:$G,'Rates-Service Fees'!WP$23), 0)</f>
        <v>0</v>
      </c>
      <c r="WQ60">
        <f>IF(WQ1&lt;&gt;0,(COUNTIF(WQ9,"&lt;&gt;0")+COUNTIF(WQ12,"&lt;&gt;0")+COUNTIF(WQ15,"&lt;&gt;0")+COUNTIF(WQ18,"&lt;&gt;0")+COUNTIF(WQ21,"&lt;&gt;0"))   -   COUNTIF(Detail!$G:$G,'Rates-Service Fees'!WQ$23), 0)</f>
        <v>0</v>
      </c>
      <c r="WR60">
        <f>IF(WR1&lt;&gt;0,(COUNTIF(WR9,"&lt;&gt;0")+COUNTIF(WR12,"&lt;&gt;0")+COUNTIF(WR15,"&lt;&gt;0")+COUNTIF(WR18,"&lt;&gt;0")+COUNTIF(WR21,"&lt;&gt;0"))   -   COUNTIF(Detail!$G:$G,'Rates-Service Fees'!WR$23), 0)</f>
        <v>0</v>
      </c>
      <c r="WS60">
        <f>IF(WS1&lt;&gt;0,(COUNTIF(WS9,"&lt;&gt;0")+COUNTIF(WS12,"&lt;&gt;0")+COUNTIF(WS15,"&lt;&gt;0")+COUNTIF(WS18,"&lt;&gt;0")+COUNTIF(WS21,"&lt;&gt;0"))   -   COUNTIF(Detail!$G:$G,'Rates-Service Fees'!WS$23), 0)</f>
        <v>0</v>
      </c>
      <c r="WT60">
        <f>IF(WT1&lt;&gt;0,(COUNTIF(WT9,"&lt;&gt;0")+COUNTIF(WT12,"&lt;&gt;0")+COUNTIF(WT15,"&lt;&gt;0")+COUNTIF(WT18,"&lt;&gt;0")+COUNTIF(WT21,"&lt;&gt;0"))   -   COUNTIF(Detail!$G:$G,'Rates-Service Fees'!WT$23), 0)</f>
        <v>0</v>
      </c>
      <c r="WU60">
        <f>IF(WU1&lt;&gt;0,(COUNTIF(WU9,"&lt;&gt;0")+COUNTIF(WU12,"&lt;&gt;0")+COUNTIF(WU15,"&lt;&gt;0")+COUNTIF(WU18,"&lt;&gt;0")+COUNTIF(WU21,"&lt;&gt;0"))   -   COUNTIF(Detail!$G:$G,'Rates-Service Fees'!WU$23), 0)</f>
        <v>0</v>
      </c>
      <c r="WV60">
        <f>IF(WV1&lt;&gt;0,(COUNTIF(WV9,"&lt;&gt;0")+COUNTIF(WV12,"&lt;&gt;0")+COUNTIF(WV15,"&lt;&gt;0")+COUNTIF(WV18,"&lt;&gt;0")+COUNTIF(WV21,"&lt;&gt;0"))   -   COUNTIF(Detail!$G:$G,'Rates-Service Fees'!WV$23), 0)</f>
        <v>0</v>
      </c>
      <c r="WW60">
        <f>IF(WW1&lt;&gt;0,(COUNTIF(WW9,"&lt;&gt;0")+COUNTIF(WW12,"&lt;&gt;0")+COUNTIF(WW15,"&lt;&gt;0")+COUNTIF(WW18,"&lt;&gt;0")+COUNTIF(WW21,"&lt;&gt;0"))   -   COUNTIF(Detail!$G:$G,'Rates-Service Fees'!WW$23), 0)</f>
        <v>0</v>
      </c>
      <c r="WX60">
        <f>IF(WX1&lt;&gt;0,(COUNTIF(WX9,"&lt;&gt;0")+COUNTIF(WX12,"&lt;&gt;0")+COUNTIF(WX15,"&lt;&gt;0")+COUNTIF(WX18,"&lt;&gt;0")+COUNTIF(WX21,"&lt;&gt;0"))   -   COUNTIF(Detail!$G:$G,'Rates-Service Fees'!WX$23), 0)</f>
        <v>0</v>
      </c>
      <c r="WY60">
        <f>IF(WY1&lt;&gt;0,(COUNTIF(WY9,"&lt;&gt;0")+COUNTIF(WY12,"&lt;&gt;0")+COUNTIF(WY15,"&lt;&gt;0")+COUNTIF(WY18,"&lt;&gt;0")+COUNTIF(WY21,"&lt;&gt;0"))   -   COUNTIF(Detail!$G:$G,'Rates-Service Fees'!WY$23), 0)</f>
        <v>0</v>
      </c>
      <c r="WZ60">
        <f>IF(WZ1&lt;&gt;0,(COUNTIF(WZ9,"&lt;&gt;0")+COUNTIF(WZ12,"&lt;&gt;0")+COUNTIF(WZ15,"&lt;&gt;0")+COUNTIF(WZ18,"&lt;&gt;0")+COUNTIF(WZ21,"&lt;&gt;0"))   -   COUNTIF(Detail!$G:$G,'Rates-Service Fees'!WZ$23), 0)</f>
        <v>0</v>
      </c>
      <c r="XA60">
        <f>IF(XA1&lt;&gt;0,(COUNTIF(XA9,"&lt;&gt;0")+COUNTIF(XA12,"&lt;&gt;0")+COUNTIF(XA15,"&lt;&gt;0")+COUNTIF(XA18,"&lt;&gt;0")+COUNTIF(XA21,"&lt;&gt;0"))   -   COUNTIF(Detail!$G:$G,'Rates-Service Fees'!XA$23), 0)</f>
        <v>0</v>
      </c>
      <c r="XB60">
        <f>IF(XB1&lt;&gt;0,(COUNTIF(XB9,"&lt;&gt;0")+COUNTIF(XB12,"&lt;&gt;0")+COUNTIF(XB15,"&lt;&gt;0")+COUNTIF(XB18,"&lt;&gt;0")+COUNTIF(XB21,"&lt;&gt;0"))   -   COUNTIF(Detail!$G:$G,'Rates-Service Fees'!XB$23), 0)</f>
        <v>0</v>
      </c>
      <c r="XC60">
        <f>IF(XC1&lt;&gt;0,(COUNTIF(XC9,"&lt;&gt;0")+COUNTIF(XC12,"&lt;&gt;0")+COUNTIF(XC15,"&lt;&gt;0")+COUNTIF(XC18,"&lt;&gt;0")+COUNTIF(XC21,"&lt;&gt;0"))   -   COUNTIF(Detail!$G:$G,'Rates-Service Fees'!XC$23), 0)</f>
        <v>0</v>
      </c>
      <c r="XD60">
        <f>IF(XD1&lt;&gt;0,(COUNTIF(XD9,"&lt;&gt;0")+COUNTIF(XD12,"&lt;&gt;0")+COUNTIF(XD15,"&lt;&gt;0")+COUNTIF(XD18,"&lt;&gt;0")+COUNTIF(XD21,"&lt;&gt;0"))   -   COUNTIF(Detail!$G:$G,'Rates-Service Fees'!XD$23), 0)</f>
        <v>0</v>
      </c>
      <c r="XE60">
        <f>IF(XE1&lt;&gt;0,(COUNTIF(XE9,"&lt;&gt;0")+COUNTIF(XE12,"&lt;&gt;0")+COUNTIF(XE15,"&lt;&gt;0")+COUNTIF(XE18,"&lt;&gt;0")+COUNTIF(XE21,"&lt;&gt;0"))   -   COUNTIF(Detail!$G:$G,'Rates-Service Fees'!XE$23), 0)</f>
        <v>0</v>
      </c>
      <c r="XF60">
        <f>IF(XF1&lt;&gt;0,(COUNTIF(XF9,"&lt;&gt;0")+COUNTIF(XF12,"&lt;&gt;0")+COUNTIF(XF15,"&lt;&gt;0")+COUNTIF(XF18,"&lt;&gt;0")+COUNTIF(XF21,"&lt;&gt;0"))   -   COUNTIF(Detail!$G:$G,'Rates-Service Fees'!XF$23), 0)</f>
        <v>0</v>
      </c>
      <c r="XG60">
        <f>IF(XG1&lt;&gt;0,(COUNTIF(XG9,"&lt;&gt;0")+COUNTIF(XG12,"&lt;&gt;0")+COUNTIF(XG15,"&lt;&gt;0")+COUNTIF(XG18,"&lt;&gt;0")+COUNTIF(XG21,"&lt;&gt;0"))   -   COUNTIF(Detail!$G:$G,'Rates-Service Fees'!XG$23), 0)</f>
        <v>0</v>
      </c>
      <c r="XH60">
        <f>IF(XH1&lt;&gt;0,(COUNTIF(XH9,"&lt;&gt;0")+COUNTIF(XH12,"&lt;&gt;0")+COUNTIF(XH15,"&lt;&gt;0")+COUNTIF(XH18,"&lt;&gt;0")+COUNTIF(XH21,"&lt;&gt;0"))   -   COUNTIF(Detail!$G:$G,'Rates-Service Fees'!XH$23), 0)</f>
        <v>0</v>
      </c>
      <c r="XI60">
        <f>IF(XI1&lt;&gt;0,(COUNTIF(XI9,"&lt;&gt;0")+COUNTIF(XI12,"&lt;&gt;0")+COUNTIF(XI15,"&lt;&gt;0")+COUNTIF(XI18,"&lt;&gt;0")+COUNTIF(XI21,"&lt;&gt;0"))   -   COUNTIF(Detail!$G:$G,'Rates-Service Fees'!XI$23), 0)</f>
        <v>0</v>
      </c>
      <c r="XJ60">
        <f>IF(XJ1&lt;&gt;0,(COUNTIF(XJ9,"&lt;&gt;0")+COUNTIF(XJ12,"&lt;&gt;0")+COUNTIF(XJ15,"&lt;&gt;0")+COUNTIF(XJ18,"&lt;&gt;0")+COUNTIF(XJ21,"&lt;&gt;0"))   -   COUNTIF(Detail!$G:$G,'Rates-Service Fees'!XJ$23), 0)</f>
        <v>0</v>
      </c>
      <c r="XK60">
        <f>IF(XK1&lt;&gt;0,(COUNTIF(XK9,"&lt;&gt;0")+COUNTIF(XK12,"&lt;&gt;0")+COUNTIF(XK15,"&lt;&gt;0")+COUNTIF(XK18,"&lt;&gt;0")+COUNTIF(XK21,"&lt;&gt;0"))   -   COUNTIF(Detail!$G:$G,'Rates-Service Fees'!XK$23), 0)</f>
        <v>0</v>
      </c>
      <c r="XL60">
        <f>IF(XL1&lt;&gt;0,(COUNTIF(XL9,"&lt;&gt;0")+COUNTIF(XL12,"&lt;&gt;0")+COUNTIF(XL15,"&lt;&gt;0")+COUNTIF(XL18,"&lt;&gt;0")+COUNTIF(XL21,"&lt;&gt;0"))   -   COUNTIF(Detail!$G:$G,'Rates-Service Fees'!XL$23), 0)</f>
        <v>0</v>
      </c>
      <c r="XM60">
        <f>IF(XM1&lt;&gt;0,(COUNTIF(XM9,"&lt;&gt;0")+COUNTIF(XM12,"&lt;&gt;0")+COUNTIF(XM15,"&lt;&gt;0")+COUNTIF(XM18,"&lt;&gt;0")+COUNTIF(XM21,"&lt;&gt;0"))   -   COUNTIF(Detail!$G:$G,'Rates-Service Fees'!XM$23), 0)</f>
        <v>0</v>
      </c>
      <c r="XN60">
        <f>IF(XN1&lt;&gt;0,(COUNTIF(XN9,"&lt;&gt;0")+COUNTIF(XN12,"&lt;&gt;0")+COUNTIF(XN15,"&lt;&gt;0")+COUNTIF(XN18,"&lt;&gt;0")+COUNTIF(XN21,"&lt;&gt;0"))   -   COUNTIF(Detail!$G:$G,'Rates-Service Fees'!XN$23), 0)</f>
        <v>0</v>
      </c>
      <c r="XO60">
        <f>IF(XO1&lt;&gt;0,(COUNTIF(XO9,"&lt;&gt;0")+COUNTIF(XO12,"&lt;&gt;0")+COUNTIF(XO15,"&lt;&gt;0")+COUNTIF(XO18,"&lt;&gt;0")+COUNTIF(XO21,"&lt;&gt;0"))   -   COUNTIF(Detail!$G:$G,'Rates-Service Fees'!XO$23), 0)</f>
        <v>0</v>
      </c>
      <c r="XP60">
        <f>IF(XP1&lt;&gt;0,(COUNTIF(XP9,"&lt;&gt;0")+COUNTIF(XP12,"&lt;&gt;0")+COUNTIF(XP15,"&lt;&gt;0")+COUNTIF(XP18,"&lt;&gt;0")+COUNTIF(XP21,"&lt;&gt;0"))   -   COUNTIF(Detail!$G:$G,'Rates-Service Fees'!XP$23), 0)</f>
        <v>0</v>
      </c>
      <c r="XQ60">
        <f>IF(XQ1&lt;&gt;0,(COUNTIF(XQ9,"&lt;&gt;0")+COUNTIF(XQ12,"&lt;&gt;0")+COUNTIF(XQ15,"&lt;&gt;0")+COUNTIF(XQ18,"&lt;&gt;0")+COUNTIF(XQ21,"&lt;&gt;0"))   -   COUNTIF(Detail!$G:$G,'Rates-Service Fees'!XQ$23), 0)</f>
        <v>0</v>
      </c>
      <c r="XR60">
        <f>IF(XR1&lt;&gt;0,(COUNTIF(XR9,"&lt;&gt;0")+COUNTIF(XR12,"&lt;&gt;0")+COUNTIF(XR15,"&lt;&gt;0")+COUNTIF(XR18,"&lt;&gt;0")+COUNTIF(XR21,"&lt;&gt;0"))   -   COUNTIF(Detail!$G:$G,'Rates-Service Fees'!XR$23), 0)</f>
        <v>0</v>
      </c>
      <c r="XS60">
        <f>IF(XS1&lt;&gt;0,(COUNTIF(XS9,"&lt;&gt;0")+COUNTIF(XS12,"&lt;&gt;0")+COUNTIF(XS15,"&lt;&gt;0")+COUNTIF(XS18,"&lt;&gt;0")+COUNTIF(XS21,"&lt;&gt;0"))   -   COUNTIF(Detail!$G:$G,'Rates-Service Fees'!XS$23), 0)</f>
        <v>0</v>
      </c>
      <c r="XT60">
        <f>IF(XT1&lt;&gt;0,(COUNTIF(XT9,"&lt;&gt;0")+COUNTIF(XT12,"&lt;&gt;0")+COUNTIF(XT15,"&lt;&gt;0")+COUNTIF(XT18,"&lt;&gt;0")+COUNTIF(XT21,"&lt;&gt;0"))   -   COUNTIF(Detail!$G:$G,'Rates-Service Fees'!XT$23), 0)</f>
        <v>0</v>
      </c>
      <c r="XU60">
        <f>IF(XU1&lt;&gt;0,(COUNTIF(XU9,"&lt;&gt;0")+COUNTIF(XU12,"&lt;&gt;0")+COUNTIF(XU15,"&lt;&gt;0")+COUNTIF(XU18,"&lt;&gt;0")+COUNTIF(XU21,"&lt;&gt;0"))   -   COUNTIF(Detail!$G:$G,'Rates-Service Fees'!XU$23), 0)</f>
        <v>0</v>
      </c>
      <c r="XV60">
        <f>IF(XV1&lt;&gt;0,(COUNTIF(XV9,"&lt;&gt;0")+COUNTIF(XV12,"&lt;&gt;0")+COUNTIF(XV15,"&lt;&gt;0")+COUNTIF(XV18,"&lt;&gt;0")+COUNTIF(XV21,"&lt;&gt;0"))   -   COUNTIF(Detail!$G:$G,'Rates-Service Fees'!XV$23), 0)</f>
        <v>0</v>
      </c>
      <c r="XW60">
        <f>IF(XW1&lt;&gt;0,(COUNTIF(XW9,"&lt;&gt;0")+COUNTIF(XW12,"&lt;&gt;0")+COUNTIF(XW15,"&lt;&gt;0")+COUNTIF(XW18,"&lt;&gt;0")+COUNTIF(XW21,"&lt;&gt;0"))   -   COUNTIF(Detail!$G:$G,'Rates-Service Fees'!XW$23), 0)</f>
        <v>0</v>
      </c>
      <c r="XX60">
        <f>IF(XX1&lt;&gt;0,(COUNTIF(XX9,"&lt;&gt;0")+COUNTIF(XX12,"&lt;&gt;0")+COUNTIF(XX15,"&lt;&gt;0")+COUNTIF(XX18,"&lt;&gt;0")+COUNTIF(XX21,"&lt;&gt;0"))   -   COUNTIF(Detail!$G:$G,'Rates-Service Fees'!XX$23), 0)</f>
        <v>0</v>
      </c>
      <c r="XY60">
        <f>IF(XY1&lt;&gt;0,(COUNTIF(XY9,"&lt;&gt;0")+COUNTIF(XY12,"&lt;&gt;0")+COUNTIF(XY15,"&lt;&gt;0")+COUNTIF(XY18,"&lt;&gt;0")+COUNTIF(XY21,"&lt;&gt;0"))   -   COUNTIF(Detail!$G:$G,'Rates-Service Fees'!XY$23), 0)</f>
        <v>0</v>
      </c>
      <c r="XZ60">
        <f>IF(XZ1&lt;&gt;0,(COUNTIF(XZ9,"&lt;&gt;0")+COUNTIF(XZ12,"&lt;&gt;0")+COUNTIF(XZ15,"&lt;&gt;0")+COUNTIF(XZ18,"&lt;&gt;0")+COUNTIF(XZ21,"&lt;&gt;0"))   -   COUNTIF(Detail!$G:$G,'Rates-Service Fees'!XZ$23), 0)</f>
        <v>0</v>
      </c>
      <c r="YA60">
        <f>IF(YA1&lt;&gt;0,(COUNTIF(YA9,"&lt;&gt;0")+COUNTIF(YA12,"&lt;&gt;0")+COUNTIF(YA15,"&lt;&gt;0")+COUNTIF(YA18,"&lt;&gt;0")+COUNTIF(YA21,"&lt;&gt;0"))   -   COUNTIF(Detail!$G:$G,'Rates-Service Fees'!YA$23), 0)</f>
        <v>0</v>
      </c>
      <c r="YB60">
        <f>IF(YB1&lt;&gt;0,(COUNTIF(YB9,"&lt;&gt;0")+COUNTIF(YB12,"&lt;&gt;0")+COUNTIF(YB15,"&lt;&gt;0")+COUNTIF(YB18,"&lt;&gt;0")+COUNTIF(YB21,"&lt;&gt;0"))   -   COUNTIF(Detail!$G:$G,'Rates-Service Fees'!YB$23), 0)</f>
        <v>0</v>
      </c>
      <c r="YC60">
        <f>IF(YC1&lt;&gt;0,(COUNTIF(YC9,"&lt;&gt;0")+COUNTIF(YC12,"&lt;&gt;0")+COUNTIF(YC15,"&lt;&gt;0")+COUNTIF(YC18,"&lt;&gt;0")+COUNTIF(YC21,"&lt;&gt;0"))   -   COUNTIF(Detail!$G:$G,'Rates-Service Fees'!YC$23), 0)</f>
        <v>0</v>
      </c>
      <c r="YD60">
        <f>IF(YD1&lt;&gt;0,(COUNTIF(YD9,"&lt;&gt;0")+COUNTIF(YD12,"&lt;&gt;0")+COUNTIF(YD15,"&lt;&gt;0")+COUNTIF(YD18,"&lt;&gt;0")+COUNTIF(YD21,"&lt;&gt;0"))   -   COUNTIF(Detail!$G:$G,'Rates-Service Fees'!YD$23), 0)</f>
        <v>0</v>
      </c>
      <c r="YE60">
        <f>IF(YE1&lt;&gt;0,(COUNTIF(YE9,"&lt;&gt;0")+COUNTIF(YE12,"&lt;&gt;0")+COUNTIF(YE15,"&lt;&gt;0")+COUNTIF(YE18,"&lt;&gt;0")+COUNTIF(YE21,"&lt;&gt;0"))   -   COUNTIF(Detail!$G:$G,'Rates-Service Fees'!YE$23), 0)</f>
        <v>0</v>
      </c>
      <c r="YF60">
        <f>IF(YF1&lt;&gt;0,(COUNTIF(YF9,"&lt;&gt;0")+COUNTIF(YF12,"&lt;&gt;0")+COUNTIF(YF15,"&lt;&gt;0")+COUNTIF(YF18,"&lt;&gt;0")+COUNTIF(YF21,"&lt;&gt;0"))   -   COUNTIF(Detail!$G:$G,'Rates-Service Fees'!YF$23), 0)</f>
        <v>0</v>
      </c>
      <c r="YG60">
        <f>IF(YG1&lt;&gt;0,(COUNTIF(YG9,"&lt;&gt;0")+COUNTIF(YG12,"&lt;&gt;0")+COUNTIF(YG15,"&lt;&gt;0")+COUNTIF(YG18,"&lt;&gt;0")+COUNTIF(YG21,"&lt;&gt;0"))   -   COUNTIF(Detail!$G:$G,'Rates-Service Fees'!YG$23), 0)</f>
        <v>0</v>
      </c>
      <c r="YH60">
        <f>IF(YH1&lt;&gt;0,(COUNTIF(YH9,"&lt;&gt;0")+COUNTIF(YH12,"&lt;&gt;0")+COUNTIF(YH15,"&lt;&gt;0")+COUNTIF(YH18,"&lt;&gt;0")+COUNTIF(YH21,"&lt;&gt;0"))   -   COUNTIF(Detail!$G:$G,'Rates-Service Fees'!YH$23), 0)</f>
        <v>0</v>
      </c>
      <c r="YI60">
        <f>IF(YI1&lt;&gt;0,(COUNTIF(YI9,"&lt;&gt;0")+COUNTIF(YI12,"&lt;&gt;0")+COUNTIF(YI15,"&lt;&gt;0")+COUNTIF(YI18,"&lt;&gt;0")+COUNTIF(YI21,"&lt;&gt;0"))   -   COUNTIF(Detail!$G:$G,'Rates-Service Fees'!YI$23), 0)</f>
        <v>0</v>
      </c>
      <c r="YJ60">
        <f>IF(YJ1&lt;&gt;0,(COUNTIF(YJ9,"&lt;&gt;0")+COUNTIF(YJ12,"&lt;&gt;0")+COUNTIF(YJ15,"&lt;&gt;0")+COUNTIF(YJ18,"&lt;&gt;0")+COUNTIF(YJ21,"&lt;&gt;0"))   -   COUNTIF(Detail!$G:$G,'Rates-Service Fees'!YJ$23), 0)</f>
        <v>0</v>
      </c>
      <c r="YK60">
        <f>IF(YK1&lt;&gt;0,(COUNTIF(YK9,"&lt;&gt;0")+COUNTIF(YK12,"&lt;&gt;0")+COUNTIF(YK15,"&lt;&gt;0")+COUNTIF(YK18,"&lt;&gt;0")+COUNTIF(YK21,"&lt;&gt;0"))   -   COUNTIF(Detail!$G:$G,'Rates-Service Fees'!YK$23), 0)</f>
        <v>0</v>
      </c>
      <c r="YL60">
        <f>IF(YL1&lt;&gt;0,(COUNTIF(YL9,"&lt;&gt;0")+COUNTIF(YL12,"&lt;&gt;0")+COUNTIF(YL15,"&lt;&gt;0")+COUNTIF(YL18,"&lt;&gt;0")+COUNTIF(YL21,"&lt;&gt;0"))   -   COUNTIF(Detail!$G:$G,'Rates-Service Fees'!YL$23), 0)</f>
        <v>0</v>
      </c>
      <c r="YM60">
        <f>IF(YM1&lt;&gt;0,(COUNTIF(YM9,"&lt;&gt;0")+COUNTIF(YM12,"&lt;&gt;0")+COUNTIF(YM15,"&lt;&gt;0")+COUNTIF(YM18,"&lt;&gt;0")+COUNTIF(YM21,"&lt;&gt;0"))   -   COUNTIF(Detail!$G:$G,'Rates-Service Fees'!YM$23), 0)</f>
        <v>0</v>
      </c>
      <c r="YN60">
        <f>IF(YN1&lt;&gt;0,(COUNTIF(YN9,"&lt;&gt;0")+COUNTIF(YN12,"&lt;&gt;0")+COUNTIF(YN15,"&lt;&gt;0")+COUNTIF(YN18,"&lt;&gt;0")+COUNTIF(YN21,"&lt;&gt;0"))   -   COUNTIF(Detail!$G:$G,'Rates-Service Fees'!YN$23), 0)</f>
        <v>0</v>
      </c>
      <c r="YO60">
        <f>IF(YO1&lt;&gt;0,(COUNTIF(YO9,"&lt;&gt;0")+COUNTIF(YO12,"&lt;&gt;0")+COUNTIF(YO15,"&lt;&gt;0")+COUNTIF(YO18,"&lt;&gt;0")+COUNTIF(YO21,"&lt;&gt;0"))   -   COUNTIF(Detail!$G:$G,'Rates-Service Fees'!YO$23), 0)</f>
        <v>0</v>
      </c>
      <c r="YP60">
        <f>IF(YP1&lt;&gt;0,(COUNTIF(YP9,"&lt;&gt;0")+COUNTIF(YP12,"&lt;&gt;0")+COUNTIF(YP15,"&lt;&gt;0")+COUNTIF(YP18,"&lt;&gt;0")+COUNTIF(YP21,"&lt;&gt;0"))   -   COUNTIF(Detail!$G:$G,'Rates-Service Fees'!YP$23), 0)</f>
        <v>0</v>
      </c>
      <c r="YQ60">
        <f>IF(YQ1&lt;&gt;0,(COUNTIF(YQ9,"&lt;&gt;0")+COUNTIF(YQ12,"&lt;&gt;0")+COUNTIF(YQ15,"&lt;&gt;0")+COUNTIF(YQ18,"&lt;&gt;0")+COUNTIF(YQ21,"&lt;&gt;0"))   -   COUNTIF(Detail!$G:$G,'Rates-Service Fees'!YQ$23), 0)</f>
        <v>0</v>
      </c>
      <c r="YR60">
        <f>IF(YR1&lt;&gt;0,(COUNTIF(YR9,"&lt;&gt;0")+COUNTIF(YR12,"&lt;&gt;0")+COUNTIF(YR15,"&lt;&gt;0")+COUNTIF(YR18,"&lt;&gt;0")+COUNTIF(YR21,"&lt;&gt;0"))   -   COUNTIF(Detail!$G:$G,'Rates-Service Fees'!YR$23), 0)</f>
        <v>0</v>
      </c>
      <c r="YS60">
        <f>IF(YS1&lt;&gt;0,(COUNTIF(YS9,"&lt;&gt;0")+COUNTIF(YS12,"&lt;&gt;0")+COUNTIF(YS15,"&lt;&gt;0")+COUNTIF(YS18,"&lt;&gt;0")+COUNTIF(YS21,"&lt;&gt;0"))   -   COUNTIF(Detail!$G:$G,'Rates-Service Fees'!YS$23), 0)</f>
        <v>0</v>
      </c>
      <c r="YT60">
        <f>IF(YT1&lt;&gt;0,(COUNTIF(YT9,"&lt;&gt;0")+COUNTIF(YT12,"&lt;&gt;0")+COUNTIF(YT15,"&lt;&gt;0")+COUNTIF(YT18,"&lt;&gt;0")+COUNTIF(YT21,"&lt;&gt;0"))   -   COUNTIF(Detail!$G:$G,'Rates-Service Fees'!YT$23), 0)</f>
        <v>0</v>
      </c>
      <c r="YU60">
        <f>IF(YU1&lt;&gt;0,(COUNTIF(YU9,"&lt;&gt;0")+COUNTIF(YU12,"&lt;&gt;0")+COUNTIF(YU15,"&lt;&gt;0")+COUNTIF(YU18,"&lt;&gt;0")+COUNTIF(YU21,"&lt;&gt;0"))   -   COUNTIF(Detail!$G:$G,'Rates-Service Fees'!YU$23), 0)</f>
        <v>0</v>
      </c>
      <c r="YV60">
        <f>IF(YV1&lt;&gt;0,(COUNTIF(YV9,"&lt;&gt;0")+COUNTIF(YV12,"&lt;&gt;0")+COUNTIF(YV15,"&lt;&gt;0")+COUNTIF(YV18,"&lt;&gt;0")+COUNTIF(YV21,"&lt;&gt;0"))   -   COUNTIF(Detail!$G:$G,'Rates-Service Fees'!YV$23), 0)</f>
        <v>0</v>
      </c>
      <c r="YW60">
        <f>IF(YW1&lt;&gt;0,(COUNTIF(YW9,"&lt;&gt;0")+COUNTIF(YW12,"&lt;&gt;0")+COUNTIF(YW15,"&lt;&gt;0")+COUNTIF(YW18,"&lt;&gt;0")+COUNTIF(YW21,"&lt;&gt;0"))   -   COUNTIF(Detail!$G:$G,'Rates-Service Fees'!YW$23), 0)</f>
        <v>0</v>
      </c>
      <c r="YX60">
        <f>IF(YX1&lt;&gt;0,(COUNTIF(YX9,"&lt;&gt;0")+COUNTIF(YX12,"&lt;&gt;0")+COUNTIF(YX15,"&lt;&gt;0")+COUNTIF(YX18,"&lt;&gt;0")+COUNTIF(YX21,"&lt;&gt;0"))   -   COUNTIF(Detail!$G:$G,'Rates-Service Fees'!YX$23), 0)</f>
        <v>0</v>
      </c>
      <c r="YY60">
        <f>IF(YY1&lt;&gt;0,(COUNTIF(YY9,"&lt;&gt;0")+COUNTIF(YY12,"&lt;&gt;0")+COUNTIF(YY15,"&lt;&gt;0")+COUNTIF(YY18,"&lt;&gt;0")+COUNTIF(YY21,"&lt;&gt;0"))   -   COUNTIF(Detail!$G:$G,'Rates-Service Fees'!YY$23), 0)</f>
        <v>0</v>
      </c>
      <c r="YZ60">
        <f>IF(YZ1&lt;&gt;0,(COUNTIF(YZ9,"&lt;&gt;0")+COUNTIF(YZ12,"&lt;&gt;0")+COUNTIF(YZ15,"&lt;&gt;0")+COUNTIF(YZ18,"&lt;&gt;0")+COUNTIF(YZ21,"&lt;&gt;0"))   -   COUNTIF(Detail!$G:$G,'Rates-Service Fees'!YZ$23), 0)</f>
        <v>0</v>
      </c>
      <c r="ZA60">
        <f>IF(ZA1&lt;&gt;0,(COUNTIF(ZA9,"&lt;&gt;0")+COUNTIF(ZA12,"&lt;&gt;0")+COUNTIF(ZA15,"&lt;&gt;0")+COUNTIF(ZA18,"&lt;&gt;0")+COUNTIF(ZA21,"&lt;&gt;0"))   -   COUNTIF(Detail!$G:$G,'Rates-Service Fees'!ZA$23), 0)</f>
        <v>0</v>
      </c>
      <c r="ZB60">
        <f>IF(ZB1&lt;&gt;0,(COUNTIF(ZB9,"&lt;&gt;0")+COUNTIF(ZB12,"&lt;&gt;0")+COUNTIF(ZB15,"&lt;&gt;0")+COUNTIF(ZB18,"&lt;&gt;0")+COUNTIF(ZB21,"&lt;&gt;0"))   -   COUNTIF(Detail!$G:$G,'Rates-Service Fees'!ZB$23), 0)</f>
        <v>0</v>
      </c>
      <c r="ZC60">
        <f>IF(ZC1&lt;&gt;0,(COUNTIF(ZC9,"&lt;&gt;0")+COUNTIF(ZC12,"&lt;&gt;0")+COUNTIF(ZC15,"&lt;&gt;0")+COUNTIF(ZC18,"&lt;&gt;0")+COUNTIF(ZC21,"&lt;&gt;0"))   -   COUNTIF(Detail!$G:$G,'Rates-Service Fees'!ZC$23), 0)</f>
        <v>0</v>
      </c>
      <c r="ZD60">
        <f>IF(ZD1&lt;&gt;0,(COUNTIF(ZD9,"&lt;&gt;0")+COUNTIF(ZD12,"&lt;&gt;0")+COUNTIF(ZD15,"&lt;&gt;0")+COUNTIF(ZD18,"&lt;&gt;0")+COUNTIF(ZD21,"&lt;&gt;0"))   -   COUNTIF(Detail!$G:$G,'Rates-Service Fees'!ZD$23), 0)</f>
        <v>0</v>
      </c>
      <c r="ZE60">
        <f>IF(ZE1&lt;&gt;0,(COUNTIF(ZE9,"&lt;&gt;0")+COUNTIF(ZE12,"&lt;&gt;0")+COUNTIF(ZE15,"&lt;&gt;0")+COUNTIF(ZE18,"&lt;&gt;0")+COUNTIF(ZE21,"&lt;&gt;0"))   -   COUNTIF(Detail!$G:$G,'Rates-Service Fees'!ZE$23), 0)</f>
        <v>0</v>
      </c>
      <c r="ZF60">
        <f>IF(ZF1&lt;&gt;0,(COUNTIF(ZF9,"&lt;&gt;0")+COUNTIF(ZF12,"&lt;&gt;0")+COUNTIF(ZF15,"&lt;&gt;0")+COUNTIF(ZF18,"&lt;&gt;0")+COUNTIF(ZF21,"&lt;&gt;0"))   -   COUNTIF(Detail!$G:$G,'Rates-Service Fees'!ZF$23), 0)</f>
        <v>0</v>
      </c>
      <c r="ZG60">
        <f>IF(ZG1&lt;&gt;0,(COUNTIF(ZG9,"&lt;&gt;0")+COUNTIF(ZG12,"&lt;&gt;0")+COUNTIF(ZG15,"&lt;&gt;0")+COUNTIF(ZG18,"&lt;&gt;0")+COUNTIF(ZG21,"&lt;&gt;0"))   -   COUNTIF(Detail!$G:$G,'Rates-Service Fees'!ZG$23), 0)</f>
        <v>0</v>
      </c>
      <c r="ZH60">
        <f>IF(ZH1&lt;&gt;0,(COUNTIF(ZH9,"&lt;&gt;0")+COUNTIF(ZH12,"&lt;&gt;0")+COUNTIF(ZH15,"&lt;&gt;0")+COUNTIF(ZH18,"&lt;&gt;0")+COUNTIF(ZH21,"&lt;&gt;0"))   -   COUNTIF(Detail!$G:$G,'Rates-Service Fees'!ZH$23), 0)</f>
        <v>0</v>
      </c>
      <c r="ZI60">
        <f>IF(ZI1&lt;&gt;0,(COUNTIF(ZI9,"&lt;&gt;0")+COUNTIF(ZI12,"&lt;&gt;0")+COUNTIF(ZI15,"&lt;&gt;0")+COUNTIF(ZI18,"&lt;&gt;0")+COUNTIF(ZI21,"&lt;&gt;0"))   -   COUNTIF(Detail!$G:$G,'Rates-Service Fees'!ZI$23), 0)</f>
        <v>0</v>
      </c>
      <c r="ZJ60">
        <f>IF(ZJ1&lt;&gt;0,(COUNTIF(ZJ9,"&lt;&gt;0")+COUNTIF(ZJ12,"&lt;&gt;0")+COUNTIF(ZJ15,"&lt;&gt;0")+COUNTIF(ZJ18,"&lt;&gt;0")+COUNTIF(ZJ21,"&lt;&gt;0"))   -   COUNTIF(Detail!$G:$G,'Rates-Service Fees'!ZJ$23), 0)</f>
        <v>0</v>
      </c>
      <c r="ZK60">
        <f>IF(ZK1&lt;&gt;0,(COUNTIF(ZK9,"&lt;&gt;0")+COUNTIF(ZK12,"&lt;&gt;0")+COUNTIF(ZK15,"&lt;&gt;0")+COUNTIF(ZK18,"&lt;&gt;0")+COUNTIF(ZK21,"&lt;&gt;0"))   -   COUNTIF(Detail!$G:$G,'Rates-Service Fees'!ZK$23), 0)</f>
        <v>0</v>
      </c>
      <c r="ZL60">
        <f>IF(ZL1&lt;&gt;0,(COUNTIF(ZL9,"&lt;&gt;0")+COUNTIF(ZL12,"&lt;&gt;0")+COUNTIF(ZL15,"&lt;&gt;0")+COUNTIF(ZL18,"&lt;&gt;0")+COUNTIF(ZL21,"&lt;&gt;0"))   -   COUNTIF(Detail!$G:$G,'Rates-Service Fees'!ZL$23), 0)</f>
        <v>0</v>
      </c>
      <c r="ZM60">
        <f>IF(ZM1&lt;&gt;0,(COUNTIF(ZM9,"&lt;&gt;0")+COUNTIF(ZM12,"&lt;&gt;0")+COUNTIF(ZM15,"&lt;&gt;0")+COUNTIF(ZM18,"&lt;&gt;0")+COUNTIF(ZM21,"&lt;&gt;0"))   -   COUNTIF(Detail!$G:$G,'Rates-Service Fees'!ZM$23), 0)</f>
        <v>0</v>
      </c>
      <c r="ZN60">
        <f>IF(ZN1&lt;&gt;0,(COUNTIF(ZN9,"&lt;&gt;0")+COUNTIF(ZN12,"&lt;&gt;0")+COUNTIF(ZN15,"&lt;&gt;0")+COUNTIF(ZN18,"&lt;&gt;0")+COUNTIF(ZN21,"&lt;&gt;0"))   -   COUNTIF(Detail!$G:$G,'Rates-Service Fees'!ZN$23), 0)</f>
        <v>0</v>
      </c>
      <c r="ZO60">
        <f>IF(ZO1&lt;&gt;0,(COUNTIF(ZO9,"&lt;&gt;0")+COUNTIF(ZO12,"&lt;&gt;0")+COUNTIF(ZO15,"&lt;&gt;0")+COUNTIF(ZO18,"&lt;&gt;0")+COUNTIF(ZO21,"&lt;&gt;0"))   -   COUNTIF(Detail!$G:$G,'Rates-Service Fees'!ZO$23), 0)</f>
        <v>0</v>
      </c>
      <c r="ZP60">
        <f>IF(ZP1&lt;&gt;0,(COUNTIF(ZP9,"&lt;&gt;0")+COUNTIF(ZP12,"&lt;&gt;0")+COUNTIF(ZP15,"&lt;&gt;0")+COUNTIF(ZP18,"&lt;&gt;0")+COUNTIF(ZP21,"&lt;&gt;0"))   -   COUNTIF(Detail!$G:$G,'Rates-Service Fees'!ZP$23), 0)</f>
        <v>0</v>
      </c>
      <c r="ZQ60">
        <f>IF(ZQ1&lt;&gt;0,(COUNTIF(ZQ9,"&lt;&gt;0")+COUNTIF(ZQ12,"&lt;&gt;0")+COUNTIF(ZQ15,"&lt;&gt;0")+COUNTIF(ZQ18,"&lt;&gt;0")+COUNTIF(ZQ21,"&lt;&gt;0"))   -   COUNTIF(Detail!$G:$G,'Rates-Service Fees'!ZQ$23), 0)</f>
        <v>0</v>
      </c>
      <c r="ZR60">
        <f>IF(ZR1&lt;&gt;0,(COUNTIF(ZR9,"&lt;&gt;0")+COUNTIF(ZR12,"&lt;&gt;0")+COUNTIF(ZR15,"&lt;&gt;0")+COUNTIF(ZR18,"&lt;&gt;0")+COUNTIF(ZR21,"&lt;&gt;0"))   -   COUNTIF(Detail!$G:$G,'Rates-Service Fees'!ZR$23), 0)</f>
        <v>0</v>
      </c>
      <c r="ZS60">
        <f>IF(ZS1&lt;&gt;0,(COUNTIF(ZS9,"&lt;&gt;0")+COUNTIF(ZS12,"&lt;&gt;0")+COUNTIF(ZS15,"&lt;&gt;0")+COUNTIF(ZS18,"&lt;&gt;0")+COUNTIF(ZS21,"&lt;&gt;0"))   -   COUNTIF(Detail!$G:$G,'Rates-Service Fees'!ZS$23), 0)</f>
        <v>0</v>
      </c>
      <c r="ZT60">
        <f>IF(ZT1&lt;&gt;0,(COUNTIF(ZT9,"&lt;&gt;0")+COUNTIF(ZT12,"&lt;&gt;0")+COUNTIF(ZT15,"&lt;&gt;0")+COUNTIF(ZT18,"&lt;&gt;0")+COUNTIF(ZT21,"&lt;&gt;0"))   -   COUNTIF(Detail!$G:$G,'Rates-Service Fees'!ZT$23), 0)</f>
        <v>0</v>
      </c>
      <c r="ZU60">
        <f>IF(ZU1&lt;&gt;0,(COUNTIF(ZU9,"&lt;&gt;0")+COUNTIF(ZU12,"&lt;&gt;0")+COUNTIF(ZU15,"&lt;&gt;0")+COUNTIF(ZU18,"&lt;&gt;0")+COUNTIF(ZU21,"&lt;&gt;0"))   -   COUNTIF(Detail!$G:$G,'Rates-Service Fees'!ZU$23), 0)</f>
        <v>0</v>
      </c>
      <c r="ZV60">
        <f>IF(ZV1&lt;&gt;0,(COUNTIF(ZV9,"&lt;&gt;0")+COUNTIF(ZV12,"&lt;&gt;0")+COUNTIF(ZV15,"&lt;&gt;0")+COUNTIF(ZV18,"&lt;&gt;0")+COUNTIF(ZV21,"&lt;&gt;0"))   -   COUNTIF(Detail!$G:$G,'Rates-Service Fees'!ZV$23), 0)</f>
        <v>0</v>
      </c>
      <c r="ZW60">
        <f>IF(ZW1&lt;&gt;0,(COUNTIF(ZW9,"&lt;&gt;0")+COUNTIF(ZW12,"&lt;&gt;0")+COUNTIF(ZW15,"&lt;&gt;0")+COUNTIF(ZW18,"&lt;&gt;0")+COUNTIF(ZW21,"&lt;&gt;0"))   -   COUNTIF(Detail!$G:$G,'Rates-Service Fees'!ZW$23), 0)</f>
        <v>0</v>
      </c>
      <c r="ZX60">
        <f>IF(ZX1&lt;&gt;0,(COUNTIF(ZX9,"&lt;&gt;0")+COUNTIF(ZX12,"&lt;&gt;0")+COUNTIF(ZX15,"&lt;&gt;0")+COUNTIF(ZX18,"&lt;&gt;0")+COUNTIF(ZX21,"&lt;&gt;0"))   -   COUNTIF(Detail!$G:$G,'Rates-Service Fees'!ZX$23), 0)</f>
        <v>0</v>
      </c>
      <c r="ZY60">
        <f>IF(ZY1&lt;&gt;0,(COUNTIF(ZY9,"&lt;&gt;0")+COUNTIF(ZY12,"&lt;&gt;0")+COUNTIF(ZY15,"&lt;&gt;0")+COUNTIF(ZY18,"&lt;&gt;0")+COUNTIF(ZY21,"&lt;&gt;0"))   -   COUNTIF(Detail!$G:$G,'Rates-Service Fees'!ZY$23), 0)</f>
        <v>0</v>
      </c>
      <c r="ZZ60">
        <f>IF(ZZ1&lt;&gt;0,(COUNTIF(ZZ9,"&lt;&gt;0")+COUNTIF(ZZ12,"&lt;&gt;0")+COUNTIF(ZZ15,"&lt;&gt;0")+COUNTIF(ZZ18,"&lt;&gt;0")+COUNTIF(ZZ21,"&lt;&gt;0"))   -   COUNTIF(Detail!$G:$G,'Rates-Service Fees'!ZZ$23), 0)</f>
        <v>0</v>
      </c>
      <c r="AAA60">
        <f>IF(AAA1&lt;&gt;0,(COUNTIF(AAA9,"&lt;&gt;0")+COUNTIF(AAA12,"&lt;&gt;0")+COUNTIF(AAA15,"&lt;&gt;0")+COUNTIF(AAA18,"&lt;&gt;0")+COUNTIF(AAA21,"&lt;&gt;0"))   -   COUNTIF(Detail!$G:$G,'Rates-Service Fees'!AAA$23), 0)</f>
        <v>0</v>
      </c>
      <c r="AAB60">
        <f>IF(AAB1&lt;&gt;0,(COUNTIF(AAB9,"&lt;&gt;0")+COUNTIF(AAB12,"&lt;&gt;0")+COUNTIF(AAB15,"&lt;&gt;0")+COUNTIF(AAB18,"&lt;&gt;0")+COUNTIF(AAB21,"&lt;&gt;0"))   -   COUNTIF(Detail!$G:$G,'Rates-Service Fees'!AAB$23), 0)</f>
        <v>0</v>
      </c>
      <c r="AAC60">
        <f>IF(AAC1&lt;&gt;0,(COUNTIF(AAC9,"&lt;&gt;0")+COUNTIF(AAC12,"&lt;&gt;0")+COUNTIF(AAC15,"&lt;&gt;0")+COUNTIF(AAC18,"&lt;&gt;0")+COUNTIF(AAC21,"&lt;&gt;0"))   -   COUNTIF(Detail!$G:$G,'Rates-Service Fees'!AAC$23), 0)</f>
        <v>0</v>
      </c>
      <c r="AAD60">
        <f>IF(AAD1&lt;&gt;0,(COUNTIF(AAD9,"&lt;&gt;0")+COUNTIF(AAD12,"&lt;&gt;0")+COUNTIF(AAD15,"&lt;&gt;0")+COUNTIF(AAD18,"&lt;&gt;0")+COUNTIF(AAD21,"&lt;&gt;0"))   -   COUNTIF(Detail!$G:$G,'Rates-Service Fees'!AAD$23), 0)</f>
        <v>0</v>
      </c>
      <c r="AAE60">
        <f>IF(AAE1&lt;&gt;0,(COUNTIF(AAE9,"&lt;&gt;0")+COUNTIF(AAE12,"&lt;&gt;0")+COUNTIF(AAE15,"&lt;&gt;0")+COUNTIF(AAE18,"&lt;&gt;0")+COUNTIF(AAE21,"&lt;&gt;0"))   -   COUNTIF(Detail!$G:$G,'Rates-Service Fees'!AAE$23), 0)</f>
        <v>0</v>
      </c>
      <c r="AAF60">
        <f>IF(AAF1&lt;&gt;0,(COUNTIF(AAF9,"&lt;&gt;0")+COUNTIF(AAF12,"&lt;&gt;0")+COUNTIF(AAF15,"&lt;&gt;0")+COUNTIF(AAF18,"&lt;&gt;0")+COUNTIF(AAF21,"&lt;&gt;0"))   -   COUNTIF(Detail!$G:$G,'Rates-Service Fees'!AAF$23), 0)</f>
        <v>0</v>
      </c>
      <c r="AAG60">
        <f>IF(AAG1&lt;&gt;0,(COUNTIF(AAG9,"&lt;&gt;0")+COUNTIF(AAG12,"&lt;&gt;0")+COUNTIF(AAG15,"&lt;&gt;0")+COUNTIF(AAG18,"&lt;&gt;0")+COUNTIF(AAG21,"&lt;&gt;0"))   -   COUNTIF(Detail!$G:$G,'Rates-Service Fees'!AAG$23), 0)</f>
        <v>0</v>
      </c>
      <c r="AAH60">
        <f>IF(AAH1&lt;&gt;0,(COUNTIF(AAH9,"&lt;&gt;0")+COUNTIF(AAH12,"&lt;&gt;0")+COUNTIF(AAH15,"&lt;&gt;0")+COUNTIF(AAH18,"&lt;&gt;0")+COUNTIF(AAH21,"&lt;&gt;0"))   -   COUNTIF(Detail!$G:$G,'Rates-Service Fees'!AAH$23), 0)</f>
        <v>0</v>
      </c>
      <c r="AAI60">
        <f>IF(AAI1&lt;&gt;0,(COUNTIF(AAI9,"&lt;&gt;0")+COUNTIF(AAI12,"&lt;&gt;0")+COUNTIF(AAI15,"&lt;&gt;0")+COUNTIF(AAI18,"&lt;&gt;0")+COUNTIF(AAI21,"&lt;&gt;0"))   -   COUNTIF(Detail!$G:$G,'Rates-Service Fees'!AAI$23), 0)</f>
        <v>0</v>
      </c>
      <c r="AAJ60">
        <f>IF(AAJ1&lt;&gt;0,(COUNTIF(AAJ9,"&lt;&gt;0")+COUNTIF(AAJ12,"&lt;&gt;0")+COUNTIF(AAJ15,"&lt;&gt;0")+COUNTIF(AAJ18,"&lt;&gt;0")+COUNTIF(AAJ21,"&lt;&gt;0"))   -   COUNTIF(Detail!$G:$G,'Rates-Service Fees'!AAJ$23), 0)</f>
        <v>0</v>
      </c>
      <c r="AAK60">
        <f>IF(AAK1&lt;&gt;0,(COUNTIF(AAK9,"&lt;&gt;0")+COUNTIF(AAK12,"&lt;&gt;0")+COUNTIF(AAK15,"&lt;&gt;0")+COUNTIF(AAK18,"&lt;&gt;0")+COUNTIF(AAK21,"&lt;&gt;0"))   -   COUNTIF(Detail!$G:$G,'Rates-Service Fees'!AAK$23), 0)</f>
        <v>0</v>
      </c>
      <c r="AAL60">
        <f>IF(AAL1&lt;&gt;0,(COUNTIF(AAL9,"&lt;&gt;0")+COUNTIF(AAL12,"&lt;&gt;0")+COUNTIF(AAL15,"&lt;&gt;0")+COUNTIF(AAL18,"&lt;&gt;0")+COUNTIF(AAL21,"&lt;&gt;0"))   -   COUNTIF(Detail!$G:$G,'Rates-Service Fees'!AAL$23), 0)</f>
        <v>0</v>
      </c>
      <c r="AAM60">
        <f>IF(AAM1&lt;&gt;0,(COUNTIF(AAM9,"&lt;&gt;0")+COUNTIF(AAM12,"&lt;&gt;0")+COUNTIF(AAM15,"&lt;&gt;0")+COUNTIF(AAM18,"&lt;&gt;0")+COUNTIF(AAM21,"&lt;&gt;0"))   -   COUNTIF(Detail!$G:$G,'Rates-Service Fees'!AAM$23), 0)</f>
        <v>0</v>
      </c>
      <c r="AAN60">
        <f>IF(AAN1&lt;&gt;0,(COUNTIF(AAN9,"&lt;&gt;0")+COUNTIF(AAN12,"&lt;&gt;0")+COUNTIF(AAN15,"&lt;&gt;0")+COUNTIF(AAN18,"&lt;&gt;0")+COUNTIF(AAN21,"&lt;&gt;0"))   -   COUNTIF(Detail!$G:$G,'Rates-Service Fees'!AAN$23), 0)</f>
        <v>0</v>
      </c>
      <c r="AAO60">
        <f>IF(AAO1&lt;&gt;0,(COUNTIF(AAO9,"&lt;&gt;0")+COUNTIF(AAO12,"&lt;&gt;0")+COUNTIF(AAO15,"&lt;&gt;0")+COUNTIF(AAO18,"&lt;&gt;0")+COUNTIF(AAO21,"&lt;&gt;0"))   -   COUNTIF(Detail!$G:$G,'Rates-Service Fees'!AAO$23), 0)</f>
        <v>0</v>
      </c>
      <c r="AAP60">
        <f>IF(AAP1&lt;&gt;0,(COUNTIF(AAP9,"&lt;&gt;0")+COUNTIF(AAP12,"&lt;&gt;0")+COUNTIF(AAP15,"&lt;&gt;0")+COUNTIF(AAP18,"&lt;&gt;0")+COUNTIF(AAP21,"&lt;&gt;0"))   -   COUNTIF(Detail!$G:$G,'Rates-Service Fees'!AAP$23), 0)</f>
        <v>0</v>
      </c>
      <c r="AAQ60">
        <f>IF(AAQ1&lt;&gt;0,(COUNTIF(AAQ9,"&lt;&gt;0")+COUNTIF(AAQ12,"&lt;&gt;0")+COUNTIF(AAQ15,"&lt;&gt;0")+COUNTIF(AAQ18,"&lt;&gt;0")+COUNTIF(AAQ21,"&lt;&gt;0"))   -   COUNTIF(Detail!$G:$G,'Rates-Service Fees'!AAQ$23), 0)</f>
        <v>0</v>
      </c>
      <c r="AAR60">
        <f>IF(AAR1&lt;&gt;0,(COUNTIF(AAR9,"&lt;&gt;0")+COUNTIF(AAR12,"&lt;&gt;0")+COUNTIF(AAR15,"&lt;&gt;0")+COUNTIF(AAR18,"&lt;&gt;0")+COUNTIF(AAR21,"&lt;&gt;0"))   -   COUNTIF(Detail!$G:$G,'Rates-Service Fees'!AAR$23), 0)</f>
        <v>0</v>
      </c>
      <c r="AAS60">
        <f>IF(AAS1&lt;&gt;0,(COUNTIF(AAS9,"&lt;&gt;0")+COUNTIF(AAS12,"&lt;&gt;0")+COUNTIF(AAS15,"&lt;&gt;0")+COUNTIF(AAS18,"&lt;&gt;0")+COUNTIF(AAS21,"&lt;&gt;0"))   -   COUNTIF(Detail!$G:$G,'Rates-Service Fees'!AAS$23), 0)</f>
        <v>0</v>
      </c>
      <c r="AAT60">
        <f>IF(AAT1&lt;&gt;0,(COUNTIF(AAT9,"&lt;&gt;0")+COUNTIF(AAT12,"&lt;&gt;0")+COUNTIF(AAT15,"&lt;&gt;0")+COUNTIF(AAT18,"&lt;&gt;0")+COUNTIF(AAT21,"&lt;&gt;0"))   -   COUNTIF(Detail!$G:$G,'Rates-Service Fees'!AAT$23), 0)</f>
        <v>0</v>
      </c>
      <c r="AAU60">
        <f>IF(AAU1&lt;&gt;0,(COUNTIF(AAU9,"&lt;&gt;0")+COUNTIF(AAU12,"&lt;&gt;0")+COUNTIF(AAU15,"&lt;&gt;0")+COUNTIF(AAU18,"&lt;&gt;0")+COUNTIF(AAU21,"&lt;&gt;0"))   -   COUNTIF(Detail!$G:$G,'Rates-Service Fees'!AAU$23), 0)</f>
        <v>0</v>
      </c>
      <c r="AAV60">
        <f>IF(AAV1&lt;&gt;0,(COUNTIF(AAV9,"&lt;&gt;0")+COUNTIF(AAV12,"&lt;&gt;0")+COUNTIF(AAV15,"&lt;&gt;0")+COUNTIF(AAV18,"&lt;&gt;0")+COUNTIF(AAV21,"&lt;&gt;0"))   -   COUNTIF(Detail!$G:$G,'Rates-Service Fees'!AAV$23), 0)</f>
        <v>0</v>
      </c>
      <c r="AAW60">
        <f>IF(AAW1&lt;&gt;0,(COUNTIF(AAW9,"&lt;&gt;0")+COUNTIF(AAW12,"&lt;&gt;0")+COUNTIF(AAW15,"&lt;&gt;0")+COUNTIF(AAW18,"&lt;&gt;0")+COUNTIF(AAW21,"&lt;&gt;0"))   -   COUNTIF(Detail!$G:$G,'Rates-Service Fees'!AAW$23), 0)</f>
        <v>0</v>
      </c>
      <c r="AAX60">
        <f>IF(AAX1&lt;&gt;0,(COUNTIF(AAX9,"&lt;&gt;0")+COUNTIF(AAX12,"&lt;&gt;0")+COUNTIF(AAX15,"&lt;&gt;0")+COUNTIF(AAX18,"&lt;&gt;0")+COUNTIF(AAX21,"&lt;&gt;0"))   -   COUNTIF(Detail!$G:$G,'Rates-Service Fees'!AAX$23), 0)</f>
        <v>0</v>
      </c>
      <c r="AAY60">
        <f>IF(AAY1&lt;&gt;0,(COUNTIF(AAY9,"&lt;&gt;0")+COUNTIF(AAY12,"&lt;&gt;0")+COUNTIF(AAY15,"&lt;&gt;0")+COUNTIF(AAY18,"&lt;&gt;0")+COUNTIF(AAY21,"&lt;&gt;0"))   -   COUNTIF(Detail!$G:$G,'Rates-Service Fees'!AAY$23), 0)</f>
        <v>0</v>
      </c>
      <c r="AAZ60">
        <f>IF(AAZ1&lt;&gt;0,(COUNTIF(AAZ9,"&lt;&gt;0")+COUNTIF(AAZ12,"&lt;&gt;0")+COUNTIF(AAZ15,"&lt;&gt;0")+COUNTIF(AAZ18,"&lt;&gt;0")+COUNTIF(AAZ21,"&lt;&gt;0"))   -   COUNTIF(Detail!$G:$G,'Rates-Service Fees'!AAZ$23), 0)</f>
        <v>0</v>
      </c>
      <c r="ABA60">
        <f>IF(ABA1&lt;&gt;0,(COUNTIF(ABA9,"&lt;&gt;0")+COUNTIF(ABA12,"&lt;&gt;0")+COUNTIF(ABA15,"&lt;&gt;0")+COUNTIF(ABA18,"&lt;&gt;0")+COUNTIF(ABA21,"&lt;&gt;0"))   -   COUNTIF(Detail!$G:$G,'Rates-Service Fees'!ABA$23), 0)</f>
        <v>0</v>
      </c>
      <c r="ABB60">
        <f>IF(ABB1&lt;&gt;0,(COUNTIF(ABB9,"&lt;&gt;0")+COUNTIF(ABB12,"&lt;&gt;0")+COUNTIF(ABB15,"&lt;&gt;0")+COUNTIF(ABB18,"&lt;&gt;0")+COUNTIF(ABB21,"&lt;&gt;0"))   -   COUNTIF(Detail!$G:$G,'Rates-Service Fees'!ABB$23), 0)</f>
        <v>0</v>
      </c>
      <c r="ABC60">
        <f>IF(ABC1&lt;&gt;0,(COUNTIF(ABC9,"&lt;&gt;0")+COUNTIF(ABC12,"&lt;&gt;0")+COUNTIF(ABC15,"&lt;&gt;0")+COUNTIF(ABC18,"&lt;&gt;0")+COUNTIF(ABC21,"&lt;&gt;0"))   -   COUNTIF(Detail!$G:$G,'Rates-Service Fees'!ABC$23), 0)</f>
        <v>0</v>
      </c>
      <c r="ABD60">
        <f>IF(ABD1&lt;&gt;0,(COUNTIF(ABD9,"&lt;&gt;0")+COUNTIF(ABD12,"&lt;&gt;0")+COUNTIF(ABD15,"&lt;&gt;0")+COUNTIF(ABD18,"&lt;&gt;0")+COUNTIF(ABD21,"&lt;&gt;0"))   -   COUNTIF(Detail!$G:$G,'Rates-Service Fees'!ABD$23), 0)</f>
        <v>0</v>
      </c>
      <c r="ABE60">
        <f>IF(ABE1&lt;&gt;0,(COUNTIF(ABE9,"&lt;&gt;0")+COUNTIF(ABE12,"&lt;&gt;0")+COUNTIF(ABE15,"&lt;&gt;0")+COUNTIF(ABE18,"&lt;&gt;0")+COUNTIF(ABE21,"&lt;&gt;0"))   -   COUNTIF(Detail!$G:$G,'Rates-Service Fees'!ABE$23), 0)</f>
        <v>0</v>
      </c>
      <c r="ABF60">
        <f>IF(ABF1&lt;&gt;0,(COUNTIF(ABF9,"&lt;&gt;0")+COUNTIF(ABF12,"&lt;&gt;0")+COUNTIF(ABF15,"&lt;&gt;0")+COUNTIF(ABF18,"&lt;&gt;0")+COUNTIF(ABF21,"&lt;&gt;0"))   -   COUNTIF(Detail!$G:$G,'Rates-Service Fees'!ABF$23), 0)</f>
        <v>0</v>
      </c>
      <c r="ABG60">
        <f>IF(ABG1&lt;&gt;0,(COUNTIF(ABG9,"&lt;&gt;0")+COUNTIF(ABG12,"&lt;&gt;0")+COUNTIF(ABG15,"&lt;&gt;0")+COUNTIF(ABG18,"&lt;&gt;0")+COUNTIF(ABG21,"&lt;&gt;0"))   -   COUNTIF(Detail!$G:$G,'Rates-Service Fees'!ABG$23), 0)</f>
        <v>0</v>
      </c>
      <c r="ABH60">
        <f>IF(ABH1&lt;&gt;0,(COUNTIF(ABH9,"&lt;&gt;0")+COUNTIF(ABH12,"&lt;&gt;0")+COUNTIF(ABH15,"&lt;&gt;0")+COUNTIF(ABH18,"&lt;&gt;0")+COUNTIF(ABH21,"&lt;&gt;0"))   -   COUNTIF(Detail!$G:$G,'Rates-Service Fees'!ABH$23), 0)</f>
        <v>0</v>
      </c>
      <c r="ABI60">
        <f>IF(ABI1&lt;&gt;0,(COUNTIF(ABI9,"&lt;&gt;0")+COUNTIF(ABI12,"&lt;&gt;0")+COUNTIF(ABI15,"&lt;&gt;0")+COUNTIF(ABI18,"&lt;&gt;0")+COUNTIF(ABI21,"&lt;&gt;0"))   -   COUNTIF(Detail!$G:$G,'Rates-Service Fees'!ABI$23), 0)</f>
        <v>0</v>
      </c>
      <c r="ABJ60">
        <f>IF(ABJ1&lt;&gt;0,(COUNTIF(ABJ9,"&lt;&gt;0")+COUNTIF(ABJ12,"&lt;&gt;0")+COUNTIF(ABJ15,"&lt;&gt;0")+COUNTIF(ABJ18,"&lt;&gt;0")+COUNTIF(ABJ21,"&lt;&gt;0"))   -   COUNTIF(Detail!$G:$G,'Rates-Service Fees'!ABJ$23), 0)</f>
        <v>0</v>
      </c>
      <c r="ABK60">
        <f>IF(ABK1&lt;&gt;0,(COUNTIF(ABK9,"&lt;&gt;0")+COUNTIF(ABK12,"&lt;&gt;0")+COUNTIF(ABK15,"&lt;&gt;0")+COUNTIF(ABK18,"&lt;&gt;0")+COUNTIF(ABK21,"&lt;&gt;0"))   -   COUNTIF(Detail!$G:$G,'Rates-Service Fees'!ABK$23), 0)</f>
        <v>0</v>
      </c>
      <c r="ABL60">
        <f>IF(ABL1&lt;&gt;0,(COUNTIF(ABL9,"&lt;&gt;0")+COUNTIF(ABL12,"&lt;&gt;0")+COUNTIF(ABL15,"&lt;&gt;0")+COUNTIF(ABL18,"&lt;&gt;0")+COUNTIF(ABL21,"&lt;&gt;0"))   -   COUNTIF(Detail!$G:$G,'Rates-Service Fees'!ABL$23), 0)</f>
        <v>0</v>
      </c>
      <c r="ABM60">
        <f>IF(ABM1&lt;&gt;0,(COUNTIF(ABM9,"&lt;&gt;0")+COUNTIF(ABM12,"&lt;&gt;0")+COUNTIF(ABM15,"&lt;&gt;0")+COUNTIF(ABM18,"&lt;&gt;0")+COUNTIF(ABM21,"&lt;&gt;0"))   -   COUNTIF(Detail!$G:$G,'Rates-Service Fees'!ABM$23), 0)</f>
        <v>0</v>
      </c>
      <c r="ABN60">
        <f>IF(ABN1&lt;&gt;0,(COUNTIF(ABN9,"&lt;&gt;0")+COUNTIF(ABN12,"&lt;&gt;0")+COUNTIF(ABN15,"&lt;&gt;0")+COUNTIF(ABN18,"&lt;&gt;0")+COUNTIF(ABN21,"&lt;&gt;0"))   -   COUNTIF(Detail!$G:$G,'Rates-Service Fees'!ABN$23), 0)</f>
        <v>0</v>
      </c>
      <c r="ABO60">
        <f>IF(ABO1&lt;&gt;0,(COUNTIF(ABO9,"&lt;&gt;0")+COUNTIF(ABO12,"&lt;&gt;0")+COUNTIF(ABO15,"&lt;&gt;0")+COUNTIF(ABO18,"&lt;&gt;0")+COUNTIF(ABO21,"&lt;&gt;0"))   -   COUNTIF(Detail!$G:$G,'Rates-Service Fees'!ABO$23), 0)</f>
        <v>0</v>
      </c>
      <c r="ABP60">
        <f>IF(ABP1&lt;&gt;0,(COUNTIF(ABP9,"&lt;&gt;0")+COUNTIF(ABP12,"&lt;&gt;0")+COUNTIF(ABP15,"&lt;&gt;0")+COUNTIF(ABP18,"&lt;&gt;0")+COUNTIF(ABP21,"&lt;&gt;0"))   -   COUNTIF(Detail!$G:$G,'Rates-Service Fees'!ABP$23), 0)</f>
        <v>0</v>
      </c>
      <c r="ABQ60">
        <f>IF(ABQ1&lt;&gt;0,(COUNTIF(ABQ9,"&lt;&gt;0")+COUNTIF(ABQ12,"&lt;&gt;0")+COUNTIF(ABQ15,"&lt;&gt;0")+COUNTIF(ABQ18,"&lt;&gt;0")+COUNTIF(ABQ21,"&lt;&gt;0"))   -   COUNTIF(Detail!$G:$G,'Rates-Service Fees'!ABQ$23), 0)</f>
        <v>0</v>
      </c>
      <c r="ABR60">
        <f>IF(ABR1&lt;&gt;0,(COUNTIF(ABR9,"&lt;&gt;0")+COUNTIF(ABR12,"&lt;&gt;0")+COUNTIF(ABR15,"&lt;&gt;0")+COUNTIF(ABR18,"&lt;&gt;0")+COUNTIF(ABR21,"&lt;&gt;0"))   -   COUNTIF(Detail!$G:$G,'Rates-Service Fees'!ABR$23), 0)</f>
        <v>0</v>
      </c>
      <c r="ABS60">
        <f>IF(ABS1&lt;&gt;0,(COUNTIF(ABS9,"&lt;&gt;0")+COUNTIF(ABS12,"&lt;&gt;0")+COUNTIF(ABS15,"&lt;&gt;0")+COUNTIF(ABS18,"&lt;&gt;0")+COUNTIF(ABS21,"&lt;&gt;0"))   -   COUNTIF(Detail!$G:$G,'Rates-Service Fees'!ABS$23), 0)</f>
        <v>0</v>
      </c>
      <c r="ABT60">
        <f>IF(ABT1&lt;&gt;0,(COUNTIF(ABT9,"&lt;&gt;0")+COUNTIF(ABT12,"&lt;&gt;0")+COUNTIF(ABT15,"&lt;&gt;0")+COUNTIF(ABT18,"&lt;&gt;0")+COUNTIF(ABT21,"&lt;&gt;0"))   -   COUNTIF(Detail!$G:$G,'Rates-Service Fees'!ABT$23), 0)</f>
        <v>0</v>
      </c>
      <c r="ABU60">
        <f>IF(ABU1&lt;&gt;0,(COUNTIF(ABU9,"&lt;&gt;0")+COUNTIF(ABU12,"&lt;&gt;0")+COUNTIF(ABU15,"&lt;&gt;0")+COUNTIF(ABU18,"&lt;&gt;0")+COUNTIF(ABU21,"&lt;&gt;0"))   -   COUNTIF(Detail!$G:$G,'Rates-Service Fees'!ABU$23), 0)</f>
        <v>0</v>
      </c>
      <c r="ABV60">
        <f>IF(ABV1&lt;&gt;0,(COUNTIF(ABV9,"&lt;&gt;0")+COUNTIF(ABV12,"&lt;&gt;0")+COUNTIF(ABV15,"&lt;&gt;0")+COUNTIF(ABV18,"&lt;&gt;0")+COUNTIF(ABV21,"&lt;&gt;0"))   -   COUNTIF(Detail!$G:$G,'Rates-Service Fees'!ABV$23), 0)</f>
        <v>0</v>
      </c>
      <c r="ABW60">
        <f>IF(ABW1&lt;&gt;0,(COUNTIF(ABW9,"&lt;&gt;0")+COUNTIF(ABW12,"&lt;&gt;0")+COUNTIF(ABW15,"&lt;&gt;0")+COUNTIF(ABW18,"&lt;&gt;0")+COUNTIF(ABW21,"&lt;&gt;0"))   -   COUNTIF(Detail!$G:$G,'Rates-Service Fees'!ABW$23), 0)</f>
        <v>0</v>
      </c>
      <c r="ABX60">
        <f>IF(ABX1&lt;&gt;0,(COUNTIF(ABX9,"&lt;&gt;0")+COUNTIF(ABX12,"&lt;&gt;0")+COUNTIF(ABX15,"&lt;&gt;0")+COUNTIF(ABX18,"&lt;&gt;0")+COUNTIF(ABX21,"&lt;&gt;0"))   -   COUNTIF(Detail!$G:$G,'Rates-Service Fees'!ABX$23), 0)</f>
        <v>0</v>
      </c>
      <c r="ABY60">
        <f>IF(ABY1&lt;&gt;0,(COUNTIF(ABY9,"&lt;&gt;0")+COUNTIF(ABY12,"&lt;&gt;0")+COUNTIF(ABY15,"&lt;&gt;0")+COUNTIF(ABY18,"&lt;&gt;0")+COUNTIF(ABY21,"&lt;&gt;0"))   -   COUNTIF(Detail!$G:$G,'Rates-Service Fees'!ABY$23), 0)</f>
        <v>0</v>
      </c>
      <c r="ABZ60">
        <f>IF(ABZ1&lt;&gt;0,(COUNTIF(ABZ9,"&lt;&gt;0")+COUNTIF(ABZ12,"&lt;&gt;0")+COUNTIF(ABZ15,"&lt;&gt;0")+COUNTIF(ABZ18,"&lt;&gt;0")+COUNTIF(ABZ21,"&lt;&gt;0"))   -   COUNTIF(Detail!$G:$G,'Rates-Service Fees'!ABZ$23), 0)</f>
        <v>0</v>
      </c>
      <c r="ACA60">
        <f>IF(ACA1&lt;&gt;0,(COUNTIF(ACA9,"&lt;&gt;0")+COUNTIF(ACA12,"&lt;&gt;0")+COUNTIF(ACA15,"&lt;&gt;0")+COUNTIF(ACA18,"&lt;&gt;0")+COUNTIF(ACA21,"&lt;&gt;0"))   -   COUNTIF(Detail!$G:$G,'Rates-Service Fees'!ACA$23), 0)</f>
        <v>0</v>
      </c>
      <c r="ACB60">
        <f>IF(ACB1&lt;&gt;0,(COUNTIF(ACB9,"&lt;&gt;0")+COUNTIF(ACB12,"&lt;&gt;0")+COUNTIF(ACB15,"&lt;&gt;0")+COUNTIF(ACB18,"&lt;&gt;0")+COUNTIF(ACB21,"&lt;&gt;0"))   -   COUNTIF(Detail!$G:$G,'Rates-Service Fees'!ACB$23), 0)</f>
        <v>0</v>
      </c>
      <c r="ACC60">
        <f>IF(ACC1&lt;&gt;0,(COUNTIF(ACC9,"&lt;&gt;0")+COUNTIF(ACC12,"&lt;&gt;0")+COUNTIF(ACC15,"&lt;&gt;0")+COUNTIF(ACC18,"&lt;&gt;0")+COUNTIF(ACC21,"&lt;&gt;0"))   -   COUNTIF(Detail!$G:$G,'Rates-Service Fees'!ACC$23), 0)</f>
        <v>0</v>
      </c>
      <c r="ACD60">
        <f>IF(ACD1&lt;&gt;0,(COUNTIF(ACD9,"&lt;&gt;0")+COUNTIF(ACD12,"&lt;&gt;0")+COUNTIF(ACD15,"&lt;&gt;0")+COUNTIF(ACD18,"&lt;&gt;0")+COUNTIF(ACD21,"&lt;&gt;0"))   -   COUNTIF(Detail!$G:$G,'Rates-Service Fees'!ACD$23), 0)</f>
        <v>0</v>
      </c>
      <c r="ACE60">
        <f>IF(ACE1&lt;&gt;0,(COUNTIF(ACE9,"&lt;&gt;0")+COUNTIF(ACE12,"&lt;&gt;0")+COUNTIF(ACE15,"&lt;&gt;0")+COUNTIF(ACE18,"&lt;&gt;0")+COUNTIF(ACE21,"&lt;&gt;0"))   -   COUNTIF(Detail!$G:$G,'Rates-Service Fees'!ACE$23), 0)</f>
        <v>0</v>
      </c>
      <c r="ACF60">
        <f>IF(ACF1&lt;&gt;0,(COUNTIF(ACF9,"&lt;&gt;0")+COUNTIF(ACF12,"&lt;&gt;0")+COUNTIF(ACF15,"&lt;&gt;0")+COUNTIF(ACF18,"&lt;&gt;0")+COUNTIF(ACF21,"&lt;&gt;0"))   -   COUNTIF(Detail!$G:$G,'Rates-Service Fees'!ACF$23), 0)</f>
        <v>0</v>
      </c>
      <c r="ACG60">
        <f>IF(ACG1&lt;&gt;0,(COUNTIF(ACG9,"&lt;&gt;0")+COUNTIF(ACG12,"&lt;&gt;0")+COUNTIF(ACG15,"&lt;&gt;0")+COUNTIF(ACG18,"&lt;&gt;0")+COUNTIF(ACG21,"&lt;&gt;0"))   -   COUNTIF(Detail!$G:$G,'Rates-Service Fees'!ACG$23), 0)</f>
        <v>0</v>
      </c>
      <c r="ACH60">
        <f>IF(ACH1&lt;&gt;0,(COUNTIF(ACH9,"&lt;&gt;0")+COUNTIF(ACH12,"&lt;&gt;0")+COUNTIF(ACH15,"&lt;&gt;0")+COUNTIF(ACH18,"&lt;&gt;0")+COUNTIF(ACH21,"&lt;&gt;0"))   -   COUNTIF(Detail!$G:$G,'Rates-Service Fees'!ACH$23), 0)</f>
        <v>0</v>
      </c>
      <c r="ACI60">
        <f>IF(ACI1&lt;&gt;0,(COUNTIF(ACI9,"&lt;&gt;0")+COUNTIF(ACI12,"&lt;&gt;0")+COUNTIF(ACI15,"&lt;&gt;0")+COUNTIF(ACI18,"&lt;&gt;0")+COUNTIF(ACI21,"&lt;&gt;0"))   -   COUNTIF(Detail!$G:$G,'Rates-Service Fees'!ACI$23), 0)</f>
        <v>0</v>
      </c>
      <c r="ACJ60">
        <f>IF(ACJ1&lt;&gt;0,(COUNTIF(ACJ9,"&lt;&gt;0")+COUNTIF(ACJ12,"&lt;&gt;0")+COUNTIF(ACJ15,"&lt;&gt;0")+COUNTIF(ACJ18,"&lt;&gt;0")+COUNTIF(ACJ21,"&lt;&gt;0"))   -   COUNTIF(Detail!$G:$G,'Rates-Service Fees'!ACJ$23), 0)</f>
        <v>0</v>
      </c>
      <c r="ACK60">
        <f>IF(ACK1&lt;&gt;0,(COUNTIF(ACK9,"&lt;&gt;0")+COUNTIF(ACK12,"&lt;&gt;0")+COUNTIF(ACK15,"&lt;&gt;0")+COUNTIF(ACK18,"&lt;&gt;0")+COUNTIF(ACK21,"&lt;&gt;0"))   -   COUNTIF(Detail!$G:$G,'Rates-Service Fees'!ACK$23), 0)</f>
        <v>0</v>
      </c>
      <c r="ACL60">
        <f>IF(ACL1&lt;&gt;0,(COUNTIF(ACL9,"&lt;&gt;0")+COUNTIF(ACL12,"&lt;&gt;0")+COUNTIF(ACL15,"&lt;&gt;0")+COUNTIF(ACL18,"&lt;&gt;0")+COUNTIF(ACL21,"&lt;&gt;0"))   -   COUNTIF(Detail!$G:$G,'Rates-Service Fees'!ACL$23), 0)</f>
        <v>0</v>
      </c>
      <c r="ACM60">
        <f>IF(ACM1&lt;&gt;0,(COUNTIF(ACM9,"&lt;&gt;0")+COUNTIF(ACM12,"&lt;&gt;0")+COUNTIF(ACM15,"&lt;&gt;0")+COUNTIF(ACM18,"&lt;&gt;0")+COUNTIF(ACM21,"&lt;&gt;0"))   -   COUNTIF(Detail!$G:$G,'Rates-Service Fees'!ACM$23), 0)</f>
        <v>0</v>
      </c>
      <c r="ACN60">
        <f>IF(ACN1&lt;&gt;0,(COUNTIF(ACN9,"&lt;&gt;0")+COUNTIF(ACN12,"&lt;&gt;0")+COUNTIF(ACN15,"&lt;&gt;0")+COUNTIF(ACN18,"&lt;&gt;0")+COUNTIF(ACN21,"&lt;&gt;0"))   -   COUNTIF(Detail!$G:$G,'Rates-Service Fees'!ACN$23), 0)</f>
        <v>0</v>
      </c>
      <c r="ACO60">
        <f>IF(ACO1&lt;&gt;0,(COUNTIF(ACO9,"&lt;&gt;0")+COUNTIF(ACO12,"&lt;&gt;0")+COUNTIF(ACO15,"&lt;&gt;0")+COUNTIF(ACO18,"&lt;&gt;0")+COUNTIF(ACO21,"&lt;&gt;0"))   -   COUNTIF(Detail!$G:$G,'Rates-Service Fees'!ACO$23), 0)</f>
        <v>0</v>
      </c>
      <c r="ACP60">
        <f>IF(ACP1&lt;&gt;0,(COUNTIF(ACP9,"&lt;&gt;0")+COUNTIF(ACP12,"&lt;&gt;0")+COUNTIF(ACP15,"&lt;&gt;0")+COUNTIF(ACP18,"&lt;&gt;0")+COUNTIF(ACP21,"&lt;&gt;0"))   -   COUNTIF(Detail!$G:$G,'Rates-Service Fees'!ACP$23), 0)</f>
        <v>0</v>
      </c>
      <c r="ACQ60">
        <f>IF(ACQ1&lt;&gt;0,(COUNTIF(ACQ9,"&lt;&gt;0")+COUNTIF(ACQ12,"&lt;&gt;0")+COUNTIF(ACQ15,"&lt;&gt;0")+COUNTIF(ACQ18,"&lt;&gt;0")+COUNTIF(ACQ21,"&lt;&gt;0"))   -   COUNTIF(Detail!$G:$G,'Rates-Service Fees'!ACQ$23), 0)</f>
        <v>0</v>
      </c>
      <c r="ACR60">
        <f>IF(ACR1&lt;&gt;0,(COUNTIF(ACR9,"&lt;&gt;0")+COUNTIF(ACR12,"&lt;&gt;0")+COUNTIF(ACR15,"&lt;&gt;0")+COUNTIF(ACR18,"&lt;&gt;0")+COUNTIF(ACR21,"&lt;&gt;0"))   -   COUNTIF(Detail!$G:$G,'Rates-Service Fees'!ACR$23), 0)</f>
        <v>0</v>
      </c>
      <c r="ACS60">
        <f>IF(ACS1&lt;&gt;0,(COUNTIF(ACS9,"&lt;&gt;0")+COUNTIF(ACS12,"&lt;&gt;0")+COUNTIF(ACS15,"&lt;&gt;0")+COUNTIF(ACS18,"&lt;&gt;0")+COUNTIF(ACS21,"&lt;&gt;0"))   -   COUNTIF(Detail!$G:$G,'Rates-Service Fees'!ACS$23), 0)</f>
        <v>0</v>
      </c>
      <c r="ACT60">
        <f>IF(ACT1&lt;&gt;0,(COUNTIF(ACT9,"&lt;&gt;0")+COUNTIF(ACT12,"&lt;&gt;0")+COUNTIF(ACT15,"&lt;&gt;0")+COUNTIF(ACT18,"&lt;&gt;0")+COUNTIF(ACT21,"&lt;&gt;0"))   -   COUNTIF(Detail!$G:$G,'Rates-Service Fees'!ACT$23), 0)</f>
        <v>0</v>
      </c>
      <c r="ACU60">
        <f>IF(ACU1&lt;&gt;0,(COUNTIF(ACU9,"&lt;&gt;0")+COUNTIF(ACU12,"&lt;&gt;0")+COUNTIF(ACU15,"&lt;&gt;0")+COUNTIF(ACU18,"&lt;&gt;0")+COUNTIF(ACU21,"&lt;&gt;0"))   -   COUNTIF(Detail!$G:$G,'Rates-Service Fees'!ACU$23), 0)</f>
        <v>0</v>
      </c>
      <c r="ACV60">
        <f>IF(ACV1&lt;&gt;0,(COUNTIF(ACV9,"&lt;&gt;0")+COUNTIF(ACV12,"&lt;&gt;0")+COUNTIF(ACV15,"&lt;&gt;0")+COUNTIF(ACV18,"&lt;&gt;0")+COUNTIF(ACV21,"&lt;&gt;0"))   -   COUNTIF(Detail!$G:$G,'Rates-Service Fees'!ACV$23), 0)</f>
        <v>0</v>
      </c>
      <c r="ACW60">
        <f>IF(ACW1&lt;&gt;0,(COUNTIF(ACW9,"&lt;&gt;0")+COUNTIF(ACW12,"&lt;&gt;0")+COUNTIF(ACW15,"&lt;&gt;0")+COUNTIF(ACW18,"&lt;&gt;0")+COUNTIF(ACW21,"&lt;&gt;0"))   -   COUNTIF(Detail!$G:$G,'Rates-Service Fees'!ACW$23), 0)</f>
        <v>0</v>
      </c>
      <c r="ACX60">
        <f>IF(ACX1&lt;&gt;0,(COUNTIF(ACX9,"&lt;&gt;0")+COUNTIF(ACX12,"&lt;&gt;0")+COUNTIF(ACX15,"&lt;&gt;0")+COUNTIF(ACX18,"&lt;&gt;0")+COUNTIF(ACX21,"&lt;&gt;0"))   -   COUNTIF(Detail!$G:$G,'Rates-Service Fees'!ACX$23), 0)</f>
        <v>0</v>
      </c>
      <c r="ACY60">
        <f>IF(ACY1&lt;&gt;0,(COUNTIF(ACY9,"&lt;&gt;0")+COUNTIF(ACY12,"&lt;&gt;0")+COUNTIF(ACY15,"&lt;&gt;0")+COUNTIF(ACY18,"&lt;&gt;0")+COUNTIF(ACY21,"&lt;&gt;0"))   -   COUNTIF(Detail!$G:$G,'Rates-Service Fees'!ACY$23), 0)</f>
        <v>0</v>
      </c>
      <c r="ACZ60">
        <f>IF(ACZ1&lt;&gt;0,(COUNTIF(ACZ9,"&lt;&gt;0")+COUNTIF(ACZ12,"&lt;&gt;0")+COUNTIF(ACZ15,"&lt;&gt;0")+COUNTIF(ACZ18,"&lt;&gt;0")+COUNTIF(ACZ21,"&lt;&gt;0"))   -   COUNTIF(Detail!$G:$G,'Rates-Service Fees'!ACZ$23), 0)</f>
        <v>0</v>
      </c>
      <c r="ADA60">
        <f>IF(ADA1&lt;&gt;0,(COUNTIF(ADA9,"&lt;&gt;0")+COUNTIF(ADA12,"&lt;&gt;0")+COUNTIF(ADA15,"&lt;&gt;0")+COUNTIF(ADA18,"&lt;&gt;0")+COUNTIF(ADA21,"&lt;&gt;0"))   -   COUNTIF(Detail!$G:$G,'Rates-Service Fees'!ADA$23), 0)</f>
        <v>0</v>
      </c>
      <c r="ADB60">
        <f>IF(ADB1&lt;&gt;0,(COUNTIF(ADB9,"&lt;&gt;0")+COUNTIF(ADB12,"&lt;&gt;0")+COUNTIF(ADB15,"&lt;&gt;0")+COUNTIF(ADB18,"&lt;&gt;0")+COUNTIF(ADB21,"&lt;&gt;0"))   -   COUNTIF(Detail!$G:$G,'Rates-Service Fees'!ADB$23), 0)</f>
        <v>0</v>
      </c>
      <c r="ADC60">
        <f>IF(ADC1&lt;&gt;0,(COUNTIF(ADC9,"&lt;&gt;0")+COUNTIF(ADC12,"&lt;&gt;0")+COUNTIF(ADC15,"&lt;&gt;0")+COUNTIF(ADC18,"&lt;&gt;0")+COUNTIF(ADC21,"&lt;&gt;0"))   -   COUNTIF(Detail!$G:$G,'Rates-Service Fees'!ADC$23), 0)</f>
        <v>0</v>
      </c>
      <c r="ADD60">
        <f>IF(ADD1&lt;&gt;0,(COUNTIF(ADD9,"&lt;&gt;0")+COUNTIF(ADD12,"&lt;&gt;0")+COUNTIF(ADD15,"&lt;&gt;0")+COUNTIF(ADD18,"&lt;&gt;0")+COUNTIF(ADD21,"&lt;&gt;0"))   -   COUNTIF(Detail!$G:$G,'Rates-Service Fees'!ADD$23), 0)</f>
        <v>0</v>
      </c>
      <c r="ADE60">
        <f>IF(ADE1&lt;&gt;0,(COUNTIF(ADE9,"&lt;&gt;0")+COUNTIF(ADE12,"&lt;&gt;0")+COUNTIF(ADE15,"&lt;&gt;0")+COUNTIF(ADE18,"&lt;&gt;0")+COUNTIF(ADE21,"&lt;&gt;0"))   -   COUNTIF(Detail!$G:$G,'Rates-Service Fees'!ADE$23), 0)</f>
        <v>0</v>
      </c>
      <c r="ADF60">
        <f>IF(ADF1&lt;&gt;0,(COUNTIF(ADF9,"&lt;&gt;0")+COUNTIF(ADF12,"&lt;&gt;0")+COUNTIF(ADF15,"&lt;&gt;0")+COUNTIF(ADF18,"&lt;&gt;0")+COUNTIF(ADF21,"&lt;&gt;0"))   -   COUNTIF(Detail!$G:$G,'Rates-Service Fees'!ADF$23), 0)</f>
        <v>0</v>
      </c>
      <c r="ADG60">
        <f>IF(ADG1&lt;&gt;0,(COUNTIF(ADG9,"&lt;&gt;0")+COUNTIF(ADG12,"&lt;&gt;0")+COUNTIF(ADG15,"&lt;&gt;0")+COUNTIF(ADG18,"&lt;&gt;0")+COUNTIF(ADG21,"&lt;&gt;0"))   -   COUNTIF(Detail!$G:$G,'Rates-Service Fees'!ADG$23), 0)</f>
        <v>0</v>
      </c>
      <c r="ADH60">
        <f>IF(ADH1&lt;&gt;0,(COUNTIF(ADH9,"&lt;&gt;0")+COUNTIF(ADH12,"&lt;&gt;0")+COUNTIF(ADH15,"&lt;&gt;0")+COUNTIF(ADH18,"&lt;&gt;0")+COUNTIF(ADH21,"&lt;&gt;0"))   -   COUNTIF(Detail!$G:$G,'Rates-Service Fees'!ADH$23), 0)</f>
        <v>0</v>
      </c>
      <c r="ADI60">
        <f>IF(ADI1&lt;&gt;0,(COUNTIF(ADI9,"&lt;&gt;0")+COUNTIF(ADI12,"&lt;&gt;0")+COUNTIF(ADI15,"&lt;&gt;0")+COUNTIF(ADI18,"&lt;&gt;0")+COUNTIF(ADI21,"&lt;&gt;0"))   -   COUNTIF(Detail!$G:$G,'Rates-Service Fees'!ADI$23), 0)</f>
        <v>0</v>
      </c>
      <c r="ADJ60">
        <f>IF(ADJ1&lt;&gt;0,(COUNTIF(ADJ9,"&lt;&gt;0")+COUNTIF(ADJ12,"&lt;&gt;0")+COUNTIF(ADJ15,"&lt;&gt;0")+COUNTIF(ADJ18,"&lt;&gt;0")+COUNTIF(ADJ21,"&lt;&gt;0"))   -   COUNTIF(Detail!$G:$G,'Rates-Service Fees'!ADJ$23), 0)</f>
        <v>0</v>
      </c>
      <c r="ADK60">
        <f>IF(ADK1&lt;&gt;0,(COUNTIF(ADK9,"&lt;&gt;0")+COUNTIF(ADK12,"&lt;&gt;0")+COUNTIF(ADK15,"&lt;&gt;0")+COUNTIF(ADK18,"&lt;&gt;0")+COUNTIF(ADK21,"&lt;&gt;0"))   -   COUNTIF(Detail!$G:$G,'Rates-Service Fees'!ADK$23), 0)</f>
        <v>0</v>
      </c>
      <c r="ADL60">
        <f>IF(ADL1&lt;&gt;0,(COUNTIF(ADL9,"&lt;&gt;0")+COUNTIF(ADL12,"&lt;&gt;0")+COUNTIF(ADL15,"&lt;&gt;0")+COUNTIF(ADL18,"&lt;&gt;0")+COUNTIF(ADL21,"&lt;&gt;0"))   -   COUNTIF(Detail!$G:$G,'Rates-Service Fees'!ADL$23), 0)</f>
        <v>0</v>
      </c>
      <c r="ADM60">
        <f>IF(ADM1&lt;&gt;0,(COUNTIF(ADM9,"&lt;&gt;0")+COUNTIF(ADM12,"&lt;&gt;0")+COUNTIF(ADM15,"&lt;&gt;0")+COUNTIF(ADM18,"&lt;&gt;0")+COUNTIF(ADM21,"&lt;&gt;0"))   -   COUNTIF(Detail!$G:$G,'Rates-Service Fees'!ADM$23), 0)</f>
        <v>0</v>
      </c>
      <c r="ADN60">
        <f>IF(ADN1&lt;&gt;0,(COUNTIF(ADN9,"&lt;&gt;0")+COUNTIF(ADN12,"&lt;&gt;0")+COUNTIF(ADN15,"&lt;&gt;0")+COUNTIF(ADN18,"&lt;&gt;0")+COUNTIF(ADN21,"&lt;&gt;0"))   -   COUNTIF(Detail!$G:$G,'Rates-Service Fees'!ADN$23), 0)</f>
        <v>0</v>
      </c>
      <c r="ADO60">
        <f>IF(ADO1&lt;&gt;0,(COUNTIF(ADO9,"&lt;&gt;0")+COUNTIF(ADO12,"&lt;&gt;0")+COUNTIF(ADO15,"&lt;&gt;0")+COUNTIF(ADO18,"&lt;&gt;0")+COUNTIF(ADO21,"&lt;&gt;0"))   -   COUNTIF(Detail!$G:$G,'Rates-Service Fees'!ADO$23), 0)</f>
        <v>0</v>
      </c>
      <c r="ADP60">
        <f>IF(ADP1&lt;&gt;0,(COUNTIF(ADP9,"&lt;&gt;0")+COUNTIF(ADP12,"&lt;&gt;0")+COUNTIF(ADP15,"&lt;&gt;0")+COUNTIF(ADP18,"&lt;&gt;0")+COUNTIF(ADP21,"&lt;&gt;0"))   -   COUNTIF(Detail!$G:$G,'Rates-Service Fees'!ADP$23), 0)</f>
        <v>0</v>
      </c>
      <c r="ADQ60">
        <f>IF(ADQ1&lt;&gt;0,(COUNTIF(ADQ9,"&lt;&gt;0")+COUNTIF(ADQ12,"&lt;&gt;0")+COUNTIF(ADQ15,"&lt;&gt;0")+COUNTIF(ADQ18,"&lt;&gt;0")+COUNTIF(ADQ21,"&lt;&gt;0"))   -   COUNTIF(Detail!$G:$G,'Rates-Service Fees'!ADQ$23), 0)</f>
        <v>0</v>
      </c>
      <c r="ADR60">
        <f>IF(ADR1&lt;&gt;0,(COUNTIF(ADR9,"&lt;&gt;0")+COUNTIF(ADR12,"&lt;&gt;0")+COUNTIF(ADR15,"&lt;&gt;0")+COUNTIF(ADR18,"&lt;&gt;0")+COUNTIF(ADR21,"&lt;&gt;0"))   -   COUNTIF(Detail!$G:$G,'Rates-Service Fees'!ADR$23), 0)</f>
        <v>0</v>
      </c>
      <c r="ADS60">
        <f>IF(ADS1&lt;&gt;0,(COUNTIF(ADS9,"&lt;&gt;0")+COUNTIF(ADS12,"&lt;&gt;0")+COUNTIF(ADS15,"&lt;&gt;0")+COUNTIF(ADS18,"&lt;&gt;0")+COUNTIF(ADS21,"&lt;&gt;0"))   -   COUNTIF(Detail!$G:$G,'Rates-Service Fees'!ADS$23), 0)</f>
        <v>0</v>
      </c>
      <c r="ADT60">
        <f>IF(ADT1&lt;&gt;0,(COUNTIF(ADT9,"&lt;&gt;0")+COUNTIF(ADT12,"&lt;&gt;0")+COUNTIF(ADT15,"&lt;&gt;0")+COUNTIF(ADT18,"&lt;&gt;0")+COUNTIF(ADT21,"&lt;&gt;0"))   -   COUNTIF(Detail!$G:$G,'Rates-Service Fees'!ADT$23), 0)</f>
        <v>0</v>
      </c>
      <c r="ADU60">
        <f>IF(ADU1&lt;&gt;0,(COUNTIF(ADU9,"&lt;&gt;0")+COUNTIF(ADU12,"&lt;&gt;0")+COUNTIF(ADU15,"&lt;&gt;0")+COUNTIF(ADU18,"&lt;&gt;0")+COUNTIF(ADU21,"&lt;&gt;0"))   -   COUNTIF(Detail!$G:$G,'Rates-Service Fees'!ADU$23), 0)</f>
        <v>0</v>
      </c>
      <c r="ADV60">
        <f>IF(ADV1&lt;&gt;0,(COUNTIF(ADV9,"&lt;&gt;0")+COUNTIF(ADV12,"&lt;&gt;0")+COUNTIF(ADV15,"&lt;&gt;0")+COUNTIF(ADV18,"&lt;&gt;0")+COUNTIF(ADV21,"&lt;&gt;0"))   -   COUNTIF(Detail!$G:$G,'Rates-Service Fees'!ADV$23), 0)</f>
        <v>0</v>
      </c>
      <c r="ADW60">
        <f>IF(ADW1&lt;&gt;0,(COUNTIF(ADW9,"&lt;&gt;0")+COUNTIF(ADW12,"&lt;&gt;0")+COUNTIF(ADW15,"&lt;&gt;0")+COUNTIF(ADW18,"&lt;&gt;0")+COUNTIF(ADW21,"&lt;&gt;0"))   -   COUNTIF(Detail!$G:$G,'Rates-Service Fees'!ADW$23), 0)</f>
        <v>0</v>
      </c>
      <c r="ADX60">
        <f>IF(ADX1&lt;&gt;0,(COUNTIF(ADX9,"&lt;&gt;0")+COUNTIF(ADX12,"&lt;&gt;0")+COUNTIF(ADX15,"&lt;&gt;0")+COUNTIF(ADX18,"&lt;&gt;0")+COUNTIF(ADX21,"&lt;&gt;0"))   -   COUNTIF(Detail!$G:$G,'Rates-Service Fees'!ADX$23), 0)</f>
        <v>0</v>
      </c>
      <c r="ADY60">
        <f>IF(ADY1&lt;&gt;0,(COUNTIF(ADY9,"&lt;&gt;0")+COUNTIF(ADY12,"&lt;&gt;0")+COUNTIF(ADY15,"&lt;&gt;0")+COUNTIF(ADY18,"&lt;&gt;0")+COUNTIF(ADY21,"&lt;&gt;0"))   -   COUNTIF(Detail!$G:$G,'Rates-Service Fees'!ADY$23), 0)</f>
        <v>0</v>
      </c>
      <c r="ADZ60">
        <f>IF(ADZ1&lt;&gt;0,(COUNTIF(ADZ9,"&lt;&gt;0")+COUNTIF(ADZ12,"&lt;&gt;0")+COUNTIF(ADZ15,"&lt;&gt;0")+COUNTIF(ADZ18,"&lt;&gt;0")+COUNTIF(ADZ21,"&lt;&gt;0"))   -   COUNTIF(Detail!$G:$G,'Rates-Service Fees'!ADZ$23), 0)</f>
        <v>0</v>
      </c>
      <c r="AEA60">
        <f>IF(AEA1&lt;&gt;0,(COUNTIF(AEA9,"&lt;&gt;0")+COUNTIF(AEA12,"&lt;&gt;0")+COUNTIF(AEA15,"&lt;&gt;0")+COUNTIF(AEA18,"&lt;&gt;0")+COUNTIF(AEA21,"&lt;&gt;0"))   -   COUNTIF(Detail!$G:$G,'Rates-Service Fees'!AEA$23), 0)</f>
        <v>0</v>
      </c>
      <c r="AEB60">
        <f>IF(AEB1&lt;&gt;0,(COUNTIF(AEB9,"&lt;&gt;0")+COUNTIF(AEB12,"&lt;&gt;0")+COUNTIF(AEB15,"&lt;&gt;0")+COUNTIF(AEB18,"&lt;&gt;0")+COUNTIF(AEB21,"&lt;&gt;0"))   -   COUNTIF(Detail!$G:$G,'Rates-Service Fees'!AEB$23), 0)</f>
        <v>0</v>
      </c>
      <c r="AEC60">
        <f>IF(AEC1&lt;&gt;0,(COUNTIF(AEC9,"&lt;&gt;0")+COUNTIF(AEC12,"&lt;&gt;0")+COUNTIF(AEC15,"&lt;&gt;0")+COUNTIF(AEC18,"&lt;&gt;0")+COUNTIF(AEC21,"&lt;&gt;0"))   -   COUNTIF(Detail!$G:$G,'Rates-Service Fees'!AEC$23), 0)</f>
        <v>0</v>
      </c>
      <c r="AED60">
        <f>IF(AED1&lt;&gt;0,(COUNTIF(AED9,"&lt;&gt;0")+COUNTIF(AED12,"&lt;&gt;0")+COUNTIF(AED15,"&lt;&gt;0")+COUNTIF(AED18,"&lt;&gt;0")+COUNTIF(AED21,"&lt;&gt;0"))   -   COUNTIF(Detail!$G:$G,'Rates-Service Fees'!AED$23), 0)</f>
        <v>0</v>
      </c>
      <c r="AEE60">
        <f>IF(AEE1&lt;&gt;0,(COUNTIF(AEE9,"&lt;&gt;0")+COUNTIF(AEE12,"&lt;&gt;0")+COUNTIF(AEE15,"&lt;&gt;0")+COUNTIF(AEE18,"&lt;&gt;0")+COUNTIF(AEE21,"&lt;&gt;0"))   -   COUNTIF(Detail!$G:$G,'Rates-Service Fees'!AEE$23), 0)</f>
        <v>0</v>
      </c>
      <c r="AEF60">
        <f>IF(AEF1&lt;&gt;0,(COUNTIF(AEF9,"&lt;&gt;0")+COUNTIF(AEF12,"&lt;&gt;0")+COUNTIF(AEF15,"&lt;&gt;0")+COUNTIF(AEF18,"&lt;&gt;0")+COUNTIF(AEF21,"&lt;&gt;0"))   -   COUNTIF(Detail!$G:$G,'Rates-Service Fees'!AEF$23), 0)</f>
        <v>0</v>
      </c>
      <c r="AEG60">
        <f>IF(AEG1&lt;&gt;0,(COUNTIF(AEG9,"&lt;&gt;0")+COUNTIF(AEG12,"&lt;&gt;0")+COUNTIF(AEG15,"&lt;&gt;0")+COUNTIF(AEG18,"&lt;&gt;0")+COUNTIF(AEG21,"&lt;&gt;0"))   -   COUNTIF(Detail!$G:$G,'Rates-Service Fees'!AEG$23), 0)</f>
        <v>0</v>
      </c>
      <c r="AEH60">
        <f>IF(AEH1&lt;&gt;0,(COUNTIF(AEH9,"&lt;&gt;0")+COUNTIF(AEH12,"&lt;&gt;0")+COUNTIF(AEH15,"&lt;&gt;0")+COUNTIF(AEH18,"&lt;&gt;0")+COUNTIF(AEH21,"&lt;&gt;0"))   -   COUNTIF(Detail!$G:$G,'Rates-Service Fees'!AEH$23), 0)</f>
        <v>0</v>
      </c>
      <c r="AEI60">
        <f>IF(AEI1&lt;&gt;0,(COUNTIF(AEI9,"&lt;&gt;0")+COUNTIF(AEI12,"&lt;&gt;0")+COUNTIF(AEI15,"&lt;&gt;0")+COUNTIF(AEI18,"&lt;&gt;0")+COUNTIF(AEI21,"&lt;&gt;0"))   -   COUNTIF(Detail!$G:$G,'Rates-Service Fees'!AEI$23), 0)</f>
        <v>0</v>
      </c>
      <c r="AEJ60">
        <f>IF(AEJ1&lt;&gt;0,(COUNTIF(AEJ9,"&lt;&gt;0")+COUNTIF(AEJ12,"&lt;&gt;0")+COUNTIF(AEJ15,"&lt;&gt;0")+COUNTIF(AEJ18,"&lt;&gt;0")+COUNTIF(AEJ21,"&lt;&gt;0"))   -   COUNTIF(Detail!$G:$G,'Rates-Service Fees'!AEJ$23), 0)</f>
        <v>0</v>
      </c>
      <c r="AEK60">
        <f>IF(AEK1&lt;&gt;0,(COUNTIF(AEK9,"&lt;&gt;0")+COUNTIF(AEK12,"&lt;&gt;0")+COUNTIF(AEK15,"&lt;&gt;0")+COUNTIF(AEK18,"&lt;&gt;0")+COUNTIF(AEK21,"&lt;&gt;0"))   -   COUNTIF(Detail!$G:$G,'Rates-Service Fees'!AEK$23), 0)</f>
        <v>0</v>
      </c>
      <c r="AEL60">
        <f>IF(AEL1&lt;&gt;0,(COUNTIF(AEL9,"&lt;&gt;0")+COUNTIF(AEL12,"&lt;&gt;0")+COUNTIF(AEL15,"&lt;&gt;0")+COUNTIF(AEL18,"&lt;&gt;0")+COUNTIF(AEL21,"&lt;&gt;0"))   -   COUNTIF(Detail!$G:$G,'Rates-Service Fees'!AEL$23), 0)</f>
        <v>0</v>
      </c>
      <c r="AEM60">
        <f>IF(AEM1&lt;&gt;0,(COUNTIF(AEM9,"&lt;&gt;0")+COUNTIF(AEM12,"&lt;&gt;0")+COUNTIF(AEM15,"&lt;&gt;0")+COUNTIF(AEM18,"&lt;&gt;0")+COUNTIF(AEM21,"&lt;&gt;0"))   -   COUNTIF(Detail!$G:$G,'Rates-Service Fees'!AEM$23), 0)</f>
        <v>0</v>
      </c>
      <c r="AEN60">
        <f>IF(AEN1&lt;&gt;0,(COUNTIF(AEN9,"&lt;&gt;0")+COUNTIF(AEN12,"&lt;&gt;0")+COUNTIF(AEN15,"&lt;&gt;0")+COUNTIF(AEN18,"&lt;&gt;0")+COUNTIF(AEN21,"&lt;&gt;0"))   -   COUNTIF(Detail!$G:$G,'Rates-Service Fees'!AEN$23), 0)</f>
        <v>0</v>
      </c>
      <c r="AEO60">
        <f>IF(AEO1&lt;&gt;0,(COUNTIF(AEO9,"&lt;&gt;0")+COUNTIF(AEO12,"&lt;&gt;0")+COUNTIF(AEO15,"&lt;&gt;0")+COUNTIF(AEO18,"&lt;&gt;0")+COUNTIF(AEO21,"&lt;&gt;0"))   -   COUNTIF(Detail!$G:$G,'Rates-Service Fees'!AEO$23), 0)</f>
        <v>0</v>
      </c>
      <c r="AEP60">
        <f>IF(AEP1&lt;&gt;0,(COUNTIF(AEP9,"&lt;&gt;0")+COUNTIF(AEP12,"&lt;&gt;0")+COUNTIF(AEP15,"&lt;&gt;0")+COUNTIF(AEP18,"&lt;&gt;0")+COUNTIF(AEP21,"&lt;&gt;0"))   -   COUNTIF(Detail!$G:$G,'Rates-Service Fees'!AEP$23), 0)</f>
        <v>0</v>
      </c>
      <c r="AEQ60">
        <f>IF(AEQ1&lt;&gt;0,(COUNTIF(AEQ9,"&lt;&gt;0")+COUNTIF(AEQ12,"&lt;&gt;0")+COUNTIF(AEQ15,"&lt;&gt;0")+COUNTIF(AEQ18,"&lt;&gt;0")+COUNTIF(AEQ21,"&lt;&gt;0"))   -   COUNTIF(Detail!$G:$G,'Rates-Service Fees'!AEQ$23), 0)</f>
        <v>0</v>
      </c>
      <c r="AER60">
        <f>IF(AER1&lt;&gt;0,(COUNTIF(AER9,"&lt;&gt;0")+COUNTIF(AER12,"&lt;&gt;0")+COUNTIF(AER15,"&lt;&gt;0")+COUNTIF(AER18,"&lt;&gt;0")+COUNTIF(AER21,"&lt;&gt;0"))   -   COUNTIF(Detail!$G:$G,'Rates-Service Fees'!AER$23), 0)</f>
        <v>0</v>
      </c>
      <c r="AES60">
        <f>IF(AES1&lt;&gt;0,(COUNTIF(AES9,"&lt;&gt;0")+COUNTIF(AES12,"&lt;&gt;0")+COUNTIF(AES15,"&lt;&gt;0")+COUNTIF(AES18,"&lt;&gt;0")+COUNTIF(AES21,"&lt;&gt;0"))   -   COUNTIF(Detail!$G:$G,'Rates-Service Fees'!AES$23), 0)</f>
        <v>0</v>
      </c>
      <c r="AET60">
        <f>IF(AET1&lt;&gt;0,(COUNTIF(AET9,"&lt;&gt;0")+COUNTIF(AET12,"&lt;&gt;0")+COUNTIF(AET15,"&lt;&gt;0")+COUNTIF(AET18,"&lt;&gt;0")+COUNTIF(AET21,"&lt;&gt;0"))   -   COUNTIF(Detail!$G:$G,'Rates-Service Fees'!AET$23), 0)</f>
        <v>0</v>
      </c>
      <c r="AEU60">
        <f>IF(AEU1&lt;&gt;0,(COUNTIF(AEU9,"&lt;&gt;0")+COUNTIF(AEU12,"&lt;&gt;0")+COUNTIF(AEU15,"&lt;&gt;0")+COUNTIF(AEU18,"&lt;&gt;0")+COUNTIF(AEU21,"&lt;&gt;0"))   -   COUNTIF(Detail!$G:$G,'Rates-Service Fees'!AEU$23), 0)</f>
        <v>0</v>
      </c>
      <c r="AEV60">
        <f>IF(AEV1&lt;&gt;0,(COUNTIF(AEV9,"&lt;&gt;0")+COUNTIF(AEV12,"&lt;&gt;0")+COUNTIF(AEV15,"&lt;&gt;0")+COUNTIF(AEV18,"&lt;&gt;0")+COUNTIF(AEV21,"&lt;&gt;0"))   -   COUNTIF(Detail!$G:$G,'Rates-Service Fees'!AEV$23), 0)</f>
        <v>0</v>
      </c>
      <c r="AEW60">
        <f>IF(AEW1&lt;&gt;0,(COUNTIF(AEW9,"&lt;&gt;0")+COUNTIF(AEW12,"&lt;&gt;0")+COUNTIF(AEW15,"&lt;&gt;0")+COUNTIF(AEW18,"&lt;&gt;0")+COUNTIF(AEW21,"&lt;&gt;0"))   -   COUNTIF(Detail!$G:$G,'Rates-Service Fees'!AEW$23), 0)</f>
        <v>0</v>
      </c>
      <c r="AEX60">
        <f>IF(AEX1&lt;&gt;0,(COUNTIF(AEX9,"&lt;&gt;0")+COUNTIF(AEX12,"&lt;&gt;0")+COUNTIF(AEX15,"&lt;&gt;0")+COUNTIF(AEX18,"&lt;&gt;0")+COUNTIF(AEX21,"&lt;&gt;0"))   -   COUNTIF(Detail!$G:$G,'Rates-Service Fees'!AEX$23), 0)</f>
        <v>0</v>
      </c>
      <c r="AEY60">
        <f>IF(AEY1&lt;&gt;0,(COUNTIF(AEY9,"&lt;&gt;0")+COUNTIF(AEY12,"&lt;&gt;0")+COUNTIF(AEY15,"&lt;&gt;0")+COUNTIF(AEY18,"&lt;&gt;0")+COUNTIF(AEY21,"&lt;&gt;0"))   -   COUNTIF(Detail!$G:$G,'Rates-Service Fees'!AEY$23), 0)</f>
        <v>0</v>
      </c>
      <c r="AEZ60">
        <f>IF(AEZ1&lt;&gt;0,(COUNTIF(AEZ9,"&lt;&gt;0")+COUNTIF(AEZ12,"&lt;&gt;0")+COUNTIF(AEZ15,"&lt;&gt;0")+COUNTIF(AEZ18,"&lt;&gt;0")+COUNTIF(AEZ21,"&lt;&gt;0"))   -   COUNTIF(Detail!$G:$G,'Rates-Service Fees'!AEZ$23), 0)</f>
        <v>0</v>
      </c>
      <c r="AFA60">
        <f>IF(AFA1&lt;&gt;0,(COUNTIF(AFA9,"&lt;&gt;0")+COUNTIF(AFA12,"&lt;&gt;0")+COUNTIF(AFA15,"&lt;&gt;0")+COUNTIF(AFA18,"&lt;&gt;0")+COUNTIF(AFA21,"&lt;&gt;0"))   -   COUNTIF(Detail!$G:$G,'Rates-Service Fees'!AFA$23), 0)</f>
        <v>0</v>
      </c>
      <c r="AFB60">
        <f>IF(AFB1&lt;&gt;0,(COUNTIF(AFB9,"&lt;&gt;0")+COUNTIF(AFB12,"&lt;&gt;0")+COUNTIF(AFB15,"&lt;&gt;0")+COUNTIF(AFB18,"&lt;&gt;0")+COUNTIF(AFB21,"&lt;&gt;0"))   -   COUNTIF(Detail!$G:$G,'Rates-Service Fees'!AFB$23), 0)</f>
        <v>0</v>
      </c>
      <c r="AFC60">
        <f>IF(AFC1&lt;&gt;0,(COUNTIF(AFC9,"&lt;&gt;0")+COUNTIF(AFC12,"&lt;&gt;0")+COUNTIF(AFC15,"&lt;&gt;0")+COUNTIF(AFC18,"&lt;&gt;0")+COUNTIF(AFC21,"&lt;&gt;0"))   -   COUNTIF(Detail!$G:$G,'Rates-Service Fees'!AFC$23), 0)</f>
        <v>0</v>
      </c>
      <c r="AFD60">
        <f>IF(AFD1&lt;&gt;0,(COUNTIF(AFD9,"&lt;&gt;0")+COUNTIF(AFD12,"&lt;&gt;0")+COUNTIF(AFD15,"&lt;&gt;0")+COUNTIF(AFD18,"&lt;&gt;0")+COUNTIF(AFD21,"&lt;&gt;0"))   -   COUNTIF(Detail!$G:$G,'Rates-Service Fees'!AFD$23), 0)</f>
        <v>0</v>
      </c>
      <c r="AFE60">
        <f>IF(AFE1&lt;&gt;0,(COUNTIF(AFE9,"&lt;&gt;0")+COUNTIF(AFE12,"&lt;&gt;0")+COUNTIF(AFE15,"&lt;&gt;0")+COUNTIF(AFE18,"&lt;&gt;0")+COUNTIF(AFE21,"&lt;&gt;0"))   -   COUNTIF(Detail!$G:$G,'Rates-Service Fees'!AFE$23), 0)</f>
        <v>0</v>
      </c>
      <c r="AFF60">
        <f>IF(AFF1&lt;&gt;0,(COUNTIF(AFF9,"&lt;&gt;0")+COUNTIF(AFF12,"&lt;&gt;0")+COUNTIF(AFF15,"&lt;&gt;0")+COUNTIF(AFF18,"&lt;&gt;0")+COUNTIF(AFF21,"&lt;&gt;0"))   -   COUNTIF(Detail!$G:$G,'Rates-Service Fees'!AFF$23), 0)</f>
        <v>0</v>
      </c>
      <c r="AFG60">
        <f>IF(AFG1&lt;&gt;0,(COUNTIF(AFG9,"&lt;&gt;0")+COUNTIF(AFG12,"&lt;&gt;0")+COUNTIF(AFG15,"&lt;&gt;0")+COUNTIF(AFG18,"&lt;&gt;0")+COUNTIF(AFG21,"&lt;&gt;0"))   -   COUNTIF(Detail!$G:$G,'Rates-Service Fees'!AFG$23), 0)</f>
        <v>0</v>
      </c>
      <c r="AFH60">
        <f>IF(AFH1&lt;&gt;0,(COUNTIF(AFH9,"&lt;&gt;0")+COUNTIF(AFH12,"&lt;&gt;0")+COUNTIF(AFH15,"&lt;&gt;0")+COUNTIF(AFH18,"&lt;&gt;0")+COUNTIF(AFH21,"&lt;&gt;0"))   -   COUNTIF(Detail!$G:$G,'Rates-Service Fees'!AFH$23), 0)</f>
        <v>0</v>
      </c>
      <c r="AFI60">
        <f>IF(AFI1&lt;&gt;0,(COUNTIF(AFI9,"&lt;&gt;0")+COUNTIF(AFI12,"&lt;&gt;0")+COUNTIF(AFI15,"&lt;&gt;0")+COUNTIF(AFI18,"&lt;&gt;0")+COUNTIF(AFI21,"&lt;&gt;0"))   -   COUNTIF(Detail!$G:$G,'Rates-Service Fees'!AFI$23), 0)</f>
        <v>0</v>
      </c>
      <c r="AFJ60">
        <f>IF(AFJ1&lt;&gt;0,(COUNTIF(AFJ9,"&lt;&gt;0")+COUNTIF(AFJ12,"&lt;&gt;0")+COUNTIF(AFJ15,"&lt;&gt;0")+COUNTIF(AFJ18,"&lt;&gt;0")+COUNTIF(AFJ21,"&lt;&gt;0"))   -   COUNTIF(Detail!$G:$G,'Rates-Service Fees'!AFJ$23), 0)</f>
        <v>0</v>
      </c>
      <c r="AFK60">
        <f>IF(AFK1&lt;&gt;0,(COUNTIF(AFK9,"&lt;&gt;0")+COUNTIF(AFK12,"&lt;&gt;0")+COUNTIF(AFK15,"&lt;&gt;0")+COUNTIF(AFK18,"&lt;&gt;0")+COUNTIF(AFK21,"&lt;&gt;0"))   -   COUNTIF(Detail!$G:$G,'Rates-Service Fees'!AFK$23), 0)</f>
        <v>0</v>
      </c>
      <c r="AFL60">
        <f>IF(AFL1&lt;&gt;0,(COUNTIF(AFL9,"&lt;&gt;0")+COUNTIF(AFL12,"&lt;&gt;0")+COUNTIF(AFL15,"&lt;&gt;0")+COUNTIF(AFL18,"&lt;&gt;0")+COUNTIF(AFL21,"&lt;&gt;0"))   -   COUNTIF(Detail!$G:$G,'Rates-Service Fees'!AFL$23), 0)</f>
        <v>0</v>
      </c>
      <c r="AFM60">
        <f>IF(AFM1&lt;&gt;0,(COUNTIF(AFM9,"&lt;&gt;0")+COUNTIF(AFM12,"&lt;&gt;0")+COUNTIF(AFM15,"&lt;&gt;0")+COUNTIF(AFM18,"&lt;&gt;0")+COUNTIF(AFM21,"&lt;&gt;0"))   -   COUNTIF(Detail!$G:$G,'Rates-Service Fees'!AFM$23), 0)</f>
        <v>0</v>
      </c>
      <c r="AFN60">
        <f>IF(AFN1&lt;&gt;0,(COUNTIF(AFN9,"&lt;&gt;0")+COUNTIF(AFN12,"&lt;&gt;0")+COUNTIF(AFN15,"&lt;&gt;0")+COUNTIF(AFN18,"&lt;&gt;0")+COUNTIF(AFN21,"&lt;&gt;0"))   -   COUNTIF(Detail!$G:$G,'Rates-Service Fees'!AFN$23), 0)</f>
        <v>0</v>
      </c>
      <c r="AFO60">
        <f>IF(AFO1&lt;&gt;0,(COUNTIF(AFO9,"&lt;&gt;0")+COUNTIF(AFO12,"&lt;&gt;0")+COUNTIF(AFO15,"&lt;&gt;0")+COUNTIF(AFO18,"&lt;&gt;0")+COUNTIF(AFO21,"&lt;&gt;0"))   -   COUNTIF(Detail!$G:$G,'Rates-Service Fees'!AFO$23), 0)</f>
        <v>0</v>
      </c>
      <c r="AFP60">
        <f>IF(AFP1&lt;&gt;0,(COUNTIF(AFP9,"&lt;&gt;0")+COUNTIF(AFP12,"&lt;&gt;0")+COUNTIF(AFP15,"&lt;&gt;0")+COUNTIF(AFP18,"&lt;&gt;0")+COUNTIF(AFP21,"&lt;&gt;0"))   -   COUNTIF(Detail!$G:$G,'Rates-Service Fees'!AFP$23), 0)</f>
        <v>0</v>
      </c>
      <c r="AFQ60">
        <f>IF(AFQ1&lt;&gt;0,(COUNTIF(AFQ9,"&lt;&gt;0")+COUNTIF(AFQ12,"&lt;&gt;0")+COUNTIF(AFQ15,"&lt;&gt;0")+COUNTIF(AFQ18,"&lt;&gt;0")+COUNTIF(AFQ21,"&lt;&gt;0"))   -   COUNTIF(Detail!$G:$G,'Rates-Service Fees'!AFQ$23), 0)</f>
        <v>0</v>
      </c>
      <c r="AFR60">
        <f>IF(AFR1&lt;&gt;0,(COUNTIF(AFR9,"&lt;&gt;0")+COUNTIF(AFR12,"&lt;&gt;0")+COUNTIF(AFR15,"&lt;&gt;0")+COUNTIF(AFR18,"&lt;&gt;0")+COUNTIF(AFR21,"&lt;&gt;0"))   -   COUNTIF(Detail!$G:$G,'Rates-Service Fees'!AFR$23), 0)</f>
        <v>0</v>
      </c>
      <c r="AFS60">
        <f>IF(AFS1&lt;&gt;0,(COUNTIF(AFS9,"&lt;&gt;0")+COUNTIF(AFS12,"&lt;&gt;0")+COUNTIF(AFS15,"&lt;&gt;0")+COUNTIF(AFS18,"&lt;&gt;0")+COUNTIF(AFS21,"&lt;&gt;0"))   -   COUNTIF(Detail!$G:$G,'Rates-Service Fees'!AFS$23), 0)</f>
        <v>0</v>
      </c>
      <c r="AFT60">
        <f>IF(AFT1&lt;&gt;0,(COUNTIF(AFT9,"&lt;&gt;0")+COUNTIF(AFT12,"&lt;&gt;0")+COUNTIF(AFT15,"&lt;&gt;0")+COUNTIF(AFT18,"&lt;&gt;0")+COUNTIF(AFT21,"&lt;&gt;0"))   -   COUNTIF(Detail!$G:$G,'Rates-Service Fees'!AFT$23), 0)</f>
        <v>0</v>
      </c>
      <c r="AFU60">
        <f>IF(AFU1&lt;&gt;0,(COUNTIF(AFU9,"&lt;&gt;0")+COUNTIF(AFU12,"&lt;&gt;0")+COUNTIF(AFU15,"&lt;&gt;0")+COUNTIF(AFU18,"&lt;&gt;0")+COUNTIF(AFU21,"&lt;&gt;0"))   -   COUNTIF(Detail!$G:$G,'Rates-Service Fees'!AFU$23), 0)</f>
        <v>0</v>
      </c>
      <c r="AFV60">
        <f>IF(AFV1&lt;&gt;0,(COUNTIF(AFV9,"&lt;&gt;0")+COUNTIF(AFV12,"&lt;&gt;0")+COUNTIF(AFV15,"&lt;&gt;0")+COUNTIF(AFV18,"&lt;&gt;0")+COUNTIF(AFV21,"&lt;&gt;0"))   -   COUNTIF(Detail!$G:$G,'Rates-Service Fees'!AFV$23), 0)</f>
        <v>0</v>
      </c>
      <c r="AFW60">
        <f>IF(AFW1&lt;&gt;0,(COUNTIF(AFW9,"&lt;&gt;0")+COUNTIF(AFW12,"&lt;&gt;0")+COUNTIF(AFW15,"&lt;&gt;0")+COUNTIF(AFW18,"&lt;&gt;0")+COUNTIF(AFW21,"&lt;&gt;0"))   -   COUNTIF(Detail!$G:$G,'Rates-Service Fees'!AFW$23), 0)</f>
        <v>0</v>
      </c>
      <c r="AFX60">
        <f>IF(AFX1&lt;&gt;0,(COUNTIF(AFX9,"&lt;&gt;0")+COUNTIF(AFX12,"&lt;&gt;0")+COUNTIF(AFX15,"&lt;&gt;0")+COUNTIF(AFX18,"&lt;&gt;0")+COUNTIF(AFX21,"&lt;&gt;0"))   -   COUNTIF(Detail!$G:$G,'Rates-Service Fees'!AFX$23), 0)</f>
        <v>0</v>
      </c>
      <c r="AFY60">
        <f>IF(AFY1&lt;&gt;0,(COUNTIF(AFY9,"&lt;&gt;0")+COUNTIF(AFY12,"&lt;&gt;0")+COUNTIF(AFY15,"&lt;&gt;0")+COUNTIF(AFY18,"&lt;&gt;0")+COUNTIF(AFY21,"&lt;&gt;0"))   -   COUNTIF(Detail!$G:$G,'Rates-Service Fees'!AFY$23), 0)</f>
        <v>0</v>
      </c>
      <c r="AFZ60">
        <f>IF(AFZ1&lt;&gt;0,(COUNTIF(AFZ9,"&lt;&gt;0")+COUNTIF(AFZ12,"&lt;&gt;0")+COUNTIF(AFZ15,"&lt;&gt;0")+COUNTIF(AFZ18,"&lt;&gt;0")+COUNTIF(AFZ21,"&lt;&gt;0"))   -   COUNTIF(Detail!$G:$G,'Rates-Service Fees'!AFZ$23), 0)</f>
        <v>0</v>
      </c>
      <c r="AGA60">
        <f>IF(AGA1&lt;&gt;0,(COUNTIF(AGA9,"&lt;&gt;0")+COUNTIF(AGA12,"&lt;&gt;0")+COUNTIF(AGA15,"&lt;&gt;0")+COUNTIF(AGA18,"&lt;&gt;0")+COUNTIF(AGA21,"&lt;&gt;0"))   -   COUNTIF(Detail!$G:$G,'Rates-Service Fees'!AGA$23), 0)</f>
        <v>0</v>
      </c>
      <c r="AGB60">
        <f>IF(AGB1&lt;&gt;0,(COUNTIF(AGB9,"&lt;&gt;0")+COUNTIF(AGB12,"&lt;&gt;0")+COUNTIF(AGB15,"&lt;&gt;0")+COUNTIF(AGB18,"&lt;&gt;0")+COUNTIF(AGB21,"&lt;&gt;0"))   -   COUNTIF(Detail!$G:$G,'Rates-Service Fees'!AGB$23), 0)</f>
        <v>0</v>
      </c>
      <c r="AGC60">
        <f>IF(AGC1&lt;&gt;0,(COUNTIF(AGC9,"&lt;&gt;0")+COUNTIF(AGC12,"&lt;&gt;0")+COUNTIF(AGC15,"&lt;&gt;0")+COUNTIF(AGC18,"&lt;&gt;0")+COUNTIF(AGC21,"&lt;&gt;0"))   -   COUNTIF(Detail!$G:$G,'Rates-Service Fees'!AGC$23), 0)</f>
        <v>0</v>
      </c>
      <c r="AGD60">
        <f>IF(AGD1&lt;&gt;0,(COUNTIF(AGD9,"&lt;&gt;0")+COUNTIF(AGD12,"&lt;&gt;0")+COUNTIF(AGD15,"&lt;&gt;0")+COUNTIF(AGD18,"&lt;&gt;0")+COUNTIF(AGD21,"&lt;&gt;0"))   -   COUNTIF(Detail!$G:$G,'Rates-Service Fees'!AGD$23), 0)</f>
        <v>0</v>
      </c>
      <c r="AGE60">
        <f>IF(AGE1&lt;&gt;0,(COUNTIF(AGE9,"&lt;&gt;0")+COUNTIF(AGE12,"&lt;&gt;0")+COUNTIF(AGE15,"&lt;&gt;0")+COUNTIF(AGE18,"&lt;&gt;0")+COUNTIF(AGE21,"&lt;&gt;0"))   -   COUNTIF(Detail!$G:$G,'Rates-Service Fees'!AGE$23), 0)</f>
        <v>0</v>
      </c>
      <c r="AGF60">
        <f>IF(AGF1&lt;&gt;0,(COUNTIF(AGF9,"&lt;&gt;0")+COUNTIF(AGF12,"&lt;&gt;0")+COUNTIF(AGF15,"&lt;&gt;0")+COUNTIF(AGF18,"&lt;&gt;0")+COUNTIF(AGF21,"&lt;&gt;0"))   -   COUNTIF(Detail!$G:$G,'Rates-Service Fees'!AGF$23), 0)</f>
        <v>0</v>
      </c>
      <c r="AGG60">
        <f>IF(AGG1&lt;&gt;0,(COUNTIF(AGG9,"&lt;&gt;0")+COUNTIF(AGG12,"&lt;&gt;0")+COUNTIF(AGG15,"&lt;&gt;0")+COUNTIF(AGG18,"&lt;&gt;0")+COUNTIF(AGG21,"&lt;&gt;0"))   -   COUNTIF(Detail!$G:$G,'Rates-Service Fees'!AGG$23), 0)</f>
        <v>0</v>
      </c>
      <c r="AGH60">
        <f>IF(AGH1&lt;&gt;0,(COUNTIF(AGH9,"&lt;&gt;0")+COUNTIF(AGH12,"&lt;&gt;0")+COUNTIF(AGH15,"&lt;&gt;0")+COUNTIF(AGH18,"&lt;&gt;0")+COUNTIF(AGH21,"&lt;&gt;0"))   -   COUNTIF(Detail!$G:$G,'Rates-Service Fees'!AGH$23), 0)</f>
        <v>0</v>
      </c>
      <c r="AGI60">
        <f>IF(AGI1&lt;&gt;0,(COUNTIF(AGI9,"&lt;&gt;0")+COUNTIF(AGI12,"&lt;&gt;0")+COUNTIF(AGI15,"&lt;&gt;0")+COUNTIF(AGI18,"&lt;&gt;0")+COUNTIF(AGI21,"&lt;&gt;0"))   -   COUNTIF(Detail!$G:$G,'Rates-Service Fees'!AGI$23), 0)</f>
        <v>0</v>
      </c>
      <c r="AGJ60">
        <f>IF(AGJ1&lt;&gt;0,(COUNTIF(AGJ9,"&lt;&gt;0")+COUNTIF(AGJ12,"&lt;&gt;0")+COUNTIF(AGJ15,"&lt;&gt;0")+COUNTIF(AGJ18,"&lt;&gt;0")+COUNTIF(AGJ21,"&lt;&gt;0"))   -   COUNTIF(Detail!$G:$G,'Rates-Service Fees'!AGJ$23), 0)</f>
        <v>0</v>
      </c>
      <c r="AGK60">
        <f>IF(AGK1&lt;&gt;0,(COUNTIF(AGK9,"&lt;&gt;0")+COUNTIF(AGK12,"&lt;&gt;0")+COUNTIF(AGK15,"&lt;&gt;0")+COUNTIF(AGK18,"&lt;&gt;0")+COUNTIF(AGK21,"&lt;&gt;0"))   -   COUNTIF(Detail!$G:$G,'Rates-Service Fees'!AGK$23), 0)</f>
        <v>0</v>
      </c>
      <c r="AGL60">
        <f>IF(AGL1&lt;&gt;0,(COUNTIF(AGL9,"&lt;&gt;0")+COUNTIF(AGL12,"&lt;&gt;0")+COUNTIF(AGL15,"&lt;&gt;0")+COUNTIF(AGL18,"&lt;&gt;0")+COUNTIF(AGL21,"&lt;&gt;0"))   -   COUNTIF(Detail!$G:$G,'Rates-Service Fees'!AGL$23), 0)</f>
        <v>0</v>
      </c>
      <c r="AGM60">
        <f>IF(AGM1&lt;&gt;0,(COUNTIF(AGM9,"&lt;&gt;0")+COUNTIF(AGM12,"&lt;&gt;0")+COUNTIF(AGM15,"&lt;&gt;0")+COUNTIF(AGM18,"&lt;&gt;0")+COUNTIF(AGM21,"&lt;&gt;0"))   -   COUNTIF(Detail!$G:$G,'Rates-Service Fees'!AGM$23), 0)</f>
        <v>0</v>
      </c>
      <c r="AGN60">
        <f>IF(AGN1&lt;&gt;0,(COUNTIF(AGN9,"&lt;&gt;0")+COUNTIF(AGN12,"&lt;&gt;0")+COUNTIF(AGN15,"&lt;&gt;0")+COUNTIF(AGN18,"&lt;&gt;0")+COUNTIF(AGN21,"&lt;&gt;0"))   -   COUNTIF(Detail!$G:$G,'Rates-Service Fees'!AGN$23), 0)</f>
        <v>0</v>
      </c>
      <c r="AGO60">
        <f>IF(AGO1&lt;&gt;0,(COUNTIF(AGO9,"&lt;&gt;0")+COUNTIF(AGO12,"&lt;&gt;0")+COUNTIF(AGO15,"&lt;&gt;0")+COUNTIF(AGO18,"&lt;&gt;0")+COUNTIF(AGO21,"&lt;&gt;0"))   -   COUNTIF(Detail!$G:$G,'Rates-Service Fees'!AGO$23), 0)</f>
        <v>0</v>
      </c>
      <c r="AGP60">
        <f>IF(AGP1&lt;&gt;0,(COUNTIF(AGP9,"&lt;&gt;0")+COUNTIF(AGP12,"&lt;&gt;0")+COUNTIF(AGP15,"&lt;&gt;0")+COUNTIF(AGP18,"&lt;&gt;0")+COUNTIF(AGP21,"&lt;&gt;0"))   -   COUNTIF(Detail!$G:$G,'Rates-Service Fees'!AGP$23), 0)</f>
        <v>0</v>
      </c>
      <c r="AGQ60">
        <f>IF(AGQ1&lt;&gt;0,(COUNTIF(AGQ9,"&lt;&gt;0")+COUNTIF(AGQ12,"&lt;&gt;0")+COUNTIF(AGQ15,"&lt;&gt;0")+COUNTIF(AGQ18,"&lt;&gt;0")+COUNTIF(AGQ21,"&lt;&gt;0"))   -   COUNTIF(Detail!$G:$G,'Rates-Service Fees'!AGQ$23), 0)</f>
        <v>0</v>
      </c>
      <c r="AGR60">
        <f>IF(AGR1&lt;&gt;0,(COUNTIF(AGR9,"&lt;&gt;0")+COUNTIF(AGR12,"&lt;&gt;0")+COUNTIF(AGR15,"&lt;&gt;0")+COUNTIF(AGR18,"&lt;&gt;0")+COUNTIF(AGR21,"&lt;&gt;0"))   -   COUNTIF(Detail!$G:$G,'Rates-Service Fees'!AGR$23), 0)</f>
        <v>0</v>
      </c>
      <c r="AGS60">
        <f>IF(AGS1&lt;&gt;0,(COUNTIF(AGS9,"&lt;&gt;0")+COUNTIF(AGS12,"&lt;&gt;0")+COUNTIF(AGS15,"&lt;&gt;0")+COUNTIF(AGS18,"&lt;&gt;0")+COUNTIF(AGS21,"&lt;&gt;0"))   -   COUNTIF(Detail!$G:$G,'Rates-Service Fees'!AGS$23), 0)</f>
        <v>0</v>
      </c>
      <c r="AGT60">
        <f>IF(AGT1&lt;&gt;0,(COUNTIF(AGT9,"&lt;&gt;0")+COUNTIF(AGT12,"&lt;&gt;0")+COUNTIF(AGT15,"&lt;&gt;0")+COUNTIF(AGT18,"&lt;&gt;0")+COUNTIF(AGT21,"&lt;&gt;0"))   -   COUNTIF(Detail!$G:$G,'Rates-Service Fees'!AGT$23), 0)</f>
        <v>0</v>
      </c>
      <c r="AGU60">
        <f>IF(AGU1&lt;&gt;0,(COUNTIF(AGU9,"&lt;&gt;0")+COUNTIF(AGU12,"&lt;&gt;0")+COUNTIF(AGU15,"&lt;&gt;0")+COUNTIF(AGU18,"&lt;&gt;0")+COUNTIF(AGU21,"&lt;&gt;0"))   -   COUNTIF(Detail!$G:$G,'Rates-Service Fees'!AGU$23), 0)</f>
        <v>0</v>
      </c>
      <c r="AGV60">
        <f>IF(AGV1&lt;&gt;0,(COUNTIF(AGV9,"&lt;&gt;0")+COUNTIF(AGV12,"&lt;&gt;0")+COUNTIF(AGV15,"&lt;&gt;0")+COUNTIF(AGV18,"&lt;&gt;0")+COUNTIF(AGV21,"&lt;&gt;0"))   -   COUNTIF(Detail!$G:$G,'Rates-Service Fees'!AGV$23), 0)</f>
        <v>0</v>
      </c>
      <c r="AGW60">
        <f>IF(AGW1&lt;&gt;0,(COUNTIF(AGW9,"&lt;&gt;0")+COUNTIF(AGW12,"&lt;&gt;0")+COUNTIF(AGW15,"&lt;&gt;0")+COUNTIF(AGW18,"&lt;&gt;0")+COUNTIF(AGW21,"&lt;&gt;0"))   -   COUNTIF(Detail!$G:$G,'Rates-Service Fees'!AGW$23), 0)</f>
        <v>0</v>
      </c>
      <c r="AGX60">
        <f>IF(AGX1&lt;&gt;0,(COUNTIF(AGX9,"&lt;&gt;0")+COUNTIF(AGX12,"&lt;&gt;0")+COUNTIF(AGX15,"&lt;&gt;0")+COUNTIF(AGX18,"&lt;&gt;0")+COUNTIF(AGX21,"&lt;&gt;0"))   -   COUNTIF(Detail!$G:$G,'Rates-Service Fees'!AGX$23), 0)</f>
        <v>0</v>
      </c>
      <c r="AGY60">
        <f>IF(AGY1&lt;&gt;0,(COUNTIF(AGY9,"&lt;&gt;0")+COUNTIF(AGY12,"&lt;&gt;0")+COUNTIF(AGY15,"&lt;&gt;0")+COUNTIF(AGY18,"&lt;&gt;0")+COUNTIF(AGY21,"&lt;&gt;0"))   -   COUNTIF(Detail!$G:$G,'Rates-Service Fees'!AGY$23), 0)</f>
        <v>0</v>
      </c>
      <c r="AGZ60">
        <f>IF(AGZ1&lt;&gt;0,(COUNTIF(AGZ9,"&lt;&gt;0")+COUNTIF(AGZ12,"&lt;&gt;0")+COUNTIF(AGZ15,"&lt;&gt;0")+COUNTIF(AGZ18,"&lt;&gt;0")+COUNTIF(AGZ21,"&lt;&gt;0"))   -   COUNTIF(Detail!$G:$G,'Rates-Service Fees'!AGZ$23), 0)</f>
        <v>0</v>
      </c>
      <c r="AHA60">
        <f>IF(AHA1&lt;&gt;0,(COUNTIF(AHA9,"&lt;&gt;0")+COUNTIF(AHA12,"&lt;&gt;0")+COUNTIF(AHA15,"&lt;&gt;0")+COUNTIF(AHA18,"&lt;&gt;0")+COUNTIF(AHA21,"&lt;&gt;0"))   -   COUNTIF(Detail!$G:$G,'Rates-Service Fees'!AHA$23), 0)</f>
        <v>0</v>
      </c>
      <c r="AHB60">
        <f>IF(AHB1&lt;&gt;0,(COUNTIF(AHB9,"&lt;&gt;0")+COUNTIF(AHB12,"&lt;&gt;0")+COUNTIF(AHB15,"&lt;&gt;0")+COUNTIF(AHB18,"&lt;&gt;0")+COUNTIF(AHB21,"&lt;&gt;0"))   -   COUNTIF(Detail!$G:$G,'Rates-Service Fees'!AHB$23), 0)</f>
        <v>0</v>
      </c>
      <c r="AHC60">
        <f>IF(AHC1&lt;&gt;0,(COUNTIF(AHC9,"&lt;&gt;0")+COUNTIF(AHC12,"&lt;&gt;0")+COUNTIF(AHC15,"&lt;&gt;0")+COUNTIF(AHC18,"&lt;&gt;0")+COUNTIF(AHC21,"&lt;&gt;0"))   -   COUNTIF(Detail!$G:$G,'Rates-Service Fees'!AHC$23), 0)</f>
        <v>0</v>
      </c>
      <c r="AHD60">
        <f>IF(AHD1&lt;&gt;0,(COUNTIF(AHD9,"&lt;&gt;0")+COUNTIF(AHD12,"&lt;&gt;0")+COUNTIF(AHD15,"&lt;&gt;0")+COUNTIF(AHD18,"&lt;&gt;0")+COUNTIF(AHD21,"&lt;&gt;0"))   -   COUNTIF(Detail!$G:$G,'Rates-Service Fees'!AHD$23), 0)</f>
        <v>0</v>
      </c>
      <c r="AHE60">
        <f>IF(AHE1&lt;&gt;0,(COUNTIF(AHE9,"&lt;&gt;0")+COUNTIF(AHE12,"&lt;&gt;0")+COUNTIF(AHE15,"&lt;&gt;0")+COUNTIF(AHE18,"&lt;&gt;0")+COUNTIF(AHE21,"&lt;&gt;0"))   -   COUNTIF(Detail!$G:$G,'Rates-Service Fees'!AHE$23), 0)</f>
        <v>0</v>
      </c>
      <c r="AHF60">
        <f>IF(AHF1&lt;&gt;0,(COUNTIF(AHF9,"&lt;&gt;0")+COUNTIF(AHF12,"&lt;&gt;0")+COUNTIF(AHF15,"&lt;&gt;0")+COUNTIF(AHF18,"&lt;&gt;0")+COUNTIF(AHF21,"&lt;&gt;0"))   -   COUNTIF(Detail!$G:$G,'Rates-Service Fees'!AHF$23), 0)</f>
        <v>0</v>
      </c>
      <c r="AHG60">
        <f>IF(AHG1&lt;&gt;0,(COUNTIF(AHG9,"&lt;&gt;0")+COUNTIF(AHG12,"&lt;&gt;0")+COUNTIF(AHG15,"&lt;&gt;0")+COUNTIF(AHG18,"&lt;&gt;0")+COUNTIF(AHG21,"&lt;&gt;0"))   -   COUNTIF(Detail!$G:$G,'Rates-Service Fees'!AHG$23), 0)</f>
        <v>0</v>
      </c>
      <c r="AHH60">
        <f>IF(AHH1&lt;&gt;0,(COUNTIF(AHH9,"&lt;&gt;0")+COUNTIF(AHH12,"&lt;&gt;0")+COUNTIF(AHH15,"&lt;&gt;0")+COUNTIF(AHH18,"&lt;&gt;0")+COUNTIF(AHH21,"&lt;&gt;0"))   -   COUNTIF(Detail!$G:$G,'Rates-Service Fees'!AHH$23), 0)</f>
        <v>0</v>
      </c>
      <c r="AHI60">
        <f>IF(AHI1&lt;&gt;0,(COUNTIF(AHI9,"&lt;&gt;0")+COUNTIF(AHI12,"&lt;&gt;0")+COUNTIF(AHI15,"&lt;&gt;0")+COUNTIF(AHI18,"&lt;&gt;0")+COUNTIF(AHI21,"&lt;&gt;0"))   -   COUNTIF(Detail!$G:$G,'Rates-Service Fees'!AHI$23), 0)</f>
        <v>0</v>
      </c>
      <c r="AHJ60">
        <f>IF(AHJ1&lt;&gt;0,(COUNTIF(AHJ9,"&lt;&gt;0")+COUNTIF(AHJ12,"&lt;&gt;0")+COUNTIF(AHJ15,"&lt;&gt;0")+COUNTIF(AHJ18,"&lt;&gt;0")+COUNTIF(AHJ21,"&lt;&gt;0"))   -   COUNTIF(Detail!$G:$G,'Rates-Service Fees'!AHJ$23), 0)</f>
        <v>0</v>
      </c>
      <c r="AHK60">
        <f>IF(AHK1&lt;&gt;0,(COUNTIF(AHK9,"&lt;&gt;0")+COUNTIF(AHK12,"&lt;&gt;0")+COUNTIF(AHK15,"&lt;&gt;0")+COUNTIF(AHK18,"&lt;&gt;0")+COUNTIF(AHK21,"&lt;&gt;0"))   -   COUNTIF(Detail!$G:$G,'Rates-Service Fees'!AHK$23), 0)</f>
        <v>0</v>
      </c>
      <c r="AHL60">
        <f>IF(AHL1&lt;&gt;0,(COUNTIF(AHL9,"&lt;&gt;0")+COUNTIF(AHL12,"&lt;&gt;0")+COUNTIF(AHL15,"&lt;&gt;0")+COUNTIF(AHL18,"&lt;&gt;0")+COUNTIF(AHL21,"&lt;&gt;0"))   -   COUNTIF(Detail!$G:$G,'Rates-Service Fees'!AHL$23), 0)</f>
        <v>0</v>
      </c>
      <c r="AHM60">
        <f>IF(AHM1&lt;&gt;0,(COUNTIF(AHM9,"&lt;&gt;0")+COUNTIF(AHM12,"&lt;&gt;0")+COUNTIF(AHM15,"&lt;&gt;0")+COUNTIF(AHM18,"&lt;&gt;0")+COUNTIF(AHM21,"&lt;&gt;0"))   -   COUNTIF(Detail!$G:$G,'Rates-Service Fees'!AHM$23), 0)</f>
        <v>0</v>
      </c>
      <c r="AHN60">
        <f>IF(AHN1&lt;&gt;0,(COUNTIF(AHN9,"&lt;&gt;0")+COUNTIF(AHN12,"&lt;&gt;0")+COUNTIF(AHN15,"&lt;&gt;0")+COUNTIF(AHN18,"&lt;&gt;0")+COUNTIF(AHN21,"&lt;&gt;0"))   -   COUNTIF(Detail!$G:$G,'Rates-Service Fees'!AHN$23), 0)</f>
        <v>0</v>
      </c>
      <c r="AHO60">
        <f>IF(AHO1&lt;&gt;0,(COUNTIF(AHO9,"&lt;&gt;0")+COUNTIF(AHO12,"&lt;&gt;0")+COUNTIF(AHO15,"&lt;&gt;0")+COUNTIF(AHO18,"&lt;&gt;0")+COUNTIF(AHO21,"&lt;&gt;0"))   -   COUNTIF(Detail!$G:$G,'Rates-Service Fees'!AHO$23), 0)</f>
        <v>0</v>
      </c>
      <c r="AHP60">
        <f>IF(AHP1&lt;&gt;0,(COUNTIF(AHP9,"&lt;&gt;0")+COUNTIF(AHP12,"&lt;&gt;0")+COUNTIF(AHP15,"&lt;&gt;0")+COUNTIF(AHP18,"&lt;&gt;0")+COUNTIF(AHP21,"&lt;&gt;0"))   -   COUNTIF(Detail!$G:$G,'Rates-Service Fees'!AHP$23), 0)</f>
        <v>0</v>
      </c>
      <c r="AHQ60">
        <f>IF(AHQ1&lt;&gt;0,(COUNTIF(AHQ9,"&lt;&gt;0")+COUNTIF(AHQ12,"&lt;&gt;0")+COUNTIF(AHQ15,"&lt;&gt;0")+COUNTIF(AHQ18,"&lt;&gt;0")+COUNTIF(AHQ21,"&lt;&gt;0"))   -   COUNTIF(Detail!$G:$G,'Rates-Service Fees'!AHQ$23), 0)</f>
        <v>0</v>
      </c>
      <c r="AHR60">
        <f>IF(AHR1&lt;&gt;0,(COUNTIF(AHR9,"&lt;&gt;0")+COUNTIF(AHR12,"&lt;&gt;0")+COUNTIF(AHR15,"&lt;&gt;0")+COUNTIF(AHR18,"&lt;&gt;0")+COUNTIF(AHR21,"&lt;&gt;0"))   -   COUNTIF(Detail!$G:$G,'Rates-Service Fees'!AHR$23), 0)</f>
        <v>0</v>
      </c>
      <c r="AHS60">
        <f>IF(AHS1&lt;&gt;0,(COUNTIF(AHS9,"&lt;&gt;0")+COUNTIF(AHS12,"&lt;&gt;0")+COUNTIF(AHS15,"&lt;&gt;0")+COUNTIF(AHS18,"&lt;&gt;0")+COUNTIF(AHS21,"&lt;&gt;0"))   -   COUNTIF(Detail!$G:$G,'Rates-Service Fees'!AHS$23), 0)</f>
        <v>0</v>
      </c>
      <c r="AHT60">
        <f>IF(AHT1&lt;&gt;0,(COUNTIF(AHT9,"&lt;&gt;0")+COUNTIF(AHT12,"&lt;&gt;0")+COUNTIF(AHT15,"&lt;&gt;0")+COUNTIF(AHT18,"&lt;&gt;0")+COUNTIF(AHT21,"&lt;&gt;0"))   -   COUNTIF(Detail!$G:$G,'Rates-Service Fees'!AHT$23), 0)</f>
        <v>0</v>
      </c>
      <c r="AHU60">
        <f>IF(AHU1&lt;&gt;0,(COUNTIF(AHU9,"&lt;&gt;0")+COUNTIF(AHU12,"&lt;&gt;0")+COUNTIF(AHU15,"&lt;&gt;0")+COUNTIF(AHU18,"&lt;&gt;0")+COUNTIF(AHU21,"&lt;&gt;0"))   -   COUNTIF(Detail!$G:$G,'Rates-Service Fees'!AHU$23), 0)</f>
        <v>0</v>
      </c>
      <c r="AHV60">
        <f>IF(AHV1&lt;&gt;0,(COUNTIF(AHV9,"&lt;&gt;0")+COUNTIF(AHV12,"&lt;&gt;0")+COUNTIF(AHV15,"&lt;&gt;0")+COUNTIF(AHV18,"&lt;&gt;0")+COUNTIF(AHV21,"&lt;&gt;0"))   -   COUNTIF(Detail!$G:$G,'Rates-Service Fees'!AHV$23), 0)</f>
        <v>0</v>
      </c>
      <c r="AHW60">
        <f>IF(AHW1&lt;&gt;0,(COUNTIF(AHW9,"&lt;&gt;0")+COUNTIF(AHW12,"&lt;&gt;0")+COUNTIF(AHW15,"&lt;&gt;0")+COUNTIF(AHW18,"&lt;&gt;0")+COUNTIF(AHW21,"&lt;&gt;0"))   -   COUNTIF(Detail!$G:$G,'Rates-Service Fees'!AHW$23), 0)</f>
        <v>0</v>
      </c>
      <c r="AHX60">
        <f>IF(AHX1&lt;&gt;0,(COUNTIF(AHX9,"&lt;&gt;0")+COUNTIF(AHX12,"&lt;&gt;0")+COUNTIF(AHX15,"&lt;&gt;0")+COUNTIF(AHX18,"&lt;&gt;0")+COUNTIF(AHX21,"&lt;&gt;0"))   -   COUNTIF(Detail!$G:$G,'Rates-Service Fees'!AHX$23), 0)</f>
        <v>0</v>
      </c>
      <c r="AHY60">
        <f>IF(AHY1&lt;&gt;0,(COUNTIF(AHY9,"&lt;&gt;0")+COUNTIF(AHY12,"&lt;&gt;0")+COUNTIF(AHY15,"&lt;&gt;0")+COUNTIF(AHY18,"&lt;&gt;0")+COUNTIF(AHY21,"&lt;&gt;0"))   -   COUNTIF(Detail!$G:$G,'Rates-Service Fees'!AHY$23), 0)</f>
        <v>0</v>
      </c>
      <c r="AHZ60">
        <f>IF(AHZ1&lt;&gt;0,(COUNTIF(AHZ9,"&lt;&gt;0")+COUNTIF(AHZ12,"&lt;&gt;0")+COUNTIF(AHZ15,"&lt;&gt;0")+COUNTIF(AHZ18,"&lt;&gt;0")+COUNTIF(AHZ21,"&lt;&gt;0"))   -   COUNTIF(Detail!$G:$G,'Rates-Service Fees'!AHZ$23), 0)</f>
        <v>0</v>
      </c>
      <c r="AIA60">
        <f>IF(AIA1&lt;&gt;0,(COUNTIF(AIA9,"&lt;&gt;0")+COUNTIF(AIA12,"&lt;&gt;0")+COUNTIF(AIA15,"&lt;&gt;0")+COUNTIF(AIA18,"&lt;&gt;0")+COUNTIF(AIA21,"&lt;&gt;0"))   -   COUNTIF(Detail!$G:$G,'Rates-Service Fees'!AIA$23), 0)</f>
        <v>0</v>
      </c>
      <c r="AIB60">
        <f>IF(AIB1&lt;&gt;0,(COUNTIF(AIB9,"&lt;&gt;0")+COUNTIF(AIB12,"&lt;&gt;0")+COUNTIF(AIB15,"&lt;&gt;0")+COUNTIF(AIB18,"&lt;&gt;0")+COUNTIF(AIB21,"&lt;&gt;0"))   -   COUNTIF(Detail!$G:$G,'Rates-Service Fees'!AIB$23), 0)</f>
        <v>0</v>
      </c>
      <c r="AIC60">
        <f>IF(AIC1&lt;&gt;0,(COUNTIF(AIC9,"&lt;&gt;0")+COUNTIF(AIC12,"&lt;&gt;0")+COUNTIF(AIC15,"&lt;&gt;0")+COUNTIF(AIC18,"&lt;&gt;0")+COUNTIF(AIC21,"&lt;&gt;0"))   -   COUNTIF(Detail!$G:$G,'Rates-Service Fees'!AIC$23), 0)</f>
        <v>0</v>
      </c>
      <c r="AID60">
        <f>IF(AID1&lt;&gt;0,(COUNTIF(AID9,"&lt;&gt;0")+COUNTIF(AID12,"&lt;&gt;0")+COUNTIF(AID15,"&lt;&gt;0")+COUNTIF(AID18,"&lt;&gt;0")+COUNTIF(AID21,"&lt;&gt;0"))   -   COUNTIF(Detail!$G:$G,'Rates-Service Fees'!AID$23), 0)</f>
        <v>0</v>
      </c>
      <c r="AIE60">
        <f>IF(AIE1&lt;&gt;0,(COUNTIF(AIE9,"&lt;&gt;0")+COUNTIF(AIE12,"&lt;&gt;0")+COUNTIF(AIE15,"&lt;&gt;0")+COUNTIF(AIE18,"&lt;&gt;0")+COUNTIF(AIE21,"&lt;&gt;0"))   -   COUNTIF(Detail!$G:$G,'Rates-Service Fees'!AIE$23), 0)</f>
        <v>0</v>
      </c>
      <c r="AIF60">
        <f>IF(AIF1&lt;&gt;0,(COUNTIF(AIF9,"&lt;&gt;0")+COUNTIF(AIF12,"&lt;&gt;0")+COUNTIF(AIF15,"&lt;&gt;0")+COUNTIF(AIF18,"&lt;&gt;0")+COUNTIF(AIF21,"&lt;&gt;0"))   -   COUNTIF(Detail!$G:$G,'Rates-Service Fees'!AIF$23), 0)</f>
        <v>0</v>
      </c>
      <c r="AIG60">
        <f>IF(AIG1&lt;&gt;0,(COUNTIF(AIG9,"&lt;&gt;0")+COUNTIF(AIG12,"&lt;&gt;0")+COUNTIF(AIG15,"&lt;&gt;0")+COUNTIF(AIG18,"&lt;&gt;0")+COUNTIF(AIG21,"&lt;&gt;0"))   -   COUNTIF(Detail!$G:$G,'Rates-Service Fees'!AIG$23), 0)</f>
        <v>0</v>
      </c>
      <c r="AIH60">
        <f>IF(AIH1&lt;&gt;0,(COUNTIF(AIH9,"&lt;&gt;0")+COUNTIF(AIH12,"&lt;&gt;0")+COUNTIF(AIH15,"&lt;&gt;0")+COUNTIF(AIH18,"&lt;&gt;0")+COUNTIF(AIH21,"&lt;&gt;0"))   -   COUNTIF(Detail!$G:$G,'Rates-Service Fees'!AIH$23), 0)</f>
        <v>0</v>
      </c>
      <c r="AII60">
        <f>IF(AII1&lt;&gt;0,(COUNTIF(AII9,"&lt;&gt;0")+COUNTIF(AII12,"&lt;&gt;0")+COUNTIF(AII15,"&lt;&gt;0")+COUNTIF(AII18,"&lt;&gt;0")+COUNTIF(AII21,"&lt;&gt;0"))   -   COUNTIF(Detail!$G:$G,'Rates-Service Fees'!AII$23), 0)</f>
        <v>0</v>
      </c>
      <c r="AIJ60">
        <f>IF(AIJ1&lt;&gt;0,(COUNTIF(AIJ9,"&lt;&gt;0")+COUNTIF(AIJ12,"&lt;&gt;0")+COUNTIF(AIJ15,"&lt;&gt;0")+COUNTIF(AIJ18,"&lt;&gt;0")+COUNTIF(AIJ21,"&lt;&gt;0"))   -   COUNTIF(Detail!$G:$G,'Rates-Service Fees'!AIJ$23), 0)</f>
        <v>0</v>
      </c>
      <c r="AIK60">
        <f>IF(AIK1&lt;&gt;0,(COUNTIF(AIK9,"&lt;&gt;0")+COUNTIF(AIK12,"&lt;&gt;0")+COUNTIF(AIK15,"&lt;&gt;0")+COUNTIF(AIK18,"&lt;&gt;0")+COUNTIF(AIK21,"&lt;&gt;0"))   -   COUNTIF(Detail!$G:$G,'Rates-Service Fees'!AIK$23), 0)</f>
        <v>0</v>
      </c>
      <c r="AIL60">
        <f>IF(AIL1&lt;&gt;0,(COUNTIF(AIL9,"&lt;&gt;0")+COUNTIF(AIL12,"&lt;&gt;0")+COUNTIF(AIL15,"&lt;&gt;0")+COUNTIF(AIL18,"&lt;&gt;0")+COUNTIF(AIL21,"&lt;&gt;0"))   -   COUNTIF(Detail!$G:$G,'Rates-Service Fees'!AIL$23), 0)</f>
        <v>0</v>
      </c>
      <c r="AIM60">
        <f>IF(AIM1&lt;&gt;0,(COUNTIF(AIM9,"&lt;&gt;0")+COUNTIF(AIM12,"&lt;&gt;0")+COUNTIF(AIM15,"&lt;&gt;0")+COUNTIF(AIM18,"&lt;&gt;0")+COUNTIF(AIM21,"&lt;&gt;0"))   -   COUNTIF(Detail!$G:$G,'Rates-Service Fees'!AIM$23), 0)</f>
        <v>0</v>
      </c>
      <c r="AIN60">
        <f>IF(AIN1&lt;&gt;0,(COUNTIF(AIN9,"&lt;&gt;0")+COUNTIF(AIN12,"&lt;&gt;0")+COUNTIF(AIN15,"&lt;&gt;0")+COUNTIF(AIN18,"&lt;&gt;0")+COUNTIF(AIN21,"&lt;&gt;0"))   -   COUNTIF(Detail!$G:$G,'Rates-Service Fees'!AIN$23), 0)</f>
        <v>0</v>
      </c>
      <c r="AIO60">
        <f>IF(AIO1&lt;&gt;0,(COUNTIF(AIO9,"&lt;&gt;0")+COUNTIF(AIO12,"&lt;&gt;0")+COUNTIF(AIO15,"&lt;&gt;0")+COUNTIF(AIO18,"&lt;&gt;0")+COUNTIF(AIO21,"&lt;&gt;0"))   -   COUNTIF(Detail!$G:$G,'Rates-Service Fees'!AIO$23), 0)</f>
        <v>0</v>
      </c>
      <c r="AIP60">
        <f>IF(AIP1&lt;&gt;0,(COUNTIF(AIP9,"&lt;&gt;0")+COUNTIF(AIP12,"&lt;&gt;0")+COUNTIF(AIP15,"&lt;&gt;0")+COUNTIF(AIP18,"&lt;&gt;0")+COUNTIF(AIP21,"&lt;&gt;0"))   -   COUNTIF(Detail!$G:$G,'Rates-Service Fees'!AIP$23), 0)</f>
        <v>0</v>
      </c>
      <c r="AIQ60">
        <f>IF(AIQ1&lt;&gt;0,(COUNTIF(AIQ9,"&lt;&gt;0")+COUNTIF(AIQ12,"&lt;&gt;0")+COUNTIF(AIQ15,"&lt;&gt;0")+COUNTIF(AIQ18,"&lt;&gt;0")+COUNTIF(AIQ21,"&lt;&gt;0"))   -   COUNTIF(Detail!$G:$G,'Rates-Service Fees'!AIQ$23), 0)</f>
        <v>0</v>
      </c>
      <c r="AIR60">
        <f>IF(AIR1&lt;&gt;0,(COUNTIF(AIR9,"&lt;&gt;0")+COUNTIF(AIR12,"&lt;&gt;0")+COUNTIF(AIR15,"&lt;&gt;0")+COUNTIF(AIR18,"&lt;&gt;0")+COUNTIF(AIR21,"&lt;&gt;0"))   -   COUNTIF(Detail!$G:$G,'Rates-Service Fees'!AIR$23), 0)</f>
        <v>0</v>
      </c>
      <c r="AIS60">
        <f>IF(AIS1&lt;&gt;0,(COUNTIF(AIS9,"&lt;&gt;0")+COUNTIF(AIS12,"&lt;&gt;0")+COUNTIF(AIS15,"&lt;&gt;0")+COUNTIF(AIS18,"&lt;&gt;0")+COUNTIF(AIS21,"&lt;&gt;0"))   -   COUNTIF(Detail!$G:$G,'Rates-Service Fees'!AIS$23), 0)</f>
        <v>0</v>
      </c>
      <c r="AIT60">
        <f>IF(AIT1&lt;&gt;0,(COUNTIF(AIT9,"&lt;&gt;0")+COUNTIF(AIT12,"&lt;&gt;0")+COUNTIF(AIT15,"&lt;&gt;0")+COUNTIF(AIT18,"&lt;&gt;0")+COUNTIF(AIT21,"&lt;&gt;0"))   -   COUNTIF(Detail!$G:$G,'Rates-Service Fees'!AIT$23), 0)</f>
        <v>0</v>
      </c>
      <c r="AIU60">
        <f>IF(AIU1&lt;&gt;0,(COUNTIF(AIU9,"&lt;&gt;0")+COUNTIF(AIU12,"&lt;&gt;0")+COUNTIF(AIU15,"&lt;&gt;0")+COUNTIF(AIU18,"&lt;&gt;0")+COUNTIF(AIU21,"&lt;&gt;0"))   -   COUNTIF(Detail!$G:$G,'Rates-Service Fees'!AIU$23), 0)</f>
        <v>0</v>
      </c>
      <c r="AIV60">
        <f>IF(AIV1&lt;&gt;0,(COUNTIF(AIV9,"&lt;&gt;0")+COUNTIF(AIV12,"&lt;&gt;0")+COUNTIF(AIV15,"&lt;&gt;0")+COUNTIF(AIV18,"&lt;&gt;0")+COUNTIF(AIV21,"&lt;&gt;0"))   -   COUNTIF(Detail!$G:$G,'Rates-Service Fees'!AIV$23), 0)</f>
        <v>0</v>
      </c>
      <c r="AIW60">
        <f>IF(AIW1&lt;&gt;0,(COUNTIF(AIW9,"&lt;&gt;0")+COUNTIF(AIW12,"&lt;&gt;0")+COUNTIF(AIW15,"&lt;&gt;0")+COUNTIF(AIW18,"&lt;&gt;0")+COUNTIF(AIW21,"&lt;&gt;0"))   -   COUNTIF(Detail!$G:$G,'Rates-Service Fees'!AIW$23), 0)</f>
        <v>0</v>
      </c>
      <c r="AIX60">
        <f>IF(AIX1&lt;&gt;0,(COUNTIF(AIX9,"&lt;&gt;0")+COUNTIF(AIX12,"&lt;&gt;0")+COUNTIF(AIX15,"&lt;&gt;0")+COUNTIF(AIX18,"&lt;&gt;0")+COUNTIF(AIX21,"&lt;&gt;0"))   -   COUNTIF(Detail!$G:$G,'Rates-Service Fees'!AIX$23), 0)</f>
        <v>0</v>
      </c>
      <c r="AIY60">
        <f>IF(AIY1&lt;&gt;0,(COUNTIF(AIY9,"&lt;&gt;0")+COUNTIF(AIY12,"&lt;&gt;0")+COUNTIF(AIY15,"&lt;&gt;0")+COUNTIF(AIY18,"&lt;&gt;0")+COUNTIF(AIY21,"&lt;&gt;0"))   -   COUNTIF(Detail!$G:$G,'Rates-Service Fees'!AIY$23), 0)</f>
        <v>0</v>
      </c>
      <c r="AIZ60">
        <f>IF(AIZ1&lt;&gt;0,(COUNTIF(AIZ9,"&lt;&gt;0")+COUNTIF(AIZ12,"&lt;&gt;0")+COUNTIF(AIZ15,"&lt;&gt;0")+COUNTIF(AIZ18,"&lt;&gt;0")+COUNTIF(AIZ21,"&lt;&gt;0"))   -   COUNTIF(Detail!$G:$G,'Rates-Service Fees'!AIZ$23), 0)</f>
        <v>0</v>
      </c>
      <c r="AJA60">
        <f>IF(AJA1&lt;&gt;0,(COUNTIF(AJA9,"&lt;&gt;0")+COUNTIF(AJA12,"&lt;&gt;0")+COUNTIF(AJA15,"&lt;&gt;0")+COUNTIF(AJA18,"&lt;&gt;0")+COUNTIF(AJA21,"&lt;&gt;0"))   -   COUNTIF(Detail!$G:$G,'Rates-Service Fees'!AJA$23), 0)</f>
        <v>0</v>
      </c>
      <c r="AJB60">
        <f>IF(AJB1&lt;&gt;0,(COUNTIF(AJB9,"&lt;&gt;0")+COUNTIF(AJB12,"&lt;&gt;0")+COUNTIF(AJB15,"&lt;&gt;0")+COUNTIF(AJB18,"&lt;&gt;0")+COUNTIF(AJB21,"&lt;&gt;0"))   -   COUNTIF(Detail!$G:$G,'Rates-Service Fees'!AJB$23), 0)</f>
        <v>0</v>
      </c>
      <c r="AJC60">
        <f>IF(AJC1&lt;&gt;0,(COUNTIF(AJC9,"&lt;&gt;0")+COUNTIF(AJC12,"&lt;&gt;0")+COUNTIF(AJC15,"&lt;&gt;0")+COUNTIF(AJC18,"&lt;&gt;0")+COUNTIF(AJC21,"&lt;&gt;0"))   -   COUNTIF(Detail!$G:$G,'Rates-Service Fees'!AJC$23), 0)</f>
        <v>0</v>
      </c>
      <c r="AJD60">
        <f>IF(AJD1&lt;&gt;0,(COUNTIF(AJD9,"&lt;&gt;0")+COUNTIF(AJD12,"&lt;&gt;0")+COUNTIF(AJD15,"&lt;&gt;0")+COUNTIF(AJD18,"&lt;&gt;0")+COUNTIF(AJD21,"&lt;&gt;0"))   -   COUNTIF(Detail!$G:$G,'Rates-Service Fees'!AJD$23), 0)</f>
        <v>0</v>
      </c>
      <c r="AJE60">
        <f>IF(AJE1&lt;&gt;0,(COUNTIF(AJE9,"&lt;&gt;0")+COUNTIF(AJE12,"&lt;&gt;0")+COUNTIF(AJE15,"&lt;&gt;0")+COUNTIF(AJE18,"&lt;&gt;0")+COUNTIF(AJE21,"&lt;&gt;0"))   -   COUNTIF(Detail!$G:$G,'Rates-Service Fees'!AJE$23), 0)</f>
        <v>0</v>
      </c>
      <c r="AJF60">
        <f>IF(AJF1&lt;&gt;0,(COUNTIF(AJF9,"&lt;&gt;0")+COUNTIF(AJF12,"&lt;&gt;0")+COUNTIF(AJF15,"&lt;&gt;0")+COUNTIF(AJF18,"&lt;&gt;0")+COUNTIF(AJF21,"&lt;&gt;0"))   -   COUNTIF(Detail!$G:$G,'Rates-Service Fees'!AJF$23), 0)</f>
        <v>0</v>
      </c>
      <c r="AJG60">
        <f>IF(AJG1&lt;&gt;0,(COUNTIF(AJG9,"&lt;&gt;0")+COUNTIF(AJG12,"&lt;&gt;0")+COUNTIF(AJG15,"&lt;&gt;0")+COUNTIF(AJG18,"&lt;&gt;0")+COUNTIF(AJG21,"&lt;&gt;0"))   -   COUNTIF(Detail!$G:$G,'Rates-Service Fees'!AJG$23), 0)</f>
        <v>0</v>
      </c>
      <c r="AJH60">
        <f>IF(AJH1&lt;&gt;0,(COUNTIF(AJH9,"&lt;&gt;0")+COUNTIF(AJH12,"&lt;&gt;0")+COUNTIF(AJH15,"&lt;&gt;0")+COUNTIF(AJH18,"&lt;&gt;0")+COUNTIF(AJH21,"&lt;&gt;0"))   -   COUNTIF(Detail!$G:$G,'Rates-Service Fees'!AJH$23), 0)</f>
        <v>0</v>
      </c>
      <c r="AJI60">
        <f>IF(AJI1&lt;&gt;0,(COUNTIF(AJI9,"&lt;&gt;0")+COUNTIF(AJI12,"&lt;&gt;0")+COUNTIF(AJI15,"&lt;&gt;0")+COUNTIF(AJI18,"&lt;&gt;0")+COUNTIF(AJI21,"&lt;&gt;0"))   -   COUNTIF(Detail!$G:$G,'Rates-Service Fees'!AJI$23), 0)</f>
        <v>0</v>
      </c>
      <c r="AJJ60">
        <f>IF(AJJ1&lt;&gt;0,(COUNTIF(AJJ9,"&lt;&gt;0")+COUNTIF(AJJ12,"&lt;&gt;0")+COUNTIF(AJJ15,"&lt;&gt;0")+COUNTIF(AJJ18,"&lt;&gt;0")+COUNTIF(AJJ21,"&lt;&gt;0"))   -   COUNTIF(Detail!$G:$G,'Rates-Service Fees'!AJJ$23), 0)</f>
        <v>0</v>
      </c>
      <c r="AJK60">
        <f>IF(AJK1&lt;&gt;0,(COUNTIF(AJK9,"&lt;&gt;0")+COUNTIF(AJK12,"&lt;&gt;0")+COUNTIF(AJK15,"&lt;&gt;0")+COUNTIF(AJK18,"&lt;&gt;0")+COUNTIF(AJK21,"&lt;&gt;0"))   -   COUNTIF(Detail!$G:$G,'Rates-Service Fees'!AJK$23), 0)</f>
        <v>0</v>
      </c>
      <c r="AJL60">
        <f>IF(AJL1&lt;&gt;0,(COUNTIF(AJL9,"&lt;&gt;0")+COUNTIF(AJL12,"&lt;&gt;0")+COUNTIF(AJL15,"&lt;&gt;0")+COUNTIF(AJL18,"&lt;&gt;0")+COUNTIF(AJL21,"&lt;&gt;0"))   -   COUNTIF(Detail!$G:$G,'Rates-Service Fees'!AJL$23), 0)</f>
        <v>0</v>
      </c>
      <c r="AJM60">
        <f>IF(AJM1&lt;&gt;0,(COUNTIF(AJM9,"&lt;&gt;0")+COUNTIF(AJM12,"&lt;&gt;0")+COUNTIF(AJM15,"&lt;&gt;0")+COUNTIF(AJM18,"&lt;&gt;0")+COUNTIF(AJM21,"&lt;&gt;0"))   -   COUNTIF(Detail!$G:$G,'Rates-Service Fees'!AJM$23), 0)</f>
        <v>0</v>
      </c>
      <c r="AJN60">
        <f>IF(AJN1&lt;&gt;0,(COUNTIF(AJN9,"&lt;&gt;0")+COUNTIF(AJN12,"&lt;&gt;0")+COUNTIF(AJN15,"&lt;&gt;0")+COUNTIF(AJN18,"&lt;&gt;0")+COUNTIF(AJN21,"&lt;&gt;0"))   -   COUNTIF(Detail!$G:$G,'Rates-Service Fees'!AJN$23), 0)</f>
        <v>0</v>
      </c>
      <c r="AJO60">
        <f>IF(AJO1&lt;&gt;0,(COUNTIF(AJO9,"&lt;&gt;0")+COUNTIF(AJO12,"&lt;&gt;0")+COUNTIF(AJO15,"&lt;&gt;0")+COUNTIF(AJO18,"&lt;&gt;0")+COUNTIF(AJO21,"&lt;&gt;0"))   -   COUNTIF(Detail!$G:$G,'Rates-Service Fees'!AJO$23), 0)</f>
        <v>0</v>
      </c>
      <c r="AJP60">
        <f>IF(AJP1&lt;&gt;0,(COUNTIF(AJP9,"&lt;&gt;0")+COUNTIF(AJP12,"&lt;&gt;0")+COUNTIF(AJP15,"&lt;&gt;0")+COUNTIF(AJP18,"&lt;&gt;0")+COUNTIF(AJP21,"&lt;&gt;0"))   -   COUNTIF(Detail!$G:$G,'Rates-Service Fees'!AJP$23), 0)</f>
        <v>0</v>
      </c>
      <c r="AJQ60">
        <f>IF(AJQ1&lt;&gt;0,(COUNTIF(AJQ9,"&lt;&gt;0")+COUNTIF(AJQ12,"&lt;&gt;0")+COUNTIF(AJQ15,"&lt;&gt;0")+COUNTIF(AJQ18,"&lt;&gt;0")+COUNTIF(AJQ21,"&lt;&gt;0"))   -   COUNTIF(Detail!$G:$G,'Rates-Service Fees'!AJQ$23), 0)</f>
        <v>0</v>
      </c>
      <c r="AJR60">
        <f>IF(AJR1&lt;&gt;0,(COUNTIF(AJR9,"&lt;&gt;0")+COUNTIF(AJR12,"&lt;&gt;0")+COUNTIF(AJR15,"&lt;&gt;0")+COUNTIF(AJR18,"&lt;&gt;0")+COUNTIF(AJR21,"&lt;&gt;0"))   -   COUNTIF(Detail!$G:$G,'Rates-Service Fees'!AJR$23), 0)</f>
        <v>0</v>
      </c>
      <c r="AJS60">
        <f>IF(AJS1&lt;&gt;0,(COUNTIF(AJS9,"&lt;&gt;0")+COUNTIF(AJS12,"&lt;&gt;0")+COUNTIF(AJS15,"&lt;&gt;0")+COUNTIF(AJS18,"&lt;&gt;0")+COUNTIF(AJS21,"&lt;&gt;0"))   -   COUNTIF(Detail!$G:$G,'Rates-Service Fees'!AJS$23), 0)</f>
        <v>0</v>
      </c>
      <c r="AJT60">
        <f>IF(AJT1&lt;&gt;0,(COUNTIF(AJT9,"&lt;&gt;0")+COUNTIF(AJT12,"&lt;&gt;0")+COUNTIF(AJT15,"&lt;&gt;0")+COUNTIF(AJT18,"&lt;&gt;0")+COUNTIF(AJT21,"&lt;&gt;0"))   -   COUNTIF(Detail!$G:$G,'Rates-Service Fees'!AJT$23), 0)</f>
        <v>0</v>
      </c>
      <c r="AJU60">
        <f>IF(AJU1&lt;&gt;0,(COUNTIF(AJU9,"&lt;&gt;0")+COUNTIF(AJU12,"&lt;&gt;0")+COUNTIF(AJU15,"&lt;&gt;0")+COUNTIF(AJU18,"&lt;&gt;0")+COUNTIF(AJU21,"&lt;&gt;0"))   -   COUNTIF(Detail!$G:$G,'Rates-Service Fees'!AJU$23), 0)</f>
        <v>0</v>
      </c>
      <c r="AJV60">
        <f>IF(AJV1&lt;&gt;0,(COUNTIF(AJV9,"&lt;&gt;0")+COUNTIF(AJV12,"&lt;&gt;0")+COUNTIF(AJV15,"&lt;&gt;0")+COUNTIF(AJV18,"&lt;&gt;0")+COUNTIF(AJV21,"&lt;&gt;0"))   -   COUNTIF(Detail!$G:$G,'Rates-Service Fees'!AJV$23), 0)</f>
        <v>0</v>
      </c>
      <c r="AJW60">
        <f>IF(AJW1&lt;&gt;0,(COUNTIF(AJW9,"&lt;&gt;0")+COUNTIF(AJW12,"&lt;&gt;0")+COUNTIF(AJW15,"&lt;&gt;0")+COUNTIF(AJW18,"&lt;&gt;0")+COUNTIF(AJW21,"&lt;&gt;0"))   -   COUNTIF(Detail!$G:$G,'Rates-Service Fees'!AJW$23), 0)</f>
        <v>0</v>
      </c>
      <c r="AJX60">
        <f>IF(AJX1&lt;&gt;0,(COUNTIF(AJX9,"&lt;&gt;0")+COUNTIF(AJX12,"&lt;&gt;0")+COUNTIF(AJX15,"&lt;&gt;0")+COUNTIF(AJX18,"&lt;&gt;0")+COUNTIF(AJX21,"&lt;&gt;0"))   -   COUNTIF(Detail!$G:$G,'Rates-Service Fees'!AJX$23), 0)</f>
        <v>0</v>
      </c>
      <c r="AJY60">
        <f>IF(AJY1&lt;&gt;0,(COUNTIF(AJY9,"&lt;&gt;0")+COUNTIF(AJY12,"&lt;&gt;0")+COUNTIF(AJY15,"&lt;&gt;0")+COUNTIF(AJY18,"&lt;&gt;0")+COUNTIF(AJY21,"&lt;&gt;0"))   -   COUNTIF(Detail!$G:$G,'Rates-Service Fees'!AJY$23), 0)</f>
        <v>0</v>
      </c>
      <c r="AJZ60">
        <f>IF(AJZ1&lt;&gt;0,(COUNTIF(AJZ9,"&lt;&gt;0")+COUNTIF(AJZ12,"&lt;&gt;0")+COUNTIF(AJZ15,"&lt;&gt;0")+COUNTIF(AJZ18,"&lt;&gt;0")+COUNTIF(AJZ21,"&lt;&gt;0"))   -   COUNTIF(Detail!$G:$G,'Rates-Service Fees'!AJZ$23), 0)</f>
        <v>0</v>
      </c>
      <c r="AKA60">
        <f>IF(AKA1&lt;&gt;0,(COUNTIF(AKA9,"&lt;&gt;0")+COUNTIF(AKA12,"&lt;&gt;0")+COUNTIF(AKA15,"&lt;&gt;0")+COUNTIF(AKA18,"&lt;&gt;0")+COUNTIF(AKA21,"&lt;&gt;0"))   -   COUNTIF(Detail!$G:$G,'Rates-Service Fees'!AKA$23), 0)</f>
        <v>0</v>
      </c>
      <c r="AKB60">
        <f>IF(AKB1&lt;&gt;0,(COUNTIF(AKB9,"&lt;&gt;0")+COUNTIF(AKB12,"&lt;&gt;0")+COUNTIF(AKB15,"&lt;&gt;0")+COUNTIF(AKB18,"&lt;&gt;0")+COUNTIF(AKB21,"&lt;&gt;0"))   -   COUNTIF(Detail!$G:$G,'Rates-Service Fees'!AKB$23), 0)</f>
        <v>0</v>
      </c>
      <c r="AKC60">
        <f>IF(AKC1&lt;&gt;0,(COUNTIF(AKC9,"&lt;&gt;0")+COUNTIF(AKC12,"&lt;&gt;0")+COUNTIF(AKC15,"&lt;&gt;0")+COUNTIF(AKC18,"&lt;&gt;0")+COUNTIF(AKC21,"&lt;&gt;0"))   -   COUNTIF(Detail!$G:$G,'Rates-Service Fees'!AKC$23), 0)</f>
        <v>0</v>
      </c>
      <c r="AKD60">
        <f>IF(AKD1&lt;&gt;0,(COUNTIF(AKD9,"&lt;&gt;0")+COUNTIF(AKD12,"&lt;&gt;0")+COUNTIF(AKD15,"&lt;&gt;0")+COUNTIF(AKD18,"&lt;&gt;0")+COUNTIF(AKD21,"&lt;&gt;0"))   -   COUNTIF(Detail!$G:$G,'Rates-Service Fees'!AKD$23), 0)</f>
        <v>0</v>
      </c>
      <c r="AKE60">
        <f>IF(AKE1&lt;&gt;0,(COUNTIF(AKE9,"&lt;&gt;0")+COUNTIF(AKE12,"&lt;&gt;0")+COUNTIF(AKE15,"&lt;&gt;0")+COUNTIF(AKE18,"&lt;&gt;0")+COUNTIF(AKE21,"&lt;&gt;0"))   -   COUNTIF(Detail!$G:$G,'Rates-Service Fees'!AKE$23), 0)</f>
        <v>0</v>
      </c>
      <c r="AKF60">
        <f>IF(AKF1&lt;&gt;0,(COUNTIF(AKF9,"&lt;&gt;0")+COUNTIF(AKF12,"&lt;&gt;0")+COUNTIF(AKF15,"&lt;&gt;0")+COUNTIF(AKF18,"&lt;&gt;0")+COUNTIF(AKF21,"&lt;&gt;0"))   -   COUNTIF(Detail!$G:$G,'Rates-Service Fees'!AKF$23), 0)</f>
        <v>0</v>
      </c>
      <c r="AKG60">
        <f>IF(AKG1&lt;&gt;0,(COUNTIF(AKG9,"&lt;&gt;0")+COUNTIF(AKG12,"&lt;&gt;0")+COUNTIF(AKG15,"&lt;&gt;0")+COUNTIF(AKG18,"&lt;&gt;0")+COUNTIF(AKG21,"&lt;&gt;0"))   -   COUNTIF(Detail!$G:$G,'Rates-Service Fees'!AKG$23), 0)</f>
        <v>0</v>
      </c>
      <c r="AKH60">
        <f>IF(AKH1&lt;&gt;0,(COUNTIF(AKH9,"&lt;&gt;0")+COUNTIF(AKH12,"&lt;&gt;0")+COUNTIF(AKH15,"&lt;&gt;0")+COUNTIF(AKH18,"&lt;&gt;0")+COUNTIF(AKH21,"&lt;&gt;0"))   -   COUNTIF(Detail!$G:$G,'Rates-Service Fees'!AKH$23), 0)</f>
        <v>0</v>
      </c>
      <c r="AKI60">
        <f>IF(AKI1&lt;&gt;0,(COUNTIF(AKI9,"&lt;&gt;0")+COUNTIF(AKI12,"&lt;&gt;0")+COUNTIF(AKI15,"&lt;&gt;0")+COUNTIF(AKI18,"&lt;&gt;0")+COUNTIF(AKI21,"&lt;&gt;0"))   -   COUNTIF(Detail!$G:$G,'Rates-Service Fees'!AKI$23), 0)</f>
        <v>0</v>
      </c>
      <c r="AKJ60">
        <f>IF(AKJ1&lt;&gt;0,(COUNTIF(AKJ9,"&lt;&gt;0")+COUNTIF(AKJ12,"&lt;&gt;0")+COUNTIF(AKJ15,"&lt;&gt;0")+COUNTIF(AKJ18,"&lt;&gt;0")+COUNTIF(AKJ21,"&lt;&gt;0"))   -   COUNTIF(Detail!$G:$G,'Rates-Service Fees'!AKJ$23), 0)</f>
        <v>0</v>
      </c>
      <c r="AKK60">
        <f>IF(AKK1&lt;&gt;0,(COUNTIF(AKK9,"&lt;&gt;0")+COUNTIF(AKK12,"&lt;&gt;0")+COUNTIF(AKK15,"&lt;&gt;0")+COUNTIF(AKK18,"&lt;&gt;0")+COUNTIF(AKK21,"&lt;&gt;0"))   -   COUNTIF(Detail!$G:$G,'Rates-Service Fees'!AKK$23), 0)</f>
        <v>0</v>
      </c>
      <c r="AKL60">
        <f>IF(AKL1&lt;&gt;0,(COUNTIF(AKL9,"&lt;&gt;0")+COUNTIF(AKL12,"&lt;&gt;0")+COUNTIF(AKL15,"&lt;&gt;0")+COUNTIF(AKL18,"&lt;&gt;0")+COUNTIF(AKL21,"&lt;&gt;0"))   -   COUNTIF(Detail!$G:$G,'Rates-Service Fees'!AKL$23), 0)</f>
        <v>0</v>
      </c>
      <c r="AKM60">
        <f>IF(AKM1&lt;&gt;0,(COUNTIF(AKM9,"&lt;&gt;0")+COUNTIF(AKM12,"&lt;&gt;0")+COUNTIF(AKM15,"&lt;&gt;0")+COUNTIF(AKM18,"&lt;&gt;0")+COUNTIF(AKM21,"&lt;&gt;0"))   -   COUNTIF(Detail!$G:$G,'Rates-Service Fees'!AKM$23), 0)</f>
        <v>0</v>
      </c>
      <c r="AKN60">
        <f>IF(AKN1&lt;&gt;0,(COUNTIF(AKN9,"&lt;&gt;0")+COUNTIF(AKN12,"&lt;&gt;0")+COUNTIF(AKN15,"&lt;&gt;0")+COUNTIF(AKN18,"&lt;&gt;0")+COUNTIF(AKN21,"&lt;&gt;0"))   -   COUNTIF(Detail!$G:$G,'Rates-Service Fees'!AKN$23), 0)</f>
        <v>0</v>
      </c>
      <c r="AKO60">
        <f>IF(AKO1&lt;&gt;0,(COUNTIF(AKO9,"&lt;&gt;0")+COUNTIF(AKO12,"&lt;&gt;0")+COUNTIF(AKO15,"&lt;&gt;0")+COUNTIF(AKO18,"&lt;&gt;0")+COUNTIF(AKO21,"&lt;&gt;0"))   -   COUNTIF(Detail!$G:$G,'Rates-Service Fees'!AKO$23), 0)</f>
        <v>0</v>
      </c>
      <c r="AKP60">
        <f>IF(AKP1&lt;&gt;0,(COUNTIF(AKP9,"&lt;&gt;0")+COUNTIF(AKP12,"&lt;&gt;0")+COUNTIF(AKP15,"&lt;&gt;0")+COUNTIF(AKP18,"&lt;&gt;0")+COUNTIF(AKP21,"&lt;&gt;0"))   -   COUNTIF(Detail!$G:$G,'Rates-Service Fees'!AKP$23), 0)</f>
        <v>0</v>
      </c>
      <c r="AKQ60">
        <f>IF(AKQ1&lt;&gt;0,(COUNTIF(AKQ9,"&lt;&gt;0")+COUNTIF(AKQ12,"&lt;&gt;0")+COUNTIF(AKQ15,"&lt;&gt;0")+COUNTIF(AKQ18,"&lt;&gt;0")+COUNTIF(AKQ21,"&lt;&gt;0"))   -   COUNTIF(Detail!$G:$G,'Rates-Service Fees'!AKQ$23), 0)</f>
        <v>0</v>
      </c>
      <c r="AKR60">
        <f>IF(AKR1&lt;&gt;0,(COUNTIF(AKR9,"&lt;&gt;0")+COUNTIF(AKR12,"&lt;&gt;0")+COUNTIF(AKR15,"&lt;&gt;0")+COUNTIF(AKR18,"&lt;&gt;0")+COUNTIF(AKR21,"&lt;&gt;0"))   -   COUNTIF(Detail!$G:$G,'Rates-Service Fees'!AKR$23), 0)</f>
        <v>0</v>
      </c>
      <c r="AKS60">
        <f>IF(AKS1&lt;&gt;0,(COUNTIF(AKS9,"&lt;&gt;0")+COUNTIF(AKS12,"&lt;&gt;0")+COUNTIF(AKS15,"&lt;&gt;0")+COUNTIF(AKS18,"&lt;&gt;0")+COUNTIF(AKS21,"&lt;&gt;0"))   -   COUNTIF(Detail!$G:$G,'Rates-Service Fees'!AKS$23), 0)</f>
        <v>0</v>
      </c>
      <c r="AKT60">
        <f>IF(AKT1&lt;&gt;0,(COUNTIF(AKT9,"&lt;&gt;0")+COUNTIF(AKT12,"&lt;&gt;0")+COUNTIF(AKT15,"&lt;&gt;0")+COUNTIF(AKT18,"&lt;&gt;0")+COUNTIF(AKT21,"&lt;&gt;0"))   -   COUNTIF(Detail!$G:$G,'Rates-Service Fees'!AKT$23), 0)</f>
        <v>0</v>
      </c>
      <c r="AKU60">
        <f>IF(AKU1&lt;&gt;0,(COUNTIF(AKU9,"&lt;&gt;0")+COUNTIF(AKU12,"&lt;&gt;0")+COUNTIF(AKU15,"&lt;&gt;0")+COUNTIF(AKU18,"&lt;&gt;0")+COUNTIF(AKU21,"&lt;&gt;0"))   -   COUNTIF(Detail!$G:$G,'Rates-Service Fees'!AKU$23), 0)</f>
        <v>0</v>
      </c>
      <c r="AKV60">
        <f>IF(AKV1&lt;&gt;0,(COUNTIF(AKV9,"&lt;&gt;0")+COUNTIF(AKV12,"&lt;&gt;0")+COUNTIF(AKV15,"&lt;&gt;0")+COUNTIF(AKV18,"&lt;&gt;0")+COUNTIF(AKV21,"&lt;&gt;0"))   -   COUNTIF(Detail!$G:$G,'Rates-Service Fees'!AKV$23), 0)</f>
        <v>0</v>
      </c>
      <c r="AKW60">
        <f>IF(AKW1&lt;&gt;0,(COUNTIF(AKW9,"&lt;&gt;0")+COUNTIF(AKW12,"&lt;&gt;0")+COUNTIF(AKW15,"&lt;&gt;0")+COUNTIF(AKW18,"&lt;&gt;0")+COUNTIF(AKW21,"&lt;&gt;0"))   -   COUNTIF(Detail!$G:$G,'Rates-Service Fees'!AKW$23), 0)</f>
        <v>0</v>
      </c>
      <c r="AKX60">
        <f>IF(AKX1&lt;&gt;0,(COUNTIF(AKX9,"&lt;&gt;0")+COUNTIF(AKX12,"&lt;&gt;0")+COUNTIF(AKX15,"&lt;&gt;0")+COUNTIF(AKX18,"&lt;&gt;0")+COUNTIF(AKX21,"&lt;&gt;0"))   -   COUNTIF(Detail!$G:$G,'Rates-Service Fees'!AKX$23), 0)</f>
        <v>0</v>
      </c>
      <c r="AKY60">
        <f>IF(AKY1&lt;&gt;0,(COUNTIF(AKY9,"&lt;&gt;0")+COUNTIF(AKY12,"&lt;&gt;0")+COUNTIF(AKY15,"&lt;&gt;0")+COUNTIF(AKY18,"&lt;&gt;0")+COUNTIF(AKY21,"&lt;&gt;0"))   -   COUNTIF(Detail!$G:$G,'Rates-Service Fees'!AKY$23), 0)</f>
        <v>0</v>
      </c>
      <c r="AKZ60">
        <f>IF(AKZ1&lt;&gt;0,(COUNTIF(AKZ9,"&lt;&gt;0")+COUNTIF(AKZ12,"&lt;&gt;0")+COUNTIF(AKZ15,"&lt;&gt;0")+COUNTIF(AKZ18,"&lt;&gt;0")+COUNTIF(AKZ21,"&lt;&gt;0"))   -   COUNTIF(Detail!$G:$G,'Rates-Service Fees'!AKZ$23), 0)</f>
        <v>0</v>
      </c>
      <c r="ALA60">
        <f>IF(ALA1&lt;&gt;0,(COUNTIF(ALA9,"&lt;&gt;0")+COUNTIF(ALA12,"&lt;&gt;0")+COUNTIF(ALA15,"&lt;&gt;0")+COUNTIF(ALA18,"&lt;&gt;0")+COUNTIF(ALA21,"&lt;&gt;0"))   -   COUNTIF(Detail!$G:$G,'Rates-Service Fees'!ALA$23), 0)</f>
        <v>0</v>
      </c>
      <c r="ALB60">
        <f>IF(ALB1&lt;&gt;0,(COUNTIF(ALB9,"&lt;&gt;0")+COUNTIF(ALB12,"&lt;&gt;0")+COUNTIF(ALB15,"&lt;&gt;0")+COUNTIF(ALB18,"&lt;&gt;0")+COUNTIF(ALB21,"&lt;&gt;0"))   -   COUNTIF(Detail!$G:$G,'Rates-Service Fees'!ALB$23), 0)</f>
        <v>0</v>
      </c>
      <c r="ALC60">
        <f>IF(ALC1&lt;&gt;0,(COUNTIF(ALC9,"&lt;&gt;0")+COUNTIF(ALC12,"&lt;&gt;0")+COUNTIF(ALC15,"&lt;&gt;0")+COUNTIF(ALC18,"&lt;&gt;0")+COUNTIF(ALC21,"&lt;&gt;0"))   -   COUNTIF(Detail!$G:$G,'Rates-Service Fees'!ALC$23), 0)</f>
        <v>0</v>
      </c>
      <c r="ALD60">
        <f>IF(ALD1&lt;&gt;0,(COUNTIF(ALD9,"&lt;&gt;0")+COUNTIF(ALD12,"&lt;&gt;0")+COUNTIF(ALD15,"&lt;&gt;0")+COUNTIF(ALD18,"&lt;&gt;0")+COUNTIF(ALD21,"&lt;&gt;0"))   -   COUNTIF(Detail!$G:$G,'Rates-Service Fees'!ALD$23), 0)</f>
        <v>0</v>
      </c>
      <c r="ALE60">
        <f>IF(ALE1&lt;&gt;0,(COUNTIF(ALE9,"&lt;&gt;0")+COUNTIF(ALE12,"&lt;&gt;0")+COUNTIF(ALE15,"&lt;&gt;0")+COUNTIF(ALE18,"&lt;&gt;0")+COUNTIF(ALE21,"&lt;&gt;0"))   -   COUNTIF(Detail!$G:$G,'Rates-Service Fees'!ALE$23), 0)</f>
        <v>0</v>
      </c>
      <c r="ALF60">
        <f>IF(ALF1&lt;&gt;0,(COUNTIF(ALF9,"&lt;&gt;0")+COUNTIF(ALF12,"&lt;&gt;0")+COUNTIF(ALF15,"&lt;&gt;0")+COUNTIF(ALF18,"&lt;&gt;0")+COUNTIF(ALF21,"&lt;&gt;0"))   -   COUNTIF(Detail!$G:$G,'Rates-Service Fees'!ALF$23), 0)</f>
        <v>0</v>
      </c>
      <c r="ALG60">
        <f>IF(ALG1&lt;&gt;0,(COUNTIF(ALG9,"&lt;&gt;0")+COUNTIF(ALG12,"&lt;&gt;0")+COUNTIF(ALG15,"&lt;&gt;0")+COUNTIF(ALG18,"&lt;&gt;0")+COUNTIF(ALG21,"&lt;&gt;0"))   -   COUNTIF(Detail!$G:$G,'Rates-Service Fees'!ALG$23), 0)</f>
        <v>0</v>
      </c>
      <c r="ALH60">
        <f>IF(ALH1&lt;&gt;0,(COUNTIF(ALH9,"&lt;&gt;0")+COUNTIF(ALH12,"&lt;&gt;0")+COUNTIF(ALH15,"&lt;&gt;0")+COUNTIF(ALH18,"&lt;&gt;0")+COUNTIF(ALH21,"&lt;&gt;0"))   -   COUNTIF(Detail!$G:$G,'Rates-Service Fees'!ALH$23), 0)</f>
        <v>0</v>
      </c>
      <c r="ALI60">
        <f>IF(ALI1&lt;&gt;0,(COUNTIF(ALI9,"&lt;&gt;0")+COUNTIF(ALI12,"&lt;&gt;0")+COUNTIF(ALI15,"&lt;&gt;0")+COUNTIF(ALI18,"&lt;&gt;0")+COUNTIF(ALI21,"&lt;&gt;0"))   -   COUNTIF(Detail!$G:$G,'Rates-Service Fees'!ALI$23), 0)</f>
        <v>0</v>
      </c>
      <c r="ALJ60">
        <f>IF(ALJ1&lt;&gt;0,(COUNTIF(ALJ9,"&lt;&gt;0")+COUNTIF(ALJ12,"&lt;&gt;0")+COUNTIF(ALJ15,"&lt;&gt;0")+COUNTIF(ALJ18,"&lt;&gt;0")+COUNTIF(ALJ21,"&lt;&gt;0"))   -   COUNTIF(Detail!$G:$G,'Rates-Service Fees'!ALJ$23), 0)</f>
        <v>0</v>
      </c>
      <c r="ALK60">
        <f>IF(ALK1&lt;&gt;0,(COUNTIF(ALK9,"&lt;&gt;0")+COUNTIF(ALK12,"&lt;&gt;0")+COUNTIF(ALK15,"&lt;&gt;0")+COUNTIF(ALK18,"&lt;&gt;0")+COUNTIF(ALK21,"&lt;&gt;0"))   -   COUNTIF(Detail!$G:$G,'Rates-Service Fees'!ALK$23), 0)</f>
        <v>0</v>
      </c>
      <c r="ALL60">
        <f>IF(ALL1&lt;&gt;0,(COUNTIF(ALL9,"&lt;&gt;0")+COUNTIF(ALL12,"&lt;&gt;0")+COUNTIF(ALL15,"&lt;&gt;0")+COUNTIF(ALL18,"&lt;&gt;0")+COUNTIF(ALL21,"&lt;&gt;0"))   -   COUNTIF(Detail!$G:$G,'Rates-Service Fees'!ALL$23), 0)</f>
        <v>0</v>
      </c>
      <c r="ALM60">
        <f>IF(ALM1&lt;&gt;0,(COUNTIF(ALM9,"&lt;&gt;0")+COUNTIF(ALM12,"&lt;&gt;0")+COUNTIF(ALM15,"&lt;&gt;0")+COUNTIF(ALM18,"&lt;&gt;0")+COUNTIF(ALM21,"&lt;&gt;0"))   -   COUNTIF(Detail!$G:$G,'Rates-Service Fees'!ALM$23), 0)</f>
        <v>0</v>
      </c>
    </row>
    <row r="61" spans="1:1001" s="3" customFormat="1">
      <c r="A61" s="5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/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/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/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/>
      <c r="VE61" s="2"/>
      <c r="VF61" s="2"/>
      <c r="VG61" s="2"/>
      <c r="VH61" s="2"/>
      <c r="VI61" s="2"/>
      <c r="VJ61" s="2"/>
      <c r="VK61" s="2"/>
      <c r="VL61" s="2"/>
      <c r="VM61" s="2"/>
      <c r="VN61" s="2"/>
      <c r="VO61" s="2"/>
      <c r="VP61" s="2"/>
      <c r="VQ61" s="2"/>
      <c r="VR61" s="2"/>
      <c r="VS61" s="2"/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/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/>
      <c r="ZO61" s="2"/>
      <c r="ZP61" s="2"/>
      <c r="ZQ61" s="2"/>
      <c r="ZR61" s="2"/>
      <c r="ZS61" s="2"/>
      <c r="ZT61" s="2"/>
      <c r="ZU61" s="2"/>
      <c r="ZV61" s="2"/>
      <c r="ZW61" s="2"/>
      <c r="ZX61" s="2"/>
      <c r="ZY61" s="2"/>
      <c r="ZZ61" s="2"/>
      <c r="AAA61" s="2"/>
      <c r="AAB61" s="2"/>
      <c r="AAC61" s="2"/>
      <c r="AAD61" s="2"/>
      <c r="AAE61" s="2"/>
      <c r="AAF61" s="2"/>
      <c r="AAG61" s="2"/>
      <c r="AAH61" s="2"/>
      <c r="AAI61" s="2"/>
      <c r="AAJ61" s="2"/>
      <c r="AAK61" s="2"/>
      <c r="AAL61" s="2"/>
      <c r="AAM61" s="2"/>
      <c r="AAN61" s="2"/>
      <c r="AAO61" s="2"/>
      <c r="AAP61" s="2"/>
      <c r="AAQ61" s="2"/>
      <c r="AAR61" s="2"/>
      <c r="AAS61" s="2"/>
      <c r="AAT61" s="2"/>
      <c r="AAU61" s="2"/>
      <c r="AAV61" s="2"/>
      <c r="AAW61" s="2"/>
      <c r="AAX61" s="2"/>
      <c r="AAY61" s="2"/>
      <c r="AAZ61" s="2"/>
      <c r="ABA61" s="2"/>
      <c r="ABB61" s="2"/>
      <c r="ABC61" s="2"/>
      <c r="ABD61" s="2"/>
      <c r="ABE61" s="2"/>
      <c r="ABF61" s="2"/>
      <c r="ABG61" s="2"/>
      <c r="ABH61" s="2"/>
      <c r="ABI61" s="2"/>
      <c r="ABJ61" s="2"/>
      <c r="ABK61" s="2"/>
      <c r="ABL61" s="2"/>
      <c r="ABM61" s="2"/>
      <c r="ABN61" s="2"/>
      <c r="ABO61" s="2"/>
      <c r="ABP61" s="2"/>
      <c r="ABQ61" s="2"/>
      <c r="ABR61" s="2"/>
      <c r="ABS61" s="2"/>
      <c r="ABT61" s="2"/>
      <c r="ABU61" s="2"/>
      <c r="ABV61" s="2"/>
      <c r="ABW61" s="2"/>
      <c r="ABX61" s="2"/>
      <c r="ABY61" s="2"/>
      <c r="ABZ61" s="2"/>
      <c r="ACA61" s="2"/>
      <c r="ACB61" s="2"/>
      <c r="ACC61" s="2"/>
      <c r="ACD61" s="2"/>
      <c r="ACE61" s="2"/>
      <c r="ACF61" s="2"/>
      <c r="ACG61" s="2"/>
      <c r="ACH61" s="2"/>
      <c r="ACI61" s="2"/>
      <c r="ACJ61" s="2"/>
      <c r="ACK61" s="2"/>
      <c r="ACL61" s="2"/>
      <c r="ACM61" s="2"/>
      <c r="ACN61" s="2"/>
      <c r="ACO61" s="2"/>
      <c r="ACP61" s="2"/>
      <c r="ACQ61" s="2"/>
      <c r="ACR61" s="2"/>
      <c r="ACS61" s="2"/>
      <c r="ACT61" s="2"/>
      <c r="ACU61" s="2"/>
      <c r="ACV61" s="2"/>
      <c r="ACW61" s="2"/>
      <c r="ACX61" s="2"/>
      <c r="ACY61" s="2"/>
      <c r="ACZ61" s="2"/>
      <c r="ADA61" s="2"/>
      <c r="ADB61" s="2"/>
      <c r="ADC61" s="2"/>
      <c r="ADD61" s="2"/>
      <c r="ADE61" s="2"/>
      <c r="ADF61" s="2"/>
      <c r="ADG61" s="2"/>
      <c r="ADH61" s="2"/>
      <c r="ADI61" s="2"/>
      <c r="ADJ61" s="2"/>
      <c r="ADK61" s="2"/>
      <c r="ADL61" s="2"/>
      <c r="ADM61" s="2"/>
      <c r="ADN61" s="2"/>
      <c r="ADO61" s="2"/>
      <c r="ADP61" s="2"/>
      <c r="ADQ61" s="2"/>
      <c r="ADR61" s="2"/>
      <c r="ADS61" s="2"/>
      <c r="ADT61" s="2"/>
      <c r="ADU61" s="2"/>
      <c r="ADV61" s="2"/>
      <c r="ADW61" s="2"/>
      <c r="ADX61" s="2"/>
      <c r="ADY61" s="2"/>
      <c r="ADZ61" s="2"/>
      <c r="AEA61" s="2"/>
      <c r="AEB61" s="2"/>
      <c r="AEC61" s="2"/>
      <c r="AED61" s="2"/>
      <c r="AEE61" s="2"/>
      <c r="AEF61" s="2"/>
      <c r="AEG61" s="2"/>
      <c r="AEH61" s="2"/>
      <c r="AEI61" s="2"/>
      <c r="AEJ61" s="2"/>
      <c r="AEK61" s="2"/>
      <c r="AEL61" s="2"/>
      <c r="AEM61" s="2"/>
      <c r="AEN61" s="2"/>
      <c r="AEO61" s="2"/>
      <c r="AEP61" s="2"/>
      <c r="AEQ61" s="2"/>
      <c r="AER61" s="2"/>
      <c r="AES61" s="2"/>
      <c r="AET61" s="2"/>
      <c r="AEU61" s="2"/>
      <c r="AEV61" s="2"/>
      <c r="AEW61" s="2"/>
      <c r="AEX61" s="2"/>
      <c r="AEY61" s="2"/>
      <c r="AEZ61" s="2"/>
      <c r="AFA61" s="2"/>
      <c r="AFB61" s="2"/>
      <c r="AFC61" s="2"/>
      <c r="AFD61" s="2"/>
      <c r="AFE61" s="2"/>
      <c r="AFF61" s="2"/>
      <c r="AFG61" s="2"/>
      <c r="AFH61" s="2"/>
      <c r="AFI61" s="2"/>
      <c r="AFJ61" s="2"/>
      <c r="AFK61" s="2"/>
      <c r="AFL61" s="2"/>
      <c r="AFM61" s="2"/>
      <c r="AFN61" s="2"/>
      <c r="AFO61" s="2"/>
      <c r="AFP61" s="2"/>
      <c r="AFQ61" s="2"/>
      <c r="AFR61" s="2"/>
      <c r="AFS61" s="2"/>
      <c r="AFT61" s="2"/>
      <c r="AFU61" s="2"/>
      <c r="AFV61" s="2"/>
      <c r="AFW61" s="2"/>
      <c r="AFX61" s="2"/>
      <c r="AFY61" s="2"/>
      <c r="AFZ61" s="2"/>
      <c r="AGA61" s="2"/>
      <c r="AGB61" s="2"/>
      <c r="AGC61" s="2"/>
      <c r="AGD61" s="2"/>
      <c r="AGE61" s="2"/>
      <c r="AGF61" s="2"/>
      <c r="AGG61" s="2"/>
      <c r="AGH61" s="2"/>
      <c r="AGI61" s="2"/>
      <c r="AGJ61" s="2"/>
      <c r="AGK61" s="2"/>
      <c r="AGL61" s="2"/>
      <c r="AGM61" s="2"/>
      <c r="AGN61" s="2"/>
      <c r="AGO61" s="2"/>
      <c r="AGP61" s="2"/>
      <c r="AGQ61" s="2"/>
      <c r="AGR61" s="2"/>
      <c r="AGS61" s="2"/>
      <c r="AGT61" s="2"/>
      <c r="AGU61" s="2"/>
      <c r="AGV61" s="2"/>
      <c r="AGW61" s="2"/>
      <c r="AGX61" s="2"/>
      <c r="AGY61" s="2"/>
      <c r="AGZ61" s="2"/>
      <c r="AHA61" s="2"/>
      <c r="AHB61" s="2"/>
      <c r="AHC61" s="2"/>
      <c r="AHD61" s="2"/>
      <c r="AHE61" s="2"/>
      <c r="AHF61" s="2"/>
      <c r="AHG61" s="2"/>
      <c r="AHH61" s="2"/>
      <c r="AHI61" s="2"/>
      <c r="AHJ61" s="2"/>
      <c r="AHK61" s="2"/>
      <c r="AHL61" s="2"/>
      <c r="AHM61" s="2"/>
      <c r="AHN61" s="2"/>
      <c r="AHO61" s="2"/>
      <c r="AHP61" s="2"/>
      <c r="AHQ61" s="2"/>
      <c r="AHR61" s="2"/>
      <c r="AHS61" s="2"/>
      <c r="AHT61" s="2"/>
      <c r="AHU61" s="2"/>
      <c r="AHV61" s="2"/>
      <c r="AHW61" s="2"/>
      <c r="AHX61" s="2"/>
      <c r="AHY61" s="2"/>
      <c r="AHZ61" s="2"/>
      <c r="AIA61" s="2"/>
      <c r="AIB61" s="2"/>
      <c r="AIC61" s="2"/>
      <c r="AID61" s="2"/>
      <c r="AIE61" s="2"/>
      <c r="AIF61" s="2"/>
      <c r="AIG61" s="2"/>
      <c r="AIH61" s="2"/>
      <c r="AII61" s="2"/>
      <c r="AIJ61" s="2"/>
      <c r="AIK61" s="2"/>
      <c r="AIL61" s="2"/>
      <c r="AIM61" s="2"/>
      <c r="AIN61" s="2"/>
      <c r="AIO61" s="2"/>
      <c r="AIP61" s="2"/>
      <c r="AIQ61" s="2"/>
      <c r="AIR61" s="2"/>
      <c r="AIS61" s="2"/>
      <c r="AIT61" s="2"/>
      <c r="AIU61" s="2"/>
      <c r="AIV61" s="2"/>
      <c r="AIW61" s="2"/>
      <c r="AIX61" s="2"/>
      <c r="AIY61" s="2"/>
      <c r="AIZ61" s="2"/>
      <c r="AJA61" s="2"/>
      <c r="AJB61" s="2"/>
      <c r="AJC61" s="2"/>
      <c r="AJD61" s="2"/>
      <c r="AJE61" s="2"/>
      <c r="AJF61" s="2"/>
      <c r="AJG61" s="2"/>
      <c r="AJH61" s="2"/>
      <c r="AJI61" s="2"/>
      <c r="AJJ61" s="2"/>
      <c r="AJK61" s="2"/>
      <c r="AJL61" s="2"/>
      <c r="AJM61" s="2"/>
      <c r="AJN61" s="2"/>
      <c r="AJO61" s="2"/>
      <c r="AJP61" s="2"/>
      <c r="AJQ61" s="2"/>
      <c r="AJR61" s="2"/>
      <c r="AJS61" s="2"/>
      <c r="AJT61" s="2"/>
      <c r="AJU61" s="2"/>
      <c r="AJV61" s="2"/>
      <c r="AJW61" s="2"/>
      <c r="AJX61" s="2"/>
      <c r="AJY61" s="2"/>
      <c r="AJZ61" s="2"/>
      <c r="AKA61" s="2"/>
      <c r="AKB61" s="2"/>
      <c r="AKC61" s="2"/>
      <c r="AKD61" s="2"/>
      <c r="AKE61" s="2"/>
      <c r="AKF61" s="2"/>
      <c r="AKG61" s="2"/>
      <c r="AKH61" s="2"/>
      <c r="AKI61" s="2"/>
      <c r="AKJ61" s="2"/>
      <c r="AKK61" s="2"/>
      <c r="AKL61" s="2"/>
      <c r="AKM61" s="2"/>
      <c r="AKN61" s="2"/>
      <c r="AKO61" s="2"/>
      <c r="AKP61" s="2"/>
      <c r="AKQ61" s="2"/>
      <c r="AKR61" s="2"/>
      <c r="AKS61" s="2"/>
      <c r="AKT61" s="2"/>
      <c r="AKU61" s="2"/>
      <c r="AKV61" s="2"/>
      <c r="AKW61" s="2"/>
      <c r="AKX61" s="2"/>
      <c r="AKY61" s="2"/>
      <c r="AKZ61" s="2"/>
      <c r="ALA61" s="2"/>
      <c r="ALB61" s="2"/>
      <c r="ALC61" s="2"/>
      <c r="ALD61" s="2"/>
      <c r="ALE61" s="2"/>
      <c r="ALF61" s="2"/>
      <c r="ALG61" s="2"/>
      <c r="ALH61" s="2"/>
      <c r="ALI61" s="2"/>
      <c r="ALJ61" s="2"/>
      <c r="ALK61" s="2"/>
      <c r="ALL61" s="2"/>
      <c r="ALM61" s="2"/>
    </row>
  </sheetData>
  <dataConsolidate/>
  <mergeCells count="3">
    <mergeCell ref="A1:A22"/>
    <mergeCell ref="A27:A41"/>
    <mergeCell ref="A43:A58"/>
  </mergeCells>
  <conditionalFormatting sqref="B44:XFD45">
    <cfRule type="cellIs" dxfId="11" priority="13" operator="notEqual">
      <formula>0</formula>
    </cfRule>
  </conditionalFormatting>
  <conditionalFormatting sqref="B47:XFD48">
    <cfRule type="cellIs" dxfId="10" priority="7" operator="notEqual">
      <formula>0</formula>
    </cfRule>
    <cfRule type="cellIs" priority="12" operator="notEqual">
      <formula>0</formula>
    </cfRule>
  </conditionalFormatting>
  <conditionalFormatting sqref="B50:XFD51">
    <cfRule type="cellIs" dxfId="9" priority="11" operator="notEqual">
      <formula>0</formula>
    </cfRule>
  </conditionalFormatting>
  <conditionalFormatting sqref="B53:XFD54">
    <cfRule type="cellIs" dxfId="8" priority="10" operator="notEqual">
      <formula>0</formula>
    </cfRule>
  </conditionalFormatting>
  <conditionalFormatting sqref="B56:XFD57">
    <cfRule type="cellIs" dxfId="7" priority="8" operator="notEqual">
      <formula>0</formula>
    </cfRule>
    <cfRule type="cellIs" priority="9" operator="notEqual">
      <formula>0</formula>
    </cfRule>
  </conditionalFormatting>
  <conditionalFormatting sqref="B60:ALM60">
    <cfRule type="cellIs" dxfId="6" priority="3" operator="notEqual">
      <formula>0</formula>
    </cfRule>
  </conditionalFormatting>
  <conditionalFormatting sqref="A25:XFD26">
    <cfRule type="containsText" dxfId="5" priority="1" operator="containsText" text="DONE">
      <formula>NOT(ISERROR(SEARCH("DONE",A25)))</formula>
    </cfRule>
    <cfRule type="containsText" dxfId="4" priority="2" operator="containsText" text="FIX">
      <formula>NOT(ISERROR(SEARCH("FIX",A25)))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A5578-B6DA-4F7D-82C5-43F175CEC24D}">
  <sheetPr codeName="Sheet6"/>
  <dimension ref="A1:U3501"/>
  <sheetViews>
    <sheetView workbookViewId="0">
      <selection activeCell="U18" sqref="U18"/>
    </sheetView>
  </sheetViews>
  <sheetFormatPr defaultRowHeight="15" outlineLevelCol="1"/>
  <cols>
    <col min="1" max="1" width="8.28515625" style="19" bestFit="1" customWidth="1"/>
    <col min="2" max="2" width="12.85546875" style="19" bestFit="1" customWidth="1"/>
    <col min="3" max="3" width="13" style="19" bestFit="1" customWidth="1"/>
    <col min="4" max="4" width="7.85546875" style="19" bestFit="1" customWidth="1"/>
    <col min="5" max="5" width="11" style="19" bestFit="1" customWidth="1"/>
    <col min="6" max="6" width="13" style="19" bestFit="1" customWidth="1"/>
    <col min="7" max="7" width="14.85546875" style="19" bestFit="1" customWidth="1"/>
    <col min="8" max="8" width="7.28515625" style="19" bestFit="1" customWidth="1"/>
    <col min="9" max="9" width="15.140625" style="15" hidden="1" customWidth="1" outlineLevel="1"/>
    <col min="10" max="10" width="18.28515625" style="15" hidden="1" customWidth="1" outlineLevel="1"/>
    <col min="11" max="11" width="19.28515625" style="15" hidden="1" customWidth="1" outlineLevel="1"/>
    <col min="12" max="12" width="22.42578125" style="15" hidden="1" customWidth="1" outlineLevel="1"/>
    <col min="13" max="13" width="22.140625" style="15" hidden="1" customWidth="1" outlineLevel="1"/>
    <col min="14" max="14" width="13.85546875" style="15" hidden="1" customWidth="1" outlineLevel="1"/>
    <col min="15" max="15" width="12.140625" style="15" hidden="1" customWidth="1" outlineLevel="1"/>
    <col min="16" max="16" width="14.7109375" style="22" bestFit="1" customWidth="1" collapsed="1"/>
    <col min="17" max="17" width="15" bestFit="1" customWidth="1"/>
    <col min="20" max="20" width="14.85546875" style="9" bestFit="1" customWidth="1"/>
    <col min="21" max="21" width="9.140625" style="9"/>
  </cols>
  <sheetData>
    <row r="1" spans="1:21" ht="15.75" thickBot="1">
      <c r="A1" s="13" t="s">
        <v>5</v>
      </c>
      <c r="B1" s="13" t="s">
        <v>11</v>
      </c>
      <c r="C1" s="13" t="s">
        <v>12</v>
      </c>
      <c r="D1" s="13" t="s">
        <v>13</v>
      </c>
      <c r="E1" s="13" t="s">
        <v>14</v>
      </c>
      <c r="F1" s="13" t="s">
        <v>15</v>
      </c>
      <c r="G1" s="13" t="s">
        <v>16</v>
      </c>
      <c r="H1" s="13" t="s">
        <v>17</v>
      </c>
      <c r="I1" s="14" t="s">
        <v>18</v>
      </c>
      <c r="J1" s="14" t="s">
        <v>19</v>
      </c>
      <c r="K1" s="14" t="s">
        <v>20</v>
      </c>
      <c r="L1" s="14" t="s">
        <v>21</v>
      </c>
      <c r="M1" s="14" t="s">
        <v>22</v>
      </c>
      <c r="N1" s="14" t="s">
        <v>23</v>
      </c>
      <c r="O1" s="14" t="s">
        <v>24</v>
      </c>
      <c r="P1" s="21" t="s">
        <v>25</v>
      </c>
      <c r="Q1" s="13" t="s">
        <v>26</v>
      </c>
    </row>
    <row r="2" spans="1:21">
      <c r="A2" s="19">
        <f t="array" ref="A2:A3501">Detail!$A$8:$A$3508</f>
        <v>0</v>
      </c>
      <c r="B2" s="19">
        <f t="array" ref="B2:B3501">Detail!$C$8:$C$3508</f>
        <v>0</v>
      </c>
      <c r="C2" s="19">
        <f t="array" ref="C2:C3501">Detail!$G$8:$G$3508</f>
        <v>0</v>
      </c>
      <c r="D2" s="19">
        <f t="array" ref="D2:D3501">Detail!$H$8:$H$3508</f>
        <v>0</v>
      </c>
      <c r="E2" s="19">
        <f t="array" ref="E2:E3501">Detail!$K$8:$K$3508</f>
        <v>0</v>
      </c>
      <c r="F2" s="19">
        <f t="array" ref="F2:F3501">Detail!$L$8:$L$3508</f>
        <v>0</v>
      </c>
      <c r="G2" s="19">
        <f t="array" ref="G2:G3501">Detail!$M$8:M3508</f>
        <v>0</v>
      </c>
      <c r="H2" s="19">
        <f t="array" ref="H2:H3501">Detail!$AS$8:$AS$3508</f>
        <v>0</v>
      </c>
      <c r="I2" s="15">
        <f t="array" ref="I2:I3501">COUNTIFS($B$2:$B$3501,$B$2:$B$3501,$C$2:$C$3501,$C$2:$C$3501)</f>
        <v>3500</v>
      </c>
      <c r="J2" s="15">
        <f t="array" ref="J2:J3501">SUMIFS($E$2:$E$3501,$B$2:$B$3501,$B$2:$B$3501,$C$2:$C$3501,$C$2:$C$3501)</f>
        <v>0</v>
      </c>
      <c r="K2" s="15">
        <f t="array" ref="K2:K3501">SUMIFS($H$2:$H$3501,$B$2:$B$3501,$B$2:$B$3501,$C$2:$C$3501,$C$2:$C$3501)</f>
        <v>0</v>
      </c>
      <c r="L2" s="16">
        <f t="array" ref="L2:L3501">IFERROR($J$2:$J$3501/$K$2:$K$3501,0)</f>
        <v>0</v>
      </c>
      <c r="M2" s="15">
        <f t="array" ref="M2:M3501">SUMIFS($Q$2:$Q$3501,$B$2:$B$3501,$B$2:$B$3501,$C$2:$C$3501,$C$2:$C$3501)</f>
        <v>0</v>
      </c>
      <c r="N2" s="15" t="str">
        <f t="array" ref="N2:N3501">IF($D$2:$D$3501&lt;&gt;0,IF(M$2:M$3501/I$2:I$3501&lt;&gt;Q$2:Q$3501,TRUE,FALSE),"")</f>
        <v/>
      </c>
      <c r="O2" s="15" t="str">
        <f t="array" ref="O2:O3501">IF($D$2:$D$3501&lt;&gt;0,IF(ABS($E$2:$E$3501-$P$2:$P$3501)&lt;0.00001,FALSE,TRUE),"")</f>
        <v/>
      </c>
      <c r="P2" s="22">
        <f t="array" ref="P2:P3501">ROUND($H$2:$H$3501*$L$2:$L$3501,7)</f>
        <v>0</v>
      </c>
      <c r="Q2">
        <f t="array" ref="Q2:Q3501">$F$2:$F$3501-$G$2:$G$3501</f>
        <v>0</v>
      </c>
      <c r="S2" s="28" t="s">
        <v>27</v>
      </c>
      <c r="T2" s="10" t="s">
        <v>8</v>
      </c>
      <c r="U2" s="10">
        <f>COUNTIF($O:$O, "FALSE")</f>
        <v>0</v>
      </c>
    </row>
    <row r="3" spans="1:21">
      <c r="A3" s="19">
        <v>0</v>
      </c>
      <c r="B3" s="19">
        <v>0</v>
      </c>
      <c r="C3" s="19">
        <v>0</v>
      </c>
      <c r="D3" s="19">
        <v>0</v>
      </c>
      <c r="E3" s="19">
        <v>0</v>
      </c>
      <c r="F3" s="19">
        <v>0</v>
      </c>
      <c r="G3" s="19">
        <v>0</v>
      </c>
      <c r="H3" s="19">
        <v>0</v>
      </c>
      <c r="I3" s="15">
        <v>3500</v>
      </c>
      <c r="J3" s="15">
        <v>0</v>
      </c>
      <c r="K3" s="15">
        <v>0</v>
      </c>
      <c r="L3" s="16">
        <v>0</v>
      </c>
      <c r="M3" s="15">
        <v>0</v>
      </c>
      <c r="N3" s="15" t="str">
        <v/>
      </c>
      <c r="O3" s="15" t="str">
        <v/>
      </c>
      <c r="P3" s="22">
        <v>0</v>
      </c>
      <c r="Q3">
        <v>0</v>
      </c>
      <c r="S3" s="28"/>
      <c r="T3" s="10" t="s">
        <v>9</v>
      </c>
      <c r="U3" s="10">
        <f>COUNTIF($O:$O, "TRUE")</f>
        <v>0</v>
      </c>
    </row>
    <row r="4" spans="1:21">
      <c r="A4" s="19">
        <v>0</v>
      </c>
      <c r="B4" s="19">
        <v>0</v>
      </c>
      <c r="C4" s="19">
        <v>0</v>
      </c>
      <c r="D4" s="19">
        <v>0</v>
      </c>
      <c r="E4" s="19">
        <v>0</v>
      </c>
      <c r="F4" s="19">
        <v>0</v>
      </c>
      <c r="G4" s="19">
        <v>0</v>
      </c>
      <c r="H4" s="19">
        <v>0</v>
      </c>
      <c r="I4" s="15">
        <v>3500</v>
      </c>
      <c r="J4" s="15">
        <v>0</v>
      </c>
      <c r="K4" s="15">
        <v>0</v>
      </c>
      <c r="L4" s="16">
        <v>0</v>
      </c>
      <c r="M4" s="15">
        <v>0</v>
      </c>
      <c r="N4" s="15" t="str">
        <v/>
      </c>
      <c r="O4" s="15" t="str">
        <v/>
      </c>
      <c r="P4" s="22">
        <v>0</v>
      </c>
      <c r="Q4">
        <v>0</v>
      </c>
    </row>
    <row r="5" spans="1:21">
      <c r="A5" s="19">
        <v>0</v>
      </c>
      <c r="B5" s="19">
        <v>0</v>
      </c>
      <c r="C5" s="19">
        <v>0</v>
      </c>
      <c r="D5" s="19">
        <v>0</v>
      </c>
      <c r="E5" s="19">
        <v>0</v>
      </c>
      <c r="F5" s="19">
        <v>0</v>
      </c>
      <c r="G5" s="19">
        <v>0</v>
      </c>
      <c r="H5" s="19">
        <v>0</v>
      </c>
      <c r="I5" s="15">
        <v>3500</v>
      </c>
      <c r="J5" s="15">
        <v>0</v>
      </c>
      <c r="K5" s="15">
        <v>0</v>
      </c>
      <c r="L5" s="16">
        <v>0</v>
      </c>
      <c r="M5" s="15">
        <v>0</v>
      </c>
      <c r="N5" s="15" t="str">
        <v/>
      </c>
      <c r="O5" s="15" t="str">
        <v/>
      </c>
      <c r="P5" s="22">
        <v>0</v>
      </c>
      <c r="Q5">
        <v>0</v>
      </c>
      <c r="S5" s="28" t="s">
        <v>28</v>
      </c>
      <c r="T5" s="10" t="s">
        <v>8</v>
      </c>
      <c r="U5" s="10">
        <f>COUNTIF($N:$N, "FALSE")</f>
        <v>0</v>
      </c>
    </row>
    <row r="6" spans="1:21">
      <c r="A6" s="19">
        <v>0</v>
      </c>
      <c r="B6" s="19">
        <v>0</v>
      </c>
      <c r="C6" s="19">
        <v>0</v>
      </c>
      <c r="D6" s="19">
        <v>0</v>
      </c>
      <c r="E6" s="19">
        <v>0</v>
      </c>
      <c r="F6" s="19">
        <v>0</v>
      </c>
      <c r="G6" s="19">
        <v>0</v>
      </c>
      <c r="H6" s="19">
        <v>0</v>
      </c>
      <c r="I6" s="15">
        <v>3500</v>
      </c>
      <c r="J6" s="15">
        <v>0</v>
      </c>
      <c r="K6" s="15">
        <v>0</v>
      </c>
      <c r="L6" s="16">
        <v>0</v>
      </c>
      <c r="M6" s="15">
        <v>0</v>
      </c>
      <c r="N6" s="15" t="str">
        <v/>
      </c>
      <c r="O6" s="15" t="str">
        <v/>
      </c>
      <c r="P6" s="22">
        <v>0</v>
      </c>
      <c r="Q6">
        <v>0</v>
      </c>
      <c r="S6" s="28"/>
      <c r="T6" s="10" t="s">
        <v>9</v>
      </c>
      <c r="U6" s="10">
        <f>COUNTIF($N:$N, "TRUE")</f>
        <v>0</v>
      </c>
    </row>
    <row r="7" spans="1:21">
      <c r="A7" s="19">
        <v>0</v>
      </c>
      <c r="B7" s="19">
        <v>0</v>
      </c>
      <c r="C7" s="19">
        <v>0</v>
      </c>
      <c r="D7" s="19">
        <v>0</v>
      </c>
      <c r="E7" s="19">
        <v>0</v>
      </c>
      <c r="F7" s="19">
        <v>0</v>
      </c>
      <c r="G7" s="19">
        <v>0</v>
      </c>
      <c r="H7" s="19">
        <v>0</v>
      </c>
      <c r="I7" s="15">
        <v>3500</v>
      </c>
      <c r="J7" s="15">
        <v>0</v>
      </c>
      <c r="K7" s="15">
        <v>0</v>
      </c>
      <c r="L7" s="16">
        <v>0</v>
      </c>
      <c r="M7" s="15">
        <v>0</v>
      </c>
      <c r="N7" s="15" t="str">
        <v/>
      </c>
      <c r="O7" s="15" t="str">
        <v/>
      </c>
      <c r="P7" s="22">
        <v>0</v>
      </c>
      <c r="Q7">
        <v>0</v>
      </c>
    </row>
    <row r="8" spans="1:21">
      <c r="A8" s="19">
        <v>0</v>
      </c>
      <c r="B8" s="19">
        <v>0</v>
      </c>
      <c r="C8" s="19">
        <v>0</v>
      </c>
      <c r="D8" s="19">
        <v>0</v>
      </c>
      <c r="E8" s="19">
        <v>0</v>
      </c>
      <c r="F8" s="19">
        <v>0</v>
      </c>
      <c r="G8" s="19">
        <v>0</v>
      </c>
      <c r="H8" s="20">
        <v>0</v>
      </c>
      <c r="I8" s="15">
        <v>3500</v>
      </c>
      <c r="J8" s="15">
        <v>0</v>
      </c>
      <c r="K8" s="15">
        <v>0</v>
      </c>
      <c r="L8" s="16">
        <v>0</v>
      </c>
      <c r="M8" s="15">
        <v>0</v>
      </c>
      <c r="N8" s="15" t="str">
        <v/>
      </c>
      <c r="O8" s="15" t="str">
        <v/>
      </c>
      <c r="P8" s="22">
        <v>0</v>
      </c>
      <c r="Q8">
        <v>0</v>
      </c>
    </row>
    <row r="9" spans="1:21">
      <c r="A9" s="19">
        <v>0</v>
      </c>
      <c r="B9" s="19">
        <v>0</v>
      </c>
      <c r="C9" s="19">
        <v>0</v>
      </c>
      <c r="D9" s="19">
        <v>0</v>
      </c>
      <c r="E9" s="19">
        <v>0</v>
      </c>
      <c r="F9" s="19">
        <v>0</v>
      </c>
      <c r="G9" s="19">
        <v>0</v>
      </c>
      <c r="H9" s="19">
        <v>0</v>
      </c>
      <c r="I9" s="15">
        <v>3500</v>
      </c>
      <c r="J9" s="15">
        <v>0</v>
      </c>
      <c r="K9" s="15">
        <v>0</v>
      </c>
      <c r="L9" s="16">
        <v>0</v>
      </c>
      <c r="M9" s="15">
        <v>0</v>
      </c>
      <c r="N9" s="15" t="str">
        <v/>
      </c>
      <c r="O9" s="15" t="str">
        <v/>
      </c>
      <c r="P9" s="22">
        <v>0</v>
      </c>
      <c r="Q9">
        <v>0</v>
      </c>
    </row>
    <row r="10" spans="1:21">
      <c r="A10" s="19">
        <v>0</v>
      </c>
      <c r="B10" s="19">
        <v>0</v>
      </c>
      <c r="C10" s="19">
        <v>0</v>
      </c>
      <c r="D10" s="19">
        <v>0</v>
      </c>
      <c r="E10" s="19">
        <v>0</v>
      </c>
      <c r="F10" s="19">
        <v>0</v>
      </c>
      <c r="G10" s="19">
        <v>0</v>
      </c>
      <c r="H10" s="19">
        <v>0</v>
      </c>
      <c r="I10" s="15">
        <v>3500</v>
      </c>
      <c r="J10" s="15">
        <v>0</v>
      </c>
      <c r="K10" s="15">
        <v>0</v>
      </c>
      <c r="L10" s="16">
        <v>0</v>
      </c>
      <c r="M10" s="15">
        <v>0</v>
      </c>
      <c r="N10" s="15" t="str">
        <v/>
      </c>
      <c r="O10" s="15" t="str">
        <v/>
      </c>
      <c r="P10" s="22">
        <v>0</v>
      </c>
      <c r="Q10">
        <v>0</v>
      </c>
    </row>
    <row r="11" spans="1:21">
      <c r="A11" s="19">
        <v>0</v>
      </c>
      <c r="B11" s="19">
        <v>0</v>
      </c>
      <c r="C11" s="19">
        <v>0</v>
      </c>
      <c r="D11" s="19">
        <v>0</v>
      </c>
      <c r="E11" s="19">
        <v>0</v>
      </c>
      <c r="F11" s="19">
        <v>0</v>
      </c>
      <c r="G11" s="19">
        <v>0</v>
      </c>
      <c r="H11" s="19">
        <v>0</v>
      </c>
      <c r="I11" s="15">
        <v>3500</v>
      </c>
      <c r="J11" s="15">
        <v>0</v>
      </c>
      <c r="K11" s="15">
        <v>0</v>
      </c>
      <c r="L11" s="16">
        <v>0</v>
      </c>
      <c r="M11" s="15">
        <v>0</v>
      </c>
      <c r="N11" s="15" t="str">
        <v/>
      </c>
      <c r="O11" s="15" t="str">
        <v/>
      </c>
      <c r="P11" s="22">
        <v>0</v>
      </c>
      <c r="Q11">
        <v>0</v>
      </c>
    </row>
    <row r="12" spans="1:21">
      <c r="A12" s="19">
        <v>0</v>
      </c>
      <c r="B12" s="19">
        <v>0</v>
      </c>
      <c r="C12" s="19">
        <v>0</v>
      </c>
      <c r="D12" s="19">
        <v>0</v>
      </c>
      <c r="E12" s="19">
        <v>0</v>
      </c>
      <c r="F12" s="19">
        <v>0</v>
      </c>
      <c r="G12" s="19">
        <v>0</v>
      </c>
      <c r="H12" s="19">
        <v>0</v>
      </c>
      <c r="I12" s="15">
        <v>3500</v>
      </c>
      <c r="J12" s="15">
        <v>0</v>
      </c>
      <c r="K12" s="15">
        <v>0</v>
      </c>
      <c r="L12" s="16">
        <v>0</v>
      </c>
      <c r="M12" s="15">
        <v>0</v>
      </c>
      <c r="N12" s="15" t="str">
        <v/>
      </c>
      <c r="O12" s="15" t="str">
        <v/>
      </c>
      <c r="P12" s="22">
        <v>0</v>
      </c>
      <c r="Q12">
        <v>0</v>
      </c>
    </row>
    <row r="13" spans="1:21">
      <c r="A13" s="19">
        <v>0</v>
      </c>
      <c r="B13" s="19">
        <v>0</v>
      </c>
      <c r="C13" s="19">
        <v>0</v>
      </c>
      <c r="D13" s="19">
        <v>0</v>
      </c>
      <c r="E13" s="19">
        <v>0</v>
      </c>
      <c r="F13" s="19">
        <v>0</v>
      </c>
      <c r="G13" s="19">
        <v>0</v>
      </c>
      <c r="H13" s="19">
        <v>0</v>
      </c>
      <c r="I13" s="15">
        <v>3500</v>
      </c>
      <c r="J13" s="15">
        <v>0</v>
      </c>
      <c r="K13" s="15">
        <v>0</v>
      </c>
      <c r="L13" s="16">
        <v>0</v>
      </c>
      <c r="M13" s="15">
        <v>0</v>
      </c>
      <c r="N13" s="15" t="str">
        <v/>
      </c>
      <c r="O13" s="15" t="str">
        <v/>
      </c>
      <c r="P13" s="22">
        <v>0</v>
      </c>
      <c r="Q13">
        <v>0</v>
      </c>
    </row>
    <row r="14" spans="1:21">
      <c r="A14" s="19">
        <v>0</v>
      </c>
      <c r="B14" s="19">
        <v>0</v>
      </c>
      <c r="C14" s="19">
        <v>0</v>
      </c>
      <c r="D14" s="19">
        <v>0</v>
      </c>
      <c r="E14" s="19">
        <v>0</v>
      </c>
      <c r="F14" s="19">
        <v>0</v>
      </c>
      <c r="G14" s="19">
        <v>0</v>
      </c>
      <c r="H14" s="19">
        <v>0</v>
      </c>
      <c r="I14" s="15">
        <v>3500</v>
      </c>
      <c r="J14" s="15">
        <v>0</v>
      </c>
      <c r="K14" s="15">
        <v>0</v>
      </c>
      <c r="L14" s="16">
        <v>0</v>
      </c>
      <c r="M14" s="15">
        <v>0</v>
      </c>
      <c r="N14" s="15" t="str">
        <v/>
      </c>
      <c r="O14" s="15" t="str">
        <v/>
      </c>
      <c r="P14" s="22">
        <v>0</v>
      </c>
      <c r="Q14">
        <v>0</v>
      </c>
    </row>
    <row r="15" spans="1:21">
      <c r="A15" s="19">
        <v>0</v>
      </c>
      <c r="B15" s="19">
        <v>0</v>
      </c>
      <c r="C15" s="19">
        <v>0</v>
      </c>
      <c r="D15" s="19">
        <v>0</v>
      </c>
      <c r="E15" s="19">
        <v>0</v>
      </c>
      <c r="F15" s="19">
        <v>0</v>
      </c>
      <c r="G15" s="19">
        <v>0</v>
      </c>
      <c r="H15" s="19">
        <v>0</v>
      </c>
      <c r="I15" s="15">
        <v>3500</v>
      </c>
      <c r="J15" s="15">
        <v>0</v>
      </c>
      <c r="K15" s="15">
        <v>0</v>
      </c>
      <c r="L15" s="16">
        <v>0</v>
      </c>
      <c r="M15" s="15">
        <v>0</v>
      </c>
      <c r="N15" s="15" t="str">
        <v/>
      </c>
      <c r="O15" s="15" t="str">
        <v/>
      </c>
      <c r="P15" s="22">
        <v>0</v>
      </c>
      <c r="Q15">
        <v>0</v>
      </c>
    </row>
    <row r="16" spans="1:21">
      <c r="A16" s="19">
        <v>0</v>
      </c>
      <c r="B16" s="19">
        <v>0</v>
      </c>
      <c r="C16" s="19">
        <v>0</v>
      </c>
      <c r="D16" s="19">
        <v>0</v>
      </c>
      <c r="E16" s="19">
        <v>0</v>
      </c>
      <c r="F16" s="19">
        <v>0</v>
      </c>
      <c r="G16" s="19">
        <v>0</v>
      </c>
      <c r="H16" s="19">
        <v>0</v>
      </c>
      <c r="I16" s="15">
        <v>3500</v>
      </c>
      <c r="J16" s="15">
        <v>0</v>
      </c>
      <c r="K16" s="15">
        <v>0</v>
      </c>
      <c r="L16" s="16">
        <v>0</v>
      </c>
      <c r="M16" s="15">
        <v>0</v>
      </c>
      <c r="N16" s="15" t="str">
        <v/>
      </c>
      <c r="O16" s="15" t="str">
        <v/>
      </c>
      <c r="P16" s="22">
        <v>0</v>
      </c>
      <c r="Q16">
        <v>0</v>
      </c>
    </row>
    <row r="17" spans="1:17">
      <c r="A17" s="19">
        <v>0</v>
      </c>
      <c r="B17" s="19">
        <v>0</v>
      </c>
      <c r="C17" s="19">
        <v>0</v>
      </c>
      <c r="D17" s="19">
        <v>0</v>
      </c>
      <c r="E17" s="19">
        <v>0</v>
      </c>
      <c r="F17" s="19">
        <v>0</v>
      </c>
      <c r="G17" s="19">
        <v>0</v>
      </c>
      <c r="H17" s="19">
        <v>0</v>
      </c>
      <c r="I17" s="15">
        <v>3500</v>
      </c>
      <c r="J17" s="15">
        <v>0</v>
      </c>
      <c r="K17" s="15">
        <v>0</v>
      </c>
      <c r="L17" s="16">
        <v>0</v>
      </c>
      <c r="M17" s="15">
        <v>0</v>
      </c>
      <c r="N17" s="15" t="str">
        <v/>
      </c>
      <c r="O17" s="15" t="str">
        <v/>
      </c>
      <c r="P17" s="22">
        <v>0</v>
      </c>
      <c r="Q17">
        <v>0</v>
      </c>
    </row>
    <row r="18" spans="1:17">
      <c r="A18" s="19">
        <v>0</v>
      </c>
      <c r="B18" s="19">
        <v>0</v>
      </c>
      <c r="C18" s="19">
        <v>0</v>
      </c>
      <c r="D18" s="19">
        <v>0</v>
      </c>
      <c r="E18" s="19">
        <v>0</v>
      </c>
      <c r="F18" s="19">
        <v>0</v>
      </c>
      <c r="G18" s="19">
        <v>0</v>
      </c>
      <c r="H18" s="19">
        <v>0</v>
      </c>
      <c r="I18" s="15">
        <v>3500</v>
      </c>
      <c r="J18" s="15">
        <v>0</v>
      </c>
      <c r="K18" s="15">
        <v>0</v>
      </c>
      <c r="L18" s="16">
        <v>0</v>
      </c>
      <c r="M18" s="15">
        <v>0</v>
      </c>
      <c r="N18" s="15" t="str">
        <v/>
      </c>
      <c r="O18" s="15" t="str">
        <v/>
      </c>
      <c r="P18" s="22">
        <v>0</v>
      </c>
      <c r="Q18">
        <v>0</v>
      </c>
    </row>
    <row r="19" spans="1:17">
      <c r="A19" s="19">
        <v>0</v>
      </c>
      <c r="B19" s="19">
        <v>0</v>
      </c>
      <c r="C19" s="19">
        <v>0</v>
      </c>
      <c r="D19" s="19">
        <v>0</v>
      </c>
      <c r="E19" s="19">
        <v>0</v>
      </c>
      <c r="F19" s="19">
        <v>0</v>
      </c>
      <c r="G19" s="19">
        <v>0</v>
      </c>
      <c r="H19" s="19">
        <v>0</v>
      </c>
      <c r="I19" s="15">
        <v>3500</v>
      </c>
      <c r="J19" s="15">
        <v>0</v>
      </c>
      <c r="K19" s="15">
        <v>0</v>
      </c>
      <c r="L19" s="16">
        <v>0</v>
      </c>
      <c r="M19" s="15">
        <v>0</v>
      </c>
      <c r="N19" s="15" t="str">
        <v/>
      </c>
      <c r="O19" s="15" t="str">
        <v/>
      </c>
      <c r="P19" s="22">
        <v>0</v>
      </c>
      <c r="Q19">
        <v>0</v>
      </c>
    </row>
    <row r="20" spans="1:17">
      <c r="A20" s="19">
        <v>0</v>
      </c>
      <c r="B20" s="19">
        <v>0</v>
      </c>
      <c r="C20" s="19">
        <v>0</v>
      </c>
      <c r="D20" s="19">
        <v>0</v>
      </c>
      <c r="E20" s="19">
        <v>0</v>
      </c>
      <c r="F20" s="19">
        <v>0</v>
      </c>
      <c r="G20" s="19">
        <v>0</v>
      </c>
      <c r="H20" s="19">
        <v>0</v>
      </c>
      <c r="I20" s="15">
        <v>3500</v>
      </c>
      <c r="J20" s="15">
        <v>0</v>
      </c>
      <c r="K20" s="15">
        <v>0</v>
      </c>
      <c r="L20" s="16">
        <v>0</v>
      </c>
      <c r="M20" s="15">
        <v>0</v>
      </c>
      <c r="N20" s="15" t="str">
        <v/>
      </c>
      <c r="O20" s="15" t="str">
        <v/>
      </c>
      <c r="P20" s="22">
        <v>0</v>
      </c>
      <c r="Q20">
        <v>0</v>
      </c>
    </row>
    <row r="21" spans="1:17">
      <c r="A21" s="19">
        <v>0</v>
      </c>
      <c r="B21" s="19">
        <v>0</v>
      </c>
      <c r="C21" s="19">
        <v>0</v>
      </c>
      <c r="D21" s="19">
        <v>0</v>
      </c>
      <c r="E21" s="19">
        <v>0</v>
      </c>
      <c r="F21" s="19">
        <v>0</v>
      </c>
      <c r="G21" s="19">
        <v>0</v>
      </c>
      <c r="H21" s="19">
        <v>0</v>
      </c>
      <c r="I21" s="15">
        <v>3500</v>
      </c>
      <c r="J21" s="15">
        <v>0</v>
      </c>
      <c r="K21" s="15">
        <v>0</v>
      </c>
      <c r="L21" s="16">
        <v>0</v>
      </c>
      <c r="M21" s="15">
        <v>0</v>
      </c>
      <c r="N21" s="15" t="str">
        <v/>
      </c>
      <c r="O21" s="15" t="str">
        <v/>
      </c>
      <c r="P21" s="22">
        <v>0</v>
      </c>
      <c r="Q21">
        <v>0</v>
      </c>
    </row>
    <row r="22" spans="1:17">
      <c r="A22" s="19">
        <v>0</v>
      </c>
      <c r="B22" s="19">
        <v>0</v>
      </c>
      <c r="C22" s="19">
        <v>0</v>
      </c>
      <c r="D22" s="19">
        <v>0</v>
      </c>
      <c r="E22" s="19">
        <v>0</v>
      </c>
      <c r="F22" s="19">
        <v>0</v>
      </c>
      <c r="G22" s="19">
        <v>0</v>
      </c>
      <c r="H22" s="19">
        <v>0</v>
      </c>
      <c r="I22" s="15">
        <v>3500</v>
      </c>
      <c r="J22" s="15">
        <v>0</v>
      </c>
      <c r="K22" s="15">
        <v>0</v>
      </c>
      <c r="L22" s="16">
        <v>0</v>
      </c>
      <c r="M22" s="15">
        <v>0</v>
      </c>
      <c r="N22" s="15" t="str">
        <v/>
      </c>
      <c r="O22" s="15" t="str">
        <v/>
      </c>
      <c r="P22" s="22">
        <v>0</v>
      </c>
      <c r="Q22">
        <v>0</v>
      </c>
    </row>
    <row r="23" spans="1:17">
      <c r="A23" s="19">
        <v>0</v>
      </c>
      <c r="B23" s="19">
        <v>0</v>
      </c>
      <c r="C23" s="19">
        <v>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5">
        <v>3500</v>
      </c>
      <c r="J23" s="15">
        <v>0</v>
      </c>
      <c r="K23" s="15">
        <v>0</v>
      </c>
      <c r="L23" s="16">
        <v>0</v>
      </c>
      <c r="M23" s="15">
        <v>0</v>
      </c>
      <c r="N23" s="15" t="str">
        <v/>
      </c>
      <c r="O23" s="15" t="str">
        <v/>
      </c>
      <c r="P23" s="22">
        <v>0</v>
      </c>
      <c r="Q23">
        <v>0</v>
      </c>
    </row>
    <row r="24" spans="1:17">
      <c r="A24" s="19">
        <v>0</v>
      </c>
      <c r="B24" s="19">
        <v>0</v>
      </c>
      <c r="C24" s="19">
        <v>0</v>
      </c>
      <c r="D24" s="19">
        <v>0</v>
      </c>
      <c r="E24" s="19">
        <v>0</v>
      </c>
      <c r="F24" s="19">
        <v>0</v>
      </c>
      <c r="G24" s="19">
        <v>0</v>
      </c>
      <c r="H24" s="19">
        <v>0</v>
      </c>
      <c r="I24" s="15">
        <v>3500</v>
      </c>
      <c r="J24" s="15">
        <v>0</v>
      </c>
      <c r="K24" s="15">
        <v>0</v>
      </c>
      <c r="L24" s="16">
        <v>0</v>
      </c>
      <c r="M24" s="15">
        <v>0</v>
      </c>
      <c r="N24" s="15" t="str">
        <v/>
      </c>
      <c r="O24" s="15" t="str">
        <v/>
      </c>
      <c r="P24" s="22">
        <v>0</v>
      </c>
      <c r="Q24">
        <v>0</v>
      </c>
    </row>
    <row r="25" spans="1:17">
      <c r="A25" s="19">
        <v>0</v>
      </c>
      <c r="B25" s="19">
        <v>0</v>
      </c>
      <c r="C25" s="19">
        <v>0</v>
      </c>
      <c r="D25" s="19">
        <v>0</v>
      </c>
      <c r="E25" s="19">
        <v>0</v>
      </c>
      <c r="F25" s="19">
        <v>0</v>
      </c>
      <c r="G25" s="19">
        <v>0</v>
      </c>
      <c r="H25" s="19">
        <v>0</v>
      </c>
      <c r="I25" s="15">
        <v>3500</v>
      </c>
      <c r="J25" s="15">
        <v>0</v>
      </c>
      <c r="K25" s="15">
        <v>0</v>
      </c>
      <c r="L25" s="16">
        <v>0</v>
      </c>
      <c r="M25" s="15">
        <v>0</v>
      </c>
      <c r="N25" s="15" t="str">
        <v/>
      </c>
      <c r="O25" s="15" t="str">
        <v/>
      </c>
      <c r="P25" s="22">
        <v>0</v>
      </c>
      <c r="Q25">
        <v>0</v>
      </c>
    </row>
    <row r="26" spans="1:17">
      <c r="A26" s="19">
        <v>0</v>
      </c>
      <c r="B26" s="19">
        <v>0</v>
      </c>
      <c r="C26" s="19">
        <v>0</v>
      </c>
      <c r="D26" s="19">
        <v>0</v>
      </c>
      <c r="E26" s="19">
        <v>0</v>
      </c>
      <c r="F26" s="19">
        <v>0</v>
      </c>
      <c r="G26" s="19">
        <v>0</v>
      </c>
      <c r="H26" s="19">
        <v>0</v>
      </c>
      <c r="I26" s="15">
        <v>3500</v>
      </c>
      <c r="J26" s="15">
        <v>0</v>
      </c>
      <c r="K26" s="15">
        <v>0</v>
      </c>
      <c r="L26" s="16">
        <v>0</v>
      </c>
      <c r="M26" s="15">
        <v>0</v>
      </c>
      <c r="N26" s="15" t="str">
        <v/>
      </c>
      <c r="O26" s="15" t="str">
        <v/>
      </c>
      <c r="P26" s="22">
        <v>0</v>
      </c>
      <c r="Q26">
        <v>0</v>
      </c>
    </row>
    <row r="27" spans="1:17">
      <c r="A27" s="19">
        <v>0</v>
      </c>
      <c r="B27" s="19">
        <v>0</v>
      </c>
      <c r="C27" s="19">
        <v>0</v>
      </c>
      <c r="D27" s="19">
        <v>0</v>
      </c>
      <c r="E27" s="19">
        <v>0</v>
      </c>
      <c r="F27" s="19">
        <v>0</v>
      </c>
      <c r="G27" s="19">
        <v>0</v>
      </c>
      <c r="H27" s="19">
        <v>0</v>
      </c>
      <c r="I27" s="15">
        <v>3500</v>
      </c>
      <c r="J27" s="15">
        <v>0</v>
      </c>
      <c r="K27" s="15">
        <v>0</v>
      </c>
      <c r="L27" s="16">
        <v>0</v>
      </c>
      <c r="M27" s="15">
        <v>0</v>
      </c>
      <c r="N27" s="15" t="str">
        <v/>
      </c>
      <c r="O27" s="15" t="str">
        <v/>
      </c>
      <c r="P27" s="22">
        <v>0</v>
      </c>
      <c r="Q27">
        <v>0</v>
      </c>
    </row>
    <row r="28" spans="1:17">
      <c r="A28" s="19">
        <v>0</v>
      </c>
      <c r="B28" s="19">
        <v>0</v>
      </c>
      <c r="C28" s="19">
        <v>0</v>
      </c>
      <c r="D28" s="19">
        <v>0</v>
      </c>
      <c r="E28" s="19">
        <v>0</v>
      </c>
      <c r="F28" s="19">
        <v>0</v>
      </c>
      <c r="G28" s="19">
        <v>0</v>
      </c>
      <c r="H28" s="19">
        <v>0</v>
      </c>
      <c r="I28" s="15">
        <v>3500</v>
      </c>
      <c r="J28" s="15">
        <v>0</v>
      </c>
      <c r="K28" s="15">
        <v>0</v>
      </c>
      <c r="L28" s="16">
        <v>0</v>
      </c>
      <c r="M28" s="15">
        <v>0</v>
      </c>
      <c r="N28" s="15" t="str">
        <v/>
      </c>
      <c r="O28" s="15" t="str">
        <v/>
      </c>
      <c r="P28" s="22">
        <v>0</v>
      </c>
      <c r="Q28">
        <v>0</v>
      </c>
    </row>
    <row r="29" spans="1:17">
      <c r="A29" s="19">
        <v>0</v>
      </c>
      <c r="B29" s="19">
        <v>0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5">
        <v>3500</v>
      </c>
      <c r="J29" s="15">
        <v>0</v>
      </c>
      <c r="K29" s="15">
        <v>0</v>
      </c>
      <c r="L29" s="16">
        <v>0</v>
      </c>
      <c r="M29" s="15">
        <v>0</v>
      </c>
      <c r="N29" s="15" t="str">
        <v/>
      </c>
      <c r="O29" s="15" t="str">
        <v/>
      </c>
      <c r="P29" s="22">
        <v>0</v>
      </c>
      <c r="Q29">
        <v>0</v>
      </c>
    </row>
    <row r="30" spans="1:17">
      <c r="A30" s="19">
        <v>0</v>
      </c>
      <c r="B30" s="19">
        <v>0</v>
      </c>
      <c r="C30" s="19">
        <v>0</v>
      </c>
      <c r="D30" s="19">
        <v>0</v>
      </c>
      <c r="E30" s="19">
        <v>0</v>
      </c>
      <c r="F30" s="19">
        <v>0</v>
      </c>
      <c r="G30" s="19">
        <v>0</v>
      </c>
      <c r="H30" s="19">
        <v>0</v>
      </c>
      <c r="I30" s="15">
        <v>3500</v>
      </c>
      <c r="J30" s="15">
        <v>0</v>
      </c>
      <c r="K30" s="15">
        <v>0</v>
      </c>
      <c r="L30" s="16">
        <v>0</v>
      </c>
      <c r="M30" s="15">
        <v>0</v>
      </c>
      <c r="N30" s="15" t="str">
        <v/>
      </c>
      <c r="O30" s="15" t="str">
        <v/>
      </c>
      <c r="P30" s="22">
        <v>0</v>
      </c>
      <c r="Q30">
        <v>0</v>
      </c>
    </row>
    <row r="31" spans="1:17">
      <c r="A31" s="19">
        <v>0</v>
      </c>
      <c r="B31" s="19">
        <v>0</v>
      </c>
      <c r="C31" s="19">
        <v>0</v>
      </c>
      <c r="D31" s="19">
        <v>0</v>
      </c>
      <c r="E31" s="19">
        <v>0</v>
      </c>
      <c r="F31" s="19">
        <v>0</v>
      </c>
      <c r="G31" s="19">
        <v>0</v>
      </c>
      <c r="H31" s="19">
        <v>0</v>
      </c>
      <c r="I31" s="15">
        <v>3500</v>
      </c>
      <c r="J31" s="15">
        <v>0</v>
      </c>
      <c r="K31" s="15">
        <v>0</v>
      </c>
      <c r="L31" s="16">
        <v>0</v>
      </c>
      <c r="M31" s="15">
        <v>0</v>
      </c>
      <c r="N31" s="15" t="str">
        <v/>
      </c>
      <c r="O31" s="15" t="str">
        <v/>
      </c>
      <c r="P31" s="22">
        <v>0</v>
      </c>
      <c r="Q31">
        <v>0</v>
      </c>
    </row>
    <row r="32" spans="1:17">
      <c r="A32" s="19">
        <v>0</v>
      </c>
      <c r="B32" s="19">
        <v>0</v>
      </c>
      <c r="C32" s="19">
        <v>0</v>
      </c>
      <c r="D32" s="19">
        <v>0</v>
      </c>
      <c r="E32" s="19">
        <v>0</v>
      </c>
      <c r="F32" s="19">
        <v>0</v>
      </c>
      <c r="G32" s="19">
        <v>0</v>
      </c>
      <c r="H32" s="19">
        <v>0</v>
      </c>
      <c r="I32" s="15">
        <v>3500</v>
      </c>
      <c r="J32" s="15">
        <v>0</v>
      </c>
      <c r="K32" s="15">
        <v>0</v>
      </c>
      <c r="L32" s="16">
        <v>0</v>
      </c>
      <c r="M32" s="15">
        <v>0</v>
      </c>
      <c r="N32" s="15" t="str">
        <v/>
      </c>
      <c r="O32" s="15" t="str">
        <v/>
      </c>
      <c r="P32" s="22">
        <v>0</v>
      </c>
      <c r="Q32">
        <v>0</v>
      </c>
    </row>
    <row r="33" spans="1:17">
      <c r="A33" s="19">
        <v>0</v>
      </c>
      <c r="B33" s="19">
        <v>0</v>
      </c>
      <c r="C33" s="19">
        <v>0</v>
      </c>
      <c r="D33" s="19">
        <v>0</v>
      </c>
      <c r="E33" s="19">
        <v>0</v>
      </c>
      <c r="F33" s="19">
        <v>0</v>
      </c>
      <c r="G33" s="19">
        <v>0</v>
      </c>
      <c r="H33" s="19">
        <v>0</v>
      </c>
      <c r="I33" s="15">
        <v>3500</v>
      </c>
      <c r="J33" s="15">
        <v>0</v>
      </c>
      <c r="K33" s="15">
        <v>0</v>
      </c>
      <c r="L33" s="16">
        <v>0</v>
      </c>
      <c r="M33" s="15">
        <v>0</v>
      </c>
      <c r="N33" s="15" t="str">
        <v/>
      </c>
      <c r="O33" s="15" t="str">
        <v/>
      </c>
      <c r="P33" s="22">
        <v>0</v>
      </c>
      <c r="Q33">
        <v>0</v>
      </c>
    </row>
    <row r="34" spans="1:17">
      <c r="A34" s="19">
        <v>0</v>
      </c>
      <c r="B34" s="19">
        <v>0</v>
      </c>
      <c r="C34" s="19">
        <v>0</v>
      </c>
      <c r="D34" s="19">
        <v>0</v>
      </c>
      <c r="E34" s="19">
        <v>0</v>
      </c>
      <c r="F34" s="19">
        <v>0</v>
      </c>
      <c r="G34" s="19">
        <v>0</v>
      </c>
      <c r="H34" s="19">
        <v>0</v>
      </c>
      <c r="I34" s="15">
        <v>3500</v>
      </c>
      <c r="J34" s="15">
        <v>0</v>
      </c>
      <c r="K34" s="15">
        <v>0</v>
      </c>
      <c r="L34" s="16">
        <v>0</v>
      </c>
      <c r="M34" s="15">
        <v>0</v>
      </c>
      <c r="N34" s="15" t="str">
        <v/>
      </c>
      <c r="O34" s="15" t="str">
        <v/>
      </c>
      <c r="P34" s="22">
        <v>0</v>
      </c>
      <c r="Q34">
        <v>0</v>
      </c>
    </row>
    <row r="35" spans="1:17">
      <c r="A35" s="19">
        <v>0</v>
      </c>
      <c r="B35" s="19">
        <v>0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5">
        <v>3500</v>
      </c>
      <c r="J35" s="15">
        <v>0</v>
      </c>
      <c r="K35" s="15">
        <v>0</v>
      </c>
      <c r="L35" s="16">
        <v>0</v>
      </c>
      <c r="M35" s="15">
        <v>0</v>
      </c>
      <c r="N35" s="15" t="str">
        <v/>
      </c>
      <c r="O35" s="15" t="str">
        <v/>
      </c>
      <c r="P35" s="22">
        <v>0</v>
      </c>
      <c r="Q35">
        <v>0</v>
      </c>
    </row>
    <row r="36" spans="1:17">
      <c r="A36" s="19">
        <v>0</v>
      </c>
      <c r="B36" s="19">
        <v>0</v>
      </c>
      <c r="C36" s="19">
        <v>0</v>
      </c>
      <c r="D36" s="19">
        <v>0</v>
      </c>
      <c r="E36" s="19">
        <v>0</v>
      </c>
      <c r="F36" s="19">
        <v>0</v>
      </c>
      <c r="G36" s="19">
        <v>0</v>
      </c>
      <c r="H36" s="19">
        <v>0</v>
      </c>
      <c r="I36" s="15">
        <v>3500</v>
      </c>
      <c r="J36" s="15">
        <v>0</v>
      </c>
      <c r="K36" s="15">
        <v>0</v>
      </c>
      <c r="L36" s="16">
        <v>0</v>
      </c>
      <c r="M36" s="15">
        <v>0</v>
      </c>
      <c r="N36" s="15" t="str">
        <v/>
      </c>
      <c r="O36" s="15" t="str">
        <v/>
      </c>
      <c r="P36" s="22">
        <v>0</v>
      </c>
      <c r="Q36">
        <v>0</v>
      </c>
    </row>
    <row r="37" spans="1:17">
      <c r="A37" s="19">
        <v>0</v>
      </c>
      <c r="B37" s="19">
        <v>0</v>
      </c>
      <c r="C37" s="19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5">
        <v>3500</v>
      </c>
      <c r="J37" s="15">
        <v>0</v>
      </c>
      <c r="K37" s="15">
        <v>0</v>
      </c>
      <c r="L37" s="16">
        <v>0</v>
      </c>
      <c r="M37" s="15">
        <v>0</v>
      </c>
      <c r="N37" s="15" t="str">
        <v/>
      </c>
      <c r="O37" s="15" t="str">
        <v/>
      </c>
      <c r="P37" s="22">
        <v>0</v>
      </c>
      <c r="Q37">
        <v>0</v>
      </c>
    </row>
    <row r="38" spans="1:17">
      <c r="A38" s="19">
        <v>0</v>
      </c>
      <c r="B38" s="19">
        <v>0</v>
      </c>
      <c r="C38" s="19">
        <v>0</v>
      </c>
      <c r="D38" s="19">
        <v>0</v>
      </c>
      <c r="E38" s="19">
        <v>0</v>
      </c>
      <c r="F38" s="19">
        <v>0</v>
      </c>
      <c r="G38" s="19">
        <v>0</v>
      </c>
      <c r="H38" s="19">
        <v>0</v>
      </c>
      <c r="I38" s="15">
        <v>3500</v>
      </c>
      <c r="J38" s="15">
        <v>0</v>
      </c>
      <c r="K38" s="15">
        <v>0</v>
      </c>
      <c r="L38" s="16">
        <v>0</v>
      </c>
      <c r="M38" s="15">
        <v>0</v>
      </c>
      <c r="N38" s="15" t="str">
        <v/>
      </c>
      <c r="O38" s="15" t="str">
        <v/>
      </c>
      <c r="P38" s="22">
        <v>0</v>
      </c>
      <c r="Q38">
        <v>0</v>
      </c>
    </row>
    <row r="39" spans="1:17">
      <c r="A39" s="19">
        <v>0</v>
      </c>
      <c r="B39" s="19">
        <v>0</v>
      </c>
      <c r="C39" s="19">
        <v>0</v>
      </c>
      <c r="D39" s="19">
        <v>0</v>
      </c>
      <c r="E39" s="19">
        <v>0</v>
      </c>
      <c r="F39" s="19">
        <v>0</v>
      </c>
      <c r="G39" s="19">
        <v>0</v>
      </c>
      <c r="H39" s="19">
        <v>0</v>
      </c>
      <c r="I39" s="15">
        <v>3500</v>
      </c>
      <c r="J39" s="15">
        <v>0</v>
      </c>
      <c r="K39" s="15">
        <v>0</v>
      </c>
      <c r="L39" s="16">
        <v>0</v>
      </c>
      <c r="M39" s="15">
        <v>0</v>
      </c>
      <c r="N39" s="15" t="str">
        <v/>
      </c>
      <c r="O39" s="15" t="str">
        <v/>
      </c>
      <c r="P39" s="22">
        <v>0</v>
      </c>
      <c r="Q39">
        <v>0</v>
      </c>
    </row>
    <row r="40" spans="1:17">
      <c r="A40" s="19">
        <v>0</v>
      </c>
      <c r="B40" s="19">
        <v>0</v>
      </c>
      <c r="C40" s="19">
        <v>0</v>
      </c>
      <c r="D40" s="19">
        <v>0</v>
      </c>
      <c r="E40" s="19">
        <v>0</v>
      </c>
      <c r="F40" s="19">
        <v>0</v>
      </c>
      <c r="G40" s="19">
        <v>0</v>
      </c>
      <c r="H40" s="19">
        <v>0</v>
      </c>
      <c r="I40" s="15">
        <v>3500</v>
      </c>
      <c r="J40" s="15">
        <v>0</v>
      </c>
      <c r="K40" s="15">
        <v>0</v>
      </c>
      <c r="L40" s="16">
        <v>0</v>
      </c>
      <c r="M40" s="15">
        <v>0</v>
      </c>
      <c r="N40" s="15" t="str">
        <v/>
      </c>
      <c r="O40" s="15" t="str">
        <v/>
      </c>
      <c r="P40" s="22">
        <v>0</v>
      </c>
      <c r="Q40">
        <v>0</v>
      </c>
    </row>
    <row r="41" spans="1:17">
      <c r="A41" s="19">
        <v>0</v>
      </c>
      <c r="B41" s="19">
        <v>0</v>
      </c>
      <c r="C41" s="19">
        <v>0</v>
      </c>
      <c r="D41" s="19">
        <v>0</v>
      </c>
      <c r="E41" s="19">
        <v>0</v>
      </c>
      <c r="F41" s="19">
        <v>0</v>
      </c>
      <c r="G41" s="19">
        <v>0</v>
      </c>
      <c r="H41" s="19">
        <v>0</v>
      </c>
      <c r="I41" s="15">
        <v>3500</v>
      </c>
      <c r="J41" s="15">
        <v>0</v>
      </c>
      <c r="K41" s="15">
        <v>0</v>
      </c>
      <c r="L41" s="16">
        <v>0</v>
      </c>
      <c r="M41" s="15">
        <v>0</v>
      </c>
      <c r="N41" s="15" t="str">
        <v/>
      </c>
      <c r="O41" s="15" t="str">
        <v/>
      </c>
      <c r="P41" s="22">
        <v>0</v>
      </c>
      <c r="Q41">
        <v>0</v>
      </c>
    </row>
    <row r="42" spans="1:17">
      <c r="A42" s="19">
        <v>0</v>
      </c>
      <c r="B42" s="19">
        <v>0</v>
      </c>
      <c r="C42" s="19">
        <v>0</v>
      </c>
      <c r="D42" s="19">
        <v>0</v>
      </c>
      <c r="E42" s="19">
        <v>0</v>
      </c>
      <c r="F42" s="19">
        <v>0</v>
      </c>
      <c r="G42" s="19">
        <v>0</v>
      </c>
      <c r="H42" s="19">
        <v>0</v>
      </c>
      <c r="I42" s="15">
        <v>3500</v>
      </c>
      <c r="J42" s="15">
        <v>0</v>
      </c>
      <c r="K42" s="15">
        <v>0</v>
      </c>
      <c r="L42" s="16">
        <v>0</v>
      </c>
      <c r="M42" s="15">
        <v>0</v>
      </c>
      <c r="N42" s="15" t="str">
        <v/>
      </c>
      <c r="O42" s="15" t="str">
        <v/>
      </c>
      <c r="P42" s="22">
        <v>0</v>
      </c>
      <c r="Q42">
        <v>0</v>
      </c>
    </row>
    <row r="43" spans="1:17">
      <c r="A43" s="19">
        <v>0</v>
      </c>
      <c r="B43" s="19">
        <v>0</v>
      </c>
      <c r="C43" s="19">
        <v>0</v>
      </c>
      <c r="D43" s="19">
        <v>0</v>
      </c>
      <c r="E43" s="19">
        <v>0</v>
      </c>
      <c r="F43" s="19">
        <v>0</v>
      </c>
      <c r="G43" s="19">
        <v>0</v>
      </c>
      <c r="H43" s="19">
        <v>0</v>
      </c>
      <c r="I43" s="15">
        <v>3500</v>
      </c>
      <c r="J43" s="15">
        <v>0</v>
      </c>
      <c r="K43" s="15">
        <v>0</v>
      </c>
      <c r="L43" s="16">
        <v>0</v>
      </c>
      <c r="M43" s="15">
        <v>0</v>
      </c>
      <c r="N43" s="15" t="str">
        <v/>
      </c>
      <c r="O43" s="15" t="str">
        <v/>
      </c>
      <c r="P43" s="22">
        <v>0</v>
      </c>
      <c r="Q43">
        <v>0</v>
      </c>
    </row>
    <row r="44" spans="1:17">
      <c r="A44" s="19">
        <v>0</v>
      </c>
      <c r="B44" s="19">
        <v>0</v>
      </c>
      <c r="C44" s="19">
        <v>0</v>
      </c>
      <c r="D44" s="19">
        <v>0</v>
      </c>
      <c r="E44" s="19">
        <v>0</v>
      </c>
      <c r="F44" s="19">
        <v>0</v>
      </c>
      <c r="G44" s="19">
        <v>0</v>
      </c>
      <c r="H44" s="19">
        <v>0</v>
      </c>
      <c r="I44" s="15">
        <v>3500</v>
      </c>
      <c r="J44" s="15">
        <v>0</v>
      </c>
      <c r="K44" s="15">
        <v>0</v>
      </c>
      <c r="L44" s="16">
        <v>0</v>
      </c>
      <c r="M44" s="15">
        <v>0</v>
      </c>
      <c r="N44" s="15" t="str">
        <v/>
      </c>
      <c r="O44" s="15" t="str">
        <v/>
      </c>
      <c r="P44" s="22">
        <v>0</v>
      </c>
      <c r="Q44">
        <v>0</v>
      </c>
    </row>
    <row r="45" spans="1:17">
      <c r="A45" s="19">
        <v>0</v>
      </c>
      <c r="B45" s="19">
        <v>0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5">
        <v>3500</v>
      </c>
      <c r="J45" s="15">
        <v>0</v>
      </c>
      <c r="K45" s="15">
        <v>0</v>
      </c>
      <c r="L45" s="16">
        <v>0</v>
      </c>
      <c r="M45" s="15">
        <v>0</v>
      </c>
      <c r="N45" s="15" t="str">
        <v/>
      </c>
      <c r="O45" s="15" t="str">
        <v/>
      </c>
      <c r="P45" s="22">
        <v>0</v>
      </c>
      <c r="Q45">
        <v>0</v>
      </c>
    </row>
    <row r="46" spans="1:17">
      <c r="A46" s="19">
        <v>0</v>
      </c>
      <c r="B46" s="19">
        <v>0</v>
      </c>
      <c r="C46" s="19">
        <v>0</v>
      </c>
      <c r="D46" s="19">
        <v>0</v>
      </c>
      <c r="E46" s="19">
        <v>0</v>
      </c>
      <c r="F46" s="19">
        <v>0</v>
      </c>
      <c r="G46" s="19">
        <v>0</v>
      </c>
      <c r="H46" s="19">
        <v>0</v>
      </c>
      <c r="I46" s="15">
        <v>3500</v>
      </c>
      <c r="J46" s="15">
        <v>0</v>
      </c>
      <c r="K46" s="15">
        <v>0</v>
      </c>
      <c r="L46" s="16">
        <v>0</v>
      </c>
      <c r="M46" s="15">
        <v>0</v>
      </c>
      <c r="N46" s="15" t="str">
        <v/>
      </c>
      <c r="O46" s="15" t="str">
        <v/>
      </c>
      <c r="P46" s="22">
        <v>0</v>
      </c>
      <c r="Q46">
        <v>0</v>
      </c>
    </row>
    <row r="47" spans="1:17">
      <c r="A47" s="19">
        <v>0</v>
      </c>
      <c r="B47" s="19">
        <v>0</v>
      </c>
      <c r="C47" s="19">
        <v>0</v>
      </c>
      <c r="D47" s="19">
        <v>0</v>
      </c>
      <c r="E47" s="19">
        <v>0</v>
      </c>
      <c r="F47" s="19">
        <v>0</v>
      </c>
      <c r="G47" s="19">
        <v>0</v>
      </c>
      <c r="H47" s="19">
        <v>0</v>
      </c>
      <c r="I47" s="15">
        <v>3500</v>
      </c>
      <c r="J47" s="15">
        <v>0</v>
      </c>
      <c r="K47" s="15">
        <v>0</v>
      </c>
      <c r="L47" s="16">
        <v>0</v>
      </c>
      <c r="M47" s="15">
        <v>0</v>
      </c>
      <c r="N47" s="15" t="str">
        <v/>
      </c>
      <c r="O47" s="15" t="str">
        <v/>
      </c>
      <c r="P47" s="22">
        <v>0</v>
      </c>
      <c r="Q47">
        <v>0</v>
      </c>
    </row>
    <row r="48" spans="1:17">
      <c r="A48" s="19">
        <v>0</v>
      </c>
      <c r="B48" s="19">
        <v>0</v>
      </c>
      <c r="C48" s="19">
        <v>0</v>
      </c>
      <c r="D48" s="19">
        <v>0</v>
      </c>
      <c r="E48" s="19">
        <v>0</v>
      </c>
      <c r="F48" s="19">
        <v>0</v>
      </c>
      <c r="G48" s="19">
        <v>0</v>
      </c>
      <c r="H48" s="19">
        <v>0</v>
      </c>
      <c r="I48" s="15">
        <v>3500</v>
      </c>
      <c r="J48" s="15">
        <v>0</v>
      </c>
      <c r="K48" s="15">
        <v>0</v>
      </c>
      <c r="L48" s="16">
        <v>0</v>
      </c>
      <c r="M48" s="15">
        <v>0</v>
      </c>
      <c r="N48" s="15" t="str">
        <v/>
      </c>
      <c r="O48" s="15" t="str">
        <v/>
      </c>
      <c r="P48" s="22">
        <v>0</v>
      </c>
      <c r="Q48">
        <v>0</v>
      </c>
    </row>
    <row r="49" spans="1:17">
      <c r="A49" s="19">
        <v>0</v>
      </c>
      <c r="B49" s="19">
        <v>0</v>
      </c>
      <c r="C49" s="19">
        <v>0</v>
      </c>
      <c r="D49" s="19">
        <v>0</v>
      </c>
      <c r="E49" s="19">
        <v>0</v>
      </c>
      <c r="F49" s="19">
        <v>0</v>
      </c>
      <c r="G49" s="19">
        <v>0</v>
      </c>
      <c r="H49" s="19">
        <v>0</v>
      </c>
      <c r="I49" s="15">
        <v>3500</v>
      </c>
      <c r="J49" s="15">
        <v>0</v>
      </c>
      <c r="K49" s="15">
        <v>0</v>
      </c>
      <c r="L49" s="16">
        <v>0</v>
      </c>
      <c r="M49" s="15">
        <v>0</v>
      </c>
      <c r="N49" s="15" t="str">
        <v/>
      </c>
      <c r="O49" s="15" t="str">
        <v/>
      </c>
      <c r="P49" s="22">
        <v>0</v>
      </c>
      <c r="Q49">
        <v>0</v>
      </c>
    </row>
    <row r="50" spans="1:17">
      <c r="A50" s="19">
        <v>0</v>
      </c>
      <c r="B50" s="19">
        <v>0</v>
      </c>
      <c r="C50" s="19">
        <v>0</v>
      </c>
      <c r="D50" s="19">
        <v>0</v>
      </c>
      <c r="E50" s="19">
        <v>0</v>
      </c>
      <c r="F50" s="19">
        <v>0</v>
      </c>
      <c r="G50" s="19">
        <v>0</v>
      </c>
      <c r="H50" s="19">
        <v>0</v>
      </c>
      <c r="I50" s="15">
        <v>3500</v>
      </c>
      <c r="J50" s="15">
        <v>0</v>
      </c>
      <c r="K50" s="15">
        <v>0</v>
      </c>
      <c r="L50" s="16">
        <v>0</v>
      </c>
      <c r="M50" s="15">
        <v>0</v>
      </c>
      <c r="N50" s="15" t="str">
        <v/>
      </c>
      <c r="O50" s="15" t="str">
        <v/>
      </c>
      <c r="P50" s="22">
        <v>0</v>
      </c>
      <c r="Q50">
        <v>0</v>
      </c>
    </row>
    <row r="51" spans="1:17">
      <c r="A51" s="19">
        <v>0</v>
      </c>
      <c r="B51" s="19">
        <v>0</v>
      </c>
      <c r="C51" s="19">
        <v>0</v>
      </c>
      <c r="D51" s="19">
        <v>0</v>
      </c>
      <c r="E51" s="19">
        <v>0</v>
      </c>
      <c r="F51" s="19">
        <v>0</v>
      </c>
      <c r="G51" s="19">
        <v>0</v>
      </c>
      <c r="H51" s="19">
        <v>0</v>
      </c>
      <c r="I51" s="15">
        <v>3500</v>
      </c>
      <c r="J51" s="15">
        <v>0</v>
      </c>
      <c r="K51" s="15">
        <v>0</v>
      </c>
      <c r="L51" s="16">
        <v>0</v>
      </c>
      <c r="M51" s="15">
        <v>0</v>
      </c>
      <c r="N51" s="15" t="str">
        <v/>
      </c>
      <c r="O51" s="15" t="str">
        <v/>
      </c>
      <c r="P51" s="22">
        <v>0</v>
      </c>
      <c r="Q51">
        <v>0</v>
      </c>
    </row>
    <row r="52" spans="1:17">
      <c r="A52" s="19">
        <v>0</v>
      </c>
      <c r="B52" s="19">
        <v>0</v>
      </c>
      <c r="C52" s="19">
        <v>0</v>
      </c>
      <c r="D52" s="19">
        <v>0</v>
      </c>
      <c r="E52" s="19">
        <v>0</v>
      </c>
      <c r="F52" s="19">
        <v>0</v>
      </c>
      <c r="G52" s="19">
        <v>0</v>
      </c>
      <c r="H52" s="19">
        <v>0</v>
      </c>
      <c r="I52" s="15">
        <v>3500</v>
      </c>
      <c r="J52" s="15">
        <v>0</v>
      </c>
      <c r="K52" s="15">
        <v>0</v>
      </c>
      <c r="L52" s="16">
        <v>0</v>
      </c>
      <c r="M52" s="15">
        <v>0</v>
      </c>
      <c r="N52" s="15" t="str">
        <v/>
      </c>
      <c r="O52" s="15" t="str">
        <v/>
      </c>
      <c r="P52" s="22">
        <v>0</v>
      </c>
      <c r="Q52">
        <v>0</v>
      </c>
    </row>
    <row r="53" spans="1:17">
      <c r="A53" s="19">
        <v>0</v>
      </c>
      <c r="B53" s="19">
        <v>0</v>
      </c>
      <c r="C53" s="19">
        <v>0</v>
      </c>
      <c r="D53" s="19">
        <v>0</v>
      </c>
      <c r="E53" s="19">
        <v>0</v>
      </c>
      <c r="F53" s="19">
        <v>0</v>
      </c>
      <c r="G53" s="19">
        <v>0</v>
      </c>
      <c r="H53" s="19">
        <v>0</v>
      </c>
      <c r="I53" s="15">
        <v>3500</v>
      </c>
      <c r="J53" s="15">
        <v>0</v>
      </c>
      <c r="K53" s="15">
        <v>0</v>
      </c>
      <c r="L53" s="16">
        <v>0</v>
      </c>
      <c r="M53" s="15">
        <v>0</v>
      </c>
      <c r="N53" s="15" t="str">
        <v/>
      </c>
      <c r="O53" s="15" t="str">
        <v/>
      </c>
      <c r="P53" s="22">
        <v>0</v>
      </c>
      <c r="Q53">
        <v>0</v>
      </c>
    </row>
    <row r="54" spans="1:17">
      <c r="A54" s="19">
        <v>0</v>
      </c>
      <c r="B54" s="19">
        <v>0</v>
      </c>
      <c r="C54" s="19">
        <v>0</v>
      </c>
      <c r="D54" s="19">
        <v>0</v>
      </c>
      <c r="E54" s="19">
        <v>0</v>
      </c>
      <c r="F54" s="19">
        <v>0</v>
      </c>
      <c r="G54" s="19">
        <v>0</v>
      </c>
      <c r="H54" s="19">
        <v>0</v>
      </c>
      <c r="I54" s="15">
        <v>3500</v>
      </c>
      <c r="J54" s="15">
        <v>0</v>
      </c>
      <c r="K54" s="15">
        <v>0</v>
      </c>
      <c r="L54" s="16">
        <v>0</v>
      </c>
      <c r="M54" s="15">
        <v>0</v>
      </c>
      <c r="N54" s="15" t="str">
        <v/>
      </c>
      <c r="O54" s="15" t="str">
        <v/>
      </c>
      <c r="P54" s="22">
        <v>0</v>
      </c>
      <c r="Q54">
        <v>0</v>
      </c>
    </row>
    <row r="55" spans="1:17">
      <c r="A55" s="19">
        <v>0</v>
      </c>
      <c r="B55" s="19">
        <v>0</v>
      </c>
      <c r="C55" s="19">
        <v>0</v>
      </c>
      <c r="D55" s="19">
        <v>0</v>
      </c>
      <c r="E55" s="19">
        <v>0</v>
      </c>
      <c r="F55" s="19">
        <v>0</v>
      </c>
      <c r="G55" s="19">
        <v>0</v>
      </c>
      <c r="H55" s="19">
        <v>0</v>
      </c>
      <c r="I55" s="15">
        <v>3500</v>
      </c>
      <c r="J55" s="15">
        <v>0</v>
      </c>
      <c r="K55" s="15">
        <v>0</v>
      </c>
      <c r="L55" s="16">
        <v>0</v>
      </c>
      <c r="M55" s="15">
        <v>0</v>
      </c>
      <c r="N55" s="15" t="str">
        <v/>
      </c>
      <c r="O55" s="15" t="str">
        <v/>
      </c>
      <c r="P55" s="22">
        <v>0</v>
      </c>
      <c r="Q55">
        <v>0</v>
      </c>
    </row>
    <row r="56" spans="1:17">
      <c r="A56" s="19">
        <v>0</v>
      </c>
      <c r="B56" s="19">
        <v>0</v>
      </c>
      <c r="C56" s="19">
        <v>0</v>
      </c>
      <c r="D56" s="19">
        <v>0</v>
      </c>
      <c r="E56" s="19">
        <v>0</v>
      </c>
      <c r="F56" s="19">
        <v>0</v>
      </c>
      <c r="G56" s="19">
        <v>0</v>
      </c>
      <c r="H56" s="19">
        <v>0</v>
      </c>
      <c r="I56" s="15">
        <v>3500</v>
      </c>
      <c r="J56" s="15">
        <v>0</v>
      </c>
      <c r="K56" s="15">
        <v>0</v>
      </c>
      <c r="L56" s="16">
        <v>0</v>
      </c>
      <c r="M56" s="15">
        <v>0</v>
      </c>
      <c r="N56" s="15" t="str">
        <v/>
      </c>
      <c r="O56" s="15" t="str">
        <v/>
      </c>
      <c r="P56" s="22">
        <v>0</v>
      </c>
      <c r="Q56">
        <v>0</v>
      </c>
    </row>
    <row r="57" spans="1:17">
      <c r="A57" s="19">
        <v>0</v>
      </c>
      <c r="B57" s="19">
        <v>0</v>
      </c>
      <c r="C57" s="19">
        <v>0</v>
      </c>
      <c r="D57" s="19">
        <v>0</v>
      </c>
      <c r="E57" s="19">
        <v>0</v>
      </c>
      <c r="F57" s="19">
        <v>0</v>
      </c>
      <c r="G57" s="19">
        <v>0</v>
      </c>
      <c r="H57" s="19">
        <v>0</v>
      </c>
      <c r="I57" s="15">
        <v>3500</v>
      </c>
      <c r="J57" s="15">
        <v>0</v>
      </c>
      <c r="K57" s="15">
        <v>0</v>
      </c>
      <c r="L57" s="16">
        <v>0</v>
      </c>
      <c r="M57" s="15">
        <v>0</v>
      </c>
      <c r="N57" s="15" t="str">
        <v/>
      </c>
      <c r="O57" s="15" t="str">
        <v/>
      </c>
      <c r="P57" s="22">
        <v>0</v>
      </c>
      <c r="Q57">
        <v>0</v>
      </c>
    </row>
    <row r="58" spans="1:17">
      <c r="A58" s="19">
        <v>0</v>
      </c>
      <c r="B58" s="19">
        <v>0</v>
      </c>
      <c r="C58" s="19">
        <v>0</v>
      </c>
      <c r="D58" s="19">
        <v>0</v>
      </c>
      <c r="E58" s="19">
        <v>0</v>
      </c>
      <c r="F58" s="19">
        <v>0</v>
      </c>
      <c r="G58" s="19">
        <v>0</v>
      </c>
      <c r="H58" s="19">
        <v>0</v>
      </c>
      <c r="I58" s="15">
        <v>3500</v>
      </c>
      <c r="J58" s="15">
        <v>0</v>
      </c>
      <c r="K58" s="15">
        <v>0</v>
      </c>
      <c r="L58" s="16">
        <v>0</v>
      </c>
      <c r="M58" s="15">
        <v>0</v>
      </c>
      <c r="N58" s="15" t="str">
        <v/>
      </c>
      <c r="O58" s="15" t="str">
        <v/>
      </c>
      <c r="P58" s="22">
        <v>0</v>
      </c>
      <c r="Q58">
        <v>0</v>
      </c>
    </row>
    <row r="59" spans="1:17">
      <c r="A59" s="19">
        <v>0</v>
      </c>
      <c r="B59" s="19">
        <v>0</v>
      </c>
      <c r="C59" s="19">
        <v>0</v>
      </c>
      <c r="D59" s="19">
        <v>0</v>
      </c>
      <c r="E59" s="19">
        <v>0</v>
      </c>
      <c r="F59" s="19">
        <v>0</v>
      </c>
      <c r="G59" s="19">
        <v>0</v>
      </c>
      <c r="H59" s="19">
        <v>0</v>
      </c>
      <c r="I59" s="15">
        <v>3500</v>
      </c>
      <c r="J59" s="15">
        <v>0</v>
      </c>
      <c r="K59" s="15">
        <v>0</v>
      </c>
      <c r="L59" s="16">
        <v>0</v>
      </c>
      <c r="M59" s="15">
        <v>0</v>
      </c>
      <c r="N59" s="15" t="str">
        <v/>
      </c>
      <c r="O59" s="15" t="str">
        <v/>
      </c>
      <c r="P59" s="22">
        <v>0</v>
      </c>
      <c r="Q59">
        <v>0</v>
      </c>
    </row>
    <row r="60" spans="1:17">
      <c r="A60" s="19">
        <v>0</v>
      </c>
      <c r="B60" s="19">
        <v>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9">
        <v>0</v>
      </c>
      <c r="I60" s="15">
        <v>3500</v>
      </c>
      <c r="J60" s="15">
        <v>0</v>
      </c>
      <c r="K60" s="15">
        <v>0</v>
      </c>
      <c r="L60" s="16">
        <v>0</v>
      </c>
      <c r="M60" s="15">
        <v>0</v>
      </c>
      <c r="N60" s="15" t="str">
        <v/>
      </c>
      <c r="O60" s="15" t="str">
        <v/>
      </c>
      <c r="P60" s="22">
        <v>0</v>
      </c>
      <c r="Q60">
        <v>0</v>
      </c>
    </row>
    <row r="61" spans="1:17">
      <c r="A61" s="19">
        <v>0</v>
      </c>
      <c r="B61" s="19">
        <v>0</v>
      </c>
      <c r="C61" s="19">
        <v>0</v>
      </c>
      <c r="D61" s="19">
        <v>0</v>
      </c>
      <c r="E61" s="19">
        <v>0</v>
      </c>
      <c r="F61" s="19">
        <v>0</v>
      </c>
      <c r="G61" s="19">
        <v>0</v>
      </c>
      <c r="H61" s="19">
        <v>0</v>
      </c>
      <c r="I61" s="15">
        <v>3500</v>
      </c>
      <c r="J61" s="15">
        <v>0</v>
      </c>
      <c r="K61" s="15">
        <v>0</v>
      </c>
      <c r="L61" s="16">
        <v>0</v>
      </c>
      <c r="M61" s="15">
        <v>0</v>
      </c>
      <c r="N61" s="15" t="str">
        <v/>
      </c>
      <c r="O61" s="15" t="str">
        <v/>
      </c>
      <c r="P61" s="22">
        <v>0</v>
      </c>
      <c r="Q61">
        <v>0</v>
      </c>
    </row>
    <row r="62" spans="1:17">
      <c r="A62" s="19">
        <v>0</v>
      </c>
      <c r="B62" s="19">
        <v>0</v>
      </c>
      <c r="C62" s="19">
        <v>0</v>
      </c>
      <c r="D62" s="19">
        <v>0</v>
      </c>
      <c r="E62" s="19">
        <v>0</v>
      </c>
      <c r="F62" s="19">
        <v>0</v>
      </c>
      <c r="G62" s="19">
        <v>0</v>
      </c>
      <c r="H62" s="19">
        <v>0</v>
      </c>
      <c r="I62" s="15">
        <v>3500</v>
      </c>
      <c r="J62" s="15">
        <v>0</v>
      </c>
      <c r="K62" s="15">
        <v>0</v>
      </c>
      <c r="L62" s="16">
        <v>0</v>
      </c>
      <c r="M62" s="15">
        <v>0</v>
      </c>
      <c r="N62" s="15" t="str">
        <v/>
      </c>
      <c r="O62" s="15" t="str">
        <v/>
      </c>
      <c r="P62" s="22">
        <v>0</v>
      </c>
      <c r="Q62">
        <v>0</v>
      </c>
    </row>
    <row r="63" spans="1:17">
      <c r="A63" s="19">
        <v>0</v>
      </c>
      <c r="B63" s="19">
        <v>0</v>
      </c>
      <c r="C63" s="19">
        <v>0</v>
      </c>
      <c r="D63" s="19">
        <v>0</v>
      </c>
      <c r="E63" s="19">
        <v>0</v>
      </c>
      <c r="F63" s="19">
        <v>0</v>
      </c>
      <c r="G63" s="19">
        <v>0</v>
      </c>
      <c r="H63" s="19">
        <v>0</v>
      </c>
      <c r="I63" s="15">
        <v>3500</v>
      </c>
      <c r="J63" s="15">
        <v>0</v>
      </c>
      <c r="K63" s="15">
        <v>0</v>
      </c>
      <c r="L63" s="16">
        <v>0</v>
      </c>
      <c r="M63" s="15">
        <v>0</v>
      </c>
      <c r="N63" s="15" t="str">
        <v/>
      </c>
      <c r="O63" s="15" t="str">
        <v/>
      </c>
      <c r="P63" s="22">
        <v>0</v>
      </c>
      <c r="Q63">
        <v>0</v>
      </c>
    </row>
    <row r="64" spans="1:17">
      <c r="A64" s="19">
        <v>0</v>
      </c>
      <c r="B64" s="19">
        <v>0</v>
      </c>
      <c r="C64" s="19">
        <v>0</v>
      </c>
      <c r="D64" s="19">
        <v>0</v>
      </c>
      <c r="E64" s="19">
        <v>0</v>
      </c>
      <c r="F64" s="19">
        <v>0</v>
      </c>
      <c r="G64" s="19">
        <v>0</v>
      </c>
      <c r="H64" s="19">
        <v>0</v>
      </c>
      <c r="I64" s="15">
        <v>3500</v>
      </c>
      <c r="J64" s="15">
        <v>0</v>
      </c>
      <c r="K64" s="15">
        <v>0</v>
      </c>
      <c r="L64" s="16">
        <v>0</v>
      </c>
      <c r="M64" s="15">
        <v>0</v>
      </c>
      <c r="N64" s="15" t="str">
        <v/>
      </c>
      <c r="O64" s="15" t="str">
        <v/>
      </c>
      <c r="P64" s="22">
        <v>0</v>
      </c>
      <c r="Q64">
        <v>0</v>
      </c>
    </row>
    <row r="65" spans="1:17">
      <c r="A65" s="19">
        <v>0</v>
      </c>
      <c r="B65" s="19">
        <v>0</v>
      </c>
      <c r="C65" s="19">
        <v>0</v>
      </c>
      <c r="D65" s="19">
        <v>0</v>
      </c>
      <c r="E65" s="19">
        <v>0</v>
      </c>
      <c r="F65" s="19">
        <v>0</v>
      </c>
      <c r="G65" s="19">
        <v>0</v>
      </c>
      <c r="H65" s="19">
        <v>0</v>
      </c>
      <c r="I65" s="15">
        <v>3500</v>
      </c>
      <c r="J65" s="15">
        <v>0</v>
      </c>
      <c r="K65" s="15">
        <v>0</v>
      </c>
      <c r="L65" s="16">
        <v>0</v>
      </c>
      <c r="M65" s="15">
        <v>0</v>
      </c>
      <c r="N65" s="15" t="str">
        <v/>
      </c>
      <c r="O65" s="15" t="str">
        <v/>
      </c>
      <c r="P65" s="22">
        <v>0</v>
      </c>
      <c r="Q65">
        <v>0</v>
      </c>
    </row>
    <row r="66" spans="1:17">
      <c r="A66" s="19">
        <v>0</v>
      </c>
      <c r="B66" s="19">
        <v>0</v>
      </c>
      <c r="C66" s="19">
        <v>0</v>
      </c>
      <c r="D66" s="19">
        <v>0</v>
      </c>
      <c r="E66" s="19">
        <v>0</v>
      </c>
      <c r="F66" s="19">
        <v>0</v>
      </c>
      <c r="G66" s="19">
        <v>0</v>
      </c>
      <c r="H66" s="19">
        <v>0</v>
      </c>
      <c r="I66" s="15">
        <v>3500</v>
      </c>
      <c r="J66" s="15">
        <v>0</v>
      </c>
      <c r="K66" s="15">
        <v>0</v>
      </c>
      <c r="L66" s="16">
        <v>0</v>
      </c>
      <c r="M66" s="15">
        <v>0</v>
      </c>
      <c r="N66" s="15" t="str">
        <v/>
      </c>
      <c r="O66" s="15" t="str">
        <v/>
      </c>
      <c r="P66" s="22">
        <v>0</v>
      </c>
      <c r="Q66">
        <v>0</v>
      </c>
    </row>
    <row r="67" spans="1:17">
      <c r="A67" s="19">
        <v>0</v>
      </c>
      <c r="B67" s="19">
        <v>0</v>
      </c>
      <c r="C67" s="19">
        <v>0</v>
      </c>
      <c r="D67" s="19">
        <v>0</v>
      </c>
      <c r="E67" s="19">
        <v>0</v>
      </c>
      <c r="F67" s="19">
        <v>0</v>
      </c>
      <c r="G67" s="19">
        <v>0</v>
      </c>
      <c r="H67" s="19">
        <v>0</v>
      </c>
      <c r="I67" s="15">
        <v>3500</v>
      </c>
      <c r="J67" s="15">
        <v>0</v>
      </c>
      <c r="K67" s="15">
        <v>0</v>
      </c>
      <c r="L67" s="16">
        <v>0</v>
      </c>
      <c r="M67" s="15">
        <v>0</v>
      </c>
      <c r="N67" s="15" t="str">
        <v/>
      </c>
      <c r="O67" s="15" t="str">
        <v/>
      </c>
      <c r="P67" s="22">
        <v>0</v>
      </c>
      <c r="Q67">
        <v>0</v>
      </c>
    </row>
    <row r="68" spans="1:17">
      <c r="A68" s="19">
        <v>0</v>
      </c>
      <c r="B68" s="19">
        <v>0</v>
      </c>
      <c r="C68" s="19">
        <v>0</v>
      </c>
      <c r="D68" s="19">
        <v>0</v>
      </c>
      <c r="E68" s="19">
        <v>0</v>
      </c>
      <c r="F68" s="19">
        <v>0</v>
      </c>
      <c r="G68" s="19">
        <v>0</v>
      </c>
      <c r="H68" s="19">
        <v>0</v>
      </c>
      <c r="I68" s="15">
        <v>3500</v>
      </c>
      <c r="J68" s="15">
        <v>0</v>
      </c>
      <c r="K68" s="15">
        <v>0</v>
      </c>
      <c r="L68" s="16">
        <v>0</v>
      </c>
      <c r="M68" s="15">
        <v>0</v>
      </c>
      <c r="N68" s="15" t="str">
        <v/>
      </c>
      <c r="O68" s="15" t="str">
        <v/>
      </c>
      <c r="P68" s="22">
        <v>0</v>
      </c>
      <c r="Q68">
        <v>0</v>
      </c>
    </row>
    <row r="69" spans="1:17">
      <c r="A69" s="19">
        <v>0</v>
      </c>
      <c r="B69" s="19">
        <v>0</v>
      </c>
      <c r="C69" s="19">
        <v>0</v>
      </c>
      <c r="D69" s="19">
        <v>0</v>
      </c>
      <c r="E69" s="19">
        <v>0</v>
      </c>
      <c r="F69" s="19">
        <v>0</v>
      </c>
      <c r="G69" s="19">
        <v>0</v>
      </c>
      <c r="H69" s="19">
        <v>0</v>
      </c>
      <c r="I69" s="15">
        <v>3500</v>
      </c>
      <c r="J69" s="15">
        <v>0</v>
      </c>
      <c r="K69" s="15">
        <v>0</v>
      </c>
      <c r="L69" s="16">
        <v>0</v>
      </c>
      <c r="M69" s="15">
        <v>0</v>
      </c>
      <c r="N69" s="15" t="str">
        <v/>
      </c>
      <c r="O69" s="15" t="str">
        <v/>
      </c>
      <c r="P69" s="22">
        <v>0</v>
      </c>
      <c r="Q69">
        <v>0</v>
      </c>
    </row>
    <row r="70" spans="1:17">
      <c r="A70" s="19">
        <v>0</v>
      </c>
      <c r="B70" s="19">
        <v>0</v>
      </c>
      <c r="C70" s="19">
        <v>0</v>
      </c>
      <c r="D70" s="19">
        <v>0</v>
      </c>
      <c r="E70" s="19">
        <v>0</v>
      </c>
      <c r="F70" s="19">
        <v>0</v>
      </c>
      <c r="G70" s="19">
        <v>0</v>
      </c>
      <c r="H70" s="19">
        <v>0</v>
      </c>
      <c r="I70" s="15">
        <v>3500</v>
      </c>
      <c r="J70" s="15">
        <v>0</v>
      </c>
      <c r="K70" s="15">
        <v>0</v>
      </c>
      <c r="L70" s="16">
        <v>0</v>
      </c>
      <c r="M70" s="15">
        <v>0</v>
      </c>
      <c r="N70" s="15" t="str">
        <v/>
      </c>
      <c r="O70" s="15" t="str">
        <v/>
      </c>
      <c r="P70" s="22">
        <v>0</v>
      </c>
      <c r="Q70">
        <v>0</v>
      </c>
    </row>
    <row r="71" spans="1:17">
      <c r="A71" s="19">
        <v>0</v>
      </c>
      <c r="B71" s="19">
        <v>0</v>
      </c>
      <c r="C71" s="19">
        <v>0</v>
      </c>
      <c r="D71" s="19">
        <v>0</v>
      </c>
      <c r="E71" s="19">
        <v>0</v>
      </c>
      <c r="F71" s="19">
        <v>0</v>
      </c>
      <c r="G71" s="19">
        <v>0</v>
      </c>
      <c r="H71" s="19">
        <v>0</v>
      </c>
      <c r="I71" s="15">
        <v>3500</v>
      </c>
      <c r="J71" s="15">
        <v>0</v>
      </c>
      <c r="K71" s="15">
        <v>0</v>
      </c>
      <c r="L71" s="16">
        <v>0</v>
      </c>
      <c r="M71" s="15">
        <v>0</v>
      </c>
      <c r="N71" s="15" t="str">
        <v/>
      </c>
      <c r="O71" s="15" t="str">
        <v/>
      </c>
      <c r="P71" s="22">
        <v>0</v>
      </c>
      <c r="Q71">
        <v>0</v>
      </c>
    </row>
    <row r="72" spans="1:17">
      <c r="A72" s="19">
        <v>0</v>
      </c>
      <c r="B72" s="19">
        <v>0</v>
      </c>
      <c r="C72" s="19">
        <v>0</v>
      </c>
      <c r="D72" s="19">
        <v>0</v>
      </c>
      <c r="E72" s="19">
        <v>0</v>
      </c>
      <c r="F72" s="19">
        <v>0</v>
      </c>
      <c r="G72" s="19">
        <v>0</v>
      </c>
      <c r="H72" s="19">
        <v>0</v>
      </c>
      <c r="I72" s="15">
        <v>3500</v>
      </c>
      <c r="J72" s="15">
        <v>0</v>
      </c>
      <c r="K72" s="15">
        <v>0</v>
      </c>
      <c r="L72" s="16">
        <v>0</v>
      </c>
      <c r="M72" s="15">
        <v>0</v>
      </c>
      <c r="N72" s="15" t="str">
        <v/>
      </c>
      <c r="O72" s="15" t="str">
        <v/>
      </c>
      <c r="P72" s="22">
        <v>0</v>
      </c>
      <c r="Q72">
        <v>0</v>
      </c>
    </row>
    <row r="73" spans="1:17">
      <c r="A73" s="19">
        <v>0</v>
      </c>
      <c r="B73" s="19">
        <v>0</v>
      </c>
      <c r="C73" s="19">
        <v>0</v>
      </c>
      <c r="D73" s="19">
        <v>0</v>
      </c>
      <c r="E73" s="19">
        <v>0</v>
      </c>
      <c r="F73" s="19">
        <v>0</v>
      </c>
      <c r="G73" s="19">
        <v>0</v>
      </c>
      <c r="H73" s="19">
        <v>0</v>
      </c>
      <c r="I73" s="15">
        <v>3500</v>
      </c>
      <c r="J73" s="15">
        <v>0</v>
      </c>
      <c r="K73" s="15">
        <v>0</v>
      </c>
      <c r="L73" s="16">
        <v>0</v>
      </c>
      <c r="M73" s="15">
        <v>0</v>
      </c>
      <c r="N73" s="15" t="str">
        <v/>
      </c>
      <c r="O73" s="15" t="str">
        <v/>
      </c>
      <c r="P73" s="22">
        <v>0</v>
      </c>
      <c r="Q73">
        <v>0</v>
      </c>
    </row>
    <row r="74" spans="1:17">
      <c r="A74" s="19">
        <v>0</v>
      </c>
      <c r="B74" s="19">
        <v>0</v>
      </c>
      <c r="C74" s="19">
        <v>0</v>
      </c>
      <c r="D74" s="19">
        <v>0</v>
      </c>
      <c r="E74" s="19">
        <v>0</v>
      </c>
      <c r="F74" s="19">
        <v>0</v>
      </c>
      <c r="G74" s="19">
        <v>0</v>
      </c>
      <c r="H74" s="19">
        <v>0</v>
      </c>
      <c r="I74" s="15">
        <v>3500</v>
      </c>
      <c r="J74" s="15">
        <v>0</v>
      </c>
      <c r="K74" s="15">
        <v>0</v>
      </c>
      <c r="L74" s="16">
        <v>0</v>
      </c>
      <c r="M74" s="15">
        <v>0</v>
      </c>
      <c r="N74" s="15" t="str">
        <v/>
      </c>
      <c r="O74" s="15" t="str">
        <v/>
      </c>
      <c r="P74" s="22">
        <v>0</v>
      </c>
      <c r="Q74">
        <v>0</v>
      </c>
    </row>
    <row r="75" spans="1:17">
      <c r="A75" s="19">
        <v>0</v>
      </c>
      <c r="B75" s="19">
        <v>0</v>
      </c>
      <c r="C75" s="19">
        <v>0</v>
      </c>
      <c r="D75" s="19">
        <v>0</v>
      </c>
      <c r="E75" s="19">
        <v>0</v>
      </c>
      <c r="F75" s="19">
        <v>0</v>
      </c>
      <c r="G75" s="19">
        <v>0</v>
      </c>
      <c r="H75" s="19">
        <v>0</v>
      </c>
      <c r="I75" s="15">
        <v>3500</v>
      </c>
      <c r="J75" s="15">
        <v>0</v>
      </c>
      <c r="K75" s="15">
        <v>0</v>
      </c>
      <c r="L75" s="16">
        <v>0</v>
      </c>
      <c r="M75" s="15">
        <v>0</v>
      </c>
      <c r="N75" s="15" t="str">
        <v/>
      </c>
      <c r="O75" s="15" t="str">
        <v/>
      </c>
      <c r="P75" s="22">
        <v>0</v>
      </c>
      <c r="Q75">
        <v>0</v>
      </c>
    </row>
    <row r="76" spans="1:17">
      <c r="A76" s="19">
        <v>0</v>
      </c>
      <c r="B76" s="19">
        <v>0</v>
      </c>
      <c r="C76" s="19">
        <v>0</v>
      </c>
      <c r="D76" s="19">
        <v>0</v>
      </c>
      <c r="E76" s="19">
        <v>0</v>
      </c>
      <c r="F76" s="19">
        <v>0</v>
      </c>
      <c r="G76" s="19">
        <v>0</v>
      </c>
      <c r="H76" s="19">
        <v>0</v>
      </c>
      <c r="I76" s="15">
        <v>3500</v>
      </c>
      <c r="J76" s="15">
        <v>0</v>
      </c>
      <c r="K76" s="15">
        <v>0</v>
      </c>
      <c r="L76" s="16">
        <v>0</v>
      </c>
      <c r="M76" s="15">
        <v>0</v>
      </c>
      <c r="N76" s="15" t="str">
        <v/>
      </c>
      <c r="O76" s="15" t="str">
        <v/>
      </c>
      <c r="P76" s="22">
        <v>0</v>
      </c>
      <c r="Q76">
        <v>0</v>
      </c>
    </row>
    <row r="77" spans="1:17">
      <c r="A77" s="19">
        <v>0</v>
      </c>
      <c r="B77" s="19">
        <v>0</v>
      </c>
      <c r="C77" s="19">
        <v>0</v>
      </c>
      <c r="D77" s="19">
        <v>0</v>
      </c>
      <c r="E77" s="19">
        <v>0</v>
      </c>
      <c r="F77" s="19">
        <v>0</v>
      </c>
      <c r="G77" s="19">
        <v>0</v>
      </c>
      <c r="H77" s="19">
        <v>0</v>
      </c>
      <c r="I77" s="15">
        <v>3500</v>
      </c>
      <c r="J77" s="15">
        <v>0</v>
      </c>
      <c r="K77" s="15">
        <v>0</v>
      </c>
      <c r="L77" s="16">
        <v>0</v>
      </c>
      <c r="M77" s="15">
        <v>0</v>
      </c>
      <c r="N77" s="15" t="str">
        <v/>
      </c>
      <c r="O77" s="15" t="str">
        <v/>
      </c>
      <c r="P77" s="22">
        <v>0</v>
      </c>
      <c r="Q77">
        <v>0</v>
      </c>
    </row>
    <row r="78" spans="1:17">
      <c r="A78" s="19">
        <v>0</v>
      </c>
      <c r="B78" s="19">
        <v>0</v>
      </c>
      <c r="C78" s="19">
        <v>0</v>
      </c>
      <c r="D78" s="19">
        <v>0</v>
      </c>
      <c r="E78" s="19">
        <v>0</v>
      </c>
      <c r="F78" s="19">
        <v>0</v>
      </c>
      <c r="G78" s="19">
        <v>0</v>
      </c>
      <c r="H78" s="19">
        <v>0</v>
      </c>
      <c r="I78" s="15">
        <v>3500</v>
      </c>
      <c r="J78" s="15">
        <v>0</v>
      </c>
      <c r="K78" s="15">
        <v>0</v>
      </c>
      <c r="L78" s="16">
        <v>0</v>
      </c>
      <c r="M78" s="15">
        <v>0</v>
      </c>
      <c r="N78" s="15" t="str">
        <v/>
      </c>
      <c r="O78" s="15" t="str">
        <v/>
      </c>
      <c r="P78" s="22">
        <v>0</v>
      </c>
      <c r="Q78">
        <v>0</v>
      </c>
    </row>
    <row r="79" spans="1:17">
      <c r="A79" s="19">
        <v>0</v>
      </c>
      <c r="B79" s="19">
        <v>0</v>
      </c>
      <c r="C79" s="19">
        <v>0</v>
      </c>
      <c r="D79" s="19">
        <v>0</v>
      </c>
      <c r="E79" s="19">
        <v>0</v>
      </c>
      <c r="F79" s="19">
        <v>0</v>
      </c>
      <c r="G79" s="19">
        <v>0</v>
      </c>
      <c r="H79" s="19">
        <v>0</v>
      </c>
      <c r="I79" s="15">
        <v>3500</v>
      </c>
      <c r="J79" s="15">
        <v>0</v>
      </c>
      <c r="K79" s="15">
        <v>0</v>
      </c>
      <c r="L79" s="16">
        <v>0</v>
      </c>
      <c r="M79" s="15">
        <v>0</v>
      </c>
      <c r="N79" s="15" t="str">
        <v/>
      </c>
      <c r="O79" s="15" t="str">
        <v/>
      </c>
      <c r="P79" s="22">
        <v>0</v>
      </c>
      <c r="Q79">
        <v>0</v>
      </c>
    </row>
    <row r="80" spans="1:17">
      <c r="A80" s="19">
        <v>0</v>
      </c>
      <c r="B80" s="19">
        <v>0</v>
      </c>
      <c r="C80" s="19">
        <v>0</v>
      </c>
      <c r="D80" s="19">
        <v>0</v>
      </c>
      <c r="E80" s="19">
        <v>0</v>
      </c>
      <c r="F80" s="19">
        <v>0</v>
      </c>
      <c r="G80" s="19">
        <v>0</v>
      </c>
      <c r="H80" s="19">
        <v>0</v>
      </c>
      <c r="I80" s="15">
        <v>3500</v>
      </c>
      <c r="J80" s="15">
        <v>0</v>
      </c>
      <c r="K80" s="15">
        <v>0</v>
      </c>
      <c r="L80" s="16">
        <v>0</v>
      </c>
      <c r="M80" s="15">
        <v>0</v>
      </c>
      <c r="N80" s="15" t="str">
        <v/>
      </c>
      <c r="O80" s="15" t="str">
        <v/>
      </c>
      <c r="P80" s="22">
        <v>0</v>
      </c>
      <c r="Q80">
        <v>0</v>
      </c>
    </row>
    <row r="81" spans="1:17">
      <c r="A81" s="19">
        <v>0</v>
      </c>
      <c r="B81" s="19">
        <v>0</v>
      </c>
      <c r="C81" s="19">
        <v>0</v>
      </c>
      <c r="D81" s="19">
        <v>0</v>
      </c>
      <c r="E81" s="19">
        <v>0</v>
      </c>
      <c r="F81" s="19">
        <v>0</v>
      </c>
      <c r="G81" s="19">
        <v>0</v>
      </c>
      <c r="H81" s="19">
        <v>0</v>
      </c>
      <c r="I81" s="15">
        <v>3500</v>
      </c>
      <c r="J81" s="15">
        <v>0</v>
      </c>
      <c r="K81" s="15">
        <v>0</v>
      </c>
      <c r="L81" s="16">
        <v>0</v>
      </c>
      <c r="M81" s="15">
        <v>0</v>
      </c>
      <c r="N81" s="15" t="str">
        <v/>
      </c>
      <c r="O81" s="15" t="str">
        <v/>
      </c>
      <c r="P81" s="22">
        <v>0</v>
      </c>
      <c r="Q81">
        <v>0</v>
      </c>
    </row>
    <row r="82" spans="1:17">
      <c r="A82" s="19">
        <v>0</v>
      </c>
      <c r="B82" s="19">
        <v>0</v>
      </c>
      <c r="C82" s="19">
        <v>0</v>
      </c>
      <c r="D82" s="19">
        <v>0</v>
      </c>
      <c r="E82" s="19">
        <v>0</v>
      </c>
      <c r="F82" s="19">
        <v>0</v>
      </c>
      <c r="G82" s="19">
        <v>0</v>
      </c>
      <c r="H82" s="19">
        <v>0</v>
      </c>
      <c r="I82" s="15">
        <v>3500</v>
      </c>
      <c r="J82" s="15">
        <v>0</v>
      </c>
      <c r="K82" s="15">
        <v>0</v>
      </c>
      <c r="L82" s="16">
        <v>0</v>
      </c>
      <c r="M82" s="15">
        <v>0</v>
      </c>
      <c r="N82" s="15" t="str">
        <v/>
      </c>
      <c r="O82" s="15" t="str">
        <v/>
      </c>
      <c r="P82" s="22">
        <v>0</v>
      </c>
      <c r="Q82">
        <v>0</v>
      </c>
    </row>
    <row r="83" spans="1:17">
      <c r="A83" s="19">
        <v>0</v>
      </c>
      <c r="B83" s="19">
        <v>0</v>
      </c>
      <c r="C83" s="19">
        <v>0</v>
      </c>
      <c r="D83" s="19">
        <v>0</v>
      </c>
      <c r="E83" s="19">
        <v>0</v>
      </c>
      <c r="F83" s="19">
        <v>0</v>
      </c>
      <c r="G83" s="19">
        <v>0</v>
      </c>
      <c r="H83" s="19">
        <v>0</v>
      </c>
      <c r="I83" s="15">
        <v>3500</v>
      </c>
      <c r="J83" s="15">
        <v>0</v>
      </c>
      <c r="K83" s="15">
        <v>0</v>
      </c>
      <c r="L83" s="16">
        <v>0</v>
      </c>
      <c r="M83" s="15">
        <v>0</v>
      </c>
      <c r="N83" s="15" t="str">
        <v/>
      </c>
      <c r="O83" s="15" t="str">
        <v/>
      </c>
      <c r="P83" s="22">
        <v>0</v>
      </c>
      <c r="Q83">
        <v>0</v>
      </c>
    </row>
    <row r="84" spans="1:17">
      <c r="A84" s="19">
        <v>0</v>
      </c>
      <c r="B84" s="19">
        <v>0</v>
      </c>
      <c r="C84" s="19">
        <v>0</v>
      </c>
      <c r="D84" s="19">
        <v>0</v>
      </c>
      <c r="E84" s="19">
        <v>0</v>
      </c>
      <c r="F84" s="19">
        <v>0</v>
      </c>
      <c r="G84" s="19">
        <v>0</v>
      </c>
      <c r="H84" s="19">
        <v>0</v>
      </c>
      <c r="I84" s="15">
        <v>3500</v>
      </c>
      <c r="J84" s="15">
        <v>0</v>
      </c>
      <c r="K84" s="15">
        <v>0</v>
      </c>
      <c r="L84" s="16">
        <v>0</v>
      </c>
      <c r="M84" s="15">
        <v>0</v>
      </c>
      <c r="N84" s="15" t="str">
        <v/>
      </c>
      <c r="O84" s="15" t="str">
        <v/>
      </c>
      <c r="P84" s="22">
        <v>0</v>
      </c>
      <c r="Q84">
        <v>0</v>
      </c>
    </row>
    <row r="85" spans="1:17">
      <c r="A85" s="19">
        <v>0</v>
      </c>
      <c r="B85" s="19">
        <v>0</v>
      </c>
      <c r="C85" s="19">
        <v>0</v>
      </c>
      <c r="D85" s="19">
        <v>0</v>
      </c>
      <c r="E85" s="19">
        <v>0</v>
      </c>
      <c r="F85" s="19">
        <v>0</v>
      </c>
      <c r="G85" s="19">
        <v>0</v>
      </c>
      <c r="H85" s="19">
        <v>0</v>
      </c>
      <c r="I85" s="15">
        <v>3500</v>
      </c>
      <c r="J85" s="15">
        <v>0</v>
      </c>
      <c r="K85" s="15">
        <v>0</v>
      </c>
      <c r="L85" s="16">
        <v>0</v>
      </c>
      <c r="M85" s="15">
        <v>0</v>
      </c>
      <c r="N85" s="15" t="str">
        <v/>
      </c>
      <c r="O85" s="15" t="str">
        <v/>
      </c>
      <c r="P85" s="22">
        <v>0</v>
      </c>
      <c r="Q85">
        <v>0</v>
      </c>
    </row>
    <row r="86" spans="1:17">
      <c r="A86" s="19">
        <v>0</v>
      </c>
      <c r="B86" s="19">
        <v>0</v>
      </c>
      <c r="C86" s="19">
        <v>0</v>
      </c>
      <c r="D86" s="19">
        <v>0</v>
      </c>
      <c r="E86" s="19">
        <v>0</v>
      </c>
      <c r="F86" s="19">
        <v>0</v>
      </c>
      <c r="G86" s="19">
        <v>0</v>
      </c>
      <c r="H86" s="19">
        <v>0</v>
      </c>
      <c r="I86" s="15">
        <v>3500</v>
      </c>
      <c r="J86" s="15">
        <v>0</v>
      </c>
      <c r="K86" s="15">
        <v>0</v>
      </c>
      <c r="L86" s="16">
        <v>0</v>
      </c>
      <c r="M86" s="15">
        <v>0</v>
      </c>
      <c r="N86" s="15" t="str">
        <v/>
      </c>
      <c r="O86" s="15" t="str">
        <v/>
      </c>
      <c r="P86" s="22">
        <v>0</v>
      </c>
      <c r="Q86">
        <v>0</v>
      </c>
    </row>
    <row r="87" spans="1:17">
      <c r="A87" s="19">
        <v>0</v>
      </c>
      <c r="B87" s="19">
        <v>0</v>
      </c>
      <c r="C87" s="19">
        <v>0</v>
      </c>
      <c r="D87" s="19">
        <v>0</v>
      </c>
      <c r="E87" s="19">
        <v>0</v>
      </c>
      <c r="F87" s="19">
        <v>0</v>
      </c>
      <c r="G87" s="19">
        <v>0</v>
      </c>
      <c r="H87" s="19">
        <v>0</v>
      </c>
      <c r="I87" s="15">
        <v>3500</v>
      </c>
      <c r="J87" s="15">
        <v>0</v>
      </c>
      <c r="K87" s="15">
        <v>0</v>
      </c>
      <c r="L87" s="16">
        <v>0</v>
      </c>
      <c r="M87" s="15">
        <v>0</v>
      </c>
      <c r="N87" s="15" t="str">
        <v/>
      </c>
      <c r="O87" s="15" t="str">
        <v/>
      </c>
      <c r="P87" s="22">
        <v>0</v>
      </c>
      <c r="Q87">
        <v>0</v>
      </c>
    </row>
    <row r="88" spans="1:17">
      <c r="A88" s="19">
        <v>0</v>
      </c>
      <c r="B88" s="19">
        <v>0</v>
      </c>
      <c r="C88" s="19">
        <v>0</v>
      </c>
      <c r="D88" s="19">
        <v>0</v>
      </c>
      <c r="E88" s="19">
        <v>0</v>
      </c>
      <c r="F88" s="19">
        <v>0</v>
      </c>
      <c r="G88" s="19">
        <v>0</v>
      </c>
      <c r="H88" s="19">
        <v>0</v>
      </c>
      <c r="I88" s="15">
        <v>3500</v>
      </c>
      <c r="J88" s="15">
        <v>0</v>
      </c>
      <c r="K88" s="15">
        <v>0</v>
      </c>
      <c r="L88" s="16">
        <v>0</v>
      </c>
      <c r="M88" s="15">
        <v>0</v>
      </c>
      <c r="N88" s="15" t="str">
        <v/>
      </c>
      <c r="O88" s="15" t="str">
        <v/>
      </c>
      <c r="P88" s="22">
        <v>0</v>
      </c>
      <c r="Q88">
        <v>0</v>
      </c>
    </row>
    <row r="89" spans="1:17">
      <c r="A89" s="19">
        <v>0</v>
      </c>
      <c r="B89" s="19">
        <v>0</v>
      </c>
      <c r="C89" s="19">
        <v>0</v>
      </c>
      <c r="D89" s="19">
        <v>0</v>
      </c>
      <c r="E89" s="19">
        <v>0</v>
      </c>
      <c r="F89" s="19">
        <v>0</v>
      </c>
      <c r="G89" s="19">
        <v>0</v>
      </c>
      <c r="H89" s="19">
        <v>0</v>
      </c>
      <c r="I89" s="15">
        <v>3500</v>
      </c>
      <c r="J89" s="15">
        <v>0</v>
      </c>
      <c r="K89" s="15">
        <v>0</v>
      </c>
      <c r="L89" s="16">
        <v>0</v>
      </c>
      <c r="M89" s="15">
        <v>0</v>
      </c>
      <c r="N89" s="15" t="str">
        <v/>
      </c>
      <c r="O89" s="15" t="str">
        <v/>
      </c>
      <c r="P89" s="22">
        <v>0</v>
      </c>
      <c r="Q89">
        <v>0</v>
      </c>
    </row>
    <row r="90" spans="1:17">
      <c r="A90" s="19">
        <v>0</v>
      </c>
      <c r="B90" s="19">
        <v>0</v>
      </c>
      <c r="C90" s="19">
        <v>0</v>
      </c>
      <c r="D90" s="19">
        <v>0</v>
      </c>
      <c r="E90" s="19">
        <v>0</v>
      </c>
      <c r="F90" s="19">
        <v>0</v>
      </c>
      <c r="G90" s="19">
        <v>0</v>
      </c>
      <c r="H90" s="19">
        <v>0</v>
      </c>
      <c r="I90" s="15">
        <v>3500</v>
      </c>
      <c r="J90" s="15">
        <v>0</v>
      </c>
      <c r="K90" s="15">
        <v>0</v>
      </c>
      <c r="L90" s="16">
        <v>0</v>
      </c>
      <c r="M90" s="15">
        <v>0</v>
      </c>
      <c r="N90" s="15" t="str">
        <v/>
      </c>
      <c r="O90" s="15" t="str">
        <v/>
      </c>
      <c r="P90" s="22">
        <v>0</v>
      </c>
      <c r="Q90">
        <v>0</v>
      </c>
    </row>
    <row r="91" spans="1:17">
      <c r="A91" s="19">
        <v>0</v>
      </c>
      <c r="B91" s="19">
        <v>0</v>
      </c>
      <c r="C91" s="19">
        <v>0</v>
      </c>
      <c r="D91" s="19">
        <v>0</v>
      </c>
      <c r="E91" s="19">
        <v>0</v>
      </c>
      <c r="F91" s="19">
        <v>0</v>
      </c>
      <c r="G91" s="19">
        <v>0</v>
      </c>
      <c r="H91" s="19">
        <v>0</v>
      </c>
      <c r="I91" s="15">
        <v>3500</v>
      </c>
      <c r="J91" s="15">
        <v>0</v>
      </c>
      <c r="K91" s="15">
        <v>0</v>
      </c>
      <c r="L91" s="16">
        <v>0</v>
      </c>
      <c r="M91" s="15">
        <v>0</v>
      </c>
      <c r="N91" s="15" t="str">
        <v/>
      </c>
      <c r="O91" s="15" t="str">
        <v/>
      </c>
      <c r="P91" s="22">
        <v>0</v>
      </c>
      <c r="Q91">
        <v>0</v>
      </c>
    </row>
    <row r="92" spans="1:17">
      <c r="A92" s="19">
        <v>0</v>
      </c>
      <c r="B92" s="19">
        <v>0</v>
      </c>
      <c r="C92" s="19">
        <v>0</v>
      </c>
      <c r="D92" s="19">
        <v>0</v>
      </c>
      <c r="E92" s="19">
        <v>0</v>
      </c>
      <c r="F92" s="19">
        <v>0</v>
      </c>
      <c r="G92" s="19">
        <v>0</v>
      </c>
      <c r="H92" s="19">
        <v>0</v>
      </c>
      <c r="I92" s="15">
        <v>3500</v>
      </c>
      <c r="J92" s="15">
        <v>0</v>
      </c>
      <c r="K92" s="15">
        <v>0</v>
      </c>
      <c r="L92" s="16">
        <v>0</v>
      </c>
      <c r="M92" s="15">
        <v>0</v>
      </c>
      <c r="N92" s="15" t="str">
        <v/>
      </c>
      <c r="O92" s="15" t="str">
        <v/>
      </c>
      <c r="P92" s="22">
        <v>0</v>
      </c>
      <c r="Q92">
        <v>0</v>
      </c>
    </row>
    <row r="93" spans="1:17">
      <c r="A93" s="19">
        <v>0</v>
      </c>
      <c r="B93" s="19">
        <v>0</v>
      </c>
      <c r="C93" s="19">
        <v>0</v>
      </c>
      <c r="D93" s="19">
        <v>0</v>
      </c>
      <c r="E93" s="19">
        <v>0</v>
      </c>
      <c r="F93" s="19">
        <v>0</v>
      </c>
      <c r="G93" s="19">
        <v>0</v>
      </c>
      <c r="H93" s="19">
        <v>0</v>
      </c>
      <c r="I93" s="15">
        <v>3500</v>
      </c>
      <c r="J93" s="15">
        <v>0</v>
      </c>
      <c r="K93" s="15">
        <v>0</v>
      </c>
      <c r="L93" s="16">
        <v>0</v>
      </c>
      <c r="M93" s="15">
        <v>0</v>
      </c>
      <c r="N93" s="15" t="str">
        <v/>
      </c>
      <c r="O93" s="15" t="str">
        <v/>
      </c>
      <c r="P93" s="22">
        <v>0</v>
      </c>
      <c r="Q93">
        <v>0</v>
      </c>
    </row>
    <row r="94" spans="1:17">
      <c r="A94" s="19">
        <v>0</v>
      </c>
      <c r="B94" s="19">
        <v>0</v>
      </c>
      <c r="C94" s="19">
        <v>0</v>
      </c>
      <c r="D94" s="19">
        <v>0</v>
      </c>
      <c r="E94" s="19">
        <v>0</v>
      </c>
      <c r="F94" s="19">
        <v>0</v>
      </c>
      <c r="G94" s="19">
        <v>0</v>
      </c>
      <c r="H94" s="19">
        <v>0</v>
      </c>
      <c r="I94" s="15">
        <v>3500</v>
      </c>
      <c r="J94" s="15">
        <v>0</v>
      </c>
      <c r="K94" s="15">
        <v>0</v>
      </c>
      <c r="L94" s="16">
        <v>0</v>
      </c>
      <c r="M94" s="15">
        <v>0</v>
      </c>
      <c r="N94" s="15" t="str">
        <v/>
      </c>
      <c r="O94" s="15" t="str">
        <v/>
      </c>
      <c r="P94" s="22">
        <v>0</v>
      </c>
      <c r="Q94">
        <v>0</v>
      </c>
    </row>
    <row r="95" spans="1:17">
      <c r="A95" s="19">
        <v>0</v>
      </c>
      <c r="B95" s="19">
        <v>0</v>
      </c>
      <c r="C95" s="19">
        <v>0</v>
      </c>
      <c r="D95" s="19">
        <v>0</v>
      </c>
      <c r="E95" s="19">
        <v>0</v>
      </c>
      <c r="F95" s="19">
        <v>0</v>
      </c>
      <c r="G95" s="19">
        <v>0</v>
      </c>
      <c r="H95" s="19">
        <v>0</v>
      </c>
      <c r="I95" s="15">
        <v>3500</v>
      </c>
      <c r="J95" s="15">
        <v>0</v>
      </c>
      <c r="K95" s="15">
        <v>0</v>
      </c>
      <c r="L95" s="16">
        <v>0</v>
      </c>
      <c r="M95" s="15">
        <v>0</v>
      </c>
      <c r="N95" s="15" t="str">
        <v/>
      </c>
      <c r="O95" s="15" t="str">
        <v/>
      </c>
      <c r="P95" s="22">
        <v>0</v>
      </c>
      <c r="Q95">
        <v>0</v>
      </c>
    </row>
    <row r="96" spans="1:17">
      <c r="A96" s="19">
        <v>0</v>
      </c>
      <c r="B96" s="19">
        <v>0</v>
      </c>
      <c r="C96" s="19">
        <v>0</v>
      </c>
      <c r="D96" s="19">
        <v>0</v>
      </c>
      <c r="E96" s="19">
        <v>0</v>
      </c>
      <c r="F96" s="19">
        <v>0</v>
      </c>
      <c r="G96" s="19">
        <v>0</v>
      </c>
      <c r="H96" s="19">
        <v>0</v>
      </c>
      <c r="I96" s="15">
        <v>3500</v>
      </c>
      <c r="J96" s="15">
        <v>0</v>
      </c>
      <c r="K96" s="15">
        <v>0</v>
      </c>
      <c r="L96" s="16">
        <v>0</v>
      </c>
      <c r="M96" s="15">
        <v>0</v>
      </c>
      <c r="N96" s="15" t="str">
        <v/>
      </c>
      <c r="O96" s="15" t="str">
        <v/>
      </c>
      <c r="P96" s="22">
        <v>0</v>
      </c>
      <c r="Q96">
        <v>0</v>
      </c>
    </row>
    <row r="97" spans="1:17">
      <c r="A97" s="19">
        <v>0</v>
      </c>
      <c r="B97" s="19">
        <v>0</v>
      </c>
      <c r="C97" s="19">
        <v>0</v>
      </c>
      <c r="D97" s="19">
        <v>0</v>
      </c>
      <c r="E97" s="19">
        <v>0</v>
      </c>
      <c r="F97" s="19">
        <v>0</v>
      </c>
      <c r="G97" s="19">
        <v>0</v>
      </c>
      <c r="H97" s="19">
        <v>0</v>
      </c>
      <c r="I97" s="15">
        <v>3500</v>
      </c>
      <c r="J97" s="15">
        <v>0</v>
      </c>
      <c r="K97" s="15">
        <v>0</v>
      </c>
      <c r="L97" s="16">
        <v>0</v>
      </c>
      <c r="M97" s="15">
        <v>0</v>
      </c>
      <c r="N97" s="15" t="str">
        <v/>
      </c>
      <c r="O97" s="15" t="str">
        <v/>
      </c>
      <c r="P97" s="22">
        <v>0</v>
      </c>
      <c r="Q97">
        <v>0</v>
      </c>
    </row>
    <row r="98" spans="1:17">
      <c r="A98" s="19">
        <v>0</v>
      </c>
      <c r="B98" s="19">
        <v>0</v>
      </c>
      <c r="C98" s="19">
        <v>0</v>
      </c>
      <c r="D98" s="19">
        <v>0</v>
      </c>
      <c r="E98" s="19">
        <v>0</v>
      </c>
      <c r="F98" s="19">
        <v>0</v>
      </c>
      <c r="G98" s="19">
        <v>0</v>
      </c>
      <c r="H98" s="19">
        <v>0</v>
      </c>
      <c r="I98" s="15">
        <v>3500</v>
      </c>
      <c r="J98" s="15">
        <v>0</v>
      </c>
      <c r="K98" s="15">
        <v>0</v>
      </c>
      <c r="L98" s="16">
        <v>0</v>
      </c>
      <c r="M98" s="15">
        <v>0</v>
      </c>
      <c r="N98" s="15" t="str">
        <v/>
      </c>
      <c r="O98" s="15" t="str">
        <v/>
      </c>
      <c r="P98" s="22">
        <v>0</v>
      </c>
      <c r="Q98">
        <v>0</v>
      </c>
    </row>
    <row r="99" spans="1:17">
      <c r="A99" s="19">
        <v>0</v>
      </c>
      <c r="B99" s="19">
        <v>0</v>
      </c>
      <c r="C99" s="19">
        <v>0</v>
      </c>
      <c r="D99" s="19">
        <v>0</v>
      </c>
      <c r="E99" s="19">
        <v>0</v>
      </c>
      <c r="F99" s="19">
        <v>0</v>
      </c>
      <c r="G99" s="19">
        <v>0</v>
      </c>
      <c r="H99" s="19">
        <v>0</v>
      </c>
      <c r="I99" s="15">
        <v>3500</v>
      </c>
      <c r="J99" s="15">
        <v>0</v>
      </c>
      <c r="K99" s="15">
        <v>0</v>
      </c>
      <c r="L99" s="16">
        <v>0</v>
      </c>
      <c r="M99" s="15">
        <v>0</v>
      </c>
      <c r="N99" s="15" t="str">
        <v/>
      </c>
      <c r="O99" s="15" t="str">
        <v/>
      </c>
      <c r="P99" s="22">
        <v>0</v>
      </c>
      <c r="Q99">
        <v>0</v>
      </c>
    </row>
    <row r="100" spans="1:17">
      <c r="A100" s="19">
        <v>0</v>
      </c>
      <c r="B100" s="19">
        <v>0</v>
      </c>
      <c r="C100" s="19">
        <v>0</v>
      </c>
      <c r="D100" s="19">
        <v>0</v>
      </c>
      <c r="E100" s="19">
        <v>0</v>
      </c>
      <c r="F100" s="19">
        <v>0</v>
      </c>
      <c r="G100" s="19">
        <v>0</v>
      </c>
      <c r="H100" s="19">
        <v>0</v>
      </c>
      <c r="I100" s="15">
        <v>3500</v>
      </c>
      <c r="J100" s="15">
        <v>0</v>
      </c>
      <c r="K100" s="15">
        <v>0</v>
      </c>
      <c r="L100" s="16">
        <v>0</v>
      </c>
      <c r="M100" s="15">
        <v>0</v>
      </c>
      <c r="N100" s="15" t="str">
        <v/>
      </c>
      <c r="O100" s="15" t="str">
        <v/>
      </c>
      <c r="P100" s="22">
        <v>0</v>
      </c>
      <c r="Q100">
        <v>0</v>
      </c>
    </row>
    <row r="101" spans="1:17">
      <c r="A101" s="19">
        <v>0</v>
      </c>
      <c r="B101" s="19">
        <v>0</v>
      </c>
      <c r="C101" s="19">
        <v>0</v>
      </c>
      <c r="D101" s="19">
        <v>0</v>
      </c>
      <c r="E101" s="19">
        <v>0</v>
      </c>
      <c r="F101" s="19">
        <v>0</v>
      </c>
      <c r="G101" s="19">
        <v>0</v>
      </c>
      <c r="H101" s="19">
        <v>0</v>
      </c>
      <c r="I101" s="15">
        <v>3500</v>
      </c>
      <c r="J101" s="15">
        <v>0</v>
      </c>
      <c r="K101" s="15">
        <v>0</v>
      </c>
      <c r="L101" s="16">
        <v>0</v>
      </c>
      <c r="M101" s="15">
        <v>0</v>
      </c>
      <c r="N101" s="15" t="str">
        <v/>
      </c>
      <c r="O101" s="15" t="str">
        <v/>
      </c>
      <c r="P101" s="22">
        <v>0</v>
      </c>
      <c r="Q101">
        <v>0</v>
      </c>
    </row>
    <row r="102" spans="1:17">
      <c r="A102" s="19">
        <v>0</v>
      </c>
      <c r="B102" s="19">
        <v>0</v>
      </c>
      <c r="C102" s="19">
        <v>0</v>
      </c>
      <c r="D102" s="19">
        <v>0</v>
      </c>
      <c r="E102" s="19">
        <v>0</v>
      </c>
      <c r="F102" s="19">
        <v>0</v>
      </c>
      <c r="G102" s="19">
        <v>0</v>
      </c>
      <c r="H102" s="19">
        <v>0</v>
      </c>
      <c r="I102" s="15">
        <v>3500</v>
      </c>
      <c r="J102" s="15">
        <v>0</v>
      </c>
      <c r="K102" s="15">
        <v>0</v>
      </c>
      <c r="L102" s="16">
        <v>0</v>
      </c>
      <c r="M102" s="15">
        <v>0</v>
      </c>
      <c r="N102" s="15" t="str">
        <v/>
      </c>
      <c r="O102" s="15" t="str">
        <v/>
      </c>
      <c r="P102" s="22">
        <v>0</v>
      </c>
      <c r="Q102">
        <v>0</v>
      </c>
    </row>
    <row r="103" spans="1:17">
      <c r="A103" s="19">
        <v>0</v>
      </c>
      <c r="B103" s="19">
        <v>0</v>
      </c>
      <c r="C103" s="19">
        <v>0</v>
      </c>
      <c r="D103" s="19">
        <v>0</v>
      </c>
      <c r="E103" s="19">
        <v>0</v>
      </c>
      <c r="F103" s="19">
        <v>0</v>
      </c>
      <c r="G103" s="19">
        <v>0</v>
      </c>
      <c r="H103" s="19">
        <v>0</v>
      </c>
      <c r="I103" s="15">
        <v>3500</v>
      </c>
      <c r="J103" s="15">
        <v>0</v>
      </c>
      <c r="K103" s="15">
        <v>0</v>
      </c>
      <c r="L103" s="16">
        <v>0</v>
      </c>
      <c r="M103" s="15">
        <v>0</v>
      </c>
      <c r="N103" s="15" t="str">
        <v/>
      </c>
      <c r="O103" s="15" t="str">
        <v/>
      </c>
      <c r="P103" s="22">
        <v>0</v>
      </c>
      <c r="Q103">
        <v>0</v>
      </c>
    </row>
    <row r="104" spans="1:17">
      <c r="A104" s="19">
        <v>0</v>
      </c>
      <c r="B104" s="19">
        <v>0</v>
      </c>
      <c r="C104" s="19">
        <v>0</v>
      </c>
      <c r="D104" s="19">
        <v>0</v>
      </c>
      <c r="E104" s="19">
        <v>0</v>
      </c>
      <c r="F104" s="19">
        <v>0</v>
      </c>
      <c r="G104" s="19">
        <v>0</v>
      </c>
      <c r="H104" s="19">
        <v>0</v>
      </c>
      <c r="I104" s="15">
        <v>3500</v>
      </c>
      <c r="J104" s="15">
        <v>0</v>
      </c>
      <c r="K104" s="15">
        <v>0</v>
      </c>
      <c r="L104" s="16">
        <v>0</v>
      </c>
      <c r="M104" s="15">
        <v>0</v>
      </c>
      <c r="N104" s="15" t="str">
        <v/>
      </c>
      <c r="O104" s="15" t="str">
        <v/>
      </c>
      <c r="P104" s="22">
        <v>0</v>
      </c>
      <c r="Q104">
        <v>0</v>
      </c>
    </row>
    <row r="105" spans="1:17">
      <c r="A105" s="19">
        <v>0</v>
      </c>
      <c r="B105" s="19">
        <v>0</v>
      </c>
      <c r="C105" s="19">
        <v>0</v>
      </c>
      <c r="D105" s="19">
        <v>0</v>
      </c>
      <c r="E105" s="19">
        <v>0</v>
      </c>
      <c r="F105" s="19">
        <v>0</v>
      </c>
      <c r="G105" s="19">
        <v>0</v>
      </c>
      <c r="H105" s="19">
        <v>0</v>
      </c>
      <c r="I105" s="15">
        <v>3500</v>
      </c>
      <c r="J105" s="15">
        <v>0</v>
      </c>
      <c r="K105" s="15">
        <v>0</v>
      </c>
      <c r="L105" s="16">
        <v>0</v>
      </c>
      <c r="M105" s="15">
        <v>0</v>
      </c>
      <c r="N105" s="15" t="str">
        <v/>
      </c>
      <c r="O105" s="15" t="str">
        <v/>
      </c>
      <c r="P105" s="22">
        <v>0</v>
      </c>
      <c r="Q105">
        <v>0</v>
      </c>
    </row>
    <row r="106" spans="1:17">
      <c r="A106" s="19">
        <v>0</v>
      </c>
      <c r="B106" s="19">
        <v>0</v>
      </c>
      <c r="C106" s="19">
        <v>0</v>
      </c>
      <c r="D106" s="19">
        <v>0</v>
      </c>
      <c r="E106" s="19">
        <v>0</v>
      </c>
      <c r="F106" s="19">
        <v>0</v>
      </c>
      <c r="G106" s="19">
        <v>0</v>
      </c>
      <c r="H106" s="19">
        <v>0</v>
      </c>
      <c r="I106" s="15">
        <v>3500</v>
      </c>
      <c r="J106" s="15">
        <v>0</v>
      </c>
      <c r="K106" s="15">
        <v>0</v>
      </c>
      <c r="L106" s="16">
        <v>0</v>
      </c>
      <c r="M106" s="15">
        <v>0</v>
      </c>
      <c r="N106" s="15" t="str">
        <v/>
      </c>
      <c r="O106" s="15" t="str">
        <v/>
      </c>
      <c r="P106" s="22">
        <v>0</v>
      </c>
      <c r="Q106">
        <v>0</v>
      </c>
    </row>
    <row r="107" spans="1:17">
      <c r="A107" s="19">
        <v>0</v>
      </c>
      <c r="B107" s="19">
        <v>0</v>
      </c>
      <c r="C107" s="19">
        <v>0</v>
      </c>
      <c r="D107" s="19">
        <v>0</v>
      </c>
      <c r="E107" s="19">
        <v>0</v>
      </c>
      <c r="F107" s="19">
        <v>0</v>
      </c>
      <c r="G107" s="19">
        <v>0</v>
      </c>
      <c r="H107" s="19">
        <v>0</v>
      </c>
      <c r="I107" s="15">
        <v>3500</v>
      </c>
      <c r="J107" s="15">
        <v>0</v>
      </c>
      <c r="K107" s="15">
        <v>0</v>
      </c>
      <c r="L107" s="16">
        <v>0</v>
      </c>
      <c r="M107" s="15">
        <v>0</v>
      </c>
      <c r="N107" s="15" t="str">
        <v/>
      </c>
      <c r="O107" s="15" t="str">
        <v/>
      </c>
      <c r="P107" s="22">
        <v>0</v>
      </c>
      <c r="Q107">
        <v>0</v>
      </c>
    </row>
    <row r="108" spans="1:17">
      <c r="A108" s="19">
        <v>0</v>
      </c>
      <c r="B108" s="19">
        <v>0</v>
      </c>
      <c r="C108" s="19">
        <v>0</v>
      </c>
      <c r="D108" s="19">
        <v>0</v>
      </c>
      <c r="E108" s="19">
        <v>0</v>
      </c>
      <c r="F108" s="19">
        <v>0</v>
      </c>
      <c r="G108" s="19">
        <v>0</v>
      </c>
      <c r="H108" s="19">
        <v>0</v>
      </c>
      <c r="I108" s="15">
        <v>3500</v>
      </c>
      <c r="J108" s="15">
        <v>0</v>
      </c>
      <c r="K108" s="15">
        <v>0</v>
      </c>
      <c r="L108" s="16">
        <v>0</v>
      </c>
      <c r="M108" s="15">
        <v>0</v>
      </c>
      <c r="N108" s="15" t="str">
        <v/>
      </c>
      <c r="O108" s="15" t="str">
        <v/>
      </c>
      <c r="P108" s="22">
        <v>0</v>
      </c>
      <c r="Q108">
        <v>0</v>
      </c>
    </row>
    <row r="109" spans="1:17">
      <c r="A109" s="19">
        <v>0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  <c r="H109" s="19">
        <v>0</v>
      </c>
      <c r="I109" s="15">
        <v>3500</v>
      </c>
      <c r="J109" s="15">
        <v>0</v>
      </c>
      <c r="K109" s="15">
        <v>0</v>
      </c>
      <c r="L109" s="16">
        <v>0</v>
      </c>
      <c r="M109" s="15">
        <v>0</v>
      </c>
      <c r="N109" s="15" t="str">
        <v/>
      </c>
      <c r="O109" s="15" t="str">
        <v/>
      </c>
      <c r="P109" s="22">
        <v>0</v>
      </c>
      <c r="Q109">
        <v>0</v>
      </c>
    </row>
    <row r="110" spans="1:17">
      <c r="A110" s="19">
        <v>0</v>
      </c>
      <c r="B110" s="19">
        <v>0</v>
      </c>
      <c r="C110" s="19">
        <v>0</v>
      </c>
      <c r="D110" s="19">
        <v>0</v>
      </c>
      <c r="E110" s="19">
        <v>0</v>
      </c>
      <c r="F110" s="19">
        <v>0</v>
      </c>
      <c r="G110" s="19">
        <v>0</v>
      </c>
      <c r="H110" s="19">
        <v>0</v>
      </c>
      <c r="I110" s="15">
        <v>3500</v>
      </c>
      <c r="J110" s="15">
        <v>0</v>
      </c>
      <c r="K110" s="15">
        <v>0</v>
      </c>
      <c r="L110" s="16">
        <v>0</v>
      </c>
      <c r="M110" s="15">
        <v>0</v>
      </c>
      <c r="N110" s="15" t="str">
        <v/>
      </c>
      <c r="O110" s="15" t="str">
        <v/>
      </c>
      <c r="P110" s="22">
        <v>0</v>
      </c>
      <c r="Q110">
        <v>0</v>
      </c>
    </row>
    <row r="111" spans="1:17">
      <c r="A111" s="19">
        <v>0</v>
      </c>
      <c r="B111" s="19">
        <v>0</v>
      </c>
      <c r="C111" s="19">
        <v>0</v>
      </c>
      <c r="D111" s="19">
        <v>0</v>
      </c>
      <c r="E111" s="19">
        <v>0</v>
      </c>
      <c r="F111" s="19">
        <v>0</v>
      </c>
      <c r="G111" s="19">
        <v>0</v>
      </c>
      <c r="H111" s="19">
        <v>0</v>
      </c>
      <c r="I111" s="15">
        <v>3500</v>
      </c>
      <c r="J111" s="15">
        <v>0</v>
      </c>
      <c r="K111" s="15">
        <v>0</v>
      </c>
      <c r="L111" s="16">
        <v>0</v>
      </c>
      <c r="M111" s="15">
        <v>0</v>
      </c>
      <c r="N111" s="15" t="str">
        <v/>
      </c>
      <c r="O111" s="15" t="str">
        <v/>
      </c>
      <c r="P111" s="22">
        <v>0</v>
      </c>
      <c r="Q111">
        <v>0</v>
      </c>
    </row>
    <row r="112" spans="1:17">
      <c r="A112" s="19">
        <v>0</v>
      </c>
      <c r="B112" s="19">
        <v>0</v>
      </c>
      <c r="C112" s="19">
        <v>0</v>
      </c>
      <c r="D112" s="19">
        <v>0</v>
      </c>
      <c r="E112" s="19">
        <v>0</v>
      </c>
      <c r="F112" s="19">
        <v>0</v>
      </c>
      <c r="G112" s="19">
        <v>0</v>
      </c>
      <c r="H112" s="19">
        <v>0</v>
      </c>
      <c r="I112" s="15">
        <v>3500</v>
      </c>
      <c r="J112" s="15">
        <v>0</v>
      </c>
      <c r="K112" s="15">
        <v>0</v>
      </c>
      <c r="L112" s="16">
        <v>0</v>
      </c>
      <c r="M112" s="15">
        <v>0</v>
      </c>
      <c r="N112" s="15" t="str">
        <v/>
      </c>
      <c r="O112" s="15" t="str">
        <v/>
      </c>
      <c r="P112" s="22">
        <v>0</v>
      </c>
      <c r="Q112">
        <v>0</v>
      </c>
    </row>
    <row r="113" spans="1:17">
      <c r="A113" s="19">
        <v>0</v>
      </c>
      <c r="B113" s="19">
        <v>0</v>
      </c>
      <c r="C113" s="19">
        <v>0</v>
      </c>
      <c r="D113" s="19">
        <v>0</v>
      </c>
      <c r="E113" s="19">
        <v>0</v>
      </c>
      <c r="F113" s="19">
        <v>0</v>
      </c>
      <c r="G113" s="19">
        <v>0</v>
      </c>
      <c r="H113" s="19">
        <v>0</v>
      </c>
      <c r="I113" s="15">
        <v>3500</v>
      </c>
      <c r="J113" s="15">
        <v>0</v>
      </c>
      <c r="K113" s="15">
        <v>0</v>
      </c>
      <c r="L113" s="16">
        <v>0</v>
      </c>
      <c r="M113" s="15">
        <v>0</v>
      </c>
      <c r="N113" s="15" t="str">
        <v/>
      </c>
      <c r="O113" s="15" t="str">
        <v/>
      </c>
      <c r="P113" s="22">
        <v>0</v>
      </c>
      <c r="Q113">
        <v>0</v>
      </c>
    </row>
    <row r="114" spans="1:17">
      <c r="A114" s="19">
        <v>0</v>
      </c>
      <c r="B114" s="19">
        <v>0</v>
      </c>
      <c r="C114" s="19">
        <v>0</v>
      </c>
      <c r="D114" s="19">
        <v>0</v>
      </c>
      <c r="E114" s="19">
        <v>0</v>
      </c>
      <c r="F114" s="19">
        <v>0</v>
      </c>
      <c r="G114" s="19">
        <v>0</v>
      </c>
      <c r="H114" s="19">
        <v>0</v>
      </c>
      <c r="I114" s="15">
        <v>3500</v>
      </c>
      <c r="J114" s="15">
        <v>0</v>
      </c>
      <c r="K114" s="15">
        <v>0</v>
      </c>
      <c r="L114" s="16">
        <v>0</v>
      </c>
      <c r="M114" s="15">
        <v>0</v>
      </c>
      <c r="N114" s="15" t="str">
        <v/>
      </c>
      <c r="O114" s="15" t="str">
        <v/>
      </c>
      <c r="P114" s="22">
        <v>0</v>
      </c>
      <c r="Q114">
        <v>0</v>
      </c>
    </row>
    <row r="115" spans="1:17">
      <c r="A115" s="19">
        <v>0</v>
      </c>
      <c r="B115" s="19">
        <v>0</v>
      </c>
      <c r="C115" s="19">
        <v>0</v>
      </c>
      <c r="D115" s="19">
        <v>0</v>
      </c>
      <c r="E115" s="19">
        <v>0</v>
      </c>
      <c r="F115" s="19">
        <v>0</v>
      </c>
      <c r="G115" s="19">
        <v>0</v>
      </c>
      <c r="H115" s="19">
        <v>0</v>
      </c>
      <c r="I115" s="15">
        <v>3500</v>
      </c>
      <c r="J115" s="15">
        <v>0</v>
      </c>
      <c r="K115" s="15">
        <v>0</v>
      </c>
      <c r="L115" s="16">
        <v>0</v>
      </c>
      <c r="M115" s="15">
        <v>0</v>
      </c>
      <c r="N115" s="15" t="str">
        <v/>
      </c>
      <c r="O115" s="15" t="str">
        <v/>
      </c>
      <c r="P115" s="22">
        <v>0</v>
      </c>
      <c r="Q115">
        <v>0</v>
      </c>
    </row>
    <row r="116" spans="1:17">
      <c r="A116" s="19">
        <v>0</v>
      </c>
      <c r="B116" s="19">
        <v>0</v>
      </c>
      <c r="C116" s="19">
        <v>0</v>
      </c>
      <c r="D116" s="19">
        <v>0</v>
      </c>
      <c r="E116" s="19">
        <v>0</v>
      </c>
      <c r="F116" s="19">
        <v>0</v>
      </c>
      <c r="G116" s="19">
        <v>0</v>
      </c>
      <c r="H116" s="19">
        <v>0</v>
      </c>
      <c r="I116" s="15">
        <v>3500</v>
      </c>
      <c r="J116" s="15">
        <v>0</v>
      </c>
      <c r="K116" s="15">
        <v>0</v>
      </c>
      <c r="L116" s="16">
        <v>0</v>
      </c>
      <c r="M116" s="15">
        <v>0</v>
      </c>
      <c r="N116" s="15" t="str">
        <v/>
      </c>
      <c r="O116" s="15" t="str">
        <v/>
      </c>
      <c r="P116" s="22">
        <v>0</v>
      </c>
      <c r="Q116">
        <v>0</v>
      </c>
    </row>
    <row r="117" spans="1:17">
      <c r="A117" s="19">
        <v>0</v>
      </c>
      <c r="B117" s="19">
        <v>0</v>
      </c>
      <c r="C117" s="19">
        <v>0</v>
      </c>
      <c r="D117" s="19">
        <v>0</v>
      </c>
      <c r="E117" s="19">
        <v>0</v>
      </c>
      <c r="F117" s="19">
        <v>0</v>
      </c>
      <c r="G117" s="19">
        <v>0</v>
      </c>
      <c r="H117" s="19">
        <v>0</v>
      </c>
      <c r="I117" s="15">
        <v>3500</v>
      </c>
      <c r="J117" s="15">
        <v>0</v>
      </c>
      <c r="K117" s="15">
        <v>0</v>
      </c>
      <c r="L117" s="16">
        <v>0</v>
      </c>
      <c r="M117" s="15">
        <v>0</v>
      </c>
      <c r="N117" s="15" t="str">
        <v/>
      </c>
      <c r="O117" s="15" t="str">
        <v/>
      </c>
      <c r="P117" s="22">
        <v>0</v>
      </c>
      <c r="Q117">
        <v>0</v>
      </c>
    </row>
    <row r="118" spans="1:17">
      <c r="A118" s="19">
        <v>0</v>
      </c>
      <c r="B118" s="19">
        <v>0</v>
      </c>
      <c r="C118" s="19">
        <v>0</v>
      </c>
      <c r="D118" s="19">
        <v>0</v>
      </c>
      <c r="E118" s="19">
        <v>0</v>
      </c>
      <c r="F118" s="19">
        <v>0</v>
      </c>
      <c r="G118" s="19">
        <v>0</v>
      </c>
      <c r="H118" s="19">
        <v>0</v>
      </c>
      <c r="I118" s="15">
        <v>3500</v>
      </c>
      <c r="J118" s="15">
        <v>0</v>
      </c>
      <c r="K118" s="15">
        <v>0</v>
      </c>
      <c r="L118" s="16">
        <v>0</v>
      </c>
      <c r="M118" s="15">
        <v>0</v>
      </c>
      <c r="N118" s="15" t="str">
        <v/>
      </c>
      <c r="O118" s="15" t="str">
        <v/>
      </c>
      <c r="P118" s="22">
        <v>0</v>
      </c>
      <c r="Q118">
        <v>0</v>
      </c>
    </row>
    <row r="119" spans="1:17">
      <c r="A119" s="19">
        <v>0</v>
      </c>
      <c r="B119" s="19">
        <v>0</v>
      </c>
      <c r="C119" s="19">
        <v>0</v>
      </c>
      <c r="D119" s="19">
        <v>0</v>
      </c>
      <c r="E119" s="19">
        <v>0</v>
      </c>
      <c r="F119" s="19">
        <v>0</v>
      </c>
      <c r="G119" s="19">
        <v>0</v>
      </c>
      <c r="H119" s="19">
        <v>0</v>
      </c>
      <c r="I119" s="15">
        <v>3500</v>
      </c>
      <c r="J119" s="15">
        <v>0</v>
      </c>
      <c r="K119" s="15">
        <v>0</v>
      </c>
      <c r="L119" s="16">
        <v>0</v>
      </c>
      <c r="M119" s="15">
        <v>0</v>
      </c>
      <c r="N119" s="15" t="str">
        <v/>
      </c>
      <c r="O119" s="15" t="str">
        <v/>
      </c>
      <c r="P119" s="22">
        <v>0</v>
      </c>
      <c r="Q119">
        <v>0</v>
      </c>
    </row>
    <row r="120" spans="1:17">
      <c r="A120" s="19">
        <v>0</v>
      </c>
      <c r="B120" s="19">
        <v>0</v>
      </c>
      <c r="C120" s="19">
        <v>0</v>
      </c>
      <c r="D120" s="19">
        <v>0</v>
      </c>
      <c r="E120" s="19">
        <v>0</v>
      </c>
      <c r="F120" s="19">
        <v>0</v>
      </c>
      <c r="G120" s="19">
        <v>0</v>
      </c>
      <c r="H120" s="19">
        <v>0</v>
      </c>
      <c r="I120" s="15">
        <v>3500</v>
      </c>
      <c r="J120" s="15">
        <v>0</v>
      </c>
      <c r="K120" s="15">
        <v>0</v>
      </c>
      <c r="L120" s="16">
        <v>0</v>
      </c>
      <c r="M120" s="15">
        <v>0</v>
      </c>
      <c r="N120" s="15" t="str">
        <v/>
      </c>
      <c r="O120" s="15" t="str">
        <v/>
      </c>
      <c r="P120" s="22">
        <v>0</v>
      </c>
      <c r="Q120">
        <v>0</v>
      </c>
    </row>
    <row r="121" spans="1:17">
      <c r="A121" s="19">
        <v>0</v>
      </c>
      <c r="B121" s="19">
        <v>0</v>
      </c>
      <c r="C121" s="19">
        <v>0</v>
      </c>
      <c r="D121" s="19">
        <v>0</v>
      </c>
      <c r="E121" s="19">
        <v>0</v>
      </c>
      <c r="F121" s="19">
        <v>0</v>
      </c>
      <c r="G121" s="19">
        <v>0</v>
      </c>
      <c r="H121" s="19">
        <v>0</v>
      </c>
      <c r="I121" s="15">
        <v>3500</v>
      </c>
      <c r="J121" s="15">
        <v>0</v>
      </c>
      <c r="K121" s="15">
        <v>0</v>
      </c>
      <c r="L121" s="16">
        <v>0</v>
      </c>
      <c r="M121" s="15">
        <v>0</v>
      </c>
      <c r="N121" s="15" t="str">
        <v/>
      </c>
      <c r="O121" s="15" t="str">
        <v/>
      </c>
      <c r="P121" s="22">
        <v>0</v>
      </c>
      <c r="Q121">
        <v>0</v>
      </c>
    </row>
    <row r="122" spans="1:17">
      <c r="A122" s="19">
        <v>0</v>
      </c>
      <c r="B122" s="19">
        <v>0</v>
      </c>
      <c r="C122" s="19">
        <v>0</v>
      </c>
      <c r="D122" s="19">
        <v>0</v>
      </c>
      <c r="E122" s="19">
        <v>0</v>
      </c>
      <c r="F122" s="19">
        <v>0</v>
      </c>
      <c r="G122" s="19">
        <v>0</v>
      </c>
      <c r="H122" s="19">
        <v>0</v>
      </c>
      <c r="I122" s="15">
        <v>3500</v>
      </c>
      <c r="J122" s="15">
        <v>0</v>
      </c>
      <c r="K122" s="15">
        <v>0</v>
      </c>
      <c r="L122" s="16">
        <v>0</v>
      </c>
      <c r="M122" s="15">
        <v>0</v>
      </c>
      <c r="N122" s="15" t="str">
        <v/>
      </c>
      <c r="O122" s="15" t="str">
        <v/>
      </c>
      <c r="P122" s="22">
        <v>0</v>
      </c>
      <c r="Q122">
        <v>0</v>
      </c>
    </row>
    <row r="123" spans="1:17">
      <c r="A123" s="19">
        <v>0</v>
      </c>
      <c r="B123" s="19">
        <v>0</v>
      </c>
      <c r="C123" s="19">
        <v>0</v>
      </c>
      <c r="D123" s="19">
        <v>0</v>
      </c>
      <c r="E123" s="19">
        <v>0</v>
      </c>
      <c r="F123" s="19">
        <v>0</v>
      </c>
      <c r="G123" s="19">
        <v>0</v>
      </c>
      <c r="H123" s="19">
        <v>0</v>
      </c>
      <c r="I123" s="15">
        <v>3500</v>
      </c>
      <c r="J123" s="15">
        <v>0</v>
      </c>
      <c r="K123" s="15">
        <v>0</v>
      </c>
      <c r="L123" s="16">
        <v>0</v>
      </c>
      <c r="M123" s="15">
        <v>0</v>
      </c>
      <c r="N123" s="15" t="str">
        <v/>
      </c>
      <c r="O123" s="15" t="str">
        <v/>
      </c>
      <c r="P123" s="22">
        <v>0</v>
      </c>
      <c r="Q123">
        <v>0</v>
      </c>
    </row>
    <row r="124" spans="1:17">
      <c r="A124" s="19">
        <v>0</v>
      </c>
      <c r="B124" s="19">
        <v>0</v>
      </c>
      <c r="C124" s="19">
        <v>0</v>
      </c>
      <c r="D124" s="19">
        <v>0</v>
      </c>
      <c r="E124" s="19">
        <v>0</v>
      </c>
      <c r="F124" s="19">
        <v>0</v>
      </c>
      <c r="G124" s="19">
        <v>0</v>
      </c>
      <c r="H124" s="19">
        <v>0</v>
      </c>
      <c r="I124" s="15">
        <v>3500</v>
      </c>
      <c r="J124" s="15">
        <v>0</v>
      </c>
      <c r="K124" s="15">
        <v>0</v>
      </c>
      <c r="L124" s="16">
        <v>0</v>
      </c>
      <c r="M124" s="15">
        <v>0</v>
      </c>
      <c r="N124" s="15" t="str">
        <v/>
      </c>
      <c r="O124" s="15" t="str">
        <v/>
      </c>
      <c r="P124" s="22">
        <v>0</v>
      </c>
      <c r="Q124">
        <v>0</v>
      </c>
    </row>
    <row r="125" spans="1:17">
      <c r="A125" s="19">
        <v>0</v>
      </c>
      <c r="B125" s="19">
        <v>0</v>
      </c>
      <c r="C125" s="19">
        <v>0</v>
      </c>
      <c r="D125" s="19">
        <v>0</v>
      </c>
      <c r="E125" s="19">
        <v>0</v>
      </c>
      <c r="F125" s="19">
        <v>0</v>
      </c>
      <c r="G125" s="19">
        <v>0</v>
      </c>
      <c r="H125" s="19">
        <v>0</v>
      </c>
      <c r="I125" s="15">
        <v>3500</v>
      </c>
      <c r="J125" s="15">
        <v>0</v>
      </c>
      <c r="K125" s="15">
        <v>0</v>
      </c>
      <c r="L125" s="16">
        <v>0</v>
      </c>
      <c r="M125" s="15">
        <v>0</v>
      </c>
      <c r="N125" s="15" t="str">
        <v/>
      </c>
      <c r="O125" s="15" t="str">
        <v/>
      </c>
      <c r="P125" s="22">
        <v>0</v>
      </c>
      <c r="Q125">
        <v>0</v>
      </c>
    </row>
    <row r="126" spans="1:17">
      <c r="A126" s="19">
        <v>0</v>
      </c>
      <c r="B126" s="19">
        <v>0</v>
      </c>
      <c r="C126" s="19">
        <v>0</v>
      </c>
      <c r="D126" s="19">
        <v>0</v>
      </c>
      <c r="E126" s="19">
        <v>0</v>
      </c>
      <c r="F126" s="19">
        <v>0</v>
      </c>
      <c r="G126" s="19">
        <v>0</v>
      </c>
      <c r="H126" s="19">
        <v>0</v>
      </c>
      <c r="I126" s="15">
        <v>3500</v>
      </c>
      <c r="J126" s="15">
        <v>0</v>
      </c>
      <c r="K126" s="15">
        <v>0</v>
      </c>
      <c r="L126" s="16">
        <v>0</v>
      </c>
      <c r="M126" s="15">
        <v>0</v>
      </c>
      <c r="N126" s="15" t="str">
        <v/>
      </c>
      <c r="O126" s="15" t="str">
        <v/>
      </c>
      <c r="P126" s="22">
        <v>0</v>
      </c>
      <c r="Q126">
        <v>0</v>
      </c>
    </row>
    <row r="127" spans="1:17">
      <c r="A127" s="19">
        <v>0</v>
      </c>
      <c r="B127" s="19">
        <v>0</v>
      </c>
      <c r="C127" s="19">
        <v>0</v>
      </c>
      <c r="D127" s="19">
        <v>0</v>
      </c>
      <c r="E127" s="19">
        <v>0</v>
      </c>
      <c r="F127" s="19">
        <v>0</v>
      </c>
      <c r="G127" s="19">
        <v>0</v>
      </c>
      <c r="H127" s="19">
        <v>0</v>
      </c>
      <c r="I127" s="15">
        <v>3500</v>
      </c>
      <c r="J127" s="15">
        <v>0</v>
      </c>
      <c r="K127" s="15">
        <v>0</v>
      </c>
      <c r="L127" s="16">
        <v>0</v>
      </c>
      <c r="M127" s="15">
        <v>0</v>
      </c>
      <c r="N127" s="15" t="str">
        <v/>
      </c>
      <c r="O127" s="15" t="str">
        <v/>
      </c>
      <c r="P127" s="22">
        <v>0</v>
      </c>
      <c r="Q127">
        <v>0</v>
      </c>
    </row>
    <row r="128" spans="1:17">
      <c r="A128" s="19">
        <v>0</v>
      </c>
      <c r="B128" s="19">
        <v>0</v>
      </c>
      <c r="C128" s="19">
        <v>0</v>
      </c>
      <c r="D128" s="19">
        <v>0</v>
      </c>
      <c r="E128" s="19">
        <v>0</v>
      </c>
      <c r="F128" s="19">
        <v>0</v>
      </c>
      <c r="G128" s="19">
        <v>0</v>
      </c>
      <c r="H128" s="19">
        <v>0</v>
      </c>
      <c r="I128" s="15">
        <v>3500</v>
      </c>
      <c r="J128" s="15">
        <v>0</v>
      </c>
      <c r="K128" s="15">
        <v>0</v>
      </c>
      <c r="L128" s="16">
        <v>0</v>
      </c>
      <c r="M128" s="15">
        <v>0</v>
      </c>
      <c r="N128" s="15" t="str">
        <v/>
      </c>
      <c r="O128" s="15" t="str">
        <v/>
      </c>
      <c r="P128" s="22">
        <v>0</v>
      </c>
      <c r="Q128">
        <v>0</v>
      </c>
    </row>
    <row r="129" spans="1:17">
      <c r="A129" s="19">
        <v>0</v>
      </c>
      <c r="B129" s="19">
        <v>0</v>
      </c>
      <c r="C129" s="19">
        <v>0</v>
      </c>
      <c r="D129" s="19">
        <v>0</v>
      </c>
      <c r="E129" s="19">
        <v>0</v>
      </c>
      <c r="F129" s="19">
        <v>0</v>
      </c>
      <c r="G129" s="19">
        <v>0</v>
      </c>
      <c r="H129" s="19">
        <v>0</v>
      </c>
      <c r="I129" s="15">
        <v>3500</v>
      </c>
      <c r="J129" s="15">
        <v>0</v>
      </c>
      <c r="K129" s="15">
        <v>0</v>
      </c>
      <c r="L129" s="16">
        <v>0</v>
      </c>
      <c r="M129" s="15">
        <v>0</v>
      </c>
      <c r="N129" s="15" t="str">
        <v/>
      </c>
      <c r="O129" s="15" t="str">
        <v/>
      </c>
      <c r="P129" s="22">
        <v>0</v>
      </c>
      <c r="Q129">
        <v>0</v>
      </c>
    </row>
    <row r="130" spans="1:17">
      <c r="A130" s="19">
        <v>0</v>
      </c>
      <c r="B130" s="19">
        <v>0</v>
      </c>
      <c r="C130" s="19">
        <v>0</v>
      </c>
      <c r="D130" s="19">
        <v>0</v>
      </c>
      <c r="E130" s="19">
        <v>0</v>
      </c>
      <c r="F130" s="19">
        <v>0</v>
      </c>
      <c r="G130" s="19">
        <v>0</v>
      </c>
      <c r="H130" s="19">
        <v>0</v>
      </c>
      <c r="I130" s="15">
        <v>3500</v>
      </c>
      <c r="J130" s="15">
        <v>0</v>
      </c>
      <c r="K130" s="15">
        <v>0</v>
      </c>
      <c r="L130" s="16">
        <v>0</v>
      </c>
      <c r="M130" s="15">
        <v>0</v>
      </c>
      <c r="N130" s="15" t="str">
        <v/>
      </c>
      <c r="O130" s="15" t="str">
        <v/>
      </c>
      <c r="P130" s="22">
        <v>0</v>
      </c>
      <c r="Q130">
        <v>0</v>
      </c>
    </row>
    <row r="131" spans="1:17">
      <c r="A131" s="19">
        <v>0</v>
      </c>
      <c r="B131" s="19">
        <v>0</v>
      </c>
      <c r="C131" s="19">
        <v>0</v>
      </c>
      <c r="D131" s="19">
        <v>0</v>
      </c>
      <c r="E131" s="19">
        <v>0</v>
      </c>
      <c r="F131" s="19">
        <v>0</v>
      </c>
      <c r="G131" s="19">
        <v>0</v>
      </c>
      <c r="H131" s="19">
        <v>0</v>
      </c>
      <c r="I131" s="15">
        <v>3500</v>
      </c>
      <c r="J131" s="15">
        <v>0</v>
      </c>
      <c r="K131" s="15">
        <v>0</v>
      </c>
      <c r="L131" s="16">
        <v>0</v>
      </c>
      <c r="M131" s="15">
        <v>0</v>
      </c>
      <c r="N131" s="15" t="str">
        <v/>
      </c>
      <c r="O131" s="15" t="str">
        <v/>
      </c>
      <c r="P131" s="22">
        <v>0</v>
      </c>
      <c r="Q131">
        <v>0</v>
      </c>
    </row>
    <row r="132" spans="1:17">
      <c r="A132" s="19">
        <v>0</v>
      </c>
      <c r="B132" s="19">
        <v>0</v>
      </c>
      <c r="C132" s="19">
        <v>0</v>
      </c>
      <c r="D132" s="19">
        <v>0</v>
      </c>
      <c r="E132" s="19">
        <v>0</v>
      </c>
      <c r="F132" s="19">
        <v>0</v>
      </c>
      <c r="G132" s="19">
        <v>0</v>
      </c>
      <c r="H132" s="19">
        <v>0</v>
      </c>
      <c r="I132" s="15">
        <v>3500</v>
      </c>
      <c r="J132" s="15">
        <v>0</v>
      </c>
      <c r="K132" s="15">
        <v>0</v>
      </c>
      <c r="L132" s="16">
        <v>0</v>
      </c>
      <c r="M132" s="15">
        <v>0</v>
      </c>
      <c r="N132" s="15" t="str">
        <v/>
      </c>
      <c r="O132" s="15" t="str">
        <v/>
      </c>
      <c r="P132" s="22">
        <v>0</v>
      </c>
      <c r="Q132">
        <v>0</v>
      </c>
    </row>
    <row r="133" spans="1:17">
      <c r="A133" s="19">
        <v>0</v>
      </c>
      <c r="B133" s="19">
        <v>0</v>
      </c>
      <c r="C133" s="19">
        <v>0</v>
      </c>
      <c r="D133" s="19">
        <v>0</v>
      </c>
      <c r="E133" s="19">
        <v>0</v>
      </c>
      <c r="F133" s="19">
        <v>0</v>
      </c>
      <c r="G133" s="19">
        <v>0</v>
      </c>
      <c r="H133" s="19">
        <v>0</v>
      </c>
      <c r="I133" s="15">
        <v>3500</v>
      </c>
      <c r="J133" s="15">
        <v>0</v>
      </c>
      <c r="K133" s="15">
        <v>0</v>
      </c>
      <c r="L133" s="16">
        <v>0</v>
      </c>
      <c r="M133" s="15">
        <v>0</v>
      </c>
      <c r="N133" s="15" t="str">
        <v/>
      </c>
      <c r="O133" s="15" t="str">
        <v/>
      </c>
      <c r="P133" s="22">
        <v>0</v>
      </c>
      <c r="Q133">
        <v>0</v>
      </c>
    </row>
    <row r="134" spans="1:17">
      <c r="A134" s="19">
        <v>0</v>
      </c>
      <c r="B134" s="19">
        <v>0</v>
      </c>
      <c r="C134" s="19">
        <v>0</v>
      </c>
      <c r="D134" s="19">
        <v>0</v>
      </c>
      <c r="E134" s="19">
        <v>0</v>
      </c>
      <c r="F134" s="19">
        <v>0</v>
      </c>
      <c r="G134" s="19">
        <v>0</v>
      </c>
      <c r="H134" s="19">
        <v>0</v>
      </c>
      <c r="I134" s="15">
        <v>3500</v>
      </c>
      <c r="J134" s="15">
        <v>0</v>
      </c>
      <c r="K134" s="15">
        <v>0</v>
      </c>
      <c r="L134" s="16">
        <v>0</v>
      </c>
      <c r="M134" s="15">
        <v>0</v>
      </c>
      <c r="N134" s="15" t="str">
        <v/>
      </c>
      <c r="O134" s="15" t="str">
        <v/>
      </c>
      <c r="P134" s="22">
        <v>0</v>
      </c>
      <c r="Q134">
        <v>0</v>
      </c>
    </row>
    <row r="135" spans="1:17">
      <c r="A135" s="19">
        <v>0</v>
      </c>
      <c r="B135" s="19">
        <v>0</v>
      </c>
      <c r="C135" s="19">
        <v>0</v>
      </c>
      <c r="D135" s="19">
        <v>0</v>
      </c>
      <c r="E135" s="19">
        <v>0</v>
      </c>
      <c r="F135" s="19">
        <v>0</v>
      </c>
      <c r="G135" s="19">
        <v>0</v>
      </c>
      <c r="H135" s="19">
        <v>0</v>
      </c>
      <c r="I135" s="15">
        <v>3500</v>
      </c>
      <c r="J135" s="15">
        <v>0</v>
      </c>
      <c r="K135" s="15">
        <v>0</v>
      </c>
      <c r="L135" s="16">
        <v>0</v>
      </c>
      <c r="M135" s="15">
        <v>0</v>
      </c>
      <c r="N135" s="15" t="str">
        <v/>
      </c>
      <c r="O135" s="15" t="str">
        <v/>
      </c>
      <c r="P135" s="22">
        <v>0</v>
      </c>
      <c r="Q135">
        <v>0</v>
      </c>
    </row>
    <row r="136" spans="1:17">
      <c r="A136" s="19">
        <v>0</v>
      </c>
      <c r="B136" s="19">
        <v>0</v>
      </c>
      <c r="C136" s="19">
        <v>0</v>
      </c>
      <c r="D136" s="19">
        <v>0</v>
      </c>
      <c r="E136" s="19">
        <v>0</v>
      </c>
      <c r="F136" s="19">
        <v>0</v>
      </c>
      <c r="G136" s="19">
        <v>0</v>
      </c>
      <c r="H136" s="19">
        <v>0</v>
      </c>
      <c r="I136" s="15">
        <v>3500</v>
      </c>
      <c r="J136" s="15">
        <v>0</v>
      </c>
      <c r="K136" s="15">
        <v>0</v>
      </c>
      <c r="L136" s="16">
        <v>0</v>
      </c>
      <c r="M136" s="15">
        <v>0</v>
      </c>
      <c r="N136" s="15" t="str">
        <v/>
      </c>
      <c r="O136" s="15" t="str">
        <v/>
      </c>
      <c r="P136" s="22">
        <v>0</v>
      </c>
      <c r="Q136">
        <v>0</v>
      </c>
    </row>
    <row r="137" spans="1:17">
      <c r="A137" s="19">
        <v>0</v>
      </c>
      <c r="B137" s="19">
        <v>0</v>
      </c>
      <c r="C137" s="19">
        <v>0</v>
      </c>
      <c r="D137" s="19">
        <v>0</v>
      </c>
      <c r="E137" s="19">
        <v>0</v>
      </c>
      <c r="F137" s="19">
        <v>0</v>
      </c>
      <c r="G137" s="19">
        <v>0</v>
      </c>
      <c r="H137" s="19">
        <v>0</v>
      </c>
      <c r="I137" s="15">
        <v>3500</v>
      </c>
      <c r="J137" s="15">
        <v>0</v>
      </c>
      <c r="K137" s="15">
        <v>0</v>
      </c>
      <c r="L137" s="16">
        <v>0</v>
      </c>
      <c r="M137" s="15">
        <v>0</v>
      </c>
      <c r="N137" s="15" t="str">
        <v/>
      </c>
      <c r="O137" s="15" t="str">
        <v/>
      </c>
      <c r="P137" s="22">
        <v>0</v>
      </c>
      <c r="Q137">
        <v>0</v>
      </c>
    </row>
    <row r="138" spans="1:17">
      <c r="A138" s="19">
        <v>0</v>
      </c>
      <c r="B138" s="19">
        <v>0</v>
      </c>
      <c r="C138" s="19">
        <v>0</v>
      </c>
      <c r="D138" s="19">
        <v>0</v>
      </c>
      <c r="E138" s="19">
        <v>0</v>
      </c>
      <c r="F138" s="19">
        <v>0</v>
      </c>
      <c r="G138" s="19">
        <v>0</v>
      </c>
      <c r="H138" s="19">
        <v>0</v>
      </c>
      <c r="I138" s="15">
        <v>3500</v>
      </c>
      <c r="J138" s="15">
        <v>0</v>
      </c>
      <c r="K138" s="15">
        <v>0</v>
      </c>
      <c r="L138" s="16">
        <v>0</v>
      </c>
      <c r="M138" s="15">
        <v>0</v>
      </c>
      <c r="N138" s="15" t="str">
        <v/>
      </c>
      <c r="O138" s="15" t="str">
        <v/>
      </c>
      <c r="P138" s="22">
        <v>0</v>
      </c>
      <c r="Q138">
        <v>0</v>
      </c>
    </row>
    <row r="139" spans="1:17">
      <c r="A139" s="19">
        <v>0</v>
      </c>
      <c r="B139" s="19">
        <v>0</v>
      </c>
      <c r="C139" s="19">
        <v>0</v>
      </c>
      <c r="D139" s="19">
        <v>0</v>
      </c>
      <c r="E139" s="19">
        <v>0</v>
      </c>
      <c r="F139" s="19">
        <v>0</v>
      </c>
      <c r="G139" s="19">
        <v>0</v>
      </c>
      <c r="H139" s="19">
        <v>0</v>
      </c>
      <c r="I139" s="15">
        <v>3500</v>
      </c>
      <c r="J139" s="15">
        <v>0</v>
      </c>
      <c r="K139" s="15">
        <v>0</v>
      </c>
      <c r="L139" s="16">
        <v>0</v>
      </c>
      <c r="M139" s="15">
        <v>0</v>
      </c>
      <c r="N139" s="15" t="str">
        <v/>
      </c>
      <c r="O139" s="15" t="str">
        <v/>
      </c>
      <c r="P139" s="22">
        <v>0</v>
      </c>
      <c r="Q139">
        <v>0</v>
      </c>
    </row>
    <row r="140" spans="1:17">
      <c r="A140" s="19">
        <v>0</v>
      </c>
      <c r="B140" s="19">
        <v>0</v>
      </c>
      <c r="C140" s="19">
        <v>0</v>
      </c>
      <c r="D140" s="19">
        <v>0</v>
      </c>
      <c r="E140" s="19">
        <v>0</v>
      </c>
      <c r="F140" s="19">
        <v>0</v>
      </c>
      <c r="G140" s="19">
        <v>0</v>
      </c>
      <c r="H140" s="19">
        <v>0</v>
      </c>
      <c r="I140" s="15">
        <v>3500</v>
      </c>
      <c r="J140" s="15">
        <v>0</v>
      </c>
      <c r="K140" s="15">
        <v>0</v>
      </c>
      <c r="L140" s="16">
        <v>0</v>
      </c>
      <c r="M140" s="15">
        <v>0</v>
      </c>
      <c r="N140" s="15" t="str">
        <v/>
      </c>
      <c r="O140" s="15" t="str">
        <v/>
      </c>
      <c r="P140" s="22">
        <v>0</v>
      </c>
      <c r="Q140">
        <v>0</v>
      </c>
    </row>
    <row r="141" spans="1:17">
      <c r="A141" s="19">
        <v>0</v>
      </c>
      <c r="B141" s="19">
        <v>0</v>
      </c>
      <c r="C141" s="19">
        <v>0</v>
      </c>
      <c r="D141" s="19">
        <v>0</v>
      </c>
      <c r="E141" s="19">
        <v>0</v>
      </c>
      <c r="F141" s="19">
        <v>0</v>
      </c>
      <c r="G141" s="19">
        <v>0</v>
      </c>
      <c r="H141" s="19">
        <v>0</v>
      </c>
      <c r="I141" s="15">
        <v>3500</v>
      </c>
      <c r="J141" s="15">
        <v>0</v>
      </c>
      <c r="K141" s="15">
        <v>0</v>
      </c>
      <c r="L141" s="16">
        <v>0</v>
      </c>
      <c r="M141" s="15">
        <v>0</v>
      </c>
      <c r="N141" s="15" t="str">
        <v/>
      </c>
      <c r="O141" s="15" t="str">
        <v/>
      </c>
      <c r="P141" s="22">
        <v>0</v>
      </c>
      <c r="Q141">
        <v>0</v>
      </c>
    </row>
    <row r="142" spans="1:17">
      <c r="A142" s="19">
        <v>0</v>
      </c>
      <c r="B142" s="19">
        <v>0</v>
      </c>
      <c r="C142" s="19">
        <v>0</v>
      </c>
      <c r="D142" s="19">
        <v>0</v>
      </c>
      <c r="E142" s="19">
        <v>0</v>
      </c>
      <c r="F142" s="19">
        <v>0</v>
      </c>
      <c r="G142" s="19">
        <v>0</v>
      </c>
      <c r="H142" s="19">
        <v>0</v>
      </c>
      <c r="I142" s="15">
        <v>3500</v>
      </c>
      <c r="J142" s="15">
        <v>0</v>
      </c>
      <c r="K142" s="15">
        <v>0</v>
      </c>
      <c r="L142" s="16">
        <v>0</v>
      </c>
      <c r="M142" s="15">
        <v>0</v>
      </c>
      <c r="N142" s="15" t="str">
        <v/>
      </c>
      <c r="O142" s="15" t="str">
        <v/>
      </c>
      <c r="P142" s="22">
        <v>0</v>
      </c>
      <c r="Q142">
        <v>0</v>
      </c>
    </row>
    <row r="143" spans="1:17">
      <c r="A143" s="19">
        <v>0</v>
      </c>
      <c r="B143" s="19">
        <v>0</v>
      </c>
      <c r="C143" s="19">
        <v>0</v>
      </c>
      <c r="D143" s="19">
        <v>0</v>
      </c>
      <c r="E143" s="19">
        <v>0</v>
      </c>
      <c r="F143" s="19">
        <v>0</v>
      </c>
      <c r="G143" s="19">
        <v>0</v>
      </c>
      <c r="H143" s="19">
        <v>0</v>
      </c>
      <c r="I143" s="15">
        <v>3500</v>
      </c>
      <c r="J143" s="15">
        <v>0</v>
      </c>
      <c r="K143" s="15">
        <v>0</v>
      </c>
      <c r="L143" s="16">
        <v>0</v>
      </c>
      <c r="M143" s="15">
        <v>0</v>
      </c>
      <c r="N143" s="15" t="str">
        <v/>
      </c>
      <c r="O143" s="15" t="str">
        <v/>
      </c>
      <c r="P143" s="22">
        <v>0</v>
      </c>
      <c r="Q143">
        <v>0</v>
      </c>
    </row>
    <row r="144" spans="1:17">
      <c r="A144" s="19">
        <v>0</v>
      </c>
      <c r="B144" s="19">
        <v>0</v>
      </c>
      <c r="C144" s="19">
        <v>0</v>
      </c>
      <c r="D144" s="19">
        <v>0</v>
      </c>
      <c r="E144" s="19">
        <v>0</v>
      </c>
      <c r="F144" s="19">
        <v>0</v>
      </c>
      <c r="G144" s="19">
        <v>0</v>
      </c>
      <c r="H144" s="19">
        <v>0</v>
      </c>
      <c r="I144" s="15">
        <v>3500</v>
      </c>
      <c r="J144" s="15">
        <v>0</v>
      </c>
      <c r="K144" s="15">
        <v>0</v>
      </c>
      <c r="L144" s="16">
        <v>0</v>
      </c>
      <c r="M144" s="15">
        <v>0</v>
      </c>
      <c r="N144" s="15" t="str">
        <v/>
      </c>
      <c r="O144" s="15" t="str">
        <v/>
      </c>
      <c r="P144" s="22">
        <v>0</v>
      </c>
      <c r="Q144">
        <v>0</v>
      </c>
    </row>
    <row r="145" spans="1:17">
      <c r="A145" s="19">
        <v>0</v>
      </c>
      <c r="B145" s="19">
        <v>0</v>
      </c>
      <c r="C145" s="19">
        <v>0</v>
      </c>
      <c r="D145" s="19">
        <v>0</v>
      </c>
      <c r="E145" s="19">
        <v>0</v>
      </c>
      <c r="F145" s="19">
        <v>0</v>
      </c>
      <c r="G145" s="19">
        <v>0</v>
      </c>
      <c r="H145" s="19">
        <v>0</v>
      </c>
      <c r="I145" s="15">
        <v>3500</v>
      </c>
      <c r="J145" s="15">
        <v>0</v>
      </c>
      <c r="K145" s="15">
        <v>0</v>
      </c>
      <c r="L145" s="16">
        <v>0</v>
      </c>
      <c r="M145" s="15">
        <v>0</v>
      </c>
      <c r="N145" s="15" t="str">
        <v/>
      </c>
      <c r="O145" s="15" t="str">
        <v/>
      </c>
      <c r="P145" s="22">
        <v>0</v>
      </c>
      <c r="Q145">
        <v>0</v>
      </c>
    </row>
    <row r="146" spans="1:17">
      <c r="A146" s="19">
        <v>0</v>
      </c>
      <c r="B146" s="19">
        <v>0</v>
      </c>
      <c r="C146" s="19">
        <v>0</v>
      </c>
      <c r="D146" s="19">
        <v>0</v>
      </c>
      <c r="E146" s="19">
        <v>0</v>
      </c>
      <c r="F146" s="19">
        <v>0</v>
      </c>
      <c r="G146" s="19">
        <v>0</v>
      </c>
      <c r="H146" s="19">
        <v>0</v>
      </c>
      <c r="I146" s="15">
        <v>3500</v>
      </c>
      <c r="J146" s="15">
        <v>0</v>
      </c>
      <c r="K146" s="15">
        <v>0</v>
      </c>
      <c r="L146" s="16">
        <v>0</v>
      </c>
      <c r="M146" s="15">
        <v>0</v>
      </c>
      <c r="N146" s="15" t="str">
        <v/>
      </c>
      <c r="O146" s="15" t="str">
        <v/>
      </c>
      <c r="P146" s="22">
        <v>0</v>
      </c>
      <c r="Q146">
        <v>0</v>
      </c>
    </row>
    <row r="147" spans="1:17">
      <c r="A147" s="19">
        <v>0</v>
      </c>
      <c r="B147" s="19">
        <v>0</v>
      </c>
      <c r="C147" s="19">
        <v>0</v>
      </c>
      <c r="D147" s="19">
        <v>0</v>
      </c>
      <c r="E147" s="19">
        <v>0</v>
      </c>
      <c r="F147" s="19">
        <v>0</v>
      </c>
      <c r="G147" s="19">
        <v>0</v>
      </c>
      <c r="H147" s="19">
        <v>0</v>
      </c>
      <c r="I147" s="15">
        <v>3500</v>
      </c>
      <c r="J147" s="15">
        <v>0</v>
      </c>
      <c r="K147" s="15">
        <v>0</v>
      </c>
      <c r="L147" s="16">
        <v>0</v>
      </c>
      <c r="M147" s="15">
        <v>0</v>
      </c>
      <c r="N147" s="15" t="str">
        <v/>
      </c>
      <c r="O147" s="15" t="str">
        <v/>
      </c>
      <c r="P147" s="22">
        <v>0</v>
      </c>
      <c r="Q147">
        <v>0</v>
      </c>
    </row>
    <row r="148" spans="1:17">
      <c r="A148" s="19">
        <v>0</v>
      </c>
      <c r="B148" s="19">
        <v>0</v>
      </c>
      <c r="C148" s="19">
        <v>0</v>
      </c>
      <c r="D148" s="19">
        <v>0</v>
      </c>
      <c r="E148" s="19">
        <v>0</v>
      </c>
      <c r="F148" s="19">
        <v>0</v>
      </c>
      <c r="G148" s="19">
        <v>0</v>
      </c>
      <c r="H148" s="19">
        <v>0</v>
      </c>
      <c r="I148" s="15">
        <v>3500</v>
      </c>
      <c r="J148" s="15">
        <v>0</v>
      </c>
      <c r="K148" s="15">
        <v>0</v>
      </c>
      <c r="L148" s="16">
        <v>0</v>
      </c>
      <c r="M148" s="15">
        <v>0</v>
      </c>
      <c r="N148" s="15" t="str">
        <v/>
      </c>
      <c r="O148" s="15" t="str">
        <v/>
      </c>
      <c r="P148" s="22">
        <v>0</v>
      </c>
      <c r="Q148">
        <v>0</v>
      </c>
    </row>
    <row r="149" spans="1:17">
      <c r="A149" s="19">
        <v>0</v>
      </c>
      <c r="B149" s="19">
        <v>0</v>
      </c>
      <c r="C149" s="19">
        <v>0</v>
      </c>
      <c r="D149" s="19">
        <v>0</v>
      </c>
      <c r="E149" s="19">
        <v>0</v>
      </c>
      <c r="F149" s="19">
        <v>0</v>
      </c>
      <c r="G149" s="19">
        <v>0</v>
      </c>
      <c r="H149" s="19">
        <v>0</v>
      </c>
      <c r="I149" s="15">
        <v>3500</v>
      </c>
      <c r="J149" s="15">
        <v>0</v>
      </c>
      <c r="K149" s="15">
        <v>0</v>
      </c>
      <c r="L149" s="16">
        <v>0</v>
      </c>
      <c r="M149" s="15">
        <v>0</v>
      </c>
      <c r="N149" s="15" t="str">
        <v/>
      </c>
      <c r="O149" s="15" t="str">
        <v/>
      </c>
      <c r="P149" s="22">
        <v>0</v>
      </c>
      <c r="Q149">
        <v>0</v>
      </c>
    </row>
    <row r="150" spans="1:17">
      <c r="A150" s="19">
        <v>0</v>
      </c>
      <c r="B150" s="19">
        <v>0</v>
      </c>
      <c r="C150" s="19">
        <v>0</v>
      </c>
      <c r="D150" s="19">
        <v>0</v>
      </c>
      <c r="E150" s="19">
        <v>0</v>
      </c>
      <c r="F150" s="19">
        <v>0</v>
      </c>
      <c r="G150" s="19">
        <v>0</v>
      </c>
      <c r="H150" s="19">
        <v>0</v>
      </c>
      <c r="I150" s="15">
        <v>3500</v>
      </c>
      <c r="J150" s="15">
        <v>0</v>
      </c>
      <c r="K150" s="15">
        <v>0</v>
      </c>
      <c r="L150" s="16">
        <v>0</v>
      </c>
      <c r="M150" s="15">
        <v>0</v>
      </c>
      <c r="N150" s="15" t="str">
        <v/>
      </c>
      <c r="O150" s="15" t="str">
        <v/>
      </c>
      <c r="P150" s="22">
        <v>0</v>
      </c>
      <c r="Q150">
        <v>0</v>
      </c>
    </row>
    <row r="151" spans="1:17">
      <c r="A151" s="19">
        <v>0</v>
      </c>
      <c r="B151" s="19">
        <v>0</v>
      </c>
      <c r="C151" s="19">
        <v>0</v>
      </c>
      <c r="D151" s="19">
        <v>0</v>
      </c>
      <c r="E151" s="19">
        <v>0</v>
      </c>
      <c r="F151" s="19">
        <v>0</v>
      </c>
      <c r="G151" s="19">
        <v>0</v>
      </c>
      <c r="H151" s="19">
        <v>0</v>
      </c>
      <c r="I151" s="15">
        <v>3500</v>
      </c>
      <c r="J151" s="15">
        <v>0</v>
      </c>
      <c r="K151" s="15">
        <v>0</v>
      </c>
      <c r="L151" s="16">
        <v>0</v>
      </c>
      <c r="M151" s="15">
        <v>0</v>
      </c>
      <c r="N151" s="15" t="str">
        <v/>
      </c>
      <c r="O151" s="15" t="str">
        <v/>
      </c>
      <c r="P151" s="22">
        <v>0</v>
      </c>
      <c r="Q151">
        <v>0</v>
      </c>
    </row>
    <row r="152" spans="1:17">
      <c r="A152" s="19">
        <v>0</v>
      </c>
      <c r="B152" s="19">
        <v>0</v>
      </c>
      <c r="C152" s="19">
        <v>0</v>
      </c>
      <c r="D152" s="19">
        <v>0</v>
      </c>
      <c r="E152" s="19">
        <v>0</v>
      </c>
      <c r="F152" s="19">
        <v>0</v>
      </c>
      <c r="G152" s="19">
        <v>0</v>
      </c>
      <c r="H152" s="19">
        <v>0</v>
      </c>
      <c r="I152" s="15">
        <v>3500</v>
      </c>
      <c r="J152" s="15">
        <v>0</v>
      </c>
      <c r="K152" s="15">
        <v>0</v>
      </c>
      <c r="L152" s="16">
        <v>0</v>
      </c>
      <c r="M152" s="15">
        <v>0</v>
      </c>
      <c r="N152" s="15" t="str">
        <v/>
      </c>
      <c r="O152" s="15" t="str">
        <v/>
      </c>
      <c r="P152" s="22">
        <v>0</v>
      </c>
      <c r="Q152">
        <v>0</v>
      </c>
    </row>
    <row r="153" spans="1:17">
      <c r="A153" s="19">
        <v>0</v>
      </c>
      <c r="B153" s="19">
        <v>0</v>
      </c>
      <c r="C153" s="19">
        <v>0</v>
      </c>
      <c r="D153" s="19">
        <v>0</v>
      </c>
      <c r="E153" s="19">
        <v>0</v>
      </c>
      <c r="F153" s="19">
        <v>0</v>
      </c>
      <c r="G153" s="19">
        <v>0</v>
      </c>
      <c r="H153" s="19">
        <v>0</v>
      </c>
      <c r="I153" s="15">
        <v>3500</v>
      </c>
      <c r="J153" s="15">
        <v>0</v>
      </c>
      <c r="K153" s="15">
        <v>0</v>
      </c>
      <c r="L153" s="16">
        <v>0</v>
      </c>
      <c r="M153" s="15">
        <v>0</v>
      </c>
      <c r="N153" s="15" t="str">
        <v/>
      </c>
      <c r="O153" s="15" t="str">
        <v/>
      </c>
      <c r="P153" s="22">
        <v>0</v>
      </c>
      <c r="Q153">
        <v>0</v>
      </c>
    </row>
    <row r="154" spans="1:17">
      <c r="A154" s="19">
        <v>0</v>
      </c>
      <c r="B154" s="19">
        <v>0</v>
      </c>
      <c r="C154" s="19">
        <v>0</v>
      </c>
      <c r="D154" s="19">
        <v>0</v>
      </c>
      <c r="E154" s="19">
        <v>0</v>
      </c>
      <c r="F154" s="19">
        <v>0</v>
      </c>
      <c r="G154" s="19">
        <v>0</v>
      </c>
      <c r="H154" s="19">
        <v>0</v>
      </c>
      <c r="I154" s="15">
        <v>3500</v>
      </c>
      <c r="J154" s="15">
        <v>0</v>
      </c>
      <c r="K154" s="15">
        <v>0</v>
      </c>
      <c r="L154" s="16">
        <v>0</v>
      </c>
      <c r="M154" s="15">
        <v>0</v>
      </c>
      <c r="N154" s="15" t="str">
        <v/>
      </c>
      <c r="O154" s="15" t="str">
        <v/>
      </c>
      <c r="P154" s="22">
        <v>0</v>
      </c>
      <c r="Q154">
        <v>0</v>
      </c>
    </row>
    <row r="155" spans="1:17">
      <c r="A155" s="19">
        <v>0</v>
      </c>
      <c r="B155" s="19">
        <v>0</v>
      </c>
      <c r="C155" s="19">
        <v>0</v>
      </c>
      <c r="D155" s="19">
        <v>0</v>
      </c>
      <c r="E155" s="19">
        <v>0</v>
      </c>
      <c r="F155" s="19">
        <v>0</v>
      </c>
      <c r="G155" s="19">
        <v>0</v>
      </c>
      <c r="H155" s="19">
        <v>0</v>
      </c>
      <c r="I155" s="15">
        <v>3500</v>
      </c>
      <c r="J155" s="15">
        <v>0</v>
      </c>
      <c r="K155" s="15">
        <v>0</v>
      </c>
      <c r="L155" s="16">
        <v>0</v>
      </c>
      <c r="M155" s="15">
        <v>0</v>
      </c>
      <c r="N155" s="15" t="str">
        <v/>
      </c>
      <c r="O155" s="15" t="str">
        <v/>
      </c>
      <c r="P155" s="22">
        <v>0</v>
      </c>
      <c r="Q155">
        <v>0</v>
      </c>
    </row>
    <row r="156" spans="1:17">
      <c r="A156" s="19">
        <v>0</v>
      </c>
      <c r="B156" s="19">
        <v>0</v>
      </c>
      <c r="C156" s="19">
        <v>0</v>
      </c>
      <c r="D156" s="19">
        <v>0</v>
      </c>
      <c r="E156" s="19">
        <v>0</v>
      </c>
      <c r="F156" s="19">
        <v>0</v>
      </c>
      <c r="G156" s="19">
        <v>0</v>
      </c>
      <c r="H156" s="19">
        <v>0</v>
      </c>
      <c r="I156" s="15">
        <v>3500</v>
      </c>
      <c r="J156" s="15">
        <v>0</v>
      </c>
      <c r="K156" s="15">
        <v>0</v>
      </c>
      <c r="L156" s="16">
        <v>0</v>
      </c>
      <c r="M156" s="15">
        <v>0</v>
      </c>
      <c r="N156" s="15" t="str">
        <v/>
      </c>
      <c r="O156" s="15" t="str">
        <v/>
      </c>
      <c r="P156" s="22">
        <v>0</v>
      </c>
      <c r="Q156">
        <v>0</v>
      </c>
    </row>
    <row r="157" spans="1:17">
      <c r="A157" s="19">
        <v>0</v>
      </c>
      <c r="B157" s="19">
        <v>0</v>
      </c>
      <c r="C157" s="19">
        <v>0</v>
      </c>
      <c r="D157" s="19">
        <v>0</v>
      </c>
      <c r="E157" s="19">
        <v>0</v>
      </c>
      <c r="F157" s="19">
        <v>0</v>
      </c>
      <c r="G157" s="19">
        <v>0</v>
      </c>
      <c r="H157" s="19">
        <v>0</v>
      </c>
      <c r="I157" s="15">
        <v>3500</v>
      </c>
      <c r="J157" s="15">
        <v>0</v>
      </c>
      <c r="K157" s="15">
        <v>0</v>
      </c>
      <c r="L157" s="16">
        <v>0</v>
      </c>
      <c r="M157" s="15">
        <v>0</v>
      </c>
      <c r="N157" s="15" t="str">
        <v/>
      </c>
      <c r="O157" s="15" t="str">
        <v/>
      </c>
      <c r="P157" s="22">
        <v>0</v>
      </c>
      <c r="Q157">
        <v>0</v>
      </c>
    </row>
    <row r="158" spans="1:17">
      <c r="A158" s="19">
        <v>0</v>
      </c>
      <c r="B158" s="19">
        <v>0</v>
      </c>
      <c r="C158" s="19">
        <v>0</v>
      </c>
      <c r="D158" s="19">
        <v>0</v>
      </c>
      <c r="E158" s="19">
        <v>0</v>
      </c>
      <c r="F158" s="19">
        <v>0</v>
      </c>
      <c r="G158" s="19">
        <v>0</v>
      </c>
      <c r="H158" s="19">
        <v>0</v>
      </c>
      <c r="I158" s="15">
        <v>3500</v>
      </c>
      <c r="J158" s="15">
        <v>0</v>
      </c>
      <c r="K158" s="15">
        <v>0</v>
      </c>
      <c r="L158" s="16">
        <v>0</v>
      </c>
      <c r="M158" s="15">
        <v>0</v>
      </c>
      <c r="N158" s="15" t="str">
        <v/>
      </c>
      <c r="O158" s="15" t="str">
        <v/>
      </c>
      <c r="P158" s="22">
        <v>0</v>
      </c>
      <c r="Q158">
        <v>0</v>
      </c>
    </row>
    <row r="159" spans="1:17">
      <c r="A159" s="19">
        <v>0</v>
      </c>
      <c r="B159" s="19">
        <v>0</v>
      </c>
      <c r="C159" s="19">
        <v>0</v>
      </c>
      <c r="D159" s="19">
        <v>0</v>
      </c>
      <c r="E159" s="19">
        <v>0</v>
      </c>
      <c r="F159" s="19">
        <v>0</v>
      </c>
      <c r="G159" s="19">
        <v>0</v>
      </c>
      <c r="H159" s="19">
        <v>0</v>
      </c>
      <c r="I159" s="15">
        <v>3500</v>
      </c>
      <c r="J159" s="15">
        <v>0</v>
      </c>
      <c r="K159" s="15">
        <v>0</v>
      </c>
      <c r="L159" s="16">
        <v>0</v>
      </c>
      <c r="M159" s="15">
        <v>0</v>
      </c>
      <c r="N159" s="15" t="str">
        <v/>
      </c>
      <c r="O159" s="15" t="str">
        <v/>
      </c>
      <c r="P159" s="22">
        <v>0</v>
      </c>
      <c r="Q159">
        <v>0</v>
      </c>
    </row>
    <row r="160" spans="1:17">
      <c r="A160" s="19">
        <v>0</v>
      </c>
      <c r="B160" s="19">
        <v>0</v>
      </c>
      <c r="C160" s="19">
        <v>0</v>
      </c>
      <c r="D160" s="19">
        <v>0</v>
      </c>
      <c r="E160" s="19">
        <v>0</v>
      </c>
      <c r="F160" s="19">
        <v>0</v>
      </c>
      <c r="G160" s="19">
        <v>0</v>
      </c>
      <c r="H160" s="19">
        <v>0</v>
      </c>
      <c r="I160" s="15">
        <v>3500</v>
      </c>
      <c r="J160" s="15">
        <v>0</v>
      </c>
      <c r="K160" s="15">
        <v>0</v>
      </c>
      <c r="L160" s="16">
        <v>0</v>
      </c>
      <c r="M160" s="15">
        <v>0</v>
      </c>
      <c r="N160" s="15" t="str">
        <v/>
      </c>
      <c r="O160" s="15" t="str">
        <v/>
      </c>
      <c r="P160" s="22">
        <v>0</v>
      </c>
      <c r="Q160">
        <v>0</v>
      </c>
    </row>
    <row r="161" spans="1:17">
      <c r="A161" s="19">
        <v>0</v>
      </c>
      <c r="B161" s="19">
        <v>0</v>
      </c>
      <c r="C161" s="19">
        <v>0</v>
      </c>
      <c r="D161" s="19">
        <v>0</v>
      </c>
      <c r="E161" s="19">
        <v>0</v>
      </c>
      <c r="F161" s="19">
        <v>0</v>
      </c>
      <c r="G161" s="19">
        <v>0</v>
      </c>
      <c r="H161" s="19">
        <v>0</v>
      </c>
      <c r="I161" s="15">
        <v>3500</v>
      </c>
      <c r="J161" s="15">
        <v>0</v>
      </c>
      <c r="K161" s="15">
        <v>0</v>
      </c>
      <c r="L161" s="16">
        <v>0</v>
      </c>
      <c r="M161" s="15">
        <v>0</v>
      </c>
      <c r="N161" s="15" t="str">
        <v/>
      </c>
      <c r="O161" s="15" t="str">
        <v/>
      </c>
      <c r="P161" s="22">
        <v>0</v>
      </c>
      <c r="Q161">
        <v>0</v>
      </c>
    </row>
    <row r="162" spans="1:17">
      <c r="A162" s="19">
        <v>0</v>
      </c>
      <c r="B162" s="19">
        <v>0</v>
      </c>
      <c r="C162" s="19">
        <v>0</v>
      </c>
      <c r="D162" s="19">
        <v>0</v>
      </c>
      <c r="E162" s="19">
        <v>0</v>
      </c>
      <c r="F162" s="19">
        <v>0</v>
      </c>
      <c r="G162" s="19">
        <v>0</v>
      </c>
      <c r="H162" s="19">
        <v>0</v>
      </c>
      <c r="I162" s="15">
        <v>3500</v>
      </c>
      <c r="J162" s="15">
        <v>0</v>
      </c>
      <c r="K162" s="15">
        <v>0</v>
      </c>
      <c r="L162" s="16">
        <v>0</v>
      </c>
      <c r="M162" s="15">
        <v>0</v>
      </c>
      <c r="N162" s="15" t="str">
        <v/>
      </c>
      <c r="O162" s="15" t="str">
        <v/>
      </c>
      <c r="P162" s="22">
        <v>0</v>
      </c>
      <c r="Q162">
        <v>0</v>
      </c>
    </row>
    <row r="163" spans="1:17">
      <c r="A163" s="19">
        <v>0</v>
      </c>
      <c r="B163" s="19">
        <v>0</v>
      </c>
      <c r="C163" s="19">
        <v>0</v>
      </c>
      <c r="D163" s="19">
        <v>0</v>
      </c>
      <c r="E163" s="19">
        <v>0</v>
      </c>
      <c r="F163" s="19">
        <v>0</v>
      </c>
      <c r="G163" s="19">
        <v>0</v>
      </c>
      <c r="H163" s="19">
        <v>0</v>
      </c>
      <c r="I163" s="15">
        <v>3500</v>
      </c>
      <c r="J163" s="15">
        <v>0</v>
      </c>
      <c r="K163" s="15">
        <v>0</v>
      </c>
      <c r="L163" s="16">
        <v>0</v>
      </c>
      <c r="M163" s="15">
        <v>0</v>
      </c>
      <c r="N163" s="15" t="str">
        <v/>
      </c>
      <c r="O163" s="15" t="str">
        <v/>
      </c>
      <c r="P163" s="22">
        <v>0</v>
      </c>
      <c r="Q163">
        <v>0</v>
      </c>
    </row>
    <row r="164" spans="1:17">
      <c r="A164" s="19">
        <v>0</v>
      </c>
      <c r="B164" s="19">
        <v>0</v>
      </c>
      <c r="C164" s="19">
        <v>0</v>
      </c>
      <c r="D164" s="19">
        <v>0</v>
      </c>
      <c r="E164" s="19">
        <v>0</v>
      </c>
      <c r="F164" s="19">
        <v>0</v>
      </c>
      <c r="G164" s="19">
        <v>0</v>
      </c>
      <c r="H164" s="19">
        <v>0</v>
      </c>
      <c r="I164" s="15">
        <v>3500</v>
      </c>
      <c r="J164" s="15">
        <v>0</v>
      </c>
      <c r="K164" s="15">
        <v>0</v>
      </c>
      <c r="L164" s="16">
        <v>0</v>
      </c>
      <c r="M164" s="15">
        <v>0</v>
      </c>
      <c r="N164" s="15" t="str">
        <v/>
      </c>
      <c r="O164" s="15" t="str">
        <v/>
      </c>
      <c r="P164" s="22">
        <v>0</v>
      </c>
      <c r="Q164">
        <v>0</v>
      </c>
    </row>
    <row r="165" spans="1:17">
      <c r="A165" s="19">
        <v>0</v>
      </c>
      <c r="B165" s="19">
        <v>0</v>
      </c>
      <c r="C165" s="19">
        <v>0</v>
      </c>
      <c r="D165" s="19">
        <v>0</v>
      </c>
      <c r="E165" s="19">
        <v>0</v>
      </c>
      <c r="F165" s="19">
        <v>0</v>
      </c>
      <c r="G165" s="19">
        <v>0</v>
      </c>
      <c r="H165" s="19">
        <v>0</v>
      </c>
      <c r="I165" s="15">
        <v>3500</v>
      </c>
      <c r="J165" s="15">
        <v>0</v>
      </c>
      <c r="K165" s="15">
        <v>0</v>
      </c>
      <c r="L165" s="16">
        <v>0</v>
      </c>
      <c r="M165" s="15">
        <v>0</v>
      </c>
      <c r="N165" s="15" t="str">
        <v/>
      </c>
      <c r="O165" s="15" t="str">
        <v/>
      </c>
      <c r="P165" s="22">
        <v>0</v>
      </c>
      <c r="Q165">
        <v>0</v>
      </c>
    </row>
    <row r="166" spans="1:17">
      <c r="A166" s="19">
        <v>0</v>
      </c>
      <c r="B166" s="19">
        <v>0</v>
      </c>
      <c r="C166" s="19">
        <v>0</v>
      </c>
      <c r="D166" s="19">
        <v>0</v>
      </c>
      <c r="E166" s="19">
        <v>0</v>
      </c>
      <c r="F166" s="19">
        <v>0</v>
      </c>
      <c r="G166" s="19">
        <v>0</v>
      </c>
      <c r="H166" s="19">
        <v>0</v>
      </c>
      <c r="I166" s="15">
        <v>3500</v>
      </c>
      <c r="J166" s="15">
        <v>0</v>
      </c>
      <c r="K166" s="15">
        <v>0</v>
      </c>
      <c r="L166" s="16">
        <v>0</v>
      </c>
      <c r="M166" s="15">
        <v>0</v>
      </c>
      <c r="N166" s="15" t="str">
        <v/>
      </c>
      <c r="O166" s="15" t="str">
        <v/>
      </c>
      <c r="P166" s="22">
        <v>0</v>
      </c>
      <c r="Q166">
        <v>0</v>
      </c>
    </row>
    <row r="167" spans="1:17">
      <c r="A167" s="19">
        <v>0</v>
      </c>
      <c r="B167" s="19">
        <v>0</v>
      </c>
      <c r="C167" s="19">
        <v>0</v>
      </c>
      <c r="D167" s="19">
        <v>0</v>
      </c>
      <c r="E167" s="19">
        <v>0</v>
      </c>
      <c r="F167" s="19">
        <v>0</v>
      </c>
      <c r="G167" s="19">
        <v>0</v>
      </c>
      <c r="H167" s="19">
        <v>0</v>
      </c>
      <c r="I167" s="15">
        <v>3500</v>
      </c>
      <c r="J167" s="15">
        <v>0</v>
      </c>
      <c r="K167" s="15">
        <v>0</v>
      </c>
      <c r="L167" s="16">
        <v>0</v>
      </c>
      <c r="M167" s="15">
        <v>0</v>
      </c>
      <c r="N167" s="15" t="str">
        <v/>
      </c>
      <c r="O167" s="15" t="str">
        <v/>
      </c>
      <c r="P167" s="22">
        <v>0</v>
      </c>
      <c r="Q167">
        <v>0</v>
      </c>
    </row>
    <row r="168" spans="1:17">
      <c r="A168" s="19">
        <v>0</v>
      </c>
      <c r="B168" s="19">
        <v>0</v>
      </c>
      <c r="C168" s="19">
        <v>0</v>
      </c>
      <c r="D168" s="19">
        <v>0</v>
      </c>
      <c r="E168" s="19">
        <v>0</v>
      </c>
      <c r="F168" s="19">
        <v>0</v>
      </c>
      <c r="G168" s="19">
        <v>0</v>
      </c>
      <c r="H168" s="19">
        <v>0</v>
      </c>
      <c r="I168" s="15">
        <v>3500</v>
      </c>
      <c r="J168" s="15">
        <v>0</v>
      </c>
      <c r="K168" s="15">
        <v>0</v>
      </c>
      <c r="L168" s="16">
        <v>0</v>
      </c>
      <c r="M168" s="15">
        <v>0</v>
      </c>
      <c r="N168" s="15" t="str">
        <v/>
      </c>
      <c r="O168" s="15" t="str">
        <v/>
      </c>
      <c r="P168" s="22">
        <v>0</v>
      </c>
      <c r="Q168">
        <v>0</v>
      </c>
    </row>
    <row r="169" spans="1:17">
      <c r="A169" s="19">
        <v>0</v>
      </c>
      <c r="B169" s="19">
        <v>0</v>
      </c>
      <c r="C169" s="19">
        <v>0</v>
      </c>
      <c r="D169" s="19">
        <v>0</v>
      </c>
      <c r="E169" s="19">
        <v>0</v>
      </c>
      <c r="F169" s="19">
        <v>0</v>
      </c>
      <c r="G169" s="19">
        <v>0</v>
      </c>
      <c r="H169" s="19">
        <v>0</v>
      </c>
      <c r="I169" s="15">
        <v>3500</v>
      </c>
      <c r="J169" s="15">
        <v>0</v>
      </c>
      <c r="K169" s="15">
        <v>0</v>
      </c>
      <c r="L169" s="16">
        <v>0</v>
      </c>
      <c r="M169" s="15">
        <v>0</v>
      </c>
      <c r="N169" s="15" t="str">
        <v/>
      </c>
      <c r="O169" s="15" t="str">
        <v/>
      </c>
      <c r="P169" s="22">
        <v>0</v>
      </c>
      <c r="Q169">
        <v>0</v>
      </c>
    </row>
    <row r="170" spans="1:17">
      <c r="A170" s="19">
        <v>0</v>
      </c>
      <c r="B170" s="19">
        <v>0</v>
      </c>
      <c r="C170" s="19">
        <v>0</v>
      </c>
      <c r="D170" s="19">
        <v>0</v>
      </c>
      <c r="E170" s="19">
        <v>0</v>
      </c>
      <c r="F170" s="19">
        <v>0</v>
      </c>
      <c r="G170" s="19">
        <v>0</v>
      </c>
      <c r="H170" s="19">
        <v>0</v>
      </c>
      <c r="I170" s="15">
        <v>3500</v>
      </c>
      <c r="J170" s="15">
        <v>0</v>
      </c>
      <c r="K170" s="15">
        <v>0</v>
      </c>
      <c r="L170" s="16">
        <v>0</v>
      </c>
      <c r="M170" s="15">
        <v>0</v>
      </c>
      <c r="N170" s="15" t="str">
        <v/>
      </c>
      <c r="O170" s="15" t="str">
        <v/>
      </c>
      <c r="P170" s="22">
        <v>0</v>
      </c>
      <c r="Q170">
        <v>0</v>
      </c>
    </row>
    <row r="171" spans="1:17">
      <c r="A171" s="19">
        <v>0</v>
      </c>
      <c r="B171" s="19">
        <v>0</v>
      </c>
      <c r="C171" s="19">
        <v>0</v>
      </c>
      <c r="D171" s="19">
        <v>0</v>
      </c>
      <c r="E171" s="19">
        <v>0</v>
      </c>
      <c r="F171" s="19">
        <v>0</v>
      </c>
      <c r="G171" s="19">
        <v>0</v>
      </c>
      <c r="H171" s="19">
        <v>0</v>
      </c>
      <c r="I171" s="15">
        <v>3500</v>
      </c>
      <c r="J171" s="15">
        <v>0</v>
      </c>
      <c r="K171" s="15">
        <v>0</v>
      </c>
      <c r="L171" s="16">
        <v>0</v>
      </c>
      <c r="M171" s="15">
        <v>0</v>
      </c>
      <c r="N171" s="15" t="str">
        <v/>
      </c>
      <c r="O171" s="15" t="str">
        <v/>
      </c>
      <c r="P171" s="22">
        <v>0</v>
      </c>
      <c r="Q171">
        <v>0</v>
      </c>
    </row>
    <row r="172" spans="1:17">
      <c r="A172" s="19">
        <v>0</v>
      </c>
      <c r="B172" s="19">
        <v>0</v>
      </c>
      <c r="C172" s="19">
        <v>0</v>
      </c>
      <c r="D172" s="19">
        <v>0</v>
      </c>
      <c r="E172" s="19">
        <v>0</v>
      </c>
      <c r="F172" s="19">
        <v>0</v>
      </c>
      <c r="G172" s="19">
        <v>0</v>
      </c>
      <c r="H172" s="19">
        <v>0</v>
      </c>
      <c r="I172" s="15">
        <v>3500</v>
      </c>
      <c r="J172" s="15">
        <v>0</v>
      </c>
      <c r="K172" s="15">
        <v>0</v>
      </c>
      <c r="L172" s="16">
        <v>0</v>
      </c>
      <c r="M172" s="15">
        <v>0</v>
      </c>
      <c r="N172" s="15" t="str">
        <v/>
      </c>
      <c r="O172" s="15" t="str">
        <v/>
      </c>
      <c r="P172" s="22">
        <v>0</v>
      </c>
      <c r="Q172">
        <v>0</v>
      </c>
    </row>
    <row r="173" spans="1:17">
      <c r="A173" s="19">
        <v>0</v>
      </c>
      <c r="B173" s="19">
        <v>0</v>
      </c>
      <c r="C173" s="19">
        <v>0</v>
      </c>
      <c r="D173" s="19">
        <v>0</v>
      </c>
      <c r="E173" s="19">
        <v>0</v>
      </c>
      <c r="F173" s="19">
        <v>0</v>
      </c>
      <c r="G173" s="19">
        <v>0</v>
      </c>
      <c r="H173" s="19">
        <v>0</v>
      </c>
      <c r="I173" s="15">
        <v>3500</v>
      </c>
      <c r="J173" s="15">
        <v>0</v>
      </c>
      <c r="K173" s="15">
        <v>0</v>
      </c>
      <c r="L173" s="16">
        <v>0</v>
      </c>
      <c r="M173" s="15">
        <v>0</v>
      </c>
      <c r="N173" s="15" t="str">
        <v/>
      </c>
      <c r="O173" s="15" t="str">
        <v/>
      </c>
      <c r="P173" s="22">
        <v>0</v>
      </c>
      <c r="Q173">
        <v>0</v>
      </c>
    </row>
    <row r="174" spans="1:17">
      <c r="A174" s="19">
        <v>0</v>
      </c>
      <c r="B174" s="19">
        <v>0</v>
      </c>
      <c r="C174" s="19">
        <v>0</v>
      </c>
      <c r="D174" s="19">
        <v>0</v>
      </c>
      <c r="E174" s="19">
        <v>0</v>
      </c>
      <c r="F174" s="19">
        <v>0</v>
      </c>
      <c r="G174" s="19">
        <v>0</v>
      </c>
      <c r="H174" s="19">
        <v>0</v>
      </c>
      <c r="I174" s="15">
        <v>3500</v>
      </c>
      <c r="J174" s="15">
        <v>0</v>
      </c>
      <c r="K174" s="15">
        <v>0</v>
      </c>
      <c r="L174" s="16">
        <v>0</v>
      </c>
      <c r="M174" s="15">
        <v>0</v>
      </c>
      <c r="N174" s="15" t="str">
        <v/>
      </c>
      <c r="O174" s="15" t="str">
        <v/>
      </c>
      <c r="P174" s="22">
        <v>0</v>
      </c>
      <c r="Q174">
        <v>0</v>
      </c>
    </row>
    <row r="175" spans="1:17">
      <c r="A175" s="19">
        <v>0</v>
      </c>
      <c r="B175" s="19">
        <v>0</v>
      </c>
      <c r="C175" s="19">
        <v>0</v>
      </c>
      <c r="D175" s="19">
        <v>0</v>
      </c>
      <c r="E175" s="19">
        <v>0</v>
      </c>
      <c r="F175" s="19">
        <v>0</v>
      </c>
      <c r="G175" s="19">
        <v>0</v>
      </c>
      <c r="H175" s="19">
        <v>0</v>
      </c>
      <c r="I175" s="15">
        <v>3500</v>
      </c>
      <c r="J175" s="15">
        <v>0</v>
      </c>
      <c r="K175" s="15">
        <v>0</v>
      </c>
      <c r="L175" s="16">
        <v>0</v>
      </c>
      <c r="M175" s="15">
        <v>0</v>
      </c>
      <c r="N175" s="15" t="str">
        <v/>
      </c>
      <c r="O175" s="15" t="str">
        <v/>
      </c>
      <c r="P175" s="22">
        <v>0</v>
      </c>
      <c r="Q175">
        <v>0</v>
      </c>
    </row>
    <row r="176" spans="1:17">
      <c r="A176" s="19">
        <v>0</v>
      </c>
      <c r="B176" s="19">
        <v>0</v>
      </c>
      <c r="C176" s="19">
        <v>0</v>
      </c>
      <c r="D176" s="19">
        <v>0</v>
      </c>
      <c r="E176" s="19">
        <v>0</v>
      </c>
      <c r="F176" s="19">
        <v>0</v>
      </c>
      <c r="G176" s="19">
        <v>0</v>
      </c>
      <c r="H176" s="19">
        <v>0</v>
      </c>
      <c r="I176" s="15">
        <v>3500</v>
      </c>
      <c r="J176" s="15">
        <v>0</v>
      </c>
      <c r="K176" s="15">
        <v>0</v>
      </c>
      <c r="L176" s="16">
        <v>0</v>
      </c>
      <c r="M176" s="15">
        <v>0</v>
      </c>
      <c r="N176" s="15" t="str">
        <v/>
      </c>
      <c r="O176" s="15" t="str">
        <v/>
      </c>
      <c r="P176" s="22">
        <v>0</v>
      </c>
      <c r="Q176">
        <v>0</v>
      </c>
    </row>
    <row r="177" spans="1:17">
      <c r="A177" s="19">
        <v>0</v>
      </c>
      <c r="B177" s="19">
        <v>0</v>
      </c>
      <c r="C177" s="19">
        <v>0</v>
      </c>
      <c r="D177" s="19">
        <v>0</v>
      </c>
      <c r="E177" s="19">
        <v>0</v>
      </c>
      <c r="F177" s="19">
        <v>0</v>
      </c>
      <c r="G177" s="19">
        <v>0</v>
      </c>
      <c r="H177" s="19">
        <v>0</v>
      </c>
      <c r="I177" s="15">
        <v>3500</v>
      </c>
      <c r="J177" s="15">
        <v>0</v>
      </c>
      <c r="K177" s="15">
        <v>0</v>
      </c>
      <c r="L177" s="16">
        <v>0</v>
      </c>
      <c r="M177" s="15">
        <v>0</v>
      </c>
      <c r="N177" s="15" t="str">
        <v/>
      </c>
      <c r="O177" s="15" t="str">
        <v/>
      </c>
      <c r="P177" s="22">
        <v>0</v>
      </c>
      <c r="Q177">
        <v>0</v>
      </c>
    </row>
    <row r="178" spans="1:17">
      <c r="A178" s="19">
        <v>0</v>
      </c>
      <c r="B178" s="19">
        <v>0</v>
      </c>
      <c r="C178" s="19">
        <v>0</v>
      </c>
      <c r="D178" s="19">
        <v>0</v>
      </c>
      <c r="E178" s="19">
        <v>0</v>
      </c>
      <c r="F178" s="19">
        <v>0</v>
      </c>
      <c r="G178" s="19">
        <v>0</v>
      </c>
      <c r="H178" s="19">
        <v>0</v>
      </c>
      <c r="I178" s="15">
        <v>3500</v>
      </c>
      <c r="J178" s="15">
        <v>0</v>
      </c>
      <c r="K178" s="15">
        <v>0</v>
      </c>
      <c r="L178" s="16">
        <v>0</v>
      </c>
      <c r="M178" s="15">
        <v>0</v>
      </c>
      <c r="N178" s="15" t="str">
        <v/>
      </c>
      <c r="O178" s="15" t="str">
        <v/>
      </c>
      <c r="P178" s="22">
        <v>0</v>
      </c>
      <c r="Q178">
        <v>0</v>
      </c>
    </row>
    <row r="179" spans="1:17">
      <c r="A179" s="19">
        <v>0</v>
      </c>
      <c r="B179" s="19">
        <v>0</v>
      </c>
      <c r="C179" s="19">
        <v>0</v>
      </c>
      <c r="D179" s="19">
        <v>0</v>
      </c>
      <c r="E179" s="19">
        <v>0</v>
      </c>
      <c r="F179" s="19">
        <v>0</v>
      </c>
      <c r="G179" s="19">
        <v>0</v>
      </c>
      <c r="H179" s="19">
        <v>0</v>
      </c>
      <c r="I179" s="15">
        <v>3500</v>
      </c>
      <c r="J179" s="15">
        <v>0</v>
      </c>
      <c r="K179" s="15">
        <v>0</v>
      </c>
      <c r="L179" s="16">
        <v>0</v>
      </c>
      <c r="M179" s="15">
        <v>0</v>
      </c>
      <c r="N179" s="15" t="str">
        <v/>
      </c>
      <c r="O179" s="15" t="str">
        <v/>
      </c>
      <c r="P179" s="22">
        <v>0</v>
      </c>
      <c r="Q179">
        <v>0</v>
      </c>
    </row>
    <row r="180" spans="1:17">
      <c r="A180" s="19">
        <v>0</v>
      </c>
      <c r="B180" s="19">
        <v>0</v>
      </c>
      <c r="C180" s="19">
        <v>0</v>
      </c>
      <c r="D180" s="19">
        <v>0</v>
      </c>
      <c r="E180" s="19">
        <v>0</v>
      </c>
      <c r="F180" s="19">
        <v>0</v>
      </c>
      <c r="G180" s="19">
        <v>0</v>
      </c>
      <c r="H180" s="19">
        <v>0</v>
      </c>
      <c r="I180" s="15">
        <v>3500</v>
      </c>
      <c r="J180" s="15">
        <v>0</v>
      </c>
      <c r="K180" s="15">
        <v>0</v>
      </c>
      <c r="L180" s="16">
        <v>0</v>
      </c>
      <c r="M180" s="15">
        <v>0</v>
      </c>
      <c r="N180" s="15" t="str">
        <v/>
      </c>
      <c r="O180" s="15" t="str">
        <v/>
      </c>
      <c r="P180" s="22">
        <v>0</v>
      </c>
      <c r="Q180">
        <v>0</v>
      </c>
    </row>
    <row r="181" spans="1:17">
      <c r="A181" s="19">
        <v>0</v>
      </c>
      <c r="B181" s="19">
        <v>0</v>
      </c>
      <c r="C181" s="19">
        <v>0</v>
      </c>
      <c r="D181" s="19">
        <v>0</v>
      </c>
      <c r="E181" s="19">
        <v>0</v>
      </c>
      <c r="F181" s="19">
        <v>0</v>
      </c>
      <c r="G181" s="19">
        <v>0</v>
      </c>
      <c r="H181" s="19">
        <v>0</v>
      </c>
      <c r="I181" s="15">
        <v>3500</v>
      </c>
      <c r="J181" s="15">
        <v>0</v>
      </c>
      <c r="K181" s="15">
        <v>0</v>
      </c>
      <c r="L181" s="16">
        <v>0</v>
      </c>
      <c r="M181" s="15">
        <v>0</v>
      </c>
      <c r="N181" s="15" t="str">
        <v/>
      </c>
      <c r="O181" s="15" t="str">
        <v/>
      </c>
      <c r="P181" s="22">
        <v>0</v>
      </c>
      <c r="Q181">
        <v>0</v>
      </c>
    </row>
    <row r="182" spans="1:17">
      <c r="A182" s="19">
        <v>0</v>
      </c>
      <c r="B182" s="19">
        <v>0</v>
      </c>
      <c r="C182" s="19">
        <v>0</v>
      </c>
      <c r="D182" s="19">
        <v>0</v>
      </c>
      <c r="E182" s="19">
        <v>0</v>
      </c>
      <c r="F182" s="19">
        <v>0</v>
      </c>
      <c r="G182" s="19">
        <v>0</v>
      </c>
      <c r="H182" s="19">
        <v>0</v>
      </c>
      <c r="I182" s="15">
        <v>3500</v>
      </c>
      <c r="J182" s="15">
        <v>0</v>
      </c>
      <c r="K182" s="15">
        <v>0</v>
      </c>
      <c r="L182" s="16">
        <v>0</v>
      </c>
      <c r="M182" s="15">
        <v>0</v>
      </c>
      <c r="N182" s="15" t="str">
        <v/>
      </c>
      <c r="O182" s="15" t="str">
        <v/>
      </c>
      <c r="P182" s="22">
        <v>0</v>
      </c>
      <c r="Q182">
        <v>0</v>
      </c>
    </row>
    <row r="183" spans="1:17">
      <c r="A183" s="19">
        <v>0</v>
      </c>
      <c r="B183" s="19">
        <v>0</v>
      </c>
      <c r="C183" s="19">
        <v>0</v>
      </c>
      <c r="D183" s="19">
        <v>0</v>
      </c>
      <c r="E183" s="19">
        <v>0</v>
      </c>
      <c r="F183" s="19">
        <v>0</v>
      </c>
      <c r="G183" s="19">
        <v>0</v>
      </c>
      <c r="H183" s="19">
        <v>0</v>
      </c>
      <c r="I183" s="15">
        <v>3500</v>
      </c>
      <c r="J183" s="15">
        <v>0</v>
      </c>
      <c r="K183" s="15">
        <v>0</v>
      </c>
      <c r="L183" s="16">
        <v>0</v>
      </c>
      <c r="M183" s="15">
        <v>0</v>
      </c>
      <c r="N183" s="15" t="str">
        <v/>
      </c>
      <c r="O183" s="15" t="str">
        <v/>
      </c>
      <c r="P183" s="22">
        <v>0</v>
      </c>
      <c r="Q183">
        <v>0</v>
      </c>
    </row>
    <row r="184" spans="1:17">
      <c r="A184" s="19">
        <v>0</v>
      </c>
      <c r="B184" s="19">
        <v>0</v>
      </c>
      <c r="C184" s="19">
        <v>0</v>
      </c>
      <c r="D184" s="19">
        <v>0</v>
      </c>
      <c r="E184" s="19">
        <v>0</v>
      </c>
      <c r="F184" s="19">
        <v>0</v>
      </c>
      <c r="G184" s="19">
        <v>0</v>
      </c>
      <c r="H184" s="19">
        <v>0</v>
      </c>
      <c r="I184" s="15">
        <v>3500</v>
      </c>
      <c r="J184" s="15">
        <v>0</v>
      </c>
      <c r="K184" s="15">
        <v>0</v>
      </c>
      <c r="L184" s="16">
        <v>0</v>
      </c>
      <c r="M184" s="15">
        <v>0</v>
      </c>
      <c r="N184" s="15" t="str">
        <v/>
      </c>
      <c r="O184" s="15" t="str">
        <v/>
      </c>
      <c r="P184" s="22">
        <v>0</v>
      </c>
      <c r="Q184">
        <v>0</v>
      </c>
    </row>
    <row r="185" spans="1:17">
      <c r="A185" s="19">
        <v>0</v>
      </c>
      <c r="B185" s="19">
        <v>0</v>
      </c>
      <c r="C185" s="19">
        <v>0</v>
      </c>
      <c r="D185" s="19">
        <v>0</v>
      </c>
      <c r="E185" s="19">
        <v>0</v>
      </c>
      <c r="F185" s="19">
        <v>0</v>
      </c>
      <c r="G185" s="19">
        <v>0</v>
      </c>
      <c r="H185" s="19">
        <v>0</v>
      </c>
      <c r="I185" s="15">
        <v>3500</v>
      </c>
      <c r="J185" s="15">
        <v>0</v>
      </c>
      <c r="K185" s="15">
        <v>0</v>
      </c>
      <c r="L185" s="16">
        <v>0</v>
      </c>
      <c r="M185" s="15">
        <v>0</v>
      </c>
      <c r="N185" s="15" t="str">
        <v/>
      </c>
      <c r="O185" s="15" t="str">
        <v/>
      </c>
      <c r="P185" s="22">
        <v>0</v>
      </c>
      <c r="Q185">
        <v>0</v>
      </c>
    </row>
    <row r="186" spans="1:17">
      <c r="A186" s="19">
        <v>0</v>
      </c>
      <c r="B186" s="19">
        <v>0</v>
      </c>
      <c r="C186" s="19">
        <v>0</v>
      </c>
      <c r="D186" s="19">
        <v>0</v>
      </c>
      <c r="E186" s="19">
        <v>0</v>
      </c>
      <c r="F186" s="19">
        <v>0</v>
      </c>
      <c r="G186" s="19">
        <v>0</v>
      </c>
      <c r="H186" s="19">
        <v>0</v>
      </c>
      <c r="I186" s="15">
        <v>3500</v>
      </c>
      <c r="J186" s="15">
        <v>0</v>
      </c>
      <c r="K186" s="15">
        <v>0</v>
      </c>
      <c r="L186" s="16">
        <v>0</v>
      </c>
      <c r="M186" s="15">
        <v>0</v>
      </c>
      <c r="N186" s="15" t="str">
        <v/>
      </c>
      <c r="O186" s="15" t="str">
        <v/>
      </c>
      <c r="P186" s="22">
        <v>0</v>
      </c>
      <c r="Q186">
        <v>0</v>
      </c>
    </row>
    <row r="187" spans="1:17">
      <c r="A187" s="19">
        <v>0</v>
      </c>
      <c r="B187" s="19">
        <v>0</v>
      </c>
      <c r="C187" s="19">
        <v>0</v>
      </c>
      <c r="D187" s="19">
        <v>0</v>
      </c>
      <c r="E187" s="19">
        <v>0</v>
      </c>
      <c r="F187" s="19">
        <v>0</v>
      </c>
      <c r="G187" s="19">
        <v>0</v>
      </c>
      <c r="H187" s="19">
        <v>0</v>
      </c>
      <c r="I187" s="15">
        <v>3500</v>
      </c>
      <c r="J187" s="15">
        <v>0</v>
      </c>
      <c r="K187" s="15">
        <v>0</v>
      </c>
      <c r="L187" s="16">
        <v>0</v>
      </c>
      <c r="M187" s="15">
        <v>0</v>
      </c>
      <c r="N187" s="15" t="str">
        <v/>
      </c>
      <c r="O187" s="15" t="str">
        <v/>
      </c>
      <c r="P187" s="22">
        <v>0</v>
      </c>
      <c r="Q187">
        <v>0</v>
      </c>
    </row>
    <row r="188" spans="1:17">
      <c r="A188" s="19">
        <v>0</v>
      </c>
      <c r="B188" s="19">
        <v>0</v>
      </c>
      <c r="C188" s="19">
        <v>0</v>
      </c>
      <c r="D188" s="19">
        <v>0</v>
      </c>
      <c r="E188" s="19">
        <v>0</v>
      </c>
      <c r="F188" s="19">
        <v>0</v>
      </c>
      <c r="G188" s="19">
        <v>0</v>
      </c>
      <c r="H188" s="19">
        <v>0</v>
      </c>
      <c r="I188" s="15">
        <v>3500</v>
      </c>
      <c r="J188" s="15">
        <v>0</v>
      </c>
      <c r="K188" s="15">
        <v>0</v>
      </c>
      <c r="L188" s="16">
        <v>0</v>
      </c>
      <c r="M188" s="15">
        <v>0</v>
      </c>
      <c r="N188" s="15" t="str">
        <v/>
      </c>
      <c r="O188" s="15" t="str">
        <v/>
      </c>
      <c r="P188" s="22">
        <v>0</v>
      </c>
      <c r="Q188">
        <v>0</v>
      </c>
    </row>
    <row r="189" spans="1:17">
      <c r="A189" s="19">
        <v>0</v>
      </c>
      <c r="B189" s="19">
        <v>0</v>
      </c>
      <c r="C189" s="19">
        <v>0</v>
      </c>
      <c r="D189" s="19">
        <v>0</v>
      </c>
      <c r="E189" s="19">
        <v>0</v>
      </c>
      <c r="F189" s="19">
        <v>0</v>
      </c>
      <c r="G189" s="19">
        <v>0</v>
      </c>
      <c r="H189" s="19">
        <v>0</v>
      </c>
      <c r="I189" s="15">
        <v>3500</v>
      </c>
      <c r="J189" s="15">
        <v>0</v>
      </c>
      <c r="K189" s="15">
        <v>0</v>
      </c>
      <c r="L189" s="16">
        <v>0</v>
      </c>
      <c r="M189" s="15">
        <v>0</v>
      </c>
      <c r="N189" s="15" t="str">
        <v/>
      </c>
      <c r="O189" s="15" t="str">
        <v/>
      </c>
      <c r="P189" s="22">
        <v>0</v>
      </c>
      <c r="Q189">
        <v>0</v>
      </c>
    </row>
    <row r="190" spans="1:17">
      <c r="A190" s="19">
        <v>0</v>
      </c>
      <c r="B190" s="19">
        <v>0</v>
      </c>
      <c r="C190" s="19">
        <v>0</v>
      </c>
      <c r="D190" s="19">
        <v>0</v>
      </c>
      <c r="E190" s="19">
        <v>0</v>
      </c>
      <c r="F190" s="19">
        <v>0</v>
      </c>
      <c r="G190" s="19">
        <v>0</v>
      </c>
      <c r="H190" s="19">
        <v>0</v>
      </c>
      <c r="I190" s="15">
        <v>3500</v>
      </c>
      <c r="J190" s="15">
        <v>0</v>
      </c>
      <c r="K190" s="15">
        <v>0</v>
      </c>
      <c r="L190" s="16">
        <v>0</v>
      </c>
      <c r="M190" s="15">
        <v>0</v>
      </c>
      <c r="N190" s="15" t="str">
        <v/>
      </c>
      <c r="O190" s="15" t="str">
        <v/>
      </c>
      <c r="P190" s="22">
        <v>0</v>
      </c>
      <c r="Q190">
        <v>0</v>
      </c>
    </row>
    <row r="191" spans="1:17">
      <c r="A191" s="19">
        <v>0</v>
      </c>
      <c r="B191" s="19">
        <v>0</v>
      </c>
      <c r="C191" s="19">
        <v>0</v>
      </c>
      <c r="D191" s="19">
        <v>0</v>
      </c>
      <c r="E191" s="19">
        <v>0</v>
      </c>
      <c r="F191" s="19">
        <v>0</v>
      </c>
      <c r="G191" s="19">
        <v>0</v>
      </c>
      <c r="H191" s="19">
        <v>0</v>
      </c>
      <c r="I191" s="15">
        <v>3500</v>
      </c>
      <c r="J191" s="15">
        <v>0</v>
      </c>
      <c r="K191" s="15">
        <v>0</v>
      </c>
      <c r="L191" s="16">
        <v>0</v>
      </c>
      <c r="M191" s="15">
        <v>0</v>
      </c>
      <c r="N191" s="15" t="str">
        <v/>
      </c>
      <c r="O191" s="15" t="str">
        <v/>
      </c>
      <c r="P191" s="22">
        <v>0</v>
      </c>
      <c r="Q191">
        <v>0</v>
      </c>
    </row>
    <row r="192" spans="1:17">
      <c r="A192" s="19">
        <v>0</v>
      </c>
      <c r="B192" s="19">
        <v>0</v>
      </c>
      <c r="C192" s="19">
        <v>0</v>
      </c>
      <c r="D192" s="19">
        <v>0</v>
      </c>
      <c r="E192" s="19">
        <v>0</v>
      </c>
      <c r="F192" s="19">
        <v>0</v>
      </c>
      <c r="G192" s="19">
        <v>0</v>
      </c>
      <c r="H192" s="19">
        <v>0</v>
      </c>
      <c r="I192" s="15">
        <v>3500</v>
      </c>
      <c r="J192" s="15">
        <v>0</v>
      </c>
      <c r="K192" s="15">
        <v>0</v>
      </c>
      <c r="L192" s="16">
        <v>0</v>
      </c>
      <c r="M192" s="15">
        <v>0</v>
      </c>
      <c r="N192" s="15" t="str">
        <v/>
      </c>
      <c r="O192" s="15" t="str">
        <v/>
      </c>
      <c r="P192" s="22">
        <v>0</v>
      </c>
      <c r="Q192">
        <v>0</v>
      </c>
    </row>
    <row r="193" spans="1:17">
      <c r="A193" s="19">
        <v>0</v>
      </c>
      <c r="B193" s="19">
        <v>0</v>
      </c>
      <c r="C193" s="19">
        <v>0</v>
      </c>
      <c r="D193" s="19">
        <v>0</v>
      </c>
      <c r="E193" s="19">
        <v>0</v>
      </c>
      <c r="F193" s="19">
        <v>0</v>
      </c>
      <c r="G193" s="19">
        <v>0</v>
      </c>
      <c r="H193" s="19">
        <v>0</v>
      </c>
      <c r="I193" s="15">
        <v>3500</v>
      </c>
      <c r="J193" s="15">
        <v>0</v>
      </c>
      <c r="K193" s="15">
        <v>0</v>
      </c>
      <c r="L193" s="16">
        <v>0</v>
      </c>
      <c r="M193" s="15">
        <v>0</v>
      </c>
      <c r="N193" s="15" t="str">
        <v/>
      </c>
      <c r="O193" s="15" t="str">
        <v/>
      </c>
      <c r="P193" s="22">
        <v>0</v>
      </c>
      <c r="Q193">
        <v>0</v>
      </c>
    </row>
    <row r="194" spans="1:17">
      <c r="A194" s="19">
        <v>0</v>
      </c>
      <c r="B194" s="19">
        <v>0</v>
      </c>
      <c r="C194" s="19">
        <v>0</v>
      </c>
      <c r="D194" s="19">
        <v>0</v>
      </c>
      <c r="E194" s="19">
        <v>0</v>
      </c>
      <c r="F194" s="19">
        <v>0</v>
      </c>
      <c r="G194" s="19">
        <v>0</v>
      </c>
      <c r="H194" s="19">
        <v>0</v>
      </c>
      <c r="I194" s="15">
        <v>3500</v>
      </c>
      <c r="J194" s="15">
        <v>0</v>
      </c>
      <c r="K194" s="15">
        <v>0</v>
      </c>
      <c r="L194" s="16">
        <v>0</v>
      </c>
      <c r="M194" s="15">
        <v>0</v>
      </c>
      <c r="N194" s="15" t="str">
        <v/>
      </c>
      <c r="O194" s="15" t="str">
        <v/>
      </c>
      <c r="P194" s="22">
        <v>0</v>
      </c>
      <c r="Q194">
        <v>0</v>
      </c>
    </row>
    <row r="195" spans="1:17">
      <c r="A195" s="19">
        <v>0</v>
      </c>
      <c r="B195" s="19">
        <v>0</v>
      </c>
      <c r="C195" s="19">
        <v>0</v>
      </c>
      <c r="D195" s="19">
        <v>0</v>
      </c>
      <c r="E195" s="19">
        <v>0</v>
      </c>
      <c r="F195" s="19">
        <v>0</v>
      </c>
      <c r="G195" s="19">
        <v>0</v>
      </c>
      <c r="H195" s="19">
        <v>0</v>
      </c>
      <c r="I195" s="15">
        <v>3500</v>
      </c>
      <c r="J195" s="15">
        <v>0</v>
      </c>
      <c r="K195" s="15">
        <v>0</v>
      </c>
      <c r="L195" s="16">
        <v>0</v>
      </c>
      <c r="M195" s="15">
        <v>0</v>
      </c>
      <c r="N195" s="15" t="str">
        <v/>
      </c>
      <c r="O195" s="15" t="str">
        <v/>
      </c>
      <c r="P195" s="22">
        <v>0</v>
      </c>
      <c r="Q195">
        <v>0</v>
      </c>
    </row>
    <row r="196" spans="1:17">
      <c r="A196" s="19">
        <v>0</v>
      </c>
      <c r="B196" s="19">
        <v>0</v>
      </c>
      <c r="C196" s="19">
        <v>0</v>
      </c>
      <c r="D196" s="19">
        <v>0</v>
      </c>
      <c r="E196" s="19">
        <v>0</v>
      </c>
      <c r="F196" s="19">
        <v>0</v>
      </c>
      <c r="G196" s="19">
        <v>0</v>
      </c>
      <c r="H196" s="19">
        <v>0</v>
      </c>
      <c r="I196" s="15">
        <v>3500</v>
      </c>
      <c r="J196" s="15">
        <v>0</v>
      </c>
      <c r="K196" s="15">
        <v>0</v>
      </c>
      <c r="L196" s="16">
        <v>0</v>
      </c>
      <c r="M196" s="15">
        <v>0</v>
      </c>
      <c r="N196" s="15" t="str">
        <v/>
      </c>
      <c r="O196" s="15" t="str">
        <v/>
      </c>
      <c r="P196" s="22">
        <v>0</v>
      </c>
      <c r="Q196">
        <v>0</v>
      </c>
    </row>
    <row r="197" spans="1:17">
      <c r="A197" s="19">
        <v>0</v>
      </c>
      <c r="B197" s="19">
        <v>0</v>
      </c>
      <c r="C197" s="19">
        <v>0</v>
      </c>
      <c r="D197" s="19">
        <v>0</v>
      </c>
      <c r="E197" s="19">
        <v>0</v>
      </c>
      <c r="F197" s="19">
        <v>0</v>
      </c>
      <c r="G197" s="19">
        <v>0</v>
      </c>
      <c r="H197" s="19">
        <v>0</v>
      </c>
      <c r="I197" s="15">
        <v>3500</v>
      </c>
      <c r="J197" s="15">
        <v>0</v>
      </c>
      <c r="K197" s="15">
        <v>0</v>
      </c>
      <c r="L197" s="16">
        <v>0</v>
      </c>
      <c r="M197" s="15">
        <v>0</v>
      </c>
      <c r="N197" s="15" t="str">
        <v/>
      </c>
      <c r="O197" s="15" t="str">
        <v/>
      </c>
      <c r="P197" s="22">
        <v>0</v>
      </c>
      <c r="Q197">
        <v>0</v>
      </c>
    </row>
    <row r="198" spans="1:17">
      <c r="A198" s="19">
        <v>0</v>
      </c>
      <c r="B198" s="19">
        <v>0</v>
      </c>
      <c r="C198" s="19">
        <v>0</v>
      </c>
      <c r="D198" s="19">
        <v>0</v>
      </c>
      <c r="E198" s="19">
        <v>0</v>
      </c>
      <c r="F198" s="19">
        <v>0</v>
      </c>
      <c r="G198" s="19">
        <v>0</v>
      </c>
      <c r="H198" s="19">
        <v>0</v>
      </c>
      <c r="I198" s="15">
        <v>3500</v>
      </c>
      <c r="J198" s="15">
        <v>0</v>
      </c>
      <c r="K198" s="15">
        <v>0</v>
      </c>
      <c r="L198" s="16">
        <v>0</v>
      </c>
      <c r="M198" s="15">
        <v>0</v>
      </c>
      <c r="N198" s="15" t="str">
        <v/>
      </c>
      <c r="O198" s="15" t="str">
        <v/>
      </c>
      <c r="P198" s="22">
        <v>0</v>
      </c>
      <c r="Q198">
        <v>0</v>
      </c>
    </row>
    <row r="199" spans="1:17">
      <c r="A199" s="19">
        <v>0</v>
      </c>
      <c r="B199" s="19">
        <v>0</v>
      </c>
      <c r="C199" s="19">
        <v>0</v>
      </c>
      <c r="D199" s="19">
        <v>0</v>
      </c>
      <c r="E199" s="19">
        <v>0</v>
      </c>
      <c r="F199" s="19">
        <v>0</v>
      </c>
      <c r="G199" s="19">
        <v>0</v>
      </c>
      <c r="H199" s="19">
        <v>0</v>
      </c>
      <c r="I199" s="15">
        <v>3500</v>
      </c>
      <c r="J199" s="15">
        <v>0</v>
      </c>
      <c r="K199" s="15">
        <v>0</v>
      </c>
      <c r="L199" s="16">
        <v>0</v>
      </c>
      <c r="M199" s="15">
        <v>0</v>
      </c>
      <c r="N199" s="15" t="str">
        <v/>
      </c>
      <c r="O199" s="15" t="str">
        <v/>
      </c>
      <c r="P199" s="22">
        <v>0</v>
      </c>
      <c r="Q199">
        <v>0</v>
      </c>
    </row>
    <row r="200" spans="1:17">
      <c r="A200" s="19">
        <v>0</v>
      </c>
      <c r="B200" s="19">
        <v>0</v>
      </c>
      <c r="C200" s="19">
        <v>0</v>
      </c>
      <c r="D200" s="19">
        <v>0</v>
      </c>
      <c r="E200" s="19">
        <v>0</v>
      </c>
      <c r="F200" s="19">
        <v>0</v>
      </c>
      <c r="G200" s="19">
        <v>0</v>
      </c>
      <c r="H200" s="19">
        <v>0</v>
      </c>
      <c r="I200" s="15">
        <v>3500</v>
      </c>
      <c r="J200" s="15">
        <v>0</v>
      </c>
      <c r="K200" s="15">
        <v>0</v>
      </c>
      <c r="L200" s="16">
        <v>0</v>
      </c>
      <c r="M200" s="15">
        <v>0</v>
      </c>
      <c r="N200" s="15" t="str">
        <v/>
      </c>
      <c r="O200" s="15" t="str">
        <v/>
      </c>
      <c r="P200" s="22">
        <v>0</v>
      </c>
      <c r="Q200">
        <v>0</v>
      </c>
    </row>
    <row r="201" spans="1:17">
      <c r="A201" s="19">
        <v>0</v>
      </c>
      <c r="B201" s="19">
        <v>0</v>
      </c>
      <c r="C201" s="19">
        <v>0</v>
      </c>
      <c r="D201" s="19">
        <v>0</v>
      </c>
      <c r="E201" s="19">
        <v>0</v>
      </c>
      <c r="F201" s="19">
        <v>0</v>
      </c>
      <c r="G201" s="19">
        <v>0</v>
      </c>
      <c r="H201" s="19">
        <v>0</v>
      </c>
      <c r="I201" s="15">
        <v>3500</v>
      </c>
      <c r="J201" s="15">
        <v>0</v>
      </c>
      <c r="K201" s="15">
        <v>0</v>
      </c>
      <c r="L201" s="16">
        <v>0</v>
      </c>
      <c r="M201" s="15">
        <v>0</v>
      </c>
      <c r="N201" s="15" t="str">
        <v/>
      </c>
      <c r="O201" s="15" t="str">
        <v/>
      </c>
      <c r="P201" s="22">
        <v>0</v>
      </c>
      <c r="Q201">
        <v>0</v>
      </c>
    </row>
    <row r="202" spans="1:17">
      <c r="A202" s="19">
        <v>0</v>
      </c>
      <c r="B202" s="19">
        <v>0</v>
      </c>
      <c r="C202" s="19">
        <v>0</v>
      </c>
      <c r="D202" s="19">
        <v>0</v>
      </c>
      <c r="E202" s="19">
        <v>0</v>
      </c>
      <c r="F202" s="19">
        <v>0</v>
      </c>
      <c r="G202" s="19">
        <v>0</v>
      </c>
      <c r="H202" s="19">
        <v>0</v>
      </c>
      <c r="I202" s="15">
        <v>3500</v>
      </c>
      <c r="J202" s="15">
        <v>0</v>
      </c>
      <c r="K202" s="15">
        <v>0</v>
      </c>
      <c r="L202" s="16">
        <v>0</v>
      </c>
      <c r="M202" s="15">
        <v>0</v>
      </c>
      <c r="N202" s="15" t="str">
        <v/>
      </c>
      <c r="O202" s="15" t="str">
        <v/>
      </c>
      <c r="P202" s="22">
        <v>0</v>
      </c>
      <c r="Q202">
        <v>0</v>
      </c>
    </row>
    <row r="203" spans="1:17">
      <c r="A203" s="19">
        <v>0</v>
      </c>
      <c r="B203" s="19">
        <v>0</v>
      </c>
      <c r="C203" s="19">
        <v>0</v>
      </c>
      <c r="D203" s="19">
        <v>0</v>
      </c>
      <c r="E203" s="19">
        <v>0</v>
      </c>
      <c r="F203" s="19">
        <v>0</v>
      </c>
      <c r="G203" s="19">
        <v>0</v>
      </c>
      <c r="H203" s="19">
        <v>0</v>
      </c>
      <c r="I203" s="15">
        <v>3500</v>
      </c>
      <c r="J203" s="15">
        <v>0</v>
      </c>
      <c r="K203" s="15">
        <v>0</v>
      </c>
      <c r="L203" s="16">
        <v>0</v>
      </c>
      <c r="M203" s="15">
        <v>0</v>
      </c>
      <c r="N203" s="15" t="str">
        <v/>
      </c>
      <c r="O203" s="15" t="str">
        <v/>
      </c>
      <c r="P203" s="22">
        <v>0</v>
      </c>
      <c r="Q203">
        <v>0</v>
      </c>
    </row>
    <row r="204" spans="1:17">
      <c r="A204" s="19">
        <v>0</v>
      </c>
      <c r="B204" s="19">
        <v>0</v>
      </c>
      <c r="C204" s="19">
        <v>0</v>
      </c>
      <c r="D204" s="19">
        <v>0</v>
      </c>
      <c r="E204" s="19">
        <v>0</v>
      </c>
      <c r="F204" s="19">
        <v>0</v>
      </c>
      <c r="G204" s="19">
        <v>0</v>
      </c>
      <c r="H204" s="19">
        <v>0</v>
      </c>
      <c r="I204" s="15">
        <v>3500</v>
      </c>
      <c r="J204" s="15">
        <v>0</v>
      </c>
      <c r="K204" s="15">
        <v>0</v>
      </c>
      <c r="L204" s="16">
        <v>0</v>
      </c>
      <c r="M204" s="15">
        <v>0</v>
      </c>
      <c r="N204" s="15" t="str">
        <v/>
      </c>
      <c r="O204" s="15" t="str">
        <v/>
      </c>
      <c r="P204" s="22">
        <v>0</v>
      </c>
      <c r="Q204">
        <v>0</v>
      </c>
    </row>
    <row r="205" spans="1:17">
      <c r="A205" s="19">
        <v>0</v>
      </c>
      <c r="B205" s="19">
        <v>0</v>
      </c>
      <c r="C205" s="19">
        <v>0</v>
      </c>
      <c r="D205" s="19">
        <v>0</v>
      </c>
      <c r="E205" s="19">
        <v>0</v>
      </c>
      <c r="F205" s="19">
        <v>0</v>
      </c>
      <c r="G205" s="19">
        <v>0</v>
      </c>
      <c r="H205" s="19">
        <v>0</v>
      </c>
      <c r="I205" s="15">
        <v>3500</v>
      </c>
      <c r="J205" s="15">
        <v>0</v>
      </c>
      <c r="K205" s="15">
        <v>0</v>
      </c>
      <c r="L205" s="16">
        <v>0</v>
      </c>
      <c r="M205" s="15">
        <v>0</v>
      </c>
      <c r="N205" s="15" t="str">
        <v/>
      </c>
      <c r="O205" s="15" t="str">
        <v/>
      </c>
      <c r="P205" s="22">
        <v>0</v>
      </c>
      <c r="Q205">
        <v>0</v>
      </c>
    </row>
    <row r="206" spans="1:17">
      <c r="A206" s="19">
        <v>0</v>
      </c>
      <c r="B206" s="19">
        <v>0</v>
      </c>
      <c r="C206" s="19">
        <v>0</v>
      </c>
      <c r="D206" s="19">
        <v>0</v>
      </c>
      <c r="E206" s="19">
        <v>0</v>
      </c>
      <c r="F206" s="19">
        <v>0</v>
      </c>
      <c r="G206" s="19">
        <v>0</v>
      </c>
      <c r="H206" s="19">
        <v>0</v>
      </c>
      <c r="I206" s="15">
        <v>3500</v>
      </c>
      <c r="J206" s="15">
        <v>0</v>
      </c>
      <c r="K206" s="15">
        <v>0</v>
      </c>
      <c r="L206" s="16">
        <v>0</v>
      </c>
      <c r="M206" s="15">
        <v>0</v>
      </c>
      <c r="N206" s="15" t="str">
        <v/>
      </c>
      <c r="O206" s="15" t="str">
        <v/>
      </c>
      <c r="P206" s="22">
        <v>0</v>
      </c>
      <c r="Q206">
        <v>0</v>
      </c>
    </row>
    <row r="207" spans="1:17">
      <c r="A207" s="19">
        <v>0</v>
      </c>
      <c r="B207" s="19">
        <v>0</v>
      </c>
      <c r="C207" s="19">
        <v>0</v>
      </c>
      <c r="D207" s="19">
        <v>0</v>
      </c>
      <c r="E207" s="19">
        <v>0</v>
      </c>
      <c r="F207" s="19">
        <v>0</v>
      </c>
      <c r="G207" s="19">
        <v>0</v>
      </c>
      <c r="H207" s="19">
        <v>0</v>
      </c>
      <c r="I207" s="15">
        <v>3500</v>
      </c>
      <c r="J207" s="15">
        <v>0</v>
      </c>
      <c r="K207" s="15">
        <v>0</v>
      </c>
      <c r="L207" s="16">
        <v>0</v>
      </c>
      <c r="M207" s="15">
        <v>0</v>
      </c>
      <c r="N207" s="15" t="str">
        <v/>
      </c>
      <c r="O207" s="15" t="str">
        <v/>
      </c>
      <c r="P207" s="22">
        <v>0</v>
      </c>
      <c r="Q207">
        <v>0</v>
      </c>
    </row>
    <row r="208" spans="1:17">
      <c r="A208" s="19">
        <v>0</v>
      </c>
      <c r="B208" s="19">
        <v>0</v>
      </c>
      <c r="C208" s="19">
        <v>0</v>
      </c>
      <c r="D208" s="19">
        <v>0</v>
      </c>
      <c r="E208" s="19">
        <v>0</v>
      </c>
      <c r="F208" s="19">
        <v>0</v>
      </c>
      <c r="G208" s="19">
        <v>0</v>
      </c>
      <c r="H208" s="19">
        <v>0</v>
      </c>
      <c r="I208" s="15">
        <v>3500</v>
      </c>
      <c r="J208" s="15">
        <v>0</v>
      </c>
      <c r="K208" s="15">
        <v>0</v>
      </c>
      <c r="L208" s="16">
        <v>0</v>
      </c>
      <c r="M208" s="15">
        <v>0</v>
      </c>
      <c r="N208" s="15" t="str">
        <v/>
      </c>
      <c r="O208" s="15" t="str">
        <v/>
      </c>
      <c r="P208" s="22">
        <v>0</v>
      </c>
      <c r="Q208">
        <v>0</v>
      </c>
    </row>
    <row r="209" spans="1:17">
      <c r="A209" s="19">
        <v>0</v>
      </c>
      <c r="B209" s="19">
        <v>0</v>
      </c>
      <c r="C209" s="19">
        <v>0</v>
      </c>
      <c r="D209" s="19">
        <v>0</v>
      </c>
      <c r="E209" s="19">
        <v>0</v>
      </c>
      <c r="F209" s="19">
        <v>0</v>
      </c>
      <c r="G209" s="19">
        <v>0</v>
      </c>
      <c r="H209" s="19">
        <v>0</v>
      </c>
      <c r="I209" s="15">
        <v>3500</v>
      </c>
      <c r="J209" s="15">
        <v>0</v>
      </c>
      <c r="K209" s="15">
        <v>0</v>
      </c>
      <c r="L209" s="16">
        <v>0</v>
      </c>
      <c r="M209" s="15">
        <v>0</v>
      </c>
      <c r="N209" s="15" t="str">
        <v/>
      </c>
      <c r="O209" s="15" t="str">
        <v/>
      </c>
      <c r="P209" s="22">
        <v>0</v>
      </c>
      <c r="Q209">
        <v>0</v>
      </c>
    </row>
    <row r="210" spans="1:17">
      <c r="A210" s="19">
        <v>0</v>
      </c>
      <c r="B210" s="19">
        <v>0</v>
      </c>
      <c r="C210" s="19">
        <v>0</v>
      </c>
      <c r="D210" s="19">
        <v>0</v>
      </c>
      <c r="E210" s="19">
        <v>0</v>
      </c>
      <c r="F210" s="19">
        <v>0</v>
      </c>
      <c r="G210" s="19">
        <v>0</v>
      </c>
      <c r="H210" s="19">
        <v>0</v>
      </c>
      <c r="I210" s="15">
        <v>3500</v>
      </c>
      <c r="J210" s="15">
        <v>0</v>
      </c>
      <c r="K210" s="15">
        <v>0</v>
      </c>
      <c r="L210" s="16">
        <v>0</v>
      </c>
      <c r="M210" s="15">
        <v>0</v>
      </c>
      <c r="N210" s="15" t="str">
        <v/>
      </c>
      <c r="O210" s="15" t="str">
        <v/>
      </c>
      <c r="P210" s="22">
        <v>0</v>
      </c>
      <c r="Q210">
        <v>0</v>
      </c>
    </row>
    <row r="211" spans="1:17">
      <c r="A211" s="19">
        <v>0</v>
      </c>
      <c r="B211" s="19">
        <v>0</v>
      </c>
      <c r="C211" s="19">
        <v>0</v>
      </c>
      <c r="D211" s="19">
        <v>0</v>
      </c>
      <c r="E211" s="19">
        <v>0</v>
      </c>
      <c r="F211" s="19">
        <v>0</v>
      </c>
      <c r="G211" s="19">
        <v>0</v>
      </c>
      <c r="H211" s="19">
        <v>0</v>
      </c>
      <c r="I211" s="15">
        <v>3500</v>
      </c>
      <c r="J211" s="15">
        <v>0</v>
      </c>
      <c r="K211" s="15">
        <v>0</v>
      </c>
      <c r="L211" s="16">
        <v>0</v>
      </c>
      <c r="M211" s="15">
        <v>0</v>
      </c>
      <c r="N211" s="15" t="str">
        <v/>
      </c>
      <c r="O211" s="15" t="str">
        <v/>
      </c>
      <c r="P211" s="22">
        <v>0</v>
      </c>
      <c r="Q211">
        <v>0</v>
      </c>
    </row>
    <row r="212" spans="1:17">
      <c r="A212" s="19">
        <v>0</v>
      </c>
      <c r="B212" s="19">
        <v>0</v>
      </c>
      <c r="C212" s="19">
        <v>0</v>
      </c>
      <c r="D212" s="19">
        <v>0</v>
      </c>
      <c r="E212" s="19">
        <v>0</v>
      </c>
      <c r="F212" s="19">
        <v>0</v>
      </c>
      <c r="G212" s="19">
        <v>0</v>
      </c>
      <c r="H212" s="19">
        <v>0</v>
      </c>
      <c r="I212" s="15">
        <v>3500</v>
      </c>
      <c r="J212" s="15">
        <v>0</v>
      </c>
      <c r="K212" s="15">
        <v>0</v>
      </c>
      <c r="L212" s="16">
        <v>0</v>
      </c>
      <c r="M212" s="15">
        <v>0</v>
      </c>
      <c r="N212" s="15" t="str">
        <v/>
      </c>
      <c r="O212" s="15" t="str">
        <v/>
      </c>
      <c r="P212" s="22">
        <v>0</v>
      </c>
      <c r="Q212">
        <v>0</v>
      </c>
    </row>
    <row r="213" spans="1:17">
      <c r="A213" s="19">
        <v>0</v>
      </c>
      <c r="B213" s="19">
        <v>0</v>
      </c>
      <c r="C213" s="19">
        <v>0</v>
      </c>
      <c r="D213" s="19">
        <v>0</v>
      </c>
      <c r="E213" s="19">
        <v>0</v>
      </c>
      <c r="F213" s="19">
        <v>0</v>
      </c>
      <c r="G213" s="19">
        <v>0</v>
      </c>
      <c r="H213" s="19">
        <v>0</v>
      </c>
      <c r="I213" s="15">
        <v>3500</v>
      </c>
      <c r="J213" s="15">
        <v>0</v>
      </c>
      <c r="K213" s="15">
        <v>0</v>
      </c>
      <c r="L213" s="16">
        <v>0</v>
      </c>
      <c r="M213" s="15">
        <v>0</v>
      </c>
      <c r="N213" s="15" t="str">
        <v/>
      </c>
      <c r="O213" s="15" t="str">
        <v/>
      </c>
      <c r="P213" s="22">
        <v>0</v>
      </c>
      <c r="Q213">
        <v>0</v>
      </c>
    </row>
    <row r="214" spans="1:17">
      <c r="A214" s="19">
        <v>0</v>
      </c>
      <c r="B214" s="19">
        <v>0</v>
      </c>
      <c r="C214" s="19">
        <v>0</v>
      </c>
      <c r="D214" s="19">
        <v>0</v>
      </c>
      <c r="E214" s="19">
        <v>0</v>
      </c>
      <c r="F214" s="19">
        <v>0</v>
      </c>
      <c r="G214" s="19">
        <v>0</v>
      </c>
      <c r="H214" s="19">
        <v>0</v>
      </c>
      <c r="I214" s="15">
        <v>3500</v>
      </c>
      <c r="J214" s="15">
        <v>0</v>
      </c>
      <c r="K214" s="15">
        <v>0</v>
      </c>
      <c r="L214" s="16">
        <v>0</v>
      </c>
      <c r="M214" s="15">
        <v>0</v>
      </c>
      <c r="N214" s="15" t="str">
        <v/>
      </c>
      <c r="O214" s="15" t="str">
        <v/>
      </c>
      <c r="P214" s="22">
        <v>0</v>
      </c>
      <c r="Q214">
        <v>0</v>
      </c>
    </row>
    <row r="215" spans="1:17">
      <c r="A215" s="19">
        <v>0</v>
      </c>
      <c r="B215" s="19">
        <v>0</v>
      </c>
      <c r="C215" s="19">
        <v>0</v>
      </c>
      <c r="D215" s="19">
        <v>0</v>
      </c>
      <c r="E215" s="19">
        <v>0</v>
      </c>
      <c r="F215" s="19">
        <v>0</v>
      </c>
      <c r="G215" s="19">
        <v>0</v>
      </c>
      <c r="H215" s="19">
        <v>0</v>
      </c>
      <c r="I215" s="15">
        <v>3500</v>
      </c>
      <c r="J215" s="15">
        <v>0</v>
      </c>
      <c r="K215" s="15">
        <v>0</v>
      </c>
      <c r="L215" s="16">
        <v>0</v>
      </c>
      <c r="M215" s="15">
        <v>0</v>
      </c>
      <c r="N215" s="15" t="str">
        <v/>
      </c>
      <c r="O215" s="15" t="str">
        <v/>
      </c>
      <c r="P215" s="22">
        <v>0</v>
      </c>
      <c r="Q215">
        <v>0</v>
      </c>
    </row>
    <row r="216" spans="1:17">
      <c r="A216" s="19">
        <v>0</v>
      </c>
      <c r="B216" s="19">
        <v>0</v>
      </c>
      <c r="C216" s="19">
        <v>0</v>
      </c>
      <c r="D216" s="19">
        <v>0</v>
      </c>
      <c r="E216" s="19">
        <v>0</v>
      </c>
      <c r="F216" s="19">
        <v>0</v>
      </c>
      <c r="G216" s="19">
        <v>0</v>
      </c>
      <c r="H216" s="19">
        <v>0</v>
      </c>
      <c r="I216" s="15">
        <v>3500</v>
      </c>
      <c r="J216" s="15">
        <v>0</v>
      </c>
      <c r="K216" s="15">
        <v>0</v>
      </c>
      <c r="L216" s="16">
        <v>0</v>
      </c>
      <c r="M216" s="15">
        <v>0</v>
      </c>
      <c r="N216" s="15" t="str">
        <v/>
      </c>
      <c r="O216" s="15" t="str">
        <v/>
      </c>
      <c r="P216" s="22">
        <v>0</v>
      </c>
      <c r="Q216">
        <v>0</v>
      </c>
    </row>
    <row r="217" spans="1:17">
      <c r="A217" s="19">
        <v>0</v>
      </c>
      <c r="B217" s="19">
        <v>0</v>
      </c>
      <c r="C217" s="19">
        <v>0</v>
      </c>
      <c r="D217" s="19">
        <v>0</v>
      </c>
      <c r="E217" s="19">
        <v>0</v>
      </c>
      <c r="F217" s="19">
        <v>0</v>
      </c>
      <c r="G217" s="19">
        <v>0</v>
      </c>
      <c r="H217" s="19">
        <v>0</v>
      </c>
      <c r="I217" s="15">
        <v>3500</v>
      </c>
      <c r="J217" s="15">
        <v>0</v>
      </c>
      <c r="K217" s="15">
        <v>0</v>
      </c>
      <c r="L217" s="16">
        <v>0</v>
      </c>
      <c r="M217" s="15">
        <v>0</v>
      </c>
      <c r="N217" s="15" t="str">
        <v/>
      </c>
      <c r="O217" s="15" t="str">
        <v/>
      </c>
      <c r="P217" s="22">
        <v>0</v>
      </c>
      <c r="Q217">
        <v>0</v>
      </c>
    </row>
    <row r="218" spans="1:17">
      <c r="A218" s="19">
        <v>0</v>
      </c>
      <c r="B218" s="19">
        <v>0</v>
      </c>
      <c r="C218" s="19">
        <v>0</v>
      </c>
      <c r="D218" s="19">
        <v>0</v>
      </c>
      <c r="E218" s="19">
        <v>0</v>
      </c>
      <c r="F218" s="19">
        <v>0</v>
      </c>
      <c r="G218" s="19">
        <v>0</v>
      </c>
      <c r="H218" s="19">
        <v>0</v>
      </c>
      <c r="I218" s="15">
        <v>3500</v>
      </c>
      <c r="J218" s="15">
        <v>0</v>
      </c>
      <c r="K218" s="15">
        <v>0</v>
      </c>
      <c r="L218" s="16">
        <v>0</v>
      </c>
      <c r="M218" s="15">
        <v>0</v>
      </c>
      <c r="N218" s="15" t="str">
        <v/>
      </c>
      <c r="O218" s="15" t="str">
        <v/>
      </c>
      <c r="P218" s="22">
        <v>0</v>
      </c>
      <c r="Q218">
        <v>0</v>
      </c>
    </row>
    <row r="219" spans="1:17">
      <c r="A219" s="19">
        <v>0</v>
      </c>
      <c r="B219" s="19">
        <v>0</v>
      </c>
      <c r="C219" s="19">
        <v>0</v>
      </c>
      <c r="D219" s="19">
        <v>0</v>
      </c>
      <c r="E219" s="19">
        <v>0</v>
      </c>
      <c r="F219" s="19">
        <v>0</v>
      </c>
      <c r="G219" s="19">
        <v>0</v>
      </c>
      <c r="H219" s="19">
        <v>0</v>
      </c>
      <c r="I219" s="15">
        <v>3500</v>
      </c>
      <c r="J219" s="15">
        <v>0</v>
      </c>
      <c r="K219" s="15">
        <v>0</v>
      </c>
      <c r="L219" s="16">
        <v>0</v>
      </c>
      <c r="M219" s="15">
        <v>0</v>
      </c>
      <c r="N219" s="15" t="str">
        <v/>
      </c>
      <c r="O219" s="15" t="str">
        <v/>
      </c>
      <c r="P219" s="22">
        <v>0</v>
      </c>
      <c r="Q219">
        <v>0</v>
      </c>
    </row>
    <row r="220" spans="1:17">
      <c r="A220" s="19">
        <v>0</v>
      </c>
      <c r="B220" s="19">
        <v>0</v>
      </c>
      <c r="C220" s="19">
        <v>0</v>
      </c>
      <c r="D220" s="19">
        <v>0</v>
      </c>
      <c r="E220" s="19">
        <v>0</v>
      </c>
      <c r="F220" s="19">
        <v>0</v>
      </c>
      <c r="G220" s="19">
        <v>0</v>
      </c>
      <c r="H220" s="19">
        <v>0</v>
      </c>
      <c r="I220" s="15">
        <v>3500</v>
      </c>
      <c r="J220" s="15">
        <v>0</v>
      </c>
      <c r="K220" s="15">
        <v>0</v>
      </c>
      <c r="L220" s="16">
        <v>0</v>
      </c>
      <c r="M220" s="15">
        <v>0</v>
      </c>
      <c r="N220" s="15" t="str">
        <v/>
      </c>
      <c r="O220" s="15" t="str">
        <v/>
      </c>
      <c r="P220" s="22">
        <v>0</v>
      </c>
      <c r="Q220">
        <v>0</v>
      </c>
    </row>
    <row r="221" spans="1:17">
      <c r="A221" s="19">
        <v>0</v>
      </c>
      <c r="B221" s="19">
        <v>0</v>
      </c>
      <c r="C221" s="19">
        <v>0</v>
      </c>
      <c r="D221" s="19">
        <v>0</v>
      </c>
      <c r="E221" s="19">
        <v>0</v>
      </c>
      <c r="F221" s="19">
        <v>0</v>
      </c>
      <c r="G221" s="19">
        <v>0</v>
      </c>
      <c r="H221" s="19">
        <v>0</v>
      </c>
      <c r="I221" s="15">
        <v>3500</v>
      </c>
      <c r="J221" s="15">
        <v>0</v>
      </c>
      <c r="K221" s="15">
        <v>0</v>
      </c>
      <c r="L221" s="16">
        <v>0</v>
      </c>
      <c r="M221" s="15">
        <v>0</v>
      </c>
      <c r="N221" s="15" t="str">
        <v/>
      </c>
      <c r="O221" s="15" t="str">
        <v/>
      </c>
      <c r="P221" s="22">
        <v>0</v>
      </c>
      <c r="Q221">
        <v>0</v>
      </c>
    </row>
    <row r="222" spans="1:17">
      <c r="A222" s="19">
        <v>0</v>
      </c>
      <c r="B222" s="19">
        <v>0</v>
      </c>
      <c r="C222" s="19">
        <v>0</v>
      </c>
      <c r="D222" s="19">
        <v>0</v>
      </c>
      <c r="E222" s="19">
        <v>0</v>
      </c>
      <c r="F222" s="19">
        <v>0</v>
      </c>
      <c r="G222" s="19">
        <v>0</v>
      </c>
      <c r="H222" s="19">
        <v>0</v>
      </c>
      <c r="I222" s="15">
        <v>3500</v>
      </c>
      <c r="J222" s="15">
        <v>0</v>
      </c>
      <c r="K222" s="15">
        <v>0</v>
      </c>
      <c r="L222" s="16">
        <v>0</v>
      </c>
      <c r="M222" s="15">
        <v>0</v>
      </c>
      <c r="N222" s="15" t="str">
        <v/>
      </c>
      <c r="O222" s="15" t="str">
        <v/>
      </c>
      <c r="P222" s="22">
        <v>0</v>
      </c>
      <c r="Q222">
        <v>0</v>
      </c>
    </row>
    <row r="223" spans="1:17">
      <c r="A223" s="19">
        <v>0</v>
      </c>
      <c r="B223" s="19">
        <v>0</v>
      </c>
      <c r="C223" s="19">
        <v>0</v>
      </c>
      <c r="D223" s="19">
        <v>0</v>
      </c>
      <c r="E223" s="19">
        <v>0</v>
      </c>
      <c r="F223" s="19">
        <v>0</v>
      </c>
      <c r="G223" s="19">
        <v>0</v>
      </c>
      <c r="H223" s="19">
        <v>0</v>
      </c>
      <c r="I223" s="15">
        <v>3500</v>
      </c>
      <c r="J223" s="15">
        <v>0</v>
      </c>
      <c r="K223" s="15">
        <v>0</v>
      </c>
      <c r="L223" s="16">
        <v>0</v>
      </c>
      <c r="M223" s="15">
        <v>0</v>
      </c>
      <c r="N223" s="15" t="str">
        <v/>
      </c>
      <c r="O223" s="15" t="str">
        <v/>
      </c>
      <c r="P223" s="22">
        <v>0</v>
      </c>
      <c r="Q223">
        <v>0</v>
      </c>
    </row>
    <row r="224" spans="1:17">
      <c r="A224" s="19">
        <v>0</v>
      </c>
      <c r="B224" s="19">
        <v>0</v>
      </c>
      <c r="C224" s="19">
        <v>0</v>
      </c>
      <c r="D224" s="19">
        <v>0</v>
      </c>
      <c r="E224" s="19">
        <v>0</v>
      </c>
      <c r="F224" s="19">
        <v>0</v>
      </c>
      <c r="G224" s="19">
        <v>0</v>
      </c>
      <c r="H224" s="19">
        <v>0</v>
      </c>
      <c r="I224" s="15">
        <v>3500</v>
      </c>
      <c r="J224" s="15">
        <v>0</v>
      </c>
      <c r="K224" s="15">
        <v>0</v>
      </c>
      <c r="L224" s="16">
        <v>0</v>
      </c>
      <c r="M224" s="15">
        <v>0</v>
      </c>
      <c r="N224" s="15" t="str">
        <v/>
      </c>
      <c r="O224" s="15" t="str">
        <v/>
      </c>
      <c r="P224" s="22">
        <v>0</v>
      </c>
      <c r="Q224">
        <v>0</v>
      </c>
    </row>
    <row r="225" spans="1:17">
      <c r="A225" s="19">
        <v>0</v>
      </c>
      <c r="B225" s="19">
        <v>0</v>
      </c>
      <c r="C225" s="19">
        <v>0</v>
      </c>
      <c r="D225" s="19">
        <v>0</v>
      </c>
      <c r="E225" s="19">
        <v>0</v>
      </c>
      <c r="F225" s="19">
        <v>0</v>
      </c>
      <c r="G225" s="19">
        <v>0</v>
      </c>
      <c r="H225" s="19">
        <v>0</v>
      </c>
      <c r="I225" s="15">
        <v>3500</v>
      </c>
      <c r="J225" s="15">
        <v>0</v>
      </c>
      <c r="K225" s="15">
        <v>0</v>
      </c>
      <c r="L225" s="16">
        <v>0</v>
      </c>
      <c r="M225" s="15">
        <v>0</v>
      </c>
      <c r="N225" s="15" t="str">
        <v/>
      </c>
      <c r="O225" s="15" t="str">
        <v/>
      </c>
      <c r="P225" s="22">
        <v>0</v>
      </c>
      <c r="Q225">
        <v>0</v>
      </c>
    </row>
    <row r="226" spans="1:17">
      <c r="A226" s="19">
        <v>0</v>
      </c>
      <c r="B226" s="19">
        <v>0</v>
      </c>
      <c r="C226" s="19">
        <v>0</v>
      </c>
      <c r="D226" s="19">
        <v>0</v>
      </c>
      <c r="E226" s="19">
        <v>0</v>
      </c>
      <c r="F226" s="19">
        <v>0</v>
      </c>
      <c r="G226" s="19">
        <v>0</v>
      </c>
      <c r="H226" s="19">
        <v>0</v>
      </c>
      <c r="I226" s="15">
        <v>3500</v>
      </c>
      <c r="J226" s="15">
        <v>0</v>
      </c>
      <c r="K226" s="15">
        <v>0</v>
      </c>
      <c r="L226" s="16">
        <v>0</v>
      </c>
      <c r="M226" s="15">
        <v>0</v>
      </c>
      <c r="N226" s="15" t="str">
        <v/>
      </c>
      <c r="O226" s="15" t="str">
        <v/>
      </c>
      <c r="P226" s="22">
        <v>0</v>
      </c>
      <c r="Q226">
        <v>0</v>
      </c>
    </row>
    <row r="227" spans="1:17">
      <c r="A227" s="19">
        <v>0</v>
      </c>
      <c r="B227" s="19">
        <v>0</v>
      </c>
      <c r="C227" s="19">
        <v>0</v>
      </c>
      <c r="D227" s="19">
        <v>0</v>
      </c>
      <c r="E227" s="19">
        <v>0</v>
      </c>
      <c r="F227" s="19">
        <v>0</v>
      </c>
      <c r="G227" s="19">
        <v>0</v>
      </c>
      <c r="H227" s="19">
        <v>0</v>
      </c>
      <c r="I227" s="15">
        <v>3500</v>
      </c>
      <c r="J227" s="15">
        <v>0</v>
      </c>
      <c r="K227" s="15">
        <v>0</v>
      </c>
      <c r="L227" s="16">
        <v>0</v>
      </c>
      <c r="M227" s="15">
        <v>0</v>
      </c>
      <c r="N227" s="15" t="str">
        <v/>
      </c>
      <c r="O227" s="15" t="str">
        <v/>
      </c>
      <c r="P227" s="22">
        <v>0</v>
      </c>
      <c r="Q227">
        <v>0</v>
      </c>
    </row>
    <row r="228" spans="1:17">
      <c r="A228" s="19">
        <v>0</v>
      </c>
      <c r="B228" s="19">
        <v>0</v>
      </c>
      <c r="C228" s="19">
        <v>0</v>
      </c>
      <c r="D228" s="19">
        <v>0</v>
      </c>
      <c r="E228" s="19">
        <v>0</v>
      </c>
      <c r="F228" s="19">
        <v>0</v>
      </c>
      <c r="G228" s="19">
        <v>0</v>
      </c>
      <c r="H228" s="19">
        <v>0</v>
      </c>
      <c r="I228" s="15">
        <v>3500</v>
      </c>
      <c r="J228" s="15">
        <v>0</v>
      </c>
      <c r="K228" s="15">
        <v>0</v>
      </c>
      <c r="L228" s="16">
        <v>0</v>
      </c>
      <c r="M228" s="15">
        <v>0</v>
      </c>
      <c r="N228" s="15" t="str">
        <v/>
      </c>
      <c r="O228" s="15" t="str">
        <v/>
      </c>
      <c r="P228" s="22">
        <v>0</v>
      </c>
      <c r="Q228">
        <v>0</v>
      </c>
    </row>
    <row r="229" spans="1:17">
      <c r="A229" s="19">
        <v>0</v>
      </c>
      <c r="B229" s="19">
        <v>0</v>
      </c>
      <c r="C229" s="19">
        <v>0</v>
      </c>
      <c r="D229" s="19">
        <v>0</v>
      </c>
      <c r="E229" s="19">
        <v>0</v>
      </c>
      <c r="F229" s="19">
        <v>0</v>
      </c>
      <c r="G229" s="19">
        <v>0</v>
      </c>
      <c r="H229" s="19">
        <v>0</v>
      </c>
      <c r="I229" s="15">
        <v>3500</v>
      </c>
      <c r="J229" s="15">
        <v>0</v>
      </c>
      <c r="K229" s="15">
        <v>0</v>
      </c>
      <c r="L229" s="16">
        <v>0</v>
      </c>
      <c r="M229" s="15">
        <v>0</v>
      </c>
      <c r="N229" s="15" t="str">
        <v/>
      </c>
      <c r="O229" s="15" t="str">
        <v/>
      </c>
      <c r="P229" s="22">
        <v>0</v>
      </c>
      <c r="Q229">
        <v>0</v>
      </c>
    </row>
    <row r="230" spans="1:17">
      <c r="A230" s="19">
        <v>0</v>
      </c>
      <c r="B230" s="19">
        <v>0</v>
      </c>
      <c r="C230" s="19">
        <v>0</v>
      </c>
      <c r="D230" s="19">
        <v>0</v>
      </c>
      <c r="E230" s="19">
        <v>0</v>
      </c>
      <c r="F230" s="19">
        <v>0</v>
      </c>
      <c r="G230" s="19">
        <v>0</v>
      </c>
      <c r="H230" s="19">
        <v>0</v>
      </c>
      <c r="I230" s="15">
        <v>3500</v>
      </c>
      <c r="J230" s="15">
        <v>0</v>
      </c>
      <c r="K230" s="15">
        <v>0</v>
      </c>
      <c r="L230" s="16">
        <v>0</v>
      </c>
      <c r="M230" s="15">
        <v>0</v>
      </c>
      <c r="N230" s="15" t="str">
        <v/>
      </c>
      <c r="O230" s="15" t="str">
        <v/>
      </c>
      <c r="P230" s="22">
        <v>0</v>
      </c>
      <c r="Q230">
        <v>0</v>
      </c>
    </row>
    <row r="231" spans="1:17">
      <c r="A231" s="19">
        <v>0</v>
      </c>
      <c r="B231" s="19">
        <v>0</v>
      </c>
      <c r="C231" s="19">
        <v>0</v>
      </c>
      <c r="D231" s="19">
        <v>0</v>
      </c>
      <c r="E231" s="19">
        <v>0</v>
      </c>
      <c r="F231" s="19">
        <v>0</v>
      </c>
      <c r="G231" s="19">
        <v>0</v>
      </c>
      <c r="H231" s="19">
        <v>0</v>
      </c>
      <c r="I231" s="15">
        <v>3500</v>
      </c>
      <c r="J231" s="15">
        <v>0</v>
      </c>
      <c r="K231" s="15">
        <v>0</v>
      </c>
      <c r="L231" s="16">
        <v>0</v>
      </c>
      <c r="M231" s="15">
        <v>0</v>
      </c>
      <c r="N231" s="15" t="str">
        <v/>
      </c>
      <c r="O231" s="15" t="str">
        <v/>
      </c>
      <c r="P231" s="22">
        <v>0</v>
      </c>
      <c r="Q231">
        <v>0</v>
      </c>
    </row>
    <row r="232" spans="1:17">
      <c r="A232" s="19">
        <v>0</v>
      </c>
      <c r="B232" s="19">
        <v>0</v>
      </c>
      <c r="C232" s="19">
        <v>0</v>
      </c>
      <c r="D232" s="19">
        <v>0</v>
      </c>
      <c r="E232" s="19">
        <v>0</v>
      </c>
      <c r="F232" s="19">
        <v>0</v>
      </c>
      <c r="G232" s="19">
        <v>0</v>
      </c>
      <c r="H232" s="19">
        <v>0</v>
      </c>
      <c r="I232" s="15">
        <v>3500</v>
      </c>
      <c r="J232" s="15">
        <v>0</v>
      </c>
      <c r="K232" s="15">
        <v>0</v>
      </c>
      <c r="L232" s="16">
        <v>0</v>
      </c>
      <c r="M232" s="15">
        <v>0</v>
      </c>
      <c r="N232" s="15" t="str">
        <v/>
      </c>
      <c r="O232" s="15" t="str">
        <v/>
      </c>
      <c r="P232" s="22">
        <v>0</v>
      </c>
      <c r="Q232">
        <v>0</v>
      </c>
    </row>
    <row r="233" spans="1:17">
      <c r="A233" s="19">
        <v>0</v>
      </c>
      <c r="B233" s="19">
        <v>0</v>
      </c>
      <c r="C233" s="19">
        <v>0</v>
      </c>
      <c r="D233" s="19">
        <v>0</v>
      </c>
      <c r="E233" s="19">
        <v>0</v>
      </c>
      <c r="F233" s="19">
        <v>0</v>
      </c>
      <c r="G233" s="19">
        <v>0</v>
      </c>
      <c r="H233" s="19">
        <v>0</v>
      </c>
      <c r="I233" s="15">
        <v>3500</v>
      </c>
      <c r="J233" s="15">
        <v>0</v>
      </c>
      <c r="K233" s="15">
        <v>0</v>
      </c>
      <c r="L233" s="16">
        <v>0</v>
      </c>
      <c r="M233" s="15">
        <v>0</v>
      </c>
      <c r="N233" s="15" t="str">
        <v/>
      </c>
      <c r="O233" s="15" t="str">
        <v/>
      </c>
      <c r="P233" s="22">
        <v>0</v>
      </c>
      <c r="Q233">
        <v>0</v>
      </c>
    </row>
    <row r="234" spans="1:17">
      <c r="A234" s="19">
        <v>0</v>
      </c>
      <c r="B234" s="19">
        <v>0</v>
      </c>
      <c r="C234" s="19">
        <v>0</v>
      </c>
      <c r="D234" s="19">
        <v>0</v>
      </c>
      <c r="E234" s="19">
        <v>0</v>
      </c>
      <c r="F234" s="19">
        <v>0</v>
      </c>
      <c r="G234" s="19">
        <v>0</v>
      </c>
      <c r="H234" s="19">
        <v>0</v>
      </c>
      <c r="I234" s="15">
        <v>3500</v>
      </c>
      <c r="J234" s="15">
        <v>0</v>
      </c>
      <c r="K234" s="15">
        <v>0</v>
      </c>
      <c r="L234" s="16">
        <v>0</v>
      </c>
      <c r="M234" s="15">
        <v>0</v>
      </c>
      <c r="N234" s="15" t="str">
        <v/>
      </c>
      <c r="O234" s="15" t="str">
        <v/>
      </c>
      <c r="P234" s="22">
        <v>0</v>
      </c>
      <c r="Q234">
        <v>0</v>
      </c>
    </row>
    <row r="235" spans="1:17">
      <c r="A235" s="19">
        <v>0</v>
      </c>
      <c r="B235" s="19">
        <v>0</v>
      </c>
      <c r="C235" s="19">
        <v>0</v>
      </c>
      <c r="D235" s="19">
        <v>0</v>
      </c>
      <c r="E235" s="19">
        <v>0</v>
      </c>
      <c r="F235" s="19">
        <v>0</v>
      </c>
      <c r="G235" s="19">
        <v>0</v>
      </c>
      <c r="H235" s="19">
        <v>0</v>
      </c>
      <c r="I235" s="15">
        <v>3500</v>
      </c>
      <c r="J235" s="15">
        <v>0</v>
      </c>
      <c r="K235" s="15">
        <v>0</v>
      </c>
      <c r="L235" s="16">
        <v>0</v>
      </c>
      <c r="M235" s="15">
        <v>0</v>
      </c>
      <c r="N235" s="15" t="str">
        <v/>
      </c>
      <c r="O235" s="15" t="str">
        <v/>
      </c>
      <c r="P235" s="22">
        <v>0</v>
      </c>
      <c r="Q235">
        <v>0</v>
      </c>
    </row>
    <row r="236" spans="1:17">
      <c r="A236" s="19">
        <v>0</v>
      </c>
      <c r="B236" s="19">
        <v>0</v>
      </c>
      <c r="C236" s="19">
        <v>0</v>
      </c>
      <c r="D236" s="19">
        <v>0</v>
      </c>
      <c r="E236" s="19">
        <v>0</v>
      </c>
      <c r="F236" s="19">
        <v>0</v>
      </c>
      <c r="G236" s="19">
        <v>0</v>
      </c>
      <c r="H236" s="19">
        <v>0</v>
      </c>
      <c r="I236" s="15">
        <v>3500</v>
      </c>
      <c r="J236" s="15">
        <v>0</v>
      </c>
      <c r="K236" s="15">
        <v>0</v>
      </c>
      <c r="L236" s="16">
        <v>0</v>
      </c>
      <c r="M236" s="15">
        <v>0</v>
      </c>
      <c r="N236" s="15" t="str">
        <v/>
      </c>
      <c r="O236" s="15" t="str">
        <v/>
      </c>
      <c r="P236" s="22">
        <v>0</v>
      </c>
      <c r="Q236">
        <v>0</v>
      </c>
    </row>
    <row r="237" spans="1:17">
      <c r="A237" s="19">
        <v>0</v>
      </c>
      <c r="B237" s="19">
        <v>0</v>
      </c>
      <c r="C237" s="19">
        <v>0</v>
      </c>
      <c r="D237" s="19">
        <v>0</v>
      </c>
      <c r="E237" s="19">
        <v>0</v>
      </c>
      <c r="F237" s="19">
        <v>0</v>
      </c>
      <c r="G237" s="19">
        <v>0</v>
      </c>
      <c r="H237" s="19">
        <v>0</v>
      </c>
      <c r="I237" s="15">
        <v>3500</v>
      </c>
      <c r="J237" s="15">
        <v>0</v>
      </c>
      <c r="K237" s="15">
        <v>0</v>
      </c>
      <c r="L237" s="16">
        <v>0</v>
      </c>
      <c r="M237" s="15">
        <v>0</v>
      </c>
      <c r="N237" s="15" t="str">
        <v/>
      </c>
      <c r="O237" s="15" t="str">
        <v/>
      </c>
      <c r="P237" s="22">
        <v>0</v>
      </c>
      <c r="Q237">
        <v>0</v>
      </c>
    </row>
    <row r="238" spans="1:17">
      <c r="A238" s="19">
        <v>0</v>
      </c>
      <c r="B238" s="19">
        <v>0</v>
      </c>
      <c r="C238" s="19">
        <v>0</v>
      </c>
      <c r="D238" s="19">
        <v>0</v>
      </c>
      <c r="E238" s="19">
        <v>0</v>
      </c>
      <c r="F238" s="19">
        <v>0</v>
      </c>
      <c r="G238" s="19">
        <v>0</v>
      </c>
      <c r="H238" s="19">
        <v>0</v>
      </c>
      <c r="I238" s="15">
        <v>3500</v>
      </c>
      <c r="J238" s="15">
        <v>0</v>
      </c>
      <c r="K238" s="15">
        <v>0</v>
      </c>
      <c r="L238" s="16">
        <v>0</v>
      </c>
      <c r="M238" s="15">
        <v>0</v>
      </c>
      <c r="N238" s="15" t="str">
        <v/>
      </c>
      <c r="O238" s="15" t="str">
        <v/>
      </c>
      <c r="P238" s="22">
        <v>0</v>
      </c>
      <c r="Q238">
        <v>0</v>
      </c>
    </row>
    <row r="239" spans="1:17">
      <c r="A239" s="19">
        <v>0</v>
      </c>
      <c r="B239" s="19">
        <v>0</v>
      </c>
      <c r="C239" s="19">
        <v>0</v>
      </c>
      <c r="D239" s="19">
        <v>0</v>
      </c>
      <c r="E239" s="19">
        <v>0</v>
      </c>
      <c r="F239" s="19">
        <v>0</v>
      </c>
      <c r="G239" s="19">
        <v>0</v>
      </c>
      <c r="H239" s="19">
        <v>0</v>
      </c>
      <c r="I239" s="15">
        <v>3500</v>
      </c>
      <c r="J239" s="15">
        <v>0</v>
      </c>
      <c r="K239" s="15">
        <v>0</v>
      </c>
      <c r="L239" s="16">
        <v>0</v>
      </c>
      <c r="M239" s="15">
        <v>0</v>
      </c>
      <c r="N239" s="15" t="str">
        <v/>
      </c>
      <c r="O239" s="15" t="str">
        <v/>
      </c>
      <c r="P239" s="22">
        <v>0</v>
      </c>
      <c r="Q239">
        <v>0</v>
      </c>
    </row>
    <row r="240" spans="1:17">
      <c r="A240" s="19">
        <v>0</v>
      </c>
      <c r="B240" s="19">
        <v>0</v>
      </c>
      <c r="C240" s="19">
        <v>0</v>
      </c>
      <c r="D240" s="19">
        <v>0</v>
      </c>
      <c r="E240" s="19">
        <v>0</v>
      </c>
      <c r="F240" s="19">
        <v>0</v>
      </c>
      <c r="G240" s="19">
        <v>0</v>
      </c>
      <c r="H240" s="19">
        <v>0</v>
      </c>
      <c r="I240" s="15">
        <v>3500</v>
      </c>
      <c r="J240" s="15">
        <v>0</v>
      </c>
      <c r="K240" s="15">
        <v>0</v>
      </c>
      <c r="L240" s="16">
        <v>0</v>
      </c>
      <c r="M240" s="15">
        <v>0</v>
      </c>
      <c r="N240" s="15" t="str">
        <v/>
      </c>
      <c r="O240" s="15" t="str">
        <v/>
      </c>
      <c r="P240" s="22">
        <v>0</v>
      </c>
      <c r="Q240">
        <v>0</v>
      </c>
    </row>
    <row r="241" spans="1:17">
      <c r="A241" s="19">
        <v>0</v>
      </c>
      <c r="B241" s="19">
        <v>0</v>
      </c>
      <c r="C241" s="19">
        <v>0</v>
      </c>
      <c r="D241" s="19">
        <v>0</v>
      </c>
      <c r="E241" s="19">
        <v>0</v>
      </c>
      <c r="F241" s="19">
        <v>0</v>
      </c>
      <c r="G241" s="19">
        <v>0</v>
      </c>
      <c r="H241" s="19">
        <v>0</v>
      </c>
      <c r="I241" s="15">
        <v>3500</v>
      </c>
      <c r="J241" s="15">
        <v>0</v>
      </c>
      <c r="K241" s="15">
        <v>0</v>
      </c>
      <c r="L241" s="16">
        <v>0</v>
      </c>
      <c r="M241" s="15">
        <v>0</v>
      </c>
      <c r="N241" s="15" t="str">
        <v/>
      </c>
      <c r="O241" s="15" t="str">
        <v/>
      </c>
      <c r="P241" s="22">
        <v>0</v>
      </c>
      <c r="Q241">
        <v>0</v>
      </c>
    </row>
    <row r="242" spans="1:17">
      <c r="A242" s="19">
        <v>0</v>
      </c>
      <c r="B242" s="19">
        <v>0</v>
      </c>
      <c r="C242" s="19">
        <v>0</v>
      </c>
      <c r="D242" s="19">
        <v>0</v>
      </c>
      <c r="E242" s="19">
        <v>0</v>
      </c>
      <c r="F242" s="19">
        <v>0</v>
      </c>
      <c r="G242" s="19">
        <v>0</v>
      </c>
      <c r="H242" s="19">
        <v>0</v>
      </c>
      <c r="I242" s="15">
        <v>3500</v>
      </c>
      <c r="J242" s="15">
        <v>0</v>
      </c>
      <c r="K242" s="15">
        <v>0</v>
      </c>
      <c r="L242" s="16">
        <v>0</v>
      </c>
      <c r="M242" s="15">
        <v>0</v>
      </c>
      <c r="N242" s="15" t="str">
        <v/>
      </c>
      <c r="O242" s="15" t="str">
        <v/>
      </c>
      <c r="P242" s="22">
        <v>0</v>
      </c>
      <c r="Q242">
        <v>0</v>
      </c>
    </row>
    <row r="243" spans="1:17">
      <c r="A243" s="19">
        <v>0</v>
      </c>
      <c r="B243" s="19">
        <v>0</v>
      </c>
      <c r="C243" s="19">
        <v>0</v>
      </c>
      <c r="D243" s="19">
        <v>0</v>
      </c>
      <c r="E243" s="19">
        <v>0</v>
      </c>
      <c r="F243" s="19">
        <v>0</v>
      </c>
      <c r="G243" s="19">
        <v>0</v>
      </c>
      <c r="H243" s="19">
        <v>0</v>
      </c>
      <c r="I243" s="15">
        <v>3500</v>
      </c>
      <c r="J243" s="15">
        <v>0</v>
      </c>
      <c r="K243" s="15">
        <v>0</v>
      </c>
      <c r="L243" s="16">
        <v>0</v>
      </c>
      <c r="M243" s="15">
        <v>0</v>
      </c>
      <c r="N243" s="15" t="str">
        <v/>
      </c>
      <c r="O243" s="15" t="str">
        <v/>
      </c>
      <c r="P243" s="22">
        <v>0</v>
      </c>
      <c r="Q243">
        <v>0</v>
      </c>
    </row>
    <row r="244" spans="1:17">
      <c r="A244" s="19">
        <v>0</v>
      </c>
      <c r="B244" s="19">
        <v>0</v>
      </c>
      <c r="C244" s="19">
        <v>0</v>
      </c>
      <c r="D244" s="19">
        <v>0</v>
      </c>
      <c r="E244" s="19">
        <v>0</v>
      </c>
      <c r="F244" s="19">
        <v>0</v>
      </c>
      <c r="G244" s="19">
        <v>0</v>
      </c>
      <c r="H244" s="19">
        <v>0</v>
      </c>
      <c r="I244" s="15">
        <v>3500</v>
      </c>
      <c r="J244" s="15">
        <v>0</v>
      </c>
      <c r="K244" s="15">
        <v>0</v>
      </c>
      <c r="L244" s="16">
        <v>0</v>
      </c>
      <c r="M244" s="15">
        <v>0</v>
      </c>
      <c r="N244" s="15" t="str">
        <v/>
      </c>
      <c r="O244" s="15" t="str">
        <v/>
      </c>
      <c r="P244" s="22">
        <v>0</v>
      </c>
      <c r="Q244">
        <v>0</v>
      </c>
    </row>
    <row r="245" spans="1:17">
      <c r="A245" s="19">
        <v>0</v>
      </c>
      <c r="B245" s="19">
        <v>0</v>
      </c>
      <c r="C245" s="19">
        <v>0</v>
      </c>
      <c r="D245" s="19">
        <v>0</v>
      </c>
      <c r="E245" s="19">
        <v>0</v>
      </c>
      <c r="F245" s="19">
        <v>0</v>
      </c>
      <c r="G245" s="19">
        <v>0</v>
      </c>
      <c r="H245" s="19">
        <v>0</v>
      </c>
      <c r="I245" s="15">
        <v>3500</v>
      </c>
      <c r="J245" s="15">
        <v>0</v>
      </c>
      <c r="K245" s="15">
        <v>0</v>
      </c>
      <c r="L245" s="16">
        <v>0</v>
      </c>
      <c r="M245" s="15">
        <v>0</v>
      </c>
      <c r="N245" s="15" t="str">
        <v/>
      </c>
      <c r="O245" s="15" t="str">
        <v/>
      </c>
      <c r="P245" s="22">
        <v>0</v>
      </c>
      <c r="Q245">
        <v>0</v>
      </c>
    </row>
    <row r="246" spans="1:17">
      <c r="A246" s="19">
        <v>0</v>
      </c>
      <c r="B246" s="19">
        <v>0</v>
      </c>
      <c r="C246" s="19">
        <v>0</v>
      </c>
      <c r="D246" s="19">
        <v>0</v>
      </c>
      <c r="E246" s="19">
        <v>0</v>
      </c>
      <c r="F246" s="19">
        <v>0</v>
      </c>
      <c r="G246" s="19">
        <v>0</v>
      </c>
      <c r="H246" s="19">
        <v>0</v>
      </c>
      <c r="I246" s="15">
        <v>3500</v>
      </c>
      <c r="J246" s="15">
        <v>0</v>
      </c>
      <c r="K246" s="15">
        <v>0</v>
      </c>
      <c r="L246" s="16">
        <v>0</v>
      </c>
      <c r="M246" s="15">
        <v>0</v>
      </c>
      <c r="N246" s="15" t="str">
        <v/>
      </c>
      <c r="O246" s="15" t="str">
        <v/>
      </c>
      <c r="P246" s="22">
        <v>0</v>
      </c>
      <c r="Q246">
        <v>0</v>
      </c>
    </row>
    <row r="247" spans="1:17">
      <c r="A247" s="19">
        <v>0</v>
      </c>
      <c r="B247" s="19">
        <v>0</v>
      </c>
      <c r="C247" s="19">
        <v>0</v>
      </c>
      <c r="D247" s="19">
        <v>0</v>
      </c>
      <c r="E247" s="19">
        <v>0</v>
      </c>
      <c r="F247" s="19">
        <v>0</v>
      </c>
      <c r="G247" s="19">
        <v>0</v>
      </c>
      <c r="H247" s="19">
        <v>0</v>
      </c>
      <c r="I247" s="15">
        <v>3500</v>
      </c>
      <c r="J247" s="15">
        <v>0</v>
      </c>
      <c r="K247" s="15">
        <v>0</v>
      </c>
      <c r="L247" s="16">
        <v>0</v>
      </c>
      <c r="M247" s="15">
        <v>0</v>
      </c>
      <c r="N247" s="15" t="str">
        <v/>
      </c>
      <c r="O247" s="15" t="str">
        <v/>
      </c>
      <c r="P247" s="22">
        <v>0</v>
      </c>
      <c r="Q247">
        <v>0</v>
      </c>
    </row>
    <row r="248" spans="1:17">
      <c r="A248" s="19">
        <v>0</v>
      </c>
      <c r="B248" s="19">
        <v>0</v>
      </c>
      <c r="C248" s="19">
        <v>0</v>
      </c>
      <c r="D248" s="19">
        <v>0</v>
      </c>
      <c r="E248" s="19">
        <v>0</v>
      </c>
      <c r="F248" s="19">
        <v>0</v>
      </c>
      <c r="G248" s="19">
        <v>0</v>
      </c>
      <c r="H248" s="19">
        <v>0</v>
      </c>
      <c r="I248" s="15">
        <v>3500</v>
      </c>
      <c r="J248" s="15">
        <v>0</v>
      </c>
      <c r="K248" s="15">
        <v>0</v>
      </c>
      <c r="L248" s="16">
        <v>0</v>
      </c>
      <c r="M248" s="15">
        <v>0</v>
      </c>
      <c r="N248" s="15" t="str">
        <v/>
      </c>
      <c r="O248" s="15" t="str">
        <v/>
      </c>
      <c r="P248" s="22">
        <v>0</v>
      </c>
      <c r="Q248">
        <v>0</v>
      </c>
    </row>
    <row r="249" spans="1:17">
      <c r="A249" s="19">
        <v>0</v>
      </c>
      <c r="B249" s="19">
        <v>0</v>
      </c>
      <c r="C249" s="19">
        <v>0</v>
      </c>
      <c r="D249" s="19">
        <v>0</v>
      </c>
      <c r="E249" s="19">
        <v>0</v>
      </c>
      <c r="F249" s="19">
        <v>0</v>
      </c>
      <c r="G249" s="19">
        <v>0</v>
      </c>
      <c r="H249" s="19">
        <v>0</v>
      </c>
      <c r="I249" s="15">
        <v>3500</v>
      </c>
      <c r="J249" s="15">
        <v>0</v>
      </c>
      <c r="K249" s="15">
        <v>0</v>
      </c>
      <c r="L249" s="16">
        <v>0</v>
      </c>
      <c r="M249" s="15">
        <v>0</v>
      </c>
      <c r="N249" s="15" t="str">
        <v/>
      </c>
      <c r="O249" s="15" t="str">
        <v/>
      </c>
      <c r="P249" s="22">
        <v>0</v>
      </c>
      <c r="Q249">
        <v>0</v>
      </c>
    </row>
    <row r="250" spans="1:17">
      <c r="A250" s="19">
        <v>0</v>
      </c>
      <c r="B250" s="19">
        <v>0</v>
      </c>
      <c r="C250" s="19">
        <v>0</v>
      </c>
      <c r="D250" s="19">
        <v>0</v>
      </c>
      <c r="E250" s="19">
        <v>0</v>
      </c>
      <c r="F250" s="19">
        <v>0</v>
      </c>
      <c r="G250" s="19">
        <v>0</v>
      </c>
      <c r="H250" s="19">
        <v>0</v>
      </c>
      <c r="I250" s="15">
        <v>3500</v>
      </c>
      <c r="J250" s="15">
        <v>0</v>
      </c>
      <c r="K250" s="15">
        <v>0</v>
      </c>
      <c r="L250" s="16">
        <v>0</v>
      </c>
      <c r="M250" s="15">
        <v>0</v>
      </c>
      <c r="N250" s="15" t="str">
        <v/>
      </c>
      <c r="O250" s="15" t="str">
        <v/>
      </c>
      <c r="P250" s="22">
        <v>0</v>
      </c>
      <c r="Q250">
        <v>0</v>
      </c>
    </row>
    <row r="251" spans="1:17">
      <c r="A251" s="19">
        <v>0</v>
      </c>
      <c r="B251" s="19">
        <v>0</v>
      </c>
      <c r="C251" s="19">
        <v>0</v>
      </c>
      <c r="D251" s="19">
        <v>0</v>
      </c>
      <c r="E251" s="19">
        <v>0</v>
      </c>
      <c r="F251" s="19">
        <v>0</v>
      </c>
      <c r="G251" s="19">
        <v>0</v>
      </c>
      <c r="H251" s="19">
        <v>0</v>
      </c>
      <c r="I251" s="15">
        <v>3500</v>
      </c>
      <c r="J251" s="15">
        <v>0</v>
      </c>
      <c r="K251" s="15">
        <v>0</v>
      </c>
      <c r="L251" s="16">
        <v>0</v>
      </c>
      <c r="M251" s="15">
        <v>0</v>
      </c>
      <c r="N251" s="15" t="str">
        <v/>
      </c>
      <c r="O251" s="15" t="str">
        <v/>
      </c>
      <c r="P251" s="22">
        <v>0</v>
      </c>
      <c r="Q251">
        <v>0</v>
      </c>
    </row>
    <row r="252" spans="1:17">
      <c r="A252" s="19">
        <v>0</v>
      </c>
      <c r="B252" s="19">
        <v>0</v>
      </c>
      <c r="C252" s="19">
        <v>0</v>
      </c>
      <c r="D252" s="19">
        <v>0</v>
      </c>
      <c r="E252" s="19">
        <v>0</v>
      </c>
      <c r="F252" s="19">
        <v>0</v>
      </c>
      <c r="G252" s="19">
        <v>0</v>
      </c>
      <c r="H252" s="19">
        <v>0</v>
      </c>
      <c r="I252" s="15">
        <v>3500</v>
      </c>
      <c r="J252" s="15">
        <v>0</v>
      </c>
      <c r="K252" s="15">
        <v>0</v>
      </c>
      <c r="L252" s="16">
        <v>0</v>
      </c>
      <c r="M252" s="15">
        <v>0</v>
      </c>
      <c r="N252" s="15" t="str">
        <v/>
      </c>
      <c r="O252" s="15" t="str">
        <v/>
      </c>
      <c r="P252" s="22">
        <v>0</v>
      </c>
      <c r="Q252">
        <v>0</v>
      </c>
    </row>
    <row r="253" spans="1:17">
      <c r="A253" s="19">
        <v>0</v>
      </c>
      <c r="B253" s="19">
        <v>0</v>
      </c>
      <c r="C253" s="19">
        <v>0</v>
      </c>
      <c r="D253" s="19">
        <v>0</v>
      </c>
      <c r="E253" s="19">
        <v>0</v>
      </c>
      <c r="F253" s="19">
        <v>0</v>
      </c>
      <c r="G253" s="19">
        <v>0</v>
      </c>
      <c r="H253" s="19">
        <v>0</v>
      </c>
      <c r="I253" s="15">
        <v>3500</v>
      </c>
      <c r="J253" s="15">
        <v>0</v>
      </c>
      <c r="K253" s="15">
        <v>0</v>
      </c>
      <c r="L253" s="16">
        <v>0</v>
      </c>
      <c r="M253" s="15">
        <v>0</v>
      </c>
      <c r="N253" s="15" t="str">
        <v/>
      </c>
      <c r="O253" s="15" t="str">
        <v/>
      </c>
      <c r="P253" s="22">
        <v>0</v>
      </c>
      <c r="Q253">
        <v>0</v>
      </c>
    </row>
    <row r="254" spans="1:17">
      <c r="A254" s="19">
        <v>0</v>
      </c>
      <c r="B254" s="19">
        <v>0</v>
      </c>
      <c r="C254" s="19">
        <v>0</v>
      </c>
      <c r="D254" s="19">
        <v>0</v>
      </c>
      <c r="E254" s="19">
        <v>0</v>
      </c>
      <c r="F254" s="19">
        <v>0</v>
      </c>
      <c r="G254" s="19">
        <v>0</v>
      </c>
      <c r="H254" s="19">
        <v>0</v>
      </c>
      <c r="I254" s="15">
        <v>3500</v>
      </c>
      <c r="J254" s="15">
        <v>0</v>
      </c>
      <c r="K254" s="15">
        <v>0</v>
      </c>
      <c r="L254" s="16">
        <v>0</v>
      </c>
      <c r="M254" s="15">
        <v>0</v>
      </c>
      <c r="N254" s="15" t="str">
        <v/>
      </c>
      <c r="O254" s="15" t="str">
        <v/>
      </c>
      <c r="P254" s="22">
        <v>0</v>
      </c>
      <c r="Q254">
        <v>0</v>
      </c>
    </row>
    <row r="255" spans="1:17">
      <c r="A255" s="19">
        <v>0</v>
      </c>
      <c r="B255" s="19">
        <v>0</v>
      </c>
      <c r="C255" s="19">
        <v>0</v>
      </c>
      <c r="D255" s="19">
        <v>0</v>
      </c>
      <c r="E255" s="19">
        <v>0</v>
      </c>
      <c r="F255" s="19">
        <v>0</v>
      </c>
      <c r="G255" s="19">
        <v>0</v>
      </c>
      <c r="H255" s="19">
        <v>0</v>
      </c>
      <c r="I255" s="15">
        <v>3500</v>
      </c>
      <c r="J255" s="15">
        <v>0</v>
      </c>
      <c r="K255" s="15">
        <v>0</v>
      </c>
      <c r="L255" s="16">
        <v>0</v>
      </c>
      <c r="M255" s="15">
        <v>0</v>
      </c>
      <c r="N255" s="15" t="str">
        <v/>
      </c>
      <c r="O255" s="15" t="str">
        <v/>
      </c>
      <c r="P255" s="22">
        <v>0</v>
      </c>
      <c r="Q255">
        <v>0</v>
      </c>
    </row>
    <row r="256" spans="1:17">
      <c r="A256" s="19">
        <v>0</v>
      </c>
      <c r="B256" s="19">
        <v>0</v>
      </c>
      <c r="C256" s="19">
        <v>0</v>
      </c>
      <c r="D256" s="19">
        <v>0</v>
      </c>
      <c r="E256" s="19">
        <v>0</v>
      </c>
      <c r="F256" s="19">
        <v>0</v>
      </c>
      <c r="G256" s="19">
        <v>0</v>
      </c>
      <c r="H256" s="19">
        <v>0</v>
      </c>
      <c r="I256" s="15">
        <v>3500</v>
      </c>
      <c r="J256" s="15">
        <v>0</v>
      </c>
      <c r="K256" s="15">
        <v>0</v>
      </c>
      <c r="L256" s="16">
        <v>0</v>
      </c>
      <c r="M256" s="15">
        <v>0</v>
      </c>
      <c r="N256" s="15" t="str">
        <v/>
      </c>
      <c r="O256" s="15" t="str">
        <v/>
      </c>
      <c r="P256" s="22">
        <v>0</v>
      </c>
      <c r="Q256">
        <v>0</v>
      </c>
    </row>
    <row r="257" spans="1:17">
      <c r="A257" s="19">
        <v>0</v>
      </c>
      <c r="B257" s="19">
        <v>0</v>
      </c>
      <c r="C257" s="19">
        <v>0</v>
      </c>
      <c r="D257" s="19">
        <v>0</v>
      </c>
      <c r="E257" s="19">
        <v>0</v>
      </c>
      <c r="F257" s="19">
        <v>0</v>
      </c>
      <c r="G257" s="19">
        <v>0</v>
      </c>
      <c r="H257" s="19">
        <v>0</v>
      </c>
      <c r="I257" s="15">
        <v>3500</v>
      </c>
      <c r="J257" s="15">
        <v>0</v>
      </c>
      <c r="K257" s="15">
        <v>0</v>
      </c>
      <c r="L257" s="16">
        <v>0</v>
      </c>
      <c r="M257" s="15">
        <v>0</v>
      </c>
      <c r="N257" s="15" t="str">
        <v/>
      </c>
      <c r="O257" s="15" t="str">
        <v/>
      </c>
      <c r="P257" s="22">
        <v>0</v>
      </c>
      <c r="Q257">
        <v>0</v>
      </c>
    </row>
    <row r="258" spans="1:17">
      <c r="A258" s="19">
        <v>0</v>
      </c>
      <c r="B258" s="19">
        <v>0</v>
      </c>
      <c r="C258" s="19">
        <v>0</v>
      </c>
      <c r="D258" s="19">
        <v>0</v>
      </c>
      <c r="E258" s="19">
        <v>0</v>
      </c>
      <c r="F258" s="19">
        <v>0</v>
      </c>
      <c r="G258" s="19">
        <v>0</v>
      </c>
      <c r="H258" s="19">
        <v>0</v>
      </c>
      <c r="I258" s="15">
        <v>3500</v>
      </c>
      <c r="J258" s="15">
        <v>0</v>
      </c>
      <c r="K258" s="15">
        <v>0</v>
      </c>
      <c r="L258" s="16">
        <v>0</v>
      </c>
      <c r="M258" s="15">
        <v>0</v>
      </c>
      <c r="N258" s="15" t="str">
        <v/>
      </c>
      <c r="O258" s="15" t="str">
        <v/>
      </c>
      <c r="P258" s="22">
        <v>0</v>
      </c>
      <c r="Q258">
        <v>0</v>
      </c>
    </row>
    <row r="259" spans="1:17">
      <c r="A259" s="19">
        <v>0</v>
      </c>
      <c r="B259" s="19">
        <v>0</v>
      </c>
      <c r="C259" s="19">
        <v>0</v>
      </c>
      <c r="D259" s="19">
        <v>0</v>
      </c>
      <c r="E259" s="19">
        <v>0</v>
      </c>
      <c r="F259" s="19">
        <v>0</v>
      </c>
      <c r="G259" s="19">
        <v>0</v>
      </c>
      <c r="H259" s="19">
        <v>0</v>
      </c>
      <c r="I259" s="15">
        <v>3500</v>
      </c>
      <c r="J259" s="15">
        <v>0</v>
      </c>
      <c r="K259" s="15">
        <v>0</v>
      </c>
      <c r="L259" s="16">
        <v>0</v>
      </c>
      <c r="M259" s="15">
        <v>0</v>
      </c>
      <c r="N259" s="15" t="str">
        <v/>
      </c>
      <c r="O259" s="15" t="str">
        <v/>
      </c>
      <c r="P259" s="22">
        <v>0</v>
      </c>
      <c r="Q259">
        <v>0</v>
      </c>
    </row>
    <row r="260" spans="1:17">
      <c r="A260" s="19">
        <v>0</v>
      </c>
      <c r="B260" s="19">
        <v>0</v>
      </c>
      <c r="C260" s="19">
        <v>0</v>
      </c>
      <c r="D260" s="19">
        <v>0</v>
      </c>
      <c r="E260" s="19">
        <v>0</v>
      </c>
      <c r="F260" s="19">
        <v>0</v>
      </c>
      <c r="G260" s="19">
        <v>0</v>
      </c>
      <c r="H260" s="19">
        <v>0</v>
      </c>
      <c r="I260" s="15">
        <v>3500</v>
      </c>
      <c r="J260" s="15">
        <v>0</v>
      </c>
      <c r="K260" s="15">
        <v>0</v>
      </c>
      <c r="L260" s="16">
        <v>0</v>
      </c>
      <c r="M260" s="15">
        <v>0</v>
      </c>
      <c r="N260" s="15" t="str">
        <v/>
      </c>
      <c r="O260" s="15" t="str">
        <v/>
      </c>
      <c r="P260" s="22">
        <v>0</v>
      </c>
      <c r="Q260">
        <v>0</v>
      </c>
    </row>
    <row r="261" spans="1:17">
      <c r="A261" s="19">
        <v>0</v>
      </c>
      <c r="B261" s="19">
        <v>0</v>
      </c>
      <c r="C261" s="19">
        <v>0</v>
      </c>
      <c r="D261" s="19">
        <v>0</v>
      </c>
      <c r="E261" s="19">
        <v>0</v>
      </c>
      <c r="F261" s="19">
        <v>0</v>
      </c>
      <c r="G261" s="19">
        <v>0</v>
      </c>
      <c r="H261" s="19">
        <v>0</v>
      </c>
      <c r="I261" s="15">
        <v>3500</v>
      </c>
      <c r="J261" s="15">
        <v>0</v>
      </c>
      <c r="K261" s="15">
        <v>0</v>
      </c>
      <c r="L261" s="16">
        <v>0</v>
      </c>
      <c r="M261" s="15">
        <v>0</v>
      </c>
      <c r="N261" s="15" t="str">
        <v/>
      </c>
      <c r="O261" s="15" t="str">
        <v/>
      </c>
      <c r="P261" s="22">
        <v>0</v>
      </c>
      <c r="Q261">
        <v>0</v>
      </c>
    </row>
    <row r="262" spans="1:17">
      <c r="A262" s="19">
        <v>0</v>
      </c>
      <c r="B262" s="19">
        <v>0</v>
      </c>
      <c r="C262" s="19">
        <v>0</v>
      </c>
      <c r="D262" s="19">
        <v>0</v>
      </c>
      <c r="E262" s="19">
        <v>0</v>
      </c>
      <c r="F262" s="19">
        <v>0</v>
      </c>
      <c r="G262" s="19">
        <v>0</v>
      </c>
      <c r="H262" s="19">
        <v>0</v>
      </c>
      <c r="I262" s="15">
        <v>3500</v>
      </c>
      <c r="J262" s="15">
        <v>0</v>
      </c>
      <c r="K262" s="15">
        <v>0</v>
      </c>
      <c r="L262" s="16">
        <v>0</v>
      </c>
      <c r="M262" s="15">
        <v>0</v>
      </c>
      <c r="N262" s="15" t="str">
        <v/>
      </c>
      <c r="O262" s="15" t="str">
        <v/>
      </c>
      <c r="P262" s="22">
        <v>0</v>
      </c>
      <c r="Q262">
        <v>0</v>
      </c>
    </row>
    <row r="263" spans="1:17">
      <c r="A263" s="19">
        <v>0</v>
      </c>
      <c r="B263" s="19">
        <v>0</v>
      </c>
      <c r="C263" s="19">
        <v>0</v>
      </c>
      <c r="D263" s="19">
        <v>0</v>
      </c>
      <c r="E263" s="19">
        <v>0</v>
      </c>
      <c r="F263" s="19">
        <v>0</v>
      </c>
      <c r="G263" s="19">
        <v>0</v>
      </c>
      <c r="H263" s="19">
        <v>0</v>
      </c>
      <c r="I263" s="15">
        <v>3500</v>
      </c>
      <c r="J263" s="15">
        <v>0</v>
      </c>
      <c r="K263" s="15">
        <v>0</v>
      </c>
      <c r="L263" s="16">
        <v>0</v>
      </c>
      <c r="M263" s="15">
        <v>0</v>
      </c>
      <c r="N263" s="15" t="str">
        <v/>
      </c>
      <c r="O263" s="15" t="str">
        <v/>
      </c>
      <c r="P263" s="22">
        <v>0</v>
      </c>
      <c r="Q263">
        <v>0</v>
      </c>
    </row>
    <row r="264" spans="1:17">
      <c r="A264" s="19">
        <v>0</v>
      </c>
      <c r="B264" s="19">
        <v>0</v>
      </c>
      <c r="C264" s="19">
        <v>0</v>
      </c>
      <c r="D264" s="19">
        <v>0</v>
      </c>
      <c r="E264" s="19">
        <v>0</v>
      </c>
      <c r="F264" s="19">
        <v>0</v>
      </c>
      <c r="G264" s="19">
        <v>0</v>
      </c>
      <c r="H264" s="19">
        <v>0</v>
      </c>
      <c r="I264" s="15">
        <v>3500</v>
      </c>
      <c r="J264" s="15">
        <v>0</v>
      </c>
      <c r="K264" s="15">
        <v>0</v>
      </c>
      <c r="L264" s="16">
        <v>0</v>
      </c>
      <c r="M264" s="15">
        <v>0</v>
      </c>
      <c r="N264" s="15" t="str">
        <v/>
      </c>
      <c r="O264" s="15" t="str">
        <v/>
      </c>
      <c r="P264" s="22">
        <v>0</v>
      </c>
      <c r="Q264">
        <v>0</v>
      </c>
    </row>
    <row r="265" spans="1:17">
      <c r="A265" s="19">
        <v>0</v>
      </c>
      <c r="B265" s="19">
        <v>0</v>
      </c>
      <c r="C265" s="19">
        <v>0</v>
      </c>
      <c r="D265" s="19">
        <v>0</v>
      </c>
      <c r="E265" s="19">
        <v>0</v>
      </c>
      <c r="F265" s="19">
        <v>0</v>
      </c>
      <c r="G265" s="19">
        <v>0</v>
      </c>
      <c r="H265" s="19">
        <v>0</v>
      </c>
      <c r="I265" s="15">
        <v>3500</v>
      </c>
      <c r="J265" s="15">
        <v>0</v>
      </c>
      <c r="K265" s="15">
        <v>0</v>
      </c>
      <c r="L265" s="16">
        <v>0</v>
      </c>
      <c r="M265" s="15">
        <v>0</v>
      </c>
      <c r="N265" s="15" t="str">
        <v/>
      </c>
      <c r="O265" s="15" t="str">
        <v/>
      </c>
      <c r="P265" s="22">
        <v>0</v>
      </c>
      <c r="Q265">
        <v>0</v>
      </c>
    </row>
    <row r="266" spans="1:17">
      <c r="A266" s="19">
        <v>0</v>
      </c>
      <c r="B266" s="19">
        <v>0</v>
      </c>
      <c r="C266" s="19">
        <v>0</v>
      </c>
      <c r="D266" s="19">
        <v>0</v>
      </c>
      <c r="E266" s="19">
        <v>0</v>
      </c>
      <c r="F266" s="19">
        <v>0</v>
      </c>
      <c r="G266" s="19">
        <v>0</v>
      </c>
      <c r="H266" s="19">
        <v>0</v>
      </c>
      <c r="I266" s="15">
        <v>3500</v>
      </c>
      <c r="J266" s="15">
        <v>0</v>
      </c>
      <c r="K266" s="15">
        <v>0</v>
      </c>
      <c r="L266" s="16">
        <v>0</v>
      </c>
      <c r="M266" s="15">
        <v>0</v>
      </c>
      <c r="N266" s="15" t="str">
        <v/>
      </c>
      <c r="O266" s="15" t="str">
        <v/>
      </c>
      <c r="P266" s="22">
        <v>0</v>
      </c>
      <c r="Q266">
        <v>0</v>
      </c>
    </row>
    <row r="267" spans="1:17">
      <c r="A267" s="19">
        <v>0</v>
      </c>
      <c r="B267" s="19">
        <v>0</v>
      </c>
      <c r="C267" s="19">
        <v>0</v>
      </c>
      <c r="D267" s="19">
        <v>0</v>
      </c>
      <c r="E267" s="19">
        <v>0</v>
      </c>
      <c r="F267" s="19">
        <v>0</v>
      </c>
      <c r="G267" s="19">
        <v>0</v>
      </c>
      <c r="H267" s="19">
        <v>0</v>
      </c>
      <c r="I267" s="15">
        <v>3500</v>
      </c>
      <c r="J267" s="15">
        <v>0</v>
      </c>
      <c r="K267" s="15">
        <v>0</v>
      </c>
      <c r="L267" s="16">
        <v>0</v>
      </c>
      <c r="M267" s="15">
        <v>0</v>
      </c>
      <c r="N267" s="15" t="str">
        <v/>
      </c>
      <c r="O267" s="15" t="str">
        <v/>
      </c>
      <c r="P267" s="22">
        <v>0</v>
      </c>
      <c r="Q267">
        <v>0</v>
      </c>
    </row>
    <row r="268" spans="1:17">
      <c r="A268" s="19">
        <v>0</v>
      </c>
      <c r="B268" s="19">
        <v>0</v>
      </c>
      <c r="C268" s="19">
        <v>0</v>
      </c>
      <c r="D268" s="19">
        <v>0</v>
      </c>
      <c r="E268" s="19">
        <v>0</v>
      </c>
      <c r="F268" s="19">
        <v>0</v>
      </c>
      <c r="G268" s="19">
        <v>0</v>
      </c>
      <c r="H268" s="19">
        <v>0</v>
      </c>
      <c r="I268" s="15">
        <v>3500</v>
      </c>
      <c r="J268" s="15">
        <v>0</v>
      </c>
      <c r="K268" s="15">
        <v>0</v>
      </c>
      <c r="L268" s="16">
        <v>0</v>
      </c>
      <c r="M268" s="15">
        <v>0</v>
      </c>
      <c r="N268" s="15" t="str">
        <v/>
      </c>
      <c r="O268" s="15" t="str">
        <v/>
      </c>
      <c r="P268" s="22">
        <v>0</v>
      </c>
      <c r="Q268">
        <v>0</v>
      </c>
    </row>
    <row r="269" spans="1:17">
      <c r="A269" s="19">
        <v>0</v>
      </c>
      <c r="B269" s="19">
        <v>0</v>
      </c>
      <c r="C269" s="19">
        <v>0</v>
      </c>
      <c r="D269" s="19">
        <v>0</v>
      </c>
      <c r="E269" s="19">
        <v>0</v>
      </c>
      <c r="F269" s="19">
        <v>0</v>
      </c>
      <c r="G269" s="19">
        <v>0</v>
      </c>
      <c r="H269" s="19">
        <v>0</v>
      </c>
      <c r="I269" s="15">
        <v>3500</v>
      </c>
      <c r="J269" s="15">
        <v>0</v>
      </c>
      <c r="K269" s="15">
        <v>0</v>
      </c>
      <c r="L269" s="16">
        <v>0</v>
      </c>
      <c r="M269" s="15">
        <v>0</v>
      </c>
      <c r="N269" s="15" t="str">
        <v/>
      </c>
      <c r="O269" s="15" t="str">
        <v/>
      </c>
      <c r="P269" s="22">
        <v>0</v>
      </c>
      <c r="Q269">
        <v>0</v>
      </c>
    </row>
    <row r="270" spans="1:17">
      <c r="A270" s="19">
        <v>0</v>
      </c>
      <c r="B270" s="19">
        <v>0</v>
      </c>
      <c r="C270" s="19">
        <v>0</v>
      </c>
      <c r="D270" s="19">
        <v>0</v>
      </c>
      <c r="E270" s="19">
        <v>0</v>
      </c>
      <c r="F270" s="19">
        <v>0</v>
      </c>
      <c r="G270" s="19">
        <v>0</v>
      </c>
      <c r="H270" s="19">
        <v>0</v>
      </c>
      <c r="I270" s="15">
        <v>3500</v>
      </c>
      <c r="J270" s="15">
        <v>0</v>
      </c>
      <c r="K270" s="15">
        <v>0</v>
      </c>
      <c r="L270" s="16">
        <v>0</v>
      </c>
      <c r="M270" s="15">
        <v>0</v>
      </c>
      <c r="N270" s="15" t="str">
        <v/>
      </c>
      <c r="O270" s="15" t="str">
        <v/>
      </c>
      <c r="P270" s="22">
        <v>0</v>
      </c>
      <c r="Q270">
        <v>0</v>
      </c>
    </row>
    <row r="271" spans="1:17">
      <c r="A271" s="19">
        <v>0</v>
      </c>
      <c r="B271" s="19">
        <v>0</v>
      </c>
      <c r="C271" s="19">
        <v>0</v>
      </c>
      <c r="D271" s="19">
        <v>0</v>
      </c>
      <c r="E271" s="19">
        <v>0</v>
      </c>
      <c r="F271" s="19">
        <v>0</v>
      </c>
      <c r="G271" s="19">
        <v>0</v>
      </c>
      <c r="H271" s="19">
        <v>0</v>
      </c>
      <c r="I271" s="15">
        <v>3500</v>
      </c>
      <c r="J271" s="15">
        <v>0</v>
      </c>
      <c r="K271" s="15">
        <v>0</v>
      </c>
      <c r="L271" s="16">
        <v>0</v>
      </c>
      <c r="M271" s="15">
        <v>0</v>
      </c>
      <c r="N271" s="15" t="str">
        <v/>
      </c>
      <c r="O271" s="15" t="str">
        <v/>
      </c>
      <c r="P271" s="22">
        <v>0</v>
      </c>
      <c r="Q271">
        <v>0</v>
      </c>
    </row>
    <row r="272" spans="1:17">
      <c r="A272" s="19">
        <v>0</v>
      </c>
      <c r="B272" s="19">
        <v>0</v>
      </c>
      <c r="C272" s="19">
        <v>0</v>
      </c>
      <c r="D272" s="19">
        <v>0</v>
      </c>
      <c r="E272" s="19">
        <v>0</v>
      </c>
      <c r="F272" s="19">
        <v>0</v>
      </c>
      <c r="G272" s="19">
        <v>0</v>
      </c>
      <c r="H272" s="19">
        <v>0</v>
      </c>
      <c r="I272" s="15">
        <v>3500</v>
      </c>
      <c r="J272" s="15">
        <v>0</v>
      </c>
      <c r="K272" s="15">
        <v>0</v>
      </c>
      <c r="L272" s="16">
        <v>0</v>
      </c>
      <c r="M272" s="15">
        <v>0</v>
      </c>
      <c r="N272" s="15" t="str">
        <v/>
      </c>
      <c r="O272" s="15" t="str">
        <v/>
      </c>
      <c r="P272" s="22">
        <v>0</v>
      </c>
      <c r="Q272">
        <v>0</v>
      </c>
    </row>
    <row r="273" spans="1:17">
      <c r="A273" s="19">
        <v>0</v>
      </c>
      <c r="B273" s="19">
        <v>0</v>
      </c>
      <c r="C273" s="19">
        <v>0</v>
      </c>
      <c r="D273" s="19">
        <v>0</v>
      </c>
      <c r="E273" s="19">
        <v>0</v>
      </c>
      <c r="F273" s="19">
        <v>0</v>
      </c>
      <c r="G273" s="19">
        <v>0</v>
      </c>
      <c r="H273" s="19">
        <v>0</v>
      </c>
      <c r="I273" s="15">
        <v>3500</v>
      </c>
      <c r="J273" s="15">
        <v>0</v>
      </c>
      <c r="K273" s="15">
        <v>0</v>
      </c>
      <c r="L273" s="16">
        <v>0</v>
      </c>
      <c r="M273" s="15">
        <v>0</v>
      </c>
      <c r="N273" s="15" t="str">
        <v/>
      </c>
      <c r="O273" s="15" t="str">
        <v/>
      </c>
      <c r="P273" s="22">
        <v>0</v>
      </c>
      <c r="Q273">
        <v>0</v>
      </c>
    </row>
    <row r="274" spans="1:17">
      <c r="A274" s="19">
        <v>0</v>
      </c>
      <c r="B274" s="19">
        <v>0</v>
      </c>
      <c r="C274" s="19">
        <v>0</v>
      </c>
      <c r="D274" s="19">
        <v>0</v>
      </c>
      <c r="E274" s="19">
        <v>0</v>
      </c>
      <c r="F274" s="19">
        <v>0</v>
      </c>
      <c r="G274" s="19">
        <v>0</v>
      </c>
      <c r="H274" s="19">
        <v>0</v>
      </c>
      <c r="I274" s="15">
        <v>3500</v>
      </c>
      <c r="J274" s="15">
        <v>0</v>
      </c>
      <c r="K274" s="15">
        <v>0</v>
      </c>
      <c r="L274" s="16">
        <v>0</v>
      </c>
      <c r="M274" s="15">
        <v>0</v>
      </c>
      <c r="N274" s="15" t="str">
        <v/>
      </c>
      <c r="O274" s="15" t="str">
        <v/>
      </c>
      <c r="P274" s="22">
        <v>0</v>
      </c>
      <c r="Q274">
        <v>0</v>
      </c>
    </row>
    <row r="275" spans="1:17">
      <c r="A275" s="19">
        <v>0</v>
      </c>
      <c r="B275" s="19">
        <v>0</v>
      </c>
      <c r="C275" s="19">
        <v>0</v>
      </c>
      <c r="D275" s="19">
        <v>0</v>
      </c>
      <c r="E275" s="19">
        <v>0</v>
      </c>
      <c r="F275" s="19">
        <v>0</v>
      </c>
      <c r="G275" s="19">
        <v>0</v>
      </c>
      <c r="H275" s="19">
        <v>0</v>
      </c>
      <c r="I275" s="15">
        <v>3500</v>
      </c>
      <c r="J275" s="15">
        <v>0</v>
      </c>
      <c r="K275" s="15">
        <v>0</v>
      </c>
      <c r="L275" s="16">
        <v>0</v>
      </c>
      <c r="M275" s="15">
        <v>0</v>
      </c>
      <c r="N275" s="15" t="str">
        <v/>
      </c>
      <c r="O275" s="15" t="str">
        <v/>
      </c>
      <c r="P275" s="22">
        <v>0</v>
      </c>
      <c r="Q275">
        <v>0</v>
      </c>
    </row>
    <row r="276" spans="1:17">
      <c r="A276" s="19">
        <v>0</v>
      </c>
      <c r="B276" s="19">
        <v>0</v>
      </c>
      <c r="C276" s="19">
        <v>0</v>
      </c>
      <c r="D276" s="19">
        <v>0</v>
      </c>
      <c r="E276" s="19">
        <v>0</v>
      </c>
      <c r="F276" s="19">
        <v>0</v>
      </c>
      <c r="G276" s="19">
        <v>0</v>
      </c>
      <c r="H276" s="19">
        <v>0</v>
      </c>
      <c r="I276" s="15">
        <v>3500</v>
      </c>
      <c r="J276" s="15">
        <v>0</v>
      </c>
      <c r="K276" s="15">
        <v>0</v>
      </c>
      <c r="L276" s="16">
        <v>0</v>
      </c>
      <c r="M276" s="15">
        <v>0</v>
      </c>
      <c r="N276" s="15" t="str">
        <v/>
      </c>
      <c r="O276" s="15" t="str">
        <v/>
      </c>
      <c r="P276" s="22">
        <v>0</v>
      </c>
      <c r="Q276">
        <v>0</v>
      </c>
    </row>
    <row r="277" spans="1:17">
      <c r="A277" s="19">
        <v>0</v>
      </c>
      <c r="B277" s="19">
        <v>0</v>
      </c>
      <c r="C277" s="19">
        <v>0</v>
      </c>
      <c r="D277" s="19">
        <v>0</v>
      </c>
      <c r="E277" s="19">
        <v>0</v>
      </c>
      <c r="F277" s="19">
        <v>0</v>
      </c>
      <c r="G277" s="19">
        <v>0</v>
      </c>
      <c r="H277" s="19">
        <v>0</v>
      </c>
      <c r="I277" s="15">
        <v>3500</v>
      </c>
      <c r="J277" s="15">
        <v>0</v>
      </c>
      <c r="K277" s="15">
        <v>0</v>
      </c>
      <c r="L277" s="16">
        <v>0</v>
      </c>
      <c r="M277" s="15">
        <v>0</v>
      </c>
      <c r="N277" s="15" t="str">
        <v/>
      </c>
      <c r="O277" s="15" t="str">
        <v/>
      </c>
      <c r="P277" s="22">
        <v>0</v>
      </c>
      <c r="Q277">
        <v>0</v>
      </c>
    </row>
    <row r="278" spans="1:17">
      <c r="A278" s="19">
        <v>0</v>
      </c>
      <c r="B278" s="19">
        <v>0</v>
      </c>
      <c r="C278" s="19">
        <v>0</v>
      </c>
      <c r="D278" s="19">
        <v>0</v>
      </c>
      <c r="E278" s="19">
        <v>0</v>
      </c>
      <c r="F278" s="19">
        <v>0</v>
      </c>
      <c r="G278" s="19">
        <v>0</v>
      </c>
      <c r="H278" s="19">
        <v>0</v>
      </c>
      <c r="I278" s="15">
        <v>3500</v>
      </c>
      <c r="J278" s="15">
        <v>0</v>
      </c>
      <c r="K278" s="15">
        <v>0</v>
      </c>
      <c r="L278" s="16">
        <v>0</v>
      </c>
      <c r="M278" s="15">
        <v>0</v>
      </c>
      <c r="N278" s="15" t="str">
        <v/>
      </c>
      <c r="O278" s="15" t="str">
        <v/>
      </c>
      <c r="P278" s="22">
        <v>0</v>
      </c>
      <c r="Q278">
        <v>0</v>
      </c>
    </row>
    <row r="279" spans="1:17">
      <c r="A279" s="19">
        <v>0</v>
      </c>
      <c r="B279" s="19">
        <v>0</v>
      </c>
      <c r="C279" s="19">
        <v>0</v>
      </c>
      <c r="D279" s="19">
        <v>0</v>
      </c>
      <c r="E279" s="19">
        <v>0</v>
      </c>
      <c r="F279" s="19">
        <v>0</v>
      </c>
      <c r="G279" s="19">
        <v>0</v>
      </c>
      <c r="H279" s="19">
        <v>0</v>
      </c>
      <c r="I279" s="15">
        <v>3500</v>
      </c>
      <c r="J279" s="15">
        <v>0</v>
      </c>
      <c r="K279" s="15">
        <v>0</v>
      </c>
      <c r="L279" s="16">
        <v>0</v>
      </c>
      <c r="M279" s="15">
        <v>0</v>
      </c>
      <c r="N279" s="15" t="str">
        <v/>
      </c>
      <c r="O279" s="15" t="str">
        <v/>
      </c>
      <c r="P279" s="22">
        <v>0</v>
      </c>
      <c r="Q279">
        <v>0</v>
      </c>
    </row>
    <row r="280" spans="1:17">
      <c r="A280" s="19">
        <v>0</v>
      </c>
      <c r="B280" s="19">
        <v>0</v>
      </c>
      <c r="C280" s="19">
        <v>0</v>
      </c>
      <c r="D280" s="19">
        <v>0</v>
      </c>
      <c r="E280" s="19">
        <v>0</v>
      </c>
      <c r="F280" s="19">
        <v>0</v>
      </c>
      <c r="G280" s="19">
        <v>0</v>
      </c>
      <c r="H280" s="19">
        <v>0</v>
      </c>
      <c r="I280" s="15">
        <v>3500</v>
      </c>
      <c r="J280" s="15">
        <v>0</v>
      </c>
      <c r="K280" s="15">
        <v>0</v>
      </c>
      <c r="L280" s="16">
        <v>0</v>
      </c>
      <c r="M280" s="15">
        <v>0</v>
      </c>
      <c r="N280" s="15" t="str">
        <v/>
      </c>
      <c r="O280" s="15" t="str">
        <v/>
      </c>
      <c r="P280" s="22">
        <v>0</v>
      </c>
      <c r="Q280">
        <v>0</v>
      </c>
    </row>
    <row r="281" spans="1:17">
      <c r="A281" s="19">
        <v>0</v>
      </c>
      <c r="B281" s="19">
        <v>0</v>
      </c>
      <c r="C281" s="19">
        <v>0</v>
      </c>
      <c r="D281" s="19">
        <v>0</v>
      </c>
      <c r="E281" s="19">
        <v>0</v>
      </c>
      <c r="F281" s="19">
        <v>0</v>
      </c>
      <c r="G281" s="19">
        <v>0</v>
      </c>
      <c r="H281" s="19">
        <v>0</v>
      </c>
      <c r="I281" s="15">
        <v>3500</v>
      </c>
      <c r="J281" s="15">
        <v>0</v>
      </c>
      <c r="K281" s="15">
        <v>0</v>
      </c>
      <c r="L281" s="16">
        <v>0</v>
      </c>
      <c r="M281" s="15">
        <v>0</v>
      </c>
      <c r="N281" s="15" t="str">
        <v/>
      </c>
      <c r="O281" s="15" t="str">
        <v/>
      </c>
      <c r="P281" s="22">
        <v>0</v>
      </c>
      <c r="Q281">
        <v>0</v>
      </c>
    </row>
    <row r="282" spans="1:17">
      <c r="A282" s="19">
        <v>0</v>
      </c>
      <c r="B282" s="19">
        <v>0</v>
      </c>
      <c r="C282" s="19">
        <v>0</v>
      </c>
      <c r="D282" s="19">
        <v>0</v>
      </c>
      <c r="E282" s="19">
        <v>0</v>
      </c>
      <c r="F282" s="19">
        <v>0</v>
      </c>
      <c r="G282" s="19">
        <v>0</v>
      </c>
      <c r="H282" s="19">
        <v>0</v>
      </c>
      <c r="I282" s="15">
        <v>3500</v>
      </c>
      <c r="J282" s="15">
        <v>0</v>
      </c>
      <c r="K282" s="15">
        <v>0</v>
      </c>
      <c r="L282" s="16">
        <v>0</v>
      </c>
      <c r="M282" s="15">
        <v>0</v>
      </c>
      <c r="N282" s="15" t="str">
        <v/>
      </c>
      <c r="O282" s="15" t="str">
        <v/>
      </c>
      <c r="P282" s="22">
        <v>0</v>
      </c>
      <c r="Q282">
        <v>0</v>
      </c>
    </row>
    <row r="283" spans="1:17">
      <c r="A283" s="19">
        <v>0</v>
      </c>
      <c r="B283" s="19">
        <v>0</v>
      </c>
      <c r="C283" s="19">
        <v>0</v>
      </c>
      <c r="D283" s="19">
        <v>0</v>
      </c>
      <c r="E283" s="19">
        <v>0</v>
      </c>
      <c r="F283" s="19">
        <v>0</v>
      </c>
      <c r="G283" s="19">
        <v>0</v>
      </c>
      <c r="H283" s="19">
        <v>0</v>
      </c>
      <c r="I283" s="15">
        <v>3500</v>
      </c>
      <c r="J283" s="15">
        <v>0</v>
      </c>
      <c r="K283" s="15">
        <v>0</v>
      </c>
      <c r="L283" s="16">
        <v>0</v>
      </c>
      <c r="M283" s="15">
        <v>0</v>
      </c>
      <c r="N283" s="15" t="str">
        <v/>
      </c>
      <c r="O283" s="15" t="str">
        <v/>
      </c>
      <c r="P283" s="22">
        <v>0</v>
      </c>
      <c r="Q283">
        <v>0</v>
      </c>
    </row>
    <row r="284" spans="1:17">
      <c r="A284" s="19">
        <v>0</v>
      </c>
      <c r="B284" s="19">
        <v>0</v>
      </c>
      <c r="C284" s="19">
        <v>0</v>
      </c>
      <c r="D284" s="19">
        <v>0</v>
      </c>
      <c r="E284" s="19">
        <v>0</v>
      </c>
      <c r="F284" s="19">
        <v>0</v>
      </c>
      <c r="G284" s="19">
        <v>0</v>
      </c>
      <c r="H284" s="19">
        <v>0</v>
      </c>
      <c r="I284" s="15">
        <v>3500</v>
      </c>
      <c r="J284" s="15">
        <v>0</v>
      </c>
      <c r="K284" s="15">
        <v>0</v>
      </c>
      <c r="L284" s="16">
        <v>0</v>
      </c>
      <c r="M284" s="15">
        <v>0</v>
      </c>
      <c r="N284" s="15" t="str">
        <v/>
      </c>
      <c r="O284" s="15" t="str">
        <v/>
      </c>
      <c r="P284" s="22">
        <v>0</v>
      </c>
      <c r="Q284">
        <v>0</v>
      </c>
    </row>
    <row r="285" spans="1:17">
      <c r="A285" s="19">
        <v>0</v>
      </c>
      <c r="B285" s="19">
        <v>0</v>
      </c>
      <c r="C285" s="19">
        <v>0</v>
      </c>
      <c r="D285" s="19">
        <v>0</v>
      </c>
      <c r="E285" s="19">
        <v>0</v>
      </c>
      <c r="F285" s="19">
        <v>0</v>
      </c>
      <c r="G285" s="19">
        <v>0</v>
      </c>
      <c r="H285" s="19">
        <v>0</v>
      </c>
      <c r="I285" s="15">
        <v>3500</v>
      </c>
      <c r="J285" s="15">
        <v>0</v>
      </c>
      <c r="K285" s="15">
        <v>0</v>
      </c>
      <c r="L285" s="16">
        <v>0</v>
      </c>
      <c r="M285" s="15">
        <v>0</v>
      </c>
      <c r="N285" s="15" t="str">
        <v/>
      </c>
      <c r="O285" s="15" t="str">
        <v/>
      </c>
      <c r="P285" s="22">
        <v>0</v>
      </c>
      <c r="Q285">
        <v>0</v>
      </c>
    </row>
    <row r="286" spans="1:17">
      <c r="A286" s="19">
        <v>0</v>
      </c>
      <c r="B286" s="19">
        <v>0</v>
      </c>
      <c r="C286" s="19">
        <v>0</v>
      </c>
      <c r="D286" s="19">
        <v>0</v>
      </c>
      <c r="E286" s="19">
        <v>0</v>
      </c>
      <c r="F286" s="19">
        <v>0</v>
      </c>
      <c r="G286" s="19">
        <v>0</v>
      </c>
      <c r="H286" s="19">
        <v>0</v>
      </c>
      <c r="I286" s="15">
        <v>3500</v>
      </c>
      <c r="J286" s="15">
        <v>0</v>
      </c>
      <c r="K286" s="15">
        <v>0</v>
      </c>
      <c r="L286" s="16">
        <v>0</v>
      </c>
      <c r="M286" s="15">
        <v>0</v>
      </c>
      <c r="N286" s="15" t="str">
        <v/>
      </c>
      <c r="O286" s="15" t="str">
        <v/>
      </c>
      <c r="P286" s="22">
        <v>0</v>
      </c>
      <c r="Q286">
        <v>0</v>
      </c>
    </row>
    <row r="287" spans="1:17">
      <c r="A287" s="19">
        <v>0</v>
      </c>
      <c r="B287" s="19">
        <v>0</v>
      </c>
      <c r="C287" s="19">
        <v>0</v>
      </c>
      <c r="D287" s="19">
        <v>0</v>
      </c>
      <c r="E287" s="19">
        <v>0</v>
      </c>
      <c r="F287" s="19">
        <v>0</v>
      </c>
      <c r="G287" s="19">
        <v>0</v>
      </c>
      <c r="H287" s="19">
        <v>0</v>
      </c>
      <c r="I287" s="15">
        <v>3500</v>
      </c>
      <c r="J287" s="15">
        <v>0</v>
      </c>
      <c r="K287" s="15">
        <v>0</v>
      </c>
      <c r="L287" s="16">
        <v>0</v>
      </c>
      <c r="M287" s="15">
        <v>0</v>
      </c>
      <c r="N287" s="15" t="str">
        <v/>
      </c>
      <c r="O287" s="15" t="str">
        <v/>
      </c>
      <c r="P287" s="22">
        <v>0</v>
      </c>
      <c r="Q287">
        <v>0</v>
      </c>
    </row>
    <row r="288" spans="1:17">
      <c r="A288" s="19">
        <v>0</v>
      </c>
      <c r="B288" s="19">
        <v>0</v>
      </c>
      <c r="C288" s="19">
        <v>0</v>
      </c>
      <c r="D288" s="19">
        <v>0</v>
      </c>
      <c r="E288" s="19">
        <v>0</v>
      </c>
      <c r="F288" s="19">
        <v>0</v>
      </c>
      <c r="G288" s="19">
        <v>0</v>
      </c>
      <c r="H288" s="19">
        <v>0</v>
      </c>
      <c r="I288" s="15">
        <v>3500</v>
      </c>
      <c r="J288" s="15">
        <v>0</v>
      </c>
      <c r="K288" s="15">
        <v>0</v>
      </c>
      <c r="L288" s="16">
        <v>0</v>
      </c>
      <c r="M288" s="15">
        <v>0</v>
      </c>
      <c r="N288" s="15" t="str">
        <v/>
      </c>
      <c r="O288" s="15" t="str">
        <v/>
      </c>
      <c r="P288" s="22">
        <v>0</v>
      </c>
      <c r="Q288">
        <v>0</v>
      </c>
    </row>
    <row r="289" spans="1:17">
      <c r="A289" s="19">
        <v>0</v>
      </c>
      <c r="B289" s="19">
        <v>0</v>
      </c>
      <c r="C289" s="19">
        <v>0</v>
      </c>
      <c r="D289" s="19">
        <v>0</v>
      </c>
      <c r="E289" s="19">
        <v>0</v>
      </c>
      <c r="F289" s="19">
        <v>0</v>
      </c>
      <c r="G289" s="19">
        <v>0</v>
      </c>
      <c r="H289" s="19">
        <v>0</v>
      </c>
      <c r="I289" s="15">
        <v>3500</v>
      </c>
      <c r="J289" s="15">
        <v>0</v>
      </c>
      <c r="K289" s="15">
        <v>0</v>
      </c>
      <c r="L289" s="16">
        <v>0</v>
      </c>
      <c r="M289" s="15">
        <v>0</v>
      </c>
      <c r="N289" s="15" t="str">
        <v/>
      </c>
      <c r="O289" s="15" t="str">
        <v/>
      </c>
      <c r="P289" s="22">
        <v>0</v>
      </c>
      <c r="Q289">
        <v>0</v>
      </c>
    </row>
    <row r="290" spans="1:17">
      <c r="A290" s="19">
        <v>0</v>
      </c>
      <c r="B290" s="19">
        <v>0</v>
      </c>
      <c r="C290" s="19">
        <v>0</v>
      </c>
      <c r="D290" s="19">
        <v>0</v>
      </c>
      <c r="E290" s="19">
        <v>0</v>
      </c>
      <c r="F290" s="19">
        <v>0</v>
      </c>
      <c r="G290" s="19">
        <v>0</v>
      </c>
      <c r="H290" s="19">
        <v>0</v>
      </c>
      <c r="I290" s="15">
        <v>3500</v>
      </c>
      <c r="J290" s="15">
        <v>0</v>
      </c>
      <c r="K290" s="15">
        <v>0</v>
      </c>
      <c r="L290" s="16">
        <v>0</v>
      </c>
      <c r="M290" s="15">
        <v>0</v>
      </c>
      <c r="N290" s="15" t="str">
        <v/>
      </c>
      <c r="O290" s="15" t="str">
        <v/>
      </c>
      <c r="P290" s="22">
        <v>0</v>
      </c>
      <c r="Q290">
        <v>0</v>
      </c>
    </row>
    <row r="291" spans="1:17">
      <c r="A291" s="19">
        <v>0</v>
      </c>
      <c r="B291" s="19">
        <v>0</v>
      </c>
      <c r="C291" s="19">
        <v>0</v>
      </c>
      <c r="D291" s="19">
        <v>0</v>
      </c>
      <c r="E291" s="19">
        <v>0</v>
      </c>
      <c r="F291" s="19">
        <v>0</v>
      </c>
      <c r="G291" s="19">
        <v>0</v>
      </c>
      <c r="H291" s="19">
        <v>0</v>
      </c>
      <c r="I291" s="15">
        <v>3500</v>
      </c>
      <c r="J291" s="15">
        <v>0</v>
      </c>
      <c r="K291" s="15">
        <v>0</v>
      </c>
      <c r="L291" s="16">
        <v>0</v>
      </c>
      <c r="M291" s="15">
        <v>0</v>
      </c>
      <c r="N291" s="15" t="str">
        <v/>
      </c>
      <c r="O291" s="15" t="str">
        <v/>
      </c>
      <c r="P291" s="22">
        <v>0</v>
      </c>
      <c r="Q291">
        <v>0</v>
      </c>
    </row>
    <row r="292" spans="1:17">
      <c r="A292" s="19">
        <v>0</v>
      </c>
      <c r="B292" s="19">
        <v>0</v>
      </c>
      <c r="C292" s="19">
        <v>0</v>
      </c>
      <c r="D292" s="19">
        <v>0</v>
      </c>
      <c r="E292" s="19">
        <v>0</v>
      </c>
      <c r="F292" s="19">
        <v>0</v>
      </c>
      <c r="G292" s="19">
        <v>0</v>
      </c>
      <c r="H292" s="19">
        <v>0</v>
      </c>
      <c r="I292" s="15">
        <v>3500</v>
      </c>
      <c r="J292" s="15">
        <v>0</v>
      </c>
      <c r="K292" s="15">
        <v>0</v>
      </c>
      <c r="L292" s="16">
        <v>0</v>
      </c>
      <c r="M292" s="15">
        <v>0</v>
      </c>
      <c r="N292" s="15" t="str">
        <v/>
      </c>
      <c r="O292" s="15" t="str">
        <v/>
      </c>
      <c r="P292" s="22">
        <v>0</v>
      </c>
      <c r="Q292">
        <v>0</v>
      </c>
    </row>
    <row r="293" spans="1:17">
      <c r="A293" s="19">
        <v>0</v>
      </c>
      <c r="B293" s="19">
        <v>0</v>
      </c>
      <c r="C293" s="19">
        <v>0</v>
      </c>
      <c r="D293" s="19">
        <v>0</v>
      </c>
      <c r="E293" s="19">
        <v>0</v>
      </c>
      <c r="F293" s="19">
        <v>0</v>
      </c>
      <c r="G293" s="19">
        <v>0</v>
      </c>
      <c r="H293" s="19">
        <v>0</v>
      </c>
      <c r="I293" s="15">
        <v>3500</v>
      </c>
      <c r="J293" s="15">
        <v>0</v>
      </c>
      <c r="K293" s="15">
        <v>0</v>
      </c>
      <c r="L293" s="16">
        <v>0</v>
      </c>
      <c r="M293" s="15">
        <v>0</v>
      </c>
      <c r="N293" s="15" t="str">
        <v/>
      </c>
      <c r="O293" s="15" t="str">
        <v/>
      </c>
      <c r="P293" s="22">
        <v>0</v>
      </c>
      <c r="Q293">
        <v>0</v>
      </c>
    </row>
    <row r="294" spans="1:17">
      <c r="A294" s="19">
        <v>0</v>
      </c>
      <c r="B294" s="19">
        <v>0</v>
      </c>
      <c r="C294" s="19">
        <v>0</v>
      </c>
      <c r="D294" s="19">
        <v>0</v>
      </c>
      <c r="E294" s="19">
        <v>0</v>
      </c>
      <c r="F294" s="19">
        <v>0</v>
      </c>
      <c r="G294" s="19">
        <v>0</v>
      </c>
      <c r="H294" s="19">
        <v>0</v>
      </c>
      <c r="I294" s="15">
        <v>3500</v>
      </c>
      <c r="J294" s="15">
        <v>0</v>
      </c>
      <c r="K294" s="15">
        <v>0</v>
      </c>
      <c r="L294" s="16">
        <v>0</v>
      </c>
      <c r="M294" s="15">
        <v>0</v>
      </c>
      <c r="N294" s="15" t="str">
        <v/>
      </c>
      <c r="O294" s="15" t="str">
        <v/>
      </c>
      <c r="P294" s="22">
        <v>0</v>
      </c>
      <c r="Q294">
        <v>0</v>
      </c>
    </row>
    <row r="295" spans="1:17">
      <c r="A295" s="19">
        <v>0</v>
      </c>
      <c r="B295" s="19">
        <v>0</v>
      </c>
      <c r="C295" s="19">
        <v>0</v>
      </c>
      <c r="D295" s="19">
        <v>0</v>
      </c>
      <c r="E295" s="19">
        <v>0</v>
      </c>
      <c r="F295" s="19">
        <v>0</v>
      </c>
      <c r="G295" s="19">
        <v>0</v>
      </c>
      <c r="H295" s="19">
        <v>0</v>
      </c>
      <c r="I295" s="15">
        <v>3500</v>
      </c>
      <c r="J295" s="15">
        <v>0</v>
      </c>
      <c r="K295" s="15">
        <v>0</v>
      </c>
      <c r="L295" s="16">
        <v>0</v>
      </c>
      <c r="M295" s="15">
        <v>0</v>
      </c>
      <c r="N295" s="15" t="str">
        <v/>
      </c>
      <c r="O295" s="15" t="str">
        <v/>
      </c>
      <c r="P295" s="22">
        <v>0</v>
      </c>
      <c r="Q295">
        <v>0</v>
      </c>
    </row>
    <row r="296" spans="1:17">
      <c r="A296" s="19">
        <v>0</v>
      </c>
      <c r="B296" s="19">
        <v>0</v>
      </c>
      <c r="C296" s="19">
        <v>0</v>
      </c>
      <c r="D296" s="19">
        <v>0</v>
      </c>
      <c r="E296" s="19">
        <v>0</v>
      </c>
      <c r="F296" s="19">
        <v>0</v>
      </c>
      <c r="G296" s="19">
        <v>0</v>
      </c>
      <c r="H296" s="19">
        <v>0</v>
      </c>
      <c r="I296" s="15">
        <v>3500</v>
      </c>
      <c r="J296" s="15">
        <v>0</v>
      </c>
      <c r="K296" s="15">
        <v>0</v>
      </c>
      <c r="L296" s="16">
        <v>0</v>
      </c>
      <c r="M296" s="15">
        <v>0</v>
      </c>
      <c r="N296" s="15" t="str">
        <v/>
      </c>
      <c r="O296" s="15" t="str">
        <v/>
      </c>
      <c r="P296" s="22">
        <v>0</v>
      </c>
      <c r="Q296">
        <v>0</v>
      </c>
    </row>
    <row r="297" spans="1:17">
      <c r="A297" s="19">
        <v>0</v>
      </c>
      <c r="B297" s="19">
        <v>0</v>
      </c>
      <c r="C297" s="19">
        <v>0</v>
      </c>
      <c r="D297" s="19">
        <v>0</v>
      </c>
      <c r="E297" s="19">
        <v>0</v>
      </c>
      <c r="F297" s="19">
        <v>0</v>
      </c>
      <c r="G297" s="19">
        <v>0</v>
      </c>
      <c r="H297" s="19">
        <v>0</v>
      </c>
      <c r="I297" s="15">
        <v>3500</v>
      </c>
      <c r="J297" s="15">
        <v>0</v>
      </c>
      <c r="K297" s="15">
        <v>0</v>
      </c>
      <c r="L297" s="16">
        <v>0</v>
      </c>
      <c r="M297" s="15">
        <v>0</v>
      </c>
      <c r="N297" s="15" t="str">
        <v/>
      </c>
      <c r="O297" s="15" t="str">
        <v/>
      </c>
      <c r="P297" s="22">
        <v>0</v>
      </c>
      <c r="Q297">
        <v>0</v>
      </c>
    </row>
    <row r="298" spans="1:17">
      <c r="A298" s="19">
        <v>0</v>
      </c>
      <c r="B298" s="19">
        <v>0</v>
      </c>
      <c r="C298" s="19">
        <v>0</v>
      </c>
      <c r="D298" s="19">
        <v>0</v>
      </c>
      <c r="E298" s="19">
        <v>0</v>
      </c>
      <c r="F298" s="19">
        <v>0</v>
      </c>
      <c r="G298" s="19">
        <v>0</v>
      </c>
      <c r="H298" s="19">
        <v>0</v>
      </c>
      <c r="I298" s="15">
        <v>3500</v>
      </c>
      <c r="J298" s="15">
        <v>0</v>
      </c>
      <c r="K298" s="15">
        <v>0</v>
      </c>
      <c r="L298" s="16">
        <v>0</v>
      </c>
      <c r="M298" s="15">
        <v>0</v>
      </c>
      <c r="N298" s="15" t="str">
        <v/>
      </c>
      <c r="O298" s="15" t="str">
        <v/>
      </c>
      <c r="P298" s="22">
        <v>0</v>
      </c>
      <c r="Q298">
        <v>0</v>
      </c>
    </row>
    <row r="299" spans="1:17">
      <c r="A299" s="19">
        <v>0</v>
      </c>
      <c r="B299" s="19">
        <v>0</v>
      </c>
      <c r="C299" s="19">
        <v>0</v>
      </c>
      <c r="D299" s="19">
        <v>0</v>
      </c>
      <c r="E299" s="19">
        <v>0</v>
      </c>
      <c r="F299" s="19">
        <v>0</v>
      </c>
      <c r="G299" s="19">
        <v>0</v>
      </c>
      <c r="H299" s="19">
        <v>0</v>
      </c>
      <c r="I299" s="15">
        <v>3500</v>
      </c>
      <c r="J299" s="15">
        <v>0</v>
      </c>
      <c r="K299" s="15">
        <v>0</v>
      </c>
      <c r="L299" s="16">
        <v>0</v>
      </c>
      <c r="M299" s="15">
        <v>0</v>
      </c>
      <c r="N299" s="15" t="str">
        <v/>
      </c>
      <c r="O299" s="15" t="str">
        <v/>
      </c>
      <c r="P299" s="22">
        <v>0</v>
      </c>
      <c r="Q299">
        <v>0</v>
      </c>
    </row>
    <row r="300" spans="1:17">
      <c r="A300" s="19">
        <v>0</v>
      </c>
      <c r="B300" s="19">
        <v>0</v>
      </c>
      <c r="C300" s="19">
        <v>0</v>
      </c>
      <c r="D300" s="19">
        <v>0</v>
      </c>
      <c r="E300" s="19">
        <v>0</v>
      </c>
      <c r="F300" s="19">
        <v>0</v>
      </c>
      <c r="G300" s="19">
        <v>0</v>
      </c>
      <c r="H300" s="19">
        <v>0</v>
      </c>
      <c r="I300" s="15">
        <v>3500</v>
      </c>
      <c r="J300" s="15">
        <v>0</v>
      </c>
      <c r="K300" s="15">
        <v>0</v>
      </c>
      <c r="L300" s="16">
        <v>0</v>
      </c>
      <c r="M300" s="15">
        <v>0</v>
      </c>
      <c r="N300" s="15" t="str">
        <v/>
      </c>
      <c r="O300" s="15" t="str">
        <v/>
      </c>
      <c r="P300" s="22">
        <v>0</v>
      </c>
      <c r="Q300">
        <v>0</v>
      </c>
    </row>
    <row r="301" spans="1:17">
      <c r="A301" s="19">
        <v>0</v>
      </c>
      <c r="B301" s="19">
        <v>0</v>
      </c>
      <c r="C301" s="19">
        <v>0</v>
      </c>
      <c r="D301" s="19">
        <v>0</v>
      </c>
      <c r="E301" s="19">
        <v>0</v>
      </c>
      <c r="F301" s="19">
        <v>0</v>
      </c>
      <c r="G301" s="19">
        <v>0</v>
      </c>
      <c r="H301" s="19">
        <v>0</v>
      </c>
      <c r="I301" s="15">
        <v>3500</v>
      </c>
      <c r="J301" s="15">
        <v>0</v>
      </c>
      <c r="K301" s="15">
        <v>0</v>
      </c>
      <c r="L301" s="16">
        <v>0</v>
      </c>
      <c r="M301" s="15">
        <v>0</v>
      </c>
      <c r="N301" s="15" t="str">
        <v/>
      </c>
      <c r="O301" s="15" t="str">
        <v/>
      </c>
      <c r="P301" s="22">
        <v>0</v>
      </c>
      <c r="Q301">
        <v>0</v>
      </c>
    </row>
    <row r="302" spans="1:17">
      <c r="A302" s="19">
        <v>0</v>
      </c>
      <c r="B302" s="19">
        <v>0</v>
      </c>
      <c r="C302" s="19">
        <v>0</v>
      </c>
      <c r="D302" s="19">
        <v>0</v>
      </c>
      <c r="E302" s="19">
        <v>0</v>
      </c>
      <c r="F302" s="19">
        <v>0</v>
      </c>
      <c r="G302" s="19">
        <v>0</v>
      </c>
      <c r="H302" s="19">
        <v>0</v>
      </c>
      <c r="I302" s="15">
        <v>3500</v>
      </c>
      <c r="J302" s="15">
        <v>0</v>
      </c>
      <c r="K302" s="15">
        <v>0</v>
      </c>
      <c r="L302" s="16">
        <v>0</v>
      </c>
      <c r="M302" s="15">
        <v>0</v>
      </c>
      <c r="N302" s="15" t="str">
        <v/>
      </c>
      <c r="O302" s="15" t="str">
        <v/>
      </c>
      <c r="P302" s="22">
        <v>0</v>
      </c>
      <c r="Q302">
        <v>0</v>
      </c>
    </row>
    <row r="303" spans="1:17">
      <c r="A303" s="19">
        <v>0</v>
      </c>
      <c r="B303" s="19">
        <v>0</v>
      </c>
      <c r="C303" s="19">
        <v>0</v>
      </c>
      <c r="D303" s="19">
        <v>0</v>
      </c>
      <c r="E303" s="19">
        <v>0</v>
      </c>
      <c r="F303" s="19">
        <v>0</v>
      </c>
      <c r="G303" s="19">
        <v>0</v>
      </c>
      <c r="H303" s="19">
        <v>0</v>
      </c>
      <c r="I303" s="15">
        <v>3500</v>
      </c>
      <c r="J303" s="15">
        <v>0</v>
      </c>
      <c r="K303" s="15">
        <v>0</v>
      </c>
      <c r="L303" s="16">
        <v>0</v>
      </c>
      <c r="M303" s="15">
        <v>0</v>
      </c>
      <c r="N303" s="15" t="str">
        <v/>
      </c>
      <c r="O303" s="15" t="str">
        <v/>
      </c>
      <c r="P303" s="22">
        <v>0</v>
      </c>
      <c r="Q303">
        <v>0</v>
      </c>
    </row>
    <row r="304" spans="1:17">
      <c r="A304" s="19">
        <v>0</v>
      </c>
      <c r="B304" s="19">
        <v>0</v>
      </c>
      <c r="C304" s="19">
        <v>0</v>
      </c>
      <c r="D304" s="19">
        <v>0</v>
      </c>
      <c r="E304" s="19">
        <v>0</v>
      </c>
      <c r="F304" s="19">
        <v>0</v>
      </c>
      <c r="G304" s="19">
        <v>0</v>
      </c>
      <c r="H304" s="19">
        <v>0</v>
      </c>
      <c r="I304" s="15">
        <v>3500</v>
      </c>
      <c r="J304" s="15">
        <v>0</v>
      </c>
      <c r="K304" s="15">
        <v>0</v>
      </c>
      <c r="L304" s="16">
        <v>0</v>
      </c>
      <c r="M304" s="15">
        <v>0</v>
      </c>
      <c r="N304" s="15" t="str">
        <v/>
      </c>
      <c r="O304" s="15" t="str">
        <v/>
      </c>
      <c r="P304" s="22">
        <v>0</v>
      </c>
      <c r="Q304">
        <v>0</v>
      </c>
    </row>
    <row r="305" spans="1:17">
      <c r="A305" s="19">
        <v>0</v>
      </c>
      <c r="B305" s="19">
        <v>0</v>
      </c>
      <c r="C305" s="19">
        <v>0</v>
      </c>
      <c r="D305" s="19">
        <v>0</v>
      </c>
      <c r="E305" s="19">
        <v>0</v>
      </c>
      <c r="F305" s="19">
        <v>0</v>
      </c>
      <c r="G305" s="19">
        <v>0</v>
      </c>
      <c r="H305" s="19">
        <v>0</v>
      </c>
      <c r="I305" s="15">
        <v>3500</v>
      </c>
      <c r="J305" s="15">
        <v>0</v>
      </c>
      <c r="K305" s="15">
        <v>0</v>
      </c>
      <c r="L305" s="16">
        <v>0</v>
      </c>
      <c r="M305" s="15">
        <v>0</v>
      </c>
      <c r="N305" s="15" t="str">
        <v/>
      </c>
      <c r="O305" s="15" t="str">
        <v/>
      </c>
      <c r="P305" s="22">
        <v>0</v>
      </c>
      <c r="Q305">
        <v>0</v>
      </c>
    </row>
    <row r="306" spans="1:17">
      <c r="A306" s="19">
        <v>0</v>
      </c>
      <c r="B306" s="19">
        <v>0</v>
      </c>
      <c r="C306" s="19">
        <v>0</v>
      </c>
      <c r="D306" s="19">
        <v>0</v>
      </c>
      <c r="E306" s="19">
        <v>0</v>
      </c>
      <c r="F306" s="19">
        <v>0</v>
      </c>
      <c r="G306" s="19">
        <v>0</v>
      </c>
      <c r="H306" s="19">
        <v>0</v>
      </c>
      <c r="I306" s="15">
        <v>3500</v>
      </c>
      <c r="J306" s="15">
        <v>0</v>
      </c>
      <c r="K306" s="15">
        <v>0</v>
      </c>
      <c r="L306" s="16">
        <v>0</v>
      </c>
      <c r="M306" s="15">
        <v>0</v>
      </c>
      <c r="N306" s="15" t="str">
        <v/>
      </c>
      <c r="O306" s="15" t="str">
        <v/>
      </c>
      <c r="P306" s="22">
        <v>0</v>
      </c>
      <c r="Q306">
        <v>0</v>
      </c>
    </row>
    <row r="307" spans="1:17">
      <c r="A307" s="19">
        <v>0</v>
      </c>
      <c r="B307" s="19">
        <v>0</v>
      </c>
      <c r="C307" s="19">
        <v>0</v>
      </c>
      <c r="D307" s="19">
        <v>0</v>
      </c>
      <c r="E307" s="19">
        <v>0</v>
      </c>
      <c r="F307" s="19">
        <v>0</v>
      </c>
      <c r="G307" s="19">
        <v>0</v>
      </c>
      <c r="H307" s="19">
        <v>0</v>
      </c>
      <c r="I307" s="15">
        <v>3500</v>
      </c>
      <c r="J307" s="15">
        <v>0</v>
      </c>
      <c r="K307" s="15">
        <v>0</v>
      </c>
      <c r="L307" s="16">
        <v>0</v>
      </c>
      <c r="M307" s="15">
        <v>0</v>
      </c>
      <c r="N307" s="15" t="str">
        <v/>
      </c>
      <c r="O307" s="15" t="str">
        <v/>
      </c>
      <c r="P307" s="22">
        <v>0</v>
      </c>
      <c r="Q307">
        <v>0</v>
      </c>
    </row>
    <row r="308" spans="1:17">
      <c r="A308" s="19">
        <v>0</v>
      </c>
      <c r="B308" s="19">
        <v>0</v>
      </c>
      <c r="C308" s="19">
        <v>0</v>
      </c>
      <c r="D308" s="19">
        <v>0</v>
      </c>
      <c r="E308" s="19">
        <v>0</v>
      </c>
      <c r="F308" s="19">
        <v>0</v>
      </c>
      <c r="G308" s="19">
        <v>0</v>
      </c>
      <c r="H308" s="19">
        <v>0</v>
      </c>
      <c r="I308" s="15">
        <v>3500</v>
      </c>
      <c r="J308" s="15">
        <v>0</v>
      </c>
      <c r="K308" s="15">
        <v>0</v>
      </c>
      <c r="L308" s="16">
        <v>0</v>
      </c>
      <c r="M308" s="15">
        <v>0</v>
      </c>
      <c r="N308" s="15" t="str">
        <v/>
      </c>
      <c r="O308" s="15" t="str">
        <v/>
      </c>
      <c r="P308" s="22">
        <v>0</v>
      </c>
      <c r="Q308">
        <v>0</v>
      </c>
    </row>
    <row r="309" spans="1:17">
      <c r="A309" s="19">
        <v>0</v>
      </c>
      <c r="B309" s="19">
        <v>0</v>
      </c>
      <c r="C309" s="19">
        <v>0</v>
      </c>
      <c r="D309" s="19">
        <v>0</v>
      </c>
      <c r="E309" s="19">
        <v>0</v>
      </c>
      <c r="F309" s="19">
        <v>0</v>
      </c>
      <c r="G309" s="19">
        <v>0</v>
      </c>
      <c r="H309" s="19">
        <v>0</v>
      </c>
      <c r="I309" s="15">
        <v>3500</v>
      </c>
      <c r="J309" s="15">
        <v>0</v>
      </c>
      <c r="K309" s="15">
        <v>0</v>
      </c>
      <c r="L309" s="16">
        <v>0</v>
      </c>
      <c r="M309" s="15">
        <v>0</v>
      </c>
      <c r="N309" s="15" t="str">
        <v/>
      </c>
      <c r="O309" s="15" t="str">
        <v/>
      </c>
      <c r="P309" s="22">
        <v>0</v>
      </c>
      <c r="Q309">
        <v>0</v>
      </c>
    </row>
    <row r="310" spans="1:17">
      <c r="A310" s="19">
        <v>0</v>
      </c>
      <c r="B310" s="19">
        <v>0</v>
      </c>
      <c r="C310" s="19">
        <v>0</v>
      </c>
      <c r="D310" s="19">
        <v>0</v>
      </c>
      <c r="E310" s="19">
        <v>0</v>
      </c>
      <c r="F310" s="19">
        <v>0</v>
      </c>
      <c r="G310" s="19">
        <v>0</v>
      </c>
      <c r="H310" s="19">
        <v>0</v>
      </c>
      <c r="I310" s="15">
        <v>3500</v>
      </c>
      <c r="J310" s="15">
        <v>0</v>
      </c>
      <c r="K310" s="15">
        <v>0</v>
      </c>
      <c r="L310" s="16">
        <v>0</v>
      </c>
      <c r="M310" s="15">
        <v>0</v>
      </c>
      <c r="N310" s="15" t="str">
        <v/>
      </c>
      <c r="O310" s="15" t="str">
        <v/>
      </c>
      <c r="P310" s="22">
        <v>0</v>
      </c>
      <c r="Q310">
        <v>0</v>
      </c>
    </row>
    <row r="311" spans="1:17">
      <c r="A311" s="19">
        <v>0</v>
      </c>
      <c r="B311" s="19">
        <v>0</v>
      </c>
      <c r="C311" s="19">
        <v>0</v>
      </c>
      <c r="D311" s="19">
        <v>0</v>
      </c>
      <c r="E311" s="19">
        <v>0</v>
      </c>
      <c r="F311" s="19">
        <v>0</v>
      </c>
      <c r="G311" s="19">
        <v>0</v>
      </c>
      <c r="H311" s="19">
        <v>0</v>
      </c>
      <c r="I311" s="15">
        <v>3500</v>
      </c>
      <c r="J311" s="15">
        <v>0</v>
      </c>
      <c r="K311" s="15">
        <v>0</v>
      </c>
      <c r="L311" s="16">
        <v>0</v>
      </c>
      <c r="M311" s="15">
        <v>0</v>
      </c>
      <c r="N311" s="15" t="str">
        <v/>
      </c>
      <c r="O311" s="15" t="str">
        <v/>
      </c>
      <c r="P311" s="22">
        <v>0</v>
      </c>
      <c r="Q311">
        <v>0</v>
      </c>
    </row>
    <row r="312" spans="1:17">
      <c r="A312" s="19">
        <v>0</v>
      </c>
      <c r="B312" s="19">
        <v>0</v>
      </c>
      <c r="C312" s="19">
        <v>0</v>
      </c>
      <c r="D312" s="19">
        <v>0</v>
      </c>
      <c r="E312" s="19">
        <v>0</v>
      </c>
      <c r="F312" s="19">
        <v>0</v>
      </c>
      <c r="G312" s="19">
        <v>0</v>
      </c>
      <c r="H312" s="19">
        <v>0</v>
      </c>
      <c r="I312" s="15">
        <v>3500</v>
      </c>
      <c r="J312" s="15">
        <v>0</v>
      </c>
      <c r="K312" s="15">
        <v>0</v>
      </c>
      <c r="L312" s="16">
        <v>0</v>
      </c>
      <c r="M312" s="15">
        <v>0</v>
      </c>
      <c r="N312" s="15" t="str">
        <v/>
      </c>
      <c r="O312" s="15" t="str">
        <v/>
      </c>
      <c r="P312" s="22">
        <v>0</v>
      </c>
      <c r="Q312">
        <v>0</v>
      </c>
    </row>
    <row r="313" spans="1:17">
      <c r="A313" s="19">
        <v>0</v>
      </c>
      <c r="B313" s="19">
        <v>0</v>
      </c>
      <c r="C313" s="19">
        <v>0</v>
      </c>
      <c r="D313" s="19">
        <v>0</v>
      </c>
      <c r="E313" s="19">
        <v>0</v>
      </c>
      <c r="F313" s="19">
        <v>0</v>
      </c>
      <c r="G313" s="19">
        <v>0</v>
      </c>
      <c r="H313" s="19">
        <v>0</v>
      </c>
      <c r="I313" s="15">
        <v>3500</v>
      </c>
      <c r="J313" s="15">
        <v>0</v>
      </c>
      <c r="K313" s="15">
        <v>0</v>
      </c>
      <c r="L313" s="16">
        <v>0</v>
      </c>
      <c r="M313" s="15">
        <v>0</v>
      </c>
      <c r="N313" s="15" t="str">
        <v/>
      </c>
      <c r="O313" s="15" t="str">
        <v/>
      </c>
      <c r="P313" s="22">
        <v>0</v>
      </c>
      <c r="Q313">
        <v>0</v>
      </c>
    </row>
    <row r="314" spans="1:17">
      <c r="A314" s="19">
        <v>0</v>
      </c>
      <c r="B314" s="19">
        <v>0</v>
      </c>
      <c r="C314" s="19">
        <v>0</v>
      </c>
      <c r="D314" s="19">
        <v>0</v>
      </c>
      <c r="E314" s="19">
        <v>0</v>
      </c>
      <c r="F314" s="19">
        <v>0</v>
      </c>
      <c r="G314" s="19">
        <v>0</v>
      </c>
      <c r="H314" s="19">
        <v>0</v>
      </c>
      <c r="I314" s="15">
        <v>3500</v>
      </c>
      <c r="J314" s="15">
        <v>0</v>
      </c>
      <c r="K314" s="15">
        <v>0</v>
      </c>
      <c r="L314" s="16">
        <v>0</v>
      </c>
      <c r="M314" s="15">
        <v>0</v>
      </c>
      <c r="N314" s="15" t="str">
        <v/>
      </c>
      <c r="O314" s="15" t="str">
        <v/>
      </c>
      <c r="P314" s="22">
        <v>0</v>
      </c>
      <c r="Q314">
        <v>0</v>
      </c>
    </row>
    <row r="315" spans="1:17">
      <c r="A315" s="19">
        <v>0</v>
      </c>
      <c r="B315" s="19">
        <v>0</v>
      </c>
      <c r="C315" s="19">
        <v>0</v>
      </c>
      <c r="D315" s="19">
        <v>0</v>
      </c>
      <c r="E315" s="19">
        <v>0</v>
      </c>
      <c r="F315" s="19">
        <v>0</v>
      </c>
      <c r="G315" s="19">
        <v>0</v>
      </c>
      <c r="H315" s="19">
        <v>0</v>
      </c>
      <c r="I315" s="15">
        <v>3500</v>
      </c>
      <c r="J315" s="15">
        <v>0</v>
      </c>
      <c r="K315" s="15">
        <v>0</v>
      </c>
      <c r="L315" s="16">
        <v>0</v>
      </c>
      <c r="M315" s="15">
        <v>0</v>
      </c>
      <c r="N315" s="15" t="str">
        <v/>
      </c>
      <c r="O315" s="15" t="str">
        <v/>
      </c>
      <c r="P315" s="22">
        <v>0</v>
      </c>
      <c r="Q315">
        <v>0</v>
      </c>
    </row>
    <row r="316" spans="1:17">
      <c r="A316" s="19">
        <v>0</v>
      </c>
      <c r="B316" s="19">
        <v>0</v>
      </c>
      <c r="C316" s="19">
        <v>0</v>
      </c>
      <c r="D316" s="19">
        <v>0</v>
      </c>
      <c r="E316" s="19">
        <v>0</v>
      </c>
      <c r="F316" s="19">
        <v>0</v>
      </c>
      <c r="G316" s="19">
        <v>0</v>
      </c>
      <c r="H316" s="19">
        <v>0</v>
      </c>
      <c r="I316" s="15">
        <v>3500</v>
      </c>
      <c r="J316" s="15">
        <v>0</v>
      </c>
      <c r="K316" s="15">
        <v>0</v>
      </c>
      <c r="L316" s="16">
        <v>0</v>
      </c>
      <c r="M316" s="15">
        <v>0</v>
      </c>
      <c r="N316" s="15" t="str">
        <v/>
      </c>
      <c r="O316" s="15" t="str">
        <v/>
      </c>
      <c r="P316" s="22">
        <v>0</v>
      </c>
      <c r="Q316">
        <v>0</v>
      </c>
    </row>
    <row r="317" spans="1:17">
      <c r="A317" s="19">
        <v>0</v>
      </c>
      <c r="B317" s="19">
        <v>0</v>
      </c>
      <c r="C317" s="19">
        <v>0</v>
      </c>
      <c r="D317" s="19">
        <v>0</v>
      </c>
      <c r="E317" s="19">
        <v>0</v>
      </c>
      <c r="F317" s="19">
        <v>0</v>
      </c>
      <c r="G317" s="19">
        <v>0</v>
      </c>
      <c r="H317" s="19">
        <v>0</v>
      </c>
      <c r="I317" s="15">
        <v>3500</v>
      </c>
      <c r="J317" s="15">
        <v>0</v>
      </c>
      <c r="K317" s="15">
        <v>0</v>
      </c>
      <c r="L317" s="16">
        <v>0</v>
      </c>
      <c r="M317" s="15">
        <v>0</v>
      </c>
      <c r="N317" s="15" t="str">
        <v/>
      </c>
      <c r="O317" s="15" t="str">
        <v/>
      </c>
      <c r="P317" s="22">
        <v>0</v>
      </c>
      <c r="Q317">
        <v>0</v>
      </c>
    </row>
    <row r="318" spans="1:17">
      <c r="A318" s="19">
        <v>0</v>
      </c>
      <c r="B318" s="19">
        <v>0</v>
      </c>
      <c r="C318" s="19">
        <v>0</v>
      </c>
      <c r="D318" s="19">
        <v>0</v>
      </c>
      <c r="E318" s="19">
        <v>0</v>
      </c>
      <c r="F318" s="19">
        <v>0</v>
      </c>
      <c r="G318" s="19">
        <v>0</v>
      </c>
      <c r="H318" s="19">
        <v>0</v>
      </c>
      <c r="I318" s="15">
        <v>3500</v>
      </c>
      <c r="J318" s="15">
        <v>0</v>
      </c>
      <c r="K318" s="15">
        <v>0</v>
      </c>
      <c r="L318" s="16">
        <v>0</v>
      </c>
      <c r="M318" s="15">
        <v>0</v>
      </c>
      <c r="N318" s="15" t="str">
        <v/>
      </c>
      <c r="O318" s="15" t="str">
        <v/>
      </c>
      <c r="P318" s="22">
        <v>0</v>
      </c>
      <c r="Q318">
        <v>0</v>
      </c>
    </row>
    <row r="319" spans="1:17">
      <c r="A319" s="19">
        <v>0</v>
      </c>
      <c r="B319" s="19">
        <v>0</v>
      </c>
      <c r="C319" s="19">
        <v>0</v>
      </c>
      <c r="D319" s="19">
        <v>0</v>
      </c>
      <c r="E319" s="19">
        <v>0</v>
      </c>
      <c r="F319" s="19">
        <v>0</v>
      </c>
      <c r="G319" s="19">
        <v>0</v>
      </c>
      <c r="H319" s="19">
        <v>0</v>
      </c>
      <c r="I319" s="15">
        <v>3500</v>
      </c>
      <c r="J319" s="15">
        <v>0</v>
      </c>
      <c r="K319" s="15">
        <v>0</v>
      </c>
      <c r="L319" s="16">
        <v>0</v>
      </c>
      <c r="M319" s="15">
        <v>0</v>
      </c>
      <c r="N319" s="15" t="str">
        <v/>
      </c>
      <c r="O319" s="15" t="str">
        <v/>
      </c>
      <c r="P319" s="22">
        <v>0</v>
      </c>
      <c r="Q319">
        <v>0</v>
      </c>
    </row>
    <row r="320" spans="1:17">
      <c r="A320" s="19">
        <v>0</v>
      </c>
      <c r="B320" s="19">
        <v>0</v>
      </c>
      <c r="C320" s="19">
        <v>0</v>
      </c>
      <c r="D320" s="19">
        <v>0</v>
      </c>
      <c r="E320" s="19">
        <v>0</v>
      </c>
      <c r="F320" s="19">
        <v>0</v>
      </c>
      <c r="G320" s="19">
        <v>0</v>
      </c>
      <c r="H320" s="19">
        <v>0</v>
      </c>
      <c r="I320" s="15">
        <v>3500</v>
      </c>
      <c r="J320" s="15">
        <v>0</v>
      </c>
      <c r="K320" s="15">
        <v>0</v>
      </c>
      <c r="L320" s="16">
        <v>0</v>
      </c>
      <c r="M320" s="15">
        <v>0</v>
      </c>
      <c r="N320" s="15" t="str">
        <v/>
      </c>
      <c r="O320" s="15" t="str">
        <v/>
      </c>
      <c r="P320" s="22">
        <v>0</v>
      </c>
      <c r="Q320">
        <v>0</v>
      </c>
    </row>
    <row r="321" spans="1:17">
      <c r="A321" s="19">
        <v>0</v>
      </c>
      <c r="B321" s="19">
        <v>0</v>
      </c>
      <c r="C321" s="19">
        <v>0</v>
      </c>
      <c r="D321" s="19">
        <v>0</v>
      </c>
      <c r="E321" s="19">
        <v>0</v>
      </c>
      <c r="F321" s="19">
        <v>0</v>
      </c>
      <c r="G321" s="19">
        <v>0</v>
      </c>
      <c r="H321" s="19">
        <v>0</v>
      </c>
      <c r="I321" s="15">
        <v>3500</v>
      </c>
      <c r="J321" s="15">
        <v>0</v>
      </c>
      <c r="K321" s="15">
        <v>0</v>
      </c>
      <c r="L321" s="16">
        <v>0</v>
      </c>
      <c r="M321" s="15">
        <v>0</v>
      </c>
      <c r="N321" s="15" t="str">
        <v/>
      </c>
      <c r="O321" s="15" t="str">
        <v/>
      </c>
      <c r="P321" s="22">
        <v>0</v>
      </c>
      <c r="Q321">
        <v>0</v>
      </c>
    </row>
    <row r="322" spans="1:17">
      <c r="A322" s="19">
        <v>0</v>
      </c>
      <c r="B322" s="19">
        <v>0</v>
      </c>
      <c r="C322" s="19">
        <v>0</v>
      </c>
      <c r="D322" s="19">
        <v>0</v>
      </c>
      <c r="E322" s="19">
        <v>0</v>
      </c>
      <c r="F322" s="19">
        <v>0</v>
      </c>
      <c r="G322" s="19">
        <v>0</v>
      </c>
      <c r="H322" s="19">
        <v>0</v>
      </c>
      <c r="I322" s="15">
        <v>3500</v>
      </c>
      <c r="J322" s="15">
        <v>0</v>
      </c>
      <c r="K322" s="15">
        <v>0</v>
      </c>
      <c r="L322" s="16">
        <v>0</v>
      </c>
      <c r="M322" s="15">
        <v>0</v>
      </c>
      <c r="N322" s="15" t="str">
        <v/>
      </c>
      <c r="O322" s="15" t="str">
        <v/>
      </c>
      <c r="P322" s="22">
        <v>0</v>
      </c>
      <c r="Q322">
        <v>0</v>
      </c>
    </row>
    <row r="323" spans="1:17">
      <c r="A323" s="19">
        <v>0</v>
      </c>
      <c r="B323" s="19">
        <v>0</v>
      </c>
      <c r="C323" s="19">
        <v>0</v>
      </c>
      <c r="D323" s="19">
        <v>0</v>
      </c>
      <c r="E323" s="19">
        <v>0</v>
      </c>
      <c r="F323" s="19">
        <v>0</v>
      </c>
      <c r="G323" s="19">
        <v>0</v>
      </c>
      <c r="H323" s="19">
        <v>0</v>
      </c>
      <c r="I323" s="15">
        <v>3500</v>
      </c>
      <c r="J323" s="15">
        <v>0</v>
      </c>
      <c r="K323" s="15">
        <v>0</v>
      </c>
      <c r="L323" s="16">
        <v>0</v>
      </c>
      <c r="M323" s="15">
        <v>0</v>
      </c>
      <c r="N323" s="15" t="str">
        <v/>
      </c>
      <c r="O323" s="15" t="str">
        <v/>
      </c>
      <c r="P323" s="22">
        <v>0</v>
      </c>
      <c r="Q323">
        <v>0</v>
      </c>
    </row>
    <row r="324" spans="1:17">
      <c r="A324" s="19">
        <v>0</v>
      </c>
      <c r="B324" s="19">
        <v>0</v>
      </c>
      <c r="C324" s="19">
        <v>0</v>
      </c>
      <c r="D324" s="19">
        <v>0</v>
      </c>
      <c r="E324" s="19">
        <v>0</v>
      </c>
      <c r="F324" s="19">
        <v>0</v>
      </c>
      <c r="G324" s="19">
        <v>0</v>
      </c>
      <c r="H324" s="19">
        <v>0</v>
      </c>
      <c r="I324" s="15">
        <v>3500</v>
      </c>
      <c r="J324" s="15">
        <v>0</v>
      </c>
      <c r="K324" s="15">
        <v>0</v>
      </c>
      <c r="L324" s="16">
        <v>0</v>
      </c>
      <c r="M324" s="15">
        <v>0</v>
      </c>
      <c r="N324" s="15" t="str">
        <v/>
      </c>
      <c r="O324" s="15" t="str">
        <v/>
      </c>
      <c r="P324" s="22">
        <v>0</v>
      </c>
      <c r="Q324">
        <v>0</v>
      </c>
    </row>
    <row r="325" spans="1:17">
      <c r="A325" s="19">
        <v>0</v>
      </c>
      <c r="B325" s="19">
        <v>0</v>
      </c>
      <c r="C325" s="19">
        <v>0</v>
      </c>
      <c r="D325" s="19">
        <v>0</v>
      </c>
      <c r="E325" s="19">
        <v>0</v>
      </c>
      <c r="F325" s="19">
        <v>0</v>
      </c>
      <c r="G325" s="19">
        <v>0</v>
      </c>
      <c r="H325" s="19">
        <v>0</v>
      </c>
      <c r="I325" s="15">
        <v>3500</v>
      </c>
      <c r="J325" s="15">
        <v>0</v>
      </c>
      <c r="K325" s="15">
        <v>0</v>
      </c>
      <c r="L325" s="16">
        <v>0</v>
      </c>
      <c r="M325" s="15">
        <v>0</v>
      </c>
      <c r="N325" s="15" t="str">
        <v/>
      </c>
      <c r="O325" s="15" t="str">
        <v/>
      </c>
      <c r="P325" s="22">
        <v>0</v>
      </c>
      <c r="Q325">
        <v>0</v>
      </c>
    </row>
    <row r="326" spans="1:17">
      <c r="A326" s="19">
        <v>0</v>
      </c>
      <c r="B326" s="19">
        <v>0</v>
      </c>
      <c r="C326" s="19">
        <v>0</v>
      </c>
      <c r="D326" s="19">
        <v>0</v>
      </c>
      <c r="E326" s="19">
        <v>0</v>
      </c>
      <c r="F326" s="19">
        <v>0</v>
      </c>
      <c r="G326" s="19">
        <v>0</v>
      </c>
      <c r="H326" s="19">
        <v>0</v>
      </c>
      <c r="I326" s="15">
        <v>3500</v>
      </c>
      <c r="J326" s="15">
        <v>0</v>
      </c>
      <c r="K326" s="15">
        <v>0</v>
      </c>
      <c r="L326" s="16">
        <v>0</v>
      </c>
      <c r="M326" s="15">
        <v>0</v>
      </c>
      <c r="N326" s="15" t="str">
        <v/>
      </c>
      <c r="O326" s="15" t="str">
        <v/>
      </c>
      <c r="P326" s="22">
        <v>0</v>
      </c>
      <c r="Q326">
        <v>0</v>
      </c>
    </row>
    <row r="327" spans="1:17">
      <c r="A327" s="19">
        <v>0</v>
      </c>
      <c r="B327" s="19">
        <v>0</v>
      </c>
      <c r="C327" s="19">
        <v>0</v>
      </c>
      <c r="D327" s="19">
        <v>0</v>
      </c>
      <c r="E327" s="19">
        <v>0</v>
      </c>
      <c r="F327" s="19">
        <v>0</v>
      </c>
      <c r="G327" s="19">
        <v>0</v>
      </c>
      <c r="H327" s="19">
        <v>0</v>
      </c>
      <c r="I327" s="15">
        <v>3500</v>
      </c>
      <c r="J327" s="15">
        <v>0</v>
      </c>
      <c r="K327" s="15">
        <v>0</v>
      </c>
      <c r="L327" s="16">
        <v>0</v>
      </c>
      <c r="M327" s="15">
        <v>0</v>
      </c>
      <c r="N327" s="15" t="str">
        <v/>
      </c>
      <c r="O327" s="15" t="str">
        <v/>
      </c>
      <c r="P327" s="22">
        <v>0</v>
      </c>
      <c r="Q327">
        <v>0</v>
      </c>
    </row>
    <row r="328" spans="1:17">
      <c r="A328" s="19">
        <v>0</v>
      </c>
      <c r="B328" s="19">
        <v>0</v>
      </c>
      <c r="C328" s="19">
        <v>0</v>
      </c>
      <c r="D328" s="19">
        <v>0</v>
      </c>
      <c r="E328" s="19">
        <v>0</v>
      </c>
      <c r="F328" s="19">
        <v>0</v>
      </c>
      <c r="G328" s="19">
        <v>0</v>
      </c>
      <c r="H328" s="19">
        <v>0</v>
      </c>
      <c r="I328" s="15">
        <v>3500</v>
      </c>
      <c r="J328" s="15">
        <v>0</v>
      </c>
      <c r="K328" s="15">
        <v>0</v>
      </c>
      <c r="L328" s="16">
        <v>0</v>
      </c>
      <c r="M328" s="15">
        <v>0</v>
      </c>
      <c r="N328" s="15" t="str">
        <v/>
      </c>
      <c r="O328" s="15" t="str">
        <v/>
      </c>
      <c r="P328" s="22">
        <v>0</v>
      </c>
      <c r="Q328">
        <v>0</v>
      </c>
    </row>
    <row r="329" spans="1:17">
      <c r="A329" s="19">
        <v>0</v>
      </c>
      <c r="B329" s="19">
        <v>0</v>
      </c>
      <c r="C329" s="19">
        <v>0</v>
      </c>
      <c r="D329" s="19">
        <v>0</v>
      </c>
      <c r="E329" s="19">
        <v>0</v>
      </c>
      <c r="F329" s="19">
        <v>0</v>
      </c>
      <c r="G329" s="19">
        <v>0</v>
      </c>
      <c r="H329" s="19">
        <v>0</v>
      </c>
      <c r="I329" s="15">
        <v>3500</v>
      </c>
      <c r="J329" s="15">
        <v>0</v>
      </c>
      <c r="K329" s="15">
        <v>0</v>
      </c>
      <c r="L329" s="16">
        <v>0</v>
      </c>
      <c r="M329" s="15">
        <v>0</v>
      </c>
      <c r="N329" s="15" t="str">
        <v/>
      </c>
      <c r="O329" s="15" t="str">
        <v/>
      </c>
      <c r="P329" s="22">
        <v>0</v>
      </c>
      <c r="Q329">
        <v>0</v>
      </c>
    </row>
    <row r="330" spans="1:17">
      <c r="A330" s="19">
        <v>0</v>
      </c>
      <c r="B330" s="19">
        <v>0</v>
      </c>
      <c r="C330" s="19">
        <v>0</v>
      </c>
      <c r="D330" s="19">
        <v>0</v>
      </c>
      <c r="E330" s="19">
        <v>0</v>
      </c>
      <c r="F330" s="19">
        <v>0</v>
      </c>
      <c r="G330" s="19">
        <v>0</v>
      </c>
      <c r="H330" s="19">
        <v>0</v>
      </c>
      <c r="I330" s="15">
        <v>3500</v>
      </c>
      <c r="J330" s="15">
        <v>0</v>
      </c>
      <c r="K330" s="15">
        <v>0</v>
      </c>
      <c r="L330" s="16">
        <v>0</v>
      </c>
      <c r="M330" s="15">
        <v>0</v>
      </c>
      <c r="N330" s="15" t="str">
        <v/>
      </c>
      <c r="O330" s="15" t="str">
        <v/>
      </c>
      <c r="P330" s="22">
        <v>0</v>
      </c>
      <c r="Q330">
        <v>0</v>
      </c>
    </row>
    <row r="331" spans="1:17">
      <c r="A331" s="19">
        <v>0</v>
      </c>
      <c r="B331" s="19">
        <v>0</v>
      </c>
      <c r="C331" s="19">
        <v>0</v>
      </c>
      <c r="D331" s="19">
        <v>0</v>
      </c>
      <c r="E331" s="19">
        <v>0</v>
      </c>
      <c r="F331" s="19">
        <v>0</v>
      </c>
      <c r="G331" s="19">
        <v>0</v>
      </c>
      <c r="H331" s="19">
        <v>0</v>
      </c>
      <c r="I331" s="15">
        <v>3500</v>
      </c>
      <c r="J331" s="15">
        <v>0</v>
      </c>
      <c r="K331" s="15">
        <v>0</v>
      </c>
      <c r="L331" s="16">
        <v>0</v>
      </c>
      <c r="M331" s="15">
        <v>0</v>
      </c>
      <c r="N331" s="15" t="str">
        <v/>
      </c>
      <c r="O331" s="15" t="str">
        <v/>
      </c>
      <c r="P331" s="22">
        <v>0</v>
      </c>
      <c r="Q331">
        <v>0</v>
      </c>
    </row>
    <row r="332" spans="1:17">
      <c r="A332" s="19">
        <v>0</v>
      </c>
      <c r="B332" s="19">
        <v>0</v>
      </c>
      <c r="C332" s="19">
        <v>0</v>
      </c>
      <c r="D332" s="19">
        <v>0</v>
      </c>
      <c r="E332" s="19">
        <v>0</v>
      </c>
      <c r="F332" s="19">
        <v>0</v>
      </c>
      <c r="G332" s="19">
        <v>0</v>
      </c>
      <c r="H332" s="19">
        <v>0</v>
      </c>
      <c r="I332" s="15">
        <v>3500</v>
      </c>
      <c r="J332" s="15">
        <v>0</v>
      </c>
      <c r="K332" s="15">
        <v>0</v>
      </c>
      <c r="L332" s="16">
        <v>0</v>
      </c>
      <c r="M332" s="15">
        <v>0</v>
      </c>
      <c r="N332" s="15" t="str">
        <v/>
      </c>
      <c r="O332" s="15" t="str">
        <v/>
      </c>
      <c r="P332" s="22">
        <v>0</v>
      </c>
      <c r="Q332">
        <v>0</v>
      </c>
    </row>
    <row r="333" spans="1:17">
      <c r="A333" s="19">
        <v>0</v>
      </c>
      <c r="B333" s="19">
        <v>0</v>
      </c>
      <c r="C333" s="19">
        <v>0</v>
      </c>
      <c r="D333" s="19">
        <v>0</v>
      </c>
      <c r="E333" s="19">
        <v>0</v>
      </c>
      <c r="F333" s="19">
        <v>0</v>
      </c>
      <c r="G333" s="19">
        <v>0</v>
      </c>
      <c r="H333" s="19">
        <v>0</v>
      </c>
      <c r="I333" s="15">
        <v>3500</v>
      </c>
      <c r="J333" s="15">
        <v>0</v>
      </c>
      <c r="K333" s="15">
        <v>0</v>
      </c>
      <c r="L333" s="16">
        <v>0</v>
      </c>
      <c r="M333" s="15">
        <v>0</v>
      </c>
      <c r="N333" s="15" t="str">
        <v/>
      </c>
      <c r="O333" s="15" t="str">
        <v/>
      </c>
      <c r="P333" s="22">
        <v>0</v>
      </c>
      <c r="Q333">
        <v>0</v>
      </c>
    </row>
    <row r="334" spans="1:17">
      <c r="A334" s="19">
        <v>0</v>
      </c>
      <c r="B334" s="19">
        <v>0</v>
      </c>
      <c r="C334" s="19">
        <v>0</v>
      </c>
      <c r="D334" s="19">
        <v>0</v>
      </c>
      <c r="E334" s="19">
        <v>0</v>
      </c>
      <c r="F334" s="19">
        <v>0</v>
      </c>
      <c r="G334" s="19">
        <v>0</v>
      </c>
      <c r="H334" s="19">
        <v>0</v>
      </c>
      <c r="I334" s="15">
        <v>3500</v>
      </c>
      <c r="J334" s="15">
        <v>0</v>
      </c>
      <c r="K334" s="15">
        <v>0</v>
      </c>
      <c r="L334" s="16">
        <v>0</v>
      </c>
      <c r="M334" s="15">
        <v>0</v>
      </c>
      <c r="N334" s="15" t="str">
        <v/>
      </c>
      <c r="O334" s="15" t="str">
        <v/>
      </c>
      <c r="P334" s="22">
        <v>0</v>
      </c>
      <c r="Q334">
        <v>0</v>
      </c>
    </row>
    <row r="335" spans="1:17">
      <c r="A335" s="19">
        <v>0</v>
      </c>
      <c r="B335" s="19">
        <v>0</v>
      </c>
      <c r="C335" s="19">
        <v>0</v>
      </c>
      <c r="D335" s="19">
        <v>0</v>
      </c>
      <c r="E335" s="19">
        <v>0</v>
      </c>
      <c r="F335" s="19">
        <v>0</v>
      </c>
      <c r="G335" s="19">
        <v>0</v>
      </c>
      <c r="H335" s="19">
        <v>0</v>
      </c>
      <c r="I335" s="15">
        <v>3500</v>
      </c>
      <c r="J335" s="15">
        <v>0</v>
      </c>
      <c r="K335" s="15">
        <v>0</v>
      </c>
      <c r="L335" s="16">
        <v>0</v>
      </c>
      <c r="M335" s="15">
        <v>0</v>
      </c>
      <c r="N335" s="15" t="str">
        <v/>
      </c>
      <c r="O335" s="15" t="str">
        <v/>
      </c>
      <c r="P335" s="22">
        <v>0</v>
      </c>
      <c r="Q335">
        <v>0</v>
      </c>
    </row>
    <row r="336" spans="1:17">
      <c r="A336" s="19">
        <v>0</v>
      </c>
      <c r="B336" s="19">
        <v>0</v>
      </c>
      <c r="C336" s="19">
        <v>0</v>
      </c>
      <c r="D336" s="19">
        <v>0</v>
      </c>
      <c r="E336" s="19">
        <v>0</v>
      </c>
      <c r="F336" s="19">
        <v>0</v>
      </c>
      <c r="G336" s="19">
        <v>0</v>
      </c>
      <c r="H336" s="19">
        <v>0</v>
      </c>
      <c r="I336" s="15">
        <v>3500</v>
      </c>
      <c r="J336" s="15">
        <v>0</v>
      </c>
      <c r="K336" s="15">
        <v>0</v>
      </c>
      <c r="L336" s="16">
        <v>0</v>
      </c>
      <c r="M336" s="15">
        <v>0</v>
      </c>
      <c r="N336" s="15" t="str">
        <v/>
      </c>
      <c r="O336" s="15" t="str">
        <v/>
      </c>
      <c r="P336" s="22">
        <v>0</v>
      </c>
      <c r="Q336">
        <v>0</v>
      </c>
    </row>
    <row r="337" spans="1:17">
      <c r="A337" s="19">
        <v>0</v>
      </c>
      <c r="B337" s="19">
        <v>0</v>
      </c>
      <c r="C337" s="19">
        <v>0</v>
      </c>
      <c r="D337" s="19">
        <v>0</v>
      </c>
      <c r="E337" s="19">
        <v>0</v>
      </c>
      <c r="F337" s="19">
        <v>0</v>
      </c>
      <c r="G337" s="19">
        <v>0</v>
      </c>
      <c r="H337" s="19">
        <v>0</v>
      </c>
      <c r="I337" s="15">
        <v>3500</v>
      </c>
      <c r="J337" s="15">
        <v>0</v>
      </c>
      <c r="K337" s="15">
        <v>0</v>
      </c>
      <c r="L337" s="16">
        <v>0</v>
      </c>
      <c r="M337" s="15">
        <v>0</v>
      </c>
      <c r="N337" s="15" t="str">
        <v/>
      </c>
      <c r="O337" s="15" t="str">
        <v/>
      </c>
      <c r="P337" s="22">
        <v>0</v>
      </c>
      <c r="Q337">
        <v>0</v>
      </c>
    </row>
    <row r="338" spans="1:17">
      <c r="A338" s="19">
        <v>0</v>
      </c>
      <c r="B338" s="19">
        <v>0</v>
      </c>
      <c r="C338" s="19">
        <v>0</v>
      </c>
      <c r="D338" s="19">
        <v>0</v>
      </c>
      <c r="E338" s="19">
        <v>0</v>
      </c>
      <c r="F338" s="19">
        <v>0</v>
      </c>
      <c r="G338" s="19">
        <v>0</v>
      </c>
      <c r="H338" s="19">
        <v>0</v>
      </c>
      <c r="I338" s="15">
        <v>3500</v>
      </c>
      <c r="J338" s="15">
        <v>0</v>
      </c>
      <c r="K338" s="15">
        <v>0</v>
      </c>
      <c r="L338" s="16">
        <v>0</v>
      </c>
      <c r="M338" s="15">
        <v>0</v>
      </c>
      <c r="N338" s="15" t="str">
        <v/>
      </c>
      <c r="O338" s="15" t="str">
        <v/>
      </c>
      <c r="P338" s="22">
        <v>0</v>
      </c>
      <c r="Q338">
        <v>0</v>
      </c>
    </row>
    <row r="339" spans="1:17">
      <c r="A339" s="19">
        <v>0</v>
      </c>
      <c r="B339" s="19">
        <v>0</v>
      </c>
      <c r="C339" s="19">
        <v>0</v>
      </c>
      <c r="D339" s="19">
        <v>0</v>
      </c>
      <c r="E339" s="19">
        <v>0</v>
      </c>
      <c r="F339" s="19">
        <v>0</v>
      </c>
      <c r="G339" s="19">
        <v>0</v>
      </c>
      <c r="H339" s="19">
        <v>0</v>
      </c>
      <c r="I339" s="15">
        <v>3500</v>
      </c>
      <c r="J339" s="15">
        <v>0</v>
      </c>
      <c r="K339" s="15">
        <v>0</v>
      </c>
      <c r="L339" s="16">
        <v>0</v>
      </c>
      <c r="M339" s="15">
        <v>0</v>
      </c>
      <c r="N339" s="15" t="str">
        <v/>
      </c>
      <c r="O339" s="15" t="str">
        <v/>
      </c>
      <c r="P339" s="22">
        <v>0</v>
      </c>
      <c r="Q339">
        <v>0</v>
      </c>
    </row>
    <row r="340" spans="1:17">
      <c r="A340" s="19">
        <v>0</v>
      </c>
      <c r="B340" s="19">
        <v>0</v>
      </c>
      <c r="C340" s="19">
        <v>0</v>
      </c>
      <c r="D340" s="19">
        <v>0</v>
      </c>
      <c r="E340" s="19">
        <v>0</v>
      </c>
      <c r="F340" s="19">
        <v>0</v>
      </c>
      <c r="G340" s="19">
        <v>0</v>
      </c>
      <c r="H340" s="19">
        <v>0</v>
      </c>
      <c r="I340" s="15">
        <v>3500</v>
      </c>
      <c r="J340" s="15">
        <v>0</v>
      </c>
      <c r="K340" s="15">
        <v>0</v>
      </c>
      <c r="L340" s="16">
        <v>0</v>
      </c>
      <c r="M340" s="15">
        <v>0</v>
      </c>
      <c r="N340" s="15" t="str">
        <v/>
      </c>
      <c r="O340" s="15" t="str">
        <v/>
      </c>
      <c r="P340" s="22">
        <v>0</v>
      </c>
      <c r="Q340">
        <v>0</v>
      </c>
    </row>
    <row r="341" spans="1:17">
      <c r="A341" s="19">
        <v>0</v>
      </c>
      <c r="B341" s="19">
        <v>0</v>
      </c>
      <c r="C341" s="19">
        <v>0</v>
      </c>
      <c r="D341" s="19">
        <v>0</v>
      </c>
      <c r="E341" s="19">
        <v>0</v>
      </c>
      <c r="F341" s="19">
        <v>0</v>
      </c>
      <c r="G341" s="19">
        <v>0</v>
      </c>
      <c r="H341" s="19">
        <v>0</v>
      </c>
      <c r="I341" s="15">
        <v>3500</v>
      </c>
      <c r="J341" s="15">
        <v>0</v>
      </c>
      <c r="K341" s="15">
        <v>0</v>
      </c>
      <c r="L341" s="16">
        <v>0</v>
      </c>
      <c r="M341" s="15">
        <v>0</v>
      </c>
      <c r="N341" s="15" t="str">
        <v/>
      </c>
      <c r="O341" s="15" t="str">
        <v/>
      </c>
      <c r="P341" s="22">
        <v>0</v>
      </c>
      <c r="Q341">
        <v>0</v>
      </c>
    </row>
    <row r="342" spans="1:17">
      <c r="A342" s="19">
        <v>0</v>
      </c>
      <c r="B342" s="19">
        <v>0</v>
      </c>
      <c r="C342" s="19">
        <v>0</v>
      </c>
      <c r="D342" s="19">
        <v>0</v>
      </c>
      <c r="E342" s="19">
        <v>0</v>
      </c>
      <c r="F342" s="19">
        <v>0</v>
      </c>
      <c r="G342" s="19">
        <v>0</v>
      </c>
      <c r="H342" s="19">
        <v>0</v>
      </c>
      <c r="I342" s="15">
        <v>3500</v>
      </c>
      <c r="J342" s="15">
        <v>0</v>
      </c>
      <c r="K342" s="15">
        <v>0</v>
      </c>
      <c r="L342" s="16">
        <v>0</v>
      </c>
      <c r="M342" s="15">
        <v>0</v>
      </c>
      <c r="N342" s="15" t="str">
        <v/>
      </c>
      <c r="O342" s="15" t="str">
        <v/>
      </c>
      <c r="P342" s="22">
        <v>0</v>
      </c>
      <c r="Q342">
        <v>0</v>
      </c>
    </row>
    <row r="343" spans="1:17">
      <c r="A343" s="19">
        <v>0</v>
      </c>
      <c r="B343" s="19">
        <v>0</v>
      </c>
      <c r="C343" s="19">
        <v>0</v>
      </c>
      <c r="D343" s="19">
        <v>0</v>
      </c>
      <c r="E343" s="19">
        <v>0</v>
      </c>
      <c r="F343" s="19">
        <v>0</v>
      </c>
      <c r="G343" s="19">
        <v>0</v>
      </c>
      <c r="H343" s="19">
        <v>0</v>
      </c>
      <c r="I343" s="15">
        <v>3500</v>
      </c>
      <c r="J343" s="15">
        <v>0</v>
      </c>
      <c r="K343" s="15">
        <v>0</v>
      </c>
      <c r="L343" s="16">
        <v>0</v>
      </c>
      <c r="M343" s="15">
        <v>0</v>
      </c>
      <c r="N343" s="15" t="str">
        <v/>
      </c>
      <c r="O343" s="15" t="str">
        <v/>
      </c>
      <c r="P343" s="22">
        <v>0</v>
      </c>
      <c r="Q343">
        <v>0</v>
      </c>
    </row>
    <row r="344" spans="1:17">
      <c r="A344" s="19">
        <v>0</v>
      </c>
      <c r="B344" s="19">
        <v>0</v>
      </c>
      <c r="C344" s="19">
        <v>0</v>
      </c>
      <c r="D344" s="19">
        <v>0</v>
      </c>
      <c r="E344" s="19">
        <v>0</v>
      </c>
      <c r="F344" s="19">
        <v>0</v>
      </c>
      <c r="G344" s="19">
        <v>0</v>
      </c>
      <c r="H344" s="19">
        <v>0</v>
      </c>
      <c r="I344" s="15">
        <v>3500</v>
      </c>
      <c r="J344" s="15">
        <v>0</v>
      </c>
      <c r="K344" s="15">
        <v>0</v>
      </c>
      <c r="L344" s="16">
        <v>0</v>
      </c>
      <c r="M344" s="15">
        <v>0</v>
      </c>
      <c r="N344" s="15" t="str">
        <v/>
      </c>
      <c r="O344" s="15" t="str">
        <v/>
      </c>
      <c r="P344" s="22">
        <v>0</v>
      </c>
      <c r="Q344">
        <v>0</v>
      </c>
    </row>
    <row r="345" spans="1:17">
      <c r="A345" s="19">
        <v>0</v>
      </c>
      <c r="B345" s="19">
        <v>0</v>
      </c>
      <c r="C345" s="19">
        <v>0</v>
      </c>
      <c r="D345" s="19">
        <v>0</v>
      </c>
      <c r="E345" s="19">
        <v>0</v>
      </c>
      <c r="F345" s="19">
        <v>0</v>
      </c>
      <c r="G345" s="19">
        <v>0</v>
      </c>
      <c r="H345" s="19">
        <v>0</v>
      </c>
      <c r="I345" s="15">
        <v>3500</v>
      </c>
      <c r="J345" s="15">
        <v>0</v>
      </c>
      <c r="K345" s="15">
        <v>0</v>
      </c>
      <c r="L345" s="16">
        <v>0</v>
      </c>
      <c r="M345" s="15">
        <v>0</v>
      </c>
      <c r="N345" s="15" t="str">
        <v/>
      </c>
      <c r="O345" s="15" t="str">
        <v/>
      </c>
      <c r="P345" s="22">
        <v>0</v>
      </c>
      <c r="Q345">
        <v>0</v>
      </c>
    </row>
    <row r="346" spans="1:17">
      <c r="A346" s="19">
        <v>0</v>
      </c>
      <c r="B346" s="19">
        <v>0</v>
      </c>
      <c r="C346" s="19">
        <v>0</v>
      </c>
      <c r="D346" s="19">
        <v>0</v>
      </c>
      <c r="E346" s="19">
        <v>0</v>
      </c>
      <c r="F346" s="19">
        <v>0</v>
      </c>
      <c r="G346" s="19">
        <v>0</v>
      </c>
      <c r="H346" s="19">
        <v>0</v>
      </c>
      <c r="I346" s="15">
        <v>3500</v>
      </c>
      <c r="J346" s="15">
        <v>0</v>
      </c>
      <c r="K346" s="15">
        <v>0</v>
      </c>
      <c r="L346" s="16">
        <v>0</v>
      </c>
      <c r="M346" s="15">
        <v>0</v>
      </c>
      <c r="N346" s="15" t="str">
        <v/>
      </c>
      <c r="O346" s="15" t="str">
        <v/>
      </c>
      <c r="P346" s="22">
        <v>0</v>
      </c>
      <c r="Q346">
        <v>0</v>
      </c>
    </row>
    <row r="347" spans="1:17">
      <c r="A347" s="19">
        <v>0</v>
      </c>
      <c r="B347" s="19">
        <v>0</v>
      </c>
      <c r="C347" s="19">
        <v>0</v>
      </c>
      <c r="D347" s="19">
        <v>0</v>
      </c>
      <c r="E347" s="19">
        <v>0</v>
      </c>
      <c r="F347" s="19">
        <v>0</v>
      </c>
      <c r="G347" s="19">
        <v>0</v>
      </c>
      <c r="H347" s="19">
        <v>0</v>
      </c>
      <c r="I347" s="15">
        <v>3500</v>
      </c>
      <c r="J347" s="15">
        <v>0</v>
      </c>
      <c r="K347" s="15">
        <v>0</v>
      </c>
      <c r="L347" s="16">
        <v>0</v>
      </c>
      <c r="M347" s="15">
        <v>0</v>
      </c>
      <c r="N347" s="15" t="str">
        <v/>
      </c>
      <c r="O347" s="15" t="str">
        <v/>
      </c>
      <c r="P347" s="22">
        <v>0</v>
      </c>
      <c r="Q347">
        <v>0</v>
      </c>
    </row>
    <row r="348" spans="1:17">
      <c r="A348" s="19">
        <v>0</v>
      </c>
      <c r="B348" s="19">
        <v>0</v>
      </c>
      <c r="C348" s="19">
        <v>0</v>
      </c>
      <c r="D348" s="19">
        <v>0</v>
      </c>
      <c r="E348" s="19">
        <v>0</v>
      </c>
      <c r="F348" s="19">
        <v>0</v>
      </c>
      <c r="G348" s="19">
        <v>0</v>
      </c>
      <c r="H348" s="19">
        <v>0</v>
      </c>
      <c r="I348" s="15">
        <v>3500</v>
      </c>
      <c r="J348" s="15">
        <v>0</v>
      </c>
      <c r="K348" s="15">
        <v>0</v>
      </c>
      <c r="L348" s="16">
        <v>0</v>
      </c>
      <c r="M348" s="15">
        <v>0</v>
      </c>
      <c r="N348" s="15" t="str">
        <v/>
      </c>
      <c r="O348" s="15" t="str">
        <v/>
      </c>
      <c r="P348" s="22">
        <v>0</v>
      </c>
      <c r="Q348">
        <v>0</v>
      </c>
    </row>
    <row r="349" spans="1:17">
      <c r="A349" s="19">
        <v>0</v>
      </c>
      <c r="B349" s="19">
        <v>0</v>
      </c>
      <c r="C349" s="19">
        <v>0</v>
      </c>
      <c r="D349" s="19">
        <v>0</v>
      </c>
      <c r="E349" s="19">
        <v>0</v>
      </c>
      <c r="F349" s="19">
        <v>0</v>
      </c>
      <c r="G349" s="19">
        <v>0</v>
      </c>
      <c r="H349" s="19">
        <v>0</v>
      </c>
      <c r="I349" s="15">
        <v>3500</v>
      </c>
      <c r="J349" s="15">
        <v>0</v>
      </c>
      <c r="K349" s="15">
        <v>0</v>
      </c>
      <c r="L349" s="16">
        <v>0</v>
      </c>
      <c r="M349" s="15">
        <v>0</v>
      </c>
      <c r="N349" s="15" t="str">
        <v/>
      </c>
      <c r="O349" s="15" t="str">
        <v/>
      </c>
      <c r="P349" s="22">
        <v>0</v>
      </c>
      <c r="Q349">
        <v>0</v>
      </c>
    </row>
    <row r="350" spans="1:17">
      <c r="A350" s="19">
        <v>0</v>
      </c>
      <c r="B350" s="19">
        <v>0</v>
      </c>
      <c r="C350" s="19">
        <v>0</v>
      </c>
      <c r="D350" s="19">
        <v>0</v>
      </c>
      <c r="E350" s="19">
        <v>0</v>
      </c>
      <c r="F350" s="19">
        <v>0</v>
      </c>
      <c r="G350" s="19">
        <v>0</v>
      </c>
      <c r="H350" s="19">
        <v>0</v>
      </c>
      <c r="I350" s="15">
        <v>3500</v>
      </c>
      <c r="J350" s="15">
        <v>0</v>
      </c>
      <c r="K350" s="15">
        <v>0</v>
      </c>
      <c r="L350" s="16">
        <v>0</v>
      </c>
      <c r="M350" s="15">
        <v>0</v>
      </c>
      <c r="N350" s="15" t="str">
        <v/>
      </c>
      <c r="O350" s="15" t="str">
        <v/>
      </c>
      <c r="P350" s="22">
        <v>0</v>
      </c>
      <c r="Q350">
        <v>0</v>
      </c>
    </row>
    <row r="351" spans="1:17">
      <c r="A351" s="19">
        <v>0</v>
      </c>
      <c r="B351" s="19">
        <v>0</v>
      </c>
      <c r="C351" s="19">
        <v>0</v>
      </c>
      <c r="D351" s="19">
        <v>0</v>
      </c>
      <c r="E351" s="19">
        <v>0</v>
      </c>
      <c r="F351" s="19">
        <v>0</v>
      </c>
      <c r="G351" s="19">
        <v>0</v>
      </c>
      <c r="H351" s="19">
        <v>0</v>
      </c>
      <c r="I351" s="15">
        <v>3500</v>
      </c>
      <c r="J351" s="15">
        <v>0</v>
      </c>
      <c r="K351" s="15">
        <v>0</v>
      </c>
      <c r="L351" s="16">
        <v>0</v>
      </c>
      <c r="M351" s="15">
        <v>0</v>
      </c>
      <c r="N351" s="15" t="str">
        <v/>
      </c>
      <c r="O351" s="15" t="str">
        <v/>
      </c>
      <c r="P351" s="22">
        <v>0</v>
      </c>
      <c r="Q351">
        <v>0</v>
      </c>
    </row>
    <row r="352" spans="1:17">
      <c r="A352" s="19">
        <v>0</v>
      </c>
      <c r="B352" s="19">
        <v>0</v>
      </c>
      <c r="C352" s="19">
        <v>0</v>
      </c>
      <c r="D352" s="19">
        <v>0</v>
      </c>
      <c r="E352" s="19">
        <v>0</v>
      </c>
      <c r="F352" s="19">
        <v>0</v>
      </c>
      <c r="G352" s="19">
        <v>0</v>
      </c>
      <c r="H352" s="19">
        <v>0</v>
      </c>
      <c r="I352" s="15">
        <v>3500</v>
      </c>
      <c r="J352" s="15">
        <v>0</v>
      </c>
      <c r="K352" s="15">
        <v>0</v>
      </c>
      <c r="L352" s="16">
        <v>0</v>
      </c>
      <c r="M352" s="15">
        <v>0</v>
      </c>
      <c r="N352" s="15" t="str">
        <v/>
      </c>
      <c r="O352" s="15" t="str">
        <v/>
      </c>
      <c r="P352" s="22">
        <v>0</v>
      </c>
      <c r="Q352">
        <v>0</v>
      </c>
    </row>
    <row r="353" spans="1:17">
      <c r="A353" s="19">
        <v>0</v>
      </c>
      <c r="B353" s="19">
        <v>0</v>
      </c>
      <c r="C353" s="19">
        <v>0</v>
      </c>
      <c r="D353" s="19">
        <v>0</v>
      </c>
      <c r="E353" s="19">
        <v>0</v>
      </c>
      <c r="F353" s="19">
        <v>0</v>
      </c>
      <c r="G353" s="19">
        <v>0</v>
      </c>
      <c r="H353" s="19">
        <v>0</v>
      </c>
      <c r="I353" s="15">
        <v>3500</v>
      </c>
      <c r="J353" s="15">
        <v>0</v>
      </c>
      <c r="K353" s="15">
        <v>0</v>
      </c>
      <c r="L353" s="16">
        <v>0</v>
      </c>
      <c r="M353" s="15">
        <v>0</v>
      </c>
      <c r="N353" s="15" t="str">
        <v/>
      </c>
      <c r="O353" s="15" t="str">
        <v/>
      </c>
      <c r="P353" s="22">
        <v>0</v>
      </c>
      <c r="Q353">
        <v>0</v>
      </c>
    </row>
    <row r="354" spans="1:17">
      <c r="A354" s="19">
        <v>0</v>
      </c>
      <c r="B354" s="19">
        <v>0</v>
      </c>
      <c r="C354" s="19">
        <v>0</v>
      </c>
      <c r="D354" s="19">
        <v>0</v>
      </c>
      <c r="E354" s="19">
        <v>0</v>
      </c>
      <c r="F354" s="19">
        <v>0</v>
      </c>
      <c r="G354" s="19">
        <v>0</v>
      </c>
      <c r="H354" s="19">
        <v>0</v>
      </c>
      <c r="I354" s="15">
        <v>3500</v>
      </c>
      <c r="J354" s="15">
        <v>0</v>
      </c>
      <c r="K354" s="15">
        <v>0</v>
      </c>
      <c r="L354" s="16">
        <v>0</v>
      </c>
      <c r="M354" s="15">
        <v>0</v>
      </c>
      <c r="N354" s="15" t="str">
        <v/>
      </c>
      <c r="O354" s="15" t="str">
        <v/>
      </c>
      <c r="P354" s="22">
        <v>0</v>
      </c>
      <c r="Q354">
        <v>0</v>
      </c>
    </row>
    <row r="355" spans="1:17">
      <c r="A355" s="19">
        <v>0</v>
      </c>
      <c r="B355" s="19">
        <v>0</v>
      </c>
      <c r="C355" s="19">
        <v>0</v>
      </c>
      <c r="D355" s="19">
        <v>0</v>
      </c>
      <c r="E355" s="19">
        <v>0</v>
      </c>
      <c r="F355" s="19">
        <v>0</v>
      </c>
      <c r="G355" s="19">
        <v>0</v>
      </c>
      <c r="H355" s="19">
        <v>0</v>
      </c>
      <c r="I355" s="15">
        <v>3500</v>
      </c>
      <c r="J355" s="15">
        <v>0</v>
      </c>
      <c r="K355" s="15">
        <v>0</v>
      </c>
      <c r="L355" s="16">
        <v>0</v>
      </c>
      <c r="M355" s="15">
        <v>0</v>
      </c>
      <c r="N355" s="15" t="str">
        <v/>
      </c>
      <c r="O355" s="15" t="str">
        <v/>
      </c>
      <c r="P355" s="22">
        <v>0</v>
      </c>
      <c r="Q355">
        <v>0</v>
      </c>
    </row>
    <row r="356" spans="1:17">
      <c r="A356" s="19">
        <v>0</v>
      </c>
      <c r="B356" s="19">
        <v>0</v>
      </c>
      <c r="C356" s="19">
        <v>0</v>
      </c>
      <c r="D356" s="19">
        <v>0</v>
      </c>
      <c r="E356" s="19">
        <v>0</v>
      </c>
      <c r="F356" s="19">
        <v>0</v>
      </c>
      <c r="G356" s="19">
        <v>0</v>
      </c>
      <c r="H356" s="19">
        <v>0</v>
      </c>
      <c r="I356" s="15">
        <v>3500</v>
      </c>
      <c r="J356" s="15">
        <v>0</v>
      </c>
      <c r="K356" s="15">
        <v>0</v>
      </c>
      <c r="L356" s="16">
        <v>0</v>
      </c>
      <c r="M356" s="15">
        <v>0</v>
      </c>
      <c r="N356" s="15" t="str">
        <v/>
      </c>
      <c r="O356" s="15" t="str">
        <v/>
      </c>
      <c r="P356" s="22">
        <v>0</v>
      </c>
      <c r="Q356">
        <v>0</v>
      </c>
    </row>
    <row r="357" spans="1:17">
      <c r="A357" s="19">
        <v>0</v>
      </c>
      <c r="B357" s="19">
        <v>0</v>
      </c>
      <c r="C357" s="19">
        <v>0</v>
      </c>
      <c r="D357" s="19">
        <v>0</v>
      </c>
      <c r="E357" s="19">
        <v>0</v>
      </c>
      <c r="F357" s="19">
        <v>0</v>
      </c>
      <c r="G357" s="19">
        <v>0</v>
      </c>
      <c r="H357" s="19">
        <v>0</v>
      </c>
      <c r="I357" s="15">
        <v>3500</v>
      </c>
      <c r="J357" s="15">
        <v>0</v>
      </c>
      <c r="K357" s="15">
        <v>0</v>
      </c>
      <c r="L357" s="16">
        <v>0</v>
      </c>
      <c r="M357" s="15">
        <v>0</v>
      </c>
      <c r="N357" s="15" t="str">
        <v/>
      </c>
      <c r="O357" s="15" t="str">
        <v/>
      </c>
      <c r="P357" s="22">
        <v>0</v>
      </c>
      <c r="Q357">
        <v>0</v>
      </c>
    </row>
    <row r="358" spans="1:17">
      <c r="A358" s="19">
        <v>0</v>
      </c>
      <c r="B358" s="19">
        <v>0</v>
      </c>
      <c r="C358" s="19">
        <v>0</v>
      </c>
      <c r="D358" s="19">
        <v>0</v>
      </c>
      <c r="E358" s="19">
        <v>0</v>
      </c>
      <c r="F358" s="19">
        <v>0</v>
      </c>
      <c r="G358" s="19">
        <v>0</v>
      </c>
      <c r="H358" s="19">
        <v>0</v>
      </c>
      <c r="I358" s="15">
        <v>3500</v>
      </c>
      <c r="J358" s="15">
        <v>0</v>
      </c>
      <c r="K358" s="15">
        <v>0</v>
      </c>
      <c r="L358" s="16">
        <v>0</v>
      </c>
      <c r="M358" s="15">
        <v>0</v>
      </c>
      <c r="N358" s="15" t="str">
        <v/>
      </c>
      <c r="O358" s="15" t="str">
        <v/>
      </c>
      <c r="P358" s="22">
        <v>0</v>
      </c>
      <c r="Q358">
        <v>0</v>
      </c>
    </row>
    <row r="359" spans="1:17">
      <c r="A359" s="19">
        <v>0</v>
      </c>
      <c r="B359" s="19">
        <v>0</v>
      </c>
      <c r="C359" s="19">
        <v>0</v>
      </c>
      <c r="D359" s="19">
        <v>0</v>
      </c>
      <c r="E359" s="19">
        <v>0</v>
      </c>
      <c r="F359" s="19">
        <v>0</v>
      </c>
      <c r="G359" s="19">
        <v>0</v>
      </c>
      <c r="H359" s="19">
        <v>0</v>
      </c>
      <c r="I359" s="15">
        <v>3500</v>
      </c>
      <c r="J359" s="15">
        <v>0</v>
      </c>
      <c r="K359" s="15">
        <v>0</v>
      </c>
      <c r="L359" s="16">
        <v>0</v>
      </c>
      <c r="M359" s="15">
        <v>0</v>
      </c>
      <c r="N359" s="15" t="str">
        <v/>
      </c>
      <c r="O359" s="15" t="str">
        <v/>
      </c>
      <c r="P359" s="22">
        <v>0</v>
      </c>
      <c r="Q359">
        <v>0</v>
      </c>
    </row>
    <row r="360" spans="1:17">
      <c r="A360" s="19">
        <v>0</v>
      </c>
      <c r="B360" s="19">
        <v>0</v>
      </c>
      <c r="C360" s="19">
        <v>0</v>
      </c>
      <c r="D360" s="19">
        <v>0</v>
      </c>
      <c r="E360" s="19">
        <v>0</v>
      </c>
      <c r="F360" s="19">
        <v>0</v>
      </c>
      <c r="G360" s="19">
        <v>0</v>
      </c>
      <c r="H360" s="19">
        <v>0</v>
      </c>
      <c r="I360" s="15">
        <v>3500</v>
      </c>
      <c r="J360" s="15">
        <v>0</v>
      </c>
      <c r="K360" s="15">
        <v>0</v>
      </c>
      <c r="L360" s="16">
        <v>0</v>
      </c>
      <c r="M360" s="15">
        <v>0</v>
      </c>
      <c r="N360" s="15" t="str">
        <v/>
      </c>
      <c r="O360" s="15" t="str">
        <v/>
      </c>
      <c r="P360" s="22">
        <v>0</v>
      </c>
      <c r="Q360">
        <v>0</v>
      </c>
    </row>
    <row r="361" spans="1:17">
      <c r="A361" s="19">
        <v>0</v>
      </c>
      <c r="B361" s="19">
        <v>0</v>
      </c>
      <c r="C361" s="19">
        <v>0</v>
      </c>
      <c r="D361" s="19">
        <v>0</v>
      </c>
      <c r="E361" s="19">
        <v>0</v>
      </c>
      <c r="F361" s="19">
        <v>0</v>
      </c>
      <c r="G361" s="19">
        <v>0</v>
      </c>
      <c r="H361" s="19">
        <v>0</v>
      </c>
      <c r="I361" s="15">
        <v>3500</v>
      </c>
      <c r="J361" s="15">
        <v>0</v>
      </c>
      <c r="K361" s="15">
        <v>0</v>
      </c>
      <c r="L361" s="16">
        <v>0</v>
      </c>
      <c r="M361" s="15">
        <v>0</v>
      </c>
      <c r="N361" s="15" t="str">
        <v/>
      </c>
      <c r="O361" s="15" t="str">
        <v/>
      </c>
      <c r="P361" s="22">
        <v>0</v>
      </c>
      <c r="Q361">
        <v>0</v>
      </c>
    </row>
    <row r="362" spans="1:17">
      <c r="A362" s="19">
        <v>0</v>
      </c>
      <c r="B362" s="19">
        <v>0</v>
      </c>
      <c r="C362" s="19">
        <v>0</v>
      </c>
      <c r="D362" s="19">
        <v>0</v>
      </c>
      <c r="E362" s="19">
        <v>0</v>
      </c>
      <c r="F362" s="19">
        <v>0</v>
      </c>
      <c r="G362" s="19">
        <v>0</v>
      </c>
      <c r="H362" s="19">
        <v>0</v>
      </c>
      <c r="I362" s="15">
        <v>3500</v>
      </c>
      <c r="J362" s="15">
        <v>0</v>
      </c>
      <c r="K362" s="15">
        <v>0</v>
      </c>
      <c r="L362" s="16">
        <v>0</v>
      </c>
      <c r="M362" s="15">
        <v>0</v>
      </c>
      <c r="N362" s="15" t="str">
        <v/>
      </c>
      <c r="O362" s="15" t="str">
        <v/>
      </c>
      <c r="P362" s="22">
        <v>0</v>
      </c>
      <c r="Q362">
        <v>0</v>
      </c>
    </row>
    <row r="363" spans="1:17">
      <c r="A363" s="19">
        <v>0</v>
      </c>
      <c r="B363" s="19">
        <v>0</v>
      </c>
      <c r="C363" s="19">
        <v>0</v>
      </c>
      <c r="D363" s="19">
        <v>0</v>
      </c>
      <c r="E363" s="19">
        <v>0</v>
      </c>
      <c r="F363" s="19">
        <v>0</v>
      </c>
      <c r="G363" s="19">
        <v>0</v>
      </c>
      <c r="H363" s="19">
        <v>0</v>
      </c>
      <c r="I363" s="15">
        <v>3500</v>
      </c>
      <c r="J363" s="15">
        <v>0</v>
      </c>
      <c r="K363" s="15">
        <v>0</v>
      </c>
      <c r="L363" s="16">
        <v>0</v>
      </c>
      <c r="M363" s="15">
        <v>0</v>
      </c>
      <c r="N363" s="15" t="str">
        <v/>
      </c>
      <c r="O363" s="15" t="str">
        <v/>
      </c>
      <c r="P363" s="22">
        <v>0</v>
      </c>
      <c r="Q363">
        <v>0</v>
      </c>
    </row>
    <row r="364" spans="1:17">
      <c r="A364" s="19">
        <v>0</v>
      </c>
      <c r="B364" s="19">
        <v>0</v>
      </c>
      <c r="C364" s="19">
        <v>0</v>
      </c>
      <c r="D364" s="19">
        <v>0</v>
      </c>
      <c r="E364" s="19">
        <v>0</v>
      </c>
      <c r="F364" s="19">
        <v>0</v>
      </c>
      <c r="G364" s="19">
        <v>0</v>
      </c>
      <c r="H364" s="19">
        <v>0</v>
      </c>
      <c r="I364" s="15">
        <v>3500</v>
      </c>
      <c r="J364" s="15">
        <v>0</v>
      </c>
      <c r="K364" s="15">
        <v>0</v>
      </c>
      <c r="L364" s="16">
        <v>0</v>
      </c>
      <c r="M364" s="15">
        <v>0</v>
      </c>
      <c r="N364" s="15" t="str">
        <v/>
      </c>
      <c r="O364" s="15" t="str">
        <v/>
      </c>
      <c r="P364" s="22">
        <v>0</v>
      </c>
      <c r="Q364">
        <v>0</v>
      </c>
    </row>
    <row r="365" spans="1:17">
      <c r="A365" s="19">
        <v>0</v>
      </c>
      <c r="B365" s="19">
        <v>0</v>
      </c>
      <c r="C365" s="19">
        <v>0</v>
      </c>
      <c r="D365" s="19">
        <v>0</v>
      </c>
      <c r="E365" s="19">
        <v>0</v>
      </c>
      <c r="F365" s="19">
        <v>0</v>
      </c>
      <c r="G365" s="19">
        <v>0</v>
      </c>
      <c r="H365" s="19">
        <v>0</v>
      </c>
      <c r="I365" s="15">
        <v>3500</v>
      </c>
      <c r="J365" s="15">
        <v>0</v>
      </c>
      <c r="K365" s="15">
        <v>0</v>
      </c>
      <c r="L365" s="16">
        <v>0</v>
      </c>
      <c r="M365" s="15">
        <v>0</v>
      </c>
      <c r="N365" s="15" t="str">
        <v/>
      </c>
      <c r="O365" s="15" t="str">
        <v/>
      </c>
      <c r="P365" s="22">
        <v>0</v>
      </c>
      <c r="Q365">
        <v>0</v>
      </c>
    </row>
    <row r="366" spans="1:17">
      <c r="A366" s="19">
        <v>0</v>
      </c>
      <c r="B366" s="19">
        <v>0</v>
      </c>
      <c r="C366" s="19">
        <v>0</v>
      </c>
      <c r="D366" s="19">
        <v>0</v>
      </c>
      <c r="E366" s="19">
        <v>0</v>
      </c>
      <c r="F366" s="19">
        <v>0</v>
      </c>
      <c r="G366" s="19">
        <v>0</v>
      </c>
      <c r="H366" s="19">
        <v>0</v>
      </c>
      <c r="I366" s="15">
        <v>3500</v>
      </c>
      <c r="J366" s="15">
        <v>0</v>
      </c>
      <c r="K366" s="15">
        <v>0</v>
      </c>
      <c r="L366" s="16">
        <v>0</v>
      </c>
      <c r="M366" s="15">
        <v>0</v>
      </c>
      <c r="N366" s="15" t="str">
        <v/>
      </c>
      <c r="O366" s="15" t="str">
        <v/>
      </c>
      <c r="P366" s="22">
        <v>0</v>
      </c>
      <c r="Q366">
        <v>0</v>
      </c>
    </row>
    <row r="367" spans="1:17">
      <c r="A367" s="19">
        <v>0</v>
      </c>
      <c r="B367" s="19">
        <v>0</v>
      </c>
      <c r="C367" s="19">
        <v>0</v>
      </c>
      <c r="D367" s="19">
        <v>0</v>
      </c>
      <c r="E367" s="19">
        <v>0</v>
      </c>
      <c r="F367" s="19">
        <v>0</v>
      </c>
      <c r="G367" s="19">
        <v>0</v>
      </c>
      <c r="H367" s="19">
        <v>0</v>
      </c>
      <c r="I367" s="15">
        <v>3500</v>
      </c>
      <c r="J367" s="15">
        <v>0</v>
      </c>
      <c r="K367" s="15">
        <v>0</v>
      </c>
      <c r="L367" s="16">
        <v>0</v>
      </c>
      <c r="M367" s="15">
        <v>0</v>
      </c>
      <c r="N367" s="15" t="str">
        <v/>
      </c>
      <c r="O367" s="15" t="str">
        <v/>
      </c>
      <c r="P367" s="22">
        <v>0</v>
      </c>
      <c r="Q367">
        <v>0</v>
      </c>
    </row>
    <row r="368" spans="1:17">
      <c r="A368" s="19">
        <v>0</v>
      </c>
      <c r="B368" s="19">
        <v>0</v>
      </c>
      <c r="C368" s="19">
        <v>0</v>
      </c>
      <c r="D368" s="19">
        <v>0</v>
      </c>
      <c r="E368" s="19">
        <v>0</v>
      </c>
      <c r="F368" s="19">
        <v>0</v>
      </c>
      <c r="G368" s="19">
        <v>0</v>
      </c>
      <c r="H368" s="19">
        <v>0</v>
      </c>
      <c r="I368" s="15">
        <v>3500</v>
      </c>
      <c r="J368" s="15">
        <v>0</v>
      </c>
      <c r="K368" s="15">
        <v>0</v>
      </c>
      <c r="L368" s="16">
        <v>0</v>
      </c>
      <c r="M368" s="15">
        <v>0</v>
      </c>
      <c r="N368" s="15" t="str">
        <v/>
      </c>
      <c r="O368" s="15" t="str">
        <v/>
      </c>
      <c r="P368" s="22">
        <v>0</v>
      </c>
      <c r="Q368">
        <v>0</v>
      </c>
    </row>
    <row r="369" spans="1:17">
      <c r="A369" s="19">
        <v>0</v>
      </c>
      <c r="B369" s="19">
        <v>0</v>
      </c>
      <c r="C369" s="19">
        <v>0</v>
      </c>
      <c r="D369" s="19">
        <v>0</v>
      </c>
      <c r="E369" s="19">
        <v>0</v>
      </c>
      <c r="F369" s="19">
        <v>0</v>
      </c>
      <c r="G369" s="19">
        <v>0</v>
      </c>
      <c r="H369" s="19">
        <v>0</v>
      </c>
      <c r="I369" s="15">
        <v>3500</v>
      </c>
      <c r="J369" s="15">
        <v>0</v>
      </c>
      <c r="K369" s="15">
        <v>0</v>
      </c>
      <c r="L369" s="16">
        <v>0</v>
      </c>
      <c r="M369" s="15">
        <v>0</v>
      </c>
      <c r="N369" s="15" t="str">
        <v/>
      </c>
      <c r="O369" s="15" t="str">
        <v/>
      </c>
      <c r="P369" s="22">
        <v>0</v>
      </c>
      <c r="Q369">
        <v>0</v>
      </c>
    </row>
    <row r="370" spans="1:17">
      <c r="A370" s="19">
        <v>0</v>
      </c>
      <c r="B370" s="19">
        <v>0</v>
      </c>
      <c r="C370" s="19">
        <v>0</v>
      </c>
      <c r="D370" s="19">
        <v>0</v>
      </c>
      <c r="E370" s="19">
        <v>0</v>
      </c>
      <c r="F370" s="19">
        <v>0</v>
      </c>
      <c r="G370" s="19">
        <v>0</v>
      </c>
      <c r="H370" s="19">
        <v>0</v>
      </c>
      <c r="I370" s="15">
        <v>3500</v>
      </c>
      <c r="J370" s="15">
        <v>0</v>
      </c>
      <c r="K370" s="15">
        <v>0</v>
      </c>
      <c r="L370" s="16">
        <v>0</v>
      </c>
      <c r="M370" s="15">
        <v>0</v>
      </c>
      <c r="N370" s="15" t="str">
        <v/>
      </c>
      <c r="O370" s="15" t="str">
        <v/>
      </c>
      <c r="P370" s="22">
        <v>0</v>
      </c>
      <c r="Q370">
        <v>0</v>
      </c>
    </row>
    <row r="371" spans="1:17">
      <c r="A371" s="19">
        <v>0</v>
      </c>
      <c r="B371" s="19">
        <v>0</v>
      </c>
      <c r="C371" s="19">
        <v>0</v>
      </c>
      <c r="D371" s="19">
        <v>0</v>
      </c>
      <c r="E371" s="19">
        <v>0</v>
      </c>
      <c r="F371" s="19">
        <v>0</v>
      </c>
      <c r="G371" s="19">
        <v>0</v>
      </c>
      <c r="H371" s="19">
        <v>0</v>
      </c>
      <c r="I371" s="15">
        <v>3500</v>
      </c>
      <c r="J371" s="15">
        <v>0</v>
      </c>
      <c r="K371" s="15">
        <v>0</v>
      </c>
      <c r="L371" s="16">
        <v>0</v>
      </c>
      <c r="M371" s="15">
        <v>0</v>
      </c>
      <c r="N371" s="15" t="str">
        <v/>
      </c>
      <c r="O371" s="15" t="str">
        <v/>
      </c>
      <c r="P371" s="22">
        <v>0</v>
      </c>
      <c r="Q371">
        <v>0</v>
      </c>
    </row>
    <row r="372" spans="1:17">
      <c r="A372" s="19">
        <v>0</v>
      </c>
      <c r="B372" s="19">
        <v>0</v>
      </c>
      <c r="C372" s="19">
        <v>0</v>
      </c>
      <c r="D372" s="19">
        <v>0</v>
      </c>
      <c r="E372" s="19">
        <v>0</v>
      </c>
      <c r="F372" s="19">
        <v>0</v>
      </c>
      <c r="G372" s="19">
        <v>0</v>
      </c>
      <c r="H372" s="19">
        <v>0</v>
      </c>
      <c r="I372" s="15">
        <v>3500</v>
      </c>
      <c r="J372" s="15">
        <v>0</v>
      </c>
      <c r="K372" s="15">
        <v>0</v>
      </c>
      <c r="L372" s="16">
        <v>0</v>
      </c>
      <c r="M372" s="15">
        <v>0</v>
      </c>
      <c r="N372" s="15" t="str">
        <v/>
      </c>
      <c r="O372" s="15" t="str">
        <v/>
      </c>
      <c r="P372" s="22">
        <v>0</v>
      </c>
      <c r="Q372">
        <v>0</v>
      </c>
    </row>
    <row r="373" spans="1:17">
      <c r="A373" s="19">
        <v>0</v>
      </c>
      <c r="B373" s="19">
        <v>0</v>
      </c>
      <c r="C373" s="19">
        <v>0</v>
      </c>
      <c r="D373" s="19">
        <v>0</v>
      </c>
      <c r="E373" s="19">
        <v>0</v>
      </c>
      <c r="F373" s="19">
        <v>0</v>
      </c>
      <c r="G373" s="19">
        <v>0</v>
      </c>
      <c r="H373" s="19">
        <v>0</v>
      </c>
      <c r="I373" s="15">
        <v>3500</v>
      </c>
      <c r="J373" s="15">
        <v>0</v>
      </c>
      <c r="K373" s="15">
        <v>0</v>
      </c>
      <c r="L373" s="16">
        <v>0</v>
      </c>
      <c r="M373" s="15">
        <v>0</v>
      </c>
      <c r="N373" s="15" t="str">
        <v/>
      </c>
      <c r="O373" s="15" t="str">
        <v/>
      </c>
      <c r="P373" s="22">
        <v>0</v>
      </c>
      <c r="Q373">
        <v>0</v>
      </c>
    </row>
    <row r="374" spans="1:17">
      <c r="A374" s="19">
        <v>0</v>
      </c>
      <c r="B374" s="19">
        <v>0</v>
      </c>
      <c r="C374" s="19">
        <v>0</v>
      </c>
      <c r="D374" s="19">
        <v>0</v>
      </c>
      <c r="E374" s="19">
        <v>0</v>
      </c>
      <c r="F374" s="19">
        <v>0</v>
      </c>
      <c r="G374" s="19">
        <v>0</v>
      </c>
      <c r="H374" s="19">
        <v>0</v>
      </c>
      <c r="I374" s="15">
        <v>3500</v>
      </c>
      <c r="J374" s="15">
        <v>0</v>
      </c>
      <c r="K374" s="15">
        <v>0</v>
      </c>
      <c r="L374" s="16">
        <v>0</v>
      </c>
      <c r="M374" s="15">
        <v>0</v>
      </c>
      <c r="N374" s="15" t="str">
        <v/>
      </c>
      <c r="O374" s="15" t="str">
        <v/>
      </c>
      <c r="P374" s="22">
        <v>0</v>
      </c>
      <c r="Q374">
        <v>0</v>
      </c>
    </row>
    <row r="375" spans="1:17">
      <c r="A375" s="19">
        <v>0</v>
      </c>
      <c r="B375" s="19">
        <v>0</v>
      </c>
      <c r="C375" s="19">
        <v>0</v>
      </c>
      <c r="D375" s="19">
        <v>0</v>
      </c>
      <c r="E375" s="19">
        <v>0</v>
      </c>
      <c r="F375" s="19">
        <v>0</v>
      </c>
      <c r="G375" s="19">
        <v>0</v>
      </c>
      <c r="H375" s="19">
        <v>0</v>
      </c>
      <c r="I375" s="15">
        <v>3500</v>
      </c>
      <c r="J375" s="15">
        <v>0</v>
      </c>
      <c r="K375" s="15">
        <v>0</v>
      </c>
      <c r="L375" s="16">
        <v>0</v>
      </c>
      <c r="M375" s="15">
        <v>0</v>
      </c>
      <c r="N375" s="15" t="str">
        <v/>
      </c>
      <c r="O375" s="15" t="str">
        <v/>
      </c>
      <c r="P375" s="22">
        <v>0</v>
      </c>
      <c r="Q375">
        <v>0</v>
      </c>
    </row>
    <row r="376" spans="1:17">
      <c r="A376" s="19">
        <v>0</v>
      </c>
      <c r="B376" s="19">
        <v>0</v>
      </c>
      <c r="C376" s="19">
        <v>0</v>
      </c>
      <c r="D376" s="19">
        <v>0</v>
      </c>
      <c r="E376" s="19">
        <v>0</v>
      </c>
      <c r="F376" s="19">
        <v>0</v>
      </c>
      <c r="G376" s="19">
        <v>0</v>
      </c>
      <c r="H376" s="19">
        <v>0</v>
      </c>
      <c r="I376" s="15">
        <v>3500</v>
      </c>
      <c r="J376" s="15">
        <v>0</v>
      </c>
      <c r="K376" s="15">
        <v>0</v>
      </c>
      <c r="L376" s="16">
        <v>0</v>
      </c>
      <c r="M376" s="15">
        <v>0</v>
      </c>
      <c r="N376" s="15" t="str">
        <v/>
      </c>
      <c r="O376" s="15" t="str">
        <v/>
      </c>
      <c r="P376" s="22">
        <v>0</v>
      </c>
      <c r="Q376">
        <v>0</v>
      </c>
    </row>
    <row r="377" spans="1:17">
      <c r="A377" s="19">
        <v>0</v>
      </c>
      <c r="B377" s="19">
        <v>0</v>
      </c>
      <c r="C377" s="19">
        <v>0</v>
      </c>
      <c r="D377" s="19">
        <v>0</v>
      </c>
      <c r="E377" s="19">
        <v>0</v>
      </c>
      <c r="F377" s="19">
        <v>0</v>
      </c>
      <c r="G377" s="19">
        <v>0</v>
      </c>
      <c r="H377" s="19">
        <v>0</v>
      </c>
      <c r="I377" s="15">
        <v>3500</v>
      </c>
      <c r="J377" s="15">
        <v>0</v>
      </c>
      <c r="K377" s="15">
        <v>0</v>
      </c>
      <c r="L377" s="16">
        <v>0</v>
      </c>
      <c r="M377" s="15">
        <v>0</v>
      </c>
      <c r="N377" s="15" t="str">
        <v/>
      </c>
      <c r="O377" s="15" t="str">
        <v/>
      </c>
      <c r="P377" s="22">
        <v>0</v>
      </c>
      <c r="Q377">
        <v>0</v>
      </c>
    </row>
    <row r="378" spans="1:17">
      <c r="A378" s="19">
        <v>0</v>
      </c>
      <c r="B378" s="19">
        <v>0</v>
      </c>
      <c r="C378" s="19">
        <v>0</v>
      </c>
      <c r="D378" s="19">
        <v>0</v>
      </c>
      <c r="E378" s="19">
        <v>0</v>
      </c>
      <c r="F378" s="19">
        <v>0</v>
      </c>
      <c r="G378" s="19">
        <v>0</v>
      </c>
      <c r="H378" s="19">
        <v>0</v>
      </c>
      <c r="I378" s="15">
        <v>3500</v>
      </c>
      <c r="J378" s="15">
        <v>0</v>
      </c>
      <c r="K378" s="15">
        <v>0</v>
      </c>
      <c r="L378" s="16">
        <v>0</v>
      </c>
      <c r="M378" s="15">
        <v>0</v>
      </c>
      <c r="N378" s="15" t="str">
        <v/>
      </c>
      <c r="O378" s="15" t="str">
        <v/>
      </c>
      <c r="P378" s="22">
        <v>0</v>
      </c>
      <c r="Q378">
        <v>0</v>
      </c>
    </row>
    <row r="379" spans="1:17">
      <c r="A379" s="19">
        <v>0</v>
      </c>
      <c r="B379" s="19">
        <v>0</v>
      </c>
      <c r="C379" s="19">
        <v>0</v>
      </c>
      <c r="D379" s="19">
        <v>0</v>
      </c>
      <c r="E379" s="19">
        <v>0</v>
      </c>
      <c r="F379" s="19">
        <v>0</v>
      </c>
      <c r="G379" s="19">
        <v>0</v>
      </c>
      <c r="H379" s="19">
        <v>0</v>
      </c>
      <c r="I379" s="15">
        <v>3500</v>
      </c>
      <c r="J379" s="15">
        <v>0</v>
      </c>
      <c r="K379" s="15">
        <v>0</v>
      </c>
      <c r="L379" s="16">
        <v>0</v>
      </c>
      <c r="M379" s="15">
        <v>0</v>
      </c>
      <c r="N379" s="15" t="str">
        <v/>
      </c>
      <c r="O379" s="15" t="str">
        <v/>
      </c>
      <c r="P379" s="22">
        <v>0</v>
      </c>
      <c r="Q379">
        <v>0</v>
      </c>
    </row>
    <row r="380" spans="1:17">
      <c r="A380" s="19">
        <v>0</v>
      </c>
      <c r="B380" s="19">
        <v>0</v>
      </c>
      <c r="C380" s="19">
        <v>0</v>
      </c>
      <c r="D380" s="19">
        <v>0</v>
      </c>
      <c r="E380" s="19">
        <v>0</v>
      </c>
      <c r="F380" s="19">
        <v>0</v>
      </c>
      <c r="G380" s="19">
        <v>0</v>
      </c>
      <c r="H380" s="19">
        <v>0</v>
      </c>
      <c r="I380" s="15">
        <v>3500</v>
      </c>
      <c r="J380" s="15">
        <v>0</v>
      </c>
      <c r="K380" s="15">
        <v>0</v>
      </c>
      <c r="L380" s="16">
        <v>0</v>
      </c>
      <c r="M380" s="15">
        <v>0</v>
      </c>
      <c r="N380" s="15" t="str">
        <v/>
      </c>
      <c r="O380" s="15" t="str">
        <v/>
      </c>
      <c r="P380" s="22">
        <v>0</v>
      </c>
      <c r="Q380">
        <v>0</v>
      </c>
    </row>
    <row r="381" spans="1:17">
      <c r="A381" s="19">
        <v>0</v>
      </c>
      <c r="B381" s="19">
        <v>0</v>
      </c>
      <c r="C381" s="19">
        <v>0</v>
      </c>
      <c r="D381" s="19">
        <v>0</v>
      </c>
      <c r="E381" s="19">
        <v>0</v>
      </c>
      <c r="F381" s="19">
        <v>0</v>
      </c>
      <c r="G381" s="19">
        <v>0</v>
      </c>
      <c r="H381" s="19">
        <v>0</v>
      </c>
      <c r="I381" s="15">
        <v>3500</v>
      </c>
      <c r="J381" s="15">
        <v>0</v>
      </c>
      <c r="K381" s="15">
        <v>0</v>
      </c>
      <c r="L381" s="16">
        <v>0</v>
      </c>
      <c r="M381" s="15">
        <v>0</v>
      </c>
      <c r="N381" s="15" t="str">
        <v/>
      </c>
      <c r="O381" s="15" t="str">
        <v/>
      </c>
      <c r="P381" s="22">
        <v>0</v>
      </c>
      <c r="Q381">
        <v>0</v>
      </c>
    </row>
    <row r="382" spans="1:17">
      <c r="A382" s="19">
        <v>0</v>
      </c>
      <c r="B382" s="19">
        <v>0</v>
      </c>
      <c r="C382" s="19">
        <v>0</v>
      </c>
      <c r="D382" s="19">
        <v>0</v>
      </c>
      <c r="E382" s="19">
        <v>0</v>
      </c>
      <c r="F382" s="19">
        <v>0</v>
      </c>
      <c r="G382" s="19">
        <v>0</v>
      </c>
      <c r="H382" s="19">
        <v>0</v>
      </c>
      <c r="I382" s="15">
        <v>3500</v>
      </c>
      <c r="J382" s="15">
        <v>0</v>
      </c>
      <c r="K382" s="15">
        <v>0</v>
      </c>
      <c r="L382" s="16">
        <v>0</v>
      </c>
      <c r="M382" s="15">
        <v>0</v>
      </c>
      <c r="N382" s="15" t="str">
        <v/>
      </c>
      <c r="O382" s="15" t="str">
        <v/>
      </c>
      <c r="P382" s="22">
        <v>0</v>
      </c>
      <c r="Q382">
        <v>0</v>
      </c>
    </row>
    <row r="383" spans="1:17">
      <c r="A383" s="19">
        <v>0</v>
      </c>
      <c r="B383" s="19">
        <v>0</v>
      </c>
      <c r="C383" s="19">
        <v>0</v>
      </c>
      <c r="D383" s="19">
        <v>0</v>
      </c>
      <c r="E383" s="19">
        <v>0</v>
      </c>
      <c r="F383" s="19">
        <v>0</v>
      </c>
      <c r="G383" s="19">
        <v>0</v>
      </c>
      <c r="H383" s="19">
        <v>0</v>
      </c>
      <c r="I383" s="15">
        <v>3500</v>
      </c>
      <c r="J383" s="15">
        <v>0</v>
      </c>
      <c r="K383" s="15">
        <v>0</v>
      </c>
      <c r="L383" s="16">
        <v>0</v>
      </c>
      <c r="M383" s="15">
        <v>0</v>
      </c>
      <c r="N383" s="15" t="str">
        <v/>
      </c>
      <c r="O383" s="15" t="str">
        <v/>
      </c>
      <c r="P383" s="22">
        <v>0</v>
      </c>
      <c r="Q383">
        <v>0</v>
      </c>
    </row>
    <row r="384" spans="1:17">
      <c r="A384" s="19">
        <v>0</v>
      </c>
      <c r="B384" s="19">
        <v>0</v>
      </c>
      <c r="C384" s="19">
        <v>0</v>
      </c>
      <c r="D384" s="19">
        <v>0</v>
      </c>
      <c r="E384" s="19">
        <v>0</v>
      </c>
      <c r="F384" s="19">
        <v>0</v>
      </c>
      <c r="G384" s="19">
        <v>0</v>
      </c>
      <c r="H384" s="19">
        <v>0</v>
      </c>
      <c r="I384" s="15">
        <v>3500</v>
      </c>
      <c r="J384" s="15">
        <v>0</v>
      </c>
      <c r="K384" s="15">
        <v>0</v>
      </c>
      <c r="L384" s="16">
        <v>0</v>
      </c>
      <c r="M384" s="15">
        <v>0</v>
      </c>
      <c r="N384" s="15" t="str">
        <v/>
      </c>
      <c r="O384" s="15" t="str">
        <v/>
      </c>
      <c r="P384" s="22">
        <v>0</v>
      </c>
      <c r="Q384">
        <v>0</v>
      </c>
    </row>
    <row r="385" spans="1:17">
      <c r="A385" s="19">
        <v>0</v>
      </c>
      <c r="B385" s="19">
        <v>0</v>
      </c>
      <c r="C385" s="19">
        <v>0</v>
      </c>
      <c r="D385" s="19">
        <v>0</v>
      </c>
      <c r="E385" s="19">
        <v>0</v>
      </c>
      <c r="F385" s="19">
        <v>0</v>
      </c>
      <c r="G385" s="19">
        <v>0</v>
      </c>
      <c r="H385" s="19">
        <v>0</v>
      </c>
      <c r="I385" s="15">
        <v>3500</v>
      </c>
      <c r="J385" s="15">
        <v>0</v>
      </c>
      <c r="K385" s="15">
        <v>0</v>
      </c>
      <c r="L385" s="16">
        <v>0</v>
      </c>
      <c r="M385" s="15">
        <v>0</v>
      </c>
      <c r="N385" s="15" t="str">
        <v/>
      </c>
      <c r="O385" s="15" t="str">
        <v/>
      </c>
      <c r="P385" s="22">
        <v>0</v>
      </c>
      <c r="Q385">
        <v>0</v>
      </c>
    </row>
    <row r="386" spans="1:17">
      <c r="A386" s="19">
        <v>0</v>
      </c>
      <c r="B386" s="19">
        <v>0</v>
      </c>
      <c r="C386" s="19">
        <v>0</v>
      </c>
      <c r="D386" s="19">
        <v>0</v>
      </c>
      <c r="E386" s="19">
        <v>0</v>
      </c>
      <c r="F386" s="19">
        <v>0</v>
      </c>
      <c r="G386" s="19">
        <v>0</v>
      </c>
      <c r="H386" s="19">
        <v>0</v>
      </c>
      <c r="I386" s="15">
        <v>3500</v>
      </c>
      <c r="J386" s="15">
        <v>0</v>
      </c>
      <c r="K386" s="15">
        <v>0</v>
      </c>
      <c r="L386" s="16">
        <v>0</v>
      </c>
      <c r="M386" s="15">
        <v>0</v>
      </c>
      <c r="N386" s="15" t="str">
        <v/>
      </c>
      <c r="O386" s="15" t="str">
        <v/>
      </c>
      <c r="P386" s="22">
        <v>0</v>
      </c>
      <c r="Q386">
        <v>0</v>
      </c>
    </row>
    <row r="387" spans="1:17">
      <c r="A387" s="19">
        <v>0</v>
      </c>
      <c r="B387" s="19">
        <v>0</v>
      </c>
      <c r="C387" s="19">
        <v>0</v>
      </c>
      <c r="D387" s="19">
        <v>0</v>
      </c>
      <c r="E387" s="19">
        <v>0</v>
      </c>
      <c r="F387" s="19">
        <v>0</v>
      </c>
      <c r="G387" s="19">
        <v>0</v>
      </c>
      <c r="H387" s="19">
        <v>0</v>
      </c>
      <c r="I387" s="15">
        <v>3500</v>
      </c>
      <c r="J387" s="15">
        <v>0</v>
      </c>
      <c r="K387" s="15">
        <v>0</v>
      </c>
      <c r="L387" s="16">
        <v>0</v>
      </c>
      <c r="M387" s="15">
        <v>0</v>
      </c>
      <c r="N387" s="15" t="str">
        <v/>
      </c>
      <c r="O387" s="15" t="str">
        <v/>
      </c>
      <c r="P387" s="22">
        <v>0</v>
      </c>
      <c r="Q387">
        <v>0</v>
      </c>
    </row>
    <row r="388" spans="1:17">
      <c r="A388" s="19">
        <v>0</v>
      </c>
      <c r="B388" s="19">
        <v>0</v>
      </c>
      <c r="C388" s="19">
        <v>0</v>
      </c>
      <c r="D388" s="19">
        <v>0</v>
      </c>
      <c r="E388" s="19">
        <v>0</v>
      </c>
      <c r="F388" s="19">
        <v>0</v>
      </c>
      <c r="G388" s="19">
        <v>0</v>
      </c>
      <c r="H388" s="19">
        <v>0</v>
      </c>
      <c r="I388" s="15">
        <v>3500</v>
      </c>
      <c r="J388" s="15">
        <v>0</v>
      </c>
      <c r="K388" s="15">
        <v>0</v>
      </c>
      <c r="L388" s="16">
        <v>0</v>
      </c>
      <c r="M388" s="15">
        <v>0</v>
      </c>
      <c r="N388" s="15" t="str">
        <v/>
      </c>
      <c r="O388" s="15" t="str">
        <v/>
      </c>
      <c r="P388" s="22">
        <v>0</v>
      </c>
      <c r="Q388">
        <v>0</v>
      </c>
    </row>
    <row r="389" spans="1:17">
      <c r="A389" s="19">
        <v>0</v>
      </c>
      <c r="B389" s="19">
        <v>0</v>
      </c>
      <c r="C389" s="19">
        <v>0</v>
      </c>
      <c r="D389" s="19">
        <v>0</v>
      </c>
      <c r="E389" s="19">
        <v>0</v>
      </c>
      <c r="F389" s="19">
        <v>0</v>
      </c>
      <c r="G389" s="19">
        <v>0</v>
      </c>
      <c r="H389" s="19">
        <v>0</v>
      </c>
      <c r="I389" s="15">
        <v>3500</v>
      </c>
      <c r="J389" s="15">
        <v>0</v>
      </c>
      <c r="K389" s="15">
        <v>0</v>
      </c>
      <c r="L389" s="16">
        <v>0</v>
      </c>
      <c r="M389" s="15">
        <v>0</v>
      </c>
      <c r="N389" s="15" t="str">
        <v/>
      </c>
      <c r="O389" s="15" t="str">
        <v/>
      </c>
      <c r="P389" s="22">
        <v>0</v>
      </c>
      <c r="Q389">
        <v>0</v>
      </c>
    </row>
    <row r="390" spans="1:17">
      <c r="A390" s="19">
        <v>0</v>
      </c>
      <c r="B390" s="19">
        <v>0</v>
      </c>
      <c r="C390" s="19">
        <v>0</v>
      </c>
      <c r="D390" s="19">
        <v>0</v>
      </c>
      <c r="E390" s="19">
        <v>0</v>
      </c>
      <c r="F390" s="19">
        <v>0</v>
      </c>
      <c r="G390" s="19">
        <v>0</v>
      </c>
      <c r="H390" s="19">
        <v>0</v>
      </c>
      <c r="I390" s="15">
        <v>3500</v>
      </c>
      <c r="J390" s="15">
        <v>0</v>
      </c>
      <c r="K390" s="15">
        <v>0</v>
      </c>
      <c r="L390" s="16">
        <v>0</v>
      </c>
      <c r="M390" s="15">
        <v>0</v>
      </c>
      <c r="N390" s="15" t="str">
        <v/>
      </c>
      <c r="O390" s="15" t="str">
        <v/>
      </c>
      <c r="P390" s="22">
        <v>0</v>
      </c>
      <c r="Q390">
        <v>0</v>
      </c>
    </row>
    <row r="391" spans="1:17">
      <c r="A391" s="19">
        <v>0</v>
      </c>
      <c r="B391" s="19">
        <v>0</v>
      </c>
      <c r="C391" s="19">
        <v>0</v>
      </c>
      <c r="D391" s="19">
        <v>0</v>
      </c>
      <c r="E391" s="19">
        <v>0</v>
      </c>
      <c r="F391" s="19">
        <v>0</v>
      </c>
      <c r="G391" s="19">
        <v>0</v>
      </c>
      <c r="H391" s="19">
        <v>0</v>
      </c>
      <c r="I391" s="15">
        <v>3500</v>
      </c>
      <c r="J391" s="15">
        <v>0</v>
      </c>
      <c r="K391" s="15">
        <v>0</v>
      </c>
      <c r="L391" s="16">
        <v>0</v>
      </c>
      <c r="M391" s="15">
        <v>0</v>
      </c>
      <c r="N391" s="15" t="str">
        <v/>
      </c>
      <c r="O391" s="15" t="str">
        <v/>
      </c>
      <c r="P391" s="22">
        <v>0</v>
      </c>
      <c r="Q391">
        <v>0</v>
      </c>
    </row>
    <row r="392" spans="1:17">
      <c r="A392" s="19">
        <v>0</v>
      </c>
      <c r="B392" s="19">
        <v>0</v>
      </c>
      <c r="C392" s="19">
        <v>0</v>
      </c>
      <c r="D392" s="19">
        <v>0</v>
      </c>
      <c r="E392" s="19">
        <v>0</v>
      </c>
      <c r="F392" s="19">
        <v>0</v>
      </c>
      <c r="G392" s="19">
        <v>0</v>
      </c>
      <c r="H392" s="19">
        <v>0</v>
      </c>
      <c r="I392" s="15">
        <v>3500</v>
      </c>
      <c r="J392" s="15">
        <v>0</v>
      </c>
      <c r="K392" s="15">
        <v>0</v>
      </c>
      <c r="L392" s="16">
        <v>0</v>
      </c>
      <c r="M392" s="15">
        <v>0</v>
      </c>
      <c r="N392" s="15" t="str">
        <v/>
      </c>
      <c r="O392" s="15" t="str">
        <v/>
      </c>
      <c r="P392" s="22">
        <v>0</v>
      </c>
      <c r="Q392">
        <v>0</v>
      </c>
    </row>
    <row r="393" spans="1:17">
      <c r="A393" s="19">
        <v>0</v>
      </c>
      <c r="B393" s="19">
        <v>0</v>
      </c>
      <c r="C393" s="19">
        <v>0</v>
      </c>
      <c r="D393" s="19">
        <v>0</v>
      </c>
      <c r="E393" s="19">
        <v>0</v>
      </c>
      <c r="F393" s="19">
        <v>0</v>
      </c>
      <c r="G393" s="19">
        <v>0</v>
      </c>
      <c r="H393" s="19">
        <v>0</v>
      </c>
      <c r="I393" s="15">
        <v>3500</v>
      </c>
      <c r="J393" s="15">
        <v>0</v>
      </c>
      <c r="K393" s="15">
        <v>0</v>
      </c>
      <c r="L393" s="16">
        <v>0</v>
      </c>
      <c r="M393" s="15">
        <v>0</v>
      </c>
      <c r="N393" s="15" t="str">
        <v/>
      </c>
      <c r="O393" s="15" t="str">
        <v/>
      </c>
      <c r="P393" s="22">
        <v>0</v>
      </c>
      <c r="Q393">
        <v>0</v>
      </c>
    </row>
    <row r="394" spans="1:17">
      <c r="A394" s="19">
        <v>0</v>
      </c>
      <c r="B394" s="19">
        <v>0</v>
      </c>
      <c r="C394" s="19">
        <v>0</v>
      </c>
      <c r="D394" s="19">
        <v>0</v>
      </c>
      <c r="E394" s="19">
        <v>0</v>
      </c>
      <c r="F394" s="19">
        <v>0</v>
      </c>
      <c r="G394" s="19">
        <v>0</v>
      </c>
      <c r="H394" s="19">
        <v>0</v>
      </c>
      <c r="I394" s="15">
        <v>3500</v>
      </c>
      <c r="J394" s="15">
        <v>0</v>
      </c>
      <c r="K394" s="15">
        <v>0</v>
      </c>
      <c r="L394" s="16">
        <v>0</v>
      </c>
      <c r="M394" s="15">
        <v>0</v>
      </c>
      <c r="N394" s="15" t="str">
        <v/>
      </c>
      <c r="O394" s="15" t="str">
        <v/>
      </c>
      <c r="P394" s="22">
        <v>0</v>
      </c>
      <c r="Q394">
        <v>0</v>
      </c>
    </row>
    <row r="395" spans="1:17">
      <c r="A395" s="19">
        <v>0</v>
      </c>
      <c r="B395" s="19">
        <v>0</v>
      </c>
      <c r="C395" s="19">
        <v>0</v>
      </c>
      <c r="D395" s="19">
        <v>0</v>
      </c>
      <c r="E395" s="19">
        <v>0</v>
      </c>
      <c r="F395" s="19">
        <v>0</v>
      </c>
      <c r="G395" s="19">
        <v>0</v>
      </c>
      <c r="H395" s="19">
        <v>0</v>
      </c>
      <c r="I395" s="15">
        <v>3500</v>
      </c>
      <c r="J395" s="15">
        <v>0</v>
      </c>
      <c r="K395" s="15">
        <v>0</v>
      </c>
      <c r="L395" s="16">
        <v>0</v>
      </c>
      <c r="M395" s="15">
        <v>0</v>
      </c>
      <c r="N395" s="15" t="str">
        <v/>
      </c>
      <c r="O395" s="15" t="str">
        <v/>
      </c>
      <c r="P395" s="22">
        <v>0</v>
      </c>
      <c r="Q395">
        <v>0</v>
      </c>
    </row>
    <row r="396" spans="1:17">
      <c r="A396" s="19">
        <v>0</v>
      </c>
      <c r="B396" s="19">
        <v>0</v>
      </c>
      <c r="C396" s="19">
        <v>0</v>
      </c>
      <c r="D396" s="19">
        <v>0</v>
      </c>
      <c r="E396" s="19">
        <v>0</v>
      </c>
      <c r="F396" s="19">
        <v>0</v>
      </c>
      <c r="G396" s="19">
        <v>0</v>
      </c>
      <c r="H396" s="19">
        <v>0</v>
      </c>
      <c r="I396" s="15">
        <v>3500</v>
      </c>
      <c r="J396" s="15">
        <v>0</v>
      </c>
      <c r="K396" s="15">
        <v>0</v>
      </c>
      <c r="L396" s="16">
        <v>0</v>
      </c>
      <c r="M396" s="15">
        <v>0</v>
      </c>
      <c r="N396" s="15" t="str">
        <v/>
      </c>
      <c r="O396" s="15" t="str">
        <v/>
      </c>
      <c r="P396" s="22">
        <v>0</v>
      </c>
      <c r="Q396">
        <v>0</v>
      </c>
    </row>
    <row r="397" spans="1:17">
      <c r="A397" s="19">
        <v>0</v>
      </c>
      <c r="B397" s="19">
        <v>0</v>
      </c>
      <c r="C397" s="19">
        <v>0</v>
      </c>
      <c r="D397" s="19">
        <v>0</v>
      </c>
      <c r="E397" s="19">
        <v>0</v>
      </c>
      <c r="F397" s="19">
        <v>0</v>
      </c>
      <c r="G397" s="19">
        <v>0</v>
      </c>
      <c r="H397" s="19">
        <v>0</v>
      </c>
      <c r="I397" s="15">
        <v>3500</v>
      </c>
      <c r="J397" s="15">
        <v>0</v>
      </c>
      <c r="K397" s="15">
        <v>0</v>
      </c>
      <c r="L397" s="16">
        <v>0</v>
      </c>
      <c r="M397" s="15">
        <v>0</v>
      </c>
      <c r="N397" s="15" t="str">
        <v/>
      </c>
      <c r="O397" s="15" t="str">
        <v/>
      </c>
      <c r="P397" s="22">
        <v>0</v>
      </c>
      <c r="Q397">
        <v>0</v>
      </c>
    </row>
    <row r="398" spans="1:17">
      <c r="A398" s="19">
        <v>0</v>
      </c>
      <c r="B398" s="19">
        <v>0</v>
      </c>
      <c r="C398" s="19">
        <v>0</v>
      </c>
      <c r="D398" s="19">
        <v>0</v>
      </c>
      <c r="E398" s="19">
        <v>0</v>
      </c>
      <c r="F398" s="19">
        <v>0</v>
      </c>
      <c r="G398" s="19">
        <v>0</v>
      </c>
      <c r="H398" s="19">
        <v>0</v>
      </c>
      <c r="I398" s="15">
        <v>3500</v>
      </c>
      <c r="J398" s="15">
        <v>0</v>
      </c>
      <c r="K398" s="15">
        <v>0</v>
      </c>
      <c r="L398" s="16">
        <v>0</v>
      </c>
      <c r="M398" s="15">
        <v>0</v>
      </c>
      <c r="N398" s="15" t="str">
        <v/>
      </c>
      <c r="O398" s="15" t="str">
        <v/>
      </c>
      <c r="P398" s="22">
        <v>0</v>
      </c>
      <c r="Q398">
        <v>0</v>
      </c>
    </row>
    <row r="399" spans="1:17">
      <c r="A399" s="19">
        <v>0</v>
      </c>
      <c r="B399" s="19">
        <v>0</v>
      </c>
      <c r="C399" s="19">
        <v>0</v>
      </c>
      <c r="D399" s="19">
        <v>0</v>
      </c>
      <c r="E399" s="19">
        <v>0</v>
      </c>
      <c r="F399" s="19">
        <v>0</v>
      </c>
      <c r="G399" s="19">
        <v>0</v>
      </c>
      <c r="H399" s="19">
        <v>0</v>
      </c>
      <c r="I399" s="15">
        <v>3500</v>
      </c>
      <c r="J399" s="15">
        <v>0</v>
      </c>
      <c r="K399" s="15">
        <v>0</v>
      </c>
      <c r="L399" s="16">
        <v>0</v>
      </c>
      <c r="M399" s="15">
        <v>0</v>
      </c>
      <c r="N399" s="15" t="str">
        <v/>
      </c>
      <c r="O399" s="15" t="str">
        <v/>
      </c>
      <c r="P399" s="22">
        <v>0</v>
      </c>
      <c r="Q399">
        <v>0</v>
      </c>
    </row>
    <row r="400" spans="1:17">
      <c r="A400" s="19">
        <v>0</v>
      </c>
      <c r="B400" s="19">
        <v>0</v>
      </c>
      <c r="C400" s="19">
        <v>0</v>
      </c>
      <c r="D400" s="19">
        <v>0</v>
      </c>
      <c r="E400" s="19">
        <v>0</v>
      </c>
      <c r="F400" s="19">
        <v>0</v>
      </c>
      <c r="G400" s="19">
        <v>0</v>
      </c>
      <c r="H400" s="19">
        <v>0</v>
      </c>
      <c r="I400" s="15">
        <v>3500</v>
      </c>
      <c r="J400" s="15">
        <v>0</v>
      </c>
      <c r="K400" s="15">
        <v>0</v>
      </c>
      <c r="L400" s="16">
        <v>0</v>
      </c>
      <c r="M400" s="15">
        <v>0</v>
      </c>
      <c r="N400" s="15" t="str">
        <v/>
      </c>
      <c r="O400" s="15" t="str">
        <v/>
      </c>
      <c r="P400" s="22">
        <v>0</v>
      </c>
      <c r="Q400">
        <v>0</v>
      </c>
    </row>
    <row r="401" spans="1:17">
      <c r="A401" s="19">
        <v>0</v>
      </c>
      <c r="B401" s="19">
        <v>0</v>
      </c>
      <c r="C401" s="19">
        <v>0</v>
      </c>
      <c r="D401" s="19">
        <v>0</v>
      </c>
      <c r="E401" s="19">
        <v>0</v>
      </c>
      <c r="F401" s="19">
        <v>0</v>
      </c>
      <c r="G401" s="19">
        <v>0</v>
      </c>
      <c r="H401" s="19">
        <v>0</v>
      </c>
      <c r="I401" s="15">
        <v>3500</v>
      </c>
      <c r="J401" s="15">
        <v>0</v>
      </c>
      <c r="K401" s="15">
        <v>0</v>
      </c>
      <c r="L401" s="16">
        <v>0</v>
      </c>
      <c r="M401" s="15">
        <v>0</v>
      </c>
      <c r="N401" s="15" t="str">
        <v/>
      </c>
      <c r="O401" s="15" t="str">
        <v/>
      </c>
      <c r="P401" s="22">
        <v>0</v>
      </c>
      <c r="Q401">
        <v>0</v>
      </c>
    </row>
    <row r="402" spans="1:17">
      <c r="A402" s="19">
        <v>0</v>
      </c>
      <c r="B402" s="19">
        <v>0</v>
      </c>
      <c r="C402" s="19">
        <v>0</v>
      </c>
      <c r="D402" s="19">
        <v>0</v>
      </c>
      <c r="E402" s="19">
        <v>0</v>
      </c>
      <c r="F402" s="19">
        <v>0</v>
      </c>
      <c r="G402" s="19">
        <v>0</v>
      </c>
      <c r="H402" s="19">
        <v>0</v>
      </c>
      <c r="I402" s="15">
        <v>3500</v>
      </c>
      <c r="J402" s="15">
        <v>0</v>
      </c>
      <c r="K402" s="15">
        <v>0</v>
      </c>
      <c r="L402" s="16">
        <v>0</v>
      </c>
      <c r="M402" s="15">
        <v>0</v>
      </c>
      <c r="N402" s="15" t="str">
        <v/>
      </c>
      <c r="O402" s="15" t="str">
        <v/>
      </c>
      <c r="P402" s="22">
        <v>0</v>
      </c>
      <c r="Q402">
        <v>0</v>
      </c>
    </row>
    <row r="403" spans="1:17">
      <c r="A403" s="19">
        <v>0</v>
      </c>
      <c r="B403" s="19">
        <v>0</v>
      </c>
      <c r="C403" s="19">
        <v>0</v>
      </c>
      <c r="D403" s="19">
        <v>0</v>
      </c>
      <c r="E403" s="19">
        <v>0</v>
      </c>
      <c r="F403" s="19">
        <v>0</v>
      </c>
      <c r="G403" s="19">
        <v>0</v>
      </c>
      <c r="H403" s="19">
        <v>0</v>
      </c>
      <c r="I403" s="15">
        <v>3500</v>
      </c>
      <c r="J403" s="15">
        <v>0</v>
      </c>
      <c r="K403" s="15">
        <v>0</v>
      </c>
      <c r="L403" s="16">
        <v>0</v>
      </c>
      <c r="M403" s="15">
        <v>0</v>
      </c>
      <c r="N403" s="15" t="str">
        <v/>
      </c>
      <c r="O403" s="15" t="str">
        <v/>
      </c>
      <c r="P403" s="22">
        <v>0</v>
      </c>
      <c r="Q403">
        <v>0</v>
      </c>
    </row>
    <row r="404" spans="1:17">
      <c r="A404" s="19">
        <v>0</v>
      </c>
      <c r="B404" s="19">
        <v>0</v>
      </c>
      <c r="C404" s="19">
        <v>0</v>
      </c>
      <c r="D404" s="19">
        <v>0</v>
      </c>
      <c r="E404" s="19">
        <v>0</v>
      </c>
      <c r="F404" s="19">
        <v>0</v>
      </c>
      <c r="G404" s="19">
        <v>0</v>
      </c>
      <c r="H404" s="19">
        <v>0</v>
      </c>
      <c r="I404" s="15">
        <v>3500</v>
      </c>
      <c r="J404" s="15">
        <v>0</v>
      </c>
      <c r="K404" s="15">
        <v>0</v>
      </c>
      <c r="L404" s="16">
        <v>0</v>
      </c>
      <c r="M404" s="15">
        <v>0</v>
      </c>
      <c r="N404" s="15" t="str">
        <v/>
      </c>
      <c r="O404" s="15" t="str">
        <v/>
      </c>
      <c r="P404" s="22">
        <v>0</v>
      </c>
      <c r="Q404">
        <v>0</v>
      </c>
    </row>
    <row r="405" spans="1:17">
      <c r="A405" s="19">
        <v>0</v>
      </c>
      <c r="B405" s="19">
        <v>0</v>
      </c>
      <c r="C405" s="19">
        <v>0</v>
      </c>
      <c r="D405" s="19">
        <v>0</v>
      </c>
      <c r="E405" s="19">
        <v>0</v>
      </c>
      <c r="F405" s="19">
        <v>0</v>
      </c>
      <c r="G405" s="19">
        <v>0</v>
      </c>
      <c r="H405" s="19">
        <v>0</v>
      </c>
      <c r="I405" s="15">
        <v>3500</v>
      </c>
      <c r="J405" s="15">
        <v>0</v>
      </c>
      <c r="K405" s="15">
        <v>0</v>
      </c>
      <c r="L405" s="16">
        <v>0</v>
      </c>
      <c r="M405" s="15">
        <v>0</v>
      </c>
      <c r="N405" s="15" t="str">
        <v/>
      </c>
      <c r="O405" s="15" t="str">
        <v/>
      </c>
      <c r="P405" s="22">
        <v>0</v>
      </c>
      <c r="Q405">
        <v>0</v>
      </c>
    </row>
    <row r="406" spans="1:17">
      <c r="A406" s="19">
        <v>0</v>
      </c>
      <c r="B406" s="19">
        <v>0</v>
      </c>
      <c r="C406" s="19">
        <v>0</v>
      </c>
      <c r="D406" s="19">
        <v>0</v>
      </c>
      <c r="E406" s="19">
        <v>0</v>
      </c>
      <c r="F406" s="19">
        <v>0</v>
      </c>
      <c r="G406" s="19">
        <v>0</v>
      </c>
      <c r="H406" s="19">
        <v>0</v>
      </c>
      <c r="I406" s="15">
        <v>3500</v>
      </c>
      <c r="J406" s="15">
        <v>0</v>
      </c>
      <c r="K406" s="15">
        <v>0</v>
      </c>
      <c r="L406" s="16">
        <v>0</v>
      </c>
      <c r="M406" s="15">
        <v>0</v>
      </c>
      <c r="N406" s="15" t="str">
        <v/>
      </c>
      <c r="O406" s="15" t="str">
        <v/>
      </c>
      <c r="P406" s="22">
        <v>0</v>
      </c>
      <c r="Q406">
        <v>0</v>
      </c>
    </row>
    <row r="407" spans="1:17">
      <c r="A407" s="19">
        <v>0</v>
      </c>
      <c r="B407" s="19">
        <v>0</v>
      </c>
      <c r="C407" s="19">
        <v>0</v>
      </c>
      <c r="D407" s="19">
        <v>0</v>
      </c>
      <c r="E407" s="19">
        <v>0</v>
      </c>
      <c r="F407" s="19">
        <v>0</v>
      </c>
      <c r="G407" s="19">
        <v>0</v>
      </c>
      <c r="H407" s="19">
        <v>0</v>
      </c>
      <c r="I407" s="15">
        <v>3500</v>
      </c>
      <c r="J407" s="15">
        <v>0</v>
      </c>
      <c r="K407" s="15">
        <v>0</v>
      </c>
      <c r="L407" s="16">
        <v>0</v>
      </c>
      <c r="M407" s="15">
        <v>0</v>
      </c>
      <c r="N407" s="15" t="str">
        <v/>
      </c>
      <c r="O407" s="15" t="str">
        <v/>
      </c>
      <c r="P407" s="22">
        <v>0</v>
      </c>
      <c r="Q407">
        <v>0</v>
      </c>
    </row>
    <row r="408" spans="1:17">
      <c r="A408" s="19">
        <v>0</v>
      </c>
      <c r="B408" s="19">
        <v>0</v>
      </c>
      <c r="C408" s="19">
        <v>0</v>
      </c>
      <c r="D408" s="19">
        <v>0</v>
      </c>
      <c r="E408" s="19">
        <v>0</v>
      </c>
      <c r="F408" s="19">
        <v>0</v>
      </c>
      <c r="G408" s="19">
        <v>0</v>
      </c>
      <c r="H408" s="19">
        <v>0</v>
      </c>
      <c r="I408" s="15">
        <v>3500</v>
      </c>
      <c r="J408" s="15">
        <v>0</v>
      </c>
      <c r="K408" s="15">
        <v>0</v>
      </c>
      <c r="L408" s="16">
        <v>0</v>
      </c>
      <c r="M408" s="15">
        <v>0</v>
      </c>
      <c r="N408" s="15" t="str">
        <v/>
      </c>
      <c r="O408" s="15" t="str">
        <v/>
      </c>
      <c r="P408" s="22">
        <v>0</v>
      </c>
      <c r="Q408">
        <v>0</v>
      </c>
    </row>
    <row r="409" spans="1:17">
      <c r="A409" s="19">
        <v>0</v>
      </c>
      <c r="B409" s="19">
        <v>0</v>
      </c>
      <c r="C409" s="19">
        <v>0</v>
      </c>
      <c r="D409" s="19">
        <v>0</v>
      </c>
      <c r="E409" s="19">
        <v>0</v>
      </c>
      <c r="F409" s="19">
        <v>0</v>
      </c>
      <c r="G409" s="19">
        <v>0</v>
      </c>
      <c r="H409" s="19">
        <v>0</v>
      </c>
      <c r="I409" s="15">
        <v>3500</v>
      </c>
      <c r="J409" s="15">
        <v>0</v>
      </c>
      <c r="K409" s="15">
        <v>0</v>
      </c>
      <c r="L409" s="16">
        <v>0</v>
      </c>
      <c r="M409" s="15">
        <v>0</v>
      </c>
      <c r="N409" s="15" t="str">
        <v/>
      </c>
      <c r="O409" s="15" t="str">
        <v/>
      </c>
      <c r="P409" s="22">
        <v>0</v>
      </c>
      <c r="Q409">
        <v>0</v>
      </c>
    </row>
    <row r="410" spans="1:17">
      <c r="A410" s="19">
        <v>0</v>
      </c>
      <c r="B410" s="19">
        <v>0</v>
      </c>
      <c r="C410" s="19">
        <v>0</v>
      </c>
      <c r="D410" s="19">
        <v>0</v>
      </c>
      <c r="E410" s="19">
        <v>0</v>
      </c>
      <c r="F410" s="19">
        <v>0</v>
      </c>
      <c r="G410" s="19">
        <v>0</v>
      </c>
      <c r="H410" s="19">
        <v>0</v>
      </c>
      <c r="I410" s="15">
        <v>3500</v>
      </c>
      <c r="J410" s="15">
        <v>0</v>
      </c>
      <c r="K410" s="15">
        <v>0</v>
      </c>
      <c r="L410" s="16">
        <v>0</v>
      </c>
      <c r="M410" s="15">
        <v>0</v>
      </c>
      <c r="N410" s="15" t="str">
        <v/>
      </c>
      <c r="O410" s="15" t="str">
        <v/>
      </c>
      <c r="P410" s="22">
        <v>0</v>
      </c>
      <c r="Q410">
        <v>0</v>
      </c>
    </row>
    <row r="411" spans="1:17">
      <c r="A411" s="19">
        <v>0</v>
      </c>
      <c r="B411" s="19">
        <v>0</v>
      </c>
      <c r="C411" s="19">
        <v>0</v>
      </c>
      <c r="D411" s="19">
        <v>0</v>
      </c>
      <c r="E411" s="19">
        <v>0</v>
      </c>
      <c r="F411" s="19">
        <v>0</v>
      </c>
      <c r="G411" s="19">
        <v>0</v>
      </c>
      <c r="H411" s="19">
        <v>0</v>
      </c>
      <c r="I411" s="15">
        <v>3500</v>
      </c>
      <c r="J411" s="15">
        <v>0</v>
      </c>
      <c r="K411" s="15">
        <v>0</v>
      </c>
      <c r="L411" s="16">
        <v>0</v>
      </c>
      <c r="M411" s="15">
        <v>0</v>
      </c>
      <c r="N411" s="15" t="str">
        <v/>
      </c>
      <c r="O411" s="15" t="str">
        <v/>
      </c>
      <c r="P411" s="22">
        <v>0</v>
      </c>
      <c r="Q411">
        <v>0</v>
      </c>
    </row>
    <row r="412" spans="1:17">
      <c r="A412" s="19">
        <v>0</v>
      </c>
      <c r="B412" s="19">
        <v>0</v>
      </c>
      <c r="C412" s="19">
        <v>0</v>
      </c>
      <c r="D412" s="19">
        <v>0</v>
      </c>
      <c r="E412" s="19">
        <v>0</v>
      </c>
      <c r="F412" s="19">
        <v>0</v>
      </c>
      <c r="G412" s="19">
        <v>0</v>
      </c>
      <c r="H412" s="19">
        <v>0</v>
      </c>
      <c r="I412" s="15">
        <v>3500</v>
      </c>
      <c r="J412" s="15">
        <v>0</v>
      </c>
      <c r="K412" s="15">
        <v>0</v>
      </c>
      <c r="L412" s="16">
        <v>0</v>
      </c>
      <c r="M412" s="15">
        <v>0</v>
      </c>
      <c r="N412" s="15" t="str">
        <v/>
      </c>
      <c r="O412" s="15" t="str">
        <v/>
      </c>
      <c r="P412" s="22">
        <v>0</v>
      </c>
      <c r="Q412">
        <v>0</v>
      </c>
    </row>
    <row r="413" spans="1:17">
      <c r="A413" s="19">
        <v>0</v>
      </c>
      <c r="B413" s="19">
        <v>0</v>
      </c>
      <c r="C413" s="19">
        <v>0</v>
      </c>
      <c r="D413" s="19">
        <v>0</v>
      </c>
      <c r="E413" s="19">
        <v>0</v>
      </c>
      <c r="F413" s="19">
        <v>0</v>
      </c>
      <c r="G413" s="19">
        <v>0</v>
      </c>
      <c r="H413" s="19">
        <v>0</v>
      </c>
      <c r="I413" s="15">
        <v>3500</v>
      </c>
      <c r="J413" s="15">
        <v>0</v>
      </c>
      <c r="K413" s="15">
        <v>0</v>
      </c>
      <c r="L413" s="16">
        <v>0</v>
      </c>
      <c r="M413" s="15">
        <v>0</v>
      </c>
      <c r="N413" s="15" t="str">
        <v/>
      </c>
      <c r="O413" s="15" t="str">
        <v/>
      </c>
      <c r="P413" s="22">
        <v>0</v>
      </c>
      <c r="Q413">
        <v>0</v>
      </c>
    </row>
    <row r="414" spans="1:17">
      <c r="A414" s="19">
        <v>0</v>
      </c>
      <c r="B414" s="19">
        <v>0</v>
      </c>
      <c r="C414" s="19">
        <v>0</v>
      </c>
      <c r="D414" s="19">
        <v>0</v>
      </c>
      <c r="E414" s="19">
        <v>0</v>
      </c>
      <c r="F414" s="19">
        <v>0</v>
      </c>
      <c r="G414" s="19">
        <v>0</v>
      </c>
      <c r="H414" s="19">
        <v>0</v>
      </c>
      <c r="I414" s="15">
        <v>3500</v>
      </c>
      <c r="J414" s="15">
        <v>0</v>
      </c>
      <c r="K414" s="15">
        <v>0</v>
      </c>
      <c r="L414" s="16">
        <v>0</v>
      </c>
      <c r="M414" s="15">
        <v>0</v>
      </c>
      <c r="N414" s="15" t="str">
        <v/>
      </c>
      <c r="O414" s="15" t="str">
        <v/>
      </c>
      <c r="P414" s="22">
        <v>0</v>
      </c>
      <c r="Q414">
        <v>0</v>
      </c>
    </row>
    <row r="415" spans="1:17">
      <c r="A415" s="19">
        <v>0</v>
      </c>
      <c r="B415" s="19">
        <v>0</v>
      </c>
      <c r="C415" s="19">
        <v>0</v>
      </c>
      <c r="D415" s="19">
        <v>0</v>
      </c>
      <c r="E415" s="19">
        <v>0</v>
      </c>
      <c r="F415" s="19">
        <v>0</v>
      </c>
      <c r="G415" s="19">
        <v>0</v>
      </c>
      <c r="H415" s="19">
        <v>0</v>
      </c>
      <c r="I415" s="15">
        <v>3500</v>
      </c>
      <c r="J415" s="15">
        <v>0</v>
      </c>
      <c r="K415" s="15">
        <v>0</v>
      </c>
      <c r="L415" s="16">
        <v>0</v>
      </c>
      <c r="M415" s="15">
        <v>0</v>
      </c>
      <c r="N415" s="15" t="str">
        <v/>
      </c>
      <c r="O415" s="15" t="str">
        <v/>
      </c>
      <c r="P415" s="22">
        <v>0</v>
      </c>
      <c r="Q415">
        <v>0</v>
      </c>
    </row>
    <row r="416" spans="1:17">
      <c r="A416" s="19">
        <v>0</v>
      </c>
      <c r="B416" s="19">
        <v>0</v>
      </c>
      <c r="C416" s="19">
        <v>0</v>
      </c>
      <c r="D416" s="19">
        <v>0</v>
      </c>
      <c r="E416" s="19">
        <v>0</v>
      </c>
      <c r="F416" s="19">
        <v>0</v>
      </c>
      <c r="G416" s="19">
        <v>0</v>
      </c>
      <c r="H416" s="19">
        <v>0</v>
      </c>
      <c r="I416" s="15">
        <v>3500</v>
      </c>
      <c r="J416" s="15">
        <v>0</v>
      </c>
      <c r="K416" s="15">
        <v>0</v>
      </c>
      <c r="L416" s="16">
        <v>0</v>
      </c>
      <c r="M416" s="15">
        <v>0</v>
      </c>
      <c r="N416" s="15" t="str">
        <v/>
      </c>
      <c r="O416" s="15" t="str">
        <v/>
      </c>
      <c r="P416" s="22">
        <v>0</v>
      </c>
      <c r="Q416">
        <v>0</v>
      </c>
    </row>
    <row r="417" spans="1:17">
      <c r="A417" s="19">
        <v>0</v>
      </c>
      <c r="B417" s="19">
        <v>0</v>
      </c>
      <c r="C417" s="19">
        <v>0</v>
      </c>
      <c r="D417" s="19">
        <v>0</v>
      </c>
      <c r="E417" s="19">
        <v>0</v>
      </c>
      <c r="F417" s="19">
        <v>0</v>
      </c>
      <c r="G417" s="19">
        <v>0</v>
      </c>
      <c r="H417" s="19">
        <v>0</v>
      </c>
      <c r="I417" s="15">
        <v>3500</v>
      </c>
      <c r="J417" s="15">
        <v>0</v>
      </c>
      <c r="K417" s="15">
        <v>0</v>
      </c>
      <c r="L417" s="16">
        <v>0</v>
      </c>
      <c r="M417" s="15">
        <v>0</v>
      </c>
      <c r="N417" s="15" t="str">
        <v/>
      </c>
      <c r="O417" s="15" t="str">
        <v/>
      </c>
      <c r="P417" s="22">
        <v>0</v>
      </c>
      <c r="Q417">
        <v>0</v>
      </c>
    </row>
    <row r="418" spans="1:17">
      <c r="A418" s="19">
        <v>0</v>
      </c>
      <c r="B418" s="19">
        <v>0</v>
      </c>
      <c r="C418" s="19">
        <v>0</v>
      </c>
      <c r="D418" s="19">
        <v>0</v>
      </c>
      <c r="E418" s="19">
        <v>0</v>
      </c>
      <c r="F418" s="19">
        <v>0</v>
      </c>
      <c r="G418" s="19">
        <v>0</v>
      </c>
      <c r="H418" s="19">
        <v>0</v>
      </c>
      <c r="I418" s="15">
        <v>3500</v>
      </c>
      <c r="J418" s="15">
        <v>0</v>
      </c>
      <c r="K418" s="15">
        <v>0</v>
      </c>
      <c r="L418" s="16">
        <v>0</v>
      </c>
      <c r="M418" s="15">
        <v>0</v>
      </c>
      <c r="N418" s="15" t="str">
        <v/>
      </c>
      <c r="O418" s="15" t="str">
        <v/>
      </c>
      <c r="P418" s="22">
        <v>0</v>
      </c>
      <c r="Q418">
        <v>0</v>
      </c>
    </row>
    <row r="419" spans="1:17">
      <c r="A419" s="19">
        <v>0</v>
      </c>
      <c r="B419" s="19">
        <v>0</v>
      </c>
      <c r="C419" s="19">
        <v>0</v>
      </c>
      <c r="D419" s="19">
        <v>0</v>
      </c>
      <c r="E419" s="19">
        <v>0</v>
      </c>
      <c r="F419" s="19">
        <v>0</v>
      </c>
      <c r="G419" s="19">
        <v>0</v>
      </c>
      <c r="H419" s="19">
        <v>0</v>
      </c>
      <c r="I419" s="15">
        <v>3500</v>
      </c>
      <c r="J419" s="15">
        <v>0</v>
      </c>
      <c r="K419" s="15">
        <v>0</v>
      </c>
      <c r="L419" s="16">
        <v>0</v>
      </c>
      <c r="M419" s="15">
        <v>0</v>
      </c>
      <c r="N419" s="15" t="str">
        <v/>
      </c>
      <c r="O419" s="15" t="str">
        <v/>
      </c>
      <c r="P419" s="22">
        <v>0</v>
      </c>
      <c r="Q419">
        <v>0</v>
      </c>
    </row>
    <row r="420" spans="1:17">
      <c r="A420" s="19">
        <v>0</v>
      </c>
      <c r="B420" s="19">
        <v>0</v>
      </c>
      <c r="C420" s="19">
        <v>0</v>
      </c>
      <c r="D420" s="19">
        <v>0</v>
      </c>
      <c r="E420" s="19">
        <v>0</v>
      </c>
      <c r="F420" s="19">
        <v>0</v>
      </c>
      <c r="G420" s="19">
        <v>0</v>
      </c>
      <c r="H420" s="19">
        <v>0</v>
      </c>
      <c r="I420" s="15">
        <v>3500</v>
      </c>
      <c r="J420" s="15">
        <v>0</v>
      </c>
      <c r="K420" s="15">
        <v>0</v>
      </c>
      <c r="L420" s="16">
        <v>0</v>
      </c>
      <c r="M420" s="15">
        <v>0</v>
      </c>
      <c r="N420" s="15" t="str">
        <v/>
      </c>
      <c r="O420" s="15" t="str">
        <v/>
      </c>
      <c r="P420" s="22">
        <v>0</v>
      </c>
      <c r="Q420">
        <v>0</v>
      </c>
    </row>
    <row r="421" spans="1:17">
      <c r="A421" s="19">
        <v>0</v>
      </c>
      <c r="B421" s="19">
        <v>0</v>
      </c>
      <c r="C421" s="19">
        <v>0</v>
      </c>
      <c r="D421" s="19">
        <v>0</v>
      </c>
      <c r="E421" s="19">
        <v>0</v>
      </c>
      <c r="F421" s="19">
        <v>0</v>
      </c>
      <c r="G421" s="19">
        <v>0</v>
      </c>
      <c r="H421" s="19">
        <v>0</v>
      </c>
      <c r="I421" s="15">
        <v>3500</v>
      </c>
      <c r="J421" s="15">
        <v>0</v>
      </c>
      <c r="K421" s="15">
        <v>0</v>
      </c>
      <c r="L421" s="16">
        <v>0</v>
      </c>
      <c r="M421" s="15">
        <v>0</v>
      </c>
      <c r="N421" s="15" t="str">
        <v/>
      </c>
      <c r="O421" s="15" t="str">
        <v/>
      </c>
      <c r="P421" s="22">
        <v>0</v>
      </c>
      <c r="Q421">
        <v>0</v>
      </c>
    </row>
    <row r="422" spans="1:17">
      <c r="A422" s="19">
        <v>0</v>
      </c>
      <c r="B422" s="19">
        <v>0</v>
      </c>
      <c r="C422" s="19">
        <v>0</v>
      </c>
      <c r="D422" s="19">
        <v>0</v>
      </c>
      <c r="E422" s="19">
        <v>0</v>
      </c>
      <c r="F422" s="19">
        <v>0</v>
      </c>
      <c r="G422" s="19">
        <v>0</v>
      </c>
      <c r="H422" s="19">
        <v>0</v>
      </c>
      <c r="I422" s="15">
        <v>3500</v>
      </c>
      <c r="J422" s="15">
        <v>0</v>
      </c>
      <c r="K422" s="15">
        <v>0</v>
      </c>
      <c r="L422" s="16">
        <v>0</v>
      </c>
      <c r="M422" s="15">
        <v>0</v>
      </c>
      <c r="N422" s="15" t="str">
        <v/>
      </c>
      <c r="O422" s="15" t="str">
        <v/>
      </c>
      <c r="P422" s="22">
        <v>0</v>
      </c>
      <c r="Q422">
        <v>0</v>
      </c>
    </row>
    <row r="423" spans="1:17">
      <c r="A423" s="19">
        <v>0</v>
      </c>
      <c r="B423" s="19">
        <v>0</v>
      </c>
      <c r="C423" s="19">
        <v>0</v>
      </c>
      <c r="D423" s="19">
        <v>0</v>
      </c>
      <c r="E423" s="19">
        <v>0</v>
      </c>
      <c r="F423" s="19">
        <v>0</v>
      </c>
      <c r="G423" s="19">
        <v>0</v>
      </c>
      <c r="H423" s="19">
        <v>0</v>
      </c>
      <c r="I423" s="15">
        <v>3500</v>
      </c>
      <c r="J423" s="15">
        <v>0</v>
      </c>
      <c r="K423" s="15">
        <v>0</v>
      </c>
      <c r="L423" s="16">
        <v>0</v>
      </c>
      <c r="M423" s="15">
        <v>0</v>
      </c>
      <c r="N423" s="15" t="str">
        <v/>
      </c>
      <c r="O423" s="15" t="str">
        <v/>
      </c>
      <c r="P423" s="22">
        <v>0</v>
      </c>
      <c r="Q423">
        <v>0</v>
      </c>
    </row>
    <row r="424" spans="1:17">
      <c r="A424" s="19">
        <v>0</v>
      </c>
      <c r="B424" s="19">
        <v>0</v>
      </c>
      <c r="C424" s="19">
        <v>0</v>
      </c>
      <c r="D424" s="19">
        <v>0</v>
      </c>
      <c r="E424" s="19">
        <v>0</v>
      </c>
      <c r="F424" s="19">
        <v>0</v>
      </c>
      <c r="G424" s="19">
        <v>0</v>
      </c>
      <c r="H424" s="19">
        <v>0</v>
      </c>
      <c r="I424" s="15">
        <v>3500</v>
      </c>
      <c r="J424" s="15">
        <v>0</v>
      </c>
      <c r="K424" s="15">
        <v>0</v>
      </c>
      <c r="L424" s="16">
        <v>0</v>
      </c>
      <c r="M424" s="15">
        <v>0</v>
      </c>
      <c r="N424" s="15" t="str">
        <v/>
      </c>
      <c r="O424" s="15" t="str">
        <v/>
      </c>
      <c r="P424" s="22">
        <v>0</v>
      </c>
      <c r="Q424">
        <v>0</v>
      </c>
    </row>
    <row r="425" spans="1:17">
      <c r="A425" s="19">
        <v>0</v>
      </c>
      <c r="B425" s="19">
        <v>0</v>
      </c>
      <c r="C425" s="19">
        <v>0</v>
      </c>
      <c r="D425" s="19">
        <v>0</v>
      </c>
      <c r="E425" s="19">
        <v>0</v>
      </c>
      <c r="F425" s="19">
        <v>0</v>
      </c>
      <c r="G425" s="19">
        <v>0</v>
      </c>
      <c r="H425" s="19">
        <v>0</v>
      </c>
      <c r="I425" s="15">
        <v>3500</v>
      </c>
      <c r="J425" s="15">
        <v>0</v>
      </c>
      <c r="K425" s="15">
        <v>0</v>
      </c>
      <c r="L425" s="16">
        <v>0</v>
      </c>
      <c r="M425" s="15">
        <v>0</v>
      </c>
      <c r="N425" s="15" t="str">
        <v/>
      </c>
      <c r="O425" s="15" t="str">
        <v/>
      </c>
      <c r="P425" s="22">
        <v>0</v>
      </c>
      <c r="Q425">
        <v>0</v>
      </c>
    </row>
    <row r="426" spans="1:17">
      <c r="A426" s="19">
        <v>0</v>
      </c>
      <c r="B426" s="19">
        <v>0</v>
      </c>
      <c r="C426" s="19">
        <v>0</v>
      </c>
      <c r="D426" s="19">
        <v>0</v>
      </c>
      <c r="E426" s="19">
        <v>0</v>
      </c>
      <c r="F426" s="19">
        <v>0</v>
      </c>
      <c r="G426" s="19">
        <v>0</v>
      </c>
      <c r="H426" s="19">
        <v>0</v>
      </c>
      <c r="I426" s="15">
        <v>3500</v>
      </c>
      <c r="J426" s="15">
        <v>0</v>
      </c>
      <c r="K426" s="15">
        <v>0</v>
      </c>
      <c r="L426" s="16">
        <v>0</v>
      </c>
      <c r="M426" s="15">
        <v>0</v>
      </c>
      <c r="N426" s="15" t="str">
        <v/>
      </c>
      <c r="O426" s="15" t="str">
        <v/>
      </c>
      <c r="P426" s="22">
        <v>0</v>
      </c>
      <c r="Q426">
        <v>0</v>
      </c>
    </row>
    <row r="427" spans="1:17">
      <c r="A427" s="19">
        <v>0</v>
      </c>
      <c r="B427" s="19">
        <v>0</v>
      </c>
      <c r="C427" s="19">
        <v>0</v>
      </c>
      <c r="D427" s="19">
        <v>0</v>
      </c>
      <c r="E427" s="19">
        <v>0</v>
      </c>
      <c r="F427" s="19">
        <v>0</v>
      </c>
      <c r="G427" s="19">
        <v>0</v>
      </c>
      <c r="H427" s="19">
        <v>0</v>
      </c>
      <c r="I427" s="15">
        <v>3500</v>
      </c>
      <c r="J427" s="15">
        <v>0</v>
      </c>
      <c r="K427" s="15">
        <v>0</v>
      </c>
      <c r="L427" s="16">
        <v>0</v>
      </c>
      <c r="M427" s="15">
        <v>0</v>
      </c>
      <c r="N427" s="15" t="str">
        <v/>
      </c>
      <c r="O427" s="15" t="str">
        <v/>
      </c>
      <c r="P427" s="22">
        <v>0</v>
      </c>
      <c r="Q427">
        <v>0</v>
      </c>
    </row>
    <row r="428" spans="1:17">
      <c r="A428" s="19">
        <v>0</v>
      </c>
      <c r="B428" s="19">
        <v>0</v>
      </c>
      <c r="C428" s="19">
        <v>0</v>
      </c>
      <c r="D428" s="19">
        <v>0</v>
      </c>
      <c r="E428" s="19">
        <v>0</v>
      </c>
      <c r="F428" s="19">
        <v>0</v>
      </c>
      <c r="G428" s="19">
        <v>0</v>
      </c>
      <c r="H428" s="19">
        <v>0</v>
      </c>
      <c r="I428" s="15">
        <v>3500</v>
      </c>
      <c r="J428" s="15">
        <v>0</v>
      </c>
      <c r="K428" s="15">
        <v>0</v>
      </c>
      <c r="L428" s="16">
        <v>0</v>
      </c>
      <c r="M428" s="15">
        <v>0</v>
      </c>
      <c r="N428" s="15" t="str">
        <v/>
      </c>
      <c r="O428" s="15" t="str">
        <v/>
      </c>
      <c r="P428" s="22">
        <v>0</v>
      </c>
      <c r="Q428">
        <v>0</v>
      </c>
    </row>
    <row r="429" spans="1:17">
      <c r="A429" s="19">
        <v>0</v>
      </c>
      <c r="B429" s="19">
        <v>0</v>
      </c>
      <c r="C429" s="19">
        <v>0</v>
      </c>
      <c r="D429" s="19">
        <v>0</v>
      </c>
      <c r="E429" s="19">
        <v>0</v>
      </c>
      <c r="F429" s="19">
        <v>0</v>
      </c>
      <c r="G429" s="19">
        <v>0</v>
      </c>
      <c r="H429" s="19">
        <v>0</v>
      </c>
      <c r="I429" s="15">
        <v>3500</v>
      </c>
      <c r="J429" s="15">
        <v>0</v>
      </c>
      <c r="K429" s="15">
        <v>0</v>
      </c>
      <c r="L429" s="16">
        <v>0</v>
      </c>
      <c r="M429" s="15">
        <v>0</v>
      </c>
      <c r="N429" s="15" t="str">
        <v/>
      </c>
      <c r="O429" s="15" t="str">
        <v/>
      </c>
      <c r="P429" s="22">
        <v>0</v>
      </c>
      <c r="Q429">
        <v>0</v>
      </c>
    </row>
    <row r="430" spans="1:17">
      <c r="A430" s="19">
        <v>0</v>
      </c>
      <c r="B430" s="19">
        <v>0</v>
      </c>
      <c r="C430" s="19">
        <v>0</v>
      </c>
      <c r="D430" s="19">
        <v>0</v>
      </c>
      <c r="E430" s="19">
        <v>0</v>
      </c>
      <c r="F430" s="19">
        <v>0</v>
      </c>
      <c r="G430" s="19">
        <v>0</v>
      </c>
      <c r="H430" s="19">
        <v>0</v>
      </c>
      <c r="I430" s="15">
        <v>3500</v>
      </c>
      <c r="J430" s="15">
        <v>0</v>
      </c>
      <c r="K430" s="15">
        <v>0</v>
      </c>
      <c r="L430" s="16">
        <v>0</v>
      </c>
      <c r="M430" s="15">
        <v>0</v>
      </c>
      <c r="N430" s="15" t="str">
        <v/>
      </c>
      <c r="O430" s="15" t="str">
        <v/>
      </c>
      <c r="P430" s="22">
        <v>0</v>
      </c>
      <c r="Q430">
        <v>0</v>
      </c>
    </row>
    <row r="431" spans="1:17">
      <c r="A431" s="19">
        <v>0</v>
      </c>
      <c r="B431" s="19">
        <v>0</v>
      </c>
      <c r="C431" s="19">
        <v>0</v>
      </c>
      <c r="D431" s="19">
        <v>0</v>
      </c>
      <c r="E431" s="19">
        <v>0</v>
      </c>
      <c r="F431" s="19">
        <v>0</v>
      </c>
      <c r="G431" s="19">
        <v>0</v>
      </c>
      <c r="H431" s="19">
        <v>0</v>
      </c>
      <c r="I431" s="15">
        <v>3500</v>
      </c>
      <c r="J431" s="15">
        <v>0</v>
      </c>
      <c r="K431" s="15">
        <v>0</v>
      </c>
      <c r="L431" s="16">
        <v>0</v>
      </c>
      <c r="M431" s="15">
        <v>0</v>
      </c>
      <c r="N431" s="15" t="str">
        <v/>
      </c>
      <c r="O431" s="15" t="str">
        <v/>
      </c>
      <c r="P431" s="22">
        <v>0</v>
      </c>
      <c r="Q431">
        <v>0</v>
      </c>
    </row>
    <row r="432" spans="1:17">
      <c r="A432" s="19">
        <v>0</v>
      </c>
      <c r="B432" s="19">
        <v>0</v>
      </c>
      <c r="C432" s="19">
        <v>0</v>
      </c>
      <c r="D432" s="19">
        <v>0</v>
      </c>
      <c r="E432" s="19">
        <v>0</v>
      </c>
      <c r="F432" s="19">
        <v>0</v>
      </c>
      <c r="G432" s="19">
        <v>0</v>
      </c>
      <c r="H432" s="19">
        <v>0</v>
      </c>
      <c r="I432" s="15">
        <v>3500</v>
      </c>
      <c r="J432" s="15">
        <v>0</v>
      </c>
      <c r="K432" s="15">
        <v>0</v>
      </c>
      <c r="L432" s="16">
        <v>0</v>
      </c>
      <c r="M432" s="15">
        <v>0</v>
      </c>
      <c r="N432" s="15" t="str">
        <v/>
      </c>
      <c r="O432" s="15" t="str">
        <v/>
      </c>
      <c r="P432" s="22">
        <v>0</v>
      </c>
      <c r="Q432">
        <v>0</v>
      </c>
    </row>
    <row r="433" spans="1:17">
      <c r="A433" s="19">
        <v>0</v>
      </c>
      <c r="B433" s="19">
        <v>0</v>
      </c>
      <c r="C433" s="19">
        <v>0</v>
      </c>
      <c r="D433" s="19">
        <v>0</v>
      </c>
      <c r="E433" s="19">
        <v>0</v>
      </c>
      <c r="F433" s="19">
        <v>0</v>
      </c>
      <c r="G433" s="19">
        <v>0</v>
      </c>
      <c r="H433" s="19">
        <v>0</v>
      </c>
      <c r="I433" s="15">
        <v>3500</v>
      </c>
      <c r="J433" s="15">
        <v>0</v>
      </c>
      <c r="K433" s="15">
        <v>0</v>
      </c>
      <c r="L433" s="16">
        <v>0</v>
      </c>
      <c r="M433" s="15">
        <v>0</v>
      </c>
      <c r="N433" s="15" t="str">
        <v/>
      </c>
      <c r="O433" s="15" t="str">
        <v/>
      </c>
      <c r="P433" s="22">
        <v>0</v>
      </c>
      <c r="Q433">
        <v>0</v>
      </c>
    </row>
    <row r="434" spans="1:17">
      <c r="A434" s="19">
        <v>0</v>
      </c>
      <c r="B434" s="19">
        <v>0</v>
      </c>
      <c r="C434" s="19">
        <v>0</v>
      </c>
      <c r="D434" s="19">
        <v>0</v>
      </c>
      <c r="E434" s="19">
        <v>0</v>
      </c>
      <c r="F434" s="19">
        <v>0</v>
      </c>
      <c r="G434" s="19">
        <v>0</v>
      </c>
      <c r="H434" s="19">
        <v>0</v>
      </c>
      <c r="I434" s="15">
        <v>3500</v>
      </c>
      <c r="J434" s="15">
        <v>0</v>
      </c>
      <c r="K434" s="15">
        <v>0</v>
      </c>
      <c r="L434" s="16">
        <v>0</v>
      </c>
      <c r="M434" s="15">
        <v>0</v>
      </c>
      <c r="N434" s="15" t="str">
        <v/>
      </c>
      <c r="O434" s="15" t="str">
        <v/>
      </c>
      <c r="P434" s="22">
        <v>0</v>
      </c>
      <c r="Q434">
        <v>0</v>
      </c>
    </row>
    <row r="435" spans="1:17">
      <c r="A435" s="19">
        <v>0</v>
      </c>
      <c r="B435" s="19">
        <v>0</v>
      </c>
      <c r="C435" s="19">
        <v>0</v>
      </c>
      <c r="D435" s="19">
        <v>0</v>
      </c>
      <c r="E435" s="19">
        <v>0</v>
      </c>
      <c r="F435" s="19">
        <v>0</v>
      </c>
      <c r="G435" s="19">
        <v>0</v>
      </c>
      <c r="H435" s="19">
        <v>0</v>
      </c>
      <c r="I435" s="15">
        <v>3500</v>
      </c>
      <c r="J435" s="15">
        <v>0</v>
      </c>
      <c r="K435" s="15">
        <v>0</v>
      </c>
      <c r="L435" s="16">
        <v>0</v>
      </c>
      <c r="M435" s="15">
        <v>0</v>
      </c>
      <c r="N435" s="15" t="str">
        <v/>
      </c>
      <c r="O435" s="15" t="str">
        <v/>
      </c>
      <c r="P435" s="22">
        <v>0</v>
      </c>
      <c r="Q435">
        <v>0</v>
      </c>
    </row>
    <row r="436" spans="1:17">
      <c r="A436" s="19">
        <v>0</v>
      </c>
      <c r="B436" s="19">
        <v>0</v>
      </c>
      <c r="C436" s="19">
        <v>0</v>
      </c>
      <c r="D436" s="19">
        <v>0</v>
      </c>
      <c r="E436" s="19">
        <v>0</v>
      </c>
      <c r="F436" s="19">
        <v>0</v>
      </c>
      <c r="G436" s="19">
        <v>0</v>
      </c>
      <c r="H436" s="19">
        <v>0</v>
      </c>
      <c r="I436" s="15">
        <v>3500</v>
      </c>
      <c r="J436" s="15">
        <v>0</v>
      </c>
      <c r="K436" s="15">
        <v>0</v>
      </c>
      <c r="L436" s="16">
        <v>0</v>
      </c>
      <c r="M436" s="15">
        <v>0</v>
      </c>
      <c r="N436" s="15" t="str">
        <v/>
      </c>
      <c r="O436" s="15" t="str">
        <v/>
      </c>
      <c r="P436" s="22">
        <v>0</v>
      </c>
      <c r="Q436">
        <v>0</v>
      </c>
    </row>
    <row r="437" spans="1:17">
      <c r="A437" s="19">
        <v>0</v>
      </c>
      <c r="B437" s="19">
        <v>0</v>
      </c>
      <c r="C437" s="19">
        <v>0</v>
      </c>
      <c r="D437" s="19">
        <v>0</v>
      </c>
      <c r="E437" s="19">
        <v>0</v>
      </c>
      <c r="F437" s="19">
        <v>0</v>
      </c>
      <c r="G437" s="19">
        <v>0</v>
      </c>
      <c r="H437" s="19">
        <v>0</v>
      </c>
      <c r="I437" s="15">
        <v>3500</v>
      </c>
      <c r="J437" s="15">
        <v>0</v>
      </c>
      <c r="K437" s="15">
        <v>0</v>
      </c>
      <c r="L437" s="16">
        <v>0</v>
      </c>
      <c r="M437" s="15">
        <v>0</v>
      </c>
      <c r="N437" s="15" t="str">
        <v/>
      </c>
      <c r="O437" s="15" t="str">
        <v/>
      </c>
      <c r="P437" s="22">
        <v>0</v>
      </c>
      <c r="Q437">
        <v>0</v>
      </c>
    </row>
    <row r="438" spans="1:17">
      <c r="A438" s="19">
        <v>0</v>
      </c>
      <c r="B438" s="19">
        <v>0</v>
      </c>
      <c r="C438" s="19">
        <v>0</v>
      </c>
      <c r="D438" s="19">
        <v>0</v>
      </c>
      <c r="E438" s="19">
        <v>0</v>
      </c>
      <c r="F438" s="19">
        <v>0</v>
      </c>
      <c r="G438" s="19">
        <v>0</v>
      </c>
      <c r="H438" s="19">
        <v>0</v>
      </c>
      <c r="I438" s="15">
        <v>3500</v>
      </c>
      <c r="J438" s="15">
        <v>0</v>
      </c>
      <c r="K438" s="15">
        <v>0</v>
      </c>
      <c r="L438" s="16">
        <v>0</v>
      </c>
      <c r="M438" s="15">
        <v>0</v>
      </c>
      <c r="N438" s="15" t="str">
        <v/>
      </c>
      <c r="O438" s="15" t="str">
        <v/>
      </c>
      <c r="P438" s="22">
        <v>0</v>
      </c>
      <c r="Q438">
        <v>0</v>
      </c>
    </row>
    <row r="439" spans="1:17">
      <c r="A439" s="19">
        <v>0</v>
      </c>
      <c r="B439" s="19">
        <v>0</v>
      </c>
      <c r="C439" s="19">
        <v>0</v>
      </c>
      <c r="D439" s="19">
        <v>0</v>
      </c>
      <c r="E439" s="19">
        <v>0</v>
      </c>
      <c r="F439" s="19">
        <v>0</v>
      </c>
      <c r="G439" s="19">
        <v>0</v>
      </c>
      <c r="H439" s="19">
        <v>0</v>
      </c>
      <c r="I439" s="15">
        <v>3500</v>
      </c>
      <c r="J439" s="15">
        <v>0</v>
      </c>
      <c r="K439" s="15">
        <v>0</v>
      </c>
      <c r="L439" s="16">
        <v>0</v>
      </c>
      <c r="M439" s="15">
        <v>0</v>
      </c>
      <c r="N439" s="15" t="str">
        <v/>
      </c>
      <c r="O439" s="15" t="str">
        <v/>
      </c>
      <c r="P439" s="22">
        <v>0</v>
      </c>
      <c r="Q439">
        <v>0</v>
      </c>
    </row>
    <row r="440" spans="1:17">
      <c r="A440" s="19">
        <v>0</v>
      </c>
      <c r="B440" s="19">
        <v>0</v>
      </c>
      <c r="C440" s="19">
        <v>0</v>
      </c>
      <c r="D440" s="19">
        <v>0</v>
      </c>
      <c r="E440" s="19">
        <v>0</v>
      </c>
      <c r="F440" s="19">
        <v>0</v>
      </c>
      <c r="G440" s="19">
        <v>0</v>
      </c>
      <c r="H440" s="19">
        <v>0</v>
      </c>
      <c r="I440" s="15">
        <v>3500</v>
      </c>
      <c r="J440" s="15">
        <v>0</v>
      </c>
      <c r="K440" s="15">
        <v>0</v>
      </c>
      <c r="L440" s="16">
        <v>0</v>
      </c>
      <c r="M440" s="15">
        <v>0</v>
      </c>
      <c r="N440" s="15" t="str">
        <v/>
      </c>
      <c r="O440" s="15" t="str">
        <v/>
      </c>
      <c r="P440" s="22">
        <v>0</v>
      </c>
      <c r="Q440">
        <v>0</v>
      </c>
    </row>
    <row r="441" spans="1:17">
      <c r="A441" s="19">
        <v>0</v>
      </c>
      <c r="B441" s="19">
        <v>0</v>
      </c>
      <c r="C441" s="19">
        <v>0</v>
      </c>
      <c r="D441" s="19">
        <v>0</v>
      </c>
      <c r="E441" s="19">
        <v>0</v>
      </c>
      <c r="F441" s="19">
        <v>0</v>
      </c>
      <c r="G441" s="19">
        <v>0</v>
      </c>
      <c r="H441" s="19">
        <v>0</v>
      </c>
      <c r="I441" s="15">
        <v>3500</v>
      </c>
      <c r="J441" s="15">
        <v>0</v>
      </c>
      <c r="K441" s="15">
        <v>0</v>
      </c>
      <c r="L441" s="16">
        <v>0</v>
      </c>
      <c r="M441" s="15">
        <v>0</v>
      </c>
      <c r="N441" s="15" t="str">
        <v/>
      </c>
      <c r="O441" s="15" t="str">
        <v/>
      </c>
      <c r="P441" s="22">
        <v>0</v>
      </c>
      <c r="Q441">
        <v>0</v>
      </c>
    </row>
    <row r="442" spans="1:17">
      <c r="A442" s="19">
        <v>0</v>
      </c>
      <c r="B442" s="19">
        <v>0</v>
      </c>
      <c r="C442" s="19">
        <v>0</v>
      </c>
      <c r="D442" s="19">
        <v>0</v>
      </c>
      <c r="E442" s="19">
        <v>0</v>
      </c>
      <c r="F442" s="19">
        <v>0</v>
      </c>
      <c r="G442" s="19">
        <v>0</v>
      </c>
      <c r="H442" s="19">
        <v>0</v>
      </c>
      <c r="I442" s="15">
        <v>3500</v>
      </c>
      <c r="J442" s="15">
        <v>0</v>
      </c>
      <c r="K442" s="15">
        <v>0</v>
      </c>
      <c r="L442" s="16">
        <v>0</v>
      </c>
      <c r="M442" s="15">
        <v>0</v>
      </c>
      <c r="N442" s="15" t="str">
        <v/>
      </c>
      <c r="O442" s="15" t="str">
        <v/>
      </c>
      <c r="P442" s="22">
        <v>0</v>
      </c>
      <c r="Q442">
        <v>0</v>
      </c>
    </row>
    <row r="443" spans="1:17">
      <c r="A443" s="19">
        <v>0</v>
      </c>
      <c r="B443" s="19">
        <v>0</v>
      </c>
      <c r="C443" s="19">
        <v>0</v>
      </c>
      <c r="D443" s="19">
        <v>0</v>
      </c>
      <c r="E443" s="19">
        <v>0</v>
      </c>
      <c r="F443" s="19">
        <v>0</v>
      </c>
      <c r="G443" s="19">
        <v>0</v>
      </c>
      <c r="H443" s="19">
        <v>0</v>
      </c>
      <c r="I443" s="15">
        <v>3500</v>
      </c>
      <c r="J443" s="15">
        <v>0</v>
      </c>
      <c r="K443" s="15">
        <v>0</v>
      </c>
      <c r="L443" s="16">
        <v>0</v>
      </c>
      <c r="M443" s="15">
        <v>0</v>
      </c>
      <c r="N443" s="15" t="str">
        <v/>
      </c>
      <c r="O443" s="15" t="str">
        <v/>
      </c>
      <c r="P443" s="22">
        <v>0</v>
      </c>
      <c r="Q443">
        <v>0</v>
      </c>
    </row>
    <row r="444" spans="1:17">
      <c r="A444" s="19">
        <v>0</v>
      </c>
      <c r="B444" s="19">
        <v>0</v>
      </c>
      <c r="C444" s="19">
        <v>0</v>
      </c>
      <c r="D444" s="19">
        <v>0</v>
      </c>
      <c r="E444" s="19">
        <v>0</v>
      </c>
      <c r="F444" s="19">
        <v>0</v>
      </c>
      <c r="G444" s="19">
        <v>0</v>
      </c>
      <c r="H444" s="19">
        <v>0</v>
      </c>
      <c r="I444" s="15">
        <v>3500</v>
      </c>
      <c r="J444" s="15">
        <v>0</v>
      </c>
      <c r="K444" s="15">
        <v>0</v>
      </c>
      <c r="L444" s="16">
        <v>0</v>
      </c>
      <c r="M444" s="15">
        <v>0</v>
      </c>
      <c r="N444" s="15" t="str">
        <v/>
      </c>
      <c r="O444" s="15" t="str">
        <v/>
      </c>
      <c r="P444" s="22">
        <v>0</v>
      </c>
      <c r="Q444">
        <v>0</v>
      </c>
    </row>
    <row r="445" spans="1:17">
      <c r="A445" s="19">
        <v>0</v>
      </c>
      <c r="B445" s="19">
        <v>0</v>
      </c>
      <c r="C445" s="19">
        <v>0</v>
      </c>
      <c r="D445" s="19">
        <v>0</v>
      </c>
      <c r="E445" s="19">
        <v>0</v>
      </c>
      <c r="F445" s="19">
        <v>0</v>
      </c>
      <c r="G445" s="19">
        <v>0</v>
      </c>
      <c r="H445" s="19">
        <v>0</v>
      </c>
      <c r="I445" s="15">
        <v>3500</v>
      </c>
      <c r="J445" s="15">
        <v>0</v>
      </c>
      <c r="K445" s="15">
        <v>0</v>
      </c>
      <c r="L445" s="16">
        <v>0</v>
      </c>
      <c r="M445" s="15">
        <v>0</v>
      </c>
      <c r="N445" s="15" t="str">
        <v/>
      </c>
      <c r="O445" s="15" t="str">
        <v/>
      </c>
      <c r="P445" s="22">
        <v>0</v>
      </c>
      <c r="Q445">
        <v>0</v>
      </c>
    </row>
    <row r="446" spans="1:17">
      <c r="A446" s="19">
        <v>0</v>
      </c>
      <c r="B446" s="19">
        <v>0</v>
      </c>
      <c r="C446" s="19">
        <v>0</v>
      </c>
      <c r="D446" s="19">
        <v>0</v>
      </c>
      <c r="E446" s="19">
        <v>0</v>
      </c>
      <c r="F446" s="19">
        <v>0</v>
      </c>
      <c r="G446" s="19">
        <v>0</v>
      </c>
      <c r="H446" s="19">
        <v>0</v>
      </c>
      <c r="I446" s="15">
        <v>3500</v>
      </c>
      <c r="J446" s="15">
        <v>0</v>
      </c>
      <c r="K446" s="15">
        <v>0</v>
      </c>
      <c r="L446" s="16">
        <v>0</v>
      </c>
      <c r="M446" s="15">
        <v>0</v>
      </c>
      <c r="N446" s="15" t="str">
        <v/>
      </c>
      <c r="O446" s="15" t="str">
        <v/>
      </c>
      <c r="P446" s="22">
        <v>0</v>
      </c>
      <c r="Q446">
        <v>0</v>
      </c>
    </row>
    <row r="447" spans="1:17">
      <c r="A447" s="19">
        <v>0</v>
      </c>
      <c r="B447" s="19">
        <v>0</v>
      </c>
      <c r="C447" s="19">
        <v>0</v>
      </c>
      <c r="D447" s="19">
        <v>0</v>
      </c>
      <c r="E447" s="19">
        <v>0</v>
      </c>
      <c r="F447" s="19">
        <v>0</v>
      </c>
      <c r="G447" s="19">
        <v>0</v>
      </c>
      <c r="H447" s="19">
        <v>0</v>
      </c>
      <c r="I447" s="15">
        <v>3500</v>
      </c>
      <c r="J447" s="15">
        <v>0</v>
      </c>
      <c r="K447" s="15">
        <v>0</v>
      </c>
      <c r="L447" s="16">
        <v>0</v>
      </c>
      <c r="M447" s="15">
        <v>0</v>
      </c>
      <c r="N447" s="15" t="str">
        <v/>
      </c>
      <c r="O447" s="15" t="str">
        <v/>
      </c>
      <c r="P447" s="22">
        <v>0</v>
      </c>
      <c r="Q447">
        <v>0</v>
      </c>
    </row>
    <row r="448" spans="1:17">
      <c r="A448" s="19">
        <v>0</v>
      </c>
      <c r="B448" s="19">
        <v>0</v>
      </c>
      <c r="C448" s="19">
        <v>0</v>
      </c>
      <c r="D448" s="19">
        <v>0</v>
      </c>
      <c r="E448" s="19">
        <v>0</v>
      </c>
      <c r="F448" s="19">
        <v>0</v>
      </c>
      <c r="G448" s="19">
        <v>0</v>
      </c>
      <c r="H448" s="19">
        <v>0</v>
      </c>
      <c r="I448" s="15">
        <v>3500</v>
      </c>
      <c r="J448" s="15">
        <v>0</v>
      </c>
      <c r="K448" s="15">
        <v>0</v>
      </c>
      <c r="L448" s="16">
        <v>0</v>
      </c>
      <c r="M448" s="15">
        <v>0</v>
      </c>
      <c r="N448" s="15" t="str">
        <v/>
      </c>
      <c r="O448" s="15" t="str">
        <v/>
      </c>
      <c r="P448" s="22">
        <v>0</v>
      </c>
      <c r="Q448">
        <v>0</v>
      </c>
    </row>
    <row r="449" spans="1:17">
      <c r="A449" s="19">
        <v>0</v>
      </c>
      <c r="B449" s="19">
        <v>0</v>
      </c>
      <c r="C449" s="19">
        <v>0</v>
      </c>
      <c r="D449" s="19">
        <v>0</v>
      </c>
      <c r="E449" s="19">
        <v>0</v>
      </c>
      <c r="F449" s="19">
        <v>0</v>
      </c>
      <c r="G449" s="19">
        <v>0</v>
      </c>
      <c r="H449" s="19">
        <v>0</v>
      </c>
      <c r="I449" s="15">
        <v>3500</v>
      </c>
      <c r="J449" s="15">
        <v>0</v>
      </c>
      <c r="K449" s="15">
        <v>0</v>
      </c>
      <c r="L449" s="16">
        <v>0</v>
      </c>
      <c r="M449" s="15">
        <v>0</v>
      </c>
      <c r="N449" s="15" t="str">
        <v/>
      </c>
      <c r="O449" s="15" t="str">
        <v/>
      </c>
      <c r="P449" s="22">
        <v>0</v>
      </c>
      <c r="Q449">
        <v>0</v>
      </c>
    </row>
    <row r="450" spans="1:17">
      <c r="A450" s="19">
        <v>0</v>
      </c>
      <c r="B450" s="19">
        <v>0</v>
      </c>
      <c r="C450" s="19">
        <v>0</v>
      </c>
      <c r="D450" s="19">
        <v>0</v>
      </c>
      <c r="E450" s="19">
        <v>0</v>
      </c>
      <c r="F450" s="19">
        <v>0</v>
      </c>
      <c r="G450" s="19">
        <v>0</v>
      </c>
      <c r="H450" s="19">
        <v>0</v>
      </c>
      <c r="I450" s="15">
        <v>3500</v>
      </c>
      <c r="J450" s="15">
        <v>0</v>
      </c>
      <c r="K450" s="15">
        <v>0</v>
      </c>
      <c r="L450" s="16">
        <v>0</v>
      </c>
      <c r="M450" s="15">
        <v>0</v>
      </c>
      <c r="N450" s="15" t="str">
        <v/>
      </c>
      <c r="O450" s="15" t="str">
        <v/>
      </c>
      <c r="P450" s="22">
        <v>0</v>
      </c>
      <c r="Q450">
        <v>0</v>
      </c>
    </row>
    <row r="451" spans="1:17">
      <c r="A451" s="19">
        <v>0</v>
      </c>
      <c r="B451" s="19">
        <v>0</v>
      </c>
      <c r="C451" s="19">
        <v>0</v>
      </c>
      <c r="D451" s="19">
        <v>0</v>
      </c>
      <c r="E451" s="19">
        <v>0</v>
      </c>
      <c r="F451" s="19">
        <v>0</v>
      </c>
      <c r="G451" s="19">
        <v>0</v>
      </c>
      <c r="H451" s="19">
        <v>0</v>
      </c>
      <c r="I451" s="15">
        <v>3500</v>
      </c>
      <c r="J451" s="15">
        <v>0</v>
      </c>
      <c r="K451" s="15">
        <v>0</v>
      </c>
      <c r="L451" s="16">
        <v>0</v>
      </c>
      <c r="M451" s="15">
        <v>0</v>
      </c>
      <c r="N451" s="15" t="str">
        <v/>
      </c>
      <c r="O451" s="15" t="str">
        <v/>
      </c>
      <c r="P451" s="22">
        <v>0</v>
      </c>
      <c r="Q451">
        <v>0</v>
      </c>
    </row>
    <row r="452" spans="1:17">
      <c r="A452" s="19">
        <v>0</v>
      </c>
      <c r="B452" s="19">
        <v>0</v>
      </c>
      <c r="C452" s="19">
        <v>0</v>
      </c>
      <c r="D452" s="19">
        <v>0</v>
      </c>
      <c r="E452" s="19">
        <v>0</v>
      </c>
      <c r="F452" s="19">
        <v>0</v>
      </c>
      <c r="G452" s="19">
        <v>0</v>
      </c>
      <c r="H452" s="19">
        <v>0</v>
      </c>
      <c r="I452" s="15">
        <v>3500</v>
      </c>
      <c r="J452" s="15">
        <v>0</v>
      </c>
      <c r="K452" s="15">
        <v>0</v>
      </c>
      <c r="L452" s="16">
        <v>0</v>
      </c>
      <c r="M452" s="15">
        <v>0</v>
      </c>
      <c r="N452" s="15" t="str">
        <v/>
      </c>
      <c r="O452" s="15" t="str">
        <v/>
      </c>
      <c r="P452" s="22">
        <v>0</v>
      </c>
      <c r="Q452">
        <v>0</v>
      </c>
    </row>
    <row r="453" spans="1:17">
      <c r="A453" s="19">
        <v>0</v>
      </c>
      <c r="B453" s="19">
        <v>0</v>
      </c>
      <c r="C453" s="19">
        <v>0</v>
      </c>
      <c r="D453" s="19">
        <v>0</v>
      </c>
      <c r="E453" s="19">
        <v>0</v>
      </c>
      <c r="F453" s="19">
        <v>0</v>
      </c>
      <c r="G453" s="19">
        <v>0</v>
      </c>
      <c r="H453" s="19">
        <v>0</v>
      </c>
      <c r="I453" s="15">
        <v>3500</v>
      </c>
      <c r="J453" s="15">
        <v>0</v>
      </c>
      <c r="K453" s="15">
        <v>0</v>
      </c>
      <c r="L453" s="16">
        <v>0</v>
      </c>
      <c r="M453" s="15">
        <v>0</v>
      </c>
      <c r="N453" s="15" t="str">
        <v/>
      </c>
      <c r="O453" s="15" t="str">
        <v/>
      </c>
      <c r="P453" s="22">
        <v>0</v>
      </c>
      <c r="Q453">
        <v>0</v>
      </c>
    </row>
    <row r="454" spans="1:17">
      <c r="A454" s="19">
        <v>0</v>
      </c>
      <c r="B454" s="19">
        <v>0</v>
      </c>
      <c r="C454" s="19">
        <v>0</v>
      </c>
      <c r="D454" s="19">
        <v>0</v>
      </c>
      <c r="E454" s="19">
        <v>0</v>
      </c>
      <c r="F454" s="19">
        <v>0</v>
      </c>
      <c r="G454" s="19">
        <v>0</v>
      </c>
      <c r="H454" s="19">
        <v>0</v>
      </c>
      <c r="I454" s="15">
        <v>3500</v>
      </c>
      <c r="J454" s="15">
        <v>0</v>
      </c>
      <c r="K454" s="15">
        <v>0</v>
      </c>
      <c r="L454" s="16">
        <v>0</v>
      </c>
      <c r="M454" s="15">
        <v>0</v>
      </c>
      <c r="N454" s="15" t="str">
        <v/>
      </c>
      <c r="O454" s="15" t="str">
        <v/>
      </c>
      <c r="P454" s="22">
        <v>0</v>
      </c>
      <c r="Q454">
        <v>0</v>
      </c>
    </row>
    <row r="455" spans="1:17">
      <c r="A455" s="19">
        <v>0</v>
      </c>
      <c r="B455" s="19">
        <v>0</v>
      </c>
      <c r="C455" s="19">
        <v>0</v>
      </c>
      <c r="D455" s="19">
        <v>0</v>
      </c>
      <c r="E455" s="19">
        <v>0</v>
      </c>
      <c r="F455" s="19">
        <v>0</v>
      </c>
      <c r="G455" s="19">
        <v>0</v>
      </c>
      <c r="H455" s="19">
        <v>0</v>
      </c>
      <c r="I455" s="15">
        <v>3500</v>
      </c>
      <c r="J455" s="15">
        <v>0</v>
      </c>
      <c r="K455" s="15">
        <v>0</v>
      </c>
      <c r="L455" s="16">
        <v>0</v>
      </c>
      <c r="M455" s="15">
        <v>0</v>
      </c>
      <c r="N455" s="15" t="str">
        <v/>
      </c>
      <c r="O455" s="15" t="str">
        <v/>
      </c>
      <c r="P455" s="22">
        <v>0</v>
      </c>
      <c r="Q455">
        <v>0</v>
      </c>
    </row>
    <row r="456" spans="1:17">
      <c r="A456" s="19">
        <v>0</v>
      </c>
      <c r="B456" s="19">
        <v>0</v>
      </c>
      <c r="C456" s="19">
        <v>0</v>
      </c>
      <c r="D456" s="19">
        <v>0</v>
      </c>
      <c r="E456" s="19">
        <v>0</v>
      </c>
      <c r="F456" s="19">
        <v>0</v>
      </c>
      <c r="G456" s="19">
        <v>0</v>
      </c>
      <c r="H456" s="19">
        <v>0</v>
      </c>
      <c r="I456" s="15">
        <v>3500</v>
      </c>
      <c r="J456" s="15">
        <v>0</v>
      </c>
      <c r="K456" s="15">
        <v>0</v>
      </c>
      <c r="L456" s="16">
        <v>0</v>
      </c>
      <c r="M456" s="15">
        <v>0</v>
      </c>
      <c r="N456" s="15" t="str">
        <v/>
      </c>
      <c r="O456" s="15" t="str">
        <v/>
      </c>
      <c r="P456" s="22">
        <v>0</v>
      </c>
      <c r="Q456">
        <v>0</v>
      </c>
    </row>
    <row r="457" spans="1:17">
      <c r="A457" s="19">
        <v>0</v>
      </c>
      <c r="B457" s="19">
        <v>0</v>
      </c>
      <c r="C457" s="19">
        <v>0</v>
      </c>
      <c r="D457" s="19">
        <v>0</v>
      </c>
      <c r="E457" s="19">
        <v>0</v>
      </c>
      <c r="F457" s="19">
        <v>0</v>
      </c>
      <c r="G457" s="19">
        <v>0</v>
      </c>
      <c r="H457" s="19">
        <v>0</v>
      </c>
      <c r="I457" s="15">
        <v>3500</v>
      </c>
      <c r="J457" s="15">
        <v>0</v>
      </c>
      <c r="K457" s="15">
        <v>0</v>
      </c>
      <c r="L457" s="16">
        <v>0</v>
      </c>
      <c r="M457" s="15">
        <v>0</v>
      </c>
      <c r="N457" s="15" t="str">
        <v/>
      </c>
      <c r="O457" s="15" t="str">
        <v/>
      </c>
      <c r="P457" s="22">
        <v>0</v>
      </c>
      <c r="Q457">
        <v>0</v>
      </c>
    </row>
    <row r="458" spans="1:17">
      <c r="A458" s="19">
        <v>0</v>
      </c>
      <c r="B458" s="19">
        <v>0</v>
      </c>
      <c r="C458" s="19">
        <v>0</v>
      </c>
      <c r="D458" s="19">
        <v>0</v>
      </c>
      <c r="E458" s="19">
        <v>0</v>
      </c>
      <c r="F458" s="19">
        <v>0</v>
      </c>
      <c r="G458" s="19">
        <v>0</v>
      </c>
      <c r="H458" s="19">
        <v>0</v>
      </c>
      <c r="I458" s="15">
        <v>3500</v>
      </c>
      <c r="J458" s="15">
        <v>0</v>
      </c>
      <c r="K458" s="15">
        <v>0</v>
      </c>
      <c r="L458" s="16">
        <v>0</v>
      </c>
      <c r="M458" s="15">
        <v>0</v>
      </c>
      <c r="N458" s="15" t="str">
        <v/>
      </c>
      <c r="O458" s="15" t="str">
        <v/>
      </c>
      <c r="P458" s="22">
        <v>0</v>
      </c>
      <c r="Q458">
        <v>0</v>
      </c>
    </row>
    <row r="459" spans="1:17">
      <c r="A459" s="19">
        <v>0</v>
      </c>
      <c r="B459" s="19">
        <v>0</v>
      </c>
      <c r="C459" s="19">
        <v>0</v>
      </c>
      <c r="D459" s="19">
        <v>0</v>
      </c>
      <c r="E459" s="19">
        <v>0</v>
      </c>
      <c r="F459" s="19">
        <v>0</v>
      </c>
      <c r="G459" s="19">
        <v>0</v>
      </c>
      <c r="H459" s="19">
        <v>0</v>
      </c>
      <c r="I459" s="15">
        <v>3500</v>
      </c>
      <c r="J459" s="15">
        <v>0</v>
      </c>
      <c r="K459" s="15">
        <v>0</v>
      </c>
      <c r="L459" s="16">
        <v>0</v>
      </c>
      <c r="M459" s="15">
        <v>0</v>
      </c>
      <c r="N459" s="15" t="str">
        <v/>
      </c>
      <c r="O459" s="15" t="str">
        <v/>
      </c>
      <c r="P459" s="22">
        <v>0</v>
      </c>
      <c r="Q459">
        <v>0</v>
      </c>
    </row>
    <row r="460" spans="1:17">
      <c r="A460" s="19">
        <v>0</v>
      </c>
      <c r="B460" s="19">
        <v>0</v>
      </c>
      <c r="C460" s="19">
        <v>0</v>
      </c>
      <c r="D460" s="19">
        <v>0</v>
      </c>
      <c r="E460" s="19">
        <v>0</v>
      </c>
      <c r="F460" s="19">
        <v>0</v>
      </c>
      <c r="G460" s="19">
        <v>0</v>
      </c>
      <c r="H460" s="19">
        <v>0</v>
      </c>
      <c r="I460" s="15">
        <v>3500</v>
      </c>
      <c r="J460" s="15">
        <v>0</v>
      </c>
      <c r="K460" s="15">
        <v>0</v>
      </c>
      <c r="L460" s="16">
        <v>0</v>
      </c>
      <c r="M460" s="15">
        <v>0</v>
      </c>
      <c r="N460" s="15" t="str">
        <v/>
      </c>
      <c r="O460" s="15" t="str">
        <v/>
      </c>
      <c r="P460" s="22">
        <v>0</v>
      </c>
      <c r="Q460">
        <v>0</v>
      </c>
    </row>
    <row r="461" spans="1:17">
      <c r="A461" s="19">
        <v>0</v>
      </c>
      <c r="B461" s="19">
        <v>0</v>
      </c>
      <c r="C461" s="19">
        <v>0</v>
      </c>
      <c r="D461" s="19">
        <v>0</v>
      </c>
      <c r="E461" s="19">
        <v>0</v>
      </c>
      <c r="F461" s="19">
        <v>0</v>
      </c>
      <c r="G461" s="19">
        <v>0</v>
      </c>
      <c r="H461" s="19">
        <v>0</v>
      </c>
      <c r="I461" s="15">
        <v>3500</v>
      </c>
      <c r="J461" s="15">
        <v>0</v>
      </c>
      <c r="K461" s="15">
        <v>0</v>
      </c>
      <c r="L461" s="16">
        <v>0</v>
      </c>
      <c r="M461" s="15">
        <v>0</v>
      </c>
      <c r="N461" s="15" t="str">
        <v/>
      </c>
      <c r="O461" s="15" t="str">
        <v/>
      </c>
      <c r="P461" s="22">
        <v>0</v>
      </c>
      <c r="Q461">
        <v>0</v>
      </c>
    </row>
    <row r="462" spans="1:17">
      <c r="A462" s="19">
        <v>0</v>
      </c>
      <c r="B462" s="19">
        <v>0</v>
      </c>
      <c r="C462" s="19">
        <v>0</v>
      </c>
      <c r="D462" s="19">
        <v>0</v>
      </c>
      <c r="E462" s="19">
        <v>0</v>
      </c>
      <c r="F462" s="19">
        <v>0</v>
      </c>
      <c r="G462" s="19">
        <v>0</v>
      </c>
      <c r="H462" s="19">
        <v>0</v>
      </c>
      <c r="I462" s="15">
        <v>3500</v>
      </c>
      <c r="J462" s="15">
        <v>0</v>
      </c>
      <c r="K462" s="15">
        <v>0</v>
      </c>
      <c r="L462" s="16">
        <v>0</v>
      </c>
      <c r="M462" s="15">
        <v>0</v>
      </c>
      <c r="N462" s="15" t="str">
        <v/>
      </c>
      <c r="O462" s="15" t="str">
        <v/>
      </c>
      <c r="P462" s="22">
        <v>0</v>
      </c>
      <c r="Q462">
        <v>0</v>
      </c>
    </row>
    <row r="463" spans="1:17">
      <c r="A463" s="19">
        <v>0</v>
      </c>
      <c r="B463" s="19">
        <v>0</v>
      </c>
      <c r="C463" s="19">
        <v>0</v>
      </c>
      <c r="D463" s="19">
        <v>0</v>
      </c>
      <c r="E463" s="19">
        <v>0</v>
      </c>
      <c r="F463" s="19">
        <v>0</v>
      </c>
      <c r="G463" s="19">
        <v>0</v>
      </c>
      <c r="H463" s="19">
        <v>0</v>
      </c>
      <c r="I463" s="15">
        <v>3500</v>
      </c>
      <c r="J463" s="15">
        <v>0</v>
      </c>
      <c r="K463" s="15">
        <v>0</v>
      </c>
      <c r="L463" s="16">
        <v>0</v>
      </c>
      <c r="M463" s="15">
        <v>0</v>
      </c>
      <c r="N463" s="15" t="str">
        <v/>
      </c>
      <c r="O463" s="15" t="str">
        <v/>
      </c>
      <c r="P463" s="22">
        <v>0</v>
      </c>
      <c r="Q463">
        <v>0</v>
      </c>
    </row>
    <row r="464" spans="1:17">
      <c r="A464" s="19">
        <v>0</v>
      </c>
      <c r="B464" s="19">
        <v>0</v>
      </c>
      <c r="C464" s="19">
        <v>0</v>
      </c>
      <c r="D464" s="19">
        <v>0</v>
      </c>
      <c r="E464" s="19">
        <v>0</v>
      </c>
      <c r="F464" s="19">
        <v>0</v>
      </c>
      <c r="G464" s="19">
        <v>0</v>
      </c>
      <c r="H464" s="19">
        <v>0</v>
      </c>
      <c r="I464" s="15">
        <v>3500</v>
      </c>
      <c r="J464" s="15">
        <v>0</v>
      </c>
      <c r="K464" s="15">
        <v>0</v>
      </c>
      <c r="L464" s="16">
        <v>0</v>
      </c>
      <c r="M464" s="15">
        <v>0</v>
      </c>
      <c r="N464" s="15" t="str">
        <v/>
      </c>
      <c r="O464" s="15" t="str">
        <v/>
      </c>
      <c r="P464" s="22">
        <v>0</v>
      </c>
      <c r="Q464">
        <v>0</v>
      </c>
    </row>
    <row r="465" spans="1:17">
      <c r="A465" s="19">
        <v>0</v>
      </c>
      <c r="B465" s="19">
        <v>0</v>
      </c>
      <c r="C465" s="19">
        <v>0</v>
      </c>
      <c r="D465" s="19">
        <v>0</v>
      </c>
      <c r="E465" s="19">
        <v>0</v>
      </c>
      <c r="F465" s="19">
        <v>0</v>
      </c>
      <c r="G465" s="19">
        <v>0</v>
      </c>
      <c r="H465" s="19">
        <v>0</v>
      </c>
      <c r="I465" s="15">
        <v>3500</v>
      </c>
      <c r="J465" s="15">
        <v>0</v>
      </c>
      <c r="K465" s="15">
        <v>0</v>
      </c>
      <c r="L465" s="16">
        <v>0</v>
      </c>
      <c r="M465" s="15">
        <v>0</v>
      </c>
      <c r="N465" s="15" t="str">
        <v/>
      </c>
      <c r="O465" s="15" t="str">
        <v/>
      </c>
      <c r="P465" s="22">
        <v>0</v>
      </c>
      <c r="Q465">
        <v>0</v>
      </c>
    </row>
    <row r="466" spans="1:17">
      <c r="A466" s="19">
        <v>0</v>
      </c>
      <c r="B466" s="19">
        <v>0</v>
      </c>
      <c r="C466" s="19">
        <v>0</v>
      </c>
      <c r="D466" s="19">
        <v>0</v>
      </c>
      <c r="E466" s="19">
        <v>0</v>
      </c>
      <c r="F466" s="19">
        <v>0</v>
      </c>
      <c r="G466" s="19">
        <v>0</v>
      </c>
      <c r="H466" s="19">
        <v>0</v>
      </c>
      <c r="I466" s="15">
        <v>3500</v>
      </c>
      <c r="J466" s="15">
        <v>0</v>
      </c>
      <c r="K466" s="15">
        <v>0</v>
      </c>
      <c r="L466" s="16">
        <v>0</v>
      </c>
      <c r="M466" s="15">
        <v>0</v>
      </c>
      <c r="N466" s="15" t="str">
        <v/>
      </c>
      <c r="O466" s="15" t="str">
        <v/>
      </c>
      <c r="P466" s="22">
        <v>0</v>
      </c>
      <c r="Q466">
        <v>0</v>
      </c>
    </row>
    <row r="467" spans="1:17">
      <c r="A467" s="19">
        <v>0</v>
      </c>
      <c r="B467" s="19">
        <v>0</v>
      </c>
      <c r="C467" s="19">
        <v>0</v>
      </c>
      <c r="D467" s="19">
        <v>0</v>
      </c>
      <c r="E467" s="19">
        <v>0</v>
      </c>
      <c r="F467" s="19">
        <v>0</v>
      </c>
      <c r="G467" s="19">
        <v>0</v>
      </c>
      <c r="H467" s="19">
        <v>0</v>
      </c>
      <c r="I467" s="15">
        <v>3500</v>
      </c>
      <c r="J467" s="15">
        <v>0</v>
      </c>
      <c r="K467" s="15">
        <v>0</v>
      </c>
      <c r="L467" s="16">
        <v>0</v>
      </c>
      <c r="M467" s="15">
        <v>0</v>
      </c>
      <c r="N467" s="15" t="str">
        <v/>
      </c>
      <c r="O467" s="15" t="str">
        <v/>
      </c>
      <c r="P467" s="22">
        <v>0</v>
      </c>
      <c r="Q467">
        <v>0</v>
      </c>
    </row>
    <row r="468" spans="1:17">
      <c r="A468" s="19">
        <v>0</v>
      </c>
      <c r="B468" s="19">
        <v>0</v>
      </c>
      <c r="C468" s="19">
        <v>0</v>
      </c>
      <c r="D468" s="19">
        <v>0</v>
      </c>
      <c r="E468" s="19">
        <v>0</v>
      </c>
      <c r="F468" s="19">
        <v>0</v>
      </c>
      <c r="G468" s="19">
        <v>0</v>
      </c>
      <c r="H468" s="19">
        <v>0</v>
      </c>
      <c r="I468" s="15">
        <v>3500</v>
      </c>
      <c r="J468" s="15">
        <v>0</v>
      </c>
      <c r="K468" s="15">
        <v>0</v>
      </c>
      <c r="L468" s="16">
        <v>0</v>
      </c>
      <c r="M468" s="15">
        <v>0</v>
      </c>
      <c r="N468" s="15" t="str">
        <v/>
      </c>
      <c r="O468" s="15" t="str">
        <v/>
      </c>
      <c r="P468" s="22">
        <v>0</v>
      </c>
      <c r="Q468">
        <v>0</v>
      </c>
    </row>
    <row r="469" spans="1:17">
      <c r="A469" s="19">
        <v>0</v>
      </c>
      <c r="B469" s="19">
        <v>0</v>
      </c>
      <c r="C469" s="19">
        <v>0</v>
      </c>
      <c r="D469" s="19">
        <v>0</v>
      </c>
      <c r="E469" s="19">
        <v>0</v>
      </c>
      <c r="F469" s="19">
        <v>0</v>
      </c>
      <c r="G469" s="19">
        <v>0</v>
      </c>
      <c r="H469" s="19">
        <v>0</v>
      </c>
      <c r="I469" s="15">
        <v>3500</v>
      </c>
      <c r="J469" s="15">
        <v>0</v>
      </c>
      <c r="K469" s="15">
        <v>0</v>
      </c>
      <c r="L469" s="16">
        <v>0</v>
      </c>
      <c r="M469" s="15">
        <v>0</v>
      </c>
      <c r="N469" s="15" t="str">
        <v/>
      </c>
      <c r="O469" s="15" t="str">
        <v/>
      </c>
      <c r="P469" s="22">
        <v>0</v>
      </c>
      <c r="Q469">
        <v>0</v>
      </c>
    </row>
    <row r="470" spans="1:17">
      <c r="A470" s="19">
        <v>0</v>
      </c>
      <c r="B470" s="19">
        <v>0</v>
      </c>
      <c r="C470" s="19">
        <v>0</v>
      </c>
      <c r="D470" s="19">
        <v>0</v>
      </c>
      <c r="E470" s="19">
        <v>0</v>
      </c>
      <c r="F470" s="19">
        <v>0</v>
      </c>
      <c r="G470" s="19">
        <v>0</v>
      </c>
      <c r="H470" s="19">
        <v>0</v>
      </c>
      <c r="I470" s="15">
        <v>3500</v>
      </c>
      <c r="J470" s="15">
        <v>0</v>
      </c>
      <c r="K470" s="15">
        <v>0</v>
      </c>
      <c r="L470" s="16">
        <v>0</v>
      </c>
      <c r="M470" s="15">
        <v>0</v>
      </c>
      <c r="N470" s="15" t="str">
        <v/>
      </c>
      <c r="O470" s="15" t="str">
        <v/>
      </c>
      <c r="P470" s="22">
        <v>0</v>
      </c>
      <c r="Q470">
        <v>0</v>
      </c>
    </row>
    <row r="471" spans="1:17">
      <c r="A471" s="19">
        <v>0</v>
      </c>
      <c r="B471" s="19">
        <v>0</v>
      </c>
      <c r="C471" s="19">
        <v>0</v>
      </c>
      <c r="D471" s="19">
        <v>0</v>
      </c>
      <c r="E471" s="19">
        <v>0</v>
      </c>
      <c r="F471" s="19">
        <v>0</v>
      </c>
      <c r="G471" s="19">
        <v>0</v>
      </c>
      <c r="H471" s="19">
        <v>0</v>
      </c>
      <c r="I471" s="15">
        <v>3500</v>
      </c>
      <c r="J471" s="15">
        <v>0</v>
      </c>
      <c r="K471" s="15">
        <v>0</v>
      </c>
      <c r="L471" s="16">
        <v>0</v>
      </c>
      <c r="M471" s="15">
        <v>0</v>
      </c>
      <c r="N471" s="15" t="str">
        <v/>
      </c>
      <c r="O471" s="15" t="str">
        <v/>
      </c>
      <c r="P471" s="22">
        <v>0</v>
      </c>
      <c r="Q471">
        <v>0</v>
      </c>
    </row>
    <row r="472" spans="1:17">
      <c r="A472" s="19">
        <v>0</v>
      </c>
      <c r="B472" s="19">
        <v>0</v>
      </c>
      <c r="C472" s="19">
        <v>0</v>
      </c>
      <c r="D472" s="19">
        <v>0</v>
      </c>
      <c r="E472" s="19">
        <v>0</v>
      </c>
      <c r="F472" s="19">
        <v>0</v>
      </c>
      <c r="G472" s="19">
        <v>0</v>
      </c>
      <c r="H472" s="19">
        <v>0</v>
      </c>
      <c r="I472" s="15">
        <v>3500</v>
      </c>
      <c r="J472" s="15">
        <v>0</v>
      </c>
      <c r="K472" s="15">
        <v>0</v>
      </c>
      <c r="L472" s="16">
        <v>0</v>
      </c>
      <c r="M472" s="15">
        <v>0</v>
      </c>
      <c r="N472" s="15" t="str">
        <v/>
      </c>
      <c r="O472" s="15" t="str">
        <v/>
      </c>
      <c r="P472" s="22">
        <v>0</v>
      </c>
      <c r="Q472">
        <v>0</v>
      </c>
    </row>
    <row r="473" spans="1:17">
      <c r="A473" s="19">
        <v>0</v>
      </c>
      <c r="B473" s="19">
        <v>0</v>
      </c>
      <c r="C473" s="19">
        <v>0</v>
      </c>
      <c r="D473" s="19">
        <v>0</v>
      </c>
      <c r="E473" s="19">
        <v>0</v>
      </c>
      <c r="F473" s="19">
        <v>0</v>
      </c>
      <c r="G473" s="19">
        <v>0</v>
      </c>
      <c r="H473" s="19">
        <v>0</v>
      </c>
      <c r="I473" s="15">
        <v>3500</v>
      </c>
      <c r="J473" s="15">
        <v>0</v>
      </c>
      <c r="K473" s="15">
        <v>0</v>
      </c>
      <c r="L473" s="16">
        <v>0</v>
      </c>
      <c r="M473" s="15">
        <v>0</v>
      </c>
      <c r="N473" s="15" t="str">
        <v/>
      </c>
      <c r="O473" s="15" t="str">
        <v/>
      </c>
      <c r="P473" s="22">
        <v>0</v>
      </c>
      <c r="Q473">
        <v>0</v>
      </c>
    </row>
    <row r="474" spans="1:17">
      <c r="A474" s="19">
        <v>0</v>
      </c>
      <c r="B474" s="19">
        <v>0</v>
      </c>
      <c r="C474" s="19">
        <v>0</v>
      </c>
      <c r="D474" s="19">
        <v>0</v>
      </c>
      <c r="E474" s="19">
        <v>0</v>
      </c>
      <c r="F474" s="19">
        <v>0</v>
      </c>
      <c r="G474" s="19">
        <v>0</v>
      </c>
      <c r="H474" s="19">
        <v>0</v>
      </c>
      <c r="I474" s="15">
        <v>3500</v>
      </c>
      <c r="J474" s="15">
        <v>0</v>
      </c>
      <c r="K474" s="15">
        <v>0</v>
      </c>
      <c r="L474" s="16">
        <v>0</v>
      </c>
      <c r="M474" s="15">
        <v>0</v>
      </c>
      <c r="N474" s="15" t="str">
        <v/>
      </c>
      <c r="O474" s="15" t="str">
        <v/>
      </c>
      <c r="P474" s="22">
        <v>0</v>
      </c>
      <c r="Q474">
        <v>0</v>
      </c>
    </row>
    <row r="475" spans="1:17">
      <c r="A475" s="19">
        <v>0</v>
      </c>
      <c r="B475" s="19">
        <v>0</v>
      </c>
      <c r="C475" s="19">
        <v>0</v>
      </c>
      <c r="D475" s="19">
        <v>0</v>
      </c>
      <c r="E475" s="19">
        <v>0</v>
      </c>
      <c r="F475" s="19">
        <v>0</v>
      </c>
      <c r="G475" s="19">
        <v>0</v>
      </c>
      <c r="H475" s="19">
        <v>0</v>
      </c>
      <c r="I475" s="15">
        <v>3500</v>
      </c>
      <c r="J475" s="15">
        <v>0</v>
      </c>
      <c r="K475" s="15">
        <v>0</v>
      </c>
      <c r="L475" s="16">
        <v>0</v>
      </c>
      <c r="M475" s="15">
        <v>0</v>
      </c>
      <c r="N475" s="15" t="str">
        <v/>
      </c>
      <c r="O475" s="15" t="str">
        <v/>
      </c>
      <c r="P475" s="22">
        <v>0</v>
      </c>
      <c r="Q475">
        <v>0</v>
      </c>
    </row>
    <row r="476" spans="1:17">
      <c r="A476" s="19">
        <v>0</v>
      </c>
      <c r="B476" s="19">
        <v>0</v>
      </c>
      <c r="C476" s="19">
        <v>0</v>
      </c>
      <c r="D476" s="19">
        <v>0</v>
      </c>
      <c r="E476" s="19">
        <v>0</v>
      </c>
      <c r="F476" s="19">
        <v>0</v>
      </c>
      <c r="G476" s="19">
        <v>0</v>
      </c>
      <c r="H476" s="19">
        <v>0</v>
      </c>
      <c r="I476" s="15">
        <v>3500</v>
      </c>
      <c r="J476" s="15">
        <v>0</v>
      </c>
      <c r="K476" s="15">
        <v>0</v>
      </c>
      <c r="L476" s="16">
        <v>0</v>
      </c>
      <c r="M476" s="15">
        <v>0</v>
      </c>
      <c r="N476" s="15" t="str">
        <v/>
      </c>
      <c r="O476" s="15" t="str">
        <v/>
      </c>
      <c r="P476" s="22">
        <v>0</v>
      </c>
      <c r="Q476">
        <v>0</v>
      </c>
    </row>
    <row r="477" spans="1:17">
      <c r="A477" s="19">
        <v>0</v>
      </c>
      <c r="B477" s="19">
        <v>0</v>
      </c>
      <c r="C477" s="19">
        <v>0</v>
      </c>
      <c r="D477" s="19">
        <v>0</v>
      </c>
      <c r="E477" s="19">
        <v>0</v>
      </c>
      <c r="F477" s="19">
        <v>0</v>
      </c>
      <c r="G477" s="19">
        <v>0</v>
      </c>
      <c r="H477" s="19">
        <v>0</v>
      </c>
      <c r="I477" s="15">
        <v>3500</v>
      </c>
      <c r="J477" s="15">
        <v>0</v>
      </c>
      <c r="K477" s="15">
        <v>0</v>
      </c>
      <c r="L477" s="16">
        <v>0</v>
      </c>
      <c r="M477" s="15">
        <v>0</v>
      </c>
      <c r="N477" s="15" t="str">
        <v/>
      </c>
      <c r="O477" s="15" t="str">
        <v/>
      </c>
      <c r="P477" s="22">
        <v>0</v>
      </c>
      <c r="Q477">
        <v>0</v>
      </c>
    </row>
    <row r="478" spans="1:17">
      <c r="A478" s="19">
        <v>0</v>
      </c>
      <c r="B478" s="19">
        <v>0</v>
      </c>
      <c r="C478" s="19">
        <v>0</v>
      </c>
      <c r="D478" s="19">
        <v>0</v>
      </c>
      <c r="E478" s="19">
        <v>0</v>
      </c>
      <c r="F478" s="19">
        <v>0</v>
      </c>
      <c r="G478" s="19">
        <v>0</v>
      </c>
      <c r="H478" s="19">
        <v>0</v>
      </c>
      <c r="I478" s="15">
        <v>3500</v>
      </c>
      <c r="J478" s="15">
        <v>0</v>
      </c>
      <c r="K478" s="15">
        <v>0</v>
      </c>
      <c r="L478" s="16">
        <v>0</v>
      </c>
      <c r="M478" s="15">
        <v>0</v>
      </c>
      <c r="N478" s="15" t="str">
        <v/>
      </c>
      <c r="O478" s="15" t="str">
        <v/>
      </c>
      <c r="P478" s="22">
        <v>0</v>
      </c>
      <c r="Q478">
        <v>0</v>
      </c>
    </row>
    <row r="479" spans="1:17">
      <c r="A479" s="19">
        <v>0</v>
      </c>
      <c r="B479" s="19">
        <v>0</v>
      </c>
      <c r="C479" s="19">
        <v>0</v>
      </c>
      <c r="D479" s="19">
        <v>0</v>
      </c>
      <c r="E479" s="19">
        <v>0</v>
      </c>
      <c r="F479" s="19">
        <v>0</v>
      </c>
      <c r="G479" s="19">
        <v>0</v>
      </c>
      <c r="H479" s="19">
        <v>0</v>
      </c>
      <c r="I479" s="15">
        <v>3500</v>
      </c>
      <c r="J479" s="15">
        <v>0</v>
      </c>
      <c r="K479" s="15">
        <v>0</v>
      </c>
      <c r="L479" s="16">
        <v>0</v>
      </c>
      <c r="M479" s="15">
        <v>0</v>
      </c>
      <c r="N479" s="15" t="str">
        <v/>
      </c>
      <c r="O479" s="15" t="str">
        <v/>
      </c>
      <c r="P479" s="22">
        <v>0</v>
      </c>
      <c r="Q479">
        <v>0</v>
      </c>
    </row>
    <row r="480" spans="1:17">
      <c r="A480" s="19">
        <v>0</v>
      </c>
      <c r="B480" s="19">
        <v>0</v>
      </c>
      <c r="C480" s="19">
        <v>0</v>
      </c>
      <c r="D480" s="19">
        <v>0</v>
      </c>
      <c r="E480" s="19">
        <v>0</v>
      </c>
      <c r="F480" s="19">
        <v>0</v>
      </c>
      <c r="G480" s="19">
        <v>0</v>
      </c>
      <c r="H480" s="19">
        <v>0</v>
      </c>
      <c r="I480" s="15">
        <v>3500</v>
      </c>
      <c r="J480" s="15">
        <v>0</v>
      </c>
      <c r="K480" s="15">
        <v>0</v>
      </c>
      <c r="L480" s="16">
        <v>0</v>
      </c>
      <c r="M480" s="15">
        <v>0</v>
      </c>
      <c r="N480" s="15" t="str">
        <v/>
      </c>
      <c r="O480" s="15" t="str">
        <v/>
      </c>
      <c r="P480" s="22">
        <v>0</v>
      </c>
      <c r="Q480">
        <v>0</v>
      </c>
    </row>
    <row r="481" spans="1:17">
      <c r="A481" s="19">
        <v>0</v>
      </c>
      <c r="B481" s="19">
        <v>0</v>
      </c>
      <c r="C481" s="19">
        <v>0</v>
      </c>
      <c r="D481" s="19">
        <v>0</v>
      </c>
      <c r="E481" s="19">
        <v>0</v>
      </c>
      <c r="F481" s="19">
        <v>0</v>
      </c>
      <c r="G481" s="19">
        <v>0</v>
      </c>
      <c r="H481" s="19">
        <v>0</v>
      </c>
      <c r="I481" s="15">
        <v>3500</v>
      </c>
      <c r="J481" s="15">
        <v>0</v>
      </c>
      <c r="K481" s="15">
        <v>0</v>
      </c>
      <c r="L481" s="16">
        <v>0</v>
      </c>
      <c r="M481" s="15">
        <v>0</v>
      </c>
      <c r="N481" s="15" t="str">
        <v/>
      </c>
      <c r="O481" s="15" t="str">
        <v/>
      </c>
      <c r="P481" s="22">
        <v>0</v>
      </c>
      <c r="Q481">
        <v>0</v>
      </c>
    </row>
    <row r="482" spans="1:17">
      <c r="A482" s="19">
        <v>0</v>
      </c>
      <c r="B482" s="19">
        <v>0</v>
      </c>
      <c r="C482" s="19">
        <v>0</v>
      </c>
      <c r="D482" s="19">
        <v>0</v>
      </c>
      <c r="E482" s="19">
        <v>0</v>
      </c>
      <c r="F482" s="19">
        <v>0</v>
      </c>
      <c r="G482" s="19">
        <v>0</v>
      </c>
      <c r="H482" s="19">
        <v>0</v>
      </c>
      <c r="I482" s="15">
        <v>3500</v>
      </c>
      <c r="J482" s="15">
        <v>0</v>
      </c>
      <c r="K482" s="15">
        <v>0</v>
      </c>
      <c r="L482" s="16">
        <v>0</v>
      </c>
      <c r="M482" s="15">
        <v>0</v>
      </c>
      <c r="N482" s="15" t="str">
        <v/>
      </c>
      <c r="O482" s="15" t="str">
        <v/>
      </c>
      <c r="P482" s="22">
        <v>0</v>
      </c>
      <c r="Q482">
        <v>0</v>
      </c>
    </row>
    <row r="483" spans="1:17">
      <c r="A483" s="19">
        <v>0</v>
      </c>
      <c r="B483" s="19">
        <v>0</v>
      </c>
      <c r="C483" s="19">
        <v>0</v>
      </c>
      <c r="D483" s="19">
        <v>0</v>
      </c>
      <c r="E483" s="19">
        <v>0</v>
      </c>
      <c r="F483" s="19">
        <v>0</v>
      </c>
      <c r="G483" s="19">
        <v>0</v>
      </c>
      <c r="H483" s="19">
        <v>0</v>
      </c>
      <c r="I483" s="15">
        <v>3500</v>
      </c>
      <c r="J483" s="15">
        <v>0</v>
      </c>
      <c r="K483" s="15">
        <v>0</v>
      </c>
      <c r="L483" s="16">
        <v>0</v>
      </c>
      <c r="M483" s="15">
        <v>0</v>
      </c>
      <c r="N483" s="15" t="str">
        <v/>
      </c>
      <c r="O483" s="15" t="str">
        <v/>
      </c>
      <c r="P483" s="22">
        <v>0</v>
      </c>
      <c r="Q483">
        <v>0</v>
      </c>
    </row>
    <row r="484" spans="1:17">
      <c r="A484" s="19">
        <v>0</v>
      </c>
      <c r="B484" s="19">
        <v>0</v>
      </c>
      <c r="C484" s="19">
        <v>0</v>
      </c>
      <c r="D484" s="19">
        <v>0</v>
      </c>
      <c r="E484" s="19">
        <v>0</v>
      </c>
      <c r="F484" s="19">
        <v>0</v>
      </c>
      <c r="G484" s="19">
        <v>0</v>
      </c>
      <c r="H484" s="19">
        <v>0</v>
      </c>
      <c r="I484" s="15">
        <v>3500</v>
      </c>
      <c r="J484" s="15">
        <v>0</v>
      </c>
      <c r="K484" s="15">
        <v>0</v>
      </c>
      <c r="L484" s="16">
        <v>0</v>
      </c>
      <c r="M484" s="15">
        <v>0</v>
      </c>
      <c r="N484" s="15" t="str">
        <v/>
      </c>
      <c r="O484" s="15" t="str">
        <v/>
      </c>
      <c r="P484" s="22">
        <v>0</v>
      </c>
      <c r="Q484">
        <v>0</v>
      </c>
    </row>
    <row r="485" spans="1:17">
      <c r="A485" s="19">
        <v>0</v>
      </c>
      <c r="B485" s="19">
        <v>0</v>
      </c>
      <c r="C485" s="19">
        <v>0</v>
      </c>
      <c r="D485" s="19">
        <v>0</v>
      </c>
      <c r="E485" s="19">
        <v>0</v>
      </c>
      <c r="F485" s="19">
        <v>0</v>
      </c>
      <c r="G485" s="19">
        <v>0</v>
      </c>
      <c r="H485" s="19">
        <v>0</v>
      </c>
      <c r="I485" s="15">
        <v>3500</v>
      </c>
      <c r="J485" s="15">
        <v>0</v>
      </c>
      <c r="K485" s="15">
        <v>0</v>
      </c>
      <c r="L485" s="16">
        <v>0</v>
      </c>
      <c r="M485" s="15">
        <v>0</v>
      </c>
      <c r="N485" s="15" t="str">
        <v/>
      </c>
      <c r="O485" s="15" t="str">
        <v/>
      </c>
      <c r="P485" s="22">
        <v>0</v>
      </c>
      <c r="Q485">
        <v>0</v>
      </c>
    </row>
    <row r="486" spans="1:17">
      <c r="A486" s="19">
        <v>0</v>
      </c>
      <c r="B486" s="19">
        <v>0</v>
      </c>
      <c r="C486" s="19">
        <v>0</v>
      </c>
      <c r="D486" s="19">
        <v>0</v>
      </c>
      <c r="E486" s="19">
        <v>0</v>
      </c>
      <c r="F486" s="19">
        <v>0</v>
      </c>
      <c r="G486" s="19">
        <v>0</v>
      </c>
      <c r="H486" s="19">
        <v>0</v>
      </c>
      <c r="I486" s="15">
        <v>3500</v>
      </c>
      <c r="J486" s="15">
        <v>0</v>
      </c>
      <c r="K486" s="15">
        <v>0</v>
      </c>
      <c r="L486" s="16">
        <v>0</v>
      </c>
      <c r="M486" s="15">
        <v>0</v>
      </c>
      <c r="N486" s="15" t="str">
        <v/>
      </c>
      <c r="O486" s="15" t="str">
        <v/>
      </c>
      <c r="P486" s="22">
        <v>0</v>
      </c>
      <c r="Q486">
        <v>0</v>
      </c>
    </row>
    <row r="487" spans="1:17">
      <c r="A487" s="19">
        <v>0</v>
      </c>
      <c r="B487" s="19">
        <v>0</v>
      </c>
      <c r="C487" s="19">
        <v>0</v>
      </c>
      <c r="D487" s="19">
        <v>0</v>
      </c>
      <c r="E487" s="19">
        <v>0</v>
      </c>
      <c r="F487" s="19">
        <v>0</v>
      </c>
      <c r="G487" s="19">
        <v>0</v>
      </c>
      <c r="H487" s="19">
        <v>0</v>
      </c>
      <c r="I487" s="15">
        <v>3500</v>
      </c>
      <c r="J487" s="15">
        <v>0</v>
      </c>
      <c r="K487" s="15">
        <v>0</v>
      </c>
      <c r="L487" s="16">
        <v>0</v>
      </c>
      <c r="M487" s="15">
        <v>0</v>
      </c>
      <c r="N487" s="15" t="str">
        <v/>
      </c>
      <c r="O487" s="15" t="str">
        <v/>
      </c>
      <c r="P487" s="22">
        <v>0</v>
      </c>
      <c r="Q487">
        <v>0</v>
      </c>
    </row>
    <row r="488" spans="1:17">
      <c r="A488" s="19">
        <v>0</v>
      </c>
      <c r="B488" s="19">
        <v>0</v>
      </c>
      <c r="C488" s="19">
        <v>0</v>
      </c>
      <c r="D488" s="19">
        <v>0</v>
      </c>
      <c r="E488" s="19">
        <v>0</v>
      </c>
      <c r="F488" s="19">
        <v>0</v>
      </c>
      <c r="G488" s="19">
        <v>0</v>
      </c>
      <c r="H488" s="19">
        <v>0</v>
      </c>
      <c r="I488" s="15">
        <v>3500</v>
      </c>
      <c r="J488" s="15">
        <v>0</v>
      </c>
      <c r="K488" s="15">
        <v>0</v>
      </c>
      <c r="L488" s="16">
        <v>0</v>
      </c>
      <c r="M488" s="15">
        <v>0</v>
      </c>
      <c r="N488" s="15" t="str">
        <v/>
      </c>
      <c r="O488" s="15" t="str">
        <v/>
      </c>
      <c r="P488" s="22">
        <v>0</v>
      </c>
      <c r="Q488">
        <v>0</v>
      </c>
    </row>
    <row r="489" spans="1:17">
      <c r="A489" s="19">
        <v>0</v>
      </c>
      <c r="B489" s="19">
        <v>0</v>
      </c>
      <c r="C489" s="19">
        <v>0</v>
      </c>
      <c r="D489" s="19">
        <v>0</v>
      </c>
      <c r="E489" s="19">
        <v>0</v>
      </c>
      <c r="F489" s="19">
        <v>0</v>
      </c>
      <c r="G489" s="19">
        <v>0</v>
      </c>
      <c r="H489" s="19">
        <v>0</v>
      </c>
      <c r="I489" s="15">
        <v>3500</v>
      </c>
      <c r="J489" s="15">
        <v>0</v>
      </c>
      <c r="K489" s="15">
        <v>0</v>
      </c>
      <c r="L489" s="16">
        <v>0</v>
      </c>
      <c r="M489" s="15">
        <v>0</v>
      </c>
      <c r="N489" s="15" t="str">
        <v/>
      </c>
      <c r="O489" s="15" t="str">
        <v/>
      </c>
      <c r="P489" s="22">
        <v>0</v>
      </c>
      <c r="Q489">
        <v>0</v>
      </c>
    </row>
    <row r="490" spans="1:17">
      <c r="A490" s="19">
        <v>0</v>
      </c>
      <c r="B490" s="19">
        <v>0</v>
      </c>
      <c r="C490" s="19">
        <v>0</v>
      </c>
      <c r="D490" s="19">
        <v>0</v>
      </c>
      <c r="E490" s="19">
        <v>0</v>
      </c>
      <c r="F490" s="19">
        <v>0</v>
      </c>
      <c r="G490" s="19">
        <v>0</v>
      </c>
      <c r="H490" s="19">
        <v>0</v>
      </c>
      <c r="I490" s="15">
        <v>3500</v>
      </c>
      <c r="J490" s="15">
        <v>0</v>
      </c>
      <c r="K490" s="15">
        <v>0</v>
      </c>
      <c r="L490" s="16">
        <v>0</v>
      </c>
      <c r="M490" s="15">
        <v>0</v>
      </c>
      <c r="N490" s="15" t="str">
        <v/>
      </c>
      <c r="O490" s="15" t="str">
        <v/>
      </c>
      <c r="P490" s="22">
        <v>0</v>
      </c>
      <c r="Q490">
        <v>0</v>
      </c>
    </row>
    <row r="491" spans="1:17">
      <c r="A491" s="19">
        <v>0</v>
      </c>
      <c r="B491" s="19">
        <v>0</v>
      </c>
      <c r="C491" s="19">
        <v>0</v>
      </c>
      <c r="D491" s="19">
        <v>0</v>
      </c>
      <c r="E491" s="19">
        <v>0</v>
      </c>
      <c r="F491" s="19">
        <v>0</v>
      </c>
      <c r="G491" s="19">
        <v>0</v>
      </c>
      <c r="H491" s="19">
        <v>0</v>
      </c>
      <c r="I491" s="15">
        <v>3500</v>
      </c>
      <c r="J491" s="15">
        <v>0</v>
      </c>
      <c r="K491" s="15">
        <v>0</v>
      </c>
      <c r="L491" s="16">
        <v>0</v>
      </c>
      <c r="M491" s="15">
        <v>0</v>
      </c>
      <c r="N491" s="15" t="str">
        <v/>
      </c>
      <c r="O491" s="15" t="str">
        <v/>
      </c>
      <c r="P491" s="22">
        <v>0</v>
      </c>
      <c r="Q491">
        <v>0</v>
      </c>
    </row>
    <row r="492" spans="1:17">
      <c r="A492" s="19">
        <v>0</v>
      </c>
      <c r="B492" s="19">
        <v>0</v>
      </c>
      <c r="C492" s="19">
        <v>0</v>
      </c>
      <c r="D492" s="19">
        <v>0</v>
      </c>
      <c r="E492" s="19">
        <v>0</v>
      </c>
      <c r="F492" s="19">
        <v>0</v>
      </c>
      <c r="G492" s="19">
        <v>0</v>
      </c>
      <c r="H492" s="19">
        <v>0</v>
      </c>
      <c r="I492" s="15">
        <v>3500</v>
      </c>
      <c r="J492" s="15">
        <v>0</v>
      </c>
      <c r="K492" s="15">
        <v>0</v>
      </c>
      <c r="L492" s="16">
        <v>0</v>
      </c>
      <c r="M492" s="15">
        <v>0</v>
      </c>
      <c r="N492" s="15" t="str">
        <v/>
      </c>
      <c r="O492" s="15" t="str">
        <v/>
      </c>
      <c r="P492" s="22">
        <v>0</v>
      </c>
      <c r="Q492">
        <v>0</v>
      </c>
    </row>
    <row r="493" spans="1:17">
      <c r="A493" s="19">
        <v>0</v>
      </c>
      <c r="B493" s="19">
        <v>0</v>
      </c>
      <c r="C493" s="19">
        <v>0</v>
      </c>
      <c r="D493" s="19">
        <v>0</v>
      </c>
      <c r="E493" s="19">
        <v>0</v>
      </c>
      <c r="F493" s="19">
        <v>0</v>
      </c>
      <c r="G493" s="19">
        <v>0</v>
      </c>
      <c r="H493" s="19">
        <v>0</v>
      </c>
      <c r="I493" s="15">
        <v>3500</v>
      </c>
      <c r="J493" s="15">
        <v>0</v>
      </c>
      <c r="K493" s="15">
        <v>0</v>
      </c>
      <c r="L493" s="16">
        <v>0</v>
      </c>
      <c r="M493" s="15">
        <v>0</v>
      </c>
      <c r="N493" s="15" t="str">
        <v/>
      </c>
      <c r="O493" s="15" t="str">
        <v/>
      </c>
      <c r="P493" s="22">
        <v>0</v>
      </c>
      <c r="Q493">
        <v>0</v>
      </c>
    </row>
    <row r="494" spans="1:17">
      <c r="A494" s="19">
        <v>0</v>
      </c>
      <c r="B494" s="19">
        <v>0</v>
      </c>
      <c r="C494" s="19">
        <v>0</v>
      </c>
      <c r="D494" s="19">
        <v>0</v>
      </c>
      <c r="E494" s="19">
        <v>0</v>
      </c>
      <c r="F494" s="19">
        <v>0</v>
      </c>
      <c r="G494" s="19">
        <v>0</v>
      </c>
      <c r="H494" s="19">
        <v>0</v>
      </c>
      <c r="I494" s="15">
        <v>3500</v>
      </c>
      <c r="J494" s="15">
        <v>0</v>
      </c>
      <c r="K494" s="15">
        <v>0</v>
      </c>
      <c r="L494" s="16">
        <v>0</v>
      </c>
      <c r="M494" s="15">
        <v>0</v>
      </c>
      <c r="N494" s="15" t="str">
        <v/>
      </c>
      <c r="O494" s="15" t="str">
        <v/>
      </c>
      <c r="P494" s="22">
        <v>0</v>
      </c>
      <c r="Q494">
        <v>0</v>
      </c>
    </row>
    <row r="495" spans="1:17">
      <c r="A495" s="19">
        <v>0</v>
      </c>
      <c r="B495" s="19">
        <v>0</v>
      </c>
      <c r="C495" s="19">
        <v>0</v>
      </c>
      <c r="D495" s="19">
        <v>0</v>
      </c>
      <c r="E495" s="19">
        <v>0</v>
      </c>
      <c r="F495" s="19">
        <v>0</v>
      </c>
      <c r="G495" s="19">
        <v>0</v>
      </c>
      <c r="H495" s="19">
        <v>0</v>
      </c>
      <c r="I495" s="15">
        <v>3500</v>
      </c>
      <c r="J495" s="15">
        <v>0</v>
      </c>
      <c r="K495" s="15">
        <v>0</v>
      </c>
      <c r="L495" s="16">
        <v>0</v>
      </c>
      <c r="M495" s="15">
        <v>0</v>
      </c>
      <c r="N495" s="15" t="str">
        <v/>
      </c>
      <c r="O495" s="15" t="str">
        <v/>
      </c>
      <c r="P495" s="22">
        <v>0</v>
      </c>
      <c r="Q495">
        <v>0</v>
      </c>
    </row>
    <row r="496" spans="1:17">
      <c r="A496" s="19">
        <v>0</v>
      </c>
      <c r="B496" s="19">
        <v>0</v>
      </c>
      <c r="C496" s="19">
        <v>0</v>
      </c>
      <c r="D496" s="19">
        <v>0</v>
      </c>
      <c r="E496" s="19">
        <v>0</v>
      </c>
      <c r="F496" s="19">
        <v>0</v>
      </c>
      <c r="G496" s="19">
        <v>0</v>
      </c>
      <c r="H496" s="19">
        <v>0</v>
      </c>
      <c r="I496" s="15">
        <v>3500</v>
      </c>
      <c r="J496" s="15">
        <v>0</v>
      </c>
      <c r="K496" s="15">
        <v>0</v>
      </c>
      <c r="L496" s="16">
        <v>0</v>
      </c>
      <c r="M496" s="15">
        <v>0</v>
      </c>
      <c r="N496" s="15" t="str">
        <v/>
      </c>
      <c r="O496" s="15" t="str">
        <v/>
      </c>
      <c r="P496" s="22">
        <v>0</v>
      </c>
      <c r="Q496">
        <v>0</v>
      </c>
    </row>
    <row r="497" spans="1:17">
      <c r="A497" s="19">
        <v>0</v>
      </c>
      <c r="B497" s="19">
        <v>0</v>
      </c>
      <c r="C497" s="19">
        <v>0</v>
      </c>
      <c r="D497" s="19">
        <v>0</v>
      </c>
      <c r="E497" s="19">
        <v>0</v>
      </c>
      <c r="F497" s="19">
        <v>0</v>
      </c>
      <c r="G497" s="19">
        <v>0</v>
      </c>
      <c r="H497" s="19">
        <v>0</v>
      </c>
      <c r="I497" s="15">
        <v>3500</v>
      </c>
      <c r="J497" s="15">
        <v>0</v>
      </c>
      <c r="K497" s="15">
        <v>0</v>
      </c>
      <c r="L497" s="16">
        <v>0</v>
      </c>
      <c r="M497" s="15">
        <v>0</v>
      </c>
      <c r="N497" s="15" t="str">
        <v/>
      </c>
      <c r="O497" s="15" t="str">
        <v/>
      </c>
      <c r="P497" s="22">
        <v>0</v>
      </c>
      <c r="Q497">
        <v>0</v>
      </c>
    </row>
    <row r="498" spans="1:17">
      <c r="A498" s="19">
        <v>0</v>
      </c>
      <c r="B498" s="19">
        <v>0</v>
      </c>
      <c r="C498" s="19">
        <v>0</v>
      </c>
      <c r="D498" s="19">
        <v>0</v>
      </c>
      <c r="E498" s="19">
        <v>0</v>
      </c>
      <c r="F498" s="19">
        <v>0</v>
      </c>
      <c r="G498" s="19">
        <v>0</v>
      </c>
      <c r="H498" s="19">
        <v>0</v>
      </c>
      <c r="I498" s="15">
        <v>3500</v>
      </c>
      <c r="J498" s="15">
        <v>0</v>
      </c>
      <c r="K498" s="15">
        <v>0</v>
      </c>
      <c r="L498" s="16">
        <v>0</v>
      </c>
      <c r="M498" s="15">
        <v>0</v>
      </c>
      <c r="N498" s="15" t="str">
        <v/>
      </c>
      <c r="O498" s="15" t="str">
        <v/>
      </c>
      <c r="P498" s="22">
        <v>0</v>
      </c>
      <c r="Q498">
        <v>0</v>
      </c>
    </row>
    <row r="499" spans="1:17">
      <c r="A499" s="19">
        <v>0</v>
      </c>
      <c r="B499" s="19">
        <v>0</v>
      </c>
      <c r="C499" s="19">
        <v>0</v>
      </c>
      <c r="D499" s="19">
        <v>0</v>
      </c>
      <c r="E499" s="19">
        <v>0</v>
      </c>
      <c r="F499" s="19">
        <v>0</v>
      </c>
      <c r="G499" s="19">
        <v>0</v>
      </c>
      <c r="H499" s="19">
        <v>0</v>
      </c>
      <c r="I499" s="15">
        <v>3500</v>
      </c>
      <c r="J499" s="15">
        <v>0</v>
      </c>
      <c r="K499" s="15">
        <v>0</v>
      </c>
      <c r="L499" s="16">
        <v>0</v>
      </c>
      <c r="M499" s="15">
        <v>0</v>
      </c>
      <c r="N499" s="15" t="str">
        <v/>
      </c>
      <c r="O499" s="15" t="str">
        <v/>
      </c>
      <c r="P499" s="22">
        <v>0</v>
      </c>
      <c r="Q499">
        <v>0</v>
      </c>
    </row>
    <row r="500" spans="1:17">
      <c r="A500" s="19">
        <v>0</v>
      </c>
      <c r="B500" s="19">
        <v>0</v>
      </c>
      <c r="C500" s="19">
        <v>0</v>
      </c>
      <c r="D500" s="19">
        <v>0</v>
      </c>
      <c r="E500" s="19">
        <v>0</v>
      </c>
      <c r="F500" s="19">
        <v>0</v>
      </c>
      <c r="G500" s="19">
        <v>0</v>
      </c>
      <c r="H500" s="19">
        <v>0</v>
      </c>
      <c r="I500" s="15">
        <v>3500</v>
      </c>
      <c r="J500" s="15">
        <v>0</v>
      </c>
      <c r="K500" s="15">
        <v>0</v>
      </c>
      <c r="L500" s="16">
        <v>0</v>
      </c>
      <c r="M500" s="15">
        <v>0</v>
      </c>
      <c r="N500" s="15" t="str">
        <v/>
      </c>
      <c r="O500" s="15" t="str">
        <v/>
      </c>
      <c r="P500" s="22">
        <v>0</v>
      </c>
      <c r="Q500">
        <v>0</v>
      </c>
    </row>
    <row r="501" spans="1:17">
      <c r="A501" s="19">
        <v>0</v>
      </c>
      <c r="B501" s="19">
        <v>0</v>
      </c>
      <c r="C501" s="19">
        <v>0</v>
      </c>
      <c r="D501" s="19">
        <v>0</v>
      </c>
      <c r="E501" s="19">
        <v>0</v>
      </c>
      <c r="F501" s="19">
        <v>0</v>
      </c>
      <c r="G501" s="19">
        <v>0</v>
      </c>
      <c r="H501" s="19">
        <v>0</v>
      </c>
      <c r="I501" s="15">
        <v>3500</v>
      </c>
      <c r="J501" s="15">
        <v>0</v>
      </c>
      <c r="K501" s="15">
        <v>0</v>
      </c>
      <c r="L501" s="16">
        <v>0</v>
      </c>
      <c r="M501" s="15">
        <v>0</v>
      </c>
      <c r="N501" s="15" t="str">
        <v/>
      </c>
      <c r="O501" s="15" t="str">
        <v/>
      </c>
      <c r="P501" s="22">
        <v>0</v>
      </c>
      <c r="Q501">
        <v>0</v>
      </c>
    </row>
    <row r="502" spans="1:17">
      <c r="A502" s="19">
        <v>0</v>
      </c>
      <c r="B502" s="19">
        <v>0</v>
      </c>
      <c r="C502" s="19">
        <v>0</v>
      </c>
      <c r="D502" s="19">
        <v>0</v>
      </c>
      <c r="E502" s="19">
        <v>0</v>
      </c>
      <c r="F502" s="19">
        <v>0</v>
      </c>
      <c r="G502" s="19">
        <v>0</v>
      </c>
      <c r="H502" s="19">
        <v>0</v>
      </c>
      <c r="I502" s="15">
        <v>3500</v>
      </c>
      <c r="J502" s="15">
        <v>0</v>
      </c>
      <c r="K502" s="15">
        <v>0</v>
      </c>
      <c r="L502" s="16">
        <v>0</v>
      </c>
      <c r="M502" s="15">
        <v>0</v>
      </c>
      <c r="N502" s="15" t="str">
        <v/>
      </c>
      <c r="O502" s="15" t="str">
        <v/>
      </c>
      <c r="P502" s="22">
        <v>0</v>
      </c>
      <c r="Q502">
        <v>0</v>
      </c>
    </row>
    <row r="503" spans="1:17">
      <c r="A503" s="19">
        <v>0</v>
      </c>
      <c r="B503" s="19">
        <v>0</v>
      </c>
      <c r="C503" s="19">
        <v>0</v>
      </c>
      <c r="D503" s="19">
        <v>0</v>
      </c>
      <c r="E503" s="19">
        <v>0</v>
      </c>
      <c r="F503" s="19">
        <v>0</v>
      </c>
      <c r="G503" s="19">
        <v>0</v>
      </c>
      <c r="H503" s="19">
        <v>0</v>
      </c>
      <c r="I503" s="15">
        <v>3500</v>
      </c>
      <c r="J503" s="15">
        <v>0</v>
      </c>
      <c r="K503" s="15">
        <v>0</v>
      </c>
      <c r="L503" s="16">
        <v>0</v>
      </c>
      <c r="M503" s="15">
        <v>0</v>
      </c>
      <c r="N503" s="15" t="str">
        <v/>
      </c>
      <c r="O503" s="15" t="str">
        <v/>
      </c>
      <c r="P503" s="22">
        <v>0</v>
      </c>
      <c r="Q503">
        <v>0</v>
      </c>
    </row>
    <row r="504" spans="1:17">
      <c r="A504" s="19">
        <v>0</v>
      </c>
      <c r="B504" s="19">
        <v>0</v>
      </c>
      <c r="C504" s="19">
        <v>0</v>
      </c>
      <c r="D504" s="19">
        <v>0</v>
      </c>
      <c r="E504" s="19">
        <v>0</v>
      </c>
      <c r="F504" s="19">
        <v>0</v>
      </c>
      <c r="G504" s="19">
        <v>0</v>
      </c>
      <c r="H504" s="19">
        <v>0</v>
      </c>
      <c r="I504" s="15">
        <v>3500</v>
      </c>
      <c r="J504" s="15">
        <v>0</v>
      </c>
      <c r="K504" s="15">
        <v>0</v>
      </c>
      <c r="L504" s="16">
        <v>0</v>
      </c>
      <c r="M504" s="15">
        <v>0</v>
      </c>
      <c r="N504" s="15" t="str">
        <v/>
      </c>
      <c r="O504" s="15" t="str">
        <v/>
      </c>
      <c r="P504" s="22">
        <v>0</v>
      </c>
      <c r="Q504">
        <v>0</v>
      </c>
    </row>
    <row r="505" spans="1:17">
      <c r="A505" s="19">
        <v>0</v>
      </c>
      <c r="B505" s="19">
        <v>0</v>
      </c>
      <c r="C505" s="19">
        <v>0</v>
      </c>
      <c r="D505" s="19">
        <v>0</v>
      </c>
      <c r="E505" s="19">
        <v>0</v>
      </c>
      <c r="F505" s="19">
        <v>0</v>
      </c>
      <c r="G505" s="19">
        <v>0</v>
      </c>
      <c r="H505" s="19">
        <v>0</v>
      </c>
      <c r="I505" s="15">
        <v>3500</v>
      </c>
      <c r="J505" s="15">
        <v>0</v>
      </c>
      <c r="K505" s="15">
        <v>0</v>
      </c>
      <c r="L505" s="16">
        <v>0</v>
      </c>
      <c r="M505" s="15">
        <v>0</v>
      </c>
      <c r="N505" s="15" t="str">
        <v/>
      </c>
      <c r="O505" s="15" t="str">
        <v/>
      </c>
      <c r="P505" s="22">
        <v>0</v>
      </c>
      <c r="Q505">
        <v>0</v>
      </c>
    </row>
    <row r="506" spans="1:17">
      <c r="A506" s="19">
        <v>0</v>
      </c>
      <c r="B506" s="19">
        <v>0</v>
      </c>
      <c r="C506" s="19">
        <v>0</v>
      </c>
      <c r="D506" s="19">
        <v>0</v>
      </c>
      <c r="E506" s="19">
        <v>0</v>
      </c>
      <c r="F506" s="19">
        <v>0</v>
      </c>
      <c r="G506" s="19">
        <v>0</v>
      </c>
      <c r="H506" s="19">
        <v>0</v>
      </c>
      <c r="I506" s="15">
        <v>3500</v>
      </c>
      <c r="J506" s="15">
        <v>0</v>
      </c>
      <c r="K506" s="15">
        <v>0</v>
      </c>
      <c r="L506" s="16">
        <v>0</v>
      </c>
      <c r="M506" s="15">
        <v>0</v>
      </c>
      <c r="N506" s="15" t="str">
        <v/>
      </c>
      <c r="O506" s="15" t="str">
        <v/>
      </c>
      <c r="P506" s="22">
        <v>0</v>
      </c>
      <c r="Q506">
        <v>0</v>
      </c>
    </row>
    <row r="507" spans="1:17">
      <c r="A507" s="19">
        <v>0</v>
      </c>
      <c r="B507" s="19">
        <v>0</v>
      </c>
      <c r="C507" s="19">
        <v>0</v>
      </c>
      <c r="D507" s="19">
        <v>0</v>
      </c>
      <c r="E507" s="19">
        <v>0</v>
      </c>
      <c r="F507" s="19">
        <v>0</v>
      </c>
      <c r="G507" s="19">
        <v>0</v>
      </c>
      <c r="H507" s="19">
        <v>0</v>
      </c>
      <c r="I507" s="15">
        <v>3500</v>
      </c>
      <c r="J507" s="15">
        <v>0</v>
      </c>
      <c r="K507" s="15">
        <v>0</v>
      </c>
      <c r="L507" s="16">
        <v>0</v>
      </c>
      <c r="M507" s="15">
        <v>0</v>
      </c>
      <c r="N507" s="15" t="str">
        <v/>
      </c>
      <c r="O507" s="15" t="str">
        <v/>
      </c>
      <c r="P507" s="22">
        <v>0</v>
      </c>
      <c r="Q507">
        <v>0</v>
      </c>
    </row>
    <row r="508" spans="1:17">
      <c r="A508" s="19">
        <v>0</v>
      </c>
      <c r="B508" s="19">
        <v>0</v>
      </c>
      <c r="C508" s="19">
        <v>0</v>
      </c>
      <c r="D508" s="19">
        <v>0</v>
      </c>
      <c r="E508" s="19">
        <v>0</v>
      </c>
      <c r="F508" s="19">
        <v>0</v>
      </c>
      <c r="G508" s="19">
        <v>0</v>
      </c>
      <c r="H508" s="19">
        <v>0</v>
      </c>
      <c r="I508" s="15">
        <v>3500</v>
      </c>
      <c r="J508" s="15">
        <v>0</v>
      </c>
      <c r="K508" s="15">
        <v>0</v>
      </c>
      <c r="L508" s="16">
        <v>0</v>
      </c>
      <c r="M508" s="15">
        <v>0</v>
      </c>
      <c r="N508" s="15" t="str">
        <v/>
      </c>
      <c r="O508" s="15" t="str">
        <v/>
      </c>
      <c r="P508" s="22">
        <v>0</v>
      </c>
      <c r="Q508">
        <v>0</v>
      </c>
    </row>
    <row r="509" spans="1:17">
      <c r="A509" s="19">
        <v>0</v>
      </c>
      <c r="B509" s="19">
        <v>0</v>
      </c>
      <c r="C509" s="19">
        <v>0</v>
      </c>
      <c r="D509" s="19">
        <v>0</v>
      </c>
      <c r="E509" s="19">
        <v>0</v>
      </c>
      <c r="F509" s="19">
        <v>0</v>
      </c>
      <c r="G509" s="19">
        <v>0</v>
      </c>
      <c r="H509" s="19">
        <v>0</v>
      </c>
      <c r="I509" s="15">
        <v>3500</v>
      </c>
      <c r="J509" s="15">
        <v>0</v>
      </c>
      <c r="K509" s="15">
        <v>0</v>
      </c>
      <c r="L509" s="16">
        <v>0</v>
      </c>
      <c r="M509" s="15">
        <v>0</v>
      </c>
      <c r="N509" s="15" t="str">
        <v/>
      </c>
      <c r="O509" s="15" t="str">
        <v/>
      </c>
      <c r="P509" s="22">
        <v>0</v>
      </c>
      <c r="Q509">
        <v>0</v>
      </c>
    </row>
    <row r="510" spans="1:17">
      <c r="A510" s="19">
        <v>0</v>
      </c>
      <c r="B510" s="19">
        <v>0</v>
      </c>
      <c r="C510" s="19">
        <v>0</v>
      </c>
      <c r="D510" s="19">
        <v>0</v>
      </c>
      <c r="E510" s="19">
        <v>0</v>
      </c>
      <c r="F510" s="19">
        <v>0</v>
      </c>
      <c r="G510" s="19">
        <v>0</v>
      </c>
      <c r="H510" s="19">
        <v>0</v>
      </c>
      <c r="I510" s="15">
        <v>3500</v>
      </c>
      <c r="J510" s="15">
        <v>0</v>
      </c>
      <c r="K510" s="15">
        <v>0</v>
      </c>
      <c r="L510" s="16">
        <v>0</v>
      </c>
      <c r="M510" s="15">
        <v>0</v>
      </c>
      <c r="N510" s="15" t="str">
        <v/>
      </c>
      <c r="O510" s="15" t="str">
        <v/>
      </c>
      <c r="P510" s="22">
        <v>0</v>
      </c>
      <c r="Q510">
        <v>0</v>
      </c>
    </row>
    <row r="511" spans="1:17">
      <c r="A511" s="19">
        <v>0</v>
      </c>
      <c r="B511" s="19">
        <v>0</v>
      </c>
      <c r="C511" s="19">
        <v>0</v>
      </c>
      <c r="D511" s="19">
        <v>0</v>
      </c>
      <c r="E511" s="19">
        <v>0</v>
      </c>
      <c r="F511" s="19">
        <v>0</v>
      </c>
      <c r="G511" s="19">
        <v>0</v>
      </c>
      <c r="H511" s="19">
        <v>0</v>
      </c>
      <c r="I511" s="15">
        <v>3500</v>
      </c>
      <c r="J511" s="15">
        <v>0</v>
      </c>
      <c r="K511" s="15">
        <v>0</v>
      </c>
      <c r="L511" s="16">
        <v>0</v>
      </c>
      <c r="M511" s="15">
        <v>0</v>
      </c>
      <c r="N511" s="15" t="str">
        <v/>
      </c>
      <c r="O511" s="15" t="str">
        <v/>
      </c>
      <c r="P511" s="22">
        <v>0</v>
      </c>
      <c r="Q511">
        <v>0</v>
      </c>
    </row>
    <row r="512" spans="1:17">
      <c r="A512" s="19">
        <v>0</v>
      </c>
      <c r="B512" s="19">
        <v>0</v>
      </c>
      <c r="C512" s="19">
        <v>0</v>
      </c>
      <c r="D512" s="19">
        <v>0</v>
      </c>
      <c r="E512" s="19">
        <v>0</v>
      </c>
      <c r="F512" s="19">
        <v>0</v>
      </c>
      <c r="G512" s="19">
        <v>0</v>
      </c>
      <c r="H512" s="19">
        <v>0</v>
      </c>
      <c r="I512" s="15">
        <v>3500</v>
      </c>
      <c r="J512" s="15">
        <v>0</v>
      </c>
      <c r="K512" s="15">
        <v>0</v>
      </c>
      <c r="L512" s="16">
        <v>0</v>
      </c>
      <c r="M512" s="15">
        <v>0</v>
      </c>
      <c r="N512" s="15" t="str">
        <v/>
      </c>
      <c r="O512" s="15" t="str">
        <v/>
      </c>
      <c r="P512" s="22">
        <v>0</v>
      </c>
      <c r="Q512">
        <v>0</v>
      </c>
    </row>
    <row r="513" spans="1:17">
      <c r="A513" s="19">
        <v>0</v>
      </c>
      <c r="B513" s="19">
        <v>0</v>
      </c>
      <c r="C513" s="19">
        <v>0</v>
      </c>
      <c r="D513" s="19">
        <v>0</v>
      </c>
      <c r="E513" s="19">
        <v>0</v>
      </c>
      <c r="F513" s="19">
        <v>0</v>
      </c>
      <c r="G513" s="19">
        <v>0</v>
      </c>
      <c r="H513" s="19">
        <v>0</v>
      </c>
      <c r="I513" s="15">
        <v>3500</v>
      </c>
      <c r="J513" s="15">
        <v>0</v>
      </c>
      <c r="K513" s="15">
        <v>0</v>
      </c>
      <c r="L513" s="16">
        <v>0</v>
      </c>
      <c r="M513" s="15">
        <v>0</v>
      </c>
      <c r="N513" s="15" t="str">
        <v/>
      </c>
      <c r="O513" s="15" t="str">
        <v/>
      </c>
      <c r="P513" s="22">
        <v>0</v>
      </c>
      <c r="Q513">
        <v>0</v>
      </c>
    </row>
    <row r="514" spans="1:17">
      <c r="A514" s="19">
        <v>0</v>
      </c>
      <c r="B514" s="19">
        <v>0</v>
      </c>
      <c r="C514" s="19">
        <v>0</v>
      </c>
      <c r="D514" s="19">
        <v>0</v>
      </c>
      <c r="E514" s="19">
        <v>0</v>
      </c>
      <c r="F514" s="19">
        <v>0</v>
      </c>
      <c r="G514" s="19">
        <v>0</v>
      </c>
      <c r="H514" s="19">
        <v>0</v>
      </c>
      <c r="I514" s="15">
        <v>3500</v>
      </c>
      <c r="J514" s="15">
        <v>0</v>
      </c>
      <c r="K514" s="15">
        <v>0</v>
      </c>
      <c r="L514" s="16">
        <v>0</v>
      </c>
      <c r="M514" s="15">
        <v>0</v>
      </c>
      <c r="N514" s="15" t="str">
        <v/>
      </c>
      <c r="O514" s="15" t="str">
        <v/>
      </c>
      <c r="P514" s="22">
        <v>0</v>
      </c>
      <c r="Q514">
        <v>0</v>
      </c>
    </row>
    <row r="515" spans="1:17">
      <c r="A515" s="19">
        <v>0</v>
      </c>
      <c r="B515" s="19">
        <v>0</v>
      </c>
      <c r="C515" s="19">
        <v>0</v>
      </c>
      <c r="D515" s="19">
        <v>0</v>
      </c>
      <c r="E515" s="19">
        <v>0</v>
      </c>
      <c r="F515" s="19">
        <v>0</v>
      </c>
      <c r="G515" s="19">
        <v>0</v>
      </c>
      <c r="H515" s="19">
        <v>0</v>
      </c>
      <c r="I515" s="15">
        <v>3500</v>
      </c>
      <c r="J515" s="15">
        <v>0</v>
      </c>
      <c r="K515" s="15">
        <v>0</v>
      </c>
      <c r="L515" s="16">
        <v>0</v>
      </c>
      <c r="M515" s="15">
        <v>0</v>
      </c>
      <c r="N515" s="15" t="str">
        <v/>
      </c>
      <c r="O515" s="15" t="str">
        <v/>
      </c>
      <c r="P515" s="22">
        <v>0</v>
      </c>
      <c r="Q515">
        <v>0</v>
      </c>
    </row>
    <row r="516" spans="1:17">
      <c r="A516" s="19">
        <v>0</v>
      </c>
      <c r="B516" s="19">
        <v>0</v>
      </c>
      <c r="C516" s="19">
        <v>0</v>
      </c>
      <c r="D516" s="19">
        <v>0</v>
      </c>
      <c r="E516" s="19">
        <v>0</v>
      </c>
      <c r="F516" s="19">
        <v>0</v>
      </c>
      <c r="G516" s="19">
        <v>0</v>
      </c>
      <c r="H516" s="19">
        <v>0</v>
      </c>
      <c r="I516" s="15">
        <v>3500</v>
      </c>
      <c r="J516" s="15">
        <v>0</v>
      </c>
      <c r="K516" s="15">
        <v>0</v>
      </c>
      <c r="L516" s="16">
        <v>0</v>
      </c>
      <c r="M516" s="15">
        <v>0</v>
      </c>
      <c r="N516" s="15" t="str">
        <v/>
      </c>
      <c r="O516" s="15" t="str">
        <v/>
      </c>
      <c r="P516" s="22">
        <v>0</v>
      </c>
      <c r="Q516">
        <v>0</v>
      </c>
    </row>
    <row r="517" spans="1:17">
      <c r="A517" s="19">
        <v>0</v>
      </c>
      <c r="B517" s="19">
        <v>0</v>
      </c>
      <c r="C517" s="19">
        <v>0</v>
      </c>
      <c r="D517" s="19">
        <v>0</v>
      </c>
      <c r="E517" s="19">
        <v>0</v>
      </c>
      <c r="F517" s="19">
        <v>0</v>
      </c>
      <c r="G517" s="19">
        <v>0</v>
      </c>
      <c r="H517" s="19">
        <v>0</v>
      </c>
      <c r="I517" s="15">
        <v>3500</v>
      </c>
      <c r="J517" s="15">
        <v>0</v>
      </c>
      <c r="K517" s="15">
        <v>0</v>
      </c>
      <c r="L517" s="16">
        <v>0</v>
      </c>
      <c r="M517" s="15">
        <v>0</v>
      </c>
      <c r="N517" s="15" t="str">
        <v/>
      </c>
      <c r="O517" s="15" t="str">
        <v/>
      </c>
      <c r="P517" s="22">
        <v>0</v>
      </c>
      <c r="Q517">
        <v>0</v>
      </c>
    </row>
    <row r="518" spans="1:17">
      <c r="A518" s="19">
        <v>0</v>
      </c>
      <c r="B518" s="19">
        <v>0</v>
      </c>
      <c r="C518" s="19">
        <v>0</v>
      </c>
      <c r="D518" s="19">
        <v>0</v>
      </c>
      <c r="E518" s="19">
        <v>0</v>
      </c>
      <c r="F518" s="19">
        <v>0</v>
      </c>
      <c r="G518" s="19">
        <v>0</v>
      </c>
      <c r="H518" s="19">
        <v>0</v>
      </c>
      <c r="I518" s="15">
        <v>3500</v>
      </c>
      <c r="J518" s="15">
        <v>0</v>
      </c>
      <c r="K518" s="15">
        <v>0</v>
      </c>
      <c r="L518" s="16">
        <v>0</v>
      </c>
      <c r="M518" s="15">
        <v>0</v>
      </c>
      <c r="N518" s="15" t="str">
        <v/>
      </c>
      <c r="O518" s="15" t="str">
        <v/>
      </c>
      <c r="P518" s="22">
        <v>0</v>
      </c>
      <c r="Q518">
        <v>0</v>
      </c>
    </row>
    <row r="519" spans="1:17">
      <c r="A519" s="19">
        <v>0</v>
      </c>
      <c r="B519" s="19">
        <v>0</v>
      </c>
      <c r="C519" s="19">
        <v>0</v>
      </c>
      <c r="D519" s="19">
        <v>0</v>
      </c>
      <c r="E519" s="19">
        <v>0</v>
      </c>
      <c r="F519" s="19">
        <v>0</v>
      </c>
      <c r="G519" s="19">
        <v>0</v>
      </c>
      <c r="H519" s="19">
        <v>0</v>
      </c>
      <c r="I519" s="15">
        <v>3500</v>
      </c>
      <c r="J519" s="15">
        <v>0</v>
      </c>
      <c r="K519" s="15">
        <v>0</v>
      </c>
      <c r="L519" s="16">
        <v>0</v>
      </c>
      <c r="M519" s="15">
        <v>0</v>
      </c>
      <c r="N519" s="15" t="str">
        <v/>
      </c>
      <c r="O519" s="15" t="str">
        <v/>
      </c>
      <c r="P519" s="22">
        <v>0</v>
      </c>
      <c r="Q519">
        <v>0</v>
      </c>
    </row>
    <row r="520" spans="1:17">
      <c r="A520" s="19">
        <v>0</v>
      </c>
      <c r="B520" s="19">
        <v>0</v>
      </c>
      <c r="C520" s="19">
        <v>0</v>
      </c>
      <c r="D520" s="19">
        <v>0</v>
      </c>
      <c r="E520" s="19">
        <v>0</v>
      </c>
      <c r="F520" s="19">
        <v>0</v>
      </c>
      <c r="G520" s="19">
        <v>0</v>
      </c>
      <c r="H520" s="19">
        <v>0</v>
      </c>
      <c r="I520" s="15">
        <v>3500</v>
      </c>
      <c r="J520" s="15">
        <v>0</v>
      </c>
      <c r="K520" s="15">
        <v>0</v>
      </c>
      <c r="L520" s="16">
        <v>0</v>
      </c>
      <c r="M520" s="15">
        <v>0</v>
      </c>
      <c r="N520" s="15" t="str">
        <v/>
      </c>
      <c r="O520" s="15" t="str">
        <v/>
      </c>
      <c r="P520" s="22">
        <v>0</v>
      </c>
      <c r="Q520">
        <v>0</v>
      </c>
    </row>
    <row r="521" spans="1:17">
      <c r="A521" s="19">
        <v>0</v>
      </c>
      <c r="B521" s="19">
        <v>0</v>
      </c>
      <c r="C521" s="19">
        <v>0</v>
      </c>
      <c r="D521" s="19">
        <v>0</v>
      </c>
      <c r="E521" s="19">
        <v>0</v>
      </c>
      <c r="F521" s="19">
        <v>0</v>
      </c>
      <c r="G521" s="19">
        <v>0</v>
      </c>
      <c r="H521" s="19">
        <v>0</v>
      </c>
      <c r="I521" s="15">
        <v>3500</v>
      </c>
      <c r="J521" s="15">
        <v>0</v>
      </c>
      <c r="K521" s="15">
        <v>0</v>
      </c>
      <c r="L521" s="16">
        <v>0</v>
      </c>
      <c r="M521" s="15">
        <v>0</v>
      </c>
      <c r="N521" s="15" t="str">
        <v/>
      </c>
      <c r="O521" s="15" t="str">
        <v/>
      </c>
      <c r="P521" s="22">
        <v>0</v>
      </c>
      <c r="Q521">
        <v>0</v>
      </c>
    </row>
    <row r="522" spans="1:17">
      <c r="A522" s="19">
        <v>0</v>
      </c>
      <c r="B522" s="19">
        <v>0</v>
      </c>
      <c r="C522" s="19">
        <v>0</v>
      </c>
      <c r="D522" s="19">
        <v>0</v>
      </c>
      <c r="E522" s="19">
        <v>0</v>
      </c>
      <c r="F522" s="19">
        <v>0</v>
      </c>
      <c r="G522" s="19">
        <v>0</v>
      </c>
      <c r="H522" s="19">
        <v>0</v>
      </c>
      <c r="I522" s="15">
        <v>3500</v>
      </c>
      <c r="J522" s="15">
        <v>0</v>
      </c>
      <c r="K522" s="15">
        <v>0</v>
      </c>
      <c r="L522" s="16">
        <v>0</v>
      </c>
      <c r="M522" s="15">
        <v>0</v>
      </c>
      <c r="N522" s="15" t="str">
        <v/>
      </c>
      <c r="O522" s="15" t="str">
        <v/>
      </c>
      <c r="P522" s="22">
        <v>0</v>
      </c>
      <c r="Q522">
        <v>0</v>
      </c>
    </row>
    <row r="523" spans="1:17">
      <c r="A523" s="19">
        <v>0</v>
      </c>
      <c r="B523" s="19">
        <v>0</v>
      </c>
      <c r="C523" s="19">
        <v>0</v>
      </c>
      <c r="D523" s="19">
        <v>0</v>
      </c>
      <c r="E523" s="19">
        <v>0</v>
      </c>
      <c r="F523" s="19">
        <v>0</v>
      </c>
      <c r="G523" s="19">
        <v>0</v>
      </c>
      <c r="H523" s="19">
        <v>0</v>
      </c>
      <c r="I523" s="15">
        <v>3500</v>
      </c>
      <c r="J523" s="15">
        <v>0</v>
      </c>
      <c r="K523" s="15">
        <v>0</v>
      </c>
      <c r="L523" s="16">
        <v>0</v>
      </c>
      <c r="M523" s="15">
        <v>0</v>
      </c>
      <c r="N523" s="15" t="str">
        <v/>
      </c>
      <c r="O523" s="15" t="str">
        <v/>
      </c>
      <c r="P523" s="22">
        <v>0</v>
      </c>
      <c r="Q523">
        <v>0</v>
      </c>
    </row>
    <row r="524" spans="1:17">
      <c r="A524" s="19">
        <v>0</v>
      </c>
      <c r="B524" s="19">
        <v>0</v>
      </c>
      <c r="C524" s="19">
        <v>0</v>
      </c>
      <c r="D524" s="19">
        <v>0</v>
      </c>
      <c r="E524" s="19">
        <v>0</v>
      </c>
      <c r="F524" s="19">
        <v>0</v>
      </c>
      <c r="G524" s="19">
        <v>0</v>
      </c>
      <c r="H524" s="19">
        <v>0</v>
      </c>
      <c r="I524" s="15">
        <v>3500</v>
      </c>
      <c r="J524" s="15">
        <v>0</v>
      </c>
      <c r="K524" s="15">
        <v>0</v>
      </c>
      <c r="L524" s="16">
        <v>0</v>
      </c>
      <c r="M524" s="15">
        <v>0</v>
      </c>
      <c r="N524" s="15" t="str">
        <v/>
      </c>
      <c r="O524" s="15" t="str">
        <v/>
      </c>
      <c r="P524" s="22">
        <v>0</v>
      </c>
      <c r="Q524">
        <v>0</v>
      </c>
    </row>
    <row r="525" spans="1:17">
      <c r="A525" s="19">
        <v>0</v>
      </c>
      <c r="B525" s="19">
        <v>0</v>
      </c>
      <c r="C525" s="19">
        <v>0</v>
      </c>
      <c r="D525" s="19">
        <v>0</v>
      </c>
      <c r="E525" s="19">
        <v>0</v>
      </c>
      <c r="F525" s="19">
        <v>0</v>
      </c>
      <c r="G525" s="19">
        <v>0</v>
      </c>
      <c r="H525" s="19">
        <v>0</v>
      </c>
      <c r="I525" s="15">
        <v>3500</v>
      </c>
      <c r="J525" s="15">
        <v>0</v>
      </c>
      <c r="K525" s="15">
        <v>0</v>
      </c>
      <c r="L525" s="16">
        <v>0</v>
      </c>
      <c r="M525" s="15">
        <v>0</v>
      </c>
      <c r="N525" s="15" t="str">
        <v/>
      </c>
      <c r="O525" s="15" t="str">
        <v/>
      </c>
      <c r="P525" s="22">
        <v>0</v>
      </c>
      <c r="Q525">
        <v>0</v>
      </c>
    </row>
    <row r="526" spans="1:17">
      <c r="A526" s="19">
        <v>0</v>
      </c>
      <c r="B526" s="19">
        <v>0</v>
      </c>
      <c r="C526" s="19">
        <v>0</v>
      </c>
      <c r="D526" s="19">
        <v>0</v>
      </c>
      <c r="E526" s="19">
        <v>0</v>
      </c>
      <c r="F526" s="19">
        <v>0</v>
      </c>
      <c r="G526" s="19">
        <v>0</v>
      </c>
      <c r="H526" s="19">
        <v>0</v>
      </c>
      <c r="I526" s="15">
        <v>3500</v>
      </c>
      <c r="J526" s="15">
        <v>0</v>
      </c>
      <c r="K526" s="15">
        <v>0</v>
      </c>
      <c r="L526" s="16">
        <v>0</v>
      </c>
      <c r="M526" s="15">
        <v>0</v>
      </c>
      <c r="N526" s="15" t="str">
        <v/>
      </c>
      <c r="O526" s="15" t="str">
        <v/>
      </c>
      <c r="P526" s="22">
        <v>0</v>
      </c>
      <c r="Q526">
        <v>0</v>
      </c>
    </row>
    <row r="527" spans="1:17">
      <c r="A527" s="19">
        <v>0</v>
      </c>
      <c r="B527" s="19">
        <v>0</v>
      </c>
      <c r="C527" s="19">
        <v>0</v>
      </c>
      <c r="D527" s="19">
        <v>0</v>
      </c>
      <c r="E527" s="19">
        <v>0</v>
      </c>
      <c r="F527" s="19">
        <v>0</v>
      </c>
      <c r="G527" s="19">
        <v>0</v>
      </c>
      <c r="H527" s="19">
        <v>0</v>
      </c>
      <c r="I527" s="15">
        <v>3500</v>
      </c>
      <c r="J527" s="15">
        <v>0</v>
      </c>
      <c r="K527" s="15">
        <v>0</v>
      </c>
      <c r="L527" s="16">
        <v>0</v>
      </c>
      <c r="M527" s="15">
        <v>0</v>
      </c>
      <c r="N527" s="15" t="str">
        <v/>
      </c>
      <c r="O527" s="15" t="str">
        <v/>
      </c>
      <c r="P527" s="22">
        <v>0</v>
      </c>
      <c r="Q527">
        <v>0</v>
      </c>
    </row>
    <row r="528" spans="1:17">
      <c r="A528" s="19">
        <v>0</v>
      </c>
      <c r="B528" s="19">
        <v>0</v>
      </c>
      <c r="C528" s="19">
        <v>0</v>
      </c>
      <c r="D528" s="19">
        <v>0</v>
      </c>
      <c r="E528" s="19">
        <v>0</v>
      </c>
      <c r="F528" s="19">
        <v>0</v>
      </c>
      <c r="G528" s="19">
        <v>0</v>
      </c>
      <c r="H528" s="19">
        <v>0</v>
      </c>
      <c r="I528" s="15">
        <v>3500</v>
      </c>
      <c r="J528" s="15">
        <v>0</v>
      </c>
      <c r="K528" s="15">
        <v>0</v>
      </c>
      <c r="L528" s="16">
        <v>0</v>
      </c>
      <c r="M528" s="15">
        <v>0</v>
      </c>
      <c r="N528" s="15" t="str">
        <v/>
      </c>
      <c r="O528" s="15" t="str">
        <v/>
      </c>
      <c r="P528" s="22">
        <v>0</v>
      </c>
      <c r="Q528">
        <v>0</v>
      </c>
    </row>
    <row r="529" spans="1:17">
      <c r="A529" s="19">
        <v>0</v>
      </c>
      <c r="B529" s="19">
        <v>0</v>
      </c>
      <c r="C529" s="19">
        <v>0</v>
      </c>
      <c r="D529" s="19">
        <v>0</v>
      </c>
      <c r="E529" s="19">
        <v>0</v>
      </c>
      <c r="F529" s="19">
        <v>0</v>
      </c>
      <c r="G529" s="19">
        <v>0</v>
      </c>
      <c r="H529" s="19">
        <v>0</v>
      </c>
      <c r="I529" s="15">
        <v>3500</v>
      </c>
      <c r="J529" s="15">
        <v>0</v>
      </c>
      <c r="K529" s="15">
        <v>0</v>
      </c>
      <c r="L529" s="16">
        <v>0</v>
      </c>
      <c r="M529" s="15">
        <v>0</v>
      </c>
      <c r="N529" s="15" t="str">
        <v/>
      </c>
      <c r="O529" s="15" t="str">
        <v/>
      </c>
      <c r="P529" s="22">
        <v>0</v>
      </c>
      <c r="Q529">
        <v>0</v>
      </c>
    </row>
    <row r="530" spans="1:17">
      <c r="A530" s="19">
        <v>0</v>
      </c>
      <c r="B530" s="19">
        <v>0</v>
      </c>
      <c r="C530" s="19">
        <v>0</v>
      </c>
      <c r="D530" s="19">
        <v>0</v>
      </c>
      <c r="E530" s="19">
        <v>0</v>
      </c>
      <c r="F530" s="19">
        <v>0</v>
      </c>
      <c r="G530" s="19">
        <v>0</v>
      </c>
      <c r="H530" s="19">
        <v>0</v>
      </c>
      <c r="I530" s="15">
        <v>3500</v>
      </c>
      <c r="J530" s="15">
        <v>0</v>
      </c>
      <c r="K530" s="15">
        <v>0</v>
      </c>
      <c r="L530" s="16">
        <v>0</v>
      </c>
      <c r="M530" s="15">
        <v>0</v>
      </c>
      <c r="N530" s="15" t="str">
        <v/>
      </c>
      <c r="O530" s="15" t="str">
        <v/>
      </c>
      <c r="P530" s="22">
        <v>0</v>
      </c>
      <c r="Q530">
        <v>0</v>
      </c>
    </row>
    <row r="531" spans="1:17">
      <c r="A531" s="19">
        <v>0</v>
      </c>
      <c r="B531" s="19">
        <v>0</v>
      </c>
      <c r="C531" s="19">
        <v>0</v>
      </c>
      <c r="D531" s="19">
        <v>0</v>
      </c>
      <c r="E531" s="19">
        <v>0</v>
      </c>
      <c r="F531" s="19">
        <v>0</v>
      </c>
      <c r="G531" s="19">
        <v>0</v>
      </c>
      <c r="H531" s="19">
        <v>0</v>
      </c>
      <c r="I531" s="15">
        <v>3500</v>
      </c>
      <c r="J531" s="15">
        <v>0</v>
      </c>
      <c r="K531" s="15">
        <v>0</v>
      </c>
      <c r="L531" s="16">
        <v>0</v>
      </c>
      <c r="M531" s="15">
        <v>0</v>
      </c>
      <c r="N531" s="15" t="str">
        <v/>
      </c>
      <c r="O531" s="15" t="str">
        <v/>
      </c>
      <c r="P531" s="22">
        <v>0</v>
      </c>
      <c r="Q531">
        <v>0</v>
      </c>
    </row>
    <row r="532" spans="1:17">
      <c r="A532" s="19">
        <v>0</v>
      </c>
      <c r="B532" s="19">
        <v>0</v>
      </c>
      <c r="C532" s="19">
        <v>0</v>
      </c>
      <c r="D532" s="19">
        <v>0</v>
      </c>
      <c r="E532" s="19">
        <v>0</v>
      </c>
      <c r="F532" s="19">
        <v>0</v>
      </c>
      <c r="G532" s="19">
        <v>0</v>
      </c>
      <c r="H532" s="19">
        <v>0</v>
      </c>
      <c r="I532" s="15">
        <v>3500</v>
      </c>
      <c r="J532" s="15">
        <v>0</v>
      </c>
      <c r="K532" s="15">
        <v>0</v>
      </c>
      <c r="L532" s="16">
        <v>0</v>
      </c>
      <c r="M532" s="15">
        <v>0</v>
      </c>
      <c r="N532" s="15" t="str">
        <v/>
      </c>
      <c r="O532" s="15" t="str">
        <v/>
      </c>
      <c r="P532" s="22">
        <v>0</v>
      </c>
      <c r="Q532">
        <v>0</v>
      </c>
    </row>
    <row r="533" spans="1:17">
      <c r="A533" s="19">
        <v>0</v>
      </c>
      <c r="B533" s="19">
        <v>0</v>
      </c>
      <c r="C533" s="19">
        <v>0</v>
      </c>
      <c r="D533" s="19">
        <v>0</v>
      </c>
      <c r="E533" s="19">
        <v>0</v>
      </c>
      <c r="F533" s="19">
        <v>0</v>
      </c>
      <c r="G533" s="19">
        <v>0</v>
      </c>
      <c r="H533" s="19">
        <v>0</v>
      </c>
      <c r="I533" s="15">
        <v>3500</v>
      </c>
      <c r="J533" s="15">
        <v>0</v>
      </c>
      <c r="K533" s="15">
        <v>0</v>
      </c>
      <c r="L533" s="16">
        <v>0</v>
      </c>
      <c r="M533" s="15">
        <v>0</v>
      </c>
      <c r="N533" s="15" t="str">
        <v/>
      </c>
      <c r="O533" s="15" t="str">
        <v/>
      </c>
      <c r="P533" s="22">
        <v>0</v>
      </c>
      <c r="Q533">
        <v>0</v>
      </c>
    </row>
    <row r="534" spans="1:17">
      <c r="A534" s="19">
        <v>0</v>
      </c>
      <c r="B534" s="19">
        <v>0</v>
      </c>
      <c r="C534" s="19">
        <v>0</v>
      </c>
      <c r="D534" s="19">
        <v>0</v>
      </c>
      <c r="E534" s="19">
        <v>0</v>
      </c>
      <c r="F534" s="19">
        <v>0</v>
      </c>
      <c r="G534" s="19">
        <v>0</v>
      </c>
      <c r="H534" s="19">
        <v>0</v>
      </c>
      <c r="I534" s="15">
        <v>3500</v>
      </c>
      <c r="J534" s="15">
        <v>0</v>
      </c>
      <c r="K534" s="15">
        <v>0</v>
      </c>
      <c r="L534" s="16">
        <v>0</v>
      </c>
      <c r="M534" s="15">
        <v>0</v>
      </c>
      <c r="N534" s="15" t="str">
        <v/>
      </c>
      <c r="O534" s="15" t="str">
        <v/>
      </c>
      <c r="P534" s="22">
        <v>0</v>
      </c>
      <c r="Q534">
        <v>0</v>
      </c>
    </row>
    <row r="535" spans="1:17">
      <c r="A535" s="19">
        <v>0</v>
      </c>
      <c r="B535" s="19">
        <v>0</v>
      </c>
      <c r="C535" s="19">
        <v>0</v>
      </c>
      <c r="D535" s="19">
        <v>0</v>
      </c>
      <c r="E535" s="19">
        <v>0</v>
      </c>
      <c r="F535" s="19">
        <v>0</v>
      </c>
      <c r="G535" s="19">
        <v>0</v>
      </c>
      <c r="H535" s="19">
        <v>0</v>
      </c>
      <c r="I535" s="15">
        <v>3500</v>
      </c>
      <c r="J535" s="15">
        <v>0</v>
      </c>
      <c r="K535" s="15">
        <v>0</v>
      </c>
      <c r="L535" s="16">
        <v>0</v>
      </c>
      <c r="M535" s="15">
        <v>0</v>
      </c>
      <c r="N535" s="15" t="str">
        <v/>
      </c>
      <c r="O535" s="15" t="str">
        <v/>
      </c>
      <c r="P535" s="22">
        <v>0</v>
      </c>
      <c r="Q535">
        <v>0</v>
      </c>
    </row>
    <row r="536" spans="1:17">
      <c r="A536" s="19">
        <v>0</v>
      </c>
      <c r="B536" s="19">
        <v>0</v>
      </c>
      <c r="C536" s="19">
        <v>0</v>
      </c>
      <c r="D536" s="19">
        <v>0</v>
      </c>
      <c r="E536" s="19">
        <v>0</v>
      </c>
      <c r="F536" s="19">
        <v>0</v>
      </c>
      <c r="G536" s="19">
        <v>0</v>
      </c>
      <c r="H536" s="19">
        <v>0</v>
      </c>
      <c r="I536" s="15">
        <v>3500</v>
      </c>
      <c r="J536" s="15">
        <v>0</v>
      </c>
      <c r="K536" s="15">
        <v>0</v>
      </c>
      <c r="L536" s="16">
        <v>0</v>
      </c>
      <c r="M536" s="15">
        <v>0</v>
      </c>
      <c r="N536" s="15" t="str">
        <v/>
      </c>
      <c r="O536" s="15" t="str">
        <v/>
      </c>
      <c r="P536" s="22">
        <v>0</v>
      </c>
      <c r="Q536">
        <v>0</v>
      </c>
    </row>
    <row r="537" spans="1:17">
      <c r="A537" s="19">
        <v>0</v>
      </c>
      <c r="B537" s="19">
        <v>0</v>
      </c>
      <c r="C537" s="19">
        <v>0</v>
      </c>
      <c r="D537" s="19">
        <v>0</v>
      </c>
      <c r="E537" s="19">
        <v>0</v>
      </c>
      <c r="F537" s="19">
        <v>0</v>
      </c>
      <c r="G537" s="19">
        <v>0</v>
      </c>
      <c r="H537" s="19">
        <v>0</v>
      </c>
      <c r="I537" s="15">
        <v>3500</v>
      </c>
      <c r="J537" s="15">
        <v>0</v>
      </c>
      <c r="K537" s="15">
        <v>0</v>
      </c>
      <c r="L537" s="16">
        <v>0</v>
      </c>
      <c r="M537" s="15">
        <v>0</v>
      </c>
      <c r="N537" s="15" t="str">
        <v/>
      </c>
      <c r="O537" s="15" t="str">
        <v/>
      </c>
      <c r="P537" s="22">
        <v>0</v>
      </c>
      <c r="Q537">
        <v>0</v>
      </c>
    </row>
    <row r="538" spans="1:17">
      <c r="A538" s="19">
        <v>0</v>
      </c>
      <c r="B538" s="19">
        <v>0</v>
      </c>
      <c r="C538" s="19">
        <v>0</v>
      </c>
      <c r="D538" s="19">
        <v>0</v>
      </c>
      <c r="E538" s="19">
        <v>0</v>
      </c>
      <c r="F538" s="19">
        <v>0</v>
      </c>
      <c r="G538" s="19">
        <v>0</v>
      </c>
      <c r="H538" s="19">
        <v>0</v>
      </c>
      <c r="I538" s="15">
        <v>3500</v>
      </c>
      <c r="J538" s="15">
        <v>0</v>
      </c>
      <c r="K538" s="15">
        <v>0</v>
      </c>
      <c r="L538" s="16">
        <v>0</v>
      </c>
      <c r="M538" s="15">
        <v>0</v>
      </c>
      <c r="N538" s="15" t="str">
        <v/>
      </c>
      <c r="O538" s="15" t="str">
        <v/>
      </c>
      <c r="P538" s="22">
        <v>0</v>
      </c>
      <c r="Q538">
        <v>0</v>
      </c>
    </row>
    <row r="539" spans="1:17">
      <c r="A539" s="19">
        <v>0</v>
      </c>
      <c r="B539" s="19">
        <v>0</v>
      </c>
      <c r="C539" s="19">
        <v>0</v>
      </c>
      <c r="D539" s="19">
        <v>0</v>
      </c>
      <c r="E539" s="19">
        <v>0</v>
      </c>
      <c r="F539" s="19">
        <v>0</v>
      </c>
      <c r="G539" s="19">
        <v>0</v>
      </c>
      <c r="H539" s="19">
        <v>0</v>
      </c>
      <c r="I539" s="15">
        <v>3500</v>
      </c>
      <c r="J539" s="15">
        <v>0</v>
      </c>
      <c r="K539" s="15">
        <v>0</v>
      </c>
      <c r="L539" s="16">
        <v>0</v>
      </c>
      <c r="M539" s="15">
        <v>0</v>
      </c>
      <c r="N539" s="15" t="str">
        <v/>
      </c>
      <c r="O539" s="15" t="str">
        <v/>
      </c>
      <c r="P539" s="22">
        <v>0</v>
      </c>
      <c r="Q539">
        <v>0</v>
      </c>
    </row>
    <row r="540" spans="1:17">
      <c r="A540" s="19">
        <v>0</v>
      </c>
      <c r="B540" s="19">
        <v>0</v>
      </c>
      <c r="C540" s="19">
        <v>0</v>
      </c>
      <c r="D540" s="19">
        <v>0</v>
      </c>
      <c r="E540" s="19">
        <v>0</v>
      </c>
      <c r="F540" s="19">
        <v>0</v>
      </c>
      <c r="G540" s="19">
        <v>0</v>
      </c>
      <c r="H540" s="19">
        <v>0</v>
      </c>
      <c r="I540" s="15">
        <v>3500</v>
      </c>
      <c r="J540" s="15">
        <v>0</v>
      </c>
      <c r="K540" s="15">
        <v>0</v>
      </c>
      <c r="L540" s="16">
        <v>0</v>
      </c>
      <c r="M540" s="15">
        <v>0</v>
      </c>
      <c r="N540" s="15" t="str">
        <v/>
      </c>
      <c r="O540" s="15" t="str">
        <v/>
      </c>
      <c r="P540" s="22">
        <v>0</v>
      </c>
      <c r="Q540">
        <v>0</v>
      </c>
    </row>
    <row r="541" spans="1:17">
      <c r="A541" s="19">
        <v>0</v>
      </c>
      <c r="B541" s="19">
        <v>0</v>
      </c>
      <c r="C541" s="19">
        <v>0</v>
      </c>
      <c r="D541" s="19">
        <v>0</v>
      </c>
      <c r="E541" s="19">
        <v>0</v>
      </c>
      <c r="F541" s="19">
        <v>0</v>
      </c>
      <c r="G541" s="19">
        <v>0</v>
      </c>
      <c r="H541" s="19">
        <v>0</v>
      </c>
      <c r="I541" s="15">
        <v>3500</v>
      </c>
      <c r="J541" s="15">
        <v>0</v>
      </c>
      <c r="K541" s="15">
        <v>0</v>
      </c>
      <c r="L541" s="16">
        <v>0</v>
      </c>
      <c r="M541" s="15">
        <v>0</v>
      </c>
      <c r="N541" s="15" t="str">
        <v/>
      </c>
      <c r="O541" s="15" t="str">
        <v/>
      </c>
      <c r="P541" s="22">
        <v>0</v>
      </c>
      <c r="Q541">
        <v>0</v>
      </c>
    </row>
    <row r="542" spans="1:17">
      <c r="A542" s="19">
        <v>0</v>
      </c>
      <c r="B542" s="19">
        <v>0</v>
      </c>
      <c r="C542" s="19">
        <v>0</v>
      </c>
      <c r="D542" s="19">
        <v>0</v>
      </c>
      <c r="E542" s="19">
        <v>0</v>
      </c>
      <c r="F542" s="19">
        <v>0</v>
      </c>
      <c r="G542" s="19">
        <v>0</v>
      </c>
      <c r="H542" s="19">
        <v>0</v>
      </c>
      <c r="I542" s="15">
        <v>3500</v>
      </c>
      <c r="J542" s="15">
        <v>0</v>
      </c>
      <c r="K542" s="15">
        <v>0</v>
      </c>
      <c r="L542" s="16">
        <v>0</v>
      </c>
      <c r="M542" s="15">
        <v>0</v>
      </c>
      <c r="N542" s="15" t="str">
        <v/>
      </c>
      <c r="O542" s="15" t="str">
        <v/>
      </c>
      <c r="P542" s="22">
        <v>0</v>
      </c>
      <c r="Q542">
        <v>0</v>
      </c>
    </row>
    <row r="543" spans="1:17">
      <c r="A543" s="19">
        <v>0</v>
      </c>
      <c r="B543" s="19">
        <v>0</v>
      </c>
      <c r="C543" s="19">
        <v>0</v>
      </c>
      <c r="D543" s="19">
        <v>0</v>
      </c>
      <c r="E543" s="19">
        <v>0</v>
      </c>
      <c r="F543" s="19">
        <v>0</v>
      </c>
      <c r="G543" s="19">
        <v>0</v>
      </c>
      <c r="H543" s="19">
        <v>0</v>
      </c>
      <c r="I543" s="15">
        <v>3500</v>
      </c>
      <c r="J543" s="15">
        <v>0</v>
      </c>
      <c r="K543" s="15">
        <v>0</v>
      </c>
      <c r="L543" s="16">
        <v>0</v>
      </c>
      <c r="M543" s="15">
        <v>0</v>
      </c>
      <c r="N543" s="15" t="str">
        <v/>
      </c>
      <c r="O543" s="15" t="str">
        <v/>
      </c>
      <c r="P543" s="22">
        <v>0</v>
      </c>
      <c r="Q543">
        <v>0</v>
      </c>
    </row>
    <row r="544" spans="1:17">
      <c r="A544" s="19">
        <v>0</v>
      </c>
      <c r="B544" s="19">
        <v>0</v>
      </c>
      <c r="C544" s="19">
        <v>0</v>
      </c>
      <c r="D544" s="19">
        <v>0</v>
      </c>
      <c r="E544" s="19">
        <v>0</v>
      </c>
      <c r="F544" s="19">
        <v>0</v>
      </c>
      <c r="G544" s="19">
        <v>0</v>
      </c>
      <c r="H544" s="19">
        <v>0</v>
      </c>
      <c r="I544" s="15">
        <v>3500</v>
      </c>
      <c r="J544" s="15">
        <v>0</v>
      </c>
      <c r="K544" s="15">
        <v>0</v>
      </c>
      <c r="L544" s="16">
        <v>0</v>
      </c>
      <c r="M544" s="15">
        <v>0</v>
      </c>
      <c r="N544" s="15" t="str">
        <v/>
      </c>
      <c r="O544" s="15" t="str">
        <v/>
      </c>
      <c r="P544" s="22">
        <v>0</v>
      </c>
      <c r="Q544">
        <v>0</v>
      </c>
    </row>
    <row r="545" spans="1:17">
      <c r="A545" s="19">
        <v>0</v>
      </c>
      <c r="B545" s="19">
        <v>0</v>
      </c>
      <c r="C545" s="19">
        <v>0</v>
      </c>
      <c r="D545" s="19">
        <v>0</v>
      </c>
      <c r="E545" s="19">
        <v>0</v>
      </c>
      <c r="F545" s="19">
        <v>0</v>
      </c>
      <c r="G545" s="19">
        <v>0</v>
      </c>
      <c r="H545" s="19">
        <v>0</v>
      </c>
      <c r="I545" s="15">
        <v>3500</v>
      </c>
      <c r="J545" s="15">
        <v>0</v>
      </c>
      <c r="K545" s="15">
        <v>0</v>
      </c>
      <c r="L545" s="16">
        <v>0</v>
      </c>
      <c r="M545" s="15">
        <v>0</v>
      </c>
      <c r="N545" s="15" t="str">
        <v/>
      </c>
      <c r="O545" s="15" t="str">
        <v/>
      </c>
      <c r="P545" s="22">
        <v>0</v>
      </c>
      <c r="Q545">
        <v>0</v>
      </c>
    </row>
    <row r="546" spans="1:17">
      <c r="A546" s="19">
        <v>0</v>
      </c>
      <c r="B546" s="19">
        <v>0</v>
      </c>
      <c r="C546" s="19">
        <v>0</v>
      </c>
      <c r="D546" s="19">
        <v>0</v>
      </c>
      <c r="E546" s="19">
        <v>0</v>
      </c>
      <c r="F546" s="19">
        <v>0</v>
      </c>
      <c r="G546" s="19">
        <v>0</v>
      </c>
      <c r="H546" s="19">
        <v>0</v>
      </c>
      <c r="I546" s="15">
        <v>3500</v>
      </c>
      <c r="J546" s="15">
        <v>0</v>
      </c>
      <c r="K546" s="15">
        <v>0</v>
      </c>
      <c r="L546" s="16">
        <v>0</v>
      </c>
      <c r="M546" s="15">
        <v>0</v>
      </c>
      <c r="N546" s="15" t="str">
        <v/>
      </c>
      <c r="O546" s="15" t="str">
        <v/>
      </c>
      <c r="P546" s="22">
        <v>0</v>
      </c>
      <c r="Q546">
        <v>0</v>
      </c>
    </row>
    <row r="547" spans="1:17">
      <c r="A547" s="19">
        <v>0</v>
      </c>
      <c r="B547" s="19">
        <v>0</v>
      </c>
      <c r="C547" s="19">
        <v>0</v>
      </c>
      <c r="D547" s="19">
        <v>0</v>
      </c>
      <c r="E547" s="19">
        <v>0</v>
      </c>
      <c r="F547" s="19">
        <v>0</v>
      </c>
      <c r="G547" s="19">
        <v>0</v>
      </c>
      <c r="H547" s="19">
        <v>0</v>
      </c>
      <c r="I547" s="15">
        <v>3500</v>
      </c>
      <c r="J547" s="15">
        <v>0</v>
      </c>
      <c r="K547" s="15">
        <v>0</v>
      </c>
      <c r="L547" s="16">
        <v>0</v>
      </c>
      <c r="M547" s="15">
        <v>0</v>
      </c>
      <c r="N547" s="15" t="str">
        <v/>
      </c>
      <c r="O547" s="15" t="str">
        <v/>
      </c>
      <c r="P547" s="22">
        <v>0</v>
      </c>
      <c r="Q547">
        <v>0</v>
      </c>
    </row>
    <row r="548" spans="1:17">
      <c r="A548" s="19">
        <v>0</v>
      </c>
      <c r="B548" s="19">
        <v>0</v>
      </c>
      <c r="C548" s="19">
        <v>0</v>
      </c>
      <c r="D548" s="19">
        <v>0</v>
      </c>
      <c r="E548" s="19">
        <v>0</v>
      </c>
      <c r="F548" s="19">
        <v>0</v>
      </c>
      <c r="G548" s="19">
        <v>0</v>
      </c>
      <c r="H548" s="19">
        <v>0</v>
      </c>
      <c r="I548" s="15">
        <v>3500</v>
      </c>
      <c r="J548" s="15">
        <v>0</v>
      </c>
      <c r="K548" s="15">
        <v>0</v>
      </c>
      <c r="L548" s="16">
        <v>0</v>
      </c>
      <c r="M548" s="15">
        <v>0</v>
      </c>
      <c r="N548" s="15" t="str">
        <v/>
      </c>
      <c r="O548" s="15" t="str">
        <v/>
      </c>
      <c r="P548" s="22">
        <v>0</v>
      </c>
      <c r="Q548">
        <v>0</v>
      </c>
    </row>
    <row r="549" spans="1:17">
      <c r="A549" s="19">
        <v>0</v>
      </c>
      <c r="B549" s="19">
        <v>0</v>
      </c>
      <c r="C549" s="19">
        <v>0</v>
      </c>
      <c r="D549" s="19">
        <v>0</v>
      </c>
      <c r="E549" s="19">
        <v>0</v>
      </c>
      <c r="F549" s="19">
        <v>0</v>
      </c>
      <c r="G549" s="19">
        <v>0</v>
      </c>
      <c r="H549" s="19">
        <v>0</v>
      </c>
      <c r="I549" s="15">
        <v>3500</v>
      </c>
      <c r="J549" s="15">
        <v>0</v>
      </c>
      <c r="K549" s="15">
        <v>0</v>
      </c>
      <c r="L549" s="16">
        <v>0</v>
      </c>
      <c r="M549" s="15">
        <v>0</v>
      </c>
      <c r="N549" s="15" t="str">
        <v/>
      </c>
      <c r="O549" s="15" t="str">
        <v/>
      </c>
      <c r="P549" s="22">
        <v>0</v>
      </c>
      <c r="Q549">
        <v>0</v>
      </c>
    </row>
    <row r="550" spans="1:17">
      <c r="A550" s="19">
        <v>0</v>
      </c>
      <c r="B550" s="19">
        <v>0</v>
      </c>
      <c r="C550" s="19">
        <v>0</v>
      </c>
      <c r="D550" s="19">
        <v>0</v>
      </c>
      <c r="E550" s="19">
        <v>0</v>
      </c>
      <c r="F550" s="19">
        <v>0</v>
      </c>
      <c r="G550" s="19">
        <v>0</v>
      </c>
      <c r="H550" s="19">
        <v>0</v>
      </c>
      <c r="I550" s="15">
        <v>3500</v>
      </c>
      <c r="J550" s="15">
        <v>0</v>
      </c>
      <c r="K550" s="15">
        <v>0</v>
      </c>
      <c r="L550" s="16">
        <v>0</v>
      </c>
      <c r="M550" s="15">
        <v>0</v>
      </c>
      <c r="N550" s="15" t="str">
        <v/>
      </c>
      <c r="O550" s="15" t="str">
        <v/>
      </c>
      <c r="P550" s="22">
        <v>0</v>
      </c>
      <c r="Q550">
        <v>0</v>
      </c>
    </row>
    <row r="551" spans="1:17">
      <c r="A551" s="19">
        <v>0</v>
      </c>
      <c r="B551" s="19">
        <v>0</v>
      </c>
      <c r="C551" s="19">
        <v>0</v>
      </c>
      <c r="D551" s="19">
        <v>0</v>
      </c>
      <c r="E551" s="19">
        <v>0</v>
      </c>
      <c r="F551" s="19">
        <v>0</v>
      </c>
      <c r="G551" s="19">
        <v>0</v>
      </c>
      <c r="H551" s="19">
        <v>0</v>
      </c>
      <c r="I551" s="15">
        <v>3500</v>
      </c>
      <c r="J551" s="15">
        <v>0</v>
      </c>
      <c r="K551" s="15">
        <v>0</v>
      </c>
      <c r="L551" s="16">
        <v>0</v>
      </c>
      <c r="M551" s="15">
        <v>0</v>
      </c>
      <c r="N551" s="15" t="str">
        <v/>
      </c>
      <c r="O551" s="15" t="str">
        <v/>
      </c>
      <c r="P551" s="22">
        <v>0</v>
      </c>
      <c r="Q551">
        <v>0</v>
      </c>
    </row>
    <row r="552" spans="1:17">
      <c r="A552" s="19">
        <v>0</v>
      </c>
      <c r="B552" s="19">
        <v>0</v>
      </c>
      <c r="C552" s="19">
        <v>0</v>
      </c>
      <c r="D552" s="19">
        <v>0</v>
      </c>
      <c r="E552" s="19">
        <v>0</v>
      </c>
      <c r="F552" s="19">
        <v>0</v>
      </c>
      <c r="G552" s="19">
        <v>0</v>
      </c>
      <c r="H552" s="19">
        <v>0</v>
      </c>
      <c r="I552" s="15">
        <v>3500</v>
      </c>
      <c r="J552" s="15">
        <v>0</v>
      </c>
      <c r="K552" s="15">
        <v>0</v>
      </c>
      <c r="L552" s="16">
        <v>0</v>
      </c>
      <c r="M552" s="15">
        <v>0</v>
      </c>
      <c r="N552" s="15" t="str">
        <v/>
      </c>
      <c r="O552" s="15" t="str">
        <v/>
      </c>
      <c r="P552" s="22">
        <v>0</v>
      </c>
      <c r="Q552">
        <v>0</v>
      </c>
    </row>
    <row r="553" spans="1:17">
      <c r="A553" s="19">
        <v>0</v>
      </c>
      <c r="B553" s="19">
        <v>0</v>
      </c>
      <c r="C553" s="19">
        <v>0</v>
      </c>
      <c r="D553" s="19">
        <v>0</v>
      </c>
      <c r="E553" s="19">
        <v>0</v>
      </c>
      <c r="F553" s="19">
        <v>0</v>
      </c>
      <c r="G553" s="19">
        <v>0</v>
      </c>
      <c r="H553" s="19">
        <v>0</v>
      </c>
      <c r="I553" s="15">
        <v>3500</v>
      </c>
      <c r="J553" s="15">
        <v>0</v>
      </c>
      <c r="K553" s="15">
        <v>0</v>
      </c>
      <c r="L553" s="16">
        <v>0</v>
      </c>
      <c r="M553" s="15">
        <v>0</v>
      </c>
      <c r="N553" s="15" t="str">
        <v/>
      </c>
      <c r="O553" s="15" t="str">
        <v/>
      </c>
      <c r="P553" s="22">
        <v>0</v>
      </c>
      <c r="Q553">
        <v>0</v>
      </c>
    </row>
    <row r="554" spans="1:17">
      <c r="A554" s="19">
        <v>0</v>
      </c>
      <c r="B554" s="19">
        <v>0</v>
      </c>
      <c r="C554" s="19">
        <v>0</v>
      </c>
      <c r="D554" s="19">
        <v>0</v>
      </c>
      <c r="E554" s="19">
        <v>0</v>
      </c>
      <c r="F554" s="19">
        <v>0</v>
      </c>
      <c r="G554" s="19">
        <v>0</v>
      </c>
      <c r="H554" s="19">
        <v>0</v>
      </c>
      <c r="I554" s="15">
        <v>3500</v>
      </c>
      <c r="J554" s="15">
        <v>0</v>
      </c>
      <c r="K554" s="15">
        <v>0</v>
      </c>
      <c r="L554" s="16">
        <v>0</v>
      </c>
      <c r="M554" s="15">
        <v>0</v>
      </c>
      <c r="N554" s="15" t="str">
        <v/>
      </c>
      <c r="O554" s="15" t="str">
        <v/>
      </c>
      <c r="P554" s="22">
        <v>0</v>
      </c>
      <c r="Q554">
        <v>0</v>
      </c>
    </row>
    <row r="555" spans="1:17">
      <c r="A555" s="19">
        <v>0</v>
      </c>
      <c r="B555" s="19">
        <v>0</v>
      </c>
      <c r="C555" s="19">
        <v>0</v>
      </c>
      <c r="D555" s="19">
        <v>0</v>
      </c>
      <c r="E555" s="19">
        <v>0</v>
      </c>
      <c r="F555" s="19">
        <v>0</v>
      </c>
      <c r="G555" s="19">
        <v>0</v>
      </c>
      <c r="H555" s="19">
        <v>0</v>
      </c>
      <c r="I555" s="15">
        <v>3500</v>
      </c>
      <c r="J555" s="15">
        <v>0</v>
      </c>
      <c r="K555" s="15">
        <v>0</v>
      </c>
      <c r="L555" s="16">
        <v>0</v>
      </c>
      <c r="M555" s="15">
        <v>0</v>
      </c>
      <c r="N555" s="15" t="str">
        <v/>
      </c>
      <c r="O555" s="15" t="str">
        <v/>
      </c>
      <c r="P555" s="22">
        <v>0</v>
      </c>
      <c r="Q555">
        <v>0</v>
      </c>
    </row>
    <row r="556" spans="1:17">
      <c r="A556" s="19">
        <v>0</v>
      </c>
      <c r="B556" s="19">
        <v>0</v>
      </c>
      <c r="C556" s="19">
        <v>0</v>
      </c>
      <c r="D556" s="19">
        <v>0</v>
      </c>
      <c r="E556" s="19">
        <v>0</v>
      </c>
      <c r="F556" s="19">
        <v>0</v>
      </c>
      <c r="G556" s="19">
        <v>0</v>
      </c>
      <c r="H556" s="19">
        <v>0</v>
      </c>
      <c r="I556" s="15">
        <v>3500</v>
      </c>
      <c r="J556" s="15">
        <v>0</v>
      </c>
      <c r="K556" s="15">
        <v>0</v>
      </c>
      <c r="L556" s="16">
        <v>0</v>
      </c>
      <c r="M556" s="15">
        <v>0</v>
      </c>
      <c r="N556" s="15" t="str">
        <v/>
      </c>
      <c r="O556" s="15" t="str">
        <v/>
      </c>
      <c r="P556" s="22">
        <v>0</v>
      </c>
      <c r="Q556">
        <v>0</v>
      </c>
    </row>
    <row r="557" spans="1:17">
      <c r="A557" s="19">
        <v>0</v>
      </c>
      <c r="B557" s="19">
        <v>0</v>
      </c>
      <c r="C557" s="19">
        <v>0</v>
      </c>
      <c r="D557" s="19">
        <v>0</v>
      </c>
      <c r="E557" s="19">
        <v>0</v>
      </c>
      <c r="F557" s="19">
        <v>0</v>
      </c>
      <c r="G557" s="19">
        <v>0</v>
      </c>
      <c r="H557" s="19">
        <v>0</v>
      </c>
      <c r="I557" s="15">
        <v>3500</v>
      </c>
      <c r="J557" s="15">
        <v>0</v>
      </c>
      <c r="K557" s="15">
        <v>0</v>
      </c>
      <c r="L557" s="16">
        <v>0</v>
      </c>
      <c r="M557" s="15">
        <v>0</v>
      </c>
      <c r="N557" s="15" t="str">
        <v/>
      </c>
      <c r="O557" s="15" t="str">
        <v/>
      </c>
      <c r="P557" s="22">
        <v>0</v>
      </c>
      <c r="Q557">
        <v>0</v>
      </c>
    </row>
    <row r="558" spans="1:17">
      <c r="A558" s="19">
        <v>0</v>
      </c>
      <c r="B558" s="19">
        <v>0</v>
      </c>
      <c r="C558" s="19">
        <v>0</v>
      </c>
      <c r="D558" s="19">
        <v>0</v>
      </c>
      <c r="E558" s="19">
        <v>0</v>
      </c>
      <c r="F558" s="19">
        <v>0</v>
      </c>
      <c r="G558" s="19">
        <v>0</v>
      </c>
      <c r="H558" s="19">
        <v>0</v>
      </c>
      <c r="I558" s="15">
        <v>3500</v>
      </c>
      <c r="J558" s="15">
        <v>0</v>
      </c>
      <c r="K558" s="15">
        <v>0</v>
      </c>
      <c r="L558" s="16">
        <v>0</v>
      </c>
      <c r="M558" s="15">
        <v>0</v>
      </c>
      <c r="N558" s="15" t="str">
        <v/>
      </c>
      <c r="O558" s="15" t="str">
        <v/>
      </c>
      <c r="P558" s="22">
        <v>0</v>
      </c>
      <c r="Q558">
        <v>0</v>
      </c>
    </row>
    <row r="559" spans="1:17">
      <c r="A559" s="19">
        <v>0</v>
      </c>
      <c r="B559" s="19">
        <v>0</v>
      </c>
      <c r="C559" s="19">
        <v>0</v>
      </c>
      <c r="D559" s="19">
        <v>0</v>
      </c>
      <c r="E559" s="19">
        <v>0</v>
      </c>
      <c r="F559" s="19">
        <v>0</v>
      </c>
      <c r="G559" s="19">
        <v>0</v>
      </c>
      <c r="H559" s="19">
        <v>0</v>
      </c>
      <c r="I559" s="15">
        <v>3500</v>
      </c>
      <c r="J559" s="15">
        <v>0</v>
      </c>
      <c r="K559" s="15">
        <v>0</v>
      </c>
      <c r="L559" s="16">
        <v>0</v>
      </c>
      <c r="M559" s="15">
        <v>0</v>
      </c>
      <c r="N559" s="15" t="str">
        <v/>
      </c>
      <c r="O559" s="15" t="str">
        <v/>
      </c>
      <c r="P559" s="22">
        <v>0</v>
      </c>
      <c r="Q559">
        <v>0</v>
      </c>
    </row>
    <row r="560" spans="1:17">
      <c r="A560" s="19">
        <v>0</v>
      </c>
      <c r="B560" s="19">
        <v>0</v>
      </c>
      <c r="C560" s="19">
        <v>0</v>
      </c>
      <c r="D560" s="19">
        <v>0</v>
      </c>
      <c r="E560" s="19">
        <v>0</v>
      </c>
      <c r="F560" s="19">
        <v>0</v>
      </c>
      <c r="G560" s="19">
        <v>0</v>
      </c>
      <c r="H560" s="19">
        <v>0</v>
      </c>
      <c r="I560" s="15">
        <v>3500</v>
      </c>
      <c r="J560" s="15">
        <v>0</v>
      </c>
      <c r="K560" s="15">
        <v>0</v>
      </c>
      <c r="L560" s="16">
        <v>0</v>
      </c>
      <c r="M560" s="15">
        <v>0</v>
      </c>
      <c r="N560" s="15" t="str">
        <v/>
      </c>
      <c r="O560" s="15" t="str">
        <v/>
      </c>
      <c r="P560" s="22">
        <v>0</v>
      </c>
      <c r="Q560">
        <v>0</v>
      </c>
    </row>
    <row r="561" spans="1:17">
      <c r="A561" s="19">
        <v>0</v>
      </c>
      <c r="B561" s="19">
        <v>0</v>
      </c>
      <c r="C561" s="19">
        <v>0</v>
      </c>
      <c r="D561" s="19">
        <v>0</v>
      </c>
      <c r="E561" s="19">
        <v>0</v>
      </c>
      <c r="F561" s="19">
        <v>0</v>
      </c>
      <c r="G561" s="19">
        <v>0</v>
      </c>
      <c r="H561" s="19">
        <v>0</v>
      </c>
      <c r="I561" s="15">
        <v>3500</v>
      </c>
      <c r="J561" s="15">
        <v>0</v>
      </c>
      <c r="K561" s="15">
        <v>0</v>
      </c>
      <c r="L561" s="16">
        <v>0</v>
      </c>
      <c r="M561" s="15">
        <v>0</v>
      </c>
      <c r="N561" s="15" t="str">
        <v/>
      </c>
      <c r="O561" s="15" t="str">
        <v/>
      </c>
      <c r="P561" s="22">
        <v>0</v>
      </c>
      <c r="Q561">
        <v>0</v>
      </c>
    </row>
    <row r="562" spans="1:17">
      <c r="A562" s="19">
        <v>0</v>
      </c>
      <c r="B562" s="19">
        <v>0</v>
      </c>
      <c r="C562" s="19">
        <v>0</v>
      </c>
      <c r="D562" s="19">
        <v>0</v>
      </c>
      <c r="E562" s="19">
        <v>0</v>
      </c>
      <c r="F562" s="19">
        <v>0</v>
      </c>
      <c r="G562" s="19">
        <v>0</v>
      </c>
      <c r="H562" s="19">
        <v>0</v>
      </c>
      <c r="I562" s="15">
        <v>3500</v>
      </c>
      <c r="J562" s="15">
        <v>0</v>
      </c>
      <c r="K562" s="15">
        <v>0</v>
      </c>
      <c r="L562" s="16">
        <v>0</v>
      </c>
      <c r="M562" s="15">
        <v>0</v>
      </c>
      <c r="N562" s="15" t="str">
        <v/>
      </c>
      <c r="O562" s="15" t="str">
        <v/>
      </c>
      <c r="P562" s="22">
        <v>0</v>
      </c>
      <c r="Q562">
        <v>0</v>
      </c>
    </row>
    <row r="563" spans="1:17">
      <c r="A563" s="19">
        <v>0</v>
      </c>
      <c r="B563" s="19">
        <v>0</v>
      </c>
      <c r="C563" s="19">
        <v>0</v>
      </c>
      <c r="D563" s="19">
        <v>0</v>
      </c>
      <c r="E563" s="19">
        <v>0</v>
      </c>
      <c r="F563" s="19">
        <v>0</v>
      </c>
      <c r="G563" s="19">
        <v>0</v>
      </c>
      <c r="H563" s="19">
        <v>0</v>
      </c>
      <c r="I563" s="15">
        <v>3500</v>
      </c>
      <c r="J563" s="15">
        <v>0</v>
      </c>
      <c r="K563" s="15">
        <v>0</v>
      </c>
      <c r="L563" s="16">
        <v>0</v>
      </c>
      <c r="M563" s="15">
        <v>0</v>
      </c>
      <c r="N563" s="15" t="str">
        <v/>
      </c>
      <c r="O563" s="15" t="str">
        <v/>
      </c>
      <c r="P563" s="22">
        <v>0</v>
      </c>
      <c r="Q563">
        <v>0</v>
      </c>
    </row>
    <row r="564" spans="1:17">
      <c r="A564" s="19">
        <v>0</v>
      </c>
      <c r="B564" s="19">
        <v>0</v>
      </c>
      <c r="C564" s="19">
        <v>0</v>
      </c>
      <c r="D564" s="19">
        <v>0</v>
      </c>
      <c r="E564" s="19">
        <v>0</v>
      </c>
      <c r="F564" s="19">
        <v>0</v>
      </c>
      <c r="G564" s="19">
        <v>0</v>
      </c>
      <c r="H564" s="19">
        <v>0</v>
      </c>
      <c r="I564" s="15">
        <v>3500</v>
      </c>
      <c r="J564" s="15">
        <v>0</v>
      </c>
      <c r="K564" s="15">
        <v>0</v>
      </c>
      <c r="L564" s="16">
        <v>0</v>
      </c>
      <c r="M564" s="15">
        <v>0</v>
      </c>
      <c r="N564" s="15" t="str">
        <v/>
      </c>
      <c r="O564" s="15" t="str">
        <v/>
      </c>
      <c r="P564" s="22">
        <v>0</v>
      </c>
      <c r="Q564">
        <v>0</v>
      </c>
    </row>
    <row r="565" spans="1:17">
      <c r="A565" s="19">
        <v>0</v>
      </c>
      <c r="B565" s="19">
        <v>0</v>
      </c>
      <c r="C565" s="19">
        <v>0</v>
      </c>
      <c r="D565" s="19">
        <v>0</v>
      </c>
      <c r="E565" s="19">
        <v>0</v>
      </c>
      <c r="F565" s="19">
        <v>0</v>
      </c>
      <c r="G565" s="19">
        <v>0</v>
      </c>
      <c r="H565" s="19">
        <v>0</v>
      </c>
      <c r="I565" s="15">
        <v>3500</v>
      </c>
      <c r="J565" s="15">
        <v>0</v>
      </c>
      <c r="K565" s="15">
        <v>0</v>
      </c>
      <c r="L565" s="16">
        <v>0</v>
      </c>
      <c r="M565" s="15">
        <v>0</v>
      </c>
      <c r="N565" s="15" t="str">
        <v/>
      </c>
      <c r="O565" s="15" t="str">
        <v/>
      </c>
      <c r="P565" s="22">
        <v>0</v>
      </c>
      <c r="Q565">
        <v>0</v>
      </c>
    </row>
    <row r="566" spans="1:17">
      <c r="A566" s="19">
        <v>0</v>
      </c>
      <c r="B566" s="19">
        <v>0</v>
      </c>
      <c r="C566" s="19">
        <v>0</v>
      </c>
      <c r="D566" s="19">
        <v>0</v>
      </c>
      <c r="E566" s="19">
        <v>0</v>
      </c>
      <c r="F566" s="19">
        <v>0</v>
      </c>
      <c r="G566" s="19">
        <v>0</v>
      </c>
      <c r="H566" s="19">
        <v>0</v>
      </c>
      <c r="I566" s="15">
        <v>3500</v>
      </c>
      <c r="J566" s="15">
        <v>0</v>
      </c>
      <c r="K566" s="15">
        <v>0</v>
      </c>
      <c r="L566" s="16">
        <v>0</v>
      </c>
      <c r="M566" s="15">
        <v>0</v>
      </c>
      <c r="N566" s="15" t="str">
        <v/>
      </c>
      <c r="O566" s="15" t="str">
        <v/>
      </c>
      <c r="P566" s="22">
        <v>0</v>
      </c>
      <c r="Q566">
        <v>0</v>
      </c>
    </row>
    <row r="567" spans="1:17">
      <c r="A567" s="19">
        <v>0</v>
      </c>
      <c r="B567" s="19">
        <v>0</v>
      </c>
      <c r="C567" s="19">
        <v>0</v>
      </c>
      <c r="D567" s="19">
        <v>0</v>
      </c>
      <c r="E567" s="19">
        <v>0</v>
      </c>
      <c r="F567" s="19">
        <v>0</v>
      </c>
      <c r="G567" s="19">
        <v>0</v>
      </c>
      <c r="H567" s="19">
        <v>0</v>
      </c>
      <c r="I567" s="15">
        <v>3500</v>
      </c>
      <c r="J567" s="15">
        <v>0</v>
      </c>
      <c r="K567" s="15">
        <v>0</v>
      </c>
      <c r="L567" s="16">
        <v>0</v>
      </c>
      <c r="M567" s="15">
        <v>0</v>
      </c>
      <c r="N567" s="15" t="str">
        <v/>
      </c>
      <c r="O567" s="15" t="str">
        <v/>
      </c>
      <c r="P567" s="22">
        <v>0</v>
      </c>
      <c r="Q567">
        <v>0</v>
      </c>
    </row>
    <row r="568" spans="1:17">
      <c r="A568" s="19">
        <v>0</v>
      </c>
      <c r="B568" s="19">
        <v>0</v>
      </c>
      <c r="C568" s="19">
        <v>0</v>
      </c>
      <c r="D568" s="19">
        <v>0</v>
      </c>
      <c r="E568" s="19">
        <v>0</v>
      </c>
      <c r="F568" s="19">
        <v>0</v>
      </c>
      <c r="G568" s="19">
        <v>0</v>
      </c>
      <c r="H568" s="19">
        <v>0</v>
      </c>
      <c r="I568" s="15">
        <v>3500</v>
      </c>
      <c r="J568" s="15">
        <v>0</v>
      </c>
      <c r="K568" s="15">
        <v>0</v>
      </c>
      <c r="L568" s="16">
        <v>0</v>
      </c>
      <c r="M568" s="15">
        <v>0</v>
      </c>
      <c r="N568" s="15" t="str">
        <v/>
      </c>
      <c r="O568" s="15" t="str">
        <v/>
      </c>
      <c r="P568" s="22">
        <v>0</v>
      </c>
      <c r="Q568">
        <v>0</v>
      </c>
    </row>
    <row r="569" spans="1:17">
      <c r="A569" s="19">
        <v>0</v>
      </c>
      <c r="B569" s="19">
        <v>0</v>
      </c>
      <c r="C569" s="19">
        <v>0</v>
      </c>
      <c r="D569" s="19">
        <v>0</v>
      </c>
      <c r="E569" s="19">
        <v>0</v>
      </c>
      <c r="F569" s="19">
        <v>0</v>
      </c>
      <c r="G569" s="19">
        <v>0</v>
      </c>
      <c r="H569" s="19">
        <v>0</v>
      </c>
      <c r="I569" s="15">
        <v>3500</v>
      </c>
      <c r="J569" s="15">
        <v>0</v>
      </c>
      <c r="K569" s="15">
        <v>0</v>
      </c>
      <c r="L569" s="16">
        <v>0</v>
      </c>
      <c r="M569" s="15">
        <v>0</v>
      </c>
      <c r="N569" s="15" t="str">
        <v/>
      </c>
      <c r="O569" s="15" t="str">
        <v/>
      </c>
      <c r="P569" s="22">
        <v>0</v>
      </c>
      <c r="Q569">
        <v>0</v>
      </c>
    </row>
    <row r="570" spans="1:17">
      <c r="A570" s="19">
        <v>0</v>
      </c>
      <c r="B570" s="19">
        <v>0</v>
      </c>
      <c r="C570" s="19">
        <v>0</v>
      </c>
      <c r="D570" s="19">
        <v>0</v>
      </c>
      <c r="E570" s="19">
        <v>0</v>
      </c>
      <c r="F570" s="19">
        <v>0</v>
      </c>
      <c r="G570" s="19">
        <v>0</v>
      </c>
      <c r="H570" s="19">
        <v>0</v>
      </c>
      <c r="I570" s="15">
        <v>3500</v>
      </c>
      <c r="J570" s="15">
        <v>0</v>
      </c>
      <c r="K570" s="15">
        <v>0</v>
      </c>
      <c r="L570" s="16">
        <v>0</v>
      </c>
      <c r="M570" s="15">
        <v>0</v>
      </c>
      <c r="N570" s="15" t="str">
        <v/>
      </c>
      <c r="O570" s="15" t="str">
        <v/>
      </c>
      <c r="P570" s="22">
        <v>0</v>
      </c>
      <c r="Q570">
        <v>0</v>
      </c>
    </row>
    <row r="571" spans="1:17">
      <c r="A571" s="19">
        <v>0</v>
      </c>
      <c r="B571" s="19">
        <v>0</v>
      </c>
      <c r="C571" s="19">
        <v>0</v>
      </c>
      <c r="D571" s="19">
        <v>0</v>
      </c>
      <c r="E571" s="19">
        <v>0</v>
      </c>
      <c r="F571" s="19">
        <v>0</v>
      </c>
      <c r="G571" s="19">
        <v>0</v>
      </c>
      <c r="H571" s="19">
        <v>0</v>
      </c>
      <c r="I571" s="15">
        <v>3500</v>
      </c>
      <c r="J571" s="15">
        <v>0</v>
      </c>
      <c r="K571" s="15">
        <v>0</v>
      </c>
      <c r="L571" s="16">
        <v>0</v>
      </c>
      <c r="M571" s="15">
        <v>0</v>
      </c>
      <c r="N571" s="15" t="str">
        <v/>
      </c>
      <c r="O571" s="15" t="str">
        <v/>
      </c>
      <c r="P571" s="22">
        <v>0</v>
      </c>
      <c r="Q571">
        <v>0</v>
      </c>
    </row>
    <row r="572" spans="1:17">
      <c r="A572" s="19">
        <v>0</v>
      </c>
      <c r="B572" s="19">
        <v>0</v>
      </c>
      <c r="C572" s="19">
        <v>0</v>
      </c>
      <c r="D572" s="19">
        <v>0</v>
      </c>
      <c r="E572" s="19">
        <v>0</v>
      </c>
      <c r="F572" s="19">
        <v>0</v>
      </c>
      <c r="G572" s="19">
        <v>0</v>
      </c>
      <c r="H572" s="19">
        <v>0</v>
      </c>
      <c r="I572" s="15">
        <v>3500</v>
      </c>
      <c r="J572" s="15">
        <v>0</v>
      </c>
      <c r="K572" s="15">
        <v>0</v>
      </c>
      <c r="L572" s="16">
        <v>0</v>
      </c>
      <c r="M572" s="15">
        <v>0</v>
      </c>
      <c r="N572" s="15" t="str">
        <v/>
      </c>
      <c r="O572" s="15" t="str">
        <v/>
      </c>
      <c r="P572" s="22">
        <v>0</v>
      </c>
      <c r="Q572">
        <v>0</v>
      </c>
    </row>
    <row r="573" spans="1:17">
      <c r="A573" s="19">
        <v>0</v>
      </c>
      <c r="B573" s="19">
        <v>0</v>
      </c>
      <c r="C573" s="19">
        <v>0</v>
      </c>
      <c r="D573" s="19">
        <v>0</v>
      </c>
      <c r="E573" s="19">
        <v>0</v>
      </c>
      <c r="F573" s="19">
        <v>0</v>
      </c>
      <c r="G573" s="19">
        <v>0</v>
      </c>
      <c r="H573" s="19">
        <v>0</v>
      </c>
      <c r="I573" s="15">
        <v>3500</v>
      </c>
      <c r="J573" s="15">
        <v>0</v>
      </c>
      <c r="K573" s="15">
        <v>0</v>
      </c>
      <c r="L573" s="16">
        <v>0</v>
      </c>
      <c r="M573" s="15">
        <v>0</v>
      </c>
      <c r="N573" s="15" t="str">
        <v/>
      </c>
      <c r="O573" s="15" t="str">
        <v/>
      </c>
      <c r="P573" s="22">
        <v>0</v>
      </c>
      <c r="Q573">
        <v>0</v>
      </c>
    </row>
    <row r="574" spans="1:17">
      <c r="A574" s="19">
        <v>0</v>
      </c>
      <c r="B574" s="19">
        <v>0</v>
      </c>
      <c r="C574" s="19">
        <v>0</v>
      </c>
      <c r="D574" s="19">
        <v>0</v>
      </c>
      <c r="E574" s="19">
        <v>0</v>
      </c>
      <c r="F574" s="19">
        <v>0</v>
      </c>
      <c r="G574" s="19">
        <v>0</v>
      </c>
      <c r="H574" s="19">
        <v>0</v>
      </c>
      <c r="I574" s="15">
        <v>3500</v>
      </c>
      <c r="J574" s="15">
        <v>0</v>
      </c>
      <c r="K574" s="15">
        <v>0</v>
      </c>
      <c r="L574" s="16">
        <v>0</v>
      </c>
      <c r="M574" s="15">
        <v>0</v>
      </c>
      <c r="N574" s="15" t="str">
        <v/>
      </c>
      <c r="O574" s="15" t="str">
        <v/>
      </c>
      <c r="P574" s="22">
        <v>0</v>
      </c>
      <c r="Q574">
        <v>0</v>
      </c>
    </row>
    <row r="575" spans="1:17">
      <c r="A575" s="19">
        <v>0</v>
      </c>
      <c r="B575" s="19">
        <v>0</v>
      </c>
      <c r="C575" s="19">
        <v>0</v>
      </c>
      <c r="D575" s="19">
        <v>0</v>
      </c>
      <c r="E575" s="19">
        <v>0</v>
      </c>
      <c r="F575" s="19">
        <v>0</v>
      </c>
      <c r="G575" s="19">
        <v>0</v>
      </c>
      <c r="H575" s="19">
        <v>0</v>
      </c>
      <c r="I575" s="15">
        <v>3500</v>
      </c>
      <c r="J575" s="15">
        <v>0</v>
      </c>
      <c r="K575" s="15">
        <v>0</v>
      </c>
      <c r="L575" s="16">
        <v>0</v>
      </c>
      <c r="M575" s="15">
        <v>0</v>
      </c>
      <c r="N575" s="15" t="str">
        <v/>
      </c>
      <c r="O575" s="15" t="str">
        <v/>
      </c>
      <c r="P575" s="22">
        <v>0</v>
      </c>
      <c r="Q575">
        <v>0</v>
      </c>
    </row>
    <row r="576" spans="1:17">
      <c r="A576" s="19">
        <v>0</v>
      </c>
      <c r="B576" s="19">
        <v>0</v>
      </c>
      <c r="C576" s="19">
        <v>0</v>
      </c>
      <c r="D576" s="19">
        <v>0</v>
      </c>
      <c r="E576" s="19">
        <v>0</v>
      </c>
      <c r="F576" s="19">
        <v>0</v>
      </c>
      <c r="G576" s="19">
        <v>0</v>
      </c>
      <c r="H576" s="19">
        <v>0</v>
      </c>
      <c r="I576" s="15">
        <v>3500</v>
      </c>
      <c r="J576" s="15">
        <v>0</v>
      </c>
      <c r="K576" s="15">
        <v>0</v>
      </c>
      <c r="L576" s="16">
        <v>0</v>
      </c>
      <c r="M576" s="15">
        <v>0</v>
      </c>
      <c r="N576" s="15" t="str">
        <v/>
      </c>
      <c r="O576" s="15" t="str">
        <v/>
      </c>
      <c r="P576" s="22">
        <v>0</v>
      </c>
      <c r="Q576">
        <v>0</v>
      </c>
    </row>
    <row r="577" spans="1:17">
      <c r="A577" s="19">
        <v>0</v>
      </c>
      <c r="B577" s="19">
        <v>0</v>
      </c>
      <c r="C577" s="19">
        <v>0</v>
      </c>
      <c r="D577" s="19">
        <v>0</v>
      </c>
      <c r="E577" s="19">
        <v>0</v>
      </c>
      <c r="F577" s="19">
        <v>0</v>
      </c>
      <c r="G577" s="19">
        <v>0</v>
      </c>
      <c r="H577" s="19">
        <v>0</v>
      </c>
      <c r="I577" s="15">
        <v>3500</v>
      </c>
      <c r="J577" s="15">
        <v>0</v>
      </c>
      <c r="K577" s="15">
        <v>0</v>
      </c>
      <c r="L577" s="16">
        <v>0</v>
      </c>
      <c r="M577" s="15">
        <v>0</v>
      </c>
      <c r="N577" s="15" t="str">
        <v/>
      </c>
      <c r="O577" s="15" t="str">
        <v/>
      </c>
      <c r="P577" s="22">
        <v>0</v>
      </c>
      <c r="Q577">
        <v>0</v>
      </c>
    </row>
    <row r="578" spans="1:17">
      <c r="A578" s="19">
        <v>0</v>
      </c>
      <c r="B578" s="19">
        <v>0</v>
      </c>
      <c r="C578" s="19">
        <v>0</v>
      </c>
      <c r="D578" s="19">
        <v>0</v>
      </c>
      <c r="E578" s="19">
        <v>0</v>
      </c>
      <c r="F578" s="19">
        <v>0</v>
      </c>
      <c r="G578" s="19">
        <v>0</v>
      </c>
      <c r="H578" s="19">
        <v>0</v>
      </c>
      <c r="I578" s="15">
        <v>3500</v>
      </c>
      <c r="J578" s="15">
        <v>0</v>
      </c>
      <c r="K578" s="15">
        <v>0</v>
      </c>
      <c r="L578" s="16">
        <v>0</v>
      </c>
      <c r="M578" s="15">
        <v>0</v>
      </c>
      <c r="N578" s="15" t="str">
        <v/>
      </c>
      <c r="O578" s="15" t="str">
        <v/>
      </c>
      <c r="P578" s="22">
        <v>0</v>
      </c>
      <c r="Q578">
        <v>0</v>
      </c>
    </row>
    <row r="579" spans="1:17">
      <c r="A579" s="19">
        <v>0</v>
      </c>
      <c r="B579" s="19">
        <v>0</v>
      </c>
      <c r="C579" s="19">
        <v>0</v>
      </c>
      <c r="D579" s="19">
        <v>0</v>
      </c>
      <c r="E579" s="19">
        <v>0</v>
      </c>
      <c r="F579" s="19">
        <v>0</v>
      </c>
      <c r="G579" s="19">
        <v>0</v>
      </c>
      <c r="H579" s="19">
        <v>0</v>
      </c>
      <c r="I579" s="15">
        <v>3500</v>
      </c>
      <c r="J579" s="15">
        <v>0</v>
      </c>
      <c r="K579" s="15">
        <v>0</v>
      </c>
      <c r="L579" s="16">
        <v>0</v>
      </c>
      <c r="M579" s="15">
        <v>0</v>
      </c>
      <c r="N579" s="15" t="str">
        <v/>
      </c>
      <c r="O579" s="15" t="str">
        <v/>
      </c>
      <c r="P579" s="22">
        <v>0</v>
      </c>
      <c r="Q579">
        <v>0</v>
      </c>
    </row>
    <row r="580" spans="1:17">
      <c r="A580" s="19">
        <v>0</v>
      </c>
      <c r="B580" s="19">
        <v>0</v>
      </c>
      <c r="C580" s="19">
        <v>0</v>
      </c>
      <c r="D580" s="19">
        <v>0</v>
      </c>
      <c r="E580" s="19">
        <v>0</v>
      </c>
      <c r="F580" s="19">
        <v>0</v>
      </c>
      <c r="G580" s="19">
        <v>0</v>
      </c>
      <c r="H580" s="19">
        <v>0</v>
      </c>
      <c r="I580" s="15">
        <v>3500</v>
      </c>
      <c r="J580" s="15">
        <v>0</v>
      </c>
      <c r="K580" s="15">
        <v>0</v>
      </c>
      <c r="L580" s="16">
        <v>0</v>
      </c>
      <c r="M580" s="15">
        <v>0</v>
      </c>
      <c r="N580" s="15" t="str">
        <v/>
      </c>
      <c r="O580" s="15" t="str">
        <v/>
      </c>
      <c r="P580" s="22">
        <v>0</v>
      </c>
      <c r="Q580">
        <v>0</v>
      </c>
    </row>
    <row r="581" spans="1:17">
      <c r="A581" s="19">
        <v>0</v>
      </c>
      <c r="B581" s="19">
        <v>0</v>
      </c>
      <c r="C581" s="19">
        <v>0</v>
      </c>
      <c r="D581" s="19">
        <v>0</v>
      </c>
      <c r="E581" s="19">
        <v>0</v>
      </c>
      <c r="F581" s="19">
        <v>0</v>
      </c>
      <c r="G581" s="19">
        <v>0</v>
      </c>
      <c r="H581" s="19">
        <v>0</v>
      </c>
      <c r="I581" s="15">
        <v>3500</v>
      </c>
      <c r="J581" s="15">
        <v>0</v>
      </c>
      <c r="K581" s="15">
        <v>0</v>
      </c>
      <c r="L581" s="16">
        <v>0</v>
      </c>
      <c r="M581" s="15">
        <v>0</v>
      </c>
      <c r="N581" s="15" t="str">
        <v/>
      </c>
      <c r="O581" s="15" t="str">
        <v/>
      </c>
      <c r="P581" s="22">
        <v>0</v>
      </c>
      <c r="Q581">
        <v>0</v>
      </c>
    </row>
    <row r="582" spans="1:17">
      <c r="A582" s="19">
        <v>0</v>
      </c>
      <c r="B582" s="19">
        <v>0</v>
      </c>
      <c r="C582" s="19">
        <v>0</v>
      </c>
      <c r="D582" s="19">
        <v>0</v>
      </c>
      <c r="E582" s="19">
        <v>0</v>
      </c>
      <c r="F582" s="19">
        <v>0</v>
      </c>
      <c r="G582" s="19">
        <v>0</v>
      </c>
      <c r="H582" s="19">
        <v>0</v>
      </c>
      <c r="I582" s="15">
        <v>3500</v>
      </c>
      <c r="J582" s="15">
        <v>0</v>
      </c>
      <c r="K582" s="15">
        <v>0</v>
      </c>
      <c r="L582" s="16">
        <v>0</v>
      </c>
      <c r="M582" s="15">
        <v>0</v>
      </c>
      <c r="N582" s="15" t="str">
        <v/>
      </c>
      <c r="O582" s="15" t="str">
        <v/>
      </c>
      <c r="P582" s="22">
        <v>0</v>
      </c>
      <c r="Q582">
        <v>0</v>
      </c>
    </row>
    <row r="583" spans="1:17">
      <c r="A583" s="19">
        <v>0</v>
      </c>
      <c r="B583" s="19">
        <v>0</v>
      </c>
      <c r="C583" s="19">
        <v>0</v>
      </c>
      <c r="D583" s="19">
        <v>0</v>
      </c>
      <c r="E583" s="19">
        <v>0</v>
      </c>
      <c r="F583" s="19">
        <v>0</v>
      </c>
      <c r="G583" s="19">
        <v>0</v>
      </c>
      <c r="H583" s="19">
        <v>0</v>
      </c>
      <c r="I583" s="15">
        <v>3500</v>
      </c>
      <c r="J583" s="15">
        <v>0</v>
      </c>
      <c r="K583" s="15">
        <v>0</v>
      </c>
      <c r="L583" s="16">
        <v>0</v>
      </c>
      <c r="M583" s="15">
        <v>0</v>
      </c>
      <c r="N583" s="15" t="str">
        <v/>
      </c>
      <c r="O583" s="15" t="str">
        <v/>
      </c>
      <c r="P583" s="22">
        <v>0</v>
      </c>
      <c r="Q583">
        <v>0</v>
      </c>
    </row>
    <row r="584" spans="1:17">
      <c r="A584" s="19">
        <v>0</v>
      </c>
      <c r="B584" s="19">
        <v>0</v>
      </c>
      <c r="C584" s="19">
        <v>0</v>
      </c>
      <c r="D584" s="19">
        <v>0</v>
      </c>
      <c r="E584" s="19">
        <v>0</v>
      </c>
      <c r="F584" s="19">
        <v>0</v>
      </c>
      <c r="G584" s="19">
        <v>0</v>
      </c>
      <c r="H584" s="19">
        <v>0</v>
      </c>
      <c r="I584" s="15">
        <v>3500</v>
      </c>
      <c r="J584" s="15">
        <v>0</v>
      </c>
      <c r="K584" s="15">
        <v>0</v>
      </c>
      <c r="L584" s="16">
        <v>0</v>
      </c>
      <c r="M584" s="15">
        <v>0</v>
      </c>
      <c r="N584" s="15" t="str">
        <v/>
      </c>
      <c r="O584" s="15" t="str">
        <v/>
      </c>
      <c r="P584" s="22">
        <v>0</v>
      </c>
      <c r="Q584">
        <v>0</v>
      </c>
    </row>
    <row r="585" spans="1:17">
      <c r="A585" s="19">
        <v>0</v>
      </c>
      <c r="B585" s="19">
        <v>0</v>
      </c>
      <c r="C585" s="19">
        <v>0</v>
      </c>
      <c r="D585" s="19">
        <v>0</v>
      </c>
      <c r="E585" s="19">
        <v>0</v>
      </c>
      <c r="F585" s="19">
        <v>0</v>
      </c>
      <c r="G585" s="19">
        <v>0</v>
      </c>
      <c r="H585" s="19">
        <v>0</v>
      </c>
      <c r="I585" s="15">
        <v>3500</v>
      </c>
      <c r="J585" s="15">
        <v>0</v>
      </c>
      <c r="K585" s="15">
        <v>0</v>
      </c>
      <c r="L585" s="16">
        <v>0</v>
      </c>
      <c r="M585" s="15">
        <v>0</v>
      </c>
      <c r="N585" s="15" t="str">
        <v/>
      </c>
      <c r="O585" s="15" t="str">
        <v/>
      </c>
      <c r="P585" s="22">
        <v>0</v>
      </c>
      <c r="Q585">
        <v>0</v>
      </c>
    </row>
    <row r="586" spans="1:17">
      <c r="A586" s="19">
        <v>0</v>
      </c>
      <c r="B586" s="19">
        <v>0</v>
      </c>
      <c r="C586" s="19">
        <v>0</v>
      </c>
      <c r="D586" s="19">
        <v>0</v>
      </c>
      <c r="E586" s="19">
        <v>0</v>
      </c>
      <c r="F586" s="19">
        <v>0</v>
      </c>
      <c r="G586" s="19">
        <v>0</v>
      </c>
      <c r="H586" s="19">
        <v>0</v>
      </c>
      <c r="I586" s="15">
        <v>3500</v>
      </c>
      <c r="J586" s="15">
        <v>0</v>
      </c>
      <c r="K586" s="15">
        <v>0</v>
      </c>
      <c r="L586" s="16">
        <v>0</v>
      </c>
      <c r="M586" s="15">
        <v>0</v>
      </c>
      <c r="N586" s="15" t="str">
        <v/>
      </c>
      <c r="O586" s="15" t="str">
        <v/>
      </c>
      <c r="P586" s="22">
        <v>0</v>
      </c>
      <c r="Q586">
        <v>0</v>
      </c>
    </row>
    <row r="587" spans="1:17">
      <c r="A587" s="19">
        <v>0</v>
      </c>
      <c r="B587" s="19">
        <v>0</v>
      </c>
      <c r="C587" s="19">
        <v>0</v>
      </c>
      <c r="D587" s="19">
        <v>0</v>
      </c>
      <c r="E587" s="19">
        <v>0</v>
      </c>
      <c r="F587" s="19">
        <v>0</v>
      </c>
      <c r="G587" s="19">
        <v>0</v>
      </c>
      <c r="H587" s="19">
        <v>0</v>
      </c>
      <c r="I587" s="15">
        <v>3500</v>
      </c>
      <c r="J587" s="15">
        <v>0</v>
      </c>
      <c r="K587" s="15">
        <v>0</v>
      </c>
      <c r="L587" s="16">
        <v>0</v>
      </c>
      <c r="M587" s="15">
        <v>0</v>
      </c>
      <c r="N587" s="15" t="str">
        <v/>
      </c>
      <c r="O587" s="15" t="str">
        <v/>
      </c>
      <c r="P587" s="22">
        <v>0</v>
      </c>
      <c r="Q587">
        <v>0</v>
      </c>
    </row>
    <row r="588" spans="1:17">
      <c r="A588" s="19">
        <v>0</v>
      </c>
      <c r="B588" s="19">
        <v>0</v>
      </c>
      <c r="C588" s="19">
        <v>0</v>
      </c>
      <c r="D588" s="19">
        <v>0</v>
      </c>
      <c r="E588" s="19">
        <v>0</v>
      </c>
      <c r="F588" s="19">
        <v>0</v>
      </c>
      <c r="G588" s="19">
        <v>0</v>
      </c>
      <c r="H588" s="19">
        <v>0</v>
      </c>
      <c r="I588" s="15">
        <v>3500</v>
      </c>
      <c r="J588" s="15">
        <v>0</v>
      </c>
      <c r="K588" s="15">
        <v>0</v>
      </c>
      <c r="L588" s="16">
        <v>0</v>
      </c>
      <c r="M588" s="15">
        <v>0</v>
      </c>
      <c r="N588" s="15" t="str">
        <v/>
      </c>
      <c r="O588" s="15" t="str">
        <v/>
      </c>
      <c r="P588" s="22">
        <v>0</v>
      </c>
      <c r="Q588">
        <v>0</v>
      </c>
    </row>
    <row r="589" spans="1:17">
      <c r="A589" s="19">
        <v>0</v>
      </c>
      <c r="B589" s="19">
        <v>0</v>
      </c>
      <c r="C589" s="19">
        <v>0</v>
      </c>
      <c r="D589" s="19">
        <v>0</v>
      </c>
      <c r="E589" s="19">
        <v>0</v>
      </c>
      <c r="F589" s="19">
        <v>0</v>
      </c>
      <c r="G589" s="19">
        <v>0</v>
      </c>
      <c r="H589" s="19">
        <v>0</v>
      </c>
      <c r="I589" s="15">
        <v>3500</v>
      </c>
      <c r="J589" s="15">
        <v>0</v>
      </c>
      <c r="K589" s="15">
        <v>0</v>
      </c>
      <c r="L589" s="16">
        <v>0</v>
      </c>
      <c r="M589" s="15">
        <v>0</v>
      </c>
      <c r="N589" s="15" t="str">
        <v/>
      </c>
      <c r="O589" s="15" t="str">
        <v/>
      </c>
      <c r="P589" s="22">
        <v>0</v>
      </c>
      <c r="Q589">
        <v>0</v>
      </c>
    </row>
    <row r="590" spans="1:17">
      <c r="A590" s="19">
        <v>0</v>
      </c>
      <c r="B590" s="19">
        <v>0</v>
      </c>
      <c r="C590" s="19">
        <v>0</v>
      </c>
      <c r="D590" s="19">
        <v>0</v>
      </c>
      <c r="E590" s="19">
        <v>0</v>
      </c>
      <c r="F590" s="19">
        <v>0</v>
      </c>
      <c r="G590" s="19">
        <v>0</v>
      </c>
      <c r="H590" s="19">
        <v>0</v>
      </c>
      <c r="I590" s="15">
        <v>3500</v>
      </c>
      <c r="J590" s="15">
        <v>0</v>
      </c>
      <c r="K590" s="15">
        <v>0</v>
      </c>
      <c r="L590" s="16">
        <v>0</v>
      </c>
      <c r="M590" s="15">
        <v>0</v>
      </c>
      <c r="N590" s="15" t="str">
        <v/>
      </c>
      <c r="O590" s="15" t="str">
        <v/>
      </c>
      <c r="P590" s="22">
        <v>0</v>
      </c>
      <c r="Q590">
        <v>0</v>
      </c>
    </row>
    <row r="591" spans="1:17">
      <c r="A591" s="19">
        <v>0</v>
      </c>
      <c r="B591" s="19">
        <v>0</v>
      </c>
      <c r="C591" s="19">
        <v>0</v>
      </c>
      <c r="D591" s="19">
        <v>0</v>
      </c>
      <c r="E591" s="19">
        <v>0</v>
      </c>
      <c r="F591" s="19">
        <v>0</v>
      </c>
      <c r="G591" s="19">
        <v>0</v>
      </c>
      <c r="H591" s="19">
        <v>0</v>
      </c>
      <c r="I591" s="15">
        <v>3500</v>
      </c>
      <c r="J591" s="15">
        <v>0</v>
      </c>
      <c r="K591" s="15">
        <v>0</v>
      </c>
      <c r="L591" s="16">
        <v>0</v>
      </c>
      <c r="M591" s="15">
        <v>0</v>
      </c>
      <c r="N591" s="15" t="str">
        <v/>
      </c>
      <c r="O591" s="15" t="str">
        <v/>
      </c>
      <c r="P591" s="22">
        <v>0</v>
      </c>
      <c r="Q591">
        <v>0</v>
      </c>
    </row>
    <row r="592" spans="1:17">
      <c r="A592" s="19">
        <v>0</v>
      </c>
      <c r="B592" s="19">
        <v>0</v>
      </c>
      <c r="C592" s="19">
        <v>0</v>
      </c>
      <c r="D592" s="19">
        <v>0</v>
      </c>
      <c r="E592" s="19">
        <v>0</v>
      </c>
      <c r="F592" s="19">
        <v>0</v>
      </c>
      <c r="G592" s="19">
        <v>0</v>
      </c>
      <c r="H592" s="19">
        <v>0</v>
      </c>
      <c r="I592" s="15">
        <v>3500</v>
      </c>
      <c r="J592" s="15">
        <v>0</v>
      </c>
      <c r="K592" s="15">
        <v>0</v>
      </c>
      <c r="L592" s="16">
        <v>0</v>
      </c>
      <c r="M592" s="15">
        <v>0</v>
      </c>
      <c r="N592" s="15" t="str">
        <v/>
      </c>
      <c r="O592" s="15" t="str">
        <v/>
      </c>
      <c r="P592" s="22">
        <v>0</v>
      </c>
      <c r="Q592">
        <v>0</v>
      </c>
    </row>
    <row r="593" spans="1:17">
      <c r="A593" s="19">
        <v>0</v>
      </c>
      <c r="B593" s="19">
        <v>0</v>
      </c>
      <c r="C593" s="19">
        <v>0</v>
      </c>
      <c r="D593" s="19">
        <v>0</v>
      </c>
      <c r="E593" s="19">
        <v>0</v>
      </c>
      <c r="F593" s="19">
        <v>0</v>
      </c>
      <c r="G593" s="19">
        <v>0</v>
      </c>
      <c r="H593" s="19">
        <v>0</v>
      </c>
      <c r="I593" s="15">
        <v>3500</v>
      </c>
      <c r="J593" s="15">
        <v>0</v>
      </c>
      <c r="K593" s="15">
        <v>0</v>
      </c>
      <c r="L593" s="16">
        <v>0</v>
      </c>
      <c r="M593" s="15">
        <v>0</v>
      </c>
      <c r="N593" s="15" t="str">
        <v/>
      </c>
      <c r="O593" s="15" t="str">
        <v/>
      </c>
      <c r="P593" s="22">
        <v>0</v>
      </c>
      <c r="Q593">
        <v>0</v>
      </c>
    </row>
    <row r="594" spans="1:17">
      <c r="A594" s="19">
        <v>0</v>
      </c>
      <c r="B594" s="19">
        <v>0</v>
      </c>
      <c r="C594" s="19">
        <v>0</v>
      </c>
      <c r="D594" s="19">
        <v>0</v>
      </c>
      <c r="E594" s="19">
        <v>0</v>
      </c>
      <c r="F594" s="19">
        <v>0</v>
      </c>
      <c r="G594" s="19">
        <v>0</v>
      </c>
      <c r="H594" s="19">
        <v>0</v>
      </c>
      <c r="I594" s="15">
        <v>3500</v>
      </c>
      <c r="J594" s="15">
        <v>0</v>
      </c>
      <c r="K594" s="15">
        <v>0</v>
      </c>
      <c r="L594" s="16">
        <v>0</v>
      </c>
      <c r="M594" s="15">
        <v>0</v>
      </c>
      <c r="N594" s="15" t="str">
        <v/>
      </c>
      <c r="O594" s="15" t="str">
        <v/>
      </c>
      <c r="P594" s="22">
        <v>0</v>
      </c>
      <c r="Q594">
        <v>0</v>
      </c>
    </row>
    <row r="595" spans="1:17">
      <c r="A595" s="19">
        <v>0</v>
      </c>
      <c r="B595" s="19">
        <v>0</v>
      </c>
      <c r="C595" s="19">
        <v>0</v>
      </c>
      <c r="D595" s="19">
        <v>0</v>
      </c>
      <c r="E595" s="19">
        <v>0</v>
      </c>
      <c r="F595" s="19">
        <v>0</v>
      </c>
      <c r="G595" s="19">
        <v>0</v>
      </c>
      <c r="H595" s="19">
        <v>0</v>
      </c>
      <c r="I595" s="15">
        <v>3500</v>
      </c>
      <c r="J595" s="15">
        <v>0</v>
      </c>
      <c r="K595" s="15">
        <v>0</v>
      </c>
      <c r="L595" s="16">
        <v>0</v>
      </c>
      <c r="M595" s="15">
        <v>0</v>
      </c>
      <c r="N595" s="15" t="str">
        <v/>
      </c>
      <c r="O595" s="15" t="str">
        <v/>
      </c>
      <c r="P595" s="22">
        <v>0</v>
      </c>
      <c r="Q595">
        <v>0</v>
      </c>
    </row>
    <row r="596" spans="1:17">
      <c r="A596" s="19">
        <v>0</v>
      </c>
      <c r="B596" s="19">
        <v>0</v>
      </c>
      <c r="C596" s="19">
        <v>0</v>
      </c>
      <c r="D596" s="19">
        <v>0</v>
      </c>
      <c r="E596" s="19">
        <v>0</v>
      </c>
      <c r="F596" s="19">
        <v>0</v>
      </c>
      <c r="G596" s="19">
        <v>0</v>
      </c>
      <c r="H596" s="19">
        <v>0</v>
      </c>
      <c r="I596" s="15">
        <v>3500</v>
      </c>
      <c r="J596" s="15">
        <v>0</v>
      </c>
      <c r="K596" s="15">
        <v>0</v>
      </c>
      <c r="L596" s="16">
        <v>0</v>
      </c>
      <c r="M596" s="15">
        <v>0</v>
      </c>
      <c r="N596" s="15" t="str">
        <v/>
      </c>
      <c r="O596" s="15" t="str">
        <v/>
      </c>
      <c r="P596" s="22">
        <v>0</v>
      </c>
      <c r="Q596">
        <v>0</v>
      </c>
    </row>
    <row r="597" spans="1:17">
      <c r="A597" s="19">
        <v>0</v>
      </c>
      <c r="B597" s="19">
        <v>0</v>
      </c>
      <c r="C597" s="19">
        <v>0</v>
      </c>
      <c r="D597" s="19">
        <v>0</v>
      </c>
      <c r="E597" s="19">
        <v>0</v>
      </c>
      <c r="F597" s="19">
        <v>0</v>
      </c>
      <c r="G597" s="19">
        <v>0</v>
      </c>
      <c r="H597" s="19">
        <v>0</v>
      </c>
      <c r="I597" s="15">
        <v>3500</v>
      </c>
      <c r="J597" s="15">
        <v>0</v>
      </c>
      <c r="K597" s="15">
        <v>0</v>
      </c>
      <c r="L597" s="16">
        <v>0</v>
      </c>
      <c r="M597" s="15">
        <v>0</v>
      </c>
      <c r="N597" s="15" t="str">
        <v/>
      </c>
      <c r="O597" s="15" t="str">
        <v/>
      </c>
      <c r="P597" s="22">
        <v>0</v>
      </c>
      <c r="Q597">
        <v>0</v>
      </c>
    </row>
    <row r="598" spans="1:17">
      <c r="A598" s="19">
        <v>0</v>
      </c>
      <c r="B598" s="19">
        <v>0</v>
      </c>
      <c r="C598" s="19">
        <v>0</v>
      </c>
      <c r="D598" s="19">
        <v>0</v>
      </c>
      <c r="E598" s="19">
        <v>0</v>
      </c>
      <c r="F598" s="19">
        <v>0</v>
      </c>
      <c r="G598" s="19">
        <v>0</v>
      </c>
      <c r="H598" s="19">
        <v>0</v>
      </c>
      <c r="I598" s="15">
        <v>3500</v>
      </c>
      <c r="J598" s="15">
        <v>0</v>
      </c>
      <c r="K598" s="15">
        <v>0</v>
      </c>
      <c r="L598" s="16">
        <v>0</v>
      </c>
      <c r="M598" s="15">
        <v>0</v>
      </c>
      <c r="N598" s="15" t="str">
        <v/>
      </c>
      <c r="O598" s="15" t="str">
        <v/>
      </c>
      <c r="P598" s="22">
        <v>0</v>
      </c>
      <c r="Q598">
        <v>0</v>
      </c>
    </row>
    <row r="599" spans="1:17">
      <c r="A599" s="19">
        <v>0</v>
      </c>
      <c r="B599" s="19">
        <v>0</v>
      </c>
      <c r="C599" s="19">
        <v>0</v>
      </c>
      <c r="D599" s="19">
        <v>0</v>
      </c>
      <c r="E599" s="19">
        <v>0</v>
      </c>
      <c r="F599" s="19">
        <v>0</v>
      </c>
      <c r="G599" s="19">
        <v>0</v>
      </c>
      <c r="H599" s="19">
        <v>0</v>
      </c>
      <c r="I599" s="15">
        <v>3500</v>
      </c>
      <c r="J599" s="15">
        <v>0</v>
      </c>
      <c r="K599" s="15">
        <v>0</v>
      </c>
      <c r="L599" s="16">
        <v>0</v>
      </c>
      <c r="M599" s="15">
        <v>0</v>
      </c>
      <c r="N599" s="15" t="str">
        <v/>
      </c>
      <c r="O599" s="15" t="str">
        <v/>
      </c>
      <c r="P599" s="22">
        <v>0</v>
      </c>
      <c r="Q599">
        <v>0</v>
      </c>
    </row>
    <row r="600" spans="1:17">
      <c r="A600" s="19">
        <v>0</v>
      </c>
      <c r="B600" s="19">
        <v>0</v>
      </c>
      <c r="C600" s="19">
        <v>0</v>
      </c>
      <c r="D600" s="19">
        <v>0</v>
      </c>
      <c r="E600" s="19">
        <v>0</v>
      </c>
      <c r="F600" s="19">
        <v>0</v>
      </c>
      <c r="G600" s="19">
        <v>0</v>
      </c>
      <c r="H600" s="19">
        <v>0</v>
      </c>
      <c r="I600" s="15">
        <v>3500</v>
      </c>
      <c r="J600" s="15">
        <v>0</v>
      </c>
      <c r="K600" s="15">
        <v>0</v>
      </c>
      <c r="L600" s="16">
        <v>0</v>
      </c>
      <c r="M600" s="15">
        <v>0</v>
      </c>
      <c r="N600" s="15" t="str">
        <v/>
      </c>
      <c r="O600" s="15" t="str">
        <v/>
      </c>
      <c r="P600" s="22">
        <v>0</v>
      </c>
      <c r="Q600">
        <v>0</v>
      </c>
    </row>
    <row r="601" spans="1:17">
      <c r="A601" s="19">
        <v>0</v>
      </c>
      <c r="B601" s="19">
        <v>0</v>
      </c>
      <c r="C601" s="19">
        <v>0</v>
      </c>
      <c r="D601" s="19">
        <v>0</v>
      </c>
      <c r="E601" s="19">
        <v>0</v>
      </c>
      <c r="F601" s="19">
        <v>0</v>
      </c>
      <c r="G601" s="19">
        <v>0</v>
      </c>
      <c r="H601" s="19">
        <v>0</v>
      </c>
      <c r="I601" s="15">
        <v>3500</v>
      </c>
      <c r="J601" s="15">
        <v>0</v>
      </c>
      <c r="K601" s="15">
        <v>0</v>
      </c>
      <c r="L601" s="16">
        <v>0</v>
      </c>
      <c r="M601" s="15">
        <v>0</v>
      </c>
      <c r="N601" s="15" t="str">
        <v/>
      </c>
      <c r="O601" s="15" t="str">
        <v/>
      </c>
      <c r="P601" s="22">
        <v>0</v>
      </c>
      <c r="Q601">
        <v>0</v>
      </c>
    </row>
    <row r="602" spans="1:17">
      <c r="A602" s="19">
        <v>0</v>
      </c>
      <c r="B602" s="19">
        <v>0</v>
      </c>
      <c r="C602" s="19">
        <v>0</v>
      </c>
      <c r="D602" s="19">
        <v>0</v>
      </c>
      <c r="E602" s="19">
        <v>0</v>
      </c>
      <c r="F602" s="19">
        <v>0</v>
      </c>
      <c r="G602" s="19">
        <v>0</v>
      </c>
      <c r="H602" s="19">
        <v>0</v>
      </c>
      <c r="I602" s="15">
        <v>3500</v>
      </c>
      <c r="J602" s="15">
        <v>0</v>
      </c>
      <c r="K602" s="15">
        <v>0</v>
      </c>
      <c r="L602" s="16">
        <v>0</v>
      </c>
      <c r="M602" s="15">
        <v>0</v>
      </c>
      <c r="N602" s="15" t="str">
        <v/>
      </c>
      <c r="O602" s="15" t="str">
        <v/>
      </c>
      <c r="P602" s="22">
        <v>0</v>
      </c>
      <c r="Q602">
        <v>0</v>
      </c>
    </row>
    <row r="603" spans="1:17">
      <c r="A603" s="19">
        <v>0</v>
      </c>
      <c r="B603" s="19">
        <v>0</v>
      </c>
      <c r="C603" s="19">
        <v>0</v>
      </c>
      <c r="D603" s="19">
        <v>0</v>
      </c>
      <c r="E603" s="19">
        <v>0</v>
      </c>
      <c r="F603" s="19">
        <v>0</v>
      </c>
      <c r="G603" s="19">
        <v>0</v>
      </c>
      <c r="H603" s="19">
        <v>0</v>
      </c>
      <c r="I603" s="15">
        <v>3500</v>
      </c>
      <c r="J603" s="15">
        <v>0</v>
      </c>
      <c r="K603" s="15">
        <v>0</v>
      </c>
      <c r="L603" s="16">
        <v>0</v>
      </c>
      <c r="M603" s="15">
        <v>0</v>
      </c>
      <c r="N603" s="15" t="str">
        <v/>
      </c>
      <c r="O603" s="15" t="str">
        <v/>
      </c>
      <c r="P603" s="22">
        <v>0</v>
      </c>
      <c r="Q603">
        <v>0</v>
      </c>
    </row>
    <row r="604" spans="1:17">
      <c r="A604" s="19">
        <v>0</v>
      </c>
      <c r="B604" s="19">
        <v>0</v>
      </c>
      <c r="C604" s="19">
        <v>0</v>
      </c>
      <c r="D604" s="19">
        <v>0</v>
      </c>
      <c r="E604" s="19">
        <v>0</v>
      </c>
      <c r="F604" s="19">
        <v>0</v>
      </c>
      <c r="G604" s="19">
        <v>0</v>
      </c>
      <c r="H604" s="19">
        <v>0</v>
      </c>
      <c r="I604" s="15">
        <v>3500</v>
      </c>
      <c r="J604" s="15">
        <v>0</v>
      </c>
      <c r="K604" s="15">
        <v>0</v>
      </c>
      <c r="L604" s="16">
        <v>0</v>
      </c>
      <c r="M604" s="15">
        <v>0</v>
      </c>
      <c r="N604" s="15" t="str">
        <v/>
      </c>
      <c r="O604" s="15" t="str">
        <v/>
      </c>
      <c r="P604" s="22">
        <v>0</v>
      </c>
      <c r="Q604">
        <v>0</v>
      </c>
    </row>
    <row r="605" spans="1:17">
      <c r="A605" s="19">
        <v>0</v>
      </c>
      <c r="B605" s="19">
        <v>0</v>
      </c>
      <c r="C605" s="19">
        <v>0</v>
      </c>
      <c r="D605" s="19">
        <v>0</v>
      </c>
      <c r="E605" s="19">
        <v>0</v>
      </c>
      <c r="F605" s="19">
        <v>0</v>
      </c>
      <c r="G605" s="19">
        <v>0</v>
      </c>
      <c r="H605" s="19">
        <v>0</v>
      </c>
      <c r="I605" s="15">
        <v>3500</v>
      </c>
      <c r="J605" s="15">
        <v>0</v>
      </c>
      <c r="K605" s="15">
        <v>0</v>
      </c>
      <c r="L605" s="16">
        <v>0</v>
      </c>
      <c r="M605" s="15">
        <v>0</v>
      </c>
      <c r="N605" s="15" t="str">
        <v/>
      </c>
      <c r="O605" s="15" t="str">
        <v/>
      </c>
      <c r="P605" s="22">
        <v>0</v>
      </c>
      <c r="Q605">
        <v>0</v>
      </c>
    </row>
    <row r="606" spans="1:17">
      <c r="A606" s="19">
        <v>0</v>
      </c>
      <c r="B606" s="19">
        <v>0</v>
      </c>
      <c r="C606" s="19">
        <v>0</v>
      </c>
      <c r="D606" s="19">
        <v>0</v>
      </c>
      <c r="E606" s="19">
        <v>0</v>
      </c>
      <c r="F606" s="19">
        <v>0</v>
      </c>
      <c r="G606" s="19">
        <v>0</v>
      </c>
      <c r="H606" s="19">
        <v>0</v>
      </c>
      <c r="I606" s="15">
        <v>3500</v>
      </c>
      <c r="J606" s="15">
        <v>0</v>
      </c>
      <c r="K606" s="15">
        <v>0</v>
      </c>
      <c r="L606" s="16">
        <v>0</v>
      </c>
      <c r="M606" s="15">
        <v>0</v>
      </c>
      <c r="N606" s="15" t="str">
        <v/>
      </c>
      <c r="O606" s="15" t="str">
        <v/>
      </c>
      <c r="P606" s="22">
        <v>0</v>
      </c>
      <c r="Q606">
        <v>0</v>
      </c>
    </row>
    <row r="607" spans="1:17">
      <c r="A607" s="19">
        <v>0</v>
      </c>
      <c r="B607" s="19">
        <v>0</v>
      </c>
      <c r="C607" s="19">
        <v>0</v>
      </c>
      <c r="D607" s="19">
        <v>0</v>
      </c>
      <c r="E607" s="19">
        <v>0</v>
      </c>
      <c r="F607" s="19">
        <v>0</v>
      </c>
      <c r="G607" s="19">
        <v>0</v>
      </c>
      <c r="H607" s="19">
        <v>0</v>
      </c>
      <c r="I607" s="15">
        <v>3500</v>
      </c>
      <c r="J607" s="15">
        <v>0</v>
      </c>
      <c r="K607" s="15">
        <v>0</v>
      </c>
      <c r="L607" s="16">
        <v>0</v>
      </c>
      <c r="M607" s="15">
        <v>0</v>
      </c>
      <c r="N607" s="15" t="str">
        <v/>
      </c>
      <c r="O607" s="15" t="str">
        <v/>
      </c>
      <c r="P607" s="22">
        <v>0</v>
      </c>
      <c r="Q607">
        <v>0</v>
      </c>
    </row>
    <row r="608" spans="1:17">
      <c r="A608" s="19">
        <v>0</v>
      </c>
      <c r="B608" s="19">
        <v>0</v>
      </c>
      <c r="C608" s="19">
        <v>0</v>
      </c>
      <c r="D608" s="19">
        <v>0</v>
      </c>
      <c r="E608" s="19">
        <v>0</v>
      </c>
      <c r="F608" s="19">
        <v>0</v>
      </c>
      <c r="G608" s="19">
        <v>0</v>
      </c>
      <c r="H608" s="19">
        <v>0</v>
      </c>
      <c r="I608" s="15">
        <v>3500</v>
      </c>
      <c r="J608" s="15">
        <v>0</v>
      </c>
      <c r="K608" s="15">
        <v>0</v>
      </c>
      <c r="L608" s="16">
        <v>0</v>
      </c>
      <c r="M608" s="15">
        <v>0</v>
      </c>
      <c r="N608" s="15" t="str">
        <v/>
      </c>
      <c r="O608" s="15" t="str">
        <v/>
      </c>
      <c r="P608" s="22">
        <v>0</v>
      </c>
      <c r="Q608">
        <v>0</v>
      </c>
    </row>
    <row r="609" spans="1:17">
      <c r="A609" s="19">
        <v>0</v>
      </c>
      <c r="B609" s="19">
        <v>0</v>
      </c>
      <c r="C609" s="19">
        <v>0</v>
      </c>
      <c r="D609" s="19">
        <v>0</v>
      </c>
      <c r="E609" s="19">
        <v>0</v>
      </c>
      <c r="F609" s="19">
        <v>0</v>
      </c>
      <c r="G609" s="19">
        <v>0</v>
      </c>
      <c r="H609" s="19">
        <v>0</v>
      </c>
      <c r="I609" s="15">
        <v>3500</v>
      </c>
      <c r="J609" s="15">
        <v>0</v>
      </c>
      <c r="K609" s="15">
        <v>0</v>
      </c>
      <c r="L609" s="16">
        <v>0</v>
      </c>
      <c r="M609" s="15">
        <v>0</v>
      </c>
      <c r="N609" s="15" t="str">
        <v/>
      </c>
      <c r="O609" s="15" t="str">
        <v/>
      </c>
      <c r="P609" s="22">
        <v>0</v>
      </c>
      <c r="Q609">
        <v>0</v>
      </c>
    </row>
    <row r="610" spans="1:17">
      <c r="A610" s="19">
        <v>0</v>
      </c>
      <c r="B610" s="19">
        <v>0</v>
      </c>
      <c r="C610" s="19">
        <v>0</v>
      </c>
      <c r="D610" s="19">
        <v>0</v>
      </c>
      <c r="E610" s="19">
        <v>0</v>
      </c>
      <c r="F610" s="19">
        <v>0</v>
      </c>
      <c r="G610" s="19">
        <v>0</v>
      </c>
      <c r="H610" s="19">
        <v>0</v>
      </c>
      <c r="I610" s="15">
        <v>3500</v>
      </c>
      <c r="J610" s="15">
        <v>0</v>
      </c>
      <c r="K610" s="15">
        <v>0</v>
      </c>
      <c r="L610" s="16">
        <v>0</v>
      </c>
      <c r="M610" s="15">
        <v>0</v>
      </c>
      <c r="N610" s="15" t="str">
        <v/>
      </c>
      <c r="O610" s="15" t="str">
        <v/>
      </c>
      <c r="P610" s="22">
        <v>0</v>
      </c>
      <c r="Q610">
        <v>0</v>
      </c>
    </row>
    <row r="611" spans="1:17">
      <c r="A611" s="19">
        <v>0</v>
      </c>
      <c r="B611" s="19">
        <v>0</v>
      </c>
      <c r="C611" s="19">
        <v>0</v>
      </c>
      <c r="D611" s="19">
        <v>0</v>
      </c>
      <c r="E611" s="19">
        <v>0</v>
      </c>
      <c r="F611" s="19">
        <v>0</v>
      </c>
      <c r="G611" s="19">
        <v>0</v>
      </c>
      <c r="H611" s="19">
        <v>0</v>
      </c>
      <c r="I611" s="15">
        <v>3500</v>
      </c>
      <c r="J611" s="15">
        <v>0</v>
      </c>
      <c r="K611" s="15">
        <v>0</v>
      </c>
      <c r="L611" s="16">
        <v>0</v>
      </c>
      <c r="M611" s="15">
        <v>0</v>
      </c>
      <c r="N611" s="15" t="str">
        <v/>
      </c>
      <c r="O611" s="15" t="str">
        <v/>
      </c>
      <c r="P611" s="22">
        <v>0</v>
      </c>
      <c r="Q611">
        <v>0</v>
      </c>
    </row>
    <row r="612" spans="1:17">
      <c r="A612" s="19">
        <v>0</v>
      </c>
      <c r="B612" s="19">
        <v>0</v>
      </c>
      <c r="C612" s="19">
        <v>0</v>
      </c>
      <c r="D612" s="19">
        <v>0</v>
      </c>
      <c r="E612" s="19">
        <v>0</v>
      </c>
      <c r="F612" s="19">
        <v>0</v>
      </c>
      <c r="G612" s="19">
        <v>0</v>
      </c>
      <c r="H612" s="19">
        <v>0</v>
      </c>
      <c r="I612" s="15">
        <v>3500</v>
      </c>
      <c r="J612" s="15">
        <v>0</v>
      </c>
      <c r="K612" s="15">
        <v>0</v>
      </c>
      <c r="L612" s="16">
        <v>0</v>
      </c>
      <c r="M612" s="15">
        <v>0</v>
      </c>
      <c r="N612" s="15" t="str">
        <v/>
      </c>
      <c r="O612" s="15" t="str">
        <v/>
      </c>
      <c r="P612" s="22">
        <v>0</v>
      </c>
      <c r="Q612">
        <v>0</v>
      </c>
    </row>
    <row r="613" spans="1:17">
      <c r="A613" s="19">
        <v>0</v>
      </c>
      <c r="B613" s="19">
        <v>0</v>
      </c>
      <c r="C613" s="19">
        <v>0</v>
      </c>
      <c r="D613" s="19">
        <v>0</v>
      </c>
      <c r="E613" s="19">
        <v>0</v>
      </c>
      <c r="F613" s="19">
        <v>0</v>
      </c>
      <c r="G613" s="19">
        <v>0</v>
      </c>
      <c r="H613" s="19">
        <v>0</v>
      </c>
      <c r="I613" s="15">
        <v>3500</v>
      </c>
      <c r="J613" s="15">
        <v>0</v>
      </c>
      <c r="K613" s="15">
        <v>0</v>
      </c>
      <c r="L613" s="16">
        <v>0</v>
      </c>
      <c r="M613" s="15">
        <v>0</v>
      </c>
      <c r="N613" s="15" t="str">
        <v/>
      </c>
      <c r="O613" s="15" t="str">
        <v/>
      </c>
      <c r="P613" s="22">
        <v>0</v>
      </c>
      <c r="Q613">
        <v>0</v>
      </c>
    </row>
    <row r="614" spans="1:17">
      <c r="A614" s="19">
        <v>0</v>
      </c>
      <c r="B614" s="19">
        <v>0</v>
      </c>
      <c r="C614" s="19">
        <v>0</v>
      </c>
      <c r="D614" s="19">
        <v>0</v>
      </c>
      <c r="E614" s="19">
        <v>0</v>
      </c>
      <c r="F614" s="19">
        <v>0</v>
      </c>
      <c r="G614" s="19">
        <v>0</v>
      </c>
      <c r="H614" s="19">
        <v>0</v>
      </c>
      <c r="I614" s="15">
        <v>3500</v>
      </c>
      <c r="J614" s="15">
        <v>0</v>
      </c>
      <c r="K614" s="15">
        <v>0</v>
      </c>
      <c r="L614" s="16">
        <v>0</v>
      </c>
      <c r="M614" s="15">
        <v>0</v>
      </c>
      <c r="N614" s="15" t="str">
        <v/>
      </c>
      <c r="O614" s="15" t="str">
        <v/>
      </c>
      <c r="P614" s="22">
        <v>0</v>
      </c>
      <c r="Q614">
        <v>0</v>
      </c>
    </row>
    <row r="615" spans="1:17">
      <c r="A615" s="19">
        <v>0</v>
      </c>
      <c r="B615" s="19">
        <v>0</v>
      </c>
      <c r="C615" s="19">
        <v>0</v>
      </c>
      <c r="D615" s="19">
        <v>0</v>
      </c>
      <c r="E615" s="19">
        <v>0</v>
      </c>
      <c r="F615" s="19">
        <v>0</v>
      </c>
      <c r="G615" s="19">
        <v>0</v>
      </c>
      <c r="H615" s="19">
        <v>0</v>
      </c>
      <c r="I615" s="15">
        <v>3500</v>
      </c>
      <c r="J615" s="15">
        <v>0</v>
      </c>
      <c r="K615" s="15">
        <v>0</v>
      </c>
      <c r="L615" s="16">
        <v>0</v>
      </c>
      <c r="M615" s="15">
        <v>0</v>
      </c>
      <c r="N615" s="15" t="str">
        <v/>
      </c>
      <c r="O615" s="15" t="str">
        <v/>
      </c>
      <c r="P615" s="22">
        <v>0</v>
      </c>
      <c r="Q615">
        <v>0</v>
      </c>
    </row>
    <row r="616" spans="1:17">
      <c r="A616" s="19">
        <v>0</v>
      </c>
      <c r="B616" s="19">
        <v>0</v>
      </c>
      <c r="C616" s="19">
        <v>0</v>
      </c>
      <c r="D616" s="19">
        <v>0</v>
      </c>
      <c r="E616" s="19">
        <v>0</v>
      </c>
      <c r="F616" s="19">
        <v>0</v>
      </c>
      <c r="G616" s="19">
        <v>0</v>
      </c>
      <c r="H616" s="19">
        <v>0</v>
      </c>
      <c r="I616" s="15">
        <v>3500</v>
      </c>
      <c r="J616" s="15">
        <v>0</v>
      </c>
      <c r="K616" s="15">
        <v>0</v>
      </c>
      <c r="L616" s="16">
        <v>0</v>
      </c>
      <c r="M616" s="15">
        <v>0</v>
      </c>
      <c r="N616" s="15" t="str">
        <v/>
      </c>
      <c r="O616" s="15" t="str">
        <v/>
      </c>
      <c r="P616" s="22">
        <v>0</v>
      </c>
      <c r="Q616">
        <v>0</v>
      </c>
    </row>
    <row r="617" spans="1:17">
      <c r="A617" s="19">
        <v>0</v>
      </c>
      <c r="B617" s="19">
        <v>0</v>
      </c>
      <c r="C617" s="19">
        <v>0</v>
      </c>
      <c r="D617" s="19">
        <v>0</v>
      </c>
      <c r="E617" s="19">
        <v>0</v>
      </c>
      <c r="F617" s="19">
        <v>0</v>
      </c>
      <c r="G617" s="19">
        <v>0</v>
      </c>
      <c r="H617" s="19">
        <v>0</v>
      </c>
      <c r="I617" s="15">
        <v>3500</v>
      </c>
      <c r="J617" s="15">
        <v>0</v>
      </c>
      <c r="K617" s="15">
        <v>0</v>
      </c>
      <c r="L617" s="16">
        <v>0</v>
      </c>
      <c r="M617" s="15">
        <v>0</v>
      </c>
      <c r="N617" s="15" t="str">
        <v/>
      </c>
      <c r="O617" s="15" t="str">
        <v/>
      </c>
      <c r="P617" s="22">
        <v>0</v>
      </c>
      <c r="Q617">
        <v>0</v>
      </c>
    </row>
    <row r="618" spans="1:17">
      <c r="A618" s="19">
        <v>0</v>
      </c>
      <c r="B618" s="19">
        <v>0</v>
      </c>
      <c r="C618" s="19">
        <v>0</v>
      </c>
      <c r="D618" s="19">
        <v>0</v>
      </c>
      <c r="E618" s="19">
        <v>0</v>
      </c>
      <c r="F618" s="19">
        <v>0</v>
      </c>
      <c r="G618" s="19">
        <v>0</v>
      </c>
      <c r="H618" s="19">
        <v>0</v>
      </c>
      <c r="I618" s="15">
        <v>3500</v>
      </c>
      <c r="J618" s="15">
        <v>0</v>
      </c>
      <c r="K618" s="15">
        <v>0</v>
      </c>
      <c r="L618" s="16">
        <v>0</v>
      </c>
      <c r="M618" s="15">
        <v>0</v>
      </c>
      <c r="N618" s="15" t="str">
        <v/>
      </c>
      <c r="O618" s="15" t="str">
        <v/>
      </c>
      <c r="P618" s="22">
        <v>0</v>
      </c>
      <c r="Q618">
        <v>0</v>
      </c>
    </row>
    <row r="619" spans="1:17">
      <c r="A619" s="19">
        <v>0</v>
      </c>
      <c r="B619" s="19">
        <v>0</v>
      </c>
      <c r="C619" s="19">
        <v>0</v>
      </c>
      <c r="D619" s="19">
        <v>0</v>
      </c>
      <c r="E619" s="19">
        <v>0</v>
      </c>
      <c r="F619" s="19">
        <v>0</v>
      </c>
      <c r="G619" s="19">
        <v>0</v>
      </c>
      <c r="H619" s="19">
        <v>0</v>
      </c>
      <c r="I619" s="15">
        <v>3500</v>
      </c>
      <c r="J619" s="15">
        <v>0</v>
      </c>
      <c r="K619" s="15">
        <v>0</v>
      </c>
      <c r="L619" s="16">
        <v>0</v>
      </c>
      <c r="M619" s="15">
        <v>0</v>
      </c>
      <c r="N619" s="15" t="str">
        <v/>
      </c>
      <c r="O619" s="15" t="str">
        <v/>
      </c>
      <c r="P619" s="22">
        <v>0</v>
      </c>
      <c r="Q619">
        <v>0</v>
      </c>
    </row>
    <row r="620" spans="1:17">
      <c r="A620" s="19">
        <v>0</v>
      </c>
      <c r="B620" s="19">
        <v>0</v>
      </c>
      <c r="C620" s="19">
        <v>0</v>
      </c>
      <c r="D620" s="19">
        <v>0</v>
      </c>
      <c r="E620" s="19">
        <v>0</v>
      </c>
      <c r="F620" s="19">
        <v>0</v>
      </c>
      <c r="G620" s="19">
        <v>0</v>
      </c>
      <c r="H620" s="19">
        <v>0</v>
      </c>
      <c r="I620" s="15">
        <v>3500</v>
      </c>
      <c r="J620" s="15">
        <v>0</v>
      </c>
      <c r="K620" s="15">
        <v>0</v>
      </c>
      <c r="L620" s="16">
        <v>0</v>
      </c>
      <c r="M620" s="15">
        <v>0</v>
      </c>
      <c r="N620" s="15" t="str">
        <v/>
      </c>
      <c r="O620" s="15" t="str">
        <v/>
      </c>
      <c r="P620" s="22">
        <v>0</v>
      </c>
      <c r="Q620">
        <v>0</v>
      </c>
    </row>
    <row r="621" spans="1:17">
      <c r="A621" s="19">
        <v>0</v>
      </c>
      <c r="B621" s="19">
        <v>0</v>
      </c>
      <c r="C621" s="19">
        <v>0</v>
      </c>
      <c r="D621" s="19">
        <v>0</v>
      </c>
      <c r="E621" s="19">
        <v>0</v>
      </c>
      <c r="F621" s="19">
        <v>0</v>
      </c>
      <c r="G621" s="19">
        <v>0</v>
      </c>
      <c r="H621" s="19">
        <v>0</v>
      </c>
      <c r="I621" s="15">
        <v>3500</v>
      </c>
      <c r="J621" s="15">
        <v>0</v>
      </c>
      <c r="K621" s="15">
        <v>0</v>
      </c>
      <c r="L621" s="16">
        <v>0</v>
      </c>
      <c r="M621" s="15">
        <v>0</v>
      </c>
      <c r="N621" s="15" t="str">
        <v/>
      </c>
      <c r="O621" s="15" t="str">
        <v/>
      </c>
      <c r="P621" s="22">
        <v>0</v>
      </c>
      <c r="Q621">
        <v>0</v>
      </c>
    </row>
    <row r="622" spans="1:17">
      <c r="A622" s="19">
        <v>0</v>
      </c>
      <c r="B622" s="19">
        <v>0</v>
      </c>
      <c r="C622" s="19">
        <v>0</v>
      </c>
      <c r="D622" s="19">
        <v>0</v>
      </c>
      <c r="E622" s="19">
        <v>0</v>
      </c>
      <c r="F622" s="19">
        <v>0</v>
      </c>
      <c r="G622" s="19">
        <v>0</v>
      </c>
      <c r="H622" s="19">
        <v>0</v>
      </c>
      <c r="I622" s="15">
        <v>3500</v>
      </c>
      <c r="J622" s="15">
        <v>0</v>
      </c>
      <c r="K622" s="15">
        <v>0</v>
      </c>
      <c r="L622" s="16">
        <v>0</v>
      </c>
      <c r="M622" s="15">
        <v>0</v>
      </c>
      <c r="N622" s="15" t="str">
        <v/>
      </c>
      <c r="O622" s="15" t="str">
        <v/>
      </c>
      <c r="P622" s="22">
        <v>0</v>
      </c>
      <c r="Q622">
        <v>0</v>
      </c>
    </row>
    <row r="623" spans="1:17">
      <c r="A623" s="19">
        <v>0</v>
      </c>
      <c r="B623" s="19">
        <v>0</v>
      </c>
      <c r="C623" s="19">
        <v>0</v>
      </c>
      <c r="D623" s="19">
        <v>0</v>
      </c>
      <c r="E623" s="19">
        <v>0</v>
      </c>
      <c r="F623" s="19">
        <v>0</v>
      </c>
      <c r="G623" s="19">
        <v>0</v>
      </c>
      <c r="H623" s="19">
        <v>0</v>
      </c>
      <c r="I623" s="15">
        <v>3500</v>
      </c>
      <c r="J623" s="15">
        <v>0</v>
      </c>
      <c r="K623" s="15">
        <v>0</v>
      </c>
      <c r="L623" s="16">
        <v>0</v>
      </c>
      <c r="M623" s="15">
        <v>0</v>
      </c>
      <c r="N623" s="15" t="str">
        <v/>
      </c>
      <c r="O623" s="15" t="str">
        <v/>
      </c>
      <c r="P623" s="22">
        <v>0</v>
      </c>
      <c r="Q623">
        <v>0</v>
      </c>
    </row>
    <row r="624" spans="1:17">
      <c r="A624" s="19">
        <v>0</v>
      </c>
      <c r="B624" s="19">
        <v>0</v>
      </c>
      <c r="C624" s="19">
        <v>0</v>
      </c>
      <c r="D624" s="19">
        <v>0</v>
      </c>
      <c r="E624" s="19">
        <v>0</v>
      </c>
      <c r="F624" s="19">
        <v>0</v>
      </c>
      <c r="G624" s="19">
        <v>0</v>
      </c>
      <c r="H624" s="19">
        <v>0</v>
      </c>
      <c r="I624" s="15">
        <v>3500</v>
      </c>
      <c r="J624" s="15">
        <v>0</v>
      </c>
      <c r="K624" s="15">
        <v>0</v>
      </c>
      <c r="L624" s="16">
        <v>0</v>
      </c>
      <c r="M624" s="15">
        <v>0</v>
      </c>
      <c r="N624" s="15" t="str">
        <v/>
      </c>
      <c r="O624" s="15" t="str">
        <v/>
      </c>
      <c r="P624" s="22">
        <v>0</v>
      </c>
      <c r="Q624">
        <v>0</v>
      </c>
    </row>
    <row r="625" spans="1:17">
      <c r="A625" s="19">
        <v>0</v>
      </c>
      <c r="B625" s="19">
        <v>0</v>
      </c>
      <c r="C625" s="19">
        <v>0</v>
      </c>
      <c r="D625" s="19">
        <v>0</v>
      </c>
      <c r="E625" s="19">
        <v>0</v>
      </c>
      <c r="F625" s="19">
        <v>0</v>
      </c>
      <c r="G625" s="19">
        <v>0</v>
      </c>
      <c r="H625" s="19">
        <v>0</v>
      </c>
      <c r="I625" s="15">
        <v>3500</v>
      </c>
      <c r="J625" s="15">
        <v>0</v>
      </c>
      <c r="K625" s="15">
        <v>0</v>
      </c>
      <c r="L625" s="16">
        <v>0</v>
      </c>
      <c r="M625" s="15">
        <v>0</v>
      </c>
      <c r="N625" s="15" t="str">
        <v/>
      </c>
      <c r="O625" s="15" t="str">
        <v/>
      </c>
      <c r="P625" s="22">
        <v>0</v>
      </c>
      <c r="Q625">
        <v>0</v>
      </c>
    </row>
    <row r="626" spans="1:17">
      <c r="A626" s="19">
        <v>0</v>
      </c>
      <c r="B626" s="19">
        <v>0</v>
      </c>
      <c r="C626" s="19">
        <v>0</v>
      </c>
      <c r="D626" s="19">
        <v>0</v>
      </c>
      <c r="E626" s="19">
        <v>0</v>
      </c>
      <c r="F626" s="19">
        <v>0</v>
      </c>
      <c r="G626" s="19">
        <v>0</v>
      </c>
      <c r="H626" s="19">
        <v>0</v>
      </c>
      <c r="I626" s="15">
        <v>3500</v>
      </c>
      <c r="J626" s="15">
        <v>0</v>
      </c>
      <c r="K626" s="15">
        <v>0</v>
      </c>
      <c r="L626" s="16">
        <v>0</v>
      </c>
      <c r="M626" s="15">
        <v>0</v>
      </c>
      <c r="N626" s="15" t="str">
        <v/>
      </c>
      <c r="O626" s="15" t="str">
        <v/>
      </c>
      <c r="P626" s="22">
        <v>0</v>
      </c>
      <c r="Q626">
        <v>0</v>
      </c>
    </row>
    <row r="627" spans="1:17">
      <c r="A627" s="19">
        <v>0</v>
      </c>
      <c r="B627" s="19">
        <v>0</v>
      </c>
      <c r="C627" s="19">
        <v>0</v>
      </c>
      <c r="D627" s="19">
        <v>0</v>
      </c>
      <c r="E627" s="19">
        <v>0</v>
      </c>
      <c r="F627" s="19">
        <v>0</v>
      </c>
      <c r="G627" s="19">
        <v>0</v>
      </c>
      <c r="H627" s="19">
        <v>0</v>
      </c>
      <c r="I627" s="15">
        <v>3500</v>
      </c>
      <c r="J627" s="15">
        <v>0</v>
      </c>
      <c r="K627" s="15">
        <v>0</v>
      </c>
      <c r="L627" s="16">
        <v>0</v>
      </c>
      <c r="M627" s="15">
        <v>0</v>
      </c>
      <c r="N627" s="15" t="str">
        <v/>
      </c>
      <c r="O627" s="15" t="str">
        <v/>
      </c>
      <c r="P627" s="22">
        <v>0</v>
      </c>
      <c r="Q627">
        <v>0</v>
      </c>
    </row>
    <row r="628" spans="1:17">
      <c r="A628" s="19">
        <v>0</v>
      </c>
      <c r="B628" s="19">
        <v>0</v>
      </c>
      <c r="C628" s="19">
        <v>0</v>
      </c>
      <c r="D628" s="19">
        <v>0</v>
      </c>
      <c r="E628" s="19">
        <v>0</v>
      </c>
      <c r="F628" s="19">
        <v>0</v>
      </c>
      <c r="G628" s="19">
        <v>0</v>
      </c>
      <c r="H628" s="19">
        <v>0</v>
      </c>
      <c r="I628" s="15">
        <v>3500</v>
      </c>
      <c r="J628" s="15">
        <v>0</v>
      </c>
      <c r="K628" s="15">
        <v>0</v>
      </c>
      <c r="L628" s="16">
        <v>0</v>
      </c>
      <c r="M628" s="15">
        <v>0</v>
      </c>
      <c r="N628" s="15" t="str">
        <v/>
      </c>
      <c r="O628" s="15" t="str">
        <v/>
      </c>
      <c r="P628" s="22">
        <v>0</v>
      </c>
      <c r="Q628">
        <v>0</v>
      </c>
    </row>
    <row r="629" spans="1:17">
      <c r="A629" s="19">
        <v>0</v>
      </c>
      <c r="B629" s="19">
        <v>0</v>
      </c>
      <c r="C629" s="19">
        <v>0</v>
      </c>
      <c r="D629" s="19">
        <v>0</v>
      </c>
      <c r="E629" s="19">
        <v>0</v>
      </c>
      <c r="F629" s="19">
        <v>0</v>
      </c>
      <c r="G629" s="19">
        <v>0</v>
      </c>
      <c r="H629" s="19">
        <v>0</v>
      </c>
      <c r="I629" s="15">
        <v>3500</v>
      </c>
      <c r="J629" s="15">
        <v>0</v>
      </c>
      <c r="K629" s="15">
        <v>0</v>
      </c>
      <c r="L629" s="16">
        <v>0</v>
      </c>
      <c r="M629" s="15">
        <v>0</v>
      </c>
      <c r="N629" s="15" t="str">
        <v/>
      </c>
      <c r="O629" s="15" t="str">
        <v/>
      </c>
      <c r="P629" s="22">
        <v>0</v>
      </c>
      <c r="Q629">
        <v>0</v>
      </c>
    </row>
    <row r="630" spans="1:17">
      <c r="A630" s="19">
        <v>0</v>
      </c>
      <c r="B630" s="19">
        <v>0</v>
      </c>
      <c r="C630" s="19">
        <v>0</v>
      </c>
      <c r="D630" s="19">
        <v>0</v>
      </c>
      <c r="E630" s="19">
        <v>0</v>
      </c>
      <c r="F630" s="19">
        <v>0</v>
      </c>
      <c r="G630" s="19">
        <v>0</v>
      </c>
      <c r="H630" s="19">
        <v>0</v>
      </c>
      <c r="I630" s="15">
        <v>3500</v>
      </c>
      <c r="J630" s="15">
        <v>0</v>
      </c>
      <c r="K630" s="15">
        <v>0</v>
      </c>
      <c r="L630" s="16">
        <v>0</v>
      </c>
      <c r="M630" s="15">
        <v>0</v>
      </c>
      <c r="N630" s="15" t="str">
        <v/>
      </c>
      <c r="O630" s="15" t="str">
        <v/>
      </c>
      <c r="P630" s="22">
        <v>0</v>
      </c>
      <c r="Q630">
        <v>0</v>
      </c>
    </row>
    <row r="631" spans="1:17">
      <c r="A631" s="19">
        <v>0</v>
      </c>
      <c r="B631" s="19">
        <v>0</v>
      </c>
      <c r="C631" s="19">
        <v>0</v>
      </c>
      <c r="D631" s="19">
        <v>0</v>
      </c>
      <c r="E631" s="19">
        <v>0</v>
      </c>
      <c r="F631" s="19">
        <v>0</v>
      </c>
      <c r="G631" s="19">
        <v>0</v>
      </c>
      <c r="H631" s="19">
        <v>0</v>
      </c>
      <c r="I631" s="15">
        <v>3500</v>
      </c>
      <c r="J631" s="15">
        <v>0</v>
      </c>
      <c r="K631" s="15">
        <v>0</v>
      </c>
      <c r="L631" s="16">
        <v>0</v>
      </c>
      <c r="M631" s="15">
        <v>0</v>
      </c>
      <c r="N631" s="15" t="str">
        <v/>
      </c>
      <c r="O631" s="15" t="str">
        <v/>
      </c>
      <c r="P631" s="22">
        <v>0</v>
      </c>
      <c r="Q631">
        <v>0</v>
      </c>
    </row>
    <row r="632" spans="1:17">
      <c r="A632" s="19">
        <v>0</v>
      </c>
      <c r="B632" s="19">
        <v>0</v>
      </c>
      <c r="C632" s="19">
        <v>0</v>
      </c>
      <c r="D632" s="19">
        <v>0</v>
      </c>
      <c r="E632" s="19">
        <v>0</v>
      </c>
      <c r="F632" s="19">
        <v>0</v>
      </c>
      <c r="G632" s="19">
        <v>0</v>
      </c>
      <c r="H632" s="19">
        <v>0</v>
      </c>
      <c r="I632" s="15">
        <v>3500</v>
      </c>
      <c r="J632" s="15">
        <v>0</v>
      </c>
      <c r="K632" s="15">
        <v>0</v>
      </c>
      <c r="L632" s="16">
        <v>0</v>
      </c>
      <c r="M632" s="15">
        <v>0</v>
      </c>
      <c r="N632" s="15" t="str">
        <v/>
      </c>
      <c r="O632" s="15" t="str">
        <v/>
      </c>
      <c r="P632" s="22">
        <v>0</v>
      </c>
      <c r="Q632">
        <v>0</v>
      </c>
    </row>
    <row r="633" spans="1:17">
      <c r="A633" s="19">
        <v>0</v>
      </c>
      <c r="B633" s="19">
        <v>0</v>
      </c>
      <c r="C633" s="19">
        <v>0</v>
      </c>
      <c r="D633" s="19">
        <v>0</v>
      </c>
      <c r="E633" s="19">
        <v>0</v>
      </c>
      <c r="F633" s="19">
        <v>0</v>
      </c>
      <c r="G633" s="19">
        <v>0</v>
      </c>
      <c r="H633" s="19">
        <v>0</v>
      </c>
      <c r="I633" s="15">
        <v>3500</v>
      </c>
      <c r="J633" s="15">
        <v>0</v>
      </c>
      <c r="K633" s="15">
        <v>0</v>
      </c>
      <c r="L633" s="16">
        <v>0</v>
      </c>
      <c r="M633" s="15">
        <v>0</v>
      </c>
      <c r="N633" s="15" t="str">
        <v/>
      </c>
      <c r="O633" s="15" t="str">
        <v/>
      </c>
      <c r="P633" s="22">
        <v>0</v>
      </c>
      <c r="Q633">
        <v>0</v>
      </c>
    </row>
    <row r="634" spans="1:17">
      <c r="A634" s="19">
        <v>0</v>
      </c>
      <c r="B634" s="19">
        <v>0</v>
      </c>
      <c r="C634" s="19">
        <v>0</v>
      </c>
      <c r="D634" s="19">
        <v>0</v>
      </c>
      <c r="E634" s="19">
        <v>0</v>
      </c>
      <c r="F634" s="19">
        <v>0</v>
      </c>
      <c r="G634" s="19">
        <v>0</v>
      </c>
      <c r="H634" s="19">
        <v>0</v>
      </c>
      <c r="I634" s="15">
        <v>3500</v>
      </c>
      <c r="J634" s="15">
        <v>0</v>
      </c>
      <c r="K634" s="15">
        <v>0</v>
      </c>
      <c r="L634" s="16">
        <v>0</v>
      </c>
      <c r="M634" s="15">
        <v>0</v>
      </c>
      <c r="N634" s="15" t="str">
        <v/>
      </c>
      <c r="O634" s="15" t="str">
        <v/>
      </c>
      <c r="P634" s="22">
        <v>0</v>
      </c>
      <c r="Q634">
        <v>0</v>
      </c>
    </row>
    <row r="635" spans="1:17">
      <c r="A635" s="19">
        <v>0</v>
      </c>
      <c r="B635" s="19">
        <v>0</v>
      </c>
      <c r="C635" s="19">
        <v>0</v>
      </c>
      <c r="D635" s="19">
        <v>0</v>
      </c>
      <c r="E635" s="19">
        <v>0</v>
      </c>
      <c r="F635" s="19">
        <v>0</v>
      </c>
      <c r="G635" s="19">
        <v>0</v>
      </c>
      <c r="H635" s="19">
        <v>0</v>
      </c>
      <c r="I635" s="15">
        <v>3500</v>
      </c>
      <c r="J635" s="15">
        <v>0</v>
      </c>
      <c r="K635" s="15">
        <v>0</v>
      </c>
      <c r="L635" s="16">
        <v>0</v>
      </c>
      <c r="M635" s="15">
        <v>0</v>
      </c>
      <c r="N635" s="15" t="str">
        <v/>
      </c>
      <c r="O635" s="15" t="str">
        <v/>
      </c>
      <c r="P635" s="22">
        <v>0</v>
      </c>
      <c r="Q635">
        <v>0</v>
      </c>
    </row>
    <row r="636" spans="1:17">
      <c r="A636" s="19">
        <v>0</v>
      </c>
      <c r="B636" s="19">
        <v>0</v>
      </c>
      <c r="C636" s="19">
        <v>0</v>
      </c>
      <c r="D636" s="19">
        <v>0</v>
      </c>
      <c r="E636" s="19">
        <v>0</v>
      </c>
      <c r="F636" s="19">
        <v>0</v>
      </c>
      <c r="G636" s="19">
        <v>0</v>
      </c>
      <c r="H636" s="19">
        <v>0</v>
      </c>
      <c r="I636" s="15">
        <v>3500</v>
      </c>
      <c r="J636" s="15">
        <v>0</v>
      </c>
      <c r="K636" s="15">
        <v>0</v>
      </c>
      <c r="L636" s="16">
        <v>0</v>
      </c>
      <c r="M636" s="15">
        <v>0</v>
      </c>
      <c r="N636" s="15" t="str">
        <v/>
      </c>
      <c r="O636" s="15" t="str">
        <v/>
      </c>
      <c r="P636" s="22">
        <v>0</v>
      </c>
      <c r="Q636">
        <v>0</v>
      </c>
    </row>
    <row r="637" spans="1:17">
      <c r="A637" s="19">
        <v>0</v>
      </c>
      <c r="B637" s="19">
        <v>0</v>
      </c>
      <c r="C637" s="19">
        <v>0</v>
      </c>
      <c r="D637" s="19">
        <v>0</v>
      </c>
      <c r="E637" s="19">
        <v>0</v>
      </c>
      <c r="F637" s="19">
        <v>0</v>
      </c>
      <c r="G637" s="19">
        <v>0</v>
      </c>
      <c r="H637" s="19">
        <v>0</v>
      </c>
      <c r="I637" s="15">
        <v>3500</v>
      </c>
      <c r="J637" s="15">
        <v>0</v>
      </c>
      <c r="K637" s="15">
        <v>0</v>
      </c>
      <c r="L637" s="16">
        <v>0</v>
      </c>
      <c r="M637" s="15">
        <v>0</v>
      </c>
      <c r="N637" s="15" t="str">
        <v/>
      </c>
      <c r="O637" s="15" t="str">
        <v/>
      </c>
      <c r="P637" s="22">
        <v>0</v>
      </c>
      <c r="Q637">
        <v>0</v>
      </c>
    </row>
    <row r="638" spans="1:17">
      <c r="A638" s="19">
        <v>0</v>
      </c>
      <c r="B638" s="19">
        <v>0</v>
      </c>
      <c r="C638" s="19">
        <v>0</v>
      </c>
      <c r="D638" s="19">
        <v>0</v>
      </c>
      <c r="E638" s="19">
        <v>0</v>
      </c>
      <c r="F638" s="19">
        <v>0</v>
      </c>
      <c r="G638" s="19">
        <v>0</v>
      </c>
      <c r="H638" s="19">
        <v>0</v>
      </c>
      <c r="I638" s="15">
        <v>3500</v>
      </c>
      <c r="J638" s="15">
        <v>0</v>
      </c>
      <c r="K638" s="15">
        <v>0</v>
      </c>
      <c r="L638" s="16">
        <v>0</v>
      </c>
      <c r="M638" s="15">
        <v>0</v>
      </c>
      <c r="N638" s="15" t="str">
        <v/>
      </c>
      <c r="O638" s="15" t="str">
        <v/>
      </c>
      <c r="P638" s="22">
        <v>0</v>
      </c>
      <c r="Q638">
        <v>0</v>
      </c>
    </row>
    <row r="639" spans="1:17">
      <c r="A639" s="19">
        <v>0</v>
      </c>
      <c r="B639" s="19">
        <v>0</v>
      </c>
      <c r="C639" s="19">
        <v>0</v>
      </c>
      <c r="D639" s="19">
        <v>0</v>
      </c>
      <c r="E639" s="19">
        <v>0</v>
      </c>
      <c r="F639" s="19">
        <v>0</v>
      </c>
      <c r="G639" s="19">
        <v>0</v>
      </c>
      <c r="H639" s="19">
        <v>0</v>
      </c>
      <c r="I639" s="15">
        <v>3500</v>
      </c>
      <c r="J639" s="15">
        <v>0</v>
      </c>
      <c r="K639" s="15">
        <v>0</v>
      </c>
      <c r="L639" s="16">
        <v>0</v>
      </c>
      <c r="M639" s="15">
        <v>0</v>
      </c>
      <c r="N639" s="15" t="str">
        <v/>
      </c>
      <c r="O639" s="15" t="str">
        <v/>
      </c>
      <c r="P639" s="22">
        <v>0</v>
      </c>
      <c r="Q639">
        <v>0</v>
      </c>
    </row>
    <row r="640" spans="1:17">
      <c r="A640" s="19">
        <v>0</v>
      </c>
      <c r="B640" s="19">
        <v>0</v>
      </c>
      <c r="C640" s="19">
        <v>0</v>
      </c>
      <c r="D640" s="19">
        <v>0</v>
      </c>
      <c r="E640" s="19">
        <v>0</v>
      </c>
      <c r="F640" s="19">
        <v>0</v>
      </c>
      <c r="G640" s="19">
        <v>0</v>
      </c>
      <c r="H640" s="19">
        <v>0</v>
      </c>
      <c r="I640" s="15">
        <v>3500</v>
      </c>
      <c r="J640" s="15">
        <v>0</v>
      </c>
      <c r="K640" s="15">
        <v>0</v>
      </c>
      <c r="L640" s="16">
        <v>0</v>
      </c>
      <c r="M640" s="15">
        <v>0</v>
      </c>
      <c r="N640" s="15" t="str">
        <v/>
      </c>
      <c r="O640" s="15" t="str">
        <v/>
      </c>
      <c r="P640" s="22">
        <v>0</v>
      </c>
      <c r="Q640">
        <v>0</v>
      </c>
    </row>
    <row r="641" spans="1:17">
      <c r="A641" s="19">
        <v>0</v>
      </c>
      <c r="B641" s="19">
        <v>0</v>
      </c>
      <c r="C641" s="19">
        <v>0</v>
      </c>
      <c r="D641" s="19">
        <v>0</v>
      </c>
      <c r="E641" s="19">
        <v>0</v>
      </c>
      <c r="F641" s="19">
        <v>0</v>
      </c>
      <c r="G641" s="19">
        <v>0</v>
      </c>
      <c r="H641" s="19">
        <v>0</v>
      </c>
      <c r="I641" s="15">
        <v>3500</v>
      </c>
      <c r="J641" s="15">
        <v>0</v>
      </c>
      <c r="K641" s="15">
        <v>0</v>
      </c>
      <c r="L641" s="16">
        <v>0</v>
      </c>
      <c r="M641" s="15">
        <v>0</v>
      </c>
      <c r="N641" s="15" t="str">
        <v/>
      </c>
      <c r="O641" s="15" t="str">
        <v/>
      </c>
      <c r="P641" s="22">
        <v>0</v>
      </c>
      <c r="Q641">
        <v>0</v>
      </c>
    </row>
    <row r="642" spans="1:17">
      <c r="A642" s="19">
        <v>0</v>
      </c>
      <c r="B642" s="19">
        <v>0</v>
      </c>
      <c r="C642" s="19">
        <v>0</v>
      </c>
      <c r="D642" s="19">
        <v>0</v>
      </c>
      <c r="E642" s="19">
        <v>0</v>
      </c>
      <c r="F642" s="19">
        <v>0</v>
      </c>
      <c r="G642" s="19">
        <v>0</v>
      </c>
      <c r="H642" s="19">
        <v>0</v>
      </c>
      <c r="I642" s="15">
        <v>3500</v>
      </c>
      <c r="J642" s="15">
        <v>0</v>
      </c>
      <c r="K642" s="15">
        <v>0</v>
      </c>
      <c r="L642" s="16">
        <v>0</v>
      </c>
      <c r="M642" s="15">
        <v>0</v>
      </c>
      <c r="N642" s="15" t="str">
        <v/>
      </c>
      <c r="O642" s="15" t="str">
        <v/>
      </c>
      <c r="P642" s="22">
        <v>0</v>
      </c>
      <c r="Q642">
        <v>0</v>
      </c>
    </row>
    <row r="643" spans="1:17">
      <c r="A643" s="19">
        <v>0</v>
      </c>
      <c r="B643" s="19">
        <v>0</v>
      </c>
      <c r="C643" s="19">
        <v>0</v>
      </c>
      <c r="D643" s="19">
        <v>0</v>
      </c>
      <c r="E643" s="19">
        <v>0</v>
      </c>
      <c r="F643" s="19">
        <v>0</v>
      </c>
      <c r="G643" s="19">
        <v>0</v>
      </c>
      <c r="H643" s="19">
        <v>0</v>
      </c>
      <c r="I643" s="15">
        <v>3500</v>
      </c>
      <c r="J643" s="15">
        <v>0</v>
      </c>
      <c r="K643" s="15">
        <v>0</v>
      </c>
      <c r="L643" s="16">
        <v>0</v>
      </c>
      <c r="M643" s="15">
        <v>0</v>
      </c>
      <c r="N643" s="15" t="str">
        <v/>
      </c>
      <c r="O643" s="15" t="str">
        <v/>
      </c>
      <c r="P643" s="22">
        <v>0</v>
      </c>
      <c r="Q643">
        <v>0</v>
      </c>
    </row>
    <row r="644" spans="1:17">
      <c r="A644" s="19">
        <v>0</v>
      </c>
      <c r="B644" s="19">
        <v>0</v>
      </c>
      <c r="C644" s="19">
        <v>0</v>
      </c>
      <c r="D644" s="19">
        <v>0</v>
      </c>
      <c r="E644" s="19">
        <v>0</v>
      </c>
      <c r="F644" s="19">
        <v>0</v>
      </c>
      <c r="G644" s="19">
        <v>0</v>
      </c>
      <c r="H644" s="19">
        <v>0</v>
      </c>
      <c r="I644" s="15">
        <v>3500</v>
      </c>
      <c r="J644" s="15">
        <v>0</v>
      </c>
      <c r="K644" s="15">
        <v>0</v>
      </c>
      <c r="L644" s="16">
        <v>0</v>
      </c>
      <c r="M644" s="15">
        <v>0</v>
      </c>
      <c r="N644" s="15" t="str">
        <v/>
      </c>
      <c r="O644" s="15" t="str">
        <v/>
      </c>
      <c r="P644" s="22">
        <v>0</v>
      </c>
      <c r="Q644">
        <v>0</v>
      </c>
    </row>
    <row r="645" spans="1:17">
      <c r="A645" s="19">
        <v>0</v>
      </c>
      <c r="B645" s="19">
        <v>0</v>
      </c>
      <c r="C645" s="19">
        <v>0</v>
      </c>
      <c r="D645" s="19">
        <v>0</v>
      </c>
      <c r="E645" s="19">
        <v>0</v>
      </c>
      <c r="F645" s="19">
        <v>0</v>
      </c>
      <c r="G645" s="19">
        <v>0</v>
      </c>
      <c r="H645" s="19">
        <v>0</v>
      </c>
      <c r="I645" s="15">
        <v>3500</v>
      </c>
      <c r="J645" s="15">
        <v>0</v>
      </c>
      <c r="K645" s="15">
        <v>0</v>
      </c>
      <c r="L645" s="16">
        <v>0</v>
      </c>
      <c r="M645" s="15">
        <v>0</v>
      </c>
      <c r="N645" s="15" t="str">
        <v/>
      </c>
      <c r="O645" s="15" t="str">
        <v/>
      </c>
      <c r="P645" s="22">
        <v>0</v>
      </c>
      <c r="Q645">
        <v>0</v>
      </c>
    </row>
    <row r="646" spans="1:17">
      <c r="A646" s="19">
        <v>0</v>
      </c>
      <c r="B646" s="19">
        <v>0</v>
      </c>
      <c r="C646" s="19">
        <v>0</v>
      </c>
      <c r="D646" s="19">
        <v>0</v>
      </c>
      <c r="E646" s="19">
        <v>0</v>
      </c>
      <c r="F646" s="19">
        <v>0</v>
      </c>
      <c r="G646" s="19">
        <v>0</v>
      </c>
      <c r="H646" s="19">
        <v>0</v>
      </c>
      <c r="I646" s="15">
        <v>3500</v>
      </c>
      <c r="J646" s="15">
        <v>0</v>
      </c>
      <c r="K646" s="15">
        <v>0</v>
      </c>
      <c r="L646" s="16">
        <v>0</v>
      </c>
      <c r="M646" s="15">
        <v>0</v>
      </c>
      <c r="N646" s="15" t="str">
        <v/>
      </c>
      <c r="O646" s="15" t="str">
        <v/>
      </c>
      <c r="P646" s="22">
        <v>0</v>
      </c>
      <c r="Q646">
        <v>0</v>
      </c>
    </row>
    <row r="647" spans="1:17">
      <c r="A647" s="19">
        <v>0</v>
      </c>
      <c r="B647" s="19">
        <v>0</v>
      </c>
      <c r="C647" s="19">
        <v>0</v>
      </c>
      <c r="D647" s="19">
        <v>0</v>
      </c>
      <c r="E647" s="19">
        <v>0</v>
      </c>
      <c r="F647" s="19">
        <v>0</v>
      </c>
      <c r="G647" s="19">
        <v>0</v>
      </c>
      <c r="H647" s="19">
        <v>0</v>
      </c>
      <c r="I647" s="15">
        <v>3500</v>
      </c>
      <c r="J647" s="15">
        <v>0</v>
      </c>
      <c r="K647" s="15">
        <v>0</v>
      </c>
      <c r="L647" s="16">
        <v>0</v>
      </c>
      <c r="M647" s="15">
        <v>0</v>
      </c>
      <c r="N647" s="15" t="str">
        <v/>
      </c>
      <c r="O647" s="15" t="str">
        <v/>
      </c>
      <c r="P647" s="22">
        <v>0</v>
      </c>
      <c r="Q647">
        <v>0</v>
      </c>
    </row>
    <row r="648" spans="1:17">
      <c r="A648" s="19">
        <v>0</v>
      </c>
      <c r="B648" s="19">
        <v>0</v>
      </c>
      <c r="C648" s="19">
        <v>0</v>
      </c>
      <c r="D648" s="19">
        <v>0</v>
      </c>
      <c r="E648" s="19">
        <v>0</v>
      </c>
      <c r="F648" s="19">
        <v>0</v>
      </c>
      <c r="G648" s="19">
        <v>0</v>
      </c>
      <c r="H648" s="19">
        <v>0</v>
      </c>
      <c r="I648" s="15">
        <v>3500</v>
      </c>
      <c r="J648" s="15">
        <v>0</v>
      </c>
      <c r="K648" s="15">
        <v>0</v>
      </c>
      <c r="L648" s="16">
        <v>0</v>
      </c>
      <c r="M648" s="15">
        <v>0</v>
      </c>
      <c r="N648" s="15" t="str">
        <v/>
      </c>
      <c r="O648" s="15" t="str">
        <v/>
      </c>
      <c r="P648" s="22">
        <v>0</v>
      </c>
      <c r="Q648">
        <v>0</v>
      </c>
    </row>
    <row r="649" spans="1:17">
      <c r="A649" s="19">
        <v>0</v>
      </c>
      <c r="B649" s="19">
        <v>0</v>
      </c>
      <c r="C649" s="19">
        <v>0</v>
      </c>
      <c r="D649" s="19">
        <v>0</v>
      </c>
      <c r="E649" s="19">
        <v>0</v>
      </c>
      <c r="F649" s="19">
        <v>0</v>
      </c>
      <c r="G649" s="19">
        <v>0</v>
      </c>
      <c r="H649" s="19">
        <v>0</v>
      </c>
      <c r="I649" s="15">
        <v>3500</v>
      </c>
      <c r="J649" s="15">
        <v>0</v>
      </c>
      <c r="K649" s="15">
        <v>0</v>
      </c>
      <c r="L649" s="16">
        <v>0</v>
      </c>
      <c r="M649" s="15">
        <v>0</v>
      </c>
      <c r="N649" s="15" t="str">
        <v/>
      </c>
      <c r="O649" s="15" t="str">
        <v/>
      </c>
      <c r="P649" s="22">
        <v>0</v>
      </c>
      <c r="Q649">
        <v>0</v>
      </c>
    </row>
    <row r="650" spans="1:17">
      <c r="A650" s="19">
        <v>0</v>
      </c>
      <c r="B650" s="19">
        <v>0</v>
      </c>
      <c r="C650" s="19">
        <v>0</v>
      </c>
      <c r="D650" s="19">
        <v>0</v>
      </c>
      <c r="E650" s="19">
        <v>0</v>
      </c>
      <c r="F650" s="19">
        <v>0</v>
      </c>
      <c r="G650" s="19">
        <v>0</v>
      </c>
      <c r="H650" s="19">
        <v>0</v>
      </c>
      <c r="I650" s="15">
        <v>3500</v>
      </c>
      <c r="J650" s="15">
        <v>0</v>
      </c>
      <c r="K650" s="15">
        <v>0</v>
      </c>
      <c r="L650" s="16">
        <v>0</v>
      </c>
      <c r="M650" s="15">
        <v>0</v>
      </c>
      <c r="N650" s="15" t="str">
        <v/>
      </c>
      <c r="O650" s="15" t="str">
        <v/>
      </c>
      <c r="P650" s="22">
        <v>0</v>
      </c>
      <c r="Q650">
        <v>0</v>
      </c>
    </row>
    <row r="651" spans="1:17">
      <c r="A651" s="19">
        <v>0</v>
      </c>
      <c r="B651" s="19">
        <v>0</v>
      </c>
      <c r="C651" s="19">
        <v>0</v>
      </c>
      <c r="D651" s="19">
        <v>0</v>
      </c>
      <c r="E651" s="19">
        <v>0</v>
      </c>
      <c r="F651" s="19">
        <v>0</v>
      </c>
      <c r="G651" s="19">
        <v>0</v>
      </c>
      <c r="H651" s="19">
        <v>0</v>
      </c>
      <c r="I651" s="15">
        <v>3500</v>
      </c>
      <c r="J651" s="15">
        <v>0</v>
      </c>
      <c r="K651" s="15">
        <v>0</v>
      </c>
      <c r="L651" s="16">
        <v>0</v>
      </c>
      <c r="M651" s="15">
        <v>0</v>
      </c>
      <c r="N651" s="15" t="str">
        <v/>
      </c>
      <c r="O651" s="15" t="str">
        <v/>
      </c>
      <c r="P651" s="22">
        <v>0</v>
      </c>
      <c r="Q651">
        <v>0</v>
      </c>
    </row>
    <row r="652" spans="1:17">
      <c r="A652" s="19">
        <v>0</v>
      </c>
      <c r="B652" s="19">
        <v>0</v>
      </c>
      <c r="C652" s="19">
        <v>0</v>
      </c>
      <c r="D652" s="19">
        <v>0</v>
      </c>
      <c r="E652" s="19">
        <v>0</v>
      </c>
      <c r="F652" s="19">
        <v>0</v>
      </c>
      <c r="G652" s="19">
        <v>0</v>
      </c>
      <c r="H652" s="19">
        <v>0</v>
      </c>
      <c r="I652" s="15">
        <v>3500</v>
      </c>
      <c r="J652" s="15">
        <v>0</v>
      </c>
      <c r="K652" s="15">
        <v>0</v>
      </c>
      <c r="L652" s="16">
        <v>0</v>
      </c>
      <c r="M652" s="15">
        <v>0</v>
      </c>
      <c r="N652" s="15" t="str">
        <v/>
      </c>
      <c r="O652" s="15" t="str">
        <v/>
      </c>
      <c r="P652" s="22">
        <v>0</v>
      </c>
      <c r="Q652">
        <v>0</v>
      </c>
    </row>
    <row r="653" spans="1:17">
      <c r="A653" s="19">
        <v>0</v>
      </c>
      <c r="B653" s="19">
        <v>0</v>
      </c>
      <c r="C653" s="19">
        <v>0</v>
      </c>
      <c r="D653" s="19">
        <v>0</v>
      </c>
      <c r="E653" s="19">
        <v>0</v>
      </c>
      <c r="F653" s="19">
        <v>0</v>
      </c>
      <c r="G653" s="19">
        <v>0</v>
      </c>
      <c r="H653" s="19">
        <v>0</v>
      </c>
      <c r="I653" s="15">
        <v>3500</v>
      </c>
      <c r="J653" s="15">
        <v>0</v>
      </c>
      <c r="K653" s="15">
        <v>0</v>
      </c>
      <c r="L653" s="16">
        <v>0</v>
      </c>
      <c r="M653" s="15">
        <v>0</v>
      </c>
      <c r="N653" s="15" t="str">
        <v/>
      </c>
      <c r="O653" s="15" t="str">
        <v/>
      </c>
      <c r="P653" s="22">
        <v>0</v>
      </c>
      <c r="Q653">
        <v>0</v>
      </c>
    </row>
    <row r="654" spans="1:17">
      <c r="A654" s="19">
        <v>0</v>
      </c>
      <c r="B654" s="19">
        <v>0</v>
      </c>
      <c r="C654" s="19">
        <v>0</v>
      </c>
      <c r="D654" s="19">
        <v>0</v>
      </c>
      <c r="E654" s="19">
        <v>0</v>
      </c>
      <c r="F654" s="19">
        <v>0</v>
      </c>
      <c r="G654" s="19">
        <v>0</v>
      </c>
      <c r="H654" s="19">
        <v>0</v>
      </c>
      <c r="I654" s="15">
        <v>3500</v>
      </c>
      <c r="J654" s="15">
        <v>0</v>
      </c>
      <c r="K654" s="15">
        <v>0</v>
      </c>
      <c r="L654" s="16">
        <v>0</v>
      </c>
      <c r="M654" s="15">
        <v>0</v>
      </c>
      <c r="N654" s="15" t="str">
        <v/>
      </c>
      <c r="O654" s="15" t="str">
        <v/>
      </c>
      <c r="P654" s="22">
        <v>0</v>
      </c>
      <c r="Q654">
        <v>0</v>
      </c>
    </row>
    <row r="655" spans="1:17">
      <c r="A655" s="19">
        <v>0</v>
      </c>
      <c r="B655" s="19">
        <v>0</v>
      </c>
      <c r="C655" s="19">
        <v>0</v>
      </c>
      <c r="D655" s="19">
        <v>0</v>
      </c>
      <c r="E655" s="19">
        <v>0</v>
      </c>
      <c r="F655" s="19">
        <v>0</v>
      </c>
      <c r="G655" s="19">
        <v>0</v>
      </c>
      <c r="H655" s="19">
        <v>0</v>
      </c>
      <c r="I655" s="15">
        <v>3500</v>
      </c>
      <c r="J655" s="15">
        <v>0</v>
      </c>
      <c r="K655" s="15">
        <v>0</v>
      </c>
      <c r="L655" s="16">
        <v>0</v>
      </c>
      <c r="M655" s="15">
        <v>0</v>
      </c>
      <c r="N655" s="15" t="str">
        <v/>
      </c>
      <c r="O655" s="15" t="str">
        <v/>
      </c>
      <c r="P655" s="22">
        <v>0</v>
      </c>
      <c r="Q655">
        <v>0</v>
      </c>
    </row>
    <row r="656" spans="1:17">
      <c r="A656" s="19">
        <v>0</v>
      </c>
      <c r="B656" s="19">
        <v>0</v>
      </c>
      <c r="C656" s="19">
        <v>0</v>
      </c>
      <c r="D656" s="19">
        <v>0</v>
      </c>
      <c r="E656" s="19">
        <v>0</v>
      </c>
      <c r="F656" s="19">
        <v>0</v>
      </c>
      <c r="G656" s="19">
        <v>0</v>
      </c>
      <c r="H656" s="19">
        <v>0</v>
      </c>
      <c r="I656" s="15">
        <v>3500</v>
      </c>
      <c r="J656" s="15">
        <v>0</v>
      </c>
      <c r="K656" s="15">
        <v>0</v>
      </c>
      <c r="L656" s="16">
        <v>0</v>
      </c>
      <c r="M656" s="15">
        <v>0</v>
      </c>
      <c r="N656" s="15" t="str">
        <v/>
      </c>
      <c r="O656" s="15" t="str">
        <v/>
      </c>
      <c r="P656" s="22">
        <v>0</v>
      </c>
      <c r="Q656">
        <v>0</v>
      </c>
    </row>
    <row r="657" spans="1:17">
      <c r="A657" s="19">
        <v>0</v>
      </c>
      <c r="B657" s="19">
        <v>0</v>
      </c>
      <c r="C657" s="19">
        <v>0</v>
      </c>
      <c r="D657" s="19">
        <v>0</v>
      </c>
      <c r="E657" s="19">
        <v>0</v>
      </c>
      <c r="F657" s="19">
        <v>0</v>
      </c>
      <c r="G657" s="19">
        <v>0</v>
      </c>
      <c r="H657" s="19">
        <v>0</v>
      </c>
      <c r="I657" s="15">
        <v>3500</v>
      </c>
      <c r="J657" s="15">
        <v>0</v>
      </c>
      <c r="K657" s="15">
        <v>0</v>
      </c>
      <c r="L657" s="16">
        <v>0</v>
      </c>
      <c r="M657" s="15">
        <v>0</v>
      </c>
      <c r="N657" s="15" t="str">
        <v/>
      </c>
      <c r="O657" s="15" t="str">
        <v/>
      </c>
      <c r="P657" s="22">
        <v>0</v>
      </c>
      <c r="Q657">
        <v>0</v>
      </c>
    </row>
    <row r="658" spans="1:17">
      <c r="A658" s="19">
        <v>0</v>
      </c>
      <c r="B658" s="19">
        <v>0</v>
      </c>
      <c r="C658" s="19">
        <v>0</v>
      </c>
      <c r="D658" s="19">
        <v>0</v>
      </c>
      <c r="E658" s="19">
        <v>0</v>
      </c>
      <c r="F658" s="19">
        <v>0</v>
      </c>
      <c r="G658" s="19">
        <v>0</v>
      </c>
      <c r="H658" s="19">
        <v>0</v>
      </c>
      <c r="I658" s="15">
        <v>3500</v>
      </c>
      <c r="J658" s="15">
        <v>0</v>
      </c>
      <c r="K658" s="15">
        <v>0</v>
      </c>
      <c r="L658" s="16">
        <v>0</v>
      </c>
      <c r="M658" s="15">
        <v>0</v>
      </c>
      <c r="N658" s="15" t="str">
        <v/>
      </c>
      <c r="O658" s="15" t="str">
        <v/>
      </c>
      <c r="P658" s="22">
        <v>0</v>
      </c>
      <c r="Q658">
        <v>0</v>
      </c>
    </row>
    <row r="659" spans="1:17">
      <c r="A659" s="19">
        <v>0</v>
      </c>
      <c r="B659" s="19">
        <v>0</v>
      </c>
      <c r="C659" s="19">
        <v>0</v>
      </c>
      <c r="D659" s="19">
        <v>0</v>
      </c>
      <c r="E659" s="19">
        <v>0</v>
      </c>
      <c r="F659" s="19">
        <v>0</v>
      </c>
      <c r="G659" s="19">
        <v>0</v>
      </c>
      <c r="H659" s="19">
        <v>0</v>
      </c>
      <c r="I659" s="15">
        <v>3500</v>
      </c>
      <c r="J659" s="15">
        <v>0</v>
      </c>
      <c r="K659" s="15">
        <v>0</v>
      </c>
      <c r="L659" s="16">
        <v>0</v>
      </c>
      <c r="M659" s="15">
        <v>0</v>
      </c>
      <c r="N659" s="15" t="str">
        <v/>
      </c>
      <c r="O659" s="15" t="str">
        <v/>
      </c>
      <c r="P659" s="22">
        <v>0</v>
      </c>
      <c r="Q659">
        <v>0</v>
      </c>
    </row>
    <row r="660" spans="1:17">
      <c r="A660" s="19">
        <v>0</v>
      </c>
      <c r="B660" s="19">
        <v>0</v>
      </c>
      <c r="C660" s="19">
        <v>0</v>
      </c>
      <c r="D660" s="19">
        <v>0</v>
      </c>
      <c r="E660" s="19">
        <v>0</v>
      </c>
      <c r="F660" s="19">
        <v>0</v>
      </c>
      <c r="G660" s="19">
        <v>0</v>
      </c>
      <c r="H660" s="19">
        <v>0</v>
      </c>
      <c r="I660" s="15">
        <v>3500</v>
      </c>
      <c r="J660" s="15">
        <v>0</v>
      </c>
      <c r="K660" s="15">
        <v>0</v>
      </c>
      <c r="L660" s="16">
        <v>0</v>
      </c>
      <c r="M660" s="15">
        <v>0</v>
      </c>
      <c r="N660" s="15" t="str">
        <v/>
      </c>
      <c r="O660" s="15" t="str">
        <v/>
      </c>
      <c r="P660" s="22">
        <v>0</v>
      </c>
      <c r="Q660">
        <v>0</v>
      </c>
    </row>
    <row r="661" spans="1:17">
      <c r="A661" s="19">
        <v>0</v>
      </c>
      <c r="B661" s="19">
        <v>0</v>
      </c>
      <c r="C661" s="19">
        <v>0</v>
      </c>
      <c r="D661" s="19">
        <v>0</v>
      </c>
      <c r="E661" s="19">
        <v>0</v>
      </c>
      <c r="F661" s="19">
        <v>0</v>
      </c>
      <c r="G661" s="19">
        <v>0</v>
      </c>
      <c r="H661" s="19">
        <v>0</v>
      </c>
      <c r="I661" s="15">
        <v>3500</v>
      </c>
      <c r="J661" s="15">
        <v>0</v>
      </c>
      <c r="K661" s="15">
        <v>0</v>
      </c>
      <c r="L661" s="16">
        <v>0</v>
      </c>
      <c r="M661" s="15">
        <v>0</v>
      </c>
      <c r="N661" s="15" t="str">
        <v/>
      </c>
      <c r="O661" s="15" t="str">
        <v/>
      </c>
      <c r="P661" s="22">
        <v>0</v>
      </c>
      <c r="Q661">
        <v>0</v>
      </c>
    </row>
    <row r="662" spans="1:17">
      <c r="A662" s="19">
        <v>0</v>
      </c>
      <c r="B662" s="19">
        <v>0</v>
      </c>
      <c r="C662" s="19">
        <v>0</v>
      </c>
      <c r="D662" s="19">
        <v>0</v>
      </c>
      <c r="E662" s="19">
        <v>0</v>
      </c>
      <c r="F662" s="19">
        <v>0</v>
      </c>
      <c r="G662" s="19">
        <v>0</v>
      </c>
      <c r="H662" s="19">
        <v>0</v>
      </c>
      <c r="I662" s="15">
        <v>3500</v>
      </c>
      <c r="J662" s="15">
        <v>0</v>
      </c>
      <c r="K662" s="15">
        <v>0</v>
      </c>
      <c r="L662" s="16">
        <v>0</v>
      </c>
      <c r="M662" s="15">
        <v>0</v>
      </c>
      <c r="N662" s="15" t="str">
        <v/>
      </c>
      <c r="O662" s="15" t="str">
        <v/>
      </c>
      <c r="P662" s="22">
        <v>0</v>
      </c>
      <c r="Q662">
        <v>0</v>
      </c>
    </row>
    <row r="663" spans="1:17">
      <c r="A663" s="19">
        <v>0</v>
      </c>
      <c r="B663" s="19">
        <v>0</v>
      </c>
      <c r="C663" s="19">
        <v>0</v>
      </c>
      <c r="D663" s="19">
        <v>0</v>
      </c>
      <c r="E663" s="19">
        <v>0</v>
      </c>
      <c r="F663" s="19">
        <v>0</v>
      </c>
      <c r="G663" s="19">
        <v>0</v>
      </c>
      <c r="H663" s="19">
        <v>0</v>
      </c>
      <c r="I663" s="15">
        <v>3500</v>
      </c>
      <c r="J663" s="15">
        <v>0</v>
      </c>
      <c r="K663" s="15">
        <v>0</v>
      </c>
      <c r="L663" s="16">
        <v>0</v>
      </c>
      <c r="M663" s="15">
        <v>0</v>
      </c>
      <c r="N663" s="15" t="str">
        <v/>
      </c>
      <c r="O663" s="15" t="str">
        <v/>
      </c>
      <c r="P663" s="22">
        <v>0</v>
      </c>
      <c r="Q663">
        <v>0</v>
      </c>
    </row>
    <row r="664" spans="1:17">
      <c r="A664" s="19">
        <v>0</v>
      </c>
      <c r="B664" s="19">
        <v>0</v>
      </c>
      <c r="C664" s="19">
        <v>0</v>
      </c>
      <c r="D664" s="19">
        <v>0</v>
      </c>
      <c r="E664" s="19">
        <v>0</v>
      </c>
      <c r="F664" s="19">
        <v>0</v>
      </c>
      <c r="G664" s="19">
        <v>0</v>
      </c>
      <c r="H664" s="19">
        <v>0</v>
      </c>
      <c r="I664" s="15">
        <v>3500</v>
      </c>
      <c r="J664" s="15">
        <v>0</v>
      </c>
      <c r="K664" s="15">
        <v>0</v>
      </c>
      <c r="L664" s="16">
        <v>0</v>
      </c>
      <c r="M664" s="15">
        <v>0</v>
      </c>
      <c r="N664" s="15" t="str">
        <v/>
      </c>
      <c r="O664" s="15" t="str">
        <v/>
      </c>
      <c r="P664" s="22">
        <v>0</v>
      </c>
      <c r="Q664">
        <v>0</v>
      </c>
    </row>
    <row r="665" spans="1:17">
      <c r="A665" s="19">
        <v>0</v>
      </c>
      <c r="B665" s="19">
        <v>0</v>
      </c>
      <c r="C665" s="19">
        <v>0</v>
      </c>
      <c r="D665" s="19">
        <v>0</v>
      </c>
      <c r="E665" s="19">
        <v>0</v>
      </c>
      <c r="F665" s="19">
        <v>0</v>
      </c>
      <c r="G665" s="19">
        <v>0</v>
      </c>
      <c r="H665" s="19">
        <v>0</v>
      </c>
      <c r="I665" s="15">
        <v>3500</v>
      </c>
      <c r="J665" s="15">
        <v>0</v>
      </c>
      <c r="K665" s="15">
        <v>0</v>
      </c>
      <c r="L665" s="16">
        <v>0</v>
      </c>
      <c r="M665" s="15">
        <v>0</v>
      </c>
      <c r="N665" s="15" t="str">
        <v/>
      </c>
      <c r="O665" s="15" t="str">
        <v/>
      </c>
      <c r="P665" s="22">
        <v>0</v>
      </c>
      <c r="Q665">
        <v>0</v>
      </c>
    </row>
    <row r="666" spans="1:17">
      <c r="A666" s="19">
        <v>0</v>
      </c>
      <c r="B666" s="19">
        <v>0</v>
      </c>
      <c r="C666" s="19">
        <v>0</v>
      </c>
      <c r="D666" s="19">
        <v>0</v>
      </c>
      <c r="E666" s="19">
        <v>0</v>
      </c>
      <c r="F666" s="19">
        <v>0</v>
      </c>
      <c r="G666" s="19">
        <v>0</v>
      </c>
      <c r="H666" s="19">
        <v>0</v>
      </c>
      <c r="I666" s="15">
        <v>3500</v>
      </c>
      <c r="J666" s="15">
        <v>0</v>
      </c>
      <c r="K666" s="15">
        <v>0</v>
      </c>
      <c r="L666" s="16">
        <v>0</v>
      </c>
      <c r="M666" s="15">
        <v>0</v>
      </c>
      <c r="N666" s="15" t="str">
        <v/>
      </c>
      <c r="O666" s="15" t="str">
        <v/>
      </c>
      <c r="P666" s="22">
        <v>0</v>
      </c>
      <c r="Q666">
        <v>0</v>
      </c>
    </row>
    <row r="667" spans="1:17">
      <c r="A667" s="19">
        <v>0</v>
      </c>
      <c r="B667" s="19">
        <v>0</v>
      </c>
      <c r="C667" s="19">
        <v>0</v>
      </c>
      <c r="D667" s="19">
        <v>0</v>
      </c>
      <c r="E667" s="19">
        <v>0</v>
      </c>
      <c r="F667" s="19">
        <v>0</v>
      </c>
      <c r="G667" s="19">
        <v>0</v>
      </c>
      <c r="H667" s="19">
        <v>0</v>
      </c>
      <c r="I667" s="15">
        <v>3500</v>
      </c>
      <c r="J667" s="15">
        <v>0</v>
      </c>
      <c r="K667" s="15">
        <v>0</v>
      </c>
      <c r="L667" s="16">
        <v>0</v>
      </c>
      <c r="M667" s="15">
        <v>0</v>
      </c>
      <c r="N667" s="15" t="str">
        <v/>
      </c>
      <c r="O667" s="15" t="str">
        <v/>
      </c>
      <c r="P667" s="22">
        <v>0</v>
      </c>
      <c r="Q667">
        <v>0</v>
      </c>
    </row>
    <row r="668" spans="1:17">
      <c r="A668" s="19">
        <v>0</v>
      </c>
      <c r="B668" s="19">
        <v>0</v>
      </c>
      <c r="C668" s="19">
        <v>0</v>
      </c>
      <c r="D668" s="19">
        <v>0</v>
      </c>
      <c r="E668" s="19">
        <v>0</v>
      </c>
      <c r="F668" s="19">
        <v>0</v>
      </c>
      <c r="G668" s="19">
        <v>0</v>
      </c>
      <c r="H668" s="19">
        <v>0</v>
      </c>
      <c r="I668" s="15">
        <v>3500</v>
      </c>
      <c r="J668" s="15">
        <v>0</v>
      </c>
      <c r="K668" s="15">
        <v>0</v>
      </c>
      <c r="L668" s="16">
        <v>0</v>
      </c>
      <c r="M668" s="15">
        <v>0</v>
      </c>
      <c r="N668" s="15" t="str">
        <v/>
      </c>
      <c r="O668" s="15" t="str">
        <v/>
      </c>
      <c r="P668" s="22">
        <v>0</v>
      </c>
      <c r="Q668">
        <v>0</v>
      </c>
    </row>
    <row r="669" spans="1:17">
      <c r="A669" s="19">
        <v>0</v>
      </c>
      <c r="B669" s="19">
        <v>0</v>
      </c>
      <c r="C669" s="19">
        <v>0</v>
      </c>
      <c r="D669" s="19">
        <v>0</v>
      </c>
      <c r="E669" s="19">
        <v>0</v>
      </c>
      <c r="F669" s="19">
        <v>0</v>
      </c>
      <c r="G669" s="19">
        <v>0</v>
      </c>
      <c r="H669" s="19">
        <v>0</v>
      </c>
      <c r="I669" s="15">
        <v>3500</v>
      </c>
      <c r="J669" s="15">
        <v>0</v>
      </c>
      <c r="K669" s="15">
        <v>0</v>
      </c>
      <c r="L669" s="16">
        <v>0</v>
      </c>
      <c r="M669" s="15">
        <v>0</v>
      </c>
      <c r="N669" s="15" t="str">
        <v/>
      </c>
      <c r="O669" s="15" t="str">
        <v/>
      </c>
      <c r="P669" s="22">
        <v>0</v>
      </c>
      <c r="Q669">
        <v>0</v>
      </c>
    </row>
    <row r="670" spans="1:17">
      <c r="A670" s="19">
        <v>0</v>
      </c>
      <c r="B670" s="19">
        <v>0</v>
      </c>
      <c r="C670" s="19">
        <v>0</v>
      </c>
      <c r="D670" s="19">
        <v>0</v>
      </c>
      <c r="E670" s="19">
        <v>0</v>
      </c>
      <c r="F670" s="19">
        <v>0</v>
      </c>
      <c r="G670" s="19">
        <v>0</v>
      </c>
      <c r="H670" s="19">
        <v>0</v>
      </c>
      <c r="I670" s="15">
        <v>3500</v>
      </c>
      <c r="J670" s="15">
        <v>0</v>
      </c>
      <c r="K670" s="15">
        <v>0</v>
      </c>
      <c r="L670" s="16">
        <v>0</v>
      </c>
      <c r="M670" s="15">
        <v>0</v>
      </c>
      <c r="N670" s="15" t="str">
        <v/>
      </c>
      <c r="O670" s="15" t="str">
        <v/>
      </c>
      <c r="P670" s="22">
        <v>0</v>
      </c>
      <c r="Q670">
        <v>0</v>
      </c>
    </row>
    <row r="671" spans="1:17">
      <c r="A671" s="19">
        <v>0</v>
      </c>
      <c r="B671" s="19">
        <v>0</v>
      </c>
      <c r="C671" s="19">
        <v>0</v>
      </c>
      <c r="D671" s="19">
        <v>0</v>
      </c>
      <c r="E671" s="19">
        <v>0</v>
      </c>
      <c r="F671" s="19">
        <v>0</v>
      </c>
      <c r="G671" s="19">
        <v>0</v>
      </c>
      <c r="H671" s="19">
        <v>0</v>
      </c>
      <c r="I671" s="15">
        <v>3500</v>
      </c>
      <c r="J671" s="15">
        <v>0</v>
      </c>
      <c r="K671" s="15">
        <v>0</v>
      </c>
      <c r="L671" s="16">
        <v>0</v>
      </c>
      <c r="M671" s="15">
        <v>0</v>
      </c>
      <c r="N671" s="15" t="str">
        <v/>
      </c>
      <c r="O671" s="15" t="str">
        <v/>
      </c>
      <c r="P671" s="22">
        <v>0</v>
      </c>
      <c r="Q671">
        <v>0</v>
      </c>
    </row>
    <row r="672" spans="1:17">
      <c r="A672" s="19">
        <v>0</v>
      </c>
      <c r="B672" s="19">
        <v>0</v>
      </c>
      <c r="C672" s="19">
        <v>0</v>
      </c>
      <c r="D672" s="19">
        <v>0</v>
      </c>
      <c r="E672" s="19">
        <v>0</v>
      </c>
      <c r="F672" s="19">
        <v>0</v>
      </c>
      <c r="G672" s="19">
        <v>0</v>
      </c>
      <c r="H672" s="19">
        <v>0</v>
      </c>
      <c r="I672" s="15">
        <v>3500</v>
      </c>
      <c r="J672" s="15">
        <v>0</v>
      </c>
      <c r="K672" s="15">
        <v>0</v>
      </c>
      <c r="L672" s="16">
        <v>0</v>
      </c>
      <c r="M672" s="15">
        <v>0</v>
      </c>
      <c r="N672" s="15" t="str">
        <v/>
      </c>
      <c r="O672" s="15" t="str">
        <v/>
      </c>
      <c r="P672" s="22">
        <v>0</v>
      </c>
      <c r="Q672">
        <v>0</v>
      </c>
    </row>
    <row r="673" spans="1:17">
      <c r="A673" s="19">
        <v>0</v>
      </c>
      <c r="B673" s="19">
        <v>0</v>
      </c>
      <c r="C673" s="19">
        <v>0</v>
      </c>
      <c r="D673" s="19">
        <v>0</v>
      </c>
      <c r="E673" s="19">
        <v>0</v>
      </c>
      <c r="F673" s="19">
        <v>0</v>
      </c>
      <c r="G673" s="19">
        <v>0</v>
      </c>
      <c r="H673" s="19">
        <v>0</v>
      </c>
      <c r="I673" s="15">
        <v>3500</v>
      </c>
      <c r="J673" s="15">
        <v>0</v>
      </c>
      <c r="K673" s="15">
        <v>0</v>
      </c>
      <c r="L673" s="16">
        <v>0</v>
      </c>
      <c r="M673" s="15">
        <v>0</v>
      </c>
      <c r="N673" s="15" t="str">
        <v/>
      </c>
      <c r="O673" s="15" t="str">
        <v/>
      </c>
      <c r="P673" s="22">
        <v>0</v>
      </c>
      <c r="Q673">
        <v>0</v>
      </c>
    </row>
    <row r="674" spans="1:17">
      <c r="A674" s="19">
        <v>0</v>
      </c>
      <c r="B674" s="19">
        <v>0</v>
      </c>
      <c r="C674" s="19">
        <v>0</v>
      </c>
      <c r="D674" s="19">
        <v>0</v>
      </c>
      <c r="E674" s="19">
        <v>0</v>
      </c>
      <c r="F674" s="19">
        <v>0</v>
      </c>
      <c r="G674" s="19">
        <v>0</v>
      </c>
      <c r="H674" s="19">
        <v>0</v>
      </c>
      <c r="I674" s="15">
        <v>3500</v>
      </c>
      <c r="J674" s="15">
        <v>0</v>
      </c>
      <c r="K674" s="15">
        <v>0</v>
      </c>
      <c r="L674" s="16">
        <v>0</v>
      </c>
      <c r="M674" s="15">
        <v>0</v>
      </c>
      <c r="N674" s="15" t="str">
        <v/>
      </c>
      <c r="O674" s="15" t="str">
        <v/>
      </c>
      <c r="P674" s="22">
        <v>0</v>
      </c>
      <c r="Q674">
        <v>0</v>
      </c>
    </row>
    <row r="675" spans="1:17">
      <c r="A675" s="19">
        <v>0</v>
      </c>
      <c r="B675" s="19">
        <v>0</v>
      </c>
      <c r="C675" s="19">
        <v>0</v>
      </c>
      <c r="D675" s="19">
        <v>0</v>
      </c>
      <c r="E675" s="19">
        <v>0</v>
      </c>
      <c r="F675" s="19">
        <v>0</v>
      </c>
      <c r="G675" s="19">
        <v>0</v>
      </c>
      <c r="H675" s="19">
        <v>0</v>
      </c>
      <c r="I675" s="15">
        <v>3500</v>
      </c>
      <c r="J675" s="15">
        <v>0</v>
      </c>
      <c r="K675" s="15">
        <v>0</v>
      </c>
      <c r="L675" s="16">
        <v>0</v>
      </c>
      <c r="M675" s="15">
        <v>0</v>
      </c>
      <c r="N675" s="15" t="str">
        <v/>
      </c>
      <c r="O675" s="15" t="str">
        <v/>
      </c>
      <c r="P675" s="22">
        <v>0</v>
      </c>
      <c r="Q675">
        <v>0</v>
      </c>
    </row>
    <row r="676" spans="1:17">
      <c r="A676" s="19">
        <v>0</v>
      </c>
      <c r="B676" s="19">
        <v>0</v>
      </c>
      <c r="C676" s="19">
        <v>0</v>
      </c>
      <c r="D676" s="19">
        <v>0</v>
      </c>
      <c r="E676" s="19">
        <v>0</v>
      </c>
      <c r="F676" s="19">
        <v>0</v>
      </c>
      <c r="G676" s="19">
        <v>0</v>
      </c>
      <c r="H676" s="19">
        <v>0</v>
      </c>
      <c r="I676" s="15">
        <v>3500</v>
      </c>
      <c r="J676" s="15">
        <v>0</v>
      </c>
      <c r="K676" s="15">
        <v>0</v>
      </c>
      <c r="L676" s="16">
        <v>0</v>
      </c>
      <c r="M676" s="15">
        <v>0</v>
      </c>
      <c r="N676" s="15" t="str">
        <v/>
      </c>
      <c r="O676" s="15" t="str">
        <v/>
      </c>
      <c r="P676" s="22">
        <v>0</v>
      </c>
      <c r="Q676">
        <v>0</v>
      </c>
    </row>
    <row r="677" spans="1:17">
      <c r="A677" s="19">
        <v>0</v>
      </c>
      <c r="B677" s="19">
        <v>0</v>
      </c>
      <c r="C677" s="19">
        <v>0</v>
      </c>
      <c r="D677" s="19">
        <v>0</v>
      </c>
      <c r="E677" s="19">
        <v>0</v>
      </c>
      <c r="F677" s="19">
        <v>0</v>
      </c>
      <c r="G677" s="19">
        <v>0</v>
      </c>
      <c r="H677" s="19">
        <v>0</v>
      </c>
      <c r="I677" s="15">
        <v>3500</v>
      </c>
      <c r="J677" s="15">
        <v>0</v>
      </c>
      <c r="K677" s="15">
        <v>0</v>
      </c>
      <c r="L677" s="16">
        <v>0</v>
      </c>
      <c r="M677" s="15">
        <v>0</v>
      </c>
      <c r="N677" s="15" t="str">
        <v/>
      </c>
      <c r="O677" s="15" t="str">
        <v/>
      </c>
      <c r="P677" s="22">
        <v>0</v>
      </c>
      <c r="Q677">
        <v>0</v>
      </c>
    </row>
    <row r="678" spans="1:17">
      <c r="A678" s="19">
        <v>0</v>
      </c>
      <c r="B678" s="19">
        <v>0</v>
      </c>
      <c r="C678" s="19">
        <v>0</v>
      </c>
      <c r="D678" s="19">
        <v>0</v>
      </c>
      <c r="E678" s="19">
        <v>0</v>
      </c>
      <c r="F678" s="19">
        <v>0</v>
      </c>
      <c r="G678" s="19">
        <v>0</v>
      </c>
      <c r="H678" s="19">
        <v>0</v>
      </c>
      <c r="I678" s="15">
        <v>3500</v>
      </c>
      <c r="J678" s="15">
        <v>0</v>
      </c>
      <c r="K678" s="15">
        <v>0</v>
      </c>
      <c r="L678" s="16">
        <v>0</v>
      </c>
      <c r="M678" s="15">
        <v>0</v>
      </c>
      <c r="N678" s="15" t="str">
        <v/>
      </c>
      <c r="O678" s="15" t="str">
        <v/>
      </c>
      <c r="P678" s="22">
        <v>0</v>
      </c>
      <c r="Q678">
        <v>0</v>
      </c>
    </row>
    <row r="679" spans="1:17">
      <c r="A679" s="19">
        <v>0</v>
      </c>
      <c r="B679" s="19">
        <v>0</v>
      </c>
      <c r="C679" s="19">
        <v>0</v>
      </c>
      <c r="D679" s="19">
        <v>0</v>
      </c>
      <c r="E679" s="19">
        <v>0</v>
      </c>
      <c r="F679" s="19">
        <v>0</v>
      </c>
      <c r="G679" s="19">
        <v>0</v>
      </c>
      <c r="H679" s="19">
        <v>0</v>
      </c>
      <c r="I679" s="15">
        <v>3500</v>
      </c>
      <c r="J679" s="15">
        <v>0</v>
      </c>
      <c r="K679" s="15">
        <v>0</v>
      </c>
      <c r="L679" s="16">
        <v>0</v>
      </c>
      <c r="M679" s="15">
        <v>0</v>
      </c>
      <c r="N679" s="15" t="str">
        <v/>
      </c>
      <c r="O679" s="15" t="str">
        <v/>
      </c>
      <c r="P679" s="22">
        <v>0</v>
      </c>
      <c r="Q679">
        <v>0</v>
      </c>
    </row>
    <row r="680" spans="1:17">
      <c r="A680" s="19">
        <v>0</v>
      </c>
      <c r="B680" s="19">
        <v>0</v>
      </c>
      <c r="C680" s="19">
        <v>0</v>
      </c>
      <c r="D680" s="19">
        <v>0</v>
      </c>
      <c r="E680" s="19">
        <v>0</v>
      </c>
      <c r="F680" s="19">
        <v>0</v>
      </c>
      <c r="G680" s="19">
        <v>0</v>
      </c>
      <c r="H680" s="19">
        <v>0</v>
      </c>
      <c r="I680" s="15">
        <v>3500</v>
      </c>
      <c r="J680" s="15">
        <v>0</v>
      </c>
      <c r="K680" s="15">
        <v>0</v>
      </c>
      <c r="L680" s="16">
        <v>0</v>
      </c>
      <c r="M680" s="15">
        <v>0</v>
      </c>
      <c r="N680" s="15" t="str">
        <v/>
      </c>
      <c r="O680" s="15" t="str">
        <v/>
      </c>
      <c r="P680" s="22">
        <v>0</v>
      </c>
      <c r="Q680">
        <v>0</v>
      </c>
    </row>
    <row r="681" spans="1:17">
      <c r="A681" s="19">
        <v>0</v>
      </c>
      <c r="B681" s="19">
        <v>0</v>
      </c>
      <c r="C681" s="19">
        <v>0</v>
      </c>
      <c r="D681" s="19">
        <v>0</v>
      </c>
      <c r="E681" s="19">
        <v>0</v>
      </c>
      <c r="F681" s="19">
        <v>0</v>
      </c>
      <c r="G681" s="19">
        <v>0</v>
      </c>
      <c r="H681" s="19">
        <v>0</v>
      </c>
      <c r="I681" s="15">
        <v>3500</v>
      </c>
      <c r="J681" s="15">
        <v>0</v>
      </c>
      <c r="K681" s="15">
        <v>0</v>
      </c>
      <c r="L681" s="16">
        <v>0</v>
      </c>
      <c r="M681" s="15">
        <v>0</v>
      </c>
      <c r="N681" s="15" t="str">
        <v/>
      </c>
      <c r="O681" s="15" t="str">
        <v/>
      </c>
      <c r="P681" s="22">
        <v>0</v>
      </c>
      <c r="Q681">
        <v>0</v>
      </c>
    </row>
    <row r="682" spans="1:17">
      <c r="A682" s="19">
        <v>0</v>
      </c>
      <c r="B682" s="19">
        <v>0</v>
      </c>
      <c r="C682" s="19">
        <v>0</v>
      </c>
      <c r="D682" s="19">
        <v>0</v>
      </c>
      <c r="E682" s="19">
        <v>0</v>
      </c>
      <c r="F682" s="19">
        <v>0</v>
      </c>
      <c r="G682" s="19">
        <v>0</v>
      </c>
      <c r="H682" s="19">
        <v>0</v>
      </c>
      <c r="I682" s="15">
        <v>3500</v>
      </c>
      <c r="J682" s="15">
        <v>0</v>
      </c>
      <c r="K682" s="15">
        <v>0</v>
      </c>
      <c r="L682" s="16">
        <v>0</v>
      </c>
      <c r="M682" s="15">
        <v>0</v>
      </c>
      <c r="N682" s="15" t="str">
        <v/>
      </c>
      <c r="O682" s="15" t="str">
        <v/>
      </c>
      <c r="P682" s="22">
        <v>0</v>
      </c>
      <c r="Q682">
        <v>0</v>
      </c>
    </row>
    <row r="683" spans="1:17">
      <c r="A683" s="19">
        <v>0</v>
      </c>
      <c r="B683" s="19">
        <v>0</v>
      </c>
      <c r="C683" s="19">
        <v>0</v>
      </c>
      <c r="D683" s="19">
        <v>0</v>
      </c>
      <c r="E683" s="19">
        <v>0</v>
      </c>
      <c r="F683" s="19">
        <v>0</v>
      </c>
      <c r="G683" s="19">
        <v>0</v>
      </c>
      <c r="H683" s="19">
        <v>0</v>
      </c>
      <c r="I683" s="15">
        <v>3500</v>
      </c>
      <c r="J683" s="15">
        <v>0</v>
      </c>
      <c r="K683" s="15">
        <v>0</v>
      </c>
      <c r="L683" s="16">
        <v>0</v>
      </c>
      <c r="M683" s="15">
        <v>0</v>
      </c>
      <c r="N683" s="15" t="str">
        <v/>
      </c>
      <c r="O683" s="15" t="str">
        <v/>
      </c>
      <c r="P683" s="22">
        <v>0</v>
      </c>
      <c r="Q683">
        <v>0</v>
      </c>
    </row>
    <row r="684" spans="1:17">
      <c r="A684" s="19">
        <v>0</v>
      </c>
      <c r="B684" s="19">
        <v>0</v>
      </c>
      <c r="C684" s="19">
        <v>0</v>
      </c>
      <c r="D684" s="19">
        <v>0</v>
      </c>
      <c r="E684" s="19">
        <v>0</v>
      </c>
      <c r="F684" s="19">
        <v>0</v>
      </c>
      <c r="G684" s="19">
        <v>0</v>
      </c>
      <c r="H684" s="19">
        <v>0</v>
      </c>
      <c r="I684" s="15">
        <v>3500</v>
      </c>
      <c r="J684" s="15">
        <v>0</v>
      </c>
      <c r="K684" s="15">
        <v>0</v>
      </c>
      <c r="L684" s="16">
        <v>0</v>
      </c>
      <c r="M684" s="15">
        <v>0</v>
      </c>
      <c r="N684" s="15" t="str">
        <v/>
      </c>
      <c r="O684" s="15" t="str">
        <v/>
      </c>
      <c r="P684" s="22">
        <v>0</v>
      </c>
      <c r="Q684">
        <v>0</v>
      </c>
    </row>
    <row r="685" spans="1:17">
      <c r="A685" s="19">
        <v>0</v>
      </c>
      <c r="B685" s="19">
        <v>0</v>
      </c>
      <c r="C685" s="19">
        <v>0</v>
      </c>
      <c r="D685" s="19">
        <v>0</v>
      </c>
      <c r="E685" s="19">
        <v>0</v>
      </c>
      <c r="F685" s="19">
        <v>0</v>
      </c>
      <c r="G685" s="19">
        <v>0</v>
      </c>
      <c r="H685" s="19">
        <v>0</v>
      </c>
      <c r="I685" s="15">
        <v>3500</v>
      </c>
      <c r="J685" s="15">
        <v>0</v>
      </c>
      <c r="K685" s="15">
        <v>0</v>
      </c>
      <c r="L685" s="16">
        <v>0</v>
      </c>
      <c r="M685" s="15">
        <v>0</v>
      </c>
      <c r="N685" s="15" t="str">
        <v/>
      </c>
      <c r="O685" s="15" t="str">
        <v/>
      </c>
      <c r="P685" s="22">
        <v>0</v>
      </c>
      <c r="Q685">
        <v>0</v>
      </c>
    </row>
    <row r="686" spans="1:17">
      <c r="A686" s="19">
        <v>0</v>
      </c>
      <c r="B686" s="19">
        <v>0</v>
      </c>
      <c r="C686" s="19">
        <v>0</v>
      </c>
      <c r="D686" s="19">
        <v>0</v>
      </c>
      <c r="E686" s="19">
        <v>0</v>
      </c>
      <c r="F686" s="19">
        <v>0</v>
      </c>
      <c r="G686" s="19">
        <v>0</v>
      </c>
      <c r="H686" s="19">
        <v>0</v>
      </c>
      <c r="I686" s="15">
        <v>3500</v>
      </c>
      <c r="J686" s="15">
        <v>0</v>
      </c>
      <c r="K686" s="15">
        <v>0</v>
      </c>
      <c r="L686" s="16">
        <v>0</v>
      </c>
      <c r="M686" s="15">
        <v>0</v>
      </c>
      <c r="N686" s="15" t="str">
        <v/>
      </c>
      <c r="O686" s="15" t="str">
        <v/>
      </c>
      <c r="P686" s="22">
        <v>0</v>
      </c>
      <c r="Q686">
        <v>0</v>
      </c>
    </row>
    <row r="687" spans="1:17">
      <c r="A687" s="19">
        <v>0</v>
      </c>
      <c r="B687" s="19">
        <v>0</v>
      </c>
      <c r="C687" s="19">
        <v>0</v>
      </c>
      <c r="D687" s="19">
        <v>0</v>
      </c>
      <c r="E687" s="19">
        <v>0</v>
      </c>
      <c r="F687" s="19">
        <v>0</v>
      </c>
      <c r="G687" s="19">
        <v>0</v>
      </c>
      <c r="H687" s="19">
        <v>0</v>
      </c>
      <c r="I687" s="15">
        <v>3500</v>
      </c>
      <c r="J687" s="15">
        <v>0</v>
      </c>
      <c r="K687" s="15">
        <v>0</v>
      </c>
      <c r="L687" s="16">
        <v>0</v>
      </c>
      <c r="M687" s="15">
        <v>0</v>
      </c>
      <c r="N687" s="15" t="str">
        <v/>
      </c>
      <c r="O687" s="15" t="str">
        <v/>
      </c>
      <c r="P687" s="22">
        <v>0</v>
      </c>
      <c r="Q687">
        <v>0</v>
      </c>
    </row>
    <row r="688" spans="1:17">
      <c r="A688" s="19">
        <v>0</v>
      </c>
      <c r="B688" s="19">
        <v>0</v>
      </c>
      <c r="C688" s="19">
        <v>0</v>
      </c>
      <c r="D688" s="19">
        <v>0</v>
      </c>
      <c r="E688" s="19">
        <v>0</v>
      </c>
      <c r="F688" s="19">
        <v>0</v>
      </c>
      <c r="G688" s="19">
        <v>0</v>
      </c>
      <c r="H688" s="19">
        <v>0</v>
      </c>
      <c r="I688" s="15">
        <v>3500</v>
      </c>
      <c r="J688" s="15">
        <v>0</v>
      </c>
      <c r="K688" s="15">
        <v>0</v>
      </c>
      <c r="L688" s="16">
        <v>0</v>
      </c>
      <c r="M688" s="15">
        <v>0</v>
      </c>
      <c r="N688" s="15" t="str">
        <v/>
      </c>
      <c r="O688" s="15" t="str">
        <v/>
      </c>
      <c r="P688" s="22">
        <v>0</v>
      </c>
      <c r="Q688">
        <v>0</v>
      </c>
    </row>
    <row r="689" spans="1:17">
      <c r="A689" s="19">
        <v>0</v>
      </c>
      <c r="B689" s="19">
        <v>0</v>
      </c>
      <c r="C689" s="19">
        <v>0</v>
      </c>
      <c r="D689" s="19">
        <v>0</v>
      </c>
      <c r="E689" s="19">
        <v>0</v>
      </c>
      <c r="F689" s="19">
        <v>0</v>
      </c>
      <c r="G689" s="19">
        <v>0</v>
      </c>
      <c r="H689" s="19">
        <v>0</v>
      </c>
      <c r="I689" s="15">
        <v>3500</v>
      </c>
      <c r="J689" s="15">
        <v>0</v>
      </c>
      <c r="K689" s="15">
        <v>0</v>
      </c>
      <c r="L689" s="16">
        <v>0</v>
      </c>
      <c r="M689" s="15">
        <v>0</v>
      </c>
      <c r="N689" s="15" t="str">
        <v/>
      </c>
      <c r="O689" s="15" t="str">
        <v/>
      </c>
      <c r="P689" s="22">
        <v>0</v>
      </c>
      <c r="Q689">
        <v>0</v>
      </c>
    </row>
    <row r="690" spans="1:17">
      <c r="A690" s="19">
        <v>0</v>
      </c>
      <c r="B690" s="19">
        <v>0</v>
      </c>
      <c r="C690" s="19">
        <v>0</v>
      </c>
      <c r="D690" s="19">
        <v>0</v>
      </c>
      <c r="E690" s="19">
        <v>0</v>
      </c>
      <c r="F690" s="19">
        <v>0</v>
      </c>
      <c r="G690" s="19">
        <v>0</v>
      </c>
      <c r="H690" s="19">
        <v>0</v>
      </c>
      <c r="I690" s="15">
        <v>3500</v>
      </c>
      <c r="J690" s="15">
        <v>0</v>
      </c>
      <c r="K690" s="15">
        <v>0</v>
      </c>
      <c r="L690" s="16">
        <v>0</v>
      </c>
      <c r="M690" s="15">
        <v>0</v>
      </c>
      <c r="N690" s="15" t="str">
        <v/>
      </c>
      <c r="O690" s="15" t="str">
        <v/>
      </c>
      <c r="P690" s="22">
        <v>0</v>
      </c>
      <c r="Q690">
        <v>0</v>
      </c>
    </row>
    <row r="691" spans="1:17">
      <c r="A691" s="19">
        <v>0</v>
      </c>
      <c r="B691" s="19">
        <v>0</v>
      </c>
      <c r="C691" s="19">
        <v>0</v>
      </c>
      <c r="D691" s="19">
        <v>0</v>
      </c>
      <c r="E691" s="19">
        <v>0</v>
      </c>
      <c r="F691" s="19">
        <v>0</v>
      </c>
      <c r="G691" s="19">
        <v>0</v>
      </c>
      <c r="H691" s="19">
        <v>0</v>
      </c>
      <c r="I691" s="15">
        <v>3500</v>
      </c>
      <c r="J691" s="15">
        <v>0</v>
      </c>
      <c r="K691" s="15">
        <v>0</v>
      </c>
      <c r="L691" s="16">
        <v>0</v>
      </c>
      <c r="M691" s="15">
        <v>0</v>
      </c>
      <c r="N691" s="15" t="str">
        <v/>
      </c>
      <c r="O691" s="15" t="str">
        <v/>
      </c>
      <c r="P691" s="22">
        <v>0</v>
      </c>
      <c r="Q691">
        <v>0</v>
      </c>
    </row>
    <row r="692" spans="1:17">
      <c r="A692" s="19">
        <v>0</v>
      </c>
      <c r="B692" s="19">
        <v>0</v>
      </c>
      <c r="C692" s="19">
        <v>0</v>
      </c>
      <c r="D692" s="19">
        <v>0</v>
      </c>
      <c r="E692" s="19">
        <v>0</v>
      </c>
      <c r="F692" s="19">
        <v>0</v>
      </c>
      <c r="G692" s="19">
        <v>0</v>
      </c>
      <c r="H692" s="19">
        <v>0</v>
      </c>
      <c r="I692" s="15">
        <v>3500</v>
      </c>
      <c r="J692" s="15">
        <v>0</v>
      </c>
      <c r="K692" s="15">
        <v>0</v>
      </c>
      <c r="L692" s="16">
        <v>0</v>
      </c>
      <c r="M692" s="15">
        <v>0</v>
      </c>
      <c r="N692" s="15" t="str">
        <v/>
      </c>
      <c r="O692" s="15" t="str">
        <v/>
      </c>
      <c r="P692" s="22">
        <v>0</v>
      </c>
      <c r="Q692">
        <v>0</v>
      </c>
    </row>
    <row r="693" spans="1:17">
      <c r="A693" s="19">
        <v>0</v>
      </c>
      <c r="B693" s="19">
        <v>0</v>
      </c>
      <c r="C693" s="19">
        <v>0</v>
      </c>
      <c r="D693" s="19">
        <v>0</v>
      </c>
      <c r="E693" s="19">
        <v>0</v>
      </c>
      <c r="F693" s="19">
        <v>0</v>
      </c>
      <c r="G693" s="19">
        <v>0</v>
      </c>
      <c r="H693" s="19">
        <v>0</v>
      </c>
      <c r="I693" s="15">
        <v>3500</v>
      </c>
      <c r="J693" s="15">
        <v>0</v>
      </c>
      <c r="K693" s="15">
        <v>0</v>
      </c>
      <c r="L693" s="16">
        <v>0</v>
      </c>
      <c r="M693" s="15">
        <v>0</v>
      </c>
      <c r="N693" s="15" t="str">
        <v/>
      </c>
      <c r="O693" s="15" t="str">
        <v/>
      </c>
      <c r="P693" s="22">
        <v>0</v>
      </c>
      <c r="Q693">
        <v>0</v>
      </c>
    </row>
    <row r="694" spans="1:17">
      <c r="A694" s="19">
        <v>0</v>
      </c>
      <c r="B694" s="19">
        <v>0</v>
      </c>
      <c r="C694" s="19">
        <v>0</v>
      </c>
      <c r="D694" s="19">
        <v>0</v>
      </c>
      <c r="E694" s="19">
        <v>0</v>
      </c>
      <c r="F694" s="19">
        <v>0</v>
      </c>
      <c r="G694" s="19">
        <v>0</v>
      </c>
      <c r="H694" s="19">
        <v>0</v>
      </c>
      <c r="I694" s="15">
        <v>3500</v>
      </c>
      <c r="J694" s="15">
        <v>0</v>
      </c>
      <c r="K694" s="15">
        <v>0</v>
      </c>
      <c r="L694" s="16">
        <v>0</v>
      </c>
      <c r="M694" s="15">
        <v>0</v>
      </c>
      <c r="N694" s="15" t="str">
        <v/>
      </c>
      <c r="O694" s="15" t="str">
        <v/>
      </c>
      <c r="P694" s="22">
        <v>0</v>
      </c>
      <c r="Q694">
        <v>0</v>
      </c>
    </row>
    <row r="695" spans="1:17">
      <c r="A695" s="19">
        <v>0</v>
      </c>
      <c r="B695" s="19">
        <v>0</v>
      </c>
      <c r="C695" s="19">
        <v>0</v>
      </c>
      <c r="D695" s="19">
        <v>0</v>
      </c>
      <c r="E695" s="19">
        <v>0</v>
      </c>
      <c r="F695" s="19">
        <v>0</v>
      </c>
      <c r="G695" s="19">
        <v>0</v>
      </c>
      <c r="H695" s="19">
        <v>0</v>
      </c>
      <c r="I695" s="15">
        <v>3500</v>
      </c>
      <c r="J695" s="15">
        <v>0</v>
      </c>
      <c r="K695" s="15">
        <v>0</v>
      </c>
      <c r="L695" s="16">
        <v>0</v>
      </c>
      <c r="M695" s="15">
        <v>0</v>
      </c>
      <c r="N695" s="15" t="str">
        <v/>
      </c>
      <c r="O695" s="15" t="str">
        <v/>
      </c>
      <c r="P695" s="22">
        <v>0</v>
      </c>
      <c r="Q695">
        <v>0</v>
      </c>
    </row>
    <row r="696" spans="1:17">
      <c r="A696" s="19">
        <v>0</v>
      </c>
      <c r="B696" s="19">
        <v>0</v>
      </c>
      <c r="C696" s="19">
        <v>0</v>
      </c>
      <c r="D696" s="19">
        <v>0</v>
      </c>
      <c r="E696" s="19">
        <v>0</v>
      </c>
      <c r="F696" s="19">
        <v>0</v>
      </c>
      <c r="G696" s="19">
        <v>0</v>
      </c>
      <c r="H696" s="19">
        <v>0</v>
      </c>
      <c r="I696" s="15">
        <v>3500</v>
      </c>
      <c r="J696" s="15">
        <v>0</v>
      </c>
      <c r="K696" s="15">
        <v>0</v>
      </c>
      <c r="L696" s="16">
        <v>0</v>
      </c>
      <c r="M696" s="15">
        <v>0</v>
      </c>
      <c r="N696" s="15" t="str">
        <v/>
      </c>
      <c r="O696" s="15" t="str">
        <v/>
      </c>
      <c r="P696" s="22">
        <v>0</v>
      </c>
      <c r="Q696">
        <v>0</v>
      </c>
    </row>
    <row r="697" spans="1:17">
      <c r="A697" s="19">
        <v>0</v>
      </c>
      <c r="B697" s="19">
        <v>0</v>
      </c>
      <c r="C697" s="19">
        <v>0</v>
      </c>
      <c r="D697" s="19">
        <v>0</v>
      </c>
      <c r="E697" s="19">
        <v>0</v>
      </c>
      <c r="F697" s="19">
        <v>0</v>
      </c>
      <c r="G697" s="19">
        <v>0</v>
      </c>
      <c r="H697" s="19">
        <v>0</v>
      </c>
      <c r="I697" s="15">
        <v>3500</v>
      </c>
      <c r="J697" s="15">
        <v>0</v>
      </c>
      <c r="K697" s="15">
        <v>0</v>
      </c>
      <c r="L697" s="16">
        <v>0</v>
      </c>
      <c r="M697" s="15">
        <v>0</v>
      </c>
      <c r="N697" s="15" t="str">
        <v/>
      </c>
      <c r="O697" s="15" t="str">
        <v/>
      </c>
      <c r="P697" s="22">
        <v>0</v>
      </c>
      <c r="Q697">
        <v>0</v>
      </c>
    </row>
    <row r="698" spans="1:17">
      <c r="A698" s="19">
        <v>0</v>
      </c>
      <c r="B698" s="19">
        <v>0</v>
      </c>
      <c r="C698" s="19">
        <v>0</v>
      </c>
      <c r="D698" s="19">
        <v>0</v>
      </c>
      <c r="E698" s="19">
        <v>0</v>
      </c>
      <c r="F698" s="19">
        <v>0</v>
      </c>
      <c r="G698" s="19">
        <v>0</v>
      </c>
      <c r="H698" s="19">
        <v>0</v>
      </c>
      <c r="I698" s="15">
        <v>3500</v>
      </c>
      <c r="J698" s="15">
        <v>0</v>
      </c>
      <c r="K698" s="15">
        <v>0</v>
      </c>
      <c r="L698" s="16">
        <v>0</v>
      </c>
      <c r="M698" s="15">
        <v>0</v>
      </c>
      <c r="N698" s="15" t="str">
        <v/>
      </c>
      <c r="O698" s="15" t="str">
        <v/>
      </c>
      <c r="P698" s="22">
        <v>0</v>
      </c>
      <c r="Q698">
        <v>0</v>
      </c>
    </row>
    <row r="699" spans="1:17">
      <c r="A699" s="19">
        <v>0</v>
      </c>
      <c r="B699" s="19">
        <v>0</v>
      </c>
      <c r="C699" s="19">
        <v>0</v>
      </c>
      <c r="D699" s="19">
        <v>0</v>
      </c>
      <c r="E699" s="19">
        <v>0</v>
      </c>
      <c r="F699" s="19">
        <v>0</v>
      </c>
      <c r="G699" s="19">
        <v>0</v>
      </c>
      <c r="H699" s="19">
        <v>0</v>
      </c>
      <c r="I699" s="15">
        <v>3500</v>
      </c>
      <c r="J699" s="15">
        <v>0</v>
      </c>
      <c r="K699" s="15">
        <v>0</v>
      </c>
      <c r="L699" s="16">
        <v>0</v>
      </c>
      <c r="M699" s="15">
        <v>0</v>
      </c>
      <c r="N699" s="15" t="str">
        <v/>
      </c>
      <c r="O699" s="15" t="str">
        <v/>
      </c>
      <c r="P699" s="22">
        <v>0</v>
      </c>
      <c r="Q699">
        <v>0</v>
      </c>
    </row>
    <row r="700" spans="1:17">
      <c r="A700" s="19">
        <v>0</v>
      </c>
      <c r="B700" s="19">
        <v>0</v>
      </c>
      <c r="C700" s="19">
        <v>0</v>
      </c>
      <c r="D700" s="19">
        <v>0</v>
      </c>
      <c r="E700" s="19">
        <v>0</v>
      </c>
      <c r="F700" s="19">
        <v>0</v>
      </c>
      <c r="G700" s="19">
        <v>0</v>
      </c>
      <c r="H700" s="19">
        <v>0</v>
      </c>
      <c r="I700" s="15">
        <v>3500</v>
      </c>
      <c r="J700" s="15">
        <v>0</v>
      </c>
      <c r="K700" s="15">
        <v>0</v>
      </c>
      <c r="L700" s="16">
        <v>0</v>
      </c>
      <c r="M700" s="15">
        <v>0</v>
      </c>
      <c r="N700" s="15" t="str">
        <v/>
      </c>
      <c r="O700" s="15" t="str">
        <v/>
      </c>
      <c r="P700" s="22">
        <v>0</v>
      </c>
      <c r="Q700">
        <v>0</v>
      </c>
    </row>
    <row r="701" spans="1:17">
      <c r="A701" s="19">
        <v>0</v>
      </c>
      <c r="B701" s="19">
        <v>0</v>
      </c>
      <c r="C701" s="19">
        <v>0</v>
      </c>
      <c r="D701" s="19">
        <v>0</v>
      </c>
      <c r="E701" s="19">
        <v>0</v>
      </c>
      <c r="F701" s="19">
        <v>0</v>
      </c>
      <c r="G701" s="19">
        <v>0</v>
      </c>
      <c r="H701" s="19">
        <v>0</v>
      </c>
      <c r="I701" s="15">
        <v>3500</v>
      </c>
      <c r="J701" s="15">
        <v>0</v>
      </c>
      <c r="K701" s="15">
        <v>0</v>
      </c>
      <c r="L701" s="16">
        <v>0</v>
      </c>
      <c r="M701" s="15">
        <v>0</v>
      </c>
      <c r="N701" s="15" t="str">
        <v/>
      </c>
      <c r="O701" s="15" t="str">
        <v/>
      </c>
      <c r="P701" s="22">
        <v>0</v>
      </c>
      <c r="Q701">
        <v>0</v>
      </c>
    </row>
    <row r="702" spans="1:17">
      <c r="A702" s="19">
        <v>0</v>
      </c>
      <c r="B702" s="19">
        <v>0</v>
      </c>
      <c r="C702" s="19">
        <v>0</v>
      </c>
      <c r="D702" s="19">
        <v>0</v>
      </c>
      <c r="E702" s="19">
        <v>0</v>
      </c>
      <c r="F702" s="19">
        <v>0</v>
      </c>
      <c r="G702" s="19">
        <v>0</v>
      </c>
      <c r="H702" s="19">
        <v>0</v>
      </c>
      <c r="I702" s="15">
        <v>3500</v>
      </c>
      <c r="J702" s="15">
        <v>0</v>
      </c>
      <c r="K702" s="15">
        <v>0</v>
      </c>
      <c r="L702" s="16">
        <v>0</v>
      </c>
      <c r="M702" s="15">
        <v>0</v>
      </c>
      <c r="N702" s="15" t="str">
        <v/>
      </c>
      <c r="O702" s="15" t="str">
        <v/>
      </c>
      <c r="P702" s="22">
        <v>0</v>
      </c>
      <c r="Q702">
        <v>0</v>
      </c>
    </row>
    <row r="703" spans="1:17">
      <c r="A703" s="19">
        <v>0</v>
      </c>
      <c r="B703" s="19">
        <v>0</v>
      </c>
      <c r="C703" s="19">
        <v>0</v>
      </c>
      <c r="D703" s="19">
        <v>0</v>
      </c>
      <c r="E703" s="19">
        <v>0</v>
      </c>
      <c r="F703" s="19">
        <v>0</v>
      </c>
      <c r="G703" s="19">
        <v>0</v>
      </c>
      <c r="H703" s="19">
        <v>0</v>
      </c>
      <c r="I703" s="15">
        <v>3500</v>
      </c>
      <c r="J703" s="15">
        <v>0</v>
      </c>
      <c r="K703" s="15">
        <v>0</v>
      </c>
      <c r="L703" s="16">
        <v>0</v>
      </c>
      <c r="M703" s="15">
        <v>0</v>
      </c>
      <c r="N703" s="15" t="str">
        <v/>
      </c>
      <c r="O703" s="15" t="str">
        <v/>
      </c>
      <c r="P703" s="22">
        <v>0</v>
      </c>
      <c r="Q703">
        <v>0</v>
      </c>
    </row>
    <row r="704" spans="1:17">
      <c r="A704" s="19">
        <v>0</v>
      </c>
      <c r="B704" s="19">
        <v>0</v>
      </c>
      <c r="C704" s="19">
        <v>0</v>
      </c>
      <c r="D704" s="19">
        <v>0</v>
      </c>
      <c r="E704" s="19">
        <v>0</v>
      </c>
      <c r="F704" s="19">
        <v>0</v>
      </c>
      <c r="G704" s="19">
        <v>0</v>
      </c>
      <c r="H704" s="19">
        <v>0</v>
      </c>
      <c r="I704" s="15">
        <v>3500</v>
      </c>
      <c r="J704" s="15">
        <v>0</v>
      </c>
      <c r="K704" s="15">
        <v>0</v>
      </c>
      <c r="L704" s="16">
        <v>0</v>
      </c>
      <c r="M704" s="15">
        <v>0</v>
      </c>
      <c r="N704" s="15" t="str">
        <v/>
      </c>
      <c r="O704" s="15" t="str">
        <v/>
      </c>
      <c r="P704" s="22">
        <v>0</v>
      </c>
      <c r="Q704">
        <v>0</v>
      </c>
    </row>
    <row r="705" spans="1:17">
      <c r="A705" s="19">
        <v>0</v>
      </c>
      <c r="B705" s="19">
        <v>0</v>
      </c>
      <c r="C705" s="19">
        <v>0</v>
      </c>
      <c r="D705" s="19">
        <v>0</v>
      </c>
      <c r="E705" s="19">
        <v>0</v>
      </c>
      <c r="F705" s="19">
        <v>0</v>
      </c>
      <c r="G705" s="19">
        <v>0</v>
      </c>
      <c r="H705" s="19">
        <v>0</v>
      </c>
      <c r="I705" s="15">
        <v>3500</v>
      </c>
      <c r="J705" s="15">
        <v>0</v>
      </c>
      <c r="K705" s="15">
        <v>0</v>
      </c>
      <c r="L705" s="16">
        <v>0</v>
      </c>
      <c r="M705" s="15">
        <v>0</v>
      </c>
      <c r="N705" s="15" t="str">
        <v/>
      </c>
      <c r="O705" s="15" t="str">
        <v/>
      </c>
      <c r="P705" s="22">
        <v>0</v>
      </c>
      <c r="Q705">
        <v>0</v>
      </c>
    </row>
    <row r="706" spans="1:17">
      <c r="A706" s="19">
        <v>0</v>
      </c>
      <c r="B706" s="19">
        <v>0</v>
      </c>
      <c r="C706" s="19">
        <v>0</v>
      </c>
      <c r="D706" s="19">
        <v>0</v>
      </c>
      <c r="E706" s="19">
        <v>0</v>
      </c>
      <c r="F706" s="19">
        <v>0</v>
      </c>
      <c r="G706" s="19">
        <v>0</v>
      </c>
      <c r="H706" s="19">
        <v>0</v>
      </c>
      <c r="I706" s="15">
        <v>3500</v>
      </c>
      <c r="J706" s="15">
        <v>0</v>
      </c>
      <c r="K706" s="15">
        <v>0</v>
      </c>
      <c r="L706" s="16">
        <v>0</v>
      </c>
      <c r="M706" s="15">
        <v>0</v>
      </c>
      <c r="N706" s="15" t="str">
        <v/>
      </c>
      <c r="O706" s="15" t="str">
        <v/>
      </c>
      <c r="P706" s="22">
        <v>0</v>
      </c>
      <c r="Q706">
        <v>0</v>
      </c>
    </row>
    <row r="707" spans="1:17">
      <c r="A707" s="19">
        <v>0</v>
      </c>
      <c r="B707" s="19">
        <v>0</v>
      </c>
      <c r="C707" s="19">
        <v>0</v>
      </c>
      <c r="D707" s="19">
        <v>0</v>
      </c>
      <c r="E707" s="19">
        <v>0</v>
      </c>
      <c r="F707" s="19">
        <v>0</v>
      </c>
      <c r="G707" s="19">
        <v>0</v>
      </c>
      <c r="H707" s="19">
        <v>0</v>
      </c>
      <c r="I707" s="15">
        <v>3500</v>
      </c>
      <c r="J707" s="15">
        <v>0</v>
      </c>
      <c r="K707" s="15">
        <v>0</v>
      </c>
      <c r="L707" s="16">
        <v>0</v>
      </c>
      <c r="M707" s="15">
        <v>0</v>
      </c>
      <c r="N707" s="15" t="str">
        <v/>
      </c>
      <c r="O707" s="15" t="str">
        <v/>
      </c>
      <c r="P707" s="22">
        <v>0</v>
      </c>
      <c r="Q707">
        <v>0</v>
      </c>
    </row>
    <row r="708" spans="1:17">
      <c r="A708" s="19">
        <v>0</v>
      </c>
      <c r="B708" s="19">
        <v>0</v>
      </c>
      <c r="C708" s="19">
        <v>0</v>
      </c>
      <c r="D708" s="19">
        <v>0</v>
      </c>
      <c r="E708" s="19">
        <v>0</v>
      </c>
      <c r="F708" s="19">
        <v>0</v>
      </c>
      <c r="G708" s="19">
        <v>0</v>
      </c>
      <c r="H708" s="19">
        <v>0</v>
      </c>
      <c r="I708" s="15">
        <v>3500</v>
      </c>
      <c r="J708" s="15">
        <v>0</v>
      </c>
      <c r="K708" s="15">
        <v>0</v>
      </c>
      <c r="L708" s="16">
        <v>0</v>
      </c>
      <c r="M708" s="15">
        <v>0</v>
      </c>
      <c r="N708" s="15" t="str">
        <v/>
      </c>
      <c r="O708" s="15" t="str">
        <v/>
      </c>
      <c r="P708" s="22">
        <v>0</v>
      </c>
      <c r="Q708">
        <v>0</v>
      </c>
    </row>
    <row r="709" spans="1:17">
      <c r="A709" s="19">
        <v>0</v>
      </c>
      <c r="B709" s="19">
        <v>0</v>
      </c>
      <c r="C709" s="19">
        <v>0</v>
      </c>
      <c r="D709" s="19">
        <v>0</v>
      </c>
      <c r="E709" s="19">
        <v>0</v>
      </c>
      <c r="F709" s="19">
        <v>0</v>
      </c>
      <c r="G709" s="19">
        <v>0</v>
      </c>
      <c r="H709" s="19">
        <v>0</v>
      </c>
      <c r="I709" s="15">
        <v>3500</v>
      </c>
      <c r="J709" s="15">
        <v>0</v>
      </c>
      <c r="K709" s="15">
        <v>0</v>
      </c>
      <c r="L709" s="16">
        <v>0</v>
      </c>
      <c r="M709" s="15">
        <v>0</v>
      </c>
      <c r="N709" s="15" t="str">
        <v/>
      </c>
      <c r="O709" s="15" t="str">
        <v/>
      </c>
      <c r="P709" s="22">
        <v>0</v>
      </c>
      <c r="Q709">
        <v>0</v>
      </c>
    </row>
    <row r="710" spans="1:17">
      <c r="A710" s="19">
        <v>0</v>
      </c>
      <c r="B710" s="19">
        <v>0</v>
      </c>
      <c r="C710" s="19">
        <v>0</v>
      </c>
      <c r="D710" s="19">
        <v>0</v>
      </c>
      <c r="E710" s="19">
        <v>0</v>
      </c>
      <c r="F710" s="19">
        <v>0</v>
      </c>
      <c r="G710" s="19">
        <v>0</v>
      </c>
      <c r="H710" s="19">
        <v>0</v>
      </c>
      <c r="I710" s="15">
        <v>3500</v>
      </c>
      <c r="J710" s="15">
        <v>0</v>
      </c>
      <c r="K710" s="15">
        <v>0</v>
      </c>
      <c r="L710" s="16">
        <v>0</v>
      </c>
      <c r="M710" s="15">
        <v>0</v>
      </c>
      <c r="N710" s="15" t="str">
        <v/>
      </c>
      <c r="O710" s="15" t="str">
        <v/>
      </c>
      <c r="P710" s="22">
        <v>0</v>
      </c>
      <c r="Q710">
        <v>0</v>
      </c>
    </row>
    <row r="711" spans="1:17">
      <c r="A711" s="19">
        <v>0</v>
      </c>
      <c r="B711" s="19">
        <v>0</v>
      </c>
      <c r="C711" s="19">
        <v>0</v>
      </c>
      <c r="D711" s="19">
        <v>0</v>
      </c>
      <c r="E711" s="19">
        <v>0</v>
      </c>
      <c r="F711" s="19">
        <v>0</v>
      </c>
      <c r="G711" s="19">
        <v>0</v>
      </c>
      <c r="H711" s="19">
        <v>0</v>
      </c>
      <c r="I711" s="15">
        <v>3500</v>
      </c>
      <c r="J711" s="15">
        <v>0</v>
      </c>
      <c r="K711" s="15">
        <v>0</v>
      </c>
      <c r="L711" s="16">
        <v>0</v>
      </c>
      <c r="M711" s="15">
        <v>0</v>
      </c>
      <c r="N711" s="15" t="str">
        <v/>
      </c>
      <c r="O711" s="15" t="str">
        <v/>
      </c>
      <c r="P711" s="22">
        <v>0</v>
      </c>
      <c r="Q711">
        <v>0</v>
      </c>
    </row>
    <row r="712" spans="1:17">
      <c r="A712" s="19">
        <v>0</v>
      </c>
      <c r="B712" s="19">
        <v>0</v>
      </c>
      <c r="C712" s="19">
        <v>0</v>
      </c>
      <c r="D712" s="19">
        <v>0</v>
      </c>
      <c r="E712" s="19">
        <v>0</v>
      </c>
      <c r="F712" s="19">
        <v>0</v>
      </c>
      <c r="G712" s="19">
        <v>0</v>
      </c>
      <c r="H712" s="19">
        <v>0</v>
      </c>
      <c r="I712" s="15">
        <v>3500</v>
      </c>
      <c r="J712" s="15">
        <v>0</v>
      </c>
      <c r="K712" s="15">
        <v>0</v>
      </c>
      <c r="L712" s="16">
        <v>0</v>
      </c>
      <c r="M712" s="15">
        <v>0</v>
      </c>
      <c r="N712" s="15" t="str">
        <v/>
      </c>
      <c r="O712" s="15" t="str">
        <v/>
      </c>
      <c r="P712" s="22">
        <v>0</v>
      </c>
      <c r="Q712">
        <v>0</v>
      </c>
    </row>
    <row r="713" spans="1:17">
      <c r="A713" s="19">
        <v>0</v>
      </c>
      <c r="B713" s="19">
        <v>0</v>
      </c>
      <c r="C713" s="19">
        <v>0</v>
      </c>
      <c r="D713" s="19">
        <v>0</v>
      </c>
      <c r="E713" s="19">
        <v>0</v>
      </c>
      <c r="F713" s="19">
        <v>0</v>
      </c>
      <c r="G713" s="19">
        <v>0</v>
      </c>
      <c r="H713" s="19">
        <v>0</v>
      </c>
      <c r="I713" s="15">
        <v>3500</v>
      </c>
      <c r="J713" s="15">
        <v>0</v>
      </c>
      <c r="K713" s="15">
        <v>0</v>
      </c>
      <c r="L713" s="16">
        <v>0</v>
      </c>
      <c r="M713" s="15">
        <v>0</v>
      </c>
      <c r="N713" s="15" t="str">
        <v/>
      </c>
      <c r="O713" s="15" t="str">
        <v/>
      </c>
      <c r="P713" s="22">
        <v>0</v>
      </c>
      <c r="Q713">
        <v>0</v>
      </c>
    </row>
    <row r="714" spans="1:17">
      <c r="A714" s="19">
        <v>0</v>
      </c>
      <c r="B714" s="19">
        <v>0</v>
      </c>
      <c r="C714" s="19">
        <v>0</v>
      </c>
      <c r="D714" s="19">
        <v>0</v>
      </c>
      <c r="E714" s="19">
        <v>0</v>
      </c>
      <c r="F714" s="19">
        <v>0</v>
      </c>
      <c r="G714" s="19">
        <v>0</v>
      </c>
      <c r="H714" s="19">
        <v>0</v>
      </c>
      <c r="I714" s="15">
        <v>3500</v>
      </c>
      <c r="J714" s="15">
        <v>0</v>
      </c>
      <c r="K714" s="15">
        <v>0</v>
      </c>
      <c r="L714" s="16">
        <v>0</v>
      </c>
      <c r="M714" s="15">
        <v>0</v>
      </c>
      <c r="N714" s="15" t="str">
        <v/>
      </c>
      <c r="O714" s="15" t="str">
        <v/>
      </c>
      <c r="P714" s="22">
        <v>0</v>
      </c>
      <c r="Q714">
        <v>0</v>
      </c>
    </row>
    <row r="715" spans="1:17">
      <c r="A715" s="19">
        <v>0</v>
      </c>
      <c r="B715" s="19">
        <v>0</v>
      </c>
      <c r="C715" s="19">
        <v>0</v>
      </c>
      <c r="D715" s="19">
        <v>0</v>
      </c>
      <c r="E715" s="19">
        <v>0</v>
      </c>
      <c r="F715" s="19">
        <v>0</v>
      </c>
      <c r="G715" s="19">
        <v>0</v>
      </c>
      <c r="H715" s="19">
        <v>0</v>
      </c>
      <c r="I715" s="15">
        <v>3500</v>
      </c>
      <c r="J715" s="15">
        <v>0</v>
      </c>
      <c r="K715" s="15">
        <v>0</v>
      </c>
      <c r="L715" s="16">
        <v>0</v>
      </c>
      <c r="M715" s="15">
        <v>0</v>
      </c>
      <c r="N715" s="15" t="str">
        <v/>
      </c>
      <c r="O715" s="15" t="str">
        <v/>
      </c>
      <c r="P715" s="22">
        <v>0</v>
      </c>
      <c r="Q715">
        <v>0</v>
      </c>
    </row>
    <row r="716" spans="1:17">
      <c r="A716" s="19">
        <v>0</v>
      </c>
      <c r="B716" s="19">
        <v>0</v>
      </c>
      <c r="C716" s="19">
        <v>0</v>
      </c>
      <c r="D716" s="19">
        <v>0</v>
      </c>
      <c r="E716" s="19">
        <v>0</v>
      </c>
      <c r="F716" s="19">
        <v>0</v>
      </c>
      <c r="G716" s="19">
        <v>0</v>
      </c>
      <c r="H716" s="19">
        <v>0</v>
      </c>
      <c r="I716" s="15">
        <v>3500</v>
      </c>
      <c r="J716" s="15">
        <v>0</v>
      </c>
      <c r="K716" s="15">
        <v>0</v>
      </c>
      <c r="L716" s="16">
        <v>0</v>
      </c>
      <c r="M716" s="15">
        <v>0</v>
      </c>
      <c r="N716" s="15" t="str">
        <v/>
      </c>
      <c r="O716" s="15" t="str">
        <v/>
      </c>
      <c r="P716" s="22">
        <v>0</v>
      </c>
      <c r="Q716">
        <v>0</v>
      </c>
    </row>
    <row r="717" spans="1:17">
      <c r="A717" s="19">
        <v>0</v>
      </c>
      <c r="B717" s="19">
        <v>0</v>
      </c>
      <c r="C717" s="19">
        <v>0</v>
      </c>
      <c r="D717" s="19">
        <v>0</v>
      </c>
      <c r="E717" s="19">
        <v>0</v>
      </c>
      <c r="F717" s="19">
        <v>0</v>
      </c>
      <c r="G717" s="19">
        <v>0</v>
      </c>
      <c r="H717" s="19">
        <v>0</v>
      </c>
      <c r="I717" s="15">
        <v>3500</v>
      </c>
      <c r="J717" s="15">
        <v>0</v>
      </c>
      <c r="K717" s="15">
        <v>0</v>
      </c>
      <c r="L717" s="16">
        <v>0</v>
      </c>
      <c r="M717" s="15">
        <v>0</v>
      </c>
      <c r="N717" s="15" t="str">
        <v/>
      </c>
      <c r="O717" s="15" t="str">
        <v/>
      </c>
      <c r="P717" s="22">
        <v>0</v>
      </c>
      <c r="Q717">
        <v>0</v>
      </c>
    </row>
    <row r="718" spans="1:17">
      <c r="A718" s="19">
        <v>0</v>
      </c>
      <c r="B718" s="19">
        <v>0</v>
      </c>
      <c r="C718" s="19">
        <v>0</v>
      </c>
      <c r="D718" s="19">
        <v>0</v>
      </c>
      <c r="E718" s="19">
        <v>0</v>
      </c>
      <c r="F718" s="19">
        <v>0</v>
      </c>
      <c r="G718" s="19">
        <v>0</v>
      </c>
      <c r="H718" s="19">
        <v>0</v>
      </c>
      <c r="I718" s="15">
        <v>3500</v>
      </c>
      <c r="J718" s="15">
        <v>0</v>
      </c>
      <c r="K718" s="15">
        <v>0</v>
      </c>
      <c r="L718" s="16">
        <v>0</v>
      </c>
      <c r="M718" s="15">
        <v>0</v>
      </c>
      <c r="N718" s="15" t="str">
        <v/>
      </c>
      <c r="O718" s="15" t="str">
        <v/>
      </c>
      <c r="P718" s="22">
        <v>0</v>
      </c>
      <c r="Q718">
        <v>0</v>
      </c>
    </row>
    <row r="719" spans="1:17">
      <c r="A719" s="19">
        <v>0</v>
      </c>
      <c r="B719" s="19">
        <v>0</v>
      </c>
      <c r="C719" s="19">
        <v>0</v>
      </c>
      <c r="D719" s="19">
        <v>0</v>
      </c>
      <c r="E719" s="19">
        <v>0</v>
      </c>
      <c r="F719" s="19">
        <v>0</v>
      </c>
      <c r="G719" s="19">
        <v>0</v>
      </c>
      <c r="H719" s="19">
        <v>0</v>
      </c>
      <c r="I719" s="15">
        <v>3500</v>
      </c>
      <c r="J719" s="15">
        <v>0</v>
      </c>
      <c r="K719" s="15">
        <v>0</v>
      </c>
      <c r="L719" s="16">
        <v>0</v>
      </c>
      <c r="M719" s="15">
        <v>0</v>
      </c>
      <c r="N719" s="15" t="str">
        <v/>
      </c>
      <c r="O719" s="15" t="str">
        <v/>
      </c>
      <c r="P719" s="22">
        <v>0</v>
      </c>
      <c r="Q719">
        <v>0</v>
      </c>
    </row>
    <row r="720" spans="1:17">
      <c r="A720" s="19">
        <v>0</v>
      </c>
      <c r="B720" s="19">
        <v>0</v>
      </c>
      <c r="C720" s="19">
        <v>0</v>
      </c>
      <c r="D720" s="19">
        <v>0</v>
      </c>
      <c r="E720" s="19">
        <v>0</v>
      </c>
      <c r="F720" s="19">
        <v>0</v>
      </c>
      <c r="G720" s="19">
        <v>0</v>
      </c>
      <c r="H720" s="19">
        <v>0</v>
      </c>
      <c r="I720" s="15">
        <v>3500</v>
      </c>
      <c r="J720" s="15">
        <v>0</v>
      </c>
      <c r="K720" s="15">
        <v>0</v>
      </c>
      <c r="L720" s="16">
        <v>0</v>
      </c>
      <c r="M720" s="15">
        <v>0</v>
      </c>
      <c r="N720" s="15" t="str">
        <v/>
      </c>
      <c r="O720" s="15" t="str">
        <v/>
      </c>
      <c r="P720" s="22">
        <v>0</v>
      </c>
      <c r="Q720">
        <v>0</v>
      </c>
    </row>
    <row r="721" spans="1:17">
      <c r="A721" s="19">
        <v>0</v>
      </c>
      <c r="B721" s="19">
        <v>0</v>
      </c>
      <c r="C721" s="19">
        <v>0</v>
      </c>
      <c r="D721" s="19">
        <v>0</v>
      </c>
      <c r="E721" s="19">
        <v>0</v>
      </c>
      <c r="F721" s="19">
        <v>0</v>
      </c>
      <c r="G721" s="19">
        <v>0</v>
      </c>
      <c r="H721" s="19">
        <v>0</v>
      </c>
      <c r="I721" s="15">
        <v>3500</v>
      </c>
      <c r="J721" s="15">
        <v>0</v>
      </c>
      <c r="K721" s="15">
        <v>0</v>
      </c>
      <c r="L721" s="16">
        <v>0</v>
      </c>
      <c r="M721" s="15">
        <v>0</v>
      </c>
      <c r="N721" s="15" t="str">
        <v/>
      </c>
      <c r="O721" s="15" t="str">
        <v/>
      </c>
      <c r="P721" s="22">
        <v>0</v>
      </c>
      <c r="Q721">
        <v>0</v>
      </c>
    </row>
    <row r="722" spans="1:17">
      <c r="A722" s="19">
        <v>0</v>
      </c>
      <c r="B722" s="19">
        <v>0</v>
      </c>
      <c r="C722" s="19">
        <v>0</v>
      </c>
      <c r="D722" s="19">
        <v>0</v>
      </c>
      <c r="E722" s="19">
        <v>0</v>
      </c>
      <c r="F722" s="19">
        <v>0</v>
      </c>
      <c r="G722" s="19">
        <v>0</v>
      </c>
      <c r="H722" s="19">
        <v>0</v>
      </c>
      <c r="I722" s="15">
        <v>3500</v>
      </c>
      <c r="J722" s="15">
        <v>0</v>
      </c>
      <c r="K722" s="15">
        <v>0</v>
      </c>
      <c r="L722" s="16">
        <v>0</v>
      </c>
      <c r="M722" s="15">
        <v>0</v>
      </c>
      <c r="N722" s="15" t="str">
        <v/>
      </c>
      <c r="O722" s="15" t="str">
        <v/>
      </c>
      <c r="P722" s="22">
        <v>0</v>
      </c>
      <c r="Q722">
        <v>0</v>
      </c>
    </row>
    <row r="723" spans="1:17">
      <c r="A723" s="19">
        <v>0</v>
      </c>
      <c r="B723" s="19">
        <v>0</v>
      </c>
      <c r="C723" s="19">
        <v>0</v>
      </c>
      <c r="D723" s="19">
        <v>0</v>
      </c>
      <c r="E723" s="19">
        <v>0</v>
      </c>
      <c r="F723" s="19">
        <v>0</v>
      </c>
      <c r="G723" s="19">
        <v>0</v>
      </c>
      <c r="H723" s="19">
        <v>0</v>
      </c>
      <c r="I723" s="15">
        <v>3500</v>
      </c>
      <c r="J723" s="15">
        <v>0</v>
      </c>
      <c r="K723" s="15">
        <v>0</v>
      </c>
      <c r="L723" s="16">
        <v>0</v>
      </c>
      <c r="M723" s="15">
        <v>0</v>
      </c>
      <c r="N723" s="15" t="str">
        <v/>
      </c>
      <c r="O723" s="15" t="str">
        <v/>
      </c>
      <c r="P723" s="22">
        <v>0</v>
      </c>
      <c r="Q723">
        <v>0</v>
      </c>
    </row>
    <row r="724" spans="1:17">
      <c r="A724" s="19">
        <v>0</v>
      </c>
      <c r="B724" s="19">
        <v>0</v>
      </c>
      <c r="C724" s="19">
        <v>0</v>
      </c>
      <c r="D724" s="19">
        <v>0</v>
      </c>
      <c r="E724" s="19">
        <v>0</v>
      </c>
      <c r="F724" s="19">
        <v>0</v>
      </c>
      <c r="G724" s="19">
        <v>0</v>
      </c>
      <c r="H724" s="19">
        <v>0</v>
      </c>
      <c r="I724" s="15">
        <v>3500</v>
      </c>
      <c r="J724" s="15">
        <v>0</v>
      </c>
      <c r="K724" s="15">
        <v>0</v>
      </c>
      <c r="L724" s="16">
        <v>0</v>
      </c>
      <c r="M724" s="15">
        <v>0</v>
      </c>
      <c r="N724" s="15" t="str">
        <v/>
      </c>
      <c r="O724" s="15" t="str">
        <v/>
      </c>
      <c r="P724" s="22">
        <v>0</v>
      </c>
      <c r="Q724">
        <v>0</v>
      </c>
    </row>
    <row r="725" spans="1:17">
      <c r="A725" s="19">
        <v>0</v>
      </c>
      <c r="B725" s="19">
        <v>0</v>
      </c>
      <c r="C725" s="19">
        <v>0</v>
      </c>
      <c r="D725" s="19">
        <v>0</v>
      </c>
      <c r="E725" s="19">
        <v>0</v>
      </c>
      <c r="F725" s="19">
        <v>0</v>
      </c>
      <c r="G725" s="19">
        <v>0</v>
      </c>
      <c r="H725" s="19">
        <v>0</v>
      </c>
      <c r="I725" s="15">
        <v>3500</v>
      </c>
      <c r="J725" s="15">
        <v>0</v>
      </c>
      <c r="K725" s="15">
        <v>0</v>
      </c>
      <c r="L725" s="16">
        <v>0</v>
      </c>
      <c r="M725" s="15">
        <v>0</v>
      </c>
      <c r="N725" s="15" t="str">
        <v/>
      </c>
      <c r="O725" s="15" t="str">
        <v/>
      </c>
      <c r="P725" s="22">
        <v>0</v>
      </c>
      <c r="Q725">
        <v>0</v>
      </c>
    </row>
    <row r="726" spans="1:17">
      <c r="A726" s="19">
        <v>0</v>
      </c>
      <c r="B726" s="19">
        <v>0</v>
      </c>
      <c r="C726" s="19">
        <v>0</v>
      </c>
      <c r="D726" s="19">
        <v>0</v>
      </c>
      <c r="E726" s="19">
        <v>0</v>
      </c>
      <c r="F726" s="19">
        <v>0</v>
      </c>
      <c r="G726" s="19">
        <v>0</v>
      </c>
      <c r="H726" s="19">
        <v>0</v>
      </c>
      <c r="I726" s="15">
        <v>3500</v>
      </c>
      <c r="J726" s="15">
        <v>0</v>
      </c>
      <c r="K726" s="15">
        <v>0</v>
      </c>
      <c r="L726" s="16">
        <v>0</v>
      </c>
      <c r="M726" s="15">
        <v>0</v>
      </c>
      <c r="N726" s="15" t="str">
        <v/>
      </c>
      <c r="O726" s="15" t="str">
        <v/>
      </c>
      <c r="P726" s="22">
        <v>0</v>
      </c>
      <c r="Q726">
        <v>0</v>
      </c>
    </row>
    <row r="727" spans="1:17">
      <c r="A727" s="19">
        <v>0</v>
      </c>
      <c r="B727" s="19">
        <v>0</v>
      </c>
      <c r="C727" s="19">
        <v>0</v>
      </c>
      <c r="D727" s="19">
        <v>0</v>
      </c>
      <c r="E727" s="19">
        <v>0</v>
      </c>
      <c r="F727" s="19">
        <v>0</v>
      </c>
      <c r="G727" s="19">
        <v>0</v>
      </c>
      <c r="H727" s="19">
        <v>0</v>
      </c>
      <c r="I727" s="15">
        <v>3500</v>
      </c>
      <c r="J727" s="15">
        <v>0</v>
      </c>
      <c r="K727" s="15">
        <v>0</v>
      </c>
      <c r="L727" s="16">
        <v>0</v>
      </c>
      <c r="M727" s="15">
        <v>0</v>
      </c>
      <c r="N727" s="15" t="str">
        <v/>
      </c>
      <c r="O727" s="15" t="str">
        <v/>
      </c>
      <c r="P727" s="22">
        <v>0</v>
      </c>
      <c r="Q727">
        <v>0</v>
      </c>
    </row>
    <row r="728" spans="1:17">
      <c r="A728" s="19">
        <v>0</v>
      </c>
      <c r="B728" s="19">
        <v>0</v>
      </c>
      <c r="C728" s="19">
        <v>0</v>
      </c>
      <c r="D728" s="19">
        <v>0</v>
      </c>
      <c r="E728" s="19">
        <v>0</v>
      </c>
      <c r="F728" s="19">
        <v>0</v>
      </c>
      <c r="G728" s="19">
        <v>0</v>
      </c>
      <c r="H728" s="19">
        <v>0</v>
      </c>
      <c r="I728" s="15">
        <v>3500</v>
      </c>
      <c r="J728" s="15">
        <v>0</v>
      </c>
      <c r="K728" s="15">
        <v>0</v>
      </c>
      <c r="L728" s="16">
        <v>0</v>
      </c>
      <c r="M728" s="15">
        <v>0</v>
      </c>
      <c r="N728" s="15" t="str">
        <v/>
      </c>
      <c r="O728" s="15" t="str">
        <v/>
      </c>
      <c r="P728" s="22">
        <v>0</v>
      </c>
      <c r="Q728">
        <v>0</v>
      </c>
    </row>
    <row r="729" spans="1:17">
      <c r="A729" s="19">
        <v>0</v>
      </c>
      <c r="B729" s="19">
        <v>0</v>
      </c>
      <c r="C729" s="19">
        <v>0</v>
      </c>
      <c r="D729" s="19">
        <v>0</v>
      </c>
      <c r="E729" s="19">
        <v>0</v>
      </c>
      <c r="F729" s="19">
        <v>0</v>
      </c>
      <c r="G729" s="19">
        <v>0</v>
      </c>
      <c r="H729" s="19">
        <v>0</v>
      </c>
      <c r="I729" s="15">
        <v>3500</v>
      </c>
      <c r="J729" s="15">
        <v>0</v>
      </c>
      <c r="K729" s="15">
        <v>0</v>
      </c>
      <c r="L729" s="16">
        <v>0</v>
      </c>
      <c r="M729" s="15">
        <v>0</v>
      </c>
      <c r="N729" s="15" t="str">
        <v/>
      </c>
      <c r="O729" s="15" t="str">
        <v/>
      </c>
      <c r="P729" s="22">
        <v>0</v>
      </c>
      <c r="Q729">
        <v>0</v>
      </c>
    </row>
    <row r="730" spans="1:17">
      <c r="A730" s="19">
        <v>0</v>
      </c>
      <c r="B730" s="19">
        <v>0</v>
      </c>
      <c r="C730" s="19">
        <v>0</v>
      </c>
      <c r="D730" s="19">
        <v>0</v>
      </c>
      <c r="E730" s="19">
        <v>0</v>
      </c>
      <c r="F730" s="19">
        <v>0</v>
      </c>
      <c r="G730" s="19">
        <v>0</v>
      </c>
      <c r="H730" s="19">
        <v>0</v>
      </c>
      <c r="I730" s="15">
        <v>3500</v>
      </c>
      <c r="J730" s="15">
        <v>0</v>
      </c>
      <c r="K730" s="15">
        <v>0</v>
      </c>
      <c r="L730" s="16">
        <v>0</v>
      </c>
      <c r="M730" s="15">
        <v>0</v>
      </c>
      <c r="N730" s="15" t="str">
        <v/>
      </c>
      <c r="O730" s="15" t="str">
        <v/>
      </c>
      <c r="P730" s="22">
        <v>0</v>
      </c>
      <c r="Q730">
        <v>0</v>
      </c>
    </row>
    <row r="731" spans="1:17">
      <c r="A731" s="19">
        <v>0</v>
      </c>
      <c r="B731" s="19">
        <v>0</v>
      </c>
      <c r="C731" s="19">
        <v>0</v>
      </c>
      <c r="D731" s="19">
        <v>0</v>
      </c>
      <c r="E731" s="19">
        <v>0</v>
      </c>
      <c r="F731" s="19">
        <v>0</v>
      </c>
      <c r="G731" s="19">
        <v>0</v>
      </c>
      <c r="H731" s="19">
        <v>0</v>
      </c>
      <c r="I731" s="15">
        <v>3500</v>
      </c>
      <c r="J731" s="15">
        <v>0</v>
      </c>
      <c r="K731" s="15">
        <v>0</v>
      </c>
      <c r="L731" s="16">
        <v>0</v>
      </c>
      <c r="M731" s="15">
        <v>0</v>
      </c>
      <c r="N731" s="15" t="str">
        <v/>
      </c>
      <c r="O731" s="15" t="str">
        <v/>
      </c>
      <c r="P731" s="22">
        <v>0</v>
      </c>
      <c r="Q731">
        <v>0</v>
      </c>
    </row>
    <row r="732" spans="1:17">
      <c r="A732" s="19">
        <v>0</v>
      </c>
      <c r="B732" s="19">
        <v>0</v>
      </c>
      <c r="C732" s="19">
        <v>0</v>
      </c>
      <c r="D732" s="19">
        <v>0</v>
      </c>
      <c r="E732" s="19">
        <v>0</v>
      </c>
      <c r="F732" s="19">
        <v>0</v>
      </c>
      <c r="G732" s="19">
        <v>0</v>
      </c>
      <c r="H732" s="19">
        <v>0</v>
      </c>
      <c r="I732" s="15">
        <v>3500</v>
      </c>
      <c r="J732" s="15">
        <v>0</v>
      </c>
      <c r="K732" s="15">
        <v>0</v>
      </c>
      <c r="L732" s="16">
        <v>0</v>
      </c>
      <c r="M732" s="15">
        <v>0</v>
      </c>
      <c r="N732" s="15" t="str">
        <v/>
      </c>
      <c r="O732" s="15" t="str">
        <v/>
      </c>
      <c r="P732" s="22">
        <v>0</v>
      </c>
      <c r="Q732">
        <v>0</v>
      </c>
    </row>
    <row r="733" spans="1:17">
      <c r="A733" s="19">
        <v>0</v>
      </c>
      <c r="B733" s="19">
        <v>0</v>
      </c>
      <c r="C733" s="19">
        <v>0</v>
      </c>
      <c r="D733" s="19">
        <v>0</v>
      </c>
      <c r="E733" s="19">
        <v>0</v>
      </c>
      <c r="F733" s="19">
        <v>0</v>
      </c>
      <c r="G733" s="19">
        <v>0</v>
      </c>
      <c r="H733" s="19">
        <v>0</v>
      </c>
      <c r="I733" s="15">
        <v>3500</v>
      </c>
      <c r="J733" s="15">
        <v>0</v>
      </c>
      <c r="K733" s="15">
        <v>0</v>
      </c>
      <c r="L733" s="16">
        <v>0</v>
      </c>
      <c r="M733" s="15">
        <v>0</v>
      </c>
      <c r="N733" s="15" t="str">
        <v/>
      </c>
      <c r="O733" s="15" t="str">
        <v/>
      </c>
      <c r="P733" s="22">
        <v>0</v>
      </c>
      <c r="Q733">
        <v>0</v>
      </c>
    </row>
    <row r="734" spans="1:17">
      <c r="A734" s="19">
        <v>0</v>
      </c>
      <c r="B734" s="19">
        <v>0</v>
      </c>
      <c r="C734" s="19">
        <v>0</v>
      </c>
      <c r="D734" s="19">
        <v>0</v>
      </c>
      <c r="E734" s="19">
        <v>0</v>
      </c>
      <c r="F734" s="19">
        <v>0</v>
      </c>
      <c r="G734" s="19">
        <v>0</v>
      </c>
      <c r="H734" s="19">
        <v>0</v>
      </c>
      <c r="I734" s="15">
        <v>3500</v>
      </c>
      <c r="J734" s="15">
        <v>0</v>
      </c>
      <c r="K734" s="15">
        <v>0</v>
      </c>
      <c r="L734" s="16">
        <v>0</v>
      </c>
      <c r="M734" s="15">
        <v>0</v>
      </c>
      <c r="N734" s="15" t="str">
        <v/>
      </c>
      <c r="O734" s="15" t="str">
        <v/>
      </c>
      <c r="P734" s="22">
        <v>0</v>
      </c>
      <c r="Q734">
        <v>0</v>
      </c>
    </row>
    <row r="735" spans="1:17">
      <c r="A735" s="19">
        <v>0</v>
      </c>
      <c r="B735" s="19">
        <v>0</v>
      </c>
      <c r="C735" s="19">
        <v>0</v>
      </c>
      <c r="D735" s="19">
        <v>0</v>
      </c>
      <c r="E735" s="19">
        <v>0</v>
      </c>
      <c r="F735" s="19">
        <v>0</v>
      </c>
      <c r="G735" s="19">
        <v>0</v>
      </c>
      <c r="H735" s="19">
        <v>0</v>
      </c>
      <c r="I735" s="15">
        <v>3500</v>
      </c>
      <c r="J735" s="15">
        <v>0</v>
      </c>
      <c r="K735" s="15">
        <v>0</v>
      </c>
      <c r="L735" s="16">
        <v>0</v>
      </c>
      <c r="M735" s="15">
        <v>0</v>
      </c>
      <c r="N735" s="15" t="str">
        <v/>
      </c>
      <c r="O735" s="15" t="str">
        <v/>
      </c>
      <c r="P735" s="22">
        <v>0</v>
      </c>
      <c r="Q735">
        <v>0</v>
      </c>
    </row>
    <row r="736" spans="1:17">
      <c r="A736" s="19">
        <v>0</v>
      </c>
      <c r="B736" s="19">
        <v>0</v>
      </c>
      <c r="C736" s="19">
        <v>0</v>
      </c>
      <c r="D736" s="19">
        <v>0</v>
      </c>
      <c r="E736" s="19">
        <v>0</v>
      </c>
      <c r="F736" s="19">
        <v>0</v>
      </c>
      <c r="G736" s="19">
        <v>0</v>
      </c>
      <c r="H736" s="19">
        <v>0</v>
      </c>
      <c r="I736" s="15">
        <v>3500</v>
      </c>
      <c r="J736" s="15">
        <v>0</v>
      </c>
      <c r="K736" s="15">
        <v>0</v>
      </c>
      <c r="L736" s="16">
        <v>0</v>
      </c>
      <c r="M736" s="15">
        <v>0</v>
      </c>
      <c r="N736" s="15" t="str">
        <v/>
      </c>
      <c r="O736" s="15" t="str">
        <v/>
      </c>
      <c r="P736" s="22">
        <v>0</v>
      </c>
      <c r="Q736">
        <v>0</v>
      </c>
    </row>
    <row r="737" spans="1:17">
      <c r="A737" s="19">
        <v>0</v>
      </c>
      <c r="B737" s="19">
        <v>0</v>
      </c>
      <c r="C737" s="19">
        <v>0</v>
      </c>
      <c r="D737" s="19">
        <v>0</v>
      </c>
      <c r="E737" s="19">
        <v>0</v>
      </c>
      <c r="F737" s="19">
        <v>0</v>
      </c>
      <c r="G737" s="19">
        <v>0</v>
      </c>
      <c r="H737" s="19">
        <v>0</v>
      </c>
      <c r="I737" s="15">
        <v>3500</v>
      </c>
      <c r="J737" s="15">
        <v>0</v>
      </c>
      <c r="K737" s="15">
        <v>0</v>
      </c>
      <c r="L737" s="16">
        <v>0</v>
      </c>
      <c r="M737" s="15">
        <v>0</v>
      </c>
      <c r="N737" s="15" t="str">
        <v/>
      </c>
      <c r="O737" s="15" t="str">
        <v/>
      </c>
      <c r="P737" s="22">
        <v>0</v>
      </c>
      <c r="Q737">
        <v>0</v>
      </c>
    </row>
    <row r="738" spans="1:17">
      <c r="A738" s="19">
        <v>0</v>
      </c>
      <c r="B738" s="19">
        <v>0</v>
      </c>
      <c r="C738" s="19">
        <v>0</v>
      </c>
      <c r="D738" s="19">
        <v>0</v>
      </c>
      <c r="E738" s="19">
        <v>0</v>
      </c>
      <c r="F738" s="19">
        <v>0</v>
      </c>
      <c r="G738" s="19">
        <v>0</v>
      </c>
      <c r="H738" s="19">
        <v>0</v>
      </c>
      <c r="I738" s="15">
        <v>3500</v>
      </c>
      <c r="J738" s="15">
        <v>0</v>
      </c>
      <c r="K738" s="15">
        <v>0</v>
      </c>
      <c r="L738" s="16">
        <v>0</v>
      </c>
      <c r="M738" s="15">
        <v>0</v>
      </c>
      <c r="N738" s="15" t="str">
        <v/>
      </c>
      <c r="O738" s="15" t="str">
        <v/>
      </c>
      <c r="P738" s="22">
        <v>0</v>
      </c>
      <c r="Q738">
        <v>0</v>
      </c>
    </row>
    <row r="739" spans="1:17">
      <c r="A739" s="19">
        <v>0</v>
      </c>
      <c r="B739" s="19">
        <v>0</v>
      </c>
      <c r="C739" s="19">
        <v>0</v>
      </c>
      <c r="D739" s="19">
        <v>0</v>
      </c>
      <c r="E739" s="19">
        <v>0</v>
      </c>
      <c r="F739" s="19">
        <v>0</v>
      </c>
      <c r="G739" s="19">
        <v>0</v>
      </c>
      <c r="H739" s="19">
        <v>0</v>
      </c>
      <c r="I739" s="15">
        <v>3500</v>
      </c>
      <c r="J739" s="15">
        <v>0</v>
      </c>
      <c r="K739" s="15">
        <v>0</v>
      </c>
      <c r="L739" s="16">
        <v>0</v>
      </c>
      <c r="M739" s="15">
        <v>0</v>
      </c>
      <c r="N739" s="15" t="str">
        <v/>
      </c>
      <c r="O739" s="15" t="str">
        <v/>
      </c>
      <c r="P739" s="22">
        <v>0</v>
      </c>
      <c r="Q739">
        <v>0</v>
      </c>
    </row>
    <row r="740" spans="1:17">
      <c r="A740" s="19">
        <v>0</v>
      </c>
      <c r="B740" s="19">
        <v>0</v>
      </c>
      <c r="C740" s="19">
        <v>0</v>
      </c>
      <c r="D740" s="19">
        <v>0</v>
      </c>
      <c r="E740" s="19">
        <v>0</v>
      </c>
      <c r="F740" s="19">
        <v>0</v>
      </c>
      <c r="G740" s="19">
        <v>0</v>
      </c>
      <c r="H740" s="19">
        <v>0</v>
      </c>
      <c r="I740" s="15">
        <v>3500</v>
      </c>
      <c r="J740" s="15">
        <v>0</v>
      </c>
      <c r="K740" s="15">
        <v>0</v>
      </c>
      <c r="L740" s="16">
        <v>0</v>
      </c>
      <c r="M740" s="15">
        <v>0</v>
      </c>
      <c r="N740" s="15" t="str">
        <v/>
      </c>
      <c r="O740" s="15" t="str">
        <v/>
      </c>
      <c r="P740" s="22">
        <v>0</v>
      </c>
      <c r="Q740">
        <v>0</v>
      </c>
    </row>
    <row r="741" spans="1:17">
      <c r="A741" s="19">
        <v>0</v>
      </c>
      <c r="B741" s="19">
        <v>0</v>
      </c>
      <c r="C741" s="19">
        <v>0</v>
      </c>
      <c r="D741" s="19">
        <v>0</v>
      </c>
      <c r="E741" s="19">
        <v>0</v>
      </c>
      <c r="F741" s="19">
        <v>0</v>
      </c>
      <c r="G741" s="19">
        <v>0</v>
      </c>
      <c r="H741" s="19">
        <v>0</v>
      </c>
      <c r="I741" s="15">
        <v>3500</v>
      </c>
      <c r="J741" s="15">
        <v>0</v>
      </c>
      <c r="K741" s="15">
        <v>0</v>
      </c>
      <c r="L741" s="16">
        <v>0</v>
      </c>
      <c r="M741" s="15">
        <v>0</v>
      </c>
      <c r="N741" s="15" t="str">
        <v/>
      </c>
      <c r="O741" s="15" t="str">
        <v/>
      </c>
      <c r="P741" s="22">
        <v>0</v>
      </c>
      <c r="Q741">
        <v>0</v>
      </c>
    </row>
    <row r="742" spans="1:17">
      <c r="A742" s="19">
        <v>0</v>
      </c>
      <c r="B742" s="19">
        <v>0</v>
      </c>
      <c r="C742" s="19">
        <v>0</v>
      </c>
      <c r="D742" s="19">
        <v>0</v>
      </c>
      <c r="E742" s="19">
        <v>0</v>
      </c>
      <c r="F742" s="19">
        <v>0</v>
      </c>
      <c r="G742" s="19">
        <v>0</v>
      </c>
      <c r="H742" s="19">
        <v>0</v>
      </c>
      <c r="I742" s="15">
        <v>3500</v>
      </c>
      <c r="J742" s="15">
        <v>0</v>
      </c>
      <c r="K742" s="15">
        <v>0</v>
      </c>
      <c r="L742" s="16">
        <v>0</v>
      </c>
      <c r="M742" s="15">
        <v>0</v>
      </c>
      <c r="N742" s="15" t="str">
        <v/>
      </c>
      <c r="O742" s="15" t="str">
        <v/>
      </c>
      <c r="P742" s="22">
        <v>0</v>
      </c>
      <c r="Q742">
        <v>0</v>
      </c>
    </row>
    <row r="743" spans="1:17">
      <c r="A743" s="19">
        <v>0</v>
      </c>
      <c r="B743" s="19">
        <v>0</v>
      </c>
      <c r="C743" s="19">
        <v>0</v>
      </c>
      <c r="D743" s="19">
        <v>0</v>
      </c>
      <c r="E743" s="19">
        <v>0</v>
      </c>
      <c r="F743" s="19">
        <v>0</v>
      </c>
      <c r="G743" s="19">
        <v>0</v>
      </c>
      <c r="H743" s="19">
        <v>0</v>
      </c>
      <c r="I743" s="15">
        <v>3500</v>
      </c>
      <c r="J743" s="15">
        <v>0</v>
      </c>
      <c r="K743" s="15">
        <v>0</v>
      </c>
      <c r="L743" s="16">
        <v>0</v>
      </c>
      <c r="M743" s="15">
        <v>0</v>
      </c>
      <c r="N743" s="15" t="str">
        <v/>
      </c>
      <c r="O743" s="15" t="str">
        <v/>
      </c>
      <c r="P743" s="22">
        <v>0</v>
      </c>
      <c r="Q743">
        <v>0</v>
      </c>
    </row>
    <row r="744" spans="1:17">
      <c r="A744" s="19">
        <v>0</v>
      </c>
      <c r="B744" s="19">
        <v>0</v>
      </c>
      <c r="C744" s="19">
        <v>0</v>
      </c>
      <c r="D744" s="19">
        <v>0</v>
      </c>
      <c r="E744" s="19">
        <v>0</v>
      </c>
      <c r="F744" s="19">
        <v>0</v>
      </c>
      <c r="G744" s="19">
        <v>0</v>
      </c>
      <c r="H744" s="19">
        <v>0</v>
      </c>
      <c r="I744" s="15">
        <v>3500</v>
      </c>
      <c r="J744" s="15">
        <v>0</v>
      </c>
      <c r="K744" s="15">
        <v>0</v>
      </c>
      <c r="L744" s="16">
        <v>0</v>
      </c>
      <c r="M744" s="15">
        <v>0</v>
      </c>
      <c r="N744" s="15" t="str">
        <v/>
      </c>
      <c r="O744" s="15" t="str">
        <v/>
      </c>
      <c r="P744" s="22">
        <v>0</v>
      </c>
      <c r="Q744">
        <v>0</v>
      </c>
    </row>
    <row r="745" spans="1:17">
      <c r="A745" s="19">
        <v>0</v>
      </c>
      <c r="B745" s="19">
        <v>0</v>
      </c>
      <c r="C745" s="19">
        <v>0</v>
      </c>
      <c r="D745" s="19">
        <v>0</v>
      </c>
      <c r="E745" s="19">
        <v>0</v>
      </c>
      <c r="F745" s="19">
        <v>0</v>
      </c>
      <c r="G745" s="19">
        <v>0</v>
      </c>
      <c r="H745" s="19">
        <v>0</v>
      </c>
      <c r="I745" s="15">
        <v>3500</v>
      </c>
      <c r="J745" s="15">
        <v>0</v>
      </c>
      <c r="K745" s="15">
        <v>0</v>
      </c>
      <c r="L745" s="16">
        <v>0</v>
      </c>
      <c r="M745" s="15">
        <v>0</v>
      </c>
      <c r="N745" s="15" t="str">
        <v/>
      </c>
      <c r="O745" s="15" t="str">
        <v/>
      </c>
      <c r="P745" s="22">
        <v>0</v>
      </c>
      <c r="Q745">
        <v>0</v>
      </c>
    </row>
    <row r="746" spans="1:17">
      <c r="A746" s="19">
        <v>0</v>
      </c>
      <c r="B746" s="19">
        <v>0</v>
      </c>
      <c r="C746" s="19">
        <v>0</v>
      </c>
      <c r="D746" s="19">
        <v>0</v>
      </c>
      <c r="E746" s="19">
        <v>0</v>
      </c>
      <c r="F746" s="19">
        <v>0</v>
      </c>
      <c r="G746" s="19">
        <v>0</v>
      </c>
      <c r="H746" s="19">
        <v>0</v>
      </c>
      <c r="I746" s="15">
        <v>3500</v>
      </c>
      <c r="J746" s="15">
        <v>0</v>
      </c>
      <c r="K746" s="15">
        <v>0</v>
      </c>
      <c r="L746" s="16">
        <v>0</v>
      </c>
      <c r="M746" s="15">
        <v>0</v>
      </c>
      <c r="N746" s="15" t="str">
        <v/>
      </c>
      <c r="O746" s="15" t="str">
        <v/>
      </c>
      <c r="P746" s="22">
        <v>0</v>
      </c>
      <c r="Q746">
        <v>0</v>
      </c>
    </row>
    <row r="747" spans="1:17">
      <c r="A747" s="19">
        <v>0</v>
      </c>
      <c r="B747" s="19">
        <v>0</v>
      </c>
      <c r="C747" s="19">
        <v>0</v>
      </c>
      <c r="D747" s="19">
        <v>0</v>
      </c>
      <c r="E747" s="19">
        <v>0</v>
      </c>
      <c r="F747" s="19">
        <v>0</v>
      </c>
      <c r="G747" s="19">
        <v>0</v>
      </c>
      <c r="H747" s="19">
        <v>0</v>
      </c>
      <c r="I747" s="15">
        <v>3500</v>
      </c>
      <c r="J747" s="15">
        <v>0</v>
      </c>
      <c r="K747" s="15">
        <v>0</v>
      </c>
      <c r="L747" s="16">
        <v>0</v>
      </c>
      <c r="M747" s="15">
        <v>0</v>
      </c>
      <c r="N747" s="15" t="str">
        <v/>
      </c>
      <c r="O747" s="15" t="str">
        <v/>
      </c>
      <c r="P747" s="22">
        <v>0</v>
      </c>
      <c r="Q747">
        <v>0</v>
      </c>
    </row>
    <row r="748" spans="1:17">
      <c r="A748" s="19">
        <v>0</v>
      </c>
      <c r="B748" s="19">
        <v>0</v>
      </c>
      <c r="C748" s="19">
        <v>0</v>
      </c>
      <c r="D748" s="19">
        <v>0</v>
      </c>
      <c r="E748" s="19">
        <v>0</v>
      </c>
      <c r="F748" s="19">
        <v>0</v>
      </c>
      <c r="G748" s="19">
        <v>0</v>
      </c>
      <c r="H748" s="19">
        <v>0</v>
      </c>
      <c r="I748" s="15">
        <v>3500</v>
      </c>
      <c r="J748" s="15">
        <v>0</v>
      </c>
      <c r="K748" s="15">
        <v>0</v>
      </c>
      <c r="L748" s="16">
        <v>0</v>
      </c>
      <c r="M748" s="15">
        <v>0</v>
      </c>
      <c r="N748" s="15" t="str">
        <v/>
      </c>
      <c r="O748" s="15" t="str">
        <v/>
      </c>
      <c r="P748" s="22">
        <v>0</v>
      </c>
      <c r="Q748">
        <v>0</v>
      </c>
    </row>
    <row r="749" spans="1:17">
      <c r="A749" s="19">
        <v>0</v>
      </c>
      <c r="B749" s="19">
        <v>0</v>
      </c>
      <c r="C749" s="19">
        <v>0</v>
      </c>
      <c r="D749" s="19">
        <v>0</v>
      </c>
      <c r="E749" s="19">
        <v>0</v>
      </c>
      <c r="F749" s="19">
        <v>0</v>
      </c>
      <c r="G749" s="19">
        <v>0</v>
      </c>
      <c r="H749" s="19">
        <v>0</v>
      </c>
      <c r="I749" s="15">
        <v>3500</v>
      </c>
      <c r="J749" s="15">
        <v>0</v>
      </c>
      <c r="K749" s="15">
        <v>0</v>
      </c>
      <c r="L749" s="16">
        <v>0</v>
      </c>
      <c r="M749" s="15">
        <v>0</v>
      </c>
      <c r="N749" s="15" t="str">
        <v/>
      </c>
      <c r="O749" s="15" t="str">
        <v/>
      </c>
      <c r="P749" s="22">
        <v>0</v>
      </c>
      <c r="Q749">
        <v>0</v>
      </c>
    </row>
    <row r="750" spans="1:17">
      <c r="A750" s="19">
        <v>0</v>
      </c>
      <c r="B750" s="19">
        <v>0</v>
      </c>
      <c r="C750" s="19">
        <v>0</v>
      </c>
      <c r="D750" s="19">
        <v>0</v>
      </c>
      <c r="E750" s="19">
        <v>0</v>
      </c>
      <c r="F750" s="19">
        <v>0</v>
      </c>
      <c r="G750" s="19">
        <v>0</v>
      </c>
      <c r="H750" s="19">
        <v>0</v>
      </c>
      <c r="I750" s="15">
        <v>3500</v>
      </c>
      <c r="J750" s="15">
        <v>0</v>
      </c>
      <c r="K750" s="15">
        <v>0</v>
      </c>
      <c r="L750" s="16">
        <v>0</v>
      </c>
      <c r="M750" s="15">
        <v>0</v>
      </c>
      <c r="N750" s="15" t="str">
        <v/>
      </c>
      <c r="O750" s="15" t="str">
        <v/>
      </c>
      <c r="P750" s="22">
        <v>0</v>
      </c>
      <c r="Q750">
        <v>0</v>
      </c>
    </row>
    <row r="751" spans="1:17">
      <c r="A751" s="19">
        <v>0</v>
      </c>
      <c r="B751" s="19">
        <v>0</v>
      </c>
      <c r="C751" s="19">
        <v>0</v>
      </c>
      <c r="D751" s="19">
        <v>0</v>
      </c>
      <c r="E751" s="19">
        <v>0</v>
      </c>
      <c r="F751" s="19">
        <v>0</v>
      </c>
      <c r="G751" s="19">
        <v>0</v>
      </c>
      <c r="H751" s="19">
        <v>0</v>
      </c>
      <c r="I751" s="15">
        <v>3500</v>
      </c>
      <c r="J751" s="15">
        <v>0</v>
      </c>
      <c r="K751" s="15">
        <v>0</v>
      </c>
      <c r="L751" s="16">
        <v>0</v>
      </c>
      <c r="M751" s="15">
        <v>0</v>
      </c>
      <c r="N751" s="15" t="str">
        <v/>
      </c>
      <c r="O751" s="15" t="str">
        <v/>
      </c>
      <c r="P751" s="22">
        <v>0</v>
      </c>
      <c r="Q751">
        <v>0</v>
      </c>
    </row>
    <row r="752" spans="1:17">
      <c r="A752" s="19">
        <v>0</v>
      </c>
      <c r="B752" s="19">
        <v>0</v>
      </c>
      <c r="C752" s="19">
        <v>0</v>
      </c>
      <c r="D752" s="19">
        <v>0</v>
      </c>
      <c r="E752" s="19">
        <v>0</v>
      </c>
      <c r="F752" s="19">
        <v>0</v>
      </c>
      <c r="G752" s="19">
        <v>0</v>
      </c>
      <c r="H752" s="19">
        <v>0</v>
      </c>
      <c r="I752" s="15">
        <v>3500</v>
      </c>
      <c r="J752" s="15">
        <v>0</v>
      </c>
      <c r="K752" s="15">
        <v>0</v>
      </c>
      <c r="L752" s="16">
        <v>0</v>
      </c>
      <c r="M752" s="15">
        <v>0</v>
      </c>
      <c r="N752" s="15" t="str">
        <v/>
      </c>
      <c r="O752" s="15" t="str">
        <v/>
      </c>
      <c r="P752" s="22">
        <v>0</v>
      </c>
      <c r="Q752">
        <v>0</v>
      </c>
    </row>
    <row r="753" spans="1:17">
      <c r="A753" s="19">
        <v>0</v>
      </c>
      <c r="B753" s="19">
        <v>0</v>
      </c>
      <c r="C753" s="19">
        <v>0</v>
      </c>
      <c r="D753" s="19">
        <v>0</v>
      </c>
      <c r="E753" s="19">
        <v>0</v>
      </c>
      <c r="F753" s="19">
        <v>0</v>
      </c>
      <c r="G753" s="19">
        <v>0</v>
      </c>
      <c r="H753" s="19">
        <v>0</v>
      </c>
      <c r="I753" s="15">
        <v>3500</v>
      </c>
      <c r="J753" s="15">
        <v>0</v>
      </c>
      <c r="K753" s="15">
        <v>0</v>
      </c>
      <c r="L753" s="16">
        <v>0</v>
      </c>
      <c r="M753" s="15">
        <v>0</v>
      </c>
      <c r="N753" s="15" t="str">
        <v/>
      </c>
      <c r="O753" s="15" t="str">
        <v/>
      </c>
      <c r="P753" s="22">
        <v>0</v>
      </c>
      <c r="Q753">
        <v>0</v>
      </c>
    </row>
    <row r="754" spans="1:17">
      <c r="A754" s="19">
        <v>0</v>
      </c>
      <c r="B754" s="19">
        <v>0</v>
      </c>
      <c r="C754" s="19">
        <v>0</v>
      </c>
      <c r="D754" s="19">
        <v>0</v>
      </c>
      <c r="E754" s="19">
        <v>0</v>
      </c>
      <c r="F754" s="19">
        <v>0</v>
      </c>
      <c r="G754" s="19">
        <v>0</v>
      </c>
      <c r="H754" s="19">
        <v>0</v>
      </c>
      <c r="I754" s="15">
        <v>3500</v>
      </c>
      <c r="J754" s="15">
        <v>0</v>
      </c>
      <c r="K754" s="15">
        <v>0</v>
      </c>
      <c r="L754" s="16">
        <v>0</v>
      </c>
      <c r="M754" s="15">
        <v>0</v>
      </c>
      <c r="N754" s="15" t="str">
        <v/>
      </c>
      <c r="O754" s="15" t="str">
        <v/>
      </c>
      <c r="P754" s="22">
        <v>0</v>
      </c>
      <c r="Q754">
        <v>0</v>
      </c>
    </row>
    <row r="755" spans="1:17">
      <c r="A755" s="19">
        <v>0</v>
      </c>
      <c r="B755" s="19">
        <v>0</v>
      </c>
      <c r="C755" s="19">
        <v>0</v>
      </c>
      <c r="D755" s="19">
        <v>0</v>
      </c>
      <c r="E755" s="19">
        <v>0</v>
      </c>
      <c r="F755" s="19">
        <v>0</v>
      </c>
      <c r="G755" s="19">
        <v>0</v>
      </c>
      <c r="H755" s="19">
        <v>0</v>
      </c>
      <c r="I755" s="15">
        <v>3500</v>
      </c>
      <c r="J755" s="15">
        <v>0</v>
      </c>
      <c r="K755" s="15">
        <v>0</v>
      </c>
      <c r="L755" s="16">
        <v>0</v>
      </c>
      <c r="M755" s="15">
        <v>0</v>
      </c>
      <c r="N755" s="15" t="str">
        <v/>
      </c>
      <c r="O755" s="15" t="str">
        <v/>
      </c>
      <c r="P755" s="22">
        <v>0</v>
      </c>
      <c r="Q755">
        <v>0</v>
      </c>
    </row>
    <row r="756" spans="1:17">
      <c r="A756" s="19">
        <v>0</v>
      </c>
      <c r="B756" s="19">
        <v>0</v>
      </c>
      <c r="C756" s="19">
        <v>0</v>
      </c>
      <c r="D756" s="19">
        <v>0</v>
      </c>
      <c r="E756" s="19">
        <v>0</v>
      </c>
      <c r="F756" s="19">
        <v>0</v>
      </c>
      <c r="G756" s="19">
        <v>0</v>
      </c>
      <c r="H756" s="19">
        <v>0</v>
      </c>
      <c r="I756" s="15">
        <v>3500</v>
      </c>
      <c r="J756" s="15">
        <v>0</v>
      </c>
      <c r="K756" s="15">
        <v>0</v>
      </c>
      <c r="L756" s="16">
        <v>0</v>
      </c>
      <c r="M756" s="15">
        <v>0</v>
      </c>
      <c r="N756" s="15" t="str">
        <v/>
      </c>
      <c r="O756" s="15" t="str">
        <v/>
      </c>
      <c r="P756" s="22">
        <v>0</v>
      </c>
      <c r="Q756">
        <v>0</v>
      </c>
    </row>
    <row r="757" spans="1:17">
      <c r="A757" s="19">
        <v>0</v>
      </c>
      <c r="B757" s="19">
        <v>0</v>
      </c>
      <c r="C757" s="19">
        <v>0</v>
      </c>
      <c r="D757" s="19">
        <v>0</v>
      </c>
      <c r="E757" s="19">
        <v>0</v>
      </c>
      <c r="F757" s="19">
        <v>0</v>
      </c>
      <c r="G757" s="19">
        <v>0</v>
      </c>
      <c r="H757" s="19">
        <v>0</v>
      </c>
      <c r="I757" s="15">
        <v>3500</v>
      </c>
      <c r="J757" s="15">
        <v>0</v>
      </c>
      <c r="K757" s="15">
        <v>0</v>
      </c>
      <c r="L757" s="16">
        <v>0</v>
      </c>
      <c r="M757" s="15">
        <v>0</v>
      </c>
      <c r="N757" s="15" t="str">
        <v/>
      </c>
      <c r="O757" s="15" t="str">
        <v/>
      </c>
      <c r="P757" s="22">
        <v>0</v>
      </c>
      <c r="Q757">
        <v>0</v>
      </c>
    </row>
    <row r="758" spans="1:17">
      <c r="A758" s="19">
        <v>0</v>
      </c>
      <c r="B758" s="19">
        <v>0</v>
      </c>
      <c r="C758" s="19">
        <v>0</v>
      </c>
      <c r="D758" s="19">
        <v>0</v>
      </c>
      <c r="E758" s="19">
        <v>0</v>
      </c>
      <c r="F758" s="19">
        <v>0</v>
      </c>
      <c r="G758" s="19">
        <v>0</v>
      </c>
      <c r="H758" s="19">
        <v>0</v>
      </c>
      <c r="I758" s="15">
        <v>3500</v>
      </c>
      <c r="J758" s="15">
        <v>0</v>
      </c>
      <c r="K758" s="15">
        <v>0</v>
      </c>
      <c r="L758" s="16">
        <v>0</v>
      </c>
      <c r="M758" s="15">
        <v>0</v>
      </c>
      <c r="N758" s="15" t="str">
        <v/>
      </c>
      <c r="O758" s="15" t="str">
        <v/>
      </c>
      <c r="P758" s="22">
        <v>0</v>
      </c>
      <c r="Q758">
        <v>0</v>
      </c>
    </row>
    <row r="759" spans="1:17">
      <c r="A759" s="19">
        <v>0</v>
      </c>
      <c r="B759" s="19">
        <v>0</v>
      </c>
      <c r="C759" s="19">
        <v>0</v>
      </c>
      <c r="D759" s="19">
        <v>0</v>
      </c>
      <c r="E759" s="19">
        <v>0</v>
      </c>
      <c r="F759" s="19">
        <v>0</v>
      </c>
      <c r="G759" s="19">
        <v>0</v>
      </c>
      <c r="H759" s="19">
        <v>0</v>
      </c>
      <c r="I759" s="15">
        <v>3500</v>
      </c>
      <c r="J759" s="15">
        <v>0</v>
      </c>
      <c r="K759" s="15">
        <v>0</v>
      </c>
      <c r="L759" s="16">
        <v>0</v>
      </c>
      <c r="M759" s="15">
        <v>0</v>
      </c>
      <c r="N759" s="15" t="str">
        <v/>
      </c>
      <c r="O759" s="15" t="str">
        <v/>
      </c>
      <c r="P759" s="22">
        <v>0</v>
      </c>
      <c r="Q759">
        <v>0</v>
      </c>
    </row>
    <row r="760" spans="1:17">
      <c r="A760" s="19">
        <v>0</v>
      </c>
      <c r="B760" s="19">
        <v>0</v>
      </c>
      <c r="C760" s="19">
        <v>0</v>
      </c>
      <c r="D760" s="19">
        <v>0</v>
      </c>
      <c r="E760" s="19">
        <v>0</v>
      </c>
      <c r="F760" s="19">
        <v>0</v>
      </c>
      <c r="G760" s="19">
        <v>0</v>
      </c>
      <c r="H760" s="19">
        <v>0</v>
      </c>
      <c r="I760" s="15">
        <v>3500</v>
      </c>
      <c r="J760" s="15">
        <v>0</v>
      </c>
      <c r="K760" s="15">
        <v>0</v>
      </c>
      <c r="L760" s="16">
        <v>0</v>
      </c>
      <c r="M760" s="15">
        <v>0</v>
      </c>
      <c r="N760" s="15" t="str">
        <v/>
      </c>
      <c r="O760" s="15" t="str">
        <v/>
      </c>
      <c r="P760" s="22">
        <v>0</v>
      </c>
      <c r="Q760">
        <v>0</v>
      </c>
    </row>
    <row r="761" spans="1:17">
      <c r="A761" s="19">
        <v>0</v>
      </c>
      <c r="B761" s="19">
        <v>0</v>
      </c>
      <c r="C761" s="19">
        <v>0</v>
      </c>
      <c r="D761" s="19">
        <v>0</v>
      </c>
      <c r="E761" s="19">
        <v>0</v>
      </c>
      <c r="F761" s="19">
        <v>0</v>
      </c>
      <c r="G761" s="19">
        <v>0</v>
      </c>
      <c r="H761" s="19">
        <v>0</v>
      </c>
      <c r="I761" s="15">
        <v>3500</v>
      </c>
      <c r="J761" s="15">
        <v>0</v>
      </c>
      <c r="K761" s="15">
        <v>0</v>
      </c>
      <c r="L761" s="16">
        <v>0</v>
      </c>
      <c r="M761" s="15">
        <v>0</v>
      </c>
      <c r="N761" s="15" t="str">
        <v/>
      </c>
      <c r="O761" s="15" t="str">
        <v/>
      </c>
      <c r="P761" s="22">
        <v>0</v>
      </c>
      <c r="Q761">
        <v>0</v>
      </c>
    </row>
    <row r="762" spans="1:17">
      <c r="A762" s="19">
        <v>0</v>
      </c>
      <c r="B762" s="19">
        <v>0</v>
      </c>
      <c r="C762" s="19">
        <v>0</v>
      </c>
      <c r="D762" s="19">
        <v>0</v>
      </c>
      <c r="E762" s="19">
        <v>0</v>
      </c>
      <c r="F762" s="19">
        <v>0</v>
      </c>
      <c r="G762" s="19">
        <v>0</v>
      </c>
      <c r="H762" s="19">
        <v>0</v>
      </c>
      <c r="I762" s="15">
        <v>3500</v>
      </c>
      <c r="J762" s="15">
        <v>0</v>
      </c>
      <c r="K762" s="15">
        <v>0</v>
      </c>
      <c r="L762" s="16">
        <v>0</v>
      </c>
      <c r="M762" s="15">
        <v>0</v>
      </c>
      <c r="N762" s="15" t="str">
        <v/>
      </c>
      <c r="O762" s="15" t="str">
        <v/>
      </c>
      <c r="P762" s="22">
        <v>0</v>
      </c>
      <c r="Q762">
        <v>0</v>
      </c>
    </row>
    <row r="763" spans="1:17">
      <c r="A763" s="19">
        <v>0</v>
      </c>
      <c r="B763" s="19">
        <v>0</v>
      </c>
      <c r="C763" s="19">
        <v>0</v>
      </c>
      <c r="D763" s="19">
        <v>0</v>
      </c>
      <c r="E763" s="19">
        <v>0</v>
      </c>
      <c r="F763" s="19">
        <v>0</v>
      </c>
      <c r="G763" s="19">
        <v>0</v>
      </c>
      <c r="H763" s="19">
        <v>0</v>
      </c>
      <c r="I763" s="15">
        <v>3500</v>
      </c>
      <c r="J763" s="15">
        <v>0</v>
      </c>
      <c r="K763" s="15">
        <v>0</v>
      </c>
      <c r="L763" s="16">
        <v>0</v>
      </c>
      <c r="M763" s="15">
        <v>0</v>
      </c>
      <c r="N763" s="15" t="str">
        <v/>
      </c>
      <c r="O763" s="15" t="str">
        <v/>
      </c>
      <c r="P763" s="22">
        <v>0</v>
      </c>
      <c r="Q763">
        <v>0</v>
      </c>
    </row>
    <row r="764" spans="1:17">
      <c r="A764" s="19">
        <v>0</v>
      </c>
      <c r="B764" s="19">
        <v>0</v>
      </c>
      <c r="C764" s="19">
        <v>0</v>
      </c>
      <c r="D764" s="19">
        <v>0</v>
      </c>
      <c r="E764" s="19">
        <v>0</v>
      </c>
      <c r="F764" s="19">
        <v>0</v>
      </c>
      <c r="G764" s="19">
        <v>0</v>
      </c>
      <c r="H764" s="19">
        <v>0</v>
      </c>
      <c r="I764" s="15">
        <v>3500</v>
      </c>
      <c r="J764" s="15">
        <v>0</v>
      </c>
      <c r="K764" s="15">
        <v>0</v>
      </c>
      <c r="L764" s="16">
        <v>0</v>
      </c>
      <c r="M764" s="15">
        <v>0</v>
      </c>
      <c r="N764" s="15" t="str">
        <v/>
      </c>
      <c r="O764" s="15" t="str">
        <v/>
      </c>
      <c r="P764" s="22">
        <v>0</v>
      </c>
      <c r="Q764">
        <v>0</v>
      </c>
    </row>
    <row r="765" spans="1:17">
      <c r="A765" s="19">
        <v>0</v>
      </c>
      <c r="B765" s="19">
        <v>0</v>
      </c>
      <c r="C765" s="19">
        <v>0</v>
      </c>
      <c r="D765" s="19">
        <v>0</v>
      </c>
      <c r="E765" s="19">
        <v>0</v>
      </c>
      <c r="F765" s="19">
        <v>0</v>
      </c>
      <c r="G765" s="19">
        <v>0</v>
      </c>
      <c r="H765" s="19">
        <v>0</v>
      </c>
      <c r="I765" s="15">
        <v>3500</v>
      </c>
      <c r="J765" s="15">
        <v>0</v>
      </c>
      <c r="K765" s="15">
        <v>0</v>
      </c>
      <c r="L765" s="16">
        <v>0</v>
      </c>
      <c r="M765" s="15">
        <v>0</v>
      </c>
      <c r="N765" s="15" t="str">
        <v/>
      </c>
      <c r="O765" s="15" t="str">
        <v/>
      </c>
      <c r="P765" s="22">
        <v>0</v>
      </c>
      <c r="Q765">
        <v>0</v>
      </c>
    </row>
    <row r="766" spans="1:17">
      <c r="A766" s="19">
        <v>0</v>
      </c>
      <c r="B766" s="19">
        <v>0</v>
      </c>
      <c r="C766" s="19">
        <v>0</v>
      </c>
      <c r="D766" s="19">
        <v>0</v>
      </c>
      <c r="E766" s="19">
        <v>0</v>
      </c>
      <c r="F766" s="19">
        <v>0</v>
      </c>
      <c r="G766" s="19">
        <v>0</v>
      </c>
      <c r="H766" s="19">
        <v>0</v>
      </c>
      <c r="I766" s="15">
        <v>3500</v>
      </c>
      <c r="J766" s="15">
        <v>0</v>
      </c>
      <c r="K766" s="15">
        <v>0</v>
      </c>
      <c r="L766" s="16">
        <v>0</v>
      </c>
      <c r="M766" s="15">
        <v>0</v>
      </c>
      <c r="N766" s="15" t="str">
        <v/>
      </c>
      <c r="O766" s="15" t="str">
        <v/>
      </c>
      <c r="P766" s="22">
        <v>0</v>
      </c>
      <c r="Q766">
        <v>0</v>
      </c>
    </row>
    <row r="767" spans="1:17">
      <c r="A767" s="19">
        <v>0</v>
      </c>
      <c r="B767" s="19">
        <v>0</v>
      </c>
      <c r="C767" s="19">
        <v>0</v>
      </c>
      <c r="D767" s="19">
        <v>0</v>
      </c>
      <c r="E767" s="19">
        <v>0</v>
      </c>
      <c r="F767" s="19">
        <v>0</v>
      </c>
      <c r="G767" s="19">
        <v>0</v>
      </c>
      <c r="H767" s="19">
        <v>0</v>
      </c>
      <c r="I767" s="15">
        <v>3500</v>
      </c>
      <c r="J767" s="15">
        <v>0</v>
      </c>
      <c r="K767" s="15">
        <v>0</v>
      </c>
      <c r="L767" s="16">
        <v>0</v>
      </c>
      <c r="M767" s="15">
        <v>0</v>
      </c>
      <c r="N767" s="15" t="str">
        <v/>
      </c>
      <c r="O767" s="15" t="str">
        <v/>
      </c>
      <c r="P767" s="22">
        <v>0</v>
      </c>
      <c r="Q767">
        <v>0</v>
      </c>
    </row>
    <row r="768" spans="1:17">
      <c r="A768" s="19">
        <v>0</v>
      </c>
      <c r="B768" s="19">
        <v>0</v>
      </c>
      <c r="C768" s="19">
        <v>0</v>
      </c>
      <c r="D768" s="19">
        <v>0</v>
      </c>
      <c r="E768" s="19">
        <v>0</v>
      </c>
      <c r="F768" s="19">
        <v>0</v>
      </c>
      <c r="G768" s="19">
        <v>0</v>
      </c>
      <c r="H768" s="19">
        <v>0</v>
      </c>
      <c r="I768" s="15">
        <v>3500</v>
      </c>
      <c r="J768" s="15">
        <v>0</v>
      </c>
      <c r="K768" s="15">
        <v>0</v>
      </c>
      <c r="L768" s="16">
        <v>0</v>
      </c>
      <c r="M768" s="15">
        <v>0</v>
      </c>
      <c r="N768" s="15" t="str">
        <v/>
      </c>
      <c r="O768" s="15" t="str">
        <v/>
      </c>
      <c r="P768" s="22">
        <v>0</v>
      </c>
      <c r="Q768">
        <v>0</v>
      </c>
    </row>
    <row r="769" spans="1:17">
      <c r="A769" s="19">
        <v>0</v>
      </c>
      <c r="B769" s="19">
        <v>0</v>
      </c>
      <c r="C769" s="19">
        <v>0</v>
      </c>
      <c r="D769" s="19">
        <v>0</v>
      </c>
      <c r="E769" s="19">
        <v>0</v>
      </c>
      <c r="F769" s="19">
        <v>0</v>
      </c>
      <c r="G769" s="19">
        <v>0</v>
      </c>
      <c r="H769" s="19">
        <v>0</v>
      </c>
      <c r="I769" s="15">
        <v>3500</v>
      </c>
      <c r="J769" s="15">
        <v>0</v>
      </c>
      <c r="K769" s="15">
        <v>0</v>
      </c>
      <c r="L769" s="16">
        <v>0</v>
      </c>
      <c r="M769" s="15">
        <v>0</v>
      </c>
      <c r="N769" s="15" t="str">
        <v/>
      </c>
      <c r="O769" s="15" t="str">
        <v/>
      </c>
      <c r="P769" s="22">
        <v>0</v>
      </c>
      <c r="Q769">
        <v>0</v>
      </c>
    </row>
    <row r="770" spans="1:17">
      <c r="A770" s="19">
        <v>0</v>
      </c>
      <c r="B770" s="19">
        <v>0</v>
      </c>
      <c r="C770" s="19">
        <v>0</v>
      </c>
      <c r="D770" s="19">
        <v>0</v>
      </c>
      <c r="E770" s="19">
        <v>0</v>
      </c>
      <c r="F770" s="19">
        <v>0</v>
      </c>
      <c r="G770" s="19">
        <v>0</v>
      </c>
      <c r="H770" s="19">
        <v>0</v>
      </c>
      <c r="I770" s="15">
        <v>3500</v>
      </c>
      <c r="J770" s="15">
        <v>0</v>
      </c>
      <c r="K770" s="15">
        <v>0</v>
      </c>
      <c r="L770" s="16">
        <v>0</v>
      </c>
      <c r="M770" s="15">
        <v>0</v>
      </c>
      <c r="N770" s="15" t="str">
        <v/>
      </c>
      <c r="O770" s="15" t="str">
        <v/>
      </c>
      <c r="P770" s="22">
        <v>0</v>
      </c>
      <c r="Q770">
        <v>0</v>
      </c>
    </row>
    <row r="771" spans="1:17">
      <c r="A771" s="19">
        <v>0</v>
      </c>
      <c r="B771" s="19">
        <v>0</v>
      </c>
      <c r="C771" s="19">
        <v>0</v>
      </c>
      <c r="D771" s="19">
        <v>0</v>
      </c>
      <c r="E771" s="19">
        <v>0</v>
      </c>
      <c r="F771" s="19">
        <v>0</v>
      </c>
      <c r="G771" s="19">
        <v>0</v>
      </c>
      <c r="H771" s="19">
        <v>0</v>
      </c>
      <c r="I771" s="15">
        <v>3500</v>
      </c>
      <c r="J771" s="15">
        <v>0</v>
      </c>
      <c r="K771" s="15">
        <v>0</v>
      </c>
      <c r="L771" s="16">
        <v>0</v>
      </c>
      <c r="M771" s="15">
        <v>0</v>
      </c>
      <c r="N771" s="15" t="str">
        <v/>
      </c>
      <c r="O771" s="15" t="str">
        <v/>
      </c>
      <c r="P771" s="22">
        <v>0</v>
      </c>
      <c r="Q771">
        <v>0</v>
      </c>
    </row>
    <row r="772" spans="1:17">
      <c r="A772" s="19">
        <v>0</v>
      </c>
      <c r="B772" s="19">
        <v>0</v>
      </c>
      <c r="C772" s="19">
        <v>0</v>
      </c>
      <c r="D772" s="19">
        <v>0</v>
      </c>
      <c r="E772" s="19">
        <v>0</v>
      </c>
      <c r="F772" s="19">
        <v>0</v>
      </c>
      <c r="G772" s="19">
        <v>0</v>
      </c>
      <c r="H772" s="19">
        <v>0</v>
      </c>
      <c r="I772" s="15">
        <v>3500</v>
      </c>
      <c r="J772" s="15">
        <v>0</v>
      </c>
      <c r="K772" s="15">
        <v>0</v>
      </c>
      <c r="L772" s="16">
        <v>0</v>
      </c>
      <c r="M772" s="15">
        <v>0</v>
      </c>
      <c r="N772" s="15" t="str">
        <v/>
      </c>
      <c r="O772" s="15" t="str">
        <v/>
      </c>
      <c r="P772" s="22">
        <v>0</v>
      </c>
      <c r="Q772">
        <v>0</v>
      </c>
    </row>
    <row r="773" spans="1:17">
      <c r="A773" s="19">
        <v>0</v>
      </c>
      <c r="B773" s="19">
        <v>0</v>
      </c>
      <c r="C773" s="19">
        <v>0</v>
      </c>
      <c r="D773" s="19">
        <v>0</v>
      </c>
      <c r="E773" s="19">
        <v>0</v>
      </c>
      <c r="F773" s="19">
        <v>0</v>
      </c>
      <c r="G773" s="19">
        <v>0</v>
      </c>
      <c r="H773" s="19">
        <v>0</v>
      </c>
      <c r="I773" s="15">
        <v>3500</v>
      </c>
      <c r="J773" s="15">
        <v>0</v>
      </c>
      <c r="K773" s="15">
        <v>0</v>
      </c>
      <c r="L773" s="16">
        <v>0</v>
      </c>
      <c r="M773" s="15">
        <v>0</v>
      </c>
      <c r="N773" s="15" t="str">
        <v/>
      </c>
      <c r="O773" s="15" t="str">
        <v/>
      </c>
      <c r="P773" s="22">
        <v>0</v>
      </c>
      <c r="Q773">
        <v>0</v>
      </c>
    </row>
    <row r="774" spans="1:17">
      <c r="A774" s="19">
        <v>0</v>
      </c>
      <c r="B774" s="19">
        <v>0</v>
      </c>
      <c r="C774" s="19">
        <v>0</v>
      </c>
      <c r="D774" s="19">
        <v>0</v>
      </c>
      <c r="E774" s="19">
        <v>0</v>
      </c>
      <c r="F774" s="19">
        <v>0</v>
      </c>
      <c r="G774" s="19">
        <v>0</v>
      </c>
      <c r="H774" s="19">
        <v>0</v>
      </c>
      <c r="I774" s="15">
        <v>3500</v>
      </c>
      <c r="J774" s="15">
        <v>0</v>
      </c>
      <c r="K774" s="15">
        <v>0</v>
      </c>
      <c r="L774" s="16">
        <v>0</v>
      </c>
      <c r="M774" s="15">
        <v>0</v>
      </c>
      <c r="N774" s="15" t="str">
        <v/>
      </c>
      <c r="O774" s="15" t="str">
        <v/>
      </c>
      <c r="P774" s="22">
        <v>0</v>
      </c>
      <c r="Q774">
        <v>0</v>
      </c>
    </row>
    <row r="775" spans="1:17">
      <c r="A775" s="19">
        <v>0</v>
      </c>
      <c r="B775" s="19">
        <v>0</v>
      </c>
      <c r="C775" s="19">
        <v>0</v>
      </c>
      <c r="D775" s="19">
        <v>0</v>
      </c>
      <c r="E775" s="19">
        <v>0</v>
      </c>
      <c r="F775" s="19">
        <v>0</v>
      </c>
      <c r="G775" s="19">
        <v>0</v>
      </c>
      <c r="H775" s="19">
        <v>0</v>
      </c>
      <c r="I775" s="15">
        <v>3500</v>
      </c>
      <c r="J775" s="15">
        <v>0</v>
      </c>
      <c r="K775" s="15">
        <v>0</v>
      </c>
      <c r="L775" s="16">
        <v>0</v>
      </c>
      <c r="M775" s="15">
        <v>0</v>
      </c>
      <c r="N775" s="15" t="str">
        <v/>
      </c>
      <c r="O775" s="15" t="str">
        <v/>
      </c>
      <c r="P775" s="22">
        <v>0</v>
      </c>
      <c r="Q775">
        <v>0</v>
      </c>
    </row>
    <row r="776" spans="1:17">
      <c r="A776" s="19">
        <v>0</v>
      </c>
      <c r="B776" s="19">
        <v>0</v>
      </c>
      <c r="C776" s="19">
        <v>0</v>
      </c>
      <c r="D776" s="19">
        <v>0</v>
      </c>
      <c r="E776" s="19">
        <v>0</v>
      </c>
      <c r="F776" s="19">
        <v>0</v>
      </c>
      <c r="G776" s="19">
        <v>0</v>
      </c>
      <c r="H776" s="19">
        <v>0</v>
      </c>
      <c r="I776" s="15">
        <v>3500</v>
      </c>
      <c r="J776" s="15">
        <v>0</v>
      </c>
      <c r="K776" s="15">
        <v>0</v>
      </c>
      <c r="L776" s="16">
        <v>0</v>
      </c>
      <c r="M776" s="15">
        <v>0</v>
      </c>
      <c r="N776" s="15" t="str">
        <v/>
      </c>
      <c r="O776" s="15" t="str">
        <v/>
      </c>
      <c r="P776" s="22">
        <v>0</v>
      </c>
      <c r="Q776">
        <v>0</v>
      </c>
    </row>
    <row r="777" spans="1:17">
      <c r="A777" s="19">
        <v>0</v>
      </c>
      <c r="B777" s="19">
        <v>0</v>
      </c>
      <c r="C777" s="19">
        <v>0</v>
      </c>
      <c r="D777" s="19">
        <v>0</v>
      </c>
      <c r="E777" s="19">
        <v>0</v>
      </c>
      <c r="F777" s="19">
        <v>0</v>
      </c>
      <c r="G777" s="19">
        <v>0</v>
      </c>
      <c r="H777" s="19">
        <v>0</v>
      </c>
      <c r="I777" s="15">
        <v>3500</v>
      </c>
      <c r="J777" s="15">
        <v>0</v>
      </c>
      <c r="K777" s="15">
        <v>0</v>
      </c>
      <c r="L777" s="16">
        <v>0</v>
      </c>
      <c r="M777" s="15">
        <v>0</v>
      </c>
      <c r="N777" s="15" t="str">
        <v/>
      </c>
      <c r="O777" s="15" t="str">
        <v/>
      </c>
      <c r="P777" s="22">
        <v>0</v>
      </c>
      <c r="Q777">
        <v>0</v>
      </c>
    </row>
    <row r="778" spans="1:17">
      <c r="A778" s="19">
        <v>0</v>
      </c>
      <c r="B778" s="19">
        <v>0</v>
      </c>
      <c r="C778" s="19">
        <v>0</v>
      </c>
      <c r="D778" s="19">
        <v>0</v>
      </c>
      <c r="E778" s="19">
        <v>0</v>
      </c>
      <c r="F778" s="19">
        <v>0</v>
      </c>
      <c r="G778" s="19">
        <v>0</v>
      </c>
      <c r="H778" s="19">
        <v>0</v>
      </c>
      <c r="I778" s="15">
        <v>3500</v>
      </c>
      <c r="J778" s="15">
        <v>0</v>
      </c>
      <c r="K778" s="15">
        <v>0</v>
      </c>
      <c r="L778" s="16">
        <v>0</v>
      </c>
      <c r="M778" s="15">
        <v>0</v>
      </c>
      <c r="N778" s="15" t="str">
        <v/>
      </c>
      <c r="O778" s="15" t="str">
        <v/>
      </c>
      <c r="P778" s="22">
        <v>0</v>
      </c>
      <c r="Q778">
        <v>0</v>
      </c>
    </row>
    <row r="779" spans="1:17">
      <c r="A779" s="19">
        <v>0</v>
      </c>
      <c r="B779" s="19">
        <v>0</v>
      </c>
      <c r="C779" s="19">
        <v>0</v>
      </c>
      <c r="D779" s="19">
        <v>0</v>
      </c>
      <c r="E779" s="19">
        <v>0</v>
      </c>
      <c r="F779" s="19">
        <v>0</v>
      </c>
      <c r="G779" s="19">
        <v>0</v>
      </c>
      <c r="H779" s="19">
        <v>0</v>
      </c>
      <c r="I779" s="15">
        <v>3500</v>
      </c>
      <c r="J779" s="15">
        <v>0</v>
      </c>
      <c r="K779" s="15">
        <v>0</v>
      </c>
      <c r="L779" s="16">
        <v>0</v>
      </c>
      <c r="M779" s="15">
        <v>0</v>
      </c>
      <c r="N779" s="15" t="str">
        <v/>
      </c>
      <c r="O779" s="15" t="str">
        <v/>
      </c>
      <c r="P779" s="22">
        <v>0</v>
      </c>
      <c r="Q779">
        <v>0</v>
      </c>
    </row>
    <row r="780" spans="1:17">
      <c r="A780" s="19">
        <v>0</v>
      </c>
      <c r="B780" s="19">
        <v>0</v>
      </c>
      <c r="C780" s="19">
        <v>0</v>
      </c>
      <c r="D780" s="19">
        <v>0</v>
      </c>
      <c r="E780" s="19">
        <v>0</v>
      </c>
      <c r="F780" s="19">
        <v>0</v>
      </c>
      <c r="G780" s="19">
        <v>0</v>
      </c>
      <c r="H780" s="19">
        <v>0</v>
      </c>
      <c r="I780" s="15">
        <v>3500</v>
      </c>
      <c r="J780" s="15">
        <v>0</v>
      </c>
      <c r="K780" s="15">
        <v>0</v>
      </c>
      <c r="L780" s="16">
        <v>0</v>
      </c>
      <c r="M780" s="15">
        <v>0</v>
      </c>
      <c r="N780" s="15" t="str">
        <v/>
      </c>
      <c r="O780" s="15" t="str">
        <v/>
      </c>
      <c r="P780" s="22">
        <v>0</v>
      </c>
      <c r="Q780">
        <v>0</v>
      </c>
    </row>
    <row r="781" spans="1:17">
      <c r="A781" s="19">
        <v>0</v>
      </c>
      <c r="B781" s="19">
        <v>0</v>
      </c>
      <c r="C781" s="19">
        <v>0</v>
      </c>
      <c r="D781" s="19">
        <v>0</v>
      </c>
      <c r="E781" s="19">
        <v>0</v>
      </c>
      <c r="F781" s="19">
        <v>0</v>
      </c>
      <c r="G781" s="19">
        <v>0</v>
      </c>
      <c r="H781" s="19">
        <v>0</v>
      </c>
      <c r="I781" s="15">
        <v>3500</v>
      </c>
      <c r="J781" s="15">
        <v>0</v>
      </c>
      <c r="K781" s="15">
        <v>0</v>
      </c>
      <c r="L781" s="16">
        <v>0</v>
      </c>
      <c r="M781" s="15">
        <v>0</v>
      </c>
      <c r="N781" s="15" t="str">
        <v/>
      </c>
      <c r="O781" s="15" t="str">
        <v/>
      </c>
      <c r="P781" s="22">
        <v>0</v>
      </c>
      <c r="Q781">
        <v>0</v>
      </c>
    </row>
    <row r="782" spans="1:17">
      <c r="A782" s="19">
        <v>0</v>
      </c>
      <c r="B782" s="19">
        <v>0</v>
      </c>
      <c r="C782" s="19">
        <v>0</v>
      </c>
      <c r="D782" s="19">
        <v>0</v>
      </c>
      <c r="E782" s="19">
        <v>0</v>
      </c>
      <c r="F782" s="19">
        <v>0</v>
      </c>
      <c r="G782" s="19">
        <v>0</v>
      </c>
      <c r="H782" s="19">
        <v>0</v>
      </c>
      <c r="I782" s="15">
        <v>3500</v>
      </c>
      <c r="J782" s="15">
        <v>0</v>
      </c>
      <c r="K782" s="15">
        <v>0</v>
      </c>
      <c r="L782" s="16">
        <v>0</v>
      </c>
      <c r="M782" s="15">
        <v>0</v>
      </c>
      <c r="N782" s="15" t="str">
        <v/>
      </c>
      <c r="O782" s="15" t="str">
        <v/>
      </c>
      <c r="P782" s="22">
        <v>0</v>
      </c>
      <c r="Q782">
        <v>0</v>
      </c>
    </row>
    <row r="783" spans="1:17">
      <c r="A783" s="19">
        <v>0</v>
      </c>
      <c r="B783" s="19">
        <v>0</v>
      </c>
      <c r="C783" s="19">
        <v>0</v>
      </c>
      <c r="D783" s="19">
        <v>0</v>
      </c>
      <c r="E783" s="19">
        <v>0</v>
      </c>
      <c r="F783" s="19">
        <v>0</v>
      </c>
      <c r="G783" s="19">
        <v>0</v>
      </c>
      <c r="H783" s="19">
        <v>0</v>
      </c>
      <c r="I783" s="15">
        <v>3500</v>
      </c>
      <c r="J783" s="15">
        <v>0</v>
      </c>
      <c r="K783" s="15">
        <v>0</v>
      </c>
      <c r="L783" s="16">
        <v>0</v>
      </c>
      <c r="M783" s="15">
        <v>0</v>
      </c>
      <c r="N783" s="15" t="str">
        <v/>
      </c>
      <c r="O783" s="15" t="str">
        <v/>
      </c>
      <c r="P783" s="22">
        <v>0</v>
      </c>
      <c r="Q783">
        <v>0</v>
      </c>
    </row>
    <row r="784" spans="1:17">
      <c r="A784" s="19">
        <v>0</v>
      </c>
      <c r="B784" s="19">
        <v>0</v>
      </c>
      <c r="C784" s="19">
        <v>0</v>
      </c>
      <c r="D784" s="19">
        <v>0</v>
      </c>
      <c r="E784" s="19">
        <v>0</v>
      </c>
      <c r="F784" s="19">
        <v>0</v>
      </c>
      <c r="G784" s="19">
        <v>0</v>
      </c>
      <c r="H784" s="19">
        <v>0</v>
      </c>
      <c r="I784" s="15">
        <v>3500</v>
      </c>
      <c r="J784" s="15">
        <v>0</v>
      </c>
      <c r="K784" s="15">
        <v>0</v>
      </c>
      <c r="L784" s="16">
        <v>0</v>
      </c>
      <c r="M784" s="15">
        <v>0</v>
      </c>
      <c r="N784" s="15" t="str">
        <v/>
      </c>
      <c r="O784" s="15" t="str">
        <v/>
      </c>
      <c r="P784" s="22">
        <v>0</v>
      </c>
      <c r="Q784">
        <v>0</v>
      </c>
    </row>
    <row r="785" spans="1:17">
      <c r="A785" s="19">
        <v>0</v>
      </c>
      <c r="B785" s="19">
        <v>0</v>
      </c>
      <c r="C785" s="19">
        <v>0</v>
      </c>
      <c r="D785" s="19">
        <v>0</v>
      </c>
      <c r="E785" s="19">
        <v>0</v>
      </c>
      <c r="F785" s="19">
        <v>0</v>
      </c>
      <c r="G785" s="19">
        <v>0</v>
      </c>
      <c r="H785" s="19">
        <v>0</v>
      </c>
      <c r="I785" s="15">
        <v>3500</v>
      </c>
      <c r="J785" s="15">
        <v>0</v>
      </c>
      <c r="K785" s="15">
        <v>0</v>
      </c>
      <c r="L785" s="16">
        <v>0</v>
      </c>
      <c r="M785" s="15">
        <v>0</v>
      </c>
      <c r="N785" s="15" t="str">
        <v/>
      </c>
      <c r="O785" s="15" t="str">
        <v/>
      </c>
      <c r="P785" s="22">
        <v>0</v>
      </c>
      <c r="Q785">
        <v>0</v>
      </c>
    </row>
    <row r="786" spans="1:17">
      <c r="A786" s="19">
        <v>0</v>
      </c>
      <c r="B786" s="19">
        <v>0</v>
      </c>
      <c r="C786" s="19">
        <v>0</v>
      </c>
      <c r="D786" s="19">
        <v>0</v>
      </c>
      <c r="E786" s="19">
        <v>0</v>
      </c>
      <c r="F786" s="19">
        <v>0</v>
      </c>
      <c r="G786" s="19">
        <v>0</v>
      </c>
      <c r="H786" s="19">
        <v>0</v>
      </c>
      <c r="I786" s="15">
        <v>3500</v>
      </c>
      <c r="J786" s="15">
        <v>0</v>
      </c>
      <c r="K786" s="15">
        <v>0</v>
      </c>
      <c r="L786" s="16">
        <v>0</v>
      </c>
      <c r="M786" s="15">
        <v>0</v>
      </c>
      <c r="N786" s="15" t="str">
        <v/>
      </c>
      <c r="O786" s="15" t="str">
        <v/>
      </c>
      <c r="P786" s="22">
        <v>0</v>
      </c>
      <c r="Q786">
        <v>0</v>
      </c>
    </row>
    <row r="787" spans="1:17">
      <c r="A787" s="19">
        <v>0</v>
      </c>
      <c r="B787" s="19">
        <v>0</v>
      </c>
      <c r="C787" s="19">
        <v>0</v>
      </c>
      <c r="D787" s="19">
        <v>0</v>
      </c>
      <c r="E787" s="19">
        <v>0</v>
      </c>
      <c r="F787" s="19">
        <v>0</v>
      </c>
      <c r="G787" s="19">
        <v>0</v>
      </c>
      <c r="H787" s="19">
        <v>0</v>
      </c>
      <c r="I787" s="15">
        <v>3500</v>
      </c>
      <c r="J787" s="15">
        <v>0</v>
      </c>
      <c r="K787" s="15">
        <v>0</v>
      </c>
      <c r="L787" s="16">
        <v>0</v>
      </c>
      <c r="M787" s="15">
        <v>0</v>
      </c>
      <c r="N787" s="15" t="str">
        <v/>
      </c>
      <c r="O787" s="15" t="str">
        <v/>
      </c>
      <c r="P787" s="22">
        <v>0</v>
      </c>
      <c r="Q787">
        <v>0</v>
      </c>
    </row>
    <row r="788" spans="1:17">
      <c r="A788" s="19">
        <v>0</v>
      </c>
      <c r="B788" s="19">
        <v>0</v>
      </c>
      <c r="C788" s="19">
        <v>0</v>
      </c>
      <c r="D788" s="19">
        <v>0</v>
      </c>
      <c r="E788" s="19">
        <v>0</v>
      </c>
      <c r="F788" s="19">
        <v>0</v>
      </c>
      <c r="G788" s="19">
        <v>0</v>
      </c>
      <c r="H788" s="19">
        <v>0</v>
      </c>
      <c r="I788" s="15">
        <v>3500</v>
      </c>
      <c r="J788" s="15">
        <v>0</v>
      </c>
      <c r="K788" s="15">
        <v>0</v>
      </c>
      <c r="L788" s="16">
        <v>0</v>
      </c>
      <c r="M788" s="15">
        <v>0</v>
      </c>
      <c r="N788" s="15" t="str">
        <v/>
      </c>
      <c r="O788" s="15" t="str">
        <v/>
      </c>
      <c r="P788" s="22">
        <v>0</v>
      </c>
      <c r="Q788">
        <v>0</v>
      </c>
    </row>
    <row r="789" spans="1:17">
      <c r="A789" s="19">
        <v>0</v>
      </c>
      <c r="B789" s="19">
        <v>0</v>
      </c>
      <c r="C789" s="19">
        <v>0</v>
      </c>
      <c r="D789" s="19">
        <v>0</v>
      </c>
      <c r="E789" s="19">
        <v>0</v>
      </c>
      <c r="F789" s="19">
        <v>0</v>
      </c>
      <c r="G789" s="19">
        <v>0</v>
      </c>
      <c r="H789" s="19">
        <v>0</v>
      </c>
      <c r="I789" s="15">
        <v>3500</v>
      </c>
      <c r="J789" s="15">
        <v>0</v>
      </c>
      <c r="K789" s="15">
        <v>0</v>
      </c>
      <c r="L789" s="16">
        <v>0</v>
      </c>
      <c r="M789" s="15">
        <v>0</v>
      </c>
      <c r="N789" s="15" t="str">
        <v/>
      </c>
      <c r="O789" s="15" t="str">
        <v/>
      </c>
      <c r="P789" s="22">
        <v>0</v>
      </c>
      <c r="Q789">
        <v>0</v>
      </c>
    </row>
    <row r="790" spans="1:17">
      <c r="A790" s="19">
        <v>0</v>
      </c>
      <c r="B790" s="19">
        <v>0</v>
      </c>
      <c r="C790" s="19">
        <v>0</v>
      </c>
      <c r="D790" s="19">
        <v>0</v>
      </c>
      <c r="E790" s="19">
        <v>0</v>
      </c>
      <c r="F790" s="19">
        <v>0</v>
      </c>
      <c r="G790" s="19">
        <v>0</v>
      </c>
      <c r="H790" s="19">
        <v>0</v>
      </c>
      <c r="I790" s="15">
        <v>3500</v>
      </c>
      <c r="J790" s="15">
        <v>0</v>
      </c>
      <c r="K790" s="15">
        <v>0</v>
      </c>
      <c r="L790" s="16">
        <v>0</v>
      </c>
      <c r="M790" s="15">
        <v>0</v>
      </c>
      <c r="N790" s="15" t="str">
        <v/>
      </c>
      <c r="O790" s="15" t="str">
        <v/>
      </c>
      <c r="P790" s="22">
        <v>0</v>
      </c>
      <c r="Q790">
        <v>0</v>
      </c>
    </row>
    <row r="791" spans="1:17">
      <c r="A791" s="19">
        <v>0</v>
      </c>
      <c r="B791" s="19">
        <v>0</v>
      </c>
      <c r="C791" s="19">
        <v>0</v>
      </c>
      <c r="D791" s="19">
        <v>0</v>
      </c>
      <c r="E791" s="19">
        <v>0</v>
      </c>
      <c r="F791" s="19">
        <v>0</v>
      </c>
      <c r="G791" s="19">
        <v>0</v>
      </c>
      <c r="H791" s="19">
        <v>0</v>
      </c>
      <c r="I791" s="15">
        <v>3500</v>
      </c>
      <c r="J791" s="15">
        <v>0</v>
      </c>
      <c r="K791" s="15">
        <v>0</v>
      </c>
      <c r="L791" s="16">
        <v>0</v>
      </c>
      <c r="M791" s="15">
        <v>0</v>
      </c>
      <c r="N791" s="15" t="str">
        <v/>
      </c>
      <c r="O791" s="15" t="str">
        <v/>
      </c>
      <c r="P791" s="22">
        <v>0</v>
      </c>
      <c r="Q791">
        <v>0</v>
      </c>
    </row>
    <row r="792" spans="1:17">
      <c r="A792" s="19">
        <v>0</v>
      </c>
      <c r="B792" s="19">
        <v>0</v>
      </c>
      <c r="C792" s="19">
        <v>0</v>
      </c>
      <c r="D792" s="19">
        <v>0</v>
      </c>
      <c r="E792" s="19">
        <v>0</v>
      </c>
      <c r="F792" s="19">
        <v>0</v>
      </c>
      <c r="G792" s="19">
        <v>0</v>
      </c>
      <c r="H792" s="19">
        <v>0</v>
      </c>
      <c r="I792" s="15">
        <v>3500</v>
      </c>
      <c r="J792" s="15">
        <v>0</v>
      </c>
      <c r="K792" s="15">
        <v>0</v>
      </c>
      <c r="L792" s="16">
        <v>0</v>
      </c>
      <c r="M792" s="15">
        <v>0</v>
      </c>
      <c r="N792" s="15" t="str">
        <v/>
      </c>
      <c r="O792" s="15" t="str">
        <v/>
      </c>
      <c r="P792" s="22">
        <v>0</v>
      </c>
      <c r="Q792">
        <v>0</v>
      </c>
    </row>
    <row r="793" spans="1:17">
      <c r="A793" s="19">
        <v>0</v>
      </c>
      <c r="B793" s="19">
        <v>0</v>
      </c>
      <c r="C793" s="19">
        <v>0</v>
      </c>
      <c r="D793" s="19">
        <v>0</v>
      </c>
      <c r="E793" s="19">
        <v>0</v>
      </c>
      <c r="F793" s="19">
        <v>0</v>
      </c>
      <c r="G793" s="19">
        <v>0</v>
      </c>
      <c r="H793" s="19">
        <v>0</v>
      </c>
      <c r="I793" s="15">
        <v>3500</v>
      </c>
      <c r="J793" s="15">
        <v>0</v>
      </c>
      <c r="K793" s="15">
        <v>0</v>
      </c>
      <c r="L793" s="16">
        <v>0</v>
      </c>
      <c r="M793" s="15">
        <v>0</v>
      </c>
      <c r="N793" s="15" t="str">
        <v/>
      </c>
      <c r="O793" s="15" t="str">
        <v/>
      </c>
      <c r="P793" s="22">
        <v>0</v>
      </c>
      <c r="Q793">
        <v>0</v>
      </c>
    </row>
    <row r="794" spans="1:17">
      <c r="A794" s="19">
        <v>0</v>
      </c>
      <c r="B794" s="19">
        <v>0</v>
      </c>
      <c r="C794" s="19">
        <v>0</v>
      </c>
      <c r="D794" s="19">
        <v>0</v>
      </c>
      <c r="E794" s="19">
        <v>0</v>
      </c>
      <c r="F794" s="19">
        <v>0</v>
      </c>
      <c r="G794" s="19">
        <v>0</v>
      </c>
      <c r="H794" s="19">
        <v>0</v>
      </c>
      <c r="I794" s="15">
        <v>3500</v>
      </c>
      <c r="J794" s="15">
        <v>0</v>
      </c>
      <c r="K794" s="15">
        <v>0</v>
      </c>
      <c r="L794" s="16">
        <v>0</v>
      </c>
      <c r="M794" s="15">
        <v>0</v>
      </c>
      <c r="N794" s="15" t="str">
        <v/>
      </c>
      <c r="O794" s="15" t="str">
        <v/>
      </c>
      <c r="P794" s="22">
        <v>0</v>
      </c>
      <c r="Q794">
        <v>0</v>
      </c>
    </row>
    <row r="795" spans="1:17">
      <c r="A795" s="19">
        <v>0</v>
      </c>
      <c r="B795" s="19">
        <v>0</v>
      </c>
      <c r="C795" s="19">
        <v>0</v>
      </c>
      <c r="D795" s="19">
        <v>0</v>
      </c>
      <c r="E795" s="19">
        <v>0</v>
      </c>
      <c r="F795" s="19">
        <v>0</v>
      </c>
      <c r="G795" s="19">
        <v>0</v>
      </c>
      <c r="H795" s="19">
        <v>0</v>
      </c>
      <c r="I795" s="15">
        <v>3500</v>
      </c>
      <c r="J795" s="15">
        <v>0</v>
      </c>
      <c r="K795" s="15">
        <v>0</v>
      </c>
      <c r="L795" s="16">
        <v>0</v>
      </c>
      <c r="M795" s="15">
        <v>0</v>
      </c>
      <c r="N795" s="15" t="str">
        <v/>
      </c>
      <c r="O795" s="15" t="str">
        <v/>
      </c>
      <c r="P795" s="22">
        <v>0</v>
      </c>
      <c r="Q795">
        <v>0</v>
      </c>
    </row>
    <row r="796" spans="1:17">
      <c r="A796" s="19">
        <v>0</v>
      </c>
      <c r="B796" s="19">
        <v>0</v>
      </c>
      <c r="C796" s="19">
        <v>0</v>
      </c>
      <c r="D796" s="19">
        <v>0</v>
      </c>
      <c r="E796" s="19">
        <v>0</v>
      </c>
      <c r="F796" s="19">
        <v>0</v>
      </c>
      <c r="G796" s="19">
        <v>0</v>
      </c>
      <c r="H796" s="19">
        <v>0</v>
      </c>
      <c r="I796" s="15">
        <v>3500</v>
      </c>
      <c r="J796" s="15">
        <v>0</v>
      </c>
      <c r="K796" s="15">
        <v>0</v>
      </c>
      <c r="L796" s="16">
        <v>0</v>
      </c>
      <c r="M796" s="15">
        <v>0</v>
      </c>
      <c r="N796" s="15" t="str">
        <v/>
      </c>
      <c r="O796" s="15" t="str">
        <v/>
      </c>
      <c r="P796" s="22">
        <v>0</v>
      </c>
      <c r="Q796">
        <v>0</v>
      </c>
    </row>
    <row r="797" spans="1:17">
      <c r="A797" s="19">
        <v>0</v>
      </c>
      <c r="B797" s="19">
        <v>0</v>
      </c>
      <c r="C797" s="19">
        <v>0</v>
      </c>
      <c r="D797" s="19">
        <v>0</v>
      </c>
      <c r="E797" s="19">
        <v>0</v>
      </c>
      <c r="F797" s="19">
        <v>0</v>
      </c>
      <c r="G797" s="19">
        <v>0</v>
      </c>
      <c r="H797" s="19">
        <v>0</v>
      </c>
      <c r="I797" s="15">
        <v>3500</v>
      </c>
      <c r="J797" s="15">
        <v>0</v>
      </c>
      <c r="K797" s="15">
        <v>0</v>
      </c>
      <c r="L797" s="16">
        <v>0</v>
      </c>
      <c r="M797" s="15">
        <v>0</v>
      </c>
      <c r="N797" s="15" t="str">
        <v/>
      </c>
      <c r="O797" s="15" t="str">
        <v/>
      </c>
      <c r="P797" s="22">
        <v>0</v>
      </c>
      <c r="Q797">
        <v>0</v>
      </c>
    </row>
    <row r="798" spans="1:17">
      <c r="A798" s="19">
        <v>0</v>
      </c>
      <c r="B798" s="19">
        <v>0</v>
      </c>
      <c r="C798" s="19">
        <v>0</v>
      </c>
      <c r="D798" s="19">
        <v>0</v>
      </c>
      <c r="E798" s="19">
        <v>0</v>
      </c>
      <c r="F798" s="19">
        <v>0</v>
      </c>
      <c r="G798" s="19">
        <v>0</v>
      </c>
      <c r="H798" s="19">
        <v>0</v>
      </c>
      <c r="I798" s="15">
        <v>3500</v>
      </c>
      <c r="J798" s="15">
        <v>0</v>
      </c>
      <c r="K798" s="15">
        <v>0</v>
      </c>
      <c r="L798" s="16">
        <v>0</v>
      </c>
      <c r="M798" s="15">
        <v>0</v>
      </c>
      <c r="N798" s="15" t="str">
        <v/>
      </c>
      <c r="O798" s="15" t="str">
        <v/>
      </c>
      <c r="P798" s="22">
        <v>0</v>
      </c>
      <c r="Q798">
        <v>0</v>
      </c>
    </row>
    <row r="799" spans="1:17">
      <c r="A799" s="19">
        <v>0</v>
      </c>
      <c r="B799" s="19">
        <v>0</v>
      </c>
      <c r="C799" s="19">
        <v>0</v>
      </c>
      <c r="D799" s="19">
        <v>0</v>
      </c>
      <c r="E799" s="19">
        <v>0</v>
      </c>
      <c r="F799" s="19">
        <v>0</v>
      </c>
      <c r="G799" s="19">
        <v>0</v>
      </c>
      <c r="H799" s="19">
        <v>0</v>
      </c>
      <c r="I799" s="15">
        <v>3500</v>
      </c>
      <c r="J799" s="15">
        <v>0</v>
      </c>
      <c r="K799" s="15">
        <v>0</v>
      </c>
      <c r="L799" s="16">
        <v>0</v>
      </c>
      <c r="M799" s="15">
        <v>0</v>
      </c>
      <c r="N799" s="15" t="str">
        <v/>
      </c>
      <c r="O799" s="15" t="str">
        <v/>
      </c>
      <c r="P799" s="22">
        <v>0</v>
      </c>
      <c r="Q799">
        <v>0</v>
      </c>
    </row>
    <row r="800" spans="1:17">
      <c r="A800" s="19">
        <v>0</v>
      </c>
      <c r="B800" s="19">
        <v>0</v>
      </c>
      <c r="C800" s="19">
        <v>0</v>
      </c>
      <c r="D800" s="19">
        <v>0</v>
      </c>
      <c r="E800" s="19">
        <v>0</v>
      </c>
      <c r="F800" s="19">
        <v>0</v>
      </c>
      <c r="G800" s="19">
        <v>0</v>
      </c>
      <c r="H800" s="19">
        <v>0</v>
      </c>
      <c r="I800" s="15">
        <v>3500</v>
      </c>
      <c r="J800" s="15">
        <v>0</v>
      </c>
      <c r="K800" s="15">
        <v>0</v>
      </c>
      <c r="L800" s="16">
        <v>0</v>
      </c>
      <c r="M800" s="15">
        <v>0</v>
      </c>
      <c r="N800" s="15" t="str">
        <v/>
      </c>
      <c r="O800" s="15" t="str">
        <v/>
      </c>
      <c r="P800" s="22">
        <v>0</v>
      </c>
      <c r="Q800">
        <v>0</v>
      </c>
    </row>
    <row r="801" spans="1:17">
      <c r="A801" s="19">
        <v>0</v>
      </c>
      <c r="B801" s="19">
        <v>0</v>
      </c>
      <c r="C801" s="19">
        <v>0</v>
      </c>
      <c r="D801" s="19">
        <v>0</v>
      </c>
      <c r="E801" s="19">
        <v>0</v>
      </c>
      <c r="F801" s="19">
        <v>0</v>
      </c>
      <c r="G801" s="19">
        <v>0</v>
      </c>
      <c r="H801" s="19">
        <v>0</v>
      </c>
      <c r="I801" s="15">
        <v>3500</v>
      </c>
      <c r="J801" s="15">
        <v>0</v>
      </c>
      <c r="K801" s="15">
        <v>0</v>
      </c>
      <c r="L801" s="16">
        <v>0</v>
      </c>
      <c r="M801" s="15">
        <v>0</v>
      </c>
      <c r="N801" s="15" t="str">
        <v/>
      </c>
      <c r="O801" s="15" t="str">
        <v/>
      </c>
      <c r="P801" s="22">
        <v>0</v>
      </c>
      <c r="Q801">
        <v>0</v>
      </c>
    </row>
    <row r="802" spans="1:17">
      <c r="A802" s="19">
        <v>0</v>
      </c>
      <c r="B802" s="19">
        <v>0</v>
      </c>
      <c r="C802" s="19">
        <v>0</v>
      </c>
      <c r="D802" s="19">
        <v>0</v>
      </c>
      <c r="E802" s="19">
        <v>0</v>
      </c>
      <c r="F802" s="19">
        <v>0</v>
      </c>
      <c r="G802" s="19">
        <v>0</v>
      </c>
      <c r="H802" s="19">
        <v>0</v>
      </c>
      <c r="I802" s="15">
        <v>3500</v>
      </c>
      <c r="J802" s="15">
        <v>0</v>
      </c>
      <c r="K802" s="15">
        <v>0</v>
      </c>
      <c r="L802" s="16">
        <v>0</v>
      </c>
      <c r="M802" s="15">
        <v>0</v>
      </c>
      <c r="N802" s="15" t="str">
        <v/>
      </c>
      <c r="O802" s="15" t="str">
        <v/>
      </c>
      <c r="P802" s="22">
        <v>0</v>
      </c>
      <c r="Q802">
        <v>0</v>
      </c>
    </row>
    <row r="803" spans="1:17">
      <c r="A803" s="19">
        <v>0</v>
      </c>
      <c r="B803" s="19">
        <v>0</v>
      </c>
      <c r="C803" s="19">
        <v>0</v>
      </c>
      <c r="D803" s="19">
        <v>0</v>
      </c>
      <c r="E803" s="19">
        <v>0</v>
      </c>
      <c r="F803" s="19">
        <v>0</v>
      </c>
      <c r="G803" s="19">
        <v>0</v>
      </c>
      <c r="H803" s="19">
        <v>0</v>
      </c>
      <c r="I803" s="15">
        <v>3500</v>
      </c>
      <c r="J803" s="15">
        <v>0</v>
      </c>
      <c r="K803" s="15">
        <v>0</v>
      </c>
      <c r="L803" s="16">
        <v>0</v>
      </c>
      <c r="M803" s="15">
        <v>0</v>
      </c>
      <c r="N803" s="15" t="str">
        <v/>
      </c>
      <c r="O803" s="15" t="str">
        <v/>
      </c>
      <c r="P803" s="22">
        <v>0</v>
      </c>
      <c r="Q803">
        <v>0</v>
      </c>
    </row>
    <row r="804" spans="1:17">
      <c r="A804" s="19">
        <v>0</v>
      </c>
      <c r="B804" s="19">
        <v>0</v>
      </c>
      <c r="C804" s="19">
        <v>0</v>
      </c>
      <c r="D804" s="19">
        <v>0</v>
      </c>
      <c r="E804" s="19">
        <v>0</v>
      </c>
      <c r="F804" s="19">
        <v>0</v>
      </c>
      <c r="G804" s="19">
        <v>0</v>
      </c>
      <c r="H804" s="19">
        <v>0</v>
      </c>
      <c r="I804" s="15">
        <v>3500</v>
      </c>
      <c r="J804" s="15">
        <v>0</v>
      </c>
      <c r="K804" s="15">
        <v>0</v>
      </c>
      <c r="L804" s="16">
        <v>0</v>
      </c>
      <c r="M804" s="15">
        <v>0</v>
      </c>
      <c r="N804" s="15" t="str">
        <v/>
      </c>
      <c r="O804" s="15" t="str">
        <v/>
      </c>
      <c r="P804" s="22">
        <v>0</v>
      </c>
      <c r="Q804">
        <v>0</v>
      </c>
    </row>
    <row r="805" spans="1:17">
      <c r="A805" s="19">
        <v>0</v>
      </c>
      <c r="B805" s="19">
        <v>0</v>
      </c>
      <c r="C805" s="19">
        <v>0</v>
      </c>
      <c r="D805" s="19">
        <v>0</v>
      </c>
      <c r="E805" s="19">
        <v>0</v>
      </c>
      <c r="F805" s="19">
        <v>0</v>
      </c>
      <c r="G805" s="19">
        <v>0</v>
      </c>
      <c r="H805" s="19">
        <v>0</v>
      </c>
      <c r="I805" s="15">
        <v>3500</v>
      </c>
      <c r="J805" s="15">
        <v>0</v>
      </c>
      <c r="K805" s="15">
        <v>0</v>
      </c>
      <c r="L805" s="16">
        <v>0</v>
      </c>
      <c r="M805" s="15">
        <v>0</v>
      </c>
      <c r="N805" s="15" t="str">
        <v/>
      </c>
      <c r="O805" s="15" t="str">
        <v/>
      </c>
      <c r="P805" s="22">
        <v>0</v>
      </c>
      <c r="Q805">
        <v>0</v>
      </c>
    </row>
    <row r="806" spans="1:17">
      <c r="A806" s="19">
        <v>0</v>
      </c>
      <c r="B806" s="19">
        <v>0</v>
      </c>
      <c r="C806" s="19">
        <v>0</v>
      </c>
      <c r="D806" s="19">
        <v>0</v>
      </c>
      <c r="E806" s="19">
        <v>0</v>
      </c>
      <c r="F806" s="19">
        <v>0</v>
      </c>
      <c r="G806" s="19">
        <v>0</v>
      </c>
      <c r="H806" s="19">
        <v>0</v>
      </c>
      <c r="I806" s="15">
        <v>3500</v>
      </c>
      <c r="J806" s="15">
        <v>0</v>
      </c>
      <c r="K806" s="15">
        <v>0</v>
      </c>
      <c r="L806" s="16">
        <v>0</v>
      </c>
      <c r="M806" s="15">
        <v>0</v>
      </c>
      <c r="N806" s="15" t="str">
        <v/>
      </c>
      <c r="O806" s="15" t="str">
        <v/>
      </c>
      <c r="P806" s="22">
        <v>0</v>
      </c>
      <c r="Q806">
        <v>0</v>
      </c>
    </row>
    <row r="807" spans="1:17">
      <c r="A807" s="19">
        <v>0</v>
      </c>
      <c r="B807" s="19">
        <v>0</v>
      </c>
      <c r="C807" s="19">
        <v>0</v>
      </c>
      <c r="D807" s="19">
        <v>0</v>
      </c>
      <c r="E807" s="19">
        <v>0</v>
      </c>
      <c r="F807" s="19">
        <v>0</v>
      </c>
      <c r="G807" s="19">
        <v>0</v>
      </c>
      <c r="H807" s="19">
        <v>0</v>
      </c>
      <c r="I807" s="15">
        <v>3500</v>
      </c>
      <c r="J807" s="15">
        <v>0</v>
      </c>
      <c r="K807" s="15">
        <v>0</v>
      </c>
      <c r="L807" s="16">
        <v>0</v>
      </c>
      <c r="M807" s="15">
        <v>0</v>
      </c>
      <c r="N807" s="15" t="str">
        <v/>
      </c>
      <c r="O807" s="15" t="str">
        <v/>
      </c>
      <c r="P807" s="22">
        <v>0</v>
      </c>
      <c r="Q807">
        <v>0</v>
      </c>
    </row>
    <row r="808" spans="1:17">
      <c r="A808" s="19">
        <v>0</v>
      </c>
      <c r="B808" s="19">
        <v>0</v>
      </c>
      <c r="C808" s="19">
        <v>0</v>
      </c>
      <c r="D808" s="19">
        <v>0</v>
      </c>
      <c r="E808" s="19">
        <v>0</v>
      </c>
      <c r="F808" s="19">
        <v>0</v>
      </c>
      <c r="G808" s="19">
        <v>0</v>
      </c>
      <c r="H808" s="19">
        <v>0</v>
      </c>
      <c r="I808" s="15">
        <v>3500</v>
      </c>
      <c r="J808" s="15">
        <v>0</v>
      </c>
      <c r="K808" s="15">
        <v>0</v>
      </c>
      <c r="L808" s="16">
        <v>0</v>
      </c>
      <c r="M808" s="15">
        <v>0</v>
      </c>
      <c r="N808" s="15" t="str">
        <v/>
      </c>
      <c r="O808" s="15" t="str">
        <v/>
      </c>
      <c r="P808" s="22">
        <v>0</v>
      </c>
      <c r="Q808">
        <v>0</v>
      </c>
    </row>
    <row r="809" spans="1:17">
      <c r="A809" s="19">
        <v>0</v>
      </c>
      <c r="B809" s="19">
        <v>0</v>
      </c>
      <c r="C809" s="19">
        <v>0</v>
      </c>
      <c r="D809" s="19">
        <v>0</v>
      </c>
      <c r="E809" s="19">
        <v>0</v>
      </c>
      <c r="F809" s="19">
        <v>0</v>
      </c>
      <c r="G809" s="19">
        <v>0</v>
      </c>
      <c r="H809" s="19">
        <v>0</v>
      </c>
      <c r="I809" s="15">
        <v>3500</v>
      </c>
      <c r="J809" s="15">
        <v>0</v>
      </c>
      <c r="K809" s="15">
        <v>0</v>
      </c>
      <c r="L809" s="16">
        <v>0</v>
      </c>
      <c r="M809" s="15">
        <v>0</v>
      </c>
      <c r="N809" s="15" t="str">
        <v/>
      </c>
      <c r="O809" s="15" t="str">
        <v/>
      </c>
      <c r="P809" s="22">
        <v>0</v>
      </c>
      <c r="Q809">
        <v>0</v>
      </c>
    </row>
    <row r="810" spans="1:17">
      <c r="A810" s="19">
        <v>0</v>
      </c>
      <c r="B810" s="19">
        <v>0</v>
      </c>
      <c r="C810" s="19">
        <v>0</v>
      </c>
      <c r="D810" s="19">
        <v>0</v>
      </c>
      <c r="E810" s="19">
        <v>0</v>
      </c>
      <c r="F810" s="19">
        <v>0</v>
      </c>
      <c r="G810" s="19">
        <v>0</v>
      </c>
      <c r="H810" s="19">
        <v>0</v>
      </c>
      <c r="I810" s="15">
        <v>3500</v>
      </c>
      <c r="J810" s="15">
        <v>0</v>
      </c>
      <c r="K810" s="15">
        <v>0</v>
      </c>
      <c r="L810" s="16">
        <v>0</v>
      </c>
      <c r="M810" s="15">
        <v>0</v>
      </c>
      <c r="N810" s="15" t="str">
        <v/>
      </c>
      <c r="O810" s="15" t="str">
        <v/>
      </c>
      <c r="P810" s="22">
        <v>0</v>
      </c>
      <c r="Q810">
        <v>0</v>
      </c>
    </row>
    <row r="811" spans="1:17">
      <c r="A811" s="19">
        <v>0</v>
      </c>
      <c r="B811" s="19">
        <v>0</v>
      </c>
      <c r="C811" s="19">
        <v>0</v>
      </c>
      <c r="D811" s="19">
        <v>0</v>
      </c>
      <c r="E811" s="19">
        <v>0</v>
      </c>
      <c r="F811" s="19">
        <v>0</v>
      </c>
      <c r="G811" s="19">
        <v>0</v>
      </c>
      <c r="H811" s="19">
        <v>0</v>
      </c>
      <c r="I811" s="15">
        <v>3500</v>
      </c>
      <c r="J811" s="15">
        <v>0</v>
      </c>
      <c r="K811" s="15">
        <v>0</v>
      </c>
      <c r="L811" s="16">
        <v>0</v>
      </c>
      <c r="M811" s="15">
        <v>0</v>
      </c>
      <c r="N811" s="15" t="str">
        <v/>
      </c>
      <c r="O811" s="15" t="str">
        <v/>
      </c>
      <c r="P811" s="22">
        <v>0</v>
      </c>
      <c r="Q811">
        <v>0</v>
      </c>
    </row>
    <row r="812" spans="1:17">
      <c r="A812" s="19">
        <v>0</v>
      </c>
      <c r="B812" s="19">
        <v>0</v>
      </c>
      <c r="C812" s="19">
        <v>0</v>
      </c>
      <c r="D812" s="19">
        <v>0</v>
      </c>
      <c r="E812" s="19">
        <v>0</v>
      </c>
      <c r="F812" s="19">
        <v>0</v>
      </c>
      <c r="G812" s="19">
        <v>0</v>
      </c>
      <c r="H812" s="19">
        <v>0</v>
      </c>
      <c r="I812" s="15">
        <v>3500</v>
      </c>
      <c r="J812" s="15">
        <v>0</v>
      </c>
      <c r="K812" s="15">
        <v>0</v>
      </c>
      <c r="L812" s="16">
        <v>0</v>
      </c>
      <c r="M812" s="15">
        <v>0</v>
      </c>
      <c r="N812" s="15" t="str">
        <v/>
      </c>
      <c r="O812" s="15" t="str">
        <v/>
      </c>
      <c r="P812" s="22">
        <v>0</v>
      </c>
      <c r="Q812">
        <v>0</v>
      </c>
    </row>
    <row r="813" spans="1:17">
      <c r="A813" s="19">
        <v>0</v>
      </c>
      <c r="B813" s="19">
        <v>0</v>
      </c>
      <c r="C813" s="19">
        <v>0</v>
      </c>
      <c r="D813" s="19">
        <v>0</v>
      </c>
      <c r="E813" s="19">
        <v>0</v>
      </c>
      <c r="F813" s="19">
        <v>0</v>
      </c>
      <c r="G813" s="19">
        <v>0</v>
      </c>
      <c r="H813" s="19">
        <v>0</v>
      </c>
      <c r="I813" s="15">
        <v>3500</v>
      </c>
      <c r="J813" s="15">
        <v>0</v>
      </c>
      <c r="K813" s="15">
        <v>0</v>
      </c>
      <c r="L813" s="16">
        <v>0</v>
      </c>
      <c r="M813" s="15">
        <v>0</v>
      </c>
      <c r="N813" s="15" t="str">
        <v/>
      </c>
      <c r="O813" s="15" t="str">
        <v/>
      </c>
      <c r="P813" s="22">
        <v>0</v>
      </c>
      <c r="Q813">
        <v>0</v>
      </c>
    </row>
    <row r="814" spans="1:17">
      <c r="A814" s="19">
        <v>0</v>
      </c>
      <c r="B814" s="19">
        <v>0</v>
      </c>
      <c r="C814" s="19">
        <v>0</v>
      </c>
      <c r="D814" s="19">
        <v>0</v>
      </c>
      <c r="E814" s="19">
        <v>0</v>
      </c>
      <c r="F814" s="19">
        <v>0</v>
      </c>
      <c r="G814" s="19">
        <v>0</v>
      </c>
      <c r="H814" s="19">
        <v>0</v>
      </c>
      <c r="I814" s="15">
        <v>3500</v>
      </c>
      <c r="J814" s="15">
        <v>0</v>
      </c>
      <c r="K814" s="15">
        <v>0</v>
      </c>
      <c r="L814" s="16">
        <v>0</v>
      </c>
      <c r="M814" s="15">
        <v>0</v>
      </c>
      <c r="N814" s="15" t="str">
        <v/>
      </c>
      <c r="O814" s="15" t="str">
        <v/>
      </c>
      <c r="P814" s="22">
        <v>0</v>
      </c>
      <c r="Q814">
        <v>0</v>
      </c>
    </row>
    <row r="815" spans="1:17">
      <c r="A815" s="19">
        <v>0</v>
      </c>
      <c r="B815" s="19">
        <v>0</v>
      </c>
      <c r="C815" s="19">
        <v>0</v>
      </c>
      <c r="D815" s="19">
        <v>0</v>
      </c>
      <c r="E815" s="19">
        <v>0</v>
      </c>
      <c r="F815" s="19">
        <v>0</v>
      </c>
      <c r="G815" s="19">
        <v>0</v>
      </c>
      <c r="H815" s="19">
        <v>0</v>
      </c>
      <c r="I815" s="15">
        <v>3500</v>
      </c>
      <c r="J815" s="15">
        <v>0</v>
      </c>
      <c r="K815" s="15">
        <v>0</v>
      </c>
      <c r="L815" s="16">
        <v>0</v>
      </c>
      <c r="M815" s="15">
        <v>0</v>
      </c>
      <c r="N815" s="15" t="str">
        <v/>
      </c>
      <c r="O815" s="15" t="str">
        <v/>
      </c>
      <c r="P815" s="22">
        <v>0</v>
      </c>
      <c r="Q815">
        <v>0</v>
      </c>
    </row>
    <row r="816" spans="1:17">
      <c r="A816" s="19">
        <v>0</v>
      </c>
      <c r="B816" s="19">
        <v>0</v>
      </c>
      <c r="C816" s="19">
        <v>0</v>
      </c>
      <c r="D816" s="19">
        <v>0</v>
      </c>
      <c r="E816" s="19">
        <v>0</v>
      </c>
      <c r="F816" s="19">
        <v>0</v>
      </c>
      <c r="G816" s="19">
        <v>0</v>
      </c>
      <c r="H816" s="19">
        <v>0</v>
      </c>
      <c r="I816" s="15">
        <v>3500</v>
      </c>
      <c r="J816" s="15">
        <v>0</v>
      </c>
      <c r="K816" s="15">
        <v>0</v>
      </c>
      <c r="L816" s="16">
        <v>0</v>
      </c>
      <c r="M816" s="15">
        <v>0</v>
      </c>
      <c r="N816" s="15" t="str">
        <v/>
      </c>
      <c r="O816" s="15" t="str">
        <v/>
      </c>
      <c r="P816" s="22">
        <v>0</v>
      </c>
      <c r="Q816">
        <v>0</v>
      </c>
    </row>
    <row r="817" spans="1:17">
      <c r="A817" s="19">
        <v>0</v>
      </c>
      <c r="B817" s="19">
        <v>0</v>
      </c>
      <c r="C817" s="19">
        <v>0</v>
      </c>
      <c r="D817" s="19">
        <v>0</v>
      </c>
      <c r="E817" s="19">
        <v>0</v>
      </c>
      <c r="F817" s="19">
        <v>0</v>
      </c>
      <c r="G817" s="19">
        <v>0</v>
      </c>
      <c r="H817" s="19">
        <v>0</v>
      </c>
      <c r="I817" s="15">
        <v>3500</v>
      </c>
      <c r="J817" s="15">
        <v>0</v>
      </c>
      <c r="K817" s="15">
        <v>0</v>
      </c>
      <c r="L817" s="16">
        <v>0</v>
      </c>
      <c r="M817" s="15">
        <v>0</v>
      </c>
      <c r="N817" s="15" t="str">
        <v/>
      </c>
      <c r="O817" s="15" t="str">
        <v/>
      </c>
      <c r="P817" s="22">
        <v>0</v>
      </c>
      <c r="Q817">
        <v>0</v>
      </c>
    </row>
    <row r="818" spans="1:17">
      <c r="A818" s="19">
        <v>0</v>
      </c>
      <c r="B818" s="19">
        <v>0</v>
      </c>
      <c r="C818" s="19">
        <v>0</v>
      </c>
      <c r="D818" s="19">
        <v>0</v>
      </c>
      <c r="E818" s="19">
        <v>0</v>
      </c>
      <c r="F818" s="19">
        <v>0</v>
      </c>
      <c r="G818" s="19">
        <v>0</v>
      </c>
      <c r="H818" s="19">
        <v>0</v>
      </c>
      <c r="I818" s="15">
        <v>3500</v>
      </c>
      <c r="J818" s="15">
        <v>0</v>
      </c>
      <c r="K818" s="15">
        <v>0</v>
      </c>
      <c r="L818" s="16">
        <v>0</v>
      </c>
      <c r="M818" s="15">
        <v>0</v>
      </c>
      <c r="N818" s="15" t="str">
        <v/>
      </c>
      <c r="O818" s="15" t="str">
        <v/>
      </c>
      <c r="P818" s="22">
        <v>0</v>
      </c>
      <c r="Q818">
        <v>0</v>
      </c>
    </row>
    <row r="819" spans="1:17">
      <c r="A819" s="19">
        <v>0</v>
      </c>
      <c r="B819" s="19">
        <v>0</v>
      </c>
      <c r="C819" s="19">
        <v>0</v>
      </c>
      <c r="D819" s="19">
        <v>0</v>
      </c>
      <c r="E819" s="19">
        <v>0</v>
      </c>
      <c r="F819" s="19">
        <v>0</v>
      </c>
      <c r="G819" s="19">
        <v>0</v>
      </c>
      <c r="H819" s="19">
        <v>0</v>
      </c>
      <c r="I819" s="15">
        <v>3500</v>
      </c>
      <c r="J819" s="15">
        <v>0</v>
      </c>
      <c r="K819" s="15">
        <v>0</v>
      </c>
      <c r="L819" s="16">
        <v>0</v>
      </c>
      <c r="M819" s="15">
        <v>0</v>
      </c>
      <c r="N819" s="15" t="str">
        <v/>
      </c>
      <c r="O819" s="15" t="str">
        <v/>
      </c>
      <c r="P819" s="22">
        <v>0</v>
      </c>
      <c r="Q819">
        <v>0</v>
      </c>
    </row>
    <row r="820" spans="1:17">
      <c r="A820" s="19">
        <v>0</v>
      </c>
      <c r="B820" s="19">
        <v>0</v>
      </c>
      <c r="C820" s="19">
        <v>0</v>
      </c>
      <c r="D820" s="19">
        <v>0</v>
      </c>
      <c r="E820" s="19">
        <v>0</v>
      </c>
      <c r="F820" s="19">
        <v>0</v>
      </c>
      <c r="G820" s="19">
        <v>0</v>
      </c>
      <c r="H820" s="19">
        <v>0</v>
      </c>
      <c r="I820" s="15">
        <v>3500</v>
      </c>
      <c r="J820" s="15">
        <v>0</v>
      </c>
      <c r="K820" s="15">
        <v>0</v>
      </c>
      <c r="L820" s="16">
        <v>0</v>
      </c>
      <c r="M820" s="15">
        <v>0</v>
      </c>
      <c r="N820" s="15" t="str">
        <v/>
      </c>
      <c r="O820" s="15" t="str">
        <v/>
      </c>
      <c r="P820" s="22">
        <v>0</v>
      </c>
      <c r="Q820">
        <v>0</v>
      </c>
    </row>
    <row r="821" spans="1:17">
      <c r="A821" s="19">
        <v>0</v>
      </c>
      <c r="B821" s="19">
        <v>0</v>
      </c>
      <c r="C821" s="19">
        <v>0</v>
      </c>
      <c r="D821" s="19">
        <v>0</v>
      </c>
      <c r="E821" s="19">
        <v>0</v>
      </c>
      <c r="F821" s="19">
        <v>0</v>
      </c>
      <c r="G821" s="19">
        <v>0</v>
      </c>
      <c r="H821" s="19">
        <v>0</v>
      </c>
      <c r="I821" s="15">
        <v>3500</v>
      </c>
      <c r="J821" s="15">
        <v>0</v>
      </c>
      <c r="K821" s="15">
        <v>0</v>
      </c>
      <c r="L821" s="16">
        <v>0</v>
      </c>
      <c r="M821" s="15">
        <v>0</v>
      </c>
      <c r="N821" s="15" t="str">
        <v/>
      </c>
      <c r="O821" s="15" t="str">
        <v/>
      </c>
      <c r="P821" s="22">
        <v>0</v>
      </c>
      <c r="Q821">
        <v>0</v>
      </c>
    </row>
    <row r="822" spans="1:17">
      <c r="A822" s="19">
        <v>0</v>
      </c>
      <c r="B822" s="19">
        <v>0</v>
      </c>
      <c r="C822" s="19">
        <v>0</v>
      </c>
      <c r="D822" s="19">
        <v>0</v>
      </c>
      <c r="E822" s="19">
        <v>0</v>
      </c>
      <c r="F822" s="19">
        <v>0</v>
      </c>
      <c r="G822" s="19">
        <v>0</v>
      </c>
      <c r="H822" s="19">
        <v>0</v>
      </c>
      <c r="I822" s="15">
        <v>3500</v>
      </c>
      <c r="J822" s="15">
        <v>0</v>
      </c>
      <c r="K822" s="15">
        <v>0</v>
      </c>
      <c r="L822" s="16">
        <v>0</v>
      </c>
      <c r="M822" s="15">
        <v>0</v>
      </c>
      <c r="N822" s="15" t="str">
        <v/>
      </c>
      <c r="O822" s="15" t="str">
        <v/>
      </c>
      <c r="P822" s="22">
        <v>0</v>
      </c>
      <c r="Q822">
        <v>0</v>
      </c>
    </row>
    <row r="823" spans="1:17">
      <c r="A823" s="19">
        <v>0</v>
      </c>
      <c r="B823" s="19">
        <v>0</v>
      </c>
      <c r="C823" s="19">
        <v>0</v>
      </c>
      <c r="D823" s="19">
        <v>0</v>
      </c>
      <c r="E823" s="19">
        <v>0</v>
      </c>
      <c r="F823" s="19">
        <v>0</v>
      </c>
      <c r="G823" s="19">
        <v>0</v>
      </c>
      <c r="H823" s="19">
        <v>0</v>
      </c>
      <c r="I823" s="15">
        <v>3500</v>
      </c>
      <c r="J823" s="15">
        <v>0</v>
      </c>
      <c r="K823" s="15">
        <v>0</v>
      </c>
      <c r="L823" s="16">
        <v>0</v>
      </c>
      <c r="M823" s="15">
        <v>0</v>
      </c>
      <c r="N823" s="15" t="str">
        <v/>
      </c>
      <c r="O823" s="15" t="str">
        <v/>
      </c>
      <c r="P823" s="22">
        <v>0</v>
      </c>
      <c r="Q823">
        <v>0</v>
      </c>
    </row>
    <row r="824" spans="1:17">
      <c r="A824" s="19">
        <v>0</v>
      </c>
      <c r="B824" s="19">
        <v>0</v>
      </c>
      <c r="C824" s="19">
        <v>0</v>
      </c>
      <c r="D824" s="19">
        <v>0</v>
      </c>
      <c r="E824" s="19">
        <v>0</v>
      </c>
      <c r="F824" s="19">
        <v>0</v>
      </c>
      <c r="G824" s="19">
        <v>0</v>
      </c>
      <c r="H824" s="19">
        <v>0</v>
      </c>
      <c r="I824" s="15">
        <v>3500</v>
      </c>
      <c r="J824" s="15">
        <v>0</v>
      </c>
      <c r="K824" s="15">
        <v>0</v>
      </c>
      <c r="L824" s="16">
        <v>0</v>
      </c>
      <c r="M824" s="15">
        <v>0</v>
      </c>
      <c r="N824" s="15" t="str">
        <v/>
      </c>
      <c r="O824" s="15" t="str">
        <v/>
      </c>
      <c r="P824" s="22">
        <v>0</v>
      </c>
      <c r="Q824">
        <v>0</v>
      </c>
    </row>
    <row r="825" spans="1:17">
      <c r="A825" s="19">
        <v>0</v>
      </c>
      <c r="B825" s="19">
        <v>0</v>
      </c>
      <c r="C825" s="19">
        <v>0</v>
      </c>
      <c r="D825" s="19">
        <v>0</v>
      </c>
      <c r="E825" s="19">
        <v>0</v>
      </c>
      <c r="F825" s="19">
        <v>0</v>
      </c>
      <c r="G825" s="19">
        <v>0</v>
      </c>
      <c r="H825" s="19">
        <v>0</v>
      </c>
      <c r="I825" s="15">
        <v>3500</v>
      </c>
      <c r="J825" s="15">
        <v>0</v>
      </c>
      <c r="K825" s="15">
        <v>0</v>
      </c>
      <c r="L825" s="16">
        <v>0</v>
      </c>
      <c r="M825" s="15">
        <v>0</v>
      </c>
      <c r="N825" s="15" t="str">
        <v/>
      </c>
      <c r="O825" s="15" t="str">
        <v/>
      </c>
      <c r="P825" s="22">
        <v>0</v>
      </c>
      <c r="Q825">
        <v>0</v>
      </c>
    </row>
    <row r="826" spans="1:17">
      <c r="A826" s="19">
        <v>0</v>
      </c>
      <c r="B826" s="19">
        <v>0</v>
      </c>
      <c r="C826" s="19">
        <v>0</v>
      </c>
      <c r="D826" s="19">
        <v>0</v>
      </c>
      <c r="E826" s="19">
        <v>0</v>
      </c>
      <c r="F826" s="19">
        <v>0</v>
      </c>
      <c r="G826" s="19">
        <v>0</v>
      </c>
      <c r="H826" s="19">
        <v>0</v>
      </c>
      <c r="I826" s="15">
        <v>3500</v>
      </c>
      <c r="J826" s="15">
        <v>0</v>
      </c>
      <c r="K826" s="15">
        <v>0</v>
      </c>
      <c r="L826" s="16">
        <v>0</v>
      </c>
      <c r="M826" s="15">
        <v>0</v>
      </c>
      <c r="N826" s="15" t="str">
        <v/>
      </c>
      <c r="O826" s="15" t="str">
        <v/>
      </c>
      <c r="P826" s="22">
        <v>0</v>
      </c>
      <c r="Q826">
        <v>0</v>
      </c>
    </row>
    <row r="827" spans="1:17">
      <c r="A827" s="19">
        <v>0</v>
      </c>
      <c r="B827" s="19">
        <v>0</v>
      </c>
      <c r="C827" s="19">
        <v>0</v>
      </c>
      <c r="D827" s="19">
        <v>0</v>
      </c>
      <c r="E827" s="19">
        <v>0</v>
      </c>
      <c r="F827" s="19">
        <v>0</v>
      </c>
      <c r="G827" s="19">
        <v>0</v>
      </c>
      <c r="H827" s="19">
        <v>0</v>
      </c>
      <c r="I827" s="15">
        <v>3500</v>
      </c>
      <c r="J827" s="15">
        <v>0</v>
      </c>
      <c r="K827" s="15">
        <v>0</v>
      </c>
      <c r="L827" s="16">
        <v>0</v>
      </c>
      <c r="M827" s="15">
        <v>0</v>
      </c>
      <c r="N827" s="15" t="str">
        <v/>
      </c>
      <c r="O827" s="15" t="str">
        <v/>
      </c>
      <c r="P827" s="22">
        <v>0</v>
      </c>
      <c r="Q827">
        <v>0</v>
      </c>
    </row>
    <row r="828" spans="1:17">
      <c r="A828" s="19">
        <v>0</v>
      </c>
      <c r="B828" s="19">
        <v>0</v>
      </c>
      <c r="C828" s="19">
        <v>0</v>
      </c>
      <c r="D828" s="19">
        <v>0</v>
      </c>
      <c r="E828" s="19">
        <v>0</v>
      </c>
      <c r="F828" s="19">
        <v>0</v>
      </c>
      <c r="G828" s="19">
        <v>0</v>
      </c>
      <c r="H828" s="19">
        <v>0</v>
      </c>
      <c r="I828" s="15">
        <v>3500</v>
      </c>
      <c r="J828" s="15">
        <v>0</v>
      </c>
      <c r="K828" s="15">
        <v>0</v>
      </c>
      <c r="L828" s="16">
        <v>0</v>
      </c>
      <c r="M828" s="15">
        <v>0</v>
      </c>
      <c r="N828" s="15" t="str">
        <v/>
      </c>
      <c r="O828" s="15" t="str">
        <v/>
      </c>
      <c r="P828" s="22">
        <v>0</v>
      </c>
      <c r="Q828">
        <v>0</v>
      </c>
    </row>
    <row r="829" spans="1:17">
      <c r="A829" s="19">
        <v>0</v>
      </c>
      <c r="B829" s="19">
        <v>0</v>
      </c>
      <c r="C829" s="19">
        <v>0</v>
      </c>
      <c r="D829" s="19">
        <v>0</v>
      </c>
      <c r="E829" s="19">
        <v>0</v>
      </c>
      <c r="F829" s="19">
        <v>0</v>
      </c>
      <c r="G829" s="19">
        <v>0</v>
      </c>
      <c r="H829" s="19">
        <v>0</v>
      </c>
      <c r="I829" s="15">
        <v>3500</v>
      </c>
      <c r="J829" s="15">
        <v>0</v>
      </c>
      <c r="K829" s="15">
        <v>0</v>
      </c>
      <c r="L829" s="16">
        <v>0</v>
      </c>
      <c r="M829" s="15">
        <v>0</v>
      </c>
      <c r="N829" s="15" t="str">
        <v/>
      </c>
      <c r="O829" s="15" t="str">
        <v/>
      </c>
      <c r="P829" s="22">
        <v>0</v>
      </c>
      <c r="Q829">
        <v>0</v>
      </c>
    </row>
    <row r="830" spans="1:17">
      <c r="A830" s="19">
        <v>0</v>
      </c>
      <c r="B830" s="19">
        <v>0</v>
      </c>
      <c r="C830" s="19">
        <v>0</v>
      </c>
      <c r="D830" s="19">
        <v>0</v>
      </c>
      <c r="E830" s="19">
        <v>0</v>
      </c>
      <c r="F830" s="19">
        <v>0</v>
      </c>
      <c r="G830" s="19">
        <v>0</v>
      </c>
      <c r="H830" s="19">
        <v>0</v>
      </c>
      <c r="I830" s="15">
        <v>3500</v>
      </c>
      <c r="J830" s="15">
        <v>0</v>
      </c>
      <c r="K830" s="15">
        <v>0</v>
      </c>
      <c r="L830" s="16">
        <v>0</v>
      </c>
      <c r="M830" s="15">
        <v>0</v>
      </c>
      <c r="N830" s="15" t="str">
        <v/>
      </c>
      <c r="O830" s="15" t="str">
        <v/>
      </c>
      <c r="P830" s="22">
        <v>0</v>
      </c>
      <c r="Q830">
        <v>0</v>
      </c>
    </row>
    <row r="831" spans="1:17">
      <c r="A831" s="19">
        <v>0</v>
      </c>
      <c r="B831" s="19">
        <v>0</v>
      </c>
      <c r="C831" s="19">
        <v>0</v>
      </c>
      <c r="D831" s="19">
        <v>0</v>
      </c>
      <c r="E831" s="19">
        <v>0</v>
      </c>
      <c r="F831" s="19">
        <v>0</v>
      </c>
      <c r="G831" s="19">
        <v>0</v>
      </c>
      <c r="H831" s="19">
        <v>0</v>
      </c>
      <c r="I831" s="15">
        <v>3500</v>
      </c>
      <c r="J831" s="15">
        <v>0</v>
      </c>
      <c r="K831" s="15">
        <v>0</v>
      </c>
      <c r="L831" s="16">
        <v>0</v>
      </c>
      <c r="M831" s="15">
        <v>0</v>
      </c>
      <c r="N831" s="15" t="str">
        <v/>
      </c>
      <c r="O831" s="15" t="str">
        <v/>
      </c>
      <c r="P831" s="22">
        <v>0</v>
      </c>
      <c r="Q831">
        <v>0</v>
      </c>
    </row>
    <row r="832" spans="1:17">
      <c r="A832" s="19">
        <v>0</v>
      </c>
      <c r="B832" s="19">
        <v>0</v>
      </c>
      <c r="C832" s="19">
        <v>0</v>
      </c>
      <c r="D832" s="19">
        <v>0</v>
      </c>
      <c r="E832" s="19">
        <v>0</v>
      </c>
      <c r="F832" s="19">
        <v>0</v>
      </c>
      <c r="G832" s="19">
        <v>0</v>
      </c>
      <c r="H832" s="19">
        <v>0</v>
      </c>
      <c r="I832" s="15">
        <v>3500</v>
      </c>
      <c r="J832" s="15">
        <v>0</v>
      </c>
      <c r="K832" s="15">
        <v>0</v>
      </c>
      <c r="L832" s="16">
        <v>0</v>
      </c>
      <c r="M832" s="15">
        <v>0</v>
      </c>
      <c r="N832" s="15" t="str">
        <v/>
      </c>
      <c r="O832" s="15" t="str">
        <v/>
      </c>
      <c r="P832" s="22">
        <v>0</v>
      </c>
      <c r="Q832">
        <v>0</v>
      </c>
    </row>
    <row r="833" spans="1:17">
      <c r="A833" s="19">
        <v>0</v>
      </c>
      <c r="B833" s="19">
        <v>0</v>
      </c>
      <c r="C833" s="19">
        <v>0</v>
      </c>
      <c r="D833" s="19">
        <v>0</v>
      </c>
      <c r="E833" s="19">
        <v>0</v>
      </c>
      <c r="F833" s="19">
        <v>0</v>
      </c>
      <c r="G833" s="19">
        <v>0</v>
      </c>
      <c r="H833" s="19">
        <v>0</v>
      </c>
      <c r="I833" s="15">
        <v>3500</v>
      </c>
      <c r="J833" s="15">
        <v>0</v>
      </c>
      <c r="K833" s="15">
        <v>0</v>
      </c>
      <c r="L833" s="16">
        <v>0</v>
      </c>
      <c r="M833" s="15">
        <v>0</v>
      </c>
      <c r="N833" s="15" t="str">
        <v/>
      </c>
      <c r="O833" s="15" t="str">
        <v/>
      </c>
      <c r="P833" s="22">
        <v>0</v>
      </c>
      <c r="Q833">
        <v>0</v>
      </c>
    </row>
    <row r="834" spans="1:17">
      <c r="A834" s="19">
        <v>0</v>
      </c>
      <c r="B834" s="19">
        <v>0</v>
      </c>
      <c r="C834" s="19">
        <v>0</v>
      </c>
      <c r="D834" s="19">
        <v>0</v>
      </c>
      <c r="E834" s="19">
        <v>0</v>
      </c>
      <c r="F834" s="19">
        <v>0</v>
      </c>
      <c r="G834" s="19">
        <v>0</v>
      </c>
      <c r="H834" s="19">
        <v>0</v>
      </c>
      <c r="I834" s="15">
        <v>3500</v>
      </c>
      <c r="J834" s="15">
        <v>0</v>
      </c>
      <c r="K834" s="15">
        <v>0</v>
      </c>
      <c r="L834" s="16">
        <v>0</v>
      </c>
      <c r="M834" s="15">
        <v>0</v>
      </c>
      <c r="N834" s="15" t="str">
        <v/>
      </c>
      <c r="O834" s="15" t="str">
        <v/>
      </c>
      <c r="P834" s="22">
        <v>0</v>
      </c>
      <c r="Q834">
        <v>0</v>
      </c>
    </row>
    <row r="835" spans="1:17">
      <c r="A835" s="19">
        <v>0</v>
      </c>
      <c r="B835" s="19">
        <v>0</v>
      </c>
      <c r="C835" s="19">
        <v>0</v>
      </c>
      <c r="D835" s="19">
        <v>0</v>
      </c>
      <c r="E835" s="19">
        <v>0</v>
      </c>
      <c r="F835" s="19">
        <v>0</v>
      </c>
      <c r="G835" s="19">
        <v>0</v>
      </c>
      <c r="H835" s="19">
        <v>0</v>
      </c>
      <c r="I835" s="15">
        <v>3500</v>
      </c>
      <c r="J835" s="15">
        <v>0</v>
      </c>
      <c r="K835" s="15">
        <v>0</v>
      </c>
      <c r="L835" s="16">
        <v>0</v>
      </c>
      <c r="M835" s="15">
        <v>0</v>
      </c>
      <c r="N835" s="15" t="str">
        <v/>
      </c>
      <c r="O835" s="15" t="str">
        <v/>
      </c>
      <c r="P835" s="22">
        <v>0</v>
      </c>
      <c r="Q835">
        <v>0</v>
      </c>
    </row>
    <row r="836" spans="1:17">
      <c r="A836" s="19">
        <v>0</v>
      </c>
      <c r="B836" s="19">
        <v>0</v>
      </c>
      <c r="C836" s="19">
        <v>0</v>
      </c>
      <c r="D836" s="19">
        <v>0</v>
      </c>
      <c r="E836" s="19">
        <v>0</v>
      </c>
      <c r="F836" s="19">
        <v>0</v>
      </c>
      <c r="G836" s="19">
        <v>0</v>
      </c>
      <c r="H836" s="19">
        <v>0</v>
      </c>
      <c r="I836" s="15">
        <v>3500</v>
      </c>
      <c r="J836" s="15">
        <v>0</v>
      </c>
      <c r="K836" s="15">
        <v>0</v>
      </c>
      <c r="L836" s="16">
        <v>0</v>
      </c>
      <c r="M836" s="15">
        <v>0</v>
      </c>
      <c r="N836" s="15" t="str">
        <v/>
      </c>
      <c r="O836" s="15" t="str">
        <v/>
      </c>
      <c r="P836" s="22">
        <v>0</v>
      </c>
      <c r="Q836">
        <v>0</v>
      </c>
    </row>
    <row r="837" spans="1:17">
      <c r="A837" s="19">
        <v>0</v>
      </c>
      <c r="B837" s="19">
        <v>0</v>
      </c>
      <c r="C837" s="19">
        <v>0</v>
      </c>
      <c r="D837" s="19">
        <v>0</v>
      </c>
      <c r="E837" s="19">
        <v>0</v>
      </c>
      <c r="F837" s="19">
        <v>0</v>
      </c>
      <c r="G837" s="19">
        <v>0</v>
      </c>
      <c r="H837" s="19">
        <v>0</v>
      </c>
      <c r="I837" s="15">
        <v>3500</v>
      </c>
      <c r="J837" s="15">
        <v>0</v>
      </c>
      <c r="K837" s="15">
        <v>0</v>
      </c>
      <c r="L837" s="16">
        <v>0</v>
      </c>
      <c r="M837" s="15">
        <v>0</v>
      </c>
      <c r="N837" s="15" t="str">
        <v/>
      </c>
      <c r="O837" s="15" t="str">
        <v/>
      </c>
      <c r="P837" s="22">
        <v>0</v>
      </c>
      <c r="Q837">
        <v>0</v>
      </c>
    </row>
    <row r="838" spans="1:17">
      <c r="A838" s="19">
        <v>0</v>
      </c>
      <c r="B838" s="19">
        <v>0</v>
      </c>
      <c r="C838" s="19">
        <v>0</v>
      </c>
      <c r="D838" s="19">
        <v>0</v>
      </c>
      <c r="E838" s="19">
        <v>0</v>
      </c>
      <c r="F838" s="19">
        <v>0</v>
      </c>
      <c r="G838" s="19">
        <v>0</v>
      </c>
      <c r="H838" s="19">
        <v>0</v>
      </c>
      <c r="I838" s="15">
        <v>3500</v>
      </c>
      <c r="J838" s="15">
        <v>0</v>
      </c>
      <c r="K838" s="15">
        <v>0</v>
      </c>
      <c r="L838" s="16">
        <v>0</v>
      </c>
      <c r="M838" s="15">
        <v>0</v>
      </c>
      <c r="N838" s="15" t="str">
        <v/>
      </c>
      <c r="O838" s="15" t="str">
        <v/>
      </c>
      <c r="P838" s="22">
        <v>0</v>
      </c>
      <c r="Q838">
        <v>0</v>
      </c>
    </row>
    <row r="839" spans="1:17">
      <c r="A839" s="19">
        <v>0</v>
      </c>
      <c r="B839" s="19">
        <v>0</v>
      </c>
      <c r="C839" s="19">
        <v>0</v>
      </c>
      <c r="D839" s="19">
        <v>0</v>
      </c>
      <c r="E839" s="19">
        <v>0</v>
      </c>
      <c r="F839" s="19">
        <v>0</v>
      </c>
      <c r="G839" s="19">
        <v>0</v>
      </c>
      <c r="H839" s="19">
        <v>0</v>
      </c>
      <c r="I839" s="15">
        <v>3500</v>
      </c>
      <c r="J839" s="15">
        <v>0</v>
      </c>
      <c r="K839" s="15">
        <v>0</v>
      </c>
      <c r="L839" s="16">
        <v>0</v>
      </c>
      <c r="M839" s="15">
        <v>0</v>
      </c>
      <c r="N839" s="15" t="str">
        <v/>
      </c>
      <c r="O839" s="15" t="str">
        <v/>
      </c>
      <c r="P839" s="22">
        <v>0</v>
      </c>
      <c r="Q839">
        <v>0</v>
      </c>
    </row>
    <row r="840" spans="1:17">
      <c r="A840" s="19">
        <v>0</v>
      </c>
      <c r="B840" s="19">
        <v>0</v>
      </c>
      <c r="C840" s="19">
        <v>0</v>
      </c>
      <c r="D840" s="19">
        <v>0</v>
      </c>
      <c r="E840" s="19">
        <v>0</v>
      </c>
      <c r="F840" s="19">
        <v>0</v>
      </c>
      <c r="G840" s="19">
        <v>0</v>
      </c>
      <c r="H840" s="19">
        <v>0</v>
      </c>
      <c r="I840" s="15">
        <v>3500</v>
      </c>
      <c r="J840" s="15">
        <v>0</v>
      </c>
      <c r="K840" s="15">
        <v>0</v>
      </c>
      <c r="L840" s="16">
        <v>0</v>
      </c>
      <c r="M840" s="15">
        <v>0</v>
      </c>
      <c r="N840" s="15" t="str">
        <v/>
      </c>
      <c r="O840" s="15" t="str">
        <v/>
      </c>
      <c r="P840" s="22">
        <v>0</v>
      </c>
      <c r="Q840">
        <v>0</v>
      </c>
    </row>
    <row r="841" spans="1:17">
      <c r="A841" s="19">
        <v>0</v>
      </c>
      <c r="B841" s="19">
        <v>0</v>
      </c>
      <c r="C841" s="19">
        <v>0</v>
      </c>
      <c r="D841" s="19">
        <v>0</v>
      </c>
      <c r="E841" s="19">
        <v>0</v>
      </c>
      <c r="F841" s="19">
        <v>0</v>
      </c>
      <c r="G841" s="19">
        <v>0</v>
      </c>
      <c r="H841" s="19">
        <v>0</v>
      </c>
      <c r="I841" s="15">
        <v>3500</v>
      </c>
      <c r="J841" s="15">
        <v>0</v>
      </c>
      <c r="K841" s="15">
        <v>0</v>
      </c>
      <c r="L841" s="16">
        <v>0</v>
      </c>
      <c r="M841" s="15">
        <v>0</v>
      </c>
      <c r="N841" s="15" t="str">
        <v/>
      </c>
      <c r="O841" s="15" t="str">
        <v/>
      </c>
      <c r="P841" s="22">
        <v>0</v>
      </c>
      <c r="Q841">
        <v>0</v>
      </c>
    </row>
    <row r="842" spans="1:17">
      <c r="A842" s="19">
        <v>0</v>
      </c>
      <c r="B842" s="19">
        <v>0</v>
      </c>
      <c r="C842" s="19">
        <v>0</v>
      </c>
      <c r="D842" s="19">
        <v>0</v>
      </c>
      <c r="E842" s="19">
        <v>0</v>
      </c>
      <c r="F842" s="19">
        <v>0</v>
      </c>
      <c r="G842" s="19">
        <v>0</v>
      </c>
      <c r="H842" s="19">
        <v>0</v>
      </c>
      <c r="I842" s="15">
        <v>3500</v>
      </c>
      <c r="J842" s="15">
        <v>0</v>
      </c>
      <c r="K842" s="15">
        <v>0</v>
      </c>
      <c r="L842" s="16">
        <v>0</v>
      </c>
      <c r="M842" s="15">
        <v>0</v>
      </c>
      <c r="N842" s="15" t="str">
        <v/>
      </c>
      <c r="O842" s="15" t="str">
        <v/>
      </c>
      <c r="P842" s="22">
        <v>0</v>
      </c>
      <c r="Q842">
        <v>0</v>
      </c>
    </row>
    <row r="843" spans="1:17">
      <c r="A843" s="19">
        <v>0</v>
      </c>
      <c r="B843" s="19">
        <v>0</v>
      </c>
      <c r="C843" s="19">
        <v>0</v>
      </c>
      <c r="D843" s="19">
        <v>0</v>
      </c>
      <c r="E843" s="19">
        <v>0</v>
      </c>
      <c r="F843" s="19">
        <v>0</v>
      </c>
      <c r="G843" s="19">
        <v>0</v>
      </c>
      <c r="H843" s="19">
        <v>0</v>
      </c>
      <c r="I843" s="15">
        <v>3500</v>
      </c>
      <c r="J843" s="15">
        <v>0</v>
      </c>
      <c r="K843" s="15">
        <v>0</v>
      </c>
      <c r="L843" s="16">
        <v>0</v>
      </c>
      <c r="M843" s="15">
        <v>0</v>
      </c>
      <c r="N843" s="15" t="str">
        <v/>
      </c>
      <c r="O843" s="15" t="str">
        <v/>
      </c>
      <c r="P843" s="22">
        <v>0</v>
      </c>
      <c r="Q843">
        <v>0</v>
      </c>
    </row>
    <row r="844" spans="1:17">
      <c r="A844" s="19">
        <v>0</v>
      </c>
      <c r="B844" s="19">
        <v>0</v>
      </c>
      <c r="C844" s="19">
        <v>0</v>
      </c>
      <c r="D844" s="19">
        <v>0</v>
      </c>
      <c r="E844" s="19">
        <v>0</v>
      </c>
      <c r="F844" s="19">
        <v>0</v>
      </c>
      <c r="G844" s="19">
        <v>0</v>
      </c>
      <c r="H844" s="19">
        <v>0</v>
      </c>
      <c r="I844" s="15">
        <v>3500</v>
      </c>
      <c r="J844" s="15">
        <v>0</v>
      </c>
      <c r="K844" s="15">
        <v>0</v>
      </c>
      <c r="L844" s="16">
        <v>0</v>
      </c>
      <c r="M844" s="15">
        <v>0</v>
      </c>
      <c r="N844" s="15" t="str">
        <v/>
      </c>
      <c r="O844" s="15" t="str">
        <v/>
      </c>
      <c r="P844" s="22">
        <v>0</v>
      </c>
      <c r="Q844">
        <v>0</v>
      </c>
    </row>
    <row r="845" spans="1:17">
      <c r="A845" s="19">
        <v>0</v>
      </c>
      <c r="B845" s="19">
        <v>0</v>
      </c>
      <c r="C845" s="19">
        <v>0</v>
      </c>
      <c r="D845" s="19">
        <v>0</v>
      </c>
      <c r="E845" s="19">
        <v>0</v>
      </c>
      <c r="F845" s="19">
        <v>0</v>
      </c>
      <c r="G845" s="19">
        <v>0</v>
      </c>
      <c r="H845" s="19">
        <v>0</v>
      </c>
      <c r="I845" s="15">
        <v>3500</v>
      </c>
      <c r="J845" s="15">
        <v>0</v>
      </c>
      <c r="K845" s="15">
        <v>0</v>
      </c>
      <c r="L845" s="16">
        <v>0</v>
      </c>
      <c r="M845" s="15">
        <v>0</v>
      </c>
      <c r="N845" s="15" t="str">
        <v/>
      </c>
      <c r="O845" s="15" t="str">
        <v/>
      </c>
      <c r="P845" s="22">
        <v>0</v>
      </c>
      <c r="Q845">
        <v>0</v>
      </c>
    </row>
    <row r="846" spans="1:17">
      <c r="A846" s="19">
        <v>0</v>
      </c>
      <c r="B846" s="19">
        <v>0</v>
      </c>
      <c r="C846" s="19">
        <v>0</v>
      </c>
      <c r="D846" s="19">
        <v>0</v>
      </c>
      <c r="E846" s="19">
        <v>0</v>
      </c>
      <c r="F846" s="19">
        <v>0</v>
      </c>
      <c r="G846" s="19">
        <v>0</v>
      </c>
      <c r="H846" s="19">
        <v>0</v>
      </c>
      <c r="I846" s="15">
        <v>3500</v>
      </c>
      <c r="J846" s="15">
        <v>0</v>
      </c>
      <c r="K846" s="15">
        <v>0</v>
      </c>
      <c r="L846" s="16">
        <v>0</v>
      </c>
      <c r="M846" s="15">
        <v>0</v>
      </c>
      <c r="N846" s="15" t="str">
        <v/>
      </c>
      <c r="O846" s="15" t="str">
        <v/>
      </c>
      <c r="P846" s="22">
        <v>0</v>
      </c>
      <c r="Q846">
        <v>0</v>
      </c>
    </row>
    <row r="847" spans="1:17">
      <c r="A847" s="19">
        <v>0</v>
      </c>
      <c r="B847" s="19">
        <v>0</v>
      </c>
      <c r="C847" s="19">
        <v>0</v>
      </c>
      <c r="D847" s="19">
        <v>0</v>
      </c>
      <c r="E847" s="19">
        <v>0</v>
      </c>
      <c r="F847" s="19">
        <v>0</v>
      </c>
      <c r="G847" s="19">
        <v>0</v>
      </c>
      <c r="H847" s="19">
        <v>0</v>
      </c>
      <c r="I847" s="15">
        <v>3500</v>
      </c>
      <c r="J847" s="15">
        <v>0</v>
      </c>
      <c r="K847" s="15">
        <v>0</v>
      </c>
      <c r="L847" s="16">
        <v>0</v>
      </c>
      <c r="M847" s="15">
        <v>0</v>
      </c>
      <c r="N847" s="15" t="str">
        <v/>
      </c>
      <c r="O847" s="15" t="str">
        <v/>
      </c>
      <c r="P847" s="22">
        <v>0</v>
      </c>
      <c r="Q847">
        <v>0</v>
      </c>
    </row>
    <row r="848" spans="1:17">
      <c r="A848" s="19">
        <v>0</v>
      </c>
      <c r="B848" s="19">
        <v>0</v>
      </c>
      <c r="C848" s="19">
        <v>0</v>
      </c>
      <c r="D848" s="19">
        <v>0</v>
      </c>
      <c r="E848" s="19">
        <v>0</v>
      </c>
      <c r="F848" s="19">
        <v>0</v>
      </c>
      <c r="G848" s="19">
        <v>0</v>
      </c>
      <c r="H848" s="19">
        <v>0</v>
      </c>
      <c r="I848" s="15">
        <v>3500</v>
      </c>
      <c r="J848" s="15">
        <v>0</v>
      </c>
      <c r="K848" s="15">
        <v>0</v>
      </c>
      <c r="L848" s="16">
        <v>0</v>
      </c>
      <c r="M848" s="15">
        <v>0</v>
      </c>
      <c r="N848" s="15" t="str">
        <v/>
      </c>
      <c r="O848" s="15" t="str">
        <v/>
      </c>
      <c r="P848" s="22">
        <v>0</v>
      </c>
      <c r="Q848">
        <v>0</v>
      </c>
    </row>
    <row r="849" spans="1:17">
      <c r="A849" s="19">
        <v>0</v>
      </c>
      <c r="B849" s="19">
        <v>0</v>
      </c>
      <c r="C849" s="19">
        <v>0</v>
      </c>
      <c r="D849" s="19">
        <v>0</v>
      </c>
      <c r="E849" s="19">
        <v>0</v>
      </c>
      <c r="F849" s="19">
        <v>0</v>
      </c>
      <c r="G849" s="19">
        <v>0</v>
      </c>
      <c r="H849" s="19">
        <v>0</v>
      </c>
      <c r="I849" s="15">
        <v>3500</v>
      </c>
      <c r="J849" s="15">
        <v>0</v>
      </c>
      <c r="K849" s="15">
        <v>0</v>
      </c>
      <c r="L849" s="16">
        <v>0</v>
      </c>
      <c r="M849" s="15">
        <v>0</v>
      </c>
      <c r="N849" s="15" t="str">
        <v/>
      </c>
      <c r="O849" s="15" t="str">
        <v/>
      </c>
      <c r="P849" s="22">
        <v>0</v>
      </c>
      <c r="Q849">
        <v>0</v>
      </c>
    </row>
    <row r="850" spans="1:17">
      <c r="A850" s="19">
        <v>0</v>
      </c>
      <c r="B850" s="19">
        <v>0</v>
      </c>
      <c r="C850" s="19">
        <v>0</v>
      </c>
      <c r="D850" s="19">
        <v>0</v>
      </c>
      <c r="E850" s="19">
        <v>0</v>
      </c>
      <c r="F850" s="19">
        <v>0</v>
      </c>
      <c r="G850" s="19">
        <v>0</v>
      </c>
      <c r="H850" s="19">
        <v>0</v>
      </c>
      <c r="I850" s="15">
        <v>3500</v>
      </c>
      <c r="J850" s="15">
        <v>0</v>
      </c>
      <c r="K850" s="15">
        <v>0</v>
      </c>
      <c r="L850" s="16">
        <v>0</v>
      </c>
      <c r="M850" s="15">
        <v>0</v>
      </c>
      <c r="N850" s="15" t="str">
        <v/>
      </c>
      <c r="O850" s="15" t="str">
        <v/>
      </c>
      <c r="P850" s="22">
        <v>0</v>
      </c>
      <c r="Q850">
        <v>0</v>
      </c>
    </row>
    <row r="851" spans="1:17">
      <c r="A851" s="19">
        <v>0</v>
      </c>
      <c r="B851" s="19">
        <v>0</v>
      </c>
      <c r="C851" s="19">
        <v>0</v>
      </c>
      <c r="D851" s="19">
        <v>0</v>
      </c>
      <c r="E851" s="19">
        <v>0</v>
      </c>
      <c r="F851" s="19">
        <v>0</v>
      </c>
      <c r="G851" s="19">
        <v>0</v>
      </c>
      <c r="H851" s="19">
        <v>0</v>
      </c>
      <c r="I851" s="15">
        <v>3500</v>
      </c>
      <c r="J851" s="15">
        <v>0</v>
      </c>
      <c r="K851" s="15">
        <v>0</v>
      </c>
      <c r="L851" s="16">
        <v>0</v>
      </c>
      <c r="M851" s="15">
        <v>0</v>
      </c>
      <c r="N851" s="15" t="str">
        <v/>
      </c>
      <c r="O851" s="15" t="str">
        <v/>
      </c>
      <c r="P851" s="22">
        <v>0</v>
      </c>
      <c r="Q851">
        <v>0</v>
      </c>
    </row>
    <row r="852" spans="1:17">
      <c r="A852" s="19">
        <v>0</v>
      </c>
      <c r="B852" s="19">
        <v>0</v>
      </c>
      <c r="C852" s="19">
        <v>0</v>
      </c>
      <c r="D852" s="19">
        <v>0</v>
      </c>
      <c r="E852" s="19">
        <v>0</v>
      </c>
      <c r="F852" s="19">
        <v>0</v>
      </c>
      <c r="G852" s="19">
        <v>0</v>
      </c>
      <c r="H852" s="19">
        <v>0</v>
      </c>
      <c r="I852" s="15">
        <v>3500</v>
      </c>
      <c r="J852" s="15">
        <v>0</v>
      </c>
      <c r="K852" s="15">
        <v>0</v>
      </c>
      <c r="L852" s="16">
        <v>0</v>
      </c>
      <c r="M852" s="15">
        <v>0</v>
      </c>
      <c r="N852" s="15" t="str">
        <v/>
      </c>
      <c r="O852" s="15" t="str">
        <v/>
      </c>
      <c r="P852" s="22">
        <v>0</v>
      </c>
      <c r="Q852">
        <v>0</v>
      </c>
    </row>
    <row r="853" spans="1:17">
      <c r="A853" s="19">
        <v>0</v>
      </c>
      <c r="B853" s="19">
        <v>0</v>
      </c>
      <c r="C853" s="19">
        <v>0</v>
      </c>
      <c r="D853" s="19">
        <v>0</v>
      </c>
      <c r="E853" s="19">
        <v>0</v>
      </c>
      <c r="F853" s="19">
        <v>0</v>
      </c>
      <c r="G853" s="19">
        <v>0</v>
      </c>
      <c r="H853" s="19">
        <v>0</v>
      </c>
      <c r="I853" s="15">
        <v>3500</v>
      </c>
      <c r="J853" s="15">
        <v>0</v>
      </c>
      <c r="K853" s="15">
        <v>0</v>
      </c>
      <c r="L853" s="16">
        <v>0</v>
      </c>
      <c r="M853" s="15">
        <v>0</v>
      </c>
      <c r="N853" s="15" t="str">
        <v/>
      </c>
      <c r="O853" s="15" t="str">
        <v/>
      </c>
      <c r="P853" s="22">
        <v>0</v>
      </c>
      <c r="Q853">
        <v>0</v>
      </c>
    </row>
    <row r="854" spans="1:17">
      <c r="A854" s="19">
        <v>0</v>
      </c>
      <c r="B854" s="19">
        <v>0</v>
      </c>
      <c r="C854" s="19">
        <v>0</v>
      </c>
      <c r="D854" s="19">
        <v>0</v>
      </c>
      <c r="E854" s="19">
        <v>0</v>
      </c>
      <c r="F854" s="19">
        <v>0</v>
      </c>
      <c r="G854" s="19">
        <v>0</v>
      </c>
      <c r="H854" s="19">
        <v>0</v>
      </c>
      <c r="I854" s="15">
        <v>3500</v>
      </c>
      <c r="J854" s="15">
        <v>0</v>
      </c>
      <c r="K854" s="15">
        <v>0</v>
      </c>
      <c r="L854" s="16">
        <v>0</v>
      </c>
      <c r="M854" s="15">
        <v>0</v>
      </c>
      <c r="N854" s="15" t="str">
        <v/>
      </c>
      <c r="O854" s="15" t="str">
        <v/>
      </c>
      <c r="P854" s="22">
        <v>0</v>
      </c>
      <c r="Q854">
        <v>0</v>
      </c>
    </row>
    <row r="855" spans="1:17">
      <c r="A855" s="19">
        <v>0</v>
      </c>
      <c r="B855" s="19">
        <v>0</v>
      </c>
      <c r="C855" s="19">
        <v>0</v>
      </c>
      <c r="D855" s="19">
        <v>0</v>
      </c>
      <c r="E855" s="19">
        <v>0</v>
      </c>
      <c r="F855" s="19">
        <v>0</v>
      </c>
      <c r="G855" s="19">
        <v>0</v>
      </c>
      <c r="H855" s="19">
        <v>0</v>
      </c>
      <c r="I855" s="15">
        <v>3500</v>
      </c>
      <c r="J855" s="15">
        <v>0</v>
      </c>
      <c r="K855" s="15">
        <v>0</v>
      </c>
      <c r="L855" s="16">
        <v>0</v>
      </c>
      <c r="M855" s="15">
        <v>0</v>
      </c>
      <c r="N855" s="15" t="str">
        <v/>
      </c>
      <c r="O855" s="15" t="str">
        <v/>
      </c>
      <c r="P855" s="22">
        <v>0</v>
      </c>
      <c r="Q855">
        <v>0</v>
      </c>
    </row>
    <row r="856" spans="1:17">
      <c r="A856" s="19">
        <v>0</v>
      </c>
      <c r="B856" s="19">
        <v>0</v>
      </c>
      <c r="C856" s="19">
        <v>0</v>
      </c>
      <c r="D856" s="19">
        <v>0</v>
      </c>
      <c r="E856" s="19">
        <v>0</v>
      </c>
      <c r="F856" s="19">
        <v>0</v>
      </c>
      <c r="G856" s="19">
        <v>0</v>
      </c>
      <c r="H856" s="19">
        <v>0</v>
      </c>
      <c r="I856" s="15">
        <v>3500</v>
      </c>
      <c r="J856" s="15">
        <v>0</v>
      </c>
      <c r="K856" s="15">
        <v>0</v>
      </c>
      <c r="L856" s="16">
        <v>0</v>
      </c>
      <c r="M856" s="15">
        <v>0</v>
      </c>
      <c r="N856" s="15" t="str">
        <v/>
      </c>
      <c r="O856" s="15" t="str">
        <v/>
      </c>
      <c r="P856" s="22">
        <v>0</v>
      </c>
      <c r="Q856">
        <v>0</v>
      </c>
    </row>
    <row r="857" spans="1:17">
      <c r="A857" s="19">
        <v>0</v>
      </c>
      <c r="B857" s="19">
        <v>0</v>
      </c>
      <c r="C857" s="19">
        <v>0</v>
      </c>
      <c r="D857" s="19">
        <v>0</v>
      </c>
      <c r="E857" s="19">
        <v>0</v>
      </c>
      <c r="F857" s="19">
        <v>0</v>
      </c>
      <c r="G857" s="19">
        <v>0</v>
      </c>
      <c r="H857" s="19">
        <v>0</v>
      </c>
      <c r="I857" s="15">
        <v>3500</v>
      </c>
      <c r="J857" s="15">
        <v>0</v>
      </c>
      <c r="K857" s="15">
        <v>0</v>
      </c>
      <c r="L857" s="16">
        <v>0</v>
      </c>
      <c r="M857" s="15">
        <v>0</v>
      </c>
      <c r="N857" s="15" t="str">
        <v/>
      </c>
      <c r="O857" s="15" t="str">
        <v/>
      </c>
      <c r="P857" s="22">
        <v>0</v>
      </c>
      <c r="Q857">
        <v>0</v>
      </c>
    </row>
    <row r="858" spans="1:17">
      <c r="A858" s="19">
        <v>0</v>
      </c>
      <c r="B858" s="19">
        <v>0</v>
      </c>
      <c r="C858" s="19">
        <v>0</v>
      </c>
      <c r="D858" s="19">
        <v>0</v>
      </c>
      <c r="E858" s="19">
        <v>0</v>
      </c>
      <c r="F858" s="19">
        <v>0</v>
      </c>
      <c r="G858" s="19">
        <v>0</v>
      </c>
      <c r="H858" s="19">
        <v>0</v>
      </c>
      <c r="I858" s="15">
        <v>3500</v>
      </c>
      <c r="J858" s="15">
        <v>0</v>
      </c>
      <c r="K858" s="15">
        <v>0</v>
      </c>
      <c r="L858" s="16">
        <v>0</v>
      </c>
      <c r="M858" s="15">
        <v>0</v>
      </c>
      <c r="N858" s="15" t="str">
        <v/>
      </c>
      <c r="O858" s="15" t="str">
        <v/>
      </c>
      <c r="P858" s="22">
        <v>0</v>
      </c>
      <c r="Q858">
        <v>0</v>
      </c>
    </row>
    <row r="859" spans="1:17">
      <c r="A859" s="19">
        <v>0</v>
      </c>
      <c r="B859" s="19">
        <v>0</v>
      </c>
      <c r="C859" s="19">
        <v>0</v>
      </c>
      <c r="D859" s="19">
        <v>0</v>
      </c>
      <c r="E859" s="19">
        <v>0</v>
      </c>
      <c r="F859" s="19">
        <v>0</v>
      </c>
      <c r="G859" s="19">
        <v>0</v>
      </c>
      <c r="H859" s="19">
        <v>0</v>
      </c>
      <c r="I859" s="15">
        <v>3500</v>
      </c>
      <c r="J859" s="15">
        <v>0</v>
      </c>
      <c r="K859" s="15">
        <v>0</v>
      </c>
      <c r="L859" s="16">
        <v>0</v>
      </c>
      <c r="M859" s="15">
        <v>0</v>
      </c>
      <c r="N859" s="15" t="str">
        <v/>
      </c>
      <c r="O859" s="15" t="str">
        <v/>
      </c>
      <c r="P859" s="22">
        <v>0</v>
      </c>
      <c r="Q859">
        <v>0</v>
      </c>
    </row>
    <row r="860" spans="1:17">
      <c r="A860" s="19">
        <v>0</v>
      </c>
      <c r="B860" s="19">
        <v>0</v>
      </c>
      <c r="C860" s="19">
        <v>0</v>
      </c>
      <c r="D860" s="19">
        <v>0</v>
      </c>
      <c r="E860" s="19">
        <v>0</v>
      </c>
      <c r="F860" s="19">
        <v>0</v>
      </c>
      <c r="G860" s="19">
        <v>0</v>
      </c>
      <c r="H860" s="19">
        <v>0</v>
      </c>
      <c r="I860" s="15">
        <v>3500</v>
      </c>
      <c r="J860" s="15">
        <v>0</v>
      </c>
      <c r="K860" s="15">
        <v>0</v>
      </c>
      <c r="L860" s="16">
        <v>0</v>
      </c>
      <c r="M860" s="15">
        <v>0</v>
      </c>
      <c r="N860" s="15" t="str">
        <v/>
      </c>
      <c r="O860" s="15" t="str">
        <v/>
      </c>
      <c r="P860" s="22">
        <v>0</v>
      </c>
      <c r="Q860">
        <v>0</v>
      </c>
    </row>
    <row r="861" spans="1:17">
      <c r="A861" s="19">
        <v>0</v>
      </c>
      <c r="B861" s="19">
        <v>0</v>
      </c>
      <c r="C861" s="19">
        <v>0</v>
      </c>
      <c r="D861" s="19">
        <v>0</v>
      </c>
      <c r="E861" s="19">
        <v>0</v>
      </c>
      <c r="F861" s="19">
        <v>0</v>
      </c>
      <c r="G861" s="19">
        <v>0</v>
      </c>
      <c r="H861" s="19">
        <v>0</v>
      </c>
      <c r="I861" s="15">
        <v>3500</v>
      </c>
      <c r="J861" s="15">
        <v>0</v>
      </c>
      <c r="K861" s="15">
        <v>0</v>
      </c>
      <c r="L861" s="16">
        <v>0</v>
      </c>
      <c r="M861" s="15">
        <v>0</v>
      </c>
      <c r="N861" s="15" t="str">
        <v/>
      </c>
      <c r="O861" s="15" t="str">
        <v/>
      </c>
      <c r="P861" s="22">
        <v>0</v>
      </c>
      <c r="Q861">
        <v>0</v>
      </c>
    </row>
    <row r="862" spans="1:17">
      <c r="A862" s="19">
        <v>0</v>
      </c>
      <c r="B862" s="19">
        <v>0</v>
      </c>
      <c r="C862" s="19">
        <v>0</v>
      </c>
      <c r="D862" s="19">
        <v>0</v>
      </c>
      <c r="E862" s="19">
        <v>0</v>
      </c>
      <c r="F862" s="19">
        <v>0</v>
      </c>
      <c r="G862" s="19">
        <v>0</v>
      </c>
      <c r="H862" s="19">
        <v>0</v>
      </c>
      <c r="I862" s="15">
        <v>3500</v>
      </c>
      <c r="J862" s="15">
        <v>0</v>
      </c>
      <c r="K862" s="15">
        <v>0</v>
      </c>
      <c r="L862" s="16">
        <v>0</v>
      </c>
      <c r="M862" s="15">
        <v>0</v>
      </c>
      <c r="N862" s="15" t="str">
        <v/>
      </c>
      <c r="O862" s="15" t="str">
        <v/>
      </c>
      <c r="P862" s="22">
        <v>0</v>
      </c>
      <c r="Q862">
        <v>0</v>
      </c>
    </row>
    <row r="863" spans="1:17">
      <c r="A863" s="19">
        <v>0</v>
      </c>
      <c r="B863" s="19">
        <v>0</v>
      </c>
      <c r="C863" s="19">
        <v>0</v>
      </c>
      <c r="D863" s="19">
        <v>0</v>
      </c>
      <c r="E863" s="19">
        <v>0</v>
      </c>
      <c r="F863" s="19">
        <v>0</v>
      </c>
      <c r="G863" s="19">
        <v>0</v>
      </c>
      <c r="H863" s="19">
        <v>0</v>
      </c>
      <c r="I863" s="15">
        <v>3500</v>
      </c>
      <c r="J863" s="15">
        <v>0</v>
      </c>
      <c r="K863" s="15">
        <v>0</v>
      </c>
      <c r="L863" s="16">
        <v>0</v>
      </c>
      <c r="M863" s="15">
        <v>0</v>
      </c>
      <c r="N863" s="15" t="str">
        <v/>
      </c>
      <c r="O863" s="15" t="str">
        <v/>
      </c>
      <c r="P863" s="22">
        <v>0</v>
      </c>
      <c r="Q863">
        <v>0</v>
      </c>
    </row>
    <row r="864" spans="1:17">
      <c r="A864" s="19">
        <v>0</v>
      </c>
      <c r="B864" s="19">
        <v>0</v>
      </c>
      <c r="C864" s="19">
        <v>0</v>
      </c>
      <c r="D864" s="19">
        <v>0</v>
      </c>
      <c r="E864" s="19">
        <v>0</v>
      </c>
      <c r="F864" s="19">
        <v>0</v>
      </c>
      <c r="G864" s="19">
        <v>0</v>
      </c>
      <c r="H864" s="19">
        <v>0</v>
      </c>
      <c r="I864" s="15">
        <v>3500</v>
      </c>
      <c r="J864" s="15">
        <v>0</v>
      </c>
      <c r="K864" s="15">
        <v>0</v>
      </c>
      <c r="L864" s="16">
        <v>0</v>
      </c>
      <c r="M864" s="15">
        <v>0</v>
      </c>
      <c r="N864" s="15" t="str">
        <v/>
      </c>
      <c r="O864" s="15" t="str">
        <v/>
      </c>
      <c r="P864" s="22">
        <v>0</v>
      </c>
      <c r="Q864">
        <v>0</v>
      </c>
    </row>
    <row r="865" spans="1:17">
      <c r="A865" s="19">
        <v>0</v>
      </c>
      <c r="B865" s="19">
        <v>0</v>
      </c>
      <c r="C865" s="19">
        <v>0</v>
      </c>
      <c r="D865" s="19">
        <v>0</v>
      </c>
      <c r="E865" s="19">
        <v>0</v>
      </c>
      <c r="F865" s="19">
        <v>0</v>
      </c>
      <c r="G865" s="19">
        <v>0</v>
      </c>
      <c r="H865" s="19">
        <v>0</v>
      </c>
      <c r="I865" s="15">
        <v>3500</v>
      </c>
      <c r="J865" s="15">
        <v>0</v>
      </c>
      <c r="K865" s="15">
        <v>0</v>
      </c>
      <c r="L865" s="16">
        <v>0</v>
      </c>
      <c r="M865" s="15">
        <v>0</v>
      </c>
      <c r="N865" s="15" t="str">
        <v/>
      </c>
      <c r="O865" s="15" t="str">
        <v/>
      </c>
      <c r="P865" s="22">
        <v>0</v>
      </c>
      <c r="Q865">
        <v>0</v>
      </c>
    </row>
    <row r="866" spans="1:17">
      <c r="A866" s="19">
        <v>0</v>
      </c>
      <c r="B866" s="19">
        <v>0</v>
      </c>
      <c r="C866" s="19">
        <v>0</v>
      </c>
      <c r="D866" s="19">
        <v>0</v>
      </c>
      <c r="E866" s="19">
        <v>0</v>
      </c>
      <c r="F866" s="19">
        <v>0</v>
      </c>
      <c r="G866" s="19">
        <v>0</v>
      </c>
      <c r="H866" s="19">
        <v>0</v>
      </c>
      <c r="I866" s="15">
        <v>3500</v>
      </c>
      <c r="J866" s="15">
        <v>0</v>
      </c>
      <c r="K866" s="15">
        <v>0</v>
      </c>
      <c r="L866" s="16">
        <v>0</v>
      </c>
      <c r="M866" s="15">
        <v>0</v>
      </c>
      <c r="N866" s="15" t="str">
        <v/>
      </c>
      <c r="O866" s="15" t="str">
        <v/>
      </c>
      <c r="P866" s="22">
        <v>0</v>
      </c>
      <c r="Q866">
        <v>0</v>
      </c>
    </row>
    <row r="867" spans="1:17">
      <c r="A867" s="19">
        <v>0</v>
      </c>
      <c r="B867" s="19">
        <v>0</v>
      </c>
      <c r="C867" s="19">
        <v>0</v>
      </c>
      <c r="D867" s="19">
        <v>0</v>
      </c>
      <c r="E867" s="19">
        <v>0</v>
      </c>
      <c r="F867" s="19">
        <v>0</v>
      </c>
      <c r="G867" s="19">
        <v>0</v>
      </c>
      <c r="H867" s="19">
        <v>0</v>
      </c>
      <c r="I867" s="15">
        <v>3500</v>
      </c>
      <c r="J867" s="15">
        <v>0</v>
      </c>
      <c r="K867" s="15">
        <v>0</v>
      </c>
      <c r="L867" s="16">
        <v>0</v>
      </c>
      <c r="M867" s="15">
        <v>0</v>
      </c>
      <c r="N867" s="15" t="str">
        <v/>
      </c>
      <c r="O867" s="15" t="str">
        <v/>
      </c>
      <c r="P867" s="22">
        <v>0</v>
      </c>
      <c r="Q867">
        <v>0</v>
      </c>
    </row>
    <row r="868" spans="1:17">
      <c r="A868" s="19">
        <v>0</v>
      </c>
      <c r="B868" s="19">
        <v>0</v>
      </c>
      <c r="C868" s="19">
        <v>0</v>
      </c>
      <c r="D868" s="19">
        <v>0</v>
      </c>
      <c r="E868" s="19">
        <v>0</v>
      </c>
      <c r="F868" s="19">
        <v>0</v>
      </c>
      <c r="G868" s="19">
        <v>0</v>
      </c>
      <c r="H868" s="19">
        <v>0</v>
      </c>
      <c r="I868" s="15">
        <v>3500</v>
      </c>
      <c r="J868" s="15">
        <v>0</v>
      </c>
      <c r="K868" s="15">
        <v>0</v>
      </c>
      <c r="L868" s="16">
        <v>0</v>
      </c>
      <c r="M868" s="15">
        <v>0</v>
      </c>
      <c r="N868" s="15" t="str">
        <v/>
      </c>
      <c r="O868" s="15" t="str">
        <v/>
      </c>
      <c r="P868" s="22">
        <v>0</v>
      </c>
      <c r="Q868">
        <v>0</v>
      </c>
    </row>
    <row r="869" spans="1:17">
      <c r="A869" s="19">
        <v>0</v>
      </c>
      <c r="B869" s="19">
        <v>0</v>
      </c>
      <c r="C869" s="19">
        <v>0</v>
      </c>
      <c r="D869" s="19">
        <v>0</v>
      </c>
      <c r="E869" s="19">
        <v>0</v>
      </c>
      <c r="F869" s="19">
        <v>0</v>
      </c>
      <c r="G869" s="19">
        <v>0</v>
      </c>
      <c r="H869" s="19">
        <v>0</v>
      </c>
      <c r="I869" s="15">
        <v>3500</v>
      </c>
      <c r="J869" s="15">
        <v>0</v>
      </c>
      <c r="K869" s="15">
        <v>0</v>
      </c>
      <c r="L869" s="16">
        <v>0</v>
      </c>
      <c r="M869" s="15">
        <v>0</v>
      </c>
      <c r="N869" s="15" t="str">
        <v/>
      </c>
      <c r="O869" s="15" t="str">
        <v/>
      </c>
      <c r="P869" s="22">
        <v>0</v>
      </c>
      <c r="Q869">
        <v>0</v>
      </c>
    </row>
    <row r="870" spans="1:17">
      <c r="A870" s="19">
        <v>0</v>
      </c>
      <c r="B870" s="19">
        <v>0</v>
      </c>
      <c r="C870" s="19">
        <v>0</v>
      </c>
      <c r="D870" s="19">
        <v>0</v>
      </c>
      <c r="E870" s="19">
        <v>0</v>
      </c>
      <c r="F870" s="19">
        <v>0</v>
      </c>
      <c r="G870" s="19">
        <v>0</v>
      </c>
      <c r="H870" s="19">
        <v>0</v>
      </c>
      <c r="I870" s="15">
        <v>3500</v>
      </c>
      <c r="J870" s="15">
        <v>0</v>
      </c>
      <c r="K870" s="15">
        <v>0</v>
      </c>
      <c r="L870" s="16">
        <v>0</v>
      </c>
      <c r="M870" s="15">
        <v>0</v>
      </c>
      <c r="N870" s="15" t="str">
        <v/>
      </c>
      <c r="O870" s="15" t="str">
        <v/>
      </c>
      <c r="P870" s="22">
        <v>0</v>
      </c>
      <c r="Q870">
        <v>0</v>
      </c>
    </row>
    <row r="871" spans="1:17">
      <c r="A871" s="19">
        <v>0</v>
      </c>
      <c r="B871" s="19">
        <v>0</v>
      </c>
      <c r="C871" s="19">
        <v>0</v>
      </c>
      <c r="D871" s="19">
        <v>0</v>
      </c>
      <c r="E871" s="19">
        <v>0</v>
      </c>
      <c r="F871" s="19">
        <v>0</v>
      </c>
      <c r="G871" s="19">
        <v>0</v>
      </c>
      <c r="H871" s="19">
        <v>0</v>
      </c>
      <c r="I871" s="15">
        <v>3500</v>
      </c>
      <c r="J871" s="15">
        <v>0</v>
      </c>
      <c r="K871" s="15">
        <v>0</v>
      </c>
      <c r="L871" s="16">
        <v>0</v>
      </c>
      <c r="M871" s="15">
        <v>0</v>
      </c>
      <c r="N871" s="15" t="str">
        <v/>
      </c>
      <c r="O871" s="15" t="str">
        <v/>
      </c>
      <c r="P871" s="22">
        <v>0</v>
      </c>
      <c r="Q871">
        <v>0</v>
      </c>
    </row>
    <row r="872" spans="1:17">
      <c r="A872" s="19">
        <v>0</v>
      </c>
      <c r="B872" s="19">
        <v>0</v>
      </c>
      <c r="C872" s="19">
        <v>0</v>
      </c>
      <c r="D872" s="19">
        <v>0</v>
      </c>
      <c r="E872" s="19">
        <v>0</v>
      </c>
      <c r="F872" s="19">
        <v>0</v>
      </c>
      <c r="G872" s="19">
        <v>0</v>
      </c>
      <c r="H872" s="19">
        <v>0</v>
      </c>
      <c r="I872" s="15">
        <v>3500</v>
      </c>
      <c r="J872" s="15">
        <v>0</v>
      </c>
      <c r="K872" s="15">
        <v>0</v>
      </c>
      <c r="L872" s="16">
        <v>0</v>
      </c>
      <c r="M872" s="15">
        <v>0</v>
      </c>
      <c r="N872" s="15" t="str">
        <v/>
      </c>
      <c r="O872" s="15" t="str">
        <v/>
      </c>
      <c r="P872" s="22">
        <v>0</v>
      </c>
      <c r="Q872">
        <v>0</v>
      </c>
    </row>
    <row r="873" spans="1:17">
      <c r="A873" s="19">
        <v>0</v>
      </c>
      <c r="B873" s="19">
        <v>0</v>
      </c>
      <c r="C873" s="19">
        <v>0</v>
      </c>
      <c r="D873" s="19">
        <v>0</v>
      </c>
      <c r="E873" s="19">
        <v>0</v>
      </c>
      <c r="F873" s="19">
        <v>0</v>
      </c>
      <c r="G873" s="19">
        <v>0</v>
      </c>
      <c r="H873" s="19">
        <v>0</v>
      </c>
      <c r="I873" s="15">
        <v>3500</v>
      </c>
      <c r="J873" s="15">
        <v>0</v>
      </c>
      <c r="K873" s="15">
        <v>0</v>
      </c>
      <c r="L873" s="16">
        <v>0</v>
      </c>
      <c r="M873" s="15">
        <v>0</v>
      </c>
      <c r="N873" s="15" t="str">
        <v/>
      </c>
      <c r="O873" s="15" t="str">
        <v/>
      </c>
      <c r="P873" s="22">
        <v>0</v>
      </c>
      <c r="Q873">
        <v>0</v>
      </c>
    </row>
    <row r="874" spans="1:17">
      <c r="A874" s="19">
        <v>0</v>
      </c>
      <c r="B874" s="19">
        <v>0</v>
      </c>
      <c r="C874" s="19">
        <v>0</v>
      </c>
      <c r="D874" s="19">
        <v>0</v>
      </c>
      <c r="E874" s="19">
        <v>0</v>
      </c>
      <c r="F874" s="19">
        <v>0</v>
      </c>
      <c r="G874" s="19">
        <v>0</v>
      </c>
      <c r="H874" s="19">
        <v>0</v>
      </c>
      <c r="I874" s="15">
        <v>3500</v>
      </c>
      <c r="J874" s="15">
        <v>0</v>
      </c>
      <c r="K874" s="15">
        <v>0</v>
      </c>
      <c r="L874" s="16">
        <v>0</v>
      </c>
      <c r="M874" s="15">
        <v>0</v>
      </c>
      <c r="N874" s="15" t="str">
        <v/>
      </c>
      <c r="O874" s="15" t="str">
        <v/>
      </c>
      <c r="P874" s="22">
        <v>0</v>
      </c>
      <c r="Q874">
        <v>0</v>
      </c>
    </row>
    <row r="875" spans="1:17">
      <c r="A875" s="19">
        <v>0</v>
      </c>
      <c r="B875" s="19">
        <v>0</v>
      </c>
      <c r="C875" s="19">
        <v>0</v>
      </c>
      <c r="D875" s="19">
        <v>0</v>
      </c>
      <c r="E875" s="19">
        <v>0</v>
      </c>
      <c r="F875" s="19">
        <v>0</v>
      </c>
      <c r="G875" s="19">
        <v>0</v>
      </c>
      <c r="H875" s="19">
        <v>0</v>
      </c>
      <c r="I875" s="15">
        <v>3500</v>
      </c>
      <c r="J875" s="15">
        <v>0</v>
      </c>
      <c r="K875" s="15">
        <v>0</v>
      </c>
      <c r="L875" s="16">
        <v>0</v>
      </c>
      <c r="M875" s="15">
        <v>0</v>
      </c>
      <c r="N875" s="15" t="str">
        <v/>
      </c>
      <c r="O875" s="15" t="str">
        <v/>
      </c>
      <c r="P875" s="22">
        <v>0</v>
      </c>
      <c r="Q875">
        <v>0</v>
      </c>
    </row>
    <row r="876" spans="1:17">
      <c r="A876" s="19">
        <v>0</v>
      </c>
      <c r="B876" s="19">
        <v>0</v>
      </c>
      <c r="C876" s="19">
        <v>0</v>
      </c>
      <c r="D876" s="19">
        <v>0</v>
      </c>
      <c r="E876" s="19">
        <v>0</v>
      </c>
      <c r="F876" s="19">
        <v>0</v>
      </c>
      <c r="G876" s="19">
        <v>0</v>
      </c>
      <c r="H876" s="19">
        <v>0</v>
      </c>
      <c r="I876" s="15">
        <v>3500</v>
      </c>
      <c r="J876" s="15">
        <v>0</v>
      </c>
      <c r="K876" s="15">
        <v>0</v>
      </c>
      <c r="L876" s="16">
        <v>0</v>
      </c>
      <c r="M876" s="15">
        <v>0</v>
      </c>
      <c r="N876" s="15" t="str">
        <v/>
      </c>
      <c r="O876" s="15" t="str">
        <v/>
      </c>
      <c r="P876" s="22">
        <v>0</v>
      </c>
      <c r="Q876">
        <v>0</v>
      </c>
    </row>
    <row r="877" spans="1:17">
      <c r="A877" s="19">
        <v>0</v>
      </c>
      <c r="B877" s="19">
        <v>0</v>
      </c>
      <c r="C877" s="19">
        <v>0</v>
      </c>
      <c r="D877" s="19">
        <v>0</v>
      </c>
      <c r="E877" s="19">
        <v>0</v>
      </c>
      <c r="F877" s="19">
        <v>0</v>
      </c>
      <c r="G877" s="19">
        <v>0</v>
      </c>
      <c r="H877" s="19">
        <v>0</v>
      </c>
      <c r="I877" s="15">
        <v>3500</v>
      </c>
      <c r="J877" s="15">
        <v>0</v>
      </c>
      <c r="K877" s="15">
        <v>0</v>
      </c>
      <c r="L877" s="16">
        <v>0</v>
      </c>
      <c r="M877" s="15">
        <v>0</v>
      </c>
      <c r="N877" s="15" t="str">
        <v/>
      </c>
      <c r="O877" s="15" t="str">
        <v/>
      </c>
      <c r="P877" s="22">
        <v>0</v>
      </c>
      <c r="Q877">
        <v>0</v>
      </c>
    </row>
    <row r="878" spans="1:17">
      <c r="A878" s="19">
        <v>0</v>
      </c>
      <c r="B878" s="19">
        <v>0</v>
      </c>
      <c r="C878" s="19">
        <v>0</v>
      </c>
      <c r="D878" s="19">
        <v>0</v>
      </c>
      <c r="E878" s="19">
        <v>0</v>
      </c>
      <c r="F878" s="19">
        <v>0</v>
      </c>
      <c r="G878" s="19">
        <v>0</v>
      </c>
      <c r="H878" s="19">
        <v>0</v>
      </c>
      <c r="I878" s="15">
        <v>3500</v>
      </c>
      <c r="J878" s="15">
        <v>0</v>
      </c>
      <c r="K878" s="15">
        <v>0</v>
      </c>
      <c r="L878" s="16">
        <v>0</v>
      </c>
      <c r="M878" s="15">
        <v>0</v>
      </c>
      <c r="N878" s="15" t="str">
        <v/>
      </c>
      <c r="O878" s="15" t="str">
        <v/>
      </c>
      <c r="P878" s="22">
        <v>0</v>
      </c>
      <c r="Q878">
        <v>0</v>
      </c>
    </row>
    <row r="879" spans="1:17">
      <c r="A879" s="19">
        <v>0</v>
      </c>
      <c r="B879" s="19">
        <v>0</v>
      </c>
      <c r="C879" s="19">
        <v>0</v>
      </c>
      <c r="D879" s="19">
        <v>0</v>
      </c>
      <c r="E879" s="19">
        <v>0</v>
      </c>
      <c r="F879" s="19">
        <v>0</v>
      </c>
      <c r="G879" s="19">
        <v>0</v>
      </c>
      <c r="H879" s="19">
        <v>0</v>
      </c>
      <c r="I879" s="15">
        <v>3500</v>
      </c>
      <c r="J879" s="15">
        <v>0</v>
      </c>
      <c r="K879" s="15">
        <v>0</v>
      </c>
      <c r="L879" s="16">
        <v>0</v>
      </c>
      <c r="M879" s="15">
        <v>0</v>
      </c>
      <c r="N879" s="15" t="str">
        <v/>
      </c>
      <c r="O879" s="15" t="str">
        <v/>
      </c>
      <c r="P879" s="22">
        <v>0</v>
      </c>
      <c r="Q879">
        <v>0</v>
      </c>
    </row>
    <row r="880" spans="1:17">
      <c r="A880" s="19">
        <v>0</v>
      </c>
      <c r="B880" s="19">
        <v>0</v>
      </c>
      <c r="C880" s="19">
        <v>0</v>
      </c>
      <c r="D880" s="19">
        <v>0</v>
      </c>
      <c r="E880" s="19">
        <v>0</v>
      </c>
      <c r="F880" s="19">
        <v>0</v>
      </c>
      <c r="G880" s="19">
        <v>0</v>
      </c>
      <c r="H880" s="19">
        <v>0</v>
      </c>
      <c r="I880" s="15">
        <v>3500</v>
      </c>
      <c r="J880" s="15">
        <v>0</v>
      </c>
      <c r="K880" s="15">
        <v>0</v>
      </c>
      <c r="L880" s="16">
        <v>0</v>
      </c>
      <c r="M880" s="15">
        <v>0</v>
      </c>
      <c r="N880" s="15" t="str">
        <v/>
      </c>
      <c r="O880" s="15" t="str">
        <v/>
      </c>
      <c r="P880" s="22">
        <v>0</v>
      </c>
      <c r="Q880">
        <v>0</v>
      </c>
    </row>
    <row r="881" spans="1:17">
      <c r="A881" s="19">
        <v>0</v>
      </c>
      <c r="B881" s="19">
        <v>0</v>
      </c>
      <c r="C881" s="19">
        <v>0</v>
      </c>
      <c r="D881" s="19">
        <v>0</v>
      </c>
      <c r="E881" s="19">
        <v>0</v>
      </c>
      <c r="F881" s="19">
        <v>0</v>
      </c>
      <c r="G881" s="19">
        <v>0</v>
      </c>
      <c r="H881" s="19">
        <v>0</v>
      </c>
      <c r="I881" s="15">
        <v>3500</v>
      </c>
      <c r="J881" s="15">
        <v>0</v>
      </c>
      <c r="K881" s="15">
        <v>0</v>
      </c>
      <c r="L881" s="16">
        <v>0</v>
      </c>
      <c r="M881" s="15">
        <v>0</v>
      </c>
      <c r="N881" s="15" t="str">
        <v/>
      </c>
      <c r="O881" s="15" t="str">
        <v/>
      </c>
      <c r="P881" s="22">
        <v>0</v>
      </c>
      <c r="Q881">
        <v>0</v>
      </c>
    </row>
    <row r="882" spans="1:17">
      <c r="A882" s="19">
        <v>0</v>
      </c>
      <c r="B882" s="19">
        <v>0</v>
      </c>
      <c r="C882" s="19">
        <v>0</v>
      </c>
      <c r="D882" s="19">
        <v>0</v>
      </c>
      <c r="E882" s="19">
        <v>0</v>
      </c>
      <c r="F882" s="19">
        <v>0</v>
      </c>
      <c r="G882" s="19">
        <v>0</v>
      </c>
      <c r="H882" s="19">
        <v>0</v>
      </c>
      <c r="I882" s="15">
        <v>3500</v>
      </c>
      <c r="J882" s="15">
        <v>0</v>
      </c>
      <c r="K882" s="15">
        <v>0</v>
      </c>
      <c r="L882" s="16">
        <v>0</v>
      </c>
      <c r="M882" s="15">
        <v>0</v>
      </c>
      <c r="N882" s="15" t="str">
        <v/>
      </c>
      <c r="O882" s="15" t="str">
        <v/>
      </c>
      <c r="P882" s="22">
        <v>0</v>
      </c>
      <c r="Q882">
        <v>0</v>
      </c>
    </row>
    <row r="883" spans="1:17">
      <c r="A883" s="19">
        <v>0</v>
      </c>
      <c r="B883" s="19">
        <v>0</v>
      </c>
      <c r="C883" s="19">
        <v>0</v>
      </c>
      <c r="D883" s="19">
        <v>0</v>
      </c>
      <c r="E883" s="19">
        <v>0</v>
      </c>
      <c r="F883" s="19">
        <v>0</v>
      </c>
      <c r="G883" s="19">
        <v>0</v>
      </c>
      <c r="H883" s="19">
        <v>0</v>
      </c>
      <c r="I883" s="15">
        <v>3500</v>
      </c>
      <c r="J883" s="15">
        <v>0</v>
      </c>
      <c r="K883" s="15">
        <v>0</v>
      </c>
      <c r="L883" s="16">
        <v>0</v>
      </c>
      <c r="M883" s="15">
        <v>0</v>
      </c>
      <c r="N883" s="15" t="str">
        <v/>
      </c>
      <c r="O883" s="15" t="str">
        <v/>
      </c>
      <c r="P883" s="22">
        <v>0</v>
      </c>
      <c r="Q883">
        <v>0</v>
      </c>
    </row>
    <row r="884" spans="1:17">
      <c r="A884" s="19">
        <v>0</v>
      </c>
      <c r="B884" s="19">
        <v>0</v>
      </c>
      <c r="C884" s="19">
        <v>0</v>
      </c>
      <c r="D884" s="19">
        <v>0</v>
      </c>
      <c r="E884" s="19">
        <v>0</v>
      </c>
      <c r="F884" s="19">
        <v>0</v>
      </c>
      <c r="G884" s="19">
        <v>0</v>
      </c>
      <c r="H884" s="19">
        <v>0</v>
      </c>
      <c r="I884" s="15">
        <v>3500</v>
      </c>
      <c r="J884" s="15">
        <v>0</v>
      </c>
      <c r="K884" s="15">
        <v>0</v>
      </c>
      <c r="L884" s="16">
        <v>0</v>
      </c>
      <c r="M884" s="15">
        <v>0</v>
      </c>
      <c r="N884" s="15" t="str">
        <v/>
      </c>
      <c r="O884" s="15" t="str">
        <v/>
      </c>
      <c r="P884" s="22">
        <v>0</v>
      </c>
      <c r="Q884">
        <v>0</v>
      </c>
    </row>
    <row r="885" spans="1:17">
      <c r="A885" s="19">
        <v>0</v>
      </c>
      <c r="B885" s="19">
        <v>0</v>
      </c>
      <c r="C885" s="19">
        <v>0</v>
      </c>
      <c r="D885" s="19">
        <v>0</v>
      </c>
      <c r="E885" s="19">
        <v>0</v>
      </c>
      <c r="F885" s="19">
        <v>0</v>
      </c>
      <c r="G885" s="19">
        <v>0</v>
      </c>
      <c r="H885" s="19">
        <v>0</v>
      </c>
      <c r="I885" s="15">
        <v>3500</v>
      </c>
      <c r="J885" s="15">
        <v>0</v>
      </c>
      <c r="K885" s="15">
        <v>0</v>
      </c>
      <c r="L885" s="16">
        <v>0</v>
      </c>
      <c r="M885" s="15">
        <v>0</v>
      </c>
      <c r="N885" s="15" t="str">
        <v/>
      </c>
      <c r="O885" s="15" t="str">
        <v/>
      </c>
      <c r="P885" s="22">
        <v>0</v>
      </c>
      <c r="Q885">
        <v>0</v>
      </c>
    </row>
    <row r="886" spans="1:17">
      <c r="A886" s="19">
        <v>0</v>
      </c>
      <c r="B886" s="19">
        <v>0</v>
      </c>
      <c r="C886" s="19">
        <v>0</v>
      </c>
      <c r="D886" s="19">
        <v>0</v>
      </c>
      <c r="E886" s="19">
        <v>0</v>
      </c>
      <c r="F886" s="19">
        <v>0</v>
      </c>
      <c r="G886" s="19">
        <v>0</v>
      </c>
      <c r="H886" s="19">
        <v>0</v>
      </c>
      <c r="I886" s="15">
        <v>3500</v>
      </c>
      <c r="J886" s="15">
        <v>0</v>
      </c>
      <c r="K886" s="15">
        <v>0</v>
      </c>
      <c r="L886" s="16">
        <v>0</v>
      </c>
      <c r="M886" s="15">
        <v>0</v>
      </c>
      <c r="N886" s="15" t="str">
        <v/>
      </c>
      <c r="O886" s="15" t="str">
        <v/>
      </c>
      <c r="P886" s="22">
        <v>0</v>
      </c>
      <c r="Q886">
        <v>0</v>
      </c>
    </row>
    <row r="887" spans="1:17">
      <c r="A887" s="19">
        <v>0</v>
      </c>
      <c r="B887" s="19">
        <v>0</v>
      </c>
      <c r="C887" s="19">
        <v>0</v>
      </c>
      <c r="D887" s="19">
        <v>0</v>
      </c>
      <c r="E887" s="19">
        <v>0</v>
      </c>
      <c r="F887" s="19">
        <v>0</v>
      </c>
      <c r="G887" s="19">
        <v>0</v>
      </c>
      <c r="H887" s="19">
        <v>0</v>
      </c>
      <c r="I887" s="15">
        <v>3500</v>
      </c>
      <c r="J887" s="15">
        <v>0</v>
      </c>
      <c r="K887" s="15">
        <v>0</v>
      </c>
      <c r="L887" s="16">
        <v>0</v>
      </c>
      <c r="M887" s="15">
        <v>0</v>
      </c>
      <c r="N887" s="15" t="str">
        <v/>
      </c>
      <c r="O887" s="15" t="str">
        <v/>
      </c>
      <c r="P887" s="22">
        <v>0</v>
      </c>
      <c r="Q887">
        <v>0</v>
      </c>
    </row>
    <row r="888" spans="1:17">
      <c r="A888" s="19">
        <v>0</v>
      </c>
      <c r="B888" s="19">
        <v>0</v>
      </c>
      <c r="C888" s="19">
        <v>0</v>
      </c>
      <c r="D888" s="19">
        <v>0</v>
      </c>
      <c r="E888" s="19">
        <v>0</v>
      </c>
      <c r="F888" s="19">
        <v>0</v>
      </c>
      <c r="G888" s="19">
        <v>0</v>
      </c>
      <c r="H888" s="19">
        <v>0</v>
      </c>
      <c r="I888" s="15">
        <v>3500</v>
      </c>
      <c r="J888" s="15">
        <v>0</v>
      </c>
      <c r="K888" s="15">
        <v>0</v>
      </c>
      <c r="L888" s="16">
        <v>0</v>
      </c>
      <c r="M888" s="15">
        <v>0</v>
      </c>
      <c r="N888" s="15" t="str">
        <v/>
      </c>
      <c r="O888" s="15" t="str">
        <v/>
      </c>
      <c r="P888" s="22">
        <v>0</v>
      </c>
      <c r="Q888">
        <v>0</v>
      </c>
    </row>
    <row r="889" spans="1:17">
      <c r="A889" s="19">
        <v>0</v>
      </c>
      <c r="B889" s="19">
        <v>0</v>
      </c>
      <c r="C889" s="19">
        <v>0</v>
      </c>
      <c r="D889" s="19">
        <v>0</v>
      </c>
      <c r="E889" s="19">
        <v>0</v>
      </c>
      <c r="F889" s="19">
        <v>0</v>
      </c>
      <c r="G889" s="19">
        <v>0</v>
      </c>
      <c r="H889" s="19">
        <v>0</v>
      </c>
      <c r="I889" s="15">
        <v>3500</v>
      </c>
      <c r="J889" s="15">
        <v>0</v>
      </c>
      <c r="K889" s="15">
        <v>0</v>
      </c>
      <c r="L889" s="16">
        <v>0</v>
      </c>
      <c r="M889" s="15">
        <v>0</v>
      </c>
      <c r="N889" s="15" t="str">
        <v/>
      </c>
      <c r="O889" s="15" t="str">
        <v/>
      </c>
      <c r="P889" s="22">
        <v>0</v>
      </c>
      <c r="Q889">
        <v>0</v>
      </c>
    </row>
    <row r="890" spans="1:17">
      <c r="A890" s="19">
        <v>0</v>
      </c>
      <c r="B890" s="19">
        <v>0</v>
      </c>
      <c r="C890" s="19">
        <v>0</v>
      </c>
      <c r="D890" s="19">
        <v>0</v>
      </c>
      <c r="E890" s="19">
        <v>0</v>
      </c>
      <c r="F890" s="19">
        <v>0</v>
      </c>
      <c r="G890" s="19">
        <v>0</v>
      </c>
      <c r="H890" s="19">
        <v>0</v>
      </c>
      <c r="I890" s="15">
        <v>3500</v>
      </c>
      <c r="J890" s="15">
        <v>0</v>
      </c>
      <c r="K890" s="15">
        <v>0</v>
      </c>
      <c r="L890" s="16">
        <v>0</v>
      </c>
      <c r="M890" s="15">
        <v>0</v>
      </c>
      <c r="N890" s="15" t="str">
        <v/>
      </c>
      <c r="O890" s="15" t="str">
        <v/>
      </c>
      <c r="P890" s="22">
        <v>0</v>
      </c>
      <c r="Q890">
        <v>0</v>
      </c>
    </row>
    <row r="891" spans="1:17">
      <c r="A891" s="19">
        <v>0</v>
      </c>
      <c r="B891" s="19">
        <v>0</v>
      </c>
      <c r="C891" s="19">
        <v>0</v>
      </c>
      <c r="D891" s="19">
        <v>0</v>
      </c>
      <c r="E891" s="19">
        <v>0</v>
      </c>
      <c r="F891" s="19">
        <v>0</v>
      </c>
      <c r="G891" s="19">
        <v>0</v>
      </c>
      <c r="H891" s="19">
        <v>0</v>
      </c>
      <c r="I891" s="15">
        <v>3500</v>
      </c>
      <c r="J891" s="15">
        <v>0</v>
      </c>
      <c r="K891" s="15">
        <v>0</v>
      </c>
      <c r="L891" s="16">
        <v>0</v>
      </c>
      <c r="M891" s="15">
        <v>0</v>
      </c>
      <c r="N891" s="15" t="str">
        <v/>
      </c>
      <c r="O891" s="15" t="str">
        <v/>
      </c>
      <c r="P891" s="22">
        <v>0</v>
      </c>
      <c r="Q891">
        <v>0</v>
      </c>
    </row>
    <row r="892" spans="1:17">
      <c r="A892" s="19">
        <v>0</v>
      </c>
      <c r="B892" s="19">
        <v>0</v>
      </c>
      <c r="C892" s="19">
        <v>0</v>
      </c>
      <c r="D892" s="19">
        <v>0</v>
      </c>
      <c r="E892" s="19">
        <v>0</v>
      </c>
      <c r="F892" s="19">
        <v>0</v>
      </c>
      <c r="G892" s="19">
        <v>0</v>
      </c>
      <c r="H892" s="19">
        <v>0</v>
      </c>
      <c r="I892" s="15">
        <v>3500</v>
      </c>
      <c r="J892" s="15">
        <v>0</v>
      </c>
      <c r="K892" s="15">
        <v>0</v>
      </c>
      <c r="L892" s="16">
        <v>0</v>
      </c>
      <c r="M892" s="15">
        <v>0</v>
      </c>
      <c r="N892" s="15" t="str">
        <v/>
      </c>
      <c r="O892" s="15" t="str">
        <v/>
      </c>
      <c r="P892" s="22">
        <v>0</v>
      </c>
      <c r="Q892">
        <v>0</v>
      </c>
    </row>
    <row r="893" spans="1:17">
      <c r="A893" s="19">
        <v>0</v>
      </c>
      <c r="B893" s="19">
        <v>0</v>
      </c>
      <c r="C893" s="19">
        <v>0</v>
      </c>
      <c r="D893" s="19">
        <v>0</v>
      </c>
      <c r="E893" s="19">
        <v>0</v>
      </c>
      <c r="F893" s="19">
        <v>0</v>
      </c>
      <c r="G893" s="19">
        <v>0</v>
      </c>
      <c r="H893" s="19">
        <v>0</v>
      </c>
      <c r="I893" s="15">
        <v>3500</v>
      </c>
      <c r="J893" s="15">
        <v>0</v>
      </c>
      <c r="K893" s="15">
        <v>0</v>
      </c>
      <c r="L893" s="16">
        <v>0</v>
      </c>
      <c r="M893" s="15">
        <v>0</v>
      </c>
      <c r="N893" s="15" t="str">
        <v/>
      </c>
      <c r="O893" s="15" t="str">
        <v/>
      </c>
      <c r="P893" s="22">
        <v>0</v>
      </c>
      <c r="Q893">
        <v>0</v>
      </c>
    </row>
    <row r="894" spans="1:17">
      <c r="A894" s="19">
        <v>0</v>
      </c>
      <c r="B894" s="19">
        <v>0</v>
      </c>
      <c r="C894" s="19">
        <v>0</v>
      </c>
      <c r="D894" s="19">
        <v>0</v>
      </c>
      <c r="E894" s="19">
        <v>0</v>
      </c>
      <c r="F894" s="19">
        <v>0</v>
      </c>
      <c r="G894" s="19">
        <v>0</v>
      </c>
      <c r="H894" s="19">
        <v>0</v>
      </c>
      <c r="I894" s="15">
        <v>3500</v>
      </c>
      <c r="J894" s="15">
        <v>0</v>
      </c>
      <c r="K894" s="15">
        <v>0</v>
      </c>
      <c r="L894" s="16">
        <v>0</v>
      </c>
      <c r="M894" s="15">
        <v>0</v>
      </c>
      <c r="N894" s="15" t="str">
        <v/>
      </c>
      <c r="O894" s="15" t="str">
        <v/>
      </c>
      <c r="P894" s="22">
        <v>0</v>
      </c>
      <c r="Q894">
        <v>0</v>
      </c>
    </row>
    <row r="895" spans="1:17">
      <c r="A895" s="19">
        <v>0</v>
      </c>
      <c r="B895" s="19">
        <v>0</v>
      </c>
      <c r="C895" s="19">
        <v>0</v>
      </c>
      <c r="D895" s="19">
        <v>0</v>
      </c>
      <c r="E895" s="19">
        <v>0</v>
      </c>
      <c r="F895" s="19">
        <v>0</v>
      </c>
      <c r="G895" s="19">
        <v>0</v>
      </c>
      <c r="H895" s="19">
        <v>0</v>
      </c>
      <c r="I895" s="15">
        <v>3500</v>
      </c>
      <c r="J895" s="15">
        <v>0</v>
      </c>
      <c r="K895" s="15">
        <v>0</v>
      </c>
      <c r="L895" s="16">
        <v>0</v>
      </c>
      <c r="M895" s="15">
        <v>0</v>
      </c>
      <c r="N895" s="15" t="str">
        <v/>
      </c>
      <c r="O895" s="15" t="str">
        <v/>
      </c>
      <c r="P895" s="22">
        <v>0</v>
      </c>
      <c r="Q895">
        <v>0</v>
      </c>
    </row>
    <row r="896" spans="1:17">
      <c r="A896" s="19">
        <v>0</v>
      </c>
      <c r="B896" s="19">
        <v>0</v>
      </c>
      <c r="C896" s="19">
        <v>0</v>
      </c>
      <c r="D896" s="19">
        <v>0</v>
      </c>
      <c r="E896" s="19">
        <v>0</v>
      </c>
      <c r="F896" s="19">
        <v>0</v>
      </c>
      <c r="G896" s="19">
        <v>0</v>
      </c>
      <c r="H896" s="19">
        <v>0</v>
      </c>
      <c r="I896" s="15">
        <v>3500</v>
      </c>
      <c r="J896" s="15">
        <v>0</v>
      </c>
      <c r="K896" s="15">
        <v>0</v>
      </c>
      <c r="L896" s="16">
        <v>0</v>
      </c>
      <c r="M896" s="15">
        <v>0</v>
      </c>
      <c r="N896" s="15" t="str">
        <v/>
      </c>
      <c r="O896" s="15" t="str">
        <v/>
      </c>
      <c r="P896" s="22">
        <v>0</v>
      </c>
      <c r="Q896">
        <v>0</v>
      </c>
    </row>
    <row r="897" spans="1:17">
      <c r="A897" s="19">
        <v>0</v>
      </c>
      <c r="B897" s="19">
        <v>0</v>
      </c>
      <c r="C897" s="19">
        <v>0</v>
      </c>
      <c r="D897" s="19">
        <v>0</v>
      </c>
      <c r="E897" s="19">
        <v>0</v>
      </c>
      <c r="F897" s="19">
        <v>0</v>
      </c>
      <c r="G897" s="19">
        <v>0</v>
      </c>
      <c r="H897" s="19">
        <v>0</v>
      </c>
      <c r="I897" s="15">
        <v>3500</v>
      </c>
      <c r="J897" s="15">
        <v>0</v>
      </c>
      <c r="K897" s="15">
        <v>0</v>
      </c>
      <c r="L897" s="16">
        <v>0</v>
      </c>
      <c r="M897" s="15">
        <v>0</v>
      </c>
      <c r="N897" s="15" t="str">
        <v/>
      </c>
      <c r="O897" s="15" t="str">
        <v/>
      </c>
      <c r="P897" s="22">
        <v>0</v>
      </c>
      <c r="Q897">
        <v>0</v>
      </c>
    </row>
    <row r="898" spans="1:17">
      <c r="A898" s="19">
        <v>0</v>
      </c>
      <c r="B898" s="19">
        <v>0</v>
      </c>
      <c r="C898" s="19">
        <v>0</v>
      </c>
      <c r="D898" s="19">
        <v>0</v>
      </c>
      <c r="E898" s="19">
        <v>0</v>
      </c>
      <c r="F898" s="19">
        <v>0</v>
      </c>
      <c r="G898" s="19">
        <v>0</v>
      </c>
      <c r="H898" s="19">
        <v>0</v>
      </c>
      <c r="I898" s="15">
        <v>3500</v>
      </c>
      <c r="J898" s="15">
        <v>0</v>
      </c>
      <c r="K898" s="15">
        <v>0</v>
      </c>
      <c r="L898" s="16">
        <v>0</v>
      </c>
      <c r="M898" s="15">
        <v>0</v>
      </c>
      <c r="N898" s="15" t="str">
        <v/>
      </c>
      <c r="O898" s="15" t="str">
        <v/>
      </c>
      <c r="P898" s="22">
        <v>0</v>
      </c>
      <c r="Q898">
        <v>0</v>
      </c>
    </row>
    <row r="899" spans="1:17">
      <c r="A899" s="19">
        <v>0</v>
      </c>
      <c r="B899" s="19">
        <v>0</v>
      </c>
      <c r="C899" s="19">
        <v>0</v>
      </c>
      <c r="D899" s="19">
        <v>0</v>
      </c>
      <c r="E899" s="19">
        <v>0</v>
      </c>
      <c r="F899" s="19">
        <v>0</v>
      </c>
      <c r="G899" s="19">
        <v>0</v>
      </c>
      <c r="H899" s="19">
        <v>0</v>
      </c>
      <c r="I899" s="15">
        <v>3500</v>
      </c>
      <c r="J899" s="15">
        <v>0</v>
      </c>
      <c r="K899" s="15">
        <v>0</v>
      </c>
      <c r="L899" s="16">
        <v>0</v>
      </c>
      <c r="M899" s="15">
        <v>0</v>
      </c>
      <c r="N899" s="15" t="str">
        <v/>
      </c>
      <c r="O899" s="15" t="str">
        <v/>
      </c>
      <c r="P899" s="22">
        <v>0</v>
      </c>
      <c r="Q899">
        <v>0</v>
      </c>
    </row>
    <row r="900" spans="1:17">
      <c r="A900" s="19">
        <v>0</v>
      </c>
      <c r="B900" s="19">
        <v>0</v>
      </c>
      <c r="C900" s="19">
        <v>0</v>
      </c>
      <c r="D900" s="19">
        <v>0</v>
      </c>
      <c r="E900" s="19">
        <v>0</v>
      </c>
      <c r="F900" s="19">
        <v>0</v>
      </c>
      <c r="G900" s="19">
        <v>0</v>
      </c>
      <c r="H900" s="19">
        <v>0</v>
      </c>
      <c r="I900" s="15">
        <v>3500</v>
      </c>
      <c r="J900" s="15">
        <v>0</v>
      </c>
      <c r="K900" s="15">
        <v>0</v>
      </c>
      <c r="L900" s="16">
        <v>0</v>
      </c>
      <c r="M900" s="15">
        <v>0</v>
      </c>
      <c r="N900" s="15" t="str">
        <v/>
      </c>
      <c r="O900" s="15" t="str">
        <v/>
      </c>
      <c r="P900" s="22">
        <v>0</v>
      </c>
      <c r="Q900">
        <v>0</v>
      </c>
    </row>
    <row r="901" spans="1:17">
      <c r="A901" s="19">
        <v>0</v>
      </c>
      <c r="B901" s="19">
        <v>0</v>
      </c>
      <c r="C901" s="19">
        <v>0</v>
      </c>
      <c r="D901" s="19">
        <v>0</v>
      </c>
      <c r="E901" s="19">
        <v>0</v>
      </c>
      <c r="F901" s="19">
        <v>0</v>
      </c>
      <c r="G901" s="19">
        <v>0</v>
      </c>
      <c r="H901" s="19">
        <v>0</v>
      </c>
      <c r="I901" s="15">
        <v>3500</v>
      </c>
      <c r="J901" s="15">
        <v>0</v>
      </c>
      <c r="K901" s="15">
        <v>0</v>
      </c>
      <c r="L901" s="16">
        <v>0</v>
      </c>
      <c r="M901" s="15">
        <v>0</v>
      </c>
      <c r="N901" s="15" t="str">
        <v/>
      </c>
      <c r="O901" s="15" t="str">
        <v/>
      </c>
      <c r="P901" s="22">
        <v>0</v>
      </c>
      <c r="Q901">
        <v>0</v>
      </c>
    </row>
    <row r="902" spans="1:17">
      <c r="A902" s="19">
        <v>0</v>
      </c>
      <c r="B902" s="19">
        <v>0</v>
      </c>
      <c r="C902" s="19">
        <v>0</v>
      </c>
      <c r="D902" s="19">
        <v>0</v>
      </c>
      <c r="E902" s="19">
        <v>0</v>
      </c>
      <c r="F902" s="19">
        <v>0</v>
      </c>
      <c r="G902" s="19">
        <v>0</v>
      </c>
      <c r="H902" s="19">
        <v>0</v>
      </c>
      <c r="I902" s="15">
        <v>3500</v>
      </c>
      <c r="J902" s="15">
        <v>0</v>
      </c>
      <c r="K902" s="15">
        <v>0</v>
      </c>
      <c r="L902" s="16">
        <v>0</v>
      </c>
      <c r="M902" s="15">
        <v>0</v>
      </c>
      <c r="N902" s="15" t="str">
        <v/>
      </c>
      <c r="O902" s="15" t="str">
        <v/>
      </c>
      <c r="P902" s="22">
        <v>0</v>
      </c>
      <c r="Q902">
        <v>0</v>
      </c>
    </row>
    <row r="903" spans="1:17">
      <c r="A903" s="19">
        <v>0</v>
      </c>
      <c r="B903" s="19">
        <v>0</v>
      </c>
      <c r="C903" s="19">
        <v>0</v>
      </c>
      <c r="D903" s="19">
        <v>0</v>
      </c>
      <c r="E903" s="19">
        <v>0</v>
      </c>
      <c r="F903" s="19">
        <v>0</v>
      </c>
      <c r="G903" s="19">
        <v>0</v>
      </c>
      <c r="H903" s="19">
        <v>0</v>
      </c>
      <c r="I903" s="15">
        <v>3500</v>
      </c>
      <c r="J903" s="15">
        <v>0</v>
      </c>
      <c r="K903" s="15">
        <v>0</v>
      </c>
      <c r="L903" s="16">
        <v>0</v>
      </c>
      <c r="M903" s="15">
        <v>0</v>
      </c>
      <c r="N903" s="15" t="str">
        <v/>
      </c>
      <c r="O903" s="15" t="str">
        <v/>
      </c>
      <c r="P903" s="22">
        <v>0</v>
      </c>
      <c r="Q903">
        <v>0</v>
      </c>
    </row>
    <row r="904" spans="1:17">
      <c r="A904" s="19">
        <v>0</v>
      </c>
      <c r="B904" s="19">
        <v>0</v>
      </c>
      <c r="C904" s="19">
        <v>0</v>
      </c>
      <c r="D904" s="19">
        <v>0</v>
      </c>
      <c r="E904" s="19">
        <v>0</v>
      </c>
      <c r="F904" s="19">
        <v>0</v>
      </c>
      <c r="G904" s="19">
        <v>0</v>
      </c>
      <c r="H904" s="19">
        <v>0</v>
      </c>
      <c r="I904" s="15">
        <v>3500</v>
      </c>
      <c r="J904" s="15">
        <v>0</v>
      </c>
      <c r="K904" s="15">
        <v>0</v>
      </c>
      <c r="L904" s="16">
        <v>0</v>
      </c>
      <c r="M904" s="15">
        <v>0</v>
      </c>
      <c r="N904" s="15" t="str">
        <v/>
      </c>
      <c r="O904" s="15" t="str">
        <v/>
      </c>
      <c r="P904" s="22">
        <v>0</v>
      </c>
      <c r="Q904">
        <v>0</v>
      </c>
    </row>
    <row r="905" spans="1:17">
      <c r="A905" s="19">
        <v>0</v>
      </c>
      <c r="B905" s="19">
        <v>0</v>
      </c>
      <c r="C905" s="19">
        <v>0</v>
      </c>
      <c r="D905" s="19">
        <v>0</v>
      </c>
      <c r="E905" s="19">
        <v>0</v>
      </c>
      <c r="F905" s="19">
        <v>0</v>
      </c>
      <c r="G905" s="19">
        <v>0</v>
      </c>
      <c r="H905" s="19">
        <v>0</v>
      </c>
      <c r="I905" s="15">
        <v>3500</v>
      </c>
      <c r="J905" s="15">
        <v>0</v>
      </c>
      <c r="K905" s="15">
        <v>0</v>
      </c>
      <c r="L905" s="16">
        <v>0</v>
      </c>
      <c r="M905" s="15">
        <v>0</v>
      </c>
      <c r="N905" s="15" t="str">
        <v/>
      </c>
      <c r="O905" s="15" t="str">
        <v/>
      </c>
      <c r="P905" s="22">
        <v>0</v>
      </c>
      <c r="Q905">
        <v>0</v>
      </c>
    </row>
    <row r="906" spans="1:17">
      <c r="A906" s="19">
        <v>0</v>
      </c>
      <c r="B906" s="19">
        <v>0</v>
      </c>
      <c r="C906" s="19">
        <v>0</v>
      </c>
      <c r="D906" s="19">
        <v>0</v>
      </c>
      <c r="E906" s="19">
        <v>0</v>
      </c>
      <c r="F906" s="19">
        <v>0</v>
      </c>
      <c r="G906" s="19">
        <v>0</v>
      </c>
      <c r="H906" s="19">
        <v>0</v>
      </c>
      <c r="I906" s="15">
        <v>3500</v>
      </c>
      <c r="J906" s="15">
        <v>0</v>
      </c>
      <c r="K906" s="15">
        <v>0</v>
      </c>
      <c r="L906" s="16">
        <v>0</v>
      </c>
      <c r="M906" s="15">
        <v>0</v>
      </c>
      <c r="N906" s="15" t="str">
        <v/>
      </c>
      <c r="O906" s="15" t="str">
        <v/>
      </c>
      <c r="P906" s="22">
        <v>0</v>
      </c>
      <c r="Q906">
        <v>0</v>
      </c>
    </row>
    <row r="907" spans="1:17">
      <c r="A907" s="19">
        <v>0</v>
      </c>
      <c r="B907" s="19">
        <v>0</v>
      </c>
      <c r="C907" s="19">
        <v>0</v>
      </c>
      <c r="D907" s="19">
        <v>0</v>
      </c>
      <c r="E907" s="19">
        <v>0</v>
      </c>
      <c r="F907" s="19">
        <v>0</v>
      </c>
      <c r="G907" s="19">
        <v>0</v>
      </c>
      <c r="H907" s="19">
        <v>0</v>
      </c>
      <c r="I907" s="15">
        <v>3500</v>
      </c>
      <c r="J907" s="15">
        <v>0</v>
      </c>
      <c r="K907" s="15">
        <v>0</v>
      </c>
      <c r="L907" s="16">
        <v>0</v>
      </c>
      <c r="M907" s="15">
        <v>0</v>
      </c>
      <c r="N907" s="15" t="str">
        <v/>
      </c>
      <c r="O907" s="15" t="str">
        <v/>
      </c>
      <c r="P907" s="22">
        <v>0</v>
      </c>
      <c r="Q907">
        <v>0</v>
      </c>
    </row>
    <row r="908" spans="1:17">
      <c r="A908" s="19">
        <v>0</v>
      </c>
      <c r="B908" s="19">
        <v>0</v>
      </c>
      <c r="C908" s="19">
        <v>0</v>
      </c>
      <c r="D908" s="19">
        <v>0</v>
      </c>
      <c r="E908" s="19">
        <v>0</v>
      </c>
      <c r="F908" s="19">
        <v>0</v>
      </c>
      <c r="G908" s="19">
        <v>0</v>
      </c>
      <c r="H908" s="19">
        <v>0</v>
      </c>
      <c r="I908" s="15">
        <v>3500</v>
      </c>
      <c r="J908" s="15">
        <v>0</v>
      </c>
      <c r="K908" s="15">
        <v>0</v>
      </c>
      <c r="L908" s="16">
        <v>0</v>
      </c>
      <c r="M908" s="15">
        <v>0</v>
      </c>
      <c r="N908" s="15" t="str">
        <v/>
      </c>
      <c r="O908" s="15" t="str">
        <v/>
      </c>
      <c r="P908" s="22">
        <v>0</v>
      </c>
      <c r="Q908">
        <v>0</v>
      </c>
    </row>
    <row r="909" spans="1:17">
      <c r="A909" s="19">
        <v>0</v>
      </c>
      <c r="B909" s="19">
        <v>0</v>
      </c>
      <c r="C909" s="19">
        <v>0</v>
      </c>
      <c r="D909" s="19">
        <v>0</v>
      </c>
      <c r="E909" s="19">
        <v>0</v>
      </c>
      <c r="F909" s="19">
        <v>0</v>
      </c>
      <c r="G909" s="19">
        <v>0</v>
      </c>
      <c r="H909" s="19">
        <v>0</v>
      </c>
      <c r="I909" s="15">
        <v>3500</v>
      </c>
      <c r="J909" s="15">
        <v>0</v>
      </c>
      <c r="K909" s="15">
        <v>0</v>
      </c>
      <c r="L909" s="16">
        <v>0</v>
      </c>
      <c r="M909" s="15">
        <v>0</v>
      </c>
      <c r="N909" s="15" t="str">
        <v/>
      </c>
      <c r="O909" s="15" t="str">
        <v/>
      </c>
      <c r="P909" s="22">
        <v>0</v>
      </c>
      <c r="Q909">
        <v>0</v>
      </c>
    </row>
    <row r="910" spans="1:17">
      <c r="A910" s="19">
        <v>0</v>
      </c>
      <c r="B910" s="19">
        <v>0</v>
      </c>
      <c r="C910" s="19">
        <v>0</v>
      </c>
      <c r="D910" s="19">
        <v>0</v>
      </c>
      <c r="E910" s="19">
        <v>0</v>
      </c>
      <c r="F910" s="19">
        <v>0</v>
      </c>
      <c r="G910" s="19">
        <v>0</v>
      </c>
      <c r="H910" s="19">
        <v>0</v>
      </c>
      <c r="I910" s="15">
        <v>3500</v>
      </c>
      <c r="J910" s="15">
        <v>0</v>
      </c>
      <c r="K910" s="15">
        <v>0</v>
      </c>
      <c r="L910" s="16">
        <v>0</v>
      </c>
      <c r="M910" s="15">
        <v>0</v>
      </c>
      <c r="N910" s="15" t="str">
        <v/>
      </c>
      <c r="O910" s="15" t="str">
        <v/>
      </c>
      <c r="P910" s="22">
        <v>0</v>
      </c>
      <c r="Q910">
        <v>0</v>
      </c>
    </row>
    <row r="911" spans="1:17">
      <c r="A911" s="19">
        <v>0</v>
      </c>
      <c r="B911" s="19">
        <v>0</v>
      </c>
      <c r="C911" s="19">
        <v>0</v>
      </c>
      <c r="D911" s="19">
        <v>0</v>
      </c>
      <c r="E911" s="19">
        <v>0</v>
      </c>
      <c r="F911" s="19">
        <v>0</v>
      </c>
      <c r="G911" s="19">
        <v>0</v>
      </c>
      <c r="H911" s="19">
        <v>0</v>
      </c>
      <c r="I911" s="15">
        <v>3500</v>
      </c>
      <c r="J911" s="15">
        <v>0</v>
      </c>
      <c r="K911" s="15">
        <v>0</v>
      </c>
      <c r="L911" s="16">
        <v>0</v>
      </c>
      <c r="M911" s="15">
        <v>0</v>
      </c>
      <c r="N911" s="15" t="str">
        <v/>
      </c>
      <c r="O911" s="15" t="str">
        <v/>
      </c>
      <c r="P911" s="22">
        <v>0</v>
      </c>
      <c r="Q911">
        <v>0</v>
      </c>
    </row>
    <row r="912" spans="1:17">
      <c r="A912" s="19">
        <v>0</v>
      </c>
      <c r="B912" s="19">
        <v>0</v>
      </c>
      <c r="C912" s="19">
        <v>0</v>
      </c>
      <c r="D912" s="19">
        <v>0</v>
      </c>
      <c r="E912" s="19">
        <v>0</v>
      </c>
      <c r="F912" s="19">
        <v>0</v>
      </c>
      <c r="G912" s="19">
        <v>0</v>
      </c>
      <c r="H912" s="19">
        <v>0</v>
      </c>
      <c r="I912" s="15">
        <v>3500</v>
      </c>
      <c r="J912" s="15">
        <v>0</v>
      </c>
      <c r="K912" s="15">
        <v>0</v>
      </c>
      <c r="L912" s="16">
        <v>0</v>
      </c>
      <c r="M912" s="15">
        <v>0</v>
      </c>
      <c r="N912" s="15" t="str">
        <v/>
      </c>
      <c r="O912" s="15" t="str">
        <v/>
      </c>
      <c r="P912" s="22">
        <v>0</v>
      </c>
      <c r="Q912">
        <v>0</v>
      </c>
    </row>
    <row r="913" spans="1:17">
      <c r="A913" s="19">
        <v>0</v>
      </c>
      <c r="B913" s="19">
        <v>0</v>
      </c>
      <c r="C913" s="19">
        <v>0</v>
      </c>
      <c r="D913" s="19">
        <v>0</v>
      </c>
      <c r="E913" s="19">
        <v>0</v>
      </c>
      <c r="F913" s="19">
        <v>0</v>
      </c>
      <c r="G913" s="19">
        <v>0</v>
      </c>
      <c r="H913" s="19">
        <v>0</v>
      </c>
      <c r="I913" s="15">
        <v>3500</v>
      </c>
      <c r="J913" s="15">
        <v>0</v>
      </c>
      <c r="K913" s="15">
        <v>0</v>
      </c>
      <c r="L913" s="16">
        <v>0</v>
      </c>
      <c r="M913" s="15">
        <v>0</v>
      </c>
      <c r="N913" s="15" t="str">
        <v/>
      </c>
      <c r="O913" s="15" t="str">
        <v/>
      </c>
      <c r="P913" s="22">
        <v>0</v>
      </c>
      <c r="Q913">
        <v>0</v>
      </c>
    </row>
    <row r="914" spans="1:17">
      <c r="A914" s="19">
        <v>0</v>
      </c>
      <c r="B914" s="19">
        <v>0</v>
      </c>
      <c r="C914" s="19">
        <v>0</v>
      </c>
      <c r="D914" s="19">
        <v>0</v>
      </c>
      <c r="E914" s="19">
        <v>0</v>
      </c>
      <c r="F914" s="19">
        <v>0</v>
      </c>
      <c r="G914" s="19">
        <v>0</v>
      </c>
      <c r="H914" s="19">
        <v>0</v>
      </c>
      <c r="I914" s="15">
        <v>3500</v>
      </c>
      <c r="J914" s="15">
        <v>0</v>
      </c>
      <c r="K914" s="15">
        <v>0</v>
      </c>
      <c r="L914" s="16">
        <v>0</v>
      </c>
      <c r="M914" s="15">
        <v>0</v>
      </c>
      <c r="N914" s="15" t="str">
        <v/>
      </c>
      <c r="O914" s="15" t="str">
        <v/>
      </c>
      <c r="P914" s="22">
        <v>0</v>
      </c>
      <c r="Q914">
        <v>0</v>
      </c>
    </row>
    <row r="915" spans="1:17">
      <c r="A915" s="19">
        <v>0</v>
      </c>
      <c r="B915" s="19">
        <v>0</v>
      </c>
      <c r="C915" s="19">
        <v>0</v>
      </c>
      <c r="D915" s="19">
        <v>0</v>
      </c>
      <c r="E915" s="19">
        <v>0</v>
      </c>
      <c r="F915" s="19">
        <v>0</v>
      </c>
      <c r="G915" s="19">
        <v>0</v>
      </c>
      <c r="H915" s="19">
        <v>0</v>
      </c>
      <c r="I915" s="15">
        <v>3500</v>
      </c>
      <c r="J915" s="15">
        <v>0</v>
      </c>
      <c r="K915" s="15">
        <v>0</v>
      </c>
      <c r="L915" s="16">
        <v>0</v>
      </c>
      <c r="M915" s="15">
        <v>0</v>
      </c>
      <c r="N915" s="15" t="str">
        <v/>
      </c>
      <c r="O915" s="15" t="str">
        <v/>
      </c>
      <c r="P915" s="22">
        <v>0</v>
      </c>
      <c r="Q915">
        <v>0</v>
      </c>
    </row>
    <row r="916" spans="1:17">
      <c r="A916" s="19">
        <v>0</v>
      </c>
      <c r="B916" s="19">
        <v>0</v>
      </c>
      <c r="C916" s="19">
        <v>0</v>
      </c>
      <c r="D916" s="19">
        <v>0</v>
      </c>
      <c r="E916" s="19">
        <v>0</v>
      </c>
      <c r="F916" s="19">
        <v>0</v>
      </c>
      <c r="G916" s="19">
        <v>0</v>
      </c>
      <c r="H916" s="19">
        <v>0</v>
      </c>
      <c r="I916" s="15">
        <v>3500</v>
      </c>
      <c r="J916" s="15">
        <v>0</v>
      </c>
      <c r="K916" s="15">
        <v>0</v>
      </c>
      <c r="L916" s="16">
        <v>0</v>
      </c>
      <c r="M916" s="15">
        <v>0</v>
      </c>
      <c r="N916" s="15" t="str">
        <v/>
      </c>
      <c r="O916" s="15" t="str">
        <v/>
      </c>
      <c r="P916" s="22">
        <v>0</v>
      </c>
      <c r="Q916">
        <v>0</v>
      </c>
    </row>
    <row r="917" spans="1:17">
      <c r="A917" s="19">
        <v>0</v>
      </c>
      <c r="B917" s="19">
        <v>0</v>
      </c>
      <c r="C917" s="19">
        <v>0</v>
      </c>
      <c r="D917" s="19">
        <v>0</v>
      </c>
      <c r="E917" s="19">
        <v>0</v>
      </c>
      <c r="F917" s="19">
        <v>0</v>
      </c>
      <c r="G917" s="19">
        <v>0</v>
      </c>
      <c r="H917" s="19">
        <v>0</v>
      </c>
      <c r="I917" s="15">
        <v>3500</v>
      </c>
      <c r="J917" s="15">
        <v>0</v>
      </c>
      <c r="K917" s="15">
        <v>0</v>
      </c>
      <c r="L917" s="16">
        <v>0</v>
      </c>
      <c r="M917" s="15">
        <v>0</v>
      </c>
      <c r="N917" s="15" t="str">
        <v/>
      </c>
      <c r="O917" s="15" t="str">
        <v/>
      </c>
      <c r="P917" s="22">
        <v>0</v>
      </c>
      <c r="Q917">
        <v>0</v>
      </c>
    </row>
    <row r="918" spans="1:17">
      <c r="A918" s="19">
        <v>0</v>
      </c>
      <c r="B918" s="19">
        <v>0</v>
      </c>
      <c r="C918" s="19">
        <v>0</v>
      </c>
      <c r="D918" s="19">
        <v>0</v>
      </c>
      <c r="E918" s="19">
        <v>0</v>
      </c>
      <c r="F918" s="19">
        <v>0</v>
      </c>
      <c r="G918" s="19">
        <v>0</v>
      </c>
      <c r="H918" s="19">
        <v>0</v>
      </c>
      <c r="I918" s="15">
        <v>3500</v>
      </c>
      <c r="J918" s="15">
        <v>0</v>
      </c>
      <c r="K918" s="15">
        <v>0</v>
      </c>
      <c r="L918" s="16">
        <v>0</v>
      </c>
      <c r="M918" s="15">
        <v>0</v>
      </c>
      <c r="N918" s="15" t="str">
        <v/>
      </c>
      <c r="O918" s="15" t="str">
        <v/>
      </c>
      <c r="P918" s="22">
        <v>0</v>
      </c>
      <c r="Q918">
        <v>0</v>
      </c>
    </row>
    <row r="919" spans="1:17">
      <c r="A919" s="19">
        <v>0</v>
      </c>
      <c r="B919" s="19">
        <v>0</v>
      </c>
      <c r="C919" s="19">
        <v>0</v>
      </c>
      <c r="D919" s="19">
        <v>0</v>
      </c>
      <c r="E919" s="19">
        <v>0</v>
      </c>
      <c r="F919" s="19">
        <v>0</v>
      </c>
      <c r="G919" s="19">
        <v>0</v>
      </c>
      <c r="H919" s="19">
        <v>0</v>
      </c>
      <c r="I919" s="15">
        <v>3500</v>
      </c>
      <c r="J919" s="15">
        <v>0</v>
      </c>
      <c r="K919" s="15">
        <v>0</v>
      </c>
      <c r="L919" s="16">
        <v>0</v>
      </c>
      <c r="M919" s="15">
        <v>0</v>
      </c>
      <c r="N919" s="15" t="str">
        <v/>
      </c>
      <c r="O919" s="15" t="str">
        <v/>
      </c>
      <c r="P919" s="22">
        <v>0</v>
      </c>
      <c r="Q919">
        <v>0</v>
      </c>
    </row>
    <row r="920" spans="1:17">
      <c r="A920" s="19">
        <v>0</v>
      </c>
      <c r="B920" s="19">
        <v>0</v>
      </c>
      <c r="C920" s="19">
        <v>0</v>
      </c>
      <c r="D920" s="19">
        <v>0</v>
      </c>
      <c r="E920" s="19">
        <v>0</v>
      </c>
      <c r="F920" s="19">
        <v>0</v>
      </c>
      <c r="G920" s="19">
        <v>0</v>
      </c>
      <c r="H920" s="19">
        <v>0</v>
      </c>
      <c r="I920" s="15">
        <v>3500</v>
      </c>
      <c r="J920" s="15">
        <v>0</v>
      </c>
      <c r="K920" s="15">
        <v>0</v>
      </c>
      <c r="L920" s="16">
        <v>0</v>
      </c>
      <c r="M920" s="15">
        <v>0</v>
      </c>
      <c r="N920" s="15" t="str">
        <v/>
      </c>
      <c r="O920" s="15" t="str">
        <v/>
      </c>
      <c r="P920" s="22">
        <v>0</v>
      </c>
      <c r="Q920">
        <v>0</v>
      </c>
    </row>
    <row r="921" spans="1:17">
      <c r="A921" s="19">
        <v>0</v>
      </c>
      <c r="B921" s="19">
        <v>0</v>
      </c>
      <c r="C921" s="19">
        <v>0</v>
      </c>
      <c r="D921" s="19">
        <v>0</v>
      </c>
      <c r="E921" s="19">
        <v>0</v>
      </c>
      <c r="F921" s="19">
        <v>0</v>
      </c>
      <c r="G921" s="19">
        <v>0</v>
      </c>
      <c r="H921" s="19">
        <v>0</v>
      </c>
      <c r="I921" s="15">
        <v>3500</v>
      </c>
      <c r="J921" s="15">
        <v>0</v>
      </c>
      <c r="K921" s="15">
        <v>0</v>
      </c>
      <c r="L921" s="16">
        <v>0</v>
      </c>
      <c r="M921" s="15">
        <v>0</v>
      </c>
      <c r="N921" s="15" t="str">
        <v/>
      </c>
      <c r="O921" s="15" t="str">
        <v/>
      </c>
      <c r="P921" s="22">
        <v>0</v>
      </c>
      <c r="Q921">
        <v>0</v>
      </c>
    </row>
    <row r="922" spans="1:17">
      <c r="A922" s="19">
        <v>0</v>
      </c>
      <c r="B922" s="19">
        <v>0</v>
      </c>
      <c r="C922" s="19">
        <v>0</v>
      </c>
      <c r="D922" s="19">
        <v>0</v>
      </c>
      <c r="E922" s="19">
        <v>0</v>
      </c>
      <c r="F922" s="19">
        <v>0</v>
      </c>
      <c r="G922" s="19">
        <v>0</v>
      </c>
      <c r="H922" s="19">
        <v>0</v>
      </c>
      <c r="I922" s="15">
        <v>3500</v>
      </c>
      <c r="J922" s="15">
        <v>0</v>
      </c>
      <c r="K922" s="15">
        <v>0</v>
      </c>
      <c r="L922" s="16">
        <v>0</v>
      </c>
      <c r="M922" s="15">
        <v>0</v>
      </c>
      <c r="N922" s="15" t="str">
        <v/>
      </c>
      <c r="O922" s="15" t="str">
        <v/>
      </c>
      <c r="P922" s="22">
        <v>0</v>
      </c>
      <c r="Q922">
        <v>0</v>
      </c>
    </row>
    <row r="923" spans="1:17">
      <c r="A923" s="19">
        <v>0</v>
      </c>
      <c r="B923" s="19">
        <v>0</v>
      </c>
      <c r="C923" s="19">
        <v>0</v>
      </c>
      <c r="D923" s="19">
        <v>0</v>
      </c>
      <c r="E923" s="19">
        <v>0</v>
      </c>
      <c r="F923" s="19">
        <v>0</v>
      </c>
      <c r="G923" s="19">
        <v>0</v>
      </c>
      <c r="H923" s="19">
        <v>0</v>
      </c>
      <c r="I923" s="15">
        <v>3500</v>
      </c>
      <c r="J923" s="15">
        <v>0</v>
      </c>
      <c r="K923" s="15">
        <v>0</v>
      </c>
      <c r="L923" s="16">
        <v>0</v>
      </c>
      <c r="M923" s="15">
        <v>0</v>
      </c>
      <c r="N923" s="15" t="str">
        <v/>
      </c>
      <c r="O923" s="15" t="str">
        <v/>
      </c>
      <c r="P923" s="22">
        <v>0</v>
      </c>
      <c r="Q923">
        <v>0</v>
      </c>
    </row>
    <row r="924" spans="1:17">
      <c r="A924" s="19">
        <v>0</v>
      </c>
      <c r="B924" s="19">
        <v>0</v>
      </c>
      <c r="C924" s="19">
        <v>0</v>
      </c>
      <c r="D924" s="19">
        <v>0</v>
      </c>
      <c r="E924" s="19">
        <v>0</v>
      </c>
      <c r="F924" s="19">
        <v>0</v>
      </c>
      <c r="G924" s="19">
        <v>0</v>
      </c>
      <c r="H924" s="19">
        <v>0</v>
      </c>
      <c r="I924" s="15">
        <v>3500</v>
      </c>
      <c r="J924" s="15">
        <v>0</v>
      </c>
      <c r="K924" s="15">
        <v>0</v>
      </c>
      <c r="L924" s="16">
        <v>0</v>
      </c>
      <c r="M924" s="15">
        <v>0</v>
      </c>
      <c r="N924" s="15" t="str">
        <v/>
      </c>
      <c r="O924" s="15" t="str">
        <v/>
      </c>
      <c r="P924" s="22">
        <v>0</v>
      </c>
      <c r="Q924">
        <v>0</v>
      </c>
    </row>
    <row r="925" spans="1:17">
      <c r="A925" s="19">
        <v>0</v>
      </c>
      <c r="B925" s="19">
        <v>0</v>
      </c>
      <c r="C925" s="19">
        <v>0</v>
      </c>
      <c r="D925" s="19">
        <v>0</v>
      </c>
      <c r="E925" s="19">
        <v>0</v>
      </c>
      <c r="F925" s="19">
        <v>0</v>
      </c>
      <c r="G925" s="19">
        <v>0</v>
      </c>
      <c r="H925" s="19">
        <v>0</v>
      </c>
      <c r="I925" s="15">
        <v>3500</v>
      </c>
      <c r="J925" s="15">
        <v>0</v>
      </c>
      <c r="K925" s="15">
        <v>0</v>
      </c>
      <c r="L925" s="16">
        <v>0</v>
      </c>
      <c r="M925" s="15">
        <v>0</v>
      </c>
      <c r="N925" s="15" t="str">
        <v/>
      </c>
      <c r="O925" s="15" t="str">
        <v/>
      </c>
      <c r="P925" s="22">
        <v>0</v>
      </c>
      <c r="Q925">
        <v>0</v>
      </c>
    </row>
    <row r="926" spans="1:17">
      <c r="A926" s="19">
        <v>0</v>
      </c>
      <c r="B926" s="19">
        <v>0</v>
      </c>
      <c r="C926" s="19">
        <v>0</v>
      </c>
      <c r="D926" s="19">
        <v>0</v>
      </c>
      <c r="E926" s="19">
        <v>0</v>
      </c>
      <c r="F926" s="19">
        <v>0</v>
      </c>
      <c r="G926" s="19">
        <v>0</v>
      </c>
      <c r="H926" s="19">
        <v>0</v>
      </c>
      <c r="I926" s="15">
        <v>3500</v>
      </c>
      <c r="J926" s="15">
        <v>0</v>
      </c>
      <c r="K926" s="15">
        <v>0</v>
      </c>
      <c r="L926" s="16">
        <v>0</v>
      </c>
      <c r="M926" s="15">
        <v>0</v>
      </c>
      <c r="N926" s="15" t="str">
        <v/>
      </c>
      <c r="O926" s="15" t="str">
        <v/>
      </c>
      <c r="P926" s="22">
        <v>0</v>
      </c>
      <c r="Q926">
        <v>0</v>
      </c>
    </row>
    <row r="927" spans="1:17">
      <c r="A927" s="19">
        <v>0</v>
      </c>
      <c r="B927" s="19">
        <v>0</v>
      </c>
      <c r="C927" s="19">
        <v>0</v>
      </c>
      <c r="D927" s="19">
        <v>0</v>
      </c>
      <c r="E927" s="19">
        <v>0</v>
      </c>
      <c r="F927" s="19">
        <v>0</v>
      </c>
      <c r="G927" s="19">
        <v>0</v>
      </c>
      <c r="H927" s="19">
        <v>0</v>
      </c>
      <c r="I927" s="15">
        <v>3500</v>
      </c>
      <c r="J927" s="15">
        <v>0</v>
      </c>
      <c r="K927" s="15">
        <v>0</v>
      </c>
      <c r="L927" s="16">
        <v>0</v>
      </c>
      <c r="M927" s="15">
        <v>0</v>
      </c>
      <c r="N927" s="15" t="str">
        <v/>
      </c>
      <c r="O927" s="15" t="str">
        <v/>
      </c>
      <c r="P927" s="22">
        <v>0</v>
      </c>
      <c r="Q927">
        <v>0</v>
      </c>
    </row>
    <row r="928" spans="1:17">
      <c r="A928" s="19">
        <v>0</v>
      </c>
      <c r="B928" s="19">
        <v>0</v>
      </c>
      <c r="C928" s="19">
        <v>0</v>
      </c>
      <c r="D928" s="19">
        <v>0</v>
      </c>
      <c r="E928" s="19">
        <v>0</v>
      </c>
      <c r="F928" s="19">
        <v>0</v>
      </c>
      <c r="G928" s="19">
        <v>0</v>
      </c>
      <c r="H928" s="19">
        <v>0</v>
      </c>
      <c r="I928" s="15">
        <v>3500</v>
      </c>
      <c r="J928" s="15">
        <v>0</v>
      </c>
      <c r="K928" s="15">
        <v>0</v>
      </c>
      <c r="L928" s="16">
        <v>0</v>
      </c>
      <c r="M928" s="15">
        <v>0</v>
      </c>
      <c r="N928" s="15" t="str">
        <v/>
      </c>
      <c r="O928" s="15" t="str">
        <v/>
      </c>
      <c r="P928" s="22">
        <v>0</v>
      </c>
      <c r="Q928">
        <v>0</v>
      </c>
    </row>
    <row r="929" spans="1:17">
      <c r="A929" s="19">
        <v>0</v>
      </c>
      <c r="B929" s="19">
        <v>0</v>
      </c>
      <c r="C929" s="19">
        <v>0</v>
      </c>
      <c r="D929" s="19">
        <v>0</v>
      </c>
      <c r="E929" s="19">
        <v>0</v>
      </c>
      <c r="F929" s="19">
        <v>0</v>
      </c>
      <c r="G929" s="19">
        <v>0</v>
      </c>
      <c r="H929" s="19">
        <v>0</v>
      </c>
      <c r="I929" s="15">
        <v>3500</v>
      </c>
      <c r="J929" s="15">
        <v>0</v>
      </c>
      <c r="K929" s="15">
        <v>0</v>
      </c>
      <c r="L929" s="16">
        <v>0</v>
      </c>
      <c r="M929" s="15">
        <v>0</v>
      </c>
      <c r="N929" s="15" t="str">
        <v/>
      </c>
      <c r="O929" s="15" t="str">
        <v/>
      </c>
      <c r="P929" s="22">
        <v>0</v>
      </c>
      <c r="Q929">
        <v>0</v>
      </c>
    </row>
    <row r="930" spans="1:17">
      <c r="A930" s="19">
        <v>0</v>
      </c>
      <c r="B930" s="19">
        <v>0</v>
      </c>
      <c r="C930" s="19">
        <v>0</v>
      </c>
      <c r="D930" s="19">
        <v>0</v>
      </c>
      <c r="E930" s="19">
        <v>0</v>
      </c>
      <c r="F930" s="19">
        <v>0</v>
      </c>
      <c r="G930" s="19">
        <v>0</v>
      </c>
      <c r="H930" s="19">
        <v>0</v>
      </c>
      <c r="I930" s="15">
        <v>3500</v>
      </c>
      <c r="J930" s="15">
        <v>0</v>
      </c>
      <c r="K930" s="15">
        <v>0</v>
      </c>
      <c r="L930" s="16">
        <v>0</v>
      </c>
      <c r="M930" s="15">
        <v>0</v>
      </c>
      <c r="N930" s="15" t="str">
        <v/>
      </c>
      <c r="O930" s="15" t="str">
        <v/>
      </c>
      <c r="P930" s="22">
        <v>0</v>
      </c>
      <c r="Q930">
        <v>0</v>
      </c>
    </row>
    <row r="931" spans="1:17">
      <c r="A931" s="19">
        <v>0</v>
      </c>
      <c r="B931" s="19">
        <v>0</v>
      </c>
      <c r="C931" s="19">
        <v>0</v>
      </c>
      <c r="D931" s="19">
        <v>0</v>
      </c>
      <c r="E931" s="19">
        <v>0</v>
      </c>
      <c r="F931" s="19">
        <v>0</v>
      </c>
      <c r="G931" s="19">
        <v>0</v>
      </c>
      <c r="H931" s="19">
        <v>0</v>
      </c>
      <c r="I931" s="15">
        <v>3500</v>
      </c>
      <c r="J931" s="15">
        <v>0</v>
      </c>
      <c r="K931" s="15">
        <v>0</v>
      </c>
      <c r="L931" s="16">
        <v>0</v>
      </c>
      <c r="M931" s="15">
        <v>0</v>
      </c>
      <c r="N931" s="15" t="str">
        <v/>
      </c>
      <c r="O931" s="15" t="str">
        <v/>
      </c>
      <c r="P931" s="22">
        <v>0</v>
      </c>
      <c r="Q931">
        <v>0</v>
      </c>
    </row>
    <row r="932" spans="1:17">
      <c r="A932" s="19">
        <v>0</v>
      </c>
      <c r="B932" s="19">
        <v>0</v>
      </c>
      <c r="C932" s="19">
        <v>0</v>
      </c>
      <c r="D932" s="19">
        <v>0</v>
      </c>
      <c r="E932" s="19">
        <v>0</v>
      </c>
      <c r="F932" s="19">
        <v>0</v>
      </c>
      <c r="G932" s="19">
        <v>0</v>
      </c>
      <c r="H932" s="19">
        <v>0</v>
      </c>
      <c r="I932" s="15">
        <v>3500</v>
      </c>
      <c r="J932" s="15">
        <v>0</v>
      </c>
      <c r="K932" s="15">
        <v>0</v>
      </c>
      <c r="L932" s="16">
        <v>0</v>
      </c>
      <c r="M932" s="15">
        <v>0</v>
      </c>
      <c r="N932" s="15" t="str">
        <v/>
      </c>
      <c r="O932" s="15" t="str">
        <v/>
      </c>
      <c r="P932" s="22">
        <v>0</v>
      </c>
      <c r="Q932">
        <v>0</v>
      </c>
    </row>
    <row r="933" spans="1:17">
      <c r="A933" s="19">
        <v>0</v>
      </c>
      <c r="B933" s="19">
        <v>0</v>
      </c>
      <c r="C933" s="19">
        <v>0</v>
      </c>
      <c r="D933" s="19">
        <v>0</v>
      </c>
      <c r="E933" s="19">
        <v>0</v>
      </c>
      <c r="F933" s="19">
        <v>0</v>
      </c>
      <c r="G933" s="19">
        <v>0</v>
      </c>
      <c r="H933" s="19">
        <v>0</v>
      </c>
      <c r="I933" s="15">
        <v>3500</v>
      </c>
      <c r="J933" s="15">
        <v>0</v>
      </c>
      <c r="K933" s="15">
        <v>0</v>
      </c>
      <c r="L933" s="16">
        <v>0</v>
      </c>
      <c r="M933" s="15">
        <v>0</v>
      </c>
      <c r="N933" s="15" t="str">
        <v/>
      </c>
      <c r="O933" s="15" t="str">
        <v/>
      </c>
      <c r="P933" s="22">
        <v>0</v>
      </c>
      <c r="Q933">
        <v>0</v>
      </c>
    </row>
    <row r="934" spans="1:17">
      <c r="A934" s="19">
        <v>0</v>
      </c>
      <c r="B934" s="19">
        <v>0</v>
      </c>
      <c r="C934" s="19">
        <v>0</v>
      </c>
      <c r="D934" s="19">
        <v>0</v>
      </c>
      <c r="E934" s="19">
        <v>0</v>
      </c>
      <c r="F934" s="19">
        <v>0</v>
      </c>
      <c r="G934" s="19">
        <v>0</v>
      </c>
      <c r="H934" s="19">
        <v>0</v>
      </c>
      <c r="I934" s="15">
        <v>3500</v>
      </c>
      <c r="J934" s="15">
        <v>0</v>
      </c>
      <c r="K934" s="15">
        <v>0</v>
      </c>
      <c r="L934" s="16">
        <v>0</v>
      </c>
      <c r="M934" s="15">
        <v>0</v>
      </c>
      <c r="N934" s="15" t="str">
        <v/>
      </c>
      <c r="O934" s="15" t="str">
        <v/>
      </c>
      <c r="P934" s="22">
        <v>0</v>
      </c>
      <c r="Q934">
        <v>0</v>
      </c>
    </row>
    <row r="935" spans="1:17">
      <c r="A935" s="19">
        <v>0</v>
      </c>
      <c r="B935" s="19">
        <v>0</v>
      </c>
      <c r="C935" s="19">
        <v>0</v>
      </c>
      <c r="D935" s="19">
        <v>0</v>
      </c>
      <c r="E935" s="19">
        <v>0</v>
      </c>
      <c r="F935" s="19">
        <v>0</v>
      </c>
      <c r="G935" s="19">
        <v>0</v>
      </c>
      <c r="H935" s="19">
        <v>0</v>
      </c>
      <c r="I935" s="15">
        <v>3500</v>
      </c>
      <c r="J935" s="15">
        <v>0</v>
      </c>
      <c r="K935" s="15">
        <v>0</v>
      </c>
      <c r="L935" s="16">
        <v>0</v>
      </c>
      <c r="M935" s="15">
        <v>0</v>
      </c>
      <c r="N935" s="15" t="str">
        <v/>
      </c>
      <c r="O935" s="15" t="str">
        <v/>
      </c>
      <c r="P935" s="22">
        <v>0</v>
      </c>
      <c r="Q935">
        <v>0</v>
      </c>
    </row>
    <row r="936" spans="1:17">
      <c r="A936" s="19">
        <v>0</v>
      </c>
      <c r="B936" s="19">
        <v>0</v>
      </c>
      <c r="C936" s="19">
        <v>0</v>
      </c>
      <c r="D936" s="19">
        <v>0</v>
      </c>
      <c r="E936" s="19">
        <v>0</v>
      </c>
      <c r="F936" s="19">
        <v>0</v>
      </c>
      <c r="G936" s="19">
        <v>0</v>
      </c>
      <c r="H936" s="19">
        <v>0</v>
      </c>
      <c r="I936" s="15">
        <v>3500</v>
      </c>
      <c r="J936" s="15">
        <v>0</v>
      </c>
      <c r="K936" s="15">
        <v>0</v>
      </c>
      <c r="L936" s="16">
        <v>0</v>
      </c>
      <c r="M936" s="15">
        <v>0</v>
      </c>
      <c r="N936" s="15" t="str">
        <v/>
      </c>
      <c r="O936" s="15" t="str">
        <v/>
      </c>
      <c r="P936" s="22">
        <v>0</v>
      </c>
      <c r="Q936">
        <v>0</v>
      </c>
    </row>
    <row r="937" spans="1:17">
      <c r="A937" s="19">
        <v>0</v>
      </c>
      <c r="B937" s="19">
        <v>0</v>
      </c>
      <c r="C937" s="19">
        <v>0</v>
      </c>
      <c r="D937" s="19">
        <v>0</v>
      </c>
      <c r="E937" s="19">
        <v>0</v>
      </c>
      <c r="F937" s="19">
        <v>0</v>
      </c>
      <c r="G937" s="19">
        <v>0</v>
      </c>
      <c r="H937" s="19">
        <v>0</v>
      </c>
      <c r="I937" s="15">
        <v>3500</v>
      </c>
      <c r="J937" s="15">
        <v>0</v>
      </c>
      <c r="K937" s="15">
        <v>0</v>
      </c>
      <c r="L937" s="16">
        <v>0</v>
      </c>
      <c r="M937" s="15">
        <v>0</v>
      </c>
      <c r="N937" s="15" t="str">
        <v/>
      </c>
      <c r="O937" s="15" t="str">
        <v/>
      </c>
      <c r="P937" s="22">
        <v>0</v>
      </c>
      <c r="Q937">
        <v>0</v>
      </c>
    </row>
    <row r="938" spans="1:17">
      <c r="A938" s="19">
        <v>0</v>
      </c>
      <c r="B938" s="19">
        <v>0</v>
      </c>
      <c r="C938" s="19">
        <v>0</v>
      </c>
      <c r="D938" s="19">
        <v>0</v>
      </c>
      <c r="E938" s="19">
        <v>0</v>
      </c>
      <c r="F938" s="19">
        <v>0</v>
      </c>
      <c r="G938" s="19">
        <v>0</v>
      </c>
      <c r="H938" s="19">
        <v>0</v>
      </c>
      <c r="I938" s="15">
        <v>3500</v>
      </c>
      <c r="J938" s="15">
        <v>0</v>
      </c>
      <c r="K938" s="15">
        <v>0</v>
      </c>
      <c r="L938" s="16">
        <v>0</v>
      </c>
      <c r="M938" s="15">
        <v>0</v>
      </c>
      <c r="N938" s="15" t="str">
        <v/>
      </c>
      <c r="O938" s="15" t="str">
        <v/>
      </c>
      <c r="P938" s="22">
        <v>0</v>
      </c>
      <c r="Q938">
        <v>0</v>
      </c>
    </row>
    <row r="939" spans="1:17">
      <c r="A939" s="19">
        <v>0</v>
      </c>
      <c r="B939" s="19">
        <v>0</v>
      </c>
      <c r="C939" s="19">
        <v>0</v>
      </c>
      <c r="D939" s="19">
        <v>0</v>
      </c>
      <c r="E939" s="19">
        <v>0</v>
      </c>
      <c r="F939" s="19">
        <v>0</v>
      </c>
      <c r="G939" s="19">
        <v>0</v>
      </c>
      <c r="H939" s="19">
        <v>0</v>
      </c>
      <c r="I939" s="15">
        <v>3500</v>
      </c>
      <c r="J939" s="15">
        <v>0</v>
      </c>
      <c r="K939" s="15">
        <v>0</v>
      </c>
      <c r="L939" s="16">
        <v>0</v>
      </c>
      <c r="M939" s="15">
        <v>0</v>
      </c>
      <c r="N939" s="15" t="str">
        <v/>
      </c>
      <c r="O939" s="15" t="str">
        <v/>
      </c>
      <c r="P939" s="22">
        <v>0</v>
      </c>
      <c r="Q939">
        <v>0</v>
      </c>
    </row>
    <row r="940" spans="1:17">
      <c r="A940" s="19">
        <v>0</v>
      </c>
      <c r="B940" s="19">
        <v>0</v>
      </c>
      <c r="C940" s="19">
        <v>0</v>
      </c>
      <c r="D940" s="19">
        <v>0</v>
      </c>
      <c r="E940" s="19">
        <v>0</v>
      </c>
      <c r="F940" s="19">
        <v>0</v>
      </c>
      <c r="G940" s="19">
        <v>0</v>
      </c>
      <c r="H940" s="19">
        <v>0</v>
      </c>
      <c r="I940" s="15">
        <v>3500</v>
      </c>
      <c r="J940" s="15">
        <v>0</v>
      </c>
      <c r="K940" s="15">
        <v>0</v>
      </c>
      <c r="L940" s="16">
        <v>0</v>
      </c>
      <c r="M940" s="15">
        <v>0</v>
      </c>
      <c r="N940" s="15" t="str">
        <v/>
      </c>
      <c r="O940" s="15" t="str">
        <v/>
      </c>
      <c r="P940" s="22">
        <v>0</v>
      </c>
      <c r="Q940">
        <v>0</v>
      </c>
    </row>
    <row r="941" spans="1:17">
      <c r="A941" s="19">
        <v>0</v>
      </c>
      <c r="B941" s="19">
        <v>0</v>
      </c>
      <c r="C941" s="19">
        <v>0</v>
      </c>
      <c r="D941" s="19">
        <v>0</v>
      </c>
      <c r="E941" s="19">
        <v>0</v>
      </c>
      <c r="F941" s="19">
        <v>0</v>
      </c>
      <c r="G941" s="19">
        <v>0</v>
      </c>
      <c r="H941" s="19">
        <v>0</v>
      </c>
      <c r="I941" s="15">
        <v>3500</v>
      </c>
      <c r="J941" s="15">
        <v>0</v>
      </c>
      <c r="K941" s="15">
        <v>0</v>
      </c>
      <c r="L941" s="16">
        <v>0</v>
      </c>
      <c r="M941" s="15">
        <v>0</v>
      </c>
      <c r="N941" s="15" t="str">
        <v/>
      </c>
      <c r="O941" s="15" t="str">
        <v/>
      </c>
      <c r="P941" s="22">
        <v>0</v>
      </c>
      <c r="Q941">
        <v>0</v>
      </c>
    </row>
    <row r="942" spans="1:17">
      <c r="A942" s="19">
        <v>0</v>
      </c>
      <c r="B942" s="19">
        <v>0</v>
      </c>
      <c r="C942" s="19">
        <v>0</v>
      </c>
      <c r="D942" s="19">
        <v>0</v>
      </c>
      <c r="E942" s="19">
        <v>0</v>
      </c>
      <c r="F942" s="19">
        <v>0</v>
      </c>
      <c r="G942" s="19">
        <v>0</v>
      </c>
      <c r="H942" s="19">
        <v>0</v>
      </c>
      <c r="I942" s="15">
        <v>3500</v>
      </c>
      <c r="J942" s="15">
        <v>0</v>
      </c>
      <c r="K942" s="15">
        <v>0</v>
      </c>
      <c r="L942" s="16">
        <v>0</v>
      </c>
      <c r="M942" s="15">
        <v>0</v>
      </c>
      <c r="N942" s="15" t="str">
        <v/>
      </c>
      <c r="O942" s="15" t="str">
        <v/>
      </c>
      <c r="P942" s="22">
        <v>0</v>
      </c>
      <c r="Q942">
        <v>0</v>
      </c>
    </row>
    <row r="943" spans="1:17">
      <c r="A943" s="19">
        <v>0</v>
      </c>
      <c r="B943" s="19">
        <v>0</v>
      </c>
      <c r="C943" s="19">
        <v>0</v>
      </c>
      <c r="D943" s="19">
        <v>0</v>
      </c>
      <c r="E943" s="19">
        <v>0</v>
      </c>
      <c r="F943" s="19">
        <v>0</v>
      </c>
      <c r="G943" s="19">
        <v>0</v>
      </c>
      <c r="H943" s="19">
        <v>0</v>
      </c>
      <c r="I943" s="15">
        <v>3500</v>
      </c>
      <c r="J943" s="15">
        <v>0</v>
      </c>
      <c r="K943" s="15">
        <v>0</v>
      </c>
      <c r="L943" s="16">
        <v>0</v>
      </c>
      <c r="M943" s="15">
        <v>0</v>
      </c>
      <c r="N943" s="15" t="str">
        <v/>
      </c>
      <c r="O943" s="15" t="str">
        <v/>
      </c>
      <c r="P943" s="22">
        <v>0</v>
      </c>
      <c r="Q943">
        <v>0</v>
      </c>
    </row>
    <row r="944" spans="1:17">
      <c r="A944" s="19">
        <v>0</v>
      </c>
      <c r="B944" s="19">
        <v>0</v>
      </c>
      <c r="C944" s="19">
        <v>0</v>
      </c>
      <c r="D944" s="19">
        <v>0</v>
      </c>
      <c r="E944" s="19">
        <v>0</v>
      </c>
      <c r="F944" s="19">
        <v>0</v>
      </c>
      <c r="G944" s="19">
        <v>0</v>
      </c>
      <c r="H944" s="19">
        <v>0</v>
      </c>
      <c r="I944" s="15">
        <v>3500</v>
      </c>
      <c r="J944" s="15">
        <v>0</v>
      </c>
      <c r="K944" s="15">
        <v>0</v>
      </c>
      <c r="L944" s="16">
        <v>0</v>
      </c>
      <c r="M944" s="15">
        <v>0</v>
      </c>
      <c r="N944" s="15" t="str">
        <v/>
      </c>
      <c r="O944" s="15" t="str">
        <v/>
      </c>
      <c r="P944" s="22">
        <v>0</v>
      </c>
      <c r="Q944">
        <v>0</v>
      </c>
    </row>
    <row r="945" spans="1:17">
      <c r="A945" s="19">
        <v>0</v>
      </c>
      <c r="B945" s="19">
        <v>0</v>
      </c>
      <c r="C945" s="19">
        <v>0</v>
      </c>
      <c r="D945" s="19">
        <v>0</v>
      </c>
      <c r="E945" s="19">
        <v>0</v>
      </c>
      <c r="F945" s="19">
        <v>0</v>
      </c>
      <c r="G945" s="19">
        <v>0</v>
      </c>
      <c r="H945" s="19">
        <v>0</v>
      </c>
      <c r="I945" s="15">
        <v>3500</v>
      </c>
      <c r="J945" s="15">
        <v>0</v>
      </c>
      <c r="K945" s="15">
        <v>0</v>
      </c>
      <c r="L945" s="16">
        <v>0</v>
      </c>
      <c r="M945" s="15">
        <v>0</v>
      </c>
      <c r="N945" s="15" t="str">
        <v/>
      </c>
      <c r="O945" s="15" t="str">
        <v/>
      </c>
      <c r="P945" s="22">
        <v>0</v>
      </c>
      <c r="Q945">
        <v>0</v>
      </c>
    </row>
    <row r="946" spans="1:17">
      <c r="A946" s="19">
        <v>0</v>
      </c>
      <c r="B946" s="19">
        <v>0</v>
      </c>
      <c r="C946" s="19">
        <v>0</v>
      </c>
      <c r="D946" s="19">
        <v>0</v>
      </c>
      <c r="E946" s="19">
        <v>0</v>
      </c>
      <c r="F946" s="19">
        <v>0</v>
      </c>
      <c r="G946" s="19">
        <v>0</v>
      </c>
      <c r="H946" s="19">
        <v>0</v>
      </c>
      <c r="I946" s="15">
        <v>3500</v>
      </c>
      <c r="J946" s="15">
        <v>0</v>
      </c>
      <c r="K946" s="15">
        <v>0</v>
      </c>
      <c r="L946" s="16">
        <v>0</v>
      </c>
      <c r="M946" s="15">
        <v>0</v>
      </c>
      <c r="N946" s="15" t="str">
        <v/>
      </c>
      <c r="O946" s="15" t="str">
        <v/>
      </c>
      <c r="P946" s="22">
        <v>0</v>
      </c>
      <c r="Q946">
        <v>0</v>
      </c>
    </row>
    <row r="947" spans="1:17">
      <c r="A947" s="19">
        <v>0</v>
      </c>
      <c r="B947" s="19">
        <v>0</v>
      </c>
      <c r="C947" s="19">
        <v>0</v>
      </c>
      <c r="D947" s="19">
        <v>0</v>
      </c>
      <c r="E947" s="19">
        <v>0</v>
      </c>
      <c r="F947" s="19">
        <v>0</v>
      </c>
      <c r="G947" s="19">
        <v>0</v>
      </c>
      <c r="H947" s="19">
        <v>0</v>
      </c>
      <c r="I947" s="15">
        <v>3500</v>
      </c>
      <c r="J947" s="15">
        <v>0</v>
      </c>
      <c r="K947" s="15">
        <v>0</v>
      </c>
      <c r="L947" s="16">
        <v>0</v>
      </c>
      <c r="M947" s="15">
        <v>0</v>
      </c>
      <c r="N947" s="15" t="str">
        <v/>
      </c>
      <c r="O947" s="15" t="str">
        <v/>
      </c>
      <c r="P947" s="22">
        <v>0</v>
      </c>
      <c r="Q947">
        <v>0</v>
      </c>
    </row>
    <row r="948" spans="1:17">
      <c r="A948" s="19">
        <v>0</v>
      </c>
      <c r="B948" s="19">
        <v>0</v>
      </c>
      <c r="C948" s="19">
        <v>0</v>
      </c>
      <c r="D948" s="19">
        <v>0</v>
      </c>
      <c r="E948" s="19">
        <v>0</v>
      </c>
      <c r="F948" s="19">
        <v>0</v>
      </c>
      <c r="G948" s="19">
        <v>0</v>
      </c>
      <c r="H948" s="19">
        <v>0</v>
      </c>
      <c r="I948" s="15">
        <v>3500</v>
      </c>
      <c r="J948" s="15">
        <v>0</v>
      </c>
      <c r="K948" s="15">
        <v>0</v>
      </c>
      <c r="L948" s="16">
        <v>0</v>
      </c>
      <c r="M948" s="15">
        <v>0</v>
      </c>
      <c r="N948" s="15" t="str">
        <v/>
      </c>
      <c r="O948" s="15" t="str">
        <v/>
      </c>
      <c r="P948" s="22">
        <v>0</v>
      </c>
      <c r="Q948">
        <v>0</v>
      </c>
    </row>
    <row r="949" spans="1:17">
      <c r="A949" s="19">
        <v>0</v>
      </c>
      <c r="B949" s="19">
        <v>0</v>
      </c>
      <c r="C949" s="19">
        <v>0</v>
      </c>
      <c r="D949" s="19">
        <v>0</v>
      </c>
      <c r="E949" s="19">
        <v>0</v>
      </c>
      <c r="F949" s="19">
        <v>0</v>
      </c>
      <c r="G949" s="19">
        <v>0</v>
      </c>
      <c r="H949" s="19">
        <v>0</v>
      </c>
      <c r="I949" s="15">
        <v>3500</v>
      </c>
      <c r="J949" s="15">
        <v>0</v>
      </c>
      <c r="K949" s="15">
        <v>0</v>
      </c>
      <c r="L949" s="16">
        <v>0</v>
      </c>
      <c r="M949" s="15">
        <v>0</v>
      </c>
      <c r="N949" s="15" t="str">
        <v/>
      </c>
      <c r="O949" s="15" t="str">
        <v/>
      </c>
      <c r="P949" s="22">
        <v>0</v>
      </c>
      <c r="Q949">
        <v>0</v>
      </c>
    </row>
    <row r="950" spans="1:17">
      <c r="A950" s="19">
        <v>0</v>
      </c>
      <c r="B950" s="19">
        <v>0</v>
      </c>
      <c r="C950" s="19">
        <v>0</v>
      </c>
      <c r="D950" s="19">
        <v>0</v>
      </c>
      <c r="E950" s="19">
        <v>0</v>
      </c>
      <c r="F950" s="19">
        <v>0</v>
      </c>
      <c r="G950" s="19">
        <v>0</v>
      </c>
      <c r="H950" s="19">
        <v>0</v>
      </c>
      <c r="I950" s="15">
        <v>3500</v>
      </c>
      <c r="J950" s="15">
        <v>0</v>
      </c>
      <c r="K950" s="15">
        <v>0</v>
      </c>
      <c r="L950" s="16">
        <v>0</v>
      </c>
      <c r="M950" s="15">
        <v>0</v>
      </c>
      <c r="N950" s="15" t="str">
        <v/>
      </c>
      <c r="O950" s="15" t="str">
        <v/>
      </c>
      <c r="P950" s="22">
        <v>0</v>
      </c>
      <c r="Q950">
        <v>0</v>
      </c>
    </row>
    <row r="951" spans="1:17">
      <c r="A951" s="19">
        <v>0</v>
      </c>
      <c r="B951" s="19">
        <v>0</v>
      </c>
      <c r="C951" s="19">
        <v>0</v>
      </c>
      <c r="D951" s="19">
        <v>0</v>
      </c>
      <c r="E951" s="19">
        <v>0</v>
      </c>
      <c r="F951" s="19">
        <v>0</v>
      </c>
      <c r="G951" s="19">
        <v>0</v>
      </c>
      <c r="H951" s="19">
        <v>0</v>
      </c>
      <c r="I951" s="15">
        <v>3500</v>
      </c>
      <c r="J951" s="15">
        <v>0</v>
      </c>
      <c r="K951" s="15">
        <v>0</v>
      </c>
      <c r="L951" s="16">
        <v>0</v>
      </c>
      <c r="M951" s="15">
        <v>0</v>
      </c>
      <c r="N951" s="15" t="str">
        <v/>
      </c>
      <c r="O951" s="15" t="str">
        <v/>
      </c>
      <c r="P951" s="22">
        <v>0</v>
      </c>
      <c r="Q951">
        <v>0</v>
      </c>
    </row>
    <row r="952" spans="1:17">
      <c r="A952" s="19">
        <v>0</v>
      </c>
      <c r="B952" s="19">
        <v>0</v>
      </c>
      <c r="C952" s="19">
        <v>0</v>
      </c>
      <c r="D952" s="19">
        <v>0</v>
      </c>
      <c r="E952" s="19">
        <v>0</v>
      </c>
      <c r="F952" s="19">
        <v>0</v>
      </c>
      <c r="G952" s="19">
        <v>0</v>
      </c>
      <c r="H952" s="19">
        <v>0</v>
      </c>
      <c r="I952" s="15">
        <v>3500</v>
      </c>
      <c r="J952" s="15">
        <v>0</v>
      </c>
      <c r="K952" s="15">
        <v>0</v>
      </c>
      <c r="L952" s="16">
        <v>0</v>
      </c>
      <c r="M952" s="15">
        <v>0</v>
      </c>
      <c r="N952" s="15" t="str">
        <v/>
      </c>
      <c r="O952" s="15" t="str">
        <v/>
      </c>
      <c r="P952" s="22">
        <v>0</v>
      </c>
      <c r="Q952">
        <v>0</v>
      </c>
    </row>
    <row r="953" spans="1:17">
      <c r="A953" s="19">
        <v>0</v>
      </c>
      <c r="B953" s="19">
        <v>0</v>
      </c>
      <c r="C953" s="19">
        <v>0</v>
      </c>
      <c r="D953" s="19">
        <v>0</v>
      </c>
      <c r="E953" s="19">
        <v>0</v>
      </c>
      <c r="F953" s="19">
        <v>0</v>
      </c>
      <c r="G953" s="19">
        <v>0</v>
      </c>
      <c r="H953" s="19">
        <v>0</v>
      </c>
      <c r="I953" s="15">
        <v>3500</v>
      </c>
      <c r="J953" s="15">
        <v>0</v>
      </c>
      <c r="K953" s="15">
        <v>0</v>
      </c>
      <c r="L953" s="16">
        <v>0</v>
      </c>
      <c r="M953" s="15">
        <v>0</v>
      </c>
      <c r="N953" s="15" t="str">
        <v/>
      </c>
      <c r="O953" s="15" t="str">
        <v/>
      </c>
      <c r="P953" s="22">
        <v>0</v>
      </c>
      <c r="Q953">
        <v>0</v>
      </c>
    </row>
    <row r="954" spans="1:17">
      <c r="A954" s="19">
        <v>0</v>
      </c>
      <c r="B954" s="19">
        <v>0</v>
      </c>
      <c r="C954" s="19">
        <v>0</v>
      </c>
      <c r="D954" s="19">
        <v>0</v>
      </c>
      <c r="E954" s="19">
        <v>0</v>
      </c>
      <c r="F954" s="19">
        <v>0</v>
      </c>
      <c r="G954" s="19">
        <v>0</v>
      </c>
      <c r="H954" s="19">
        <v>0</v>
      </c>
      <c r="I954" s="15">
        <v>3500</v>
      </c>
      <c r="J954" s="15">
        <v>0</v>
      </c>
      <c r="K954" s="15">
        <v>0</v>
      </c>
      <c r="L954" s="16">
        <v>0</v>
      </c>
      <c r="M954" s="15">
        <v>0</v>
      </c>
      <c r="N954" s="15" t="str">
        <v/>
      </c>
      <c r="O954" s="15" t="str">
        <v/>
      </c>
      <c r="P954" s="22">
        <v>0</v>
      </c>
      <c r="Q954">
        <v>0</v>
      </c>
    </row>
    <row r="955" spans="1:17">
      <c r="A955" s="19">
        <v>0</v>
      </c>
      <c r="B955" s="19">
        <v>0</v>
      </c>
      <c r="C955" s="19">
        <v>0</v>
      </c>
      <c r="D955" s="19">
        <v>0</v>
      </c>
      <c r="E955" s="19">
        <v>0</v>
      </c>
      <c r="F955" s="19">
        <v>0</v>
      </c>
      <c r="G955" s="19">
        <v>0</v>
      </c>
      <c r="H955" s="19">
        <v>0</v>
      </c>
      <c r="I955" s="15">
        <v>3500</v>
      </c>
      <c r="J955" s="15">
        <v>0</v>
      </c>
      <c r="K955" s="15">
        <v>0</v>
      </c>
      <c r="L955" s="16">
        <v>0</v>
      </c>
      <c r="M955" s="15">
        <v>0</v>
      </c>
      <c r="N955" s="15" t="str">
        <v/>
      </c>
      <c r="O955" s="15" t="str">
        <v/>
      </c>
      <c r="P955" s="22">
        <v>0</v>
      </c>
      <c r="Q955">
        <v>0</v>
      </c>
    </row>
    <row r="956" spans="1:17">
      <c r="A956" s="19">
        <v>0</v>
      </c>
      <c r="B956" s="19">
        <v>0</v>
      </c>
      <c r="C956" s="19">
        <v>0</v>
      </c>
      <c r="D956" s="19">
        <v>0</v>
      </c>
      <c r="E956" s="19">
        <v>0</v>
      </c>
      <c r="F956" s="19">
        <v>0</v>
      </c>
      <c r="G956" s="19">
        <v>0</v>
      </c>
      <c r="H956" s="19">
        <v>0</v>
      </c>
      <c r="I956" s="15">
        <v>3500</v>
      </c>
      <c r="J956" s="15">
        <v>0</v>
      </c>
      <c r="K956" s="15">
        <v>0</v>
      </c>
      <c r="L956" s="16">
        <v>0</v>
      </c>
      <c r="M956" s="15">
        <v>0</v>
      </c>
      <c r="N956" s="15" t="str">
        <v/>
      </c>
      <c r="O956" s="15" t="str">
        <v/>
      </c>
      <c r="P956" s="22">
        <v>0</v>
      </c>
      <c r="Q956">
        <v>0</v>
      </c>
    </row>
    <row r="957" spans="1:17">
      <c r="A957" s="19">
        <v>0</v>
      </c>
      <c r="B957" s="19">
        <v>0</v>
      </c>
      <c r="C957" s="19">
        <v>0</v>
      </c>
      <c r="D957" s="19">
        <v>0</v>
      </c>
      <c r="E957" s="19">
        <v>0</v>
      </c>
      <c r="F957" s="19">
        <v>0</v>
      </c>
      <c r="G957" s="19">
        <v>0</v>
      </c>
      <c r="H957" s="19">
        <v>0</v>
      </c>
      <c r="I957" s="15">
        <v>3500</v>
      </c>
      <c r="J957" s="15">
        <v>0</v>
      </c>
      <c r="K957" s="15">
        <v>0</v>
      </c>
      <c r="L957" s="16">
        <v>0</v>
      </c>
      <c r="M957" s="15">
        <v>0</v>
      </c>
      <c r="N957" s="15" t="str">
        <v/>
      </c>
      <c r="O957" s="15" t="str">
        <v/>
      </c>
      <c r="P957" s="22">
        <v>0</v>
      </c>
      <c r="Q957">
        <v>0</v>
      </c>
    </row>
    <row r="958" spans="1:17">
      <c r="A958" s="19">
        <v>0</v>
      </c>
      <c r="B958" s="19">
        <v>0</v>
      </c>
      <c r="C958" s="19">
        <v>0</v>
      </c>
      <c r="D958" s="19">
        <v>0</v>
      </c>
      <c r="E958" s="19">
        <v>0</v>
      </c>
      <c r="F958" s="19">
        <v>0</v>
      </c>
      <c r="G958" s="19">
        <v>0</v>
      </c>
      <c r="H958" s="19">
        <v>0</v>
      </c>
      <c r="I958" s="15">
        <v>3500</v>
      </c>
      <c r="J958" s="15">
        <v>0</v>
      </c>
      <c r="K958" s="15">
        <v>0</v>
      </c>
      <c r="L958" s="16">
        <v>0</v>
      </c>
      <c r="M958" s="15">
        <v>0</v>
      </c>
      <c r="N958" s="15" t="str">
        <v/>
      </c>
      <c r="O958" s="15" t="str">
        <v/>
      </c>
      <c r="P958" s="22">
        <v>0</v>
      </c>
      <c r="Q958">
        <v>0</v>
      </c>
    </row>
    <row r="959" spans="1:17">
      <c r="A959" s="19">
        <v>0</v>
      </c>
      <c r="B959" s="19">
        <v>0</v>
      </c>
      <c r="C959" s="19">
        <v>0</v>
      </c>
      <c r="D959" s="19">
        <v>0</v>
      </c>
      <c r="E959" s="19">
        <v>0</v>
      </c>
      <c r="F959" s="19">
        <v>0</v>
      </c>
      <c r="G959" s="19">
        <v>0</v>
      </c>
      <c r="H959" s="19">
        <v>0</v>
      </c>
      <c r="I959" s="15">
        <v>3500</v>
      </c>
      <c r="J959" s="15">
        <v>0</v>
      </c>
      <c r="K959" s="15">
        <v>0</v>
      </c>
      <c r="L959" s="16">
        <v>0</v>
      </c>
      <c r="M959" s="15">
        <v>0</v>
      </c>
      <c r="N959" s="15" t="str">
        <v/>
      </c>
      <c r="O959" s="15" t="str">
        <v/>
      </c>
      <c r="P959" s="22">
        <v>0</v>
      </c>
      <c r="Q959">
        <v>0</v>
      </c>
    </row>
    <row r="960" spans="1:17">
      <c r="A960" s="19">
        <v>0</v>
      </c>
      <c r="B960" s="19">
        <v>0</v>
      </c>
      <c r="C960" s="19">
        <v>0</v>
      </c>
      <c r="D960" s="19">
        <v>0</v>
      </c>
      <c r="E960" s="19">
        <v>0</v>
      </c>
      <c r="F960" s="19">
        <v>0</v>
      </c>
      <c r="G960" s="19">
        <v>0</v>
      </c>
      <c r="H960" s="19">
        <v>0</v>
      </c>
      <c r="I960" s="15">
        <v>3500</v>
      </c>
      <c r="J960" s="15">
        <v>0</v>
      </c>
      <c r="K960" s="15">
        <v>0</v>
      </c>
      <c r="L960" s="16">
        <v>0</v>
      </c>
      <c r="M960" s="15">
        <v>0</v>
      </c>
      <c r="N960" s="15" t="str">
        <v/>
      </c>
      <c r="O960" s="15" t="str">
        <v/>
      </c>
      <c r="P960" s="22">
        <v>0</v>
      </c>
      <c r="Q960">
        <v>0</v>
      </c>
    </row>
    <row r="961" spans="1:17">
      <c r="A961" s="19">
        <v>0</v>
      </c>
      <c r="B961" s="19">
        <v>0</v>
      </c>
      <c r="C961" s="19">
        <v>0</v>
      </c>
      <c r="D961" s="19">
        <v>0</v>
      </c>
      <c r="E961" s="19">
        <v>0</v>
      </c>
      <c r="F961" s="19">
        <v>0</v>
      </c>
      <c r="G961" s="19">
        <v>0</v>
      </c>
      <c r="H961" s="19">
        <v>0</v>
      </c>
      <c r="I961" s="15">
        <v>3500</v>
      </c>
      <c r="J961" s="15">
        <v>0</v>
      </c>
      <c r="K961" s="15">
        <v>0</v>
      </c>
      <c r="L961" s="16">
        <v>0</v>
      </c>
      <c r="M961" s="15">
        <v>0</v>
      </c>
      <c r="N961" s="15" t="str">
        <v/>
      </c>
      <c r="O961" s="15" t="str">
        <v/>
      </c>
      <c r="P961" s="22">
        <v>0</v>
      </c>
      <c r="Q961">
        <v>0</v>
      </c>
    </row>
    <row r="962" spans="1:17">
      <c r="A962" s="19">
        <v>0</v>
      </c>
      <c r="B962" s="19">
        <v>0</v>
      </c>
      <c r="C962" s="19">
        <v>0</v>
      </c>
      <c r="D962" s="19">
        <v>0</v>
      </c>
      <c r="E962" s="19">
        <v>0</v>
      </c>
      <c r="F962" s="19">
        <v>0</v>
      </c>
      <c r="G962" s="19">
        <v>0</v>
      </c>
      <c r="H962" s="19">
        <v>0</v>
      </c>
      <c r="I962" s="15">
        <v>3500</v>
      </c>
      <c r="J962" s="15">
        <v>0</v>
      </c>
      <c r="K962" s="15">
        <v>0</v>
      </c>
      <c r="L962" s="16">
        <v>0</v>
      </c>
      <c r="M962" s="15">
        <v>0</v>
      </c>
      <c r="N962" s="15" t="str">
        <v/>
      </c>
      <c r="O962" s="15" t="str">
        <v/>
      </c>
      <c r="P962" s="22">
        <v>0</v>
      </c>
      <c r="Q962">
        <v>0</v>
      </c>
    </row>
    <row r="963" spans="1:17">
      <c r="A963" s="19">
        <v>0</v>
      </c>
      <c r="B963" s="19">
        <v>0</v>
      </c>
      <c r="C963" s="19">
        <v>0</v>
      </c>
      <c r="D963" s="19">
        <v>0</v>
      </c>
      <c r="E963" s="19">
        <v>0</v>
      </c>
      <c r="F963" s="19">
        <v>0</v>
      </c>
      <c r="G963" s="19">
        <v>0</v>
      </c>
      <c r="H963" s="19">
        <v>0</v>
      </c>
      <c r="I963" s="15">
        <v>3500</v>
      </c>
      <c r="J963" s="15">
        <v>0</v>
      </c>
      <c r="K963" s="15">
        <v>0</v>
      </c>
      <c r="L963" s="16">
        <v>0</v>
      </c>
      <c r="M963" s="15">
        <v>0</v>
      </c>
      <c r="N963" s="15" t="str">
        <v/>
      </c>
      <c r="O963" s="15" t="str">
        <v/>
      </c>
      <c r="P963" s="22">
        <v>0</v>
      </c>
      <c r="Q963">
        <v>0</v>
      </c>
    </row>
    <row r="964" spans="1:17">
      <c r="A964" s="19">
        <v>0</v>
      </c>
      <c r="B964" s="19">
        <v>0</v>
      </c>
      <c r="C964" s="19">
        <v>0</v>
      </c>
      <c r="D964" s="19">
        <v>0</v>
      </c>
      <c r="E964" s="19">
        <v>0</v>
      </c>
      <c r="F964" s="19">
        <v>0</v>
      </c>
      <c r="G964" s="19">
        <v>0</v>
      </c>
      <c r="H964" s="19">
        <v>0</v>
      </c>
      <c r="I964" s="15">
        <v>3500</v>
      </c>
      <c r="J964" s="15">
        <v>0</v>
      </c>
      <c r="K964" s="15">
        <v>0</v>
      </c>
      <c r="L964" s="16">
        <v>0</v>
      </c>
      <c r="M964" s="15">
        <v>0</v>
      </c>
      <c r="N964" s="15" t="str">
        <v/>
      </c>
      <c r="O964" s="15" t="str">
        <v/>
      </c>
      <c r="P964" s="22">
        <v>0</v>
      </c>
      <c r="Q964">
        <v>0</v>
      </c>
    </row>
    <row r="965" spans="1:17">
      <c r="A965" s="19">
        <v>0</v>
      </c>
      <c r="B965" s="19">
        <v>0</v>
      </c>
      <c r="C965" s="19">
        <v>0</v>
      </c>
      <c r="D965" s="19">
        <v>0</v>
      </c>
      <c r="E965" s="19">
        <v>0</v>
      </c>
      <c r="F965" s="19">
        <v>0</v>
      </c>
      <c r="G965" s="19">
        <v>0</v>
      </c>
      <c r="H965" s="19">
        <v>0</v>
      </c>
      <c r="I965" s="15">
        <v>3500</v>
      </c>
      <c r="J965" s="15">
        <v>0</v>
      </c>
      <c r="K965" s="15">
        <v>0</v>
      </c>
      <c r="L965" s="16">
        <v>0</v>
      </c>
      <c r="M965" s="15">
        <v>0</v>
      </c>
      <c r="N965" s="15" t="str">
        <v/>
      </c>
      <c r="O965" s="15" t="str">
        <v/>
      </c>
      <c r="P965" s="22">
        <v>0</v>
      </c>
      <c r="Q965">
        <v>0</v>
      </c>
    </row>
    <row r="966" spans="1:17">
      <c r="A966" s="19">
        <v>0</v>
      </c>
      <c r="B966" s="19">
        <v>0</v>
      </c>
      <c r="C966" s="19">
        <v>0</v>
      </c>
      <c r="D966" s="19">
        <v>0</v>
      </c>
      <c r="E966" s="19">
        <v>0</v>
      </c>
      <c r="F966" s="19">
        <v>0</v>
      </c>
      <c r="G966" s="19">
        <v>0</v>
      </c>
      <c r="H966" s="19">
        <v>0</v>
      </c>
      <c r="I966" s="15">
        <v>3500</v>
      </c>
      <c r="J966" s="15">
        <v>0</v>
      </c>
      <c r="K966" s="15">
        <v>0</v>
      </c>
      <c r="L966" s="16">
        <v>0</v>
      </c>
      <c r="M966" s="15">
        <v>0</v>
      </c>
      <c r="N966" s="15" t="str">
        <v/>
      </c>
      <c r="O966" s="15" t="str">
        <v/>
      </c>
      <c r="P966" s="22">
        <v>0</v>
      </c>
      <c r="Q966">
        <v>0</v>
      </c>
    </row>
    <row r="967" spans="1:17">
      <c r="A967" s="19">
        <v>0</v>
      </c>
      <c r="B967" s="19">
        <v>0</v>
      </c>
      <c r="C967" s="19">
        <v>0</v>
      </c>
      <c r="D967" s="19">
        <v>0</v>
      </c>
      <c r="E967" s="19">
        <v>0</v>
      </c>
      <c r="F967" s="19">
        <v>0</v>
      </c>
      <c r="G967" s="19">
        <v>0</v>
      </c>
      <c r="H967" s="19">
        <v>0</v>
      </c>
      <c r="I967" s="15">
        <v>3500</v>
      </c>
      <c r="J967" s="15">
        <v>0</v>
      </c>
      <c r="K967" s="15">
        <v>0</v>
      </c>
      <c r="L967" s="16">
        <v>0</v>
      </c>
      <c r="M967" s="15">
        <v>0</v>
      </c>
      <c r="N967" s="15" t="str">
        <v/>
      </c>
      <c r="O967" s="15" t="str">
        <v/>
      </c>
      <c r="P967" s="22">
        <v>0</v>
      </c>
      <c r="Q967">
        <v>0</v>
      </c>
    </row>
    <row r="968" spans="1:17">
      <c r="A968" s="19">
        <v>0</v>
      </c>
      <c r="B968" s="19">
        <v>0</v>
      </c>
      <c r="C968" s="19">
        <v>0</v>
      </c>
      <c r="D968" s="19">
        <v>0</v>
      </c>
      <c r="E968" s="19">
        <v>0</v>
      </c>
      <c r="F968" s="19">
        <v>0</v>
      </c>
      <c r="G968" s="19">
        <v>0</v>
      </c>
      <c r="H968" s="19">
        <v>0</v>
      </c>
      <c r="I968" s="15">
        <v>3500</v>
      </c>
      <c r="J968" s="15">
        <v>0</v>
      </c>
      <c r="K968" s="15">
        <v>0</v>
      </c>
      <c r="L968" s="16">
        <v>0</v>
      </c>
      <c r="M968" s="15">
        <v>0</v>
      </c>
      <c r="N968" s="15" t="str">
        <v/>
      </c>
      <c r="O968" s="15" t="str">
        <v/>
      </c>
      <c r="P968" s="22">
        <v>0</v>
      </c>
      <c r="Q968">
        <v>0</v>
      </c>
    </row>
    <row r="969" spans="1:17">
      <c r="A969" s="19">
        <v>0</v>
      </c>
      <c r="B969" s="19">
        <v>0</v>
      </c>
      <c r="C969" s="19">
        <v>0</v>
      </c>
      <c r="D969" s="19">
        <v>0</v>
      </c>
      <c r="E969" s="19">
        <v>0</v>
      </c>
      <c r="F969" s="19">
        <v>0</v>
      </c>
      <c r="G969" s="19">
        <v>0</v>
      </c>
      <c r="H969" s="19">
        <v>0</v>
      </c>
      <c r="I969" s="15">
        <v>3500</v>
      </c>
      <c r="J969" s="15">
        <v>0</v>
      </c>
      <c r="K969" s="15">
        <v>0</v>
      </c>
      <c r="L969" s="16">
        <v>0</v>
      </c>
      <c r="M969" s="15">
        <v>0</v>
      </c>
      <c r="N969" s="15" t="str">
        <v/>
      </c>
      <c r="O969" s="15" t="str">
        <v/>
      </c>
      <c r="P969" s="22">
        <v>0</v>
      </c>
      <c r="Q969">
        <v>0</v>
      </c>
    </row>
    <row r="970" spans="1:17">
      <c r="A970" s="19">
        <v>0</v>
      </c>
      <c r="B970" s="19">
        <v>0</v>
      </c>
      <c r="C970" s="19">
        <v>0</v>
      </c>
      <c r="D970" s="19">
        <v>0</v>
      </c>
      <c r="E970" s="19">
        <v>0</v>
      </c>
      <c r="F970" s="19">
        <v>0</v>
      </c>
      <c r="G970" s="19">
        <v>0</v>
      </c>
      <c r="H970" s="19">
        <v>0</v>
      </c>
      <c r="I970" s="15">
        <v>3500</v>
      </c>
      <c r="J970" s="15">
        <v>0</v>
      </c>
      <c r="K970" s="15">
        <v>0</v>
      </c>
      <c r="L970" s="16">
        <v>0</v>
      </c>
      <c r="M970" s="15">
        <v>0</v>
      </c>
      <c r="N970" s="15" t="str">
        <v/>
      </c>
      <c r="O970" s="15" t="str">
        <v/>
      </c>
      <c r="P970" s="22">
        <v>0</v>
      </c>
      <c r="Q970">
        <v>0</v>
      </c>
    </row>
    <row r="971" spans="1:17">
      <c r="A971" s="19">
        <v>0</v>
      </c>
      <c r="B971" s="19">
        <v>0</v>
      </c>
      <c r="C971" s="19">
        <v>0</v>
      </c>
      <c r="D971" s="19">
        <v>0</v>
      </c>
      <c r="E971" s="19">
        <v>0</v>
      </c>
      <c r="F971" s="19">
        <v>0</v>
      </c>
      <c r="G971" s="19">
        <v>0</v>
      </c>
      <c r="H971" s="19">
        <v>0</v>
      </c>
      <c r="I971" s="15">
        <v>3500</v>
      </c>
      <c r="J971" s="15">
        <v>0</v>
      </c>
      <c r="K971" s="15">
        <v>0</v>
      </c>
      <c r="L971" s="16">
        <v>0</v>
      </c>
      <c r="M971" s="15">
        <v>0</v>
      </c>
      <c r="N971" s="15" t="str">
        <v/>
      </c>
      <c r="O971" s="15" t="str">
        <v/>
      </c>
      <c r="P971" s="22">
        <v>0</v>
      </c>
      <c r="Q971">
        <v>0</v>
      </c>
    </row>
    <row r="972" spans="1:17">
      <c r="A972" s="19">
        <v>0</v>
      </c>
      <c r="B972" s="19">
        <v>0</v>
      </c>
      <c r="C972" s="19">
        <v>0</v>
      </c>
      <c r="D972" s="19">
        <v>0</v>
      </c>
      <c r="E972" s="19">
        <v>0</v>
      </c>
      <c r="F972" s="19">
        <v>0</v>
      </c>
      <c r="G972" s="19">
        <v>0</v>
      </c>
      <c r="H972" s="19">
        <v>0</v>
      </c>
      <c r="I972" s="15">
        <v>3500</v>
      </c>
      <c r="J972" s="15">
        <v>0</v>
      </c>
      <c r="K972" s="15">
        <v>0</v>
      </c>
      <c r="L972" s="16">
        <v>0</v>
      </c>
      <c r="M972" s="15">
        <v>0</v>
      </c>
      <c r="N972" s="15" t="str">
        <v/>
      </c>
      <c r="O972" s="15" t="str">
        <v/>
      </c>
      <c r="P972" s="22">
        <v>0</v>
      </c>
      <c r="Q972">
        <v>0</v>
      </c>
    </row>
    <row r="973" spans="1:17">
      <c r="A973" s="19">
        <v>0</v>
      </c>
      <c r="B973" s="19">
        <v>0</v>
      </c>
      <c r="C973" s="19">
        <v>0</v>
      </c>
      <c r="D973" s="19">
        <v>0</v>
      </c>
      <c r="E973" s="19">
        <v>0</v>
      </c>
      <c r="F973" s="19">
        <v>0</v>
      </c>
      <c r="G973" s="19">
        <v>0</v>
      </c>
      <c r="H973" s="19">
        <v>0</v>
      </c>
      <c r="I973" s="15">
        <v>3500</v>
      </c>
      <c r="J973" s="15">
        <v>0</v>
      </c>
      <c r="K973" s="15">
        <v>0</v>
      </c>
      <c r="L973" s="16">
        <v>0</v>
      </c>
      <c r="M973" s="15">
        <v>0</v>
      </c>
      <c r="N973" s="15" t="str">
        <v/>
      </c>
      <c r="O973" s="15" t="str">
        <v/>
      </c>
      <c r="P973" s="22">
        <v>0</v>
      </c>
      <c r="Q973">
        <v>0</v>
      </c>
    </row>
    <row r="974" spans="1:17">
      <c r="A974" s="19">
        <v>0</v>
      </c>
      <c r="B974" s="19">
        <v>0</v>
      </c>
      <c r="C974" s="19">
        <v>0</v>
      </c>
      <c r="D974" s="19">
        <v>0</v>
      </c>
      <c r="E974" s="19">
        <v>0</v>
      </c>
      <c r="F974" s="19">
        <v>0</v>
      </c>
      <c r="G974" s="19">
        <v>0</v>
      </c>
      <c r="H974" s="19">
        <v>0</v>
      </c>
      <c r="I974" s="15">
        <v>3500</v>
      </c>
      <c r="J974" s="15">
        <v>0</v>
      </c>
      <c r="K974" s="15">
        <v>0</v>
      </c>
      <c r="L974" s="16">
        <v>0</v>
      </c>
      <c r="M974" s="15">
        <v>0</v>
      </c>
      <c r="N974" s="15" t="str">
        <v/>
      </c>
      <c r="O974" s="15" t="str">
        <v/>
      </c>
      <c r="P974" s="22">
        <v>0</v>
      </c>
      <c r="Q974">
        <v>0</v>
      </c>
    </row>
    <row r="975" spans="1:17">
      <c r="A975" s="19">
        <v>0</v>
      </c>
      <c r="B975" s="19">
        <v>0</v>
      </c>
      <c r="C975" s="19">
        <v>0</v>
      </c>
      <c r="D975" s="19">
        <v>0</v>
      </c>
      <c r="E975" s="19">
        <v>0</v>
      </c>
      <c r="F975" s="19">
        <v>0</v>
      </c>
      <c r="G975" s="19">
        <v>0</v>
      </c>
      <c r="H975" s="19">
        <v>0</v>
      </c>
      <c r="I975" s="15">
        <v>3500</v>
      </c>
      <c r="J975" s="15">
        <v>0</v>
      </c>
      <c r="K975" s="15">
        <v>0</v>
      </c>
      <c r="L975" s="16">
        <v>0</v>
      </c>
      <c r="M975" s="15">
        <v>0</v>
      </c>
      <c r="N975" s="15" t="str">
        <v/>
      </c>
      <c r="O975" s="15" t="str">
        <v/>
      </c>
      <c r="P975" s="22">
        <v>0</v>
      </c>
      <c r="Q975">
        <v>0</v>
      </c>
    </row>
    <row r="976" spans="1:17">
      <c r="A976" s="19">
        <v>0</v>
      </c>
      <c r="B976" s="19">
        <v>0</v>
      </c>
      <c r="C976" s="19">
        <v>0</v>
      </c>
      <c r="D976" s="19">
        <v>0</v>
      </c>
      <c r="E976" s="19">
        <v>0</v>
      </c>
      <c r="F976" s="19">
        <v>0</v>
      </c>
      <c r="G976" s="19">
        <v>0</v>
      </c>
      <c r="H976" s="19">
        <v>0</v>
      </c>
      <c r="I976" s="15">
        <v>3500</v>
      </c>
      <c r="J976" s="15">
        <v>0</v>
      </c>
      <c r="K976" s="15">
        <v>0</v>
      </c>
      <c r="L976" s="16">
        <v>0</v>
      </c>
      <c r="M976" s="15">
        <v>0</v>
      </c>
      <c r="N976" s="15" t="str">
        <v/>
      </c>
      <c r="O976" s="15" t="str">
        <v/>
      </c>
      <c r="P976" s="22">
        <v>0</v>
      </c>
      <c r="Q976">
        <v>0</v>
      </c>
    </row>
    <row r="977" spans="1:17">
      <c r="A977" s="19">
        <v>0</v>
      </c>
      <c r="B977" s="19">
        <v>0</v>
      </c>
      <c r="C977" s="19">
        <v>0</v>
      </c>
      <c r="D977" s="19">
        <v>0</v>
      </c>
      <c r="E977" s="19">
        <v>0</v>
      </c>
      <c r="F977" s="19">
        <v>0</v>
      </c>
      <c r="G977" s="19">
        <v>0</v>
      </c>
      <c r="H977" s="19">
        <v>0</v>
      </c>
      <c r="I977" s="15">
        <v>3500</v>
      </c>
      <c r="J977" s="15">
        <v>0</v>
      </c>
      <c r="K977" s="15">
        <v>0</v>
      </c>
      <c r="L977" s="16">
        <v>0</v>
      </c>
      <c r="M977" s="15">
        <v>0</v>
      </c>
      <c r="N977" s="15" t="str">
        <v/>
      </c>
      <c r="O977" s="15" t="str">
        <v/>
      </c>
      <c r="P977" s="22">
        <v>0</v>
      </c>
      <c r="Q977">
        <v>0</v>
      </c>
    </row>
    <row r="978" spans="1:17">
      <c r="A978" s="19">
        <v>0</v>
      </c>
      <c r="B978" s="19">
        <v>0</v>
      </c>
      <c r="C978" s="19">
        <v>0</v>
      </c>
      <c r="D978" s="19">
        <v>0</v>
      </c>
      <c r="E978" s="19">
        <v>0</v>
      </c>
      <c r="F978" s="19">
        <v>0</v>
      </c>
      <c r="G978" s="19">
        <v>0</v>
      </c>
      <c r="H978" s="19">
        <v>0</v>
      </c>
      <c r="I978" s="15">
        <v>3500</v>
      </c>
      <c r="J978" s="15">
        <v>0</v>
      </c>
      <c r="K978" s="15">
        <v>0</v>
      </c>
      <c r="L978" s="16">
        <v>0</v>
      </c>
      <c r="M978" s="15">
        <v>0</v>
      </c>
      <c r="N978" s="15" t="str">
        <v/>
      </c>
      <c r="O978" s="15" t="str">
        <v/>
      </c>
      <c r="P978" s="22">
        <v>0</v>
      </c>
      <c r="Q978">
        <v>0</v>
      </c>
    </row>
    <row r="979" spans="1:17">
      <c r="A979" s="19">
        <v>0</v>
      </c>
      <c r="B979" s="19">
        <v>0</v>
      </c>
      <c r="C979" s="19">
        <v>0</v>
      </c>
      <c r="D979" s="19">
        <v>0</v>
      </c>
      <c r="E979" s="19">
        <v>0</v>
      </c>
      <c r="F979" s="19">
        <v>0</v>
      </c>
      <c r="G979" s="19">
        <v>0</v>
      </c>
      <c r="H979" s="19">
        <v>0</v>
      </c>
      <c r="I979" s="15">
        <v>3500</v>
      </c>
      <c r="J979" s="15">
        <v>0</v>
      </c>
      <c r="K979" s="15">
        <v>0</v>
      </c>
      <c r="L979" s="16">
        <v>0</v>
      </c>
      <c r="M979" s="15">
        <v>0</v>
      </c>
      <c r="N979" s="15" t="str">
        <v/>
      </c>
      <c r="O979" s="15" t="str">
        <v/>
      </c>
      <c r="P979" s="22">
        <v>0</v>
      </c>
      <c r="Q979">
        <v>0</v>
      </c>
    </row>
    <row r="980" spans="1:17">
      <c r="A980" s="19">
        <v>0</v>
      </c>
      <c r="B980" s="19">
        <v>0</v>
      </c>
      <c r="C980" s="19">
        <v>0</v>
      </c>
      <c r="D980" s="19">
        <v>0</v>
      </c>
      <c r="E980" s="19">
        <v>0</v>
      </c>
      <c r="F980" s="19">
        <v>0</v>
      </c>
      <c r="G980" s="19">
        <v>0</v>
      </c>
      <c r="H980" s="19">
        <v>0</v>
      </c>
      <c r="I980" s="15">
        <v>3500</v>
      </c>
      <c r="J980" s="15">
        <v>0</v>
      </c>
      <c r="K980" s="15">
        <v>0</v>
      </c>
      <c r="L980" s="16">
        <v>0</v>
      </c>
      <c r="M980" s="15">
        <v>0</v>
      </c>
      <c r="N980" s="15" t="str">
        <v/>
      </c>
      <c r="O980" s="15" t="str">
        <v/>
      </c>
      <c r="P980" s="22">
        <v>0</v>
      </c>
      <c r="Q980">
        <v>0</v>
      </c>
    </row>
    <row r="981" spans="1:17">
      <c r="A981" s="19">
        <v>0</v>
      </c>
      <c r="B981" s="19">
        <v>0</v>
      </c>
      <c r="C981" s="19">
        <v>0</v>
      </c>
      <c r="D981" s="19">
        <v>0</v>
      </c>
      <c r="E981" s="19">
        <v>0</v>
      </c>
      <c r="F981" s="19">
        <v>0</v>
      </c>
      <c r="G981" s="19">
        <v>0</v>
      </c>
      <c r="H981" s="19">
        <v>0</v>
      </c>
      <c r="I981" s="15">
        <v>3500</v>
      </c>
      <c r="J981" s="15">
        <v>0</v>
      </c>
      <c r="K981" s="15">
        <v>0</v>
      </c>
      <c r="L981" s="16">
        <v>0</v>
      </c>
      <c r="M981" s="15">
        <v>0</v>
      </c>
      <c r="N981" s="15" t="str">
        <v/>
      </c>
      <c r="O981" s="15" t="str">
        <v/>
      </c>
      <c r="P981" s="22">
        <v>0</v>
      </c>
      <c r="Q981">
        <v>0</v>
      </c>
    </row>
    <row r="982" spans="1:17">
      <c r="A982" s="19">
        <v>0</v>
      </c>
      <c r="B982" s="19">
        <v>0</v>
      </c>
      <c r="C982" s="19">
        <v>0</v>
      </c>
      <c r="D982" s="19">
        <v>0</v>
      </c>
      <c r="E982" s="19">
        <v>0</v>
      </c>
      <c r="F982" s="19">
        <v>0</v>
      </c>
      <c r="G982" s="19">
        <v>0</v>
      </c>
      <c r="H982" s="19">
        <v>0</v>
      </c>
      <c r="I982" s="15">
        <v>3500</v>
      </c>
      <c r="J982" s="15">
        <v>0</v>
      </c>
      <c r="K982" s="15">
        <v>0</v>
      </c>
      <c r="L982" s="16">
        <v>0</v>
      </c>
      <c r="M982" s="15">
        <v>0</v>
      </c>
      <c r="N982" s="15" t="str">
        <v/>
      </c>
      <c r="O982" s="15" t="str">
        <v/>
      </c>
      <c r="P982" s="22">
        <v>0</v>
      </c>
      <c r="Q982">
        <v>0</v>
      </c>
    </row>
    <row r="983" spans="1:17">
      <c r="A983" s="19">
        <v>0</v>
      </c>
      <c r="B983" s="19">
        <v>0</v>
      </c>
      <c r="C983" s="19">
        <v>0</v>
      </c>
      <c r="D983" s="19">
        <v>0</v>
      </c>
      <c r="E983" s="19">
        <v>0</v>
      </c>
      <c r="F983" s="19">
        <v>0</v>
      </c>
      <c r="G983" s="19">
        <v>0</v>
      </c>
      <c r="H983" s="19">
        <v>0</v>
      </c>
      <c r="I983" s="15">
        <v>3500</v>
      </c>
      <c r="J983" s="15">
        <v>0</v>
      </c>
      <c r="K983" s="15">
        <v>0</v>
      </c>
      <c r="L983" s="16">
        <v>0</v>
      </c>
      <c r="M983" s="15">
        <v>0</v>
      </c>
      <c r="N983" s="15" t="str">
        <v/>
      </c>
      <c r="O983" s="15" t="str">
        <v/>
      </c>
      <c r="P983" s="22">
        <v>0</v>
      </c>
      <c r="Q983">
        <v>0</v>
      </c>
    </row>
    <row r="984" spans="1:17">
      <c r="A984" s="19">
        <v>0</v>
      </c>
      <c r="B984" s="19">
        <v>0</v>
      </c>
      <c r="C984" s="19">
        <v>0</v>
      </c>
      <c r="D984" s="19">
        <v>0</v>
      </c>
      <c r="E984" s="19">
        <v>0</v>
      </c>
      <c r="F984" s="19">
        <v>0</v>
      </c>
      <c r="G984" s="19">
        <v>0</v>
      </c>
      <c r="H984" s="19">
        <v>0</v>
      </c>
      <c r="I984" s="15">
        <v>3500</v>
      </c>
      <c r="J984" s="15">
        <v>0</v>
      </c>
      <c r="K984" s="15">
        <v>0</v>
      </c>
      <c r="L984" s="16">
        <v>0</v>
      </c>
      <c r="M984" s="15">
        <v>0</v>
      </c>
      <c r="N984" s="15" t="str">
        <v/>
      </c>
      <c r="O984" s="15" t="str">
        <v/>
      </c>
      <c r="P984" s="22">
        <v>0</v>
      </c>
      <c r="Q984">
        <v>0</v>
      </c>
    </row>
    <row r="985" spans="1:17">
      <c r="A985" s="19">
        <v>0</v>
      </c>
      <c r="B985" s="19">
        <v>0</v>
      </c>
      <c r="C985" s="19">
        <v>0</v>
      </c>
      <c r="D985" s="19">
        <v>0</v>
      </c>
      <c r="E985" s="19">
        <v>0</v>
      </c>
      <c r="F985" s="19">
        <v>0</v>
      </c>
      <c r="G985" s="19">
        <v>0</v>
      </c>
      <c r="H985" s="19">
        <v>0</v>
      </c>
      <c r="I985" s="15">
        <v>3500</v>
      </c>
      <c r="J985" s="15">
        <v>0</v>
      </c>
      <c r="K985" s="15">
        <v>0</v>
      </c>
      <c r="L985" s="16">
        <v>0</v>
      </c>
      <c r="M985" s="15">
        <v>0</v>
      </c>
      <c r="N985" s="15" t="str">
        <v/>
      </c>
      <c r="O985" s="15" t="str">
        <v/>
      </c>
      <c r="P985" s="22">
        <v>0</v>
      </c>
      <c r="Q985">
        <v>0</v>
      </c>
    </row>
    <row r="986" spans="1:17">
      <c r="A986" s="19">
        <v>0</v>
      </c>
      <c r="B986" s="19">
        <v>0</v>
      </c>
      <c r="C986" s="19">
        <v>0</v>
      </c>
      <c r="D986" s="19">
        <v>0</v>
      </c>
      <c r="E986" s="19">
        <v>0</v>
      </c>
      <c r="F986" s="19">
        <v>0</v>
      </c>
      <c r="G986" s="19">
        <v>0</v>
      </c>
      <c r="H986" s="19">
        <v>0</v>
      </c>
      <c r="I986" s="15">
        <v>3500</v>
      </c>
      <c r="J986" s="15">
        <v>0</v>
      </c>
      <c r="K986" s="15">
        <v>0</v>
      </c>
      <c r="L986" s="16">
        <v>0</v>
      </c>
      <c r="M986" s="15">
        <v>0</v>
      </c>
      <c r="N986" s="15" t="str">
        <v/>
      </c>
      <c r="O986" s="15" t="str">
        <v/>
      </c>
      <c r="P986" s="22">
        <v>0</v>
      </c>
      <c r="Q986">
        <v>0</v>
      </c>
    </row>
    <row r="987" spans="1:17">
      <c r="A987" s="19">
        <v>0</v>
      </c>
      <c r="B987" s="19">
        <v>0</v>
      </c>
      <c r="C987" s="19">
        <v>0</v>
      </c>
      <c r="D987" s="19">
        <v>0</v>
      </c>
      <c r="E987" s="19">
        <v>0</v>
      </c>
      <c r="F987" s="19">
        <v>0</v>
      </c>
      <c r="G987" s="19">
        <v>0</v>
      </c>
      <c r="H987" s="19">
        <v>0</v>
      </c>
      <c r="I987" s="15">
        <v>3500</v>
      </c>
      <c r="J987" s="15">
        <v>0</v>
      </c>
      <c r="K987" s="15">
        <v>0</v>
      </c>
      <c r="L987" s="16">
        <v>0</v>
      </c>
      <c r="M987" s="15">
        <v>0</v>
      </c>
      <c r="N987" s="15" t="str">
        <v/>
      </c>
      <c r="O987" s="15" t="str">
        <v/>
      </c>
      <c r="P987" s="22">
        <v>0</v>
      </c>
      <c r="Q987">
        <v>0</v>
      </c>
    </row>
    <row r="988" spans="1:17">
      <c r="A988" s="19">
        <v>0</v>
      </c>
      <c r="B988" s="19">
        <v>0</v>
      </c>
      <c r="C988" s="19">
        <v>0</v>
      </c>
      <c r="D988" s="19">
        <v>0</v>
      </c>
      <c r="E988" s="19">
        <v>0</v>
      </c>
      <c r="F988" s="19">
        <v>0</v>
      </c>
      <c r="G988" s="19">
        <v>0</v>
      </c>
      <c r="H988" s="19">
        <v>0</v>
      </c>
      <c r="I988" s="15">
        <v>3500</v>
      </c>
      <c r="J988" s="15">
        <v>0</v>
      </c>
      <c r="K988" s="15">
        <v>0</v>
      </c>
      <c r="L988" s="16">
        <v>0</v>
      </c>
      <c r="M988" s="15">
        <v>0</v>
      </c>
      <c r="N988" s="15" t="str">
        <v/>
      </c>
      <c r="O988" s="15" t="str">
        <v/>
      </c>
      <c r="P988" s="22">
        <v>0</v>
      </c>
      <c r="Q988">
        <v>0</v>
      </c>
    </row>
    <row r="989" spans="1:17">
      <c r="A989" s="19">
        <v>0</v>
      </c>
      <c r="B989" s="19">
        <v>0</v>
      </c>
      <c r="C989" s="19">
        <v>0</v>
      </c>
      <c r="D989" s="19">
        <v>0</v>
      </c>
      <c r="E989" s="19">
        <v>0</v>
      </c>
      <c r="F989" s="19">
        <v>0</v>
      </c>
      <c r="G989" s="19">
        <v>0</v>
      </c>
      <c r="H989" s="19">
        <v>0</v>
      </c>
      <c r="I989" s="15">
        <v>3500</v>
      </c>
      <c r="J989" s="15">
        <v>0</v>
      </c>
      <c r="K989" s="15">
        <v>0</v>
      </c>
      <c r="L989" s="16">
        <v>0</v>
      </c>
      <c r="M989" s="15">
        <v>0</v>
      </c>
      <c r="N989" s="15" t="str">
        <v/>
      </c>
      <c r="O989" s="15" t="str">
        <v/>
      </c>
      <c r="P989" s="22">
        <v>0</v>
      </c>
      <c r="Q989">
        <v>0</v>
      </c>
    </row>
    <row r="990" spans="1:17">
      <c r="A990" s="19">
        <v>0</v>
      </c>
      <c r="B990" s="19">
        <v>0</v>
      </c>
      <c r="C990" s="19">
        <v>0</v>
      </c>
      <c r="D990" s="19">
        <v>0</v>
      </c>
      <c r="E990" s="19">
        <v>0</v>
      </c>
      <c r="F990" s="19">
        <v>0</v>
      </c>
      <c r="G990" s="19">
        <v>0</v>
      </c>
      <c r="H990" s="19">
        <v>0</v>
      </c>
      <c r="I990" s="15">
        <v>3500</v>
      </c>
      <c r="J990" s="15">
        <v>0</v>
      </c>
      <c r="K990" s="15">
        <v>0</v>
      </c>
      <c r="L990" s="16">
        <v>0</v>
      </c>
      <c r="M990" s="15">
        <v>0</v>
      </c>
      <c r="N990" s="15" t="str">
        <v/>
      </c>
      <c r="O990" s="15" t="str">
        <v/>
      </c>
      <c r="P990" s="22">
        <v>0</v>
      </c>
      <c r="Q990">
        <v>0</v>
      </c>
    </row>
    <row r="991" spans="1:17">
      <c r="A991" s="19">
        <v>0</v>
      </c>
      <c r="B991" s="19">
        <v>0</v>
      </c>
      <c r="C991" s="19">
        <v>0</v>
      </c>
      <c r="D991" s="19">
        <v>0</v>
      </c>
      <c r="E991" s="19">
        <v>0</v>
      </c>
      <c r="F991" s="19">
        <v>0</v>
      </c>
      <c r="G991" s="19">
        <v>0</v>
      </c>
      <c r="H991" s="19">
        <v>0</v>
      </c>
      <c r="I991" s="15">
        <v>3500</v>
      </c>
      <c r="J991" s="15">
        <v>0</v>
      </c>
      <c r="K991" s="15">
        <v>0</v>
      </c>
      <c r="L991" s="16">
        <v>0</v>
      </c>
      <c r="M991" s="15">
        <v>0</v>
      </c>
      <c r="N991" s="15" t="str">
        <v/>
      </c>
      <c r="O991" s="15" t="str">
        <v/>
      </c>
      <c r="P991" s="22">
        <v>0</v>
      </c>
      <c r="Q991">
        <v>0</v>
      </c>
    </row>
    <row r="992" spans="1:17">
      <c r="A992" s="19">
        <v>0</v>
      </c>
      <c r="B992" s="19">
        <v>0</v>
      </c>
      <c r="C992" s="19">
        <v>0</v>
      </c>
      <c r="D992" s="19">
        <v>0</v>
      </c>
      <c r="E992" s="19">
        <v>0</v>
      </c>
      <c r="F992" s="19">
        <v>0</v>
      </c>
      <c r="G992" s="19">
        <v>0</v>
      </c>
      <c r="H992" s="19">
        <v>0</v>
      </c>
      <c r="I992" s="15">
        <v>3500</v>
      </c>
      <c r="J992" s="15">
        <v>0</v>
      </c>
      <c r="K992" s="15">
        <v>0</v>
      </c>
      <c r="L992" s="16">
        <v>0</v>
      </c>
      <c r="M992" s="15">
        <v>0</v>
      </c>
      <c r="N992" s="15" t="str">
        <v/>
      </c>
      <c r="O992" s="15" t="str">
        <v/>
      </c>
      <c r="P992" s="22">
        <v>0</v>
      </c>
      <c r="Q992">
        <v>0</v>
      </c>
    </row>
    <row r="993" spans="1:17">
      <c r="A993" s="19">
        <v>0</v>
      </c>
      <c r="B993" s="19">
        <v>0</v>
      </c>
      <c r="C993" s="19">
        <v>0</v>
      </c>
      <c r="D993" s="19">
        <v>0</v>
      </c>
      <c r="E993" s="19">
        <v>0</v>
      </c>
      <c r="F993" s="19">
        <v>0</v>
      </c>
      <c r="G993" s="19">
        <v>0</v>
      </c>
      <c r="H993" s="19">
        <v>0</v>
      </c>
      <c r="I993" s="15">
        <v>3500</v>
      </c>
      <c r="J993" s="15">
        <v>0</v>
      </c>
      <c r="K993" s="15">
        <v>0</v>
      </c>
      <c r="L993" s="16">
        <v>0</v>
      </c>
      <c r="M993" s="15">
        <v>0</v>
      </c>
      <c r="N993" s="15" t="str">
        <v/>
      </c>
      <c r="O993" s="15" t="str">
        <v/>
      </c>
      <c r="P993" s="22">
        <v>0</v>
      </c>
      <c r="Q993">
        <v>0</v>
      </c>
    </row>
    <row r="994" spans="1:17">
      <c r="A994" s="19">
        <v>0</v>
      </c>
      <c r="B994" s="19">
        <v>0</v>
      </c>
      <c r="C994" s="19">
        <v>0</v>
      </c>
      <c r="D994" s="19">
        <v>0</v>
      </c>
      <c r="E994" s="19">
        <v>0</v>
      </c>
      <c r="F994" s="19">
        <v>0</v>
      </c>
      <c r="G994" s="19">
        <v>0</v>
      </c>
      <c r="H994" s="19">
        <v>0</v>
      </c>
      <c r="I994" s="15">
        <v>3500</v>
      </c>
      <c r="J994" s="15">
        <v>0</v>
      </c>
      <c r="K994" s="15">
        <v>0</v>
      </c>
      <c r="L994" s="16">
        <v>0</v>
      </c>
      <c r="M994" s="15">
        <v>0</v>
      </c>
      <c r="N994" s="15" t="str">
        <v/>
      </c>
      <c r="O994" s="15" t="str">
        <v/>
      </c>
      <c r="P994" s="22">
        <v>0</v>
      </c>
      <c r="Q994">
        <v>0</v>
      </c>
    </row>
    <row r="995" spans="1:17">
      <c r="A995" s="19">
        <v>0</v>
      </c>
      <c r="B995" s="19">
        <v>0</v>
      </c>
      <c r="C995" s="19">
        <v>0</v>
      </c>
      <c r="D995" s="19">
        <v>0</v>
      </c>
      <c r="E995" s="19">
        <v>0</v>
      </c>
      <c r="F995" s="19">
        <v>0</v>
      </c>
      <c r="G995" s="19">
        <v>0</v>
      </c>
      <c r="H995" s="19">
        <v>0</v>
      </c>
      <c r="I995" s="15">
        <v>3500</v>
      </c>
      <c r="J995" s="15">
        <v>0</v>
      </c>
      <c r="K995" s="15">
        <v>0</v>
      </c>
      <c r="L995" s="16">
        <v>0</v>
      </c>
      <c r="M995" s="15">
        <v>0</v>
      </c>
      <c r="N995" s="15" t="str">
        <v/>
      </c>
      <c r="O995" s="15" t="str">
        <v/>
      </c>
      <c r="P995" s="22">
        <v>0</v>
      </c>
      <c r="Q995">
        <v>0</v>
      </c>
    </row>
    <row r="996" spans="1:17">
      <c r="A996" s="19">
        <v>0</v>
      </c>
      <c r="B996" s="19">
        <v>0</v>
      </c>
      <c r="C996" s="19">
        <v>0</v>
      </c>
      <c r="D996" s="19">
        <v>0</v>
      </c>
      <c r="E996" s="19">
        <v>0</v>
      </c>
      <c r="F996" s="19">
        <v>0</v>
      </c>
      <c r="G996" s="19">
        <v>0</v>
      </c>
      <c r="H996" s="19">
        <v>0</v>
      </c>
      <c r="I996" s="15">
        <v>3500</v>
      </c>
      <c r="J996" s="15">
        <v>0</v>
      </c>
      <c r="K996" s="15">
        <v>0</v>
      </c>
      <c r="L996" s="16">
        <v>0</v>
      </c>
      <c r="M996" s="15">
        <v>0</v>
      </c>
      <c r="N996" s="15" t="str">
        <v/>
      </c>
      <c r="O996" s="15" t="str">
        <v/>
      </c>
      <c r="P996" s="22">
        <v>0</v>
      </c>
      <c r="Q996">
        <v>0</v>
      </c>
    </row>
    <row r="997" spans="1:17">
      <c r="A997" s="19">
        <v>0</v>
      </c>
      <c r="B997" s="19">
        <v>0</v>
      </c>
      <c r="C997" s="19">
        <v>0</v>
      </c>
      <c r="D997" s="19">
        <v>0</v>
      </c>
      <c r="E997" s="19">
        <v>0</v>
      </c>
      <c r="F997" s="19">
        <v>0</v>
      </c>
      <c r="G997" s="19">
        <v>0</v>
      </c>
      <c r="H997" s="19">
        <v>0</v>
      </c>
      <c r="I997" s="15">
        <v>3500</v>
      </c>
      <c r="J997" s="15">
        <v>0</v>
      </c>
      <c r="K997" s="15">
        <v>0</v>
      </c>
      <c r="L997" s="15">
        <v>0</v>
      </c>
      <c r="M997" s="15">
        <v>0</v>
      </c>
      <c r="N997" s="15" t="str">
        <v/>
      </c>
      <c r="O997" s="15" t="str">
        <v/>
      </c>
      <c r="P997" s="22">
        <v>0</v>
      </c>
      <c r="Q997">
        <v>0</v>
      </c>
    </row>
    <row r="998" spans="1:17">
      <c r="A998" s="19">
        <v>0</v>
      </c>
      <c r="B998" s="19">
        <v>0</v>
      </c>
      <c r="C998" s="19">
        <v>0</v>
      </c>
      <c r="D998" s="19">
        <v>0</v>
      </c>
      <c r="E998" s="19">
        <v>0</v>
      </c>
      <c r="F998" s="19">
        <v>0</v>
      </c>
      <c r="G998" s="19">
        <v>0</v>
      </c>
      <c r="H998" s="19">
        <v>0</v>
      </c>
      <c r="I998" s="15">
        <v>3500</v>
      </c>
      <c r="J998" s="15">
        <v>0</v>
      </c>
      <c r="K998" s="15">
        <v>0</v>
      </c>
      <c r="L998" s="15">
        <v>0</v>
      </c>
      <c r="M998" s="15">
        <v>0</v>
      </c>
      <c r="N998" s="15" t="str">
        <v/>
      </c>
      <c r="O998" s="15" t="str">
        <v/>
      </c>
      <c r="P998" s="22">
        <v>0</v>
      </c>
      <c r="Q998">
        <v>0</v>
      </c>
    </row>
    <row r="999" spans="1:17">
      <c r="A999" s="19">
        <v>0</v>
      </c>
      <c r="B999" s="19">
        <v>0</v>
      </c>
      <c r="C999" s="19">
        <v>0</v>
      </c>
      <c r="D999" s="19">
        <v>0</v>
      </c>
      <c r="E999" s="19">
        <v>0</v>
      </c>
      <c r="F999" s="19">
        <v>0</v>
      </c>
      <c r="G999" s="19">
        <v>0</v>
      </c>
      <c r="H999" s="19">
        <v>0</v>
      </c>
      <c r="I999" s="15">
        <v>3500</v>
      </c>
      <c r="J999" s="15">
        <v>0</v>
      </c>
      <c r="K999" s="15">
        <v>0</v>
      </c>
      <c r="L999" s="15">
        <v>0</v>
      </c>
      <c r="M999" s="15">
        <v>0</v>
      </c>
      <c r="N999" s="15" t="str">
        <v/>
      </c>
      <c r="O999" s="15" t="str">
        <v/>
      </c>
      <c r="P999" s="22">
        <v>0</v>
      </c>
      <c r="Q999">
        <v>0</v>
      </c>
    </row>
    <row r="1000" spans="1:17">
      <c r="A1000" s="19">
        <v>0</v>
      </c>
      <c r="B1000" s="19">
        <v>0</v>
      </c>
      <c r="C1000" s="19">
        <v>0</v>
      </c>
      <c r="D1000" s="19">
        <v>0</v>
      </c>
      <c r="E1000" s="19">
        <v>0</v>
      </c>
      <c r="F1000" s="19">
        <v>0</v>
      </c>
      <c r="G1000" s="19">
        <v>0</v>
      </c>
      <c r="H1000" s="19">
        <v>0</v>
      </c>
      <c r="I1000" s="15">
        <v>3500</v>
      </c>
      <c r="J1000" s="15">
        <v>0</v>
      </c>
      <c r="K1000" s="15">
        <v>0</v>
      </c>
      <c r="L1000" s="15">
        <v>0</v>
      </c>
      <c r="M1000" s="15">
        <v>0</v>
      </c>
      <c r="N1000" s="15" t="str">
        <v/>
      </c>
      <c r="O1000" s="15" t="str">
        <v/>
      </c>
      <c r="P1000" s="22">
        <v>0</v>
      </c>
      <c r="Q1000">
        <v>0</v>
      </c>
    </row>
    <row r="1001" spans="1:17">
      <c r="A1001" s="19">
        <v>0</v>
      </c>
      <c r="B1001" s="19">
        <v>0</v>
      </c>
      <c r="C1001" s="19">
        <v>0</v>
      </c>
      <c r="D1001" s="19">
        <v>0</v>
      </c>
      <c r="E1001" s="19">
        <v>0</v>
      </c>
      <c r="F1001" s="19">
        <v>0</v>
      </c>
      <c r="G1001" s="19">
        <v>0</v>
      </c>
      <c r="H1001" s="19">
        <v>0</v>
      </c>
      <c r="I1001" s="15">
        <v>3500</v>
      </c>
      <c r="J1001" s="15">
        <v>0</v>
      </c>
      <c r="K1001" s="15">
        <v>0</v>
      </c>
      <c r="L1001" s="15">
        <v>0</v>
      </c>
      <c r="M1001" s="15">
        <v>0</v>
      </c>
      <c r="N1001" s="15" t="str">
        <v/>
      </c>
      <c r="O1001" s="15" t="str">
        <v/>
      </c>
      <c r="P1001" s="22">
        <v>0</v>
      </c>
      <c r="Q1001">
        <v>0</v>
      </c>
    </row>
    <row r="1002" spans="1:17">
      <c r="A1002" s="19">
        <v>0</v>
      </c>
      <c r="B1002" s="19">
        <v>0</v>
      </c>
      <c r="C1002" s="19">
        <v>0</v>
      </c>
      <c r="D1002" s="19">
        <v>0</v>
      </c>
      <c r="E1002" s="19">
        <v>0</v>
      </c>
      <c r="F1002" s="19">
        <v>0</v>
      </c>
      <c r="G1002" s="19">
        <v>0</v>
      </c>
      <c r="H1002" s="19">
        <v>0</v>
      </c>
      <c r="I1002" s="15">
        <v>3500</v>
      </c>
      <c r="J1002" s="15">
        <v>0</v>
      </c>
      <c r="K1002" s="15">
        <v>0</v>
      </c>
      <c r="L1002" s="15">
        <v>0</v>
      </c>
      <c r="M1002" s="15">
        <v>0</v>
      </c>
      <c r="N1002" s="15" t="str">
        <v/>
      </c>
      <c r="O1002" s="15" t="str">
        <v/>
      </c>
      <c r="P1002" s="22">
        <v>0</v>
      </c>
      <c r="Q1002">
        <v>0</v>
      </c>
    </row>
    <row r="1003" spans="1:17">
      <c r="A1003" s="19">
        <v>0</v>
      </c>
      <c r="B1003" s="19">
        <v>0</v>
      </c>
      <c r="C1003" s="19">
        <v>0</v>
      </c>
      <c r="D1003" s="19">
        <v>0</v>
      </c>
      <c r="E1003" s="19">
        <v>0</v>
      </c>
      <c r="F1003" s="19">
        <v>0</v>
      </c>
      <c r="G1003" s="19">
        <v>0</v>
      </c>
      <c r="H1003" s="19">
        <v>0</v>
      </c>
      <c r="I1003" s="15">
        <v>3500</v>
      </c>
      <c r="J1003" s="15">
        <v>0</v>
      </c>
      <c r="K1003" s="15">
        <v>0</v>
      </c>
      <c r="L1003" s="15">
        <v>0</v>
      </c>
      <c r="M1003" s="15">
        <v>0</v>
      </c>
      <c r="N1003" s="15" t="str">
        <v/>
      </c>
      <c r="O1003" s="15" t="str">
        <v/>
      </c>
      <c r="P1003" s="22">
        <v>0</v>
      </c>
      <c r="Q1003">
        <v>0</v>
      </c>
    </row>
    <row r="1004" spans="1:17">
      <c r="A1004" s="19">
        <v>0</v>
      </c>
      <c r="B1004" s="19">
        <v>0</v>
      </c>
      <c r="C1004" s="19">
        <v>0</v>
      </c>
      <c r="D1004" s="19">
        <v>0</v>
      </c>
      <c r="E1004" s="19">
        <v>0</v>
      </c>
      <c r="F1004" s="19">
        <v>0</v>
      </c>
      <c r="G1004" s="19">
        <v>0</v>
      </c>
      <c r="H1004" s="19">
        <v>0</v>
      </c>
      <c r="I1004" s="15">
        <v>3500</v>
      </c>
      <c r="J1004" s="15">
        <v>0</v>
      </c>
      <c r="K1004" s="15">
        <v>0</v>
      </c>
      <c r="L1004" s="15">
        <v>0</v>
      </c>
      <c r="M1004" s="15">
        <v>0</v>
      </c>
      <c r="N1004" s="15" t="str">
        <v/>
      </c>
      <c r="O1004" s="15" t="str">
        <v/>
      </c>
      <c r="P1004" s="22">
        <v>0</v>
      </c>
      <c r="Q1004">
        <v>0</v>
      </c>
    </row>
    <row r="1005" spans="1:17">
      <c r="A1005" s="19">
        <v>0</v>
      </c>
      <c r="B1005" s="19">
        <v>0</v>
      </c>
      <c r="C1005" s="19">
        <v>0</v>
      </c>
      <c r="D1005" s="19">
        <v>0</v>
      </c>
      <c r="E1005" s="19">
        <v>0</v>
      </c>
      <c r="F1005" s="19">
        <v>0</v>
      </c>
      <c r="G1005" s="19">
        <v>0</v>
      </c>
      <c r="H1005" s="19">
        <v>0</v>
      </c>
      <c r="I1005" s="15">
        <v>3500</v>
      </c>
      <c r="J1005" s="15">
        <v>0</v>
      </c>
      <c r="K1005" s="15">
        <v>0</v>
      </c>
      <c r="L1005" s="15">
        <v>0</v>
      </c>
      <c r="M1005" s="15">
        <v>0</v>
      </c>
      <c r="N1005" s="15" t="str">
        <v/>
      </c>
      <c r="O1005" s="15" t="str">
        <v/>
      </c>
      <c r="P1005" s="22">
        <v>0</v>
      </c>
      <c r="Q1005">
        <v>0</v>
      </c>
    </row>
    <row r="1006" spans="1:17">
      <c r="A1006" s="19">
        <v>0</v>
      </c>
      <c r="B1006" s="19">
        <v>0</v>
      </c>
      <c r="C1006" s="19">
        <v>0</v>
      </c>
      <c r="D1006" s="19">
        <v>0</v>
      </c>
      <c r="E1006" s="19">
        <v>0</v>
      </c>
      <c r="F1006" s="19">
        <v>0</v>
      </c>
      <c r="G1006" s="19">
        <v>0</v>
      </c>
      <c r="H1006" s="19">
        <v>0</v>
      </c>
      <c r="I1006" s="15">
        <v>3500</v>
      </c>
      <c r="J1006" s="15">
        <v>0</v>
      </c>
      <c r="K1006" s="15">
        <v>0</v>
      </c>
      <c r="L1006" s="15">
        <v>0</v>
      </c>
      <c r="M1006" s="15">
        <v>0</v>
      </c>
      <c r="N1006" s="15" t="str">
        <v/>
      </c>
      <c r="O1006" s="15" t="str">
        <v/>
      </c>
      <c r="P1006" s="22">
        <v>0</v>
      </c>
      <c r="Q1006">
        <v>0</v>
      </c>
    </row>
    <row r="1007" spans="1:17">
      <c r="A1007" s="19">
        <v>0</v>
      </c>
      <c r="B1007" s="19">
        <v>0</v>
      </c>
      <c r="C1007" s="19">
        <v>0</v>
      </c>
      <c r="D1007" s="19">
        <v>0</v>
      </c>
      <c r="E1007" s="19">
        <v>0</v>
      </c>
      <c r="F1007" s="19">
        <v>0</v>
      </c>
      <c r="G1007" s="19">
        <v>0</v>
      </c>
      <c r="H1007" s="19">
        <v>0</v>
      </c>
      <c r="I1007" s="15">
        <v>3500</v>
      </c>
      <c r="J1007" s="15">
        <v>0</v>
      </c>
      <c r="K1007" s="15">
        <v>0</v>
      </c>
      <c r="L1007" s="15">
        <v>0</v>
      </c>
      <c r="M1007" s="15">
        <v>0</v>
      </c>
      <c r="N1007" s="15" t="str">
        <v/>
      </c>
      <c r="O1007" s="15" t="str">
        <v/>
      </c>
      <c r="P1007" s="22">
        <v>0</v>
      </c>
      <c r="Q1007">
        <v>0</v>
      </c>
    </row>
    <row r="1008" spans="1:17">
      <c r="A1008" s="19">
        <v>0</v>
      </c>
      <c r="B1008" s="19">
        <v>0</v>
      </c>
      <c r="C1008" s="19">
        <v>0</v>
      </c>
      <c r="D1008" s="19">
        <v>0</v>
      </c>
      <c r="E1008" s="19">
        <v>0</v>
      </c>
      <c r="F1008" s="19">
        <v>0</v>
      </c>
      <c r="G1008" s="19">
        <v>0</v>
      </c>
      <c r="H1008" s="19">
        <v>0</v>
      </c>
      <c r="I1008" s="15">
        <v>3500</v>
      </c>
      <c r="J1008" s="15">
        <v>0</v>
      </c>
      <c r="K1008" s="15">
        <v>0</v>
      </c>
      <c r="L1008" s="15">
        <v>0</v>
      </c>
      <c r="M1008" s="15">
        <v>0</v>
      </c>
      <c r="N1008" s="15" t="str">
        <v/>
      </c>
      <c r="O1008" s="15" t="str">
        <v/>
      </c>
      <c r="P1008" s="22">
        <v>0</v>
      </c>
      <c r="Q1008">
        <v>0</v>
      </c>
    </row>
    <row r="1009" spans="1:17">
      <c r="A1009" s="19">
        <v>0</v>
      </c>
      <c r="B1009" s="19">
        <v>0</v>
      </c>
      <c r="C1009" s="19">
        <v>0</v>
      </c>
      <c r="D1009" s="19">
        <v>0</v>
      </c>
      <c r="E1009" s="19">
        <v>0</v>
      </c>
      <c r="F1009" s="19">
        <v>0</v>
      </c>
      <c r="G1009" s="19">
        <v>0</v>
      </c>
      <c r="H1009" s="19">
        <v>0</v>
      </c>
      <c r="I1009" s="15">
        <v>3500</v>
      </c>
      <c r="J1009" s="15">
        <v>0</v>
      </c>
      <c r="K1009" s="15">
        <v>0</v>
      </c>
      <c r="L1009" s="15">
        <v>0</v>
      </c>
      <c r="M1009" s="15">
        <v>0</v>
      </c>
      <c r="N1009" s="15" t="str">
        <v/>
      </c>
      <c r="O1009" s="15" t="str">
        <v/>
      </c>
      <c r="P1009" s="22">
        <v>0</v>
      </c>
      <c r="Q1009">
        <v>0</v>
      </c>
    </row>
    <row r="1010" spans="1:17">
      <c r="A1010" s="19">
        <v>0</v>
      </c>
      <c r="B1010" s="19">
        <v>0</v>
      </c>
      <c r="C1010" s="19">
        <v>0</v>
      </c>
      <c r="D1010" s="19">
        <v>0</v>
      </c>
      <c r="E1010" s="19">
        <v>0</v>
      </c>
      <c r="F1010" s="19">
        <v>0</v>
      </c>
      <c r="G1010" s="19">
        <v>0</v>
      </c>
      <c r="H1010" s="19">
        <v>0</v>
      </c>
      <c r="I1010" s="15">
        <v>3500</v>
      </c>
      <c r="J1010" s="15">
        <v>0</v>
      </c>
      <c r="K1010" s="15">
        <v>0</v>
      </c>
      <c r="L1010" s="15">
        <v>0</v>
      </c>
      <c r="M1010" s="15">
        <v>0</v>
      </c>
      <c r="N1010" s="15" t="str">
        <v/>
      </c>
      <c r="O1010" s="15" t="str">
        <v/>
      </c>
      <c r="P1010" s="22">
        <v>0</v>
      </c>
      <c r="Q1010">
        <v>0</v>
      </c>
    </row>
    <row r="1011" spans="1:17">
      <c r="A1011" s="19">
        <v>0</v>
      </c>
      <c r="B1011" s="19">
        <v>0</v>
      </c>
      <c r="C1011" s="19">
        <v>0</v>
      </c>
      <c r="D1011" s="19">
        <v>0</v>
      </c>
      <c r="E1011" s="19">
        <v>0</v>
      </c>
      <c r="F1011" s="19">
        <v>0</v>
      </c>
      <c r="G1011" s="19">
        <v>0</v>
      </c>
      <c r="H1011" s="19">
        <v>0</v>
      </c>
      <c r="I1011" s="15">
        <v>3500</v>
      </c>
      <c r="J1011" s="15">
        <v>0</v>
      </c>
      <c r="K1011" s="15">
        <v>0</v>
      </c>
      <c r="L1011" s="15">
        <v>0</v>
      </c>
      <c r="M1011" s="15">
        <v>0</v>
      </c>
      <c r="N1011" s="15" t="str">
        <v/>
      </c>
      <c r="O1011" s="15" t="str">
        <v/>
      </c>
      <c r="P1011" s="22">
        <v>0</v>
      </c>
      <c r="Q1011">
        <v>0</v>
      </c>
    </row>
    <row r="1012" spans="1:17">
      <c r="A1012" s="19">
        <v>0</v>
      </c>
      <c r="B1012" s="19">
        <v>0</v>
      </c>
      <c r="C1012" s="19">
        <v>0</v>
      </c>
      <c r="D1012" s="19">
        <v>0</v>
      </c>
      <c r="E1012" s="19">
        <v>0</v>
      </c>
      <c r="F1012" s="19">
        <v>0</v>
      </c>
      <c r="G1012" s="19">
        <v>0</v>
      </c>
      <c r="H1012" s="19">
        <v>0</v>
      </c>
      <c r="I1012" s="15">
        <v>3500</v>
      </c>
      <c r="J1012" s="15">
        <v>0</v>
      </c>
      <c r="K1012" s="15">
        <v>0</v>
      </c>
      <c r="L1012" s="15">
        <v>0</v>
      </c>
      <c r="M1012" s="15">
        <v>0</v>
      </c>
      <c r="N1012" s="15" t="str">
        <v/>
      </c>
      <c r="O1012" s="15" t="str">
        <v/>
      </c>
      <c r="P1012" s="22">
        <v>0</v>
      </c>
      <c r="Q1012">
        <v>0</v>
      </c>
    </row>
    <row r="1013" spans="1:17">
      <c r="A1013" s="19">
        <v>0</v>
      </c>
      <c r="B1013" s="19">
        <v>0</v>
      </c>
      <c r="C1013" s="19">
        <v>0</v>
      </c>
      <c r="D1013" s="19">
        <v>0</v>
      </c>
      <c r="E1013" s="19">
        <v>0</v>
      </c>
      <c r="F1013" s="19">
        <v>0</v>
      </c>
      <c r="G1013" s="19">
        <v>0</v>
      </c>
      <c r="H1013" s="19">
        <v>0</v>
      </c>
      <c r="I1013" s="15">
        <v>3500</v>
      </c>
      <c r="J1013" s="15">
        <v>0</v>
      </c>
      <c r="K1013" s="15">
        <v>0</v>
      </c>
      <c r="L1013" s="15">
        <v>0</v>
      </c>
      <c r="M1013" s="15">
        <v>0</v>
      </c>
      <c r="N1013" s="15" t="str">
        <v/>
      </c>
      <c r="O1013" s="15" t="str">
        <v/>
      </c>
      <c r="P1013" s="22">
        <v>0</v>
      </c>
      <c r="Q1013">
        <v>0</v>
      </c>
    </row>
    <row r="1014" spans="1:17">
      <c r="A1014" s="19">
        <v>0</v>
      </c>
      <c r="B1014" s="19">
        <v>0</v>
      </c>
      <c r="C1014" s="19">
        <v>0</v>
      </c>
      <c r="D1014" s="19">
        <v>0</v>
      </c>
      <c r="E1014" s="19">
        <v>0</v>
      </c>
      <c r="F1014" s="19">
        <v>0</v>
      </c>
      <c r="G1014" s="19">
        <v>0</v>
      </c>
      <c r="H1014" s="19">
        <v>0</v>
      </c>
      <c r="I1014" s="15">
        <v>3500</v>
      </c>
      <c r="J1014" s="15">
        <v>0</v>
      </c>
      <c r="K1014" s="15">
        <v>0</v>
      </c>
      <c r="L1014" s="15">
        <v>0</v>
      </c>
      <c r="M1014" s="15">
        <v>0</v>
      </c>
      <c r="N1014" s="15" t="str">
        <v/>
      </c>
      <c r="O1014" s="15" t="str">
        <v/>
      </c>
      <c r="P1014" s="22">
        <v>0</v>
      </c>
      <c r="Q1014">
        <v>0</v>
      </c>
    </row>
    <row r="1015" spans="1:17">
      <c r="A1015" s="19">
        <v>0</v>
      </c>
      <c r="B1015" s="19">
        <v>0</v>
      </c>
      <c r="C1015" s="19">
        <v>0</v>
      </c>
      <c r="D1015" s="19">
        <v>0</v>
      </c>
      <c r="E1015" s="19">
        <v>0</v>
      </c>
      <c r="F1015" s="19">
        <v>0</v>
      </c>
      <c r="G1015" s="19">
        <v>0</v>
      </c>
      <c r="H1015" s="19">
        <v>0</v>
      </c>
      <c r="I1015" s="15">
        <v>3500</v>
      </c>
      <c r="J1015" s="15">
        <v>0</v>
      </c>
      <c r="K1015" s="15">
        <v>0</v>
      </c>
      <c r="L1015" s="15">
        <v>0</v>
      </c>
      <c r="M1015" s="15">
        <v>0</v>
      </c>
      <c r="N1015" s="15" t="str">
        <v/>
      </c>
      <c r="O1015" s="15" t="str">
        <v/>
      </c>
      <c r="P1015" s="22">
        <v>0</v>
      </c>
      <c r="Q1015">
        <v>0</v>
      </c>
    </row>
    <row r="1016" spans="1:17">
      <c r="A1016" s="19">
        <v>0</v>
      </c>
      <c r="B1016" s="19">
        <v>0</v>
      </c>
      <c r="C1016" s="19">
        <v>0</v>
      </c>
      <c r="D1016" s="19">
        <v>0</v>
      </c>
      <c r="E1016" s="19">
        <v>0</v>
      </c>
      <c r="F1016" s="19">
        <v>0</v>
      </c>
      <c r="G1016" s="19">
        <v>0</v>
      </c>
      <c r="H1016" s="19">
        <v>0</v>
      </c>
      <c r="I1016" s="15">
        <v>3500</v>
      </c>
      <c r="J1016" s="15">
        <v>0</v>
      </c>
      <c r="K1016" s="15">
        <v>0</v>
      </c>
      <c r="L1016" s="15">
        <v>0</v>
      </c>
      <c r="M1016" s="15">
        <v>0</v>
      </c>
      <c r="N1016" s="15" t="str">
        <v/>
      </c>
      <c r="O1016" s="15" t="str">
        <v/>
      </c>
      <c r="P1016" s="22">
        <v>0</v>
      </c>
      <c r="Q1016">
        <v>0</v>
      </c>
    </row>
    <row r="1017" spans="1:17">
      <c r="A1017" s="19">
        <v>0</v>
      </c>
      <c r="B1017" s="19">
        <v>0</v>
      </c>
      <c r="C1017" s="19">
        <v>0</v>
      </c>
      <c r="D1017" s="19">
        <v>0</v>
      </c>
      <c r="E1017" s="19">
        <v>0</v>
      </c>
      <c r="F1017" s="19">
        <v>0</v>
      </c>
      <c r="G1017" s="19">
        <v>0</v>
      </c>
      <c r="H1017" s="19">
        <v>0</v>
      </c>
      <c r="I1017" s="15">
        <v>3500</v>
      </c>
      <c r="J1017" s="15">
        <v>0</v>
      </c>
      <c r="K1017" s="15">
        <v>0</v>
      </c>
      <c r="L1017" s="15">
        <v>0</v>
      </c>
      <c r="M1017" s="15">
        <v>0</v>
      </c>
      <c r="N1017" s="15" t="str">
        <v/>
      </c>
      <c r="O1017" s="15" t="str">
        <v/>
      </c>
      <c r="P1017" s="22">
        <v>0</v>
      </c>
      <c r="Q1017">
        <v>0</v>
      </c>
    </row>
    <row r="1018" spans="1:17">
      <c r="A1018" s="19">
        <v>0</v>
      </c>
      <c r="B1018" s="19">
        <v>0</v>
      </c>
      <c r="C1018" s="19">
        <v>0</v>
      </c>
      <c r="D1018" s="19">
        <v>0</v>
      </c>
      <c r="E1018" s="19">
        <v>0</v>
      </c>
      <c r="F1018" s="19">
        <v>0</v>
      </c>
      <c r="G1018" s="19">
        <v>0</v>
      </c>
      <c r="H1018" s="19">
        <v>0</v>
      </c>
      <c r="I1018" s="15">
        <v>3500</v>
      </c>
      <c r="J1018" s="15">
        <v>0</v>
      </c>
      <c r="K1018" s="15">
        <v>0</v>
      </c>
      <c r="L1018" s="15">
        <v>0</v>
      </c>
      <c r="M1018" s="15">
        <v>0</v>
      </c>
      <c r="N1018" s="15" t="str">
        <v/>
      </c>
      <c r="O1018" s="15" t="str">
        <v/>
      </c>
      <c r="P1018" s="22">
        <v>0</v>
      </c>
      <c r="Q1018">
        <v>0</v>
      </c>
    </row>
    <row r="1019" spans="1:17">
      <c r="A1019" s="19">
        <v>0</v>
      </c>
      <c r="B1019" s="19">
        <v>0</v>
      </c>
      <c r="C1019" s="19">
        <v>0</v>
      </c>
      <c r="D1019" s="19">
        <v>0</v>
      </c>
      <c r="E1019" s="19">
        <v>0</v>
      </c>
      <c r="F1019" s="19">
        <v>0</v>
      </c>
      <c r="G1019" s="19">
        <v>0</v>
      </c>
      <c r="H1019" s="19">
        <v>0</v>
      </c>
      <c r="I1019" s="15">
        <v>3500</v>
      </c>
      <c r="J1019" s="15">
        <v>0</v>
      </c>
      <c r="K1019" s="15">
        <v>0</v>
      </c>
      <c r="L1019" s="15">
        <v>0</v>
      </c>
      <c r="M1019" s="15">
        <v>0</v>
      </c>
      <c r="N1019" s="15" t="str">
        <v/>
      </c>
      <c r="O1019" s="15" t="str">
        <v/>
      </c>
      <c r="P1019" s="22">
        <v>0</v>
      </c>
      <c r="Q1019">
        <v>0</v>
      </c>
    </row>
    <row r="1020" spans="1:17">
      <c r="A1020" s="19">
        <v>0</v>
      </c>
      <c r="B1020" s="19">
        <v>0</v>
      </c>
      <c r="C1020" s="19">
        <v>0</v>
      </c>
      <c r="D1020" s="19">
        <v>0</v>
      </c>
      <c r="E1020" s="19">
        <v>0</v>
      </c>
      <c r="F1020" s="19">
        <v>0</v>
      </c>
      <c r="G1020" s="19">
        <v>0</v>
      </c>
      <c r="H1020" s="19">
        <v>0</v>
      </c>
      <c r="I1020" s="15">
        <v>3500</v>
      </c>
      <c r="J1020" s="15">
        <v>0</v>
      </c>
      <c r="K1020" s="15">
        <v>0</v>
      </c>
      <c r="L1020" s="15">
        <v>0</v>
      </c>
      <c r="M1020" s="15">
        <v>0</v>
      </c>
      <c r="N1020" s="15" t="str">
        <v/>
      </c>
      <c r="O1020" s="15" t="str">
        <v/>
      </c>
      <c r="P1020" s="22">
        <v>0</v>
      </c>
      <c r="Q1020">
        <v>0</v>
      </c>
    </row>
    <row r="1021" spans="1:17">
      <c r="A1021" s="19">
        <v>0</v>
      </c>
      <c r="B1021" s="19">
        <v>0</v>
      </c>
      <c r="C1021" s="19">
        <v>0</v>
      </c>
      <c r="D1021" s="19">
        <v>0</v>
      </c>
      <c r="E1021" s="19">
        <v>0</v>
      </c>
      <c r="F1021" s="19">
        <v>0</v>
      </c>
      <c r="G1021" s="19">
        <v>0</v>
      </c>
      <c r="H1021" s="19">
        <v>0</v>
      </c>
      <c r="I1021" s="15">
        <v>3500</v>
      </c>
      <c r="J1021" s="15">
        <v>0</v>
      </c>
      <c r="K1021" s="15">
        <v>0</v>
      </c>
      <c r="L1021" s="15">
        <v>0</v>
      </c>
      <c r="M1021" s="15">
        <v>0</v>
      </c>
      <c r="N1021" s="15" t="str">
        <v/>
      </c>
      <c r="O1021" s="15" t="str">
        <v/>
      </c>
      <c r="P1021" s="22">
        <v>0</v>
      </c>
      <c r="Q1021">
        <v>0</v>
      </c>
    </row>
    <row r="1022" spans="1:17">
      <c r="A1022" s="19">
        <v>0</v>
      </c>
      <c r="B1022" s="19">
        <v>0</v>
      </c>
      <c r="C1022" s="19">
        <v>0</v>
      </c>
      <c r="D1022" s="19">
        <v>0</v>
      </c>
      <c r="E1022" s="19">
        <v>0</v>
      </c>
      <c r="F1022" s="19">
        <v>0</v>
      </c>
      <c r="G1022" s="19">
        <v>0</v>
      </c>
      <c r="H1022" s="19">
        <v>0</v>
      </c>
      <c r="I1022" s="15">
        <v>3500</v>
      </c>
      <c r="J1022" s="15">
        <v>0</v>
      </c>
      <c r="K1022" s="15">
        <v>0</v>
      </c>
      <c r="L1022" s="15">
        <v>0</v>
      </c>
      <c r="M1022" s="15">
        <v>0</v>
      </c>
      <c r="N1022" s="15" t="str">
        <v/>
      </c>
      <c r="O1022" s="15" t="str">
        <v/>
      </c>
      <c r="P1022" s="22">
        <v>0</v>
      </c>
      <c r="Q1022">
        <v>0</v>
      </c>
    </row>
    <row r="1023" spans="1:17">
      <c r="A1023" s="19">
        <v>0</v>
      </c>
      <c r="B1023" s="19">
        <v>0</v>
      </c>
      <c r="C1023" s="19">
        <v>0</v>
      </c>
      <c r="D1023" s="19">
        <v>0</v>
      </c>
      <c r="E1023" s="19">
        <v>0</v>
      </c>
      <c r="F1023" s="19">
        <v>0</v>
      </c>
      <c r="G1023" s="19">
        <v>0</v>
      </c>
      <c r="H1023" s="19">
        <v>0</v>
      </c>
      <c r="I1023" s="15">
        <v>3500</v>
      </c>
      <c r="J1023" s="15">
        <v>0</v>
      </c>
      <c r="K1023" s="15">
        <v>0</v>
      </c>
      <c r="L1023" s="15">
        <v>0</v>
      </c>
      <c r="M1023" s="15">
        <v>0</v>
      </c>
      <c r="N1023" s="15" t="str">
        <v/>
      </c>
      <c r="O1023" s="15" t="str">
        <v/>
      </c>
      <c r="P1023" s="22">
        <v>0</v>
      </c>
      <c r="Q1023">
        <v>0</v>
      </c>
    </row>
    <row r="1024" spans="1:17">
      <c r="A1024" s="19">
        <v>0</v>
      </c>
      <c r="B1024" s="19">
        <v>0</v>
      </c>
      <c r="C1024" s="19">
        <v>0</v>
      </c>
      <c r="D1024" s="19">
        <v>0</v>
      </c>
      <c r="E1024" s="19">
        <v>0</v>
      </c>
      <c r="F1024" s="19">
        <v>0</v>
      </c>
      <c r="G1024" s="19">
        <v>0</v>
      </c>
      <c r="H1024" s="19">
        <v>0</v>
      </c>
      <c r="I1024" s="15">
        <v>3500</v>
      </c>
      <c r="J1024" s="15">
        <v>0</v>
      </c>
      <c r="K1024" s="15">
        <v>0</v>
      </c>
      <c r="L1024" s="15">
        <v>0</v>
      </c>
      <c r="M1024" s="15">
        <v>0</v>
      </c>
      <c r="N1024" s="15" t="str">
        <v/>
      </c>
      <c r="O1024" s="15" t="str">
        <v/>
      </c>
      <c r="P1024" s="22">
        <v>0</v>
      </c>
      <c r="Q1024">
        <v>0</v>
      </c>
    </row>
    <row r="1025" spans="1:17">
      <c r="A1025" s="19">
        <v>0</v>
      </c>
      <c r="B1025" s="19">
        <v>0</v>
      </c>
      <c r="C1025" s="19">
        <v>0</v>
      </c>
      <c r="D1025" s="19">
        <v>0</v>
      </c>
      <c r="E1025" s="19">
        <v>0</v>
      </c>
      <c r="F1025" s="19">
        <v>0</v>
      </c>
      <c r="G1025" s="19">
        <v>0</v>
      </c>
      <c r="H1025" s="19">
        <v>0</v>
      </c>
      <c r="I1025" s="15">
        <v>3500</v>
      </c>
      <c r="J1025" s="15">
        <v>0</v>
      </c>
      <c r="K1025" s="15">
        <v>0</v>
      </c>
      <c r="L1025" s="15">
        <v>0</v>
      </c>
      <c r="M1025" s="15">
        <v>0</v>
      </c>
      <c r="N1025" s="15" t="str">
        <v/>
      </c>
      <c r="O1025" s="15" t="str">
        <v/>
      </c>
      <c r="P1025" s="22">
        <v>0</v>
      </c>
      <c r="Q1025">
        <v>0</v>
      </c>
    </row>
    <row r="1026" spans="1:17">
      <c r="A1026" s="19">
        <v>0</v>
      </c>
      <c r="B1026" s="19">
        <v>0</v>
      </c>
      <c r="C1026" s="19">
        <v>0</v>
      </c>
      <c r="D1026" s="19">
        <v>0</v>
      </c>
      <c r="E1026" s="19">
        <v>0</v>
      </c>
      <c r="F1026" s="19">
        <v>0</v>
      </c>
      <c r="G1026" s="19">
        <v>0</v>
      </c>
      <c r="H1026" s="19">
        <v>0</v>
      </c>
      <c r="I1026" s="15">
        <v>3500</v>
      </c>
      <c r="J1026" s="15">
        <v>0</v>
      </c>
      <c r="K1026" s="15">
        <v>0</v>
      </c>
      <c r="L1026" s="15">
        <v>0</v>
      </c>
      <c r="M1026" s="15">
        <v>0</v>
      </c>
      <c r="N1026" s="15" t="str">
        <v/>
      </c>
      <c r="O1026" s="15" t="str">
        <v/>
      </c>
      <c r="P1026" s="22">
        <v>0</v>
      </c>
      <c r="Q1026">
        <v>0</v>
      </c>
    </row>
    <row r="1027" spans="1:17">
      <c r="A1027" s="19">
        <v>0</v>
      </c>
      <c r="B1027" s="19">
        <v>0</v>
      </c>
      <c r="C1027" s="19">
        <v>0</v>
      </c>
      <c r="D1027" s="19">
        <v>0</v>
      </c>
      <c r="E1027" s="19">
        <v>0</v>
      </c>
      <c r="F1027" s="19">
        <v>0</v>
      </c>
      <c r="G1027" s="19">
        <v>0</v>
      </c>
      <c r="H1027" s="19">
        <v>0</v>
      </c>
      <c r="I1027" s="15">
        <v>3500</v>
      </c>
      <c r="J1027" s="15">
        <v>0</v>
      </c>
      <c r="K1027" s="15">
        <v>0</v>
      </c>
      <c r="L1027" s="15">
        <v>0</v>
      </c>
      <c r="M1027" s="15">
        <v>0</v>
      </c>
      <c r="N1027" s="15" t="str">
        <v/>
      </c>
      <c r="O1027" s="15" t="str">
        <v/>
      </c>
      <c r="P1027" s="22">
        <v>0</v>
      </c>
      <c r="Q1027">
        <v>0</v>
      </c>
    </row>
    <row r="1028" spans="1:17">
      <c r="A1028" s="19">
        <v>0</v>
      </c>
      <c r="B1028" s="19">
        <v>0</v>
      </c>
      <c r="C1028" s="19">
        <v>0</v>
      </c>
      <c r="D1028" s="19">
        <v>0</v>
      </c>
      <c r="E1028" s="19">
        <v>0</v>
      </c>
      <c r="F1028" s="19">
        <v>0</v>
      </c>
      <c r="G1028" s="19">
        <v>0</v>
      </c>
      <c r="H1028" s="19">
        <v>0</v>
      </c>
      <c r="I1028" s="15">
        <v>3500</v>
      </c>
      <c r="J1028" s="15">
        <v>0</v>
      </c>
      <c r="K1028" s="15">
        <v>0</v>
      </c>
      <c r="L1028" s="15">
        <v>0</v>
      </c>
      <c r="M1028" s="15">
        <v>0</v>
      </c>
      <c r="N1028" s="15" t="str">
        <v/>
      </c>
      <c r="O1028" s="15" t="str">
        <v/>
      </c>
      <c r="P1028" s="22">
        <v>0</v>
      </c>
      <c r="Q1028">
        <v>0</v>
      </c>
    </row>
    <row r="1029" spans="1:17">
      <c r="A1029" s="19">
        <v>0</v>
      </c>
      <c r="B1029" s="19">
        <v>0</v>
      </c>
      <c r="C1029" s="19">
        <v>0</v>
      </c>
      <c r="D1029" s="19">
        <v>0</v>
      </c>
      <c r="E1029" s="19">
        <v>0</v>
      </c>
      <c r="F1029" s="19">
        <v>0</v>
      </c>
      <c r="G1029" s="19">
        <v>0</v>
      </c>
      <c r="H1029" s="19">
        <v>0</v>
      </c>
      <c r="I1029" s="15">
        <v>3500</v>
      </c>
      <c r="J1029" s="15">
        <v>0</v>
      </c>
      <c r="K1029" s="15">
        <v>0</v>
      </c>
      <c r="L1029" s="15">
        <v>0</v>
      </c>
      <c r="M1029" s="15">
        <v>0</v>
      </c>
      <c r="N1029" s="15" t="str">
        <v/>
      </c>
      <c r="O1029" s="15" t="str">
        <v/>
      </c>
      <c r="P1029" s="22">
        <v>0</v>
      </c>
      <c r="Q1029">
        <v>0</v>
      </c>
    </row>
    <row r="1030" spans="1:17">
      <c r="A1030" s="19">
        <v>0</v>
      </c>
      <c r="B1030" s="19">
        <v>0</v>
      </c>
      <c r="C1030" s="19">
        <v>0</v>
      </c>
      <c r="D1030" s="19">
        <v>0</v>
      </c>
      <c r="E1030" s="19">
        <v>0</v>
      </c>
      <c r="F1030" s="19">
        <v>0</v>
      </c>
      <c r="G1030" s="19">
        <v>0</v>
      </c>
      <c r="H1030" s="19">
        <v>0</v>
      </c>
      <c r="I1030" s="15">
        <v>3500</v>
      </c>
      <c r="J1030" s="15">
        <v>0</v>
      </c>
      <c r="K1030" s="15">
        <v>0</v>
      </c>
      <c r="L1030" s="15">
        <v>0</v>
      </c>
      <c r="M1030" s="15">
        <v>0</v>
      </c>
      <c r="N1030" s="15" t="str">
        <v/>
      </c>
      <c r="O1030" s="15" t="str">
        <v/>
      </c>
      <c r="P1030" s="22">
        <v>0</v>
      </c>
      <c r="Q1030">
        <v>0</v>
      </c>
    </row>
    <row r="1031" spans="1:17">
      <c r="A1031" s="19">
        <v>0</v>
      </c>
      <c r="B1031" s="19">
        <v>0</v>
      </c>
      <c r="C1031" s="19">
        <v>0</v>
      </c>
      <c r="D1031" s="19">
        <v>0</v>
      </c>
      <c r="E1031" s="19">
        <v>0</v>
      </c>
      <c r="F1031" s="19">
        <v>0</v>
      </c>
      <c r="G1031" s="19">
        <v>0</v>
      </c>
      <c r="H1031" s="19">
        <v>0</v>
      </c>
      <c r="I1031" s="15">
        <v>3500</v>
      </c>
      <c r="J1031" s="15">
        <v>0</v>
      </c>
      <c r="K1031" s="15">
        <v>0</v>
      </c>
      <c r="L1031" s="15">
        <v>0</v>
      </c>
      <c r="M1031" s="15">
        <v>0</v>
      </c>
      <c r="N1031" s="15" t="str">
        <v/>
      </c>
      <c r="O1031" s="15" t="str">
        <v/>
      </c>
      <c r="P1031" s="22">
        <v>0</v>
      </c>
      <c r="Q1031">
        <v>0</v>
      </c>
    </row>
    <row r="1032" spans="1:17">
      <c r="A1032" s="19">
        <v>0</v>
      </c>
      <c r="B1032" s="19">
        <v>0</v>
      </c>
      <c r="C1032" s="19">
        <v>0</v>
      </c>
      <c r="D1032" s="19">
        <v>0</v>
      </c>
      <c r="E1032" s="19">
        <v>0</v>
      </c>
      <c r="F1032" s="19">
        <v>0</v>
      </c>
      <c r="G1032" s="19">
        <v>0</v>
      </c>
      <c r="H1032" s="19">
        <v>0</v>
      </c>
      <c r="I1032" s="15">
        <v>3500</v>
      </c>
      <c r="J1032" s="15">
        <v>0</v>
      </c>
      <c r="K1032" s="15">
        <v>0</v>
      </c>
      <c r="L1032" s="15">
        <v>0</v>
      </c>
      <c r="M1032" s="15">
        <v>0</v>
      </c>
      <c r="N1032" s="15" t="str">
        <v/>
      </c>
      <c r="O1032" s="15" t="str">
        <v/>
      </c>
      <c r="P1032" s="22">
        <v>0</v>
      </c>
      <c r="Q1032">
        <v>0</v>
      </c>
    </row>
    <row r="1033" spans="1:17">
      <c r="A1033" s="19">
        <v>0</v>
      </c>
      <c r="B1033" s="19">
        <v>0</v>
      </c>
      <c r="C1033" s="19">
        <v>0</v>
      </c>
      <c r="D1033" s="19">
        <v>0</v>
      </c>
      <c r="E1033" s="19">
        <v>0</v>
      </c>
      <c r="F1033" s="19">
        <v>0</v>
      </c>
      <c r="G1033" s="19">
        <v>0</v>
      </c>
      <c r="H1033" s="19">
        <v>0</v>
      </c>
      <c r="I1033" s="15">
        <v>3500</v>
      </c>
      <c r="J1033" s="15">
        <v>0</v>
      </c>
      <c r="K1033" s="15">
        <v>0</v>
      </c>
      <c r="L1033" s="15">
        <v>0</v>
      </c>
      <c r="M1033" s="15">
        <v>0</v>
      </c>
      <c r="N1033" s="15" t="str">
        <v/>
      </c>
      <c r="O1033" s="15" t="str">
        <v/>
      </c>
      <c r="P1033" s="22">
        <v>0</v>
      </c>
      <c r="Q1033">
        <v>0</v>
      </c>
    </row>
    <row r="1034" spans="1:17">
      <c r="A1034" s="19">
        <v>0</v>
      </c>
      <c r="B1034" s="19">
        <v>0</v>
      </c>
      <c r="C1034" s="19">
        <v>0</v>
      </c>
      <c r="D1034" s="19">
        <v>0</v>
      </c>
      <c r="E1034" s="19">
        <v>0</v>
      </c>
      <c r="F1034" s="19">
        <v>0</v>
      </c>
      <c r="G1034" s="19">
        <v>0</v>
      </c>
      <c r="H1034" s="19">
        <v>0</v>
      </c>
      <c r="I1034" s="15">
        <v>3500</v>
      </c>
      <c r="J1034" s="15">
        <v>0</v>
      </c>
      <c r="K1034" s="15">
        <v>0</v>
      </c>
      <c r="L1034" s="15">
        <v>0</v>
      </c>
      <c r="M1034" s="15">
        <v>0</v>
      </c>
      <c r="N1034" s="15" t="str">
        <v/>
      </c>
      <c r="O1034" s="15" t="str">
        <v/>
      </c>
      <c r="P1034" s="22">
        <v>0</v>
      </c>
      <c r="Q1034">
        <v>0</v>
      </c>
    </row>
    <row r="1035" spans="1:17">
      <c r="A1035" s="19">
        <v>0</v>
      </c>
      <c r="B1035" s="19">
        <v>0</v>
      </c>
      <c r="C1035" s="19">
        <v>0</v>
      </c>
      <c r="D1035" s="19">
        <v>0</v>
      </c>
      <c r="E1035" s="19">
        <v>0</v>
      </c>
      <c r="F1035" s="19">
        <v>0</v>
      </c>
      <c r="G1035" s="19">
        <v>0</v>
      </c>
      <c r="H1035" s="19">
        <v>0</v>
      </c>
      <c r="I1035" s="15">
        <v>3500</v>
      </c>
      <c r="J1035" s="15">
        <v>0</v>
      </c>
      <c r="K1035" s="15">
        <v>0</v>
      </c>
      <c r="L1035" s="15">
        <v>0</v>
      </c>
      <c r="M1035" s="15">
        <v>0</v>
      </c>
      <c r="N1035" s="15" t="str">
        <v/>
      </c>
      <c r="O1035" s="15" t="str">
        <v/>
      </c>
      <c r="P1035" s="22">
        <v>0</v>
      </c>
      <c r="Q1035">
        <v>0</v>
      </c>
    </row>
    <row r="1036" spans="1:17">
      <c r="A1036" s="19">
        <v>0</v>
      </c>
      <c r="B1036" s="19">
        <v>0</v>
      </c>
      <c r="C1036" s="19">
        <v>0</v>
      </c>
      <c r="D1036" s="19">
        <v>0</v>
      </c>
      <c r="E1036" s="19">
        <v>0</v>
      </c>
      <c r="F1036" s="19">
        <v>0</v>
      </c>
      <c r="G1036" s="19">
        <v>0</v>
      </c>
      <c r="H1036" s="19">
        <v>0</v>
      </c>
      <c r="I1036" s="15">
        <v>3500</v>
      </c>
      <c r="J1036" s="15">
        <v>0</v>
      </c>
      <c r="K1036" s="15">
        <v>0</v>
      </c>
      <c r="L1036" s="15">
        <v>0</v>
      </c>
      <c r="M1036" s="15">
        <v>0</v>
      </c>
      <c r="N1036" s="15" t="str">
        <v/>
      </c>
      <c r="O1036" s="15" t="str">
        <v/>
      </c>
      <c r="P1036" s="22">
        <v>0</v>
      </c>
      <c r="Q1036">
        <v>0</v>
      </c>
    </row>
    <row r="1037" spans="1:17">
      <c r="A1037" s="19">
        <v>0</v>
      </c>
      <c r="B1037" s="19">
        <v>0</v>
      </c>
      <c r="C1037" s="19">
        <v>0</v>
      </c>
      <c r="D1037" s="19">
        <v>0</v>
      </c>
      <c r="E1037" s="19">
        <v>0</v>
      </c>
      <c r="F1037" s="19">
        <v>0</v>
      </c>
      <c r="G1037" s="19">
        <v>0</v>
      </c>
      <c r="H1037" s="19">
        <v>0</v>
      </c>
      <c r="I1037" s="15">
        <v>3500</v>
      </c>
      <c r="J1037" s="15">
        <v>0</v>
      </c>
      <c r="K1037" s="15">
        <v>0</v>
      </c>
      <c r="L1037" s="15">
        <v>0</v>
      </c>
      <c r="M1037" s="15">
        <v>0</v>
      </c>
      <c r="N1037" s="15" t="str">
        <v/>
      </c>
      <c r="O1037" s="15" t="str">
        <v/>
      </c>
      <c r="P1037" s="22">
        <v>0</v>
      </c>
      <c r="Q1037">
        <v>0</v>
      </c>
    </row>
    <row r="1038" spans="1:17">
      <c r="A1038" s="19">
        <v>0</v>
      </c>
      <c r="B1038" s="19">
        <v>0</v>
      </c>
      <c r="C1038" s="19">
        <v>0</v>
      </c>
      <c r="D1038" s="19">
        <v>0</v>
      </c>
      <c r="E1038" s="19">
        <v>0</v>
      </c>
      <c r="F1038" s="19">
        <v>0</v>
      </c>
      <c r="G1038" s="19">
        <v>0</v>
      </c>
      <c r="H1038" s="19">
        <v>0</v>
      </c>
      <c r="I1038" s="15">
        <v>3500</v>
      </c>
      <c r="J1038" s="15">
        <v>0</v>
      </c>
      <c r="K1038" s="15">
        <v>0</v>
      </c>
      <c r="L1038" s="15">
        <v>0</v>
      </c>
      <c r="M1038" s="15">
        <v>0</v>
      </c>
      <c r="N1038" s="15" t="str">
        <v/>
      </c>
      <c r="O1038" s="15" t="str">
        <v/>
      </c>
      <c r="P1038" s="22">
        <v>0</v>
      </c>
      <c r="Q1038">
        <v>0</v>
      </c>
    </row>
    <row r="1039" spans="1:17">
      <c r="A1039" s="19">
        <v>0</v>
      </c>
      <c r="B1039" s="19">
        <v>0</v>
      </c>
      <c r="C1039" s="19">
        <v>0</v>
      </c>
      <c r="D1039" s="19">
        <v>0</v>
      </c>
      <c r="E1039" s="19">
        <v>0</v>
      </c>
      <c r="F1039" s="19">
        <v>0</v>
      </c>
      <c r="G1039" s="19">
        <v>0</v>
      </c>
      <c r="H1039" s="19">
        <v>0</v>
      </c>
      <c r="I1039" s="15">
        <v>3500</v>
      </c>
      <c r="J1039" s="15">
        <v>0</v>
      </c>
      <c r="K1039" s="15">
        <v>0</v>
      </c>
      <c r="L1039" s="15">
        <v>0</v>
      </c>
      <c r="M1039" s="15">
        <v>0</v>
      </c>
      <c r="N1039" s="15" t="str">
        <v/>
      </c>
      <c r="O1039" s="15" t="str">
        <v/>
      </c>
      <c r="P1039" s="22">
        <v>0</v>
      </c>
      <c r="Q1039">
        <v>0</v>
      </c>
    </row>
    <row r="1040" spans="1:17">
      <c r="A1040" s="19">
        <v>0</v>
      </c>
      <c r="B1040" s="19">
        <v>0</v>
      </c>
      <c r="C1040" s="19">
        <v>0</v>
      </c>
      <c r="D1040" s="19">
        <v>0</v>
      </c>
      <c r="E1040" s="19">
        <v>0</v>
      </c>
      <c r="F1040" s="19">
        <v>0</v>
      </c>
      <c r="G1040" s="19">
        <v>0</v>
      </c>
      <c r="H1040" s="19">
        <v>0</v>
      </c>
      <c r="I1040" s="15">
        <v>3500</v>
      </c>
      <c r="J1040" s="15">
        <v>0</v>
      </c>
      <c r="K1040" s="15">
        <v>0</v>
      </c>
      <c r="L1040" s="15">
        <v>0</v>
      </c>
      <c r="M1040" s="15">
        <v>0</v>
      </c>
      <c r="N1040" s="15" t="str">
        <v/>
      </c>
      <c r="O1040" s="15" t="str">
        <v/>
      </c>
      <c r="P1040" s="22">
        <v>0</v>
      </c>
      <c r="Q1040">
        <v>0</v>
      </c>
    </row>
    <row r="1041" spans="1:17">
      <c r="A1041" s="19">
        <v>0</v>
      </c>
      <c r="B1041" s="19">
        <v>0</v>
      </c>
      <c r="C1041" s="19">
        <v>0</v>
      </c>
      <c r="D1041" s="19">
        <v>0</v>
      </c>
      <c r="E1041" s="19">
        <v>0</v>
      </c>
      <c r="F1041" s="19">
        <v>0</v>
      </c>
      <c r="G1041" s="19">
        <v>0</v>
      </c>
      <c r="H1041" s="19">
        <v>0</v>
      </c>
      <c r="I1041" s="15">
        <v>3500</v>
      </c>
      <c r="J1041" s="15">
        <v>0</v>
      </c>
      <c r="K1041" s="15">
        <v>0</v>
      </c>
      <c r="L1041" s="15">
        <v>0</v>
      </c>
      <c r="M1041" s="15">
        <v>0</v>
      </c>
      <c r="N1041" s="15" t="str">
        <v/>
      </c>
      <c r="O1041" s="15" t="str">
        <v/>
      </c>
      <c r="P1041" s="22">
        <v>0</v>
      </c>
      <c r="Q1041">
        <v>0</v>
      </c>
    </row>
    <row r="1042" spans="1:17">
      <c r="A1042" s="19">
        <v>0</v>
      </c>
      <c r="B1042" s="19">
        <v>0</v>
      </c>
      <c r="C1042" s="19">
        <v>0</v>
      </c>
      <c r="D1042" s="19">
        <v>0</v>
      </c>
      <c r="E1042" s="19">
        <v>0</v>
      </c>
      <c r="F1042" s="19">
        <v>0</v>
      </c>
      <c r="G1042" s="19">
        <v>0</v>
      </c>
      <c r="H1042" s="19">
        <v>0</v>
      </c>
      <c r="I1042" s="15">
        <v>3500</v>
      </c>
      <c r="J1042" s="15">
        <v>0</v>
      </c>
      <c r="K1042" s="15">
        <v>0</v>
      </c>
      <c r="L1042" s="15">
        <v>0</v>
      </c>
      <c r="M1042" s="15">
        <v>0</v>
      </c>
      <c r="N1042" s="15" t="str">
        <v/>
      </c>
      <c r="O1042" s="15" t="str">
        <v/>
      </c>
      <c r="P1042" s="22">
        <v>0</v>
      </c>
      <c r="Q1042">
        <v>0</v>
      </c>
    </row>
    <row r="1043" spans="1:17">
      <c r="A1043" s="19">
        <v>0</v>
      </c>
      <c r="B1043" s="19">
        <v>0</v>
      </c>
      <c r="C1043" s="19">
        <v>0</v>
      </c>
      <c r="D1043" s="19">
        <v>0</v>
      </c>
      <c r="E1043" s="19">
        <v>0</v>
      </c>
      <c r="F1043" s="19">
        <v>0</v>
      </c>
      <c r="G1043" s="19">
        <v>0</v>
      </c>
      <c r="H1043" s="19">
        <v>0</v>
      </c>
      <c r="I1043" s="15">
        <v>3500</v>
      </c>
      <c r="J1043" s="15">
        <v>0</v>
      </c>
      <c r="K1043" s="15">
        <v>0</v>
      </c>
      <c r="L1043" s="15">
        <v>0</v>
      </c>
      <c r="M1043" s="15">
        <v>0</v>
      </c>
      <c r="N1043" s="15" t="str">
        <v/>
      </c>
      <c r="O1043" s="15" t="str">
        <v/>
      </c>
      <c r="P1043" s="22">
        <v>0</v>
      </c>
      <c r="Q1043">
        <v>0</v>
      </c>
    </row>
    <row r="1044" spans="1:17">
      <c r="A1044" s="19">
        <v>0</v>
      </c>
      <c r="B1044" s="19">
        <v>0</v>
      </c>
      <c r="C1044" s="19">
        <v>0</v>
      </c>
      <c r="D1044" s="19">
        <v>0</v>
      </c>
      <c r="E1044" s="19">
        <v>0</v>
      </c>
      <c r="F1044" s="19">
        <v>0</v>
      </c>
      <c r="G1044" s="19">
        <v>0</v>
      </c>
      <c r="H1044" s="19">
        <v>0</v>
      </c>
      <c r="I1044" s="15">
        <v>3500</v>
      </c>
      <c r="J1044" s="15">
        <v>0</v>
      </c>
      <c r="K1044" s="15">
        <v>0</v>
      </c>
      <c r="L1044" s="15">
        <v>0</v>
      </c>
      <c r="M1044" s="15">
        <v>0</v>
      </c>
      <c r="N1044" s="15" t="str">
        <v/>
      </c>
      <c r="O1044" s="15" t="str">
        <v/>
      </c>
      <c r="P1044" s="22">
        <v>0</v>
      </c>
      <c r="Q1044">
        <v>0</v>
      </c>
    </row>
    <row r="1045" spans="1:17">
      <c r="A1045" s="19">
        <v>0</v>
      </c>
      <c r="B1045" s="19">
        <v>0</v>
      </c>
      <c r="C1045" s="19">
        <v>0</v>
      </c>
      <c r="D1045" s="19">
        <v>0</v>
      </c>
      <c r="E1045" s="19">
        <v>0</v>
      </c>
      <c r="F1045" s="19">
        <v>0</v>
      </c>
      <c r="G1045" s="19">
        <v>0</v>
      </c>
      <c r="H1045" s="19">
        <v>0</v>
      </c>
      <c r="I1045" s="15">
        <v>3500</v>
      </c>
      <c r="J1045" s="15">
        <v>0</v>
      </c>
      <c r="K1045" s="15">
        <v>0</v>
      </c>
      <c r="L1045" s="15">
        <v>0</v>
      </c>
      <c r="M1045" s="15">
        <v>0</v>
      </c>
      <c r="N1045" s="15" t="str">
        <v/>
      </c>
      <c r="O1045" s="15" t="str">
        <v/>
      </c>
      <c r="P1045" s="22">
        <v>0</v>
      </c>
      <c r="Q1045">
        <v>0</v>
      </c>
    </row>
    <row r="1046" spans="1:17">
      <c r="A1046" s="19">
        <v>0</v>
      </c>
      <c r="B1046" s="19">
        <v>0</v>
      </c>
      <c r="C1046" s="19">
        <v>0</v>
      </c>
      <c r="D1046" s="19">
        <v>0</v>
      </c>
      <c r="E1046" s="19">
        <v>0</v>
      </c>
      <c r="F1046" s="19">
        <v>0</v>
      </c>
      <c r="G1046" s="19">
        <v>0</v>
      </c>
      <c r="H1046" s="19">
        <v>0</v>
      </c>
      <c r="I1046" s="15">
        <v>3500</v>
      </c>
      <c r="J1046" s="15">
        <v>0</v>
      </c>
      <c r="K1046" s="15">
        <v>0</v>
      </c>
      <c r="L1046" s="15">
        <v>0</v>
      </c>
      <c r="M1046" s="15">
        <v>0</v>
      </c>
      <c r="N1046" s="15" t="str">
        <v/>
      </c>
      <c r="O1046" s="15" t="str">
        <v/>
      </c>
      <c r="P1046" s="22">
        <v>0</v>
      </c>
      <c r="Q1046">
        <v>0</v>
      </c>
    </row>
    <row r="1047" spans="1:17">
      <c r="A1047" s="19">
        <v>0</v>
      </c>
      <c r="B1047" s="19">
        <v>0</v>
      </c>
      <c r="C1047" s="19">
        <v>0</v>
      </c>
      <c r="D1047" s="19">
        <v>0</v>
      </c>
      <c r="E1047" s="19">
        <v>0</v>
      </c>
      <c r="F1047" s="19">
        <v>0</v>
      </c>
      <c r="G1047" s="19">
        <v>0</v>
      </c>
      <c r="H1047" s="19">
        <v>0</v>
      </c>
      <c r="I1047" s="15">
        <v>3500</v>
      </c>
      <c r="J1047" s="15">
        <v>0</v>
      </c>
      <c r="K1047" s="15">
        <v>0</v>
      </c>
      <c r="L1047" s="15">
        <v>0</v>
      </c>
      <c r="M1047" s="15">
        <v>0</v>
      </c>
      <c r="N1047" s="15" t="str">
        <v/>
      </c>
      <c r="O1047" s="15" t="str">
        <v/>
      </c>
      <c r="P1047" s="22">
        <v>0</v>
      </c>
      <c r="Q1047">
        <v>0</v>
      </c>
    </row>
    <row r="1048" spans="1:17">
      <c r="A1048" s="19">
        <v>0</v>
      </c>
      <c r="B1048" s="19">
        <v>0</v>
      </c>
      <c r="C1048" s="19">
        <v>0</v>
      </c>
      <c r="D1048" s="19">
        <v>0</v>
      </c>
      <c r="E1048" s="19">
        <v>0</v>
      </c>
      <c r="F1048" s="19">
        <v>0</v>
      </c>
      <c r="G1048" s="19">
        <v>0</v>
      </c>
      <c r="H1048" s="19">
        <v>0</v>
      </c>
      <c r="I1048" s="15">
        <v>3500</v>
      </c>
      <c r="J1048" s="15">
        <v>0</v>
      </c>
      <c r="K1048" s="15">
        <v>0</v>
      </c>
      <c r="L1048" s="15">
        <v>0</v>
      </c>
      <c r="M1048" s="15">
        <v>0</v>
      </c>
      <c r="N1048" s="15" t="str">
        <v/>
      </c>
      <c r="O1048" s="15" t="str">
        <v/>
      </c>
      <c r="P1048" s="22">
        <v>0</v>
      </c>
      <c r="Q1048">
        <v>0</v>
      </c>
    </row>
    <row r="1049" spans="1:17">
      <c r="A1049" s="19">
        <v>0</v>
      </c>
      <c r="B1049" s="19">
        <v>0</v>
      </c>
      <c r="C1049" s="19">
        <v>0</v>
      </c>
      <c r="D1049" s="19">
        <v>0</v>
      </c>
      <c r="E1049" s="19">
        <v>0</v>
      </c>
      <c r="F1049" s="19">
        <v>0</v>
      </c>
      <c r="G1049" s="19">
        <v>0</v>
      </c>
      <c r="H1049" s="19">
        <v>0</v>
      </c>
      <c r="I1049" s="15">
        <v>3500</v>
      </c>
      <c r="J1049" s="15">
        <v>0</v>
      </c>
      <c r="K1049" s="15">
        <v>0</v>
      </c>
      <c r="L1049" s="15">
        <v>0</v>
      </c>
      <c r="M1049" s="15">
        <v>0</v>
      </c>
      <c r="N1049" s="15" t="str">
        <v/>
      </c>
      <c r="O1049" s="15" t="str">
        <v/>
      </c>
      <c r="P1049" s="22">
        <v>0</v>
      </c>
      <c r="Q1049">
        <v>0</v>
      </c>
    </row>
    <row r="1050" spans="1:17">
      <c r="A1050" s="19">
        <v>0</v>
      </c>
      <c r="B1050" s="19">
        <v>0</v>
      </c>
      <c r="C1050" s="19">
        <v>0</v>
      </c>
      <c r="D1050" s="19">
        <v>0</v>
      </c>
      <c r="E1050" s="19">
        <v>0</v>
      </c>
      <c r="F1050" s="19">
        <v>0</v>
      </c>
      <c r="G1050" s="19">
        <v>0</v>
      </c>
      <c r="H1050" s="19">
        <v>0</v>
      </c>
      <c r="I1050" s="15">
        <v>3500</v>
      </c>
      <c r="J1050" s="15">
        <v>0</v>
      </c>
      <c r="K1050" s="15">
        <v>0</v>
      </c>
      <c r="L1050" s="15">
        <v>0</v>
      </c>
      <c r="M1050" s="15">
        <v>0</v>
      </c>
      <c r="N1050" s="15" t="str">
        <v/>
      </c>
      <c r="O1050" s="15" t="str">
        <v/>
      </c>
      <c r="P1050" s="22">
        <v>0</v>
      </c>
      <c r="Q1050">
        <v>0</v>
      </c>
    </row>
    <row r="1051" spans="1:17">
      <c r="A1051" s="19">
        <v>0</v>
      </c>
      <c r="B1051" s="19">
        <v>0</v>
      </c>
      <c r="C1051" s="19">
        <v>0</v>
      </c>
      <c r="D1051" s="19">
        <v>0</v>
      </c>
      <c r="E1051" s="19">
        <v>0</v>
      </c>
      <c r="F1051" s="19">
        <v>0</v>
      </c>
      <c r="G1051" s="19">
        <v>0</v>
      </c>
      <c r="H1051" s="19">
        <v>0</v>
      </c>
      <c r="I1051" s="15">
        <v>3500</v>
      </c>
      <c r="J1051" s="15">
        <v>0</v>
      </c>
      <c r="K1051" s="15">
        <v>0</v>
      </c>
      <c r="L1051" s="15">
        <v>0</v>
      </c>
      <c r="M1051" s="15">
        <v>0</v>
      </c>
      <c r="N1051" s="15" t="str">
        <v/>
      </c>
      <c r="O1051" s="15" t="str">
        <v/>
      </c>
      <c r="P1051" s="22">
        <v>0</v>
      </c>
      <c r="Q1051">
        <v>0</v>
      </c>
    </row>
    <row r="1052" spans="1:17">
      <c r="A1052" s="19">
        <v>0</v>
      </c>
      <c r="B1052" s="19">
        <v>0</v>
      </c>
      <c r="C1052" s="19">
        <v>0</v>
      </c>
      <c r="D1052" s="19">
        <v>0</v>
      </c>
      <c r="E1052" s="19">
        <v>0</v>
      </c>
      <c r="F1052" s="19">
        <v>0</v>
      </c>
      <c r="G1052" s="19">
        <v>0</v>
      </c>
      <c r="H1052" s="19">
        <v>0</v>
      </c>
      <c r="I1052" s="15">
        <v>3500</v>
      </c>
      <c r="J1052" s="15">
        <v>0</v>
      </c>
      <c r="K1052" s="15">
        <v>0</v>
      </c>
      <c r="L1052" s="15">
        <v>0</v>
      </c>
      <c r="M1052" s="15">
        <v>0</v>
      </c>
      <c r="N1052" s="15" t="str">
        <v/>
      </c>
      <c r="O1052" s="15" t="str">
        <v/>
      </c>
      <c r="P1052" s="22">
        <v>0</v>
      </c>
      <c r="Q1052">
        <v>0</v>
      </c>
    </row>
    <row r="1053" spans="1:17">
      <c r="A1053" s="19">
        <v>0</v>
      </c>
      <c r="B1053" s="19">
        <v>0</v>
      </c>
      <c r="C1053" s="19">
        <v>0</v>
      </c>
      <c r="D1053" s="19">
        <v>0</v>
      </c>
      <c r="E1053" s="19">
        <v>0</v>
      </c>
      <c r="F1053" s="19">
        <v>0</v>
      </c>
      <c r="G1053" s="19">
        <v>0</v>
      </c>
      <c r="H1053" s="19">
        <v>0</v>
      </c>
      <c r="I1053" s="15">
        <v>3500</v>
      </c>
      <c r="J1053" s="15">
        <v>0</v>
      </c>
      <c r="K1053" s="15">
        <v>0</v>
      </c>
      <c r="L1053" s="15">
        <v>0</v>
      </c>
      <c r="M1053" s="15">
        <v>0</v>
      </c>
      <c r="N1053" s="15" t="str">
        <v/>
      </c>
      <c r="O1053" s="15" t="str">
        <v/>
      </c>
      <c r="P1053" s="22">
        <v>0</v>
      </c>
      <c r="Q1053">
        <v>0</v>
      </c>
    </row>
    <row r="1054" spans="1:17">
      <c r="A1054" s="19">
        <v>0</v>
      </c>
      <c r="B1054" s="19">
        <v>0</v>
      </c>
      <c r="C1054" s="19">
        <v>0</v>
      </c>
      <c r="D1054" s="19">
        <v>0</v>
      </c>
      <c r="E1054" s="19">
        <v>0</v>
      </c>
      <c r="F1054" s="19">
        <v>0</v>
      </c>
      <c r="G1054" s="19">
        <v>0</v>
      </c>
      <c r="H1054" s="19">
        <v>0</v>
      </c>
      <c r="I1054" s="15">
        <v>3500</v>
      </c>
      <c r="J1054" s="15">
        <v>0</v>
      </c>
      <c r="K1054" s="15">
        <v>0</v>
      </c>
      <c r="L1054" s="15">
        <v>0</v>
      </c>
      <c r="M1054" s="15">
        <v>0</v>
      </c>
      <c r="N1054" s="15" t="str">
        <v/>
      </c>
      <c r="O1054" s="15" t="str">
        <v/>
      </c>
      <c r="P1054" s="22">
        <v>0</v>
      </c>
      <c r="Q1054">
        <v>0</v>
      </c>
    </row>
    <row r="1055" spans="1:17">
      <c r="A1055" s="19">
        <v>0</v>
      </c>
      <c r="B1055" s="19">
        <v>0</v>
      </c>
      <c r="C1055" s="19">
        <v>0</v>
      </c>
      <c r="D1055" s="19">
        <v>0</v>
      </c>
      <c r="E1055" s="19">
        <v>0</v>
      </c>
      <c r="F1055" s="19">
        <v>0</v>
      </c>
      <c r="G1055" s="19">
        <v>0</v>
      </c>
      <c r="H1055" s="19">
        <v>0</v>
      </c>
      <c r="I1055" s="15">
        <v>3500</v>
      </c>
      <c r="J1055" s="15">
        <v>0</v>
      </c>
      <c r="K1055" s="15">
        <v>0</v>
      </c>
      <c r="L1055" s="15">
        <v>0</v>
      </c>
      <c r="M1055" s="15">
        <v>0</v>
      </c>
      <c r="N1055" s="15" t="str">
        <v/>
      </c>
      <c r="O1055" s="15" t="str">
        <v/>
      </c>
      <c r="P1055" s="22">
        <v>0</v>
      </c>
      <c r="Q1055">
        <v>0</v>
      </c>
    </row>
    <row r="1056" spans="1:17">
      <c r="A1056" s="19">
        <v>0</v>
      </c>
      <c r="B1056" s="19">
        <v>0</v>
      </c>
      <c r="C1056" s="19">
        <v>0</v>
      </c>
      <c r="D1056" s="19">
        <v>0</v>
      </c>
      <c r="E1056" s="19">
        <v>0</v>
      </c>
      <c r="F1056" s="19">
        <v>0</v>
      </c>
      <c r="G1056" s="19">
        <v>0</v>
      </c>
      <c r="H1056" s="19">
        <v>0</v>
      </c>
      <c r="I1056" s="15">
        <v>3500</v>
      </c>
      <c r="J1056" s="15">
        <v>0</v>
      </c>
      <c r="K1056" s="15">
        <v>0</v>
      </c>
      <c r="L1056" s="15">
        <v>0</v>
      </c>
      <c r="M1056" s="15">
        <v>0</v>
      </c>
      <c r="N1056" s="15" t="str">
        <v/>
      </c>
      <c r="O1056" s="15" t="str">
        <v/>
      </c>
      <c r="P1056" s="22">
        <v>0</v>
      </c>
      <c r="Q1056">
        <v>0</v>
      </c>
    </row>
    <row r="1057" spans="1:17">
      <c r="A1057" s="19">
        <v>0</v>
      </c>
      <c r="B1057" s="19">
        <v>0</v>
      </c>
      <c r="C1057" s="19">
        <v>0</v>
      </c>
      <c r="D1057" s="19">
        <v>0</v>
      </c>
      <c r="E1057" s="19">
        <v>0</v>
      </c>
      <c r="F1057" s="19">
        <v>0</v>
      </c>
      <c r="G1057" s="19">
        <v>0</v>
      </c>
      <c r="H1057" s="19">
        <v>0</v>
      </c>
      <c r="I1057" s="15">
        <v>3500</v>
      </c>
      <c r="J1057" s="15">
        <v>0</v>
      </c>
      <c r="K1057" s="15">
        <v>0</v>
      </c>
      <c r="L1057" s="15">
        <v>0</v>
      </c>
      <c r="M1057" s="15">
        <v>0</v>
      </c>
      <c r="N1057" s="15" t="str">
        <v/>
      </c>
      <c r="O1057" s="15" t="str">
        <v/>
      </c>
      <c r="P1057" s="22">
        <v>0</v>
      </c>
      <c r="Q1057">
        <v>0</v>
      </c>
    </row>
    <row r="1058" spans="1:17">
      <c r="A1058" s="19">
        <v>0</v>
      </c>
      <c r="B1058" s="19">
        <v>0</v>
      </c>
      <c r="C1058" s="19">
        <v>0</v>
      </c>
      <c r="D1058" s="19">
        <v>0</v>
      </c>
      <c r="E1058" s="19">
        <v>0</v>
      </c>
      <c r="F1058" s="19">
        <v>0</v>
      </c>
      <c r="G1058" s="19">
        <v>0</v>
      </c>
      <c r="H1058" s="19">
        <v>0</v>
      </c>
      <c r="I1058" s="15">
        <v>3500</v>
      </c>
      <c r="J1058" s="15">
        <v>0</v>
      </c>
      <c r="K1058" s="15">
        <v>0</v>
      </c>
      <c r="L1058" s="15">
        <v>0</v>
      </c>
      <c r="M1058" s="15">
        <v>0</v>
      </c>
      <c r="N1058" s="15" t="str">
        <v/>
      </c>
      <c r="O1058" s="15" t="str">
        <v/>
      </c>
      <c r="P1058" s="22">
        <v>0</v>
      </c>
      <c r="Q1058">
        <v>0</v>
      </c>
    </row>
    <row r="1059" spans="1:17">
      <c r="A1059" s="19">
        <v>0</v>
      </c>
      <c r="B1059" s="19">
        <v>0</v>
      </c>
      <c r="C1059" s="19">
        <v>0</v>
      </c>
      <c r="D1059" s="19">
        <v>0</v>
      </c>
      <c r="E1059" s="19">
        <v>0</v>
      </c>
      <c r="F1059" s="19">
        <v>0</v>
      </c>
      <c r="G1059" s="19">
        <v>0</v>
      </c>
      <c r="H1059" s="19">
        <v>0</v>
      </c>
      <c r="I1059" s="15">
        <v>3500</v>
      </c>
      <c r="J1059" s="15">
        <v>0</v>
      </c>
      <c r="K1059" s="15">
        <v>0</v>
      </c>
      <c r="L1059" s="15">
        <v>0</v>
      </c>
      <c r="M1059" s="15">
        <v>0</v>
      </c>
      <c r="N1059" s="15" t="str">
        <v/>
      </c>
      <c r="O1059" s="15" t="str">
        <v/>
      </c>
      <c r="P1059" s="22">
        <v>0</v>
      </c>
      <c r="Q1059">
        <v>0</v>
      </c>
    </row>
    <row r="1060" spans="1:17">
      <c r="A1060" s="19">
        <v>0</v>
      </c>
      <c r="B1060" s="19">
        <v>0</v>
      </c>
      <c r="C1060" s="19">
        <v>0</v>
      </c>
      <c r="D1060" s="19">
        <v>0</v>
      </c>
      <c r="E1060" s="19">
        <v>0</v>
      </c>
      <c r="F1060" s="19">
        <v>0</v>
      </c>
      <c r="G1060" s="19">
        <v>0</v>
      </c>
      <c r="H1060" s="19">
        <v>0</v>
      </c>
      <c r="I1060" s="15">
        <v>3500</v>
      </c>
      <c r="J1060" s="15">
        <v>0</v>
      </c>
      <c r="K1060" s="15">
        <v>0</v>
      </c>
      <c r="L1060" s="15">
        <v>0</v>
      </c>
      <c r="M1060" s="15">
        <v>0</v>
      </c>
      <c r="N1060" s="15" t="str">
        <v/>
      </c>
      <c r="O1060" s="15" t="str">
        <v/>
      </c>
      <c r="P1060" s="22">
        <v>0</v>
      </c>
      <c r="Q1060">
        <v>0</v>
      </c>
    </row>
    <row r="1061" spans="1:17">
      <c r="A1061" s="19">
        <v>0</v>
      </c>
      <c r="B1061" s="19">
        <v>0</v>
      </c>
      <c r="C1061" s="19">
        <v>0</v>
      </c>
      <c r="D1061" s="19">
        <v>0</v>
      </c>
      <c r="E1061" s="19">
        <v>0</v>
      </c>
      <c r="F1061" s="19">
        <v>0</v>
      </c>
      <c r="G1061" s="19">
        <v>0</v>
      </c>
      <c r="H1061" s="19">
        <v>0</v>
      </c>
      <c r="I1061" s="15">
        <v>3500</v>
      </c>
      <c r="J1061" s="15">
        <v>0</v>
      </c>
      <c r="K1061" s="15">
        <v>0</v>
      </c>
      <c r="L1061" s="15">
        <v>0</v>
      </c>
      <c r="M1061" s="15">
        <v>0</v>
      </c>
      <c r="N1061" s="15" t="str">
        <v/>
      </c>
      <c r="O1061" s="15" t="str">
        <v/>
      </c>
      <c r="P1061" s="22">
        <v>0</v>
      </c>
      <c r="Q1061">
        <v>0</v>
      </c>
    </row>
    <row r="1062" spans="1:17">
      <c r="A1062" s="19">
        <v>0</v>
      </c>
      <c r="B1062" s="19">
        <v>0</v>
      </c>
      <c r="C1062" s="19">
        <v>0</v>
      </c>
      <c r="D1062" s="19">
        <v>0</v>
      </c>
      <c r="E1062" s="19">
        <v>0</v>
      </c>
      <c r="F1062" s="19">
        <v>0</v>
      </c>
      <c r="G1062" s="19">
        <v>0</v>
      </c>
      <c r="H1062" s="19">
        <v>0</v>
      </c>
      <c r="I1062" s="15">
        <v>3500</v>
      </c>
      <c r="J1062" s="15">
        <v>0</v>
      </c>
      <c r="K1062" s="15">
        <v>0</v>
      </c>
      <c r="L1062" s="15">
        <v>0</v>
      </c>
      <c r="M1062" s="15">
        <v>0</v>
      </c>
      <c r="N1062" s="15" t="str">
        <v/>
      </c>
      <c r="O1062" s="15" t="str">
        <v/>
      </c>
      <c r="P1062" s="22">
        <v>0</v>
      </c>
      <c r="Q1062">
        <v>0</v>
      </c>
    </row>
    <row r="1063" spans="1:17">
      <c r="A1063" s="19">
        <v>0</v>
      </c>
      <c r="B1063" s="19">
        <v>0</v>
      </c>
      <c r="C1063" s="19">
        <v>0</v>
      </c>
      <c r="D1063" s="19">
        <v>0</v>
      </c>
      <c r="E1063" s="19">
        <v>0</v>
      </c>
      <c r="F1063" s="19">
        <v>0</v>
      </c>
      <c r="G1063" s="19">
        <v>0</v>
      </c>
      <c r="H1063" s="19">
        <v>0</v>
      </c>
      <c r="I1063" s="15">
        <v>3500</v>
      </c>
      <c r="J1063" s="15">
        <v>0</v>
      </c>
      <c r="K1063" s="15">
        <v>0</v>
      </c>
      <c r="L1063" s="15">
        <v>0</v>
      </c>
      <c r="M1063" s="15">
        <v>0</v>
      </c>
      <c r="N1063" s="15" t="str">
        <v/>
      </c>
      <c r="O1063" s="15" t="str">
        <v/>
      </c>
      <c r="P1063" s="22">
        <v>0</v>
      </c>
      <c r="Q1063">
        <v>0</v>
      </c>
    </row>
    <row r="1064" spans="1:17">
      <c r="A1064" s="19">
        <v>0</v>
      </c>
      <c r="B1064" s="19">
        <v>0</v>
      </c>
      <c r="C1064" s="19">
        <v>0</v>
      </c>
      <c r="D1064" s="19">
        <v>0</v>
      </c>
      <c r="E1064" s="19">
        <v>0</v>
      </c>
      <c r="F1064" s="19">
        <v>0</v>
      </c>
      <c r="G1064" s="19">
        <v>0</v>
      </c>
      <c r="H1064" s="19">
        <v>0</v>
      </c>
      <c r="I1064" s="15">
        <v>3500</v>
      </c>
      <c r="J1064" s="15">
        <v>0</v>
      </c>
      <c r="K1064" s="15">
        <v>0</v>
      </c>
      <c r="L1064" s="15">
        <v>0</v>
      </c>
      <c r="M1064" s="15">
        <v>0</v>
      </c>
      <c r="N1064" s="15" t="str">
        <v/>
      </c>
      <c r="O1064" s="15" t="str">
        <v/>
      </c>
      <c r="P1064" s="22">
        <v>0</v>
      </c>
      <c r="Q1064">
        <v>0</v>
      </c>
    </row>
    <row r="1065" spans="1:17">
      <c r="A1065" s="19">
        <v>0</v>
      </c>
      <c r="B1065" s="19">
        <v>0</v>
      </c>
      <c r="C1065" s="19">
        <v>0</v>
      </c>
      <c r="D1065" s="19">
        <v>0</v>
      </c>
      <c r="E1065" s="19">
        <v>0</v>
      </c>
      <c r="F1065" s="19">
        <v>0</v>
      </c>
      <c r="G1065" s="19">
        <v>0</v>
      </c>
      <c r="H1065" s="19">
        <v>0</v>
      </c>
      <c r="I1065" s="15">
        <v>3500</v>
      </c>
      <c r="J1065" s="15">
        <v>0</v>
      </c>
      <c r="K1065" s="15">
        <v>0</v>
      </c>
      <c r="L1065" s="15">
        <v>0</v>
      </c>
      <c r="M1065" s="15">
        <v>0</v>
      </c>
      <c r="N1065" s="15" t="str">
        <v/>
      </c>
      <c r="O1065" s="15" t="str">
        <v/>
      </c>
      <c r="P1065" s="22">
        <v>0</v>
      </c>
      <c r="Q1065">
        <v>0</v>
      </c>
    </row>
    <row r="1066" spans="1:17">
      <c r="A1066" s="19">
        <v>0</v>
      </c>
      <c r="B1066" s="19">
        <v>0</v>
      </c>
      <c r="C1066" s="19">
        <v>0</v>
      </c>
      <c r="D1066" s="19">
        <v>0</v>
      </c>
      <c r="E1066" s="19">
        <v>0</v>
      </c>
      <c r="F1066" s="19">
        <v>0</v>
      </c>
      <c r="G1066" s="19">
        <v>0</v>
      </c>
      <c r="H1066" s="19">
        <v>0</v>
      </c>
      <c r="I1066" s="15">
        <v>3500</v>
      </c>
      <c r="J1066" s="15">
        <v>0</v>
      </c>
      <c r="K1066" s="15">
        <v>0</v>
      </c>
      <c r="L1066" s="15">
        <v>0</v>
      </c>
      <c r="M1066" s="15">
        <v>0</v>
      </c>
      <c r="N1066" s="15" t="str">
        <v/>
      </c>
      <c r="O1066" s="15" t="str">
        <v/>
      </c>
      <c r="P1066" s="22">
        <v>0</v>
      </c>
      <c r="Q1066">
        <v>0</v>
      </c>
    </row>
    <row r="1067" spans="1:17">
      <c r="A1067" s="19">
        <v>0</v>
      </c>
      <c r="B1067" s="19">
        <v>0</v>
      </c>
      <c r="C1067" s="19">
        <v>0</v>
      </c>
      <c r="D1067" s="19">
        <v>0</v>
      </c>
      <c r="E1067" s="19">
        <v>0</v>
      </c>
      <c r="F1067" s="19">
        <v>0</v>
      </c>
      <c r="G1067" s="19">
        <v>0</v>
      </c>
      <c r="H1067" s="19">
        <v>0</v>
      </c>
      <c r="I1067" s="15">
        <v>3500</v>
      </c>
      <c r="J1067" s="15">
        <v>0</v>
      </c>
      <c r="K1067" s="15">
        <v>0</v>
      </c>
      <c r="L1067" s="15">
        <v>0</v>
      </c>
      <c r="M1067" s="15">
        <v>0</v>
      </c>
      <c r="N1067" s="15" t="str">
        <v/>
      </c>
      <c r="O1067" s="15" t="str">
        <v/>
      </c>
      <c r="P1067" s="22">
        <v>0</v>
      </c>
      <c r="Q1067">
        <v>0</v>
      </c>
    </row>
    <row r="1068" spans="1:17">
      <c r="A1068" s="19">
        <v>0</v>
      </c>
      <c r="B1068" s="19">
        <v>0</v>
      </c>
      <c r="C1068" s="19">
        <v>0</v>
      </c>
      <c r="D1068" s="19">
        <v>0</v>
      </c>
      <c r="E1068" s="19">
        <v>0</v>
      </c>
      <c r="F1068" s="19">
        <v>0</v>
      </c>
      <c r="G1068" s="19">
        <v>0</v>
      </c>
      <c r="H1068" s="19">
        <v>0</v>
      </c>
      <c r="I1068" s="15">
        <v>3500</v>
      </c>
      <c r="J1068" s="15">
        <v>0</v>
      </c>
      <c r="K1068" s="15">
        <v>0</v>
      </c>
      <c r="L1068" s="15">
        <v>0</v>
      </c>
      <c r="M1068" s="15">
        <v>0</v>
      </c>
      <c r="N1068" s="15" t="str">
        <v/>
      </c>
      <c r="O1068" s="15" t="str">
        <v/>
      </c>
      <c r="P1068" s="22">
        <v>0</v>
      </c>
      <c r="Q1068">
        <v>0</v>
      </c>
    </row>
    <row r="1069" spans="1:17">
      <c r="A1069" s="19">
        <v>0</v>
      </c>
      <c r="B1069" s="19">
        <v>0</v>
      </c>
      <c r="C1069" s="19">
        <v>0</v>
      </c>
      <c r="D1069" s="19">
        <v>0</v>
      </c>
      <c r="E1069" s="19">
        <v>0</v>
      </c>
      <c r="F1069" s="19">
        <v>0</v>
      </c>
      <c r="G1069" s="19">
        <v>0</v>
      </c>
      <c r="H1069" s="19">
        <v>0</v>
      </c>
      <c r="I1069" s="15">
        <v>3500</v>
      </c>
      <c r="J1069" s="15">
        <v>0</v>
      </c>
      <c r="K1069" s="15">
        <v>0</v>
      </c>
      <c r="L1069" s="15">
        <v>0</v>
      </c>
      <c r="M1069" s="15">
        <v>0</v>
      </c>
      <c r="N1069" s="15" t="str">
        <v/>
      </c>
      <c r="O1069" s="15" t="str">
        <v/>
      </c>
      <c r="P1069" s="22">
        <v>0</v>
      </c>
      <c r="Q1069">
        <v>0</v>
      </c>
    </row>
    <row r="1070" spans="1:17">
      <c r="A1070" s="19">
        <v>0</v>
      </c>
      <c r="B1070" s="19">
        <v>0</v>
      </c>
      <c r="C1070" s="19">
        <v>0</v>
      </c>
      <c r="D1070" s="19">
        <v>0</v>
      </c>
      <c r="E1070" s="19">
        <v>0</v>
      </c>
      <c r="F1070" s="19">
        <v>0</v>
      </c>
      <c r="G1070" s="19">
        <v>0</v>
      </c>
      <c r="H1070" s="19">
        <v>0</v>
      </c>
      <c r="I1070" s="15">
        <v>3500</v>
      </c>
      <c r="J1070" s="15">
        <v>0</v>
      </c>
      <c r="K1070" s="15">
        <v>0</v>
      </c>
      <c r="L1070" s="15">
        <v>0</v>
      </c>
      <c r="M1070" s="15">
        <v>0</v>
      </c>
      <c r="N1070" s="15" t="str">
        <v/>
      </c>
      <c r="O1070" s="15" t="str">
        <v/>
      </c>
      <c r="P1070" s="22">
        <v>0</v>
      </c>
      <c r="Q1070">
        <v>0</v>
      </c>
    </row>
    <row r="1071" spans="1:17">
      <c r="A1071" s="19">
        <v>0</v>
      </c>
      <c r="B1071" s="19">
        <v>0</v>
      </c>
      <c r="C1071" s="19">
        <v>0</v>
      </c>
      <c r="D1071" s="19">
        <v>0</v>
      </c>
      <c r="E1071" s="19">
        <v>0</v>
      </c>
      <c r="F1071" s="19">
        <v>0</v>
      </c>
      <c r="G1071" s="19">
        <v>0</v>
      </c>
      <c r="H1071" s="19">
        <v>0</v>
      </c>
      <c r="I1071" s="15">
        <v>3500</v>
      </c>
      <c r="J1071" s="15">
        <v>0</v>
      </c>
      <c r="K1071" s="15">
        <v>0</v>
      </c>
      <c r="L1071" s="15">
        <v>0</v>
      </c>
      <c r="M1071" s="15">
        <v>0</v>
      </c>
      <c r="N1071" s="15" t="str">
        <v/>
      </c>
      <c r="O1071" s="15" t="str">
        <v/>
      </c>
      <c r="P1071" s="22">
        <v>0</v>
      </c>
      <c r="Q1071">
        <v>0</v>
      </c>
    </row>
    <row r="1072" spans="1:17">
      <c r="A1072" s="19">
        <v>0</v>
      </c>
      <c r="B1072" s="19">
        <v>0</v>
      </c>
      <c r="C1072" s="19">
        <v>0</v>
      </c>
      <c r="D1072" s="19">
        <v>0</v>
      </c>
      <c r="E1072" s="19">
        <v>0</v>
      </c>
      <c r="F1072" s="19">
        <v>0</v>
      </c>
      <c r="G1072" s="19">
        <v>0</v>
      </c>
      <c r="H1072" s="19">
        <v>0</v>
      </c>
      <c r="I1072" s="15">
        <v>3500</v>
      </c>
      <c r="J1072" s="15">
        <v>0</v>
      </c>
      <c r="K1072" s="15">
        <v>0</v>
      </c>
      <c r="L1072" s="15">
        <v>0</v>
      </c>
      <c r="M1072" s="15">
        <v>0</v>
      </c>
      <c r="N1072" s="15" t="str">
        <v/>
      </c>
      <c r="O1072" s="15" t="str">
        <v/>
      </c>
      <c r="P1072" s="22">
        <v>0</v>
      </c>
      <c r="Q1072">
        <v>0</v>
      </c>
    </row>
    <row r="1073" spans="1:17">
      <c r="A1073" s="19">
        <v>0</v>
      </c>
      <c r="B1073" s="19">
        <v>0</v>
      </c>
      <c r="C1073" s="19">
        <v>0</v>
      </c>
      <c r="D1073" s="19">
        <v>0</v>
      </c>
      <c r="E1073" s="19">
        <v>0</v>
      </c>
      <c r="F1073" s="19">
        <v>0</v>
      </c>
      <c r="G1073" s="19">
        <v>0</v>
      </c>
      <c r="H1073" s="19">
        <v>0</v>
      </c>
      <c r="I1073" s="15">
        <v>3500</v>
      </c>
      <c r="J1073" s="15">
        <v>0</v>
      </c>
      <c r="K1073" s="15">
        <v>0</v>
      </c>
      <c r="L1073" s="15">
        <v>0</v>
      </c>
      <c r="M1073" s="15">
        <v>0</v>
      </c>
      <c r="N1073" s="15" t="str">
        <v/>
      </c>
      <c r="O1073" s="15" t="str">
        <v/>
      </c>
      <c r="P1073" s="22">
        <v>0</v>
      </c>
      <c r="Q1073">
        <v>0</v>
      </c>
    </row>
    <row r="1074" spans="1:17">
      <c r="A1074" s="19">
        <v>0</v>
      </c>
      <c r="B1074" s="19">
        <v>0</v>
      </c>
      <c r="C1074" s="19">
        <v>0</v>
      </c>
      <c r="D1074" s="19">
        <v>0</v>
      </c>
      <c r="E1074" s="19">
        <v>0</v>
      </c>
      <c r="F1074" s="19">
        <v>0</v>
      </c>
      <c r="G1074" s="19">
        <v>0</v>
      </c>
      <c r="H1074" s="19">
        <v>0</v>
      </c>
      <c r="I1074" s="15">
        <v>3500</v>
      </c>
      <c r="J1074" s="15">
        <v>0</v>
      </c>
      <c r="K1074" s="15">
        <v>0</v>
      </c>
      <c r="L1074" s="15">
        <v>0</v>
      </c>
      <c r="M1074" s="15">
        <v>0</v>
      </c>
      <c r="N1074" s="15" t="str">
        <v/>
      </c>
      <c r="O1074" s="15" t="str">
        <v/>
      </c>
      <c r="P1074" s="22">
        <v>0</v>
      </c>
      <c r="Q1074">
        <v>0</v>
      </c>
    </row>
    <row r="1075" spans="1:17">
      <c r="A1075" s="19">
        <v>0</v>
      </c>
      <c r="B1075" s="19">
        <v>0</v>
      </c>
      <c r="C1075" s="19">
        <v>0</v>
      </c>
      <c r="D1075" s="19">
        <v>0</v>
      </c>
      <c r="E1075" s="19">
        <v>0</v>
      </c>
      <c r="F1075" s="19">
        <v>0</v>
      </c>
      <c r="G1075" s="19">
        <v>0</v>
      </c>
      <c r="H1075" s="19">
        <v>0</v>
      </c>
      <c r="I1075" s="15">
        <v>3500</v>
      </c>
      <c r="J1075" s="15">
        <v>0</v>
      </c>
      <c r="K1075" s="15">
        <v>0</v>
      </c>
      <c r="L1075" s="15">
        <v>0</v>
      </c>
      <c r="M1075" s="15">
        <v>0</v>
      </c>
      <c r="N1075" s="15" t="str">
        <v/>
      </c>
      <c r="O1075" s="15" t="str">
        <v/>
      </c>
      <c r="P1075" s="22">
        <v>0</v>
      </c>
      <c r="Q1075">
        <v>0</v>
      </c>
    </row>
    <row r="1076" spans="1:17">
      <c r="A1076" s="19">
        <v>0</v>
      </c>
      <c r="B1076" s="19">
        <v>0</v>
      </c>
      <c r="C1076" s="19">
        <v>0</v>
      </c>
      <c r="D1076" s="19">
        <v>0</v>
      </c>
      <c r="E1076" s="19">
        <v>0</v>
      </c>
      <c r="F1076" s="19">
        <v>0</v>
      </c>
      <c r="G1076" s="19">
        <v>0</v>
      </c>
      <c r="H1076" s="19">
        <v>0</v>
      </c>
      <c r="I1076" s="15">
        <v>3500</v>
      </c>
      <c r="J1076" s="15">
        <v>0</v>
      </c>
      <c r="K1076" s="15">
        <v>0</v>
      </c>
      <c r="L1076" s="15">
        <v>0</v>
      </c>
      <c r="M1076" s="15">
        <v>0</v>
      </c>
      <c r="N1076" s="15" t="str">
        <v/>
      </c>
      <c r="O1076" s="15" t="str">
        <v/>
      </c>
      <c r="P1076" s="22">
        <v>0</v>
      </c>
      <c r="Q1076">
        <v>0</v>
      </c>
    </row>
    <row r="1077" spans="1:17">
      <c r="A1077" s="19">
        <v>0</v>
      </c>
      <c r="B1077" s="19">
        <v>0</v>
      </c>
      <c r="C1077" s="19">
        <v>0</v>
      </c>
      <c r="D1077" s="19">
        <v>0</v>
      </c>
      <c r="E1077" s="19">
        <v>0</v>
      </c>
      <c r="F1077" s="19">
        <v>0</v>
      </c>
      <c r="G1077" s="19">
        <v>0</v>
      </c>
      <c r="H1077" s="19">
        <v>0</v>
      </c>
      <c r="I1077" s="15">
        <v>3500</v>
      </c>
      <c r="J1077" s="15">
        <v>0</v>
      </c>
      <c r="K1077" s="15">
        <v>0</v>
      </c>
      <c r="L1077" s="15">
        <v>0</v>
      </c>
      <c r="M1077" s="15">
        <v>0</v>
      </c>
      <c r="N1077" s="15" t="str">
        <v/>
      </c>
      <c r="O1077" s="15" t="str">
        <v/>
      </c>
      <c r="P1077" s="22">
        <v>0</v>
      </c>
      <c r="Q1077">
        <v>0</v>
      </c>
    </row>
    <row r="1078" spans="1:17">
      <c r="A1078" s="19">
        <v>0</v>
      </c>
      <c r="B1078" s="19">
        <v>0</v>
      </c>
      <c r="C1078" s="19">
        <v>0</v>
      </c>
      <c r="D1078" s="19">
        <v>0</v>
      </c>
      <c r="E1078" s="19">
        <v>0</v>
      </c>
      <c r="F1078" s="19">
        <v>0</v>
      </c>
      <c r="G1078" s="19">
        <v>0</v>
      </c>
      <c r="H1078" s="19">
        <v>0</v>
      </c>
      <c r="I1078" s="15">
        <v>3500</v>
      </c>
      <c r="J1078" s="15">
        <v>0</v>
      </c>
      <c r="K1078" s="15">
        <v>0</v>
      </c>
      <c r="L1078" s="15">
        <v>0</v>
      </c>
      <c r="M1078" s="15">
        <v>0</v>
      </c>
      <c r="N1078" s="15" t="str">
        <v/>
      </c>
      <c r="O1078" s="15" t="str">
        <v/>
      </c>
      <c r="P1078" s="22">
        <v>0</v>
      </c>
      <c r="Q1078">
        <v>0</v>
      </c>
    </row>
    <row r="1079" spans="1:17">
      <c r="A1079" s="19">
        <v>0</v>
      </c>
      <c r="B1079" s="19">
        <v>0</v>
      </c>
      <c r="C1079" s="19">
        <v>0</v>
      </c>
      <c r="D1079" s="19">
        <v>0</v>
      </c>
      <c r="E1079" s="19">
        <v>0</v>
      </c>
      <c r="F1079" s="19">
        <v>0</v>
      </c>
      <c r="G1079" s="19">
        <v>0</v>
      </c>
      <c r="H1079" s="19">
        <v>0</v>
      </c>
      <c r="I1079" s="15">
        <v>3500</v>
      </c>
      <c r="J1079" s="15">
        <v>0</v>
      </c>
      <c r="K1079" s="15">
        <v>0</v>
      </c>
      <c r="L1079" s="15">
        <v>0</v>
      </c>
      <c r="M1079" s="15">
        <v>0</v>
      </c>
      <c r="N1079" s="15" t="str">
        <v/>
      </c>
      <c r="O1079" s="15" t="str">
        <v/>
      </c>
      <c r="P1079" s="22">
        <v>0</v>
      </c>
      <c r="Q1079">
        <v>0</v>
      </c>
    </row>
    <row r="1080" spans="1:17">
      <c r="A1080" s="19">
        <v>0</v>
      </c>
      <c r="B1080" s="19">
        <v>0</v>
      </c>
      <c r="C1080" s="19">
        <v>0</v>
      </c>
      <c r="D1080" s="19">
        <v>0</v>
      </c>
      <c r="E1080" s="19">
        <v>0</v>
      </c>
      <c r="F1080" s="19">
        <v>0</v>
      </c>
      <c r="G1080" s="19">
        <v>0</v>
      </c>
      <c r="H1080" s="19">
        <v>0</v>
      </c>
      <c r="I1080" s="15">
        <v>3500</v>
      </c>
      <c r="J1080" s="15">
        <v>0</v>
      </c>
      <c r="K1080" s="15">
        <v>0</v>
      </c>
      <c r="L1080" s="15">
        <v>0</v>
      </c>
      <c r="M1080" s="15">
        <v>0</v>
      </c>
      <c r="N1080" s="15" t="str">
        <v/>
      </c>
      <c r="O1080" s="15" t="str">
        <v/>
      </c>
      <c r="P1080" s="22">
        <v>0</v>
      </c>
      <c r="Q1080">
        <v>0</v>
      </c>
    </row>
    <row r="1081" spans="1:17">
      <c r="A1081" s="19">
        <v>0</v>
      </c>
      <c r="B1081" s="19">
        <v>0</v>
      </c>
      <c r="C1081" s="19">
        <v>0</v>
      </c>
      <c r="D1081" s="19">
        <v>0</v>
      </c>
      <c r="E1081" s="19">
        <v>0</v>
      </c>
      <c r="F1081" s="19">
        <v>0</v>
      </c>
      <c r="G1081" s="19">
        <v>0</v>
      </c>
      <c r="H1081" s="19">
        <v>0</v>
      </c>
      <c r="I1081" s="15">
        <v>3500</v>
      </c>
      <c r="J1081" s="15">
        <v>0</v>
      </c>
      <c r="K1081" s="15">
        <v>0</v>
      </c>
      <c r="L1081" s="15">
        <v>0</v>
      </c>
      <c r="M1081" s="15">
        <v>0</v>
      </c>
      <c r="N1081" s="15" t="str">
        <v/>
      </c>
      <c r="O1081" s="15" t="str">
        <v/>
      </c>
      <c r="P1081" s="22">
        <v>0</v>
      </c>
      <c r="Q1081">
        <v>0</v>
      </c>
    </row>
    <row r="1082" spans="1:17">
      <c r="A1082" s="19">
        <v>0</v>
      </c>
      <c r="B1082" s="19">
        <v>0</v>
      </c>
      <c r="C1082" s="19">
        <v>0</v>
      </c>
      <c r="D1082" s="19">
        <v>0</v>
      </c>
      <c r="E1082" s="19">
        <v>0</v>
      </c>
      <c r="F1082" s="19">
        <v>0</v>
      </c>
      <c r="G1082" s="19">
        <v>0</v>
      </c>
      <c r="H1082" s="19">
        <v>0</v>
      </c>
      <c r="I1082" s="15">
        <v>3500</v>
      </c>
      <c r="J1082" s="15">
        <v>0</v>
      </c>
      <c r="K1082" s="15">
        <v>0</v>
      </c>
      <c r="L1082" s="15">
        <v>0</v>
      </c>
      <c r="M1082" s="15">
        <v>0</v>
      </c>
      <c r="N1082" s="15" t="str">
        <v/>
      </c>
      <c r="O1082" s="15" t="str">
        <v/>
      </c>
      <c r="P1082" s="22">
        <v>0</v>
      </c>
      <c r="Q1082">
        <v>0</v>
      </c>
    </row>
    <row r="1083" spans="1:17">
      <c r="A1083" s="19">
        <v>0</v>
      </c>
      <c r="B1083" s="19">
        <v>0</v>
      </c>
      <c r="C1083" s="19">
        <v>0</v>
      </c>
      <c r="D1083" s="19">
        <v>0</v>
      </c>
      <c r="E1083" s="19">
        <v>0</v>
      </c>
      <c r="F1083" s="19">
        <v>0</v>
      </c>
      <c r="G1083" s="19">
        <v>0</v>
      </c>
      <c r="H1083" s="19">
        <v>0</v>
      </c>
      <c r="I1083" s="15">
        <v>3500</v>
      </c>
      <c r="J1083" s="15">
        <v>0</v>
      </c>
      <c r="K1083" s="15">
        <v>0</v>
      </c>
      <c r="L1083" s="15">
        <v>0</v>
      </c>
      <c r="M1083" s="15">
        <v>0</v>
      </c>
      <c r="N1083" s="15" t="str">
        <v/>
      </c>
      <c r="O1083" s="15" t="str">
        <v/>
      </c>
      <c r="P1083" s="22">
        <v>0</v>
      </c>
      <c r="Q1083">
        <v>0</v>
      </c>
    </row>
    <row r="1084" spans="1:17">
      <c r="A1084" s="19">
        <v>0</v>
      </c>
      <c r="B1084" s="19">
        <v>0</v>
      </c>
      <c r="C1084" s="19">
        <v>0</v>
      </c>
      <c r="D1084" s="19">
        <v>0</v>
      </c>
      <c r="E1084" s="19">
        <v>0</v>
      </c>
      <c r="F1084" s="19">
        <v>0</v>
      </c>
      <c r="G1084" s="19">
        <v>0</v>
      </c>
      <c r="H1084" s="19">
        <v>0</v>
      </c>
      <c r="I1084" s="15">
        <v>3500</v>
      </c>
      <c r="J1084" s="15">
        <v>0</v>
      </c>
      <c r="K1084" s="15">
        <v>0</v>
      </c>
      <c r="L1084" s="15">
        <v>0</v>
      </c>
      <c r="M1084" s="15">
        <v>0</v>
      </c>
      <c r="N1084" s="15" t="str">
        <v/>
      </c>
      <c r="O1084" s="15" t="str">
        <v/>
      </c>
      <c r="P1084" s="22">
        <v>0</v>
      </c>
      <c r="Q1084">
        <v>0</v>
      </c>
    </row>
    <row r="1085" spans="1:17">
      <c r="A1085" s="19">
        <v>0</v>
      </c>
      <c r="B1085" s="19">
        <v>0</v>
      </c>
      <c r="C1085" s="19">
        <v>0</v>
      </c>
      <c r="D1085" s="19">
        <v>0</v>
      </c>
      <c r="E1085" s="19">
        <v>0</v>
      </c>
      <c r="F1085" s="19">
        <v>0</v>
      </c>
      <c r="G1085" s="19">
        <v>0</v>
      </c>
      <c r="H1085" s="19">
        <v>0</v>
      </c>
      <c r="I1085" s="15">
        <v>3500</v>
      </c>
      <c r="J1085" s="15">
        <v>0</v>
      </c>
      <c r="K1085" s="15">
        <v>0</v>
      </c>
      <c r="L1085" s="15">
        <v>0</v>
      </c>
      <c r="M1085" s="15">
        <v>0</v>
      </c>
      <c r="N1085" s="15" t="str">
        <v/>
      </c>
      <c r="O1085" s="15" t="str">
        <v/>
      </c>
      <c r="P1085" s="22">
        <v>0</v>
      </c>
      <c r="Q1085">
        <v>0</v>
      </c>
    </row>
    <row r="1086" spans="1:17">
      <c r="A1086" s="19">
        <v>0</v>
      </c>
      <c r="B1086" s="19">
        <v>0</v>
      </c>
      <c r="C1086" s="19">
        <v>0</v>
      </c>
      <c r="D1086" s="19">
        <v>0</v>
      </c>
      <c r="E1086" s="19">
        <v>0</v>
      </c>
      <c r="F1086" s="19">
        <v>0</v>
      </c>
      <c r="G1086" s="19">
        <v>0</v>
      </c>
      <c r="H1086" s="19">
        <v>0</v>
      </c>
      <c r="I1086" s="15">
        <v>3500</v>
      </c>
      <c r="J1086" s="15">
        <v>0</v>
      </c>
      <c r="K1086" s="15">
        <v>0</v>
      </c>
      <c r="L1086" s="15">
        <v>0</v>
      </c>
      <c r="M1086" s="15">
        <v>0</v>
      </c>
      <c r="N1086" s="15" t="str">
        <v/>
      </c>
      <c r="O1086" s="15" t="str">
        <v/>
      </c>
      <c r="P1086" s="22">
        <v>0</v>
      </c>
      <c r="Q1086">
        <v>0</v>
      </c>
    </row>
    <row r="1087" spans="1:17">
      <c r="A1087" s="19">
        <v>0</v>
      </c>
      <c r="B1087" s="19">
        <v>0</v>
      </c>
      <c r="C1087" s="19">
        <v>0</v>
      </c>
      <c r="D1087" s="19">
        <v>0</v>
      </c>
      <c r="E1087" s="19">
        <v>0</v>
      </c>
      <c r="F1087" s="19">
        <v>0</v>
      </c>
      <c r="G1087" s="19">
        <v>0</v>
      </c>
      <c r="H1087" s="19">
        <v>0</v>
      </c>
      <c r="I1087" s="15">
        <v>3500</v>
      </c>
      <c r="J1087" s="15">
        <v>0</v>
      </c>
      <c r="K1087" s="15">
        <v>0</v>
      </c>
      <c r="L1087" s="15">
        <v>0</v>
      </c>
      <c r="M1087" s="15">
        <v>0</v>
      </c>
      <c r="N1087" s="15" t="str">
        <v/>
      </c>
      <c r="O1087" s="15" t="str">
        <v/>
      </c>
      <c r="P1087" s="22">
        <v>0</v>
      </c>
      <c r="Q1087">
        <v>0</v>
      </c>
    </row>
    <row r="1088" spans="1:17">
      <c r="A1088" s="19">
        <v>0</v>
      </c>
      <c r="B1088" s="19">
        <v>0</v>
      </c>
      <c r="C1088" s="19">
        <v>0</v>
      </c>
      <c r="D1088" s="19">
        <v>0</v>
      </c>
      <c r="E1088" s="19">
        <v>0</v>
      </c>
      <c r="F1088" s="19">
        <v>0</v>
      </c>
      <c r="G1088" s="19">
        <v>0</v>
      </c>
      <c r="H1088" s="19">
        <v>0</v>
      </c>
      <c r="I1088" s="15">
        <v>3500</v>
      </c>
      <c r="J1088" s="15">
        <v>0</v>
      </c>
      <c r="K1088" s="15">
        <v>0</v>
      </c>
      <c r="L1088" s="15">
        <v>0</v>
      </c>
      <c r="M1088" s="15">
        <v>0</v>
      </c>
      <c r="N1088" s="15" t="str">
        <v/>
      </c>
      <c r="O1088" s="15" t="str">
        <v/>
      </c>
      <c r="P1088" s="22">
        <v>0</v>
      </c>
      <c r="Q1088">
        <v>0</v>
      </c>
    </row>
    <row r="1089" spans="1:17">
      <c r="A1089" s="19">
        <v>0</v>
      </c>
      <c r="B1089" s="19">
        <v>0</v>
      </c>
      <c r="C1089" s="19">
        <v>0</v>
      </c>
      <c r="D1089" s="19">
        <v>0</v>
      </c>
      <c r="E1089" s="19">
        <v>0</v>
      </c>
      <c r="F1089" s="19">
        <v>0</v>
      </c>
      <c r="G1089" s="19">
        <v>0</v>
      </c>
      <c r="H1089" s="19">
        <v>0</v>
      </c>
      <c r="I1089" s="15">
        <v>3500</v>
      </c>
      <c r="J1089" s="15">
        <v>0</v>
      </c>
      <c r="K1089" s="15">
        <v>0</v>
      </c>
      <c r="L1089" s="15">
        <v>0</v>
      </c>
      <c r="M1089" s="15">
        <v>0</v>
      </c>
      <c r="N1089" s="15" t="str">
        <v/>
      </c>
      <c r="O1089" s="15" t="str">
        <v/>
      </c>
      <c r="P1089" s="22">
        <v>0</v>
      </c>
      <c r="Q1089">
        <v>0</v>
      </c>
    </row>
    <row r="1090" spans="1:17">
      <c r="A1090" s="19">
        <v>0</v>
      </c>
      <c r="B1090" s="19">
        <v>0</v>
      </c>
      <c r="C1090" s="19">
        <v>0</v>
      </c>
      <c r="D1090" s="19">
        <v>0</v>
      </c>
      <c r="E1090" s="19">
        <v>0</v>
      </c>
      <c r="F1090" s="19">
        <v>0</v>
      </c>
      <c r="G1090" s="19">
        <v>0</v>
      </c>
      <c r="H1090" s="19">
        <v>0</v>
      </c>
      <c r="I1090" s="15">
        <v>3500</v>
      </c>
      <c r="J1090" s="15">
        <v>0</v>
      </c>
      <c r="K1090" s="15">
        <v>0</v>
      </c>
      <c r="L1090" s="15">
        <v>0</v>
      </c>
      <c r="M1090" s="15">
        <v>0</v>
      </c>
      <c r="N1090" s="15" t="str">
        <v/>
      </c>
      <c r="O1090" s="15" t="str">
        <v/>
      </c>
      <c r="P1090" s="22">
        <v>0</v>
      </c>
      <c r="Q1090">
        <v>0</v>
      </c>
    </row>
    <row r="1091" spans="1:17">
      <c r="A1091" s="19">
        <v>0</v>
      </c>
      <c r="B1091" s="19">
        <v>0</v>
      </c>
      <c r="C1091" s="19">
        <v>0</v>
      </c>
      <c r="D1091" s="19">
        <v>0</v>
      </c>
      <c r="E1091" s="19">
        <v>0</v>
      </c>
      <c r="F1091" s="19">
        <v>0</v>
      </c>
      <c r="G1091" s="19">
        <v>0</v>
      </c>
      <c r="H1091" s="19">
        <v>0</v>
      </c>
      <c r="I1091" s="15">
        <v>3500</v>
      </c>
      <c r="J1091" s="15">
        <v>0</v>
      </c>
      <c r="K1091" s="15">
        <v>0</v>
      </c>
      <c r="L1091" s="15">
        <v>0</v>
      </c>
      <c r="M1091" s="15">
        <v>0</v>
      </c>
      <c r="N1091" s="15" t="str">
        <v/>
      </c>
      <c r="O1091" s="15" t="str">
        <v/>
      </c>
      <c r="P1091" s="22">
        <v>0</v>
      </c>
      <c r="Q1091">
        <v>0</v>
      </c>
    </row>
    <row r="1092" spans="1:17">
      <c r="A1092" s="19">
        <v>0</v>
      </c>
      <c r="B1092" s="19">
        <v>0</v>
      </c>
      <c r="C1092" s="19">
        <v>0</v>
      </c>
      <c r="D1092" s="19">
        <v>0</v>
      </c>
      <c r="E1092" s="19">
        <v>0</v>
      </c>
      <c r="F1092" s="19">
        <v>0</v>
      </c>
      <c r="G1092" s="19">
        <v>0</v>
      </c>
      <c r="H1092" s="19">
        <v>0</v>
      </c>
      <c r="I1092" s="15">
        <v>3500</v>
      </c>
      <c r="J1092" s="15">
        <v>0</v>
      </c>
      <c r="K1092" s="15">
        <v>0</v>
      </c>
      <c r="L1092" s="15">
        <v>0</v>
      </c>
      <c r="M1092" s="15">
        <v>0</v>
      </c>
      <c r="N1092" s="15" t="str">
        <v/>
      </c>
      <c r="O1092" s="15" t="str">
        <v/>
      </c>
      <c r="P1092" s="22">
        <v>0</v>
      </c>
      <c r="Q1092">
        <v>0</v>
      </c>
    </row>
    <row r="1093" spans="1:17">
      <c r="A1093" s="19">
        <v>0</v>
      </c>
      <c r="B1093" s="19">
        <v>0</v>
      </c>
      <c r="C1093" s="19">
        <v>0</v>
      </c>
      <c r="D1093" s="19">
        <v>0</v>
      </c>
      <c r="E1093" s="19">
        <v>0</v>
      </c>
      <c r="F1093" s="19">
        <v>0</v>
      </c>
      <c r="G1093" s="19">
        <v>0</v>
      </c>
      <c r="H1093" s="19">
        <v>0</v>
      </c>
      <c r="I1093" s="15">
        <v>3500</v>
      </c>
      <c r="J1093" s="15">
        <v>0</v>
      </c>
      <c r="K1093" s="15">
        <v>0</v>
      </c>
      <c r="L1093" s="15">
        <v>0</v>
      </c>
      <c r="M1093" s="15">
        <v>0</v>
      </c>
      <c r="N1093" s="15" t="str">
        <v/>
      </c>
      <c r="O1093" s="15" t="str">
        <v/>
      </c>
      <c r="P1093" s="22">
        <v>0</v>
      </c>
      <c r="Q1093">
        <v>0</v>
      </c>
    </row>
    <row r="1094" spans="1:17">
      <c r="A1094" s="19">
        <v>0</v>
      </c>
      <c r="B1094" s="19">
        <v>0</v>
      </c>
      <c r="C1094" s="19">
        <v>0</v>
      </c>
      <c r="D1094" s="19">
        <v>0</v>
      </c>
      <c r="E1094" s="19">
        <v>0</v>
      </c>
      <c r="F1094" s="19">
        <v>0</v>
      </c>
      <c r="G1094" s="19">
        <v>0</v>
      </c>
      <c r="H1094" s="19">
        <v>0</v>
      </c>
      <c r="I1094" s="15">
        <v>3500</v>
      </c>
      <c r="J1094" s="15">
        <v>0</v>
      </c>
      <c r="K1094" s="15">
        <v>0</v>
      </c>
      <c r="L1094" s="15">
        <v>0</v>
      </c>
      <c r="M1094" s="15">
        <v>0</v>
      </c>
      <c r="N1094" s="15" t="str">
        <v/>
      </c>
      <c r="O1094" s="15" t="str">
        <v/>
      </c>
      <c r="P1094" s="22">
        <v>0</v>
      </c>
      <c r="Q1094">
        <v>0</v>
      </c>
    </row>
    <row r="1095" spans="1:17">
      <c r="A1095" s="19">
        <v>0</v>
      </c>
      <c r="B1095" s="19">
        <v>0</v>
      </c>
      <c r="C1095" s="19">
        <v>0</v>
      </c>
      <c r="D1095" s="19">
        <v>0</v>
      </c>
      <c r="E1095" s="19">
        <v>0</v>
      </c>
      <c r="F1095" s="19">
        <v>0</v>
      </c>
      <c r="G1095" s="19">
        <v>0</v>
      </c>
      <c r="H1095" s="19">
        <v>0</v>
      </c>
      <c r="I1095" s="15">
        <v>3500</v>
      </c>
      <c r="J1095" s="15">
        <v>0</v>
      </c>
      <c r="K1095" s="15">
        <v>0</v>
      </c>
      <c r="L1095" s="15">
        <v>0</v>
      </c>
      <c r="M1095" s="15">
        <v>0</v>
      </c>
      <c r="N1095" s="15" t="str">
        <v/>
      </c>
      <c r="O1095" s="15" t="str">
        <v/>
      </c>
      <c r="P1095" s="22">
        <v>0</v>
      </c>
      <c r="Q1095">
        <v>0</v>
      </c>
    </row>
    <row r="1096" spans="1:17">
      <c r="A1096" s="19">
        <v>0</v>
      </c>
      <c r="B1096" s="19">
        <v>0</v>
      </c>
      <c r="C1096" s="19">
        <v>0</v>
      </c>
      <c r="D1096" s="19">
        <v>0</v>
      </c>
      <c r="E1096" s="19">
        <v>0</v>
      </c>
      <c r="F1096" s="19">
        <v>0</v>
      </c>
      <c r="G1096" s="19">
        <v>0</v>
      </c>
      <c r="H1096" s="19">
        <v>0</v>
      </c>
      <c r="I1096" s="15">
        <v>3500</v>
      </c>
      <c r="J1096" s="15">
        <v>0</v>
      </c>
      <c r="K1096" s="15">
        <v>0</v>
      </c>
      <c r="L1096" s="15">
        <v>0</v>
      </c>
      <c r="M1096" s="15">
        <v>0</v>
      </c>
      <c r="N1096" s="15" t="str">
        <v/>
      </c>
      <c r="O1096" s="15" t="str">
        <v/>
      </c>
      <c r="P1096" s="22">
        <v>0</v>
      </c>
      <c r="Q1096">
        <v>0</v>
      </c>
    </row>
    <row r="1097" spans="1:17">
      <c r="A1097" s="19">
        <v>0</v>
      </c>
      <c r="B1097" s="19">
        <v>0</v>
      </c>
      <c r="C1097" s="19">
        <v>0</v>
      </c>
      <c r="D1097" s="19">
        <v>0</v>
      </c>
      <c r="E1097" s="19">
        <v>0</v>
      </c>
      <c r="F1097" s="19">
        <v>0</v>
      </c>
      <c r="G1097" s="19">
        <v>0</v>
      </c>
      <c r="H1097" s="19">
        <v>0</v>
      </c>
      <c r="I1097" s="15">
        <v>3500</v>
      </c>
      <c r="J1097" s="15">
        <v>0</v>
      </c>
      <c r="K1097" s="15">
        <v>0</v>
      </c>
      <c r="L1097" s="15">
        <v>0</v>
      </c>
      <c r="M1097" s="15">
        <v>0</v>
      </c>
      <c r="N1097" s="15" t="str">
        <v/>
      </c>
      <c r="O1097" s="15" t="str">
        <v/>
      </c>
      <c r="P1097" s="22">
        <v>0</v>
      </c>
      <c r="Q1097">
        <v>0</v>
      </c>
    </row>
    <row r="1098" spans="1:17">
      <c r="A1098" s="19">
        <v>0</v>
      </c>
      <c r="B1098" s="19">
        <v>0</v>
      </c>
      <c r="C1098" s="19">
        <v>0</v>
      </c>
      <c r="D1098" s="19">
        <v>0</v>
      </c>
      <c r="E1098" s="19">
        <v>0</v>
      </c>
      <c r="F1098" s="19">
        <v>0</v>
      </c>
      <c r="G1098" s="19">
        <v>0</v>
      </c>
      <c r="H1098" s="19">
        <v>0</v>
      </c>
      <c r="I1098" s="15">
        <v>3500</v>
      </c>
      <c r="J1098" s="15">
        <v>0</v>
      </c>
      <c r="K1098" s="15">
        <v>0</v>
      </c>
      <c r="L1098" s="15">
        <v>0</v>
      </c>
      <c r="M1098" s="15">
        <v>0</v>
      </c>
      <c r="N1098" s="15" t="str">
        <v/>
      </c>
      <c r="O1098" s="15" t="str">
        <v/>
      </c>
      <c r="P1098" s="22">
        <v>0</v>
      </c>
      <c r="Q1098">
        <v>0</v>
      </c>
    </row>
    <row r="1099" spans="1:17">
      <c r="A1099" s="19">
        <v>0</v>
      </c>
      <c r="B1099" s="19">
        <v>0</v>
      </c>
      <c r="C1099" s="19">
        <v>0</v>
      </c>
      <c r="D1099" s="19">
        <v>0</v>
      </c>
      <c r="E1099" s="19">
        <v>0</v>
      </c>
      <c r="F1099" s="19">
        <v>0</v>
      </c>
      <c r="G1099" s="19">
        <v>0</v>
      </c>
      <c r="H1099" s="19">
        <v>0</v>
      </c>
      <c r="I1099" s="15">
        <v>3500</v>
      </c>
      <c r="J1099" s="15">
        <v>0</v>
      </c>
      <c r="K1099" s="15">
        <v>0</v>
      </c>
      <c r="L1099" s="15">
        <v>0</v>
      </c>
      <c r="M1099" s="15">
        <v>0</v>
      </c>
      <c r="N1099" s="15" t="str">
        <v/>
      </c>
      <c r="O1099" s="15" t="str">
        <v/>
      </c>
      <c r="P1099" s="22">
        <v>0</v>
      </c>
      <c r="Q1099">
        <v>0</v>
      </c>
    </row>
    <row r="1100" spans="1:17">
      <c r="A1100" s="19">
        <v>0</v>
      </c>
      <c r="B1100" s="19">
        <v>0</v>
      </c>
      <c r="C1100" s="19">
        <v>0</v>
      </c>
      <c r="D1100" s="19">
        <v>0</v>
      </c>
      <c r="E1100" s="19">
        <v>0</v>
      </c>
      <c r="F1100" s="19">
        <v>0</v>
      </c>
      <c r="G1100" s="19">
        <v>0</v>
      </c>
      <c r="H1100" s="19">
        <v>0</v>
      </c>
      <c r="I1100" s="15">
        <v>3500</v>
      </c>
      <c r="J1100" s="15">
        <v>0</v>
      </c>
      <c r="K1100" s="15">
        <v>0</v>
      </c>
      <c r="L1100" s="15">
        <v>0</v>
      </c>
      <c r="M1100" s="15">
        <v>0</v>
      </c>
      <c r="N1100" s="15" t="str">
        <v/>
      </c>
      <c r="O1100" s="15" t="str">
        <v/>
      </c>
      <c r="P1100" s="22">
        <v>0</v>
      </c>
      <c r="Q1100">
        <v>0</v>
      </c>
    </row>
    <row r="1101" spans="1:17">
      <c r="A1101" s="19">
        <v>0</v>
      </c>
      <c r="B1101" s="19">
        <v>0</v>
      </c>
      <c r="C1101" s="19">
        <v>0</v>
      </c>
      <c r="D1101" s="19">
        <v>0</v>
      </c>
      <c r="E1101" s="19">
        <v>0</v>
      </c>
      <c r="F1101" s="19">
        <v>0</v>
      </c>
      <c r="G1101" s="19">
        <v>0</v>
      </c>
      <c r="H1101" s="19">
        <v>0</v>
      </c>
      <c r="I1101" s="15">
        <v>3500</v>
      </c>
      <c r="J1101" s="15">
        <v>0</v>
      </c>
      <c r="K1101" s="15">
        <v>0</v>
      </c>
      <c r="L1101" s="15">
        <v>0</v>
      </c>
      <c r="M1101" s="15">
        <v>0</v>
      </c>
      <c r="N1101" s="15" t="str">
        <v/>
      </c>
      <c r="O1101" s="15" t="str">
        <v/>
      </c>
      <c r="P1101" s="22">
        <v>0</v>
      </c>
      <c r="Q1101">
        <v>0</v>
      </c>
    </row>
    <row r="1102" spans="1:17">
      <c r="A1102" s="19">
        <v>0</v>
      </c>
      <c r="B1102" s="19">
        <v>0</v>
      </c>
      <c r="C1102" s="19">
        <v>0</v>
      </c>
      <c r="D1102" s="19">
        <v>0</v>
      </c>
      <c r="E1102" s="19">
        <v>0</v>
      </c>
      <c r="F1102" s="19">
        <v>0</v>
      </c>
      <c r="G1102" s="19">
        <v>0</v>
      </c>
      <c r="H1102" s="19">
        <v>0</v>
      </c>
      <c r="I1102" s="15">
        <v>3500</v>
      </c>
      <c r="J1102" s="15">
        <v>0</v>
      </c>
      <c r="K1102" s="15">
        <v>0</v>
      </c>
      <c r="L1102" s="15">
        <v>0</v>
      </c>
      <c r="M1102" s="15">
        <v>0</v>
      </c>
      <c r="N1102" s="15" t="str">
        <v/>
      </c>
      <c r="O1102" s="15" t="str">
        <v/>
      </c>
      <c r="P1102" s="22">
        <v>0</v>
      </c>
      <c r="Q1102">
        <v>0</v>
      </c>
    </row>
    <row r="1103" spans="1:17">
      <c r="A1103" s="19">
        <v>0</v>
      </c>
      <c r="B1103" s="19">
        <v>0</v>
      </c>
      <c r="C1103" s="19">
        <v>0</v>
      </c>
      <c r="D1103" s="19">
        <v>0</v>
      </c>
      <c r="E1103" s="19">
        <v>0</v>
      </c>
      <c r="F1103" s="19">
        <v>0</v>
      </c>
      <c r="G1103" s="19">
        <v>0</v>
      </c>
      <c r="H1103" s="19">
        <v>0</v>
      </c>
      <c r="I1103" s="15">
        <v>3500</v>
      </c>
      <c r="J1103" s="15">
        <v>0</v>
      </c>
      <c r="K1103" s="15">
        <v>0</v>
      </c>
      <c r="L1103" s="15">
        <v>0</v>
      </c>
      <c r="M1103" s="15">
        <v>0</v>
      </c>
      <c r="N1103" s="15" t="str">
        <v/>
      </c>
      <c r="O1103" s="15" t="str">
        <v/>
      </c>
      <c r="P1103" s="22">
        <v>0</v>
      </c>
      <c r="Q1103">
        <v>0</v>
      </c>
    </row>
    <row r="1104" spans="1:17">
      <c r="A1104" s="19">
        <v>0</v>
      </c>
      <c r="B1104" s="19">
        <v>0</v>
      </c>
      <c r="C1104" s="19">
        <v>0</v>
      </c>
      <c r="D1104" s="19">
        <v>0</v>
      </c>
      <c r="E1104" s="19">
        <v>0</v>
      </c>
      <c r="F1104" s="19">
        <v>0</v>
      </c>
      <c r="G1104" s="19">
        <v>0</v>
      </c>
      <c r="H1104" s="19">
        <v>0</v>
      </c>
      <c r="I1104" s="15">
        <v>3500</v>
      </c>
      <c r="J1104" s="15">
        <v>0</v>
      </c>
      <c r="K1104" s="15">
        <v>0</v>
      </c>
      <c r="L1104" s="15">
        <v>0</v>
      </c>
      <c r="M1104" s="15">
        <v>0</v>
      </c>
      <c r="N1104" s="15" t="str">
        <v/>
      </c>
      <c r="O1104" s="15" t="str">
        <v/>
      </c>
      <c r="P1104" s="22">
        <v>0</v>
      </c>
      <c r="Q1104">
        <v>0</v>
      </c>
    </row>
    <row r="1105" spans="1:17">
      <c r="A1105" s="19">
        <v>0</v>
      </c>
      <c r="B1105" s="19">
        <v>0</v>
      </c>
      <c r="C1105" s="19">
        <v>0</v>
      </c>
      <c r="D1105" s="19">
        <v>0</v>
      </c>
      <c r="E1105" s="19">
        <v>0</v>
      </c>
      <c r="F1105" s="19">
        <v>0</v>
      </c>
      <c r="G1105" s="19">
        <v>0</v>
      </c>
      <c r="H1105" s="19">
        <v>0</v>
      </c>
      <c r="I1105" s="15">
        <v>3500</v>
      </c>
      <c r="J1105" s="15">
        <v>0</v>
      </c>
      <c r="K1105" s="15">
        <v>0</v>
      </c>
      <c r="L1105" s="15">
        <v>0</v>
      </c>
      <c r="M1105" s="15">
        <v>0</v>
      </c>
      <c r="N1105" s="15" t="str">
        <v/>
      </c>
      <c r="O1105" s="15" t="str">
        <v/>
      </c>
      <c r="P1105" s="22">
        <v>0</v>
      </c>
      <c r="Q1105">
        <v>0</v>
      </c>
    </row>
    <row r="1106" spans="1:17">
      <c r="A1106" s="19">
        <v>0</v>
      </c>
      <c r="B1106" s="19">
        <v>0</v>
      </c>
      <c r="C1106" s="19">
        <v>0</v>
      </c>
      <c r="D1106" s="19">
        <v>0</v>
      </c>
      <c r="E1106" s="19">
        <v>0</v>
      </c>
      <c r="F1106" s="19">
        <v>0</v>
      </c>
      <c r="G1106" s="19">
        <v>0</v>
      </c>
      <c r="H1106" s="19">
        <v>0</v>
      </c>
      <c r="I1106" s="15">
        <v>3500</v>
      </c>
      <c r="J1106" s="15">
        <v>0</v>
      </c>
      <c r="K1106" s="15">
        <v>0</v>
      </c>
      <c r="L1106" s="15">
        <v>0</v>
      </c>
      <c r="M1106" s="15">
        <v>0</v>
      </c>
      <c r="N1106" s="15" t="str">
        <v/>
      </c>
      <c r="O1106" s="15" t="str">
        <v/>
      </c>
      <c r="P1106" s="22">
        <v>0</v>
      </c>
      <c r="Q1106">
        <v>0</v>
      </c>
    </row>
    <row r="1107" spans="1:17">
      <c r="A1107" s="19">
        <v>0</v>
      </c>
      <c r="B1107" s="19">
        <v>0</v>
      </c>
      <c r="C1107" s="19">
        <v>0</v>
      </c>
      <c r="D1107" s="19">
        <v>0</v>
      </c>
      <c r="E1107" s="19">
        <v>0</v>
      </c>
      <c r="F1107" s="19">
        <v>0</v>
      </c>
      <c r="G1107" s="19">
        <v>0</v>
      </c>
      <c r="H1107" s="19">
        <v>0</v>
      </c>
      <c r="I1107" s="15">
        <v>3500</v>
      </c>
      <c r="J1107" s="15">
        <v>0</v>
      </c>
      <c r="K1107" s="15">
        <v>0</v>
      </c>
      <c r="L1107" s="15">
        <v>0</v>
      </c>
      <c r="M1107" s="15">
        <v>0</v>
      </c>
      <c r="N1107" s="15" t="str">
        <v/>
      </c>
      <c r="O1107" s="15" t="str">
        <v/>
      </c>
      <c r="P1107" s="22">
        <v>0</v>
      </c>
      <c r="Q1107">
        <v>0</v>
      </c>
    </row>
    <row r="1108" spans="1:17">
      <c r="A1108" s="19">
        <v>0</v>
      </c>
      <c r="B1108" s="19">
        <v>0</v>
      </c>
      <c r="C1108" s="19">
        <v>0</v>
      </c>
      <c r="D1108" s="19">
        <v>0</v>
      </c>
      <c r="E1108" s="19">
        <v>0</v>
      </c>
      <c r="F1108" s="19">
        <v>0</v>
      </c>
      <c r="G1108" s="19">
        <v>0</v>
      </c>
      <c r="H1108" s="19">
        <v>0</v>
      </c>
      <c r="I1108" s="15">
        <v>3500</v>
      </c>
      <c r="J1108" s="15">
        <v>0</v>
      </c>
      <c r="K1108" s="15">
        <v>0</v>
      </c>
      <c r="L1108" s="15">
        <v>0</v>
      </c>
      <c r="M1108" s="15">
        <v>0</v>
      </c>
      <c r="N1108" s="15" t="str">
        <v/>
      </c>
      <c r="O1108" s="15" t="str">
        <v/>
      </c>
      <c r="P1108" s="22">
        <v>0</v>
      </c>
      <c r="Q1108">
        <v>0</v>
      </c>
    </row>
    <row r="1109" spans="1:17">
      <c r="A1109" s="19">
        <v>0</v>
      </c>
      <c r="B1109" s="19">
        <v>0</v>
      </c>
      <c r="C1109" s="19">
        <v>0</v>
      </c>
      <c r="D1109" s="19">
        <v>0</v>
      </c>
      <c r="E1109" s="19">
        <v>0</v>
      </c>
      <c r="F1109" s="19">
        <v>0</v>
      </c>
      <c r="G1109" s="19">
        <v>0</v>
      </c>
      <c r="H1109" s="19">
        <v>0</v>
      </c>
      <c r="I1109" s="15">
        <v>3500</v>
      </c>
      <c r="J1109" s="15">
        <v>0</v>
      </c>
      <c r="K1109" s="15">
        <v>0</v>
      </c>
      <c r="L1109" s="15">
        <v>0</v>
      </c>
      <c r="M1109" s="15">
        <v>0</v>
      </c>
      <c r="N1109" s="15" t="str">
        <v/>
      </c>
      <c r="O1109" s="15" t="str">
        <v/>
      </c>
      <c r="P1109" s="22">
        <v>0</v>
      </c>
      <c r="Q1109">
        <v>0</v>
      </c>
    </row>
    <row r="1110" spans="1:17">
      <c r="A1110" s="19">
        <v>0</v>
      </c>
      <c r="B1110" s="19">
        <v>0</v>
      </c>
      <c r="C1110" s="19">
        <v>0</v>
      </c>
      <c r="D1110" s="19">
        <v>0</v>
      </c>
      <c r="E1110" s="19">
        <v>0</v>
      </c>
      <c r="F1110" s="19">
        <v>0</v>
      </c>
      <c r="G1110" s="19">
        <v>0</v>
      </c>
      <c r="H1110" s="19">
        <v>0</v>
      </c>
      <c r="I1110" s="15">
        <v>3500</v>
      </c>
      <c r="J1110" s="15">
        <v>0</v>
      </c>
      <c r="K1110" s="15">
        <v>0</v>
      </c>
      <c r="L1110" s="15">
        <v>0</v>
      </c>
      <c r="M1110" s="15">
        <v>0</v>
      </c>
      <c r="N1110" s="15" t="str">
        <v/>
      </c>
      <c r="O1110" s="15" t="str">
        <v/>
      </c>
      <c r="P1110" s="22">
        <v>0</v>
      </c>
      <c r="Q1110">
        <v>0</v>
      </c>
    </row>
    <row r="1111" spans="1:17">
      <c r="A1111" s="19">
        <v>0</v>
      </c>
      <c r="B1111" s="19">
        <v>0</v>
      </c>
      <c r="C1111" s="19">
        <v>0</v>
      </c>
      <c r="D1111" s="19">
        <v>0</v>
      </c>
      <c r="E1111" s="19">
        <v>0</v>
      </c>
      <c r="F1111" s="19">
        <v>0</v>
      </c>
      <c r="G1111" s="19">
        <v>0</v>
      </c>
      <c r="H1111" s="19">
        <v>0</v>
      </c>
      <c r="I1111" s="15">
        <v>3500</v>
      </c>
      <c r="J1111" s="15">
        <v>0</v>
      </c>
      <c r="K1111" s="15">
        <v>0</v>
      </c>
      <c r="L1111" s="15">
        <v>0</v>
      </c>
      <c r="M1111" s="15">
        <v>0</v>
      </c>
      <c r="N1111" s="15" t="str">
        <v/>
      </c>
      <c r="O1111" s="15" t="str">
        <v/>
      </c>
      <c r="P1111" s="22">
        <v>0</v>
      </c>
      <c r="Q1111">
        <v>0</v>
      </c>
    </row>
    <row r="1112" spans="1:17">
      <c r="A1112" s="19">
        <v>0</v>
      </c>
      <c r="B1112" s="19">
        <v>0</v>
      </c>
      <c r="C1112" s="19">
        <v>0</v>
      </c>
      <c r="D1112" s="19">
        <v>0</v>
      </c>
      <c r="E1112" s="19">
        <v>0</v>
      </c>
      <c r="F1112" s="19">
        <v>0</v>
      </c>
      <c r="G1112" s="19">
        <v>0</v>
      </c>
      <c r="H1112" s="19">
        <v>0</v>
      </c>
      <c r="I1112" s="15">
        <v>3500</v>
      </c>
      <c r="J1112" s="15">
        <v>0</v>
      </c>
      <c r="K1112" s="15">
        <v>0</v>
      </c>
      <c r="L1112" s="15">
        <v>0</v>
      </c>
      <c r="M1112" s="15">
        <v>0</v>
      </c>
      <c r="N1112" s="15" t="str">
        <v/>
      </c>
      <c r="O1112" s="15" t="str">
        <v/>
      </c>
      <c r="P1112" s="22">
        <v>0</v>
      </c>
      <c r="Q1112">
        <v>0</v>
      </c>
    </row>
    <row r="1113" spans="1:17">
      <c r="A1113" s="19">
        <v>0</v>
      </c>
      <c r="B1113" s="19">
        <v>0</v>
      </c>
      <c r="C1113" s="19">
        <v>0</v>
      </c>
      <c r="D1113" s="19">
        <v>0</v>
      </c>
      <c r="E1113" s="19">
        <v>0</v>
      </c>
      <c r="F1113" s="19">
        <v>0</v>
      </c>
      <c r="G1113" s="19">
        <v>0</v>
      </c>
      <c r="H1113" s="19">
        <v>0</v>
      </c>
      <c r="I1113" s="15">
        <v>3500</v>
      </c>
      <c r="J1113" s="15">
        <v>0</v>
      </c>
      <c r="K1113" s="15">
        <v>0</v>
      </c>
      <c r="L1113" s="15">
        <v>0</v>
      </c>
      <c r="M1113" s="15">
        <v>0</v>
      </c>
      <c r="N1113" s="15" t="str">
        <v/>
      </c>
      <c r="O1113" s="15" t="str">
        <v/>
      </c>
      <c r="P1113" s="22">
        <v>0</v>
      </c>
      <c r="Q1113">
        <v>0</v>
      </c>
    </row>
    <row r="1114" spans="1:17">
      <c r="A1114" s="19">
        <v>0</v>
      </c>
      <c r="B1114" s="19">
        <v>0</v>
      </c>
      <c r="C1114" s="19">
        <v>0</v>
      </c>
      <c r="D1114" s="19">
        <v>0</v>
      </c>
      <c r="E1114" s="19">
        <v>0</v>
      </c>
      <c r="F1114" s="19">
        <v>0</v>
      </c>
      <c r="G1114" s="19">
        <v>0</v>
      </c>
      <c r="H1114" s="19">
        <v>0</v>
      </c>
      <c r="I1114" s="15">
        <v>3500</v>
      </c>
      <c r="J1114" s="15">
        <v>0</v>
      </c>
      <c r="K1114" s="15">
        <v>0</v>
      </c>
      <c r="L1114" s="15">
        <v>0</v>
      </c>
      <c r="M1114" s="15">
        <v>0</v>
      </c>
      <c r="N1114" s="15" t="str">
        <v/>
      </c>
      <c r="O1114" s="15" t="str">
        <v/>
      </c>
      <c r="P1114" s="22">
        <v>0</v>
      </c>
      <c r="Q1114">
        <v>0</v>
      </c>
    </row>
    <row r="1115" spans="1:17">
      <c r="A1115" s="19">
        <v>0</v>
      </c>
      <c r="B1115" s="19">
        <v>0</v>
      </c>
      <c r="C1115" s="19">
        <v>0</v>
      </c>
      <c r="D1115" s="19">
        <v>0</v>
      </c>
      <c r="E1115" s="19">
        <v>0</v>
      </c>
      <c r="F1115" s="19">
        <v>0</v>
      </c>
      <c r="G1115" s="19">
        <v>0</v>
      </c>
      <c r="H1115" s="19">
        <v>0</v>
      </c>
      <c r="I1115" s="15">
        <v>3500</v>
      </c>
      <c r="J1115" s="15">
        <v>0</v>
      </c>
      <c r="K1115" s="15">
        <v>0</v>
      </c>
      <c r="L1115" s="15">
        <v>0</v>
      </c>
      <c r="M1115" s="15">
        <v>0</v>
      </c>
      <c r="N1115" s="15" t="str">
        <v/>
      </c>
      <c r="O1115" s="15" t="str">
        <v/>
      </c>
      <c r="P1115" s="22">
        <v>0</v>
      </c>
      <c r="Q1115">
        <v>0</v>
      </c>
    </row>
    <row r="1116" spans="1:17">
      <c r="A1116" s="19">
        <v>0</v>
      </c>
      <c r="B1116" s="19">
        <v>0</v>
      </c>
      <c r="C1116" s="19">
        <v>0</v>
      </c>
      <c r="D1116" s="19">
        <v>0</v>
      </c>
      <c r="E1116" s="19">
        <v>0</v>
      </c>
      <c r="F1116" s="19">
        <v>0</v>
      </c>
      <c r="G1116" s="19">
        <v>0</v>
      </c>
      <c r="H1116" s="19">
        <v>0</v>
      </c>
      <c r="I1116" s="15">
        <v>3500</v>
      </c>
      <c r="J1116" s="15">
        <v>0</v>
      </c>
      <c r="K1116" s="15">
        <v>0</v>
      </c>
      <c r="L1116" s="15">
        <v>0</v>
      </c>
      <c r="M1116" s="15">
        <v>0</v>
      </c>
      <c r="N1116" s="15" t="str">
        <v/>
      </c>
      <c r="O1116" s="15" t="str">
        <v/>
      </c>
      <c r="P1116" s="22">
        <v>0</v>
      </c>
      <c r="Q1116">
        <v>0</v>
      </c>
    </row>
    <row r="1117" spans="1:17">
      <c r="A1117" s="19">
        <v>0</v>
      </c>
      <c r="B1117" s="19">
        <v>0</v>
      </c>
      <c r="C1117" s="19">
        <v>0</v>
      </c>
      <c r="D1117" s="19">
        <v>0</v>
      </c>
      <c r="E1117" s="19">
        <v>0</v>
      </c>
      <c r="F1117" s="19">
        <v>0</v>
      </c>
      <c r="G1117" s="19">
        <v>0</v>
      </c>
      <c r="H1117" s="19">
        <v>0</v>
      </c>
      <c r="I1117" s="15">
        <v>3500</v>
      </c>
      <c r="J1117" s="15">
        <v>0</v>
      </c>
      <c r="K1117" s="15">
        <v>0</v>
      </c>
      <c r="L1117" s="15">
        <v>0</v>
      </c>
      <c r="M1117" s="15">
        <v>0</v>
      </c>
      <c r="N1117" s="15" t="str">
        <v/>
      </c>
      <c r="O1117" s="15" t="str">
        <v/>
      </c>
      <c r="P1117" s="22">
        <v>0</v>
      </c>
      <c r="Q1117">
        <v>0</v>
      </c>
    </row>
    <row r="1118" spans="1:17">
      <c r="A1118" s="19">
        <v>0</v>
      </c>
      <c r="B1118" s="19">
        <v>0</v>
      </c>
      <c r="C1118" s="19">
        <v>0</v>
      </c>
      <c r="D1118" s="19">
        <v>0</v>
      </c>
      <c r="E1118" s="19">
        <v>0</v>
      </c>
      <c r="F1118" s="19">
        <v>0</v>
      </c>
      <c r="G1118" s="19">
        <v>0</v>
      </c>
      <c r="H1118" s="19">
        <v>0</v>
      </c>
      <c r="I1118" s="15">
        <v>3500</v>
      </c>
      <c r="J1118" s="15">
        <v>0</v>
      </c>
      <c r="K1118" s="15">
        <v>0</v>
      </c>
      <c r="L1118" s="15">
        <v>0</v>
      </c>
      <c r="M1118" s="15">
        <v>0</v>
      </c>
      <c r="N1118" s="15" t="str">
        <v/>
      </c>
      <c r="O1118" s="15" t="str">
        <v/>
      </c>
      <c r="P1118" s="22">
        <v>0</v>
      </c>
      <c r="Q1118">
        <v>0</v>
      </c>
    </row>
    <row r="1119" spans="1:17">
      <c r="A1119" s="19">
        <v>0</v>
      </c>
      <c r="B1119" s="19">
        <v>0</v>
      </c>
      <c r="C1119" s="19">
        <v>0</v>
      </c>
      <c r="D1119" s="19">
        <v>0</v>
      </c>
      <c r="E1119" s="19">
        <v>0</v>
      </c>
      <c r="F1119" s="19">
        <v>0</v>
      </c>
      <c r="G1119" s="19">
        <v>0</v>
      </c>
      <c r="H1119" s="19">
        <v>0</v>
      </c>
      <c r="I1119" s="15">
        <v>3500</v>
      </c>
      <c r="J1119" s="15">
        <v>0</v>
      </c>
      <c r="K1119" s="15">
        <v>0</v>
      </c>
      <c r="L1119" s="15">
        <v>0</v>
      </c>
      <c r="M1119" s="15">
        <v>0</v>
      </c>
      <c r="N1119" s="15" t="str">
        <v/>
      </c>
      <c r="O1119" s="15" t="str">
        <v/>
      </c>
      <c r="P1119" s="22">
        <v>0</v>
      </c>
      <c r="Q1119">
        <v>0</v>
      </c>
    </row>
    <row r="1120" spans="1:17">
      <c r="A1120" s="19">
        <v>0</v>
      </c>
      <c r="B1120" s="19">
        <v>0</v>
      </c>
      <c r="C1120" s="19">
        <v>0</v>
      </c>
      <c r="D1120" s="19">
        <v>0</v>
      </c>
      <c r="E1120" s="19">
        <v>0</v>
      </c>
      <c r="F1120" s="19">
        <v>0</v>
      </c>
      <c r="G1120" s="19">
        <v>0</v>
      </c>
      <c r="H1120" s="19">
        <v>0</v>
      </c>
      <c r="I1120" s="15">
        <v>3500</v>
      </c>
      <c r="J1120" s="15">
        <v>0</v>
      </c>
      <c r="K1120" s="15">
        <v>0</v>
      </c>
      <c r="L1120" s="15">
        <v>0</v>
      </c>
      <c r="M1120" s="15">
        <v>0</v>
      </c>
      <c r="N1120" s="15" t="str">
        <v/>
      </c>
      <c r="O1120" s="15" t="str">
        <v/>
      </c>
      <c r="P1120" s="22">
        <v>0</v>
      </c>
      <c r="Q1120">
        <v>0</v>
      </c>
    </row>
    <row r="1121" spans="1:17">
      <c r="A1121" s="19">
        <v>0</v>
      </c>
      <c r="B1121" s="19">
        <v>0</v>
      </c>
      <c r="C1121" s="19">
        <v>0</v>
      </c>
      <c r="D1121" s="19">
        <v>0</v>
      </c>
      <c r="E1121" s="19">
        <v>0</v>
      </c>
      <c r="F1121" s="19">
        <v>0</v>
      </c>
      <c r="G1121" s="19">
        <v>0</v>
      </c>
      <c r="H1121" s="19">
        <v>0</v>
      </c>
      <c r="I1121" s="15">
        <v>3500</v>
      </c>
      <c r="J1121" s="15">
        <v>0</v>
      </c>
      <c r="K1121" s="15">
        <v>0</v>
      </c>
      <c r="L1121" s="15">
        <v>0</v>
      </c>
      <c r="M1121" s="15">
        <v>0</v>
      </c>
      <c r="N1121" s="15" t="str">
        <v/>
      </c>
      <c r="O1121" s="15" t="str">
        <v/>
      </c>
      <c r="P1121" s="22">
        <v>0</v>
      </c>
      <c r="Q1121">
        <v>0</v>
      </c>
    </row>
    <row r="1122" spans="1:17">
      <c r="A1122" s="19">
        <v>0</v>
      </c>
      <c r="B1122" s="19">
        <v>0</v>
      </c>
      <c r="C1122" s="19">
        <v>0</v>
      </c>
      <c r="D1122" s="19">
        <v>0</v>
      </c>
      <c r="E1122" s="19">
        <v>0</v>
      </c>
      <c r="F1122" s="19">
        <v>0</v>
      </c>
      <c r="G1122" s="19">
        <v>0</v>
      </c>
      <c r="H1122" s="19">
        <v>0</v>
      </c>
      <c r="I1122" s="15">
        <v>3500</v>
      </c>
      <c r="J1122" s="15">
        <v>0</v>
      </c>
      <c r="K1122" s="15">
        <v>0</v>
      </c>
      <c r="L1122" s="15">
        <v>0</v>
      </c>
      <c r="M1122" s="15">
        <v>0</v>
      </c>
      <c r="N1122" s="15" t="str">
        <v/>
      </c>
      <c r="O1122" s="15" t="str">
        <v/>
      </c>
      <c r="P1122" s="22">
        <v>0</v>
      </c>
      <c r="Q1122">
        <v>0</v>
      </c>
    </row>
    <row r="1123" spans="1:17">
      <c r="A1123" s="19">
        <v>0</v>
      </c>
      <c r="B1123" s="19">
        <v>0</v>
      </c>
      <c r="C1123" s="19">
        <v>0</v>
      </c>
      <c r="D1123" s="19">
        <v>0</v>
      </c>
      <c r="E1123" s="19">
        <v>0</v>
      </c>
      <c r="F1123" s="19">
        <v>0</v>
      </c>
      <c r="G1123" s="19">
        <v>0</v>
      </c>
      <c r="H1123" s="19">
        <v>0</v>
      </c>
      <c r="I1123" s="15">
        <v>3500</v>
      </c>
      <c r="J1123" s="15">
        <v>0</v>
      </c>
      <c r="K1123" s="15">
        <v>0</v>
      </c>
      <c r="L1123" s="15">
        <v>0</v>
      </c>
      <c r="M1123" s="15">
        <v>0</v>
      </c>
      <c r="N1123" s="15" t="str">
        <v/>
      </c>
      <c r="O1123" s="15" t="str">
        <v/>
      </c>
      <c r="P1123" s="22">
        <v>0</v>
      </c>
      <c r="Q1123">
        <v>0</v>
      </c>
    </row>
    <row r="1124" spans="1:17">
      <c r="A1124" s="19">
        <v>0</v>
      </c>
      <c r="B1124" s="19">
        <v>0</v>
      </c>
      <c r="C1124" s="19">
        <v>0</v>
      </c>
      <c r="D1124" s="19">
        <v>0</v>
      </c>
      <c r="E1124" s="19">
        <v>0</v>
      </c>
      <c r="F1124" s="19">
        <v>0</v>
      </c>
      <c r="G1124" s="19">
        <v>0</v>
      </c>
      <c r="H1124" s="19">
        <v>0</v>
      </c>
      <c r="I1124" s="15">
        <v>3500</v>
      </c>
      <c r="J1124" s="15">
        <v>0</v>
      </c>
      <c r="K1124" s="15">
        <v>0</v>
      </c>
      <c r="L1124" s="15">
        <v>0</v>
      </c>
      <c r="M1124" s="15">
        <v>0</v>
      </c>
      <c r="N1124" s="15" t="str">
        <v/>
      </c>
      <c r="O1124" s="15" t="str">
        <v/>
      </c>
      <c r="P1124" s="22">
        <v>0</v>
      </c>
      <c r="Q1124">
        <v>0</v>
      </c>
    </row>
    <row r="1125" spans="1:17">
      <c r="A1125" s="19">
        <v>0</v>
      </c>
      <c r="B1125" s="19">
        <v>0</v>
      </c>
      <c r="C1125" s="19">
        <v>0</v>
      </c>
      <c r="D1125" s="19">
        <v>0</v>
      </c>
      <c r="E1125" s="19">
        <v>0</v>
      </c>
      <c r="F1125" s="19">
        <v>0</v>
      </c>
      <c r="G1125" s="19">
        <v>0</v>
      </c>
      <c r="H1125" s="19">
        <v>0</v>
      </c>
      <c r="I1125" s="15">
        <v>3500</v>
      </c>
      <c r="J1125" s="15">
        <v>0</v>
      </c>
      <c r="K1125" s="15">
        <v>0</v>
      </c>
      <c r="L1125" s="15">
        <v>0</v>
      </c>
      <c r="M1125" s="15">
        <v>0</v>
      </c>
      <c r="N1125" s="15" t="str">
        <v/>
      </c>
      <c r="O1125" s="15" t="str">
        <v/>
      </c>
      <c r="P1125" s="22">
        <v>0</v>
      </c>
      <c r="Q1125">
        <v>0</v>
      </c>
    </row>
    <row r="1126" spans="1:17">
      <c r="A1126" s="19">
        <v>0</v>
      </c>
      <c r="B1126" s="19">
        <v>0</v>
      </c>
      <c r="C1126" s="19">
        <v>0</v>
      </c>
      <c r="D1126" s="19">
        <v>0</v>
      </c>
      <c r="E1126" s="19">
        <v>0</v>
      </c>
      <c r="F1126" s="19">
        <v>0</v>
      </c>
      <c r="G1126" s="19">
        <v>0</v>
      </c>
      <c r="H1126" s="19">
        <v>0</v>
      </c>
      <c r="I1126" s="15">
        <v>3500</v>
      </c>
      <c r="J1126" s="15">
        <v>0</v>
      </c>
      <c r="K1126" s="15">
        <v>0</v>
      </c>
      <c r="L1126" s="15">
        <v>0</v>
      </c>
      <c r="M1126" s="15">
        <v>0</v>
      </c>
      <c r="N1126" s="15" t="str">
        <v/>
      </c>
      <c r="O1126" s="15" t="str">
        <v/>
      </c>
      <c r="P1126" s="22">
        <v>0</v>
      </c>
      <c r="Q1126">
        <v>0</v>
      </c>
    </row>
    <row r="1127" spans="1:17">
      <c r="A1127" s="19">
        <v>0</v>
      </c>
      <c r="B1127" s="19">
        <v>0</v>
      </c>
      <c r="C1127" s="19">
        <v>0</v>
      </c>
      <c r="D1127" s="19">
        <v>0</v>
      </c>
      <c r="E1127" s="19">
        <v>0</v>
      </c>
      <c r="F1127" s="19">
        <v>0</v>
      </c>
      <c r="G1127" s="19">
        <v>0</v>
      </c>
      <c r="H1127" s="19">
        <v>0</v>
      </c>
      <c r="I1127" s="15">
        <v>3500</v>
      </c>
      <c r="J1127" s="15">
        <v>0</v>
      </c>
      <c r="K1127" s="15">
        <v>0</v>
      </c>
      <c r="L1127" s="15">
        <v>0</v>
      </c>
      <c r="M1127" s="15">
        <v>0</v>
      </c>
      <c r="N1127" s="15" t="str">
        <v/>
      </c>
      <c r="O1127" s="15" t="str">
        <v/>
      </c>
      <c r="P1127" s="22">
        <v>0</v>
      </c>
      <c r="Q1127">
        <v>0</v>
      </c>
    </row>
    <row r="1128" spans="1:17">
      <c r="A1128" s="19">
        <v>0</v>
      </c>
      <c r="B1128" s="19">
        <v>0</v>
      </c>
      <c r="C1128" s="19">
        <v>0</v>
      </c>
      <c r="D1128" s="19">
        <v>0</v>
      </c>
      <c r="E1128" s="19">
        <v>0</v>
      </c>
      <c r="F1128" s="19">
        <v>0</v>
      </c>
      <c r="G1128" s="19">
        <v>0</v>
      </c>
      <c r="H1128" s="19">
        <v>0</v>
      </c>
      <c r="I1128" s="15">
        <v>3500</v>
      </c>
      <c r="J1128" s="15">
        <v>0</v>
      </c>
      <c r="K1128" s="15">
        <v>0</v>
      </c>
      <c r="L1128" s="15">
        <v>0</v>
      </c>
      <c r="M1128" s="15">
        <v>0</v>
      </c>
      <c r="N1128" s="15" t="str">
        <v/>
      </c>
      <c r="O1128" s="15" t="str">
        <v/>
      </c>
      <c r="P1128" s="22">
        <v>0</v>
      </c>
      <c r="Q1128">
        <v>0</v>
      </c>
    </row>
    <row r="1129" spans="1:17">
      <c r="A1129" s="19">
        <v>0</v>
      </c>
      <c r="B1129" s="19">
        <v>0</v>
      </c>
      <c r="C1129" s="19">
        <v>0</v>
      </c>
      <c r="D1129" s="19">
        <v>0</v>
      </c>
      <c r="E1129" s="19">
        <v>0</v>
      </c>
      <c r="F1129" s="19">
        <v>0</v>
      </c>
      <c r="G1129" s="19">
        <v>0</v>
      </c>
      <c r="H1129" s="19">
        <v>0</v>
      </c>
      <c r="I1129" s="15">
        <v>3500</v>
      </c>
      <c r="J1129" s="15">
        <v>0</v>
      </c>
      <c r="K1129" s="15">
        <v>0</v>
      </c>
      <c r="L1129" s="15">
        <v>0</v>
      </c>
      <c r="M1129" s="15">
        <v>0</v>
      </c>
      <c r="N1129" s="15" t="str">
        <v/>
      </c>
      <c r="O1129" s="15" t="str">
        <v/>
      </c>
      <c r="P1129" s="22">
        <v>0</v>
      </c>
      <c r="Q1129">
        <v>0</v>
      </c>
    </row>
    <row r="1130" spans="1:17">
      <c r="A1130" s="19">
        <v>0</v>
      </c>
      <c r="B1130" s="19">
        <v>0</v>
      </c>
      <c r="C1130" s="19">
        <v>0</v>
      </c>
      <c r="D1130" s="19">
        <v>0</v>
      </c>
      <c r="E1130" s="19">
        <v>0</v>
      </c>
      <c r="F1130" s="19">
        <v>0</v>
      </c>
      <c r="G1130" s="19">
        <v>0</v>
      </c>
      <c r="H1130" s="19">
        <v>0</v>
      </c>
      <c r="I1130" s="15">
        <v>3500</v>
      </c>
      <c r="J1130" s="15">
        <v>0</v>
      </c>
      <c r="K1130" s="15">
        <v>0</v>
      </c>
      <c r="L1130" s="15">
        <v>0</v>
      </c>
      <c r="M1130" s="15">
        <v>0</v>
      </c>
      <c r="N1130" s="15" t="str">
        <v/>
      </c>
      <c r="O1130" s="15" t="str">
        <v/>
      </c>
      <c r="P1130" s="22">
        <v>0</v>
      </c>
      <c r="Q1130">
        <v>0</v>
      </c>
    </row>
    <row r="1131" spans="1:17">
      <c r="A1131" s="19">
        <v>0</v>
      </c>
      <c r="B1131" s="19">
        <v>0</v>
      </c>
      <c r="C1131" s="19">
        <v>0</v>
      </c>
      <c r="D1131" s="19">
        <v>0</v>
      </c>
      <c r="E1131" s="19">
        <v>0</v>
      </c>
      <c r="F1131" s="19">
        <v>0</v>
      </c>
      <c r="G1131" s="19">
        <v>0</v>
      </c>
      <c r="H1131" s="19">
        <v>0</v>
      </c>
      <c r="I1131" s="15">
        <v>3500</v>
      </c>
      <c r="J1131" s="15">
        <v>0</v>
      </c>
      <c r="K1131" s="15">
        <v>0</v>
      </c>
      <c r="L1131" s="15">
        <v>0</v>
      </c>
      <c r="M1131" s="15">
        <v>0</v>
      </c>
      <c r="N1131" s="15" t="str">
        <v/>
      </c>
      <c r="O1131" s="15" t="str">
        <v/>
      </c>
      <c r="P1131" s="22">
        <v>0</v>
      </c>
      <c r="Q1131">
        <v>0</v>
      </c>
    </row>
    <row r="1132" spans="1:17">
      <c r="A1132" s="19">
        <v>0</v>
      </c>
      <c r="B1132" s="19">
        <v>0</v>
      </c>
      <c r="C1132" s="19">
        <v>0</v>
      </c>
      <c r="D1132" s="19">
        <v>0</v>
      </c>
      <c r="E1132" s="19">
        <v>0</v>
      </c>
      <c r="F1132" s="19">
        <v>0</v>
      </c>
      <c r="G1132" s="19">
        <v>0</v>
      </c>
      <c r="H1132" s="19">
        <v>0</v>
      </c>
      <c r="I1132" s="15">
        <v>3500</v>
      </c>
      <c r="J1132" s="15">
        <v>0</v>
      </c>
      <c r="K1132" s="15">
        <v>0</v>
      </c>
      <c r="L1132" s="15">
        <v>0</v>
      </c>
      <c r="M1132" s="15">
        <v>0</v>
      </c>
      <c r="N1132" s="15" t="str">
        <v/>
      </c>
      <c r="O1132" s="15" t="str">
        <v/>
      </c>
      <c r="P1132" s="22">
        <v>0</v>
      </c>
      <c r="Q1132">
        <v>0</v>
      </c>
    </row>
    <row r="1133" spans="1:17">
      <c r="A1133" s="19">
        <v>0</v>
      </c>
      <c r="B1133" s="19">
        <v>0</v>
      </c>
      <c r="C1133" s="19">
        <v>0</v>
      </c>
      <c r="D1133" s="19">
        <v>0</v>
      </c>
      <c r="E1133" s="19">
        <v>0</v>
      </c>
      <c r="F1133" s="19">
        <v>0</v>
      </c>
      <c r="G1133" s="19">
        <v>0</v>
      </c>
      <c r="H1133" s="19">
        <v>0</v>
      </c>
      <c r="I1133" s="15">
        <v>3500</v>
      </c>
      <c r="J1133" s="15">
        <v>0</v>
      </c>
      <c r="K1133" s="15">
        <v>0</v>
      </c>
      <c r="L1133" s="15">
        <v>0</v>
      </c>
      <c r="M1133" s="15">
        <v>0</v>
      </c>
      <c r="N1133" s="15" t="str">
        <v/>
      </c>
      <c r="O1133" s="15" t="str">
        <v/>
      </c>
      <c r="P1133" s="22">
        <v>0</v>
      </c>
      <c r="Q1133">
        <v>0</v>
      </c>
    </row>
    <row r="1134" spans="1:17">
      <c r="A1134" s="19">
        <v>0</v>
      </c>
      <c r="B1134" s="19">
        <v>0</v>
      </c>
      <c r="C1134" s="19">
        <v>0</v>
      </c>
      <c r="D1134" s="19">
        <v>0</v>
      </c>
      <c r="E1134" s="19">
        <v>0</v>
      </c>
      <c r="F1134" s="19">
        <v>0</v>
      </c>
      <c r="G1134" s="19">
        <v>0</v>
      </c>
      <c r="H1134" s="19">
        <v>0</v>
      </c>
      <c r="I1134" s="15">
        <v>3500</v>
      </c>
      <c r="J1134" s="15">
        <v>0</v>
      </c>
      <c r="K1134" s="15">
        <v>0</v>
      </c>
      <c r="L1134" s="15">
        <v>0</v>
      </c>
      <c r="M1134" s="15">
        <v>0</v>
      </c>
      <c r="N1134" s="15" t="str">
        <v/>
      </c>
      <c r="O1134" s="15" t="str">
        <v/>
      </c>
      <c r="P1134" s="22">
        <v>0</v>
      </c>
      <c r="Q1134">
        <v>0</v>
      </c>
    </row>
    <row r="1135" spans="1:17">
      <c r="A1135" s="19">
        <v>0</v>
      </c>
      <c r="B1135" s="19">
        <v>0</v>
      </c>
      <c r="C1135" s="19">
        <v>0</v>
      </c>
      <c r="D1135" s="19">
        <v>0</v>
      </c>
      <c r="E1135" s="19">
        <v>0</v>
      </c>
      <c r="F1135" s="19">
        <v>0</v>
      </c>
      <c r="G1135" s="19">
        <v>0</v>
      </c>
      <c r="H1135" s="19">
        <v>0</v>
      </c>
      <c r="I1135" s="15">
        <v>3500</v>
      </c>
      <c r="J1135" s="15">
        <v>0</v>
      </c>
      <c r="K1135" s="15">
        <v>0</v>
      </c>
      <c r="L1135" s="15">
        <v>0</v>
      </c>
      <c r="M1135" s="15">
        <v>0</v>
      </c>
      <c r="N1135" s="15" t="str">
        <v/>
      </c>
      <c r="O1135" s="15" t="str">
        <v/>
      </c>
      <c r="P1135" s="22">
        <v>0</v>
      </c>
      <c r="Q1135">
        <v>0</v>
      </c>
    </row>
    <row r="1136" spans="1:17">
      <c r="A1136" s="19">
        <v>0</v>
      </c>
      <c r="B1136" s="19">
        <v>0</v>
      </c>
      <c r="C1136" s="19">
        <v>0</v>
      </c>
      <c r="D1136" s="19">
        <v>0</v>
      </c>
      <c r="E1136" s="19">
        <v>0</v>
      </c>
      <c r="F1136" s="19">
        <v>0</v>
      </c>
      <c r="G1136" s="19">
        <v>0</v>
      </c>
      <c r="H1136" s="19">
        <v>0</v>
      </c>
      <c r="I1136" s="15">
        <v>3500</v>
      </c>
      <c r="J1136" s="15">
        <v>0</v>
      </c>
      <c r="K1136" s="15">
        <v>0</v>
      </c>
      <c r="L1136" s="15">
        <v>0</v>
      </c>
      <c r="M1136" s="15">
        <v>0</v>
      </c>
      <c r="N1136" s="15" t="str">
        <v/>
      </c>
      <c r="O1136" s="15" t="str">
        <v/>
      </c>
      <c r="P1136" s="22">
        <v>0</v>
      </c>
      <c r="Q1136">
        <v>0</v>
      </c>
    </row>
    <row r="1137" spans="1:17">
      <c r="A1137" s="19">
        <v>0</v>
      </c>
      <c r="B1137" s="19">
        <v>0</v>
      </c>
      <c r="C1137" s="19">
        <v>0</v>
      </c>
      <c r="D1137" s="19">
        <v>0</v>
      </c>
      <c r="E1137" s="19">
        <v>0</v>
      </c>
      <c r="F1137" s="19">
        <v>0</v>
      </c>
      <c r="G1137" s="19">
        <v>0</v>
      </c>
      <c r="H1137" s="19">
        <v>0</v>
      </c>
      <c r="I1137" s="15">
        <v>3500</v>
      </c>
      <c r="J1137" s="15">
        <v>0</v>
      </c>
      <c r="K1137" s="15">
        <v>0</v>
      </c>
      <c r="L1137" s="15">
        <v>0</v>
      </c>
      <c r="M1137" s="15">
        <v>0</v>
      </c>
      <c r="N1137" s="15" t="str">
        <v/>
      </c>
      <c r="O1137" s="15" t="str">
        <v/>
      </c>
      <c r="P1137" s="22">
        <v>0</v>
      </c>
      <c r="Q1137">
        <v>0</v>
      </c>
    </row>
    <row r="1138" spans="1:17">
      <c r="A1138" s="19">
        <v>0</v>
      </c>
      <c r="B1138" s="19">
        <v>0</v>
      </c>
      <c r="C1138" s="19">
        <v>0</v>
      </c>
      <c r="D1138" s="19">
        <v>0</v>
      </c>
      <c r="E1138" s="19">
        <v>0</v>
      </c>
      <c r="F1138" s="19">
        <v>0</v>
      </c>
      <c r="G1138" s="19">
        <v>0</v>
      </c>
      <c r="H1138" s="19">
        <v>0</v>
      </c>
      <c r="I1138" s="15">
        <v>3500</v>
      </c>
      <c r="J1138" s="15">
        <v>0</v>
      </c>
      <c r="K1138" s="15">
        <v>0</v>
      </c>
      <c r="L1138" s="15">
        <v>0</v>
      </c>
      <c r="M1138" s="15">
        <v>0</v>
      </c>
      <c r="N1138" s="15" t="str">
        <v/>
      </c>
      <c r="O1138" s="15" t="str">
        <v/>
      </c>
      <c r="P1138" s="22">
        <v>0</v>
      </c>
      <c r="Q1138">
        <v>0</v>
      </c>
    </row>
    <row r="1139" spans="1:17">
      <c r="A1139" s="19">
        <v>0</v>
      </c>
      <c r="B1139" s="19">
        <v>0</v>
      </c>
      <c r="C1139" s="19">
        <v>0</v>
      </c>
      <c r="D1139" s="19">
        <v>0</v>
      </c>
      <c r="E1139" s="19">
        <v>0</v>
      </c>
      <c r="F1139" s="19">
        <v>0</v>
      </c>
      <c r="G1139" s="19">
        <v>0</v>
      </c>
      <c r="H1139" s="19">
        <v>0</v>
      </c>
      <c r="I1139" s="15">
        <v>3500</v>
      </c>
      <c r="J1139" s="15">
        <v>0</v>
      </c>
      <c r="K1139" s="15">
        <v>0</v>
      </c>
      <c r="L1139" s="15">
        <v>0</v>
      </c>
      <c r="M1139" s="15">
        <v>0</v>
      </c>
      <c r="N1139" s="15" t="str">
        <v/>
      </c>
      <c r="O1139" s="15" t="str">
        <v/>
      </c>
      <c r="P1139" s="22">
        <v>0</v>
      </c>
      <c r="Q1139">
        <v>0</v>
      </c>
    </row>
    <row r="1140" spans="1:17">
      <c r="A1140" s="19">
        <v>0</v>
      </c>
      <c r="B1140" s="19">
        <v>0</v>
      </c>
      <c r="C1140" s="19">
        <v>0</v>
      </c>
      <c r="D1140" s="19">
        <v>0</v>
      </c>
      <c r="E1140" s="19">
        <v>0</v>
      </c>
      <c r="F1140" s="19">
        <v>0</v>
      </c>
      <c r="G1140" s="19">
        <v>0</v>
      </c>
      <c r="H1140" s="19">
        <v>0</v>
      </c>
      <c r="I1140" s="15">
        <v>3500</v>
      </c>
      <c r="J1140" s="15">
        <v>0</v>
      </c>
      <c r="K1140" s="15">
        <v>0</v>
      </c>
      <c r="L1140" s="15">
        <v>0</v>
      </c>
      <c r="M1140" s="15">
        <v>0</v>
      </c>
      <c r="N1140" s="15" t="str">
        <v/>
      </c>
      <c r="O1140" s="15" t="str">
        <v/>
      </c>
      <c r="P1140" s="22">
        <v>0</v>
      </c>
      <c r="Q1140">
        <v>0</v>
      </c>
    </row>
    <row r="1141" spans="1:17">
      <c r="A1141" s="19">
        <v>0</v>
      </c>
      <c r="B1141" s="19">
        <v>0</v>
      </c>
      <c r="C1141" s="19">
        <v>0</v>
      </c>
      <c r="D1141" s="19">
        <v>0</v>
      </c>
      <c r="E1141" s="19">
        <v>0</v>
      </c>
      <c r="F1141" s="19">
        <v>0</v>
      </c>
      <c r="G1141" s="19">
        <v>0</v>
      </c>
      <c r="H1141" s="19">
        <v>0</v>
      </c>
      <c r="I1141" s="15">
        <v>3500</v>
      </c>
      <c r="J1141" s="15">
        <v>0</v>
      </c>
      <c r="K1141" s="15">
        <v>0</v>
      </c>
      <c r="L1141" s="15">
        <v>0</v>
      </c>
      <c r="M1141" s="15">
        <v>0</v>
      </c>
      <c r="N1141" s="15" t="str">
        <v/>
      </c>
      <c r="O1141" s="15" t="str">
        <v/>
      </c>
      <c r="P1141" s="22">
        <v>0</v>
      </c>
      <c r="Q1141">
        <v>0</v>
      </c>
    </row>
    <row r="1142" spans="1:17">
      <c r="A1142" s="19">
        <v>0</v>
      </c>
      <c r="B1142" s="19">
        <v>0</v>
      </c>
      <c r="C1142" s="19">
        <v>0</v>
      </c>
      <c r="D1142" s="19">
        <v>0</v>
      </c>
      <c r="E1142" s="19">
        <v>0</v>
      </c>
      <c r="F1142" s="19">
        <v>0</v>
      </c>
      <c r="G1142" s="19">
        <v>0</v>
      </c>
      <c r="H1142" s="19">
        <v>0</v>
      </c>
      <c r="I1142" s="15">
        <v>3500</v>
      </c>
      <c r="J1142" s="15">
        <v>0</v>
      </c>
      <c r="K1142" s="15">
        <v>0</v>
      </c>
      <c r="L1142" s="15">
        <v>0</v>
      </c>
      <c r="M1142" s="15">
        <v>0</v>
      </c>
      <c r="N1142" s="15" t="str">
        <v/>
      </c>
      <c r="O1142" s="15" t="str">
        <v/>
      </c>
      <c r="P1142" s="22">
        <v>0</v>
      </c>
      <c r="Q1142">
        <v>0</v>
      </c>
    </row>
    <row r="1143" spans="1:17">
      <c r="A1143" s="19">
        <v>0</v>
      </c>
      <c r="B1143" s="19">
        <v>0</v>
      </c>
      <c r="C1143" s="19">
        <v>0</v>
      </c>
      <c r="D1143" s="19">
        <v>0</v>
      </c>
      <c r="E1143" s="19">
        <v>0</v>
      </c>
      <c r="F1143" s="19">
        <v>0</v>
      </c>
      <c r="G1143" s="19">
        <v>0</v>
      </c>
      <c r="H1143" s="19">
        <v>0</v>
      </c>
      <c r="I1143" s="15">
        <v>3500</v>
      </c>
      <c r="J1143" s="15">
        <v>0</v>
      </c>
      <c r="K1143" s="15">
        <v>0</v>
      </c>
      <c r="L1143" s="15">
        <v>0</v>
      </c>
      <c r="M1143" s="15">
        <v>0</v>
      </c>
      <c r="N1143" s="15" t="str">
        <v/>
      </c>
      <c r="O1143" s="15" t="str">
        <v/>
      </c>
      <c r="P1143" s="22">
        <v>0</v>
      </c>
      <c r="Q1143">
        <v>0</v>
      </c>
    </row>
    <row r="1144" spans="1:17">
      <c r="A1144" s="19">
        <v>0</v>
      </c>
      <c r="B1144" s="19">
        <v>0</v>
      </c>
      <c r="C1144" s="19">
        <v>0</v>
      </c>
      <c r="D1144" s="19">
        <v>0</v>
      </c>
      <c r="E1144" s="19">
        <v>0</v>
      </c>
      <c r="F1144" s="19">
        <v>0</v>
      </c>
      <c r="G1144" s="19">
        <v>0</v>
      </c>
      <c r="H1144" s="19">
        <v>0</v>
      </c>
      <c r="I1144" s="15">
        <v>3500</v>
      </c>
      <c r="J1144" s="15">
        <v>0</v>
      </c>
      <c r="K1144" s="15">
        <v>0</v>
      </c>
      <c r="L1144" s="15">
        <v>0</v>
      </c>
      <c r="M1144" s="15">
        <v>0</v>
      </c>
      <c r="N1144" s="15" t="str">
        <v/>
      </c>
      <c r="O1144" s="15" t="str">
        <v/>
      </c>
      <c r="P1144" s="22">
        <v>0</v>
      </c>
      <c r="Q1144">
        <v>0</v>
      </c>
    </row>
    <row r="1145" spans="1:17">
      <c r="A1145" s="19">
        <v>0</v>
      </c>
      <c r="B1145" s="19">
        <v>0</v>
      </c>
      <c r="C1145" s="19">
        <v>0</v>
      </c>
      <c r="D1145" s="19">
        <v>0</v>
      </c>
      <c r="E1145" s="19">
        <v>0</v>
      </c>
      <c r="F1145" s="19">
        <v>0</v>
      </c>
      <c r="G1145" s="19">
        <v>0</v>
      </c>
      <c r="H1145" s="19">
        <v>0</v>
      </c>
      <c r="I1145" s="15">
        <v>3500</v>
      </c>
      <c r="J1145" s="15">
        <v>0</v>
      </c>
      <c r="K1145" s="15">
        <v>0</v>
      </c>
      <c r="L1145" s="15">
        <v>0</v>
      </c>
      <c r="M1145" s="15">
        <v>0</v>
      </c>
      <c r="N1145" s="15" t="str">
        <v/>
      </c>
      <c r="O1145" s="15" t="str">
        <v/>
      </c>
      <c r="P1145" s="22">
        <v>0</v>
      </c>
      <c r="Q1145">
        <v>0</v>
      </c>
    </row>
    <row r="1146" spans="1:17">
      <c r="A1146" s="19">
        <v>0</v>
      </c>
      <c r="B1146" s="19">
        <v>0</v>
      </c>
      <c r="C1146" s="19">
        <v>0</v>
      </c>
      <c r="D1146" s="19">
        <v>0</v>
      </c>
      <c r="E1146" s="19">
        <v>0</v>
      </c>
      <c r="F1146" s="19">
        <v>0</v>
      </c>
      <c r="G1146" s="19">
        <v>0</v>
      </c>
      <c r="H1146" s="19">
        <v>0</v>
      </c>
      <c r="I1146" s="15">
        <v>3500</v>
      </c>
      <c r="J1146" s="15">
        <v>0</v>
      </c>
      <c r="K1146" s="15">
        <v>0</v>
      </c>
      <c r="L1146" s="15">
        <v>0</v>
      </c>
      <c r="M1146" s="15">
        <v>0</v>
      </c>
      <c r="N1146" s="15" t="str">
        <v/>
      </c>
      <c r="O1146" s="15" t="str">
        <v/>
      </c>
      <c r="P1146" s="22">
        <v>0</v>
      </c>
      <c r="Q1146">
        <v>0</v>
      </c>
    </row>
    <row r="1147" spans="1:17">
      <c r="A1147" s="19">
        <v>0</v>
      </c>
      <c r="B1147" s="19">
        <v>0</v>
      </c>
      <c r="C1147" s="19">
        <v>0</v>
      </c>
      <c r="D1147" s="19">
        <v>0</v>
      </c>
      <c r="E1147" s="19">
        <v>0</v>
      </c>
      <c r="F1147" s="19">
        <v>0</v>
      </c>
      <c r="G1147" s="19">
        <v>0</v>
      </c>
      <c r="H1147" s="19">
        <v>0</v>
      </c>
      <c r="I1147" s="15">
        <v>3500</v>
      </c>
      <c r="J1147" s="15">
        <v>0</v>
      </c>
      <c r="K1147" s="15">
        <v>0</v>
      </c>
      <c r="L1147" s="15">
        <v>0</v>
      </c>
      <c r="M1147" s="15">
        <v>0</v>
      </c>
      <c r="N1147" s="15" t="str">
        <v/>
      </c>
      <c r="O1147" s="15" t="str">
        <v/>
      </c>
      <c r="P1147" s="22">
        <v>0</v>
      </c>
      <c r="Q1147">
        <v>0</v>
      </c>
    </row>
    <row r="1148" spans="1:17">
      <c r="A1148" s="19">
        <v>0</v>
      </c>
      <c r="B1148" s="19">
        <v>0</v>
      </c>
      <c r="C1148" s="19">
        <v>0</v>
      </c>
      <c r="D1148" s="19">
        <v>0</v>
      </c>
      <c r="E1148" s="19">
        <v>0</v>
      </c>
      <c r="F1148" s="19">
        <v>0</v>
      </c>
      <c r="G1148" s="19">
        <v>0</v>
      </c>
      <c r="H1148" s="19">
        <v>0</v>
      </c>
      <c r="I1148" s="15">
        <v>3500</v>
      </c>
      <c r="J1148" s="15">
        <v>0</v>
      </c>
      <c r="K1148" s="15">
        <v>0</v>
      </c>
      <c r="L1148" s="15">
        <v>0</v>
      </c>
      <c r="M1148" s="15">
        <v>0</v>
      </c>
      <c r="N1148" s="15" t="str">
        <v/>
      </c>
      <c r="O1148" s="15" t="str">
        <v/>
      </c>
      <c r="P1148" s="22">
        <v>0</v>
      </c>
      <c r="Q1148">
        <v>0</v>
      </c>
    </row>
    <row r="1149" spans="1:17">
      <c r="A1149" s="19">
        <v>0</v>
      </c>
      <c r="B1149" s="19">
        <v>0</v>
      </c>
      <c r="C1149" s="19">
        <v>0</v>
      </c>
      <c r="D1149" s="19">
        <v>0</v>
      </c>
      <c r="E1149" s="19">
        <v>0</v>
      </c>
      <c r="F1149" s="19">
        <v>0</v>
      </c>
      <c r="G1149" s="19">
        <v>0</v>
      </c>
      <c r="H1149" s="19">
        <v>0</v>
      </c>
      <c r="I1149" s="15">
        <v>3500</v>
      </c>
      <c r="J1149" s="15">
        <v>0</v>
      </c>
      <c r="K1149" s="15">
        <v>0</v>
      </c>
      <c r="L1149" s="15">
        <v>0</v>
      </c>
      <c r="M1149" s="15">
        <v>0</v>
      </c>
      <c r="N1149" s="15" t="str">
        <v/>
      </c>
      <c r="O1149" s="15" t="str">
        <v/>
      </c>
      <c r="P1149" s="22">
        <v>0</v>
      </c>
      <c r="Q1149">
        <v>0</v>
      </c>
    </row>
    <row r="1150" spans="1:17">
      <c r="A1150" s="19">
        <v>0</v>
      </c>
      <c r="B1150" s="19">
        <v>0</v>
      </c>
      <c r="C1150" s="19">
        <v>0</v>
      </c>
      <c r="D1150" s="19">
        <v>0</v>
      </c>
      <c r="E1150" s="19">
        <v>0</v>
      </c>
      <c r="F1150" s="19">
        <v>0</v>
      </c>
      <c r="G1150" s="19">
        <v>0</v>
      </c>
      <c r="H1150" s="19">
        <v>0</v>
      </c>
      <c r="I1150" s="15">
        <v>3500</v>
      </c>
      <c r="J1150" s="15">
        <v>0</v>
      </c>
      <c r="K1150" s="15">
        <v>0</v>
      </c>
      <c r="L1150" s="15">
        <v>0</v>
      </c>
      <c r="M1150" s="15">
        <v>0</v>
      </c>
      <c r="N1150" s="15" t="str">
        <v/>
      </c>
      <c r="O1150" s="15" t="str">
        <v/>
      </c>
      <c r="P1150" s="22">
        <v>0</v>
      </c>
      <c r="Q1150">
        <v>0</v>
      </c>
    </row>
    <row r="1151" spans="1:17">
      <c r="A1151" s="19">
        <v>0</v>
      </c>
      <c r="B1151" s="19">
        <v>0</v>
      </c>
      <c r="C1151" s="19">
        <v>0</v>
      </c>
      <c r="D1151" s="19">
        <v>0</v>
      </c>
      <c r="E1151" s="19">
        <v>0</v>
      </c>
      <c r="F1151" s="19">
        <v>0</v>
      </c>
      <c r="G1151" s="19">
        <v>0</v>
      </c>
      <c r="H1151" s="19">
        <v>0</v>
      </c>
      <c r="I1151" s="15">
        <v>3500</v>
      </c>
      <c r="J1151" s="15">
        <v>0</v>
      </c>
      <c r="K1151" s="15">
        <v>0</v>
      </c>
      <c r="L1151" s="15">
        <v>0</v>
      </c>
      <c r="M1151" s="15">
        <v>0</v>
      </c>
      <c r="N1151" s="15" t="str">
        <v/>
      </c>
      <c r="O1151" s="15" t="str">
        <v/>
      </c>
      <c r="P1151" s="22">
        <v>0</v>
      </c>
      <c r="Q1151">
        <v>0</v>
      </c>
    </row>
    <row r="1152" spans="1:17">
      <c r="A1152" s="19">
        <v>0</v>
      </c>
      <c r="B1152" s="19">
        <v>0</v>
      </c>
      <c r="C1152" s="19">
        <v>0</v>
      </c>
      <c r="D1152" s="19">
        <v>0</v>
      </c>
      <c r="E1152" s="19">
        <v>0</v>
      </c>
      <c r="F1152" s="19">
        <v>0</v>
      </c>
      <c r="G1152" s="19">
        <v>0</v>
      </c>
      <c r="H1152" s="19">
        <v>0</v>
      </c>
      <c r="I1152" s="15">
        <v>3500</v>
      </c>
      <c r="J1152" s="15">
        <v>0</v>
      </c>
      <c r="K1152" s="15">
        <v>0</v>
      </c>
      <c r="L1152" s="15">
        <v>0</v>
      </c>
      <c r="M1152" s="15">
        <v>0</v>
      </c>
      <c r="N1152" s="15" t="str">
        <v/>
      </c>
      <c r="O1152" s="15" t="str">
        <v/>
      </c>
      <c r="P1152" s="22">
        <v>0</v>
      </c>
      <c r="Q1152">
        <v>0</v>
      </c>
    </row>
    <row r="1153" spans="1:17">
      <c r="A1153" s="19">
        <v>0</v>
      </c>
      <c r="B1153" s="19">
        <v>0</v>
      </c>
      <c r="C1153" s="19">
        <v>0</v>
      </c>
      <c r="D1153" s="19">
        <v>0</v>
      </c>
      <c r="E1153" s="19">
        <v>0</v>
      </c>
      <c r="F1153" s="19">
        <v>0</v>
      </c>
      <c r="G1153" s="19">
        <v>0</v>
      </c>
      <c r="H1153" s="19">
        <v>0</v>
      </c>
      <c r="I1153" s="15">
        <v>3500</v>
      </c>
      <c r="J1153" s="15">
        <v>0</v>
      </c>
      <c r="K1153" s="15">
        <v>0</v>
      </c>
      <c r="L1153" s="15">
        <v>0</v>
      </c>
      <c r="M1153" s="15">
        <v>0</v>
      </c>
      <c r="N1153" s="15" t="str">
        <v/>
      </c>
      <c r="O1153" s="15" t="str">
        <v/>
      </c>
      <c r="P1153" s="22">
        <v>0</v>
      </c>
      <c r="Q1153">
        <v>0</v>
      </c>
    </row>
    <row r="1154" spans="1:17">
      <c r="A1154" s="19">
        <v>0</v>
      </c>
      <c r="B1154" s="19">
        <v>0</v>
      </c>
      <c r="C1154" s="19">
        <v>0</v>
      </c>
      <c r="D1154" s="19">
        <v>0</v>
      </c>
      <c r="E1154" s="19">
        <v>0</v>
      </c>
      <c r="F1154" s="19">
        <v>0</v>
      </c>
      <c r="G1154" s="19">
        <v>0</v>
      </c>
      <c r="H1154" s="19">
        <v>0</v>
      </c>
      <c r="I1154" s="15">
        <v>3500</v>
      </c>
      <c r="J1154" s="15">
        <v>0</v>
      </c>
      <c r="K1154" s="15">
        <v>0</v>
      </c>
      <c r="L1154" s="15">
        <v>0</v>
      </c>
      <c r="M1154" s="15">
        <v>0</v>
      </c>
      <c r="N1154" s="15" t="str">
        <v/>
      </c>
      <c r="O1154" s="15" t="str">
        <v/>
      </c>
      <c r="P1154" s="22">
        <v>0</v>
      </c>
      <c r="Q1154">
        <v>0</v>
      </c>
    </row>
    <row r="1155" spans="1:17">
      <c r="A1155" s="19">
        <v>0</v>
      </c>
      <c r="B1155" s="19">
        <v>0</v>
      </c>
      <c r="C1155" s="19">
        <v>0</v>
      </c>
      <c r="D1155" s="19">
        <v>0</v>
      </c>
      <c r="E1155" s="19">
        <v>0</v>
      </c>
      <c r="F1155" s="19">
        <v>0</v>
      </c>
      <c r="G1155" s="19">
        <v>0</v>
      </c>
      <c r="H1155" s="19">
        <v>0</v>
      </c>
      <c r="I1155" s="15">
        <v>3500</v>
      </c>
      <c r="J1155" s="15">
        <v>0</v>
      </c>
      <c r="K1155" s="15">
        <v>0</v>
      </c>
      <c r="L1155" s="15">
        <v>0</v>
      </c>
      <c r="M1155" s="15">
        <v>0</v>
      </c>
      <c r="N1155" s="15" t="str">
        <v/>
      </c>
      <c r="O1155" s="15" t="str">
        <v/>
      </c>
      <c r="P1155" s="22">
        <v>0</v>
      </c>
      <c r="Q1155">
        <v>0</v>
      </c>
    </row>
    <row r="1156" spans="1:17">
      <c r="A1156" s="19">
        <v>0</v>
      </c>
      <c r="B1156" s="19">
        <v>0</v>
      </c>
      <c r="C1156" s="19">
        <v>0</v>
      </c>
      <c r="D1156" s="19">
        <v>0</v>
      </c>
      <c r="E1156" s="19">
        <v>0</v>
      </c>
      <c r="F1156" s="19">
        <v>0</v>
      </c>
      <c r="G1156" s="19">
        <v>0</v>
      </c>
      <c r="H1156" s="19">
        <v>0</v>
      </c>
      <c r="I1156" s="15">
        <v>3500</v>
      </c>
      <c r="J1156" s="15">
        <v>0</v>
      </c>
      <c r="K1156" s="15">
        <v>0</v>
      </c>
      <c r="L1156" s="15">
        <v>0</v>
      </c>
      <c r="M1156" s="15">
        <v>0</v>
      </c>
      <c r="N1156" s="15" t="str">
        <v/>
      </c>
      <c r="O1156" s="15" t="str">
        <v/>
      </c>
      <c r="P1156" s="22">
        <v>0</v>
      </c>
      <c r="Q1156">
        <v>0</v>
      </c>
    </row>
    <row r="1157" spans="1:17">
      <c r="A1157" s="19">
        <v>0</v>
      </c>
      <c r="B1157" s="19">
        <v>0</v>
      </c>
      <c r="C1157" s="19">
        <v>0</v>
      </c>
      <c r="D1157" s="19">
        <v>0</v>
      </c>
      <c r="E1157" s="19">
        <v>0</v>
      </c>
      <c r="F1157" s="19">
        <v>0</v>
      </c>
      <c r="G1157" s="19">
        <v>0</v>
      </c>
      <c r="H1157" s="19">
        <v>0</v>
      </c>
      <c r="I1157" s="15">
        <v>3500</v>
      </c>
      <c r="J1157" s="15">
        <v>0</v>
      </c>
      <c r="K1157" s="15">
        <v>0</v>
      </c>
      <c r="L1157" s="15">
        <v>0</v>
      </c>
      <c r="M1157" s="15">
        <v>0</v>
      </c>
      <c r="N1157" s="15" t="str">
        <v/>
      </c>
      <c r="O1157" s="15" t="str">
        <v/>
      </c>
      <c r="P1157" s="22">
        <v>0</v>
      </c>
      <c r="Q1157">
        <v>0</v>
      </c>
    </row>
    <row r="1158" spans="1:17">
      <c r="A1158" s="19">
        <v>0</v>
      </c>
      <c r="B1158" s="19">
        <v>0</v>
      </c>
      <c r="C1158" s="19">
        <v>0</v>
      </c>
      <c r="D1158" s="19">
        <v>0</v>
      </c>
      <c r="E1158" s="19">
        <v>0</v>
      </c>
      <c r="F1158" s="19">
        <v>0</v>
      </c>
      <c r="G1158" s="19">
        <v>0</v>
      </c>
      <c r="H1158" s="19">
        <v>0</v>
      </c>
      <c r="I1158" s="15">
        <v>3500</v>
      </c>
      <c r="J1158" s="15">
        <v>0</v>
      </c>
      <c r="K1158" s="15">
        <v>0</v>
      </c>
      <c r="L1158" s="15">
        <v>0</v>
      </c>
      <c r="M1158" s="15">
        <v>0</v>
      </c>
      <c r="N1158" s="15" t="str">
        <v/>
      </c>
      <c r="O1158" s="15" t="str">
        <v/>
      </c>
      <c r="P1158" s="22">
        <v>0</v>
      </c>
      <c r="Q1158">
        <v>0</v>
      </c>
    </row>
    <row r="1159" spans="1:17">
      <c r="A1159" s="19">
        <v>0</v>
      </c>
      <c r="B1159" s="19">
        <v>0</v>
      </c>
      <c r="C1159" s="19">
        <v>0</v>
      </c>
      <c r="D1159" s="19">
        <v>0</v>
      </c>
      <c r="E1159" s="19">
        <v>0</v>
      </c>
      <c r="F1159" s="19">
        <v>0</v>
      </c>
      <c r="G1159" s="19">
        <v>0</v>
      </c>
      <c r="H1159" s="19">
        <v>0</v>
      </c>
      <c r="I1159" s="15">
        <v>3500</v>
      </c>
      <c r="J1159" s="15">
        <v>0</v>
      </c>
      <c r="K1159" s="15">
        <v>0</v>
      </c>
      <c r="L1159" s="15">
        <v>0</v>
      </c>
      <c r="M1159" s="15">
        <v>0</v>
      </c>
      <c r="N1159" s="15" t="str">
        <v/>
      </c>
      <c r="O1159" s="15" t="str">
        <v/>
      </c>
      <c r="P1159" s="22">
        <v>0</v>
      </c>
      <c r="Q1159">
        <v>0</v>
      </c>
    </row>
    <row r="1160" spans="1:17">
      <c r="A1160" s="19">
        <v>0</v>
      </c>
      <c r="B1160" s="19">
        <v>0</v>
      </c>
      <c r="C1160" s="19">
        <v>0</v>
      </c>
      <c r="D1160" s="19">
        <v>0</v>
      </c>
      <c r="E1160" s="19">
        <v>0</v>
      </c>
      <c r="F1160" s="19">
        <v>0</v>
      </c>
      <c r="G1160" s="19">
        <v>0</v>
      </c>
      <c r="H1160" s="19">
        <v>0</v>
      </c>
      <c r="I1160" s="15">
        <v>3500</v>
      </c>
      <c r="J1160" s="15">
        <v>0</v>
      </c>
      <c r="K1160" s="15">
        <v>0</v>
      </c>
      <c r="L1160" s="15">
        <v>0</v>
      </c>
      <c r="M1160" s="15">
        <v>0</v>
      </c>
      <c r="N1160" s="15" t="str">
        <v/>
      </c>
      <c r="O1160" s="15" t="str">
        <v/>
      </c>
      <c r="P1160" s="22">
        <v>0</v>
      </c>
      <c r="Q1160">
        <v>0</v>
      </c>
    </row>
    <row r="1161" spans="1:17">
      <c r="A1161" s="19">
        <v>0</v>
      </c>
      <c r="B1161" s="19">
        <v>0</v>
      </c>
      <c r="C1161" s="19">
        <v>0</v>
      </c>
      <c r="D1161" s="19">
        <v>0</v>
      </c>
      <c r="E1161" s="19">
        <v>0</v>
      </c>
      <c r="F1161" s="19">
        <v>0</v>
      </c>
      <c r="G1161" s="19">
        <v>0</v>
      </c>
      <c r="H1161" s="19">
        <v>0</v>
      </c>
      <c r="I1161" s="15">
        <v>3500</v>
      </c>
      <c r="J1161" s="15">
        <v>0</v>
      </c>
      <c r="K1161" s="15">
        <v>0</v>
      </c>
      <c r="L1161" s="15">
        <v>0</v>
      </c>
      <c r="M1161" s="15">
        <v>0</v>
      </c>
      <c r="N1161" s="15" t="str">
        <v/>
      </c>
      <c r="O1161" s="15" t="str">
        <v/>
      </c>
      <c r="P1161" s="22">
        <v>0</v>
      </c>
      <c r="Q1161">
        <v>0</v>
      </c>
    </row>
    <row r="1162" spans="1:17">
      <c r="A1162" s="19">
        <v>0</v>
      </c>
      <c r="B1162" s="19">
        <v>0</v>
      </c>
      <c r="C1162" s="19">
        <v>0</v>
      </c>
      <c r="D1162" s="19">
        <v>0</v>
      </c>
      <c r="E1162" s="19">
        <v>0</v>
      </c>
      <c r="F1162" s="19">
        <v>0</v>
      </c>
      <c r="G1162" s="19">
        <v>0</v>
      </c>
      <c r="H1162" s="19">
        <v>0</v>
      </c>
      <c r="I1162" s="15">
        <v>3500</v>
      </c>
      <c r="J1162" s="15">
        <v>0</v>
      </c>
      <c r="K1162" s="15">
        <v>0</v>
      </c>
      <c r="L1162" s="15">
        <v>0</v>
      </c>
      <c r="M1162" s="15">
        <v>0</v>
      </c>
      <c r="N1162" s="15" t="str">
        <v/>
      </c>
      <c r="O1162" s="15" t="str">
        <v/>
      </c>
      <c r="P1162" s="22">
        <v>0</v>
      </c>
      <c r="Q1162">
        <v>0</v>
      </c>
    </row>
    <row r="1163" spans="1:17">
      <c r="A1163" s="19">
        <v>0</v>
      </c>
      <c r="B1163" s="19">
        <v>0</v>
      </c>
      <c r="C1163" s="19">
        <v>0</v>
      </c>
      <c r="D1163" s="19">
        <v>0</v>
      </c>
      <c r="E1163" s="19">
        <v>0</v>
      </c>
      <c r="F1163" s="19">
        <v>0</v>
      </c>
      <c r="G1163" s="19">
        <v>0</v>
      </c>
      <c r="H1163" s="19">
        <v>0</v>
      </c>
      <c r="I1163" s="15">
        <v>3500</v>
      </c>
      <c r="J1163" s="15">
        <v>0</v>
      </c>
      <c r="K1163" s="15">
        <v>0</v>
      </c>
      <c r="L1163" s="15">
        <v>0</v>
      </c>
      <c r="M1163" s="15">
        <v>0</v>
      </c>
      <c r="N1163" s="15" t="str">
        <v/>
      </c>
      <c r="O1163" s="15" t="str">
        <v/>
      </c>
      <c r="P1163" s="22">
        <v>0</v>
      </c>
      <c r="Q1163">
        <v>0</v>
      </c>
    </row>
    <row r="1164" spans="1:17">
      <c r="A1164" s="19">
        <v>0</v>
      </c>
      <c r="B1164" s="19">
        <v>0</v>
      </c>
      <c r="C1164" s="19">
        <v>0</v>
      </c>
      <c r="D1164" s="19">
        <v>0</v>
      </c>
      <c r="E1164" s="19">
        <v>0</v>
      </c>
      <c r="F1164" s="19">
        <v>0</v>
      </c>
      <c r="G1164" s="19">
        <v>0</v>
      </c>
      <c r="H1164" s="19">
        <v>0</v>
      </c>
      <c r="I1164" s="15">
        <v>3500</v>
      </c>
      <c r="J1164" s="15">
        <v>0</v>
      </c>
      <c r="K1164" s="15">
        <v>0</v>
      </c>
      <c r="L1164" s="15">
        <v>0</v>
      </c>
      <c r="M1164" s="15">
        <v>0</v>
      </c>
      <c r="N1164" s="15" t="str">
        <v/>
      </c>
      <c r="O1164" s="15" t="str">
        <v/>
      </c>
      <c r="P1164" s="22">
        <v>0</v>
      </c>
      <c r="Q1164">
        <v>0</v>
      </c>
    </row>
    <row r="1165" spans="1:17">
      <c r="A1165" s="19">
        <v>0</v>
      </c>
      <c r="B1165" s="19">
        <v>0</v>
      </c>
      <c r="C1165" s="19">
        <v>0</v>
      </c>
      <c r="D1165" s="19">
        <v>0</v>
      </c>
      <c r="E1165" s="19">
        <v>0</v>
      </c>
      <c r="F1165" s="19">
        <v>0</v>
      </c>
      <c r="G1165" s="19">
        <v>0</v>
      </c>
      <c r="H1165" s="19">
        <v>0</v>
      </c>
      <c r="I1165" s="15">
        <v>3500</v>
      </c>
      <c r="J1165" s="15">
        <v>0</v>
      </c>
      <c r="K1165" s="15">
        <v>0</v>
      </c>
      <c r="L1165" s="15">
        <v>0</v>
      </c>
      <c r="M1165" s="15">
        <v>0</v>
      </c>
      <c r="N1165" s="15" t="str">
        <v/>
      </c>
      <c r="O1165" s="15" t="str">
        <v/>
      </c>
      <c r="P1165" s="22">
        <v>0</v>
      </c>
      <c r="Q1165">
        <v>0</v>
      </c>
    </row>
    <row r="1166" spans="1:17">
      <c r="A1166" s="19">
        <v>0</v>
      </c>
      <c r="B1166" s="19">
        <v>0</v>
      </c>
      <c r="C1166" s="19">
        <v>0</v>
      </c>
      <c r="D1166" s="19">
        <v>0</v>
      </c>
      <c r="E1166" s="19">
        <v>0</v>
      </c>
      <c r="F1166" s="19">
        <v>0</v>
      </c>
      <c r="G1166" s="19">
        <v>0</v>
      </c>
      <c r="H1166" s="19">
        <v>0</v>
      </c>
      <c r="I1166" s="15">
        <v>3500</v>
      </c>
      <c r="J1166" s="15">
        <v>0</v>
      </c>
      <c r="K1166" s="15">
        <v>0</v>
      </c>
      <c r="L1166" s="15">
        <v>0</v>
      </c>
      <c r="M1166" s="15">
        <v>0</v>
      </c>
      <c r="N1166" s="15" t="str">
        <v/>
      </c>
      <c r="O1166" s="15" t="str">
        <v/>
      </c>
      <c r="P1166" s="22">
        <v>0</v>
      </c>
      <c r="Q1166">
        <v>0</v>
      </c>
    </row>
    <row r="1167" spans="1:17">
      <c r="A1167" s="19">
        <v>0</v>
      </c>
      <c r="B1167" s="19">
        <v>0</v>
      </c>
      <c r="C1167" s="19">
        <v>0</v>
      </c>
      <c r="D1167" s="19">
        <v>0</v>
      </c>
      <c r="E1167" s="19">
        <v>0</v>
      </c>
      <c r="F1167" s="19">
        <v>0</v>
      </c>
      <c r="G1167" s="19">
        <v>0</v>
      </c>
      <c r="H1167" s="19">
        <v>0</v>
      </c>
      <c r="I1167" s="15">
        <v>3500</v>
      </c>
      <c r="J1167" s="15">
        <v>0</v>
      </c>
      <c r="K1167" s="15">
        <v>0</v>
      </c>
      <c r="L1167" s="15">
        <v>0</v>
      </c>
      <c r="M1167" s="15">
        <v>0</v>
      </c>
      <c r="N1167" s="15" t="str">
        <v/>
      </c>
      <c r="O1167" s="15" t="str">
        <v/>
      </c>
      <c r="P1167" s="22">
        <v>0</v>
      </c>
      <c r="Q1167">
        <v>0</v>
      </c>
    </row>
    <row r="1168" spans="1:17">
      <c r="A1168" s="19">
        <v>0</v>
      </c>
      <c r="B1168" s="19">
        <v>0</v>
      </c>
      <c r="C1168" s="19">
        <v>0</v>
      </c>
      <c r="D1168" s="19">
        <v>0</v>
      </c>
      <c r="E1168" s="19">
        <v>0</v>
      </c>
      <c r="F1168" s="19">
        <v>0</v>
      </c>
      <c r="G1168" s="19">
        <v>0</v>
      </c>
      <c r="H1168" s="19">
        <v>0</v>
      </c>
      <c r="I1168" s="15">
        <v>3500</v>
      </c>
      <c r="J1168" s="15">
        <v>0</v>
      </c>
      <c r="K1168" s="15">
        <v>0</v>
      </c>
      <c r="L1168" s="15">
        <v>0</v>
      </c>
      <c r="M1168" s="15">
        <v>0</v>
      </c>
      <c r="N1168" s="15" t="str">
        <v/>
      </c>
      <c r="O1168" s="15" t="str">
        <v/>
      </c>
      <c r="P1168" s="22">
        <v>0</v>
      </c>
      <c r="Q1168">
        <v>0</v>
      </c>
    </row>
    <row r="1169" spans="1:17">
      <c r="A1169" s="19">
        <v>0</v>
      </c>
      <c r="B1169" s="19">
        <v>0</v>
      </c>
      <c r="C1169" s="19">
        <v>0</v>
      </c>
      <c r="D1169" s="19">
        <v>0</v>
      </c>
      <c r="E1169" s="19">
        <v>0</v>
      </c>
      <c r="F1169" s="19">
        <v>0</v>
      </c>
      <c r="G1169" s="19">
        <v>0</v>
      </c>
      <c r="H1169" s="19">
        <v>0</v>
      </c>
      <c r="I1169" s="15">
        <v>3500</v>
      </c>
      <c r="J1169" s="15">
        <v>0</v>
      </c>
      <c r="K1169" s="15">
        <v>0</v>
      </c>
      <c r="L1169" s="15">
        <v>0</v>
      </c>
      <c r="M1169" s="15">
        <v>0</v>
      </c>
      <c r="N1169" s="15" t="str">
        <v/>
      </c>
      <c r="O1169" s="15" t="str">
        <v/>
      </c>
      <c r="P1169" s="22">
        <v>0</v>
      </c>
      <c r="Q1169">
        <v>0</v>
      </c>
    </row>
    <row r="1170" spans="1:17">
      <c r="A1170" s="19">
        <v>0</v>
      </c>
      <c r="B1170" s="19">
        <v>0</v>
      </c>
      <c r="C1170" s="19">
        <v>0</v>
      </c>
      <c r="D1170" s="19">
        <v>0</v>
      </c>
      <c r="E1170" s="19">
        <v>0</v>
      </c>
      <c r="F1170" s="19">
        <v>0</v>
      </c>
      <c r="G1170" s="19">
        <v>0</v>
      </c>
      <c r="H1170" s="19">
        <v>0</v>
      </c>
      <c r="I1170" s="15">
        <v>3500</v>
      </c>
      <c r="J1170" s="15">
        <v>0</v>
      </c>
      <c r="K1170" s="15">
        <v>0</v>
      </c>
      <c r="L1170" s="15">
        <v>0</v>
      </c>
      <c r="M1170" s="15">
        <v>0</v>
      </c>
      <c r="N1170" s="15" t="str">
        <v/>
      </c>
      <c r="O1170" s="15" t="str">
        <v/>
      </c>
      <c r="P1170" s="22">
        <v>0</v>
      </c>
      <c r="Q1170">
        <v>0</v>
      </c>
    </row>
    <row r="1171" spans="1:17">
      <c r="A1171" s="19">
        <v>0</v>
      </c>
      <c r="B1171" s="19">
        <v>0</v>
      </c>
      <c r="C1171" s="19">
        <v>0</v>
      </c>
      <c r="D1171" s="19">
        <v>0</v>
      </c>
      <c r="E1171" s="19">
        <v>0</v>
      </c>
      <c r="F1171" s="19">
        <v>0</v>
      </c>
      <c r="G1171" s="19">
        <v>0</v>
      </c>
      <c r="H1171" s="19">
        <v>0</v>
      </c>
      <c r="I1171" s="15">
        <v>3500</v>
      </c>
      <c r="J1171" s="15">
        <v>0</v>
      </c>
      <c r="K1171" s="15">
        <v>0</v>
      </c>
      <c r="L1171" s="15">
        <v>0</v>
      </c>
      <c r="M1171" s="15">
        <v>0</v>
      </c>
      <c r="N1171" s="15" t="str">
        <v/>
      </c>
      <c r="O1171" s="15" t="str">
        <v/>
      </c>
      <c r="P1171" s="22">
        <v>0</v>
      </c>
      <c r="Q1171">
        <v>0</v>
      </c>
    </row>
    <row r="1172" spans="1:17">
      <c r="A1172" s="19">
        <v>0</v>
      </c>
      <c r="B1172" s="19">
        <v>0</v>
      </c>
      <c r="C1172" s="19">
        <v>0</v>
      </c>
      <c r="D1172" s="19">
        <v>0</v>
      </c>
      <c r="E1172" s="19">
        <v>0</v>
      </c>
      <c r="F1172" s="19">
        <v>0</v>
      </c>
      <c r="G1172" s="19">
        <v>0</v>
      </c>
      <c r="H1172" s="19">
        <v>0</v>
      </c>
      <c r="I1172" s="15">
        <v>3500</v>
      </c>
      <c r="J1172" s="15">
        <v>0</v>
      </c>
      <c r="K1172" s="15">
        <v>0</v>
      </c>
      <c r="L1172" s="15">
        <v>0</v>
      </c>
      <c r="M1172" s="15">
        <v>0</v>
      </c>
      <c r="N1172" s="15" t="str">
        <v/>
      </c>
      <c r="O1172" s="15" t="str">
        <v/>
      </c>
      <c r="P1172" s="22">
        <v>0</v>
      </c>
      <c r="Q1172">
        <v>0</v>
      </c>
    </row>
    <row r="1173" spans="1:17">
      <c r="A1173" s="19">
        <v>0</v>
      </c>
      <c r="B1173" s="19">
        <v>0</v>
      </c>
      <c r="C1173" s="19">
        <v>0</v>
      </c>
      <c r="D1173" s="19">
        <v>0</v>
      </c>
      <c r="E1173" s="19">
        <v>0</v>
      </c>
      <c r="F1173" s="19">
        <v>0</v>
      </c>
      <c r="G1173" s="19">
        <v>0</v>
      </c>
      <c r="H1173" s="19">
        <v>0</v>
      </c>
      <c r="I1173" s="15">
        <v>3500</v>
      </c>
      <c r="J1173" s="15">
        <v>0</v>
      </c>
      <c r="K1173" s="15">
        <v>0</v>
      </c>
      <c r="L1173" s="15">
        <v>0</v>
      </c>
      <c r="M1173" s="15">
        <v>0</v>
      </c>
      <c r="N1173" s="15" t="str">
        <v/>
      </c>
      <c r="O1173" s="15" t="str">
        <v/>
      </c>
      <c r="P1173" s="22">
        <v>0</v>
      </c>
      <c r="Q1173">
        <v>0</v>
      </c>
    </row>
    <row r="1174" spans="1:17">
      <c r="A1174" s="19">
        <v>0</v>
      </c>
      <c r="B1174" s="19">
        <v>0</v>
      </c>
      <c r="C1174" s="19">
        <v>0</v>
      </c>
      <c r="D1174" s="19">
        <v>0</v>
      </c>
      <c r="E1174" s="19">
        <v>0</v>
      </c>
      <c r="F1174" s="19">
        <v>0</v>
      </c>
      <c r="G1174" s="19">
        <v>0</v>
      </c>
      <c r="H1174" s="19">
        <v>0</v>
      </c>
      <c r="I1174" s="15">
        <v>3500</v>
      </c>
      <c r="J1174" s="15">
        <v>0</v>
      </c>
      <c r="K1174" s="15">
        <v>0</v>
      </c>
      <c r="L1174" s="15">
        <v>0</v>
      </c>
      <c r="M1174" s="15">
        <v>0</v>
      </c>
      <c r="N1174" s="15" t="str">
        <v/>
      </c>
      <c r="O1174" s="15" t="str">
        <v/>
      </c>
      <c r="P1174" s="22">
        <v>0</v>
      </c>
      <c r="Q1174">
        <v>0</v>
      </c>
    </row>
    <row r="1175" spans="1:17">
      <c r="A1175" s="19">
        <v>0</v>
      </c>
      <c r="B1175" s="19">
        <v>0</v>
      </c>
      <c r="C1175" s="19">
        <v>0</v>
      </c>
      <c r="D1175" s="19">
        <v>0</v>
      </c>
      <c r="E1175" s="19">
        <v>0</v>
      </c>
      <c r="F1175" s="19">
        <v>0</v>
      </c>
      <c r="G1175" s="19">
        <v>0</v>
      </c>
      <c r="H1175" s="19">
        <v>0</v>
      </c>
      <c r="I1175" s="15">
        <v>3500</v>
      </c>
      <c r="J1175" s="15">
        <v>0</v>
      </c>
      <c r="K1175" s="15">
        <v>0</v>
      </c>
      <c r="L1175" s="15">
        <v>0</v>
      </c>
      <c r="M1175" s="15">
        <v>0</v>
      </c>
      <c r="N1175" s="15" t="str">
        <v/>
      </c>
      <c r="O1175" s="15" t="str">
        <v/>
      </c>
      <c r="P1175" s="22">
        <v>0</v>
      </c>
      <c r="Q1175">
        <v>0</v>
      </c>
    </row>
    <row r="1176" spans="1:17">
      <c r="A1176" s="19">
        <v>0</v>
      </c>
      <c r="B1176" s="19">
        <v>0</v>
      </c>
      <c r="C1176" s="19">
        <v>0</v>
      </c>
      <c r="D1176" s="19">
        <v>0</v>
      </c>
      <c r="E1176" s="19">
        <v>0</v>
      </c>
      <c r="F1176" s="19">
        <v>0</v>
      </c>
      <c r="G1176" s="19">
        <v>0</v>
      </c>
      <c r="H1176" s="19">
        <v>0</v>
      </c>
      <c r="I1176" s="15">
        <v>3500</v>
      </c>
      <c r="J1176" s="15">
        <v>0</v>
      </c>
      <c r="K1176" s="15">
        <v>0</v>
      </c>
      <c r="L1176" s="15">
        <v>0</v>
      </c>
      <c r="M1176" s="15">
        <v>0</v>
      </c>
      <c r="N1176" s="15" t="str">
        <v/>
      </c>
      <c r="O1176" s="15" t="str">
        <v/>
      </c>
      <c r="P1176" s="22">
        <v>0</v>
      </c>
      <c r="Q1176">
        <v>0</v>
      </c>
    </row>
    <row r="1177" spans="1:17">
      <c r="A1177" s="19">
        <v>0</v>
      </c>
      <c r="B1177" s="19">
        <v>0</v>
      </c>
      <c r="C1177" s="19">
        <v>0</v>
      </c>
      <c r="D1177" s="19">
        <v>0</v>
      </c>
      <c r="E1177" s="19">
        <v>0</v>
      </c>
      <c r="F1177" s="19">
        <v>0</v>
      </c>
      <c r="G1177" s="19">
        <v>0</v>
      </c>
      <c r="H1177" s="19">
        <v>0</v>
      </c>
      <c r="I1177" s="15">
        <v>3500</v>
      </c>
      <c r="J1177" s="15">
        <v>0</v>
      </c>
      <c r="K1177" s="15">
        <v>0</v>
      </c>
      <c r="L1177" s="15">
        <v>0</v>
      </c>
      <c r="M1177" s="15">
        <v>0</v>
      </c>
      <c r="N1177" s="15" t="str">
        <v/>
      </c>
      <c r="O1177" s="15" t="str">
        <v/>
      </c>
      <c r="P1177" s="22">
        <v>0</v>
      </c>
      <c r="Q1177">
        <v>0</v>
      </c>
    </row>
    <row r="1178" spans="1:17">
      <c r="A1178" s="19">
        <v>0</v>
      </c>
      <c r="B1178" s="19">
        <v>0</v>
      </c>
      <c r="C1178" s="19">
        <v>0</v>
      </c>
      <c r="D1178" s="19">
        <v>0</v>
      </c>
      <c r="E1178" s="19">
        <v>0</v>
      </c>
      <c r="F1178" s="19">
        <v>0</v>
      </c>
      <c r="G1178" s="19">
        <v>0</v>
      </c>
      <c r="H1178" s="19">
        <v>0</v>
      </c>
      <c r="I1178" s="15">
        <v>3500</v>
      </c>
      <c r="J1178" s="15">
        <v>0</v>
      </c>
      <c r="K1178" s="15">
        <v>0</v>
      </c>
      <c r="L1178" s="15">
        <v>0</v>
      </c>
      <c r="M1178" s="15">
        <v>0</v>
      </c>
      <c r="N1178" s="15" t="str">
        <v/>
      </c>
      <c r="O1178" s="15" t="str">
        <v/>
      </c>
      <c r="P1178" s="22">
        <v>0</v>
      </c>
      <c r="Q1178">
        <v>0</v>
      </c>
    </row>
    <row r="1179" spans="1:17">
      <c r="A1179" s="19">
        <v>0</v>
      </c>
      <c r="B1179" s="19">
        <v>0</v>
      </c>
      <c r="C1179" s="19">
        <v>0</v>
      </c>
      <c r="D1179" s="19">
        <v>0</v>
      </c>
      <c r="E1179" s="19">
        <v>0</v>
      </c>
      <c r="F1179" s="19">
        <v>0</v>
      </c>
      <c r="G1179" s="19">
        <v>0</v>
      </c>
      <c r="H1179" s="19">
        <v>0</v>
      </c>
      <c r="I1179" s="15">
        <v>3500</v>
      </c>
      <c r="J1179" s="15">
        <v>0</v>
      </c>
      <c r="K1179" s="15">
        <v>0</v>
      </c>
      <c r="L1179" s="15">
        <v>0</v>
      </c>
      <c r="M1179" s="15">
        <v>0</v>
      </c>
      <c r="N1179" s="15" t="str">
        <v/>
      </c>
      <c r="O1179" s="15" t="str">
        <v/>
      </c>
      <c r="P1179" s="22">
        <v>0</v>
      </c>
      <c r="Q1179">
        <v>0</v>
      </c>
    </row>
    <row r="1180" spans="1:17">
      <c r="A1180" s="19">
        <v>0</v>
      </c>
      <c r="B1180" s="19">
        <v>0</v>
      </c>
      <c r="C1180" s="19">
        <v>0</v>
      </c>
      <c r="D1180" s="19">
        <v>0</v>
      </c>
      <c r="E1180" s="19">
        <v>0</v>
      </c>
      <c r="F1180" s="19">
        <v>0</v>
      </c>
      <c r="G1180" s="19">
        <v>0</v>
      </c>
      <c r="H1180" s="19">
        <v>0</v>
      </c>
      <c r="I1180" s="15">
        <v>3500</v>
      </c>
      <c r="J1180" s="15">
        <v>0</v>
      </c>
      <c r="K1180" s="15">
        <v>0</v>
      </c>
      <c r="L1180" s="15">
        <v>0</v>
      </c>
      <c r="M1180" s="15">
        <v>0</v>
      </c>
      <c r="N1180" s="15" t="str">
        <v/>
      </c>
      <c r="O1180" s="15" t="str">
        <v/>
      </c>
      <c r="P1180" s="22">
        <v>0</v>
      </c>
      <c r="Q1180">
        <v>0</v>
      </c>
    </row>
    <row r="1181" spans="1:17">
      <c r="A1181" s="19">
        <v>0</v>
      </c>
      <c r="B1181" s="19">
        <v>0</v>
      </c>
      <c r="C1181" s="19">
        <v>0</v>
      </c>
      <c r="D1181" s="19">
        <v>0</v>
      </c>
      <c r="E1181" s="19">
        <v>0</v>
      </c>
      <c r="F1181" s="19">
        <v>0</v>
      </c>
      <c r="G1181" s="19">
        <v>0</v>
      </c>
      <c r="H1181" s="19">
        <v>0</v>
      </c>
      <c r="I1181" s="15">
        <v>3500</v>
      </c>
      <c r="J1181" s="15">
        <v>0</v>
      </c>
      <c r="K1181" s="15">
        <v>0</v>
      </c>
      <c r="L1181" s="15">
        <v>0</v>
      </c>
      <c r="M1181" s="15">
        <v>0</v>
      </c>
      <c r="N1181" s="15" t="str">
        <v/>
      </c>
      <c r="O1181" s="15" t="str">
        <v/>
      </c>
      <c r="P1181" s="22">
        <v>0</v>
      </c>
      <c r="Q1181">
        <v>0</v>
      </c>
    </row>
    <row r="1182" spans="1:17">
      <c r="A1182" s="19">
        <v>0</v>
      </c>
      <c r="B1182" s="19">
        <v>0</v>
      </c>
      <c r="C1182" s="19">
        <v>0</v>
      </c>
      <c r="D1182" s="19">
        <v>0</v>
      </c>
      <c r="E1182" s="19">
        <v>0</v>
      </c>
      <c r="F1182" s="19">
        <v>0</v>
      </c>
      <c r="G1182" s="19">
        <v>0</v>
      </c>
      <c r="H1182" s="19">
        <v>0</v>
      </c>
      <c r="I1182" s="15">
        <v>3500</v>
      </c>
      <c r="J1182" s="15">
        <v>0</v>
      </c>
      <c r="K1182" s="15">
        <v>0</v>
      </c>
      <c r="L1182" s="15">
        <v>0</v>
      </c>
      <c r="M1182" s="15">
        <v>0</v>
      </c>
      <c r="N1182" s="15" t="str">
        <v/>
      </c>
      <c r="O1182" s="15" t="str">
        <v/>
      </c>
      <c r="P1182" s="22">
        <v>0</v>
      </c>
      <c r="Q1182">
        <v>0</v>
      </c>
    </row>
    <row r="1183" spans="1:17">
      <c r="A1183" s="19">
        <v>0</v>
      </c>
      <c r="B1183" s="19">
        <v>0</v>
      </c>
      <c r="C1183" s="19">
        <v>0</v>
      </c>
      <c r="D1183" s="19">
        <v>0</v>
      </c>
      <c r="E1183" s="19">
        <v>0</v>
      </c>
      <c r="F1183" s="19">
        <v>0</v>
      </c>
      <c r="G1183" s="19">
        <v>0</v>
      </c>
      <c r="H1183" s="19">
        <v>0</v>
      </c>
      <c r="I1183" s="15">
        <v>3500</v>
      </c>
      <c r="J1183" s="15">
        <v>0</v>
      </c>
      <c r="K1183" s="15">
        <v>0</v>
      </c>
      <c r="L1183" s="15">
        <v>0</v>
      </c>
      <c r="M1183" s="15">
        <v>0</v>
      </c>
      <c r="N1183" s="15" t="str">
        <v/>
      </c>
      <c r="O1183" s="15" t="str">
        <v/>
      </c>
      <c r="P1183" s="22">
        <v>0</v>
      </c>
      <c r="Q1183">
        <v>0</v>
      </c>
    </row>
    <row r="1184" spans="1:17">
      <c r="A1184" s="19">
        <v>0</v>
      </c>
      <c r="B1184" s="19">
        <v>0</v>
      </c>
      <c r="C1184" s="19">
        <v>0</v>
      </c>
      <c r="D1184" s="19">
        <v>0</v>
      </c>
      <c r="E1184" s="19">
        <v>0</v>
      </c>
      <c r="F1184" s="19">
        <v>0</v>
      </c>
      <c r="G1184" s="19">
        <v>0</v>
      </c>
      <c r="H1184" s="19">
        <v>0</v>
      </c>
      <c r="I1184" s="15">
        <v>3500</v>
      </c>
      <c r="J1184" s="15">
        <v>0</v>
      </c>
      <c r="K1184" s="15">
        <v>0</v>
      </c>
      <c r="L1184" s="15">
        <v>0</v>
      </c>
      <c r="M1184" s="15">
        <v>0</v>
      </c>
      <c r="N1184" s="15" t="str">
        <v/>
      </c>
      <c r="O1184" s="15" t="str">
        <v/>
      </c>
      <c r="P1184" s="22">
        <v>0</v>
      </c>
      <c r="Q1184">
        <v>0</v>
      </c>
    </row>
    <row r="1185" spans="1:17">
      <c r="A1185" s="19">
        <v>0</v>
      </c>
      <c r="B1185" s="19">
        <v>0</v>
      </c>
      <c r="C1185" s="19">
        <v>0</v>
      </c>
      <c r="D1185" s="19">
        <v>0</v>
      </c>
      <c r="E1185" s="19">
        <v>0</v>
      </c>
      <c r="F1185" s="19">
        <v>0</v>
      </c>
      <c r="G1185" s="19">
        <v>0</v>
      </c>
      <c r="H1185" s="19">
        <v>0</v>
      </c>
      <c r="I1185" s="15">
        <v>3500</v>
      </c>
      <c r="J1185" s="15">
        <v>0</v>
      </c>
      <c r="K1185" s="15">
        <v>0</v>
      </c>
      <c r="L1185" s="15">
        <v>0</v>
      </c>
      <c r="M1185" s="15">
        <v>0</v>
      </c>
      <c r="N1185" s="15" t="str">
        <v/>
      </c>
      <c r="O1185" s="15" t="str">
        <v/>
      </c>
      <c r="P1185" s="22">
        <v>0</v>
      </c>
      <c r="Q1185">
        <v>0</v>
      </c>
    </row>
    <row r="1186" spans="1:17">
      <c r="A1186" s="19">
        <v>0</v>
      </c>
      <c r="B1186" s="19">
        <v>0</v>
      </c>
      <c r="C1186" s="19">
        <v>0</v>
      </c>
      <c r="D1186" s="19">
        <v>0</v>
      </c>
      <c r="E1186" s="19">
        <v>0</v>
      </c>
      <c r="F1186" s="19">
        <v>0</v>
      </c>
      <c r="G1186" s="19">
        <v>0</v>
      </c>
      <c r="H1186" s="19">
        <v>0</v>
      </c>
      <c r="I1186" s="15">
        <v>3500</v>
      </c>
      <c r="J1186" s="15">
        <v>0</v>
      </c>
      <c r="K1186" s="15">
        <v>0</v>
      </c>
      <c r="L1186" s="15">
        <v>0</v>
      </c>
      <c r="M1186" s="15">
        <v>0</v>
      </c>
      <c r="N1186" s="15" t="str">
        <v/>
      </c>
      <c r="O1186" s="15" t="str">
        <v/>
      </c>
      <c r="P1186" s="22">
        <v>0</v>
      </c>
      <c r="Q1186">
        <v>0</v>
      </c>
    </row>
    <row r="1187" spans="1:17">
      <c r="A1187" s="19">
        <v>0</v>
      </c>
      <c r="B1187" s="19">
        <v>0</v>
      </c>
      <c r="C1187" s="19">
        <v>0</v>
      </c>
      <c r="D1187" s="19">
        <v>0</v>
      </c>
      <c r="E1187" s="19">
        <v>0</v>
      </c>
      <c r="F1187" s="19">
        <v>0</v>
      </c>
      <c r="G1187" s="19">
        <v>0</v>
      </c>
      <c r="H1187" s="19">
        <v>0</v>
      </c>
      <c r="I1187" s="15">
        <v>3500</v>
      </c>
      <c r="J1187" s="15">
        <v>0</v>
      </c>
      <c r="K1187" s="15">
        <v>0</v>
      </c>
      <c r="L1187" s="15">
        <v>0</v>
      </c>
      <c r="M1187" s="15">
        <v>0</v>
      </c>
      <c r="N1187" s="15" t="str">
        <v/>
      </c>
      <c r="O1187" s="15" t="str">
        <v/>
      </c>
      <c r="P1187" s="22">
        <v>0</v>
      </c>
      <c r="Q1187">
        <v>0</v>
      </c>
    </row>
    <row r="1188" spans="1:17">
      <c r="A1188" s="19">
        <v>0</v>
      </c>
      <c r="B1188" s="19">
        <v>0</v>
      </c>
      <c r="C1188" s="19">
        <v>0</v>
      </c>
      <c r="D1188" s="19">
        <v>0</v>
      </c>
      <c r="E1188" s="19">
        <v>0</v>
      </c>
      <c r="F1188" s="19">
        <v>0</v>
      </c>
      <c r="G1188" s="19">
        <v>0</v>
      </c>
      <c r="H1188" s="19">
        <v>0</v>
      </c>
      <c r="I1188" s="15">
        <v>3500</v>
      </c>
      <c r="J1188" s="15">
        <v>0</v>
      </c>
      <c r="K1188" s="15">
        <v>0</v>
      </c>
      <c r="L1188" s="15">
        <v>0</v>
      </c>
      <c r="M1188" s="15">
        <v>0</v>
      </c>
      <c r="N1188" s="15" t="str">
        <v/>
      </c>
      <c r="O1188" s="15" t="str">
        <v/>
      </c>
      <c r="P1188" s="22">
        <v>0</v>
      </c>
      <c r="Q1188">
        <v>0</v>
      </c>
    </row>
    <row r="1189" spans="1:17">
      <c r="A1189" s="19">
        <v>0</v>
      </c>
      <c r="B1189" s="19">
        <v>0</v>
      </c>
      <c r="C1189" s="19">
        <v>0</v>
      </c>
      <c r="D1189" s="19">
        <v>0</v>
      </c>
      <c r="E1189" s="19">
        <v>0</v>
      </c>
      <c r="F1189" s="19">
        <v>0</v>
      </c>
      <c r="G1189" s="19">
        <v>0</v>
      </c>
      <c r="H1189" s="19">
        <v>0</v>
      </c>
      <c r="I1189" s="15">
        <v>3500</v>
      </c>
      <c r="J1189" s="15">
        <v>0</v>
      </c>
      <c r="K1189" s="15">
        <v>0</v>
      </c>
      <c r="L1189" s="15">
        <v>0</v>
      </c>
      <c r="M1189" s="15">
        <v>0</v>
      </c>
      <c r="N1189" s="15" t="str">
        <v/>
      </c>
      <c r="O1189" s="15" t="str">
        <v/>
      </c>
      <c r="P1189" s="22">
        <v>0</v>
      </c>
      <c r="Q1189">
        <v>0</v>
      </c>
    </row>
    <row r="1190" spans="1:17">
      <c r="A1190" s="19">
        <v>0</v>
      </c>
      <c r="B1190" s="19">
        <v>0</v>
      </c>
      <c r="C1190" s="19">
        <v>0</v>
      </c>
      <c r="D1190" s="19">
        <v>0</v>
      </c>
      <c r="E1190" s="19">
        <v>0</v>
      </c>
      <c r="F1190" s="19">
        <v>0</v>
      </c>
      <c r="G1190" s="19">
        <v>0</v>
      </c>
      <c r="H1190" s="19">
        <v>0</v>
      </c>
      <c r="I1190" s="15">
        <v>3500</v>
      </c>
      <c r="J1190" s="15">
        <v>0</v>
      </c>
      <c r="K1190" s="15">
        <v>0</v>
      </c>
      <c r="L1190" s="15">
        <v>0</v>
      </c>
      <c r="M1190" s="15">
        <v>0</v>
      </c>
      <c r="N1190" s="15" t="str">
        <v/>
      </c>
      <c r="O1190" s="15" t="str">
        <v/>
      </c>
      <c r="P1190" s="22">
        <v>0</v>
      </c>
      <c r="Q1190">
        <v>0</v>
      </c>
    </row>
    <row r="1191" spans="1:17">
      <c r="A1191" s="19">
        <v>0</v>
      </c>
      <c r="B1191" s="19">
        <v>0</v>
      </c>
      <c r="C1191" s="19">
        <v>0</v>
      </c>
      <c r="D1191" s="19">
        <v>0</v>
      </c>
      <c r="E1191" s="19">
        <v>0</v>
      </c>
      <c r="F1191" s="19">
        <v>0</v>
      </c>
      <c r="G1191" s="19">
        <v>0</v>
      </c>
      <c r="H1191" s="19">
        <v>0</v>
      </c>
      <c r="I1191" s="15">
        <v>3500</v>
      </c>
      <c r="J1191" s="15">
        <v>0</v>
      </c>
      <c r="K1191" s="15">
        <v>0</v>
      </c>
      <c r="L1191" s="15">
        <v>0</v>
      </c>
      <c r="M1191" s="15">
        <v>0</v>
      </c>
      <c r="N1191" s="15" t="str">
        <v/>
      </c>
      <c r="O1191" s="15" t="str">
        <v/>
      </c>
      <c r="P1191" s="22">
        <v>0</v>
      </c>
      <c r="Q1191">
        <v>0</v>
      </c>
    </row>
    <row r="1192" spans="1:17">
      <c r="A1192" s="19">
        <v>0</v>
      </c>
      <c r="B1192" s="19">
        <v>0</v>
      </c>
      <c r="C1192" s="19">
        <v>0</v>
      </c>
      <c r="D1192" s="19">
        <v>0</v>
      </c>
      <c r="E1192" s="19">
        <v>0</v>
      </c>
      <c r="F1192" s="19">
        <v>0</v>
      </c>
      <c r="G1192" s="19">
        <v>0</v>
      </c>
      <c r="H1192" s="19">
        <v>0</v>
      </c>
      <c r="I1192" s="15">
        <v>3500</v>
      </c>
      <c r="J1192" s="15">
        <v>0</v>
      </c>
      <c r="K1192" s="15">
        <v>0</v>
      </c>
      <c r="L1192" s="15">
        <v>0</v>
      </c>
      <c r="M1192" s="15">
        <v>0</v>
      </c>
      <c r="N1192" s="15" t="str">
        <v/>
      </c>
      <c r="O1192" s="15" t="str">
        <v/>
      </c>
      <c r="P1192" s="22">
        <v>0</v>
      </c>
      <c r="Q1192">
        <v>0</v>
      </c>
    </row>
    <row r="1193" spans="1:17">
      <c r="A1193" s="19">
        <v>0</v>
      </c>
      <c r="B1193" s="19">
        <v>0</v>
      </c>
      <c r="C1193" s="19">
        <v>0</v>
      </c>
      <c r="D1193" s="19">
        <v>0</v>
      </c>
      <c r="E1193" s="19">
        <v>0</v>
      </c>
      <c r="F1193" s="19">
        <v>0</v>
      </c>
      <c r="G1193" s="19">
        <v>0</v>
      </c>
      <c r="H1193" s="19">
        <v>0</v>
      </c>
      <c r="I1193" s="15">
        <v>3500</v>
      </c>
      <c r="J1193" s="15">
        <v>0</v>
      </c>
      <c r="K1193" s="15">
        <v>0</v>
      </c>
      <c r="L1193" s="15">
        <v>0</v>
      </c>
      <c r="M1193" s="15">
        <v>0</v>
      </c>
      <c r="N1193" s="15" t="str">
        <v/>
      </c>
      <c r="O1193" s="15" t="str">
        <v/>
      </c>
      <c r="P1193" s="22">
        <v>0</v>
      </c>
      <c r="Q1193">
        <v>0</v>
      </c>
    </row>
    <row r="1194" spans="1:17">
      <c r="A1194" s="19">
        <v>0</v>
      </c>
      <c r="B1194" s="19">
        <v>0</v>
      </c>
      <c r="C1194" s="19">
        <v>0</v>
      </c>
      <c r="D1194" s="19">
        <v>0</v>
      </c>
      <c r="E1194" s="19">
        <v>0</v>
      </c>
      <c r="F1194" s="19">
        <v>0</v>
      </c>
      <c r="G1194" s="19">
        <v>0</v>
      </c>
      <c r="H1194" s="19">
        <v>0</v>
      </c>
      <c r="I1194" s="15">
        <v>3500</v>
      </c>
      <c r="J1194" s="15">
        <v>0</v>
      </c>
      <c r="K1194" s="15">
        <v>0</v>
      </c>
      <c r="L1194" s="15">
        <v>0</v>
      </c>
      <c r="M1194" s="15">
        <v>0</v>
      </c>
      <c r="N1194" s="15" t="str">
        <v/>
      </c>
      <c r="O1194" s="15" t="str">
        <v/>
      </c>
      <c r="P1194" s="22">
        <v>0</v>
      </c>
      <c r="Q1194">
        <v>0</v>
      </c>
    </row>
    <row r="1195" spans="1:17">
      <c r="A1195" s="19">
        <v>0</v>
      </c>
      <c r="B1195" s="19">
        <v>0</v>
      </c>
      <c r="C1195" s="19">
        <v>0</v>
      </c>
      <c r="D1195" s="19">
        <v>0</v>
      </c>
      <c r="E1195" s="19">
        <v>0</v>
      </c>
      <c r="F1195" s="19">
        <v>0</v>
      </c>
      <c r="G1195" s="19">
        <v>0</v>
      </c>
      <c r="H1195" s="19">
        <v>0</v>
      </c>
      <c r="I1195" s="15">
        <v>3500</v>
      </c>
      <c r="J1195" s="15">
        <v>0</v>
      </c>
      <c r="K1195" s="15">
        <v>0</v>
      </c>
      <c r="L1195" s="15">
        <v>0</v>
      </c>
      <c r="M1195" s="15">
        <v>0</v>
      </c>
      <c r="N1195" s="15" t="str">
        <v/>
      </c>
      <c r="O1195" s="15" t="str">
        <v/>
      </c>
      <c r="P1195" s="22">
        <v>0</v>
      </c>
      <c r="Q1195">
        <v>0</v>
      </c>
    </row>
    <row r="1196" spans="1:17">
      <c r="A1196" s="19">
        <v>0</v>
      </c>
      <c r="B1196" s="19">
        <v>0</v>
      </c>
      <c r="C1196" s="19">
        <v>0</v>
      </c>
      <c r="D1196" s="19">
        <v>0</v>
      </c>
      <c r="E1196" s="19">
        <v>0</v>
      </c>
      <c r="F1196" s="19">
        <v>0</v>
      </c>
      <c r="G1196" s="19">
        <v>0</v>
      </c>
      <c r="H1196" s="19">
        <v>0</v>
      </c>
      <c r="I1196" s="15">
        <v>3500</v>
      </c>
      <c r="J1196" s="15">
        <v>0</v>
      </c>
      <c r="K1196" s="15">
        <v>0</v>
      </c>
      <c r="L1196" s="15">
        <v>0</v>
      </c>
      <c r="M1196" s="15">
        <v>0</v>
      </c>
      <c r="N1196" s="15" t="str">
        <v/>
      </c>
      <c r="O1196" s="15" t="str">
        <v/>
      </c>
      <c r="P1196" s="22">
        <v>0</v>
      </c>
      <c r="Q1196">
        <v>0</v>
      </c>
    </row>
    <row r="1197" spans="1:17">
      <c r="A1197" s="19">
        <v>0</v>
      </c>
      <c r="B1197" s="19">
        <v>0</v>
      </c>
      <c r="C1197" s="19">
        <v>0</v>
      </c>
      <c r="D1197" s="19">
        <v>0</v>
      </c>
      <c r="E1197" s="19">
        <v>0</v>
      </c>
      <c r="F1197" s="19">
        <v>0</v>
      </c>
      <c r="G1197" s="19">
        <v>0</v>
      </c>
      <c r="H1197" s="19">
        <v>0</v>
      </c>
      <c r="I1197" s="15">
        <v>3500</v>
      </c>
      <c r="J1197" s="15">
        <v>0</v>
      </c>
      <c r="K1197" s="15">
        <v>0</v>
      </c>
      <c r="L1197" s="15">
        <v>0</v>
      </c>
      <c r="M1197" s="15">
        <v>0</v>
      </c>
      <c r="N1197" s="15" t="str">
        <v/>
      </c>
      <c r="O1197" s="15" t="str">
        <v/>
      </c>
      <c r="P1197" s="22">
        <v>0</v>
      </c>
      <c r="Q1197">
        <v>0</v>
      </c>
    </row>
    <row r="1198" spans="1:17">
      <c r="A1198" s="19">
        <v>0</v>
      </c>
      <c r="B1198" s="19">
        <v>0</v>
      </c>
      <c r="C1198" s="19">
        <v>0</v>
      </c>
      <c r="D1198" s="19">
        <v>0</v>
      </c>
      <c r="E1198" s="19">
        <v>0</v>
      </c>
      <c r="F1198" s="19">
        <v>0</v>
      </c>
      <c r="G1198" s="19">
        <v>0</v>
      </c>
      <c r="H1198" s="19">
        <v>0</v>
      </c>
      <c r="I1198" s="15">
        <v>3500</v>
      </c>
      <c r="J1198" s="15">
        <v>0</v>
      </c>
      <c r="K1198" s="15">
        <v>0</v>
      </c>
      <c r="L1198" s="15">
        <v>0</v>
      </c>
      <c r="M1198" s="15">
        <v>0</v>
      </c>
      <c r="N1198" s="15" t="str">
        <v/>
      </c>
      <c r="O1198" s="15" t="str">
        <v/>
      </c>
      <c r="P1198" s="22">
        <v>0</v>
      </c>
      <c r="Q1198">
        <v>0</v>
      </c>
    </row>
    <row r="1199" spans="1:17">
      <c r="A1199" s="19">
        <v>0</v>
      </c>
      <c r="B1199" s="19">
        <v>0</v>
      </c>
      <c r="C1199" s="19">
        <v>0</v>
      </c>
      <c r="D1199" s="19">
        <v>0</v>
      </c>
      <c r="E1199" s="19">
        <v>0</v>
      </c>
      <c r="F1199" s="19">
        <v>0</v>
      </c>
      <c r="G1199" s="19">
        <v>0</v>
      </c>
      <c r="H1199" s="19">
        <v>0</v>
      </c>
      <c r="I1199" s="15">
        <v>3500</v>
      </c>
      <c r="J1199" s="15">
        <v>0</v>
      </c>
      <c r="K1199" s="15">
        <v>0</v>
      </c>
      <c r="L1199" s="15">
        <v>0</v>
      </c>
      <c r="M1199" s="15">
        <v>0</v>
      </c>
      <c r="N1199" s="15" t="str">
        <v/>
      </c>
      <c r="O1199" s="15" t="str">
        <v/>
      </c>
      <c r="P1199" s="22">
        <v>0</v>
      </c>
      <c r="Q1199">
        <v>0</v>
      </c>
    </row>
    <row r="1200" spans="1:17">
      <c r="A1200" s="19">
        <v>0</v>
      </c>
      <c r="B1200" s="19">
        <v>0</v>
      </c>
      <c r="C1200" s="19">
        <v>0</v>
      </c>
      <c r="D1200" s="19">
        <v>0</v>
      </c>
      <c r="E1200" s="19">
        <v>0</v>
      </c>
      <c r="F1200" s="19">
        <v>0</v>
      </c>
      <c r="G1200" s="19">
        <v>0</v>
      </c>
      <c r="H1200" s="19">
        <v>0</v>
      </c>
      <c r="I1200" s="15">
        <v>3500</v>
      </c>
      <c r="J1200" s="15">
        <v>0</v>
      </c>
      <c r="K1200" s="15">
        <v>0</v>
      </c>
      <c r="L1200" s="15">
        <v>0</v>
      </c>
      <c r="M1200" s="15">
        <v>0</v>
      </c>
      <c r="N1200" s="15" t="str">
        <v/>
      </c>
      <c r="O1200" s="15" t="str">
        <v/>
      </c>
      <c r="P1200" s="22">
        <v>0</v>
      </c>
      <c r="Q1200">
        <v>0</v>
      </c>
    </row>
    <row r="1201" spans="1:17">
      <c r="A1201" s="19">
        <v>0</v>
      </c>
      <c r="B1201" s="19">
        <v>0</v>
      </c>
      <c r="C1201" s="19">
        <v>0</v>
      </c>
      <c r="D1201" s="19">
        <v>0</v>
      </c>
      <c r="E1201" s="19">
        <v>0</v>
      </c>
      <c r="F1201" s="19">
        <v>0</v>
      </c>
      <c r="G1201" s="19">
        <v>0</v>
      </c>
      <c r="H1201" s="19">
        <v>0</v>
      </c>
      <c r="I1201" s="15">
        <v>3500</v>
      </c>
      <c r="J1201" s="15">
        <v>0</v>
      </c>
      <c r="K1201" s="15">
        <v>0</v>
      </c>
      <c r="L1201" s="15">
        <v>0</v>
      </c>
      <c r="M1201" s="15">
        <v>0</v>
      </c>
      <c r="N1201" s="15" t="str">
        <v/>
      </c>
      <c r="O1201" s="15" t="str">
        <v/>
      </c>
      <c r="P1201" s="22">
        <v>0</v>
      </c>
      <c r="Q1201">
        <v>0</v>
      </c>
    </row>
    <row r="1202" spans="1:17">
      <c r="A1202" s="19">
        <v>0</v>
      </c>
      <c r="B1202" s="19">
        <v>0</v>
      </c>
      <c r="C1202" s="19">
        <v>0</v>
      </c>
      <c r="D1202" s="19">
        <v>0</v>
      </c>
      <c r="E1202" s="19">
        <v>0</v>
      </c>
      <c r="F1202" s="19">
        <v>0</v>
      </c>
      <c r="G1202" s="19">
        <v>0</v>
      </c>
      <c r="H1202" s="19">
        <v>0</v>
      </c>
      <c r="I1202" s="15">
        <v>3500</v>
      </c>
      <c r="J1202" s="15">
        <v>0</v>
      </c>
      <c r="K1202" s="15">
        <v>0</v>
      </c>
      <c r="L1202" s="15">
        <v>0</v>
      </c>
      <c r="M1202" s="15">
        <v>0</v>
      </c>
      <c r="N1202" s="15" t="str">
        <v/>
      </c>
      <c r="O1202" s="15" t="str">
        <v/>
      </c>
      <c r="P1202" s="22">
        <v>0</v>
      </c>
      <c r="Q1202">
        <v>0</v>
      </c>
    </row>
    <row r="1203" spans="1:17">
      <c r="A1203" s="19">
        <v>0</v>
      </c>
      <c r="B1203" s="19">
        <v>0</v>
      </c>
      <c r="C1203" s="19">
        <v>0</v>
      </c>
      <c r="D1203" s="19">
        <v>0</v>
      </c>
      <c r="E1203" s="19">
        <v>0</v>
      </c>
      <c r="F1203" s="19">
        <v>0</v>
      </c>
      <c r="G1203" s="19">
        <v>0</v>
      </c>
      <c r="H1203" s="19">
        <v>0</v>
      </c>
      <c r="I1203" s="15">
        <v>3500</v>
      </c>
      <c r="J1203" s="15">
        <v>0</v>
      </c>
      <c r="K1203" s="15">
        <v>0</v>
      </c>
      <c r="L1203" s="15">
        <v>0</v>
      </c>
      <c r="M1203" s="15">
        <v>0</v>
      </c>
      <c r="N1203" s="15" t="str">
        <v/>
      </c>
      <c r="O1203" s="15" t="str">
        <v/>
      </c>
      <c r="P1203" s="22">
        <v>0</v>
      </c>
      <c r="Q1203">
        <v>0</v>
      </c>
    </row>
    <row r="1204" spans="1:17">
      <c r="A1204" s="19">
        <v>0</v>
      </c>
      <c r="B1204" s="19">
        <v>0</v>
      </c>
      <c r="C1204" s="19">
        <v>0</v>
      </c>
      <c r="D1204" s="19">
        <v>0</v>
      </c>
      <c r="E1204" s="19">
        <v>0</v>
      </c>
      <c r="F1204" s="19">
        <v>0</v>
      </c>
      <c r="G1204" s="19">
        <v>0</v>
      </c>
      <c r="H1204" s="19">
        <v>0</v>
      </c>
      <c r="I1204" s="15">
        <v>3500</v>
      </c>
      <c r="J1204" s="15">
        <v>0</v>
      </c>
      <c r="K1204" s="15">
        <v>0</v>
      </c>
      <c r="L1204" s="15">
        <v>0</v>
      </c>
      <c r="M1204" s="15">
        <v>0</v>
      </c>
      <c r="N1204" s="15" t="str">
        <v/>
      </c>
      <c r="O1204" s="15" t="str">
        <v/>
      </c>
      <c r="P1204" s="22">
        <v>0</v>
      </c>
      <c r="Q1204">
        <v>0</v>
      </c>
    </row>
    <row r="1205" spans="1:17">
      <c r="A1205" s="19">
        <v>0</v>
      </c>
      <c r="B1205" s="19">
        <v>0</v>
      </c>
      <c r="C1205" s="19">
        <v>0</v>
      </c>
      <c r="D1205" s="19">
        <v>0</v>
      </c>
      <c r="E1205" s="19">
        <v>0</v>
      </c>
      <c r="F1205" s="19">
        <v>0</v>
      </c>
      <c r="G1205" s="19">
        <v>0</v>
      </c>
      <c r="H1205" s="19">
        <v>0</v>
      </c>
      <c r="I1205" s="15">
        <v>3500</v>
      </c>
      <c r="J1205" s="15">
        <v>0</v>
      </c>
      <c r="K1205" s="15">
        <v>0</v>
      </c>
      <c r="L1205" s="15">
        <v>0</v>
      </c>
      <c r="M1205" s="15">
        <v>0</v>
      </c>
      <c r="N1205" s="15" t="str">
        <v/>
      </c>
      <c r="O1205" s="15" t="str">
        <v/>
      </c>
      <c r="P1205" s="22">
        <v>0</v>
      </c>
      <c r="Q1205">
        <v>0</v>
      </c>
    </row>
    <row r="1206" spans="1:17">
      <c r="A1206" s="19">
        <v>0</v>
      </c>
      <c r="B1206" s="19">
        <v>0</v>
      </c>
      <c r="C1206" s="19">
        <v>0</v>
      </c>
      <c r="D1206" s="19">
        <v>0</v>
      </c>
      <c r="E1206" s="19">
        <v>0</v>
      </c>
      <c r="F1206" s="19">
        <v>0</v>
      </c>
      <c r="G1206" s="19">
        <v>0</v>
      </c>
      <c r="H1206" s="19">
        <v>0</v>
      </c>
      <c r="I1206" s="15">
        <v>3500</v>
      </c>
      <c r="J1206" s="15">
        <v>0</v>
      </c>
      <c r="K1206" s="15">
        <v>0</v>
      </c>
      <c r="L1206" s="15">
        <v>0</v>
      </c>
      <c r="M1206" s="15">
        <v>0</v>
      </c>
      <c r="N1206" s="15" t="str">
        <v/>
      </c>
      <c r="O1206" s="15" t="str">
        <v/>
      </c>
      <c r="P1206" s="22">
        <v>0</v>
      </c>
      <c r="Q1206">
        <v>0</v>
      </c>
    </row>
    <row r="1207" spans="1:17">
      <c r="A1207" s="19">
        <v>0</v>
      </c>
      <c r="B1207" s="19">
        <v>0</v>
      </c>
      <c r="C1207" s="19">
        <v>0</v>
      </c>
      <c r="D1207" s="19">
        <v>0</v>
      </c>
      <c r="E1207" s="19">
        <v>0</v>
      </c>
      <c r="F1207" s="19">
        <v>0</v>
      </c>
      <c r="G1207" s="19">
        <v>0</v>
      </c>
      <c r="H1207" s="19">
        <v>0</v>
      </c>
      <c r="I1207" s="15">
        <v>3500</v>
      </c>
      <c r="J1207" s="15">
        <v>0</v>
      </c>
      <c r="K1207" s="15">
        <v>0</v>
      </c>
      <c r="L1207" s="15">
        <v>0</v>
      </c>
      <c r="M1207" s="15">
        <v>0</v>
      </c>
      <c r="N1207" s="15" t="str">
        <v/>
      </c>
      <c r="O1207" s="15" t="str">
        <v/>
      </c>
      <c r="P1207" s="22">
        <v>0</v>
      </c>
      <c r="Q1207">
        <v>0</v>
      </c>
    </row>
    <row r="1208" spans="1:17">
      <c r="A1208" s="19">
        <v>0</v>
      </c>
      <c r="B1208" s="19">
        <v>0</v>
      </c>
      <c r="C1208" s="19">
        <v>0</v>
      </c>
      <c r="D1208" s="19">
        <v>0</v>
      </c>
      <c r="E1208" s="19">
        <v>0</v>
      </c>
      <c r="F1208" s="19">
        <v>0</v>
      </c>
      <c r="G1208" s="19">
        <v>0</v>
      </c>
      <c r="H1208" s="19">
        <v>0</v>
      </c>
      <c r="I1208" s="15">
        <v>3500</v>
      </c>
      <c r="J1208" s="15">
        <v>0</v>
      </c>
      <c r="K1208" s="15">
        <v>0</v>
      </c>
      <c r="L1208" s="15">
        <v>0</v>
      </c>
      <c r="M1208" s="15">
        <v>0</v>
      </c>
      <c r="N1208" s="15" t="str">
        <v/>
      </c>
      <c r="O1208" s="15" t="str">
        <v/>
      </c>
      <c r="P1208" s="22">
        <v>0</v>
      </c>
      <c r="Q1208">
        <v>0</v>
      </c>
    </row>
    <row r="1209" spans="1:17">
      <c r="A1209" s="19">
        <v>0</v>
      </c>
      <c r="B1209" s="19">
        <v>0</v>
      </c>
      <c r="C1209" s="19">
        <v>0</v>
      </c>
      <c r="D1209" s="19">
        <v>0</v>
      </c>
      <c r="E1209" s="19">
        <v>0</v>
      </c>
      <c r="F1209" s="19">
        <v>0</v>
      </c>
      <c r="G1209" s="19">
        <v>0</v>
      </c>
      <c r="H1209" s="19">
        <v>0</v>
      </c>
      <c r="I1209" s="15">
        <v>3500</v>
      </c>
      <c r="J1209" s="15">
        <v>0</v>
      </c>
      <c r="K1209" s="15">
        <v>0</v>
      </c>
      <c r="L1209" s="15">
        <v>0</v>
      </c>
      <c r="M1209" s="15">
        <v>0</v>
      </c>
      <c r="N1209" s="15" t="str">
        <v/>
      </c>
      <c r="O1209" s="15" t="str">
        <v/>
      </c>
      <c r="P1209" s="22">
        <v>0</v>
      </c>
      <c r="Q1209">
        <v>0</v>
      </c>
    </row>
    <row r="1210" spans="1:17">
      <c r="A1210" s="19">
        <v>0</v>
      </c>
      <c r="B1210" s="19">
        <v>0</v>
      </c>
      <c r="C1210" s="19">
        <v>0</v>
      </c>
      <c r="D1210" s="19">
        <v>0</v>
      </c>
      <c r="E1210" s="19">
        <v>0</v>
      </c>
      <c r="F1210" s="19">
        <v>0</v>
      </c>
      <c r="G1210" s="19">
        <v>0</v>
      </c>
      <c r="H1210" s="19">
        <v>0</v>
      </c>
      <c r="I1210" s="15">
        <v>3500</v>
      </c>
      <c r="J1210" s="15">
        <v>0</v>
      </c>
      <c r="K1210" s="15">
        <v>0</v>
      </c>
      <c r="L1210" s="15">
        <v>0</v>
      </c>
      <c r="M1210" s="15">
        <v>0</v>
      </c>
      <c r="N1210" s="15" t="str">
        <v/>
      </c>
      <c r="O1210" s="15" t="str">
        <v/>
      </c>
      <c r="P1210" s="22">
        <v>0</v>
      </c>
      <c r="Q1210">
        <v>0</v>
      </c>
    </row>
    <row r="1211" spans="1:17">
      <c r="A1211" s="19">
        <v>0</v>
      </c>
      <c r="B1211" s="19">
        <v>0</v>
      </c>
      <c r="C1211" s="19">
        <v>0</v>
      </c>
      <c r="D1211" s="19">
        <v>0</v>
      </c>
      <c r="E1211" s="19">
        <v>0</v>
      </c>
      <c r="F1211" s="19">
        <v>0</v>
      </c>
      <c r="G1211" s="19">
        <v>0</v>
      </c>
      <c r="H1211" s="19">
        <v>0</v>
      </c>
      <c r="I1211" s="15">
        <v>3500</v>
      </c>
      <c r="J1211" s="15">
        <v>0</v>
      </c>
      <c r="K1211" s="15">
        <v>0</v>
      </c>
      <c r="L1211" s="15">
        <v>0</v>
      </c>
      <c r="M1211" s="15">
        <v>0</v>
      </c>
      <c r="N1211" s="15" t="str">
        <v/>
      </c>
      <c r="O1211" s="15" t="str">
        <v/>
      </c>
      <c r="P1211" s="22">
        <v>0</v>
      </c>
      <c r="Q1211">
        <v>0</v>
      </c>
    </row>
    <row r="1212" spans="1:17">
      <c r="A1212" s="19">
        <v>0</v>
      </c>
      <c r="B1212" s="19">
        <v>0</v>
      </c>
      <c r="C1212" s="19">
        <v>0</v>
      </c>
      <c r="D1212" s="19">
        <v>0</v>
      </c>
      <c r="E1212" s="19">
        <v>0</v>
      </c>
      <c r="F1212" s="19">
        <v>0</v>
      </c>
      <c r="G1212" s="19">
        <v>0</v>
      </c>
      <c r="H1212" s="19">
        <v>0</v>
      </c>
      <c r="I1212" s="15">
        <v>3500</v>
      </c>
      <c r="J1212" s="15">
        <v>0</v>
      </c>
      <c r="K1212" s="15">
        <v>0</v>
      </c>
      <c r="L1212" s="15">
        <v>0</v>
      </c>
      <c r="M1212" s="15">
        <v>0</v>
      </c>
      <c r="N1212" s="15" t="str">
        <v/>
      </c>
      <c r="O1212" s="15" t="str">
        <v/>
      </c>
      <c r="P1212" s="22">
        <v>0</v>
      </c>
      <c r="Q1212">
        <v>0</v>
      </c>
    </row>
    <row r="1213" spans="1:17">
      <c r="A1213" s="19">
        <v>0</v>
      </c>
      <c r="B1213" s="19">
        <v>0</v>
      </c>
      <c r="C1213" s="19">
        <v>0</v>
      </c>
      <c r="D1213" s="19">
        <v>0</v>
      </c>
      <c r="E1213" s="19">
        <v>0</v>
      </c>
      <c r="F1213" s="19">
        <v>0</v>
      </c>
      <c r="G1213" s="19">
        <v>0</v>
      </c>
      <c r="H1213" s="19">
        <v>0</v>
      </c>
      <c r="I1213" s="15">
        <v>3500</v>
      </c>
      <c r="J1213" s="15">
        <v>0</v>
      </c>
      <c r="K1213" s="15">
        <v>0</v>
      </c>
      <c r="L1213" s="15">
        <v>0</v>
      </c>
      <c r="M1213" s="15">
        <v>0</v>
      </c>
      <c r="N1213" s="15" t="str">
        <v/>
      </c>
      <c r="O1213" s="15" t="str">
        <v/>
      </c>
      <c r="P1213" s="22">
        <v>0</v>
      </c>
      <c r="Q1213">
        <v>0</v>
      </c>
    </row>
    <row r="1214" spans="1:17">
      <c r="A1214" s="19">
        <v>0</v>
      </c>
      <c r="B1214" s="19">
        <v>0</v>
      </c>
      <c r="C1214" s="19">
        <v>0</v>
      </c>
      <c r="D1214" s="19">
        <v>0</v>
      </c>
      <c r="E1214" s="19">
        <v>0</v>
      </c>
      <c r="F1214" s="19">
        <v>0</v>
      </c>
      <c r="G1214" s="19">
        <v>0</v>
      </c>
      <c r="H1214" s="19">
        <v>0</v>
      </c>
      <c r="I1214" s="15">
        <v>3500</v>
      </c>
      <c r="J1214" s="15">
        <v>0</v>
      </c>
      <c r="K1214" s="15">
        <v>0</v>
      </c>
      <c r="L1214" s="15">
        <v>0</v>
      </c>
      <c r="M1214" s="15">
        <v>0</v>
      </c>
      <c r="N1214" s="15" t="str">
        <v/>
      </c>
      <c r="O1214" s="15" t="str">
        <v/>
      </c>
      <c r="P1214" s="22">
        <v>0</v>
      </c>
      <c r="Q1214">
        <v>0</v>
      </c>
    </row>
    <row r="1215" spans="1:17">
      <c r="A1215" s="19">
        <v>0</v>
      </c>
      <c r="B1215" s="19">
        <v>0</v>
      </c>
      <c r="C1215" s="19">
        <v>0</v>
      </c>
      <c r="D1215" s="19">
        <v>0</v>
      </c>
      <c r="E1215" s="19">
        <v>0</v>
      </c>
      <c r="F1215" s="19">
        <v>0</v>
      </c>
      <c r="G1215" s="19">
        <v>0</v>
      </c>
      <c r="H1215" s="19">
        <v>0</v>
      </c>
      <c r="I1215" s="15">
        <v>3500</v>
      </c>
      <c r="J1215" s="15">
        <v>0</v>
      </c>
      <c r="K1215" s="15">
        <v>0</v>
      </c>
      <c r="L1215" s="15">
        <v>0</v>
      </c>
      <c r="M1215" s="15">
        <v>0</v>
      </c>
      <c r="N1215" s="15" t="str">
        <v/>
      </c>
      <c r="O1215" s="15" t="str">
        <v/>
      </c>
      <c r="P1215" s="22">
        <v>0</v>
      </c>
      <c r="Q1215">
        <v>0</v>
      </c>
    </row>
    <row r="1216" spans="1:17">
      <c r="A1216" s="19">
        <v>0</v>
      </c>
      <c r="B1216" s="19">
        <v>0</v>
      </c>
      <c r="C1216" s="19">
        <v>0</v>
      </c>
      <c r="D1216" s="19">
        <v>0</v>
      </c>
      <c r="E1216" s="19">
        <v>0</v>
      </c>
      <c r="F1216" s="19">
        <v>0</v>
      </c>
      <c r="G1216" s="19">
        <v>0</v>
      </c>
      <c r="H1216" s="19">
        <v>0</v>
      </c>
      <c r="I1216" s="15">
        <v>3500</v>
      </c>
      <c r="J1216" s="15">
        <v>0</v>
      </c>
      <c r="K1216" s="15">
        <v>0</v>
      </c>
      <c r="L1216" s="15">
        <v>0</v>
      </c>
      <c r="M1216" s="15">
        <v>0</v>
      </c>
      <c r="N1216" s="15" t="str">
        <v/>
      </c>
      <c r="O1216" s="15" t="str">
        <v/>
      </c>
      <c r="P1216" s="22">
        <v>0</v>
      </c>
      <c r="Q1216">
        <v>0</v>
      </c>
    </row>
    <row r="1217" spans="1:17">
      <c r="A1217" s="19">
        <v>0</v>
      </c>
      <c r="B1217" s="19">
        <v>0</v>
      </c>
      <c r="C1217" s="19">
        <v>0</v>
      </c>
      <c r="D1217" s="19">
        <v>0</v>
      </c>
      <c r="E1217" s="19">
        <v>0</v>
      </c>
      <c r="F1217" s="19">
        <v>0</v>
      </c>
      <c r="G1217" s="19">
        <v>0</v>
      </c>
      <c r="H1217" s="19">
        <v>0</v>
      </c>
      <c r="I1217" s="15">
        <v>3500</v>
      </c>
      <c r="J1217" s="15">
        <v>0</v>
      </c>
      <c r="K1217" s="15">
        <v>0</v>
      </c>
      <c r="L1217" s="15">
        <v>0</v>
      </c>
      <c r="M1217" s="15">
        <v>0</v>
      </c>
      <c r="N1217" s="15" t="str">
        <v/>
      </c>
      <c r="O1217" s="15" t="str">
        <v/>
      </c>
      <c r="P1217" s="22">
        <v>0</v>
      </c>
      <c r="Q1217">
        <v>0</v>
      </c>
    </row>
    <row r="1218" spans="1:17">
      <c r="A1218" s="19">
        <v>0</v>
      </c>
      <c r="B1218" s="19">
        <v>0</v>
      </c>
      <c r="C1218" s="19">
        <v>0</v>
      </c>
      <c r="D1218" s="19">
        <v>0</v>
      </c>
      <c r="E1218" s="19">
        <v>0</v>
      </c>
      <c r="F1218" s="19">
        <v>0</v>
      </c>
      <c r="G1218" s="19">
        <v>0</v>
      </c>
      <c r="H1218" s="19">
        <v>0</v>
      </c>
      <c r="I1218" s="15">
        <v>3500</v>
      </c>
      <c r="J1218" s="15">
        <v>0</v>
      </c>
      <c r="K1218" s="15">
        <v>0</v>
      </c>
      <c r="L1218" s="15">
        <v>0</v>
      </c>
      <c r="M1218" s="15">
        <v>0</v>
      </c>
      <c r="N1218" s="15" t="str">
        <v/>
      </c>
      <c r="O1218" s="15" t="str">
        <v/>
      </c>
      <c r="P1218" s="22">
        <v>0</v>
      </c>
      <c r="Q1218">
        <v>0</v>
      </c>
    </row>
    <row r="1219" spans="1:17">
      <c r="A1219" s="19">
        <v>0</v>
      </c>
      <c r="B1219" s="19">
        <v>0</v>
      </c>
      <c r="C1219" s="19">
        <v>0</v>
      </c>
      <c r="D1219" s="19">
        <v>0</v>
      </c>
      <c r="E1219" s="19">
        <v>0</v>
      </c>
      <c r="F1219" s="19">
        <v>0</v>
      </c>
      <c r="G1219" s="19">
        <v>0</v>
      </c>
      <c r="H1219" s="19">
        <v>0</v>
      </c>
      <c r="I1219" s="15">
        <v>3500</v>
      </c>
      <c r="J1219" s="15">
        <v>0</v>
      </c>
      <c r="K1219" s="15">
        <v>0</v>
      </c>
      <c r="L1219" s="15">
        <v>0</v>
      </c>
      <c r="M1219" s="15">
        <v>0</v>
      </c>
      <c r="N1219" s="15" t="str">
        <v/>
      </c>
      <c r="O1219" s="15" t="str">
        <v/>
      </c>
      <c r="P1219" s="22">
        <v>0</v>
      </c>
      <c r="Q1219">
        <v>0</v>
      </c>
    </row>
    <row r="1220" spans="1:17">
      <c r="A1220" s="19">
        <v>0</v>
      </c>
      <c r="B1220" s="19">
        <v>0</v>
      </c>
      <c r="C1220" s="19">
        <v>0</v>
      </c>
      <c r="D1220" s="19">
        <v>0</v>
      </c>
      <c r="E1220" s="19">
        <v>0</v>
      </c>
      <c r="F1220" s="19">
        <v>0</v>
      </c>
      <c r="G1220" s="19">
        <v>0</v>
      </c>
      <c r="H1220" s="19">
        <v>0</v>
      </c>
      <c r="I1220" s="15">
        <v>3500</v>
      </c>
      <c r="J1220" s="15">
        <v>0</v>
      </c>
      <c r="K1220" s="15">
        <v>0</v>
      </c>
      <c r="L1220" s="15">
        <v>0</v>
      </c>
      <c r="M1220" s="15">
        <v>0</v>
      </c>
      <c r="N1220" s="15" t="str">
        <v/>
      </c>
      <c r="O1220" s="15" t="str">
        <v/>
      </c>
      <c r="P1220" s="22">
        <v>0</v>
      </c>
      <c r="Q1220">
        <v>0</v>
      </c>
    </row>
    <row r="1221" spans="1:17">
      <c r="A1221" s="19">
        <v>0</v>
      </c>
      <c r="B1221" s="19">
        <v>0</v>
      </c>
      <c r="C1221" s="19">
        <v>0</v>
      </c>
      <c r="D1221" s="19">
        <v>0</v>
      </c>
      <c r="E1221" s="19">
        <v>0</v>
      </c>
      <c r="F1221" s="19">
        <v>0</v>
      </c>
      <c r="G1221" s="19">
        <v>0</v>
      </c>
      <c r="H1221" s="19">
        <v>0</v>
      </c>
      <c r="I1221" s="15">
        <v>3500</v>
      </c>
      <c r="J1221" s="15">
        <v>0</v>
      </c>
      <c r="K1221" s="15">
        <v>0</v>
      </c>
      <c r="L1221" s="15">
        <v>0</v>
      </c>
      <c r="M1221" s="15">
        <v>0</v>
      </c>
      <c r="N1221" s="15" t="str">
        <v/>
      </c>
      <c r="O1221" s="15" t="str">
        <v/>
      </c>
      <c r="P1221" s="22">
        <v>0</v>
      </c>
      <c r="Q1221">
        <v>0</v>
      </c>
    </row>
    <row r="1222" spans="1:17">
      <c r="A1222" s="19">
        <v>0</v>
      </c>
      <c r="B1222" s="19">
        <v>0</v>
      </c>
      <c r="C1222" s="19">
        <v>0</v>
      </c>
      <c r="D1222" s="19">
        <v>0</v>
      </c>
      <c r="E1222" s="19">
        <v>0</v>
      </c>
      <c r="F1222" s="19">
        <v>0</v>
      </c>
      <c r="G1222" s="19">
        <v>0</v>
      </c>
      <c r="H1222" s="19">
        <v>0</v>
      </c>
      <c r="I1222" s="15">
        <v>3500</v>
      </c>
      <c r="J1222" s="15">
        <v>0</v>
      </c>
      <c r="K1222" s="15">
        <v>0</v>
      </c>
      <c r="L1222" s="15">
        <v>0</v>
      </c>
      <c r="M1222" s="15">
        <v>0</v>
      </c>
      <c r="N1222" s="15" t="str">
        <v/>
      </c>
      <c r="O1222" s="15" t="str">
        <v/>
      </c>
      <c r="P1222" s="22">
        <v>0</v>
      </c>
      <c r="Q1222">
        <v>0</v>
      </c>
    </row>
    <row r="1223" spans="1:17">
      <c r="A1223" s="19">
        <v>0</v>
      </c>
      <c r="B1223" s="19">
        <v>0</v>
      </c>
      <c r="C1223" s="19">
        <v>0</v>
      </c>
      <c r="D1223" s="19">
        <v>0</v>
      </c>
      <c r="E1223" s="19">
        <v>0</v>
      </c>
      <c r="F1223" s="19">
        <v>0</v>
      </c>
      <c r="G1223" s="19">
        <v>0</v>
      </c>
      <c r="H1223" s="19">
        <v>0</v>
      </c>
      <c r="I1223" s="15">
        <v>3500</v>
      </c>
      <c r="J1223" s="15">
        <v>0</v>
      </c>
      <c r="K1223" s="15">
        <v>0</v>
      </c>
      <c r="L1223" s="15">
        <v>0</v>
      </c>
      <c r="M1223" s="15">
        <v>0</v>
      </c>
      <c r="N1223" s="15" t="str">
        <v/>
      </c>
      <c r="O1223" s="15" t="str">
        <v/>
      </c>
      <c r="P1223" s="22">
        <v>0</v>
      </c>
      <c r="Q1223">
        <v>0</v>
      </c>
    </row>
    <row r="1224" spans="1:17">
      <c r="A1224" s="19">
        <v>0</v>
      </c>
      <c r="B1224" s="19">
        <v>0</v>
      </c>
      <c r="C1224" s="19">
        <v>0</v>
      </c>
      <c r="D1224" s="19">
        <v>0</v>
      </c>
      <c r="E1224" s="19">
        <v>0</v>
      </c>
      <c r="F1224" s="19">
        <v>0</v>
      </c>
      <c r="G1224" s="19">
        <v>0</v>
      </c>
      <c r="H1224" s="19">
        <v>0</v>
      </c>
      <c r="I1224" s="15">
        <v>3500</v>
      </c>
      <c r="J1224" s="15">
        <v>0</v>
      </c>
      <c r="K1224" s="15">
        <v>0</v>
      </c>
      <c r="L1224" s="15">
        <v>0</v>
      </c>
      <c r="M1224" s="15">
        <v>0</v>
      </c>
      <c r="N1224" s="15" t="str">
        <v/>
      </c>
      <c r="O1224" s="15" t="str">
        <v/>
      </c>
      <c r="P1224" s="22">
        <v>0</v>
      </c>
      <c r="Q1224">
        <v>0</v>
      </c>
    </row>
    <row r="1225" spans="1:17">
      <c r="A1225" s="19">
        <v>0</v>
      </c>
      <c r="B1225" s="19">
        <v>0</v>
      </c>
      <c r="C1225" s="19">
        <v>0</v>
      </c>
      <c r="D1225" s="19">
        <v>0</v>
      </c>
      <c r="E1225" s="19">
        <v>0</v>
      </c>
      <c r="F1225" s="19">
        <v>0</v>
      </c>
      <c r="G1225" s="19">
        <v>0</v>
      </c>
      <c r="H1225" s="19">
        <v>0</v>
      </c>
      <c r="I1225" s="15">
        <v>3500</v>
      </c>
      <c r="J1225" s="15">
        <v>0</v>
      </c>
      <c r="K1225" s="15">
        <v>0</v>
      </c>
      <c r="L1225" s="15">
        <v>0</v>
      </c>
      <c r="M1225" s="15">
        <v>0</v>
      </c>
      <c r="N1225" s="15" t="str">
        <v/>
      </c>
      <c r="O1225" s="15" t="str">
        <v/>
      </c>
      <c r="P1225" s="22">
        <v>0</v>
      </c>
      <c r="Q1225">
        <v>0</v>
      </c>
    </row>
    <row r="1226" spans="1:17">
      <c r="A1226" s="19">
        <v>0</v>
      </c>
      <c r="B1226" s="19">
        <v>0</v>
      </c>
      <c r="C1226" s="19">
        <v>0</v>
      </c>
      <c r="D1226" s="19">
        <v>0</v>
      </c>
      <c r="E1226" s="19">
        <v>0</v>
      </c>
      <c r="F1226" s="19">
        <v>0</v>
      </c>
      <c r="G1226" s="19">
        <v>0</v>
      </c>
      <c r="H1226" s="19">
        <v>0</v>
      </c>
      <c r="I1226" s="15">
        <v>3500</v>
      </c>
      <c r="J1226" s="15">
        <v>0</v>
      </c>
      <c r="K1226" s="15">
        <v>0</v>
      </c>
      <c r="L1226" s="15">
        <v>0</v>
      </c>
      <c r="M1226" s="15">
        <v>0</v>
      </c>
      <c r="N1226" s="15" t="str">
        <v/>
      </c>
      <c r="O1226" s="15" t="str">
        <v/>
      </c>
      <c r="P1226" s="22">
        <v>0</v>
      </c>
      <c r="Q1226">
        <v>0</v>
      </c>
    </row>
    <row r="1227" spans="1:17">
      <c r="A1227" s="19">
        <v>0</v>
      </c>
      <c r="B1227" s="19">
        <v>0</v>
      </c>
      <c r="C1227" s="19">
        <v>0</v>
      </c>
      <c r="D1227" s="19">
        <v>0</v>
      </c>
      <c r="E1227" s="19">
        <v>0</v>
      </c>
      <c r="F1227" s="19">
        <v>0</v>
      </c>
      <c r="G1227" s="19">
        <v>0</v>
      </c>
      <c r="H1227" s="19">
        <v>0</v>
      </c>
      <c r="I1227" s="15">
        <v>3500</v>
      </c>
      <c r="J1227" s="15">
        <v>0</v>
      </c>
      <c r="K1227" s="15">
        <v>0</v>
      </c>
      <c r="L1227" s="15">
        <v>0</v>
      </c>
      <c r="M1227" s="15">
        <v>0</v>
      </c>
      <c r="N1227" s="15" t="str">
        <v/>
      </c>
      <c r="O1227" s="15" t="str">
        <v/>
      </c>
      <c r="P1227" s="22">
        <v>0</v>
      </c>
      <c r="Q1227">
        <v>0</v>
      </c>
    </row>
    <row r="1228" spans="1:17">
      <c r="A1228" s="19">
        <v>0</v>
      </c>
      <c r="B1228" s="19">
        <v>0</v>
      </c>
      <c r="C1228" s="19">
        <v>0</v>
      </c>
      <c r="D1228" s="19">
        <v>0</v>
      </c>
      <c r="E1228" s="19">
        <v>0</v>
      </c>
      <c r="F1228" s="19">
        <v>0</v>
      </c>
      <c r="G1228" s="19">
        <v>0</v>
      </c>
      <c r="H1228" s="19">
        <v>0</v>
      </c>
      <c r="I1228" s="15">
        <v>3500</v>
      </c>
      <c r="J1228" s="15">
        <v>0</v>
      </c>
      <c r="K1228" s="15">
        <v>0</v>
      </c>
      <c r="L1228" s="15">
        <v>0</v>
      </c>
      <c r="M1228" s="15">
        <v>0</v>
      </c>
      <c r="N1228" s="15" t="str">
        <v/>
      </c>
      <c r="O1228" s="15" t="str">
        <v/>
      </c>
      <c r="P1228" s="22">
        <v>0</v>
      </c>
      <c r="Q1228">
        <v>0</v>
      </c>
    </row>
    <row r="1229" spans="1:17">
      <c r="A1229" s="19">
        <v>0</v>
      </c>
      <c r="B1229" s="19">
        <v>0</v>
      </c>
      <c r="C1229" s="19">
        <v>0</v>
      </c>
      <c r="D1229" s="19">
        <v>0</v>
      </c>
      <c r="E1229" s="19">
        <v>0</v>
      </c>
      <c r="F1229" s="19">
        <v>0</v>
      </c>
      <c r="G1229" s="19">
        <v>0</v>
      </c>
      <c r="H1229" s="19">
        <v>0</v>
      </c>
      <c r="I1229" s="15">
        <v>3500</v>
      </c>
      <c r="J1229" s="15">
        <v>0</v>
      </c>
      <c r="K1229" s="15">
        <v>0</v>
      </c>
      <c r="L1229" s="15">
        <v>0</v>
      </c>
      <c r="M1229" s="15">
        <v>0</v>
      </c>
      <c r="N1229" s="15" t="str">
        <v/>
      </c>
      <c r="O1229" s="15" t="str">
        <v/>
      </c>
      <c r="P1229" s="22">
        <v>0</v>
      </c>
      <c r="Q1229">
        <v>0</v>
      </c>
    </row>
    <row r="1230" spans="1:17">
      <c r="A1230" s="19">
        <v>0</v>
      </c>
      <c r="B1230" s="19">
        <v>0</v>
      </c>
      <c r="C1230" s="19">
        <v>0</v>
      </c>
      <c r="D1230" s="19">
        <v>0</v>
      </c>
      <c r="E1230" s="19">
        <v>0</v>
      </c>
      <c r="F1230" s="19">
        <v>0</v>
      </c>
      <c r="G1230" s="19">
        <v>0</v>
      </c>
      <c r="H1230" s="19">
        <v>0</v>
      </c>
      <c r="I1230" s="15">
        <v>3500</v>
      </c>
      <c r="J1230" s="15">
        <v>0</v>
      </c>
      <c r="K1230" s="15">
        <v>0</v>
      </c>
      <c r="L1230" s="15">
        <v>0</v>
      </c>
      <c r="M1230" s="15">
        <v>0</v>
      </c>
      <c r="N1230" s="15" t="str">
        <v/>
      </c>
      <c r="O1230" s="15" t="str">
        <v/>
      </c>
      <c r="P1230" s="22">
        <v>0</v>
      </c>
      <c r="Q1230">
        <v>0</v>
      </c>
    </row>
    <row r="1231" spans="1:17">
      <c r="A1231" s="19">
        <v>0</v>
      </c>
      <c r="B1231" s="19">
        <v>0</v>
      </c>
      <c r="C1231" s="19">
        <v>0</v>
      </c>
      <c r="D1231" s="19">
        <v>0</v>
      </c>
      <c r="E1231" s="19">
        <v>0</v>
      </c>
      <c r="F1231" s="19">
        <v>0</v>
      </c>
      <c r="G1231" s="19">
        <v>0</v>
      </c>
      <c r="H1231" s="19">
        <v>0</v>
      </c>
      <c r="I1231" s="15">
        <v>3500</v>
      </c>
      <c r="J1231" s="15">
        <v>0</v>
      </c>
      <c r="K1231" s="15">
        <v>0</v>
      </c>
      <c r="L1231" s="15">
        <v>0</v>
      </c>
      <c r="M1231" s="15">
        <v>0</v>
      </c>
      <c r="N1231" s="15" t="str">
        <v/>
      </c>
      <c r="O1231" s="15" t="str">
        <v/>
      </c>
      <c r="P1231" s="22">
        <v>0</v>
      </c>
      <c r="Q1231">
        <v>0</v>
      </c>
    </row>
    <row r="1232" spans="1:17">
      <c r="A1232" s="19">
        <v>0</v>
      </c>
      <c r="B1232" s="19">
        <v>0</v>
      </c>
      <c r="C1232" s="19">
        <v>0</v>
      </c>
      <c r="D1232" s="19">
        <v>0</v>
      </c>
      <c r="E1232" s="19">
        <v>0</v>
      </c>
      <c r="F1232" s="19">
        <v>0</v>
      </c>
      <c r="G1232" s="19">
        <v>0</v>
      </c>
      <c r="H1232" s="19">
        <v>0</v>
      </c>
      <c r="I1232" s="15">
        <v>3500</v>
      </c>
      <c r="J1232" s="15">
        <v>0</v>
      </c>
      <c r="K1232" s="15">
        <v>0</v>
      </c>
      <c r="L1232" s="15">
        <v>0</v>
      </c>
      <c r="M1232" s="15">
        <v>0</v>
      </c>
      <c r="N1232" s="15" t="str">
        <v/>
      </c>
      <c r="O1232" s="15" t="str">
        <v/>
      </c>
      <c r="P1232" s="22">
        <v>0</v>
      </c>
      <c r="Q1232">
        <v>0</v>
      </c>
    </row>
    <row r="1233" spans="1:17">
      <c r="A1233" s="19">
        <v>0</v>
      </c>
      <c r="B1233" s="19">
        <v>0</v>
      </c>
      <c r="C1233" s="19">
        <v>0</v>
      </c>
      <c r="D1233" s="19">
        <v>0</v>
      </c>
      <c r="E1233" s="19">
        <v>0</v>
      </c>
      <c r="F1233" s="19">
        <v>0</v>
      </c>
      <c r="G1233" s="19">
        <v>0</v>
      </c>
      <c r="H1233" s="19">
        <v>0</v>
      </c>
      <c r="I1233" s="15">
        <v>3500</v>
      </c>
      <c r="J1233" s="15">
        <v>0</v>
      </c>
      <c r="K1233" s="15">
        <v>0</v>
      </c>
      <c r="L1233" s="15">
        <v>0</v>
      </c>
      <c r="M1233" s="15">
        <v>0</v>
      </c>
      <c r="N1233" s="15" t="str">
        <v/>
      </c>
      <c r="O1233" s="15" t="str">
        <v/>
      </c>
      <c r="P1233" s="22">
        <v>0</v>
      </c>
      <c r="Q1233">
        <v>0</v>
      </c>
    </row>
    <row r="1234" spans="1:17">
      <c r="A1234" s="19">
        <v>0</v>
      </c>
      <c r="B1234" s="19">
        <v>0</v>
      </c>
      <c r="C1234" s="19">
        <v>0</v>
      </c>
      <c r="D1234" s="19">
        <v>0</v>
      </c>
      <c r="E1234" s="19">
        <v>0</v>
      </c>
      <c r="F1234" s="19">
        <v>0</v>
      </c>
      <c r="G1234" s="19">
        <v>0</v>
      </c>
      <c r="H1234" s="19">
        <v>0</v>
      </c>
      <c r="I1234" s="15">
        <v>3500</v>
      </c>
      <c r="J1234" s="15">
        <v>0</v>
      </c>
      <c r="K1234" s="15">
        <v>0</v>
      </c>
      <c r="L1234" s="15">
        <v>0</v>
      </c>
      <c r="M1234" s="15">
        <v>0</v>
      </c>
      <c r="N1234" s="15" t="str">
        <v/>
      </c>
      <c r="O1234" s="15" t="str">
        <v/>
      </c>
      <c r="P1234" s="22">
        <v>0</v>
      </c>
      <c r="Q1234">
        <v>0</v>
      </c>
    </row>
    <row r="1235" spans="1:17">
      <c r="A1235" s="19">
        <v>0</v>
      </c>
      <c r="B1235" s="19">
        <v>0</v>
      </c>
      <c r="C1235" s="19">
        <v>0</v>
      </c>
      <c r="D1235" s="19">
        <v>0</v>
      </c>
      <c r="E1235" s="19">
        <v>0</v>
      </c>
      <c r="F1235" s="19">
        <v>0</v>
      </c>
      <c r="G1235" s="19">
        <v>0</v>
      </c>
      <c r="H1235" s="19">
        <v>0</v>
      </c>
      <c r="I1235" s="15">
        <v>3500</v>
      </c>
      <c r="J1235" s="15">
        <v>0</v>
      </c>
      <c r="K1235" s="15">
        <v>0</v>
      </c>
      <c r="L1235" s="15">
        <v>0</v>
      </c>
      <c r="M1235" s="15">
        <v>0</v>
      </c>
      <c r="N1235" s="15" t="str">
        <v/>
      </c>
      <c r="O1235" s="15" t="str">
        <v/>
      </c>
      <c r="P1235" s="22">
        <v>0</v>
      </c>
      <c r="Q1235">
        <v>0</v>
      </c>
    </row>
    <row r="1236" spans="1:17">
      <c r="A1236" s="19">
        <v>0</v>
      </c>
      <c r="B1236" s="19">
        <v>0</v>
      </c>
      <c r="C1236" s="19">
        <v>0</v>
      </c>
      <c r="D1236" s="19">
        <v>0</v>
      </c>
      <c r="E1236" s="19">
        <v>0</v>
      </c>
      <c r="F1236" s="19">
        <v>0</v>
      </c>
      <c r="G1236" s="19">
        <v>0</v>
      </c>
      <c r="H1236" s="19">
        <v>0</v>
      </c>
      <c r="I1236" s="15">
        <v>3500</v>
      </c>
      <c r="J1236" s="15">
        <v>0</v>
      </c>
      <c r="K1236" s="15">
        <v>0</v>
      </c>
      <c r="L1236" s="15">
        <v>0</v>
      </c>
      <c r="M1236" s="15">
        <v>0</v>
      </c>
      <c r="N1236" s="15" t="str">
        <v/>
      </c>
      <c r="O1236" s="15" t="str">
        <v/>
      </c>
      <c r="P1236" s="22">
        <v>0</v>
      </c>
      <c r="Q1236">
        <v>0</v>
      </c>
    </row>
    <row r="1237" spans="1:17">
      <c r="A1237" s="19">
        <v>0</v>
      </c>
      <c r="B1237" s="19">
        <v>0</v>
      </c>
      <c r="C1237" s="19">
        <v>0</v>
      </c>
      <c r="D1237" s="19">
        <v>0</v>
      </c>
      <c r="E1237" s="19">
        <v>0</v>
      </c>
      <c r="F1237" s="19">
        <v>0</v>
      </c>
      <c r="G1237" s="19">
        <v>0</v>
      </c>
      <c r="H1237" s="19">
        <v>0</v>
      </c>
      <c r="I1237" s="15">
        <v>3500</v>
      </c>
      <c r="J1237" s="15">
        <v>0</v>
      </c>
      <c r="K1237" s="15">
        <v>0</v>
      </c>
      <c r="L1237" s="15">
        <v>0</v>
      </c>
      <c r="M1237" s="15">
        <v>0</v>
      </c>
      <c r="N1237" s="15" t="str">
        <v/>
      </c>
      <c r="O1237" s="15" t="str">
        <v/>
      </c>
      <c r="P1237" s="22">
        <v>0</v>
      </c>
      <c r="Q1237">
        <v>0</v>
      </c>
    </row>
    <row r="1238" spans="1:17">
      <c r="A1238" s="19">
        <v>0</v>
      </c>
      <c r="B1238" s="19">
        <v>0</v>
      </c>
      <c r="C1238" s="19">
        <v>0</v>
      </c>
      <c r="D1238" s="19">
        <v>0</v>
      </c>
      <c r="E1238" s="19">
        <v>0</v>
      </c>
      <c r="F1238" s="19">
        <v>0</v>
      </c>
      <c r="G1238" s="19">
        <v>0</v>
      </c>
      <c r="H1238" s="19">
        <v>0</v>
      </c>
      <c r="I1238" s="15">
        <v>3500</v>
      </c>
      <c r="J1238" s="15">
        <v>0</v>
      </c>
      <c r="K1238" s="15">
        <v>0</v>
      </c>
      <c r="L1238" s="15">
        <v>0</v>
      </c>
      <c r="M1238" s="15">
        <v>0</v>
      </c>
      <c r="N1238" s="15" t="str">
        <v/>
      </c>
      <c r="O1238" s="15" t="str">
        <v/>
      </c>
      <c r="P1238" s="22">
        <v>0</v>
      </c>
      <c r="Q1238">
        <v>0</v>
      </c>
    </row>
    <row r="1239" spans="1:17">
      <c r="A1239" s="19">
        <v>0</v>
      </c>
      <c r="B1239" s="19">
        <v>0</v>
      </c>
      <c r="C1239" s="19">
        <v>0</v>
      </c>
      <c r="D1239" s="19">
        <v>0</v>
      </c>
      <c r="E1239" s="19">
        <v>0</v>
      </c>
      <c r="F1239" s="19">
        <v>0</v>
      </c>
      <c r="G1239" s="19">
        <v>0</v>
      </c>
      <c r="H1239" s="19">
        <v>0</v>
      </c>
      <c r="I1239" s="15">
        <v>3500</v>
      </c>
      <c r="J1239" s="15">
        <v>0</v>
      </c>
      <c r="K1239" s="15">
        <v>0</v>
      </c>
      <c r="L1239" s="15">
        <v>0</v>
      </c>
      <c r="M1239" s="15">
        <v>0</v>
      </c>
      <c r="N1239" s="15" t="str">
        <v/>
      </c>
      <c r="O1239" s="15" t="str">
        <v/>
      </c>
      <c r="P1239" s="22">
        <v>0</v>
      </c>
      <c r="Q1239">
        <v>0</v>
      </c>
    </row>
    <row r="1240" spans="1:17">
      <c r="A1240" s="19">
        <v>0</v>
      </c>
      <c r="B1240" s="19">
        <v>0</v>
      </c>
      <c r="C1240" s="19">
        <v>0</v>
      </c>
      <c r="D1240" s="19">
        <v>0</v>
      </c>
      <c r="E1240" s="19">
        <v>0</v>
      </c>
      <c r="F1240" s="19">
        <v>0</v>
      </c>
      <c r="G1240" s="19">
        <v>0</v>
      </c>
      <c r="H1240" s="19">
        <v>0</v>
      </c>
      <c r="I1240" s="15">
        <v>3500</v>
      </c>
      <c r="J1240" s="15">
        <v>0</v>
      </c>
      <c r="K1240" s="15">
        <v>0</v>
      </c>
      <c r="L1240" s="15">
        <v>0</v>
      </c>
      <c r="M1240" s="15">
        <v>0</v>
      </c>
      <c r="N1240" s="15" t="str">
        <v/>
      </c>
      <c r="O1240" s="15" t="str">
        <v/>
      </c>
      <c r="P1240" s="22">
        <v>0</v>
      </c>
      <c r="Q1240">
        <v>0</v>
      </c>
    </row>
    <row r="1241" spans="1:17">
      <c r="A1241" s="19">
        <v>0</v>
      </c>
      <c r="B1241" s="19">
        <v>0</v>
      </c>
      <c r="C1241" s="19">
        <v>0</v>
      </c>
      <c r="D1241" s="19">
        <v>0</v>
      </c>
      <c r="E1241" s="19">
        <v>0</v>
      </c>
      <c r="F1241" s="19">
        <v>0</v>
      </c>
      <c r="G1241" s="19">
        <v>0</v>
      </c>
      <c r="H1241" s="19">
        <v>0</v>
      </c>
      <c r="I1241" s="15">
        <v>3500</v>
      </c>
      <c r="J1241" s="15">
        <v>0</v>
      </c>
      <c r="K1241" s="15">
        <v>0</v>
      </c>
      <c r="L1241" s="15">
        <v>0</v>
      </c>
      <c r="M1241" s="15">
        <v>0</v>
      </c>
      <c r="N1241" s="15" t="str">
        <v/>
      </c>
      <c r="O1241" s="15" t="str">
        <v/>
      </c>
      <c r="P1241" s="22">
        <v>0</v>
      </c>
      <c r="Q1241">
        <v>0</v>
      </c>
    </row>
    <row r="1242" spans="1:17">
      <c r="A1242" s="19">
        <v>0</v>
      </c>
      <c r="B1242" s="19">
        <v>0</v>
      </c>
      <c r="C1242" s="19">
        <v>0</v>
      </c>
      <c r="D1242" s="19">
        <v>0</v>
      </c>
      <c r="E1242" s="19">
        <v>0</v>
      </c>
      <c r="F1242" s="19">
        <v>0</v>
      </c>
      <c r="G1242" s="19">
        <v>0</v>
      </c>
      <c r="H1242" s="19">
        <v>0</v>
      </c>
      <c r="I1242" s="15">
        <v>3500</v>
      </c>
      <c r="J1242" s="15">
        <v>0</v>
      </c>
      <c r="K1242" s="15">
        <v>0</v>
      </c>
      <c r="L1242" s="15">
        <v>0</v>
      </c>
      <c r="M1242" s="15">
        <v>0</v>
      </c>
      <c r="N1242" s="15" t="str">
        <v/>
      </c>
      <c r="O1242" s="15" t="str">
        <v/>
      </c>
      <c r="P1242" s="22">
        <v>0</v>
      </c>
      <c r="Q1242">
        <v>0</v>
      </c>
    </row>
    <row r="1243" spans="1:17">
      <c r="A1243" s="19">
        <v>0</v>
      </c>
      <c r="B1243" s="19">
        <v>0</v>
      </c>
      <c r="C1243" s="19">
        <v>0</v>
      </c>
      <c r="D1243" s="19">
        <v>0</v>
      </c>
      <c r="E1243" s="19">
        <v>0</v>
      </c>
      <c r="F1243" s="19">
        <v>0</v>
      </c>
      <c r="G1243" s="19">
        <v>0</v>
      </c>
      <c r="H1243" s="19">
        <v>0</v>
      </c>
      <c r="I1243" s="15">
        <v>3500</v>
      </c>
      <c r="J1243" s="15">
        <v>0</v>
      </c>
      <c r="K1243" s="15">
        <v>0</v>
      </c>
      <c r="L1243" s="15">
        <v>0</v>
      </c>
      <c r="M1243" s="15">
        <v>0</v>
      </c>
      <c r="N1243" s="15" t="str">
        <v/>
      </c>
      <c r="O1243" s="15" t="str">
        <v/>
      </c>
      <c r="P1243" s="22">
        <v>0</v>
      </c>
      <c r="Q1243">
        <v>0</v>
      </c>
    </row>
    <row r="1244" spans="1:17">
      <c r="A1244" s="19">
        <v>0</v>
      </c>
      <c r="B1244" s="19">
        <v>0</v>
      </c>
      <c r="C1244" s="19">
        <v>0</v>
      </c>
      <c r="D1244" s="19">
        <v>0</v>
      </c>
      <c r="E1244" s="19">
        <v>0</v>
      </c>
      <c r="F1244" s="19">
        <v>0</v>
      </c>
      <c r="G1244" s="19">
        <v>0</v>
      </c>
      <c r="H1244" s="19">
        <v>0</v>
      </c>
      <c r="I1244" s="15">
        <v>3500</v>
      </c>
      <c r="J1244" s="15">
        <v>0</v>
      </c>
      <c r="K1244" s="15">
        <v>0</v>
      </c>
      <c r="L1244" s="15">
        <v>0</v>
      </c>
      <c r="M1244" s="15">
        <v>0</v>
      </c>
      <c r="N1244" s="15" t="str">
        <v/>
      </c>
      <c r="O1244" s="15" t="str">
        <v/>
      </c>
      <c r="P1244" s="22">
        <v>0</v>
      </c>
      <c r="Q1244">
        <v>0</v>
      </c>
    </row>
    <row r="1245" spans="1:17">
      <c r="A1245" s="19">
        <v>0</v>
      </c>
      <c r="B1245" s="19">
        <v>0</v>
      </c>
      <c r="C1245" s="19">
        <v>0</v>
      </c>
      <c r="D1245" s="19">
        <v>0</v>
      </c>
      <c r="E1245" s="19">
        <v>0</v>
      </c>
      <c r="F1245" s="19">
        <v>0</v>
      </c>
      <c r="G1245" s="19">
        <v>0</v>
      </c>
      <c r="H1245" s="19">
        <v>0</v>
      </c>
      <c r="I1245" s="15">
        <v>3500</v>
      </c>
      <c r="J1245" s="15">
        <v>0</v>
      </c>
      <c r="K1245" s="15">
        <v>0</v>
      </c>
      <c r="L1245" s="15">
        <v>0</v>
      </c>
      <c r="M1245" s="15">
        <v>0</v>
      </c>
      <c r="N1245" s="15" t="str">
        <v/>
      </c>
      <c r="O1245" s="15" t="str">
        <v/>
      </c>
      <c r="P1245" s="22">
        <v>0</v>
      </c>
      <c r="Q1245">
        <v>0</v>
      </c>
    </row>
    <row r="1246" spans="1:17">
      <c r="A1246" s="19">
        <v>0</v>
      </c>
      <c r="B1246" s="19">
        <v>0</v>
      </c>
      <c r="C1246" s="19">
        <v>0</v>
      </c>
      <c r="D1246" s="19">
        <v>0</v>
      </c>
      <c r="E1246" s="19">
        <v>0</v>
      </c>
      <c r="F1246" s="19">
        <v>0</v>
      </c>
      <c r="G1246" s="19">
        <v>0</v>
      </c>
      <c r="H1246" s="19">
        <v>0</v>
      </c>
      <c r="I1246" s="15">
        <v>3500</v>
      </c>
      <c r="J1246" s="15">
        <v>0</v>
      </c>
      <c r="K1246" s="15">
        <v>0</v>
      </c>
      <c r="L1246" s="15">
        <v>0</v>
      </c>
      <c r="M1246" s="15">
        <v>0</v>
      </c>
      <c r="N1246" s="15" t="str">
        <v/>
      </c>
      <c r="O1246" s="15" t="str">
        <v/>
      </c>
      <c r="P1246" s="22">
        <v>0</v>
      </c>
      <c r="Q1246">
        <v>0</v>
      </c>
    </row>
    <row r="1247" spans="1:17">
      <c r="A1247" s="19">
        <v>0</v>
      </c>
      <c r="B1247" s="19">
        <v>0</v>
      </c>
      <c r="C1247" s="19">
        <v>0</v>
      </c>
      <c r="D1247" s="19">
        <v>0</v>
      </c>
      <c r="E1247" s="19">
        <v>0</v>
      </c>
      <c r="F1247" s="19">
        <v>0</v>
      </c>
      <c r="G1247" s="19">
        <v>0</v>
      </c>
      <c r="H1247" s="19">
        <v>0</v>
      </c>
      <c r="I1247" s="15">
        <v>3500</v>
      </c>
      <c r="J1247" s="15">
        <v>0</v>
      </c>
      <c r="K1247" s="15">
        <v>0</v>
      </c>
      <c r="L1247" s="15">
        <v>0</v>
      </c>
      <c r="M1247" s="15">
        <v>0</v>
      </c>
      <c r="N1247" s="15" t="str">
        <v/>
      </c>
      <c r="O1247" s="15" t="str">
        <v/>
      </c>
      <c r="P1247" s="22">
        <v>0</v>
      </c>
      <c r="Q1247">
        <v>0</v>
      </c>
    </row>
    <row r="1248" spans="1:17">
      <c r="A1248" s="19">
        <v>0</v>
      </c>
      <c r="B1248" s="19">
        <v>0</v>
      </c>
      <c r="C1248" s="19">
        <v>0</v>
      </c>
      <c r="D1248" s="19">
        <v>0</v>
      </c>
      <c r="E1248" s="19">
        <v>0</v>
      </c>
      <c r="F1248" s="19">
        <v>0</v>
      </c>
      <c r="G1248" s="19">
        <v>0</v>
      </c>
      <c r="H1248" s="19">
        <v>0</v>
      </c>
      <c r="I1248" s="15">
        <v>3500</v>
      </c>
      <c r="J1248" s="15">
        <v>0</v>
      </c>
      <c r="K1248" s="15">
        <v>0</v>
      </c>
      <c r="L1248" s="15">
        <v>0</v>
      </c>
      <c r="M1248" s="15">
        <v>0</v>
      </c>
      <c r="N1248" s="15" t="str">
        <v/>
      </c>
      <c r="O1248" s="15" t="str">
        <v/>
      </c>
      <c r="P1248" s="22">
        <v>0</v>
      </c>
      <c r="Q1248">
        <v>0</v>
      </c>
    </row>
    <row r="1249" spans="1:17">
      <c r="A1249" s="19">
        <v>0</v>
      </c>
      <c r="B1249" s="19">
        <v>0</v>
      </c>
      <c r="C1249" s="19">
        <v>0</v>
      </c>
      <c r="D1249" s="19">
        <v>0</v>
      </c>
      <c r="E1249" s="19">
        <v>0</v>
      </c>
      <c r="F1249" s="19">
        <v>0</v>
      </c>
      <c r="G1249" s="19">
        <v>0</v>
      </c>
      <c r="H1249" s="19">
        <v>0</v>
      </c>
      <c r="I1249" s="15">
        <v>3500</v>
      </c>
      <c r="J1249" s="15">
        <v>0</v>
      </c>
      <c r="K1249" s="15">
        <v>0</v>
      </c>
      <c r="L1249" s="15">
        <v>0</v>
      </c>
      <c r="M1249" s="15">
        <v>0</v>
      </c>
      <c r="N1249" s="15" t="str">
        <v/>
      </c>
      <c r="O1249" s="15" t="str">
        <v/>
      </c>
      <c r="P1249" s="22">
        <v>0</v>
      </c>
      <c r="Q1249">
        <v>0</v>
      </c>
    </row>
    <row r="1250" spans="1:17">
      <c r="A1250" s="19">
        <v>0</v>
      </c>
      <c r="B1250" s="19">
        <v>0</v>
      </c>
      <c r="C1250" s="19">
        <v>0</v>
      </c>
      <c r="D1250" s="19">
        <v>0</v>
      </c>
      <c r="E1250" s="19">
        <v>0</v>
      </c>
      <c r="F1250" s="19">
        <v>0</v>
      </c>
      <c r="G1250" s="19">
        <v>0</v>
      </c>
      <c r="H1250" s="19">
        <v>0</v>
      </c>
      <c r="I1250" s="15">
        <v>3500</v>
      </c>
      <c r="J1250" s="15">
        <v>0</v>
      </c>
      <c r="K1250" s="15">
        <v>0</v>
      </c>
      <c r="L1250" s="15">
        <v>0</v>
      </c>
      <c r="M1250" s="15">
        <v>0</v>
      </c>
      <c r="N1250" s="15" t="str">
        <v/>
      </c>
      <c r="O1250" s="15" t="str">
        <v/>
      </c>
      <c r="P1250" s="22">
        <v>0</v>
      </c>
      <c r="Q1250">
        <v>0</v>
      </c>
    </row>
    <row r="1251" spans="1:17">
      <c r="A1251" s="19">
        <v>0</v>
      </c>
      <c r="B1251" s="19">
        <v>0</v>
      </c>
      <c r="C1251" s="19">
        <v>0</v>
      </c>
      <c r="D1251" s="19">
        <v>0</v>
      </c>
      <c r="E1251" s="19">
        <v>0</v>
      </c>
      <c r="F1251" s="19">
        <v>0</v>
      </c>
      <c r="G1251" s="19">
        <v>0</v>
      </c>
      <c r="H1251" s="19">
        <v>0</v>
      </c>
      <c r="I1251" s="15">
        <v>3500</v>
      </c>
      <c r="J1251" s="15">
        <v>0</v>
      </c>
      <c r="K1251" s="15">
        <v>0</v>
      </c>
      <c r="L1251" s="15">
        <v>0</v>
      </c>
      <c r="M1251" s="15">
        <v>0</v>
      </c>
      <c r="N1251" s="15" t="str">
        <v/>
      </c>
      <c r="O1251" s="15" t="str">
        <v/>
      </c>
      <c r="P1251" s="22">
        <v>0</v>
      </c>
      <c r="Q1251">
        <v>0</v>
      </c>
    </row>
    <row r="1252" spans="1:17">
      <c r="A1252" s="19">
        <v>0</v>
      </c>
      <c r="B1252" s="19">
        <v>0</v>
      </c>
      <c r="C1252" s="19">
        <v>0</v>
      </c>
      <c r="D1252" s="19">
        <v>0</v>
      </c>
      <c r="E1252" s="19">
        <v>0</v>
      </c>
      <c r="F1252" s="19">
        <v>0</v>
      </c>
      <c r="G1252" s="19">
        <v>0</v>
      </c>
      <c r="H1252" s="19">
        <v>0</v>
      </c>
      <c r="I1252" s="15">
        <v>3500</v>
      </c>
      <c r="J1252" s="15">
        <v>0</v>
      </c>
      <c r="K1252" s="15">
        <v>0</v>
      </c>
      <c r="L1252" s="15">
        <v>0</v>
      </c>
      <c r="M1252" s="15">
        <v>0</v>
      </c>
      <c r="N1252" s="15" t="str">
        <v/>
      </c>
      <c r="O1252" s="15" t="str">
        <v/>
      </c>
      <c r="P1252" s="22">
        <v>0</v>
      </c>
      <c r="Q1252">
        <v>0</v>
      </c>
    </row>
    <row r="1253" spans="1:17">
      <c r="A1253" s="19">
        <v>0</v>
      </c>
      <c r="B1253" s="19">
        <v>0</v>
      </c>
      <c r="C1253" s="19">
        <v>0</v>
      </c>
      <c r="D1253" s="19">
        <v>0</v>
      </c>
      <c r="E1253" s="19">
        <v>0</v>
      </c>
      <c r="F1253" s="19">
        <v>0</v>
      </c>
      <c r="G1253" s="19">
        <v>0</v>
      </c>
      <c r="H1253" s="19">
        <v>0</v>
      </c>
      <c r="I1253" s="15">
        <v>3500</v>
      </c>
      <c r="J1253" s="15">
        <v>0</v>
      </c>
      <c r="K1253" s="15">
        <v>0</v>
      </c>
      <c r="L1253" s="15">
        <v>0</v>
      </c>
      <c r="M1253" s="15">
        <v>0</v>
      </c>
      <c r="N1253" s="15" t="str">
        <v/>
      </c>
      <c r="O1253" s="15" t="str">
        <v/>
      </c>
      <c r="P1253" s="22">
        <v>0</v>
      </c>
      <c r="Q1253">
        <v>0</v>
      </c>
    </row>
    <row r="1254" spans="1:17">
      <c r="A1254" s="19">
        <v>0</v>
      </c>
      <c r="B1254" s="19">
        <v>0</v>
      </c>
      <c r="C1254" s="19">
        <v>0</v>
      </c>
      <c r="D1254" s="19">
        <v>0</v>
      </c>
      <c r="E1254" s="19">
        <v>0</v>
      </c>
      <c r="F1254" s="19">
        <v>0</v>
      </c>
      <c r="G1254" s="19">
        <v>0</v>
      </c>
      <c r="H1254" s="19">
        <v>0</v>
      </c>
      <c r="I1254" s="15">
        <v>3500</v>
      </c>
      <c r="J1254" s="15">
        <v>0</v>
      </c>
      <c r="K1254" s="15">
        <v>0</v>
      </c>
      <c r="L1254" s="15">
        <v>0</v>
      </c>
      <c r="M1254" s="15">
        <v>0</v>
      </c>
      <c r="N1254" s="15" t="str">
        <v/>
      </c>
      <c r="O1254" s="15" t="str">
        <v/>
      </c>
      <c r="P1254" s="22">
        <v>0</v>
      </c>
      <c r="Q1254">
        <v>0</v>
      </c>
    </row>
    <row r="1255" spans="1:17">
      <c r="A1255" s="19">
        <v>0</v>
      </c>
      <c r="B1255" s="19">
        <v>0</v>
      </c>
      <c r="C1255" s="19">
        <v>0</v>
      </c>
      <c r="D1255" s="19">
        <v>0</v>
      </c>
      <c r="E1255" s="19">
        <v>0</v>
      </c>
      <c r="F1255" s="19">
        <v>0</v>
      </c>
      <c r="G1255" s="19">
        <v>0</v>
      </c>
      <c r="H1255" s="19">
        <v>0</v>
      </c>
      <c r="I1255" s="15">
        <v>3500</v>
      </c>
      <c r="J1255" s="15">
        <v>0</v>
      </c>
      <c r="K1255" s="15">
        <v>0</v>
      </c>
      <c r="L1255" s="15">
        <v>0</v>
      </c>
      <c r="M1255" s="15">
        <v>0</v>
      </c>
      <c r="N1255" s="15" t="str">
        <v/>
      </c>
      <c r="O1255" s="15" t="str">
        <v/>
      </c>
      <c r="P1255" s="22">
        <v>0</v>
      </c>
      <c r="Q1255">
        <v>0</v>
      </c>
    </row>
    <row r="1256" spans="1:17">
      <c r="A1256" s="19">
        <v>0</v>
      </c>
      <c r="B1256" s="19">
        <v>0</v>
      </c>
      <c r="C1256" s="19">
        <v>0</v>
      </c>
      <c r="D1256" s="19">
        <v>0</v>
      </c>
      <c r="E1256" s="19">
        <v>0</v>
      </c>
      <c r="F1256" s="19">
        <v>0</v>
      </c>
      <c r="G1256" s="19">
        <v>0</v>
      </c>
      <c r="H1256" s="19">
        <v>0</v>
      </c>
      <c r="I1256" s="15">
        <v>3500</v>
      </c>
      <c r="J1256" s="15">
        <v>0</v>
      </c>
      <c r="K1256" s="15">
        <v>0</v>
      </c>
      <c r="L1256" s="15">
        <v>0</v>
      </c>
      <c r="M1256" s="15">
        <v>0</v>
      </c>
      <c r="N1256" s="15" t="str">
        <v/>
      </c>
      <c r="O1256" s="15" t="str">
        <v/>
      </c>
      <c r="P1256" s="22">
        <v>0</v>
      </c>
      <c r="Q1256">
        <v>0</v>
      </c>
    </row>
    <row r="1257" spans="1:17">
      <c r="A1257" s="19">
        <v>0</v>
      </c>
      <c r="B1257" s="19">
        <v>0</v>
      </c>
      <c r="C1257" s="19">
        <v>0</v>
      </c>
      <c r="D1257" s="19">
        <v>0</v>
      </c>
      <c r="E1257" s="19">
        <v>0</v>
      </c>
      <c r="F1257" s="19">
        <v>0</v>
      </c>
      <c r="G1257" s="19">
        <v>0</v>
      </c>
      <c r="H1257" s="19">
        <v>0</v>
      </c>
      <c r="I1257" s="15">
        <v>3500</v>
      </c>
      <c r="J1257" s="15">
        <v>0</v>
      </c>
      <c r="K1257" s="15">
        <v>0</v>
      </c>
      <c r="L1257" s="15">
        <v>0</v>
      </c>
      <c r="M1257" s="15">
        <v>0</v>
      </c>
      <c r="N1257" s="15" t="str">
        <v/>
      </c>
      <c r="O1257" s="15" t="str">
        <v/>
      </c>
      <c r="P1257" s="22">
        <v>0</v>
      </c>
      <c r="Q1257">
        <v>0</v>
      </c>
    </row>
    <row r="1258" spans="1:17">
      <c r="A1258" s="19">
        <v>0</v>
      </c>
      <c r="B1258" s="19">
        <v>0</v>
      </c>
      <c r="C1258" s="19">
        <v>0</v>
      </c>
      <c r="D1258" s="19">
        <v>0</v>
      </c>
      <c r="E1258" s="19">
        <v>0</v>
      </c>
      <c r="F1258" s="19">
        <v>0</v>
      </c>
      <c r="G1258" s="19">
        <v>0</v>
      </c>
      <c r="H1258" s="19">
        <v>0</v>
      </c>
      <c r="I1258" s="15">
        <v>3500</v>
      </c>
      <c r="J1258" s="15">
        <v>0</v>
      </c>
      <c r="K1258" s="15">
        <v>0</v>
      </c>
      <c r="L1258" s="15">
        <v>0</v>
      </c>
      <c r="M1258" s="15">
        <v>0</v>
      </c>
      <c r="N1258" s="15" t="str">
        <v/>
      </c>
      <c r="O1258" s="15" t="str">
        <v/>
      </c>
      <c r="P1258" s="22">
        <v>0</v>
      </c>
      <c r="Q1258">
        <v>0</v>
      </c>
    </row>
    <row r="1259" spans="1:17">
      <c r="A1259" s="19">
        <v>0</v>
      </c>
      <c r="B1259" s="19">
        <v>0</v>
      </c>
      <c r="C1259" s="19">
        <v>0</v>
      </c>
      <c r="D1259" s="19">
        <v>0</v>
      </c>
      <c r="E1259" s="19">
        <v>0</v>
      </c>
      <c r="F1259" s="19">
        <v>0</v>
      </c>
      <c r="G1259" s="19">
        <v>0</v>
      </c>
      <c r="H1259" s="19">
        <v>0</v>
      </c>
      <c r="I1259" s="15">
        <v>3500</v>
      </c>
      <c r="J1259" s="15">
        <v>0</v>
      </c>
      <c r="K1259" s="15">
        <v>0</v>
      </c>
      <c r="L1259" s="15">
        <v>0</v>
      </c>
      <c r="M1259" s="15">
        <v>0</v>
      </c>
      <c r="N1259" s="15" t="str">
        <v/>
      </c>
      <c r="O1259" s="15" t="str">
        <v/>
      </c>
      <c r="P1259" s="22">
        <v>0</v>
      </c>
      <c r="Q1259">
        <v>0</v>
      </c>
    </row>
    <row r="1260" spans="1:17">
      <c r="A1260" s="19">
        <v>0</v>
      </c>
      <c r="B1260" s="19">
        <v>0</v>
      </c>
      <c r="C1260" s="19">
        <v>0</v>
      </c>
      <c r="D1260" s="19">
        <v>0</v>
      </c>
      <c r="E1260" s="19">
        <v>0</v>
      </c>
      <c r="F1260" s="19">
        <v>0</v>
      </c>
      <c r="G1260" s="19">
        <v>0</v>
      </c>
      <c r="H1260" s="19">
        <v>0</v>
      </c>
      <c r="I1260" s="15">
        <v>3500</v>
      </c>
      <c r="J1260" s="15">
        <v>0</v>
      </c>
      <c r="K1260" s="15">
        <v>0</v>
      </c>
      <c r="L1260" s="15">
        <v>0</v>
      </c>
      <c r="M1260" s="15">
        <v>0</v>
      </c>
      <c r="N1260" s="15" t="str">
        <v/>
      </c>
      <c r="O1260" s="15" t="str">
        <v/>
      </c>
      <c r="P1260" s="22">
        <v>0</v>
      </c>
      <c r="Q1260">
        <v>0</v>
      </c>
    </row>
    <row r="1261" spans="1:17">
      <c r="A1261" s="19">
        <v>0</v>
      </c>
      <c r="B1261" s="19">
        <v>0</v>
      </c>
      <c r="C1261" s="19">
        <v>0</v>
      </c>
      <c r="D1261" s="19">
        <v>0</v>
      </c>
      <c r="E1261" s="19">
        <v>0</v>
      </c>
      <c r="F1261" s="19">
        <v>0</v>
      </c>
      <c r="G1261" s="19">
        <v>0</v>
      </c>
      <c r="H1261" s="19">
        <v>0</v>
      </c>
      <c r="I1261" s="15">
        <v>3500</v>
      </c>
      <c r="J1261" s="15">
        <v>0</v>
      </c>
      <c r="K1261" s="15">
        <v>0</v>
      </c>
      <c r="L1261" s="15">
        <v>0</v>
      </c>
      <c r="M1261" s="15">
        <v>0</v>
      </c>
      <c r="N1261" s="15" t="str">
        <v/>
      </c>
      <c r="O1261" s="15" t="str">
        <v/>
      </c>
      <c r="P1261" s="22">
        <v>0</v>
      </c>
      <c r="Q1261">
        <v>0</v>
      </c>
    </row>
    <row r="1262" spans="1:17">
      <c r="A1262" s="19">
        <v>0</v>
      </c>
      <c r="B1262" s="19">
        <v>0</v>
      </c>
      <c r="C1262" s="19">
        <v>0</v>
      </c>
      <c r="D1262" s="19">
        <v>0</v>
      </c>
      <c r="E1262" s="19">
        <v>0</v>
      </c>
      <c r="F1262" s="19">
        <v>0</v>
      </c>
      <c r="G1262" s="19">
        <v>0</v>
      </c>
      <c r="H1262" s="19">
        <v>0</v>
      </c>
      <c r="I1262" s="15">
        <v>3500</v>
      </c>
      <c r="J1262" s="15">
        <v>0</v>
      </c>
      <c r="K1262" s="15">
        <v>0</v>
      </c>
      <c r="L1262" s="15">
        <v>0</v>
      </c>
      <c r="M1262" s="15">
        <v>0</v>
      </c>
      <c r="N1262" s="15" t="str">
        <v/>
      </c>
      <c r="O1262" s="15" t="str">
        <v/>
      </c>
      <c r="P1262" s="22">
        <v>0</v>
      </c>
      <c r="Q1262">
        <v>0</v>
      </c>
    </row>
    <row r="1263" spans="1:17">
      <c r="A1263" s="19">
        <v>0</v>
      </c>
      <c r="B1263" s="19">
        <v>0</v>
      </c>
      <c r="C1263" s="19">
        <v>0</v>
      </c>
      <c r="D1263" s="19">
        <v>0</v>
      </c>
      <c r="E1263" s="19">
        <v>0</v>
      </c>
      <c r="F1263" s="19">
        <v>0</v>
      </c>
      <c r="G1263" s="19">
        <v>0</v>
      </c>
      <c r="H1263" s="19">
        <v>0</v>
      </c>
      <c r="I1263" s="15">
        <v>3500</v>
      </c>
      <c r="J1263" s="15">
        <v>0</v>
      </c>
      <c r="K1263" s="15">
        <v>0</v>
      </c>
      <c r="L1263" s="15">
        <v>0</v>
      </c>
      <c r="M1263" s="15">
        <v>0</v>
      </c>
      <c r="N1263" s="15" t="str">
        <v/>
      </c>
      <c r="O1263" s="15" t="str">
        <v/>
      </c>
      <c r="P1263" s="22">
        <v>0</v>
      </c>
      <c r="Q1263">
        <v>0</v>
      </c>
    </row>
    <row r="1264" spans="1:17">
      <c r="A1264" s="19">
        <v>0</v>
      </c>
      <c r="B1264" s="19">
        <v>0</v>
      </c>
      <c r="C1264" s="19">
        <v>0</v>
      </c>
      <c r="D1264" s="19">
        <v>0</v>
      </c>
      <c r="E1264" s="19">
        <v>0</v>
      </c>
      <c r="F1264" s="19">
        <v>0</v>
      </c>
      <c r="G1264" s="19">
        <v>0</v>
      </c>
      <c r="H1264" s="19">
        <v>0</v>
      </c>
      <c r="I1264" s="15">
        <v>3500</v>
      </c>
      <c r="J1264" s="15">
        <v>0</v>
      </c>
      <c r="K1264" s="15">
        <v>0</v>
      </c>
      <c r="L1264" s="15">
        <v>0</v>
      </c>
      <c r="M1264" s="15">
        <v>0</v>
      </c>
      <c r="N1264" s="15" t="str">
        <v/>
      </c>
      <c r="O1264" s="15" t="str">
        <v/>
      </c>
      <c r="P1264" s="22">
        <v>0</v>
      </c>
      <c r="Q1264">
        <v>0</v>
      </c>
    </row>
    <row r="1265" spans="1:17">
      <c r="A1265" s="19">
        <v>0</v>
      </c>
      <c r="B1265" s="19">
        <v>0</v>
      </c>
      <c r="C1265" s="19">
        <v>0</v>
      </c>
      <c r="D1265" s="19">
        <v>0</v>
      </c>
      <c r="E1265" s="19">
        <v>0</v>
      </c>
      <c r="F1265" s="19">
        <v>0</v>
      </c>
      <c r="G1265" s="19">
        <v>0</v>
      </c>
      <c r="H1265" s="19">
        <v>0</v>
      </c>
      <c r="I1265" s="15">
        <v>3500</v>
      </c>
      <c r="J1265" s="15">
        <v>0</v>
      </c>
      <c r="K1265" s="15">
        <v>0</v>
      </c>
      <c r="L1265" s="15">
        <v>0</v>
      </c>
      <c r="M1265" s="15">
        <v>0</v>
      </c>
      <c r="N1265" s="15" t="str">
        <v/>
      </c>
      <c r="O1265" s="15" t="str">
        <v/>
      </c>
      <c r="P1265" s="22">
        <v>0</v>
      </c>
      <c r="Q1265">
        <v>0</v>
      </c>
    </row>
    <row r="1266" spans="1:17">
      <c r="A1266" s="19">
        <v>0</v>
      </c>
      <c r="B1266" s="19">
        <v>0</v>
      </c>
      <c r="C1266" s="19">
        <v>0</v>
      </c>
      <c r="D1266" s="19">
        <v>0</v>
      </c>
      <c r="E1266" s="19">
        <v>0</v>
      </c>
      <c r="F1266" s="19">
        <v>0</v>
      </c>
      <c r="G1266" s="19">
        <v>0</v>
      </c>
      <c r="H1266" s="19">
        <v>0</v>
      </c>
      <c r="I1266" s="15">
        <v>3500</v>
      </c>
      <c r="J1266" s="15">
        <v>0</v>
      </c>
      <c r="K1266" s="15">
        <v>0</v>
      </c>
      <c r="L1266" s="15">
        <v>0</v>
      </c>
      <c r="M1266" s="15">
        <v>0</v>
      </c>
      <c r="N1266" s="15" t="str">
        <v/>
      </c>
      <c r="O1266" s="15" t="str">
        <v/>
      </c>
      <c r="P1266" s="22">
        <v>0</v>
      </c>
      <c r="Q1266">
        <v>0</v>
      </c>
    </row>
    <row r="1267" spans="1:17">
      <c r="A1267" s="19">
        <v>0</v>
      </c>
      <c r="B1267" s="19">
        <v>0</v>
      </c>
      <c r="C1267" s="19">
        <v>0</v>
      </c>
      <c r="D1267" s="19">
        <v>0</v>
      </c>
      <c r="E1267" s="19">
        <v>0</v>
      </c>
      <c r="F1267" s="19">
        <v>0</v>
      </c>
      <c r="G1267" s="19">
        <v>0</v>
      </c>
      <c r="H1267" s="19">
        <v>0</v>
      </c>
      <c r="I1267" s="15">
        <v>3500</v>
      </c>
      <c r="J1267" s="15">
        <v>0</v>
      </c>
      <c r="K1267" s="15">
        <v>0</v>
      </c>
      <c r="L1267" s="15">
        <v>0</v>
      </c>
      <c r="M1267" s="15">
        <v>0</v>
      </c>
      <c r="N1267" s="15" t="str">
        <v/>
      </c>
      <c r="O1267" s="15" t="str">
        <v/>
      </c>
      <c r="P1267" s="22">
        <v>0</v>
      </c>
      <c r="Q1267">
        <v>0</v>
      </c>
    </row>
    <row r="1268" spans="1:17">
      <c r="A1268" s="19">
        <v>0</v>
      </c>
      <c r="B1268" s="19">
        <v>0</v>
      </c>
      <c r="C1268" s="19">
        <v>0</v>
      </c>
      <c r="D1268" s="19">
        <v>0</v>
      </c>
      <c r="E1268" s="19">
        <v>0</v>
      </c>
      <c r="F1268" s="19">
        <v>0</v>
      </c>
      <c r="G1268" s="19">
        <v>0</v>
      </c>
      <c r="H1268" s="19">
        <v>0</v>
      </c>
      <c r="I1268" s="15">
        <v>3500</v>
      </c>
      <c r="J1268" s="15">
        <v>0</v>
      </c>
      <c r="K1268" s="15">
        <v>0</v>
      </c>
      <c r="L1268" s="15">
        <v>0</v>
      </c>
      <c r="M1268" s="15">
        <v>0</v>
      </c>
      <c r="N1268" s="15" t="str">
        <v/>
      </c>
      <c r="O1268" s="15" t="str">
        <v/>
      </c>
      <c r="P1268" s="22">
        <v>0</v>
      </c>
      <c r="Q1268">
        <v>0</v>
      </c>
    </row>
    <row r="1269" spans="1:17">
      <c r="A1269" s="19">
        <v>0</v>
      </c>
      <c r="B1269" s="19">
        <v>0</v>
      </c>
      <c r="C1269" s="19">
        <v>0</v>
      </c>
      <c r="D1269" s="19">
        <v>0</v>
      </c>
      <c r="E1269" s="19">
        <v>0</v>
      </c>
      <c r="F1269" s="19">
        <v>0</v>
      </c>
      <c r="G1269" s="19">
        <v>0</v>
      </c>
      <c r="H1269" s="19">
        <v>0</v>
      </c>
      <c r="I1269" s="15">
        <v>3500</v>
      </c>
      <c r="J1269" s="15">
        <v>0</v>
      </c>
      <c r="K1269" s="15">
        <v>0</v>
      </c>
      <c r="L1269" s="15">
        <v>0</v>
      </c>
      <c r="M1269" s="15">
        <v>0</v>
      </c>
      <c r="N1269" s="15" t="str">
        <v/>
      </c>
      <c r="O1269" s="15" t="str">
        <v/>
      </c>
      <c r="P1269" s="22">
        <v>0</v>
      </c>
      <c r="Q1269">
        <v>0</v>
      </c>
    </row>
    <row r="1270" spans="1:17">
      <c r="A1270" s="19">
        <v>0</v>
      </c>
      <c r="B1270" s="19">
        <v>0</v>
      </c>
      <c r="C1270" s="19">
        <v>0</v>
      </c>
      <c r="D1270" s="19">
        <v>0</v>
      </c>
      <c r="E1270" s="19">
        <v>0</v>
      </c>
      <c r="F1270" s="19">
        <v>0</v>
      </c>
      <c r="G1270" s="19">
        <v>0</v>
      </c>
      <c r="H1270" s="19">
        <v>0</v>
      </c>
      <c r="I1270" s="15">
        <v>3500</v>
      </c>
      <c r="J1270" s="15">
        <v>0</v>
      </c>
      <c r="K1270" s="15">
        <v>0</v>
      </c>
      <c r="L1270" s="15">
        <v>0</v>
      </c>
      <c r="M1270" s="15">
        <v>0</v>
      </c>
      <c r="N1270" s="15" t="str">
        <v/>
      </c>
      <c r="O1270" s="15" t="str">
        <v/>
      </c>
      <c r="P1270" s="22">
        <v>0</v>
      </c>
      <c r="Q1270">
        <v>0</v>
      </c>
    </row>
    <row r="1271" spans="1:17">
      <c r="A1271" s="19">
        <v>0</v>
      </c>
      <c r="B1271" s="19">
        <v>0</v>
      </c>
      <c r="C1271" s="19">
        <v>0</v>
      </c>
      <c r="D1271" s="19">
        <v>0</v>
      </c>
      <c r="E1271" s="19">
        <v>0</v>
      </c>
      <c r="F1271" s="19">
        <v>0</v>
      </c>
      <c r="G1271" s="19">
        <v>0</v>
      </c>
      <c r="H1271" s="19">
        <v>0</v>
      </c>
      <c r="I1271" s="15">
        <v>3500</v>
      </c>
      <c r="J1271" s="15">
        <v>0</v>
      </c>
      <c r="K1271" s="15">
        <v>0</v>
      </c>
      <c r="L1271" s="15">
        <v>0</v>
      </c>
      <c r="M1271" s="15">
        <v>0</v>
      </c>
      <c r="N1271" s="15" t="str">
        <v/>
      </c>
      <c r="O1271" s="15" t="str">
        <v/>
      </c>
      <c r="P1271" s="22">
        <v>0</v>
      </c>
      <c r="Q1271">
        <v>0</v>
      </c>
    </row>
    <row r="1272" spans="1:17">
      <c r="A1272" s="19">
        <v>0</v>
      </c>
      <c r="B1272" s="19">
        <v>0</v>
      </c>
      <c r="C1272" s="19">
        <v>0</v>
      </c>
      <c r="D1272" s="19">
        <v>0</v>
      </c>
      <c r="E1272" s="19">
        <v>0</v>
      </c>
      <c r="F1272" s="19">
        <v>0</v>
      </c>
      <c r="G1272" s="19">
        <v>0</v>
      </c>
      <c r="H1272" s="19">
        <v>0</v>
      </c>
      <c r="I1272" s="15">
        <v>3500</v>
      </c>
      <c r="J1272" s="15">
        <v>0</v>
      </c>
      <c r="K1272" s="15">
        <v>0</v>
      </c>
      <c r="L1272" s="15">
        <v>0</v>
      </c>
      <c r="M1272" s="15">
        <v>0</v>
      </c>
      <c r="N1272" s="15" t="str">
        <v/>
      </c>
      <c r="O1272" s="15" t="str">
        <v/>
      </c>
      <c r="P1272" s="22">
        <v>0</v>
      </c>
      <c r="Q1272">
        <v>0</v>
      </c>
    </row>
    <row r="1273" spans="1:17">
      <c r="A1273" s="19">
        <v>0</v>
      </c>
      <c r="B1273" s="19">
        <v>0</v>
      </c>
      <c r="C1273" s="19">
        <v>0</v>
      </c>
      <c r="D1273" s="19">
        <v>0</v>
      </c>
      <c r="E1273" s="19">
        <v>0</v>
      </c>
      <c r="F1273" s="19">
        <v>0</v>
      </c>
      <c r="G1273" s="19">
        <v>0</v>
      </c>
      <c r="H1273" s="19">
        <v>0</v>
      </c>
      <c r="I1273" s="15">
        <v>3500</v>
      </c>
      <c r="J1273" s="15">
        <v>0</v>
      </c>
      <c r="K1273" s="15">
        <v>0</v>
      </c>
      <c r="L1273" s="15">
        <v>0</v>
      </c>
      <c r="M1273" s="15">
        <v>0</v>
      </c>
      <c r="N1273" s="15" t="str">
        <v/>
      </c>
      <c r="O1273" s="15" t="str">
        <v/>
      </c>
      <c r="P1273" s="22">
        <v>0</v>
      </c>
      <c r="Q1273">
        <v>0</v>
      </c>
    </row>
    <row r="1274" spans="1:17">
      <c r="A1274" s="19">
        <v>0</v>
      </c>
      <c r="B1274" s="19">
        <v>0</v>
      </c>
      <c r="C1274" s="19">
        <v>0</v>
      </c>
      <c r="D1274" s="19">
        <v>0</v>
      </c>
      <c r="E1274" s="19">
        <v>0</v>
      </c>
      <c r="F1274" s="19">
        <v>0</v>
      </c>
      <c r="G1274" s="19">
        <v>0</v>
      </c>
      <c r="H1274" s="19">
        <v>0</v>
      </c>
      <c r="I1274" s="15">
        <v>3500</v>
      </c>
      <c r="J1274" s="15">
        <v>0</v>
      </c>
      <c r="K1274" s="15">
        <v>0</v>
      </c>
      <c r="L1274" s="15">
        <v>0</v>
      </c>
      <c r="M1274" s="15">
        <v>0</v>
      </c>
      <c r="N1274" s="15" t="str">
        <v/>
      </c>
      <c r="O1274" s="15" t="str">
        <v/>
      </c>
      <c r="P1274" s="22">
        <v>0</v>
      </c>
      <c r="Q1274">
        <v>0</v>
      </c>
    </row>
    <row r="1275" spans="1:17">
      <c r="A1275" s="19">
        <v>0</v>
      </c>
      <c r="B1275" s="19">
        <v>0</v>
      </c>
      <c r="C1275" s="19">
        <v>0</v>
      </c>
      <c r="D1275" s="19">
        <v>0</v>
      </c>
      <c r="E1275" s="19">
        <v>0</v>
      </c>
      <c r="F1275" s="19">
        <v>0</v>
      </c>
      <c r="G1275" s="19">
        <v>0</v>
      </c>
      <c r="H1275" s="19">
        <v>0</v>
      </c>
      <c r="I1275" s="15">
        <v>3500</v>
      </c>
      <c r="J1275" s="15">
        <v>0</v>
      </c>
      <c r="K1275" s="15">
        <v>0</v>
      </c>
      <c r="L1275" s="15">
        <v>0</v>
      </c>
      <c r="M1275" s="15">
        <v>0</v>
      </c>
      <c r="N1275" s="15" t="str">
        <v/>
      </c>
      <c r="O1275" s="15" t="str">
        <v/>
      </c>
      <c r="P1275" s="22">
        <v>0</v>
      </c>
      <c r="Q1275">
        <v>0</v>
      </c>
    </row>
    <row r="1276" spans="1:17">
      <c r="A1276" s="19">
        <v>0</v>
      </c>
      <c r="B1276" s="19">
        <v>0</v>
      </c>
      <c r="C1276" s="19">
        <v>0</v>
      </c>
      <c r="D1276" s="19">
        <v>0</v>
      </c>
      <c r="E1276" s="19">
        <v>0</v>
      </c>
      <c r="F1276" s="19">
        <v>0</v>
      </c>
      <c r="G1276" s="19">
        <v>0</v>
      </c>
      <c r="H1276" s="19">
        <v>0</v>
      </c>
      <c r="I1276" s="15">
        <v>3500</v>
      </c>
      <c r="J1276" s="15">
        <v>0</v>
      </c>
      <c r="K1276" s="15">
        <v>0</v>
      </c>
      <c r="L1276" s="15">
        <v>0</v>
      </c>
      <c r="M1276" s="15">
        <v>0</v>
      </c>
      <c r="N1276" s="15" t="str">
        <v/>
      </c>
      <c r="O1276" s="15" t="str">
        <v/>
      </c>
      <c r="P1276" s="22">
        <v>0</v>
      </c>
      <c r="Q1276">
        <v>0</v>
      </c>
    </row>
    <row r="1277" spans="1:17">
      <c r="A1277" s="19">
        <v>0</v>
      </c>
      <c r="B1277" s="19">
        <v>0</v>
      </c>
      <c r="C1277" s="19">
        <v>0</v>
      </c>
      <c r="D1277" s="19">
        <v>0</v>
      </c>
      <c r="E1277" s="19">
        <v>0</v>
      </c>
      <c r="F1277" s="19">
        <v>0</v>
      </c>
      <c r="G1277" s="19">
        <v>0</v>
      </c>
      <c r="H1277" s="19">
        <v>0</v>
      </c>
      <c r="I1277" s="15">
        <v>3500</v>
      </c>
      <c r="J1277" s="15">
        <v>0</v>
      </c>
      <c r="K1277" s="15">
        <v>0</v>
      </c>
      <c r="L1277" s="15">
        <v>0</v>
      </c>
      <c r="M1277" s="15">
        <v>0</v>
      </c>
      <c r="N1277" s="15" t="str">
        <v/>
      </c>
      <c r="O1277" s="15" t="str">
        <v/>
      </c>
      <c r="P1277" s="22">
        <v>0</v>
      </c>
      <c r="Q1277">
        <v>0</v>
      </c>
    </row>
    <row r="1278" spans="1:17">
      <c r="A1278" s="19">
        <v>0</v>
      </c>
      <c r="B1278" s="19">
        <v>0</v>
      </c>
      <c r="C1278" s="19">
        <v>0</v>
      </c>
      <c r="D1278" s="19">
        <v>0</v>
      </c>
      <c r="E1278" s="19">
        <v>0</v>
      </c>
      <c r="F1278" s="19">
        <v>0</v>
      </c>
      <c r="G1278" s="19">
        <v>0</v>
      </c>
      <c r="H1278" s="19">
        <v>0</v>
      </c>
      <c r="I1278" s="15">
        <v>3500</v>
      </c>
      <c r="J1278" s="15">
        <v>0</v>
      </c>
      <c r="K1278" s="15">
        <v>0</v>
      </c>
      <c r="L1278" s="15">
        <v>0</v>
      </c>
      <c r="M1278" s="15">
        <v>0</v>
      </c>
      <c r="N1278" s="15" t="str">
        <v/>
      </c>
      <c r="O1278" s="15" t="str">
        <v/>
      </c>
      <c r="P1278" s="22">
        <v>0</v>
      </c>
      <c r="Q1278">
        <v>0</v>
      </c>
    </row>
    <row r="1279" spans="1:17">
      <c r="A1279" s="19">
        <v>0</v>
      </c>
      <c r="B1279" s="19">
        <v>0</v>
      </c>
      <c r="C1279" s="19">
        <v>0</v>
      </c>
      <c r="D1279" s="19">
        <v>0</v>
      </c>
      <c r="E1279" s="19">
        <v>0</v>
      </c>
      <c r="F1279" s="19">
        <v>0</v>
      </c>
      <c r="G1279" s="19">
        <v>0</v>
      </c>
      <c r="H1279" s="19">
        <v>0</v>
      </c>
      <c r="I1279" s="15">
        <v>3500</v>
      </c>
      <c r="J1279" s="15">
        <v>0</v>
      </c>
      <c r="K1279" s="15">
        <v>0</v>
      </c>
      <c r="L1279" s="15">
        <v>0</v>
      </c>
      <c r="M1279" s="15">
        <v>0</v>
      </c>
      <c r="N1279" s="15" t="str">
        <v/>
      </c>
      <c r="O1279" s="15" t="str">
        <v/>
      </c>
      <c r="P1279" s="22">
        <v>0</v>
      </c>
      <c r="Q1279">
        <v>0</v>
      </c>
    </row>
    <row r="1280" spans="1:17">
      <c r="A1280" s="19">
        <v>0</v>
      </c>
      <c r="B1280" s="19">
        <v>0</v>
      </c>
      <c r="C1280" s="19">
        <v>0</v>
      </c>
      <c r="D1280" s="19">
        <v>0</v>
      </c>
      <c r="E1280" s="19">
        <v>0</v>
      </c>
      <c r="F1280" s="19">
        <v>0</v>
      </c>
      <c r="G1280" s="19">
        <v>0</v>
      </c>
      <c r="H1280" s="19">
        <v>0</v>
      </c>
      <c r="I1280" s="15">
        <v>3500</v>
      </c>
      <c r="J1280" s="15">
        <v>0</v>
      </c>
      <c r="K1280" s="15">
        <v>0</v>
      </c>
      <c r="L1280" s="15">
        <v>0</v>
      </c>
      <c r="M1280" s="15">
        <v>0</v>
      </c>
      <c r="N1280" s="15" t="str">
        <v/>
      </c>
      <c r="O1280" s="15" t="str">
        <v/>
      </c>
      <c r="P1280" s="22">
        <v>0</v>
      </c>
      <c r="Q1280">
        <v>0</v>
      </c>
    </row>
    <row r="1281" spans="1:17">
      <c r="A1281" s="19">
        <v>0</v>
      </c>
      <c r="B1281" s="19">
        <v>0</v>
      </c>
      <c r="C1281" s="19">
        <v>0</v>
      </c>
      <c r="D1281" s="19">
        <v>0</v>
      </c>
      <c r="E1281" s="19">
        <v>0</v>
      </c>
      <c r="F1281" s="19">
        <v>0</v>
      </c>
      <c r="G1281" s="19">
        <v>0</v>
      </c>
      <c r="H1281" s="19">
        <v>0</v>
      </c>
      <c r="I1281" s="15">
        <v>3500</v>
      </c>
      <c r="J1281" s="15">
        <v>0</v>
      </c>
      <c r="K1281" s="15">
        <v>0</v>
      </c>
      <c r="L1281" s="15">
        <v>0</v>
      </c>
      <c r="M1281" s="15">
        <v>0</v>
      </c>
      <c r="N1281" s="15" t="str">
        <v/>
      </c>
      <c r="O1281" s="15" t="str">
        <v/>
      </c>
      <c r="P1281" s="22">
        <v>0</v>
      </c>
      <c r="Q1281">
        <v>0</v>
      </c>
    </row>
    <row r="1282" spans="1:17">
      <c r="A1282" s="19">
        <v>0</v>
      </c>
      <c r="B1282" s="19">
        <v>0</v>
      </c>
      <c r="C1282" s="19">
        <v>0</v>
      </c>
      <c r="D1282" s="19">
        <v>0</v>
      </c>
      <c r="E1282" s="19">
        <v>0</v>
      </c>
      <c r="F1282" s="19">
        <v>0</v>
      </c>
      <c r="G1282" s="19">
        <v>0</v>
      </c>
      <c r="H1282" s="19">
        <v>0</v>
      </c>
      <c r="I1282" s="15">
        <v>3500</v>
      </c>
      <c r="J1282" s="15">
        <v>0</v>
      </c>
      <c r="K1282" s="15">
        <v>0</v>
      </c>
      <c r="L1282" s="15">
        <v>0</v>
      </c>
      <c r="M1282" s="15">
        <v>0</v>
      </c>
      <c r="N1282" s="15" t="str">
        <v/>
      </c>
      <c r="O1282" s="15" t="str">
        <v/>
      </c>
      <c r="P1282" s="22">
        <v>0</v>
      </c>
      <c r="Q1282">
        <v>0</v>
      </c>
    </row>
    <row r="1283" spans="1:17">
      <c r="A1283" s="19">
        <v>0</v>
      </c>
      <c r="B1283" s="19">
        <v>0</v>
      </c>
      <c r="C1283" s="19">
        <v>0</v>
      </c>
      <c r="D1283" s="19">
        <v>0</v>
      </c>
      <c r="E1283" s="19">
        <v>0</v>
      </c>
      <c r="F1283" s="19">
        <v>0</v>
      </c>
      <c r="G1283" s="19">
        <v>0</v>
      </c>
      <c r="H1283" s="19">
        <v>0</v>
      </c>
      <c r="I1283" s="15">
        <v>3500</v>
      </c>
      <c r="J1283" s="15">
        <v>0</v>
      </c>
      <c r="K1283" s="15">
        <v>0</v>
      </c>
      <c r="L1283" s="15">
        <v>0</v>
      </c>
      <c r="M1283" s="15">
        <v>0</v>
      </c>
      <c r="N1283" s="15" t="str">
        <v/>
      </c>
      <c r="O1283" s="15" t="str">
        <v/>
      </c>
      <c r="P1283" s="22">
        <v>0</v>
      </c>
      <c r="Q1283">
        <v>0</v>
      </c>
    </row>
    <row r="1284" spans="1:17">
      <c r="A1284" s="19">
        <v>0</v>
      </c>
      <c r="B1284" s="19">
        <v>0</v>
      </c>
      <c r="C1284" s="19">
        <v>0</v>
      </c>
      <c r="D1284" s="19">
        <v>0</v>
      </c>
      <c r="E1284" s="19">
        <v>0</v>
      </c>
      <c r="F1284" s="19">
        <v>0</v>
      </c>
      <c r="G1284" s="19">
        <v>0</v>
      </c>
      <c r="H1284" s="19">
        <v>0</v>
      </c>
      <c r="I1284" s="15">
        <v>3500</v>
      </c>
      <c r="J1284" s="15">
        <v>0</v>
      </c>
      <c r="K1284" s="15">
        <v>0</v>
      </c>
      <c r="L1284" s="15">
        <v>0</v>
      </c>
      <c r="M1284" s="15">
        <v>0</v>
      </c>
      <c r="N1284" s="15" t="str">
        <v/>
      </c>
      <c r="O1284" s="15" t="str">
        <v/>
      </c>
      <c r="P1284" s="22">
        <v>0</v>
      </c>
      <c r="Q1284">
        <v>0</v>
      </c>
    </row>
    <row r="1285" spans="1:17">
      <c r="A1285" s="19">
        <v>0</v>
      </c>
      <c r="B1285" s="19">
        <v>0</v>
      </c>
      <c r="C1285" s="19">
        <v>0</v>
      </c>
      <c r="D1285" s="19">
        <v>0</v>
      </c>
      <c r="E1285" s="19">
        <v>0</v>
      </c>
      <c r="F1285" s="19">
        <v>0</v>
      </c>
      <c r="G1285" s="19">
        <v>0</v>
      </c>
      <c r="H1285" s="19">
        <v>0</v>
      </c>
      <c r="I1285" s="15">
        <v>3500</v>
      </c>
      <c r="J1285" s="15">
        <v>0</v>
      </c>
      <c r="K1285" s="15">
        <v>0</v>
      </c>
      <c r="L1285" s="15">
        <v>0</v>
      </c>
      <c r="M1285" s="15">
        <v>0</v>
      </c>
      <c r="N1285" s="15" t="str">
        <v/>
      </c>
      <c r="O1285" s="15" t="str">
        <v/>
      </c>
      <c r="P1285" s="22">
        <v>0</v>
      </c>
      <c r="Q1285">
        <v>0</v>
      </c>
    </row>
    <row r="1286" spans="1:17">
      <c r="A1286" s="19">
        <v>0</v>
      </c>
      <c r="B1286" s="19">
        <v>0</v>
      </c>
      <c r="C1286" s="19">
        <v>0</v>
      </c>
      <c r="D1286" s="19">
        <v>0</v>
      </c>
      <c r="E1286" s="19">
        <v>0</v>
      </c>
      <c r="F1286" s="19">
        <v>0</v>
      </c>
      <c r="G1286" s="19">
        <v>0</v>
      </c>
      <c r="H1286" s="19">
        <v>0</v>
      </c>
      <c r="I1286" s="15">
        <v>3500</v>
      </c>
      <c r="J1286" s="15">
        <v>0</v>
      </c>
      <c r="K1286" s="15">
        <v>0</v>
      </c>
      <c r="L1286" s="15">
        <v>0</v>
      </c>
      <c r="M1286" s="15">
        <v>0</v>
      </c>
      <c r="N1286" s="15" t="str">
        <v/>
      </c>
      <c r="O1286" s="15" t="str">
        <v/>
      </c>
      <c r="P1286" s="22">
        <v>0</v>
      </c>
      <c r="Q1286">
        <v>0</v>
      </c>
    </row>
    <row r="1287" spans="1:17">
      <c r="A1287" s="19">
        <v>0</v>
      </c>
      <c r="B1287" s="19">
        <v>0</v>
      </c>
      <c r="C1287" s="19">
        <v>0</v>
      </c>
      <c r="D1287" s="19">
        <v>0</v>
      </c>
      <c r="E1287" s="19">
        <v>0</v>
      </c>
      <c r="F1287" s="19">
        <v>0</v>
      </c>
      <c r="G1287" s="19">
        <v>0</v>
      </c>
      <c r="H1287" s="19">
        <v>0</v>
      </c>
      <c r="I1287" s="15">
        <v>3500</v>
      </c>
      <c r="J1287" s="15">
        <v>0</v>
      </c>
      <c r="K1287" s="15">
        <v>0</v>
      </c>
      <c r="L1287" s="15">
        <v>0</v>
      </c>
      <c r="M1287" s="15">
        <v>0</v>
      </c>
      <c r="N1287" s="15" t="str">
        <v/>
      </c>
      <c r="O1287" s="15" t="str">
        <v/>
      </c>
      <c r="P1287" s="22">
        <v>0</v>
      </c>
      <c r="Q1287">
        <v>0</v>
      </c>
    </row>
    <row r="1288" spans="1:17">
      <c r="A1288" s="19">
        <v>0</v>
      </c>
      <c r="B1288" s="19">
        <v>0</v>
      </c>
      <c r="C1288" s="19">
        <v>0</v>
      </c>
      <c r="D1288" s="19">
        <v>0</v>
      </c>
      <c r="E1288" s="19">
        <v>0</v>
      </c>
      <c r="F1288" s="19">
        <v>0</v>
      </c>
      <c r="G1288" s="19">
        <v>0</v>
      </c>
      <c r="H1288" s="19">
        <v>0</v>
      </c>
      <c r="I1288" s="15">
        <v>3500</v>
      </c>
      <c r="J1288" s="15">
        <v>0</v>
      </c>
      <c r="K1288" s="15">
        <v>0</v>
      </c>
      <c r="L1288" s="15">
        <v>0</v>
      </c>
      <c r="M1288" s="15">
        <v>0</v>
      </c>
      <c r="N1288" s="15" t="str">
        <v/>
      </c>
      <c r="O1288" s="15" t="str">
        <v/>
      </c>
      <c r="P1288" s="22">
        <v>0</v>
      </c>
      <c r="Q1288">
        <v>0</v>
      </c>
    </row>
    <row r="1289" spans="1:17">
      <c r="A1289" s="19">
        <v>0</v>
      </c>
      <c r="B1289" s="19">
        <v>0</v>
      </c>
      <c r="C1289" s="19">
        <v>0</v>
      </c>
      <c r="D1289" s="19">
        <v>0</v>
      </c>
      <c r="E1289" s="19">
        <v>0</v>
      </c>
      <c r="F1289" s="19">
        <v>0</v>
      </c>
      <c r="G1289" s="19">
        <v>0</v>
      </c>
      <c r="H1289" s="19">
        <v>0</v>
      </c>
      <c r="I1289" s="15">
        <v>3500</v>
      </c>
      <c r="J1289" s="15">
        <v>0</v>
      </c>
      <c r="K1289" s="15">
        <v>0</v>
      </c>
      <c r="L1289" s="15">
        <v>0</v>
      </c>
      <c r="M1289" s="15">
        <v>0</v>
      </c>
      <c r="N1289" s="15" t="str">
        <v/>
      </c>
      <c r="O1289" s="15" t="str">
        <v/>
      </c>
      <c r="P1289" s="22">
        <v>0</v>
      </c>
      <c r="Q1289">
        <v>0</v>
      </c>
    </row>
    <row r="1290" spans="1:17">
      <c r="A1290" s="19">
        <v>0</v>
      </c>
      <c r="B1290" s="19">
        <v>0</v>
      </c>
      <c r="C1290" s="19">
        <v>0</v>
      </c>
      <c r="D1290" s="19">
        <v>0</v>
      </c>
      <c r="E1290" s="19">
        <v>0</v>
      </c>
      <c r="F1290" s="19">
        <v>0</v>
      </c>
      <c r="G1290" s="19">
        <v>0</v>
      </c>
      <c r="H1290" s="19">
        <v>0</v>
      </c>
      <c r="I1290" s="15">
        <v>3500</v>
      </c>
      <c r="J1290" s="15">
        <v>0</v>
      </c>
      <c r="K1290" s="15">
        <v>0</v>
      </c>
      <c r="L1290" s="15">
        <v>0</v>
      </c>
      <c r="M1290" s="15">
        <v>0</v>
      </c>
      <c r="N1290" s="15" t="str">
        <v/>
      </c>
      <c r="O1290" s="15" t="str">
        <v/>
      </c>
      <c r="P1290" s="22">
        <v>0</v>
      </c>
      <c r="Q1290">
        <v>0</v>
      </c>
    </row>
    <row r="1291" spans="1:17">
      <c r="A1291" s="19">
        <v>0</v>
      </c>
      <c r="B1291" s="19">
        <v>0</v>
      </c>
      <c r="C1291" s="19">
        <v>0</v>
      </c>
      <c r="D1291" s="19">
        <v>0</v>
      </c>
      <c r="E1291" s="19">
        <v>0</v>
      </c>
      <c r="F1291" s="19">
        <v>0</v>
      </c>
      <c r="G1291" s="19">
        <v>0</v>
      </c>
      <c r="H1291" s="19">
        <v>0</v>
      </c>
      <c r="I1291" s="15">
        <v>3500</v>
      </c>
      <c r="J1291" s="15">
        <v>0</v>
      </c>
      <c r="K1291" s="15">
        <v>0</v>
      </c>
      <c r="L1291" s="15">
        <v>0</v>
      </c>
      <c r="M1291" s="15">
        <v>0</v>
      </c>
      <c r="N1291" s="15" t="str">
        <v/>
      </c>
      <c r="O1291" s="15" t="str">
        <v/>
      </c>
      <c r="P1291" s="22">
        <v>0</v>
      </c>
      <c r="Q1291">
        <v>0</v>
      </c>
    </row>
    <row r="1292" spans="1:17">
      <c r="A1292" s="19">
        <v>0</v>
      </c>
      <c r="B1292" s="19">
        <v>0</v>
      </c>
      <c r="C1292" s="19">
        <v>0</v>
      </c>
      <c r="D1292" s="19">
        <v>0</v>
      </c>
      <c r="E1292" s="19">
        <v>0</v>
      </c>
      <c r="F1292" s="19">
        <v>0</v>
      </c>
      <c r="G1292" s="19">
        <v>0</v>
      </c>
      <c r="H1292" s="19">
        <v>0</v>
      </c>
      <c r="I1292" s="15">
        <v>3500</v>
      </c>
      <c r="J1292" s="15">
        <v>0</v>
      </c>
      <c r="K1292" s="15">
        <v>0</v>
      </c>
      <c r="L1292" s="15">
        <v>0</v>
      </c>
      <c r="M1292" s="15">
        <v>0</v>
      </c>
      <c r="N1292" s="15" t="str">
        <v/>
      </c>
      <c r="O1292" s="15" t="str">
        <v/>
      </c>
      <c r="P1292" s="22">
        <v>0</v>
      </c>
      <c r="Q1292">
        <v>0</v>
      </c>
    </row>
    <row r="1293" spans="1:17">
      <c r="A1293" s="19">
        <v>0</v>
      </c>
      <c r="B1293" s="19">
        <v>0</v>
      </c>
      <c r="C1293" s="19">
        <v>0</v>
      </c>
      <c r="D1293" s="19">
        <v>0</v>
      </c>
      <c r="E1293" s="19">
        <v>0</v>
      </c>
      <c r="F1293" s="19">
        <v>0</v>
      </c>
      <c r="G1293" s="19">
        <v>0</v>
      </c>
      <c r="H1293" s="19">
        <v>0</v>
      </c>
      <c r="I1293" s="15">
        <v>3500</v>
      </c>
      <c r="J1293" s="15">
        <v>0</v>
      </c>
      <c r="K1293" s="15">
        <v>0</v>
      </c>
      <c r="L1293" s="15">
        <v>0</v>
      </c>
      <c r="M1293" s="15">
        <v>0</v>
      </c>
      <c r="N1293" s="15" t="str">
        <v/>
      </c>
      <c r="O1293" s="15" t="str">
        <v/>
      </c>
      <c r="P1293" s="22">
        <v>0</v>
      </c>
      <c r="Q1293">
        <v>0</v>
      </c>
    </row>
    <row r="1294" spans="1:17">
      <c r="A1294" s="19">
        <v>0</v>
      </c>
      <c r="B1294" s="19">
        <v>0</v>
      </c>
      <c r="C1294" s="19">
        <v>0</v>
      </c>
      <c r="D1294" s="19">
        <v>0</v>
      </c>
      <c r="E1294" s="19">
        <v>0</v>
      </c>
      <c r="F1294" s="19">
        <v>0</v>
      </c>
      <c r="G1294" s="19">
        <v>0</v>
      </c>
      <c r="H1294" s="19">
        <v>0</v>
      </c>
      <c r="I1294" s="15">
        <v>3500</v>
      </c>
      <c r="J1294" s="15">
        <v>0</v>
      </c>
      <c r="K1294" s="15">
        <v>0</v>
      </c>
      <c r="L1294" s="15">
        <v>0</v>
      </c>
      <c r="M1294" s="15">
        <v>0</v>
      </c>
      <c r="N1294" s="15" t="str">
        <v/>
      </c>
      <c r="O1294" s="15" t="str">
        <v/>
      </c>
      <c r="P1294" s="22">
        <v>0</v>
      </c>
      <c r="Q1294">
        <v>0</v>
      </c>
    </row>
    <row r="1295" spans="1:17">
      <c r="A1295" s="19">
        <v>0</v>
      </c>
      <c r="B1295" s="19">
        <v>0</v>
      </c>
      <c r="C1295" s="19">
        <v>0</v>
      </c>
      <c r="D1295" s="19">
        <v>0</v>
      </c>
      <c r="E1295" s="19">
        <v>0</v>
      </c>
      <c r="F1295" s="19">
        <v>0</v>
      </c>
      <c r="G1295" s="19">
        <v>0</v>
      </c>
      <c r="H1295" s="19">
        <v>0</v>
      </c>
      <c r="I1295" s="15">
        <v>3500</v>
      </c>
      <c r="J1295" s="15">
        <v>0</v>
      </c>
      <c r="K1295" s="15">
        <v>0</v>
      </c>
      <c r="L1295" s="15">
        <v>0</v>
      </c>
      <c r="M1295" s="15">
        <v>0</v>
      </c>
      <c r="N1295" s="15" t="str">
        <v/>
      </c>
      <c r="O1295" s="15" t="str">
        <v/>
      </c>
      <c r="P1295" s="22">
        <v>0</v>
      </c>
      <c r="Q1295">
        <v>0</v>
      </c>
    </row>
    <row r="1296" spans="1:17">
      <c r="A1296" s="19">
        <v>0</v>
      </c>
      <c r="B1296" s="19">
        <v>0</v>
      </c>
      <c r="C1296" s="19">
        <v>0</v>
      </c>
      <c r="D1296" s="19">
        <v>0</v>
      </c>
      <c r="E1296" s="19">
        <v>0</v>
      </c>
      <c r="F1296" s="19">
        <v>0</v>
      </c>
      <c r="G1296" s="19">
        <v>0</v>
      </c>
      <c r="H1296" s="19">
        <v>0</v>
      </c>
      <c r="I1296" s="15">
        <v>3500</v>
      </c>
      <c r="J1296" s="15">
        <v>0</v>
      </c>
      <c r="K1296" s="15">
        <v>0</v>
      </c>
      <c r="L1296" s="15">
        <v>0</v>
      </c>
      <c r="M1296" s="15">
        <v>0</v>
      </c>
      <c r="N1296" s="15" t="str">
        <v/>
      </c>
      <c r="O1296" s="15" t="str">
        <v/>
      </c>
      <c r="P1296" s="22">
        <v>0</v>
      </c>
      <c r="Q1296">
        <v>0</v>
      </c>
    </row>
    <row r="1297" spans="1:17">
      <c r="A1297" s="19">
        <v>0</v>
      </c>
      <c r="B1297" s="19">
        <v>0</v>
      </c>
      <c r="C1297" s="19">
        <v>0</v>
      </c>
      <c r="D1297" s="19">
        <v>0</v>
      </c>
      <c r="E1297" s="19">
        <v>0</v>
      </c>
      <c r="F1297" s="19">
        <v>0</v>
      </c>
      <c r="G1297" s="19">
        <v>0</v>
      </c>
      <c r="H1297" s="19">
        <v>0</v>
      </c>
      <c r="I1297" s="15">
        <v>3500</v>
      </c>
      <c r="J1297" s="15">
        <v>0</v>
      </c>
      <c r="K1297" s="15">
        <v>0</v>
      </c>
      <c r="L1297" s="15">
        <v>0</v>
      </c>
      <c r="M1297" s="15">
        <v>0</v>
      </c>
      <c r="N1297" s="15" t="str">
        <v/>
      </c>
      <c r="O1297" s="15" t="str">
        <v/>
      </c>
      <c r="P1297" s="22">
        <v>0</v>
      </c>
      <c r="Q1297">
        <v>0</v>
      </c>
    </row>
    <row r="1298" spans="1:17">
      <c r="A1298" s="19">
        <v>0</v>
      </c>
      <c r="B1298" s="19">
        <v>0</v>
      </c>
      <c r="C1298" s="19">
        <v>0</v>
      </c>
      <c r="D1298" s="19">
        <v>0</v>
      </c>
      <c r="E1298" s="19">
        <v>0</v>
      </c>
      <c r="F1298" s="19">
        <v>0</v>
      </c>
      <c r="G1298" s="19">
        <v>0</v>
      </c>
      <c r="H1298" s="19">
        <v>0</v>
      </c>
      <c r="I1298" s="15">
        <v>3500</v>
      </c>
      <c r="J1298" s="15">
        <v>0</v>
      </c>
      <c r="K1298" s="15">
        <v>0</v>
      </c>
      <c r="L1298" s="15">
        <v>0</v>
      </c>
      <c r="M1298" s="15">
        <v>0</v>
      </c>
      <c r="N1298" s="15" t="str">
        <v/>
      </c>
      <c r="O1298" s="15" t="str">
        <v/>
      </c>
      <c r="P1298" s="22">
        <v>0</v>
      </c>
      <c r="Q1298">
        <v>0</v>
      </c>
    </row>
    <row r="1299" spans="1:17">
      <c r="A1299" s="19">
        <v>0</v>
      </c>
      <c r="B1299" s="19">
        <v>0</v>
      </c>
      <c r="C1299" s="19">
        <v>0</v>
      </c>
      <c r="D1299" s="19">
        <v>0</v>
      </c>
      <c r="E1299" s="19">
        <v>0</v>
      </c>
      <c r="F1299" s="19">
        <v>0</v>
      </c>
      <c r="G1299" s="19">
        <v>0</v>
      </c>
      <c r="H1299" s="19">
        <v>0</v>
      </c>
      <c r="I1299" s="15">
        <v>3500</v>
      </c>
      <c r="J1299" s="15">
        <v>0</v>
      </c>
      <c r="K1299" s="15">
        <v>0</v>
      </c>
      <c r="L1299" s="15">
        <v>0</v>
      </c>
      <c r="M1299" s="15">
        <v>0</v>
      </c>
      <c r="N1299" s="15" t="str">
        <v/>
      </c>
      <c r="O1299" s="15" t="str">
        <v/>
      </c>
      <c r="P1299" s="22">
        <v>0</v>
      </c>
      <c r="Q1299">
        <v>0</v>
      </c>
    </row>
    <row r="1300" spans="1:17">
      <c r="A1300" s="19">
        <v>0</v>
      </c>
      <c r="B1300" s="19">
        <v>0</v>
      </c>
      <c r="C1300" s="19">
        <v>0</v>
      </c>
      <c r="D1300" s="19">
        <v>0</v>
      </c>
      <c r="E1300" s="19">
        <v>0</v>
      </c>
      <c r="F1300" s="19">
        <v>0</v>
      </c>
      <c r="G1300" s="19">
        <v>0</v>
      </c>
      <c r="H1300" s="19">
        <v>0</v>
      </c>
      <c r="I1300" s="15">
        <v>3500</v>
      </c>
      <c r="J1300" s="15">
        <v>0</v>
      </c>
      <c r="K1300" s="15">
        <v>0</v>
      </c>
      <c r="L1300" s="15">
        <v>0</v>
      </c>
      <c r="M1300" s="15">
        <v>0</v>
      </c>
      <c r="N1300" s="15" t="str">
        <v/>
      </c>
      <c r="O1300" s="15" t="str">
        <v/>
      </c>
      <c r="P1300" s="22">
        <v>0</v>
      </c>
      <c r="Q1300">
        <v>0</v>
      </c>
    </row>
    <row r="1301" spans="1:17">
      <c r="A1301" s="19">
        <v>0</v>
      </c>
      <c r="B1301" s="19">
        <v>0</v>
      </c>
      <c r="C1301" s="19">
        <v>0</v>
      </c>
      <c r="D1301" s="19">
        <v>0</v>
      </c>
      <c r="E1301" s="19">
        <v>0</v>
      </c>
      <c r="F1301" s="19">
        <v>0</v>
      </c>
      <c r="G1301" s="19">
        <v>0</v>
      </c>
      <c r="H1301" s="19">
        <v>0</v>
      </c>
      <c r="I1301" s="15">
        <v>3500</v>
      </c>
      <c r="J1301" s="15">
        <v>0</v>
      </c>
      <c r="K1301" s="15">
        <v>0</v>
      </c>
      <c r="L1301" s="15">
        <v>0</v>
      </c>
      <c r="M1301" s="15">
        <v>0</v>
      </c>
      <c r="N1301" s="15" t="str">
        <v/>
      </c>
      <c r="O1301" s="15" t="str">
        <v/>
      </c>
      <c r="P1301" s="22">
        <v>0</v>
      </c>
      <c r="Q1301">
        <v>0</v>
      </c>
    </row>
    <row r="1302" spans="1:17">
      <c r="A1302" s="19">
        <v>0</v>
      </c>
      <c r="B1302" s="19">
        <v>0</v>
      </c>
      <c r="C1302" s="19">
        <v>0</v>
      </c>
      <c r="D1302" s="19">
        <v>0</v>
      </c>
      <c r="E1302" s="19">
        <v>0</v>
      </c>
      <c r="F1302" s="19">
        <v>0</v>
      </c>
      <c r="G1302" s="19">
        <v>0</v>
      </c>
      <c r="H1302" s="19">
        <v>0</v>
      </c>
      <c r="I1302" s="15">
        <v>3500</v>
      </c>
      <c r="J1302" s="15">
        <v>0</v>
      </c>
      <c r="K1302" s="15">
        <v>0</v>
      </c>
      <c r="L1302" s="15">
        <v>0</v>
      </c>
      <c r="M1302" s="15">
        <v>0</v>
      </c>
      <c r="N1302" s="15" t="str">
        <v/>
      </c>
      <c r="O1302" s="15" t="str">
        <v/>
      </c>
      <c r="P1302" s="22">
        <v>0</v>
      </c>
      <c r="Q1302">
        <v>0</v>
      </c>
    </row>
    <row r="1303" spans="1:17">
      <c r="A1303" s="19">
        <v>0</v>
      </c>
      <c r="B1303" s="19">
        <v>0</v>
      </c>
      <c r="C1303" s="19">
        <v>0</v>
      </c>
      <c r="D1303" s="19">
        <v>0</v>
      </c>
      <c r="E1303" s="19">
        <v>0</v>
      </c>
      <c r="F1303" s="19">
        <v>0</v>
      </c>
      <c r="G1303" s="19">
        <v>0</v>
      </c>
      <c r="H1303" s="19">
        <v>0</v>
      </c>
      <c r="I1303" s="15">
        <v>3500</v>
      </c>
      <c r="J1303" s="15">
        <v>0</v>
      </c>
      <c r="K1303" s="15">
        <v>0</v>
      </c>
      <c r="L1303" s="15">
        <v>0</v>
      </c>
      <c r="M1303" s="15">
        <v>0</v>
      </c>
      <c r="N1303" s="15" t="str">
        <v/>
      </c>
      <c r="O1303" s="15" t="str">
        <v/>
      </c>
      <c r="P1303" s="22">
        <v>0</v>
      </c>
      <c r="Q1303">
        <v>0</v>
      </c>
    </row>
    <row r="1304" spans="1:17">
      <c r="A1304" s="19">
        <v>0</v>
      </c>
      <c r="B1304" s="19">
        <v>0</v>
      </c>
      <c r="C1304" s="19">
        <v>0</v>
      </c>
      <c r="D1304" s="19">
        <v>0</v>
      </c>
      <c r="E1304" s="19">
        <v>0</v>
      </c>
      <c r="F1304" s="19">
        <v>0</v>
      </c>
      <c r="G1304" s="19">
        <v>0</v>
      </c>
      <c r="H1304" s="19">
        <v>0</v>
      </c>
      <c r="I1304" s="15">
        <v>3500</v>
      </c>
      <c r="J1304" s="15">
        <v>0</v>
      </c>
      <c r="K1304" s="15">
        <v>0</v>
      </c>
      <c r="L1304" s="15">
        <v>0</v>
      </c>
      <c r="M1304" s="15">
        <v>0</v>
      </c>
      <c r="N1304" s="15" t="str">
        <v/>
      </c>
      <c r="O1304" s="15" t="str">
        <v/>
      </c>
      <c r="P1304" s="22">
        <v>0</v>
      </c>
      <c r="Q1304">
        <v>0</v>
      </c>
    </row>
    <row r="1305" spans="1:17">
      <c r="A1305" s="19">
        <v>0</v>
      </c>
      <c r="B1305" s="19">
        <v>0</v>
      </c>
      <c r="C1305" s="19">
        <v>0</v>
      </c>
      <c r="D1305" s="19">
        <v>0</v>
      </c>
      <c r="E1305" s="19">
        <v>0</v>
      </c>
      <c r="F1305" s="19">
        <v>0</v>
      </c>
      <c r="G1305" s="19">
        <v>0</v>
      </c>
      <c r="H1305" s="19">
        <v>0</v>
      </c>
      <c r="I1305" s="15">
        <v>3500</v>
      </c>
      <c r="J1305" s="15">
        <v>0</v>
      </c>
      <c r="K1305" s="15">
        <v>0</v>
      </c>
      <c r="L1305" s="15">
        <v>0</v>
      </c>
      <c r="M1305" s="15">
        <v>0</v>
      </c>
      <c r="N1305" s="15" t="str">
        <v/>
      </c>
      <c r="O1305" s="15" t="str">
        <v/>
      </c>
      <c r="P1305" s="22">
        <v>0</v>
      </c>
      <c r="Q1305">
        <v>0</v>
      </c>
    </row>
    <row r="1306" spans="1:17">
      <c r="A1306" s="19">
        <v>0</v>
      </c>
      <c r="B1306" s="19">
        <v>0</v>
      </c>
      <c r="C1306" s="19">
        <v>0</v>
      </c>
      <c r="D1306" s="19">
        <v>0</v>
      </c>
      <c r="E1306" s="19">
        <v>0</v>
      </c>
      <c r="F1306" s="19">
        <v>0</v>
      </c>
      <c r="G1306" s="19">
        <v>0</v>
      </c>
      <c r="H1306" s="19">
        <v>0</v>
      </c>
      <c r="I1306" s="15">
        <v>3500</v>
      </c>
      <c r="J1306" s="15">
        <v>0</v>
      </c>
      <c r="K1306" s="15">
        <v>0</v>
      </c>
      <c r="L1306" s="15">
        <v>0</v>
      </c>
      <c r="M1306" s="15">
        <v>0</v>
      </c>
      <c r="N1306" s="15" t="str">
        <v/>
      </c>
      <c r="O1306" s="15" t="str">
        <v/>
      </c>
      <c r="P1306" s="22">
        <v>0</v>
      </c>
      <c r="Q1306">
        <v>0</v>
      </c>
    </row>
    <row r="1307" spans="1:17">
      <c r="A1307" s="19">
        <v>0</v>
      </c>
      <c r="B1307" s="19">
        <v>0</v>
      </c>
      <c r="C1307" s="19">
        <v>0</v>
      </c>
      <c r="D1307" s="19">
        <v>0</v>
      </c>
      <c r="E1307" s="19">
        <v>0</v>
      </c>
      <c r="F1307" s="19">
        <v>0</v>
      </c>
      <c r="G1307" s="19">
        <v>0</v>
      </c>
      <c r="H1307" s="19">
        <v>0</v>
      </c>
      <c r="I1307" s="15">
        <v>3500</v>
      </c>
      <c r="J1307" s="15">
        <v>0</v>
      </c>
      <c r="K1307" s="15">
        <v>0</v>
      </c>
      <c r="L1307" s="15">
        <v>0</v>
      </c>
      <c r="M1307" s="15">
        <v>0</v>
      </c>
      <c r="N1307" s="15" t="str">
        <v/>
      </c>
      <c r="O1307" s="15" t="str">
        <v/>
      </c>
      <c r="P1307" s="22">
        <v>0</v>
      </c>
      <c r="Q1307">
        <v>0</v>
      </c>
    </row>
    <row r="1308" spans="1:17">
      <c r="A1308" s="19">
        <v>0</v>
      </c>
      <c r="B1308" s="19">
        <v>0</v>
      </c>
      <c r="C1308" s="19">
        <v>0</v>
      </c>
      <c r="D1308" s="19">
        <v>0</v>
      </c>
      <c r="E1308" s="19">
        <v>0</v>
      </c>
      <c r="F1308" s="19">
        <v>0</v>
      </c>
      <c r="G1308" s="19">
        <v>0</v>
      </c>
      <c r="H1308" s="19">
        <v>0</v>
      </c>
      <c r="I1308" s="15">
        <v>3500</v>
      </c>
      <c r="J1308" s="15">
        <v>0</v>
      </c>
      <c r="K1308" s="15">
        <v>0</v>
      </c>
      <c r="L1308" s="15">
        <v>0</v>
      </c>
      <c r="M1308" s="15">
        <v>0</v>
      </c>
      <c r="N1308" s="15" t="str">
        <v/>
      </c>
      <c r="O1308" s="15" t="str">
        <v/>
      </c>
      <c r="P1308" s="22">
        <v>0</v>
      </c>
      <c r="Q1308">
        <v>0</v>
      </c>
    </row>
    <row r="1309" spans="1:17">
      <c r="A1309" s="19">
        <v>0</v>
      </c>
      <c r="B1309" s="19">
        <v>0</v>
      </c>
      <c r="C1309" s="19">
        <v>0</v>
      </c>
      <c r="D1309" s="19">
        <v>0</v>
      </c>
      <c r="E1309" s="19">
        <v>0</v>
      </c>
      <c r="F1309" s="19">
        <v>0</v>
      </c>
      <c r="G1309" s="19">
        <v>0</v>
      </c>
      <c r="H1309" s="19">
        <v>0</v>
      </c>
      <c r="I1309" s="15">
        <v>3500</v>
      </c>
      <c r="J1309" s="15">
        <v>0</v>
      </c>
      <c r="K1309" s="15">
        <v>0</v>
      </c>
      <c r="L1309" s="15">
        <v>0</v>
      </c>
      <c r="M1309" s="15">
        <v>0</v>
      </c>
      <c r="N1309" s="15" t="str">
        <v/>
      </c>
      <c r="O1309" s="15" t="str">
        <v/>
      </c>
      <c r="P1309" s="22">
        <v>0</v>
      </c>
      <c r="Q1309">
        <v>0</v>
      </c>
    </row>
    <row r="1310" spans="1:17">
      <c r="A1310" s="19">
        <v>0</v>
      </c>
      <c r="B1310" s="19">
        <v>0</v>
      </c>
      <c r="C1310" s="19">
        <v>0</v>
      </c>
      <c r="D1310" s="19">
        <v>0</v>
      </c>
      <c r="E1310" s="19">
        <v>0</v>
      </c>
      <c r="F1310" s="19">
        <v>0</v>
      </c>
      <c r="G1310" s="19">
        <v>0</v>
      </c>
      <c r="H1310" s="19">
        <v>0</v>
      </c>
      <c r="I1310" s="15">
        <v>3500</v>
      </c>
      <c r="J1310" s="15">
        <v>0</v>
      </c>
      <c r="K1310" s="15">
        <v>0</v>
      </c>
      <c r="L1310" s="15">
        <v>0</v>
      </c>
      <c r="M1310" s="15">
        <v>0</v>
      </c>
      <c r="N1310" s="15" t="str">
        <v/>
      </c>
      <c r="O1310" s="15" t="str">
        <v/>
      </c>
      <c r="P1310" s="22">
        <v>0</v>
      </c>
      <c r="Q1310">
        <v>0</v>
      </c>
    </row>
    <row r="1311" spans="1:17">
      <c r="A1311" s="19">
        <v>0</v>
      </c>
      <c r="B1311" s="19">
        <v>0</v>
      </c>
      <c r="C1311" s="19">
        <v>0</v>
      </c>
      <c r="D1311" s="19">
        <v>0</v>
      </c>
      <c r="E1311" s="19">
        <v>0</v>
      </c>
      <c r="F1311" s="19">
        <v>0</v>
      </c>
      <c r="G1311" s="19">
        <v>0</v>
      </c>
      <c r="H1311" s="19">
        <v>0</v>
      </c>
      <c r="I1311" s="15">
        <v>3500</v>
      </c>
      <c r="J1311" s="15">
        <v>0</v>
      </c>
      <c r="K1311" s="15">
        <v>0</v>
      </c>
      <c r="L1311" s="15">
        <v>0</v>
      </c>
      <c r="M1311" s="15">
        <v>0</v>
      </c>
      <c r="N1311" s="15" t="str">
        <v/>
      </c>
      <c r="O1311" s="15" t="str">
        <v/>
      </c>
      <c r="P1311" s="22">
        <v>0</v>
      </c>
      <c r="Q1311">
        <v>0</v>
      </c>
    </row>
    <row r="1312" spans="1:17">
      <c r="A1312" s="19">
        <v>0</v>
      </c>
      <c r="B1312" s="19">
        <v>0</v>
      </c>
      <c r="C1312" s="19">
        <v>0</v>
      </c>
      <c r="D1312" s="19">
        <v>0</v>
      </c>
      <c r="E1312" s="19">
        <v>0</v>
      </c>
      <c r="F1312" s="19">
        <v>0</v>
      </c>
      <c r="G1312" s="19">
        <v>0</v>
      </c>
      <c r="H1312" s="19">
        <v>0</v>
      </c>
      <c r="I1312" s="15">
        <v>3500</v>
      </c>
      <c r="J1312" s="15">
        <v>0</v>
      </c>
      <c r="K1312" s="15">
        <v>0</v>
      </c>
      <c r="L1312" s="15">
        <v>0</v>
      </c>
      <c r="M1312" s="15">
        <v>0</v>
      </c>
      <c r="N1312" s="15" t="str">
        <v/>
      </c>
      <c r="O1312" s="15" t="str">
        <v/>
      </c>
      <c r="P1312" s="22">
        <v>0</v>
      </c>
      <c r="Q1312">
        <v>0</v>
      </c>
    </row>
    <row r="1313" spans="1:17">
      <c r="A1313" s="19">
        <v>0</v>
      </c>
      <c r="B1313" s="19">
        <v>0</v>
      </c>
      <c r="C1313" s="19">
        <v>0</v>
      </c>
      <c r="D1313" s="19">
        <v>0</v>
      </c>
      <c r="E1313" s="19">
        <v>0</v>
      </c>
      <c r="F1313" s="19">
        <v>0</v>
      </c>
      <c r="G1313" s="19">
        <v>0</v>
      </c>
      <c r="H1313" s="19">
        <v>0</v>
      </c>
      <c r="I1313" s="15">
        <v>3500</v>
      </c>
      <c r="J1313" s="15">
        <v>0</v>
      </c>
      <c r="K1313" s="15">
        <v>0</v>
      </c>
      <c r="L1313" s="15">
        <v>0</v>
      </c>
      <c r="M1313" s="15">
        <v>0</v>
      </c>
      <c r="N1313" s="15" t="str">
        <v/>
      </c>
      <c r="O1313" s="15" t="str">
        <v/>
      </c>
      <c r="P1313" s="22">
        <v>0</v>
      </c>
      <c r="Q1313">
        <v>0</v>
      </c>
    </row>
    <row r="1314" spans="1:17">
      <c r="A1314" s="19">
        <v>0</v>
      </c>
      <c r="B1314" s="19">
        <v>0</v>
      </c>
      <c r="C1314" s="19">
        <v>0</v>
      </c>
      <c r="D1314" s="19">
        <v>0</v>
      </c>
      <c r="E1314" s="19">
        <v>0</v>
      </c>
      <c r="F1314" s="19">
        <v>0</v>
      </c>
      <c r="G1314" s="19">
        <v>0</v>
      </c>
      <c r="H1314" s="19">
        <v>0</v>
      </c>
      <c r="I1314" s="15">
        <v>3500</v>
      </c>
      <c r="J1314" s="15">
        <v>0</v>
      </c>
      <c r="K1314" s="15">
        <v>0</v>
      </c>
      <c r="L1314" s="15">
        <v>0</v>
      </c>
      <c r="M1314" s="15">
        <v>0</v>
      </c>
      <c r="N1314" s="15" t="str">
        <v/>
      </c>
      <c r="O1314" s="15" t="str">
        <v/>
      </c>
      <c r="P1314" s="22">
        <v>0</v>
      </c>
      <c r="Q1314">
        <v>0</v>
      </c>
    </row>
    <row r="1315" spans="1:17">
      <c r="A1315" s="19">
        <v>0</v>
      </c>
      <c r="B1315" s="19">
        <v>0</v>
      </c>
      <c r="C1315" s="19">
        <v>0</v>
      </c>
      <c r="D1315" s="19">
        <v>0</v>
      </c>
      <c r="E1315" s="19">
        <v>0</v>
      </c>
      <c r="F1315" s="19">
        <v>0</v>
      </c>
      <c r="G1315" s="19">
        <v>0</v>
      </c>
      <c r="H1315" s="19">
        <v>0</v>
      </c>
      <c r="I1315" s="15">
        <v>3500</v>
      </c>
      <c r="J1315" s="15">
        <v>0</v>
      </c>
      <c r="K1315" s="15">
        <v>0</v>
      </c>
      <c r="L1315" s="15">
        <v>0</v>
      </c>
      <c r="M1315" s="15">
        <v>0</v>
      </c>
      <c r="N1315" s="15" t="str">
        <v/>
      </c>
      <c r="O1315" s="15" t="str">
        <v/>
      </c>
      <c r="P1315" s="22">
        <v>0</v>
      </c>
      <c r="Q1315">
        <v>0</v>
      </c>
    </row>
    <row r="1316" spans="1:17">
      <c r="A1316" s="19">
        <v>0</v>
      </c>
      <c r="B1316" s="19">
        <v>0</v>
      </c>
      <c r="C1316" s="19">
        <v>0</v>
      </c>
      <c r="D1316" s="19">
        <v>0</v>
      </c>
      <c r="E1316" s="19">
        <v>0</v>
      </c>
      <c r="F1316" s="19">
        <v>0</v>
      </c>
      <c r="G1316" s="19">
        <v>0</v>
      </c>
      <c r="H1316" s="19">
        <v>0</v>
      </c>
      <c r="I1316" s="15">
        <v>3500</v>
      </c>
      <c r="J1316" s="15">
        <v>0</v>
      </c>
      <c r="K1316" s="15">
        <v>0</v>
      </c>
      <c r="L1316" s="15">
        <v>0</v>
      </c>
      <c r="M1316" s="15">
        <v>0</v>
      </c>
      <c r="N1316" s="15" t="str">
        <v/>
      </c>
      <c r="O1316" s="15" t="str">
        <v/>
      </c>
      <c r="P1316" s="22">
        <v>0</v>
      </c>
      <c r="Q1316">
        <v>0</v>
      </c>
    </row>
    <row r="1317" spans="1:17">
      <c r="A1317" s="19">
        <v>0</v>
      </c>
      <c r="B1317" s="19">
        <v>0</v>
      </c>
      <c r="C1317" s="19">
        <v>0</v>
      </c>
      <c r="D1317" s="19">
        <v>0</v>
      </c>
      <c r="E1317" s="19">
        <v>0</v>
      </c>
      <c r="F1317" s="19">
        <v>0</v>
      </c>
      <c r="G1317" s="19">
        <v>0</v>
      </c>
      <c r="H1317" s="19">
        <v>0</v>
      </c>
      <c r="I1317" s="15">
        <v>3500</v>
      </c>
      <c r="J1317" s="15">
        <v>0</v>
      </c>
      <c r="K1317" s="15">
        <v>0</v>
      </c>
      <c r="L1317" s="15">
        <v>0</v>
      </c>
      <c r="M1317" s="15">
        <v>0</v>
      </c>
      <c r="N1317" s="15" t="str">
        <v/>
      </c>
      <c r="O1317" s="15" t="str">
        <v/>
      </c>
      <c r="P1317" s="22">
        <v>0</v>
      </c>
      <c r="Q1317">
        <v>0</v>
      </c>
    </row>
    <row r="1318" spans="1:17">
      <c r="A1318" s="19">
        <v>0</v>
      </c>
      <c r="B1318" s="19">
        <v>0</v>
      </c>
      <c r="C1318" s="19">
        <v>0</v>
      </c>
      <c r="D1318" s="19">
        <v>0</v>
      </c>
      <c r="E1318" s="19">
        <v>0</v>
      </c>
      <c r="F1318" s="19">
        <v>0</v>
      </c>
      <c r="G1318" s="19">
        <v>0</v>
      </c>
      <c r="H1318" s="19">
        <v>0</v>
      </c>
      <c r="I1318" s="15">
        <v>3500</v>
      </c>
      <c r="J1318" s="15">
        <v>0</v>
      </c>
      <c r="K1318" s="15">
        <v>0</v>
      </c>
      <c r="L1318" s="15">
        <v>0</v>
      </c>
      <c r="M1318" s="15">
        <v>0</v>
      </c>
      <c r="N1318" s="15" t="str">
        <v/>
      </c>
      <c r="O1318" s="15" t="str">
        <v/>
      </c>
      <c r="P1318" s="22">
        <v>0</v>
      </c>
      <c r="Q1318">
        <v>0</v>
      </c>
    </row>
    <row r="1319" spans="1:17">
      <c r="A1319" s="19">
        <v>0</v>
      </c>
      <c r="B1319" s="19">
        <v>0</v>
      </c>
      <c r="C1319" s="19">
        <v>0</v>
      </c>
      <c r="D1319" s="19">
        <v>0</v>
      </c>
      <c r="E1319" s="19">
        <v>0</v>
      </c>
      <c r="F1319" s="19">
        <v>0</v>
      </c>
      <c r="G1319" s="19">
        <v>0</v>
      </c>
      <c r="H1319" s="19">
        <v>0</v>
      </c>
      <c r="I1319" s="15">
        <v>3500</v>
      </c>
      <c r="J1319" s="15">
        <v>0</v>
      </c>
      <c r="K1319" s="15">
        <v>0</v>
      </c>
      <c r="L1319" s="15">
        <v>0</v>
      </c>
      <c r="M1319" s="15">
        <v>0</v>
      </c>
      <c r="N1319" s="15" t="str">
        <v/>
      </c>
      <c r="O1319" s="15" t="str">
        <v/>
      </c>
      <c r="P1319" s="22">
        <v>0</v>
      </c>
      <c r="Q1319">
        <v>0</v>
      </c>
    </row>
    <row r="1320" spans="1:17">
      <c r="A1320" s="19">
        <v>0</v>
      </c>
      <c r="B1320" s="19">
        <v>0</v>
      </c>
      <c r="C1320" s="19">
        <v>0</v>
      </c>
      <c r="D1320" s="19">
        <v>0</v>
      </c>
      <c r="E1320" s="19">
        <v>0</v>
      </c>
      <c r="F1320" s="19">
        <v>0</v>
      </c>
      <c r="G1320" s="19">
        <v>0</v>
      </c>
      <c r="H1320" s="19">
        <v>0</v>
      </c>
      <c r="I1320" s="15">
        <v>3500</v>
      </c>
      <c r="J1320" s="15">
        <v>0</v>
      </c>
      <c r="K1320" s="15">
        <v>0</v>
      </c>
      <c r="L1320" s="15">
        <v>0</v>
      </c>
      <c r="M1320" s="15">
        <v>0</v>
      </c>
      <c r="N1320" s="15" t="str">
        <v/>
      </c>
      <c r="O1320" s="15" t="str">
        <v/>
      </c>
      <c r="P1320" s="22">
        <v>0</v>
      </c>
      <c r="Q1320">
        <v>0</v>
      </c>
    </row>
    <row r="1321" spans="1:17">
      <c r="A1321" s="19">
        <v>0</v>
      </c>
      <c r="B1321" s="19">
        <v>0</v>
      </c>
      <c r="C1321" s="19">
        <v>0</v>
      </c>
      <c r="D1321" s="19">
        <v>0</v>
      </c>
      <c r="E1321" s="19">
        <v>0</v>
      </c>
      <c r="F1321" s="19">
        <v>0</v>
      </c>
      <c r="G1321" s="19">
        <v>0</v>
      </c>
      <c r="H1321" s="19">
        <v>0</v>
      </c>
      <c r="I1321" s="15">
        <v>3500</v>
      </c>
      <c r="J1321" s="15">
        <v>0</v>
      </c>
      <c r="K1321" s="15">
        <v>0</v>
      </c>
      <c r="L1321" s="15">
        <v>0</v>
      </c>
      <c r="M1321" s="15">
        <v>0</v>
      </c>
      <c r="N1321" s="15" t="str">
        <v/>
      </c>
      <c r="O1321" s="15" t="str">
        <v/>
      </c>
      <c r="P1321" s="22">
        <v>0</v>
      </c>
      <c r="Q1321">
        <v>0</v>
      </c>
    </row>
    <row r="1322" spans="1:17">
      <c r="A1322" s="19">
        <v>0</v>
      </c>
      <c r="B1322" s="19">
        <v>0</v>
      </c>
      <c r="C1322" s="19">
        <v>0</v>
      </c>
      <c r="D1322" s="19">
        <v>0</v>
      </c>
      <c r="E1322" s="19">
        <v>0</v>
      </c>
      <c r="F1322" s="19">
        <v>0</v>
      </c>
      <c r="G1322" s="19">
        <v>0</v>
      </c>
      <c r="H1322" s="19">
        <v>0</v>
      </c>
      <c r="I1322" s="15">
        <v>3500</v>
      </c>
      <c r="J1322" s="15">
        <v>0</v>
      </c>
      <c r="K1322" s="15">
        <v>0</v>
      </c>
      <c r="L1322" s="15">
        <v>0</v>
      </c>
      <c r="M1322" s="15">
        <v>0</v>
      </c>
      <c r="N1322" s="15" t="str">
        <v/>
      </c>
      <c r="O1322" s="15" t="str">
        <v/>
      </c>
      <c r="P1322" s="22">
        <v>0</v>
      </c>
      <c r="Q1322">
        <v>0</v>
      </c>
    </row>
    <row r="1323" spans="1:17">
      <c r="A1323" s="19">
        <v>0</v>
      </c>
      <c r="B1323" s="19">
        <v>0</v>
      </c>
      <c r="C1323" s="19">
        <v>0</v>
      </c>
      <c r="D1323" s="19">
        <v>0</v>
      </c>
      <c r="E1323" s="19">
        <v>0</v>
      </c>
      <c r="F1323" s="19">
        <v>0</v>
      </c>
      <c r="G1323" s="19">
        <v>0</v>
      </c>
      <c r="H1323" s="19">
        <v>0</v>
      </c>
      <c r="I1323" s="15">
        <v>3500</v>
      </c>
      <c r="J1323" s="15">
        <v>0</v>
      </c>
      <c r="K1323" s="15">
        <v>0</v>
      </c>
      <c r="L1323" s="15">
        <v>0</v>
      </c>
      <c r="M1323" s="15">
        <v>0</v>
      </c>
      <c r="N1323" s="15" t="str">
        <v/>
      </c>
      <c r="O1323" s="15" t="str">
        <v/>
      </c>
      <c r="P1323" s="22">
        <v>0</v>
      </c>
      <c r="Q1323">
        <v>0</v>
      </c>
    </row>
    <row r="1324" spans="1:17">
      <c r="A1324" s="19">
        <v>0</v>
      </c>
      <c r="B1324" s="19">
        <v>0</v>
      </c>
      <c r="C1324" s="19">
        <v>0</v>
      </c>
      <c r="D1324" s="19">
        <v>0</v>
      </c>
      <c r="E1324" s="19">
        <v>0</v>
      </c>
      <c r="F1324" s="19">
        <v>0</v>
      </c>
      <c r="G1324" s="19">
        <v>0</v>
      </c>
      <c r="H1324" s="19">
        <v>0</v>
      </c>
      <c r="I1324" s="15">
        <v>3500</v>
      </c>
      <c r="J1324" s="15">
        <v>0</v>
      </c>
      <c r="K1324" s="15">
        <v>0</v>
      </c>
      <c r="L1324" s="15">
        <v>0</v>
      </c>
      <c r="M1324" s="15">
        <v>0</v>
      </c>
      <c r="N1324" s="15" t="str">
        <v/>
      </c>
      <c r="O1324" s="15" t="str">
        <v/>
      </c>
      <c r="P1324" s="22">
        <v>0</v>
      </c>
      <c r="Q1324">
        <v>0</v>
      </c>
    </row>
    <row r="1325" spans="1:17">
      <c r="A1325" s="19">
        <v>0</v>
      </c>
      <c r="B1325" s="19">
        <v>0</v>
      </c>
      <c r="C1325" s="19">
        <v>0</v>
      </c>
      <c r="D1325" s="19">
        <v>0</v>
      </c>
      <c r="E1325" s="19">
        <v>0</v>
      </c>
      <c r="F1325" s="19">
        <v>0</v>
      </c>
      <c r="G1325" s="19">
        <v>0</v>
      </c>
      <c r="H1325" s="19">
        <v>0</v>
      </c>
      <c r="I1325" s="15">
        <v>3500</v>
      </c>
      <c r="J1325" s="15">
        <v>0</v>
      </c>
      <c r="K1325" s="15">
        <v>0</v>
      </c>
      <c r="L1325" s="15">
        <v>0</v>
      </c>
      <c r="M1325" s="15">
        <v>0</v>
      </c>
      <c r="N1325" s="15" t="str">
        <v/>
      </c>
      <c r="O1325" s="15" t="str">
        <v/>
      </c>
      <c r="P1325" s="22">
        <v>0</v>
      </c>
      <c r="Q1325">
        <v>0</v>
      </c>
    </row>
    <row r="1326" spans="1:17">
      <c r="A1326" s="19">
        <v>0</v>
      </c>
      <c r="B1326" s="19">
        <v>0</v>
      </c>
      <c r="C1326" s="19">
        <v>0</v>
      </c>
      <c r="D1326" s="19">
        <v>0</v>
      </c>
      <c r="E1326" s="19">
        <v>0</v>
      </c>
      <c r="F1326" s="19">
        <v>0</v>
      </c>
      <c r="G1326" s="19">
        <v>0</v>
      </c>
      <c r="H1326" s="19">
        <v>0</v>
      </c>
      <c r="I1326" s="15">
        <v>3500</v>
      </c>
      <c r="J1326" s="15">
        <v>0</v>
      </c>
      <c r="K1326" s="15">
        <v>0</v>
      </c>
      <c r="L1326" s="15">
        <v>0</v>
      </c>
      <c r="M1326" s="15">
        <v>0</v>
      </c>
      <c r="N1326" s="15" t="str">
        <v/>
      </c>
      <c r="O1326" s="15" t="str">
        <v/>
      </c>
      <c r="P1326" s="22">
        <v>0</v>
      </c>
      <c r="Q1326">
        <v>0</v>
      </c>
    </row>
    <row r="1327" spans="1:17">
      <c r="A1327" s="19">
        <v>0</v>
      </c>
      <c r="B1327" s="19">
        <v>0</v>
      </c>
      <c r="C1327" s="19">
        <v>0</v>
      </c>
      <c r="D1327" s="19">
        <v>0</v>
      </c>
      <c r="E1327" s="19">
        <v>0</v>
      </c>
      <c r="F1327" s="19">
        <v>0</v>
      </c>
      <c r="G1327" s="19">
        <v>0</v>
      </c>
      <c r="H1327" s="19">
        <v>0</v>
      </c>
      <c r="I1327" s="15">
        <v>3500</v>
      </c>
      <c r="J1327" s="15">
        <v>0</v>
      </c>
      <c r="K1327" s="15">
        <v>0</v>
      </c>
      <c r="L1327" s="15">
        <v>0</v>
      </c>
      <c r="M1327" s="15">
        <v>0</v>
      </c>
      <c r="N1327" s="15" t="str">
        <v/>
      </c>
      <c r="O1327" s="15" t="str">
        <v/>
      </c>
      <c r="P1327" s="22">
        <v>0</v>
      </c>
      <c r="Q1327">
        <v>0</v>
      </c>
    </row>
    <row r="1328" spans="1:17">
      <c r="A1328" s="19">
        <v>0</v>
      </c>
      <c r="B1328" s="19">
        <v>0</v>
      </c>
      <c r="C1328" s="19">
        <v>0</v>
      </c>
      <c r="D1328" s="19">
        <v>0</v>
      </c>
      <c r="E1328" s="19">
        <v>0</v>
      </c>
      <c r="F1328" s="19">
        <v>0</v>
      </c>
      <c r="G1328" s="19">
        <v>0</v>
      </c>
      <c r="H1328" s="19">
        <v>0</v>
      </c>
      <c r="I1328" s="15">
        <v>3500</v>
      </c>
      <c r="J1328" s="15">
        <v>0</v>
      </c>
      <c r="K1328" s="15">
        <v>0</v>
      </c>
      <c r="L1328" s="15">
        <v>0</v>
      </c>
      <c r="M1328" s="15">
        <v>0</v>
      </c>
      <c r="N1328" s="15" t="str">
        <v/>
      </c>
      <c r="O1328" s="15" t="str">
        <v/>
      </c>
      <c r="P1328" s="22">
        <v>0</v>
      </c>
      <c r="Q1328">
        <v>0</v>
      </c>
    </row>
    <row r="1329" spans="1:17">
      <c r="A1329" s="19">
        <v>0</v>
      </c>
      <c r="B1329" s="19">
        <v>0</v>
      </c>
      <c r="C1329" s="19">
        <v>0</v>
      </c>
      <c r="D1329" s="19">
        <v>0</v>
      </c>
      <c r="E1329" s="19">
        <v>0</v>
      </c>
      <c r="F1329" s="19">
        <v>0</v>
      </c>
      <c r="G1329" s="19">
        <v>0</v>
      </c>
      <c r="H1329" s="19">
        <v>0</v>
      </c>
      <c r="I1329" s="15">
        <v>3500</v>
      </c>
      <c r="J1329" s="15">
        <v>0</v>
      </c>
      <c r="K1329" s="15">
        <v>0</v>
      </c>
      <c r="L1329" s="15">
        <v>0</v>
      </c>
      <c r="M1329" s="15">
        <v>0</v>
      </c>
      <c r="N1329" s="15" t="str">
        <v/>
      </c>
      <c r="O1329" s="15" t="str">
        <v/>
      </c>
      <c r="P1329" s="22">
        <v>0</v>
      </c>
      <c r="Q1329">
        <v>0</v>
      </c>
    </row>
    <row r="1330" spans="1:17">
      <c r="A1330" s="19">
        <v>0</v>
      </c>
      <c r="B1330" s="19">
        <v>0</v>
      </c>
      <c r="C1330" s="19">
        <v>0</v>
      </c>
      <c r="D1330" s="19">
        <v>0</v>
      </c>
      <c r="E1330" s="19">
        <v>0</v>
      </c>
      <c r="F1330" s="19">
        <v>0</v>
      </c>
      <c r="G1330" s="19">
        <v>0</v>
      </c>
      <c r="H1330" s="19">
        <v>0</v>
      </c>
      <c r="I1330" s="15">
        <v>3500</v>
      </c>
      <c r="J1330" s="15">
        <v>0</v>
      </c>
      <c r="K1330" s="15">
        <v>0</v>
      </c>
      <c r="L1330" s="15">
        <v>0</v>
      </c>
      <c r="M1330" s="15">
        <v>0</v>
      </c>
      <c r="N1330" s="15" t="str">
        <v/>
      </c>
      <c r="O1330" s="15" t="str">
        <v/>
      </c>
      <c r="P1330" s="22">
        <v>0</v>
      </c>
      <c r="Q1330">
        <v>0</v>
      </c>
    </row>
    <row r="1331" spans="1:17">
      <c r="A1331" s="19">
        <v>0</v>
      </c>
      <c r="B1331" s="19">
        <v>0</v>
      </c>
      <c r="C1331" s="19">
        <v>0</v>
      </c>
      <c r="D1331" s="19">
        <v>0</v>
      </c>
      <c r="E1331" s="19">
        <v>0</v>
      </c>
      <c r="F1331" s="19">
        <v>0</v>
      </c>
      <c r="G1331" s="19">
        <v>0</v>
      </c>
      <c r="H1331" s="19">
        <v>0</v>
      </c>
      <c r="I1331" s="15">
        <v>3500</v>
      </c>
      <c r="J1331" s="15">
        <v>0</v>
      </c>
      <c r="K1331" s="15">
        <v>0</v>
      </c>
      <c r="L1331" s="15">
        <v>0</v>
      </c>
      <c r="M1331" s="15">
        <v>0</v>
      </c>
      <c r="N1331" s="15" t="str">
        <v/>
      </c>
      <c r="O1331" s="15" t="str">
        <v/>
      </c>
      <c r="P1331" s="22">
        <v>0</v>
      </c>
      <c r="Q1331">
        <v>0</v>
      </c>
    </row>
    <row r="1332" spans="1:17">
      <c r="A1332" s="19">
        <v>0</v>
      </c>
      <c r="B1332" s="19">
        <v>0</v>
      </c>
      <c r="C1332" s="19">
        <v>0</v>
      </c>
      <c r="D1332" s="19">
        <v>0</v>
      </c>
      <c r="E1332" s="19">
        <v>0</v>
      </c>
      <c r="F1332" s="19">
        <v>0</v>
      </c>
      <c r="G1332" s="19">
        <v>0</v>
      </c>
      <c r="H1332" s="19">
        <v>0</v>
      </c>
      <c r="I1332" s="15">
        <v>3500</v>
      </c>
      <c r="J1332" s="15">
        <v>0</v>
      </c>
      <c r="K1332" s="15">
        <v>0</v>
      </c>
      <c r="L1332" s="15">
        <v>0</v>
      </c>
      <c r="M1332" s="15">
        <v>0</v>
      </c>
      <c r="N1332" s="15" t="str">
        <v/>
      </c>
      <c r="O1332" s="15" t="str">
        <v/>
      </c>
      <c r="P1332" s="22">
        <v>0</v>
      </c>
      <c r="Q1332">
        <v>0</v>
      </c>
    </row>
    <row r="1333" spans="1:17">
      <c r="A1333" s="19">
        <v>0</v>
      </c>
      <c r="B1333" s="19">
        <v>0</v>
      </c>
      <c r="C1333" s="19">
        <v>0</v>
      </c>
      <c r="D1333" s="19">
        <v>0</v>
      </c>
      <c r="E1333" s="19">
        <v>0</v>
      </c>
      <c r="F1333" s="19">
        <v>0</v>
      </c>
      <c r="G1333" s="19">
        <v>0</v>
      </c>
      <c r="H1333" s="19">
        <v>0</v>
      </c>
      <c r="I1333" s="15">
        <v>3500</v>
      </c>
      <c r="J1333" s="15">
        <v>0</v>
      </c>
      <c r="K1333" s="15">
        <v>0</v>
      </c>
      <c r="L1333" s="15">
        <v>0</v>
      </c>
      <c r="M1333" s="15">
        <v>0</v>
      </c>
      <c r="N1333" s="15" t="str">
        <v/>
      </c>
      <c r="O1333" s="15" t="str">
        <v/>
      </c>
      <c r="P1333" s="22">
        <v>0</v>
      </c>
      <c r="Q1333">
        <v>0</v>
      </c>
    </row>
    <row r="1334" spans="1:17">
      <c r="A1334" s="19">
        <v>0</v>
      </c>
      <c r="B1334" s="19">
        <v>0</v>
      </c>
      <c r="C1334" s="19">
        <v>0</v>
      </c>
      <c r="D1334" s="19">
        <v>0</v>
      </c>
      <c r="E1334" s="19">
        <v>0</v>
      </c>
      <c r="F1334" s="19">
        <v>0</v>
      </c>
      <c r="G1334" s="19">
        <v>0</v>
      </c>
      <c r="H1334" s="19">
        <v>0</v>
      </c>
      <c r="I1334" s="15">
        <v>3500</v>
      </c>
      <c r="J1334" s="15">
        <v>0</v>
      </c>
      <c r="K1334" s="15">
        <v>0</v>
      </c>
      <c r="L1334" s="15">
        <v>0</v>
      </c>
      <c r="M1334" s="15">
        <v>0</v>
      </c>
      <c r="N1334" s="15" t="str">
        <v/>
      </c>
      <c r="O1334" s="15" t="str">
        <v/>
      </c>
      <c r="P1334" s="22">
        <v>0</v>
      </c>
      <c r="Q1334">
        <v>0</v>
      </c>
    </row>
    <row r="1335" spans="1:17">
      <c r="A1335" s="19">
        <v>0</v>
      </c>
      <c r="B1335" s="19">
        <v>0</v>
      </c>
      <c r="C1335" s="19">
        <v>0</v>
      </c>
      <c r="D1335" s="19">
        <v>0</v>
      </c>
      <c r="E1335" s="19">
        <v>0</v>
      </c>
      <c r="F1335" s="19">
        <v>0</v>
      </c>
      <c r="G1335" s="19">
        <v>0</v>
      </c>
      <c r="H1335" s="19">
        <v>0</v>
      </c>
      <c r="I1335" s="15">
        <v>3500</v>
      </c>
      <c r="J1335" s="15">
        <v>0</v>
      </c>
      <c r="K1335" s="15">
        <v>0</v>
      </c>
      <c r="L1335" s="15">
        <v>0</v>
      </c>
      <c r="M1335" s="15">
        <v>0</v>
      </c>
      <c r="N1335" s="15" t="str">
        <v/>
      </c>
      <c r="O1335" s="15" t="str">
        <v/>
      </c>
      <c r="P1335" s="22">
        <v>0</v>
      </c>
      <c r="Q1335">
        <v>0</v>
      </c>
    </row>
    <row r="1336" spans="1:17">
      <c r="A1336" s="19">
        <v>0</v>
      </c>
      <c r="B1336" s="19">
        <v>0</v>
      </c>
      <c r="C1336" s="19">
        <v>0</v>
      </c>
      <c r="D1336" s="19">
        <v>0</v>
      </c>
      <c r="E1336" s="19">
        <v>0</v>
      </c>
      <c r="F1336" s="19">
        <v>0</v>
      </c>
      <c r="G1336" s="19">
        <v>0</v>
      </c>
      <c r="H1336" s="19">
        <v>0</v>
      </c>
      <c r="I1336" s="15">
        <v>3500</v>
      </c>
      <c r="J1336" s="15">
        <v>0</v>
      </c>
      <c r="K1336" s="15">
        <v>0</v>
      </c>
      <c r="L1336" s="15">
        <v>0</v>
      </c>
      <c r="M1336" s="15">
        <v>0</v>
      </c>
      <c r="N1336" s="15" t="str">
        <v/>
      </c>
      <c r="O1336" s="15" t="str">
        <v/>
      </c>
      <c r="P1336" s="22">
        <v>0</v>
      </c>
      <c r="Q1336">
        <v>0</v>
      </c>
    </row>
    <row r="1337" spans="1:17">
      <c r="A1337" s="19">
        <v>0</v>
      </c>
      <c r="B1337" s="19">
        <v>0</v>
      </c>
      <c r="C1337" s="19">
        <v>0</v>
      </c>
      <c r="D1337" s="19">
        <v>0</v>
      </c>
      <c r="E1337" s="19">
        <v>0</v>
      </c>
      <c r="F1337" s="19">
        <v>0</v>
      </c>
      <c r="G1337" s="19">
        <v>0</v>
      </c>
      <c r="H1337" s="19">
        <v>0</v>
      </c>
      <c r="I1337" s="15">
        <v>3500</v>
      </c>
      <c r="J1337" s="15">
        <v>0</v>
      </c>
      <c r="K1337" s="15">
        <v>0</v>
      </c>
      <c r="L1337" s="15">
        <v>0</v>
      </c>
      <c r="M1337" s="15">
        <v>0</v>
      </c>
      <c r="N1337" s="15" t="str">
        <v/>
      </c>
      <c r="O1337" s="15" t="str">
        <v/>
      </c>
      <c r="P1337" s="22">
        <v>0</v>
      </c>
      <c r="Q1337">
        <v>0</v>
      </c>
    </row>
    <row r="1338" spans="1:17">
      <c r="A1338" s="19">
        <v>0</v>
      </c>
      <c r="B1338" s="19">
        <v>0</v>
      </c>
      <c r="C1338" s="19">
        <v>0</v>
      </c>
      <c r="D1338" s="19">
        <v>0</v>
      </c>
      <c r="E1338" s="19">
        <v>0</v>
      </c>
      <c r="F1338" s="19">
        <v>0</v>
      </c>
      <c r="G1338" s="19">
        <v>0</v>
      </c>
      <c r="H1338" s="19">
        <v>0</v>
      </c>
      <c r="I1338" s="15">
        <v>3500</v>
      </c>
      <c r="J1338" s="15">
        <v>0</v>
      </c>
      <c r="K1338" s="15">
        <v>0</v>
      </c>
      <c r="L1338" s="15">
        <v>0</v>
      </c>
      <c r="M1338" s="15">
        <v>0</v>
      </c>
      <c r="N1338" s="15" t="str">
        <v/>
      </c>
      <c r="O1338" s="15" t="str">
        <v/>
      </c>
      <c r="P1338" s="22">
        <v>0</v>
      </c>
      <c r="Q1338">
        <v>0</v>
      </c>
    </row>
    <row r="1339" spans="1:17">
      <c r="A1339" s="19">
        <v>0</v>
      </c>
      <c r="B1339" s="19">
        <v>0</v>
      </c>
      <c r="C1339" s="19">
        <v>0</v>
      </c>
      <c r="D1339" s="19">
        <v>0</v>
      </c>
      <c r="E1339" s="19">
        <v>0</v>
      </c>
      <c r="F1339" s="19">
        <v>0</v>
      </c>
      <c r="G1339" s="19">
        <v>0</v>
      </c>
      <c r="H1339" s="19">
        <v>0</v>
      </c>
      <c r="I1339" s="15">
        <v>3500</v>
      </c>
      <c r="J1339" s="15">
        <v>0</v>
      </c>
      <c r="K1339" s="15">
        <v>0</v>
      </c>
      <c r="L1339" s="15">
        <v>0</v>
      </c>
      <c r="M1339" s="15">
        <v>0</v>
      </c>
      <c r="N1339" s="15" t="str">
        <v/>
      </c>
      <c r="O1339" s="15" t="str">
        <v/>
      </c>
      <c r="P1339" s="22">
        <v>0</v>
      </c>
      <c r="Q1339">
        <v>0</v>
      </c>
    </row>
    <row r="1340" spans="1:17">
      <c r="A1340" s="19">
        <v>0</v>
      </c>
      <c r="B1340" s="19">
        <v>0</v>
      </c>
      <c r="C1340" s="19">
        <v>0</v>
      </c>
      <c r="D1340" s="19">
        <v>0</v>
      </c>
      <c r="E1340" s="19">
        <v>0</v>
      </c>
      <c r="F1340" s="19">
        <v>0</v>
      </c>
      <c r="G1340" s="19">
        <v>0</v>
      </c>
      <c r="H1340" s="19">
        <v>0</v>
      </c>
      <c r="I1340" s="15">
        <v>3500</v>
      </c>
      <c r="J1340" s="15">
        <v>0</v>
      </c>
      <c r="K1340" s="15">
        <v>0</v>
      </c>
      <c r="L1340" s="15">
        <v>0</v>
      </c>
      <c r="M1340" s="15">
        <v>0</v>
      </c>
      <c r="N1340" s="15" t="str">
        <v/>
      </c>
      <c r="O1340" s="15" t="str">
        <v/>
      </c>
      <c r="P1340" s="22">
        <v>0</v>
      </c>
      <c r="Q1340">
        <v>0</v>
      </c>
    </row>
    <row r="1341" spans="1:17">
      <c r="A1341" s="19">
        <v>0</v>
      </c>
      <c r="B1341" s="19">
        <v>0</v>
      </c>
      <c r="C1341" s="19">
        <v>0</v>
      </c>
      <c r="D1341" s="19">
        <v>0</v>
      </c>
      <c r="E1341" s="19">
        <v>0</v>
      </c>
      <c r="F1341" s="19">
        <v>0</v>
      </c>
      <c r="G1341" s="19">
        <v>0</v>
      </c>
      <c r="H1341" s="19">
        <v>0</v>
      </c>
      <c r="I1341" s="15">
        <v>3500</v>
      </c>
      <c r="J1341" s="15">
        <v>0</v>
      </c>
      <c r="K1341" s="15">
        <v>0</v>
      </c>
      <c r="L1341" s="15">
        <v>0</v>
      </c>
      <c r="M1341" s="15">
        <v>0</v>
      </c>
      <c r="N1341" s="15" t="str">
        <v/>
      </c>
      <c r="O1341" s="15" t="str">
        <v/>
      </c>
      <c r="P1341" s="22">
        <v>0</v>
      </c>
      <c r="Q1341">
        <v>0</v>
      </c>
    </row>
    <row r="1342" spans="1:17">
      <c r="A1342" s="19">
        <v>0</v>
      </c>
      <c r="B1342" s="19">
        <v>0</v>
      </c>
      <c r="C1342" s="19">
        <v>0</v>
      </c>
      <c r="D1342" s="19">
        <v>0</v>
      </c>
      <c r="E1342" s="19">
        <v>0</v>
      </c>
      <c r="F1342" s="19">
        <v>0</v>
      </c>
      <c r="G1342" s="19">
        <v>0</v>
      </c>
      <c r="H1342" s="19">
        <v>0</v>
      </c>
      <c r="I1342" s="15">
        <v>3500</v>
      </c>
      <c r="J1342" s="15">
        <v>0</v>
      </c>
      <c r="K1342" s="15">
        <v>0</v>
      </c>
      <c r="L1342" s="15">
        <v>0</v>
      </c>
      <c r="M1342" s="15">
        <v>0</v>
      </c>
      <c r="N1342" s="15" t="str">
        <v/>
      </c>
      <c r="O1342" s="15" t="str">
        <v/>
      </c>
      <c r="P1342" s="22">
        <v>0</v>
      </c>
      <c r="Q1342">
        <v>0</v>
      </c>
    </row>
    <row r="1343" spans="1:17">
      <c r="A1343" s="19">
        <v>0</v>
      </c>
      <c r="B1343" s="19">
        <v>0</v>
      </c>
      <c r="C1343" s="19">
        <v>0</v>
      </c>
      <c r="D1343" s="19">
        <v>0</v>
      </c>
      <c r="E1343" s="19">
        <v>0</v>
      </c>
      <c r="F1343" s="19">
        <v>0</v>
      </c>
      <c r="G1343" s="19">
        <v>0</v>
      </c>
      <c r="H1343" s="19">
        <v>0</v>
      </c>
      <c r="I1343" s="15">
        <v>3500</v>
      </c>
      <c r="J1343" s="15">
        <v>0</v>
      </c>
      <c r="K1343" s="15">
        <v>0</v>
      </c>
      <c r="L1343" s="15">
        <v>0</v>
      </c>
      <c r="M1343" s="15">
        <v>0</v>
      </c>
      <c r="N1343" s="15" t="str">
        <v/>
      </c>
      <c r="O1343" s="15" t="str">
        <v/>
      </c>
      <c r="P1343" s="22">
        <v>0</v>
      </c>
      <c r="Q1343">
        <v>0</v>
      </c>
    </row>
    <row r="1344" spans="1:17">
      <c r="A1344" s="19">
        <v>0</v>
      </c>
      <c r="B1344" s="19">
        <v>0</v>
      </c>
      <c r="C1344" s="19">
        <v>0</v>
      </c>
      <c r="D1344" s="19">
        <v>0</v>
      </c>
      <c r="E1344" s="19">
        <v>0</v>
      </c>
      <c r="F1344" s="19">
        <v>0</v>
      </c>
      <c r="G1344" s="19">
        <v>0</v>
      </c>
      <c r="H1344" s="19">
        <v>0</v>
      </c>
      <c r="I1344" s="15">
        <v>3500</v>
      </c>
      <c r="J1344" s="15">
        <v>0</v>
      </c>
      <c r="K1344" s="15">
        <v>0</v>
      </c>
      <c r="L1344" s="15">
        <v>0</v>
      </c>
      <c r="M1344" s="15">
        <v>0</v>
      </c>
      <c r="N1344" s="15" t="str">
        <v/>
      </c>
      <c r="O1344" s="15" t="str">
        <v/>
      </c>
      <c r="P1344" s="22">
        <v>0</v>
      </c>
      <c r="Q1344">
        <v>0</v>
      </c>
    </row>
    <row r="1345" spans="1:17">
      <c r="A1345" s="19">
        <v>0</v>
      </c>
      <c r="B1345" s="19">
        <v>0</v>
      </c>
      <c r="C1345" s="19">
        <v>0</v>
      </c>
      <c r="D1345" s="19">
        <v>0</v>
      </c>
      <c r="E1345" s="19">
        <v>0</v>
      </c>
      <c r="F1345" s="19">
        <v>0</v>
      </c>
      <c r="G1345" s="19">
        <v>0</v>
      </c>
      <c r="H1345" s="19">
        <v>0</v>
      </c>
      <c r="I1345" s="15">
        <v>3500</v>
      </c>
      <c r="J1345" s="15">
        <v>0</v>
      </c>
      <c r="K1345" s="15">
        <v>0</v>
      </c>
      <c r="L1345" s="15">
        <v>0</v>
      </c>
      <c r="M1345" s="15">
        <v>0</v>
      </c>
      <c r="N1345" s="15" t="str">
        <v/>
      </c>
      <c r="O1345" s="15" t="str">
        <v/>
      </c>
      <c r="P1345" s="22">
        <v>0</v>
      </c>
      <c r="Q1345">
        <v>0</v>
      </c>
    </row>
    <row r="1346" spans="1:17">
      <c r="A1346" s="19">
        <v>0</v>
      </c>
      <c r="B1346" s="19">
        <v>0</v>
      </c>
      <c r="C1346" s="19">
        <v>0</v>
      </c>
      <c r="D1346" s="19">
        <v>0</v>
      </c>
      <c r="E1346" s="19">
        <v>0</v>
      </c>
      <c r="F1346" s="19">
        <v>0</v>
      </c>
      <c r="G1346" s="19">
        <v>0</v>
      </c>
      <c r="H1346" s="19">
        <v>0</v>
      </c>
      <c r="I1346" s="15">
        <v>3500</v>
      </c>
      <c r="J1346" s="15">
        <v>0</v>
      </c>
      <c r="K1346" s="15">
        <v>0</v>
      </c>
      <c r="L1346" s="15">
        <v>0</v>
      </c>
      <c r="M1346" s="15">
        <v>0</v>
      </c>
      <c r="N1346" s="15" t="str">
        <v/>
      </c>
      <c r="O1346" s="15" t="str">
        <v/>
      </c>
      <c r="P1346" s="22">
        <v>0</v>
      </c>
      <c r="Q1346">
        <v>0</v>
      </c>
    </row>
    <row r="1347" spans="1:17">
      <c r="A1347" s="19">
        <v>0</v>
      </c>
      <c r="B1347" s="19">
        <v>0</v>
      </c>
      <c r="C1347" s="19">
        <v>0</v>
      </c>
      <c r="D1347" s="19">
        <v>0</v>
      </c>
      <c r="E1347" s="19">
        <v>0</v>
      </c>
      <c r="F1347" s="19">
        <v>0</v>
      </c>
      <c r="G1347" s="19">
        <v>0</v>
      </c>
      <c r="H1347" s="19">
        <v>0</v>
      </c>
      <c r="I1347" s="15">
        <v>3500</v>
      </c>
      <c r="J1347" s="15">
        <v>0</v>
      </c>
      <c r="K1347" s="15">
        <v>0</v>
      </c>
      <c r="L1347" s="15">
        <v>0</v>
      </c>
      <c r="M1347" s="15">
        <v>0</v>
      </c>
      <c r="N1347" s="15" t="str">
        <v/>
      </c>
      <c r="O1347" s="15" t="str">
        <v/>
      </c>
      <c r="P1347" s="22">
        <v>0</v>
      </c>
      <c r="Q1347">
        <v>0</v>
      </c>
    </row>
    <row r="1348" spans="1:17">
      <c r="A1348" s="19">
        <v>0</v>
      </c>
      <c r="B1348" s="19">
        <v>0</v>
      </c>
      <c r="C1348" s="19">
        <v>0</v>
      </c>
      <c r="D1348" s="19">
        <v>0</v>
      </c>
      <c r="E1348" s="19">
        <v>0</v>
      </c>
      <c r="F1348" s="19">
        <v>0</v>
      </c>
      <c r="G1348" s="19">
        <v>0</v>
      </c>
      <c r="H1348" s="19">
        <v>0</v>
      </c>
      <c r="I1348" s="15">
        <v>3500</v>
      </c>
      <c r="J1348" s="15">
        <v>0</v>
      </c>
      <c r="K1348" s="15">
        <v>0</v>
      </c>
      <c r="L1348" s="15">
        <v>0</v>
      </c>
      <c r="M1348" s="15">
        <v>0</v>
      </c>
      <c r="N1348" s="15" t="str">
        <v/>
      </c>
      <c r="O1348" s="15" t="str">
        <v/>
      </c>
      <c r="P1348" s="22">
        <v>0</v>
      </c>
      <c r="Q1348">
        <v>0</v>
      </c>
    </row>
    <row r="1349" spans="1:17">
      <c r="A1349" s="19">
        <v>0</v>
      </c>
      <c r="B1349" s="19">
        <v>0</v>
      </c>
      <c r="C1349" s="19">
        <v>0</v>
      </c>
      <c r="D1349" s="19">
        <v>0</v>
      </c>
      <c r="E1349" s="19">
        <v>0</v>
      </c>
      <c r="F1349" s="19">
        <v>0</v>
      </c>
      <c r="G1349" s="19">
        <v>0</v>
      </c>
      <c r="H1349" s="19">
        <v>0</v>
      </c>
      <c r="I1349" s="15">
        <v>3500</v>
      </c>
      <c r="J1349" s="15">
        <v>0</v>
      </c>
      <c r="K1349" s="15">
        <v>0</v>
      </c>
      <c r="L1349" s="15">
        <v>0</v>
      </c>
      <c r="M1349" s="15">
        <v>0</v>
      </c>
      <c r="N1349" s="15" t="str">
        <v/>
      </c>
      <c r="O1349" s="15" t="str">
        <v/>
      </c>
      <c r="P1349" s="22">
        <v>0</v>
      </c>
      <c r="Q1349">
        <v>0</v>
      </c>
    </row>
    <row r="1350" spans="1:17">
      <c r="A1350" s="19">
        <v>0</v>
      </c>
      <c r="B1350" s="19">
        <v>0</v>
      </c>
      <c r="C1350" s="19">
        <v>0</v>
      </c>
      <c r="D1350" s="19">
        <v>0</v>
      </c>
      <c r="E1350" s="19">
        <v>0</v>
      </c>
      <c r="F1350" s="19">
        <v>0</v>
      </c>
      <c r="G1350" s="19">
        <v>0</v>
      </c>
      <c r="H1350" s="19">
        <v>0</v>
      </c>
      <c r="I1350" s="15">
        <v>3500</v>
      </c>
      <c r="J1350" s="15">
        <v>0</v>
      </c>
      <c r="K1350" s="15">
        <v>0</v>
      </c>
      <c r="L1350" s="15">
        <v>0</v>
      </c>
      <c r="M1350" s="15">
        <v>0</v>
      </c>
      <c r="N1350" s="15" t="str">
        <v/>
      </c>
      <c r="O1350" s="15" t="str">
        <v/>
      </c>
      <c r="P1350" s="22">
        <v>0</v>
      </c>
      <c r="Q1350">
        <v>0</v>
      </c>
    </row>
    <row r="1351" spans="1:17">
      <c r="A1351" s="19">
        <v>0</v>
      </c>
      <c r="B1351" s="19">
        <v>0</v>
      </c>
      <c r="C1351" s="19">
        <v>0</v>
      </c>
      <c r="D1351" s="19">
        <v>0</v>
      </c>
      <c r="E1351" s="19">
        <v>0</v>
      </c>
      <c r="F1351" s="19">
        <v>0</v>
      </c>
      <c r="G1351" s="19">
        <v>0</v>
      </c>
      <c r="H1351" s="19">
        <v>0</v>
      </c>
      <c r="I1351" s="15">
        <v>3500</v>
      </c>
      <c r="J1351" s="15">
        <v>0</v>
      </c>
      <c r="K1351" s="15">
        <v>0</v>
      </c>
      <c r="L1351" s="15">
        <v>0</v>
      </c>
      <c r="M1351" s="15">
        <v>0</v>
      </c>
      <c r="N1351" s="15" t="str">
        <v/>
      </c>
      <c r="O1351" s="15" t="str">
        <v/>
      </c>
      <c r="P1351" s="22">
        <v>0</v>
      </c>
      <c r="Q1351">
        <v>0</v>
      </c>
    </row>
    <row r="1352" spans="1:17">
      <c r="A1352" s="19">
        <v>0</v>
      </c>
      <c r="B1352" s="19">
        <v>0</v>
      </c>
      <c r="C1352" s="19">
        <v>0</v>
      </c>
      <c r="D1352" s="19">
        <v>0</v>
      </c>
      <c r="E1352" s="19">
        <v>0</v>
      </c>
      <c r="F1352" s="19">
        <v>0</v>
      </c>
      <c r="G1352" s="19">
        <v>0</v>
      </c>
      <c r="H1352" s="19">
        <v>0</v>
      </c>
      <c r="I1352" s="15">
        <v>3500</v>
      </c>
      <c r="J1352" s="15">
        <v>0</v>
      </c>
      <c r="K1352" s="15">
        <v>0</v>
      </c>
      <c r="L1352" s="15">
        <v>0</v>
      </c>
      <c r="M1352" s="15">
        <v>0</v>
      </c>
      <c r="N1352" s="15" t="str">
        <v/>
      </c>
      <c r="O1352" s="15" t="str">
        <v/>
      </c>
      <c r="P1352" s="22">
        <v>0</v>
      </c>
      <c r="Q1352">
        <v>0</v>
      </c>
    </row>
    <row r="1353" spans="1:17">
      <c r="A1353" s="19">
        <v>0</v>
      </c>
      <c r="B1353" s="19">
        <v>0</v>
      </c>
      <c r="C1353" s="19">
        <v>0</v>
      </c>
      <c r="D1353" s="19">
        <v>0</v>
      </c>
      <c r="E1353" s="19">
        <v>0</v>
      </c>
      <c r="F1353" s="19">
        <v>0</v>
      </c>
      <c r="G1353" s="19">
        <v>0</v>
      </c>
      <c r="H1353" s="19">
        <v>0</v>
      </c>
      <c r="I1353" s="15">
        <v>3500</v>
      </c>
      <c r="J1353" s="15">
        <v>0</v>
      </c>
      <c r="K1353" s="15">
        <v>0</v>
      </c>
      <c r="L1353" s="15">
        <v>0</v>
      </c>
      <c r="M1353" s="15">
        <v>0</v>
      </c>
      <c r="N1353" s="15" t="str">
        <v/>
      </c>
      <c r="O1353" s="15" t="str">
        <v/>
      </c>
      <c r="P1353" s="22">
        <v>0</v>
      </c>
      <c r="Q1353">
        <v>0</v>
      </c>
    </row>
    <row r="1354" spans="1:17">
      <c r="A1354" s="19">
        <v>0</v>
      </c>
      <c r="B1354" s="19">
        <v>0</v>
      </c>
      <c r="C1354" s="19">
        <v>0</v>
      </c>
      <c r="D1354" s="19">
        <v>0</v>
      </c>
      <c r="E1354" s="19">
        <v>0</v>
      </c>
      <c r="F1354" s="19">
        <v>0</v>
      </c>
      <c r="G1354" s="19">
        <v>0</v>
      </c>
      <c r="H1354" s="19">
        <v>0</v>
      </c>
      <c r="I1354" s="15">
        <v>3500</v>
      </c>
      <c r="J1354" s="15">
        <v>0</v>
      </c>
      <c r="K1354" s="15">
        <v>0</v>
      </c>
      <c r="L1354" s="15">
        <v>0</v>
      </c>
      <c r="M1354" s="15">
        <v>0</v>
      </c>
      <c r="N1354" s="15" t="str">
        <v/>
      </c>
      <c r="O1354" s="15" t="str">
        <v/>
      </c>
      <c r="P1354" s="22">
        <v>0</v>
      </c>
      <c r="Q1354">
        <v>0</v>
      </c>
    </row>
    <row r="1355" spans="1:17">
      <c r="A1355" s="19">
        <v>0</v>
      </c>
      <c r="B1355" s="19">
        <v>0</v>
      </c>
      <c r="C1355" s="19">
        <v>0</v>
      </c>
      <c r="D1355" s="19">
        <v>0</v>
      </c>
      <c r="E1355" s="19">
        <v>0</v>
      </c>
      <c r="F1355" s="19">
        <v>0</v>
      </c>
      <c r="G1355" s="19">
        <v>0</v>
      </c>
      <c r="H1355" s="19">
        <v>0</v>
      </c>
      <c r="I1355" s="15">
        <v>3500</v>
      </c>
      <c r="J1355" s="15">
        <v>0</v>
      </c>
      <c r="K1355" s="15">
        <v>0</v>
      </c>
      <c r="L1355" s="15">
        <v>0</v>
      </c>
      <c r="M1355" s="15">
        <v>0</v>
      </c>
      <c r="N1355" s="15" t="str">
        <v/>
      </c>
      <c r="O1355" s="15" t="str">
        <v/>
      </c>
      <c r="P1355" s="22">
        <v>0</v>
      </c>
      <c r="Q1355">
        <v>0</v>
      </c>
    </row>
    <row r="1356" spans="1:17">
      <c r="A1356" s="19">
        <v>0</v>
      </c>
      <c r="B1356" s="19">
        <v>0</v>
      </c>
      <c r="C1356" s="19">
        <v>0</v>
      </c>
      <c r="D1356" s="19">
        <v>0</v>
      </c>
      <c r="E1356" s="19">
        <v>0</v>
      </c>
      <c r="F1356" s="19">
        <v>0</v>
      </c>
      <c r="G1356" s="19">
        <v>0</v>
      </c>
      <c r="H1356" s="19">
        <v>0</v>
      </c>
      <c r="I1356" s="15">
        <v>3500</v>
      </c>
      <c r="J1356" s="15">
        <v>0</v>
      </c>
      <c r="K1356" s="15">
        <v>0</v>
      </c>
      <c r="L1356" s="15">
        <v>0</v>
      </c>
      <c r="M1356" s="15">
        <v>0</v>
      </c>
      <c r="N1356" s="15" t="str">
        <v/>
      </c>
      <c r="O1356" s="15" t="str">
        <v/>
      </c>
      <c r="P1356" s="22">
        <v>0</v>
      </c>
      <c r="Q1356">
        <v>0</v>
      </c>
    </row>
    <row r="1357" spans="1:17">
      <c r="A1357" s="19">
        <v>0</v>
      </c>
      <c r="B1357" s="19">
        <v>0</v>
      </c>
      <c r="C1357" s="19">
        <v>0</v>
      </c>
      <c r="D1357" s="19">
        <v>0</v>
      </c>
      <c r="E1357" s="19">
        <v>0</v>
      </c>
      <c r="F1357" s="19">
        <v>0</v>
      </c>
      <c r="G1357" s="19">
        <v>0</v>
      </c>
      <c r="H1357" s="19">
        <v>0</v>
      </c>
      <c r="I1357" s="15">
        <v>3500</v>
      </c>
      <c r="J1357" s="15">
        <v>0</v>
      </c>
      <c r="K1357" s="15">
        <v>0</v>
      </c>
      <c r="L1357" s="15">
        <v>0</v>
      </c>
      <c r="M1357" s="15">
        <v>0</v>
      </c>
      <c r="N1357" s="15" t="str">
        <v/>
      </c>
      <c r="O1357" s="15" t="str">
        <v/>
      </c>
      <c r="P1357" s="22">
        <v>0</v>
      </c>
      <c r="Q1357">
        <v>0</v>
      </c>
    </row>
    <row r="1358" spans="1:17">
      <c r="A1358" s="19">
        <v>0</v>
      </c>
      <c r="B1358" s="19">
        <v>0</v>
      </c>
      <c r="C1358" s="19">
        <v>0</v>
      </c>
      <c r="D1358" s="19">
        <v>0</v>
      </c>
      <c r="E1358" s="19">
        <v>0</v>
      </c>
      <c r="F1358" s="19">
        <v>0</v>
      </c>
      <c r="G1358" s="19">
        <v>0</v>
      </c>
      <c r="H1358" s="19">
        <v>0</v>
      </c>
      <c r="I1358" s="15">
        <v>3500</v>
      </c>
      <c r="J1358" s="15">
        <v>0</v>
      </c>
      <c r="K1358" s="15">
        <v>0</v>
      </c>
      <c r="L1358" s="15">
        <v>0</v>
      </c>
      <c r="M1358" s="15">
        <v>0</v>
      </c>
      <c r="N1358" s="15" t="str">
        <v/>
      </c>
      <c r="O1358" s="15" t="str">
        <v/>
      </c>
      <c r="P1358" s="22">
        <v>0</v>
      </c>
      <c r="Q1358">
        <v>0</v>
      </c>
    </row>
    <row r="1359" spans="1:17">
      <c r="A1359" s="19">
        <v>0</v>
      </c>
      <c r="B1359" s="19">
        <v>0</v>
      </c>
      <c r="C1359" s="19">
        <v>0</v>
      </c>
      <c r="D1359" s="19">
        <v>0</v>
      </c>
      <c r="E1359" s="19">
        <v>0</v>
      </c>
      <c r="F1359" s="19">
        <v>0</v>
      </c>
      <c r="G1359" s="19">
        <v>0</v>
      </c>
      <c r="H1359" s="19">
        <v>0</v>
      </c>
      <c r="I1359" s="15">
        <v>3500</v>
      </c>
      <c r="J1359" s="15">
        <v>0</v>
      </c>
      <c r="K1359" s="15">
        <v>0</v>
      </c>
      <c r="L1359" s="15">
        <v>0</v>
      </c>
      <c r="M1359" s="15">
        <v>0</v>
      </c>
      <c r="N1359" s="15" t="str">
        <v/>
      </c>
      <c r="O1359" s="15" t="str">
        <v/>
      </c>
      <c r="P1359" s="22">
        <v>0</v>
      </c>
      <c r="Q1359">
        <v>0</v>
      </c>
    </row>
    <row r="1360" spans="1:17">
      <c r="A1360" s="19">
        <v>0</v>
      </c>
      <c r="B1360" s="19">
        <v>0</v>
      </c>
      <c r="C1360" s="19">
        <v>0</v>
      </c>
      <c r="D1360" s="19">
        <v>0</v>
      </c>
      <c r="E1360" s="19">
        <v>0</v>
      </c>
      <c r="F1360" s="19">
        <v>0</v>
      </c>
      <c r="G1360" s="19">
        <v>0</v>
      </c>
      <c r="H1360" s="19">
        <v>0</v>
      </c>
      <c r="I1360" s="15">
        <v>3500</v>
      </c>
      <c r="J1360" s="15">
        <v>0</v>
      </c>
      <c r="K1360" s="15">
        <v>0</v>
      </c>
      <c r="L1360" s="15">
        <v>0</v>
      </c>
      <c r="M1360" s="15">
        <v>0</v>
      </c>
      <c r="N1360" s="15" t="str">
        <v/>
      </c>
      <c r="O1360" s="15" t="str">
        <v/>
      </c>
      <c r="P1360" s="22">
        <v>0</v>
      </c>
      <c r="Q1360">
        <v>0</v>
      </c>
    </row>
    <row r="1361" spans="1:17">
      <c r="A1361" s="19">
        <v>0</v>
      </c>
      <c r="B1361" s="19">
        <v>0</v>
      </c>
      <c r="C1361" s="19">
        <v>0</v>
      </c>
      <c r="D1361" s="19">
        <v>0</v>
      </c>
      <c r="E1361" s="19">
        <v>0</v>
      </c>
      <c r="F1361" s="19">
        <v>0</v>
      </c>
      <c r="G1361" s="19">
        <v>0</v>
      </c>
      <c r="H1361" s="19">
        <v>0</v>
      </c>
      <c r="I1361" s="15">
        <v>3500</v>
      </c>
      <c r="J1361" s="15">
        <v>0</v>
      </c>
      <c r="K1361" s="15">
        <v>0</v>
      </c>
      <c r="L1361" s="15">
        <v>0</v>
      </c>
      <c r="M1361" s="15">
        <v>0</v>
      </c>
      <c r="N1361" s="15" t="str">
        <v/>
      </c>
      <c r="O1361" s="15" t="str">
        <v/>
      </c>
      <c r="P1361" s="22">
        <v>0</v>
      </c>
      <c r="Q1361">
        <v>0</v>
      </c>
    </row>
    <row r="1362" spans="1:17">
      <c r="A1362" s="19">
        <v>0</v>
      </c>
      <c r="B1362" s="19">
        <v>0</v>
      </c>
      <c r="C1362" s="19">
        <v>0</v>
      </c>
      <c r="D1362" s="19">
        <v>0</v>
      </c>
      <c r="E1362" s="19">
        <v>0</v>
      </c>
      <c r="F1362" s="19">
        <v>0</v>
      </c>
      <c r="G1362" s="19">
        <v>0</v>
      </c>
      <c r="H1362" s="19">
        <v>0</v>
      </c>
      <c r="I1362" s="15">
        <v>3500</v>
      </c>
      <c r="J1362" s="15">
        <v>0</v>
      </c>
      <c r="K1362" s="15">
        <v>0</v>
      </c>
      <c r="L1362" s="15">
        <v>0</v>
      </c>
      <c r="M1362" s="15">
        <v>0</v>
      </c>
      <c r="N1362" s="15" t="str">
        <v/>
      </c>
      <c r="O1362" s="15" t="str">
        <v/>
      </c>
      <c r="P1362" s="22">
        <v>0</v>
      </c>
      <c r="Q1362">
        <v>0</v>
      </c>
    </row>
    <row r="1363" spans="1:17">
      <c r="A1363" s="19">
        <v>0</v>
      </c>
      <c r="B1363" s="19">
        <v>0</v>
      </c>
      <c r="C1363" s="19">
        <v>0</v>
      </c>
      <c r="D1363" s="19">
        <v>0</v>
      </c>
      <c r="E1363" s="19">
        <v>0</v>
      </c>
      <c r="F1363" s="19">
        <v>0</v>
      </c>
      <c r="G1363" s="19">
        <v>0</v>
      </c>
      <c r="H1363" s="19">
        <v>0</v>
      </c>
      <c r="I1363" s="15">
        <v>3500</v>
      </c>
      <c r="J1363" s="15">
        <v>0</v>
      </c>
      <c r="K1363" s="15">
        <v>0</v>
      </c>
      <c r="L1363" s="15">
        <v>0</v>
      </c>
      <c r="M1363" s="15">
        <v>0</v>
      </c>
      <c r="N1363" s="15" t="str">
        <v/>
      </c>
      <c r="O1363" s="15" t="str">
        <v/>
      </c>
      <c r="P1363" s="22">
        <v>0</v>
      </c>
      <c r="Q1363">
        <v>0</v>
      </c>
    </row>
    <row r="1364" spans="1:17">
      <c r="A1364" s="19">
        <v>0</v>
      </c>
      <c r="B1364" s="19">
        <v>0</v>
      </c>
      <c r="C1364" s="19">
        <v>0</v>
      </c>
      <c r="D1364" s="19">
        <v>0</v>
      </c>
      <c r="E1364" s="19">
        <v>0</v>
      </c>
      <c r="F1364" s="19">
        <v>0</v>
      </c>
      <c r="G1364" s="19">
        <v>0</v>
      </c>
      <c r="H1364" s="19">
        <v>0</v>
      </c>
      <c r="I1364" s="15">
        <v>3500</v>
      </c>
      <c r="J1364" s="15">
        <v>0</v>
      </c>
      <c r="K1364" s="15">
        <v>0</v>
      </c>
      <c r="L1364" s="15">
        <v>0</v>
      </c>
      <c r="M1364" s="15">
        <v>0</v>
      </c>
      <c r="N1364" s="15" t="str">
        <v/>
      </c>
      <c r="O1364" s="15" t="str">
        <v/>
      </c>
      <c r="P1364" s="22">
        <v>0</v>
      </c>
      <c r="Q1364">
        <v>0</v>
      </c>
    </row>
    <row r="1365" spans="1:17">
      <c r="A1365" s="19">
        <v>0</v>
      </c>
      <c r="B1365" s="19">
        <v>0</v>
      </c>
      <c r="C1365" s="19">
        <v>0</v>
      </c>
      <c r="D1365" s="19">
        <v>0</v>
      </c>
      <c r="E1365" s="19">
        <v>0</v>
      </c>
      <c r="F1365" s="19">
        <v>0</v>
      </c>
      <c r="G1365" s="19">
        <v>0</v>
      </c>
      <c r="H1365" s="19">
        <v>0</v>
      </c>
      <c r="I1365" s="15">
        <v>3500</v>
      </c>
      <c r="J1365" s="15">
        <v>0</v>
      </c>
      <c r="K1365" s="15">
        <v>0</v>
      </c>
      <c r="L1365" s="15">
        <v>0</v>
      </c>
      <c r="M1365" s="15">
        <v>0</v>
      </c>
      <c r="N1365" s="15" t="str">
        <v/>
      </c>
      <c r="O1365" s="15" t="str">
        <v/>
      </c>
      <c r="P1365" s="22">
        <v>0</v>
      </c>
      <c r="Q1365">
        <v>0</v>
      </c>
    </row>
    <row r="1366" spans="1:17">
      <c r="A1366" s="19">
        <v>0</v>
      </c>
      <c r="B1366" s="19">
        <v>0</v>
      </c>
      <c r="C1366" s="19">
        <v>0</v>
      </c>
      <c r="D1366" s="19">
        <v>0</v>
      </c>
      <c r="E1366" s="19">
        <v>0</v>
      </c>
      <c r="F1366" s="19">
        <v>0</v>
      </c>
      <c r="G1366" s="19">
        <v>0</v>
      </c>
      <c r="H1366" s="19">
        <v>0</v>
      </c>
      <c r="I1366" s="15">
        <v>3500</v>
      </c>
      <c r="J1366" s="15">
        <v>0</v>
      </c>
      <c r="K1366" s="15">
        <v>0</v>
      </c>
      <c r="L1366" s="15">
        <v>0</v>
      </c>
      <c r="M1366" s="15">
        <v>0</v>
      </c>
      <c r="N1366" s="15" t="str">
        <v/>
      </c>
      <c r="O1366" s="15" t="str">
        <v/>
      </c>
      <c r="P1366" s="22">
        <v>0</v>
      </c>
      <c r="Q1366">
        <v>0</v>
      </c>
    </row>
    <row r="1367" spans="1:17">
      <c r="A1367" s="19">
        <v>0</v>
      </c>
      <c r="B1367" s="19">
        <v>0</v>
      </c>
      <c r="C1367" s="19">
        <v>0</v>
      </c>
      <c r="D1367" s="19">
        <v>0</v>
      </c>
      <c r="E1367" s="19">
        <v>0</v>
      </c>
      <c r="F1367" s="19">
        <v>0</v>
      </c>
      <c r="G1367" s="19">
        <v>0</v>
      </c>
      <c r="H1367" s="19">
        <v>0</v>
      </c>
      <c r="I1367" s="15">
        <v>3500</v>
      </c>
      <c r="J1367" s="15">
        <v>0</v>
      </c>
      <c r="K1367" s="15">
        <v>0</v>
      </c>
      <c r="L1367" s="15">
        <v>0</v>
      </c>
      <c r="M1367" s="15">
        <v>0</v>
      </c>
      <c r="N1367" s="15" t="str">
        <v/>
      </c>
      <c r="O1367" s="15" t="str">
        <v/>
      </c>
      <c r="P1367" s="22">
        <v>0</v>
      </c>
      <c r="Q1367">
        <v>0</v>
      </c>
    </row>
    <row r="1368" spans="1:17">
      <c r="A1368" s="19">
        <v>0</v>
      </c>
      <c r="B1368" s="19">
        <v>0</v>
      </c>
      <c r="C1368" s="19">
        <v>0</v>
      </c>
      <c r="D1368" s="19">
        <v>0</v>
      </c>
      <c r="E1368" s="19">
        <v>0</v>
      </c>
      <c r="F1368" s="19">
        <v>0</v>
      </c>
      <c r="G1368" s="19">
        <v>0</v>
      </c>
      <c r="H1368" s="19">
        <v>0</v>
      </c>
      <c r="I1368" s="15">
        <v>3500</v>
      </c>
      <c r="J1368" s="15">
        <v>0</v>
      </c>
      <c r="K1368" s="15">
        <v>0</v>
      </c>
      <c r="L1368" s="15">
        <v>0</v>
      </c>
      <c r="M1368" s="15">
        <v>0</v>
      </c>
      <c r="N1368" s="15" t="str">
        <v/>
      </c>
      <c r="O1368" s="15" t="str">
        <v/>
      </c>
      <c r="P1368" s="22">
        <v>0</v>
      </c>
      <c r="Q1368">
        <v>0</v>
      </c>
    </row>
    <row r="1369" spans="1:17">
      <c r="A1369" s="19">
        <v>0</v>
      </c>
      <c r="B1369" s="19">
        <v>0</v>
      </c>
      <c r="C1369" s="19">
        <v>0</v>
      </c>
      <c r="D1369" s="19">
        <v>0</v>
      </c>
      <c r="E1369" s="19">
        <v>0</v>
      </c>
      <c r="F1369" s="19">
        <v>0</v>
      </c>
      <c r="G1369" s="19">
        <v>0</v>
      </c>
      <c r="H1369" s="19">
        <v>0</v>
      </c>
      <c r="I1369" s="15">
        <v>3500</v>
      </c>
      <c r="J1369" s="15">
        <v>0</v>
      </c>
      <c r="K1369" s="15">
        <v>0</v>
      </c>
      <c r="L1369" s="15">
        <v>0</v>
      </c>
      <c r="M1369" s="15">
        <v>0</v>
      </c>
      <c r="N1369" s="15" t="str">
        <v/>
      </c>
      <c r="O1369" s="15" t="str">
        <v/>
      </c>
      <c r="P1369" s="22">
        <v>0</v>
      </c>
      <c r="Q1369">
        <v>0</v>
      </c>
    </row>
    <row r="1370" spans="1:17">
      <c r="A1370" s="19">
        <v>0</v>
      </c>
      <c r="B1370" s="19">
        <v>0</v>
      </c>
      <c r="C1370" s="19">
        <v>0</v>
      </c>
      <c r="D1370" s="19">
        <v>0</v>
      </c>
      <c r="E1370" s="19">
        <v>0</v>
      </c>
      <c r="F1370" s="19">
        <v>0</v>
      </c>
      <c r="G1370" s="19">
        <v>0</v>
      </c>
      <c r="H1370" s="19">
        <v>0</v>
      </c>
      <c r="I1370" s="15">
        <v>3500</v>
      </c>
      <c r="J1370" s="15">
        <v>0</v>
      </c>
      <c r="K1370" s="15">
        <v>0</v>
      </c>
      <c r="L1370" s="15">
        <v>0</v>
      </c>
      <c r="M1370" s="15">
        <v>0</v>
      </c>
      <c r="N1370" s="15" t="str">
        <v/>
      </c>
      <c r="O1370" s="15" t="str">
        <v/>
      </c>
      <c r="P1370" s="22">
        <v>0</v>
      </c>
      <c r="Q1370">
        <v>0</v>
      </c>
    </row>
    <row r="1371" spans="1:17">
      <c r="A1371" s="19">
        <v>0</v>
      </c>
      <c r="B1371" s="19">
        <v>0</v>
      </c>
      <c r="C1371" s="19">
        <v>0</v>
      </c>
      <c r="D1371" s="19">
        <v>0</v>
      </c>
      <c r="E1371" s="19">
        <v>0</v>
      </c>
      <c r="F1371" s="19">
        <v>0</v>
      </c>
      <c r="G1371" s="19">
        <v>0</v>
      </c>
      <c r="H1371" s="19">
        <v>0</v>
      </c>
      <c r="I1371" s="15">
        <v>3500</v>
      </c>
      <c r="J1371" s="15">
        <v>0</v>
      </c>
      <c r="K1371" s="15">
        <v>0</v>
      </c>
      <c r="L1371" s="15">
        <v>0</v>
      </c>
      <c r="M1371" s="15">
        <v>0</v>
      </c>
      <c r="N1371" s="15" t="str">
        <v/>
      </c>
      <c r="O1371" s="15" t="str">
        <v/>
      </c>
      <c r="P1371" s="22">
        <v>0</v>
      </c>
      <c r="Q1371">
        <v>0</v>
      </c>
    </row>
    <row r="1372" spans="1:17">
      <c r="A1372" s="19">
        <v>0</v>
      </c>
      <c r="B1372" s="19">
        <v>0</v>
      </c>
      <c r="C1372" s="19">
        <v>0</v>
      </c>
      <c r="D1372" s="19">
        <v>0</v>
      </c>
      <c r="E1372" s="19">
        <v>0</v>
      </c>
      <c r="F1372" s="19">
        <v>0</v>
      </c>
      <c r="G1372" s="19">
        <v>0</v>
      </c>
      <c r="H1372" s="19">
        <v>0</v>
      </c>
      <c r="I1372" s="15">
        <v>3500</v>
      </c>
      <c r="J1372" s="15">
        <v>0</v>
      </c>
      <c r="K1372" s="15">
        <v>0</v>
      </c>
      <c r="L1372" s="15">
        <v>0</v>
      </c>
      <c r="M1372" s="15">
        <v>0</v>
      </c>
      <c r="N1372" s="15" t="str">
        <v/>
      </c>
      <c r="O1372" s="15" t="str">
        <v/>
      </c>
      <c r="P1372" s="22">
        <v>0</v>
      </c>
      <c r="Q1372">
        <v>0</v>
      </c>
    </row>
    <row r="1373" spans="1:17">
      <c r="A1373" s="19">
        <v>0</v>
      </c>
      <c r="B1373" s="19">
        <v>0</v>
      </c>
      <c r="C1373" s="19">
        <v>0</v>
      </c>
      <c r="D1373" s="19">
        <v>0</v>
      </c>
      <c r="E1373" s="19">
        <v>0</v>
      </c>
      <c r="F1373" s="19">
        <v>0</v>
      </c>
      <c r="G1373" s="19">
        <v>0</v>
      </c>
      <c r="H1373" s="19">
        <v>0</v>
      </c>
      <c r="I1373" s="15">
        <v>3500</v>
      </c>
      <c r="J1373" s="15">
        <v>0</v>
      </c>
      <c r="K1373" s="15">
        <v>0</v>
      </c>
      <c r="L1373" s="15">
        <v>0</v>
      </c>
      <c r="M1373" s="15">
        <v>0</v>
      </c>
      <c r="N1373" s="15" t="str">
        <v/>
      </c>
      <c r="O1373" s="15" t="str">
        <v/>
      </c>
      <c r="P1373" s="22">
        <v>0</v>
      </c>
      <c r="Q1373">
        <v>0</v>
      </c>
    </row>
    <row r="1374" spans="1:17">
      <c r="A1374" s="19">
        <v>0</v>
      </c>
      <c r="B1374" s="19">
        <v>0</v>
      </c>
      <c r="C1374" s="19">
        <v>0</v>
      </c>
      <c r="D1374" s="19">
        <v>0</v>
      </c>
      <c r="E1374" s="19">
        <v>0</v>
      </c>
      <c r="F1374" s="19">
        <v>0</v>
      </c>
      <c r="G1374" s="19">
        <v>0</v>
      </c>
      <c r="H1374" s="19">
        <v>0</v>
      </c>
      <c r="I1374" s="15">
        <v>3500</v>
      </c>
      <c r="J1374" s="15">
        <v>0</v>
      </c>
      <c r="K1374" s="15">
        <v>0</v>
      </c>
      <c r="L1374" s="15">
        <v>0</v>
      </c>
      <c r="M1374" s="15">
        <v>0</v>
      </c>
      <c r="N1374" s="15" t="str">
        <v/>
      </c>
      <c r="O1374" s="15" t="str">
        <v/>
      </c>
      <c r="P1374" s="22">
        <v>0</v>
      </c>
      <c r="Q1374">
        <v>0</v>
      </c>
    </row>
    <row r="1375" spans="1:17">
      <c r="A1375" s="19">
        <v>0</v>
      </c>
      <c r="B1375" s="19">
        <v>0</v>
      </c>
      <c r="C1375" s="19">
        <v>0</v>
      </c>
      <c r="D1375" s="19">
        <v>0</v>
      </c>
      <c r="E1375" s="19">
        <v>0</v>
      </c>
      <c r="F1375" s="19">
        <v>0</v>
      </c>
      <c r="G1375" s="19">
        <v>0</v>
      </c>
      <c r="H1375" s="19">
        <v>0</v>
      </c>
      <c r="I1375" s="15">
        <v>3500</v>
      </c>
      <c r="J1375" s="15">
        <v>0</v>
      </c>
      <c r="K1375" s="15">
        <v>0</v>
      </c>
      <c r="L1375" s="15">
        <v>0</v>
      </c>
      <c r="M1375" s="15">
        <v>0</v>
      </c>
      <c r="N1375" s="15" t="str">
        <v/>
      </c>
      <c r="O1375" s="15" t="str">
        <v/>
      </c>
      <c r="P1375" s="22">
        <v>0</v>
      </c>
      <c r="Q1375">
        <v>0</v>
      </c>
    </row>
    <row r="1376" spans="1:17">
      <c r="A1376" s="19">
        <v>0</v>
      </c>
      <c r="B1376" s="19">
        <v>0</v>
      </c>
      <c r="C1376" s="19">
        <v>0</v>
      </c>
      <c r="D1376" s="19">
        <v>0</v>
      </c>
      <c r="E1376" s="19">
        <v>0</v>
      </c>
      <c r="F1376" s="19">
        <v>0</v>
      </c>
      <c r="G1376" s="19">
        <v>0</v>
      </c>
      <c r="H1376" s="19">
        <v>0</v>
      </c>
      <c r="I1376" s="15">
        <v>3500</v>
      </c>
      <c r="J1376" s="15">
        <v>0</v>
      </c>
      <c r="K1376" s="15">
        <v>0</v>
      </c>
      <c r="L1376" s="15">
        <v>0</v>
      </c>
      <c r="M1376" s="15">
        <v>0</v>
      </c>
      <c r="N1376" s="15" t="str">
        <v/>
      </c>
      <c r="O1376" s="15" t="str">
        <v/>
      </c>
      <c r="P1376" s="22">
        <v>0</v>
      </c>
      <c r="Q1376">
        <v>0</v>
      </c>
    </row>
    <row r="1377" spans="1:17">
      <c r="A1377" s="19">
        <v>0</v>
      </c>
      <c r="B1377" s="19">
        <v>0</v>
      </c>
      <c r="C1377" s="19">
        <v>0</v>
      </c>
      <c r="D1377" s="19">
        <v>0</v>
      </c>
      <c r="E1377" s="19">
        <v>0</v>
      </c>
      <c r="F1377" s="19">
        <v>0</v>
      </c>
      <c r="G1377" s="19">
        <v>0</v>
      </c>
      <c r="H1377" s="19">
        <v>0</v>
      </c>
      <c r="I1377" s="15">
        <v>3500</v>
      </c>
      <c r="J1377" s="15">
        <v>0</v>
      </c>
      <c r="K1377" s="15">
        <v>0</v>
      </c>
      <c r="L1377" s="15">
        <v>0</v>
      </c>
      <c r="M1377" s="15">
        <v>0</v>
      </c>
      <c r="N1377" s="15" t="str">
        <v/>
      </c>
      <c r="O1377" s="15" t="str">
        <v/>
      </c>
      <c r="P1377" s="22">
        <v>0</v>
      </c>
      <c r="Q1377">
        <v>0</v>
      </c>
    </row>
    <row r="1378" spans="1:17">
      <c r="A1378" s="19">
        <v>0</v>
      </c>
      <c r="B1378" s="19">
        <v>0</v>
      </c>
      <c r="C1378" s="19">
        <v>0</v>
      </c>
      <c r="D1378" s="19">
        <v>0</v>
      </c>
      <c r="E1378" s="19">
        <v>0</v>
      </c>
      <c r="F1378" s="19">
        <v>0</v>
      </c>
      <c r="G1378" s="19">
        <v>0</v>
      </c>
      <c r="H1378" s="19">
        <v>0</v>
      </c>
      <c r="I1378" s="15">
        <v>3500</v>
      </c>
      <c r="J1378" s="15">
        <v>0</v>
      </c>
      <c r="K1378" s="15">
        <v>0</v>
      </c>
      <c r="L1378" s="15">
        <v>0</v>
      </c>
      <c r="M1378" s="15">
        <v>0</v>
      </c>
      <c r="N1378" s="15" t="str">
        <v/>
      </c>
      <c r="O1378" s="15" t="str">
        <v/>
      </c>
      <c r="P1378" s="22">
        <v>0</v>
      </c>
      <c r="Q1378">
        <v>0</v>
      </c>
    </row>
    <row r="1379" spans="1:17">
      <c r="A1379" s="19">
        <v>0</v>
      </c>
      <c r="B1379" s="19">
        <v>0</v>
      </c>
      <c r="C1379" s="19">
        <v>0</v>
      </c>
      <c r="D1379" s="19">
        <v>0</v>
      </c>
      <c r="E1379" s="19">
        <v>0</v>
      </c>
      <c r="F1379" s="19">
        <v>0</v>
      </c>
      <c r="G1379" s="19">
        <v>0</v>
      </c>
      <c r="H1379" s="19">
        <v>0</v>
      </c>
      <c r="I1379" s="15">
        <v>3500</v>
      </c>
      <c r="J1379" s="15">
        <v>0</v>
      </c>
      <c r="K1379" s="15">
        <v>0</v>
      </c>
      <c r="L1379" s="15">
        <v>0</v>
      </c>
      <c r="M1379" s="15">
        <v>0</v>
      </c>
      <c r="N1379" s="15" t="str">
        <v/>
      </c>
      <c r="O1379" s="15" t="str">
        <v/>
      </c>
      <c r="P1379" s="22">
        <v>0</v>
      </c>
      <c r="Q1379">
        <v>0</v>
      </c>
    </row>
    <row r="1380" spans="1:17">
      <c r="A1380" s="19">
        <v>0</v>
      </c>
      <c r="B1380" s="19">
        <v>0</v>
      </c>
      <c r="C1380" s="19">
        <v>0</v>
      </c>
      <c r="D1380" s="19">
        <v>0</v>
      </c>
      <c r="E1380" s="19">
        <v>0</v>
      </c>
      <c r="F1380" s="19">
        <v>0</v>
      </c>
      <c r="G1380" s="19">
        <v>0</v>
      </c>
      <c r="H1380" s="19">
        <v>0</v>
      </c>
      <c r="I1380" s="15">
        <v>3500</v>
      </c>
      <c r="J1380" s="15">
        <v>0</v>
      </c>
      <c r="K1380" s="15">
        <v>0</v>
      </c>
      <c r="L1380" s="15">
        <v>0</v>
      </c>
      <c r="M1380" s="15">
        <v>0</v>
      </c>
      <c r="N1380" s="15" t="str">
        <v/>
      </c>
      <c r="O1380" s="15" t="str">
        <v/>
      </c>
      <c r="P1380" s="22">
        <v>0</v>
      </c>
      <c r="Q1380">
        <v>0</v>
      </c>
    </row>
    <row r="1381" spans="1:17">
      <c r="A1381" s="19">
        <v>0</v>
      </c>
      <c r="B1381" s="19">
        <v>0</v>
      </c>
      <c r="C1381" s="19">
        <v>0</v>
      </c>
      <c r="D1381" s="19">
        <v>0</v>
      </c>
      <c r="E1381" s="19">
        <v>0</v>
      </c>
      <c r="F1381" s="19">
        <v>0</v>
      </c>
      <c r="G1381" s="19">
        <v>0</v>
      </c>
      <c r="H1381" s="19">
        <v>0</v>
      </c>
      <c r="I1381" s="15">
        <v>3500</v>
      </c>
      <c r="J1381" s="15">
        <v>0</v>
      </c>
      <c r="K1381" s="15">
        <v>0</v>
      </c>
      <c r="L1381" s="15">
        <v>0</v>
      </c>
      <c r="M1381" s="15">
        <v>0</v>
      </c>
      <c r="N1381" s="15" t="str">
        <v/>
      </c>
      <c r="O1381" s="15" t="str">
        <v/>
      </c>
      <c r="P1381" s="22">
        <v>0</v>
      </c>
      <c r="Q1381">
        <v>0</v>
      </c>
    </row>
    <row r="1382" spans="1:17">
      <c r="A1382" s="19">
        <v>0</v>
      </c>
      <c r="B1382" s="19">
        <v>0</v>
      </c>
      <c r="C1382" s="19">
        <v>0</v>
      </c>
      <c r="D1382" s="19">
        <v>0</v>
      </c>
      <c r="E1382" s="19">
        <v>0</v>
      </c>
      <c r="F1382" s="19">
        <v>0</v>
      </c>
      <c r="G1382" s="19">
        <v>0</v>
      </c>
      <c r="H1382" s="19">
        <v>0</v>
      </c>
      <c r="I1382" s="15">
        <v>3500</v>
      </c>
      <c r="J1382" s="15">
        <v>0</v>
      </c>
      <c r="K1382" s="15">
        <v>0</v>
      </c>
      <c r="L1382" s="15">
        <v>0</v>
      </c>
      <c r="M1382" s="15">
        <v>0</v>
      </c>
      <c r="N1382" s="15" t="str">
        <v/>
      </c>
      <c r="O1382" s="15" t="str">
        <v/>
      </c>
      <c r="P1382" s="22">
        <v>0</v>
      </c>
      <c r="Q1382">
        <v>0</v>
      </c>
    </row>
    <row r="1383" spans="1:17">
      <c r="A1383" s="19">
        <v>0</v>
      </c>
      <c r="B1383" s="19">
        <v>0</v>
      </c>
      <c r="C1383" s="19">
        <v>0</v>
      </c>
      <c r="D1383" s="19">
        <v>0</v>
      </c>
      <c r="E1383" s="19">
        <v>0</v>
      </c>
      <c r="F1383" s="19">
        <v>0</v>
      </c>
      <c r="G1383" s="19">
        <v>0</v>
      </c>
      <c r="H1383" s="19">
        <v>0</v>
      </c>
      <c r="I1383" s="15">
        <v>3500</v>
      </c>
      <c r="J1383" s="15">
        <v>0</v>
      </c>
      <c r="K1383" s="15">
        <v>0</v>
      </c>
      <c r="L1383" s="15">
        <v>0</v>
      </c>
      <c r="M1383" s="15">
        <v>0</v>
      </c>
      <c r="N1383" s="15" t="str">
        <v/>
      </c>
      <c r="O1383" s="15" t="str">
        <v/>
      </c>
      <c r="P1383" s="22">
        <v>0</v>
      </c>
      <c r="Q1383">
        <v>0</v>
      </c>
    </row>
    <row r="1384" spans="1:17">
      <c r="A1384" s="19">
        <v>0</v>
      </c>
      <c r="B1384" s="19">
        <v>0</v>
      </c>
      <c r="C1384" s="19">
        <v>0</v>
      </c>
      <c r="D1384" s="19">
        <v>0</v>
      </c>
      <c r="E1384" s="19">
        <v>0</v>
      </c>
      <c r="F1384" s="19">
        <v>0</v>
      </c>
      <c r="G1384" s="19">
        <v>0</v>
      </c>
      <c r="H1384" s="19">
        <v>0</v>
      </c>
      <c r="I1384" s="15">
        <v>3500</v>
      </c>
      <c r="J1384" s="15">
        <v>0</v>
      </c>
      <c r="K1384" s="15">
        <v>0</v>
      </c>
      <c r="L1384" s="15">
        <v>0</v>
      </c>
      <c r="M1384" s="15">
        <v>0</v>
      </c>
      <c r="N1384" s="15" t="str">
        <v/>
      </c>
      <c r="O1384" s="15" t="str">
        <v/>
      </c>
      <c r="P1384" s="22">
        <v>0</v>
      </c>
      <c r="Q1384">
        <v>0</v>
      </c>
    </row>
    <row r="1385" spans="1:17">
      <c r="A1385" s="19">
        <v>0</v>
      </c>
      <c r="B1385" s="19">
        <v>0</v>
      </c>
      <c r="C1385" s="19">
        <v>0</v>
      </c>
      <c r="D1385" s="19">
        <v>0</v>
      </c>
      <c r="E1385" s="19">
        <v>0</v>
      </c>
      <c r="F1385" s="19">
        <v>0</v>
      </c>
      <c r="G1385" s="19">
        <v>0</v>
      </c>
      <c r="H1385" s="19">
        <v>0</v>
      </c>
      <c r="I1385" s="15">
        <v>3500</v>
      </c>
      <c r="J1385" s="15">
        <v>0</v>
      </c>
      <c r="K1385" s="15">
        <v>0</v>
      </c>
      <c r="L1385" s="15">
        <v>0</v>
      </c>
      <c r="M1385" s="15">
        <v>0</v>
      </c>
      <c r="N1385" s="15" t="str">
        <v/>
      </c>
      <c r="O1385" s="15" t="str">
        <v/>
      </c>
      <c r="P1385" s="22">
        <v>0</v>
      </c>
      <c r="Q1385">
        <v>0</v>
      </c>
    </row>
    <row r="1386" spans="1:17">
      <c r="A1386" s="19">
        <v>0</v>
      </c>
      <c r="B1386" s="19">
        <v>0</v>
      </c>
      <c r="C1386" s="19">
        <v>0</v>
      </c>
      <c r="D1386" s="19">
        <v>0</v>
      </c>
      <c r="E1386" s="19">
        <v>0</v>
      </c>
      <c r="F1386" s="19">
        <v>0</v>
      </c>
      <c r="G1386" s="19">
        <v>0</v>
      </c>
      <c r="H1386" s="19">
        <v>0</v>
      </c>
      <c r="I1386" s="15">
        <v>3500</v>
      </c>
      <c r="J1386" s="15">
        <v>0</v>
      </c>
      <c r="K1386" s="15">
        <v>0</v>
      </c>
      <c r="L1386" s="15">
        <v>0</v>
      </c>
      <c r="M1386" s="15">
        <v>0</v>
      </c>
      <c r="N1386" s="15" t="str">
        <v/>
      </c>
      <c r="O1386" s="15" t="str">
        <v/>
      </c>
      <c r="P1386" s="22">
        <v>0</v>
      </c>
      <c r="Q1386">
        <v>0</v>
      </c>
    </row>
    <row r="1387" spans="1:17">
      <c r="A1387" s="19">
        <v>0</v>
      </c>
      <c r="B1387" s="19">
        <v>0</v>
      </c>
      <c r="C1387" s="19">
        <v>0</v>
      </c>
      <c r="D1387" s="19">
        <v>0</v>
      </c>
      <c r="E1387" s="19">
        <v>0</v>
      </c>
      <c r="F1387" s="19">
        <v>0</v>
      </c>
      <c r="G1387" s="19">
        <v>0</v>
      </c>
      <c r="H1387" s="19">
        <v>0</v>
      </c>
      <c r="I1387" s="15">
        <v>3500</v>
      </c>
      <c r="J1387" s="15">
        <v>0</v>
      </c>
      <c r="K1387" s="15">
        <v>0</v>
      </c>
      <c r="L1387" s="15">
        <v>0</v>
      </c>
      <c r="M1387" s="15">
        <v>0</v>
      </c>
      <c r="N1387" s="15" t="str">
        <v/>
      </c>
      <c r="O1387" s="15" t="str">
        <v/>
      </c>
      <c r="P1387" s="22">
        <v>0</v>
      </c>
      <c r="Q1387">
        <v>0</v>
      </c>
    </row>
    <row r="1388" spans="1:17">
      <c r="A1388" s="19">
        <v>0</v>
      </c>
      <c r="B1388" s="19">
        <v>0</v>
      </c>
      <c r="C1388" s="19">
        <v>0</v>
      </c>
      <c r="D1388" s="19">
        <v>0</v>
      </c>
      <c r="E1388" s="19">
        <v>0</v>
      </c>
      <c r="F1388" s="19">
        <v>0</v>
      </c>
      <c r="G1388" s="19">
        <v>0</v>
      </c>
      <c r="H1388" s="19">
        <v>0</v>
      </c>
      <c r="I1388" s="15">
        <v>3500</v>
      </c>
      <c r="J1388" s="15">
        <v>0</v>
      </c>
      <c r="K1388" s="15">
        <v>0</v>
      </c>
      <c r="L1388" s="15">
        <v>0</v>
      </c>
      <c r="M1388" s="15">
        <v>0</v>
      </c>
      <c r="N1388" s="15" t="str">
        <v/>
      </c>
      <c r="O1388" s="15" t="str">
        <v/>
      </c>
      <c r="P1388" s="22">
        <v>0</v>
      </c>
      <c r="Q1388">
        <v>0</v>
      </c>
    </row>
    <row r="1389" spans="1:17">
      <c r="A1389" s="19">
        <v>0</v>
      </c>
      <c r="B1389" s="19">
        <v>0</v>
      </c>
      <c r="C1389" s="19">
        <v>0</v>
      </c>
      <c r="D1389" s="19">
        <v>0</v>
      </c>
      <c r="E1389" s="19">
        <v>0</v>
      </c>
      <c r="F1389" s="19">
        <v>0</v>
      </c>
      <c r="G1389" s="19">
        <v>0</v>
      </c>
      <c r="H1389" s="19">
        <v>0</v>
      </c>
      <c r="I1389" s="15">
        <v>3500</v>
      </c>
      <c r="J1389" s="15">
        <v>0</v>
      </c>
      <c r="K1389" s="15">
        <v>0</v>
      </c>
      <c r="L1389" s="15">
        <v>0</v>
      </c>
      <c r="M1389" s="15">
        <v>0</v>
      </c>
      <c r="N1389" s="15" t="str">
        <v/>
      </c>
      <c r="O1389" s="15" t="str">
        <v/>
      </c>
      <c r="P1389" s="22">
        <v>0</v>
      </c>
      <c r="Q1389">
        <v>0</v>
      </c>
    </row>
    <row r="1390" spans="1:17">
      <c r="A1390" s="19">
        <v>0</v>
      </c>
      <c r="B1390" s="19">
        <v>0</v>
      </c>
      <c r="C1390" s="19">
        <v>0</v>
      </c>
      <c r="D1390" s="19">
        <v>0</v>
      </c>
      <c r="E1390" s="19">
        <v>0</v>
      </c>
      <c r="F1390" s="19">
        <v>0</v>
      </c>
      <c r="G1390" s="19">
        <v>0</v>
      </c>
      <c r="H1390" s="19">
        <v>0</v>
      </c>
      <c r="I1390" s="15">
        <v>3500</v>
      </c>
      <c r="J1390" s="15">
        <v>0</v>
      </c>
      <c r="K1390" s="15">
        <v>0</v>
      </c>
      <c r="L1390" s="15">
        <v>0</v>
      </c>
      <c r="M1390" s="15">
        <v>0</v>
      </c>
      <c r="N1390" s="15" t="str">
        <v/>
      </c>
      <c r="O1390" s="15" t="str">
        <v/>
      </c>
      <c r="P1390" s="22">
        <v>0</v>
      </c>
      <c r="Q1390">
        <v>0</v>
      </c>
    </row>
    <row r="1391" spans="1:17">
      <c r="A1391" s="19">
        <v>0</v>
      </c>
      <c r="B1391" s="19">
        <v>0</v>
      </c>
      <c r="C1391" s="19">
        <v>0</v>
      </c>
      <c r="D1391" s="19">
        <v>0</v>
      </c>
      <c r="E1391" s="19">
        <v>0</v>
      </c>
      <c r="F1391" s="19">
        <v>0</v>
      </c>
      <c r="G1391" s="19">
        <v>0</v>
      </c>
      <c r="H1391" s="19">
        <v>0</v>
      </c>
      <c r="I1391" s="15">
        <v>3500</v>
      </c>
      <c r="J1391" s="15">
        <v>0</v>
      </c>
      <c r="K1391" s="15">
        <v>0</v>
      </c>
      <c r="L1391" s="15">
        <v>0</v>
      </c>
      <c r="M1391" s="15">
        <v>0</v>
      </c>
      <c r="N1391" s="15" t="str">
        <v/>
      </c>
      <c r="O1391" s="15" t="str">
        <v/>
      </c>
      <c r="P1391" s="22">
        <v>0</v>
      </c>
      <c r="Q1391">
        <v>0</v>
      </c>
    </row>
    <row r="1392" spans="1:17">
      <c r="A1392" s="19">
        <v>0</v>
      </c>
      <c r="B1392" s="19">
        <v>0</v>
      </c>
      <c r="C1392" s="19">
        <v>0</v>
      </c>
      <c r="D1392" s="19">
        <v>0</v>
      </c>
      <c r="E1392" s="19">
        <v>0</v>
      </c>
      <c r="F1392" s="19">
        <v>0</v>
      </c>
      <c r="G1392" s="19">
        <v>0</v>
      </c>
      <c r="H1392" s="19">
        <v>0</v>
      </c>
      <c r="I1392" s="15">
        <v>3500</v>
      </c>
      <c r="J1392" s="15">
        <v>0</v>
      </c>
      <c r="K1392" s="15">
        <v>0</v>
      </c>
      <c r="L1392" s="15">
        <v>0</v>
      </c>
      <c r="M1392" s="15">
        <v>0</v>
      </c>
      <c r="N1392" s="15" t="str">
        <v/>
      </c>
      <c r="O1392" s="15" t="str">
        <v/>
      </c>
      <c r="P1392" s="22">
        <v>0</v>
      </c>
      <c r="Q1392">
        <v>0</v>
      </c>
    </row>
    <row r="1393" spans="1:17">
      <c r="A1393" s="19">
        <v>0</v>
      </c>
      <c r="B1393" s="19">
        <v>0</v>
      </c>
      <c r="C1393" s="19">
        <v>0</v>
      </c>
      <c r="D1393" s="19">
        <v>0</v>
      </c>
      <c r="E1393" s="19">
        <v>0</v>
      </c>
      <c r="F1393" s="19">
        <v>0</v>
      </c>
      <c r="G1393" s="19">
        <v>0</v>
      </c>
      <c r="H1393" s="19">
        <v>0</v>
      </c>
      <c r="I1393" s="15">
        <v>3500</v>
      </c>
      <c r="J1393" s="15">
        <v>0</v>
      </c>
      <c r="K1393" s="15">
        <v>0</v>
      </c>
      <c r="L1393" s="15">
        <v>0</v>
      </c>
      <c r="M1393" s="15">
        <v>0</v>
      </c>
      <c r="N1393" s="15" t="str">
        <v/>
      </c>
      <c r="O1393" s="15" t="str">
        <v/>
      </c>
      <c r="P1393" s="22">
        <v>0</v>
      </c>
      <c r="Q1393">
        <v>0</v>
      </c>
    </row>
    <row r="1394" spans="1:17">
      <c r="A1394" s="19">
        <v>0</v>
      </c>
      <c r="B1394" s="19">
        <v>0</v>
      </c>
      <c r="C1394" s="19">
        <v>0</v>
      </c>
      <c r="D1394" s="19">
        <v>0</v>
      </c>
      <c r="E1394" s="19">
        <v>0</v>
      </c>
      <c r="F1394" s="19">
        <v>0</v>
      </c>
      <c r="G1394" s="19">
        <v>0</v>
      </c>
      <c r="H1394" s="19">
        <v>0</v>
      </c>
      <c r="I1394" s="15">
        <v>3500</v>
      </c>
      <c r="J1394" s="15">
        <v>0</v>
      </c>
      <c r="K1394" s="15">
        <v>0</v>
      </c>
      <c r="L1394" s="15">
        <v>0</v>
      </c>
      <c r="M1394" s="15">
        <v>0</v>
      </c>
      <c r="N1394" s="15" t="str">
        <v/>
      </c>
      <c r="O1394" s="15" t="str">
        <v/>
      </c>
      <c r="P1394" s="22">
        <v>0</v>
      </c>
      <c r="Q1394">
        <v>0</v>
      </c>
    </row>
    <row r="1395" spans="1:17">
      <c r="A1395" s="19">
        <v>0</v>
      </c>
      <c r="B1395" s="19">
        <v>0</v>
      </c>
      <c r="C1395" s="19">
        <v>0</v>
      </c>
      <c r="D1395" s="19">
        <v>0</v>
      </c>
      <c r="E1395" s="19">
        <v>0</v>
      </c>
      <c r="F1395" s="19">
        <v>0</v>
      </c>
      <c r="G1395" s="19">
        <v>0</v>
      </c>
      <c r="H1395" s="19">
        <v>0</v>
      </c>
      <c r="I1395" s="15">
        <v>3500</v>
      </c>
      <c r="J1395" s="15">
        <v>0</v>
      </c>
      <c r="K1395" s="15">
        <v>0</v>
      </c>
      <c r="L1395" s="15">
        <v>0</v>
      </c>
      <c r="M1395" s="15">
        <v>0</v>
      </c>
      <c r="N1395" s="15" t="str">
        <v/>
      </c>
      <c r="O1395" s="15" t="str">
        <v/>
      </c>
      <c r="P1395" s="22">
        <v>0</v>
      </c>
      <c r="Q1395">
        <v>0</v>
      </c>
    </row>
    <row r="1396" spans="1:17">
      <c r="A1396" s="19">
        <v>0</v>
      </c>
      <c r="B1396" s="19">
        <v>0</v>
      </c>
      <c r="C1396" s="19">
        <v>0</v>
      </c>
      <c r="D1396" s="19">
        <v>0</v>
      </c>
      <c r="E1396" s="19">
        <v>0</v>
      </c>
      <c r="F1396" s="19">
        <v>0</v>
      </c>
      <c r="G1396" s="19">
        <v>0</v>
      </c>
      <c r="H1396" s="19">
        <v>0</v>
      </c>
      <c r="I1396" s="15">
        <v>3500</v>
      </c>
      <c r="J1396" s="15">
        <v>0</v>
      </c>
      <c r="K1396" s="15">
        <v>0</v>
      </c>
      <c r="L1396" s="15">
        <v>0</v>
      </c>
      <c r="M1396" s="15">
        <v>0</v>
      </c>
      <c r="N1396" s="15" t="str">
        <v/>
      </c>
      <c r="O1396" s="15" t="str">
        <v/>
      </c>
      <c r="P1396" s="22">
        <v>0</v>
      </c>
      <c r="Q1396">
        <v>0</v>
      </c>
    </row>
    <row r="1397" spans="1:17">
      <c r="A1397" s="19">
        <v>0</v>
      </c>
      <c r="B1397" s="19">
        <v>0</v>
      </c>
      <c r="C1397" s="19">
        <v>0</v>
      </c>
      <c r="D1397" s="19">
        <v>0</v>
      </c>
      <c r="E1397" s="19">
        <v>0</v>
      </c>
      <c r="F1397" s="19">
        <v>0</v>
      </c>
      <c r="G1397" s="19">
        <v>0</v>
      </c>
      <c r="H1397" s="19">
        <v>0</v>
      </c>
      <c r="I1397" s="15">
        <v>3500</v>
      </c>
      <c r="J1397" s="15">
        <v>0</v>
      </c>
      <c r="K1397" s="15">
        <v>0</v>
      </c>
      <c r="L1397" s="15">
        <v>0</v>
      </c>
      <c r="M1397" s="15">
        <v>0</v>
      </c>
      <c r="N1397" s="15" t="str">
        <v/>
      </c>
      <c r="O1397" s="15" t="str">
        <v/>
      </c>
      <c r="P1397" s="22">
        <v>0</v>
      </c>
      <c r="Q1397">
        <v>0</v>
      </c>
    </row>
    <row r="1398" spans="1:17">
      <c r="A1398" s="19">
        <v>0</v>
      </c>
      <c r="B1398" s="19">
        <v>0</v>
      </c>
      <c r="C1398" s="19">
        <v>0</v>
      </c>
      <c r="D1398" s="19">
        <v>0</v>
      </c>
      <c r="E1398" s="19">
        <v>0</v>
      </c>
      <c r="F1398" s="19">
        <v>0</v>
      </c>
      <c r="G1398" s="19">
        <v>0</v>
      </c>
      <c r="H1398" s="19">
        <v>0</v>
      </c>
      <c r="I1398" s="15">
        <v>3500</v>
      </c>
      <c r="J1398" s="15">
        <v>0</v>
      </c>
      <c r="K1398" s="15">
        <v>0</v>
      </c>
      <c r="L1398" s="15">
        <v>0</v>
      </c>
      <c r="M1398" s="15">
        <v>0</v>
      </c>
      <c r="N1398" s="15" t="str">
        <v/>
      </c>
      <c r="O1398" s="15" t="str">
        <v/>
      </c>
      <c r="P1398" s="22">
        <v>0</v>
      </c>
      <c r="Q1398">
        <v>0</v>
      </c>
    </row>
    <row r="1399" spans="1:17">
      <c r="A1399" s="19">
        <v>0</v>
      </c>
      <c r="B1399" s="19">
        <v>0</v>
      </c>
      <c r="C1399" s="19">
        <v>0</v>
      </c>
      <c r="D1399" s="19">
        <v>0</v>
      </c>
      <c r="E1399" s="19">
        <v>0</v>
      </c>
      <c r="F1399" s="19">
        <v>0</v>
      </c>
      <c r="G1399" s="19">
        <v>0</v>
      </c>
      <c r="H1399" s="19">
        <v>0</v>
      </c>
      <c r="I1399" s="15">
        <v>3500</v>
      </c>
      <c r="J1399" s="15">
        <v>0</v>
      </c>
      <c r="K1399" s="15">
        <v>0</v>
      </c>
      <c r="L1399" s="15">
        <v>0</v>
      </c>
      <c r="M1399" s="15">
        <v>0</v>
      </c>
      <c r="N1399" s="15" t="str">
        <v/>
      </c>
      <c r="O1399" s="15" t="str">
        <v/>
      </c>
      <c r="P1399" s="22">
        <v>0</v>
      </c>
      <c r="Q1399">
        <v>0</v>
      </c>
    </row>
    <row r="1400" spans="1:17">
      <c r="A1400" s="19">
        <v>0</v>
      </c>
      <c r="B1400" s="19">
        <v>0</v>
      </c>
      <c r="C1400" s="19">
        <v>0</v>
      </c>
      <c r="D1400" s="19">
        <v>0</v>
      </c>
      <c r="E1400" s="19">
        <v>0</v>
      </c>
      <c r="F1400" s="19">
        <v>0</v>
      </c>
      <c r="G1400" s="19">
        <v>0</v>
      </c>
      <c r="H1400" s="19">
        <v>0</v>
      </c>
      <c r="I1400" s="15">
        <v>3500</v>
      </c>
      <c r="J1400" s="15">
        <v>0</v>
      </c>
      <c r="K1400" s="15">
        <v>0</v>
      </c>
      <c r="L1400" s="15">
        <v>0</v>
      </c>
      <c r="M1400" s="15">
        <v>0</v>
      </c>
      <c r="N1400" s="15" t="str">
        <v/>
      </c>
      <c r="O1400" s="15" t="str">
        <v/>
      </c>
      <c r="P1400" s="22">
        <v>0</v>
      </c>
      <c r="Q1400">
        <v>0</v>
      </c>
    </row>
    <row r="1401" spans="1:17">
      <c r="A1401" s="19">
        <v>0</v>
      </c>
      <c r="B1401" s="19">
        <v>0</v>
      </c>
      <c r="C1401" s="19">
        <v>0</v>
      </c>
      <c r="D1401" s="19">
        <v>0</v>
      </c>
      <c r="E1401" s="19">
        <v>0</v>
      </c>
      <c r="F1401" s="19">
        <v>0</v>
      </c>
      <c r="G1401" s="19">
        <v>0</v>
      </c>
      <c r="H1401" s="19">
        <v>0</v>
      </c>
      <c r="I1401" s="15">
        <v>3500</v>
      </c>
      <c r="J1401" s="15">
        <v>0</v>
      </c>
      <c r="K1401" s="15">
        <v>0</v>
      </c>
      <c r="L1401" s="15">
        <v>0</v>
      </c>
      <c r="M1401" s="15">
        <v>0</v>
      </c>
      <c r="N1401" s="15" t="str">
        <v/>
      </c>
      <c r="O1401" s="15" t="str">
        <v/>
      </c>
      <c r="P1401" s="22">
        <v>0</v>
      </c>
      <c r="Q1401">
        <v>0</v>
      </c>
    </row>
    <row r="1402" spans="1:17">
      <c r="A1402" s="19">
        <v>0</v>
      </c>
      <c r="B1402" s="19">
        <v>0</v>
      </c>
      <c r="C1402" s="19">
        <v>0</v>
      </c>
      <c r="D1402" s="19">
        <v>0</v>
      </c>
      <c r="E1402" s="19">
        <v>0</v>
      </c>
      <c r="F1402" s="19">
        <v>0</v>
      </c>
      <c r="G1402" s="19">
        <v>0</v>
      </c>
      <c r="H1402" s="19">
        <v>0</v>
      </c>
      <c r="I1402" s="15">
        <v>3500</v>
      </c>
      <c r="J1402" s="15">
        <v>0</v>
      </c>
      <c r="K1402" s="15">
        <v>0</v>
      </c>
      <c r="L1402" s="15">
        <v>0</v>
      </c>
      <c r="M1402" s="15">
        <v>0</v>
      </c>
      <c r="N1402" s="15" t="str">
        <v/>
      </c>
      <c r="O1402" s="15" t="str">
        <v/>
      </c>
      <c r="P1402" s="22">
        <v>0</v>
      </c>
      <c r="Q1402">
        <v>0</v>
      </c>
    </row>
    <row r="1403" spans="1:17">
      <c r="A1403" s="19">
        <v>0</v>
      </c>
      <c r="B1403" s="19">
        <v>0</v>
      </c>
      <c r="C1403" s="19">
        <v>0</v>
      </c>
      <c r="D1403" s="19">
        <v>0</v>
      </c>
      <c r="E1403" s="19">
        <v>0</v>
      </c>
      <c r="F1403" s="19">
        <v>0</v>
      </c>
      <c r="G1403" s="19">
        <v>0</v>
      </c>
      <c r="H1403" s="19">
        <v>0</v>
      </c>
      <c r="I1403" s="15">
        <v>3500</v>
      </c>
      <c r="J1403" s="15">
        <v>0</v>
      </c>
      <c r="K1403" s="15">
        <v>0</v>
      </c>
      <c r="L1403" s="15">
        <v>0</v>
      </c>
      <c r="M1403" s="15">
        <v>0</v>
      </c>
      <c r="N1403" s="15" t="str">
        <v/>
      </c>
      <c r="O1403" s="15" t="str">
        <v/>
      </c>
      <c r="P1403" s="22">
        <v>0</v>
      </c>
      <c r="Q1403">
        <v>0</v>
      </c>
    </row>
    <row r="1404" spans="1:17">
      <c r="A1404" s="19">
        <v>0</v>
      </c>
      <c r="B1404" s="19">
        <v>0</v>
      </c>
      <c r="C1404" s="19">
        <v>0</v>
      </c>
      <c r="D1404" s="19">
        <v>0</v>
      </c>
      <c r="E1404" s="19">
        <v>0</v>
      </c>
      <c r="F1404" s="19">
        <v>0</v>
      </c>
      <c r="G1404" s="19">
        <v>0</v>
      </c>
      <c r="H1404" s="19">
        <v>0</v>
      </c>
      <c r="I1404" s="15">
        <v>3500</v>
      </c>
      <c r="J1404" s="15">
        <v>0</v>
      </c>
      <c r="K1404" s="15">
        <v>0</v>
      </c>
      <c r="L1404" s="15">
        <v>0</v>
      </c>
      <c r="M1404" s="15">
        <v>0</v>
      </c>
      <c r="N1404" s="15" t="str">
        <v/>
      </c>
      <c r="O1404" s="15" t="str">
        <v/>
      </c>
      <c r="P1404" s="22">
        <v>0</v>
      </c>
      <c r="Q1404">
        <v>0</v>
      </c>
    </row>
    <row r="1405" spans="1:17">
      <c r="A1405" s="19">
        <v>0</v>
      </c>
      <c r="B1405" s="19">
        <v>0</v>
      </c>
      <c r="C1405" s="19">
        <v>0</v>
      </c>
      <c r="D1405" s="19">
        <v>0</v>
      </c>
      <c r="E1405" s="19">
        <v>0</v>
      </c>
      <c r="F1405" s="19">
        <v>0</v>
      </c>
      <c r="G1405" s="19">
        <v>0</v>
      </c>
      <c r="H1405" s="19">
        <v>0</v>
      </c>
      <c r="I1405" s="15">
        <v>3500</v>
      </c>
      <c r="J1405" s="15">
        <v>0</v>
      </c>
      <c r="K1405" s="15">
        <v>0</v>
      </c>
      <c r="L1405" s="15">
        <v>0</v>
      </c>
      <c r="M1405" s="15">
        <v>0</v>
      </c>
      <c r="N1405" s="15" t="str">
        <v/>
      </c>
      <c r="O1405" s="15" t="str">
        <v/>
      </c>
      <c r="P1405" s="22">
        <v>0</v>
      </c>
      <c r="Q1405">
        <v>0</v>
      </c>
    </row>
    <row r="1406" spans="1:17">
      <c r="A1406" s="19">
        <v>0</v>
      </c>
      <c r="B1406" s="19">
        <v>0</v>
      </c>
      <c r="C1406" s="19">
        <v>0</v>
      </c>
      <c r="D1406" s="19">
        <v>0</v>
      </c>
      <c r="E1406" s="19">
        <v>0</v>
      </c>
      <c r="F1406" s="19">
        <v>0</v>
      </c>
      <c r="G1406" s="19">
        <v>0</v>
      </c>
      <c r="H1406" s="19">
        <v>0</v>
      </c>
      <c r="I1406" s="15">
        <v>3500</v>
      </c>
      <c r="J1406" s="15">
        <v>0</v>
      </c>
      <c r="K1406" s="15">
        <v>0</v>
      </c>
      <c r="L1406" s="15">
        <v>0</v>
      </c>
      <c r="M1406" s="15">
        <v>0</v>
      </c>
      <c r="N1406" s="15" t="str">
        <v/>
      </c>
      <c r="O1406" s="15" t="str">
        <v/>
      </c>
      <c r="P1406" s="22">
        <v>0</v>
      </c>
      <c r="Q1406">
        <v>0</v>
      </c>
    </row>
    <row r="1407" spans="1:17">
      <c r="A1407" s="19">
        <v>0</v>
      </c>
      <c r="B1407" s="19">
        <v>0</v>
      </c>
      <c r="C1407" s="19">
        <v>0</v>
      </c>
      <c r="D1407" s="19">
        <v>0</v>
      </c>
      <c r="E1407" s="19">
        <v>0</v>
      </c>
      <c r="F1407" s="19">
        <v>0</v>
      </c>
      <c r="G1407" s="19">
        <v>0</v>
      </c>
      <c r="H1407" s="19">
        <v>0</v>
      </c>
      <c r="I1407" s="15">
        <v>3500</v>
      </c>
      <c r="J1407" s="15">
        <v>0</v>
      </c>
      <c r="K1407" s="15">
        <v>0</v>
      </c>
      <c r="L1407" s="15">
        <v>0</v>
      </c>
      <c r="M1407" s="15">
        <v>0</v>
      </c>
      <c r="N1407" s="15" t="str">
        <v/>
      </c>
      <c r="O1407" s="15" t="str">
        <v/>
      </c>
      <c r="P1407" s="22">
        <v>0</v>
      </c>
      <c r="Q1407">
        <v>0</v>
      </c>
    </row>
    <row r="1408" spans="1:17">
      <c r="A1408" s="19">
        <v>0</v>
      </c>
      <c r="B1408" s="19">
        <v>0</v>
      </c>
      <c r="C1408" s="19">
        <v>0</v>
      </c>
      <c r="D1408" s="19">
        <v>0</v>
      </c>
      <c r="E1408" s="19">
        <v>0</v>
      </c>
      <c r="F1408" s="19">
        <v>0</v>
      </c>
      <c r="G1408" s="19">
        <v>0</v>
      </c>
      <c r="H1408" s="19">
        <v>0</v>
      </c>
      <c r="I1408" s="15">
        <v>3500</v>
      </c>
      <c r="J1408" s="15">
        <v>0</v>
      </c>
      <c r="K1408" s="15">
        <v>0</v>
      </c>
      <c r="L1408" s="15">
        <v>0</v>
      </c>
      <c r="M1408" s="15">
        <v>0</v>
      </c>
      <c r="N1408" s="15" t="str">
        <v/>
      </c>
      <c r="O1408" s="15" t="str">
        <v/>
      </c>
      <c r="P1408" s="22">
        <v>0</v>
      </c>
      <c r="Q1408">
        <v>0</v>
      </c>
    </row>
    <row r="1409" spans="1:17">
      <c r="A1409" s="19">
        <v>0</v>
      </c>
      <c r="B1409" s="19">
        <v>0</v>
      </c>
      <c r="C1409" s="19">
        <v>0</v>
      </c>
      <c r="D1409" s="19">
        <v>0</v>
      </c>
      <c r="E1409" s="19">
        <v>0</v>
      </c>
      <c r="F1409" s="19">
        <v>0</v>
      </c>
      <c r="G1409" s="19">
        <v>0</v>
      </c>
      <c r="H1409" s="19">
        <v>0</v>
      </c>
      <c r="I1409" s="15">
        <v>3500</v>
      </c>
      <c r="J1409" s="15">
        <v>0</v>
      </c>
      <c r="K1409" s="15">
        <v>0</v>
      </c>
      <c r="L1409" s="15">
        <v>0</v>
      </c>
      <c r="M1409" s="15">
        <v>0</v>
      </c>
      <c r="N1409" s="15" t="str">
        <v/>
      </c>
      <c r="O1409" s="15" t="str">
        <v/>
      </c>
      <c r="P1409" s="22">
        <v>0</v>
      </c>
      <c r="Q1409">
        <v>0</v>
      </c>
    </row>
    <row r="1410" spans="1:17">
      <c r="A1410" s="19">
        <v>0</v>
      </c>
      <c r="B1410" s="19">
        <v>0</v>
      </c>
      <c r="C1410" s="19">
        <v>0</v>
      </c>
      <c r="D1410" s="19">
        <v>0</v>
      </c>
      <c r="E1410" s="19">
        <v>0</v>
      </c>
      <c r="F1410" s="19">
        <v>0</v>
      </c>
      <c r="G1410" s="19">
        <v>0</v>
      </c>
      <c r="H1410" s="19">
        <v>0</v>
      </c>
      <c r="I1410" s="15">
        <v>3500</v>
      </c>
      <c r="J1410" s="15">
        <v>0</v>
      </c>
      <c r="K1410" s="15">
        <v>0</v>
      </c>
      <c r="L1410" s="15">
        <v>0</v>
      </c>
      <c r="M1410" s="15">
        <v>0</v>
      </c>
      <c r="N1410" s="15" t="str">
        <v/>
      </c>
      <c r="O1410" s="15" t="str">
        <v/>
      </c>
      <c r="P1410" s="22">
        <v>0</v>
      </c>
      <c r="Q1410">
        <v>0</v>
      </c>
    </row>
    <row r="1411" spans="1:17">
      <c r="A1411" s="19">
        <v>0</v>
      </c>
      <c r="B1411" s="19">
        <v>0</v>
      </c>
      <c r="C1411" s="19">
        <v>0</v>
      </c>
      <c r="D1411" s="19">
        <v>0</v>
      </c>
      <c r="E1411" s="19">
        <v>0</v>
      </c>
      <c r="F1411" s="19">
        <v>0</v>
      </c>
      <c r="G1411" s="19">
        <v>0</v>
      </c>
      <c r="H1411" s="19">
        <v>0</v>
      </c>
      <c r="I1411" s="15">
        <v>3500</v>
      </c>
      <c r="J1411" s="15">
        <v>0</v>
      </c>
      <c r="K1411" s="15">
        <v>0</v>
      </c>
      <c r="L1411" s="15">
        <v>0</v>
      </c>
      <c r="M1411" s="15">
        <v>0</v>
      </c>
      <c r="N1411" s="15" t="str">
        <v/>
      </c>
      <c r="O1411" s="15" t="str">
        <v/>
      </c>
      <c r="P1411" s="22">
        <v>0</v>
      </c>
      <c r="Q1411">
        <v>0</v>
      </c>
    </row>
    <row r="1412" spans="1:17">
      <c r="A1412" s="19">
        <v>0</v>
      </c>
      <c r="B1412" s="19">
        <v>0</v>
      </c>
      <c r="C1412" s="19">
        <v>0</v>
      </c>
      <c r="D1412" s="19">
        <v>0</v>
      </c>
      <c r="E1412" s="19">
        <v>0</v>
      </c>
      <c r="F1412" s="19">
        <v>0</v>
      </c>
      <c r="G1412" s="19">
        <v>0</v>
      </c>
      <c r="H1412" s="19">
        <v>0</v>
      </c>
      <c r="I1412" s="15">
        <v>3500</v>
      </c>
      <c r="J1412" s="15">
        <v>0</v>
      </c>
      <c r="K1412" s="15">
        <v>0</v>
      </c>
      <c r="L1412" s="15">
        <v>0</v>
      </c>
      <c r="M1412" s="15">
        <v>0</v>
      </c>
      <c r="N1412" s="15" t="str">
        <v/>
      </c>
      <c r="O1412" s="15" t="str">
        <v/>
      </c>
      <c r="P1412" s="22">
        <v>0</v>
      </c>
      <c r="Q1412">
        <v>0</v>
      </c>
    </row>
    <row r="1413" spans="1:17">
      <c r="A1413" s="19">
        <v>0</v>
      </c>
      <c r="B1413" s="19">
        <v>0</v>
      </c>
      <c r="C1413" s="19">
        <v>0</v>
      </c>
      <c r="D1413" s="19">
        <v>0</v>
      </c>
      <c r="E1413" s="19">
        <v>0</v>
      </c>
      <c r="F1413" s="19">
        <v>0</v>
      </c>
      <c r="G1413" s="19">
        <v>0</v>
      </c>
      <c r="H1413" s="19">
        <v>0</v>
      </c>
      <c r="I1413" s="15">
        <v>3500</v>
      </c>
      <c r="J1413" s="15">
        <v>0</v>
      </c>
      <c r="K1413" s="15">
        <v>0</v>
      </c>
      <c r="L1413" s="15">
        <v>0</v>
      </c>
      <c r="M1413" s="15">
        <v>0</v>
      </c>
      <c r="N1413" s="15" t="str">
        <v/>
      </c>
      <c r="O1413" s="15" t="str">
        <v/>
      </c>
      <c r="P1413" s="22">
        <v>0</v>
      </c>
      <c r="Q1413">
        <v>0</v>
      </c>
    </row>
    <row r="1414" spans="1:17">
      <c r="A1414" s="19">
        <v>0</v>
      </c>
      <c r="B1414" s="19">
        <v>0</v>
      </c>
      <c r="C1414" s="19">
        <v>0</v>
      </c>
      <c r="D1414" s="19">
        <v>0</v>
      </c>
      <c r="E1414" s="19">
        <v>0</v>
      </c>
      <c r="F1414" s="19">
        <v>0</v>
      </c>
      <c r="G1414" s="19">
        <v>0</v>
      </c>
      <c r="H1414" s="19">
        <v>0</v>
      </c>
      <c r="I1414" s="15">
        <v>3500</v>
      </c>
      <c r="J1414" s="15">
        <v>0</v>
      </c>
      <c r="K1414" s="15">
        <v>0</v>
      </c>
      <c r="L1414" s="15">
        <v>0</v>
      </c>
      <c r="M1414" s="15">
        <v>0</v>
      </c>
      <c r="N1414" s="15" t="str">
        <v/>
      </c>
      <c r="O1414" s="15" t="str">
        <v/>
      </c>
      <c r="P1414" s="22">
        <v>0</v>
      </c>
      <c r="Q1414">
        <v>0</v>
      </c>
    </row>
    <row r="1415" spans="1:17">
      <c r="A1415" s="19">
        <v>0</v>
      </c>
      <c r="B1415" s="19">
        <v>0</v>
      </c>
      <c r="C1415" s="19">
        <v>0</v>
      </c>
      <c r="D1415" s="19">
        <v>0</v>
      </c>
      <c r="E1415" s="19">
        <v>0</v>
      </c>
      <c r="F1415" s="19">
        <v>0</v>
      </c>
      <c r="G1415" s="19">
        <v>0</v>
      </c>
      <c r="H1415" s="19">
        <v>0</v>
      </c>
      <c r="I1415" s="15">
        <v>3500</v>
      </c>
      <c r="J1415" s="15">
        <v>0</v>
      </c>
      <c r="K1415" s="15">
        <v>0</v>
      </c>
      <c r="L1415" s="15">
        <v>0</v>
      </c>
      <c r="M1415" s="15">
        <v>0</v>
      </c>
      <c r="N1415" s="15" t="str">
        <v/>
      </c>
      <c r="O1415" s="15" t="str">
        <v/>
      </c>
      <c r="P1415" s="22">
        <v>0</v>
      </c>
      <c r="Q1415">
        <v>0</v>
      </c>
    </row>
    <row r="1416" spans="1:17">
      <c r="A1416" s="19">
        <v>0</v>
      </c>
      <c r="B1416" s="19">
        <v>0</v>
      </c>
      <c r="C1416" s="19">
        <v>0</v>
      </c>
      <c r="D1416" s="19">
        <v>0</v>
      </c>
      <c r="E1416" s="19">
        <v>0</v>
      </c>
      <c r="F1416" s="19">
        <v>0</v>
      </c>
      <c r="G1416" s="19">
        <v>0</v>
      </c>
      <c r="H1416" s="19">
        <v>0</v>
      </c>
      <c r="I1416" s="15">
        <v>3500</v>
      </c>
      <c r="J1416" s="15">
        <v>0</v>
      </c>
      <c r="K1416" s="15">
        <v>0</v>
      </c>
      <c r="L1416" s="15">
        <v>0</v>
      </c>
      <c r="M1416" s="15">
        <v>0</v>
      </c>
      <c r="N1416" s="15" t="str">
        <v/>
      </c>
      <c r="O1416" s="15" t="str">
        <v/>
      </c>
      <c r="P1416" s="22">
        <v>0</v>
      </c>
      <c r="Q1416">
        <v>0</v>
      </c>
    </row>
    <row r="1417" spans="1:17">
      <c r="A1417" s="19">
        <v>0</v>
      </c>
      <c r="B1417" s="19">
        <v>0</v>
      </c>
      <c r="C1417" s="19">
        <v>0</v>
      </c>
      <c r="D1417" s="19">
        <v>0</v>
      </c>
      <c r="E1417" s="19">
        <v>0</v>
      </c>
      <c r="F1417" s="19">
        <v>0</v>
      </c>
      <c r="G1417" s="19">
        <v>0</v>
      </c>
      <c r="H1417" s="19">
        <v>0</v>
      </c>
      <c r="I1417" s="15">
        <v>3500</v>
      </c>
      <c r="J1417" s="15">
        <v>0</v>
      </c>
      <c r="K1417" s="15">
        <v>0</v>
      </c>
      <c r="L1417" s="15">
        <v>0</v>
      </c>
      <c r="M1417" s="15">
        <v>0</v>
      </c>
      <c r="N1417" s="15" t="str">
        <v/>
      </c>
      <c r="O1417" s="15" t="str">
        <v/>
      </c>
      <c r="P1417" s="22">
        <v>0</v>
      </c>
      <c r="Q1417">
        <v>0</v>
      </c>
    </row>
    <row r="1418" spans="1:17">
      <c r="A1418" s="19">
        <v>0</v>
      </c>
      <c r="B1418" s="19">
        <v>0</v>
      </c>
      <c r="C1418" s="19">
        <v>0</v>
      </c>
      <c r="D1418" s="19">
        <v>0</v>
      </c>
      <c r="E1418" s="19">
        <v>0</v>
      </c>
      <c r="F1418" s="19">
        <v>0</v>
      </c>
      <c r="G1418" s="19">
        <v>0</v>
      </c>
      <c r="H1418" s="19">
        <v>0</v>
      </c>
      <c r="I1418" s="15">
        <v>3500</v>
      </c>
      <c r="J1418" s="15">
        <v>0</v>
      </c>
      <c r="K1418" s="15">
        <v>0</v>
      </c>
      <c r="L1418" s="15">
        <v>0</v>
      </c>
      <c r="M1418" s="15">
        <v>0</v>
      </c>
      <c r="N1418" s="15" t="str">
        <v/>
      </c>
      <c r="O1418" s="15" t="str">
        <v/>
      </c>
      <c r="P1418" s="22">
        <v>0</v>
      </c>
      <c r="Q1418">
        <v>0</v>
      </c>
    </row>
    <row r="1419" spans="1:17">
      <c r="A1419" s="19">
        <v>0</v>
      </c>
      <c r="B1419" s="19">
        <v>0</v>
      </c>
      <c r="C1419" s="19">
        <v>0</v>
      </c>
      <c r="D1419" s="19">
        <v>0</v>
      </c>
      <c r="E1419" s="19">
        <v>0</v>
      </c>
      <c r="F1419" s="19">
        <v>0</v>
      </c>
      <c r="G1419" s="19">
        <v>0</v>
      </c>
      <c r="H1419" s="19">
        <v>0</v>
      </c>
      <c r="I1419" s="15">
        <v>3500</v>
      </c>
      <c r="J1419" s="15">
        <v>0</v>
      </c>
      <c r="K1419" s="15">
        <v>0</v>
      </c>
      <c r="L1419" s="15">
        <v>0</v>
      </c>
      <c r="M1419" s="15">
        <v>0</v>
      </c>
      <c r="N1419" s="15" t="str">
        <v/>
      </c>
      <c r="O1419" s="15" t="str">
        <v/>
      </c>
      <c r="P1419" s="22">
        <v>0</v>
      </c>
      <c r="Q1419">
        <v>0</v>
      </c>
    </row>
    <row r="1420" spans="1:17">
      <c r="A1420" s="19">
        <v>0</v>
      </c>
      <c r="B1420" s="19">
        <v>0</v>
      </c>
      <c r="C1420" s="19">
        <v>0</v>
      </c>
      <c r="D1420" s="19">
        <v>0</v>
      </c>
      <c r="E1420" s="19">
        <v>0</v>
      </c>
      <c r="F1420" s="19">
        <v>0</v>
      </c>
      <c r="G1420" s="19">
        <v>0</v>
      </c>
      <c r="H1420" s="19">
        <v>0</v>
      </c>
      <c r="I1420" s="15">
        <v>3500</v>
      </c>
      <c r="J1420" s="15">
        <v>0</v>
      </c>
      <c r="K1420" s="15">
        <v>0</v>
      </c>
      <c r="L1420" s="15">
        <v>0</v>
      </c>
      <c r="M1420" s="15">
        <v>0</v>
      </c>
      <c r="N1420" s="15" t="str">
        <v/>
      </c>
      <c r="O1420" s="15" t="str">
        <v/>
      </c>
      <c r="P1420" s="22">
        <v>0</v>
      </c>
      <c r="Q1420">
        <v>0</v>
      </c>
    </row>
    <row r="1421" spans="1:17">
      <c r="A1421" s="19">
        <v>0</v>
      </c>
      <c r="B1421" s="19">
        <v>0</v>
      </c>
      <c r="C1421" s="19">
        <v>0</v>
      </c>
      <c r="D1421" s="19">
        <v>0</v>
      </c>
      <c r="E1421" s="19">
        <v>0</v>
      </c>
      <c r="F1421" s="19">
        <v>0</v>
      </c>
      <c r="G1421" s="19">
        <v>0</v>
      </c>
      <c r="H1421" s="19">
        <v>0</v>
      </c>
      <c r="I1421" s="15">
        <v>3500</v>
      </c>
      <c r="J1421" s="15">
        <v>0</v>
      </c>
      <c r="K1421" s="15">
        <v>0</v>
      </c>
      <c r="L1421" s="15">
        <v>0</v>
      </c>
      <c r="M1421" s="15">
        <v>0</v>
      </c>
      <c r="N1421" s="15" t="str">
        <v/>
      </c>
      <c r="O1421" s="15" t="str">
        <v/>
      </c>
      <c r="P1421" s="22">
        <v>0</v>
      </c>
      <c r="Q1421">
        <v>0</v>
      </c>
    </row>
    <row r="1422" spans="1:17">
      <c r="A1422" s="19">
        <v>0</v>
      </c>
      <c r="B1422" s="19">
        <v>0</v>
      </c>
      <c r="C1422" s="19">
        <v>0</v>
      </c>
      <c r="D1422" s="19">
        <v>0</v>
      </c>
      <c r="E1422" s="19">
        <v>0</v>
      </c>
      <c r="F1422" s="19">
        <v>0</v>
      </c>
      <c r="G1422" s="19">
        <v>0</v>
      </c>
      <c r="H1422" s="19">
        <v>0</v>
      </c>
      <c r="I1422" s="15">
        <v>3500</v>
      </c>
      <c r="J1422" s="15">
        <v>0</v>
      </c>
      <c r="K1422" s="15">
        <v>0</v>
      </c>
      <c r="L1422" s="15">
        <v>0</v>
      </c>
      <c r="M1422" s="15">
        <v>0</v>
      </c>
      <c r="N1422" s="15" t="str">
        <v/>
      </c>
      <c r="O1422" s="15" t="str">
        <v/>
      </c>
      <c r="P1422" s="22">
        <v>0</v>
      </c>
      <c r="Q1422">
        <v>0</v>
      </c>
    </row>
    <row r="1423" spans="1:17">
      <c r="A1423" s="19">
        <v>0</v>
      </c>
      <c r="B1423" s="19">
        <v>0</v>
      </c>
      <c r="C1423" s="19">
        <v>0</v>
      </c>
      <c r="D1423" s="19">
        <v>0</v>
      </c>
      <c r="E1423" s="19">
        <v>0</v>
      </c>
      <c r="F1423" s="19">
        <v>0</v>
      </c>
      <c r="G1423" s="19">
        <v>0</v>
      </c>
      <c r="H1423" s="19">
        <v>0</v>
      </c>
      <c r="I1423" s="15">
        <v>3500</v>
      </c>
      <c r="J1423" s="15">
        <v>0</v>
      </c>
      <c r="K1423" s="15">
        <v>0</v>
      </c>
      <c r="L1423" s="15">
        <v>0</v>
      </c>
      <c r="M1423" s="15">
        <v>0</v>
      </c>
      <c r="N1423" s="15" t="str">
        <v/>
      </c>
      <c r="O1423" s="15" t="str">
        <v/>
      </c>
      <c r="P1423" s="22">
        <v>0</v>
      </c>
      <c r="Q1423">
        <v>0</v>
      </c>
    </row>
    <row r="1424" spans="1:17">
      <c r="A1424" s="19">
        <v>0</v>
      </c>
      <c r="B1424" s="19">
        <v>0</v>
      </c>
      <c r="C1424" s="19">
        <v>0</v>
      </c>
      <c r="D1424" s="19">
        <v>0</v>
      </c>
      <c r="E1424" s="19">
        <v>0</v>
      </c>
      <c r="F1424" s="19">
        <v>0</v>
      </c>
      <c r="G1424" s="19">
        <v>0</v>
      </c>
      <c r="H1424" s="19">
        <v>0</v>
      </c>
      <c r="I1424" s="15">
        <v>3500</v>
      </c>
      <c r="J1424" s="15">
        <v>0</v>
      </c>
      <c r="K1424" s="15">
        <v>0</v>
      </c>
      <c r="L1424" s="15">
        <v>0</v>
      </c>
      <c r="M1424" s="15">
        <v>0</v>
      </c>
      <c r="N1424" s="15" t="str">
        <v/>
      </c>
      <c r="O1424" s="15" t="str">
        <v/>
      </c>
      <c r="P1424" s="22">
        <v>0</v>
      </c>
      <c r="Q1424">
        <v>0</v>
      </c>
    </row>
    <row r="1425" spans="1:17">
      <c r="A1425" s="19">
        <v>0</v>
      </c>
      <c r="B1425" s="19">
        <v>0</v>
      </c>
      <c r="C1425" s="19">
        <v>0</v>
      </c>
      <c r="D1425" s="19">
        <v>0</v>
      </c>
      <c r="E1425" s="19">
        <v>0</v>
      </c>
      <c r="F1425" s="19">
        <v>0</v>
      </c>
      <c r="G1425" s="19">
        <v>0</v>
      </c>
      <c r="H1425" s="19">
        <v>0</v>
      </c>
      <c r="I1425" s="15">
        <v>3500</v>
      </c>
      <c r="J1425" s="15">
        <v>0</v>
      </c>
      <c r="K1425" s="15">
        <v>0</v>
      </c>
      <c r="L1425" s="15">
        <v>0</v>
      </c>
      <c r="M1425" s="15">
        <v>0</v>
      </c>
      <c r="N1425" s="15" t="str">
        <v/>
      </c>
      <c r="O1425" s="15" t="str">
        <v/>
      </c>
      <c r="P1425" s="22">
        <v>0</v>
      </c>
      <c r="Q1425">
        <v>0</v>
      </c>
    </row>
    <row r="1426" spans="1:17">
      <c r="A1426" s="19">
        <v>0</v>
      </c>
      <c r="B1426" s="19">
        <v>0</v>
      </c>
      <c r="C1426" s="19">
        <v>0</v>
      </c>
      <c r="D1426" s="19">
        <v>0</v>
      </c>
      <c r="E1426" s="19">
        <v>0</v>
      </c>
      <c r="F1426" s="19">
        <v>0</v>
      </c>
      <c r="G1426" s="19">
        <v>0</v>
      </c>
      <c r="H1426" s="19">
        <v>0</v>
      </c>
      <c r="I1426" s="15">
        <v>3500</v>
      </c>
      <c r="J1426" s="15">
        <v>0</v>
      </c>
      <c r="K1426" s="15">
        <v>0</v>
      </c>
      <c r="L1426" s="15">
        <v>0</v>
      </c>
      <c r="M1426" s="15">
        <v>0</v>
      </c>
      <c r="N1426" s="15" t="str">
        <v/>
      </c>
      <c r="O1426" s="15" t="str">
        <v/>
      </c>
      <c r="P1426" s="22">
        <v>0</v>
      </c>
      <c r="Q1426">
        <v>0</v>
      </c>
    </row>
    <row r="1427" spans="1:17">
      <c r="A1427" s="19">
        <v>0</v>
      </c>
      <c r="B1427" s="19">
        <v>0</v>
      </c>
      <c r="C1427" s="19">
        <v>0</v>
      </c>
      <c r="D1427" s="19">
        <v>0</v>
      </c>
      <c r="E1427" s="19">
        <v>0</v>
      </c>
      <c r="F1427" s="19">
        <v>0</v>
      </c>
      <c r="G1427" s="19">
        <v>0</v>
      </c>
      <c r="H1427" s="19">
        <v>0</v>
      </c>
      <c r="I1427" s="15">
        <v>3500</v>
      </c>
      <c r="J1427" s="15">
        <v>0</v>
      </c>
      <c r="K1427" s="15">
        <v>0</v>
      </c>
      <c r="L1427" s="15">
        <v>0</v>
      </c>
      <c r="M1427" s="15">
        <v>0</v>
      </c>
      <c r="N1427" s="15" t="str">
        <v/>
      </c>
      <c r="O1427" s="15" t="str">
        <v/>
      </c>
      <c r="P1427" s="22">
        <v>0</v>
      </c>
      <c r="Q1427">
        <v>0</v>
      </c>
    </row>
    <row r="1428" spans="1:17">
      <c r="A1428" s="19">
        <v>0</v>
      </c>
      <c r="B1428" s="19">
        <v>0</v>
      </c>
      <c r="C1428" s="19">
        <v>0</v>
      </c>
      <c r="D1428" s="19">
        <v>0</v>
      </c>
      <c r="E1428" s="19">
        <v>0</v>
      </c>
      <c r="F1428" s="19">
        <v>0</v>
      </c>
      <c r="G1428" s="19">
        <v>0</v>
      </c>
      <c r="H1428" s="19">
        <v>0</v>
      </c>
      <c r="I1428" s="15">
        <v>3500</v>
      </c>
      <c r="J1428" s="15">
        <v>0</v>
      </c>
      <c r="K1428" s="15">
        <v>0</v>
      </c>
      <c r="L1428" s="15">
        <v>0</v>
      </c>
      <c r="M1428" s="15">
        <v>0</v>
      </c>
      <c r="N1428" s="15" t="str">
        <v/>
      </c>
      <c r="O1428" s="15" t="str">
        <v/>
      </c>
      <c r="P1428" s="22">
        <v>0</v>
      </c>
      <c r="Q1428">
        <v>0</v>
      </c>
    </row>
    <row r="1429" spans="1:17">
      <c r="A1429" s="19">
        <v>0</v>
      </c>
      <c r="B1429" s="19">
        <v>0</v>
      </c>
      <c r="C1429" s="19">
        <v>0</v>
      </c>
      <c r="D1429" s="19">
        <v>0</v>
      </c>
      <c r="E1429" s="19">
        <v>0</v>
      </c>
      <c r="F1429" s="19">
        <v>0</v>
      </c>
      <c r="G1429" s="19">
        <v>0</v>
      </c>
      <c r="H1429" s="19">
        <v>0</v>
      </c>
      <c r="I1429" s="15">
        <v>3500</v>
      </c>
      <c r="J1429" s="15">
        <v>0</v>
      </c>
      <c r="K1429" s="15">
        <v>0</v>
      </c>
      <c r="L1429" s="15">
        <v>0</v>
      </c>
      <c r="M1429" s="15">
        <v>0</v>
      </c>
      <c r="N1429" s="15" t="str">
        <v/>
      </c>
      <c r="O1429" s="15" t="str">
        <v/>
      </c>
      <c r="P1429" s="22">
        <v>0</v>
      </c>
      <c r="Q1429">
        <v>0</v>
      </c>
    </row>
    <row r="1430" spans="1:17">
      <c r="A1430" s="19">
        <v>0</v>
      </c>
      <c r="B1430" s="19">
        <v>0</v>
      </c>
      <c r="C1430" s="19">
        <v>0</v>
      </c>
      <c r="D1430" s="19">
        <v>0</v>
      </c>
      <c r="E1430" s="19">
        <v>0</v>
      </c>
      <c r="F1430" s="19">
        <v>0</v>
      </c>
      <c r="G1430" s="19">
        <v>0</v>
      </c>
      <c r="H1430" s="19">
        <v>0</v>
      </c>
      <c r="I1430" s="15">
        <v>3500</v>
      </c>
      <c r="J1430" s="15">
        <v>0</v>
      </c>
      <c r="K1430" s="15">
        <v>0</v>
      </c>
      <c r="L1430" s="15">
        <v>0</v>
      </c>
      <c r="M1430" s="15">
        <v>0</v>
      </c>
      <c r="N1430" s="15" t="str">
        <v/>
      </c>
      <c r="O1430" s="15" t="str">
        <v/>
      </c>
      <c r="P1430" s="22">
        <v>0</v>
      </c>
      <c r="Q1430">
        <v>0</v>
      </c>
    </row>
    <row r="1431" spans="1:17">
      <c r="A1431" s="19">
        <v>0</v>
      </c>
      <c r="B1431" s="19">
        <v>0</v>
      </c>
      <c r="C1431" s="19">
        <v>0</v>
      </c>
      <c r="D1431" s="19">
        <v>0</v>
      </c>
      <c r="E1431" s="19">
        <v>0</v>
      </c>
      <c r="F1431" s="19">
        <v>0</v>
      </c>
      <c r="G1431" s="19">
        <v>0</v>
      </c>
      <c r="H1431" s="19">
        <v>0</v>
      </c>
      <c r="I1431" s="15">
        <v>3500</v>
      </c>
      <c r="J1431" s="15">
        <v>0</v>
      </c>
      <c r="K1431" s="15">
        <v>0</v>
      </c>
      <c r="L1431" s="15">
        <v>0</v>
      </c>
      <c r="M1431" s="15">
        <v>0</v>
      </c>
      <c r="N1431" s="15" t="str">
        <v/>
      </c>
      <c r="O1431" s="15" t="str">
        <v/>
      </c>
      <c r="P1431" s="22">
        <v>0</v>
      </c>
      <c r="Q1431">
        <v>0</v>
      </c>
    </row>
    <row r="1432" spans="1:17">
      <c r="A1432" s="19">
        <v>0</v>
      </c>
      <c r="B1432" s="19">
        <v>0</v>
      </c>
      <c r="C1432" s="19">
        <v>0</v>
      </c>
      <c r="D1432" s="19">
        <v>0</v>
      </c>
      <c r="E1432" s="19">
        <v>0</v>
      </c>
      <c r="F1432" s="19">
        <v>0</v>
      </c>
      <c r="G1432" s="19">
        <v>0</v>
      </c>
      <c r="H1432" s="19">
        <v>0</v>
      </c>
      <c r="I1432" s="15">
        <v>3500</v>
      </c>
      <c r="J1432" s="15">
        <v>0</v>
      </c>
      <c r="K1432" s="15">
        <v>0</v>
      </c>
      <c r="L1432" s="15">
        <v>0</v>
      </c>
      <c r="M1432" s="15">
        <v>0</v>
      </c>
      <c r="N1432" s="15" t="str">
        <v/>
      </c>
      <c r="O1432" s="15" t="str">
        <v/>
      </c>
      <c r="P1432" s="22">
        <v>0</v>
      </c>
      <c r="Q1432">
        <v>0</v>
      </c>
    </row>
    <row r="1433" spans="1:17">
      <c r="A1433" s="19">
        <v>0</v>
      </c>
      <c r="B1433" s="19">
        <v>0</v>
      </c>
      <c r="C1433" s="19">
        <v>0</v>
      </c>
      <c r="D1433" s="19">
        <v>0</v>
      </c>
      <c r="E1433" s="19">
        <v>0</v>
      </c>
      <c r="F1433" s="19">
        <v>0</v>
      </c>
      <c r="G1433" s="19">
        <v>0</v>
      </c>
      <c r="H1433" s="19">
        <v>0</v>
      </c>
      <c r="I1433" s="15">
        <v>3500</v>
      </c>
      <c r="J1433" s="15">
        <v>0</v>
      </c>
      <c r="K1433" s="15">
        <v>0</v>
      </c>
      <c r="L1433" s="15">
        <v>0</v>
      </c>
      <c r="M1433" s="15">
        <v>0</v>
      </c>
      <c r="N1433" s="15" t="str">
        <v/>
      </c>
      <c r="O1433" s="15" t="str">
        <v/>
      </c>
      <c r="P1433" s="22">
        <v>0</v>
      </c>
      <c r="Q1433">
        <v>0</v>
      </c>
    </row>
    <row r="1434" spans="1:17">
      <c r="A1434" s="19">
        <v>0</v>
      </c>
      <c r="B1434" s="19">
        <v>0</v>
      </c>
      <c r="C1434" s="19">
        <v>0</v>
      </c>
      <c r="D1434" s="19">
        <v>0</v>
      </c>
      <c r="E1434" s="19">
        <v>0</v>
      </c>
      <c r="F1434" s="19">
        <v>0</v>
      </c>
      <c r="G1434" s="19">
        <v>0</v>
      </c>
      <c r="H1434" s="19">
        <v>0</v>
      </c>
      <c r="I1434" s="15">
        <v>3500</v>
      </c>
      <c r="J1434" s="15">
        <v>0</v>
      </c>
      <c r="K1434" s="15">
        <v>0</v>
      </c>
      <c r="L1434" s="15">
        <v>0</v>
      </c>
      <c r="M1434" s="15">
        <v>0</v>
      </c>
      <c r="N1434" s="15" t="str">
        <v/>
      </c>
      <c r="O1434" s="15" t="str">
        <v/>
      </c>
      <c r="P1434" s="22">
        <v>0</v>
      </c>
      <c r="Q1434">
        <v>0</v>
      </c>
    </row>
    <row r="1435" spans="1:17">
      <c r="A1435" s="19">
        <v>0</v>
      </c>
      <c r="B1435" s="19">
        <v>0</v>
      </c>
      <c r="C1435" s="19">
        <v>0</v>
      </c>
      <c r="D1435" s="19">
        <v>0</v>
      </c>
      <c r="E1435" s="19">
        <v>0</v>
      </c>
      <c r="F1435" s="19">
        <v>0</v>
      </c>
      <c r="G1435" s="19">
        <v>0</v>
      </c>
      <c r="H1435" s="19">
        <v>0</v>
      </c>
      <c r="I1435" s="15">
        <v>3500</v>
      </c>
      <c r="J1435" s="15">
        <v>0</v>
      </c>
      <c r="K1435" s="15">
        <v>0</v>
      </c>
      <c r="L1435" s="15">
        <v>0</v>
      </c>
      <c r="M1435" s="15">
        <v>0</v>
      </c>
      <c r="N1435" s="15" t="str">
        <v/>
      </c>
      <c r="O1435" s="15" t="str">
        <v/>
      </c>
      <c r="P1435" s="22">
        <v>0</v>
      </c>
      <c r="Q1435">
        <v>0</v>
      </c>
    </row>
    <row r="1436" spans="1:17">
      <c r="A1436" s="19">
        <v>0</v>
      </c>
      <c r="B1436" s="19">
        <v>0</v>
      </c>
      <c r="C1436" s="19">
        <v>0</v>
      </c>
      <c r="D1436" s="19">
        <v>0</v>
      </c>
      <c r="E1436" s="19">
        <v>0</v>
      </c>
      <c r="F1436" s="19">
        <v>0</v>
      </c>
      <c r="G1436" s="19">
        <v>0</v>
      </c>
      <c r="H1436" s="19">
        <v>0</v>
      </c>
      <c r="I1436" s="15">
        <v>3500</v>
      </c>
      <c r="J1436" s="15">
        <v>0</v>
      </c>
      <c r="K1436" s="15">
        <v>0</v>
      </c>
      <c r="L1436" s="15">
        <v>0</v>
      </c>
      <c r="M1436" s="15">
        <v>0</v>
      </c>
      <c r="N1436" s="15" t="str">
        <v/>
      </c>
      <c r="O1436" s="15" t="str">
        <v/>
      </c>
      <c r="P1436" s="22">
        <v>0</v>
      </c>
      <c r="Q1436">
        <v>0</v>
      </c>
    </row>
    <row r="1437" spans="1:17">
      <c r="A1437" s="19">
        <v>0</v>
      </c>
      <c r="B1437" s="19">
        <v>0</v>
      </c>
      <c r="C1437" s="19">
        <v>0</v>
      </c>
      <c r="D1437" s="19">
        <v>0</v>
      </c>
      <c r="E1437" s="19">
        <v>0</v>
      </c>
      <c r="F1437" s="19">
        <v>0</v>
      </c>
      <c r="G1437" s="19">
        <v>0</v>
      </c>
      <c r="H1437" s="19">
        <v>0</v>
      </c>
      <c r="I1437" s="15">
        <v>3500</v>
      </c>
      <c r="J1437" s="15">
        <v>0</v>
      </c>
      <c r="K1437" s="15">
        <v>0</v>
      </c>
      <c r="L1437" s="15">
        <v>0</v>
      </c>
      <c r="M1437" s="15">
        <v>0</v>
      </c>
      <c r="N1437" s="15" t="str">
        <v/>
      </c>
      <c r="O1437" s="15" t="str">
        <v/>
      </c>
      <c r="P1437" s="22">
        <v>0</v>
      </c>
      <c r="Q1437">
        <v>0</v>
      </c>
    </row>
    <row r="1438" spans="1:17">
      <c r="A1438" s="19">
        <v>0</v>
      </c>
      <c r="B1438" s="19">
        <v>0</v>
      </c>
      <c r="C1438" s="19">
        <v>0</v>
      </c>
      <c r="D1438" s="19">
        <v>0</v>
      </c>
      <c r="E1438" s="19">
        <v>0</v>
      </c>
      <c r="F1438" s="19">
        <v>0</v>
      </c>
      <c r="G1438" s="19">
        <v>0</v>
      </c>
      <c r="H1438" s="19">
        <v>0</v>
      </c>
      <c r="I1438" s="15">
        <v>3500</v>
      </c>
      <c r="J1438" s="15">
        <v>0</v>
      </c>
      <c r="K1438" s="15">
        <v>0</v>
      </c>
      <c r="L1438" s="15">
        <v>0</v>
      </c>
      <c r="M1438" s="15">
        <v>0</v>
      </c>
      <c r="N1438" s="15" t="str">
        <v/>
      </c>
      <c r="O1438" s="15" t="str">
        <v/>
      </c>
      <c r="P1438" s="22">
        <v>0</v>
      </c>
      <c r="Q1438">
        <v>0</v>
      </c>
    </row>
    <row r="1439" spans="1:17">
      <c r="A1439" s="19">
        <v>0</v>
      </c>
      <c r="B1439" s="19">
        <v>0</v>
      </c>
      <c r="C1439" s="19">
        <v>0</v>
      </c>
      <c r="D1439" s="19">
        <v>0</v>
      </c>
      <c r="E1439" s="19">
        <v>0</v>
      </c>
      <c r="F1439" s="19">
        <v>0</v>
      </c>
      <c r="G1439" s="19">
        <v>0</v>
      </c>
      <c r="H1439" s="19">
        <v>0</v>
      </c>
      <c r="I1439" s="15">
        <v>3500</v>
      </c>
      <c r="J1439" s="15">
        <v>0</v>
      </c>
      <c r="K1439" s="15">
        <v>0</v>
      </c>
      <c r="L1439" s="15">
        <v>0</v>
      </c>
      <c r="M1439" s="15">
        <v>0</v>
      </c>
      <c r="N1439" s="15" t="str">
        <v/>
      </c>
      <c r="O1439" s="15" t="str">
        <v/>
      </c>
      <c r="P1439" s="22">
        <v>0</v>
      </c>
      <c r="Q1439">
        <v>0</v>
      </c>
    </row>
    <row r="1440" spans="1:17">
      <c r="A1440" s="19">
        <v>0</v>
      </c>
      <c r="B1440" s="19">
        <v>0</v>
      </c>
      <c r="C1440" s="19">
        <v>0</v>
      </c>
      <c r="D1440" s="19">
        <v>0</v>
      </c>
      <c r="E1440" s="19">
        <v>0</v>
      </c>
      <c r="F1440" s="19">
        <v>0</v>
      </c>
      <c r="G1440" s="19">
        <v>0</v>
      </c>
      <c r="H1440" s="19">
        <v>0</v>
      </c>
      <c r="I1440" s="15">
        <v>3500</v>
      </c>
      <c r="J1440" s="15">
        <v>0</v>
      </c>
      <c r="K1440" s="15">
        <v>0</v>
      </c>
      <c r="L1440" s="15">
        <v>0</v>
      </c>
      <c r="M1440" s="15">
        <v>0</v>
      </c>
      <c r="N1440" s="15" t="str">
        <v/>
      </c>
      <c r="O1440" s="15" t="str">
        <v/>
      </c>
      <c r="P1440" s="22">
        <v>0</v>
      </c>
      <c r="Q1440">
        <v>0</v>
      </c>
    </row>
    <row r="1441" spans="1:17">
      <c r="A1441" s="19">
        <v>0</v>
      </c>
      <c r="B1441" s="19">
        <v>0</v>
      </c>
      <c r="C1441" s="19">
        <v>0</v>
      </c>
      <c r="D1441" s="19">
        <v>0</v>
      </c>
      <c r="E1441" s="19">
        <v>0</v>
      </c>
      <c r="F1441" s="19">
        <v>0</v>
      </c>
      <c r="G1441" s="19">
        <v>0</v>
      </c>
      <c r="H1441" s="19">
        <v>0</v>
      </c>
      <c r="I1441" s="15">
        <v>3500</v>
      </c>
      <c r="J1441" s="15">
        <v>0</v>
      </c>
      <c r="K1441" s="15">
        <v>0</v>
      </c>
      <c r="L1441" s="15">
        <v>0</v>
      </c>
      <c r="M1441" s="15">
        <v>0</v>
      </c>
      <c r="N1441" s="15" t="str">
        <v/>
      </c>
      <c r="O1441" s="15" t="str">
        <v/>
      </c>
      <c r="P1441" s="22">
        <v>0</v>
      </c>
      <c r="Q1441">
        <v>0</v>
      </c>
    </row>
    <row r="1442" spans="1:17">
      <c r="A1442" s="19">
        <v>0</v>
      </c>
      <c r="B1442" s="19">
        <v>0</v>
      </c>
      <c r="C1442" s="19">
        <v>0</v>
      </c>
      <c r="D1442" s="19">
        <v>0</v>
      </c>
      <c r="E1442" s="19">
        <v>0</v>
      </c>
      <c r="F1442" s="19">
        <v>0</v>
      </c>
      <c r="G1442" s="19">
        <v>0</v>
      </c>
      <c r="H1442" s="19">
        <v>0</v>
      </c>
      <c r="I1442" s="15">
        <v>3500</v>
      </c>
      <c r="J1442" s="15">
        <v>0</v>
      </c>
      <c r="K1442" s="15">
        <v>0</v>
      </c>
      <c r="L1442" s="15">
        <v>0</v>
      </c>
      <c r="M1442" s="15">
        <v>0</v>
      </c>
      <c r="N1442" s="15" t="str">
        <v/>
      </c>
      <c r="O1442" s="15" t="str">
        <v/>
      </c>
      <c r="P1442" s="22">
        <v>0</v>
      </c>
      <c r="Q1442">
        <v>0</v>
      </c>
    </row>
    <row r="1443" spans="1:17">
      <c r="A1443" s="19">
        <v>0</v>
      </c>
      <c r="B1443" s="19">
        <v>0</v>
      </c>
      <c r="C1443" s="19">
        <v>0</v>
      </c>
      <c r="D1443" s="19">
        <v>0</v>
      </c>
      <c r="E1443" s="19">
        <v>0</v>
      </c>
      <c r="F1443" s="19">
        <v>0</v>
      </c>
      <c r="G1443" s="19">
        <v>0</v>
      </c>
      <c r="H1443" s="19">
        <v>0</v>
      </c>
      <c r="I1443" s="15">
        <v>3500</v>
      </c>
      <c r="J1443" s="15">
        <v>0</v>
      </c>
      <c r="K1443" s="15">
        <v>0</v>
      </c>
      <c r="L1443" s="15">
        <v>0</v>
      </c>
      <c r="M1443" s="15">
        <v>0</v>
      </c>
      <c r="N1443" s="15" t="str">
        <v/>
      </c>
      <c r="O1443" s="15" t="str">
        <v/>
      </c>
      <c r="P1443" s="22">
        <v>0</v>
      </c>
      <c r="Q1443">
        <v>0</v>
      </c>
    </row>
    <row r="1444" spans="1:17">
      <c r="A1444" s="19">
        <v>0</v>
      </c>
      <c r="B1444" s="19">
        <v>0</v>
      </c>
      <c r="C1444" s="19">
        <v>0</v>
      </c>
      <c r="D1444" s="19">
        <v>0</v>
      </c>
      <c r="E1444" s="19">
        <v>0</v>
      </c>
      <c r="F1444" s="19">
        <v>0</v>
      </c>
      <c r="G1444" s="19">
        <v>0</v>
      </c>
      <c r="H1444" s="19">
        <v>0</v>
      </c>
      <c r="I1444" s="15">
        <v>3500</v>
      </c>
      <c r="J1444" s="15">
        <v>0</v>
      </c>
      <c r="K1444" s="15">
        <v>0</v>
      </c>
      <c r="L1444" s="15">
        <v>0</v>
      </c>
      <c r="M1444" s="15">
        <v>0</v>
      </c>
      <c r="N1444" s="15" t="str">
        <v/>
      </c>
      <c r="O1444" s="15" t="str">
        <v/>
      </c>
      <c r="P1444" s="22">
        <v>0</v>
      </c>
      <c r="Q1444">
        <v>0</v>
      </c>
    </row>
    <row r="1445" spans="1:17">
      <c r="A1445" s="19">
        <v>0</v>
      </c>
      <c r="B1445" s="19">
        <v>0</v>
      </c>
      <c r="C1445" s="19">
        <v>0</v>
      </c>
      <c r="D1445" s="19">
        <v>0</v>
      </c>
      <c r="E1445" s="19">
        <v>0</v>
      </c>
      <c r="F1445" s="19">
        <v>0</v>
      </c>
      <c r="G1445" s="19">
        <v>0</v>
      </c>
      <c r="H1445" s="19">
        <v>0</v>
      </c>
      <c r="I1445" s="15">
        <v>3500</v>
      </c>
      <c r="J1445" s="15">
        <v>0</v>
      </c>
      <c r="K1445" s="15">
        <v>0</v>
      </c>
      <c r="L1445" s="15">
        <v>0</v>
      </c>
      <c r="M1445" s="15">
        <v>0</v>
      </c>
      <c r="N1445" s="15" t="str">
        <v/>
      </c>
      <c r="O1445" s="15" t="str">
        <v/>
      </c>
      <c r="P1445" s="22">
        <v>0</v>
      </c>
      <c r="Q1445">
        <v>0</v>
      </c>
    </row>
    <row r="1446" spans="1:17">
      <c r="A1446" s="19">
        <v>0</v>
      </c>
      <c r="B1446" s="19">
        <v>0</v>
      </c>
      <c r="C1446" s="19">
        <v>0</v>
      </c>
      <c r="D1446" s="19">
        <v>0</v>
      </c>
      <c r="E1446" s="19">
        <v>0</v>
      </c>
      <c r="F1446" s="19">
        <v>0</v>
      </c>
      <c r="G1446" s="19">
        <v>0</v>
      </c>
      <c r="H1446" s="19">
        <v>0</v>
      </c>
      <c r="I1446" s="15">
        <v>3500</v>
      </c>
      <c r="J1446" s="15">
        <v>0</v>
      </c>
      <c r="K1446" s="15">
        <v>0</v>
      </c>
      <c r="L1446" s="15">
        <v>0</v>
      </c>
      <c r="M1446" s="15">
        <v>0</v>
      </c>
      <c r="N1446" s="15" t="str">
        <v/>
      </c>
      <c r="O1446" s="15" t="str">
        <v/>
      </c>
      <c r="P1446" s="22">
        <v>0</v>
      </c>
      <c r="Q1446">
        <v>0</v>
      </c>
    </row>
    <row r="1447" spans="1:17">
      <c r="A1447" s="19">
        <v>0</v>
      </c>
      <c r="B1447" s="19">
        <v>0</v>
      </c>
      <c r="C1447" s="19">
        <v>0</v>
      </c>
      <c r="D1447" s="19">
        <v>0</v>
      </c>
      <c r="E1447" s="19">
        <v>0</v>
      </c>
      <c r="F1447" s="19">
        <v>0</v>
      </c>
      <c r="G1447" s="19">
        <v>0</v>
      </c>
      <c r="H1447" s="19">
        <v>0</v>
      </c>
      <c r="I1447" s="15">
        <v>3500</v>
      </c>
      <c r="J1447" s="15">
        <v>0</v>
      </c>
      <c r="K1447" s="15">
        <v>0</v>
      </c>
      <c r="L1447" s="15">
        <v>0</v>
      </c>
      <c r="M1447" s="15">
        <v>0</v>
      </c>
      <c r="N1447" s="15" t="str">
        <v/>
      </c>
      <c r="O1447" s="15" t="str">
        <v/>
      </c>
      <c r="P1447" s="22">
        <v>0</v>
      </c>
      <c r="Q1447">
        <v>0</v>
      </c>
    </row>
    <row r="1448" spans="1:17">
      <c r="A1448" s="19">
        <v>0</v>
      </c>
      <c r="B1448" s="19">
        <v>0</v>
      </c>
      <c r="C1448" s="19">
        <v>0</v>
      </c>
      <c r="D1448" s="19">
        <v>0</v>
      </c>
      <c r="E1448" s="19">
        <v>0</v>
      </c>
      <c r="F1448" s="19">
        <v>0</v>
      </c>
      <c r="G1448" s="19">
        <v>0</v>
      </c>
      <c r="H1448" s="19">
        <v>0</v>
      </c>
      <c r="I1448" s="15">
        <v>3500</v>
      </c>
      <c r="J1448" s="15">
        <v>0</v>
      </c>
      <c r="K1448" s="15">
        <v>0</v>
      </c>
      <c r="L1448" s="15">
        <v>0</v>
      </c>
      <c r="M1448" s="15">
        <v>0</v>
      </c>
      <c r="N1448" s="15" t="str">
        <v/>
      </c>
      <c r="O1448" s="15" t="str">
        <v/>
      </c>
      <c r="P1448" s="22">
        <v>0</v>
      </c>
      <c r="Q1448">
        <v>0</v>
      </c>
    </row>
    <row r="1449" spans="1:17">
      <c r="A1449" s="19">
        <v>0</v>
      </c>
      <c r="B1449" s="19">
        <v>0</v>
      </c>
      <c r="C1449" s="19">
        <v>0</v>
      </c>
      <c r="D1449" s="19">
        <v>0</v>
      </c>
      <c r="E1449" s="19">
        <v>0</v>
      </c>
      <c r="F1449" s="19">
        <v>0</v>
      </c>
      <c r="G1449" s="19">
        <v>0</v>
      </c>
      <c r="H1449" s="19">
        <v>0</v>
      </c>
      <c r="I1449" s="15">
        <v>3500</v>
      </c>
      <c r="J1449" s="15">
        <v>0</v>
      </c>
      <c r="K1449" s="15">
        <v>0</v>
      </c>
      <c r="L1449" s="15">
        <v>0</v>
      </c>
      <c r="M1449" s="15">
        <v>0</v>
      </c>
      <c r="N1449" s="15" t="str">
        <v/>
      </c>
      <c r="O1449" s="15" t="str">
        <v/>
      </c>
      <c r="P1449" s="22">
        <v>0</v>
      </c>
      <c r="Q1449">
        <v>0</v>
      </c>
    </row>
    <row r="1450" spans="1:17">
      <c r="A1450" s="19">
        <v>0</v>
      </c>
      <c r="B1450" s="19">
        <v>0</v>
      </c>
      <c r="C1450" s="19">
        <v>0</v>
      </c>
      <c r="D1450" s="19">
        <v>0</v>
      </c>
      <c r="E1450" s="19">
        <v>0</v>
      </c>
      <c r="F1450" s="19">
        <v>0</v>
      </c>
      <c r="G1450" s="19">
        <v>0</v>
      </c>
      <c r="H1450" s="19">
        <v>0</v>
      </c>
      <c r="I1450" s="15">
        <v>3500</v>
      </c>
      <c r="J1450" s="15">
        <v>0</v>
      </c>
      <c r="K1450" s="15">
        <v>0</v>
      </c>
      <c r="L1450" s="15">
        <v>0</v>
      </c>
      <c r="M1450" s="15">
        <v>0</v>
      </c>
      <c r="N1450" s="15" t="str">
        <v/>
      </c>
      <c r="O1450" s="15" t="str">
        <v/>
      </c>
      <c r="P1450" s="22">
        <v>0</v>
      </c>
      <c r="Q1450">
        <v>0</v>
      </c>
    </row>
    <row r="1451" spans="1:17">
      <c r="A1451" s="19">
        <v>0</v>
      </c>
      <c r="B1451" s="19">
        <v>0</v>
      </c>
      <c r="C1451" s="19">
        <v>0</v>
      </c>
      <c r="D1451" s="19">
        <v>0</v>
      </c>
      <c r="E1451" s="19">
        <v>0</v>
      </c>
      <c r="F1451" s="19">
        <v>0</v>
      </c>
      <c r="G1451" s="19">
        <v>0</v>
      </c>
      <c r="H1451" s="19">
        <v>0</v>
      </c>
      <c r="I1451" s="15">
        <v>3500</v>
      </c>
      <c r="J1451" s="15">
        <v>0</v>
      </c>
      <c r="K1451" s="15">
        <v>0</v>
      </c>
      <c r="L1451" s="15">
        <v>0</v>
      </c>
      <c r="M1451" s="15">
        <v>0</v>
      </c>
      <c r="N1451" s="15" t="str">
        <v/>
      </c>
      <c r="O1451" s="15" t="str">
        <v/>
      </c>
      <c r="P1451" s="22">
        <v>0</v>
      </c>
      <c r="Q1451">
        <v>0</v>
      </c>
    </row>
    <row r="1452" spans="1:17">
      <c r="A1452" s="19">
        <v>0</v>
      </c>
      <c r="B1452" s="19">
        <v>0</v>
      </c>
      <c r="C1452" s="19">
        <v>0</v>
      </c>
      <c r="D1452" s="19">
        <v>0</v>
      </c>
      <c r="E1452" s="19">
        <v>0</v>
      </c>
      <c r="F1452" s="19">
        <v>0</v>
      </c>
      <c r="G1452" s="19">
        <v>0</v>
      </c>
      <c r="H1452" s="19">
        <v>0</v>
      </c>
      <c r="I1452" s="15">
        <v>3500</v>
      </c>
      <c r="J1452" s="15">
        <v>0</v>
      </c>
      <c r="K1452" s="15">
        <v>0</v>
      </c>
      <c r="L1452" s="15">
        <v>0</v>
      </c>
      <c r="M1452" s="15">
        <v>0</v>
      </c>
      <c r="N1452" s="15" t="str">
        <v/>
      </c>
      <c r="O1452" s="15" t="str">
        <v/>
      </c>
      <c r="P1452" s="22">
        <v>0</v>
      </c>
      <c r="Q1452">
        <v>0</v>
      </c>
    </row>
    <row r="1453" spans="1:17">
      <c r="A1453" s="19">
        <v>0</v>
      </c>
      <c r="B1453" s="19">
        <v>0</v>
      </c>
      <c r="C1453" s="19">
        <v>0</v>
      </c>
      <c r="D1453" s="19">
        <v>0</v>
      </c>
      <c r="E1453" s="19">
        <v>0</v>
      </c>
      <c r="F1453" s="19">
        <v>0</v>
      </c>
      <c r="G1453" s="19">
        <v>0</v>
      </c>
      <c r="H1453" s="19">
        <v>0</v>
      </c>
      <c r="I1453" s="15">
        <v>3500</v>
      </c>
      <c r="J1453" s="15">
        <v>0</v>
      </c>
      <c r="K1453" s="15">
        <v>0</v>
      </c>
      <c r="L1453" s="15">
        <v>0</v>
      </c>
      <c r="M1453" s="15">
        <v>0</v>
      </c>
      <c r="N1453" s="15" t="str">
        <v/>
      </c>
      <c r="O1453" s="15" t="str">
        <v/>
      </c>
      <c r="P1453" s="22">
        <v>0</v>
      </c>
      <c r="Q1453">
        <v>0</v>
      </c>
    </row>
    <row r="1454" spans="1:17">
      <c r="A1454" s="19">
        <v>0</v>
      </c>
      <c r="B1454" s="19">
        <v>0</v>
      </c>
      <c r="C1454" s="19">
        <v>0</v>
      </c>
      <c r="D1454" s="19">
        <v>0</v>
      </c>
      <c r="E1454" s="19">
        <v>0</v>
      </c>
      <c r="F1454" s="19">
        <v>0</v>
      </c>
      <c r="G1454" s="19">
        <v>0</v>
      </c>
      <c r="H1454" s="19">
        <v>0</v>
      </c>
      <c r="I1454" s="15">
        <v>3500</v>
      </c>
      <c r="J1454" s="15">
        <v>0</v>
      </c>
      <c r="K1454" s="15">
        <v>0</v>
      </c>
      <c r="L1454" s="15">
        <v>0</v>
      </c>
      <c r="M1454" s="15">
        <v>0</v>
      </c>
      <c r="N1454" s="15" t="str">
        <v/>
      </c>
      <c r="O1454" s="15" t="str">
        <v/>
      </c>
      <c r="P1454" s="22">
        <v>0</v>
      </c>
      <c r="Q1454">
        <v>0</v>
      </c>
    </row>
    <row r="1455" spans="1:17">
      <c r="A1455" s="19">
        <v>0</v>
      </c>
      <c r="B1455" s="19">
        <v>0</v>
      </c>
      <c r="C1455" s="19">
        <v>0</v>
      </c>
      <c r="D1455" s="19">
        <v>0</v>
      </c>
      <c r="E1455" s="19">
        <v>0</v>
      </c>
      <c r="F1455" s="19">
        <v>0</v>
      </c>
      <c r="G1455" s="19">
        <v>0</v>
      </c>
      <c r="H1455" s="19">
        <v>0</v>
      </c>
      <c r="I1455" s="15">
        <v>3500</v>
      </c>
      <c r="J1455" s="15">
        <v>0</v>
      </c>
      <c r="K1455" s="15">
        <v>0</v>
      </c>
      <c r="L1455" s="15">
        <v>0</v>
      </c>
      <c r="M1455" s="15">
        <v>0</v>
      </c>
      <c r="N1455" s="15" t="str">
        <v/>
      </c>
      <c r="O1455" s="15" t="str">
        <v/>
      </c>
      <c r="P1455" s="22">
        <v>0</v>
      </c>
      <c r="Q1455">
        <v>0</v>
      </c>
    </row>
    <row r="1456" spans="1:17">
      <c r="A1456" s="19">
        <v>0</v>
      </c>
      <c r="B1456" s="19">
        <v>0</v>
      </c>
      <c r="C1456" s="19">
        <v>0</v>
      </c>
      <c r="D1456" s="19">
        <v>0</v>
      </c>
      <c r="E1456" s="19">
        <v>0</v>
      </c>
      <c r="F1456" s="19">
        <v>0</v>
      </c>
      <c r="G1456" s="19">
        <v>0</v>
      </c>
      <c r="H1456" s="19">
        <v>0</v>
      </c>
      <c r="I1456" s="15">
        <v>3500</v>
      </c>
      <c r="J1456" s="15">
        <v>0</v>
      </c>
      <c r="K1456" s="15">
        <v>0</v>
      </c>
      <c r="L1456" s="15">
        <v>0</v>
      </c>
      <c r="M1456" s="15">
        <v>0</v>
      </c>
      <c r="N1456" s="15" t="str">
        <v/>
      </c>
      <c r="O1456" s="15" t="str">
        <v/>
      </c>
      <c r="P1456" s="22">
        <v>0</v>
      </c>
      <c r="Q1456">
        <v>0</v>
      </c>
    </row>
    <row r="1457" spans="1:17">
      <c r="A1457" s="19">
        <v>0</v>
      </c>
      <c r="B1457" s="19">
        <v>0</v>
      </c>
      <c r="C1457" s="19">
        <v>0</v>
      </c>
      <c r="D1457" s="19">
        <v>0</v>
      </c>
      <c r="E1457" s="19">
        <v>0</v>
      </c>
      <c r="F1457" s="19">
        <v>0</v>
      </c>
      <c r="G1457" s="19">
        <v>0</v>
      </c>
      <c r="H1457" s="19">
        <v>0</v>
      </c>
      <c r="I1457" s="15">
        <v>3500</v>
      </c>
      <c r="J1457" s="15">
        <v>0</v>
      </c>
      <c r="K1457" s="15">
        <v>0</v>
      </c>
      <c r="L1457" s="15">
        <v>0</v>
      </c>
      <c r="M1457" s="15">
        <v>0</v>
      </c>
      <c r="N1457" s="15" t="str">
        <v/>
      </c>
      <c r="O1457" s="15" t="str">
        <v/>
      </c>
      <c r="P1457" s="22">
        <v>0</v>
      </c>
      <c r="Q1457">
        <v>0</v>
      </c>
    </row>
    <row r="1458" spans="1:17">
      <c r="A1458" s="19">
        <v>0</v>
      </c>
      <c r="B1458" s="19">
        <v>0</v>
      </c>
      <c r="C1458" s="19">
        <v>0</v>
      </c>
      <c r="D1458" s="19">
        <v>0</v>
      </c>
      <c r="E1458" s="19">
        <v>0</v>
      </c>
      <c r="F1458" s="19">
        <v>0</v>
      </c>
      <c r="G1458" s="19">
        <v>0</v>
      </c>
      <c r="H1458" s="19">
        <v>0</v>
      </c>
      <c r="I1458" s="15">
        <v>3500</v>
      </c>
      <c r="J1458" s="15">
        <v>0</v>
      </c>
      <c r="K1458" s="15">
        <v>0</v>
      </c>
      <c r="L1458" s="15">
        <v>0</v>
      </c>
      <c r="M1458" s="15">
        <v>0</v>
      </c>
      <c r="N1458" s="15" t="str">
        <v/>
      </c>
      <c r="O1458" s="15" t="str">
        <v/>
      </c>
      <c r="P1458" s="22">
        <v>0</v>
      </c>
      <c r="Q1458">
        <v>0</v>
      </c>
    </row>
    <row r="1459" spans="1:17">
      <c r="A1459" s="19">
        <v>0</v>
      </c>
      <c r="B1459" s="19">
        <v>0</v>
      </c>
      <c r="C1459" s="19">
        <v>0</v>
      </c>
      <c r="D1459" s="19">
        <v>0</v>
      </c>
      <c r="E1459" s="19">
        <v>0</v>
      </c>
      <c r="F1459" s="19">
        <v>0</v>
      </c>
      <c r="G1459" s="19">
        <v>0</v>
      </c>
      <c r="H1459" s="19">
        <v>0</v>
      </c>
      <c r="I1459" s="15">
        <v>3500</v>
      </c>
      <c r="J1459" s="15">
        <v>0</v>
      </c>
      <c r="K1459" s="15">
        <v>0</v>
      </c>
      <c r="L1459" s="15">
        <v>0</v>
      </c>
      <c r="M1459" s="15">
        <v>0</v>
      </c>
      <c r="N1459" s="15" t="str">
        <v/>
      </c>
      <c r="O1459" s="15" t="str">
        <v/>
      </c>
      <c r="P1459" s="22">
        <v>0</v>
      </c>
      <c r="Q1459">
        <v>0</v>
      </c>
    </row>
    <row r="1460" spans="1:17">
      <c r="A1460" s="19">
        <v>0</v>
      </c>
      <c r="B1460" s="19">
        <v>0</v>
      </c>
      <c r="C1460" s="19">
        <v>0</v>
      </c>
      <c r="D1460" s="19">
        <v>0</v>
      </c>
      <c r="E1460" s="19">
        <v>0</v>
      </c>
      <c r="F1460" s="19">
        <v>0</v>
      </c>
      <c r="G1460" s="19">
        <v>0</v>
      </c>
      <c r="H1460" s="19">
        <v>0</v>
      </c>
      <c r="I1460" s="15">
        <v>3500</v>
      </c>
      <c r="J1460" s="15">
        <v>0</v>
      </c>
      <c r="K1460" s="15">
        <v>0</v>
      </c>
      <c r="L1460" s="15">
        <v>0</v>
      </c>
      <c r="M1460" s="15">
        <v>0</v>
      </c>
      <c r="N1460" s="15" t="str">
        <v/>
      </c>
      <c r="O1460" s="15" t="str">
        <v/>
      </c>
      <c r="P1460" s="22">
        <v>0</v>
      </c>
      <c r="Q1460">
        <v>0</v>
      </c>
    </row>
    <row r="1461" spans="1:17">
      <c r="A1461" s="19">
        <v>0</v>
      </c>
      <c r="B1461" s="19">
        <v>0</v>
      </c>
      <c r="C1461" s="19">
        <v>0</v>
      </c>
      <c r="D1461" s="19">
        <v>0</v>
      </c>
      <c r="E1461" s="19">
        <v>0</v>
      </c>
      <c r="F1461" s="19">
        <v>0</v>
      </c>
      <c r="G1461" s="19">
        <v>0</v>
      </c>
      <c r="H1461" s="19">
        <v>0</v>
      </c>
      <c r="I1461" s="15">
        <v>3500</v>
      </c>
      <c r="J1461" s="15">
        <v>0</v>
      </c>
      <c r="K1461" s="15">
        <v>0</v>
      </c>
      <c r="L1461" s="15">
        <v>0</v>
      </c>
      <c r="M1461" s="15">
        <v>0</v>
      </c>
      <c r="N1461" s="15" t="str">
        <v/>
      </c>
      <c r="O1461" s="15" t="str">
        <v/>
      </c>
      <c r="P1461" s="22">
        <v>0</v>
      </c>
      <c r="Q1461">
        <v>0</v>
      </c>
    </row>
    <row r="1462" spans="1:17">
      <c r="A1462" s="19">
        <v>0</v>
      </c>
      <c r="B1462" s="19">
        <v>0</v>
      </c>
      <c r="C1462" s="19">
        <v>0</v>
      </c>
      <c r="D1462" s="19">
        <v>0</v>
      </c>
      <c r="E1462" s="19">
        <v>0</v>
      </c>
      <c r="F1462" s="19">
        <v>0</v>
      </c>
      <c r="G1462" s="19">
        <v>0</v>
      </c>
      <c r="H1462" s="19">
        <v>0</v>
      </c>
      <c r="I1462" s="15">
        <v>3500</v>
      </c>
      <c r="J1462" s="15">
        <v>0</v>
      </c>
      <c r="K1462" s="15">
        <v>0</v>
      </c>
      <c r="L1462" s="15">
        <v>0</v>
      </c>
      <c r="M1462" s="15">
        <v>0</v>
      </c>
      <c r="N1462" s="15" t="str">
        <v/>
      </c>
      <c r="O1462" s="15" t="str">
        <v/>
      </c>
      <c r="P1462" s="22">
        <v>0</v>
      </c>
      <c r="Q1462">
        <v>0</v>
      </c>
    </row>
    <row r="1463" spans="1:17">
      <c r="A1463" s="19">
        <v>0</v>
      </c>
      <c r="B1463" s="19">
        <v>0</v>
      </c>
      <c r="C1463" s="19">
        <v>0</v>
      </c>
      <c r="D1463" s="19">
        <v>0</v>
      </c>
      <c r="E1463" s="19">
        <v>0</v>
      </c>
      <c r="F1463" s="19">
        <v>0</v>
      </c>
      <c r="G1463" s="19">
        <v>0</v>
      </c>
      <c r="H1463" s="19">
        <v>0</v>
      </c>
      <c r="I1463" s="15">
        <v>3500</v>
      </c>
      <c r="J1463" s="15">
        <v>0</v>
      </c>
      <c r="K1463" s="15">
        <v>0</v>
      </c>
      <c r="L1463" s="15">
        <v>0</v>
      </c>
      <c r="M1463" s="15">
        <v>0</v>
      </c>
      <c r="N1463" s="15" t="str">
        <v/>
      </c>
      <c r="O1463" s="15" t="str">
        <v/>
      </c>
      <c r="P1463" s="22">
        <v>0</v>
      </c>
      <c r="Q1463">
        <v>0</v>
      </c>
    </row>
    <row r="1464" spans="1:17">
      <c r="A1464" s="19">
        <v>0</v>
      </c>
      <c r="B1464" s="19">
        <v>0</v>
      </c>
      <c r="C1464" s="19">
        <v>0</v>
      </c>
      <c r="D1464" s="19">
        <v>0</v>
      </c>
      <c r="E1464" s="19">
        <v>0</v>
      </c>
      <c r="F1464" s="19">
        <v>0</v>
      </c>
      <c r="G1464" s="19">
        <v>0</v>
      </c>
      <c r="H1464" s="19">
        <v>0</v>
      </c>
      <c r="I1464" s="15">
        <v>3500</v>
      </c>
      <c r="J1464" s="15">
        <v>0</v>
      </c>
      <c r="K1464" s="15">
        <v>0</v>
      </c>
      <c r="L1464" s="15">
        <v>0</v>
      </c>
      <c r="M1464" s="15">
        <v>0</v>
      </c>
      <c r="N1464" s="15" t="str">
        <v/>
      </c>
      <c r="O1464" s="15" t="str">
        <v/>
      </c>
      <c r="P1464" s="22">
        <v>0</v>
      </c>
      <c r="Q1464">
        <v>0</v>
      </c>
    </row>
    <row r="1465" spans="1:17">
      <c r="A1465" s="19">
        <v>0</v>
      </c>
      <c r="B1465" s="19">
        <v>0</v>
      </c>
      <c r="C1465" s="19">
        <v>0</v>
      </c>
      <c r="D1465" s="19">
        <v>0</v>
      </c>
      <c r="E1465" s="19">
        <v>0</v>
      </c>
      <c r="F1465" s="19">
        <v>0</v>
      </c>
      <c r="G1465" s="19">
        <v>0</v>
      </c>
      <c r="H1465" s="19">
        <v>0</v>
      </c>
      <c r="I1465" s="15">
        <v>3500</v>
      </c>
      <c r="J1465" s="15">
        <v>0</v>
      </c>
      <c r="K1465" s="15">
        <v>0</v>
      </c>
      <c r="L1465" s="15">
        <v>0</v>
      </c>
      <c r="M1465" s="15">
        <v>0</v>
      </c>
      <c r="N1465" s="15" t="str">
        <v/>
      </c>
      <c r="O1465" s="15" t="str">
        <v/>
      </c>
      <c r="P1465" s="22">
        <v>0</v>
      </c>
      <c r="Q1465">
        <v>0</v>
      </c>
    </row>
    <row r="1466" spans="1:17">
      <c r="A1466" s="19">
        <v>0</v>
      </c>
      <c r="B1466" s="19">
        <v>0</v>
      </c>
      <c r="C1466" s="19">
        <v>0</v>
      </c>
      <c r="D1466" s="19">
        <v>0</v>
      </c>
      <c r="E1466" s="19">
        <v>0</v>
      </c>
      <c r="F1466" s="19">
        <v>0</v>
      </c>
      <c r="G1466" s="19">
        <v>0</v>
      </c>
      <c r="H1466" s="19">
        <v>0</v>
      </c>
      <c r="I1466" s="15">
        <v>3500</v>
      </c>
      <c r="J1466" s="15">
        <v>0</v>
      </c>
      <c r="K1466" s="15">
        <v>0</v>
      </c>
      <c r="L1466" s="15">
        <v>0</v>
      </c>
      <c r="M1466" s="15">
        <v>0</v>
      </c>
      <c r="N1466" s="15" t="str">
        <v/>
      </c>
      <c r="O1466" s="15" t="str">
        <v/>
      </c>
      <c r="P1466" s="22">
        <v>0</v>
      </c>
      <c r="Q1466">
        <v>0</v>
      </c>
    </row>
    <row r="1467" spans="1:17">
      <c r="A1467" s="19">
        <v>0</v>
      </c>
      <c r="B1467" s="19">
        <v>0</v>
      </c>
      <c r="C1467" s="19">
        <v>0</v>
      </c>
      <c r="D1467" s="19">
        <v>0</v>
      </c>
      <c r="E1467" s="19">
        <v>0</v>
      </c>
      <c r="F1467" s="19">
        <v>0</v>
      </c>
      <c r="G1467" s="19">
        <v>0</v>
      </c>
      <c r="H1467" s="19">
        <v>0</v>
      </c>
      <c r="I1467" s="15">
        <v>3500</v>
      </c>
      <c r="J1467" s="15">
        <v>0</v>
      </c>
      <c r="K1467" s="15">
        <v>0</v>
      </c>
      <c r="L1467" s="15">
        <v>0</v>
      </c>
      <c r="M1467" s="15">
        <v>0</v>
      </c>
      <c r="N1467" s="15" t="str">
        <v/>
      </c>
      <c r="O1467" s="15" t="str">
        <v/>
      </c>
      <c r="P1467" s="22">
        <v>0</v>
      </c>
      <c r="Q1467">
        <v>0</v>
      </c>
    </row>
    <row r="1468" spans="1:17">
      <c r="A1468" s="19">
        <v>0</v>
      </c>
      <c r="B1468" s="19">
        <v>0</v>
      </c>
      <c r="C1468" s="19">
        <v>0</v>
      </c>
      <c r="D1468" s="19">
        <v>0</v>
      </c>
      <c r="E1468" s="19">
        <v>0</v>
      </c>
      <c r="F1468" s="19">
        <v>0</v>
      </c>
      <c r="G1468" s="19">
        <v>0</v>
      </c>
      <c r="H1468" s="19">
        <v>0</v>
      </c>
      <c r="I1468" s="15">
        <v>3500</v>
      </c>
      <c r="J1468" s="15">
        <v>0</v>
      </c>
      <c r="K1468" s="15">
        <v>0</v>
      </c>
      <c r="L1468" s="15">
        <v>0</v>
      </c>
      <c r="M1468" s="15">
        <v>0</v>
      </c>
      <c r="N1468" s="15" t="str">
        <v/>
      </c>
      <c r="O1468" s="15" t="str">
        <v/>
      </c>
      <c r="P1468" s="22">
        <v>0</v>
      </c>
      <c r="Q1468">
        <v>0</v>
      </c>
    </row>
    <row r="1469" spans="1:17">
      <c r="A1469" s="19">
        <v>0</v>
      </c>
      <c r="B1469" s="19">
        <v>0</v>
      </c>
      <c r="C1469" s="19">
        <v>0</v>
      </c>
      <c r="D1469" s="19">
        <v>0</v>
      </c>
      <c r="E1469" s="19">
        <v>0</v>
      </c>
      <c r="F1469" s="19">
        <v>0</v>
      </c>
      <c r="G1469" s="19">
        <v>0</v>
      </c>
      <c r="H1469" s="19">
        <v>0</v>
      </c>
      <c r="I1469" s="15">
        <v>3500</v>
      </c>
      <c r="J1469" s="15">
        <v>0</v>
      </c>
      <c r="K1469" s="15">
        <v>0</v>
      </c>
      <c r="L1469" s="15">
        <v>0</v>
      </c>
      <c r="M1469" s="15">
        <v>0</v>
      </c>
      <c r="N1469" s="15" t="str">
        <v/>
      </c>
      <c r="O1469" s="15" t="str">
        <v/>
      </c>
      <c r="P1469" s="22">
        <v>0</v>
      </c>
      <c r="Q1469">
        <v>0</v>
      </c>
    </row>
    <row r="1470" spans="1:17">
      <c r="A1470" s="19">
        <v>0</v>
      </c>
      <c r="B1470" s="19">
        <v>0</v>
      </c>
      <c r="C1470" s="19">
        <v>0</v>
      </c>
      <c r="D1470" s="19">
        <v>0</v>
      </c>
      <c r="E1470" s="19">
        <v>0</v>
      </c>
      <c r="F1470" s="19">
        <v>0</v>
      </c>
      <c r="G1470" s="19">
        <v>0</v>
      </c>
      <c r="H1470" s="19">
        <v>0</v>
      </c>
      <c r="I1470" s="15">
        <v>3500</v>
      </c>
      <c r="J1470" s="15">
        <v>0</v>
      </c>
      <c r="K1470" s="15">
        <v>0</v>
      </c>
      <c r="L1470" s="15">
        <v>0</v>
      </c>
      <c r="M1470" s="15">
        <v>0</v>
      </c>
      <c r="N1470" s="15" t="str">
        <v/>
      </c>
      <c r="O1470" s="15" t="str">
        <v/>
      </c>
      <c r="P1470" s="22">
        <v>0</v>
      </c>
      <c r="Q1470">
        <v>0</v>
      </c>
    </row>
    <row r="1471" spans="1:17">
      <c r="A1471" s="19">
        <v>0</v>
      </c>
      <c r="B1471" s="19">
        <v>0</v>
      </c>
      <c r="C1471" s="19">
        <v>0</v>
      </c>
      <c r="D1471" s="19">
        <v>0</v>
      </c>
      <c r="E1471" s="19">
        <v>0</v>
      </c>
      <c r="F1471" s="19">
        <v>0</v>
      </c>
      <c r="G1471" s="19">
        <v>0</v>
      </c>
      <c r="H1471" s="19">
        <v>0</v>
      </c>
      <c r="I1471" s="15">
        <v>3500</v>
      </c>
      <c r="J1471" s="15">
        <v>0</v>
      </c>
      <c r="K1471" s="15">
        <v>0</v>
      </c>
      <c r="L1471" s="15">
        <v>0</v>
      </c>
      <c r="M1471" s="15">
        <v>0</v>
      </c>
      <c r="N1471" s="15" t="str">
        <v/>
      </c>
      <c r="O1471" s="15" t="str">
        <v/>
      </c>
      <c r="P1471" s="22">
        <v>0</v>
      </c>
      <c r="Q1471">
        <v>0</v>
      </c>
    </row>
    <row r="1472" spans="1:17">
      <c r="A1472" s="19">
        <v>0</v>
      </c>
      <c r="B1472" s="19">
        <v>0</v>
      </c>
      <c r="C1472" s="19">
        <v>0</v>
      </c>
      <c r="D1472" s="19">
        <v>0</v>
      </c>
      <c r="E1472" s="19">
        <v>0</v>
      </c>
      <c r="F1472" s="19">
        <v>0</v>
      </c>
      <c r="G1472" s="19">
        <v>0</v>
      </c>
      <c r="H1472" s="19">
        <v>0</v>
      </c>
      <c r="I1472" s="15">
        <v>3500</v>
      </c>
      <c r="J1472" s="15">
        <v>0</v>
      </c>
      <c r="K1472" s="15">
        <v>0</v>
      </c>
      <c r="L1472" s="15">
        <v>0</v>
      </c>
      <c r="M1472" s="15">
        <v>0</v>
      </c>
      <c r="N1472" s="15" t="str">
        <v/>
      </c>
      <c r="O1472" s="15" t="str">
        <v/>
      </c>
      <c r="P1472" s="22">
        <v>0</v>
      </c>
      <c r="Q1472">
        <v>0</v>
      </c>
    </row>
    <row r="1473" spans="1:17">
      <c r="A1473" s="19">
        <v>0</v>
      </c>
      <c r="B1473" s="19">
        <v>0</v>
      </c>
      <c r="C1473" s="19">
        <v>0</v>
      </c>
      <c r="D1473" s="19">
        <v>0</v>
      </c>
      <c r="E1473" s="19">
        <v>0</v>
      </c>
      <c r="F1473" s="19">
        <v>0</v>
      </c>
      <c r="G1473" s="19">
        <v>0</v>
      </c>
      <c r="H1473" s="19">
        <v>0</v>
      </c>
      <c r="I1473" s="15">
        <v>3500</v>
      </c>
      <c r="J1473" s="15">
        <v>0</v>
      </c>
      <c r="K1473" s="15">
        <v>0</v>
      </c>
      <c r="L1473" s="15">
        <v>0</v>
      </c>
      <c r="M1473" s="15">
        <v>0</v>
      </c>
      <c r="N1473" s="15" t="str">
        <v/>
      </c>
      <c r="O1473" s="15" t="str">
        <v/>
      </c>
      <c r="P1473" s="22">
        <v>0</v>
      </c>
      <c r="Q1473">
        <v>0</v>
      </c>
    </row>
    <row r="1474" spans="1:17">
      <c r="A1474" s="19">
        <v>0</v>
      </c>
      <c r="B1474" s="19">
        <v>0</v>
      </c>
      <c r="C1474" s="19">
        <v>0</v>
      </c>
      <c r="D1474" s="19">
        <v>0</v>
      </c>
      <c r="E1474" s="19">
        <v>0</v>
      </c>
      <c r="F1474" s="19">
        <v>0</v>
      </c>
      <c r="G1474" s="19">
        <v>0</v>
      </c>
      <c r="H1474" s="19">
        <v>0</v>
      </c>
      <c r="I1474" s="15">
        <v>3500</v>
      </c>
      <c r="J1474" s="15">
        <v>0</v>
      </c>
      <c r="K1474" s="15">
        <v>0</v>
      </c>
      <c r="L1474" s="15">
        <v>0</v>
      </c>
      <c r="M1474" s="15">
        <v>0</v>
      </c>
      <c r="N1474" s="15" t="str">
        <v/>
      </c>
      <c r="O1474" s="15" t="str">
        <v/>
      </c>
      <c r="P1474" s="22">
        <v>0</v>
      </c>
      <c r="Q1474">
        <v>0</v>
      </c>
    </row>
    <row r="1475" spans="1:17">
      <c r="A1475" s="19">
        <v>0</v>
      </c>
      <c r="B1475" s="19">
        <v>0</v>
      </c>
      <c r="C1475" s="19">
        <v>0</v>
      </c>
      <c r="D1475" s="19">
        <v>0</v>
      </c>
      <c r="E1475" s="19">
        <v>0</v>
      </c>
      <c r="F1475" s="19">
        <v>0</v>
      </c>
      <c r="G1475" s="19">
        <v>0</v>
      </c>
      <c r="H1475" s="19">
        <v>0</v>
      </c>
      <c r="I1475" s="15">
        <v>3500</v>
      </c>
      <c r="J1475" s="15">
        <v>0</v>
      </c>
      <c r="K1475" s="15">
        <v>0</v>
      </c>
      <c r="L1475" s="15">
        <v>0</v>
      </c>
      <c r="M1475" s="15">
        <v>0</v>
      </c>
      <c r="N1475" s="15" t="str">
        <v/>
      </c>
      <c r="O1475" s="15" t="str">
        <v/>
      </c>
      <c r="P1475" s="22">
        <v>0</v>
      </c>
      <c r="Q1475">
        <v>0</v>
      </c>
    </row>
    <row r="1476" spans="1:17">
      <c r="A1476" s="19">
        <v>0</v>
      </c>
      <c r="B1476" s="19">
        <v>0</v>
      </c>
      <c r="C1476" s="19">
        <v>0</v>
      </c>
      <c r="D1476" s="19">
        <v>0</v>
      </c>
      <c r="E1476" s="19">
        <v>0</v>
      </c>
      <c r="F1476" s="19">
        <v>0</v>
      </c>
      <c r="G1476" s="19">
        <v>0</v>
      </c>
      <c r="H1476" s="19">
        <v>0</v>
      </c>
      <c r="I1476" s="15">
        <v>3500</v>
      </c>
      <c r="J1476" s="15">
        <v>0</v>
      </c>
      <c r="K1476" s="15">
        <v>0</v>
      </c>
      <c r="L1476" s="15">
        <v>0</v>
      </c>
      <c r="M1476" s="15">
        <v>0</v>
      </c>
      <c r="N1476" s="15" t="str">
        <v/>
      </c>
      <c r="O1476" s="15" t="str">
        <v/>
      </c>
      <c r="P1476" s="22">
        <v>0</v>
      </c>
      <c r="Q1476">
        <v>0</v>
      </c>
    </row>
    <row r="1477" spans="1:17">
      <c r="A1477" s="19">
        <v>0</v>
      </c>
      <c r="B1477" s="19">
        <v>0</v>
      </c>
      <c r="C1477" s="19">
        <v>0</v>
      </c>
      <c r="D1477" s="19">
        <v>0</v>
      </c>
      <c r="E1477" s="19">
        <v>0</v>
      </c>
      <c r="F1477" s="19">
        <v>0</v>
      </c>
      <c r="G1477" s="19">
        <v>0</v>
      </c>
      <c r="H1477" s="19">
        <v>0</v>
      </c>
      <c r="I1477" s="15">
        <v>3500</v>
      </c>
      <c r="J1477" s="15">
        <v>0</v>
      </c>
      <c r="K1477" s="15">
        <v>0</v>
      </c>
      <c r="L1477" s="15">
        <v>0</v>
      </c>
      <c r="M1477" s="15">
        <v>0</v>
      </c>
      <c r="N1477" s="15" t="str">
        <v/>
      </c>
      <c r="O1477" s="15" t="str">
        <v/>
      </c>
      <c r="P1477" s="22">
        <v>0</v>
      </c>
      <c r="Q1477">
        <v>0</v>
      </c>
    </row>
    <row r="1478" spans="1:17">
      <c r="A1478" s="19">
        <v>0</v>
      </c>
      <c r="B1478" s="19">
        <v>0</v>
      </c>
      <c r="C1478" s="19">
        <v>0</v>
      </c>
      <c r="D1478" s="19">
        <v>0</v>
      </c>
      <c r="E1478" s="19">
        <v>0</v>
      </c>
      <c r="F1478" s="19">
        <v>0</v>
      </c>
      <c r="G1478" s="19">
        <v>0</v>
      </c>
      <c r="H1478" s="19">
        <v>0</v>
      </c>
      <c r="I1478" s="15">
        <v>3500</v>
      </c>
      <c r="J1478" s="15">
        <v>0</v>
      </c>
      <c r="K1478" s="15">
        <v>0</v>
      </c>
      <c r="L1478" s="15">
        <v>0</v>
      </c>
      <c r="M1478" s="15">
        <v>0</v>
      </c>
      <c r="N1478" s="15" t="str">
        <v/>
      </c>
      <c r="O1478" s="15" t="str">
        <v/>
      </c>
      <c r="P1478" s="22">
        <v>0</v>
      </c>
      <c r="Q1478">
        <v>0</v>
      </c>
    </row>
    <row r="1479" spans="1:17">
      <c r="A1479" s="19">
        <v>0</v>
      </c>
      <c r="B1479" s="19">
        <v>0</v>
      </c>
      <c r="C1479" s="19">
        <v>0</v>
      </c>
      <c r="D1479" s="19">
        <v>0</v>
      </c>
      <c r="E1479" s="19">
        <v>0</v>
      </c>
      <c r="F1479" s="19">
        <v>0</v>
      </c>
      <c r="G1479" s="19">
        <v>0</v>
      </c>
      <c r="H1479" s="19">
        <v>0</v>
      </c>
      <c r="I1479" s="15">
        <v>3500</v>
      </c>
      <c r="J1479" s="15">
        <v>0</v>
      </c>
      <c r="K1479" s="15">
        <v>0</v>
      </c>
      <c r="L1479" s="15">
        <v>0</v>
      </c>
      <c r="M1479" s="15">
        <v>0</v>
      </c>
      <c r="N1479" s="15" t="str">
        <v/>
      </c>
      <c r="O1479" s="15" t="str">
        <v/>
      </c>
      <c r="P1479" s="22">
        <v>0</v>
      </c>
      <c r="Q1479">
        <v>0</v>
      </c>
    </row>
    <row r="1480" spans="1:17">
      <c r="A1480" s="19">
        <v>0</v>
      </c>
      <c r="B1480" s="19">
        <v>0</v>
      </c>
      <c r="C1480" s="19">
        <v>0</v>
      </c>
      <c r="D1480" s="19">
        <v>0</v>
      </c>
      <c r="E1480" s="19">
        <v>0</v>
      </c>
      <c r="F1480" s="19">
        <v>0</v>
      </c>
      <c r="G1480" s="19">
        <v>0</v>
      </c>
      <c r="H1480" s="19">
        <v>0</v>
      </c>
      <c r="I1480" s="15">
        <v>3500</v>
      </c>
      <c r="J1480" s="15">
        <v>0</v>
      </c>
      <c r="K1480" s="15">
        <v>0</v>
      </c>
      <c r="L1480" s="15">
        <v>0</v>
      </c>
      <c r="M1480" s="15">
        <v>0</v>
      </c>
      <c r="N1480" s="15" t="str">
        <v/>
      </c>
      <c r="O1480" s="15" t="str">
        <v/>
      </c>
      <c r="P1480" s="22">
        <v>0</v>
      </c>
      <c r="Q1480">
        <v>0</v>
      </c>
    </row>
    <row r="1481" spans="1:17">
      <c r="A1481" s="19">
        <v>0</v>
      </c>
      <c r="B1481" s="19">
        <v>0</v>
      </c>
      <c r="C1481" s="19">
        <v>0</v>
      </c>
      <c r="D1481" s="19">
        <v>0</v>
      </c>
      <c r="E1481" s="19">
        <v>0</v>
      </c>
      <c r="F1481" s="19">
        <v>0</v>
      </c>
      <c r="G1481" s="19">
        <v>0</v>
      </c>
      <c r="H1481" s="19">
        <v>0</v>
      </c>
      <c r="I1481" s="15">
        <v>3500</v>
      </c>
      <c r="J1481" s="15">
        <v>0</v>
      </c>
      <c r="K1481" s="15">
        <v>0</v>
      </c>
      <c r="L1481" s="15">
        <v>0</v>
      </c>
      <c r="M1481" s="15">
        <v>0</v>
      </c>
      <c r="N1481" s="15" t="str">
        <v/>
      </c>
      <c r="O1481" s="15" t="str">
        <v/>
      </c>
      <c r="P1481" s="22">
        <v>0</v>
      </c>
      <c r="Q1481">
        <v>0</v>
      </c>
    </row>
    <row r="1482" spans="1:17">
      <c r="A1482" s="19">
        <v>0</v>
      </c>
      <c r="B1482" s="19">
        <v>0</v>
      </c>
      <c r="C1482" s="19">
        <v>0</v>
      </c>
      <c r="D1482" s="19">
        <v>0</v>
      </c>
      <c r="E1482" s="19">
        <v>0</v>
      </c>
      <c r="F1482" s="19">
        <v>0</v>
      </c>
      <c r="G1482" s="19">
        <v>0</v>
      </c>
      <c r="H1482" s="19">
        <v>0</v>
      </c>
      <c r="I1482" s="15">
        <v>3500</v>
      </c>
      <c r="J1482" s="15">
        <v>0</v>
      </c>
      <c r="K1482" s="15">
        <v>0</v>
      </c>
      <c r="L1482" s="15">
        <v>0</v>
      </c>
      <c r="M1482" s="15">
        <v>0</v>
      </c>
      <c r="N1482" s="15" t="str">
        <v/>
      </c>
      <c r="O1482" s="15" t="str">
        <v/>
      </c>
      <c r="P1482" s="22">
        <v>0</v>
      </c>
      <c r="Q1482">
        <v>0</v>
      </c>
    </row>
    <row r="1483" spans="1:17">
      <c r="A1483" s="19">
        <v>0</v>
      </c>
      <c r="B1483" s="19">
        <v>0</v>
      </c>
      <c r="C1483" s="19">
        <v>0</v>
      </c>
      <c r="D1483" s="19">
        <v>0</v>
      </c>
      <c r="E1483" s="19">
        <v>0</v>
      </c>
      <c r="F1483" s="19">
        <v>0</v>
      </c>
      <c r="G1483" s="19">
        <v>0</v>
      </c>
      <c r="H1483" s="19">
        <v>0</v>
      </c>
      <c r="I1483" s="15">
        <v>3500</v>
      </c>
      <c r="J1483" s="15">
        <v>0</v>
      </c>
      <c r="K1483" s="15">
        <v>0</v>
      </c>
      <c r="L1483" s="15">
        <v>0</v>
      </c>
      <c r="M1483" s="15">
        <v>0</v>
      </c>
      <c r="N1483" s="15" t="str">
        <v/>
      </c>
      <c r="O1483" s="15" t="str">
        <v/>
      </c>
      <c r="P1483" s="22">
        <v>0</v>
      </c>
      <c r="Q1483">
        <v>0</v>
      </c>
    </row>
    <row r="1484" spans="1:17">
      <c r="A1484" s="19">
        <v>0</v>
      </c>
      <c r="B1484" s="19">
        <v>0</v>
      </c>
      <c r="C1484" s="19">
        <v>0</v>
      </c>
      <c r="D1484" s="19">
        <v>0</v>
      </c>
      <c r="E1484" s="19">
        <v>0</v>
      </c>
      <c r="F1484" s="19">
        <v>0</v>
      </c>
      <c r="G1484" s="19">
        <v>0</v>
      </c>
      <c r="H1484" s="19">
        <v>0</v>
      </c>
      <c r="I1484" s="15">
        <v>3500</v>
      </c>
      <c r="J1484" s="15">
        <v>0</v>
      </c>
      <c r="K1484" s="15">
        <v>0</v>
      </c>
      <c r="L1484" s="15">
        <v>0</v>
      </c>
      <c r="M1484" s="15">
        <v>0</v>
      </c>
      <c r="N1484" s="15" t="str">
        <v/>
      </c>
      <c r="O1484" s="15" t="str">
        <v/>
      </c>
      <c r="P1484" s="22">
        <v>0</v>
      </c>
      <c r="Q1484">
        <v>0</v>
      </c>
    </row>
    <row r="1485" spans="1:17">
      <c r="A1485" s="19">
        <v>0</v>
      </c>
      <c r="B1485" s="19">
        <v>0</v>
      </c>
      <c r="C1485" s="19">
        <v>0</v>
      </c>
      <c r="D1485" s="19">
        <v>0</v>
      </c>
      <c r="E1485" s="19">
        <v>0</v>
      </c>
      <c r="F1485" s="19">
        <v>0</v>
      </c>
      <c r="G1485" s="19">
        <v>0</v>
      </c>
      <c r="H1485" s="19">
        <v>0</v>
      </c>
      <c r="I1485" s="15">
        <v>3500</v>
      </c>
      <c r="J1485" s="15">
        <v>0</v>
      </c>
      <c r="K1485" s="15">
        <v>0</v>
      </c>
      <c r="L1485" s="15">
        <v>0</v>
      </c>
      <c r="M1485" s="15">
        <v>0</v>
      </c>
      <c r="N1485" s="15" t="str">
        <v/>
      </c>
      <c r="O1485" s="15" t="str">
        <v/>
      </c>
      <c r="P1485" s="22">
        <v>0</v>
      </c>
      <c r="Q1485">
        <v>0</v>
      </c>
    </row>
    <row r="1486" spans="1:17">
      <c r="A1486" s="19">
        <v>0</v>
      </c>
      <c r="B1486" s="19">
        <v>0</v>
      </c>
      <c r="C1486" s="19">
        <v>0</v>
      </c>
      <c r="D1486" s="19">
        <v>0</v>
      </c>
      <c r="E1486" s="19">
        <v>0</v>
      </c>
      <c r="F1486" s="19">
        <v>0</v>
      </c>
      <c r="G1486" s="19">
        <v>0</v>
      </c>
      <c r="H1486" s="19">
        <v>0</v>
      </c>
      <c r="I1486" s="15">
        <v>3500</v>
      </c>
      <c r="J1486" s="15">
        <v>0</v>
      </c>
      <c r="K1486" s="15">
        <v>0</v>
      </c>
      <c r="L1486" s="15">
        <v>0</v>
      </c>
      <c r="M1486" s="15">
        <v>0</v>
      </c>
      <c r="N1486" s="15" t="str">
        <v/>
      </c>
      <c r="O1486" s="15" t="str">
        <v/>
      </c>
      <c r="P1486" s="22">
        <v>0</v>
      </c>
      <c r="Q1486">
        <v>0</v>
      </c>
    </row>
    <row r="1487" spans="1:17">
      <c r="A1487" s="19">
        <v>0</v>
      </c>
      <c r="B1487" s="19">
        <v>0</v>
      </c>
      <c r="C1487" s="19">
        <v>0</v>
      </c>
      <c r="D1487" s="19">
        <v>0</v>
      </c>
      <c r="E1487" s="19">
        <v>0</v>
      </c>
      <c r="F1487" s="19">
        <v>0</v>
      </c>
      <c r="G1487" s="19">
        <v>0</v>
      </c>
      <c r="H1487" s="19">
        <v>0</v>
      </c>
      <c r="I1487" s="15">
        <v>3500</v>
      </c>
      <c r="J1487" s="15">
        <v>0</v>
      </c>
      <c r="K1487" s="15">
        <v>0</v>
      </c>
      <c r="L1487" s="15">
        <v>0</v>
      </c>
      <c r="M1487" s="15">
        <v>0</v>
      </c>
      <c r="N1487" s="15" t="str">
        <v/>
      </c>
      <c r="O1487" s="15" t="str">
        <v/>
      </c>
      <c r="P1487" s="22">
        <v>0</v>
      </c>
      <c r="Q1487">
        <v>0</v>
      </c>
    </row>
    <row r="1488" spans="1:17">
      <c r="A1488" s="19">
        <v>0</v>
      </c>
      <c r="B1488" s="19">
        <v>0</v>
      </c>
      <c r="C1488" s="19">
        <v>0</v>
      </c>
      <c r="D1488" s="19">
        <v>0</v>
      </c>
      <c r="E1488" s="19">
        <v>0</v>
      </c>
      <c r="F1488" s="19">
        <v>0</v>
      </c>
      <c r="G1488" s="19">
        <v>0</v>
      </c>
      <c r="H1488" s="19">
        <v>0</v>
      </c>
      <c r="I1488" s="15">
        <v>3500</v>
      </c>
      <c r="J1488" s="15">
        <v>0</v>
      </c>
      <c r="K1488" s="15">
        <v>0</v>
      </c>
      <c r="L1488" s="15">
        <v>0</v>
      </c>
      <c r="M1488" s="15">
        <v>0</v>
      </c>
      <c r="N1488" s="15" t="str">
        <v/>
      </c>
      <c r="O1488" s="15" t="str">
        <v/>
      </c>
      <c r="P1488" s="22">
        <v>0</v>
      </c>
      <c r="Q1488">
        <v>0</v>
      </c>
    </row>
    <row r="1489" spans="1:17">
      <c r="A1489" s="19">
        <v>0</v>
      </c>
      <c r="B1489" s="19">
        <v>0</v>
      </c>
      <c r="C1489" s="19">
        <v>0</v>
      </c>
      <c r="D1489" s="19">
        <v>0</v>
      </c>
      <c r="E1489" s="19">
        <v>0</v>
      </c>
      <c r="F1489" s="19">
        <v>0</v>
      </c>
      <c r="G1489" s="19">
        <v>0</v>
      </c>
      <c r="H1489" s="19">
        <v>0</v>
      </c>
      <c r="I1489" s="15">
        <v>3500</v>
      </c>
      <c r="J1489" s="15">
        <v>0</v>
      </c>
      <c r="K1489" s="15">
        <v>0</v>
      </c>
      <c r="L1489" s="15">
        <v>0</v>
      </c>
      <c r="M1489" s="15">
        <v>0</v>
      </c>
      <c r="N1489" s="15" t="str">
        <v/>
      </c>
      <c r="O1489" s="15" t="str">
        <v/>
      </c>
      <c r="P1489" s="22">
        <v>0</v>
      </c>
      <c r="Q1489">
        <v>0</v>
      </c>
    </row>
    <row r="1490" spans="1:17">
      <c r="A1490" s="19">
        <v>0</v>
      </c>
      <c r="B1490" s="19">
        <v>0</v>
      </c>
      <c r="C1490" s="19">
        <v>0</v>
      </c>
      <c r="D1490" s="19">
        <v>0</v>
      </c>
      <c r="E1490" s="19">
        <v>0</v>
      </c>
      <c r="F1490" s="19">
        <v>0</v>
      </c>
      <c r="G1490" s="19">
        <v>0</v>
      </c>
      <c r="H1490" s="19">
        <v>0</v>
      </c>
      <c r="I1490" s="15">
        <v>3500</v>
      </c>
      <c r="J1490" s="15">
        <v>0</v>
      </c>
      <c r="K1490" s="15">
        <v>0</v>
      </c>
      <c r="L1490" s="15">
        <v>0</v>
      </c>
      <c r="M1490" s="15">
        <v>0</v>
      </c>
      <c r="N1490" s="15" t="str">
        <v/>
      </c>
      <c r="O1490" s="15" t="str">
        <v/>
      </c>
      <c r="P1490" s="22">
        <v>0</v>
      </c>
      <c r="Q1490">
        <v>0</v>
      </c>
    </row>
    <row r="1491" spans="1:17">
      <c r="A1491" s="19">
        <v>0</v>
      </c>
      <c r="B1491" s="19">
        <v>0</v>
      </c>
      <c r="C1491" s="19">
        <v>0</v>
      </c>
      <c r="D1491" s="19">
        <v>0</v>
      </c>
      <c r="E1491" s="19">
        <v>0</v>
      </c>
      <c r="F1491" s="19">
        <v>0</v>
      </c>
      <c r="G1491" s="19">
        <v>0</v>
      </c>
      <c r="H1491" s="19">
        <v>0</v>
      </c>
      <c r="I1491" s="15">
        <v>3500</v>
      </c>
      <c r="J1491" s="15">
        <v>0</v>
      </c>
      <c r="K1491" s="15">
        <v>0</v>
      </c>
      <c r="L1491" s="15">
        <v>0</v>
      </c>
      <c r="M1491" s="15">
        <v>0</v>
      </c>
      <c r="N1491" s="15" t="str">
        <v/>
      </c>
      <c r="O1491" s="15" t="str">
        <v/>
      </c>
      <c r="P1491" s="22">
        <v>0</v>
      </c>
      <c r="Q1491">
        <v>0</v>
      </c>
    </row>
    <row r="1492" spans="1:17">
      <c r="A1492" s="19">
        <v>0</v>
      </c>
      <c r="B1492" s="19">
        <v>0</v>
      </c>
      <c r="C1492" s="19">
        <v>0</v>
      </c>
      <c r="D1492" s="19">
        <v>0</v>
      </c>
      <c r="E1492" s="19">
        <v>0</v>
      </c>
      <c r="F1492" s="19">
        <v>0</v>
      </c>
      <c r="G1492" s="19">
        <v>0</v>
      </c>
      <c r="H1492" s="19">
        <v>0</v>
      </c>
      <c r="I1492" s="15">
        <v>3500</v>
      </c>
      <c r="J1492" s="15">
        <v>0</v>
      </c>
      <c r="K1492" s="15">
        <v>0</v>
      </c>
      <c r="L1492" s="15">
        <v>0</v>
      </c>
      <c r="M1492" s="15">
        <v>0</v>
      </c>
      <c r="N1492" s="15" t="str">
        <v/>
      </c>
      <c r="O1492" s="15" t="str">
        <v/>
      </c>
      <c r="P1492" s="22">
        <v>0</v>
      </c>
      <c r="Q1492">
        <v>0</v>
      </c>
    </row>
    <row r="1493" spans="1:17">
      <c r="A1493" s="19">
        <v>0</v>
      </c>
      <c r="B1493" s="19">
        <v>0</v>
      </c>
      <c r="C1493" s="19">
        <v>0</v>
      </c>
      <c r="D1493" s="19">
        <v>0</v>
      </c>
      <c r="E1493" s="19">
        <v>0</v>
      </c>
      <c r="F1493" s="19">
        <v>0</v>
      </c>
      <c r="G1493" s="19">
        <v>0</v>
      </c>
      <c r="H1493" s="19">
        <v>0</v>
      </c>
      <c r="I1493" s="15">
        <v>3500</v>
      </c>
      <c r="J1493" s="15">
        <v>0</v>
      </c>
      <c r="K1493" s="15">
        <v>0</v>
      </c>
      <c r="L1493" s="15">
        <v>0</v>
      </c>
      <c r="M1493" s="15">
        <v>0</v>
      </c>
      <c r="N1493" s="15" t="str">
        <v/>
      </c>
      <c r="O1493" s="15" t="str">
        <v/>
      </c>
      <c r="P1493" s="22">
        <v>0</v>
      </c>
      <c r="Q1493">
        <v>0</v>
      </c>
    </row>
    <row r="1494" spans="1:17">
      <c r="A1494" s="19">
        <v>0</v>
      </c>
      <c r="B1494" s="19">
        <v>0</v>
      </c>
      <c r="C1494" s="19">
        <v>0</v>
      </c>
      <c r="D1494" s="19">
        <v>0</v>
      </c>
      <c r="E1494" s="19">
        <v>0</v>
      </c>
      <c r="F1494" s="19">
        <v>0</v>
      </c>
      <c r="G1494" s="19">
        <v>0</v>
      </c>
      <c r="H1494" s="19">
        <v>0</v>
      </c>
      <c r="I1494" s="15">
        <v>3500</v>
      </c>
      <c r="J1494" s="15">
        <v>0</v>
      </c>
      <c r="K1494" s="15">
        <v>0</v>
      </c>
      <c r="L1494" s="15">
        <v>0</v>
      </c>
      <c r="M1494" s="15">
        <v>0</v>
      </c>
      <c r="N1494" s="15" t="str">
        <v/>
      </c>
      <c r="O1494" s="15" t="str">
        <v/>
      </c>
      <c r="P1494" s="22">
        <v>0</v>
      </c>
      <c r="Q1494">
        <v>0</v>
      </c>
    </row>
    <row r="1495" spans="1:17">
      <c r="A1495" s="19">
        <v>0</v>
      </c>
      <c r="B1495" s="19">
        <v>0</v>
      </c>
      <c r="C1495" s="19">
        <v>0</v>
      </c>
      <c r="D1495" s="19">
        <v>0</v>
      </c>
      <c r="E1495" s="19">
        <v>0</v>
      </c>
      <c r="F1495" s="19">
        <v>0</v>
      </c>
      <c r="G1495" s="19">
        <v>0</v>
      </c>
      <c r="H1495" s="19">
        <v>0</v>
      </c>
      <c r="I1495" s="15">
        <v>3500</v>
      </c>
      <c r="J1495" s="15">
        <v>0</v>
      </c>
      <c r="K1495" s="15">
        <v>0</v>
      </c>
      <c r="L1495" s="15">
        <v>0</v>
      </c>
      <c r="M1495" s="15">
        <v>0</v>
      </c>
      <c r="N1495" s="15" t="str">
        <v/>
      </c>
      <c r="O1495" s="15" t="str">
        <v/>
      </c>
      <c r="P1495" s="22">
        <v>0</v>
      </c>
      <c r="Q1495">
        <v>0</v>
      </c>
    </row>
    <row r="1496" spans="1:17">
      <c r="A1496" s="19">
        <v>0</v>
      </c>
      <c r="B1496" s="19">
        <v>0</v>
      </c>
      <c r="C1496" s="19">
        <v>0</v>
      </c>
      <c r="D1496" s="19">
        <v>0</v>
      </c>
      <c r="E1496" s="19">
        <v>0</v>
      </c>
      <c r="F1496" s="19">
        <v>0</v>
      </c>
      <c r="G1496" s="19">
        <v>0</v>
      </c>
      <c r="H1496" s="19">
        <v>0</v>
      </c>
      <c r="I1496" s="15">
        <v>3500</v>
      </c>
      <c r="J1496" s="15">
        <v>0</v>
      </c>
      <c r="K1496" s="15">
        <v>0</v>
      </c>
      <c r="L1496" s="15">
        <v>0</v>
      </c>
      <c r="M1496" s="15">
        <v>0</v>
      </c>
      <c r="N1496" s="15" t="str">
        <v/>
      </c>
      <c r="O1496" s="15" t="str">
        <v/>
      </c>
      <c r="P1496" s="22">
        <v>0</v>
      </c>
      <c r="Q1496">
        <v>0</v>
      </c>
    </row>
    <row r="1497" spans="1:17">
      <c r="A1497" s="19">
        <v>0</v>
      </c>
      <c r="B1497" s="19">
        <v>0</v>
      </c>
      <c r="C1497" s="19">
        <v>0</v>
      </c>
      <c r="D1497" s="19">
        <v>0</v>
      </c>
      <c r="E1497" s="19">
        <v>0</v>
      </c>
      <c r="F1497" s="19">
        <v>0</v>
      </c>
      <c r="G1497" s="19">
        <v>0</v>
      </c>
      <c r="H1497" s="19">
        <v>0</v>
      </c>
      <c r="I1497" s="15">
        <v>3500</v>
      </c>
      <c r="J1497" s="15">
        <v>0</v>
      </c>
      <c r="K1497" s="15">
        <v>0</v>
      </c>
      <c r="L1497" s="15">
        <v>0</v>
      </c>
      <c r="M1497" s="15">
        <v>0</v>
      </c>
      <c r="N1497" s="15" t="str">
        <v/>
      </c>
      <c r="O1497" s="15" t="str">
        <v/>
      </c>
      <c r="P1497" s="22">
        <v>0</v>
      </c>
      <c r="Q1497">
        <v>0</v>
      </c>
    </row>
    <row r="1498" spans="1:17">
      <c r="A1498" s="19">
        <v>0</v>
      </c>
      <c r="B1498" s="19">
        <v>0</v>
      </c>
      <c r="C1498" s="19">
        <v>0</v>
      </c>
      <c r="D1498" s="19">
        <v>0</v>
      </c>
      <c r="E1498" s="19">
        <v>0</v>
      </c>
      <c r="F1498" s="19">
        <v>0</v>
      </c>
      <c r="G1498" s="19">
        <v>0</v>
      </c>
      <c r="H1498" s="19">
        <v>0</v>
      </c>
      <c r="I1498" s="15">
        <v>3500</v>
      </c>
      <c r="J1498" s="15">
        <v>0</v>
      </c>
      <c r="K1498" s="15">
        <v>0</v>
      </c>
      <c r="L1498" s="15">
        <v>0</v>
      </c>
      <c r="M1498" s="15">
        <v>0</v>
      </c>
      <c r="N1498" s="15" t="str">
        <v/>
      </c>
      <c r="O1498" s="15" t="str">
        <v/>
      </c>
      <c r="P1498" s="22">
        <v>0</v>
      </c>
      <c r="Q1498">
        <v>0</v>
      </c>
    </row>
    <row r="1499" spans="1:17">
      <c r="A1499" s="19">
        <v>0</v>
      </c>
      <c r="B1499" s="19">
        <v>0</v>
      </c>
      <c r="C1499" s="19">
        <v>0</v>
      </c>
      <c r="D1499" s="19">
        <v>0</v>
      </c>
      <c r="E1499" s="19">
        <v>0</v>
      </c>
      <c r="F1499" s="19">
        <v>0</v>
      </c>
      <c r="G1499" s="19">
        <v>0</v>
      </c>
      <c r="H1499" s="19">
        <v>0</v>
      </c>
      <c r="I1499" s="15">
        <v>3500</v>
      </c>
      <c r="J1499" s="15">
        <v>0</v>
      </c>
      <c r="K1499" s="15">
        <v>0</v>
      </c>
      <c r="L1499" s="15">
        <v>0</v>
      </c>
      <c r="M1499" s="15">
        <v>0</v>
      </c>
      <c r="N1499" s="15" t="str">
        <v/>
      </c>
      <c r="O1499" s="15" t="str">
        <v/>
      </c>
      <c r="P1499" s="22">
        <v>0</v>
      </c>
      <c r="Q1499">
        <v>0</v>
      </c>
    </row>
    <row r="1500" spans="1:17">
      <c r="A1500" s="19">
        <v>0</v>
      </c>
      <c r="B1500" s="19">
        <v>0</v>
      </c>
      <c r="C1500" s="19">
        <v>0</v>
      </c>
      <c r="D1500" s="19">
        <v>0</v>
      </c>
      <c r="E1500" s="19">
        <v>0</v>
      </c>
      <c r="F1500" s="19">
        <v>0</v>
      </c>
      <c r="G1500" s="19">
        <v>0</v>
      </c>
      <c r="H1500" s="19">
        <v>0</v>
      </c>
      <c r="I1500" s="15">
        <v>3500</v>
      </c>
      <c r="J1500" s="15">
        <v>0</v>
      </c>
      <c r="K1500" s="15">
        <v>0</v>
      </c>
      <c r="L1500" s="15">
        <v>0</v>
      </c>
      <c r="M1500" s="15">
        <v>0</v>
      </c>
      <c r="N1500" s="15" t="str">
        <v/>
      </c>
      <c r="O1500" s="15" t="str">
        <v/>
      </c>
      <c r="P1500" s="22">
        <v>0</v>
      </c>
      <c r="Q1500">
        <v>0</v>
      </c>
    </row>
    <row r="1501" spans="1:17">
      <c r="A1501" s="19">
        <v>0</v>
      </c>
      <c r="B1501" s="19">
        <v>0</v>
      </c>
      <c r="C1501" s="19">
        <v>0</v>
      </c>
      <c r="D1501" s="19">
        <v>0</v>
      </c>
      <c r="E1501" s="19">
        <v>0</v>
      </c>
      <c r="F1501" s="19">
        <v>0</v>
      </c>
      <c r="G1501" s="19">
        <v>0</v>
      </c>
      <c r="H1501" s="19">
        <v>0</v>
      </c>
      <c r="I1501" s="15">
        <v>3500</v>
      </c>
      <c r="J1501" s="15">
        <v>0</v>
      </c>
      <c r="K1501" s="15">
        <v>0</v>
      </c>
      <c r="L1501" s="15">
        <v>0</v>
      </c>
      <c r="M1501" s="15">
        <v>0</v>
      </c>
      <c r="N1501" s="15" t="str">
        <v/>
      </c>
      <c r="O1501" s="15" t="str">
        <v/>
      </c>
      <c r="P1501" s="22">
        <v>0</v>
      </c>
      <c r="Q1501">
        <v>0</v>
      </c>
    </row>
    <row r="1502" spans="1:17">
      <c r="A1502" s="19">
        <v>0</v>
      </c>
      <c r="B1502" s="19">
        <v>0</v>
      </c>
      <c r="C1502" s="19">
        <v>0</v>
      </c>
      <c r="D1502" s="19">
        <v>0</v>
      </c>
      <c r="E1502" s="19">
        <v>0</v>
      </c>
      <c r="F1502" s="19">
        <v>0</v>
      </c>
      <c r="G1502" s="19">
        <v>0</v>
      </c>
      <c r="H1502" s="19">
        <v>0</v>
      </c>
      <c r="I1502" s="15">
        <v>3500</v>
      </c>
      <c r="J1502" s="15">
        <v>0</v>
      </c>
      <c r="K1502" s="15">
        <v>0</v>
      </c>
      <c r="L1502" s="15">
        <v>0</v>
      </c>
      <c r="M1502" s="15">
        <v>0</v>
      </c>
      <c r="N1502" s="15" t="str">
        <v/>
      </c>
      <c r="O1502" s="15" t="str">
        <v/>
      </c>
      <c r="P1502" s="22">
        <v>0</v>
      </c>
      <c r="Q1502">
        <v>0</v>
      </c>
    </row>
    <row r="1503" spans="1:17">
      <c r="A1503" s="19">
        <v>0</v>
      </c>
      <c r="B1503" s="19">
        <v>0</v>
      </c>
      <c r="C1503" s="19">
        <v>0</v>
      </c>
      <c r="D1503" s="19">
        <v>0</v>
      </c>
      <c r="E1503" s="19">
        <v>0</v>
      </c>
      <c r="F1503" s="19">
        <v>0</v>
      </c>
      <c r="G1503" s="19">
        <v>0</v>
      </c>
      <c r="H1503" s="19">
        <v>0</v>
      </c>
      <c r="I1503" s="15">
        <v>3500</v>
      </c>
      <c r="J1503" s="15">
        <v>0</v>
      </c>
      <c r="K1503" s="15">
        <v>0</v>
      </c>
      <c r="L1503" s="15">
        <v>0</v>
      </c>
      <c r="M1503" s="15">
        <v>0</v>
      </c>
      <c r="N1503" s="15" t="str">
        <v/>
      </c>
      <c r="O1503" s="15" t="str">
        <v/>
      </c>
      <c r="P1503" s="22">
        <v>0</v>
      </c>
      <c r="Q1503">
        <v>0</v>
      </c>
    </row>
    <row r="1504" spans="1:17">
      <c r="A1504" s="19">
        <v>0</v>
      </c>
      <c r="B1504" s="19">
        <v>0</v>
      </c>
      <c r="C1504" s="19">
        <v>0</v>
      </c>
      <c r="D1504" s="19">
        <v>0</v>
      </c>
      <c r="E1504" s="19">
        <v>0</v>
      </c>
      <c r="F1504" s="19">
        <v>0</v>
      </c>
      <c r="G1504" s="19">
        <v>0</v>
      </c>
      <c r="H1504" s="19">
        <v>0</v>
      </c>
      <c r="I1504" s="15">
        <v>3500</v>
      </c>
      <c r="J1504" s="15">
        <v>0</v>
      </c>
      <c r="K1504" s="15">
        <v>0</v>
      </c>
      <c r="L1504" s="15">
        <v>0</v>
      </c>
      <c r="M1504" s="15">
        <v>0</v>
      </c>
      <c r="N1504" s="15" t="str">
        <v/>
      </c>
      <c r="O1504" s="15" t="str">
        <v/>
      </c>
      <c r="P1504" s="22">
        <v>0</v>
      </c>
      <c r="Q1504">
        <v>0</v>
      </c>
    </row>
    <row r="1505" spans="1:17">
      <c r="A1505" s="19">
        <v>0</v>
      </c>
      <c r="B1505" s="19">
        <v>0</v>
      </c>
      <c r="C1505" s="19">
        <v>0</v>
      </c>
      <c r="D1505" s="19">
        <v>0</v>
      </c>
      <c r="E1505" s="19">
        <v>0</v>
      </c>
      <c r="F1505" s="19">
        <v>0</v>
      </c>
      <c r="G1505" s="19">
        <v>0</v>
      </c>
      <c r="H1505" s="19">
        <v>0</v>
      </c>
      <c r="I1505" s="15">
        <v>3500</v>
      </c>
      <c r="J1505" s="15">
        <v>0</v>
      </c>
      <c r="K1505" s="15">
        <v>0</v>
      </c>
      <c r="L1505" s="15">
        <v>0</v>
      </c>
      <c r="M1505" s="15">
        <v>0</v>
      </c>
      <c r="N1505" s="15" t="str">
        <v/>
      </c>
      <c r="O1505" s="15" t="str">
        <v/>
      </c>
      <c r="P1505" s="22">
        <v>0</v>
      </c>
      <c r="Q1505">
        <v>0</v>
      </c>
    </row>
    <row r="1506" spans="1:17">
      <c r="A1506" s="19">
        <v>0</v>
      </c>
      <c r="B1506" s="19">
        <v>0</v>
      </c>
      <c r="C1506" s="19">
        <v>0</v>
      </c>
      <c r="D1506" s="19">
        <v>0</v>
      </c>
      <c r="E1506" s="19">
        <v>0</v>
      </c>
      <c r="F1506" s="19">
        <v>0</v>
      </c>
      <c r="G1506" s="19">
        <v>0</v>
      </c>
      <c r="H1506" s="19">
        <v>0</v>
      </c>
      <c r="I1506" s="15">
        <v>3500</v>
      </c>
      <c r="J1506" s="15">
        <v>0</v>
      </c>
      <c r="K1506" s="15">
        <v>0</v>
      </c>
      <c r="L1506" s="15">
        <v>0</v>
      </c>
      <c r="M1506" s="15">
        <v>0</v>
      </c>
      <c r="N1506" s="15" t="str">
        <v/>
      </c>
      <c r="O1506" s="15" t="str">
        <v/>
      </c>
      <c r="P1506" s="22">
        <v>0</v>
      </c>
      <c r="Q1506">
        <v>0</v>
      </c>
    </row>
    <row r="1507" spans="1:17">
      <c r="A1507" s="19">
        <v>0</v>
      </c>
      <c r="B1507" s="19">
        <v>0</v>
      </c>
      <c r="C1507" s="19">
        <v>0</v>
      </c>
      <c r="D1507" s="19">
        <v>0</v>
      </c>
      <c r="E1507" s="19">
        <v>0</v>
      </c>
      <c r="F1507" s="19">
        <v>0</v>
      </c>
      <c r="G1507" s="19">
        <v>0</v>
      </c>
      <c r="H1507" s="19">
        <v>0</v>
      </c>
      <c r="I1507" s="15">
        <v>3500</v>
      </c>
      <c r="J1507" s="15">
        <v>0</v>
      </c>
      <c r="K1507" s="15">
        <v>0</v>
      </c>
      <c r="L1507" s="15">
        <v>0</v>
      </c>
      <c r="M1507" s="15">
        <v>0</v>
      </c>
      <c r="N1507" s="15" t="str">
        <v/>
      </c>
      <c r="O1507" s="15" t="str">
        <v/>
      </c>
      <c r="P1507" s="22">
        <v>0</v>
      </c>
      <c r="Q1507">
        <v>0</v>
      </c>
    </row>
    <row r="1508" spans="1:17">
      <c r="A1508" s="19">
        <v>0</v>
      </c>
      <c r="B1508" s="19">
        <v>0</v>
      </c>
      <c r="C1508" s="19">
        <v>0</v>
      </c>
      <c r="D1508" s="19">
        <v>0</v>
      </c>
      <c r="E1508" s="19">
        <v>0</v>
      </c>
      <c r="F1508" s="19">
        <v>0</v>
      </c>
      <c r="G1508" s="19">
        <v>0</v>
      </c>
      <c r="H1508" s="19">
        <v>0</v>
      </c>
      <c r="I1508" s="15">
        <v>3500</v>
      </c>
      <c r="J1508" s="15">
        <v>0</v>
      </c>
      <c r="K1508" s="15">
        <v>0</v>
      </c>
      <c r="L1508" s="15">
        <v>0</v>
      </c>
      <c r="M1508" s="15">
        <v>0</v>
      </c>
      <c r="N1508" s="15" t="str">
        <v/>
      </c>
      <c r="O1508" s="15" t="str">
        <v/>
      </c>
      <c r="P1508" s="22">
        <v>0</v>
      </c>
      <c r="Q1508">
        <v>0</v>
      </c>
    </row>
    <row r="1509" spans="1:17">
      <c r="A1509" s="19">
        <v>0</v>
      </c>
      <c r="B1509" s="19">
        <v>0</v>
      </c>
      <c r="C1509" s="19">
        <v>0</v>
      </c>
      <c r="D1509" s="19">
        <v>0</v>
      </c>
      <c r="E1509" s="19">
        <v>0</v>
      </c>
      <c r="F1509" s="19">
        <v>0</v>
      </c>
      <c r="G1509" s="19">
        <v>0</v>
      </c>
      <c r="H1509" s="19">
        <v>0</v>
      </c>
      <c r="I1509" s="15">
        <v>3500</v>
      </c>
      <c r="J1509" s="15">
        <v>0</v>
      </c>
      <c r="K1509" s="15">
        <v>0</v>
      </c>
      <c r="L1509" s="15">
        <v>0</v>
      </c>
      <c r="M1509" s="15">
        <v>0</v>
      </c>
      <c r="N1509" s="15" t="str">
        <v/>
      </c>
      <c r="O1509" s="15" t="str">
        <v/>
      </c>
      <c r="P1509" s="22">
        <v>0</v>
      </c>
      <c r="Q1509">
        <v>0</v>
      </c>
    </row>
    <row r="1510" spans="1:17">
      <c r="A1510" s="19">
        <v>0</v>
      </c>
      <c r="B1510" s="19">
        <v>0</v>
      </c>
      <c r="C1510" s="19">
        <v>0</v>
      </c>
      <c r="D1510" s="19">
        <v>0</v>
      </c>
      <c r="E1510" s="19">
        <v>0</v>
      </c>
      <c r="F1510" s="19">
        <v>0</v>
      </c>
      <c r="G1510" s="19">
        <v>0</v>
      </c>
      <c r="H1510" s="19">
        <v>0</v>
      </c>
      <c r="I1510" s="15">
        <v>3500</v>
      </c>
      <c r="J1510" s="15">
        <v>0</v>
      </c>
      <c r="K1510" s="15">
        <v>0</v>
      </c>
      <c r="L1510" s="15">
        <v>0</v>
      </c>
      <c r="M1510" s="15">
        <v>0</v>
      </c>
      <c r="N1510" s="15" t="str">
        <v/>
      </c>
      <c r="O1510" s="15" t="str">
        <v/>
      </c>
      <c r="P1510" s="22">
        <v>0</v>
      </c>
      <c r="Q1510">
        <v>0</v>
      </c>
    </row>
    <row r="1511" spans="1:17">
      <c r="A1511" s="19">
        <v>0</v>
      </c>
      <c r="B1511" s="19">
        <v>0</v>
      </c>
      <c r="C1511" s="19">
        <v>0</v>
      </c>
      <c r="D1511" s="19">
        <v>0</v>
      </c>
      <c r="E1511" s="19">
        <v>0</v>
      </c>
      <c r="F1511" s="19">
        <v>0</v>
      </c>
      <c r="G1511" s="19">
        <v>0</v>
      </c>
      <c r="H1511" s="19">
        <v>0</v>
      </c>
      <c r="I1511" s="15">
        <v>3500</v>
      </c>
      <c r="J1511" s="15">
        <v>0</v>
      </c>
      <c r="K1511" s="15">
        <v>0</v>
      </c>
      <c r="L1511" s="15">
        <v>0</v>
      </c>
      <c r="M1511" s="15">
        <v>0</v>
      </c>
      <c r="N1511" s="15" t="str">
        <v/>
      </c>
      <c r="O1511" s="15" t="str">
        <v/>
      </c>
      <c r="P1511" s="22">
        <v>0</v>
      </c>
      <c r="Q1511">
        <v>0</v>
      </c>
    </row>
    <row r="1512" spans="1:17">
      <c r="A1512" s="19">
        <v>0</v>
      </c>
      <c r="B1512" s="19">
        <v>0</v>
      </c>
      <c r="C1512" s="19">
        <v>0</v>
      </c>
      <c r="D1512" s="19">
        <v>0</v>
      </c>
      <c r="E1512" s="19">
        <v>0</v>
      </c>
      <c r="F1512" s="19">
        <v>0</v>
      </c>
      <c r="G1512" s="19">
        <v>0</v>
      </c>
      <c r="H1512" s="19">
        <v>0</v>
      </c>
      <c r="I1512" s="15">
        <v>3500</v>
      </c>
      <c r="J1512" s="15">
        <v>0</v>
      </c>
      <c r="K1512" s="15">
        <v>0</v>
      </c>
      <c r="L1512" s="15">
        <v>0</v>
      </c>
      <c r="M1512" s="15">
        <v>0</v>
      </c>
      <c r="N1512" s="15" t="str">
        <v/>
      </c>
      <c r="O1512" s="15" t="str">
        <v/>
      </c>
      <c r="P1512" s="22">
        <v>0</v>
      </c>
      <c r="Q1512">
        <v>0</v>
      </c>
    </row>
    <row r="1513" spans="1:17">
      <c r="A1513" s="19">
        <v>0</v>
      </c>
      <c r="B1513" s="19">
        <v>0</v>
      </c>
      <c r="C1513" s="19">
        <v>0</v>
      </c>
      <c r="D1513" s="19">
        <v>0</v>
      </c>
      <c r="E1513" s="19">
        <v>0</v>
      </c>
      <c r="F1513" s="19">
        <v>0</v>
      </c>
      <c r="G1513" s="19">
        <v>0</v>
      </c>
      <c r="H1513" s="19">
        <v>0</v>
      </c>
      <c r="I1513" s="15">
        <v>3500</v>
      </c>
      <c r="J1513" s="15">
        <v>0</v>
      </c>
      <c r="K1513" s="15">
        <v>0</v>
      </c>
      <c r="L1513" s="15">
        <v>0</v>
      </c>
      <c r="M1513" s="15">
        <v>0</v>
      </c>
      <c r="N1513" s="15" t="str">
        <v/>
      </c>
      <c r="O1513" s="15" t="str">
        <v/>
      </c>
      <c r="P1513" s="22">
        <v>0</v>
      </c>
      <c r="Q1513">
        <v>0</v>
      </c>
    </row>
    <row r="1514" spans="1:17">
      <c r="A1514" s="19">
        <v>0</v>
      </c>
      <c r="B1514" s="19">
        <v>0</v>
      </c>
      <c r="C1514" s="19">
        <v>0</v>
      </c>
      <c r="D1514" s="19">
        <v>0</v>
      </c>
      <c r="E1514" s="19">
        <v>0</v>
      </c>
      <c r="F1514" s="19">
        <v>0</v>
      </c>
      <c r="G1514" s="19">
        <v>0</v>
      </c>
      <c r="H1514" s="19">
        <v>0</v>
      </c>
      <c r="I1514" s="15">
        <v>3500</v>
      </c>
      <c r="J1514" s="15">
        <v>0</v>
      </c>
      <c r="K1514" s="15">
        <v>0</v>
      </c>
      <c r="L1514" s="15">
        <v>0</v>
      </c>
      <c r="M1514" s="15">
        <v>0</v>
      </c>
      <c r="N1514" s="15" t="str">
        <v/>
      </c>
      <c r="O1514" s="15" t="str">
        <v/>
      </c>
      <c r="P1514" s="22">
        <v>0</v>
      </c>
      <c r="Q1514">
        <v>0</v>
      </c>
    </row>
    <row r="1515" spans="1:17">
      <c r="A1515" s="19">
        <v>0</v>
      </c>
      <c r="B1515" s="19">
        <v>0</v>
      </c>
      <c r="C1515" s="19">
        <v>0</v>
      </c>
      <c r="D1515" s="19">
        <v>0</v>
      </c>
      <c r="E1515" s="19">
        <v>0</v>
      </c>
      <c r="F1515" s="19">
        <v>0</v>
      </c>
      <c r="G1515" s="19">
        <v>0</v>
      </c>
      <c r="H1515" s="19">
        <v>0</v>
      </c>
      <c r="I1515" s="15">
        <v>3500</v>
      </c>
      <c r="J1515" s="15">
        <v>0</v>
      </c>
      <c r="K1515" s="15">
        <v>0</v>
      </c>
      <c r="L1515" s="15">
        <v>0</v>
      </c>
      <c r="M1515" s="15">
        <v>0</v>
      </c>
      <c r="N1515" s="15" t="str">
        <v/>
      </c>
      <c r="O1515" s="15" t="str">
        <v/>
      </c>
      <c r="P1515" s="22">
        <v>0</v>
      </c>
      <c r="Q1515">
        <v>0</v>
      </c>
    </row>
    <row r="1516" spans="1:17">
      <c r="A1516" s="19">
        <v>0</v>
      </c>
      <c r="B1516" s="19">
        <v>0</v>
      </c>
      <c r="C1516" s="19">
        <v>0</v>
      </c>
      <c r="D1516" s="19">
        <v>0</v>
      </c>
      <c r="E1516" s="19">
        <v>0</v>
      </c>
      <c r="F1516" s="19">
        <v>0</v>
      </c>
      <c r="G1516" s="19">
        <v>0</v>
      </c>
      <c r="H1516" s="19">
        <v>0</v>
      </c>
      <c r="I1516" s="15">
        <v>3500</v>
      </c>
      <c r="J1516" s="15">
        <v>0</v>
      </c>
      <c r="K1516" s="15">
        <v>0</v>
      </c>
      <c r="L1516" s="15">
        <v>0</v>
      </c>
      <c r="M1516" s="15">
        <v>0</v>
      </c>
      <c r="N1516" s="15" t="str">
        <v/>
      </c>
      <c r="O1516" s="15" t="str">
        <v/>
      </c>
      <c r="P1516" s="22">
        <v>0</v>
      </c>
      <c r="Q1516">
        <v>0</v>
      </c>
    </row>
    <row r="1517" spans="1:17">
      <c r="A1517" s="19">
        <v>0</v>
      </c>
      <c r="B1517" s="19">
        <v>0</v>
      </c>
      <c r="C1517" s="19">
        <v>0</v>
      </c>
      <c r="D1517" s="19">
        <v>0</v>
      </c>
      <c r="E1517" s="19">
        <v>0</v>
      </c>
      <c r="F1517" s="19">
        <v>0</v>
      </c>
      <c r="G1517" s="19">
        <v>0</v>
      </c>
      <c r="H1517" s="19">
        <v>0</v>
      </c>
      <c r="I1517" s="15">
        <v>3500</v>
      </c>
      <c r="J1517" s="15">
        <v>0</v>
      </c>
      <c r="K1517" s="15">
        <v>0</v>
      </c>
      <c r="L1517" s="15">
        <v>0</v>
      </c>
      <c r="M1517" s="15">
        <v>0</v>
      </c>
      <c r="N1517" s="15" t="str">
        <v/>
      </c>
      <c r="O1517" s="15" t="str">
        <v/>
      </c>
      <c r="P1517" s="22">
        <v>0</v>
      </c>
      <c r="Q1517">
        <v>0</v>
      </c>
    </row>
    <row r="1518" spans="1:17">
      <c r="A1518" s="19">
        <v>0</v>
      </c>
      <c r="B1518" s="19">
        <v>0</v>
      </c>
      <c r="C1518" s="19">
        <v>0</v>
      </c>
      <c r="D1518" s="19">
        <v>0</v>
      </c>
      <c r="E1518" s="19">
        <v>0</v>
      </c>
      <c r="F1518" s="19">
        <v>0</v>
      </c>
      <c r="G1518" s="19">
        <v>0</v>
      </c>
      <c r="H1518" s="19">
        <v>0</v>
      </c>
      <c r="I1518" s="15">
        <v>3500</v>
      </c>
      <c r="J1518" s="15">
        <v>0</v>
      </c>
      <c r="K1518" s="15">
        <v>0</v>
      </c>
      <c r="L1518" s="15">
        <v>0</v>
      </c>
      <c r="M1518" s="15">
        <v>0</v>
      </c>
      <c r="N1518" s="15" t="str">
        <v/>
      </c>
      <c r="O1518" s="15" t="str">
        <v/>
      </c>
      <c r="P1518" s="22">
        <v>0</v>
      </c>
      <c r="Q1518">
        <v>0</v>
      </c>
    </row>
    <row r="1519" spans="1:17">
      <c r="A1519" s="19">
        <v>0</v>
      </c>
      <c r="B1519" s="19">
        <v>0</v>
      </c>
      <c r="C1519" s="19">
        <v>0</v>
      </c>
      <c r="D1519" s="19">
        <v>0</v>
      </c>
      <c r="E1519" s="19">
        <v>0</v>
      </c>
      <c r="F1519" s="19">
        <v>0</v>
      </c>
      <c r="G1519" s="19">
        <v>0</v>
      </c>
      <c r="H1519" s="19">
        <v>0</v>
      </c>
      <c r="I1519" s="15">
        <v>3500</v>
      </c>
      <c r="J1519" s="15">
        <v>0</v>
      </c>
      <c r="K1519" s="15">
        <v>0</v>
      </c>
      <c r="L1519" s="15">
        <v>0</v>
      </c>
      <c r="M1519" s="15">
        <v>0</v>
      </c>
      <c r="N1519" s="15" t="str">
        <v/>
      </c>
      <c r="O1519" s="15" t="str">
        <v/>
      </c>
      <c r="P1519" s="22">
        <v>0</v>
      </c>
      <c r="Q1519">
        <v>0</v>
      </c>
    </row>
    <row r="1520" spans="1:17">
      <c r="A1520" s="19">
        <v>0</v>
      </c>
      <c r="B1520" s="19">
        <v>0</v>
      </c>
      <c r="C1520" s="19">
        <v>0</v>
      </c>
      <c r="D1520" s="19">
        <v>0</v>
      </c>
      <c r="E1520" s="19">
        <v>0</v>
      </c>
      <c r="F1520" s="19">
        <v>0</v>
      </c>
      <c r="G1520" s="19">
        <v>0</v>
      </c>
      <c r="H1520" s="19">
        <v>0</v>
      </c>
      <c r="I1520" s="15">
        <v>3500</v>
      </c>
      <c r="J1520" s="15">
        <v>0</v>
      </c>
      <c r="K1520" s="15">
        <v>0</v>
      </c>
      <c r="L1520" s="15">
        <v>0</v>
      </c>
      <c r="M1520" s="15">
        <v>0</v>
      </c>
      <c r="N1520" s="15" t="str">
        <v/>
      </c>
      <c r="O1520" s="15" t="str">
        <v/>
      </c>
      <c r="P1520" s="22">
        <v>0</v>
      </c>
      <c r="Q1520">
        <v>0</v>
      </c>
    </row>
    <row r="1521" spans="1:17">
      <c r="A1521" s="19">
        <v>0</v>
      </c>
      <c r="B1521" s="19">
        <v>0</v>
      </c>
      <c r="C1521" s="19">
        <v>0</v>
      </c>
      <c r="D1521" s="19">
        <v>0</v>
      </c>
      <c r="E1521" s="19">
        <v>0</v>
      </c>
      <c r="F1521" s="19">
        <v>0</v>
      </c>
      <c r="G1521" s="19">
        <v>0</v>
      </c>
      <c r="H1521" s="19">
        <v>0</v>
      </c>
      <c r="I1521" s="15">
        <v>3500</v>
      </c>
      <c r="J1521" s="15">
        <v>0</v>
      </c>
      <c r="K1521" s="15">
        <v>0</v>
      </c>
      <c r="L1521" s="15">
        <v>0</v>
      </c>
      <c r="M1521" s="15">
        <v>0</v>
      </c>
      <c r="N1521" s="15" t="str">
        <v/>
      </c>
      <c r="O1521" s="15" t="str">
        <v/>
      </c>
      <c r="P1521" s="22">
        <v>0</v>
      </c>
      <c r="Q1521">
        <v>0</v>
      </c>
    </row>
    <row r="1522" spans="1:17">
      <c r="A1522" s="19">
        <v>0</v>
      </c>
      <c r="B1522" s="19">
        <v>0</v>
      </c>
      <c r="C1522" s="19">
        <v>0</v>
      </c>
      <c r="D1522" s="19">
        <v>0</v>
      </c>
      <c r="E1522" s="19">
        <v>0</v>
      </c>
      <c r="F1522" s="19">
        <v>0</v>
      </c>
      <c r="G1522" s="19">
        <v>0</v>
      </c>
      <c r="H1522" s="19">
        <v>0</v>
      </c>
      <c r="I1522" s="15">
        <v>3500</v>
      </c>
      <c r="J1522" s="15">
        <v>0</v>
      </c>
      <c r="K1522" s="15">
        <v>0</v>
      </c>
      <c r="L1522" s="15">
        <v>0</v>
      </c>
      <c r="M1522" s="15">
        <v>0</v>
      </c>
      <c r="N1522" s="15" t="str">
        <v/>
      </c>
      <c r="O1522" s="15" t="str">
        <v/>
      </c>
      <c r="P1522" s="22">
        <v>0</v>
      </c>
      <c r="Q1522">
        <v>0</v>
      </c>
    </row>
    <row r="1523" spans="1:17">
      <c r="A1523" s="19">
        <v>0</v>
      </c>
      <c r="B1523" s="19">
        <v>0</v>
      </c>
      <c r="C1523" s="19">
        <v>0</v>
      </c>
      <c r="D1523" s="19">
        <v>0</v>
      </c>
      <c r="E1523" s="19">
        <v>0</v>
      </c>
      <c r="F1523" s="19">
        <v>0</v>
      </c>
      <c r="G1523" s="19">
        <v>0</v>
      </c>
      <c r="H1523" s="19">
        <v>0</v>
      </c>
      <c r="I1523" s="15">
        <v>3500</v>
      </c>
      <c r="J1523" s="15">
        <v>0</v>
      </c>
      <c r="K1523" s="15">
        <v>0</v>
      </c>
      <c r="L1523" s="15">
        <v>0</v>
      </c>
      <c r="M1523" s="15">
        <v>0</v>
      </c>
      <c r="N1523" s="15" t="str">
        <v/>
      </c>
      <c r="O1523" s="15" t="str">
        <v/>
      </c>
      <c r="P1523" s="22">
        <v>0</v>
      </c>
      <c r="Q1523">
        <v>0</v>
      </c>
    </row>
    <row r="1524" spans="1:17">
      <c r="A1524" s="19">
        <v>0</v>
      </c>
      <c r="B1524" s="19">
        <v>0</v>
      </c>
      <c r="C1524" s="19">
        <v>0</v>
      </c>
      <c r="D1524" s="19">
        <v>0</v>
      </c>
      <c r="E1524" s="19">
        <v>0</v>
      </c>
      <c r="F1524" s="19">
        <v>0</v>
      </c>
      <c r="G1524" s="19">
        <v>0</v>
      </c>
      <c r="H1524" s="19">
        <v>0</v>
      </c>
      <c r="I1524" s="15">
        <v>3500</v>
      </c>
      <c r="J1524" s="15">
        <v>0</v>
      </c>
      <c r="K1524" s="15">
        <v>0</v>
      </c>
      <c r="L1524" s="15">
        <v>0</v>
      </c>
      <c r="M1524" s="15">
        <v>0</v>
      </c>
      <c r="N1524" s="15" t="str">
        <v/>
      </c>
      <c r="O1524" s="15" t="str">
        <v/>
      </c>
      <c r="P1524" s="22">
        <v>0</v>
      </c>
      <c r="Q1524">
        <v>0</v>
      </c>
    </row>
    <row r="1525" spans="1:17">
      <c r="A1525" s="19">
        <v>0</v>
      </c>
      <c r="B1525" s="19">
        <v>0</v>
      </c>
      <c r="C1525" s="19">
        <v>0</v>
      </c>
      <c r="D1525" s="19">
        <v>0</v>
      </c>
      <c r="E1525" s="19">
        <v>0</v>
      </c>
      <c r="F1525" s="19">
        <v>0</v>
      </c>
      <c r="G1525" s="19">
        <v>0</v>
      </c>
      <c r="H1525" s="19">
        <v>0</v>
      </c>
      <c r="I1525" s="15">
        <v>3500</v>
      </c>
      <c r="J1525" s="15">
        <v>0</v>
      </c>
      <c r="K1525" s="15">
        <v>0</v>
      </c>
      <c r="L1525" s="15">
        <v>0</v>
      </c>
      <c r="M1525" s="15">
        <v>0</v>
      </c>
      <c r="N1525" s="15" t="str">
        <v/>
      </c>
      <c r="O1525" s="15" t="str">
        <v/>
      </c>
      <c r="P1525" s="22">
        <v>0</v>
      </c>
      <c r="Q1525">
        <v>0</v>
      </c>
    </row>
    <row r="1526" spans="1:17">
      <c r="A1526" s="19">
        <v>0</v>
      </c>
      <c r="B1526" s="19">
        <v>0</v>
      </c>
      <c r="C1526" s="19">
        <v>0</v>
      </c>
      <c r="D1526" s="19">
        <v>0</v>
      </c>
      <c r="E1526" s="19">
        <v>0</v>
      </c>
      <c r="F1526" s="19">
        <v>0</v>
      </c>
      <c r="G1526" s="19">
        <v>0</v>
      </c>
      <c r="H1526" s="19">
        <v>0</v>
      </c>
      <c r="I1526" s="15">
        <v>3500</v>
      </c>
      <c r="J1526" s="15">
        <v>0</v>
      </c>
      <c r="K1526" s="15">
        <v>0</v>
      </c>
      <c r="L1526" s="15">
        <v>0</v>
      </c>
      <c r="M1526" s="15">
        <v>0</v>
      </c>
      <c r="N1526" s="15" t="str">
        <v/>
      </c>
      <c r="O1526" s="15" t="str">
        <v/>
      </c>
      <c r="P1526" s="22">
        <v>0</v>
      </c>
      <c r="Q1526">
        <v>0</v>
      </c>
    </row>
    <row r="1527" spans="1:17">
      <c r="A1527" s="19">
        <v>0</v>
      </c>
      <c r="B1527" s="19">
        <v>0</v>
      </c>
      <c r="C1527" s="19">
        <v>0</v>
      </c>
      <c r="D1527" s="19">
        <v>0</v>
      </c>
      <c r="E1527" s="19">
        <v>0</v>
      </c>
      <c r="F1527" s="19">
        <v>0</v>
      </c>
      <c r="G1527" s="19">
        <v>0</v>
      </c>
      <c r="H1527" s="19">
        <v>0</v>
      </c>
      <c r="I1527" s="15">
        <v>3500</v>
      </c>
      <c r="J1527" s="15">
        <v>0</v>
      </c>
      <c r="K1527" s="15">
        <v>0</v>
      </c>
      <c r="L1527" s="15">
        <v>0</v>
      </c>
      <c r="M1527" s="15">
        <v>0</v>
      </c>
      <c r="N1527" s="15" t="str">
        <v/>
      </c>
      <c r="O1527" s="15" t="str">
        <v/>
      </c>
      <c r="P1527" s="22">
        <v>0</v>
      </c>
      <c r="Q1527">
        <v>0</v>
      </c>
    </row>
    <row r="1528" spans="1:17">
      <c r="A1528" s="19">
        <v>0</v>
      </c>
      <c r="B1528" s="19">
        <v>0</v>
      </c>
      <c r="C1528" s="19">
        <v>0</v>
      </c>
      <c r="D1528" s="19">
        <v>0</v>
      </c>
      <c r="E1528" s="19">
        <v>0</v>
      </c>
      <c r="F1528" s="19">
        <v>0</v>
      </c>
      <c r="G1528" s="19">
        <v>0</v>
      </c>
      <c r="H1528" s="19">
        <v>0</v>
      </c>
      <c r="I1528" s="15">
        <v>3500</v>
      </c>
      <c r="J1528" s="15">
        <v>0</v>
      </c>
      <c r="K1528" s="15">
        <v>0</v>
      </c>
      <c r="L1528" s="15">
        <v>0</v>
      </c>
      <c r="M1528" s="15">
        <v>0</v>
      </c>
      <c r="N1528" s="15" t="str">
        <v/>
      </c>
      <c r="O1528" s="15" t="str">
        <v/>
      </c>
      <c r="P1528" s="22">
        <v>0</v>
      </c>
      <c r="Q1528">
        <v>0</v>
      </c>
    </row>
    <row r="1529" spans="1:17">
      <c r="A1529" s="19">
        <v>0</v>
      </c>
      <c r="B1529" s="19">
        <v>0</v>
      </c>
      <c r="C1529" s="19">
        <v>0</v>
      </c>
      <c r="D1529" s="19">
        <v>0</v>
      </c>
      <c r="E1529" s="19">
        <v>0</v>
      </c>
      <c r="F1529" s="19">
        <v>0</v>
      </c>
      <c r="G1529" s="19">
        <v>0</v>
      </c>
      <c r="H1529" s="19">
        <v>0</v>
      </c>
      <c r="I1529" s="15">
        <v>3500</v>
      </c>
      <c r="J1529" s="15">
        <v>0</v>
      </c>
      <c r="K1529" s="15">
        <v>0</v>
      </c>
      <c r="L1529" s="15">
        <v>0</v>
      </c>
      <c r="M1529" s="15">
        <v>0</v>
      </c>
      <c r="N1529" s="15" t="str">
        <v/>
      </c>
      <c r="O1529" s="15" t="str">
        <v/>
      </c>
      <c r="P1529" s="22">
        <v>0</v>
      </c>
      <c r="Q1529">
        <v>0</v>
      </c>
    </row>
    <row r="1530" spans="1:17">
      <c r="A1530" s="19">
        <v>0</v>
      </c>
      <c r="B1530" s="19">
        <v>0</v>
      </c>
      <c r="C1530" s="19">
        <v>0</v>
      </c>
      <c r="D1530" s="19">
        <v>0</v>
      </c>
      <c r="E1530" s="19">
        <v>0</v>
      </c>
      <c r="F1530" s="19">
        <v>0</v>
      </c>
      <c r="G1530" s="19">
        <v>0</v>
      </c>
      <c r="H1530" s="19">
        <v>0</v>
      </c>
      <c r="I1530" s="15">
        <v>3500</v>
      </c>
      <c r="J1530" s="15">
        <v>0</v>
      </c>
      <c r="K1530" s="15">
        <v>0</v>
      </c>
      <c r="L1530" s="15">
        <v>0</v>
      </c>
      <c r="M1530" s="15">
        <v>0</v>
      </c>
      <c r="N1530" s="15" t="str">
        <v/>
      </c>
      <c r="O1530" s="15" t="str">
        <v/>
      </c>
      <c r="P1530" s="22">
        <v>0</v>
      </c>
      <c r="Q1530">
        <v>0</v>
      </c>
    </row>
    <row r="1531" spans="1:17">
      <c r="A1531" s="19">
        <v>0</v>
      </c>
      <c r="B1531" s="19">
        <v>0</v>
      </c>
      <c r="C1531" s="19">
        <v>0</v>
      </c>
      <c r="D1531" s="19">
        <v>0</v>
      </c>
      <c r="E1531" s="19">
        <v>0</v>
      </c>
      <c r="F1531" s="19">
        <v>0</v>
      </c>
      <c r="G1531" s="19">
        <v>0</v>
      </c>
      <c r="H1531" s="19">
        <v>0</v>
      </c>
      <c r="I1531" s="15">
        <v>3500</v>
      </c>
      <c r="J1531" s="15">
        <v>0</v>
      </c>
      <c r="K1531" s="15">
        <v>0</v>
      </c>
      <c r="L1531" s="15">
        <v>0</v>
      </c>
      <c r="M1531" s="15">
        <v>0</v>
      </c>
      <c r="N1531" s="15" t="str">
        <v/>
      </c>
      <c r="O1531" s="15" t="str">
        <v/>
      </c>
      <c r="P1531" s="22">
        <v>0</v>
      </c>
      <c r="Q1531">
        <v>0</v>
      </c>
    </row>
    <row r="1532" spans="1:17">
      <c r="A1532" s="19">
        <v>0</v>
      </c>
      <c r="B1532" s="19">
        <v>0</v>
      </c>
      <c r="C1532" s="19">
        <v>0</v>
      </c>
      <c r="D1532" s="19">
        <v>0</v>
      </c>
      <c r="E1532" s="19">
        <v>0</v>
      </c>
      <c r="F1532" s="19">
        <v>0</v>
      </c>
      <c r="G1532" s="19">
        <v>0</v>
      </c>
      <c r="H1532" s="19">
        <v>0</v>
      </c>
      <c r="I1532" s="15">
        <v>3500</v>
      </c>
      <c r="J1532" s="15">
        <v>0</v>
      </c>
      <c r="K1532" s="15">
        <v>0</v>
      </c>
      <c r="L1532" s="15">
        <v>0</v>
      </c>
      <c r="M1532" s="15">
        <v>0</v>
      </c>
      <c r="N1532" s="15" t="str">
        <v/>
      </c>
      <c r="O1532" s="15" t="str">
        <v/>
      </c>
      <c r="P1532" s="22">
        <v>0</v>
      </c>
      <c r="Q1532">
        <v>0</v>
      </c>
    </row>
    <row r="1533" spans="1:17">
      <c r="A1533" s="19">
        <v>0</v>
      </c>
      <c r="B1533" s="19">
        <v>0</v>
      </c>
      <c r="C1533" s="19">
        <v>0</v>
      </c>
      <c r="D1533" s="19">
        <v>0</v>
      </c>
      <c r="E1533" s="19">
        <v>0</v>
      </c>
      <c r="F1533" s="19">
        <v>0</v>
      </c>
      <c r="G1533" s="19">
        <v>0</v>
      </c>
      <c r="H1533" s="19">
        <v>0</v>
      </c>
      <c r="I1533" s="15">
        <v>3500</v>
      </c>
      <c r="J1533" s="15">
        <v>0</v>
      </c>
      <c r="K1533" s="15">
        <v>0</v>
      </c>
      <c r="L1533" s="15">
        <v>0</v>
      </c>
      <c r="M1533" s="15">
        <v>0</v>
      </c>
      <c r="N1533" s="15" t="str">
        <v/>
      </c>
      <c r="O1533" s="15" t="str">
        <v/>
      </c>
      <c r="P1533" s="22">
        <v>0</v>
      </c>
      <c r="Q1533">
        <v>0</v>
      </c>
    </row>
    <row r="1534" spans="1:17">
      <c r="A1534" s="19">
        <v>0</v>
      </c>
      <c r="B1534" s="19">
        <v>0</v>
      </c>
      <c r="C1534" s="19">
        <v>0</v>
      </c>
      <c r="D1534" s="19">
        <v>0</v>
      </c>
      <c r="E1534" s="19">
        <v>0</v>
      </c>
      <c r="F1534" s="19">
        <v>0</v>
      </c>
      <c r="G1534" s="19">
        <v>0</v>
      </c>
      <c r="H1534" s="19">
        <v>0</v>
      </c>
      <c r="I1534" s="15">
        <v>3500</v>
      </c>
      <c r="J1534" s="15">
        <v>0</v>
      </c>
      <c r="K1534" s="15">
        <v>0</v>
      </c>
      <c r="L1534" s="15">
        <v>0</v>
      </c>
      <c r="M1534" s="15">
        <v>0</v>
      </c>
      <c r="N1534" s="15" t="str">
        <v/>
      </c>
      <c r="O1534" s="15" t="str">
        <v/>
      </c>
      <c r="P1534" s="22">
        <v>0</v>
      </c>
      <c r="Q1534">
        <v>0</v>
      </c>
    </row>
    <row r="1535" spans="1:17">
      <c r="A1535" s="19">
        <v>0</v>
      </c>
      <c r="B1535" s="19">
        <v>0</v>
      </c>
      <c r="C1535" s="19">
        <v>0</v>
      </c>
      <c r="D1535" s="19">
        <v>0</v>
      </c>
      <c r="E1535" s="19">
        <v>0</v>
      </c>
      <c r="F1535" s="19">
        <v>0</v>
      </c>
      <c r="G1535" s="19">
        <v>0</v>
      </c>
      <c r="H1535" s="19">
        <v>0</v>
      </c>
      <c r="I1535" s="15">
        <v>3500</v>
      </c>
      <c r="J1535" s="15">
        <v>0</v>
      </c>
      <c r="K1535" s="15">
        <v>0</v>
      </c>
      <c r="L1535" s="15">
        <v>0</v>
      </c>
      <c r="M1535" s="15">
        <v>0</v>
      </c>
      <c r="N1535" s="15" t="str">
        <v/>
      </c>
      <c r="O1535" s="15" t="str">
        <v/>
      </c>
      <c r="P1535" s="22">
        <v>0</v>
      </c>
      <c r="Q1535">
        <v>0</v>
      </c>
    </row>
    <row r="1536" spans="1:17">
      <c r="A1536" s="19">
        <v>0</v>
      </c>
      <c r="B1536" s="19">
        <v>0</v>
      </c>
      <c r="C1536" s="19">
        <v>0</v>
      </c>
      <c r="D1536" s="19">
        <v>0</v>
      </c>
      <c r="E1536" s="19">
        <v>0</v>
      </c>
      <c r="F1536" s="19">
        <v>0</v>
      </c>
      <c r="G1536" s="19">
        <v>0</v>
      </c>
      <c r="H1536" s="19">
        <v>0</v>
      </c>
      <c r="I1536" s="15">
        <v>3500</v>
      </c>
      <c r="J1536" s="15">
        <v>0</v>
      </c>
      <c r="K1536" s="15">
        <v>0</v>
      </c>
      <c r="L1536" s="15">
        <v>0</v>
      </c>
      <c r="M1536" s="15">
        <v>0</v>
      </c>
      <c r="N1536" s="15" t="str">
        <v/>
      </c>
      <c r="O1536" s="15" t="str">
        <v/>
      </c>
      <c r="P1536" s="22">
        <v>0</v>
      </c>
      <c r="Q1536">
        <v>0</v>
      </c>
    </row>
    <row r="1537" spans="1:17">
      <c r="A1537" s="19">
        <v>0</v>
      </c>
      <c r="B1537" s="19">
        <v>0</v>
      </c>
      <c r="C1537" s="19">
        <v>0</v>
      </c>
      <c r="D1537" s="19">
        <v>0</v>
      </c>
      <c r="E1537" s="19">
        <v>0</v>
      </c>
      <c r="F1537" s="19">
        <v>0</v>
      </c>
      <c r="G1537" s="19">
        <v>0</v>
      </c>
      <c r="H1537" s="19">
        <v>0</v>
      </c>
      <c r="I1537" s="15">
        <v>3500</v>
      </c>
      <c r="J1537" s="15">
        <v>0</v>
      </c>
      <c r="K1537" s="15">
        <v>0</v>
      </c>
      <c r="L1537" s="15">
        <v>0</v>
      </c>
      <c r="M1537" s="15">
        <v>0</v>
      </c>
      <c r="N1537" s="15" t="str">
        <v/>
      </c>
      <c r="O1537" s="15" t="str">
        <v/>
      </c>
      <c r="P1537" s="22">
        <v>0</v>
      </c>
      <c r="Q1537">
        <v>0</v>
      </c>
    </row>
    <row r="1538" spans="1:17">
      <c r="A1538" s="19">
        <v>0</v>
      </c>
      <c r="B1538" s="19">
        <v>0</v>
      </c>
      <c r="C1538" s="19">
        <v>0</v>
      </c>
      <c r="D1538" s="19">
        <v>0</v>
      </c>
      <c r="E1538" s="19">
        <v>0</v>
      </c>
      <c r="F1538" s="19">
        <v>0</v>
      </c>
      <c r="G1538" s="19">
        <v>0</v>
      </c>
      <c r="H1538" s="19">
        <v>0</v>
      </c>
      <c r="I1538" s="15">
        <v>3500</v>
      </c>
      <c r="J1538" s="15">
        <v>0</v>
      </c>
      <c r="K1538" s="15">
        <v>0</v>
      </c>
      <c r="L1538" s="15">
        <v>0</v>
      </c>
      <c r="M1538" s="15">
        <v>0</v>
      </c>
      <c r="N1538" s="15" t="str">
        <v/>
      </c>
      <c r="O1538" s="15" t="str">
        <v/>
      </c>
      <c r="P1538" s="22">
        <v>0</v>
      </c>
      <c r="Q1538">
        <v>0</v>
      </c>
    </row>
    <row r="1539" spans="1:17">
      <c r="A1539" s="19">
        <v>0</v>
      </c>
      <c r="B1539" s="19">
        <v>0</v>
      </c>
      <c r="C1539" s="19">
        <v>0</v>
      </c>
      <c r="D1539" s="19">
        <v>0</v>
      </c>
      <c r="E1539" s="19">
        <v>0</v>
      </c>
      <c r="F1539" s="19">
        <v>0</v>
      </c>
      <c r="G1539" s="19">
        <v>0</v>
      </c>
      <c r="H1539" s="19">
        <v>0</v>
      </c>
      <c r="I1539" s="15">
        <v>3500</v>
      </c>
      <c r="J1539" s="15">
        <v>0</v>
      </c>
      <c r="K1539" s="15">
        <v>0</v>
      </c>
      <c r="L1539" s="15">
        <v>0</v>
      </c>
      <c r="M1539" s="15">
        <v>0</v>
      </c>
      <c r="N1539" s="15" t="str">
        <v/>
      </c>
      <c r="O1539" s="15" t="str">
        <v/>
      </c>
      <c r="P1539" s="22">
        <v>0</v>
      </c>
      <c r="Q1539">
        <v>0</v>
      </c>
    </row>
    <row r="1540" spans="1:17">
      <c r="A1540" s="19">
        <v>0</v>
      </c>
      <c r="B1540" s="19">
        <v>0</v>
      </c>
      <c r="C1540" s="19">
        <v>0</v>
      </c>
      <c r="D1540" s="19">
        <v>0</v>
      </c>
      <c r="E1540" s="19">
        <v>0</v>
      </c>
      <c r="F1540" s="19">
        <v>0</v>
      </c>
      <c r="G1540" s="19">
        <v>0</v>
      </c>
      <c r="H1540" s="19">
        <v>0</v>
      </c>
      <c r="I1540" s="15">
        <v>3500</v>
      </c>
      <c r="J1540" s="15">
        <v>0</v>
      </c>
      <c r="K1540" s="15">
        <v>0</v>
      </c>
      <c r="L1540" s="15">
        <v>0</v>
      </c>
      <c r="M1540" s="15">
        <v>0</v>
      </c>
      <c r="N1540" s="15" t="str">
        <v/>
      </c>
      <c r="O1540" s="15" t="str">
        <v/>
      </c>
      <c r="P1540" s="22">
        <v>0</v>
      </c>
      <c r="Q1540">
        <v>0</v>
      </c>
    </row>
    <row r="1541" spans="1:17">
      <c r="A1541" s="19">
        <v>0</v>
      </c>
      <c r="B1541" s="19">
        <v>0</v>
      </c>
      <c r="C1541" s="19">
        <v>0</v>
      </c>
      <c r="D1541" s="19">
        <v>0</v>
      </c>
      <c r="E1541" s="19">
        <v>0</v>
      </c>
      <c r="F1541" s="19">
        <v>0</v>
      </c>
      <c r="G1541" s="19">
        <v>0</v>
      </c>
      <c r="H1541" s="19">
        <v>0</v>
      </c>
      <c r="I1541" s="15">
        <v>3500</v>
      </c>
      <c r="J1541" s="15">
        <v>0</v>
      </c>
      <c r="K1541" s="15">
        <v>0</v>
      </c>
      <c r="L1541" s="15">
        <v>0</v>
      </c>
      <c r="M1541" s="15">
        <v>0</v>
      </c>
      <c r="N1541" s="15" t="str">
        <v/>
      </c>
      <c r="O1541" s="15" t="str">
        <v/>
      </c>
      <c r="P1541" s="22">
        <v>0</v>
      </c>
      <c r="Q1541">
        <v>0</v>
      </c>
    </row>
    <row r="1542" spans="1:17">
      <c r="A1542" s="19">
        <v>0</v>
      </c>
      <c r="B1542" s="19">
        <v>0</v>
      </c>
      <c r="C1542" s="19">
        <v>0</v>
      </c>
      <c r="D1542" s="19">
        <v>0</v>
      </c>
      <c r="E1542" s="19">
        <v>0</v>
      </c>
      <c r="F1542" s="19">
        <v>0</v>
      </c>
      <c r="G1542" s="19">
        <v>0</v>
      </c>
      <c r="H1542" s="19">
        <v>0</v>
      </c>
      <c r="I1542" s="15">
        <v>3500</v>
      </c>
      <c r="J1542" s="15">
        <v>0</v>
      </c>
      <c r="K1542" s="15">
        <v>0</v>
      </c>
      <c r="L1542" s="15">
        <v>0</v>
      </c>
      <c r="M1542" s="15">
        <v>0</v>
      </c>
      <c r="N1542" s="15" t="str">
        <v/>
      </c>
      <c r="O1542" s="15" t="str">
        <v/>
      </c>
      <c r="P1542" s="22">
        <v>0</v>
      </c>
      <c r="Q1542">
        <v>0</v>
      </c>
    </row>
    <row r="1543" spans="1:17">
      <c r="A1543" s="19">
        <v>0</v>
      </c>
      <c r="B1543" s="19">
        <v>0</v>
      </c>
      <c r="C1543" s="19">
        <v>0</v>
      </c>
      <c r="D1543" s="19">
        <v>0</v>
      </c>
      <c r="E1543" s="19">
        <v>0</v>
      </c>
      <c r="F1543" s="19">
        <v>0</v>
      </c>
      <c r="G1543" s="19">
        <v>0</v>
      </c>
      <c r="H1543" s="19">
        <v>0</v>
      </c>
      <c r="I1543" s="15">
        <v>3500</v>
      </c>
      <c r="J1543" s="15">
        <v>0</v>
      </c>
      <c r="K1543" s="15">
        <v>0</v>
      </c>
      <c r="L1543" s="15">
        <v>0</v>
      </c>
      <c r="M1543" s="15">
        <v>0</v>
      </c>
      <c r="N1543" s="15" t="str">
        <v/>
      </c>
      <c r="O1543" s="15" t="str">
        <v/>
      </c>
      <c r="P1543" s="22">
        <v>0</v>
      </c>
      <c r="Q1543">
        <v>0</v>
      </c>
    </row>
    <row r="1544" spans="1:17">
      <c r="A1544" s="19">
        <v>0</v>
      </c>
      <c r="B1544" s="19">
        <v>0</v>
      </c>
      <c r="C1544" s="19">
        <v>0</v>
      </c>
      <c r="D1544" s="19">
        <v>0</v>
      </c>
      <c r="E1544" s="19">
        <v>0</v>
      </c>
      <c r="F1544" s="19">
        <v>0</v>
      </c>
      <c r="G1544" s="19">
        <v>0</v>
      </c>
      <c r="H1544" s="19">
        <v>0</v>
      </c>
      <c r="I1544" s="15">
        <v>3500</v>
      </c>
      <c r="J1544" s="15">
        <v>0</v>
      </c>
      <c r="K1544" s="15">
        <v>0</v>
      </c>
      <c r="L1544" s="15">
        <v>0</v>
      </c>
      <c r="M1544" s="15">
        <v>0</v>
      </c>
      <c r="N1544" s="15" t="str">
        <v/>
      </c>
      <c r="O1544" s="15" t="str">
        <v/>
      </c>
      <c r="P1544" s="22">
        <v>0</v>
      </c>
      <c r="Q1544">
        <v>0</v>
      </c>
    </row>
    <row r="1545" spans="1:17">
      <c r="A1545" s="19">
        <v>0</v>
      </c>
      <c r="B1545" s="19">
        <v>0</v>
      </c>
      <c r="C1545" s="19">
        <v>0</v>
      </c>
      <c r="D1545" s="19">
        <v>0</v>
      </c>
      <c r="E1545" s="19">
        <v>0</v>
      </c>
      <c r="F1545" s="19">
        <v>0</v>
      </c>
      <c r="G1545" s="19">
        <v>0</v>
      </c>
      <c r="H1545" s="19">
        <v>0</v>
      </c>
      <c r="I1545" s="15">
        <v>3500</v>
      </c>
      <c r="J1545" s="15">
        <v>0</v>
      </c>
      <c r="K1545" s="15">
        <v>0</v>
      </c>
      <c r="L1545" s="15">
        <v>0</v>
      </c>
      <c r="M1545" s="15">
        <v>0</v>
      </c>
      <c r="N1545" s="15" t="str">
        <v/>
      </c>
      <c r="O1545" s="15" t="str">
        <v/>
      </c>
      <c r="P1545" s="22">
        <v>0</v>
      </c>
      <c r="Q1545">
        <v>0</v>
      </c>
    </row>
    <row r="1546" spans="1:17">
      <c r="A1546" s="19">
        <v>0</v>
      </c>
      <c r="B1546" s="19">
        <v>0</v>
      </c>
      <c r="C1546" s="19">
        <v>0</v>
      </c>
      <c r="D1546" s="19">
        <v>0</v>
      </c>
      <c r="E1546" s="19">
        <v>0</v>
      </c>
      <c r="F1546" s="19">
        <v>0</v>
      </c>
      <c r="G1546" s="19">
        <v>0</v>
      </c>
      <c r="H1546" s="19">
        <v>0</v>
      </c>
      <c r="I1546" s="15">
        <v>3500</v>
      </c>
      <c r="J1546" s="15">
        <v>0</v>
      </c>
      <c r="K1546" s="15">
        <v>0</v>
      </c>
      <c r="L1546" s="15">
        <v>0</v>
      </c>
      <c r="M1546" s="15">
        <v>0</v>
      </c>
      <c r="N1546" s="15" t="str">
        <v/>
      </c>
      <c r="O1546" s="15" t="str">
        <v/>
      </c>
      <c r="P1546" s="22">
        <v>0</v>
      </c>
      <c r="Q1546">
        <v>0</v>
      </c>
    </row>
    <row r="1547" spans="1:17">
      <c r="A1547" s="19">
        <v>0</v>
      </c>
      <c r="B1547" s="19">
        <v>0</v>
      </c>
      <c r="C1547" s="19">
        <v>0</v>
      </c>
      <c r="D1547" s="19">
        <v>0</v>
      </c>
      <c r="E1547" s="19">
        <v>0</v>
      </c>
      <c r="F1547" s="19">
        <v>0</v>
      </c>
      <c r="G1547" s="19">
        <v>0</v>
      </c>
      <c r="H1547" s="19">
        <v>0</v>
      </c>
      <c r="I1547" s="15">
        <v>3500</v>
      </c>
      <c r="J1547" s="15">
        <v>0</v>
      </c>
      <c r="K1547" s="15">
        <v>0</v>
      </c>
      <c r="L1547" s="15">
        <v>0</v>
      </c>
      <c r="M1547" s="15">
        <v>0</v>
      </c>
      <c r="N1547" s="15" t="str">
        <v/>
      </c>
      <c r="O1547" s="15" t="str">
        <v/>
      </c>
      <c r="P1547" s="22">
        <v>0</v>
      </c>
      <c r="Q1547">
        <v>0</v>
      </c>
    </row>
    <row r="1548" spans="1:17">
      <c r="A1548" s="19">
        <v>0</v>
      </c>
      <c r="B1548" s="19">
        <v>0</v>
      </c>
      <c r="C1548" s="19">
        <v>0</v>
      </c>
      <c r="D1548" s="19">
        <v>0</v>
      </c>
      <c r="E1548" s="19">
        <v>0</v>
      </c>
      <c r="F1548" s="19">
        <v>0</v>
      </c>
      <c r="G1548" s="19">
        <v>0</v>
      </c>
      <c r="H1548" s="19">
        <v>0</v>
      </c>
      <c r="I1548" s="15">
        <v>3500</v>
      </c>
      <c r="J1548" s="15">
        <v>0</v>
      </c>
      <c r="K1548" s="15">
        <v>0</v>
      </c>
      <c r="L1548" s="15">
        <v>0</v>
      </c>
      <c r="M1548" s="15">
        <v>0</v>
      </c>
      <c r="N1548" s="15" t="str">
        <v/>
      </c>
      <c r="O1548" s="15" t="str">
        <v/>
      </c>
      <c r="P1548" s="22">
        <v>0</v>
      </c>
      <c r="Q1548">
        <v>0</v>
      </c>
    </row>
    <row r="1549" spans="1:17">
      <c r="A1549" s="19">
        <v>0</v>
      </c>
      <c r="B1549" s="19">
        <v>0</v>
      </c>
      <c r="C1549" s="19">
        <v>0</v>
      </c>
      <c r="D1549" s="19">
        <v>0</v>
      </c>
      <c r="E1549" s="19">
        <v>0</v>
      </c>
      <c r="F1549" s="19">
        <v>0</v>
      </c>
      <c r="G1549" s="19">
        <v>0</v>
      </c>
      <c r="H1549" s="19">
        <v>0</v>
      </c>
      <c r="I1549" s="15">
        <v>3500</v>
      </c>
      <c r="J1549" s="15">
        <v>0</v>
      </c>
      <c r="K1549" s="15">
        <v>0</v>
      </c>
      <c r="L1549" s="15">
        <v>0</v>
      </c>
      <c r="M1549" s="15">
        <v>0</v>
      </c>
      <c r="N1549" s="15" t="str">
        <v/>
      </c>
      <c r="O1549" s="15" t="str">
        <v/>
      </c>
      <c r="P1549" s="22">
        <v>0</v>
      </c>
      <c r="Q1549">
        <v>0</v>
      </c>
    </row>
    <row r="1550" spans="1:17">
      <c r="A1550" s="19">
        <v>0</v>
      </c>
      <c r="B1550" s="19">
        <v>0</v>
      </c>
      <c r="C1550" s="19">
        <v>0</v>
      </c>
      <c r="D1550" s="19">
        <v>0</v>
      </c>
      <c r="E1550" s="19">
        <v>0</v>
      </c>
      <c r="F1550" s="19">
        <v>0</v>
      </c>
      <c r="G1550" s="19">
        <v>0</v>
      </c>
      <c r="H1550" s="19">
        <v>0</v>
      </c>
      <c r="I1550" s="15">
        <v>3500</v>
      </c>
      <c r="J1550" s="15">
        <v>0</v>
      </c>
      <c r="K1550" s="15">
        <v>0</v>
      </c>
      <c r="L1550" s="15">
        <v>0</v>
      </c>
      <c r="M1550" s="15">
        <v>0</v>
      </c>
      <c r="N1550" s="15" t="str">
        <v/>
      </c>
      <c r="O1550" s="15" t="str">
        <v/>
      </c>
      <c r="P1550" s="22">
        <v>0</v>
      </c>
      <c r="Q1550">
        <v>0</v>
      </c>
    </row>
    <row r="1551" spans="1:17">
      <c r="A1551" s="19">
        <v>0</v>
      </c>
      <c r="B1551" s="19">
        <v>0</v>
      </c>
      <c r="C1551" s="19">
        <v>0</v>
      </c>
      <c r="D1551" s="19">
        <v>0</v>
      </c>
      <c r="E1551" s="19">
        <v>0</v>
      </c>
      <c r="F1551" s="19">
        <v>0</v>
      </c>
      <c r="G1551" s="19">
        <v>0</v>
      </c>
      <c r="H1551" s="19">
        <v>0</v>
      </c>
      <c r="I1551" s="15">
        <v>3500</v>
      </c>
      <c r="J1551" s="15">
        <v>0</v>
      </c>
      <c r="K1551" s="15">
        <v>0</v>
      </c>
      <c r="L1551" s="15">
        <v>0</v>
      </c>
      <c r="M1551" s="15">
        <v>0</v>
      </c>
      <c r="N1551" s="15" t="str">
        <v/>
      </c>
      <c r="O1551" s="15" t="str">
        <v/>
      </c>
      <c r="P1551" s="22">
        <v>0</v>
      </c>
      <c r="Q1551">
        <v>0</v>
      </c>
    </row>
    <row r="1552" spans="1:17">
      <c r="A1552" s="19">
        <v>0</v>
      </c>
      <c r="B1552" s="19">
        <v>0</v>
      </c>
      <c r="C1552" s="19">
        <v>0</v>
      </c>
      <c r="D1552" s="19">
        <v>0</v>
      </c>
      <c r="E1552" s="19">
        <v>0</v>
      </c>
      <c r="F1552" s="19">
        <v>0</v>
      </c>
      <c r="G1552" s="19">
        <v>0</v>
      </c>
      <c r="H1552" s="19">
        <v>0</v>
      </c>
      <c r="I1552" s="15">
        <v>3500</v>
      </c>
      <c r="J1552" s="15">
        <v>0</v>
      </c>
      <c r="K1552" s="15">
        <v>0</v>
      </c>
      <c r="L1552" s="15">
        <v>0</v>
      </c>
      <c r="M1552" s="15">
        <v>0</v>
      </c>
      <c r="N1552" s="15" t="str">
        <v/>
      </c>
      <c r="O1552" s="15" t="str">
        <v/>
      </c>
      <c r="P1552" s="22">
        <v>0</v>
      </c>
      <c r="Q1552">
        <v>0</v>
      </c>
    </row>
    <row r="1553" spans="1:17">
      <c r="A1553" s="19">
        <v>0</v>
      </c>
      <c r="B1553" s="19">
        <v>0</v>
      </c>
      <c r="C1553" s="19">
        <v>0</v>
      </c>
      <c r="D1553" s="19">
        <v>0</v>
      </c>
      <c r="E1553" s="19">
        <v>0</v>
      </c>
      <c r="F1553" s="19">
        <v>0</v>
      </c>
      <c r="G1553" s="19">
        <v>0</v>
      </c>
      <c r="H1553" s="19">
        <v>0</v>
      </c>
      <c r="I1553" s="15">
        <v>3500</v>
      </c>
      <c r="J1553" s="15">
        <v>0</v>
      </c>
      <c r="K1553" s="15">
        <v>0</v>
      </c>
      <c r="L1553" s="15">
        <v>0</v>
      </c>
      <c r="M1553" s="15">
        <v>0</v>
      </c>
      <c r="N1553" s="15" t="str">
        <v/>
      </c>
      <c r="O1553" s="15" t="str">
        <v/>
      </c>
      <c r="P1553" s="22">
        <v>0</v>
      </c>
      <c r="Q1553">
        <v>0</v>
      </c>
    </row>
    <row r="1554" spans="1:17">
      <c r="A1554" s="19">
        <v>0</v>
      </c>
      <c r="B1554" s="19">
        <v>0</v>
      </c>
      <c r="C1554" s="19">
        <v>0</v>
      </c>
      <c r="D1554" s="19">
        <v>0</v>
      </c>
      <c r="E1554" s="19">
        <v>0</v>
      </c>
      <c r="F1554" s="19">
        <v>0</v>
      </c>
      <c r="G1554" s="19">
        <v>0</v>
      </c>
      <c r="H1554" s="19">
        <v>0</v>
      </c>
      <c r="I1554" s="15">
        <v>3500</v>
      </c>
      <c r="J1554" s="15">
        <v>0</v>
      </c>
      <c r="K1554" s="15">
        <v>0</v>
      </c>
      <c r="L1554" s="15">
        <v>0</v>
      </c>
      <c r="M1554" s="15">
        <v>0</v>
      </c>
      <c r="N1554" s="15" t="str">
        <v/>
      </c>
      <c r="O1554" s="15" t="str">
        <v/>
      </c>
      <c r="P1554" s="22">
        <v>0</v>
      </c>
      <c r="Q1554">
        <v>0</v>
      </c>
    </row>
    <row r="1555" spans="1:17">
      <c r="A1555" s="19">
        <v>0</v>
      </c>
      <c r="B1555" s="19">
        <v>0</v>
      </c>
      <c r="C1555" s="19">
        <v>0</v>
      </c>
      <c r="D1555" s="19">
        <v>0</v>
      </c>
      <c r="E1555" s="19">
        <v>0</v>
      </c>
      <c r="F1555" s="19">
        <v>0</v>
      </c>
      <c r="G1555" s="19">
        <v>0</v>
      </c>
      <c r="H1555" s="19">
        <v>0</v>
      </c>
      <c r="I1555" s="15">
        <v>3500</v>
      </c>
      <c r="J1555" s="15">
        <v>0</v>
      </c>
      <c r="K1555" s="15">
        <v>0</v>
      </c>
      <c r="L1555" s="15">
        <v>0</v>
      </c>
      <c r="M1555" s="15">
        <v>0</v>
      </c>
      <c r="N1555" s="15" t="str">
        <v/>
      </c>
      <c r="O1555" s="15" t="str">
        <v/>
      </c>
      <c r="P1555" s="22">
        <v>0</v>
      </c>
      <c r="Q1555">
        <v>0</v>
      </c>
    </row>
    <row r="1556" spans="1:17">
      <c r="A1556" s="19">
        <v>0</v>
      </c>
      <c r="B1556" s="19">
        <v>0</v>
      </c>
      <c r="C1556" s="19">
        <v>0</v>
      </c>
      <c r="D1556" s="19">
        <v>0</v>
      </c>
      <c r="E1556" s="19">
        <v>0</v>
      </c>
      <c r="F1556" s="19">
        <v>0</v>
      </c>
      <c r="G1556" s="19">
        <v>0</v>
      </c>
      <c r="H1556" s="19">
        <v>0</v>
      </c>
      <c r="I1556" s="15">
        <v>3500</v>
      </c>
      <c r="J1556" s="15">
        <v>0</v>
      </c>
      <c r="K1556" s="15">
        <v>0</v>
      </c>
      <c r="L1556" s="15">
        <v>0</v>
      </c>
      <c r="M1556" s="15">
        <v>0</v>
      </c>
      <c r="N1556" s="15" t="str">
        <v/>
      </c>
      <c r="O1556" s="15" t="str">
        <v/>
      </c>
      <c r="P1556" s="22">
        <v>0</v>
      </c>
      <c r="Q1556">
        <v>0</v>
      </c>
    </row>
    <row r="1557" spans="1:17">
      <c r="A1557" s="19">
        <v>0</v>
      </c>
      <c r="B1557" s="19">
        <v>0</v>
      </c>
      <c r="C1557" s="19">
        <v>0</v>
      </c>
      <c r="D1557" s="19">
        <v>0</v>
      </c>
      <c r="E1557" s="19">
        <v>0</v>
      </c>
      <c r="F1557" s="19">
        <v>0</v>
      </c>
      <c r="G1557" s="19">
        <v>0</v>
      </c>
      <c r="H1557" s="19">
        <v>0</v>
      </c>
      <c r="I1557" s="15">
        <v>3500</v>
      </c>
      <c r="J1557" s="15">
        <v>0</v>
      </c>
      <c r="K1557" s="15">
        <v>0</v>
      </c>
      <c r="L1557" s="15">
        <v>0</v>
      </c>
      <c r="M1557" s="15">
        <v>0</v>
      </c>
      <c r="N1557" s="15" t="str">
        <v/>
      </c>
      <c r="O1557" s="15" t="str">
        <v/>
      </c>
      <c r="P1557" s="22">
        <v>0</v>
      </c>
      <c r="Q1557">
        <v>0</v>
      </c>
    </row>
    <row r="1558" spans="1:17">
      <c r="A1558" s="19">
        <v>0</v>
      </c>
      <c r="B1558" s="19">
        <v>0</v>
      </c>
      <c r="C1558" s="19">
        <v>0</v>
      </c>
      <c r="D1558" s="19">
        <v>0</v>
      </c>
      <c r="E1558" s="19">
        <v>0</v>
      </c>
      <c r="F1558" s="19">
        <v>0</v>
      </c>
      <c r="G1558" s="19">
        <v>0</v>
      </c>
      <c r="H1558" s="19">
        <v>0</v>
      </c>
      <c r="I1558" s="15">
        <v>3500</v>
      </c>
      <c r="J1558" s="15">
        <v>0</v>
      </c>
      <c r="K1558" s="15">
        <v>0</v>
      </c>
      <c r="L1558" s="15">
        <v>0</v>
      </c>
      <c r="M1558" s="15">
        <v>0</v>
      </c>
      <c r="N1558" s="15" t="str">
        <v/>
      </c>
      <c r="O1558" s="15" t="str">
        <v/>
      </c>
      <c r="P1558" s="22">
        <v>0</v>
      </c>
      <c r="Q1558">
        <v>0</v>
      </c>
    </row>
    <row r="1559" spans="1:17">
      <c r="A1559" s="19">
        <v>0</v>
      </c>
      <c r="B1559" s="19">
        <v>0</v>
      </c>
      <c r="C1559" s="19">
        <v>0</v>
      </c>
      <c r="D1559" s="19">
        <v>0</v>
      </c>
      <c r="E1559" s="19">
        <v>0</v>
      </c>
      <c r="F1559" s="19">
        <v>0</v>
      </c>
      <c r="G1559" s="19">
        <v>0</v>
      </c>
      <c r="H1559" s="19">
        <v>0</v>
      </c>
      <c r="I1559" s="15">
        <v>3500</v>
      </c>
      <c r="J1559" s="15">
        <v>0</v>
      </c>
      <c r="K1559" s="15">
        <v>0</v>
      </c>
      <c r="L1559" s="15">
        <v>0</v>
      </c>
      <c r="M1559" s="15">
        <v>0</v>
      </c>
      <c r="N1559" s="15" t="str">
        <v/>
      </c>
      <c r="O1559" s="15" t="str">
        <v/>
      </c>
      <c r="P1559" s="22">
        <v>0</v>
      </c>
      <c r="Q1559">
        <v>0</v>
      </c>
    </row>
    <row r="1560" spans="1:17">
      <c r="A1560" s="19">
        <v>0</v>
      </c>
      <c r="B1560" s="19">
        <v>0</v>
      </c>
      <c r="C1560" s="19">
        <v>0</v>
      </c>
      <c r="D1560" s="19">
        <v>0</v>
      </c>
      <c r="E1560" s="19">
        <v>0</v>
      </c>
      <c r="F1560" s="19">
        <v>0</v>
      </c>
      <c r="G1560" s="19">
        <v>0</v>
      </c>
      <c r="H1560" s="19">
        <v>0</v>
      </c>
      <c r="I1560" s="15">
        <v>3500</v>
      </c>
      <c r="J1560" s="15">
        <v>0</v>
      </c>
      <c r="K1560" s="15">
        <v>0</v>
      </c>
      <c r="L1560" s="15">
        <v>0</v>
      </c>
      <c r="M1560" s="15">
        <v>0</v>
      </c>
      <c r="N1560" s="15" t="str">
        <v/>
      </c>
      <c r="O1560" s="15" t="str">
        <v/>
      </c>
      <c r="P1560" s="22">
        <v>0</v>
      </c>
      <c r="Q1560">
        <v>0</v>
      </c>
    </row>
    <row r="1561" spans="1:17">
      <c r="A1561" s="19">
        <v>0</v>
      </c>
      <c r="B1561" s="19">
        <v>0</v>
      </c>
      <c r="C1561" s="19">
        <v>0</v>
      </c>
      <c r="D1561" s="19">
        <v>0</v>
      </c>
      <c r="E1561" s="19">
        <v>0</v>
      </c>
      <c r="F1561" s="19">
        <v>0</v>
      </c>
      <c r="G1561" s="19">
        <v>0</v>
      </c>
      <c r="H1561" s="19">
        <v>0</v>
      </c>
      <c r="I1561" s="15">
        <v>3500</v>
      </c>
      <c r="J1561" s="15">
        <v>0</v>
      </c>
      <c r="K1561" s="15">
        <v>0</v>
      </c>
      <c r="L1561" s="15">
        <v>0</v>
      </c>
      <c r="M1561" s="15">
        <v>0</v>
      </c>
      <c r="N1561" s="15" t="str">
        <v/>
      </c>
      <c r="O1561" s="15" t="str">
        <v/>
      </c>
      <c r="P1561" s="22">
        <v>0</v>
      </c>
      <c r="Q1561">
        <v>0</v>
      </c>
    </row>
    <row r="1562" spans="1:17">
      <c r="A1562" s="19">
        <v>0</v>
      </c>
      <c r="B1562" s="19">
        <v>0</v>
      </c>
      <c r="C1562" s="19">
        <v>0</v>
      </c>
      <c r="D1562" s="19">
        <v>0</v>
      </c>
      <c r="E1562" s="19">
        <v>0</v>
      </c>
      <c r="F1562" s="19">
        <v>0</v>
      </c>
      <c r="G1562" s="19">
        <v>0</v>
      </c>
      <c r="H1562" s="19">
        <v>0</v>
      </c>
      <c r="I1562" s="15">
        <v>3500</v>
      </c>
      <c r="J1562" s="15">
        <v>0</v>
      </c>
      <c r="K1562" s="15">
        <v>0</v>
      </c>
      <c r="L1562" s="15">
        <v>0</v>
      </c>
      <c r="M1562" s="15">
        <v>0</v>
      </c>
      <c r="N1562" s="15" t="str">
        <v/>
      </c>
      <c r="O1562" s="15" t="str">
        <v/>
      </c>
      <c r="P1562" s="22">
        <v>0</v>
      </c>
      <c r="Q1562">
        <v>0</v>
      </c>
    </row>
    <row r="1563" spans="1:17">
      <c r="A1563" s="19">
        <v>0</v>
      </c>
      <c r="B1563" s="19">
        <v>0</v>
      </c>
      <c r="C1563" s="19">
        <v>0</v>
      </c>
      <c r="D1563" s="19">
        <v>0</v>
      </c>
      <c r="E1563" s="19">
        <v>0</v>
      </c>
      <c r="F1563" s="19">
        <v>0</v>
      </c>
      <c r="G1563" s="19">
        <v>0</v>
      </c>
      <c r="H1563" s="19">
        <v>0</v>
      </c>
      <c r="I1563" s="15">
        <v>3500</v>
      </c>
      <c r="J1563" s="15">
        <v>0</v>
      </c>
      <c r="K1563" s="15">
        <v>0</v>
      </c>
      <c r="L1563" s="15">
        <v>0</v>
      </c>
      <c r="M1563" s="15">
        <v>0</v>
      </c>
      <c r="N1563" s="15" t="str">
        <v/>
      </c>
      <c r="O1563" s="15" t="str">
        <v/>
      </c>
      <c r="P1563" s="22">
        <v>0</v>
      </c>
      <c r="Q1563">
        <v>0</v>
      </c>
    </row>
    <row r="1564" spans="1:17">
      <c r="A1564" s="19">
        <v>0</v>
      </c>
      <c r="B1564" s="19">
        <v>0</v>
      </c>
      <c r="C1564" s="19">
        <v>0</v>
      </c>
      <c r="D1564" s="19">
        <v>0</v>
      </c>
      <c r="E1564" s="19">
        <v>0</v>
      </c>
      <c r="F1564" s="19">
        <v>0</v>
      </c>
      <c r="G1564" s="19">
        <v>0</v>
      </c>
      <c r="H1564" s="19">
        <v>0</v>
      </c>
      <c r="I1564" s="15">
        <v>3500</v>
      </c>
      <c r="J1564" s="15">
        <v>0</v>
      </c>
      <c r="K1564" s="15">
        <v>0</v>
      </c>
      <c r="L1564" s="15">
        <v>0</v>
      </c>
      <c r="M1564" s="15">
        <v>0</v>
      </c>
      <c r="N1564" s="15" t="str">
        <v/>
      </c>
      <c r="O1564" s="15" t="str">
        <v/>
      </c>
      <c r="P1564" s="22">
        <v>0</v>
      </c>
      <c r="Q1564">
        <v>0</v>
      </c>
    </row>
    <row r="1565" spans="1:17">
      <c r="A1565" s="19">
        <v>0</v>
      </c>
      <c r="B1565" s="19">
        <v>0</v>
      </c>
      <c r="C1565" s="19">
        <v>0</v>
      </c>
      <c r="D1565" s="19">
        <v>0</v>
      </c>
      <c r="E1565" s="19">
        <v>0</v>
      </c>
      <c r="F1565" s="19">
        <v>0</v>
      </c>
      <c r="G1565" s="19">
        <v>0</v>
      </c>
      <c r="H1565" s="19">
        <v>0</v>
      </c>
      <c r="I1565" s="15">
        <v>3500</v>
      </c>
      <c r="J1565" s="15">
        <v>0</v>
      </c>
      <c r="K1565" s="15">
        <v>0</v>
      </c>
      <c r="L1565" s="15">
        <v>0</v>
      </c>
      <c r="M1565" s="15">
        <v>0</v>
      </c>
      <c r="N1565" s="15" t="str">
        <v/>
      </c>
      <c r="O1565" s="15" t="str">
        <v/>
      </c>
      <c r="P1565" s="22">
        <v>0</v>
      </c>
      <c r="Q1565">
        <v>0</v>
      </c>
    </row>
    <row r="1566" spans="1:17">
      <c r="A1566" s="19">
        <v>0</v>
      </c>
      <c r="B1566" s="19">
        <v>0</v>
      </c>
      <c r="C1566" s="19">
        <v>0</v>
      </c>
      <c r="D1566" s="19">
        <v>0</v>
      </c>
      <c r="E1566" s="19">
        <v>0</v>
      </c>
      <c r="F1566" s="19">
        <v>0</v>
      </c>
      <c r="G1566" s="19">
        <v>0</v>
      </c>
      <c r="H1566" s="19">
        <v>0</v>
      </c>
      <c r="I1566" s="15">
        <v>3500</v>
      </c>
      <c r="J1566" s="15">
        <v>0</v>
      </c>
      <c r="K1566" s="15">
        <v>0</v>
      </c>
      <c r="L1566" s="15">
        <v>0</v>
      </c>
      <c r="M1566" s="15">
        <v>0</v>
      </c>
      <c r="N1566" s="15" t="str">
        <v/>
      </c>
      <c r="O1566" s="15" t="str">
        <v/>
      </c>
      <c r="P1566" s="22">
        <v>0</v>
      </c>
      <c r="Q1566">
        <v>0</v>
      </c>
    </row>
    <row r="1567" spans="1:17">
      <c r="A1567" s="19">
        <v>0</v>
      </c>
      <c r="B1567" s="19">
        <v>0</v>
      </c>
      <c r="C1567" s="19">
        <v>0</v>
      </c>
      <c r="D1567" s="19">
        <v>0</v>
      </c>
      <c r="E1567" s="19">
        <v>0</v>
      </c>
      <c r="F1567" s="19">
        <v>0</v>
      </c>
      <c r="G1567" s="19">
        <v>0</v>
      </c>
      <c r="H1567" s="19">
        <v>0</v>
      </c>
      <c r="I1567" s="15">
        <v>3500</v>
      </c>
      <c r="J1567" s="15">
        <v>0</v>
      </c>
      <c r="K1567" s="15">
        <v>0</v>
      </c>
      <c r="L1567" s="15">
        <v>0</v>
      </c>
      <c r="M1567" s="15">
        <v>0</v>
      </c>
      <c r="N1567" s="15" t="str">
        <v/>
      </c>
      <c r="O1567" s="15" t="str">
        <v/>
      </c>
      <c r="P1567" s="22">
        <v>0</v>
      </c>
      <c r="Q1567">
        <v>0</v>
      </c>
    </row>
    <row r="1568" spans="1:17">
      <c r="A1568" s="19">
        <v>0</v>
      </c>
      <c r="B1568" s="19">
        <v>0</v>
      </c>
      <c r="C1568" s="19">
        <v>0</v>
      </c>
      <c r="D1568" s="19">
        <v>0</v>
      </c>
      <c r="E1568" s="19">
        <v>0</v>
      </c>
      <c r="F1568" s="19">
        <v>0</v>
      </c>
      <c r="G1568" s="19">
        <v>0</v>
      </c>
      <c r="H1568" s="19">
        <v>0</v>
      </c>
      <c r="I1568" s="15">
        <v>3500</v>
      </c>
      <c r="J1568" s="15">
        <v>0</v>
      </c>
      <c r="K1568" s="15">
        <v>0</v>
      </c>
      <c r="L1568" s="15">
        <v>0</v>
      </c>
      <c r="M1568" s="15">
        <v>0</v>
      </c>
      <c r="N1568" s="15" t="str">
        <v/>
      </c>
      <c r="O1568" s="15" t="str">
        <v/>
      </c>
      <c r="P1568" s="22">
        <v>0</v>
      </c>
      <c r="Q1568">
        <v>0</v>
      </c>
    </row>
    <row r="1569" spans="1:17">
      <c r="A1569" s="19">
        <v>0</v>
      </c>
      <c r="B1569" s="19">
        <v>0</v>
      </c>
      <c r="C1569" s="19">
        <v>0</v>
      </c>
      <c r="D1569" s="19">
        <v>0</v>
      </c>
      <c r="E1569" s="19">
        <v>0</v>
      </c>
      <c r="F1569" s="19">
        <v>0</v>
      </c>
      <c r="G1569" s="19">
        <v>0</v>
      </c>
      <c r="H1569" s="19">
        <v>0</v>
      </c>
      <c r="I1569" s="15">
        <v>3500</v>
      </c>
      <c r="J1569" s="15">
        <v>0</v>
      </c>
      <c r="K1569" s="15">
        <v>0</v>
      </c>
      <c r="L1569" s="15">
        <v>0</v>
      </c>
      <c r="M1569" s="15">
        <v>0</v>
      </c>
      <c r="N1569" s="15" t="str">
        <v/>
      </c>
      <c r="O1569" s="15" t="str">
        <v/>
      </c>
      <c r="P1569" s="22">
        <v>0</v>
      </c>
      <c r="Q1569">
        <v>0</v>
      </c>
    </row>
    <row r="1570" spans="1:17">
      <c r="A1570" s="19">
        <v>0</v>
      </c>
      <c r="B1570" s="19">
        <v>0</v>
      </c>
      <c r="C1570" s="19">
        <v>0</v>
      </c>
      <c r="D1570" s="19">
        <v>0</v>
      </c>
      <c r="E1570" s="19">
        <v>0</v>
      </c>
      <c r="F1570" s="19">
        <v>0</v>
      </c>
      <c r="G1570" s="19">
        <v>0</v>
      </c>
      <c r="H1570" s="19">
        <v>0</v>
      </c>
      <c r="I1570" s="15">
        <v>3500</v>
      </c>
      <c r="J1570" s="15">
        <v>0</v>
      </c>
      <c r="K1570" s="15">
        <v>0</v>
      </c>
      <c r="L1570" s="15">
        <v>0</v>
      </c>
      <c r="M1570" s="15">
        <v>0</v>
      </c>
      <c r="N1570" s="15" t="str">
        <v/>
      </c>
      <c r="O1570" s="15" t="str">
        <v/>
      </c>
      <c r="P1570" s="22">
        <v>0</v>
      </c>
      <c r="Q1570">
        <v>0</v>
      </c>
    </row>
    <row r="1571" spans="1:17">
      <c r="A1571" s="19">
        <v>0</v>
      </c>
      <c r="B1571" s="19">
        <v>0</v>
      </c>
      <c r="C1571" s="19">
        <v>0</v>
      </c>
      <c r="D1571" s="19">
        <v>0</v>
      </c>
      <c r="E1571" s="19">
        <v>0</v>
      </c>
      <c r="F1571" s="19">
        <v>0</v>
      </c>
      <c r="G1571" s="19">
        <v>0</v>
      </c>
      <c r="H1571" s="19">
        <v>0</v>
      </c>
      <c r="I1571" s="15">
        <v>3500</v>
      </c>
      <c r="J1571" s="15">
        <v>0</v>
      </c>
      <c r="K1571" s="15">
        <v>0</v>
      </c>
      <c r="L1571" s="15">
        <v>0</v>
      </c>
      <c r="M1571" s="15">
        <v>0</v>
      </c>
      <c r="N1571" s="15" t="str">
        <v/>
      </c>
      <c r="O1571" s="15" t="str">
        <v/>
      </c>
      <c r="P1571" s="22">
        <v>0</v>
      </c>
      <c r="Q1571">
        <v>0</v>
      </c>
    </row>
    <row r="1572" spans="1:17">
      <c r="A1572" s="19">
        <v>0</v>
      </c>
      <c r="B1572" s="19">
        <v>0</v>
      </c>
      <c r="C1572" s="19">
        <v>0</v>
      </c>
      <c r="D1572" s="19">
        <v>0</v>
      </c>
      <c r="E1572" s="19">
        <v>0</v>
      </c>
      <c r="F1572" s="19">
        <v>0</v>
      </c>
      <c r="G1572" s="19">
        <v>0</v>
      </c>
      <c r="H1572" s="19">
        <v>0</v>
      </c>
      <c r="I1572" s="15">
        <v>3500</v>
      </c>
      <c r="J1572" s="15">
        <v>0</v>
      </c>
      <c r="K1572" s="15">
        <v>0</v>
      </c>
      <c r="L1572" s="15">
        <v>0</v>
      </c>
      <c r="M1572" s="15">
        <v>0</v>
      </c>
      <c r="N1572" s="15" t="str">
        <v/>
      </c>
      <c r="O1572" s="15" t="str">
        <v/>
      </c>
      <c r="P1572" s="22">
        <v>0</v>
      </c>
      <c r="Q1572">
        <v>0</v>
      </c>
    </row>
    <row r="1573" spans="1:17">
      <c r="A1573" s="19">
        <v>0</v>
      </c>
      <c r="B1573" s="19">
        <v>0</v>
      </c>
      <c r="C1573" s="19">
        <v>0</v>
      </c>
      <c r="D1573" s="19">
        <v>0</v>
      </c>
      <c r="E1573" s="19">
        <v>0</v>
      </c>
      <c r="F1573" s="19">
        <v>0</v>
      </c>
      <c r="G1573" s="19">
        <v>0</v>
      </c>
      <c r="H1573" s="19">
        <v>0</v>
      </c>
      <c r="I1573" s="15">
        <v>3500</v>
      </c>
      <c r="J1573" s="15">
        <v>0</v>
      </c>
      <c r="K1573" s="15">
        <v>0</v>
      </c>
      <c r="L1573" s="15">
        <v>0</v>
      </c>
      <c r="M1573" s="15">
        <v>0</v>
      </c>
      <c r="N1573" s="15" t="str">
        <v/>
      </c>
      <c r="O1573" s="15" t="str">
        <v/>
      </c>
      <c r="P1573" s="22">
        <v>0</v>
      </c>
      <c r="Q1573">
        <v>0</v>
      </c>
    </row>
    <row r="1574" spans="1:17">
      <c r="A1574" s="19">
        <v>0</v>
      </c>
      <c r="B1574" s="19">
        <v>0</v>
      </c>
      <c r="C1574" s="19">
        <v>0</v>
      </c>
      <c r="D1574" s="19">
        <v>0</v>
      </c>
      <c r="E1574" s="19">
        <v>0</v>
      </c>
      <c r="F1574" s="19">
        <v>0</v>
      </c>
      <c r="G1574" s="19">
        <v>0</v>
      </c>
      <c r="H1574" s="19">
        <v>0</v>
      </c>
      <c r="I1574" s="15">
        <v>3500</v>
      </c>
      <c r="J1574" s="15">
        <v>0</v>
      </c>
      <c r="K1574" s="15">
        <v>0</v>
      </c>
      <c r="L1574" s="15">
        <v>0</v>
      </c>
      <c r="M1574" s="15">
        <v>0</v>
      </c>
      <c r="N1574" s="15" t="str">
        <v/>
      </c>
      <c r="O1574" s="15" t="str">
        <v/>
      </c>
      <c r="P1574" s="22">
        <v>0</v>
      </c>
      <c r="Q1574">
        <v>0</v>
      </c>
    </row>
    <row r="1575" spans="1:17">
      <c r="A1575" s="19">
        <v>0</v>
      </c>
      <c r="B1575" s="19">
        <v>0</v>
      </c>
      <c r="C1575" s="19">
        <v>0</v>
      </c>
      <c r="D1575" s="19">
        <v>0</v>
      </c>
      <c r="E1575" s="19">
        <v>0</v>
      </c>
      <c r="F1575" s="19">
        <v>0</v>
      </c>
      <c r="G1575" s="19">
        <v>0</v>
      </c>
      <c r="H1575" s="19">
        <v>0</v>
      </c>
      <c r="I1575" s="15">
        <v>3500</v>
      </c>
      <c r="J1575" s="15">
        <v>0</v>
      </c>
      <c r="K1575" s="15">
        <v>0</v>
      </c>
      <c r="L1575" s="15">
        <v>0</v>
      </c>
      <c r="M1575" s="15">
        <v>0</v>
      </c>
      <c r="N1575" s="15" t="str">
        <v/>
      </c>
      <c r="O1575" s="15" t="str">
        <v/>
      </c>
      <c r="P1575" s="22">
        <v>0</v>
      </c>
      <c r="Q1575">
        <v>0</v>
      </c>
    </row>
    <row r="1576" spans="1:17">
      <c r="A1576" s="19">
        <v>0</v>
      </c>
      <c r="B1576" s="19">
        <v>0</v>
      </c>
      <c r="C1576" s="19">
        <v>0</v>
      </c>
      <c r="D1576" s="19">
        <v>0</v>
      </c>
      <c r="E1576" s="19">
        <v>0</v>
      </c>
      <c r="F1576" s="19">
        <v>0</v>
      </c>
      <c r="G1576" s="19">
        <v>0</v>
      </c>
      <c r="H1576" s="19">
        <v>0</v>
      </c>
      <c r="I1576" s="15">
        <v>3500</v>
      </c>
      <c r="J1576" s="15">
        <v>0</v>
      </c>
      <c r="K1576" s="15">
        <v>0</v>
      </c>
      <c r="L1576" s="15">
        <v>0</v>
      </c>
      <c r="M1576" s="15">
        <v>0</v>
      </c>
      <c r="N1576" s="15" t="str">
        <v/>
      </c>
      <c r="O1576" s="15" t="str">
        <v/>
      </c>
      <c r="P1576" s="22">
        <v>0</v>
      </c>
      <c r="Q1576">
        <v>0</v>
      </c>
    </row>
    <row r="1577" spans="1:17">
      <c r="A1577" s="19">
        <v>0</v>
      </c>
      <c r="B1577" s="19">
        <v>0</v>
      </c>
      <c r="C1577" s="19">
        <v>0</v>
      </c>
      <c r="D1577" s="19">
        <v>0</v>
      </c>
      <c r="E1577" s="19">
        <v>0</v>
      </c>
      <c r="F1577" s="19">
        <v>0</v>
      </c>
      <c r="G1577" s="19">
        <v>0</v>
      </c>
      <c r="H1577" s="19">
        <v>0</v>
      </c>
      <c r="I1577" s="15">
        <v>3500</v>
      </c>
      <c r="J1577" s="15">
        <v>0</v>
      </c>
      <c r="K1577" s="15">
        <v>0</v>
      </c>
      <c r="L1577" s="15">
        <v>0</v>
      </c>
      <c r="M1577" s="15">
        <v>0</v>
      </c>
      <c r="N1577" s="15" t="str">
        <v/>
      </c>
      <c r="O1577" s="15" t="str">
        <v/>
      </c>
      <c r="P1577" s="22">
        <v>0</v>
      </c>
      <c r="Q1577">
        <v>0</v>
      </c>
    </row>
    <row r="1578" spans="1:17">
      <c r="A1578" s="19">
        <v>0</v>
      </c>
      <c r="B1578" s="19">
        <v>0</v>
      </c>
      <c r="C1578" s="19">
        <v>0</v>
      </c>
      <c r="D1578" s="19">
        <v>0</v>
      </c>
      <c r="E1578" s="19">
        <v>0</v>
      </c>
      <c r="F1578" s="19">
        <v>0</v>
      </c>
      <c r="G1578" s="19">
        <v>0</v>
      </c>
      <c r="H1578" s="19">
        <v>0</v>
      </c>
      <c r="I1578" s="15">
        <v>3500</v>
      </c>
      <c r="J1578" s="15">
        <v>0</v>
      </c>
      <c r="K1578" s="15">
        <v>0</v>
      </c>
      <c r="L1578" s="15">
        <v>0</v>
      </c>
      <c r="M1578" s="15">
        <v>0</v>
      </c>
      <c r="N1578" s="15" t="str">
        <v/>
      </c>
      <c r="O1578" s="15" t="str">
        <v/>
      </c>
      <c r="P1578" s="22">
        <v>0</v>
      </c>
      <c r="Q1578">
        <v>0</v>
      </c>
    </row>
    <row r="1579" spans="1:17">
      <c r="A1579" s="19">
        <v>0</v>
      </c>
      <c r="B1579" s="19">
        <v>0</v>
      </c>
      <c r="C1579" s="19">
        <v>0</v>
      </c>
      <c r="D1579" s="19">
        <v>0</v>
      </c>
      <c r="E1579" s="19">
        <v>0</v>
      </c>
      <c r="F1579" s="19">
        <v>0</v>
      </c>
      <c r="G1579" s="19">
        <v>0</v>
      </c>
      <c r="H1579" s="19">
        <v>0</v>
      </c>
      <c r="I1579" s="15">
        <v>3500</v>
      </c>
      <c r="J1579" s="15">
        <v>0</v>
      </c>
      <c r="K1579" s="15">
        <v>0</v>
      </c>
      <c r="L1579" s="15">
        <v>0</v>
      </c>
      <c r="M1579" s="15">
        <v>0</v>
      </c>
      <c r="N1579" s="15" t="str">
        <v/>
      </c>
      <c r="O1579" s="15" t="str">
        <v/>
      </c>
      <c r="P1579" s="22">
        <v>0</v>
      </c>
      <c r="Q1579">
        <v>0</v>
      </c>
    </row>
    <row r="1580" spans="1:17">
      <c r="A1580" s="19">
        <v>0</v>
      </c>
      <c r="B1580" s="19">
        <v>0</v>
      </c>
      <c r="C1580" s="19">
        <v>0</v>
      </c>
      <c r="D1580" s="19">
        <v>0</v>
      </c>
      <c r="E1580" s="19">
        <v>0</v>
      </c>
      <c r="F1580" s="19">
        <v>0</v>
      </c>
      <c r="G1580" s="19">
        <v>0</v>
      </c>
      <c r="H1580" s="19">
        <v>0</v>
      </c>
      <c r="I1580" s="15">
        <v>3500</v>
      </c>
      <c r="J1580" s="15">
        <v>0</v>
      </c>
      <c r="K1580" s="15">
        <v>0</v>
      </c>
      <c r="L1580" s="15">
        <v>0</v>
      </c>
      <c r="M1580" s="15">
        <v>0</v>
      </c>
      <c r="N1580" s="15" t="str">
        <v/>
      </c>
      <c r="O1580" s="15" t="str">
        <v/>
      </c>
      <c r="P1580" s="22">
        <v>0</v>
      </c>
      <c r="Q1580">
        <v>0</v>
      </c>
    </row>
    <row r="1581" spans="1:17">
      <c r="A1581" s="19">
        <v>0</v>
      </c>
      <c r="B1581" s="19">
        <v>0</v>
      </c>
      <c r="C1581" s="19">
        <v>0</v>
      </c>
      <c r="D1581" s="19">
        <v>0</v>
      </c>
      <c r="E1581" s="19">
        <v>0</v>
      </c>
      <c r="F1581" s="19">
        <v>0</v>
      </c>
      <c r="G1581" s="19">
        <v>0</v>
      </c>
      <c r="H1581" s="19">
        <v>0</v>
      </c>
      <c r="I1581" s="15">
        <v>3500</v>
      </c>
      <c r="J1581" s="15">
        <v>0</v>
      </c>
      <c r="K1581" s="15">
        <v>0</v>
      </c>
      <c r="L1581" s="15">
        <v>0</v>
      </c>
      <c r="M1581" s="15">
        <v>0</v>
      </c>
      <c r="N1581" s="15" t="str">
        <v/>
      </c>
      <c r="O1581" s="15" t="str">
        <v/>
      </c>
      <c r="P1581" s="22">
        <v>0</v>
      </c>
      <c r="Q1581">
        <v>0</v>
      </c>
    </row>
    <row r="1582" spans="1:17">
      <c r="A1582" s="19">
        <v>0</v>
      </c>
      <c r="B1582" s="19">
        <v>0</v>
      </c>
      <c r="C1582" s="19">
        <v>0</v>
      </c>
      <c r="D1582" s="19">
        <v>0</v>
      </c>
      <c r="E1582" s="19">
        <v>0</v>
      </c>
      <c r="F1582" s="19">
        <v>0</v>
      </c>
      <c r="G1582" s="19">
        <v>0</v>
      </c>
      <c r="H1582" s="19">
        <v>0</v>
      </c>
      <c r="I1582" s="15">
        <v>3500</v>
      </c>
      <c r="J1582" s="15">
        <v>0</v>
      </c>
      <c r="K1582" s="15">
        <v>0</v>
      </c>
      <c r="L1582" s="15">
        <v>0</v>
      </c>
      <c r="M1582" s="15">
        <v>0</v>
      </c>
      <c r="N1582" s="15" t="str">
        <v/>
      </c>
      <c r="O1582" s="15" t="str">
        <v/>
      </c>
      <c r="P1582" s="22">
        <v>0</v>
      </c>
      <c r="Q1582">
        <v>0</v>
      </c>
    </row>
    <row r="1583" spans="1:17">
      <c r="A1583" s="19">
        <v>0</v>
      </c>
      <c r="B1583" s="19">
        <v>0</v>
      </c>
      <c r="C1583" s="19">
        <v>0</v>
      </c>
      <c r="D1583" s="19">
        <v>0</v>
      </c>
      <c r="E1583" s="19">
        <v>0</v>
      </c>
      <c r="F1583" s="19">
        <v>0</v>
      </c>
      <c r="G1583" s="19">
        <v>0</v>
      </c>
      <c r="H1583" s="19">
        <v>0</v>
      </c>
      <c r="I1583" s="15">
        <v>3500</v>
      </c>
      <c r="J1583" s="15">
        <v>0</v>
      </c>
      <c r="K1583" s="15">
        <v>0</v>
      </c>
      <c r="L1583" s="15">
        <v>0</v>
      </c>
      <c r="M1583" s="15">
        <v>0</v>
      </c>
      <c r="N1583" s="15" t="str">
        <v/>
      </c>
      <c r="O1583" s="15" t="str">
        <v/>
      </c>
      <c r="P1583" s="22">
        <v>0</v>
      </c>
      <c r="Q1583">
        <v>0</v>
      </c>
    </row>
    <row r="1584" spans="1:17">
      <c r="A1584" s="19">
        <v>0</v>
      </c>
      <c r="B1584" s="19">
        <v>0</v>
      </c>
      <c r="C1584" s="19">
        <v>0</v>
      </c>
      <c r="D1584" s="19">
        <v>0</v>
      </c>
      <c r="E1584" s="19">
        <v>0</v>
      </c>
      <c r="F1584" s="19">
        <v>0</v>
      </c>
      <c r="G1584" s="19">
        <v>0</v>
      </c>
      <c r="H1584" s="19">
        <v>0</v>
      </c>
      <c r="I1584" s="15">
        <v>3500</v>
      </c>
      <c r="J1584" s="15">
        <v>0</v>
      </c>
      <c r="K1584" s="15">
        <v>0</v>
      </c>
      <c r="L1584" s="15">
        <v>0</v>
      </c>
      <c r="M1584" s="15">
        <v>0</v>
      </c>
      <c r="N1584" s="15" t="str">
        <v/>
      </c>
      <c r="O1584" s="15" t="str">
        <v/>
      </c>
      <c r="P1584" s="22">
        <v>0</v>
      </c>
      <c r="Q1584">
        <v>0</v>
      </c>
    </row>
    <row r="1585" spans="1:17">
      <c r="A1585" s="19">
        <v>0</v>
      </c>
      <c r="B1585" s="19">
        <v>0</v>
      </c>
      <c r="C1585" s="19">
        <v>0</v>
      </c>
      <c r="D1585" s="19">
        <v>0</v>
      </c>
      <c r="E1585" s="19">
        <v>0</v>
      </c>
      <c r="F1585" s="19">
        <v>0</v>
      </c>
      <c r="G1585" s="19">
        <v>0</v>
      </c>
      <c r="H1585" s="19">
        <v>0</v>
      </c>
      <c r="I1585" s="15">
        <v>3500</v>
      </c>
      <c r="J1585" s="15">
        <v>0</v>
      </c>
      <c r="K1585" s="15">
        <v>0</v>
      </c>
      <c r="L1585" s="15">
        <v>0</v>
      </c>
      <c r="M1585" s="15">
        <v>0</v>
      </c>
      <c r="N1585" s="15" t="str">
        <v/>
      </c>
      <c r="O1585" s="15" t="str">
        <v/>
      </c>
      <c r="P1585" s="22">
        <v>0</v>
      </c>
      <c r="Q1585">
        <v>0</v>
      </c>
    </row>
    <row r="1586" spans="1:17">
      <c r="A1586" s="19">
        <v>0</v>
      </c>
      <c r="B1586" s="19">
        <v>0</v>
      </c>
      <c r="C1586" s="19">
        <v>0</v>
      </c>
      <c r="D1586" s="19">
        <v>0</v>
      </c>
      <c r="E1586" s="19">
        <v>0</v>
      </c>
      <c r="F1586" s="19">
        <v>0</v>
      </c>
      <c r="G1586" s="19">
        <v>0</v>
      </c>
      <c r="H1586" s="19">
        <v>0</v>
      </c>
      <c r="I1586" s="15">
        <v>3500</v>
      </c>
      <c r="J1586" s="15">
        <v>0</v>
      </c>
      <c r="K1586" s="15">
        <v>0</v>
      </c>
      <c r="L1586" s="15">
        <v>0</v>
      </c>
      <c r="M1586" s="15">
        <v>0</v>
      </c>
      <c r="N1586" s="15" t="str">
        <v/>
      </c>
      <c r="O1586" s="15" t="str">
        <v/>
      </c>
      <c r="P1586" s="22">
        <v>0</v>
      </c>
      <c r="Q1586">
        <v>0</v>
      </c>
    </row>
    <row r="1587" spans="1:17">
      <c r="A1587" s="19">
        <v>0</v>
      </c>
      <c r="B1587" s="19">
        <v>0</v>
      </c>
      <c r="C1587" s="19">
        <v>0</v>
      </c>
      <c r="D1587" s="19">
        <v>0</v>
      </c>
      <c r="E1587" s="19">
        <v>0</v>
      </c>
      <c r="F1587" s="19">
        <v>0</v>
      </c>
      <c r="G1587" s="19">
        <v>0</v>
      </c>
      <c r="H1587" s="19">
        <v>0</v>
      </c>
      <c r="I1587" s="15">
        <v>3500</v>
      </c>
      <c r="J1587" s="15">
        <v>0</v>
      </c>
      <c r="K1587" s="15">
        <v>0</v>
      </c>
      <c r="L1587" s="15">
        <v>0</v>
      </c>
      <c r="M1587" s="15">
        <v>0</v>
      </c>
      <c r="N1587" s="15" t="str">
        <v/>
      </c>
      <c r="O1587" s="15" t="str">
        <v/>
      </c>
      <c r="P1587" s="22">
        <v>0</v>
      </c>
      <c r="Q1587">
        <v>0</v>
      </c>
    </row>
    <row r="1588" spans="1:17">
      <c r="A1588" s="19">
        <v>0</v>
      </c>
      <c r="B1588" s="19">
        <v>0</v>
      </c>
      <c r="C1588" s="19">
        <v>0</v>
      </c>
      <c r="D1588" s="19">
        <v>0</v>
      </c>
      <c r="E1588" s="19">
        <v>0</v>
      </c>
      <c r="F1588" s="19">
        <v>0</v>
      </c>
      <c r="G1588" s="19">
        <v>0</v>
      </c>
      <c r="H1588" s="19">
        <v>0</v>
      </c>
      <c r="I1588" s="15">
        <v>3500</v>
      </c>
      <c r="J1588" s="15">
        <v>0</v>
      </c>
      <c r="K1588" s="15">
        <v>0</v>
      </c>
      <c r="L1588" s="15">
        <v>0</v>
      </c>
      <c r="M1588" s="15">
        <v>0</v>
      </c>
      <c r="N1588" s="15" t="str">
        <v/>
      </c>
      <c r="O1588" s="15" t="str">
        <v/>
      </c>
      <c r="P1588" s="22">
        <v>0</v>
      </c>
      <c r="Q1588">
        <v>0</v>
      </c>
    </row>
    <row r="1589" spans="1:17">
      <c r="A1589" s="19">
        <v>0</v>
      </c>
      <c r="B1589" s="19">
        <v>0</v>
      </c>
      <c r="C1589" s="19">
        <v>0</v>
      </c>
      <c r="D1589" s="19">
        <v>0</v>
      </c>
      <c r="E1589" s="19">
        <v>0</v>
      </c>
      <c r="F1589" s="19">
        <v>0</v>
      </c>
      <c r="G1589" s="19">
        <v>0</v>
      </c>
      <c r="H1589" s="19">
        <v>0</v>
      </c>
      <c r="I1589" s="15">
        <v>3500</v>
      </c>
      <c r="J1589" s="15">
        <v>0</v>
      </c>
      <c r="K1589" s="15">
        <v>0</v>
      </c>
      <c r="L1589" s="15">
        <v>0</v>
      </c>
      <c r="M1589" s="15">
        <v>0</v>
      </c>
      <c r="N1589" s="15" t="str">
        <v/>
      </c>
      <c r="O1589" s="15" t="str">
        <v/>
      </c>
      <c r="P1589" s="22">
        <v>0</v>
      </c>
      <c r="Q1589">
        <v>0</v>
      </c>
    </row>
    <row r="1590" spans="1:17">
      <c r="A1590" s="19">
        <v>0</v>
      </c>
      <c r="B1590" s="19">
        <v>0</v>
      </c>
      <c r="C1590" s="19">
        <v>0</v>
      </c>
      <c r="D1590" s="19">
        <v>0</v>
      </c>
      <c r="E1590" s="19">
        <v>0</v>
      </c>
      <c r="F1590" s="19">
        <v>0</v>
      </c>
      <c r="G1590" s="19">
        <v>0</v>
      </c>
      <c r="H1590" s="19">
        <v>0</v>
      </c>
      <c r="I1590" s="15">
        <v>3500</v>
      </c>
      <c r="J1590" s="15">
        <v>0</v>
      </c>
      <c r="K1590" s="15">
        <v>0</v>
      </c>
      <c r="L1590" s="15">
        <v>0</v>
      </c>
      <c r="M1590" s="15">
        <v>0</v>
      </c>
      <c r="N1590" s="15" t="str">
        <v/>
      </c>
      <c r="O1590" s="15" t="str">
        <v/>
      </c>
      <c r="P1590" s="22">
        <v>0</v>
      </c>
      <c r="Q1590">
        <v>0</v>
      </c>
    </row>
    <row r="1591" spans="1:17">
      <c r="A1591" s="19">
        <v>0</v>
      </c>
      <c r="B1591" s="19">
        <v>0</v>
      </c>
      <c r="C1591" s="19">
        <v>0</v>
      </c>
      <c r="D1591" s="19">
        <v>0</v>
      </c>
      <c r="E1591" s="19">
        <v>0</v>
      </c>
      <c r="F1591" s="19">
        <v>0</v>
      </c>
      <c r="G1591" s="19">
        <v>0</v>
      </c>
      <c r="H1591" s="19">
        <v>0</v>
      </c>
      <c r="I1591" s="15">
        <v>3500</v>
      </c>
      <c r="J1591" s="15">
        <v>0</v>
      </c>
      <c r="K1591" s="15">
        <v>0</v>
      </c>
      <c r="L1591" s="15">
        <v>0</v>
      </c>
      <c r="M1591" s="15">
        <v>0</v>
      </c>
      <c r="N1591" s="15" t="str">
        <v/>
      </c>
      <c r="O1591" s="15" t="str">
        <v/>
      </c>
      <c r="P1591" s="22">
        <v>0</v>
      </c>
      <c r="Q1591">
        <v>0</v>
      </c>
    </row>
    <row r="1592" spans="1:17">
      <c r="A1592" s="19">
        <v>0</v>
      </c>
      <c r="B1592" s="19">
        <v>0</v>
      </c>
      <c r="C1592" s="19">
        <v>0</v>
      </c>
      <c r="D1592" s="19">
        <v>0</v>
      </c>
      <c r="E1592" s="19">
        <v>0</v>
      </c>
      <c r="F1592" s="19">
        <v>0</v>
      </c>
      <c r="G1592" s="19">
        <v>0</v>
      </c>
      <c r="H1592" s="19">
        <v>0</v>
      </c>
      <c r="I1592" s="15">
        <v>3500</v>
      </c>
      <c r="J1592" s="15">
        <v>0</v>
      </c>
      <c r="K1592" s="15">
        <v>0</v>
      </c>
      <c r="L1592" s="15">
        <v>0</v>
      </c>
      <c r="M1592" s="15">
        <v>0</v>
      </c>
      <c r="N1592" s="15" t="str">
        <v/>
      </c>
      <c r="O1592" s="15" t="str">
        <v/>
      </c>
      <c r="P1592" s="22">
        <v>0</v>
      </c>
      <c r="Q1592">
        <v>0</v>
      </c>
    </row>
    <row r="1593" spans="1:17">
      <c r="A1593" s="19">
        <v>0</v>
      </c>
      <c r="B1593" s="19">
        <v>0</v>
      </c>
      <c r="C1593" s="19">
        <v>0</v>
      </c>
      <c r="D1593" s="19">
        <v>0</v>
      </c>
      <c r="E1593" s="19">
        <v>0</v>
      </c>
      <c r="F1593" s="19">
        <v>0</v>
      </c>
      <c r="G1593" s="19">
        <v>0</v>
      </c>
      <c r="H1593" s="19">
        <v>0</v>
      </c>
      <c r="I1593" s="15">
        <v>3500</v>
      </c>
      <c r="J1593" s="15">
        <v>0</v>
      </c>
      <c r="K1593" s="15">
        <v>0</v>
      </c>
      <c r="L1593" s="15">
        <v>0</v>
      </c>
      <c r="M1593" s="15">
        <v>0</v>
      </c>
      <c r="N1593" s="15" t="str">
        <v/>
      </c>
      <c r="O1593" s="15" t="str">
        <v/>
      </c>
      <c r="P1593" s="22">
        <v>0</v>
      </c>
      <c r="Q1593">
        <v>0</v>
      </c>
    </row>
    <row r="1594" spans="1:17">
      <c r="A1594" s="19">
        <v>0</v>
      </c>
      <c r="B1594" s="19">
        <v>0</v>
      </c>
      <c r="C1594" s="19">
        <v>0</v>
      </c>
      <c r="D1594" s="19">
        <v>0</v>
      </c>
      <c r="E1594" s="19">
        <v>0</v>
      </c>
      <c r="F1594" s="19">
        <v>0</v>
      </c>
      <c r="G1594" s="19">
        <v>0</v>
      </c>
      <c r="H1594" s="19">
        <v>0</v>
      </c>
      <c r="I1594" s="15">
        <v>3500</v>
      </c>
      <c r="J1594" s="15">
        <v>0</v>
      </c>
      <c r="K1594" s="15">
        <v>0</v>
      </c>
      <c r="L1594" s="15">
        <v>0</v>
      </c>
      <c r="M1594" s="15">
        <v>0</v>
      </c>
      <c r="N1594" s="15" t="str">
        <v/>
      </c>
      <c r="O1594" s="15" t="str">
        <v/>
      </c>
      <c r="P1594" s="22">
        <v>0</v>
      </c>
      <c r="Q1594">
        <v>0</v>
      </c>
    </row>
    <row r="1595" spans="1:17">
      <c r="A1595" s="19">
        <v>0</v>
      </c>
      <c r="B1595" s="19">
        <v>0</v>
      </c>
      <c r="C1595" s="19">
        <v>0</v>
      </c>
      <c r="D1595" s="19">
        <v>0</v>
      </c>
      <c r="E1595" s="19">
        <v>0</v>
      </c>
      <c r="F1595" s="19">
        <v>0</v>
      </c>
      <c r="G1595" s="19">
        <v>0</v>
      </c>
      <c r="H1595" s="19">
        <v>0</v>
      </c>
      <c r="I1595" s="15">
        <v>3500</v>
      </c>
      <c r="J1595" s="15">
        <v>0</v>
      </c>
      <c r="K1595" s="15">
        <v>0</v>
      </c>
      <c r="L1595" s="15">
        <v>0</v>
      </c>
      <c r="M1595" s="15">
        <v>0</v>
      </c>
      <c r="N1595" s="15" t="str">
        <v/>
      </c>
      <c r="O1595" s="15" t="str">
        <v/>
      </c>
      <c r="P1595" s="22">
        <v>0</v>
      </c>
      <c r="Q1595">
        <v>0</v>
      </c>
    </row>
    <row r="1596" spans="1:17">
      <c r="A1596" s="19">
        <v>0</v>
      </c>
      <c r="B1596" s="19">
        <v>0</v>
      </c>
      <c r="C1596" s="19">
        <v>0</v>
      </c>
      <c r="D1596" s="19">
        <v>0</v>
      </c>
      <c r="E1596" s="19">
        <v>0</v>
      </c>
      <c r="F1596" s="19">
        <v>0</v>
      </c>
      <c r="G1596" s="19">
        <v>0</v>
      </c>
      <c r="H1596" s="19">
        <v>0</v>
      </c>
      <c r="I1596" s="15">
        <v>3500</v>
      </c>
      <c r="J1596" s="15">
        <v>0</v>
      </c>
      <c r="K1596" s="15">
        <v>0</v>
      </c>
      <c r="L1596" s="15">
        <v>0</v>
      </c>
      <c r="M1596" s="15">
        <v>0</v>
      </c>
      <c r="N1596" s="15" t="str">
        <v/>
      </c>
      <c r="O1596" s="15" t="str">
        <v/>
      </c>
      <c r="P1596" s="22">
        <v>0</v>
      </c>
      <c r="Q1596">
        <v>0</v>
      </c>
    </row>
    <row r="1597" spans="1:17">
      <c r="A1597" s="19">
        <v>0</v>
      </c>
      <c r="B1597" s="19">
        <v>0</v>
      </c>
      <c r="C1597" s="19">
        <v>0</v>
      </c>
      <c r="D1597" s="19">
        <v>0</v>
      </c>
      <c r="E1597" s="19">
        <v>0</v>
      </c>
      <c r="F1597" s="19">
        <v>0</v>
      </c>
      <c r="G1597" s="19">
        <v>0</v>
      </c>
      <c r="H1597" s="19">
        <v>0</v>
      </c>
      <c r="I1597" s="15">
        <v>3500</v>
      </c>
      <c r="J1597" s="15">
        <v>0</v>
      </c>
      <c r="K1597" s="15">
        <v>0</v>
      </c>
      <c r="L1597" s="15">
        <v>0</v>
      </c>
      <c r="M1597" s="15">
        <v>0</v>
      </c>
      <c r="N1597" s="15" t="str">
        <v/>
      </c>
      <c r="O1597" s="15" t="str">
        <v/>
      </c>
      <c r="P1597" s="22">
        <v>0</v>
      </c>
      <c r="Q1597">
        <v>0</v>
      </c>
    </row>
    <row r="1598" spans="1:17">
      <c r="A1598" s="19">
        <v>0</v>
      </c>
      <c r="B1598" s="19">
        <v>0</v>
      </c>
      <c r="C1598" s="19">
        <v>0</v>
      </c>
      <c r="D1598" s="19">
        <v>0</v>
      </c>
      <c r="E1598" s="19">
        <v>0</v>
      </c>
      <c r="F1598" s="19">
        <v>0</v>
      </c>
      <c r="G1598" s="19">
        <v>0</v>
      </c>
      <c r="H1598" s="19">
        <v>0</v>
      </c>
      <c r="I1598" s="15">
        <v>3500</v>
      </c>
      <c r="J1598" s="15">
        <v>0</v>
      </c>
      <c r="K1598" s="15">
        <v>0</v>
      </c>
      <c r="L1598" s="15">
        <v>0</v>
      </c>
      <c r="M1598" s="15">
        <v>0</v>
      </c>
      <c r="N1598" s="15" t="str">
        <v/>
      </c>
      <c r="O1598" s="15" t="str">
        <v/>
      </c>
      <c r="P1598" s="22">
        <v>0</v>
      </c>
      <c r="Q1598">
        <v>0</v>
      </c>
    </row>
    <row r="1599" spans="1:17">
      <c r="A1599" s="19">
        <v>0</v>
      </c>
      <c r="B1599" s="19">
        <v>0</v>
      </c>
      <c r="C1599" s="19">
        <v>0</v>
      </c>
      <c r="D1599" s="19">
        <v>0</v>
      </c>
      <c r="E1599" s="19">
        <v>0</v>
      </c>
      <c r="F1599" s="19">
        <v>0</v>
      </c>
      <c r="G1599" s="19">
        <v>0</v>
      </c>
      <c r="H1599" s="19">
        <v>0</v>
      </c>
      <c r="I1599" s="15">
        <v>3500</v>
      </c>
      <c r="J1599" s="15">
        <v>0</v>
      </c>
      <c r="K1599" s="15">
        <v>0</v>
      </c>
      <c r="L1599" s="15">
        <v>0</v>
      </c>
      <c r="M1599" s="15">
        <v>0</v>
      </c>
      <c r="N1599" s="15" t="str">
        <v/>
      </c>
      <c r="O1599" s="15" t="str">
        <v/>
      </c>
      <c r="P1599" s="22">
        <v>0</v>
      </c>
      <c r="Q1599">
        <v>0</v>
      </c>
    </row>
    <row r="1600" spans="1:17">
      <c r="A1600" s="19">
        <v>0</v>
      </c>
      <c r="B1600" s="19">
        <v>0</v>
      </c>
      <c r="C1600" s="19">
        <v>0</v>
      </c>
      <c r="D1600" s="19">
        <v>0</v>
      </c>
      <c r="E1600" s="19">
        <v>0</v>
      </c>
      <c r="F1600" s="19">
        <v>0</v>
      </c>
      <c r="G1600" s="19">
        <v>0</v>
      </c>
      <c r="H1600" s="19">
        <v>0</v>
      </c>
      <c r="I1600" s="15">
        <v>3500</v>
      </c>
      <c r="J1600" s="15">
        <v>0</v>
      </c>
      <c r="K1600" s="15">
        <v>0</v>
      </c>
      <c r="L1600" s="15">
        <v>0</v>
      </c>
      <c r="M1600" s="15">
        <v>0</v>
      </c>
      <c r="N1600" s="15" t="str">
        <v/>
      </c>
      <c r="O1600" s="15" t="str">
        <v/>
      </c>
      <c r="P1600" s="22">
        <v>0</v>
      </c>
      <c r="Q1600">
        <v>0</v>
      </c>
    </row>
    <row r="1601" spans="1:17">
      <c r="A1601" s="19">
        <v>0</v>
      </c>
      <c r="B1601" s="19">
        <v>0</v>
      </c>
      <c r="C1601" s="19">
        <v>0</v>
      </c>
      <c r="D1601" s="19">
        <v>0</v>
      </c>
      <c r="E1601" s="19">
        <v>0</v>
      </c>
      <c r="F1601" s="19">
        <v>0</v>
      </c>
      <c r="G1601" s="19">
        <v>0</v>
      </c>
      <c r="H1601" s="19">
        <v>0</v>
      </c>
      <c r="I1601" s="15">
        <v>3500</v>
      </c>
      <c r="J1601" s="15">
        <v>0</v>
      </c>
      <c r="K1601" s="15">
        <v>0</v>
      </c>
      <c r="L1601" s="15">
        <v>0</v>
      </c>
      <c r="M1601" s="15">
        <v>0</v>
      </c>
      <c r="N1601" s="15" t="str">
        <v/>
      </c>
      <c r="O1601" s="15" t="str">
        <v/>
      </c>
      <c r="P1601" s="22">
        <v>0</v>
      </c>
      <c r="Q1601">
        <v>0</v>
      </c>
    </row>
    <row r="1602" spans="1:17">
      <c r="A1602" s="19">
        <v>0</v>
      </c>
      <c r="B1602" s="19">
        <v>0</v>
      </c>
      <c r="C1602" s="19">
        <v>0</v>
      </c>
      <c r="D1602" s="19">
        <v>0</v>
      </c>
      <c r="E1602" s="19">
        <v>0</v>
      </c>
      <c r="F1602" s="19">
        <v>0</v>
      </c>
      <c r="G1602" s="19">
        <v>0</v>
      </c>
      <c r="H1602" s="19">
        <v>0</v>
      </c>
      <c r="I1602" s="15">
        <v>3500</v>
      </c>
      <c r="J1602" s="15">
        <v>0</v>
      </c>
      <c r="K1602" s="15">
        <v>0</v>
      </c>
      <c r="L1602" s="15">
        <v>0</v>
      </c>
      <c r="M1602" s="15">
        <v>0</v>
      </c>
      <c r="N1602" s="15" t="str">
        <v/>
      </c>
      <c r="O1602" s="15" t="str">
        <v/>
      </c>
      <c r="P1602" s="22">
        <v>0</v>
      </c>
      <c r="Q1602">
        <v>0</v>
      </c>
    </row>
    <row r="1603" spans="1:17">
      <c r="A1603" s="19">
        <v>0</v>
      </c>
      <c r="B1603" s="19">
        <v>0</v>
      </c>
      <c r="C1603" s="19">
        <v>0</v>
      </c>
      <c r="D1603" s="19">
        <v>0</v>
      </c>
      <c r="E1603" s="19">
        <v>0</v>
      </c>
      <c r="F1603" s="19">
        <v>0</v>
      </c>
      <c r="G1603" s="19">
        <v>0</v>
      </c>
      <c r="H1603" s="19">
        <v>0</v>
      </c>
      <c r="I1603" s="15">
        <v>3500</v>
      </c>
      <c r="J1603" s="15">
        <v>0</v>
      </c>
      <c r="K1603" s="15">
        <v>0</v>
      </c>
      <c r="L1603" s="15">
        <v>0</v>
      </c>
      <c r="M1603" s="15">
        <v>0</v>
      </c>
      <c r="N1603" s="15" t="str">
        <v/>
      </c>
      <c r="O1603" s="15" t="str">
        <v/>
      </c>
      <c r="P1603" s="22">
        <v>0</v>
      </c>
      <c r="Q1603">
        <v>0</v>
      </c>
    </row>
    <row r="1604" spans="1:17">
      <c r="A1604" s="19">
        <v>0</v>
      </c>
      <c r="B1604" s="19">
        <v>0</v>
      </c>
      <c r="C1604" s="19">
        <v>0</v>
      </c>
      <c r="D1604" s="19">
        <v>0</v>
      </c>
      <c r="E1604" s="19">
        <v>0</v>
      </c>
      <c r="F1604" s="19">
        <v>0</v>
      </c>
      <c r="G1604" s="19">
        <v>0</v>
      </c>
      <c r="H1604" s="19">
        <v>0</v>
      </c>
      <c r="I1604" s="15">
        <v>3500</v>
      </c>
      <c r="J1604" s="15">
        <v>0</v>
      </c>
      <c r="K1604" s="15">
        <v>0</v>
      </c>
      <c r="L1604" s="15">
        <v>0</v>
      </c>
      <c r="M1604" s="15">
        <v>0</v>
      </c>
      <c r="N1604" s="15" t="str">
        <v/>
      </c>
      <c r="O1604" s="15" t="str">
        <v/>
      </c>
      <c r="P1604" s="22">
        <v>0</v>
      </c>
      <c r="Q1604">
        <v>0</v>
      </c>
    </row>
    <row r="1605" spans="1:17">
      <c r="A1605" s="19">
        <v>0</v>
      </c>
      <c r="B1605" s="19">
        <v>0</v>
      </c>
      <c r="C1605" s="19">
        <v>0</v>
      </c>
      <c r="D1605" s="19">
        <v>0</v>
      </c>
      <c r="E1605" s="19">
        <v>0</v>
      </c>
      <c r="F1605" s="19">
        <v>0</v>
      </c>
      <c r="G1605" s="19">
        <v>0</v>
      </c>
      <c r="H1605" s="19">
        <v>0</v>
      </c>
      <c r="I1605" s="15">
        <v>3500</v>
      </c>
      <c r="J1605" s="15">
        <v>0</v>
      </c>
      <c r="K1605" s="15">
        <v>0</v>
      </c>
      <c r="L1605" s="15">
        <v>0</v>
      </c>
      <c r="M1605" s="15">
        <v>0</v>
      </c>
      <c r="N1605" s="15" t="str">
        <v/>
      </c>
      <c r="O1605" s="15" t="str">
        <v/>
      </c>
      <c r="P1605" s="22">
        <v>0</v>
      </c>
      <c r="Q1605">
        <v>0</v>
      </c>
    </row>
    <row r="1606" spans="1:17">
      <c r="A1606" s="19">
        <v>0</v>
      </c>
      <c r="B1606" s="19">
        <v>0</v>
      </c>
      <c r="C1606" s="19">
        <v>0</v>
      </c>
      <c r="D1606" s="19">
        <v>0</v>
      </c>
      <c r="E1606" s="19">
        <v>0</v>
      </c>
      <c r="F1606" s="19">
        <v>0</v>
      </c>
      <c r="G1606" s="19">
        <v>0</v>
      </c>
      <c r="H1606" s="19">
        <v>0</v>
      </c>
      <c r="I1606" s="15">
        <v>3500</v>
      </c>
      <c r="J1606" s="15">
        <v>0</v>
      </c>
      <c r="K1606" s="15">
        <v>0</v>
      </c>
      <c r="L1606" s="15">
        <v>0</v>
      </c>
      <c r="M1606" s="15">
        <v>0</v>
      </c>
      <c r="N1606" s="15" t="str">
        <v/>
      </c>
      <c r="O1606" s="15" t="str">
        <v/>
      </c>
      <c r="P1606" s="22">
        <v>0</v>
      </c>
      <c r="Q1606">
        <v>0</v>
      </c>
    </row>
    <row r="1607" spans="1:17">
      <c r="A1607" s="19">
        <v>0</v>
      </c>
      <c r="B1607" s="19">
        <v>0</v>
      </c>
      <c r="C1607" s="19">
        <v>0</v>
      </c>
      <c r="D1607" s="19">
        <v>0</v>
      </c>
      <c r="E1607" s="19">
        <v>0</v>
      </c>
      <c r="F1607" s="19">
        <v>0</v>
      </c>
      <c r="G1607" s="19">
        <v>0</v>
      </c>
      <c r="H1607" s="19">
        <v>0</v>
      </c>
      <c r="I1607" s="15">
        <v>3500</v>
      </c>
      <c r="J1607" s="15">
        <v>0</v>
      </c>
      <c r="K1607" s="15">
        <v>0</v>
      </c>
      <c r="L1607" s="15">
        <v>0</v>
      </c>
      <c r="M1607" s="15">
        <v>0</v>
      </c>
      <c r="N1607" s="15" t="str">
        <v/>
      </c>
      <c r="O1607" s="15" t="str">
        <v/>
      </c>
      <c r="P1607" s="22">
        <v>0</v>
      </c>
      <c r="Q1607">
        <v>0</v>
      </c>
    </row>
    <row r="1608" spans="1:17">
      <c r="A1608" s="19">
        <v>0</v>
      </c>
      <c r="B1608" s="19">
        <v>0</v>
      </c>
      <c r="C1608" s="19">
        <v>0</v>
      </c>
      <c r="D1608" s="19">
        <v>0</v>
      </c>
      <c r="E1608" s="19">
        <v>0</v>
      </c>
      <c r="F1608" s="19">
        <v>0</v>
      </c>
      <c r="G1608" s="19">
        <v>0</v>
      </c>
      <c r="H1608" s="19">
        <v>0</v>
      </c>
      <c r="I1608" s="15">
        <v>3500</v>
      </c>
      <c r="J1608" s="15">
        <v>0</v>
      </c>
      <c r="K1608" s="15">
        <v>0</v>
      </c>
      <c r="L1608" s="15">
        <v>0</v>
      </c>
      <c r="M1608" s="15">
        <v>0</v>
      </c>
      <c r="N1608" s="15" t="str">
        <v/>
      </c>
      <c r="O1608" s="15" t="str">
        <v/>
      </c>
      <c r="P1608" s="22">
        <v>0</v>
      </c>
      <c r="Q1608">
        <v>0</v>
      </c>
    </row>
    <row r="1609" spans="1:17">
      <c r="A1609" s="19">
        <v>0</v>
      </c>
      <c r="B1609" s="19">
        <v>0</v>
      </c>
      <c r="C1609" s="19">
        <v>0</v>
      </c>
      <c r="D1609" s="19">
        <v>0</v>
      </c>
      <c r="E1609" s="19">
        <v>0</v>
      </c>
      <c r="F1609" s="19">
        <v>0</v>
      </c>
      <c r="G1609" s="19">
        <v>0</v>
      </c>
      <c r="H1609" s="19">
        <v>0</v>
      </c>
      <c r="I1609" s="15">
        <v>3500</v>
      </c>
      <c r="J1609" s="15">
        <v>0</v>
      </c>
      <c r="K1609" s="15">
        <v>0</v>
      </c>
      <c r="L1609" s="15">
        <v>0</v>
      </c>
      <c r="M1609" s="15">
        <v>0</v>
      </c>
      <c r="N1609" s="15" t="str">
        <v/>
      </c>
      <c r="O1609" s="15" t="str">
        <v/>
      </c>
      <c r="P1609" s="22">
        <v>0</v>
      </c>
      <c r="Q1609">
        <v>0</v>
      </c>
    </row>
    <row r="1610" spans="1:17">
      <c r="A1610" s="19">
        <v>0</v>
      </c>
      <c r="B1610" s="19">
        <v>0</v>
      </c>
      <c r="C1610" s="19">
        <v>0</v>
      </c>
      <c r="D1610" s="19">
        <v>0</v>
      </c>
      <c r="E1610" s="19">
        <v>0</v>
      </c>
      <c r="F1610" s="19">
        <v>0</v>
      </c>
      <c r="G1610" s="19">
        <v>0</v>
      </c>
      <c r="H1610" s="19">
        <v>0</v>
      </c>
      <c r="I1610" s="15">
        <v>3500</v>
      </c>
      <c r="J1610" s="15">
        <v>0</v>
      </c>
      <c r="K1610" s="15">
        <v>0</v>
      </c>
      <c r="L1610" s="15">
        <v>0</v>
      </c>
      <c r="M1610" s="15">
        <v>0</v>
      </c>
      <c r="N1610" s="15" t="str">
        <v/>
      </c>
      <c r="O1610" s="15" t="str">
        <v/>
      </c>
      <c r="P1610" s="22">
        <v>0</v>
      </c>
      <c r="Q1610">
        <v>0</v>
      </c>
    </row>
    <row r="1611" spans="1:17">
      <c r="A1611" s="19">
        <v>0</v>
      </c>
      <c r="B1611" s="19">
        <v>0</v>
      </c>
      <c r="C1611" s="19">
        <v>0</v>
      </c>
      <c r="D1611" s="19">
        <v>0</v>
      </c>
      <c r="E1611" s="19">
        <v>0</v>
      </c>
      <c r="F1611" s="19">
        <v>0</v>
      </c>
      <c r="G1611" s="19">
        <v>0</v>
      </c>
      <c r="H1611" s="19">
        <v>0</v>
      </c>
      <c r="I1611" s="15">
        <v>3500</v>
      </c>
      <c r="J1611" s="15">
        <v>0</v>
      </c>
      <c r="K1611" s="15">
        <v>0</v>
      </c>
      <c r="L1611" s="15">
        <v>0</v>
      </c>
      <c r="M1611" s="15">
        <v>0</v>
      </c>
      <c r="N1611" s="15" t="str">
        <v/>
      </c>
      <c r="O1611" s="15" t="str">
        <v/>
      </c>
      <c r="P1611" s="22">
        <v>0</v>
      </c>
      <c r="Q1611">
        <v>0</v>
      </c>
    </row>
    <row r="1612" spans="1:17">
      <c r="A1612" s="19">
        <v>0</v>
      </c>
      <c r="B1612" s="19">
        <v>0</v>
      </c>
      <c r="C1612" s="19">
        <v>0</v>
      </c>
      <c r="D1612" s="19">
        <v>0</v>
      </c>
      <c r="E1612" s="19">
        <v>0</v>
      </c>
      <c r="F1612" s="19">
        <v>0</v>
      </c>
      <c r="G1612" s="19">
        <v>0</v>
      </c>
      <c r="H1612" s="19">
        <v>0</v>
      </c>
      <c r="I1612" s="15">
        <v>3500</v>
      </c>
      <c r="J1612" s="15">
        <v>0</v>
      </c>
      <c r="K1612" s="15">
        <v>0</v>
      </c>
      <c r="L1612" s="15">
        <v>0</v>
      </c>
      <c r="M1612" s="15">
        <v>0</v>
      </c>
      <c r="N1612" s="15" t="str">
        <v/>
      </c>
      <c r="O1612" s="15" t="str">
        <v/>
      </c>
      <c r="P1612" s="22">
        <v>0</v>
      </c>
      <c r="Q1612">
        <v>0</v>
      </c>
    </row>
    <row r="1613" spans="1:17">
      <c r="A1613" s="19">
        <v>0</v>
      </c>
      <c r="B1613" s="19">
        <v>0</v>
      </c>
      <c r="C1613" s="19">
        <v>0</v>
      </c>
      <c r="D1613" s="19">
        <v>0</v>
      </c>
      <c r="E1613" s="19">
        <v>0</v>
      </c>
      <c r="F1613" s="19">
        <v>0</v>
      </c>
      <c r="G1613" s="19">
        <v>0</v>
      </c>
      <c r="H1613" s="19">
        <v>0</v>
      </c>
      <c r="I1613" s="15">
        <v>3500</v>
      </c>
      <c r="J1613" s="15">
        <v>0</v>
      </c>
      <c r="K1613" s="15">
        <v>0</v>
      </c>
      <c r="L1613" s="15">
        <v>0</v>
      </c>
      <c r="M1613" s="15">
        <v>0</v>
      </c>
      <c r="N1613" s="15" t="str">
        <v/>
      </c>
      <c r="O1613" s="15" t="str">
        <v/>
      </c>
      <c r="P1613" s="22">
        <v>0</v>
      </c>
      <c r="Q1613">
        <v>0</v>
      </c>
    </row>
    <row r="1614" spans="1:17">
      <c r="A1614" s="19">
        <v>0</v>
      </c>
      <c r="B1614" s="19">
        <v>0</v>
      </c>
      <c r="C1614" s="19">
        <v>0</v>
      </c>
      <c r="D1614" s="19">
        <v>0</v>
      </c>
      <c r="E1614" s="19">
        <v>0</v>
      </c>
      <c r="F1614" s="19">
        <v>0</v>
      </c>
      <c r="G1614" s="19">
        <v>0</v>
      </c>
      <c r="H1614" s="19">
        <v>0</v>
      </c>
      <c r="I1614" s="15">
        <v>3500</v>
      </c>
      <c r="J1614" s="15">
        <v>0</v>
      </c>
      <c r="K1614" s="15">
        <v>0</v>
      </c>
      <c r="L1614" s="15">
        <v>0</v>
      </c>
      <c r="M1614" s="15">
        <v>0</v>
      </c>
      <c r="N1614" s="15" t="str">
        <v/>
      </c>
      <c r="O1614" s="15" t="str">
        <v/>
      </c>
      <c r="P1614" s="22">
        <v>0</v>
      </c>
      <c r="Q1614">
        <v>0</v>
      </c>
    </row>
    <row r="1615" spans="1:17">
      <c r="A1615" s="19">
        <v>0</v>
      </c>
      <c r="B1615" s="19">
        <v>0</v>
      </c>
      <c r="C1615" s="19">
        <v>0</v>
      </c>
      <c r="D1615" s="19">
        <v>0</v>
      </c>
      <c r="E1615" s="19">
        <v>0</v>
      </c>
      <c r="F1615" s="19">
        <v>0</v>
      </c>
      <c r="G1615" s="19">
        <v>0</v>
      </c>
      <c r="H1615" s="19">
        <v>0</v>
      </c>
      <c r="I1615" s="15">
        <v>3500</v>
      </c>
      <c r="J1615" s="15">
        <v>0</v>
      </c>
      <c r="K1615" s="15">
        <v>0</v>
      </c>
      <c r="L1615" s="15">
        <v>0</v>
      </c>
      <c r="M1615" s="15">
        <v>0</v>
      </c>
      <c r="N1615" s="15" t="str">
        <v/>
      </c>
      <c r="O1615" s="15" t="str">
        <v/>
      </c>
      <c r="P1615" s="22">
        <v>0</v>
      </c>
      <c r="Q1615">
        <v>0</v>
      </c>
    </row>
    <row r="1616" spans="1:17">
      <c r="A1616" s="19">
        <v>0</v>
      </c>
      <c r="B1616" s="19">
        <v>0</v>
      </c>
      <c r="C1616" s="19">
        <v>0</v>
      </c>
      <c r="D1616" s="19">
        <v>0</v>
      </c>
      <c r="E1616" s="19">
        <v>0</v>
      </c>
      <c r="F1616" s="19">
        <v>0</v>
      </c>
      <c r="G1616" s="19">
        <v>0</v>
      </c>
      <c r="H1616" s="19">
        <v>0</v>
      </c>
      <c r="I1616" s="15">
        <v>3500</v>
      </c>
      <c r="J1616" s="15">
        <v>0</v>
      </c>
      <c r="K1616" s="15">
        <v>0</v>
      </c>
      <c r="L1616" s="15">
        <v>0</v>
      </c>
      <c r="M1616" s="15">
        <v>0</v>
      </c>
      <c r="N1616" s="15" t="str">
        <v/>
      </c>
      <c r="O1616" s="15" t="str">
        <v/>
      </c>
      <c r="P1616" s="22">
        <v>0</v>
      </c>
      <c r="Q1616">
        <v>0</v>
      </c>
    </row>
    <row r="1617" spans="1:17">
      <c r="A1617" s="19">
        <v>0</v>
      </c>
      <c r="B1617" s="19">
        <v>0</v>
      </c>
      <c r="C1617" s="19">
        <v>0</v>
      </c>
      <c r="D1617" s="19">
        <v>0</v>
      </c>
      <c r="E1617" s="19">
        <v>0</v>
      </c>
      <c r="F1617" s="19">
        <v>0</v>
      </c>
      <c r="G1617" s="19">
        <v>0</v>
      </c>
      <c r="H1617" s="19">
        <v>0</v>
      </c>
      <c r="I1617" s="15">
        <v>3500</v>
      </c>
      <c r="J1617" s="15">
        <v>0</v>
      </c>
      <c r="K1617" s="15">
        <v>0</v>
      </c>
      <c r="L1617" s="15">
        <v>0</v>
      </c>
      <c r="M1617" s="15">
        <v>0</v>
      </c>
      <c r="N1617" s="15" t="str">
        <v/>
      </c>
      <c r="O1617" s="15" t="str">
        <v/>
      </c>
      <c r="P1617" s="22">
        <v>0</v>
      </c>
      <c r="Q1617">
        <v>0</v>
      </c>
    </row>
    <row r="1618" spans="1:17">
      <c r="A1618" s="19">
        <v>0</v>
      </c>
      <c r="B1618" s="19">
        <v>0</v>
      </c>
      <c r="C1618" s="19">
        <v>0</v>
      </c>
      <c r="D1618" s="19">
        <v>0</v>
      </c>
      <c r="E1618" s="19">
        <v>0</v>
      </c>
      <c r="F1618" s="19">
        <v>0</v>
      </c>
      <c r="G1618" s="19">
        <v>0</v>
      </c>
      <c r="H1618" s="19">
        <v>0</v>
      </c>
      <c r="I1618" s="15">
        <v>3500</v>
      </c>
      <c r="J1618" s="15">
        <v>0</v>
      </c>
      <c r="K1618" s="15">
        <v>0</v>
      </c>
      <c r="L1618" s="15">
        <v>0</v>
      </c>
      <c r="M1618" s="15">
        <v>0</v>
      </c>
      <c r="N1618" s="15" t="str">
        <v/>
      </c>
      <c r="O1618" s="15" t="str">
        <v/>
      </c>
      <c r="P1618" s="22">
        <v>0</v>
      </c>
      <c r="Q1618">
        <v>0</v>
      </c>
    </row>
    <row r="1619" spans="1:17">
      <c r="A1619" s="19">
        <v>0</v>
      </c>
      <c r="B1619" s="19">
        <v>0</v>
      </c>
      <c r="C1619" s="19">
        <v>0</v>
      </c>
      <c r="D1619" s="19">
        <v>0</v>
      </c>
      <c r="E1619" s="19">
        <v>0</v>
      </c>
      <c r="F1619" s="19">
        <v>0</v>
      </c>
      <c r="G1619" s="19">
        <v>0</v>
      </c>
      <c r="H1619" s="19">
        <v>0</v>
      </c>
      <c r="I1619" s="15">
        <v>3500</v>
      </c>
      <c r="J1619" s="15">
        <v>0</v>
      </c>
      <c r="K1619" s="15">
        <v>0</v>
      </c>
      <c r="L1619" s="15">
        <v>0</v>
      </c>
      <c r="M1619" s="15">
        <v>0</v>
      </c>
      <c r="N1619" s="15" t="str">
        <v/>
      </c>
      <c r="O1619" s="15" t="str">
        <v/>
      </c>
      <c r="P1619" s="22">
        <v>0</v>
      </c>
      <c r="Q1619">
        <v>0</v>
      </c>
    </row>
    <row r="1620" spans="1:17">
      <c r="A1620" s="19">
        <v>0</v>
      </c>
      <c r="B1620" s="19">
        <v>0</v>
      </c>
      <c r="C1620" s="19">
        <v>0</v>
      </c>
      <c r="D1620" s="19">
        <v>0</v>
      </c>
      <c r="E1620" s="19">
        <v>0</v>
      </c>
      <c r="F1620" s="19">
        <v>0</v>
      </c>
      <c r="G1620" s="19">
        <v>0</v>
      </c>
      <c r="H1620" s="19">
        <v>0</v>
      </c>
      <c r="I1620" s="15">
        <v>3500</v>
      </c>
      <c r="J1620" s="15">
        <v>0</v>
      </c>
      <c r="K1620" s="15">
        <v>0</v>
      </c>
      <c r="L1620" s="15">
        <v>0</v>
      </c>
      <c r="M1620" s="15">
        <v>0</v>
      </c>
      <c r="N1620" s="15" t="str">
        <v/>
      </c>
      <c r="O1620" s="15" t="str">
        <v/>
      </c>
      <c r="P1620" s="22">
        <v>0</v>
      </c>
      <c r="Q1620">
        <v>0</v>
      </c>
    </row>
    <row r="1621" spans="1:17">
      <c r="A1621" s="19">
        <v>0</v>
      </c>
      <c r="B1621" s="19">
        <v>0</v>
      </c>
      <c r="C1621" s="19">
        <v>0</v>
      </c>
      <c r="D1621" s="19">
        <v>0</v>
      </c>
      <c r="E1621" s="19">
        <v>0</v>
      </c>
      <c r="F1621" s="19">
        <v>0</v>
      </c>
      <c r="G1621" s="19">
        <v>0</v>
      </c>
      <c r="H1621" s="19">
        <v>0</v>
      </c>
      <c r="I1621" s="15">
        <v>3500</v>
      </c>
      <c r="J1621" s="15">
        <v>0</v>
      </c>
      <c r="K1621" s="15">
        <v>0</v>
      </c>
      <c r="L1621" s="15">
        <v>0</v>
      </c>
      <c r="M1621" s="15">
        <v>0</v>
      </c>
      <c r="N1621" s="15" t="str">
        <v/>
      </c>
      <c r="O1621" s="15" t="str">
        <v/>
      </c>
      <c r="P1621" s="22">
        <v>0</v>
      </c>
      <c r="Q1621">
        <v>0</v>
      </c>
    </row>
    <row r="1622" spans="1:17">
      <c r="A1622" s="19">
        <v>0</v>
      </c>
      <c r="B1622" s="19">
        <v>0</v>
      </c>
      <c r="C1622" s="19">
        <v>0</v>
      </c>
      <c r="D1622" s="19">
        <v>0</v>
      </c>
      <c r="E1622" s="19">
        <v>0</v>
      </c>
      <c r="F1622" s="19">
        <v>0</v>
      </c>
      <c r="G1622" s="19">
        <v>0</v>
      </c>
      <c r="H1622" s="19">
        <v>0</v>
      </c>
      <c r="I1622" s="15">
        <v>3500</v>
      </c>
      <c r="J1622" s="15">
        <v>0</v>
      </c>
      <c r="K1622" s="15">
        <v>0</v>
      </c>
      <c r="L1622" s="15">
        <v>0</v>
      </c>
      <c r="M1622" s="15">
        <v>0</v>
      </c>
      <c r="N1622" s="15" t="str">
        <v/>
      </c>
      <c r="O1622" s="15" t="str">
        <v/>
      </c>
      <c r="P1622" s="22">
        <v>0</v>
      </c>
      <c r="Q1622">
        <v>0</v>
      </c>
    </row>
    <row r="1623" spans="1:17">
      <c r="A1623" s="19">
        <v>0</v>
      </c>
      <c r="B1623" s="19">
        <v>0</v>
      </c>
      <c r="C1623" s="19">
        <v>0</v>
      </c>
      <c r="D1623" s="19">
        <v>0</v>
      </c>
      <c r="E1623" s="19">
        <v>0</v>
      </c>
      <c r="F1623" s="19">
        <v>0</v>
      </c>
      <c r="G1623" s="19">
        <v>0</v>
      </c>
      <c r="H1623" s="19">
        <v>0</v>
      </c>
      <c r="I1623" s="15">
        <v>3500</v>
      </c>
      <c r="J1623" s="15">
        <v>0</v>
      </c>
      <c r="K1623" s="15">
        <v>0</v>
      </c>
      <c r="L1623" s="15">
        <v>0</v>
      </c>
      <c r="M1623" s="15">
        <v>0</v>
      </c>
      <c r="N1623" s="15" t="str">
        <v/>
      </c>
      <c r="O1623" s="15" t="str">
        <v/>
      </c>
      <c r="P1623" s="22">
        <v>0</v>
      </c>
      <c r="Q1623">
        <v>0</v>
      </c>
    </row>
    <row r="1624" spans="1:17">
      <c r="A1624" s="19">
        <v>0</v>
      </c>
      <c r="B1624" s="19">
        <v>0</v>
      </c>
      <c r="C1624" s="19">
        <v>0</v>
      </c>
      <c r="D1624" s="19">
        <v>0</v>
      </c>
      <c r="E1624" s="19">
        <v>0</v>
      </c>
      <c r="F1624" s="19">
        <v>0</v>
      </c>
      <c r="G1624" s="19">
        <v>0</v>
      </c>
      <c r="H1624" s="19">
        <v>0</v>
      </c>
      <c r="I1624" s="15">
        <v>3500</v>
      </c>
      <c r="J1624" s="15">
        <v>0</v>
      </c>
      <c r="K1624" s="15">
        <v>0</v>
      </c>
      <c r="L1624" s="15">
        <v>0</v>
      </c>
      <c r="M1624" s="15">
        <v>0</v>
      </c>
      <c r="N1624" s="15" t="str">
        <v/>
      </c>
      <c r="O1624" s="15" t="str">
        <v/>
      </c>
      <c r="P1624" s="22">
        <v>0</v>
      </c>
      <c r="Q1624">
        <v>0</v>
      </c>
    </row>
    <row r="1625" spans="1:17">
      <c r="A1625" s="19">
        <v>0</v>
      </c>
      <c r="B1625" s="19">
        <v>0</v>
      </c>
      <c r="C1625" s="19">
        <v>0</v>
      </c>
      <c r="D1625" s="19">
        <v>0</v>
      </c>
      <c r="E1625" s="19">
        <v>0</v>
      </c>
      <c r="F1625" s="19">
        <v>0</v>
      </c>
      <c r="G1625" s="19">
        <v>0</v>
      </c>
      <c r="H1625" s="19">
        <v>0</v>
      </c>
      <c r="I1625" s="15">
        <v>3500</v>
      </c>
      <c r="J1625" s="15">
        <v>0</v>
      </c>
      <c r="K1625" s="15">
        <v>0</v>
      </c>
      <c r="L1625" s="15">
        <v>0</v>
      </c>
      <c r="M1625" s="15">
        <v>0</v>
      </c>
      <c r="N1625" s="15" t="str">
        <v/>
      </c>
      <c r="O1625" s="15" t="str">
        <v/>
      </c>
      <c r="P1625" s="22">
        <v>0</v>
      </c>
      <c r="Q1625">
        <v>0</v>
      </c>
    </row>
    <row r="1626" spans="1:17">
      <c r="A1626" s="19">
        <v>0</v>
      </c>
      <c r="B1626" s="19">
        <v>0</v>
      </c>
      <c r="C1626" s="19">
        <v>0</v>
      </c>
      <c r="D1626" s="19">
        <v>0</v>
      </c>
      <c r="E1626" s="19">
        <v>0</v>
      </c>
      <c r="F1626" s="19">
        <v>0</v>
      </c>
      <c r="G1626" s="19">
        <v>0</v>
      </c>
      <c r="H1626" s="19">
        <v>0</v>
      </c>
      <c r="I1626" s="15">
        <v>3500</v>
      </c>
      <c r="J1626" s="15">
        <v>0</v>
      </c>
      <c r="K1626" s="15">
        <v>0</v>
      </c>
      <c r="L1626" s="15">
        <v>0</v>
      </c>
      <c r="M1626" s="15">
        <v>0</v>
      </c>
      <c r="N1626" s="15" t="str">
        <v/>
      </c>
      <c r="O1626" s="15" t="str">
        <v/>
      </c>
      <c r="P1626" s="22">
        <v>0</v>
      </c>
      <c r="Q1626">
        <v>0</v>
      </c>
    </row>
    <row r="1627" spans="1:17">
      <c r="A1627" s="19">
        <v>0</v>
      </c>
      <c r="B1627" s="19">
        <v>0</v>
      </c>
      <c r="C1627" s="19">
        <v>0</v>
      </c>
      <c r="D1627" s="19">
        <v>0</v>
      </c>
      <c r="E1627" s="19">
        <v>0</v>
      </c>
      <c r="F1627" s="19">
        <v>0</v>
      </c>
      <c r="G1627" s="19">
        <v>0</v>
      </c>
      <c r="H1627" s="19">
        <v>0</v>
      </c>
      <c r="I1627" s="15">
        <v>3500</v>
      </c>
      <c r="J1627" s="15">
        <v>0</v>
      </c>
      <c r="K1627" s="15">
        <v>0</v>
      </c>
      <c r="L1627" s="15">
        <v>0</v>
      </c>
      <c r="M1627" s="15">
        <v>0</v>
      </c>
      <c r="N1627" s="15" t="str">
        <v/>
      </c>
      <c r="O1627" s="15" t="str">
        <v/>
      </c>
      <c r="P1627" s="22">
        <v>0</v>
      </c>
      <c r="Q1627">
        <v>0</v>
      </c>
    </row>
    <row r="1628" spans="1:17">
      <c r="A1628" s="19">
        <v>0</v>
      </c>
      <c r="B1628" s="19">
        <v>0</v>
      </c>
      <c r="C1628" s="19">
        <v>0</v>
      </c>
      <c r="D1628" s="19">
        <v>0</v>
      </c>
      <c r="E1628" s="19">
        <v>0</v>
      </c>
      <c r="F1628" s="19">
        <v>0</v>
      </c>
      <c r="G1628" s="19">
        <v>0</v>
      </c>
      <c r="H1628" s="19">
        <v>0</v>
      </c>
      <c r="I1628" s="15">
        <v>3500</v>
      </c>
      <c r="J1628" s="15">
        <v>0</v>
      </c>
      <c r="K1628" s="15">
        <v>0</v>
      </c>
      <c r="L1628" s="15">
        <v>0</v>
      </c>
      <c r="M1628" s="15">
        <v>0</v>
      </c>
      <c r="N1628" s="15" t="str">
        <v/>
      </c>
      <c r="O1628" s="15" t="str">
        <v/>
      </c>
      <c r="P1628" s="22">
        <v>0</v>
      </c>
      <c r="Q1628">
        <v>0</v>
      </c>
    </row>
    <row r="1629" spans="1:17">
      <c r="A1629" s="19">
        <v>0</v>
      </c>
      <c r="B1629" s="19">
        <v>0</v>
      </c>
      <c r="C1629" s="19">
        <v>0</v>
      </c>
      <c r="D1629" s="19">
        <v>0</v>
      </c>
      <c r="E1629" s="19">
        <v>0</v>
      </c>
      <c r="F1629" s="19">
        <v>0</v>
      </c>
      <c r="G1629" s="19">
        <v>0</v>
      </c>
      <c r="H1629" s="19">
        <v>0</v>
      </c>
      <c r="I1629" s="15">
        <v>3500</v>
      </c>
      <c r="J1629" s="15">
        <v>0</v>
      </c>
      <c r="K1629" s="15">
        <v>0</v>
      </c>
      <c r="L1629" s="15">
        <v>0</v>
      </c>
      <c r="M1629" s="15">
        <v>0</v>
      </c>
      <c r="N1629" s="15" t="str">
        <v/>
      </c>
      <c r="O1629" s="15" t="str">
        <v/>
      </c>
      <c r="P1629" s="22">
        <v>0</v>
      </c>
      <c r="Q1629">
        <v>0</v>
      </c>
    </row>
    <row r="1630" spans="1:17">
      <c r="A1630" s="19">
        <v>0</v>
      </c>
      <c r="B1630" s="19">
        <v>0</v>
      </c>
      <c r="C1630" s="19">
        <v>0</v>
      </c>
      <c r="D1630" s="19">
        <v>0</v>
      </c>
      <c r="E1630" s="19">
        <v>0</v>
      </c>
      <c r="F1630" s="19">
        <v>0</v>
      </c>
      <c r="G1630" s="19">
        <v>0</v>
      </c>
      <c r="H1630" s="19">
        <v>0</v>
      </c>
      <c r="I1630" s="15">
        <v>3500</v>
      </c>
      <c r="J1630" s="15">
        <v>0</v>
      </c>
      <c r="K1630" s="15">
        <v>0</v>
      </c>
      <c r="L1630" s="15">
        <v>0</v>
      </c>
      <c r="M1630" s="15">
        <v>0</v>
      </c>
      <c r="N1630" s="15" t="str">
        <v/>
      </c>
      <c r="O1630" s="15" t="str">
        <v/>
      </c>
      <c r="P1630" s="22">
        <v>0</v>
      </c>
      <c r="Q1630">
        <v>0</v>
      </c>
    </row>
    <row r="1631" spans="1:17">
      <c r="A1631" s="19">
        <v>0</v>
      </c>
      <c r="B1631" s="19">
        <v>0</v>
      </c>
      <c r="C1631" s="19">
        <v>0</v>
      </c>
      <c r="D1631" s="19">
        <v>0</v>
      </c>
      <c r="E1631" s="19">
        <v>0</v>
      </c>
      <c r="F1631" s="19">
        <v>0</v>
      </c>
      <c r="G1631" s="19">
        <v>0</v>
      </c>
      <c r="H1631" s="19">
        <v>0</v>
      </c>
      <c r="I1631" s="15">
        <v>3500</v>
      </c>
      <c r="J1631" s="15">
        <v>0</v>
      </c>
      <c r="K1631" s="15">
        <v>0</v>
      </c>
      <c r="L1631" s="15">
        <v>0</v>
      </c>
      <c r="M1631" s="15">
        <v>0</v>
      </c>
      <c r="N1631" s="15" t="str">
        <v/>
      </c>
      <c r="O1631" s="15" t="str">
        <v/>
      </c>
      <c r="P1631" s="22">
        <v>0</v>
      </c>
      <c r="Q1631">
        <v>0</v>
      </c>
    </row>
    <row r="1632" spans="1:17">
      <c r="A1632" s="19">
        <v>0</v>
      </c>
      <c r="B1632" s="19">
        <v>0</v>
      </c>
      <c r="C1632" s="19">
        <v>0</v>
      </c>
      <c r="D1632" s="19">
        <v>0</v>
      </c>
      <c r="E1632" s="19">
        <v>0</v>
      </c>
      <c r="F1632" s="19">
        <v>0</v>
      </c>
      <c r="G1632" s="19">
        <v>0</v>
      </c>
      <c r="H1632" s="19">
        <v>0</v>
      </c>
      <c r="I1632" s="15">
        <v>3500</v>
      </c>
      <c r="J1632" s="15">
        <v>0</v>
      </c>
      <c r="K1632" s="15">
        <v>0</v>
      </c>
      <c r="L1632" s="15">
        <v>0</v>
      </c>
      <c r="M1632" s="15">
        <v>0</v>
      </c>
      <c r="N1632" s="15" t="str">
        <v/>
      </c>
      <c r="O1632" s="15" t="str">
        <v/>
      </c>
      <c r="P1632" s="22">
        <v>0</v>
      </c>
      <c r="Q1632">
        <v>0</v>
      </c>
    </row>
    <row r="1633" spans="1:17">
      <c r="A1633" s="19">
        <v>0</v>
      </c>
      <c r="B1633" s="19">
        <v>0</v>
      </c>
      <c r="C1633" s="19">
        <v>0</v>
      </c>
      <c r="D1633" s="19">
        <v>0</v>
      </c>
      <c r="E1633" s="19">
        <v>0</v>
      </c>
      <c r="F1633" s="19">
        <v>0</v>
      </c>
      <c r="G1633" s="19">
        <v>0</v>
      </c>
      <c r="H1633" s="19">
        <v>0</v>
      </c>
      <c r="I1633" s="15">
        <v>3500</v>
      </c>
      <c r="J1633" s="15">
        <v>0</v>
      </c>
      <c r="K1633" s="15">
        <v>0</v>
      </c>
      <c r="L1633" s="15">
        <v>0</v>
      </c>
      <c r="M1633" s="15">
        <v>0</v>
      </c>
      <c r="N1633" s="15" t="str">
        <v/>
      </c>
      <c r="O1633" s="15" t="str">
        <v/>
      </c>
      <c r="P1633" s="22">
        <v>0</v>
      </c>
      <c r="Q1633">
        <v>0</v>
      </c>
    </row>
    <row r="1634" spans="1:17">
      <c r="A1634" s="19">
        <v>0</v>
      </c>
      <c r="B1634" s="19">
        <v>0</v>
      </c>
      <c r="C1634" s="19">
        <v>0</v>
      </c>
      <c r="D1634" s="19">
        <v>0</v>
      </c>
      <c r="E1634" s="19">
        <v>0</v>
      </c>
      <c r="F1634" s="19">
        <v>0</v>
      </c>
      <c r="G1634" s="19">
        <v>0</v>
      </c>
      <c r="H1634" s="19">
        <v>0</v>
      </c>
      <c r="I1634" s="15">
        <v>3500</v>
      </c>
      <c r="J1634" s="15">
        <v>0</v>
      </c>
      <c r="K1634" s="15">
        <v>0</v>
      </c>
      <c r="L1634" s="15">
        <v>0</v>
      </c>
      <c r="M1634" s="15">
        <v>0</v>
      </c>
      <c r="N1634" s="15" t="str">
        <v/>
      </c>
      <c r="O1634" s="15" t="str">
        <v/>
      </c>
      <c r="P1634" s="22">
        <v>0</v>
      </c>
      <c r="Q1634">
        <v>0</v>
      </c>
    </row>
    <row r="1635" spans="1:17">
      <c r="A1635" s="19">
        <v>0</v>
      </c>
      <c r="B1635" s="19">
        <v>0</v>
      </c>
      <c r="C1635" s="19">
        <v>0</v>
      </c>
      <c r="D1635" s="19">
        <v>0</v>
      </c>
      <c r="E1635" s="19">
        <v>0</v>
      </c>
      <c r="F1635" s="19">
        <v>0</v>
      </c>
      <c r="G1635" s="19">
        <v>0</v>
      </c>
      <c r="H1635" s="19">
        <v>0</v>
      </c>
      <c r="I1635" s="15">
        <v>3500</v>
      </c>
      <c r="J1635" s="15">
        <v>0</v>
      </c>
      <c r="K1635" s="15">
        <v>0</v>
      </c>
      <c r="L1635" s="15">
        <v>0</v>
      </c>
      <c r="M1635" s="15">
        <v>0</v>
      </c>
      <c r="N1635" s="15" t="str">
        <v/>
      </c>
      <c r="O1635" s="15" t="str">
        <v/>
      </c>
      <c r="P1635" s="22">
        <v>0</v>
      </c>
      <c r="Q1635">
        <v>0</v>
      </c>
    </row>
    <row r="1636" spans="1:17">
      <c r="A1636" s="19">
        <v>0</v>
      </c>
      <c r="B1636" s="19">
        <v>0</v>
      </c>
      <c r="C1636" s="19">
        <v>0</v>
      </c>
      <c r="D1636" s="19">
        <v>0</v>
      </c>
      <c r="E1636" s="19">
        <v>0</v>
      </c>
      <c r="F1636" s="19">
        <v>0</v>
      </c>
      <c r="G1636" s="19">
        <v>0</v>
      </c>
      <c r="H1636" s="19">
        <v>0</v>
      </c>
      <c r="I1636" s="15">
        <v>3500</v>
      </c>
      <c r="J1636" s="15">
        <v>0</v>
      </c>
      <c r="K1636" s="15">
        <v>0</v>
      </c>
      <c r="L1636" s="15">
        <v>0</v>
      </c>
      <c r="M1636" s="15">
        <v>0</v>
      </c>
      <c r="N1636" s="15" t="str">
        <v/>
      </c>
      <c r="O1636" s="15" t="str">
        <v/>
      </c>
      <c r="P1636" s="22">
        <v>0</v>
      </c>
      <c r="Q1636">
        <v>0</v>
      </c>
    </row>
    <row r="1637" spans="1:17">
      <c r="A1637" s="19">
        <v>0</v>
      </c>
      <c r="B1637" s="19">
        <v>0</v>
      </c>
      <c r="C1637" s="19">
        <v>0</v>
      </c>
      <c r="D1637" s="19">
        <v>0</v>
      </c>
      <c r="E1637" s="19">
        <v>0</v>
      </c>
      <c r="F1637" s="19">
        <v>0</v>
      </c>
      <c r="G1637" s="19">
        <v>0</v>
      </c>
      <c r="H1637" s="19">
        <v>0</v>
      </c>
      <c r="I1637" s="15">
        <v>3500</v>
      </c>
      <c r="J1637" s="15">
        <v>0</v>
      </c>
      <c r="K1637" s="15">
        <v>0</v>
      </c>
      <c r="L1637" s="15">
        <v>0</v>
      </c>
      <c r="M1637" s="15">
        <v>0</v>
      </c>
      <c r="N1637" s="15" t="str">
        <v/>
      </c>
      <c r="O1637" s="15" t="str">
        <v/>
      </c>
      <c r="P1637" s="22">
        <v>0</v>
      </c>
      <c r="Q1637">
        <v>0</v>
      </c>
    </row>
    <row r="1638" spans="1:17">
      <c r="A1638" s="19">
        <v>0</v>
      </c>
      <c r="B1638" s="19">
        <v>0</v>
      </c>
      <c r="C1638" s="19">
        <v>0</v>
      </c>
      <c r="D1638" s="19">
        <v>0</v>
      </c>
      <c r="E1638" s="19">
        <v>0</v>
      </c>
      <c r="F1638" s="19">
        <v>0</v>
      </c>
      <c r="G1638" s="19">
        <v>0</v>
      </c>
      <c r="H1638" s="19">
        <v>0</v>
      </c>
      <c r="I1638" s="15">
        <v>3500</v>
      </c>
      <c r="J1638" s="15">
        <v>0</v>
      </c>
      <c r="K1638" s="15">
        <v>0</v>
      </c>
      <c r="L1638" s="15">
        <v>0</v>
      </c>
      <c r="M1638" s="15">
        <v>0</v>
      </c>
      <c r="N1638" s="15" t="str">
        <v/>
      </c>
      <c r="O1638" s="15" t="str">
        <v/>
      </c>
      <c r="P1638" s="22">
        <v>0</v>
      </c>
      <c r="Q1638">
        <v>0</v>
      </c>
    </row>
    <row r="1639" spans="1:17">
      <c r="A1639" s="19">
        <v>0</v>
      </c>
      <c r="B1639" s="19">
        <v>0</v>
      </c>
      <c r="C1639" s="19">
        <v>0</v>
      </c>
      <c r="D1639" s="19">
        <v>0</v>
      </c>
      <c r="E1639" s="19">
        <v>0</v>
      </c>
      <c r="F1639" s="19">
        <v>0</v>
      </c>
      <c r="G1639" s="19">
        <v>0</v>
      </c>
      <c r="H1639" s="19">
        <v>0</v>
      </c>
      <c r="I1639" s="15">
        <v>3500</v>
      </c>
      <c r="J1639" s="15">
        <v>0</v>
      </c>
      <c r="K1639" s="15">
        <v>0</v>
      </c>
      <c r="L1639" s="15">
        <v>0</v>
      </c>
      <c r="M1639" s="15">
        <v>0</v>
      </c>
      <c r="N1639" s="15" t="str">
        <v/>
      </c>
      <c r="O1639" s="15" t="str">
        <v/>
      </c>
      <c r="P1639" s="22">
        <v>0</v>
      </c>
      <c r="Q1639">
        <v>0</v>
      </c>
    </row>
    <row r="1640" spans="1:17">
      <c r="A1640" s="19">
        <v>0</v>
      </c>
      <c r="B1640" s="19">
        <v>0</v>
      </c>
      <c r="C1640" s="19">
        <v>0</v>
      </c>
      <c r="D1640" s="19">
        <v>0</v>
      </c>
      <c r="E1640" s="19">
        <v>0</v>
      </c>
      <c r="F1640" s="19">
        <v>0</v>
      </c>
      <c r="G1640" s="19">
        <v>0</v>
      </c>
      <c r="H1640" s="19">
        <v>0</v>
      </c>
      <c r="I1640" s="15">
        <v>3500</v>
      </c>
      <c r="J1640" s="15">
        <v>0</v>
      </c>
      <c r="K1640" s="15">
        <v>0</v>
      </c>
      <c r="L1640" s="15">
        <v>0</v>
      </c>
      <c r="M1640" s="15">
        <v>0</v>
      </c>
      <c r="N1640" s="15" t="str">
        <v/>
      </c>
      <c r="O1640" s="15" t="str">
        <v/>
      </c>
      <c r="P1640" s="22">
        <v>0</v>
      </c>
      <c r="Q1640">
        <v>0</v>
      </c>
    </row>
    <row r="1641" spans="1:17">
      <c r="A1641" s="19">
        <v>0</v>
      </c>
      <c r="B1641" s="19">
        <v>0</v>
      </c>
      <c r="C1641" s="19">
        <v>0</v>
      </c>
      <c r="D1641" s="19">
        <v>0</v>
      </c>
      <c r="E1641" s="19">
        <v>0</v>
      </c>
      <c r="F1641" s="19">
        <v>0</v>
      </c>
      <c r="G1641" s="19">
        <v>0</v>
      </c>
      <c r="H1641" s="19">
        <v>0</v>
      </c>
      <c r="I1641" s="15">
        <v>3500</v>
      </c>
      <c r="J1641" s="15">
        <v>0</v>
      </c>
      <c r="K1641" s="15">
        <v>0</v>
      </c>
      <c r="L1641" s="15">
        <v>0</v>
      </c>
      <c r="M1641" s="15">
        <v>0</v>
      </c>
      <c r="N1641" s="15" t="str">
        <v/>
      </c>
      <c r="O1641" s="15" t="str">
        <v/>
      </c>
      <c r="P1641" s="22">
        <v>0</v>
      </c>
      <c r="Q1641">
        <v>0</v>
      </c>
    </row>
    <row r="1642" spans="1:17">
      <c r="A1642" s="19">
        <v>0</v>
      </c>
      <c r="B1642" s="19">
        <v>0</v>
      </c>
      <c r="C1642" s="19">
        <v>0</v>
      </c>
      <c r="D1642" s="19">
        <v>0</v>
      </c>
      <c r="E1642" s="19">
        <v>0</v>
      </c>
      <c r="F1642" s="19">
        <v>0</v>
      </c>
      <c r="G1642" s="19">
        <v>0</v>
      </c>
      <c r="H1642" s="19">
        <v>0</v>
      </c>
      <c r="I1642" s="15">
        <v>3500</v>
      </c>
      <c r="J1642" s="15">
        <v>0</v>
      </c>
      <c r="K1642" s="15">
        <v>0</v>
      </c>
      <c r="L1642" s="15">
        <v>0</v>
      </c>
      <c r="M1642" s="15">
        <v>0</v>
      </c>
      <c r="N1642" s="15" t="str">
        <v/>
      </c>
      <c r="O1642" s="15" t="str">
        <v/>
      </c>
      <c r="P1642" s="22">
        <v>0</v>
      </c>
      <c r="Q1642">
        <v>0</v>
      </c>
    </row>
    <row r="1643" spans="1:17">
      <c r="A1643" s="19">
        <v>0</v>
      </c>
      <c r="B1643" s="19">
        <v>0</v>
      </c>
      <c r="C1643" s="19">
        <v>0</v>
      </c>
      <c r="D1643" s="19">
        <v>0</v>
      </c>
      <c r="E1643" s="19">
        <v>0</v>
      </c>
      <c r="F1643" s="19">
        <v>0</v>
      </c>
      <c r="G1643" s="19">
        <v>0</v>
      </c>
      <c r="H1643" s="19">
        <v>0</v>
      </c>
      <c r="I1643" s="15">
        <v>3500</v>
      </c>
      <c r="J1643" s="15">
        <v>0</v>
      </c>
      <c r="K1643" s="15">
        <v>0</v>
      </c>
      <c r="L1643" s="15">
        <v>0</v>
      </c>
      <c r="M1643" s="15">
        <v>0</v>
      </c>
      <c r="N1643" s="15" t="str">
        <v/>
      </c>
      <c r="O1643" s="15" t="str">
        <v/>
      </c>
      <c r="P1643" s="22">
        <v>0</v>
      </c>
      <c r="Q1643">
        <v>0</v>
      </c>
    </row>
    <row r="1644" spans="1:17">
      <c r="A1644" s="19">
        <v>0</v>
      </c>
      <c r="B1644" s="19">
        <v>0</v>
      </c>
      <c r="C1644" s="19">
        <v>0</v>
      </c>
      <c r="D1644" s="19">
        <v>0</v>
      </c>
      <c r="E1644" s="19">
        <v>0</v>
      </c>
      <c r="F1644" s="19">
        <v>0</v>
      </c>
      <c r="G1644" s="19">
        <v>0</v>
      </c>
      <c r="H1644" s="19">
        <v>0</v>
      </c>
      <c r="I1644" s="15">
        <v>3500</v>
      </c>
      <c r="J1644" s="15">
        <v>0</v>
      </c>
      <c r="K1644" s="15">
        <v>0</v>
      </c>
      <c r="L1644" s="15">
        <v>0</v>
      </c>
      <c r="M1644" s="15">
        <v>0</v>
      </c>
      <c r="N1644" s="15" t="str">
        <v/>
      </c>
      <c r="O1644" s="15" t="str">
        <v/>
      </c>
      <c r="P1644" s="22">
        <v>0</v>
      </c>
      <c r="Q1644">
        <v>0</v>
      </c>
    </row>
    <row r="1645" spans="1:17">
      <c r="A1645" s="19">
        <v>0</v>
      </c>
      <c r="B1645" s="19">
        <v>0</v>
      </c>
      <c r="C1645" s="19">
        <v>0</v>
      </c>
      <c r="D1645" s="19">
        <v>0</v>
      </c>
      <c r="E1645" s="19">
        <v>0</v>
      </c>
      <c r="F1645" s="19">
        <v>0</v>
      </c>
      <c r="G1645" s="19">
        <v>0</v>
      </c>
      <c r="H1645" s="19">
        <v>0</v>
      </c>
      <c r="I1645" s="15">
        <v>3500</v>
      </c>
      <c r="J1645" s="15">
        <v>0</v>
      </c>
      <c r="K1645" s="15">
        <v>0</v>
      </c>
      <c r="L1645" s="15">
        <v>0</v>
      </c>
      <c r="M1645" s="15">
        <v>0</v>
      </c>
      <c r="N1645" s="15" t="str">
        <v/>
      </c>
      <c r="O1645" s="15" t="str">
        <v/>
      </c>
      <c r="P1645" s="22">
        <v>0</v>
      </c>
      <c r="Q1645">
        <v>0</v>
      </c>
    </row>
    <row r="1646" spans="1:17">
      <c r="A1646" s="19">
        <v>0</v>
      </c>
      <c r="B1646" s="19">
        <v>0</v>
      </c>
      <c r="C1646" s="19">
        <v>0</v>
      </c>
      <c r="D1646" s="19">
        <v>0</v>
      </c>
      <c r="E1646" s="19">
        <v>0</v>
      </c>
      <c r="F1646" s="19">
        <v>0</v>
      </c>
      <c r="G1646" s="19">
        <v>0</v>
      </c>
      <c r="H1646" s="19">
        <v>0</v>
      </c>
      <c r="I1646" s="15">
        <v>3500</v>
      </c>
      <c r="J1646" s="15">
        <v>0</v>
      </c>
      <c r="K1646" s="15">
        <v>0</v>
      </c>
      <c r="L1646" s="15">
        <v>0</v>
      </c>
      <c r="M1646" s="15">
        <v>0</v>
      </c>
      <c r="N1646" s="15" t="str">
        <v/>
      </c>
      <c r="O1646" s="15" t="str">
        <v/>
      </c>
      <c r="P1646" s="22">
        <v>0</v>
      </c>
      <c r="Q1646">
        <v>0</v>
      </c>
    </row>
    <row r="1647" spans="1:17">
      <c r="A1647" s="19">
        <v>0</v>
      </c>
      <c r="B1647" s="19">
        <v>0</v>
      </c>
      <c r="C1647" s="19">
        <v>0</v>
      </c>
      <c r="D1647" s="19">
        <v>0</v>
      </c>
      <c r="E1647" s="19">
        <v>0</v>
      </c>
      <c r="F1647" s="19">
        <v>0</v>
      </c>
      <c r="G1647" s="19">
        <v>0</v>
      </c>
      <c r="H1647" s="19">
        <v>0</v>
      </c>
      <c r="I1647" s="15">
        <v>3500</v>
      </c>
      <c r="J1647" s="15">
        <v>0</v>
      </c>
      <c r="K1647" s="15">
        <v>0</v>
      </c>
      <c r="L1647" s="15">
        <v>0</v>
      </c>
      <c r="M1647" s="15">
        <v>0</v>
      </c>
      <c r="N1647" s="15" t="str">
        <v/>
      </c>
      <c r="O1647" s="15" t="str">
        <v/>
      </c>
      <c r="P1647" s="22">
        <v>0</v>
      </c>
      <c r="Q1647">
        <v>0</v>
      </c>
    </row>
    <row r="1648" spans="1:17">
      <c r="A1648" s="19">
        <v>0</v>
      </c>
      <c r="B1648" s="19">
        <v>0</v>
      </c>
      <c r="C1648" s="19">
        <v>0</v>
      </c>
      <c r="D1648" s="19">
        <v>0</v>
      </c>
      <c r="E1648" s="19">
        <v>0</v>
      </c>
      <c r="F1648" s="19">
        <v>0</v>
      </c>
      <c r="G1648" s="19">
        <v>0</v>
      </c>
      <c r="H1648" s="19">
        <v>0</v>
      </c>
      <c r="I1648" s="15">
        <v>3500</v>
      </c>
      <c r="J1648" s="15">
        <v>0</v>
      </c>
      <c r="K1648" s="15">
        <v>0</v>
      </c>
      <c r="L1648" s="15">
        <v>0</v>
      </c>
      <c r="M1648" s="15">
        <v>0</v>
      </c>
      <c r="N1648" s="15" t="str">
        <v/>
      </c>
      <c r="O1648" s="15" t="str">
        <v/>
      </c>
      <c r="P1648" s="22">
        <v>0</v>
      </c>
      <c r="Q1648">
        <v>0</v>
      </c>
    </row>
    <row r="1649" spans="1:17">
      <c r="A1649" s="19">
        <v>0</v>
      </c>
      <c r="B1649" s="19">
        <v>0</v>
      </c>
      <c r="C1649" s="19">
        <v>0</v>
      </c>
      <c r="D1649" s="19">
        <v>0</v>
      </c>
      <c r="E1649" s="19">
        <v>0</v>
      </c>
      <c r="F1649" s="19">
        <v>0</v>
      </c>
      <c r="G1649" s="19">
        <v>0</v>
      </c>
      <c r="H1649" s="19">
        <v>0</v>
      </c>
      <c r="I1649" s="15">
        <v>3500</v>
      </c>
      <c r="J1649" s="15">
        <v>0</v>
      </c>
      <c r="K1649" s="15">
        <v>0</v>
      </c>
      <c r="L1649" s="15">
        <v>0</v>
      </c>
      <c r="M1649" s="15">
        <v>0</v>
      </c>
      <c r="N1649" s="15" t="str">
        <v/>
      </c>
      <c r="O1649" s="15" t="str">
        <v/>
      </c>
      <c r="P1649" s="22">
        <v>0</v>
      </c>
      <c r="Q1649">
        <v>0</v>
      </c>
    </row>
    <row r="1650" spans="1:17">
      <c r="A1650" s="19">
        <v>0</v>
      </c>
      <c r="B1650" s="19">
        <v>0</v>
      </c>
      <c r="C1650" s="19">
        <v>0</v>
      </c>
      <c r="D1650" s="19">
        <v>0</v>
      </c>
      <c r="E1650" s="19">
        <v>0</v>
      </c>
      <c r="F1650" s="19">
        <v>0</v>
      </c>
      <c r="G1650" s="19">
        <v>0</v>
      </c>
      <c r="H1650" s="19">
        <v>0</v>
      </c>
      <c r="I1650" s="15">
        <v>3500</v>
      </c>
      <c r="J1650" s="15">
        <v>0</v>
      </c>
      <c r="K1650" s="15">
        <v>0</v>
      </c>
      <c r="L1650" s="15">
        <v>0</v>
      </c>
      <c r="M1650" s="15">
        <v>0</v>
      </c>
      <c r="N1650" s="15" t="str">
        <v/>
      </c>
      <c r="O1650" s="15" t="str">
        <v/>
      </c>
      <c r="P1650" s="22">
        <v>0</v>
      </c>
      <c r="Q1650">
        <v>0</v>
      </c>
    </row>
    <row r="1651" spans="1:17">
      <c r="A1651" s="19">
        <v>0</v>
      </c>
      <c r="B1651" s="19">
        <v>0</v>
      </c>
      <c r="C1651" s="19">
        <v>0</v>
      </c>
      <c r="D1651" s="19">
        <v>0</v>
      </c>
      <c r="E1651" s="19">
        <v>0</v>
      </c>
      <c r="F1651" s="19">
        <v>0</v>
      </c>
      <c r="G1651" s="19">
        <v>0</v>
      </c>
      <c r="H1651" s="19">
        <v>0</v>
      </c>
      <c r="I1651" s="15">
        <v>3500</v>
      </c>
      <c r="J1651" s="15">
        <v>0</v>
      </c>
      <c r="K1651" s="15">
        <v>0</v>
      </c>
      <c r="L1651" s="15">
        <v>0</v>
      </c>
      <c r="M1651" s="15">
        <v>0</v>
      </c>
      <c r="N1651" s="15" t="str">
        <v/>
      </c>
      <c r="O1651" s="15" t="str">
        <v/>
      </c>
      <c r="P1651" s="22">
        <v>0</v>
      </c>
      <c r="Q1651">
        <v>0</v>
      </c>
    </row>
    <row r="1652" spans="1:17">
      <c r="A1652" s="19">
        <v>0</v>
      </c>
      <c r="B1652" s="19">
        <v>0</v>
      </c>
      <c r="C1652" s="19">
        <v>0</v>
      </c>
      <c r="D1652" s="19">
        <v>0</v>
      </c>
      <c r="E1652" s="19">
        <v>0</v>
      </c>
      <c r="F1652" s="19">
        <v>0</v>
      </c>
      <c r="G1652" s="19">
        <v>0</v>
      </c>
      <c r="H1652" s="19">
        <v>0</v>
      </c>
      <c r="I1652" s="15">
        <v>3500</v>
      </c>
      <c r="J1652" s="15">
        <v>0</v>
      </c>
      <c r="K1652" s="15">
        <v>0</v>
      </c>
      <c r="L1652" s="15">
        <v>0</v>
      </c>
      <c r="M1652" s="15">
        <v>0</v>
      </c>
      <c r="N1652" s="15" t="str">
        <v/>
      </c>
      <c r="O1652" s="15" t="str">
        <v/>
      </c>
      <c r="P1652" s="22">
        <v>0</v>
      </c>
      <c r="Q1652">
        <v>0</v>
      </c>
    </row>
    <row r="1653" spans="1:17">
      <c r="A1653" s="19">
        <v>0</v>
      </c>
      <c r="B1653" s="19">
        <v>0</v>
      </c>
      <c r="C1653" s="19">
        <v>0</v>
      </c>
      <c r="D1653" s="19">
        <v>0</v>
      </c>
      <c r="E1653" s="19">
        <v>0</v>
      </c>
      <c r="F1653" s="19">
        <v>0</v>
      </c>
      <c r="G1653" s="19">
        <v>0</v>
      </c>
      <c r="H1653" s="19">
        <v>0</v>
      </c>
      <c r="I1653" s="15">
        <v>3500</v>
      </c>
      <c r="J1653" s="15">
        <v>0</v>
      </c>
      <c r="K1653" s="15">
        <v>0</v>
      </c>
      <c r="L1653" s="15">
        <v>0</v>
      </c>
      <c r="M1653" s="15">
        <v>0</v>
      </c>
      <c r="N1653" s="15" t="str">
        <v/>
      </c>
      <c r="O1653" s="15" t="str">
        <v/>
      </c>
      <c r="P1653" s="22">
        <v>0</v>
      </c>
      <c r="Q1653">
        <v>0</v>
      </c>
    </row>
    <row r="1654" spans="1:17">
      <c r="A1654" s="19">
        <v>0</v>
      </c>
      <c r="B1654" s="19">
        <v>0</v>
      </c>
      <c r="C1654" s="19">
        <v>0</v>
      </c>
      <c r="D1654" s="19">
        <v>0</v>
      </c>
      <c r="E1654" s="19">
        <v>0</v>
      </c>
      <c r="F1654" s="19">
        <v>0</v>
      </c>
      <c r="G1654" s="19">
        <v>0</v>
      </c>
      <c r="H1654" s="19">
        <v>0</v>
      </c>
      <c r="I1654" s="15">
        <v>3500</v>
      </c>
      <c r="J1654" s="15">
        <v>0</v>
      </c>
      <c r="K1654" s="15">
        <v>0</v>
      </c>
      <c r="L1654" s="15">
        <v>0</v>
      </c>
      <c r="M1654" s="15">
        <v>0</v>
      </c>
      <c r="N1654" s="15" t="str">
        <v/>
      </c>
      <c r="O1654" s="15" t="str">
        <v/>
      </c>
      <c r="P1654" s="22">
        <v>0</v>
      </c>
      <c r="Q1654">
        <v>0</v>
      </c>
    </row>
    <row r="1655" spans="1:17">
      <c r="A1655" s="19">
        <v>0</v>
      </c>
      <c r="B1655" s="19">
        <v>0</v>
      </c>
      <c r="C1655" s="19">
        <v>0</v>
      </c>
      <c r="D1655" s="19">
        <v>0</v>
      </c>
      <c r="E1655" s="19">
        <v>0</v>
      </c>
      <c r="F1655" s="19">
        <v>0</v>
      </c>
      <c r="G1655" s="19">
        <v>0</v>
      </c>
      <c r="H1655" s="19">
        <v>0</v>
      </c>
      <c r="I1655" s="15">
        <v>3500</v>
      </c>
      <c r="J1655" s="15">
        <v>0</v>
      </c>
      <c r="K1655" s="15">
        <v>0</v>
      </c>
      <c r="L1655" s="15">
        <v>0</v>
      </c>
      <c r="M1655" s="15">
        <v>0</v>
      </c>
      <c r="N1655" s="15" t="str">
        <v/>
      </c>
      <c r="O1655" s="15" t="str">
        <v/>
      </c>
      <c r="P1655" s="22">
        <v>0</v>
      </c>
      <c r="Q1655">
        <v>0</v>
      </c>
    </row>
    <row r="1656" spans="1:17">
      <c r="A1656" s="19">
        <v>0</v>
      </c>
      <c r="B1656" s="19">
        <v>0</v>
      </c>
      <c r="C1656" s="19">
        <v>0</v>
      </c>
      <c r="D1656" s="19">
        <v>0</v>
      </c>
      <c r="E1656" s="19">
        <v>0</v>
      </c>
      <c r="F1656" s="19">
        <v>0</v>
      </c>
      <c r="G1656" s="19">
        <v>0</v>
      </c>
      <c r="H1656" s="19">
        <v>0</v>
      </c>
      <c r="I1656" s="15">
        <v>3500</v>
      </c>
      <c r="J1656" s="15">
        <v>0</v>
      </c>
      <c r="K1656" s="15">
        <v>0</v>
      </c>
      <c r="L1656" s="15">
        <v>0</v>
      </c>
      <c r="M1656" s="15">
        <v>0</v>
      </c>
      <c r="N1656" s="15" t="str">
        <v/>
      </c>
      <c r="O1656" s="15" t="str">
        <v/>
      </c>
      <c r="P1656" s="22">
        <v>0</v>
      </c>
      <c r="Q1656">
        <v>0</v>
      </c>
    </row>
    <row r="1657" spans="1:17">
      <c r="A1657" s="19">
        <v>0</v>
      </c>
      <c r="B1657" s="19">
        <v>0</v>
      </c>
      <c r="C1657" s="19">
        <v>0</v>
      </c>
      <c r="D1657" s="19">
        <v>0</v>
      </c>
      <c r="E1657" s="19">
        <v>0</v>
      </c>
      <c r="F1657" s="19">
        <v>0</v>
      </c>
      <c r="G1657" s="19">
        <v>0</v>
      </c>
      <c r="H1657" s="19">
        <v>0</v>
      </c>
      <c r="I1657" s="15">
        <v>3500</v>
      </c>
      <c r="J1657" s="15">
        <v>0</v>
      </c>
      <c r="K1657" s="15">
        <v>0</v>
      </c>
      <c r="L1657" s="15">
        <v>0</v>
      </c>
      <c r="M1657" s="15">
        <v>0</v>
      </c>
      <c r="N1657" s="15" t="str">
        <v/>
      </c>
      <c r="O1657" s="15" t="str">
        <v/>
      </c>
      <c r="P1657" s="22">
        <v>0</v>
      </c>
      <c r="Q1657">
        <v>0</v>
      </c>
    </row>
    <row r="1658" spans="1:17">
      <c r="A1658" s="19">
        <v>0</v>
      </c>
      <c r="B1658" s="19">
        <v>0</v>
      </c>
      <c r="C1658" s="19">
        <v>0</v>
      </c>
      <c r="D1658" s="19">
        <v>0</v>
      </c>
      <c r="E1658" s="19">
        <v>0</v>
      </c>
      <c r="F1658" s="19">
        <v>0</v>
      </c>
      <c r="G1658" s="19">
        <v>0</v>
      </c>
      <c r="H1658" s="19">
        <v>0</v>
      </c>
      <c r="I1658" s="15">
        <v>3500</v>
      </c>
      <c r="J1658" s="15">
        <v>0</v>
      </c>
      <c r="K1658" s="15">
        <v>0</v>
      </c>
      <c r="L1658" s="15">
        <v>0</v>
      </c>
      <c r="M1658" s="15">
        <v>0</v>
      </c>
      <c r="N1658" s="15" t="str">
        <v/>
      </c>
      <c r="O1658" s="15" t="str">
        <v/>
      </c>
      <c r="P1658" s="22">
        <v>0</v>
      </c>
      <c r="Q1658">
        <v>0</v>
      </c>
    </row>
    <row r="1659" spans="1:17">
      <c r="A1659" s="19">
        <v>0</v>
      </c>
      <c r="B1659" s="19">
        <v>0</v>
      </c>
      <c r="C1659" s="19">
        <v>0</v>
      </c>
      <c r="D1659" s="19">
        <v>0</v>
      </c>
      <c r="E1659" s="19">
        <v>0</v>
      </c>
      <c r="F1659" s="19">
        <v>0</v>
      </c>
      <c r="G1659" s="19">
        <v>0</v>
      </c>
      <c r="H1659" s="19">
        <v>0</v>
      </c>
      <c r="I1659" s="15">
        <v>3500</v>
      </c>
      <c r="J1659" s="15">
        <v>0</v>
      </c>
      <c r="K1659" s="15">
        <v>0</v>
      </c>
      <c r="L1659" s="15">
        <v>0</v>
      </c>
      <c r="M1659" s="15">
        <v>0</v>
      </c>
      <c r="N1659" s="15" t="str">
        <v/>
      </c>
      <c r="O1659" s="15" t="str">
        <v/>
      </c>
      <c r="P1659" s="22">
        <v>0</v>
      </c>
      <c r="Q1659">
        <v>0</v>
      </c>
    </row>
    <row r="1660" spans="1:17">
      <c r="A1660" s="19">
        <v>0</v>
      </c>
      <c r="B1660" s="19">
        <v>0</v>
      </c>
      <c r="C1660" s="19">
        <v>0</v>
      </c>
      <c r="D1660" s="19">
        <v>0</v>
      </c>
      <c r="E1660" s="19">
        <v>0</v>
      </c>
      <c r="F1660" s="19">
        <v>0</v>
      </c>
      <c r="G1660" s="19">
        <v>0</v>
      </c>
      <c r="H1660" s="19">
        <v>0</v>
      </c>
      <c r="I1660" s="15">
        <v>3500</v>
      </c>
      <c r="J1660" s="15">
        <v>0</v>
      </c>
      <c r="K1660" s="15">
        <v>0</v>
      </c>
      <c r="L1660" s="15">
        <v>0</v>
      </c>
      <c r="M1660" s="15">
        <v>0</v>
      </c>
      <c r="N1660" s="15" t="str">
        <v/>
      </c>
      <c r="O1660" s="15" t="str">
        <v/>
      </c>
      <c r="P1660" s="22">
        <v>0</v>
      </c>
      <c r="Q1660">
        <v>0</v>
      </c>
    </row>
    <row r="1661" spans="1:17">
      <c r="A1661" s="19">
        <v>0</v>
      </c>
      <c r="B1661" s="19">
        <v>0</v>
      </c>
      <c r="C1661" s="19">
        <v>0</v>
      </c>
      <c r="D1661" s="19">
        <v>0</v>
      </c>
      <c r="E1661" s="19">
        <v>0</v>
      </c>
      <c r="F1661" s="19">
        <v>0</v>
      </c>
      <c r="G1661" s="19">
        <v>0</v>
      </c>
      <c r="H1661" s="19">
        <v>0</v>
      </c>
      <c r="I1661" s="15">
        <v>3500</v>
      </c>
      <c r="J1661" s="15">
        <v>0</v>
      </c>
      <c r="K1661" s="15">
        <v>0</v>
      </c>
      <c r="L1661" s="15">
        <v>0</v>
      </c>
      <c r="M1661" s="15">
        <v>0</v>
      </c>
      <c r="N1661" s="15" t="str">
        <v/>
      </c>
      <c r="O1661" s="15" t="str">
        <v/>
      </c>
      <c r="P1661" s="22">
        <v>0</v>
      </c>
      <c r="Q1661">
        <v>0</v>
      </c>
    </row>
    <row r="1662" spans="1:17">
      <c r="A1662" s="19">
        <v>0</v>
      </c>
      <c r="B1662" s="19">
        <v>0</v>
      </c>
      <c r="C1662" s="19">
        <v>0</v>
      </c>
      <c r="D1662" s="19">
        <v>0</v>
      </c>
      <c r="E1662" s="19">
        <v>0</v>
      </c>
      <c r="F1662" s="19">
        <v>0</v>
      </c>
      <c r="G1662" s="19">
        <v>0</v>
      </c>
      <c r="H1662" s="19">
        <v>0</v>
      </c>
      <c r="I1662" s="15">
        <v>3500</v>
      </c>
      <c r="J1662" s="15">
        <v>0</v>
      </c>
      <c r="K1662" s="15">
        <v>0</v>
      </c>
      <c r="L1662" s="15">
        <v>0</v>
      </c>
      <c r="M1662" s="15">
        <v>0</v>
      </c>
      <c r="N1662" s="15" t="str">
        <v/>
      </c>
      <c r="O1662" s="15" t="str">
        <v/>
      </c>
      <c r="P1662" s="22">
        <v>0</v>
      </c>
      <c r="Q1662">
        <v>0</v>
      </c>
    </row>
    <row r="1663" spans="1:17">
      <c r="A1663" s="19">
        <v>0</v>
      </c>
      <c r="B1663" s="19">
        <v>0</v>
      </c>
      <c r="C1663" s="19">
        <v>0</v>
      </c>
      <c r="D1663" s="19">
        <v>0</v>
      </c>
      <c r="E1663" s="19">
        <v>0</v>
      </c>
      <c r="F1663" s="19">
        <v>0</v>
      </c>
      <c r="G1663" s="19">
        <v>0</v>
      </c>
      <c r="H1663" s="19">
        <v>0</v>
      </c>
      <c r="I1663" s="15">
        <v>3500</v>
      </c>
      <c r="J1663" s="15">
        <v>0</v>
      </c>
      <c r="K1663" s="15">
        <v>0</v>
      </c>
      <c r="L1663" s="15">
        <v>0</v>
      </c>
      <c r="M1663" s="15">
        <v>0</v>
      </c>
      <c r="N1663" s="15" t="str">
        <v/>
      </c>
      <c r="O1663" s="15" t="str">
        <v/>
      </c>
      <c r="P1663" s="22">
        <v>0</v>
      </c>
      <c r="Q1663">
        <v>0</v>
      </c>
    </row>
    <row r="1664" spans="1:17">
      <c r="A1664" s="19">
        <v>0</v>
      </c>
      <c r="B1664" s="19">
        <v>0</v>
      </c>
      <c r="C1664" s="19">
        <v>0</v>
      </c>
      <c r="D1664" s="19">
        <v>0</v>
      </c>
      <c r="E1664" s="19">
        <v>0</v>
      </c>
      <c r="F1664" s="19">
        <v>0</v>
      </c>
      <c r="G1664" s="19">
        <v>0</v>
      </c>
      <c r="H1664" s="19">
        <v>0</v>
      </c>
      <c r="I1664" s="15">
        <v>3500</v>
      </c>
      <c r="J1664" s="15">
        <v>0</v>
      </c>
      <c r="K1664" s="15">
        <v>0</v>
      </c>
      <c r="L1664" s="15">
        <v>0</v>
      </c>
      <c r="M1664" s="15">
        <v>0</v>
      </c>
      <c r="N1664" s="15" t="str">
        <v/>
      </c>
      <c r="O1664" s="15" t="str">
        <v/>
      </c>
      <c r="P1664" s="22">
        <v>0</v>
      </c>
      <c r="Q1664">
        <v>0</v>
      </c>
    </row>
    <row r="1665" spans="1:17">
      <c r="A1665" s="19">
        <v>0</v>
      </c>
      <c r="B1665" s="19">
        <v>0</v>
      </c>
      <c r="C1665" s="19">
        <v>0</v>
      </c>
      <c r="D1665" s="19">
        <v>0</v>
      </c>
      <c r="E1665" s="19">
        <v>0</v>
      </c>
      <c r="F1665" s="19">
        <v>0</v>
      </c>
      <c r="G1665" s="19">
        <v>0</v>
      </c>
      <c r="H1665" s="19">
        <v>0</v>
      </c>
      <c r="I1665" s="15">
        <v>3500</v>
      </c>
      <c r="J1665" s="15">
        <v>0</v>
      </c>
      <c r="K1665" s="15">
        <v>0</v>
      </c>
      <c r="L1665" s="15">
        <v>0</v>
      </c>
      <c r="M1665" s="15">
        <v>0</v>
      </c>
      <c r="N1665" s="15" t="str">
        <v/>
      </c>
      <c r="O1665" s="15" t="str">
        <v/>
      </c>
      <c r="P1665" s="22">
        <v>0</v>
      </c>
      <c r="Q1665">
        <v>0</v>
      </c>
    </row>
    <row r="1666" spans="1:17">
      <c r="A1666" s="19">
        <v>0</v>
      </c>
      <c r="B1666" s="19">
        <v>0</v>
      </c>
      <c r="C1666" s="19">
        <v>0</v>
      </c>
      <c r="D1666" s="19">
        <v>0</v>
      </c>
      <c r="E1666" s="19">
        <v>0</v>
      </c>
      <c r="F1666" s="19">
        <v>0</v>
      </c>
      <c r="G1666" s="19">
        <v>0</v>
      </c>
      <c r="H1666" s="19">
        <v>0</v>
      </c>
      <c r="I1666" s="15">
        <v>3500</v>
      </c>
      <c r="J1666" s="15">
        <v>0</v>
      </c>
      <c r="K1666" s="15">
        <v>0</v>
      </c>
      <c r="L1666" s="15">
        <v>0</v>
      </c>
      <c r="M1666" s="15">
        <v>0</v>
      </c>
      <c r="N1666" s="15" t="str">
        <v/>
      </c>
      <c r="O1666" s="15" t="str">
        <v/>
      </c>
      <c r="P1666" s="22">
        <v>0</v>
      </c>
      <c r="Q1666">
        <v>0</v>
      </c>
    </row>
    <row r="1667" spans="1:17">
      <c r="A1667" s="19">
        <v>0</v>
      </c>
      <c r="B1667" s="19">
        <v>0</v>
      </c>
      <c r="C1667" s="19">
        <v>0</v>
      </c>
      <c r="D1667" s="19">
        <v>0</v>
      </c>
      <c r="E1667" s="19">
        <v>0</v>
      </c>
      <c r="F1667" s="19">
        <v>0</v>
      </c>
      <c r="G1667" s="19">
        <v>0</v>
      </c>
      <c r="H1667" s="19">
        <v>0</v>
      </c>
      <c r="I1667" s="15">
        <v>3500</v>
      </c>
      <c r="J1667" s="15">
        <v>0</v>
      </c>
      <c r="K1667" s="15">
        <v>0</v>
      </c>
      <c r="L1667" s="15">
        <v>0</v>
      </c>
      <c r="M1667" s="15">
        <v>0</v>
      </c>
      <c r="N1667" s="15" t="str">
        <v/>
      </c>
      <c r="O1667" s="15" t="str">
        <v/>
      </c>
      <c r="P1667" s="22">
        <v>0</v>
      </c>
      <c r="Q1667">
        <v>0</v>
      </c>
    </row>
    <row r="1668" spans="1:17">
      <c r="A1668" s="19">
        <v>0</v>
      </c>
      <c r="B1668" s="19">
        <v>0</v>
      </c>
      <c r="C1668" s="19">
        <v>0</v>
      </c>
      <c r="D1668" s="19">
        <v>0</v>
      </c>
      <c r="E1668" s="19">
        <v>0</v>
      </c>
      <c r="F1668" s="19">
        <v>0</v>
      </c>
      <c r="G1668" s="19">
        <v>0</v>
      </c>
      <c r="H1668" s="19">
        <v>0</v>
      </c>
      <c r="I1668" s="15">
        <v>3500</v>
      </c>
      <c r="J1668" s="15">
        <v>0</v>
      </c>
      <c r="K1668" s="15">
        <v>0</v>
      </c>
      <c r="L1668" s="15">
        <v>0</v>
      </c>
      <c r="M1668" s="15">
        <v>0</v>
      </c>
      <c r="N1668" s="15" t="str">
        <v/>
      </c>
      <c r="O1668" s="15" t="str">
        <v/>
      </c>
      <c r="P1668" s="22">
        <v>0</v>
      </c>
      <c r="Q1668">
        <v>0</v>
      </c>
    </row>
    <row r="1669" spans="1:17">
      <c r="A1669" s="19">
        <v>0</v>
      </c>
      <c r="B1669" s="19">
        <v>0</v>
      </c>
      <c r="C1669" s="19">
        <v>0</v>
      </c>
      <c r="D1669" s="19">
        <v>0</v>
      </c>
      <c r="E1669" s="19">
        <v>0</v>
      </c>
      <c r="F1669" s="19">
        <v>0</v>
      </c>
      <c r="G1669" s="19">
        <v>0</v>
      </c>
      <c r="H1669" s="19">
        <v>0</v>
      </c>
      <c r="I1669" s="15">
        <v>3500</v>
      </c>
      <c r="J1669" s="15">
        <v>0</v>
      </c>
      <c r="K1669" s="15">
        <v>0</v>
      </c>
      <c r="L1669" s="15">
        <v>0</v>
      </c>
      <c r="M1669" s="15">
        <v>0</v>
      </c>
      <c r="N1669" s="15" t="str">
        <v/>
      </c>
      <c r="O1669" s="15" t="str">
        <v/>
      </c>
      <c r="P1669" s="22">
        <v>0</v>
      </c>
      <c r="Q1669">
        <v>0</v>
      </c>
    </row>
    <row r="1670" spans="1:17">
      <c r="A1670" s="19">
        <v>0</v>
      </c>
      <c r="B1670" s="19">
        <v>0</v>
      </c>
      <c r="C1670" s="19">
        <v>0</v>
      </c>
      <c r="D1670" s="19">
        <v>0</v>
      </c>
      <c r="E1670" s="19">
        <v>0</v>
      </c>
      <c r="F1670" s="19">
        <v>0</v>
      </c>
      <c r="G1670" s="19">
        <v>0</v>
      </c>
      <c r="H1670" s="19">
        <v>0</v>
      </c>
      <c r="I1670" s="15">
        <v>3500</v>
      </c>
      <c r="J1670" s="15">
        <v>0</v>
      </c>
      <c r="K1670" s="15">
        <v>0</v>
      </c>
      <c r="L1670" s="15">
        <v>0</v>
      </c>
      <c r="M1670" s="15">
        <v>0</v>
      </c>
      <c r="N1670" s="15" t="str">
        <v/>
      </c>
      <c r="O1670" s="15" t="str">
        <v/>
      </c>
      <c r="P1670" s="22">
        <v>0</v>
      </c>
      <c r="Q1670">
        <v>0</v>
      </c>
    </row>
    <row r="1671" spans="1:17">
      <c r="A1671" s="19">
        <v>0</v>
      </c>
      <c r="B1671" s="19">
        <v>0</v>
      </c>
      <c r="C1671" s="19">
        <v>0</v>
      </c>
      <c r="D1671" s="19">
        <v>0</v>
      </c>
      <c r="E1671" s="19">
        <v>0</v>
      </c>
      <c r="F1671" s="19">
        <v>0</v>
      </c>
      <c r="G1671" s="19">
        <v>0</v>
      </c>
      <c r="H1671" s="19">
        <v>0</v>
      </c>
      <c r="I1671" s="15">
        <v>3500</v>
      </c>
      <c r="J1671" s="15">
        <v>0</v>
      </c>
      <c r="K1671" s="15">
        <v>0</v>
      </c>
      <c r="L1671" s="15">
        <v>0</v>
      </c>
      <c r="M1671" s="15">
        <v>0</v>
      </c>
      <c r="N1671" s="15" t="str">
        <v/>
      </c>
      <c r="O1671" s="15" t="str">
        <v/>
      </c>
      <c r="P1671" s="22">
        <v>0</v>
      </c>
      <c r="Q1671">
        <v>0</v>
      </c>
    </row>
    <row r="1672" spans="1:17">
      <c r="A1672" s="19">
        <v>0</v>
      </c>
      <c r="B1672" s="19">
        <v>0</v>
      </c>
      <c r="C1672" s="19">
        <v>0</v>
      </c>
      <c r="D1672" s="19">
        <v>0</v>
      </c>
      <c r="E1672" s="19">
        <v>0</v>
      </c>
      <c r="F1672" s="19">
        <v>0</v>
      </c>
      <c r="G1672" s="19">
        <v>0</v>
      </c>
      <c r="H1672" s="19">
        <v>0</v>
      </c>
      <c r="I1672" s="15">
        <v>3500</v>
      </c>
      <c r="J1672" s="15">
        <v>0</v>
      </c>
      <c r="K1672" s="15">
        <v>0</v>
      </c>
      <c r="L1672" s="15">
        <v>0</v>
      </c>
      <c r="M1672" s="15">
        <v>0</v>
      </c>
      <c r="N1672" s="15" t="str">
        <v/>
      </c>
      <c r="O1672" s="15" t="str">
        <v/>
      </c>
      <c r="P1672" s="22">
        <v>0</v>
      </c>
      <c r="Q1672">
        <v>0</v>
      </c>
    </row>
    <row r="1673" spans="1:17">
      <c r="A1673" s="19">
        <v>0</v>
      </c>
      <c r="B1673" s="19">
        <v>0</v>
      </c>
      <c r="C1673" s="19">
        <v>0</v>
      </c>
      <c r="D1673" s="19">
        <v>0</v>
      </c>
      <c r="E1673" s="19">
        <v>0</v>
      </c>
      <c r="F1673" s="19">
        <v>0</v>
      </c>
      <c r="G1673" s="19">
        <v>0</v>
      </c>
      <c r="H1673" s="19">
        <v>0</v>
      </c>
      <c r="I1673" s="15">
        <v>3500</v>
      </c>
      <c r="J1673" s="15">
        <v>0</v>
      </c>
      <c r="K1673" s="15">
        <v>0</v>
      </c>
      <c r="L1673" s="15">
        <v>0</v>
      </c>
      <c r="M1673" s="15">
        <v>0</v>
      </c>
      <c r="N1673" s="15" t="str">
        <v/>
      </c>
      <c r="O1673" s="15" t="str">
        <v/>
      </c>
      <c r="P1673" s="22">
        <v>0</v>
      </c>
      <c r="Q1673">
        <v>0</v>
      </c>
    </row>
    <row r="1674" spans="1:17">
      <c r="A1674" s="19">
        <v>0</v>
      </c>
      <c r="B1674" s="19">
        <v>0</v>
      </c>
      <c r="C1674" s="19">
        <v>0</v>
      </c>
      <c r="D1674" s="19">
        <v>0</v>
      </c>
      <c r="E1674" s="19">
        <v>0</v>
      </c>
      <c r="F1674" s="19">
        <v>0</v>
      </c>
      <c r="G1674" s="19">
        <v>0</v>
      </c>
      <c r="H1674" s="19">
        <v>0</v>
      </c>
      <c r="I1674" s="15">
        <v>3500</v>
      </c>
      <c r="J1674" s="15">
        <v>0</v>
      </c>
      <c r="K1674" s="15">
        <v>0</v>
      </c>
      <c r="L1674" s="15">
        <v>0</v>
      </c>
      <c r="M1674" s="15">
        <v>0</v>
      </c>
      <c r="N1674" s="15" t="str">
        <v/>
      </c>
      <c r="O1674" s="15" t="str">
        <v/>
      </c>
      <c r="P1674" s="22">
        <v>0</v>
      </c>
      <c r="Q1674">
        <v>0</v>
      </c>
    </row>
    <row r="1675" spans="1:17">
      <c r="A1675" s="19">
        <v>0</v>
      </c>
      <c r="B1675" s="19">
        <v>0</v>
      </c>
      <c r="C1675" s="19">
        <v>0</v>
      </c>
      <c r="D1675" s="19">
        <v>0</v>
      </c>
      <c r="E1675" s="19">
        <v>0</v>
      </c>
      <c r="F1675" s="19">
        <v>0</v>
      </c>
      <c r="G1675" s="19">
        <v>0</v>
      </c>
      <c r="H1675" s="19">
        <v>0</v>
      </c>
      <c r="I1675" s="15">
        <v>3500</v>
      </c>
      <c r="J1675" s="15">
        <v>0</v>
      </c>
      <c r="K1675" s="15">
        <v>0</v>
      </c>
      <c r="L1675" s="15">
        <v>0</v>
      </c>
      <c r="M1675" s="15">
        <v>0</v>
      </c>
      <c r="N1675" s="15" t="str">
        <v/>
      </c>
      <c r="O1675" s="15" t="str">
        <v/>
      </c>
      <c r="P1675" s="22">
        <v>0</v>
      </c>
      <c r="Q1675">
        <v>0</v>
      </c>
    </row>
    <row r="1676" spans="1:17">
      <c r="A1676" s="19">
        <v>0</v>
      </c>
      <c r="B1676" s="19">
        <v>0</v>
      </c>
      <c r="C1676" s="19">
        <v>0</v>
      </c>
      <c r="D1676" s="19">
        <v>0</v>
      </c>
      <c r="E1676" s="19">
        <v>0</v>
      </c>
      <c r="F1676" s="19">
        <v>0</v>
      </c>
      <c r="G1676" s="19">
        <v>0</v>
      </c>
      <c r="H1676" s="19">
        <v>0</v>
      </c>
      <c r="I1676" s="15">
        <v>3500</v>
      </c>
      <c r="J1676" s="15">
        <v>0</v>
      </c>
      <c r="K1676" s="15">
        <v>0</v>
      </c>
      <c r="L1676" s="15">
        <v>0</v>
      </c>
      <c r="M1676" s="15">
        <v>0</v>
      </c>
      <c r="N1676" s="15" t="str">
        <v/>
      </c>
      <c r="O1676" s="15" t="str">
        <v/>
      </c>
      <c r="P1676" s="22">
        <v>0</v>
      </c>
      <c r="Q1676">
        <v>0</v>
      </c>
    </row>
    <row r="1677" spans="1:17">
      <c r="A1677" s="19">
        <v>0</v>
      </c>
      <c r="B1677" s="19">
        <v>0</v>
      </c>
      <c r="C1677" s="19">
        <v>0</v>
      </c>
      <c r="D1677" s="19">
        <v>0</v>
      </c>
      <c r="E1677" s="19">
        <v>0</v>
      </c>
      <c r="F1677" s="19">
        <v>0</v>
      </c>
      <c r="G1677" s="19">
        <v>0</v>
      </c>
      <c r="H1677" s="19">
        <v>0</v>
      </c>
      <c r="I1677" s="15">
        <v>3500</v>
      </c>
      <c r="J1677" s="15">
        <v>0</v>
      </c>
      <c r="K1677" s="15">
        <v>0</v>
      </c>
      <c r="L1677" s="15">
        <v>0</v>
      </c>
      <c r="M1677" s="15">
        <v>0</v>
      </c>
      <c r="N1677" s="15" t="str">
        <v/>
      </c>
      <c r="O1677" s="15" t="str">
        <v/>
      </c>
      <c r="P1677" s="22">
        <v>0</v>
      </c>
      <c r="Q1677">
        <v>0</v>
      </c>
    </row>
    <row r="1678" spans="1:17">
      <c r="A1678" s="19">
        <v>0</v>
      </c>
      <c r="B1678" s="19">
        <v>0</v>
      </c>
      <c r="C1678" s="19">
        <v>0</v>
      </c>
      <c r="D1678" s="19">
        <v>0</v>
      </c>
      <c r="E1678" s="19">
        <v>0</v>
      </c>
      <c r="F1678" s="19">
        <v>0</v>
      </c>
      <c r="G1678" s="19">
        <v>0</v>
      </c>
      <c r="H1678" s="19">
        <v>0</v>
      </c>
      <c r="I1678" s="15">
        <v>3500</v>
      </c>
      <c r="J1678" s="15">
        <v>0</v>
      </c>
      <c r="K1678" s="15">
        <v>0</v>
      </c>
      <c r="L1678" s="15">
        <v>0</v>
      </c>
      <c r="M1678" s="15">
        <v>0</v>
      </c>
      <c r="N1678" s="15" t="str">
        <v/>
      </c>
      <c r="O1678" s="15" t="str">
        <v/>
      </c>
      <c r="P1678" s="22">
        <v>0</v>
      </c>
      <c r="Q1678">
        <v>0</v>
      </c>
    </row>
    <row r="1679" spans="1:17">
      <c r="A1679" s="19">
        <v>0</v>
      </c>
      <c r="B1679" s="19">
        <v>0</v>
      </c>
      <c r="C1679" s="19">
        <v>0</v>
      </c>
      <c r="D1679" s="19">
        <v>0</v>
      </c>
      <c r="E1679" s="19">
        <v>0</v>
      </c>
      <c r="F1679" s="19">
        <v>0</v>
      </c>
      <c r="G1679" s="19">
        <v>0</v>
      </c>
      <c r="H1679" s="19">
        <v>0</v>
      </c>
      <c r="I1679" s="15">
        <v>3500</v>
      </c>
      <c r="J1679" s="15">
        <v>0</v>
      </c>
      <c r="K1679" s="15">
        <v>0</v>
      </c>
      <c r="L1679" s="15">
        <v>0</v>
      </c>
      <c r="M1679" s="15">
        <v>0</v>
      </c>
      <c r="N1679" s="15" t="str">
        <v/>
      </c>
      <c r="O1679" s="15" t="str">
        <v/>
      </c>
      <c r="P1679" s="22">
        <v>0</v>
      </c>
      <c r="Q1679">
        <v>0</v>
      </c>
    </row>
    <row r="1680" spans="1:17">
      <c r="A1680" s="19">
        <v>0</v>
      </c>
      <c r="B1680" s="19">
        <v>0</v>
      </c>
      <c r="C1680" s="19">
        <v>0</v>
      </c>
      <c r="D1680" s="19">
        <v>0</v>
      </c>
      <c r="E1680" s="19">
        <v>0</v>
      </c>
      <c r="F1680" s="19">
        <v>0</v>
      </c>
      <c r="G1680" s="19">
        <v>0</v>
      </c>
      <c r="H1680" s="19">
        <v>0</v>
      </c>
      <c r="I1680" s="15">
        <v>3500</v>
      </c>
      <c r="J1680" s="15">
        <v>0</v>
      </c>
      <c r="K1680" s="15">
        <v>0</v>
      </c>
      <c r="L1680" s="15">
        <v>0</v>
      </c>
      <c r="M1680" s="15">
        <v>0</v>
      </c>
      <c r="N1680" s="15" t="str">
        <v/>
      </c>
      <c r="O1680" s="15" t="str">
        <v/>
      </c>
      <c r="P1680" s="22">
        <v>0</v>
      </c>
      <c r="Q1680">
        <v>0</v>
      </c>
    </row>
    <row r="1681" spans="1:17">
      <c r="A1681" s="19">
        <v>0</v>
      </c>
      <c r="B1681" s="19">
        <v>0</v>
      </c>
      <c r="C1681" s="19">
        <v>0</v>
      </c>
      <c r="D1681" s="19">
        <v>0</v>
      </c>
      <c r="E1681" s="19">
        <v>0</v>
      </c>
      <c r="F1681" s="19">
        <v>0</v>
      </c>
      <c r="G1681" s="19">
        <v>0</v>
      </c>
      <c r="H1681" s="19">
        <v>0</v>
      </c>
      <c r="I1681" s="15">
        <v>3500</v>
      </c>
      <c r="J1681" s="15">
        <v>0</v>
      </c>
      <c r="K1681" s="15">
        <v>0</v>
      </c>
      <c r="L1681" s="15">
        <v>0</v>
      </c>
      <c r="M1681" s="15">
        <v>0</v>
      </c>
      <c r="N1681" s="15" t="str">
        <v/>
      </c>
      <c r="O1681" s="15" t="str">
        <v/>
      </c>
      <c r="P1681" s="22">
        <v>0</v>
      </c>
      <c r="Q1681">
        <v>0</v>
      </c>
    </row>
    <row r="1682" spans="1:17">
      <c r="A1682" s="19">
        <v>0</v>
      </c>
      <c r="B1682" s="19">
        <v>0</v>
      </c>
      <c r="C1682" s="19">
        <v>0</v>
      </c>
      <c r="D1682" s="19">
        <v>0</v>
      </c>
      <c r="E1682" s="19">
        <v>0</v>
      </c>
      <c r="F1682" s="19">
        <v>0</v>
      </c>
      <c r="G1682" s="19">
        <v>0</v>
      </c>
      <c r="H1682" s="19">
        <v>0</v>
      </c>
      <c r="I1682" s="15">
        <v>3500</v>
      </c>
      <c r="J1682" s="15">
        <v>0</v>
      </c>
      <c r="K1682" s="15">
        <v>0</v>
      </c>
      <c r="L1682" s="15">
        <v>0</v>
      </c>
      <c r="M1682" s="15">
        <v>0</v>
      </c>
      <c r="N1682" s="15" t="str">
        <v/>
      </c>
      <c r="O1682" s="15" t="str">
        <v/>
      </c>
      <c r="P1682" s="22">
        <v>0</v>
      </c>
      <c r="Q1682">
        <v>0</v>
      </c>
    </row>
    <row r="1683" spans="1:17">
      <c r="A1683" s="19">
        <v>0</v>
      </c>
      <c r="B1683" s="19">
        <v>0</v>
      </c>
      <c r="C1683" s="19">
        <v>0</v>
      </c>
      <c r="D1683" s="19">
        <v>0</v>
      </c>
      <c r="E1683" s="19">
        <v>0</v>
      </c>
      <c r="F1683" s="19">
        <v>0</v>
      </c>
      <c r="G1683" s="19">
        <v>0</v>
      </c>
      <c r="H1683" s="19">
        <v>0</v>
      </c>
      <c r="I1683" s="15">
        <v>3500</v>
      </c>
      <c r="J1683" s="15">
        <v>0</v>
      </c>
      <c r="K1683" s="15">
        <v>0</v>
      </c>
      <c r="L1683" s="15">
        <v>0</v>
      </c>
      <c r="M1683" s="15">
        <v>0</v>
      </c>
      <c r="N1683" s="15" t="str">
        <v/>
      </c>
      <c r="O1683" s="15" t="str">
        <v/>
      </c>
      <c r="P1683" s="22">
        <v>0</v>
      </c>
      <c r="Q1683">
        <v>0</v>
      </c>
    </row>
    <row r="1684" spans="1:17">
      <c r="A1684" s="19">
        <v>0</v>
      </c>
      <c r="B1684" s="19">
        <v>0</v>
      </c>
      <c r="C1684" s="19">
        <v>0</v>
      </c>
      <c r="D1684" s="19">
        <v>0</v>
      </c>
      <c r="E1684" s="19">
        <v>0</v>
      </c>
      <c r="F1684" s="19">
        <v>0</v>
      </c>
      <c r="G1684" s="19">
        <v>0</v>
      </c>
      <c r="H1684" s="19">
        <v>0</v>
      </c>
      <c r="I1684" s="15">
        <v>3500</v>
      </c>
      <c r="J1684" s="15">
        <v>0</v>
      </c>
      <c r="K1684" s="15">
        <v>0</v>
      </c>
      <c r="L1684" s="15">
        <v>0</v>
      </c>
      <c r="M1684" s="15">
        <v>0</v>
      </c>
      <c r="N1684" s="15" t="str">
        <v/>
      </c>
      <c r="O1684" s="15" t="str">
        <v/>
      </c>
      <c r="P1684" s="22">
        <v>0</v>
      </c>
      <c r="Q1684">
        <v>0</v>
      </c>
    </row>
    <row r="1685" spans="1:17">
      <c r="A1685" s="19">
        <v>0</v>
      </c>
      <c r="B1685" s="19">
        <v>0</v>
      </c>
      <c r="C1685" s="19">
        <v>0</v>
      </c>
      <c r="D1685" s="19">
        <v>0</v>
      </c>
      <c r="E1685" s="19">
        <v>0</v>
      </c>
      <c r="F1685" s="19">
        <v>0</v>
      </c>
      <c r="G1685" s="19">
        <v>0</v>
      </c>
      <c r="H1685" s="19">
        <v>0</v>
      </c>
      <c r="I1685" s="15">
        <v>3500</v>
      </c>
      <c r="J1685" s="15">
        <v>0</v>
      </c>
      <c r="K1685" s="15">
        <v>0</v>
      </c>
      <c r="L1685" s="15">
        <v>0</v>
      </c>
      <c r="M1685" s="15">
        <v>0</v>
      </c>
      <c r="N1685" s="15" t="str">
        <v/>
      </c>
      <c r="O1685" s="15" t="str">
        <v/>
      </c>
      <c r="P1685" s="22">
        <v>0</v>
      </c>
      <c r="Q1685">
        <v>0</v>
      </c>
    </row>
    <row r="1686" spans="1:17">
      <c r="A1686" s="19">
        <v>0</v>
      </c>
      <c r="B1686" s="19">
        <v>0</v>
      </c>
      <c r="C1686" s="19">
        <v>0</v>
      </c>
      <c r="D1686" s="19">
        <v>0</v>
      </c>
      <c r="E1686" s="19">
        <v>0</v>
      </c>
      <c r="F1686" s="19">
        <v>0</v>
      </c>
      <c r="G1686" s="19">
        <v>0</v>
      </c>
      <c r="H1686" s="19">
        <v>0</v>
      </c>
      <c r="I1686" s="15">
        <v>3500</v>
      </c>
      <c r="J1686" s="15">
        <v>0</v>
      </c>
      <c r="K1686" s="15">
        <v>0</v>
      </c>
      <c r="L1686" s="15">
        <v>0</v>
      </c>
      <c r="M1686" s="15">
        <v>0</v>
      </c>
      <c r="N1686" s="15" t="str">
        <v/>
      </c>
      <c r="O1686" s="15" t="str">
        <v/>
      </c>
      <c r="P1686" s="22">
        <v>0</v>
      </c>
      <c r="Q1686">
        <v>0</v>
      </c>
    </row>
    <row r="1687" spans="1:17">
      <c r="A1687" s="19">
        <v>0</v>
      </c>
      <c r="B1687" s="19">
        <v>0</v>
      </c>
      <c r="C1687" s="19">
        <v>0</v>
      </c>
      <c r="D1687" s="19">
        <v>0</v>
      </c>
      <c r="E1687" s="19">
        <v>0</v>
      </c>
      <c r="F1687" s="19">
        <v>0</v>
      </c>
      <c r="G1687" s="19">
        <v>0</v>
      </c>
      <c r="H1687" s="19">
        <v>0</v>
      </c>
      <c r="I1687" s="15">
        <v>3500</v>
      </c>
      <c r="J1687" s="15">
        <v>0</v>
      </c>
      <c r="K1687" s="15">
        <v>0</v>
      </c>
      <c r="L1687" s="15">
        <v>0</v>
      </c>
      <c r="M1687" s="15">
        <v>0</v>
      </c>
      <c r="N1687" s="15" t="str">
        <v/>
      </c>
      <c r="O1687" s="15" t="str">
        <v/>
      </c>
      <c r="P1687" s="22">
        <v>0</v>
      </c>
      <c r="Q1687">
        <v>0</v>
      </c>
    </row>
    <row r="1688" spans="1:17">
      <c r="A1688" s="19">
        <v>0</v>
      </c>
      <c r="B1688" s="19">
        <v>0</v>
      </c>
      <c r="C1688" s="19">
        <v>0</v>
      </c>
      <c r="D1688" s="19">
        <v>0</v>
      </c>
      <c r="E1688" s="19">
        <v>0</v>
      </c>
      <c r="F1688" s="19">
        <v>0</v>
      </c>
      <c r="G1688" s="19">
        <v>0</v>
      </c>
      <c r="H1688" s="19">
        <v>0</v>
      </c>
      <c r="I1688" s="15">
        <v>3500</v>
      </c>
      <c r="J1688" s="15">
        <v>0</v>
      </c>
      <c r="K1688" s="15">
        <v>0</v>
      </c>
      <c r="L1688" s="15">
        <v>0</v>
      </c>
      <c r="M1688" s="15">
        <v>0</v>
      </c>
      <c r="N1688" s="15" t="str">
        <v/>
      </c>
      <c r="O1688" s="15" t="str">
        <v/>
      </c>
      <c r="P1688" s="22">
        <v>0</v>
      </c>
      <c r="Q1688">
        <v>0</v>
      </c>
    </row>
    <row r="1689" spans="1:17">
      <c r="A1689" s="19">
        <v>0</v>
      </c>
      <c r="B1689" s="19">
        <v>0</v>
      </c>
      <c r="C1689" s="19">
        <v>0</v>
      </c>
      <c r="D1689" s="19">
        <v>0</v>
      </c>
      <c r="E1689" s="19">
        <v>0</v>
      </c>
      <c r="F1689" s="19">
        <v>0</v>
      </c>
      <c r="G1689" s="19">
        <v>0</v>
      </c>
      <c r="H1689" s="19">
        <v>0</v>
      </c>
      <c r="I1689" s="15">
        <v>3500</v>
      </c>
      <c r="J1689" s="15">
        <v>0</v>
      </c>
      <c r="K1689" s="15">
        <v>0</v>
      </c>
      <c r="L1689" s="15">
        <v>0</v>
      </c>
      <c r="M1689" s="15">
        <v>0</v>
      </c>
      <c r="N1689" s="15" t="str">
        <v/>
      </c>
      <c r="O1689" s="15" t="str">
        <v/>
      </c>
      <c r="P1689" s="22">
        <v>0</v>
      </c>
      <c r="Q1689">
        <v>0</v>
      </c>
    </row>
    <row r="1690" spans="1:17">
      <c r="A1690" s="19">
        <v>0</v>
      </c>
      <c r="B1690" s="19">
        <v>0</v>
      </c>
      <c r="C1690" s="19">
        <v>0</v>
      </c>
      <c r="D1690" s="19">
        <v>0</v>
      </c>
      <c r="E1690" s="19">
        <v>0</v>
      </c>
      <c r="F1690" s="19">
        <v>0</v>
      </c>
      <c r="G1690" s="19">
        <v>0</v>
      </c>
      <c r="H1690" s="19">
        <v>0</v>
      </c>
      <c r="I1690" s="15">
        <v>3500</v>
      </c>
      <c r="J1690" s="15">
        <v>0</v>
      </c>
      <c r="K1690" s="15">
        <v>0</v>
      </c>
      <c r="L1690" s="15">
        <v>0</v>
      </c>
      <c r="M1690" s="15">
        <v>0</v>
      </c>
      <c r="N1690" s="15" t="str">
        <v/>
      </c>
      <c r="O1690" s="15" t="str">
        <v/>
      </c>
      <c r="P1690" s="22">
        <v>0</v>
      </c>
      <c r="Q1690">
        <v>0</v>
      </c>
    </row>
    <row r="1691" spans="1:17">
      <c r="A1691" s="19">
        <v>0</v>
      </c>
      <c r="B1691" s="19">
        <v>0</v>
      </c>
      <c r="C1691" s="19">
        <v>0</v>
      </c>
      <c r="D1691" s="19">
        <v>0</v>
      </c>
      <c r="E1691" s="19">
        <v>0</v>
      </c>
      <c r="F1691" s="19">
        <v>0</v>
      </c>
      <c r="G1691" s="19">
        <v>0</v>
      </c>
      <c r="H1691" s="19">
        <v>0</v>
      </c>
      <c r="I1691" s="15">
        <v>3500</v>
      </c>
      <c r="J1691" s="15">
        <v>0</v>
      </c>
      <c r="K1691" s="15">
        <v>0</v>
      </c>
      <c r="L1691" s="15">
        <v>0</v>
      </c>
      <c r="M1691" s="15">
        <v>0</v>
      </c>
      <c r="N1691" s="15" t="str">
        <v/>
      </c>
      <c r="O1691" s="15" t="str">
        <v/>
      </c>
      <c r="P1691" s="22">
        <v>0</v>
      </c>
      <c r="Q1691">
        <v>0</v>
      </c>
    </row>
    <row r="1692" spans="1:17">
      <c r="A1692" s="19">
        <v>0</v>
      </c>
      <c r="B1692" s="19">
        <v>0</v>
      </c>
      <c r="C1692" s="19">
        <v>0</v>
      </c>
      <c r="D1692" s="19">
        <v>0</v>
      </c>
      <c r="E1692" s="19">
        <v>0</v>
      </c>
      <c r="F1692" s="19">
        <v>0</v>
      </c>
      <c r="G1692" s="19">
        <v>0</v>
      </c>
      <c r="H1692" s="19">
        <v>0</v>
      </c>
      <c r="I1692" s="15">
        <v>3500</v>
      </c>
      <c r="J1692" s="15">
        <v>0</v>
      </c>
      <c r="K1692" s="15">
        <v>0</v>
      </c>
      <c r="L1692" s="15">
        <v>0</v>
      </c>
      <c r="M1692" s="15">
        <v>0</v>
      </c>
      <c r="N1692" s="15" t="str">
        <v/>
      </c>
      <c r="O1692" s="15" t="str">
        <v/>
      </c>
      <c r="P1692" s="22">
        <v>0</v>
      </c>
      <c r="Q1692">
        <v>0</v>
      </c>
    </row>
    <row r="1693" spans="1:17">
      <c r="A1693" s="19">
        <v>0</v>
      </c>
      <c r="B1693" s="19">
        <v>0</v>
      </c>
      <c r="C1693" s="19">
        <v>0</v>
      </c>
      <c r="D1693" s="19">
        <v>0</v>
      </c>
      <c r="E1693" s="19">
        <v>0</v>
      </c>
      <c r="F1693" s="19">
        <v>0</v>
      </c>
      <c r="G1693" s="19">
        <v>0</v>
      </c>
      <c r="H1693" s="19">
        <v>0</v>
      </c>
      <c r="I1693" s="15">
        <v>3500</v>
      </c>
      <c r="J1693" s="15">
        <v>0</v>
      </c>
      <c r="K1693" s="15">
        <v>0</v>
      </c>
      <c r="L1693" s="15">
        <v>0</v>
      </c>
      <c r="M1693" s="15">
        <v>0</v>
      </c>
      <c r="N1693" s="15" t="str">
        <v/>
      </c>
      <c r="O1693" s="15" t="str">
        <v/>
      </c>
      <c r="P1693" s="22">
        <v>0</v>
      </c>
      <c r="Q1693">
        <v>0</v>
      </c>
    </row>
    <row r="1694" spans="1:17">
      <c r="A1694" s="19">
        <v>0</v>
      </c>
      <c r="B1694" s="19">
        <v>0</v>
      </c>
      <c r="C1694" s="19">
        <v>0</v>
      </c>
      <c r="D1694" s="19">
        <v>0</v>
      </c>
      <c r="E1694" s="19">
        <v>0</v>
      </c>
      <c r="F1694" s="19">
        <v>0</v>
      </c>
      <c r="G1694" s="19">
        <v>0</v>
      </c>
      <c r="H1694" s="19">
        <v>0</v>
      </c>
      <c r="I1694" s="15">
        <v>3500</v>
      </c>
      <c r="J1694" s="15">
        <v>0</v>
      </c>
      <c r="K1694" s="15">
        <v>0</v>
      </c>
      <c r="L1694" s="15">
        <v>0</v>
      </c>
      <c r="M1694" s="15">
        <v>0</v>
      </c>
      <c r="N1694" s="15" t="str">
        <v/>
      </c>
      <c r="O1694" s="15" t="str">
        <v/>
      </c>
      <c r="P1694" s="22">
        <v>0</v>
      </c>
      <c r="Q1694">
        <v>0</v>
      </c>
    </row>
    <row r="1695" spans="1:17">
      <c r="A1695" s="19">
        <v>0</v>
      </c>
      <c r="B1695" s="19">
        <v>0</v>
      </c>
      <c r="C1695" s="19">
        <v>0</v>
      </c>
      <c r="D1695" s="19">
        <v>0</v>
      </c>
      <c r="E1695" s="19">
        <v>0</v>
      </c>
      <c r="F1695" s="19">
        <v>0</v>
      </c>
      <c r="G1695" s="19">
        <v>0</v>
      </c>
      <c r="H1695" s="19">
        <v>0</v>
      </c>
      <c r="I1695" s="15">
        <v>3500</v>
      </c>
      <c r="J1695" s="15">
        <v>0</v>
      </c>
      <c r="K1695" s="15">
        <v>0</v>
      </c>
      <c r="L1695" s="15">
        <v>0</v>
      </c>
      <c r="M1695" s="15">
        <v>0</v>
      </c>
      <c r="N1695" s="15" t="str">
        <v/>
      </c>
      <c r="O1695" s="15" t="str">
        <v/>
      </c>
      <c r="P1695" s="22">
        <v>0</v>
      </c>
      <c r="Q1695">
        <v>0</v>
      </c>
    </row>
    <row r="1696" spans="1:17">
      <c r="A1696" s="19">
        <v>0</v>
      </c>
      <c r="B1696" s="19">
        <v>0</v>
      </c>
      <c r="C1696" s="19">
        <v>0</v>
      </c>
      <c r="D1696" s="19">
        <v>0</v>
      </c>
      <c r="E1696" s="19">
        <v>0</v>
      </c>
      <c r="F1696" s="19">
        <v>0</v>
      </c>
      <c r="G1696" s="19">
        <v>0</v>
      </c>
      <c r="H1696" s="19">
        <v>0</v>
      </c>
      <c r="I1696" s="15">
        <v>3500</v>
      </c>
      <c r="J1696" s="15">
        <v>0</v>
      </c>
      <c r="K1696" s="15">
        <v>0</v>
      </c>
      <c r="L1696" s="15">
        <v>0</v>
      </c>
      <c r="M1696" s="15">
        <v>0</v>
      </c>
      <c r="N1696" s="15" t="str">
        <v/>
      </c>
      <c r="O1696" s="15" t="str">
        <v/>
      </c>
      <c r="P1696" s="22">
        <v>0</v>
      </c>
      <c r="Q1696">
        <v>0</v>
      </c>
    </row>
    <row r="1697" spans="1:17">
      <c r="A1697" s="19">
        <v>0</v>
      </c>
      <c r="B1697" s="19">
        <v>0</v>
      </c>
      <c r="C1697" s="19">
        <v>0</v>
      </c>
      <c r="D1697" s="19">
        <v>0</v>
      </c>
      <c r="E1697" s="19">
        <v>0</v>
      </c>
      <c r="F1697" s="19">
        <v>0</v>
      </c>
      <c r="G1697" s="19">
        <v>0</v>
      </c>
      <c r="H1697" s="19">
        <v>0</v>
      </c>
      <c r="I1697" s="15">
        <v>3500</v>
      </c>
      <c r="J1697" s="15">
        <v>0</v>
      </c>
      <c r="K1697" s="15">
        <v>0</v>
      </c>
      <c r="L1697" s="15">
        <v>0</v>
      </c>
      <c r="M1697" s="15">
        <v>0</v>
      </c>
      <c r="N1697" s="15" t="str">
        <v/>
      </c>
      <c r="O1697" s="15" t="str">
        <v/>
      </c>
      <c r="P1697" s="22">
        <v>0</v>
      </c>
      <c r="Q1697">
        <v>0</v>
      </c>
    </row>
    <row r="1698" spans="1:17">
      <c r="A1698" s="19">
        <v>0</v>
      </c>
      <c r="B1698" s="19">
        <v>0</v>
      </c>
      <c r="C1698" s="19">
        <v>0</v>
      </c>
      <c r="D1698" s="19">
        <v>0</v>
      </c>
      <c r="E1698" s="19">
        <v>0</v>
      </c>
      <c r="F1698" s="19">
        <v>0</v>
      </c>
      <c r="G1698" s="19">
        <v>0</v>
      </c>
      <c r="H1698" s="19">
        <v>0</v>
      </c>
      <c r="I1698" s="15">
        <v>3500</v>
      </c>
      <c r="J1698" s="15">
        <v>0</v>
      </c>
      <c r="K1698" s="15">
        <v>0</v>
      </c>
      <c r="L1698" s="15">
        <v>0</v>
      </c>
      <c r="M1698" s="15">
        <v>0</v>
      </c>
      <c r="N1698" s="15" t="str">
        <v/>
      </c>
      <c r="O1698" s="15" t="str">
        <v/>
      </c>
      <c r="P1698" s="22">
        <v>0</v>
      </c>
      <c r="Q1698">
        <v>0</v>
      </c>
    </row>
    <row r="1699" spans="1:17">
      <c r="A1699" s="19">
        <v>0</v>
      </c>
      <c r="B1699" s="19">
        <v>0</v>
      </c>
      <c r="C1699" s="19">
        <v>0</v>
      </c>
      <c r="D1699" s="19">
        <v>0</v>
      </c>
      <c r="E1699" s="19">
        <v>0</v>
      </c>
      <c r="F1699" s="19">
        <v>0</v>
      </c>
      <c r="G1699" s="19">
        <v>0</v>
      </c>
      <c r="H1699" s="19">
        <v>0</v>
      </c>
      <c r="I1699" s="15">
        <v>3500</v>
      </c>
      <c r="J1699" s="15">
        <v>0</v>
      </c>
      <c r="K1699" s="15">
        <v>0</v>
      </c>
      <c r="L1699" s="15">
        <v>0</v>
      </c>
      <c r="M1699" s="15">
        <v>0</v>
      </c>
      <c r="N1699" s="15" t="str">
        <v/>
      </c>
      <c r="O1699" s="15" t="str">
        <v/>
      </c>
      <c r="P1699" s="22">
        <v>0</v>
      </c>
      <c r="Q1699">
        <v>0</v>
      </c>
    </row>
    <row r="1700" spans="1:17">
      <c r="A1700" s="19">
        <v>0</v>
      </c>
      <c r="B1700" s="19">
        <v>0</v>
      </c>
      <c r="C1700" s="19">
        <v>0</v>
      </c>
      <c r="D1700" s="19">
        <v>0</v>
      </c>
      <c r="E1700" s="19">
        <v>0</v>
      </c>
      <c r="F1700" s="19">
        <v>0</v>
      </c>
      <c r="G1700" s="19">
        <v>0</v>
      </c>
      <c r="H1700" s="19">
        <v>0</v>
      </c>
      <c r="I1700" s="15">
        <v>3500</v>
      </c>
      <c r="J1700" s="15">
        <v>0</v>
      </c>
      <c r="K1700" s="15">
        <v>0</v>
      </c>
      <c r="L1700" s="15">
        <v>0</v>
      </c>
      <c r="M1700" s="15">
        <v>0</v>
      </c>
      <c r="N1700" s="15" t="str">
        <v/>
      </c>
      <c r="O1700" s="15" t="str">
        <v/>
      </c>
      <c r="P1700" s="22">
        <v>0</v>
      </c>
      <c r="Q1700">
        <v>0</v>
      </c>
    </row>
    <row r="1701" spans="1:17">
      <c r="A1701" s="19">
        <v>0</v>
      </c>
      <c r="B1701" s="19">
        <v>0</v>
      </c>
      <c r="C1701" s="19">
        <v>0</v>
      </c>
      <c r="D1701" s="19">
        <v>0</v>
      </c>
      <c r="E1701" s="19">
        <v>0</v>
      </c>
      <c r="F1701" s="19">
        <v>0</v>
      </c>
      <c r="G1701" s="19">
        <v>0</v>
      </c>
      <c r="H1701" s="19">
        <v>0</v>
      </c>
      <c r="I1701" s="15">
        <v>3500</v>
      </c>
      <c r="J1701" s="15">
        <v>0</v>
      </c>
      <c r="K1701" s="15">
        <v>0</v>
      </c>
      <c r="L1701" s="15">
        <v>0</v>
      </c>
      <c r="M1701" s="15">
        <v>0</v>
      </c>
      <c r="N1701" s="15" t="str">
        <v/>
      </c>
      <c r="O1701" s="15" t="str">
        <v/>
      </c>
      <c r="P1701" s="22">
        <v>0</v>
      </c>
      <c r="Q1701">
        <v>0</v>
      </c>
    </row>
    <row r="1702" spans="1:17">
      <c r="A1702" s="19">
        <v>0</v>
      </c>
      <c r="B1702" s="19">
        <v>0</v>
      </c>
      <c r="C1702" s="19">
        <v>0</v>
      </c>
      <c r="D1702" s="19">
        <v>0</v>
      </c>
      <c r="E1702" s="19">
        <v>0</v>
      </c>
      <c r="F1702" s="19">
        <v>0</v>
      </c>
      <c r="G1702" s="19">
        <v>0</v>
      </c>
      <c r="H1702" s="19">
        <v>0</v>
      </c>
      <c r="I1702" s="15">
        <v>3500</v>
      </c>
      <c r="J1702" s="15">
        <v>0</v>
      </c>
      <c r="K1702" s="15">
        <v>0</v>
      </c>
      <c r="L1702" s="15">
        <v>0</v>
      </c>
      <c r="M1702" s="15">
        <v>0</v>
      </c>
      <c r="N1702" s="15" t="str">
        <v/>
      </c>
      <c r="O1702" s="15" t="str">
        <v/>
      </c>
      <c r="P1702" s="22">
        <v>0</v>
      </c>
      <c r="Q1702">
        <v>0</v>
      </c>
    </row>
    <row r="1703" spans="1:17">
      <c r="A1703" s="19">
        <v>0</v>
      </c>
      <c r="B1703" s="19">
        <v>0</v>
      </c>
      <c r="C1703" s="19">
        <v>0</v>
      </c>
      <c r="D1703" s="19">
        <v>0</v>
      </c>
      <c r="E1703" s="19">
        <v>0</v>
      </c>
      <c r="F1703" s="19">
        <v>0</v>
      </c>
      <c r="G1703" s="19">
        <v>0</v>
      </c>
      <c r="H1703" s="19">
        <v>0</v>
      </c>
      <c r="I1703" s="15">
        <v>3500</v>
      </c>
      <c r="J1703" s="15">
        <v>0</v>
      </c>
      <c r="K1703" s="15">
        <v>0</v>
      </c>
      <c r="L1703" s="15">
        <v>0</v>
      </c>
      <c r="M1703" s="15">
        <v>0</v>
      </c>
      <c r="N1703" s="15" t="str">
        <v/>
      </c>
      <c r="O1703" s="15" t="str">
        <v/>
      </c>
      <c r="P1703" s="22">
        <v>0</v>
      </c>
      <c r="Q1703">
        <v>0</v>
      </c>
    </row>
    <row r="1704" spans="1:17">
      <c r="A1704" s="19">
        <v>0</v>
      </c>
      <c r="B1704" s="19">
        <v>0</v>
      </c>
      <c r="C1704" s="19">
        <v>0</v>
      </c>
      <c r="D1704" s="19">
        <v>0</v>
      </c>
      <c r="E1704" s="19">
        <v>0</v>
      </c>
      <c r="F1704" s="19">
        <v>0</v>
      </c>
      <c r="G1704" s="19">
        <v>0</v>
      </c>
      <c r="H1704" s="19">
        <v>0</v>
      </c>
      <c r="I1704" s="15">
        <v>3500</v>
      </c>
      <c r="J1704" s="15">
        <v>0</v>
      </c>
      <c r="K1704" s="15">
        <v>0</v>
      </c>
      <c r="L1704" s="15">
        <v>0</v>
      </c>
      <c r="M1704" s="15">
        <v>0</v>
      </c>
      <c r="N1704" s="15" t="str">
        <v/>
      </c>
      <c r="O1704" s="15" t="str">
        <v/>
      </c>
      <c r="P1704" s="22">
        <v>0</v>
      </c>
      <c r="Q1704">
        <v>0</v>
      </c>
    </row>
    <row r="1705" spans="1:17">
      <c r="A1705" s="19">
        <v>0</v>
      </c>
      <c r="B1705" s="19">
        <v>0</v>
      </c>
      <c r="C1705" s="19">
        <v>0</v>
      </c>
      <c r="D1705" s="19">
        <v>0</v>
      </c>
      <c r="E1705" s="19">
        <v>0</v>
      </c>
      <c r="F1705" s="19">
        <v>0</v>
      </c>
      <c r="G1705" s="19">
        <v>0</v>
      </c>
      <c r="H1705" s="19">
        <v>0</v>
      </c>
      <c r="I1705" s="15">
        <v>3500</v>
      </c>
      <c r="J1705" s="15">
        <v>0</v>
      </c>
      <c r="K1705" s="15">
        <v>0</v>
      </c>
      <c r="L1705" s="15">
        <v>0</v>
      </c>
      <c r="M1705" s="15">
        <v>0</v>
      </c>
      <c r="N1705" s="15" t="str">
        <v/>
      </c>
      <c r="O1705" s="15" t="str">
        <v/>
      </c>
      <c r="P1705" s="22">
        <v>0</v>
      </c>
      <c r="Q1705">
        <v>0</v>
      </c>
    </row>
    <row r="1706" spans="1:17">
      <c r="A1706" s="19">
        <v>0</v>
      </c>
      <c r="B1706" s="19">
        <v>0</v>
      </c>
      <c r="C1706" s="19">
        <v>0</v>
      </c>
      <c r="D1706" s="19">
        <v>0</v>
      </c>
      <c r="E1706" s="19">
        <v>0</v>
      </c>
      <c r="F1706" s="19">
        <v>0</v>
      </c>
      <c r="G1706" s="19">
        <v>0</v>
      </c>
      <c r="H1706" s="19">
        <v>0</v>
      </c>
      <c r="I1706" s="15">
        <v>3500</v>
      </c>
      <c r="J1706" s="15">
        <v>0</v>
      </c>
      <c r="K1706" s="15">
        <v>0</v>
      </c>
      <c r="L1706" s="15">
        <v>0</v>
      </c>
      <c r="M1706" s="15">
        <v>0</v>
      </c>
      <c r="N1706" s="15" t="str">
        <v/>
      </c>
      <c r="O1706" s="15" t="str">
        <v/>
      </c>
      <c r="P1706" s="22">
        <v>0</v>
      </c>
      <c r="Q1706">
        <v>0</v>
      </c>
    </row>
    <row r="1707" spans="1:17">
      <c r="A1707" s="19">
        <v>0</v>
      </c>
      <c r="B1707" s="19">
        <v>0</v>
      </c>
      <c r="C1707" s="19">
        <v>0</v>
      </c>
      <c r="D1707" s="19">
        <v>0</v>
      </c>
      <c r="E1707" s="19">
        <v>0</v>
      </c>
      <c r="F1707" s="19">
        <v>0</v>
      </c>
      <c r="G1707" s="19">
        <v>0</v>
      </c>
      <c r="H1707" s="19">
        <v>0</v>
      </c>
      <c r="I1707" s="15">
        <v>3500</v>
      </c>
      <c r="J1707" s="15">
        <v>0</v>
      </c>
      <c r="K1707" s="15">
        <v>0</v>
      </c>
      <c r="L1707" s="15">
        <v>0</v>
      </c>
      <c r="M1707" s="15">
        <v>0</v>
      </c>
      <c r="N1707" s="15" t="str">
        <v/>
      </c>
      <c r="O1707" s="15" t="str">
        <v/>
      </c>
      <c r="P1707" s="22">
        <v>0</v>
      </c>
      <c r="Q1707">
        <v>0</v>
      </c>
    </row>
    <row r="1708" spans="1:17">
      <c r="A1708" s="19">
        <v>0</v>
      </c>
      <c r="B1708" s="19">
        <v>0</v>
      </c>
      <c r="C1708" s="19">
        <v>0</v>
      </c>
      <c r="D1708" s="19">
        <v>0</v>
      </c>
      <c r="E1708" s="19">
        <v>0</v>
      </c>
      <c r="F1708" s="19">
        <v>0</v>
      </c>
      <c r="G1708" s="19">
        <v>0</v>
      </c>
      <c r="H1708" s="19">
        <v>0</v>
      </c>
      <c r="I1708" s="15">
        <v>3500</v>
      </c>
      <c r="J1708" s="15">
        <v>0</v>
      </c>
      <c r="K1708" s="15">
        <v>0</v>
      </c>
      <c r="L1708" s="15">
        <v>0</v>
      </c>
      <c r="M1708" s="15">
        <v>0</v>
      </c>
      <c r="N1708" s="15" t="str">
        <v/>
      </c>
      <c r="O1708" s="15" t="str">
        <v/>
      </c>
      <c r="P1708" s="22">
        <v>0</v>
      </c>
      <c r="Q1708">
        <v>0</v>
      </c>
    </row>
    <row r="1709" spans="1:17">
      <c r="A1709" s="19">
        <v>0</v>
      </c>
      <c r="B1709" s="19">
        <v>0</v>
      </c>
      <c r="C1709" s="19">
        <v>0</v>
      </c>
      <c r="D1709" s="19">
        <v>0</v>
      </c>
      <c r="E1709" s="19">
        <v>0</v>
      </c>
      <c r="F1709" s="19">
        <v>0</v>
      </c>
      <c r="G1709" s="19">
        <v>0</v>
      </c>
      <c r="H1709" s="19">
        <v>0</v>
      </c>
      <c r="I1709" s="15">
        <v>3500</v>
      </c>
      <c r="J1709" s="15">
        <v>0</v>
      </c>
      <c r="K1709" s="15">
        <v>0</v>
      </c>
      <c r="L1709" s="15">
        <v>0</v>
      </c>
      <c r="M1709" s="15">
        <v>0</v>
      </c>
      <c r="N1709" s="15" t="str">
        <v/>
      </c>
      <c r="O1709" s="15" t="str">
        <v/>
      </c>
      <c r="P1709" s="22">
        <v>0</v>
      </c>
      <c r="Q1709">
        <v>0</v>
      </c>
    </row>
    <row r="1710" spans="1:17">
      <c r="A1710" s="19">
        <v>0</v>
      </c>
      <c r="B1710" s="19">
        <v>0</v>
      </c>
      <c r="C1710" s="19">
        <v>0</v>
      </c>
      <c r="D1710" s="19">
        <v>0</v>
      </c>
      <c r="E1710" s="19">
        <v>0</v>
      </c>
      <c r="F1710" s="19">
        <v>0</v>
      </c>
      <c r="G1710" s="19">
        <v>0</v>
      </c>
      <c r="H1710" s="19">
        <v>0</v>
      </c>
      <c r="I1710" s="15">
        <v>3500</v>
      </c>
      <c r="J1710" s="15">
        <v>0</v>
      </c>
      <c r="K1710" s="15">
        <v>0</v>
      </c>
      <c r="L1710" s="15">
        <v>0</v>
      </c>
      <c r="M1710" s="15">
        <v>0</v>
      </c>
      <c r="N1710" s="15" t="str">
        <v/>
      </c>
      <c r="O1710" s="15" t="str">
        <v/>
      </c>
      <c r="P1710" s="22">
        <v>0</v>
      </c>
      <c r="Q1710">
        <v>0</v>
      </c>
    </row>
    <row r="1711" spans="1:17">
      <c r="A1711" s="19">
        <v>0</v>
      </c>
      <c r="B1711" s="19">
        <v>0</v>
      </c>
      <c r="C1711" s="19">
        <v>0</v>
      </c>
      <c r="D1711" s="19">
        <v>0</v>
      </c>
      <c r="E1711" s="19">
        <v>0</v>
      </c>
      <c r="F1711" s="19">
        <v>0</v>
      </c>
      <c r="G1711" s="19">
        <v>0</v>
      </c>
      <c r="H1711" s="19">
        <v>0</v>
      </c>
      <c r="I1711" s="15">
        <v>3500</v>
      </c>
      <c r="J1711" s="15">
        <v>0</v>
      </c>
      <c r="K1711" s="15">
        <v>0</v>
      </c>
      <c r="L1711" s="15">
        <v>0</v>
      </c>
      <c r="M1711" s="15">
        <v>0</v>
      </c>
      <c r="N1711" s="15" t="str">
        <v/>
      </c>
      <c r="O1711" s="15" t="str">
        <v/>
      </c>
      <c r="P1711" s="22">
        <v>0</v>
      </c>
      <c r="Q1711">
        <v>0</v>
      </c>
    </row>
    <row r="1712" spans="1:17">
      <c r="A1712" s="19">
        <v>0</v>
      </c>
      <c r="B1712" s="19">
        <v>0</v>
      </c>
      <c r="C1712" s="19">
        <v>0</v>
      </c>
      <c r="D1712" s="19">
        <v>0</v>
      </c>
      <c r="E1712" s="19">
        <v>0</v>
      </c>
      <c r="F1712" s="19">
        <v>0</v>
      </c>
      <c r="G1712" s="19">
        <v>0</v>
      </c>
      <c r="H1712" s="19">
        <v>0</v>
      </c>
      <c r="I1712" s="15">
        <v>3500</v>
      </c>
      <c r="J1712" s="15">
        <v>0</v>
      </c>
      <c r="K1712" s="15">
        <v>0</v>
      </c>
      <c r="L1712" s="15">
        <v>0</v>
      </c>
      <c r="M1712" s="15">
        <v>0</v>
      </c>
      <c r="N1712" s="15" t="str">
        <v/>
      </c>
      <c r="O1712" s="15" t="str">
        <v/>
      </c>
      <c r="P1712" s="22">
        <v>0</v>
      </c>
      <c r="Q1712">
        <v>0</v>
      </c>
    </row>
    <row r="1713" spans="1:17">
      <c r="A1713" s="19">
        <v>0</v>
      </c>
      <c r="B1713" s="19">
        <v>0</v>
      </c>
      <c r="C1713" s="19">
        <v>0</v>
      </c>
      <c r="D1713" s="19">
        <v>0</v>
      </c>
      <c r="E1713" s="19">
        <v>0</v>
      </c>
      <c r="F1713" s="19">
        <v>0</v>
      </c>
      <c r="G1713" s="19">
        <v>0</v>
      </c>
      <c r="H1713" s="19">
        <v>0</v>
      </c>
      <c r="I1713" s="15">
        <v>3500</v>
      </c>
      <c r="J1713" s="15">
        <v>0</v>
      </c>
      <c r="K1713" s="15">
        <v>0</v>
      </c>
      <c r="L1713" s="15">
        <v>0</v>
      </c>
      <c r="M1713" s="15">
        <v>0</v>
      </c>
      <c r="N1713" s="15" t="str">
        <v/>
      </c>
      <c r="O1713" s="15" t="str">
        <v/>
      </c>
      <c r="P1713" s="22">
        <v>0</v>
      </c>
      <c r="Q1713">
        <v>0</v>
      </c>
    </row>
    <row r="1714" spans="1:17">
      <c r="A1714" s="19">
        <v>0</v>
      </c>
      <c r="B1714" s="19">
        <v>0</v>
      </c>
      <c r="C1714" s="19">
        <v>0</v>
      </c>
      <c r="D1714" s="19">
        <v>0</v>
      </c>
      <c r="E1714" s="19">
        <v>0</v>
      </c>
      <c r="F1714" s="19">
        <v>0</v>
      </c>
      <c r="G1714" s="19">
        <v>0</v>
      </c>
      <c r="H1714" s="19">
        <v>0</v>
      </c>
      <c r="I1714" s="15">
        <v>3500</v>
      </c>
      <c r="J1714" s="15">
        <v>0</v>
      </c>
      <c r="K1714" s="15">
        <v>0</v>
      </c>
      <c r="L1714" s="15">
        <v>0</v>
      </c>
      <c r="M1714" s="15">
        <v>0</v>
      </c>
      <c r="N1714" s="15" t="str">
        <v/>
      </c>
      <c r="O1714" s="15" t="str">
        <v/>
      </c>
      <c r="P1714" s="22">
        <v>0</v>
      </c>
      <c r="Q1714">
        <v>0</v>
      </c>
    </row>
    <row r="1715" spans="1:17">
      <c r="A1715" s="19">
        <v>0</v>
      </c>
      <c r="B1715" s="19">
        <v>0</v>
      </c>
      <c r="C1715" s="19">
        <v>0</v>
      </c>
      <c r="D1715" s="19">
        <v>0</v>
      </c>
      <c r="E1715" s="19">
        <v>0</v>
      </c>
      <c r="F1715" s="19">
        <v>0</v>
      </c>
      <c r="G1715" s="19">
        <v>0</v>
      </c>
      <c r="H1715" s="19">
        <v>0</v>
      </c>
      <c r="I1715" s="15">
        <v>3500</v>
      </c>
      <c r="J1715" s="15">
        <v>0</v>
      </c>
      <c r="K1715" s="15">
        <v>0</v>
      </c>
      <c r="L1715" s="15">
        <v>0</v>
      </c>
      <c r="M1715" s="15">
        <v>0</v>
      </c>
      <c r="N1715" s="15" t="str">
        <v/>
      </c>
      <c r="O1715" s="15" t="str">
        <v/>
      </c>
      <c r="P1715" s="22">
        <v>0</v>
      </c>
      <c r="Q1715">
        <v>0</v>
      </c>
    </row>
    <row r="1716" spans="1:17">
      <c r="A1716" s="19">
        <v>0</v>
      </c>
      <c r="B1716" s="19">
        <v>0</v>
      </c>
      <c r="C1716" s="19">
        <v>0</v>
      </c>
      <c r="D1716" s="19">
        <v>0</v>
      </c>
      <c r="E1716" s="19">
        <v>0</v>
      </c>
      <c r="F1716" s="19">
        <v>0</v>
      </c>
      <c r="G1716" s="19">
        <v>0</v>
      </c>
      <c r="H1716" s="19">
        <v>0</v>
      </c>
      <c r="I1716" s="15">
        <v>3500</v>
      </c>
      <c r="J1716" s="15">
        <v>0</v>
      </c>
      <c r="K1716" s="15">
        <v>0</v>
      </c>
      <c r="L1716" s="15">
        <v>0</v>
      </c>
      <c r="M1716" s="15">
        <v>0</v>
      </c>
      <c r="N1716" s="15" t="str">
        <v/>
      </c>
      <c r="O1716" s="15" t="str">
        <v/>
      </c>
      <c r="P1716" s="22">
        <v>0</v>
      </c>
      <c r="Q1716">
        <v>0</v>
      </c>
    </row>
    <row r="1717" spans="1:17">
      <c r="A1717" s="19">
        <v>0</v>
      </c>
      <c r="B1717" s="19">
        <v>0</v>
      </c>
      <c r="C1717" s="19">
        <v>0</v>
      </c>
      <c r="D1717" s="19">
        <v>0</v>
      </c>
      <c r="E1717" s="19">
        <v>0</v>
      </c>
      <c r="F1717" s="19">
        <v>0</v>
      </c>
      <c r="G1717" s="19">
        <v>0</v>
      </c>
      <c r="H1717" s="19">
        <v>0</v>
      </c>
      <c r="I1717" s="15">
        <v>3500</v>
      </c>
      <c r="J1717" s="15">
        <v>0</v>
      </c>
      <c r="K1717" s="15">
        <v>0</v>
      </c>
      <c r="L1717" s="15">
        <v>0</v>
      </c>
      <c r="M1717" s="15">
        <v>0</v>
      </c>
      <c r="N1717" s="15" t="str">
        <v/>
      </c>
      <c r="O1717" s="15" t="str">
        <v/>
      </c>
      <c r="P1717" s="22">
        <v>0</v>
      </c>
      <c r="Q1717">
        <v>0</v>
      </c>
    </row>
    <row r="1718" spans="1:17">
      <c r="A1718" s="19">
        <v>0</v>
      </c>
      <c r="B1718" s="19">
        <v>0</v>
      </c>
      <c r="C1718" s="19">
        <v>0</v>
      </c>
      <c r="D1718" s="19">
        <v>0</v>
      </c>
      <c r="E1718" s="19">
        <v>0</v>
      </c>
      <c r="F1718" s="19">
        <v>0</v>
      </c>
      <c r="G1718" s="19">
        <v>0</v>
      </c>
      <c r="H1718" s="19">
        <v>0</v>
      </c>
      <c r="I1718" s="15">
        <v>3500</v>
      </c>
      <c r="J1718" s="15">
        <v>0</v>
      </c>
      <c r="K1718" s="15">
        <v>0</v>
      </c>
      <c r="L1718" s="15">
        <v>0</v>
      </c>
      <c r="M1718" s="15">
        <v>0</v>
      </c>
      <c r="N1718" s="15" t="str">
        <v/>
      </c>
      <c r="O1718" s="15" t="str">
        <v/>
      </c>
      <c r="P1718" s="22">
        <v>0</v>
      </c>
      <c r="Q1718">
        <v>0</v>
      </c>
    </row>
    <row r="1719" spans="1:17">
      <c r="A1719" s="19">
        <v>0</v>
      </c>
      <c r="B1719" s="19">
        <v>0</v>
      </c>
      <c r="C1719" s="19">
        <v>0</v>
      </c>
      <c r="D1719" s="19">
        <v>0</v>
      </c>
      <c r="E1719" s="19">
        <v>0</v>
      </c>
      <c r="F1719" s="19">
        <v>0</v>
      </c>
      <c r="G1719" s="19">
        <v>0</v>
      </c>
      <c r="H1719" s="19">
        <v>0</v>
      </c>
      <c r="I1719" s="15">
        <v>3500</v>
      </c>
      <c r="J1719" s="15">
        <v>0</v>
      </c>
      <c r="K1719" s="15">
        <v>0</v>
      </c>
      <c r="L1719" s="15">
        <v>0</v>
      </c>
      <c r="M1719" s="15">
        <v>0</v>
      </c>
      <c r="N1719" s="15" t="str">
        <v/>
      </c>
      <c r="O1719" s="15" t="str">
        <v/>
      </c>
      <c r="P1719" s="22">
        <v>0</v>
      </c>
      <c r="Q1719">
        <v>0</v>
      </c>
    </row>
    <row r="1720" spans="1:17">
      <c r="A1720" s="19">
        <v>0</v>
      </c>
      <c r="B1720" s="19">
        <v>0</v>
      </c>
      <c r="C1720" s="19">
        <v>0</v>
      </c>
      <c r="D1720" s="19">
        <v>0</v>
      </c>
      <c r="E1720" s="19">
        <v>0</v>
      </c>
      <c r="F1720" s="19">
        <v>0</v>
      </c>
      <c r="G1720" s="19">
        <v>0</v>
      </c>
      <c r="H1720" s="19">
        <v>0</v>
      </c>
      <c r="I1720" s="15">
        <v>3500</v>
      </c>
      <c r="J1720" s="15">
        <v>0</v>
      </c>
      <c r="K1720" s="15">
        <v>0</v>
      </c>
      <c r="L1720" s="15">
        <v>0</v>
      </c>
      <c r="M1720" s="15">
        <v>0</v>
      </c>
      <c r="N1720" s="15" t="str">
        <v/>
      </c>
      <c r="O1720" s="15" t="str">
        <v/>
      </c>
      <c r="P1720" s="22">
        <v>0</v>
      </c>
      <c r="Q1720">
        <v>0</v>
      </c>
    </row>
    <row r="1721" spans="1:17">
      <c r="A1721" s="19">
        <v>0</v>
      </c>
      <c r="B1721" s="19">
        <v>0</v>
      </c>
      <c r="C1721" s="19">
        <v>0</v>
      </c>
      <c r="D1721" s="19">
        <v>0</v>
      </c>
      <c r="E1721" s="19">
        <v>0</v>
      </c>
      <c r="F1721" s="19">
        <v>0</v>
      </c>
      <c r="G1721" s="19">
        <v>0</v>
      </c>
      <c r="H1721" s="19">
        <v>0</v>
      </c>
      <c r="I1721" s="15">
        <v>3500</v>
      </c>
      <c r="J1721" s="15">
        <v>0</v>
      </c>
      <c r="K1721" s="15">
        <v>0</v>
      </c>
      <c r="L1721" s="15">
        <v>0</v>
      </c>
      <c r="M1721" s="15">
        <v>0</v>
      </c>
      <c r="N1721" s="15" t="str">
        <v/>
      </c>
      <c r="O1721" s="15" t="str">
        <v/>
      </c>
      <c r="P1721" s="22">
        <v>0</v>
      </c>
      <c r="Q1721">
        <v>0</v>
      </c>
    </row>
    <row r="1722" spans="1:17">
      <c r="A1722" s="19">
        <v>0</v>
      </c>
      <c r="B1722" s="19">
        <v>0</v>
      </c>
      <c r="C1722" s="19">
        <v>0</v>
      </c>
      <c r="D1722" s="19">
        <v>0</v>
      </c>
      <c r="E1722" s="19">
        <v>0</v>
      </c>
      <c r="F1722" s="19">
        <v>0</v>
      </c>
      <c r="G1722" s="19">
        <v>0</v>
      </c>
      <c r="H1722" s="19">
        <v>0</v>
      </c>
      <c r="I1722" s="15">
        <v>3500</v>
      </c>
      <c r="J1722" s="15">
        <v>0</v>
      </c>
      <c r="K1722" s="15">
        <v>0</v>
      </c>
      <c r="L1722" s="15">
        <v>0</v>
      </c>
      <c r="M1722" s="15">
        <v>0</v>
      </c>
      <c r="N1722" s="15" t="str">
        <v/>
      </c>
      <c r="O1722" s="15" t="str">
        <v/>
      </c>
      <c r="P1722" s="22">
        <v>0</v>
      </c>
      <c r="Q1722">
        <v>0</v>
      </c>
    </row>
    <row r="1723" spans="1:17">
      <c r="A1723" s="19">
        <v>0</v>
      </c>
      <c r="B1723" s="19">
        <v>0</v>
      </c>
      <c r="C1723" s="19">
        <v>0</v>
      </c>
      <c r="D1723" s="19">
        <v>0</v>
      </c>
      <c r="E1723" s="19">
        <v>0</v>
      </c>
      <c r="F1723" s="19">
        <v>0</v>
      </c>
      <c r="G1723" s="19">
        <v>0</v>
      </c>
      <c r="H1723" s="19">
        <v>0</v>
      </c>
      <c r="I1723" s="15">
        <v>3500</v>
      </c>
      <c r="J1723" s="15">
        <v>0</v>
      </c>
      <c r="K1723" s="15">
        <v>0</v>
      </c>
      <c r="L1723" s="15">
        <v>0</v>
      </c>
      <c r="M1723" s="15">
        <v>0</v>
      </c>
      <c r="N1723" s="15" t="str">
        <v/>
      </c>
      <c r="O1723" s="15" t="str">
        <v/>
      </c>
      <c r="P1723" s="22">
        <v>0</v>
      </c>
      <c r="Q1723">
        <v>0</v>
      </c>
    </row>
    <row r="1724" spans="1:17">
      <c r="A1724" s="19">
        <v>0</v>
      </c>
      <c r="B1724" s="19">
        <v>0</v>
      </c>
      <c r="C1724" s="19">
        <v>0</v>
      </c>
      <c r="D1724" s="19">
        <v>0</v>
      </c>
      <c r="E1724" s="19">
        <v>0</v>
      </c>
      <c r="F1724" s="19">
        <v>0</v>
      </c>
      <c r="G1724" s="19">
        <v>0</v>
      </c>
      <c r="H1724" s="19">
        <v>0</v>
      </c>
      <c r="I1724" s="15">
        <v>3500</v>
      </c>
      <c r="J1724" s="15">
        <v>0</v>
      </c>
      <c r="K1724" s="15">
        <v>0</v>
      </c>
      <c r="L1724" s="15">
        <v>0</v>
      </c>
      <c r="M1724" s="15">
        <v>0</v>
      </c>
      <c r="N1724" s="15" t="str">
        <v/>
      </c>
      <c r="O1724" s="15" t="str">
        <v/>
      </c>
      <c r="P1724" s="22">
        <v>0</v>
      </c>
      <c r="Q1724">
        <v>0</v>
      </c>
    </row>
    <row r="1725" spans="1:17">
      <c r="A1725" s="19">
        <v>0</v>
      </c>
      <c r="B1725" s="19">
        <v>0</v>
      </c>
      <c r="C1725" s="19">
        <v>0</v>
      </c>
      <c r="D1725" s="19">
        <v>0</v>
      </c>
      <c r="E1725" s="19">
        <v>0</v>
      </c>
      <c r="F1725" s="19">
        <v>0</v>
      </c>
      <c r="G1725" s="19">
        <v>0</v>
      </c>
      <c r="H1725" s="19">
        <v>0</v>
      </c>
      <c r="I1725" s="15">
        <v>3500</v>
      </c>
      <c r="J1725" s="15">
        <v>0</v>
      </c>
      <c r="K1725" s="15">
        <v>0</v>
      </c>
      <c r="L1725" s="15">
        <v>0</v>
      </c>
      <c r="M1725" s="15">
        <v>0</v>
      </c>
      <c r="N1725" s="15" t="str">
        <v/>
      </c>
      <c r="O1725" s="15" t="str">
        <v/>
      </c>
      <c r="P1725" s="22">
        <v>0</v>
      </c>
      <c r="Q1725">
        <v>0</v>
      </c>
    </row>
    <row r="1726" spans="1:17">
      <c r="A1726" s="19">
        <v>0</v>
      </c>
      <c r="B1726" s="19">
        <v>0</v>
      </c>
      <c r="C1726" s="19">
        <v>0</v>
      </c>
      <c r="D1726" s="19">
        <v>0</v>
      </c>
      <c r="E1726" s="19">
        <v>0</v>
      </c>
      <c r="F1726" s="19">
        <v>0</v>
      </c>
      <c r="G1726" s="19">
        <v>0</v>
      </c>
      <c r="H1726" s="19">
        <v>0</v>
      </c>
      <c r="I1726" s="15">
        <v>3500</v>
      </c>
      <c r="J1726" s="15">
        <v>0</v>
      </c>
      <c r="K1726" s="15">
        <v>0</v>
      </c>
      <c r="L1726" s="15">
        <v>0</v>
      </c>
      <c r="M1726" s="15">
        <v>0</v>
      </c>
      <c r="N1726" s="15" t="str">
        <v/>
      </c>
      <c r="O1726" s="15" t="str">
        <v/>
      </c>
      <c r="P1726" s="22">
        <v>0</v>
      </c>
      <c r="Q1726">
        <v>0</v>
      </c>
    </row>
    <row r="1727" spans="1:17">
      <c r="A1727" s="19">
        <v>0</v>
      </c>
      <c r="B1727" s="19">
        <v>0</v>
      </c>
      <c r="C1727" s="19">
        <v>0</v>
      </c>
      <c r="D1727" s="19">
        <v>0</v>
      </c>
      <c r="E1727" s="19">
        <v>0</v>
      </c>
      <c r="F1727" s="19">
        <v>0</v>
      </c>
      <c r="G1727" s="19">
        <v>0</v>
      </c>
      <c r="H1727" s="19">
        <v>0</v>
      </c>
      <c r="I1727" s="15">
        <v>3500</v>
      </c>
      <c r="J1727" s="15">
        <v>0</v>
      </c>
      <c r="K1727" s="15">
        <v>0</v>
      </c>
      <c r="L1727" s="15">
        <v>0</v>
      </c>
      <c r="M1727" s="15">
        <v>0</v>
      </c>
      <c r="N1727" s="15" t="str">
        <v/>
      </c>
      <c r="O1727" s="15" t="str">
        <v/>
      </c>
      <c r="P1727" s="22">
        <v>0</v>
      </c>
      <c r="Q1727">
        <v>0</v>
      </c>
    </row>
    <row r="1728" spans="1:17">
      <c r="A1728" s="19">
        <v>0</v>
      </c>
      <c r="B1728" s="19">
        <v>0</v>
      </c>
      <c r="C1728" s="19">
        <v>0</v>
      </c>
      <c r="D1728" s="19">
        <v>0</v>
      </c>
      <c r="E1728" s="19">
        <v>0</v>
      </c>
      <c r="F1728" s="19">
        <v>0</v>
      </c>
      <c r="G1728" s="19">
        <v>0</v>
      </c>
      <c r="H1728" s="19">
        <v>0</v>
      </c>
      <c r="I1728" s="15">
        <v>3500</v>
      </c>
      <c r="J1728" s="15">
        <v>0</v>
      </c>
      <c r="K1728" s="15">
        <v>0</v>
      </c>
      <c r="L1728" s="15">
        <v>0</v>
      </c>
      <c r="M1728" s="15">
        <v>0</v>
      </c>
      <c r="N1728" s="15" t="str">
        <v/>
      </c>
      <c r="O1728" s="15" t="str">
        <v/>
      </c>
      <c r="P1728" s="22">
        <v>0</v>
      </c>
      <c r="Q1728">
        <v>0</v>
      </c>
    </row>
    <row r="1729" spans="1:17">
      <c r="A1729" s="19">
        <v>0</v>
      </c>
      <c r="B1729" s="19">
        <v>0</v>
      </c>
      <c r="C1729" s="19">
        <v>0</v>
      </c>
      <c r="D1729" s="19">
        <v>0</v>
      </c>
      <c r="E1729" s="19">
        <v>0</v>
      </c>
      <c r="F1729" s="19">
        <v>0</v>
      </c>
      <c r="G1729" s="19">
        <v>0</v>
      </c>
      <c r="H1729" s="19">
        <v>0</v>
      </c>
      <c r="I1729" s="15">
        <v>3500</v>
      </c>
      <c r="J1729" s="15">
        <v>0</v>
      </c>
      <c r="K1729" s="15">
        <v>0</v>
      </c>
      <c r="L1729" s="15">
        <v>0</v>
      </c>
      <c r="M1729" s="15">
        <v>0</v>
      </c>
      <c r="N1729" s="15" t="str">
        <v/>
      </c>
      <c r="O1729" s="15" t="str">
        <v/>
      </c>
      <c r="P1729" s="22">
        <v>0</v>
      </c>
      <c r="Q1729">
        <v>0</v>
      </c>
    </row>
    <row r="1730" spans="1:17">
      <c r="A1730" s="19">
        <v>0</v>
      </c>
      <c r="B1730" s="19">
        <v>0</v>
      </c>
      <c r="C1730" s="19">
        <v>0</v>
      </c>
      <c r="D1730" s="19">
        <v>0</v>
      </c>
      <c r="E1730" s="19">
        <v>0</v>
      </c>
      <c r="F1730" s="19">
        <v>0</v>
      </c>
      <c r="G1730" s="19">
        <v>0</v>
      </c>
      <c r="H1730" s="19">
        <v>0</v>
      </c>
      <c r="I1730" s="15">
        <v>3500</v>
      </c>
      <c r="J1730" s="15">
        <v>0</v>
      </c>
      <c r="K1730" s="15">
        <v>0</v>
      </c>
      <c r="L1730" s="15">
        <v>0</v>
      </c>
      <c r="M1730" s="15">
        <v>0</v>
      </c>
      <c r="N1730" s="15" t="str">
        <v/>
      </c>
      <c r="O1730" s="15" t="str">
        <v/>
      </c>
      <c r="P1730" s="22">
        <v>0</v>
      </c>
      <c r="Q1730">
        <v>0</v>
      </c>
    </row>
    <row r="1731" spans="1:17">
      <c r="A1731" s="19">
        <v>0</v>
      </c>
      <c r="B1731" s="19">
        <v>0</v>
      </c>
      <c r="C1731" s="19">
        <v>0</v>
      </c>
      <c r="D1731" s="19">
        <v>0</v>
      </c>
      <c r="E1731" s="19">
        <v>0</v>
      </c>
      <c r="F1731" s="19">
        <v>0</v>
      </c>
      <c r="G1731" s="19">
        <v>0</v>
      </c>
      <c r="H1731" s="19">
        <v>0</v>
      </c>
      <c r="I1731" s="15">
        <v>3500</v>
      </c>
      <c r="J1731" s="15">
        <v>0</v>
      </c>
      <c r="K1731" s="15">
        <v>0</v>
      </c>
      <c r="L1731" s="15">
        <v>0</v>
      </c>
      <c r="M1731" s="15">
        <v>0</v>
      </c>
      <c r="N1731" s="15" t="str">
        <v/>
      </c>
      <c r="O1731" s="15" t="str">
        <v/>
      </c>
      <c r="P1731" s="22">
        <v>0</v>
      </c>
      <c r="Q1731">
        <v>0</v>
      </c>
    </row>
    <row r="1732" spans="1:17">
      <c r="A1732" s="19">
        <v>0</v>
      </c>
      <c r="B1732" s="19">
        <v>0</v>
      </c>
      <c r="C1732" s="19">
        <v>0</v>
      </c>
      <c r="D1732" s="19">
        <v>0</v>
      </c>
      <c r="E1732" s="19">
        <v>0</v>
      </c>
      <c r="F1732" s="19">
        <v>0</v>
      </c>
      <c r="G1732" s="19">
        <v>0</v>
      </c>
      <c r="H1732" s="19">
        <v>0</v>
      </c>
      <c r="I1732" s="15">
        <v>3500</v>
      </c>
      <c r="J1732" s="15">
        <v>0</v>
      </c>
      <c r="K1732" s="15">
        <v>0</v>
      </c>
      <c r="L1732" s="15">
        <v>0</v>
      </c>
      <c r="M1732" s="15">
        <v>0</v>
      </c>
      <c r="N1732" s="15" t="str">
        <v/>
      </c>
      <c r="O1732" s="15" t="str">
        <v/>
      </c>
      <c r="P1732" s="22">
        <v>0</v>
      </c>
      <c r="Q1732">
        <v>0</v>
      </c>
    </row>
    <row r="1733" spans="1:17">
      <c r="A1733" s="19">
        <v>0</v>
      </c>
      <c r="B1733" s="19">
        <v>0</v>
      </c>
      <c r="C1733" s="19">
        <v>0</v>
      </c>
      <c r="D1733" s="19">
        <v>0</v>
      </c>
      <c r="E1733" s="19">
        <v>0</v>
      </c>
      <c r="F1733" s="19">
        <v>0</v>
      </c>
      <c r="G1733" s="19">
        <v>0</v>
      </c>
      <c r="H1733" s="19">
        <v>0</v>
      </c>
      <c r="I1733" s="15">
        <v>3500</v>
      </c>
      <c r="J1733" s="15">
        <v>0</v>
      </c>
      <c r="K1733" s="15">
        <v>0</v>
      </c>
      <c r="L1733" s="15">
        <v>0</v>
      </c>
      <c r="M1733" s="15">
        <v>0</v>
      </c>
      <c r="N1733" s="15" t="str">
        <v/>
      </c>
      <c r="O1733" s="15" t="str">
        <v/>
      </c>
      <c r="P1733" s="22">
        <v>0</v>
      </c>
      <c r="Q1733">
        <v>0</v>
      </c>
    </row>
    <row r="1734" spans="1:17">
      <c r="A1734" s="19">
        <v>0</v>
      </c>
      <c r="B1734" s="19">
        <v>0</v>
      </c>
      <c r="C1734" s="19">
        <v>0</v>
      </c>
      <c r="D1734" s="19">
        <v>0</v>
      </c>
      <c r="E1734" s="19">
        <v>0</v>
      </c>
      <c r="F1734" s="19">
        <v>0</v>
      </c>
      <c r="G1734" s="19">
        <v>0</v>
      </c>
      <c r="H1734" s="19">
        <v>0</v>
      </c>
      <c r="I1734" s="15">
        <v>3500</v>
      </c>
      <c r="J1734" s="15">
        <v>0</v>
      </c>
      <c r="K1734" s="15">
        <v>0</v>
      </c>
      <c r="L1734" s="15">
        <v>0</v>
      </c>
      <c r="M1734" s="15">
        <v>0</v>
      </c>
      <c r="N1734" s="15" t="str">
        <v/>
      </c>
      <c r="O1734" s="15" t="str">
        <v/>
      </c>
      <c r="P1734" s="22">
        <v>0</v>
      </c>
      <c r="Q1734">
        <v>0</v>
      </c>
    </row>
    <row r="1735" spans="1:17">
      <c r="A1735" s="19">
        <v>0</v>
      </c>
      <c r="B1735" s="19">
        <v>0</v>
      </c>
      <c r="C1735" s="19">
        <v>0</v>
      </c>
      <c r="D1735" s="19">
        <v>0</v>
      </c>
      <c r="E1735" s="19">
        <v>0</v>
      </c>
      <c r="F1735" s="19">
        <v>0</v>
      </c>
      <c r="G1735" s="19">
        <v>0</v>
      </c>
      <c r="H1735" s="19">
        <v>0</v>
      </c>
      <c r="I1735" s="15">
        <v>3500</v>
      </c>
      <c r="J1735" s="15">
        <v>0</v>
      </c>
      <c r="K1735" s="15">
        <v>0</v>
      </c>
      <c r="L1735" s="15">
        <v>0</v>
      </c>
      <c r="M1735" s="15">
        <v>0</v>
      </c>
      <c r="N1735" s="15" t="str">
        <v/>
      </c>
      <c r="O1735" s="15" t="str">
        <v/>
      </c>
      <c r="P1735" s="22">
        <v>0</v>
      </c>
      <c r="Q1735">
        <v>0</v>
      </c>
    </row>
    <row r="1736" spans="1:17">
      <c r="A1736" s="19">
        <v>0</v>
      </c>
      <c r="B1736" s="19">
        <v>0</v>
      </c>
      <c r="C1736" s="19">
        <v>0</v>
      </c>
      <c r="D1736" s="19">
        <v>0</v>
      </c>
      <c r="E1736" s="19">
        <v>0</v>
      </c>
      <c r="F1736" s="19">
        <v>0</v>
      </c>
      <c r="G1736" s="19">
        <v>0</v>
      </c>
      <c r="H1736" s="19">
        <v>0</v>
      </c>
      <c r="I1736" s="15">
        <v>3500</v>
      </c>
      <c r="J1736" s="15">
        <v>0</v>
      </c>
      <c r="K1736" s="15">
        <v>0</v>
      </c>
      <c r="L1736" s="15">
        <v>0</v>
      </c>
      <c r="M1736" s="15">
        <v>0</v>
      </c>
      <c r="N1736" s="15" t="str">
        <v/>
      </c>
      <c r="O1736" s="15" t="str">
        <v/>
      </c>
      <c r="P1736" s="22">
        <v>0</v>
      </c>
      <c r="Q1736">
        <v>0</v>
      </c>
    </row>
    <row r="1737" spans="1:17">
      <c r="A1737" s="19">
        <v>0</v>
      </c>
      <c r="B1737" s="19">
        <v>0</v>
      </c>
      <c r="C1737" s="19">
        <v>0</v>
      </c>
      <c r="D1737" s="19">
        <v>0</v>
      </c>
      <c r="E1737" s="19">
        <v>0</v>
      </c>
      <c r="F1737" s="19">
        <v>0</v>
      </c>
      <c r="G1737" s="19">
        <v>0</v>
      </c>
      <c r="H1737" s="19">
        <v>0</v>
      </c>
      <c r="I1737" s="15">
        <v>3500</v>
      </c>
      <c r="J1737" s="15">
        <v>0</v>
      </c>
      <c r="K1737" s="15">
        <v>0</v>
      </c>
      <c r="L1737" s="15">
        <v>0</v>
      </c>
      <c r="M1737" s="15">
        <v>0</v>
      </c>
      <c r="N1737" s="15" t="str">
        <v/>
      </c>
      <c r="O1737" s="15" t="str">
        <v/>
      </c>
      <c r="P1737" s="22">
        <v>0</v>
      </c>
      <c r="Q1737">
        <v>0</v>
      </c>
    </row>
    <row r="1738" spans="1:17">
      <c r="A1738" s="19">
        <v>0</v>
      </c>
      <c r="B1738" s="19">
        <v>0</v>
      </c>
      <c r="C1738" s="19">
        <v>0</v>
      </c>
      <c r="D1738" s="19">
        <v>0</v>
      </c>
      <c r="E1738" s="19">
        <v>0</v>
      </c>
      <c r="F1738" s="19">
        <v>0</v>
      </c>
      <c r="G1738" s="19">
        <v>0</v>
      </c>
      <c r="H1738" s="19">
        <v>0</v>
      </c>
      <c r="I1738" s="15">
        <v>3500</v>
      </c>
      <c r="J1738" s="15">
        <v>0</v>
      </c>
      <c r="K1738" s="15">
        <v>0</v>
      </c>
      <c r="L1738" s="15">
        <v>0</v>
      </c>
      <c r="M1738" s="15">
        <v>0</v>
      </c>
      <c r="N1738" s="15" t="str">
        <v/>
      </c>
      <c r="O1738" s="15" t="str">
        <v/>
      </c>
      <c r="P1738" s="22">
        <v>0</v>
      </c>
      <c r="Q1738">
        <v>0</v>
      </c>
    </row>
    <row r="1739" spans="1:17">
      <c r="A1739" s="19">
        <v>0</v>
      </c>
      <c r="B1739" s="19">
        <v>0</v>
      </c>
      <c r="C1739" s="19">
        <v>0</v>
      </c>
      <c r="D1739" s="19">
        <v>0</v>
      </c>
      <c r="E1739" s="19">
        <v>0</v>
      </c>
      <c r="F1739" s="19">
        <v>0</v>
      </c>
      <c r="G1739" s="19">
        <v>0</v>
      </c>
      <c r="H1739" s="19">
        <v>0</v>
      </c>
      <c r="I1739" s="15">
        <v>3500</v>
      </c>
      <c r="J1739" s="15">
        <v>0</v>
      </c>
      <c r="K1739" s="15">
        <v>0</v>
      </c>
      <c r="L1739" s="15">
        <v>0</v>
      </c>
      <c r="M1739" s="15">
        <v>0</v>
      </c>
      <c r="N1739" s="15" t="str">
        <v/>
      </c>
      <c r="O1739" s="15" t="str">
        <v/>
      </c>
      <c r="P1739" s="22">
        <v>0</v>
      </c>
      <c r="Q1739">
        <v>0</v>
      </c>
    </row>
    <row r="1740" spans="1:17">
      <c r="A1740" s="19">
        <v>0</v>
      </c>
      <c r="B1740" s="19">
        <v>0</v>
      </c>
      <c r="C1740" s="19">
        <v>0</v>
      </c>
      <c r="D1740" s="19">
        <v>0</v>
      </c>
      <c r="E1740" s="19">
        <v>0</v>
      </c>
      <c r="F1740" s="19">
        <v>0</v>
      </c>
      <c r="G1740" s="19">
        <v>0</v>
      </c>
      <c r="H1740" s="19">
        <v>0</v>
      </c>
      <c r="I1740" s="15">
        <v>3500</v>
      </c>
      <c r="J1740" s="15">
        <v>0</v>
      </c>
      <c r="K1740" s="15">
        <v>0</v>
      </c>
      <c r="L1740" s="15">
        <v>0</v>
      </c>
      <c r="M1740" s="15">
        <v>0</v>
      </c>
      <c r="N1740" s="15" t="str">
        <v/>
      </c>
      <c r="O1740" s="15" t="str">
        <v/>
      </c>
      <c r="P1740" s="22">
        <v>0</v>
      </c>
      <c r="Q1740">
        <v>0</v>
      </c>
    </row>
    <row r="1741" spans="1:17">
      <c r="A1741" s="19">
        <v>0</v>
      </c>
      <c r="B1741" s="19">
        <v>0</v>
      </c>
      <c r="C1741" s="19">
        <v>0</v>
      </c>
      <c r="D1741" s="19">
        <v>0</v>
      </c>
      <c r="E1741" s="19">
        <v>0</v>
      </c>
      <c r="F1741" s="19">
        <v>0</v>
      </c>
      <c r="G1741" s="19">
        <v>0</v>
      </c>
      <c r="H1741" s="19">
        <v>0</v>
      </c>
      <c r="I1741" s="15">
        <v>3500</v>
      </c>
      <c r="J1741" s="15">
        <v>0</v>
      </c>
      <c r="K1741" s="15">
        <v>0</v>
      </c>
      <c r="L1741" s="15">
        <v>0</v>
      </c>
      <c r="M1741" s="15">
        <v>0</v>
      </c>
      <c r="N1741" s="15" t="str">
        <v/>
      </c>
      <c r="O1741" s="15" t="str">
        <v/>
      </c>
      <c r="P1741" s="22">
        <v>0</v>
      </c>
      <c r="Q1741">
        <v>0</v>
      </c>
    </row>
    <row r="1742" spans="1:17">
      <c r="A1742" s="19">
        <v>0</v>
      </c>
      <c r="B1742" s="19">
        <v>0</v>
      </c>
      <c r="C1742" s="19">
        <v>0</v>
      </c>
      <c r="D1742" s="19">
        <v>0</v>
      </c>
      <c r="E1742" s="19">
        <v>0</v>
      </c>
      <c r="F1742" s="19">
        <v>0</v>
      </c>
      <c r="G1742" s="19">
        <v>0</v>
      </c>
      <c r="H1742" s="19">
        <v>0</v>
      </c>
      <c r="I1742" s="15">
        <v>3500</v>
      </c>
      <c r="J1742" s="15">
        <v>0</v>
      </c>
      <c r="K1742" s="15">
        <v>0</v>
      </c>
      <c r="L1742" s="15">
        <v>0</v>
      </c>
      <c r="M1742" s="15">
        <v>0</v>
      </c>
      <c r="N1742" s="15" t="str">
        <v/>
      </c>
      <c r="O1742" s="15" t="str">
        <v/>
      </c>
      <c r="P1742" s="22">
        <v>0</v>
      </c>
      <c r="Q1742">
        <v>0</v>
      </c>
    </row>
    <row r="1743" spans="1:17">
      <c r="A1743" s="19">
        <v>0</v>
      </c>
      <c r="B1743" s="19">
        <v>0</v>
      </c>
      <c r="C1743" s="19">
        <v>0</v>
      </c>
      <c r="D1743" s="19">
        <v>0</v>
      </c>
      <c r="E1743" s="19">
        <v>0</v>
      </c>
      <c r="F1743" s="19">
        <v>0</v>
      </c>
      <c r="G1743" s="19">
        <v>0</v>
      </c>
      <c r="H1743" s="19">
        <v>0</v>
      </c>
      <c r="I1743" s="15">
        <v>3500</v>
      </c>
      <c r="J1743" s="15">
        <v>0</v>
      </c>
      <c r="K1743" s="15">
        <v>0</v>
      </c>
      <c r="L1743" s="15">
        <v>0</v>
      </c>
      <c r="M1743" s="15">
        <v>0</v>
      </c>
      <c r="N1743" s="15" t="str">
        <v/>
      </c>
      <c r="O1743" s="15" t="str">
        <v/>
      </c>
      <c r="P1743" s="22">
        <v>0</v>
      </c>
      <c r="Q1743">
        <v>0</v>
      </c>
    </row>
    <row r="1744" spans="1:17">
      <c r="A1744" s="19">
        <v>0</v>
      </c>
      <c r="B1744" s="19">
        <v>0</v>
      </c>
      <c r="C1744" s="19">
        <v>0</v>
      </c>
      <c r="D1744" s="19">
        <v>0</v>
      </c>
      <c r="E1744" s="19">
        <v>0</v>
      </c>
      <c r="F1744" s="19">
        <v>0</v>
      </c>
      <c r="G1744" s="19">
        <v>0</v>
      </c>
      <c r="H1744" s="19">
        <v>0</v>
      </c>
      <c r="I1744" s="15">
        <v>3500</v>
      </c>
      <c r="J1744" s="15">
        <v>0</v>
      </c>
      <c r="K1744" s="15">
        <v>0</v>
      </c>
      <c r="L1744" s="15">
        <v>0</v>
      </c>
      <c r="M1744" s="15">
        <v>0</v>
      </c>
      <c r="N1744" s="15" t="str">
        <v/>
      </c>
      <c r="O1744" s="15" t="str">
        <v/>
      </c>
      <c r="P1744" s="22">
        <v>0</v>
      </c>
      <c r="Q1744">
        <v>0</v>
      </c>
    </row>
    <row r="1745" spans="1:17">
      <c r="A1745" s="19">
        <v>0</v>
      </c>
      <c r="B1745" s="19">
        <v>0</v>
      </c>
      <c r="C1745" s="19">
        <v>0</v>
      </c>
      <c r="D1745" s="19">
        <v>0</v>
      </c>
      <c r="E1745" s="19">
        <v>0</v>
      </c>
      <c r="F1745" s="19">
        <v>0</v>
      </c>
      <c r="G1745" s="19">
        <v>0</v>
      </c>
      <c r="H1745" s="19">
        <v>0</v>
      </c>
      <c r="I1745" s="15">
        <v>3500</v>
      </c>
      <c r="J1745" s="15">
        <v>0</v>
      </c>
      <c r="K1745" s="15">
        <v>0</v>
      </c>
      <c r="L1745" s="15">
        <v>0</v>
      </c>
      <c r="M1745" s="15">
        <v>0</v>
      </c>
      <c r="N1745" s="15" t="str">
        <v/>
      </c>
      <c r="O1745" s="15" t="str">
        <v/>
      </c>
      <c r="P1745" s="22">
        <v>0</v>
      </c>
      <c r="Q1745">
        <v>0</v>
      </c>
    </row>
    <row r="1746" spans="1:17">
      <c r="A1746" s="19">
        <v>0</v>
      </c>
      <c r="B1746" s="19">
        <v>0</v>
      </c>
      <c r="C1746" s="19">
        <v>0</v>
      </c>
      <c r="D1746" s="19">
        <v>0</v>
      </c>
      <c r="E1746" s="19">
        <v>0</v>
      </c>
      <c r="F1746" s="19">
        <v>0</v>
      </c>
      <c r="G1746" s="19">
        <v>0</v>
      </c>
      <c r="H1746" s="19">
        <v>0</v>
      </c>
      <c r="I1746" s="15">
        <v>3500</v>
      </c>
      <c r="J1746" s="15">
        <v>0</v>
      </c>
      <c r="K1746" s="15">
        <v>0</v>
      </c>
      <c r="L1746" s="15">
        <v>0</v>
      </c>
      <c r="M1746" s="15">
        <v>0</v>
      </c>
      <c r="N1746" s="15" t="str">
        <v/>
      </c>
      <c r="O1746" s="15" t="str">
        <v/>
      </c>
      <c r="P1746" s="22">
        <v>0</v>
      </c>
      <c r="Q1746">
        <v>0</v>
      </c>
    </row>
    <row r="1747" spans="1:17">
      <c r="A1747" s="19">
        <v>0</v>
      </c>
      <c r="B1747" s="19">
        <v>0</v>
      </c>
      <c r="C1747" s="19">
        <v>0</v>
      </c>
      <c r="D1747" s="19">
        <v>0</v>
      </c>
      <c r="E1747" s="19">
        <v>0</v>
      </c>
      <c r="F1747" s="19">
        <v>0</v>
      </c>
      <c r="G1747" s="19">
        <v>0</v>
      </c>
      <c r="H1747" s="19">
        <v>0</v>
      </c>
      <c r="I1747" s="15">
        <v>3500</v>
      </c>
      <c r="J1747" s="15">
        <v>0</v>
      </c>
      <c r="K1747" s="15">
        <v>0</v>
      </c>
      <c r="L1747" s="15">
        <v>0</v>
      </c>
      <c r="M1747" s="15">
        <v>0</v>
      </c>
      <c r="N1747" s="15" t="str">
        <v/>
      </c>
      <c r="O1747" s="15" t="str">
        <v/>
      </c>
      <c r="P1747" s="22">
        <v>0</v>
      </c>
      <c r="Q1747">
        <v>0</v>
      </c>
    </row>
    <row r="1748" spans="1:17">
      <c r="A1748" s="19">
        <v>0</v>
      </c>
      <c r="B1748" s="19">
        <v>0</v>
      </c>
      <c r="C1748" s="19">
        <v>0</v>
      </c>
      <c r="D1748" s="19">
        <v>0</v>
      </c>
      <c r="E1748" s="19">
        <v>0</v>
      </c>
      <c r="F1748" s="19">
        <v>0</v>
      </c>
      <c r="G1748" s="19">
        <v>0</v>
      </c>
      <c r="H1748" s="19">
        <v>0</v>
      </c>
      <c r="I1748" s="15">
        <v>3500</v>
      </c>
      <c r="J1748" s="15">
        <v>0</v>
      </c>
      <c r="K1748" s="15">
        <v>0</v>
      </c>
      <c r="L1748" s="15">
        <v>0</v>
      </c>
      <c r="M1748" s="15">
        <v>0</v>
      </c>
      <c r="N1748" s="15" t="str">
        <v/>
      </c>
      <c r="O1748" s="15" t="str">
        <v/>
      </c>
      <c r="P1748" s="22">
        <v>0</v>
      </c>
      <c r="Q1748">
        <v>0</v>
      </c>
    </row>
    <row r="1749" spans="1:17">
      <c r="A1749" s="19">
        <v>0</v>
      </c>
      <c r="B1749" s="19">
        <v>0</v>
      </c>
      <c r="C1749" s="19">
        <v>0</v>
      </c>
      <c r="D1749" s="19">
        <v>0</v>
      </c>
      <c r="E1749" s="19">
        <v>0</v>
      </c>
      <c r="F1749" s="19">
        <v>0</v>
      </c>
      <c r="G1749" s="19">
        <v>0</v>
      </c>
      <c r="H1749" s="19">
        <v>0</v>
      </c>
      <c r="I1749" s="15">
        <v>3500</v>
      </c>
      <c r="J1749" s="15">
        <v>0</v>
      </c>
      <c r="K1749" s="15">
        <v>0</v>
      </c>
      <c r="L1749" s="15">
        <v>0</v>
      </c>
      <c r="M1749" s="15">
        <v>0</v>
      </c>
      <c r="N1749" s="15" t="str">
        <v/>
      </c>
      <c r="O1749" s="15" t="str">
        <v/>
      </c>
      <c r="P1749" s="22">
        <v>0</v>
      </c>
      <c r="Q1749">
        <v>0</v>
      </c>
    </row>
    <row r="1750" spans="1:17">
      <c r="A1750" s="19">
        <v>0</v>
      </c>
      <c r="B1750" s="19">
        <v>0</v>
      </c>
      <c r="C1750" s="19">
        <v>0</v>
      </c>
      <c r="D1750" s="19">
        <v>0</v>
      </c>
      <c r="E1750" s="19">
        <v>0</v>
      </c>
      <c r="F1750" s="19">
        <v>0</v>
      </c>
      <c r="G1750" s="19">
        <v>0</v>
      </c>
      <c r="H1750" s="19">
        <v>0</v>
      </c>
      <c r="I1750" s="15">
        <v>3500</v>
      </c>
      <c r="J1750" s="15">
        <v>0</v>
      </c>
      <c r="K1750" s="15">
        <v>0</v>
      </c>
      <c r="L1750" s="15">
        <v>0</v>
      </c>
      <c r="M1750" s="15">
        <v>0</v>
      </c>
      <c r="N1750" s="15" t="str">
        <v/>
      </c>
      <c r="O1750" s="15" t="str">
        <v/>
      </c>
      <c r="P1750" s="22">
        <v>0</v>
      </c>
      <c r="Q1750">
        <v>0</v>
      </c>
    </row>
    <row r="1751" spans="1:17">
      <c r="A1751" s="19">
        <v>0</v>
      </c>
      <c r="B1751" s="19">
        <v>0</v>
      </c>
      <c r="C1751" s="19">
        <v>0</v>
      </c>
      <c r="D1751" s="19">
        <v>0</v>
      </c>
      <c r="E1751" s="19">
        <v>0</v>
      </c>
      <c r="F1751" s="19">
        <v>0</v>
      </c>
      <c r="G1751" s="19">
        <v>0</v>
      </c>
      <c r="H1751" s="19">
        <v>0</v>
      </c>
      <c r="I1751" s="15">
        <v>3500</v>
      </c>
      <c r="J1751" s="15">
        <v>0</v>
      </c>
      <c r="K1751" s="15">
        <v>0</v>
      </c>
      <c r="L1751" s="15">
        <v>0</v>
      </c>
      <c r="M1751" s="15">
        <v>0</v>
      </c>
      <c r="N1751" s="15" t="str">
        <v/>
      </c>
      <c r="O1751" s="15" t="str">
        <v/>
      </c>
      <c r="P1751" s="22">
        <v>0</v>
      </c>
      <c r="Q1751">
        <v>0</v>
      </c>
    </row>
    <row r="1752" spans="1:17">
      <c r="A1752" s="19">
        <v>0</v>
      </c>
      <c r="B1752" s="19">
        <v>0</v>
      </c>
      <c r="C1752" s="19">
        <v>0</v>
      </c>
      <c r="D1752" s="19">
        <v>0</v>
      </c>
      <c r="E1752" s="19">
        <v>0</v>
      </c>
      <c r="F1752" s="19">
        <v>0</v>
      </c>
      <c r="G1752" s="19">
        <v>0</v>
      </c>
      <c r="H1752" s="19">
        <v>0</v>
      </c>
      <c r="I1752" s="15">
        <v>3500</v>
      </c>
      <c r="J1752" s="15">
        <v>0</v>
      </c>
      <c r="K1752" s="15">
        <v>0</v>
      </c>
      <c r="L1752" s="15">
        <v>0</v>
      </c>
      <c r="M1752" s="15">
        <v>0</v>
      </c>
      <c r="N1752" s="15" t="str">
        <v/>
      </c>
      <c r="O1752" s="15" t="str">
        <v/>
      </c>
      <c r="P1752" s="22">
        <v>0</v>
      </c>
      <c r="Q1752">
        <v>0</v>
      </c>
    </row>
    <row r="1753" spans="1:17">
      <c r="A1753" s="19">
        <v>0</v>
      </c>
      <c r="B1753" s="19">
        <v>0</v>
      </c>
      <c r="C1753" s="19">
        <v>0</v>
      </c>
      <c r="D1753" s="19">
        <v>0</v>
      </c>
      <c r="E1753" s="19">
        <v>0</v>
      </c>
      <c r="F1753" s="19">
        <v>0</v>
      </c>
      <c r="G1753" s="19">
        <v>0</v>
      </c>
      <c r="H1753" s="19">
        <v>0</v>
      </c>
      <c r="I1753" s="15">
        <v>3500</v>
      </c>
      <c r="J1753" s="15">
        <v>0</v>
      </c>
      <c r="K1753" s="15">
        <v>0</v>
      </c>
      <c r="L1753" s="15">
        <v>0</v>
      </c>
      <c r="M1753" s="15">
        <v>0</v>
      </c>
      <c r="N1753" s="15" t="str">
        <v/>
      </c>
      <c r="O1753" s="15" t="str">
        <v/>
      </c>
      <c r="P1753" s="22">
        <v>0</v>
      </c>
      <c r="Q1753">
        <v>0</v>
      </c>
    </row>
    <row r="1754" spans="1:17">
      <c r="A1754" s="19">
        <v>0</v>
      </c>
      <c r="B1754" s="19">
        <v>0</v>
      </c>
      <c r="C1754" s="19">
        <v>0</v>
      </c>
      <c r="D1754" s="19">
        <v>0</v>
      </c>
      <c r="E1754" s="19">
        <v>0</v>
      </c>
      <c r="F1754" s="19">
        <v>0</v>
      </c>
      <c r="G1754" s="19">
        <v>0</v>
      </c>
      <c r="H1754" s="19">
        <v>0</v>
      </c>
      <c r="I1754" s="15">
        <v>3500</v>
      </c>
      <c r="J1754" s="15">
        <v>0</v>
      </c>
      <c r="K1754" s="15">
        <v>0</v>
      </c>
      <c r="L1754" s="15">
        <v>0</v>
      </c>
      <c r="M1754" s="15">
        <v>0</v>
      </c>
      <c r="N1754" s="15" t="str">
        <v/>
      </c>
      <c r="O1754" s="15" t="str">
        <v/>
      </c>
      <c r="P1754" s="22">
        <v>0</v>
      </c>
      <c r="Q1754">
        <v>0</v>
      </c>
    </row>
    <row r="1755" spans="1:17">
      <c r="A1755" s="19">
        <v>0</v>
      </c>
      <c r="B1755" s="19">
        <v>0</v>
      </c>
      <c r="C1755" s="19">
        <v>0</v>
      </c>
      <c r="D1755" s="19">
        <v>0</v>
      </c>
      <c r="E1755" s="19">
        <v>0</v>
      </c>
      <c r="F1755" s="19">
        <v>0</v>
      </c>
      <c r="G1755" s="19">
        <v>0</v>
      </c>
      <c r="H1755" s="19">
        <v>0</v>
      </c>
      <c r="I1755" s="15">
        <v>3500</v>
      </c>
      <c r="J1755" s="15">
        <v>0</v>
      </c>
      <c r="K1755" s="15">
        <v>0</v>
      </c>
      <c r="L1755" s="15">
        <v>0</v>
      </c>
      <c r="M1755" s="15">
        <v>0</v>
      </c>
      <c r="N1755" s="15" t="str">
        <v/>
      </c>
      <c r="O1755" s="15" t="str">
        <v/>
      </c>
      <c r="P1755" s="22">
        <v>0</v>
      </c>
      <c r="Q1755">
        <v>0</v>
      </c>
    </row>
    <row r="1756" spans="1:17">
      <c r="A1756" s="19">
        <v>0</v>
      </c>
      <c r="B1756" s="19">
        <v>0</v>
      </c>
      <c r="C1756" s="19">
        <v>0</v>
      </c>
      <c r="D1756" s="19">
        <v>0</v>
      </c>
      <c r="E1756" s="19">
        <v>0</v>
      </c>
      <c r="F1756" s="19">
        <v>0</v>
      </c>
      <c r="G1756" s="19">
        <v>0</v>
      </c>
      <c r="H1756" s="19">
        <v>0</v>
      </c>
      <c r="I1756" s="15">
        <v>3500</v>
      </c>
      <c r="J1756" s="15">
        <v>0</v>
      </c>
      <c r="K1756" s="15">
        <v>0</v>
      </c>
      <c r="L1756" s="15">
        <v>0</v>
      </c>
      <c r="M1756" s="15">
        <v>0</v>
      </c>
      <c r="N1756" s="15" t="str">
        <v/>
      </c>
      <c r="O1756" s="15" t="str">
        <v/>
      </c>
      <c r="P1756" s="22">
        <v>0</v>
      </c>
      <c r="Q1756">
        <v>0</v>
      </c>
    </row>
    <row r="1757" spans="1:17">
      <c r="A1757" s="19">
        <v>0</v>
      </c>
      <c r="B1757" s="19">
        <v>0</v>
      </c>
      <c r="C1757" s="19">
        <v>0</v>
      </c>
      <c r="D1757" s="19">
        <v>0</v>
      </c>
      <c r="E1757" s="19">
        <v>0</v>
      </c>
      <c r="F1757" s="19">
        <v>0</v>
      </c>
      <c r="G1757" s="19">
        <v>0</v>
      </c>
      <c r="H1757" s="19">
        <v>0</v>
      </c>
      <c r="I1757" s="15">
        <v>3500</v>
      </c>
      <c r="J1757" s="15">
        <v>0</v>
      </c>
      <c r="K1757" s="15">
        <v>0</v>
      </c>
      <c r="L1757" s="15">
        <v>0</v>
      </c>
      <c r="M1757" s="15">
        <v>0</v>
      </c>
      <c r="N1757" s="15" t="str">
        <v/>
      </c>
      <c r="O1757" s="15" t="str">
        <v/>
      </c>
      <c r="P1757" s="22">
        <v>0</v>
      </c>
      <c r="Q1757">
        <v>0</v>
      </c>
    </row>
    <row r="1758" spans="1:17">
      <c r="A1758" s="19">
        <v>0</v>
      </c>
      <c r="B1758" s="19">
        <v>0</v>
      </c>
      <c r="C1758" s="19">
        <v>0</v>
      </c>
      <c r="D1758" s="19">
        <v>0</v>
      </c>
      <c r="E1758" s="19">
        <v>0</v>
      </c>
      <c r="F1758" s="19">
        <v>0</v>
      </c>
      <c r="G1758" s="19">
        <v>0</v>
      </c>
      <c r="H1758" s="19">
        <v>0</v>
      </c>
      <c r="I1758" s="15">
        <v>3500</v>
      </c>
      <c r="J1758" s="15">
        <v>0</v>
      </c>
      <c r="K1758" s="15">
        <v>0</v>
      </c>
      <c r="L1758" s="15">
        <v>0</v>
      </c>
      <c r="M1758" s="15">
        <v>0</v>
      </c>
      <c r="N1758" s="15" t="str">
        <v/>
      </c>
      <c r="O1758" s="15" t="str">
        <v/>
      </c>
      <c r="P1758" s="22">
        <v>0</v>
      </c>
      <c r="Q1758">
        <v>0</v>
      </c>
    </row>
    <row r="1759" spans="1:17">
      <c r="A1759" s="19">
        <v>0</v>
      </c>
      <c r="B1759" s="19">
        <v>0</v>
      </c>
      <c r="C1759" s="19">
        <v>0</v>
      </c>
      <c r="D1759" s="19">
        <v>0</v>
      </c>
      <c r="E1759" s="19">
        <v>0</v>
      </c>
      <c r="F1759" s="19">
        <v>0</v>
      </c>
      <c r="G1759" s="19">
        <v>0</v>
      </c>
      <c r="H1759" s="19">
        <v>0</v>
      </c>
      <c r="I1759" s="15">
        <v>3500</v>
      </c>
      <c r="J1759" s="15">
        <v>0</v>
      </c>
      <c r="K1759" s="15">
        <v>0</v>
      </c>
      <c r="L1759" s="15">
        <v>0</v>
      </c>
      <c r="M1759" s="15">
        <v>0</v>
      </c>
      <c r="N1759" s="15" t="str">
        <v/>
      </c>
      <c r="O1759" s="15" t="str">
        <v/>
      </c>
      <c r="P1759" s="22">
        <v>0</v>
      </c>
      <c r="Q1759">
        <v>0</v>
      </c>
    </row>
    <row r="1760" spans="1:17">
      <c r="A1760" s="19">
        <v>0</v>
      </c>
      <c r="B1760" s="19">
        <v>0</v>
      </c>
      <c r="C1760" s="19">
        <v>0</v>
      </c>
      <c r="D1760" s="19">
        <v>0</v>
      </c>
      <c r="E1760" s="19">
        <v>0</v>
      </c>
      <c r="F1760" s="19">
        <v>0</v>
      </c>
      <c r="G1760" s="19">
        <v>0</v>
      </c>
      <c r="H1760" s="19">
        <v>0</v>
      </c>
      <c r="I1760" s="15">
        <v>3500</v>
      </c>
      <c r="J1760" s="15">
        <v>0</v>
      </c>
      <c r="K1760" s="15">
        <v>0</v>
      </c>
      <c r="L1760" s="15">
        <v>0</v>
      </c>
      <c r="M1760" s="15">
        <v>0</v>
      </c>
      <c r="N1760" s="15" t="str">
        <v/>
      </c>
      <c r="O1760" s="15" t="str">
        <v/>
      </c>
      <c r="P1760" s="22">
        <v>0</v>
      </c>
      <c r="Q1760">
        <v>0</v>
      </c>
    </row>
    <row r="1761" spans="1:17">
      <c r="A1761" s="19">
        <v>0</v>
      </c>
      <c r="B1761" s="19">
        <v>0</v>
      </c>
      <c r="C1761" s="19">
        <v>0</v>
      </c>
      <c r="D1761" s="19">
        <v>0</v>
      </c>
      <c r="E1761" s="19">
        <v>0</v>
      </c>
      <c r="F1761" s="19">
        <v>0</v>
      </c>
      <c r="G1761" s="19">
        <v>0</v>
      </c>
      <c r="H1761" s="19">
        <v>0</v>
      </c>
      <c r="I1761" s="15">
        <v>3500</v>
      </c>
      <c r="J1761" s="15">
        <v>0</v>
      </c>
      <c r="K1761" s="15">
        <v>0</v>
      </c>
      <c r="L1761" s="15">
        <v>0</v>
      </c>
      <c r="M1761" s="15">
        <v>0</v>
      </c>
      <c r="N1761" s="15" t="str">
        <v/>
      </c>
      <c r="O1761" s="15" t="str">
        <v/>
      </c>
      <c r="P1761" s="22">
        <v>0</v>
      </c>
      <c r="Q1761">
        <v>0</v>
      </c>
    </row>
    <row r="1762" spans="1:17">
      <c r="A1762" s="19">
        <v>0</v>
      </c>
      <c r="B1762" s="19">
        <v>0</v>
      </c>
      <c r="C1762" s="19">
        <v>0</v>
      </c>
      <c r="D1762" s="19">
        <v>0</v>
      </c>
      <c r="E1762" s="19">
        <v>0</v>
      </c>
      <c r="F1762" s="19">
        <v>0</v>
      </c>
      <c r="G1762" s="19">
        <v>0</v>
      </c>
      <c r="H1762" s="19">
        <v>0</v>
      </c>
      <c r="I1762" s="15">
        <v>3500</v>
      </c>
      <c r="J1762" s="15">
        <v>0</v>
      </c>
      <c r="K1762" s="15">
        <v>0</v>
      </c>
      <c r="L1762" s="15">
        <v>0</v>
      </c>
      <c r="M1762" s="15">
        <v>0</v>
      </c>
      <c r="N1762" s="15" t="str">
        <v/>
      </c>
      <c r="O1762" s="15" t="str">
        <v/>
      </c>
      <c r="P1762" s="22">
        <v>0</v>
      </c>
      <c r="Q1762">
        <v>0</v>
      </c>
    </row>
    <row r="1763" spans="1:17">
      <c r="A1763" s="19">
        <v>0</v>
      </c>
      <c r="B1763" s="19">
        <v>0</v>
      </c>
      <c r="C1763" s="19">
        <v>0</v>
      </c>
      <c r="D1763" s="19">
        <v>0</v>
      </c>
      <c r="E1763" s="19">
        <v>0</v>
      </c>
      <c r="F1763" s="19">
        <v>0</v>
      </c>
      <c r="G1763" s="19">
        <v>0</v>
      </c>
      <c r="H1763" s="19">
        <v>0</v>
      </c>
      <c r="I1763" s="15">
        <v>3500</v>
      </c>
      <c r="J1763" s="15">
        <v>0</v>
      </c>
      <c r="K1763" s="15">
        <v>0</v>
      </c>
      <c r="L1763" s="15">
        <v>0</v>
      </c>
      <c r="M1763" s="15">
        <v>0</v>
      </c>
      <c r="N1763" s="15" t="str">
        <v/>
      </c>
      <c r="O1763" s="15" t="str">
        <v/>
      </c>
      <c r="P1763" s="22">
        <v>0</v>
      </c>
      <c r="Q1763">
        <v>0</v>
      </c>
    </row>
    <row r="1764" spans="1:17">
      <c r="A1764" s="19">
        <v>0</v>
      </c>
      <c r="B1764" s="19">
        <v>0</v>
      </c>
      <c r="C1764" s="19">
        <v>0</v>
      </c>
      <c r="D1764" s="19">
        <v>0</v>
      </c>
      <c r="E1764" s="19">
        <v>0</v>
      </c>
      <c r="F1764" s="19">
        <v>0</v>
      </c>
      <c r="G1764" s="19">
        <v>0</v>
      </c>
      <c r="H1764" s="19">
        <v>0</v>
      </c>
      <c r="I1764" s="15">
        <v>3500</v>
      </c>
      <c r="J1764" s="15">
        <v>0</v>
      </c>
      <c r="K1764" s="15">
        <v>0</v>
      </c>
      <c r="L1764" s="15">
        <v>0</v>
      </c>
      <c r="M1764" s="15">
        <v>0</v>
      </c>
      <c r="N1764" s="15" t="str">
        <v/>
      </c>
      <c r="O1764" s="15" t="str">
        <v/>
      </c>
      <c r="P1764" s="22">
        <v>0</v>
      </c>
      <c r="Q1764">
        <v>0</v>
      </c>
    </row>
    <row r="1765" spans="1:17">
      <c r="A1765" s="19">
        <v>0</v>
      </c>
      <c r="B1765" s="19">
        <v>0</v>
      </c>
      <c r="C1765" s="19">
        <v>0</v>
      </c>
      <c r="D1765" s="19">
        <v>0</v>
      </c>
      <c r="E1765" s="19">
        <v>0</v>
      </c>
      <c r="F1765" s="19">
        <v>0</v>
      </c>
      <c r="G1765" s="19">
        <v>0</v>
      </c>
      <c r="H1765" s="19">
        <v>0</v>
      </c>
      <c r="I1765" s="15">
        <v>3500</v>
      </c>
      <c r="J1765" s="15">
        <v>0</v>
      </c>
      <c r="K1765" s="15">
        <v>0</v>
      </c>
      <c r="L1765" s="15">
        <v>0</v>
      </c>
      <c r="M1765" s="15">
        <v>0</v>
      </c>
      <c r="N1765" s="15" t="str">
        <v/>
      </c>
      <c r="O1765" s="15" t="str">
        <v/>
      </c>
      <c r="P1765" s="22">
        <v>0</v>
      </c>
      <c r="Q1765">
        <v>0</v>
      </c>
    </row>
    <row r="1766" spans="1:17">
      <c r="A1766" s="19">
        <v>0</v>
      </c>
      <c r="B1766" s="19">
        <v>0</v>
      </c>
      <c r="C1766" s="19">
        <v>0</v>
      </c>
      <c r="D1766" s="19">
        <v>0</v>
      </c>
      <c r="E1766" s="19">
        <v>0</v>
      </c>
      <c r="F1766" s="19">
        <v>0</v>
      </c>
      <c r="G1766" s="19">
        <v>0</v>
      </c>
      <c r="H1766" s="19">
        <v>0</v>
      </c>
      <c r="I1766" s="15">
        <v>3500</v>
      </c>
      <c r="J1766" s="15">
        <v>0</v>
      </c>
      <c r="K1766" s="15">
        <v>0</v>
      </c>
      <c r="L1766" s="15">
        <v>0</v>
      </c>
      <c r="M1766" s="15">
        <v>0</v>
      </c>
      <c r="N1766" s="15" t="str">
        <v/>
      </c>
      <c r="O1766" s="15" t="str">
        <v/>
      </c>
      <c r="P1766" s="22">
        <v>0</v>
      </c>
      <c r="Q1766">
        <v>0</v>
      </c>
    </row>
    <row r="1767" spans="1:17">
      <c r="A1767" s="19">
        <v>0</v>
      </c>
      <c r="B1767" s="19">
        <v>0</v>
      </c>
      <c r="C1767" s="19">
        <v>0</v>
      </c>
      <c r="D1767" s="19">
        <v>0</v>
      </c>
      <c r="E1767" s="19">
        <v>0</v>
      </c>
      <c r="F1767" s="19">
        <v>0</v>
      </c>
      <c r="G1767" s="19">
        <v>0</v>
      </c>
      <c r="H1767" s="19">
        <v>0</v>
      </c>
      <c r="I1767" s="15">
        <v>3500</v>
      </c>
      <c r="J1767" s="15">
        <v>0</v>
      </c>
      <c r="K1767" s="15">
        <v>0</v>
      </c>
      <c r="L1767" s="15">
        <v>0</v>
      </c>
      <c r="M1767" s="15">
        <v>0</v>
      </c>
      <c r="N1767" s="15" t="str">
        <v/>
      </c>
      <c r="O1767" s="15" t="str">
        <v/>
      </c>
      <c r="P1767" s="22">
        <v>0</v>
      </c>
      <c r="Q1767">
        <v>0</v>
      </c>
    </row>
    <row r="1768" spans="1:17">
      <c r="A1768" s="19">
        <v>0</v>
      </c>
      <c r="B1768" s="19">
        <v>0</v>
      </c>
      <c r="C1768" s="19">
        <v>0</v>
      </c>
      <c r="D1768" s="19">
        <v>0</v>
      </c>
      <c r="E1768" s="19">
        <v>0</v>
      </c>
      <c r="F1768" s="19">
        <v>0</v>
      </c>
      <c r="G1768" s="19">
        <v>0</v>
      </c>
      <c r="H1768" s="19">
        <v>0</v>
      </c>
      <c r="I1768" s="15">
        <v>3500</v>
      </c>
      <c r="J1768" s="15">
        <v>0</v>
      </c>
      <c r="K1768" s="15">
        <v>0</v>
      </c>
      <c r="L1768" s="15">
        <v>0</v>
      </c>
      <c r="M1768" s="15">
        <v>0</v>
      </c>
      <c r="N1768" s="15" t="str">
        <v/>
      </c>
      <c r="O1768" s="15" t="str">
        <v/>
      </c>
      <c r="P1768" s="22">
        <v>0</v>
      </c>
      <c r="Q1768">
        <v>0</v>
      </c>
    </row>
    <row r="1769" spans="1:17">
      <c r="A1769" s="19">
        <v>0</v>
      </c>
      <c r="B1769" s="19">
        <v>0</v>
      </c>
      <c r="C1769" s="19">
        <v>0</v>
      </c>
      <c r="D1769" s="19">
        <v>0</v>
      </c>
      <c r="E1769" s="19">
        <v>0</v>
      </c>
      <c r="F1769" s="19">
        <v>0</v>
      </c>
      <c r="G1769" s="19">
        <v>0</v>
      </c>
      <c r="H1769" s="19">
        <v>0</v>
      </c>
      <c r="I1769" s="15">
        <v>3500</v>
      </c>
      <c r="J1769" s="15">
        <v>0</v>
      </c>
      <c r="K1769" s="15">
        <v>0</v>
      </c>
      <c r="L1769" s="15">
        <v>0</v>
      </c>
      <c r="M1769" s="15">
        <v>0</v>
      </c>
      <c r="N1769" s="15" t="str">
        <v/>
      </c>
      <c r="O1769" s="15" t="str">
        <v/>
      </c>
      <c r="P1769" s="22">
        <v>0</v>
      </c>
      <c r="Q1769">
        <v>0</v>
      </c>
    </row>
    <row r="1770" spans="1:17">
      <c r="A1770" s="19">
        <v>0</v>
      </c>
      <c r="B1770" s="19">
        <v>0</v>
      </c>
      <c r="C1770" s="19">
        <v>0</v>
      </c>
      <c r="D1770" s="19">
        <v>0</v>
      </c>
      <c r="E1770" s="19">
        <v>0</v>
      </c>
      <c r="F1770" s="19">
        <v>0</v>
      </c>
      <c r="G1770" s="19">
        <v>0</v>
      </c>
      <c r="H1770" s="19">
        <v>0</v>
      </c>
      <c r="I1770" s="15">
        <v>3500</v>
      </c>
      <c r="J1770" s="15">
        <v>0</v>
      </c>
      <c r="K1770" s="15">
        <v>0</v>
      </c>
      <c r="L1770" s="15">
        <v>0</v>
      </c>
      <c r="M1770" s="15">
        <v>0</v>
      </c>
      <c r="N1770" s="15" t="str">
        <v/>
      </c>
      <c r="O1770" s="15" t="str">
        <v/>
      </c>
      <c r="P1770" s="22">
        <v>0</v>
      </c>
      <c r="Q1770">
        <v>0</v>
      </c>
    </row>
    <row r="1771" spans="1:17">
      <c r="A1771" s="19">
        <v>0</v>
      </c>
      <c r="B1771" s="19">
        <v>0</v>
      </c>
      <c r="C1771" s="19">
        <v>0</v>
      </c>
      <c r="D1771" s="19">
        <v>0</v>
      </c>
      <c r="E1771" s="19">
        <v>0</v>
      </c>
      <c r="F1771" s="19">
        <v>0</v>
      </c>
      <c r="G1771" s="19">
        <v>0</v>
      </c>
      <c r="H1771" s="19">
        <v>0</v>
      </c>
      <c r="I1771" s="15">
        <v>3500</v>
      </c>
      <c r="J1771" s="15">
        <v>0</v>
      </c>
      <c r="K1771" s="15">
        <v>0</v>
      </c>
      <c r="L1771" s="15">
        <v>0</v>
      </c>
      <c r="M1771" s="15">
        <v>0</v>
      </c>
      <c r="N1771" s="15" t="str">
        <v/>
      </c>
      <c r="O1771" s="15" t="str">
        <v/>
      </c>
      <c r="P1771" s="22">
        <v>0</v>
      </c>
      <c r="Q1771">
        <v>0</v>
      </c>
    </row>
    <row r="1772" spans="1:17">
      <c r="A1772" s="19">
        <v>0</v>
      </c>
      <c r="B1772" s="19">
        <v>0</v>
      </c>
      <c r="C1772" s="19">
        <v>0</v>
      </c>
      <c r="D1772" s="19">
        <v>0</v>
      </c>
      <c r="E1772" s="19">
        <v>0</v>
      </c>
      <c r="F1772" s="19">
        <v>0</v>
      </c>
      <c r="G1772" s="19">
        <v>0</v>
      </c>
      <c r="H1772" s="19">
        <v>0</v>
      </c>
      <c r="I1772" s="15">
        <v>3500</v>
      </c>
      <c r="J1772" s="15">
        <v>0</v>
      </c>
      <c r="K1772" s="15">
        <v>0</v>
      </c>
      <c r="L1772" s="15">
        <v>0</v>
      </c>
      <c r="M1772" s="15">
        <v>0</v>
      </c>
      <c r="N1772" s="15" t="str">
        <v/>
      </c>
      <c r="O1772" s="15" t="str">
        <v/>
      </c>
      <c r="P1772" s="22">
        <v>0</v>
      </c>
      <c r="Q1772">
        <v>0</v>
      </c>
    </row>
    <row r="1773" spans="1:17">
      <c r="A1773" s="19">
        <v>0</v>
      </c>
      <c r="B1773" s="19">
        <v>0</v>
      </c>
      <c r="C1773" s="19">
        <v>0</v>
      </c>
      <c r="D1773" s="19">
        <v>0</v>
      </c>
      <c r="E1773" s="19">
        <v>0</v>
      </c>
      <c r="F1773" s="19">
        <v>0</v>
      </c>
      <c r="G1773" s="19">
        <v>0</v>
      </c>
      <c r="H1773" s="19">
        <v>0</v>
      </c>
      <c r="I1773" s="15">
        <v>3500</v>
      </c>
      <c r="J1773" s="15">
        <v>0</v>
      </c>
      <c r="K1773" s="15">
        <v>0</v>
      </c>
      <c r="L1773" s="15">
        <v>0</v>
      </c>
      <c r="M1773" s="15">
        <v>0</v>
      </c>
      <c r="N1773" s="15" t="str">
        <v/>
      </c>
      <c r="O1773" s="15" t="str">
        <v/>
      </c>
      <c r="P1773" s="22">
        <v>0</v>
      </c>
      <c r="Q1773">
        <v>0</v>
      </c>
    </row>
    <row r="1774" spans="1:17">
      <c r="A1774" s="19">
        <v>0</v>
      </c>
      <c r="B1774" s="19">
        <v>0</v>
      </c>
      <c r="C1774" s="19">
        <v>0</v>
      </c>
      <c r="D1774" s="19">
        <v>0</v>
      </c>
      <c r="E1774" s="19">
        <v>0</v>
      </c>
      <c r="F1774" s="19">
        <v>0</v>
      </c>
      <c r="G1774" s="19">
        <v>0</v>
      </c>
      <c r="H1774" s="19">
        <v>0</v>
      </c>
      <c r="I1774" s="15">
        <v>3500</v>
      </c>
      <c r="J1774" s="15">
        <v>0</v>
      </c>
      <c r="K1774" s="15">
        <v>0</v>
      </c>
      <c r="L1774" s="15">
        <v>0</v>
      </c>
      <c r="M1774" s="15">
        <v>0</v>
      </c>
      <c r="N1774" s="15" t="str">
        <v/>
      </c>
      <c r="O1774" s="15" t="str">
        <v/>
      </c>
      <c r="P1774" s="22">
        <v>0</v>
      </c>
      <c r="Q1774">
        <v>0</v>
      </c>
    </row>
    <row r="1775" spans="1:17">
      <c r="A1775" s="19">
        <v>0</v>
      </c>
      <c r="B1775" s="19">
        <v>0</v>
      </c>
      <c r="C1775" s="19">
        <v>0</v>
      </c>
      <c r="D1775" s="19">
        <v>0</v>
      </c>
      <c r="E1775" s="19">
        <v>0</v>
      </c>
      <c r="F1775" s="19">
        <v>0</v>
      </c>
      <c r="G1775" s="19">
        <v>0</v>
      </c>
      <c r="H1775" s="19">
        <v>0</v>
      </c>
      <c r="I1775" s="15">
        <v>3500</v>
      </c>
      <c r="J1775" s="15">
        <v>0</v>
      </c>
      <c r="K1775" s="15">
        <v>0</v>
      </c>
      <c r="L1775" s="15">
        <v>0</v>
      </c>
      <c r="M1775" s="15">
        <v>0</v>
      </c>
      <c r="N1775" s="15" t="str">
        <v/>
      </c>
      <c r="O1775" s="15" t="str">
        <v/>
      </c>
      <c r="P1775" s="22">
        <v>0</v>
      </c>
      <c r="Q1775">
        <v>0</v>
      </c>
    </row>
    <row r="1776" spans="1:17">
      <c r="A1776" s="19">
        <v>0</v>
      </c>
      <c r="B1776" s="19">
        <v>0</v>
      </c>
      <c r="C1776" s="19">
        <v>0</v>
      </c>
      <c r="D1776" s="19">
        <v>0</v>
      </c>
      <c r="E1776" s="19">
        <v>0</v>
      </c>
      <c r="F1776" s="19">
        <v>0</v>
      </c>
      <c r="G1776" s="19">
        <v>0</v>
      </c>
      <c r="H1776" s="19">
        <v>0</v>
      </c>
      <c r="I1776" s="15">
        <v>3500</v>
      </c>
      <c r="J1776" s="15">
        <v>0</v>
      </c>
      <c r="K1776" s="15">
        <v>0</v>
      </c>
      <c r="L1776" s="15">
        <v>0</v>
      </c>
      <c r="M1776" s="15">
        <v>0</v>
      </c>
      <c r="N1776" s="15" t="str">
        <v/>
      </c>
      <c r="O1776" s="15" t="str">
        <v/>
      </c>
      <c r="P1776" s="22">
        <v>0</v>
      </c>
      <c r="Q1776">
        <v>0</v>
      </c>
    </row>
    <row r="1777" spans="1:17">
      <c r="A1777" s="19">
        <v>0</v>
      </c>
      <c r="B1777" s="19">
        <v>0</v>
      </c>
      <c r="C1777" s="19">
        <v>0</v>
      </c>
      <c r="D1777" s="19">
        <v>0</v>
      </c>
      <c r="E1777" s="19">
        <v>0</v>
      </c>
      <c r="F1777" s="19">
        <v>0</v>
      </c>
      <c r="G1777" s="19">
        <v>0</v>
      </c>
      <c r="H1777" s="19">
        <v>0</v>
      </c>
      <c r="I1777" s="15">
        <v>3500</v>
      </c>
      <c r="J1777" s="15">
        <v>0</v>
      </c>
      <c r="K1777" s="15">
        <v>0</v>
      </c>
      <c r="L1777" s="15">
        <v>0</v>
      </c>
      <c r="M1777" s="15">
        <v>0</v>
      </c>
      <c r="N1777" s="15" t="str">
        <v/>
      </c>
      <c r="O1777" s="15" t="str">
        <v/>
      </c>
      <c r="P1777" s="22">
        <v>0</v>
      </c>
      <c r="Q1777">
        <v>0</v>
      </c>
    </row>
    <row r="1778" spans="1:17">
      <c r="A1778" s="19">
        <v>0</v>
      </c>
      <c r="B1778" s="19">
        <v>0</v>
      </c>
      <c r="C1778" s="19">
        <v>0</v>
      </c>
      <c r="D1778" s="19">
        <v>0</v>
      </c>
      <c r="E1778" s="19">
        <v>0</v>
      </c>
      <c r="F1778" s="19">
        <v>0</v>
      </c>
      <c r="G1778" s="19">
        <v>0</v>
      </c>
      <c r="H1778" s="19">
        <v>0</v>
      </c>
      <c r="I1778" s="15">
        <v>3500</v>
      </c>
      <c r="J1778" s="15">
        <v>0</v>
      </c>
      <c r="K1778" s="15">
        <v>0</v>
      </c>
      <c r="L1778" s="15">
        <v>0</v>
      </c>
      <c r="M1778" s="15">
        <v>0</v>
      </c>
      <c r="N1778" s="15" t="str">
        <v/>
      </c>
      <c r="O1778" s="15" t="str">
        <v/>
      </c>
      <c r="P1778" s="22">
        <v>0</v>
      </c>
      <c r="Q1778">
        <v>0</v>
      </c>
    </row>
    <row r="1779" spans="1:17">
      <c r="A1779" s="19">
        <v>0</v>
      </c>
      <c r="B1779" s="19">
        <v>0</v>
      </c>
      <c r="C1779" s="19">
        <v>0</v>
      </c>
      <c r="D1779" s="19">
        <v>0</v>
      </c>
      <c r="E1779" s="19">
        <v>0</v>
      </c>
      <c r="F1779" s="19">
        <v>0</v>
      </c>
      <c r="G1779" s="19">
        <v>0</v>
      </c>
      <c r="H1779" s="19">
        <v>0</v>
      </c>
      <c r="I1779" s="15">
        <v>3500</v>
      </c>
      <c r="J1779" s="15">
        <v>0</v>
      </c>
      <c r="K1779" s="15">
        <v>0</v>
      </c>
      <c r="L1779" s="15">
        <v>0</v>
      </c>
      <c r="M1779" s="15">
        <v>0</v>
      </c>
      <c r="N1779" s="15" t="str">
        <v/>
      </c>
      <c r="O1779" s="15" t="str">
        <v/>
      </c>
      <c r="P1779" s="22">
        <v>0</v>
      </c>
      <c r="Q1779">
        <v>0</v>
      </c>
    </row>
    <row r="1780" spans="1:17">
      <c r="A1780" s="19">
        <v>0</v>
      </c>
      <c r="B1780" s="19">
        <v>0</v>
      </c>
      <c r="C1780" s="19">
        <v>0</v>
      </c>
      <c r="D1780" s="19">
        <v>0</v>
      </c>
      <c r="E1780" s="19">
        <v>0</v>
      </c>
      <c r="F1780" s="19">
        <v>0</v>
      </c>
      <c r="G1780" s="19">
        <v>0</v>
      </c>
      <c r="H1780" s="19">
        <v>0</v>
      </c>
      <c r="I1780" s="15">
        <v>3500</v>
      </c>
      <c r="J1780" s="15">
        <v>0</v>
      </c>
      <c r="K1780" s="15">
        <v>0</v>
      </c>
      <c r="L1780" s="15">
        <v>0</v>
      </c>
      <c r="M1780" s="15">
        <v>0</v>
      </c>
      <c r="N1780" s="15" t="str">
        <v/>
      </c>
      <c r="O1780" s="15" t="str">
        <v/>
      </c>
      <c r="P1780" s="22">
        <v>0</v>
      </c>
      <c r="Q1780">
        <v>0</v>
      </c>
    </row>
    <row r="1781" spans="1:17">
      <c r="A1781" s="19">
        <v>0</v>
      </c>
      <c r="B1781" s="19">
        <v>0</v>
      </c>
      <c r="C1781" s="19">
        <v>0</v>
      </c>
      <c r="D1781" s="19">
        <v>0</v>
      </c>
      <c r="E1781" s="19">
        <v>0</v>
      </c>
      <c r="F1781" s="19">
        <v>0</v>
      </c>
      <c r="G1781" s="19">
        <v>0</v>
      </c>
      <c r="H1781" s="19">
        <v>0</v>
      </c>
      <c r="I1781" s="15">
        <v>3500</v>
      </c>
      <c r="J1781" s="15">
        <v>0</v>
      </c>
      <c r="K1781" s="15">
        <v>0</v>
      </c>
      <c r="L1781" s="15">
        <v>0</v>
      </c>
      <c r="M1781" s="15">
        <v>0</v>
      </c>
      <c r="N1781" s="15" t="str">
        <v/>
      </c>
      <c r="O1781" s="15" t="str">
        <v/>
      </c>
      <c r="P1781" s="22">
        <v>0</v>
      </c>
      <c r="Q1781">
        <v>0</v>
      </c>
    </row>
    <row r="1782" spans="1:17">
      <c r="A1782" s="19">
        <v>0</v>
      </c>
      <c r="B1782" s="19">
        <v>0</v>
      </c>
      <c r="C1782" s="19">
        <v>0</v>
      </c>
      <c r="D1782" s="19">
        <v>0</v>
      </c>
      <c r="E1782" s="19">
        <v>0</v>
      </c>
      <c r="F1782" s="19">
        <v>0</v>
      </c>
      <c r="G1782" s="19">
        <v>0</v>
      </c>
      <c r="H1782" s="19">
        <v>0</v>
      </c>
      <c r="I1782" s="15">
        <v>3500</v>
      </c>
      <c r="J1782" s="15">
        <v>0</v>
      </c>
      <c r="K1782" s="15">
        <v>0</v>
      </c>
      <c r="L1782" s="15">
        <v>0</v>
      </c>
      <c r="M1782" s="15">
        <v>0</v>
      </c>
      <c r="N1782" s="15" t="str">
        <v/>
      </c>
      <c r="O1782" s="15" t="str">
        <v/>
      </c>
      <c r="P1782" s="22">
        <v>0</v>
      </c>
      <c r="Q1782">
        <v>0</v>
      </c>
    </row>
    <row r="1783" spans="1:17">
      <c r="A1783" s="19">
        <v>0</v>
      </c>
      <c r="B1783" s="19">
        <v>0</v>
      </c>
      <c r="C1783" s="19">
        <v>0</v>
      </c>
      <c r="D1783" s="19">
        <v>0</v>
      </c>
      <c r="E1783" s="19">
        <v>0</v>
      </c>
      <c r="F1783" s="19">
        <v>0</v>
      </c>
      <c r="G1783" s="19">
        <v>0</v>
      </c>
      <c r="H1783" s="19">
        <v>0</v>
      </c>
      <c r="I1783" s="15">
        <v>3500</v>
      </c>
      <c r="J1783" s="15">
        <v>0</v>
      </c>
      <c r="K1783" s="15">
        <v>0</v>
      </c>
      <c r="L1783" s="15">
        <v>0</v>
      </c>
      <c r="M1783" s="15">
        <v>0</v>
      </c>
      <c r="N1783" s="15" t="str">
        <v/>
      </c>
      <c r="O1783" s="15" t="str">
        <v/>
      </c>
      <c r="P1783" s="22">
        <v>0</v>
      </c>
      <c r="Q1783">
        <v>0</v>
      </c>
    </row>
    <row r="1784" spans="1:17">
      <c r="A1784" s="19">
        <v>0</v>
      </c>
      <c r="B1784" s="19">
        <v>0</v>
      </c>
      <c r="C1784" s="19">
        <v>0</v>
      </c>
      <c r="D1784" s="19">
        <v>0</v>
      </c>
      <c r="E1784" s="19">
        <v>0</v>
      </c>
      <c r="F1784" s="19">
        <v>0</v>
      </c>
      <c r="G1784" s="19">
        <v>0</v>
      </c>
      <c r="H1784" s="19">
        <v>0</v>
      </c>
      <c r="I1784" s="15">
        <v>3500</v>
      </c>
      <c r="J1784" s="15">
        <v>0</v>
      </c>
      <c r="K1784" s="15">
        <v>0</v>
      </c>
      <c r="L1784" s="15">
        <v>0</v>
      </c>
      <c r="M1784" s="15">
        <v>0</v>
      </c>
      <c r="N1784" s="15" t="str">
        <v/>
      </c>
      <c r="O1784" s="15" t="str">
        <v/>
      </c>
      <c r="P1784" s="22">
        <v>0</v>
      </c>
      <c r="Q1784">
        <v>0</v>
      </c>
    </row>
    <row r="1785" spans="1:17">
      <c r="A1785" s="19">
        <v>0</v>
      </c>
      <c r="B1785" s="19">
        <v>0</v>
      </c>
      <c r="C1785" s="19">
        <v>0</v>
      </c>
      <c r="D1785" s="19">
        <v>0</v>
      </c>
      <c r="E1785" s="19">
        <v>0</v>
      </c>
      <c r="F1785" s="19">
        <v>0</v>
      </c>
      <c r="G1785" s="19">
        <v>0</v>
      </c>
      <c r="H1785" s="19">
        <v>0</v>
      </c>
      <c r="I1785" s="15">
        <v>3500</v>
      </c>
      <c r="J1785" s="15">
        <v>0</v>
      </c>
      <c r="K1785" s="15">
        <v>0</v>
      </c>
      <c r="L1785" s="15">
        <v>0</v>
      </c>
      <c r="M1785" s="15">
        <v>0</v>
      </c>
      <c r="N1785" s="15" t="str">
        <v/>
      </c>
      <c r="O1785" s="15" t="str">
        <v/>
      </c>
      <c r="P1785" s="22">
        <v>0</v>
      </c>
      <c r="Q1785">
        <v>0</v>
      </c>
    </row>
    <row r="1786" spans="1:17">
      <c r="A1786" s="19">
        <v>0</v>
      </c>
      <c r="B1786" s="19">
        <v>0</v>
      </c>
      <c r="C1786" s="19">
        <v>0</v>
      </c>
      <c r="D1786" s="19">
        <v>0</v>
      </c>
      <c r="E1786" s="19">
        <v>0</v>
      </c>
      <c r="F1786" s="19">
        <v>0</v>
      </c>
      <c r="G1786" s="19">
        <v>0</v>
      </c>
      <c r="H1786" s="19">
        <v>0</v>
      </c>
      <c r="I1786" s="15">
        <v>3500</v>
      </c>
      <c r="J1786" s="15">
        <v>0</v>
      </c>
      <c r="K1786" s="15">
        <v>0</v>
      </c>
      <c r="L1786" s="15">
        <v>0</v>
      </c>
      <c r="M1786" s="15">
        <v>0</v>
      </c>
      <c r="N1786" s="15" t="str">
        <v/>
      </c>
      <c r="O1786" s="15" t="str">
        <v/>
      </c>
      <c r="P1786" s="22">
        <v>0</v>
      </c>
      <c r="Q1786">
        <v>0</v>
      </c>
    </row>
    <row r="1787" spans="1:17">
      <c r="A1787" s="19">
        <v>0</v>
      </c>
      <c r="B1787" s="19">
        <v>0</v>
      </c>
      <c r="C1787" s="19">
        <v>0</v>
      </c>
      <c r="D1787" s="19">
        <v>0</v>
      </c>
      <c r="E1787" s="19">
        <v>0</v>
      </c>
      <c r="F1787" s="19">
        <v>0</v>
      </c>
      <c r="G1787" s="19">
        <v>0</v>
      </c>
      <c r="H1787" s="19">
        <v>0</v>
      </c>
      <c r="I1787" s="15">
        <v>3500</v>
      </c>
      <c r="J1787" s="15">
        <v>0</v>
      </c>
      <c r="K1787" s="15">
        <v>0</v>
      </c>
      <c r="L1787" s="15">
        <v>0</v>
      </c>
      <c r="M1787" s="15">
        <v>0</v>
      </c>
      <c r="N1787" s="15" t="str">
        <v/>
      </c>
      <c r="O1787" s="15" t="str">
        <v/>
      </c>
      <c r="P1787" s="22">
        <v>0</v>
      </c>
      <c r="Q1787">
        <v>0</v>
      </c>
    </row>
    <row r="1788" spans="1:17">
      <c r="A1788" s="19">
        <v>0</v>
      </c>
      <c r="B1788" s="19">
        <v>0</v>
      </c>
      <c r="C1788" s="19">
        <v>0</v>
      </c>
      <c r="D1788" s="19">
        <v>0</v>
      </c>
      <c r="E1788" s="19">
        <v>0</v>
      </c>
      <c r="F1788" s="19">
        <v>0</v>
      </c>
      <c r="G1788" s="19">
        <v>0</v>
      </c>
      <c r="H1788" s="19">
        <v>0</v>
      </c>
      <c r="I1788" s="15">
        <v>3500</v>
      </c>
      <c r="J1788" s="15">
        <v>0</v>
      </c>
      <c r="K1788" s="15">
        <v>0</v>
      </c>
      <c r="L1788" s="15">
        <v>0</v>
      </c>
      <c r="M1788" s="15">
        <v>0</v>
      </c>
      <c r="N1788" s="15" t="str">
        <v/>
      </c>
      <c r="O1788" s="15" t="str">
        <v/>
      </c>
      <c r="P1788" s="22">
        <v>0</v>
      </c>
      <c r="Q1788">
        <v>0</v>
      </c>
    </row>
    <row r="1789" spans="1:17">
      <c r="A1789" s="19">
        <v>0</v>
      </c>
      <c r="B1789" s="19">
        <v>0</v>
      </c>
      <c r="C1789" s="19">
        <v>0</v>
      </c>
      <c r="D1789" s="19">
        <v>0</v>
      </c>
      <c r="E1789" s="19">
        <v>0</v>
      </c>
      <c r="F1789" s="19">
        <v>0</v>
      </c>
      <c r="G1789" s="19">
        <v>0</v>
      </c>
      <c r="H1789" s="19">
        <v>0</v>
      </c>
      <c r="I1789" s="15">
        <v>3500</v>
      </c>
      <c r="J1789" s="15">
        <v>0</v>
      </c>
      <c r="K1789" s="15">
        <v>0</v>
      </c>
      <c r="L1789" s="15">
        <v>0</v>
      </c>
      <c r="M1789" s="15">
        <v>0</v>
      </c>
      <c r="N1789" s="15" t="str">
        <v/>
      </c>
      <c r="O1789" s="15" t="str">
        <v/>
      </c>
      <c r="P1789" s="22">
        <v>0</v>
      </c>
      <c r="Q1789">
        <v>0</v>
      </c>
    </row>
    <row r="1790" spans="1:17">
      <c r="A1790" s="19">
        <v>0</v>
      </c>
      <c r="B1790" s="19">
        <v>0</v>
      </c>
      <c r="C1790" s="19">
        <v>0</v>
      </c>
      <c r="D1790" s="19">
        <v>0</v>
      </c>
      <c r="E1790" s="19">
        <v>0</v>
      </c>
      <c r="F1790" s="19">
        <v>0</v>
      </c>
      <c r="G1790" s="19">
        <v>0</v>
      </c>
      <c r="H1790" s="19">
        <v>0</v>
      </c>
      <c r="I1790" s="15">
        <v>3500</v>
      </c>
      <c r="J1790" s="15">
        <v>0</v>
      </c>
      <c r="K1790" s="15">
        <v>0</v>
      </c>
      <c r="L1790" s="15">
        <v>0</v>
      </c>
      <c r="M1790" s="15">
        <v>0</v>
      </c>
      <c r="N1790" s="15" t="str">
        <v/>
      </c>
      <c r="O1790" s="15" t="str">
        <v/>
      </c>
      <c r="P1790" s="22">
        <v>0</v>
      </c>
      <c r="Q1790">
        <v>0</v>
      </c>
    </row>
    <row r="1791" spans="1:17">
      <c r="A1791" s="19">
        <v>0</v>
      </c>
      <c r="B1791" s="19">
        <v>0</v>
      </c>
      <c r="C1791" s="19">
        <v>0</v>
      </c>
      <c r="D1791" s="19">
        <v>0</v>
      </c>
      <c r="E1791" s="19">
        <v>0</v>
      </c>
      <c r="F1791" s="19">
        <v>0</v>
      </c>
      <c r="G1791" s="19">
        <v>0</v>
      </c>
      <c r="H1791" s="19">
        <v>0</v>
      </c>
      <c r="I1791" s="15">
        <v>3500</v>
      </c>
      <c r="J1791" s="15">
        <v>0</v>
      </c>
      <c r="K1791" s="15">
        <v>0</v>
      </c>
      <c r="L1791" s="15">
        <v>0</v>
      </c>
      <c r="M1791" s="15">
        <v>0</v>
      </c>
      <c r="N1791" s="15" t="str">
        <v/>
      </c>
      <c r="O1791" s="15" t="str">
        <v/>
      </c>
      <c r="P1791" s="22">
        <v>0</v>
      </c>
      <c r="Q1791">
        <v>0</v>
      </c>
    </row>
    <row r="1792" spans="1:17">
      <c r="A1792" s="19">
        <v>0</v>
      </c>
      <c r="B1792" s="19">
        <v>0</v>
      </c>
      <c r="C1792" s="19">
        <v>0</v>
      </c>
      <c r="D1792" s="19">
        <v>0</v>
      </c>
      <c r="E1792" s="19">
        <v>0</v>
      </c>
      <c r="F1792" s="19">
        <v>0</v>
      </c>
      <c r="G1792" s="19">
        <v>0</v>
      </c>
      <c r="H1792" s="19">
        <v>0</v>
      </c>
      <c r="I1792" s="15">
        <v>3500</v>
      </c>
      <c r="J1792" s="15">
        <v>0</v>
      </c>
      <c r="K1792" s="15">
        <v>0</v>
      </c>
      <c r="L1792" s="15">
        <v>0</v>
      </c>
      <c r="M1792" s="15">
        <v>0</v>
      </c>
      <c r="N1792" s="15" t="str">
        <v/>
      </c>
      <c r="O1792" s="15" t="str">
        <v/>
      </c>
      <c r="P1792" s="22">
        <v>0</v>
      </c>
      <c r="Q1792">
        <v>0</v>
      </c>
    </row>
    <row r="1793" spans="1:17">
      <c r="A1793" s="19">
        <v>0</v>
      </c>
      <c r="B1793" s="19">
        <v>0</v>
      </c>
      <c r="C1793" s="19">
        <v>0</v>
      </c>
      <c r="D1793" s="19">
        <v>0</v>
      </c>
      <c r="E1793" s="19">
        <v>0</v>
      </c>
      <c r="F1793" s="19">
        <v>0</v>
      </c>
      <c r="G1793" s="19">
        <v>0</v>
      </c>
      <c r="H1793" s="19">
        <v>0</v>
      </c>
      <c r="I1793" s="15">
        <v>3500</v>
      </c>
      <c r="J1793" s="15">
        <v>0</v>
      </c>
      <c r="K1793" s="15">
        <v>0</v>
      </c>
      <c r="L1793" s="15">
        <v>0</v>
      </c>
      <c r="M1793" s="15">
        <v>0</v>
      </c>
      <c r="N1793" s="15" t="str">
        <v/>
      </c>
      <c r="O1793" s="15" t="str">
        <v/>
      </c>
      <c r="P1793" s="22">
        <v>0</v>
      </c>
      <c r="Q1793">
        <v>0</v>
      </c>
    </row>
    <row r="1794" spans="1:17">
      <c r="A1794" s="19">
        <v>0</v>
      </c>
      <c r="B1794" s="19">
        <v>0</v>
      </c>
      <c r="C1794" s="19">
        <v>0</v>
      </c>
      <c r="D1794" s="19">
        <v>0</v>
      </c>
      <c r="E1794" s="19">
        <v>0</v>
      </c>
      <c r="F1794" s="19">
        <v>0</v>
      </c>
      <c r="G1794" s="19">
        <v>0</v>
      </c>
      <c r="H1794" s="19">
        <v>0</v>
      </c>
      <c r="I1794" s="15">
        <v>3500</v>
      </c>
      <c r="J1794" s="15">
        <v>0</v>
      </c>
      <c r="K1794" s="15">
        <v>0</v>
      </c>
      <c r="L1794" s="15">
        <v>0</v>
      </c>
      <c r="M1794" s="15">
        <v>0</v>
      </c>
      <c r="N1794" s="15" t="str">
        <v/>
      </c>
      <c r="O1794" s="15" t="str">
        <v/>
      </c>
      <c r="P1794" s="22">
        <v>0</v>
      </c>
      <c r="Q1794">
        <v>0</v>
      </c>
    </row>
    <row r="1795" spans="1:17">
      <c r="A1795" s="19">
        <v>0</v>
      </c>
      <c r="B1795" s="19">
        <v>0</v>
      </c>
      <c r="C1795" s="19">
        <v>0</v>
      </c>
      <c r="D1795" s="19">
        <v>0</v>
      </c>
      <c r="E1795" s="19">
        <v>0</v>
      </c>
      <c r="F1795" s="19">
        <v>0</v>
      </c>
      <c r="G1795" s="19">
        <v>0</v>
      </c>
      <c r="H1795" s="19">
        <v>0</v>
      </c>
      <c r="I1795" s="15">
        <v>3500</v>
      </c>
      <c r="J1795" s="15">
        <v>0</v>
      </c>
      <c r="K1795" s="15">
        <v>0</v>
      </c>
      <c r="L1795" s="15">
        <v>0</v>
      </c>
      <c r="M1795" s="15">
        <v>0</v>
      </c>
      <c r="N1795" s="15" t="str">
        <v/>
      </c>
      <c r="O1795" s="15" t="str">
        <v/>
      </c>
      <c r="P1795" s="22">
        <v>0</v>
      </c>
      <c r="Q1795">
        <v>0</v>
      </c>
    </row>
    <row r="1796" spans="1:17">
      <c r="A1796" s="19">
        <v>0</v>
      </c>
      <c r="B1796" s="19">
        <v>0</v>
      </c>
      <c r="C1796" s="19">
        <v>0</v>
      </c>
      <c r="D1796" s="19">
        <v>0</v>
      </c>
      <c r="E1796" s="19">
        <v>0</v>
      </c>
      <c r="F1796" s="19">
        <v>0</v>
      </c>
      <c r="G1796" s="19">
        <v>0</v>
      </c>
      <c r="H1796" s="19">
        <v>0</v>
      </c>
      <c r="I1796" s="15">
        <v>3500</v>
      </c>
      <c r="J1796" s="15">
        <v>0</v>
      </c>
      <c r="K1796" s="15">
        <v>0</v>
      </c>
      <c r="L1796" s="15">
        <v>0</v>
      </c>
      <c r="M1796" s="15">
        <v>0</v>
      </c>
      <c r="N1796" s="15" t="str">
        <v/>
      </c>
      <c r="O1796" s="15" t="str">
        <v/>
      </c>
      <c r="P1796" s="22">
        <v>0</v>
      </c>
      <c r="Q1796">
        <v>0</v>
      </c>
    </row>
    <row r="1797" spans="1:17">
      <c r="A1797" s="19">
        <v>0</v>
      </c>
      <c r="B1797" s="19">
        <v>0</v>
      </c>
      <c r="C1797" s="19">
        <v>0</v>
      </c>
      <c r="D1797" s="19">
        <v>0</v>
      </c>
      <c r="E1797" s="19">
        <v>0</v>
      </c>
      <c r="F1797" s="19">
        <v>0</v>
      </c>
      <c r="G1797" s="19">
        <v>0</v>
      </c>
      <c r="H1797" s="19">
        <v>0</v>
      </c>
      <c r="I1797" s="15">
        <v>3500</v>
      </c>
      <c r="J1797" s="15">
        <v>0</v>
      </c>
      <c r="K1797" s="15">
        <v>0</v>
      </c>
      <c r="L1797" s="15">
        <v>0</v>
      </c>
      <c r="M1797" s="15">
        <v>0</v>
      </c>
      <c r="N1797" s="15" t="str">
        <v/>
      </c>
      <c r="O1797" s="15" t="str">
        <v/>
      </c>
      <c r="P1797" s="22">
        <v>0</v>
      </c>
      <c r="Q1797">
        <v>0</v>
      </c>
    </row>
    <row r="1798" spans="1:17">
      <c r="A1798" s="19">
        <v>0</v>
      </c>
      <c r="B1798" s="19">
        <v>0</v>
      </c>
      <c r="C1798" s="19">
        <v>0</v>
      </c>
      <c r="D1798" s="19">
        <v>0</v>
      </c>
      <c r="E1798" s="19">
        <v>0</v>
      </c>
      <c r="F1798" s="19">
        <v>0</v>
      </c>
      <c r="G1798" s="19">
        <v>0</v>
      </c>
      <c r="H1798" s="19">
        <v>0</v>
      </c>
      <c r="I1798" s="15">
        <v>3500</v>
      </c>
      <c r="J1798" s="15">
        <v>0</v>
      </c>
      <c r="K1798" s="15">
        <v>0</v>
      </c>
      <c r="L1798" s="15">
        <v>0</v>
      </c>
      <c r="M1798" s="15">
        <v>0</v>
      </c>
      <c r="N1798" s="15" t="str">
        <v/>
      </c>
      <c r="O1798" s="15" t="str">
        <v/>
      </c>
      <c r="P1798" s="22">
        <v>0</v>
      </c>
      <c r="Q1798">
        <v>0</v>
      </c>
    </row>
    <row r="1799" spans="1:17">
      <c r="A1799" s="19">
        <v>0</v>
      </c>
      <c r="B1799" s="19">
        <v>0</v>
      </c>
      <c r="C1799" s="19">
        <v>0</v>
      </c>
      <c r="D1799" s="19">
        <v>0</v>
      </c>
      <c r="E1799" s="19">
        <v>0</v>
      </c>
      <c r="F1799" s="19">
        <v>0</v>
      </c>
      <c r="G1799" s="19">
        <v>0</v>
      </c>
      <c r="H1799" s="19">
        <v>0</v>
      </c>
      <c r="I1799" s="15">
        <v>3500</v>
      </c>
      <c r="J1799" s="15">
        <v>0</v>
      </c>
      <c r="K1799" s="15">
        <v>0</v>
      </c>
      <c r="L1799" s="15">
        <v>0</v>
      </c>
      <c r="M1799" s="15">
        <v>0</v>
      </c>
      <c r="N1799" s="15" t="str">
        <v/>
      </c>
      <c r="O1799" s="15" t="str">
        <v/>
      </c>
      <c r="P1799" s="22">
        <v>0</v>
      </c>
      <c r="Q1799">
        <v>0</v>
      </c>
    </row>
    <row r="1800" spans="1:17">
      <c r="A1800" s="19">
        <v>0</v>
      </c>
      <c r="B1800" s="19">
        <v>0</v>
      </c>
      <c r="C1800" s="19">
        <v>0</v>
      </c>
      <c r="D1800" s="19">
        <v>0</v>
      </c>
      <c r="E1800" s="19">
        <v>0</v>
      </c>
      <c r="F1800" s="19">
        <v>0</v>
      </c>
      <c r="G1800" s="19">
        <v>0</v>
      </c>
      <c r="H1800" s="19">
        <v>0</v>
      </c>
      <c r="I1800" s="15">
        <v>3500</v>
      </c>
      <c r="J1800" s="15">
        <v>0</v>
      </c>
      <c r="K1800" s="15">
        <v>0</v>
      </c>
      <c r="L1800" s="15">
        <v>0</v>
      </c>
      <c r="M1800" s="15">
        <v>0</v>
      </c>
      <c r="N1800" s="15" t="str">
        <v/>
      </c>
      <c r="O1800" s="15" t="str">
        <v/>
      </c>
      <c r="P1800" s="22">
        <v>0</v>
      </c>
      <c r="Q1800">
        <v>0</v>
      </c>
    </row>
    <row r="1801" spans="1:17">
      <c r="A1801" s="19">
        <v>0</v>
      </c>
      <c r="B1801" s="19">
        <v>0</v>
      </c>
      <c r="C1801" s="19">
        <v>0</v>
      </c>
      <c r="D1801" s="19">
        <v>0</v>
      </c>
      <c r="E1801" s="19">
        <v>0</v>
      </c>
      <c r="F1801" s="19">
        <v>0</v>
      </c>
      <c r="G1801" s="19">
        <v>0</v>
      </c>
      <c r="H1801" s="19">
        <v>0</v>
      </c>
      <c r="I1801" s="15">
        <v>3500</v>
      </c>
      <c r="J1801" s="15">
        <v>0</v>
      </c>
      <c r="K1801" s="15">
        <v>0</v>
      </c>
      <c r="L1801" s="15">
        <v>0</v>
      </c>
      <c r="M1801" s="15">
        <v>0</v>
      </c>
      <c r="N1801" s="15" t="str">
        <v/>
      </c>
      <c r="O1801" s="15" t="str">
        <v/>
      </c>
      <c r="P1801" s="22">
        <v>0</v>
      </c>
      <c r="Q1801">
        <v>0</v>
      </c>
    </row>
    <row r="1802" spans="1:17">
      <c r="A1802" s="19">
        <v>0</v>
      </c>
      <c r="B1802" s="19">
        <v>0</v>
      </c>
      <c r="C1802" s="19">
        <v>0</v>
      </c>
      <c r="D1802" s="19">
        <v>0</v>
      </c>
      <c r="E1802" s="19">
        <v>0</v>
      </c>
      <c r="F1802" s="19">
        <v>0</v>
      </c>
      <c r="G1802" s="19">
        <v>0</v>
      </c>
      <c r="H1802" s="19">
        <v>0</v>
      </c>
      <c r="I1802" s="15">
        <v>3500</v>
      </c>
      <c r="J1802" s="15">
        <v>0</v>
      </c>
      <c r="K1802" s="15">
        <v>0</v>
      </c>
      <c r="L1802" s="15">
        <v>0</v>
      </c>
      <c r="M1802" s="15">
        <v>0</v>
      </c>
      <c r="N1802" s="15" t="str">
        <v/>
      </c>
      <c r="O1802" s="15" t="str">
        <v/>
      </c>
      <c r="P1802" s="22">
        <v>0</v>
      </c>
      <c r="Q1802">
        <v>0</v>
      </c>
    </row>
    <row r="1803" spans="1:17">
      <c r="A1803" s="19">
        <v>0</v>
      </c>
      <c r="B1803" s="19">
        <v>0</v>
      </c>
      <c r="C1803" s="19">
        <v>0</v>
      </c>
      <c r="D1803" s="19">
        <v>0</v>
      </c>
      <c r="E1803" s="19">
        <v>0</v>
      </c>
      <c r="F1803" s="19">
        <v>0</v>
      </c>
      <c r="G1803" s="19">
        <v>0</v>
      </c>
      <c r="H1803" s="19">
        <v>0</v>
      </c>
      <c r="I1803" s="15">
        <v>3500</v>
      </c>
      <c r="J1803" s="15">
        <v>0</v>
      </c>
      <c r="K1803" s="15">
        <v>0</v>
      </c>
      <c r="L1803" s="15">
        <v>0</v>
      </c>
      <c r="M1803" s="15">
        <v>0</v>
      </c>
      <c r="N1803" s="15" t="str">
        <v/>
      </c>
      <c r="O1803" s="15" t="str">
        <v/>
      </c>
      <c r="P1803" s="22">
        <v>0</v>
      </c>
      <c r="Q1803">
        <v>0</v>
      </c>
    </row>
    <row r="1804" spans="1:17">
      <c r="A1804" s="19">
        <v>0</v>
      </c>
      <c r="B1804" s="19">
        <v>0</v>
      </c>
      <c r="C1804" s="19">
        <v>0</v>
      </c>
      <c r="D1804" s="19">
        <v>0</v>
      </c>
      <c r="E1804" s="19">
        <v>0</v>
      </c>
      <c r="F1804" s="19">
        <v>0</v>
      </c>
      <c r="G1804" s="19">
        <v>0</v>
      </c>
      <c r="H1804" s="19">
        <v>0</v>
      </c>
      <c r="I1804" s="15">
        <v>3500</v>
      </c>
      <c r="J1804" s="15">
        <v>0</v>
      </c>
      <c r="K1804" s="15">
        <v>0</v>
      </c>
      <c r="L1804" s="15">
        <v>0</v>
      </c>
      <c r="M1804" s="15">
        <v>0</v>
      </c>
      <c r="N1804" s="15" t="str">
        <v/>
      </c>
      <c r="O1804" s="15" t="str">
        <v/>
      </c>
      <c r="P1804" s="22">
        <v>0</v>
      </c>
      <c r="Q1804">
        <v>0</v>
      </c>
    </row>
    <row r="1805" spans="1:17">
      <c r="A1805" s="19">
        <v>0</v>
      </c>
      <c r="B1805" s="19">
        <v>0</v>
      </c>
      <c r="C1805" s="19">
        <v>0</v>
      </c>
      <c r="D1805" s="19">
        <v>0</v>
      </c>
      <c r="E1805" s="19">
        <v>0</v>
      </c>
      <c r="F1805" s="19">
        <v>0</v>
      </c>
      <c r="G1805" s="19">
        <v>0</v>
      </c>
      <c r="H1805" s="19">
        <v>0</v>
      </c>
      <c r="I1805" s="15">
        <v>3500</v>
      </c>
      <c r="J1805" s="15">
        <v>0</v>
      </c>
      <c r="K1805" s="15">
        <v>0</v>
      </c>
      <c r="L1805" s="15">
        <v>0</v>
      </c>
      <c r="M1805" s="15">
        <v>0</v>
      </c>
      <c r="N1805" s="15" t="str">
        <v/>
      </c>
      <c r="O1805" s="15" t="str">
        <v/>
      </c>
      <c r="P1805" s="22">
        <v>0</v>
      </c>
      <c r="Q1805">
        <v>0</v>
      </c>
    </row>
    <row r="1806" spans="1:17">
      <c r="A1806" s="19">
        <v>0</v>
      </c>
      <c r="B1806" s="19">
        <v>0</v>
      </c>
      <c r="C1806" s="19">
        <v>0</v>
      </c>
      <c r="D1806" s="19">
        <v>0</v>
      </c>
      <c r="E1806" s="19">
        <v>0</v>
      </c>
      <c r="F1806" s="19">
        <v>0</v>
      </c>
      <c r="G1806" s="19">
        <v>0</v>
      </c>
      <c r="H1806" s="19">
        <v>0</v>
      </c>
      <c r="I1806" s="15">
        <v>3500</v>
      </c>
      <c r="J1806" s="15">
        <v>0</v>
      </c>
      <c r="K1806" s="15">
        <v>0</v>
      </c>
      <c r="L1806" s="15">
        <v>0</v>
      </c>
      <c r="M1806" s="15">
        <v>0</v>
      </c>
      <c r="N1806" s="15" t="str">
        <v/>
      </c>
      <c r="O1806" s="15" t="str">
        <v/>
      </c>
      <c r="P1806" s="22">
        <v>0</v>
      </c>
      <c r="Q1806">
        <v>0</v>
      </c>
    </row>
    <row r="1807" spans="1:17">
      <c r="A1807" s="19">
        <v>0</v>
      </c>
      <c r="B1807" s="19">
        <v>0</v>
      </c>
      <c r="C1807" s="19">
        <v>0</v>
      </c>
      <c r="D1807" s="19">
        <v>0</v>
      </c>
      <c r="E1807" s="19">
        <v>0</v>
      </c>
      <c r="F1807" s="19">
        <v>0</v>
      </c>
      <c r="G1807" s="19">
        <v>0</v>
      </c>
      <c r="H1807" s="19">
        <v>0</v>
      </c>
      <c r="I1807" s="15">
        <v>3500</v>
      </c>
      <c r="J1807" s="15">
        <v>0</v>
      </c>
      <c r="K1807" s="15">
        <v>0</v>
      </c>
      <c r="L1807" s="15">
        <v>0</v>
      </c>
      <c r="M1807" s="15">
        <v>0</v>
      </c>
      <c r="N1807" s="15" t="str">
        <v/>
      </c>
      <c r="O1807" s="15" t="str">
        <v/>
      </c>
      <c r="P1807" s="22">
        <v>0</v>
      </c>
      <c r="Q1807">
        <v>0</v>
      </c>
    </row>
    <row r="1808" spans="1:17">
      <c r="A1808" s="19">
        <v>0</v>
      </c>
      <c r="B1808" s="19">
        <v>0</v>
      </c>
      <c r="C1808" s="19">
        <v>0</v>
      </c>
      <c r="D1808" s="19">
        <v>0</v>
      </c>
      <c r="E1808" s="19">
        <v>0</v>
      </c>
      <c r="F1808" s="19">
        <v>0</v>
      </c>
      <c r="G1808" s="19">
        <v>0</v>
      </c>
      <c r="H1808" s="19">
        <v>0</v>
      </c>
      <c r="I1808" s="15">
        <v>3500</v>
      </c>
      <c r="J1808" s="15">
        <v>0</v>
      </c>
      <c r="K1808" s="15">
        <v>0</v>
      </c>
      <c r="L1808" s="15">
        <v>0</v>
      </c>
      <c r="M1808" s="15">
        <v>0</v>
      </c>
      <c r="N1808" s="15" t="str">
        <v/>
      </c>
      <c r="O1808" s="15" t="str">
        <v/>
      </c>
      <c r="P1808" s="22">
        <v>0</v>
      </c>
      <c r="Q1808">
        <v>0</v>
      </c>
    </row>
    <row r="1809" spans="1:17">
      <c r="A1809" s="19">
        <v>0</v>
      </c>
      <c r="B1809" s="19">
        <v>0</v>
      </c>
      <c r="C1809" s="19">
        <v>0</v>
      </c>
      <c r="D1809" s="19">
        <v>0</v>
      </c>
      <c r="E1809" s="19">
        <v>0</v>
      </c>
      <c r="F1809" s="19">
        <v>0</v>
      </c>
      <c r="G1809" s="19">
        <v>0</v>
      </c>
      <c r="H1809" s="19">
        <v>0</v>
      </c>
      <c r="I1809" s="15">
        <v>3500</v>
      </c>
      <c r="J1809" s="15">
        <v>0</v>
      </c>
      <c r="K1809" s="15">
        <v>0</v>
      </c>
      <c r="L1809" s="15">
        <v>0</v>
      </c>
      <c r="M1809" s="15">
        <v>0</v>
      </c>
      <c r="N1809" s="15" t="str">
        <v/>
      </c>
      <c r="O1809" s="15" t="str">
        <v/>
      </c>
      <c r="P1809" s="22">
        <v>0</v>
      </c>
      <c r="Q1809">
        <v>0</v>
      </c>
    </row>
    <row r="1810" spans="1:17">
      <c r="A1810" s="19">
        <v>0</v>
      </c>
      <c r="B1810" s="19">
        <v>0</v>
      </c>
      <c r="C1810" s="19">
        <v>0</v>
      </c>
      <c r="D1810" s="19">
        <v>0</v>
      </c>
      <c r="E1810" s="19">
        <v>0</v>
      </c>
      <c r="F1810" s="19">
        <v>0</v>
      </c>
      <c r="G1810" s="19">
        <v>0</v>
      </c>
      <c r="H1810" s="19">
        <v>0</v>
      </c>
      <c r="I1810" s="15">
        <v>3500</v>
      </c>
      <c r="J1810" s="15">
        <v>0</v>
      </c>
      <c r="K1810" s="15">
        <v>0</v>
      </c>
      <c r="L1810" s="15">
        <v>0</v>
      </c>
      <c r="M1810" s="15">
        <v>0</v>
      </c>
      <c r="N1810" s="15" t="str">
        <v/>
      </c>
      <c r="O1810" s="15" t="str">
        <v/>
      </c>
      <c r="P1810" s="22">
        <v>0</v>
      </c>
      <c r="Q1810">
        <v>0</v>
      </c>
    </row>
    <row r="1811" spans="1:17">
      <c r="A1811" s="19">
        <v>0</v>
      </c>
      <c r="B1811" s="19">
        <v>0</v>
      </c>
      <c r="C1811" s="19">
        <v>0</v>
      </c>
      <c r="D1811" s="19">
        <v>0</v>
      </c>
      <c r="E1811" s="19">
        <v>0</v>
      </c>
      <c r="F1811" s="19">
        <v>0</v>
      </c>
      <c r="G1811" s="19">
        <v>0</v>
      </c>
      <c r="H1811" s="19">
        <v>0</v>
      </c>
      <c r="I1811" s="15">
        <v>3500</v>
      </c>
      <c r="J1811" s="15">
        <v>0</v>
      </c>
      <c r="K1811" s="15">
        <v>0</v>
      </c>
      <c r="L1811" s="15">
        <v>0</v>
      </c>
      <c r="M1811" s="15">
        <v>0</v>
      </c>
      <c r="N1811" s="15" t="str">
        <v/>
      </c>
      <c r="O1811" s="15" t="str">
        <v/>
      </c>
      <c r="P1811" s="22">
        <v>0</v>
      </c>
      <c r="Q1811">
        <v>0</v>
      </c>
    </row>
    <row r="1812" spans="1:17">
      <c r="A1812" s="19">
        <v>0</v>
      </c>
      <c r="B1812" s="19">
        <v>0</v>
      </c>
      <c r="C1812" s="19">
        <v>0</v>
      </c>
      <c r="D1812" s="19">
        <v>0</v>
      </c>
      <c r="E1812" s="19">
        <v>0</v>
      </c>
      <c r="F1812" s="19">
        <v>0</v>
      </c>
      <c r="G1812" s="19">
        <v>0</v>
      </c>
      <c r="H1812" s="19">
        <v>0</v>
      </c>
      <c r="I1812" s="15">
        <v>3500</v>
      </c>
      <c r="J1812" s="15">
        <v>0</v>
      </c>
      <c r="K1812" s="15">
        <v>0</v>
      </c>
      <c r="L1812" s="15">
        <v>0</v>
      </c>
      <c r="M1812" s="15">
        <v>0</v>
      </c>
      <c r="N1812" s="15" t="str">
        <v/>
      </c>
      <c r="O1812" s="15" t="str">
        <v/>
      </c>
      <c r="P1812" s="22">
        <v>0</v>
      </c>
      <c r="Q1812">
        <v>0</v>
      </c>
    </row>
    <row r="1813" spans="1:17">
      <c r="A1813" s="19">
        <v>0</v>
      </c>
      <c r="B1813" s="19">
        <v>0</v>
      </c>
      <c r="C1813" s="19">
        <v>0</v>
      </c>
      <c r="D1813" s="19">
        <v>0</v>
      </c>
      <c r="E1813" s="19">
        <v>0</v>
      </c>
      <c r="F1813" s="19">
        <v>0</v>
      </c>
      <c r="G1813" s="19">
        <v>0</v>
      </c>
      <c r="H1813" s="19">
        <v>0</v>
      </c>
      <c r="I1813" s="15">
        <v>3500</v>
      </c>
      <c r="J1813" s="15">
        <v>0</v>
      </c>
      <c r="K1813" s="15">
        <v>0</v>
      </c>
      <c r="L1813" s="15">
        <v>0</v>
      </c>
      <c r="M1813" s="15">
        <v>0</v>
      </c>
      <c r="N1813" s="15" t="str">
        <v/>
      </c>
      <c r="O1813" s="15" t="str">
        <v/>
      </c>
      <c r="P1813" s="22">
        <v>0</v>
      </c>
      <c r="Q1813">
        <v>0</v>
      </c>
    </row>
    <row r="1814" spans="1:17">
      <c r="A1814" s="19">
        <v>0</v>
      </c>
      <c r="B1814" s="19">
        <v>0</v>
      </c>
      <c r="C1814" s="19">
        <v>0</v>
      </c>
      <c r="D1814" s="19">
        <v>0</v>
      </c>
      <c r="E1814" s="19">
        <v>0</v>
      </c>
      <c r="F1814" s="19">
        <v>0</v>
      </c>
      <c r="G1814" s="19">
        <v>0</v>
      </c>
      <c r="H1814" s="19">
        <v>0</v>
      </c>
      <c r="I1814" s="15">
        <v>3500</v>
      </c>
      <c r="J1814" s="15">
        <v>0</v>
      </c>
      <c r="K1814" s="15">
        <v>0</v>
      </c>
      <c r="L1814" s="15">
        <v>0</v>
      </c>
      <c r="M1814" s="15">
        <v>0</v>
      </c>
      <c r="N1814" s="15" t="str">
        <v/>
      </c>
      <c r="O1814" s="15" t="str">
        <v/>
      </c>
      <c r="P1814" s="22">
        <v>0</v>
      </c>
      <c r="Q1814">
        <v>0</v>
      </c>
    </row>
    <row r="1815" spans="1:17">
      <c r="A1815" s="19">
        <v>0</v>
      </c>
      <c r="B1815" s="19">
        <v>0</v>
      </c>
      <c r="C1815" s="19">
        <v>0</v>
      </c>
      <c r="D1815" s="19">
        <v>0</v>
      </c>
      <c r="E1815" s="19">
        <v>0</v>
      </c>
      <c r="F1815" s="19">
        <v>0</v>
      </c>
      <c r="G1815" s="19">
        <v>0</v>
      </c>
      <c r="H1815" s="19">
        <v>0</v>
      </c>
      <c r="I1815" s="15">
        <v>3500</v>
      </c>
      <c r="J1815" s="15">
        <v>0</v>
      </c>
      <c r="K1815" s="15">
        <v>0</v>
      </c>
      <c r="L1815" s="15">
        <v>0</v>
      </c>
      <c r="M1815" s="15">
        <v>0</v>
      </c>
      <c r="N1815" s="15" t="str">
        <v/>
      </c>
      <c r="O1815" s="15" t="str">
        <v/>
      </c>
      <c r="P1815" s="22">
        <v>0</v>
      </c>
      <c r="Q1815">
        <v>0</v>
      </c>
    </row>
    <row r="1816" spans="1:17">
      <c r="A1816" s="19">
        <v>0</v>
      </c>
      <c r="B1816" s="19">
        <v>0</v>
      </c>
      <c r="C1816" s="19">
        <v>0</v>
      </c>
      <c r="D1816" s="19">
        <v>0</v>
      </c>
      <c r="E1816" s="19">
        <v>0</v>
      </c>
      <c r="F1816" s="19">
        <v>0</v>
      </c>
      <c r="G1816" s="19">
        <v>0</v>
      </c>
      <c r="H1816" s="19">
        <v>0</v>
      </c>
      <c r="I1816" s="15">
        <v>3500</v>
      </c>
      <c r="J1816" s="15">
        <v>0</v>
      </c>
      <c r="K1816" s="15">
        <v>0</v>
      </c>
      <c r="L1816" s="15">
        <v>0</v>
      </c>
      <c r="M1816" s="15">
        <v>0</v>
      </c>
      <c r="N1816" s="15" t="str">
        <v/>
      </c>
      <c r="O1816" s="15" t="str">
        <v/>
      </c>
      <c r="P1816" s="22">
        <v>0</v>
      </c>
      <c r="Q1816">
        <v>0</v>
      </c>
    </row>
    <row r="1817" spans="1:17">
      <c r="A1817" s="19">
        <v>0</v>
      </c>
      <c r="B1817" s="19">
        <v>0</v>
      </c>
      <c r="C1817" s="19">
        <v>0</v>
      </c>
      <c r="D1817" s="19">
        <v>0</v>
      </c>
      <c r="E1817" s="19">
        <v>0</v>
      </c>
      <c r="F1817" s="19">
        <v>0</v>
      </c>
      <c r="G1817" s="19">
        <v>0</v>
      </c>
      <c r="H1817" s="19">
        <v>0</v>
      </c>
      <c r="I1817" s="15">
        <v>3500</v>
      </c>
      <c r="J1817" s="15">
        <v>0</v>
      </c>
      <c r="K1817" s="15">
        <v>0</v>
      </c>
      <c r="L1817" s="15">
        <v>0</v>
      </c>
      <c r="M1817" s="15">
        <v>0</v>
      </c>
      <c r="N1817" s="15" t="str">
        <v/>
      </c>
      <c r="O1817" s="15" t="str">
        <v/>
      </c>
      <c r="P1817" s="22">
        <v>0</v>
      </c>
      <c r="Q1817">
        <v>0</v>
      </c>
    </row>
    <row r="1818" spans="1:17">
      <c r="A1818" s="19">
        <v>0</v>
      </c>
      <c r="B1818" s="19">
        <v>0</v>
      </c>
      <c r="C1818" s="19">
        <v>0</v>
      </c>
      <c r="D1818" s="19">
        <v>0</v>
      </c>
      <c r="E1818" s="19">
        <v>0</v>
      </c>
      <c r="F1818" s="19">
        <v>0</v>
      </c>
      <c r="G1818" s="19">
        <v>0</v>
      </c>
      <c r="H1818" s="19">
        <v>0</v>
      </c>
      <c r="I1818" s="15">
        <v>3500</v>
      </c>
      <c r="J1818" s="15">
        <v>0</v>
      </c>
      <c r="K1818" s="15">
        <v>0</v>
      </c>
      <c r="L1818" s="15">
        <v>0</v>
      </c>
      <c r="M1818" s="15">
        <v>0</v>
      </c>
      <c r="N1818" s="15" t="str">
        <v/>
      </c>
      <c r="O1818" s="15" t="str">
        <v/>
      </c>
      <c r="P1818" s="22">
        <v>0</v>
      </c>
      <c r="Q1818">
        <v>0</v>
      </c>
    </row>
    <row r="1819" spans="1:17">
      <c r="A1819" s="19">
        <v>0</v>
      </c>
      <c r="B1819" s="19">
        <v>0</v>
      </c>
      <c r="C1819" s="19">
        <v>0</v>
      </c>
      <c r="D1819" s="19">
        <v>0</v>
      </c>
      <c r="E1819" s="19">
        <v>0</v>
      </c>
      <c r="F1819" s="19">
        <v>0</v>
      </c>
      <c r="G1819" s="19">
        <v>0</v>
      </c>
      <c r="H1819" s="19">
        <v>0</v>
      </c>
      <c r="I1819" s="15">
        <v>3500</v>
      </c>
      <c r="J1819" s="15">
        <v>0</v>
      </c>
      <c r="K1819" s="15">
        <v>0</v>
      </c>
      <c r="L1819" s="15">
        <v>0</v>
      </c>
      <c r="M1819" s="15">
        <v>0</v>
      </c>
      <c r="N1819" s="15" t="str">
        <v/>
      </c>
      <c r="O1819" s="15" t="str">
        <v/>
      </c>
      <c r="P1819" s="22">
        <v>0</v>
      </c>
      <c r="Q1819">
        <v>0</v>
      </c>
    </row>
    <row r="1820" spans="1:17">
      <c r="A1820" s="19">
        <v>0</v>
      </c>
      <c r="B1820" s="19">
        <v>0</v>
      </c>
      <c r="C1820" s="19">
        <v>0</v>
      </c>
      <c r="D1820" s="19">
        <v>0</v>
      </c>
      <c r="E1820" s="19">
        <v>0</v>
      </c>
      <c r="F1820" s="19">
        <v>0</v>
      </c>
      <c r="G1820" s="19">
        <v>0</v>
      </c>
      <c r="H1820" s="19">
        <v>0</v>
      </c>
      <c r="I1820" s="15">
        <v>3500</v>
      </c>
      <c r="J1820" s="15">
        <v>0</v>
      </c>
      <c r="K1820" s="15">
        <v>0</v>
      </c>
      <c r="L1820" s="15">
        <v>0</v>
      </c>
      <c r="M1820" s="15">
        <v>0</v>
      </c>
      <c r="N1820" s="15" t="str">
        <v/>
      </c>
      <c r="O1820" s="15" t="str">
        <v/>
      </c>
      <c r="P1820" s="22">
        <v>0</v>
      </c>
      <c r="Q1820">
        <v>0</v>
      </c>
    </row>
    <row r="1821" spans="1:17">
      <c r="A1821" s="19">
        <v>0</v>
      </c>
      <c r="B1821" s="19">
        <v>0</v>
      </c>
      <c r="C1821" s="19">
        <v>0</v>
      </c>
      <c r="D1821" s="19">
        <v>0</v>
      </c>
      <c r="E1821" s="19">
        <v>0</v>
      </c>
      <c r="F1821" s="19">
        <v>0</v>
      </c>
      <c r="G1821" s="19">
        <v>0</v>
      </c>
      <c r="H1821" s="19">
        <v>0</v>
      </c>
      <c r="I1821" s="15">
        <v>3500</v>
      </c>
      <c r="J1821" s="15">
        <v>0</v>
      </c>
      <c r="K1821" s="15">
        <v>0</v>
      </c>
      <c r="L1821" s="15">
        <v>0</v>
      </c>
      <c r="M1821" s="15">
        <v>0</v>
      </c>
      <c r="N1821" s="15" t="str">
        <v/>
      </c>
      <c r="O1821" s="15" t="str">
        <v/>
      </c>
      <c r="P1821" s="22">
        <v>0</v>
      </c>
      <c r="Q1821">
        <v>0</v>
      </c>
    </row>
    <row r="1822" spans="1:17">
      <c r="A1822" s="19">
        <v>0</v>
      </c>
      <c r="B1822" s="19">
        <v>0</v>
      </c>
      <c r="C1822" s="19">
        <v>0</v>
      </c>
      <c r="D1822" s="19">
        <v>0</v>
      </c>
      <c r="E1822" s="19">
        <v>0</v>
      </c>
      <c r="F1822" s="19">
        <v>0</v>
      </c>
      <c r="G1822" s="19">
        <v>0</v>
      </c>
      <c r="H1822" s="19">
        <v>0</v>
      </c>
      <c r="I1822" s="15">
        <v>3500</v>
      </c>
      <c r="J1822" s="15">
        <v>0</v>
      </c>
      <c r="K1822" s="15">
        <v>0</v>
      </c>
      <c r="L1822" s="15">
        <v>0</v>
      </c>
      <c r="M1822" s="15">
        <v>0</v>
      </c>
      <c r="N1822" s="15" t="str">
        <v/>
      </c>
      <c r="O1822" s="15" t="str">
        <v/>
      </c>
      <c r="P1822" s="22">
        <v>0</v>
      </c>
      <c r="Q1822">
        <v>0</v>
      </c>
    </row>
    <row r="1823" spans="1:17">
      <c r="A1823" s="19">
        <v>0</v>
      </c>
      <c r="B1823" s="19">
        <v>0</v>
      </c>
      <c r="C1823" s="19">
        <v>0</v>
      </c>
      <c r="D1823" s="19">
        <v>0</v>
      </c>
      <c r="E1823" s="19">
        <v>0</v>
      </c>
      <c r="F1823" s="19">
        <v>0</v>
      </c>
      <c r="G1823" s="19">
        <v>0</v>
      </c>
      <c r="H1823" s="19">
        <v>0</v>
      </c>
      <c r="I1823" s="15">
        <v>3500</v>
      </c>
      <c r="J1823" s="15">
        <v>0</v>
      </c>
      <c r="K1823" s="15">
        <v>0</v>
      </c>
      <c r="L1823" s="15">
        <v>0</v>
      </c>
      <c r="M1823" s="15">
        <v>0</v>
      </c>
      <c r="N1823" s="15" t="str">
        <v/>
      </c>
      <c r="O1823" s="15" t="str">
        <v/>
      </c>
      <c r="P1823" s="22">
        <v>0</v>
      </c>
      <c r="Q1823">
        <v>0</v>
      </c>
    </row>
    <row r="1824" spans="1:17">
      <c r="A1824" s="19">
        <v>0</v>
      </c>
      <c r="B1824" s="19">
        <v>0</v>
      </c>
      <c r="C1824" s="19">
        <v>0</v>
      </c>
      <c r="D1824" s="19">
        <v>0</v>
      </c>
      <c r="E1824" s="19">
        <v>0</v>
      </c>
      <c r="F1824" s="19">
        <v>0</v>
      </c>
      <c r="G1824" s="19">
        <v>0</v>
      </c>
      <c r="H1824" s="19">
        <v>0</v>
      </c>
      <c r="I1824" s="15">
        <v>3500</v>
      </c>
      <c r="J1824" s="15">
        <v>0</v>
      </c>
      <c r="K1824" s="15">
        <v>0</v>
      </c>
      <c r="L1824" s="15">
        <v>0</v>
      </c>
      <c r="M1824" s="15">
        <v>0</v>
      </c>
      <c r="N1824" s="15" t="str">
        <v/>
      </c>
      <c r="O1824" s="15" t="str">
        <v/>
      </c>
      <c r="P1824" s="22">
        <v>0</v>
      </c>
      <c r="Q1824">
        <v>0</v>
      </c>
    </row>
    <row r="1825" spans="1:17">
      <c r="A1825" s="19">
        <v>0</v>
      </c>
      <c r="B1825" s="19">
        <v>0</v>
      </c>
      <c r="C1825" s="19">
        <v>0</v>
      </c>
      <c r="D1825" s="19">
        <v>0</v>
      </c>
      <c r="E1825" s="19">
        <v>0</v>
      </c>
      <c r="F1825" s="19">
        <v>0</v>
      </c>
      <c r="G1825" s="19">
        <v>0</v>
      </c>
      <c r="H1825" s="19">
        <v>0</v>
      </c>
      <c r="I1825" s="15">
        <v>3500</v>
      </c>
      <c r="J1825" s="15">
        <v>0</v>
      </c>
      <c r="K1825" s="15">
        <v>0</v>
      </c>
      <c r="L1825" s="15">
        <v>0</v>
      </c>
      <c r="M1825" s="15">
        <v>0</v>
      </c>
      <c r="N1825" s="15" t="str">
        <v/>
      </c>
      <c r="O1825" s="15" t="str">
        <v/>
      </c>
      <c r="P1825" s="22">
        <v>0</v>
      </c>
      <c r="Q1825">
        <v>0</v>
      </c>
    </row>
    <row r="1826" spans="1:17">
      <c r="A1826" s="19">
        <v>0</v>
      </c>
      <c r="B1826" s="19">
        <v>0</v>
      </c>
      <c r="C1826" s="19">
        <v>0</v>
      </c>
      <c r="D1826" s="19">
        <v>0</v>
      </c>
      <c r="E1826" s="19">
        <v>0</v>
      </c>
      <c r="F1826" s="19">
        <v>0</v>
      </c>
      <c r="G1826" s="19">
        <v>0</v>
      </c>
      <c r="H1826" s="19">
        <v>0</v>
      </c>
      <c r="I1826" s="15">
        <v>3500</v>
      </c>
      <c r="J1826" s="15">
        <v>0</v>
      </c>
      <c r="K1826" s="15">
        <v>0</v>
      </c>
      <c r="L1826" s="15">
        <v>0</v>
      </c>
      <c r="M1826" s="15">
        <v>0</v>
      </c>
      <c r="N1826" s="15" t="str">
        <v/>
      </c>
      <c r="O1826" s="15" t="str">
        <v/>
      </c>
      <c r="P1826" s="22">
        <v>0</v>
      </c>
      <c r="Q1826">
        <v>0</v>
      </c>
    </row>
    <row r="1827" spans="1:17">
      <c r="A1827" s="19">
        <v>0</v>
      </c>
      <c r="B1827" s="19">
        <v>0</v>
      </c>
      <c r="C1827" s="19">
        <v>0</v>
      </c>
      <c r="D1827" s="19">
        <v>0</v>
      </c>
      <c r="E1827" s="19">
        <v>0</v>
      </c>
      <c r="F1827" s="19">
        <v>0</v>
      </c>
      <c r="G1827" s="19">
        <v>0</v>
      </c>
      <c r="H1827" s="19">
        <v>0</v>
      </c>
      <c r="I1827" s="15">
        <v>3500</v>
      </c>
      <c r="J1827" s="15">
        <v>0</v>
      </c>
      <c r="K1827" s="15">
        <v>0</v>
      </c>
      <c r="L1827" s="15">
        <v>0</v>
      </c>
      <c r="M1827" s="15">
        <v>0</v>
      </c>
      <c r="N1827" s="15" t="str">
        <v/>
      </c>
      <c r="O1827" s="15" t="str">
        <v/>
      </c>
      <c r="P1827" s="22">
        <v>0</v>
      </c>
      <c r="Q1827">
        <v>0</v>
      </c>
    </row>
    <row r="1828" spans="1:17">
      <c r="A1828" s="19">
        <v>0</v>
      </c>
      <c r="B1828" s="19">
        <v>0</v>
      </c>
      <c r="C1828" s="19">
        <v>0</v>
      </c>
      <c r="D1828" s="19">
        <v>0</v>
      </c>
      <c r="E1828" s="19">
        <v>0</v>
      </c>
      <c r="F1828" s="19">
        <v>0</v>
      </c>
      <c r="G1828" s="19">
        <v>0</v>
      </c>
      <c r="H1828" s="19">
        <v>0</v>
      </c>
      <c r="I1828" s="15">
        <v>3500</v>
      </c>
      <c r="J1828" s="15">
        <v>0</v>
      </c>
      <c r="K1828" s="15">
        <v>0</v>
      </c>
      <c r="L1828" s="15">
        <v>0</v>
      </c>
      <c r="M1828" s="15">
        <v>0</v>
      </c>
      <c r="N1828" s="15" t="str">
        <v/>
      </c>
      <c r="O1828" s="15" t="str">
        <v/>
      </c>
      <c r="P1828" s="22">
        <v>0</v>
      </c>
      <c r="Q1828">
        <v>0</v>
      </c>
    </row>
    <row r="1829" spans="1:17">
      <c r="A1829" s="19">
        <v>0</v>
      </c>
      <c r="B1829" s="19">
        <v>0</v>
      </c>
      <c r="C1829" s="19">
        <v>0</v>
      </c>
      <c r="D1829" s="19">
        <v>0</v>
      </c>
      <c r="E1829" s="19">
        <v>0</v>
      </c>
      <c r="F1829" s="19">
        <v>0</v>
      </c>
      <c r="G1829" s="19">
        <v>0</v>
      </c>
      <c r="H1829" s="19">
        <v>0</v>
      </c>
      <c r="I1829" s="15">
        <v>3500</v>
      </c>
      <c r="J1829" s="15">
        <v>0</v>
      </c>
      <c r="K1829" s="15">
        <v>0</v>
      </c>
      <c r="L1829" s="15">
        <v>0</v>
      </c>
      <c r="M1829" s="15">
        <v>0</v>
      </c>
      <c r="N1829" s="15" t="str">
        <v/>
      </c>
      <c r="O1829" s="15" t="str">
        <v/>
      </c>
      <c r="P1829" s="22">
        <v>0</v>
      </c>
      <c r="Q1829">
        <v>0</v>
      </c>
    </row>
    <row r="1830" spans="1:17">
      <c r="A1830" s="19">
        <v>0</v>
      </c>
      <c r="B1830" s="19">
        <v>0</v>
      </c>
      <c r="C1830" s="19">
        <v>0</v>
      </c>
      <c r="D1830" s="19">
        <v>0</v>
      </c>
      <c r="E1830" s="19">
        <v>0</v>
      </c>
      <c r="F1830" s="19">
        <v>0</v>
      </c>
      <c r="G1830" s="19">
        <v>0</v>
      </c>
      <c r="H1830" s="19">
        <v>0</v>
      </c>
      <c r="I1830" s="15">
        <v>3500</v>
      </c>
      <c r="J1830" s="15">
        <v>0</v>
      </c>
      <c r="K1830" s="15">
        <v>0</v>
      </c>
      <c r="L1830" s="15">
        <v>0</v>
      </c>
      <c r="M1830" s="15">
        <v>0</v>
      </c>
      <c r="N1830" s="15" t="str">
        <v/>
      </c>
      <c r="O1830" s="15" t="str">
        <v/>
      </c>
      <c r="P1830" s="22">
        <v>0</v>
      </c>
      <c r="Q1830">
        <v>0</v>
      </c>
    </row>
    <row r="1831" spans="1:17">
      <c r="A1831" s="19">
        <v>0</v>
      </c>
      <c r="B1831" s="19">
        <v>0</v>
      </c>
      <c r="C1831" s="19">
        <v>0</v>
      </c>
      <c r="D1831" s="19">
        <v>0</v>
      </c>
      <c r="E1831" s="19">
        <v>0</v>
      </c>
      <c r="F1831" s="19">
        <v>0</v>
      </c>
      <c r="G1831" s="19">
        <v>0</v>
      </c>
      <c r="H1831" s="19">
        <v>0</v>
      </c>
      <c r="I1831" s="15">
        <v>3500</v>
      </c>
      <c r="J1831" s="15">
        <v>0</v>
      </c>
      <c r="K1831" s="15">
        <v>0</v>
      </c>
      <c r="L1831" s="15">
        <v>0</v>
      </c>
      <c r="M1831" s="15">
        <v>0</v>
      </c>
      <c r="N1831" s="15" t="str">
        <v/>
      </c>
      <c r="O1831" s="15" t="str">
        <v/>
      </c>
      <c r="P1831" s="22">
        <v>0</v>
      </c>
      <c r="Q1831">
        <v>0</v>
      </c>
    </row>
    <row r="1832" spans="1:17">
      <c r="A1832" s="19">
        <v>0</v>
      </c>
      <c r="B1832" s="19">
        <v>0</v>
      </c>
      <c r="C1832" s="19">
        <v>0</v>
      </c>
      <c r="D1832" s="19">
        <v>0</v>
      </c>
      <c r="E1832" s="19">
        <v>0</v>
      </c>
      <c r="F1832" s="19">
        <v>0</v>
      </c>
      <c r="G1832" s="19">
        <v>0</v>
      </c>
      <c r="H1832" s="19">
        <v>0</v>
      </c>
      <c r="I1832" s="15">
        <v>3500</v>
      </c>
      <c r="J1832" s="15">
        <v>0</v>
      </c>
      <c r="K1832" s="15">
        <v>0</v>
      </c>
      <c r="L1832" s="15">
        <v>0</v>
      </c>
      <c r="M1832" s="15">
        <v>0</v>
      </c>
      <c r="N1832" s="15" t="str">
        <v/>
      </c>
      <c r="O1832" s="15" t="str">
        <v/>
      </c>
      <c r="P1832" s="22">
        <v>0</v>
      </c>
      <c r="Q1832">
        <v>0</v>
      </c>
    </row>
    <row r="1833" spans="1:17">
      <c r="A1833" s="19">
        <v>0</v>
      </c>
      <c r="B1833" s="19">
        <v>0</v>
      </c>
      <c r="C1833" s="19">
        <v>0</v>
      </c>
      <c r="D1833" s="19">
        <v>0</v>
      </c>
      <c r="E1833" s="19">
        <v>0</v>
      </c>
      <c r="F1833" s="19">
        <v>0</v>
      </c>
      <c r="G1833" s="19">
        <v>0</v>
      </c>
      <c r="H1833" s="19">
        <v>0</v>
      </c>
      <c r="I1833" s="15">
        <v>3500</v>
      </c>
      <c r="J1833" s="15">
        <v>0</v>
      </c>
      <c r="K1833" s="15">
        <v>0</v>
      </c>
      <c r="L1833" s="15">
        <v>0</v>
      </c>
      <c r="M1833" s="15">
        <v>0</v>
      </c>
      <c r="N1833" s="15" t="str">
        <v/>
      </c>
      <c r="O1833" s="15" t="str">
        <v/>
      </c>
      <c r="P1833" s="22">
        <v>0</v>
      </c>
      <c r="Q1833">
        <v>0</v>
      </c>
    </row>
    <row r="1834" spans="1:17">
      <c r="A1834" s="19">
        <v>0</v>
      </c>
      <c r="B1834" s="19">
        <v>0</v>
      </c>
      <c r="C1834" s="19">
        <v>0</v>
      </c>
      <c r="D1834" s="19">
        <v>0</v>
      </c>
      <c r="E1834" s="19">
        <v>0</v>
      </c>
      <c r="F1834" s="19">
        <v>0</v>
      </c>
      <c r="G1834" s="19">
        <v>0</v>
      </c>
      <c r="H1834" s="19">
        <v>0</v>
      </c>
      <c r="I1834" s="15">
        <v>3500</v>
      </c>
      <c r="J1834" s="15">
        <v>0</v>
      </c>
      <c r="K1834" s="15">
        <v>0</v>
      </c>
      <c r="L1834" s="15">
        <v>0</v>
      </c>
      <c r="M1834" s="15">
        <v>0</v>
      </c>
      <c r="N1834" s="15" t="str">
        <v/>
      </c>
      <c r="O1834" s="15" t="str">
        <v/>
      </c>
      <c r="P1834" s="22">
        <v>0</v>
      </c>
      <c r="Q1834">
        <v>0</v>
      </c>
    </row>
    <row r="1835" spans="1:17">
      <c r="A1835" s="19">
        <v>0</v>
      </c>
      <c r="B1835" s="19">
        <v>0</v>
      </c>
      <c r="C1835" s="19">
        <v>0</v>
      </c>
      <c r="D1835" s="19">
        <v>0</v>
      </c>
      <c r="E1835" s="19">
        <v>0</v>
      </c>
      <c r="F1835" s="19">
        <v>0</v>
      </c>
      <c r="G1835" s="19">
        <v>0</v>
      </c>
      <c r="H1835" s="19">
        <v>0</v>
      </c>
      <c r="I1835" s="15">
        <v>3500</v>
      </c>
      <c r="J1835" s="15">
        <v>0</v>
      </c>
      <c r="K1835" s="15">
        <v>0</v>
      </c>
      <c r="L1835" s="15">
        <v>0</v>
      </c>
      <c r="M1835" s="15">
        <v>0</v>
      </c>
      <c r="N1835" s="15" t="str">
        <v/>
      </c>
      <c r="O1835" s="15" t="str">
        <v/>
      </c>
      <c r="P1835" s="22">
        <v>0</v>
      </c>
      <c r="Q1835">
        <v>0</v>
      </c>
    </row>
    <row r="1836" spans="1:17">
      <c r="A1836" s="19">
        <v>0</v>
      </c>
      <c r="B1836" s="19">
        <v>0</v>
      </c>
      <c r="C1836" s="19">
        <v>0</v>
      </c>
      <c r="D1836" s="19">
        <v>0</v>
      </c>
      <c r="E1836" s="19">
        <v>0</v>
      </c>
      <c r="F1836" s="19">
        <v>0</v>
      </c>
      <c r="G1836" s="19">
        <v>0</v>
      </c>
      <c r="H1836" s="19">
        <v>0</v>
      </c>
      <c r="I1836" s="15">
        <v>3500</v>
      </c>
      <c r="J1836" s="15">
        <v>0</v>
      </c>
      <c r="K1836" s="15">
        <v>0</v>
      </c>
      <c r="L1836" s="15">
        <v>0</v>
      </c>
      <c r="M1836" s="15">
        <v>0</v>
      </c>
      <c r="N1836" s="15" t="str">
        <v/>
      </c>
      <c r="O1836" s="15" t="str">
        <v/>
      </c>
      <c r="P1836" s="22">
        <v>0</v>
      </c>
      <c r="Q1836">
        <v>0</v>
      </c>
    </row>
    <row r="1837" spans="1:17">
      <c r="A1837" s="19">
        <v>0</v>
      </c>
      <c r="B1837" s="19">
        <v>0</v>
      </c>
      <c r="C1837" s="19">
        <v>0</v>
      </c>
      <c r="D1837" s="19">
        <v>0</v>
      </c>
      <c r="E1837" s="19">
        <v>0</v>
      </c>
      <c r="F1837" s="19">
        <v>0</v>
      </c>
      <c r="G1837" s="19">
        <v>0</v>
      </c>
      <c r="H1837" s="19">
        <v>0</v>
      </c>
      <c r="I1837" s="15">
        <v>3500</v>
      </c>
      <c r="J1837" s="15">
        <v>0</v>
      </c>
      <c r="K1837" s="15">
        <v>0</v>
      </c>
      <c r="L1837" s="15">
        <v>0</v>
      </c>
      <c r="M1837" s="15">
        <v>0</v>
      </c>
      <c r="N1837" s="15" t="str">
        <v/>
      </c>
      <c r="O1837" s="15" t="str">
        <v/>
      </c>
      <c r="P1837" s="22">
        <v>0</v>
      </c>
      <c r="Q1837">
        <v>0</v>
      </c>
    </row>
    <row r="1838" spans="1:17">
      <c r="A1838" s="19">
        <v>0</v>
      </c>
      <c r="B1838" s="19">
        <v>0</v>
      </c>
      <c r="C1838" s="19">
        <v>0</v>
      </c>
      <c r="D1838" s="19">
        <v>0</v>
      </c>
      <c r="E1838" s="19">
        <v>0</v>
      </c>
      <c r="F1838" s="19">
        <v>0</v>
      </c>
      <c r="G1838" s="19">
        <v>0</v>
      </c>
      <c r="H1838" s="19">
        <v>0</v>
      </c>
      <c r="I1838" s="15">
        <v>3500</v>
      </c>
      <c r="J1838" s="15">
        <v>0</v>
      </c>
      <c r="K1838" s="15">
        <v>0</v>
      </c>
      <c r="L1838" s="15">
        <v>0</v>
      </c>
      <c r="M1838" s="15">
        <v>0</v>
      </c>
      <c r="N1838" s="15" t="str">
        <v/>
      </c>
      <c r="O1838" s="15" t="str">
        <v/>
      </c>
      <c r="P1838" s="22">
        <v>0</v>
      </c>
      <c r="Q1838">
        <v>0</v>
      </c>
    </row>
    <row r="1839" spans="1:17">
      <c r="A1839" s="19">
        <v>0</v>
      </c>
      <c r="B1839" s="19">
        <v>0</v>
      </c>
      <c r="C1839" s="19">
        <v>0</v>
      </c>
      <c r="D1839" s="19">
        <v>0</v>
      </c>
      <c r="E1839" s="19">
        <v>0</v>
      </c>
      <c r="F1839" s="19">
        <v>0</v>
      </c>
      <c r="G1839" s="19">
        <v>0</v>
      </c>
      <c r="H1839" s="19">
        <v>0</v>
      </c>
      <c r="I1839" s="15">
        <v>3500</v>
      </c>
      <c r="J1839" s="15">
        <v>0</v>
      </c>
      <c r="K1839" s="15">
        <v>0</v>
      </c>
      <c r="L1839" s="15">
        <v>0</v>
      </c>
      <c r="M1839" s="15">
        <v>0</v>
      </c>
      <c r="N1839" s="15" t="str">
        <v/>
      </c>
      <c r="O1839" s="15" t="str">
        <v/>
      </c>
      <c r="P1839" s="22">
        <v>0</v>
      </c>
      <c r="Q1839">
        <v>0</v>
      </c>
    </row>
    <row r="1840" spans="1:17">
      <c r="A1840" s="19">
        <v>0</v>
      </c>
      <c r="B1840" s="19">
        <v>0</v>
      </c>
      <c r="C1840" s="19">
        <v>0</v>
      </c>
      <c r="D1840" s="19">
        <v>0</v>
      </c>
      <c r="E1840" s="19">
        <v>0</v>
      </c>
      <c r="F1840" s="19">
        <v>0</v>
      </c>
      <c r="G1840" s="19">
        <v>0</v>
      </c>
      <c r="H1840" s="19">
        <v>0</v>
      </c>
      <c r="I1840" s="15">
        <v>3500</v>
      </c>
      <c r="J1840" s="15">
        <v>0</v>
      </c>
      <c r="K1840" s="15">
        <v>0</v>
      </c>
      <c r="L1840" s="15">
        <v>0</v>
      </c>
      <c r="M1840" s="15">
        <v>0</v>
      </c>
      <c r="N1840" s="15" t="str">
        <v/>
      </c>
      <c r="O1840" s="15" t="str">
        <v/>
      </c>
      <c r="P1840" s="22">
        <v>0</v>
      </c>
      <c r="Q1840">
        <v>0</v>
      </c>
    </row>
    <row r="1841" spans="1:17">
      <c r="A1841" s="19">
        <v>0</v>
      </c>
      <c r="B1841" s="19">
        <v>0</v>
      </c>
      <c r="C1841" s="19">
        <v>0</v>
      </c>
      <c r="D1841" s="19">
        <v>0</v>
      </c>
      <c r="E1841" s="19">
        <v>0</v>
      </c>
      <c r="F1841" s="19">
        <v>0</v>
      </c>
      <c r="G1841" s="19">
        <v>0</v>
      </c>
      <c r="H1841" s="19">
        <v>0</v>
      </c>
      <c r="I1841" s="15">
        <v>3500</v>
      </c>
      <c r="J1841" s="15">
        <v>0</v>
      </c>
      <c r="K1841" s="15">
        <v>0</v>
      </c>
      <c r="L1841" s="15">
        <v>0</v>
      </c>
      <c r="M1841" s="15">
        <v>0</v>
      </c>
      <c r="N1841" s="15" t="str">
        <v/>
      </c>
      <c r="O1841" s="15" t="str">
        <v/>
      </c>
      <c r="P1841" s="22">
        <v>0</v>
      </c>
      <c r="Q1841">
        <v>0</v>
      </c>
    </row>
    <row r="1842" spans="1:17">
      <c r="A1842" s="19">
        <v>0</v>
      </c>
      <c r="B1842" s="19">
        <v>0</v>
      </c>
      <c r="C1842" s="19">
        <v>0</v>
      </c>
      <c r="D1842" s="19">
        <v>0</v>
      </c>
      <c r="E1842" s="19">
        <v>0</v>
      </c>
      <c r="F1842" s="19">
        <v>0</v>
      </c>
      <c r="G1842" s="19">
        <v>0</v>
      </c>
      <c r="H1842" s="19">
        <v>0</v>
      </c>
      <c r="I1842" s="15">
        <v>3500</v>
      </c>
      <c r="J1842" s="15">
        <v>0</v>
      </c>
      <c r="K1842" s="15">
        <v>0</v>
      </c>
      <c r="L1842" s="15">
        <v>0</v>
      </c>
      <c r="M1842" s="15">
        <v>0</v>
      </c>
      <c r="N1842" s="15" t="str">
        <v/>
      </c>
      <c r="O1842" s="15" t="str">
        <v/>
      </c>
      <c r="P1842" s="22">
        <v>0</v>
      </c>
      <c r="Q1842">
        <v>0</v>
      </c>
    </row>
    <row r="1843" spans="1:17">
      <c r="A1843" s="19">
        <v>0</v>
      </c>
      <c r="B1843" s="19">
        <v>0</v>
      </c>
      <c r="C1843" s="19">
        <v>0</v>
      </c>
      <c r="D1843" s="19">
        <v>0</v>
      </c>
      <c r="E1843" s="19">
        <v>0</v>
      </c>
      <c r="F1843" s="19">
        <v>0</v>
      </c>
      <c r="G1843" s="19">
        <v>0</v>
      </c>
      <c r="H1843" s="19">
        <v>0</v>
      </c>
      <c r="I1843" s="15">
        <v>3500</v>
      </c>
      <c r="J1843" s="15">
        <v>0</v>
      </c>
      <c r="K1843" s="15">
        <v>0</v>
      </c>
      <c r="L1843" s="15">
        <v>0</v>
      </c>
      <c r="M1843" s="15">
        <v>0</v>
      </c>
      <c r="N1843" s="15" t="str">
        <v/>
      </c>
      <c r="O1843" s="15" t="str">
        <v/>
      </c>
      <c r="P1843" s="22">
        <v>0</v>
      </c>
      <c r="Q1843">
        <v>0</v>
      </c>
    </row>
    <row r="1844" spans="1:17">
      <c r="A1844" s="19">
        <v>0</v>
      </c>
      <c r="B1844" s="19">
        <v>0</v>
      </c>
      <c r="C1844" s="19">
        <v>0</v>
      </c>
      <c r="D1844" s="19">
        <v>0</v>
      </c>
      <c r="E1844" s="19">
        <v>0</v>
      </c>
      <c r="F1844" s="19">
        <v>0</v>
      </c>
      <c r="G1844" s="19">
        <v>0</v>
      </c>
      <c r="H1844" s="19">
        <v>0</v>
      </c>
      <c r="I1844" s="15">
        <v>3500</v>
      </c>
      <c r="J1844" s="15">
        <v>0</v>
      </c>
      <c r="K1844" s="15">
        <v>0</v>
      </c>
      <c r="L1844" s="15">
        <v>0</v>
      </c>
      <c r="M1844" s="15">
        <v>0</v>
      </c>
      <c r="N1844" s="15" t="str">
        <v/>
      </c>
      <c r="O1844" s="15" t="str">
        <v/>
      </c>
      <c r="P1844" s="22">
        <v>0</v>
      </c>
      <c r="Q1844">
        <v>0</v>
      </c>
    </row>
    <row r="1845" spans="1:17">
      <c r="A1845" s="19">
        <v>0</v>
      </c>
      <c r="B1845" s="19">
        <v>0</v>
      </c>
      <c r="C1845" s="19">
        <v>0</v>
      </c>
      <c r="D1845" s="19">
        <v>0</v>
      </c>
      <c r="E1845" s="19">
        <v>0</v>
      </c>
      <c r="F1845" s="19">
        <v>0</v>
      </c>
      <c r="G1845" s="19">
        <v>0</v>
      </c>
      <c r="H1845" s="19">
        <v>0</v>
      </c>
      <c r="I1845" s="15">
        <v>3500</v>
      </c>
      <c r="J1845" s="15">
        <v>0</v>
      </c>
      <c r="K1845" s="15">
        <v>0</v>
      </c>
      <c r="L1845" s="15">
        <v>0</v>
      </c>
      <c r="M1845" s="15">
        <v>0</v>
      </c>
      <c r="N1845" s="15" t="str">
        <v/>
      </c>
      <c r="O1845" s="15" t="str">
        <v/>
      </c>
      <c r="P1845" s="22">
        <v>0</v>
      </c>
      <c r="Q1845">
        <v>0</v>
      </c>
    </row>
    <row r="1846" spans="1:17">
      <c r="A1846" s="19">
        <v>0</v>
      </c>
      <c r="B1846" s="19">
        <v>0</v>
      </c>
      <c r="C1846" s="19">
        <v>0</v>
      </c>
      <c r="D1846" s="19">
        <v>0</v>
      </c>
      <c r="E1846" s="19">
        <v>0</v>
      </c>
      <c r="F1846" s="19">
        <v>0</v>
      </c>
      <c r="G1846" s="19">
        <v>0</v>
      </c>
      <c r="H1846" s="19">
        <v>0</v>
      </c>
      <c r="I1846" s="15">
        <v>3500</v>
      </c>
      <c r="J1846" s="15">
        <v>0</v>
      </c>
      <c r="K1846" s="15">
        <v>0</v>
      </c>
      <c r="L1846" s="15">
        <v>0</v>
      </c>
      <c r="M1846" s="15">
        <v>0</v>
      </c>
      <c r="N1846" s="15" t="str">
        <v/>
      </c>
      <c r="O1846" s="15" t="str">
        <v/>
      </c>
      <c r="P1846" s="22">
        <v>0</v>
      </c>
      <c r="Q1846">
        <v>0</v>
      </c>
    </row>
    <row r="1847" spans="1:17">
      <c r="A1847" s="19">
        <v>0</v>
      </c>
      <c r="B1847" s="19">
        <v>0</v>
      </c>
      <c r="C1847" s="19">
        <v>0</v>
      </c>
      <c r="D1847" s="19">
        <v>0</v>
      </c>
      <c r="E1847" s="19">
        <v>0</v>
      </c>
      <c r="F1847" s="19">
        <v>0</v>
      </c>
      <c r="G1847" s="19">
        <v>0</v>
      </c>
      <c r="H1847" s="19">
        <v>0</v>
      </c>
      <c r="I1847" s="15">
        <v>3500</v>
      </c>
      <c r="J1847" s="15">
        <v>0</v>
      </c>
      <c r="K1847" s="15">
        <v>0</v>
      </c>
      <c r="L1847" s="15">
        <v>0</v>
      </c>
      <c r="M1847" s="15">
        <v>0</v>
      </c>
      <c r="N1847" s="15" t="str">
        <v/>
      </c>
      <c r="O1847" s="15" t="str">
        <v/>
      </c>
      <c r="P1847" s="22">
        <v>0</v>
      </c>
      <c r="Q1847">
        <v>0</v>
      </c>
    </row>
    <row r="1848" spans="1:17">
      <c r="A1848" s="19">
        <v>0</v>
      </c>
      <c r="B1848" s="19">
        <v>0</v>
      </c>
      <c r="C1848" s="19">
        <v>0</v>
      </c>
      <c r="D1848" s="19">
        <v>0</v>
      </c>
      <c r="E1848" s="19">
        <v>0</v>
      </c>
      <c r="F1848" s="19">
        <v>0</v>
      </c>
      <c r="G1848" s="19">
        <v>0</v>
      </c>
      <c r="H1848" s="19">
        <v>0</v>
      </c>
      <c r="I1848" s="15">
        <v>3500</v>
      </c>
      <c r="J1848" s="15">
        <v>0</v>
      </c>
      <c r="K1848" s="15">
        <v>0</v>
      </c>
      <c r="L1848" s="15">
        <v>0</v>
      </c>
      <c r="M1848" s="15">
        <v>0</v>
      </c>
      <c r="N1848" s="15" t="str">
        <v/>
      </c>
      <c r="O1848" s="15" t="str">
        <v/>
      </c>
      <c r="P1848" s="22">
        <v>0</v>
      </c>
      <c r="Q1848">
        <v>0</v>
      </c>
    </row>
    <row r="1849" spans="1:17">
      <c r="A1849" s="19">
        <v>0</v>
      </c>
      <c r="B1849" s="19">
        <v>0</v>
      </c>
      <c r="C1849" s="19">
        <v>0</v>
      </c>
      <c r="D1849" s="19">
        <v>0</v>
      </c>
      <c r="E1849" s="19">
        <v>0</v>
      </c>
      <c r="F1849" s="19">
        <v>0</v>
      </c>
      <c r="G1849" s="19">
        <v>0</v>
      </c>
      <c r="H1849" s="19">
        <v>0</v>
      </c>
      <c r="I1849" s="15">
        <v>3500</v>
      </c>
      <c r="J1849" s="15">
        <v>0</v>
      </c>
      <c r="K1849" s="15">
        <v>0</v>
      </c>
      <c r="L1849" s="15">
        <v>0</v>
      </c>
      <c r="M1849" s="15">
        <v>0</v>
      </c>
      <c r="N1849" s="15" t="str">
        <v/>
      </c>
      <c r="O1849" s="15" t="str">
        <v/>
      </c>
      <c r="P1849" s="22">
        <v>0</v>
      </c>
      <c r="Q1849">
        <v>0</v>
      </c>
    </row>
    <row r="1850" spans="1:17">
      <c r="A1850" s="19">
        <v>0</v>
      </c>
      <c r="B1850" s="19">
        <v>0</v>
      </c>
      <c r="C1850" s="19">
        <v>0</v>
      </c>
      <c r="D1850" s="19">
        <v>0</v>
      </c>
      <c r="E1850" s="19">
        <v>0</v>
      </c>
      <c r="F1850" s="19">
        <v>0</v>
      </c>
      <c r="G1850" s="19">
        <v>0</v>
      </c>
      <c r="H1850" s="19">
        <v>0</v>
      </c>
      <c r="I1850" s="15">
        <v>3500</v>
      </c>
      <c r="J1850" s="15">
        <v>0</v>
      </c>
      <c r="K1850" s="15">
        <v>0</v>
      </c>
      <c r="L1850" s="15">
        <v>0</v>
      </c>
      <c r="M1850" s="15">
        <v>0</v>
      </c>
      <c r="N1850" s="15" t="str">
        <v/>
      </c>
      <c r="O1850" s="15" t="str">
        <v/>
      </c>
      <c r="P1850" s="22">
        <v>0</v>
      </c>
      <c r="Q1850">
        <v>0</v>
      </c>
    </row>
    <row r="1851" spans="1:17">
      <c r="A1851" s="19">
        <v>0</v>
      </c>
      <c r="B1851" s="19">
        <v>0</v>
      </c>
      <c r="C1851" s="19">
        <v>0</v>
      </c>
      <c r="D1851" s="19">
        <v>0</v>
      </c>
      <c r="E1851" s="19">
        <v>0</v>
      </c>
      <c r="F1851" s="19">
        <v>0</v>
      </c>
      <c r="G1851" s="19">
        <v>0</v>
      </c>
      <c r="H1851" s="19">
        <v>0</v>
      </c>
      <c r="I1851" s="15">
        <v>3500</v>
      </c>
      <c r="J1851" s="15">
        <v>0</v>
      </c>
      <c r="K1851" s="15">
        <v>0</v>
      </c>
      <c r="L1851" s="15">
        <v>0</v>
      </c>
      <c r="M1851" s="15">
        <v>0</v>
      </c>
      <c r="N1851" s="15" t="str">
        <v/>
      </c>
      <c r="O1851" s="15" t="str">
        <v/>
      </c>
      <c r="P1851" s="22">
        <v>0</v>
      </c>
      <c r="Q1851">
        <v>0</v>
      </c>
    </row>
    <row r="1852" spans="1:17">
      <c r="A1852" s="19">
        <v>0</v>
      </c>
      <c r="B1852" s="19">
        <v>0</v>
      </c>
      <c r="C1852" s="19">
        <v>0</v>
      </c>
      <c r="D1852" s="19">
        <v>0</v>
      </c>
      <c r="E1852" s="19">
        <v>0</v>
      </c>
      <c r="F1852" s="19">
        <v>0</v>
      </c>
      <c r="G1852" s="19">
        <v>0</v>
      </c>
      <c r="H1852" s="19">
        <v>0</v>
      </c>
      <c r="I1852" s="15">
        <v>3500</v>
      </c>
      <c r="J1852" s="15">
        <v>0</v>
      </c>
      <c r="K1852" s="15">
        <v>0</v>
      </c>
      <c r="L1852" s="15">
        <v>0</v>
      </c>
      <c r="M1852" s="15">
        <v>0</v>
      </c>
      <c r="N1852" s="15" t="str">
        <v/>
      </c>
      <c r="O1852" s="15" t="str">
        <v/>
      </c>
      <c r="P1852" s="22">
        <v>0</v>
      </c>
      <c r="Q1852">
        <v>0</v>
      </c>
    </row>
    <row r="1853" spans="1:17">
      <c r="A1853" s="19">
        <v>0</v>
      </c>
      <c r="B1853" s="19">
        <v>0</v>
      </c>
      <c r="C1853" s="19">
        <v>0</v>
      </c>
      <c r="D1853" s="19">
        <v>0</v>
      </c>
      <c r="E1853" s="19">
        <v>0</v>
      </c>
      <c r="F1853" s="19">
        <v>0</v>
      </c>
      <c r="G1853" s="19">
        <v>0</v>
      </c>
      <c r="H1853" s="19">
        <v>0</v>
      </c>
      <c r="I1853" s="15">
        <v>3500</v>
      </c>
      <c r="J1853" s="15">
        <v>0</v>
      </c>
      <c r="K1853" s="15">
        <v>0</v>
      </c>
      <c r="L1853" s="15">
        <v>0</v>
      </c>
      <c r="M1853" s="15">
        <v>0</v>
      </c>
      <c r="N1853" s="15" t="str">
        <v/>
      </c>
      <c r="O1853" s="15" t="str">
        <v/>
      </c>
      <c r="P1853" s="22">
        <v>0</v>
      </c>
      <c r="Q1853">
        <v>0</v>
      </c>
    </row>
    <row r="1854" spans="1:17">
      <c r="A1854" s="19">
        <v>0</v>
      </c>
      <c r="B1854" s="19">
        <v>0</v>
      </c>
      <c r="C1854" s="19">
        <v>0</v>
      </c>
      <c r="D1854" s="19">
        <v>0</v>
      </c>
      <c r="E1854" s="19">
        <v>0</v>
      </c>
      <c r="F1854" s="19">
        <v>0</v>
      </c>
      <c r="G1854" s="19">
        <v>0</v>
      </c>
      <c r="H1854" s="19">
        <v>0</v>
      </c>
      <c r="I1854" s="15">
        <v>3500</v>
      </c>
      <c r="J1854" s="15">
        <v>0</v>
      </c>
      <c r="K1854" s="15">
        <v>0</v>
      </c>
      <c r="L1854" s="15">
        <v>0</v>
      </c>
      <c r="M1854" s="15">
        <v>0</v>
      </c>
      <c r="N1854" s="15" t="str">
        <v/>
      </c>
      <c r="O1854" s="15" t="str">
        <v/>
      </c>
      <c r="P1854" s="22">
        <v>0</v>
      </c>
      <c r="Q1854">
        <v>0</v>
      </c>
    </row>
    <row r="1855" spans="1:17">
      <c r="A1855" s="19">
        <v>0</v>
      </c>
      <c r="B1855" s="19">
        <v>0</v>
      </c>
      <c r="C1855" s="19">
        <v>0</v>
      </c>
      <c r="D1855" s="19">
        <v>0</v>
      </c>
      <c r="E1855" s="19">
        <v>0</v>
      </c>
      <c r="F1855" s="19">
        <v>0</v>
      </c>
      <c r="G1855" s="19">
        <v>0</v>
      </c>
      <c r="H1855" s="19">
        <v>0</v>
      </c>
      <c r="I1855" s="15">
        <v>3500</v>
      </c>
      <c r="J1855" s="15">
        <v>0</v>
      </c>
      <c r="K1855" s="15">
        <v>0</v>
      </c>
      <c r="L1855" s="15">
        <v>0</v>
      </c>
      <c r="M1855" s="15">
        <v>0</v>
      </c>
      <c r="N1855" s="15" t="str">
        <v/>
      </c>
      <c r="O1855" s="15" t="str">
        <v/>
      </c>
      <c r="P1855" s="22">
        <v>0</v>
      </c>
      <c r="Q1855">
        <v>0</v>
      </c>
    </row>
    <row r="1856" spans="1:17">
      <c r="A1856" s="19">
        <v>0</v>
      </c>
      <c r="B1856" s="19">
        <v>0</v>
      </c>
      <c r="C1856" s="19">
        <v>0</v>
      </c>
      <c r="D1856" s="19">
        <v>0</v>
      </c>
      <c r="E1856" s="19">
        <v>0</v>
      </c>
      <c r="F1856" s="19">
        <v>0</v>
      </c>
      <c r="G1856" s="19">
        <v>0</v>
      </c>
      <c r="H1856" s="19">
        <v>0</v>
      </c>
      <c r="I1856" s="15">
        <v>3500</v>
      </c>
      <c r="J1856" s="15">
        <v>0</v>
      </c>
      <c r="K1856" s="15">
        <v>0</v>
      </c>
      <c r="L1856" s="15">
        <v>0</v>
      </c>
      <c r="M1856" s="15">
        <v>0</v>
      </c>
      <c r="N1856" s="15" t="str">
        <v/>
      </c>
      <c r="O1856" s="15" t="str">
        <v/>
      </c>
      <c r="P1856" s="22">
        <v>0</v>
      </c>
      <c r="Q1856">
        <v>0</v>
      </c>
    </row>
    <row r="1857" spans="1:17">
      <c r="A1857" s="19">
        <v>0</v>
      </c>
      <c r="B1857" s="19">
        <v>0</v>
      </c>
      <c r="C1857" s="19">
        <v>0</v>
      </c>
      <c r="D1857" s="19">
        <v>0</v>
      </c>
      <c r="E1857" s="19">
        <v>0</v>
      </c>
      <c r="F1857" s="19">
        <v>0</v>
      </c>
      <c r="G1857" s="19">
        <v>0</v>
      </c>
      <c r="H1857" s="19">
        <v>0</v>
      </c>
      <c r="I1857" s="15">
        <v>3500</v>
      </c>
      <c r="J1857" s="15">
        <v>0</v>
      </c>
      <c r="K1857" s="15">
        <v>0</v>
      </c>
      <c r="L1857" s="15">
        <v>0</v>
      </c>
      <c r="M1857" s="15">
        <v>0</v>
      </c>
      <c r="N1857" s="15" t="str">
        <v/>
      </c>
      <c r="O1857" s="15" t="str">
        <v/>
      </c>
      <c r="P1857" s="22">
        <v>0</v>
      </c>
      <c r="Q1857">
        <v>0</v>
      </c>
    </row>
    <row r="1858" spans="1:17">
      <c r="A1858" s="19">
        <v>0</v>
      </c>
      <c r="B1858" s="19">
        <v>0</v>
      </c>
      <c r="C1858" s="19">
        <v>0</v>
      </c>
      <c r="D1858" s="19">
        <v>0</v>
      </c>
      <c r="E1858" s="19">
        <v>0</v>
      </c>
      <c r="F1858" s="19">
        <v>0</v>
      </c>
      <c r="G1858" s="19">
        <v>0</v>
      </c>
      <c r="H1858" s="19">
        <v>0</v>
      </c>
      <c r="I1858" s="15">
        <v>3500</v>
      </c>
      <c r="J1858" s="15">
        <v>0</v>
      </c>
      <c r="K1858" s="15">
        <v>0</v>
      </c>
      <c r="L1858" s="15">
        <v>0</v>
      </c>
      <c r="M1858" s="15">
        <v>0</v>
      </c>
      <c r="N1858" s="15" t="str">
        <v/>
      </c>
      <c r="O1858" s="15" t="str">
        <v/>
      </c>
      <c r="P1858" s="22">
        <v>0</v>
      </c>
      <c r="Q1858">
        <v>0</v>
      </c>
    </row>
    <row r="1859" spans="1:17">
      <c r="A1859" s="19">
        <v>0</v>
      </c>
      <c r="B1859" s="19">
        <v>0</v>
      </c>
      <c r="C1859" s="19">
        <v>0</v>
      </c>
      <c r="D1859" s="19">
        <v>0</v>
      </c>
      <c r="E1859" s="19">
        <v>0</v>
      </c>
      <c r="F1859" s="19">
        <v>0</v>
      </c>
      <c r="G1859" s="19">
        <v>0</v>
      </c>
      <c r="H1859" s="19">
        <v>0</v>
      </c>
      <c r="I1859" s="15">
        <v>3500</v>
      </c>
      <c r="J1859" s="15">
        <v>0</v>
      </c>
      <c r="K1859" s="15">
        <v>0</v>
      </c>
      <c r="L1859" s="15">
        <v>0</v>
      </c>
      <c r="M1859" s="15">
        <v>0</v>
      </c>
      <c r="N1859" s="15" t="str">
        <v/>
      </c>
      <c r="O1859" s="15" t="str">
        <v/>
      </c>
      <c r="P1859" s="22">
        <v>0</v>
      </c>
      <c r="Q1859">
        <v>0</v>
      </c>
    </row>
    <row r="1860" spans="1:17">
      <c r="A1860" s="19">
        <v>0</v>
      </c>
      <c r="B1860" s="19">
        <v>0</v>
      </c>
      <c r="C1860" s="19">
        <v>0</v>
      </c>
      <c r="D1860" s="19">
        <v>0</v>
      </c>
      <c r="E1860" s="19">
        <v>0</v>
      </c>
      <c r="F1860" s="19">
        <v>0</v>
      </c>
      <c r="G1860" s="19">
        <v>0</v>
      </c>
      <c r="H1860" s="19">
        <v>0</v>
      </c>
      <c r="I1860" s="15">
        <v>3500</v>
      </c>
      <c r="J1860" s="15">
        <v>0</v>
      </c>
      <c r="K1860" s="15">
        <v>0</v>
      </c>
      <c r="L1860" s="15">
        <v>0</v>
      </c>
      <c r="M1860" s="15">
        <v>0</v>
      </c>
      <c r="N1860" s="15" t="str">
        <v/>
      </c>
      <c r="O1860" s="15" t="str">
        <v/>
      </c>
      <c r="P1860" s="22">
        <v>0</v>
      </c>
      <c r="Q1860">
        <v>0</v>
      </c>
    </row>
    <row r="1861" spans="1:17">
      <c r="A1861" s="19">
        <v>0</v>
      </c>
      <c r="B1861" s="19">
        <v>0</v>
      </c>
      <c r="C1861" s="19">
        <v>0</v>
      </c>
      <c r="D1861" s="19">
        <v>0</v>
      </c>
      <c r="E1861" s="19">
        <v>0</v>
      </c>
      <c r="F1861" s="19">
        <v>0</v>
      </c>
      <c r="G1861" s="19">
        <v>0</v>
      </c>
      <c r="H1861" s="19">
        <v>0</v>
      </c>
      <c r="I1861" s="15">
        <v>3500</v>
      </c>
      <c r="J1861" s="15">
        <v>0</v>
      </c>
      <c r="K1861" s="15">
        <v>0</v>
      </c>
      <c r="L1861" s="15">
        <v>0</v>
      </c>
      <c r="M1861" s="15">
        <v>0</v>
      </c>
      <c r="N1861" s="15" t="str">
        <v/>
      </c>
      <c r="O1861" s="15" t="str">
        <v/>
      </c>
      <c r="P1861" s="22">
        <v>0</v>
      </c>
      <c r="Q1861">
        <v>0</v>
      </c>
    </row>
    <row r="1862" spans="1:17">
      <c r="A1862" s="19">
        <v>0</v>
      </c>
      <c r="B1862" s="19">
        <v>0</v>
      </c>
      <c r="C1862" s="19">
        <v>0</v>
      </c>
      <c r="D1862" s="19">
        <v>0</v>
      </c>
      <c r="E1862" s="19">
        <v>0</v>
      </c>
      <c r="F1862" s="19">
        <v>0</v>
      </c>
      <c r="G1862" s="19">
        <v>0</v>
      </c>
      <c r="H1862" s="19">
        <v>0</v>
      </c>
      <c r="I1862" s="15">
        <v>3500</v>
      </c>
      <c r="J1862" s="15">
        <v>0</v>
      </c>
      <c r="K1862" s="15">
        <v>0</v>
      </c>
      <c r="L1862" s="15">
        <v>0</v>
      </c>
      <c r="M1862" s="15">
        <v>0</v>
      </c>
      <c r="N1862" s="15" t="str">
        <v/>
      </c>
      <c r="O1862" s="15" t="str">
        <v/>
      </c>
      <c r="P1862" s="22">
        <v>0</v>
      </c>
      <c r="Q1862">
        <v>0</v>
      </c>
    </row>
    <row r="1863" spans="1:17">
      <c r="A1863" s="19">
        <v>0</v>
      </c>
      <c r="B1863" s="19">
        <v>0</v>
      </c>
      <c r="C1863" s="19">
        <v>0</v>
      </c>
      <c r="D1863" s="19">
        <v>0</v>
      </c>
      <c r="E1863" s="19">
        <v>0</v>
      </c>
      <c r="F1863" s="19">
        <v>0</v>
      </c>
      <c r="G1863" s="19">
        <v>0</v>
      </c>
      <c r="H1863" s="19">
        <v>0</v>
      </c>
      <c r="I1863" s="15">
        <v>3500</v>
      </c>
      <c r="J1863" s="15">
        <v>0</v>
      </c>
      <c r="K1863" s="15">
        <v>0</v>
      </c>
      <c r="L1863" s="15">
        <v>0</v>
      </c>
      <c r="M1863" s="15">
        <v>0</v>
      </c>
      <c r="N1863" s="15" t="str">
        <v/>
      </c>
      <c r="O1863" s="15" t="str">
        <v/>
      </c>
      <c r="P1863" s="22">
        <v>0</v>
      </c>
      <c r="Q1863">
        <v>0</v>
      </c>
    </row>
    <row r="1864" spans="1:17">
      <c r="A1864" s="19">
        <v>0</v>
      </c>
      <c r="B1864" s="19">
        <v>0</v>
      </c>
      <c r="C1864" s="19">
        <v>0</v>
      </c>
      <c r="D1864" s="19">
        <v>0</v>
      </c>
      <c r="E1864" s="19">
        <v>0</v>
      </c>
      <c r="F1864" s="19">
        <v>0</v>
      </c>
      <c r="G1864" s="19">
        <v>0</v>
      </c>
      <c r="H1864" s="19">
        <v>0</v>
      </c>
      <c r="I1864" s="15">
        <v>3500</v>
      </c>
      <c r="J1864" s="15">
        <v>0</v>
      </c>
      <c r="K1864" s="15">
        <v>0</v>
      </c>
      <c r="L1864" s="15">
        <v>0</v>
      </c>
      <c r="M1864" s="15">
        <v>0</v>
      </c>
      <c r="N1864" s="15" t="str">
        <v/>
      </c>
      <c r="O1864" s="15" t="str">
        <v/>
      </c>
      <c r="P1864" s="22">
        <v>0</v>
      </c>
      <c r="Q1864">
        <v>0</v>
      </c>
    </row>
    <row r="1865" spans="1:17">
      <c r="A1865" s="19">
        <v>0</v>
      </c>
      <c r="B1865" s="19">
        <v>0</v>
      </c>
      <c r="C1865" s="19">
        <v>0</v>
      </c>
      <c r="D1865" s="19">
        <v>0</v>
      </c>
      <c r="E1865" s="19">
        <v>0</v>
      </c>
      <c r="F1865" s="19">
        <v>0</v>
      </c>
      <c r="G1865" s="19">
        <v>0</v>
      </c>
      <c r="H1865" s="19">
        <v>0</v>
      </c>
      <c r="I1865" s="15">
        <v>3500</v>
      </c>
      <c r="J1865" s="15">
        <v>0</v>
      </c>
      <c r="K1865" s="15">
        <v>0</v>
      </c>
      <c r="L1865" s="15">
        <v>0</v>
      </c>
      <c r="M1865" s="15">
        <v>0</v>
      </c>
      <c r="N1865" s="15" t="str">
        <v/>
      </c>
      <c r="O1865" s="15" t="str">
        <v/>
      </c>
      <c r="P1865" s="22">
        <v>0</v>
      </c>
      <c r="Q1865">
        <v>0</v>
      </c>
    </row>
    <row r="1866" spans="1:17">
      <c r="A1866" s="19">
        <v>0</v>
      </c>
      <c r="B1866" s="19">
        <v>0</v>
      </c>
      <c r="C1866" s="19">
        <v>0</v>
      </c>
      <c r="D1866" s="19">
        <v>0</v>
      </c>
      <c r="E1866" s="19">
        <v>0</v>
      </c>
      <c r="F1866" s="19">
        <v>0</v>
      </c>
      <c r="G1866" s="19">
        <v>0</v>
      </c>
      <c r="H1866" s="19">
        <v>0</v>
      </c>
      <c r="I1866" s="15">
        <v>3500</v>
      </c>
      <c r="J1866" s="15">
        <v>0</v>
      </c>
      <c r="K1866" s="15">
        <v>0</v>
      </c>
      <c r="L1866" s="15">
        <v>0</v>
      </c>
      <c r="M1866" s="15">
        <v>0</v>
      </c>
      <c r="N1866" s="15" t="str">
        <v/>
      </c>
      <c r="O1866" s="15" t="str">
        <v/>
      </c>
      <c r="P1866" s="22">
        <v>0</v>
      </c>
      <c r="Q1866">
        <v>0</v>
      </c>
    </row>
    <row r="1867" spans="1:17">
      <c r="A1867" s="19">
        <v>0</v>
      </c>
      <c r="B1867" s="19">
        <v>0</v>
      </c>
      <c r="C1867" s="19">
        <v>0</v>
      </c>
      <c r="D1867" s="19">
        <v>0</v>
      </c>
      <c r="E1867" s="19">
        <v>0</v>
      </c>
      <c r="F1867" s="19">
        <v>0</v>
      </c>
      <c r="G1867" s="19">
        <v>0</v>
      </c>
      <c r="H1867" s="19">
        <v>0</v>
      </c>
      <c r="I1867" s="15">
        <v>3500</v>
      </c>
      <c r="J1867" s="15">
        <v>0</v>
      </c>
      <c r="K1867" s="15">
        <v>0</v>
      </c>
      <c r="L1867" s="15">
        <v>0</v>
      </c>
      <c r="M1867" s="15">
        <v>0</v>
      </c>
      <c r="N1867" s="15" t="str">
        <v/>
      </c>
      <c r="O1867" s="15" t="str">
        <v/>
      </c>
      <c r="P1867" s="22">
        <v>0</v>
      </c>
      <c r="Q1867">
        <v>0</v>
      </c>
    </row>
    <row r="1868" spans="1:17">
      <c r="A1868" s="19">
        <v>0</v>
      </c>
      <c r="B1868" s="19">
        <v>0</v>
      </c>
      <c r="C1868" s="19">
        <v>0</v>
      </c>
      <c r="D1868" s="19">
        <v>0</v>
      </c>
      <c r="E1868" s="19">
        <v>0</v>
      </c>
      <c r="F1868" s="19">
        <v>0</v>
      </c>
      <c r="G1868" s="19">
        <v>0</v>
      </c>
      <c r="H1868" s="19">
        <v>0</v>
      </c>
      <c r="I1868" s="15">
        <v>3500</v>
      </c>
      <c r="J1868" s="15">
        <v>0</v>
      </c>
      <c r="K1868" s="15">
        <v>0</v>
      </c>
      <c r="L1868" s="15">
        <v>0</v>
      </c>
      <c r="M1868" s="15">
        <v>0</v>
      </c>
      <c r="N1868" s="15" t="str">
        <v/>
      </c>
      <c r="O1868" s="15" t="str">
        <v/>
      </c>
      <c r="P1868" s="22">
        <v>0</v>
      </c>
      <c r="Q1868">
        <v>0</v>
      </c>
    </row>
    <row r="1869" spans="1:17">
      <c r="A1869" s="19">
        <v>0</v>
      </c>
      <c r="B1869" s="19">
        <v>0</v>
      </c>
      <c r="C1869" s="19">
        <v>0</v>
      </c>
      <c r="D1869" s="19">
        <v>0</v>
      </c>
      <c r="E1869" s="19">
        <v>0</v>
      </c>
      <c r="F1869" s="19">
        <v>0</v>
      </c>
      <c r="G1869" s="19">
        <v>0</v>
      </c>
      <c r="H1869" s="19">
        <v>0</v>
      </c>
      <c r="I1869" s="15">
        <v>3500</v>
      </c>
      <c r="J1869" s="15">
        <v>0</v>
      </c>
      <c r="K1869" s="15">
        <v>0</v>
      </c>
      <c r="L1869" s="15">
        <v>0</v>
      </c>
      <c r="M1869" s="15">
        <v>0</v>
      </c>
      <c r="N1869" s="15" t="str">
        <v/>
      </c>
      <c r="O1869" s="15" t="str">
        <v/>
      </c>
      <c r="P1869" s="22">
        <v>0</v>
      </c>
      <c r="Q1869">
        <v>0</v>
      </c>
    </row>
    <row r="1870" spans="1:17">
      <c r="A1870" s="19">
        <v>0</v>
      </c>
      <c r="B1870" s="19">
        <v>0</v>
      </c>
      <c r="C1870" s="19">
        <v>0</v>
      </c>
      <c r="D1870" s="19">
        <v>0</v>
      </c>
      <c r="E1870" s="19">
        <v>0</v>
      </c>
      <c r="F1870" s="19">
        <v>0</v>
      </c>
      <c r="G1870" s="19">
        <v>0</v>
      </c>
      <c r="H1870" s="19">
        <v>0</v>
      </c>
      <c r="I1870" s="15">
        <v>3500</v>
      </c>
      <c r="J1870" s="15">
        <v>0</v>
      </c>
      <c r="K1870" s="15">
        <v>0</v>
      </c>
      <c r="L1870" s="15">
        <v>0</v>
      </c>
      <c r="M1870" s="15">
        <v>0</v>
      </c>
      <c r="N1870" s="15" t="str">
        <v/>
      </c>
      <c r="O1870" s="15" t="str">
        <v/>
      </c>
      <c r="P1870" s="22">
        <v>0</v>
      </c>
      <c r="Q1870">
        <v>0</v>
      </c>
    </row>
    <row r="1871" spans="1:17">
      <c r="A1871" s="19">
        <v>0</v>
      </c>
      <c r="B1871" s="19">
        <v>0</v>
      </c>
      <c r="C1871" s="19">
        <v>0</v>
      </c>
      <c r="D1871" s="19">
        <v>0</v>
      </c>
      <c r="E1871" s="19">
        <v>0</v>
      </c>
      <c r="F1871" s="19">
        <v>0</v>
      </c>
      <c r="G1871" s="19">
        <v>0</v>
      </c>
      <c r="H1871" s="19">
        <v>0</v>
      </c>
      <c r="I1871" s="15">
        <v>3500</v>
      </c>
      <c r="J1871" s="15">
        <v>0</v>
      </c>
      <c r="K1871" s="15">
        <v>0</v>
      </c>
      <c r="L1871" s="15">
        <v>0</v>
      </c>
      <c r="M1871" s="15">
        <v>0</v>
      </c>
      <c r="N1871" s="15" t="str">
        <v/>
      </c>
      <c r="O1871" s="15" t="str">
        <v/>
      </c>
      <c r="P1871" s="22">
        <v>0</v>
      </c>
      <c r="Q1871">
        <v>0</v>
      </c>
    </row>
    <row r="1872" spans="1:17">
      <c r="A1872" s="19">
        <v>0</v>
      </c>
      <c r="B1872" s="19">
        <v>0</v>
      </c>
      <c r="C1872" s="19">
        <v>0</v>
      </c>
      <c r="D1872" s="19">
        <v>0</v>
      </c>
      <c r="E1872" s="19">
        <v>0</v>
      </c>
      <c r="F1872" s="19">
        <v>0</v>
      </c>
      <c r="G1872" s="19">
        <v>0</v>
      </c>
      <c r="H1872" s="19">
        <v>0</v>
      </c>
      <c r="I1872" s="15">
        <v>3500</v>
      </c>
      <c r="J1872" s="15">
        <v>0</v>
      </c>
      <c r="K1872" s="15">
        <v>0</v>
      </c>
      <c r="L1872" s="15">
        <v>0</v>
      </c>
      <c r="M1872" s="15">
        <v>0</v>
      </c>
      <c r="N1872" s="15" t="str">
        <v/>
      </c>
      <c r="O1872" s="15" t="str">
        <v/>
      </c>
      <c r="P1872" s="22">
        <v>0</v>
      </c>
      <c r="Q1872">
        <v>0</v>
      </c>
    </row>
    <row r="1873" spans="1:17">
      <c r="A1873" s="19">
        <v>0</v>
      </c>
      <c r="B1873" s="19">
        <v>0</v>
      </c>
      <c r="C1873" s="19">
        <v>0</v>
      </c>
      <c r="D1873" s="19">
        <v>0</v>
      </c>
      <c r="E1873" s="19">
        <v>0</v>
      </c>
      <c r="F1873" s="19">
        <v>0</v>
      </c>
      <c r="G1873" s="19">
        <v>0</v>
      </c>
      <c r="H1873" s="19">
        <v>0</v>
      </c>
      <c r="I1873" s="15">
        <v>3500</v>
      </c>
      <c r="J1873" s="15">
        <v>0</v>
      </c>
      <c r="K1873" s="15">
        <v>0</v>
      </c>
      <c r="L1873" s="15">
        <v>0</v>
      </c>
      <c r="M1873" s="15">
        <v>0</v>
      </c>
      <c r="N1873" s="15" t="str">
        <v/>
      </c>
      <c r="O1873" s="15" t="str">
        <v/>
      </c>
      <c r="P1873" s="22">
        <v>0</v>
      </c>
      <c r="Q1873">
        <v>0</v>
      </c>
    </row>
    <row r="1874" spans="1:17">
      <c r="A1874" s="19">
        <v>0</v>
      </c>
      <c r="B1874" s="19">
        <v>0</v>
      </c>
      <c r="C1874" s="19">
        <v>0</v>
      </c>
      <c r="D1874" s="19">
        <v>0</v>
      </c>
      <c r="E1874" s="19">
        <v>0</v>
      </c>
      <c r="F1874" s="19">
        <v>0</v>
      </c>
      <c r="G1874" s="19">
        <v>0</v>
      </c>
      <c r="H1874" s="19">
        <v>0</v>
      </c>
      <c r="I1874" s="15">
        <v>3500</v>
      </c>
      <c r="J1874" s="15">
        <v>0</v>
      </c>
      <c r="K1874" s="15">
        <v>0</v>
      </c>
      <c r="L1874" s="15">
        <v>0</v>
      </c>
      <c r="M1874" s="15">
        <v>0</v>
      </c>
      <c r="N1874" s="15" t="str">
        <v/>
      </c>
      <c r="O1874" s="15" t="str">
        <v/>
      </c>
      <c r="P1874" s="22">
        <v>0</v>
      </c>
      <c r="Q1874">
        <v>0</v>
      </c>
    </row>
    <row r="1875" spans="1:17">
      <c r="A1875" s="19">
        <v>0</v>
      </c>
      <c r="B1875" s="19">
        <v>0</v>
      </c>
      <c r="C1875" s="19">
        <v>0</v>
      </c>
      <c r="D1875" s="19">
        <v>0</v>
      </c>
      <c r="E1875" s="19">
        <v>0</v>
      </c>
      <c r="F1875" s="19">
        <v>0</v>
      </c>
      <c r="G1875" s="19">
        <v>0</v>
      </c>
      <c r="H1875" s="19">
        <v>0</v>
      </c>
      <c r="I1875" s="15">
        <v>3500</v>
      </c>
      <c r="J1875" s="15">
        <v>0</v>
      </c>
      <c r="K1875" s="15">
        <v>0</v>
      </c>
      <c r="L1875" s="15">
        <v>0</v>
      </c>
      <c r="M1875" s="15">
        <v>0</v>
      </c>
      <c r="N1875" s="15" t="str">
        <v/>
      </c>
      <c r="O1875" s="15" t="str">
        <v/>
      </c>
      <c r="P1875" s="22">
        <v>0</v>
      </c>
      <c r="Q1875">
        <v>0</v>
      </c>
    </row>
    <row r="1876" spans="1:17">
      <c r="A1876" s="19">
        <v>0</v>
      </c>
      <c r="B1876" s="19">
        <v>0</v>
      </c>
      <c r="C1876" s="19">
        <v>0</v>
      </c>
      <c r="D1876" s="19">
        <v>0</v>
      </c>
      <c r="E1876" s="19">
        <v>0</v>
      </c>
      <c r="F1876" s="19">
        <v>0</v>
      </c>
      <c r="G1876" s="19">
        <v>0</v>
      </c>
      <c r="H1876" s="19">
        <v>0</v>
      </c>
      <c r="I1876" s="15">
        <v>3500</v>
      </c>
      <c r="J1876" s="15">
        <v>0</v>
      </c>
      <c r="K1876" s="15">
        <v>0</v>
      </c>
      <c r="L1876" s="15">
        <v>0</v>
      </c>
      <c r="M1876" s="15">
        <v>0</v>
      </c>
      <c r="N1876" s="15" t="str">
        <v/>
      </c>
      <c r="O1876" s="15" t="str">
        <v/>
      </c>
      <c r="P1876" s="22">
        <v>0</v>
      </c>
      <c r="Q1876">
        <v>0</v>
      </c>
    </row>
    <row r="1877" spans="1:17">
      <c r="A1877" s="19">
        <v>0</v>
      </c>
      <c r="B1877" s="19">
        <v>0</v>
      </c>
      <c r="C1877" s="19">
        <v>0</v>
      </c>
      <c r="D1877" s="19">
        <v>0</v>
      </c>
      <c r="E1877" s="19">
        <v>0</v>
      </c>
      <c r="F1877" s="19">
        <v>0</v>
      </c>
      <c r="G1877" s="19">
        <v>0</v>
      </c>
      <c r="H1877" s="19">
        <v>0</v>
      </c>
      <c r="I1877" s="15">
        <v>3500</v>
      </c>
      <c r="J1877" s="15">
        <v>0</v>
      </c>
      <c r="K1877" s="15">
        <v>0</v>
      </c>
      <c r="L1877" s="15">
        <v>0</v>
      </c>
      <c r="M1877" s="15">
        <v>0</v>
      </c>
      <c r="N1877" s="15" t="str">
        <v/>
      </c>
      <c r="O1877" s="15" t="str">
        <v/>
      </c>
      <c r="P1877" s="22">
        <v>0</v>
      </c>
      <c r="Q1877">
        <v>0</v>
      </c>
    </row>
    <row r="1878" spans="1:17">
      <c r="A1878" s="19">
        <v>0</v>
      </c>
      <c r="B1878" s="19">
        <v>0</v>
      </c>
      <c r="C1878" s="19">
        <v>0</v>
      </c>
      <c r="D1878" s="19">
        <v>0</v>
      </c>
      <c r="E1878" s="19">
        <v>0</v>
      </c>
      <c r="F1878" s="19">
        <v>0</v>
      </c>
      <c r="G1878" s="19">
        <v>0</v>
      </c>
      <c r="H1878" s="19">
        <v>0</v>
      </c>
      <c r="I1878" s="15">
        <v>3500</v>
      </c>
      <c r="J1878" s="15">
        <v>0</v>
      </c>
      <c r="K1878" s="15">
        <v>0</v>
      </c>
      <c r="L1878" s="15">
        <v>0</v>
      </c>
      <c r="M1878" s="15">
        <v>0</v>
      </c>
      <c r="N1878" s="15" t="str">
        <v/>
      </c>
      <c r="O1878" s="15" t="str">
        <v/>
      </c>
      <c r="P1878" s="22">
        <v>0</v>
      </c>
      <c r="Q1878">
        <v>0</v>
      </c>
    </row>
    <row r="1879" spans="1:17">
      <c r="A1879" s="19">
        <v>0</v>
      </c>
      <c r="B1879" s="19">
        <v>0</v>
      </c>
      <c r="C1879" s="19">
        <v>0</v>
      </c>
      <c r="D1879" s="19">
        <v>0</v>
      </c>
      <c r="E1879" s="19">
        <v>0</v>
      </c>
      <c r="F1879" s="19">
        <v>0</v>
      </c>
      <c r="G1879" s="19">
        <v>0</v>
      </c>
      <c r="H1879" s="19">
        <v>0</v>
      </c>
      <c r="I1879" s="15">
        <v>3500</v>
      </c>
      <c r="J1879" s="15">
        <v>0</v>
      </c>
      <c r="K1879" s="15">
        <v>0</v>
      </c>
      <c r="L1879" s="15">
        <v>0</v>
      </c>
      <c r="M1879" s="15">
        <v>0</v>
      </c>
      <c r="N1879" s="15" t="str">
        <v/>
      </c>
      <c r="O1879" s="15" t="str">
        <v/>
      </c>
      <c r="P1879" s="22">
        <v>0</v>
      </c>
      <c r="Q1879">
        <v>0</v>
      </c>
    </row>
    <row r="1880" spans="1:17">
      <c r="A1880" s="19">
        <v>0</v>
      </c>
      <c r="B1880" s="19">
        <v>0</v>
      </c>
      <c r="C1880" s="19">
        <v>0</v>
      </c>
      <c r="D1880" s="19">
        <v>0</v>
      </c>
      <c r="E1880" s="19">
        <v>0</v>
      </c>
      <c r="F1880" s="19">
        <v>0</v>
      </c>
      <c r="G1880" s="19">
        <v>0</v>
      </c>
      <c r="H1880" s="19">
        <v>0</v>
      </c>
      <c r="I1880" s="15">
        <v>3500</v>
      </c>
      <c r="J1880" s="15">
        <v>0</v>
      </c>
      <c r="K1880" s="15">
        <v>0</v>
      </c>
      <c r="L1880" s="15">
        <v>0</v>
      </c>
      <c r="M1880" s="15">
        <v>0</v>
      </c>
      <c r="N1880" s="15" t="str">
        <v/>
      </c>
      <c r="O1880" s="15" t="str">
        <v/>
      </c>
      <c r="P1880" s="22">
        <v>0</v>
      </c>
      <c r="Q1880">
        <v>0</v>
      </c>
    </row>
    <row r="1881" spans="1:17">
      <c r="A1881" s="19">
        <v>0</v>
      </c>
      <c r="B1881" s="19">
        <v>0</v>
      </c>
      <c r="C1881" s="19">
        <v>0</v>
      </c>
      <c r="D1881" s="19">
        <v>0</v>
      </c>
      <c r="E1881" s="19">
        <v>0</v>
      </c>
      <c r="F1881" s="19">
        <v>0</v>
      </c>
      <c r="G1881" s="19">
        <v>0</v>
      </c>
      <c r="H1881" s="19">
        <v>0</v>
      </c>
      <c r="I1881" s="15">
        <v>3500</v>
      </c>
      <c r="J1881" s="15">
        <v>0</v>
      </c>
      <c r="K1881" s="15">
        <v>0</v>
      </c>
      <c r="L1881" s="15">
        <v>0</v>
      </c>
      <c r="M1881" s="15">
        <v>0</v>
      </c>
      <c r="N1881" s="15" t="str">
        <v/>
      </c>
      <c r="O1881" s="15" t="str">
        <v/>
      </c>
      <c r="P1881" s="22">
        <v>0</v>
      </c>
      <c r="Q1881">
        <v>0</v>
      </c>
    </row>
    <row r="1882" spans="1:17">
      <c r="A1882" s="19">
        <v>0</v>
      </c>
      <c r="B1882" s="19">
        <v>0</v>
      </c>
      <c r="C1882" s="19">
        <v>0</v>
      </c>
      <c r="D1882" s="19">
        <v>0</v>
      </c>
      <c r="E1882" s="19">
        <v>0</v>
      </c>
      <c r="F1882" s="19">
        <v>0</v>
      </c>
      <c r="G1882" s="19">
        <v>0</v>
      </c>
      <c r="H1882" s="19">
        <v>0</v>
      </c>
      <c r="I1882" s="15">
        <v>3500</v>
      </c>
      <c r="J1882" s="15">
        <v>0</v>
      </c>
      <c r="K1882" s="15">
        <v>0</v>
      </c>
      <c r="L1882" s="15">
        <v>0</v>
      </c>
      <c r="M1882" s="15">
        <v>0</v>
      </c>
      <c r="N1882" s="15" t="str">
        <v/>
      </c>
      <c r="O1882" s="15" t="str">
        <v/>
      </c>
      <c r="P1882" s="22">
        <v>0</v>
      </c>
      <c r="Q1882">
        <v>0</v>
      </c>
    </row>
    <row r="1883" spans="1:17">
      <c r="A1883" s="19">
        <v>0</v>
      </c>
      <c r="B1883" s="19">
        <v>0</v>
      </c>
      <c r="C1883" s="19">
        <v>0</v>
      </c>
      <c r="D1883" s="19">
        <v>0</v>
      </c>
      <c r="E1883" s="19">
        <v>0</v>
      </c>
      <c r="F1883" s="19">
        <v>0</v>
      </c>
      <c r="G1883" s="19">
        <v>0</v>
      </c>
      <c r="H1883" s="19">
        <v>0</v>
      </c>
      <c r="I1883" s="15">
        <v>3500</v>
      </c>
      <c r="J1883" s="15">
        <v>0</v>
      </c>
      <c r="K1883" s="15">
        <v>0</v>
      </c>
      <c r="L1883" s="15">
        <v>0</v>
      </c>
      <c r="M1883" s="15">
        <v>0</v>
      </c>
      <c r="N1883" s="15" t="str">
        <v/>
      </c>
      <c r="O1883" s="15" t="str">
        <v/>
      </c>
      <c r="P1883" s="22">
        <v>0</v>
      </c>
      <c r="Q1883">
        <v>0</v>
      </c>
    </row>
    <row r="1884" spans="1:17">
      <c r="A1884" s="19">
        <v>0</v>
      </c>
      <c r="B1884" s="19">
        <v>0</v>
      </c>
      <c r="C1884" s="19">
        <v>0</v>
      </c>
      <c r="D1884" s="19">
        <v>0</v>
      </c>
      <c r="E1884" s="19">
        <v>0</v>
      </c>
      <c r="F1884" s="19">
        <v>0</v>
      </c>
      <c r="G1884" s="19">
        <v>0</v>
      </c>
      <c r="H1884" s="19">
        <v>0</v>
      </c>
      <c r="I1884" s="15">
        <v>3500</v>
      </c>
      <c r="J1884" s="15">
        <v>0</v>
      </c>
      <c r="K1884" s="15">
        <v>0</v>
      </c>
      <c r="L1884" s="15">
        <v>0</v>
      </c>
      <c r="M1884" s="15">
        <v>0</v>
      </c>
      <c r="N1884" s="15" t="str">
        <v/>
      </c>
      <c r="O1884" s="15" t="str">
        <v/>
      </c>
      <c r="P1884" s="22">
        <v>0</v>
      </c>
      <c r="Q1884">
        <v>0</v>
      </c>
    </row>
    <row r="1885" spans="1:17">
      <c r="A1885" s="19">
        <v>0</v>
      </c>
      <c r="B1885" s="19">
        <v>0</v>
      </c>
      <c r="C1885" s="19">
        <v>0</v>
      </c>
      <c r="D1885" s="19">
        <v>0</v>
      </c>
      <c r="E1885" s="19">
        <v>0</v>
      </c>
      <c r="F1885" s="19">
        <v>0</v>
      </c>
      <c r="G1885" s="19">
        <v>0</v>
      </c>
      <c r="H1885" s="19">
        <v>0</v>
      </c>
      <c r="I1885" s="15">
        <v>3500</v>
      </c>
      <c r="J1885" s="15">
        <v>0</v>
      </c>
      <c r="K1885" s="15">
        <v>0</v>
      </c>
      <c r="L1885" s="15">
        <v>0</v>
      </c>
      <c r="M1885" s="15">
        <v>0</v>
      </c>
      <c r="N1885" s="15" t="str">
        <v/>
      </c>
      <c r="O1885" s="15" t="str">
        <v/>
      </c>
      <c r="P1885" s="22">
        <v>0</v>
      </c>
      <c r="Q1885">
        <v>0</v>
      </c>
    </row>
    <row r="1886" spans="1:17">
      <c r="A1886" s="19">
        <v>0</v>
      </c>
      <c r="B1886" s="19">
        <v>0</v>
      </c>
      <c r="C1886" s="19">
        <v>0</v>
      </c>
      <c r="D1886" s="19">
        <v>0</v>
      </c>
      <c r="E1886" s="19">
        <v>0</v>
      </c>
      <c r="F1886" s="19">
        <v>0</v>
      </c>
      <c r="G1886" s="19">
        <v>0</v>
      </c>
      <c r="H1886" s="19">
        <v>0</v>
      </c>
      <c r="I1886" s="15">
        <v>3500</v>
      </c>
      <c r="J1886" s="15">
        <v>0</v>
      </c>
      <c r="K1886" s="15">
        <v>0</v>
      </c>
      <c r="L1886" s="15">
        <v>0</v>
      </c>
      <c r="M1886" s="15">
        <v>0</v>
      </c>
      <c r="N1886" s="15" t="str">
        <v/>
      </c>
      <c r="O1886" s="15" t="str">
        <v/>
      </c>
      <c r="P1886" s="22">
        <v>0</v>
      </c>
      <c r="Q1886">
        <v>0</v>
      </c>
    </row>
    <row r="1887" spans="1:17">
      <c r="A1887" s="19">
        <v>0</v>
      </c>
      <c r="B1887" s="19">
        <v>0</v>
      </c>
      <c r="C1887" s="19">
        <v>0</v>
      </c>
      <c r="D1887" s="19">
        <v>0</v>
      </c>
      <c r="E1887" s="19">
        <v>0</v>
      </c>
      <c r="F1887" s="19">
        <v>0</v>
      </c>
      <c r="G1887" s="19">
        <v>0</v>
      </c>
      <c r="H1887" s="19">
        <v>0</v>
      </c>
      <c r="I1887" s="15">
        <v>3500</v>
      </c>
      <c r="J1887" s="15">
        <v>0</v>
      </c>
      <c r="K1887" s="15">
        <v>0</v>
      </c>
      <c r="L1887" s="15">
        <v>0</v>
      </c>
      <c r="M1887" s="15">
        <v>0</v>
      </c>
      <c r="N1887" s="15" t="str">
        <v/>
      </c>
      <c r="O1887" s="15" t="str">
        <v/>
      </c>
      <c r="P1887" s="22">
        <v>0</v>
      </c>
      <c r="Q1887">
        <v>0</v>
      </c>
    </row>
    <row r="1888" spans="1:17">
      <c r="A1888" s="19">
        <v>0</v>
      </c>
      <c r="B1888" s="19">
        <v>0</v>
      </c>
      <c r="C1888" s="19">
        <v>0</v>
      </c>
      <c r="D1888" s="19">
        <v>0</v>
      </c>
      <c r="E1888" s="19">
        <v>0</v>
      </c>
      <c r="F1888" s="19">
        <v>0</v>
      </c>
      <c r="G1888" s="19">
        <v>0</v>
      </c>
      <c r="H1888" s="19">
        <v>0</v>
      </c>
      <c r="I1888" s="15">
        <v>3500</v>
      </c>
      <c r="J1888" s="15">
        <v>0</v>
      </c>
      <c r="K1888" s="15">
        <v>0</v>
      </c>
      <c r="L1888" s="15">
        <v>0</v>
      </c>
      <c r="M1888" s="15">
        <v>0</v>
      </c>
      <c r="N1888" s="15" t="str">
        <v/>
      </c>
      <c r="O1888" s="15" t="str">
        <v/>
      </c>
      <c r="P1888" s="22">
        <v>0</v>
      </c>
      <c r="Q1888">
        <v>0</v>
      </c>
    </row>
    <row r="1889" spans="1:17">
      <c r="A1889" s="19">
        <v>0</v>
      </c>
      <c r="B1889" s="19">
        <v>0</v>
      </c>
      <c r="C1889" s="19">
        <v>0</v>
      </c>
      <c r="D1889" s="19">
        <v>0</v>
      </c>
      <c r="E1889" s="19">
        <v>0</v>
      </c>
      <c r="F1889" s="19">
        <v>0</v>
      </c>
      <c r="G1889" s="19">
        <v>0</v>
      </c>
      <c r="H1889" s="19">
        <v>0</v>
      </c>
      <c r="I1889" s="15">
        <v>3500</v>
      </c>
      <c r="J1889" s="15">
        <v>0</v>
      </c>
      <c r="K1889" s="15">
        <v>0</v>
      </c>
      <c r="L1889" s="15">
        <v>0</v>
      </c>
      <c r="M1889" s="15">
        <v>0</v>
      </c>
      <c r="N1889" s="15" t="str">
        <v/>
      </c>
      <c r="O1889" s="15" t="str">
        <v/>
      </c>
      <c r="P1889" s="22">
        <v>0</v>
      </c>
      <c r="Q1889">
        <v>0</v>
      </c>
    </row>
    <row r="1890" spans="1:17">
      <c r="A1890" s="19">
        <v>0</v>
      </c>
      <c r="B1890" s="19">
        <v>0</v>
      </c>
      <c r="C1890" s="19">
        <v>0</v>
      </c>
      <c r="D1890" s="19">
        <v>0</v>
      </c>
      <c r="E1890" s="19">
        <v>0</v>
      </c>
      <c r="F1890" s="19">
        <v>0</v>
      </c>
      <c r="G1890" s="19">
        <v>0</v>
      </c>
      <c r="H1890" s="19">
        <v>0</v>
      </c>
      <c r="I1890" s="15">
        <v>3500</v>
      </c>
      <c r="J1890" s="15">
        <v>0</v>
      </c>
      <c r="K1890" s="15">
        <v>0</v>
      </c>
      <c r="L1890" s="15">
        <v>0</v>
      </c>
      <c r="M1890" s="15">
        <v>0</v>
      </c>
      <c r="N1890" s="15" t="str">
        <v/>
      </c>
      <c r="O1890" s="15" t="str">
        <v/>
      </c>
      <c r="P1890" s="22">
        <v>0</v>
      </c>
      <c r="Q1890">
        <v>0</v>
      </c>
    </row>
    <row r="1891" spans="1:17">
      <c r="A1891" s="19">
        <v>0</v>
      </c>
      <c r="B1891" s="19">
        <v>0</v>
      </c>
      <c r="C1891" s="19">
        <v>0</v>
      </c>
      <c r="D1891" s="19">
        <v>0</v>
      </c>
      <c r="E1891" s="19">
        <v>0</v>
      </c>
      <c r="F1891" s="19">
        <v>0</v>
      </c>
      <c r="G1891" s="19">
        <v>0</v>
      </c>
      <c r="H1891" s="19">
        <v>0</v>
      </c>
      <c r="I1891" s="15">
        <v>3500</v>
      </c>
      <c r="J1891" s="15">
        <v>0</v>
      </c>
      <c r="K1891" s="15">
        <v>0</v>
      </c>
      <c r="L1891" s="15">
        <v>0</v>
      </c>
      <c r="M1891" s="15">
        <v>0</v>
      </c>
      <c r="N1891" s="15" t="str">
        <v/>
      </c>
      <c r="O1891" s="15" t="str">
        <v/>
      </c>
      <c r="P1891" s="22">
        <v>0</v>
      </c>
      <c r="Q1891">
        <v>0</v>
      </c>
    </row>
    <row r="1892" spans="1:17">
      <c r="A1892" s="19">
        <v>0</v>
      </c>
      <c r="B1892" s="19">
        <v>0</v>
      </c>
      <c r="C1892" s="19">
        <v>0</v>
      </c>
      <c r="D1892" s="19">
        <v>0</v>
      </c>
      <c r="E1892" s="19">
        <v>0</v>
      </c>
      <c r="F1892" s="19">
        <v>0</v>
      </c>
      <c r="G1892" s="19">
        <v>0</v>
      </c>
      <c r="H1892" s="19">
        <v>0</v>
      </c>
      <c r="I1892" s="15">
        <v>3500</v>
      </c>
      <c r="J1892" s="15">
        <v>0</v>
      </c>
      <c r="K1892" s="15">
        <v>0</v>
      </c>
      <c r="L1892" s="15">
        <v>0</v>
      </c>
      <c r="M1892" s="15">
        <v>0</v>
      </c>
      <c r="N1892" s="15" t="str">
        <v/>
      </c>
      <c r="O1892" s="15" t="str">
        <v/>
      </c>
      <c r="P1892" s="22">
        <v>0</v>
      </c>
      <c r="Q1892">
        <v>0</v>
      </c>
    </row>
    <row r="1893" spans="1:17">
      <c r="A1893" s="19">
        <v>0</v>
      </c>
      <c r="B1893" s="19">
        <v>0</v>
      </c>
      <c r="C1893" s="19">
        <v>0</v>
      </c>
      <c r="D1893" s="19">
        <v>0</v>
      </c>
      <c r="E1893" s="19">
        <v>0</v>
      </c>
      <c r="F1893" s="19">
        <v>0</v>
      </c>
      <c r="G1893" s="19">
        <v>0</v>
      </c>
      <c r="H1893" s="19">
        <v>0</v>
      </c>
      <c r="I1893" s="15">
        <v>3500</v>
      </c>
      <c r="J1893" s="15">
        <v>0</v>
      </c>
      <c r="K1893" s="15">
        <v>0</v>
      </c>
      <c r="L1893" s="15">
        <v>0</v>
      </c>
      <c r="M1893" s="15">
        <v>0</v>
      </c>
      <c r="N1893" s="15" t="str">
        <v/>
      </c>
      <c r="O1893" s="15" t="str">
        <v/>
      </c>
      <c r="P1893" s="22">
        <v>0</v>
      </c>
      <c r="Q1893">
        <v>0</v>
      </c>
    </row>
    <row r="1894" spans="1:17">
      <c r="A1894" s="19">
        <v>0</v>
      </c>
      <c r="B1894" s="19">
        <v>0</v>
      </c>
      <c r="C1894" s="19">
        <v>0</v>
      </c>
      <c r="D1894" s="19">
        <v>0</v>
      </c>
      <c r="E1894" s="19">
        <v>0</v>
      </c>
      <c r="F1894" s="19">
        <v>0</v>
      </c>
      <c r="G1894" s="19">
        <v>0</v>
      </c>
      <c r="H1894" s="19">
        <v>0</v>
      </c>
      <c r="I1894" s="15">
        <v>3500</v>
      </c>
      <c r="J1894" s="15">
        <v>0</v>
      </c>
      <c r="K1894" s="15">
        <v>0</v>
      </c>
      <c r="L1894" s="15">
        <v>0</v>
      </c>
      <c r="M1894" s="15">
        <v>0</v>
      </c>
      <c r="N1894" s="15" t="str">
        <v/>
      </c>
      <c r="O1894" s="15" t="str">
        <v/>
      </c>
      <c r="P1894" s="22">
        <v>0</v>
      </c>
      <c r="Q1894">
        <v>0</v>
      </c>
    </row>
    <row r="1895" spans="1:17">
      <c r="A1895" s="19">
        <v>0</v>
      </c>
      <c r="B1895" s="19">
        <v>0</v>
      </c>
      <c r="C1895" s="19">
        <v>0</v>
      </c>
      <c r="D1895" s="19">
        <v>0</v>
      </c>
      <c r="E1895" s="19">
        <v>0</v>
      </c>
      <c r="F1895" s="19">
        <v>0</v>
      </c>
      <c r="G1895" s="19">
        <v>0</v>
      </c>
      <c r="H1895" s="19">
        <v>0</v>
      </c>
      <c r="I1895" s="15">
        <v>3500</v>
      </c>
      <c r="J1895" s="15">
        <v>0</v>
      </c>
      <c r="K1895" s="15">
        <v>0</v>
      </c>
      <c r="L1895" s="15">
        <v>0</v>
      </c>
      <c r="M1895" s="15">
        <v>0</v>
      </c>
      <c r="N1895" s="15" t="str">
        <v/>
      </c>
      <c r="O1895" s="15" t="str">
        <v/>
      </c>
      <c r="P1895" s="22">
        <v>0</v>
      </c>
      <c r="Q1895">
        <v>0</v>
      </c>
    </row>
    <row r="1896" spans="1:17">
      <c r="A1896" s="19">
        <v>0</v>
      </c>
      <c r="B1896" s="19">
        <v>0</v>
      </c>
      <c r="C1896" s="19">
        <v>0</v>
      </c>
      <c r="D1896" s="19">
        <v>0</v>
      </c>
      <c r="E1896" s="19">
        <v>0</v>
      </c>
      <c r="F1896" s="19">
        <v>0</v>
      </c>
      <c r="G1896" s="19">
        <v>0</v>
      </c>
      <c r="H1896" s="19">
        <v>0</v>
      </c>
      <c r="I1896" s="15">
        <v>3500</v>
      </c>
      <c r="J1896" s="15">
        <v>0</v>
      </c>
      <c r="K1896" s="15">
        <v>0</v>
      </c>
      <c r="L1896" s="15">
        <v>0</v>
      </c>
      <c r="M1896" s="15">
        <v>0</v>
      </c>
      <c r="N1896" s="15" t="str">
        <v/>
      </c>
      <c r="O1896" s="15" t="str">
        <v/>
      </c>
      <c r="P1896" s="22">
        <v>0</v>
      </c>
      <c r="Q1896">
        <v>0</v>
      </c>
    </row>
    <row r="1897" spans="1:17">
      <c r="A1897" s="19">
        <v>0</v>
      </c>
      <c r="B1897" s="19">
        <v>0</v>
      </c>
      <c r="C1897" s="19">
        <v>0</v>
      </c>
      <c r="D1897" s="19">
        <v>0</v>
      </c>
      <c r="E1897" s="19">
        <v>0</v>
      </c>
      <c r="F1897" s="19">
        <v>0</v>
      </c>
      <c r="G1897" s="19">
        <v>0</v>
      </c>
      <c r="H1897" s="19">
        <v>0</v>
      </c>
      <c r="I1897" s="15">
        <v>3500</v>
      </c>
      <c r="J1897" s="15">
        <v>0</v>
      </c>
      <c r="K1897" s="15">
        <v>0</v>
      </c>
      <c r="L1897" s="15">
        <v>0</v>
      </c>
      <c r="M1897" s="15">
        <v>0</v>
      </c>
      <c r="N1897" s="15" t="str">
        <v/>
      </c>
      <c r="O1897" s="15" t="str">
        <v/>
      </c>
      <c r="P1897" s="22">
        <v>0</v>
      </c>
      <c r="Q1897">
        <v>0</v>
      </c>
    </row>
    <row r="1898" spans="1:17">
      <c r="A1898" s="19">
        <v>0</v>
      </c>
      <c r="B1898" s="19">
        <v>0</v>
      </c>
      <c r="C1898" s="19">
        <v>0</v>
      </c>
      <c r="D1898" s="19">
        <v>0</v>
      </c>
      <c r="E1898" s="19">
        <v>0</v>
      </c>
      <c r="F1898" s="19">
        <v>0</v>
      </c>
      <c r="G1898" s="19">
        <v>0</v>
      </c>
      <c r="H1898" s="19">
        <v>0</v>
      </c>
      <c r="I1898" s="15">
        <v>3500</v>
      </c>
      <c r="J1898" s="15">
        <v>0</v>
      </c>
      <c r="K1898" s="15">
        <v>0</v>
      </c>
      <c r="L1898" s="15">
        <v>0</v>
      </c>
      <c r="M1898" s="15">
        <v>0</v>
      </c>
      <c r="N1898" s="15" t="str">
        <v/>
      </c>
      <c r="O1898" s="15" t="str">
        <v/>
      </c>
      <c r="P1898" s="22">
        <v>0</v>
      </c>
      <c r="Q1898">
        <v>0</v>
      </c>
    </row>
    <row r="1899" spans="1:17">
      <c r="A1899" s="19">
        <v>0</v>
      </c>
      <c r="B1899" s="19">
        <v>0</v>
      </c>
      <c r="C1899" s="19">
        <v>0</v>
      </c>
      <c r="D1899" s="19">
        <v>0</v>
      </c>
      <c r="E1899" s="19">
        <v>0</v>
      </c>
      <c r="F1899" s="19">
        <v>0</v>
      </c>
      <c r="G1899" s="19">
        <v>0</v>
      </c>
      <c r="H1899" s="19">
        <v>0</v>
      </c>
      <c r="I1899" s="15">
        <v>3500</v>
      </c>
      <c r="J1899" s="15">
        <v>0</v>
      </c>
      <c r="K1899" s="15">
        <v>0</v>
      </c>
      <c r="L1899" s="15">
        <v>0</v>
      </c>
      <c r="M1899" s="15">
        <v>0</v>
      </c>
      <c r="N1899" s="15" t="str">
        <v/>
      </c>
      <c r="O1899" s="15" t="str">
        <v/>
      </c>
      <c r="P1899" s="22">
        <v>0</v>
      </c>
      <c r="Q1899">
        <v>0</v>
      </c>
    </row>
    <row r="1900" spans="1:17">
      <c r="A1900" s="19">
        <v>0</v>
      </c>
      <c r="B1900" s="19">
        <v>0</v>
      </c>
      <c r="C1900" s="19">
        <v>0</v>
      </c>
      <c r="D1900" s="19">
        <v>0</v>
      </c>
      <c r="E1900" s="19">
        <v>0</v>
      </c>
      <c r="F1900" s="19">
        <v>0</v>
      </c>
      <c r="G1900" s="19">
        <v>0</v>
      </c>
      <c r="H1900" s="19">
        <v>0</v>
      </c>
      <c r="I1900" s="15">
        <v>3500</v>
      </c>
      <c r="J1900" s="15">
        <v>0</v>
      </c>
      <c r="K1900" s="15">
        <v>0</v>
      </c>
      <c r="L1900" s="15">
        <v>0</v>
      </c>
      <c r="M1900" s="15">
        <v>0</v>
      </c>
      <c r="N1900" s="15" t="str">
        <v/>
      </c>
      <c r="O1900" s="15" t="str">
        <v/>
      </c>
      <c r="P1900" s="22">
        <v>0</v>
      </c>
      <c r="Q1900">
        <v>0</v>
      </c>
    </row>
    <row r="1901" spans="1:17">
      <c r="A1901" s="19">
        <v>0</v>
      </c>
      <c r="B1901" s="19">
        <v>0</v>
      </c>
      <c r="C1901" s="19">
        <v>0</v>
      </c>
      <c r="D1901" s="19">
        <v>0</v>
      </c>
      <c r="E1901" s="19">
        <v>0</v>
      </c>
      <c r="F1901" s="19">
        <v>0</v>
      </c>
      <c r="G1901" s="19">
        <v>0</v>
      </c>
      <c r="H1901" s="19">
        <v>0</v>
      </c>
      <c r="I1901" s="15">
        <v>3500</v>
      </c>
      <c r="J1901" s="15">
        <v>0</v>
      </c>
      <c r="K1901" s="15">
        <v>0</v>
      </c>
      <c r="L1901" s="15">
        <v>0</v>
      </c>
      <c r="M1901" s="15">
        <v>0</v>
      </c>
      <c r="N1901" s="15" t="str">
        <v/>
      </c>
      <c r="O1901" s="15" t="str">
        <v/>
      </c>
      <c r="P1901" s="22">
        <v>0</v>
      </c>
      <c r="Q1901">
        <v>0</v>
      </c>
    </row>
    <row r="1902" spans="1:17">
      <c r="A1902" s="19">
        <v>0</v>
      </c>
      <c r="B1902" s="19">
        <v>0</v>
      </c>
      <c r="C1902" s="19">
        <v>0</v>
      </c>
      <c r="D1902" s="19">
        <v>0</v>
      </c>
      <c r="E1902" s="19">
        <v>0</v>
      </c>
      <c r="F1902" s="19">
        <v>0</v>
      </c>
      <c r="G1902" s="19">
        <v>0</v>
      </c>
      <c r="H1902" s="19">
        <v>0</v>
      </c>
      <c r="I1902" s="15">
        <v>3500</v>
      </c>
      <c r="J1902" s="15">
        <v>0</v>
      </c>
      <c r="K1902" s="15">
        <v>0</v>
      </c>
      <c r="L1902" s="15">
        <v>0</v>
      </c>
      <c r="M1902" s="15">
        <v>0</v>
      </c>
      <c r="N1902" s="15" t="str">
        <v/>
      </c>
      <c r="O1902" s="15" t="str">
        <v/>
      </c>
      <c r="P1902" s="22">
        <v>0</v>
      </c>
      <c r="Q1902">
        <v>0</v>
      </c>
    </row>
    <row r="1903" spans="1:17">
      <c r="A1903" s="19">
        <v>0</v>
      </c>
      <c r="B1903" s="19">
        <v>0</v>
      </c>
      <c r="C1903" s="19">
        <v>0</v>
      </c>
      <c r="D1903" s="19">
        <v>0</v>
      </c>
      <c r="E1903" s="19">
        <v>0</v>
      </c>
      <c r="F1903" s="19">
        <v>0</v>
      </c>
      <c r="G1903" s="19">
        <v>0</v>
      </c>
      <c r="H1903" s="19">
        <v>0</v>
      </c>
      <c r="I1903" s="15">
        <v>3500</v>
      </c>
      <c r="J1903" s="15">
        <v>0</v>
      </c>
      <c r="K1903" s="15">
        <v>0</v>
      </c>
      <c r="L1903" s="15">
        <v>0</v>
      </c>
      <c r="M1903" s="15">
        <v>0</v>
      </c>
      <c r="N1903" s="15" t="str">
        <v/>
      </c>
      <c r="O1903" s="15" t="str">
        <v/>
      </c>
      <c r="P1903" s="22">
        <v>0</v>
      </c>
      <c r="Q1903">
        <v>0</v>
      </c>
    </row>
    <row r="1904" spans="1:17">
      <c r="A1904" s="19">
        <v>0</v>
      </c>
      <c r="B1904" s="19">
        <v>0</v>
      </c>
      <c r="C1904" s="19">
        <v>0</v>
      </c>
      <c r="D1904" s="19">
        <v>0</v>
      </c>
      <c r="E1904" s="19">
        <v>0</v>
      </c>
      <c r="F1904" s="19">
        <v>0</v>
      </c>
      <c r="G1904" s="19">
        <v>0</v>
      </c>
      <c r="H1904" s="19">
        <v>0</v>
      </c>
      <c r="I1904" s="15">
        <v>3500</v>
      </c>
      <c r="J1904" s="15">
        <v>0</v>
      </c>
      <c r="K1904" s="15">
        <v>0</v>
      </c>
      <c r="L1904" s="15">
        <v>0</v>
      </c>
      <c r="M1904" s="15">
        <v>0</v>
      </c>
      <c r="N1904" s="15" t="str">
        <v/>
      </c>
      <c r="O1904" s="15" t="str">
        <v/>
      </c>
      <c r="P1904" s="22">
        <v>0</v>
      </c>
      <c r="Q1904">
        <v>0</v>
      </c>
    </row>
    <row r="1905" spans="1:17">
      <c r="A1905" s="19">
        <v>0</v>
      </c>
      <c r="B1905" s="19">
        <v>0</v>
      </c>
      <c r="C1905" s="19">
        <v>0</v>
      </c>
      <c r="D1905" s="19">
        <v>0</v>
      </c>
      <c r="E1905" s="19">
        <v>0</v>
      </c>
      <c r="F1905" s="19">
        <v>0</v>
      </c>
      <c r="G1905" s="19">
        <v>0</v>
      </c>
      <c r="H1905" s="19">
        <v>0</v>
      </c>
      <c r="I1905" s="15">
        <v>3500</v>
      </c>
      <c r="J1905" s="15">
        <v>0</v>
      </c>
      <c r="K1905" s="15">
        <v>0</v>
      </c>
      <c r="L1905" s="15">
        <v>0</v>
      </c>
      <c r="M1905" s="15">
        <v>0</v>
      </c>
      <c r="N1905" s="15" t="str">
        <v/>
      </c>
      <c r="O1905" s="15" t="str">
        <v/>
      </c>
      <c r="P1905" s="22">
        <v>0</v>
      </c>
      <c r="Q1905">
        <v>0</v>
      </c>
    </row>
    <row r="1906" spans="1:17">
      <c r="A1906" s="19">
        <v>0</v>
      </c>
      <c r="B1906" s="19">
        <v>0</v>
      </c>
      <c r="C1906" s="19">
        <v>0</v>
      </c>
      <c r="D1906" s="19">
        <v>0</v>
      </c>
      <c r="E1906" s="19">
        <v>0</v>
      </c>
      <c r="F1906" s="19">
        <v>0</v>
      </c>
      <c r="G1906" s="19">
        <v>0</v>
      </c>
      <c r="H1906" s="19">
        <v>0</v>
      </c>
      <c r="I1906" s="15">
        <v>3500</v>
      </c>
      <c r="J1906" s="15">
        <v>0</v>
      </c>
      <c r="K1906" s="15">
        <v>0</v>
      </c>
      <c r="L1906" s="15">
        <v>0</v>
      </c>
      <c r="M1906" s="15">
        <v>0</v>
      </c>
      <c r="N1906" s="15" t="str">
        <v/>
      </c>
      <c r="O1906" s="15" t="str">
        <v/>
      </c>
      <c r="P1906" s="22">
        <v>0</v>
      </c>
      <c r="Q1906">
        <v>0</v>
      </c>
    </row>
    <row r="1907" spans="1:17">
      <c r="A1907" s="19">
        <v>0</v>
      </c>
      <c r="B1907" s="19">
        <v>0</v>
      </c>
      <c r="C1907" s="19">
        <v>0</v>
      </c>
      <c r="D1907" s="19">
        <v>0</v>
      </c>
      <c r="E1907" s="19">
        <v>0</v>
      </c>
      <c r="F1907" s="19">
        <v>0</v>
      </c>
      <c r="G1907" s="19">
        <v>0</v>
      </c>
      <c r="H1907" s="19">
        <v>0</v>
      </c>
      <c r="I1907" s="15">
        <v>3500</v>
      </c>
      <c r="J1907" s="15">
        <v>0</v>
      </c>
      <c r="K1907" s="15">
        <v>0</v>
      </c>
      <c r="L1907" s="15">
        <v>0</v>
      </c>
      <c r="M1907" s="15">
        <v>0</v>
      </c>
      <c r="N1907" s="15" t="str">
        <v/>
      </c>
      <c r="O1907" s="15" t="str">
        <v/>
      </c>
      <c r="P1907" s="22">
        <v>0</v>
      </c>
      <c r="Q1907">
        <v>0</v>
      </c>
    </row>
    <row r="1908" spans="1:17">
      <c r="A1908" s="19">
        <v>0</v>
      </c>
      <c r="B1908" s="19">
        <v>0</v>
      </c>
      <c r="C1908" s="19">
        <v>0</v>
      </c>
      <c r="D1908" s="19">
        <v>0</v>
      </c>
      <c r="E1908" s="19">
        <v>0</v>
      </c>
      <c r="F1908" s="19">
        <v>0</v>
      </c>
      <c r="G1908" s="19">
        <v>0</v>
      </c>
      <c r="H1908" s="19">
        <v>0</v>
      </c>
      <c r="I1908" s="15">
        <v>3500</v>
      </c>
      <c r="J1908" s="15">
        <v>0</v>
      </c>
      <c r="K1908" s="15">
        <v>0</v>
      </c>
      <c r="L1908" s="15">
        <v>0</v>
      </c>
      <c r="M1908" s="15">
        <v>0</v>
      </c>
      <c r="N1908" s="15" t="str">
        <v/>
      </c>
      <c r="O1908" s="15" t="str">
        <v/>
      </c>
      <c r="P1908" s="22">
        <v>0</v>
      </c>
      <c r="Q1908">
        <v>0</v>
      </c>
    </row>
    <row r="1909" spans="1:17">
      <c r="A1909" s="19">
        <v>0</v>
      </c>
      <c r="B1909" s="19">
        <v>0</v>
      </c>
      <c r="C1909" s="19">
        <v>0</v>
      </c>
      <c r="D1909" s="19">
        <v>0</v>
      </c>
      <c r="E1909" s="19">
        <v>0</v>
      </c>
      <c r="F1909" s="19">
        <v>0</v>
      </c>
      <c r="G1909" s="19">
        <v>0</v>
      </c>
      <c r="H1909" s="19">
        <v>0</v>
      </c>
      <c r="I1909" s="15">
        <v>3500</v>
      </c>
      <c r="J1909" s="15">
        <v>0</v>
      </c>
      <c r="K1909" s="15">
        <v>0</v>
      </c>
      <c r="L1909" s="15">
        <v>0</v>
      </c>
      <c r="M1909" s="15">
        <v>0</v>
      </c>
      <c r="N1909" s="15" t="str">
        <v/>
      </c>
      <c r="O1909" s="15" t="str">
        <v/>
      </c>
      <c r="P1909" s="22">
        <v>0</v>
      </c>
      <c r="Q1909">
        <v>0</v>
      </c>
    </row>
    <row r="1910" spans="1:17">
      <c r="A1910" s="19">
        <v>0</v>
      </c>
      <c r="B1910" s="19">
        <v>0</v>
      </c>
      <c r="C1910" s="19">
        <v>0</v>
      </c>
      <c r="D1910" s="19">
        <v>0</v>
      </c>
      <c r="E1910" s="19">
        <v>0</v>
      </c>
      <c r="F1910" s="19">
        <v>0</v>
      </c>
      <c r="G1910" s="19">
        <v>0</v>
      </c>
      <c r="H1910" s="19">
        <v>0</v>
      </c>
      <c r="I1910" s="15">
        <v>3500</v>
      </c>
      <c r="J1910" s="15">
        <v>0</v>
      </c>
      <c r="K1910" s="15">
        <v>0</v>
      </c>
      <c r="L1910" s="15">
        <v>0</v>
      </c>
      <c r="M1910" s="15">
        <v>0</v>
      </c>
      <c r="N1910" s="15" t="str">
        <v/>
      </c>
      <c r="O1910" s="15" t="str">
        <v/>
      </c>
      <c r="P1910" s="22">
        <v>0</v>
      </c>
      <c r="Q1910">
        <v>0</v>
      </c>
    </row>
    <row r="1911" spans="1:17">
      <c r="A1911" s="19">
        <v>0</v>
      </c>
      <c r="B1911" s="19">
        <v>0</v>
      </c>
      <c r="C1911" s="19">
        <v>0</v>
      </c>
      <c r="D1911" s="19">
        <v>0</v>
      </c>
      <c r="E1911" s="19">
        <v>0</v>
      </c>
      <c r="F1911" s="19">
        <v>0</v>
      </c>
      <c r="G1911" s="19">
        <v>0</v>
      </c>
      <c r="H1911" s="19">
        <v>0</v>
      </c>
      <c r="I1911" s="15">
        <v>3500</v>
      </c>
      <c r="J1911" s="15">
        <v>0</v>
      </c>
      <c r="K1911" s="15">
        <v>0</v>
      </c>
      <c r="L1911" s="15">
        <v>0</v>
      </c>
      <c r="M1911" s="15">
        <v>0</v>
      </c>
      <c r="N1911" s="15" t="str">
        <v/>
      </c>
      <c r="O1911" s="15" t="str">
        <v/>
      </c>
      <c r="P1911" s="22">
        <v>0</v>
      </c>
      <c r="Q1911">
        <v>0</v>
      </c>
    </row>
    <row r="1912" spans="1:17">
      <c r="A1912" s="19">
        <v>0</v>
      </c>
      <c r="B1912" s="19">
        <v>0</v>
      </c>
      <c r="C1912" s="19">
        <v>0</v>
      </c>
      <c r="D1912" s="19">
        <v>0</v>
      </c>
      <c r="E1912" s="19">
        <v>0</v>
      </c>
      <c r="F1912" s="19">
        <v>0</v>
      </c>
      <c r="G1912" s="19">
        <v>0</v>
      </c>
      <c r="H1912" s="19">
        <v>0</v>
      </c>
      <c r="I1912" s="15">
        <v>3500</v>
      </c>
      <c r="J1912" s="15">
        <v>0</v>
      </c>
      <c r="K1912" s="15">
        <v>0</v>
      </c>
      <c r="L1912" s="15">
        <v>0</v>
      </c>
      <c r="M1912" s="15">
        <v>0</v>
      </c>
      <c r="N1912" s="15" t="str">
        <v/>
      </c>
      <c r="O1912" s="15" t="str">
        <v/>
      </c>
      <c r="P1912" s="22">
        <v>0</v>
      </c>
      <c r="Q1912">
        <v>0</v>
      </c>
    </row>
    <row r="1913" spans="1:17">
      <c r="A1913" s="19">
        <v>0</v>
      </c>
      <c r="B1913" s="19">
        <v>0</v>
      </c>
      <c r="C1913" s="19">
        <v>0</v>
      </c>
      <c r="D1913" s="19">
        <v>0</v>
      </c>
      <c r="E1913" s="19">
        <v>0</v>
      </c>
      <c r="F1913" s="19">
        <v>0</v>
      </c>
      <c r="G1913" s="19">
        <v>0</v>
      </c>
      <c r="H1913" s="19">
        <v>0</v>
      </c>
      <c r="I1913" s="15">
        <v>3500</v>
      </c>
      <c r="J1913" s="15">
        <v>0</v>
      </c>
      <c r="K1913" s="15">
        <v>0</v>
      </c>
      <c r="L1913" s="15">
        <v>0</v>
      </c>
      <c r="M1913" s="15">
        <v>0</v>
      </c>
      <c r="N1913" s="15" t="str">
        <v/>
      </c>
      <c r="O1913" s="15" t="str">
        <v/>
      </c>
      <c r="P1913" s="22">
        <v>0</v>
      </c>
      <c r="Q1913">
        <v>0</v>
      </c>
    </row>
    <row r="1914" spans="1:17">
      <c r="A1914" s="19">
        <v>0</v>
      </c>
      <c r="B1914" s="19">
        <v>0</v>
      </c>
      <c r="C1914" s="19">
        <v>0</v>
      </c>
      <c r="D1914" s="19">
        <v>0</v>
      </c>
      <c r="E1914" s="19">
        <v>0</v>
      </c>
      <c r="F1914" s="19">
        <v>0</v>
      </c>
      <c r="G1914" s="19">
        <v>0</v>
      </c>
      <c r="H1914" s="19">
        <v>0</v>
      </c>
      <c r="I1914" s="15">
        <v>3500</v>
      </c>
      <c r="J1914" s="15">
        <v>0</v>
      </c>
      <c r="K1914" s="15">
        <v>0</v>
      </c>
      <c r="L1914" s="15">
        <v>0</v>
      </c>
      <c r="M1914" s="15">
        <v>0</v>
      </c>
      <c r="N1914" s="15" t="str">
        <v/>
      </c>
      <c r="O1914" s="15" t="str">
        <v/>
      </c>
      <c r="P1914" s="22">
        <v>0</v>
      </c>
      <c r="Q1914">
        <v>0</v>
      </c>
    </row>
    <row r="1915" spans="1:17">
      <c r="A1915" s="19">
        <v>0</v>
      </c>
      <c r="B1915" s="19">
        <v>0</v>
      </c>
      <c r="C1915" s="19">
        <v>0</v>
      </c>
      <c r="D1915" s="19">
        <v>0</v>
      </c>
      <c r="E1915" s="19">
        <v>0</v>
      </c>
      <c r="F1915" s="19">
        <v>0</v>
      </c>
      <c r="G1915" s="19">
        <v>0</v>
      </c>
      <c r="H1915" s="19">
        <v>0</v>
      </c>
      <c r="I1915" s="15">
        <v>3500</v>
      </c>
      <c r="J1915" s="15">
        <v>0</v>
      </c>
      <c r="K1915" s="15">
        <v>0</v>
      </c>
      <c r="L1915" s="15">
        <v>0</v>
      </c>
      <c r="M1915" s="15">
        <v>0</v>
      </c>
      <c r="N1915" s="15" t="str">
        <v/>
      </c>
      <c r="O1915" s="15" t="str">
        <v/>
      </c>
      <c r="P1915" s="22">
        <v>0</v>
      </c>
      <c r="Q1915">
        <v>0</v>
      </c>
    </row>
    <row r="1916" spans="1:17">
      <c r="A1916" s="19">
        <v>0</v>
      </c>
      <c r="B1916" s="19">
        <v>0</v>
      </c>
      <c r="C1916" s="19">
        <v>0</v>
      </c>
      <c r="D1916" s="19">
        <v>0</v>
      </c>
      <c r="E1916" s="19">
        <v>0</v>
      </c>
      <c r="F1916" s="19">
        <v>0</v>
      </c>
      <c r="G1916" s="19">
        <v>0</v>
      </c>
      <c r="H1916" s="19">
        <v>0</v>
      </c>
      <c r="I1916" s="15">
        <v>3500</v>
      </c>
      <c r="J1916" s="15">
        <v>0</v>
      </c>
      <c r="K1916" s="15">
        <v>0</v>
      </c>
      <c r="L1916" s="15">
        <v>0</v>
      </c>
      <c r="M1916" s="15">
        <v>0</v>
      </c>
      <c r="N1916" s="15" t="str">
        <v/>
      </c>
      <c r="O1916" s="15" t="str">
        <v/>
      </c>
      <c r="P1916" s="22">
        <v>0</v>
      </c>
      <c r="Q1916">
        <v>0</v>
      </c>
    </row>
    <row r="1917" spans="1:17">
      <c r="A1917" s="19">
        <v>0</v>
      </c>
      <c r="B1917" s="19">
        <v>0</v>
      </c>
      <c r="C1917" s="19">
        <v>0</v>
      </c>
      <c r="D1917" s="19">
        <v>0</v>
      </c>
      <c r="E1917" s="19">
        <v>0</v>
      </c>
      <c r="F1917" s="19">
        <v>0</v>
      </c>
      <c r="G1917" s="19">
        <v>0</v>
      </c>
      <c r="H1917" s="19">
        <v>0</v>
      </c>
      <c r="I1917" s="15">
        <v>3500</v>
      </c>
      <c r="J1917" s="15">
        <v>0</v>
      </c>
      <c r="K1917" s="15">
        <v>0</v>
      </c>
      <c r="L1917" s="15">
        <v>0</v>
      </c>
      <c r="M1917" s="15">
        <v>0</v>
      </c>
      <c r="N1917" s="15" t="str">
        <v/>
      </c>
      <c r="O1917" s="15" t="str">
        <v/>
      </c>
      <c r="P1917" s="22">
        <v>0</v>
      </c>
      <c r="Q1917">
        <v>0</v>
      </c>
    </row>
    <row r="1918" spans="1:17">
      <c r="A1918" s="19">
        <v>0</v>
      </c>
      <c r="B1918" s="19">
        <v>0</v>
      </c>
      <c r="C1918" s="19">
        <v>0</v>
      </c>
      <c r="D1918" s="19">
        <v>0</v>
      </c>
      <c r="E1918" s="19">
        <v>0</v>
      </c>
      <c r="F1918" s="19">
        <v>0</v>
      </c>
      <c r="G1918" s="19">
        <v>0</v>
      </c>
      <c r="H1918" s="19">
        <v>0</v>
      </c>
      <c r="I1918" s="15">
        <v>3500</v>
      </c>
      <c r="J1918" s="15">
        <v>0</v>
      </c>
      <c r="K1918" s="15">
        <v>0</v>
      </c>
      <c r="L1918" s="15">
        <v>0</v>
      </c>
      <c r="M1918" s="15">
        <v>0</v>
      </c>
      <c r="N1918" s="15" t="str">
        <v/>
      </c>
      <c r="O1918" s="15" t="str">
        <v/>
      </c>
      <c r="P1918" s="22">
        <v>0</v>
      </c>
      <c r="Q1918">
        <v>0</v>
      </c>
    </row>
    <row r="1919" spans="1:17">
      <c r="A1919" s="19">
        <v>0</v>
      </c>
      <c r="B1919" s="19">
        <v>0</v>
      </c>
      <c r="C1919" s="19">
        <v>0</v>
      </c>
      <c r="D1919" s="19">
        <v>0</v>
      </c>
      <c r="E1919" s="19">
        <v>0</v>
      </c>
      <c r="F1919" s="19">
        <v>0</v>
      </c>
      <c r="G1919" s="19">
        <v>0</v>
      </c>
      <c r="H1919" s="19">
        <v>0</v>
      </c>
      <c r="I1919" s="15">
        <v>3500</v>
      </c>
      <c r="J1919" s="15">
        <v>0</v>
      </c>
      <c r="K1919" s="15">
        <v>0</v>
      </c>
      <c r="L1919" s="15">
        <v>0</v>
      </c>
      <c r="M1919" s="15">
        <v>0</v>
      </c>
      <c r="N1919" s="15" t="str">
        <v/>
      </c>
      <c r="O1919" s="15" t="str">
        <v/>
      </c>
      <c r="P1919" s="22">
        <v>0</v>
      </c>
      <c r="Q1919">
        <v>0</v>
      </c>
    </row>
    <row r="1920" spans="1:17">
      <c r="A1920" s="19">
        <v>0</v>
      </c>
      <c r="B1920" s="19">
        <v>0</v>
      </c>
      <c r="C1920" s="19">
        <v>0</v>
      </c>
      <c r="D1920" s="19">
        <v>0</v>
      </c>
      <c r="E1920" s="19">
        <v>0</v>
      </c>
      <c r="F1920" s="19">
        <v>0</v>
      </c>
      <c r="G1920" s="19">
        <v>0</v>
      </c>
      <c r="H1920" s="19">
        <v>0</v>
      </c>
      <c r="I1920" s="15">
        <v>3500</v>
      </c>
      <c r="J1920" s="15">
        <v>0</v>
      </c>
      <c r="K1920" s="15">
        <v>0</v>
      </c>
      <c r="L1920" s="15">
        <v>0</v>
      </c>
      <c r="M1920" s="15">
        <v>0</v>
      </c>
      <c r="N1920" s="15" t="str">
        <v/>
      </c>
      <c r="O1920" s="15" t="str">
        <v/>
      </c>
      <c r="P1920" s="22">
        <v>0</v>
      </c>
      <c r="Q1920">
        <v>0</v>
      </c>
    </row>
    <row r="1921" spans="1:17">
      <c r="A1921" s="19">
        <v>0</v>
      </c>
      <c r="B1921" s="19">
        <v>0</v>
      </c>
      <c r="C1921" s="19">
        <v>0</v>
      </c>
      <c r="D1921" s="19">
        <v>0</v>
      </c>
      <c r="E1921" s="19">
        <v>0</v>
      </c>
      <c r="F1921" s="19">
        <v>0</v>
      </c>
      <c r="G1921" s="19">
        <v>0</v>
      </c>
      <c r="H1921" s="19">
        <v>0</v>
      </c>
      <c r="I1921" s="15">
        <v>3500</v>
      </c>
      <c r="J1921" s="15">
        <v>0</v>
      </c>
      <c r="K1921" s="15">
        <v>0</v>
      </c>
      <c r="L1921" s="15">
        <v>0</v>
      </c>
      <c r="M1921" s="15">
        <v>0</v>
      </c>
      <c r="N1921" s="15" t="str">
        <v/>
      </c>
      <c r="O1921" s="15" t="str">
        <v/>
      </c>
      <c r="P1921" s="22">
        <v>0</v>
      </c>
      <c r="Q1921">
        <v>0</v>
      </c>
    </row>
    <row r="1922" spans="1:17">
      <c r="A1922" s="19">
        <v>0</v>
      </c>
      <c r="B1922" s="19">
        <v>0</v>
      </c>
      <c r="C1922" s="19">
        <v>0</v>
      </c>
      <c r="D1922" s="19">
        <v>0</v>
      </c>
      <c r="E1922" s="19">
        <v>0</v>
      </c>
      <c r="F1922" s="19">
        <v>0</v>
      </c>
      <c r="G1922" s="19">
        <v>0</v>
      </c>
      <c r="H1922" s="19">
        <v>0</v>
      </c>
      <c r="I1922" s="15">
        <v>3500</v>
      </c>
      <c r="J1922" s="15">
        <v>0</v>
      </c>
      <c r="K1922" s="15">
        <v>0</v>
      </c>
      <c r="L1922" s="15">
        <v>0</v>
      </c>
      <c r="M1922" s="15">
        <v>0</v>
      </c>
      <c r="N1922" s="15" t="str">
        <v/>
      </c>
      <c r="O1922" s="15" t="str">
        <v/>
      </c>
      <c r="P1922" s="22">
        <v>0</v>
      </c>
      <c r="Q1922">
        <v>0</v>
      </c>
    </row>
    <row r="1923" spans="1:17">
      <c r="A1923" s="19">
        <v>0</v>
      </c>
      <c r="B1923" s="19">
        <v>0</v>
      </c>
      <c r="C1923" s="19">
        <v>0</v>
      </c>
      <c r="D1923" s="19">
        <v>0</v>
      </c>
      <c r="E1923" s="19">
        <v>0</v>
      </c>
      <c r="F1923" s="19">
        <v>0</v>
      </c>
      <c r="G1923" s="19">
        <v>0</v>
      </c>
      <c r="H1923" s="19">
        <v>0</v>
      </c>
      <c r="I1923" s="15">
        <v>3500</v>
      </c>
      <c r="J1923" s="15">
        <v>0</v>
      </c>
      <c r="K1923" s="15">
        <v>0</v>
      </c>
      <c r="L1923" s="15">
        <v>0</v>
      </c>
      <c r="M1923" s="15">
        <v>0</v>
      </c>
      <c r="N1923" s="15" t="str">
        <v/>
      </c>
      <c r="O1923" s="15" t="str">
        <v/>
      </c>
      <c r="P1923" s="22">
        <v>0</v>
      </c>
      <c r="Q1923">
        <v>0</v>
      </c>
    </row>
    <row r="1924" spans="1:17">
      <c r="A1924" s="19">
        <v>0</v>
      </c>
      <c r="B1924" s="19">
        <v>0</v>
      </c>
      <c r="C1924" s="19">
        <v>0</v>
      </c>
      <c r="D1924" s="19">
        <v>0</v>
      </c>
      <c r="E1924" s="19">
        <v>0</v>
      </c>
      <c r="F1924" s="19">
        <v>0</v>
      </c>
      <c r="G1924" s="19">
        <v>0</v>
      </c>
      <c r="H1924" s="19">
        <v>0</v>
      </c>
      <c r="I1924" s="15">
        <v>3500</v>
      </c>
      <c r="J1924" s="15">
        <v>0</v>
      </c>
      <c r="K1924" s="15">
        <v>0</v>
      </c>
      <c r="L1924" s="15">
        <v>0</v>
      </c>
      <c r="M1924" s="15">
        <v>0</v>
      </c>
      <c r="N1924" s="15" t="str">
        <v/>
      </c>
      <c r="O1924" s="15" t="str">
        <v/>
      </c>
      <c r="P1924" s="22">
        <v>0</v>
      </c>
      <c r="Q1924">
        <v>0</v>
      </c>
    </row>
    <row r="1925" spans="1:17">
      <c r="A1925" s="19">
        <v>0</v>
      </c>
      <c r="B1925" s="19">
        <v>0</v>
      </c>
      <c r="C1925" s="19">
        <v>0</v>
      </c>
      <c r="D1925" s="19">
        <v>0</v>
      </c>
      <c r="E1925" s="19">
        <v>0</v>
      </c>
      <c r="F1925" s="19">
        <v>0</v>
      </c>
      <c r="G1925" s="19">
        <v>0</v>
      </c>
      <c r="H1925" s="19">
        <v>0</v>
      </c>
      <c r="I1925" s="15">
        <v>3500</v>
      </c>
      <c r="J1925" s="15">
        <v>0</v>
      </c>
      <c r="K1925" s="15">
        <v>0</v>
      </c>
      <c r="L1925" s="15">
        <v>0</v>
      </c>
      <c r="M1925" s="15">
        <v>0</v>
      </c>
      <c r="N1925" s="15" t="str">
        <v/>
      </c>
      <c r="O1925" s="15" t="str">
        <v/>
      </c>
      <c r="P1925" s="22">
        <v>0</v>
      </c>
      <c r="Q1925">
        <v>0</v>
      </c>
    </row>
    <row r="1926" spans="1:17">
      <c r="A1926" s="19">
        <v>0</v>
      </c>
      <c r="B1926" s="19">
        <v>0</v>
      </c>
      <c r="C1926" s="19">
        <v>0</v>
      </c>
      <c r="D1926" s="19">
        <v>0</v>
      </c>
      <c r="E1926" s="19">
        <v>0</v>
      </c>
      <c r="F1926" s="19">
        <v>0</v>
      </c>
      <c r="G1926" s="19">
        <v>0</v>
      </c>
      <c r="H1926" s="19">
        <v>0</v>
      </c>
      <c r="I1926" s="15">
        <v>3500</v>
      </c>
      <c r="J1926" s="15">
        <v>0</v>
      </c>
      <c r="K1926" s="15">
        <v>0</v>
      </c>
      <c r="L1926" s="15">
        <v>0</v>
      </c>
      <c r="M1926" s="15">
        <v>0</v>
      </c>
      <c r="N1926" s="15" t="str">
        <v/>
      </c>
      <c r="O1926" s="15" t="str">
        <v/>
      </c>
      <c r="P1926" s="22">
        <v>0</v>
      </c>
      <c r="Q1926">
        <v>0</v>
      </c>
    </row>
    <row r="1927" spans="1:17">
      <c r="A1927" s="19">
        <v>0</v>
      </c>
      <c r="B1927" s="19">
        <v>0</v>
      </c>
      <c r="C1927" s="19">
        <v>0</v>
      </c>
      <c r="D1927" s="19">
        <v>0</v>
      </c>
      <c r="E1927" s="19">
        <v>0</v>
      </c>
      <c r="F1927" s="19">
        <v>0</v>
      </c>
      <c r="G1927" s="19">
        <v>0</v>
      </c>
      <c r="H1927" s="19">
        <v>0</v>
      </c>
      <c r="I1927" s="15">
        <v>3500</v>
      </c>
      <c r="J1927" s="15">
        <v>0</v>
      </c>
      <c r="K1927" s="15">
        <v>0</v>
      </c>
      <c r="L1927" s="15">
        <v>0</v>
      </c>
      <c r="M1927" s="15">
        <v>0</v>
      </c>
      <c r="N1927" s="15" t="str">
        <v/>
      </c>
      <c r="O1927" s="15" t="str">
        <v/>
      </c>
      <c r="P1927" s="22">
        <v>0</v>
      </c>
      <c r="Q1927">
        <v>0</v>
      </c>
    </row>
    <row r="1928" spans="1:17">
      <c r="A1928" s="19">
        <v>0</v>
      </c>
      <c r="B1928" s="19">
        <v>0</v>
      </c>
      <c r="C1928" s="19">
        <v>0</v>
      </c>
      <c r="D1928" s="19">
        <v>0</v>
      </c>
      <c r="E1928" s="19">
        <v>0</v>
      </c>
      <c r="F1928" s="19">
        <v>0</v>
      </c>
      <c r="G1928" s="19">
        <v>0</v>
      </c>
      <c r="H1928" s="19">
        <v>0</v>
      </c>
      <c r="I1928" s="15">
        <v>3500</v>
      </c>
      <c r="J1928" s="15">
        <v>0</v>
      </c>
      <c r="K1928" s="15">
        <v>0</v>
      </c>
      <c r="L1928" s="15">
        <v>0</v>
      </c>
      <c r="M1928" s="15">
        <v>0</v>
      </c>
      <c r="N1928" s="15" t="str">
        <v/>
      </c>
      <c r="O1928" s="15" t="str">
        <v/>
      </c>
      <c r="P1928" s="22">
        <v>0</v>
      </c>
      <c r="Q1928">
        <v>0</v>
      </c>
    </row>
    <row r="1929" spans="1:17">
      <c r="A1929" s="19">
        <v>0</v>
      </c>
      <c r="B1929" s="19">
        <v>0</v>
      </c>
      <c r="C1929" s="19">
        <v>0</v>
      </c>
      <c r="D1929" s="19">
        <v>0</v>
      </c>
      <c r="E1929" s="19">
        <v>0</v>
      </c>
      <c r="F1929" s="19">
        <v>0</v>
      </c>
      <c r="G1929" s="19">
        <v>0</v>
      </c>
      <c r="H1929" s="19">
        <v>0</v>
      </c>
      <c r="I1929" s="15">
        <v>3500</v>
      </c>
      <c r="J1929" s="15">
        <v>0</v>
      </c>
      <c r="K1929" s="15">
        <v>0</v>
      </c>
      <c r="L1929" s="15">
        <v>0</v>
      </c>
      <c r="M1929" s="15">
        <v>0</v>
      </c>
      <c r="N1929" s="15" t="str">
        <v/>
      </c>
      <c r="O1929" s="15" t="str">
        <v/>
      </c>
      <c r="P1929" s="22">
        <v>0</v>
      </c>
      <c r="Q1929">
        <v>0</v>
      </c>
    </row>
    <row r="1930" spans="1:17">
      <c r="A1930" s="19">
        <v>0</v>
      </c>
      <c r="B1930" s="19">
        <v>0</v>
      </c>
      <c r="C1930" s="19">
        <v>0</v>
      </c>
      <c r="D1930" s="19">
        <v>0</v>
      </c>
      <c r="E1930" s="19">
        <v>0</v>
      </c>
      <c r="F1930" s="19">
        <v>0</v>
      </c>
      <c r="G1930" s="19">
        <v>0</v>
      </c>
      <c r="H1930" s="19">
        <v>0</v>
      </c>
      <c r="I1930" s="15">
        <v>3500</v>
      </c>
      <c r="J1930" s="15">
        <v>0</v>
      </c>
      <c r="K1930" s="15">
        <v>0</v>
      </c>
      <c r="L1930" s="15">
        <v>0</v>
      </c>
      <c r="M1930" s="15">
        <v>0</v>
      </c>
      <c r="N1930" s="15" t="str">
        <v/>
      </c>
      <c r="O1930" s="15" t="str">
        <v/>
      </c>
      <c r="P1930" s="22">
        <v>0</v>
      </c>
      <c r="Q1930">
        <v>0</v>
      </c>
    </row>
    <row r="1931" spans="1:17">
      <c r="A1931" s="19">
        <v>0</v>
      </c>
      <c r="B1931" s="19">
        <v>0</v>
      </c>
      <c r="C1931" s="19">
        <v>0</v>
      </c>
      <c r="D1931" s="19">
        <v>0</v>
      </c>
      <c r="E1931" s="19">
        <v>0</v>
      </c>
      <c r="F1931" s="19">
        <v>0</v>
      </c>
      <c r="G1931" s="19">
        <v>0</v>
      </c>
      <c r="H1931" s="19">
        <v>0</v>
      </c>
      <c r="I1931" s="15">
        <v>3500</v>
      </c>
      <c r="J1931" s="15">
        <v>0</v>
      </c>
      <c r="K1931" s="15">
        <v>0</v>
      </c>
      <c r="L1931" s="15">
        <v>0</v>
      </c>
      <c r="M1931" s="15">
        <v>0</v>
      </c>
      <c r="N1931" s="15" t="str">
        <v/>
      </c>
      <c r="O1931" s="15" t="str">
        <v/>
      </c>
      <c r="P1931" s="22">
        <v>0</v>
      </c>
      <c r="Q1931">
        <v>0</v>
      </c>
    </row>
    <row r="1932" spans="1:17">
      <c r="A1932" s="19">
        <v>0</v>
      </c>
      <c r="B1932" s="19">
        <v>0</v>
      </c>
      <c r="C1932" s="19">
        <v>0</v>
      </c>
      <c r="D1932" s="19">
        <v>0</v>
      </c>
      <c r="E1932" s="19">
        <v>0</v>
      </c>
      <c r="F1932" s="19">
        <v>0</v>
      </c>
      <c r="G1932" s="19">
        <v>0</v>
      </c>
      <c r="H1932" s="19">
        <v>0</v>
      </c>
      <c r="I1932" s="15">
        <v>3500</v>
      </c>
      <c r="J1932" s="15">
        <v>0</v>
      </c>
      <c r="K1932" s="15">
        <v>0</v>
      </c>
      <c r="L1932" s="15">
        <v>0</v>
      </c>
      <c r="M1932" s="15">
        <v>0</v>
      </c>
      <c r="N1932" s="15" t="str">
        <v/>
      </c>
      <c r="O1932" s="15" t="str">
        <v/>
      </c>
      <c r="P1932" s="22">
        <v>0</v>
      </c>
      <c r="Q1932">
        <v>0</v>
      </c>
    </row>
    <row r="1933" spans="1:17">
      <c r="A1933" s="19">
        <v>0</v>
      </c>
      <c r="B1933" s="19">
        <v>0</v>
      </c>
      <c r="C1933" s="19">
        <v>0</v>
      </c>
      <c r="D1933" s="19">
        <v>0</v>
      </c>
      <c r="E1933" s="19">
        <v>0</v>
      </c>
      <c r="F1933" s="19">
        <v>0</v>
      </c>
      <c r="G1933" s="19">
        <v>0</v>
      </c>
      <c r="H1933" s="19">
        <v>0</v>
      </c>
      <c r="I1933" s="15">
        <v>3500</v>
      </c>
      <c r="J1933" s="15">
        <v>0</v>
      </c>
      <c r="K1933" s="15">
        <v>0</v>
      </c>
      <c r="L1933" s="15">
        <v>0</v>
      </c>
      <c r="M1933" s="15">
        <v>0</v>
      </c>
      <c r="N1933" s="15" t="str">
        <v/>
      </c>
      <c r="O1933" s="15" t="str">
        <v/>
      </c>
      <c r="P1933" s="22">
        <v>0</v>
      </c>
      <c r="Q1933">
        <v>0</v>
      </c>
    </row>
    <row r="1934" spans="1:17">
      <c r="A1934" s="19">
        <v>0</v>
      </c>
      <c r="B1934" s="19">
        <v>0</v>
      </c>
      <c r="C1934" s="19">
        <v>0</v>
      </c>
      <c r="D1934" s="19">
        <v>0</v>
      </c>
      <c r="E1934" s="19">
        <v>0</v>
      </c>
      <c r="F1934" s="19">
        <v>0</v>
      </c>
      <c r="G1934" s="19">
        <v>0</v>
      </c>
      <c r="H1934" s="19">
        <v>0</v>
      </c>
      <c r="I1934" s="15">
        <v>3500</v>
      </c>
      <c r="J1934" s="15">
        <v>0</v>
      </c>
      <c r="K1934" s="15">
        <v>0</v>
      </c>
      <c r="L1934" s="15">
        <v>0</v>
      </c>
      <c r="M1934" s="15">
        <v>0</v>
      </c>
      <c r="N1934" s="15" t="str">
        <v/>
      </c>
      <c r="O1934" s="15" t="str">
        <v/>
      </c>
      <c r="P1934" s="22">
        <v>0</v>
      </c>
      <c r="Q1934">
        <v>0</v>
      </c>
    </row>
    <row r="1935" spans="1:17">
      <c r="A1935" s="19">
        <v>0</v>
      </c>
      <c r="B1935" s="19">
        <v>0</v>
      </c>
      <c r="C1935" s="19">
        <v>0</v>
      </c>
      <c r="D1935" s="19">
        <v>0</v>
      </c>
      <c r="E1935" s="19">
        <v>0</v>
      </c>
      <c r="F1935" s="19">
        <v>0</v>
      </c>
      <c r="G1935" s="19">
        <v>0</v>
      </c>
      <c r="H1935" s="19">
        <v>0</v>
      </c>
      <c r="I1935" s="15">
        <v>3500</v>
      </c>
      <c r="J1935" s="15">
        <v>0</v>
      </c>
      <c r="K1935" s="15">
        <v>0</v>
      </c>
      <c r="L1935" s="15">
        <v>0</v>
      </c>
      <c r="M1935" s="15">
        <v>0</v>
      </c>
      <c r="N1935" s="15" t="str">
        <v/>
      </c>
      <c r="O1935" s="15" t="str">
        <v/>
      </c>
      <c r="P1935" s="22">
        <v>0</v>
      </c>
      <c r="Q1935">
        <v>0</v>
      </c>
    </row>
    <row r="1936" spans="1:17">
      <c r="A1936" s="19">
        <v>0</v>
      </c>
      <c r="B1936" s="19">
        <v>0</v>
      </c>
      <c r="C1936" s="19">
        <v>0</v>
      </c>
      <c r="D1936" s="19">
        <v>0</v>
      </c>
      <c r="E1936" s="19">
        <v>0</v>
      </c>
      <c r="F1936" s="19">
        <v>0</v>
      </c>
      <c r="G1936" s="19">
        <v>0</v>
      </c>
      <c r="H1936" s="19">
        <v>0</v>
      </c>
      <c r="I1936" s="15">
        <v>3500</v>
      </c>
      <c r="J1936" s="15">
        <v>0</v>
      </c>
      <c r="K1936" s="15">
        <v>0</v>
      </c>
      <c r="L1936" s="15">
        <v>0</v>
      </c>
      <c r="M1936" s="15">
        <v>0</v>
      </c>
      <c r="N1936" s="15" t="str">
        <v/>
      </c>
      <c r="O1936" s="15" t="str">
        <v/>
      </c>
      <c r="P1936" s="22">
        <v>0</v>
      </c>
      <c r="Q1936">
        <v>0</v>
      </c>
    </row>
    <row r="1937" spans="1:17">
      <c r="A1937" s="19">
        <v>0</v>
      </c>
      <c r="B1937" s="19">
        <v>0</v>
      </c>
      <c r="C1937" s="19">
        <v>0</v>
      </c>
      <c r="D1937" s="19">
        <v>0</v>
      </c>
      <c r="E1937" s="19">
        <v>0</v>
      </c>
      <c r="F1937" s="19">
        <v>0</v>
      </c>
      <c r="G1937" s="19">
        <v>0</v>
      </c>
      <c r="H1937" s="19">
        <v>0</v>
      </c>
      <c r="I1937" s="15">
        <v>3500</v>
      </c>
      <c r="J1937" s="15">
        <v>0</v>
      </c>
      <c r="K1937" s="15">
        <v>0</v>
      </c>
      <c r="L1937" s="15">
        <v>0</v>
      </c>
      <c r="M1937" s="15">
        <v>0</v>
      </c>
      <c r="N1937" s="15" t="str">
        <v/>
      </c>
      <c r="O1937" s="15" t="str">
        <v/>
      </c>
      <c r="P1937" s="22">
        <v>0</v>
      </c>
      <c r="Q1937">
        <v>0</v>
      </c>
    </row>
    <row r="1938" spans="1:17">
      <c r="A1938" s="19">
        <v>0</v>
      </c>
      <c r="B1938" s="19">
        <v>0</v>
      </c>
      <c r="C1938" s="19">
        <v>0</v>
      </c>
      <c r="D1938" s="19">
        <v>0</v>
      </c>
      <c r="E1938" s="19">
        <v>0</v>
      </c>
      <c r="F1938" s="19">
        <v>0</v>
      </c>
      <c r="G1938" s="19">
        <v>0</v>
      </c>
      <c r="H1938" s="19">
        <v>0</v>
      </c>
      <c r="I1938" s="15">
        <v>3500</v>
      </c>
      <c r="J1938" s="15">
        <v>0</v>
      </c>
      <c r="K1938" s="15">
        <v>0</v>
      </c>
      <c r="L1938" s="15">
        <v>0</v>
      </c>
      <c r="M1938" s="15">
        <v>0</v>
      </c>
      <c r="N1938" s="15" t="str">
        <v/>
      </c>
      <c r="O1938" s="15" t="str">
        <v/>
      </c>
      <c r="P1938" s="22">
        <v>0</v>
      </c>
      <c r="Q1938">
        <v>0</v>
      </c>
    </row>
    <row r="1939" spans="1:17">
      <c r="A1939" s="19">
        <v>0</v>
      </c>
      <c r="B1939" s="19">
        <v>0</v>
      </c>
      <c r="C1939" s="19">
        <v>0</v>
      </c>
      <c r="D1939" s="19">
        <v>0</v>
      </c>
      <c r="E1939" s="19">
        <v>0</v>
      </c>
      <c r="F1939" s="19">
        <v>0</v>
      </c>
      <c r="G1939" s="19">
        <v>0</v>
      </c>
      <c r="H1939" s="19">
        <v>0</v>
      </c>
      <c r="I1939" s="15">
        <v>3500</v>
      </c>
      <c r="J1939" s="15">
        <v>0</v>
      </c>
      <c r="K1939" s="15">
        <v>0</v>
      </c>
      <c r="L1939" s="15">
        <v>0</v>
      </c>
      <c r="M1939" s="15">
        <v>0</v>
      </c>
      <c r="N1939" s="15" t="str">
        <v/>
      </c>
      <c r="O1939" s="15" t="str">
        <v/>
      </c>
      <c r="P1939" s="22">
        <v>0</v>
      </c>
      <c r="Q1939">
        <v>0</v>
      </c>
    </row>
    <row r="1940" spans="1:17">
      <c r="A1940" s="19">
        <v>0</v>
      </c>
      <c r="B1940" s="19">
        <v>0</v>
      </c>
      <c r="C1940" s="19">
        <v>0</v>
      </c>
      <c r="D1940" s="19">
        <v>0</v>
      </c>
      <c r="E1940" s="19">
        <v>0</v>
      </c>
      <c r="F1940" s="19">
        <v>0</v>
      </c>
      <c r="G1940" s="19">
        <v>0</v>
      </c>
      <c r="H1940" s="19">
        <v>0</v>
      </c>
      <c r="I1940" s="15">
        <v>3500</v>
      </c>
      <c r="J1940" s="15">
        <v>0</v>
      </c>
      <c r="K1940" s="15">
        <v>0</v>
      </c>
      <c r="L1940" s="15">
        <v>0</v>
      </c>
      <c r="M1940" s="15">
        <v>0</v>
      </c>
      <c r="N1940" s="15" t="str">
        <v/>
      </c>
      <c r="O1940" s="15" t="str">
        <v/>
      </c>
      <c r="P1940" s="22">
        <v>0</v>
      </c>
      <c r="Q1940">
        <v>0</v>
      </c>
    </row>
    <row r="1941" spans="1:17">
      <c r="A1941" s="19">
        <v>0</v>
      </c>
      <c r="B1941" s="19">
        <v>0</v>
      </c>
      <c r="C1941" s="19">
        <v>0</v>
      </c>
      <c r="D1941" s="19">
        <v>0</v>
      </c>
      <c r="E1941" s="19">
        <v>0</v>
      </c>
      <c r="F1941" s="19">
        <v>0</v>
      </c>
      <c r="G1941" s="19">
        <v>0</v>
      </c>
      <c r="H1941" s="19">
        <v>0</v>
      </c>
      <c r="I1941" s="15">
        <v>3500</v>
      </c>
      <c r="J1941" s="15">
        <v>0</v>
      </c>
      <c r="K1941" s="15">
        <v>0</v>
      </c>
      <c r="L1941" s="15">
        <v>0</v>
      </c>
      <c r="M1941" s="15">
        <v>0</v>
      </c>
      <c r="N1941" s="15" t="str">
        <v/>
      </c>
      <c r="O1941" s="15" t="str">
        <v/>
      </c>
      <c r="P1941" s="22">
        <v>0</v>
      </c>
      <c r="Q1941">
        <v>0</v>
      </c>
    </row>
    <row r="1942" spans="1:17">
      <c r="A1942" s="19">
        <v>0</v>
      </c>
      <c r="B1942" s="19">
        <v>0</v>
      </c>
      <c r="C1942" s="19">
        <v>0</v>
      </c>
      <c r="D1942" s="19">
        <v>0</v>
      </c>
      <c r="E1942" s="19">
        <v>0</v>
      </c>
      <c r="F1942" s="19">
        <v>0</v>
      </c>
      <c r="G1942" s="19">
        <v>0</v>
      </c>
      <c r="H1942" s="19">
        <v>0</v>
      </c>
      <c r="I1942" s="15">
        <v>3500</v>
      </c>
      <c r="J1942" s="15">
        <v>0</v>
      </c>
      <c r="K1942" s="15">
        <v>0</v>
      </c>
      <c r="L1942" s="15">
        <v>0</v>
      </c>
      <c r="M1942" s="15">
        <v>0</v>
      </c>
      <c r="N1942" s="15" t="str">
        <v/>
      </c>
      <c r="O1942" s="15" t="str">
        <v/>
      </c>
      <c r="P1942" s="22">
        <v>0</v>
      </c>
      <c r="Q1942">
        <v>0</v>
      </c>
    </row>
    <row r="1943" spans="1:17">
      <c r="A1943" s="19">
        <v>0</v>
      </c>
      <c r="B1943" s="19">
        <v>0</v>
      </c>
      <c r="C1943" s="19">
        <v>0</v>
      </c>
      <c r="D1943" s="19">
        <v>0</v>
      </c>
      <c r="E1943" s="19">
        <v>0</v>
      </c>
      <c r="F1943" s="19">
        <v>0</v>
      </c>
      <c r="G1943" s="19">
        <v>0</v>
      </c>
      <c r="H1943" s="19">
        <v>0</v>
      </c>
      <c r="I1943" s="15">
        <v>3500</v>
      </c>
      <c r="J1943" s="15">
        <v>0</v>
      </c>
      <c r="K1943" s="15">
        <v>0</v>
      </c>
      <c r="L1943" s="15">
        <v>0</v>
      </c>
      <c r="M1943" s="15">
        <v>0</v>
      </c>
      <c r="N1943" s="15" t="str">
        <v/>
      </c>
      <c r="O1943" s="15" t="str">
        <v/>
      </c>
      <c r="P1943" s="22">
        <v>0</v>
      </c>
      <c r="Q1943">
        <v>0</v>
      </c>
    </row>
    <row r="1944" spans="1:17">
      <c r="A1944" s="19">
        <v>0</v>
      </c>
      <c r="B1944" s="19">
        <v>0</v>
      </c>
      <c r="C1944" s="19">
        <v>0</v>
      </c>
      <c r="D1944" s="19">
        <v>0</v>
      </c>
      <c r="E1944" s="19">
        <v>0</v>
      </c>
      <c r="F1944" s="19">
        <v>0</v>
      </c>
      <c r="G1944" s="19">
        <v>0</v>
      </c>
      <c r="H1944" s="19">
        <v>0</v>
      </c>
      <c r="I1944" s="15">
        <v>3500</v>
      </c>
      <c r="J1944" s="15">
        <v>0</v>
      </c>
      <c r="K1944" s="15">
        <v>0</v>
      </c>
      <c r="L1944" s="15">
        <v>0</v>
      </c>
      <c r="M1944" s="15">
        <v>0</v>
      </c>
      <c r="N1944" s="15" t="str">
        <v/>
      </c>
      <c r="O1944" s="15" t="str">
        <v/>
      </c>
      <c r="P1944" s="22">
        <v>0</v>
      </c>
      <c r="Q1944">
        <v>0</v>
      </c>
    </row>
    <row r="1945" spans="1:17">
      <c r="A1945" s="19">
        <v>0</v>
      </c>
      <c r="B1945" s="19">
        <v>0</v>
      </c>
      <c r="C1945" s="19">
        <v>0</v>
      </c>
      <c r="D1945" s="19">
        <v>0</v>
      </c>
      <c r="E1945" s="19">
        <v>0</v>
      </c>
      <c r="F1945" s="19">
        <v>0</v>
      </c>
      <c r="G1945" s="19">
        <v>0</v>
      </c>
      <c r="H1945" s="19">
        <v>0</v>
      </c>
      <c r="I1945" s="15">
        <v>3500</v>
      </c>
      <c r="J1945" s="15">
        <v>0</v>
      </c>
      <c r="K1945" s="15">
        <v>0</v>
      </c>
      <c r="L1945" s="15">
        <v>0</v>
      </c>
      <c r="M1945" s="15">
        <v>0</v>
      </c>
      <c r="N1945" s="15" t="str">
        <v/>
      </c>
      <c r="O1945" s="15" t="str">
        <v/>
      </c>
      <c r="P1945" s="22">
        <v>0</v>
      </c>
      <c r="Q1945">
        <v>0</v>
      </c>
    </row>
    <row r="1946" spans="1:17">
      <c r="A1946" s="19">
        <v>0</v>
      </c>
      <c r="B1946" s="19">
        <v>0</v>
      </c>
      <c r="C1946" s="19">
        <v>0</v>
      </c>
      <c r="D1946" s="19">
        <v>0</v>
      </c>
      <c r="E1946" s="19">
        <v>0</v>
      </c>
      <c r="F1946" s="19">
        <v>0</v>
      </c>
      <c r="G1946" s="19">
        <v>0</v>
      </c>
      <c r="H1946" s="19">
        <v>0</v>
      </c>
      <c r="I1946" s="15">
        <v>3500</v>
      </c>
      <c r="J1946" s="15">
        <v>0</v>
      </c>
      <c r="K1946" s="15">
        <v>0</v>
      </c>
      <c r="L1946" s="15">
        <v>0</v>
      </c>
      <c r="M1946" s="15">
        <v>0</v>
      </c>
      <c r="N1946" s="15" t="str">
        <v/>
      </c>
      <c r="O1946" s="15" t="str">
        <v/>
      </c>
      <c r="P1946" s="22">
        <v>0</v>
      </c>
      <c r="Q1946">
        <v>0</v>
      </c>
    </row>
    <row r="1947" spans="1:17">
      <c r="A1947" s="19">
        <v>0</v>
      </c>
      <c r="B1947" s="19">
        <v>0</v>
      </c>
      <c r="C1947" s="19">
        <v>0</v>
      </c>
      <c r="D1947" s="19">
        <v>0</v>
      </c>
      <c r="E1947" s="19">
        <v>0</v>
      </c>
      <c r="F1947" s="19">
        <v>0</v>
      </c>
      <c r="G1947" s="19">
        <v>0</v>
      </c>
      <c r="H1947" s="19">
        <v>0</v>
      </c>
      <c r="I1947" s="15">
        <v>3500</v>
      </c>
      <c r="J1947" s="15">
        <v>0</v>
      </c>
      <c r="K1947" s="15">
        <v>0</v>
      </c>
      <c r="L1947" s="15">
        <v>0</v>
      </c>
      <c r="M1947" s="15">
        <v>0</v>
      </c>
      <c r="N1947" s="15" t="str">
        <v/>
      </c>
      <c r="O1947" s="15" t="str">
        <v/>
      </c>
      <c r="P1947" s="22">
        <v>0</v>
      </c>
      <c r="Q1947">
        <v>0</v>
      </c>
    </row>
    <row r="1948" spans="1:17">
      <c r="A1948" s="19">
        <v>0</v>
      </c>
      <c r="B1948" s="19">
        <v>0</v>
      </c>
      <c r="C1948" s="19">
        <v>0</v>
      </c>
      <c r="D1948" s="19">
        <v>0</v>
      </c>
      <c r="E1948" s="19">
        <v>0</v>
      </c>
      <c r="F1948" s="19">
        <v>0</v>
      </c>
      <c r="G1948" s="19">
        <v>0</v>
      </c>
      <c r="H1948" s="19">
        <v>0</v>
      </c>
      <c r="I1948" s="15">
        <v>3500</v>
      </c>
      <c r="J1948" s="15">
        <v>0</v>
      </c>
      <c r="K1948" s="15">
        <v>0</v>
      </c>
      <c r="L1948" s="15">
        <v>0</v>
      </c>
      <c r="M1948" s="15">
        <v>0</v>
      </c>
      <c r="N1948" s="15" t="str">
        <v/>
      </c>
      <c r="O1948" s="15" t="str">
        <v/>
      </c>
      <c r="P1948" s="22">
        <v>0</v>
      </c>
      <c r="Q1948">
        <v>0</v>
      </c>
    </row>
    <row r="1949" spans="1:17">
      <c r="A1949" s="19">
        <v>0</v>
      </c>
      <c r="B1949" s="19">
        <v>0</v>
      </c>
      <c r="C1949" s="19">
        <v>0</v>
      </c>
      <c r="D1949" s="19">
        <v>0</v>
      </c>
      <c r="E1949" s="19">
        <v>0</v>
      </c>
      <c r="F1949" s="19">
        <v>0</v>
      </c>
      <c r="G1949" s="19">
        <v>0</v>
      </c>
      <c r="H1949" s="19">
        <v>0</v>
      </c>
      <c r="I1949" s="15">
        <v>3500</v>
      </c>
      <c r="J1949" s="15">
        <v>0</v>
      </c>
      <c r="K1949" s="15">
        <v>0</v>
      </c>
      <c r="L1949" s="15">
        <v>0</v>
      </c>
      <c r="M1949" s="15">
        <v>0</v>
      </c>
      <c r="N1949" s="15" t="str">
        <v/>
      </c>
      <c r="O1949" s="15" t="str">
        <v/>
      </c>
      <c r="P1949" s="22">
        <v>0</v>
      </c>
      <c r="Q1949">
        <v>0</v>
      </c>
    </row>
    <row r="1950" spans="1:17">
      <c r="A1950" s="19">
        <v>0</v>
      </c>
      <c r="B1950" s="19">
        <v>0</v>
      </c>
      <c r="C1950" s="19">
        <v>0</v>
      </c>
      <c r="D1950" s="19">
        <v>0</v>
      </c>
      <c r="E1950" s="19">
        <v>0</v>
      </c>
      <c r="F1950" s="19">
        <v>0</v>
      </c>
      <c r="G1950" s="19">
        <v>0</v>
      </c>
      <c r="H1950" s="19">
        <v>0</v>
      </c>
      <c r="I1950" s="15">
        <v>3500</v>
      </c>
      <c r="J1950" s="15">
        <v>0</v>
      </c>
      <c r="K1950" s="15">
        <v>0</v>
      </c>
      <c r="L1950" s="15">
        <v>0</v>
      </c>
      <c r="M1950" s="15">
        <v>0</v>
      </c>
      <c r="N1950" s="15" t="str">
        <v/>
      </c>
      <c r="O1950" s="15" t="str">
        <v/>
      </c>
      <c r="P1950" s="22">
        <v>0</v>
      </c>
      <c r="Q1950">
        <v>0</v>
      </c>
    </row>
    <row r="1951" spans="1:17">
      <c r="A1951" s="19">
        <v>0</v>
      </c>
      <c r="B1951" s="19">
        <v>0</v>
      </c>
      <c r="C1951" s="19">
        <v>0</v>
      </c>
      <c r="D1951" s="19">
        <v>0</v>
      </c>
      <c r="E1951" s="19">
        <v>0</v>
      </c>
      <c r="F1951" s="19">
        <v>0</v>
      </c>
      <c r="G1951" s="19">
        <v>0</v>
      </c>
      <c r="H1951" s="19">
        <v>0</v>
      </c>
      <c r="I1951" s="15">
        <v>3500</v>
      </c>
      <c r="J1951" s="15">
        <v>0</v>
      </c>
      <c r="K1951" s="15">
        <v>0</v>
      </c>
      <c r="L1951" s="15">
        <v>0</v>
      </c>
      <c r="M1951" s="15">
        <v>0</v>
      </c>
      <c r="N1951" s="15" t="str">
        <v/>
      </c>
      <c r="O1951" s="15" t="str">
        <v/>
      </c>
      <c r="P1951" s="22">
        <v>0</v>
      </c>
      <c r="Q1951">
        <v>0</v>
      </c>
    </row>
    <row r="1952" spans="1:17">
      <c r="A1952" s="19">
        <v>0</v>
      </c>
      <c r="B1952" s="19">
        <v>0</v>
      </c>
      <c r="C1952" s="19">
        <v>0</v>
      </c>
      <c r="D1952" s="19">
        <v>0</v>
      </c>
      <c r="E1952" s="19">
        <v>0</v>
      </c>
      <c r="F1952" s="19">
        <v>0</v>
      </c>
      <c r="G1952" s="19">
        <v>0</v>
      </c>
      <c r="H1952" s="19">
        <v>0</v>
      </c>
      <c r="I1952" s="15">
        <v>3500</v>
      </c>
      <c r="J1952" s="15">
        <v>0</v>
      </c>
      <c r="K1952" s="15">
        <v>0</v>
      </c>
      <c r="L1952" s="15">
        <v>0</v>
      </c>
      <c r="M1952" s="15">
        <v>0</v>
      </c>
      <c r="N1952" s="15" t="str">
        <v/>
      </c>
      <c r="O1952" s="15" t="str">
        <v/>
      </c>
      <c r="P1952" s="22">
        <v>0</v>
      </c>
      <c r="Q1952">
        <v>0</v>
      </c>
    </row>
    <row r="1953" spans="1:17">
      <c r="A1953" s="19">
        <v>0</v>
      </c>
      <c r="B1953" s="19">
        <v>0</v>
      </c>
      <c r="C1953" s="19">
        <v>0</v>
      </c>
      <c r="D1953" s="19">
        <v>0</v>
      </c>
      <c r="E1953" s="19">
        <v>0</v>
      </c>
      <c r="F1953" s="19">
        <v>0</v>
      </c>
      <c r="G1953" s="19">
        <v>0</v>
      </c>
      <c r="H1953" s="19">
        <v>0</v>
      </c>
      <c r="I1953" s="15">
        <v>3500</v>
      </c>
      <c r="J1953" s="15">
        <v>0</v>
      </c>
      <c r="K1953" s="15">
        <v>0</v>
      </c>
      <c r="L1953" s="15">
        <v>0</v>
      </c>
      <c r="M1953" s="15">
        <v>0</v>
      </c>
      <c r="N1953" s="15" t="str">
        <v/>
      </c>
      <c r="O1953" s="15" t="str">
        <v/>
      </c>
      <c r="P1953" s="22">
        <v>0</v>
      </c>
      <c r="Q1953">
        <v>0</v>
      </c>
    </row>
    <row r="1954" spans="1:17">
      <c r="A1954" s="19">
        <v>0</v>
      </c>
      <c r="B1954" s="19">
        <v>0</v>
      </c>
      <c r="C1954" s="19">
        <v>0</v>
      </c>
      <c r="D1954" s="19">
        <v>0</v>
      </c>
      <c r="E1954" s="19">
        <v>0</v>
      </c>
      <c r="F1954" s="19">
        <v>0</v>
      </c>
      <c r="G1954" s="19">
        <v>0</v>
      </c>
      <c r="H1954" s="19">
        <v>0</v>
      </c>
      <c r="I1954" s="15">
        <v>3500</v>
      </c>
      <c r="J1954" s="15">
        <v>0</v>
      </c>
      <c r="K1954" s="15">
        <v>0</v>
      </c>
      <c r="L1954" s="15">
        <v>0</v>
      </c>
      <c r="M1954" s="15">
        <v>0</v>
      </c>
      <c r="N1954" s="15" t="str">
        <v/>
      </c>
      <c r="O1954" s="15" t="str">
        <v/>
      </c>
      <c r="P1954" s="22">
        <v>0</v>
      </c>
      <c r="Q1954">
        <v>0</v>
      </c>
    </row>
    <row r="1955" spans="1:17">
      <c r="A1955" s="19">
        <v>0</v>
      </c>
      <c r="B1955" s="19">
        <v>0</v>
      </c>
      <c r="C1955" s="19">
        <v>0</v>
      </c>
      <c r="D1955" s="19">
        <v>0</v>
      </c>
      <c r="E1955" s="19">
        <v>0</v>
      </c>
      <c r="F1955" s="19">
        <v>0</v>
      </c>
      <c r="G1955" s="19">
        <v>0</v>
      </c>
      <c r="H1955" s="19">
        <v>0</v>
      </c>
      <c r="I1955" s="15">
        <v>3500</v>
      </c>
      <c r="J1955" s="15">
        <v>0</v>
      </c>
      <c r="K1955" s="15">
        <v>0</v>
      </c>
      <c r="L1955" s="15">
        <v>0</v>
      </c>
      <c r="M1955" s="15">
        <v>0</v>
      </c>
      <c r="N1955" s="15" t="str">
        <v/>
      </c>
      <c r="O1955" s="15" t="str">
        <v/>
      </c>
      <c r="P1955" s="22">
        <v>0</v>
      </c>
      <c r="Q1955">
        <v>0</v>
      </c>
    </row>
    <row r="1956" spans="1:17">
      <c r="A1956" s="19">
        <v>0</v>
      </c>
      <c r="B1956" s="19">
        <v>0</v>
      </c>
      <c r="C1956" s="19">
        <v>0</v>
      </c>
      <c r="D1956" s="19">
        <v>0</v>
      </c>
      <c r="E1956" s="19">
        <v>0</v>
      </c>
      <c r="F1956" s="19">
        <v>0</v>
      </c>
      <c r="G1956" s="19">
        <v>0</v>
      </c>
      <c r="H1956" s="19">
        <v>0</v>
      </c>
      <c r="I1956" s="15">
        <v>3500</v>
      </c>
      <c r="J1956" s="15">
        <v>0</v>
      </c>
      <c r="K1956" s="15">
        <v>0</v>
      </c>
      <c r="L1956" s="15">
        <v>0</v>
      </c>
      <c r="M1956" s="15">
        <v>0</v>
      </c>
      <c r="N1956" s="15" t="str">
        <v/>
      </c>
      <c r="O1956" s="15" t="str">
        <v/>
      </c>
      <c r="P1956" s="22">
        <v>0</v>
      </c>
      <c r="Q1956">
        <v>0</v>
      </c>
    </row>
    <row r="1957" spans="1:17">
      <c r="A1957" s="19">
        <v>0</v>
      </c>
      <c r="B1957" s="19">
        <v>0</v>
      </c>
      <c r="C1957" s="19">
        <v>0</v>
      </c>
      <c r="D1957" s="19">
        <v>0</v>
      </c>
      <c r="E1957" s="19">
        <v>0</v>
      </c>
      <c r="F1957" s="19">
        <v>0</v>
      </c>
      <c r="G1957" s="19">
        <v>0</v>
      </c>
      <c r="H1957" s="19">
        <v>0</v>
      </c>
      <c r="I1957" s="15">
        <v>3500</v>
      </c>
      <c r="J1957" s="15">
        <v>0</v>
      </c>
      <c r="K1957" s="15">
        <v>0</v>
      </c>
      <c r="L1957" s="15">
        <v>0</v>
      </c>
      <c r="M1957" s="15">
        <v>0</v>
      </c>
      <c r="N1957" s="15" t="str">
        <v/>
      </c>
      <c r="O1957" s="15" t="str">
        <v/>
      </c>
      <c r="P1957" s="22">
        <v>0</v>
      </c>
      <c r="Q1957">
        <v>0</v>
      </c>
    </row>
    <row r="1958" spans="1:17">
      <c r="A1958" s="19">
        <v>0</v>
      </c>
      <c r="B1958" s="19">
        <v>0</v>
      </c>
      <c r="C1958" s="19">
        <v>0</v>
      </c>
      <c r="D1958" s="19">
        <v>0</v>
      </c>
      <c r="E1958" s="19">
        <v>0</v>
      </c>
      <c r="F1958" s="19">
        <v>0</v>
      </c>
      <c r="G1958" s="19">
        <v>0</v>
      </c>
      <c r="H1958" s="19">
        <v>0</v>
      </c>
      <c r="I1958" s="15">
        <v>3500</v>
      </c>
      <c r="J1958" s="15">
        <v>0</v>
      </c>
      <c r="K1958" s="15">
        <v>0</v>
      </c>
      <c r="L1958" s="15">
        <v>0</v>
      </c>
      <c r="M1958" s="15">
        <v>0</v>
      </c>
      <c r="N1958" s="15" t="str">
        <v/>
      </c>
      <c r="O1958" s="15" t="str">
        <v/>
      </c>
      <c r="P1958" s="22">
        <v>0</v>
      </c>
      <c r="Q1958">
        <v>0</v>
      </c>
    </row>
    <row r="1959" spans="1:17">
      <c r="A1959" s="19">
        <v>0</v>
      </c>
      <c r="B1959" s="19">
        <v>0</v>
      </c>
      <c r="C1959" s="19">
        <v>0</v>
      </c>
      <c r="D1959" s="19">
        <v>0</v>
      </c>
      <c r="E1959" s="19">
        <v>0</v>
      </c>
      <c r="F1959" s="19">
        <v>0</v>
      </c>
      <c r="G1959" s="19">
        <v>0</v>
      </c>
      <c r="H1959" s="19">
        <v>0</v>
      </c>
      <c r="I1959" s="15">
        <v>3500</v>
      </c>
      <c r="J1959" s="15">
        <v>0</v>
      </c>
      <c r="K1959" s="15">
        <v>0</v>
      </c>
      <c r="L1959" s="15">
        <v>0</v>
      </c>
      <c r="M1959" s="15">
        <v>0</v>
      </c>
      <c r="N1959" s="15" t="str">
        <v/>
      </c>
      <c r="O1959" s="15" t="str">
        <v/>
      </c>
      <c r="P1959" s="22">
        <v>0</v>
      </c>
      <c r="Q1959">
        <v>0</v>
      </c>
    </row>
    <row r="1960" spans="1:17">
      <c r="A1960" s="19">
        <v>0</v>
      </c>
      <c r="B1960" s="19">
        <v>0</v>
      </c>
      <c r="C1960" s="19">
        <v>0</v>
      </c>
      <c r="D1960" s="19">
        <v>0</v>
      </c>
      <c r="E1960" s="19">
        <v>0</v>
      </c>
      <c r="F1960" s="19">
        <v>0</v>
      </c>
      <c r="G1960" s="19">
        <v>0</v>
      </c>
      <c r="H1960" s="19">
        <v>0</v>
      </c>
      <c r="I1960" s="15">
        <v>3500</v>
      </c>
      <c r="J1960" s="15">
        <v>0</v>
      </c>
      <c r="K1960" s="15">
        <v>0</v>
      </c>
      <c r="L1960" s="15">
        <v>0</v>
      </c>
      <c r="M1960" s="15">
        <v>0</v>
      </c>
      <c r="N1960" s="15" t="str">
        <v/>
      </c>
      <c r="O1960" s="15" t="str">
        <v/>
      </c>
      <c r="P1960" s="22">
        <v>0</v>
      </c>
      <c r="Q1960">
        <v>0</v>
      </c>
    </row>
    <row r="1961" spans="1:17">
      <c r="A1961" s="19">
        <v>0</v>
      </c>
      <c r="B1961" s="19">
        <v>0</v>
      </c>
      <c r="C1961" s="19">
        <v>0</v>
      </c>
      <c r="D1961" s="19">
        <v>0</v>
      </c>
      <c r="E1961" s="19">
        <v>0</v>
      </c>
      <c r="F1961" s="19">
        <v>0</v>
      </c>
      <c r="G1961" s="19">
        <v>0</v>
      </c>
      <c r="H1961" s="19">
        <v>0</v>
      </c>
      <c r="I1961" s="15">
        <v>3500</v>
      </c>
      <c r="J1961" s="15">
        <v>0</v>
      </c>
      <c r="K1961" s="15">
        <v>0</v>
      </c>
      <c r="L1961" s="15">
        <v>0</v>
      </c>
      <c r="M1961" s="15">
        <v>0</v>
      </c>
      <c r="N1961" s="15" t="str">
        <v/>
      </c>
      <c r="O1961" s="15" t="str">
        <v/>
      </c>
      <c r="P1961" s="22">
        <v>0</v>
      </c>
      <c r="Q1961">
        <v>0</v>
      </c>
    </row>
    <row r="1962" spans="1:17">
      <c r="A1962" s="19">
        <v>0</v>
      </c>
      <c r="B1962" s="19">
        <v>0</v>
      </c>
      <c r="C1962" s="19">
        <v>0</v>
      </c>
      <c r="D1962" s="19">
        <v>0</v>
      </c>
      <c r="E1962" s="19">
        <v>0</v>
      </c>
      <c r="F1962" s="19">
        <v>0</v>
      </c>
      <c r="G1962" s="19">
        <v>0</v>
      </c>
      <c r="H1962" s="19">
        <v>0</v>
      </c>
      <c r="I1962" s="15">
        <v>3500</v>
      </c>
      <c r="J1962" s="15">
        <v>0</v>
      </c>
      <c r="K1962" s="15">
        <v>0</v>
      </c>
      <c r="L1962" s="15">
        <v>0</v>
      </c>
      <c r="M1962" s="15">
        <v>0</v>
      </c>
      <c r="N1962" s="15" t="str">
        <v/>
      </c>
      <c r="O1962" s="15" t="str">
        <v/>
      </c>
      <c r="P1962" s="22">
        <v>0</v>
      </c>
      <c r="Q1962">
        <v>0</v>
      </c>
    </row>
    <row r="1963" spans="1:17">
      <c r="A1963" s="19">
        <v>0</v>
      </c>
      <c r="B1963" s="19">
        <v>0</v>
      </c>
      <c r="C1963" s="19">
        <v>0</v>
      </c>
      <c r="D1963" s="19">
        <v>0</v>
      </c>
      <c r="E1963" s="19">
        <v>0</v>
      </c>
      <c r="F1963" s="19">
        <v>0</v>
      </c>
      <c r="G1963" s="19">
        <v>0</v>
      </c>
      <c r="H1963" s="19">
        <v>0</v>
      </c>
      <c r="I1963" s="15">
        <v>3500</v>
      </c>
      <c r="J1963" s="15">
        <v>0</v>
      </c>
      <c r="K1963" s="15">
        <v>0</v>
      </c>
      <c r="L1963" s="15">
        <v>0</v>
      </c>
      <c r="M1963" s="15">
        <v>0</v>
      </c>
      <c r="N1963" s="15" t="str">
        <v/>
      </c>
      <c r="O1963" s="15" t="str">
        <v/>
      </c>
      <c r="P1963" s="22">
        <v>0</v>
      </c>
      <c r="Q1963">
        <v>0</v>
      </c>
    </row>
    <row r="1964" spans="1:17">
      <c r="A1964" s="19">
        <v>0</v>
      </c>
      <c r="B1964" s="19">
        <v>0</v>
      </c>
      <c r="C1964" s="19">
        <v>0</v>
      </c>
      <c r="D1964" s="19">
        <v>0</v>
      </c>
      <c r="E1964" s="19">
        <v>0</v>
      </c>
      <c r="F1964" s="19">
        <v>0</v>
      </c>
      <c r="G1964" s="19">
        <v>0</v>
      </c>
      <c r="H1964" s="19">
        <v>0</v>
      </c>
      <c r="I1964" s="15">
        <v>3500</v>
      </c>
      <c r="J1964" s="15">
        <v>0</v>
      </c>
      <c r="K1964" s="15">
        <v>0</v>
      </c>
      <c r="L1964" s="15">
        <v>0</v>
      </c>
      <c r="M1964" s="15">
        <v>0</v>
      </c>
      <c r="N1964" s="15" t="str">
        <v/>
      </c>
      <c r="O1964" s="15" t="str">
        <v/>
      </c>
      <c r="P1964" s="22">
        <v>0</v>
      </c>
      <c r="Q1964">
        <v>0</v>
      </c>
    </row>
    <row r="1965" spans="1:17">
      <c r="A1965" s="19">
        <v>0</v>
      </c>
      <c r="B1965" s="19">
        <v>0</v>
      </c>
      <c r="C1965" s="19">
        <v>0</v>
      </c>
      <c r="D1965" s="19">
        <v>0</v>
      </c>
      <c r="E1965" s="19">
        <v>0</v>
      </c>
      <c r="F1965" s="19">
        <v>0</v>
      </c>
      <c r="G1965" s="19">
        <v>0</v>
      </c>
      <c r="H1965" s="19">
        <v>0</v>
      </c>
      <c r="I1965" s="15">
        <v>3500</v>
      </c>
      <c r="J1965" s="15">
        <v>0</v>
      </c>
      <c r="K1965" s="15">
        <v>0</v>
      </c>
      <c r="L1965" s="15">
        <v>0</v>
      </c>
      <c r="M1965" s="15">
        <v>0</v>
      </c>
      <c r="N1965" s="15" t="str">
        <v/>
      </c>
      <c r="O1965" s="15" t="str">
        <v/>
      </c>
      <c r="P1965" s="22">
        <v>0</v>
      </c>
      <c r="Q1965">
        <v>0</v>
      </c>
    </row>
    <row r="1966" spans="1:17">
      <c r="A1966" s="19">
        <v>0</v>
      </c>
      <c r="B1966" s="19">
        <v>0</v>
      </c>
      <c r="C1966" s="19">
        <v>0</v>
      </c>
      <c r="D1966" s="19">
        <v>0</v>
      </c>
      <c r="E1966" s="19">
        <v>0</v>
      </c>
      <c r="F1966" s="19">
        <v>0</v>
      </c>
      <c r="G1966" s="19">
        <v>0</v>
      </c>
      <c r="H1966" s="19">
        <v>0</v>
      </c>
      <c r="I1966" s="15">
        <v>3500</v>
      </c>
      <c r="J1966" s="15">
        <v>0</v>
      </c>
      <c r="K1966" s="15">
        <v>0</v>
      </c>
      <c r="L1966" s="15">
        <v>0</v>
      </c>
      <c r="M1966" s="15">
        <v>0</v>
      </c>
      <c r="N1966" s="15" t="str">
        <v/>
      </c>
      <c r="O1966" s="15" t="str">
        <v/>
      </c>
      <c r="P1966" s="22">
        <v>0</v>
      </c>
      <c r="Q1966">
        <v>0</v>
      </c>
    </row>
    <row r="1967" spans="1:17">
      <c r="A1967" s="19">
        <v>0</v>
      </c>
      <c r="B1967" s="19">
        <v>0</v>
      </c>
      <c r="C1967" s="19">
        <v>0</v>
      </c>
      <c r="D1967" s="19">
        <v>0</v>
      </c>
      <c r="E1967" s="19">
        <v>0</v>
      </c>
      <c r="F1967" s="19">
        <v>0</v>
      </c>
      <c r="G1967" s="19">
        <v>0</v>
      </c>
      <c r="H1967" s="19">
        <v>0</v>
      </c>
      <c r="I1967" s="15">
        <v>3500</v>
      </c>
      <c r="J1967" s="15">
        <v>0</v>
      </c>
      <c r="K1967" s="15">
        <v>0</v>
      </c>
      <c r="L1967" s="15">
        <v>0</v>
      </c>
      <c r="M1967" s="15">
        <v>0</v>
      </c>
      <c r="N1967" s="15" t="str">
        <v/>
      </c>
      <c r="O1967" s="15" t="str">
        <v/>
      </c>
      <c r="P1967" s="22">
        <v>0</v>
      </c>
      <c r="Q1967">
        <v>0</v>
      </c>
    </row>
    <row r="1968" spans="1:17">
      <c r="A1968" s="19">
        <v>0</v>
      </c>
      <c r="B1968" s="19">
        <v>0</v>
      </c>
      <c r="C1968" s="19">
        <v>0</v>
      </c>
      <c r="D1968" s="19">
        <v>0</v>
      </c>
      <c r="E1968" s="19">
        <v>0</v>
      </c>
      <c r="F1968" s="19">
        <v>0</v>
      </c>
      <c r="G1968" s="19">
        <v>0</v>
      </c>
      <c r="H1968" s="19">
        <v>0</v>
      </c>
      <c r="I1968" s="15">
        <v>3500</v>
      </c>
      <c r="J1968" s="15">
        <v>0</v>
      </c>
      <c r="K1968" s="15">
        <v>0</v>
      </c>
      <c r="L1968" s="15">
        <v>0</v>
      </c>
      <c r="M1968" s="15">
        <v>0</v>
      </c>
      <c r="N1968" s="15" t="str">
        <v/>
      </c>
      <c r="O1968" s="15" t="str">
        <v/>
      </c>
      <c r="P1968" s="22">
        <v>0</v>
      </c>
      <c r="Q1968">
        <v>0</v>
      </c>
    </row>
    <row r="1969" spans="1:17">
      <c r="A1969" s="19">
        <v>0</v>
      </c>
      <c r="B1969" s="19">
        <v>0</v>
      </c>
      <c r="C1969" s="19">
        <v>0</v>
      </c>
      <c r="D1969" s="19">
        <v>0</v>
      </c>
      <c r="E1969" s="19">
        <v>0</v>
      </c>
      <c r="F1969" s="19">
        <v>0</v>
      </c>
      <c r="G1969" s="19">
        <v>0</v>
      </c>
      <c r="H1969" s="19">
        <v>0</v>
      </c>
      <c r="I1969" s="15">
        <v>3500</v>
      </c>
      <c r="J1969" s="15">
        <v>0</v>
      </c>
      <c r="K1969" s="15">
        <v>0</v>
      </c>
      <c r="L1969" s="15">
        <v>0</v>
      </c>
      <c r="M1969" s="15">
        <v>0</v>
      </c>
      <c r="N1969" s="15" t="str">
        <v/>
      </c>
      <c r="O1969" s="15" t="str">
        <v/>
      </c>
      <c r="P1969" s="22">
        <v>0</v>
      </c>
      <c r="Q1969">
        <v>0</v>
      </c>
    </row>
    <row r="1970" spans="1:17">
      <c r="A1970" s="19">
        <v>0</v>
      </c>
      <c r="B1970" s="19">
        <v>0</v>
      </c>
      <c r="C1970" s="19">
        <v>0</v>
      </c>
      <c r="D1970" s="19">
        <v>0</v>
      </c>
      <c r="E1970" s="19">
        <v>0</v>
      </c>
      <c r="F1970" s="19">
        <v>0</v>
      </c>
      <c r="G1970" s="19">
        <v>0</v>
      </c>
      <c r="H1970" s="19">
        <v>0</v>
      </c>
      <c r="I1970" s="15">
        <v>3500</v>
      </c>
      <c r="J1970" s="15">
        <v>0</v>
      </c>
      <c r="K1970" s="15">
        <v>0</v>
      </c>
      <c r="L1970" s="15">
        <v>0</v>
      </c>
      <c r="M1970" s="15">
        <v>0</v>
      </c>
      <c r="N1970" s="15" t="str">
        <v/>
      </c>
      <c r="O1970" s="15" t="str">
        <v/>
      </c>
      <c r="P1970" s="22">
        <v>0</v>
      </c>
      <c r="Q1970">
        <v>0</v>
      </c>
    </row>
    <row r="1971" spans="1:17">
      <c r="A1971" s="19">
        <v>0</v>
      </c>
      <c r="B1971" s="19">
        <v>0</v>
      </c>
      <c r="C1971" s="19">
        <v>0</v>
      </c>
      <c r="D1971" s="19">
        <v>0</v>
      </c>
      <c r="E1971" s="19">
        <v>0</v>
      </c>
      <c r="F1971" s="19">
        <v>0</v>
      </c>
      <c r="G1971" s="19">
        <v>0</v>
      </c>
      <c r="H1971" s="19">
        <v>0</v>
      </c>
      <c r="I1971" s="15">
        <v>3500</v>
      </c>
      <c r="J1971" s="15">
        <v>0</v>
      </c>
      <c r="K1971" s="15">
        <v>0</v>
      </c>
      <c r="L1971" s="15">
        <v>0</v>
      </c>
      <c r="M1971" s="15">
        <v>0</v>
      </c>
      <c r="N1971" s="15" t="str">
        <v/>
      </c>
      <c r="O1971" s="15" t="str">
        <v/>
      </c>
      <c r="P1971" s="22">
        <v>0</v>
      </c>
      <c r="Q1971">
        <v>0</v>
      </c>
    </row>
    <row r="1972" spans="1:17">
      <c r="A1972" s="19">
        <v>0</v>
      </c>
      <c r="B1972" s="19">
        <v>0</v>
      </c>
      <c r="C1972" s="19">
        <v>0</v>
      </c>
      <c r="D1972" s="19">
        <v>0</v>
      </c>
      <c r="E1972" s="19">
        <v>0</v>
      </c>
      <c r="F1972" s="19">
        <v>0</v>
      </c>
      <c r="G1972" s="19">
        <v>0</v>
      </c>
      <c r="H1972" s="19">
        <v>0</v>
      </c>
      <c r="I1972" s="15">
        <v>3500</v>
      </c>
      <c r="J1972" s="15">
        <v>0</v>
      </c>
      <c r="K1972" s="15">
        <v>0</v>
      </c>
      <c r="L1972" s="15">
        <v>0</v>
      </c>
      <c r="M1972" s="15">
        <v>0</v>
      </c>
      <c r="N1972" s="15" t="str">
        <v/>
      </c>
      <c r="O1972" s="15" t="str">
        <v/>
      </c>
      <c r="P1972" s="22">
        <v>0</v>
      </c>
      <c r="Q1972">
        <v>0</v>
      </c>
    </row>
    <row r="1973" spans="1:17">
      <c r="A1973" s="19">
        <v>0</v>
      </c>
      <c r="B1973" s="19">
        <v>0</v>
      </c>
      <c r="C1973" s="19">
        <v>0</v>
      </c>
      <c r="D1973" s="19">
        <v>0</v>
      </c>
      <c r="E1973" s="19">
        <v>0</v>
      </c>
      <c r="F1973" s="19">
        <v>0</v>
      </c>
      <c r="G1973" s="19">
        <v>0</v>
      </c>
      <c r="H1973" s="19">
        <v>0</v>
      </c>
      <c r="I1973" s="15">
        <v>3500</v>
      </c>
      <c r="J1973" s="15">
        <v>0</v>
      </c>
      <c r="K1973" s="15">
        <v>0</v>
      </c>
      <c r="L1973" s="15">
        <v>0</v>
      </c>
      <c r="M1973" s="15">
        <v>0</v>
      </c>
      <c r="N1973" s="15" t="str">
        <v/>
      </c>
      <c r="O1973" s="15" t="str">
        <v/>
      </c>
      <c r="P1973" s="22">
        <v>0</v>
      </c>
      <c r="Q1973">
        <v>0</v>
      </c>
    </row>
    <row r="1974" spans="1:17">
      <c r="A1974" s="19">
        <v>0</v>
      </c>
      <c r="B1974" s="19">
        <v>0</v>
      </c>
      <c r="C1974" s="19">
        <v>0</v>
      </c>
      <c r="D1974" s="19">
        <v>0</v>
      </c>
      <c r="E1974" s="19">
        <v>0</v>
      </c>
      <c r="F1974" s="19">
        <v>0</v>
      </c>
      <c r="G1974" s="19">
        <v>0</v>
      </c>
      <c r="H1974" s="19">
        <v>0</v>
      </c>
      <c r="I1974" s="15">
        <v>3500</v>
      </c>
      <c r="J1974" s="15">
        <v>0</v>
      </c>
      <c r="K1974" s="15">
        <v>0</v>
      </c>
      <c r="L1974" s="15">
        <v>0</v>
      </c>
      <c r="M1974" s="15">
        <v>0</v>
      </c>
      <c r="N1974" s="15" t="str">
        <v/>
      </c>
      <c r="O1974" s="15" t="str">
        <v/>
      </c>
      <c r="P1974" s="22">
        <v>0</v>
      </c>
      <c r="Q1974">
        <v>0</v>
      </c>
    </row>
    <row r="1975" spans="1:17">
      <c r="A1975" s="19">
        <v>0</v>
      </c>
      <c r="B1975" s="19">
        <v>0</v>
      </c>
      <c r="C1975" s="19">
        <v>0</v>
      </c>
      <c r="D1975" s="19">
        <v>0</v>
      </c>
      <c r="E1975" s="19">
        <v>0</v>
      </c>
      <c r="F1975" s="19">
        <v>0</v>
      </c>
      <c r="G1975" s="19">
        <v>0</v>
      </c>
      <c r="H1975" s="19">
        <v>0</v>
      </c>
      <c r="I1975" s="15">
        <v>3500</v>
      </c>
      <c r="J1975" s="15">
        <v>0</v>
      </c>
      <c r="K1975" s="15">
        <v>0</v>
      </c>
      <c r="L1975" s="15">
        <v>0</v>
      </c>
      <c r="M1975" s="15">
        <v>0</v>
      </c>
      <c r="N1975" s="15" t="str">
        <v/>
      </c>
      <c r="O1975" s="15" t="str">
        <v/>
      </c>
      <c r="P1975" s="22">
        <v>0</v>
      </c>
      <c r="Q1975">
        <v>0</v>
      </c>
    </row>
    <row r="1976" spans="1:17">
      <c r="A1976" s="19">
        <v>0</v>
      </c>
      <c r="B1976" s="19">
        <v>0</v>
      </c>
      <c r="C1976" s="19">
        <v>0</v>
      </c>
      <c r="D1976" s="19">
        <v>0</v>
      </c>
      <c r="E1976" s="19">
        <v>0</v>
      </c>
      <c r="F1976" s="19">
        <v>0</v>
      </c>
      <c r="G1976" s="19">
        <v>0</v>
      </c>
      <c r="H1976" s="19">
        <v>0</v>
      </c>
      <c r="I1976" s="15">
        <v>3500</v>
      </c>
      <c r="J1976" s="15">
        <v>0</v>
      </c>
      <c r="K1976" s="15">
        <v>0</v>
      </c>
      <c r="L1976" s="15">
        <v>0</v>
      </c>
      <c r="M1976" s="15">
        <v>0</v>
      </c>
      <c r="N1976" s="15" t="str">
        <v/>
      </c>
      <c r="O1976" s="15" t="str">
        <v/>
      </c>
      <c r="P1976" s="22">
        <v>0</v>
      </c>
      <c r="Q1976">
        <v>0</v>
      </c>
    </row>
    <row r="1977" spans="1:17">
      <c r="A1977" s="19">
        <v>0</v>
      </c>
      <c r="B1977" s="19">
        <v>0</v>
      </c>
      <c r="C1977" s="19">
        <v>0</v>
      </c>
      <c r="D1977" s="19">
        <v>0</v>
      </c>
      <c r="E1977" s="19">
        <v>0</v>
      </c>
      <c r="F1977" s="19">
        <v>0</v>
      </c>
      <c r="G1977" s="19">
        <v>0</v>
      </c>
      <c r="H1977" s="19">
        <v>0</v>
      </c>
      <c r="I1977" s="15">
        <v>3500</v>
      </c>
      <c r="J1977" s="15">
        <v>0</v>
      </c>
      <c r="K1977" s="15">
        <v>0</v>
      </c>
      <c r="L1977" s="15">
        <v>0</v>
      </c>
      <c r="M1977" s="15">
        <v>0</v>
      </c>
      <c r="N1977" s="15" t="str">
        <v/>
      </c>
      <c r="O1977" s="15" t="str">
        <v/>
      </c>
      <c r="P1977" s="22">
        <v>0</v>
      </c>
      <c r="Q1977">
        <v>0</v>
      </c>
    </row>
    <row r="1978" spans="1:17">
      <c r="A1978" s="19">
        <v>0</v>
      </c>
      <c r="B1978" s="19">
        <v>0</v>
      </c>
      <c r="C1978" s="19">
        <v>0</v>
      </c>
      <c r="D1978" s="19">
        <v>0</v>
      </c>
      <c r="E1978" s="19">
        <v>0</v>
      </c>
      <c r="F1978" s="19">
        <v>0</v>
      </c>
      <c r="G1978" s="19">
        <v>0</v>
      </c>
      <c r="H1978" s="19">
        <v>0</v>
      </c>
      <c r="I1978" s="15">
        <v>3500</v>
      </c>
      <c r="J1978" s="15">
        <v>0</v>
      </c>
      <c r="K1978" s="15">
        <v>0</v>
      </c>
      <c r="L1978" s="15">
        <v>0</v>
      </c>
      <c r="M1978" s="15">
        <v>0</v>
      </c>
      <c r="N1978" s="15" t="str">
        <v/>
      </c>
      <c r="O1978" s="15" t="str">
        <v/>
      </c>
      <c r="P1978" s="22">
        <v>0</v>
      </c>
      <c r="Q1978">
        <v>0</v>
      </c>
    </row>
    <row r="1979" spans="1:17">
      <c r="A1979" s="19">
        <v>0</v>
      </c>
      <c r="B1979" s="19">
        <v>0</v>
      </c>
      <c r="C1979" s="19">
        <v>0</v>
      </c>
      <c r="D1979" s="19">
        <v>0</v>
      </c>
      <c r="E1979" s="19">
        <v>0</v>
      </c>
      <c r="F1979" s="19">
        <v>0</v>
      </c>
      <c r="G1979" s="19">
        <v>0</v>
      </c>
      <c r="H1979" s="19">
        <v>0</v>
      </c>
      <c r="I1979" s="15">
        <v>3500</v>
      </c>
      <c r="J1979" s="15">
        <v>0</v>
      </c>
      <c r="K1979" s="15">
        <v>0</v>
      </c>
      <c r="L1979" s="15">
        <v>0</v>
      </c>
      <c r="M1979" s="15">
        <v>0</v>
      </c>
      <c r="N1979" s="15" t="str">
        <v/>
      </c>
      <c r="O1979" s="15" t="str">
        <v/>
      </c>
      <c r="P1979" s="22">
        <v>0</v>
      </c>
      <c r="Q1979">
        <v>0</v>
      </c>
    </row>
    <row r="1980" spans="1:17">
      <c r="A1980" s="19">
        <v>0</v>
      </c>
      <c r="B1980" s="19">
        <v>0</v>
      </c>
      <c r="C1980" s="19">
        <v>0</v>
      </c>
      <c r="D1980" s="19">
        <v>0</v>
      </c>
      <c r="E1980" s="19">
        <v>0</v>
      </c>
      <c r="F1980" s="19">
        <v>0</v>
      </c>
      <c r="G1980" s="19">
        <v>0</v>
      </c>
      <c r="H1980" s="19">
        <v>0</v>
      </c>
      <c r="I1980" s="15">
        <v>3500</v>
      </c>
      <c r="J1980" s="15">
        <v>0</v>
      </c>
      <c r="K1980" s="15">
        <v>0</v>
      </c>
      <c r="L1980" s="15">
        <v>0</v>
      </c>
      <c r="M1980" s="15">
        <v>0</v>
      </c>
      <c r="N1980" s="15" t="str">
        <v/>
      </c>
      <c r="O1980" s="15" t="str">
        <v/>
      </c>
      <c r="P1980" s="22">
        <v>0</v>
      </c>
      <c r="Q1980">
        <v>0</v>
      </c>
    </row>
    <row r="1981" spans="1:17">
      <c r="A1981" s="19">
        <v>0</v>
      </c>
      <c r="B1981" s="19">
        <v>0</v>
      </c>
      <c r="C1981" s="19">
        <v>0</v>
      </c>
      <c r="D1981" s="19">
        <v>0</v>
      </c>
      <c r="E1981" s="19">
        <v>0</v>
      </c>
      <c r="F1981" s="19">
        <v>0</v>
      </c>
      <c r="G1981" s="19">
        <v>0</v>
      </c>
      <c r="H1981" s="19">
        <v>0</v>
      </c>
      <c r="I1981" s="15">
        <v>3500</v>
      </c>
      <c r="J1981" s="15">
        <v>0</v>
      </c>
      <c r="K1981" s="15">
        <v>0</v>
      </c>
      <c r="L1981" s="15">
        <v>0</v>
      </c>
      <c r="M1981" s="15">
        <v>0</v>
      </c>
      <c r="N1981" s="15" t="str">
        <v/>
      </c>
      <c r="O1981" s="15" t="str">
        <v/>
      </c>
      <c r="P1981" s="22">
        <v>0</v>
      </c>
      <c r="Q1981">
        <v>0</v>
      </c>
    </row>
    <row r="1982" spans="1:17">
      <c r="A1982" s="19">
        <v>0</v>
      </c>
      <c r="B1982" s="19">
        <v>0</v>
      </c>
      <c r="C1982" s="19">
        <v>0</v>
      </c>
      <c r="D1982" s="19">
        <v>0</v>
      </c>
      <c r="E1982" s="19">
        <v>0</v>
      </c>
      <c r="F1982" s="19">
        <v>0</v>
      </c>
      <c r="G1982" s="19">
        <v>0</v>
      </c>
      <c r="H1982" s="19">
        <v>0</v>
      </c>
      <c r="I1982" s="15">
        <v>3500</v>
      </c>
      <c r="J1982" s="15">
        <v>0</v>
      </c>
      <c r="K1982" s="15">
        <v>0</v>
      </c>
      <c r="L1982" s="15">
        <v>0</v>
      </c>
      <c r="M1982" s="15">
        <v>0</v>
      </c>
      <c r="N1982" s="15" t="str">
        <v/>
      </c>
      <c r="O1982" s="15" t="str">
        <v/>
      </c>
      <c r="P1982" s="22">
        <v>0</v>
      </c>
      <c r="Q1982">
        <v>0</v>
      </c>
    </row>
    <row r="1983" spans="1:17">
      <c r="A1983" s="19">
        <v>0</v>
      </c>
      <c r="B1983" s="19">
        <v>0</v>
      </c>
      <c r="C1983" s="19">
        <v>0</v>
      </c>
      <c r="D1983" s="19">
        <v>0</v>
      </c>
      <c r="E1983" s="19">
        <v>0</v>
      </c>
      <c r="F1983" s="19">
        <v>0</v>
      </c>
      <c r="G1983" s="19">
        <v>0</v>
      </c>
      <c r="H1983" s="19">
        <v>0</v>
      </c>
      <c r="I1983" s="15">
        <v>3500</v>
      </c>
      <c r="J1983" s="15">
        <v>0</v>
      </c>
      <c r="K1983" s="15">
        <v>0</v>
      </c>
      <c r="L1983" s="15">
        <v>0</v>
      </c>
      <c r="M1983" s="15">
        <v>0</v>
      </c>
      <c r="N1983" s="15" t="str">
        <v/>
      </c>
      <c r="O1983" s="15" t="str">
        <v/>
      </c>
      <c r="P1983" s="22">
        <v>0</v>
      </c>
      <c r="Q1983">
        <v>0</v>
      </c>
    </row>
    <row r="1984" spans="1:17">
      <c r="A1984" s="19">
        <v>0</v>
      </c>
      <c r="B1984" s="19">
        <v>0</v>
      </c>
      <c r="C1984" s="19">
        <v>0</v>
      </c>
      <c r="D1984" s="19">
        <v>0</v>
      </c>
      <c r="E1984" s="19">
        <v>0</v>
      </c>
      <c r="F1984" s="19">
        <v>0</v>
      </c>
      <c r="G1984" s="19">
        <v>0</v>
      </c>
      <c r="H1984" s="19">
        <v>0</v>
      </c>
      <c r="I1984" s="15">
        <v>3500</v>
      </c>
      <c r="J1984" s="15">
        <v>0</v>
      </c>
      <c r="K1984" s="15">
        <v>0</v>
      </c>
      <c r="L1984" s="15">
        <v>0</v>
      </c>
      <c r="M1984" s="15">
        <v>0</v>
      </c>
      <c r="N1984" s="15" t="str">
        <v/>
      </c>
      <c r="O1984" s="15" t="str">
        <v/>
      </c>
      <c r="P1984" s="22">
        <v>0</v>
      </c>
      <c r="Q1984">
        <v>0</v>
      </c>
    </row>
    <row r="1985" spans="1:17">
      <c r="A1985" s="19">
        <v>0</v>
      </c>
      <c r="B1985" s="19">
        <v>0</v>
      </c>
      <c r="C1985" s="19">
        <v>0</v>
      </c>
      <c r="D1985" s="19">
        <v>0</v>
      </c>
      <c r="E1985" s="19">
        <v>0</v>
      </c>
      <c r="F1985" s="19">
        <v>0</v>
      </c>
      <c r="G1985" s="19">
        <v>0</v>
      </c>
      <c r="H1985" s="19">
        <v>0</v>
      </c>
      <c r="I1985" s="15">
        <v>3500</v>
      </c>
      <c r="J1985" s="15">
        <v>0</v>
      </c>
      <c r="K1985" s="15">
        <v>0</v>
      </c>
      <c r="L1985" s="15">
        <v>0</v>
      </c>
      <c r="M1985" s="15">
        <v>0</v>
      </c>
      <c r="N1985" s="15" t="str">
        <v/>
      </c>
      <c r="O1985" s="15" t="str">
        <v/>
      </c>
      <c r="P1985" s="22">
        <v>0</v>
      </c>
      <c r="Q1985">
        <v>0</v>
      </c>
    </row>
    <row r="1986" spans="1:17">
      <c r="A1986" s="19">
        <v>0</v>
      </c>
      <c r="B1986" s="19">
        <v>0</v>
      </c>
      <c r="C1986" s="19">
        <v>0</v>
      </c>
      <c r="D1986" s="19">
        <v>0</v>
      </c>
      <c r="E1986" s="19">
        <v>0</v>
      </c>
      <c r="F1986" s="19">
        <v>0</v>
      </c>
      <c r="G1986" s="19">
        <v>0</v>
      </c>
      <c r="H1986" s="19">
        <v>0</v>
      </c>
      <c r="I1986" s="15">
        <v>3500</v>
      </c>
      <c r="J1986" s="15">
        <v>0</v>
      </c>
      <c r="K1986" s="15">
        <v>0</v>
      </c>
      <c r="L1986" s="15">
        <v>0</v>
      </c>
      <c r="M1986" s="15">
        <v>0</v>
      </c>
      <c r="N1986" s="15" t="str">
        <v/>
      </c>
      <c r="O1986" s="15" t="str">
        <v/>
      </c>
      <c r="P1986" s="22">
        <v>0</v>
      </c>
      <c r="Q1986">
        <v>0</v>
      </c>
    </row>
    <row r="1987" spans="1:17">
      <c r="A1987" s="19">
        <v>0</v>
      </c>
      <c r="B1987" s="19">
        <v>0</v>
      </c>
      <c r="C1987" s="19">
        <v>0</v>
      </c>
      <c r="D1987" s="19">
        <v>0</v>
      </c>
      <c r="E1987" s="19">
        <v>0</v>
      </c>
      <c r="F1987" s="19">
        <v>0</v>
      </c>
      <c r="G1987" s="19">
        <v>0</v>
      </c>
      <c r="H1987" s="19">
        <v>0</v>
      </c>
      <c r="I1987" s="15">
        <v>3500</v>
      </c>
      <c r="J1987" s="15">
        <v>0</v>
      </c>
      <c r="K1987" s="15">
        <v>0</v>
      </c>
      <c r="L1987" s="15">
        <v>0</v>
      </c>
      <c r="M1987" s="15">
        <v>0</v>
      </c>
      <c r="N1987" s="15" t="str">
        <v/>
      </c>
      <c r="O1987" s="15" t="str">
        <v/>
      </c>
      <c r="P1987" s="22">
        <v>0</v>
      </c>
      <c r="Q1987">
        <v>0</v>
      </c>
    </row>
    <row r="1988" spans="1:17">
      <c r="A1988" s="19">
        <v>0</v>
      </c>
      <c r="B1988" s="19">
        <v>0</v>
      </c>
      <c r="C1988" s="19">
        <v>0</v>
      </c>
      <c r="D1988" s="19">
        <v>0</v>
      </c>
      <c r="E1988" s="19">
        <v>0</v>
      </c>
      <c r="F1988" s="19">
        <v>0</v>
      </c>
      <c r="G1988" s="19">
        <v>0</v>
      </c>
      <c r="H1988" s="19">
        <v>0</v>
      </c>
      <c r="I1988" s="15">
        <v>3500</v>
      </c>
      <c r="J1988" s="15">
        <v>0</v>
      </c>
      <c r="K1988" s="15">
        <v>0</v>
      </c>
      <c r="L1988" s="15">
        <v>0</v>
      </c>
      <c r="M1988" s="15">
        <v>0</v>
      </c>
      <c r="N1988" s="15" t="str">
        <v/>
      </c>
      <c r="O1988" s="15" t="str">
        <v/>
      </c>
      <c r="P1988" s="22">
        <v>0</v>
      </c>
      <c r="Q1988">
        <v>0</v>
      </c>
    </row>
    <row r="1989" spans="1:17">
      <c r="A1989" s="19">
        <v>0</v>
      </c>
      <c r="B1989" s="19">
        <v>0</v>
      </c>
      <c r="C1989" s="19">
        <v>0</v>
      </c>
      <c r="D1989" s="19">
        <v>0</v>
      </c>
      <c r="E1989" s="19">
        <v>0</v>
      </c>
      <c r="F1989" s="19">
        <v>0</v>
      </c>
      <c r="G1989" s="19">
        <v>0</v>
      </c>
      <c r="H1989" s="19">
        <v>0</v>
      </c>
      <c r="I1989" s="15">
        <v>3500</v>
      </c>
      <c r="J1989" s="15">
        <v>0</v>
      </c>
      <c r="K1989" s="15">
        <v>0</v>
      </c>
      <c r="L1989" s="15">
        <v>0</v>
      </c>
      <c r="M1989" s="15">
        <v>0</v>
      </c>
      <c r="N1989" s="15" t="str">
        <v/>
      </c>
      <c r="O1989" s="15" t="str">
        <v/>
      </c>
      <c r="P1989" s="22">
        <v>0</v>
      </c>
      <c r="Q1989">
        <v>0</v>
      </c>
    </row>
    <row r="1990" spans="1:17">
      <c r="A1990" s="19">
        <v>0</v>
      </c>
      <c r="B1990" s="19">
        <v>0</v>
      </c>
      <c r="C1990" s="19">
        <v>0</v>
      </c>
      <c r="D1990" s="19">
        <v>0</v>
      </c>
      <c r="E1990" s="19">
        <v>0</v>
      </c>
      <c r="F1990" s="19">
        <v>0</v>
      </c>
      <c r="G1990" s="19">
        <v>0</v>
      </c>
      <c r="H1990" s="19">
        <v>0</v>
      </c>
      <c r="I1990" s="15">
        <v>3500</v>
      </c>
      <c r="J1990" s="15">
        <v>0</v>
      </c>
      <c r="K1990" s="15">
        <v>0</v>
      </c>
      <c r="L1990" s="15">
        <v>0</v>
      </c>
      <c r="M1990" s="15">
        <v>0</v>
      </c>
      <c r="N1990" s="15" t="str">
        <v/>
      </c>
      <c r="O1990" s="15" t="str">
        <v/>
      </c>
      <c r="P1990" s="22">
        <v>0</v>
      </c>
      <c r="Q1990">
        <v>0</v>
      </c>
    </row>
    <row r="1991" spans="1:17">
      <c r="A1991" s="19">
        <v>0</v>
      </c>
      <c r="B1991" s="19">
        <v>0</v>
      </c>
      <c r="C1991" s="19">
        <v>0</v>
      </c>
      <c r="D1991" s="19">
        <v>0</v>
      </c>
      <c r="E1991" s="19">
        <v>0</v>
      </c>
      <c r="F1991" s="19">
        <v>0</v>
      </c>
      <c r="G1991" s="19">
        <v>0</v>
      </c>
      <c r="H1991" s="19">
        <v>0</v>
      </c>
      <c r="I1991" s="15">
        <v>3500</v>
      </c>
      <c r="J1991" s="15">
        <v>0</v>
      </c>
      <c r="K1991" s="15">
        <v>0</v>
      </c>
      <c r="L1991" s="15">
        <v>0</v>
      </c>
      <c r="M1991" s="15">
        <v>0</v>
      </c>
      <c r="N1991" s="15" t="str">
        <v/>
      </c>
      <c r="O1991" s="15" t="str">
        <v/>
      </c>
      <c r="P1991" s="22">
        <v>0</v>
      </c>
      <c r="Q1991">
        <v>0</v>
      </c>
    </row>
    <row r="1992" spans="1:17">
      <c r="A1992" s="19">
        <v>0</v>
      </c>
      <c r="B1992" s="19">
        <v>0</v>
      </c>
      <c r="C1992" s="19">
        <v>0</v>
      </c>
      <c r="D1992" s="19">
        <v>0</v>
      </c>
      <c r="E1992" s="19">
        <v>0</v>
      </c>
      <c r="F1992" s="19">
        <v>0</v>
      </c>
      <c r="G1992" s="19">
        <v>0</v>
      </c>
      <c r="H1992" s="19">
        <v>0</v>
      </c>
      <c r="I1992" s="15">
        <v>3500</v>
      </c>
      <c r="J1992" s="15">
        <v>0</v>
      </c>
      <c r="K1992" s="15">
        <v>0</v>
      </c>
      <c r="L1992" s="15">
        <v>0</v>
      </c>
      <c r="M1992" s="15">
        <v>0</v>
      </c>
      <c r="N1992" s="15" t="str">
        <v/>
      </c>
      <c r="O1992" s="15" t="str">
        <v/>
      </c>
      <c r="P1992" s="22">
        <v>0</v>
      </c>
      <c r="Q1992">
        <v>0</v>
      </c>
    </row>
    <row r="1993" spans="1:17">
      <c r="A1993" s="19">
        <v>0</v>
      </c>
      <c r="B1993" s="19">
        <v>0</v>
      </c>
      <c r="C1993" s="19">
        <v>0</v>
      </c>
      <c r="D1993" s="19">
        <v>0</v>
      </c>
      <c r="E1993" s="19">
        <v>0</v>
      </c>
      <c r="F1993" s="19">
        <v>0</v>
      </c>
      <c r="G1993" s="19">
        <v>0</v>
      </c>
      <c r="H1993" s="19">
        <v>0</v>
      </c>
      <c r="I1993" s="15">
        <v>3500</v>
      </c>
      <c r="J1993" s="15">
        <v>0</v>
      </c>
      <c r="K1993" s="15">
        <v>0</v>
      </c>
      <c r="L1993" s="15">
        <v>0</v>
      </c>
      <c r="M1993" s="15">
        <v>0</v>
      </c>
      <c r="N1993" s="15" t="str">
        <v/>
      </c>
      <c r="O1993" s="15" t="str">
        <v/>
      </c>
      <c r="P1993" s="22">
        <v>0</v>
      </c>
      <c r="Q1993">
        <v>0</v>
      </c>
    </row>
    <row r="1994" spans="1:17">
      <c r="A1994" s="19">
        <v>0</v>
      </c>
      <c r="B1994" s="19">
        <v>0</v>
      </c>
      <c r="C1994" s="19">
        <v>0</v>
      </c>
      <c r="D1994" s="19">
        <v>0</v>
      </c>
      <c r="E1994" s="19">
        <v>0</v>
      </c>
      <c r="F1994" s="19">
        <v>0</v>
      </c>
      <c r="G1994" s="19">
        <v>0</v>
      </c>
      <c r="H1994" s="19">
        <v>0</v>
      </c>
      <c r="I1994" s="15">
        <v>3500</v>
      </c>
      <c r="J1994" s="15">
        <v>0</v>
      </c>
      <c r="K1994" s="15">
        <v>0</v>
      </c>
      <c r="L1994" s="15">
        <v>0</v>
      </c>
      <c r="M1994" s="15">
        <v>0</v>
      </c>
      <c r="N1994" s="15" t="str">
        <v/>
      </c>
      <c r="O1994" s="15" t="str">
        <v/>
      </c>
      <c r="P1994" s="22">
        <v>0</v>
      </c>
      <c r="Q1994">
        <v>0</v>
      </c>
    </row>
    <row r="1995" spans="1:17">
      <c r="A1995" s="19">
        <v>0</v>
      </c>
      <c r="B1995" s="19">
        <v>0</v>
      </c>
      <c r="C1995" s="19">
        <v>0</v>
      </c>
      <c r="D1995" s="19">
        <v>0</v>
      </c>
      <c r="E1995" s="19">
        <v>0</v>
      </c>
      <c r="F1995" s="19">
        <v>0</v>
      </c>
      <c r="G1995" s="19">
        <v>0</v>
      </c>
      <c r="H1995" s="19">
        <v>0</v>
      </c>
      <c r="I1995" s="15">
        <v>3500</v>
      </c>
      <c r="J1995" s="15">
        <v>0</v>
      </c>
      <c r="K1995" s="15">
        <v>0</v>
      </c>
      <c r="L1995" s="15">
        <v>0</v>
      </c>
      <c r="M1995" s="15">
        <v>0</v>
      </c>
      <c r="N1995" s="15" t="str">
        <v/>
      </c>
      <c r="O1995" s="15" t="str">
        <v/>
      </c>
      <c r="P1995" s="22">
        <v>0</v>
      </c>
      <c r="Q1995">
        <v>0</v>
      </c>
    </row>
    <row r="1996" spans="1:17">
      <c r="A1996" s="19">
        <v>0</v>
      </c>
      <c r="B1996" s="19">
        <v>0</v>
      </c>
      <c r="C1996" s="19">
        <v>0</v>
      </c>
      <c r="D1996" s="19">
        <v>0</v>
      </c>
      <c r="E1996" s="19">
        <v>0</v>
      </c>
      <c r="F1996" s="19">
        <v>0</v>
      </c>
      <c r="G1996" s="19">
        <v>0</v>
      </c>
      <c r="H1996" s="19">
        <v>0</v>
      </c>
      <c r="I1996" s="15">
        <v>3500</v>
      </c>
      <c r="J1996" s="15">
        <v>0</v>
      </c>
      <c r="K1996" s="15">
        <v>0</v>
      </c>
      <c r="L1996" s="15">
        <v>0</v>
      </c>
      <c r="M1996" s="15">
        <v>0</v>
      </c>
      <c r="N1996" s="15" t="str">
        <v/>
      </c>
      <c r="O1996" s="15" t="str">
        <v/>
      </c>
      <c r="P1996" s="22">
        <v>0</v>
      </c>
      <c r="Q1996">
        <v>0</v>
      </c>
    </row>
    <row r="1997" spans="1:17">
      <c r="A1997" s="19">
        <v>0</v>
      </c>
      <c r="B1997" s="19">
        <v>0</v>
      </c>
      <c r="C1997" s="19">
        <v>0</v>
      </c>
      <c r="D1997" s="19">
        <v>0</v>
      </c>
      <c r="E1997" s="19">
        <v>0</v>
      </c>
      <c r="F1997" s="19">
        <v>0</v>
      </c>
      <c r="G1997" s="19">
        <v>0</v>
      </c>
      <c r="H1997" s="19">
        <v>0</v>
      </c>
      <c r="I1997" s="15">
        <v>3500</v>
      </c>
      <c r="J1997" s="15">
        <v>0</v>
      </c>
      <c r="K1997" s="15">
        <v>0</v>
      </c>
      <c r="L1997" s="15">
        <v>0</v>
      </c>
      <c r="M1997" s="15">
        <v>0</v>
      </c>
      <c r="N1997" s="15" t="str">
        <v/>
      </c>
      <c r="O1997" s="15" t="str">
        <v/>
      </c>
      <c r="P1997" s="22">
        <v>0</v>
      </c>
      <c r="Q1997">
        <v>0</v>
      </c>
    </row>
    <row r="1998" spans="1:17">
      <c r="A1998" s="19">
        <v>0</v>
      </c>
      <c r="B1998" s="19">
        <v>0</v>
      </c>
      <c r="C1998" s="19">
        <v>0</v>
      </c>
      <c r="D1998" s="19">
        <v>0</v>
      </c>
      <c r="E1998" s="19">
        <v>0</v>
      </c>
      <c r="F1998" s="19">
        <v>0</v>
      </c>
      <c r="G1998" s="19">
        <v>0</v>
      </c>
      <c r="H1998" s="19">
        <v>0</v>
      </c>
      <c r="I1998" s="15">
        <v>3500</v>
      </c>
      <c r="J1998" s="15">
        <v>0</v>
      </c>
      <c r="K1998" s="15">
        <v>0</v>
      </c>
      <c r="L1998" s="15">
        <v>0</v>
      </c>
      <c r="M1998" s="15">
        <v>0</v>
      </c>
      <c r="N1998" s="15" t="str">
        <v/>
      </c>
      <c r="O1998" s="15" t="str">
        <v/>
      </c>
      <c r="P1998" s="22">
        <v>0</v>
      </c>
      <c r="Q1998">
        <v>0</v>
      </c>
    </row>
    <row r="1999" spans="1:17">
      <c r="A1999" s="19">
        <v>0</v>
      </c>
      <c r="B1999" s="19">
        <v>0</v>
      </c>
      <c r="C1999" s="19">
        <v>0</v>
      </c>
      <c r="D1999" s="19">
        <v>0</v>
      </c>
      <c r="E1999" s="19">
        <v>0</v>
      </c>
      <c r="F1999" s="19">
        <v>0</v>
      </c>
      <c r="G1999" s="19">
        <v>0</v>
      </c>
      <c r="H1999" s="19">
        <v>0</v>
      </c>
      <c r="I1999" s="15">
        <v>3500</v>
      </c>
      <c r="J1999" s="15">
        <v>0</v>
      </c>
      <c r="K1999" s="15">
        <v>0</v>
      </c>
      <c r="L1999" s="15">
        <v>0</v>
      </c>
      <c r="M1999" s="15">
        <v>0</v>
      </c>
      <c r="N1999" s="15" t="str">
        <v/>
      </c>
      <c r="O1999" s="15" t="str">
        <v/>
      </c>
      <c r="P1999" s="22">
        <v>0</v>
      </c>
      <c r="Q1999">
        <v>0</v>
      </c>
    </row>
    <row r="2000" spans="1:17">
      <c r="A2000" s="19">
        <v>0</v>
      </c>
      <c r="B2000" s="19">
        <v>0</v>
      </c>
      <c r="C2000" s="19">
        <v>0</v>
      </c>
      <c r="D2000" s="19">
        <v>0</v>
      </c>
      <c r="E2000" s="19">
        <v>0</v>
      </c>
      <c r="F2000" s="19">
        <v>0</v>
      </c>
      <c r="G2000" s="19">
        <v>0</v>
      </c>
      <c r="H2000" s="19">
        <v>0</v>
      </c>
      <c r="I2000" s="15">
        <v>3500</v>
      </c>
      <c r="J2000" s="15">
        <v>0</v>
      </c>
      <c r="K2000" s="15">
        <v>0</v>
      </c>
      <c r="L2000" s="15">
        <v>0</v>
      </c>
      <c r="M2000" s="15">
        <v>0</v>
      </c>
      <c r="N2000" s="15" t="str">
        <v/>
      </c>
      <c r="O2000" s="15" t="str">
        <v/>
      </c>
      <c r="P2000" s="22">
        <v>0</v>
      </c>
      <c r="Q2000">
        <v>0</v>
      </c>
    </row>
    <row r="2001" spans="1:17">
      <c r="A2001" s="19">
        <v>0</v>
      </c>
      <c r="B2001" s="19">
        <v>0</v>
      </c>
      <c r="C2001" s="19">
        <v>0</v>
      </c>
      <c r="D2001" s="19">
        <v>0</v>
      </c>
      <c r="E2001" s="19">
        <v>0</v>
      </c>
      <c r="F2001" s="19">
        <v>0</v>
      </c>
      <c r="G2001" s="19">
        <v>0</v>
      </c>
      <c r="H2001" s="19">
        <v>0</v>
      </c>
      <c r="I2001" s="15">
        <v>3500</v>
      </c>
      <c r="J2001" s="15">
        <v>0</v>
      </c>
      <c r="K2001" s="15">
        <v>0</v>
      </c>
      <c r="L2001" s="15">
        <v>0</v>
      </c>
      <c r="M2001" s="15">
        <v>0</v>
      </c>
      <c r="N2001" s="15" t="str">
        <v/>
      </c>
      <c r="O2001" s="15" t="str">
        <v/>
      </c>
      <c r="P2001" s="22">
        <v>0</v>
      </c>
      <c r="Q2001">
        <v>0</v>
      </c>
    </row>
    <row r="2002" spans="1:17">
      <c r="A2002" s="19">
        <v>0</v>
      </c>
      <c r="B2002" s="19">
        <v>0</v>
      </c>
      <c r="C2002" s="19">
        <v>0</v>
      </c>
      <c r="D2002" s="19">
        <v>0</v>
      </c>
      <c r="E2002" s="19">
        <v>0</v>
      </c>
      <c r="F2002" s="19">
        <v>0</v>
      </c>
      <c r="G2002" s="19">
        <v>0</v>
      </c>
      <c r="H2002" s="19">
        <v>0</v>
      </c>
      <c r="I2002" s="15">
        <v>3500</v>
      </c>
      <c r="J2002" s="15">
        <v>0</v>
      </c>
      <c r="K2002" s="15">
        <v>0</v>
      </c>
      <c r="L2002" s="15">
        <v>0</v>
      </c>
      <c r="M2002" s="15">
        <v>0</v>
      </c>
      <c r="N2002" s="15" t="str">
        <v/>
      </c>
      <c r="O2002" s="15" t="str">
        <v/>
      </c>
      <c r="P2002" s="22">
        <v>0</v>
      </c>
      <c r="Q2002">
        <v>0</v>
      </c>
    </row>
    <row r="2003" spans="1:17">
      <c r="A2003" s="19">
        <v>0</v>
      </c>
      <c r="B2003" s="19">
        <v>0</v>
      </c>
      <c r="C2003" s="19">
        <v>0</v>
      </c>
      <c r="D2003" s="19">
        <v>0</v>
      </c>
      <c r="E2003" s="19">
        <v>0</v>
      </c>
      <c r="F2003" s="19">
        <v>0</v>
      </c>
      <c r="G2003" s="19">
        <v>0</v>
      </c>
      <c r="H2003" s="19">
        <v>0</v>
      </c>
      <c r="I2003" s="15">
        <v>3500</v>
      </c>
      <c r="J2003" s="15">
        <v>0</v>
      </c>
      <c r="K2003" s="15">
        <v>0</v>
      </c>
      <c r="L2003" s="15">
        <v>0</v>
      </c>
      <c r="M2003" s="15">
        <v>0</v>
      </c>
      <c r="N2003" s="15" t="str">
        <v/>
      </c>
      <c r="O2003" s="15" t="str">
        <v/>
      </c>
      <c r="P2003" s="22">
        <v>0</v>
      </c>
      <c r="Q2003">
        <v>0</v>
      </c>
    </row>
    <row r="2004" spans="1:17">
      <c r="A2004" s="19">
        <v>0</v>
      </c>
      <c r="B2004" s="19">
        <v>0</v>
      </c>
      <c r="C2004" s="19">
        <v>0</v>
      </c>
      <c r="D2004" s="19">
        <v>0</v>
      </c>
      <c r="E2004" s="19">
        <v>0</v>
      </c>
      <c r="F2004" s="19">
        <v>0</v>
      </c>
      <c r="G2004" s="19">
        <v>0</v>
      </c>
      <c r="H2004" s="19">
        <v>0</v>
      </c>
      <c r="I2004" s="15">
        <v>3500</v>
      </c>
      <c r="J2004" s="15">
        <v>0</v>
      </c>
      <c r="K2004" s="15">
        <v>0</v>
      </c>
      <c r="L2004" s="15">
        <v>0</v>
      </c>
      <c r="M2004" s="15">
        <v>0</v>
      </c>
      <c r="N2004" s="15" t="str">
        <v/>
      </c>
      <c r="O2004" s="15" t="str">
        <v/>
      </c>
      <c r="P2004" s="22">
        <v>0</v>
      </c>
      <c r="Q2004">
        <v>0</v>
      </c>
    </row>
    <row r="2005" spans="1:17">
      <c r="A2005" s="19">
        <v>0</v>
      </c>
      <c r="B2005" s="19">
        <v>0</v>
      </c>
      <c r="C2005" s="19">
        <v>0</v>
      </c>
      <c r="D2005" s="19">
        <v>0</v>
      </c>
      <c r="E2005" s="19">
        <v>0</v>
      </c>
      <c r="F2005" s="19">
        <v>0</v>
      </c>
      <c r="G2005" s="19">
        <v>0</v>
      </c>
      <c r="H2005" s="19">
        <v>0</v>
      </c>
      <c r="I2005" s="15">
        <v>3500</v>
      </c>
      <c r="J2005" s="15">
        <v>0</v>
      </c>
      <c r="K2005" s="15">
        <v>0</v>
      </c>
      <c r="L2005" s="15">
        <v>0</v>
      </c>
      <c r="M2005" s="15">
        <v>0</v>
      </c>
      <c r="N2005" s="15" t="str">
        <v/>
      </c>
      <c r="O2005" s="15" t="str">
        <v/>
      </c>
      <c r="P2005" s="22">
        <v>0</v>
      </c>
      <c r="Q2005">
        <v>0</v>
      </c>
    </row>
    <row r="2006" spans="1:17">
      <c r="A2006" s="19">
        <v>0</v>
      </c>
      <c r="B2006" s="19">
        <v>0</v>
      </c>
      <c r="C2006" s="19">
        <v>0</v>
      </c>
      <c r="D2006" s="19">
        <v>0</v>
      </c>
      <c r="E2006" s="19">
        <v>0</v>
      </c>
      <c r="F2006" s="19">
        <v>0</v>
      </c>
      <c r="G2006" s="19">
        <v>0</v>
      </c>
      <c r="H2006" s="19">
        <v>0</v>
      </c>
      <c r="I2006" s="15">
        <v>3500</v>
      </c>
      <c r="J2006" s="15">
        <v>0</v>
      </c>
      <c r="K2006" s="15">
        <v>0</v>
      </c>
      <c r="L2006" s="15">
        <v>0</v>
      </c>
      <c r="M2006" s="15">
        <v>0</v>
      </c>
      <c r="N2006" s="15" t="str">
        <v/>
      </c>
      <c r="O2006" s="15" t="str">
        <v/>
      </c>
      <c r="P2006" s="22">
        <v>0</v>
      </c>
      <c r="Q2006">
        <v>0</v>
      </c>
    </row>
    <row r="2007" spans="1:17">
      <c r="A2007" s="19">
        <v>0</v>
      </c>
      <c r="B2007" s="19">
        <v>0</v>
      </c>
      <c r="C2007" s="19">
        <v>0</v>
      </c>
      <c r="D2007" s="19">
        <v>0</v>
      </c>
      <c r="E2007" s="19">
        <v>0</v>
      </c>
      <c r="F2007" s="19">
        <v>0</v>
      </c>
      <c r="G2007" s="19">
        <v>0</v>
      </c>
      <c r="H2007" s="19">
        <v>0</v>
      </c>
      <c r="I2007" s="15">
        <v>3500</v>
      </c>
      <c r="J2007" s="15">
        <v>0</v>
      </c>
      <c r="K2007" s="15">
        <v>0</v>
      </c>
      <c r="L2007" s="15">
        <v>0</v>
      </c>
      <c r="M2007" s="15">
        <v>0</v>
      </c>
      <c r="N2007" s="15" t="str">
        <v/>
      </c>
      <c r="O2007" s="15" t="str">
        <v/>
      </c>
      <c r="P2007" s="22">
        <v>0</v>
      </c>
      <c r="Q2007">
        <v>0</v>
      </c>
    </row>
    <row r="2008" spans="1:17">
      <c r="A2008" s="19">
        <v>0</v>
      </c>
      <c r="B2008" s="19">
        <v>0</v>
      </c>
      <c r="C2008" s="19">
        <v>0</v>
      </c>
      <c r="D2008" s="19">
        <v>0</v>
      </c>
      <c r="E2008" s="19">
        <v>0</v>
      </c>
      <c r="F2008" s="19">
        <v>0</v>
      </c>
      <c r="G2008" s="19">
        <v>0</v>
      </c>
      <c r="H2008" s="19">
        <v>0</v>
      </c>
      <c r="I2008" s="15">
        <v>3500</v>
      </c>
      <c r="J2008" s="15">
        <v>0</v>
      </c>
      <c r="K2008" s="15">
        <v>0</v>
      </c>
      <c r="L2008" s="15">
        <v>0</v>
      </c>
      <c r="M2008" s="15">
        <v>0</v>
      </c>
      <c r="N2008" s="15" t="str">
        <v/>
      </c>
      <c r="O2008" s="15" t="str">
        <v/>
      </c>
      <c r="P2008" s="22">
        <v>0</v>
      </c>
      <c r="Q2008">
        <v>0</v>
      </c>
    </row>
    <row r="2009" spans="1:17">
      <c r="A2009" s="19">
        <v>0</v>
      </c>
      <c r="B2009" s="19">
        <v>0</v>
      </c>
      <c r="C2009" s="19">
        <v>0</v>
      </c>
      <c r="D2009" s="19">
        <v>0</v>
      </c>
      <c r="E2009" s="19">
        <v>0</v>
      </c>
      <c r="F2009" s="19">
        <v>0</v>
      </c>
      <c r="G2009" s="19">
        <v>0</v>
      </c>
      <c r="H2009" s="19">
        <v>0</v>
      </c>
      <c r="I2009" s="15">
        <v>3500</v>
      </c>
      <c r="J2009" s="15">
        <v>0</v>
      </c>
      <c r="K2009" s="15">
        <v>0</v>
      </c>
      <c r="L2009" s="15">
        <v>0</v>
      </c>
      <c r="M2009" s="15">
        <v>0</v>
      </c>
      <c r="N2009" s="15" t="str">
        <v/>
      </c>
      <c r="O2009" s="15" t="str">
        <v/>
      </c>
      <c r="P2009" s="22">
        <v>0</v>
      </c>
      <c r="Q2009">
        <v>0</v>
      </c>
    </row>
    <row r="2010" spans="1:17">
      <c r="A2010" s="19">
        <v>0</v>
      </c>
      <c r="B2010" s="19">
        <v>0</v>
      </c>
      <c r="C2010" s="19">
        <v>0</v>
      </c>
      <c r="D2010" s="19">
        <v>0</v>
      </c>
      <c r="E2010" s="19">
        <v>0</v>
      </c>
      <c r="F2010" s="19">
        <v>0</v>
      </c>
      <c r="G2010" s="19">
        <v>0</v>
      </c>
      <c r="H2010" s="19">
        <v>0</v>
      </c>
      <c r="I2010" s="15">
        <v>3500</v>
      </c>
      <c r="J2010" s="15">
        <v>0</v>
      </c>
      <c r="K2010" s="15">
        <v>0</v>
      </c>
      <c r="L2010" s="15">
        <v>0</v>
      </c>
      <c r="M2010" s="15">
        <v>0</v>
      </c>
      <c r="N2010" s="15" t="str">
        <v/>
      </c>
      <c r="O2010" s="15" t="str">
        <v/>
      </c>
      <c r="P2010" s="22">
        <v>0</v>
      </c>
      <c r="Q2010">
        <v>0</v>
      </c>
    </row>
    <row r="2011" spans="1:17">
      <c r="A2011" s="19">
        <v>0</v>
      </c>
      <c r="B2011" s="19">
        <v>0</v>
      </c>
      <c r="C2011" s="19">
        <v>0</v>
      </c>
      <c r="D2011" s="19">
        <v>0</v>
      </c>
      <c r="E2011" s="19">
        <v>0</v>
      </c>
      <c r="F2011" s="19">
        <v>0</v>
      </c>
      <c r="G2011" s="19">
        <v>0</v>
      </c>
      <c r="H2011" s="19">
        <v>0</v>
      </c>
      <c r="I2011" s="15">
        <v>3500</v>
      </c>
      <c r="J2011" s="15">
        <v>0</v>
      </c>
      <c r="K2011" s="15">
        <v>0</v>
      </c>
      <c r="L2011" s="15">
        <v>0</v>
      </c>
      <c r="M2011" s="15">
        <v>0</v>
      </c>
      <c r="N2011" s="15" t="str">
        <v/>
      </c>
      <c r="O2011" s="15" t="str">
        <v/>
      </c>
      <c r="P2011" s="22">
        <v>0</v>
      </c>
      <c r="Q2011">
        <v>0</v>
      </c>
    </row>
    <row r="2012" spans="1:17">
      <c r="A2012" s="19">
        <v>0</v>
      </c>
      <c r="B2012" s="19">
        <v>0</v>
      </c>
      <c r="C2012" s="19">
        <v>0</v>
      </c>
      <c r="D2012" s="19">
        <v>0</v>
      </c>
      <c r="E2012" s="19">
        <v>0</v>
      </c>
      <c r="F2012" s="19">
        <v>0</v>
      </c>
      <c r="G2012" s="19">
        <v>0</v>
      </c>
      <c r="H2012" s="19">
        <v>0</v>
      </c>
      <c r="I2012" s="15">
        <v>3500</v>
      </c>
      <c r="J2012" s="15">
        <v>0</v>
      </c>
      <c r="K2012" s="15">
        <v>0</v>
      </c>
      <c r="L2012" s="15">
        <v>0</v>
      </c>
      <c r="M2012" s="15">
        <v>0</v>
      </c>
      <c r="N2012" s="15" t="str">
        <v/>
      </c>
      <c r="O2012" s="15" t="str">
        <v/>
      </c>
      <c r="P2012" s="22">
        <v>0</v>
      </c>
      <c r="Q2012">
        <v>0</v>
      </c>
    </row>
    <row r="2013" spans="1:17">
      <c r="A2013" s="19">
        <v>0</v>
      </c>
      <c r="B2013" s="19">
        <v>0</v>
      </c>
      <c r="C2013" s="19">
        <v>0</v>
      </c>
      <c r="D2013" s="19">
        <v>0</v>
      </c>
      <c r="E2013" s="19">
        <v>0</v>
      </c>
      <c r="F2013" s="19">
        <v>0</v>
      </c>
      <c r="G2013" s="19">
        <v>0</v>
      </c>
      <c r="H2013" s="19">
        <v>0</v>
      </c>
      <c r="I2013" s="15">
        <v>3500</v>
      </c>
      <c r="J2013" s="15">
        <v>0</v>
      </c>
      <c r="K2013" s="15">
        <v>0</v>
      </c>
      <c r="L2013" s="15">
        <v>0</v>
      </c>
      <c r="M2013" s="15">
        <v>0</v>
      </c>
      <c r="N2013" s="15" t="str">
        <v/>
      </c>
      <c r="O2013" s="15" t="str">
        <v/>
      </c>
      <c r="P2013" s="22">
        <v>0</v>
      </c>
      <c r="Q2013">
        <v>0</v>
      </c>
    </row>
    <row r="2014" spans="1:17">
      <c r="A2014" s="19">
        <v>0</v>
      </c>
      <c r="B2014" s="19">
        <v>0</v>
      </c>
      <c r="C2014" s="19">
        <v>0</v>
      </c>
      <c r="D2014" s="19">
        <v>0</v>
      </c>
      <c r="E2014" s="19">
        <v>0</v>
      </c>
      <c r="F2014" s="19">
        <v>0</v>
      </c>
      <c r="G2014" s="19">
        <v>0</v>
      </c>
      <c r="H2014" s="19">
        <v>0</v>
      </c>
      <c r="I2014" s="15">
        <v>3500</v>
      </c>
      <c r="J2014" s="15">
        <v>0</v>
      </c>
      <c r="K2014" s="15">
        <v>0</v>
      </c>
      <c r="L2014" s="15">
        <v>0</v>
      </c>
      <c r="M2014" s="15">
        <v>0</v>
      </c>
      <c r="N2014" s="15" t="str">
        <v/>
      </c>
      <c r="O2014" s="15" t="str">
        <v/>
      </c>
      <c r="P2014" s="22">
        <v>0</v>
      </c>
      <c r="Q2014">
        <v>0</v>
      </c>
    </row>
    <row r="2015" spans="1:17">
      <c r="A2015" s="19">
        <v>0</v>
      </c>
      <c r="B2015" s="19">
        <v>0</v>
      </c>
      <c r="C2015" s="19">
        <v>0</v>
      </c>
      <c r="D2015" s="19">
        <v>0</v>
      </c>
      <c r="E2015" s="19">
        <v>0</v>
      </c>
      <c r="F2015" s="19">
        <v>0</v>
      </c>
      <c r="G2015" s="19">
        <v>0</v>
      </c>
      <c r="H2015" s="19">
        <v>0</v>
      </c>
      <c r="I2015" s="15">
        <v>3500</v>
      </c>
      <c r="J2015" s="15">
        <v>0</v>
      </c>
      <c r="K2015" s="15">
        <v>0</v>
      </c>
      <c r="L2015" s="15">
        <v>0</v>
      </c>
      <c r="M2015" s="15">
        <v>0</v>
      </c>
      <c r="N2015" s="15" t="str">
        <v/>
      </c>
      <c r="O2015" s="15" t="str">
        <v/>
      </c>
      <c r="P2015" s="22">
        <v>0</v>
      </c>
      <c r="Q2015">
        <v>0</v>
      </c>
    </row>
    <row r="2016" spans="1:17">
      <c r="A2016" s="19">
        <v>0</v>
      </c>
      <c r="B2016" s="19">
        <v>0</v>
      </c>
      <c r="C2016" s="19">
        <v>0</v>
      </c>
      <c r="D2016" s="19">
        <v>0</v>
      </c>
      <c r="E2016" s="19">
        <v>0</v>
      </c>
      <c r="F2016" s="19">
        <v>0</v>
      </c>
      <c r="G2016" s="19">
        <v>0</v>
      </c>
      <c r="H2016" s="19">
        <v>0</v>
      </c>
      <c r="I2016" s="15">
        <v>3500</v>
      </c>
      <c r="J2016" s="15">
        <v>0</v>
      </c>
      <c r="K2016" s="15">
        <v>0</v>
      </c>
      <c r="L2016" s="15">
        <v>0</v>
      </c>
      <c r="M2016" s="15">
        <v>0</v>
      </c>
      <c r="N2016" s="15" t="str">
        <v/>
      </c>
      <c r="O2016" s="15" t="str">
        <v/>
      </c>
      <c r="P2016" s="22">
        <v>0</v>
      </c>
      <c r="Q2016">
        <v>0</v>
      </c>
    </row>
    <row r="2017" spans="1:17">
      <c r="A2017" s="19">
        <v>0</v>
      </c>
      <c r="B2017" s="19">
        <v>0</v>
      </c>
      <c r="C2017" s="19">
        <v>0</v>
      </c>
      <c r="D2017" s="19">
        <v>0</v>
      </c>
      <c r="E2017" s="19">
        <v>0</v>
      </c>
      <c r="F2017" s="19">
        <v>0</v>
      </c>
      <c r="G2017" s="19">
        <v>0</v>
      </c>
      <c r="H2017" s="19">
        <v>0</v>
      </c>
      <c r="I2017" s="15">
        <v>3500</v>
      </c>
      <c r="J2017" s="15">
        <v>0</v>
      </c>
      <c r="K2017" s="15">
        <v>0</v>
      </c>
      <c r="L2017" s="15">
        <v>0</v>
      </c>
      <c r="M2017" s="15">
        <v>0</v>
      </c>
      <c r="N2017" s="15" t="str">
        <v/>
      </c>
      <c r="O2017" s="15" t="str">
        <v/>
      </c>
      <c r="P2017" s="22">
        <v>0</v>
      </c>
      <c r="Q2017">
        <v>0</v>
      </c>
    </row>
    <row r="2018" spans="1:17">
      <c r="A2018" s="19">
        <v>0</v>
      </c>
      <c r="B2018" s="19">
        <v>0</v>
      </c>
      <c r="C2018" s="19">
        <v>0</v>
      </c>
      <c r="D2018" s="19">
        <v>0</v>
      </c>
      <c r="E2018" s="19">
        <v>0</v>
      </c>
      <c r="F2018" s="19">
        <v>0</v>
      </c>
      <c r="G2018" s="19">
        <v>0</v>
      </c>
      <c r="H2018" s="19">
        <v>0</v>
      </c>
      <c r="I2018" s="15">
        <v>3500</v>
      </c>
      <c r="J2018" s="15">
        <v>0</v>
      </c>
      <c r="K2018" s="15">
        <v>0</v>
      </c>
      <c r="L2018" s="15">
        <v>0</v>
      </c>
      <c r="M2018" s="15">
        <v>0</v>
      </c>
      <c r="N2018" s="15" t="str">
        <v/>
      </c>
      <c r="O2018" s="15" t="str">
        <v/>
      </c>
      <c r="P2018" s="22">
        <v>0</v>
      </c>
      <c r="Q2018">
        <v>0</v>
      </c>
    </row>
    <row r="2019" spans="1:17">
      <c r="A2019" s="19">
        <v>0</v>
      </c>
      <c r="B2019" s="19">
        <v>0</v>
      </c>
      <c r="C2019" s="19">
        <v>0</v>
      </c>
      <c r="D2019" s="19">
        <v>0</v>
      </c>
      <c r="E2019" s="19">
        <v>0</v>
      </c>
      <c r="F2019" s="19">
        <v>0</v>
      </c>
      <c r="G2019" s="19">
        <v>0</v>
      </c>
      <c r="H2019" s="19">
        <v>0</v>
      </c>
      <c r="I2019" s="15">
        <v>3500</v>
      </c>
      <c r="J2019" s="15">
        <v>0</v>
      </c>
      <c r="K2019" s="15">
        <v>0</v>
      </c>
      <c r="L2019" s="15">
        <v>0</v>
      </c>
      <c r="M2019" s="15">
        <v>0</v>
      </c>
      <c r="N2019" s="15" t="str">
        <v/>
      </c>
      <c r="O2019" s="15" t="str">
        <v/>
      </c>
      <c r="P2019" s="22">
        <v>0</v>
      </c>
      <c r="Q2019">
        <v>0</v>
      </c>
    </row>
    <row r="2020" spans="1:17">
      <c r="A2020" s="19">
        <v>0</v>
      </c>
      <c r="B2020" s="19">
        <v>0</v>
      </c>
      <c r="C2020" s="19">
        <v>0</v>
      </c>
      <c r="D2020" s="19">
        <v>0</v>
      </c>
      <c r="E2020" s="19">
        <v>0</v>
      </c>
      <c r="F2020" s="19">
        <v>0</v>
      </c>
      <c r="G2020" s="19">
        <v>0</v>
      </c>
      <c r="H2020" s="19">
        <v>0</v>
      </c>
      <c r="I2020" s="15">
        <v>3500</v>
      </c>
      <c r="J2020" s="15">
        <v>0</v>
      </c>
      <c r="K2020" s="15">
        <v>0</v>
      </c>
      <c r="L2020" s="15">
        <v>0</v>
      </c>
      <c r="M2020" s="15">
        <v>0</v>
      </c>
      <c r="N2020" s="15" t="str">
        <v/>
      </c>
      <c r="O2020" s="15" t="str">
        <v/>
      </c>
      <c r="P2020" s="22">
        <v>0</v>
      </c>
      <c r="Q2020">
        <v>0</v>
      </c>
    </row>
    <row r="2021" spans="1:17">
      <c r="A2021" s="19">
        <v>0</v>
      </c>
      <c r="B2021" s="19">
        <v>0</v>
      </c>
      <c r="C2021" s="19">
        <v>0</v>
      </c>
      <c r="D2021" s="19">
        <v>0</v>
      </c>
      <c r="E2021" s="19">
        <v>0</v>
      </c>
      <c r="F2021" s="19">
        <v>0</v>
      </c>
      <c r="G2021" s="19">
        <v>0</v>
      </c>
      <c r="H2021" s="19">
        <v>0</v>
      </c>
      <c r="I2021" s="15">
        <v>3500</v>
      </c>
      <c r="J2021" s="15">
        <v>0</v>
      </c>
      <c r="K2021" s="15">
        <v>0</v>
      </c>
      <c r="L2021" s="15">
        <v>0</v>
      </c>
      <c r="M2021" s="15">
        <v>0</v>
      </c>
      <c r="N2021" s="15" t="str">
        <v/>
      </c>
      <c r="O2021" s="15" t="str">
        <v/>
      </c>
      <c r="P2021" s="22">
        <v>0</v>
      </c>
      <c r="Q2021">
        <v>0</v>
      </c>
    </row>
    <row r="2022" spans="1:17">
      <c r="A2022" s="19">
        <v>0</v>
      </c>
      <c r="B2022" s="19">
        <v>0</v>
      </c>
      <c r="C2022" s="19">
        <v>0</v>
      </c>
      <c r="D2022" s="19">
        <v>0</v>
      </c>
      <c r="E2022" s="19">
        <v>0</v>
      </c>
      <c r="F2022" s="19">
        <v>0</v>
      </c>
      <c r="G2022" s="19">
        <v>0</v>
      </c>
      <c r="H2022" s="19">
        <v>0</v>
      </c>
      <c r="I2022" s="15">
        <v>3500</v>
      </c>
      <c r="J2022" s="15">
        <v>0</v>
      </c>
      <c r="K2022" s="15">
        <v>0</v>
      </c>
      <c r="L2022" s="15">
        <v>0</v>
      </c>
      <c r="M2022" s="15">
        <v>0</v>
      </c>
      <c r="N2022" s="15" t="str">
        <v/>
      </c>
      <c r="O2022" s="15" t="str">
        <v/>
      </c>
      <c r="P2022" s="22">
        <v>0</v>
      </c>
      <c r="Q2022">
        <v>0</v>
      </c>
    </row>
    <row r="2023" spans="1:17">
      <c r="A2023" s="19">
        <v>0</v>
      </c>
      <c r="B2023" s="19">
        <v>0</v>
      </c>
      <c r="C2023" s="19">
        <v>0</v>
      </c>
      <c r="D2023" s="19">
        <v>0</v>
      </c>
      <c r="E2023" s="19">
        <v>0</v>
      </c>
      <c r="F2023" s="19">
        <v>0</v>
      </c>
      <c r="G2023" s="19">
        <v>0</v>
      </c>
      <c r="H2023" s="19">
        <v>0</v>
      </c>
      <c r="I2023" s="15">
        <v>3500</v>
      </c>
      <c r="J2023" s="15">
        <v>0</v>
      </c>
      <c r="K2023" s="15">
        <v>0</v>
      </c>
      <c r="L2023" s="15">
        <v>0</v>
      </c>
      <c r="M2023" s="15">
        <v>0</v>
      </c>
      <c r="N2023" s="15" t="str">
        <v/>
      </c>
      <c r="O2023" s="15" t="str">
        <v/>
      </c>
      <c r="P2023" s="22">
        <v>0</v>
      </c>
      <c r="Q2023">
        <v>0</v>
      </c>
    </row>
    <row r="2024" spans="1:17">
      <c r="A2024" s="19">
        <v>0</v>
      </c>
      <c r="B2024" s="19">
        <v>0</v>
      </c>
      <c r="C2024" s="19">
        <v>0</v>
      </c>
      <c r="D2024" s="19">
        <v>0</v>
      </c>
      <c r="E2024" s="19">
        <v>0</v>
      </c>
      <c r="F2024" s="19">
        <v>0</v>
      </c>
      <c r="G2024" s="19">
        <v>0</v>
      </c>
      <c r="H2024" s="19">
        <v>0</v>
      </c>
      <c r="I2024" s="15">
        <v>3500</v>
      </c>
      <c r="J2024" s="15">
        <v>0</v>
      </c>
      <c r="K2024" s="15">
        <v>0</v>
      </c>
      <c r="L2024" s="15">
        <v>0</v>
      </c>
      <c r="M2024" s="15">
        <v>0</v>
      </c>
      <c r="N2024" s="15" t="str">
        <v/>
      </c>
      <c r="O2024" s="15" t="str">
        <v/>
      </c>
      <c r="P2024" s="22">
        <v>0</v>
      </c>
      <c r="Q2024">
        <v>0</v>
      </c>
    </row>
    <row r="2025" spans="1:17">
      <c r="A2025" s="19">
        <v>0</v>
      </c>
      <c r="B2025" s="19">
        <v>0</v>
      </c>
      <c r="C2025" s="19">
        <v>0</v>
      </c>
      <c r="D2025" s="19">
        <v>0</v>
      </c>
      <c r="E2025" s="19">
        <v>0</v>
      </c>
      <c r="F2025" s="19">
        <v>0</v>
      </c>
      <c r="G2025" s="19">
        <v>0</v>
      </c>
      <c r="H2025" s="19">
        <v>0</v>
      </c>
      <c r="I2025" s="15">
        <v>3500</v>
      </c>
      <c r="J2025" s="15">
        <v>0</v>
      </c>
      <c r="K2025" s="15">
        <v>0</v>
      </c>
      <c r="L2025" s="15">
        <v>0</v>
      </c>
      <c r="M2025" s="15">
        <v>0</v>
      </c>
      <c r="N2025" s="15" t="str">
        <v/>
      </c>
      <c r="O2025" s="15" t="str">
        <v/>
      </c>
      <c r="P2025" s="22">
        <v>0</v>
      </c>
      <c r="Q2025">
        <v>0</v>
      </c>
    </row>
    <row r="2026" spans="1:17">
      <c r="A2026" s="19">
        <v>0</v>
      </c>
      <c r="B2026" s="19">
        <v>0</v>
      </c>
      <c r="C2026" s="19">
        <v>0</v>
      </c>
      <c r="D2026" s="19">
        <v>0</v>
      </c>
      <c r="E2026" s="19">
        <v>0</v>
      </c>
      <c r="F2026" s="19">
        <v>0</v>
      </c>
      <c r="G2026" s="19">
        <v>0</v>
      </c>
      <c r="H2026" s="19">
        <v>0</v>
      </c>
      <c r="I2026" s="15">
        <v>3500</v>
      </c>
      <c r="J2026" s="15">
        <v>0</v>
      </c>
      <c r="K2026" s="15">
        <v>0</v>
      </c>
      <c r="L2026" s="15">
        <v>0</v>
      </c>
      <c r="M2026" s="15">
        <v>0</v>
      </c>
      <c r="N2026" s="15" t="str">
        <v/>
      </c>
      <c r="O2026" s="15" t="str">
        <v/>
      </c>
      <c r="P2026" s="22">
        <v>0</v>
      </c>
      <c r="Q2026">
        <v>0</v>
      </c>
    </row>
    <row r="2027" spans="1:17">
      <c r="A2027" s="19">
        <v>0</v>
      </c>
      <c r="B2027" s="19">
        <v>0</v>
      </c>
      <c r="C2027" s="19">
        <v>0</v>
      </c>
      <c r="D2027" s="19">
        <v>0</v>
      </c>
      <c r="E2027" s="19">
        <v>0</v>
      </c>
      <c r="F2027" s="19">
        <v>0</v>
      </c>
      <c r="G2027" s="19">
        <v>0</v>
      </c>
      <c r="H2027" s="19">
        <v>0</v>
      </c>
      <c r="I2027" s="15">
        <v>3500</v>
      </c>
      <c r="J2027" s="15">
        <v>0</v>
      </c>
      <c r="K2027" s="15">
        <v>0</v>
      </c>
      <c r="L2027" s="15">
        <v>0</v>
      </c>
      <c r="M2027" s="15">
        <v>0</v>
      </c>
      <c r="N2027" s="15" t="str">
        <v/>
      </c>
      <c r="O2027" s="15" t="str">
        <v/>
      </c>
      <c r="P2027" s="22">
        <v>0</v>
      </c>
      <c r="Q2027">
        <v>0</v>
      </c>
    </row>
    <row r="2028" spans="1:17">
      <c r="A2028" s="19">
        <v>0</v>
      </c>
      <c r="B2028" s="19">
        <v>0</v>
      </c>
      <c r="C2028" s="19">
        <v>0</v>
      </c>
      <c r="D2028" s="19">
        <v>0</v>
      </c>
      <c r="E2028" s="19">
        <v>0</v>
      </c>
      <c r="F2028" s="19">
        <v>0</v>
      </c>
      <c r="G2028" s="19">
        <v>0</v>
      </c>
      <c r="H2028" s="19">
        <v>0</v>
      </c>
      <c r="I2028" s="15">
        <v>3500</v>
      </c>
      <c r="J2028" s="15">
        <v>0</v>
      </c>
      <c r="K2028" s="15">
        <v>0</v>
      </c>
      <c r="L2028" s="15">
        <v>0</v>
      </c>
      <c r="M2028" s="15">
        <v>0</v>
      </c>
      <c r="N2028" s="15" t="str">
        <v/>
      </c>
      <c r="O2028" s="15" t="str">
        <v/>
      </c>
      <c r="P2028" s="22">
        <v>0</v>
      </c>
      <c r="Q2028">
        <v>0</v>
      </c>
    </row>
    <row r="2029" spans="1:17">
      <c r="A2029" s="19">
        <v>0</v>
      </c>
      <c r="B2029" s="19">
        <v>0</v>
      </c>
      <c r="C2029" s="19">
        <v>0</v>
      </c>
      <c r="D2029" s="19">
        <v>0</v>
      </c>
      <c r="E2029" s="19">
        <v>0</v>
      </c>
      <c r="F2029" s="19">
        <v>0</v>
      </c>
      <c r="G2029" s="19">
        <v>0</v>
      </c>
      <c r="H2029" s="19">
        <v>0</v>
      </c>
      <c r="I2029" s="15">
        <v>3500</v>
      </c>
      <c r="J2029" s="15">
        <v>0</v>
      </c>
      <c r="K2029" s="15">
        <v>0</v>
      </c>
      <c r="L2029" s="15">
        <v>0</v>
      </c>
      <c r="M2029" s="15">
        <v>0</v>
      </c>
      <c r="N2029" s="15" t="str">
        <v/>
      </c>
      <c r="O2029" s="15" t="str">
        <v/>
      </c>
      <c r="P2029" s="22">
        <v>0</v>
      </c>
      <c r="Q2029">
        <v>0</v>
      </c>
    </row>
    <row r="2030" spans="1:17">
      <c r="A2030" s="19">
        <v>0</v>
      </c>
      <c r="B2030" s="19">
        <v>0</v>
      </c>
      <c r="C2030" s="19">
        <v>0</v>
      </c>
      <c r="D2030" s="19">
        <v>0</v>
      </c>
      <c r="E2030" s="19">
        <v>0</v>
      </c>
      <c r="F2030" s="19">
        <v>0</v>
      </c>
      <c r="G2030" s="19">
        <v>0</v>
      </c>
      <c r="H2030" s="19">
        <v>0</v>
      </c>
      <c r="I2030" s="15">
        <v>3500</v>
      </c>
      <c r="J2030" s="15">
        <v>0</v>
      </c>
      <c r="K2030" s="15">
        <v>0</v>
      </c>
      <c r="L2030" s="15">
        <v>0</v>
      </c>
      <c r="M2030" s="15">
        <v>0</v>
      </c>
      <c r="N2030" s="15" t="str">
        <v/>
      </c>
      <c r="O2030" s="15" t="str">
        <v/>
      </c>
      <c r="P2030" s="22">
        <v>0</v>
      </c>
      <c r="Q2030">
        <v>0</v>
      </c>
    </row>
    <row r="2031" spans="1:17">
      <c r="A2031" s="19">
        <v>0</v>
      </c>
      <c r="B2031" s="19">
        <v>0</v>
      </c>
      <c r="C2031" s="19">
        <v>0</v>
      </c>
      <c r="D2031" s="19">
        <v>0</v>
      </c>
      <c r="E2031" s="19">
        <v>0</v>
      </c>
      <c r="F2031" s="19">
        <v>0</v>
      </c>
      <c r="G2031" s="19">
        <v>0</v>
      </c>
      <c r="H2031" s="19">
        <v>0</v>
      </c>
      <c r="I2031" s="15">
        <v>3500</v>
      </c>
      <c r="J2031" s="15">
        <v>0</v>
      </c>
      <c r="K2031" s="15">
        <v>0</v>
      </c>
      <c r="L2031" s="15">
        <v>0</v>
      </c>
      <c r="M2031" s="15">
        <v>0</v>
      </c>
      <c r="N2031" s="15" t="str">
        <v/>
      </c>
      <c r="O2031" s="15" t="str">
        <v/>
      </c>
      <c r="P2031" s="22">
        <v>0</v>
      </c>
      <c r="Q2031">
        <v>0</v>
      </c>
    </row>
    <row r="2032" spans="1:17">
      <c r="A2032" s="19">
        <v>0</v>
      </c>
      <c r="B2032" s="19">
        <v>0</v>
      </c>
      <c r="C2032" s="19">
        <v>0</v>
      </c>
      <c r="D2032" s="19">
        <v>0</v>
      </c>
      <c r="E2032" s="19">
        <v>0</v>
      </c>
      <c r="F2032" s="19">
        <v>0</v>
      </c>
      <c r="G2032" s="19">
        <v>0</v>
      </c>
      <c r="H2032" s="19">
        <v>0</v>
      </c>
      <c r="I2032" s="15">
        <v>3500</v>
      </c>
      <c r="J2032" s="15">
        <v>0</v>
      </c>
      <c r="K2032" s="15">
        <v>0</v>
      </c>
      <c r="L2032" s="15">
        <v>0</v>
      </c>
      <c r="M2032" s="15">
        <v>0</v>
      </c>
      <c r="N2032" s="15" t="str">
        <v/>
      </c>
      <c r="O2032" s="15" t="str">
        <v/>
      </c>
      <c r="P2032" s="22">
        <v>0</v>
      </c>
      <c r="Q2032">
        <v>0</v>
      </c>
    </row>
    <row r="2033" spans="1:17">
      <c r="A2033" s="19">
        <v>0</v>
      </c>
      <c r="B2033" s="19">
        <v>0</v>
      </c>
      <c r="C2033" s="19">
        <v>0</v>
      </c>
      <c r="D2033" s="19">
        <v>0</v>
      </c>
      <c r="E2033" s="19">
        <v>0</v>
      </c>
      <c r="F2033" s="19">
        <v>0</v>
      </c>
      <c r="G2033" s="19">
        <v>0</v>
      </c>
      <c r="H2033" s="19">
        <v>0</v>
      </c>
      <c r="I2033" s="15">
        <v>3500</v>
      </c>
      <c r="J2033" s="15">
        <v>0</v>
      </c>
      <c r="K2033" s="15">
        <v>0</v>
      </c>
      <c r="L2033" s="15">
        <v>0</v>
      </c>
      <c r="M2033" s="15">
        <v>0</v>
      </c>
      <c r="N2033" s="15" t="str">
        <v/>
      </c>
      <c r="O2033" s="15" t="str">
        <v/>
      </c>
      <c r="P2033" s="22">
        <v>0</v>
      </c>
      <c r="Q2033">
        <v>0</v>
      </c>
    </row>
    <row r="2034" spans="1:17">
      <c r="A2034" s="19">
        <v>0</v>
      </c>
      <c r="B2034" s="19">
        <v>0</v>
      </c>
      <c r="C2034" s="19">
        <v>0</v>
      </c>
      <c r="D2034" s="19">
        <v>0</v>
      </c>
      <c r="E2034" s="19">
        <v>0</v>
      </c>
      <c r="F2034" s="19">
        <v>0</v>
      </c>
      <c r="G2034" s="19">
        <v>0</v>
      </c>
      <c r="H2034" s="19">
        <v>0</v>
      </c>
      <c r="I2034" s="15">
        <v>3500</v>
      </c>
      <c r="J2034" s="15">
        <v>0</v>
      </c>
      <c r="K2034" s="15">
        <v>0</v>
      </c>
      <c r="L2034" s="15">
        <v>0</v>
      </c>
      <c r="M2034" s="15">
        <v>0</v>
      </c>
      <c r="N2034" s="15" t="str">
        <v/>
      </c>
      <c r="O2034" s="15" t="str">
        <v/>
      </c>
      <c r="P2034" s="22">
        <v>0</v>
      </c>
      <c r="Q2034">
        <v>0</v>
      </c>
    </row>
    <row r="2035" spans="1:17">
      <c r="A2035" s="19">
        <v>0</v>
      </c>
      <c r="B2035" s="19">
        <v>0</v>
      </c>
      <c r="C2035" s="19">
        <v>0</v>
      </c>
      <c r="D2035" s="19">
        <v>0</v>
      </c>
      <c r="E2035" s="19">
        <v>0</v>
      </c>
      <c r="F2035" s="19">
        <v>0</v>
      </c>
      <c r="G2035" s="19">
        <v>0</v>
      </c>
      <c r="H2035" s="19">
        <v>0</v>
      </c>
      <c r="I2035" s="15">
        <v>3500</v>
      </c>
      <c r="J2035" s="15">
        <v>0</v>
      </c>
      <c r="K2035" s="15">
        <v>0</v>
      </c>
      <c r="L2035" s="15">
        <v>0</v>
      </c>
      <c r="M2035" s="15">
        <v>0</v>
      </c>
      <c r="N2035" s="15" t="str">
        <v/>
      </c>
      <c r="O2035" s="15" t="str">
        <v/>
      </c>
      <c r="P2035" s="22">
        <v>0</v>
      </c>
      <c r="Q2035">
        <v>0</v>
      </c>
    </row>
    <row r="2036" spans="1:17">
      <c r="A2036" s="19">
        <v>0</v>
      </c>
      <c r="B2036" s="19">
        <v>0</v>
      </c>
      <c r="C2036" s="19">
        <v>0</v>
      </c>
      <c r="D2036" s="19">
        <v>0</v>
      </c>
      <c r="E2036" s="19">
        <v>0</v>
      </c>
      <c r="F2036" s="19">
        <v>0</v>
      </c>
      <c r="G2036" s="19">
        <v>0</v>
      </c>
      <c r="H2036" s="19">
        <v>0</v>
      </c>
      <c r="I2036" s="15">
        <v>3500</v>
      </c>
      <c r="J2036" s="15">
        <v>0</v>
      </c>
      <c r="K2036" s="15">
        <v>0</v>
      </c>
      <c r="L2036" s="15">
        <v>0</v>
      </c>
      <c r="M2036" s="15">
        <v>0</v>
      </c>
      <c r="N2036" s="15" t="str">
        <v/>
      </c>
      <c r="O2036" s="15" t="str">
        <v/>
      </c>
      <c r="P2036" s="22">
        <v>0</v>
      </c>
      <c r="Q2036">
        <v>0</v>
      </c>
    </row>
    <row r="2037" spans="1:17">
      <c r="A2037" s="19">
        <v>0</v>
      </c>
      <c r="B2037" s="19">
        <v>0</v>
      </c>
      <c r="C2037" s="19">
        <v>0</v>
      </c>
      <c r="D2037" s="19">
        <v>0</v>
      </c>
      <c r="E2037" s="19">
        <v>0</v>
      </c>
      <c r="F2037" s="19">
        <v>0</v>
      </c>
      <c r="G2037" s="19">
        <v>0</v>
      </c>
      <c r="H2037" s="19">
        <v>0</v>
      </c>
      <c r="I2037" s="15">
        <v>3500</v>
      </c>
      <c r="J2037" s="15">
        <v>0</v>
      </c>
      <c r="K2037" s="15">
        <v>0</v>
      </c>
      <c r="L2037" s="15">
        <v>0</v>
      </c>
      <c r="M2037" s="15">
        <v>0</v>
      </c>
      <c r="N2037" s="15" t="str">
        <v/>
      </c>
      <c r="O2037" s="15" t="str">
        <v/>
      </c>
      <c r="P2037" s="22">
        <v>0</v>
      </c>
      <c r="Q2037">
        <v>0</v>
      </c>
    </row>
    <row r="2038" spans="1:17">
      <c r="A2038" s="19">
        <v>0</v>
      </c>
      <c r="B2038" s="19">
        <v>0</v>
      </c>
      <c r="C2038" s="19">
        <v>0</v>
      </c>
      <c r="D2038" s="19">
        <v>0</v>
      </c>
      <c r="E2038" s="19">
        <v>0</v>
      </c>
      <c r="F2038" s="19">
        <v>0</v>
      </c>
      <c r="G2038" s="19">
        <v>0</v>
      </c>
      <c r="H2038" s="19">
        <v>0</v>
      </c>
      <c r="I2038" s="15">
        <v>3500</v>
      </c>
      <c r="J2038" s="15">
        <v>0</v>
      </c>
      <c r="K2038" s="15">
        <v>0</v>
      </c>
      <c r="L2038" s="15">
        <v>0</v>
      </c>
      <c r="M2038" s="15">
        <v>0</v>
      </c>
      <c r="N2038" s="15" t="str">
        <v/>
      </c>
      <c r="O2038" s="15" t="str">
        <v/>
      </c>
      <c r="P2038" s="22">
        <v>0</v>
      </c>
      <c r="Q2038">
        <v>0</v>
      </c>
    </row>
    <row r="2039" spans="1:17">
      <c r="A2039" s="19">
        <v>0</v>
      </c>
      <c r="B2039" s="19">
        <v>0</v>
      </c>
      <c r="C2039" s="19">
        <v>0</v>
      </c>
      <c r="D2039" s="19">
        <v>0</v>
      </c>
      <c r="E2039" s="19">
        <v>0</v>
      </c>
      <c r="F2039" s="19">
        <v>0</v>
      </c>
      <c r="G2039" s="19">
        <v>0</v>
      </c>
      <c r="H2039" s="19">
        <v>0</v>
      </c>
      <c r="I2039" s="15">
        <v>3500</v>
      </c>
      <c r="J2039" s="15">
        <v>0</v>
      </c>
      <c r="K2039" s="15">
        <v>0</v>
      </c>
      <c r="L2039" s="15">
        <v>0</v>
      </c>
      <c r="M2039" s="15">
        <v>0</v>
      </c>
      <c r="N2039" s="15" t="str">
        <v/>
      </c>
      <c r="O2039" s="15" t="str">
        <v/>
      </c>
      <c r="P2039" s="22">
        <v>0</v>
      </c>
      <c r="Q2039">
        <v>0</v>
      </c>
    </row>
    <row r="2040" spans="1:17">
      <c r="A2040" s="19">
        <v>0</v>
      </c>
      <c r="B2040" s="19">
        <v>0</v>
      </c>
      <c r="C2040" s="19">
        <v>0</v>
      </c>
      <c r="D2040" s="19">
        <v>0</v>
      </c>
      <c r="E2040" s="19">
        <v>0</v>
      </c>
      <c r="F2040" s="19">
        <v>0</v>
      </c>
      <c r="G2040" s="19">
        <v>0</v>
      </c>
      <c r="H2040" s="19">
        <v>0</v>
      </c>
      <c r="I2040" s="15">
        <v>3500</v>
      </c>
      <c r="J2040" s="15">
        <v>0</v>
      </c>
      <c r="K2040" s="15">
        <v>0</v>
      </c>
      <c r="L2040" s="15">
        <v>0</v>
      </c>
      <c r="M2040" s="15">
        <v>0</v>
      </c>
      <c r="N2040" s="15" t="str">
        <v/>
      </c>
      <c r="O2040" s="15" t="str">
        <v/>
      </c>
      <c r="P2040" s="22">
        <v>0</v>
      </c>
      <c r="Q2040">
        <v>0</v>
      </c>
    </row>
    <row r="2041" spans="1:17">
      <c r="A2041" s="19">
        <v>0</v>
      </c>
      <c r="B2041" s="19">
        <v>0</v>
      </c>
      <c r="C2041" s="19">
        <v>0</v>
      </c>
      <c r="D2041" s="19">
        <v>0</v>
      </c>
      <c r="E2041" s="19">
        <v>0</v>
      </c>
      <c r="F2041" s="19">
        <v>0</v>
      </c>
      <c r="G2041" s="19">
        <v>0</v>
      </c>
      <c r="H2041" s="19">
        <v>0</v>
      </c>
      <c r="I2041" s="15">
        <v>3500</v>
      </c>
      <c r="J2041" s="15">
        <v>0</v>
      </c>
      <c r="K2041" s="15">
        <v>0</v>
      </c>
      <c r="L2041" s="15">
        <v>0</v>
      </c>
      <c r="M2041" s="15">
        <v>0</v>
      </c>
      <c r="N2041" s="15" t="str">
        <v/>
      </c>
      <c r="O2041" s="15" t="str">
        <v/>
      </c>
      <c r="P2041" s="22">
        <v>0</v>
      </c>
      <c r="Q2041">
        <v>0</v>
      </c>
    </row>
    <row r="2042" spans="1:17">
      <c r="A2042" s="19">
        <v>0</v>
      </c>
      <c r="B2042" s="19">
        <v>0</v>
      </c>
      <c r="C2042" s="19">
        <v>0</v>
      </c>
      <c r="D2042" s="19">
        <v>0</v>
      </c>
      <c r="E2042" s="19">
        <v>0</v>
      </c>
      <c r="F2042" s="19">
        <v>0</v>
      </c>
      <c r="G2042" s="19">
        <v>0</v>
      </c>
      <c r="H2042" s="19">
        <v>0</v>
      </c>
      <c r="I2042" s="15">
        <v>3500</v>
      </c>
      <c r="J2042" s="15">
        <v>0</v>
      </c>
      <c r="K2042" s="15">
        <v>0</v>
      </c>
      <c r="L2042" s="15">
        <v>0</v>
      </c>
      <c r="M2042" s="15">
        <v>0</v>
      </c>
      <c r="N2042" s="15" t="str">
        <v/>
      </c>
      <c r="O2042" s="15" t="str">
        <v/>
      </c>
      <c r="P2042" s="22">
        <v>0</v>
      </c>
      <c r="Q2042">
        <v>0</v>
      </c>
    </row>
    <row r="2043" spans="1:17">
      <c r="A2043" s="19">
        <v>0</v>
      </c>
      <c r="B2043" s="19">
        <v>0</v>
      </c>
      <c r="C2043" s="19">
        <v>0</v>
      </c>
      <c r="D2043" s="19">
        <v>0</v>
      </c>
      <c r="E2043" s="19">
        <v>0</v>
      </c>
      <c r="F2043" s="19">
        <v>0</v>
      </c>
      <c r="G2043" s="19">
        <v>0</v>
      </c>
      <c r="H2043" s="19">
        <v>0</v>
      </c>
      <c r="I2043" s="15">
        <v>3500</v>
      </c>
      <c r="J2043" s="15">
        <v>0</v>
      </c>
      <c r="K2043" s="15">
        <v>0</v>
      </c>
      <c r="L2043" s="15">
        <v>0</v>
      </c>
      <c r="M2043" s="15">
        <v>0</v>
      </c>
      <c r="N2043" s="15" t="str">
        <v/>
      </c>
      <c r="O2043" s="15" t="str">
        <v/>
      </c>
      <c r="P2043" s="22">
        <v>0</v>
      </c>
      <c r="Q2043">
        <v>0</v>
      </c>
    </row>
    <row r="2044" spans="1:17">
      <c r="A2044" s="19">
        <v>0</v>
      </c>
      <c r="B2044" s="19">
        <v>0</v>
      </c>
      <c r="C2044" s="19">
        <v>0</v>
      </c>
      <c r="D2044" s="19">
        <v>0</v>
      </c>
      <c r="E2044" s="19">
        <v>0</v>
      </c>
      <c r="F2044" s="19">
        <v>0</v>
      </c>
      <c r="G2044" s="19">
        <v>0</v>
      </c>
      <c r="H2044" s="19">
        <v>0</v>
      </c>
      <c r="I2044" s="15">
        <v>3500</v>
      </c>
      <c r="J2044" s="15">
        <v>0</v>
      </c>
      <c r="K2044" s="15">
        <v>0</v>
      </c>
      <c r="L2044" s="15">
        <v>0</v>
      </c>
      <c r="M2044" s="15">
        <v>0</v>
      </c>
      <c r="N2044" s="15" t="str">
        <v/>
      </c>
      <c r="O2044" s="15" t="str">
        <v/>
      </c>
      <c r="P2044" s="22">
        <v>0</v>
      </c>
      <c r="Q2044">
        <v>0</v>
      </c>
    </row>
    <row r="2045" spans="1:17">
      <c r="A2045" s="19">
        <v>0</v>
      </c>
      <c r="B2045" s="19">
        <v>0</v>
      </c>
      <c r="C2045" s="19">
        <v>0</v>
      </c>
      <c r="D2045" s="19">
        <v>0</v>
      </c>
      <c r="E2045" s="19">
        <v>0</v>
      </c>
      <c r="F2045" s="19">
        <v>0</v>
      </c>
      <c r="G2045" s="19">
        <v>0</v>
      </c>
      <c r="H2045" s="19">
        <v>0</v>
      </c>
      <c r="I2045" s="15">
        <v>3500</v>
      </c>
      <c r="J2045" s="15">
        <v>0</v>
      </c>
      <c r="K2045" s="15">
        <v>0</v>
      </c>
      <c r="L2045" s="15">
        <v>0</v>
      </c>
      <c r="M2045" s="15">
        <v>0</v>
      </c>
      <c r="N2045" s="15" t="str">
        <v/>
      </c>
      <c r="O2045" s="15" t="str">
        <v/>
      </c>
      <c r="P2045" s="22">
        <v>0</v>
      </c>
      <c r="Q2045">
        <v>0</v>
      </c>
    </row>
    <row r="2046" spans="1:17">
      <c r="A2046" s="19">
        <v>0</v>
      </c>
      <c r="B2046" s="19">
        <v>0</v>
      </c>
      <c r="C2046" s="19">
        <v>0</v>
      </c>
      <c r="D2046" s="19">
        <v>0</v>
      </c>
      <c r="E2046" s="19">
        <v>0</v>
      </c>
      <c r="F2046" s="19">
        <v>0</v>
      </c>
      <c r="G2046" s="19">
        <v>0</v>
      </c>
      <c r="H2046" s="19">
        <v>0</v>
      </c>
      <c r="I2046" s="15">
        <v>3500</v>
      </c>
      <c r="J2046" s="15">
        <v>0</v>
      </c>
      <c r="K2046" s="15">
        <v>0</v>
      </c>
      <c r="L2046" s="15">
        <v>0</v>
      </c>
      <c r="M2046" s="15">
        <v>0</v>
      </c>
      <c r="N2046" s="15" t="str">
        <v/>
      </c>
      <c r="O2046" s="15" t="str">
        <v/>
      </c>
      <c r="P2046" s="22">
        <v>0</v>
      </c>
      <c r="Q2046">
        <v>0</v>
      </c>
    </row>
    <row r="2047" spans="1:17">
      <c r="A2047" s="19">
        <v>0</v>
      </c>
      <c r="B2047" s="19">
        <v>0</v>
      </c>
      <c r="C2047" s="19">
        <v>0</v>
      </c>
      <c r="D2047" s="19">
        <v>0</v>
      </c>
      <c r="E2047" s="19">
        <v>0</v>
      </c>
      <c r="F2047" s="19">
        <v>0</v>
      </c>
      <c r="G2047" s="19">
        <v>0</v>
      </c>
      <c r="H2047" s="19">
        <v>0</v>
      </c>
      <c r="I2047" s="15">
        <v>3500</v>
      </c>
      <c r="J2047" s="15">
        <v>0</v>
      </c>
      <c r="K2047" s="15">
        <v>0</v>
      </c>
      <c r="L2047" s="15">
        <v>0</v>
      </c>
      <c r="M2047" s="15">
        <v>0</v>
      </c>
      <c r="N2047" s="15" t="str">
        <v/>
      </c>
      <c r="O2047" s="15" t="str">
        <v/>
      </c>
      <c r="P2047" s="22">
        <v>0</v>
      </c>
      <c r="Q2047">
        <v>0</v>
      </c>
    </row>
    <row r="2048" spans="1:17">
      <c r="A2048" s="19">
        <v>0</v>
      </c>
      <c r="B2048" s="19">
        <v>0</v>
      </c>
      <c r="C2048" s="19">
        <v>0</v>
      </c>
      <c r="D2048" s="19">
        <v>0</v>
      </c>
      <c r="E2048" s="19">
        <v>0</v>
      </c>
      <c r="F2048" s="19">
        <v>0</v>
      </c>
      <c r="G2048" s="19">
        <v>0</v>
      </c>
      <c r="H2048" s="19">
        <v>0</v>
      </c>
      <c r="I2048" s="15">
        <v>3500</v>
      </c>
      <c r="J2048" s="15">
        <v>0</v>
      </c>
      <c r="K2048" s="15">
        <v>0</v>
      </c>
      <c r="L2048" s="15">
        <v>0</v>
      </c>
      <c r="M2048" s="15">
        <v>0</v>
      </c>
      <c r="N2048" s="15" t="str">
        <v/>
      </c>
      <c r="O2048" s="15" t="str">
        <v/>
      </c>
      <c r="P2048" s="22">
        <v>0</v>
      </c>
      <c r="Q2048">
        <v>0</v>
      </c>
    </row>
    <row r="2049" spans="1:17">
      <c r="A2049" s="19">
        <v>0</v>
      </c>
      <c r="B2049" s="19">
        <v>0</v>
      </c>
      <c r="C2049" s="19">
        <v>0</v>
      </c>
      <c r="D2049" s="19">
        <v>0</v>
      </c>
      <c r="E2049" s="19">
        <v>0</v>
      </c>
      <c r="F2049" s="19">
        <v>0</v>
      </c>
      <c r="G2049" s="19">
        <v>0</v>
      </c>
      <c r="H2049" s="19">
        <v>0</v>
      </c>
      <c r="I2049" s="15">
        <v>3500</v>
      </c>
      <c r="J2049" s="15">
        <v>0</v>
      </c>
      <c r="K2049" s="15">
        <v>0</v>
      </c>
      <c r="L2049" s="15">
        <v>0</v>
      </c>
      <c r="M2049" s="15">
        <v>0</v>
      </c>
      <c r="N2049" s="15" t="str">
        <v/>
      </c>
      <c r="O2049" s="15" t="str">
        <v/>
      </c>
      <c r="P2049" s="22">
        <v>0</v>
      </c>
      <c r="Q2049">
        <v>0</v>
      </c>
    </row>
    <row r="2050" spans="1:17">
      <c r="A2050" s="19">
        <v>0</v>
      </c>
      <c r="B2050" s="19">
        <v>0</v>
      </c>
      <c r="C2050" s="19">
        <v>0</v>
      </c>
      <c r="D2050" s="19">
        <v>0</v>
      </c>
      <c r="E2050" s="19">
        <v>0</v>
      </c>
      <c r="F2050" s="19">
        <v>0</v>
      </c>
      <c r="G2050" s="19">
        <v>0</v>
      </c>
      <c r="H2050" s="19">
        <v>0</v>
      </c>
      <c r="I2050" s="15">
        <v>3500</v>
      </c>
      <c r="J2050" s="15">
        <v>0</v>
      </c>
      <c r="K2050" s="15">
        <v>0</v>
      </c>
      <c r="L2050" s="15">
        <v>0</v>
      </c>
      <c r="M2050" s="15">
        <v>0</v>
      </c>
      <c r="N2050" s="15" t="str">
        <v/>
      </c>
      <c r="O2050" s="15" t="str">
        <v/>
      </c>
      <c r="P2050" s="22">
        <v>0</v>
      </c>
      <c r="Q2050">
        <v>0</v>
      </c>
    </row>
    <row r="2051" spans="1:17">
      <c r="A2051" s="19">
        <v>0</v>
      </c>
      <c r="B2051" s="19">
        <v>0</v>
      </c>
      <c r="C2051" s="19">
        <v>0</v>
      </c>
      <c r="D2051" s="19">
        <v>0</v>
      </c>
      <c r="E2051" s="19">
        <v>0</v>
      </c>
      <c r="F2051" s="19">
        <v>0</v>
      </c>
      <c r="G2051" s="19">
        <v>0</v>
      </c>
      <c r="H2051" s="19">
        <v>0</v>
      </c>
      <c r="I2051" s="15">
        <v>3500</v>
      </c>
      <c r="J2051" s="15">
        <v>0</v>
      </c>
      <c r="K2051" s="15">
        <v>0</v>
      </c>
      <c r="L2051" s="15">
        <v>0</v>
      </c>
      <c r="M2051" s="15">
        <v>0</v>
      </c>
      <c r="N2051" s="15" t="str">
        <v/>
      </c>
      <c r="O2051" s="15" t="str">
        <v/>
      </c>
      <c r="P2051" s="22">
        <v>0</v>
      </c>
      <c r="Q2051">
        <v>0</v>
      </c>
    </row>
    <row r="2052" spans="1:17">
      <c r="A2052" s="19">
        <v>0</v>
      </c>
      <c r="B2052" s="19">
        <v>0</v>
      </c>
      <c r="C2052" s="19">
        <v>0</v>
      </c>
      <c r="D2052" s="19">
        <v>0</v>
      </c>
      <c r="E2052" s="19">
        <v>0</v>
      </c>
      <c r="F2052" s="19">
        <v>0</v>
      </c>
      <c r="G2052" s="19">
        <v>0</v>
      </c>
      <c r="H2052" s="19">
        <v>0</v>
      </c>
      <c r="I2052" s="15">
        <v>3500</v>
      </c>
      <c r="J2052" s="15">
        <v>0</v>
      </c>
      <c r="K2052" s="15">
        <v>0</v>
      </c>
      <c r="L2052" s="15">
        <v>0</v>
      </c>
      <c r="M2052" s="15">
        <v>0</v>
      </c>
      <c r="N2052" s="15" t="str">
        <v/>
      </c>
      <c r="O2052" s="15" t="str">
        <v/>
      </c>
      <c r="P2052" s="22">
        <v>0</v>
      </c>
      <c r="Q2052">
        <v>0</v>
      </c>
    </row>
    <row r="2053" spans="1:17">
      <c r="A2053" s="19">
        <v>0</v>
      </c>
      <c r="B2053" s="19">
        <v>0</v>
      </c>
      <c r="C2053" s="19">
        <v>0</v>
      </c>
      <c r="D2053" s="19">
        <v>0</v>
      </c>
      <c r="E2053" s="19">
        <v>0</v>
      </c>
      <c r="F2053" s="19">
        <v>0</v>
      </c>
      <c r="G2053" s="19">
        <v>0</v>
      </c>
      <c r="H2053" s="19">
        <v>0</v>
      </c>
      <c r="I2053" s="15">
        <v>3500</v>
      </c>
      <c r="J2053" s="15">
        <v>0</v>
      </c>
      <c r="K2053" s="15">
        <v>0</v>
      </c>
      <c r="L2053" s="15">
        <v>0</v>
      </c>
      <c r="M2053" s="15">
        <v>0</v>
      </c>
      <c r="N2053" s="15" t="str">
        <v/>
      </c>
      <c r="O2053" s="15" t="str">
        <v/>
      </c>
      <c r="P2053" s="22">
        <v>0</v>
      </c>
      <c r="Q2053">
        <v>0</v>
      </c>
    </row>
    <row r="2054" spans="1:17">
      <c r="A2054" s="19">
        <v>0</v>
      </c>
      <c r="B2054" s="19">
        <v>0</v>
      </c>
      <c r="C2054" s="19">
        <v>0</v>
      </c>
      <c r="D2054" s="19">
        <v>0</v>
      </c>
      <c r="E2054" s="19">
        <v>0</v>
      </c>
      <c r="F2054" s="19">
        <v>0</v>
      </c>
      <c r="G2054" s="19">
        <v>0</v>
      </c>
      <c r="H2054" s="19">
        <v>0</v>
      </c>
      <c r="I2054" s="15">
        <v>3500</v>
      </c>
      <c r="J2054" s="15">
        <v>0</v>
      </c>
      <c r="K2054" s="15">
        <v>0</v>
      </c>
      <c r="L2054" s="15">
        <v>0</v>
      </c>
      <c r="M2054" s="15">
        <v>0</v>
      </c>
      <c r="N2054" s="15" t="str">
        <v/>
      </c>
      <c r="O2054" s="15" t="str">
        <v/>
      </c>
      <c r="P2054" s="22">
        <v>0</v>
      </c>
      <c r="Q2054">
        <v>0</v>
      </c>
    </row>
    <row r="2055" spans="1:17">
      <c r="A2055" s="19">
        <v>0</v>
      </c>
      <c r="B2055" s="19">
        <v>0</v>
      </c>
      <c r="C2055" s="19">
        <v>0</v>
      </c>
      <c r="D2055" s="19">
        <v>0</v>
      </c>
      <c r="E2055" s="19">
        <v>0</v>
      </c>
      <c r="F2055" s="19">
        <v>0</v>
      </c>
      <c r="G2055" s="19">
        <v>0</v>
      </c>
      <c r="H2055" s="19">
        <v>0</v>
      </c>
      <c r="I2055" s="15">
        <v>3500</v>
      </c>
      <c r="J2055" s="15">
        <v>0</v>
      </c>
      <c r="K2055" s="15">
        <v>0</v>
      </c>
      <c r="L2055" s="15">
        <v>0</v>
      </c>
      <c r="M2055" s="15">
        <v>0</v>
      </c>
      <c r="N2055" s="15" t="str">
        <v/>
      </c>
      <c r="O2055" s="15" t="str">
        <v/>
      </c>
      <c r="P2055" s="22">
        <v>0</v>
      </c>
      <c r="Q2055">
        <v>0</v>
      </c>
    </row>
    <row r="2056" spans="1:17">
      <c r="A2056" s="19">
        <v>0</v>
      </c>
      <c r="B2056" s="19">
        <v>0</v>
      </c>
      <c r="C2056" s="19">
        <v>0</v>
      </c>
      <c r="D2056" s="19">
        <v>0</v>
      </c>
      <c r="E2056" s="19">
        <v>0</v>
      </c>
      <c r="F2056" s="19">
        <v>0</v>
      </c>
      <c r="G2056" s="19">
        <v>0</v>
      </c>
      <c r="H2056" s="19">
        <v>0</v>
      </c>
      <c r="I2056" s="15">
        <v>3500</v>
      </c>
      <c r="J2056" s="15">
        <v>0</v>
      </c>
      <c r="K2056" s="15">
        <v>0</v>
      </c>
      <c r="L2056" s="15">
        <v>0</v>
      </c>
      <c r="M2056" s="15">
        <v>0</v>
      </c>
      <c r="N2056" s="15" t="str">
        <v/>
      </c>
      <c r="O2056" s="15" t="str">
        <v/>
      </c>
      <c r="P2056" s="22">
        <v>0</v>
      </c>
      <c r="Q2056">
        <v>0</v>
      </c>
    </row>
    <row r="2057" spans="1:17">
      <c r="A2057" s="19">
        <v>0</v>
      </c>
      <c r="B2057" s="19">
        <v>0</v>
      </c>
      <c r="C2057" s="19">
        <v>0</v>
      </c>
      <c r="D2057" s="19">
        <v>0</v>
      </c>
      <c r="E2057" s="19">
        <v>0</v>
      </c>
      <c r="F2057" s="19">
        <v>0</v>
      </c>
      <c r="G2057" s="19">
        <v>0</v>
      </c>
      <c r="H2057" s="19">
        <v>0</v>
      </c>
      <c r="I2057" s="15">
        <v>3500</v>
      </c>
      <c r="J2057" s="15">
        <v>0</v>
      </c>
      <c r="K2057" s="15">
        <v>0</v>
      </c>
      <c r="L2057" s="15">
        <v>0</v>
      </c>
      <c r="M2057" s="15">
        <v>0</v>
      </c>
      <c r="N2057" s="15" t="str">
        <v/>
      </c>
      <c r="O2057" s="15" t="str">
        <v/>
      </c>
      <c r="P2057" s="22">
        <v>0</v>
      </c>
      <c r="Q2057">
        <v>0</v>
      </c>
    </row>
    <row r="2058" spans="1:17">
      <c r="A2058" s="19">
        <v>0</v>
      </c>
      <c r="B2058" s="19">
        <v>0</v>
      </c>
      <c r="C2058" s="19">
        <v>0</v>
      </c>
      <c r="D2058" s="19">
        <v>0</v>
      </c>
      <c r="E2058" s="19">
        <v>0</v>
      </c>
      <c r="F2058" s="19">
        <v>0</v>
      </c>
      <c r="G2058" s="19">
        <v>0</v>
      </c>
      <c r="H2058" s="19">
        <v>0</v>
      </c>
      <c r="I2058" s="15">
        <v>3500</v>
      </c>
      <c r="J2058" s="15">
        <v>0</v>
      </c>
      <c r="K2058" s="15">
        <v>0</v>
      </c>
      <c r="L2058" s="15">
        <v>0</v>
      </c>
      <c r="M2058" s="15">
        <v>0</v>
      </c>
      <c r="N2058" s="15" t="str">
        <v/>
      </c>
      <c r="O2058" s="15" t="str">
        <v/>
      </c>
      <c r="P2058" s="22">
        <v>0</v>
      </c>
      <c r="Q2058">
        <v>0</v>
      </c>
    </row>
    <row r="2059" spans="1:17">
      <c r="A2059" s="19">
        <v>0</v>
      </c>
      <c r="B2059" s="19">
        <v>0</v>
      </c>
      <c r="C2059" s="19">
        <v>0</v>
      </c>
      <c r="D2059" s="19">
        <v>0</v>
      </c>
      <c r="E2059" s="19">
        <v>0</v>
      </c>
      <c r="F2059" s="19">
        <v>0</v>
      </c>
      <c r="G2059" s="19">
        <v>0</v>
      </c>
      <c r="H2059" s="19">
        <v>0</v>
      </c>
      <c r="I2059" s="15">
        <v>3500</v>
      </c>
      <c r="J2059" s="15">
        <v>0</v>
      </c>
      <c r="K2059" s="15">
        <v>0</v>
      </c>
      <c r="L2059" s="15">
        <v>0</v>
      </c>
      <c r="M2059" s="15">
        <v>0</v>
      </c>
      <c r="N2059" s="15" t="str">
        <v/>
      </c>
      <c r="O2059" s="15" t="str">
        <v/>
      </c>
      <c r="P2059" s="22">
        <v>0</v>
      </c>
      <c r="Q2059">
        <v>0</v>
      </c>
    </row>
    <row r="2060" spans="1:17">
      <c r="A2060" s="19">
        <v>0</v>
      </c>
      <c r="B2060" s="19">
        <v>0</v>
      </c>
      <c r="C2060" s="19">
        <v>0</v>
      </c>
      <c r="D2060" s="19">
        <v>0</v>
      </c>
      <c r="E2060" s="19">
        <v>0</v>
      </c>
      <c r="F2060" s="19">
        <v>0</v>
      </c>
      <c r="G2060" s="19">
        <v>0</v>
      </c>
      <c r="H2060" s="19">
        <v>0</v>
      </c>
      <c r="I2060" s="15">
        <v>3500</v>
      </c>
      <c r="J2060" s="15">
        <v>0</v>
      </c>
      <c r="K2060" s="15">
        <v>0</v>
      </c>
      <c r="L2060" s="15">
        <v>0</v>
      </c>
      <c r="M2060" s="15">
        <v>0</v>
      </c>
      <c r="N2060" s="15" t="str">
        <v/>
      </c>
      <c r="O2060" s="15" t="str">
        <v/>
      </c>
      <c r="P2060" s="22">
        <v>0</v>
      </c>
      <c r="Q2060">
        <v>0</v>
      </c>
    </row>
    <row r="2061" spans="1:17">
      <c r="A2061" s="19">
        <v>0</v>
      </c>
      <c r="B2061" s="19">
        <v>0</v>
      </c>
      <c r="C2061" s="19">
        <v>0</v>
      </c>
      <c r="D2061" s="19">
        <v>0</v>
      </c>
      <c r="E2061" s="19">
        <v>0</v>
      </c>
      <c r="F2061" s="19">
        <v>0</v>
      </c>
      <c r="G2061" s="19">
        <v>0</v>
      </c>
      <c r="H2061" s="19">
        <v>0</v>
      </c>
      <c r="I2061" s="15">
        <v>3500</v>
      </c>
      <c r="J2061" s="15">
        <v>0</v>
      </c>
      <c r="K2061" s="15">
        <v>0</v>
      </c>
      <c r="L2061" s="15">
        <v>0</v>
      </c>
      <c r="M2061" s="15">
        <v>0</v>
      </c>
      <c r="N2061" s="15" t="str">
        <v/>
      </c>
      <c r="O2061" s="15" t="str">
        <v/>
      </c>
      <c r="P2061" s="22">
        <v>0</v>
      </c>
      <c r="Q2061">
        <v>0</v>
      </c>
    </row>
    <row r="2062" spans="1:17">
      <c r="A2062" s="19">
        <v>0</v>
      </c>
      <c r="B2062" s="19">
        <v>0</v>
      </c>
      <c r="C2062" s="19">
        <v>0</v>
      </c>
      <c r="D2062" s="19">
        <v>0</v>
      </c>
      <c r="E2062" s="19">
        <v>0</v>
      </c>
      <c r="F2062" s="19">
        <v>0</v>
      </c>
      <c r="G2062" s="19">
        <v>0</v>
      </c>
      <c r="H2062" s="19">
        <v>0</v>
      </c>
      <c r="I2062" s="15">
        <v>3500</v>
      </c>
      <c r="J2062" s="15">
        <v>0</v>
      </c>
      <c r="K2062" s="15">
        <v>0</v>
      </c>
      <c r="L2062" s="15">
        <v>0</v>
      </c>
      <c r="M2062" s="15">
        <v>0</v>
      </c>
      <c r="N2062" s="15" t="str">
        <v/>
      </c>
      <c r="O2062" s="15" t="str">
        <v/>
      </c>
      <c r="P2062" s="22">
        <v>0</v>
      </c>
      <c r="Q2062">
        <v>0</v>
      </c>
    </row>
    <row r="2063" spans="1:17">
      <c r="A2063" s="19">
        <v>0</v>
      </c>
      <c r="B2063" s="19">
        <v>0</v>
      </c>
      <c r="C2063" s="19">
        <v>0</v>
      </c>
      <c r="D2063" s="19">
        <v>0</v>
      </c>
      <c r="E2063" s="19">
        <v>0</v>
      </c>
      <c r="F2063" s="19">
        <v>0</v>
      </c>
      <c r="G2063" s="19">
        <v>0</v>
      </c>
      <c r="H2063" s="19">
        <v>0</v>
      </c>
      <c r="I2063" s="15">
        <v>3500</v>
      </c>
      <c r="J2063" s="15">
        <v>0</v>
      </c>
      <c r="K2063" s="15">
        <v>0</v>
      </c>
      <c r="L2063" s="15">
        <v>0</v>
      </c>
      <c r="M2063" s="15">
        <v>0</v>
      </c>
      <c r="N2063" s="15" t="str">
        <v/>
      </c>
      <c r="O2063" s="15" t="str">
        <v/>
      </c>
      <c r="P2063" s="22">
        <v>0</v>
      </c>
      <c r="Q2063">
        <v>0</v>
      </c>
    </row>
    <row r="2064" spans="1:17">
      <c r="A2064" s="19">
        <v>0</v>
      </c>
      <c r="B2064" s="19">
        <v>0</v>
      </c>
      <c r="C2064" s="19">
        <v>0</v>
      </c>
      <c r="D2064" s="19">
        <v>0</v>
      </c>
      <c r="E2064" s="19">
        <v>0</v>
      </c>
      <c r="F2064" s="19">
        <v>0</v>
      </c>
      <c r="G2064" s="19">
        <v>0</v>
      </c>
      <c r="H2064" s="19">
        <v>0</v>
      </c>
      <c r="I2064" s="15">
        <v>3500</v>
      </c>
      <c r="J2064" s="15">
        <v>0</v>
      </c>
      <c r="K2064" s="15">
        <v>0</v>
      </c>
      <c r="L2064" s="15">
        <v>0</v>
      </c>
      <c r="M2064" s="15">
        <v>0</v>
      </c>
      <c r="N2064" s="15" t="str">
        <v/>
      </c>
      <c r="O2064" s="15" t="str">
        <v/>
      </c>
      <c r="P2064" s="22">
        <v>0</v>
      </c>
      <c r="Q2064">
        <v>0</v>
      </c>
    </row>
    <row r="2065" spans="1:17">
      <c r="A2065" s="19">
        <v>0</v>
      </c>
      <c r="B2065" s="19">
        <v>0</v>
      </c>
      <c r="C2065" s="19">
        <v>0</v>
      </c>
      <c r="D2065" s="19">
        <v>0</v>
      </c>
      <c r="E2065" s="19">
        <v>0</v>
      </c>
      <c r="F2065" s="19">
        <v>0</v>
      </c>
      <c r="G2065" s="19">
        <v>0</v>
      </c>
      <c r="H2065" s="19">
        <v>0</v>
      </c>
      <c r="I2065" s="15">
        <v>3500</v>
      </c>
      <c r="J2065" s="15">
        <v>0</v>
      </c>
      <c r="K2065" s="15">
        <v>0</v>
      </c>
      <c r="L2065" s="15">
        <v>0</v>
      </c>
      <c r="M2065" s="15">
        <v>0</v>
      </c>
      <c r="N2065" s="15" t="str">
        <v/>
      </c>
      <c r="O2065" s="15" t="str">
        <v/>
      </c>
      <c r="P2065" s="22">
        <v>0</v>
      </c>
      <c r="Q2065">
        <v>0</v>
      </c>
    </row>
    <row r="2066" spans="1:17">
      <c r="A2066" s="19">
        <v>0</v>
      </c>
      <c r="B2066" s="19">
        <v>0</v>
      </c>
      <c r="C2066" s="19">
        <v>0</v>
      </c>
      <c r="D2066" s="19">
        <v>0</v>
      </c>
      <c r="E2066" s="19">
        <v>0</v>
      </c>
      <c r="F2066" s="19">
        <v>0</v>
      </c>
      <c r="G2066" s="19">
        <v>0</v>
      </c>
      <c r="H2066" s="19">
        <v>0</v>
      </c>
      <c r="I2066" s="15">
        <v>3500</v>
      </c>
      <c r="J2066" s="15">
        <v>0</v>
      </c>
      <c r="K2066" s="15">
        <v>0</v>
      </c>
      <c r="L2066" s="15">
        <v>0</v>
      </c>
      <c r="M2066" s="15">
        <v>0</v>
      </c>
      <c r="N2066" s="15" t="str">
        <v/>
      </c>
      <c r="O2066" s="15" t="str">
        <v/>
      </c>
      <c r="P2066" s="22">
        <v>0</v>
      </c>
      <c r="Q2066">
        <v>0</v>
      </c>
    </row>
    <row r="2067" spans="1:17">
      <c r="A2067" s="19">
        <v>0</v>
      </c>
      <c r="B2067" s="19">
        <v>0</v>
      </c>
      <c r="C2067" s="19">
        <v>0</v>
      </c>
      <c r="D2067" s="19">
        <v>0</v>
      </c>
      <c r="E2067" s="19">
        <v>0</v>
      </c>
      <c r="F2067" s="19">
        <v>0</v>
      </c>
      <c r="G2067" s="19">
        <v>0</v>
      </c>
      <c r="H2067" s="19">
        <v>0</v>
      </c>
      <c r="I2067" s="15">
        <v>3500</v>
      </c>
      <c r="J2067" s="15">
        <v>0</v>
      </c>
      <c r="K2067" s="15">
        <v>0</v>
      </c>
      <c r="L2067" s="15">
        <v>0</v>
      </c>
      <c r="M2067" s="15">
        <v>0</v>
      </c>
      <c r="N2067" s="15" t="str">
        <v/>
      </c>
      <c r="O2067" s="15" t="str">
        <v/>
      </c>
      <c r="P2067" s="22">
        <v>0</v>
      </c>
      <c r="Q2067">
        <v>0</v>
      </c>
    </row>
    <row r="2068" spans="1:17">
      <c r="A2068" s="19">
        <v>0</v>
      </c>
      <c r="B2068" s="19">
        <v>0</v>
      </c>
      <c r="C2068" s="19">
        <v>0</v>
      </c>
      <c r="D2068" s="19">
        <v>0</v>
      </c>
      <c r="E2068" s="19">
        <v>0</v>
      </c>
      <c r="F2068" s="19">
        <v>0</v>
      </c>
      <c r="G2068" s="19">
        <v>0</v>
      </c>
      <c r="H2068" s="19">
        <v>0</v>
      </c>
      <c r="I2068" s="15">
        <v>3500</v>
      </c>
      <c r="J2068" s="15">
        <v>0</v>
      </c>
      <c r="K2068" s="15">
        <v>0</v>
      </c>
      <c r="L2068" s="15">
        <v>0</v>
      </c>
      <c r="M2068" s="15">
        <v>0</v>
      </c>
      <c r="N2068" s="15" t="str">
        <v/>
      </c>
      <c r="O2068" s="15" t="str">
        <v/>
      </c>
      <c r="P2068" s="22">
        <v>0</v>
      </c>
      <c r="Q2068">
        <v>0</v>
      </c>
    </row>
    <row r="2069" spans="1:17">
      <c r="A2069" s="19">
        <v>0</v>
      </c>
      <c r="B2069" s="19">
        <v>0</v>
      </c>
      <c r="C2069" s="19">
        <v>0</v>
      </c>
      <c r="D2069" s="19">
        <v>0</v>
      </c>
      <c r="E2069" s="19">
        <v>0</v>
      </c>
      <c r="F2069" s="19">
        <v>0</v>
      </c>
      <c r="G2069" s="19">
        <v>0</v>
      </c>
      <c r="H2069" s="19">
        <v>0</v>
      </c>
      <c r="I2069" s="15">
        <v>3500</v>
      </c>
      <c r="J2069" s="15">
        <v>0</v>
      </c>
      <c r="K2069" s="15">
        <v>0</v>
      </c>
      <c r="L2069" s="15">
        <v>0</v>
      </c>
      <c r="M2069" s="15">
        <v>0</v>
      </c>
      <c r="N2069" s="15" t="str">
        <v/>
      </c>
      <c r="O2069" s="15" t="str">
        <v/>
      </c>
      <c r="P2069" s="22">
        <v>0</v>
      </c>
      <c r="Q2069">
        <v>0</v>
      </c>
    </row>
    <row r="2070" spans="1:17">
      <c r="A2070" s="19">
        <v>0</v>
      </c>
      <c r="B2070" s="19">
        <v>0</v>
      </c>
      <c r="C2070" s="19">
        <v>0</v>
      </c>
      <c r="D2070" s="19">
        <v>0</v>
      </c>
      <c r="E2070" s="19">
        <v>0</v>
      </c>
      <c r="F2070" s="19">
        <v>0</v>
      </c>
      <c r="G2070" s="19">
        <v>0</v>
      </c>
      <c r="H2070" s="19">
        <v>0</v>
      </c>
      <c r="I2070" s="15">
        <v>3500</v>
      </c>
      <c r="J2070" s="15">
        <v>0</v>
      </c>
      <c r="K2070" s="15">
        <v>0</v>
      </c>
      <c r="L2070" s="15">
        <v>0</v>
      </c>
      <c r="M2070" s="15">
        <v>0</v>
      </c>
      <c r="N2070" s="15" t="str">
        <v/>
      </c>
      <c r="O2070" s="15" t="str">
        <v/>
      </c>
      <c r="P2070" s="22">
        <v>0</v>
      </c>
      <c r="Q2070">
        <v>0</v>
      </c>
    </row>
    <row r="2071" spans="1:17">
      <c r="A2071" s="19">
        <v>0</v>
      </c>
      <c r="B2071" s="19">
        <v>0</v>
      </c>
      <c r="C2071" s="19">
        <v>0</v>
      </c>
      <c r="D2071" s="19">
        <v>0</v>
      </c>
      <c r="E2071" s="19">
        <v>0</v>
      </c>
      <c r="F2071" s="19">
        <v>0</v>
      </c>
      <c r="G2071" s="19">
        <v>0</v>
      </c>
      <c r="H2071" s="19">
        <v>0</v>
      </c>
      <c r="I2071" s="15">
        <v>3500</v>
      </c>
      <c r="J2071" s="15">
        <v>0</v>
      </c>
      <c r="K2071" s="15">
        <v>0</v>
      </c>
      <c r="L2071" s="15">
        <v>0</v>
      </c>
      <c r="M2071" s="15">
        <v>0</v>
      </c>
      <c r="N2071" s="15" t="str">
        <v/>
      </c>
      <c r="O2071" s="15" t="str">
        <v/>
      </c>
      <c r="P2071" s="22">
        <v>0</v>
      </c>
      <c r="Q2071">
        <v>0</v>
      </c>
    </row>
    <row r="2072" spans="1:17">
      <c r="A2072" s="19">
        <v>0</v>
      </c>
      <c r="B2072" s="19">
        <v>0</v>
      </c>
      <c r="C2072" s="19">
        <v>0</v>
      </c>
      <c r="D2072" s="19">
        <v>0</v>
      </c>
      <c r="E2072" s="19">
        <v>0</v>
      </c>
      <c r="F2072" s="19">
        <v>0</v>
      </c>
      <c r="G2072" s="19">
        <v>0</v>
      </c>
      <c r="H2072" s="19">
        <v>0</v>
      </c>
      <c r="I2072" s="15">
        <v>3500</v>
      </c>
      <c r="J2072" s="15">
        <v>0</v>
      </c>
      <c r="K2072" s="15">
        <v>0</v>
      </c>
      <c r="L2072" s="15">
        <v>0</v>
      </c>
      <c r="M2072" s="15">
        <v>0</v>
      </c>
      <c r="N2072" s="15" t="str">
        <v/>
      </c>
      <c r="O2072" s="15" t="str">
        <v/>
      </c>
      <c r="P2072" s="22">
        <v>0</v>
      </c>
      <c r="Q2072">
        <v>0</v>
      </c>
    </row>
    <row r="2073" spans="1:17">
      <c r="A2073" s="19">
        <v>0</v>
      </c>
      <c r="B2073" s="19">
        <v>0</v>
      </c>
      <c r="C2073" s="19">
        <v>0</v>
      </c>
      <c r="D2073" s="19">
        <v>0</v>
      </c>
      <c r="E2073" s="19">
        <v>0</v>
      </c>
      <c r="F2073" s="19">
        <v>0</v>
      </c>
      <c r="G2073" s="19">
        <v>0</v>
      </c>
      <c r="H2073" s="19">
        <v>0</v>
      </c>
      <c r="I2073" s="15">
        <v>3500</v>
      </c>
      <c r="J2073" s="15">
        <v>0</v>
      </c>
      <c r="K2073" s="15">
        <v>0</v>
      </c>
      <c r="L2073" s="15">
        <v>0</v>
      </c>
      <c r="M2073" s="15">
        <v>0</v>
      </c>
      <c r="N2073" s="15" t="str">
        <v/>
      </c>
      <c r="O2073" s="15" t="str">
        <v/>
      </c>
      <c r="P2073" s="22">
        <v>0</v>
      </c>
      <c r="Q2073">
        <v>0</v>
      </c>
    </row>
    <row r="2074" spans="1:17">
      <c r="A2074" s="19">
        <v>0</v>
      </c>
      <c r="B2074" s="19">
        <v>0</v>
      </c>
      <c r="C2074" s="19">
        <v>0</v>
      </c>
      <c r="D2074" s="19">
        <v>0</v>
      </c>
      <c r="E2074" s="19">
        <v>0</v>
      </c>
      <c r="F2074" s="19">
        <v>0</v>
      </c>
      <c r="G2074" s="19">
        <v>0</v>
      </c>
      <c r="H2074" s="19">
        <v>0</v>
      </c>
      <c r="I2074" s="15">
        <v>3500</v>
      </c>
      <c r="J2074" s="15">
        <v>0</v>
      </c>
      <c r="K2074" s="15">
        <v>0</v>
      </c>
      <c r="L2074" s="15">
        <v>0</v>
      </c>
      <c r="M2074" s="15">
        <v>0</v>
      </c>
      <c r="N2074" s="15" t="str">
        <v/>
      </c>
      <c r="O2074" s="15" t="str">
        <v/>
      </c>
      <c r="P2074" s="22">
        <v>0</v>
      </c>
      <c r="Q2074">
        <v>0</v>
      </c>
    </row>
    <row r="2075" spans="1:17">
      <c r="A2075" s="19">
        <v>0</v>
      </c>
      <c r="B2075" s="19">
        <v>0</v>
      </c>
      <c r="C2075" s="19">
        <v>0</v>
      </c>
      <c r="D2075" s="19">
        <v>0</v>
      </c>
      <c r="E2075" s="19">
        <v>0</v>
      </c>
      <c r="F2075" s="19">
        <v>0</v>
      </c>
      <c r="G2075" s="19">
        <v>0</v>
      </c>
      <c r="H2075" s="19">
        <v>0</v>
      </c>
      <c r="I2075" s="15">
        <v>3500</v>
      </c>
      <c r="J2075" s="15">
        <v>0</v>
      </c>
      <c r="K2075" s="15">
        <v>0</v>
      </c>
      <c r="L2075" s="15">
        <v>0</v>
      </c>
      <c r="M2075" s="15">
        <v>0</v>
      </c>
      <c r="N2075" s="15" t="str">
        <v/>
      </c>
      <c r="O2075" s="15" t="str">
        <v/>
      </c>
      <c r="P2075" s="22">
        <v>0</v>
      </c>
      <c r="Q2075">
        <v>0</v>
      </c>
    </row>
    <row r="2076" spans="1:17">
      <c r="A2076" s="19">
        <v>0</v>
      </c>
      <c r="B2076" s="19">
        <v>0</v>
      </c>
      <c r="C2076" s="19">
        <v>0</v>
      </c>
      <c r="D2076" s="19">
        <v>0</v>
      </c>
      <c r="E2076" s="19">
        <v>0</v>
      </c>
      <c r="F2076" s="19">
        <v>0</v>
      </c>
      <c r="G2076" s="19">
        <v>0</v>
      </c>
      <c r="H2076" s="19">
        <v>0</v>
      </c>
      <c r="I2076" s="15">
        <v>3500</v>
      </c>
      <c r="J2076" s="15">
        <v>0</v>
      </c>
      <c r="K2076" s="15">
        <v>0</v>
      </c>
      <c r="L2076" s="15">
        <v>0</v>
      </c>
      <c r="M2076" s="15">
        <v>0</v>
      </c>
      <c r="N2076" s="15" t="str">
        <v/>
      </c>
      <c r="O2076" s="15" t="str">
        <v/>
      </c>
      <c r="P2076" s="22">
        <v>0</v>
      </c>
      <c r="Q2076">
        <v>0</v>
      </c>
    </row>
    <row r="2077" spans="1:17">
      <c r="A2077" s="19">
        <v>0</v>
      </c>
      <c r="B2077" s="19">
        <v>0</v>
      </c>
      <c r="C2077" s="19">
        <v>0</v>
      </c>
      <c r="D2077" s="19">
        <v>0</v>
      </c>
      <c r="E2077" s="19">
        <v>0</v>
      </c>
      <c r="F2077" s="19">
        <v>0</v>
      </c>
      <c r="G2077" s="19">
        <v>0</v>
      </c>
      <c r="H2077" s="19">
        <v>0</v>
      </c>
      <c r="I2077" s="15">
        <v>3500</v>
      </c>
      <c r="J2077" s="15">
        <v>0</v>
      </c>
      <c r="K2077" s="15">
        <v>0</v>
      </c>
      <c r="L2077" s="15">
        <v>0</v>
      </c>
      <c r="M2077" s="15">
        <v>0</v>
      </c>
      <c r="N2077" s="15" t="str">
        <v/>
      </c>
      <c r="O2077" s="15" t="str">
        <v/>
      </c>
      <c r="P2077" s="22">
        <v>0</v>
      </c>
      <c r="Q2077">
        <v>0</v>
      </c>
    </row>
    <row r="2078" spans="1:17">
      <c r="A2078" s="19">
        <v>0</v>
      </c>
      <c r="B2078" s="19">
        <v>0</v>
      </c>
      <c r="C2078" s="19">
        <v>0</v>
      </c>
      <c r="D2078" s="19">
        <v>0</v>
      </c>
      <c r="E2078" s="19">
        <v>0</v>
      </c>
      <c r="F2078" s="19">
        <v>0</v>
      </c>
      <c r="G2078" s="19">
        <v>0</v>
      </c>
      <c r="H2078" s="19">
        <v>0</v>
      </c>
      <c r="I2078" s="15">
        <v>3500</v>
      </c>
      <c r="J2078" s="15">
        <v>0</v>
      </c>
      <c r="K2078" s="15">
        <v>0</v>
      </c>
      <c r="L2078" s="15">
        <v>0</v>
      </c>
      <c r="M2078" s="15">
        <v>0</v>
      </c>
      <c r="N2078" s="15" t="str">
        <v/>
      </c>
      <c r="O2078" s="15" t="str">
        <v/>
      </c>
      <c r="P2078" s="22">
        <v>0</v>
      </c>
      <c r="Q2078">
        <v>0</v>
      </c>
    </row>
    <row r="2079" spans="1:17">
      <c r="A2079" s="19">
        <v>0</v>
      </c>
      <c r="B2079" s="19">
        <v>0</v>
      </c>
      <c r="C2079" s="19">
        <v>0</v>
      </c>
      <c r="D2079" s="19">
        <v>0</v>
      </c>
      <c r="E2079" s="19">
        <v>0</v>
      </c>
      <c r="F2079" s="19">
        <v>0</v>
      </c>
      <c r="G2079" s="19">
        <v>0</v>
      </c>
      <c r="H2079" s="19">
        <v>0</v>
      </c>
      <c r="I2079" s="15">
        <v>3500</v>
      </c>
      <c r="J2079" s="15">
        <v>0</v>
      </c>
      <c r="K2079" s="15">
        <v>0</v>
      </c>
      <c r="L2079" s="15">
        <v>0</v>
      </c>
      <c r="M2079" s="15">
        <v>0</v>
      </c>
      <c r="N2079" s="15" t="str">
        <v/>
      </c>
      <c r="O2079" s="15" t="str">
        <v/>
      </c>
      <c r="P2079" s="22">
        <v>0</v>
      </c>
      <c r="Q2079">
        <v>0</v>
      </c>
    </row>
    <row r="2080" spans="1:17">
      <c r="A2080" s="19">
        <v>0</v>
      </c>
      <c r="B2080" s="19">
        <v>0</v>
      </c>
      <c r="C2080" s="19">
        <v>0</v>
      </c>
      <c r="D2080" s="19">
        <v>0</v>
      </c>
      <c r="E2080" s="19">
        <v>0</v>
      </c>
      <c r="F2080" s="19">
        <v>0</v>
      </c>
      <c r="G2080" s="19">
        <v>0</v>
      </c>
      <c r="H2080" s="19">
        <v>0</v>
      </c>
      <c r="I2080" s="15">
        <v>3500</v>
      </c>
      <c r="J2080" s="15">
        <v>0</v>
      </c>
      <c r="K2080" s="15">
        <v>0</v>
      </c>
      <c r="L2080" s="15">
        <v>0</v>
      </c>
      <c r="M2080" s="15">
        <v>0</v>
      </c>
      <c r="N2080" s="15" t="str">
        <v/>
      </c>
      <c r="O2080" s="15" t="str">
        <v/>
      </c>
      <c r="P2080" s="22">
        <v>0</v>
      </c>
      <c r="Q2080">
        <v>0</v>
      </c>
    </row>
    <row r="2081" spans="1:17">
      <c r="A2081" s="19">
        <v>0</v>
      </c>
      <c r="B2081" s="19">
        <v>0</v>
      </c>
      <c r="C2081" s="19">
        <v>0</v>
      </c>
      <c r="D2081" s="19">
        <v>0</v>
      </c>
      <c r="E2081" s="19">
        <v>0</v>
      </c>
      <c r="F2081" s="19">
        <v>0</v>
      </c>
      <c r="G2081" s="19">
        <v>0</v>
      </c>
      <c r="H2081" s="19">
        <v>0</v>
      </c>
      <c r="I2081" s="15">
        <v>3500</v>
      </c>
      <c r="J2081" s="15">
        <v>0</v>
      </c>
      <c r="K2081" s="15">
        <v>0</v>
      </c>
      <c r="L2081" s="15">
        <v>0</v>
      </c>
      <c r="M2081" s="15">
        <v>0</v>
      </c>
      <c r="N2081" s="15" t="str">
        <v/>
      </c>
      <c r="O2081" s="15" t="str">
        <v/>
      </c>
      <c r="P2081" s="22">
        <v>0</v>
      </c>
      <c r="Q2081">
        <v>0</v>
      </c>
    </row>
    <row r="2082" spans="1:17">
      <c r="A2082" s="19">
        <v>0</v>
      </c>
      <c r="B2082" s="19">
        <v>0</v>
      </c>
      <c r="C2082" s="19">
        <v>0</v>
      </c>
      <c r="D2082" s="19">
        <v>0</v>
      </c>
      <c r="E2082" s="19">
        <v>0</v>
      </c>
      <c r="F2082" s="19">
        <v>0</v>
      </c>
      <c r="G2082" s="19">
        <v>0</v>
      </c>
      <c r="H2082" s="19">
        <v>0</v>
      </c>
      <c r="I2082" s="15">
        <v>3500</v>
      </c>
      <c r="J2082" s="15">
        <v>0</v>
      </c>
      <c r="K2082" s="15">
        <v>0</v>
      </c>
      <c r="L2082" s="15">
        <v>0</v>
      </c>
      <c r="M2082" s="15">
        <v>0</v>
      </c>
      <c r="N2082" s="15" t="str">
        <v/>
      </c>
      <c r="O2082" s="15" t="str">
        <v/>
      </c>
      <c r="P2082" s="22">
        <v>0</v>
      </c>
      <c r="Q2082">
        <v>0</v>
      </c>
    </row>
    <row r="2083" spans="1:17">
      <c r="A2083" s="19">
        <v>0</v>
      </c>
      <c r="B2083" s="19">
        <v>0</v>
      </c>
      <c r="C2083" s="19">
        <v>0</v>
      </c>
      <c r="D2083" s="19">
        <v>0</v>
      </c>
      <c r="E2083" s="19">
        <v>0</v>
      </c>
      <c r="F2083" s="19">
        <v>0</v>
      </c>
      <c r="G2083" s="19">
        <v>0</v>
      </c>
      <c r="H2083" s="19">
        <v>0</v>
      </c>
      <c r="I2083" s="15">
        <v>3500</v>
      </c>
      <c r="J2083" s="15">
        <v>0</v>
      </c>
      <c r="K2083" s="15">
        <v>0</v>
      </c>
      <c r="L2083" s="15">
        <v>0</v>
      </c>
      <c r="M2083" s="15">
        <v>0</v>
      </c>
      <c r="N2083" s="15" t="str">
        <v/>
      </c>
      <c r="O2083" s="15" t="str">
        <v/>
      </c>
      <c r="P2083" s="22">
        <v>0</v>
      </c>
      <c r="Q2083">
        <v>0</v>
      </c>
    </row>
    <row r="2084" spans="1:17">
      <c r="A2084" s="19">
        <v>0</v>
      </c>
      <c r="B2084" s="19">
        <v>0</v>
      </c>
      <c r="C2084" s="19">
        <v>0</v>
      </c>
      <c r="D2084" s="19">
        <v>0</v>
      </c>
      <c r="E2084" s="19">
        <v>0</v>
      </c>
      <c r="F2084" s="19">
        <v>0</v>
      </c>
      <c r="G2084" s="19">
        <v>0</v>
      </c>
      <c r="H2084" s="19">
        <v>0</v>
      </c>
      <c r="I2084" s="15">
        <v>3500</v>
      </c>
      <c r="J2084" s="15">
        <v>0</v>
      </c>
      <c r="K2084" s="15">
        <v>0</v>
      </c>
      <c r="L2084" s="15">
        <v>0</v>
      </c>
      <c r="M2084" s="15">
        <v>0</v>
      </c>
      <c r="N2084" s="15" t="str">
        <v/>
      </c>
      <c r="O2084" s="15" t="str">
        <v/>
      </c>
      <c r="P2084" s="22">
        <v>0</v>
      </c>
      <c r="Q2084">
        <v>0</v>
      </c>
    </row>
    <row r="2085" spans="1:17">
      <c r="A2085" s="19">
        <v>0</v>
      </c>
      <c r="B2085" s="19">
        <v>0</v>
      </c>
      <c r="C2085" s="19">
        <v>0</v>
      </c>
      <c r="D2085" s="19">
        <v>0</v>
      </c>
      <c r="E2085" s="19">
        <v>0</v>
      </c>
      <c r="F2085" s="19">
        <v>0</v>
      </c>
      <c r="G2085" s="19">
        <v>0</v>
      </c>
      <c r="H2085" s="19">
        <v>0</v>
      </c>
      <c r="I2085" s="15">
        <v>3500</v>
      </c>
      <c r="J2085" s="15">
        <v>0</v>
      </c>
      <c r="K2085" s="15">
        <v>0</v>
      </c>
      <c r="L2085" s="15">
        <v>0</v>
      </c>
      <c r="M2085" s="15">
        <v>0</v>
      </c>
      <c r="N2085" s="15" t="str">
        <v/>
      </c>
      <c r="O2085" s="15" t="str">
        <v/>
      </c>
      <c r="P2085" s="22">
        <v>0</v>
      </c>
      <c r="Q2085">
        <v>0</v>
      </c>
    </row>
    <row r="2086" spans="1:17">
      <c r="A2086" s="19">
        <v>0</v>
      </c>
      <c r="B2086" s="19">
        <v>0</v>
      </c>
      <c r="C2086" s="19">
        <v>0</v>
      </c>
      <c r="D2086" s="19">
        <v>0</v>
      </c>
      <c r="E2086" s="19">
        <v>0</v>
      </c>
      <c r="F2086" s="19">
        <v>0</v>
      </c>
      <c r="G2086" s="19">
        <v>0</v>
      </c>
      <c r="H2086" s="19">
        <v>0</v>
      </c>
      <c r="I2086" s="15">
        <v>3500</v>
      </c>
      <c r="J2086" s="15">
        <v>0</v>
      </c>
      <c r="K2086" s="15">
        <v>0</v>
      </c>
      <c r="L2086" s="15">
        <v>0</v>
      </c>
      <c r="M2086" s="15">
        <v>0</v>
      </c>
      <c r="N2086" s="15" t="str">
        <v/>
      </c>
      <c r="O2086" s="15" t="str">
        <v/>
      </c>
      <c r="P2086" s="22">
        <v>0</v>
      </c>
      <c r="Q2086">
        <v>0</v>
      </c>
    </row>
    <row r="2087" spans="1:17">
      <c r="A2087" s="19">
        <v>0</v>
      </c>
      <c r="B2087" s="19">
        <v>0</v>
      </c>
      <c r="C2087" s="19">
        <v>0</v>
      </c>
      <c r="D2087" s="19">
        <v>0</v>
      </c>
      <c r="E2087" s="19">
        <v>0</v>
      </c>
      <c r="F2087" s="19">
        <v>0</v>
      </c>
      <c r="G2087" s="19">
        <v>0</v>
      </c>
      <c r="H2087" s="19">
        <v>0</v>
      </c>
      <c r="I2087" s="15">
        <v>3500</v>
      </c>
      <c r="J2087" s="15">
        <v>0</v>
      </c>
      <c r="K2087" s="15">
        <v>0</v>
      </c>
      <c r="L2087" s="15">
        <v>0</v>
      </c>
      <c r="M2087" s="15">
        <v>0</v>
      </c>
      <c r="N2087" s="15" t="str">
        <v/>
      </c>
      <c r="O2087" s="15" t="str">
        <v/>
      </c>
      <c r="P2087" s="22">
        <v>0</v>
      </c>
      <c r="Q2087">
        <v>0</v>
      </c>
    </row>
    <row r="2088" spans="1:17">
      <c r="A2088" s="19">
        <v>0</v>
      </c>
      <c r="B2088" s="19">
        <v>0</v>
      </c>
      <c r="C2088" s="19">
        <v>0</v>
      </c>
      <c r="D2088" s="19">
        <v>0</v>
      </c>
      <c r="E2088" s="19">
        <v>0</v>
      </c>
      <c r="F2088" s="19">
        <v>0</v>
      </c>
      <c r="G2088" s="19">
        <v>0</v>
      </c>
      <c r="H2088" s="19">
        <v>0</v>
      </c>
      <c r="I2088" s="15">
        <v>3500</v>
      </c>
      <c r="J2088" s="15">
        <v>0</v>
      </c>
      <c r="K2088" s="15">
        <v>0</v>
      </c>
      <c r="L2088" s="15">
        <v>0</v>
      </c>
      <c r="M2088" s="15">
        <v>0</v>
      </c>
      <c r="N2088" s="15" t="str">
        <v/>
      </c>
      <c r="O2088" s="15" t="str">
        <v/>
      </c>
      <c r="P2088" s="22">
        <v>0</v>
      </c>
      <c r="Q2088">
        <v>0</v>
      </c>
    </row>
    <row r="2089" spans="1:17">
      <c r="A2089" s="19">
        <v>0</v>
      </c>
      <c r="B2089" s="19">
        <v>0</v>
      </c>
      <c r="C2089" s="19">
        <v>0</v>
      </c>
      <c r="D2089" s="19">
        <v>0</v>
      </c>
      <c r="E2089" s="19">
        <v>0</v>
      </c>
      <c r="F2089" s="19">
        <v>0</v>
      </c>
      <c r="G2089" s="19">
        <v>0</v>
      </c>
      <c r="H2089" s="19">
        <v>0</v>
      </c>
      <c r="I2089" s="15">
        <v>3500</v>
      </c>
      <c r="J2089" s="15">
        <v>0</v>
      </c>
      <c r="K2089" s="15">
        <v>0</v>
      </c>
      <c r="L2089" s="15">
        <v>0</v>
      </c>
      <c r="M2089" s="15">
        <v>0</v>
      </c>
      <c r="N2089" s="15" t="str">
        <v/>
      </c>
      <c r="O2089" s="15" t="str">
        <v/>
      </c>
      <c r="P2089" s="22">
        <v>0</v>
      </c>
      <c r="Q2089">
        <v>0</v>
      </c>
    </row>
    <row r="2090" spans="1:17">
      <c r="A2090" s="19">
        <v>0</v>
      </c>
      <c r="B2090" s="19">
        <v>0</v>
      </c>
      <c r="C2090" s="19">
        <v>0</v>
      </c>
      <c r="D2090" s="19">
        <v>0</v>
      </c>
      <c r="E2090" s="19">
        <v>0</v>
      </c>
      <c r="F2090" s="19">
        <v>0</v>
      </c>
      <c r="G2090" s="19">
        <v>0</v>
      </c>
      <c r="H2090" s="19">
        <v>0</v>
      </c>
      <c r="I2090" s="15">
        <v>3500</v>
      </c>
      <c r="J2090" s="15">
        <v>0</v>
      </c>
      <c r="K2090" s="15">
        <v>0</v>
      </c>
      <c r="L2090" s="15">
        <v>0</v>
      </c>
      <c r="M2090" s="15">
        <v>0</v>
      </c>
      <c r="N2090" s="15" t="str">
        <v/>
      </c>
      <c r="O2090" s="15" t="str">
        <v/>
      </c>
      <c r="P2090" s="22">
        <v>0</v>
      </c>
      <c r="Q2090">
        <v>0</v>
      </c>
    </row>
    <row r="2091" spans="1:17">
      <c r="A2091" s="19">
        <v>0</v>
      </c>
      <c r="B2091" s="19">
        <v>0</v>
      </c>
      <c r="C2091" s="19">
        <v>0</v>
      </c>
      <c r="D2091" s="19">
        <v>0</v>
      </c>
      <c r="E2091" s="19">
        <v>0</v>
      </c>
      <c r="F2091" s="19">
        <v>0</v>
      </c>
      <c r="G2091" s="19">
        <v>0</v>
      </c>
      <c r="H2091" s="19">
        <v>0</v>
      </c>
      <c r="I2091" s="15">
        <v>3500</v>
      </c>
      <c r="J2091" s="15">
        <v>0</v>
      </c>
      <c r="K2091" s="15">
        <v>0</v>
      </c>
      <c r="L2091" s="15">
        <v>0</v>
      </c>
      <c r="M2091" s="15">
        <v>0</v>
      </c>
      <c r="N2091" s="15" t="str">
        <v/>
      </c>
      <c r="O2091" s="15" t="str">
        <v/>
      </c>
      <c r="P2091" s="22">
        <v>0</v>
      </c>
      <c r="Q2091">
        <v>0</v>
      </c>
    </row>
    <row r="2092" spans="1:17">
      <c r="A2092" s="19">
        <v>0</v>
      </c>
      <c r="B2092" s="19">
        <v>0</v>
      </c>
      <c r="C2092" s="19">
        <v>0</v>
      </c>
      <c r="D2092" s="19">
        <v>0</v>
      </c>
      <c r="E2092" s="19">
        <v>0</v>
      </c>
      <c r="F2092" s="19">
        <v>0</v>
      </c>
      <c r="G2092" s="19">
        <v>0</v>
      </c>
      <c r="H2092" s="19">
        <v>0</v>
      </c>
      <c r="I2092" s="15">
        <v>3500</v>
      </c>
      <c r="J2092" s="15">
        <v>0</v>
      </c>
      <c r="K2092" s="15">
        <v>0</v>
      </c>
      <c r="L2092" s="15">
        <v>0</v>
      </c>
      <c r="M2092" s="15">
        <v>0</v>
      </c>
      <c r="N2092" s="15" t="str">
        <v/>
      </c>
      <c r="O2092" s="15" t="str">
        <v/>
      </c>
      <c r="P2092" s="22">
        <v>0</v>
      </c>
      <c r="Q2092">
        <v>0</v>
      </c>
    </row>
    <row r="2093" spans="1:17">
      <c r="A2093" s="19">
        <v>0</v>
      </c>
      <c r="B2093" s="19">
        <v>0</v>
      </c>
      <c r="C2093" s="19">
        <v>0</v>
      </c>
      <c r="D2093" s="19">
        <v>0</v>
      </c>
      <c r="E2093" s="19">
        <v>0</v>
      </c>
      <c r="F2093" s="19">
        <v>0</v>
      </c>
      <c r="G2093" s="19">
        <v>0</v>
      </c>
      <c r="H2093" s="19">
        <v>0</v>
      </c>
      <c r="I2093" s="15">
        <v>3500</v>
      </c>
      <c r="J2093" s="15">
        <v>0</v>
      </c>
      <c r="K2093" s="15">
        <v>0</v>
      </c>
      <c r="L2093" s="15">
        <v>0</v>
      </c>
      <c r="M2093" s="15">
        <v>0</v>
      </c>
      <c r="N2093" s="15" t="str">
        <v/>
      </c>
      <c r="O2093" s="15" t="str">
        <v/>
      </c>
      <c r="P2093" s="22">
        <v>0</v>
      </c>
      <c r="Q2093">
        <v>0</v>
      </c>
    </row>
    <row r="2094" spans="1:17">
      <c r="A2094" s="19">
        <v>0</v>
      </c>
      <c r="B2094" s="19">
        <v>0</v>
      </c>
      <c r="C2094" s="19">
        <v>0</v>
      </c>
      <c r="D2094" s="19">
        <v>0</v>
      </c>
      <c r="E2094" s="19">
        <v>0</v>
      </c>
      <c r="F2094" s="19">
        <v>0</v>
      </c>
      <c r="G2094" s="19">
        <v>0</v>
      </c>
      <c r="H2094" s="19">
        <v>0</v>
      </c>
      <c r="I2094" s="15">
        <v>3500</v>
      </c>
      <c r="J2094" s="15">
        <v>0</v>
      </c>
      <c r="K2094" s="15">
        <v>0</v>
      </c>
      <c r="L2094" s="15">
        <v>0</v>
      </c>
      <c r="M2094" s="15">
        <v>0</v>
      </c>
      <c r="N2094" s="15" t="str">
        <v/>
      </c>
      <c r="O2094" s="15" t="str">
        <v/>
      </c>
      <c r="P2094" s="22">
        <v>0</v>
      </c>
      <c r="Q2094">
        <v>0</v>
      </c>
    </row>
    <row r="2095" spans="1:17">
      <c r="A2095" s="19">
        <v>0</v>
      </c>
      <c r="B2095" s="19">
        <v>0</v>
      </c>
      <c r="C2095" s="19">
        <v>0</v>
      </c>
      <c r="D2095" s="19">
        <v>0</v>
      </c>
      <c r="E2095" s="19">
        <v>0</v>
      </c>
      <c r="F2095" s="19">
        <v>0</v>
      </c>
      <c r="G2095" s="19">
        <v>0</v>
      </c>
      <c r="H2095" s="19">
        <v>0</v>
      </c>
      <c r="I2095" s="15">
        <v>3500</v>
      </c>
      <c r="J2095" s="15">
        <v>0</v>
      </c>
      <c r="K2095" s="15">
        <v>0</v>
      </c>
      <c r="L2095" s="15">
        <v>0</v>
      </c>
      <c r="M2095" s="15">
        <v>0</v>
      </c>
      <c r="N2095" s="15" t="str">
        <v/>
      </c>
      <c r="O2095" s="15" t="str">
        <v/>
      </c>
      <c r="P2095" s="22">
        <v>0</v>
      </c>
      <c r="Q2095">
        <v>0</v>
      </c>
    </row>
    <row r="2096" spans="1:17">
      <c r="A2096" s="19">
        <v>0</v>
      </c>
      <c r="B2096" s="19">
        <v>0</v>
      </c>
      <c r="C2096" s="19">
        <v>0</v>
      </c>
      <c r="D2096" s="19">
        <v>0</v>
      </c>
      <c r="E2096" s="19">
        <v>0</v>
      </c>
      <c r="F2096" s="19">
        <v>0</v>
      </c>
      <c r="G2096" s="19">
        <v>0</v>
      </c>
      <c r="H2096" s="19">
        <v>0</v>
      </c>
      <c r="I2096" s="15">
        <v>3500</v>
      </c>
      <c r="J2096" s="15">
        <v>0</v>
      </c>
      <c r="K2096" s="15">
        <v>0</v>
      </c>
      <c r="L2096" s="15">
        <v>0</v>
      </c>
      <c r="M2096" s="15">
        <v>0</v>
      </c>
      <c r="N2096" s="15" t="str">
        <v/>
      </c>
      <c r="O2096" s="15" t="str">
        <v/>
      </c>
      <c r="P2096" s="22">
        <v>0</v>
      </c>
      <c r="Q2096">
        <v>0</v>
      </c>
    </row>
    <row r="2097" spans="1:17">
      <c r="A2097" s="19">
        <v>0</v>
      </c>
      <c r="B2097" s="19">
        <v>0</v>
      </c>
      <c r="C2097" s="19">
        <v>0</v>
      </c>
      <c r="D2097" s="19">
        <v>0</v>
      </c>
      <c r="E2097" s="19">
        <v>0</v>
      </c>
      <c r="F2097" s="19">
        <v>0</v>
      </c>
      <c r="G2097" s="19">
        <v>0</v>
      </c>
      <c r="H2097" s="19">
        <v>0</v>
      </c>
      <c r="I2097" s="15">
        <v>3500</v>
      </c>
      <c r="J2097" s="15">
        <v>0</v>
      </c>
      <c r="K2097" s="15">
        <v>0</v>
      </c>
      <c r="L2097" s="15">
        <v>0</v>
      </c>
      <c r="M2097" s="15">
        <v>0</v>
      </c>
      <c r="N2097" s="15" t="str">
        <v/>
      </c>
      <c r="O2097" s="15" t="str">
        <v/>
      </c>
      <c r="P2097" s="22">
        <v>0</v>
      </c>
      <c r="Q2097">
        <v>0</v>
      </c>
    </row>
    <row r="2098" spans="1:17">
      <c r="A2098" s="19">
        <v>0</v>
      </c>
      <c r="B2098" s="19">
        <v>0</v>
      </c>
      <c r="C2098" s="19">
        <v>0</v>
      </c>
      <c r="D2098" s="19">
        <v>0</v>
      </c>
      <c r="E2098" s="19">
        <v>0</v>
      </c>
      <c r="F2098" s="19">
        <v>0</v>
      </c>
      <c r="G2098" s="19">
        <v>0</v>
      </c>
      <c r="H2098" s="19">
        <v>0</v>
      </c>
      <c r="I2098" s="15">
        <v>3500</v>
      </c>
      <c r="J2098" s="15">
        <v>0</v>
      </c>
      <c r="K2098" s="15">
        <v>0</v>
      </c>
      <c r="L2098" s="15">
        <v>0</v>
      </c>
      <c r="M2098" s="15">
        <v>0</v>
      </c>
      <c r="N2098" s="15" t="str">
        <v/>
      </c>
      <c r="O2098" s="15" t="str">
        <v/>
      </c>
      <c r="P2098" s="22">
        <v>0</v>
      </c>
      <c r="Q2098">
        <v>0</v>
      </c>
    </row>
    <row r="2099" spans="1:17">
      <c r="A2099" s="19">
        <v>0</v>
      </c>
      <c r="B2099" s="19">
        <v>0</v>
      </c>
      <c r="C2099" s="19">
        <v>0</v>
      </c>
      <c r="D2099" s="19">
        <v>0</v>
      </c>
      <c r="E2099" s="19">
        <v>0</v>
      </c>
      <c r="F2099" s="19">
        <v>0</v>
      </c>
      <c r="G2099" s="19">
        <v>0</v>
      </c>
      <c r="H2099" s="19">
        <v>0</v>
      </c>
      <c r="I2099" s="15">
        <v>3500</v>
      </c>
      <c r="J2099" s="15">
        <v>0</v>
      </c>
      <c r="K2099" s="15">
        <v>0</v>
      </c>
      <c r="L2099" s="15">
        <v>0</v>
      </c>
      <c r="M2099" s="15">
        <v>0</v>
      </c>
      <c r="N2099" s="15" t="str">
        <v/>
      </c>
      <c r="O2099" s="15" t="str">
        <v/>
      </c>
      <c r="P2099" s="22">
        <v>0</v>
      </c>
      <c r="Q2099">
        <v>0</v>
      </c>
    </row>
    <row r="2100" spans="1:17">
      <c r="A2100" s="19">
        <v>0</v>
      </c>
      <c r="B2100" s="19">
        <v>0</v>
      </c>
      <c r="C2100" s="19">
        <v>0</v>
      </c>
      <c r="D2100" s="19">
        <v>0</v>
      </c>
      <c r="E2100" s="19">
        <v>0</v>
      </c>
      <c r="F2100" s="19">
        <v>0</v>
      </c>
      <c r="G2100" s="19">
        <v>0</v>
      </c>
      <c r="H2100" s="19">
        <v>0</v>
      </c>
      <c r="I2100" s="15">
        <v>3500</v>
      </c>
      <c r="J2100" s="15">
        <v>0</v>
      </c>
      <c r="K2100" s="15">
        <v>0</v>
      </c>
      <c r="L2100" s="15">
        <v>0</v>
      </c>
      <c r="M2100" s="15">
        <v>0</v>
      </c>
      <c r="N2100" s="15" t="str">
        <v/>
      </c>
      <c r="O2100" s="15" t="str">
        <v/>
      </c>
      <c r="P2100" s="22">
        <v>0</v>
      </c>
      <c r="Q2100">
        <v>0</v>
      </c>
    </row>
    <row r="2101" spans="1:17">
      <c r="A2101" s="19">
        <v>0</v>
      </c>
      <c r="B2101" s="19">
        <v>0</v>
      </c>
      <c r="C2101" s="19">
        <v>0</v>
      </c>
      <c r="D2101" s="19">
        <v>0</v>
      </c>
      <c r="E2101" s="19">
        <v>0</v>
      </c>
      <c r="F2101" s="19">
        <v>0</v>
      </c>
      <c r="G2101" s="19">
        <v>0</v>
      </c>
      <c r="H2101" s="19">
        <v>0</v>
      </c>
      <c r="I2101" s="15">
        <v>3500</v>
      </c>
      <c r="J2101" s="15">
        <v>0</v>
      </c>
      <c r="K2101" s="15">
        <v>0</v>
      </c>
      <c r="L2101" s="15">
        <v>0</v>
      </c>
      <c r="M2101" s="15">
        <v>0</v>
      </c>
      <c r="N2101" s="15" t="str">
        <v/>
      </c>
      <c r="O2101" s="15" t="str">
        <v/>
      </c>
      <c r="P2101" s="22">
        <v>0</v>
      </c>
      <c r="Q2101">
        <v>0</v>
      </c>
    </row>
    <row r="2102" spans="1:17">
      <c r="A2102" s="19">
        <v>0</v>
      </c>
      <c r="B2102" s="19">
        <v>0</v>
      </c>
      <c r="C2102" s="19">
        <v>0</v>
      </c>
      <c r="D2102" s="19">
        <v>0</v>
      </c>
      <c r="E2102" s="19">
        <v>0</v>
      </c>
      <c r="F2102" s="19">
        <v>0</v>
      </c>
      <c r="G2102" s="19">
        <v>0</v>
      </c>
      <c r="H2102" s="19">
        <v>0</v>
      </c>
      <c r="I2102" s="15">
        <v>3500</v>
      </c>
      <c r="J2102" s="15">
        <v>0</v>
      </c>
      <c r="K2102" s="15">
        <v>0</v>
      </c>
      <c r="L2102" s="15">
        <v>0</v>
      </c>
      <c r="M2102" s="15">
        <v>0</v>
      </c>
      <c r="N2102" s="15" t="str">
        <v/>
      </c>
      <c r="O2102" s="15" t="str">
        <v/>
      </c>
      <c r="P2102" s="22">
        <v>0</v>
      </c>
      <c r="Q2102">
        <v>0</v>
      </c>
    </row>
    <row r="2103" spans="1:17">
      <c r="A2103" s="19">
        <v>0</v>
      </c>
      <c r="B2103" s="19">
        <v>0</v>
      </c>
      <c r="C2103" s="19">
        <v>0</v>
      </c>
      <c r="D2103" s="19">
        <v>0</v>
      </c>
      <c r="E2103" s="19">
        <v>0</v>
      </c>
      <c r="F2103" s="19">
        <v>0</v>
      </c>
      <c r="G2103" s="19">
        <v>0</v>
      </c>
      <c r="H2103" s="19">
        <v>0</v>
      </c>
      <c r="I2103" s="15">
        <v>3500</v>
      </c>
      <c r="J2103" s="15">
        <v>0</v>
      </c>
      <c r="K2103" s="15">
        <v>0</v>
      </c>
      <c r="L2103" s="15">
        <v>0</v>
      </c>
      <c r="M2103" s="15">
        <v>0</v>
      </c>
      <c r="N2103" s="15" t="str">
        <v/>
      </c>
      <c r="O2103" s="15" t="str">
        <v/>
      </c>
      <c r="P2103" s="22">
        <v>0</v>
      </c>
      <c r="Q2103">
        <v>0</v>
      </c>
    </row>
    <row r="2104" spans="1:17">
      <c r="A2104" s="19">
        <v>0</v>
      </c>
      <c r="B2104" s="19">
        <v>0</v>
      </c>
      <c r="C2104" s="19">
        <v>0</v>
      </c>
      <c r="D2104" s="19">
        <v>0</v>
      </c>
      <c r="E2104" s="19">
        <v>0</v>
      </c>
      <c r="F2104" s="19">
        <v>0</v>
      </c>
      <c r="G2104" s="19">
        <v>0</v>
      </c>
      <c r="H2104" s="19">
        <v>0</v>
      </c>
      <c r="I2104" s="15">
        <v>3500</v>
      </c>
      <c r="J2104" s="15">
        <v>0</v>
      </c>
      <c r="K2104" s="15">
        <v>0</v>
      </c>
      <c r="L2104" s="15">
        <v>0</v>
      </c>
      <c r="M2104" s="15">
        <v>0</v>
      </c>
      <c r="N2104" s="15" t="str">
        <v/>
      </c>
      <c r="O2104" s="15" t="str">
        <v/>
      </c>
      <c r="P2104" s="22">
        <v>0</v>
      </c>
      <c r="Q2104">
        <v>0</v>
      </c>
    </row>
    <row r="2105" spans="1:17">
      <c r="A2105" s="19">
        <v>0</v>
      </c>
      <c r="B2105" s="19">
        <v>0</v>
      </c>
      <c r="C2105" s="19">
        <v>0</v>
      </c>
      <c r="D2105" s="19">
        <v>0</v>
      </c>
      <c r="E2105" s="19">
        <v>0</v>
      </c>
      <c r="F2105" s="19">
        <v>0</v>
      </c>
      <c r="G2105" s="19">
        <v>0</v>
      </c>
      <c r="H2105" s="19">
        <v>0</v>
      </c>
      <c r="I2105" s="15">
        <v>3500</v>
      </c>
      <c r="J2105" s="15">
        <v>0</v>
      </c>
      <c r="K2105" s="15">
        <v>0</v>
      </c>
      <c r="L2105" s="15">
        <v>0</v>
      </c>
      <c r="M2105" s="15">
        <v>0</v>
      </c>
      <c r="N2105" s="15" t="str">
        <v/>
      </c>
      <c r="O2105" s="15" t="str">
        <v/>
      </c>
      <c r="P2105" s="22">
        <v>0</v>
      </c>
      <c r="Q2105">
        <v>0</v>
      </c>
    </row>
    <row r="2106" spans="1:17">
      <c r="A2106" s="19">
        <v>0</v>
      </c>
      <c r="B2106" s="19">
        <v>0</v>
      </c>
      <c r="C2106" s="19">
        <v>0</v>
      </c>
      <c r="D2106" s="19">
        <v>0</v>
      </c>
      <c r="E2106" s="19">
        <v>0</v>
      </c>
      <c r="F2106" s="19">
        <v>0</v>
      </c>
      <c r="G2106" s="19">
        <v>0</v>
      </c>
      <c r="H2106" s="19">
        <v>0</v>
      </c>
      <c r="I2106" s="15">
        <v>3500</v>
      </c>
      <c r="J2106" s="15">
        <v>0</v>
      </c>
      <c r="K2106" s="15">
        <v>0</v>
      </c>
      <c r="L2106" s="15">
        <v>0</v>
      </c>
      <c r="M2106" s="15">
        <v>0</v>
      </c>
      <c r="N2106" s="15" t="str">
        <v/>
      </c>
      <c r="O2106" s="15" t="str">
        <v/>
      </c>
      <c r="P2106" s="22">
        <v>0</v>
      </c>
      <c r="Q2106">
        <v>0</v>
      </c>
    </row>
    <row r="2107" spans="1:17">
      <c r="A2107" s="19">
        <v>0</v>
      </c>
      <c r="B2107" s="19">
        <v>0</v>
      </c>
      <c r="C2107" s="19">
        <v>0</v>
      </c>
      <c r="D2107" s="19">
        <v>0</v>
      </c>
      <c r="E2107" s="19">
        <v>0</v>
      </c>
      <c r="F2107" s="19">
        <v>0</v>
      </c>
      <c r="G2107" s="19">
        <v>0</v>
      </c>
      <c r="H2107" s="19">
        <v>0</v>
      </c>
      <c r="I2107" s="15">
        <v>3500</v>
      </c>
      <c r="J2107" s="15">
        <v>0</v>
      </c>
      <c r="K2107" s="15">
        <v>0</v>
      </c>
      <c r="L2107" s="15">
        <v>0</v>
      </c>
      <c r="M2107" s="15">
        <v>0</v>
      </c>
      <c r="N2107" s="15" t="str">
        <v/>
      </c>
      <c r="O2107" s="15" t="str">
        <v/>
      </c>
      <c r="P2107" s="22">
        <v>0</v>
      </c>
      <c r="Q2107">
        <v>0</v>
      </c>
    </row>
    <row r="2108" spans="1:17">
      <c r="A2108" s="19">
        <v>0</v>
      </c>
      <c r="B2108" s="19">
        <v>0</v>
      </c>
      <c r="C2108" s="19">
        <v>0</v>
      </c>
      <c r="D2108" s="19">
        <v>0</v>
      </c>
      <c r="E2108" s="19">
        <v>0</v>
      </c>
      <c r="F2108" s="19">
        <v>0</v>
      </c>
      <c r="G2108" s="19">
        <v>0</v>
      </c>
      <c r="H2108" s="19">
        <v>0</v>
      </c>
      <c r="I2108" s="15">
        <v>3500</v>
      </c>
      <c r="J2108" s="15">
        <v>0</v>
      </c>
      <c r="K2108" s="15">
        <v>0</v>
      </c>
      <c r="L2108" s="15">
        <v>0</v>
      </c>
      <c r="M2108" s="15">
        <v>0</v>
      </c>
      <c r="N2108" s="15" t="str">
        <v/>
      </c>
      <c r="O2108" s="15" t="str">
        <v/>
      </c>
      <c r="P2108" s="22">
        <v>0</v>
      </c>
      <c r="Q2108">
        <v>0</v>
      </c>
    </row>
    <row r="2109" spans="1:17">
      <c r="A2109" s="19">
        <v>0</v>
      </c>
      <c r="B2109" s="19">
        <v>0</v>
      </c>
      <c r="C2109" s="19">
        <v>0</v>
      </c>
      <c r="D2109" s="19">
        <v>0</v>
      </c>
      <c r="E2109" s="19">
        <v>0</v>
      </c>
      <c r="F2109" s="19">
        <v>0</v>
      </c>
      <c r="G2109" s="19">
        <v>0</v>
      </c>
      <c r="H2109" s="19">
        <v>0</v>
      </c>
      <c r="I2109" s="15">
        <v>3500</v>
      </c>
      <c r="J2109" s="15">
        <v>0</v>
      </c>
      <c r="K2109" s="15">
        <v>0</v>
      </c>
      <c r="L2109" s="15">
        <v>0</v>
      </c>
      <c r="M2109" s="15">
        <v>0</v>
      </c>
      <c r="N2109" s="15" t="str">
        <v/>
      </c>
      <c r="O2109" s="15" t="str">
        <v/>
      </c>
      <c r="P2109" s="22">
        <v>0</v>
      </c>
      <c r="Q2109">
        <v>0</v>
      </c>
    </row>
    <row r="2110" spans="1:17">
      <c r="A2110" s="19">
        <v>0</v>
      </c>
      <c r="B2110" s="19">
        <v>0</v>
      </c>
      <c r="C2110" s="19">
        <v>0</v>
      </c>
      <c r="D2110" s="19">
        <v>0</v>
      </c>
      <c r="E2110" s="19">
        <v>0</v>
      </c>
      <c r="F2110" s="19">
        <v>0</v>
      </c>
      <c r="G2110" s="19">
        <v>0</v>
      </c>
      <c r="H2110" s="19">
        <v>0</v>
      </c>
      <c r="I2110" s="15">
        <v>3500</v>
      </c>
      <c r="J2110" s="15">
        <v>0</v>
      </c>
      <c r="K2110" s="15">
        <v>0</v>
      </c>
      <c r="L2110" s="15">
        <v>0</v>
      </c>
      <c r="M2110" s="15">
        <v>0</v>
      </c>
      <c r="N2110" s="15" t="str">
        <v/>
      </c>
      <c r="O2110" s="15" t="str">
        <v/>
      </c>
      <c r="P2110" s="22">
        <v>0</v>
      </c>
      <c r="Q2110">
        <v>0</v>
      </c>
    </row>
    <row r="2111" spans="1:17">
      <c r="A2111" s="19">
        <v>0</v>
      </c>
      <c r="B2111" s="19">
        <v>0</v>
      </c>
      <c r="C2111" s="19">
        <v>0</v>
      </c>
      <c r="D2111" s="19">
        <v>0</v>
      </c>
      <c r="E2111" s="19">
        <v>0</v>
      </c>
      <c r="F2111" s="19">
        <v>0</v>
      </c>
      <c r="G2111" s="19">
        <v>0</v>
      </c>
      <c r="H2111" s="19">
        <v>0</v>
      </c>
      <c r="I2111" s="15">
        <v>3500</v>
      </c>
      <c r="J2111" s="15">
        <v>0</v>
      </c>
      <c r="K2111" s="15">
        <v>0</v>
      </c>
      <c r="L2111" s="15">
        <v>0</v>
      </c>
      <c r="M2111" s="15">
        <v>0</v>
      </c>
      <c r="N2111" s="15" t="str">
        <v/>
      </c>
      <c r="O2111" s="15" t="str">
        <v/>
      </c>
      <c r="P2111" s="22">
        <v>0</v>
      </c>
      <c r="Q2111">
        <v>0</v>
      </c>
    </row>
    <row r="2112" spans="1:17">
      <c r="A2112" s="19">
        <v>0</v>
      </c>
      <c r="B2112" s="19">
        <v>0</v>
      </c>
      <c r="C2112" s="19">
        <v>0</v>
      </c>
      <c r="D2112" s="19">
        <v>0</v>
      </c>
      <c r="E2112" s="19">
        <v>0</v>
      </c>
      <c r="F2112" s="19">
        <v>0</v>
      </c>
      <c r="G2112" s="19">
        <v>0</v>
      </c>
      <c r="H2112" s="19">
        <v>0</v>
      </c>
      <c r="I2112" s="15">
        <v>3500</v>
      </c>
      <c r="J2112" s="15">
        <v>0</v>
      </c>
      <c r="K2112" s="15">
        <v>0</v>
      </c>
      <c r="L2112" s="15">
        <v>0</v>
      </c>
      <c r="M2112" s="15">
        <v>0</v>
      </c>
      <c r="N2112" s="15" t="str">
        <v/>
      </c>
      <c r="O2112" s="15" t="str">
        <v/>
      </c>
      <c r="P2112" s="22">
        <v>0</v>
      </c>
      <c r="Q2112">
        <v>0</v>
      </c>
    </row>
    <row r="2113" spans="1:17">
      <c r="A2113" s="19">
        <v>0</v>
      </c>
      <c r="B2113" s="19">
        <v>0</v>
      </c>
      <c r="C2113" s="19">
        <v>0</v>
      </c>
      <c r="D2113" s="19">
        <v>0</v>
      </c>
      <c r="E2113" s="19">
        <v>0</v>
      </c>
      <c r="F2113" s="19">
        <v>0</v>
      </c>
      <c r="G2113" s="19">
        <v>0</v>
      </c>
      <c r="H2113" s="19">
        <v>0</v>
      </c>
      <c r="I2113" s="15">
        <v>3500</v>
      </c>
      <c r="J2113" s="15">
        <v>0</v>
      </c>
      <c r="K2113" s="15">
        <v>0</v>
      </c>
      <c r="L2113" s="15">
        <v>0</v>
      </c>
      <c r="M2113" s="15">
        <v>0</v>
      </c>
      <c r="N2113" s="15" t="str">
        <v/>
      </c>
      <c r="O2113" s="15" t="str">
        <v/>
      </c>
      <c r="P2113" s="22">
        <v>0</v>
      </c>
      <c r="Q2113">
        <v>0</v>
      </c>
    </row>
    <row r="2114" spans="1:17">
      <c r="A2114" s="19">
        <v>0</v>
      </c>
      <c r="B2114" s="19">
        <v>0</v>
      </c>
      <c r="C2114" s="19">
        <v>0</v>
      </c>
      <c r="D2114" s="19">
        <v>0</v>
      </c>
      <c r="E2114" s="19">
        <v>0</v>
      </c>
      <c r="F2114" s="19">
        <v>0</v>
      </c>
      <c r="G2114" s="19">
        <v>0</v>
      </c>
      <c r="H2114" s="19">
        <v>0</v>
      </c>
      <c r="I2114" s="15">
        <v>3500</v>
      </c>
      <c r="J2114" s="15">
        <v>0</v>
      </c>
      <c r="K2114" s="15">
        <v>0</v>
      </c>
      <c r="L2114" s="15">
        <v>0</v>
      </c>
      <c r="M2114" s="15">
        <v>0</v>
      </c>
      <c r="N2114" s="15" t="str">
        <v/>
      </c>
      <c r="O2114" s="15" t="str">
        <v/>
      </c>
      <c r="P2114" s="22">
        <v>0</v>
      </c>
      <c r="Q2114">
        <v>0</v>
      </c>
    </row>
    <row r="2115" spans="1:17">
      <c r="A2115" s="19">
        <v>0</v>
      </c>
      <c r="B2115" s="19">
        <v>0</v>
      </c>
      <c r="C2115" s="19">
        <v>0</v>
      </c>
      <c r="D2115" s="19">
        <v>0</v>
      </c>
      <c r="E2115" s="19">
        <v>0</v>
      </c>
      <c r="F2115" s="19">
        <v>0</v>
      </c>
      <c r="G2115" s="19">
        <v>0</v>
      </c>
      <c r="H2115" s="19">
        <v>0</v>
      </c>
      <c r="I2115" s="15">
        <v>3500</v>
      </c>
      <c r="J2115" s="15">
        <v>0</v>
      </c>
      <c r="K2115" s="15">
        <v>0</v>
      </c>
      <c r="L2115" s="15">
        <v>0</v>
      </c>
      <c r="M2115" s="15">
        <v>0</v>
      </c>
      <c r="N2115" s="15" t="str">
        <v/>
      </c>
      <c r="O2115" s="15" t="str">
        <v/>
      </c>
      <c r="P2115" s="22">
        <v>0</v>
      </c>
      <c r="Q2115">
        <v>0</v>
      </c>
    </row>
    <row r="2116" spans="1:17">
      <c r="A2116" s="19">
        <v>0</v>
      </c>
      <c r="B2116" s="19">
        <v>0</v>
      </c>
      <c r="C2116" s="19">
        <v>0</v>
      </c>
      <c r="D2116" s="19">
        <v>0</v>
      </c>
      <c r="E2116" s="19">
        <v>0</v>
      </c>
      <c r="F2116" s="19">
        <v>0</v>
      </c>
      <c r="G2116" s="19">
        <v>0</v>
      </c>
      <c r="H2116" s="19">
        <v>0</v>
      </c>
      <c r="I2116" s="15">
        <v>3500</v>
      </c>
      <c r="J2116" s="15">
        <v>0</v>
      </c>
      <c r="K2116" s="15">
        <v>0</v>
      </c>
      <c r="L2116" s="15">
        <v>0</v>
      </c>
      <c r="M2116" s="15">
        <v>0</v>
      </c>
      <c r="N2116" s="15" t="str">
        <v/>
      </c>
      <c r="O2116" s="15" t="str">
        <v/>
      </c>
      <c r="P2116" s="22">
        <v>0</v>
      </c>
      <c r="Q2116">
        <v>0</v>
      </c>
    </row>
    <row r="2117" spans="1:17">
      <c r="A2117" s="19">
        <v>0</v>
      </c>
      <c r="B2117" s="19">
        <v>0</v>
      </c>
      <c r="C2117" s="19">
        <v>0</v>
      </c>
      <c r="D2117" s="19">
        <v>0</v>
      </c>
      <c r="E2117" s="19">
        <v>0</v>
      </c>
      <c r="F2117" s="19">
        <v>0</v>
      </c>
      <c r="G2117" s="19">
        <v>0</v>
      </c>
      <c r="H2117" s="19">
        <v>0</v>
      </c>
      <c r="I2117" s="15">
        <v>3500</v>
      </c>
      <c r="J2117" s="15">
        <v>0</v>
      </c>
      <c r="K2117" s="15">
        <v>0</v>
      </c>
      <c r="L2117" s="15">
        <v>0</v>
      </c>
      <c r="M2117" s="15">
        <v>0</v>
      </c>
      <c r="N2117" s="15" t="str">
        <v/>
      </c>
      <c r="O2117" s="15" t="str">
        <v/>
      </c>
      <c r="P2117" s="22">
        <v>0</v>
      </c>
      <c r="Q2117">
        <v>0</v>
      </c>
    </row>
    <row r="2118" spans="1:17">
      <c r="A2118" s="19">
        <v>0</v>
      </c>
      <c r="B2118" s="19">
        <v>0</v>
      </c>
      <c r="C2118" s="19">
        <v>0</v>
      </c>
      <c r="D2118" s="19">
        <v>0</v>
      </c>
      <c r="E2118" s="19">
        <v>0</v>
      </c>
      <c r="F2118" s="19">
        <v>0</v>
      </c>
      <c r="G2118" s="19">
        <v>0</v>
      </c>
      <c r="H2118" s="19">
        <v>0</v>
      </c>
      <c r="I2118" s="15">
        <v>3500</v>
      </c>
      <c r="J2118" s="15">
        <v>0</v>
      </c>
      <c r="K2118" s="15">
        <v>0</v>
      </c>
      <c r="L2118" s="15">
        <v>0</v>
      </c>
      <c r="M2118" s="15">
        <v>0</v>
      </c>
      <c r="N2118" s="15" t="str">
        <v/>
      </c>
      <c r="O2118" s="15" t="str">
        <v/>
      </c>
      <c r="P2118" s="22">
        <v>0</v>
      </c>
      <c r="Q2118">
        <v>0</v>
      </c>
    </row>
    <row r="2119" spans="1:17">
      <c r="A2119" s="19">
        <v>0</v>
      </c>
      <c r="B2119" s="19">
        <v>0</v>
      </c>
      <c r="C2119" s="19">
        <v>0</v>
      </c>
      <c r="D2119" s="19">
        <v>0</v>
      </c>
      <c r="E2119" s="19">
        <v>0</v>
      </c>
      <c r="F2119" s="19">
        <v>0</v>
      </c>
      <c r="G2119" s="19">
        <v>0</v>
      </c>
      <c r="H2119" s="19">
        <v>0</v>
      </c>
      <c r="I2119" s="15">
        <v>3500</v>
      </c>
      <c r="J2119" s="15">
        <v>0</v>
      </c>
      <c r="K2119" s="15">
        <v>0</v>
      </c>
      <c r="L2119" s="15">
        <v>0</v>
      </c>
      <c r="M2119" s="15">
        <v>0</v>
      </c>
      <c r="N2119" s="15" t="str">
        <v/>
      </c>
      <c r="O2119" s="15" t="str">
        <v/>
      </c>
      <c r="P2119" s="22">
        <v>0</v>
      </c>
      <c r="Q2119">
        <v>0</v>
      </c>
    </row>
    <row r="2120" spans="1:17">
      <c r="A2120" s="19">
        <v>0</v>
      </c>
      <c r="B2120" s="19">
        <v>0</v>
      </c>
      <c r="C2120" s="19">
        <v>0</v>
      </c>
      <c r="D2120" s="19">
        <v>0</v>
      </c>
      <c r="E2120" s="19">
        <v>0</v>
      </c>
      <c r="F2120" s="19">
        <v>0</v>
      </c>
      <c r="G2120" s="19">
        <v>0</v>
      </c>
      <c r="H2120" s="19">
        <v>0</v>
      </c>
      <c r="I2120" s="15">
        <v>3500</v>
      </c>
      <c r="J2120" s="15">
        <v>0</v>
      </c>
      <c r="K2120" s="15">
        <v>0</v>
      </c>
      <c r="L2120" s="15">
        <v>0</v>
      </c>
      <c r="M2120" s="15">
        <v>0</v>
      </c>
      <c r="N2120" s="15" t="str">
        <v/>
      </c>
      <c r="O2120" s="15" t="str">
        <v/>
      </c>
      <c r="P2120" s="22">
        <v>0</v>
      </c>
      <c r="Q2120">
        <v>0</v>
      </c>
    </row>
    <row r="2121" spans="1:17">
      <c r="A2121" s="19">
        <v>0</v>
      </c>
      <c r="B2121" s="19">
        <v>0</v>
      </c>
      <c r="C2121" s="19">
        <v>0</v>
      </c>
      <c r="D2121" s="19">
        <v>0</v>
      </c>
      <c r="E2121" s="19">
        <v>0</v>
      </c>
      <c r="F2121" s="19">
        <v>0</v>
      </c>
      <c r="G2121" s="19">
        <v>0</v>
      </c>
      <c r="H2121" s="19">
        <v>0</v>
      </c>
      <c r="I2121" s="15">
        <v>3500</v>
      </c>
      <c r="J2121" s="15">
        <v>0</v>
      </c>
      <c r="K2121" s="15">
        <v>0</v>
      </c>
      <c r="L2121" s="15">
        <v>0</v>
      </c>
      <c r="M2121" s="15">
        <v>0</v>
      </c>
      <c r="N2121" s="15" t="str">
        <v/>
      </c>
      <c r="O2121" s="15" t="str">
        <v/>
      </c>
      <c r="P2121" s="22">
        <v>0</v>
      </c>
      <c r="Q2121">
        <v>0</v>
      </c>
    </row>
    <row r="2122" spans="1:17">
      <c r="A2122" s="19">
        <v>0</v>
      </c>
      <c r="B2122" s="19">
        <v>0</v>
      </c>
      <c r="C2122" s="19">
        <v>0</v>
      </c>
      <c r="D2122" s="19">
        <v>0</v>
      </c>
      <c r="E2122" s="19">
        <v>0</v>
      </c>
      <c r="F2122" s="19">
        <v>0</v>
      </c>
      <c r="G2122" s="19">
        <v>0</v>
      </c>
      <c r="H2122" s="19">
        <v>0</v>
      </c>
      <c r="I2122" s="15">
        <v>3500</v>
      </c>
      <c r="J2122" s="15">
        <v>0</v>
      </c>
      <c r="K2122" s="15">
        <v>0</v>
      </c>
      <c r="L2122" s="15">
        <v>0</v>
      </c>
      <c r="M2122" s="15">
        <v>0</v>
      </c>
      <c r="N2122" s="15" t="str">
        <v/>
      </c>
      <c r="O2122" s="15" t="str">
        <v/>
      </c>
      <c r="P2122" s="22">
        <v>0</v>
      </c>
      <c r="Q2122">
        <v>0</v>
      </c>
    </row>
    <row r="2123" spans="1:17">
      <c r="A2123" s="19">
        <v>0</v>
      </c>
      <c r="B2123" s="19">
        <v>0</v>
      </c>
      <c r="C2123" s="19">
        <v>0</v>
      </c>
      <c r="D2123" s="19">
        <v>0</v>
      </c>
      <c r="E2123" s="19">
        <v>0</v>
      </c>
      <c r="F2123" s="19">
        <v>0</v>
      </c>
      <c r="G2123" s="19">
        <v>0</v>
      </c>
      <c r="H2123" s="19">
        <v>0</v>
      </c>
      <c r="I2123" s="15">
        <v>3500</v>
      </c>
      <c r="J2123" s="15">
        <v>0</v>
      </c>
      <c r="K2123" s="15">
        <v>0</v>
      </c>
      <c r="L2123" s="15">
        <v>0</v>
      </c>
      <c r="M2123" s="15">
        <v>0</v>
      </c>
      <c r="N2123" s="15" t="str">
        <v/>
      </c>
      <c r="O2123" s="15" t="str">
        <v/>
      </c>
      <c r="P2123" s="22">
        <v>0</v>
      </c>
      <c r="Q2123">
        <v>0</v>
      </c>
    </row>
    <row r="2124" spans="1:17">
      <c r="A2124" s="19">
        <v>0</v>
      </c>
      <c r="B2124" s="19">
        <v>0</v>
      </c>
      <c r="C2124" s="19">
        <v>0</v>
      </c>
      <c r="D2124" s="19">
        <v>0</v>
      </c>
      <c r="E2124" s="19">
        <v>0</v>
      </c>
      <c r="F2124" s="19">
        <v>0</v>
      </c>
      <c r="G2124" s="19">
        <v>0</v>
      </c>
      <c r="H2124" s="19">
        <v>0</v>
      </c>
      <c r="I2124" s="15">
        <v>3500</v>
      </c>
      <c r="J2124" s="15">
        <v>0</v>
      </c>
      <c r="K2124" s="15">
        <v>0</v>
      </c>
      <c r="L2124" s="15">
        <v>0</v>
      </c>
      <c r="M2124" s="15">
        <v>0</v>
      </c>
      <c r="N2124" s="15" t="str">
        <v/>
      </c>
      <c r="O2124" s="15" t="str">
        <v/>
      </c>
      <c r="P2124" s="22">
        <v>0</v>
      </c>
      <c r="Q2124">
        <v>0</v>
      </c>
    </row>
    <row r="2125" spans="1:17">
      <c r="A2125" s="19">
        <v>0</v>
      </c>
      <c r="B2125" s="19">
        <v>0</v>
      </c>
      <c r="C2125" s="19">
        <v>0</v>
      </c>
      <c r="D2125" s="19">
        <v>0</v>
      </c>
      <c r="E2125" s="19">
        <v>0</v>
      </c>
      <c r="F2125" s="19">
        <v>0</v>
      </c>
      <c r="G2125" s="19">
        <v>0</v>
      </c>
      <c r="H2125" s="19">
        <v>0</v>
      </c>
      <c r="I2125" s="15">
        <v>3500</v>
      </c>
      <c r="J2125" s="15">
        <v>0</v>
      </c>
      <c r="K2125" s="15">
        <v>0</v>
      </c>
      <c r="L2125" s="15">
        <v>0</v>
      </c>
      <c r="M2125" s="15">
        <v>0</v>
      </c>
      <c r="N2125" s="15" t="str">
        <v/>
      </c>
      <c r="O2125" s="15" t="str">
        <v/>
      </c>
      <c r="P2125" s="22">
        <v>0</v>
      </c>
      <c r="Q2125">
        <v>0</v>
      </c>
    </row>
    <row r="2126" spans="1:17">
      <c r="A2126" s="19">
        <v>0</v>
      </c>
      <c r="B2126" s="19">
        <v>0</v>
      </c>
      <c r="C2126" s="19">
        <v>0</v>
      </c>
      <c r="D2126" s="19">
        <v>0</v>
      </c>
      <c r="E2126" s="19">
        <v>0</v>
      </c>
      <c r="F2126" s="19">
        <v>0</v>
      </c>
      <c r="G2126" s="19">
        <v>0</v>
      </c>
      <c r="H2126" s="19">
        <v>0</v>
      </c>
      <c r="I2126" s="15">
        <v>3500</v>
      </c>
      <c r="J2126" s="15">
        <v>0</v>
      </c>
      <c r="K2126" s="15">
        <v>0</v>
      </c>
      <c r="L2126" s="15">
        <v>0</v>
      </c>
      <c r="M2126" s="15">
        <v>0</v>
      </c>
      <c r="N2126" s="15" t="str">
        <v/>
      </c>
      <c r="O2126" s="15" t="str">
        <v/>
      </c>
      <c r="P2126" s="22">
        <v>0</v>
      </c>
      <c r="Q2126">
        <v>0</v>
      </c>
    </row>
    <row r="2127" spans="1:17">
      <c r="A2127" s="19">
        <v>0</v>
      </c>
      <c r="B2127" s="19">
        <v>0</v>
      </c>
      <c r="C2127" s="19">
        <v>0</v>
      </c>
      <c r="D2127" s="19">
        <v>0</v>
      </c>
      <c r="E2127" s="19">
        <v>0</v>
      </c>
      <c r="F2127" s="19">
        <v>0</v>
      </c>
      <c r="G2127" s="19">
        <v>0</v>
      </c>
      <c r="H2127" s="19">
        <v>0</v>
      </c>
      <c r="I2127" s="15">
        <v>3500</v>
      </c>
      <c r="J2127" s="15">
        <v>0</v>
      </c>
      <c r="K2127" s="15">
        <v>0</v>
      </c>
      <c r="L2127" s="15">
        <v>0</v>
      </c>
      <c r="M2127" s="15">
        <v>0</v>
      </c>
      <c r="N2127" s="15" t="str">
        <v/>
      </c>
      <c r="O2127" s="15" t="str">
        <v/>
      </c>
      <c r="P2127" s="22">
        <v>0</v>
      </c>
      <c r="Q2127">
        <v>0</v>
      </c>
    </row>
    <row r="2128" spans="1:17">
      <c r="A2128" s="19">
        <v>0</v>
      </c>
      <c r="B2128" s="19">
        <v>0</v>
      </c>
      <c r="C2128" s="19">
        <v>0</v>
      </c>
      <c r="D2128" s="19">
        <v>0</v>
      </c>
      <c r="E2128" s="19">
        <v>0</v>
      </c>
      <c r="F2128" s="19">
        <v>0</v>
      </c>
      <c r="G2128" s="19">
        <v>0</v>
      </c>
      <c r="H2128" s="19">
        <v>0</v>
      </c>
      <c r="I2128" s="15">
        <v>3500</v>
      </c>
      <c r="J2128" s="15">
        <v>0</v>
      </c>
      <c r="K2128" s="15">
        <v>0</v>
      </c>
      <c r="L2128" s="15">
        <v>0</v>
      </c>
      <c r="M2128" s="15">
        <v>0</v>
      </c>
      <c r="N2128" s="15" t="str">
        <v/>
      </c>
      <c r="O2128" s="15" t="str">
        <v/>
      </c>
      <c r="P2128" s="22">
        <v>0</v>
      </c>
      <c r="Q2128">
        <v>0</v>
      </c>
    </row>
    <row r="2129" spans="1:17">
      <c r="A2129" s="19">
        <v>0</v>
      </c>
      <c r="B2129" s="19">
        <v>0</v>
      </c>
      <c r="C2129" s="19">
        <v>0</v>
      </c>
      <c r="D2129" s="19">
        <v>0</v>
      </c>
      <c r="E2129" s="19">
        <v>0</v>
      </c>
      <c r="F2129" s="19">
        <v>0</v>
      </c>
      <c r="G2129" s="19">
        <v>0</v>
      </c>
      <c r="H2129" s="19">
        <v>0</v>
      </c>
      <c r="I2129" s="15">
        <v>3500</v>
      </c>
      <c r="J2129" s="15">
        <v>0</v>
      </c>
      <c r="K2129" s="15">
        <v>0</v>
      </c>
      <c r="L2129" s="15">
        <v>0</v>
      </c>
      <c r="M2129" s="15">
        <v>0</v>
      </c>
      <c r="N2129" s="15" t="str">
        <v/>
      </c>
      <c r="O2129" s="15" t="str">
        <v/>
      </c>
      <c r="P2129" s="22">
        <v>0</v>
      </c>
      <c r="Q2129">
        <v>0</v>
      </c>
    </row>
    <row r="2130" spans="1:17">
      <c r="A2130" s="19">
        <v>0</v>
      </c>
      <c r="B2130" s="19">
        <v>0</v>
      </c>
      <c r="C2130" s="19">
        <v>0</v>
      </c>
      <c r="D2130" s="19">
        <v>0</v>
      </c>
      <c r="E2130" s="19">
        <v>0</v>
      </c>
      <c r="F2130" s="19">
        <v>0</v>
      </c>
      <c r="G2130" s="19">
        <v>0</v>
      </c>
      <c r="H2130" s="19">
        <v>0</v>
      </c>
      <c r="I2130" s="15">
        <v>3500</v>
      </c>
      <c r="J2130" s="15">
        <v>0</v>
      </c>
      <c r="K2130" s="15">
        <v>0</v>
      </c>
      <c r="L2130" s="15">
        <v>0</v>
      </c>
      <c r="M2130" s="15">
        <v>0</v>
      </c>
      <c r="N2130" s="15" t="str">
        <v/>
      </c>
      <c r="O2130" s="15" t="str">
        <v/>
      </c>
      <c r="P2130" s="22">
        <v>0</v>
      </c>
      <c r="Q2130">
        <v>0</v>
      </c>
    </row>
    <row r="2131" spans="1:17">
      <c r="A2131" s="19">
        <v>0</v>
      </c>
      <c r="B2131" s="19">
        <v>0</v>
      </c>
      <c r="C2131" s="19">
        <v>0</v>
      </c>
      <c r="D2131" s="19">
        <v>0</v>
      </c>
      <c r="E2131" s="19">
        <v>0</v>
      </c>
      <c r="F2131" s="19">
        <v>0</v>
      </c>
      <c r="G2131" s="19">
        <v>0</v>
      </c>
      <c r="H2131" s="19">
        <v>0</v>
      </c>
      <c r="I2131" s="15">
        <v>3500</v>
      </c>
      <c r="J2131" s="15">
        <v>0</v>
      </c>
      <c r="K2131" s="15">
        <v>0</v>
      </c>
      <c r="L2131" s="15">
        <v>0</v>
      </c>
      <c r="M2131" s="15">
        <v>0</v>
      </c>
      <c r="N2131" s="15" t="str">
        <v/>
      </c>
      <c r="O2131" s="15" t="str">
        <v/>
      </c>
      <c r="P2131" s="22">
        <v>0</v>
      </c>
      <c r="Q2131">
        <v>0</v>
      </c>
    </row>
    <row r="2132" spans="1:17">
      <c r="A2132" s="19">
        <v>0</v>
      </c>
      <c r="B2132" s="19">
        <v>0</v>
      </c>
      <c r="C2132" s="19">
        <v>0</v>
      </c>
      <c r="D2132" s="19">
        <v>0</v>
      </c>
      <c r="E2132" s="19">
        <v>0</v>
      </c>
      <c r="F2132" s="19">
        <v>0</v>
      </c>
      <c r="G2132" s="19">
        <v>0</v>
      </c>
      <c r="H2132" s="19">
        <v>0</v>
      </c>
      <c r="I2132" s="15">
        <v>3500</v>
      </c>
      <c r="J2132" s="15">
        <v>0</v>
      </c>
      <c r="K2132" s="15">
        <v>0</v>
      </c>
      <c r="L2132" s="15">
        <v>0</v>
      </c>
      <c r="M2132" s="15">
        <v>0</v>
      </c>
      <c r="N2132" s="15" t="str">
        <v/>
      </c>
      <c r="O2132" s="15" t="str">
        <v/>
      </c>
      <c r="P2132" s="22">
        <v>0</v>
      </c>
      <c r="Q2132">
        <v>0</v>
      </c>
    </row>
    <row r="2133" spans="1:17">
      <c r="A2133" s="19">
        <v>0</v>
      </c>
      <c r="B2133" s="19">
        <v>0</v>
      </c>
      <c r="C2133" s="19">
        <v>0</v>
      </c>
      <c r="D2133" s="19">
        <v>0</v>
      </c>
      <c r="E2133" s="19">
        <v>0</v>
      </c>
      <c r="F2133" s="19">
        <v>0</v>
      </c>
      <c r="G2133" s="19">
        <v>0</v>
      </c>
      <c r="H2133" s="19">
        <v>0</v>
      </c>
      <c r="I2133" s="15">
        <v>3500</v>
      </c>
      <c r="J2133" s="15">
        <v>0</v>
      </c>
      <c r="K2133" s="15">
        <v>0</v>
      </c>
      <c r="L2133" s="15">
        <v>0</v>
      </c>
      <c r="M2133" s="15">
        <v>0</v>
      </c>
      <c r="N2133" s="15" t="str">
        <v/>
      </c>
      <c r="O2133" s="15" t="str">
        <v/>
      </c>
      <c r="P2133" s="22">
        <v>0</v>
      </c>
      <c r="Q2133">
        <v>0</v>
      </c>
    </row>
    <row r="2134" spans="1:17">
      <c r="A2134" s="19">
        <v>0</v>
      </c>
      <c r="B2134" s="19">
        <v>0</v>
      </c>
      <c r="C2134" s="19">
        <v>0</v>
      </c>
      <c r="D2134" s="19">
        <v>0</v>
      </c>
      <c r="E2134" s="19">
        <v>0</v>
      </c>
      <c r="F2134" s="19">
        <v>0</v>
      </c>
      <c r="G2134" s="19">
        <v>0</v>
      </c>
      <c r="H2134" s="19">
        <v>0</v>
      </c>
      <c r="I2134" s="15">
        <v>3500</v>
      </c>
      <c r="J2134" s="15">
        <v>0</v>
      </c>
      <c r="K2134" s="15">
        <v>0</v>
      </c>
      <c r="L2134" s="15">
        <v>0</v>
      </c>
      <c r="M2134" s="15">
        <v>0</v>
      </c>
      <c r="N2134" s="15" t="str">
        <v/>
      </c>
      <c r="O2134" s="15" t="str">
        <v/>
      </c>
      <c r="P2134" s="22">
        <v>0</v>
      </c>
      <c r="Q2134">
        <v>0</v>
      </c>
    </row>
    <row r="2135" spans="1:17">
      <c r="A2135" s="19">
        <v>0</v>
      </c>
      <c r="B2135" s="19">
        <v>0</v>
      </c>
      <c r="C2135" s="19">
        <v>0</v>
      </c>
      <c r="D2135" s="19">
        <v>0</v>
      </c>
      <c r="E2135" s="19">
        <v>0</v>
      </c>
      <c r="F2135" s="19">
        <v>0</v>
      </c>
      <c r="G2135" s="19">
        <v>0</v>
      </c>
      <c r="H2135" s="19">
        <v>0</v>
      </c>
      <c r="I2135" s="15">
        <v>3500</v>
      </c>
      <c r="J2135" s="15">
        <v>0</v>
      </c>
      <c r="K2135" s="15">
        <v>0</v>
      </c>
      <c r="L2135" s="15">
        <v>0</v>
      </c>
      <c r="M2135" s="15">
        <v>0</v>
      </c>
      <c r="N2135" s="15" t="str">
        <v/>
      </c>
      <c r="O2135" s="15" t="str">
        <v/>
      </c>
      <c r="P2135" s="22">
        <v>0</v>
      </c>
      <c r="Q2135">
        <v>0</v>
      </c>
    </row>
    <row r="2136" spans="1:17">
      <c r="A2136" s="19">
        <v>0</v>
      </c>
      <c r="B2136" s="19">
        <v>0</v>
      </c>
      <c r="C2136" s="19">
        <v>0</v>
      </c>
      <c r="D2136" s="19">
        <v>0</v>
      </c>
      <c r="E2136" s="19">
        <v>0</v>
      </c>
      <c r="F2136" s="19">
        <v>0</v>
      </c>
      <c r="G2136" s="19">
        <v>0</v>
      </c>
      <c r="H2136" s="19">
        <v>0</v>
      </c>
      <c r="I2136" s="15">
        <v>3500</v>
      </c>
      <c r="J2136" s="15">
        <v>0</v>
      </c>
      <c r="K2136" s="15">
        <v>0</v>
      </c>
      <c r="L2136" s="15">
        <v>0</v>
      </c>
      <c r="M2136" s="15">
        <v>0</v>
      </c>
      <c r="N2136" s="15" t="str">
        <v/>
      </c>
      <c r="O2136" s="15" t="str">
        <v/>
      </c>
      <c r="P2136" s="22">
        <v>0</v>
      </c>
      <c r="Q2136">
        <v>0</v>
      </c>
    </row>
    <row r="2137" spans="1:17">
      <c r="A2137" s="19">
        <v>0</v>
      </c>
      <c r="B2137" s="19">
        <v>0</v>
      </c>
      <c r="C2137" s="19">
        <v>0</v>
      </c>
      <c r="D2137" s="19">
        <v>0</v>
      </c>
      <c r="E2137" s="19">
        <v>0</v>
      </c>
      <c r="F2137" s="19">
        <v>0</v>
      </c>
      <c r="G2137" s="19">
        <v>0</v>
      </c>
      <c r="H2137" s="19">
        <v>0</v>
      </c>
      <c r="I2137" s="15">
        <v>3500</v>
      </c>
      <c r="J2137" s="15">
        <v>0</v>
      </c>
      <c r="K2137" s="15">
        <v>0</v>
      </c>
      <c r="L2137" s="15">
        <v>0</v>
      </c>
      <c r="M2137" s="15">
        <v>0</v>
      </c>
      <c r="N2137" s="15" t="str">
        <v/>
      </c>
      <c r="O2137" s="15" t="str">
        <v/>
      </c>
      <c r="P2137" s="22">
        <v>0</v>
      </c>
      <c r="Q2137">
        <v>0</v>
      </c>
    </row>
    <row r="2138" spans="1:17">
      <c r="A2138" s="19">
        <v>0</v>
      </c>
      <c r="B2138" s="19">
        <v>0</v>
      </c>
      <c r="C2138" s="19">
        <v>0</v>
      </c>
      <c r="D2138" s="19">
        <v>0</v>
      </c>
      <c r="E2138" s="19">
        <v>0</v>
      </c>
      <c r="F2138" s="19">
        <v>0</v>
      </c>
      <c r="G2138" s="19">
        <v>0</v>
      </c>
      <c r="H2138" s="19">
        <v>0</v>
      </c>
      <c r="I2138" s="15">
        <v>3500</v>
      </c>
      <c r="J2138" s="15">
        <v>0</v>
      </c>
      <c r="K2138" s="15">
        <v>0</v>
      </c>
      <c r="L2138" s="15">
        <v>0</v>
      </c>
      <c r="M2138" s="15">
        <v>0</v>
      </c>
      <c r="N2138" s="15" t="str">
        <v/>
      </c>
      <c r="O2138" s="15" t="str">
        <v/>
      </c>
      <c r="P2138" s="22">
        <v>0</v>
      </c>
      <c r="Q2138">
        <v>0</v>
      </c>
    </row>
    <row r="2139" spans="1:17">
      <c r="A2139" s="19">
        <v>0</v>
      </c>
      <c r="B2139" s="19">
        <v>0</v>
      </c>
      <c r="C2139" s="19">
        <v>0</v>
      </c>
      <c r="D2139" s="19">
        <v>0</v>
      </c>
      <c r="E2139" s="19">
        <v>0</v>
      </c>
      <c r="F2139" s="19">
        <v>0</v>
      </c>
      <c r="G2139" s="19">
        <v>0</v>
      </c>
      <c r="H2139" s="19">
        <v>0</v>
      </c>
      <c r="I2139" s="15">
        <v>3500</v>
      </c>
      <c r="J2139" s="15">
        <v>0</v>
      </c>
      <c r="K2139" s="15">
        <v>0</v>
      </c>
      <c r="L2139" s="15">
        <v>0</v>
      </c>
      <c r="M2139" s="15">
        <v>0</v>
      </c>
      <c r="N2139" s="15" t="str">
        <v/>
      </c>
      <c r="O2139" s="15" t="str">
        <v/>
      </c>
      <c r="P2139" s="22">
        <v>0</v>
      </c>
      <c r="Q2139">
        <v>0</v>
      </c>
    </row>
    <row r="2140" spans="1:17">
      <c r="A2140" s="19">
        <v>0</v>
      </c>
      <c r="B2140" s="19">
        <v>0</v>
      </c>
      <c r="C2140" s="19">
        <v>0</v>
      </c>
      <c r="D2140" s="19">
        <v>0</v>
      </c>
      <c r="E2140" s="19">
        <v>0</v>
      </c>
      <c r="F2140" s="19">
        <v>0</v>
      </c>
      <c r="G2140" s="19">
        <v>0</v>
      </c>
      <c r="H2140" s="19">
        <v>0</v>
      </c>
      <c r="I2140" s="15">
        <v>3500</v>
      </c>
      <c r="J2140" s="15">
        <v>0</v>
      </c>
      <c r="K2140" s="15">
        <v>0</v>
      </c>
      <c r="L2140" s="15">
        <v>0</v>
      </c>
      <c r="M2140" s="15">
        <v>0</v>
      </c>
      <c r="N2140" s="15" t="str">
        <v/>
      </c>
      <c r="O2140" s="15" t="str">
        <v/>
      </c>
      <c r="P2140" s="22">
        <v>0</v>
      </c>
      <c r="Q2140">
        <v>0</v>
      </c>
    </row>
    <row r="2141" spans="1:17">
      <c r="A2141" s="19">
        <v>0</v>
      </c>
      <c r="B2141" s="19">
        <v>0</v>
      </c>
      <c r="C2141" s="19">
        <v>0</v>
      </c>
      <c r="D2141" s="19">
        <v>0</v>
      </c>
      <c r="E2141" s="19">
        <v>0</v>
      </c>
      <c r="F2141" s="19">
        <v>0</v>
      </c>
      <c r="G2141" s="19">
        <v>0</v>
      </c>
      <c r="H2141" s="19">
        <v>0</v>
      </c>
      <c r="I2141" s="15">
        <v>3500</v>
      </c>
      <c r="J2141" s="15">
        <v>0</v>
      </c>
      <c r="K2141" s="15">
        <v>0</v>
      </c>
      <c r="L2141" s="15">
        <v>0</v>
      </c>
      <c r="M2141" s="15">
        <v>0</v>
      </c>
      <c r="N2141" s="15" t="str">
        <v/>
      </c>
      <c r="O2141" s="15" t="str">
        <v/>
      </c>
      <c r="P2141" s="22">
        <v>0</v>
      </c>
      <c r="Q2141">
        <v>0</v>
      </c>
    </row>
    <row r="2142" spans="1:17">
      <c r="A2142" s="19">
        <v>0</v>
      </c>
      <c r="B2142" s="19">
        <v>0</v>
      </c>
      <c r="C2142" s="19">
        <v>0</v>
      </c>
      <c r="D2142" s="19">
        <v>0</v>
      </c>
      <c r="E2142" s="19">
        <v>0</v>
      </c>
      <c r="F2142" s="19">
        <v>0</v>
      </c>
      <c r="G2142" s="19">
        <v>0</v>
      </c>
      <c r="H2142" s="19">
        <v>0</v>
      </c>
      <c r="I2142" s="15">
        <v>3500</v>
      </c>
      <c r="J2142" s="15">
        <v>0</v>
      </c>
      <c r="K2142" s="15">
        <v>0</v>
      </c>
      <c r="L2142" s="15">
        <v>0</v>
      </c>
      <c r="M2142" s="15">
        <v>0</v>
      </c>
      <c r="N2142" s="15" t="str">
        <v/>
      </c>
      <c r="O2142" s="15" t="str">
        <v/>
      </c>
      <c r="P2142" s="22">
        <v>0</v>
      </c>
      <c r="Q2142">
        <v>0</v>
      </c>
    </row>
    <row r="2143" spans="1:17">
      <c r="A2143" s="19">
        <v>0</v>
      </c>
      <c r="B2143" s="19">
        <v>0</v>
      </c>
      <c r="C2143" s="19">
        <v>0</v>
      </c>
      <c r="D2143" s="19">
        <v>0</v>
      </c>
      <c r="E2143" s="19">
        <v>0</v>
      </c>
      <c r="F2143" s="19">
        <v>0</v>
      </c>
      <c r="G2143" s="19">
        <v>0</v>
      </c>
      <c r="H2143" s="19">
        <v>0</v>
      </c>
      <c r="I2143" s="15">
        <v>3500</v>
      </c>
      <c r="J2143" s="15">
        <v>0</v>
      </c>
      <c r="K2143" s="15">
        <v>0</v>
      </c>
      <c r="L2143" s="15">
        <v>0</v>
      </c>
      <c r="M2143" s="15">
        <v>0</v>
      </c>
      <c r="N2143" s="15" t="str">
        <v/>
      </c>
      <c r="O2143" s="15" t="str">
        <v/>
      </c>
      <c r="P2143" s="22">
        <v>0</v>
      </c>
      <c r="Q2143">
        <v>0</v>
      </c>
    </row>
    <row r="2144" spans="1:17">
      <c r="A2144" s="19">
        <v>0</v>
      </c>
      <c r="B2144" s="19">
        <v>0</v>
      </c>
      <c r="C2144" s="19">
        <v>0</v>
      </c>
      <c r="D2144" s="19">
        <v>0</v>
      </c>
      <c r="E2144" s="19">
        <v>0</v>
      </c>
      <c r="F2144" s="19">
        <v>0</v>
      </c>
      <c r="G2144" s="19">
        <v>0</v>
      </c>
      <c r="H2144" s="19">
        <v>0</v>
      </c>
      <c r="I2144" s="15">
        <v>3500</v>
      </c>
      <c r="J2144" s="15">
        <v>0</v>
      </c>
      <c r="K2144" s="15">
        <v>0</v>
      </c>
      <c r="L2144" s="15">
        <v>0</v>
      </c>
      <c r="M2144" s="15">
        <v>0</v>
      </c>
      <c r="N2144" s="15" t="str">
        <v/>
      </c>
      <c r="O2144" s="15" t="str">
        <v/>
      </c>
      <c r="P2144" s="22">
        <v>0</v>
      </c>
      <c r="Q2144">
        <v>0</v>
      </c>
    </row>
    <row r="2145" spans="1:17">
      <c r="A2145" s="19">
        <v>0</v>
      </c>
      <c r="B2145" s="19">
        <v>0</v>
      </c>
      <c r="C2145" s="19">
        <v>0</v>
      </c>
      <c r="D2145" s="19">
        <v>0</v>
      </c>
      <c r="E2145" s="19">
        <v>0</v>
      </c>
      <c r="F2145" s="19">
        <v>0</v>
      </c>
      <c r="G2145" s="19">
        <v>0</v>
      </c>
      <c r="H2145" s="19">
        <v>0</v>
      </c>
      <c r="I2145" s="15">
        <v>3500</v>
      </c>
      <c r="J2145" s="15">
        <v>0</v>
      </c>
      <c r="K2145" s="15">
        <v>0</v>
      </c>
      <c r="L2145" s="15">
        <v>0</v>
      </c>
      <c r="M2145" s="15">
        <v>0</v>
      </c>
      <c r="N2145" s="15" t="str">
        <v/>
      </c>
      <c r="O2145" s="15" t="str">
        <v/>
      </c>
      <c r="P2145" s="22">
        <v>0</v>
      </c>
      <c r="Q2145">
        <v>0</v>
      </c>
    </row>
    <row r="2146" spans="1:17">
      <c r="A2146" s="19">
        <v>0</v>
      </c>
      <c r="B2146" s="19">
        <v>0</v>
      </c>
      <c r="C2146" s="19">
        <v>0</v>
      </c>
      <c r="D2146" s="19">
        <v>0</v>
      </c>
      <c r="E2146" s="19">
        <v>0</v>
      </c>
      <c r="F2146" s="19">
        <v>0</v>
      </c>
      <c r="G2146" s="19">
        <v>0</v>
      </c>
      <c r="H2146" s="19">
        <v>0</v>
      </c>
      <c r="I2146" s="15">
        <v>3500</v>
      </c>
      <c r="J2146" s="15">
        <v>0</v>
      </c>
      <c r="K2146" s="15">
        <v>0</v>
      </c>
      <c r="L2146" s="15">
        <v>0</v>
      </c>
      <c r="M2146" s="15">
        <v>0</v>
      </c>
      <c r="N2146" s="15" t="str">
        <v/>
      </c>
      <c r="O2146" s="15" t="str">
        <v/>
      </c>
      <c r="P2146" s="22">
        <v>0</v>
      </c>
      <c r="Q2146">
        <v>0</v>
      </c>
    </row>
    <row r="2147" spans="1:17">
      <c r="A2147" s="19">
        <v>0</v>
      </c>
      <c r="B2147" s="19">
        <v>0</v>
      </c>
      <c r="C2147" s="19">
        <v>0</v>
      </c>
      <c r="D2147" s="19">
        <v>0</v>
      </c>
      <c r="E2147" s="19">
        <v>0</v>
      </c>
      <c r="F2147" s="19">
        <v>0</v>
      </c>
      <c r="G2147" s="19">
        <v>0</v>
      </c>
      <c r="H2147" s="19">
        <v>0</v>
      </c>
      <c r="I2147" s="15">
        <v>3500</v>
      </c>
      <c r="J2147" s="15">
        <v>0</v>
      </c>
      <c r="K2147" s="15">
        <v>0</v>
      </c>
      <c r="L2147" s="15">
        <v>0</v>
      </c>
      <c r="M2147" s="15">
        <v>0</v>
      </c>
      <c r="N2147" s="15" t="str">
        <v/>
      </c>
      <c r="O2147" s="15" t="str">
        <v/>
      </c>
      <c r="P2147" s="22">
        <v>0</v>
      </c>
      <c r="Q2147">
        <v>0</v>
      </c>
    </row>
    <row r="2148" spans="1:17">
      <c r="A2148" s="19">
        <v>0</v>
      </c>
      <c r="B2148" s="19">
        <v>0</v>
      </c>
      <c r="C2148" s="19">
        <v>0</v>
      </c>
      <c r="D2148" s="19">
        <v>0</v>
      </c>
      <c r="E2148" s="19">
        <v>0</v>
      </c>
      <c r="F2148" s="19">
        <v>0</v>
      </c>
      <c r="G2148" s="19">
        <v>0</v>
      </c>
      <c r="H2148" s="19">
        <v>0</v>
      </c>
      <c r="I2148" s="15">
        <v>3500</v>
      </c>
      <c r="J2148" s="15">
        <v>0</v>
      </c>
      <c r="K2148" s="15">
        <v>0</v>
      </c>
      <c r="L2148" s="15">
        <v>0</v>
      </c>
      <c r="M2148" s="15">
        <v>0</v>
      </c>
      <c r="N2148" s="15" t="str">
        <v/>
      </c>
      <c r="O2148" s="15" t="str">
        <v/>
      </c>
      <c r="P2148" s="22">
        <v>0</v>
      </c>
      <c r="Q2148">
        <v>0</v>
      </c>
    </row>
    <row r="2149" spans="1:17">
      <c r="A2149" s="19">
        <v>0</v>
      </c>
      <c r="B2149" s="19">
        <v>0</v>
      </c>
      <c r="C2149" s="19">
        <v>0</v>
      </c>
      <c r="D2149" s="19">
        <v>0</v>
      </c>
      <c r="E2149" s="19">
        <v>0</v>
      </c>
      <c r="F2149" s="19">
        <v>0</v>
      </c>
      <c r="G2149" s="19">
        <v>0</v>
      </c>
      <c r="H2149" s="19">
        <v>0</v>
      </c>
      <c r="I2149" s="15">
        <v>3500</v>
      </c>
      <c r="J2149" s="15">
        <v>0</v>
      </c>
      <c r="K2149" s="15">
        <v>0</v>
      </c>
      <c r="L2149" s="15">
        <v>0</v>
      </c>
      <c r="M2149" s="15">
        <v>0</v>
      </c>
      <c r="N2149" s="15" t="str">
        <v/>
      </c>
      <c r="O2149" s="15" t="str">
        <v/>
      </c>
      <c r="P2149" s="22">
        <v>0</v>
      </c>
      <c r="Q2149">
        <v>0</v>
      </c>
    </row>
    <row r="2150" spans="1:17">
      <c r="A2150" s="19">
        <v>0</v>
      </c>
      <c r="B2150" s="19">
        <v>0</v>
      </c>
      <c r="C2150" s="19">
        <v>0</v>
      </c>
      <c r="D2150" s="19">
        <v>0</v>
      </c>
      <c r="E2150" s="19">
        <v>0</v>
      </c>
      <c r="F2150" s="19">
        <v>0</v>
      </c>
      <c r="G2150" s="19">
        <v>0</v>
      </c>
      <c r="H2150" s="19">
        <v>0</v>
      </c>
      <c r="I2150" s="15">
        <v>3500</v>
      </c>
      <c r="J2150" s="15">
        <v>0</v>
      </c>
      <c r="K2150" s="15">
        <v>0</v>
      </c>
      <c r="L2150" s="15">
        <v>0</v>
      </c>
      <c r="M2150" s="15">
        <v>0</v>
      </c>
      <c r="N2150" s="15" t="str">
        <v/>
      </c>
      <c r="O2150" s="15" t="str">
        <v/>
      </c>
      <c r="P2150" s="22">
        <v>0</v>
      </c>
      <c r="Q2150">
        <v>0</v>
      </c>
    </row>
    <row r="2151" spans="1:17">
      <c r="A2151" s="19">
        <v>0</v>
      </c>
      <c r="B2151" s="19">
        <v>0</v>
      </c>
      <c r="C2151" s="19">
        <v>0</v>
      </c>
      <c r="D2151" s="19">
        <v>0</v>
      </c>
      <c r="E2151" s="19">
        <v>0</v>
      </c>
      <c r="F2151" s="19">
        <v>0</v>
      </c>
      <c r="G2151" s="19">
        <v>0</v>
      </c>
      <c r="H2151" s="19">
        <v>0</v>
      </c>
      <c r="I2151" s="15">
        <v>3500</v>
      </c>
      <c r="J2151" s="15">
        <v>0</v>
      </c>
      <c r="K2151" s="15">
        <v>0</v>
      </c>
      <c r="L2151" s="15">
        <v>0</v>
      </c>
      <c r="M2151" s="15">
        <v>0</v>
      </c>
      <c r="N2151" s="15" t="str">
        <v/>
      </c>
      <c r="O2151" s="15" t="str">
        <v/>
      </c>
      <c r="P2151" s="22">
        <v>0</v>
      </c>
      <c r="Q2151">
        <v>0</v>
      </c>
    </row>
    <row r="2152" spans="1:17">
      <c r="A2152" s="19">
        <v>0</v>
      </c>
      <c r="B2152" s="19">
        <v>0</v>
      </c>
      <c r="C2152" s="19">
        <v>0</v>
      </c>
      <c r="D2152" s="19">
        <v>0</v>
      </c>
      <c r="E2152" s="19">
        <v>0</v>
      </c>
      <c r="F2152" s="19">
        <v>0</v>
      </c>
      <c r="G2152" s="19">
        <v>0</v>
      </c>
      <c r="H2152" s="19">
        <v>0</v>
      </c>
      <c r="I2152" s="15">
        <v>3500</v>
      </c>
      <c r="J2152" s="15">
        <v>0</v>
      </c>
      <c r="K2152" s="15">
        <v>0</v>
      </c>
      <c r="L2152" s="15">
        <v>0</v>
      </c>
      <c r="M2152" s="15">
        <v>0</v>
      </c>
      <c r="N2152" s="15" t="str">
        <v/>
      </c>
      <c r="O2152" s="15" t="str">
        <v/>
      </c>
      <c r="P2152" s="22">
        <v>0</v>
      </c>
      <c r="Q2152">
        <v>0</v>
      </c>
    </row>
    <row r="2153" spans="1:17">
      <c r="A2153" s="19">
        <v>0</v>
      </c>
      <c r="B2153" s="19">
        <v>0</v>
      </c>
      <c r="C2153" s="19">
        <v>0</v>
      </c>
      <c r="D2153" s="19">
        <v>0</v>
      </c>
      <c r="E2153" s="19">
        <v>0</v>
      </c>
      <c r="F2153" s="19">
        <v>0</v>
      </c>
      <c r="G2153" s="19">
        <v>0</v>
      </c>
      <c r="H2153" s="19">
        <v>0</v>
      </c>
      <c r="I2153" s="15">
        <v>3500</v>
      </c>
      <c r="J2153" s="15">
        <v>0</v>
      </c>
      <c r="K2153" s="15">
        <v>0</v>
      </c>
      <c r="L2153" s="15">
        <v>0</v>
      </c>
      <c r="M2153" s="15">
        <v>0</v>
      </c>
      <c r="N2153" s="15" t="str">
        <v/>
      </c>
      <c r="O2153" s="15" t="str">
        <v/>
      </c>
      <c r="P2153" s="22">
        <v>0</v>
      </c>
      <c r="Q2153">
        <v>0</v>
      </c>
    </row>
    <row r="2154" spans="1:17">
      <c r="A2154" s="19">
        <v>0</v>
      </c>
      <c r="B2154" s="19">
        <v>0</v>
      </c>
      <c r="C2154" s="19">
        <v>0</v>
      </c>
      <c r="D2154" s="19">
        <v>0</v>
      </c>
      <c r="E2154" s="19">
        <v>0</v>
      </c>
      <c r="F2154" s="19">
        <v>0</v>
      </c>
      <c r="G2154" s="19">
        <v>0</v>
      </c>
      <c r="H2154" s="19">
        <v>0</v>
      </c>
      <c r="I2154" s="15">
        <v>3500</v>
      </c>
      <c r="J2154" s="15">
        <v>0</v>
      </c>
      <c r="K2154" s="15">
        <v>0</v>
      </c>
      <c r="L2154" s="15">
        <v>0</v>
      </c>
      <c r="M2154" s="15">
        <v>0</v>
      </c>
      <c r="N2154" s="15" t="str">
        <v/>
      </c>
      <c r="O2154" s="15" t="str">
        <v/>
      </c>
      <c r="P2154" s="22">
        <v>0</v>
      </c>
      <c r="Q2154">
        <v>0</v>
      </c>
    </row>
    <row r="2155" spans="1:17">
      <c r="A2155" s="19">
        <v>0</v>
      </c>
      <c r="B2155" s="19">
        <v>0</v>
      </c>
      <c r="C2155" s="19">
        <v>0</v>
      </c>
      <c r="D2155" s="19">
        <v>0</v>
      </c>
      <c r="E2155" s="19">
        <v>0</v>
      </c>
      <c r="F2155" s="19">
        <v>0</v>
      </c>
      <c r="G2155" s="19">
        <v>0</v>
      </c>
      <c r="H2155" s="19">
        <v>0</v>
      </c>
      <c r="I2155" s="15">
        <v>3500</v>
      </c>
      <c r="J2155" s="15">
        <v>0</v>
      </c>
      <c r="K2155" s="15">
        <v>0</v>
      </c>
      <c r="L2155" s="15">
        <v>0</v>
      </c>
      <c r="M2155" s="15">
        <v>0</v>
      </c>
      <c r="N2155" s="15" t="str">
        <v/>
      </c>
      <c r="O2155" s="15" t="str">
        <v/>
      </c>
      <c r="P2155" s="22">
        <v>0</v>
      </c>
      <c r="Q2155">
        <v>0</v>
      </c>
    </row>
    <row r="2156" spans="1:17">
      <c r="A2156" s="19">
        <v>0</v>
      </c>
      <c r="B2156" s="19">
        <v>0</v>
      </c>
      <c r="C2156" s="19">
        <v>0</v>
      </c>
      <c r="D2156" s="19">
        <v>0</v>
      </c>
      <c r="E2156" s="19">
        <v>0</v>
      </c>
      <c r="F2156" s="19">
        <v>0</v>
      </c>
      <c r="G2156" s="19">
        <v>0</v>
      </c>
      <c r="H2156" s="19">
        <v>0</v>
      </c>
      <c r="I2156" s="15">
        <v>3500</v>
      </c>
      <c r="J2156" s="15">
        <v>0</v>
      </c>
      <c r="K2156" s="15">
        <v>0</v>
      </c>
      <c r="L2156" s="15">
        <v>0</v>
      </c>
      <c r="M2156" s="15">
        <v>0</v>
      </c>
      <c r="N2156" s="15" t="str">
        <v/>
      </c>
      <c r="O2156" s="15" t="str">
        <v/>
      </c>
      <c r="P2156" s="22">
        <v>0</v>
      </c>
      <c r="Q2156">
        <v>0</v>
      </c>
    </row>
    <row r="2157" spans="1:17">
      <c r="A2157" s="19">
        <v>0</v>
      </c>
      <c r="B2157" s="19">
        <v>0</v>
      </c>
      <c r="C2157" s="19">
        <v>0</v>
      </c>
      <c r="D2157" s="19">
        <v>0</v>
      </c>
      <c r="E2157" s="19">
        <v>0</v>
      </c>
      <c r="F2157" s="19">
        <v>0</v>
      </c>
      <c r="G2157" s="19">
        <v>0</v>
      </c>
      <c r="H2157" s="19">
        <v>0</v>
      </c>
      <c r="I2157" s="15">
        <v>3500</v>
      </c>
      <c r="J2157" s="15">
        <v>0</v>
      </c>
      <c r="K2157" s="15">
        <v>0</v>
      </c>
      <c r="L2157" s="15">
        <v>0</v>
      </c>
      <c r="M2157" s="15">
        <v>0</v>
      </c>
      <c r="N2157" s="15" t="str">
        <v/>
      </c>
      <c r="O2157" s="15" t="str">
        <v/>
      </c>
      <c r="P2157" s="22">
        <v>0</v>
      </c>
      <c r="Q2157">
        <v>0</v>
      </c>
    </row>
    <row r="2158" spans="1:17">
      <c r="A2158" s="19">
        <v>0</v>
      </c>
      <c r="B2158" s="19">
        <v>0</v>
      </c>
      <c r="C2158" s="19">
        <v>0</v>
      </c>
      <c r="D2158" s="19">
        <v>0</v>
      </c>
      <c r="E2158" s="19">
        <v>0</v>
      </c>
      <c r="F2158" s="19">
        <v>0</v>
      </c>
      <c r="G2158" s="19">
        <v>0</v>
      </c>
      <c r="H2158" s="19">
        <v>0</v>
      </c>
      <c r="I2158" s="15">
        <v>3500</v>
      </c>
      <c r="J2158" s="15">
        <v>0</v>
      </c>
      <c r="K2158" s="15">
        <v>0</v>
      </c>
      <c r="L2158" s="15">
        <v>0</v>
      </c>
      <c r="M2158" s="15">
        <v>0</v>
      </c>
      <c r="N2158" s="15" t="str">
        <v/>
      </c>
      <c r="O2158" s="15" t="str">
        <v/>
      </c>
      <c r="P2158" s="22">
        <v>0</v>
      </c>
      <c r="Q2158">
        <v>0</v>
      </c>
    </row>
    <row r="2159" spans="1:17">
      <c r="A2159" s="19">
        <v>0</v>
      </c>
      <c r="B2159" s="19">
        <v>0</v>
      </c>
      <c r="C2159" s="19">
        <v>0</v>
      </c>
      <c r="D2159" s="19">
        <v>0</v>
      </c>
      <c r="E2159" s="19">
        <v>0</v>
      </c>
      <c r="F2159" s="19">
        <v>0</v>
      </c>
      <c r="G2159" s="19">
        <v>0</v>
      </c>
      <c r="H2159" s="19">
        <v>0</v>
      </c>
      <c r="I2159" s="15">
        <v>3500</v>
      </c>
      <c r="J2159" s="15">
        <v>0</v>
      </c>
      <c r="K2159" s="15">
        <v>0</v>
      </c>
      <c r="L2159" s="15">
        <v>0</v>
      </c>
      <c r="M2159" s="15">
        <v>0</v>
      </c>
      <c r="N2159" s="15" t="str">
        <v/>
      </c>
      <c r="O2159" s="15" t="str">
        <v/>
      </c>
      <c r="P2159" s="22">
        <v>0</v>
      </c>
      <c r="Q2159">
        <v>0</v>
      </c>
    </row>
    <row r="2160" spans="1:17">
      <c r="A2160" s="19">
        <v>0</v>
      </c>
      <c r="B2160" s="19">
        <v>0</v>
      </c>
      <c r="C2160" s="19">
        <v>0</v>
      </c>
      <c r="D2160" s="19">
        <v>0</v>
      </c>
      <c r="E2160" s="19">
        <v>0</v>
      </c>
      <c r="F2160" s="19">
        <v>0</v>
      </c>
      <c r="G2160" s="19">
        <v>0</v>
      </c>
      <c r="H2160" s="19">
        <v>0</v>
      </c>
      <c r="I2160" s="15">
        <v>3500</v>
      </c>
      <c r="J2160" s="15">
        <v>0</v>
      </c>
      <c r="K2160" s="15">
        <v>0</v>
      </c>
      <c r="L2160" s="15">
        <v>0</v>
      </c>
      <c r="M2160" s="15">
        <v>0</v>
      </c>
      <c r="N2160" s="15" t="str">
        <v/>
      </c>
      <c r="O2160" s="15" t="str">
        <v/>
      </c>
      <c r="P2160" s="22">
        <v>0</v>
      </c>
      <c r="Q2160">
        <v>0</v>
      </c>
    </row>
    <row r="2161" spans="1:17">
      <c r="A2161" s="19">
        <v>0</v>
      </c>
      <c r="B2161" s="19">
        <v>0</v>
      </c>
      <c r="C2161" s="19">
        <v>0</v>
      </c>
      <c r="D2161" s="19">
        <v>0</v>
      </c>
      <c r="E2161" s="19">
        <v>0</v>
      </c>
      <c r="F2161" s="19">
        <v>0</v>
      </c>
      <c r="G2161" s="19">
        <v>0</v>
      </c>
      <c r="H2161" s="19">
        <v>0</v>
      </c>
      <c r="I2161" s="15">
        <v>3500</v>
      </c>
      <c r="J2161" s="15">
        <v>0</v>
      </c>
      <c r="K2161" s="15">
        <v>0</v>
      </c>
      <c r="L2161" s="15">
        <v>0</v>
      </c>
      <c r="M2161" s="15">
        <v>0</v>
      </c>
      <c r="N2161" s="15" t="str">
        <v/>
      </c>
      <c r="O2161" s="15" t="str">
        <v/>
      </c>
      <c r="P2161" s="22">
        <v>0</v>
      </c>
      <c r="Q2161">
        <v>0</v>
      </c>
    </row>
    <row r="2162" spans="1:17">
      <c r="A2162" s="19">
        <v>0</v>
      </c>
      <c r="B2162" s="19">
        <v>0</v>
      </c>
      <c r="C2162" s="19">
        <v>0</v>
      </c>
      <c r="D2162" s="19">
        <v>0</v>
      </c>
      <c r="E2162" s="19">
        <v>0</v>
      </c>
      <c r="F2162" s="19">
        <v>0</v>
      </c>
      <c r="G2162" s="19">
        <v>0</v>
      </c>
      <c r="H2162" s="19">
        <v>0</v>
      </c>
      <c r="I2162" s="15">
        <v>3500</v>
      </c>
      <c r="J2162" s="15">
        <v>0</v>
      </c>
      <c r="K2162" s="15">
        <v>0</v>
      </c>
      <c r="L2162" s="15">
        <v>0</v>
      </c>
      <c r="M2162" s="15">
        <v>0</v>
      </c>
      <c r="N2162" s="15" t="str">
        <v/>
      </c>
      <c r="O2162" s="15" t="str">
        <v/>
      </c>
      <c r="P2162" s="22">
        <v>0</v>
      </c>
      <c r="Q2162">
        <v>0</v>
      </c>
    </row>
    <row r="2163" spans="1:17">
      <c r="A2163" s="19">
        <v>0</v>
      </c>
      <c r="B2163" s="19">
        <v>0</v>
      </c>
      <c r="C2163" s="19">
        <v>0</v>
      </c>
      <c r="D2163" s="19">
        <v>0</v>
      </c>
      <c r="E2163" s="19">
        <v>0</v>
      </c>
      <c r="F2163" s="19">
        <v>0</v>
      </c>
      <c r="G2163" s="19">
        <v>0</v>
      </c>
      <c r="H2163" s="19">
        <v>0</v>
      </c>
      <c r="I2163" s="15">
        <v>3500</v>
      </c>
      <c r="J2163" s="15">
        <v>0</v>
      </c>
      <c r="K2163" s="15">
        <v>0</v>
      </c>
      <c r="L2163" s="15">
        <v>0</v>
      </c>
      <c r="M2163" s="15">
        <v>0</v>
      </c>
      <c r="N2163" s="15" t="str">
        <v/>
      </c>
      <c r="O2163" s="15" t="str">
        <v/>
      </c>
      <c r="P2163" s="22">
        <v>0</v>
      </c>
      <c r="Q2163">
        <v>0</v>
      </c>
    </row>
    <row r="2164" spans="1:17">
      <c r="A2164" s="19">
        <v>0</v>
      </c>
      <c r="B2164" s="19">
        <v>0</v>
      </c>
      <c r="C2164" s="19">
        <v>0</v>
      </c>
      <c r="D2164" s="19">
        <v>0</v>
      </c>
      <c r="E2164" s="19">
        <v>0</v>
      </c>
      <c r="F2164" s="19">
        <v>0</v>
      </c>
      <c r="G2164" s="19">
        <v>0</v>
      </c>
      <c r="H2164" s="19">
        <v>0</v>
      </c>
      <c r="I2164" s="15">
        <v>3500</v>
      </c>
      <c r="J2164" s="15">
        <v>0</v>
      </c>
      <c r="K2164" s="15">
        <v>0</v>
      </c>
      <c r="L2164" s="15">
        <v>0</v>
      </c>
      <c r="M2164" s="15">
        <v>0</v>
      </c>
      <c r="N2164" s="15" t="str">
        <v/>
      </c>
      <c r="O2164" s="15" t="str">
        <v/>
      </c>
      <c r="P2164" s="22">
        <v>0</v>
      </c>
      <c r="Q2164">
        <v>0</v>
      </c>
    </row>
    <row r="2165" spans="1:17">
      <c r="A2165" s="19">
        <v>0</v>
      </c>
      <c r="B2165" s="19">
        <v>0</v>
      </c>
      <c r="C2165" s="19">
        <v>0</v>
      </c>
      <c r="D2165" s="19">
        <v>0</v>
      </c>
      <c r="E2165" s="19">
        <v>0</v>
      </c>
      <c r="F2165" s="19">
        <v>0</v>
      </c>
      <c r="G2165" s="19">
        <v>0</v>
      </c>
      <c r="H2165" s="19">
        <v>0</v>
      </c>
      <c r="I2165" s="15">
        <v>3500</v>
      </c>
      <c r="J2165" s="15">
        <v>0</v>
      </c>
      <c r="K2165" s="15">
        <v>0</v>
      </c>
      <c r="L2165" s="15">
        <v>0</v>
      </c>
      <c r="M2165" s="15">
        <v>0</v>
      </c>
      <c r="N2165" s="15" t="str">
        <v/>
      </c>
      <c r="O2165" s="15" t="str">
        <v/>
      </c>
      <c r="P2165" s="22">
        <v>0</v>
      </c>
      <c r="Q2165">
        <v>0</v>
      </c>
    </row>
    <row r="2166" spans="1:17">
      <c r="A2166" s="19">
        <v>0</v>
      </c>
      <c r="B2166" s="19">
        <v>0</v>
      </c>
      <c r="C2166" s="19">
        <v>0</v>
      </c>
      <c r="D2166" s="19">
        <v>0</v>
      </c>
      <c r="E2166" s="19">
        <v>0</v>
      </c>
      <c r="F2166" s="19">
        <v>0</v>
      </c>
      <c r="G2166" s="19">
        <v>0</v>
      </c>
      <c r="H2166" s="19">
        <v>0</v>
      </c>
      <c r="I2166" s="15">
        <v>3500</v>
      </c>
      <c r="J2166" s="15">
        <v>0</v>
      </c>
      <c r="K2166" s="15">
        <v>0</v>
      </c>
      <c r="L2166" s="15">
        <v>0</v>
      </c>
      <c r="M2166" s="15">
        <v>0</v>
      </c>
      <c r="N2166" s="15" t="str">
        <v/>
      </c>
      <c r="O2166" s="15" t="str">
        <v/>
      </c>
      <c r="P2166" s="22">
        <v>0</v>
      </c>
      <c r="Q2166">
        <v>0</v>
      </c>
    </row>
    <row r="2167" spans="1:17">
      <c r="A2167" s="19">
        <v>0</v>
      </c>
      <c r="B2167" s="19">
        <v>0</v>
      </c>
      <c r="C2167" s="19">
        <v>0</v>
      </c>
      <c r="D2167" s="19">
        <v>0</v>
      </c>
      <c r="E2167" s="19">
        <v>0</v>
      </c>
      <c r="F2167" s="19">
        <v>0</v>
      </c>
      <c r="G2167" s="19">
        <v>0</v>
      </c>
      <c r="H2167" s="19">
        <v>0</v>
      </c>
      <c r="I2167" s="15">
        <v>3500</v>
      </c>
      <c r="J2167" s="15">
        <v>0</v>
      </c>
      <c r="K2167" s="15">
        <v>0</v>
      </c>
      <c r="L2167" s="15">
        <v>0</v>
      </c>
      <c r="M2167" s="15">
        <v>0</v>
      </c>
      <c r="N2167" s="15" t="str">
        <v/>
      </c>
      <c r="O2167" s="15" t="str">
        <v/>
      </c>
      <c r="P2167" s="22">
        <v>0</v>
      </c>
      <c r="Q2167">
        <v>0</v>
      </c>
    </row>
    <row r="2168" spans="1:17">
      <c r="A2168" s="19">
        <v>0</v>
      </c>
      <c r="B2168" s="19">
        <v>0</v>
      </c>
      <c r="C2168" s="19">
        <v>0</v>
      </c>
      <c r="D2168" s="19">
        <v>0</v>
      </c>
      <c r="E2168" s="19">
        <v>0</v>
      </c>
      <c r="F2168" s="19">
        <v>0</v>
      </c>
      <c r="G2168" s="19">
        <v>0</v>
      </c>
      <c r="H2168" s="19">
        <v>0</v>
      </c>
      <c r="I2168" s="15">
        <v>3500</v>
      </c>
      <c r="J2168" s="15">
        <v>0</v>
      </c>
      <c r="K2168" s="15">
        <v>0</v>
      </c>
      <c r="L2168" s="15">
        <v>0</v>
      </c>
      <c r="M2168" s="15">
        <v>0</v>
      </c>
      <c r="N2168" s="15" t="str">
        <v/>
      </c>
      <c r="O2168" s="15" t="str">
        <v/>
      </c>
      <c r="P2168" s="22">
        <v>0</v>
      </c>
      <c r="Q2168">
        <v>0</v>
      </c>
    </row>
    <row r="2169" spans="1:17">
      <c r="A2169" s="19">
        <v>0</v>
      </c>
      <c r="B2169" s="19">
        <v>0</v>
      </c>
      <c r="C2169" s="19">
        <v>0</v>
      </c>
      <c r="D2169" s="19">
        <v>0</v>
      </c>
      <c r="E2169" s="19">
        <v>0</v>
      </c>
      <c r="F2169" s="19">
        <v>0</v>
      </c>
      <c r="G2169" s="19">
        <v>0</v>
      </c>
      <c r="H2169" s="19">
        <v>0</v>
      </c>
      <c r="I2169" s="15">
        <v>3500</v>
      </c>
      <c r="J2169" s="15">
        <v>0</v>
      </c>
      <c r="K2169" s="15">
        <v>0</v>
      </c>
      <c r="L2169" s="15">
        <v>0</v>
      </c>
      <c r="M2169" s="15">
        <v>0</v>
      </c>
      <c r="N2169" s="15" t="str">
        <v/>
      </c>
      <c r="O2169" s="15" t="str">
        <v/>
      </c>
      <c r="P2169" s="22">
        <v>0</v>
      </c>
      <c r="Q2169">
        <v>0</v>
      </c>
    </row>
    <row r="2170" spans="1:17">
      <c r="A2170" s="19">
        <v>0</v>
      </c>
      <c r="B2170" s="19">
        <v>0</v>
      </c>
      <c r="C2170" s="19">
        <v>0</v>
      </c>
      <c r="D2170" s="19">
        <v>0</v>
      </c>
      <c r="E2170" s="19">
        <v>0</v>
      </c>
      <c r="F2170" s="19">
        <v>0</v>
      </c>
      <c r="G2170" s="19">
        <v>0</v>
      </c>
      <c r="H2170" s="19">
        <v>0</v>
      </c>
      <c r="I2170" s="15">
        <v>3500</v>
      </c>
      <c r="J2170" s="15">
        <v>0</v>
      </c>
      <c r="K2170" s="15">
        <v>0</v>
      </c>
      <c r="L2170" s="15">
        <v>0</v>
      </c>
      <c r="M2170" s="15">
        <v>0</v>
      </c>
      <c r="N2170" s="15" t="str">
        <v/>
      </c>
      <c r="O2170" s="15" t="str">
        <v/>
      </c>
      <c r="P2170" s="22">
        <v>0</v>
      </c>
      <c r="Q2170">
        <v>0</v>
      </c>
    </row>
    <row r="2171" spans="1:17">
      <c r="A2171" s="19">
        <v>0</v>
      </c>
      <c r="B2171" s="19">
        <v>0</v>
      </c>
      <c r="C2171" s="19">
        <v>0</v>
      </c>
      <c r="D2171" s="19">
        <v>0</v>
      </c>
      <c r="E2171" s="19">
        <v>0</v>
      </c>
      <c r="F2171" s="19">
        <v>0</v>
      </c>
      <c r="G2171" s="19">
        <v>0</v>
      </c>
      <c r="H2171" s="19">
        <v>0</v>
      </c>
      <c r="I2171" s="15">
        <v>3500</v>
      </c>
      <c r="J2171" s="15">
        <v>0</v>
      </c>
      <c r="K2171" s="15">
        <v>0</v>
      </c>
      <c r="L2171" s="15">
        <v>0</v>
      </c>
      <c r="M2171" s="15">
        <v>0</v>
      </c>
      <c r="N2171" s="15" t="str">
        <v/>
      </c>
      <c r="O2171" s="15" t="str">
        <v/>
      </c>
      <c r="P2171" s="22">
        <v>0</v>
      </c>
      <c r="Q2171">
        <v>0</v>
      </c>
    </row>
    <row r="2172" spans="1:17">
      <c r="A2172" s="19">
        <v>0</v>
      </c>
      <c r="B2172" s="19">
        <v>0</v>
      </c>
      <c r="C2172" s="19">
        <v>0</v>
      </c>
      <c r="D2172" s="19">
        <v>0</v>
      </c>
      <c r="E2172" s="19">
        <v>0</v>
      </c>
      <c r="F2172" s="19">
        <v>0</v>
      </c>
      <c r="G2172" s="19">
        <v>0</v>
      </c>
      <c r="H2172" s="19">
        <v>0</v>
      </c>
      <c r="I2172" s="15">
        <v>3500</v>
      </c>
      <c r="J2172" s="15">
        <v>0</v>
      </c>
      <c r="K2172" s="15">
        <v>0</v>
      </c>
      <c r="L2172" s="15">
        <v>0</v>
      </c>
      <c r="M2172" s="15">
        <v>0</v>
      </c>
      <c r="N2172" s="15" t="str">
        <v/>
      </c>
      <c r="O2172" s="15" t="str">
        <v/>
      </c>
      <c r="P2172" s="22">
        <v>0</v>
      </c>
      <c r="Q2172">
        <v>0</v>
      </c>
    </row>
    <row r="2173" spans="1:17">
      <c r="A2173" s="19">
        <v>0</v>
      </c>
      <c r="B2173" s="19">
        <v>0</v>
      </c>
      <c r="C2173" s="19">
        <v>0</v>
      </c>
      <c r="D2173" s="19">
        <v>0</v>
      </c>
      <c r="E2173" s="19">
        <v>0</v>
      </c>
      <c r="F2173" s="19">
        <v>0</v>
      </c>
      <c r="G2173" s="19">
        <v>0</v>
      </c>
      <c r="H2173" s="19">
        <v>0</v>
      </c>
      <c r="I2173" s="15">
        <v>3500</v>
      </c>
      <c r="J2173" s="15">
        <v>0</v>
      </c>
      <c r="K2173" s="15">
        <v>0</v>
      </c>
      <c r="L2173" s="15">
        <v>0</v>
      </c>
      <c r="M2173" s="15">
        <v>0</v>
      </c>
      <c r="N2173" s="15" t="str">
        <v/>
      </c>
      <c r="O2173" s="15" t="str">
        <v/>
      </c>
      <c r="P2173" s="22">
        <v>0</v>
      </c>
      <c r="Q2173">
        <v>0</v>
      </c>
    </row>
    <row r="2174" spans="1:17">
      <c r="A2174" s="19">
        <v>0</v>
      </c>
      <c r="B2174" s="19">
        <v>0</v>
      </c>
      <c r="C2174" s="19">
        <v>0</v>
      </c>
      <c r="D2174" s="19">
        <v>0</v>
      </c>
      <c r="E2174" s="19">
        <v>0</v>
      </c>
      <c r="F2174" s="19">
        <v>0</v>
      </c>
      <c r="G2174" s="19">
        <v>0</v>
      </c>
      <c r="H2174" s="19">
        <v>0</v>
      </c>
      <c r="I2174" s="15">
        <v>3500</v>
      </c>
      <c r="J2174" s="15">
        <v>0</v>
      </c>
      <c r="K2174" s="15">
        <v>0</v>
      </c>
      <c r="L2174" s="15">
        <v>0</v>
      </c>
      <c r="M2174" s="15">
        <v>0</v>
      </c>
      <c r="N2174" s="15" t="str">
        <v/>
      </c>
      <c r="O2174" s="15" t="str">
        <v/>
      </c>
      <c r="P2174" s="22">
        <v>0</v>
      </c>
      <c r="Q2174">
        <v>0</v>
      </c>
    </row>
    <row r="2175" spans="1:17">
      <c r="A2175" s="19">
        <v>0</v>
      </c>
      <c r="B2175" s="19">
        <v>0</v>
      </c>
      <c r="C2175" s="19">
        <v>0</v>
      </c>
      <c r="D2175" s="19">
        <v>0</v>
      </c>
      <c r="E2175" s="19">
        <v>0</v>
      </c>
      <c r="F2175" s="19">
        <v>0</v>
      </c>
      <c r="G2175" s="19">
        <v>0</v>
      </c>
      <c r="H2175" s="19">
        <v>0</v>
      </c>
      <c r="I2175" s="15">
        <v>3500</v>
      </c>
      <c r="J2175" s="15">
        <v>0</v>
      </c>
      <c r="K2175" s="15">
        <v>0</v>
      </c>
      <c r="L2175" s="15">
        <v>0</v>
      </c>
      <c r="M2175" s="15">
        <v>0</v>
      </c>
      <c r="N2175" s="15" t="str">
        <v/>
      </c>
      <c r="O2175" s="15" t="str">
        <v/>
      </c>
      <c r="P2175" s="22">
        <v>0</v>
      </c>
      <c r="Q2175">
        <v>0</v>
      </c>
    </row>
    <row r="2176" spans="1:17">
      <c r="A2176" s="19">
        <v>0</v>
      </c>
      <c r="B2176" s="19">
        <v>0</v>
      </c>
      <c r="C2176" s="19">
        <v>0</v>
      </c>
      <c r="D2176" s="19">
        <v>0</v>
      </c>
      <c r="E2176" s="19">
        <v>0</v>
      </c>
      <c r="F2176" s="19">
        <v>0</v>
      </c>
      <c r="G2176" s="19">
        <v>0</v>
      </c>
      <c r="H2176" s="19">
        <v>0</v>
      </c>
      <c r="I2176" s="15">
        <v>3500</v>
      </c>
      <c r="J2176" s="15">
        <v>0</v>
      </c>
      <c r="K2176" s="15">
        <v>0</v>
      </c>
      <c r="L2176" s="15">
        <v>0</v>
      </c>
      <c r="M2176" s="15">
        <v>0</v>
      </c>
      <c r="N2176" s="15" t="str">
        <v/>
      </c>
      <c r="O2176" s="15" t="str">
        <v/>
      </c>
      <c r="P2176" s="22">
        <v>0</v>
      </c>
      <c r="Q2176">
        <v>0</v>
      </c>
    </row>
    <row r="2177" spans="1:17">
      <c r="A2177" s="19">
        <v>0</v>
      </c>
      <c r="B2177" s="19">
        <v>0</v>
      </c>
      <c r="C2177" s="19">
        <v>0</v>
      </c>
      <c r="D2177" s="19">
        <v>0</v>
      </c>
      <c r="E2177" s="19">
        <v>0</v>
      </c>
      <c r="F2177" s="19">
        <v>0</v>
      </c>
      <c r="G2177" s="19">
        <v>0</v>
      </c>
      <c r="H2177" s="19">
        <v>0</v>
      </c>
      <c r="I2177" s="15">
        <v>3500</v>
      </c>
      <c r="J2177" s="15">
        <v>0</v>
      </c>
      <c r="K2177" s="15">
        <v>0</v>
      </c>
      <c r="L2177" s="15">
        <v>0</v>
      </c>
      <c r="M2177" s="15">
        <v>0</v>
      </c>
      <c r="N2177" s="15" t="str">
        <v/>
      </c>
      <c r="O2177" s="15" t="str">
        <v/>
      </c>
      <c r="P2177" s="22">
        <v>0</v>
      </c>
      <c r="Q2177">
        <v>0</v>
      </c>
    </row>
    <row r="2178" spans="1:17">
      <c r="A2178" s="19">
        <v>0</v>
      </c>
      <c r="B2178" s="19">
        <v>0</v>
      </c>
      <c r="C2178" s="19">
        <v>0</v>
      </c>
      <c r="D2178" s="19">
        <v>0</v>
      </c>
      <c r="E2178" s="19">
        <v>0</v>
      </c>
      <c r="F2178" s="19">
        <v>0</v>
      </c>
      <c r="G2178" s="19">
        <v>0</v>
      </c>
      <c r="H2178" s="19">
        <v>0</v>
      </c>
      <c r="I2178" s="15">
        <v>3500</v>
      </c>
      <c r="J2178" s="15">
        <v>0</v>
      </c>
      <c r="K2178" s="15">
        <v>0</v>
      </c>
      <c r="L2178" s="15">
        <v>0</v>
      </c>
      <c r="M2178" s="15">
        <v>0</v>
      </c>
      <c r="N2178" s="15" t="str">
        <v/>
      </c>
      <c r="O2178" s="15" t="str">
        <v/>
      </c>
      <c r="P2178" s="22">
        <v>0</v>
      </c>
      <c r="Q2178">
        <v>0</v>
      </c>
    </row>
    <row r="2179" spans="1:17">
      <c r="A2179" s="19">
        <v>0</v>
      </c>
      <c r="B2179" s="19">
        <v>0</v>
      </c>
      <c r="C2179" s="19">
        <v>0</v>
      </c>
      <c r="D2179" s="19">
        <v>0</v>
      </c>
      <c r="E2179" s="19">
        <v>0</v>
      </c>
      <c r="F2179" s="19">
        <v>0</v>
      </c>
      <c r="G2179" s="19">
        <v>0</v>
      </c>
      <c r="H2179" s="19">
        <v>0</v>
      </c>
      <c r="I2179" s="15">
        <v>3500</v>
      </c>
      <c r="J2179" s="15">
        <v>0</v>
      </c>
      <c r="K2179" s="15">
        <v>0</v>
      </c>
      <c r="L2179" s="15">
        <v>0</v>
      </c>
      <c r="M2179" s="15">
        <v>0</v>
      </c>
      <c r="N2179" s="15" t="str">
        <v/>
      </c>
      <c r="O2179" s="15" t="str">
        <v/>
      </c>
      <c r="P2179" s="22">
        <v>0</v>
      </c>
      <c r="Q2179">
        <v>0</v>
      </c>
    </row>
    <row r="2180" spans="1:17">
      <c r="A2180" s="19">
        <v>0</v>
      </c>
      <c r="B2180" s="19">
        <v>0</v>
      </c>
      <c r="C2180" s="19">
        <v>0</v>
      </c>
      <c r="D2180" s="19">
        <v>0</v>
      </c>
      <c r="E2180" s="19">
        <v>0</v>
      </c>
      <c r="F2180" s="19">
        <v>0</v>
      </c>
      <c r="G2180" s="19">
        <v>0</v>
      </c>
      <c r="H2180" s="19">
        <v>0</v>
      </c>
      <c r="I2180" s="15">
        <v>3500</v>
      </c>
      <c r="J2180" s="15">
        <v>0</v>
      </c>
      <c r="K2180" s="15">
        <v>0</v>
      </c>
      <c r="L2180" s="15">
        <v>0</v>
      </c>
      <c r="M2180" s="15">
        <v>0</v>
      </c>
      <c r="N2180" s="15" t="str">
        <v/>
      </c>
      <c r="O2180" s="15" t="str">
        <v/>
      </c>
      <c r="P2180" s="22">
        <v>0</v>
      </c>
      <c r="Q2180">
        <v>0</v>
      </c>
    </row>
    <row r="2181" spans="1:17">
      <c r="A2181" s="19">
        <v>0</v>
      </c>
      <c r="B2181" s="19">
        <v>0</v>
      </c>
      <c r="C2181" s="19">
        <v>0</v>
      </c>
      <c r="D2181" s="19">
        <v>0</v>
      </c>
      <c r="E2181" s="19">
        <v>0</v>
      </c>
      <c r="F2181" s="19">
        <v>0</v>
      </c>
      <c r="G2181" s="19">
        <v>0</v>
      </c>
      <c r="H2181" s="19">
        <v>0</v>
      </c>
      <c r="I2181" s="15">
        <v>3500</v>
      </c>
      <c r="J2181" s="15">
        <v>0</v>
      </c>
      <c r="K2181" s="15">
        <v>0</v>
      </c>
      <c r="L2181" s="15">
        <v>0</v>
      </c>
      <c r="M2181" s="15">
        <v>0</v>
      </c>
      <c r="N2181" s="15" t="str">
        <v/>
      </c>
      <c r="O2181" s="15" t="str">
        <v/>
      </c>
      <c r="P2181" s="22">
        <v>0</v>
      </c>
      <c r="Q2181">
        <v>0</v>
      </c>
    </row>
    <row r="2182" spans="1:17">
      <c r="A2182" s="19">
        <v>0</v>
      </c>
      <c r="B2182" s="19">
        <v>0</v>
      </c>
      <c r="C2182" s="19">
        <v>0</v>
      </c>
      <c r="D2182" s="19">
        <v>0</v>
      </c>
      <c r="E2182" s="19">
        <v>0</v>
      </c>
      <c r="F2182" s="19">
        <v>0</v>
      </c>
      <c r="G2182" s="19">
        <v>0</v>
      </c>
      <c r="H2182" s="19">
        <v>0</v>
      </c>
      <c r="I2182" s="15">
        <v>3500</v>
      </c>
      <c r="J2182" s="15">
        <v>0</v>
      </c>
      <c r="K2182" s="15">
        <v>0</v>
      </c>
      <c r="L2182" s="15">
        <v>0</v>
      </c>
      <c r="M2182" s="15">
        <v>0</v>
      </c>
      <c r="N2182" s="15" t="str">
        <v/>
      </c>
      <c r="O2182" s="15" t="str">
        <v/>
      </c>
      <c r="P2182" s="22">
        <v>0</v>
      </c>
      <c r="Q2182">
        <v>0</v>
      </c>
    </row>
    <row r="2183" spans="1:17">
      <c r="A2183" s="19">
        <v>0</v>
      </c>
      <c r="B2183" s="19">
        <v>0</v>
      </c>
      <c r="C2183" s="19">
        <v>0</v>
      </c>
      <c r="D2183" s="19">
        <v>0</v>
      </c>
      <c r="E2183" s="19">
        <v>0</v>
      </c>
      <c r="F2183" s="19">
        <v>0</v>
      </c>
      <c r="G2183" s="19">
        <v>0</v>
      </c>
      <c r="H2183" s="19">
        <v>0</v>
      </c>
      <c r="I2183" s="15">
        <v>3500</v>
      </c>
      <c r="J2183" s="15">
        <v>0</v>
      </c>
      <c r="K2183" s="15">
        <v>0</v>
      </c>
      <c r="L2183" s="15">
        <v>0</v>
      </c>
      <c r="M2183" s="15">
        <v>0</v>
      </c>
      <c r="N2183" s="15" t="str">
        <v/>
      </c>
      <c r="O2183" s="15" t="str">
        <v/>
      </c>
      <c r="P2183" s="22">
        <v>0</v>
      </c>
      <c r="Q2183">
        <v>0</v>
      </c>
    </row>
    <row r="2184" spans="1:17">
      <c r="A2184" s="19">
        <v>0</v>
      </c>
      <c r="B2184" s="19">
        <v>0</v>
      </c>
      <c r="C2184" s="19">
        <v>0</v>
      </c>
      <c r="D2184" s="19">
        <v>0</v>
      </c>
      <c r="E2184" s="19">
        <v>0</v>
      </c>
      <c r="F2184" s="19">
        <v>0</v>
      </c>
      <c r="G2184" s="19">
        <v>0</v>
      </c>
      <c r="H2184" s="19">
        <v>0</v>
      </c>
      <c r="I2184" s="15">
        <v>3500</v>
      </c>
      <c r="J2184" s="15">
        <v>0</v>
      </c>
      <c r="K2184" s="15">
        <v>0</v>
      </c>
      <c r="L2184" s="15">
        <v>0</v>
      </c>
      <c r="M2184" s="15">
        <v>0</v>
      </c>
      <c r="N2184" s="15" t="str">
        <v/>
      </c>
      <c r="O2184" s="15" t="str">
        <v/>
      </c>
      <c r="P2184" s="22">
        <v>0</v>
      </c>
      <c r="Q2184">
        <v>0</v>
      </c>
    </row>
    <row r="2185" spans="1:17">
      <c r="A2185" s="19">
        <v>0</v>
      </c>
      <c r="B2185" s="19">
        <v>0</v>
      </c>
      <c r="C2185" s="19">
        <v>0</v>
      </c>
      <c r="D2185" s="19">
        <v>0</v>
      </c>
      <c r="E2185" s="19">
        <v>0</v>
      </c>
      <c r="F2185" s="19">
        <v>0</v>
      </c>
      <c r="G2185" s="19">
        <v>0</v>
      </c>
      <c r="H2185" s="19">
        <v>0</v>
      </c>
      <c r="I2185" s="15">
        <v>3500</v>
      </c>
      <c r="J2185" s="15">
        <v>0</v>
      </c>
      <c r="K2185" s="15">
        <v>0</v>
      </c>
      <c r="L2185" s="15">
        <v>0</v>
      </c>
      <c r="M2185" s="15">
        <v>0</v>
      </c>
      <c r="N2185" s="15" t="str">
        <v/>
      </c>
      <c r="O2185" s="15" t="str">
        <v/>
      </c>
      <c r="P2185" s="22">
        <v>0</v>
      </c>
      <c r="Q2185">
        <v>0</v>
      </c>
    </row>
    <row r="2186" spans="1:17">
      <c r="A2186" s="19">
        <v>0</v>
      </c>
      <c r="B2186" s="19">
        <v>0</v>
      </c>
      <c r="C2186" s="19">
        <v>0</v>
      </c>
      <c r="D2186" s="19">
        <v>0</v>
      </c>
      <c r="E2186" s="19">
        <v>0</v>
      </c>
      <c r="F2186" s="19">
        <v>0</v>
      </c>
      <c r="G2186" s="19">
        <v>0</v>
      </c>
      <c r="H2186" s="19">
        <v>0</v>
      </c>
      <c r="I2186" s="15">
        <v>3500</v>
      </c>
      <c r="J2186" s="15">
        <v>0</v>
      </c>
      <c r="K2186" s="15">
        <v>0</v>
      </c>
      <c r="L2186" s="15">
        <v>0</v>
      </c>
      <c r="M2186" s="15">
        <v>0</v>
      </c>
      <c r="N2186" s="15" t="str">
        <v/>
      </c>
      <c r="O2186" s="15" t="str">
        <v/>
      </c>
      <c r="P2186" s="22">
        <v>0</v>
      </c>
      <c r="Q2186">
        <v>0</v>
      </c>
    </row>
    <row r="2187" spans="1:17">
      <c r="A2187" s="19">
        <v>0</v>
      </c>
      <c r="B2187" s="19">
        <v>0</v>
      </c>
      <c r="C2187" s="19">
        <v>0</v>
      </c>
      <c r="D2187" s="19">
        <v>0</v>
      </c>
      <c r="E2187" s="19">
        <v>0</v>
      </c>
      <c r="F2187" s="19">
        <v>0</v>
      </c>
      <c r="G2187" s="19">
        <v>0</v>
      </c>
      <c r="H2187" s="19">
        <v>0</v>
      </c>
      <c r="I2187" s="15">
        <v>3500</v>
      </c>
      <c r="J2187" s="15">
        <v>0</v>
      </c>
      <c r="K2187" s="15">
        <v>0</v>
      </c>
      <c r="L2187" s="15">
        <v>0</v>
      </c>
      <c r="M2187" s="15">
        <v>0</v>
      </c>
      <c r="N2187" s="15" t="str">
        <v/>
      </c>
      <c r="O2187" s="15" t="str">
        <v/>
      </c>
      <c r="P2187" s="22">
        <v>0</v>
      </c>
      <c r="Q2187">
        <v>0</v>
      </c>
    </row>
    <row r="2188" spans="1:17">
      <c r="A2188" s="19">
        <v>0</v>
      </c>
      <c r="B2188" s="19">
        <v>0</v>
      </c>
      <c r="C2188" s="19">
        <v>0</v>
      </c>
      <c r="D2188" s="19">
        <v>0</v>
      </c>
      <c r="E2188" s="19">
        <v>0</v>
      </c>
      <c r="F2188" s="19">
        <v>0</v>
      </c>
      <c r="G2188" s="19">
        <v>0</v>
      </c>
      <c r="H2188" s="19">
        <v>0</v>
      </c>
      <c r="I2188" s="15">
        <v>3500</v>
      </c>
      <c r="J2188" s="15">
        <v>0</v>
      </c>
      <c r="K2188" s="15">
        <v>0</v>
      </c>
      <c r="L2188" s="15">
        <v>0</v>
      </c>
      <c r="M2188" s="15">
        <v>0</v>
      </c>
      <c r="N2188" s="15" t="str">
        <v/>
      </c>
      <c r="O2188" s="15" t="str">
        <v/>
      </c>
      <c r="P2188" s="22">
        <v>0</v>
      </c>
      <c r="Q2188">
        <v>0</v>
      </c>
    </row>
    <row r="2189" spans="1:17">
      <c r="A2189" s="19">
        <v>0</v>
      </c>
      <c r="B2189" s="19">
        <v>0</v>
      </c>
      <c r="C2189" s="19">
        <v>0</v>
      </c>
      <c r="D2189" s="19">
        <v>0</v>
      </c>
      <c r="E2189" s="19">
        <v>0</v>
      </c>
      <c r="F2189" s="19">
        <v>0</v>
      </c>
      <c r="G2189" s="19">
        <v>0</v>
      </c>
      <c r="H2189" s="19">
        <v>0</v>
      </c>
      <c r="I2189" s="15">
        <v>3500</v>
      </c>
      <c r="J2189" s="15">
        <v>0</v>
      </c>
      <c r="K2189" s="15">
        <v>0</v>
      </c>
      <c r="L2189" s="15">
        <v>0</v>
      </c>
      <c r="M2189" s="15">
        <v>0</v>
      </c>
      <c r="N2189" s="15" t="str">
        <v/>
      </c>
      <c r="O2189" s="15" t="str">
        <v/>
      </c>
      <c r="P2189" s="22">
        <v>0</v>
      </c>
      <c r="Q2189">
        <v>0</v>
      </c>
    </row>
    <row r="2190" spans="1:17">
      <c r="A2190" s="19">
        <v>0</v>
      </c>
      <c r="B2190" s="19">
        <v>0</v>
      </c>
      <c r="C2190" s="19">
        <v>0</v>
      </c>
      <c r="D2190" s="19">
        <v>0</v>
      </c>
      <c r="E2190" s="19">
        <v>0</v>
      </c>
      <c r="F2190" s="19">
        <v>0</v>
      </c>
      <c r="G2190" s="19">
        <v>0</v>
      </c>
      <c r="H2190" s="19">
        <v>0</v>
      </c>
      <c r="I2190" s="15">
        <v>3500</v>
      </c>
      <c r="J2190" s="15">
        <v>0</v>
      </c>
      <c r="K2190" s="15">
        <v>0</v>
      </c>
      <c r="L2190" s="15">
        <v>0</v>
      </c>
      <c r="M2190" s="15">
        <v>0</v>
      </c>
      <c r="N2190" s="15" t="str">
        <v/>
      </c>
      <c r="O2190" s="15" t="str">
        <v/>
      </c>
      <c r="P2190" s="22">
        <v>0</v>
      </c>
      <c r="Q2190">
        <v>0</v>
      </c>
    </row>
    <row r="2191" spans="1:17">
      <c r="A2191" s="19">
        <v>0</v>
      </c>
      <c r="B2191" s="19">
        <v>0</v>
      </c>
      <c r="C2191" s="19">
        <v>0</v>
      </c>
      <c r="D2191" s="19">
        <v>0</v>
      </c>
      <c r="E2191" s="19">
        <v>0</v>
      </c>
      <c r="F2191" s="19">
        <v>0</v>
      </c>
      <c r="G2191" s="19">
        <v>0</v>
      </c>
      <c r="H2191" s="19">
        <v>0</v>
      </c>
      <c r="I2191" s="15">
        <v>3500</v>
      </c>
      <c r="J2191" s="15">
        <v>0</v>
      </c>
      <c r="K2191" s="15">
        <v>0</v>
      </c>
      <c r="L2191" s="15">
        <v>0</v>
      </c>
      <c r="M2191" s="15">
        <v>0</v>
      </c>
      <c r="N2191" s="15" t="str">
        <v/>
      </c>
      <c r="O2191" s="15" t="str">
        <v/>
      </c>
      <c r="P2191" s="22">
        <v>0</v>
      </c>
      <c r="Q2191">
        <v>0</v>
      </c>
    </row>
    <row r="2192" spans="1:17">
      <c r="A2192" s="19">
        <v>0</v>
      </c>
      <c r="B2192" s="19">
        <v>0</v>
      </c>
      <c r="C2192" s="19">
        <v>0</v>
      </c>
      <c r="D2192" s="19">
        <v>0</v>
      </c>
      <c r="E2192" s="19">
        <v>0</v>
      </c>
      <c r="F2192" s="19">
        <v>0</v>
      </c>
      <c r="G2192" s="19">
        <v>0</v>
      </c>
      <c r="H2192" s="19">
        <v>0</v>
      </c>
      <c r="I2192" s="15">
        <v>3500</v>
      </c>
      <c r="J2192" s="15">
        <v>0</v>
      </c>
      <c r="K2192" s="15">
        <v>0</v>
      </c>
      <c r="L2192" s="15">
        <v>0</v>
      </c>
      <c r="M2192" s="15">
        <v>0</v>
      </c>
      <c r="N2192" s="15" t="str">
        <v/>
      </c>
      <c r="O2192" s="15" t="str">
        <v/>
      </c>
      <c r="P2192" s="22">
        <v>0</v>
      </c>
      <c r="Q2192">
        <v>0</v>
      </c>
    </row>
    <row r="2193" spans="1:17">
      <c r="A2193" s="19">
        <v>0</v>
      </c>
      <c r="B2193" s="19">
        <v>0</v>
      </c>
      <c r="C2193" s="19">
        <v>0</v>
      </c>
      <c r="D2193" s="19">
        <v>0</v>
      </c>
      <c r="E2193" s="19">
        <v>0</v>
      </c>
      <c r="F2193" s="19">
        <v>0</v>
      </c>
      <c r="G2193" s="19">
        <v>0</v>
      </c>
      <c r="H2193" s="19">
        <v>0</v>
      </c>
      <c r="I2193" s="15">
        <v>3500</v>
      </c>
      <c r="J2193" s="15">
        <v>0</v>
      </c>
      <c r="K2193" s="15">
        <v>0</v>
      </c>
      <c r="L2193" s="15">
        <v>0</v>
      </c>
      <c r="M2193" s="15">
        <v>0</v>
      </c>
      <c r="N2193" s="15" t="str">
        <v/>
      </c>
      <c r="O2193" s="15" t="str">
        <v/>
      </c>
      <c r="P2193" s="22">
        <v>0</v>
      </c>
      <c r="Q2193">
        <v>0</v>
      </c>
    </row>
    <row r="2194" spans="1:17">
      <c r="A2194" s="19">
        <v>0</v>
      </c>
      <c r="B2194" s="19">
        <v>0</v>
      </c>
      <c r="C2194" s="19">
        <v>0</v>
      </c>
      <c r="D2194" s="19">
        <v>0</v>
      </c>
      <c r="E2194" s="19">
        <v>0</v>
      </c>
      <c r="F2194" s="19">
        <v>0</v>
      </c>
      <c r="G2194" s="19">
        <v>0</v>
      </c>
      <c r="H2194" s="19">
        <v>0</v>
      </c>
      <c r="I2194" s="15">
        <v>3500</v>
      </c>
      <c r="J2194" s="15">
        <v>0</v>
      </c>
      <c r="K2194" s="15">
        <v>0</v>
      </c>
      <c r="L2194" s="15">
        <v>0</v>
      </c>
      <c r="M2194" s="15">
        <v>0</v>
      </c>
      <c r="N2194" s="15" t="str">
        <v/>
      </c>
      <c r="O2194" s="15" t="str">
        <v/>
      </c>
      <c r="P2194" s="22">
        <v>0</v>
      </c>
      <c r="Q2194">
        <v>0</v>
      </c>
    </row>
    <row r="2195" spans="1:17">
      <c r="A2195" s="19">
        <v>0</v>
      </c>
      <c r="B2195" s="19">
        <v>0</v>
      </c>
      <c r="C2195" s="19">
        <v>0</v>
      </c>
      <c r="D2195" s="19">
        <v>0</v>
      </c>
      <c r="E2195" s="19">
        <v>0</v>
      </c>
      <c r="F2195" s="19">
        <v>0</v>
      </c>
      <c r="G2195" s="19">
        <v>0</v>
      </c>
      <c r="H2195" s="19">
        <v>0</v>
      </c>
      <c r="I2195" s="15">
        <v>3500</v>
      </c>
      <c r="J2195" s="15">
        <v>0</v>
      </c>
      <c r="K2195" s="15">
        <v>0</v>
      </c>
      <c r="L2195" s="15">
        <v>0</v>
      </c>
      <c r="M2195" s="15">
        <v>0</v>
      </c>
      <c r="N2195" s="15" t="str">
        <v/>
      </c>
      <c r="O2195" s="15" t="str">
        <v/>
      </c>
      <c r="P2195" s="22">
        <v>0</v>
      </c>
      <c r="Q2195">
        <v>0</v>
      </c>
    </row>
    <row r="2196" spans="1:17">
      <c r="A2196" s="19">
        <v>0</v>
      </c>
      <c r="B2196" s="19">
        <v>0</v>
      </c>
      <c r="C2196" s="19">
        <v>0</v>
      </c>
      <c r="D2196" s="19">
        <v>0</v>
      </c>
      <c r="E2196" s="19">
        <v>0</v>
      </c>
      <c r="F2196" s="19">
        <v>0</v>
      </c>
      <c r="G2196" s="19">
        <v>0</v>
      </c>
      <c r="H2196" s="19">
        <v>0</v>
      </c>
      <c r="I2196" s="15">
        <v>3500</v>
      </c>
      <c r="J2196" s="15">
        <v>0</v>
      </c>
      <c r="K2196" s="15">
        <v>0</v>
      </c>
      <c r="L2196" s="15">
        <v>0</v>
      </c>
      <c r="M2196" s="15">
        <v>0</v>
      </c>
      <c r="N2196" s="15" t="str">
        <v/>
      </c>
      <c r="O2196" s="15" t="str">
        <v/>
      </c>
      <c r="P2196" s="22">
        <v>0</v>
      </c>
      <c r="Q2196">
        <v>0</v>
      </c>
    </row>
    <row r="2197" spans="1:17">
      <c r="A2197" s="19">
        <v>0</v>
      </c>
      <c r="B2197" s="19">
        <v>0</v>
      </c>
      <c r="C2197" s="19">
        <v>0</v>
      </c>
      <c r="D2197" s="19">
        <v>0</v>
      </c>
      <c r="E2197" s="19">
        <v>0</v>
      </c>
      <c r="F2197" s="19">
        <v>0</v>
      </c>
      <c r="G2197" s="19">
        <v>0</v>
      </c>
      <c r="H2197" s="19">
        <v>0</v>
      </c>
      <c r="I2197" s="15">
        <v>3500</v>
      </c>
      <c r="J2197" s="15">
        <v>0</v>
      </c>
      <c r="K2197" s="15">
        <v>0</v>
      </c>
      <c r="L2197" s="15">
        <v>0</v>
      </c>
      <c r="M2197" s="15">
        <v>0</v>
      </c>
      <c r="N2197" s="15" t="str">
        <v/>
      </c>
      <c r="O2197" s="15" t="str">
        <v/>
      </c>
      <c r="P2197" s="22">
        <v>0</v>
      </c>
      <c r="Q2197">
        <v>0</v>
      </c>
    </row>
    <row r="2198" spans="1:17">
      <c r="A2198" s="19">
        <v>0</v>
      </c>
      <c r="B2198" s="19">
        <v>0</v>
      </c>
      <c r="C2198" s="19">
        <v>0</v>
      </c>
      <c r="D2198" s="19">
        <v>0</v>
      </c>
      <c r="E2198" s="19">
        <v>0</v>
      </c>
      <c r="F2198" s="19">
        <v>0</v>
      </c>
      <c r="G2198" s="19">
        <v>0</v>
      </c>
      <c r="H2198" s="19">
        <v>0</v>
      </c>
      <c r="I2198" s="15">
        <v>3500</v>
      </c>
      <c r="J2198" s="15">
        <v>0</v>
      </c>
      <c r="K2198" s="15">
        <v>0</v>
      </c>
      <c r="L2198" s="15">
        <v>0</v>
      </c>
      <c r="M2198" s="15">
        <v>0</v>
      </c>
      <c r="N2198" s="15" t="str">
        <v/>
      </c>
      <c r="O2198" s="15" t="str">
        <v/>
      </c>
      <c r="P2198" s="22">
        <v>0</v>
      </c>
      <c r="Q2198">
        <v>0</v>
      </c>
    </row>
    <row r="2199" spans="1:17">
      <c r="A2199" s="19">
        <v>0</v>
      </c>
      <c r="B2199" s="19">
        <v>0</v>
      </c>
      <c r="C2199" s="19">
        <v>0</v>
      </c>
      <c r="D2199" s="19">
        <v>0</v>
      </c>
      <c r="E2199" s="19">
        <v>0</v>
      </c>
      <c r="F2199" s="19">
        <v>0</v>
      </c>
      <c r="G2199" s="19">
        <v>0</v>
      </c>
      <c r="H2199" s="19">
        <v>0</v>
      </c>
      <c r="I2199" s="15">
        <v>3500</v>
      </c>
      <c r="J2199" s="15">
        <v>0</v>
      </c>
      <c r="K2199" s="15">
        <v>0</v>
      </c>
      <c r="L2199" s="15">
        <v>0</v>
      </c>
      <c r="M2199" s="15">
        <v>0</v>
      </c>
      <c r="N2199" s="15" t="str">
        <v/>
      </c>
      <c r="O2199" s="15" t="str">
        <v/>
      </c>
      <c r="P2199" s="22">
        <v>0</v>
      </c>
      <c r="Q2199">
        <v>0</v>
      </c>
    </row>
    <row r="2200" spans="1:17">
      <c r="A2200" s="19">
        <v>0</v>
      </c>
      <c r="B2200" s="19">
        <v>0</v>
      </c>
      <c r="C2200" s="19">
        <v>0</v>
      </c>
      <c r="D2200" s="19">
        <v>0</v>
      </c>
      <c r="E2200" s="19">
        <v>0</v>
      </c>
      <c r="F2200" s="19">
        <v>0</v>
      </c>
      <c r="G2200" s="19">
        <v>0</v>
      </c>
      <c r="H2200" s="19">
        <v>0</v>
      </c>
      <c r="I2200" s="15">
        <v>3500</v>
      </c>
      <c r="J2200" s="15">
        <v>0</v>
      </c>
      <c r="K2200" s="15">
        <v>0</v>
      </c>
      <c r="L2200" s="15">
        <v>0</v>
      </c>
      <c r="M2200" s="15">
        <v>0</v>
      </c>
      <c r="N2200" s="15" t="str">
        <v/>
      </c>
      <c r="O2200" s="15" t="str">
        <v/>
      </c>
      <c r="P2200" s="22">
        <v>0</v>
      </c>
      <c r="Q2200">
        <v>0</v>
      </c>
    </row>
    <row r="2201" spans="1:17">
      <c r="A2201" s="19">
        <v>0</v>
      </c>
      <c r="B2201" s="19">
        <v>0</v>
      </c>
      <c r="C2201" s="19">
        <v>0</v>
      </c>
      <c r="D2201" s="19">
        <v>0</v>
      </c>
      <c r="E2201" s="19">
        <v>0</v>
      </c>
      <c r="F2201" s="19">
        <v>0</v>
      </c>
      <c r="G2201" s="19">
        <v>0</v>
      </c>
      <c r="H2201" s="19">
        <v>0</v>
      </c>
      <c r="I2201" s="15">
        <v>3500</v>
      </c>
      <c r="J2201" s="15">
        <v>0</v>
      </c>
      <c r="K2201" s="15">
        <v>0</v>
      </c>
      <c r="L2201" s="15">
        <v>0</v>
      </c>
      <c r="M2201" s="15">
        <v>0</v>
      </c>
      <c r="N2201" s="15" t="str">
        <v/>
      </c>
      <c r="O2201" s="15" t="str">
        <v/>
      </c>
      <c r="P2201" s="22">
        <v>0</v>
      </c>
      <c r="Q2201">
        <v>0</v>
      </c>
    </row>
    <row r="2202" spans="1:17">
      <c r="A2202" s="19">
        <v>0</v>
      </c>
      <c r="B2202" s="19">
        <v>0</v>
      </c>
      <c r="C2202" s="19">
        <v>0</v>
      </c>
      <c r="D2202" s="19">
        <v>0</v>
      </c>
      <c r="E2202" s="19">
        <v>0</v>
      </c>
      <c r="F2202" s="19">
        <v>0</v>
      </c>
      <c r="G2202" s="19">
        <v>0</v>
      </c>
      <c r="H2202" s="19">
        <v>0</v>
      </c>
      <c r="I2202" s="15">
        <v>3500</v>
      </c>
      <c r="J2202" s="15">
        <v>0</v>
      </c>
      <c r="K2202" s="15">
        <v>0</v>
      </c>
      <c r="L2202" s="15">
        <v>0</v>
      </c>
      <c r="M2202" s="15">
        <v>0</v>
      </c>
      <c r="N2202" s="15" t="str">
        <v/>
      </c>
      <c r="O2202" s="15" t="str">
        <v/>
      </c>
      <c r="P2202" s="22">
        <v>0</v>
      </c>
      <c r="Q2202">
        <v>0</v>
      </c>
    </row>
    <row r="2203" spans="1:17">
      <c r="A2203" s="19">
        <v>0</v>
      </c>
      <c r="B2203" s="19">
        <v>0</v>
      </c>
      <c r="C2203" s="19">
        <v>0</v>
      </c>
      <c r="D2203" s="19">
        <v>0</v>
      </c>
      <c r="E2203" s="19">
        <v>0</v>
      </c>
      <c r="F2203" s="19">
        <v>0</v>
      </c>
      <c r="G2203" s="19">
        <v>0</v>
      </c>
      <c r="H2203" s="19">
        <v>0</v>
      </c>
      <c r="I2203" s="15">
        <v>3500</v>
      </c>
      <c r="J2203" s="15">
        <v>0</v>
      </c>
      <c r="K2203" s="15">
        <v>0</v>
      </c>
      <c r="L2203" s="15">
        <v>0</v>
      </c>
      <c r="M2203" s="15">
        <v>0</v>
      </c>
      <c r="N2203" s="15" t="str">
        <v/>
      </c>
      <c r="O2203" s="15" t="str">
        <v/>
      </c>
      <c r="P2203" s="22">
        <v>0</v>
      </c>
      <c r="Q2203">
        <v>0</v>
      </c>
    </row>
    <row r="2204" spans="1:17">
      <c r="A2204" s="19">
        <v>0</v>
      </c>
      <c r="B2204" s="19">
        <v>0</v>
      </c>
      <c r="C2204" s="19">
        <v>0</v>
      </c>
      <c r="D2204" s="19">
        <v>0</v>
      </c>
      <c r="E2204" s="19">
        <v>0</v>
      </c>
      <c r="F2204" s="19">
        <v>0</v>
      </c>
      <c r="G2204" s="19">
        <v>0</v>
      </c>
      <c r="H2204" s="19">
        <v>0</v>
      </c>
      <c r="I2204" s="15">
        <v>3500</v>
      </c>
      <c r="J2204" s="15">
        <v>0</v>
      </c>
      <c r="K2204" s="15">
        <v>0</v>
      </c>
      <c r="L2204" s="15">
        <v>0</v>
      </c>
      <c r="M2204" s="15">
        <v>0</v>
      </c>
      <c r="N2204" s="15" t="str">
        <v/>
      </c>
      <c r="O2204" s="15" t="str">
        <v/>
      </c>
      <c r="P2204" s="22">
        <v>0</v>
      </c>
      <c r="Q2204">
        <v>0</v>
      </c>
    </row>
    <row r="2205" spans="1:17">
      <c r="A2205" s="19">
        <v>0</v>
      </c>
      <c r="B2205" s="19">
        <v>0</v>
      </c>
      <c r="C2205" s="19">
        <v>0</v>
      </c>
      <c r="D2205" s="19">
        <v>0</v>
      </c>
      <c r="E2205" s="19">
        <v>0</v>
      </c>
      <c r="F2205" s="19">
        <v>0</v>
      </c>
      <c r="G2205" s="19">
        <v>0</v>
      </c>
      <c r="H2205" s="19">
        <v>0</v>
      </c>
      <c r="I2205" s="15">
        <v>3500</v>
      </c>
      <c r="J2205" s="15">
        <v>0</v>
      </c>
      <c r="K2205" s="15">
        <v>0</v>
      </c>
      <c r="L2205" s="15">
        <v>0</v>
      </c>
      <c r="M2205" s="15">
        <v>0</v>
      </c>
      <c r="N2205" s="15" t="str">
        <v/>
      </c>
      <c r="O2205" s="15" t="str">
        <v/>
      </c>
      <c r="P2205" s="22">
        <v>0</v>
      </c>
      <c r="Q2205">
        <v>0</v>
      </c>
    </row>
    <row r="2206" spans="1:17">
      <c r="A2206" s="19">
        <v>0</v>
      </c>
      <c r="B2206" s="19">
        <v>0</v>
      </c>
      <c r="C2206" s="19">
        <v>0</v>
      </c>
      <c r="D2206" s="19">
        <v>0</v>
      </c>
      <c r="E2206" s="19">
        <v>0</v>
      </c>
      <c r="F2206" s="19">
        <v>0</v>
      </c>
      <c r="G2206" s="19">
        <v>0</v>
      </c>
      <c r="H2206" s="19">
        <v>0</v>
      </c>
      <c r="I2206" s="15">
        <v>3500</v>
      </c>
      <c r="J2206" s="15">
        <v>0</v>
      </c>
      <c r="K2206" s="15">
        <v>0</v>
      </c>
      <c r="L2206" s="15">
        <v>0</v>
      </c>
      <c r="M2206" s="15">
        <v>0</v>
      </c>
      <c r="N2206" s="15" t="str">
        <v/>
      </c>
      <c r="O2206" s="15" t="str">
        <v/>
      </c>
      <c r="P2206" s="22">
        <v>0</v>
      </c>
      <c r="Q2206">
        <v>0</v>
      </c>
    </row>
    <row r="2207" spans="1:17">
      <c r="A2207" s="19">
        <v>0</v>
      </c>
      <c r="B2207" s="19">
        <v>0</v>
      </c>
      <c r="C2207" s="19">
        <v>0</v>
      </c>
      <c r="D2207" s="19">
        <v>0</v>
      </c>
      <c r="E2207" s="19">
        <v>0</v>
      </c>
      <c r="F2207" s="19">
        <v>0</v>
      </c>
      <c r="G2207" s="19">
        <v>0</v>
      </c>
      <c r="H2207" s="19">
        <v>0</v>
      </c>
      <c r="I2207" s="15">
        <v>3500</v>
      </c>
      <c r="J2207" s="15">
        <v>0</v>
      </c>
      <c r="K2207" s="15">
        <v>0</v>
      </c>
      <c r="L2207" s="15">
        <v>0</v>
      </c>
      <c r="M2207" s="15">
        <v>0</v>
      </c>
      <c r="N2207" s="15" t="str">
        <v/>
      </c>
      <c r="O2207" s="15" t="str">
        <v/>
      </c>
      <c r="P2207" s="22">
        <v>0</v>
      </c>
      <c r="Q2207">
        <v>0</v>
      </c>
    </row>
    <row r="2208" spans="1:17">
      <c r="A2208" s="19">
        <v>0</v>
      </c>
      <c r="B2208" s="19">
        <v>0</v>
      </c>
      <c r="C2208" s="19">
        <v>0</v>
      </c>
      <c r="D2208" s="19">
        <v>0</v>
      </c>
      <c r="E2208" s="19">
        <v>0</v>
      </c>
      <c r="F2208" s="19">
        <v>0</v>
      </c>
      <c r="G2208" s="19">
        <v>0</v>
      </c>
      <c r="H2208" s="19">
        <v>0</v>
      </c>
      <c r="I2208" s="15">
        <v>3500</v>
      </c>
      <c r="J2208" s="15">
        <v>0</v>
      </c>
      <c r="K2208" s="15">
        <v>0</v>
      </c>
      <c r="L2208" s="15">
        <v>0</v>
      </c>
      <c r="M2208" s="15">
        <v>0</v>
      </c>
      <c r="N2208" s="15" t="str">
        <v/>
      </c>
      <c r="O2208" s="15" t="str">
        <v/>
      </c>
      <c r="P2208" s="22">
        <v>0</v>
      </c>
      <c r="Q2208">
        <v>0</v>
      </c>
    </row>
    <row r="2209" spans="1:17">
      <c r="A2209" s="19">
        <v>0</v>
      </c>
      <c r="B2209" s="19">
        <v>0</v>
      </c>
      <c r="C2209" s="19">
        <v>0</v>
      </c>
      <c r="D2209" s="19">
        <v>0</v>
      </c>
      <c r="E2209" s="19">
        <v>0</v>
      </c>
      <c r="F2209" s="19">
        <v>0</v>
      </c>
      <c r="G2209" s="19">
        <v>0</v>
      </c>
      <c r="H2209" s="19">
        <v>0</v>
      </c>
      <c r="I2209" s="15">
        <v>3500</v>
      </c>
      <c r="J2209" s="15">
        <v>0</v>
      </c>
      <c r="K2209" s="15">
        <v>0</v>
      </c>
      <c r="L2209" s="15">
        <v>0</v>
      </c>
      <c r="M2209" s="15">
        <v>0</v>
      </c>
      <c r="N2209" s="15" t="str">
        <v/>
      </c>
      <c r="O2209" s="15" t="str">
        <v/>
      </c>
      <c r="P2209" s="22">
        <v>0</v>
      </c>
      <c r="Q2209">
        <v>0</v>
      </c>
    </row>
    <row r="2210" spans="1:17">
      <c r="A2210" s="19">
        <v>0</v>
      </c>
      <c r="B2210" s="19">
        <v>0</v>
      </c>
      <c r="C2210" s="19">
        <v>0</v>
      </c>
      <c r="D2210" s="19">
        <v>0</v>
      </c>
      <c r="E2210" s="19">
        <v>0</v>
      </c>
      <c r="F2210" s="19">
        <v>0</v>
      </c>
      <c r="G2210" s="19">
        <v>0</v>
      </c>
      <c r="H2210" s="19">
        <v>0</v>
      </c>
      <c r="I2210" s="15">
        <v>3500</v>
      </c>
      <c r="J2210" s="15">
        <v>0</v>
      </c>
      <c r="K2210" s="15">
        <v>0</v>
      </c>
      <c r="L2210" s="15">
        <v>0</v>
      </c>
      <c r="M2210" s="15">
        <v>0</v>
      </c>
      <c r="N2210" s="15" t="str">
        <v/>
      </c>
      <c r="O2210" s="15" t="str">
        <v/>
      </c>
      <c r="P2210" s="22">
        <v>0</v>
      </c>
      <c r="Q2210">
        <v>0</v>
      </c>
    </row>
    <row r="2211" spans="1:17">
      <c r="A2211" s="19">
        <v>0</v>
      </c>
      <c r="B2211" s="19">
        <v>0</v>
      </c>
      <c r="C2211" s="19">
        <v>0</v>
      </c>
      <c r="D2211" s="19">
        <v>0</v>
      </c>
      <c r="E2211" s="19">
        <v>0</v>
      </c>
      <c r="F2211" s="19">
        <v>0</v>
      </c>
      <c r="G2211" s="19">
        <v>0</v>
      </c>
      <c r="H2211" s="19">
        <v>0</v>
      </c>
      <c r="I2211" s="15">
        <v>3500</v>
      </c>
      <c r="J2211" s="15">
        <v>0</v>
      </c>
      <c r="K2211" s="15">
        <v>0</v>
      </c>
      <c r="L2211" s="15">
        <v>0</v>
      </c>
      <c r="M2211" s="15">
        <v>0</v>
      </c>
      <c r="N2211" s="15" t="str">
        <v/>
      </c>
      <c r="O2211" s="15" t="str">
        <v/>
      </c>
      <c r="P2211" s="22">
        <v>0</v>
      </c>
      <c r="Q2211">
        <v>0</v>
      </c>
    </row>
    <row r="2212" spans="1:17">
      <c r="A2212" s="19">
        <v>0</v>
      </c>
      <c r="B2212" s="19">
        <v>0</v>
      </c>
      <c r="C2212" s="19">
        <v>0</v>
      </c>
      <c r="D2212" s="19">
        <v>0</v>
      </c>
      <c r="E2212" s="19">
        <v>0</v>
      </c>
      <c r="F2212" s="19">
        <v>0</v>
      </c>
      <c r="G2212" s="19">
        <v>0</v>
      </c>
      <c r="H2212" s="19">
        <v>0</v>
      </c>
      <c r="I2212" s="15">
        <v>3500</v>
      </c>
      <c r="J2212" s="15">
        <v>0</v>
      </c>
      <c r="K2212" s="15">
        <v>0</v>
      </c>
      <c r="L2212" s="15">
        <v>0</v>
      </c>
      <c r="M2212" s="15">
        <v>0</v>
      </c>
      <c r="N2212" s="15" t="str">
        <v/>
      </c>
      <c r="O2212" s="15" t="str">
        <v/>
      </c>
      <c r="P2212" s="22">
        <v>0</v>
      </c>
      <c r="Q2212">
        <v>0</v>
      </c>
    </row>
    <row r="2213" spans="1:17">
      <c r="A2213" s="19">
        <v>0</v>
      </c>
      <c r="B2213" s="19">
        <v>0</v>
      </c>
      <c r="C2213" s="19">
        <v>0</v>
      </c>
      <c r="D2213" s="19">
        <v>0</v>
      </c>
      <c r="E2213" s="19">
        <v>0</v>
      </c>
      <c r="F2213" s="19">
        <v>0</v>
      </c>
      <c r="G2213" s="19">
        <v>0</v>
      </c>
      <c r="H2213" s="19">
        <v>0</v>
      </c>
      <c r="I2213" s="15">
        <v>3500</v>
      </c>
      <c r="J2213" s="15">
        <v>0</v>
      </c>
      <c r="K2213" s="15">
        <v>0</v>
      </c>
      <c r="L2213" s="15">
        <v>0</v>
      </c>
      <c r="M2213" s="15">
        <v>0</v>
      </c>
      <c r="N2213" s="15" t="str">
        <v/>
      </c>
      <c r="O2213" s="15" t="str">
        <v/>
      </c>
      <c r="P2213" s="22">
        <v>0</v>
      </c>
      <c r="Q2213">
        <v>0</v>
      </c>
    </row>
    <row r="2214" spans="1:17">
      <c r="A2214" s="19">
        <v>0</v>
      </c>
      <c r="B2214" s="19">
        <v>0</v>
      </c>
      <c r="C2214" s="19">
        <v>0</v>
      </c>
      <c r="D2214" s="19">
        <v>0</v>
      </c>
      <c r="E2214" s="19">
        <v>0</v>
      </c>
      <c r="F2214" s="19">
        <v>0</v>
      </c>
      <c r="G2214" s="19">
        <v>0</v>
      </c>
      <c r="H2214" s="19">
        <v>0</v>
      </c>
      <c r="I2214" s="15">
        <v>3500</v>
      </c>
      <c r="J2214" s="15">
        <v>0</v>
      </c>
      <c r="K2214" s="15">
        <v>0</v>
      </c>
      <c r="L2214" s="15">
        <v>0</v>
      </c>
      <c r="M2214" s="15">
        <v>0</v>
      </c>
      <c r="N2214" s="15" t="str">
        <v/>
      </c>
      <c r="O2214" s="15" t="str">
        <v/>
      </c>
      <c r="P2214" s="22">
        <v>0</v>
      </c>
      <c r="Q2214">
        <v>0</v>
      </c>
    </row>
    <row r="2215" spans="1:17">
      <c r="A2215" s="19">
        <v>0</v>
      </c>
      <c r="B2215" s="19">
        <v>0</v>
      </c>
      <c r="C2215" s="19">
        <v>0</v>
      </c>
      <c r="D2215" s="19">
        <v>0</v>
      </c>
      <c r="E2215" s="19">
        <v>0</v>
      </c>
      <c r="F2215" s="19">
        <v>0</v>
      </c>
      <c r="G2215" s="19">
        <v>0</v>
      </c>
      <c r="H2215" s="19">
        <v>0</v>
      </c>
      <c r="I2215" s="15">
        <v>3500</v>
      </c>
      <c r="J2215" s="15">
        <v>0</v>
      </c>
      <c r="K2215" s="15">
        <v>0</v>
      </c>
      <c r="L2215" s="15">
        <v>0</v>
      </c>
      <c r="M2215" s="15">
        <v>0</v>
      </c>
      <c r="N2215" s="15" t="str">
        <v/>
      </c>
      <c r="O2215" s="15" t="str">
        <v/>
      </c>
      <c r="P2215" s="22">
        <v>0</v>
      </c>
      <c r="Q2215">
        <v>0</v>
      </c>
    </row>
    <row r="2216" spans="1:17">
      <c r="A2216" s="19">
        <v>0</v>
      </c>
      <c r="B2216" s="19">
        <v>0</v>
      </c>
      <c r="C2216" s="19">
        <v>0</v>
      </c>
      <c r="D2216" s="19">
        <v>0</v>
      </c>
      <c r="E2216" s="19">
        <v>0</v>
      </c>
      <c r="F2216" s="19">
        <v>0</v>
      </c>
      <c r="G2216" s="19">
        <v>0</v>
      </c>
      <c r="H2216" s="19">
        <v>0</v>
      </c>
      <c r="I2216" s="15">
        <v>3500</v>
      </c>
      <c r="J2216" s="15">
        <v>0</v>
      </c>
      <c r="K2216" s="15">
        <v>0</v>
      </c>
      <c r="L2216" s="15">
        <v>0</v>
      </c>
      <c r="M2216" s="15">
        <v>0</v>
      </c>
      <c r="N2216" s="15" t="str">
        <v/>
      </c>
      <c r="O2216" s="15" t="str">
        <v/>
      </c>
      <c r="P2216" s="22">
        <v>0</v>
      </c>
      <c r="Q2216">
        <v>0</v>
      </c>
    </row>
    <row r="2217" spans="1:17">
      <c r="A2217" s="19">
        <v>0</v>
      </c>
      <c r="B2217" s="19">
        <v>0</v>
      </c>
      <c r="C2217" s="19">
        <v>0</v>
      </c>
      <c r="D2217" s="19">
        <v>0</v>
      </c>
      <c r="E2217" s="19">
        <v>0</v>
      </c>
      <c r="F2217" s="19">
        <v>0</v>
      </c>
      <c r="G2217" s="19">
        <v>0</v>
      </c>
      <c r="H2217" s="19">
        <v>0</v>
      </c>
      <c r="I2217" s="15">
        <v>3500</v>
      </c>
      <c r="J2217" s="15">
        <v>0</v>
      </c>
      <c r="K2217" s="15">
        <v>0</v>
      </c>
      <c r="L2217" s="15">
        <v>0</v>
      </c>
      <c r="M2217" s="15">
        <v>0</v>
      </c>
      <c r="N2217" s="15" t="str">
        <v/>
      </c>
      <c r="O2217" s="15" t="str">
        <v/>
      </c>
      <c r="P2217" s="22">
        <v>0</v>
      </c>
      <c r="Q2217">
        <v>0</v>
      </c>
    </row>
    <row r="2218" spans="1:17">
      <c r="A2218" s="19">
        <v>0</v>
      </c>
      <c r="B2218" s="19">
        <v>0</v>
      </c>
      <c r="C2218" s="19">
        <v>0</v>
      </c>
      <c r="D2218" s="19">
        <v>0</v>
      </c>
      <c r="E2218" s="19">
        <v>0</v>
      </c>
      <c r="F2218" s="19">
        <v>0</v>
      </c>
      <c r="G2218" s="19">
        <v>0</v>
      </c>
      <c r="H2218" s="19">
        <v>0</v>
      </c>
      <c r="I2218" s="15">
        <v>3500</v>
      </c>
      <c r="J2218" s="15">
        <v>0</v>
      </c>
      <c r="K2218" s="15">
        <v>0</v>
      </c>
      <c r="L2218" s="15">
        <v>0</v>
      </c>
      <c r="M2218" s="15">
        <v>0</v>
      </c>
      <c r="N2218" s="15" t="str">
        <v/>
      </c>
      <c r="O2218" s="15" t="str">
        <v/>
      </c>
      <c r="P2218" s="22">
        <v>0</v>
      </c>
      <c r="Q2218">
        <v>0</v>
      </c>
    </row>
    <row r="2219" spans="1:17">
      <c r="A2219" s="19">
        <v>0</v>
      </c>
      <c r="B2219" s="19">
        <v>0</v>
      </c>
      <c r="C2219" s="19">
        <v>0</v>
      </c>
      <c r="D2219" s="19">
        <v>0</v>
      </c>
      <c r="E2219" s="19">
        <v>0</v>
      </c>
      <c r="F2219" s="19">
        <v>0</v>
      </c>
      <c r="G2219" s="19">
        <v>0</v>
      </c>
      <c r="H2219" s="19">
        <v>0</v>
      </c>
      <c r="I2219" s="15">
        <v>3500</v>
      </c>
      <c r="J2219" s="15">
        <v>0</v>
      </c>
      <c r="K2219" s="15">
        <v>0</v>
      </c>
      <c r="L2219" s="15">
        <v>0</v>
      </c>
      <c r="M2219" s="15">
        <v>0</v>
      </c>
      <c r="N2219" s="15" t="str">
        <v/>
      </c>
      <c r="O2219" s="15" t="str">
        <v/>
      </c>
      <c r="P2219" s="22">
        <v>0</v>
      </c>
      <c r="Q2219">
        <v>0</v>
      </c>
    </row>
    <row r="2220" spans="1:17">
      <c r="A2220" s="19">
        <v>0</v>
      </c>
      <c r="B2220" s="19">
        <v>0</v>
      </c>
      <c r="C2220" s="19">
        <v>0</v>
      </c>
      <c r="D2220" s="19">
        <v>0</v>
      </c>
      <c r="E2220" s="19">
        <v>0</v>
      </c>
      <c r="F2220" s="19">
        <v>0</v>
      </c>
      <c r="G2220" s="19">
        <v>0</v>
      </c>
      <c r="H2220" s="19">
        <v>0</v>
      </c>
      <c r="I2220" s="15">
        <v>3500</v>
      </c>
      <c r="J2220" s="15">
        <v>0</v>
      </c>
      <c r="K2220" s="15">
        <v>0</v>
      </c>
      <c r="L2220" s="15">
        <v>0</v>
      </c>
      <c r="M2220" s="15">
        <v>0</v>
      </c>
      <c r="N2220" s="15" t="str">
        <v/>
      </c>
      <c r="O2220" s="15" t="str">
        <v/>
      </c>
      <c r="P2220" s="22">
        <v>0</v>
      </c>
      <c r="Q2220">
        <v>0</v>
      </c>
    </row>
    <row r="2221" spans="1:17">
      <c r="A2221" s="19">
        <v>0</v>
      </c>
      <c r="B2221" s="19">
        <v>0</v>
      </c>
      <c r="C2221" s="19">
        <v>0</v>
      </c>
      <c r="D2221" s="19">
        <v>0</v>
      </c>
      <c r="E2221" s="19">
        <v>0</v>
      </c>
      <c r="F2221" s="19">
        <v>0</v>
      </c>
      <c r="G2221" s="19">
        <v>0</v>
      </c>
      <c r="H2221" s="19">
        <v>0</v>
      </c>
      <c r="I2221" s="15">
        <v>3500</v>
      </c>
      <c r="J2221" s="15">
        <v>0</v>
      </c>
      <c r="K2221" s="15">
        <v>0</v>
      </c>
      <c r="L2221" s="15">
        <v>0</v>
      </c>
      <c r="M2221" s="15">
        <v>0</v>
      </c>
      <c r="N2221" s="15" t="str">
        <v/>
      </c>
      <c r="O2221" s="15" t="str">
        <v/>
      </c>
      <c r="P2221" s="22">
        <v>0</v>
      </c>
      <c r="Q2221">
        <v>0</v>
      </c>
    </row>
    <row r="2222" spans="1:17">
      <c r="A2222" s="19">
        <v>0</v>
      </c>
      <c r="B2222" s="19">
        <v>0</v>
      </c>
      <c r="C2222" s="19">
        <v>0</v>
      </c>
      <c r="D2222" s="19">
        <v>0</v>
      </c>
      <c r="E2222" s="19">
        <v>0</v>
      </c>
      <c r="F2222" s="19">
        <v>0</v>
      </c>
      <c r="G2222" s="19">
        <v>0</v>
      </c>
      <c r="H2222" s="19">
        <v>0</v>
      </c>
      <c r="I2222" s="15">
        <v>3500</v>
      </c>
      <c r="J2222" s="15">
        <v>0</v>
      </c>
      <c r="K2222" s="15">
        <v>0</v>
      </c>
      <c r="L2222" s="15">
        <v>0</v>
      </c>
      <c r="M2222" s="15">
        <v>0</v>
      </c>
      <c r="N2222" s="15" t="str">
        <v/>
      </c>
      <c r="O2222" s="15" t="str">
        <v/>
      </c>
      <c r="P2222" s="22">
        <v>0</v>
      </c>
      <c r="Q2222">
        <v>0</v>
      </c>
    </row>
    <row r="2223" spans="1:17">
      <c r="A2223" s="19">
        <v>0</v>
      </c>
      <c r="B2223" s="19">
        <v>0</v>
      </c>
      <c r="C2223" s="19">
        <v>0</v>
      </c>
      <c r="D2223" s="19">
        <v>0</v>
      </c>
      <c r="E2223" s="19">
        <v>0</v>
      </c>
      <c r="F2223" s="19">
        <v>0</v>
      </c>
      <c r="G2223" s="19">
        <v>0</v>
      </c>
      <c r="H2223" s="19">
        <v>0</v>
      </c>
      <c r="I2223" s="15">
        <v>3500</v>
      </c>
      <c r="J2223" s="15">
        <v>0</v>
      </c>
      <c r="K2223" s="15">
        <v>0</v>
      </c>
      <c r="L2223" s="15">
        <v>0</v>
      </c>
      <c r="M2223" s="15">
        <v>0</v>
      </c>
      <c r="N2223" s="15" t="str">
        <v/>
      </c>
      <c r="O2223" s="15" t="str">
        <v/>
      </c>
      <c r="P2223" s="22">
        <v>0</v>
      </c>
      <c r="Q2223">
        <v>0</v>
      </c>
    </row>
    <row r="2224" spans="1:17">
      <c r="A2224" s="19">
        <v>0</v>
      </c>
      <c r="B2224" s="19">
        <v>0</v>
      </c>
      <c r="C2224" s="19">
        <v>0</v>
      </c>
      <c r="D2224" s="19">
        <v>0</v>
      </c>
      <c r="E2224" s="19">
        <v>0</v>
      </c>
      <c r="F2224" s="19">
        <v>0</v>
      </c>
      <c r="G2224" s="19">
        <v>0</v>
      </c>
      <c r="H2224" s="19">
        <v>0</v>
      </c>
      <c r="I2224" s="15">
        <v>3500</v>
      </c>
      <c r="J2224" s="15">
        <v>0</v>
      </c>
      <c r="K2224" s="15">
        <v>0</v>
      </c>
      <c r="L2224" s="15">
        <v>0</v>
      </c>
      <c r="M2224" s="15">
        <v>0</v>
      </c>
      <c r="N2224" s="15" t="str">
        <v/>
      </c>
      <c r="O2224" s="15" t="str">
        <v/>
      </c>
      <c r="P2224" s="22">
        <v>0</v>
      </c>
      <c r="Q2224">
        <v>0</v>
      </c>
    </row>
    <row r="2225" spans="1:17">
      <c r="A2225" s="19">
        <v>0</v>
      </c>
      <c r="B2225" s="19">
        <v>0</v>
      </c>
      <c r="C2225" s="19">
        <v>0</v>
      </c>
      <c r="D2225" s="19">
        <v>0</v>
      </c>
      <c r="E2225" s="19">
        <v>0</v>
      </c>
      <c r="F2225" s="19">
        <v>0</v>
      </c>
      <c r="G2225" s="19">
        <v>0</v>
      </c>
      <c r="H2225" s="19">
        <v>0</v>
      </c>
      <c r="I2225" s="15">
        <v>3500</v>
      </c>
      <c r="J2225" s="15">
        <v>0</v>
      </c>
      <c r="K2225" s="15">
        <v>0</v>
      </c>
      <c r="L2225" s="15">
        <v>0</v>
      </c>
      <c r="M2225" s="15">
        <v>0</v>
      </c>
      <c r="N2225" s="15" t="str">
        <v/>
      </c>
      <c r="O2225" s="15" t="str">
        <v/>
      </c>
      <c r="P2225" s="22">
        <v>0</v>
      </c>
      <c r="Q2225">
        <v>0</v>
      </c>
    </row>
    <row r="2226" spans="1:17">
      <c r="A2226" s="19">
        <v>0</v>
      </c>
      <c r="B2226" s="19">
        <v>0</v>
      </c>
      <c r="C2226" s="19">
        <v>0</v>
      </c>
      <c r="D2226" s="19">
        <v>0</v>
      </c>
      <c r="E2226" s="19">
        <v>0</v>
      </c>
      <c r="F2226" s="19">
        <v>0</v>
      </c>
      <c r="G2226" s="19">
        <v>0</v>
      </c>
      <c r="H2226" s="19">
        <v>0</v>
      </c>
      <c r="I2226" s="15">
        <v>3500</v>
      </c>
      <c r="J2226" s="15">
        <v>0</v>
      </c>
      <c r="K2226" s="15">
        <v>0</v>
      </c>
      <c r="L2226" s="15">
        <v>0</v>
      </c>
      <c r="M2226" s="15">
        <v>0</v>
      </c>
      <c r="N2226" s="15" t="str">
        <v/>
      </c>
      <c r="O2226" s="15" t="str">
        <v/>
      </c>
      <c r="P2226" s="22">
        <v>0</v>
      </c>
      <c r="Q2226">
        <v>0</v>
      </c>
    </row>
    <row r="2227" spans="1:17">
      <c r="A2227" s="19">
        <v>0</v>
      </c>
      <c r="B2227" s="19">
        <v>0</v>
      </c>
      <c r="C2227" s="19">
        <v>0</v>
      </c>
      <c r="D2227" s="19">
        <v>0</v>
      </c>
      <c r="E2227" s="19">
        <v>0</v>
      </c>
      <c r="F2227" s="19">
        <v>0</v>
      </c>
      <c r="G2227" s="19">
        <v>0</v>
      </c>
      <c r="H2227" s="19">
        <v>0</v>
      </c>
      <c r="I2227" s="15">
        <v>3500</v>
      </c>
      <c r="J2227" s="15">
        <v>0</v>
      </c>
      <c r="K2227" s="15">
        <v>0</v>
      </c>
      <c r="L2227" s="15">
        <v>0</v>
      </c>
      <c r="M2227" s="15">
        <v>0</v>
      </c>
      <c r="N2227" s="15" t="str">
        <v/>
      </c>
      <c r="O2227" s="15" t="str">
        <v/>
      </c>
      <c r="P2227" s="22">
        <v>0</v>
      </c>
      <c r="Q2227">
        <v>0</v>
      </c>
    </row>
    <row r="2228" spans="1:17">
      <c r="A2228" s="19">
        <v>0</v>
      </c>
      <c r="B2228" s="19">
        <v>0</v>
      </c>
      <c r="C2228" s="19">
        <v>0</v>
      </c>
      <c r="D2228" s="19">
        <v>0</v>
      </c>
      <c r="E2228" s="19">
        <v>0</v>
      </c>
      <c r="F2228" s="19">
        <v>0</v>
      </c>
      <c r="G2228" s="19">
        <v>0</v>
      </c>
      <c r="H2228" s="19">
        <v>0</v>
      </c>
      <c r="I2228" s="15">
        <v>3500</v>
      </c>
      <c r="J2228" s="15">
        <v>0</v>
      </c>
      <c r="K2228" s="15">
        <v>0</v>
      </c>
      <c r="L2228" s="15">
        <v>0</v>
      </c>
      <c r="M2228" s="15">
        <v>0</v>
      </c>
      <c r="N2228" s="15" t="str">
        <v/>
      </c>
      <c r="O2228" s="15" t="str">
        <v/>
      </c>
      <c r="P2228" s="22">
        <v>0</v>
      </c>
      <c r="Q2228">
        <v>0</v>
      </c>
    </row>
    <row r="2229" spans="1:17">
      <c r="A2229" s="19">
        <v>0</v>
      </c>
      <c r="B2229" s="19">
        <v>0</v>
      </c>
      <c r="C2229" s="19">
        <v>0</v>
      </c>
      <c r="D2229" s="19">
        <v>0</v>
      </c>
      <c r="E2229" s="19">
        <v>0</v>
      </c>
      <c r="F2229" s="19">
        <v>0</v>
      </c>
      <c r="G2229" s="19">
        <v>0</v>
      </c>
      <c r="H2229" s="19">
        <v>0</v>
      </c>
      <c r="I2229" s="15">
        <v>3500</v>
      </c>
      <c r="J2229" s="15">
        <v>0</v>
      </c>
      <c r="K2229" s="15">
        <v>0</v>
      </c>
      <c r="L2229" s="15">
        <v>0</v>
      </c>
      <c r="M2229" s="15">
        <v>0</v>
      </c>
      <c r="N2229" s="15" t="str">
        <v/>
      </c>
      <c r="O2229" s="15" t="str">
        <v/>
      </c>
      <c r="P2229" s="22">
        <v>0</v>
      </c>
      <c r="Q2229">
        <v>0</v>
      </c>
    </row>
    <row r="2230" spans="1:17">
      <c r="A2230" s="19">
        <v>0</v>
      </c>
      <c r="B2230" s="19">
        <v>0</v>
      </c>
      <c r="C2230" s="19">
        <v>0</v>
      </c>
      <c r="D2230" s="19">
        <v>0</v>
      </c>
      <c r="E2230" s="19">
        <v>0</v>
      </c>
      <c r="F2230" s="19">
        <v>0</v>
      </c>
      <c r="G2230" s="19">
        <v>0</v>
      </c>
      <c r="H2230" s="19">
        <v>0</v>
      </c>
      <c r="I2230" s="15">
        <v>3500</v>
      </c>
      <c r="J2230" s="15">
        <v>0</v>
      </c>
      <c r="K2230" s="15">
        <v>0</v>
      </c>
      <c r="L2230" s="15">
        <v>0</v>
      </c>
      <c r="M2230" s="15">
        <v>0</v>
      </c>
      <c r="N2230" s="15" t="str">
        <v/>
      </c>
      <c r="O2230" s="15" t="str">
        <v/>
      </c>
      <c r="P2230" s="22">
        <v>0</v>
      </c>
      <c r="Q2230">
        <v>0</v>
      </c>
    </row>
    <row r="2231" spans="1:17">
      <c r="A2231" s="19">
        <v>0</v>
      </c>
      <c r="B2231" s="19">
        <v>0</v>
      </c>
      <c r="C2231" s="19">
        <v>0</v>
      </c>
      <c r="D2231" s="19">
        <v>0</v>
      </c>
      <c r="E2231" s="19">
        <v>0</v>
      </c>
      <c r="F2231" s="19">
        <v>0</v>
      </c>
      <c r="G2231" s="19">
        <v>0</v>
      </c>
      <c r="H2231" s="19">
        <v>0</v>
      </c>
      <c r="I2231" s="15">
        <v>3500</v>
      </c>
      <c r="J2231" s="15">
        <v>0</v>
      </c>
      <c r="K2231" s="15">
        <v>0</v>
      </c>
      <c r="L2231" s="15">
        <v>0</v>
      </c>
      <c r="M2231" s="15">
        <v>0</v>
      </c>
      <c r="N2231" s="15" t="str">
        <v/>
      </c>
      <c r="O2231" s="15" t="str">
        <v/>
      </c>
      <c r="P2231" s="22">
        <v>0</v>
      </c>
      <c r="Q2231">
        <v>0</v>
      </c>
    </row>
    <row r="2232" spans="1:17">
      <c r="A2232" s="19">
        <v>0</v>
      </c>
      <c r="B2232" s="19">
        <v>0</v>
      </c>
      <c r="C2232" s="19">
        <v>0</v>
      </c>
      <c r="D2232" s="19">
        <v>0</v>
      </c>
      <c r="E2232" s="19">
        <v>0</v>
      </c>
      <c r="F2232" s="19">
        <v>0</v>
      </c>
      <c r="G2232" s="19">
        <v>0</v>
      </c>
      <c r="H2232" s="19">
        <v>0</v>
      </c>
      <c r="I2232" s="15">
        <v>3500</v>
      </c>
      <c r="J2232" s="15">
        <v>0</v>
      </c>
      <c r="K2232" s="15">
        <v>0</v>
      </c>
      <c r="L2232" s="15">
        <v>0</v>
      </c>
      <c r="M2232" s="15">
        <v>0</v>
      </c>
      <c r="N2232" s="15" t="str">
        <v/>
      </c>
      <c r="O2232" s="15" t="str">
        <v/>
      </c>
      <c r="P2232" s="22">
        <v>0</v>
      </c>
      <c r="Q2232">
        <v>0</v>
      </c>
    </row>
    <row r="2233" spans="1:17">
      <c r="A2233" s="19">
        <v>0</v>
      </c>
      <c r="B2233" s="19">
        <v>0</v>
      </c>
      <c r="C2233" s="19">
        <v>0</v>
      </c>
      <c r="D2233" s="19">
        <v>0</v>
      </c>
      <c r="E2233" s="19">
        <v>0</v>
      </c>
      <c r="F2233" s="19">
        <v>0</v>
      </c>
      <c r="G2233" s="19">
        <v>0</v>
      </c>
      <c r="H2233" s="19">
        <v>0</v>
      </c>
      <c r="I2233" s="15">
        <v>3500</v>
      </c>
      <c r="J2233" s="15">
        <v>0</v>
      </c>
      <c r="K2233" s="15">
        <v>0</v>
      </c>
      <c r="L2233" s="15">
        <v>0</v>
      </c>
      <c r="M2233" s="15">
        <v>0</v>
      </c>
      <c r="N2233" s="15" t="str">
        <v/>
      </c>
      <c r="O2233" s="15" t="str">
        <v/>
      </c>
      <c r="P2233" s="22">
        <v>0</v>
      </c>
      <c r="Q2233">
        <v>0</v>
      </c>
    </row>
    <row r="2234" spans="1:17">
      <c r="A2234" s="19">
        <v>0</v>
      </c>
      <c r="B2234" s="19">
        <v>0</v>
      </c>
      <c r="C2234" s="19">
        <v>0</v>
      </c>
      <c r="D2234" s="19">
        <v>0</v>
      </c>
      <c r="E2234" s="19">
        <v>0</v>
      </c>
      <c r="F2234" s="19">
        <v>0</v>
      </c>
      <c r="G2234" s="19">
        <v>0</v>
      </c>
      <c r="H2234" s="19">
        <v>0</v>
      </c>
      <c r="I2234" s="15">
        <v>3500</v>
      </c>
      <c r="J2234" s="15">
        <v>0</v>
      </c>
      <c r="K2234" s="15">
        <v>0</v>
      </c>
      <c r="L2234" s="15">
        <v>0</v>
      </c>
      <c r="M2234" s="15">
        <v>0</v>
      </c>
      <c r="N2234" s="15" t="str">
        <v/>
      </c>
      <c r="O2234" s="15" t="str">
        <v/>
      </c>
      <c r="P2234" s="22">
        <v>0</v>
      </c>
      <c r="Q2234">
        <v>0</v>
      </c>
    </row>
    <row r="2235" spans="1:17">
      <c r="A2235" s="19">
        <v>0</v>
      </c>
      <c r="B2235" s="19">
        <v>0</v>
      </c>
      <c r="C2235" s="19">
        <v>0</v>
      </c>
      <c r="D2235" s="19">
        <v>0</v>
      </c>
      <c r="E2235" s="19">
        <v>0</v>
      </c>
      <c r="F2235" s="19">
        <v>0</v>
      </c>
      <c r="G2235" s="19">
        <v>0</v>
      </c>
      <c r="H2235" s="19">
        <v>0</v>
      </c>
      <c r="I2235" s="15">
        <v>3500</v>
      </c>
      <c r="J2235" s="15">
        <v>0</v>
      </c>
      <c r="K2235" s="15">
        <v>0</v>
      </c>
      <c r="L2235" s="15">
        <v>0</v>
      </c>
      <c r="M2235" s="15">
        <v>0</v>
      </c>
      <c r="N2235" s="15" t="str">
        <v/>
      </c>
      <c r="O2235" s="15" t="str">
        <v/>
      </c>
      <c r="P2235" s="22">
        <v>0</v>
      </c>
      <c r="Q2235">
        <v>0</v>
      </c>
    </row>
    <row r="2236" spans="1:17">
      <c r="A2236" s="19">
        <v>0</v>
      </c>
      <c r="B2236" s="19">
        <v>0</v>
      </c>
      <c r="C2236" s="19">
        <v>0</v>
      </c>
      <c r="D2236" s="19">
        <v>0</v>
      </c>
      <c r="E2236" s="19">
        <v>0</v>
      </c>
      <c r="F2236" s="19">
        <v>0</v>
      </c>
      <c r="G2236" s="19">
        <v>0</v>
      </c>
      <c r="H2236" s="19">
        <v>0</v>
      </c>
      <c r="I2236" s="15">
        <v>3500</v>
      </c>
      <c r="J2236" s="15">
        <v>0</v>
      </c>
      <c r="K2236" s="15">
        <v>0</v>
      </c>
      <c r="L2236" s="15">
        <v>0</v>
      </c>
      <c r="M2236" s="15">
        <v>0</v>
      </c>
      <c r="N2236" s="15" t="str">
        <v/>
      </c>
      <c r="O2236" s="15" t="str">
        <v/>
      </c>
      <c r="P2236" s="22">
        <v>0</v>
      </c>
      <c r="Q2236">
        <v>0</v>
      </c>
    </row>
    <row r="2237" spans="1:17">
      <c r="A2237" s="19">
        <v>0</v>
      </c>
      <c r="B2237" s="19">
        <v>0</v>
      </c>
      <c r="C2237" s="19">
        <v>0</v>
      </c>
      <c r="D2237" s="19">
        <v>0</v>
      </c>
      <c r="E2237" s="19">
        <v>0</v>
      </c>
      <c r="F2237" s="19">
        <v>0</v>
      </c>
      <c r="G2237" s="19">
        <v>0</v>
      </c>
      <c r="H2237" s="19">
        <v>0</v>
      </c>
      <c r="I2237" s="15">
        <v>3500</v>
      </c>
      <c r="J2237" s="15">
        <v>0</v>
      </c>
      <c r="K2237" s="15">
        <v>0</v>
      </c>
      <c r="L2237" s="15">
        <v>0</v>
      </c>
      <c r="M2237" s="15">
        <v>0</v>
      </c>
      <c r="N2237" s="15" t="str">
        <v/>
      </c>
      <c r="O2237" s="15" t="str">
        <v/>
      </c>
      <c r="P2237" s="22">
        <v>0</v>
      </c>
      <c r="Q2237">
        <v>0</v>
      </c>
    </row>
    <row r="2238" spans="1:17">
      <c r="A2238" s="19">
        <v>0</v>
      </c>
      <c r="B2238" s="19">
        <v>0</v>
      </c>
      <c r="C2238" s="19">
        <v>0</v>
      </c>
      <c r="D2238" s="19">
        <v>0</v>
      </c>
      <c r="E2238" s="19">
        <v>0</v>
      </c>
      <c r="F2238" s="19">
        <v>0</v>
      </c>
      <c r="G2238" s="19">
        <v>0</v>
      </c>
      <c r="H2238" s="19">
        <v>0</v>
      </c>
      <c r="I2238" s="15">
        <v>3500</v>
      </c>
      <c r="J2238" s="15">
        <v>0</v>
      </c>
      <c r="K2238" s="15">
        <v>0</v>
      </c>
      <c r="L2238" s="15">
        <v>0</v>
      </c>
      <c r="M2238" s="15">
        <v>0</v>
      </c>
      <c r="N2238" s="15" t="str">
        <v/>
      </c>
      <c r="O2238" s="15" t="str">
        <v/>
      </c>
      <c r="P2238" s="22">
        <v>0</v>
      </c>
      <c r="Q2238">
        <v>0</v>
      </c>
    </row>
    <row r="2239" spans="1:17">
      <c r="A2239" s="19">
        <v>0</v>
      </c>
      <c r="B2239" s="19">
        <v>0</v>
      </c>
      <c r="C2239" s="19">
        <v>0</v>
      </c>
      <c r="D2239" s="19">
        <v>0</v>
      </c>
      <c r="E2239" s="19">
        <v>0</v>
      </c>
      <c r="F2239" s="19">
        <v>0</v>
      </c>
      <c r="G2239" s="19">
        <v>0</v>
      </c>
      <c r="H2239" s="19">
        <v>0</v>
      </c>
      <c r="I2239" s="15">
        <v>3500</v>
      </c>
      <c r="J2239" s="15">
        <v>0</v>
      </c>
      <c r="K2239" s="15">
        <v>0</v>
      </c>
      <c r="L2239" s="15">
        <v>0</v>
      </c>
      <c r="M2239" s="15">
        <v>0</v>
      </c>
      <c r="N2239" s="15" t="str">
        <v/>
      </c>
      <c r="O2239" s="15" t="str">
        <v/>
      </c>
      <c r="P2239" s="22">
        <v>0</v>
      </c>
      <c r="Q2239">
        <v>0</v>
      </c>
    </row>
    <row r="2240" spans="1:17">
      <c r="A2240" s="19">
        <v>0</v>
      </c>
      <c r="B2240" s="19">
        <v>0</v>
      </c>
      <c r="C2240" s="19">
        <v>0</v>
      </c>
      <c r="D2240" s="19">
        <v>0</v>
      </c>
      <c r="E2240" s="19">
        <v>0</v>
      </c>
      <c r="F2240" s="19">
        <v>0</v>
      </c>
      <c r="G2240" s="19">
        <v>0</v>
      </c>
      <c r="H2240" s="19">
        <v>0</v>
      </c>
      <c r="I2240" s="15">
        <v>3500</v>
      </c>
      <c r="J2240" s="15">
        <v>0</v>
      </c>
      <c r="K2240" s="15">
        <v>0</v>
      </c>
      <c r="L2240" s="15">
        <v>0</v>
      </c>
      <c r="M2240" s="15">
        <v>0</v>
      </c>
      <c r="N2240" s="15" t="str">
        <v/>
      </c>
      <c r="O2240" s="15" t="str">
        <v/>
      </c>
      <c r="P2240" s="22">
        <v>0</v>
      </c>
      <c r="Q2240">
        <v>0</v>
      </c>
    </row>
    <row r="2241" spans="1:17">
      <c r="A2241" s="19">
        <v>0</v>
      </c>
      <c r="B2241" s="19">
        <v>0</v>
      </c>
      <c r="C2241" s="19">
        <v>0</v>
      </c>
      <c r="D2241" s="19">
        <v>0</v>
      </c>
      <c r="E2241" s="19">
        <v>0</v>
      </c>
      <c r="F2241" s="19">
        <v>0</v>
      </c>
      <c r="G2241" s="19">
        <v>0</v>
      </c>
      <c r="H2241" s="19">
        <v>0</v>
      </c>
      <c r="I2241" s="15">
        <v>3500</v>
      </c>
      <c r="J2241" s="15">
        <v>0</v>
      </c>
      <c r="K2241" s="15">
        <v>0</v>
      </c>
      <c r="L2241" s="15">
        <v>0</v>
      </c>
      <c r="M2241" s="15">
        <v>0</v>
      </c>
      <c r="N2241" s="15" t="str">
        <v/>
      </c>
      <c r="O2241" s="15" t="str">
        <v/>
      </c>
      <c r="P2241" s="22">
        <v>0</v>
      </c>
      <c r="Q2241">
        <v>0</v>
      </c>
    </row>
    <row r="2242" spans="1:17">
      <c r="A2242" s="19">
        <v>0</v>
      </c>
      <c r="B2242" s="19">
        <v>0</v>
      </c>
      <c r="C2242" s="19">
        <v>0</v>
      </c>
      <c r="D2242" s="19">
        <v>0</v>
      </c>
      <c r="E2242" s="19">
        <v>0</v>
      </c>
      <c r="F2242" s="19">
        <v>0</v>
      </c>
      <c r="G2242" s="19">
        <v>0</v>
      </c>
      <c r="H2242" s="19">
        <v>0</v>
      </c>
      <c r="I2242" s="15">
        <v>3500</v>
      </c>
      <c r="J2242" s="15">
        <v>0</v>
      </c>
      <c r="K2242" s="15">
        <v>0</v>
      </c>
      <c r="L2242" s="15">
        <v>0</v>
      </c>
      <c r="M2242" s="15">
        <v>0</v>
      </c>
      <c r="N2242" s="15" t="str">
        <v/>
      </c>
      <c r="O2242" s="15" t="str">
        <v/>
      </c>
      <c r="P2242" s="22">
        <v>0</v>
      </c>
      <c r="Q2242">
        <v>0</v>
      </c>
    </row>
    <row r="2243" spans="1:17">
      <c r="A2243" s="19">
        <v>0</v>
      </c>
      <c r="B2243" s="19">
        <v>0</v>
      </c>
      <c r="C2243" s="19">
        <v>0</v>
      </c>
      <c r="D2243" s="19">
        <v>0</v>
      </c>
      <c r="E2243" s="19">
        <v>0</v>
      </c>
      <c r="F2243" s="19">
        <v>0</v>
      </c>
      <c r="G2243" s="19">
        <v>0</v>
      </c>
      <c r="H2243" s="19">
        <v>0</v>
      </c>
      <c r="I2243" s="15">
        <v>3500</v>
      </c>
      <c r="J2243" s="15">
        <v>0</v>
      </c>
      <c r="K2243" s="15">
        <v>0</v>
      </c>
      <c r="L2243" s="15">
        <v>0</v>
      </c>
      <c r="M2243" s="15">
        <v>0</v>
      </c>
      <c r="N2243" s="15" t="str">
        <v/>
      </c>
      <c r="O2243" s="15" t="str">
        <v/>
      </c>
      <c r="P2243" s="22">
        <v>0</v>
      </c>
      <c r="Q2243">
        <v>0</v>
      </c>
    </row>
    <row r="2244" spans="1:17">
      <c r="A2244" s="19">
        <v>0</v>
      </c>
      <c r="B2244" s="19">
        <v>0</v>
      </c>
      <c r="C2244" s="19">
        <v>0</v>
      </c>
      <c r="D2244" s="19">
        <v>0</v>
      </c>
      <c r="E2244" s="19">
        <v>0</v>
      </c>
      <c r="F2244" s="19">
        <v>0</v>
      </c>
      <c r="G2244" s="19">
        <v>0</v>
      </c>
      <c r="H2244" s="19">
        <v>0</v>
      </c>
      <c r="I2244" s="15">
        <v>3500</v>
      </c>
      <c r="J2244" s="15">
        <v>0</v>
      </c>
      <c r="K2244" s="15">
        <v>0</v>
      </c>
      <c r="L2244" s="15">
        <v>0</v>
      </c>
      <c r="M2244" s="15">
        <v>0</v>
      </c>
      <c r="N2244" s="15" t="str">
        <v/>
      </c>
      <c r="O2244" s="15" t="str">
        <v/>
      </c>
      <c r="P2244" s="22">
        <v>0</v>
      </c>
      <c r="Q2244">
        <v>0</v>
      </c>
    </row>
    <row r="2245" spans="1:17">
      <c r="A2245" s="19">
        <v>0</v>
      </c>
      <c r="B2245" s="19">
        <v>0</v>
      </c>
      <c r="C2245" s="19">
        <v>0</v>
      </c>
      <c r="D2245" s="19">
        <v>0</v>
      </c>
      <c r="E2245" s="19">
        <v>0</v>
      </c>
      <c r="F2245" s="19">
        <v>0</v>
      </c>
      <c r="G2245" s="19">
        <v>0</v>
      </c>
      <c r="H2245" s="19">
        <v>0</v>
      </c>
      <c r="I2245" s="15">
        <v>3500</v>
      </c>
      <c r="J2245" s="15">
        <v>0</v>
      </c>
      <c r="K2245" s="15">
        <v>0</v>
      </c>
      <c r="L2245" s="15">
        <v>0</v>
      </c>
      <c r="M2245" s="15">
        <v>0</v>
      </c>
      <c r="N2245" s="15" t="str">
        <v/>
      </c>
      <c r="O2245" s="15" t="str">
        <v/>
      </c>
      <c r="P2245" s="22">
        <v>0</v>
      </c>
      <c r="Q2245">
        <v>0</v>
      </c>
    </row>
    <row r="2246" spans="1:17">
      <c r="A2246" s="19">
        <v>0</v>
      </c>
      <c r="B2246" s="19">
        <v>0</v>
      </c>
      <c r="C2246" s="19">
        <v>0</v>
      </c>
      <c r="D2246" s="19">
        <v>0</v>
      </c>
      <c r="E2246" s="19">
        <v>0</v>
      </c>
      <c r="F2246" s="19">
        <v>0</v>
      </c>
      <c r="G2246" s="19">
        <v>0</v>
      </c>
      <c r="H2246" s="19">
        <v>0</v>
      </c>
      <c r="I2246" s="15">
        <v>3500</v>
      </c>
      <c r="J2246" s="15">
        <v>0</v>
      </c>
      <c r="K2246" s="15">
        <v>0</v>
      </c>
      <c r="L2246" s="15">
        <v>0</v>
      </c>
      <c r="M2246" s="15">
        <v>0</v>
      </c>
      <c r="N2246" s="15" t="str">
        <v/>
      </c>
      <c r="O2246" s="15" t="str">
        <v/>
      </c>
      <c r="P2246" s="22">
        <v>0</v>
      </c>
      <c r="Q2246">
        <v>0</v>
      </c>
    </row>
    <row r="2247" spans="1:17">
      <c r="A2247" s="19">
        <v>0</v>
      </c>
      <c r="B2247" s="19">
        <v>0</v>
      </c>
      <c r="C2247" s="19">
        <v>0</v>
      </c>
      <c r="D2247" s="19">
        <v>0</v>
      </c>
      <c r="E2247" s="19">
        <v>0</v>
      </c>
      <c r="F2247" s="19">
        <v>0</v>
      </c>
      <c r="G2247" s="19">
        <v>0</v>
      </c>
      <c r="H2247" s="19">
        <v>0</v>
      </c>
      <c r="I2247" s="15">
        <v>3500</v>
      </c>
      <c r="J2247" s="15">
        <v>0</v>
      </c>
      <c r="K2247" s="15">
        <v>0</v>
      </c>
      <c r="L2247" s="15">
        <v>0</v>
      </c>
      <c r="M2247" s="15">
        <v>0</v>
      </c>
      <c r="N2247" s="15" t="str">
        <v/>
      </c>
      <c r="O2247" s="15" t="str">
        <v/>
      </c>
      <c r="P2247" s="22">
        <v>0</v>
      </c>
      <c r="Q2247">
        <v>0</v>
      </c>
    </row>
    <row r="2248" spans="1:17">
      <c r="A2248" s="19">
        <v>0</v>
      </c>
      <c r="B2248" s="19">
        <v>0</v>
      </c>
      <c r="C2248" s="19">
        <v>0</v>
      </c>
      <c r="D2248" s="19">
        <v>0</v>
      </c>
      <c r="E2248" s="19">
        <v>0</v>
      </c>
      <c r="F2248" s="19">
        <v>0</v>
      </c>
      <c r="G2248" s="19">
        <v>0</v>
      </c>
      <c r="H2248" s="19">
        <v>0</v>
      </c>
      <c r="I2248" s="15">
        <v>3500</v>
      </c>
      <c r="J2248" s="15">
        <v>0</v>
      </c>
      <c r="K2248" s="15">
        <v>0</v>
      </c>
      <c r="L2248" s="15">
        <v>0</v>
      </c>
      <c r="M2248" s="15">
        <v>0</v>
      </c>
      <c r="N2248" s="15" t="str">
        <v/>
      </c>
      <c r="O2248" s="15" t="str">
        <v/>
      </c>
      <c r="P2248" s="22">
        <v>0</v>
      </c>
      <c r="Q2248">
        <v>0</v>
      </c>
    </row>
    <row r="2249" spans="1:17">
      <c r="A2249" s="19">
        <v>0</v>
      </c>
      <c r="B2249" s="19">
        <v>0</v>
      </c>
      <c r="C2249" s="19">
        <v>0</v>
      </c>
      <c r="D2249" s="19">
        <v>0</v>
      </c>
      <c r="E2249" s="19">
        <v>0</v>
      </c>
      <c r="F2249" s="19">
        <v>0</v>
      </c>
      <c r="G2249" s="19">
        <v>0</v>
      </c>
      <c r="H2249" s="19">
        <v>0</v>
      </c>
      <c r="I2249" s="15">
        <v>3500</v>
      </c>
      <c r="J2249" s="15">
        <v>0</v>
      </c>
      <c r="K2249" s="15">
        <v>0</v>
      </c>
      <c r="L2249" s="15">
        <v>0</v>
      </c>
      <c r="M2249" s="15">
        <v>0</v>
      </c>
      <c r="N2249" s="15" t="str">
        <v/>
      </c>
      <c r="O2249" s="15" t="str">
        <v/>
      </c>
      <c r="P2249" s="22">
        <v>0</v>
      </c>
      <c r="Q2249">
        <v>0</v>
      </c>
    </row>
    <row r="2250" spans="1:17">
      <c r="A2250" s="19">
        <v>0</v>
      </c>
      <c r="B2250" s="19">
        <v>0</v>
      </c>
      <c r="C2250" s="19">
        <v>0</v>
      </c>
      <c r="D2250" s="19">
        <v>0</v>
      </c>
      <c r="E2250" s="19">
        <v>0</v>
      </c>
      <c r="F2250" s="19">
        <v>0</v>
      </c>
      <c r="G2250" s="19">
        <v>0</v>
      </c>
      <c r="H2250" s="19">
        <v>0</v>
      </c>
      <c r="I2250" s="15">
        <v>3500</v>
      </c>
      <c r="J2250" s="15">
        <v>0</v>
      </c>
      <c r="K2250" s="15">
        <v>0</v>
      </c>
      <c r="L2250" s="15">
        <v>0</v>
      </c>
      <c r="M2250" s="15">
        <v>0</v>
      </c>
      <c r="N2250" s="15" t="str">
        <v/>
      </c>
      <c r="O2250" s="15" t="str">
        <v/>
      </c>
      <c r="P2250" s="22">
        <v>0</v>
      </c>
      <c r="Q2250">
        <v>0</v>
      </c>
    </row>
    <row r="2251" spans="1:17">
      <c r="A2251" s="19">
        <v>0</v>
      </c>
      <c r="B2251" s="19">
        <v>0</v>
      </c>
      <c r="C2251" s="19">
        <v>0</v>
      </c>
      <c r="D2251" s="19">
        <v>0</v>
      </c>
      <c r="E2251" s="19">
        <v>0</v>
      </c>
      <c r="F2251" s="19">
        <v>0</v>
      </c>
      <c r="G2251" s="19">
        <v>0</v>
      </c>
      <c r="H2251" s="19">
        <v>0</v>
      </c>
      <c r="I2251" s="15">
        <v>3500</v>
      </c>
      <c r="J2251" s="15">
        <v>0</v>
      </c>
      <c r="K2251" s="15">
        <v>0</v>
      </c>
      <c r="L2251" s="15">
        <v>0</v>
      </c>
      <c r="M2251" s="15">
        <v>0</v>
      </c>
      <c r="N2251" s="15" t="str">
        <v/>
      </c>
      <c r="O2251" s="15" t="str">
        <v/>
      </c>
      <c r="P2251" s="22">
        <v>0</v>
      </c>
      <c r="Q2251">
        <v>0</v>
      </c>
    </row>
    <row r="2252" spans="1:17">
      <c r="A2252" s="19">
        <v>0</v>
      </c>
      <c r="B2252" s="19">
        <v>0</v>
      </c>
      <c r="C2252" s="19">
        <v>0</v>
      </c>
      <c r="D2252" s="19">
        <v>0</v>
      </c>
      <c r="E2252" s="19">
        <v>0</v>
      </c>
      <c r="F2252" s="19">
        <v>0</v>
      </c>
      <c r="G2252" s="19">
        <v>0</v>
      </c>
      <c r="H2252" s="19">
        <v>0</v>
      </c>
      <c r="I2252" s="15">
        <v>3500</v>
      </c>
      <c r="J2252" s="15">
        <v>0</v>
      </c>
      <c r="K2252" s="15">
        <v>0</v>
      </c>
      <c r="L2252" s="15">
        <v>0</v>
      </c>
      <c r="M2252" s="15">
        <v>0</v>
      </c>
      <c r="N2252" s="15" t="str">
        <v/>
      </c>
      <c r="O2252" s="15" t="str">
        <v/>
      </c>
      <c r="P2252" s="22">
        <v>0</v>
      </c>
      <c r="Q2252">
        <v>0</v>
      </c>
    </row>
    <row r="2253" spans="1:17">
      <c r="A2253" s="19">
        <v>0</v>
      </c>
      <c r="B2253" s="19">
        <v>0</v>
      </c>
      <c r="C2253" s="19">
        <v>0</v>
      </c>
      <c r="D2253" s="19">
        <v>0</v>
      </c>
      <c r="E2253" s="19">
        <v>0</v>
      </c>
      <c r="F2253" s="19">
        <v>0</v>
      </c>
      <c r="G2253" s="19">
        <v>0</v>
      </c>
      <c r="H2253" s="19">
        <v>0</v>
      </c>
      <c r="I2253" s="15">
        <v>3500</v>
      </c>
      <c r="J2253" s="15">
        <v>0</v>
      </c>
      <c r="K2253" s="15">
        <v>0</v>
      </c>
      <c r="L2253" s="15">
        <v>0</v>
      </c>
      <c r="M2253" s="15">
        <v>0</v>
      </c>
      <c r="N2253" s="15" t="str">
        <v/>
      </c>
      <c r="O2253" s="15" t="str">
        <v/>
      </c>
      <c r="P2253" s="22">
        <v>0</v>
      </c>
      <c r="Q2253">
        <v>0</v>
      </c>
    </row>
    <row r="2254" spans="1:17">
      <c r="A2254" s="19">
        <v>0</v>
      </c>
      <c r="B2254" s="19">
        <v>0</v>
      </c>
      <c r="C2254" s="19">
        <v>0</v>
      </c>
      <c r="D2254" s="19">
        <v>0</v>
      </c>
      <c r="E2254" s="19">
        <v>0</v>
      </c>
      <c r="F2254" s="19">
        <v>0</v>
      </c>
      <c r="G2254" s="19">
        <v>0</v>
      </c>
      <c r="H2254" s="19">
        <v>0</v>
      </c>
      <c r="I2254" s="15">
        <v>3500</v>
      </c>
      <c r="J2254" s="15">
        <v>0</v>
      </c>
      <c r="K2254" s="15">
        <v>0</v>
      </c>
      <c r="L2254" s="15">
        <v>0</v>
      </c>
      <c r="M2254" s="15">
        <v>0</v>
      </c>
      <c r="N2254" s="15" t="str">
        <v/>
      </c>
      <c r="O2254" s="15" t="str">
        <v/>
      </c>
      <c r="P2254" s="22">
        <v>0</v>
      </c>
      <c r="Q2254">
        <v>0</v>
      </c>
    </row>
    <row r="2255" spans="1:17">
      <c r="A2255" s="19">
        <v>0</v>
      </c>
      <c r="B2255" s="19">
        <v>0</v>
      </c>
      <c r="C2255" s="19">
        <v>0</v>
      </c>
      <c r="D2255" s="19">
        <v>0</v>
      </c>
      <c r="E2255" s="19">
        <v>0</v>
      </c>
      <c r="F2255" s="19">
        <v>0</v>
      </c>
      <c r="G2255" s="19">
        <v>0</v>
      </c>
      <c r="H2255" s="19">
        <v>0</v>
      </c>
      <c r="I2255" s="15">
        <v>3500</v>
      </c>
      <c r="J2255" s="15">
        <v>0</v>
      </c>
      <c r="K2255" s="15">
        <v>0</v>
      </c>
      <c r="L2255" s="15">
        <v>0</v>
      </c>
      <c r="M2255" s="15">
        <v>0</v>
      </c>
      <c r="N2255" s="15" t="str">
        <v/>
      </c>
      <c r="O2255" s="15" t="str">
        <v/>
      </c>
      <c r="P2255" s="22">
        <v>0</v>
      </c>
      <c r="Q2255">
        <v>0</v>
      </c>
    </row>
    <row r="2256" spans="1:17">
      <c r="A2256" s="19">
        <v>0</v>
      </c>
      <c r="B2256" s="19">
        <v>0</v>
      </c>
      <c r="C2256" s="19">
        <v>0</v>
      </c>
      <c r="D2256" s="19">
        <v>0</v>
      </c>
      <c r="E2256" s="19">
        <v>0</v>
      </c>
      <c r="F2256" s="19">
        <v>0</v>
      </c>
      <c r="G2256" s="19">
        <v>0</v>
      </c>
      <c r="H2256" s="19">
        <v>0</v>
      </c>
      <c r="I2256" s="15">
        <v>3500</v>
      </c>
      <c r="J2256" s="15">
        <v>0</v>
      </c>
      <c r="K2256" s="15">
        <v>0</v>
      </c>
      <c r="L2256" s="15">
        <v>0</v>
      </c>
      <c r="M2256" s="15">
        <v>0</v>
      </c>
      <c r="N2256" s="15" t="str">
        <v/>
      </c>
      <c r="O2256" s="15" t="str">
        <v/>
      </c>
      <c r="P2256" s="22">
        <v>0</v>
      </c>
      <c r="Q2256">
        <v>0</v>
      </c>
    </row>
    <row r="2257" spans="1:17">
      <c r="A2257" s="19">
        <v>0</v>
      </c>
      <c r="B2257" s="19">
        <v>0</v>
      </c>
      <c r="C2257" s="19">
        <v>0</v>
      </c>
      <c r="D2257" s="19">
        <v>0</v>
      </c>
      <c r="E2257" s="19">
        <v>0</v>
      </c>
      <c r="F2257" s="19">
        <v>0</v>
      </c>
      <c r="G2257" s="19">
        <v>0</v>
      </c>
      <c r="H2257" s="19">
        <v>0</v>
      </c>
      <c r="I2257" s="15">
        <v>3500</v>
      </c>
      <c r="J2257" s="15">
        <v>0</v>
      </c>
      <c r="K2257" s="15">
        <v>0</v>
      </c>
      <c r="L2257" s="15">
        <v>0</v>
      </c>
      <c r="M2257" s="15">
        <v>0</v>
      </c>
      <c r="N2257" s="15" t="str">
        <v/>
      </c>
      <c r="O2257" s="15" t="str">
        <v/>
      </c>
      <c r="P2257" s="22">
        <v>0</v>
      </c>
      <c r="Q2257">
        <v>0</v>
      </c>
    </row>
    <row r="2258" spans="1:17">
      <c r="A2258" s="19">
        <v>0</v>
      </c>
      <c r="B2258" s="19">
        <v>0</v>
      </c>
      <c r="C2258" s="19">
        <v>0</v>
      </c>
      <c r="D2258" s="19">
        <v>0</v>
      </c>
      <c r="E2258" s="19">
        <v>0</v>
      </c>
      <c r="F2258" s="19">
        <v>0</v>
      </c>
      <c r="G2258" s="19">
        <v>0</v>
      </c>
      <c r="H2258" s="19">
        <v>0</v>
      </c>
      <c r="I2258" s="15">
        <v>3500</v>
      </c>
      <c r="J2258" s="15">
        <v>0</v>
      </c>
      <c r="K2258" s="15">
        <v>0</v>
      </c>
      <c r="L2258" s="15">
        <v>0</v>
      </c>
      <c r="M2258" s="15">
        <v>0</v>
      </c>
      <c r="N2258" s="15" t="str">
        <v/>
      </c>
      <c r="O2258" s="15" t="str">
        <v/>
      </c>
      <c r="P2258" s="22">
        <v>0</v>
      </c>
      <c r="Q2258">
        <v>0</v>
      </c>
    </row>
    <row r="2259" spans="1:17">
      <c r="A2259" s="19">
        <v>0</v>
      </c>
      <c r="B2259" s="19">
        <v>0</v>
      </c>
      <c r="C2259" s="19">
        <v>0</v>
      </c>
      <c r="D2259" s="19">
        <v>0</v>
      </c>
      <c r="E2259" s="19">
        <v>0</v>
      </c>
      <c r="F2259" s="19">
        <v>0</v>
      </c>
      <c r="G2259" s="19">
        <v>0</v>
      </c>
      <c r="H2259" s="19">
        <v>0</v>
      </c>
      <c r="I2259" s="15">
        <v>3500</v>
      </c>
      <c r="J2259" s="15">
        <v>0</v>
      </c>
      <c r="K2259" s="15">
        <v>0</v>
      </c>
      <c r="L2259" s="15">
        <v>0</v>
      </c>
      <c r="M2259" s="15">
        <v>0</v>
      </c>
      <c r="N2259" s="15" t="str">
        <v/>
      </c>
      <c r="O2259" s="15" t="str">
        <v/>
      </c>
      <c r="P2259" s="22">
        <v>0</v>
      </c>
      <c r="Q2259">
        <v>0</v>
      </c>
    </row>
    <row r="2260" spans="1:17">
      <c r="A2260" s="19">
        <v>0</v>
      </c>
      <c r="B2260" s="19">
        <v>0</v>
      </c>
      <c r="C2260" s="19">
        <v>0</v>
      </c>
      <c r="D2260" s="19">
        <v>0</v>
      </c>
      <c r="E2260" s="19">
        <v>0</v>
      </c>
      <c r="F2260" s="19">
        <v>0</v>
      </c>
      <c r="G2260" s="19">
        <v>0</v>
      </c>
      <c r="H2260" s="19">
        <v>0</v>
      </c>
      <c r="I2260" s="15">
        <v>3500</v>
      </c>
      <c r="J2260" s="15">
        <v>0</v>
      </c>
      <c r="K2260" s="15">
        <v>0</v>
      </c>
      <c r="L2260" s="15">
        <v>0</v>
      </c>
      <c r="M2260" s="15">
        <v>0</v>
      </c>
      <c r="N2260" s="15" t="str">
        <v/>
      </c>
      <c r="O2260" s="15" t="str">
        <v/>
      </c>
      <c r="P2260" s="22">
        <v>0</v>
      </c>
      <c r="Q2260">
        <v>0</v>
      </c>
    </row>
    <row r="2261" spans="1:17">
      <c r="A2261" s="19">
        <v>0</v>
      </c>
      <c r="B2261" s="19">
        <v>0</v>
      </c>
      <c r="C2261" s="19">
        <v>0</v>
      </c>
      <c r="D2261" s="19">
        <v>0</v>
      </c>
      <c r="E2261" s="19">
        <v>0</v>
      </c>
      <c r="F2261" s="19">
        <v>0</v>
      </c>
      <c r="G2261" s="19">
        <v>0</v>
      </c>
      <c r="H2261" s="19">
        <v>0</v>
      </c>
      <c r="I2261" s="15">
        <v>3500</v>
      </c>
      <c r="J2261" s="15">
        <v>0</v>
      </c>
      <c r="K2261" s="15">
        <v>0</v>
      </c>
      <c r="L2261" s="15">
        <v>0</v>
      </c>
      <c r="M2261" s="15">
        <v>0</v>
      </c>
      <c r="N2261" s="15" t="str">
        <v/>
      </c>
      <c r="O2261" s="15" t="str">
        <v/>
      </c>
      <c r="P2261" s="22">
        <v>0</v>
      </c>
      <c r="Q2261">
        <v>0</v>
      </c>
    </row>
    <row r="2262" spans="1:17">
      <c r="A2262" s="19">
        <v>0</v>
      </c>
      <c r="B2262" s="19">
        <v>0</v>
      </c>
      <c r="C2262" s="19">
        <v>0</v>
      </c>
      <c r="D2262" s="19">
        <v>0</v>
      </c>
      <c r="E2262" s="19">
        <v>0</v>
      </c>
      <c r="F2262" s="19">
        <v>0</v>
      </c>
      <c r="G2262" s="19">
        <v>0</v>
      </c>
      <c r="H2262" s="19">
        <v>0</v>
      </c>
      <c r="I2262" s="15">
        <v>3500</v>
      </c>
      <c r="J2262" s="15">
        <v>0</v>
      </c>
      <c r="K2262" s="15">
        <v>0</v>
      </c>
      <c r="L2262" s="15">
        <v>0</v>
      </c>
      <c r="M2262" s="15">
        <v>0</v>
      </c>
      <c r="N2262" s="15" t="str">
        <v/>
      </c>
      <c r="O2262" s="15" t="str">
        <v/>
      </c>
      <c r="P2262" s="22">
        <v>0</v>
      </c>
      <c r="Q2262">
        <v>0</v>
      </c>
    </row>
    <row r="2263" spans="1:17">
      <c r="A2263" s="19">
        <v>0</v>
      </c>
      <c r="B2263" s="19">
        <v>0</v>
      </c>
      <c r="C2263" s="19">
        <v>0</v>
      </c>
      <c r="D2263" s="19">
        <v>0</v>
      </c>
      <c r="E2263" s="19">
        <v>0</v>
      </c>
      <c r="F2263" s="19">
        <v>0</v>
      </c>
      <c r="G2263" s="19">
        <v>0</v>
      </c>
      <c r="H2263" s="19">
        <v>0</v>
      </c>
      <c r="I2263" s="15">
        <v>3500</v>
      </c>
      <c r="J2263" s="15">
        <v>0</v>
      </c>
      <c r="K2263" s="15">
        <v>0</v>
      </c>
      <c r="L2263" s="15">
        <v>0</v>
      </c>
      <c r="M2263" s="15">
        <v>0</v>
      </c>
      <c r="N2263" s="15" t="str">
        <v/>
      </c>
      <c r="O2263" s="15" t="str">
        <v/>
      </c>
      <c r="P2263" s="22">
        <v>0</v>
      </c>
      <c r="Q2263">
        <v>0</v>
      </c>
    </row>
    <row r="2264" spans="1:17">
      <c r="A2264" s="19">
        <v>0</v>
      </c>
      <c r="B2264" s="19">
        <v>0</v>
      </c>
      <c r="C2264" s="19">
        <v>0</v>
      </c>
      <c r="D2264" s="19">
        <v>0</v>
      </c>
      <c r="E2264" s="19">
        <v>0</v>
      </c>
      <c r="F2264" s="19">
        <v>0</v>
      </c>
      <c r="G2264" s="19">
        <v>0</v>
      </c>
      <c r="H2264" s="19">
        <v>0</v>
      </c>
      <c r="I2264" s="15">
        <v>3500</v>
      </c>
      <c r="J2264" s="15">
        <v>0</v>
      </c>
      <c r="K2264" s="15">
        <v>0</v>
      </c>
      <c r="L2264" s="15">
        <v>0</v>
      </c>
      <c r="M2264" s="15">
        <v>0</v>
      </c>
      <c r="N2264" s="15" t="str">
        <v/>
      </c>
      <c r="O2264" s="15" t="str">
        <v/>
      </c>
      <c r="P2264" s="22">
        <v>0</v>
      </c>
      <c r="Q2264">
        <v>0</v>
      </c>
    </row>
    <row r="2265" spans="1:17">
      <c r="A2265" s="19">
        <v>0</v>
      </c>
      <c r="B2265" s="19">
        <v>0</v>
      </c>
      <c r="C2265" s="19">
        <v>0</v>
      </c>
      <c r="D2265" s="19">
        <v>0</v>
      </c>
      <c r="E2265" s="19">
        <v>0</v>
      </c>
      <c r="F2265" s="19">
        <v>0</v>
      </c>
      <c r="G2265" s="19">
        <v>0</v>
      </c>
      <c r="H2265" s="19">
        <v>0</v>
      </c>
      <c r="I2265" s="15">
        <v>3500</v>
      </c>
      <c r="J2265" s="15">
        <v>0</v>
      </c>
      <c r="K2265" s="15">
        <v>0</v>
      </c>
      <c r="L2265" s="15">
        <v>0</v>
      </c>
      <c r="M2265" s="15">
        <v>0</v>
      </c>
      <c r="N2265" s="15" t="str">
        <v/>
      </c>
      <c r="O2265" s="15" t="str">
        <v/>
      </c>
      <c r="P2265" s="22">
        <v>0</v>
      </c>
      <c r="Q2265">
        <v>0</v>
      </c>
    </row>
    <row r="2266" spans="1:17">
      <c r="A2266" s="19">
        <v>0</v>
      </c>
      <c r="B2266" s="19">
        <v>0</v>
      </c>
      <c r="C2266" s="19">
        <v>0</v>
      </c>
      <c r="D2266" s="19">
        <v>0</v>
      </c>
      <c r="E2266" s="19">
        <v>0</v>
      </c>
      <c r="F2266" s="19">
        <v>0</v>
      </c>
      <c r="G2266" s="19">
        <v>0</v>
      </c>
      <c r="H2266" s="19">
        <v>0</v>
      </c>
      <c r="I2266" s="15">
        <v>3500</v>
      </c>
      <c r="J2266" s="15">
        <v>0</v>
      </c>
      <c r="K2266" s="15">
        <v>0</v>
      </c>
      <c r="L2266" s="15">
        <v>0</v>
      </c>
      <c r="M2266" s="15">
        <v>0</v>
      </c>
      <c r="N2266" s="15" t="str">
        <v/>
      </c>
      <c r="O2266" s="15" t="str">
        <v/>
      </c>
      <c r="P2266" s="22">
        <v>0</v>
      </c>
      <c r="Q2266">
        <v>0</v>
      </c>
    </row>
    <row r="2267" spans="1:17">
      <c r="A2267" s="19">
        <v>0</v>
      </c>
      <c r="B2267" s="19">
        <v>0</v>
      </c>
      <c r="C2267" s="19">
        <v>0</v>
      </c>
      <c r="D2267" s="19">
        <v>0</v>
      </c>
      <c r="E2267" s="19">
        <v>0</v>
      </c>
      <c r="F2267" s="19">
        <v>0</v>
      </c>
      <c r="G2267" s="19">
        <v>0</v>
      </c>
      <c r="H2267" s="19">
        <v>0</v>
      </c>
      <c r="I2267" s="15">
        <v>3500</v>
      </c>
      <c r="J2267" s="15">
        <v>0</v>
      </c>
      <c r="K2267" s="15">
        <v>0</v>
      </c>
      <c r="L2267" s="15">
        <v>0</v>
      </c>
      <c r="M2267" s="15">
        <v>0</v>
      </c>
      <c r="N2267" s="15" t="str">
        <v/>
      </c>
      <c r="O2267" s="15" t="str">
        <v/>
      </c>
      <c r="P2267" s="22">
        <v>0</v>
      </c>
      <c r="Q2267">
        <v>0</v>
      </c>
    </row>
    <row r="2268" spans="1:17">
      <c r="A2268" s="19">
        <v>0</v>
      </c>
      <c r="B2268" s="19">
        <v>0</v>
      </c>
      <c r="C2268" s="19">
        <v>0</v>
      </c>
      <c r="D2268" s="19">
        <v>0</v>
      </c>
      <c r="E2268" s="19">
        <v>0</v>
      </c>
      <c r="F2268" s="19">
        <v>0</v>
      </c>
      <c r="G2268" s="19">
        <v>0</v>
      </c>
      <c r="H2268" s="19">
        <v>0</v>
      </c>
      <c r="I2268" s="15">
        <v>3500</v>
      </c>
      <c r="J2268" s="15">
        <v>0</v>
      </c>
      <c r="K2268" s="15">
        <v>0</v>
      </c>
      <c r="L2268" s="15">
        <v>0</v>
      </c>
      <c r="M2268" s="15">
        <v>0</v>
      </c>
      <c r="N2268" s="15" t="str">
        <v/>
      </c>
      <c r="O2268" s="15" t="str">
        <v/>
      </c>
      <c r="P2268" s="22">
        <v>0</v>
      </c>
      <c r="Q2268">
        <v>0</v>
      </c>
    </row>
    <row r="2269" spans="1:17">
      <c r="A2269" s="19">
        <v>0</v>
      </c>
      <c r="B2269" s="19">
        <v>0</v>
      </c>
      <c r="C2269" s="19">
        <v>0</v>
      </c>
      <c r="D2269" s="19">
        <v>0</v>
      </c>
      <c r="E2269" s="19">
        <v>0</v>
      </c>
      <c r="F2269" s="19">
        <v>0</v>
      </c>
      <c r="G2269" s="19">
        <v>0</v>
      </c>
      <c r="H2269" s="19">
        <v>0</v>
      </c>
      <c r="I2269" s="15">
        <v>3500</v>
      </c>
      <c r="J2269" s="15">
        <v>0</v>
      </c>
      <c r="K2269" s="15">
        <v>0</v>
      </c>
      <c r="L2269" s="15">
        <v>0</v>
      </c>
      <c r="M2269" s="15">
        <v>0</v>
      </c>
      <c r="N2269" s="15" t="str">
        <v/>
      </c>
      <c r="O2269" s="15" t="str">
        <v/>
      </c>
      <c r="P2269" s="22">
        <v>0</v>
      </c>
      <c r="Q2269">
        <v>0</v>
      </c>
    </row>
    <row r="2270" spans="1:17">
      <c r="A2270" s="19">
        <v>0</v>
      </c>
      <c r="B2270" s="19">
        <v>0</v>
      </c>
      <c r="C2270" s="19">
        <v>0</v>
      </c>
      <c r="D2270" s="19">
        <v>0</v>
      </c>
      <c r="E2270" s="19">
        <v>0</v>
      </c>
      <c r="F2270" s="19">
        <v>0</v>
      </c>
      <c r="G2270" s="19">
        <v>0</v>
      </c>
      <c r="H2270" s="19">
        <v>0</v>
      </c>
      <c r="I2270" s="15">
        <v>3500</v>
      </c>
      <c r="J2270" s="15">
        <v>0</v>
      </c>
      <c r="K2270" s="15">
        <v>0</v>
      </c>
      <c r="L2270" s="15">
        <v>0</v>
      </c>
      <c r="M2270" s="15">
        <v>0</v>
      </c>
      <c r="N2270" s="15" t="str">
        <v/>
      </c>
      <c r="O2270" s="15" t="str">
        <v/>
      </c>
      <c r="P2270" s="22">
        <v>0</v>
      </c>
      <c r="Q2270">
        <v>0</v>
      </c>
    </row>
    <row r="2271" spans="1:17">
      <c r="A2271" s="19">
        <v>0</v>
      </c>
      <c r="B2271" s="19">
        <v>0</v>
      </c>
      <c r="C2271" s="19">
        <v>0</v>
      </c>
      <c r="D2271" s="19">
        <v>0</v>
      </c>
      <c r="E2271" s="19">
        <v>0</v>
      </c>
      <c r="F2271" s="19">
        <v>0</v>
      </c>
      <c r="G2271" s="19">
        <v>0</v>
      </c>
      <c r="H2271" s="19">
        <v>0</v>
      </c>
      <c r="I2271" s="15">
        <v>3500</v>
      </c>
      <c r="J2271" s="15">
        <v>0</v>
      </c>
      <c r="K2271" s="15">
        <v>0</v>
      </c>
      <c r="L2271" s="15">
        <v>0</v>
      </c>
      <c r="M2271" s="15">
        <v>0</v>
      </c>
      <c r="N2271" s="15" t="str">
        <v/>
      </c>
      <c r="O2271" s="15" t="str">
        <v/>
      </c>
      <c r="P2271" s="22">
        <v>0</v>
      </c>
      <c r="Q2271">
        <v>0</v>
      </c>
    </row>
    <row r="2272" spans="1:17">
      <c r="A2272" s="19">
        <v>0</v>
      </c>
      <c r="B2272" s="19">
        <v>0</v>
      </c>
      <c r="C2272" s="19">
        <v>0</v>
      </c>
      <c r="D2272" s="19">
        <v>0</v>
      </c>
      <c r="E2272" s="19">
        <v>0</v>
      </c>
      <c r="F2272" s="19">
        <v>0</v>
      </c>
      <c r="G2272" s="19">
        <v>0</v>
      </c>
      <c r="H2272" s="19">
        <v>0</v>
      </c>
      <c r="I2272" s="15">
        <v>3500</v>
      </c>
      <c r="J2272" s="15">
        <v>0</v>
      </c>
      <c r="K2272" s="15">
        <v>0</v>
      </c>
      <c r="L2272" s="15">
        <v>0</v>
      </c>
      <c r="M2272" s="15">
        <v>0</v>
      </c>
      <c r="N2272" s="15" t="str">
        <v/>
      </c>
      <c r="O2272" s="15" t="str">
        <v/>
      </c>
      <c r="P2272" s="22">
        <v>0</v>
      </c>
      <c r="Q2272">
        <v>0</v>
      </c>
    </row>
    <row r="2273" spans="1:17">
      <c r="A2273" s="19">
        <v>0</v>
      </c>
      <c r="B2273" s="19">
        <v>0</v>
      </c>
      <c r="C2273" s="19">
        <v>0</v>
      </c>
      <c r="D2273" s="19">
        <v>0</v>
      </c>
      <c r="E2273" s="19">
        <v>0</v>
      </c>
      <c r="F2273" s="19">
        <v>0</v>
      </c>
      <c r="G2273" s="19">
        <v>0</v>
      </c>
      <c r="H2273" s="19">
        <v>0</v>
      </c>
      <c r="I2273" s="15">
        <v>3500</v>
      </c>
      <c r="J2273" s="15">
        <v>0</v>
      </c>
      <c r="K2273" s="15">
        <v>0</v>
      </c>
      <c r="L2273" s="15">
        <v>0</v>
      </c>
      <c r="M2273" s="15">
        <v>0</v>
      </c>
      <c r="N2273" s="15" t="str">
        <v/>
      </c>
      <c r="O2273" s="15" t="str">
        <v/>
      </c>
      <c r="P2273" s="22">
        <v>0</v>
      </c>
      <c r="Q2273">
        <v>0</v>
      </c>
    </row>
    <row r="2274" spans="1:17">
      <c r="A2274" s="19">
        <v>0</v>
      </c>
      <c r="B2274" s="19">
        <v>0</v>
      </c>
      <c r="C2274" s="19">
        <v>0</v>
      </c>
      <c r="D2274" s="19">
        <v>0</v>
      </c>
      <c r="E2274" s="19">
        <v>0</v>
      </c>
      <c r="F2274" s="19">
        <v>0</v>
      </c>
      <c r="G2274" s="19">
        <v>0</v>
      </c>
      <c r="H2274" s="19">
        <v>0</v>
      </c>
      <c r="I2274" s="15">
        <v>3500</v>
      </c>
      <c r="J2274" s="15">
        <v>0</v>
      </c>
      <c r="K2274" s="15">
        <v>0</v>
      </c>
      <c r="L2274" s="15">
        <v>0</v>
      </c>
      <c r="M2274" s="15">
        <v>0</v>
      </c>
      <c r="N2274" s="15" t="str">
        <v/>
      </c>
      <c r="O2274" s="15" t="str">
        <v/>
      </c>
      <c r="P2274" s="22">
        <v>0</v>
      </c>
      <c r="Q2274">
        <v>0</v>
      </c>
    </row>
    <row r="2275" spans="1:17">
      <c r="A2275" s="19">
        <v>0</v>
      </c>
      <c r="B2275" s="19">
        <v>0</v>
      </c>
      <c r="C2275" s="19">
        <v>0</v>
      </c>
      <c r="D2275" s="19">
        <v>0</v>
      </c>
      <c r="E2275" s="19">
        <v>0</v>
      </c>
      <c r="F2275" s="19">
        <v>0</v>
      </c>
      <c r="G2275" s="19">
        <v>0</v>
      </c>
      <c r="H2275" s="19">
        <v>0</v>
      </c>
      <c r="I2275" s="15">
        <v>3500</v>
      </c>
      <c r="J2275" s="15">
        <v>0</v>
      </c>
      <c r="K2275" s="15">
        <v>0</v>
      </c>
      <c r="L2275" s="15">
        <v>0</v>
      </c>
      <c r="M2275" s="15">
        <v>0</v>
      </c>
      <c r="N2275" s="15" t="str">
        <v/>
      </c>
      <c r="O2275" s="15" t="str">
        <v/>
      </c>
      <c r="P2275" s="22">
        <v>0</v>
      </c>
      <c r="Q2275">
        <v>0</v>
      </c>
    </row>
    <row r="2276" spans="1:17">
      <c r="A2276" s="19">
        <v>0</v>
      </c>
      <c r="B2276" s="19">
        <v>0</v>
      </c>
      <c r="C2276" s="19">
        <v>0</v>
      </c>
      <c r="D2276" s="19">
        <v>0</v>
      </c>
      <c r="E2276" s="19">
        <v>0</v>
      </c>
      <c r="F2276" s="19">
        <v>0</v>
      </c>
      <c r="G2276" s="19">
        <v>0</v>
      </c>
      <c r="H2276" s="19">
        <v>0</v>
      </c>
      <c r="I2276" s="15">
        <v>3500</v>
      </c>
      <c r="J2276" s="15">
        <v>0</v>
      </c>
      <c r="K2276" s="15">
        <v>0</v>
      </c>
      <c r="L2276" s="15">
        <v>0</v>
      </c>
      <c r="M2276" s="15">
        <v>0</v>
      </c>
      <c r="N2276" s="15" t="str">
        <v/>
      </c>
      <c r="O2276" s="15" t="str">
        <v/>
      </c>
      <c r="P2276" s="22">
        <v>0</v>
      </c>
      <c r="Q2276">
        <v>0</v>
      </c>
    </row>
    <row r="2277" spans="1:17">
      <c r="A2277" s="19">
        <v>0</v>
      </c>
      <c r="B2277" s="19">
        <v>0</v>
      </c>
      <c r="C2277" s="19">
        <v>0</v>
      </c>
      <c r="D2277" s="19">
        <v>0</v>
      </c>
      <c r="E2277" s="19">
        <v>0</v>
      </c>
      <c r="F2277" s="19">
        <v>0</v>
      </c>
      <c r="G2277" s="19">
        <v>0</v>
      </c>
      <c r="H2277" s="19">
        <v>0</v>
      </c>
      <c r="I2277" s="15">
        <v>3500</v>
      </c>
      <c r="J2277" s="15">
        <v>0</v>
      </c>
      <c r="K2277" s="15">
        <v>0</v>
      </c>
      <c r="L2277" s="15">
        <v>0</v>
      </c>
      <c r="M2277" s="15">
        <v>0</v>
      </c>
      <c r="N2277" s="15" t="str">
        <v/>
      </c>
      <c r="O2277" s="15" t="str">
        <v/>
      </c>
      <c r="P2277" s="22">
        <v>0</v>
      </c>
      <c r="Q2277">
        <v>0</v>
      </c>
    </row>
    <row r="2278" spans="1:17">
      <c r="A2278" s="19">
        <v>0</v>
      </c>
      <c r="B2278" s="19">
        <v>0</v>
      </c>
      <c r="C2278" s="19">
        <v>0</v>
      </c>
      <c r="D2278" s="19">
        <v>0</v>
      </c>
      <c r="E2278" s="19">
        <v>0</v>
      </c>
      <c r="F2278" s="19">
        <v>0</v>
      </c>
      <c r="G2278" s="19">
        <v>0</v>
      </c>
      <c r="H2278" s="19">
        <v>0</v>
      </c>
      <c r="I2278" s="15">
        <v>3500</v>
      </c>
      <c r="J2278" s="15">
        <v>0</v>
      </c>
      <c r="K2278" s="15">
        <v>0</v>
      </c>
      <c r="L2278" s="15">
        <v>0</v>
      </c>
      <c r="M2278" s="15">
        <v>0</v>
      </c>
      <c r="N2278" s="15" t="str">
        <v/>
      </c>
      <c r="O2278" s="15" t="str">
        <v/>
      </c>
      <c r="P2278" s="22">
        <v>0</v>
      </c>
      <c r="Q2278">
        <v>0</v>
      </c>
    </row>
    <row r="2279" spans="1:17">
      <c r="A2279" s="19">
        <v>0</v>
      </c>
      <c r="B2279" s="19">
        <v>0</v>
      </c>
      <c r="C2279" s="19">
        <v>0</v>
      </c>
      <c r="D2279" s="19">
        <v>0</v>
      </c>
      <c r="E2279" s="19">
        <v>0</v>
      </c>
      <c r="F2279" s="19">
        <v>0</v>
      </c>
      <c r="G2279" s="19">
        <v>0</v>
      </c>
      <c r="H2279" s="19">
        <v>0</v>
      </c>
      <c r="I2279" s="15">
        <v>3500</v>
      </c>
      <c r="J2279" s="15">
        <v>0</v>
      </c>
      <c r="K2279" s="15">
        <v>0</v>
      </c>
      <c r="L2279" s="15">
        <v>0</v>
      </c>
      <c r="M2279" s="15">
        <v>0</v>
      </c>
      <c r="N2279" s="15" t="str">
        <v/>
      </c>
      <c r="O2279" s="15" t="str">
        <v/>
      </c>
      <c r="P2279" s="22">
        <v>0</v>
      </c>
      <c r="Q2279">
        <v>0</v>
      </c>
    </row>
    <row r="2280" spans="1:17">
      <c r="A2280" s="19">
        <v>0</v>
      </c>
      <c r="B2280" s="19">
        <v>0</v>
      </c>
      <c r="C2280" s="19">
        <v>0</v>
      </c>
      <c r="D2280" s="19">
        <v>0</v>
      </c>
      <c r="E2280" s="19">
        <v>0</v>
      </c>
      <c r="F2280" s="19">
        <v>0</v>
      </c>
      <c r="G2280" s="19">
        <v>0</v>
      </c>
      <c r="H2280" s="19">
        <v>0</v>
      </c>
      <c r="I2280" s="15">
        <v>3500</v>
      </c>
      <c r="J2280" s="15">
        <v>0</v>
      </c>
      <c r="K2280" s="15">
        <v>0</v>
      </c>
      <c r="L2280" s="15">
        <v>0</v>
      </c>
      <c r="M2280" s="15">
        <v>0</v>
      </c>
      <c r="N2280" s="15" t="str">
        <v/>
      </c>
      <c r="O2280" s="15" t="str">
        <v/>
      </c>
      <c r="P2280" s="22">
        <v>0</v>
      </c>
      <c r="Q2280">
        <v>0</v>
      </c>
    </row>
    <row r="2281" spans="1:17">
      <c r="A2281" s="19">
        <v>0</v>
      </c>
      <c r="B2281" s="19">
        <v>0</v>
      </c>
      <c r="C2281" s="19">
        <v>0</v>
      </c>
      <c r="D2281" s="19">
        <v>0</v>
      </c>
      <c r="E2281" s="19">
        <v>0</v>
      </c>
      <c r="F2281" s="19">
        <v>0</v>
      </c>
      <c r="G2281" s="19">
        <v>0</v>
      </c>
      <c r="H2281" s="19">
        <v>0</v>
      </c>
      <c r="I2281" s="15">
        <v>3500</v>
      </c>
      <c r="J2281" s="15">
        <v>0</v>
      </c>
      <c r="K2281" s="15">
        <v>0</v>
      </c>
      <c r="L2281" s="15">
        <v>0</v>
      </c>
      <c r="M2281" s="15">
        <v>0</v>
      </c>
      <c r="N2281" s="15" t="str">
        <v/>
      </c>
      <c r="O2281" s="15" t="str">
        <v/>
      </c>
      <c r="P2281" s="22">
        <v>0</v>
      </c>
      <c r="Q2281">
        <v>0</v>
      </c>
    </row>
    <row r="2282" spans="1:17">
      <c r="A2282" s="19">
        <v>0</v>
      </c>
      <c r="B2282" s="19">
        <v>0</v>
      </c>
      <c r="C2282" s="19">
        <v>0</v>
      </c>
      <c r="D2282" s="19">
        <v>0</v>
      </c>
      <c r="E2282" s="19">
        <v>0</v>
      </c>
      <c r="F2282" s="19">
        <v>0</v>
      </c>
      <c r="G2282" s="19">
        <v>0</v>
      </c>
      <c r="H2282" s="19">
        <v>0</v>
      </c>
      <c r="I2282" s="15">
        <v>3500</v>
      </c>
      <c r="J2282" s="15">
        <v>0</v>
      </c>
      <c r="K2282" s="15">
        <v>0</v>
      </c>
      <c r="L2282" s="15">
        <v>0</v>
      </c>
      <c r="M2282" s="15">
        <v>0</v>
      </c>
      <c r="N2282" s="15" t="str">
        <v/>
      </c>
      <c r="O2282" s="15" t="str">
        <v/>
      </c>
      <c r="P2282" s="22">
        <v>0</v>
      </c>
      <c r="Q2282">
        <v>0</v>
      </c>
    </row>
    <row r="2283" spans="1:17">
      <c r="A2283" s="19">
        <v>0</v>
      </c>
      <c r="B2283" s="19">
        <v>0</v>
      </c>
      <c r="C2283" s="19">
        <v>0</v>
      </c>
      <c r="D2283" s="19">
        <v>0</v>
      </c>
      <c r="E2283" s="19">
        <v>0</v>
      </c>
      <c r="F2283" s="19">
        <v>0</v>
      </c>
      <c r="G2283" s="19">
        <v>0</v>
      </c>
      <c r="H2283" s="19">
        <v>0</v>
      </c>
      <c r="I2283" s="15">
        <v>3500</v>
      </c>
      <c r="J2283" s="15">
        <v>0</v>
      </c>
      <c r="K2283" s="15">
        <v>0</v>
      </c>
      <c r="L2283" s="15">
        <v>0</v>
      </c>
      <c r="M2283" s="15">
        <v>0</v>
      </c>
      <c r="N2283" s="15" t="str">
        <v/>
      </c>
      <c r="O2283" s="15" t="str">
        <v/>
      </c>
      <c r="P2283" s="22">
        <v>0</v>
      </c>
      <c r="Q2283">
        <v>0</v>
      </c>
    </row>
    <row r="2284" spans="1:17">
      <c r="A2284" s="19">
        <v>0</v>
      </c>
      <c r="B2284" s="19">
        <v>0</v>
      </c>
      <c r="C2284" s="19">
        <v>0</v>
      </c>
      <c r="D2284" s="19">
        <v>0</v>
      </c>
      <c r="E2284" s="19">
        <v>0</v>
      </c>
      <c r="F2284" s="19">
        <v>0</v>
      </c>
      <c r="G2284" s="19">
        <v>0</v>
      </c>
      <c r="H2284" s="19">
        <v>0</v>
      </c>
      <c r="I2284" s="15">
        <v>3500</v>
      </c>
      <c r="J2284" s="15">
        <v>0</v>
      </c>
      <c r="K2284" s="15">
        <v>0</v>
      </c>
      <c r="L2284" s="15">
        <v>0</v>
      </c>
      <c r="M2284" s="15">
        <v>0</v>
      </c>
      <c r="N2284" s="15" t="str">
        <v/>
      </c>
      <c r="O2284" s="15" t="str">
        <v/>
      </c>
      <c r="P2284" s="22">
        <v>0</v>
      </c>
      <c r="Q2284">
        <v>0</v>
      </c>
    </row>
    <row r="2285" spans="1:17">
      <c r="A2285" s="19">
        <v>0</v>
      </c>
      <c r="B2285" s="19">
        <v>0</v>
      </c>
      <c r="C2285" s="19">
        <v>0</v>
      </c>
      <c r="D2285" s="19">
        <v>0</v>
      </c>
      <c r="E2285" s="19">
        <v>0</v>
      </c>
      <c r="F2285" s="19">
        <v>0</v>
      </c>
      <c r="G2285" s="19">
        <v>0</v>
      </c>
      <c r="H2285" s="19">
        <v>0</v>
      </c>
      <c r="I2285" s="15">
        <v>3500</v>
      </c>
      <c r="J2285" s="15">
        <v>0</v>
      </c>
      <c r="K2285" s="15">
        <v>0</v>
      </c>
      <c r="L2285" s="15">
        <v>0</v>
      </c>
      <c r="M2285" s="15">
        <v>0</v>
      </c>
      <c r="N2285" s="15" t="str">
        <v/>
      </c>
      <c r="O2285" s="15" t="str">
        <v/>
      </c>
      <c r="P2285" s="22">
        <v>0</v>
      </c>
      <c r="Q2285">
        <v>0</v>
      </c>
    </row>
    <row r="2286" spans="1:17">
      <c r="A2286" s="19">
        <v>0</v>
      </c>
      <c r="B2286" s="19">
        <v>0</v>
      </c>
      <c r="C2286" s="19">
        <v>0</v>
      </c>
      <c r="D2286" s="19">
        <v>0</v>
      </c>
      <c r="E2286" s="19">
        <v>0</v>
      </c>
      <c r="F2286" s="19">
        <v>0</v>
      </c>
      <c r="G2286" s="19">
        <v>0</v>
      </c>
      <c r="H2286" s="19">
        <v>0</v>
      </c>
      <c r="I2286" s="15">
        <v>3500</v>
      </c>
      <c r="J2286" s="15">
        <v>0</v>
      </c>
      <c r="K2286" s="15">
        <v>0</v>
      </c>
      <c r="L2286" s="15">
        <v>0</v>
      </c>
      <c r="M2286" s="15">
        <v>0</v>
      </c>
      <c r="N2286" s="15" t="str">
        <v/>
      </c>
      <c r="O2286" s="15" t="str">
        <v/>
      </c>
      <c r="P2286" s="22">
        <v>0</v>
      </c>
      <c r="Q2286">
        <v>0</v>
      </c>
    </row>
    <row r="2287" spans="1:17">
      <c r="A2287" s="19">
        <v>0</v>
      </c>
      <c r="B2287" s="19">
        <v>0</v>
      </c>
      <c r="C2287" s="19">
        <v>0</v>
      </c>
      <c r="D2287" s="19">
        <v>0</v>
      </c>
      <c r="E2287" s="19">
        <v>0</v>
      </c>
      <c r="F2287" s="19">
        <v>0</v>
      </c>
      <c r="G2287" s="19">
        <v>0</v>
      </c>
      <c r="H2287" s="19">
        <v>0</v>
      </c>
      <c r="I2287" s="15">
        <v>3500</v>
      </c>
      <c r="J2287" s="15">
        <v>0</v>
      </c>
      <c r="K2287" s="15">
        <v>0</v>
      </c>
      <c r="L2287" s="15">
        <v>0</v>
      </c>
      <c r="M2287" s="15">
        <v>0</v>
      </c>
      <c r="N2287" s="15" t="str">
        <v/>
      </c>
      <c r="O2287" s="15" t="str">
        <v/>
      </c>
      <c r="P2287" s="22">
        <v>0</v>
      </c>
      <c r="Q2287">
        <v>0</v>
      </c>
    </row>
    <row r="2288" spans="1:17">
      <c r="A2288" s="19">
        <v>0</v>
      </c>
      <c r="B2288" s="19">
        <v>0</v>
      </c>
      <c r="C2288" s="19">
        <v>0</v>
      </c>
      <c r="D2288" s="19">
        <v>0</v>
      </c>
      <c r="E2288" s="19">
        <v>0</v>
      </c>
      <c r="F2288" s="19">
        <v>0</v>
      </c>
      <c r="G2288" s="19">
        <v>0</v>
      </c>
      <c r="H2288" s="19">
        <v>0</v>
      </c>
      <c r="I2288" s="15">
        <v>3500</v>
      </c>
      <c r="J2288" s="15">
        <v>0</v>
      </c>
      <c r="K2288" s="15">
        <v>0</v>
      </c>
      <c r="L2288" s="15">
        <v>0</v>
      </c>
      <c r="M2288" s="15">
        <v>0</v>
      </c>
      <c r="N2288" s="15" t="str">
        <v/>
      </c>
      <c r="O2288" s="15" t="str">
        <v/>
      </c>
      <c r="P2288" s="22">
        <v>0</v>
      </c>
      <c r="Q2288">
        <v>0</v>
      </c>
    </row>
    <row r="2289" spans="1:17">
      <c r="A2289" s="19">
        <v>0</v>
      </c>
      <c r="B2289" s="19">
        <v>0</v>
      </c>
      <c r="C2289" s="19">
        <v>0</v>
      </c>
      <c r="D2289" s="19">
        <v>0</v>
      </c>
      <c r="E2289" s="19">
        <v>0</v>
      </c>
      <c r="F2289" s="19">
        <v>0</v>
      </c>
      <c r="G2289" s="19">
        <v>0</v>
      </c>
      <c r="H2289" s="19">
        <v>0</v>
      </c>
      <c r="I2289" s="15">
        <v>3500</v>
      </c>
      <c r="J2289" s="15">
        <v>0</v>
      </c>
      <c r="K2289" s="15">
        <v>0</v>
      </c>
      <c r="L2289" s="15">
        <v>0</v>
      </c>
      <c r="M2289" s="15">
        <v>0</v>
      </c>
      <c r="N2289" s="15" t="str">
        <v/>
      </c>
      <c r="O2289" s="15" t="str">
        <v/>
      </c>
      <c r="P2289" s="22">
        <v>0</v>
      </c>
      <c r="Q2289">
        <v>0</v>
      </c>
    </row>
    <row r="2290" spans="1:17">
      <c r="A2290" s="19">
        <v>0</v>
      </c>
      <c r="B2290" s="19">
        <v>0</v>
      </c>
      <c r="C2290" s="19">
        <v>0</v>
      </c>
      <c r="D2290" s="19">
        <v>0</v>
      </c>
      <c r="E2290" s="19">
        <v>0</v>
      </c>
      <c r="F2290" s="19">
        <v>0</v>
      </c>
      <c r="G2290" s="19">
        <v>0</v>
      </c>
      <c r="H2290" s="19">
        <v>0</v>
      </c>
      <c r="I2290" s="15">
        <v>3500</v>
      </c>
      <c r="J2290" s="15">
        <v>0</v>
      </c>
      <c r="K2290" s="15">
        <v>0</v>
      </c>
      <c r="L2290" s="15">
        <v>0</v>
      </c>
      <c r="M2290" s="15">
        <v>0</v>
      </c>
      <c r="N2290" s="15" t="str">
        <v/>
      </c>
      <c r="O2290" s="15" t="str">
        <v/>
      </c>
      <c r="P2290" s="22">
        <v>0</v>
      </c>
      <c r="Q2290">
        <v>0</v>
      </c>
    </row>
    <row r="2291" spans="1:17">
      <c r="A2291" s="19">
        <v>0</v>
      </c>
      <c r="B2291" s="19">
        <v>0</v>
      </c>
      <c r="C2291" s="19">
        <v>0</v>
      </c>
      <c r="D2291" s="19">
        <v>0</v>
      </c>
      <c r="E2291" s="19">
        <v>0</v>
      </c>
      <c r="F2291" s="19">
        <v>0</v>
      </c>
      <c r="G2291" s="19">
        <v>0</v>
      </c>
      <c r="H2291" s="19">
        <v>0</v>
      </c>
      <c r="I2291" s="15">
        <v>3500</v>
      </c>
      <c r="J2291" s="15">
        <v>0</v>
      </c>
      <c r="K2291" s="15">
        <v>0</v>
      </c>
      <c r="L2291" s="15">
        <v>0</v>
      </c>
      <c r="M2291" s="15">
        <v>0</v>
      </c>
      <c r="N2291" s="15" t="str">
        <v/>
      </c>
      <c r="O2291" s="15" t="str">
        <v/>
      </c>
      <c r="P2291" s="22">
        <v>0</v>
      </c>
      <c r="Q2291">
        <v>0</v>
      </c>
    </row>
    <row r="2292" spans="1:17">
      <c r="A2292" s="19">
        <v>0</v>
      </c>
      <c r="B2292" s="19">
        <v>0</v>
      </c>
      <c r="C2292" s="19">
        <v>0</v>
      </c>
      <c r="D2292" s="19">
        <v>0</v>
      </c>
      <c r="E2292" s="19">
        <v>0</v>
      </c>
      <c r="F2292" s="19">
        <v>0</v>
      </c>
      <c r="G2292" s="19">
        <v>0</v>
      </c>
      <c r="H2292" s="19">
        <v>0</v>
      </c>
      <c r="I2292" s="15">
        <v>3500</v>
      </c>
      <c r="J2292" s="15">
        <v>0</v>
      </c>
      <c r="K2292" s="15">
        <v>0</v>
      </c>
      <c r="L2292" s="15">
        <v>0</v>
      </c>
      <c r="M2292" s="15">
        <v>0</v>
      </c>
      <c r="N2292" s="15" t="str">
        <v/>
      </c>
      <c r="O2292" s="15" t="str">
        <v/>
      </c>
      <c r="P2292" s="22">
        <v>0</v>
      </c>
      <c r="Q2292">
        <v>0</v>
      </c>
    </row>
    <row r="2293" spans="1:17">
      <c r="A2293" s="19">
        <v>0</v>
      </c>
      <c r="B2293" s="19">
        <v>0</v>
      </c>
      <c r="C2293" s="19">
        <v>0</v>
      </c>
      <c r="D2293" s="19">
        <v>0</v>
      </c>
      <c r="E2293" s="19">
        <v>0</v>
      </c>
      <c r="F2293" s="19">
        <v>0</v>
      </c>
      <c r="G2293" s="19">
        <v>0</v>
      </c>
      <c r="H2293" s="19">
        <v>0</v>
      </c>
      <c r="I2293" s="15">
        <v>3500</v>
      </c>
      <c r="J2293" s="15">
        <v>0</v>
      </c>
      <c r="K2293" s="15">
        <v>0</v>
      </c>
      <c r="L2293" s="15">
        <v>0</v>
      </c>
      <c r="M2293" s="15">
        <v>0</v>
      </c>
      <c r="N2293" s="15" t="str">
        <v/>
      </c>
      <c r="O2293" s="15" t="str">
        <v/>
      </c>
      <c r="P2293" s="22">
        <v>0</v>
      </c>
      <c r="Q2293">
        <v>0</v>
      </c>
    </row>
    <row r="2294" spans="1:17">
      <c r="A2294" s="19">
        <v>0</v>
      </c>
      <c r="B2294" s="19">
        <v>0</v>
      </c>
      <c r="C2294" s="19">
        <v>0</v>
      </c>
      <c r="D2294" s="19">
        <v>0</v>
      </c>
      <c r="E2294" s="19">
        <v>0</v>
      </c>
      <c r="F2294" s="19">
        <v>0</v>
      </c>
      <c r="G2294" s="19">
        <v>0</v>
      </c>
      <c r="H2294" s="19">
        <v>0</v>
      </c>
      <c r="I2294" s="15">
        <v>3500</v>
      </c>
      <c r="J2294" s="15">
        <v>0</v>
      </c>
      <c r="K2294" s="15">
        <v>0</v>
      </c>
      <c r="L2294" s="15">
        <v>0</v>
      </c>
      <c r="M2294" s="15">
        <v>0</v>
      </c>
      <c r="N2294" s="15" t="str">
        <v/>
      </c>
      <c r="O2294" s="15" t="str">
        <v/>
      </c>
      <c r="P2294" s="22">
        <v>0</v>
      </c>
      <c r="Q2294">
        <v>0</v>
      </c>
    </row>
    <row r="2295" spans="1:17">
      <c r="A2295" s="19">
        <v>0</v>
      </c>
      <c r="B2295" s="19">
        <v>0</v>
      </c>
      <c r="C2295" s="19">
        <v>0</v>
      </c>
      <c r="D2295" s="19">
        <v>0</v>
      </c>
      <c r="E2295" s="19">
        <v>0</v>
      </c>
      <c r="F2295" s="19">
        <v>0</v>
      </c>
      <c r="G2295" s="19">
        <v>0</v>
      </c>
      <c r="H2295" s="19">
        <v>0</v>
      </c>
      <c r="I2295" s="15">
        <v>3500</v>
      </c>
      <c r="J2295" s="15">
        <v>0</v>
      </c>
      <c r="K2295" s="15">
        <v>0</v>
      </c>
      <c r="L2295" s="15">
        <v>0</v>
      </c>
      <c r="M2295" s="15">
        <v>0</v>
      </c>
      <c r="N2295" s="15" t="str">
        <v/>
      </c>
      <c r="O2295" s="15" t="str">
        <v/>
      </c>
      <c r="P2295" s="22">
        <v>0</v>
      </c>
      <c r="Q2295">
        <v>0</v>
      </c>
    </row>
    <row r="2296" spans="1:17">
      <c r="A2296" s="19">
        <v>0</v>
      </c>
      <c r="B2296" s="19">
        <v>0</v>
      </c>
      <c r="C2296" s="19">
        <v>0</v>
      </c>
      <c r="D2296" s="19">
        <v>0</v>
      </c>
      <c r="E2296" s="19">
        <v>0</v>
      </c>
      <c r="F2296" s="19">
        <v>0</v>
      </c>
      <c r="G2296" s="19">
        <v>0</v>
      </c>
      <c r="H2296" s="19">
        <v>0</v>
      </c>
      <c r="I2296" s="15">
        <v>3500</v>
      </c>
      <c r="J2296" s="15">
        <v>0</v>
      </c>
      <c r="K2296" s="15">
        <v>0</v>
      </c>
      <c r="L2296" s="15">
        <v>0</v>
      </c>
      <c r="M2296" s="15">
        <v>0</v>
      </c>
      <c r="N2296" s="15" t="str">
        <v/>
      </c>
      <c r="O2296" s="15" t="str">
        <v/>
      </c>
      <c r="P2296" s="22">
        <v>0</v>
      </c>
      <c r="Q2296">
        <v>0</v>
      </c>
    </row>
    <row r="2297" spans="1:17">
      <c r="A2297" s="19">
        <v>0</v>
      </c>
      <c r="B2297" s="19">
        <v>0</v>
      </c>
      <c r="C2297" s="19">
        <v>0</v>
      </c>
      <c r="D2297" s="19">
        <v>0</v>
      </c>
      <c r="E2297" s="19">
        <v>0</v>
      </c>
      <c r="F2297" s="19">
        <v>0</v>
      </c>
      <c r="G2297" s="19">
        <v>0</v>
      </c>
      <c r="H2297" s="19">
        <v>0</v>
      </c>
      <c r="I2297" s="15">
        <v>3500</v>
      </c>
      <c r="J2297" s="15">
        <v>0</v>
      </c>
      <c r="K2297" s="15">
        <v>0</v>
      </c>
      <c r="L2297" s="15">
        <v>0</v>
      </c>
      <c r="M2297" s="15">
        <v>0</v>
      </c>
      <c r="N2297" s="15" t="str">
        <v/>
      </c>
      <c r="O2297" s="15" t="str">
        <v/>
      </c>
      <c r="P2297" s="22">
        <v>0</v>
      </c>
      <c r="Q2297">
        <v>0</v>
      </c>
    </row>
    <row r="2298" spans="1:17">
      <c r="A2298" s="19">
        <v>0</v>
      </c>
      <c r="B2298" s="19">
        <v>0</v>
      </c>
      <c r="C2298" s="19">
        <v>0</v>
      </c>
      <c r="D2298" s="19">
        <v>0</v>
      </c>
      <c r="E2298" s="19">
        <v>0</v>
      </c>
      <c r="F2298" s="19">
        <v>0</v>
      </c>
      <c r="G2298" s="19">
        <v>0</v>
      </c>
      <c r="H2298" s="19">
        <v>0</v>
      </c>
      <c r="I2298" s="15">
        <v>3500</v>
      </c>
      <c r="J2298" s="15">
        <v>0</v>
      </c>
      <c r="K2298" s="15">
        <v>0</v>
      </c>
      <c r="L2298" s="15">
        <v>0</v>
      </c>
      <c r="M2298" s="15">
        <v>0</v>
      </c>
      <c r="N2298" s="15" t="str">
        <v/>
      </c>
      <c r="O2298" s="15" t="str">
        <v/>
      </c>
      <c r="P2298" s="22">
        <v>0</v>
      </c>
      <c r="Q2298">
        <v>0</v>
      </c>
    </row>
    <row r="2299" spans="1:17">
      <c r="A2299" s="19">
        <v>0</v>
      </c>
      <c r="B2299" s="19">
        <v>0</v>
      </c>
      <c r="C2299" s="19">
        <v>0</v>
      </c>
      <c r="D2299" s="19">
        <v>0</v>
      </c>
      <c r="E2299" s="19">
        <v>0</v>
      </c>
      <c r="F2299" s="19">
        <v>0</v>
      </c>
      <c r="G2299" s="19">
        <v>0</v>
      </c>
      <c r="H2299" s="19">
        <v>0</v>
      </c>
      <c r="I2299" s="15">
        <v>3500</v>
      </c>
      <c r="J2299" s="15">
        <v>0</v>
      </c>
      <c r="K2299" s="15">
        <v>0</v>
      </c>
      <c r="L2299" s="15">
        <v>0</v>
      </c>
      <c r="M2299" s="15">
        <v>0</v>
      </c>
      <c r="N2299" s="15" t="str">
        <v/>
      </c>
      <c r="O2299" s="15" t="str">
        <v/>
      </c>
      <c r="P2299" s="22">
        <v>0</v>
      </c>
      <c r="Q2299">
        <v>0</v>
      </c>
    </row>
    <row r="2300" spans="1:17">
      <c r="A2300" s="19">
        <v>0</v>
      </c>
      <c r="B2300" s="19">
        <v>0</v>
      </c>
      <c r="C2300" s="19">
        <v>0</v>
      </c>
      <c r="D2300" s="19">
        <v>0</v>
      </c>
      <c r="E2300" s="19">
        <v>0</v>
      </c>
      <c r="F2300" s="19">
        <v>0</v>
      </c>
      <c r="G2300" s="19">
        <v>0</v>
      </c>
      <c r="H2300" s="19">
        <v>0</v>
      </c>
      <c r="I2300" s="15">
        <v>3500</v>
      </c>
      <c r="J2300" s="15">
        <v>0</v>
      </c>
      <c r="K2300" s="15">
        <v>0</v>
      </c>
      <c r="L2300" s="15">
        <v>0</v>
      </c>
      <c r="M2300" s="15">
        <v>0</v>
      </c>
      <c r="N2300" s="15" t="str">
        <v/>
      </c>
      <c r="O2300" s="15" t="str">
        <v/>
      </c>
      <c r="P2300" s="22">
        <v>0</v>
      </c>
      <c r="Q2300">
        <v>0</v>
      </c>
    </row>
    <row r="2301" spans="1:17">
      <c r="A2301" s="19">
        <v>0</v>
      </c>
      <c r="B2301" s="19">
        <v>0</v>
      </c>
      <c r="C2301" s="19">
        <v>0</v>
      </c>
      <c r="D2301" s="19">
        <v>0</v>
      </c>
      <c r="E2301" s="19">
        <v>0</v>
      </c>
      <c r="F2301" s="19">
        <v>0</v>
      </c>
      <c r="G2301" s="19">
        <v>0</v>
      </c>
      <c r="H2301" s="19">
        <v>0</v>
      </c>
      <c r="I2301" s="15">
        <v>3500</v>
      </c>
      <c r="J2301" s="15">
        <v>0</v>
      </c>
      <c r="K2301" s="15">
        <v>0</v>
      </c>
      <c r="L2301" s="15">
        <v>0</v>
      </c>
      <c r="M2301" s="15">
        <v>0</v>
      </c>
      <c r="N2301" s="15" t="str">
        <v/>
      </c>
      <c r="O2301" s="15" t="str">
        <v/>
      </c>
      <c r="P2301" s="22">
        <v>0</v>
      </c>
      <c r="Q2301">
        <v>0</v>
      </c>
    </row>
    <row r="2302" spans="1:17">
      <c r="A2302" s="19">
        <v>0</v>
      </c>
      <c r="B2302" s="19">
        <v>0</v>
      </c>
      <c r="C2302" s="19">
        <v>0</v>
      </c>
      <c r="D2302" s="19">
        <v>0</v>
      </c>
      <c r="E2302" s="19">
        <v>0</v>
      </c>
      <c r="F2302" s="19">
        <v>0</v>
      </c>
      <c r="G2302" s="19">
        <v>0</v>
      </c>
      <c r="H2302" s="19">
        <v>0</v>
      </c>
      <c r="I2302" s="15">
        <v>3500</v>
      </c>
      <c r="J2302" s="15">
        <v>0</v>
      </c>
      <c r="K2302" s="15">
        <v>0</v>
      </c>
      <c r="L2302" s="15">
        <v>0</v>
      </c>
      <c r="M2302" s="15">
        <v>0</v>
      </c>
      <c r="N2302" s="15" t="str">
        <v/>
      </c>
      <c r="O2302" s="15" t="str">
        <v/>
      </c>
      <c r="P2302" s="22">
        <v>0</v>
      </c>
      <c r="Q2302">
        <v>0</v>
      </c>
    </row>
    <row r="2303" spans="1:17">
      <c r="A2303" s="19">
        <v>0</v>
      </c>
      <c r="B2303" s="19">
        <v>0</v>
      </c>
      <c r="C2303" s="19">
        <v>0</v>
      </c>
      <c r="D2303" s="19">
        <v>0</v>
      </c>
      <c r="E2303" s="19">
        <v>0</v>
      </c>
      <c r="F2303" s="19">
        <v>0</v>
      </c>
      <c r="G2303" s="19">
        <v>0</v>
      </c>
      <c r="H2303" s="19">
        <v>0</v>
      </c>
      <c r="I2303" s="15">
        <v>3500</v>
      </c>
      <c r="J2303" s="15">
        <v>0</v>
      </c>
      <c r="K2303" s="15">
        <v>0</v>
      </c>
      <c r="L2303" s="15">
        <v>0</v>
      </c>
      <c r="M2303" s="15">
        <v>0</v>
      </c>
      <c r="N2303" s="15" t="str">
        <v/>
      </c>
      <c r="O2303" s="15" t="str">
        <v/>
      </c>
      <c r="P2303" s="22">
        <v>0</v>
      </c>
      <c r="Q2303">
        <v>0</v>
      </c>
    </row>
    <row r="2304" spans="1:17">
      <c r="A2304" s="19">
        <v>0</v>
      </c>
      <c r="B2304" s="19">
        <v>0</v>
      </c>
      <c r="C2304" s="19">
        <v>0</v>
      </c>
      <c r="D2304" s="19">
        <v>0</v>
      </c>
      <c r="E2304" s="19">
        <v>0</v>
      </c>
      <c r="F2304" s="19">
        <v>0</v>
      </c>
      <c r="G2304" s="19">
        <v>0</v>
      </c>
      <c r="H2304" s="19">
        <v>0</v>
      </c>
      <c r="I2304" s="15">
        <v>3500</v>
      </c>
      <c r="J2304" s="15">
        <v>0</v>
      </c>
      <c r="K2304" s="15">
        <v>0</v>
      </c>
      <c r="L2304" s="15">
        <v>0</v>
      </c>
      <c r="M2304" s="15">
        <v>0</v>
      </c>
      <c r="N2304" s="15" t="str">
        <v/>
      </c>
      <c r="O2304" s="15" t="str">
        <v/>
      </c>
      <c r="P2304" s="22">
        <v>0</v>
      </c>
      <c r="Q2304">
        <v>0</v>
      </c>
    </row>
    <row r="2305" spans="1:17">
      <c r="A2305" s="19">
        <v>0</v>
      </c>
      <c r="B2305" s="19">
        <v>0</v>
      </c>
      <c r="C2305" s="19">
        <v>0</v>
      </c>
      <c r="D2305" s="19">
        <v>0</v>
      </c>
      <c r="E2305" s="19">
        <v>0</v>
      </c>
      <c r="F2305" s="19">
        <v>0</v>
      </c>
      <c r="G2305" s="19">
        <v>0</v>
      </c>
      <c r="H2305" s="19">
        <v>0</v>
      </c>
      <c r="I2305" s="15">
        <v>3500</v>
      </c>
      <c r="J2305" s="15">
        <v>0</v>
      </c>
      <c r="K2305" s="15">
        <v>0</v>
      </c>
      <c r="L2305" s="15">
        <v>0</v>
      </c>
      <c r="M2305" s="15">
        <v>0</v>
      </c>
      <c r="N2305" s="15" t="str">
        <v/>
      </c>
      <c r="O2305" s="15" t="str">
        <v/>
      </c>
      <c r="P2305" s="22">
        <v>0</v>
      </c>
      <c r="Q2305">
        <v>0</v>
      </c>
    </row>
    <row r="2306" spans="1:17">
      <c r="A2306" s="19">
        <v>0</v>
      </c>
      <c r="B2306" s="19">
        <v>0</v>
      </c>
      <c r="C2306" s="19">
        <v>0</v>
      </c>
      <c r="D2306" s="19">
        <v>0</v>
      </c>
      <c r="E2306" s="19">
        <v>0</v>
      </c>
      <c r="F2306" s="19">
        <v>0</v>
      </c>
      <c r="G2306" s="19">
        <v>0</v>
      </c>
      <c r="H2306" s="19">
        <v>0</v>
      </c>
      <c r="I2306" s="15">
        <v>3500</v>
      </c>
      <c r="J2306" s="15">
        <v>0</v>
      </c>
      <c r="K2306" s="15">
        <v>0</v>
      </c>
      <c r="L2306" s="15">
        <v>0</v>
      </c>
      <c r="M2306" s="15">
        <v>0</v>
      </c>
      <c r="N2306" s="15" t="str">
        <v/>
      </c>
      <c r="O2306" s="15" t="str">
        <v/>
      </c>
      <c r="P2306" s="22">
        <v>0</v>
      </c>
      <c r="Q2306">
        <v>0</v>
      </c>
    </row>
    <row r="2307" spans="1:17">
      <c r="A2307" s="19">
        <v>0</v>
      </c>
      <c r="B2307" s="19">
        <v>0</v>
      </c>
      <c r="C2307" s="19">
        <v>0</v>
      </c>
      <c r="D2307" s="19">
        <v>0</v>
      </c>
      <c r="E2307" s="19">
        <v>0</v>
      </c>
      <c r="F2307" s="19">
        <v>0</v>
      </c>
      <c r="G2307" s="19">
        <v>0</v>
      </c>
      <c r="H2307" s="19">
        <v>0</v>
      </c>
      <c r="I2307" s="15">
        <v>3500</v>
      </c>
      <c r="J2307" s="15">
        <v>0</v>
      </c>
      <c r="K2307" s="15">
        <v>0</v>
      </c>
      <c r="L2307" s="15">
        <v>0</v>
      </c>
      <c r="M2307" s="15">
        <v>0</v>
      </c>
      <c r="N2307" s="15" t="str">
        <v/>
      </c>
      <c r="O2307" s="15" t="str">
        <v/>
      </c>
      <c r="P2307" s="22">
        <v>0</v>
      </c>
      <c r="Q2307">
        <v>0</v>
      </c>
    </row>
    <row r="2308" spans="1:17">
      <c r="A2308" s="19">
        <v>0</v>
      </c>
      <c r="B2308" s="19">
        <v>0</v>
      </c>
      <c r="C2308" s="19">
        <v>0</v>
      </c>
      <c r="D2308" s="19">
        <v>0</v>
      </c>
      <c r="E2308" s="19">
        <v>0</v>
      </c>
      <c r="F2308" s="19">
        <v>0</v>
      </c>
      <c r="G2308" s="19">
        <v>0</v>
      </c>
      <c r="H2308" s="19">
        <v>0</v>
      </c>
      <c r="I2308" s="15">
        <v>3500</v>
      </c>
      <c r="J2308" s="15">
        <v>0</v>
      </c>
      <c r="K2308" s="15">
        <v>0</v>
      </c>
      <c r="L2308" s="15">
        <v>0</v>
      </c>
      <c r="M2308" s="15">
        <v>0</v>
      </c>
      <c r="N2308" s="15" t="str">
        <v/>
      </c>
      <c r="O2308" s="15" t="str">
        <v/>
      </c>
      <c r="P2308" s="22">
        <v>0</v>
      </c>
      <c r="Q2308">
        <v>0</v>
      </c>
    </row>
    <row r="2309" spans="1:17">
      <c r="A2309" s="19">
        <v>0</v>
      </c>
      <c r="B2309" s="19">
        <v>0</v>
      </c>
      <c r="C2309" s="19">
        <v>0</v>
      </c>
      <c r="D2309" s="19">
        <v>0</v>
      </c>
      <c r="E2309" s="19">
        <v>0</v>
      </c>
      <c r="F2309" s="19">
        <v>0</v>
      </c>
      <c r="G2309" s="19">
        <v>0</v>
      </c>
      <c r="H2309" s="19">
        <v>0</v>
      </c>
      <c r="I2309" s="15">
        <v>3500</v>
      </c>
      <c r="J2309" s="15">
        <v>0</v>
      </c>
      <c r="K2309" s="15">
        <v>0</v>
      </c>
      <c r="L2309" s="15">
        <v>0</v>
      </c>
      <c r="M2309" s="15">
        <v>0</v>
      </c>
      <c r="N2309" s="15" t="str">
        <v/>
      </c>
      <c r="O2309" s="15" t="str">
        <v/>
      </c>
      <c r="P2309" s="22">
        <v>0</v>
      </c>
      <c r="Q2309">
        <v>0</v>
      </c>
    </row>
    <row r="2310" spans="1:17">
      <c r="A2310" s="19">
        <v>0</v>
      </c>
      <c r="B2310" s="19">
        <v>0</v>
      </c>
      <c r="C2310" s="19">
        <v>0</v>
      </c>
      <c r="D2310" s="19">
        <v>0</v>
      </c>
      <c r="E2310" s="19">
        <v>0</v>
      </c>
      <c r="F2310" s="19">
        <v>0</v>
      </c>
      <c r="G2310" s="19">
        <v>0</v>
      </c>
      <c r="H2310" s="19">
        <v>0</v>
      </c>
      <c r="I2310" s="15">
        <v>3500</v>
      </c>
      <c r="J2310" s="15">
        <v>0</v>
      </c>
      <c r="K2310" s="15">
        <v>0</v>
      </c>
      <c r="L2310" s="15">
        <v>0</v>
      </c>
      <c r="M2310" s="15">
        <v>0</v>
      </c>
      <c r="N2310" s="15" t="str">
        <v/>
      </c>
      <c r="O2310" s="15" t="str">
        <v/>
      </c>
      <c r="P2310" s="22">
        <v>0</v>
      </c>
      <c r="Q2310">
        <v>0</v>
      </c>
    </row>
    <row r="2311" spans="1:17">
      <c r="A2311" s="19">
        <v>0</v>
      </c>
      <c r="B2311" s="19">
        <v>0</v>
      </c>
      <c r="C2311" s="19">
        <v>0</v>
      </c>
      <c r="D2311" s="19">
        <v>0</v>
      </c>
      <c r="E2311" s="19">
        <v>0</v>
      </c>
      <c r="F2311" s="19">
        <v>0</v>
      </c>
      <c r="G2311" s="19">
        <v>0</v>
      </c>
      <c r="H2311" s="19">
        <v>0</v>
      </c>
      <c r="I2311" s="15">
        <v>3500</v>
      </c>
      <c r="J2311" s="15">
        <v>0</v>
      </c>
      <c r="K2311" s="15">
        <v>0</v>
      </c>
      <c r="L2311" s="15">
        <v>0</v>
      </c>
      <c r="M2311" s="15">
        <v>0</v>
      </c>
      <c r="N2311" s="15" t="str">
        <v/>
      </c>
      <c r="O2311" s="15" t="str">
        <v/>
      </c>
      <c r="P2311" s="22">
        <v>0</v>
      </c>
      <c r="Q2311">
        <v>0</v>
      </c>
    </row>
    <row r="2312" spans="1:17">
      <c r="A2312" s="19">
        <v>0</v>
      </c>
      <c r="B2312" s="19">
        <v>0</v>
      </c>
      <c r="C2312" s="19">
        <v>0</v>
      </c>
      <c r="D2312" s="19">
        <v>0</v>
      </c>
      <c r="E2312" s="19">
        <v>0</v>
      </c>
      <c r="F2312" s="19">
        <v>0</v>
      </c>
      <c r="G2312" s="19">
        <v>0</v>
      </c>
      <c r="H2312" s="19">
        <v>0</v>
      </c>
      <c r="I2312" s="15">
        <v>3500</v>
      </c>
      <c r="J2312" s="15">
        <v>0</v>
      </c>
      <c r="K2312" s="15">
        <v>0</v>
      </c>
      <c r="L2312" s="15">
        <v>0</v>
      </c>
      <c r="M2312" s="15">
        <v>0</v>
      </c>
      <c r="N2312" s="15" t="str">
        <v/>
      </c>
      <c r="O2312" s="15" t="str">
        <v/>
      </c>
      <c r="P2312" s="22">
        <v>0</v>
      </c>
      <c r="Q2312">
        <v>0</v>
      </c>
    </row>
    <row r="2313" spans="1:17">
      <c r="A2313" s="19">
        <v>0</v>
      </c>
      <c r="B2313" s="19">
        <v>0</v>
      </c>
      <c r="C2313" s="19">
        <v>0</v>
      </c>
      <c r="D2313" s="19">
        <v>0</v>
      </c>
      <c r="E2313" s="19">
        <v>0</v>
      </c>
      <c r="F2313" s="19">
        <v>0</v>
      </c>
      <c r="G2313" s="19">
        <v>0</v>
      </c>
      <c r="H2313" s="19">
        <v>0</v>
      </c>
      <c r="I2313" s="15">
        <v>3500</v>
      </c>
      <c r="J2313" s="15">
        <v>0</v>
      </c>
      <c r="K2313" s="15">
        <v>0</v>
      </c>
      <c r="L2313" s="15">
        <v>0</v>
      </c>
      <c r="M2313" s="15">
        <v>0</v>
      </c>
      <c r="N2313" s="15" t="str">
        <v/>
      </c>
      <c r="O2313" s="15" t="str">
        <v/>
      </c>
      <c r="P2313" s="22">
        <v>0</v>
      </c>
      <c r="Q2313">
        <v>0</v>
      </c>
    </row>
    <row r="2314" spans="1:17">
      <c r="A2314" s="19">
        <v>0</v>
      </c>
      <c r="B2314" s="19">
        <v>0</v>
      </c>
      <c r="C2314" s="19">
        <v>0</v>
      </c>
      <c r="D2314" s="19">
        <v>0</v>
      </c>
      <c r="E2314" s="19">
        <v>0</v>
      </c>
      <c r="F2314" s="19">
        <v>0</v>
      </c>
      <c r="G2314" s="19">
        <v>0</v>
      </c>
      <c r="H2314" s="19">
        <v>0</v>
      </c>
      <c r="I2314" s="15">
        <v>3500</v>
      </c>
      <c r="J2314" s="15">
        <v>0</v>
      </c>
      <c r="K2314" s="15">
        <v>0</v>
      </c>
      <c r="L2314" s="15">
        <v>0</v>
      </c>
      <c r="M2314" s="15">
        <v>0</v>
      </c>
      <c r="N2314" s="15" t="str">
        <v/>
      </c>
      <c r="O2314" s="15" t="str">
        <v/>
      </c>
      <c r="P2314" s="22">
        <v>0</v>
      </c>
      <c r="Q2314">
        <v>0</v>
      </c>
    </row>
    <row r="2315" spans="1:17">
      <c r="A2315" s="19">
        <v>0</v>
      </c>
      <c r="B2315" s="19">
        <v>0</v>
      </c>
      <c r="C2315" s="19">
        <v>0</v>
      </c>
      <c r="D2315" s="19">
        <v>0</v>
      </c>
      <c r="E2315" s="19">
        <v>0</v>
      </c>
      <c r="F2315" s="19">
        <v>0</v>
      </c>
      <c r="G2315" s="19">
        <v>0</v>
      </c>
      <c r="H2315" s="19">
        <v>0</v>
      </c>
      <c r="I2315" s="15">
        <v>3500</v>
      </c>
      <c r="J2315" s="15">
        <v>0</v>
      </c>
      <c r="K2315" s="15">
        <v>0</v>
      </c>
      <c r="L2315" s="15">
        <v>0</v>
      </c>
      <c r="M2315" s="15">
        <v>0</v>
      </c>
      <c r="N2315" s="15" t="str">
        <v/>
      </c>
      <c r="O2315" s="15" t="str">
        <v/>
      </c>
      <c r="P2315" s="22">
        <v>0</v>
      </c>
      <c r="Q2315">
        <v>0</v>
      </c>
    </row>
    <row r="2316" spans="1:17">
      <c r="A2316" s="19">
        <v>0</v>
      </c>
      <c r="B2316" s="19">
        <v>0</v>
      </c>
      <c r="C2316" s="19">
        <v>0</v>
      </c>
      <c r="D2316" s="19">
        <v>0</v>
      </c>
      <c r="E2316" s="19">
        <v>0</v>
      </c>
      <c r="F2316" s="19">
        <v>0</v>
      </c>
      <c r="G2316" s="19">
        <v>0</v>
      </c>
      <c r="H2316" s="19">
        <v>0</v>
      </c>
      <c r="I2316" s="15">
        <v>3500</v>
      </c>
      <c r="J2316" s="15">
        <v>0</v>
      </c>
      <c r="K2316" s="15">
        <v>0</v>
      </c>
      <c r="L2316" s="15">
        <v>0</v>
      </c>
      <c r="M2316" s="15">
        <v>0</v>
      </c>
      <c r="N2316" s="15" t="str">
        <v/>
      </c>
      <c r="O2316" s="15" t="str">
        <v/>
      </c>
      <c r="P2316" s="22">
        <v>0</v>
      </c>
      <c r="Q2316">
        <v>0</v>
      </c>
    </row>
    <row r="2317" spans="1:17">
      <c r="A2317" s="19">
        <v>0</v>
      </c>
      <c r="B2317" s="19">
        <v>0</v>
      </c>
      <c r="C2317" s="19">
        <v>0</v>
      </c>
      <c r="D2317" s="19">
        <v>0</v>
      </c>
      <c r="E2317" s="19">
        <v>0</v>
      </c>
      <c r="F2317" s="19">
        <v>0</v>
      </c>
      <c r="G2317" s="19">
        <v>0</v>
      </c>
      <c r="H2317" s="19">
        <v>0</v>
      </c>
      <c r="I2317" s="15">
        <v>3500</v>
      </c>
      <c r="J2317" s="15">
        <v>0</v>
      </c>
      <c r="K2317" s="15">
        <v>0</v>
      </c>
      <c r="L2317" s="15">
        <v>0</v>
      </c>
      <c r="M2317" s="15">
        <v>0</v>
      </c>
      <c r="N2317" s="15" t="str">
        <v/>
      </c>
      <c r="O2317" s="15" t="str">
        <v/>
      </c>
      <c r="P2317" s="22">
        <v>0</v>
      </c>
      <c r="Q2317">
        <v>0</v>
      </c>
    </row>
    <row r="2318" spans="1:17">
      <c r="A2318" s="19">
        <v>0</v>
      </c>
      <c r="B2318" s="19">
        <v>0</v>
      </c>
      <c r="C2318" s="19">
        <v>0</v>
      </c>
      <c r="D2318" s="19">
        <v>0</v>
      </c>
      <c r="E2318" s="19">
        <v>0</v>
      </c>
      <c r="F2318" s="19">
        <v>0</v>
      </c>
      <c r="G2318" s="19">
        <v>0</v>
      </c>
      <c r="H2318" s="19">
        <v>0</v>
      </c>
      <c r="I2318" s="15">
        <v>3500</v>
      </c>
      <c r="J2318" s="15">
        <v>0</v>
      </c>
      <c r="K2318" s="15">
        <v>0</v>
      </c>
      <c r="L2318" s="15">
        <v>0</v>
      </c>
      <c r="M2318" s="15">
        <v>0</v>
      </c>
      <c r="N2318" s="15" t="str">
        <v/>
      </c>
      <c r="O2318" s="15" t="str">
        <v/>
      </c>
      <c r="P2318" s="22">
        <v>0</v>
      </c>
      <c r="Q2318">
        <v>0</v>
      </c>
    </row>
    <row r="2319" spans="1:17">
      <c r="A2319" s="19">
        <v>0</v>
      </c>
      <c r="B2319" s="19">
        <v>0</v>
      </c>
      <c r="C2319" s="19">
        <v>0</v>
      </c>
      <c r="D2319" s="19">
        <v>0</v>
      </c>
      <c r="E2319" s="19">
        <v>0</v>
      </c>
      <c r="F2319" s="19">
        <v>0</v>
      </c>
      <c r="G2319" s="19">
        <v>0</v>
      </c>
      <c r="H2319" s="19">
        <v>0</v>
      </c>
      <c r="I2319" s="15">
        <v>3500</v>
      </c>
      <c r="J2319" s="15">
        <v>0</v>
      </c>
      <c r="K2319" s="15">
        <v>0</v>
      </c>
      <c r="L2319" s="15">
        <v>0</v>
      </c>
      <c r="M2319" s="15">
        <v>0</v>
      </c>
      <c r="N2319" s="15" t="str">
        <v/>
      </c>
      <c r="O2319" s="15" t="str">
        <v/>
      </c>
      <c r="P2319" s="22">
        <v>0</v>
      </c>
      <c r="Q2319">
        <v>0</v>
      </c>
    </row>
    <row r="2320" spans="1:17">
      <c r="A2320" s="19">
        <v>0</v>
      </c>
      <c r="B2320" s="19">
        <v>0</v>
      </c>
      <c r="C2320" s="19">
        <v>0</v>
      </c>
      <c r="D2320" s="19">
        <v>0</v>
      </c>
      <c r="E2320" s="19">
        <v>0</v>
      </c>
      <c r="F2320" s="19">
        <v>0</v>
      </c>
      <c r="G2320" s="19">
        <v>0</v>
      </c>
      <c r="H2320" s="19">
        <v>0</v>
      </c>
      <c r="I2320" s="15">
        <v>3500</v>
      </c>
      <c r="J2320" s="15">
        <v>0</v>
      </c>
      <c r="K2320" s="15">
        <v>0</v>
      </c>
      <c r="L2320" s="15">
        <v>0</v>
      </c>
      <c r="M2320" s="15">
        <v>0</v>
      </c>
      <c r="N2320" s="15" t="str">
        <v/>
      </c>
      <c r="O2320" s="15" t="str">
        <v/>
      </c>
      <c r="P2320" s="22">
        <v>0</v>
      </c>
      <c r="Q2320">
        <v>0</v>
      </c>
    </row>
    <row r="2321" spans="1:17">
      <c r="A2321" s="19">
        <v>0</v>
      </c>
      <c r="B2321" s="19">
        <v>0</v>
      </c>
      <c r="C2321" s="19">
        <v>0</v>
      </c>
      <c r="D2321" s="19">
        <v>0</v>
      </c>
      <c r="E2321" s="19">
        <v>0</v>
      </c>
      <c r="F2321" s="19">
        <v>0</v>
      </c>
      <c r="G2321" s="19">
        <v>0</v>
      </c>
      <c r="H2321" s="19">
        <v>0</v>
      </c>
      <c r="I2321" s="15">
        <v>3500</v>
      </c>
      <c r="J2321" s="15">
        <v>0</v>
      </c>
      <c r="K2321" s="15">
        <v>0</v>
      </c>
      <c r="L2321" s="15">
        <v>0</v>
      </c>
      <c r="M2321" s="15">
        <v>0</v>
      </c>
      <c r="N2321" s="15" t="str">
        <v/>
      </c>
      <c r="O2321" s="15" t="str">
        <v/>
      </c>
      <c r="P2321" s="22">
        <v>0</v>
      </c>
      <c r="Q2321">
        <v>0</v>
      </c>
    </row>
    <row r="2322" spans="1:17">
      <c r="A2322" s="19">
        <v>0</v>
      </c>
      <c r="B2322" s="19">
        <v>0</v>
      </c>
      <c r="C2322" s="19">
        <v>0</v>
      </c>
      <c r="D2322" s="19">
        <v>0</v>
      </c>
      <c r="E2322" s="19">
        <v>0</v>
      </c>
      <c r="F2322" s="19">
        <v>0</v>
      </c>
      <c r="G2322" s="19">
        <v>0</v>
      </c>
      <c r="H2322" s="19">
        <v>0</v>
      </c>
      <c r="I2322" s="15">
        <v>3500</v>
      </c>
      <c r="J2322" s="15">
        <v>0</v>
      </c>
      <c r="K2322" s="15">
        <v>0</v>
      </c>
      <c r="L2322" s="15">
        <v>0</v>
      </c>
      <c r="M2322" s="15">
        <v>0</v>
      </c>
      <c r="N2322" s="15" t="str">
        <v/>
      </c>
      <c r="O2322" s="15" t="str">
        <v/>
      </c>
      <c r="P2322" s="22">
        <v>0</v>
      </c>
      <c r="Q2322">
        <v>0</v>
      </c>
    </row>
    <row r="2323" spans="1:17">
      <c r="A2323" s="19">
        <v>0</v>
      </c>
      <c r="B2323" s="19">
        <v>0</v>
      </c>
      <c r="C2323" s="19">
        <v>0</v>
      </c>
      <c r="D2323" s="19">
        <v>0</v>
      </c>
      <c r="E2323" s="19">
        <v>0</v>
      </c>
      <c r="F2323" s="19">
        <v>0</v>
      </c>
      <c r="G2323" s="19">
        <v>0</v>
      </c>
      <c r="H2323" s="19">
        <v>0</v>
      </c>
      <c r="I2323" s="15">
        <v>3500</v>
      </c>
      <c r="J2323" s="15">
        <v>0</v>
      </c>
      <c r="K2323" s="15">
        <v>0</v>
      </c>
      <c r="L2323" s="15">
        <v>0</v>
      </c>
      <c r="M2323" s="15">
        <v>0</v>
      </c>
      <c r="N2323" s="15" t="str">
        <v/>
      </c>
      <c r="O2323" s="15" t="str">
        <v/>
      </c>
      <c r="P2323" s="22">
        <v>0</v>
      </c>
      <c r="Q2323">
        <v>0</v>
      </c>
    </row>
    <row r="2324" spans="1:17">
      <c r="A2324" s="19">
        <v>0</v>
      </c>
      <c r="B2324" s="19">
        <v>0</v>
      </c>
      <c r="C2324" s="19">
        <v>0</v>
      </c>
      <c r="D2324" s="19">
        <v>0</v>
      </c>
      <c r="E2324" s="19">
        <v>0</v>
      </c>
      <c r="F2324" s="19">
        <v>0</v>
      </c>
      <c r="G2324" s="19">
        <v>0</v>
      </c>
      <c r="H2324" s="19">
        <v>0</v>
      </c>
      <c r="I2324" s="15">
        <v>3500</v>
      </c>
      <c r="J2324" s="15">
        <v>0</v>
      </c>
      <c r="K2324" s="15">
        <v>0</v>
      </c>
      <c r="L2324" s="15">
        <v>0</v>
      </c>
      <c r="M2324" s="15">
        <v>0</v>
      </c>
      <c r="N2324" s="15" t="str">
        <v/>
      </c>
      <c r="O2324" s="15" t="str">
        <v/>
      </c>
      <c r="P2324" s="22">
        <v>0</v>
      </c>
      <c r="Q2324">
        <v>0</v>
      </c>
    </row>
    <row r="2325" spans="1:17">
      <c r="A2325" s="19">
        <v>0</v>
      </c>
      <c r="B2325" s="19">
        <v>0</v>
      </c>
      <c r="C2325" s="19">
        <v>0</v>
      </c>
      <c r="D2325" s="19">
        <v>0</v>
      </c>
      <c r="E2325" s="19">
        <v>0</v>
      </c>
      <c r="F2325" s="19">
        <v>0</v>
      </c>
      <c r="G2325" s="19">
        <v>0</v>
      </c>
      <c r="H2325" s="19">
        <v>0</v>
      </c>
      <c r="I2325" s="15">
        <v>3500</v>
      </c>
      <c r="J2325" s="15">
        <v>0</v>
      </c>
      <c r="K2325" s="15">
        <v>0</v>
      </c>
      <c r="L2325" s="15">
        <v>0</v>
      </c>
      <c r="M2325" s="15">
        <v>0</v>
      </c>
      <c r="N2325" s="15" t="str">
        <v/>
      </c>
      <c r="O2325" s="15" t="str">
        <v/>
      </c>
      <c r="P2325" s="22">
        <v>0</v>
      </c>
      <c r="Q2325">
        <v>0</v>
      </c>
    </row>
    <row r="2326" spans="1:17">
      <c r="A2326" s="19">
        <v>0</v>
      </c>
      <c r="B2326" s="19">
        <v>0</v>
      </c>
      <c r="C2326" s="19">
        <v>0</v>
      </c>
      <c r="D2326" s="19">
        <v>0</v>
      </c>
      <c r="E2326" s="19">
        <v>0</v>
      </c>
      <c r="F2326" s="19">
        <v>0</v>
      </c>
      <c r="G2326" s="19">
        <v>0</v>
      </c>
      <c r="H2326" s="19">
        <v>0</v>
      </c>
      <c r="I2326" s="15">
        <v>3500</v>
      </c>
      <c r="J2326" s="15">
        <v>0</v>
      </c>
      <c r="K2326" s="15">
        <v>0</v>
      </c>
      <c r="L2326" s="15">
        <v>0</v>
      </c>
      <c r="M2326" s="15">
        <v>0</v>
      </c>
      <c r="N2326" s="15" t="str">
        <v/>
      </c>
      <c r="O2326" s="15" t="str">
        <v/>
      </c>
      <c r="P2326" s="22">
        <v>0</v>
      </c>
      <c r="Q2326">
        <v>0</v>
      </c>
    </row>
    <row r="2327" spans="1:17">
      <c r="A2327" s="19">
        <v>0</v>
      </c>
      <c r="B2327" s="19">
        <v>0</v>
      </c>
      <c r="C2327" s="19">
        <v>0</v>
      </c>
      <c r="D2327" s="19">
        <v>0</v>
      </c>
      <c r="E2327" s="19">
        <v>0</v>
      </c>
      <c r="F2327" s="19">
        <v>0</v>
      </c>
      <c r="G2327" s="19">
        <v>0</v>
      </c>
      <c r="H2327" s="19">
        <v>0</v>
      </c>
      <c r="I2327" s="15">
        <v>3500</v>
      </c>
      <c r="J2327" s="15">
        <v>0</v>
      </c>
      <c r="K2327" s="15">
        <v>0</v>
      </c>
      <c r="L2327" s="15">
        <v>0</v>
      </c>
      <c r="M2327" s="15">
        <v>0</v>
      </c>
      <c r="N2327" s="15" t="str">
        <v/>
      </c>
      <c r="O2327" s="15" t="str">
        <v/>
      </c>
      <c r="P2327" s="22">
        <v>0</v>
      </c>
      <c r="Q2327">
        <v>0</v>
      </c>
    </row>
    <row r="2328" spans="1:17">
      <c r="A2328" s="19">
        <v>0</v>
      </c>
      <c r="B2328" s="19">
        <v>0</v>
      </c>
      <c r="C2328" s="19">
        <v>0</v>
      </c>
      <c r="D2328" s="19">
        <v>0</v>
      </c>
      <c r="E2328" s="19">
        <v>0</v>
      </c>
      <c r="F2328" s="19">
        <v>0</v>
      </c>
      <c r="G2328" s="19">
        <v>0</v>
      </c>
      <c r="H2328" s="19">
        <v>0</v>
      </c>
      <c r="I2328" s="15">
        <v>3500</v>
      </c>
      <c r="J2328" s="15">
        <v>0</v>
      </c>
      <c r="K2328" s="15">
        <v>0</v>
      </c>
      <c r="L2328" s="15">
        <v>0</v>
      </c>
      <c r="M2328" s="15">
        <v>0</v>
      </c>
      <c r="N2328" s="15" t="str">
        <v/>
      </c>
      <c r="O2328" s="15" t="str">
        <v/>
      </c>
      <c r="P2328" s="22">
        <v>0</v>
      </c>
      <c r="Q2328">
        <v>0</v>
      </c>
    </row>
    <row r="2329" spans="1:17">
      <c r="A2329" s="19">
        <v>0</v>
      </c>
      <c r="B2329" s="19">
        <v>0</v>
      </c>
      <c r="C2329" s="19">
        <v>0</v>
      </c>
      <c r="D2329" s="19">
        <v>0</v>
      </c>
      <c r="E2329" s="19">
        <v>0</v>
      </c>
      <c r="F2329" s="19">
        <v>0</v>
      </c>
      <c r="G2329" s="19">
        <v>0</v>
      </c>
      <c r="H2329" s="19">
        <v>0</v>
      </c>
      <c r="I2329" s="15">
        <v>3500</v>
      </c>
      <c r="J2329" s="15">
        <v>0</v>
      </c>
      <c r="K2329" s="15">
        <v>0</v>
      </c>
      <c r="L2329" s="15">
        <v>0</v>
      </c>
      <c r="M2329" s="15">
        <v>0</v>
      </c>
      <c r="N2329" s="15" t="str">
        <v/>
      </c>
      <c r="O2329" s="15" t="str">
        <v/>
      </c>
      <c r="P2329" s="22">
        <v>0</v>
      </c>
      <c r="Q2329">
        <v>0</v>
      </c>
    </row>
    <row r="2330" spans="1:17">
      <c r="A2330" s="19">
        <v>0</v>
      </c>
      <c r="B2330" s="19">
        <v>0</v>
      </c>
      <c r="C2330" s="19">
        <v>0</v>
      </c>
      <c r="D2330" s="19">
        <v>0</v>
      </c>
      <c r="E2330" s="19">
        <v>0</v>
      </c>
      <c r="F2330" s="19">
        <v>0</v>
      </c>
      <c r="G2330" s="19">
        <v>0</v>
      </c>
      <c r="H2330" s="19">
        <v>0</v>
      </c>
      <c r="I2330" s="15">
        <v>3500</v>
      </c>
      <c r="J2330" s="15">
        <v>0</v>
      </c>
      <c r="K2330" s="15">
        <v>0</v>
      </c>
      <c r="L2330" s="15">
        <v>0</v>
      </c>
      <c r="M2330" s="15">
        <v>0</v>
      </c>
      <c r="N2330" s="15" t="str">
        <v/>
      </c>
      <c r="O2330" s="15" t="str">
        <v/>
      </c>
      <c r="P2330" s="22">
        <v>0</v>
      </c>
      <c r="Q2330">
        <v>0</v>
      </c>
    </row>
    <row r="2331" spans="1:17">
      <c r="A2331" s="19">
        <v>0</v>
      </c>
      <c r="B2331" s="19">
        <v>0</v>
      </c>
      <c r="C2331" s="19">
        <v>0</v>
      </c>
      <c r="D2331" s="19">
        <v>0</v>
      </c>
      <c r="E2331" s="19">
        <v>0</v>
      </c>
      <c r="F2331" s="19">
        <v>0</v>
      </c>
      <c r="G2331" s="19">
        <v>0</v>
      </c>
      <c r="H2331" s="19">
        <v>0</v>
      </c>
      <c r="I2331" s="15">
        <v>3500</v>
      </c>
      <c r="J2331" s="15">
        <v>0</v>
      </c>
      <c r="K2331" s="15">
        <v>0</v>
      </c>
      <c r="L2331" s="15">
        <v>0</v>
      </c>
      <c r="M2331" s="15">
        <v>0</v>
      </c>
      <c r="N2331" s="15" t="str">
        <v/>
      </c>
      <c r="O2331" s="15" t="str">
        <v/>
      </c>
      <c r="P2331" s="22">
        <v>0</v>
      </c>
      <c r="Q2331">
        <v>0</v>
      </c>
    </row>
    <row r="2332" spans="1:17">
      <c r="A2332" s="19">
        <v>0</v>
      </c>
      <c r="B2332" s="19">
        <v>0</v>
      </c>
      <c r="C2332" s="19">
        <v>0</v>
      </c>
      <c r="D2332" s="19">
        <v>0</v>
      </c>
      <c r="E2332" s="19">
        <v>0</v>
      </c>
      <c r="F2332" s="19">
        <v>0</v>
      </c>
      <c r="G2332" s="19">
        <v>0</v>
      </c>
      <c r="H2332" s="19">
        <v>0</v>
      </c>
      <c r="I2332" s="15">
        <v>3500</v>
      </c>
      <c r="J2332" s="15">
        <v>0</v>
      </c>
      <c r="K2332" s="15">
        <v>0</v>
      </c>
      <c r="L2332" s="15">
        <v>0</v>
      </c>
      <c r="M2332" s="15">
        <v>0</v>
      </c>
      <c r="N2332" s="15" t="str">
        <v/>
      </c>
      <c r="O2332" s="15" t="str">
        <v/>
      </c>
      <c r="P2332" s="22">
        <v>0</v>
      </c>
      <c r="Q2332">
        <v>0</v>
      </c>
    </row>
    <row r="2333" spans="1:17">
      <c r="A2333" s="19">
        <v>0</v>
      </c>
      <c r="B2333" s="19">
        <v>0</v>
      </c>
      <c r="C2333" s="19">
        <v>0</v>
      </c>
      <c r="D2333" s="19">
        <v>0</v>
      </c>
      <c r="E2333" s="19">
        <v>0</v>
      </c>
      <c r="F2333" s="19">
        <v>0</v>
      </c>
      <c r="G2333" s="19">
        <v>0</v>
      </c>
      <c r="H2333" s="19">
        <v>0</v>
      </c>
      <c r="I2333" s="15">
        <v>3500</v>
      </c>
      <c r="J2333" s="15">
        <v>0</v>
      </c>
      <c r="K2333" s="15">
        <v>0</v>
      </c>
      <c r="L2333" s="15">
        <v>0</v>
      </c>
      <c r="M2333" s="15">
        <v>0</v>
      </c>
      <c r="N2333" s="15" t="str">
        <v/>
      </c>
      <c r="O2333" s="15" t="str">
        <v/>
      </c>
      <c r="P2333" s="22">
        <v>0</v>
      </c>
      <c r="Q2333">
        <v>0</v>
      </c>
    </row>
    <row r="2334" spans="1:17">
      <c r="A2334" s="19">
        <v>0</v>
      </c>
      <c r="B2334" s="19">
        <v>0</v>
      </c>
      <c r="C2334" s="19">
        <v>0</v>
      </c>
      <c r="D2334" s="19">
        <v>0</v>
      </c>
      <c r="E2334" s="19">
        <v>0</v>
      </c>
      <c r="F2334" s="19">
        <v>0</v>
      </c>
      <c r="G2334" s="19">
        <v>0</v>
      </c>
      <c r="H2334" s="19">
        <v>0</v>
      </c>
      <c r="I2334" s="15">
        <v>3500</v>
      </c>
      <c r="J2334" s="15">
        <v>0</v>
      </c>
      <c r="K2334" s="15">
        <v>0</v>
      </c>
      <c r="L2334" s="15">
        <v>0</v>
      </c>
      <c r="M2334" s="15">
        <v>0</v>
      </c>
      <c r="N2334" s="15" t="str">
        <v/>
      </c>
      <c r="O2334" s="15" t="str">
        <v/>
      </c>
      <c r="P2334" s="22">
        <v>0</v>
      </c>
      <c r="Q2334">
        <v>0</v>
      </c>
    </row>
    <row r="2335" spans="1:17">
      <c r="A2335" s="19">
        <v>0</v>
      </c>
      <c r="B2335" s="19">
        <v>0</v>
      </c>
      <c r="C2335" s="19">
        <v>0</v>
      </c>
      <c r="D2335" s="19">
        <v>0</v>
      </c>
      <c r="E2335" s="19">
        <v>0</v>
      </c>
      <c r="F2335" s="19">
        <v>0</v>
      </c>
      <c r="G2335" s="19">
        <v>0</v>
      </c>
      <c r="H2335" s="19">
        <v>0</v>
      </c>
      <c r="I2335" s="15">
        <v>3500</v>
      </c>
      <c r="J2335" s="15">
        <v>0</v>
      </c>
      <c r="K2335" s="15">
        <v>0</v>
      </c>
      <c r="L2335" s="15">
        <v>0</v>
      </c>
      <c r="M2335" s="15">
        <v>0</v>
      </c>
      <c r="N2335" s="15" t="str">
        <v/>
      </c>
      <c r="O2335" s="15" t="str">
        <v/>
      </c>
      <c r="P2335" s="22">
        <v>0</v>
      </c>
      <c r="Q2335">
        <v>0</v>
      </c>
    </row>
    <row r="2336" spans="1:17">
      <c r="A2336" s="19">
        <v>0</v>
      </c>
      <c r="B2336" s="19">
        <v>0</v>
      </c>
      <c r="C2336" s="19">
        <v>0</v>
      </c>
      <c r="D2336" s="19">
        <v>0</v>
      </c>
      <c r="E2336" s="19">
        <v>0</v>
      </c>
      <c r="F2336" s="19">
        <v>0</v>
      </c>
      <c r="G2336" s="19">
        <v>0</v>
      </c>
      <c r="H2336" s="19">
        <v>0</v>
      </c>
      <c r="I2336" s="15">
        <v>3500</v>
      </c>
      <c r="J2336" s="15">
        <v>0</v>
      </c>
      <c r="K2336" s="15">
        <v>0</v>
      </c>
      <c r="L2336" s="15">
        <v>0</v>
      </c>
      <c r="M2336" s="15">
        <v>0</v>
      </c>
      <c r="N2336" s="15" t="str">
        <v/>
      </c>
      <c r="O2336" s="15" t="str">
        <v/>
      </c>
      <c r="P2336" s="22">
        <v>0</v>
      </c>
      <c r="Q2336">
        <v>0</v>
      </c>
    </row>
    <row r="2337" spans="1:17">
      <c r="A2337" s="19">
        <v>0</v>
      </c>
      <c r="B2337" s="19">
        <v>0</v>
      </c>
      <c r="C2337" s="19">
        <v>0</v>
      </c>
      <c r="D2337" s="19">
        <v>0</v>
      </c>
      <c r="E2337" s="19">
        <v>0</v>
      </c>
      <c r="F2337" s="19">
        <v>0</v>
      </c>
      <c r="G2337" s="19">
        <v>0</v>
      </c>
      <c r="H2337" s="19">
        <v>0</v>
      </c>
      <c r="I2337" s="15">
        <v>3500</v>
      </c>
      <c r="J2337" s="15">
        <v>0</v>
      </c>
      <c r="K2337" s="15">
        <v>0</v>
      </c>
      <c r="L2337" s="15">
        <v>0</v>
      </c>
      <c r="M2337" s="15">
        <v>0</v>
      </c>
      <c r="N2337" s="15" t="str">
        <v/>
      </c>
      <c r="O2337" s="15" t="str">
        <v/>
      </c>
      <c r="P2337" s="22">
        <v>0</v>
      </c>
      <c r="Q2337">
        <v>0</v>
      </c>
    </row>
    <row r="2338" spans="1:17">
      <c r="A2338" s="19">
        <v>0</v>
      </c>
      <c r="B2338" s="19">
        <v>0</v>
      </c>
      <c r="C2338" s="19">
        <v>0</v>
      </c>
      <c r="D2338" s="19">
        <v>0</v>
      </c>
      <c r="E2338" s="19">
        <v>0</v>
      </c>
      <c r="F2338" s="19">
        <v>0</v>
      </c>
      <c r="G2338" s="19">
        <v>0</v>
      </c>
      <c r="H2338" s="19">
        <v>0</v>
      </c>
      <c r="I2338" s="15">
        <v>3500</v>
      </c>
      <c r="J2338" s="15">
        <v>0</v>
      </c>
      <c r="K2338" s="15">
        <v>0</v>
      </c>
      <c r="L2338" s="15">
        <v>0</v>
      </c>
      <c r="M2338" s="15">
        <v>0</v>
      </c>
      <c r="N2338" s="15" t="str">
        <v/>
      </c>
      <c r="O2338" s="15" t="str">
        <v/>
      </c>
      <c r="P2338" s="22">
        <v>0</v>
      </c>
      <c r="Q2338">
        <v>0</v>
      </c>
    </row>
    <row r="2339" spans="1:17">
      <c r="A2339" s="19">
        <v>0</v>
      </c>
      <c r="B2339" s="19">
        <v>0</v>
      </c>
      <c r="C2339" s="19">
        <v>0</v>
      </c>
      <c r="D2339" s="19">
        <v>0</v>
      </c>
      <c r="E2339" s="19">
        <v>0</v>
      </c>
      <c r="F2339" s="19">
        <v>0</v>
      </c>
      <c r="G2339" s="19">
        <v>0</v>
      </c>
      <c r="H2339" s="19">
        <v>0</v>
      </c>
      <c r="I2339" s="15">
        <v>3500</v>
      </c>
      <c r="J2339" s="15">
        <v>0</v>
      </c>
      <c r="K2339" s="15">
        <v>0</v>
      </c>
      <c r="L2339" s="15">
        <v>0</v>
      </c>
      <c r="M2339" s="15">
        <v>0</v>
      </c>
      <c r="N2339" s="15" t="str">
        <v/>
      </c>
      <c r="O2339" s="15" t="str">
        <v/>
      </c>
      <c r="P2339" s="22">
        <v>0</v>
      </c>
      <c r="Q2339">
        <v>0</v>
      </c>
    </row>
    <row r="2340" spans="1:17">
      <c r="A2340" s="19">
        <v>0</v>
      </c>
      <c r="B2340" s="19">
        <v>0</v>
      </c>
      <c r="C2340" s="19">
        <v>0</v>
      </c>
      <c r="D2340" s="19">
        <v>0</v>
      </c>
      <c r="E2340" s="19">
        <v>0</v>
      </c>
      <c r="F2340" s="19">
        <v>0</v>
      </c>
      <c r="G2340" s="19">
        <v>0</v>
      </c>
      <c r="H2340" s="19">
        <v>0</v>
      </c>
      <c r="I2340" s="15">
        <v>3500</v>
      </c>
      <c r="J2340" s="15">
        <v>0</v>
      </c>
      <c r="K2340" s="15">
        <v>0</v>
      </c>
      <c r="L2340" s="15">
        <v>0</v>
      </c>
      <c r="M2340" s="15">
        <v>0</v>
      </c>
      <c r="N2340" s="15" t="str">
        <v/>
      </c>
      <c r="O2340" s="15" t="str">
        <v/>
      </c>
      <c r="P2340" s="22">
        <v>0</v>
      </c>
      <c r="Q2340">
        <v>0</v>
      </c>
    </row>
    <row r="2341" spans="1:17">
      <c r="A2341" s="19">
        <v>0</v>
      </c>
      <c r="B2341" s="19">
        <v>0</v>
      </c>
      <c r="C2341" s="19">
        <v>0</v>
      </c>
      <c r="D2341" s="19">
        <v>0</v>
      </c>
      <c r="E2341" s="19">
        <v>0</v>
      </c>
      <c r="F2341" s="19">
        <v>0</v>
      </c>
      <c r="G2341" s="19">
        <v>0</v>
      </c>
      <c r="H2341" s="19">
        <v>0</v>
      </c>
      <c r="I2341" s="15">
        <v>3500</v>
      </c>
      <c r="J2341" s="15">
        <v>0</v>
      </c>
      <c r="K2341" s="15">
        <v>0</v>
      </c>
      <c r="L2341" s="15">
        <v>0</v>
      </c>
      <c r="M2341" s="15">
        <v>0</v>
      </c>
      <c r="N2341" s="15" t="str">
        <v/>
      </c>
      <c r="O2341" s="15" t="str">
        <v/>
      </c>
      <c r="P2341" s="22">
        <v>0</v>
      </c>
      <c r="Q2341">
        <v>0</v>
      </c>
    </row>
    <row r="2342" spans="1:17">
      <c r="A2342" s="19">
        <v>0</v>
      </c>
      <c r="B2342" s="19">
        <v>0</v>
      </c>
      <c r="C2342" s="19">
        <v>0</v>
      </c>
      <c r="D2342" s="19">
        <v>0</v>
      </c>
      <c r="E2342" s="19">
        <v>0</v>
      </c>
      <c r="F2342" s="19">
        <v>0</v>
      </c>
      <c r="G2342" s="19">
        <v>0</v>
      </c>
      <c r="H2342" s="19">
        <v>0</v>
      </c>
      <c r="I2342" s="15">
        <v>3500</v>
      </c>
      <c r="J2342" s="15">
        <v>0</v>
      </c>
      <c r="K2342" s="15">
        <v>0</v>
      </c>
      <c r="L2342" s="15">
        <v>0</v>
      </c>
      <c r="M2342" s="15">
        <v>0</v>
      </c>
      <c r="N2342" s="15" t="str">
        <v/>
      </c>
      <c r="O2342" s="15" t="str">
        <v/>
      </c>
      <c r="P2342" s="22">
        <v>0</v>
      </c>
      <c r="Q2342">
        <v>0</v>
      </c>
    </row>
    <row r="2343" spans="1:17">
      <c r="A2343" s="19">
        <v>0</v>
      </c>
      <c r="B2343" s="19">
        <v>0</v>
      </c>
      <c r="C2343" s="19">
        <v>0</v>
      </c>
      <c r="D2343" s="19">
        <v>0</v>
      </c>
      <c r="E2343" s="19">
        <v>0</v>
      </c>
      <c r="F2343" s="19">
        <v>0</v>
      </c>
      <c r="G2343" s="19">
        <v>0</v>
      </c>
      <c r="H2343" s="19">
        <v>0</v>
      </c>
      <c r="I2343" s="15">
        <v>3500</v>
      </c>
      <c r="J2343" s="15">
        <v>0</v>
      </c>
      <c r="K2343" s="15">
        <v>0</v>
      </c>
      <c r="L2343" s="15">
        <v>0</v>
      </c>
      <c r="M2343" s="15">
        <v>0</v>
      </c>
      <c r="N2343" s="15" t="str">
        <v/>
      </c>
      <c r="O2343" s="15" t="str">
        <v/>
      </c>
      <c r="P2343" s="22">
        <v>0</v>
      </c>
      <c r="Q2343">
        <v>0</v>
      </c>
    </row>
    <row r="2344" spans="1:17">
      <c r="A2344" s="19">
        <v>0</v>
      </c>
      <c r="B2344" s="19">
        <v>0</v>
      </c>
      <c r="C2344" s="19">
        <v>0</v>
      </c>
      <c r="D2344" s="19">
        <v>0</v>
      </c>
      <c r="E2344" s="19">
        <v>0</v>
      </c>
      <c r="F2344" s="19">
        <v>0</v>
      </c>
      <c r="G2344" s="19">
        <v>0</v>
      </c>
      <c r="H2344" s="19">
        <v>0</v>
      </c>
      <c r="I2344" s="15">
        <v>3500</v>
      </c>
      <c r="J2344" s="15">
        <v>0</v>
      </c>
      <c r="K2344" s="15">
        <v>0</v>
      </c>
      <c r="L2344" s="15">
        <v>0</v>
      </c>
      <c r="M2344" s="15">
        <v>0</v>
      </c>
      <c r="N2344" s="15" t="str">
        <v/>
      </c>
      <c r="O2344" s="15" t="str">
        <v/>
      </c>
      <c r="P2344" s="22">
        <v>0</v>
      </c>
      <c r="Q2344">
        <v>0</v>
      </c>
    </row>
    <row r="2345" spans="1:17">
      <c r="A2345" s="19">
        <v>0</v>
      </c>
      <c r="B2345" s="19">
        <v>0</v>
      </c>
      <c r="C2345" s="19">
        <v>0</v>
      </c>
      <c r="D2345" s="19">
        <v>0</v>
      </c>
      <c r="E2345" s="19">
        <v>0</v>
      </c>
      <c r="F2345" s="19">
        <v>0</v>
      </c>
      <c r="G2345" s="19">
        <v>0</v>
      </c>
      <c r="H2345" s="19">
        <v>0</v>
      </c>
      <c r="I2345" s="15">
        <v>3500</v>
      </c>
      <c r="J2345" s="15">
        <v>0</v>
      </c>
      <c r="K2345" s="15">
        <v>0</v>
      </c>
      <c r="L2345" s="15">
        <v>0</v>
      </c>
      <c r="M2345" s="15">
        <v>0</v>
      </c>
      <c r="N2345" s="15" t="str">
        <v/>
      </c>
      <c r="O2345" s="15" t="str">
        <v/>
      </c>
      <c r="P2345" s="22">
        <v>0</v>
      </c>
      <c r="Q2345">
        <v>0</v>
      </c>
    </row>
    <row r="2346" spans="1:17">
      <c r="A2346" s="19">
        <v>0</v>
      </c>
      <c r="B2346" s="19">
        <v>0</v>
      </c>
      <c r="C2346" s="19">
        <v>0</v>
      </c>
      <c r="D2346" s="19">
        <v>0</v>
      </c>
      <c r="E2346" s="19">
        <v>0</v>
      </c>
      <c r="F2346" s="19">
        <v>0</v>
      </c>
      <c r="G2346" s="19">
        <v>0</v>
      </c>
      <c r="H2346" s="19">
        <v>0</v>
      </c>
      <c r="I2346" s="15">
        <v>3500</v>
      </c>
      <c r="J2346" s="15">
        <v>0</v>
      </c>
      <c r="K2346" s="15">
        <v>0</v>
      </c>
      <c r="L2346" s="15">
        <v>0</v>
      </c>
      <c r="M2346" s="15">
        <v>0</v>
      </c>
      <c r="N2346" s="15" t="str">
        <v/>
      </c>
      <c r="O2346" s="15" t="str">
        <v/>
      </c>
      <c r="P2346" s="22">
        <v>0</v>
      </c>
      <c r="Q2346">
        <v>0</v>
      </c>
    </row>
    <row r="2347" spans="1:17">
      <c r="A2347" s="19">
        <v>0</v>
      </c>
      <c r="B2347" s="19">
        <v>0</v>
      </c>
      <c r="C2347" s="19">
        <v>0</v>
      </c>
      <c r="D2347" s="19">
        <v>0</v>
      </c>
      <c r="E2347" s="19">
        <v>0</v>
      </c>
      <c r="F2347" s="19">
        <v>0</v>
      </c>
      <c r="G2347" s="19">
        <v>0</v>
      </c>
      <c r="H2347" s="19">
        <v>0</v>
      </c>
      <c r="I2347" s="15">
        <v>3500</v>
      </c>
      <c r="J2347" s="15">
        <v>0</v>
      </c>
      <c r="K2347" s="15">
        <v>0</v>
      </c>
      <c r="L2347" s="15">
        <v>0</v>
      </c>
      <c r="M2347" s="15">
        <v>0</v>
      </c>
      <c r="N2347" s="15" t="str">
        <v/>
      </c>
      <c r="O2347" s="15" t="str">
        <v/>
      </c>
      <c r="P2347" s="22">
        <v>0</v>
      </c>
      <c r="Q2347">
        <v>0</v>
      </c>
    </row>
    <row r="2348" spans="1:17">
      <c r="A2348" s="19">
        <v>0</v>
      </c>
      <c r="B2348" s="19">
        <v>0</v>
      </c>
      <c r="C2348" s="19">
        <v>0</v>
      </c>
      <c r="D2348" s="19">
        <v>0</v>
      </c>
      <c r="E2348" s="19">
        <v>0</v>
      </c>
      <c r="F2348" s="19">
        <v>0</v>
      </c>
      <c r="G2348" s="19">
        <v>0</v>
      </c>
      <c r="H2348" s="19">
        <v>0</v>
      </c>
      <c r="I2348" s="15">
        <v>3500</v>
      </c>
      <c r="J2348" s="15">
        <v>0</v>
      </c>
      <c r="K2348" s="15">
        <v>0</v>
      </c>
      <c r="L2348" s="15">
        <v>0</v>
      </c>
      <c r="M2348" s="15">
        <v>0</v>
      </c>
      <c r="N2348" s="15" t="str">
        <v/>
      </c>
      <c r="O2348" s="15" t="str">
        <v/>
      </c>
      <c r="P2348" s="22">
        <v>0</v>
      </c>
      <c r="Q2348">
        <v>0</v>
      </c>
    </row>
    <row r="2349" spans="1:17">
      <c r="A2349" s="19">
        <v>0</v>
      </c>
      <c r="B2349" s="19">
        <v>0</v>
      </c>
      <c r="C2349" s="19">
        <v>0</v>
      </c>
      <c r="D2349" s="19">
        <v>0</v>
      </c>
      <c r="E2349" s="19">
        <v>0</v>
      </c>
      <c r="F2349" s="19">
        <v>0</v>
      </c>
      <c r="G2349" s="19">
        <v>0</v>
      </c>
      <c r="H2349" s="19">
        <v>0</v>
      </c>
      <c r="I2349" s="15">
        <v>3500</v>
      </c>
      <c r="J2349" s="15">
        <v>0</v>
      </c>
      <c r="K2349" s="15">
        <v>0</v>
      </c>
      <c r="L2349" s="15">
        <v>0</v>
      </c>
      <c r="M2349" s="15">
        <v>0</v>
      </c>
      <c r="N2349" s="15" t="str">
        <v/>
      </c>
      <c r="O2349" s="15" t="str">
        <v/>
      </c>
      <c r="P2349" s="22">
        <v>0</v>
      </c>
      <c r="Q2349">
        <v>0</v>
      </c>
    </row>
    <row r="2350" spans="1:17">
      <c r="A2350" s="19">
        <v>0</v>
      </c>
      <c r="B2350" s="19">
        <v>0</v>
      </c>
      <c r="C2350" s="19">
        <v>0</v>
      </c>
      <c r="D2350" s="19">
        <v>0</v>
      </c>
      <c r="E2350" s="19">
        <v>0</v>
      </c>
      <c r="F2350" s="19">
        <v>0</v>
      </c>
      <c r="G2350" s="19">
        <v>0</v>
      </c>
      <c r="H2350" s="19">
        <v>0</v>
      </c>
      <c r="I2350" s="15">
        <v>3500</v>
      </c>
      <c r="J2350" s="15">
        <v>0</v>
      </c>
      <c r="K2350" s="15">
        <v>0</v>
      </c>
      <c r="L2350" s="15">
        <v>0</v>
      </c>
      <c r="M2350" s="15">
        <v>0</v>
      </c>
      <c r="N2350" s="15" t="str">
        <v/>
      </c>
      <c r="O2350" s="15" t="str">
        <v/>
      </c>
      <c r="P2350" s="22">
        <v>0</v>
      </c>
      <c r="Q2350">
        <v>0</v>
      </c>
    </row>
    <row r="2351" spans="1:17">
      <c r="A2351" s="19">
        <v>0</v>
      </c>
      <c r="B2351" s="19">
        <v>0</v>
      </c>
      <c r="C2351" s="19">
        <v>0</v>
      </c>
      <c r="D2351" s="19">
        <v>0</v>
      </c>
      <c r="E2351" s="19">
        <v>0</v>
      </c>
      <c r="F2351" s="19">
        <v>0</v>
      </c>
      <c r="G2351" s="19">
        <v>0</v>
      </c>
      <c r="H2351" s="19">
        <v>0</v>
      </c>
      <c r="I2351" s="15">
        <v>3500</v>
      </c>
      <c r="J2351" s="15">
        <v>0</v>
      </c>
      <c r="K2351" s="15">
        <v>0</v>
      </c>
      <c r="L2351" s="15">
        <v>0</v>
      </c>
      <c r="M2351" s="15">
        <v>0</v>
      </c>
      <c r="N2351" s="15" t="str">
        <v/>
      </c>
      <c r="O2351" s="15" t="str">
        <v/>
      </c>
      <c r="P2351" s="22">
        <v>0</v>
      </c>
      <c r="Q2351">
        <v>0</v>
      </c>
    </row>
    <row r="2352" spans="1:17">
      <c r="A2352" s="19">
        <v>0</v>
      </c>
      <c r="B2352" s="19">
        <v>0</v>
      </c>
      <c r="C2352" s="19">
        <v>0</v>
      </c>
      <c r="D2352" s="19">
        <v>0</v>
      </c>
      <c r="E2352" s="19">
        <v>0</v>
      </c>
      <c r="F2352" s="19">
        <v>0</v>
      </c>
      <c r="G2352" s="19">
        <v>0</v>
      </c>
      <c r="H2352" s="19">
        <v>0</v>
      </c>
      <c r="I2352" s="15">
        <v>3500</v>
      </c>
      <c r="J2352" s="15">
        <v>0</v>
      </c>
      <c r="K2352" s="15">
        <v>0</v>
      </c>
      <c r="L2352" s="15">
        <v>0</v>
      </c>
      <c r="M2352" s="15">
        <v>0</v>
      </c>
      <c r="N2352" s="15" t="str">
        <v/>
      </c>
      <c r="O2352" s="15" t="str">
        <v/>
      </c>
      <c r="P2352" s="22">
        <v>0</v>
      </c>
      <c r="Q2352">
        <v>0</v>
      </c>
    </row>
    <row r="2353" spans="1:17">
      <c r="A2353" s="19">
        <v>0</v>
      </c>
      <c r="B2353" s="19">
        <v>0</v>
      </c>
      <c r="C2353" s="19">
        <v>0</v>
      </c>
      <c r="D2353" s="19">
        <v>0</v>
      </c>
      <c r="E2353" s="19">
        <v>0</v>
      </c>
      <c r="F2353" s="19">
        <v>0</v>
      </c>
      <c r="G2353" s="19">
        <v>0</v>
      </c>
      <c r="H2353" s="19">
        <v>0</v>
      </c>
      <c r="I2353" s="15">
        <v>3500</v>
      </c>
      <c r="J2353" s="15">
        <v>0</v>
      </c>
      <c r="K2353" s="15">
        <v>0</v>
      </c>
      <c r="L2353" s="15">
        <v>0</v>
      </c>
      <c r="M2353" s="15">
        <v>0</v>
      </c>
      <c r="N2353" s="15" t="str">
        <v/>
      </c>
      <c r="O2353" s="15" t="str">
        <v/>
      </c>
      <c r="P2353" s="22">
        <v>0</v>
      </c>
      <c r="Q2353">
        <v>0</v>
      </c>
    </row>
    <row r="2354" spans="1:17">
      <c r="A2354" s="19">
        <v>0</v>
      </c>
      <c r="B2354" s="19">
        <v>0</v>
      </c>
      <c r="C2354" s="19">
        <v>0</v>
      </c>
      <c r="D2354" s="19">
        <v>0</v>
      </c>
      <c r="E2354" s="19">
        <v>0</v>
      </c>
      <c r="F2354" s="19">
        <v>0</v>
      </c>
      <c r="G2354" s="19">
        <v>0</v>
      </c>
      <c r="H2354" s="19">
        <v>0</v>
      </c>
      <c r="I2354" s="15">
        <v>3500</v>
      </c>
      <c r="J2354" s="15">
        <v>0</v>
      </c>
      <c r="K2354" s="15">
        <v>0</v>
      </c>
      <c r="L2354" s="15">
        <v>0</v>
      </c>
      <c r="M2354" s="15">
        <v>0</v>
      </c>
      <c r="N2354" s="15" t="str">
        <v/>
      </c>
      <c r="O2354" s="15" t="str">
        <v/>
      </c>
      <c r="P2354" s="22">
        <v>0</v>
      </c>
      <c r="Q2354">
        <v>0</v>
      </c>
    </row>
    <row r="2355" spans="1:17">
      <c r="A2355" s="19">
        <v>0</v>
      </c>
      <c r="B2355" s="19">
        <v>0</v>
      </c>
      <c r="C2355" s="19">
        <v>0</v>
      </c>
      <c r="D2355" s="19">
        <v>0</v>
      </c>
      <c r="E2355" s="19">
        <v>0</v>
      </c>
      <c r="F2355" s="19">
        <v>0</v>
      </c>
      <c r="G2355" s="19">
        <v>0</v>
      </c>
      <c r="H2355" s="19">
        <v>0</v>
      </c>
      <c r="I2355" s="15">
        <v>3500</v>
      </c>
      <c r="J2355" s="15">
        <v>0</v>
      </c>
      <c r="K2355" s="15">
        <v>0</v>
      </c>
      <c r="L2355" s="15">
        <v>0</v>
      </c>
      <c r="M2355" s="15">
        <v>0</v>
      </c>
      <c r="N2355" s="15" t="str">
        <v/>
      </c>
      <c r="O2355" s="15" t="str">
        <v/>
      </c>
      <c r="P2355" s="22">
        <v>0</v>
      </c>
      <c r="Q2355">
        <v>0</v>
      </c>
    </row>
    <row r="2356" spans="1:17">
      <c r="A2356" s="19">
        <v>0</v>
      </c>
      <c r="B2356" s="19">
        <v>0</v>
      </c>
      <c r="C2356" s="19">
        <v>0</v>
      </c>
      <c r="D2356" s="19">
        <v>0</v>
      </c>
      <c r="E2356" s="19">
        <v>0</v>
      </c>
      <c r="F2356" s="19">
        <v>0</v>
      </c>
      <c r="G2356" s="19">
        <v>0</v>
      </c>
      <c r="H2356" s="19">
        <v>0</v>
      </c>
      <c r="I2356" s="15">
        <v>3500</v>
      </c>
      <c r="J2356" s="15">
        <v>0</v>
      </c>
      <c r="K2356" s="15">
        <v>0</v>
      </c>
      <c r="L2356" s="15">
        <v>0</v>
      </c>
      <c r="M2356" s="15">
        <v>0</v>
      </c>
      <c r="N2356" s="15" t="str">
        <v/>
      </c>
      <c r="O2356" s="15" t="str">
        <v/>
      </c>
      <c r="P2356" s="22">
        <v>0</v>
      </c>
      <c r="Q2356">
        <v>0</v>
      </c>
    </row>
    <row r="2357" spans="1:17">
      <c r="A2357" s="19">
        <v>0</v>
      </c>
      <c r="B2357" s="19">
        <v>0</v>
      </c>
      <c r="C2357" s="19">
        <v>0</v>
      </c>
      <c r="D2357" s="19">
        <v>0</v>
      </c>
      <c r="E2357" s="19">
        <v>0</v>
      </c>
      <c r="F2357" s="19">
        <v>0</v>
      </c>
      <c r="G2357" s="19">
        <v>0</v>
      </c>
      <c r="H2357" s="19">
        <v>0</v>
      </c>
      <c r="I2357" s="15">
        <v>3500</v>
      </c>
      <c r="J2357" s="15">
        <v>0</v>
      </c>
      <c r="K2357" s="15">
        <v>0</v>
      </c>
      <c r="L2357" s="15">
        <v>0</v>
      </c>
      <c r="M2357" s="15">
        <v>0</v>
      </c>
      <c r="N2357" s="15" t="str">
        <v/>
      </c>
      <c r="O2357" s="15" t="str">
        <v/>
      </c>
      <c r="P2357" s="22">
        <v>0</v>
      </c>
      <c r="Q2357">
        <v>0</v>
      </c>
    </row>
    <row r="2358" spans="1:17">
      <c r="A2358" s="19">
        <v>0</v>
      </c>
      <c r="B2358" s="19">
        <v>0</v>
      </c>
      <c r="C2358" s="19">
        <v>0</v>
      </c>
      <c r="D2358" s="19">
        <v>0</v>
      </c>
      <c r="E2358" s="19">
        <v>0</v>
      </c>
      <c r="F2358" s="19">
        <v>0</v>
      </c>
      <c r="G2358" s="19">
        <v>0</v>
      </c>
      <c r="H2358" s="19">
        <v>0</v>
      </c>
      <c r="I2358" s="15">
        <v>3500</v>
      </c>
      <c r="J2358" s="15">
        <v>0</v>
      </c>
      <c r="K2358" s="15">
        <v>0</v>
      </c>
      <c r="L2358" s="15">
        <v>0</v>
      </c>
      <c r="M2358" s="15">
        <v>0</v>
      </c>
      <c r="N2358" s="15" t="str">
        <v/>
      </c>
      <c r="O2358" s="15" t="str">
        <v/>
      </c>
      <c r="P2358" s="22">
        <v>0</v>
      </c>
      <c r="Q2358">
        <v>0</v>
      </c>
    </row>
    <row r="2359" spans="1:17">
      <c r="A2359" s="19">
        <v>0</v>
      </c>
      <c r="B2359" s="19">
        <v>0</v>
      </c>
      <c r="C2359" s="19">
        <v>0</v>
      </c>
      <c r="D2359" s="19">
        <v>0</v>
      </c>
      <c r="E2359" s="19">
        <v>0</v>
      </c>
      <c r="F2359" s="19">
        <v>0</v>
      </c>
      <c r="G2359" s="19">
        <v>0</v>
      </c>
      <c r="H2359" s="19">
        <v>0</v>
      </c>
      <c r="I2359" s="15">
        <v>3500</v>
      </c>
      <c r="J2359" s="15">
        <v>0</v>
      </c>
      <c r="K2359" s="15">
        <v>0</v>
      </c>
      <c r="L2359" s="15">
        <v>0</v>
      </c>
      <c r="M2359" s="15">
        <v>0</v>
      </c>
      <c r="N2359" s="15" t="str">
        <v/>
      </c>
      <c r="O2359" s="15" t="str">
        <v/>
      </c>
      <c r="P2359" s="22">
        <v>0</v>
      </c>
      <c r="Q2359">
        <v>0</v>
      </c>
    </row>
    <row r="2360" spans="1:17">
      <c r="A2360" s="19">
        <v>0</v>
      </c>
      <c r="B2360" s="19">
        <v>0</v>
      </c>
      <c r="C2360" s="19">
        <v>0</v>
      </c>
      <c r="D2360" s="19">
        <v>0</v>
      </c>
      <c r="E2360" s="19">
        <v>0</v>
      </c>
      <c r="F2360" s="19">
        <v>0</v>
      </c>
      <c r="G2360" s="19">
        <v>0</v>
      </c>
      <c r="H2360" s="19">
        <v>0</v>
      </c>
      <c r="I2360" s="15">
        <v>3500</v>
      </c>
      <c r="J2360" s="15">
        <v>0</v>
      </c>
      <c r="K2360" s="15">
        <v>0</v>
      </c>
      <c r="L2360" s="15">
        <v>0</v>
      </c>
      <c r="M2360" s="15">
        <v>0</v>
      </c>
      <c r="N2360" s="15" t="str">
        <v/>
      </c>
      <c r="O2360" s="15" t="str">
        <v/>
      </c>
      <c r="P2360" s="22">
        <v>0</v>
      </c>
      <c r="Q2360">
        <v>0</v>
      </c>
    </row>
    <row r="2361" spans="1:17">
      <c r="A2361" s="19">
        <v>0</v>
      </c>
      <c r="B2361" s="19">
        <v>0</v>
      </c>
      <c r="C2361" s="19">
        <v>0</v>
      </c>
      <c r="D2361" s="19">
        <v>0</v>
      </c>
      <c r="E2361" s="19">
        <v>0</v>
      </c>
      <c r="F2361" s="19">
        <v>0</v>
      </c>
      <c r="G2361" s="19">
        <v>0</v>
      </c>
      <c r="H2361" s="19">
        <v>0</v>
      </c>
      <c r="I2361" s="15">
        <v>3500</v>
      </c>
      <c r="J2361" s="15">
        <v>0</v>
      </c>
      <c r="K2361" s="15">
        <v>0</v>
      </c>
      <c r="L2361" s="15">
        <v>0</v>
      </c>
      <c r="M2361" s="15">
        <v>0</v>
      </c>
      <c r="N2361" s="15" t="str">
        <v/>
      </c>
      <c r="O2361" s="15" t="str">
        <v/>
      </c>
      <c r="P2361" s="22">
        <v>0</v>
      </c>
      <c r="Q2361">
        <v>0</v>
      </c>
    </row>
    <row r="2362" spans="1:17">
      <c r="A2362" s="19">
        <v>0</v>
      </c>
      <c r="B2362" s="19">
        <v>0</v>
      </c>
      <c r="C2362" s="19">
        <v>0</v>
      </c>
      <c r="D2362" s="19">
        <v>0</v>
      </c>
      <c r="E2362" s="19">
        <v>0</v>
      </c>
      <c r="F2362" s="19">
        <v>0</v>
      </c>
      <c r="G2362" s="19">
        <v>0</v>
      </c>
      <c r="H2362" s="19">
        <v>0</v>
      </c>
      <c r="I2362" s="15">
        <v>3500</v>
      </c>
      <c r="J2362" s="15">
        <v>0</v>
      </c>
      <c r="K2362" s="15">
        <v>0</v>
      </c>
      <c r="L2362" s="15">
        <v>0</v>
      </c>
      <c r="M2362" s="15">
        <v>0</v>
      </c>
      <c r="N2362" s="15" t="str">
        <v/>
      </c>
      <c r="O2362" s="15" t="str">
        <v/>
      </c>
      <c r="P2362" s="22">
        <v>0</v>
      </c>
      <c r="Q2362">
        <v>0</v>
      </c>
    </row>
    <row r="2363" spans="1:17">
      <c r="A2363" s="19">
        <v>0</v>
      </c>
      <c r="B2363" s="19">
        <v>0</v>
      </c>
      <c r="C2363" s="19">
        <v>0</v>
      </c>
      <c r="D2363" s="19">
        <v>0</v>
      </c>
      <c r="E2363" s="19">
        <v>0</v>
      </c>
      <c r="F2363" s="19">
        <v>0</v>
      </c>
      <c r="G2363" s="19">
        <v>0</v>
      </c>
      <c r="H2363" s="19">
        <v>0</v>
      </c>
      <c r="I2363" s="15">
        <v>3500</v>
      </c>
      <c r="J2363" s="15">
        <v>0</v>
      </c>
      <c r="K2363" s="15">
        <v>0</v>
      </c>
      <c r="L2363" s="15">
        <v>0</v>
      </c>
      <c r="M2363" s="15">
        <v>0</v>
      </c>
      <c r="N2363" s="15" t="str">
        <v/>
      </c>
      <c r="O2363" s="15" t="str">
        <v/>
      </c>
      <c r="P2363" s="22">
        <v>0</v>
      </c>
      <c r="Q2363">
        <v>0</v>
      </c>
    </row>
    <row r="2364" spans="1:17">
      <c r="A2364" s="19">
        <v>0</v>
      </c>
      <c r="B2364" s="19">
        <v>0</v>
      </c>
      <c r="C2364" s="19">
        <v>0</v>
      </c>
      <c r="D2364" s="19">
        <v>0</v>
      </c>
      <c r="E2364" s="19">
        <v>0</v>
      </c>
      <c r="F2364" s="19">
        <v>0</v>
      </c>
      <c r="G2364" s="19">
        <v>0</v>
      </c>
      <c r="H2364" s="19">
        <v>0</v>
      </c>
      <c r="I2364" s="15">
        <v>3500</v>
      </c>
      <c r="J2364" s="15">
        <v>0</v>
      </c>
      <c r="K2364" s="15">
        <v>0</v>
      </c>
      <c r="L2364" s="15">
        <v>0</v>
      </c>
      <c r="M2364" s="15">
        <v>0</v>
      </c>
      <c r="N2364" s="15" t="str">
        <v/>
      </c>
      <c r="O2364" s="15" t="str">
        <v/>
      </c>
      <c r="P2364" s="22">
        <v>0</v>
      </c>
      <c r="Q2364">
        <v>0</v>
      </c>
    </row>
    <row r="2365" spans="1:17">
      <c r="A2365" s="19">
        <v>0</v>
      </c>
      <c r="B2365" s="19">
        <v>0</v>
      </c>
      <c r="C2365" s="19">
        <v>0</v>
      </c>
      <c r="D2365" s="19">
        <v>0</v>
      </c>
      <c r="E2365" s="19">
        <v>0</v>
      </c>
      <c r="F2365" s="19">
        <v>0</v>
      </c>
      <c r="G2365" s="19">
        <v>0</v>
      </c>
      <c r="H2365" s="19">
        <v>0</v>
      </c>
      <c r="I2365" s="15">
        <v>3500</v>
      </c>
      <c r="J2365" s="15">
        <v>0</v>
      </c>
      <c r="K2365" s="15">
        <v>0</v>
      </c>
      <c r="L2365" s="15">
        <v>0</v>
      </c>
      <c r="M2365" s="15">
        <v>0</v>
      </c>
      <c r="N2365" s="15" t="str">
        <v/>
      </c>
      <c r="O2365" s="15" t="str">
        <v/>
      </c>
      <c r="P2365" s="22">
        <v>0</v>
      </c>
      <c r="Q2365">
        <v>0</v>
      </c>
    </row>
    <row r="2366" spans="1:17">
      <c r="A2366" s="19">
        <v>0</v>
      </c>
      <c r="B2366" s="19">
        <v>0</v>
      </c>
      <c r="C2366" s="19">
        <v>0</v>
      </c>
      <c r="D2366" s="19">
        <v>0</v>
      </c>
      <c r="E2366" s="19">
        <v>0</v>
      </c>
      <c r="F2366" s="19">
        <v>0</v>
      </c>
      <c r="G2366" s="19">
        <v>0</v>
      </c>
      <c r="H2366" s="19">
        <v>0</v>
      </c>
      <c r="I2366" s="15">
        <v>3500</v>
      </c>
      <c r="J2366" s="15">
        <v>0</v>
      </c>
      <c r="K2366" s="15">
        <v>0</v>
      </c>
      <c r="L2366" s="15">
        <v>0</v>
      </c>
      <c r="M2366" s="15">
        <v>0</v>
      </c>
      <c r="N2366" s="15" t="str">
        <v/>
      </c>
      <c r="O2366" s="15" t="str">
        <v/>
      </c>
      <c r="P2366" s="22">
        <v>0</v>
      </c>
      <c r="Q2366">
        <v>0</v>
      </c>
    </row>
    <row r="2367" spans="1:17">
      <c r="A2367" s="19">
        <v>0</v>
      </c>
      <c r="B2367" s="19">
        <v>0</v>
      </c>
      <c r="C2367" s="19">
        <v>0</v>
      </c>
      <c r="D2367" s="19">
        <v>0</v>
      </c>
      <c r="E2367" s="19">
        <v>0</v>
      </c>
      <c r="F2367" s="19">
        <v>0</v>
      </c>
      <c r="G2367" s="19">
        <v>0</v>
      </c>
      <c r="H2367" s="19">
        <v>0</v>
      </c>
      <c r="I2367" s="15">
        <v>3500</v>
      </c>
      <c r="J2367" s="15">
        <v>0</v>
      </c>
      <c r="K2367" s="15">
        <v>0</v>
      </c>
      <c r="L2367" s="15">
        <v>0</v>
      </c>
      <c r="M2367" s="15">
        <v>0</v>
      </c>
      <c r="N2367" s="15" t="str">
        <v/>
      </c>
      <c r="O2367" s="15" t="str">
        <v/>
      </c>
      <c r="P2367" s="22">
        <v>0</v>
      </c>
      <c r="Q2367">
        <v>0</v>
      </c>
    </row>
    <row r="2368" spans="1:17">
      <c r="A2368" s="19">
        <v>0</v>
      </c>
      <c r="B2368" s="19">
        <v>0</v>
      </c>
      <c r="C2368" s="19">
        <v>0</v>
      </c>
      <c r="D2368" s="19">
        <v>0</v>
      </c>
      <c r="E2368" s="19">
        <v>0</v>
      </c>
      <c r="F2368" s="19">
        <v>0</v>
      </c>
      <c r="G2368" s="19">
        <v>0</v>
      </c>
      <c r="H2368" s="19">
        <v>0</v>
      </c>
      <c r="I2368" s="15">
        <v>3500</v>
      </c>
      <c r="J2368" s="15">
        <v>0</v>
      </c>
      <c r="K2368" s="15">
        <v>0</v>
      </c>
      <c r="L2368" s="15">
        <v>0</v>
      </c>
      <c r="M2368" s="15">
        <v>0</v>
      </c>
      <c r="N2368" s="15" t="str">
        <v/>
      </c>
      <c r="O2368" s="15" t="str">
        <v/>
      </c>
      <c r="P2368" s="22">
        <v>0</v>
      </c>
      <c r="Q2368">
        <v>0</v>
      </c>
    </row>
    <row r="2369" spans="1:17">
      <c r="A2369" s="19">
        <v>0</v>
      </c>
      <c r="B2369" s="19">
        <v>0</v>
      </c>
      <c r="C2369" s="19">
        <v>0</v>
      </c>
      <c r="D2369" s="19">
        <v>0</v>
      </c>
      <c r="E2369" s="19">
        <v>0</v>
      </c>
      <c r="F2369" s="19">
        <v>0</v>
      </c>
      <c r="G2369" s="19">
        <v>0</v>
      </c>
      <c r="H2369" s="19">
        <v>0</v>
      </c>
      <c r="I2369" s="15">
        <v>3500</v>
      </c>
      <c r="J2369" s="15">
        <v>0</v>
      </c>
      <c r="K2369" s="15">
        <v>0</v>
      </c>
      <c r="L2369" s="15">
        <v>0</v>
      </c>
      <c r="M2369" s="15">
        <v>0</v>
      </c>
      <c r="N2369" s="15" t="str">
        <v/>
      </c>
      <c r="O2369" s="15" t="str">
        <v/>
      </c>
      <c r="P2369" s="22">
        <v>0</v>
      </c>
      <c r="Q2369">
        <v>0</v>
      </c>
    </row>
    <row r="2370" spans="1:17">
      <c r="A2370" s="19">
        <v>0</v>
      </c>
      <c r="B2370" s="19">
        <v>0</v>
      </c>
      <c r="C2370" s="19">
        <v>0</v>
      </c>
      <c r="D2370" s="19">
        <v>0</v>
      </c>
      <c r="E2370" s="19">
        <v>0</v>
      </c>
      <c r="F2370" s="19">
        <v>0</v>
      </c>
      <c r="G2370" s="19">
        <v>0</v>
      </c>
      <c r="H2370" s="19">
        <v>0</v>
      </c>
      <c r="I2370" s="15">
        <v>3500</v>
      </c>
      <c r="J2370" s="15">
        <v>0</v>
      </c>
      <c r="K2370" s="15">
        <v>0</v>
      </c>
      <c r="L2370" s="15">
        <v>0</v>
      </c>
      <c r="M2370" s="15">
        <v>0</v>
      </c>
      <c r="N2370" s="15" t="str">
        <v/>
      </c>
      <c r="O2370" s="15" t="str">
        <v/>
      </c>
      <c r="P2370" s="22">
        <v>0</v>
      </c>
      <c r="Q2370">
        <v>0</v>
      </c>
    </row>
    <row r="2371" spans="1:17">
      <c r="A2371" s="19">
        <v>0</v>
      </c>
      <c r="B2371" s="19">
        <v>0</v>
      </c>
      <c r="C2371" s="19">
        <v>0</v>
      </c>
      <c r="D2371" s="19">
        <v>0</v>
      </c>
      <c r="E2371" s="19">
        <v>0</v>
      </c>
      <c r="F2371" s="19">
        <v>0</v>
      </c>
      <c r="G2371" s="19">
        <v>0</v>
      </c>
      <c r="H2371" s="19">
        <v>0</v>
      </c>
      <c r="I2371" s="15">
        <v>3500</v>
      </c>
      <c r="J2371" s="15">
        <v>0</v>
      </c>
      <c r="K2371" s="15">
        <v>0</v>
      </c>
      <c r="L2371" s="15">
        <v>0</v>
      </c>
      <c r="M2371" s="15">
        <v>0</v>
      </c>
      <c r="N2371" s="15" t="str">
        <v/>
      </c>
      <c r="O2371" s="15" t="str">
        <v/>
      </c>
      <c r="P2371" s="22">
        <v>0</v>
      </c>
      <c r="Q2371">
        <v>0</v>
      </c>
    </row>
    <row r="2372" spans="1:17">
      <c r="A2372" s="19">
        <v>0</v>
      </c>
      <c r="B2372" s="19">
        <v>0</v>
      </c>
      <c r="C2372" s="19">
        <v>0</v>
      </c>
      <c r="D2372" s="19">
        <v>0</v>
      </c>
      <c r="E2372" s="19">
        <v>0</v>
      </c>
      <c r="F2372" s="19">
        <v>0</v>
      </c>
      <c r="G2372" s="19">
        <v>0</v>
      </c>
      <c r="H2372" s="19">
        <v>0</v>
      </c>
      <c r="I2372" s="15">
        <v>3500</v>
      </c>
      <c r="J2372" s="15">
        <v>0</v>
      </c>
      <c r="K2372" s="15">
        <v>0</v>
      </c>
      <c r="L2372" s="15">
        <v>0</v>
      </c>
      <c r="M2372" s="15">
        <v>0</v>
      </c>
      <c r="N2372" s="15" t="str">
        <v/>
      </c>
      <c r="O2372" s="15" t="str">
        <v/>
      </c>
      <c r="P2372" s="22">
        <v>0</v>
      </c>
      <c r="Q2372">
        <v>0</v>
      </c>
    </row>
    <row r="2373" spans="1:17">
      <c r="A2373" s="19">
        <v>0</v>
      </c>
      <c r="B2373" s="19">
        <v>0</v>
      </c>
      <c r="C2373" s="19">
        <v>0</v>
      </c>
      <c r="D2373" s="19">
        <v>0</v>
      </c>
      <c r="E2373" s="19">
        <v>0</v>
      </c>
      <c r="F2373" s="19">
        <v>0</v>
      </c>
      <c r="G2373" s="19">
        <v>0</v>
      </c>
      <c r="H2373" s="19">
        <v>0</v>
      </c>
      <c r="I2373" s="15">
        <v>3500</v>
      </c>
      <c r="J2373" s="15">
        <v>0</v>
      </c>
      <c r="K2373" s="15">
        <v>0</v>
      </c>
      <c r="L2373" s="15">
        <v>0</v>
      </c>
      <c r="M2373" s="15">
        <v>0</v>
      </c>
      <c r="N2373" s="15" t="str">
        <v/>
      </c>
      <c r="O2373" s="15" t="str">
        <v/>
      </c>
      <c r="P2373" s="22">
        <v>0</v>
      </c>
      <c r="Q2373">
        <v>0</v>
      </c>
    </row>
    <row r="2374" spans="1:17">
      <c r="A2374" s="19">
        <v>0</v>
      </c>
      <c r="B2374" s="19">
        <v>0</v>
      </c>
      <c r="C2374" s="19">
        <v>0</v>
      </c>
      <c r="D2374" s="19">
        <v>0</v>
      </c>
      <c r="E2374" s="19">
        <v>0</v>
      </c>
      <c r="F2374" s="19">
        <v>0</v>
      </c>
      <c r="G2374" s="19">
        <v>0</v>
      </c>
      <c r="H2374" s="19">
        <v>0</v>
      </c>
      <c r="I2374" s="15">
        <v>3500</v>
      </c>
      <c r="J2374" s="15">
        <v>0</v>
      </c>
      <c r="K2374" s="15">
        <v>0</v>
      </c>
      <c r="L2374" s="15">
        <v>0</v>
      </c>
      <c r="M2374" s="15">
        <v>0</v>
      </c>
      <c r="N2374" s="15" t="str">
        <v/>
      </c>
      <c r="O2374" s="15" t="str">
        <v/>
      </c>
      <c r="P2374" s="22">
        <v>0</v>
      </c>
      <c r="Q2374">
        <v>0</v>
      </c>
    </row>
    <row r="2375" spans="1:17">
      <c r="A2375" s="19">
        <v>0</v>
      </c>
      <c r="B2375" s="19">
        <v>0</v>
      </c>
      <c r="C2375" s="19">
        <v>0</v>
      </c>
      <c r="D2375" s="19">
        <v>0</v>
      </c>
      <c r="E2375" s="19">
        <v>0</v>
      </c>
      <c r="F2375" s="19">
        <v>0</v>
      </c>
      <c r="G2375" s="19">
        <v>0</v>
      </c>
      <c r="H2375" s="19">
        <v>0</v>
      </c>
      <c r="I2375" s="15">
        <v>3500</v>
      </c>
      <c r="J2375" s="15">
        <v>0</v>
      </c>
      <c r="K2375" s="15">
        <v>0</v>
      </c>
      <c r="L2375" s="15">
        <v>0</v>
      </c>
      <c r="M2375" s="15">
        <v>0</v>
      </c>
      <c r="N2375" s="15" t="str">
        <v/>
      </c>
      <c r="O2375" s="15" t="str">
        <v/>
      </c>
      <c r="P2375" s="22">
        <v>0</v>
      </c>
      <c r="Q2375">
        <v>0</v>
      </c>
    </row>
    <row r="2376" spans="1:17">
      <c r="A2376" s="19">
        <v>0</v>
      </c>
      <c r="B2376" s="19">
        <v>0</v>
      </c>
      <c r="C2376" s="19">
        <v>0</v>
      </c>
      <c r="D2376" s="19">
        <v>0</v>
      </c>
      <c r="E2376" s="19">
        <v>0</v>
      </c>
      <c r="F2376" s="19">
        <v>0</v>
      </c>
      <c r="G2376" s="19">
        <v>0</v>
      </c>
      <c r="H2376" s="19">
        <v>0</v>
      </c>
      <c r="I2376" s="15">
        <v>3500</v>
      </c>
      <c r="J2376" s="15">
        <v>0</v>
      </c>
      <c r="K2376" s="15">
        <v>0</v>
      </c>
      <c r="L2376" s="15">
        <v>0</v>
      </c>
      <c r="M2376" s="15">
        <v>0</v>
      </c>
      <c r="N2376" s="15" t="str">
        <v/>
      </c>
      <c r="O2376" s="15" t="str">
        <v/>
      </c>
      <c r="P2376" s="22">
        <v>0</v>
      </c>
      <c r="Q2376">
        <v>0</v>
      </c>
    </row>
    <row r="2377" spans="1:17">
      <c r="A2377" s="19">
        <v>0</v>
      </c>
      <c r="B2377" s="19">
        <v>0</v>
      </c>
      <c r="C2377" s="19">
        <v>0</v>
      </c>
      <c r="D2377" s="19">
        <v>0</v>
      </c>
      <c r="E2377" s="19">
        <v>0</v>
      </c>
      <c r="F2377" s="19">
        <v>0</v>
      </c>
      <c r="G2377" s="19">
        <v>0</v>
      </c>
      <c r="H2377" s="19">
        <v>0</v>
      </c>
      <c r="I2377" s="15">
        <v>3500</v>
      </c>
      <c r="J2377" s="15">
        <v>0</v>
      </c>
      <c r="K2377" s="15">
        <v>0</v>
      </c>
      <c r="L2377" s="15">
        <v>0</v>
      </c>
      <c r="M2377" s="15">
        <v>0</v>
      </c>
      <c r="N2377" s="15" t="str">
        <v/>
      </c>
      <c r="O2377" s="15" t="str">
        <v/>
      </c>
      <c r="P2377" s="22">
        <v>0</v>
      </c>
      <c r="Q2377">
        <v>0</v>
      </c>
    </row>
    <row r="2378" spans="1:17">
      <c r="A2378" s="19">
        <v>0</v>
      </c>
      <c r="B2378" s="19">
        <v>0</v>
      </c>
      <c r="C2378" s="19">
        <v>0</v>
      </c>
      <c r="D2378" s="19">
        <v>0</v>
      </c>
      <c r="E2378" s="19">
        <v>0</v>
      </c>
      <c r="F2378" s="19">
        <v>0</v>
      </c>
      <c r="G2378" s="19">
        <v>0</v>
      </c>
      <c r="H2378" s="19">
        <v>0</v>
      </c>
      <c r="I2378" s="15">
        <v>3500</v>
      </c>
      <c r="J2378" s="15">
        <v>0</v>
      </c>
      <c r="K2378" s="15">
        <v>0</v>
      </c>
      <c r="L2378" s="15">
        <v>0</v>
      </c>
      <c r="M2378" s="15">
        <v>0</v>
      </c>
      <c r="N2378" s="15" t="str">
        <v/>
      </c>
      <c r="O2378" s="15" t="str">
        <v/>
      </c>
      <c r="P2378" s="22">
        <v>0</v>
      </c>
      <c r="Q2378">
        <v>0</v>
      </c>
    </row>
    <row r="2379" spans="1:17">
      <c r="A2379" s="19">
        <v>0</v>
      </c>
      <c r="B2379" s="19">
        <v>0</v>
      </c>
      <c r="C2379" s="19">
        <v>0</v>
      </c>
      <c r="D2379" s="19">
        <v>0</v>
      </c>
      <c r="E2379" s="19">
        <v>0</v>
      </c>
      <c r="F2379" s="19">
        <v>0</v>
      </c>
      <c r="G2379" s="19">
        <v>0</v>
      </c>
      <c r="H2379" s="19">
        <v>0</v>
      </c>
      <c r="I2379" s="15">
        <v>3500</v>
      </c>
      <c r="J2379" s="15">
        <v>0</v>
      </c>
      <c r="K2379" s="15">
        <v>0</v>
      </c>
      <c r="L2379" s="15">
        <v>0</v>
      </c>
      <c r="M2379" s="15">
        <v>0</v>
      </c>
      <c r="N2379" s="15" t="str">
        <v/>
      </c>
      <c r="O2379" s="15" t="str">
        <v/>
      </c>
      <c r="P2379" s="22">
        <v>0</v>
      </c>
      <c r="Q2379">
        <v>0</v>
      </c>
    </row>
    <row r="2380" spans="1:17">
      <c r="A2380" s="19">
        <v>0</v>
      </c>
      <c r="B2380" s="19">
        <v>0</v>
      </c>
      <c r="C2380" s="19">
        <v>0</v>
      </c>
      <c r="D2380" s="19">
        <v>0</v>
      </c>
      <c r="E2380" s="19">
        <v>0</v>
      </c>
      <c r="F2380" s="19">
        <v>0</v>
      </c>
      <c r="G2380" s="19">
        <v>0</v>
      </c>
      <c r="H2380" s="19">
        <v>0</v>
      </c>
      <c r="I2380" s="15">
        <v>3500</v>
      </c>
      <c r="J2380" s="15">
        <v>0</v>
      </c>
      <c r="K2380" s="15">
        <v>0</v>
      </c>
      <c r="L2380" s="15">
        <v>0</v>
      </c>
      <c r="M2380" s="15">
        <v>0</v>
      </c>
      <c r="N2380" s="15" t="str">
        <v/>
      </c>
      <c r="O2380" s="15" t="str">
        <v/>
      </c>
      <c r="P2380" s="22">
        <v>0</v>
      </c>
      <c r="Q2380">
        <v>0</v>
      </c>
    </row>
    <row r="2381" spans="1:17">
      <c r="A2381" s="19">
        <v>0</v>
      </c>
      <c r="B2381" s="19">
        <v>0</v>
      </c>
      <c r="C2381" s="19">
        <v>0</v>
      </c>
      <c r="D2381" s="19">
        <v>0</v>
      </c>
      <c r="E2381" s="19">
        <v>0</v>
      </c>
      <c r="F2381" s="19">
        <v>0</v>
      </c>
      <c r="G2381" s="19">
        <v>0</v>
      </c>
      <c r="H2381" s="19">
        <v>0</v>
      </c>
      <c r="I2381" s="15">
        <v>3500</v>
      </c>
      <c r="J2381" s="15">
        <v>0</v>
      </c>
      <c r="K2381" s="15">
        <v>0</v>
      </c>
      <c r="L2381" s="15">
        <v>0</v>
      </c>
      <c r="M2381" s="15">
        <v>0</v>
      </c>
      <c r="N2381" s="15" t="str">
        <v/>
      </c>
      <c r="O2381" s="15" t="str">
        <v/>
      </c>
      <c r="P2381" s="22">
        <v>0</v>
      </c>
      <c r="Q2381">
        <v>0</v>
      </c>
    </row>
    <row r="2382" spans="1:17">
      <c r="A2382" s="19">
        <v>0</v>
      </c>
      <c r="B2382" s="19">
        <v>0</v>
      </c>
      <c r="C2382" s="19">
        <v>0</v>
      </c>
      <c r="D2382" s="19">
        <v>0</v>
      </c>
      <c r="E2382" s="19">
        <v>0</v>
      </c>
      <c r="F2382" s="19">
        <v>0</v>
      </c>
      <c r="G2382" s="19">
        <v>0</v>
      </c>
      <c r="H2382" s="19">
        <v>0</v>
      </c>
      <c r="I2382" s="15">
        <v>3500</v>
      </c>
      <c r="J2382" s="15">
        <v>0</v>
      </c>
      <c r="K2382" s="15">
        <v>0</v>
      </c>
      <c r="L2382" s="15">
        <v>0</v>
      </c>
      <c r="M2382" s="15">
        <v>0</v>
      </c>
      <c r="N2382" s="15" t="str">
        <v/>
      </c>
      <c r="O2382" s="15" t="str">
        <v/>
      </c>
      <c r="P2382" s="22">
        <v>0</v>
      </c>
      <c r="Q2382">
        <v>0</v>
      </c>
    </row>
    <row r="2383" spans="1:17">
      <c r="A2383" s="19">
        <v>0</v>
      </c>
      <c r="B2383" s="19">
        <v>0</v>
      </c>
      <c r="C2383" s="19">
        <v>0</v>
      </c>
      <c r="D2383" s="19">
        <v>0</v>
      </c>
      <c r="E2383" s="19">
        <v>0</v>
      </c>
      <c r="F2383" s="19">
        <v>0</v>
      </c>
      <c r="G2383" s="19">
        <v>0</v>
      </c>
      <c r="H2383" s="19">
        <v>0</v>
      </c>
      <c r="I2383" s="15">
        <v>3500</v>
      </c>
      <c r="J2383" s="15">
        <v>0</v>
      </c>
      <c r="K2383" s="15">
        <v>0</v>
      </c>
      <c r="L2383" s="15">
        <v>0</v>
      </c>
      <c r="M2383" s="15">
        <v>0</v>
      </c>
      <c r="N2383" s="15" t="str">
        <v/>
      </c>
      <c r="O2383" s="15" t="str">
        <v/>
      </c>
      <c r="P2383" s="22">
        <v>0</v>
      </c>
      <c r="Q2383">
        <v>0</v>
      </c>
    </row>
    <row r="2384" spans="1:17">
      <c r="A2384" s="19">
        <v>0</v>
      </c>
      <c r="B2384" s="19">
        <v>0</v>
      </c>
      <c r="C2384" s="19">
        <v>0</v>
      </c>
      <c r="D2384" s="19">
        <v>0</v>
      </c>
      <c r="E2384" s="19">
        <v>0</v>
      </c>
      <c r="F2384" s="19">
        <v>0</v>
      </c>
      <c r="G2384" s="19">
        <v>0</v>
      </c>
      <c r="H2384" s="19">
        <v>0</v>
      </c>
      <c r="I2384" s="15">
        <v>3500</v>
      </c>
      <c r="J2384" s="15">
        <v>0</v>
      </c>
      <c r="K2384" s="15">
        <v>0</v>
      </c>
      <c r="L2384" s="15">
        <v>0</v>
      </c>
      <c r="M2384" s="15">
        <v>0</v>
      </c>
      <c r="N2384" s="15" t="str">
        <v/>
      </c>
      <c r="O2384" s="15" t="str">
        <v/>
      </c>
      <c r="P2384" s="22">
        <v>0</v>
      </c>
      <c r="Q2384">
        <v>0</v>
      </c>
    </row>
    <row r="2385" spans="1:17">
      <c r="A2385" s="19">
        <v>0</v>
      </c>
      <c r="B2385" s="19">
        <v>0</v>
      </c>
      <c r="C2385" s="19">
        <v>0</v>
      </c>
      <c r="D2385" s="19">
        <v>0</v>
      </c>
      <c r="E2385" s="19">
        <v>0</v>
      </c>
      <c r="F2385" s="19">
        <v>0</v>
      </c>
      <c r="G2385" s="19">
        <v>0</v>
      </c>
      <c r="H2385" s="19">
        <v>0</v>
      </c>
      <c r="I2385" s="15">
        <v>3500</v>
      </c>
      <c r="J2385" s="15">
        <v>0</v>
      </c>
      <c r="K2385" s="15">
        <v>0</v>
      </c>
      <c r="L2385" s="15">
        <v>0</v>
      </c>
      <c r="M2385" s="15">
        <v>0</v>
      </c>
      <c r="N2385" s="15" t="str">
        <v/>
      </c>
      <c r="O2385" s="15" t="str">
        <v/>
      </c>
      <c r="P2385" s="22">
        <v>0</v>
      </c>
      <c r="Q2385">
        <v>0</v>
      </c>
    </row>
    <row r="2386" spans="1:17">
      <c r="A2386" s="19">
        <v>0</v>
      </c>
      <c r="B2386" s="19">
        <v>0</v>
      </c>
      <c r="C2386" s="19">
        <v>0</v>
      </c>
      <c r="D2386" s="19">
        <v>0</v>
      </c>
      <c r="E2386" s="19">
        <v>0</v>
      </c>
      <c r="F2386" s="19">
        <v>0</v>
      </c>
      <c r="G2386" s="19">
        <v>0</v>
      </c>
      <c r="H2386" s="19">
        <v>0</v>
      </c>
      <c r="I2386" s="15">
        <v>3500</v>
      </c>
      <c r="J2386" s="15">
        <v>0</v>
      </c>
      <c r="K2386" s="15">
        <v>0</v>
      </c>
      <c r="L2386" s="15">
        <v>0</v>
      </c>
      <c r="M2386" s="15">
        <v>0</v>
      </c>
      <c r="N2386" s="15" t="str">
        <v/>
      </c>
      <c r="O2386" s="15" t="str">
        <v/>
      </c>
      <c r="P2386" s="22">
        <v>0</v>
      </c>
      <c r="Q2386">
        <v>0</v>
      </c>
    </row>
    <row r="2387" spans="1:17">
      <c r="A2387" s="19">
        <v>0</v>
      </c>
      <c r="B2387" s="19">
        <v>0</v>
      </c>
      <c r="C2387" s="19">
        <v>0</v>
      </c>
      <c r="D2387" s="19">
        <v>0</v>
      </c>
      <c r="E2387" s="19">
        <v>0</v>
      </c>
      <c r="F2387" s="19">
        <v>0</v>
      </c>
      <c r="G2387" s="19">
        <v>0</v>
      </c>
      <c r="H2387" s="19">
        <v>0</v>
      </c>
      <c r="I2387" s="15">
        <v>3500</v>
      </c>
      <c r="J2387" s="15">
        <v>0</v>
      </c>
      <c r="K2387" s="15">
        <v>0</v>
      </c>
      <c r="L2387" s="15">
        <v>0</v>
      </c>
      <c r="M2387" s="15">
        <v>0</v>
      </c>
      <c r="N2387" s="15" t="str">
        <v/>
      </c>
      <c r="O2387" s="15" t="str">
        <v/>
      </c>
      <c r="P2387" s="22">
        <v>0</v>
      </c>
      <c r="Q2387">
        <v>0</v>
      </c>
    </row>
    <row r="2388" spans="1:17">
      <c r="A2388" s="19">
        <v>0</v>
      </c>
      <c r="B2388" s="19">
        <v>0</v>
      </c>
      <c r="C2388" s="19">
        <v>0</v>
      </c>
      <c r="D2388" s="19">
        <v>0</v>
      </c>
      <c r="E2388" s="19">
        <v>0</v>
      </c>
      <c r="F2388" s="19">
        <v>0</v>
      </c>
      <c r="G2388" s="19">
        <v>0</v>
      </c>
      <c r="H2388" s="19">
        <v>0</v>
      </c>
      <c r="I2388" s="15">
        <v>3500</v>
      </c>
      <c r="J2388" s="15">
        <v>0</v>
      </c>
      <c r="K2388" s="15">
        <v>0</v>
      </c>
      <c r="L2388" s="15">
        <v>0</v>
      </c>
      <c r="M2388" s="15">
        <v>0</v>
      </c>
      <c r="N2388" s="15" t="str">
        <v/>
      </c>
      <c r="O2388" s="15" t="str">
        <v/>
      </c>
      <c r="P2388" s="22">
        <v>0</v>
      </c>
      <c r="Q2388">
        <v>0</v>
      </c>
    </row>
    <row r="2389" spans="1:17">
      <c r="A2389" s="19">
        <v>0</v>
      </c>
      <c r="B2389" s="19">
        <v>0</v>
      </c>
      <c r="C2389" s="19">
        <v>0</v>
      </c>
      <c r="D2389" s="19">
        <v>0</v>
      </c>
      <c r="E2389" s="19">
        <v>0</v>
      </c>
      <c r="F2389" s="19">
        <v>0</v>
      </c>
      <c r="G2389" s="19">
        <v>0</v>
      </c>
      <c r="H2389" s="19">
        <v>0</v>
      </c>
      <c r="I2389" s="15">
        <v>3500</v>
      </c>
      <c r="J2389" s="15">
        <v>0</v>
      </c>
      <c r="K2389" s="15">
        <v>0</v>
      </c>
      <c r="L2389" s="15">
        <v>0</v>
      </c>
      <c r="M2389" s="15">
        <v>0</v>
      </c>
      <c r="N2389" s="15" t="str">
        <v/>
      </c>
      <c r="O2389" s="15" t="str">
        <v/>
      </c>
      <c r="P2389" s="22">
        <v>0</v>
      </c>
      <c r="Q2389">
        <v>0</v>
      </c>
    </row>
    <row r="2390" spans="1:17">
      <c r="A2390" s="19">
        <v>0</v>
      </c>
      <c r="B2390" s="19">
        <v>0</v>
      </c>
      <c r="C2390" s="19">
        <v>0</v>
      </c>
      <c r="D2390" s="19">
        <v>0</v>
      </c>
      <c r="E2390" s="19">
        <v>0</v>
      </c>
      <c r="F2390" s="19">
        <v>0</v>
      </c>
      <c r="G2390" s="19">
        <v>0</v>
      </c>
      <c r="H2390" s="19">
        <v>0</v>
      </c>
      <c r="I2390" s="15">
        <v>3500</v>
      </c>
      <c r="J2390" s="15">
        <v>0</v>
      </c>
      <c r="K2390" s="15">
        <v>0</v>
      </c>
      <c r="L2390" s="15">
        <v>0</v>
      </c>
      <c r="M2390" s="15">
        <v>0</v>
      </c>
      <c r="N2390" s="15" t="str">
        <v/>
      </c>
      <c r="O2390" s="15" t="str">
        <v/>
      </c>
      <c r="P2390" s="22">
        <v>0</v>
      </c>
      <c r="Q2390">
        <v>0</v>
      </c>
    </row>
    <row r="2391" spans="1:17">
      <c r="A2391" s="19">
        <v>0</v>
      </c>
      <c r="B2391" s="19">
        <v>0</v>
      </c>
      <c r="C2391" s="19">
        <v>0</v>
      </c>
      <c r="D2391" s="19">
        <v>0</v>
      </c>
      <c r="E2391" s="19">
        <v>0</v>
      </c>
      <c r="F2391" s="19">
        <v>0</v>
      </c>
      <c r="G2391" s="19">
        <v>0</v>
      </c>
      <c r="H2391" s="19">
        <v>0</v>
      </c>
      <c r="I2391" s="15">
        <v>3500</v>
      </c>
      <c r="J2391" s="15">
        <v>0</v>
      </c>
      <c r="K2391" s="15">
        <v>0</v>
      </c>
      <c r="L2391" s="15">
        <v>0</v>
      </c>
      <c r="M2391" s="15">
        <v>0</v>
      </c>
      <c r="N2391" s="15" t="str">
        <v/>
      </c>
      <c r="O2391" s="15" t="str">
        <v/>
      </c>
      <c r="P2391" s="22">
        <v>0</v>
      </c>
      <c r="Q2391">
        <v>0</v>
      </c>
    </row>
    <row r="2392" spans="1:17">
      <c r="A2392" s="19">
        <v>0</v>
      </c>
      <c r="B2392" s="19">
        <v>0</v>
      </c>
      <c r="C2392" s="19">
        <v>0</v>
      </c>
      <c r="D2392" s="19">
        <v>0</v>
      </c>
      <c r="E2392" s="19">
        <v>0</v>
      </c>
      <c r="F2392" s="19">
        <v>0</v>
      </c>
      <c r="G2392" s="19">
        <v>0</v>
      </c>
      <c r="H2392" s="19">
        <v>0</v>
      </c>
      <c r="I2392" s="15">
        <v>3500</v>
      </c>
      <c r="J2392" s="15">
        <v>0</v>
      </c>
      <c r="K2392" s="15">
        <v>0</v>
      </c>
      <c r="L2392" s="15">
        <v>0</v>
      </c>
      <c r="M2392" s="15">
        <v>0</v>
      </c>
      <c r="N2392" s="15" t="str">
        <v/>
      </c>
      <c r="O2392" s="15" t="str">
        <v/>
      </c>
      <c r="P2392" s="22">
        <v>0</v>
      </c>
      <c r="Q2392">
        <v>0</v>
      </c>
    </row>
    <row r="2393" spans="1:17">
      <c r="A2393" s="19">
        <v>0</v>
      </c>
      <c r="B2393" s="19">
        <v>0</v>
      </c>
      <c r="C2393" s="19">
        <v>0</v>
      </c>
      <c r="D2393" s="19">
        <v>0</v>
      </c>
      <c r="E2393" s="19">
        <v>0</v>
      </c>
      <c r="F2393" s="19">
        <v>0</v>
      </c>
      <c r="G2393" s="19">
        <v>0</v>
      </c>
      <c r="H2393" s="19">
        <v>0</v>
      </c>
      <c r="I2393" s="15">
        <v>3500</v>
      </c>
      <c r="J2393" s="15">
        <v>0</v>
      </c>
      <c r="K2393" s="15">
        <v>0</v>
      </c>
      <c r="L2393" s="15">
        <v>0</v>
      </c>
      <c r="M2393" s="15">
        <v>0</v>
      </c>
      <c r="N2393" s="15" t="str">
        <v/>
      </c>
      <c r="O2393" s="15" t="str">
        <v/>
      </c>
      <c r="P2393" s="22">
        <v>0</v>
      </c>
      <c r="Q2393">
        <v>0</v>
      </c>
    </row>
    <row r="2394" spans="1:17">
      <c r="A2394" s="19">
        <v>0</v>
      </c>
      <c r="B2394" s="19">
        <v>0</v>
      </c>
      <c r="C2394" s="19">
        <v>0</v>
      </c>
      <c r="D2394" s="19">
        <v>0</v>
      </c>
      <c r="E2394" s="19">
        <v>0</v>
      </c>
      <c r="F2394" s="19">
        <v>0</v>
      </c>
      <c r="G2394" s="19">
        <v>0</v>
      </c>
      <c r="H2394" s="19">
        <v>0</v>
      </c>
      <c r="I2394" s="15">
        <v>3500</v>
      </c>
      <c r="J2394" s="15">
        <v>0</v>
      </c>
      <c r="K2394" s="15">
        <v>0</v>
      </c>
      <c r="L2394" s="15">
        <v>0</v>
      </c>
      <c r="M2394" s="15">
        <v>0</v>
      </c>
      <c r="N2394" s="15" t="str">
        <v/>
      </c>
      <c r="O2394" s="15" t="str">
        <v/>
      </c>
      <c r="P2394" s="22">
        <v>0</v>
      </c>
      <c r="Q2394">
        <v>0</v>
      </c>
    </row>
    <row r="2395" spans="1:17">
      <c r="A2395" s="19">
        <v>0</v>
      </c>
      <c r="B2395" s="19">
        <v>0</v>
      </c>
      <c r="C2395" s="19">
        <v>0</v>
      </c>
      <c r="D2395" s="19">
        <v>0</v>
      </c>
      <c r="E2395" s="19">
        <v>0</v>
      </c>
      <c r="F2395" s="19">
        <v>0</v>
      </c>
      <c r="G2395" s="19">
        <v>0</v>
      </c>
      <c r="H2395" s="19">
        <v>0</v>
      </c>
      <c r="I2395" s="15">
        <v>3500</v>
      </c>
      <c r="J2395" s="15">
        <v>0</v>
      </c>
      <c r="K2395" s="15">
        <v>0</v>
      </c>
      <c r="L2395" s="15">
        <v>0</v>
      </c>
      <c r="M2395" s="15">
        <v>0</v>
      </c>
      <c r="N2395" s="15" t="str">
        <v/>
      </c>
      <c r="O2395" s="15" t="str">
        <v/>
      </c>
      <c r="P2395" s="22">
        <v>0</v>
      </c>
      <c r="Q2395">
        <v>0</v>
      </c>
    </row>
    <row r="2396" spans="1:17">
      <c r="A2396" s="19">
        <v>0</v>
      </c>
      <c r="B2396" s="19">
        <v>0</v>
      </c>
      <c r="C2396" s="19">
        <v>0</v>
      </c>
      <c r="D2396" s="19">
        <v>0</v>
      </c>
      <c r="E2396" s="19">
        <v>0</v>
      </c>
      <c r="F2396" s="19">
        <v>0</v>
      </c>
      <c r="G2396" s="19">
        <v>0</v>
      </c>
      <c r="H2396" s="19">
        <v>0</v>
      </c>
      <c r="I2396" s="15">
        <v>3500</v>
      </c>
      <c r="J2396" s="15">
        <v>0</v>
      </c>
      <c r="K2396" s="15">
        <v>0</v>
      </c>
      <c r="L2396" s="15">
        <v>0</v>
      </c>
      <c r="M2396" s="15">
        <v>0</v>
      </c>
      <c r="N2396" s="15" t="str">
        <v/>
      </c>
      <c r="O2396" s="15" t="str">
        <v/>
      </c>
      <c r="P2396" s="22">
        <v>0</v>
      </c>
      <c r="Q2396">
        <v>0</v>
      </c>
    </row>
    <row r="2397" spans="1:17">
      <c r="A2397" s="19">
        <v>0</v>
      </c>
      <c r="B2397" s="19">
        <v>0</v>
      </c>
      <c r="C2397" s="19">
        <v>0</v>
      </c>
      <c r="D2397" s="19">
        <v>0</v>
      </c>
      <c r="E2397" s="19">
        <v>0</v>
      </c>
      <c r="F2397" s="19">
        <v>0</v>
      </c>
      <c r="G2397" s="19">
        <v>0</v>
      </c>
      <c r="H2397" s="19">
        <v>0</v>
      </c>
      <c r="I2397" s="15">
        <v>3500</v>
      </c>
      <c r="J2397" s="15">
        <v>0</v>
      </c>
      <c r="K2397" s="15">
        <v>0</v>
      </c>
      <c r="L2397" s="15">
        <v>0</v>
      </c>
      <c r="M2397" s="15">
        <v>0</v>
      </c>
      <c r="N2397" s="15" t="str">
        <v/>
      </c>
      <c r="O2397" s="15" t="str">
        <v/>
      </c>
      <c r="P2397" s="22">
        <v>0</v>
      </c>
      <c r="Q2397">
        <v>0</v>
      </c>
    </row>
    <row r="2398" spans="1:17">
      <c r="A2398" s="19">
        <v>0</v>
      </c>
      <c r="B2398" s="19">
        <v>0</v>
      </c>
      <c r="C2398" s="19">
        <v>0</v>
      </c>
      <c r="D2398" s="19">
        <v>0</v>
      </c>
      <c r="E2398" s="19">
        <v>0</v>
      </c>
      <c r="F2398" s="19">
        <v>0</v>
      </c>
      <c r="G2398" s="19">
        <v>0</v>
      </c>
      <c r="H2398" s="19">
        <v>0</v>
      </c>
      <c r="I2398" s="15">
        <v>3500</v>
      </c>
      <c r="J2398" s="15">
        <v>0</v>
      </c>
      <c r="K2398" s="15">
        <v>0</v>
      </c>
      <c r="L2398" s="15">
        <v>0</v>
      </c>
      <c r="M2398" s="15">
        <v>0</v>
      </c>
      <c r="N2398" s="15" t="str">
        <v/>
      </c>
      <c r="O2398" s="15" t="str">
        <v/>
      </c>
      <c r="P2398" s="22">
        <v>0</v>
      </c>
      <c r="Q2398">
        <v>0</v>
      </c>
    </row>
    <row r="2399" spans="1:17">
      <c r="A2399" s="19">
        <v>0</v>
      </c>
      <c r="B2399" s="19">
        <v>0</v>
      </c>
      <c r="C2399" s="19">
        <v>0</v>
      </c>
      <c r="D2399" s="19">
        <v>0</v>
      </c>
      <c r="E2399" s="19">
        <v>0</v>
      </c>
      <c r="F2399" s="19">
        <v>0</v>
      </c>
      <c r="G2399" s="19">
        <v>0</v>
      </c>
      <c r="H2399" s="19">
        <v>0</v>
      </c>
      <c r="I2399" s="15">
        <v>3500</v>
      </c>
      <c r="J2399" s="15">
        <v>0</v>
      </c>
      <c r="K2399" s="15">
        <v>0</v>
      </c>
      <c r="L2399" s="15">
        <v>0</v>
      </c>
      <c r="M2399" s="15">
        <v>0</v>
      </c>
      <c r="N2399" s="15" t="str">
        <v/>
      </c>
      <c r="O2399" s="15" t="str">
        <v/>
      </c>
      <c r="P2399" s="22">
        <v>0</v>
      </c>
      <c r="Q2399">
        <v>0</v>
      </c>
    </row>
    <row r="2400" spans="1:17">
      <c r="A2400" s="19">
        <v>0</v>
      </c>
      <c r="B2400" s="19">
        <v>0</v>
      </c>
      <c r="C2400" s="19">
        <v>0</v>
      </c>
      <c r="D2400" s="19">
        <v>0</v>
      </c>
      <c r="E2400" s="19">
        <v>0</v>
      </c>
      <c r="F2400" s="19">
        <v>0</v>
      </c>
      <c r="G2400" s="19">
        <v>0</v>
      </c>
      <c r="H2400" s="19">
        <v>0</v>
      </c>
      <c r="I2400" s="15">
        <v>3500</v>
      </c>
      <c r="J2400" s="15">
        <v>0</v>
      </c>
      <c r="K2400" s="15">
        <v>0</v>
      </c>
      <c r="L2400" s="15">
        <v>0</v>
      </c>
      <c r="M2400" s="15">
        <v>0</v>
      </c>
      <c r="N2400" s="15" t="str">
        <v/>
      </c>
      <c r="O2400" s="15" t="str">
        <v/>
      </c>
      <c r="P2400" s="22">
        <v>0</v>
      </c>
      <c r="Q2400">
        <v>0</v>
      </c>
    </row>
    <row r="2401" spans="1:17">
      <c r="A2401" s="19">
        <v>0</v>
      </c>
      <c r="B2401" s="19">
        <v>0</v>
      </c>
      <c r="C2401" s="19">
        <v>0</v>
      </c>
      <c r="D2401" s="19">
        <v>0</v>
      </c>
      <c r="E2401" s="19">
        <v>0</v>
      </c>
      <c r="F2401" s="19">
        <v>0</v>
      </c>
      <c r="G2401" s="19">
        <v>0</v>
      </c>
      <c r="H2401" s="19">
        <v>0</v>
      </c>
      <c r="I2401" s="15">
        <v>3500</v>
      </c>
      <c r="J2401" s="15">
        <v>0</v>
      </c>
      <c r="K2401" s="15">
        <v>0</v>
      </c>
      <c r="L2401" s="15">
        <v>0</v>
      </c>
      <c r="M2401" s="15">
        <v>0</v>
      </c>
      <c r="N2401" s="15" t="str">
        <v/>
      </c>
      <c r="O2401" s="15" t="str">
        <v/>
      </c>
      <c r="P2401" s="22">
        <v>0</v>
      </c>
      <c r="Q2401">
        <v>0</v>
      </c>
    </row>
    <row r="2402" spans="1:17">
      <c r="A2402" s="19">
        <v>0</v>
      </c>
      <c r="B2402" s="19">
        <v>0</v>
      </c>
      <c r="C2402" s="19">
        <v>0</v>
      </c>
      <c r="D2402" s="19">
        <v>0</v>
      </c>
      <c r="E2402" s="19">
        <v>0</v>
      </c>
      <c r="F2402" s="19">
        <v>0</v>
      </c>
      <c r="G2402" s="19">
        <v>0</v>
      </c>
      <c r="H2402" s="19">
        <v>0</v>
      </c>
      <c r="I2402" s="15">
        <v>3500</v>
      </c>
      <c r="J2402" s="15">
        <v>0</v>
      </c>
      <c r="K2402" s="15">
        <v>0</v>
      </c>
      <c r="L2402" s="15">
        <v>0</v>
      </c>
      <c r="M2402" s="15">
        <v>0</v>
      </c>
      <c r="N2402" s="15" t="str">
        <v/>
      </c>
      <c r="O2402" s="15" t="str">
        <v/>
      </c>
      <c r="P2402" s="22">
        <v>0</v>
      </c>
      <c r="Q2402">
        <v>0</v>
      </c>
    </row>
    <row r="2403" spans="1:17">
      <c r="A2403" s="19">
        <v>0</v>
      </c>
      <c r="B2403" s="19">
        <v>0</v>
      </c>
      <c r="C2403" s="19">
        <v>0</v>
      </c>
      <c r="D2403" s="19">
        <v>0</v>
      </c>
      <c r="E2403" s="19">
        <v>0</v>
      </c>
      <c r="F2403" s="19">
        <v>0</v>
      </c>
      <c r="G2403" s="19">
        <v>0</v>
      </c>
      <c r="H2403" s="19">
        <v>0</v>
      </c>
      <c r="I2403" s="15">
        <v>3500</v>
      </c>
      <c r="J2403" s="15">
        <v>0</v>
      </c>
      <c r="K2403" s="15">
        <v>0</v>
      </c>
      <c r="L2403" s="15">
        <v>0</v>
      </c>
      <c r="M2403" s="15">
        <v>0</v>
      </c>
      <c r="N2403" s="15" t="str">
        <v/>
      </c>
      <c r="O2403" s="15" t="str">
        <v/>
      </c>
      <c r="P2403" s="22">
        <v>0</v>
      </c>
      <c r="Q2403">
        <v>0</v>
      </c>
    </row>
    <row r="2404" spans="1:17">
      <c r="A2404" s="19">
        <v>0</v>
      </c>
      <c r="B2404" s="19">
        <v>0</v>
      </c>
      <c r="C2404" s="19">
        <v>0</v>
      </c>
      <c r="D2404" s="19">
        <v>0</v>
      </c>
      <c r="E2404" s="19">
        <v>0</v>
      </c>
      <c r="F2404" s="19">
        <v>0</v>
      </c>
      <c r="G2404" s="19">
        <v>0</v>
      </c>
      <c r="H2404" s="19">
        <v>0</v>
      </c>
      <c r="I2404" s="15">
        <v>3500</v>
      </c>
      <c r="J2404" s="15">
        <v>0</v>
      </c>
      <c r="K2404" s="15">
        <v>0</v>
      </c>
      <c r="L2404" s="15">
        <v>0</v>
      </c>
      <c r="M2404" s="15">
        <v>0</v>
      </c>
      <c r="N2404" s="15" t="str">
        <v/>
      </c>
      <c r="O2404" s="15" t="str">
        <v/>
      </c>
      <c r="P2404" s="22">
        <v>0</v>
      </c>
      <c r="Q2404">
        <v>0</v>
      </c>
    </row>
    <row r="2405" spans="1:17">
      <c r="A2405" s="19">
        <v>0</v>
      </c>
      <c r="B2405" s="19">
        <v>0</v>
      </c>
      <c r="C2405" s="19">
        <v>0</v>
      </c>
      <c r="D2405" s="19">
        <v>0</v>
      </c>
      <c r="E2405" s="19">
        <v>0</v>
      </c>
      <c r="F2405" s="19">
        <v>0</v>
      </c>
      <c r="G2405" s="19">
        <v>0</v>
      </c>
      <c r="H2405" s="19">
        <v>0</v>
      </c>
      <c r="I2405" s="15">
        <v>3500</v>
      </c>
      <c r="J2405" s="15">
        <v>0</v>
      </c>
      <c r="K2405" s="15">
        <v>0</v>
      </c>
      <c r="L2405" s="15">
        <v>0</v>
      </c>
      <c r="M2405" s="15">
        <v>0</v>
      </c>
      <c r="N2405" s="15" t="str">
        <v/>
      </c>
      <c r="O2405" s="15" t="str">
        <v/>
      </c>
      <c r="P2405" s="22">
        <v>0</v>
      </c>
      <c r="Q2405">
        <v>0</v>
      </c>
    </row>
    <row r="2406" spans="1:17">
      <c r="A2406" s="19">
        <v>0</v>
      </c>
      <c r="B2406" s="19">
        <v>0</v>
      </c>
      <c r="C2406" s="19">
        <v>0</v>
      </c>
      <c r="D2406" s="19">
        <v>0</v>
      </c>
      <c r="E2406" s="19">
        <v>0</v>
      </c>
      <c r="F2406" s="19">
        <v>0</v>
      </c>
      <c r="G2406" s="19">
        <v>0</v>
      </c>
      <c r="H2406" s="19">
        <v>0</v>
      </c>
      <c r="I2406" s="15">
        <v>3500</v>
      </c>
      <c r="J2406" s="15">
        <v>0</v>
      </c>
      <c r="K2406" s="15">
        <v>0</v>
      </c>
      <c r="L2406" s="15">
        <v>0</v>
      </c>
      <c r="M2406" s="15">
        <v>0</v>
      </c>
      <c r="N2406" s="15" t="str">
        <v/>
      </c>
      <c r="O2406" s="15" t="str">
        <v/>
      </c>
      <c r="P2406" s="22">
        <v>0</v>
      </c>
      <c r="Q2406">
        <v>0</v>
      </c>
    </row>
    <row r="2407" spans="1:17">
      <c r="A2407" s="19">
        <v>0</v>
      </c>
      <c r="B2407" s="19">
        <v>0</v>
      </c>
      <c r="C2407" s="19">
        <v>0</v>
      </c>
      <c r="D2407" s="19">
        <v>0</v>
      </c>
      <c r="E2407" s="19">
        <v>0</v>
      </c>
      <c r="F2407" s="19">
        <v>0</v>
      </c>
      <c r="G2407" s="19">
        <v>0</v>
      </c>
      <c r="H2407" s="19">
        <v>0</v>
      </c>
      <c r="I2407" s="15">
        <v>3500</v>
      </c>
      <c r="J2407" s="15">
        <v>0</v>
      </c>
      <c r="K2407" s="15">
        <v>0</v>
      </c>
      <c r="L2407" s="15">
        <v>0</v>
      </c>
      <c r="M2407" s="15">
        <v>0</v>
      </c>
      <c r="N2407" s="15" t="str">
        <v/>
      </c>
      <c r="O2407" s="15" t="str">
        <v/>
      </c>
      <c r="P2407" s="22">
        <v>0</v>
      </c>
      <c r="Q2407">
        <v>0</v>
      </c>
    </row>
    <row r="2408" spans="1:17">
      <c r="A2408" s="19">
        <v>0</v>
      </c>
      <c r="B2408" s="19">
        <v>0</v>
      </c>
      <c r="C2408" s="19">
        <v>0</v>
      </c>
      <c r="D2408" s="19">
        <v>0</v>
      </c>
      <c r="E2408" s="19">
        <v>0</v>
      </c>
      <c r="F2408" s="19">
        <v>0</v>
      </c>
      <c r="G2408" s="19">
        <v>0</v>
      </c>
      <c r="H2408" s="19">
        <v>0</v>
      </c>
      <c r="I2408" s="15">
        <v>3500</v>
      </c>
      <c r="J2408" s="15">
        <v>0</v>
      </c>
      <c r="K2408" s="15">
        <v>0</v>
      </c>
      <c r="L2408" s="15">
        <v>0</v>
      </c>
      <c r="M2408" s="15">
        <v>0</v>
      </c>
      <c r="N2408" s="15" t="str">
        <v/>
      </c>
      <c r="O2408" s="15" t="str">
        <v/>
      </c>
      <c r="P2408" s="22">
        <v>0</v>
      </c>
      <c r="Q2408">
        <v>0</v>
      </c>
    </row>
    <row r="2409" spans="1:17">
      <c r="A2409" s="19">
        <v>0</v>
      </c>
      <c r="B2409" s="19">
        <v>0</v>
      </c>
      <c r="C2409" s="19">
        <v>0</v>
      </c>
      <c r="D2409" s="19">
        <v>0</v>
      </c>
      <c r="E2409" s="19">
        <v>0</v>
      </c>
      <c r="F2409" s="19">
        <v>0</v>
      </c>
      <c r="G2409" s="19">
        <v>0</v>
      </c>
      <c r="H2409" s="19">
        <v>0</v>
      </c>
      <c r="I2409" s="15">
        <v>3500</v>
      </c>
      <c r="J2409" s="15">
        <v>0</v>
      </c>
      <c r="K2409" s="15">
        <v>0</v>
      </c>
      <c r="L2409" s="15">
        <v>0</v>
      </c>
      <c r="M2409" s="15">
        <v>0</v>
      </c>
      <c r="N2409" s="15" t="str">
        <v/>
      </c>
      <c r="O2409" s="15" t="str">
        <v/>
      </c>
      <c r="P2409" s="22">
        <v>0</v>
      </c>
      <c r="Q2409">
        <v>0</v>
      </c>
    </row>
    <row r="2410" spans="1:17">
      <c r="A2410" s="19">
        <v>0</v>
      </c>
      <c r="B2410" s="19">
        <v>0</v>
      </c>
      <c r="C2410" s="19">
        <v>0</v>
      </c>
      <c r="D2410" s="19">
        <v>0</v>
      </c>
      <c r="E2410" s="19">
        <v>0</v>
      </c>
      <c r="F2410" s="19">
        <v>0</v>
      </c>
      <c r="G2410" s="19">
        <v>0</v>
      </c>
      <c r="H2410" s="19">
        <v>0</v>
      </c>
      <c r="I2410" s="15">
        <v>3500</v>
      </c>
      <c r="J2410" s="15">
        <v>0</v>
      </c>
      <c r="K2410" s="15">
        <v>0</v>
      </c>
      <c r="L2410" s="15">
        <v>0</v>
      </c>
      <c r="M2410" s="15">
        <v>0</v>
      </c>
      <c r="N2410" s="15" t="str">
        <v/>
      </c>
      <c r="O2410" s="15" t="str">
        <v/>
      </c>
      <c r="P2410" s="22">
        <v>0</v>
      </c>
      <c r="Q2410">
        <v>0</v>
      </c>
    </row>
    <row r="2411" spans="1:17">
      <c r="A2411" s="19">
        <v>0</v>
      </c>
      <c r="B2411" s="19">
        <v>0</v>
      </c>
      <c r="C2411" s="19">
        <v>0</v>
      </c>
      <c r="D2411" s="19">
        <v>0</v>
      </c>
      <c r="E2411" s="19">
        <v>0</v>
      </c>
      <c r="F2411" s="19">
        <v>0</v>
      </c>
      <c r="G2411" s="19">
        <v>0</v>
      </c>
      <c r="H2411" s="19">
        <v>0</v>
      </c>
      <c r="I2411" s="15">
        <v>3500</v>
      </c>
      <c r="J2411" s="15">
        <v>0</v>
      </c>
      <c r="K2411" s="15">
        <v>0</v>
      </c>
      <c r="L2411" s="15">
        <v>0</v>
      </c>
      <c r="M2411" s="15">
        <v>0</v>
      </c>
      <c r="N2411" s="15" t="str">
        <v/>
      </c>
      <c r="O2411" s="15" t="str">
        <v/>
      </c>
      <c r="P2411" s="22">
        <v>0</v>
      </c>
      <c r="Q2411">
        <v>0</v>
      </c>
    </row>
    <row r="2412" spans="1:17">
      <c r="A2412" s="19">
        <v>0</v>
      </c>
      <c r="B2412" s="19">
        <v>0</v>
      </c>
      <c r="C2412" s="19">
        <v>0</v>
      </c>
      <c r="D2412" s="19">
        <v>0</v>
      </c>
      <c r="E2412" s="19">
        <v>0</v>
      </c>
      <c r="F2412" s="19">
        <v>0</v>
      </c>
      <c r="G2412" s="19">
        <v>0</v>
      </c>
      <c r="H2412" s="19">
        <v>0</v>
      </c>
      <c r="I2412" s="15">
        <v>3500</v>
      </c>
      <c r="J2412" s="15">
        <v>0</v>
      </c>
      <c r="K2412" s="15">
        <v>0</v>
      </c>
      <c r="L2412" s="15">
        <v>0</v>
      </c>
      <c r="M2412" s="15">
        <v>0</v>
      </c>
      <c r="N2412" s="15" t="str">
        <v/>
      </c>
      <c r="O2412" s="15" t="str">
        <v/>
      </c>
      <c r="P2412" s="22">
        <v>0</v>
      </c>
      <c r="Q2412">
        <v>0</v>
      </c>
    </row>
    <row r="2413" spans="1:17">
      <c r="A2413" s="19">
        <v>0</v>
      </c>
      <c r="B2413" s="19">
        <v>0</v>
      </c>
      <c r="C2413" s="19">
        <v>0</v>
      </c>
      <c r="D2413" s="19">
        <v>0</v>
      </c>
      <c r="E2413" s="19">
        <v>0</v>
      </c>
      <c r="F2413" s="19">
        <v>0</v>
      </c>
      <c r="G2413" s="19">
        <v>0</v>
      </c>
      <c r="H2413" s="19">
        <v>0</v>
      </c>
      <c r="I2413" s="15">
        <v>3500</v>
      </c>
      <c r="J2413" s="15">
        <v>0</v>
      </c>
      <c r="K2413" s="15">
        <v>0</v>
      </c>
      <c r="L2413" s="15">
        <v>0</v>
      </c>
      <c r="M2413" s="15">
        <v>0</v>
      </c>
      <c r="N2413" s="15" t="str">
        <v/>
      </c>
      <c r="O2413" s="15" t="str">
        <v/>
      </c>
      <c r="P2413" s="22">
        <v>0</v>
      </c>
      <c r="Q2413">
        <v>0</v>
      </c>
    </row>
    <row r="2414" spans="1:17">
      <c r="A2414" s="19">
        <v>0</v>
      </c>
      <c r="B2414" s="19">
        <v>0</v>
      </c>
      <c r="C2414" s="19">
        <v>0</v>
      </c>
      <c r="D2414" s="19">
        <v>0</v>
      </c>
      <c r="E2414" s="19">
        <v>0</v>
      </c>
      <c r="F2414" s="19">
        <v>0</v>
      </c>
      <c r="G2414" s="19">
        <v>0</v>
      </c>
      <c r="H2414" s="19">
        <v>0</v>
      </c>
      <c r="I2414" s="15">
        <v>3500</v>
      </c>
      <c r="J2414" s="15">
        <v>0</v>
      </c>
      <c r="K2414" s="15">
        <v>0</v>
      </c>
      <c r="L2414" s="15">
        <v>0</v>
      </c>
      <c r="M2414" s="15">
        <v>0</v>
      </c>
      <c r="N2414" s="15" t="str">
        <v/>
      </c>
      <c r="O2414" s="15" t="str">
        <v/>
      </c>
      <c r="P2414" s="22">
        <v>0</v>
      </c>
      <c r="Q2414">
        <v>0</v>
      </c>
    </row>
    <row r="2415" spans="1:17">
      <c r="A2415" s="19">
        <v>0</v>
      </c>
      <c r="B2415" s="19">
        <v>0</v>
      </c>
      <c r="C2415" s="19">
        <v>0</v>
      </c>
      <c r="D2415" s="19">
        <v>0</v>
      </c>
      <c r="E2415" s="19">
        <v>0</v>
      </c>
      <c r="F2415" s="19">
        <v>0</v>
      </c>
      <c r="G2415" s="19">
        <v>0</v>
      </c>
      <c r="H2415" s="19">
        <v>0</v>
      </c>
      <c r="I2415" s="15">
        <v>3500</v>
      </c>
      <c r="J2415" s="15">
        <v>0</v>
      </c>
      <c r="K2415" s="15">
        <v>0</v>
      </c>
      <c r="L2415" s="15">
        <v>0</v>
      </c>
      <c r="M2415" s="15">
        <v>0</v>
      </c>
      <c r="N2415" s="15" t="str">
        <v/>
      </c>
      <c r="O2415" s="15" t="str">
        <v/>
      </c>
      <c r="P2415" s="22">
        <v>0</v>
      </c>
      <c r="Q2415">
        <v>0</v>
      </c>
    </row>
    <row r="2416" spans="1:17">
      <c r="A2416" s="19">
        <v>0</v>
      </c>
      <c r="B2416" s="19">
        <v>0</v>
      </c>
      <c r="C2416" s="19">
        <v>0</v>
      </c>
      <c r="D2416" s="19">
        <v>0</v>
      </c>
      <c r="E2416" s="19">
        <v>0</v>
      </c>
      <c r="F2416" s="19">
        <v>0</v>
      </c>
      <c r="G2416" s="19">
        <v>0</v>
      </c>
      <c r="H2416" s="19">
        <v>0</v>
      </c>
      <c r="I2416" s="15">
        <v>3500</v>
      </c>
      <c r="J2416" s="15">
        <v>0</v>
      </c>
      <c r="K2416" s="15">
        <v>0</v>
      </c>
      <c r="L2416" s="15">
        <v>0</v>
      </c>
      <c r="M2416" s="15">
        <v>0</v>
      </c>
      <c r="N2416" s="15" t="str">
        <v/>
      </c>
      <c r="O2416" s="15" t="str">
        <v/>
      </c>
      <c r="P2416" s="22">
        <v>0</v>
      </c>
      <c r="Q2416">
        <v>0</v>
      </c>
    </row>
    <row r="2417" spans="1:17">
      <c r="A2417" s="19">
        <v>0</v>
      </c>
      <c r="B2417" s="19">
        <v>0</v>
      </c>
      <c r="C2417" s="19">
        <v>0</v>
      </c>
      <c r="D2417" s="19">
        <v>0</v>
      </c>
      <c r="E2417" s="19">
        <v>0</v>
      </c>
      <c r="F2417" s="19">
        <v>0</v>
      </c>
      <c r="G2417" s="19">
        <v>0</v>
      </c>
      <c r="H2417" s="19">
        <v>0</v>
      </c>
      <c r="I2417" s="15">
        <v>3500</v>
      </c>
      <c r="J2417" s="15">
        <v>0</v>
      </c>
      <c r="K2417" s="15">
        <v>0</v>
      </c>
      <c r="L2417" s="15">
        <v>0</v>
      </c>
      <c r="M2417" s="15">
        <v>0</v>
      </c>
      <c r="N2417" s="15" t="str">
        <v/>
      </c>
      <c r="O2417" s="15" t="str">
        <v/>
      </c>
      <c r="P2417" s="22">
        <v>0</v>
      </c>
      <c r="Q2417">
        <v>0</v>
      </c>
    </row>
    <row r="2418" spans="1:17">
      <c r="A2418" s="19">
        <v>0</v>
      </c>
      <c r="B2418" s="19">
        <v>0</v>
      </c>
      <c r="C2418" s="19">
        <v>0</v>
      </c>
      <c r="D2418" s="19">
        <v>0</v>
      </c>
      <c r="E2418" s="19">
        <v>0</v>
      </c>
      <c r="F2418" s="19">
        <v>0</v>
      </c>
      <c r="G2418" s="19">
        <v>0</v>
      </c>
      <c r="H2418" s="19">
        <v>0</v>
      </c>
      <c r="I2418" s="15">
        <v>3500</v>
      </c>
      <c r="J2418" s="15">
        <v>0</v>
      </c>
      <c r="K2418" s="15">
        <v>0</v>
      </c>
      <c r="L2418" s="15">
        <v>0</v>
      </c>
      <c r="M2418" s="15">
        <v>0</v>
      </c>
      <c r="N2418" s="15" t="str">
        <v/>
      </c>
      <c r="O2418" s="15" t="str">
        <v/>
      </c>
      <c r="P2418" s="22">
        <v>0</v>
      </c>
      <c r="Q2418">
        <v>0</v>
      </c>
    </row>
    <row r="2419" spans="1:17">
      <c r="A2419" s="19">
        <v>0</v>
      </c>
      <c r="B2419" s="19">
        <v>0</v>
      </c>
      <c r="C2419" s="19">
        <v>0</v>
      </c>
      <c r="D2419" s="19">
        <v>0</v>
      </c>
      <c r="E2419" s="19">
        <v>0</v>
      </c>
      <c r="F2419" s="19">
        <v>0</v>
      </c>
      <c r="G2419" s="19">
        <v>0</v>
      </c>
      <c r="H2419" s="19">
        <v>0</v>
      </c>
      <c r="I2419" s="15">
        <v>3500</v>
      </c>
      <c r="J2419" s="15">
        <v>0</v>
      </c>
      <c r="K2419" s="15">
        <v>0</v>
      </c>
      <c r="L2419" s="15">
        <v>0</v>
      </c>
      <c r="M2419" s="15">
        <v>0</v>
      </c>
      <c r="N2419" s="15" t="str">
        <v/>
      </c>
      <c r="O2419" s="15" t="str">
        <v/>
      </c>
      <c r="P2419" s="22">
        <v>0</v>
      </c>
      <c r="Q2419">
        <v>0</v>
      </c>
    </row>
    <row r="2420" spans="1:17">
      <c r="A2420" s="19">
        <v>0</v>
      </c>
      <c r="B2420" s="19">
        <v>0</v>
      </c>
      <c r="C2420" s="19">
        <v>0</v>
      </c>
      <c r="D2420" s="19">
        <v>0</v>
      </c>
      <c r="E2420" s="19">
        <v>0</v>
      </c>
      <c r="F2420" s="19">
        <v>0</v>
      </c>
      <c r="G2420" s="19">
        <v>0</v>
      </c>
      <c r="H2420" s="19">
        <v>0</v>
      </c>
      <c r="I2420" s="15">
        <v>3500</v>
      </c>
      <c r="J2420" s="15">
        <v>0</v>
      </c>
      <c r="K2420" s="15">
        <v>0</v>
      </c>
      <c r="L2420" s="15">
        <v>0</v>
      </c>
      <c r="M2420" s="15">
        <v>0</v>
      </c>
      <c r="N2420" s="15" t="str">
        <v/>
      </c>
      <c r="O2420" s="15" t="str">
        <v/>
      </c>
      <c r="P2420" s="22">
        <v>0</v>
      </c>
      <c r="Q2420">
        <v>0</v>
      </c>
    </row>
    <row r="2421" spans="1:17">
      <c r="A2421" s="19">
        <v>0</v>
      </c>
      <c r="B2421" s="19">
        <v>0</v>
      </c>
      <c r="C2421" s="19">
        <v>0</v>
      </c>
      <c r="D2421" s="19">
        <v>0</v>
      </c>
      <c r="E2421" s="19">
        <v>0</v>
      </c>
      <c r="F2421" s="19">
        <v>0</v>
      </c>
      <c r="G2421" s="19">
        <v>0</v>
      </c>
      <c r="H2421" s="19">
        <v>0</v>
      </c>
      <c r="I2421" s="15">
        <v>3500</v>
      </c>
      <c r="J2421" s="15">
        <v>0</v>
      </c>
      <c r="K2421" s="15">
        <v>0</v>
      </c>
      <c r="L2421" s="15">
        <v>0</v>
      </c>
      <c r="M2421" s="15">
        <v>0</v>
      </c>
      <c r="N2421" s="15" t="str">
        <v/>
      </c>
      <c r="O2421" s="15" t="str">
        <v/>
      </c>
      <c r="P2421" s="22">
        <v>0</v>
      </c>
      <c r="Q2421">
        <v>0</v>
      </c>
    </row>
    <row r="2422" spans="1:17">
      <c r="A2422" s="19">
        <v>0</v>
      </c>
      <c r="B2422" s="19">
        <v>0</v>
      </c>
      <c r="C2422" s="19">
        <v>0</v>
      </c>
      <c r="D2422" s="19">
        <v>0</v>
      </c>
      <c r="E2422" s="19">
        <v>0</v>
      </c>
      <c r="F2422" s="19">
        <v>0</v>
      </c>
      <c r="G2422" s="19">
        <v>0</v>
      </c>
      <c r="H2422" s="19">
        <v>0</v>
      </c>
      <c r="I2422" s="15">
        <v>3500</v>
      </c>
      <c r="J2422" s="15">
        <v>0</v>
      </c>
      <c r="K2422" s="15">
        <v>0</v>
      </c>
      <c r="L2422" s="15">
        <v>0</v>
      </c>
      <c r="M2422" s="15">
        <v>0</v>
      </c>
      <c r="N2422" s="15" t="str">
        <v/>
      </c>
      <c r="O2422" s="15" t="str">
        <v/>
      </c>
      <c r="P2422" s="22">
        <v>0</v>
      </c>
      <c r="Q2422">
        <v>0</v>
      </c>
    </row>
    <row r="2423" spans="1:17">
      <c r="A2423" s="19">
        <v>0</v>
      </c>
      <c r="B2423" s="19">
        <v>0</v>
      </c>
      <c r="C2423" s="19">
        <v>0</v>
      </c>
      <c r="D2423" s="19">
        <v>0</v>
      </c>
      <c r="E2423" s="19">
        <v>0</v>
      </c>
      <c r="F2423" s="19">
        <v>0</v>
      </c>
      <c r="G2423" s="19">
        <v>0</v>
      </c>
      <c r="H2423" s="19">
        <v>0</v>
      </c>
      <c r="I2423" s="15">
        <v>3500</v>
      </c>
      <c r="J2423" s="15">
        <v>0</v>
      </c>
      <c r="K2423" s="15">
        <v>0</v>
      </c>
      <c r="L2423" s="15">
        <v>0</v>
      </c>
      <c r="M2423" s="15">
        <v>0</v>
      </c>
      <c r="N2423" s="15" t="str">
        <v/>
      </c>
      <c r="O2423" s="15" t="str">
        <v/>
      </c>
      <c r="P2423" s="22">
        <v>0</v>
      </c>
      <c r="Q2423">
        <v>0</v>
      </c>
    </row>
    <row r="2424" spans="1:17">
      <c r="A2424" s="19">
        <v>0</v>
      </c>
      <c r="B2424" s="19">
        <v>0</v>
      </c>
      <c r="C2424" s="19">
        <v>0</v>
      </c>
      <c r="D2424" s="19">
        <v>0</v>
      </c>
      <c r="E2424" s="19">
        <v>0</v>
      </c>
      <c r="F2424" s="19">
        <v>0</v>
      </c>
      <c r="G2424" s="19">
        <v>0</v>
      </c>
      <c r="H2424" s="19">
        <v>0</v>
      </c>
      <c r="I2424" s="15">
        <v>3500</v>
      </c>
      <c r="J2424" s="15">
        <v>0</v>
      </c>
      <c r="K2424" s="15">
        <v>0</v>
      </c>
      <c r="L2424" s="15">
        <v>0</v>
      </c>
      <c r="M2424" s="15">
        <v>0</v>
      </c>
      <c r="N2424" s="15" t="str">
        <v/>
      </c>
      <c r="O2424" s="15" t="str">
        <v/>
      </c>
      <c r="P2424" s="22">
        <v>0</v>
      </c>
      <c r="Q2424">
        <v>0</v>
      </c>
    </row>
    <row r="2425" spans="1:17">
      <c r="A2425" s="19">
        <v>0</v>
      </c>
      <c r="B2425" s="19">
        <v>0</v>
      </c>
      <c r="C2425" s="19">
        <v>0</v>
      </c>
      <c r="D2425" s="19">
        <v>0</v>
      </c>
      <c r="E2425" s="19">
        <v>0</v>
      </c>
      <c r="F2425" s="19">
        <v>0</v>
      </c>
      <c r="G2425" s="19">
        <v>0</v>
      </c>
      <c r="H2425" s="19">
        <v>0</v>
      </c>
      <c r="I2425" s="15">
        <v>3500</v>
      </c>
      <c r="J2425" s="15">
        <v>0</v>
      </c>
      <c r="K2425" s="15">
        <v>0</v>
      </c>
      <c r="L2425" s="15">
        <v>0</v>
      </c>
      <c r="M2425" s="15">
        <v>0</v>
      </c>
      <c r="N2425" s="15" t="str">
        <v/>
      </c>
      <c r="O2425" s="15" t="str">
        <v/>
      </c>
      <c r="P2425" s="22">
        <v>0</v>
      </c>
      <c r="Q2425">
        <v>0</v>
      </c>
    </row>
    <row r="2426" spans="1:17">
      <c r="A2426" s="19">
        <v>0</v>
      </c>
      <c r="B2426" s="19">
        <v>0</v>
      </c>
      <c r="C2426" s="19">
        <v>0</v>
      </c>
      <c r="D2426" s="19">
        <v>0</v>
      </c>
      <c r="E2426" s="19">
        <v>0</v>
      </c>
      <c r="F2426" s="19">
        <v>0</v>
      </c>
      <c r="G2426" s="19">
        <v>0</v>
      </c>
      <c r="H2426" s="19">
        <v>0</v>
      </c>
      <c r="I2426" s="15">
        <v>3500</v>
      </c>
      <c r="J2426" s="15">
        <v>0</v>
      </c>
      <c r="K2426" s="15">
        <v>0</v>
      </c>
      <c r="L2426" s="15">
        <v>0</v>
      </c>
      <c r="M2426" s="15">
        <v>0</v>
      </c>
      <c r="N2426" s="15" t="str">
        <v/>
      </c>
      <c r="O2426" s="15" t="str">
        <v/>
      </c>
      <c r="P2426" s="22">
        <v>0</v>
      </c>
      <c r="Q2426">
        <v>0</v>
      </c>
    </row>
    <row r="2427" spans="1:17">
      <c r="A2427" s="19">
        <v>0</v>
      </c>
      <c r="B2427" s="19">
        <v>0</v>
      </c>
      <c r="C2427" s="19">
        <v>0</v>
      </c>
      <c r="D2427" s="19">
        <v>0</v>
      </c>
      <c r="E2427" s="19">
        <v>0</v>
      </c>
      <c r="F2427" s="19">
        <v>0</v>
      </c>
      <c r="G2427" s="19">
        <v>0</v>
      </c>
      <c r="H2427" s="19">
        <v>0</v>
      </c>
      <c r="I2427" s="15">
        <v>3500</v>
      </c>
      <c r="J2427" s="15">
        <v>0</v>
      </c>
      <c r="K2427" s="15">
        <v>0</v>
      </c>
      <c r="L2427" s="15">
        <v>0</v>
      </c>
      <c r="M2427" s="15">
        <v>0</v>
      </c>
      <c r="N2427" s="15" t="str">
        <v/>
      </c>
      <c r="O2427" s="15" t="str">
        <v/>
      </c>
      <c r="P2427" s="22">
        <v>0</v>
      </c>
      <c r="Q2427">
        <v>0</v>
      </c>
    </row>
    <row r="2428" spans="1:17">
      <c r="A2428" s="19">
        <v>0</v>
      </c>
      <c r="B2428" s="19">
        <v>0</v>
      </c>
      <c r="C2428" s="19">
        <v>0</v>
      </c>
      <c r="D2428" s="19">
        <v>0</v>
      </c>
      <c r="E2428" s="19">
        <v>0</v>
      </c>
      <c r="F2428" s="19">
        <v>0</v>
      </c>
      <c r="G2428" s="19">
        <v>0</v>
      </c>
      <c r="H2428" s="19">
        <v>0</v>
      </c>
      <c r="I2428" s="15">
        <v>3500</v>
      </c>
      <c r="J2428" s="15">
        <v>0</v>
      </c>
      <c r="K2428" s="15">
        <v>0</v>
      </c>
      <c r="L2428" s="15">
        <v>0</v>
      </c>
      <c r="M2428" s="15">
        <v>0</v>
      </c>
      <c r="N2428" s="15" t="str">
        <v/>
      </c>
      <c r="O2428" s="15" t="str">
        <v/>
      </c>
      <c r="P2428" s="22">
        <v>0</v>
      </c>
      <c r="Q2428">
        <v>0</v>
      </c>
    </row>
    <row r="2429" spans="1:17">
      <c r="A2429" s="19">
        <v>0</v>
      </c>
      <c r="B2429" s="19">
        <v>0</v>
      </c>
      <c r="C2429" s="19">
        <v>0</v>
      </c>
      <c r="D2429" s="19">
        <v>0</v>
      </c>
      <c r="E2429" s="19">
        <v>0</v>
      </c>
      <c r="F2429" s="19">
        <v>0</v>
      </c>
      <c r="G2429" s="19">
        <v>0</v>
      </c>
      <c r="H2429" s="19">
        <v>0</v>
      </c>
      <c r="I2429" s="15">
        <v>3500</v>
      </c>
      <c r="J2429" s="15">
        <v>0</v>
      </c>
      <c r="K2429" s="15">
        <v>0</v>
      </c>
      <c r="L2429" s="15">
        <v>0</v>
      </c>
      <c r="M2429" s="15">
        <v>0</v>
      </c>
      <c r="N2429" s="15" t="str">
        <v/>
      </c>
      <c r="O2429" s="15" t="str">
        <v/>
      </c>
      <c r="P2429" s="22">
        <v>0</v>
      </c>
      <c r="Q2429">
        <v>0</v>
      </c>
    </row>
    <row r="2430" spans="1:17">
      <c r="A2430" s="19">
        <v>0</v>
      </c>
      <c r="B2430" s="19">
        <v>0</v>
      </c>
      <c r="C2430" s="19">
        <v>0</v>
      </c>
      <c r="D2430" s="19">
        <v>0</v>
      </c>
      <c r="E2430" s="19">
        <v>0</v>
      </c>
      <c r="F2430" s="19">
        <v>0</v>
      </c>
      <c r="G2430" s="19">
        <v>0</v>
      </c>
      <c r="H2430" s="19">
        <v>0</v>
      </c>
      <c r="I2430" s="15">
        <v>3500</v>
      </c>
      <c r="J2430" s="15">
        <v>0</v>
      </c>
      <c r="K2430" s="15">
        <v>0</v>
      </c>
      <c r="L2430" s="15">
        <v>0</v>
      </c>
      <c r="M2430" s="15">
        <v>0</v>
      </c>
      <c r="N2430" s="15" t="str">
        <v/>
      </c>
      <c r="O2430" s="15" t="str">
        <v/>
      </c>
      <c r="P2430" s="22">
        <v>0</v>
      </c>
      <c r="Q2430">
        <v>0</v>
      </c>
    </row>
    <row r="2431" spans="1:17">
      <c r="A2431" s="19">
        <v>0</v>
      </c>
      <c r="B2431" s="19">
        <v>0</v>
      </c>
      <c r="C2431" s="19">
        <v>0</v>
      </c>
      <c r="D2431" s="19">
        <v>0</v>
      </c>
      <c r="E2431" s="19">
        <v>0</v>
      </c>
      <c r="F2431" s="19">
        <v>0</v>
      </c>
      <c r="G2431" s="19">
        <v>0</v>
      </c>
      <c r="H2431" s="19">
        <v>0</v>
      </c>
      <c r="I2431" s="15">
        <v>3500</v>
      </c>
      <c r="J2431" s="15">
        <v>0</v>
      </c>
      <c r="K2431" s="15">
        <v>0</v>
      </c>
      <c r="L2431" s="15">
        <v>0</v>
      </c>
      <c r="M2431" s="15">
        <v>0</v>
      </c>
      <c r="N2431" s="15" t="str">
        <v/>
      </c>
      <c r="O2431" s="15" t="str">
        <v/>
      </c>
      <c r="P2431" s="22">
        <v>0</v>
      </c>
      <c r="Q2431">
        <v>0</v>
      </c>
    </row>
    <row r="2432" spans="1:17">
      <c r="A2432" s="19">
        <v>0</v>
      </c>
      <c r="B2432" s="19">
        <v>0</v>
      </c>
      <c r="C2432" s="19">
        <v>0</v>
      </c>
      <c r="D2432" s="19">
        <v>0</v>
      </c>
      <c r="E2432" s="19">
        <v>0</v>
      </c>
      <c r="F2432" s="19">
        <v>0</v>
      </c>
      <c r="G2432" s="19">
        <v>0</v>
      </c>
      <c r="H2432" s="19">
        <v>0</v>
      </c>
      <c r="I2432" s="15">
        <v>3500</v>
      </c>
      <c r="J2432" s="15">
        <v>0</v>
      </c>
      <c r="K2432" s="15">
        <v>0</v>
      </c>
      <c r="L2432" s="15">
        <v>0</v>
      </c>
      <c r="M2432" s="15">
        <v>0</v>
      </c>
      <c r="N2432" s="15" t="str">
        <v/>
      </c>
      <c r="O2432" s="15" t="str">
        <v/>
      </c>
      <c r="P2432" s="22">
        <v>0</v>
      </c>
      <c r="Q2432">
        <v>0</v>
      </c>
    </row>
    <row r="2433" spans="1:17">
      <c r="A2433" s="19">
        <v>0</v>
      </c>
      <c r="B2433" s="19">
        <v>0</v>
      </c>
      <c r="C2433" s="19">
        <v>0</v>
      </c>
      <c r="D2433" s="19">
        <v>0</v>
      </c>
      <c r="E2433" s="19">
        <v>0</v>
      </c>
      <c r="F2433" s="19">
        <v>0</v>
      </c>
      <c r="G2433" s="19">
        <v>0</v>
      </c>
      <c r="H2433" s="19">
        <v>0</v>
      </c>
      <c r="I2433" s="15">
        <v>3500</v>
      </c>
      <c r="J2433" s="15">
        <v>0</v>
      </c>
      <c r="K2433" s="15">
        <v>0</v>
      </c>
      <c r="L2433" s="15">
        <v>0</v>
      </c>
      <c r="M2433" s="15">
        <v>0</v>
      </c>
      <c r="N2433" s="15" t="str">
        <v/>
      </c>
      <c r="O2433" s="15" t="str">
        <v/>
      </c>
      <c r="P2433" s="22">
        <v>0</v>
      </c>
      <c r="Q2433">
        <v>0</v>
      </c>
    </row>
    <row r="2434" spans="1:17">
      <c r="A2434" s="19">
        <v>0</v>
      </c>
      <c r="B2434" s="19">
        <v>0</v>
      </c>
      <c r="C2434" s="19">
        <v>0</v>
      </c>
      <c r="D2434" s="19">
        <v>0</v>
      </c>
      <c r="E2434" s="19">
        <v>0</v>
      </c>
      <c r="F2434" s="19">
        <v>0</v>
      </c>
      <c r="G2434" s="19">
        <v>0</v>
      </c>
      <c r="H2434" s="19">
        <v>0</v>
      </c>
      <c r="I2434" s="15">
        <v>3500</v>
      </c>
      <c r="J2434" s="15">
        <v>0</v>
      </c>
      <c r="K2434" s="15">
        <v>0</v>
      </c>
      <c r="L2434" s="15">
        <v>0</v>
      </c>
      <c r="M2434" s="15">
        <v>0</v>
      </c>
      <c r="N2434" s="15" t="str">
        <v/>
      </c>
      <c r="O2434" s="15" t="str">
        <v/>
      </c>
      <c r="P2434" s="22">
        <v>0</v>
      </c>
      <c r="Q2434">
        <v>0</v>
      </c>
    </row>
    <row r="2435" spans="1:17">
      <c r="A2435" s="19">
        <v>0</v>
      </c>
      <c r="B2435" s="19">
        <v>0</v>
      </c>
      <c r="C2435" s="19">
        <v>0</v>
      </c>
      <c r="D2435" s="19">
        <v>0</v>
      </c>
      <c r="E2435" s="19">
        <v>0</v>
      </c>
      <c r="F2435" s="19">
        <v>0</v>
      </c>
      <c r="G2435" s="19">
        <v>0</v>
      </c>
      <c r="H2435" s="19">
        <v>0</v>
      </c>
      <c r="I2435" s="15">
        <v>3500</v>
      </c>
      <c r="J2435" s="15">
        <v>0</v>
      </c>
      <c r="K2435" s="15">
        <v>0</v>
      </c>
      <c r="L2435" s="15">
        <v>0</v>
      </c>
      <c r="M2435" s="15">
        <v>0</v>
      </c>
      <c r="N2435" s="15" t="str">
        <v/>
      </c>
      <c r="O2435" s="15" t="str">
        <v/>
      </c>
      <c r="P2435" s="22">
        <v>0</v>
      </c>
      <c r="Q2435">
        <v>0</v>
      </c>
    </row>
    <row r="2436" spans="1:17">
      <c r="A2436" s="19">
        <v>0</v>
      </c>
      <c r="B2436" s="19">
        <v>0</v>
      </c>
      <c r="C2436" s="19">
        <v>0</v>
      </c>
      <c r="D2436" s="19">
        <v>0</v>
      </c>
      <c r="E2436" s="19">
        <v>0</v>
      </c>
      <c r="F2436" s="19">
        <v>0</v>
      </c>
      <c r="G2436" s="19">
        <v>0</v>
      </c>
      <c r="H2436" s="19">
        <v>0</v>
      </c>
      <c r="I2436" s="15">
        <v>3500</v>
      </c>
      <c r="J2436" s="15">
        <v>0</v>
      </c>
      <c r="K2436" s="15">
        <v>0</v>
      </c>
      <c r="L2436" s="15">
        <v>0</v>
      </c>
      <c r="M2436" s="15">
        <v>0</v>
      </c>
      <c r="N2436" s="15" t="str">
        <v/>
      </c>
      <c r="O2436" s="15" t="str">
        <v/>
      </c>
      <c r="P2436" s="22">
        <v>0</v>
      </c>
      <c r="Q2436">
        <v>0</v>
      </c>
    </row>
    <row r="2437" spans="1:17">
      <c r="A2437" s="19">
        <v>0</v>
      </c>
      <c r="B2437" s="19">
        <v>0</v>
      </c>
      <c r="C2437" s="19">
        <v>0</v>
      </c>
      <c r="D2437" s="19">
        <v>0</v>
      </c>
      <c r="E2437" s="19">
        <v>0</v>
      </c>
      <c r="F2437" s="19">
        <v>0</v>
      </c>
      <c r="G2437" s="19">
        <v>0</v>
      </c>
      <c r="H2437" s="19">
        <v>0</v>
      </c>
      <c r="I2437" s="15">
        <v>3500</v>
      </c>
      <c r="J2437" s="15">
        <v>0</v>
      </c>
      <c r="K2437" s="15">
        <v>0</v>
      </c>
      <c r="L2437" s="15">
        <v>0</v>
      </c>
      <c r="M2437" s="15">
        <v>0</v>
      </c>
      <c r="N2437" s="15" t="str">
        <v/>
      </c>
      <c r="O2437" s="15" t="str">
        <v/>
      </c>
      <c r="P2437" s="22">
        <v>0</v>
      </c>
      <c r="Q2437">
        <v>0</v>
      </c>
    </row>
    <row r="2438" spans="1:17">
      <c r="A2438" s="19">
        <v>0</v>
      </c>
      <c r="B2438" s="19">
        <v>0</v>
      </c>
      <c r="C2438" s="19">
        <v>0</v>
      </c>
      <c r="D2438" s="19">
        <v>0</v>
      </c>
      <c r="E2438" s="19">
        <v>0</v>
      </c>
      <c r="F2438" s="19">
        <v>0</v>
      </c>
      <c r="G2438" s="19">
        <v>0</v>
      </c>
      <c r="H2438" s="19">
        <v>0</v>
      </c>
      <c r="I2438" s="15">
        <v>3500</v>
      </c>
      <c r="J2438" s="15">
        <v>0</v>
      </c>
      <c r="K2438" s="15">
        <v>0</v>
      </c>
      <c r="L2438" s="15">
        <v>0</v>
      </c>
      <c r="M2438" s="15">
        <v>0</v>
      </c>
      <c r="N2438" s="15" t="str">
        <v/>
      </c>
      <c r="O2438" s="15" t="str">
        <v/>
      </c>
      <c r="P2438" s="22">
        <v>0</v>
      </c>
      <c r="Q2438">
        <v>0</v>
      </c>
    </row>
    <row r="2439" spans="1:17">
      <c r="A2439" s="19">
        <v>0</v>
      </c>
      <c r="B2439" s="19">
        <v>0</v>
      </c>
      <c r="C2439" s="19">
        <v>0</v>
      </c>
      <c r="D2439" s="19">
        <v>0</v>
      </c>
      <c r="E2439" s="19">
        <v>0</v>
      </c>
      <c r="F2439" s="19">
        <v>0</v>
      </c>
      <c r="G2439" s="19">
        <v>0</v>
      </c>
      <c r="H2439" s="19">
        <v>0</v>
      </c>
      <c r="I2439" s="15">
        <v>3500</v>
      </c>
      <c r="J2439" s="15">
        <v>0</v>
      </c>
      <c r="K2439" s="15">
        <v>0</v>
      </c>
      <c r="L2439" s="15">
        <v>0</v>
      </c>
      <c r="M2439" s="15">
        <v>0</v>
      </c>
      <c r="N2439" s="15" t="str">
        <v/>
      </c>
      <c r="O2439" s="15" t="str">
        <v/>
      </c>
      <c r="P2439" s="22">
        <v>0</v>
      </c>
      <c r="Q2439">
        <v>0</v>
      </c>
    </row>
    <row r="2440" spans="1:17">
      <c r="A2440" s="19">
        <v>0</v>
      </c>
      <c r="B2440" s="19">
        <v>0</v>
      </c>
      <c r="C2440" s="19">
        <v>0</v>
      </c>
      <c r="D2440" s="19">
        <v>0</v>
      </c>
      <c r="E2440" s="19">
        <v>0</v>
      </c>
      <c r="F2440" s="19">
        <v>0</v>
      </c>
      <c r="G2440" s="19">
        <v>0</v>
      </c>
      <c r="H2440" s="19">
        <v>0</v>
      </c>
      <c r="I2440" s="15">
        <v>3500</v>
      </c>
      <c r="J2440" s="15">
        <v>0</v>
      </c>
      <c r="K2440" s="15">
        <v>0</v>
      </c>
      <c r="L2440" s="15">
        <v>0</v>
      </c>
      <c r="M2440" s="15">
        <v>0</v>
      </c>
      <c r="N2440" s="15" t="str">
        <v/>
      </c>
      <c r="O2440" s="15" t="str">
        <v/>
      </c>
      <c r="P2440" s="22">
        <v>0</v>
      </c>
      <c r="Q2440">
        <v>0</v>
      </c>
    </row>
    <row r="2441" spans="1:17">
      <c r="A2441" s="19">
        <v>0</v>
      </c>
      <c r="B2441" s="19">
        <v>0</v>
      </c>
      <c r="C2441" s="19">
        <v>0</v>
      </c>
      <c r="D2441" s="19">
        <v>0</v>
      </c>
      <c r="E2441" s="19">
        <v>0</v>
      </c>
      <c r="F2441" s="19">
        <v>0</v>
      </c>
      <c r="G2441" s="19">
        <v>0</v>
      </c>
      <c r="H2441" s="19">
        <v>0</v>
      </c>
      <c r="I2441" s="15">
        <v>3500</v>
      </c>
      <c r="J2441" s="15">
        <v>0</v>
      </c>
      <c r="K2441" s="15">
        <v>0</v>
      </c>
      <c r="L2441" s="15">
        <v>0</v>
      </c>
      <c r="M2441" s="15">
        <v>0</v>
      </c>
      <c r="N2441" s="15" t="str">
        <v/>
      </c>
      <c r="O2441" s="15" t="str">
        <v/>
      </c>
      <c r="P2441" s="22">
        <v>0</v>
      </c>
      <c r="Q2441">
        <v>0</v>
      </c>
    </row>
    <row r="2442" spans="1:17">
      <c r="A2442" s="19">
        <v>0</v>
      </c>
      <c r="B2442" s="19">
        <v>0</v>
      </c>
      <c r="C2442" s="19">
        <v>0</v>
      </c>
      <c r="D2442" s="19">
        <v>0</v>
      </c>
      <c r="E2442" s="19">
        <v>0</v>
      </c>
      <c r="F2442" s="19">
        <v>0</v>
      </c>
      <c r="G2442" s="19">
        <v>0</v>
      </c>
      <c r="H2442" s="19">
        <v>0</v>
      </c>
      <c r="I2442" s="15">
        <v>3500</v>
      </c>
      <c r="J2442" s="15">
        <v>0</v>
      </c>
      <c r="K2442" s="15">
        <v>0</v>
      </c>
      <c r="L2442" s="15">
        <v>0</v>
      </c>
      <c r="M2442" s="15">
        <v>0</v>
      </c>
      <c r="N2442" s="15" t="str">
        <v/>
      </c>
      <c r="O2442" s="15" t="str">
        <v/>
      </c>
      <c r="P2442" s="22">
        <v>0</v>
      </c>
      <c r="Q2442">
        <v>0</v>
      </c>
    </row>
    <row r="2443" spans="1:17">
      <c r="A2443" s="19">
        <v>0</v>
      </c>
      <c r="B2443" s="19">
        <v>0</v>
      </c>
      <c r="C2443" s="19">
        <v>0</v>
      </c>
      <c r="D2443" s="19">
        <v>0</v>
      </c>
      <c r="E2443" s="19">
        <v>0</v>
      </c>
      <c r="F2443" s="19">
        <v>0</v>
      </c>
      <c r="G2443" s="19">
        <v>0</v>
      </c>
      <c r="H2443" s="19">
        <v>0</v>
      </c>
      <c r="I2443" s="15">
        <v>3500</v>
      </c>
      <c r="J2443" s="15">
        <v>0</v>
      </c>
      <c r="K2443" s="15">
        <v>0</v>
      </c>
      <c r="L2443" s="15">
        <v>0</v>
      </c>
      <c r="M2443" s="15">
        <v>0</v>
      </c>
      <c r="N2443" s="15" t="str">
        <v/>
      </c>
      <c r="O2443" s="15" t="str">
        <v/>
      </c>
      <c r="P2443" s="22">
        <v>0</v>
      </c>
      <c r="Q2443">
        <v>0</v>
      </c>
    </row>
    <row r="2444" spans="1:17">
      <c r="A2444" s="19">
        <v>0</v>
      </c>
      <c r="B2444" s="19">
        <v>0</v>
      </c>
      <c r="C2444" s="19">
        <v>0</v>
      </c>
      <c r="D2444" s="19">
        <v>0</v>
      </c>
      <c r="E2444" s="19">
        <v>0</v>
      </c>
      <c r="F2444" s="19">
        <v>0</v>
      </c>
      <c r="G2444" s="19">
        <v>0</v>
      </c>
      <c r="H2444" s="19">
        <v>0</v>
      </c>
      <c r="I2444" s="15">
        <v>3500</v>
      </c>
      <c r="J2444" s="15">
        <v>0</v>
      </c>
      <c r="K2444" s="15">
        <v>0</v>
      </c>
      <c r="L2444" s="15">
        <v>0</v>
      </c>
      <c r="M2444" s="15">
        <v>0</v>
      </c>
      <c r="N2444" s="15" t="str">
        <v/>
      </c>
      <c r="O2444" s="15" t="str">
        <v/>
      </c>
      <c r="P2444" s="22">
        <v>0</v>
      </c>
      <c r="Q2444">
        <v>0</v>
      </c>
    </row>
    <row r="2445" spans="1:17">
      <c r="A2445" s="19">
        <v>0</v>
      </c>
      <c r="B2445" s="19">
        <v>0</v>
      </c>
      <c r="C2445" s="19">
        <v>0</v>
      </c>
      <c r="D2445" s="19">
        <v>0</v>
      </c>
      <c r="E2445" s="19">
        <v>0</v>
      </c>
      <c r="F2445" s="19">
        <v>0</v>
      </c>
      <c r="G2445" s="19">
        <v>0</v>
      </c>
      <c r="H2445" s="19">
        <v>0</v>
      </c>
      <c r="I2445" s="15">
        <v>3500</v>
      </c>
      <c r="J2445" s="15">
        <v>0</v>
      </c>
      <c r="K2445" s="15">
        <v>0</v>
      </c>
      <c r="L2445" s="15">
        <v>0</v>
      </c>
      <c r="M2445" s="15">
        <v>0</v>
      </c>
      <c r="N2445" s="15" t="str">
        <v/>
      </c>
      <c r="O2445" s="15" t="str">
        <v/>
      </c>
      <c r="P2445" s="22">
        <v>0</v>
      </c>
      <c r="Q2445">
        <v>0</v>
      </c>
    </row>
    <row r="2446" spans="1:17">
      <c r="A2446" s="19">
        <v>0</v>
      </c>
      <c r="B2446" s="19">
        <v>0</v>
      </c>
      <c r="C2446" s="19">
        <v>0</v>
      </c>
      <c r="D2446" s="19">
        <v>0</v>
      </c>
      <c r="E2446" s="19">
        <v>0</v>
      </c>
      <c r="F2446" s="19">
        <v>0</v>
      </c>
      <c r="G2446" s="19">
        <v>0</v>
      </c>
      <c r="H2446" s="19">
        <v>0</v>
      </c>
      <c r="I2446" s="15">
        <v>3500</v>
      </c>
      <c r="J2446" s="15">
        <v>0</v>
      </c>
      <c r="K2446" s="15">
        <v>0</v>
      </c>
      <c r="L2446" s="15">
        <v>0</v>
      </c>
      <c r="M2446" s="15">
        <v>0</v>
      </c>
      <c r="N2446" s="15" t="str">
        <v/>
      </c>
      <c r="O2446" s="15" t="str">
        <v/>
      </c>
      <c r="P2446" s="22">
        <v>0</v>
      </c>
      <c r="Q2446">
        <v>0</v>
      </c>
    </row>
    <row r="2447" spans="1:17">
      <c r="A2447" s="19">
        <v>0</v>
      </c>
      <c r="B2447" s="19">
        <v>0</v>
      </c>
      <c r="C2447" s="19">
        <v>0</v>
      </c>
      <c r="D2447" s="19">
        <v>0</v>
      </c>
      <c r="E2447" s="19">
        <v>0</v>
      </c>
      <c r="F2447" s="19">
        <v>0</v>
      </c>
      <c r="G2447" s="19">
        <v>0</v>
      </c>
      <c r="H2447" s="19">
        <v>0</v>
      </c>
      <c r="I2447" s="15">
        <v>3500</v>
      </c>
      <c r="J2447" s="15">
        <v>0</v>
      </c>
      <c r="K2447" s="15">
        <v>0</v>
      </c>
      <c r="L2447" s="15">
        <v>0</v>
      </c>
      <c r="M2447" s="15">
        <v>0</v>
      </c>
      <c r="N2447" s="15" t="str">
        <v/>
      </c>
      <c r="O2447" s="15" t="str">
        <v/>
      </c>
      <c r="P2447" s="22">
        <v>0</v>
      </c>
      <c r="Q2447">
        <v>0</v>
      </c>
    </row>
    <row r="2448" spans="1:17">
      <c r="A2448" s="19">
        <v>0</v>
      </c>
      <c r="B2448" s="19">
        <v>0</v>
      </c>
      <c r="C2448" s="19">
        <v>0</v>
      </c>
      <c r="D2448" s="19">
        <v>0</v>
      </c>
      <c r="E2448" s="19">
        <v>0</v>
      </c>
      <c r="F2448" s="19">
        <v>0</v>
      </c>
      <c r="G2448" s="19">
        <v>0</v>
      </c>
      <c r="H2448" s="19">
        <v>0</v>
      </c>
      <c r="I2448" s="15">
        <v>3500</v>
      </c>
      <c r="J2448" s="15">
        <v>0</v>
      </c>
      <c r="K2448" s="15">
        <v>0</v>
      </c>
      <c r="L2448" s="15">
        <v>0</v>
      </c>
      <c r="M2448" s="15">
        <v>0</v>
      </c>
      <c r="N2448" s="15" t="str">
        <v/>
      </c>
      <c r="O2448" s="15" t="str">
        <v/>
      </c>
      <c r="P2448" s="22">
        <v>0</v>
      </c>
      <c r="Q2448">
        <v>0</v>
      </c>
    </row>
    <row r="2449" spans="1:17">
      <c r="A2449" s="19">
        <v>0</v>
      </c>
      <c r="B2449" s="19">
        <v>0</v>
      </c>
      <c r="C2449" s="19">
        <v>0</v>
      </c>
      <c r="D2449" s="19">
        <v>0</v>
      </c>
      <c r="E2449" s="19">
        <v>0</v>
      </c>
      <c r="F2449" s="19">
        <v>0</v>
      </c>
      <c r="G2449" s="19">
        <v>0</v>
      </c>
      <c r="H2449" s="19">
        <v>0</v>
      </c>
      <c r="I2449" s="15">
        <v>3500</v>
      </c>
      <c r="J2449" s="15">
        <v>0</v>
      </c>
      <c r="K2449" s="15">
        <v>0</v>
      </c>
      <c r="L2449" s="15">
        <v>0</v>
      </c>
      <c r="M2449" s="15">
        <v>0</v>
      </c>
      <c r="N2449" s="15" t="str">
        <v/>
      </c>
      <c r="O2449" s="15" t="str">
        <v/>
      </c>
      <c r="P2449" s="22">
        <v>0</v>
      </c>
      <c r="Q2449">
        <v>0</v>
      </c>
    </row>
    <row r="2450" spans="1:17">
      <c r="A2450" s="19">
        <v>0</v>
      </c>
      <c r="B2450" s="19">
        <v>0</v>
      </c>
      <c r="C2450" s="19">
        <v>0</v>
      </c>
      <c r="D2450" s="19">
        <v>0</v>
      </c>
      <c r="E2450" s="19">
        <v>0</v>
      </c>
      <c r="F2450" s="19">
        <v>0</v>
      </c>
      <c r="G2450" s="19">
        <v>0</v>
      </c>
      <c r="H2450" s="19">
        <v>0</v>
      </c>
      <c r="I2450" s="15">
        <v>3500</v>
      </c>
      <c r="J2450" s="15">
        <v>0</v>
      </c>
      <c r="K2450" s="15">
        <v>0</v>
      </c>
      <c r="L2450" s="15">
        <v>0</v>
      </c>
      <c r="M2450" s="15">
        <v>0</v>
      </c>
      <c r="N2450" s="15" t="str">
        <v/>
      </c>
      <c r="O2450" s="15" t="str">
        <v/>
      </c>
      <c r="P2450" s="22">
        <v>0</v>
      </c>
      <c r="Q2450">
        <v>0</v>
      </c>
    </row>
    <row r="2451" spans="1:17">
      <c r="A2451" s="19">
        <v>0</v>
      </c>
      <c r="B2451" s="19">
        <v>0</v>
      </c>
      <c r="C2451" s="19">
        <v>0</v>
      </c>
      <c r="D2451" s="19">
        <v>0</v>
      </c>
      <c r="E2451" s="19">
        <v>0</v>
      </c>
      <c r="F2451" s="19">
        <v>0</v>
      </c>
      <c r="G2451" s="19">
        <v>0</v>
      </c>
      <c r="H2451" s="19">
        <v>0</v>
      </c>
      <c r="I2451" s="15">
        <v>3500</v>
      </c>
      <c r="J2451" s="15">
        <v>0</v>
      </c>
      <c r="K2451" s="15">
        <v>0</v>
      </c>
      <c r="L2451" s="15">
        <v>0</v>
      </c>
      <c r="M2451" s="15">
        <v>0</v>
      </c>
      <c r="N2451" s="15" t="str">
        <v/>
      </c>
      <c r="O2451" s="15" t="str">
        <v/>
      </c>
      <c r="P2451" s="22">
        <v>0</v>
      </c>
      <c r="Q2451">
        <v>0</v>
      </c>
    </row>
    <row r="2452" spans="1:17">
      <c r="A2452" s="19">
        <v>0</v>
      </c>
      <c r="B2452" s="19">
        <v>0</v>
      </c>
      <c r="C2452" s="19">
        <v>0</v>
      </c>
      <c r="D2452" s="19">
        <v>0</v>
      </c>
      <c r="E2452" s="19">
        <v>0</v>
      </c>
      <c r="F2452" s="19">
        <v>0</v>
      </c>
      <c r="G2452" s="19">
        <v>0</v>
      </c>
      <c r="H2452" s="19">
        <v>0</v>
      </c>
      <c r="I2452" s="15">
        <v>3500</v>
      </c>
      <c r="J2452" s="15">
        <v>0</v>
      </c>
      <c r="K2452" s="15">
        <v>0</v>
      </c>
      <c r="L2452" s="15">
        <v>0</v>
      </c>
      <c r="M2452" s="15">
        <v>0</v>
      </c>
      <c r="N2452" s="15" t="str">
        <v/>
      </c>
      <c r="O2452" s="15" t="str">
        <v/>
      </c>
      <c r="P2452" s="22">
        <v>0</v>
      </c>
      <c r="Q2452">
        <v>0</v>
      </c>
    </row>
    <row r="2453" spans="1:17">
      <c r="A2453" s="19">
        <v>0</v>
      </c>
      <c r="B2453" s="19">
        <v>0</v>
      </c>
      <c r="C2453" s="19">
        <v>0</v>
      </c>
      <c r="D2453" s="19">
        <v>0</v>
      </c>
      <c r="E2453" s="19">
        <v>0</v>
      </c>
      <c r="F2453" s="19">
        <v>0</v>
      </c>
      <c r="G2453" s="19">
        <v>0</v>
      </c>
      <c r="H2453" s="19">
        <v>0</v>
      </c>
      <c r="I2453" s="15">
        <v>3500</v>
      </c>
      <c r="J2453" s="15">
        <v>0</v>
      </c>
      <c r="K2453" s="15">
        <v>0</v>
      </c>
      <c r="L2453" s="15">
        <v>0</v>
      </c>
      <c r="M2453" s="15">
        <v>0</v>
      </c>
      <c r="N2453" s="15" t="str">
        <v/>
      </c>
      <c r="O2453" s="15" t="str">
        <v/>
      </c>
      <c r="P2453" s="22">
        <v>0</v>
      </c>
      <c r="Q2453">
        <v>0</v>
      </c>
    </row>
    <row r="2454" spans="1:17">
      <c r="A2454" s="19">
        <v>0</v>
      </c>
      <c r="B2454" s="19">
        <v>0</v>
      </c>
      <c r="C2454" s="19">
        <v>0</v>
      </c>
      <c r="D2454" s="19">
        <v>0</v>
      </c>
      <c r="E2454" s="19">
        <v>0</v>
      </c>
      <c r="F2454" s="19">
        <v>0</v>
      </c>
      <c r="G2454" s="19">
        <v>0</v>
      </c>
      <c r="H2454" s="19">
        <v>0</v>
      </c>
      <c r="I2454" s="15">
        <v>3500</v>
      </c>
      <c r="J2454" s="15">
        <v>0</v>
      </c>
      <c r="K2454" s="15">
        <v>0</v>
      </c>
      <c r="L2454" s="15">
        <v>0</v>
      </c>
      <c r="M2454" s="15">
        <v>0</v>
      </c>
      <c r="N2454" s="15" t="str">
        <v/>
      </c>
      <c r="O2454" s="15" t="str">
        <v/>
      </c>
      <c r="P2454" s="22">
        <v>0</v>
      </c>
      <c r="Q2454">
        <v>0</v>
      </c>
    </row>
    <row r="2455" spans="1:17">
      <c r="A2455" s="19">
        <v>0</v>
      </c>
      <c r="B2455" s="19">
        <v>0</v>
      </c>
      <c r="C2455" s="19">
        <v>0</v>
      </c>
      <c r="D2455" s="19">
        <v>0</v>
      </c>
      <c r="E2455" s="19">
        <v>0</v>
      </c>
      <c r="F2455" s="19">
        <v>0</v>
      </c>
      <c r="G2455" s="19">
        <v>0</v>
      </c>
      <c r="H2455" s="19">
        <v>0</v>
      </c>
      <c r="I2455" s="15">
        <v>3500</v>
      </c>
      <c r="J2455" s="15">
        <v>0</v>
      </c>
      <c r="K2455" s="15">
        <v>0</v>
      </c>
      <c r="L2455" s="15">
        <v>0</v>
      </c>
      <c r="M2455" s="15">
        <v>0</v>
      </c>
      <c r="N2455" s="15" t="str">
        <v/>
      </c>
      <c r="O2455" s="15" t="str">
        <v/>
      </c>
      <c r="P2455" s="22">
        <v>0</v>
      </c>
      <c r="Q2455">
        <v>0</v>
      </c>
    </row>
    <row r="2456" spans="1:17">
      <c r="A2456" s="19">
        <v>0</v>
      </c>
      <c r="B2456" s="19">
        <v>0</v>
      </c>
      <c r="C2456" s="19">
        <v>0</v>
      </c>
      <c r="D2456" s="19">
        <v>0</v>
      </c>
      <c r="E2456" s="19">
        <v>0</v>
      </c>
      <c r="F2456" s="19">
        <v>0</v>
      </c>
      <c r="G2456" s="19">
        <v>0</v>
      </c>
      <c r="H2456" s="19">
        <v>0</v>
      </c>
      <c r="I2456" s="15">
        <v>3500</v>
      </c>
      <c r="J2456" s="15">
        <v>0</v>
      </c>
      <c r="K2456" s="15">
        <v>0</v>
      </c>
      <c r="L2456" s="15">
        <v>0</v>
      </c>
      <c r="M2456" s="15">
        <v>0</v>
      </c>
      <c r="N2456" s="15" t="str">
        <v/>
      </c>
      <c r="O2456" s="15" t="str">
        <v/>
      </c>
      <c r="P2456" s="22">
        <v>0</v>
      </c>
      <c r="Q2456">
        <v>0</v>
      </c>
    </row>
    <row r="2457" spans="1:17">
      <c r="A2457" s="19">
        <v>0</v>
      </c>
      <c r="B2457" s="19">
        <v>0</v>
      </c>
      <c r="C2457" s="19">
        <v>0</v>
      </c>
      <c r="D2457" s="19">
        <v>0</v>
      </c>
      <c r="E2457" s="19">
        <v>0</v>
      </c>
      <c r="F2457" s="19">
        <v>0</v>
      </c>
      <c r="G2457" s="19">
        <v>0</v>
      </c>
      <c r="H2457" s="19">
        <v>0</v>
      </c>
      <c r="I2457" s="15">
        <v>3500</v>
      </c>
      <c r="J2457" s="15">
        <v>0</v>
      </c>
      <c r="K2457" s="15">
        <v>0</v>
      </c>
      <c r="L2457" s="15">
        <v>0</v>
      </c>
      <c r="M2457" s="15">
        <v>0</v>
      </c>
      <c r="N2457" s="15" t="str">
        <v/>
      </c>
      <c r="O2457" s="15" t="str">
        <v/>
      </c>
      <c r="P2457" s="22">
        <v>0</v>
      </c>
      <c r="Q2457">
        <v>0</v>
      </c>
    </row>
    <row r="2458" spans="1:17">
      <c r="A2458" s="19">
        <v>0</v>
      </c>
      <c r="B2458" s="19">
        <v>0</v>
      </c>
      <c r="C2458" s="19">
        <v>0</v>
      </c>
      <c r="D2458" s="19">
        <v>0</v>
      </c>
      <c r="E2458" s="19">
        <v>0</v>
      </c>
      <c r="F2458" s="19">
        <v>0</v>
      </c>
      <c r="G2458" s="19">
        <v>0</v>
      </c>
      <c r="H2458" s="19">
        <v>0</v>
      </c>
      <c r="I2458" s="15">
        <v>3500</v>
      </c>
      <c r="J2458" s="15">
        <v>0</v>
      </c>
      <c r="K2458" s="15">
        <v>0</v>
      </c>
      <c r="L2458" s="15">
        <v>0</v>
      </c>
      <c r="M2458" s="15">
        <v>0</v>
      </c>
      <c r="N2458" s="15" t="str">
        <v/>
      </c>
      <c r="O2458" s="15" t="str">
        <v/>
      </c>
      <c r="P2458" s="22">
        <v>0</v>
      </c>
      <c r="Q2458">
        <v>0</v>
      </c>
    </row>
    <row r="2459" spans="1:17">
      <c r="A2459" s="19">
        <v>0</v>
      </c>
      <c r="B2459" s="19">
        <v>0</v>
      </c>
      <c r="C2459" s="19">
        <v>0</v>
      </c>
      <c r="D2459" s="19">
        <v>0</v>
      </c>
      <c r="E2459" s="19">
        <v>0</v>
      </c>
      <c r="F2459" s="19">
        <v>0</v>
      </c>
      <c r="G2459" s="19">
        <v>0</v>
      </c>
      <c r="H2459" s="19">
        <v>0</v>
      </c>
      <c r="I2459" s="15">
        <v>3500</v>
      </c>
      <c r="J2459" s="15">
        <v>0</v>
      </c>
      <c r="K2459" s="15">
        <v>0</v>
      </c>
      <c r="L2459" s="15">
        <v>0</v>
      </c>
      <c r="M2459" s="15">
        <v>0</v>
      </c>
      <c r="N2459" s="15" t="str">
        <v/>
      </c>
      <c r="O2459" s="15" t="str">
        <v/>
      </c>
      <c r="P2459" s="22">
        <v>0</v>
      </c>
      <c r="Q2459">
        <v>0</v>
      </c>
    </row>
    <row r="2460" spans="1:17">
      <c r="A2460" s="19">
        <v>0</v>
      </c>
      <c r="B2460" s="19">
        <v>0</v>
      </c>
      <c r="C2460" s="19">
        <v>0</v>
      </c>
      <c r="D2460" s="19">
        <v>0</v>
      </c>
      <c r="E2460" s="19">
        <v>0</v>
      </c>
      <c r="F2460" s="19">
        <v>0</v>
      </c>
      <c r="G2460" s="19">
        <v>0</v>
      </c>
      <c r="H2460" s="19">
        <v>0</v>
      </c>
      <c r="I2460" s="15">
        <v>3500</v>
      </c>
      <c r="J2460" s="15">
        <v>0</v>
      </c>
      <c r="K2460" s="15">
        <v>0</v>
      </c>
      <c r="L2460" s="15">
        <v>0</v>
      </c>
      <c r="M2460" s="15">
        <v>0</v>
      </c>
      <c r="N2460" s="15" t="str">
        <v/>
      </c>
      <c r="O2460" s="15" t="str">
        <v/>
      </c>
      <c r="P2460" s="22">
        <v>0</v>
      </c>
      <c r="Q2460">
        <v>0</v>
      </c>
    </row>
    <row r="2461" spans="1:17">
      <c r="A2461" s="19">
        <v>0</v>
      </c>
      <c r="B2461" s="19">
        <v>0</v>
      </c>
      <c r="C2461" s="19">
        <v>0</v>
      </c>
      <c r="D2461" s="19">
        <v>0</v>
      </c>
      <c r="E2461" s="19">
        <v>0</v>
      </c>
      <c r="F2461" s="19">
        <v>0</v>
      </c>
      <c r="G2461" s="19">
        <v>0</v>
      </c>
      <c r="H2461" s="19">
        <v>0</v>
      </c>
      <c r="I2461" s="15">
        <v>3500</v>
      </c>
      <c r="J2461" s="15">
        <v>0</v>
      </c>
      <c r="K2461" s="15">
        <v>0</v>
      </c>
      <c r="L2461" s="15">
        <v>0</v>
      </c>
      <c r="M2461" s="15">
        <v>0</v>
      </c>
      <c r="N2461" s="15" t="str">
        <v/>
      </c>
      <c r="O2461" s="15" t="str">
        <v/>
      </c>
      <c r="P2461" s="22">
        <v>0</v>
      </c>
      <c r="Q2461">
        <v>0</v>
      </c>
    </row>
    <row r="2462" spans="1:17">
      <c r="A2462" s="19">
        <v>0</v>
      </c>
      <c r="B2462" s="19">
        <v>0</v>
      </c>
      <c r="C2462" s="19">
        <v>0</v>
      </c>
      <c r="D2462" s="19">
        <v>0</v>
      </c>
      <c r="E2462" s="19">
        <v>0</v>
      </c>
      <c r="F2462" s="19">
        <v>0</v>
      </c>
      <c r="G2462" s="19">
        <v>0</v>
      </c>
      <c r="H2462" s="19">
        <v>0</v>
      </c>
      <c r="I2462" s="15">
        <v>3500</v>
      </c>
      <c r="J2462" s="15">
        <v>0</v>
      </c>
      <c r="K2462" s="15">
        <v>0</v>
      </c>
      <c r="L2462" s="15">
        <v>0</v>
      </c>
      <c r="M2462" s="15">
        <v>0</v>
      </c>
      <c r="N2462" s="15" t="str">
        <v/>
      </c>
      <c r="O2462" s="15" t="str">
        <v/>
      </c>
      <c r="P2462" s="22">
        <v>0</v>
      </c>
      <c r="Q2462">
        <v>0</v>
      </c>
    </row>
    <row r="2463" spans="1:17">
      <c r="A2463" s="19">
        <v>0</v>
      </c>
      <c r="B2463" s="19">
        <v>0</v>
      </c>
      <c r="C2463" s="19">
        <v>0</v>
      </c>
      <c r="D2463" s="19">
        <v>0</v>
      </c>
      <c r="E2463" s="19">
        <v>0</v>
      </c>
      <c r="F2463" s="19">
        <v>0</v>
      </c>
      <c r="G2463" s="19">
        <v>0</v>
      </c>
      <c r="H2463" s="19">
        <v>0</v>
      </c>
      <c r="I2463" s="15">
        <v>3500</v>
      </c>
      <c r="J2463" s="15">
        <v>0</v>
      </c>
      <c r="K2463" s="15">
        <v>0</v>
      </c>
      <c r="L2463" s="15">
        <v>0</v>
      </c>
      <c r="M2463" s="15">
        <v>0</v>
      </c>
      <c r="N2463" s="15" t="str">
        <v/>
      </c>
      <c r="O2463" s="15" t="str">
        <v/>
      </c>
      <c r="P2463" s="22">
        <v>0</v>
      </c>
      <c r="Q2463">
        <v>0</v>
      </c>
    </row>
    <row r="2464" spans="1:17">
      <c r="A2464" s="19">
        <v>0</v>
      </c>
      <c r="B2464" s="19">
        <v>0</v>
      </c>
      <c r="C2464" s="19">
        <v>0</v>
      </c>
      <c r="D2464" s="19">
        <v>0</v>
      </c>
      <c r="E2464" s="19">
        <v>0</v>
      </c>
      <c r="F2464" s="19">
        <v>0</v>
      </c>
      <c r="G2464" s="19">
        <v>0</v>
      </c>
      <c r="H2464" s="19">
        <v>0</v>
      </c>
      <c r="I2464" s="15">
        <v>3500</v>
      </c>
      <c r="J2464" s="15">
        <v>0</v>
      </c>
      <c r="K2464" s="15">
        <v>0</v>
      </c>
      <c r="L2464" s="15">
        <v>0</v>
      </c>
      <c r="M2464" s="15">
        <v>0</v>
      </c>
      <c r="N2464" s="15" t="str">
        <v/>
      </c>
      <c r="O2464" s="15" t="str">
        <v/>
      </c>
      <c r="P2464" s="22">
        <v>0</v>
      </c>
      <c r="Q2464">
        <v>0</v>
      </c>
    </row>
    <row r="2465" spans="1:17">
      <c r="A2465" s="19">
        <v>0</v>
      </c>
      <c r="B2465" s="19">
        <v>0</v>
      </c>
      <c r="C2465" s="19">
        <v>0</v>
      </c>
      <c r="D2465" s="19">
        <v>0</v>
      </c>
      <c r="E2465" s="19">
        <v>0</v>
      </c>
      <c r="F2465" s="19">
        <v>0</v>
      </c>
      <c r="G2465" s="19">
        <v>0</v>
      </c>
      <c r="H2465" s="19">
        <v>0</v>
      </c>
      <c r="I2465" s="15">
        <v>3500</v>
      </c>
      <c r="J2465" s="15">
        <v>0</v>
      </c>
      <c r="K2465" s="15">
        <v>0</v>
      </c>
      <c r="L2465" s="15">
        <v>0</v>
      </c>
      <c r="M2465" s="15">
        <v>0</v>
      </c>
      <c r="N2465" s="15" t="str">
        <v/>
      </c>
      <c r="O2465" s="15" t="str">
        <v/>
      </c>
      <c r="P2465" s="22">
        <v>0</v>
      </c>
      <c r="Q2465">
        <v>0</v>
      </c>
    </row>
    <row r="2466" spans="1:17">
      <c r="A2466" s="19">
        <v>0</v>
      </c>
      <c r="B2466" s="19">
        <v>0</v>
      </c>
      <c r="C2466" s="19">
        <v>0</v>
      </c>
      <c r="D2466" s="19">
        <v>0</v>
      </c>
      <c r="E2466" s="19">
        <v>0</v>
      </c>
      <c r="F2466" s="19">
        <v>0</v>
      </c>
      <c r="G2466" s="19">
        <v>0</v>
      </c>
      <c r="H2466" s="19">
        <v>0</v>
      </c>
      <c r="I2466" s="15">
        <v>3500</v>
      </c>
      <c r="J2466" s="15">
        <v>0</v>
      </c>
      <c r="K2466" s="15">
        <v>0</v>
      </c>
      <c r="L2466" s="15">
        <v>0</v>
      </c>
      <c r="M2466" s="15">
        <v>0</v>
      </c>
      <c r="N2466" s="15" t="str">
        <v/>
      </c>
      <c r="O2466" s="15" t="str">
        <v/>
      </c>
      <c r="P2466" s="22">
        <v>0</v>
      </c>
      <c r="Q2466">
        <v>0</v>
      </c>
    </row>
    <row r="2467" spans="1:17">
      <c r="A2467" s="19">
        <v>0</v>
      </c>
      <c r="B2467" s="19">
        <v>0</v>
      </c>
      <c r="C2467" s="19">
        <v>0</v>
      </c>
      <c r="D2467" s="19">
        <v>0</v>
      </c>
      <c r="E2467" s="19">
        <v>0</v>
      </c>
      <c r="F2467" s="19">
        <v>0</v>
      </c>
      <c r="G2467" s="19">
        <v>0</v>
      </c>
      <c r="H2467" s="19">
        <v>0</v>
      </c>
      <c r="I2467" s="15">
        <v>3500</v>
      </c>
      <c r="J2467" s="15">
        <v>0</v>
      </c>
      <c r="K2467" s="15">
        <v>0</v>
      </c>
      <c r="L2467" s="15">
        <v>0</v>
      </c>
      <c r="M2467" s="15">
        <v>0</v>
      </c>
      <c r="N2467" s="15" t="str">
        <v/>
      </c>
      <c r="O2467" s="15" t="str">
        <v/>
      </c>
      <c r="P2467" s="22">
        <v>0</v>
      </c>
      <c r="Q2467">
        <v>0</v>
      </c>
    </row>
    <row r="2468" spans="1:17">
      <c r="A2468" s="19">
        <v>0</v>
      </c>
      <c r="B2468" s="19">
        <v>0</v>
      </c>
      <c r="C2468" s="19">
        <v>0</v>
      </c>
      <c r="D2468" s="19">
        <v>0</v>
      </c>
      <c r="E2468" s="19">
        <v>0</v>
      </c>
      <c r="F2468" s="19">
        <v>0</v>
      </c>
      <c r="G2468" s="19">
        <v>0</v>
      </c>
      <c r="H2468" s="19">
        <v>0</v>
      </c>
      <c r="I2468" s="15">
        <v>3500</v>
      </c>
      <c r="J2468" s="15">
        <v>0</v>
      </c>
      <c r="K2468" s="15">
        <v>0</v>
      </c>
      <c r="L2468" s="15">
        <v>0</v>
      </c>
      <c r="M2468" s="15">
        <v>0</v>
      </c>
      <c r="N2468" s="15" t="str">
        <v/>
      </c>
      <c r="O2468" s="15" t="str">
        <v/>
      </c>
      <c r="P2468" s="22">
        <v>0</v>
      </c>
      <c r="Q2468">
        <v>0</v>
      </c>
    </row>
    <row r="2469" spans="1:17">
      <c r="A2469" s="19">
        <v>0</v>
      </c>
      <c r="B2469" s="19">
        <v>0</v>
      </c>
      <c r="C2469" s="19">
        <v>0</v>
      </c>
      <c r="D2469" s="19">
        <v>0</v>
      </c>
      <c r="E2469" s="19">
        <v>0</v>
      </c>
      <c r="F2469" s="19">
        <v>0</v>
      </c>
      <c r="G2469" s="19">
        <v>0</v>
      </c>
      <c r="H2469" s="19">
        <v>0</v>
      </c>
      <c r="I2469" s="15">
        <v>3500</v>
      </c>
      <c r="J2469" s="15">
        <v>0</v>
      </c>
      <c r="K2469" s="15">
        <v>0</v>
      </c>
      <c r="L2469" s="15">
        <v>0</v>
      </c>
      <c r="M2469" s="15">
        <v>0</v>
      </c>
      <c r="N2469" s="15" t="str">
        <v/>
      </c>
      <c r="O2469" s="15" t="str">
        <v/>
      </c>
      <c r="P2469" s="22">
        <v>0</v>
      </c>
      <c r="Q2469">
        <v>0</v>
      </c>
    </row>
    <row r="2470" spans="1:17">
      <c r="A2470" s="19">
        <v>0</v>
      </c>
      <c r="B2470" s="19">
        <v>0</v>
      </c>
      <c r="C2470" s="19">
        <v>0</v>
      </c>
      <c r="D2470" s="19">
        <v>0</v>
      </c>
      <c r="E2470" s="19">
        <v>0</v>
      </c>
      <c r="F2470" s="19">
        <v>0</v>
      </c>
      <c r="G2470" s="19">
        <v>0</v>
      </c>
      <c r="H2470" s="19">
        <v>0</v>
      </c>
      <c r="I2470" s="15">
        <v>3500</v>
      </c>
      <c r="J2470" s="15">
        <v>0</v>
      </c>
      <c r="K2470" s="15">
        <v>0</v>
      </c>
      <c r="L2470" s="15">
        <v>0</v>
      </c>
      <c r="M2470" s="15">
        <v>0</v>
      </c>
      <c r="N2470" s="15" t="str">
        <v/>
      </c>
      <c r="O2470" s="15" t="str">
        <v/>
      </c>
      <c r="P2470" s="22">
        <v>0</v>
      </c>
      <c r="Q2470">
        <v>0</v>
      </c>
    </row>
    <row r="2471" spans="1:17">
      <c r="A2471" s="19">
        <v>0</v>
      </c>
      <c r="B2471" s="19">
        <v>0</v>
      </c>
      <c r="C2471" s="19">
        <v>0</v>
      </c>
      <c r="D2471" s="19">
        <v>0</v>
      </c>
      <c r="E2471" s="19">
        <v>0</v>
      </c>
      <c r="F2471" s="19">
        <v>0</v>
      </c>
      <c r="G2471" s="19">
        <v>0</v>
      </c>
      <c r="H2471" s="19">
        <v>0</v>
      </c>
      <c r="I2471" s="15">
        <v>3500</v>
      </c>
      <c r="J2471" s="15">
        <v>0</v>
      </c>
      <c r="K2471" s="15">
        <v>0</v>
      </c>
      <c r="L2471" s="15">
        <v>0</v>
      </c>
      <c r="M2471" s="15">
        <v>0</v>
      </c>
      <c r="N2471" s="15" t="str">
        <v/>
      </c>
      <c r="O2471" s="15" t="str">
        <v/>
      </c>
      <c r="P2471" s="22">
        <v>0</v>
      </c>
      <c r="Q2471">
        <v>0</v>
      </c>
    </row>
    <row r="2472" spans="1:17">
      <c r="A2472" s="19">
        <v>0</v>
      </c>
      <c r="B2472" s="19">
        <v>0</v>
      </c>
      <c r="C2472" s="19">
        <v>0</v>
      </c>
      <c r="D2472" s="19">
        <v>0</v>
      </c>
      <c r="E2472" s="19">
        <v>0</v>
      </c>
      <c r="F2472" s="19">
        <v>0</v>
      </c>
      <c r="G2472" s="19">
        <v>0</v>
      </c>
      <c r="H2472" s="19">
        <v>0</v>
      </c>
      <c r="I2472" s="15">
        <v>3500</v>
      </c>
      <c r="J2472" s="15">
        <v>0</v>
      </c>
      <c r="K2472" s="15">
        <v>0</v>
      </c>
      <c r="L2472" s="15">
        <v>0</v>
      </c>
      <c r="M2472" s="15">
        <v>0</v>
      </c>
      <c r="N2472" s="15" t="str">
        <v/>
      </c>
      <c r="O2472" s="15" t="str">
        <v/>
      </c>
      <c r="P2472" s="22">
        <v>0</v>
      </c>
      <c r="Q2472">
        <v>0</v>
      </c>
    </row>
    <row r="2473" spans="1:17">
      <c r="A2473" s="19">
        <v>0</v>
      </c>
      <c r="B2473" s="19">
        <v>0</v>
      </c>
      <c r="C2473" s="19">
        <v>0</v>
      </c>
      <c r="D2473" s="19">
        <v>0</v>
      </c>
      <c r="E2473" s="19">
        <v>0</v>
      </c>
      <c r="F2473" s="19">
        <v>0</v>
      </c>
      <c r="G2473" s="19">
        <v>0</v>
      </c>
      <c r="H2473" s="19">
        <v>0</v>
      </c>
      <c r="I2473" s="15">
        <v>3500</v>
      </c>
      <c r="J2473" s="15">
        <v>0</v>
      </c>
      <c r="K2473" s="15">
        <v>0</v>
      </c>
      <c r="L2473" s="15">
        <v>0</v>
      </c>
      <c r="M2473" s="15">
        <v>0</v>
      </c>
      <c r="N2473" s="15" t="str">
        <v/>
      </c>
      <c r="O2473" s="15" t="str">
        <v/>
      </c>
      <c r="P2473" s="22">
        <v>0</v>
      </c>
      <c r="Q2473">
        <v>0</v>
      </c>
    </row>
    <row r="2474" spans="1:17">
      <c r="A2474" s="19">
        <v>0</v>
      </c>
      <c r="B2474" s="19">
        <v>0</v>
      </c>
      <c r="C2474" s="19">
        <v>0</v>
      </c>
      <c r="D2474" s="19">
        <v>0</v>
      </c>
      <c r="E2474" s="19">
        <v>0</v>
      </c>
      <c r="F2474" s="19">
        <v>0</v>
      </c>
      <c r="G2474" s="19">
        <v>0</v>
      </c>
      <c r="H2474" s="19">
        <v>0</v>
      </c>
      <c r="I2474" s="15">
        <v>3500</v>
      </c>
      <c r="J2474" s="15">
        <v>0</v>
      </c>
      <c r="K2474" s="15">
        <v>0</v>
      </c>
      <c r="L2474" s="15">
        <v>0</v>
      </c>
      <c r="M2474" s="15">
        <v>0</v>
      </c>
      <c r="N2474" s="15" t="str">
        <v/>
      </c>
      <c r="O2474" s="15" t="str">
        <v/>
      </c>
      <c r="P2474" s="22">
        <v>0</v>
      </c>
      <c r="Q2474">
        <v>0</v>
      </c>
    </row>
    <row r="2475" spans="1:17">
      <c r="A2475" s="19">
        <v>0</v>
      </c>
      <c r="B2475" s="19">
        <v>0</v>
      </c>
      <c r="C2475" s="19">
        <v>0</v>
      </c>
      <c r="D2475" s="19">
        <v>0</v>
      </c>
      <c r="E2475" s="19">
        <v>0</v>
      </c>
      <c r="F2475" s="19">
        <v>0</v>
      </c>
      <c r="G2475" s="19">
        <v>0</v>
      </c>
      <c r="H2475" s="19">
        <v>0</v>
      </c>
      <c r="I2475" s="15">
        <v>3500</v>
      </c>
      <c r="J2475" s="15">
        <v>0</v>
      </c>
      <c r="K2475" s="15">
        <v>0</v>
      </c>
      <c r="L2475" s="15">
        <v>0</v>
      </c>
      <c r="M2475" s="15">
        <v>0</v>
      </c>
      <c r="N2475" s="15" t="str">
        <v/>
      </c>
      <c r="O2475" s="15" t="str">
        <v/>
      </c>
      <c r="P2475" s="22">
        <v>0</v>
      </c>
      <c r="Q2475">
        <v>0</v>
      </c>
    </row>
    <row r="2476" spans="1:17">
      <c r="A2476" s="19">
        <v>0</v>
      </c>
      <c r="B2476" s="19">
        <v>0</v>
      </c>
      <c r="C2476" s="19">
        <v>0</v>
      </c>
      <c r="D2476" s="19">
        <v>0</v>
      </c>
      <c r="E2476" s="19">
        <v>0</v>
      </c>
      <c r="F2476" s="19">
        <v>0</v>
      </c>
      <c r="G2476" s="19">
        <v>0</v>
      </c>
      <c r="H2476" s="19">
        <v>0</v>
      </c>
      <c r="I2476" s="15">
        <v>3500</v>
      </c>
      <c r="J2476" s="15">
        <v>0</v>
      </c>
      <c r="K2476" s="15">
        <v>0</v>
      </c>
      <c r="L2476" s="15">
        <v>0</v>
      </c>
      <c r="M2476" s="15">
        <v>0</v>
      </c>
      <c r="N2476" s="15" t="str">
        <v/>
      </c>
      <c r="O2476" s="15" t="str">
        <v/>
      </c>
      <c r="P2476" s="22">
        <v>0</v>
      </c>
      <c r="Q2476">
        <v>0</v>
      </c>
    </row>
    <row r="2477" spans="1:17">
      <c r="A2477" s="19">
        <v>0</v>
      </c>
      <c r="B2477" s="19">
        <v>0</v>
      </c>
      <c r="C2477" s="19">
        <v>0</v>
      </c>
      <c r="D2477" s="19">
        <v>0</v>
      </c>
      <c r="E2477" s="19">
        <v>0</v>
      </c>
      <c r="F2477" s="19">
        <v>0</v>
      </c>
      <c r="G2477" s="19">
        <v>0</v>
      </c>
      <c r="H2477" s="19">
        <v>0</v>
      </c>
      <c r="I2477" s="15">
        <v>3500</v>
      </c>
      <c r="J2477" s="15">
        <v>0</v>
      </c>
      <c r="K2477" s="15">
        <v>0</v>
      </c>
      <c r="L2477" s="15">
        <v>0</v>
      </c>
      <c r="M2477" s="15">
        <v>0</v>
      </c>
      <c r="N2477" s="15" t="str">
        <v/>
      </c>
      <c r="O2477" s="15" t="str">
        <v/>
      </c>
      <c r="P2477" s="22">
        <v>0</v>
      </c>
      <c r="Q2477">
        <v>0</v>
      </c>
    </row>
    <row r="2478" spans="1:17">
      <c r="A2478" s="19">
        <v>0</v>
      </c>
      <c r="B2478" s="19">
        <v>0</v>
      </c>
      <c r="C2478" s="19">
        <v>0</v>
      </c>
      <c r="D2478" s="19">
        <v>0</v>
      </c>
      <c r="E2478" s="19">
        <v>0</v>
      </c>
      <c r="F2478" s="19">
        <v>0</v>
      </c>
      <c r="G2478" s="19">
        <v>0</v>
      </c>
      <c r="H2478" s="19">
        <v>0</v>
      </c>
      <c r="I2478" s="15">
        <v>3500</v>
      </c>
      <c r="J2478" s="15">
        <v>0</v>
      </c>
      <c r="K2478" s="15">
        <v>0</v>
      </c>
      <c r="L2478" s="15">
        <v>0</v>
      </c>
      <c r="M2478" s="15">
        <v>0</v>
      </c>
      <c r="N2478" s="15" t="str">
        <v/>
      </c>
      <c r="O2478" s="15" t="str">
        <v/>
      </c>
      <c r="P2478" s="22">
        <v>0</v>
      </c>
      <c r="Q2478">
        <v>0</v>
      </c>
    </row>
    <row r="2479" spans="1:17">
      <c r="A2479" s="19">
        <v>0</v>
      </c>
      <c r="B2479" s="19">
        <v>0</v>
      </c>
      <c r="C2479" s="19">
        <v>0</v>
      </c>
      <c r="D2479" s="19">
        <v>0</v>
      </c>
      <c r="E2479" s="19">
        <v>0</v>
      </c>
      <c r="F2479" s="19">
        <v>0</v>
      </c>
      <c r="G2479" s="19">
        <v>0</v>
      </c>
      <c r="H2479" s="19">
        <v>0</v>
      </c>
      <c r="I2479" s="15">
        <v>3500</v>
      </c>
      <c r="J2479" s="15">
        <v>0</v>
      </c>
      <c r="K2479" s="15">
        <v>0</v>
      </c>
      <c r="L2479" s="15">
        <v>0</v>
      </c>
      <c r="M2479" s="15">
        <v>0</v>
      </c>
      <c r="N2479" s="15" t="str">
        <v/>
      </c>
      <c r="O2479" s="15" t="str">
        <v/>
      </c>
      <c r="P2479" s="22">
        <v>0</v>
      </c>
      <c r="Q2479">
        <v>0</v>
      </c>
    </row>
    <row r="2480" spans="1:17">
      <c r="A2480" s="19">
        <v>0</v>
      </c>
      <c r="B2480" s="19">
        <v>0</v>
      </c>
      <c r="C2480" s="19">
        <v>0</v>
      </c>
      <c r="D2480" s="19">
        <v>0</v>
      </c>
      <c r="E2480" s="19">
        <v>0</v>
      </c>
      <c r="F2480" s="19">
        <v>0</v>
      </c>
      <c r="G2480" s="19">
        <v>0</v>
      </c>
      <c r="H2480" s="19">
        <v>0</v>
      </c>
      <c r="I2480" s="15">
        <v>3500</v>
      </c>
      <c r="J2480" s="15">
        <v>0</v>
      </c>
      <c r="K2480" s="15">
        <v>0</v>
      </c>
      <c r="L2480" s="15">
        <v>0</v>
      </c>
      <c r="M2480" s="15">
        <v>0</v>
      </c>
      <c r="N2480" s="15" t="str">
        <v/>
      </c>
      <c r="O2480" s="15" t="str">
        <v/>
      </c>
      <c r="P2480" s="22">
        <v>0</v>
      </c>
      <c r="Q2480">
        <v>0</v>
      </c>
    </row>
    <row r="2481" spans="1:17">
      <c r="A2481" s="19">
        <v>0</v>
      </c>
      <c r="B2481" s="19">
        <v>0</v>
      </c>
      <c r="C2481" s="19">
        <v>0</v>
      </c>
      <c r="D2481" s="19">
        <v>0</v>
      </c>
      <c r="E2481" s="19">
        <v>0</v>
      </c>
      <c r="F2481" s="19">
        <v>0</v>
      </c>
      <c r="G2481" s="19">
        <v>0</v>
      </c>
      <c r="H2481" s="19">
        <v>0</v>
      </c>
      <c r="I2481" s="15">
        <v>3500</v>
      </c>
      <c r="J2481" s="15">
        <v>0</v>
      </c>
      <c r="K2481" s="15">
        <v>0</v>
      </c>
      <c r="L2481" s="15">
        <v>0</v>
      </c>
      <c r="M2481" s="15">
        <v>0</v>
      </c>
      <c r="N2481" s="15" t="str">
        <v/>
      </c>
      <c r="O2481" s="15" t="str">
        <v/>
      </c>
      <c r="P2481" s="22">
        <v>0</v>
      </c>
      <c r="Q2481">
        <v>0</v>
      </c>
    </row>
    <row r="2482" spans="1:17">
      <c r="A2482" s="19">
        <v>0</v>
      </c>
      <c r="B2482" s="19">
        <v>0</v>
      </c>
      <c r="C2482" s="19">
        <v>0</v>
      </c>
      <c r="D2482" s="19">
        <v>0</v>
      </c>
      <c r="E2482" s="19">
        <v>0</v>
      </c>
      <c r="F2482" s="19">
        <v>0</v>
      </c>
      <c r="G2482" s="19">
        <v>0</v>
      </c>
      <c r="H2482" s="19">
        <v>0</v>
      </c>
      <c r="I2482" s="15">
        <v>3500</v>
      </c>
      <c r="J2482" s="15">
        <v>0</v>
      </c>
      <c r="K2482" s="15">
        <v>0</v>
      </c>
      <c r="L2482" s="15">
        <v>0</v>
      </c>
      <c r="M2482" s="15">
        <v>0</v>
      </c>
      <c r="N2482" s="15" t="str">
        <v/>
      </c>
      <c r="O2482" s="15" t="str">
        <v/>
      </c>
      <c r="P2482" s="22">
        <v>0</v>
      </c>
      <c r="Q2482">
        <v>0</v>
      </c>
    </row>
    <row r="2483" spans="1:17">
      <c r="A2483" s="19">
        <v>0</v>
      </c>
      <c r="B2483" s="19">
        <v>0</v>
      </c>
      <c r="C2483" s="19">
        <v>0</v>
      </c>
      <c r="D2483" s="19">
        <v>0</v>
      </c>
      <c r="E2483" s="19">
        <v>0</v>
      </c>
      <c r="F2483" s="19">
        <v>0</v>
      </c>
      <c r="G2483" s="19">
        <v>0</v>
      </c>
      <c r="H2483" s="19">
        <v>0</v>
      </c>
      <c r="I2483" s="15">
        <v>3500</v>
      </c>
      <c r="J2483" s="15">
        <v>0</v>
      </c>
      <c r="K2483" s="15">
        <v>0</v>
      </c>
      <c r="L2483" s="15">
        <v>0</v>
      </c>
      <c r="M2483" s="15">
        <v>0</v>
      </c>
      <c r="N2483" s="15" t="str">
        <v/>
      </c>
      <c r="O2483" s="15" t="str">
        <v/>
      </c>
      <c r="P2483" s="22">
        <v>0</v>
      </c>
      <c r="Q2483">
        <v>0</v>
      </c>
    </row>
    <row r="2484" spans="1:17">
      <c r="A2484" s="19">
        <v>0</v>
      </c>
      <c r="B2484" s="19">
        <v>0</v>
      </c>
      <c r="C2484" s="19">
        <v>0</v>
      </c>
      <c r="D2484" s="19">
        <v>0</v>
      </c>
      <c r="E2484" s="19">
        <v>0</v>
      </c>
      <c r="F2484" s="19">
        <v>0</v>
      </c>
      <c r="G2484" s="19">
        <v>0</v>
      </c>
      <c r="H2484" s="19">
        <v>0</v>
      </c>
      <c r="I2484" s="15">
        <v>3500</v>
      </c>
      <c r="J2484" s="15">
        <v>0</v>
      </c>
      <c r="K2484" s="15">
        <v>0</v>
      </c>
      <c r="L2484" s="15">
        <v>0</v>
      </c>
      <c r="M2484" s="15">
        <v>0</v>
      </c>
      <c r="N2484" s="15" t="str">
        <v/>
      </c>
      <c r="O2484" s="15" t="str">
        <v/>
      </c>
      <c r="P2484" s="22">
        <v>0</v>
      </c>
      <c r="Q2484">
        <v>0</v>
      </c>
    </row>
    <row r="2485" spans="1:17">
      <c r="A2485" s="19">
        <v>0</v>
      </c>
      <c r="B2485" s="19">
        <v>0</v>
      </c>
      <c r="C2485" s="19">
        <v>0</v>
      </c>
      <c r="D2485" s="19">
        <v>0</v>
      </c>
      <c r="E2485" s="19">
        <v>0</v>
      </c>
      <c r="F2485" s="19">
        <v>0</v>
      </c>
      <c r="G2485" s="19">
        <v>0</v>
      </c>
      <c r="H2485" s="19">
        <v>0</v>
      </c>
      <c r="I2485" s="15">
        <v>3500</v>
      </c>
      <c r="J2485" s="15">
        <v>0</v>
      </c>
      <c r="K2485" s="15">
        <v>0</v>
      </c>
      <c r="L2485" s="15">
        <v>0</v>
      </c>
      <c r="M2485" s="15">
        <v>0</v>
      </c>
      <c r="N2485" s="15" t="str">
        <v/>
      </c>
      <c r="O2485" s="15" t="str">
        <v/>
      </c>
      <c r="P2485" s="22">
        <v>0</v>
      </c>
      <c r="Q2485">
        <v>0</v>
      </c>
    </row>
    <row r="2486" spans="1:17">
      <c r="A2486" s="19">
        <v>0</v>
      </c>
      <c r="B2486" s="19">
        <v>0</v>
      </c>
      <c r="C2486" s="19">
        <v>0</v>
      </c>
      <c r="D2486" s="19">
        <v>0</v>
      </c>
      <c r="E2486" s="19">
        <v>0</v>
      </c>
      <c r="F2486" s="19">
        <v>0</v>
      </c>
      <c r="G2486" s="19">
        <v>0</v>
      </c>
      <c r="H2486" s="19">
        <v>0</v>
      </c>
      <c r="I2486" s="15">
        <v>3500</v>
      </c>
      <c r="J2486" s="15">
        <v>0</v>
      </c>
      <c r="K2486" s="15">
        <v>0</v>
      </c>
      <c r="L2486" s="15">
        <v>0</v>
      </c>
      <c r="M2486" s="15">
        <v>0</v>
      </c>
      <c r="N2486" s="15" t="str">
        <v/>
      </c>
      <c r="O2486" s="15" t="str">
        <v/>
      </c>
      <c r="P2486" s="22">
        <v>0</v>
      </c>
      <c r="Q2486">
        <v>0</v>
      </c>
    </row>
    <row r="2487" spans="1:17">
      <c r="A2487" s="19">
        <v>0</v>
      </c>
      <c r="B2487" s="19">
        <v>0</v>
      </c>
      <c r="C2487" s="19">
        <v>0</v>
      </c>
      <c r="D2487" s="19">
        <v>0</v>
      </c>
      <c r="E2487" s="19">
        <v>0</v>
      </c>
      <c r="F2487" s="19">
        <v>0</v>
      </c>
      <c r="G2487" s="19">
        <v>0</v>
      </c>
      <c r="H2487" s="19">
        <v>0</v>
      </c>
      <c r="I2487" s="15">
        <v>3500</v>
      </c>
      <c r="J2487" s="15">
        <v>0</v>
      </c>
      <c r="K2487" s="15">
        <v>0</v>
      </c>
      <c r="L2487" s="15">
        <v>0</v>
      </c>
      <c r="M2487" s="15">
        <v>0</v>
      </c>
      <c r="N2487" s="15" t="str">
        <v/>
      </c>
      <c r="O2487" s="15" t="str">
        <v/>
      </c>
      <c r="P2487" s="22">
        <v>0</v>
      </c>
      <c r="Q2487">
        <v>0</v>
      </c>
    </row>
    <row r="2488" spans="1:17">
      <c r="A2488" s="19">
        <v>0</v>
      </c>
      <c r="B2488" s="19">
        <v>0</v>
      </c>
      <c r="C2488" s="19">
        <v>0</v>
      </c>
      <c r="D2488" s="19">
        <v>0</v>
      </c>
      <c r="E2488" s="19">
        <v>0</v>
      </c>
      <c r="F2488" s="19">
        <v>0</v>
      </c>
      <c r="G2488" s="19">
        <v>0</v>
      </c>
      <c r="H2488" s="19">
        <v>0</v>
      </c>
      <c r="I2488" s="15">
        <v>3500</v>
      </c>
      <c r="J2488" s="15">
        <v>0</v>
      </c>
      <c r="K2488" s="15">
        <v>0</v>
      </c>
      <c r="L2488" s="15">
        <v>0</v>
      </c>
      <c r="M2488" s="15">
        <v>0</v>
      </c>
      <c r="N2488" s="15" t="str">
        <v/>
      </c>
      <c r="O2488" s="15" t="str">
        <v/>
      </c>
      <c r="P2488" s="22">
        <v>0</v>
      </c>
      <c r="Q2488">
        <v>0</v>
      </c>
    </row>
    <row r="2489" spans="1:17">
      <c r="A2489" s="19">
        <v>0</v>
      </c>
      <c r="B2489" s="19">
        <v>0</v>
      </c>
      <c r="C2489" s="19">
        <v>0</v>
      </c>
      <c r="D2489" s="19">
        <v>0</v>
      </c>
      <c r="E2489" s="19">
        <v>0</v>
      </c>
      <c r="F2489" s="19">
        <v>0</v>
      </c>
      <c r="G2489" s="19">
        <v>0</v>
      </c>
      <c r="H2489" s="19">
        <v>0</v>
      </c>
      <c r="I2489" s="15">
        <v>3500</v>
      </c>
      <c r="J2489" s="15">
        <v>0</v>
      </c>
      <c r="K2489" s="15">
        <v>0</v>
      </c>
      <c r="L2489" s="15">
        <v>0</v>
      </c>
      <c r="M2489" s="15">
        <v>0</v>
      </c>
      <c r="N2489" s="15" t="str">
        <v/>
      </c>
      <c r="O2489" s="15" t="str">
        <v/>
      </c>
      <c r="P2489" s="22">
        <v>0</v>
      </c>
      <c r="Q2489">
        <v>0</v>
      </c>
    </row>
    <row r="2490" spans="1:17">
      <c r="A2490" s="19">
        <v>0</v>
      </c>
      <c r="B2490" s="19">
        <v>0</v>
      </c>
      <c r="C2490" s="19">
        <v>0</v>
      </c>
      <c r="D2490" s="19">
        <v>0</v>
      </c>
      <c r="E2490" s="19">
        <v>0</v>
      </c>
      <c r="F2490" s="19">
        <v>0</v>
      </c>
      <c r="G2490" s="19">
        <v>0</v>
      </c>
      <c r="H2490" s="19">
        <v>0</v>
      </c>
      <c r="I2490" s="15">
        <v>3500</v>
      </c>
      <c r="J2490" s="15">
        <v>0</v>
      </c>
      <c r="K2490" s="15">
        <v>0</v>
      </c>
      <c r="L2490" s="15">
        <v>0</v>
      </c>
      <c r="M2490" s="15">
        <v>0</v>
      </c>
      <c r="N2490" s="15" t="str">
        <v/>
      </c>
      <c r="O2490" s="15" t="str">
        <v/>
      </c>
      <c r="P2490" s="22">
        <v>0</v>
      </c>
      <c r="Q2490">
        <v>0</v>
      </c>
    </row>
    <row r="2491" spans="1:17">
      <c r="A2491" s="19">
        <v>0</v>
      </c>
      <c r="B2491" s="19">
        <v>0</v>
      </c>
      <c r="C2491" s="19">
        <v>0</v>
      </c>
      <c r="D2491" s="19">
        <v>0</v>
      </c>
      <c r="E2491" s="19">
        <v>0</v>
      </c>
      <c r="F2491" s="19">
        <v>0</v>
      </c>
      <c r="G2491" s="19">
        <v>0</v>
      </c>
      <c r="H2491" s="19">
        <v>0</v>
      </c>
      <c r="I2491" s="15">
        <v>3500</v>
      </c>
      <c r="J2491" s="15">
        <v>0</v>
      </c>
      <c r="K2491" s="15">
        <v>0</v>
      </c>
      <c r="L2491" s="15">
        <v>0</v>
      </c>
      <c r="M2491" s="15">
        <v>0</v>
      </c>
      <c r="N2491" s="15" t="str">
        <v/>
      </c>
      <c r="O2491" s="15" t="str">
        <v/>
      </c>
      <c r="P2491" s="22">
        <v>0</v>
      </c>
      <c r="Q2491">
        <v>0</v>
      </c>
    </row>
    <row r="2492" spans="1:17">
      <c r="A2492" s="19">
        <v>0</v>
      </c>
      <c r="B2492" s="19">
        <v>0</v>
      </c>
      <c r="C2492" s="19">
        <v>0</v>
      </c>
      <c r="D2492" s="19">
        <v>0</v>
      </c>
      <c r="E2492" s="19">
        <v>0</v>
      </c>
      <c r="F2492" s="19">
        <v>0</v>
      </c>
      <c r="G2492" s="19">
        <v>0</v>
      </c>
      <c r="H2492" s="19">
        <v>0</v>
      </c>
      <c r="I2492" s="15">
        <v>3500</v>
      </c>
      <c r="J2492" s="15">
        <v>0</v>
      </c>
      <c r="K2492" s="15">
        <v>0</v>
      </c>
      <c r="L2492" s="15">
        <v>0</v>
      </c>
      <c r="M2492" s="15">
        <v>0</v>
      </c>
      <c r="N2492" s="15" t="str">
        <v/>
      </c>
      <c r="O2492" s="15" t="str">
        <v/>
      </c>
      <c r="P2492" s="22">
        <v>0</v>
      </c>
      <c r="Q2492">
        <v>0</v>
      </c>
    </row>
    <row r="2493" spans="1:17">
      <c r="A2493" s="19">
        <v>0</v>
      </c>
      <c r="B2493" s="19">
        <v>0</v>
      </c>
      <c r="C2493" s="19">
        <v>0</v>
      </c>
      <c r="D2493" s="19">
        <v>0</v>
      </c>
      <c r="E2493" s="19">
        <v>0</v>
      </c>
      <c r="F2493" s="19">
        <v>0</v>
      </c>
      <c r="G2493" s="19">
        <v>0</v>
      </c>
      <c r="H2493" s="19">
        <v>0</v>
      </c>
      <c r="I2493" s="15">
        <v>3500</v>
      </c>
      <c r="J2493" s="15">
        <v>0</v>
      </c>
      <c r="K2493" s="15">
        <v>0</v>
      </c>
      <c r="L2493" s="15">
        <v>0</v>
      </c>
      <c r="M2493" s="15">
        <v>0</v>
      </c>
      <c r="N2493" s="15" t="str">
        <v/>
      </c>
      <c r="O2493" s="15" t="str">
        <v/>
      </c>
      <c r="P2493" s="22">
        <v>0</v>
      </c>
      <c r="Q2493">
        <v>0</v>
      </c>
    </row>
    <row r="2494" spans="1:17">
      <c r="A2494" s="19">
        <v>0</v>
      </c>
      <c r="B2494" s="19">
        <v>0</v>
      </c>
      <c r="C2494" s="19">
        <v>0</v>
      </c>
      <c r="D2494" s="19">
        <v>0</v>
      </c>
      <c r="E2494" s="19">
        <v>0</v>
      </c>
      <c r="F2494" s="19">
        <v>0</v>
      </c>
      <c r="G2494" s="19">
        <v>0</v>
      </c>
      <c r="H2494" s="19">
        <v>0</v>
      </c>
      <c r="I2494" s="15">
        <v>3500</v>
      </c>
      <c r="J2494" s="15">
        <v>0</v>
      </c>
      <c r="K2494" s="15">
        <v>0</v>
      </c>
      <c r="L2494" s="15">
        <v>0</v>
      </c>
      <c r="M2494" s="15">
        <v>0</v>
      </c>
      <c r="N2494" s="15" t="str">
        <v/>
      </c>
      <c r="O2494" s="15" t="str">
        <v/>
      </c>
      <c r="P2494" s="22">
        <v>0</v>
      </c>
      <c r="Q2494">
        <v>0</v>
      </c>
    </row>
    <row r="2495" spans="1:17">
      <c r="A2495" s="19">
        <v>0</v>
      </c>
      <c r="B2495" s="19">
        <v>0</v>
      </c>
      <c r="C2495" s="19">
        <v>0</v>
      </c>
      <c r="D2495" s="19">
        <v>0</v>
      </c>
      <c r="E2495" s="19">
        <v>0</v>
      </c>
      <c r="F2495" s="19">
        <v>0</v>
      </c>
      <c r="G2495" s="19">
        <v>0</v>
      </c>
      <c r="H2495" s="19">
        <v>0</v>
      </c>
      <c r="I2495" s="15">
        <v>3500</v>
      </c>
      <c r="J2495" s="15">
        <v>0</v>
      </c>
      <c r="K2495" s="15">
        <v>0</v>
      </c>
      <c r="L2495" s="15">
        <v>0</v>
      </c>
      <c r="M2495" s="15">
        <v>0</v>
      </c>
      <c r="N2495" s="15" t="str">
        <v/>
      </c>
      <c r="O2495" s="15" t="str">
        <v/>
      </c>
      <c r="P2495" s="22">
        <v>0</v>
      </c>
      <c r="Q2495">
        <v>0</v>
      </c>
    </row>
    <row r="2496" spans="1:17">
      <c r="A2496" s="19">
        <v>0</v>
      </c>
      <c r="B2496" s="19">
        <v>0</v>
      </c>
      <c r="C2496" s="19">
        <v>0</v>
      </c>
      <c r="D2496" s="19">
        <v>0</v>
      </c>
      <c r="E2496" s="19">
        <v>0</v>
      </c>
      <c r="F2496" s="19">
        <v>0</v>
      </c>
      <c r="G2496" s="19">
        <v>0</v>
      </c>
      <c r="H2496" s="19">
        <v>0</v>
      </c>
      <c r="I2496" s="15">
        <v>3500</v>
      </c>
      <c r="J2496" s="15">
        <v>0</v>
      </c>
      <c r="K2496" s="15">
        <v>0</v>
      </c>
      <c r="L2496" s="15">
        <v>0</v>
      </c>
      <c r="M2496" s="15">
        <v>0</v>
      </c>
      <c r="N2496" s="15" t="str">
        <v/>
      </c>
      <c r="O2496" s="15" t="str">
        <v/>
      </c>
      <c r="P2496" s="22">
        <v>0</v>
      </c>
      <c r="Q2496">
        <v>0</v>
      </c>
    </row>
    <row r="2497" spans="1:17">
      <c r="A2497" s="19">
        <v>0</v>
      </c>
      <c r="B2497" s="19">
        <v>0</v>
      </c>
      <c r="C2497" s="19">
        <v>0</v>
      </c>
      <c r="D2497" s="19">
        <v>0</v>
      </c>
      <c r="E2497" s="19">
        <v>0</v>
      </c>
      <c r="F2497" s="19">
        <v>0</v>
      </c>
      <c r="G2497" s="19">
        <v>0</v>
      </c>
      <c r="H2497" s="19">
        <v>0</v>
      </c>
      <c r="I2497" s="15">
        <v>3500</v>
      </c>
      <c r="J2497" s="15">
        <v>0</v>
      </c>
      <c r="K2497" s="15">
        <v>0</v>
      </c>
      <c r="L2497" s="15">
        <v>0</v>
      </c>
      <c r="M2497" s="15">
        <v>0</v>
      </c>
      <c r="N2497" s="15" t="str">
        <v/>
      </c>
      <c r="O2497" s="15" t="str">
        <v/>
      </c>
      <c r="P2497" s="22">
        <v>0</v>
      </c>
      <c r="Q2497">
        <v>0</v>
      </c>
    </row>
    <row r="2498" spans="1:17">
      <c r="A2498" s="19">
        <v>0</v>
      </c>
      <c r="B2498" s="19">
        <v>0</v>
      </c>
      <c r="C2498" s="19">
        <v>0</v>
      </c>
      <c r="D2498" s="19">
        <v>0</v>
      </c>
      <c r="E2498" s="19">
        <v>0</v>
      </c>
      <c r="F2498" s="19">
        <v>0</v>
      </c>
      <c r="G2498" s="19">
        <v>0</v>
      </c>
      <c r="H2498" s="19">
        <v>0</v>
      </c>
      <c r="I2498" s="15">
        <v>3500</v>
      </c>
      <c r="J2498" s="15">
        <v>0</v>
      </c>
      <c r="K2498" s="15">
        <v>0</v>
      </c>
      <c r="L2498" s="15">
        <v>0</v>
      </c>
      <c r="M2498" s="15">
        <v>0</v>
      </c>
      <c r="N2498" s="15" t="str">
        <v/>
      </c>
      <c r="O2498" s="15" t="str">
        <v/>
      </c>
      <c r="P2498" s="22">
        <v>0</v>
      </c>
      <c r="Q2498">
        <v>0</v>
      </c>
    </row>
    <row r="2499" spans="1:17">
      <c r="A2499" s="19">
        <v>0</v>
      </c>
      <c r="B2499" s="19">
        <v>0</v>
      </c>
      <c r="C2499" s="19">
        <v>0</v>
      </c>
      <c r="D2499" s="19">
        <v>0</v>
      </c>
      <c r="E2499" s="19">
        <v>0</v>
      </c>
      <c r="F2499" s="19">
        <v>0</v>
      </c>
      <c r="G2499" s="19">
        <v>0</v>
      </c>
      <c r="H2499" s="19">
        <v>0</v>
      </c>
      <c r="I2499" s="15">
        <v>3500</v>
      </c>
      <c r="J2499" s="15">
        <v>0</v>
      </c>
      <c r="K2499" s="15">
        <v>0</v>
      </c>
      <c r="L2499" s="15">
        <v>0</v>
      </c>
      <c r="M2499" s="15">
        <v>0</v>
      </c>
      <c r="N2499" s="15" t="str">
        <v/>
      </c>
      <c r="O2499" s="15" t="str">
        <v/>
      </c>
      <c r="P2499" s="22">
        <v>0</v>
      </c>
      <c r="Q2499">
        <v>0</v>
      </c>
    </row>
    <row r="2500" spans="1:17">
      <c r="A2500" s="19">
        <v>0</v>
      </c>
      <c r="B2500" s="19">
        <v>0</v>
      </c>
      <c r="C2500" s="19">
        <v>0</v>
      </c>
      <c r="D2500" s="19">
        <v>0</v>
      </c>
      <c r="E2500" s="19">
        <v>0</v>
      </c>
      <c r="F2500" s="19">
        <v>0</v>
      </c>
      <c r="G2500" s="19">
        <v>0</v>
      </c>
      <c r="H2500" s="19">
        <v>0</v>
      </c>
      <c r="I2500" s="15">
        <v>3500</v>
      </c>
      <c r="J2500" s="15">
        <v>0</v>
      </c>
      <c r="K2500" s="15">
        <v>0</v>
      </c>
      <c r="L2500" s="15">
        <v>0</v>
      </c>
      <c r="M2500" s="15">
        <v>0</v>
      </c>
      <c r="N2500" s="15" t="str">
        <v/>
      </c>
      <c r="O2500" s="15" t="str">
        <v/>
      </c>
      <c r="P2500" s="22">
        <v>0</v>
      </c>
      <c r="Q2500">
        <v>0</v>
      </c>
    </row>
    <row r="2501" spans="1:17">
      <c r="A2501" s="19">
        <v>0</v>
      </c>
      <c r="B2501" s="19">
        <v>0</v>
      </c>
      <c r="C2501" s="19">
        <v>0</v>
      </c>
      <c r="D2501" s="19">
        <v>0</v>
      </c>
      <c r="E2501" s="19">
        <v>0</v>
      </c>
      <c r="F2501" s="19">
        <v>0</v>
      </c>
      <c r="G2501" s="19">
        <v>0</v>
      </c>
      <c r="H2501" s="19">
        <v>0</v>
      </c>
      <c r="I2501" s="15">
        <v>3500</v>
      </c>
      <c r="J2501" s="15">
        <v>0</v>
      </c>
      <c r="K2501" s="15">
        <v>0</v>
      </c>
      <c r="L2501" s="15">
        <v>0</v>
      </c>
      <c r="M2501" s="15">
        <v>0</v>
      </c>
      <c r="N2501" s="15" t="str">
        <v/>
      </c>
      <c r="O2501" s="15" t="str">
        <v/>
      </c>
      <c r="P2501" s="22">
        <v>0</v>
      </c>
      <c r="Q2501">
        <v>0</v>
      </c>
    </row>
    <row r="2502" spans="1:17">
      <c r="A2502" s="19">
        <v>0</v>
      </c>
      <c r="B2502" s="19">
        <v>0</v>
      </c>
      <c r="C2502" s="19">
        <v>0</v>
      </c>
      <c r="D2502" s="19">
        <v>0</v>
      </c>
      <c r="E2502" s="19">
        <v>0</v>
      </c>
      <c r="F2502" s="19">
        <v>0</v>
      </c>
      <c r="G2502" s="19">
        <v>0</v>
      </c>
      <c r="H2502" s="19">
        <v>0</v>
      </c>
      <c r="I2502" s="15">
        <v>3500</v>
      </c>
      <c r="J2502" s="15">
        <v>0</v>
      </c>
      <c r="K2502" s="15">
        <v>0</v>
      </c>
      <c r="L2502" s="15">
        <v>0</v>
      </c>
      <c r="M2502" s="15">
        <v>0</v>
      </c>
      <c r="N2502" s="15" t="str">
        <v/>
      </c>
      <c r="O2502" s="15" t="str">
        <v/>
      </c>
      <c r="P2502" s="22">
        <v>0</v>
      </c>
      <c r="Q2502">
        <v>0</v>
      </c>
    </row>
    <row r="2503" spans="1:17">
      <c r="A2503" s="19">
        <v>0</v>
      </c>
      <c r="B2503" s="19">
        <v>0</v>
      </c>
      <c r="C2503" s="19">
        <v>0</v>
      </c>
      <c r="D2503" s="19">
        <v>0</v>
      </c>
      <c r="E2503" s="19">
        <v>0</v>
      </c>
      <c r="F2503" s="19">
        <v>0</v>
      </c>
      <c r="G2503" s="19">
        <v>0</v>
      </c>
      <c r="H2503" s="19">
        <v>0</v>
      </c>
      <c r="I2503" s="15">
        <v>3500</v>
      </c>
      <c r="J2503" s="15">
        <v>0</v>
      </c>
      <c r="K2503" s="15">
        <v>0</v>
      </c>
      <c r="L2503" s="15">
        <v>0</v>
      </c>
      <c r="M2503" s="15">
        <v>0</v>
      </c>
      <c r="N2503" s="15" t="str">
        <v/>
      </c>
      <c r="O2503" s="15" t="str">
        <v/>
      </c>
      <c r="P2503" s="22">
        <v>0</v>
      </c>
      <c r="Q2503">
        <v>0</v>
      </c>
    </row>
    <row r="2504" spans="1:17">
      <c r="A2504" s="19">
        <v>0</v>
      </c>
      <c r="B2504" s="19">
        <v>0</v>
      </c>
      <c r="C2504" s="19">
        <v>0</v>
      </c>
      <c r="D2504" s="19">
        <v>0</v>
      </c>
      <c r="E2504" s="19">
        <v>0</v>
      </c>
      <c r="F2504" s="19">
        <v>0</v>
      </c>
      <c r="G2504" s="19">
        <v>0</v>
      </c>
      <c r="H2504" s="19">
        <v>0</v>
      </c>
      <c r="I2504" s="15">
        <v>3500</v>
      </c>
      <c r="J2504" s="15">
        <v>0</v>
      </c>
      <c r="K2504" s="15">
        <v>0</v>
      </c>
      <c r="L2504" s="15">
        <v>0</v>
      </c>
      <c r="M2504" s="15">
        <v>0</v>
      </c>
      <c r="N2504" s="15" t="str">
        <v/>
      </c>
      <c r="O2504" s="15" t="str">
        <v/>
      </c>
      <c r="P2504" s="22">
        <v>0</v>
      </c>
      <c r="Q2504">
        <v>0</v>
      </c>
    </row>
    <row r="2505" spans="1:17">
      <c r="A2505" s="19">
        <v>0</v>
      </c>
      <c r="B2505" s="19">
        <v>0</v>
      </c>
      <c r="C2505" s="19">
        <v>0</v>
      </c>
      <c r="D2505" s="19">
        <v>0</v>
      </c>
      <c r="E2505" s="19">
        <v>0</v>
      </c>
      <c r="F2505" s="19">
        <v>0</v>
      </c>
      <c r="G2505" s="19">
        <v>0</v>
      </c>
      <c r="H2505" s="19">
        <v>0</v>
      </c>
      <c r="I2505" s="15">
        <v>3500</v>
      </c>
      <c r="J2505" s="15">
        <v>0</v>
      </c>
      <c r="K2505" s="15">
        <v>0</v>
      </c>
      <c r="L2505" s="15">
        <v>0</v>
      </c>
      <c r="M2505" s="15">
        <v>0</v>
      </c>
      <c r="N2505" s="15" t="str">
        <v/>
      </c>
      <c r="O2505" s="15" t="str">
        <v/>
      </c>
      <c r="P2505" s="22">
        <v>0</v>
      </c>
      <c r="Q2505">
        <v>0</v>
      </c>
    </row>
    <row r="2506" spans="1:17">
      <c r="A2506" s="19">
        <v>0</v>
      </c>
      <c r="B2506" s="19">
        <v>0</v>
      </c>
      <c r="C2506" s="19">
        <v>0</v>
      </c>
      <c r="D2506" s="19">
        <v>0</v>
      </c>
      <c r="E2506" s="19">
        <v>0</v>
      </c>
      <c r="F2506" s="19">
        <v>0</v>
      </c>
      <c r="G2506" s="19">
        <v>0</v>
      </c>
      <c r="H2506" s="19">
        <v>0</v>
      </c>
      <c r="I2506" s="15">
        <v>3500</v>
      </c>
      <c r="J2506" s="15">
        <v>0</v>
      </c>
      <c r="K2506" s="15">
        <v>0</v>
      </c>
      <c r="L2506" s="15">
        <v>0</v>
      </c>
      <c r="M2506" s="15">
        <v>0</v>
      </c>
      <c r="N2506" s="15" t="str">
        <v/>
      </c>
      <c r="O2506" s="15" t="str">
        <v/>
      </c>
      <c r="P2506" s="22">
        <v>0</v>
      </c>
      <c r="Q2506">
        <v>0</v>
      </c>
    </row>
    <row r="2507" spans="1:17">
      <c r="A2507" s="19">
        <v>0</v>
      </c>
      <c r="B2507" s="19">
        <v>0</v>
      </c>
      <c r="C2507" s="19">
        <v>0</v>
      </c>
      <c r="D2507" s="19">
        <v>0</v>
      </c>
      <c r="E2507" s="19">
        <v>0</v>
      </c>
      <c r="F2507" s="19">
        <v>0</v>
      </c>
      <c r="G2507" s="19">
        <v>0</v>
      </c>
      <c r="H2507" s="19">
        <v>0</v>
      </c>
      <c r="I2507" s="15">
        <v>3500</v>
      </c>
      <c r="J2507" s="15">
        <v>0</v>
      </c>
      <c r="K2507" s="15">
        <v>0</v>
      </c>
      <c r="L2507" s="15">
        <v>0</v>
      </c>
      <c r="M2507" s="15">
        <v>0</v>
      </c>
      <c r="N2507" s="15" t="str">
        <v/>
      </c>
      <c r="O2507" s="15" t="str">
        <v/>
      </c>
      <c r="P2507" s="22">
        <v>0</v>
      </c>
      <c r="Q2507">
        <v>0</v>
      </c>
    </row>
    <row r="2508" spans="1:17">
      <c r="A2508" s="19">
        <v>0</v>
      </c>
      <c r="B2508" s="19">
        <v>0</v>
      </c>
      <c r="C2508" s="19">
        <v>0</v>
      </c>
      <c r="D2508" s="19">
        <v>0</v>
      </c>
      <c r="E2508" s="19">
        <v>0</v>
      </c>
      <c r="F2508" s="19">
        <v>0</v>
      </c>
      <c r="G2508" s="19">
        <v>0</v>
      </c>
      <c r="H2508" s="19">
        <v>0</v>
      </c>
      <c r="I2508" s="15">
        <v>3500</v>
      </c>
      <c r="J2508" s="15">
        <v>0</v>
      </c>
      <c r="K2508" s="15">
        <v>0</v>
      </c>
      <c r="L2508" s="15">
        <v>0</v>
      </c>
      <c r="M2508" s="15">
        <v>0</v>
      </c>
      <c r="N2508" s="15" t="str">
        <v/>
      </c>
      <c r="O2508" s="15" t="str">
        <v/>
      </c>
      <c r="P2508" s="22">
        <v>0</v>
      </c>
      <c r="Q2508">
        <v>0</v>
      </c>
    </row>
    <row r="2509" spans="1:17">
      <c r="A2509" s="19">
        <v>0</v>
      </c>
      <c r="B2509" s="19">
        <v>0</v>
      </c>
      <c r="C2509" s="19">
        <v>0</v>
      </c>
      <c r="D2509" s="19">
        <v>0</v>
      </c>
      <c r="E2509" s="19">
        <v>0</v>
      </c>
      <c r="F2509" s="19">
        <v>0</v>
      </c>
      <c r="G2509" s="19">
        <v>0</v>
      </c>
      <c r="H2509" s="19">
        <v>0</v>
      </c>
      <c r="I2509" s="15">
        <v>3500</v>
      </c>
      <c r="J2509" s="15">
        <v>0</v>
      </c>
      <c r="K2509" s="15">
        <v>0</v>
      </c>
      <c r="L2509" s="15">
        <v>0</v>
      </c>
      <c r="M2509" s="15">
        <v>0</v>
      </c>
      <c r="N2509" s="15" t="str">
        <v/>
      </c>
      <c r="O2509" s="15" t="str">
        <v/>
      </c>
      <c r="P2509" s="22">
        <v>0</v>
      </c>
      <c r="Q2509">
        <v>0</v>
      </c>
    </row>
    <row r="2510" spans="1:17">
      <c r="A2510" s="19">
        <v>0</v>
      </c>
      <c r="B2510" s="19">
        <v>0</v>
      </c>
      <c r="C2510" s="19">
        <v>0</v>
      </c>
      <c r="D2510" s="19">
        <v>0</v>
      </c>
      <c r="E2510" s="19">
        <v>0</v>
      </c>
      <c r="F2510" s="19">
        <v>0</v>
      </c>
      <c r="G2510" s="19">
        <v>0</v>
      </c>
      <c r="H2510" s="19">
        <v>0</v>
      </c>
      <c r="I2510" s="15">
        <v>3500</v>
      </c>
      <c r="J2510" s="15">
        <v>0</v>
      </c>
      <c r="K2510" s="15">
        <v>0</v>
      </c>
      <c r="L2510" s="15">
        <v>0</v>
      </c>
      <c r="M2510" s="15">
        <v>0</v>
      </c>
      <c r="N2510" s="15" t="str">
        <v/>
      </c>
      <c r="O2510" s="15" t="str">
        <v/>
      </c>
      <c r="P2510" s="22">
        <v>0</v>
      </c>
      <c r="Q2510">
        <v>0</v>
      </c>
    </row>
    <row r="2511" spans="1:17">
      <c r="A2511" s="19">
        <v>0</v>
      </c>
      <c r="B2511" s="19">
        <v>0</v>
      </c>
      <c r="C2511" s="19">
        <v>0</v>
      </c>
      <c r="D2511" s="19">
        <v>0</v>
      </c>
      <c r="E2511" s="19">
        <v>0</v>
      </c>
      <c r="F2511" s="19">
        <v>0</v>
      </c>
      <c r="G2511" s="19">
        <v>0</v>
      </c>
      <c r="H2511" s="19">
        <v>0</v>
      </c>
      <c r="I2511" s="15">
        <v>3500</v>
      </c>
      <c r="J2511" s="15">
        <v>0</v>
      </c>
      <c r="K2511" s="15">
        <v>0</v>
      </c>
      <c r="L2511" s="15">
        <v>0</v>
      </c>
      <c r="M2511" s="15">
        <v>0</v>
      </c>
      <c r="N2511" s="15" t="str">
        <v/>
      </c>
      <c r="O2511" s="15" t="str">
        <v/>
      </c>
      <c r="P2511" s="22">
        <v>0</v>
      </c>
      <c r="Q2511">
        <v>0</v>
      </c>
    </row>
    <row r="2512" spans="1:17">
      <c r="A2512" s="19">
        <v>0</v>
      </c>
      <c r="B2512" s="19">
        <v>0</v>
      </c>
      <c r="C2512" s="19">
        <v>0</v>
      </c>
      <c r="D2512" s="19">
        <v>0</v>
      </c>
      <c r="E2512" s="19">
        <v>0</v>
      </c>
      <c r="F2512" s="19">
        <v>0</v>
      </c>
      <c r="G2512" s="19">
        <v>0</v>
      </c>
      <c r="H2512" s="19">
        <v>0</v>
      </c>
      <c r="I2512" s="15">
        <v>3500</v>
      </c>
      <c r="J2512" s="15">
        <v>0</v>
      </c>
      <c r="K2512" s="15">
        <v>0</v>
      </c>
      <c r="L2512" s="15">
        <v>0</v>
      </c>
      <c r="M2512" s="15">
        <v>0</v>
      </c>
      <c r="N2512" s="15" t="str">
        <v/>
      </c>
      <c r="O2512" s="15" t="str">
        <v/>
      </c>
      <c r="P2512" s="22">
        <v>0</v>
      </c>
      <c r="Q2512">
        <v>0</v>
      </c>
    </row>
    <row r="2513" spans="1:17">
      <c r="A2513" s="19">
        <v>0</v>
      </c>
      <c r="B2513" s="19">
        <v>0</v>
      </c>
      <c r="C2513" s="19">
        <v>0</v>
      </c>
      <c r="D2513" s="19">
        <v>0</v>
      </c>
      <c r="E2513" s="19">
        <v>0</v>
      </c>
      <c r="F2513" s="19">
        <v>0</v>
      </c>
      <c r="G2513" s="19">
        <v>0</v>
      </c>
      <c r="H2513" s="19">
        <v>0</v>
      </c>
      <c r="I2513" s="15">
        <v>3500</v>
      </c>
      <c r="J2513" s="15">
        <v>0</v>
      </c>
      <c r="K2513" s="15">
        <v>0</v>
      </c>
      <c r="L2513" s="15">
        <v>0</v>
      </c>
      <c r="M2513" s="15">
        <v>0</v>
      </c>
      <c r="N2513" s="15" t="str">
        <v/>
      </c>
      <c r="O2513" s="15" t="str">
        <v/>
      </c>
      <c r="P2513" s="22">
        <v>0</v>
      </c>
      <c r="Q2513">
        <v>0</v>
      </c>
    </row>
    <row r="2514" spans="1:17">
      <c r="A2514" s="19">
        <v>0</v>
      </c>
      <c r="B2514" s="19">
        <v>0</v>
      </c>
      <c r="C2514" s="19">
        <v>0</v>
      </c>
      <c r="D2514" s="19">
        <v>0</v>
      </c>
      <c r="E2514" s="19">
        <v>0</v>
      </c>
      <c r="F2514" s="19">
        <v>0</v>
      </c>
      <c r="G2514" s="19">
        <v>0</v>
      </c>
      <c r="H2514" s="19">
        <v>0</v>
      </c>
      <c r="I2514" s="15">
        <v>3500</v>
      </c>
      <c r="J2514" s="15">
        <v>0</v>
      </c>
      <c r="K2514" s="15">
        <v>0</v>
      </c>
      <c r="L2514" s="15">
        <v>0</v>
      </c>
      <c r="M2514" s="15">
        <v>0</v>
      </c>
      <c r="N2514" s="15" t="str">
        <v/>
      </c>
      <c r="O2514" s="15" t="str">
        <v/>
      </c>
      <c r="P2514" s="22">
        <v>0</v>
      </c>
      <c r="Q2514">
        <v>0</v>
      </c>
    </row>
    <row r="2515" spans="1:17">
      <c r="A2515" s="19">
        <v>0</v>
      </c>
      <c r="B2515" s="19">
        <v>0</v>
      </c>
      <c r="C2515" s="19">
        <v>0</v>
      </c>
      <c r="D2515" s="19">
        <v>0</v>
      </c>
      <c r="E2515" s="19">
        <v>0</v>
      </c>
      <c r="F2515" s="19">
        <v>0</v>
      </c>
      <c r="G2515" s="19">
        <v>0</v>
      </c>
      <c r="H2515" s="19">
        <v>0</v>
      </c>
      <c r="I2515" s="15">
        <v>3500</v>
      </c>
      <c r="J2515" s="15">
        <v>0</v>
      </c>
      <c r="K2515" s="15">
        <v>0</v>
      </c>
      <c r="L2515" s="15">
        <v>0</v>
      </c>
      <c r="M2515" s="15">
        <v>0</v>
      </c>
      <c r="N2515" s="15" t="str">
        <v/>
      </c>
      <c r="O2515" s="15" t="str">
        <v/>
      </c>
      <c r="P2515" s="22">
        <v>0</v>
      </c>
      <c r="Q2515">
        <v>0</v>
      </c>
    </row>
    <row r="2516" spans="1:17">
      <c r="A2516" s="19">
        <v>0</v>
      </c>
      <c r="B2516" s="19">
        <v>0</v>
      </c>
      <c r="C2516" s="19">
        <v>0</v>
      </c>
      <c r="D2516" s="19">
        <v>0</v>
      </c>
      <c r="E2516" s="19">
        <v>0</v>
      </c>
      <c r="F2516" s="19">
        <v>0</v>
      </c>
      <c r="G2516" s="19">
        <v>0</v>
      </c>
      <c r="H2516" s="19">
        <v>0</v>
      </c>
      <c r="I2516" s="15">
        <v>3500</v>
      </c>
      <c r="J2516" s="15">
        <v>0</v>
      </c>
      <c r="K2516" s="15">
        <v>0</v>
      </c>
      <c r="L2516" s="15">
        <v>0</v>
      </c>
      <c r="M2516" s="15">
        <v>0</v>
      </c>
      <c r="N2516" s="15" t="str">
        <v/>
      </c>
      <c r="O2516" s="15" t="str">
        <v/>
      </c>
      <c r="P2516" s="22">
        <v>0</v>
      </c>
      <c r="Q2516">
        <v>0</v>
      </c>
    </row>
    <row r="2517" spans="1:17">
      <c r="A2517" s="19">
        <v>0</v>
      </c>
      <c r="B2517" s="19">
        <v>0</v>
      </c>
      <c r="C2517" s="19">
        <v>0</v>
      </c>
      <c r="D2517" s="19">
        <v>0</v>
      </c>
      <c r="E2517" s="19">
        <v>0</v>
      </c>
      <c r="F2517" s="19">
        <v>0</v>
      </c>
      <c r="G2517" s="19">
        <v>0</v>
      </c>
      <c r="H2517" s="19">
        <v>0</v>
      </c>
      <c r="I2517" s="15">
        <v>3500</v>
      </c>
      <c r="J2517" s="15">
        <v>0</v>
      </c>
      <c r="K2517" s="15">
        <v>0</v>
      </c>
      <c r="L2517" s="15">
        <v>0</v>
      </c>
      <c r="M2517" s="15">
        <v>0</v>
      </c>
      <c r="N2517" s="15" t="str">
        <v/>
      </c>
      <c r="O2517" s="15" t="str">
        <v/>
      </c>
      <c r="P2517" s="22">
        <v>0</v>
      </c>
      <c r="Q2517">
        <v>0</v>
      </c>
    </row>
    <row r="2518" spans="1:17">
      <c r="A2518" s="19">
        <v>0</v>
      </c>
      <c r="B2518" s="19">
        <v>0</v>
      </c>
      <c r="C2518" s="19">
        <v>0</v>
      </c>
      <c r="D2518" s="19">
        <v>0</v>
      </c>
      <c r="E2518" s="19">
        <v>0</v>
      </c>
      <c r="F2518" s="19">
        <v>0</v>
      </c>
      <c r="G2518" s="19">
        <v>0</v>
      </c>
      <c r="H2518" s="19">
        <v>0</v>
      </c>
      <c r="I2518" s="15">
        <v>3500</v>
      </c>
      <c r="J2518" s="15">
        <v>0</v>
      </c>
      <c r="K2518" s="15">
        <v>0</v>
      </c>
      <c r="L2518" s="15">
        <v>0</v>
      </c>
      <c r="M2518" s="15">
        <v>0</v>
      </c>
      <c r="N2518" s="15" t="str">
        <v/>
      </c>
      <c r="O2518" s="15" t="str">
        <v/>
      </c>
      <c r="P2518" s="22">
        <v>0</v>
      </c>
      <c r="Q2518">
        <v>0</v>
      </c>
    </row>
    <row r="2519" spans="1:17">
      <c r="A2519" s="19">
        <v>0</v>
      </c>
      <c r="B2519" s="19">
        <v>0</v>
      </c>
      <c r="C2519" s="19">
        <v>0</v>
      </c>
      <c r="D2519" s="19">
        <v>0</v>
      </c>
      <c r="E2519" s="19">
        <v>0</v>
      </c>
      <c r="F2519" s="19">
        <v>0</v>
      </c>
      <c r="G2519" s="19">
        <v>0</v>
      </c>
      <c r="H2519" s="19">
        <v>0</v>
      </c>
      <c r="I2519" s="15">
        <v>3500</v>
      </c>
      <c r="J2519" s="15">
        <v>0</v>
      </c>
      <c r="K2519" s="15">
        <v>0</v>
      </c>
      <c r="L2519" s="15">
        <v>0</v>
      </c>
      <c r="M2519" s="15">
        <v>0</v>
      </c>
      <c r="N2519" s="15" t="str">
        <v/>
      </c>
      <c r="O2519" s="15" t="str">
        <v/>
      </c>
      <c r="P2519" s="22">
        <v>0</v>
      </c>
      <c r="Q2519">
        <v>0</v>
      </c>
    </row>
    <row r="2520" spans="1:17">
      <c r="A2520" s="19">
        <v>0</v>
      </c>
      <c r="B2520" s="19">
        <v>0</v>
      </c>
      <c r="C2520" s="19">
        <v>0</v>
      </c>
      <c r="D2520" s="19">
        <v>0</v>
      </c>
      <c r="E2520" s="19">
        <v>0</v>
      </c>
      <c r="F2520" s="19">
        <v>0</v>
      </c>
      <c r="G2520" s="19">
        <v>0</v>
      </c>
      <c r="H2520" s="19">
        <v>0</v>
      </c>
      <c r="I2520" s="15">
        <v>3500</v>
      </c>
      <c r="J2520" s="15">
        <v>0</v>
      </c>
      <c r="K2520" s="15">
        <v>0</v>
      </c>
      <c r="L2520" s="15">
        <v>0</v>
      </c>
      <c r="M2520" s="15">
        <v>0</v>
      </c>
      <c r="N2520" s="15" t="str">
        <v/>
      </c>
      <c r="O2520" s="15" t="str">
        <v/>
      </c>
      <c r="P2520" s="22">
        <v>0</v>
      </c>
      <c r="Q2520">
        <v>0</v>
      </c>
    </row>
    <row r="2521" spans="1:17">
      <c r="A2521" s="19">
        <v>0</v>
      </c>
      <c r="B2521" s="19">
        <v>0</v>
      </c>
      <c r="C2521" s="19">
        <v>0</v>
      </c>
      <c r="D2521" s="19">
        <v>0</v>
      </c>
      <c r="E2521" s="19">
        <v>0</v>
      </c>
      <c r="F2521" s="19">
        <v>0</v>
      </c>
      <c r="G2521" s="19">
        <v>0</v>
      </c>
      <c r="H2521" s="19">
        <v>0</v>
      </c>
      <c r="I2521" s="15">
        <v>3500</v>
      </c>
      <c r="J2521" s="15">
        <v>0</v>
      </c>
      <c r="K2521" s="15">
        <v>0</v>
      </c>
      <c r="L2521" s="15">
        <v>0</v>
      </c>
      <c r="M2521" s="15">
        <v>0</v>
      </c>
      <c r="N2521" s="15" t="str">
        <v/>
      </c>
      <c r="O2521" s="15" t="str">
        <v/>
      </c>
      <c r="P2521" s="22">
        <v>0</v>
      </c>
      <c r="Q2521">
        <v>0</v>
      </c>
    </row>
    <row r="2522" spans="1:17">
      <c r="A2522" s="19">
        <v>0</v>
      </c>
      <c r="B2522" s="19">
        <v>0</v>
      </c>
      <c r="C2522" s="19">
        <v>0</v>
      </c>
      <c r="D2522" s="19">
        <v>0</v>
      </c>
      <c r="E2522" s="19">
        <v>0</v>
      </c>
      <c r="F2522" s="19">
        <v>0</v>
      </c>
      <c r="G2522" s="19">
        <v>0</v>
      </c>
      <c r="H2522" s="19">
        <v>0</v>
      </c>
      <c r="I2522" s="15">
        <v>3500</v>
      </c>
      <c r="J2522" s="15">
        <v>0</v>
      </c>
      <c r="K2522" s="15">
        <v>0</v>
      </c>
      <c r="L2522" s="15">
        <v>0</v>
      </c>
      <c r="M2522" s="15">
        <v>0</v>
      </c>
      <c r="N2522" s="15" t="str">
        <v/>
      </c>
      <c r="O2522" s="15" t="str">
        <v/>
      </c>
      <c r="P2522" s="22">
        <v>0</v>
      </c>
      <c r="Q2522">
        <v>0</v>
      </c>
    </row>
    <row r="2523" spans="1:17">
      <c r="A2523" s="19">
        <v>0</v>
      </c>
      <c r="B2523" s="19">
        <v>0</v>
      </c>
      <c r="C2523" s="19">
        <v>0</v>
      </c>
      <c r="D2523" s="19">
        <v>0</v>
      </c>
      <c r="E2523" s="19">
        <v>0</v>
      </c>
      <c r="F2523" s="19">
        <v>0</v>
      </c>
      <c r="G2523" s="19">
        <v>0</v>
      </c>
      <c r="H2523" s="19">
        <v>0</v>
      </c>
      <c r="I2523" s="15">
        <v>3500</v>
      </c>
      <c r="J2523" s="15">
        <v>0</v>
      </c>
      <c r="K2523" s="15">
        <v>0</v>
      </c>
      <c r="L2523" s="15">
        <v>0</v>
      </c>
      <c r="M2523" s="15">
        <v>0</v>
      </c>
      <c r="N2523" s="15" t="str">
        <v/>
      </c>
      <c r="O2523" s="15" t="str">
        <v/>
      </c>
      <c r="P2523" s="22">
        <v>0</v>
      </c>
      <c r="Q2523">
        <v>0</v>
      </c>
    </row>
    <row r="2524" spans="1:17">
      <c r="A2524" s="19">
        <v>0</v>
      </c>
      <c r="B2524" s="19">
        <v>0</v>
      </c>
      <c r="C2524" s="19">
        <v>0</v>
      </c>
      <c r="D2524" s="19">
        <v>0</v>
      </c>
      <c r="E2524" s="19">
        <v>0</v>
      </c>
      <c r="F2524" s="19">
        <v>0</v>
      </c>
      <c r="G2524" s="19">
        <v>0</v>
      </c>
      <c r="H2524" s="19">
        <v>0</v>
      </c>
      <c r="I2524" s="15">
        <v>3500</v>
      </c>
      <c r="J2524" s="15">
        <v>0</v>
      </c>
      <c r="K2524" s="15">
        <v>0</v>
      </c>
      <c r="L2524" s="15">
        <v>0</v>
      </c>
      <c r="M2524" s="15">
        <v>0</v>
      </c>
      <c r="N2524" s="15" t="str">
        <v/>
      </c>
      <c r="O2524" s="15" t="str">
        <v/>
      </c>
      <c r="P2524" s="22">
        <v>0</v>
      </c>
      <c r="Q2524">
        <v>0</v>
      </c>
    </row>
    <row r="2525" spans="1:17">
      <c r="A2525" s="19">
        <v>0</v>
      </c>
      <c r="B2525" s="19">
        <v>0</v>
      </c>
      <c r="C2525" s="19">
        <v>0</v>
      </c>
      <c r="D2525" s="19">
        <v>0</v>
      </c>
      <c r="E2525" s="19">
        <v>0</v>
      </c>
      <c r="F2525" s="19">
        <v>0</v>
      </c>
      <c r="G2525" s="19">
        <v>0</v>
      </c>
      <c r="H2525" s="19">
        <v>0</v>
      </c>
      <c r="I2525" s="15">
        <v>3500</v>
      </c>
      <c r="J2525" s="15">
        <v>0</v>
      </c>
      <c r="K2525" s="15">
        <v>0</v>
      </c>
      <c r="L2525" s="15">
        <v>0</v>
      </c>
      <c r="M2525" s="15">
        <v>0</v>
      </c>
      <c r="N2525" s="15" t="str">
        <v/>
      </c>
      <c r="O2525" s="15" t="str">
        <v/>
      </c>
      <c r="P2525" s="22">
        <v>0</v>
      </c>
      <c r="Q2525">
        <v>0</v>
      </c>
    </row>
    <row r="2526" spans="1:17">
      <c r="A2526" s="19">
        <v>0</v>
      </c>
      <c r="B2526" s="19">
        <v>0</v>
      </c>
      <c r="C2526" s="19">
        <v>0</v>
      </c>
      <c r="D2526" s="19">
        <v>0</v>
      </c>
      <c r="E2526" s="19">
        <v>0</v>
      </c>
      <c r="F2526" s="19">
        <v>0</v>
      </c>
      <c r="G2526" s="19">
        <v>0</v>
      </c>
      <c r="H2526" s="19">
        <v>0</v>
      </c>
      <c r="I2526" s="15">
        <v>3500</v>
      </c>
      <c r="J2526" s="15">
        <v>0</v>
      </c>
      <c r="K2526" s="15">
        <v>0</v>
      </c>
      <c r="L2526" s="15">
        <v>0</v>
      </c>
      <c r="M2526" s="15">
        <v>0</v>
      </c>
      <c r="N2526" s="15" t="str">
        <v/>
      </c>
      <c r="O2526" s="15" t="str">
        <v/>
      </c>
      <c r="P2526" s="22">
        <v>0</v>
      </c>
      <c r="Q2526">
        <v>0</v>
      </c>
    </row>
    <row r="2527" spans="1:17">
      <c r="A2527" s="19">
        <v>0</v>
      </c>
      <c r="B2527" s="19">
        <v>0</v>
      </c>
      <c r="C2527" s="19">
        <v>0</v>
      </c>
      <c r="D2527" s="19">
        <v>0</v>
      </c>
      <c r="E2527" s="19">
        <v>0</v>
      </c>
      <c r="F2527" s="19">
        <v>0</v>
      </c>
      <c r="G2527" s="19">
        <v>0</v>
      </c>
      <c r="H2527" s="19">
        <v>0</v>
      </c>
      <c r="I2527" s="15">
        <v>3500</v>
      </c>
      <c r="J2527" s="15">
        <v>0</v>
      </c>
      <c r="K2527" s="15">
        <v>0</v>
      </c>
      <c r="L2527" s="15">
        <v>0</v>
      </c>
      <c r="M2527" s="15">
        <v>0</v>
      </c>
      <c r="N2527" s="15" t="str">
        <v/>
      </c>
      <c r="O2527" s="15" t="str">
        <v/>
      </c>
      <c r="P2527" s="22">
        <v>0</v>
      </c>
      <c r="Q2527">
        <v>0</v>
      </c>
    </row>
    <row r="2528" spans="1:17">
      <c r="A2528" s="19">
        <v>0</v>
      </c>
      <c r="B2528" s="19">
        <v>0</v>
      </c>
      <c r="C2528" s="19">
        <v>0</v>
      </c>
      <c r="D2528" s="19">
        <v>0</v>
      </c>
      <c r="E2528" s="19">
        <v>0</v>
      </c>
      <c r="F2528" s="19">
        <v>0</v>
      </c>
      <c r="G2528" s="19">
        <v>0</v>
      </c>
      <c r="H2528" s="19">
        <v>0</v>
      </c>
      <c r="I2528" s="15">
        <v>3500</v>
      </c>
      <c r="J2528" s="15">
        <v>0</v>
      </c>
      <c r="K2528" s="15">
        <v>0</v>
      </c>
      <c r="L2528" s="15">
        <v>0</v>
      </c>
      <c r="M2528" s="15">
        <v>0</v>
      </c>
      <c r="N2528" s="15" t="str">
        <v/>
      </c>
      <c r="O2528" s="15" t="str">
        <v/>
      </c>
      <c r="P2528" s="22">
        <v>0</v>
      </c>
      <c r="Q2528">
        <v>0</v>
      </c>
    </row>
    <row r="2529" spans="1:17">
      <c r="A2529" s="19">
        <v>0</v>
      </c>
      <c r="B2529" s="19">
        <v>0</v>
      </c>
      <c r="C2529" s="19">
        <v>0</v>
      </c>
      <c r="D2529" s="19">
        <v>0</v>
      </c>
      <c r="E2529" s="19">
        <v>0</v>
      </c>
      <c r="F2529" s="19">
        <v>0</v>
      </c>
      <c r="G2529" s="19">
        <v>0</v>
      </c>
      <c r="H2529" s="19">
        <v>0</v>
      </c>
      <c r="I2529" s="15">
        <v>3500</v>
      </c>
      <c r="J2529" s="15">
        <v>0</v>
      </c>
      <c r="K2529" s="15">
        <v>0</v>
      </c>
      <c r="L2529" s="15">
        <v>0</v>
      </c>
      <c r="M2529" s="15">
        <v>0</v>
      </c>
      <c r="N2529" s="15" t="str">
        <v/>
      </c>
      <c r="O2529" s="15" t="str">
        <v/>
      </c>
      <c r="P2529" s="22">
        <v>0</v>
      </c>
      <c r="Q2529">
        <v>0</v>
      </c>
    </row>
    <row r="2530" spans="1:17">
      <c r="A2530" s="19">
        <v>0</v>
      </c>
      <c r="B2530" s="19">
        <v>0</v>
      </c>
      <c r="C2530" s="19">
        <v>0</v>
      </c>
      <c r="D2530" s="19">
        <v>0</v>
      </c>
      <c r="E2530" s="19">
        <v>0</v>
      </c>
      <c r="F2530" s="19">
        <v>0</v>
      </c>
      <c r="G2530" s="19">
        <v>0</v>
      </c>
      <c r="H2530" s="19">
        <v>0</v>
      </c>
      <c r="I2530" s="15">
        <v>3500</v>
      </c>
      <c r="J2530" s="15">
        <v>0</v>
      </c>
      <c r="K2530" s="15">
        <v>0</v>
      </c>
      <c r="L2530" s="15">
        <v>0</v>
      </c>
      <c r="M2530" s="15">
        <v>0</v>
      </c>
      <c r="N2530" s="15" t="str">
        <v/>
      </c>
      <c r="O2530" s="15" t="str">
        <v/>
      </c>
      <c r="P2530" s="22">
        <v>0</v>
      </c>
      <c r="Q2530">
        <v>0</v>
      </c>
    </row>
    <row r="2531" spans="1:17">
      <c r="A2531" s="19">
        <v>0</v>
      </c>
      <c r="B2531" s="19">
        <v>0</v>
      </c>
      <c r="C2531" s="19">
        <v>0</v>
      </c>
      <c r="D2531" s="19">
        <v>0</v>
      </c>
      <c r="E2531" s="19">
        <v>0</v>
      </c>
      <c r="F2531" s="19">
        <v>0</v>
      </c>
      <c r="G2531" s="19">
        <v>0</v>
      </c>
      <c r="H2531" s="19">
        <v>0</v>
      </c>
      <c r="I2531" s="15">
        <v>3500</v>
      </c>
      <c r="J2531" s="15">
        <v>0</v>
      </c>
      <c r="K2531" s="15">
        <v>0</v>
      </c>
      <c r="L2531" s="15">
        <v>0</v>
      </c>
      <c r="M2531" s="15">
        <v>0</v>
      </c>
      <c r="N2531" s="15" t="str">
        <v/>
      </c>
      <c r="O2531" s="15" t="str">
        <v/>
      </c>
      <c r="P2531" s="22">
        <v>0</v>
      </c>
      <c r="Q2531">
        <v>0</v>
      </c>
    </row>
    <row r="2532" spans="1:17">
      <c r="A2532" s="19">
        <v>0</v>
      </c>
      <c r="B2532" s="19">
        <v>0</v>
      </c>
      <c r="C2532" s="19">
        <v>0</v>
      </c>
      <c r="D2532" s="19">
        <v>0</v>
      </c>
      <c r="E2532" s="19">
        <v>0</v>
      </c>
      <c r="F2532" s="19">
        <v>0</v>
      </c>
      <c r="G2532" s="19">
        <v>0</v>
      </c>
      <c r="H2532" s="19">
        <v>0</v>
      </c>
      <c r="I2532" s="15">
        <v>3500</v>
      </c>
      <c r="J2532" s="15">
        <v>0</v>
      </c>
      <c r="K2532" s="15">
        <v>0</v>
      </c>
      <c r="L2532" s="15">
        <v>0</v>
      </c>
      <c r="M2532" s="15">
        <v>0</v>
      </c>
      <c r="N2532" s="15" t="str">
        <v/>
      </c>
      <c r="O2532" s="15" t="str">
        <v/>
      </c>
      <c r="P2532" s="22">
        <v>0</v>
      </c>
      <c r="Q2532">
        <v>0</v>
      </c>
    </row>
    <row r="2533" spans="1:17">
      <c r="A2533" s="19">
        <v>0</v>
      </c>
      <c r="B2533" s="19">
        <v>0</v>
      </c>
      <c r="C2533" s="19">
        <v>0</v>
      </c>
      <c r="D2533" s="19">
        <v>0</v>
      </c>
      <c r="E2533" s="19">
        <v>0</v>
      </c>
      <c r="F2533" s="19">
        <v>0</v>
      </c>
      <c r="G2533" s="19">
        <v>0</v>
      </c>
      <c r="H2533" s="19">
        <v>0</v>
      </c>
      <c r="I2533" s="15">
        <v>3500</v>
      </c>
      <c r="J2533" s="15">
        <v>0</v>
      </c>
      <c r="K2533" s="15">
        <v>0</v>
      </c>
      <c r="L2533" s="15">
        <v>0</v>
      </c>
      <c r="M2533" s="15">
        <v>0</v>
      </c>
      <c r="N2533" s="15" t="str">
        <v/>
      </c>
      <c r="O2533" s="15" t="str">
        <v/>
      </c>
      <c r="P2533" s="22">
        <v>0</v>
      </c>
      <c r="Q2533">
        <v>0</v>
      </c>
    </row>
    <row r="2534" spans="1:17">
      <c r="A2534" s="19">
        <v>0</v>
      </c>
      <c r="B2534" s="19">
        <v>0</v>
      </c>
      <c r="C2534" s="19">
        <v>0</v>
      </c>
      <c r="D2534" s="19">
        <v>0</v>
      </c>
      <c r="E2534" s="19">
        <v>0</v>
      </c>
      <c r="F2534" s="19">
        <v>0</v>
      </c>
      <c r="G2534" s="19">
        <v>0</v>
      </c>
      <c r="H2534" s="19">
        <v>0</v>
      </c>
      <c r="I2534" s="15">
        <v>3500</v>
      </c>
      <c r="J2534" s="15">
        <v>0</v>
      </c>
      <c r="K2534" s="15">
        <v>0</v>
      </c>
      <c r="L2534" s="15">
        <v>0</v>
      </c>
      <c r="M2534" s="15">
        <v>0</v>
      </c>
      <c r="N2534" s="15" t="str">
        <v/>
      </c>
      <c r="O2534" s="15" t="str">
        <v/>
      </c>
      <c r="P2534" s="22">
        <v>0</v>
      </c>
      <c r="Q2534">
        <v>0</v>
      </c>
    </row>
    <row r="2535" spans="1:17">
      <c r="A2535" s="19">
        <v>0</v>
      </c>
      <c r="B2535" s="19">
        <v>0</v>
      </c>
      <c r="C2535" s="19">
        <v>0</v>
      </c>
      <c r="D2535" s="19">
        <v>0</v>
      </c>
      <c r="E2535" s="19">
        <v>0</v>
      </c>
      <c r="F2535" s="19">
        <v>0</v>
      </c>
      <c r="G2535" s="19">
        <v>0</v>
      </c>
      <c r="H2535" s="19">
        <v>0</v>
      </c>
      <c r="I2535" s="15">
        <v>3500</v>
      </c>
      <c r="J2535" s="15">
        <v>0</v>
      </c>
      <c r="K2535" s="15">
        <v>0</v>
      </c>
      <c r="L2535" s="15">
        <v>0</v>
      </c>
      <c r="M2535" s="15">
        <v>0</v>
      </c>
      <c r="N2535" s="15" t="str">
        <v/>
      </c>
      <c r="O2535" s="15" t="str">
        <v/>
      </c>
      <c r="P2535" s="22">
        <v>0</v>
      </c>
      <c r="Q2535">
        <v>0</v>
      </c>
    </row>
    <row r="2536" spans="1:17">
      <c r="A2536" s="19">
        <v>0</v>
      </c>
      <c r="B2536" s="19">
        <v>0</v>
      </c>
      <c r="C2536" s="19">
        <v>0</v>
      </c>
      <c r="D2536" s="19">
        <v>0</v>
      </c>
      <c r="E2536" s="19">
        <v>0</v>
      </c>
      <c r="F2536" s="19">
        <v>0</v>
      </c>
      <c r="G2536" s="19">
        <v>0</v>
      </c>
      <c r="H2536" s="19">
        <v>0</v>
      </c>
      <c r="I2536" s="15">
        <v>3500</v>
      </c>
      <c r="J2536" s="15">
        <v>0</v>
      </c>
      <c r="K2536" s="15">
        <v>0</v>
      </c>
      <c r="L2536" s="15">
        <v>0</v>
      </c>
      <c r="M2536" s="15">
        <v>0</v>
      </c>
      <c r="N2536" s="15" t="str">
        <v/>
      </c>
      <c r="O2536" s="15" t="str">
        <v/>
      </c>
      <c r="P2536" s="22">
        <v>0</v>
      </c>
      <c r="Q2536">
        <v>0</v>
      </c>
    </row>
    <row r="2537" spans="1:17">
      <c r="A2537" s="19">
        <v>0</v>
      </c>
      <c r="B2537" s="19">
        <v>0</v>
      </c>
      <c r="C2537" s="19">
        <v>0</v>
      </c>
      <c r="D2537" s="19">
        <v>0</v>
      </c>
      <c r="E2537" s="19">
        <v>0</v>
      </c>
      <c r="F2537" s="19">
        <v>0</v>
      </c>
      <c r="G2537" s="19">
        <v>0</v>
      </c>
      <c r="H2537" s="19">
        <v>0</v>
      </c>
      <c r="I2537" s="15">
        <v>3500</v>
      </c>
      <c r="J2537" s="15">
        <v>0</v>
      </c>
      <c r="K2537" s="15">
        <v>0</v>
      </c>
      <c r="L2537" s="15">
        <v>0</v>
      </c>
      <c r="M2537" s="15">
        <v>0</v>
      </c>
      <c r="N2537" s="15" t="str">
        <v/>
      </c>
      <c r="O2537" s="15" t="str">
        <v/>
      </c>
      <c r="P2537" s="22">
        <v>0</v>
      </c>
      <c r="Q2537">
        <v>0</v>
      </c>
    </row>
    <row r="2538" spans="1:17">
      <c r="A2538" s="19">
        <v>0</v>
      </c>
      <c r="B2538" s="19">
        <v>0</v>
      </c>
      <c r="C2538" s="19">
        <v>0</v>
      </c>
      <c r="D2538" s="19">
        <v>0</v>
      </c>
      <c r="E2538" s="19">
        <v>0</v>
      </c>
      <c r="F2538" s="19">
        <v>0</v>
      </c>
      <c r="G2538" s="19">
        <v>0</v>
      </c>
      <c r="H2538" s="19">
        <v>0</v>
      </c>
      <c r="I2538" s="15">
        <v>3500</v>
      </c>
      <c r="J2538" s="15">
        <v>0</v>
      </c>
      <c r="K2538" s="15">
        <v>0</v>
      </c>
      <c r="L2538" s="15">
        <v>0</v>
      </c>
      <c r="M2538" s="15">
        <v>0</v>
      </c>
      <c r="N2538" s="15" t="str">
        <v/>
      </c>
      <c r="O2538" s="15" t="str">
        <v/>
      </c>
      <c r="P2538" s="22">
        <v>0</v>
      </c>
      <c r="Q2538">
        <v>0</v>
      </c>
    </row>
    <row r="2539" spans="1:17">
      <c r="A2539" s="19">
        <v>0</v>
      </c>
      <c r="B2539" s="19">
        <v>0</v>
      </c>
      <c r="C2539" s="19">
        <v>0</v>
      </c>
      <c r="D2539" s="19">
        <v>0</v>
      </c>
      <c r="E2539" s="19">
        <v>0</v>
      </c>
      <c r="F2539" s="19">
        <v>0</v>
      </c>
      <c r="G2539" s="19">
        <v>0</v>
      </c>
      <c r="H2539" s="19">
        <v>0</v>
      </c>
      <c r="I2539" s="15">
        <v>3500</v>
      </c>
      <c r="J2539" s="15">
        <v>0</v>
      </c>
      <c r="K2539" s="15">
        <v>0</v>
      </c>
      <c r="L2539" s="15">
        <v>0</v>
      </c>
      <c r="M2539" s="15">
        <v>0</v>
      </c>
      <c r="N2539" s="15" t="str">
        <v/>
      </c>
      <c r="O2539" s="15" t="str">
        <v/>
      </c>
      <c r="P2539" s="22">
        <v>0</v>
      </c>
      <c r="Q2539">
        <v>0</v>
      </c>
    </row>
    <row r="2540" spans="1:17">
      <c r="A2540" s="19">
        <v>0</v>
      </c>
      <c r="B2540" s="19">
        <v>0</v>
      </c>
      <c r="C2540" s="19">
        <v>0</v>
      </c>
      <c r="D2540" s="19">
        <v>0</v>
      </c>
      <c r="E2540" s="19">
        <v>0</v>
      </c>
      <c r="F2540" s="19">
        <v>0</v>
      </c>
      <c r="G2540" s="19">
        <v>0</v>
      </c>
      <c r="H2540" s="19">
        <v>0</v>
      </c>
      <c r="I2540" s="15">
        <v>3500</v>
      </c>
      <c r="J2540" s="15">
        <v>0</v>
      </c>
      <c r="K2540" s="15">
        <v>0</v>
      </c>
      <c r="L2540" s="15">
        <v>0</v>
      </c>
      <c r="M2540" s="15">
        <v>0</v>
      </c>
      <c r="N2540" s="15" t="str">
        <v/>
      </c>
      <c r="O2540" s="15" t="str">
        <v/>
      </c>
      <c r="P2540" s="22">
        <v>0</v>
      </c>
      <c r="Q2540">
        <v>0</v>
      </c>
    </row>
    <row r="2541" spans="1:17">
      <c r="A2541" s="19">
        <v>0</v>
      </c>
      <c r="B2541" s="19">
        <v>0</v>
      </c>
      <c r="C2541" s="19">
        <v>0</v>
      </c>
      <c r="D2541" s="19">
        <v>0</v>
      </c>
      <c r="E2541" s="19">
        <v>0</v>
      </c>
      <c r="F2541" s="19">
        <v>0</v>
      </c>
      <c r="G2541" s="19">
        <v>0</v>
      </c>
      <c r="H2541" s="19">
        <v>0</v>
      </c>
      <c r="I2541" s="15">
        <v>3500</v>
      </c>
      <c r="J2541" s="15">
        <v>0</v>
      </c>
      <c r="K2541" s="15">
        <v>0</v>
      </c>
      <c r="L2541" s="15">
        <v>0</v>
      </c>
      <c r="M2541" s="15">
        <v>0</v>
      </c>
      <c r="N2541" s="15" t="str">
        <v/>
      </c>
      <c r="O2541" s="15" t="str">
        <v/>
      </c>
      <c r="P2541" s="22">
        <v>0</v>
      </c>
      <c r="Q2541">
        <v>0</v>
      </c>
    </row>
    <row r="2542" spans="1:17">
      <c r="A2542" s="19">
        <v>0</v>
      </c>
      <c r="B2542" s="19">
        <v>0</v>
      </c>
      <c r="C2542" s="19">
        <v>0</v>
      </c>
      <c r="D2542" s="19">
        <v>0</v>
      </c>
      <c r="E2542" s="19">
        <v>0</v>
      </c>
      <c r="F2542" s="19">
        <v>0</v>
      </c>
      <c r="G2542" s="19">
        <v>0</v>
      </c>
      <c r="H2542" s="19">
        <v>0</v>
      </c>
      <c r="I2542" s="15">
        <v>3500</v>
      </c>
      <c r="J2542" s="15">
        <v>0</v>
      </c>
      <c r="K2542" s="15">
        <v>0</v>
      </c>
      <c r="L2542" s="15">
        <v>0</v>
      </c>
      <c r="M2542" s="15">
        <v>0</v>
      </c>
      <c r="N2542" s="15" t="str">
        <v/>
      </c>
      <c r="O2542" s="15" t="str">
        <v/>
      </c>
      <c r="P2542" s="22">
        <v>0</v>
      </c>
      <c r="Q2542">
        <v>0</v>
      </c>
    </row>
    <row r="2543" spans="1:17">
      <c r="A2543" s="19">
        <v>0</v>
      </c>
      <c r="B2543" s="19">
        <v>0</v>
      </c>
      <c r="C2543" s="19">
        <v>0</v>
      </c>
      <c r="D2543" s="19">
        <v>0</v>
      </c>
      <c r="E2543" s="19">
        <v>0</v>
      </c>
      <c r="F2543" s="19">
        <v>0</v>
      </c>
      <c r="G2543" s="19">
        <v>0</v>
      </c>
      <c r="H2543" s="19">
        <v>0</v>
      </c>
      <c r="I2543" s="15">
        <v>3500</v>
      </c>
      <c r="J2543" s="15">
        <v>0</v>
      </c>
      <c r="K2543" s="15">
        <v>0</v>
      </c>
      <c r="L2543" s="15">
        <v>0</v>
      </c>
      <c r="M2543" s="15">
        <v>0</v>
      </c>
      <c r="N2543" s="15" t="str">
        <v/>
      </c>
      <c r="O2543" s="15" t="str">
        <v/>
      </c>
      <c r="P2543" s="22">
        <v>0</v>
      </c>
      <c r="Q2543">
        <v>0</v>
      </c>
    </row>
    <row r="2544" spans="1:17">
      <c r="A2544" s="19">
        <v>0</v>
      </c>
      <c r="B2544" s="19">
        <v>0</v>
      </c>
      <c r="C2544" s="19">
        <v>0</v>
      </c>
      <c r="D2544" s="19">
        <v>0</v>
      </c>
      <c r="E2544" s="19">
        <v>0</v>
      </c>
      <c r="F2544" s="19">
        <v>0</v>
      </c>
      <c r="G2544" s="19">
        <v>0</v>
      </c>
      <c r="H2544" s="19">
        <v>0</v>
      </c>
      <c r="I2544" s="15">
        <v>3500</v>
      </c>
      <c r="J2544" s="15">
        <v>0</v>
      </c>
      <c r="K2544" s="15">
        <v>0</v>
      </c>
      <c r="L2544" s="15">
        <v>0</v>
      </c>
      <c r="M2544" s="15">
        <v>0</v>
      </c>
      <c r="N2544" s="15" t="str">
        <v/>
      </c>
      <c r="O2544" s="15" t="str">
        <v/>
      </c>
      <c r="P2544" s="22">
        <v>0</v>
      </c>
      <c r="Q2544">
        <v>0</v>
      </c>
    </row>
    <row r="2545" spans="1:17">
      <c r="A2545" s="19">
        <v>0</v>
      </c>
      <c r="B2545" s="19">
        <v>0</v>
      </c>
      <c r="C2545" s="19">
        <v>0</v>
      </c>
      <c r="D2545" s="19">
        <v>0</v>
      </c>
      <c r="E2545" s="19">
        <v>0</v>
      </c>
      <c r="F2545" s="19">
        <v>0</v>
      </c>
      <c r="G2545" s="19">
        <v>0</v>
      </c>
      <c r="H2545" s="19">
        <v>0</v>
      </c>
      <c r="I2545" s="15">
        <v>3500</v>
      </c>
      <c r="J2545" s="15">
        <v>0</v>
      </c>
      <c r="K2545" s="15">
        <v>0</v>
      </c>
      <c r="L2545" s="15">
        <v>0</v>
      </c>
      <c r="M2545" s="15">
        <v>0</v>
      </c>
      <c r="N2545" s="15" t="str">
        <v/>
      </c>
      <c r="O2545" s="15" t="str">
        <v/>
      </c>
      <c r="P2545" s="22">
        <v>0</v>
      </c>
      <c r="Q2545">
        <v>0</v>
      </c>
    </row>
    <row r="2546" spans="1:17">
      <c r="A2546" s="19">
        <v>0</v>
      </c>
      <c r="B2546" s="19">
        <v>0</v>
      </c>
      <c r="C2546" s="19">
        <v>0</v>
      </c>
      <c r="D2546" s="19">
        <v>0</v>
      </c>
      <c r="E2546" s="19">
        <v>0</v>
      </c>
      <c r="F2546" s="19">
        <v>0</v>
      </c>
      <c r="G2546" s="19">
        <v>0</v>
      </c>
      <c r="H2546" s="19">
        <v>0</v>
      </c>
      <c r="I2546" s="15">
        <v>3500</v>
      </c>
      <c r="J2546" s="15">
        <v>0</v>
      </c>
      <c r="K2546" s="15">
        <v>0</v>
      </c>
      <c r="L2546" s="15">
        <v>0</v>
      </c>
      <c r="M2546" s="15">
        <v>0</v>
      </c>
      <c r="N2546" s="15" t="str">
        <v/>
      </c>
      <c r="O2546" s="15" t="str">
        <v/>
      </c>
      <c r="P2546" s="22">
        <v>0</v>
      </c>
      <c r="Q2546">
        <v>0</v>
      </c>
    </row>
    <row r="2547" spans="1:17">
      <c r="A2547" s="19">
        <v>0</v>
      </c>
      <c r="B2547" s="19">
        <v>0</v>
      </c>
      <c r="C2547" s="19">
        <v>0</v>
      </c>
      <c r="D2547" s="19">
        <v>0</v>
      </c>
      <c r="E2547" s="19">
        <v>0</v>
      </c>
      <c r="F2547" s="19">
        <v>0</v>
      </c>
      <c r="G2547" s="19">
        <v>0</v>
      </c>
      <c r="H2547" s="19">
        <v>0</v>
      </c>
      <c r="I2547" s="15">
        <v>3500</v>
      </c>
      <c r="J2547" s="15">
        <v>0</v>
      </c>
      <c r="K2547" s="15">
        <v>0</v>
      </c>
      <c r="L2547" s="15">
        <v>0</v>
      </c>
      <c r="M2547" s="15">
        <v>0</v>
      </c>
      <c r="N2547" s="15" t="str">
        <v/>
      </c>
      <c r="O2547" s="15" t="str">
        <v/>
      </c>
      <c r="P2547" s="22">
        <v>0</v>
      </c>
      <c r="Q2547">
        <v>0</v>
      </c>
    </row>
    <row r="2548" spans="1:17">
      <c r="A2548" s="19">
        <v>0</v>
      </c>
      <c r="B2548" s="19">
        <v>0</v>
      </c>
      <c r="C2548" s="19">
        <v>0</v>
      </c>
      <c r="D2548" s="19">
        <v>0</v>
      </c>
      <c r="E2548" s="19">
        <v>0</v>
      </c>
      <c r="F2548" s="19">
        <v>0</v>
      </c>
      <c r="G2548" s="19">
        <v>0</v>
      </c>
      <c r="H2548" s="19">
        <v>0</v>
      </c>
      <c r="I2548" s="15">
        <v>3500</v>
      </c>
      <c r="J2548" s="15">
        <v>0</v>
      </c>
      <c r="K2548" s="15">
        <v>0</v>
      </c>
      <c r="L2548" s="15">
        <v>0</v>
      </c>
      <c r="M2548" s="15">
        <v>0</v>
      </c>
      <c r="N2548" s="15" t="str">
        <v/>
      </c>
      <c r="O2548" s="15" t="str">
        <v/>
      </c>
      <c r="P2548" s="22">
        <v>0</v>
      </c>
      <c r="Q2548">
        <v>0</v>
      </c>
    </row>
    <row r="2549" spans="1:17">
      <c r="A2549" s="19">
        <v>0</v>
      </c>
      <c r="B2549" s="19">
        <v>0</v>
      </c>
      <c r="C2549" s="19">
        <v>0</v>
      </c>
      <c r="D2549" s="19">
        <v>0</v>
      </c>
      <c r="E2549" s="19">
        <v>0</v>
      </c>
      <c r="F2549" s="19">
        <v>0</v>
      </c>
      <c r="G2549" s="19">
        <v>0</v>
      </c>
      <c r="H2549" s="19">
        <v>0</v>
      </c>
      <c r="I2549" s="15">
        <v>3500</v>
      </c>
      <c r="J2549" s="15">
        <v>0</v>
      </c>
      <c r="K2549" s="15">
        <v>0</v>
      </c>
      <c r="L2549" s="15">
        <v>0</v>
      </c>
      <c r="M2549" s="15">
        <v>0</v>
      </c>
      <c r="N2549" s="15" t="str">
        <v/>
      </c>
      <c r="O2549" s="15" t="str">
        <v/>
      </c>
      <c r="P2549" s="22">
        <v>0</v>
      </c>
      <c r="Q2549">
        <v>0</v>
      </c>
    </row>
    <row r="2550" spans="1:17">
      <c r="A2550" s="19">
        <v>0</v>
      </c>
      <c r="B2550" s="19">
        <v>0</v>
      </c>
      <c r="C2550" s="19">
        <v>0</v>
      </c>
      <c r="D2550" s="19">
        <v>0</v>
      </c>
      <c r="E2550" s="19">
        <v>0</v>
      </c>
      <c r="F2550" s="19">
        <v>0</v>
      </c>
      <c r="G2550" s="19">
        <v>0</v>
      </c>
      <c r="H2550" s="19">
        <v>0</v>
      </c>
      <c r="I2550" s="15">
        <v>3500</v>
      </c>
      <c r="J2550" s="15">
        <v>0</v>
      </c>
      <c r="K2550" s="15">
        <v>0</v>
      </c>
      <c r="L2550" s="15">
        <v>0</v>
      </c>
      <c r="M2550" s="15">
        <v>0</v>
      </c>
      <c r="N2550" s="15" t="str">
        <v/>
      </c>
      <c r="O2550" s="15" t="str">
        <v/>
      </c>
      <c r="P2550" s="22">
        <v>0</v>
      </c>
      <c r="Q2550">
        <v>0</v>
      </c>
    </row>
    <row r="2551" spans="1:17">
      <c r="A2551" s="19">
        <v>0</v>
      </c>
      <c r="B2551" s="19">
        <v>0</v>
      </c>
      <c r="C2551" s="19">
        <v>0</v>
      </c>
      <c r="D2551" s="19">
        <v>0</v>
      </c>
      <c r="E2551" s="19">
        <v>0</v>
      </c>
      <c r="F2551" s="19">
        <v>0</v>
      </c>
      <c r="G2551" s="19">
        <v>0</v>
      </c>
      <c r="H2551" s="19">
        <v>0</v>
      </c>
      <c r="I2551" s="15">
        <v>3500</v>
      </c>
      <c r="J2551" s="15">
        <v>0</v>
      </c>
      <c r="K2551" s="15">
        <v>0</v>
      </c>
      <c r="L2551" s="15">
        <v>0</v>
      </c>
      <c r="M2551" s="15">
        <v>0</v>
      </c>
      <c r="N2551" s="15" t="str">
        <v/>
      </c>
      <c r="O2551" s="15" t="str">
        <v/>
      </c>
      <c r="P2551" s="22">
        <v>0</v>
      </c>
      <c r="Q2551">
        <v>0</v>
      </c>
    </row>
    <row r="2552" spans="1:17">
      <c r="A2552" s="19">
        <v>0</v>
      </c>
      <c r="B2552" s="19">
        <v>0</v>
      </c>
      <c r="C2552" s="19">
        <v>0</v>
      </c>
      <c r="D2552" s="19">
        <v>0</v>
      </c>
      <c r="E2552" s="19">
        <v>0</v>
      </c>
      <c r="F2552" s="19">
        <v>0</v>
      </c>
      <c r="G2552" s="19">
        <v>0</v>
      </c>
      <c r="H2552" s="19">
        <v>0</v>
      </c>
      <c r="I2552" s="15">
        <v>3500</v>
      </c>
      <c r="J2552" s="15">
        <v>0</v>
      </c>
      <c r="K2552" s="15">
        <v>0</v>
      </c>
      <c r="L2552" s="15">
        <v>0</v>
      </c>
      <c r="M2552" s="15">
        <v>0</v>
      </c>
      <c r="N2552" s="15" t="str">
        <v/>
      </c>
      <c r="O2552" s="15" t="str">
        <v/>
      </c>
      <c r="P2552" s="22">
        <v>0</v>
      </c>
      <c r="Q2552">
        <v>0</v>
      </c>
    </row>
    <row r="2553" spans="1:17">
      <c r="A2553" s="19">
        <v>0</v>
      </c>
      <c r="B2553" s="19">
        <v>0</v>
      </c>
      <c r="C2553" s="19">
        <v>0</v>
      </c>
      <c r="D2553" s="19">
        <v>0</v>
      </c>
      <c r="E2553" s="19">
        <v>0</v>
      </c>
      <c r="F2553" s="19">
        <v>0</v>
      </c>
      <c r="G2553" s="19">
        <v>0</v>
      </c>
      <c r="H2553" s="19">
        <v>0</v>
      </c>
      <c r="I2553" s="15">
        <v>3500</v>
      </c>
      <c r="J2553" s="15">
        <v>0</v>
      </c>
      <c r="K2553" s="15">
        <v>0</v>
      </c>
      <c r="L2553" s="15">
        <v>0</v>
      </c>
      <c r="M2553" s="15">
        <v>0</v>
      </c>
      <c r="N2553" s="15" t="str">
        <v/>
      </c>
      <c r="O2553" s="15" t="str">
        <v/>
      </c>
      <c r="P2553" s="22">
        <v>0</v>
      </c>
      <c r="Q2553">
        <v>0</v>
      </c>
    </row>
    <row r="2554" spans="1:17">
      <c r="A2554" s="19">
        <v>0</v>
      </c>
      <c r="B2554" s="19">
        <v>0</v>
      </c>
      <c r="C2554" s="19">
        <v>0</v>
      </c>
      <c r="D2554" s="19">
        <v>0</v>
      </c>
      <c r="E2554" s="19">
        <v>0</v>
      </c>
      <c r="F2554" s="19">
        <v>0</v>
      </c>
      <c r="G2554" s="19">
        <v>0</v>
      </c>
      <c r="H2554" s="19">
        <v>0</v>
      </c>
      <c r="I2554" s="15">
        <v>3500</v>
      </c>
      <c r="J2554" s="15">
        <v>0</v>
      </c>
      <c r="K2554" s="15">
        <v>0</v>
      </c>
      <c r="L2554" s="15">
        <v>0</v>
      </c>
      <c r="M2554" s="15">
        <v>0</v>
      </c>
      <c r="N2554" s="15" t="str">
        <v/>
      </c>
      <c r="O2554" s="15" t="str">
        <v/>
      </c>
      <c r="P2554" s="22">
        <v>0</v>
      </c>
      <c r="Q2554">
        <v>0</v>
      </c>
    </row>
    <row r="2555" spans="1:17">
      <c r="A2555" s="19">
        <v>0</v>
      </c>
      <c r="B2555" s="19">
        <v>0</v>
      </c>
      <c r="C2555" s="19">
        <v>0</v>
      </c>
      <c r="D2555" s="19">
        <v>0</v>
      </c>
      <c r="E2555" s="19">
        <v>0</v>
      </c>
      <c r="F2555" s="19">
        <v>0</v>
      </c>
      <c r="G2555" s="19">
        <v>0</v>
      </c>
      <c r="H2555" s="19">
        <v>0</v>
      </c>
      <c r="I2555" s="15">
        <v>3500</v>
      </c>
      <c r="J2555" s="15">
        <v>0</v>
      </c>
      <c r="K2555" s="15">
        <v>0</v>
      </c>
      <c r="L2555" s="15">
        <v>0</v>
      </c>
      <c r="M2555" s="15">
        <v>0</v>
      </c>
      <c r="N2555" s="15" t="str">
        <v/>
      </c>
      <c r="O2555" s="15" t="str">
        <v/>
      </c>
      <c r="P2555" s="22">
        <v>0</v>
      </c>
      <c r="Q2555">
        <v>0</v>
      </c>
    </row>
    <row r="2556" spans="1:17">
      <c r="A2556" s="19">
        <v>0</v>
      </c>
      <c r="B2556" s="19">
        <v>0</v>
      </c>
      <c r="C2556" s="19">
        <v>0</v>
      </c>
      <c r="D2556" s="19">
        <v>0</v>
      </c>
      <c r="E2556" s="19">
        <v>0</v>
      </c>
      <c r="F2556" s="19">
        <v>0</v>
      </c>
      <c r="G2556" s="19">
        <v>0</v>
      </c>
      <c r="H2556" s="19">
        <v>0</v>
      </c>
      <c r="I2556" s="15">
        <v>3500</v>
      </c>
      <c r="J2556" s="15">
        <v>0</v>
      </c>
      <c r="K2556" s="15">
        <v>0</v>
      </c>
      <c r="L2556" s="15">
        <v>0</v>
      </c>
      <c r="M2556" s="15">
        <v>0</v>
      </c>
      <c r="N2556" s="15" t="str">
        <v/>
      </c>
      <c r="O2556" s="15" t="str">
        <v/>
      </c>
      <c r="P2556" s="22">
        <v>0</v>
      </c>
      <c r="Q2556">
        <v>0</v>
      </c>
    </row>
    <row r="2557" spans="1:17">
      <c r="A2557" s="19">
        <v>0</v>
      </c>
      <c r="B2557" s="19">
        <v>0</v>
      </c>
      <c r="C2557" s="19">
        <v>0</v>
      </c>
      <c r="D2557" s="19">
        <v>0</v>
      </c>
      <c r="E2557" s="19">
        <v>0</v>
      </c>
      <c r="F2557" s="19">
        <v>0</v>
      </c>
      <c r="G2557" s="19">
        <v>0</v>
      </c>
      <c r="H2557" s="19">
        <v>0</v>
      </c>
      <c r="I2557" s="15">
        <v>3500</v>
      </c>
      <c r="J2557" s="15">
        <v>0</v>
      </c>
      <c r="K2557" s="15">
        <v>0</v>
      </c>
      <c r="L2557" s="15">
        <v>0</v>
      </c>
      <c r="M2557" s="15">
        <v>0</v>
      </c>
      <c r="N2557" s="15" t="str">
        <v/>
      </c>
      <c r="O2557" s="15" t="str">
        <v/>
      </c>
      <c r="P2557" s="22">
        <v>0</v>
      </c>
      <c r="Q2557">
        <v>0</v>
      </c>
    </row>
    <row r="2558" spans="1:17">
      <c r="A2558" s="19">
        <v>0</v>
      </c>
      <c r="B2558" s="19">
        <v>0</v>
      </c>
      <c r="C2558" s="19">
        <v>0</v>
      </c>
      <c r="D2558" s="19">
        <v>0</v>
      </c>
      <c r="E2558" s="19">
        <v>0</v>
      </c>
      <c r="F2558" s="19">
        <v>0</v>
      </c>
      <c r="G2558" s="19">
        <v>0</v>
      </c>
      <c r="H2558" s="19">
        <v>0</v>
      </c>
      <c r="I2558" s="15">
        <v>3500</v>
      </c>
      <c r="J2558" s="15">
        <v>0</v>
      </c>
      <c r="K2558" s="15">
        <v>0</v>
      </c>
      <c r="L2558" s="15">
        <v>0</v>
      </c>
      <c r="M2558" s="15">
        <v>0</v>
      </c>
      <c r="N2558" s="15" t="str">
        <v/>
      </c>
      <c r="O2558" s="15" t="str">
        <v/>
      </c>
      <c r="P2558" s="22">
        <v>0</v>
      </c>
      <c r="Q2558">
        <v>0</v>
      </c>
    </row>
    <row r="2559" spans="1:17">
      <c r="A2559" s="19">
        <v>0</v>
      </c>
      <c r="B2559" s="19">
        <v>0</v>
      </c>
      <c r="C2559" s="19">
        <v>0</v>
      </c>
      <c r="D2559" s="19">
        <v>0</v>
      </c>
      <c r="E2559" s="19">
        <v>0</v>
      </c>
      <c r="F2559" s="19">
        <v>0</v>
      </c>
      <c r="G2559" s="19">
        <v>0</v>
      </c>
      <c r="H2559" s="19">
        <v>0</v>
      </c>
      <c r="I2559" s="15">
        <v>3500</v>
      </c>
      <c r="J2559" s="15">
        <v>0</v>
      </c>
      <c r="K2559" s="15">
        <v>0</v>
      </c>
      <c r="L2559" s="15">
        <v>0</v>
      </c>
      <c r="M2559" s="15">
        <v>0</v>
      </c>
      <c r="N2559" s="15" t="str">
        <v/>
      </c>
      <c r="O2559" s="15" t="str">
        <v/>
      </c>
      <c r="P2559" s="22">
        <v>0</v>
      </c>
      <c r="Q2559">
        <v>0</v>
      </c>
    </row>
    <row r="2560" spans="1:17">
      <c r="A2560" s="19">
        <v>0</v>
      </c>
      <c r="B2560" s="19">
        <v>0</v>
      </c>
      <c r="C2560" s="19">
        <v>0</v>
      </c>
      <c r="D2560" s="19">
        <v>0</v>
      </c>
      <c r="E2560" s="19">
        <v>0</v>
      </c>
      <c r="F2560" s="19">
        <v>0</v>
      </c>
      <c r="G2560" s="19">
        <v>0</v>
      </c>
      <c r="H2560" s="19">
        <v>0</v>
      </c>
      <c r="I2560" s="15">
        <v>3500</v>
      </c>
      <c r="J2560" s="15">
        <v>0</v>
      </c>
      <c r="K2560" s="15">
        <v>0</v>
      </c>
      <c r="L2560" s="15">
        <v>0</v>
      </c>
      <c r="M2560" s="15">
        <v>0</v>
      </c>
      <c r="N2560" s="15" t="str">
        <v/>
      </c>
      <c r="O2560" s="15" t="str">
        <v/>
      </c>
      <c r="P2560" s="22">
        <v>0</v>
      </c>
      <c r="Q2560">
        <v>0</v>
      </c>
    </row>
    <row r="2561" spans="1:17">
      <c r="A2561" s="19">
        <v>0</v>
      </c>
      <c r="B2561" s="19">
        <v>0</v>
      </c>
      <c r="C2561" s="19">
        <v>0</v>
      </c>
      <c r="D2561" s="19">
        <v>0</v>
      </c>
      <c r="E2561" s="19">
        <v>0</v>
      </c>
      <c r="F2561" s="19">
        <v>0</v>
      </c>
      <c r="G2561" s="19">
        <v>0</v>
      </c>
      <c r="H2561" s="19">
        <v>0</v>
      </c>
      <c r="I2561" s="15">
        <v>3500</v>
      </c>
      <c r="J2561" s="15">
        <v>0</v>
      </c>
      <c r="K2561" s="15">
        <v>0</v>
      </c>
      <c r="L2561" s="15">
        <v>0</v>
      </c>
      <c r="M2561" s="15">
        <v>0</v>
      </c>
      <c r="N2561" s="15" t="str">
        <v/>
      </c>
      <c r="O2561" s="15" t="str">
        <v/>
      </c>
      <c r="P2561" s="22">
        <v>0</v>
      </c>
      <c r="Q2561">
        <v>0</v>
      </c>
    </row>
    <row r="2562" spans="1:17">
      <c r="A2562" s="19">
        <v>0</v>
      </c>
      <c r="B2562" s="19">
        <v>0</v>
      </c>
      <c r="C2562" s="19">
        <v>0</v>
      </c>
      <c r="D2562" s="19">
        <v>0</v>
      </c>
      <c r="E2562" s="19">
        <v>0</v>
      </c>
      <c r="F2562" s="19">
        <v>0</v>
      </c>
      <c r="G2562" s="19">
        <v>0</v>
      </c>
      <c r="H2562" s="19">
        <v>0</v>
      </c>
      <c r="I2562" s="15">
        <v>3500</v>
      </c>
      <c r="J2562" s="15">
        <v>0</v>
      </c>
      <c r="K2562" s="15">
        <v>0</v>
      </c>
      <c r="L2562" s="15">
        <v>0</v>
      </c>
      <c r="M2562" s="15">
        <v>0</v>
      </c>
      <c r="N2562" s="15" t="str">
        <v/>
      </c>
      <c r="O2562" s="15" t="str">
        <v/>
      </c>
      <c r="P2562" s="22">
        <v>0</v>
      </c>
      <c r="Q2562">
        <v>0</v>
      </c>
    </row>
    <row r="2563" spans="1:17">
      <c r="A2563" s="19">
        <v>0</v>
      </c>
      <c r="B2563" s="19">
        <v>0</v>
      </c>
      <c r="C2563" s="19">
        <v>0</v>
      </c>
      <c r="D2563" s="19">
        <v>0</v>
      </c>
      <c r="E2563" s="19">
        <v>0</v>
      </c>
      <c r="F2563" s="19">
        <v>0</v>
      </c>
      <c r="G2563" s="19">
        <v>0</v>
      </c>
      <c r="H2563" s="19">
        <v>0</v>
      </c>
      <c r="I2563" s="15">
        <v>3500</v>
      </c>
      <c r="J2563" s="15">
        <v>0</v>
      </c>
      <c r="K2563" s="15">
        <v>0</v>
      </c>
      <c r="L2563" s="15">
        <v>0</v>
      </c>
      <c r="M2563" s="15">
        <v>0</v>
      </c>
      <c r="N2563" s="15" t="str">
        <v/>
      </c>
      <c r="O2563" s="15" t="str">
        <v/>
      </c>
      <c r="P2563" s="22">
        <v>0</v>
      </c>
      <c r="Q2563">
        <v>0</v>
      </c>
    </row>
    <row r="2564" spans="1:17">
      <c r="A2564" s="19">
        <v>0</v>
      </c>
      <c r="B2564" s="19">
        <v>0</v>
      </c>
      <c r="C2564" s="19">
        <v>0</v>
      </c>
      <c r="D2564" s="19">
        <v>0</v>
      </c>
      <c r="E2564" s="19">
        <v>0</v>
      </c>
      <c r="F2564" s="19">
        <v>0</v>
      </c>
      <c r="G2564" s="19">
        <v>0</v>
      </c>
      <c r="H2564" s="19">
        <v>0</v>
      </c>
      <c r="I2564" s="15">
        <v>3500</v>
      </c>
      <c r="J2564" s="15">
        <v>0</v>
      </c>
      <c r="K2564" s="15">
        <v>0</v>
      </c>
      <c r="L2564" s="15">
        <v>0</v>
      </c>
      <c r="M2564" s="15">
        <v>0</v>
      </c>
      <c r="N2564" s="15" t="str">
        <v/>
      </c>
      <c r="O2564" s="15" t="str">
        <v/>
      </c>
      <c r="P2564" s="22">
        <v>0</v>
      </c>
      <c r="Q2564">
        <v>0</v>
      </c>
    </row>
    <row r="2565" spans="1:17">
      <c r="A2565" s="19">
        <v>0</v>
      </c>
      <c r="B2565" s="19">
        <v>0</v>
      </c>
      <c r="C2565" s="19">
        <v>0</v>
      </c>
      <c r="D2565" s="19">
        <v>0</v>
      </c>
      <c r="E2565" s="19">
        <v>0</v>
      </c>
      <c r="F2565" s="19">
        <v>0</v>
      </c>
      <c r="G2565" s="19">
        <v>0</v>
      </c>
      <c r="H2565" s="19">
        <v>0</v>
      </c>
      <c r="I2565" s="15">
        <v>3500</v>
      </c>
      <c r="J2565" s="15">
        <v>0</v>
      </c>
      <c r="K2565" s="15">
        <v>0</v>
      </c>
      <c r="L2565" s="15">
        <v>0</v>
      </c>
      <c r="M2565" s="15">
        <v>0</v>
      </c>
      <c r="N2565" s="15" t="str">
        <v/>
      </c>
      <c r="O2565" s="15" t="str">
        <v/>
      </c>
      <c r="P2565" s="22">
        <v>0</v>
      </c>
      <c r="Q2565">
        <v>0</v>
      </c>
    </row>
    <row r="2566" spans="1:17">
      <c r="A2566" s="19">
        <v>0</v>
      </c>
      <c r="B2566" s="19">
        <v>0</v>
      </c>
      <c r="C2566" s="19">
        <v>0</v>
      </c>
      <c r="D2566" s="19">
        <v>0</v>
      </c>
      <c r="E2566" s="19">
        <v>0</v>
      </c>
      <c r="F2566" s="19">
        <v>0</v>
      </c>
      <c r="G2566" s="19">
        <v>0</v>
      </c>
      <c r="H2566" s="19">
        <v>0</v>
      </c>
      <c r="I2566" s="15">
        <v>3500</v>
      </c>
      <c r="J2566" s="15">
        <v>0</v>
      </c>
      <c r="K2566" s="15">
        <v>0</v>
      </c>
      <c r="L2566" s="15">
        <v>0</v>
      </c>
      <c r="M2566" s="15">
        <v>0</v>
      </c>
      <c r="N2566" s="15" t="str">
        <v/>
      </c>
      <c r="O2566" s="15" t="str">
        <v/>
      </c>
      <c r="P2566" s="22">
        <v>0</v>
      </c>
      <c r="Q2566">
        <v>0</v>
      </c>
    </row>
    <row r="2567" spans="1:17">
      <c r="A2567" s="19">
        <v>0</v>
      </c>
      <c r="B2567" s="19">
        <v>0</v>
      </c>
      <c r="C2567" s="19">
        <v>0</v>
      </c>
      <c r="D2567" s="19">
        <v>0</v>
      </c>
      <c r="E2567" s="19">
        <v>0</v>
      </c>
      <c r="F2567" s="19">
        <v>0</v>
      </c>
      <c r="G2567" s="19">
        <v>0</v>
      </c>
      <c r="H2567" s="19">
        <v>0</v>
      </c>
      <c r="I2567" s="15">
        <v>3500</v>
      </c>
      <c r="J2567" s="15">
        <v>0</v>
      </c>
      <c r="K2567" s="15">
        <v>0</v>
      </c>
      <c r="L2567" s="15">
        <v>0</v>
      </c>
      <c r="M2567" s="15">
        <v>0</v>
      </c>
      <c r="N2567" s="15" t="str">
        <v/>
      </c>
      <c r="O2567" s="15" t="str">
        <v/>
      </c>
      <c r="P2567" s="22">
        <v>0</v>
      </c>
      <c r="Q2567">
        <v>0</v>
      </c>
    </row>
    <row r="2568" spans="1:17">
      <c r="A2568" s="19">
        <v>0</v>
      </c>
      <c r="B2568" s="19">
        <v>0</v>
      </c>
      <c r="C2568" s="19">
        <v>0</v>
      </c>
      <c r="D2568" s="19">
        <v>0</v>
      </c>
      <c r="E2568" s="19">
        <v>0</v>
      </c>
      <c r="F2568" s="19">
        <v>0</v>
      </c>
      <c r="G2568" s="19">
        <v>0</v>
      </c>
      <c r="H2568" s="19">
        <v>0</v>
      </c>
      <c r="I2568" s="15">
        <v>3500</v>
      </c>
      <c r="J2568" s="15">
        <v>0</v>
      </c>
      <c r="K2568" s="15">
        <v>0</v>
      </c>
      <c r="L2568" s="15">
        <v>0</v>
      </c>
      <c r="M2568" s="15">
        <v>0</v>
      </c>
      <c r="N2568" s="15" t="str">
        <v/>
      </c>
      <c r="O2568" s="15" t="str">
        <v/>
      </c>
      <c r="P2568" s="22">
        <v>0</v>
      </c>
      <c r="Q2568">
        <v>0</v>
      </c>
    </row>
    <row r="2569" spans="1:17">
      <c r="A2569" s="19">
        <v>0</v>
      </c>
      <c r="B2569" s="19">
        <v>0</v>
      </c>
      <c r="C2569" s="19">
        <v>0</v>
      </c>
      <c r="D2569" s="19">
        <v>0</v>
      </c>
      <c r="E2569" s="19">
        <v>0</v>
      </c>
      <c r="F2569" s="19">
        <v>0</v>
      </c>
      <c r="G2569" s="19">
        <v>0</v>
      </c>
      <c r="H2569" s="19">
        <v>0</v>
      </c>
      <c r="I2569" s="15">
        <v>3500</v>
      </c>
      <c r="J2569" s="15">
        <v>0</v>
      </c>
      <c r="K2569" s="15">
        <v>0</v>
      </c>
      <c r="L2569" s="15">
        <v>0</v>
      </c>
      <c r="M2569" s="15">
        <v>0</v>
      </c>
      <c r="N2569" s="15" t="str">
        <v/>
      </c>
      <c r="O2569" s="15" t="str">
        <v/>
      </c>
      <c r="P2569" s="22">
        <v>0</v>
      </c>
      <c r="Q2569">
        <v>0</v>
      </c>
    </row>
    <row r="2570" spans="1:17">
      <c r="A2570" s="19">
        <v>0</v>
      </c>
      <c r="B2570" s="19">
        <v>0</v>
      </c>
      <c r="C2570" s="19">
        <v>0</v>
      </c>
      <c r="D2570" s="19">
        <v>0</v>
      </c>
      <c r="E2570" s="19">
        <v>0</v>
      </c>
      <c r="F2570" s="19">
        <v>0</v>
      </c>
      <c r="G2570" s="19">
        <v>0</v>
      </c>
      <c r="H2570" s="19">
        <v>0</v>
      </c>
      <c r="I2570" s="15">
        <v>3500</v>
      </c>
      <c r="J2570" s="15">
        <v>0</v>
      </c>
      <c r="K2570" s="15">
        <v>0</v>
      </c>
      <c r="L2570" s="15">
        <v>0</v>
      </c>
      <c r="M2570" s="15">
        <v>0</v>
      </c>
      <c r="N2570" s="15" t="str">
        <v/>
      </c>
      <c r="O2570" s="15" t="str">
        <v/>
      </c>
      <c r="P2570" s="22">
        <v>0</v>
      </c>
      <c r="Q2570">
        <v>0</v>
      </c>
    </row>
    <row r="2571" spans="1:17">
      <c r="A2571" s="19">
        <v>0</v>
      </c>
      <c r="B2571" s="19">
        <v>0</v>
      </c>
      <c r="C2571" s="19">
        <v>0</v>
      </c>
      <c r="D2571" s="19">
        <v>0</v>
      </c>
      <c r="E2571" s="19">
        <v>0</v>
      </c>
      <c r="F2571" s="19">
        <v>0</v>
      </c>
      <c r="G2571" s="19">
        <v>0</v>
      </c>
      <c r="H2571" s="19">
        <v>0</v>
      </c>
      <c r="I2571" s="15">
        <v>3500</v>
      </c>
      <c r="J2571" s="15">
        <v>0</v>
      </c>
      <c r="K2571" s="15">
        <v>0</v>
      </c>
      <c r="L2571" s="15">
        <v>0</v>
      </c>
      <c r="M2571" s="15">
        <v>0</v>
      </c>
      <c r="N2571" s="15" t="str">
        <v/>
      </c>
      <c r="O2571" s="15" t="str">
        <v/>
      </c>
      <c r="P2571" s="22">
        <v>0</v>
      </c>
      <c r="Q2571">
        <v>0</v>
      </c>
    </row>
    <row r="2572" spans="1:17">
      <c r="A2572" s="19">
        <v>0</v>
      </c>
      <c r="B2572" s="19">
        <v>0</v>
      </c>
      <c r="C2572" s="19">
        <v>0</v>
      </c>
      <c r="D2572" s="19">
        <v>0</v>
      </c>
      <c r="E2572" s="19">
        <v>0</v>
      </c>
      <c r="F2572" s="19">
        <v>0</v>
      </c>
      <c r="G2572" s="19">
        <v>0</v>
      </c>
      <c r="H2572" s="19">
        <v>0</v>
      </c>
      <c r="I2572" s="15">
        <v>3500</v>
      </c>
      <c r="J2572" s="15">
        <v>0</v>
      </c>
      <c r="K2572" s="15">
        <v>0</v>
      </c>
      <c r="L2572" s="15">
        <v>0</v>
      </c>
      <c r="M2572" s="15">
        <v>0</v>
      </c>
      <c r="N2572" s="15" t="str">
        <v/>
      </c>
      <c r="O2572" s="15" t="str">
        <v/>
      </c>
      <c r="P2572" s="22">
        <v>0</v>
      </c>
      <c r="Q2572">
        <v>0</v>
      </c>
    </row>
    <row r="2573" spans="1:17">
      <c r="A2573" s="19">
        <v>0</v>
      </c>
      <c r="B2573" s="19">
        <v>0</v>
      </c>
      <c r="C2573" s="19">
        <v>0</v>
      </c>
      <c r="D2573" s="19">
        <v>0</v>
      </c>
      <c r="E2573" s="19">
        <v>0</v>
      </c>
      <c r="F2573" s="19">
        <v>0</v>
      </c>
      <c r="G2573" s="19">
        <v>0</v>
      </c>
      <c r="H2573" s="19">
        <v>0</v>
      </c>
      <c r="I2573" s="15">
        <v>3500</v>
      </c>
      <c r="J2573" s="15">
        <v>0</v>
      </c>
      <c r="K2573" s="15">
        <v>0</v>
      </c>
      <c r="L2573" s="15">
        <v>0</v>
      </c>
      <c r="M2573" s="15">
        <v>0</v>
      </c>
      <c r="N2573" s="15" t="str">
        <v/>
      </c>
      <c r="O2573" s="15" t="str">
        <v/>
      </c>
      <c r="P2573" s="22">
        <v>0</v>
      </c>
      <c r="Q2573">
        <v>0</v>
      </c>
    </row>
    <row r="2574" spans="1:17">
      <c r="A2574" s="19">
        <v>0</v>
      </c>
      <c r="B2574" s="19">
        <v>0</v>
      </c>
      <c r="C2574" s="19">
        <v>0</v>
      </c>
      <c r="D2574" s="19">
        <v>0</v>
      </c>
      <c r="E2574" s="19">
        <v>0</v>
      </c>
      <c r="F2574" s="19">
        <v>0</v>
      </c>
      <c r="G2574" s="19">
        <v>0</v>
      </c>
      <c r="H2574" s="19">
        <v>0</v>
      </c>
      <c r="I2574" s="15">
        <v>3500</v>
      </c>
      <c r="J2574" s="15">
        <v>0</v>
      </c>
      <c r="K2574" s="15">
        <v>0</v>
      </c>
      <c r="L2574" s="15">
        <v>0</v>
      </c>
      <c r="M2574" s="15">
        <v>0</v>
      </c>
      <c r="N2574" s="15" t="str">
        <v/>
      </c>
      <c r="O2574" s="15" t="str">
        <v/>
      </c>
      <c r="P2574" s="22">
        <v>0</v>
      </c>
      <c r="Q2574">
        <v>0</v>
      </c>
    </row>
    <row r="2575" spans="1:17">
      <c r="A2575" s="19">
        <v>0</v>
      </c>
      <c r="B2575" s="19">
        <v>0</v>
      </c>
      <c r="C2575" s="19">
        <v>0</v>
      </c>
      <c r="D2575" s="19">
        <v>0</v>
      </c>
      <c r="E2575" s="19">
        <v>0</v>
      </c>
      <c r="F2575" s="19">
        <v>0</v>
      </c>
      <c r="G2575" s="19">
        <v>0</v>
      </c>
      <c r="H2575" s="19">
        <v>0</v>
      </c>
      <c r="I2575" s="15">
        <v>3500</v>
      </c>
      <c r="J2575" s="15">
        <v>0</v>
      </c>
      <c r="K2575" s="15">
        <v>0</v>
      </c>
      <c r="L2575" s="15">
        <v>0</v>
      </c>
      <c r="M2575" s="15">
        <v>0</v>
      </c>
      <c r="N2575" s="15" t="str">
        <v/>
      </c>
      <c r="O2575" s="15" t="str">
        <v/>
      </c>
      <c r="P2575" s="22">
        <v>0</v>
      </c>
      <c r="Q2575">
        <v>0</v>
      </c>
    </row>
    <row r="2576" spans="1:17">
      <c r="A2576" s="19">
        <v>0</v>
      </c>
      <c r="B2576" s="19">
        <v>0</v>
      </c>
      <c r="C2576" s="19">
        <v>0</v>
      </c>
      <c r="D2576" s="19">
        <v>0</v>
      </c>
      <c r="E2576" s="19">
        <v>0</v>
      </c>
      <c r="F2576" s="19">
        <v>0</v>
      </c>
      <c r="G2576" s="19">
        <v>0</v>
      </c>
      <c r="H2576" s="19">
        <v>0</v>
      </c>
      <c r="I2576" s="15">
        <v>3500</v>
      </c>
      <c r="J2576" s="15">
        <v>0</v>
      </c>
      <c r="K2576" s="15">
        <v>0</v>
      </c>
      <c r="L2576" s="15">
        <v>0</v>
      </c>
      <c r="M2576" s="15">
        <v>0</v>
      </c>
      <c r="N2576" s="15" t="str">
        <v/>
      </c>
      <c r="O2576" s="15" t="str">
        <v/>
      </c>
      <c r="P2576" s="22">
        <v>0</v>
      </c>
      <c r="Q2576">
        <v>0</v>
      </c>
    </row>
    <row r="2577" spans="1:17">
      <c r="A2577" s="19">
        <v>0</v>
      </c>
      <c r="B2577" s="19">
        <v>0</v>
      </c>
      <c r="C2577" s="19">
        <v>0</v>
      </c>
      <c r="D2577" s="19">
        <v>0</v>
      </c>
      <c r="E2577" s="19">
        <v>0</v>
      </c>
      <c r="F2577" s="19">
        <v>0</v>
      </c>
      <c r="G2577" s="19">
        <v>0</v>
      </c>
      <c r="H2577" s="19">
        <v>0</v>
      </c>
      <c r="I2577" s="15">
        <v>3500</v>
      </c>
      <c r="J2577" s="15">
        <v>0</v>
      </c>
      <c r="K2577" s="15">
        <v>0</v>
      </c>
      <c r="L2577" s="15">
        <v>0</v>
      </c>
      <c r="M2577" s="15">
        <v>0</v>
      </c>
      <c r="N2577" s="15" t="str">
        <v/>
      </c>
      <c r="O2577" s="15" t="str">
        <v/>
      </c>
      <c r="P2577" s="22">
        <v>0</v>
      </c>
      <c r="Q2577">
        <v>0</v>
      </c>
    </row>
    <row r="2578" spans="1:17">
      <c r="A2578" s="19">
        <v>0</v>
      </c>
      <c r="B2578" s="19">
        <v>0</v>
      </c>
      <c r="C2578" s="19">
        <v>0</v>
      </c>
      <c r="D2578" s="19">
        <v>0</v>
      </c>
      <c r="E2578" s="19">
        <v>0</v>
      </c>
      <c r="F2578" s="19">
        <v>0</v>
      </c>
      <c r="G2578" s="19">
        <v>0</v>
      </c>
      <c r="H2578" s="19">
        <v>0</v>
      </c>
      <c r="I2578" s="15">
        <v>3500</v>
      </c>
      <c r="J2578" s="15">
        <v>0</v>
      </c>
      <c r="K2578" s="15">
        <v>0</v>
      </c>
      <c r="L2578" s="15">
        <v>0</v>
      </c>
      <c r="M2578" s="15">
        <v>0</v>
      </c>
      <c r="N2578" s="15" t="str">
        <v/>
      </c>
      <c r="O2578" s="15" t="str">
        <v/>
      </c>
      <c r="P2578" s="22">
        <v>0</v>
      </c>
      <c r="Q2578">
        <v>0</v>
      </c>
    </row>
    <row r="2579" spans="1:17">
      <c r="A2579" s="19">
        <v>0</v>
      </c>
      <c r="B2579" s="19">
        <v>0</v>
      </c>
      <c r="C2579" s="19">
        <v>0</v>
      </c>
      <c r="D2579" s="19">
        <v>0</v>
      </c>
      <c r="E2579" s="19">
        <v>0</v>
      </c>
      <c r="F2579" s="19">
        <v>0</v>
      </c>
      <c r="G2579" s="19">
        <v>0</v>
      </c>
      <c r="H2579" s="19">
        <v>0</v>
      </c>
      <c r="I2579" s="15">
        <v>3500</v>
      </c>
      <c r="J2579" s="15">
        <v>0</v>
      </c>
      <c r="K2579" s="15">
        <v>0</v>
      </c>
      <c r="L2579" s="15">
        <v>0</v>
      </c>
      <c r="M2579" s="15">
        <v>0</v>
      </c>
      <c r="N2579" s="15" t="str">
        <v/>
      </c>
      <c r="O2579" s="15" t="str">
        <v/>
      </c>
      <c r="P2579" s="22">
        <v>0</v>
      </c>
      <c r="Q2579">
        <v>0</v>
      </c>
    </row>
    <row r="2580" spans="1:17">
      <c r="A2580" s="19">
        <v>0</v>
      </c>
      <c r="B2580" s="19">
        <v>0</v>
      </c>
      <c r="C2580" s="19">
        <v>0</v>
      </c>
      <c r="D2580" s="19">
        <v>0</v>
      </c>
      <c r="E2580" s="19">
        <v>0</v>
      </c>
      <c r="F2580" s="19">
        <v>0</v>
      </c>
      <c r="G2580" s="19">
        <v>0</v>
      </c>
      <c r="H2580" s="19">
        <v>0</v>
      </c>
      <c r="I2580" s="15">
        <v>3500</v>
      </c>
      <c r="J2580" s="15">
        <v>0</v>
      </c>
      <c r="K2580" s="15">
        <v>0</v>
      </c>
      <c r="L2580" s="15">
        <v>0</v>
      </c>
      <c r="M2580" s="15">
        <v>0</v>
      </c>
      <c r="N2580" s="15" t="str">
        <v/>
      </c>
      <c r="O2580" s="15" t="str">
        <v/>
      </c>
      <c r="P2580" s="22">
        <v>0</v>
      </c>
      <c r="Q2580">
        <v>0</v>
      </c>
    </row>
    <row r="2581" spans="1:17">
      <c r="A2581" s="19">
        <v>0</v>
      </c>
      <c r="B2581" s="19">
        <v>0</v>
      </c>
      <c r="C2581" s="19">
        <v>0</v>
      </c>
      <c r="D2581" s="19">
        <v>0</v>
      </c>
      <c r="E2581" s="19">
        <v>0</v>
      </c>
      <c r="F2581" s="19">
        <v>0</v>
      </c>
      <c r="G2581" s="19">
        <v>0</v>
      </c>
      <c r="H2581" s="19">
        <v>0</v>
      </c>
      <c r="I2581" s="15">
        <v>3500</v>
      </c>
      <c r="J2581" s="15">
        <v>0</v>
      </c>
      <c r="K2581" s="15">
        <v>0</v>
      </c>
      <c r="L2581" s="15">
        <v>0</v>
      </c>
      <c r="M2581" s="15">
        <v>0</v>
      </c>
      <c r="N2581" s="15" t="str">
        <v/>
      </c>
      <c r="O2581" s="15" t="str">
        <v/>
      </c>
      <c r="P2581" s="22">
        <v>0</v>
      </c>
      <c r="Q2581">
        <v>0</v>
      </c>
    </row>
    <row r="2582" spans="1:17">
      <c r="A2582" s="19">
        <v>0</v>
      </c>
      <c r="B2582" s="19">
        <v>0</v>
      </c>
      <c r="C2582" s="19">
        <v>0</v>
      </c>
      <c r="D2582" s="19">
        <v>0</v>
      </c>
      <c r="E2582" s="19">
        <v>0</v>
      </c>
      <c r="F2582" s="19">
        <v>0</v>
      </c>
      <c r="G2582" s="19">
        <v>0</v>
      </c>
      <c r="H2582" s="19">
        <v>0</v>
      </c>
      <c r="I2582" s="15">
        <v>3500</v>
      </c>
      <c r="J2582" s="15">
        <v>0</v>
      </c>
      <c r="K2582" s="15">
        <v>0</v>
      </c>
      <c r="L2582" s="15">
        <v>0</v>
      </c>
      <c r="M2582" s="15">
        <v>0</v>
      </c>
      <c r="N2582" s="15" t="str">
        <v/>
      </c>
      <c r="O2582" s="15" t="str">
        <v/>
      </c>
      <c r="P2582" s="22">
        <v>0</v>
      </c>
      <c r="Q2582">
        <v>0</v>
      </c>
    </row>
    <row r="2583" spans="1:17">
      <c r="A2583" s="19">
        <v>0</v>
      </c>
      <c r="B2583" s="19">
        <v>0</v>
      </c>
      <c r="C2583" s="19">
        <v>0</v>
      </c>
      <c r="D2583" s="19">
        <v>0</v>
      </c>
      <c r="E2583" s="19">
        <v>0</v>
      </c>
      <c r="F2583" s="19">
        <v>0</v>
      </c>
      <c r="G2583" s="19">
        <v>0</v>
      </c>
      <c r="H2583" s="19">
        <v>0</v>
      </c>
      <c r="I2583" s="15">
        <v>3500</v>
      </c>
      <c r="J2583" s="15">
        <v>0</v>
      </c>
      <c r="K2583" s="15">
        <v>0</v>
      </c>
      <c r="L2583" s="15">
        <v>0</v>
      </c>
      <c r="M2583" s="15">
        <v>0</v>
      </c>
      <c r="N2583" s="15" t="str">
        <v/>
      </c>
      <c r="O2583" s="15" t="str">
        <v/>
      </c>
      <c r="P2583" s="22">
        <v>0</v>
      </c>
      <c r="Q2583">
        <v>0</v>
      </c>
    </row>
    <row r="2584" spans="1:17">
      <c r="A2584" s="19">
        <v>0</v>
      </c>
      <c r="B2584" s="19">
        <v>0</v>
      </c>
      <c r="C2584" s="19">
        <v>0</v>
      </c>
      <c r="D2584" s="19">
        <v>0</v>
      </c>
      <c r="E2584" s="19">
        <v>0</v>
      </c>
      <c r="F2584" s="19">
        <v>0</v>
      </c>
      <c r="G2584" s="19">
        <v>0</v>
      </c>
      <c r="H2584" s="19">
        <v>0</v>
      </c>
      <c r="I2584" s="15">
        <v>3500</v>
      </c>
      <c r="J2584" s="15">
        <v>0</v>
      </c>
      <c r="K2584" s="15">
        <v>0</v>
      </c>
      <c r="L2584" s="15">
        <v>0</v>
      </c>
      <c r="M2584" s="15">
        <v>0</v>
      </c>
      <c r="N2584" s="15" t="str">
        <v/>
      </c>
      <c r="O2584" s="15" t="str">
        <v/>
      </c>
      <c r="P2584" s="22">
        <v>0</v>
      </c>
      <c r="Q2584">
        <v>0</v>
      </c>
    </row>
    <row r="2585" spans="1:17">
      <c r="A2585" s="19">
        <v>0</v>
      </c>
      <c r="B2585" s="19">
        <v>0</v>
      </c>
      <c r="C2585" s="19">
        <v>0</v>
      </c>
      <c r="D2585" s="19">
        <v>0</v>
      </c>
      <c r="E2585" s="19">
        <v>0</v>
      </c>
      <c r="F2585" s="19">
        <v>0</v>
      </c>
      <c r="G2585" s="19">
        <v>0</v>
      </c>
      <c r="H2585" s="19">
        <v>0</v>
      </c>
      <c r="I2585" s="15">
        <v>3500</v>
      </c>
      <c r="J2585" s="15">
        <v>0</v>
      </c>
      <c r="K2585" s="15">
        <v>0</v>
      </c>
      <c r="L2585" s="15">
        <v>0</v>
      </c>
      <c r="M2585" s="15">
        <v>0</v>
      </c>
      <c r="N2585" s="15" t="str">
        <v/>
      </c>
      <c r="O2585" s="15" t="str">
        <v/>
      </c>
      <c r="P2585" s="22">
        <v>0</v>
      </c>
      <c r="Q2585">
        <v>0</v>
      </c>
    </row>
    <row r="2586" spans="1:17">
      <c r="A2586" s="19">
        <v>0</v>
      </c>
      <c r="B2586" s="19">
        <v>0</v>
      </c>
      <c r="C2586" s="19">
        <v>0</v>
      </c>
      <c r="D2586" s="19">
        <v>0</v>
      </c>
      <c r="E2586" s="19">
        <v>0</v>
      </c>
      <c r="F2586" s="19">
        <v>0</v>
      </c>
      <c r="G2586" s="19">
        <v>0</v>
      </c>
      <c r="H2586" s="19">
        <v>0</v>
      </c>
      <c r="I2586" s="15">
        <v>3500</v>
      </c>
      <c r="J2586" s="15">
        <v>0</v>
      </c>
      <c r="K2586" s="15">
        <v>0</v>
      </c>
      <c r="L2586" s="15">
        <v>0</v>
      </c>
      <c r="M2586" s="15">
        <v>0</v>
      </c>
      <c r="N2586" s="15" t="str">
        <v/>
      </c>
      <c r="O2586" s="15" t="str">
        <v/>
      </c>
      <c r="P2586" s="22">
        <v>0</v>
      </c>
      <c r="Q2586">
        <v>0</v>
      </c>
    </row>
    <row r="2587" spans="1:17">
      <c r="A2587" s="19">
        <v>0</v>
      </c>
      <c r="B2587" s="19">
        <v>0</v>
      </c>
      <c r="C2587" s="19">
        <v>0</v>
      </c>
      <c r="D2587" s="19">
        <v>0</v>
      </c>
      <c r="E2587" s="19">
        <v>0</v>
      </c>
      <c r="F2587" s="19">
        <v>0</v>
      </c>
      <c r="G2587" s="19">
        <v>0</v>
      </c>
      <c r="H2587" s="19">
        <v>0</v>
      </c>
      <c r="I2587" s="15">
        <v>3500</v>
      </c>
      <c r="J2587" s="15">
        <v>0</v>
      </c>
      <c r="K2587" s="15">
        <v>0</v>
      </c>
      <c r="L2587" s="15">
        <v>0</v>
      </c>
      <c r="M2587" s="15">
        <v>0</v>
      </c>
      <c r="N2587" s="15" t="str">
        <v/>
      </c>
      <c r="O2587" s="15" t="str">
        <v/>
      </c>
      <c r="P2587" s="22">
        <v>0</v>
      </c>
      <c r="Q2587">
        <v>0</v>
      </c>
    </row>
    <row r="2588" spans="1:17">
      <c r="A2588" s="19">
        <v>0</v>
      </c>
      <c r="B2588" s="19">
        <v>0</v>
      </c>
      <c r="C2588" s="19">
        <v>0</v>
      </c>
      <c r="D2588" s="19">
        <v>0</v>
      </c>
      <c r="E2588" s="19">
        <v>0</v>
      </c>
      <c r="F2588" s="19">
        <v>0</v>
      </c>
      <c r="G2588" s="19">
        <v>0</v>
      </c>
      <c r="H2588" s="19">
        <v>0</v>
      </c>
      <c r="I2588" s="15">
        <v>3500</v>
      </c>
      <c r="J2588" s="15">
        <v>0</v>
      </c>
      <c r="K2588" s="15">
        <v>0</v>
      </c>
      <c r="L2588" s="15">
        <v>0</v>
      </c>
      <c r="M2588" s="15">
        <v>0</v>
      </c>
      <c r="N2588" s="15" t="str">
        <v/>
      </c>
      <c r="O2588" s="15" t="str">
        <v/>
      </c>
      <c r="P2588" s="22">
        <v>0</v>
      </c>
      <c r="Q2588">
        <v>0</v>
      </c>
    </row>
    <row r="2589" spans="1:17">
      <c r="A2589" s="19">
        <v>0</v>
      </c>
      <c r="B2589" s="19">
        <v>0</v>
      </c>
      <c r="C2589" s="19">
        <v>0</v>
      </c>
      <c r="D2589" s="19">
        <v>0</v>
      </c>
      <c r="E2589" s="19">
        <v>0</v>
      </c>
      <c r="F2589" s="19">
        <v>0</v>
      </c>
      <c r="G2589" s="19">
        <v>0</v>
      </c>
      <c r="H2589" s="19">
        <v>0</v>
      </c>
      <c r="I2589" s="15">
        <v>3500</v>
      </c>
      <c r="J2589" s="15">
        <v>0</v>
      </c>
      <c r="K2589" s="15">
        <v>0</v>
      </c>
      <c r="L2589" s="15">
        <v>0</v>
      </c>
      <c r="M2589" s="15">
        <v>0</v>
      </c>
      <c r="N2589" s="15" t="str">
        <v/>
      </c>
      <c r="O2589" s="15" t="str">
        <v/>
      </c>
      <c r="P2589" s="22">
        <v>0</v>
      </c>
      <c r="Q2589">
        <v>0</v>
      </c>
    </row>
    <row r="2590" spans="1:17">
      <c r="A2590" s="19">
        <v>0</v>
      </c>
      <c r="B2590" s="19">
        <v>0</v>
      </c>
      <c r="C2590" s="19">
        <v>0</v>
      </c>
      <c r="D2590" s="19">
        <v>0</v>
      </c>
      <c r="E2590" s="19">
        <v>0</v>
      </c>
      <c r="F2590" s="19">
        <v>0</v>
      </c>
      <c r="G2590" s="19">
        <v>0</v>
      </c>
      <c r="H2590" s="19">
        <v>0</v>
      </c>
      <c r="I2590" s="15">
        <v>3500</v>
      </c>
      <c r="J2590" s="15">
        <v>0</v>
      </c>
      <c r="K2590" s="15">
        <v>0</v>
      </c>
      <c r="L2590" s="15">
        <v>0</v>
      </c>
      <c r="M2590" s="15">
        <v>0</v>
      </c>
      <c r="N2590" s="15" t="str">
        <v/>
      </c>
      <c r="O2590" s="15" t="str">
        <v/>
      </c>
      <c r="P2590" s="22">
        <v>0</v>
      </c>
      <c r="Q2590">
        <v>0</v>
      </c>
    </row>
    <row r="2591" spans="1:17">
      <c r="A2591" s="19">
        <v>0</v>
      </c>
      <c r="B2591" s="19">
        <v>0</v>
      </c>
      <c r="C2591" s="19">
        <v>0</v>
      </c>
      <c r="D2591" s="19">
        <v>0</v>
      </c>
      <c r="E2591" s="19">
        <v>0</v>
      </c>
      <c r="F2591" s="19">
        <v>0</v>
      </c>
      <c r="G2591" s="19">
        <v>0</v>
      </c>
      <c r="H2591" s="19">
        <v>0</v>
      </c>
      <c r="I2591" s="15">
        <v>3500</v>
      </c>
      <c r="J2591" s="15">
        <v>0</v>
      </c>
      <c r="K2591" s="15">
        <v>0</v>
      </c>
      <c r="L2591" s="15">
        <v>0</v>
      </c>
      <c r="M2591" s="15">
        <v>0</v>
      </c>
      <c r="N2591" s="15" t="str">
        <v/>
      </c>
      <c r="O2591" s="15" t="str">
        <v/>
      </c>
      <c r="P2591" s="22">
        <v>0</v>
      </c>
      <c r="Q2591">
        <v>0</v>
      </c>
    </row>
    <row r="2592" spans="1:17">
      <c r="A2592" s="19">
        <v>0</v>
      </c>
      <c r="B2592" s="19">
        <v>0</v>
      </c>
      <c r="C2592" s="19">
        <v>0</v>
      </c>
      <c r="D2592" s="19">
        <v>0</v>
      </c>
      <c r="E2592" s="19">
        <v>0</v>
      </c>
      <c r="F2592" s="19">
        <v>0</v>
      </c>
      <c r="G2592" s="19">
        <v>0</v>
      </c>
      <c r="H2592" s="19">
        <v>0</v>
      </c>
      <c r="I2592" s="15">
        <v>3500</v>
      </c>
      <c r="J2592" s="15">
        <v>0</v>
      </c>
      <c r="K2592" s="15">
        <v>0</v>
      </c>
      <c r="L2592" s="15">
        <v>0</v>
      </c>
      <c r="M2592" s="15">
        <v>0</v>
      </c>
      <c r="N2592" s="15" t="str">
        <v/>
      </c>
      <c r="O2592" s="15" t="str">
        <v/>
      </c>
      <c r="P2592" s="22">
        <v>0</v>
      </c>
      <c r="Q2592">
        <v>0</v>
      </c>
    </row>
    <row r="2593" spans="1:17">
      <c r="A2593" s="19">
        <v>0</v>
      </c>
      <c r="B2593" s="19">
        <v>0</v>
      </c>
      <c r="C2593" s="19">
        <v>0</v>
      </c>
      <c r="D2593" s="19">
        <v>0</v>
      </c>
      <c r="E2593" s="19">
        <v>0</v>
      </c>
      <c r="F2593" s="19">
        <v>0</v>
      </c>
      <c r="G2593" s="19">
        <v>0</v>
      </c>
      <c r="H2593" s="19">
        <v>0</v>
      </c>
      <c r="I2593" s="15">
        <v>3500</v>
      </c>
      <c r="J2593" s="15">
        <v>0</v>
      </c>
      <c r="K2593" s="15">
        <v>0</v>
      </c>
      <c r="L2593" s="15">
        <v>0</v>
      </c>
      <c r="M2593" s="15">
        <v>0</v>
      </c>
      <c r="N2593" s="15" t="str">
        <v/>
      </c>
      <c r="O2593" s="15" t="str">
        <v/>
      </c>
      <c r="P2593" s="22">
        <v>0</v>
      </c>
      <c r="Q2593">
        <v>0</v>
      </c>
    </row>
    <row r="2594" spans="1:17">
      <c r="A2594" s="19">
        <v>0</v>
      </c>
      <c r="B2594" s="19">
        <v>0</v>
      </c>
      <c r="C2594" s="19">
        <v>0</v>
      </c>
      <c r="D2594" s="19">
        <v>0</v>
      </c>
      <c r="E2594" s="19">
        <v>0</v>
      </c>
      <c r="F2594" s="19">
        <v>0</v>
      </c>
      <c r="G2594" s="19">
        <v>0</v>
      </c>
      <c r="H2594" s="19">
        <v>0</v>
      </c>
      <c r="I2594" s="15">
        <v>3500</v>
      </c>
      <c r="J2594" s="15">
        <v>0</v>
      </c>
      <c r="K2594" s="15">
        <v>0</v>
      </c>
      <c r="L2594" s="15">
        <v>0</v>
      </c>
      <c r="M2594" s="15">
        <v>0</v>
      </c>
      <c r="N2594" s="15" t="str">
        <v/>
      </c>
      <c r="O2594" s="15" t="str">
        <v/>
      </c>
      <c r="P2594" s="22">
        <v>0</v>
      </c>
      <c r="Q2594">
        <v>0</v>
      </c>
    </row>
    <row r="2595" spans="1:17">
      <c r="A2595" s="19">
        <v>0</v>
      </c>
      <c r="B2595" s="19">
        <v>0</v>
      </c>
      <c r="C2595" s="19">
        <v>0</v>
      </c>
      <c r="D2595" s="19">
        <v>0</v>
      </c>
      <c r="E2595" s="19">
        <v>0</v>
      </c>
      <c r="F2595" s="19">
        <v>0</v>
      </c>
      <c r="G2595" s="19">
        <v>0</v>
      </c>
      <c r="H2595" s="19">
        <v>0</v>
      </c>
      <c r="I2595" s="15">
        <v>3500</v>
      </c>
      <c r="J2595" s="15">
        <v>0</v>
      </c>
      <c r="K2595" s="15">
        <v>0</v>
      </c>
      <c r="L2595" s="15">
        <v>0</v>
      </c>
      <c r="M2595" s="15">
        <v>0</v>
      </c>
      <c r="N2595" s="15" t="str">
        <v/>
      </c>
      <c r="O2595" s="15" t="str">
        <v/>
      </c>
      <c r="P2595" s="22">
        <v>0</v>
      </c>
      <c r="Q2595">
        <v>0</v>
      </c>
    </row>
    <row r="2596" spans="1:17">
      <c r="A2596" s="19">
        <v>0</v>
      </c>
      <c r="B2596" s="19">
        <v>0</v>
      </c>
      <c r="C2596" s="19">
        <v>0</v>
      </c>
      <c r="D2596" s="19">
        <v>0</v>
      </c>
      <c r="E2596" s="19">
        <v>0</v>
      </c>
      <c r="F2596" s="19">
        <v>0</v>
      </c>
      <c r="G2596" s="19">
        <v>0</v>
      </c>
      <c r="H2596" s="19">
        <v>0</v>
      </c>
      <c r="I2596" s="15">
        <v>3500</v>
      </c>
      <c r="J2596" s="15">
        <v>0</v>
      </c>
      <c r="K2596" s="15">
        <v>0</v>
      </c>
      <c r="L2596" s="15">
        <v>0</v>
      </c>
      <c r="M2596" s="15">
        <v>0</v>
      </c>
      <c r="N2596" s="15" t="str">
        <v/>
      </c>
      <c r="O2596" s="15" t="str">
        <v/>
      </c>
      <c r="P2596" s="22">
        <v>0</v>
      </c>
      <c r="Q2596">
        <v>0</v>
      </c>
    </row>
    <row r="2597" spans="1:17">
      <c r="A2597" s="19">
        <v>0</v>
      </c>
      <c r="B2597" s="19">
        <v>0</v>
      </c>
      <c r="C2597" s="19">
        <v>0</v>
      </c>
      <c r="D2597" s="19">
        <v>0</v>
      </c>
      <c r="E2597" s="19">
        <v>0</v>
      </c>
      <c r="F2597" s="19">
        <v>0</v>
      </c>
      <c r="G2597" s="19">
        <v>0</v>
      </c>
      <c r="H2597" s="19">
        <v>0</v>
      </c>
      <c r="I2597" s="15">
        <v>3500</v>
      </c>
      <c r="J2597" s="15">
        <v>0</v>
      </c>
      <c r="K2597" s="15">
        <v>0</v>
      </c>
      <c r="L2597" s="15">
        <v>0</v>
      </c>
      <c r="M2597" s="15">
        <v>0</v>
      </c>
      <c r="N2597" s="15" t="str">
        <v/>
      </c>
      <c r="O2597" s="15" t="str">
        <v/>
      </c>
      <c r="P2597" s="22">
        <v>0</v>
      </c>
      <c r="Q2597">
        <v>0</v>
      </c>
    </row>
    <row r="2598" spans="1:17">
      <c r="A2598" s="19">
        <v>0</v>
      </c>
      <c r="B2598" s="19">
        <v>0</v>
      </c>
      <c r="C2598" s="19">
        <v>0</v>
      </c>
      <c r="D2598" s="19">
        <v>0</v>
      </c>
      <c r="E2598" s="19">
        <v>0</v>
      </c>
      <c r="F2598" s="19">
        <v>0</v>
      </c>
      <c r="G2598" s="19">
        <v>0</v>
      </c>
      <c r="H2598" s="19">
        <v>0</v>
      </c>
      <c r="I2598" s="15">
        <v>3500</v>
      </c>
      <c r="J2598" s="15">
        <v>0</v>
      </c>
      <c r="K2598" s="15">
        <v>0</v>
      </c>
      <c r="L2598" s="15">
        <v>0</v>
      </c>
      <c r="M2598" s="15">
        <v>0</v>
      </c>
      <c r="N2598" s="15" t="str">
        <v/>
      </c>
      <c r="O2598" s="15" t="str">
        <v/>
      </c>
      <c r="P2598" s="22">
        <v>0</v>
      </c>
      <c r="Q2598">
        <v>0</v>
      </c>
    </row>
    <row r="2599" spans="1:17">
      <c r="A2599" s="19">
        <v>0</v>
      </c>
      <c r="B2599" s="19">
        <v>0</v>
      </c>
      <c r="C2599" s="19">
        <v>0</v>
      </c>
      <c r="D2599" s="19">
        <v>0</v>
      </c>
      <c r="E2599" s="19">
        <v>0</v>
      </c>
      <c r="F2599" s="19">
        <v>0</v>
      </c>
      <c r="G2599" s="19">
        <v>0</v>
      </c>
      <c r="H2599" s="19">
        <v>0</v>
      </c>
      <c r="I2599" s="15">
        <v>3500</v>
      </c>
      <c r="J2599" s="15">
        <v>0</v>
      </c>
      <c r="K2599" s="15">
        <v>0</v>
      </c>
      <c r="L2599" s="15">
        <v>0</v>
      </c>
      <c r="M2599" s="15">
        <v>0</v>
      </c>
      <c r="N2599" s="15" t="str">
        <v/>
      </c>
      <c r="O2599" s="15" t="str">
        <v/>
      </c>
      <c r="P2599" s="22">
        <v>0</v>
      </c>
      <c r="Q2599">
        <v>0</v>
      </c>
    </row>
    <row r="2600" spans="1:17">
      <c r="A2600" s="19">
        <v>0</v>
      </c>
      <c r="B2600" s="19">
        <v>0</v>
      </c>
      <c r="C2600" s="19">
        <v>0</v>
      </c>
      <c r="D2600" s="19">
        <v>0</v>
      </c>
      <c r="E2600" s="19">
        <v>0</v>
      </c>
      <c r="F2600" s="19">
        <v>0</v>
      </c>
      <c r="G2600" s="19">
        <v>0</v>
      </c>
      <c r="H2600" s="19">
        <v>0</v>
      </c>
      <c r="I2600" s="15">
        <v>3500</v>
      </c>
      <c r="J2600" s="15">
        <v>0</v>
      </c>
      <c r="K2600" s="15">
        <v>0</v>
      </c>
      <c r="L2600" s="15">
        <v>0</v>
      </c>
      <c r="M2600" s="15">
        <v>0</v>
      </c>
      <c r="N2600" s="15" t="str">
        <v/>
      </c>
      <c r="O2600" s="15" t="str">
        <v/>
      </c>
      <c r="P2600" s="22">
        <v>0</v>
      </c>
      <c r="Q2600">
        <v>0</v>
      </c>
    </row>
    <row r="2601" spans="1:17">
      <c r="A2601" s="19">
        <v>0</v>
      </c>
      <c r="B2601" s="19">
        <v>0</v>
      </c>
      <c r="C2601" s="19">
        <v>0</v>
      </c>
      <c r="D2601" s="19">
        <v>0</v>
      </c>
      <c r="E2601" s="19">
        <v>0</v>
      </c>
      <c r="F2601" s="19">
        <v>0</v>
      </c>
      <c r="G2601" s="19">
        <v>0</v>
      </c>
      <c r="H2601" s="19">
        <v>0</v>
      </c>
      <c r="I2601" s="15">
        <v>3500</v>
      </c>
      <c r="J2601" s="15">
        <v>0</v>
      </c>
      <c r="K2601" s="15">
        <v>0</v>
      </c>
      <c r="L2601" s="15">
        <v>0</v>
      </c>
      <c r="M2601" s="15">
        <v>0</v>
      </c>
      <c r="N2601" s="15" t="str">
        <v/>
      </c>
      <c r="O2601" s="15" t="str">
        <v/>
      </c>
      <c r="P2601" s="22">
        <v>0</v>
      </c>
      <c r="Q2601">
        <v>0</v>
      </c>
    </row>
    <row r="2602" spans="1:17">
      <c r="A2602" s="19">
        <v>0</v>
      </c>
      <c r="B2602" s="19">
        <v>0</v>
      </c>
      <c r="C2602" s="19">
        <v>0</v>
      </c>
      <c r="D2602" s="19">
        <v>0</v>
      </c>
      <c r="E2602" s="19">
        <v>0</v>
      </c>
      <c r="F2602" s="19">
        <v>0</v>
      </c>
      <c r="G2602" s="19">
        <v>0</v>
      </c>
      <c r="H2602" s="19">
        <v>0</v>
      </c>
      <c r="I2602" s="15">
        <v>3500</v>
      </c>
      <c r="J2602" s="15">
        <v>0</v>
      </c>
      <c r="K2602" s="15">
        <v>0</v>
      </c>
      <c r="L2602" s="15">
        <v>0</v>
      </c>
      <c r="M2602" s="15">
        <v>0</v>
      </c>
      <c r="N2602" s="15" t="str">
        <v/>
      </c>
      <c r="O2602" s="15" t="str">
        <v/>
      </c>
      <c r="P2602" s="22">
        <v>0</v>
      </c>
      <c r="Q2602">
        <v>0</v>
      </c>
    </row>
    <row r="2603" spans="1:17">
      <c r="A2603" s="19">
        <v>0</v>
      </c>
      <c r="B2603" s="19">
        <v>0</v>
      </c>
      <c r="C2603" s="19">
        <v>0</v>
      </c>
      <c r="D2603" s="19">
        <v>0</v>
      </c>
      <c r="E2603" s="19">
        <v>0</v>
      </c>
      <c r="F2603" s="19">
        <v>0</v>
      </c>
      <c r="G2603" s="19">
        <v>0</v>
      </c>
      <c r="H2603" s="19">
        <v>0</v>
      </c>
      <c r="I2603" s="15">
        <v>3500</v>
      </c>
      <c r="J2603" s="15">
        <v>0</v>
      </c>
      <c r="K2603" s="15">
        <v>0</v>
      </c>
      <c r="L2603" s="15">
        <v>0</v>
      </c>
      <c r="M2603" s="15">
        <v>0</v>
      </c>
      <c r="N2603" s="15" t="str">
        <v/>
      </c>
      <c r="O2603" s="15" t="str">
        <v/>
      </c>
      <c r="P2603" s="22">
        <v>0</v>
      </c>
      <c r="Q2603">
        <v>0</v>
      </c>
    </row>
    <row r="2604" spans="1:17">
      <c r="A2604" s="19">
        <v>0</v>
      </c>
      <c r="B2604" s="19">
        <v>0</v>
      </c>
      <c r="C2604" s="19">
        <v>0</v>
      </c>
      <c r="D2604" s="19">
        <v>0</v>
      </c>
      <c r="E2604" s="19">
        <v>0</v>
      </c>
      <c r="F2604" s="19">
        <v>0</v>
      </c>
      <c r="G2604" s="19">
        <v>0</v>
      </c>
      <c r="H2604" s="19">
        <v>0</v>
      </c>
      <c r="I2604" s="15">
        <v>3500</v>
      </c>
      <c r="J2604" s="15">
        <v>0</v>
      </c>
      <c r="K2604" s="15">
        <v>0</v>
      </c>
      <c r="L2604" s="15">
        <v>0</v>
      </c>
      <c r="M2604" s="15">
        <v>0</v>
      </c>
      <c r="N2604" s="15" t="str">
        <v/>
      </c>
      <c r="O2604" s="15" t="str">
        <v/>
      </c>
      <c r="P2604" s="22">
        <v>0</v>
      </c>
      <c r="Q2604">
        <v>0</v>
      </c>
    </row>
    <row r="2605" spans="1:17">
      <c r="A2605" s="19">
        <v>0</v>
      </c>
      <c r="B2605" s="19">
        <v>0</v>
      </c>
      <c r="C2605" s="19">
        <v>0</v>
      </c>
      <c r="D2605" s="19">
        <v>0</v>
      </c>
      <c r="E2605" s="19">
        <v>0</v>
      </c>
      <c r="F2605" s="19">
        <v>0</v>
      </c>
      <c r="G2605" s="19">
        <v>0</v>
      </c>
      <c r="H2605" s="19">
        <v>0</v>
      </c>
      <c r="I2605" s="15">
        <v>3500</v>
      </c>
      <c r="J2605" s="15">
        <v>0</v>
      </c>
      <c r="K2605" s="15">
        <v>0</v>
      </c>
      <c r="L2605" s="15">
        <v>0</v>
      </c>
      <c r="M2605" s="15">
        <v>0</v>
      </c>
      <c r="N2605" s="15" t="str">
        <v/>
      </c>
      <c r="O2605" s="15" t="str">
        <v/>
      </c>
      <c r="P2605" s="22">
        <v>0</v>
      </c>
      <c r="Q2605">
        <v>0</v>
      </c>
    </row>
    <row r="2606" spans="1:17">
      <c r="A2606" s="19">
        <v>0</v>
      </c>
      <c r="B2606" s="19">
        <v>0</v>
      </c>
      <c r="C2606" s="19">
        <v>0</v>
      </c>
      <c r="D2606" s="19">
        <v>0</v>
      </c>
      <c r="E2606" s="19">
        <v>0</v>
      </c>
      <c r="F2606" s="19">
        <v>0</v>
      </c>
      <c r="G2606" s="19">
        <v>0</v>
      </c>
      <c r="H2606" s="19">
        <v>0</v>
      </c>
      <c r="I2606" s="15">
        <v>3500</v>
      </c>
      <c r="J2606" s="15">
        <v>0</v>
      </c>
      <c r="K2606" s="15">
        <v>0</v>
      </c>
      <c r="L2606" s="15">
        <v>0</v>
      </c>
      <c r="M2606" s="15">
        <v>0</v>
      </c>
      <c r="N2606" s="15" t="str">
        <v/>
      </c>
      <c r="O2606" s="15" t="str">
        <v/>
      </c>
      <c r="P2606" s="22">
        <v>0</v>
      </c>
      <c r="Q2606">
        <v>0</v>
      </c>
    </row>
    <row r="2607" spans="1:17">
      <c r="A2607" s="19">
        <v>0</v>
      </c>
      <c r="B2607" s="19">
        <v>0</v>
      </c>
      <c r="C2607" s="19">
        <v>0</v>
      </c>
      <c r="D2607" s="19">
        <v>0</v>
      </c>
      <c r="E2607" s="19">
        <v>0</v>
      </c>
      <c r="F2607" s="19">
        <v>0</v>
      </c>
      <c r="G2607" s="19">
        <v>0</v>
      </c>
      <c r="H2607" s="19">
        <v>0</v>
      </c>
      <c r="I2607" s="15">
        <v>3500</v>
      </c>
      <c r="J2607" s="15">
        <v>0</v>
      </c>
      <c r="K2607" s="15">
        <v>0</v>
      </c>
      <c r="L2607" s="15">
        <v>0</v>
      </c>
      <c r="M2607" s="15">
        <v>0</v>
      </c>
      <c r="N2607" s="15" t="str">
        <v/>
      </c>
      <c r="O2607" s="15" t="str">
        <v/>
      </c>
      <c r="P2607" s="22">
        <v>0</v>
      </c>
      <c r="Q2607">
        <v>0</v>
      </c>
    </row>
    <row r="2608" spans="1:17">
      <c r="A2608" s="19">
        <v>0</v>
      </c>
      <c r="B2608" s="19">
        <v>0</v>
      </c>
      <c r="C2608" s="19">
        <v>0</v>
      </c>
      <c r="D2608" s="19">
        <v>0</v>
      </c>
      <c r="E2608" s="19">
        <v>0</v>
      </c>
      <c r="F2608" s="19">
        <v>0</v>
      </c>
      <c r="G2608" s="19">
        <v>0</v>
      </c>
      <c r="H2608" s="19">
        <v>0</v>
      </c>
      <c r="I2608" s="15">
        <v>3500</v>
      </c>
      <c r="J2608" s="15">
        <v>0</v>
      </c>
      <c r="K2608" s="15">
        <v>0</v>
      </c>
      <c r="L2608" s="15">
        <v>0</v>
      </c>
      <c r="M2608" s="15">
        <v>0</v>
      </c>
      <c r="N2608" s="15" t="str">
        <v/>
      </c>
      <c r="O2608" s="15" t="str">
        <v/>
      </c>
      <c r="P2608" s="22">
        <v>0</v>
      </c>
      <c r="Q2608">
        <v>0</v>
      </c>
    </row>
    <row r="2609" spans="1:17">
      <c r="A2609" s="19">
        <v>0</v>
      </c>
      <c r="B2609" s="19">
        <v>0</v>
      </c>
      <c r="C2609" s="19">
        <v>0</v>
      </c>
      <c r="D2609" s="19">
        <v>0</v>
      </c>
      <c r="E2609" s="19">
        <v>0</v>
      </c>
      <c r="F2609" s="19">
        <v>0</v>
      </c>
      <c r="G2609" s="19">
        <v>0</v>
      </c>
      <c r="H2609" s="19">
        <v>0</v>
      </c>
      <c r="I2609" s="15">
        <v>3500</v>
      </c>
      <c r="J2609" s="15">
        <v>0</v>
      </c>
      <c r="K2609" s="15">
        <v>0</v>
      </c>
      <c r="L2609" s="15">
        <v>0</v>
      </c>
      <c r="M2609" s="15">
        <v>0</v>
      </c>
      <c r="N2609" s="15" t="str">
        <v/>
      </c>
      <c r="O2609" s="15" t="str">
        <v/>
      </c>
      <c r="P2609" s="22">
        <v>0</v>
      </c>
      <c r="Q2609">
        <v>0</v>
      </c>
    </row>
    <row r="2610" spans="1:17">
      <c r="A2610" s="19">
        <v>0</v>
      </c>
      <c r="B2610" s="19">
        <v>0</v>
      </c>
      <c r="C2610" s="19">
        <v>0</v>
      </c>
      <c r="D2610" s="19">
        <v>0</v>
      </c>
      <c r="E2610" s="19">
        <v>0</v>
      </c>
      <c r="F2610" s="19">
        <v>0</v>
      </c>
      <c r="G2610" s="19">
        <v>0</v>
      </c>
      <c r="H2610" s="19">
        <v>0</v>
      </c>
      <c r="I2610" s="15">
        <v>3500</v>
      </c>
      <c r="J2610" s="15">
        <v>0</v>
      </c>
      <c r="K2610" s="15">
        <v>0</v>
      </c>
      <c r="L2610" s="15">
        <v>0</v>
      </c>
      <c r="M2610" s="15">
        <v>0</v>
      </c>
      <c r="N2610" s="15" t="str">
        <v/>
      </c>
      <c r="O2610" s="15" t="str">
        <v/>
      </c>
      <c r="P2610" s="22">
        <v>0</v>
      </c>
      <c r="Q2610">
        <v>0</v>
      </c>
    </row>
    <row r="2611" spans="1:17">
      <c r="A2611" s="19">
        <v>0</v>
      </c>
      <c r="B2611" s="19">
        <v>0</v>
      </c>
      <c r="C2611" s="19">
        <v>0</v>
      </c>
      <c r="D2611" s="19">
        <v>0</v>
      </c>
      <c r="E2611" s="19">
        <v>0</v>
      </c>
      <c r="F2611" s="19">
        <v>0</v>
      </c>
      <c r="G2611" s="19">
        <v>0</v>
      </c>
      <c r="H2611" s="19">
        <v>0</v>
      </c>
      <c r="I2611" s="15">
        <v>3500</v>
      </c>
      <c r="J2611" s="15">
        <v>0</v>
      </c>
      <c r="K2611" s="15">
        <v>0</v>
      </c>
      <c r="L2611" s="15">
        <v>0</v>
      </c>
      <c r="M2611" s="15">
        <v>0</v>
      </c>
      <c r="N2611" s="15" t="str">
        <v/>
      </c>
      <c r="O2611" s="15" t="str">
        <v/>
      </c>
      <c r="P2611" s="22">
        <v>0</v>
      </c>
      <c r="Q2611">
        <v>0</v>
      </c>
    </row>
    <row r="2612" spans="1:17">
      <c r="A2612" s="19">
        <v>0</v>
      </c>
      <c r="B2612" s="19">
        <v>0</v>
      </c>
      <c r="C2612" s="19">
        <v>0</v>
      </c>
      <c r="D2612" s="19">
        <v>0</v>
      </c>
      <c r="E2612" s="19">
        <v>0</v>
      </c>
      <c r="F2612" s="19">
        <v>0</v>
      </c>
      <c r="G2612" s="19">
        <v>0</v>
      </c>
      <c r="H2612" s="19">
        <v>0</v>
      </c>
      <c r="I2612" s="15">
        <v>3500</v>
      </c>
      <c r="J2612" s="15">
        <v>0</v>
      </c>
      <c r="K2612" s="15">
        <v>0</v>
      </c>
      <c r="L2612" s="15">
        <v>0</v>
      </c>
      <c r="M2612" s="15">
        <v>0</v>
      </c>
      <c r="N2612" s="15" t="str">
        <v/>
      </c>
      <c r="O2612" s="15" t="str">
        <v/>
      </c>
      <c r="P2612" s="22">
        <v>0</v>
      </c>
      <c r="Q2612">
        <v>0</v>
      </c>
    </row>
    <row r="2613" spans="1:17">
      <c r="A2613" s="19">
        <v>0</v>
      </c>
      <c r="B2613" s="19">
        <v>0</v>
      </c>
      <c r="C2613" s="19">
        <v>0</v>
      </c>
      <c r="D2613" s="19">
        <v>0</v>
      </c>
      <c r="E2613" s="19">
        <v>0</v>
      </c>
      <c r="F2613" s="19">
        <v>0</v>
      </c>
      <c r="G2613" s="19">
        <v>0</v>
      </c>
      <c r="H2613" s="19">
        <v>0</v>
      </c>
      <c r="I2613" s="15">
        <v>3500</v>
      </c>
      <c r="J2613" s="15">
        <v>0</v>
      </c>
      <c r="K2613" s="15">
        <v>0</v>
      </c>
      <c r="L2613" s="15">
        <v>0</v>
      </c>
      <c r="M2613" s="15">
        <v>0</v>
      </c>
      <c r="N2613" s="15" t="str">
        <v/>
      </c>
      <c r="O2613" s="15" t="str">
        <v/>
      </c>
      <c r="P2613" s="22">
        <v>0</v>
      </c>
      <c r="Q2613">
        <v>0</v>
      </c>
    </row>
    <row r="2614" spans="1:17">
      <c r="A2614" s="19">
        <v>0</v>
      </c>
      <c r="B2614" s="19">
        <v>0</v>
      </c>
      <c r="C2614" s="19">
        <v>0</v>
      </c>
      <c r="D2614" s="19">
        <v>0</v>
      </c>
      <c r="E2614" s="19">
        <v>0</v>
      </c>
      <c r="F2614" s="19">
        <v>0</v>
      </c>
      <c r="G2614" s="19">
        <v>0</v>
      </c>
      <c r="H2614" s="19">
        <v>0</v>
      </c>
      <c r="I2614" s="15">
        <v>3500</v>
      </c>
      <c r="J2614" s="15">
        <v>0</v>
      </c>
      <c r="K2614" s="15">
        <v>0</v>
      </c>
      <c r="L2614" s="15">
        <v>0</v>
      </c>
      <c r="M2614" s="15">
        <v>0</v>
      </c>
      <c r="N2614" s="15" t="str">
        <v/>
      </c>
      <c r="O2614" s="15" t="str">
        <v/>
      </c>
      <c r="P2614" s="22">
        <v>0</v>
      </c>
      <c r="Q2614">
        <v>0</v>
      </c>
    </row>
    <row r="2615" spans="1:17">
      <c r="A2615" s="19">
        <v>0</v>
      </c>
      <c r="B2615" s="19">
        <v>0</v>
      </c>
      <c r="C2615" s="19">
        <v>0</v>
      </c>
      <c r="D2615" s="19">
        <v>0</v>
      </c>
      <c r="E2615" s="19">
        <v>0</v>
      </c>
      <c r="F2615" s="19">
        <v>0</v>
      </c>
      <c r="G2615" s="19">
        <v>0</v>
      </c>
      <c r="H2615" s="19">
        <v>0</v>
      </c>
      <c r="I2615" s="15">
        <v>3500</v>
      </c>
      <c r="J2615" s="15">
        <v>0</v>
      </c>
      <c r="K2615" s="15">
        <v>0</v>
      </c>
      <c r="L2615" s="15">
        <v>0</v>
      </c>
      <c r="M2615" s="15">
        <v>0</v>
      </c>
      <c r="N2615" s="15" t="str">
        <v/>
      </c>
      <c r="O2615" s="15" t="str">
        <v/>
      </c>
      <c r="P2615" s="22">
        <v>0</v>
      </c>
      <c r="Q2615">
        <v>0</v>
      </c>
    </row>
    <row r="2616" spans="1:17">
      <c r="A2616" s="19">
        <v>0</v>
      </c>
      <c r="B2616" s="19">
        <v>0</v>
      </c>
      <c r="C2616" s="19">
        <v>0</v>
      </c>
      <c r="D2616" s="19">
        <v>0</v>
      </c>
      <c r="E2616" s="19">
        <v>0</v>
      </c>
      <c r="F2616" s="19">
        <v>0</v>
      </c>
      <c r="G2616" s="19">
        <v>0</v>
      </c>
      <c r="H2616" s="19">
        <v>0</v>
      </c>
      <c r="I2616" s="15">
        <v>3500</v>
      </c>
      <c r="J2616" s="15">
        <v>0</v>
      </c>
      <c r="K2616" s="15">
        <v>0</v>
      </c>
      <c r="L2616" s="15">
        <v>0</v>
      </c>
      <c r="M2616" s="15">
        <v>0</v>
      </c>
      <c r="N2616" s="15" t="str">
        <v/>
      </c>
      <c r="O2616" s="15" t="str">
        <v/>
      </c>
      <c r="P2616" s="22">
        <v>0</v>
      </c>
      <c r="Q2616">
        <v>0</v>
      </c>
    </row>
    <row r="2617" spans="1:17">
      <c r="A2617" s="19">
        <v>0</v>
      </c>
      <c r="B2617" s="19">
        <v>0</v>
      </c>
      <c r="C2617" s="19">
        <v>0</v>
      </c>
      <c r="D2617" s="19">
        <v>0</v>
      </c>
      <c r="E2617" s="19">
        <v>0</v>
      </c>
      <c r="F2617" s="19">
        <v>0</v>
      </c>
      <c r="G2617" s="19">
        <v>0</v>
      </c>
      <c r="H2617" s="19">
        <v>0</v>
      </c>
      <c r="I2617" s="15">
        <v>3500</v>
      </c>
      <c r="J2617" s="15">
        <v>0</v>
      </c>
      <c r="K2617" s="15">
        <v>0</v>
      </c>
      <c r="L2617" s="15">
        <v>0</v>
      </c>
      <c r="M2617" s="15">
        <v>0</v>
      </c>
      <c r="N2617" s="15" t="str">
        <v/>
      </c>
      <c r="O2617" s="15" t="str">
        <v/>
      </c>
      <c r="P2617" s="22">
        <v>0</v>
      </c>
      <c r="Q2617">
        <v>0</v>
      </c>
    </row>
    <row r="2618" spans="1:17">
      <c r="A2618" s="19">
        <v>0</v>
      </c>
      <c r="B2618" s="19">
        <v>0</v>
      </c>
      <c r="C2618" s="19">
        <v>0</v>
      </c>
      <c r="D2618" s="19">
        <v>0</v>
      </c>
      <c r="E2618" s="19">
        <v>0</v>
      </c>
      <c r="F2618" s="19">
        <v>0</v>
      </c>
      <c r="G2618" s="19">
        <v>0</v>
      </c>
      <c r="H2618" s="19">
        <v>0</v>
      </c>
      <c r="I2618" s="15">
        <v>3500</v>
      </c>
      <c r="J2618" s="15">
        <v>0</v>
      </c>
      <c r="K2618" s="15">
        <v>0</v>
      </c>
      <c r="L2618" s="15">
        <v>0</v>
      </c>
      <c r="M2618" s="15">
        <v>0</v>
      </c>
      <c r="N2618" s="15" t="str">
        <v/>
      </c>
      <c r="O2618" s="15" t="str">
        <v/>
      </c>
      <c r="P2618" s="22">
        <v>0</v>
      </c>
      <c r="Q2618">
        <v>0</v>
      </c>
    </row>
    <row r="2619" spans="1:17">
      <c r="A2619" s="19">
        <v>0</v>
      </c>
      <c r="B2619" s="19">
        <v>0</v>
      </c>
      <c r="C2619" s="19">
        <v>0</v>
      </c>
      <c r="D2619" s="19">
        <v>0</v>
      </c>
      <c r="E2619" s="19">
        <v>0</v>
      </c>
      <c r="F2619" s="19">
        <v>0</v>
      </c>
      <c r="G2619" s="19">
        <v>0</v>
      </c>
      <c r="H2619" s="19">
        <v>0</v>
      </c>
      <c r="I2619" s="15">
        <v>3500</v>
      </c>
      <c r="J2619" s="15">
        <v>0</v>
      </c>
      <c r="K2619" s="15">
        <v>0</v>
      </c>
      <c r="L2619" s="15">
        <v>0</v>
      </c>
      <c r="M2619" s="15">
        <v>0</v>
      </c>
      <c r="N2619" s="15" t="str">
        <v/>
      </c>
      <c r="O2619" s="15" t="str">
        <v/>
      </c>
      <c r="P2619" s="22">
        <v>0</v>
      </c>
      <c r="Q2619">
        <v>0</v>
      </c>
    </row>
    <row r="2620" spans="1:17">
      <c r="A2620" s="19">
        <v>0</v>
      </c>
      <c r="B2620" s="19">
        <v>0</v>
      </c>
      <c r="C2620" s="19">
        <v>0</v>
      </c>
      <c r="D2620" s="19">
        <v>0</v>
      </c>
      <c r="E2620" s="19">
        <v>0</v>
      </c>
      <c r="F2620" s="19">
        <v>0</v>
      </c>
      <c r="G2620" s="19">
        <v>0</v>
      </c>
      <c r="H2620" s="19">
        <v>0</v>
      </c>
      <c r="I2620" s="15">
        <v>3500</v>
      </c>
      <c r="J2620" s="15">
        <v>0</v>
      </c>
      <c r="K2620" s="15">
        <v>0</v>
      </c>
      <c r="L2620" s="15">
        <v>0</v>
      </c>
      <c r="M2620" s="15">
        <v>0</v>
      </c>
      <c r="N2620" s="15" t="str">
        <v/>
      </c>
      <c r="O2620" s="15" t="str">
        <v/>
      </c>
      <c r="P2620" s="22">
        <v>0</v>
      </c>
      <c r="Q2620">
        <v>0</v>
      </c>
    </row>
    <row r="2621" spans="1:17">
      <c r="A2621" s="19">
        <v>0</v>
      </c>
      <c r="B2621" s="19">
        <v>0</v>
      </c>
      <c r="C2621" s="19">
        <v>0</v>
      </c>
      <c r="D2621" s="19">
        <v>0</v>
      </c>
      <c r="E2621" s="19">
        <v>0</v>
      </c>
      <c r="F2621" s="19">
        <v>0</v>
      </c>
      <c r="G2621" s="19">
        <v>0</v>
      </c>
      <c r="H2621" s="19">
        <v>0</v>
      </c>
      <c r="I2621" s="15">
        <v>3500</v>
      </c>
      <c r="J2621" s="15">
        <v>0</v>
      </c>
      <c r="K2621" s="15">
        <v>0</v>
      </c>
      <c r="L2621" s="15">
        <v>0</v>
      </c>
      <c r="M2621" s="15">
        <v>0</v>
      </c>
      <c r="N2621" s="15" t="str">
        <v/>
      </c>
      <c r="O2621" s="15" t="str">
        <v/>
      </c>
      <c r="P2621" s="22">
        <v>0</v>
      </c>
      <c r="Q2621">
        <v>0</v>
      </c>
    </row>
    <row r="2622" spans="1:17">
      <c r="A2622" s="19">
        <v>0</v>
      </c>
      <c r="B2622" s="19">
        <v>0</v>
      </c>
      <c r="C2622" s="19">
        <v>0</v>
      </c>
      <c r="D2622" s="19">
        <v>0</v>
      </c>
      <c r="E2622" s="19">
        <v>0</v>
      </c>
      <c r="F2622" s="19">
        <v>0</v>
      </c>
      <c r="G2622" s="19">
        <v>0</v>
      </c>
      <c r="H2622" s="19">
        <v>0</v>
      </c>
      <c r="I2622" s="15">
        <v>3500</v>
      </c>
      <c r="J2622" s="15">
        <v>0</v>
      </c>
      <c r="K2622" s="15">
        <v>0</v>
      </c>
      <c r="L2622" s="15">
        <v>0</v>
      </c>
      <c r="M2622" s="15">
        <v>0</v>
      </c>
      <c r="N2622" s="15" t="str">
        <v/>
      </c>
      <c r="O2622" s="15" t="str">
        <v/>
      </c>
      <c r="P2622" s="22">
        <v>0</v>
      </c>
      <c r="Q2622">
        <v>0</v>
      </c>
    </row>
    <row r="2623" spans="1:17">
      <c r="A2623" s="19">
        <v>0</v>
      </c>
      <c r="B2623" s="19">
        <v>0</v>
      </c>
      <c r="C2623" s="19">
        <v>0</v>
      </c>
      <c r="D2623" s="19">
        <v>0</v>
      </c>
      <c r="E2623" s="19">
        <v>0</v>
      </c>
      <c r="F2623" s="19">
        <v>0</v>
      </c>
      <c r="G2623" s="19">
        <v>0</v>
      </c>
      <c r="H2623" s="19">
        <v>0</v>
      </c>
      <c r="I2623" s="15">
        <v>3500</v>
      </c>
      <c r="J2623" s="15">
        <v>0</v>
      </c>
      <c r="K2623" s="15">
        <v>0</v>
      </c>
      <c r="L2623" s="15">
        <v>0</v>
      </c>
      <c r="M2623" s="15">
        <v>0</v>
      </c>
      <c r="N2623" s="15" t="str">
        <v/>
      </c>
      <c r="O2623" s="15" t="str">
        <v/>
      </c>
      <c r="P2623" s="22">
        <v>0</v>
      </c>
      <c r="Q2623">
        <v>0</v>
      </c>
    </row>
    <row r="2624" spans="1:17">
      <c r="A2624" s="19">
        <v>0</v>
      </c>
      <c r="B2624" s="19">
        <v>0</v>
      </c>
      <c r="C2624" s="19">
        <v>0</v>
      </c>
      <c r="D2624" s="19">
        <v>0</v>
      </c>
      <c r="E2624" s="19">
        <v>0</v>
      </c>
      <c r="F2624" s="19">
        <v>0</v>
      </c>
      <c r="G2624" s="19">
        <v>0</v>
      </c>
      <c r="H2624" s="19">
        <v>0</v>
      </c>
      <c r="I2624" s="15">
        <v>3500</v>
      </c>
      <c r="J2624" s="15">
        <v>0</v>
      </c>
      <c r="K2624" s="15">
        <v>0</v>
      </c>
      <c r="L2624" s="15">
        <v>0</v>
      </c>
      <c r="M2624" s="15">
        <v>0</v>
      </c>
      <c r="N2624" s="15" t="str">
        <v/>
      </c>
      <c r="O2624" s="15" t="str">
        <v/>
      </c>
      <c r="P2624" s="22">
        <v>0</v>
      </c>
      <c r="Q2624">
        <v>0</v>
      </c>
    </row>
    <row r="2625" spans="1:17">
      <c r="A2625" s="19">
        <v>0</v>
      </c>
      <c r="B2625" s="19">
        <v>0</v>
      </c>
      <c r="C2625" s="19">
        <v>0</v>
      </c>
      <c r="D2625" s="19">
        <v>0</v>
      </c>
      <c r="E2625" s="19">
        <v>0</v>
      </c>
      <c r="F2625" s="19">
        <v>0</v>
      </c>
      <c r="G2625" s="19">
        <v>0</v>
      </c>
      <c r="H2625" s="19">
        <v>0</v>
      </c>
      <c r="I2625" s="15">
        <v>3500</v>
      </c>
      <c r="J2625" s="15">
        <v>0</v>
      </c>
      <c r="K2625" s="15">
        <v>0</v>
      </c>
      <c r="L2625" s="15">
        <v>0</v>
      </c>
      <c r="M2625" s="15">
        <v>0</v>
      </c>
      <c r="N2625" s="15" t="str">
        <v/>
      </c>
      <c r="O2625" s="15" t="str">
        <v/>
      </c>
      <c r="P2625" s="22">
        <v>0</v>
      </c>
      <c r="Q2625">
        <v>0</v>
      </c>
    </row>
    <row r="2626" spans="1:17">
      <c r="A2626" s="19">
        <v>0</v>
      </c>
      <c r="B2626" s="19">
        <v>0</v>
      </c>
      <c r="C2626" s="19">
        <v>0</v>
      </c>
      <c r="D2626" s="19">
        <v>0</v>
      </c>
      <c r="E2626" s="19">
        <v>0</v>
      </c>
      <c r="F2626" s="19">
        <v>0</v>
      </c>
      <c r="G2626" s="19">
        <v>0</v>
      </c>
      <c r="H2626" s="19">
        <v>0</v>
      </c>
      <c r="I2626" s="15">
        <v>3500</v>
      </c>
      <c r="J2626" s="15">
        <v>0</v>
      </c>
      <c r="K2626" s="15">
        <v>0</v>
      </c>
      <c r="L2626" s="15">
        <v>0</v>
      </c>
      <c r="M2626" s="15">
        <v>0</v>
      </c>
      <c r="N2626" s="15" t="str">
        <v/>
      </c>
      <c r="O2626" s="15" t="str">
        <v/>
      </c>
      <c r="P2626" s="22">
        <v>0</v>
      </c>
      <c r="Q2626">
        <v>0</v>
      </c>
    </row>
    <row r="2627" spans="1:17">
      <c r="A2627" s="19">
        <v>0</v>
      </c>
      <c r="B2627" s="19">
        <v>0</v>
      </c>
      <c r="C2627" s="19">
        <v>0</v>
      </c>
      <c r="D2627" s="19">
        <v>0</v>
      </c>
      <c r="E2627" s="19">
        <v>0</v>
      </c>
      <c r="F2627" s="19">
        <v>0</v>
      </c>
      <c r="G2627" s="19">
        <v>0</v>
      </c>
      <c r="H2627" s="19">
        <v>0</v>
      </c>
      <c r="I2627" s="15">
        <v>3500</v>
      </c>
      <c r="J2627" s="15">
        <v>0</v>
      </c>
      <c r="K2627" s="15">
        <v>0</v>
      </c>
      <c r="L2627" s="15">
        <v>0</v>
      </c>
      <c r="M2627" s="15">
        <v>0</v>
      </c>
      <c r="N2627" s="15" t="str">
        <v/>
      </c>
      <c r="O2627" s="15" t="str">
        <v/>
      </c>
      <c r="P2627" s="22">
        <v>0</v>
      </c>
      <c r="Q2627">
        <v>0</v>
      </c>
    </row>
    <row r="2628" spans="1:17">
      <c r="A2628" s="19">
        <v>0</v>
      </c>
      <c r="B2628" s="19">
        <v>0</v>
      </c>
      <c r="C2628" s="19">
        <v>0</v>
      </c>
      <c r="D2628" s="19">
        <v>0</v>
      </c>
      <c r="E2628" s="19">
        <v>0</v>
      </c>
      <c r="F2628" s="19">
        <v>0</v>
      </c>
      <c r="G2628" s="19">
        <v>0</v>
      </c>
      <c r="H2628" s="19">
        <v>0</v>
      </c>
      <c r="I2628" s="15">
        <v>3500</v>
      </c>
      <c r="J2628" s="15">
        <v>0</v>
      </c>
      <c r="K2628" s="15">
        <v>0</v>
      </c>
      <c r="L2628" s="15">
        <v>0</v>
      </c>
      <c r="M2628" s="15">
        <v>0</v>
      </c>
      <c r="N2628" s="15" t="str">
        <v/>
      </c>
      <c r="O2628" s="15" t="str">
        <v/>
      </c>
      <c r="P2628" s="22">
        <v>0</v>
      </c>
      <c r="Q2628">
        <v>0</v>
      </c>
    </row>
    <row r="2629" spans="1:17">
      <c r="A2629" s="19">
        <v>0</v>
      </c>
      <c r="B2629" s="19">
        <v>0</v>
      </c>
      <c r="C2629" s="19">
        <v>0</v>
      </c>
      <c r="D2629" s="19">
        <v>0</v>
      </c>
      <c r="E2629" s="19">
        <v>0</v>
      </c>
      <c r="F2629" s="19">
        <v>0</v>
      </c>
      <c r="G2629" s="19">
        <v>0</v>
      </c>
      <c r="H2629" s="19">
        <v>0</v>
      </c>
      <c r="I2629" s="15">
        <v>3500</v>
      </c>
      <c r="J2629" s="15">
        <v>0</v>
      </c>
      <c r="K2629" s="15">
        <v>0</v>
      </c>
      <c r="L2629" s="15">
        <v>0</v>
      </c>
      <c r="M2629" s="15">
        <v>0</v>
      </c>
      <c r="N2629" s="15" t="str">
        <v/>
      </c>
      <c r="O2629" s="15" t="str">
        <v/>
      </c>
      <c r="P2629" s="22">
        <v>0</v>
      </c>
      <c r="Q2629">
        <v>0</v>
      </c>
    </row>
    <row r="2630" spans="1:17">
      <c r="A2630" s="19">
        <v>0</v>
      </c>
      <c r="B2630" s="19">
        <v>0</v>
      </c>
      <c r="C2630" s="19">
        <v>0</v>
      </c>
      <c r="D2630" s="19">
        <v>0</v>
      </c>
      <c r="E2630" s="19">
        <v>0</v>
      </c>
      <c r="F2630" s="19">
        <v>0</v>
      </c>
      <c r="G2630" s="19">
        <v>0</v>
      </c>
      <c r="H2630" s="19">
        <v>0</v>
      </c>
      <c r="I2630" s="15">
        <v>3500</v>
      </c>
      <c r="J2630" s="15">
        <v>0</v>
      </c>
      <c r="K2630" s="15">
        <v>0</v>
      </c>
      <c r="L2630" s="15">
        <v>0</v>
      </c>
      <c r="M2630" s="15">
        <v>0</v>
      </c>
      <c r="N2630" s="15" t="str">
        <v/>
      </c>
      <c r="O2630" s="15" t="str">
        <v/>
      </c>
      <c r="P2630" s="22">
        <v>0</v>
      </c>
      <c r="Q2630">
        <v>0</v>
      </c>
    </row>
    <row r="2631" spans="1:17">
      <c r="A2631" s="19">
        <v>0</v>
      </c>
      <c r="B2631" s="19">
        <v>0</v>
      </c>
      <c r="C2631" s="19">
        <v>0</v>
      </c>
      <c r="D2631" s="19">
        <v>0</v>
      </c>
      <c r="E2631" s="19">
        <v>0</v>
      </c>
      <c r="F2631" s="19">
        <v>0</v>
      </c>
      <c r="G2631" s="19">
        <v>0</v>
      </c>
      <c r="H2631" s="19">
        <v>0</v>
      </c>
      <c r="I2631" s="15">
        <v>3500</v>
      </c>
      <c r="J2631" s="15">
        <v>0</v>
      </c>
      <c r="K2631" s="15">
        <v>0</v>
      </c>
      <c r="L2631" s="15">
        <v>0</v>
      </c>
      <c r="M2631" s="15">
        <v>0</v>
      </c>
      <c r="N2631" s="15" t="str">
        <v/>
      </c>
      <c r="O2631" s="15" t="str">
        <v/>
      </c>
      <c r="P2631" s="22">
        <v>0</v>
      </c>
      <c r="Q2631">
        <v>0</v>
      </c>
    </row>
    <row r="2632" spans="1:17">
      <c r="A2632" s="19">
        <v>0</v>
      </c>
      <c r="B2632" s="19">
        <v>0</v>
      </c>
      <c r="C2632" s="19">
        <v>0</v>
      </c>
      <c r="D2632" s="19">
        <v>0</v>
      </c>
      <c r="E2632" s="19">
        <v>0</v>
      </c>
      <c r="F2632" s="19">
        <v>0</v>
      </c>
      <c r="G2632" s="19">
        <v>0</v>
      </c>
      <c r="H2632" s="19">
        <v>0</v>
      </c>
      <c r="I2632" s="15">
        <v>3500</v>
      </c>
      <c r="J2632" s="15">
        <v>0</v>
      </c>
      <c r="K2632" s="15">
        <v>0</v>
      </c>
      <c r="L2632" s="15">
        <v>0</v>
      </c>
      <c r="M2632" s="15">
        <v>0</v>
      </c>
      <c r="N2632" s="15" t="str">
        <v/>
      </c>
      <c r="O2632" s="15" t="str">
        <v/>
      </c>
      <c r="P2632" s="22">
        <v>0</v>
      </c>
      <c r="Q2632">
        <v>0</v>
      </c>
    </row>
    <row r="2633" spans="1:17">
      <c r="A2633" s="19">
        <v>0</v>
      </c>
      <c r="B2633" s="19">
        <v>0</v>
      </c>
      <c r="C2633" s="19">
        <v>0</v>
      </c>
      <c r="D2633" s="19">
        <v>0</v>
      </c>
      <c r="E2633" s="19">
        <v>0</v>
      </c>
      <c r="F2633" s="19">
        <v>0</v>
      </c>
      <c r="G2633" s="19">
        <v>0</v>
      </c>
      <c r="H2633" s="19">
        <v>0</v>
      </c>
      <c r="I2633" s="15">
        <v>3500</v>
      </c>
      <c r="J2633" s="15">
        <v>0</v>
      </c>
      <c r="K2633" s="15">
        <v>0</v>
      </c>
      <c r="L2633" s="15">
        <v>0</v>
      </c>
      <c r="M2633" s="15">
        <v>0</v>
      </c>
      <c r="N2633" s="15" t="str">
        <v/>
      </c>
      <c r="O2633" s="15" t="str">
        <v/>
      </c>
      <c r="P2633" s="22">
        <v>0</v>
      </c>
      <c r="Q2633">
        <v>0</v>
      </c>
    </row>
    <row r="2634" spans="1:17">
      <c r="A2634" s="19">
        <v>0</v>
      </c>
      <c r="B2634" s="19">
        <v>0</v>
      </c>
      <c r="C2634" s="19">
        <v>0</v>
      </c>
      <c r="D2634" s="19">
        <v>0</v>
      </c>
      <c r="E2634" s="19">
        <v>0</v>
      </c>
      <c r="F2634" s="19">
        <v>0</v>
      </c>
      <c r="G2634" s="19">
        <v>0</v>
      </c>
      <c r="H2634" s="19">
        <v>0</v>
      </c>
      <c r="I2634" s="15">
        <v>3500</v>
      </c>
      <c r="J2634" s="15">
        <v>0</v>
      </c>
      <c r="K2634" s="15">
        <v>0</v>
      </c>
      <c r="L2634" s="15">
        <v>0</v>
      </c>
      <c r="M2634" s="15">
        <v>0</v>
      </c>
      <c r="N2634" s="15" t="str">
        <v/>
      </c>
      <c r="O2634" s="15" t="str">
        <v/>
      </c>
      <c r="P2634" s="22">
        <v>0</v>
      </c>
      <c r="Q2634">
        <v>0</v>
      </c>
    </row>
    <row r="2635" spans="1:17">
      <c r="A2635" s="19">
        <v>0</v>
      </c>
      <c r="B2635" s="19">
        <v>0</v>
      </c>
      <c r="C2635" s="19">
        <v>0</v>
      </c>
      <c r="D2635" s="19">
        <v>0</v>
      </c>
      <c r="E2635" s="19">
        <v>0</v>
      </c>
      <c r="F2635" s="19">
        <v>0</v>
      </c>
      <c r="G2635" s="19">
        <v>0</v>
      </c>
      <c r="H2635" s="19">
        <v>0</v>
      </c>
      <c r="I2635" s="15">
        <v>3500</v>
      </c>
      <c r="J2635" s="15">
        <v>0</v>
      </c>
      <c r="K2635" s="15">
        <v>0</v>
      </c>
      <c r="L2635" s="15">
        <v>0</v>
      </c>
      <c r="M2635" s="15">
        <v>0</v>
      </c>
      <c r="N2635" s="15" t="str">
        <v/>
      </c>
      <c r="O2635" s="15" t="str">
        <v/>
      </c>
      <c r="P2635" s="22">
        <v>0</v>
      </c>
      <c r="Q2635">
        <v>0</v>
      </c>
    </row>
    <row r="2636" spans="1:17">
      <c r="A2636" s="19">
        <v>0</v>
      </c>
      <c r="B2636" s="19">
        <v>0</v>
      </c>
      <c r="C2636" s="19">
        <v>0</v>
      </c>
      <c r="D2636" s="19">
        <v>0</v>
      </c>
      <c r="E2636" s="19">
        <v>0</v>
      </c>
      <c r="F2636" s="19">
        <v>0</v>
      </c>
      <c r="G2636" s="19">
        <v>0</v>
      </c>
      <c r="H2636" s="19">
        <v>0</v>
      </c>
      <c r="I2636" s="15">
        <v>3500</v>
      </c>
      <c r="J2636" s="15">
        <v>0</v>
      </c>
      <c r="K2636" s="15">
        <v>0</v>
      </c>
      <c r="L2636" s="15">
        <v>0</v>
      </c>
      <c r="M2636" s="15">
        <v>0</v>
      </c>
      <c r="N2636" s="15" t="str">
        <v/>
      </c>
      <c r="O2636" s="15" t="str">
        <v/>
      </c>
      <c r="P2636" s="22">
        <v>0</v>
      </c>
      <c r="Q2636">
        <v>0</v>
      </c>
    </row>
    <row r="2637" spans="1:17">
      <c r="A2637" s="19">
        <v>0</v>
      </c>
      <c r="B2637" s="19">
        <v>0</v>
      </c>
      <c r="C2637" s="19">
        <v>0</v>
      </c>
      <c r="D2637" s="19">
        <v>0</v>
      </c>
      <c r="E2637" s="19">
        <v>0</v>
      </c>
      <c r="F2637" s="19">
        <v>0</v>
      </c>
      <c r="G2637" s="19">
        <v>0</v>
      </c>
      <c r="H2637" s="19">
        <v>0</v>
      </c>
      <c r="I2637" s="15">
        <v>3500</v>
      </c>
      <c r="J2637" s="15">
        <v>0</v>
      </c>
      <c r="K2637" s="15">
        <v>0</v>
      </c>
      <c r="L2637" s="15">
        <v>0</v>
      </c>
      <c r="M2637" s="15">
        <v>0</v>
      </c>
      <c r="N2637" s="15" t="str">
        <v/>
      </c>
      <c r="O2637" s="15" t="str">
        <v/>
      </c>
      <c r="P2637" s="22">
        <v>0</v>
      </c>
      <c r="Q2637">
        <v>0</v>
      </c>
    </row>
    <row r="2638" spans="1:17">
      <c r="A2638" s="19">
        <v>0</v>
      </c>
      <c r="B2638" s="19">
        <v>0</v>
      </c>
      <c r="C2638" s="19">
        <v>0</v>
      </c>
      <c r="D2638" s="19">
        <v>0</v>
      </c>
      <c r="E2638" s="19">
        <v>0</v>
      </c>
      <c r="F2638" s="19">
        <v>0</v>
      </c>
      <c r="G2638" s="19">
        <v>0</v>
      </c>
      <c r="H2638" s="19">
        <v>0</v>
      </c>
      <c r="I2638" s="15">
        <v>3500</v>
      </c>
      <c r="J2638" s="15">
        <v>0</v>
      </c>
      <c r="K2638" s="15">
        <v>0</v>
      </c>
      <c r="L2638" s="15">
        <v>0</v>
      </c>
      <c r="M2638" s="15">
        <v>0</v>
      </c>
      <c r="N2638" s="15" t="str">
        <v/>
      </c>
      <c r="O2638" s="15" t="str">
        <v/>
      </c>
      <c r="P2638" s="22">
        <v>0</v>
      </c>
      <c r="Q2638">
        <v>0</v>
      </c>
    </row>
    <row r="2639" spans="1:17">
      <c r="A2639" s="19">
        <v>0</v>
      </c>
      <c r="B2639" s="19">
        <v>0</v>
      </c>
      <c r="C2639" s="19">
        <v>0</v>
      </c>
      <c r="D2639" s="19">
        <v>0</v>
      </c>
      <c r="E2639" s="19">
        <v>0</v>
      </c>
      <c r="F2639" s="19">
        <v>0</v>
      </c>
      <c r="G2639" s="19">
        <v>0</v>
      </c>
      <c r="H2639" s="19">
        <v>0</v>
      </c>
      <c r="I2639" s="15">
        <v>3500</v>
      </c>
      <c r="J2639" s="15">
        <v>0</v>
      </c>
      <c r="K2639" s="15">
        <v>0</v>
      </c>
      <c r="L2639" s="15">
        <v>0</v>
      </c>
      <c r="M2639" s="15">
        <v>0</v>
      </c>
      <c r="N2639" s="15" t="str">
        <v/>
      </c>
      <c r="O2639" s="15" t="str">
        <v/>
      </c>
      <c r="P2639" s="22">
        <v>0</v>
      </c>
      <c r="Q2639">
        <v>0</v>
      </c>
    </row>
    <row r="2640" spans="1:17">
      <c r="A2640" s="19">
        <v>0</v>
      </c>
      <c r="B2640" s="19">
        <v>0</v>
      </c>
      <c r="C2640" s="19">
        <v>0</v>
      </c>
      <c r="D2640" s="19">
        <v>0</v>
      </c>
      <c r="E2640" s="19">
        <v>0</v>
      </c>
      <c r="F2640" s="19">
        <v>0</v>
      </c>
      <c r="G2640" s="19">
        <v>0</v>
      </c>
      <c r="H2640" s="19">
        <v>0</v>
      </c>
      <c r="I2640" s="15">
        <v>3500</v>
      </c>
      <c r="J2640" s="15">
        <v>0</v>
      </c>
      <c r="K2640" s="15">
        <v>0</v>
      </c>
      <c r="L2640" s="15">
        <v>0</v>
      </c>
      <c r="M2640" s="15">
        <v>0</v>
      </c>
      <c r="N2640" s="15" t="str">
        <v/>
      </c>
      <c r="O2640" s="15" t="str">
        <v/>
      </c>
      <c r="P2640" s="22">
        <v>0</v>
      </c>
      <c r="Q2640">
        <v>0</v>
      </c>
    </row>
    <row r="2641" spans="1:17">
      <c r="A2641" s="19">
        <v>0</v>
      </c>
      <c r="B2641" s="19">
        <v>0</v>
      </c>
      <c r="C2641" s="19">
        <v>0</v>
      </c>
      <c r="D2641" s="19">
        <v>0</v>
      </c>
      <c r="E2641" s="19">
        <v>0</v>
      </c>
      <c r="F2641" s="19">
        <v>0</v>
      </c>
      <c r="G2641" s="19">
        <v>0</v>
      </c>
      <c r="H2641" s="19">
        <v>0</v>
      </c>
      <c r="I2641" s="15">
        <v>3500</v>
      </c>
      <c r="J2641" s="15">
        <v>0</v>
      </c>
      <c r="K2641" s="15">
        <v>0</v>
      </c>
      <c r="L2641" s="15">
        <v>0</v>
      </c>
      <c r="M2641" s="15">
        <v>0</v>
      </c>
      <c r="N2641" s="15" t="str">
        <v/>
      </c>
      <c r="O2641" s="15" t="str">
        <v/>
      </c>
      <c r="P2641" s="22">
        <v>0</v>
      </c>
      <c r="Q2641">
        <v>0</v>
      </c>
    </row>
    <row r="2642" spans="1:17">
      <c r="A2642" s="19">
        <v>0</v>
      </c>
      <c r="B2642" s="19">
        <v>0</v>
      </c>
      <c r="C2642" s="19">
        <v>0</v>
      </c>
      <c r="D2642" s="19">
        <v>0</v>
      </c>
      <c r="E2642" s="19">
        <v>0</v>
      </c>
      <c r="F2642" s="19">
        <v>0</v>
      </c>
      <c r="G2642" s="19">
        <v>0</v>
      </c>
      <c r="H2642" s="19">
        <v>0</v>
      </c>
      <c r="I2642" s="15">
        <v>3500</v>
      </c>
      <c r="J2642" s="15">
        <v>0</v>
      </c>
      <c r="K2642" s="15">
        <v>0</v>
      </c>
      <c r="L2642" s="15">
        <v>0</v>
      </c>
      <c r="M2642" s="15">
        <v>0</v>
      </c>
      <c r="N2642" s="15" t="str">
        <v/>
      </c>
      <c r="O2642" s="15" t="str">
        <v/>
      </c>
      <c r="P2642" s="22">
        <v>0</v>
      </c>
      <c r="Q2642">
        <v>0</v>
      </c>
    </row>
    <row r="2643" spans="1:17">
      <c r="A2643" s="19">
        <v>0</v>
      </c>
      <c r="B2643" s="19">
        <v>0</v>
      </c>
      <c r="C2643" s="19">
        <v>0</v>
      </c>
      <c r="D2643" s="19">
        <v>0</v>
      </c>
      <c r="E2643" s="19">
        <v>0</v>
      </c>
      <c r="F2643" s="19">
        <v>0</v>
      </c>
      <c r="G2643" s="19">
        <v>0</v>
      </c>
      <c r="H2643" s="19">
        <v>0</v>
      </c>
      <c r="I2643" s="15">
        <v>3500</v>
      </c>
      <c r="J2643" s="15">
        <v>0</v>
      </c>
      <c r="K2643" s="15">
        <v>0</v>
      </c>
      <c r="L2643" s="15">
        <v>0</v>
      </c>
      <c r="M2643" s="15">
        <v>0</v>
      </c>
      <c r="N2643" s="15" t="str">
        <v/>
      </c>
      <c r="O2643" s="15" t="str">
        <v/>
      </c>
      <c r="P2643" s="22">
        <v>0</v>
      </c>
      <c r="Q2643">
        <v>0</v>
      </c>
    </row>
    <row r="2644" spans="1:17">
      <c r="A2644" s="19">
        <v>0</v>
      </c>
      <c r="B2644" s="19">
        <v>0</v>
      </c>
      <c r="C2644" s="19">
        <v>0</v>
      </c>
      <c r="D2644" s="19">
        <v>0</v>
      </c>
      <c r="E2644" s="19">
        <v>0</v>
      </c>
      <c r="F2644" s="19">
        <v>0</v>
      </c>
      <c r="G2644" s="19">
        <v>0</v>
      </c>
      <c r="H2644" s="19">
        <v>0</v>
      </c>
      <c r="I2644" s="15">
        <v>3500</v>
      </c>
      <c r="J2644" s="15">
        <v>0</v>
      </c>
      <c r="K2644" s="15">
        <v>0</v>
      </c>
      <c r="L2644" s="15">
        <v>0</v>
      </c>
      <c r="M2644" s="15">
        <v>0</v>
      </c>
      <c r="N2644" s="15" t="str">
        <v/>
      </c>
      <c r="O2644" s="15" t="str">
        <v/>
      </c>
      <c r="P2644" s="22">
        <v>0</v>
      </c>
      <c r="Q2644">
        <v>0</v>
      </c>
    </row>
    <row r="2645" spans="1:17">
      <c r="A2645" s="19">
        <v>0</v>
      </c>
      <c r="B2645" s="19">
        <v>0</v>
      </c>
      <c r="C2645" s="19">
        <v>0</v>
      </c>
      <c r="D2645" s="19">
        <v>0</v>
      </c>
      <c r="E2645" s="19">
        <v>0</v>
      </c>
      <c r="F2645" s="19">
        <v>0</v>
      </c>
      <c r="G2645" s="19">
        <v>0</v>
      </c>
      <c r="H2645" s="19">
        <v>0</v>
      </c>
      <c r="I2645" s="15">
        <v>3500</v>
      </c>
      <c r="J2645" s="15">
        <v>0</v>
      </c>
      <c r="K2645" s="15">
        <v>0</v>
      </c>
      <c r="L2645" s="15">
        <v>0</v>
      </c>
      <c r="M2645" s="15">
        <v>0</v>
      </c>
      <c r="N2645" s="15" t="str">
        <v/>
      </c>
      <c r="O2645" s="15" t="str">
        <v/>
      </c>
      <c r="P2645" s="22">
        <v>0</v>
      </c>
      <c r="Q2645">
        <v>0</v>
      </c>
    </row>
    <row r="2646" spans="1:17">
      <c r="A2646" s="19">
        <v>0</v>
      </c>
      <c r="B2646" s="19">
        <v>0</v>
      </c>
      <c r="C2646" s="19">
        <v>0</v>
      </c>
      <c r="D2646" s="19">
        <v>0</v>
      </c>
      <c r="E2646" s="19">
        <v>0</v>
      </c>
      <c r="F2646" s="19">
        <v>0</v>
      </c>
      <c r="G2646" s="19">
        <v>0</v>
      </c>
      <c r="H2646" s="19">
        <v>0</v>
      </c>
      <c r="I2646" s="15">
        <v>3500</v>
      </c>
      <c r="J2646" s="15">
        <v>0</v>
      </c>
      <c r="K2646" s="15">
        <v>0</v>
      </c>
      <c r="L2646" s="15">
        <v>0</v>
      </c>
      <c r="M2646" s="15">
        <v>0</v>
      </c>
      <c r="N2646" s="15" t="str">
        <v/>
      </c>
      <c r="O2646" s="15" t="str">
        <v/>
      </c>
      <c r="P2646" s="22">
        <v>0</v>
      </c>
      <c r="Q2646">
        <v>0</v>
      </c>
    </row>
    <row r="2647" spans="1:17">
      <c r="A2647" s="19">
        <v>0</v>
      </c>
      <c r="B2647" s="19">
        <v>0</v>
      </c>
      <c r="C2647" s="19">
        <v>0</v>
      </c>
      <c r="D2647" s="19">
        <v>0</v>
      </c>
      <c r="E2647" s="19">
        <v>0</v>
      </c>
      <c r="F2647" s="19">
        <v>0</v>
      </c>
      <c r="G2647" s="19">
        <v>0</v>
      </c>
      <c r="H2647" s="19">
        <v>0</v>
      </c>
      <c r="I2647" s="15">
        <v>3500</v>
      </c>
      <c r="J2647" s="15">
        <v>0</v>
      </c>
      <c r="K2647" s="15">
        <v>0</v>
      </c>
      <c r="L2647" s="15">
        <v>0</v>
      </c>
      <c r="M2647" s="15">
        <v>0</v>
      </c>
      <c r="N2647" s="15" t="str">
        <v/>
      </c>
      <c r="O2647" s="15" t="str">
        <v/>
      </c>
      <c r="P2647" s="22">
        <v>0</v>
      </c>
      <c r="Q2647">
        <v>0</v>
      </c>
    </row>
    <row r="2648" spans="1:17">
      <c r="A2648" s="19">
        <v>0</v>
      </c>
      <c r="B2648" s="19">
        <v>0</v>
      </c>
      <c r="C2648" s="19">
        <v>0</v>
      </c>
      <c r="D2648" s="19">
        <v>0</v>
      </c>
      <c r="E2648" s="19">
        <v>0</v>
      </c>
      <c r="F2648" s="19">
        <v>0</v>
      </c>
      <c r="G2648" s="19">
        <v>0</v>
      </c>
      <c r="H2648" s="19">
        <v>0</v>
      </c>
      <c r="I2648" s="15">
        <v>3500</v>
      </c>
      <c r="J2648" s="15">
        <v>0</v>
      </c>
      <c r="K2648" s="15">
        <v>0</v>
      </c>
      <c r="L2648" s="15">
        <v>0</v>
      </c>
      <c r="M2648" s="15">
        <v>0</v>
      </c>
      <c r="N2648" s="15" t="str">
        <v/>
      </c>
      <c r="O2648" s="15" t="str">
        <v/>
      </c>
      <c r="P2648" s="22">
        <v>0</v>
      </c>
      <c r="Q2648">
        <v>0</v>
      </c>
    </row>
    <row r="2649" spans="1:17">
      <c r="A2649" s="19">
        <v>0</v>
      </c>
      <c r="B2649" s="19">
        <v>0</v>
      </c>
      <c r="C2649" s="19">
        <v>0</v>
      </c>
      <c r="D2649" s="19">
        <v>0</v>
      </c>
      <c r="E2649" s="19">
        <v>0</v>
      </c>
      <c r="F2649" s="19">
        <v>0</v>
      </c>
      <c r="G2649" s="19">
        <v>0</v>
      </c>
      <c r="H2649" s="19">
        <v>0</v>
      </c>
      <c r="I2649" s="15">
        <v>3500</v>
      </c>
      <c r="J2649" s="15">
        <v>0</v>
      </c>
      <c r="K2649" s="15">
        <v>0</v>
      </c>
      <c r="L2649" s="15">
        <v>0</v>
      </c>
      <c r="M2649" s="15">
        <v>0</v>
      </c>
      <c r="N2649" s="15" t="str">
        <v/>
      </c>
      <c r="O2649" s="15" t="str">
        <v/>
      </c>
      <c r="P2649" s="22">
        <v>0</v>
      </c>
      <c r="Q2649">
        <v>0</v>
      </c>
    </row>
    <row r="2650" spans="1:17">
      <c r="A2650" s="19">
        <v>0</v>
      </c>
      <c r="B2650" s="19">
        <v>0</v>
      </c>
      <c r="C2650" s="19">
        <v>0</v>
      </c>
      <c r="D2650" s="19">
        <v>0</v>
      </c>
      <c r="E2650" s="19">
        <v>0</v>
      </c>
      <c r="F2650" s="19">
        <v>0</v>
      </c>
      <c r="G2650" s="19">
        <v>0</v>
      </c>
      <c r="H2650" s="19">
        <v>0</v>
      </c>
      <c r="I2650" s="15">
        <v>3500</v>
      </c>
      <c r="J2650" s="15">
        <v>0</v>
      </c>
      <c r="K2650" s="15">
        <v>0</v>
      </c>
      <c r="L2650" s="15">
        <v>0</v>
      </c>
      <c r="M2650" s="15">
        <v>0</v>
      </c>
      <c r="N2650" s="15" t="str">
        <v/>
      </c>
      <c r="O2650" s="15" t="str">
        <v/>
      </c>
      <c r="P2650" s="22">
        <v>0</v>
      </c>
      <c r="Q2650">
        <v>0</v>
      </c>
    </row>
    <row r="2651" spans="1:17">
      <c r="A2651" s="19">
        <v>0</v>
      </c>
      <c r="B2651" s="19">
        <v>0</v>
      </c>
      <c r="C2651" s="19">
        <v>0</v>
      </c>
      <c r="D2651" s="19">
        <v>0</v>
      </c>
      <c r="E2651" s="19">
        <v>0</v>
      </c>
      <c r="F2651" s="19">
        <v>0</v>
      </c>
      <c r="G2651" s="19">
        <v>0</v>
      </c>
      <c r="H2651" s="19">
        <v>0</v>
      </c>
      <c r="I2651" s="15">
        <v>3500</v>
      </c>
      <c r="J2651" s="15">
        <v>0</v>
      </c>
      <c r="K2651" s="15">
        <v>0</v>
      </c>
      <c r="L2651" s="15">
        <v>0</v>
      </c>
      <c r="M2651" s="15">
        <v>0</v>
      </c>
      <c r="N2651" s="15" t="str">
        <v/>
      </c>
      <c r="O2651" s="15" t="str">
        <v/>
      </c>
      <c r="P2651" s="22">
        <v>0</v>
      </c>
      <c r="Q2651">
        <v>0</v>
      </c>
    </row>
    <row r="2652" spans="1:17">
      <c r="A2652" s="19">
        <v>0</v>
      </c>
      <c r="B2652" s="19">
        <v>0</v>
      </c>
      <c r="C2652" s="19">
        <v>0</v>
      </c>
      <c r="D2652" s="19">
        <v>0</v>
      </c>
      <c r="E2652" s="19">
        <v>0</v>
      </c>
      <c r="F2652" s="19">
        <v>0</v>
      </c>
      <c r="G2652" s="19">
        <v>0</v>
      </c>
      <c r="H2652" s="19">
        <v>0</v>
      </c>
      <c r="I2652" s="15">
        <v>3500</v>
      </c>
      <c r="J2652" s="15">
        <v>0</v>
      </c>
      <c r="K2652" s="15">
        <v>0</v>
      </c>
      <c r="L2652" s="15">
        <v>0</v>
      </c>
      <c r="M2652" s="15">
        <v>0</v>
      </c>
      <c r="N2652" s="15" t="str">
        <v/>
      </c>
      <c r="O2652" s="15" t="str">
        <v/>
      </c>
      <c r="P2652" s="22">
        <v>0</v>
      </c>
      <c r="Q2652">
        <v>0</v>
      </c>
    </row>
    <row r="2653" spans="1:17">
      <c r="A2653" s="19">
        <v>0</v>
      </c>
      <c r="B2653" s="19">
        <v>0</v>
      </c>
      <c r="C2653" s="19">
        <v>0</v>
      </c>
      <c r="D2653" s="19">
        <v>0</v>
      </c>
      <c r="E2653" s="19">
        <v>0</v>
      </c>
      <c r="F2653" s="19">
        <v>0</v>
      </c>
      <c r="G2653" s="19">
        <v>0</v>
      </c>
      <c r="H2653" s="19">
        <v>0</v>
      </c>
      <c r="I2653" s="15">
        <v>3500</v>
      </c>
      <c r="J2653" s="15">
        <v>0</v>
      </c>
      <c r="K2653" s="15">
        <v>0</v>
      </c>
      <c r="L2653" s="15">
        <v>0</v>
      </c>
      <c r="M2653" s="15">
        <v>0</v>
      </c>
      <c r="N2653" s="15" t="str">
        <v/>
      </c>
      <c r="O2653" s="15" t="str">
        <v/>
      </c>
      <c r="P2653" s="22">
        <v>0</v>
      </c>
      <c r="Q2653">
        <v>0</v>
      </c>
    </row>
    <row r="2654" spans="1:17">
      <c r="A2654" s="19">
        <v>0</v>
      </c>
      <c r="B2654" s="19">
        <v>0</v>
      </c>
      <c r="C2654" s="19">
        <v>0</v>
      </c>
      <c r="D2654" s="19">
        <v>0</v>
      </c>
      <c r="E2654" s="19">
        <v>0</v>
      </c>
      <c r="F2654" s="19">
        <v>0</v>
      </c>
      <c r="G2654" s="19">
        <v>0</v>
      </c>
      <c r="H2654" s="19">
        <v>0</v>
      </c>
      <c r="I2654" s="15">
        <v>3500</v>
      </c>
      <c r="J2654" s="15">
        <v>0</v>
      </c>
      <c r="K2654" s="15">
        <v>0</v>
      </c>
      <c r="L2654" s="15">
        <v>0</v>
      </c>
      <c r="M2654" s="15">
        <v>0</v>
      </c>
      <c r="N2654" s="15" t="str">
        <v/>
      </c>
      <c r="O2654" s="15" t="str">
        <v/>
      </c>
      <c r="P2654" s="22">
        <v>0</v>
      </c>
      <c r="Q2654">
        <v>0</v>
      </c>
    </row>
    <row r="2655" spans="1:17">
      <c r="A2655" s="19">
        <v>0</v>
      </c>
      <c r="B2655" s="19">
        <v>0</v>
      </c>
      <c r="C2655" s="19">
        <v>0</v>
      </c>
      <c r="D2655" s="19">
        <v>0</v>
      </c>
      <c r="E2655" s="19">
        <v>0</v>
      </c>
      <c r="F2655" s="19">
        <v>0</v>
      </c>
      <c r="G2655" s="19">
        <v>0</v>
      </c>
      <c r="H2655" s="19">
        <v>0</v>
      </c>
      <c r="I2655" s="15">
        <v>3500</v>
      </c>
      <c r="J2655" s="15">
        <v>0</v>
      </c>
      <c r="K2655" s="15">
        <v>0</v>
      </c>
      <c r="L2655" s="15">
        <v>0</v>
      </c>
      <c r="M2655" s="15">
        <v>0</v>
      </c>
      <c r="N2655" s="15" t="str">
        <v/>
      </c>
      <c r="O2655" s="15" t="str">
        <v/>
      </c>
      <c r="P2655" s="22">
        <v>0</v>
      </c>
      <c r="Q2655">
        <v>0</v>
      </c>
    </row>
    <row r="2656" spans="1:17">
      <c r="A2656" s="19">
        <v>0</v>
      </c>
      <c r="B2656" s="19">
        <v>0</v>
      </c>
      <c r="C2656" s="19">
        <v>0</v>
      </c>
      <c r="D2656" s="19">
        <v>0</v>
      </c>
      <c r="E2656" s="19">
        <v>0</v>
      </c>
      <c r="F2656" s="19">
        <v>0</v>
      </c>
      <c r="G2656" s="19">
        <v>0</v>
      </c>
      <c r="H2656" s="19">
        <v>0</v>
      </c>
      <c r="I2656" s="15">
        <v>3500</v>
      </c>
      <c r="J2656" s="15">
        <v>0</v>
      </c>
      <c r="K2656" s="15">
        <v>0</v>
      </c>
      <c r="L2656" s="15">
        <v>0</v>
      </c>
      <c r="M2656" s="15">
        <v>0</v>
      </c>
      <c r="N2656" s="15" t="str">
        <v/>
      </c>
      <c r="O2656" s="15" t="str">
        <v/>
      </c>
      <c r="P2656" s="22">
        <v>0</v>
      </c>
      <c r="Q2656">
        <v>0</v>
      </c>
    </row>
    <row r="2657" spans="1:17">
      <c r="A2657" s="19">
        <v>0</v>
      </c>
      <c r="B2657" s="19">
        <v>0</v>
      </c>
      <c r="C2657" s="19">
        <v>0</v>
      </c>
      <c r="D2657" s="19">
        <v>0</v>
      </c>
      <c r="E2657" s="19">
        <v>0</v>
      </c>
      <c r="F2657" s="19">
        <v>0</v>
      </c>
      <c r="G2657" s="19">
        <v>0</v>
      </c>
      <c r="H2657" s="19">
        <v>0</v>
      </c>
      <c r="I2657" s="15">
        <v>3500</v>
      </c>
      <c r="J2657" s="15">
        <v>0</v>
      </c>
      <c r="K2657" s="15">
        <v>0</v>
      </c>
      <c r="L2657" s="15">
        <v>0</v>
      </c>
      <c r="M2657" s="15">
        <v>0</v>
      </c>
      <c r="N2657" s="15" t="str">
        <v/>
      </c>
      <c r="O2657" s="15" t="str">
        <v/>
      </c>
      <c r="P2657" s="22">
        <v>0</v>
      </c>
      <c r="Q2657">
        <v>0</v>
      </c>
    </row>
    <row r="2658" spans="1:17">
      <c r="A2658" s="19">
        <v>0</v>
      </c>
      <c r="B2658" s="19">
        <v>0</v>
      </c>
      <c r="C2658" s="19">
        <v>0</v>
      </c>
      <c r="D2658" s="19">
        <v>0</v>
      </c>
      <c r="E2658" s="19">
        <v>0</v>
      </c>
      <c r="F2658" s="19">
        <v>0</v>
      </c>
      <c r="G2658" s="19">
        <v>0</v>
      </c>
      <c r="H2658" s="19">
        <v>0</v>
      </c>
      <c r="I2658" s="15">
        <v>3500</v>
      </c>
      <c r="J2658" s="15">
        <v>0</v>
      </c>
      <c r="K2658" s="15">
        <v>0</v>
      </c>
      <c r="L2658" s="15">
        <v>0</v>
      </c>
      <c r="M2658" s="15">
        <v>0</v>
      </c>
      <c r="N2658" s="15" t="str">
        <v/>
      </c>
      <c r="O2658" s="15" t="str">
        <v/>
      </c>
      <c r="P2658" s="22">
        <v>0</v>
      </c>
      <c r="Q2658">
        <v>0</v>
      </c>
    </row>
    <row r="2659" spans="1:17">
      <c r="A2659" s="19">
        <v>0</v>
      </c>
      <c r="B2659" s="19">
        <v>0</v>
      </c>
      <c r="C2659" s="19">
        <v>0</v>
      </c>
      <c r="D2659" s="19">
        <v>0</v>
      </c>
      <c r="E2659" s="19">
        <v>0</v>
      </c>
      <c r="F2659" s="19">
        <v>0</v>
      </c>
      <c r="G2659" s="19">
        <v>0</v>
      </c>
      <c r="H2659" s="19">
        <v>0</v>
      </c>
      <c r="I2659" s="15">
        <v>3500</v>
      </c>
      <c r="J2659" s="15">
        <v>0</v>
      </c>
      <c r="K2659" s="15">
        <v>0</v>
      </c>
      <c r="L2659" s="15">
        <v>0</v>
      </c>
      <c r="M2659" s="15">
        <v>0</v>
      </c>
      <c r="N2659" s="15" t="str">
        <v/>
      </c>
      <c r="O2659" s="15" t="str">
        <v/>
      </c>
      <c r="P2659" s="22">
        <v>0</v>
      </c>
      <c r="Q2659">
        <v>0</v>
      </c>
    </row>
    <row r="2660" spans="1:17">
      <c r="A2660" s="19">
        <v>0</v>
      </c>
      <c r="B2660" s="19">
        <v>0</v>
      </c>
      <c r="C2660" s="19">
        <v>0</v>
      </c>
      <c r="D2660" s="19">
        <v>0</v>
      </c>
      <c r="E2660" s="19">
        <v>0</v>
      </c>
      <c r="F2660" s="19">
        <v>0</v>
      </c>
      <c r="G2660" s="19">
        <v>0</v>
      </c>
      <c r="H2660" s="19">
        <v>0</v>
      </c>
      <c r="I2660" s="15">
        <v>3500</v>
      </c>
      <c r="J2660" s="15">
        <v>0</v>
      </c>
      <c r="K2660" s="15">
        <v>0</v>
      </c>
      <c r="L2660" s="15">
        <v>0</v>
      </c>
      <c r="M2660" s="15">
        <v>0</v>
      </c>
      <c r="N2660" s="15" t="str">
        <v/>
      </c>
      <c r="O2660" s="15" t="str">
        <v/>
      </c>
      <c r="P2660" s="22">
        <v>0</v>
      </c>
      <c r="Q2660">
        <v>0</v>
      </c>
    </row>
    <row r="2661" spans="1:17">
      <c r="A2661" s="19">
        <v>0</v>
      </c>
      <c r="B2661" s="19">
        <v>0</v>
      </c>
      <c r="C2661" s="19">
        <v>0</v>
      </c>
      <c r="D2661" s="19">
        <v>0</v>
      </c>
      <c r="E2661" s="19">
        <v>0</v>
      </c>
      <c r="F2661" s="19">
        <v>0</v>
      </c>
      <c r="G2661" s="19">
        <v>0</v>
      </c>
      <c r="H2661" s="19">
        <v>0</v>
      </c>
      <c r="I2661" s="15">
        <v>3500</v>
      </c>
      <c r="J2661" s="15">
        <v>0</v>
      </c>
      <c r="K2661" s="15">
        <v>0</v>
      </c>
      <c r="L2661" s="15">
        <v>0</v>
      </c>
      <c r="M2661" s="15">
        <v>0</v>
      </c>
      <c r="N2661" s="15" t="str">
        <v/>
      </c>
      <c r="O2661" s="15" t="str">
        <v/>
      </c>
      <c r="P2661" s="22">
        <v>0</v>
      </c>
      <c r="Q2661">
        <v>0</v>
      </c>
    </row>
    <row r="2662" spans="1:17">
      <c r="A2662" s="19">
        <v>0</v>
      </c>
      <c r="B2662" s="19">
        <v>0</v>
      </c>
      <c r="C2662" s="19">
        <v>0</v>
      </c>
      <c r="D2662" s="19">
        <v>0</v>
      </c>
      <c r="E2662" s="19">
        <v>0</v>
      </c>
      <c r="F2662" s="19">
        <v>0</v>
      </c>
      <c r="G2662" s="19">
        <v>0</v>
      </c>
      <c r="H2662" s="19">
        <v>0</v>
      </c>
      <c r="I2662" s="15">
        <v>3500</v>
      </c>
      <c r="J2662" s="15">
        <v>0</v>
      </c>
      <c r="K2662" s="15">
        <v>0</v>
      </c>
      <c r="L2662" s="15">
        <v>0</v>
      </c>
      <c r="M2662" s="15">
        <v>0</v>
      </c>
      <c r="N2662" s="15" t="str">
        <v/>
      </c>
      <c r="O2662" s="15" t="str">
        <v/>
      </c>
      <c r="P2662" s="22">
        <v>0</v>
      </c>
      <c r="Q2662">
        <v>0</v>
      </c>
    </row>
    <row r="2663" spans="1:17">
      <c r="A2663" s="19">
        <v>0</v>
      </c>
      <c r="B2663" s="19">
        <v>0</v>
      </c>
      <c r="C2663" s="19">
        <v>0</v>
      </c>
      <c r="D2663" s="19">
        <v>0</v>
      </c>
      <c r="E2663" s="19">
        <v>0</v>
      </c>
      <c r="F2663" s="19">
        <v>0</v>
      </c>
      <c r="G2663" s="19">
        <v>0</v>
      </c>
      <c r="H2663" s="19">
        <v>0</v>
      </c>
      <c r="I2663" s="15">
        <v>3500</v>
      </c>
      <c r="J2663" s="15">
        <v>0</v>
      </c>
      <c r="K2663" s="15">
        <v>0</v>
      </c>
      <c r="L2663" s="15">
        <v>0</v>
      </c>
      <c r="M2663" s="15">
        <v>0</v>
      </c>
      <c r="N2663" s="15" t="str">
        <v/>
      </c>
      <c r="O2663" s="15" t="str">
        <v/>
      </c>
      <c r="P2663" s="22">
        <v>0</v>
      </c>
      <c r="Q2663">
        <v>0</v>
      </c>
    </row>
    <row r="2664" spans="1:17">
      <c r="A2664" s="19">
        <v>0</v>
      </c>
      <c r="B2664" s="19">
        <v>0</v>
      </c>
      <c r="C2664" s="19">
        <v>0</v>
      </c>
      <c r="D2664" s="19">
        <v>0</v>
      </c>
      <c r="E2664" s="19">
        <v>0</v>
      </c>
      <c r="F2664" s="19">
        <v>0</v>
      </c>
      <c r="G2664" s="19">
        <v>0</v>
      </c>
      <c r="H2664" s="19">
        <v>0</v>
      </c>
      <c r="I2664" s="15">
        <v>3500</v>
      </c>
      <c r="J2664" s="15">
        <v>0</v>
      </c>
      <c r="K2664" s="15">
        <v>0</v>
      </c>
      <c r="L2664" s="15">
        <v>0</v>
      </c>
      <c r="M2664" s="15">
        <v>0</v>
      </c>
      <c r="N2664" s="15" t="str">
        <v/>
      </c>
      <c r="O2664" s="15" t="str">
        <v/>
      </c>
      <c r="P2664" s="22">
        <v>0</v>
      </c>
      <c r="Q2664">
        <v>0</v>
      </c>
    </row>
    <row r="2665" spans="1:17">
      <c r="A2665" s="19">
        <v>0</v>
      </c>
      <c r="B2665" s="19">
        <v>0</v>
      </c>
      <c r="C2665" s="19">
        <v>0</v>
      </c>
      <c r="D2665" s="19">
        <v>0</v>
      </c>
      <c r="E2665" s="19">
        <v>0</v>
      </c>
      <c r="F2665" s="19">
        <v>0</v>
      </c>
      <c r="G2665" s="19">
        <v>0</v>
      </c>
      <c r="H2665" s="19">
        <v>0</v>
      </c>
      <c r="I2665" s="15">
        <v>3500</v>
      </c>
      <c r="J2665" s="15">
        <v>0</v>
      </c>
      <c r="K2665" s="15">
        <v>0</v>
      </c>
      <c r="L2665" s="15">
        <v>0</v>
      </c>
      <c r="M2665" s="15">
        <v>0</v>
      </c>
      <c r="N2665" s="15" t="str">
        <v/>
      </c>
      <c r="O2665" s="15" t="str">
        <v/>
      </c>
      <c r="P2665" s="22">
        <v>0</v>
      </c>
      <c r="Q2665">
        <v>0</v>
      </c>
    </row>
    <row r="2666" spans="1:17">
      <c r="A2666" s="19">
        <v>0</v>
      </c>
      <c r="B2666" s="19">
        <v>0</v>
      </c>
      <c r="C2666" s="19">
        <v>0</v>
      </c>
      <c r="D2666" s="19">
        <v>0</v>
      </c>
      <c r="E2666" s="19">
        <v>0</v>
      </c>
      <c r="F2666" s="19">
        <v>0</v>
      </c>
      <c r="G2666" s="19">
        <v>0</v>
      </c>
      <c r="H2666" s="19">
        <v>0</v>
      </c>
      <c r="I2666" s="15">
        <v>3500</v>
      </c>
      <c r="J2666" s="15">
        <v>0</v>
      </c>
      <c r="K2666" s="15">
        <v>0</v>
      </c>
      <c r="L2666" s="15">
        <v>0</v>
      </c>
      <c r="M2666" s="15">
        <v>0</v>
      </c>
      <c r="N2666" s="15" t="str">
        <v/>
      </c>
      <c r="O2666" s="15" t="str">
        <v/>
      </c>
      <c r="P2666" s="22">
        <v>0</v>
      </c>
      <c r="Q2666">
        <v>0</v>
      </c>
    </row>
    <row r="2667" spans="1:17">
      <c r="A2667" s="19">
        <v>0</v>
      </c>
      <c r="B2667" s="19">
        <v>0</v>
      </c>
      <c r="C2667" s="19">
        <v>0</v>
      </c>
      <c r="D2667" s="19">
        <v>0</v>
      </c>
      <c r="E2667" s="19">
        <v>0</v>
      </c>
      <c r="F2667" s="19">
        <v>0</v>
      </c>
      <c r="G2667" s="19">
        <v>0</v>
      </c>
      <c r="H2667" s="19">
        <v>0</v>
      </c>
      <c r="I2667" s="15">
        <v>3500</v>
      </c>
      <c r="J2667" s="15">
        <v>0</v>
      </c>
      <c r="K2667" s="15">
        <v>0</v>
      </c>
      <c r="L2667" s="15">
        <v>0</v>
      </c>
      <c r="M2667" s="15">
        <v>0</v>
      </c>
      <c r="N2667" s="15" t="str">
        <v/>
      </c>
      <c r="O2667" s="15" t="str">
        <v/>
      </c>
      <c r="P2667" s="22">
        <v>0</v>
      </c>
      <c r="Q2667">
        <v>0</v>
      </c>
    </row>
    <row r="2668" spans="1:17">
      <c r="A2668" s="19">
        <v>0</v>
      </c>
      <c r="B2668" s="19">
        <v>0</v>
      </c>
      <c r="C2668" s="19">
        <v>0</v>
      </c>
      <c r="D2668" s="19">
        <v>0</v>
      </c>
      <c r="E2668" s="19">
        <v>0</v>
      </c>
      <c r="F2668" s="19">
        <v>0</v>
      </c>
      <c r="G2668" s="19">
        <v>0</v>
      </c>
      <c r="H2668" s="19">
        <v>0</v>
      </c>
      <c r="I2668" s="15">
        <v>3500</v>
      </c>
      <c r="J2668" s="15">
        <v>0</v>
      </c>
      <c r="K2668" s="15">
        <v>0</v>
      </c>
      <c r="L2668" s="15">
        <v>0</v>
      </c>
      <c r="M2668" s="15">
        <v>0</v>
      </c>
      <c r="N2668" s="15" t="str">
        <v/>
      </c>
      <c r="O2668" s="15" t="str">
        <v/>
      </c>
      <c r="P2668" s="22">
        <v>0</v>
      </c>
      <c r="Q2668">
        <v>0</v>
      </c>
    </row>
    <row r="2669" spans="1:17">
      <c r="A2669" s="19">
        <v>0</v>
      </c>
      <c r="B2669" s="19">
        <v>0</v>
      </c>
      <c r="C2669" s="19">
        <v>0</v>
      </c>
      <c r="D2669" s="19">
        <v>0</v>
      </c>
      <c r="E2669" s="19">
        <v>0</v>
      </c>
      <c r="F2669" s="19">
        <v>0</v>
      </c>
      <c r="G2669" s="19">
        <v>0</v>
      </c>
      <c r="H2669" s="19">
        <v>0</v>
      </c>
      <c r="I2669" s="15">
        <v>3500</v>
      </c>
      <c r="J2669" s="15">
        <v>0</v>
      </c>
      <c r="K2669" s="15">
        <v>0</v>
      </c>
      <c r="L2669" s="15">
        <v>0</v>
      </c>
      <c r="M2669" s="15">
        <v>0</v>
      </c>
      <c r="N2669" s="15" t="str">
        <v/>
      </c>
      <c r="O2669" s="15" t="str">
        <v/>
      </c>
      <c r="P2669" s="22">
        <v>0</v>
      </c>
      <c r="Q2669">
        <v>0</v>
      </c>
    </row>
    <row r="2670" spans="1:17">
      <c r="A2670" s="19">
        <v>0</v>
      </c>
      <c r="B2670" s="19">
        <v>0</v>
      </c>
      <c r="C2670" s="19">
        <v>0</v>
      </c>
      <c r="D2670" s="19">
        <v>0</v>
      </c>
      <c r="E2670" s="19">
        <v>0</v>
      </c>
      <c r="F2670" s="19">
        <v>0</v>
      </c>
      <c r="G2670" s="19">
        <v>0</v>
      </c>
      <c r="H2670" s="19">
        <v>0</v>
      </c>
      <c r="I2670" s="15">
        <v>3500</v>
      </c>
      <c r="J2670" s="15">
        <v>0</v>
      </c>
      <c r="K2670" s="15">
        <v>0</v>
      </c>
      <c r="L2670" s="15">
        <v>0</v>
      </c>
      <c r="M2670" s="15">
        <v>0</v>
      </c>
      <c r="N2670" s="15" t="str">
        <v/>
      </c>
      <c r="O2670" s="15" t="str">
        <v/>
      </c>
      <c r="P2670" s="22">
        <v>0</v>
      </c>
      <c r="Q2670">
        <v>0</v>
      </c>
    </row>
    <row r="2671" spans="1:17">
      <c r="A2671" s="19">
        <v>0</v>
      </c>
      <c r="B2671" s="19">
        <v>0</v>
      </c>
      <c r="C2671" s="19">
        <v>0</v>
      </c>
      <c r="D2671" s="19">
        <v>0</v>
      </c>
      <c r="E2671" s="19">
        <v>0</v>
      </c>
      <c r="F2671" s="19">
        <v>0</v>
      </c>
      <c r="G2671" s="19">
        <v>0</v>
      </c>
      <c r="H2671" s="19">
        <v>0</v>
      </c>
      <c r="I2671" s="15">
        <v>3500</v>
      </c>
      <c r="J2671" s="15">
        <v>0</v>
      </c>
      <c r="K2671" s="15">
        <v>0</v>
      </c>
      <c r="L2671" s="15">
        <v>0</v>
      </c>
      <c r="M2671" s="15">
        <v>0</v>
      </c>
      <c r="N2671" s="15" t="str">
        <v/>
      </c>
      <c r="O2671" s="15" t="str">
        <v/>
      </c>
      <c r="P2671" s="22">
        <v>0</v>
      </c>
      <c r="Q2671">
        <v>0</v>
      </c>
    </row>
    <row r="2672" spans="1:17">
      <c r="A2672" s="19">
        <v>0</v>
      </c>
      <c r="B2672" s="19">
        <v>0</v>
      </c>
      <c r="C2672" s="19">
        <v>0</v>
      </c>
      <c r="D2672" s="19">
        <v>0</v>
      </c>
      <c r="E2672" s="19">
        <v>0</v>
      </c>
      <c r="F2672" s="19">
        <v>0</v>
      </c>
      <c r="G2672" s="19">
        <v>0</v>
      </c>
      <c r="H2672" s="19">
        <v>0</v>
      </c>
      <c r="I2672" s="15">
        <v>3500</v>
      </c>
      <c r="J2672" s="15">
        <v>0</v>
      </c>
      <c r="K2672" s="15">
        <v>0</v>
      </c>
      <c r="L2672" s="15">
        <v>0</v>
      </c>
      <c r="M2672" s="15">
        <v>0</v>
      </c>
      <c r="N2672" s="15" t="str">
        <v/>
      </c>
      <c r="O2672" s="15" t="str">
        <v/>
      </c>
      <c r="P2672" s="22">
        <v>0</v>
      </c>
      <c r="Q2672">
        <v>0</v>
      </c>
    </row>
    <row r="2673" spans="1:17">
      <c r="A2673" s="19">
        <v>0</v>
      </c>
      <c r="B2673" s="19">
        <v>0</v>
      </c>
      <c r="C2673" s="19">
        <v>0</v>
      </c>
      <c r="D2673" s="19">
        <v>0</v>
      </c>
      <c r="E2673" s="19">
        <v>0</v>
      </c>
      <c r="F2673" s="19">
        <v>0</v>
      </c>
      <c r="G2673" s="19">
        <v>0</v>
      </c>
      <c r="H2673" s="19">
        <v>0</v>
      </c>
      <c r="I2673" s="15">
        <v>3500</v>
      </c>
      <c r="J2673" s="15">
        <v>0</v>
      </c>
      <c r="K2673" s="15">
        <v>0</v>
      </c>
      <c r="L2673" s="15">
        <v>0</v>
      </c>
      <c r="M2673" s="15">
        <v>0</v>
      </c>
      <c r="N2673" s="15" t="str">
        <v/>
      </c>
      <c r="O2673" s="15" t="str">
        <v/>
      </c>
      <c r="P2673" s="22">
        <v>0</v>
      </c>
      <c r="Q2673">
        <v>0</v>
      </c>
    </row>
    <row r="2674" spans="1:17">
      <c r="A2674" s="19">
        <v>0</v>
      </c>
      <c r="B2674" s="19">
        <v>0</v>
      </c>
      <c r="C2674" s="19">
        <v>0</v>
      </c>
      <c r="D2674" s="19">
        <v>0</v>
      </c>
      <c r="E2674" s="19">
        <v>0</v>
      </c>
      <c r="F2674" s="19">
        <v>0</v>
      </c>
      <c r="G2674" s="19">
        <v>0</v>
      </c>
      <c r="H2674" s="19">
        <v>0</v>
      </c>
      <c r="I2674" s="15">
        <v>3500</v>
      </c>
      <c r="J2674" s="15">
        <v>0</v>
      </c>
      <c r="K2674" s="15">
        <v>0</v>
      </c>
      <c r="L2674" s="15">
        <v>0</v>
      </c>
      <c r="M2674" s="15">
        <v>0</v>
      </c>
      <c r="N2674" s="15" t="str">
        <v/>
      </c>
      <c r="O2674" s="15" t="str">
        <v/>
      </c>
      <c r="P2674" s="22">
        <v>0</v>
      </c>
      <c r="Q2674">
        <v>0</v>
      </c>
    </row>
    <row r="2675" spans="1:17">
      <c r="A2675" s="19">
        <v>0</v>
      </c>
      <c r="B2675" s="19">
        <v>0</v>
      </c>
      <c r="C2675" s="19">
        <v>0</v>
      </c>
      <c r="D2675" s="19">
        <v>0</v>
      </c>
      <c r="E2675" s="19">
        <v>0</v>
      </c>
      <c r="F2675" s="19">
        <v>0</v>
      </c>
      <c r="G2675" s="19">
        <v>0</v>
      </c>
      <c r="H2675" s="19">
        <v>0</v>
      </c>
      <c r="I2675" s="15">
        <v>3500</v>
      </c>
      <c r="J2675" s="15">
        <v>0</v>
      </c>
      <c r="K2675" s="15">
        <v>0</v>
      </c>
      <c r="L2675" s="15">
        <v>0</v>
      </c>
      <c r="M2675" s="15">
        <v>0</v>
      </c>
      <c r="N2675" s="15" t="str">
        <v/>
      </c>
      <c r="O2675" s="15" t="str">
        <v/>
      </c>
      <c r="P2675" s="22">
        <v>0</v>
      </c>
      <c r="Q2675">
        <v>0</v>
      </c>
    </row>
    <row r="2676" spans="1:17">
      <c r="A2676" s="19">
        <v>0</v>
      </c>
      <c r="B2676" s="19">
        <v>0</v>
      </c>
      <c r="C2676" s="19">
        <v>0</v>
      </c>
      <c r="D2676" s="19">
        <v>0</v>
      </c>
      <c r="E2676" s="19">
        <v>0</v>
      </c>
      <c r="F2676" s="19">
        <v>0</v>
      </c>
      <c r="G2676" s="19">
        <v>0</v>
      </c>
      <c r="H2676" s="19">
        <v>0</v>
      </c>
      <c r="I2676" s="15">
        <v>3500</v>
      </c>
      <c r="J2676" s="15">
        <v>0</v>
      </c>
      <c r="K2676" s="15">
        <v>0</v>
      </c>
      <c r="L2676" s="15">
        <v>0</v>
      </c>
      <c r="M2676" s="15">
        <v>0</v>
      </c>
      <c r="N2676" s="15" t="str">
        <v/>
      </c>
      <c r="O2676" s="15" t="str">
        <v/>
      </c>
      <c r="P2676" s="22">
        <v>0</v>
      </c>
      <c r="Q2676">
        <v>0</v>
      </c>
    </row>
    <row r="2677" spans="1:17">
      <c r="A2677" s="19">
        <v>0</v>
      </c>
      <c r="B2677" s="19">
        <v>0</v>
      </c>
      <c r="C2677" s="19">
        <v>0</v>
      </c>
      <c r="D2677" s="19">
        <v>0</v>
      </c>
      <c r="E2677" s="19">
        <v>0</v>
      </c>
      <c r="F2677" s="19">
        <v>0</v>
      </c>
      <c r="G2677" s="19">
        <v>0</v>
      </c>
      <c r="H2677" s="19">
        <v>0</v>
      </c>
      <c r="I2677" s="15">
        <v>3500</v>
      </c>
      <c r="J2677" s="15">
        <v>0</v>
      </c>
      <c r="K2677" s="15">
        <v>0</v>
      </c>
      <c r="L2677" s="15">
        <v>0</v>
      </c>
      <c r="M2677" s="15">
        <v>0</v>
      </c>
      <c r="N2677" s="15" t="str">
        <v/>
      </c>
      <c r="O2677" s="15" t="str">
        <v/>
      </c>
      <c r="P2677" s="22">
        <v>0</v>
      </c>
      <c r="Q2677">
        <v>0</v>
      </c>
    </row>
    <row r="2678" spans="1:17">
      <c r="A2678" s="19">
        <v>0</v>
      </c>
      <c r="B2678" s="19">
        <v>0</v>
      </c>
      <c r="C2678" s="19">
        <v>0</v>
      </c>
      <c r="D2678" s="19">
        <v>0</v>
      </c>
      <c r="E2678" s="19">
        <v>0</v>
      </c>
      <c r="F2678" s="19">
        <v>0</v>
      </c>
      <c r="G2678" s="19">
        <v>0</v>
      </c>
      <c r="H2678" s="19">
        <v>0</v>
      </c>
      <c r="I2678" s="15">
        <v>3500</v>
      </c>
      <c r="J2678" s="15">
        <v>0</v>
      </c>
      <c r="K2678" s="15">
        <v>0</v>
      </c>
      <c r="L2678" s="15">
        <v>0</v>
      </c>
      <c r="M2678" s="15">
        <v>0</v>
      </c>
      <c r="N2678" s="15" t="str">
        <v/>
      </c>
      <c r="O2678" s="15" t="str">
        <v/>
      </c>
      <c r="P2678" s="22">
        <v>0</v>
      </c>
      <c r="Q2678">
        <v>0</v>
      </c>
    </row>
    <row r="2679" spans="1:17">
      <c r="A2679" s="19">
        <v>0</v>
      </c>
      <c r="B2679" s="19">
        <v>0</v>
      </c>
      <c r="C2679" s="19">
        <v>0</v>
      </c>
      <c r="D2679" s="19">
        <v>0</v>
      </c>
      <c r="E2679" s="19">
        <v>0</v>
      </c>
      <c r="F2679" s="19">
        <v>0</v>
      </c>
      <c r="G2679" s="19">
        <v>0</v>
      </c>
      <c r="H2679" s="19">
        <v>0</v>
      </c>
      <c r="I2679" s="15">
        <v>3500</v>
      </c>
      <c r="J2679" s="15">
        <v>0</v>
      </c>
      <c r="K2679" s="15">
        <v>0</v>
      </c>
      <c r="L2679" s="15">
        <v>0</v>
      </c>
      <c r="M2679" s="15">
        <v>0</v>
      </c>
      <c r="N2679" s="15" t="str">
        <v/>
      </c>
      <c r="O2679" s="15" t="str">
        <v/>
      </c>
      <c r="P2679" s="22">
        <v>0</v>
      </c>
      <c r="Q2679">
        <v>0</v>
      </c>
    </row>
    <row r="2680" spans="1:17">
      <c r="A2680" s="19">
        <v>0</v>
      </c>
      <c r="B2680" s="19">
        <v>0</v>
      </c>
      <c r="C2680" s="19">
        <v>0</v>
      </c>
      <c r="D2680" s="19">
        <v>0</v>
      </c>
      <c r="E2680" s="19">
        <v>0</v>
      </c>
      <c r="F2680" s="19">
        <v>0</v>
      </c>
      <c r="G2680" s="19">
        <v>0</v>
      </c>
      <c r="H2680" s="19">
        <v>0</v>
      </c>
      <c r="I2680" s="15">
        <v>3500</v>
      </c>
      <c r="J2680" s="15">
        <v>0</v>
      </c>
      <c r="K2680" s="15">
        <v>0</v>
      </c>
      <c r="L2680" s="15">
        <v>0</v>
      </c>
      <c r="M2680" s="15">
        <v>0</v>
      </c>
      <c r="N2680" s="15" t="str">
        <v/>
      </c>
      <c r="O2680" s="15" t="str">
        <v/>
      </c>
      <c r="P2680" s="22">
        <v>0</v>
      </c>
      <c r="Q2680">
        <v>0</v>
      </c>
    </row>
    <row r="2681" spans="1:17">
      <c r="A2681" s="19">
        <v>0</v>
      </c>
      <c r="B2681" s="19">
        <v>0</v>
      </c>
      <c r="C2681" s="19">
        <v>0</v>
      </c>
      <c r="D2681" s="19">
        <v>0</v>
      </c>
      <c r="E2681" s="19">
        <v>0</v>
      </c>
      <c r="F2681" s="19">
        <v>0</v>
      </c>
      <c r="G2681" s="19">
        <v>0</v>
      </c>
      <c r="H2681" s="19">
        <v>0</v>
      </c>
      <c r="I2681" s="15">
        <v>3500</v>
      </c>
      <c r="J2681" s="15">
        <v>0</v>
      </c>
      <c r="K2681" s="15">
        <v>0</v>
      </c>
      <c r="L2681" s="15">
        <v>0</v>
      </c>
      <c r="M2681" s="15">
        <v>0</v>
      </c>
      <c r="N2681" s="15" t="str">
        <v/>
      </c>
      <c r="O2681" s="15" t="str">
        <v/>
      </c>
      <c r="P2681" s="22">
        <v>0</v>
      </c>
      <c r="Q2681">
        <v>0</v>
      </c>
    </row>
    <row r="2682" spans="1:17">
      <c r="A2682" s="19">
        <v>0</v>
      </c>
      <c r="B2682" s="19">
        <v>0</v>
      </c>
      <c r="C2682" s="19">
        <v>0</v>
      </c>
      <c r="D2682" s="19">
        <v>0</v>
      </c>
      <c r="E2682" s="19">
        <v>0</v>
      </c>
      <c r="F2682" s="19">
        <v>0</v>
      </c>
      <c r="G2682" s="19">
        <v>0</v>
      </c>
      <c r="H2682" s="19">
        <v>0</v>
      </c>
      <c r="I2682" s="15">
        <v>3500</v>
      </c>
      <c r="J2682" s="15">
        <v>0</v>
      </c>
      <c r="K2682" s="15">
        <v>0</v>
      </c>
      <c r="L2682" s="15">
        <v>0</v>
      </c>
      <c r="M2682" s="15">
        <v>0</v>
      </c>
      <c r="N2682" s="15" t="str">
        <v/>
      </c>
      <c r="O2682" s="15" t="str">
        <v/>
      </c>
      <c r="P2682" s="22">
        <v>0</v>
      </c>
      <c r="Q2682">
        <v>0</v>
      </c>
    </row>
    <row r="2683" spans="1:17">
      <c r="A2683" s="19">
        <v>0</v>
      </c>
      <c r="B2683" s="19">
        <v>0</v>
      </c>
      <c r="C2683" s="19">
        <v>0</v>
      </c>
      <c r="D2683" s="19">
        <v>0</v>
      </c>
      <c r="E2683" s="19">
        <v>0</v>
      </c>
      <c r="F2683" s="19">
        <v>0</v>
      </c>
      <c r="G2683" s="19">
        <v>0</v>
      </c>
      <c r="H2683" s="19">
        <v>0</v>
      </c>
      <c r="I2683" s="15">
        <v>3500</v>
      </c>
      <c r="J2683" s="15">
        <v>0</v>
      </c>
      <c r="K2683" s="15">
        <v>0</v>
      </c>
      <c r="L2683" s="15">
        <v>0</v>
      </c>
      <c r="M2683" s="15">
        <v>0</v>
      </c>
      <c r="N2683" s="15" t="str">
        <v/>
      </c>
      <c r="O2683" s="15" t="str">
        <v/>
      </c>
      <c r="P2683" s="22">
        <v>0</v>
      </c>
      <c r="Q2683">
        <v>0</v>
      </c>
    </row>
    <row r="2684" spans="1:17">
      <c r="A2684" s="19">
        <v>0</v>
      </c>
      <c r="B2684" s="19">
        <v>0</v>
      </c>
      <c r="C2684" s="19">
        <v>0</v>
      </c>
      <c r="D2684" s="19">
        <v>0</v>
      </c>
      <c r="E2684" s="19">
        <v>0</v>
      </c>
      <c r="F2684" s="19">
        <v>0</v>
      </c>
      <c r="G2684" s="19">
        <v>0</v>
      </c>
      <c r="H2684" s="19">
        <v>0</v>
      </c>
      <c r="I2684" s="15">
        <v>3500</v>
      </c>
      <c r="J2684" s="15">
        <v>0</v>
      </c>
      <c r="K2684" s="15">
        <v>0</v>
      </c>
      <c r="L2684" s="15">
        <v>0</v>
      </c>
      <c r="M2684" s="15">
        <v>0</v>
      </c>
      <c r="N2684" s="15" t="str">
        <v/>
      </c>
      <c r="O2684" s="15" t="str">
        <v/>
      </c>
      <c r="P2684" s="22">
        <v>0</v>
      </c>
      <c r="Q2684">
        <v>0</v>
      </c>
    </row>
    <row r="2685" spans="1:17">
      <c r="A2685" s="19">
        <v>0</v>
      </c>
      <c r="B2685" s="19">
        <v>0</v>
      </c>
      <c r="C2685" s="19">
        <v>0</v>
      </c>
      <c r="D2685" s="19">
        <v>0</v>
      </c>
      <c r="E2685" s="19">
        <v>0</v>
      </c>
      <c r="F2685" s="19">
        <v>0</v>
      </c>
      <c r="G2685" s="19">
        <v>0</v>
      </c>
      <c r="H2685" s="19">
        <v>0</v>
      </c>
      <c r="I2685" s="15">
        <v>3500</v>
      </c>
      <c r="J2685" s="15">
        <v>0</v>
      </c>
      <c r="K2685" s="15">
        <v>0</v>
      </c>
      <c r="L2685" s="15">
        <v>0</v>
      </c>
      <c r="M2685" s="15">
        <v>0</v>
      </c>
      <c r="N2685" s="15" t="str">
        <v/>
      </c>
      <c r="O2685" s="15" t="str">
        <v/>
      </c>
      <c r="P2685" s="22">
        <v>0</v>
      </c>
      <c r="Q2685">
        <v>0</v>
      </c>
    </row>
    <row r="2686" spans="1:17">
      <c r="A2686" s="19">
        <v>0</v>
      </c>
      <c r="B2686" s="19">
        <v>0</v>
      </c>
      <c r="C2686" s="19">
        <v>0</v>
      </c>
      <c r="D2686" s="19">
        <v>0</v>
      </c>
      <c r="E2686" s="19">
        <v>0</v>
      </c>
      <c r="F2686" s="19">
        <v>0</v>
      </c>
      <c r="G2686" s="19">
        <v>0</v>
      </c>
      <c r="H2686" s="19">
        <v>0</v>
      </c>
      <c r="I2686" s="15">
        <v>3500</v>
      </c>
      <c r="J2686" s="15">
        <v>0</v>
      </c>
      <c r="K2686" s="15">
        <v>0</v>
      </c>
      <c r="L2686" s="15">
        <v>0</v>
      </c>
      <c r="M2686" s="15">
        <v>0</v>
      </c>
      <c r="N2686" s="15" t="str">
        <v/>
      </c>
      <c r="O2686" s="15" t="str">
        <v/>
      </c>
      <c r="P2686" s="22">
        <v>0</v>
      </c>
      <c r="Q2686">
        <v>0</v>
      </c>
    </row>
    <row r="2687" spans="1:17">
      <c r="A2687" s="19">
        <v>0</v>
      </c>
      <c r="B2687" s="19">
        <v>0</v>
      </c>
      <c r="C2687" s="19">
        <v>0</v>
      </c>
      <c r="D2687" s="19">
        <v>0</v>
      </c>
      <c r="E2687" s="19">
        <v>0</v>
      </c>
      <c r="F2687" s="19">
        <v>0</v>
      </c>
      <c r="G2687" s="19">
        <v>0</v>
      </c>
      <c r="H2687" s="19">
        <v>0</v>
      </c>
      <c r="I2687" s="15">
        <v>3500</v>
      </c>
      <c r="J2687" s="15">
        <v>0</v>
      </c>
      <c r="K2687" s="15">
        <v>0</v>
      </c>
      <c r="L2687" s="15">
        <v>0</v>
      </c>
      <c r="M2687" s="15">
        <v>0</v>
      </c>
      <c r="N2687" s="15" t="str">
        <v/>
      </c>
      <c r="O2687" s="15" t="str">
        <v/>
      </c>
      <c r="P2687" s="22">
        <v>0</v>
      </c>
      <c r="Q2687">
        <v>0</v>
      </c>
    </row>
    <row r="2688" spans="1:17">
      <c r="A2688" s="19">
        <v>0</v>
      </c>
      <c r="B2688" s="19">
        <v>0</v>
      </c>
      <c r="C2688" s="19">
        <v>0</v>
      </c>
      <c r="D2688" s="19">
        <v>0</v>
      </c>
      <c r="E2688" s="19">
        <v>0</v>
      </c>
      <c r="F2688" s="19">
        <v>0</v>
      </c>
      <c r="G2688" s="19">
        <v>0</v>
      </c>
      <c r="H2688" s="19">
        <v>0</v>
      </c>
      <c r="I2688" s="15">
        <v>3500</v>
      </c>
      <c r="J2688" s="15">
        <v>0</v>
      </c>
      <c r="K2688" s="15">
        <v>0</v>
      </c>
      <c r="L2688" s="15">
        <v>0</v>
      </c>
      <c r="M2688" s="15">
        <v>0</v>
      </c>
      <c r="N2688" s="15" t="str">
        <v/>
      </c>
      <c r="O2688" s="15" t="str">
        <v/>
      </c>
      <c r="P2688" s="22">
        <v>0</v>
      </c>
      <c r="Q2688">
        <v>0</v>
      </c>
    </row>
    <row r="2689" spans="1:17">
      <c r="A2689" s="19">
        <v>0</v>
      </c>
      <c r="B2689" s="19">
        <v>0</v>
      </c>
      <c r="C2689" s="19">
        <v>0</v>
      </c>
      <c r="D2689" s="19">
        <v>0</v>
      </c>
      <c r="E2689" s="19">
        <v>0</v>
      </c>
      <c r="F2689" s="19">
        <v>0</v>
      </c>
      <c r="G2689" s="19">
        <v>0</v>
      </c>
      <c r="H2689" s="19">
        <v>0</v>
      </c>
      <c r="I2689" s="15">
        <v>3500</v>
      </c>
      <c r="J2689" s="15">
        <v>0</v>
      </c>
      <c r="K2689" s="15">
        <v>0</v>
      </c>
      <c r="L2689" s="15">
        <v>0</v>
      </c>
      <c r="M2689" s="15">
        <v>0</v>
      </c>
      <c r="N2689" s="15" t="str">
        <v/>
      </c>
      <c r="O2689" s="15" t="str">
        <v/>
      </c>
      <c r="P2689" s="22">
        <v>0</v>
      </c>
      <c r="Q2689">
        <v>0</v>
      </c>
    </row>
    <row r="2690" spans="1:17">
      <c r="A2690" s="19">
        <v>0</v>
      </c>
      <c r="B2690" s="19">
        <v>0</v>
      </c>
      <c r="C2690" s="19">
        <v>0</v>
      </c>
      <c r="D2690" s="19">
        <v>0</v>
      </c>
      <c r="E2690" s="19">
        <v>0</v>
      </c>
      <c r="F2690" s="19">
        <v>0</v>
      </c>
      <c r="G2690" s="19">
        <v>0</v>
      </c>
      <c r="H2690" s="19">
        <v>0</v>
      </c>
      <c r="I2690" s="15">
        <v>3500</v>
      </c>
      <c r="J2690" s="15">
        <v>0</v>
      </c>
      <c r="K2690" s="15">
        <v>0</v>
      </c>
      <c r="L2690" s="15">
        <v>0</v>
      </c>
      <c r="M2690" s="15">
        <v>0</v>
      </c>
      <c r="N2690" s="15" t="str">
        <v/>
      </c>
      <c r="O2690" s="15" t="str">
        <v/>
      </c>
      <c r="P2690" s="22">
        <v>0</v>
      </c>
      <c r="Q2690">
        <v>0</v>
      </c>
    </row>
    <row r="2691" spans="1:17">
      <c r="A2691" s="19">
        <v>0</v>
      </c>
      <c r="B2691" s="19">
        <v>0</v>
      </c>
      <c r="C2691" s="19">
        <v>0</v>
      </c>
      <c r="D2691" s="19">
        <v>0</v>
      </c>
      <c r="E2691" s="19">
        <v>0</v>
      </c>
      <c r="F2691" s="19">
        <v>0</v>
      </c>
      <c r="G2691" s="19">
        <v>0</v>
      </c>
      <c r="H2691" s="19">
        <v>0</v>
      </c>
      <c r="I2691" s="15">
        <v>3500</v>
      </c>
      <c r="J2691" s="15">
        <v>0</v>
      </c>
      <c r="K2691" s="15">
        <v>0</v>
      </c>
      <c r="L2691" s="15">
        <v>0</v>
      </c>
      <c r="M2691" s="15">
        <v>0</v>
      </c>
      <c r="N2691" s="15" t="str">
        <v/>
      </c>
      <c r="O2691" s="15" t="str">
        <v/>
      </c>
      <c r="P2691" s="22">
        <v>0</v>
      </c>
      <c r="Q2691">
        <v>0</v>
      </c>
    </row>
    <row r="2692" spans="1:17">
      <c r="A2692" s="19">
        <v>0</v>
      </c>
      <c r="B2692" s="19">
        <v>0</v>
      </c>
      <c r="C2692" s="19">
        <v>0</v>
      </c>
      <c r="D2692" s="19">
        <v>0</v>
      </c>
      <c r="E2692" s="19">
        <v>0</v>
      </c>
      <c r="F2692" s="19">
        <v>0</v>
      </c>
      <c r="G2692" s="19">
        <v>0</v>
      </c>
      <c r="H2692" s="19">
        <v>0</v>
      </c>
      <c r="I2692" s="15">
        <v>3500</v>
      </c>
      <c r="J2692" s="15">
        <v>0</v>
      </c>
      <c r="K2692" s="15">
        <v>0</v>
      </c>
      <c r="L2692" s="15">
        <v>0</v>
      </c>
      <c r="M2692" s="15">
        <v>0</v>
      </c>
      <c r="N2692" s="15" t="str">
        <v/>
      </c>
      <c r="O2692" s="15" t="str">
        <v/>
      </c>
      <c r="P2692" s="22">
        <v>0</v>
      </c>
      <c r="Q2692">
        <v>0</v>
      </c>
    </row>
    <row r="2693" spans="1:17">
      <c r="A2693" s="19">
        <v>0</v>
      </c>
      <c r="B2693" s="19">
        <v>0</v>
      </c>
      <c r="C2693" s="19">
        <v>0</v>
      </c>
      <c r="D2693" s="19">
        <v>0</v>
      </c>
      <c r="E2693" s="19">
        <v>0</v>
      </c>
      <c r="F2693" s="19">
        <v>0</v>
      </c>
      <c r="G2693" s="19">
        <v>0</v>
      </c>
      <c r="H2693" s="19">
        <v>0</v>
      </c>
      <c r="I2693" s="15">
        <v>3500</v>
      </c>
      <c r="J2693" s="15">
        <v>0</v>
      </c>
      <c r="K2693" s="15">
        <v>0</v>
      </c>
      <c r="L2693" s="15">
        <v>0</v>
      </c>
      <c r="M2693" s="15">
        <v>0</v>
      </c>
      <c r="N2693" s="15" t="str">
        <v/>
      </c>
      <c r="O2693" s="15" t="str">
        <v/>
      </c>
      <c r="P2693" s="22">
        <v>0</v>
      </c>
      <c r="Q2693">
        <v>0</v>
      </c>
    </row>
    <row r="2694" spans="1:17">
      <c r="A2694" s="19">
        <v>0</v>
      </c>
      <c r="B2694" s="19">
        <v>0</v>
      </c>
      <c r="C2694" s="19">
        <v>0</v>
      </c>
      <c r="D2694" s="19">
        <v>0</v>
      </c>
      <c r="E2694" s="19">
        <v>0</v>
      </c>
      <c r="F2694" s="19">
        <v>0</v>
      </c>
      <c r="G2694" s="19">
        <v>0</v>
      </c>
      <c r="H2694" s="19">
        <v>0</v>
      </c>
      <c r="I2694" s="15">
        <v>3500</v>
      </c>
      <c r="J2694" s="15">
        <v>0</v>
      </c>
      <c r="K2694" s="15">
        <v>0</v>
      </c>
      <c r="L2694" s="15">
        <v>0</v>
      </c>
      <c r="M2694" s="15">
        <v>0</v>
      </c>
      <c r="N2694" s="15" t="str">
        <v/>
      </c>
      <c r="O2694" s="15" t="str">
        <v/>
      </c>
      <c r="P2694" s="22">
        <v>0</v>
      </c>
      <c r="Q2694">
        <v>0</v>
      </c>
    </row>
    <row r="2695" spans="1:17">
      <c r="A2695" s="19">
        <v>0</v>
      </c>
      <c r="B2695" s="19">
        <v>0</v>
      </c>
      <c r="C2695" s="19">
        <v>0</v>
      </c>
      <c r="D2695" s="19">
        <v>0</v>
      </c>
      <c r="E2695" s="19">
        <v>0</v>
      </c>
      <c r="F2695" s="19">
        <v>0</v>
      </c>
      <c r="G2695" s="19">
        <v>0</v>
      </c>
      <c r="H2695" s="19">
        <v>0</v>
      </c>
      <c r="I2695" s="15">
        <v>3500</v>
      </c>
      <c r="J2695" s="15">
        <v>0</v>
      </c>
      <c r="K2695" s="15">
        <v>0</v>
      </c>
      <c r="L2695" s="15">
        <v>0</v>
      </c>
      <c r="M2695" s="15">
        <v>0</v>
      </c>
      <c r="N2695" s="15" t="str">
        <v/>
      </c>
      <c r="O2695" s="15" t="str">
        <v/>
      </c>
      <c r="P2695" s="22">
        <v>0</v>
      </c>
      <c r="Q2695">
        <v>0</v>
      </c>
    </row>
    <row r="2696" spans="1:17">
      <c r="A2696" s="19">
        <v>0</v>
      </c>
      <c r="B2696" s="19">
        <v>0</v>
      </c>
      <c r="C2696" s="19">
        <v>0</v>
      </c>
      <c r="D2696" s="19">
        <v>0</v>
      </c>
      <c r="E2696" s="19">
        <v>0</v>
      </c>
      <c r="F2696" s="19">
        <v>0</v>
      </c>
      <c r="G2696" s="19">
        <v>0</v>
      </c>
      <c r="H2696" s="19">
        <v>0</v>
      </c>
      <c r="I2696" s="15">
        <v>3500</v>
      </c>
      <c r="J2696" s="15">
        <v>0</v>
      </c>
      <c r="K2696" s="15">
        <v>0</v>
      </c>
      <c r="L2696" s="15">
        <v>0</v>
      </c>
      <c r="M2696" s="15">
        <v>0</v>
      </c>
      <c r="N2696" s="15" t="str">
        <v/>
      </c>
      <c r="O2696" s="15" t="str">
        <v/>
      </c>
      <c r="P2696" s="22">
        <v>0</v>
      </c>
      <c r="Q2696">
        <v>0</v>
      </c>
    </row>
    <row r="2697" spans="1:17">
      <c r="A2697" s="19">
        <v>0</v>
      </c>
      <c r="B2697" s="19">
        <v>0</v>
      </c>
      <c r="C2697" s="19">
        <v>0</v>
      </c>
      <c r="D2697" s="19">
        <v>0</v>
      </c>
      <c r="E2697" s="19">
        <v>0</v>
      </c>
      <c r="F2697" s="19">
        <v>0</v>
      </c>
      <c r="G2697" s="19">
        <v>0</v>
      </c>
      <c r="H2697" s="19">
        <v>0</v>
      </c>
      <c r="I2697" s="15">
        <v>3500</v>
      </c>
      <c r="J2697" s="15">
        <v>0</v>
      </c>
      <c r="K2697" s="15">
        <v>0</v>
      </c>
      <c r="L2697" s="15">
        <v>0</v>
      </c>
      <c r="M2697" s="15">
        <v>0</v>
      </c>
      <c r="N2697" s="15" t="str">
        <v/>
      </c>
      <c r="O2697" s="15" t="str">
        <v/>
      </c>
      <c r="P2697" s="22">
        <v>0</v>
      </c>
      <c r="Q2697">
        <v>0</v>
      </c>
    </row>
    <row r="2698" spans="1:17">
      <c r="A2698" s="19">
        <v>0</v>
      </c>
      <c r="B2698" s="19">
        <v>0</v>
      </c>
      <c r="C2698" s="19">
        <v>0</v>
      </c>
      <c r="D2698" s="19">
        <v>0</v>
      </c>
      <c r="E2698" s="19">
        <v>0</v>
      </c>
      <c r="F2698" s="19">
        <v>0</v>
      </c>
      <c r="G2698" s="19">
        <v>0</v>
      </c>
      <c r="H2698" s="19">
        <v>0</v>
      </c>
      <c r="I2698" s="15">
        <v>3500</v>
      </c>
      <c r="J2698" s="15">
        <v>0</v>
      </c>
      <c r="K2698" s="15">
        <v>0</v>
      </c>
      <c r="L2698" s="15">
        <v>0</v>
      </c>
      <c r="M2698" s="15">
        <v>0</v>
      </c>
      <c r="N2698" s="15" t="str">
        <v/>
      </c>
      <c r="O2698" s="15" t="str">
        <v/>
      </c>
      <c r="P2698" s="22">
        <v>0</v>
      </c>
      <c r="Q2698">
        <v>0</v>
      </c>
    </row>
    <row r="2699" spans="1:17">
      <c r="A2699" s="19">
        <v>0</v>
      </c>
      <c r="B2699" s="19">
        <v>0</v>
      </c>
      <c r="C2699" s="19">
        <v>0</v>
      </c>
      <c r="D2699" s="19">
        <v>0</v>
      </c>
      <c r="E2699" s="19">
        <v>0</v>
      </c>
      <c r="F2699" s="19">
        <v>0</v>
      </c>
      <c r="G2699" s="19">
        <v>0</v>
      </c>
      <c r="H2699" s="19">
        <v>0</v>
      </c>
      <c r="I2699" s="15">
        <v>3500</v>
      </c>
      <c r="J2699" s="15">
        <v>0</v>
      </c>
      <c r="K2699" s="15">
        <v>0</v>
      </c>
      <c r="L2699" s="15">
        <v>0</v>
      </c>
      <c r="M2699" s="15">
        <v>0</v>
      </c>
      <c r="N2699" s="15" t="str">
        <v/>
      </c>
      <c r="O2699" s="15" t="str">
        <v/>
      </c>
      <c r="P2699" s="22">
        <v>0</v>
      </c>
      <c r="Q2699">
        <v>0</v>
      </c>
    </row>
    <row r="2700" spans="1:17">
      <c r="A2700" s="19">
        <v>0</v>
      </c>
      <c r="B2700" s="19">
        <v>0</v>
      </c>
      <c r="C2700" s="19">
        <v>0</v>
      </c>
      <c r="D2700" s="19">
        <v>0</v>
      </c>
      <c r="E2700" s="19">
        <v>0</v>
      </c>
      <c r="F2700" s="19">
        <v>0</v>
      </c>
      <c r="G2700" s="19">
        <v>0</v>
      </c>
      <c r="H2700" s="19">
        <v>0</v>
      </c>
      <c r="I2700" s="15">
        <v>3500</v>
      </c>
      <c r="J2700" s="15">
        <v>0</v>
      </c>
      <c r="K2700" s="15">
        <v>0</v>
      </c>
      <c r="L2700" s="15">
        <v>0</v>
      </c>
      <c r="M2700" s="15">
        <v>0</v>
      </c>
      <c r="N2700" s="15" t="str">
        <v/>
      </c>
      <c r="O2700" s="15" t="str">
        <v/>
      </c>
      <c r="P2700" s="22">
        <v>0</v>
      </c>
      <c r="Q2700">
        <v>0</v>
      </c>
    </row>
    <row r="2701" spans="1:17">
      <c r="A2701" s="19">
        <v>0</v>
      </c>
      <c r="B2701" s="19">
        <v>0</v>
      </c>
      <c r="C2701" s="19">
        <v>0</v>
      </c>
      <c r="D2701" s="19">
        <v>0</v>
      </c>
      <c r="E2701" s="19">
        <v>0</v>
      </c>
      <c r="F2701" s="19">
        <v>0</v>
      </c>
      <c r="G2701" s="19">
        <v>0</v>
      </c>
      <c r="H2701" s="19">
        <v>0</v>
      </c>
      <c r="I2701" s="15">
        <v>3500</v>
      </c>
      <c r="J2701" s="15">
        <v>0</v>
      </c>
      <c r="K2701" s="15">
        <v>0</v>
      </c>
      <c r="L2701" s="15">
        <v>0</v>
      </c>
      <c r="M2701" s="15">
        <v>0</v>
      </c>
      <c r="N2701" s="15" t="str">
        <v/>
      </c>
      <c r="O2701" s="15" t="str">
        <v/>
      </c>
      <c r="P2701" s="22">
        <v>0</v>
      </c>
      <c r="Q2701">
        <v>0</v>
      </c>
    </row>
    <row r="2702" spans="1:17">
      <c r="A2702" s="19">
        <v>0</v>
      </c>
      <c r="B2702" s="19">
        <v>0</v>
      </c>
      <c r="C2702" s="19">
        <v>0</v>
      </c>
      <c r="D2702" s="19">
        <v>0</v>
      </c>
      <c r="E2702" s="19">
        <v>0</v>
      </c>
      <c r="F2702" s="19">
        <v>0</v>
      </c>
      <c r="G2702" s="19">
        <v>0</v>
      </c>
      <c r="H2702" s="19">
        <v>0</v>
      </c>
      <c r="I2702" s="15">
        <v>3500</v>
      </c>
      <c r="J2702" s="15">
        <v>0</v>
      </c>
      <c r="K2702" s="15">
        <v>0</v>
      </c>
      <c r="L2702" s="15">
        <v>0</v>
      </c>
      <c r="M2702" s="15">
        <v>0</v>
      </c>
      <c r="N2702" s="15" t="str">
        <v/>
      </c>
      <c r="O2702" s="15" t="str">
        <v/>
      </c>
      <c r="P2702" s="22">
        <v>0</v>
      </c>
      <c r="Q2702">
        <v>0</v>
      </c>
    </row>
    <row r="2703" spans="1:17">
      <c r="A2703" s="19">
        <v>0</v>
      </c>
      <c r="B2703" s="19">
        <v>0</v>
      </c>
      <c r="C2703" s="19">
        <v>0</v>
      </c>
      <c r="D2703" s="19">
        <v>0</v>
      </c>
      <c r="E2703" s="19">
        <v>0</v>
      </c>
      <c r="F2703" s="19">
        <v>0</v>
      </c>
      <c r="G2703" s="19">
        <v>0</v>
      </c>
      <c r="H2703" s="19">
        <v>0</v>
      </c>
      <c r="I2703" s="15">
        <v>3500</v>
      </c>
      <c r="J2703" s="15">
        <v>0</v>
      </c>
      <c r="K2703" s="15">
        <v>0</v>
      </c>
      <c r="L2703" s="15">
        <v>0</v>
      </c>
      <c r="M2703" s="15">
        <v>0</v>
      </c>
      <c r="N2703" s="15" t="str">
        <v/>
      </c>
      <c r="O2703" s="15" t="str">
        <v/>
      </c>
      <c r="P2703" s="22">
        <v>0</v>
      </c>
      <c r="Q2703">
        <v>0</v>
      </c>
    </row>
    <row r="2704" spans="1:17">
      <c r="A2704" s="19">
        <v>0</v>
      </c>
      <c r="B2704" s="19">
        <v>0</v>
      </c>
      <c r="C2704" s="19">
        <v>0</v>
      </c>
      <c r="D2704" s="19">
        <v>0</v>
      </c>
      <c r="E2704" s="19">
        <v>0</v>
      </c>
      <c r="F2704" s="19">
        <v>0</v>
      </c>
      <c r="G2704" s="19">
        <v>0</v>
      </c>
      <c r="H2704" s="19">
        <v>0</v>
      </c>
      <c r="I2704" s="15">
        <v>3500</v>
      </c>
      <c r="J2704" s="15">
        <v>0</v>
      </c>
      <c r="K2704" s="15">
        <v>0</v>
      </c>
      <c r="L2704" s="15">
        <v>0</v>
      </c>
      <c r="M2704" s="15">
        <v>0</v>
      </c>
      <c r="N2704" s="15" t="str">
        <v/>
      </c>
      <c r="O2704" s="15" t="str">
        <v/>
      </c>
      <c r="P2704" s="22">
        <v>0</v>
      </c>
      <c r="Q2704">
        <v>0</v>
      </c>
    </row>
    <row r="2705" spans="1:17">
      <c r="A2705" s="19">
        <v>0</v>
      </c>
      <c r="B2705" s="19">
        <v>0</v>
      </c>
      <c r="C2705" s="19">
        <v>0</v>
      </c>
      <c r="D2705" s="19">
        <v>0</v>
      </c>
      <c r="E2705" s="19">
        <v>0</v>
      </c>
      <c r="F2705" s="19">
        <v>0</v>
      </c>
      <c r="G2705" s="19">
        <v>0</v>
      </c>
      <c r="H2705" s="19">
        <v>0</v>
      </c>
      <c r="I2705" s="15">
        <v>3500</v>
      </c>
      <c r="J2705" s="15">
        <v>0</v>
      </c>
      <c r="K2705" s="15">
        <v>0</v>
      </c>
      <c r="L2705" s="15">
        <v>0</v>
      </c>
      <c r="M2705" s="15">
        <v>0</v>
      </c>
      <c r="N2705" s="15" t="str">
        <v/>
      </c>
      <c r="O2705" s="15" t="str">
        <v/>
      </c>
      <c r="P2705" s="22">
        <v>0</v>
      </c>
      <c r="Q2705">
        <v>0</v>
      </c>
    </row>
    <row r="2706" spans="1:17">
      <c r="A2706" s="19">
        <v>0</v>
      </c>
      <c r="B2706" s="19">
        <v>0</v>
      </c>
      <c r="C2706" s="19">
        <v>0</v>
      </c>
      <c r="D2706" s="19">
        <v>0</v>
      </c>
      <c r="E2706" s="19">
        <v>0</v>
      </c>
      <c r="F2706" s="19">
        <v>0</v>
      </c>
      <c r="G2706" s="19">
        <v>0</v>
      </c>
      <c r="H2706" s="19">
        <v>0</v>
      </c>
      <c r="I2706" s="15">
        <v>3500</v>
      </c>
      <c r="J2706" s="15">
        <v>0</v>
      </c>
      <c r="K2706" s="15">
        <v>0</v>
      </c>
      <c r="L2706" s="15">
        <v>0</v>
      </c>
      <c r="M2706" s="15">
        <v>0</v>
      </c>
      <c r="N2706" s="15" t="str">
        <v/>
      </c>
      <c r="O2706" s="15" t="str">
        <v/>
      </c>
      <c r="P2706" s="22">
        <v>0</v>
      </c>
      <c r="Q2706">
        <v>0</v>
      </c>
    </row>
    <row r="2707" spans="1:17">
      <c r="A2707" s="19">
        <v>0</v>
      </c>
      <c r="B2707" s="19">
        <v>0</v>
      </c>
      <c r="C2707" s="19">
        <v>0</v>
      </c>
      <c r="D2707" s="19">
        <v>0</v>
      </c>
      <c r="E2707" s="19">
        <v>0</v>
      </c>
      <c r="F2707" s="19">
        <v>0</v>
      </c>
      <c r="G2707" s="19">
        <v>0</v>
      </c>
      <c r="H2707" s="19">
        <v>0</v>
      </c>
      <c r="I2707" s="15">
        <v>3500</v>
      </c>
      <c r="J2707" s="15">
        <v>0</v>
      </c>
      <c r="K2707" s="15">
        <v>0</v>
      </c>
      <c r="L2707" s="15">
        <v>0</v>
      </c>
      <c r="M2707" s="15">
        <v>0</v>
      </c>
      <c r="N2707" s="15" t="str">
        <v/>
      </c>
      <c r="O2707" s="15" t="str">
        <v/>
      </c>
      <c r="P2707" s="22">
        <v>0</v>
      </c>
      <c r="Q2707">
        <v>0</v>
      </c>
    </row>
    <row r="2708" spans="1:17">
      <c r="A2708" s="19">
        <v>0</v>
      </c>
      <c r="B2708" s="19">
        <v>0</v>
      </c>
      <c r="C2708" s="19">
        <v>0</v>
      </c>
      <c r="D2708" s="19">
        <v>0</v>
      </c>
      <c r="E2708" s="19">
        <v>0</v>
      </c>
      <c r="F2708" s="19">
        <v>0</v>
      </c>
      <c r="G2708" s="19">
        <v>0</v>
      </c>
      <c r="H2708" s="19">
        <v>0</v>
      </c>
      <c r="I2708" s="15">
        <v>3500</v>
      </c>
      <c r="J2708" s="15">
        <v>0</v>
      </c>
      <c r="K2708" s="15">
        <v>0</v>
      </c>
      <c r="L2708" s="15">
        <v>0</v>
      </c>
      <c r="M2708" s="15">
        <v>0</v>
      </c>
      <c r="N2708" s="15" t="str">
        <v/>
      </c>
      <c r="O2708" s="15" t="str">
        <v/>
      </c>
      <c r="P2708" s="22">
        <v>0</v>
      </c>
      <c r="Q2708">
        <v>0</v>
      </c>
    </row>
    <row r="2709" spans="1:17">
      <c r="A2709" s="19">
        <v>0</v>
      </c>
      <c r="B2709" s="19">
        <v>0</v>
      </c>
      <c r="C2709" s="19">
        <v>0</v>
      </c>
      <c r="D2709" s="19">
        <v>0</v>
      </c>
      <c r="E2709" s="19">
        <v>0</v>
      </c>
      <c r="F2709" s="19">
        <v>0</v>
      </c>
      <c r="G2709" s="19">
        <v>0</v>
      </c>
      <c r="H2709" s="19">
        <v>0</v>
      </c>
      <c r="I2709" s="15">
        <v>3500</v>
      </c>
      <c r="J2709" s="15">
        <v>0</v>
      </c>
      <c r="K2709" s="15">
        <v>0</v>
      </c>
      <c r="L2709" s="15">
        <v>0</v>
      </c>
      <c r="M2709" s="15">
        <v>0</v>
      </c>
      <c r="N2709" s="15" t="str">
        <v/>
      </c>
      <c r="O2709" s="15" t="str">
        <v/>
      </c>
      <c r="P2709" s="22">
        <v>0</v>
      </c>
      <c r="Q2709">
        <v>0</v>
      </c>
    </row>
    <row r="2710" spans="1:17">
      <c r="A2710" s="19">
        <v>0</v>
      </c>
      <c r="B2710" s="19">
        <v>0</v>
      </c>
      <c r="C2710" s="19">
        <v>0</v>
      </c>
      <c r="D2710" s="19">
        <v>0</v>
      </c>
      <c r="E2710" s="19">
        <v>0</v>
      </c>
      <c r="F2710" s="19">
        <v>0</v>
      </c>
      <c r="G2710" s="19">
        <v>0</v>
      </c>
      <c r="H2710" s="19">
        <v>0</v>
      </c>
      <c r="I2710" s="15">
        <v>3500</v>
      </c>
      <c r="J2710" s="15">
        <v>0</v>
      </c>
      <c r="K2710" s="15">
        <v>0</v>
      </c>
      <c r="L2710" s="15">
        <v>0</v>
      </c>
      <c r="M2710" s="15">
        <v>0</v>
      </c>
      <c r="N2710" s="15" t="str">
        <v/>
      </c>
      <c r="O2710" s="15" t="str">
        <v/>
      </c>
      <c r="P2710" s="22">
        <v>0</v>
      </c>
      <c r="Q2710">
        <v>0</v>
      </c>
    </row>
    <row r="2711" spans="1:17">
      <c r="A2711" s="19">
        <v>0</v>
      </c>
      <c r="B2711" s="19">
        <v>0</v>
      </c>
      <c r="C2711" s="19">
        <v>0</v>
      </c>
      <c r="D2711" s="19">
        <v>0</v>
      </c>
      <c r="E2711" s="19">
        <v>0</v>
      </c>
      <c r="F2711" s="19">
        <v>0</v>
      </c>
      <c r="G2711" s="19">
        <v>0</v>
      </c>
      <c r="H2711" s="19">
        <v>0</v>
      </c>
      <c r="I2711" s="15">
        <v>3500</v>
      </c>
      <c r="J2711" s="15">
        <v>0</v>
      </c>
      <c r="K2711" s="15">
        <v>0</v>
      </c>
      <c r="L2711" s="15">
        <v>0</v>
      </c>
      <c r="M2711" s="15">
        <v>0</v>
      </c>
      <c r="N2711" s="15" t="str">
        <v/>
      </c>
      <c r="O2711" s="15" t="str">
        <v/>
      </c>
      <c r="P2711" s="22">
        <v>0</v>
      </c>
      <c r="Q2711">
        <v>0</v>
      </c>
    </row>
    <row r="2712" spans="1:17">
      <c r="A2712" s="19">
        <v>0</v>
      </c>
      <c r="B2712" s="19">
        <v>0</v>
      </c>
      <c r="C2712" s="19">
        <v>0</v>
      </c>
      <c r="D2712" s="19">
        <v>0</v>
      </c>
      <c r="E2712" s="19">
        <v>0</v>
      </c>
      <c r="F2712" s="19">
        <v>0</v>
      </c>
      <c r="G2712" s="19">
        <v>0</v>
      </c>
      <c r="H2712" s="19">
        <v>0</v>
      </c>
      <c r="I2712" s="15">
        <v>3500</v>
      </c>
      <c r="J2712" s="15">
        <v>0</v>
      </c>
      <c r="K2712" s="15">
        <v>0</v>
      </c>
      <c r="L2712" s="15">
        <v>0</v>
      </c>
      <c r="M2712" s="15">
        <v>0</v>
      </c>
      <c r="N2712" s="15" t="str">
        <v/>
      </c>
      <c r="O2712" s="15" t="str">
        <v/>
      </c>
      <c r="P2712" s="22">
        <v>0</v>
      </c>
      <c r="Q2712">
        <v>0</v>
      </c>
    </row>
    <row r="2713" spans="1:17">
      <c r="A2713" s="19">
        <v>0</v>
      </c>
      <c r="B2713" s="19">
        <v>0</v>
      </c>
      <c r="C2713" s="19">
        <v>0</v>
      </c>
      <c r="D2713" s="19">
        <v>0</v>
      </c>
      <c r="E2713" s="19">
        <v>0</v>
      </c>
      <c r="F2713" s="19">
        <v>0</v>
      </c>
      <c r="G2713" s="19">
        <v>0</v>
      </c>
      <c r="H2713" s="19">
        <v>0</v>
      </c>
      <c r="I2713" s="15">
        <v>3500</v>
      </c>
      <c r="J2713" s="15">
        <v>0</v>
      </c>
      <c r="K2713" s="15">
        <v>0</v>
      </c>
      <c r="L2713" s="15">
        <v>0</v>
      </c>
      <c r="M2713" s="15">
        <v>0</v>
      </c>
      <c r="N2713" s="15" t="str">
        <v/>
      </c>
      <c r="O2713" s="15" t="str">
        <v/>
      </c>
      <c r="P2713" s="22">
        <v>0</v>
      </c>
      <c r="Q2713">
        <v>0</v>
      </c>
    </row>
    <row r="2714" spans="1:17">
      <c r="A2714" s="19">
        <v>0</v>
      </c>
      <c r="B2714" s="19">
        <v>0</v>
      </c>
      <c r="C2714" s="19">
        <v>0</v>
      </c>
      <c r="D2714" s="19">
        <v>0</v>
      </c>
      <c r="E2714" s="19">
        <v>0</v>
      </c>
      <c r="F2714" s="19">
        <v>0</v>
      </c>
      <c r="G2714" s="19">
        <v>0</v>
      </c>
      <c r="H2714" s="19">
        <v>0</v>
      </c>
      <c r="I2714" s="15">
        <v>3500</v>
      </c>
      <c r="J2714" s="15">
        <v>0</v>
      </c>
      <c r="K2714" s="15">
        <v>0</v>
      </c>
      <c r="L2714" s="15">
        <v>0</v>
      </c>
      <c r="M2714" s="15">
        <v>0</v>
      </c>
      <c r="N2714" s="15" t="str">
        <v/>
      </c>
      <c r="O2714" s="15" t="str">
        <v/>
      </c>
      <c r="P2714" s="22">
        <v>0</v>
      </c>
      <c r="Q2714">
        <v>0</v>
      </c>
    </row>
    <row r="2715" spans="1:17">
      <c r="A2715" s="19">
        <v>0</v>
      </c>
      <c r="B2715" s="19">
        <v>0</v>
      </c>
      <c r="C2715" s="19">
        <v>0</v>
      </c>
      <c r="D2715" s="19">
        <v>0</v>
      </c>
      <c r="E2715" s="19">
        <v>0</v>
      </c>
      <c r="F2715" s="19">
        <v>0</v>
      </c>
      <c r="G2715" s="19">
        <v>0</v>
      </c>
      <c r="H2715" s="19">
        <v>0</v>
      </c>
      <c r="I2715" s="15">
        <v>3500</v>
      </c>
      <c r="J2715" s="15">
        <v>0</v>
      </c>
      <c r="K2715" s="15">
        <v>0</v>
      </c>
      <c r="L2715" s="15">
        <v>0</v>
      </c>
      <c r="M2715" s="15">
        <v>0</v>
      </c>
      <c r="N2715" s="15" t="str">
        <v/>
      </c>
      <c r="O2715" s="15" t="str">
        <v/>
      </c>
      <c r="P2715" s="22">
        <v>0</v>
      </c>
      <c r="Q2715">
        <v>0</v>
      </c>
    </row>
    <row r="2716" spans="1:17">
      <c r="A2716" s="19">
        <v>0</v>
      </c>
      <c r="B2716" s="19">
        <v>0</v>
      </c>
      <c r="C2716" s="19">
        <v>0</v>
      </c>
      <c r="D2716" s="19">
        <v>0</v>
      </c>
      <c r="E2716" s="19">
        <v>0</v>
      </c>
      <c r="F2716" s="19">
        <v>0</v>
      </c>
      <c r="G2716" s="19">
        <v>0</v>
      </c>
      <c r="H2716" s="19">
        <v>0</v>
      </c>
      <c r="I2716" s="15">
        <v>3500</v>
      </c>
      <c r="J2716" s="15">
        <v>0</v>
      </c>
      <c r="K2716" s="15">
        <v>0</v>
      </c>
      <c r="L2716" s="15">
        <v>0</v>
      </c>
      <c r="M2716" s="15">
        <v>0</v>
      </c>
      <c r="N2716" s="15" t="str">
        <v/>
      </c>
      <c r="O2716" s="15" t="str">
        <v/>
      </c>
      <c r="P2716" s="22">
        <v>0</v>
      </c>
      <c r="Q2716">
        <v>0</v>
      </c>
    </row>
    <row r="2717" spans="1:17">
      <c r="A2717" s="19">
        <v>0</v>
      </c>
      <c r="B2717" s="19">
        <v>0</v>
      </c>
      <c r="C2717" s="19">
        <v>0</v>
      </c>
      <c r="D2717" s="19">
        <v>0</v>
      </c>
      <c r="E2717" s="19">
        <v>0</v>
      </c>
      <c r="F2717" s="19">
        <v>0</v>
      </c>
      <c r="G2717" s="19">
        <v>0</v>
      </c>
      <c r="H2717" s="19">
        <v>0</v>
      </c>
      <c r="I2717" s="15">
        <v>3500</v>
      </c>
      <c r="J2717" s="15">
        <v>0</v>
      </c>
      <c r="K2717" s="15">
        <v>0</v>
      </c>
      <c r="L2717" s="15">
        <v>0</v>
      </c>
      <c r="M2717" s="15">
        <v>0</v>
      </c>
      <c r="N2717" s="15" t="str">
        <v/>
      </c>
      <c r="O2717" s="15" t="str">
        <v/>
      </c>
      <c r="P2717" s="22">
        <v>0</v>
      </c>
      <c r="Q2717">
        <v>0</v>
      </c>
    </row>
    <row r="2718" spans="1:17">
      <c r="A2718" s="19">
        <v>0</v>
      </c>
      <c r="B2718" s="19">
        <v>0</v>
      </c>
      <c r="C2718" s="19">
        <v>0</v>
      </c>
      <c r="D2718" s="19">
        <v>0</v>
      </c>
      <c r="E2718" s="19">
        <v>0</v>
      </c>
      <c r="F2718" s="19">
        <v>0</v>
      </c>
      <c r="G2718" s="19">
        <v>0</v>
      </c>
      <c r="H2718" s="19">
        <v>0</v>
      </c>
      <c r="I2718" s="15">
        <v>3500</v>
      </c>
      <c r="J2718" s="15">
        <v>0</v>
      </c>
      <c r="K2718" s="15">
        <v>0</v>
      </c>
      <c r="L2718" s="15">
        <v>0</v>
      </c>
      <c r="M2718" s="15">
        <v>0</v>
      </c>
      <c r="N2718" s="15" t="str">
        <v/>
      </c>
      <c r="O2718" s="15" t="str">
        <v/>
      </c>
      <c r="P2718" s="22">
        <v>0</v>
      </c>
      <c r="Q2718">
        <v>0</v>
      </c>
    </row>
    <row r="2719" spans="1:17">
      <c r="A2719" s="19">
        <v>0</v>
      </c>
      <c r="B2719" s="19">
        <v>0</v>
      </c>
      <c r="C2719" s="19">
        <v>0</v>
      </c>
      <c r="D2719" s="19">
        <v>0</v>
      </c>
      <c r="E2719" s="19">
        <v>0</v>
      </c>
      <c r="F2719" s="19">
        <v>0</v>
      </c>
      <c r="G2719" s="19">
        <v>0</v>
      </c>
      <c r="H2719" s="19">
        <v>0</v>
      </c>
      <c r="I2719" s="15">
        <v>3500</v>
      </c>
      <c r="J2719" s="15">
        <v>0</v>
      </c>
      <c r="K2719" s="15">
        <v>0</v>
      </c>
      <c r="L2719" s="15">
        <v>0</v>
      </c>
      <c r="M2719" s="15">
        <v>0</v>
      </c>
      <c r="N2719" s="15" t="str">
        <v/>
      </c>
      <c r="O2719" s="15" t="str">
        <v/>
      </c>
      <c r="P2719" s="22">
        <v>0</v>
      </c>
      <c r="Q2719">
        <v>0</v>
      </c>
    </row>
    <row r="2720" spans="1:17">
      <c r="A2720" s="19">
        <v>0</v>
      </c>
      <c r="B2720" s="19">
        <v>0</v>
      </c>
      <c r="C2720" s="19">
        <v>0</v>
      </c>
      <c r="D2720" s="19">
        <v>0</v>
      </c>
      <c r="E2720" s="19">
        <v>0</v>
      </c>
      <c r="F2720" s="19">
        <v>0</v>
      </c>
      <c r="G2720" s="19">
        <v>0</v>
      </c>
      <c r="H2720" s="19">
        <v>0</v>
      </c>
      <c r="I2720" s="15">
        <v>3500</v>
      </c>
      <c r="J2720" s="15">
        <v>0</v>
      </c>
      <c r="K2720" s="15">
        <v>0</v>
      </c>
      <c r="L2720" s="15">
        <v>0</v>
      </c>
      <c r="M2720" s="15">
        <v>0</v>
      </c>
      <c r="N2720" s="15" t="str">
        <v/>
      </c>
      <c r="O2720" s="15" t="str">
        <v/>
      </c>
      <c r="P2720" s="22">
        <v>0</v>
      </c>
      <c r="Q2720">
        <v>0</v>
      </c>
    </row>
    <row r="2721" spans="1:17">
      <c r="A2721" s="19">
        <v>0</v>
      </c>
      <c r="B2721" s="19">
        <v>0</v>
      </c>
      <c r="C2721" s="19">
        <v>0</v>
      </c>
      <c r="D2721" s="19">
        <v>0</v>
      </c>
      <c r="E2721" s="19">
        <v>0</v>
      </c>
      <c r="F2721" s="19">
        <v>0</v>
      </c>
      <c r="G2721" s="19">
        <v>0</v>
      </c>
      <c r="H2721" s="19">
        <v>0</v>
      </c>
      <c r="I2721" s="15">
        <v>3500</v>
      </c>
      <c r="J2721" s="15">
        <v>0</v>
      </c>
      <c r="K2721" s="15">
        <v>0</v>
      </c>
      <c r="L2721" s="15">
        <v>0</v>
      </c>
      <c r="M2721" s="15">
        <v>0</v>
      </c>
      <c r="N2721" s="15" t="str">
        <v/>
      </c>
      <c r="O2721" s="15" t="str">
        <v/>
      </c>
      <c r="P2721" s="22">
        <v>0</v>
      </c>
      <c r="Q2721">
        <v>0</v>
      </c>
    </row>
    <row r="2722" spans="1:17">
      <c r="A2722" s="19">
        <v>0</v>
      </c>
      <c r="B2722" s="19">
        <v>0</v>
      </c>
      <c r="C2722" s="19">
        <v>0</v>
      </c>
      <c r="D2722" s="19">
        <v>0</v>
      </c>
      <c r="E2722" s="19">
        <v>0</v>
      </c>
      <c r="F2722" s="19">
        <v>0</v>
      </c>
      <c r="G2722" s="19">
        <v>0</v>
      </c>
      <c r="H2722" s="19">
        <v>0</v>
      </c>
      <c r="I2722" s="15">
        <v>3500</v>
      </c>
      <c r="J2722" s="15">
        <v>0</v>
      </c>
      <c r="K2722" s="15">
        <v>0</v>
      </c>
      <c r="L2722" s="15">
        <v>0</v>
      </c>
      <c r="M2722" s="15">
        <v>0</v>
      </c>
      <c r="N2722" s="15" t="str">
        <v/>
      </c>
      <c r="O2722" s="15" t="str">
        <v/>
      </c>
      <c r="P2722" s="22">
        <v>0</v>
      </c>
      <c r="Q2722">
        <v>0</v>
      </c>
    </row>
    <row r="2723" spans="1:17">
      <c r="A2723" s="19">
        <v>0</v>
      </c>
      <c r="B2723" s="19">
        <v>0</v>
      </c>
      <c r="C2723" s="19">
        <v>0</v>
      </c>
      <c r="D2723" s="19">
        <v>0</v>
      </c>
      <c r="E2723" s="19">
        <v>0</v>
      </c>
      <c r="F2723" s="19">
        <v>0</v>
      </c>
      <c r="G2723" s="19">
        <v>0</v>
      </c>
      <c r="H2723" s="19">
        <v>0</v>
      </c>
      <c r="I2723" s="15">
        <v>3500</v>
      </c>
      <c r="J2723" s="15">
        <v>0</v>
      </c>
      <c r="K2723" s="15">
        <v>0</v>
      </c>
      <c r="L2723" s="15">
        <v>0</v>
      </c>
      <c r="M2723" s="15">
        <v>0</v>
      </c>
      <c r="N2723" s="15" t="str">
        <v/>
      </c>
      <c r="O2723" s="15" t="str">
        <v/>
      </c>
      <c r="P2723" s="22">
        <v>0</v>
      </c>
      <c r="Q2723">
        <v>0</v>
      </c>
    </row>
    <row r="2724" spans="1:17">
      <c r="A2724" s="19">
        <v>0</v>
      </c>
      <c r="B2724" s="19">
        <v>0</v>
      </c>
      <c r="C2724" s="19">
        <v>0</v>
      </c>
      <c r="D2724" s="19">
        <v>0</v>
      </c>
      <c r="E2724" s="19">
        <v>0</v>
      </c>
      <c r="F2724" s="19">
        <v>0</v>
      </c>
      <c r="G2724" s="19">
        <v>0</v>
      </c>
      <c r="H2724" s="19">
        <v>0</v>
      </c>
      <c r="I2724" s="15">
        <v>3500</v>
      </c>
      <c r="J2724" s="15">
        <v>0</v>
      </c>
      <c r="K2724" s="15">
        <v>0</v>
      </c>
      <c r="L2724" s="15">
        <v>0</v>
      </c>
      <c r="M2724" s="15">
        <v>0</v>
      </c>
      <c r="N2724" s="15" t="str">
        <v/>
      </c>
      <c r="O2724" s="15" t="str">
        <v/>
      </c>
      <c r="P2724" s="22">
        <v>0</v>
      </c>
      <c r="Q2724">
        <v>0</v>
      </c>
    </row>
    <row r="2725" spans="1:17">
      <c r="A2725" s="19">
        <v>0</v>
      </c>
      <c r="B2725" s="19">
        <v>0</v>
      </c>
      <c r="C2725" s="19">
        <v>0</v>
      </c>
      <c r="D2725" s="19">
        <v>0</v>
      </c>
      <c r="E2725" s="19">
        <v>0</v>
      </c>
      <c r="F2725" s="19">
        <v>0</v>
      </c>
      <c r="G2725" s="19">
        <v>0</v>
      </c>
      <c r="H2725" s="19">
        <v>0</v>
      </c>
      <c r="I2725" s="15">
        <v>3500</v>
      </c>
      <c r="J2725" s="15">
        <v>0</v>
      </c>
      <c r="K2725" s="15">
        <v>0</v>
      </c>
      <c r="L2725" s="15">
        <v>0</v>
      </c>
      <c r="M2725" s="15">
        <v>0</v>
      </c>
      <c r="N2725" s="15" t="str">
        <v/>
      </c>
      <c r="O2725" s="15" t="str">
        <v/>
      </c>
      <c r="P2725" s="22">
        <v>0</v>
      </c>
      <c r="Q2725">
        <v>0</v>
      </c>
    </row>
    <row r="2726" spans="1:17">
      <c r="A2726" s="19">
        <v>0</v>
      </c>
      <c r="B2726" s="19">
        <v>0</v>
      </c>
      <c r="C2726" s="19">
        <v>0</v>
      </c>
      <c r="D2726" s="19">
        <v>0</v>
      </c>
      <c r="E2726" s="19">
        <v>0</v>
      </c>
      <c r="F2726" s="19">
        <v>0</v>
      </c>
      <c r="G2726" s="19">
        <v>0</v>
      </c>
      <c r="H2726" s="19">
        <v>0</v>
      </c>
      <c r="I2726" s="15">
        <v>3500</v>
      </c>
      <c r="J2726" s="15">
        <v>0</v>
      </c>
      <c r="K2726" s="15">
        <v>0</v>
      </c>
      <c r="L2726" s="15">
        <v>0</v>
      </c>
      <c r="M2726" s="15">
        <v>0</v>
      </c>
      <c r="N2726" s="15" t="str">
        <v/>
      </c>
      <c r="O2726" s="15" t="str">
        <v/>
      </c>
      <c r="P2726" s="22">
        <v>0</v>
      </c>
      <c r="Q2726">
        <v>0</v>
      </c>
    </row>
    <row r="2727" spans="1:17">
      <c r="A2727" s="19">
        <v>0</v>
      </c>
      <c r="B2727" s="19">
        <v>0</v>
      </c>
      <c r="C2727" s="19">
        <v>0</v>
      </c>
      <c r="D2727" s="19">
        <v>0</v>
      </c>
      <c r="E2727" s="19">
        <v>0</v>
      </c>
      <c r="F2727" s="19">
        <v>0</v>
      </c>
      <c r="G2727" s="19">
        <v>0</v>
      </c>
      <c r="H2727" s="19">
        <v>0</v>
      </c>
      <c r="I2727" s="15">
        <v>3500</v>
      </c>
      <c r="J2727" s="15">
        <v>0</v>
      </c>
      <c r="K2727" s="15">
        <v>0</v>
      </c>
      <c r="L2727" s="15">
        <v>0</v>
      </c>
      <c r="M2727" s="15">
        <v>0</v>
      </c>
      <c r="N2727" s="15" t="str">
        <v/>
      </c>
      <c r="O2727" s="15" t="str">
        <v/>
      </c>
      <c r="P2727" s="22">
        <v>0</v>
      </c>
      <c r="Q2727">
        <v>0</v>
      </c>
    </row>
    <row r="2728" spans="1:17">
      <c r="A2728" s="19">
        <v>0</v>
      </c>
      <c r="B2728" s="19">
        <v>0</v>
      </c>
      <c r="C2728" s="19">
        <v>0</v>
      </c>
      <c r="D2728" s="19">
        <v>0</v>
      </c>
      <c r="E2728" s="19">
        <v>0</v>
      </c>
      <c r="F2728" s="19">
        <v>0</v>
      </c>
      <c r="G2728" s="19">
        <v>0</v>
      </c>
      <c r="H2728" s="19">
        <v>0</v>
      </c>
      <c r="I2728" s="15">
        <v>3500</v>
      </c>
      <c r="J2728" s="15">
        <v>0</v>
      </c>
      <c r="K2728" s="15">
        <v>0</v>
      </c>
      <c r="L2728" s="15">
        <v>0</v>
      </c>
      <c r="M2728" s="15">
        <v>0</v>
      </c>
      <c r="N2728" s="15" t="str">
        <v/>
      </c>
      <c r="O2728" s="15" t="str">
        <v/>
      </c>
      <c r="P2728" s="22">
        <v>0</v>
      </c>
      <c r="Q2728">
        <v>0</v>
      </c>
    </row>
    <row r="2729" spans="1:17">
      <c r="A2729" s="19">
        <v>0</v>
      </c>
      <c r="B2729" s="19">
        <v>0</v>
      </c>
      <c r="C2729" s="19">
        <v>0</v>
      </c>
      <c r="D2729" s="19">
        <v>0</v>
      </c>
      <c r="E2729" s="19">
        <v>0</v>
      </c>
      <c r="F2729" s="19">
        <v>0</v>
      </c>
      <c r="G2729" s="19">
        <v>0</v>
      </c>
      <c r="H2729" s="19">
        <v>0</v>
      </c>
      <c r="I2729" s="15">
        <v>3500</v>
      </c>
      <c r="J2729" s="15">
        <v>0</v>
      </c>
      <c r="K2729" s="15">
        <v>0</v>
      </c>
      <c r="L2729" s="15">
        <v>0</v>
      </c>
      <c r="M2729" s="15">
        <v>0</v>
      </c>
      <c r="N2729" s="15" t="str">
        <v/>
      </c>
      <c r="O2729" s="15" t="str">
        <v/>
      </c>
      <c r="P2729" s="22">
        <v>0</v>
      </c>
      <c r="Q2729">
        <v>0</v>
      </c>
    </row>
    <row r="2730" spans="1:17">
      <c r="A2730" s="19">
        <v>0</v>
      </c>
      <c r="B2730" s="19">
        <v>0</v>
      </c>
      <c r="C2730" s="19">
        <v>0</v>
      </c>
      <c r="D2730" s="19">
        <v>0</v>
      </c>
      <c r="E2730" s="19">
        <v>0</v>
      </c>
      <c r="F2730" s="19">
        <v>0</v>
      </c>
      <c r="G2730" s="19">
        <v>0</v>
      </c>
      <c r="H2730" s="19">
        <v>0</v>
      </c>
      <c r="I2730" s="15">
        <v>3500</v>
      </c>
      <c r="J2730" s="15">
        <v>0</v>
      </c>
      <c r="K2730" s="15">
        <v>0</v>
      </c>
      <c r="L2730" s="15">
        <v>0</v>
      </c>
      <c r="M2730" s="15">
        <v>0</v>
      </c>
      <c r="N2730" s="15" t="str">
        <v/>
      </c>
      <c r="O2730" s="15" t="str">
        <v/>
      </c>
      <c r="P2730" s="22">
        <v>0</v>
      </c>
      <c r="Q2730">
        <v>0</v>
      </c>
    </row>
    <row r="2731" spans="1:17">
      <c r="A2731" s="19">
        <v>0</v>
      </c>
      <c r="B2731" s="19">
        <v>0</v>
      </c>
      <c r="C2731" s="19">
        <v>0</v>
      </c>
      <c r="D2731" s="19">
        <v>0</v>
      </c>
      <c r="E2731" s="19">
        <v>0</v>
      </c>
      <c r="F2731" s="19">
        <v>0</v>
      </c>
      <c r="G2731" s="19">
        <v>0</v>
      </c>
      <c r="H2731" s="19">
        <v>0</v>
      </c>
      <c r="I2731" s="15">
        <v>3500</v>
      </c>
      <c r="J2731" s="15">
        <v>0</v>
      </c>
      <c r="K2731" s="15">
        <v>0</v>
      </c>
      <c r="L2731" s="15">
        <v>0</v>
      </c>
      <c r="M2731" s="15">
        <v>0</v>
      </c>
      <c r="N2731" s="15" t="str">
        <v/>
      </c>
      <c r="O2731" s="15" t="str">
        <v/>
      </c>
      <c r="P2731" s="22">
        <v>0</v>
      </c>
      <c r="Q2731">
        <v>0</v>
      </c>
    </row>
    <row r="2732" spans="1:17">
      <c r="A2732" s="19">
        <v>0</v>
      </c>
      <c r="B2732" s="19">
        <v>0</v>
      </c>
      <c r="C2732" s="19">
        <v>0</v>
      </c>
      <c r="D2732" s="19">
        <v>0</v>
      </c>
      <c r="E2732" s="19">
        <v>0</v>
      </c>
      <c r="F2732" s="19">
        <v>0</v>
      </c>
      <c r="G2732" s="19">
        <v>0</v>
      </c>
      <c r="H2732" s="19">
        <v>0</v>
      </c>
      <c r="I2732" s="15">
        <v>3500</v>
      </c>
      <c r="J2732" s="15">
        <v>0</v>
      </c>
      <c r="K2732" s="15">
        <v>0</v>
      </c>
      <c r="L2732" s="15">
        <v>0</v>
      </c>
      <c r="M2732" s="15">
        <v>0</v>
      </c>
      <c r="N2732" s="15" t="str">
        <v/>
      </c>
      <c r="O2732" s="15" t="str">
        <v/>
      </c>
      <c r="P2732" s="22">
        <v>0</v>
      </c>
      <c r="Q2732">
        <v>0</v>
      </c>
    </row>
    <row r="2733" spans="1:17">
      <c r="A2733" s="19">
        <v>0</v>
      </c>
      <c r="B2733" s="19">
        <v>0</v>
      </c>
      <c r="C2733" s="19">
        <v>0</v>
      </c>
      <c r="D2733" s="19">
        <v>0</v>
      </c>
      <c r="E2733" s="19">
        <v>0</v>
      </c>
      <c r="F2733" s="19">
        <v>0</v>
      </c>
      <c r="G2733" s="19">
        <v>0</v>
      </c>
      <c r="H2733" s="19">
        <v>0</v>
      </c>
      <c r="I2733" s="15">
        <v>3500</v>
      </c>
      <c r="J2733" s="15">
        <v>0</v>
      </c>
      <c r="K2733" s="15">
        <v>0</v>
      </c>
      <c r="L2733" s="15">
        <v>0</v>
      </c>
      <c r="M2733" s="15">
        <v>0</v>
      </c>
      <c r="N2733" s="15" t="str">
        <v/>
      </c>
      <c r="O2733" s="15" t="str">
        <v/>
      </c>
      <c r="P2733" s="22">
        <v>0</v>
      </c>
      <c r="Q2733">
        <v>0</v>
      </c>
    </row>
    <row r="2734" spans="1:17">
      <c r="A2734" s="19">
        <v>0</v>
      </c>
      <c r="B2734" s="19">
        <v>0</v>
      </c>
      <c r="C2734" s="19">
        <v>0</v>
      </c>
      <c r="D2734" s="19">
        <v>0</v>
      </c>
      <c r="E2734" s="19">
        <v>0</v>
      </c>
      <c r="F2734" s="19">
        <v>0</v>
      </c>
      <c r="G2734" s="19">
        <v>0</v>
      </c>
      <c r="H2734" s="19">
        <v>0</v>
      </c>
      <c r="I2734" s="15">
        <v>3500</v>
      </c>
      <c r="J2734" s="15">
        <v>0</v>
      </c>
      <c r="K2734" s="15">
        <v>0</v>
      </c>
      <c r="L2734" s="15">
        <v>0</v>
      </c>
      <c r="M2734" s="15">
        <v>0</v>
      </c>
      <c r="N2734" s="15" t="str">
        <v/>
      </c>
      <c r="O2734" s="15" t="str">
        <v/>
      </c>
      <c r="P2734" s="22">
        <v>0</v>
      </c>
      <c r="Q2734">
        <v>0</v>
      </c>
    </row>
    <row r="2735" spans="1:17">
      <c r="A2735" s="19">
        <v>0</v>
      </c>
      <c r="B2735" s="19">
        <v>0</v>
      </c>
      <c r="C2735" s="19">
        <v>0</v>
      </c>
      <c r="D2735" s="19">
        <v>0</v>
      </c>
      <c r="E2735" s="19">
        <v>0</v>
      </c>
      <c r="F2735" s="19">
        <v>0</v>
      </c>
      <c r="G2735" s="19">
        <v>0</v>
      </c>
      <c r="H2735" s="19">
        <v>0</v>
      </c>
      <c r="I2735" s="15">
        <v>3500</v>
      </c>
      <c r="J2735" s="15">
        <v>0</v>
      </c>
      <c r="K2735" s="15">
        <v>0</v>
      </c>
      <c r="L2735" s="15">
        <v>0</v>
      </c>
      <c r="M2735" s="15">
        <v>0</v>
      </c>
      <c r="N2735" s="15" t="str">
        <v/>
      </c>
      <c r="O2735" s="15" t="str">
        <v/>
      </c>
      <c r="P2735" s="22">
        <v>0</v>
      </c>
      <c r="Q2735">
        <v>0</v>
      </c>
    </row>
    <row r="2736" spans="1:17">
      <c r="A2736" s="19">
        <v>0</v>
      </c>
      <c r="B2736" s="19">
        <v>0</v>
      </c>
      <c r="C2736" s="19">
        <v>0</v>
      </c>
      <c r="D2736" s="19">
        <v>0</v>
      </c>
      <c r="E2736" s="19">
        <v>0</v>
      </c>
      <c r="F2736" s="19">
        <v>0</v>
      </c>
      <c r="G2736" s="19">
        <v>0</v>
      </c>
      <c r="H2736" s="19">
        <v>0</v>
      </c>
      <c r="I2736" s="15">
        <v>3500</v>
      </c>
      <c r="J2736" s="15">
        <v>0</v>
      </c>
      <c r="K2736" s="15">
        <v>0</v>
      </c>
      <c r="L2736" s="15">
        <v>0</v>
      </c>
      <c r="M2736" s="15">
        <v>0</v>
      </c>
      <c r="N2736" s="15" t="str">
        <v/>
      </c>
      <c r="O2736" s="15" t="str">
        <v/>
      </c>
      <c r="P2736" s="22">
        <v>0</v>
      </c>
      <c r="Q2736">
        <v>0</v>
      </c>
    </row>
    <row r="2737" spans="1:17">
      <c r="A2737" s="19">
        <v>0</v>
      </c>
      <c r="B2737" s="19">
        <v>0</v>
      </c>
      <c r="C2737" s="19">
        <v>0</v>
      </c>
      <c r="D2737" s="19">
        <v>0</v>
      </c>
      <c r="E2737" s="19">
        <v>0</v>
      </c>
      <c r="F2737" s="19">
        <v>0</v>
      </c>
      <c r="G2737" s="19">
        <v>0</v>
      </c>
      <c r="H2737" s="19">
        <v>0</v>
      </c>
      <c r="I2737" s="15">
        <v>3500</v>
      </c>
      <c r="J2737" s="15">
        <v>0</v>
      </c>
      <c r="K2737" s="15">
        <v>0</v>
      </c>
      <c r="L2737" s="15">
        <v>0</v>
      </c>
      <c r="M2737" s="15">
        <v>0</v>
      </c>
      <c r="N2737" s="15" t="str">
        <v/>
      </c>
      <c r="O2737" s="15" t="str">
        <v/>
      </c>
      <c r="P2737" s="22">
        <v>0</v>
      </c>
      <c r="Q2737">
        <v>0</v>
      </c>
    </row>
    <row r="2738" spans="1:17">
      <c r="A2738" s="19">
        <v>0</v>
      </c>
      <c r="B2738" s="19">
        <v>0</v>
      </c>
      <c r="C2738" s="19">
        <v>0</v>
      </c>
      <c r="D2738" s="19">
        <v>0</v>
      </c>
      <c r="E2738" s="19">
        <v>0</v>
      </c>
      <c r="F2738" s="19">
        <v>0</v>
      </c>
      <c r="G2738" s="19">
        <v>0</v>
      </c>
      <c r="H2738" s="19">
        <v>0</v>
      </c>
      <c r="I2738" s="15">
        <v>3500</v>
      </c>
      <c r="J2738" s="15">
        <v>0</v>
      </c>
      <c r="K2738" s="15">
        <v>0</v>
      </c>
      <c r="L2738" s="15">
        <v>0</v>
      </c>
      <c r="M2738" s="15">
        <v>0</v>
      </c>
      <c r="N2738" s="15" t="str">
        <v/>
      </c>
      <c r="O2738" s="15" t="str">
        <v/>
      </c>
      <c r="P2738" s="22">
        <v>0</v>
      </c>
      <c r="Q2738">
        <v>0</v>
      </c>
    </row>
    <row r="2739" spans="1:17">
      <c r="A2739" s="19">
        <v>0</v>
      </c>
      <c r="B2739" s="19">
        <v>0</v>
      </c>
      <c r="C2739" s="19">
        <v>0</v>
      </c>
      <c r="D2739" s="19">
        <v>0</v>
      </c>
      <c r="E2739" s="19">
        <v>0</v>
      </c>
      <c r="F2739" s="19">
        <v>0</v>
      </c>
      <c r="G2739" s="19">
        <v>0</v>
      </c>
      <c r="H2739" s="19">
        <v>0</v>
      </c>
      <c r="I2739" s="15">
        <v>3500</v>
      </c>
      <c r="J2739" s="15">
        <v>0</v>
      </c>
      <c r="K2739" s="15">
        <v>0</v>
      </c>
      <c r="L2739" s="15">
        <v>0</v>
      </c>
      <c r="M2739" s="15">
        <v>0</v>
      </c>
      <c r="N2739" s="15" t="str">
        <v/>
      </c>
      <c r="O2739" s="15" t="str">
        <v/>
      </c>
      <c r="P2739" s="22">
        <v>0</v>
      </c>
      <c r="Q2739">
        <v>0</v>
      </c>
    </row>
    <row r="2740" spans="1:17">
      <c r="A2740" s="19">
        <v>0</v>
      </c>
      <c r="B2740" s="19">
        <v>0</v>
      </c>
      <c r="C2740" s="19">
        <v>0</v>
      </c>
      <c r="D2740" s="19">
        <v>0</v>
      </c>
      <c r="E2740" s="19">
        <v>0</v>
      </c>
      <c r="F2740" s="19">
        <v>0</v>
      </c>
      <c r="G2740" s="19">
        <v>0</v>
      </c>
      <c r="H2740" s="19">
        <v>0</v>
      </c>
      <c r="I2740" s="15">
        <v>3500</v>
      </c>
      <c r="J2740" s="15">
        <v>0</v>
      </c>
      <c r="K2740" s="15">
        <v>0</v>
      </c>
      <c r="L2740" s="15">
        <v>0</v>
      </c>
      <c r="M2740" s="15">
        <v>0</v>
      </c>
      <c r="N2740" s="15" t="str">
        <v/>
      </c>
      <c r="O2740" s="15" t="str">
        <v/>
      </c>
      <c r="P2740" s="22">
        <v>0</v>
      </c>
      <c r="Q2740">
        <v>0</v>
      </c>
    </row>
    <row r="2741" spans="1:17">
      <c r="A2741" s="19">
        <v>0</v>
      </c>
      <c r="B2741" s="19">
        <v>0</v>
      </c>
      <c r="C2741" s="19">
        <v>0</v>
      </c>
      <c r="D2741" s="19">
        <v>0</v>
      </c>
      <c r="E2741" s="19">
        <v>0</v>
      </c>
      <c r="F2741" s="19">
        <v>0</v>
      </c>
      <c r="G2741" s="19">
        <v>0</v>
      </c>
      <c r="H2741" s="19">
        <v>0</v>
      </c>
      <c r="I2741" s="15">
        <v>3500</v>
      </c>
      <c r="J2741" s="15">
        <v>0</v>
      </c>
      <c r="K2741" s="15">
        <v>0</v>
      </c>
      <c r="L2741" s="15">
        <v>0</v>
      </c>
      <c r="M2741" s="15">
        <v>0</v>
      </c>
      <c r="N2741" s="15" t="str">
        <v/>
      </c>
      <c r="O2741" s="15" t="str">
        <v/>
      </c>
      <c r="P2741" s="22">
        <v>0</v>
      </c>
      <c r="Q2741">
        <v>0</v>
      </c>
    </row>
    <row r="2742" spans="1:17">
      <c r="A2742" s="19">
        <v>0</v>
      </c>
      <c r="B2742" s="19">
        <v>0</v>
      </c>
      <c r="C2742" s="19">
        <v>0</v>
      </c>
      <c r="D2742" s="19">
        <v>0</v>
      </c>
      <c r="E2742" s="19">
        <v>0</v>
      </c>
      <c r="F2742" s="19">
        <v>0</v>
      </c>
      <c r="G2742" s="19">
        <v>0</v>
      </c>
      <c r="H2742" s="19">
        <v>0</v>
      </c>
      <c r="I2742" s="15">
        <v>3500</v>
      </c>
      <c r="J2742" s="15">
        <v>0</v>
      </c>
      <c r="K2742" s="15">
        <v>0</v>
      </c>
      <c r="L2742" s="15">
        <v>0</v>
      </c>
      <c r="M2742" s="15">
        <v>0</v>
      </c>
      <c r="N2742" s="15" t="str">
        <v/>
      </c>
      <c r="O2742" s="15" t="str">
        <v/>
      </c>
      <c r="P2742" s="22">
        <v>0</v>
      </c>
      <c r="Q2742">
        <v>0</v>
      </c>
    </row>
    <row r="2743" spans="1:17">
      <c r="A2743" s="19">
        <v>0</v>
      </c>
      <c r="B2743" s="19">
        <v>0</v>
      </c>
      <c r="C2743" s="19">
        <v>0</v>
      </c>
      <c r="D2743" s="19">
        <v>0</v>
      </c>
      <c r="E2743" s="19">
        <v>0</v>
      </c>
      <c r="F2743" s="19">
        <v>0</v>
      </c>
      <c r="G2743" s="19">
        <v>0</v>
      </c>
      <c r="H2743" s="19">
        <v>0</v>
      </c>
      <c r="I2743" s="15">
        <v>3500</v>
      </c>
      <c r="J2743" s="15">
        <v>0</v>
      </c>
      <c r="K2743" s="15">
        <v>0</v>
      </c>
      <c r="L2743" s="15">
        <v>0</v>
      </c>
      <c r="M2743" s="15">
        <v>0</v>
      </c>
      <c r="N2743" s="15" t="str">
        <v/>
      </c>
      <c r="O2743" s="15" t="str">
        <v/>
      </c>
      <c r="P2743" s="22">
        <v>0</v>
      </c>
      <c r="Q2743">
        <v>0</v>
      </c>
    </row>
    <row r="2744" spans="1:17">
      <c r="A2744" s="19">
        <v>0</v>
      </c>
      <c r="B2744" s="19">
        <v>0</v>
      </c>
      <c r="C2744" s="19">
        <v>0</v>
      </c>
      <c r="D2744" s="19">
        <v>0</v>
      </c>
      <c r="E2744" s="19">
        <v>0</v>
      </c>
      <c r="F2744" s="19">
        <v>0</v>
      </c>
      <c r="G2744" s="19">
        <v>0</v>
      </c>
      <c r="H2744" s="19">
        <v>0</v>
      </c>
      <c r="I2744" s="15">
        <v>3500</v>
      </c>
      <c r="J2744" s="15">
        <v>0</v>
      </c>
      <c r="K2744" s="15">
        <v>0</v>
      </c>
      <c r="L2744" s="15">
        <v>0</v>
      </c>
      <c r="M2744" s="15">
        <v>0</v>
      </c>
      <c r="N2744" s="15" t="str">
        <v/>
      </c>
      <c r="O2744" s="15" t="str">
        <v/>
      </c>
      <c r="P2744" s="22">
        <v>0</v>
      </c>
      <c r="Q2744">
        <v>0</v>
      </c>
    </row>
    <row r="2745" spans="1:17">
      <c r="A2745" s="19">
        <v>0</v>
      </c>
      <c r="B2745" s="19">
        <v>0</v>
      </c>
      <c r="C2745" s="19">
        <v>0</v>
      </c>
      <c r="D2745" s="19">
        <v>0</v>
      </c>
      <c r="E2745" s="19">
        <v>0</v>
      </c>
      <c r="F2745" s="19">
        <v>0</v>
      </c>
      <c r="G2745" s="19">
        <v>0</v>
      </c>
      <c r="H2745" s="19">
        <v>0</v>
      </c>
      <c r="I2745" s="15">
        <v>3500</v>
      </c>
      <c r="J2745" s="15">
        <v>0</v>
      </c>
      <c r="K2745" s="15">
        <v>0</v>
      </c>
      <c r="L2745" s="15">
        <v>0</v>
      </c>
      <c r="M2745" s="15">
        <v>0</v>
      </c>
      <c r="N2745" s="15" t="str">
        <v/>
      </c>
      <c r="O2745" s="15" t="str">
        <v/>
      </c>
      <c r="P2745" s="22">
        <v>0</v>
      </c>
      <c r="Q2745">
        <v>0</v>
      </c>
    </row>
    <row r="2746" spans="1:17">
      <c r="A2746" s="19">
        <v>0</v>
      </c>
      <c r="B2746" s="19">
        <v>0</v>
      </c>
      <c r="C2746" s="19">
        <v>0</v>
      </c>
      <c r="D2746" s="19">
        <v>0</v>
      </c>
      <c r="E2746" s="19">
        <v>0</v>
      </c>
      <c r="F2746" s="19">
        <v>0</v>
      </c>
      <c r="G2746" s="19">
        <v>0</v>
      </c>
      <c r="H2746" s="19">
        <v>0</v>
      </c>
      <c r="I2746" s="15">
        <v>3500</v>
      </c>
      <c r="J2746" s="15">
        <v>0</v>
      </c>
      <c r="K2746" s="15">
        <v>0</v>
      </c>
      <c r="L2746" s="15">
        <v>0</v>
      </c>
      <c r="M2746" s="15">
        <v>0</v>
      </c>
      <c r="N2746" s="15" t="str">
        <v/>
      </c>
      <c r="O2746" s="15" t="str">
        <v/>
      </c>
      <c r="P2746" s="22">
        <v>0</v>
      </c>
      <c r="Q2746">
        <v>0</v>
      </c>
    </row>
    <row r="2747" spans="1:17">
      <c r="A2747" s="19">
        <v>0</v>
      </c>
      <c r="B2747" s="19">
        <v>0</v>
      </c>
      <c r="C2747" s="19">
        <v>0</v>
      </c>
      <c r="D2747" s="19">
        <v>0</v>
      </c>
      <c r="E2747" s="19">
        <v>0</v>
      </c>
      <c r="F2747" s="19">
        <v>0</v>
      </c>
      <c r="G2747" s="19">
        <v>0</v>
      </c>
      <c r="H2747" s="19">
        <v>0</v>
      </c>
      <c r="I2747" s="15">
        <v>3500</v>
      </c>
      <c r="J2747" s="15">
        <v>0</v>
      </c>
      <c r="K2747" s="15">
        <v>0</v>
      </c>
      <c r="L2747" s="15">
        <v>0</v>
      </c>
      <c r="M2747" s="15">
        <v>0</v>
      </c>
      <c r="N2747" s="15" t="str">
        <v/>
      </c>
      <c r="O2747" s="15" t="str">
        <v/>
      </c>
      <c r="P2747" s="22">
        <v>0</v>
      </c>
      <c r="Q2747">
        <v>0</v>
      </c>
    </row>
    <row r="2748" spans="1:17">
      <c r="A2748" s="19">
        <v>0</v>
      </c>
      <c r="B2748" s="19">
        <v>0</v>
      </c>
      <c r="C2748" s="19">
        <v>0</v>
      </c>
      <c r="D2748" s="19">
        <v>0</v>
      </c>
      <c r="E2748" s="19">
        <v>0</v>
      </c>
      <c r="F2748" s="19">
        <v>0</v>
      </c>
      <c r="G2748" s="19">
        <v>0</v>
      </c>
      <c r="H2748" s="19">
        <v>0</v>
      </c>
      <c r="I2748" s="15">
        <v>3500</v>
      </c>
      <c r="J2748" s="15">
        <v>0</v>
      </c>
      <c r="K2748" s="15">
        <v>0</v>
      </c>
      <c r="L2748" s="15">
        <v>0</v>
      </c>
      <c r="M2748" s="15">
        <v>0</v>
      </c>
      <c r="N2748" s="15" t="str">
        <v/>
      </c>
      <c r="O2748" s="15" t="str">
        <v/>
      </c>
      <c r="P2748" s="22">
        <v>0</v>
      </c>
      <c r="Q2748">
        <v>0</v>
      </c>
    </row>
    <row r="2749" spans="1:17">
      <c r="A2749" s="19">
        <v>0</v>
      </c>
      <c r="B2749" s="19">
        <v>0</v>
      </c>
      <c r="C2749" s="19">
        <v>0</v>
      </c>
      <c r="D2749" s="19">
        <v>0</v>
      </c>
      <c r="E2749" s="19">
        <v>0</v>
      </c>
      <c r="F2749" s="19">
        <v>0</v>
      </c>
      <c r="G2749" s="19">
        <v>0</v>
      </c>
      <c r="H2749" s="19">
        <v>0</v>
      </c>
      <c r="I2749" s="15">
        <v>3500</v>
      </c>
      <c r="J2749" s="15">
        <v>0</v>
      </c>
      <c r="K2749" s="15">
        <v>0</v>
      </c>
      <c r="L2749" s="15">
        <v>0</v>
      </c>
      <c r="M2749" s="15">
        <v>0</v>
      </c>
      <c r="N2749" s="15" t="str">
        <v/>
      </c>
      <c r="O2749" s="15" t="str">
        <v/>
      </c>
      <c r="P2749" s="22">
        <v>0</v>
      </c>
      <c r="Q2749">
        <v>0</v>
      </c>
    </row>
    <row r="2750" spans="1:17">
      <c r="A2750" s="19">
        <v>0</v>
      </c>
      <c r="B2750" s="19">
        <v>0</v>
      </c>
      <c r="C2750" s="19">
        <v>0</v>
      </c>
      <c r="D2750" s="19">
        <v>0</v>
      </c>
      <c r="E2750" s="19">
        <v>0</v>
      </c>
      <c r="F2750" s="19">
        <v>0</v>
      </c>
      <c r="G2750" s="19">
        <v>0</v>
      </c>
      <c r="H2750" s="19">
        <v>0</v>
      </c>
      <c r="I2750" s="15">
        <v>3500</v>
      </c>
      <c r="J2750" s="15">
        <v>0</v>
      </c>
      <c r="K2750" s="15">
        <v>0</v>
      </c>
      <c r="L2750" s="15">
        <v>0</v>
      </c>
      <c r="M2750" s="15">
        <v>0</v>
      </c>
      <c r="N2750" s="15" t="str">
        <v/>
      </c>
      <c r="O2750" s="15" t="str">
        <v/>
      </c>
      <c r="P2750" s="22">
        <v>0</v>
      </c>
      <c r="Q2750">
        <v>0</v>
      </c>
    </row>
    <row r="2751" spans="1:17">
      <c r="A2751" s="19">
        <v>0</v>
      </c>
      <c r="B2751" s="19">
        <v>0</v>
      </c>
      <c r="C2751" s="19">
        <v>0</v>
      </c>
      <c r="D2751" s="19">
        <v>0</v>
      </c>
      <c r="E2751" s="19">
        <v>0</v>
      </c>
      <c r="F2751" s="19">
        <v>0</v>
      </c>
      <c r="G2751" s="19">
        <v>0</v>
      </c>
      <c r="H2751" s="19">
        <v>0</v>
      </c>
      <c r="I2751" s="15">
        <v>3500</v>
      </c>
      <c r="J2751" s="15">
        <v>0</v>
      </c>
      <c r="K2751" s="15">
        <v>0</v>
      </c>
      <c r="L2751" s="15">
        <v>0</v>
      </c>
      <c r="M2751" s="15">
        <v>0</v>
      </c>
      <c r="N2751" s="15" t="str">
        <v/>
      </c>
      <c r="O2751" s="15" t="str">
        <v/>
      </c>
      <c r="P2751" s="22">
        <v>0</v>
      </c>
      <c r="Q2751">
        <v>0</v>
      </c>
    </row>
    <row r="2752" spans="1:17">
      <c r="A2752" s="19">
        <v>0</v>
      </c>
      <c r="B2752" s="19">
        <v>0</v>
      </c>
      <c r="C2752" s="19">
        <v>0</v>
      </c>
      <c r="D2752" s="19">
        <v>0</v>
      </c>
      <c r="E2752" s="19">
        <v>0</v>
      </c>
      <c r="F2752" s="19">
        <v>0</v>
      </c>
      <c r="G2752" s="19">
        <v>0</v>
      </c>
      <c r="H2752" s="19">
        <v>0</v>
      </c>
      <c r="I2752" s="15">
        <v>3500</v>
      </c>
      <c r="J2752" s="15">
        <v>0</v>
      </c>
      <c r="K2752" s="15">
        <v>0</v>
      </c>
      <c r="L2752" s="15">
        <v>0</v>
      </c>
      <c r="M2752" s="15">
        <v>0</v>
      </c>
      <c r="N2752" s="15" t="str">
        <v/>
      </c>
      <c r="O2752" s="15" t="str">
        <v/>
      </c>
      <c r="P2752" s="22">
        <v>0</v>
      </c>
      <c r="Q2752">
        <v>0</v>
      </c>
    </row>
    <row r="2753" spans="1:17">
      <c r="A2753" s="19">
        <v>0</v>
      </c>
      <c r="B2753" s="19">
        <v>0</v>
      </c>
      <c r="C2753" s="19">
        <v>0</v>
      </c>
      <c r="D2753" s="19">
        <v>0</v>
      </c>
      <c r="E2753" s="19">
        <v>0</v>
      </c>
      <c r="F2753" s="19">
        <v>0</v>
      </c>
      <c r="G2753" s="19">
        <v>0</v>
      </c>
      <c r="H2753" s="19">
        <v>0</v>
      </c>
      <c r="I2753" s="15">
        <v>3500</v>
      </c>
      <c r="J2753" s="15">
        <v>0</v>
      </c>
      <c r="K2753" s="15">
        <v>0</v>
      </c>
      <c r="L2753" s="15">
        <v>0</v>
      </c>
      <c r="M2753" s="15">
        <v>0</v>
      </c>
      <c r="N2753" s="15" t="str">
        <v/>
      </c>
      <c r="O2753" s="15" t="str">
        <v/>
      </c>
      <c r="P2753" s="22">
        <v>0</v>
      </c>
      <c r="Q2753">
        <v>0</v>
      </c>
    </row>
    <row r="2754" spans="1:17">
      <c r="A2754" s="19">
        <v>0</v>
      </c>
      <c r="B2754" s="19">
        <v>0</v>
      </c>
      <c r="C2754" s="19">
        <v>0</v>
      </c>
      <c r="D2754" s="19">
        <v>0</v>
      </c>
      <c r="E2754" s="19">
        <v>0</v>
      </c>
      <c r="F2754" s="19">
        <v>0</v>
      </c>
      <c r="G2754" s="19">
        <v>0</v>
      </c>
      <c r="H2754" s="19">
        <v>0</v>
      </c>
      <c r="I2754" s="15">
        <v>3500</v>
      </c>
      <c r="J2754" s="15">
        <v>0</v>
      </c>
      <c r="K2754" s="15">
        <v>0</v>
      </c>
      <c r="L2754" s="15">
        <v>0</v>
      </c>
      <c r="M2754" s="15">
        <v>0</v>
      </c>
      <c r="N2754" s="15" t="str">
        <v/>
      </c>
      <c r="O2754" s="15" t="str">
        <v/>
      </c>
      <c r="P2754" s="22">
        <v>0</v>
      </c>
      <c r="Q2754">
        <v>0</v>
      </c>
    </row>
    <row r="2755" spans="1:17">
      <c r="A2755" s="19">
        <v>0</v>
      </c>
      <c r="B2755" s="19">
        <v>0</v>
      </c>
      <c r="C2755" s="19">
        <v>0</v>
      </c>
      <c r="D2755" s="19">
        <v>0</v>
      </c>
      <c r="E2755" s="19">
        <v>0</v>
      </c>
      <c r="F2755" s="19">
        <v>0</v>
      </c>
      <c r="G2755" s="19">
        <v>0</v>
      </c>
      <c r="H2755" s="19">
        <v>0</v>
      </c>
      <c r="I2755" s="15">
        <v>3500</v>
      </c>
      <c r="J2755" s="15">
        <v>0</v>
      </c>
      <c r="K2755" s="15">
        <v>0</v>
      </c>
      <c r="L2755" s="15">
        <v>0</v>
      </c>
      <c r="M2755" s="15">
        <v>0</v>
      </c>
      <c r="N2755" s="15" t="str">
        <v/>
      </c>
      <c r="O2755" s="15" t="str">
        <v/>
      </c>
      <c r="P2755" s="22">
        <v>0</v>
      </c>
      <c r="Q2755">
        <v>0</v>
      </c>
    </row>
    <row r="2756" spans="1:17">
      <c r="A2756" s="19">
        <v>0</v>
      </c>
      <c r="B2756" s="19">
        <v>0</v>
      </c>
      <c r="C2756" s="19">
        <v>0</v>
      </c>
      <c r="D2756" s="19">
        <v>0</v>
      </c>
      <c r="E2756" s="19">
        <v>0</v>
      </c>
      <c r="F2756" s="19">
        <v>0</v>
      </c>
      <c r="G2756" s="19">
        <v>0</v>
      </c>
      <c r="H2756" s="19">
        <v>0</v>
      </c>
      <c r="I2756" s="15">
        <v>3500</v>
      </c>
      <c r="J2756" s="15">
        <v>0</v>
      </c>
      <c r="K2756" s="15">
        <v>0</v>
      </c>
      <c r="L2756" s="15">
        <v>0</v>
      </c>
      <c r="M2756" s="15">
        <v>0</v>
      </c>
      <c r="N2756" s="15" t="str">
        <v/>
      </c>
      <c r="O2756" s="15" t="str">
        <v/>
      </c>
      <c r="P2756" s="22">
        <v>0</v>
      </c>
      <c r="Q2756">
        <v>0</v>
      </c>
    </row>
    <row r="2757" spans="1:17">
      <c r="A2757" s="19">
        <v>0</v>
      </c>
      <c r="B2757" s="19">
        <v>0</v>
      </c>
      <c r="C2757" s="19">
        <v>0</v>
      </c>
      <c r="D2757" s="19">
        <v>0</v>
      </c>
      <c r="E2757" s="19">
        <v>0</v>
      </c>
      <c r="F2757" s="19">
        <v>0</v>
      </c>
      <c r="G2757" s="19">
        <v>0</v>
      </c>
      <c r="H2757" s="19">
        <v>0</v>
      </c>
      <c r="I2757" s="15">
        <v>3500</v>
      </c>
      <c r="J2757" s="15">
        <v>0</v>
      </c>
      <c r="K2757" s="15">
        <v>0</v>
      </c>
      <c r="L2757" s="15">
        <v>0</v>
      </c>
      <c r="M2757" s="15">
        <v>0</v>
      </c>
      <c r="N2757" s="15" t="str">
        <v/>
      </c>
      <c r="O2757" s="15" t="str">
        <v/>
      </c>
      <c r="P2757" s="22">
        <v>0</v>
      </c>
      <c r="Q2757">
        <v>0</v>
      </c>
    </row>
    <row r="2758" spans="1:17">
      <c r="A2758" s="19">
        <v>0</v>
      </c>
      <c r="B2758" s="19">
        <v>0</v>
      </c>
      <c r="C2758" s="19">
        <v>0</v>
      </c>
      <c r="D2758" s="19">
        <v>0</v>
      </c>
      <c r="E2758" s="19">
        <v>0</v>
      </c>
      <c r="F2758" s="19">
        <v>0</v>
      </c>
      <c r="G2758" s="19">
        <v>0</v>
      </c>
      <c r="H2758" s="19">
        <v>0</v>
      </c>
      <c r="I2758" s="15">
        <v>3500</v>
      </c>
      <c r="J2758" s="15">
        <v>0</v>
      </c>
      <c r="K2758" s="15">
        <v>0</v>
      </c>
      <c r="L2758" s="15">
        <v>0</v>
      </c>
      <c r="M2758" s="15">
        <v>0</v>
      </c>
      <c r="N2758" s="15" t="str">
        <v/>
      </c>
      <c r="O2758" s="15" t="str">
        <v/>
      </c>
      <c r="P2758" s="22">
        <v>0</v>
      </c>
      <c r="Q2758">
        <v>0</v>
      </c>
    </row>
    <row r="2759" spans="1:17">
      <c r="A2759" s="19">
        <v>0</v>
      </c>
      <c r="B2759" s="19">
        <v>0</v>
      </c>
      <c r="C2759" s="19">
        <v>0</v>
      </c>
      <c r="D2759" s="19">
        <v>0</v>
      </c>
      <c r="E2759" s="19">
        <v>0</v>
      </c>
      <c r="F2759" s="19">
        <v>0</v>
      </c>
      <c r="G2759" s="19">
        <v>0</v>
      </c>
      <c r="H2759" s="19">
        <v>0</v>
      </c>
      <c r="I2759" s="15">
        <v>3500</v>
      </c>
      <c r="J2759" s="15">
        <v>0</v>
      </c>
      <c r="K2759" s="15">
        <v>0</v>
      </c>
      <c r="L2759" s="15">
        <v>0</v>
      </c>
      <c r="M2759" s="15">
        <v>0</v>
      </c>
      <c r="N2759" s="15" t="str">
        <v/>
      </c>
      <c r="O2759" s="15" t="str">
        <v/>
      </c>
      <c r="P2759" s="22">
        <v>0</v>
      </c>
      <c r="Q2759">
        <v>0</v>
      </c>
    </row>
    <row r="2760" spans="1:17">
      <c r="A2760" s="19">
        <v>0</v>
      </c>
      <c r="B2760" s="19">
        <v>0</v>
      </c>
      <c r="C2760" s="19">
        <v>0</v>
      </c>
      <c r="D2760" s="19">
        <v>0</v>
      </c>
      <c r="E2760" s="19">
        <v>0</v>
      </c>
      <c r="F2760" s="19">
        <v>0</v>
      </c>
      <c r="G2760" s="19">
        <v>0</v>
      </c>
      <c r="H2760" s="19">
        <v>0</v>
      </c>
      <c r="I2760" s="15">
        <v>3500</v>
      </c>
      <c r="J2760" s="15">
        <v>0</v>
      </c>
      <c r="K2760" s="15">
        <v>0</v>
      </c>
      <c r="L2760" s="15">
        <v>0</v>
      </c>
      <c r="M2760" s="15">
        <v>0</v>
      </c>
      <c r="N2760" s="15" t="str">
        <v/>
      </c>
      <c r="O2760" s="15" t="str">
        <v/>
      </c>
      <c r="P2760" s="22">
        <v>0</v>
      </c>
      <c r="Q2760">
        <v>0</v>
      </c>
    </row>
    <row r="2761" spans="1:17">
      <c r="A2761" s="19">
        <v>0</v>
      </c>
      <c r="B2761" s="19">
        <v>0</v>
      </c>
      <c r="C2761" s="19">
        <v>0</v>
      </c>
      <c r="D2761" s="19">
        <v>0</v>
      </c>
      <c r="E2761" s="19">
        <v>0</v>
      </c>
      <c r="F2761" s="19">
        <v>0</v>
      </c>
      <c r="G2761" s="19">
        <v>0</v>
      </c>
      <c r="H2761" s="19">
        <v>0</v>
      </c>
      <c r="I2761" s="15">
        <v>3500</v>
      </c>
      <c r="J2761" s="15">
        <v>0</v>
      </c>
      <c r="K2761" s="15">
        <v>0</v>
      </c>
      <c r="L2761" s="15">
        <v>0</v>
      </c>
      <c r="M2761" s="15">
        <v>0</v>
      </c>
      <c r="N2761" s="15" t="str">
        <v/>
      </c>
      <c r="O2761" s="15" t="str">
        <v/>
      </c>
      <c r="P2761" s="22">
        <v>0</v>
      </c>
      <c r="Q2761">
        <v>0</v>
      </c>
    </row>
    <row r="2762" spans="1:17">
      <c r="A2762" s="19">
        <v>0</v>
      </c>
      <c r="B2762" s="19">
        <v>0</v>
      </c>
      <c r="C2762" s="19">
        <v>0</v>
      </c>
      <c r="D2762" s="19">
        <v>0</v>
      </c>
      <c r="E2762" s="19">
        <v>0</v>
      </c>
      <c r="F2762" s="19">
        <v>0</v>
      </c>
      <c r="G2762" s="19">
        <v>0</v>
      </c>
      <c r="H2762" s="19">
        <v>0</v>
      </c>
      <c r="I2762" s="15">
        <v>3500</v>
      </c>
      <c r="J2762" s="15">
        <v>0</v>
      </c>
      <c r="K2762" s="15">
        <v>0</v>
      </c>
      <c r="L2762" s="15">
        <v>0</v>
      </c>
      <c r="M2762" s="15">
        <v>0</v>
      </c>
      <c r="N2762" s="15" t="str">
        <v/>
      </c>
      <c r="O2762" s="15" t="str">
        <v/>
      </c>
      <c r="P2762" s="22">
        <v>0</v>
      </c>
      <c r="Q2762">
        <v>0</v>
      </c>
    </row>
    <row r="2763" spans="1:17">
      <c r="A2763" s="19">
        <v>0</v>
      </c>
      <c r="B2763" s="19">
        <v>0</v>
      </c>
      <c r="C2763" s="19">
        <v>0</v>
      </c>
      <c r="D2763" s="19">
        <v>0</v>
      </c>
      <c r="E2763" s="19">
        <v>0</v>
      </c>
      <c r="F2763" s="19">
        <v>0</v>
      </c>
      <c r="G2763" s="19">
        <v>0</v>
      </c>
      <c r="H2763" s="19">
        <v>0</v>
      </c>
      <c r="I2763" s="15">
        <v>3500</v>
      </c>
      <c r="J2763" s="15">
        <v>0</v>
      </c>
      <c r="K2763" s="15">
        <v>0</v>
      </c>
      <c r="L2763" s="15">
        <v>0</v>
      </c>
      <c r="M2763" s="15">
        <v>0</v>
      </c>
      <c r="N2763" s="15" t="str">
        <v/>
      </c>
      <c r="O2763" s="15" t="str">
        <v/>
      </c>
      <c r="P2763" s="22">
        <v>0</v>
      </c>
      <c r="Q2763">
        <v>0</v>
      </c>
    </row>
    <row r="2764" spans="1:17">
      <c r="A2764" s="19">
        <v>0</v>
      </c>
      <c r="B2764" s="19">
        <v>0</v>
      </c>
      <c r="C2764" s="19">
        <v>0</v>
      </c>
      <c r="D2764" s="19">
        <v>0</v>
      </c>
      <c r="E2764" s="19">
        <v>0</v>
      </c>
      <c r="F2764" s="19">
        <v>0</v>
      </c>
      <c r="G2764" s="19">
        <v>0</v>
      </c>
      <c r="H2764" s="19">
        <v>0</v>
      </c>
      <c r="I2764" s="15">
        <v>3500</v>
      </c>
      <c r="J2764" s="15">
        <v>0</v>
      </c>
      <c r="K2764" s="15">
        <v>0</v>
      </c>
      <c r="L2764" s="15">
        <v>0</v>
      </c>
      <c r="M2764" s="15">
        <v>0</v>
      </c>
      <c r="N2764" s="15" t="str">
        <v/>
      </c>
      <c r="O2764" s="15" t="str">
        <v/>
      </c>
      <c r="P2764" s="22">
        <v>0</v>
      </c>
      <c r="Q2764">
        <v>0</v>
      </c>
    </row>
    <row r="2765" spans="1:17">
      <c r="A2765" s="19">
        <v>0</v>
      </c>
      <c r="B2765" s="19">
        <v>0</v>
      </c>
      <c r="C2765" s="19">
        <v>0</v>
      </c>
      <c r="D2765" s="19">
        <v>0</v>
      </c>
      <c r="E2765" s="19">
        <v>0</v>
      </c>
      <c r="F2765" s="19">
        <v>0</v>
      </c>
      <c r="G2765" s="19">
        <v>0</v>
      </c>
      <c r="H2765" s="19">
        <v>0</v>
      </c>
      <c r="I2765" s="15">
        <v>3500</v>
      </c>
      <c r="J2765" s="15">
        <v>0</v>
      </c>
      <c r="K2765" s="15">
        <v>0</v>
      </c>
      <c r="L2765" s="15">
        <v>0</v>
      </c>
      <c r="M2765" s="15">
        <v>0</v>
      </c>
      <c r="N2765" s="15" t="str">
        <v/>
      </c>
      <c r="O2765" s="15" t="str">
        <v/>
      </c>
      <c r="P2765" s="22">
        <v>0</v>
      </c>
      <c r="Q2765">
        <v>0</v>
      </c>
    </row>
    <row r="2766" spans="1:17">
      <c r="A2766" s="19">
        <v>0</v>
      </c>
      <c r="B2766" s="19">
        <v>0</v>
      </c>
      <c r="C2766" s="19">
        <v>0</v>
      </c>
      <c r="D2766" s="19">
        <v>0</v>
      </c>
      <c r="E2766" s="19">
        <v>0</v>
      </c>
      <c r="F2766" s="19">
        <v>0</v>
      </c>
      <c r="G2766" s="19">
        <v>0</v>
      </c>
      <c r="H2766" s="19">
        <v>0</v>
      </c>
      <c r="I2766" s="15">
        <v>3500</v>
      </c>
      <c r="J2766" s="15">
        <v>0</v>
      </c>
      <c r="K2766" s="15">
        <v>0</v>
      </c>
      <c r="L2766" s="15">
        <v>0</v>
      </c>
      <c r="M2766" s="15">
        <v>0</v>
      </c>
      <c r="N2766" s="15" t="str">
        <v/>
      </c>
      <c r="O2766" s="15" t="str">
        <v/>
      </c>
      <c r="P2766" s="22">
        <v>0</v>
      </c>
      <c r="Q2766">
        <v>0</v>
      </c>
    </row>
    <row r="2767" spans="1:17">
      <c r="A2767" s="19">
        <v>0</v>
      </c>
      <c r="B2767" s="19">
        <v>0</v>
      </c>
      <c r="C2767" s="19">
        <v>0</v>
      </c>
      <c r="D2767" s="19">
        <v>0</v>
      </c>
      <c r="E2767" s="19">
        <v>0</v>
      </c>
      <c r="F2767" s="19">
        <v>0</v>
      </c>
      <c r="G2767" s="19">
        <v>0</v>
      </c>
      <c r="H2767" s="19">
        <v>0</v>
      </c>
      <c r="I2767" s="15">
        <v>3500</v>
      </c>
      <c r="J2767" s="15">
        <v>0</v>
      </c>
      <c r="K2767" s="15">
        <v>0</v>
      </c>
      <c r="L2767" s="15">
        <v>0</v>
      </c>
      <c r="M2767" s="15">
        <v>0</v>
      </c>
      <c r="N2767" s="15" t="str">
        <v/>
      </c>
      <c r="O2767" s="15" t="str">
        <v/>
      </c>
      <c r="P2767" s="22">
        <v>0</v>
      </c>
      <c r="Q2767">
        <v>0</v>
      </c>
    </row>
    <row r="2768" spans="1:17">
      <c r="A2768" s="19">
        <v>0</v>
      </c>
      <c r="B2768" s="19">
        <v>0</v>
      </c>
      <c r="C2768" s="19">
        <v>0</v>
      </c>
      <c r="D2768" s="19">
        <v>0</v>
      </c>
      <c r="E2768" s="19">
        <v>0</v>
      </c>
      <c r="F2768" s="19">
        <v>0</v>
      </c>
      <c r="G2768" s="19">
        <v>0</v>
      </c>
      <c r="H2768" s="19">
        <v>0</v>
      </c>
      <c r="I2768" s="15">
        <v>3500</v>
      </c>
      <c r="J2768" s="15">
        <v>0</v>
      </c>
      <c r="K2768" s="15">
        <v>0</v>
      </c>
      <c r="L2768" s="15">
        <v>0</v>
      </c>
      <c r="M2768" s="15">
        <v>0</v>
      </c>
      <c r="N2768" s="15" t="str">
        <v/>
      </c>
      <c r="O2768" s="15" t="str">
        <v/>
      </c>
      <c r="P2768" s="22">
        <v>0</v>
      </c>
      <c r="Q2768">
        <v>0</v>
      </c>
    </row>
    <row r="2769" spans="1:17">
      <c r="A2769" s="19">
        <v>0</v>
      </c>
      <c r="B2769" s="19">
        <v>0</v>
      </c>
      <c r="C2769" s="19">
        <v>0</v>
      </c>
      <c r="D2769" s="19">
        <v>0</v>
      </c>
      <c r="E2769" s="19">
        <v>0</v>
      </c>
      <c r="F2769" s="19">
        <v>0</v>
      </c>
      <c r="G2769" s="19">
        <v>0</v>
      </c>
      <c r="H2769" s="19">
        <v>0</v>
      </c>
      <c r="I2769" s="15">
        <v>3500</v>
      </c>
      <c r="J2769" s="15">
        <v>0</v>
      </c>
      <c r="K2769" s="15">
        <v>0</v>
      </c>
      <c r="L2769" s="15">
        <v>0</v>
      </c>
      <c r="M2769" s="15">
        <v>0</v>
      </c>
      <c r="N2769" s="15" t="str">
        <v/>
      </c>
      <c r="O2769" s="15" t="str">
        <v/>
      </c>
      <c r="P2769" s="22">
        <v>0</v>
      </c>
      <c r="Q2769">
        <v>0</v>
      </c>
    </row>
    <row r="2770" spans="1:17">
      <c r="A2770" s="19">
        <v>0</v>
      </c>
      <c r="B2770" s="19">
        <v>0</v>
      </c>
      <c r="C2770" s="19">
        <v>0</v>
      </c>
      <c r="D2770" s="19">
        <v>0</v>
      </c>
      <c r="E2770" s="19">
        <v>0</v>
      </c>
      <c r="F2770" s="19">
        <v>0</v>
      </c>
      <c r="G2770" s="19">
        <v>0</v>
      </c>
      <c r="H2770" s="19">
        <v>0</v>
      </c>
      <c r="I2770" s="15">
        <v>3500</v>
      </c>
      <c r="J2770" s="15">
        <v>0</v>
      </c>
      <c r="K2770" s="15">
        <v>0</v>
      </c>
      <c r="L2770" s="15">
        <v>0</v>
      </c>
      <c r="M2770" s="15">
        <v>0</v>
      </c>
      <c r="N2770" s="15" t="str">
        <v/>
      </c>
      <c r="O2770" s="15" t="str">
        <v/>
      </c>
      <c r="P2770" s="22">
        <v>0</v>
      </c>
      <c r="Q2770">
        <v>0</v>
      </c>
    </row>
    <row r="2771" spans="1:17">
      <c r="A2771" s="19">
        <v>0</v>
      </c>
      <c r="B2771" s="19">
        <v>0</v>
      </c>
      <c r="C2771" s="19">
        <v>0</v>
      </c>
      <c r="D2771" s="19">
        <v>0</v>
      </c>
      <c r="E2771" s="19">
        <v>0</v>
      </c>
      <c r="F2771" s="19">
        <v>0</v>
      </c>
      <c r="G2771" s="19">
        <v>0</v>
      </c>
      <c r="H2771" s="19">
        <v>0</v>
      </c>
      <c r="I2771" s="15">
        <v>3500</v>
      </c>
      <c r="J2771" s="15">
        <v>0</v>
      </c>
      <c r="K2771" s="15">
        <v>0</v>
      </c>
      <c r="L2771" s="15">
        <v>0</v>
      </c>
      <c r="M2771" s="15">
        <v>0</v>
      </c>
      <c r="N2771" s="15" t="str">
        <v/>
      </c>
      <c r="O2771" s="15" t="str">
        <v/>
      </c>
      <c r="P2771" s="22">
        <v>0</v>
      </c>
      <c r="Q2771">
        <v>0</v>
      </c>
    </row>
    <row r="2772" spans="1:17">
      <c r="A2772" s="19">
        <v>0</v>
      </c>
      <c r="B2772" s="19">
        <v>0</v>
      </c>
      <c r="C2772" s="19">
        <v>0</v>
      </c>
      <c r="D2772" s="19">
        <v>0</v>
      </c>
      <c r="E2772" s="19">
        <v>0</v>
      </c>
      <c r="F2772" s="19">
        <v>0</v>
      </c>
      <c r="G2772" s="19">
        <v>0</v>
      </c>
      <c r="H2772" s="19">
        <v>0</v>
      </c>
      <c r="I2772" s="15">
        <v>3500</v>
      </c>
      <c r="J2772" s="15">
        <v>0</v>
      </c>
      <c r="K2772" s="15">
        <v>0</v>
      </c>
      <c r="L2772" s="15">
        <v>0</v>
      </c>
      <c r="M2772" s="15">
        <v>0</v>
      </c>
      <c r="N2772" s="15" t="str">
        <v/>
      </c>
      <c r="O2772" s="15" t="str">
        <v/>
      </c>
      <c r="P2772" s="22">
        <v>0</v>
      </c>
      <c r="Q2772">
        <v>0</v>
      </c>
    </row>
    <row r="2773" spans="1:17">
      <c r="A2773" s="19">
        <v>0</v>
      </c>
      <c r="B2773" s="19">
        <v>0</v>
      </c>
      <c r="C2773" s="19">
        <v>0</v>
      </c>
      <c r="D2773" s="19">
        <v>0</v>
      </c>
      <c r="E2773" s="19">
        <v>0</v>
      </c>
      <c r="F2773" s="19">
        <v>0</v>
      </c>
      <c r="G2773" s="19">
        <v>0</v>
      </c>
      <c r="H2773" s="19">
        <v>0</v>
      </c>
      <c r="I2773" s="15">
        <v>3500</v>
      </c>
      <c r="J2773" s="15">
        <v>0</v>
      </c>
      <c r="K2773" s="15">
        <v>0</v>
      </c>
      <c r="L2773" s="15">
        <v>0</v>
      </c>
      <c r="M2773" s="15">
        <v>0</v>
      </c>
      <c r="N2773" s="15" t="str">
        <v/>
      </c>
      <c r="O2773" s="15" t="str">
        <v/>
      </c>
      <c r="P2773" s="22">
        <v>0</v>
      </c>
      <c r="Q2773">
        <v>0</v>
      </c>
    </row>
    <row r="2774" spans="1:17">
      <c r="A2774" s="19">
        <v>0</v>
      </c>
      <c r="B2774" s="19">
        <v>0</v>
      </c>
      <c r="C2774" s="19">
        <v>0</v>
      </c>
      <c r="D2774" s="19">
        <v>0</v>
      </c>
      <c r="E2774" s="19">
        <v>0</v>
      </c>
      <c r="F2774" s="19">
        <v>0</v>
      </c>
      <c r="G2774" s="19">
        <v>0</v>
      </c>
      <c r="H2774" s="19">
        <v>0</v>
      </c>
      <c r="I2774" s="15">
        <v>3500</v>
      </c>
      <c r="J2774" s="15">
        <v>0</v>
      </c>
      <c r="K2774" s="15">
        <v>0</v>
      </c>
      <c r="L2774" s="15">
        <v>0</v>
      </c>
      <c r="M2774" s="15">
        <v>0</v>
      </c>
      <c r="N2774" s="15" t="str">
        <v/>
      </c>
      <c r="O2774" s="15" t="str">
        <v/>
      </c>
      <c r="P2774" s="22">
        <v>0</v>
      </c>
      <c r="Q2774">
        <v>0</v>
      </c>
    </row>
    <row r="2775" spans="1:17">
      <c r="A2775" s="19">
        <v>0</v>
      </c>
      <c r="B2775" s="19">
        <v>0</v>
      </c>
      <c r="C2775" s="19">
        <v>0</v>
      </c>
      <c r="D2775" s="19">
        <v>0</v>
      </c>
      <c r="E2775" s="19">
        <v>0</v>
      </c>
      <c r="F2775" s="19">
        <v>0</v>
      </c>
      <c r="G2775" s="19">
        <v>0</v>
      </c>
      <c r="H2775" s="19">
        <v>0</v>
      </c>
      <c r="I2775" s="15">
        <v>3500</v>
      </c>
      <c r="J2775" s="15">
        <v>0</v>
      </c>
      <c r="K2775" s="15">
        <v>0</v>
      </c>
      <c r="L2775" s="15">
        <v>0</v>
      </c>
      <c r="M2775" s="15">
        <v>0</v>
      </c>
      <c r="N2775" s="15" t="str">
        <v/>
      </c>
      <c r="O2775" s="15" t="str">
        <v/>
      </c>
      <c r="P2775" s="22">
        <v>0</v>
      </c>
      <c r="Q2775">
        <v>0</v>
      </c>
    </row>
    <row r="2776" spans="1:17">
      <c r="A2776" s="19">
        <v>0</v>
      </c>
      <c r="B2776" s="19">
        <v>0</v>
      </c>
      <c r="C2776" s="19">
        <v>0</v>
      </c>
      <c r="D2776" s="19">
        <v>0</v>
      </c>
      <c r="E2776" s="19">
        <v>0</v>
      </c>
      <c r="F2776" s="19">
        <v>0</v>
      </c>
      <c r="G2776" s="19">
        <v>0</v>
      </c>
      <c r="H2776" s="19">
        <v>0</v>
      </c>
      <c r="I2776" s="15">
        <v>3500</v>
      </c>
      <c r="J2776" s="15">
        <v>0</v>
      </c>
      <c r="K2776" s="15">
        <v>0</v>
      </c>
      <c r="L2776" s="15">
        <v>0</v>
      </c>
      <c r="M2776" s="15">
        <v>0</v>
      </c>
      <c r="N2776" s="15" t="str">
        <v/>
      </c>
      <c r="O2776" s="15" t="str">
        <v/>
      </c>
      <c r="P2776" s="22">
        <v>0</v>
      </c>
      <c r="Q2776">
        <v>0</v>
      </c>
    </row>
    <row r="2777" spans="1:17">
      <c r="A2777" s="19">
        <v>0</v>
      </c>
      <c r="B2777" s="19">
        <v>0</v>
      </c>
      <c r="C2777" s="19">
        <v>0</v>
      </c>
      <c r="D2777" s="19">
        <v>0</v>
      </c>
      <c r="E2777" s="19">
        <v>0</v>
      </c>
      <c r="F2777" s="19">
        <v>0</v>
      </c>
      <c r="G2777" s="19">
        <v>0</v>
      </c>
      <c r="H2777" s="19">
        <v>0</v>
      </c>
      <c r="I2777" s="15">
        <v>3500</v>
      </c>
      <c r="J2777" s="15">
        <v>0</v>
      </c>
      <c r="K2777" s="15">
        <v>0</v>
      </c>
      <c r="L2777" s="15">
        <v>0</v>
      </c>
      <c r="M2777" s="15">
        <v>0</v>
      </c>
      <c r="N2777" s="15" t="str">
        <v/>
      </c>
      <c r="O2777" s="15" t="str">
        <v/>
      </c>
      <c r="P2777" s="22">
        <v>0</v>
      </c>
      <c r="Q2777">
        <v>0</v>
      </c>
    </row>
    <row r="2778" spans="1:17">
      <c r="A2778" s="19">
        <v>0</v>
      </c>
      <c r="B2778" s="19">
        <v>0</v>
      </c>
      <c r="C2778" s="19">
        <v>0</v>
      </c>
      <c r="D2778" s="19">
        <v>0</v>
      </c>
      <c r="E2778" s="19">
        <v>0</v>
      </c>
      <c r="F2778" s="19">
        <v>0</v>
      </c>
      <c r="G2778" s="19">
        <v>0</v>
      </c>
      <c r="H2778" s="19">
        <v>0</v>
      </c>
      <c r="I2778" s="15">
        <v>3500</v>
      </c>
      <c r="J2778" s="15">
        <v>0</v>
      </c>
      <c r="K2778" s="15">
        <v>0</v>
      </c>
      <c r="L2778" s="15">
        <v>0</v>
      </c>
      <c r="M2778" s="15">
        <v>0</v>
      </c>
      <c r="N2778" s="15" t="str">
        <v/>
      </c>
      <c r="O2778" s="15" t="str">
        <v/>
      </c>
      <c r="P2778" s="22">
        <v>0</v>
      </c>
      <c r="Q2778">
        <v>0</v>
      </c>
    </row>
    <row r="2779" spans="1:17">
      <c r="A2779" s="19">
        <v>0</v>
      </c>
      <c r="B2779" s="19">
        <v>0</v>
      </c>
      <c r="C2779" s="19">
        <v>0</v>
      </c>
      <c r="D2779" s="19">
        <v>0</v>
      </c>
      <c r="E2779" s="19">
        <v>0</v>
      </c>
      <c r="F2779" s="19">
        <v>0</v>
      </c>
      <c r="G2779" s="19">
        <v>0</v>
      </c>
      <c r="H2779" s="19">
        <v>0</v>
      </c>
      <c r="I2779" s="15">
        <v>3500</v>
      </c>
      <c r="J2779" s="15">
        <v>0</v>
      </c>
      <c r="K2779" s="15">
        <v>0</v>
      </c>
      <c r="L2779" s="15">
        <v>0</v>
      </c>
      <c r="M2779" s="15">
        <v>0</v>
      </c>
      <c r="N2779" s="15" t="str">
        <v/>
      </c>
      <c r="O2779" s="15" t="str">
        <v/>
      </c>
      <c r="P2779" s="22">
        <v>0</v>
      </c>
      <c r="Q2779">
        <v>0</v>
      </c>
    </row>
    <row r="2780" spans="1:17">
      <c r="A2780" s="19">
        <v>0</v>
      </c>
      <c r="B2780" s="19">
        <v>0</v>
      </c>
      <c r="C2780" s="19">
        <v>0</v>
      </c>
      <c r="D2780" s="19">
        <v>0</v>
      </c>
      <c r="E2780" s="19">
        <v>0</v>
      </c>
      <c r="F2780" s="19">
        <v>0</v>
      </c>
      <c r="G2780" s="19">
        <v>0</v>
      </c>
      <c r="H2780" s="19">
        <v>0</v>
      </c>
      <c r="I2780" s="15">
        <v>3500</v>
      </c>
      <c r="J2780" s="15">
        <v>0</v>
      </c>
      <c r="K2780" s="15">
        <v>0</v>
      </c>
      <c r="L2780" s="15">
        <v>0</v>
      </c>
      <c r="M2780" s="15">
        <v>0</v>
      </c>
      <c r="N2780" s="15" t="str">
        <v/>
      </c>
      <c r="O2780" s="15" t="str">
        <v/>
      </c>
      <c r="P2780" s="22">
        <v>0</v>
      </c>
      <c r="Q2780">
        <v>0</v>
      </c>
    </row>
    <row r="2781" spans="1:17">
      <c r="A2781" s="19">
        <v>0</v>
      </c>
      <c r="B2781" s="19">
        <v>0</v>
      </c>
      <c r="C2781" s="19">
        <v>0</v>
      </c>
      <c r="D2781" s="19">
        <v>0</v>
      </c>
      <c r="E2781" s="19">
        <v>0</v>
      </c>
      <c r="F2781" s="19">
        <v>0</v>
      </c>
      <c r="G2781" s="19">
        <v>0</v>
      </c>
      <c r="H2781" s="19">
        <v>0</v>
      </c>
      <c r="I2781" s="15">
        <v>3500</v>
      </c>
      <c r="J2781" s="15">
        <v>0</v>
      </c>
      <c r="K2781" s="15">
        <v>0</v>
      </c>
      <c r="L2781" s="15">
        <v>0</v>
      </c>
      <c r="M2781" s="15">
        <v>0</v>
      </c>
      <c r="N2781" s="15" t="str">
        <v/>
      </c>
      <c r="O2781" s="15" t="str">
        <v/>
      </c>
      <c r="P2781" s="22">
        <v>0</v>
      </c>
      <c r="Q2781">
        <v>0</v>
      </c>
    </row>
    <row r="2782" spans="1:17">
      <c r="A2782" s="19">
        <v>0</v>
      </c>
      <c r="B2782" s="19">
        <v>0</v>
      </c>
      <c r="C2782" s="19">
        <v>0</v>
      </c>
      <c r="D2782" s="19">
        <v>0</v>
      </c>
      <c r="E2782" s="19">
        <v>0</v>
      </c>
      <c r="F2782" s="19">
        <v>0</v>
      </c>
      <c r="G2782" s="19">
        <v>0</v>
      </c>
      <c r="H2782" s="19">
        <v>0</v>
      </c>
      <c r="I2782" s="15">
        <v>3500</v>
      </c>
      <c r="J2782" s="15">
        <v>0</v>
      </c>
      <c r="K2782" s="15">
        <v>0</v>
      </c>
      <c r="L2782" s="15">
        <v>0</v>
      </c>
      <c r="M2782" s="15">
        <v>0</v>
      </c>
      <c r="N2782" s="15" t="str">
        <v/>
      </c>
      <c r="O2782" s="15" t="str">
        <v/>
      </c>
      <c r="P2782" s="22">
        <v>0</v>
      </c>
      <c r="Q2782">
        <v>0</v>
      </c>
    </row>
    <row r="2783" spans="1:17">
      <c r="A2783" s="19">
        <v>0</v>
      </c>
      <c r="B2783" s="19">
        <v>0</v>
      </c>
      <c r="C2783" s="19">
        <v>0</v>
      </c>
      <c r="D2783" s="19">
        <v>0</v>
      </c>
      <c r="E2783" s="19">
        <v>0</v>
      </c>
      <c r="F2783" s="19">
        <v>0</v>
      </c>
      <c r="G2783" s="19">
        <v>0</v>
      </c>
      <c r="H2783" s="19">
        <v>0</v>
      </c>
      <c r="I2783" s="15">
        <v>3500</v>
      </c>
      <c r="J2783" s="15">
        <v>0</v>
      </c>
      <c r="K2783" s="15">
        <v>0</v>
      </c>
      <c r="L2783" s="15">
        <v>0</v>
      </c>
      <c r="M2783" s="15">
        <v>0</v>
      </c>
      <c r="N2783" s="15" t="str">
        <v/>
      </c>
      <c r="O2783" s="15" t="str">
        <v/>
      </c>
      <c r="P2783" s="22">
        <v>0</v>
      </c>
      <c r="Q2783">
        <v>0</v>
      </c>
    </row>
    <row r="2784" spans="1:17">
      <c r="A2784" s="19">
        <v>0</v>
      </c>
      <c r="B2784" s="19">
        <v>0</v>
      </c>
      <c r="C2784" s="19">
        <v>0</v>
      </c>
      <c r="D2784" s="19">
        <v>0</v>
      </c>
      <c r="E2784" s="19">
        <v>0</v>
      </c>
      <c r="F2784" s="19">
        <v>0</v>
      </c>
      <c r="G2784" s="19">
        <v>0</v>
      </c>
      <c r="H2784" s="19">
        <v>0</v>
      </c>
      <c r="I2784" s="15">
        <v>3500</v>
      </c>
      <c r="J2784" s="15">
        <v>0</v>
      </c>
      <c r="K2784" s="15">
        <v>0</v>
      </c>
      <c r="L2784" s="15">
        <v>0</v>
      </c>
      <c r="M2784" s="15">
        <v>0</v>
      </c>
      <c r="N2784" s="15" t="str">
        <v/>
      </c>
      <c r="O2784" s="15" t="str">
        <v/>
      </c>
      <c r="P2784" s="22">
        <v>0</v>
      </c>
      <c r="Q2784">
        <v>0</v>
      </c>
    </row>
    <row r="2785" spans="1:17">
      <c r="A2785" s="19">
        <v>0</v>
      </c>
      <c r="B2785" s="19">
        <v>0</v>
      </c>
      <c r="C2785" s="19">
        <v>0</v>
      </c>
      <c r="D2785" s="19">
        <v>0</v>
      </c>
      <c r="E2785" s="19">
        <v>0</v>
      </c>
      <c r="F2785" s="19">
        <v>0</v>
      </c>
      <c r="G2785" s="19">
        <v>0</v>
      </c>
      <c r="H2785" s="19">
        <v>0</v>
      </c>
      <c r="I2785" s="15">
        <v>3500</v>
      </c>
      <c r="J2785" s="15">
        <v>0</v>
      </c>
      <c r="K2785" s="15">
        <v>0</v>
      </c>
      <c r="L2785" s="15">
        <v>0</v>
      </c>
      <c r="M2785" s="15">
        <v>0</v>
      </c>
      <c r="N2785" s="15" t="str">
        <v/>
      </c>
      <c r="O2785" s="15" t="str">
        <v/>
      </c>
      <c r="P2785" s="22">
        <v>0</v>
      </c>
      <c r="Q2785">
        <v>0</v>
      </c>
    </row>
    <row r="2786" spans="1:17">
      <c r="A2786" s="19">
        <v>0</v>
      </c>
      <c r="B2786" s="19">
        <v>0</v>
      </c>
      <c r="C2786" s="19">
        <v>0</v>
      </c>
      <c r="D2786" s="19">
        <v>0</v>
      </c>
      <c r="E2786" s="19">
        <v>0</v>
      </c>
      <c r="F2786" s="19">
        <v>0</v>
      </c>
      <c r="G2786" s="19">
        <v>0</v>
      </c>
      <c r="H2786" s="19">
        <v>0</v>
      </c>
      <c r="I2786" s="15">
        <v>3500</v>
      </c>
      <c r="J2786" s="15">
        <v>0</v>
      </c>
      <c r="K2786" s="15">
        <v>0</v>
      </c>
      <c r="L2786" s="15">
        <v>0</v>
      </c>
      <c r="M2786" s="15">
        <v>0</v>
      </c>
      <c r="N2786" s="15" t="str">
        <v/>
      </c>
      <c r="O2786" s="15" t="str">
        <v/>
      </c>
      <c r="P2786" s="22">
        <v>0</v>
      </c>
      <c r="Q2786">
        <v>0</v>
      </c>
    </row>
    <row r="2787" spans="1:17">
      <c r="A2787" s="19">
        <v>0</v>
      </c>
      <c r="B2787" s="19">
        <v>0</v>
      </c>
      <c r="C2787" s="19">
        <v>0</v>
      </c>
      <c r="D2787" s="19">
        <v>0</v>
      </c>
      <c r="E2787" s="19">
        <v>0</v>
      </c>
      <c r="F2787" s="19">
        <v>0</v>
      </c>
      <c r="G2787" s="19">
        <v>0</v>
      </c>
      <c r="H2787" s="19">
        <v>0</v>
      </c>
      <c r="I2787" s="15">
        <v>3500</v>
      </c>
      <c r="J2787" s="15">
        <v>0</v>
      </c>
      <c r="K2787" s="15">
        <v>0</v>
      </c>
      <c r="L2787" s="15">
        <v>0</v>
      </c>
      <c r="M2787" s="15">
        <v>0</v>
      </c>
      <c r="N2787" s="15" t="str">
        <v/>
      </c>
      <c r="O2787" s="15" t="str">
        <v/>
      </c>
      <c r="P2787" s="22">
        <v>0</v>
      </c>
      <c r="Q2787">
        <v>0</v>
      </c>
    </row>
    <row r="2788" spans="1:17">
      <c r="A2788" s="19">
        <v>0</v>
      </c>
      <c r="B2788" s="19">
        <v>0</v>
      </c>
      <c r="C2788" s="19">
        <v>0</v>
      </c>
      <c r="D2788" s="19">
        <v>0</v>
      </c>
      <c r="E2788" s="19">
        <v>0</v>
      </c>
      <c r="F2788" s="19">
        <v>0</v>
      </c>
      <c r="G2788" s="19">
        <v>0</v>
      </c>
      <c r="H2788" s="19">
        <v>0</v>
      </c>
      <c r="I2788" s="15">
        <v>3500</v>
      </c>
      <c r="J2788" s="15">
        <v>0</v>
      </c>
      <c r="K2788" s="15">
        <v>0</v>
      </c>
      <c r="L2788" s="15">
        <v>0</v>
      </c>
      <c r="M2788" s="15">
        <v>0</v>
      </c>
      <c r="N2788" s="15" t="str">
        <v/>
      </c>
      <c r="O2788" s="15" t="str">
        <v/>
      </c>
      <c r="P2788" s="22">
        <v>0</v>
      </c>
      <c r="Q2788">
        <v>0</v>
      </c>
    </row>
    <row r="2789" spans="1:17">
      <c r="A2789" s="19">
        <v>0</v>
      </c>
      <c r="B2789" s="19">
        <v>0</v>
      </c>
      <c r="C2789" s="19">
        <v>0</v>
      </c>
      <c r="D2789" s="19">
        <v>0</v>
      </c>
      <c r="E2789" s="19">
        <v>0</v>
      </c>
      <c r="F2789" s="19">
        <v>0</v>
      </c>
      <c r="G2789" s="19">
        <v>0</v>
      </c>
      <c r="H2789" s="19">
        <v>0</v>
      </c>
      <c r="I2789" s="15">
        <v>3500</v>
      </c>
      <c r="J2789" s="15">
        <v>0</v>
      </c>
      <c r="K2789" s="15">
        <v>0</v>
      </c>
      <c r="L2789" s="15">
        <v>0</v>
      </c>
      <c r="M2789" s="15">
        <v>0</v>
      </c>
      <c r="N2789" s="15" t="str">
        <v/>
      </c>
      <c r="O2789" s="15" t="str">
        <v/>
      </c>
      <c r="P2789" s="22">
        <v>0</v>
      </c>
      <c r="Q2789">
        <v>0</v>
      </c>
    </row>
    <row r="2790" spans="1:17">
      <c r="A2790" s="19">
        <v>0</v>
      </c>
      <c r="B2790" s="19">
        <v>0</v>
      </c>
      <c r="C2790" s="19">
        <v>0</v>
      </c>
      <c r="D2790" s="19">
        <v>0</v>
      </c>
      <c r="E2790" s="19">
        <v>0</v>
      </c>
      <c r="F2790" s="19">
        <v>0</v>
      </c>
      <c r="G2790" s="19">
        <v>0</v>
      </c>
      <c r="H2790" s="19">
        <v>0</v>
      </c>
      <c r="I2790" s="15">
        <v>3500</v>
      </c>
      <c r="J2790" s="15">
        <v>0</v>
      </c>
      <c r="K2790" s="15">
        <v>0</v>
      </c>
      <c r="L2790" s="15">
        <v>0</v>
      </c>
      <c r="M2790" s="15">
        <v>0</v>
      </c>
      <c r="N2790" s="15" t="str">
        <v/>
      </c>
      <c r="O2790" s="15" t="str">
        <v/>
      </c>
      <c r="P2790" s="22">
        <v>0</v>
      </c>
      <c r="Q2790">
        <v>0</v>
      </c>
    </row>
    <row r="2791" spans="1:17">
      <c r="A2791" s="19">
        <v>0</v>
      </c>
      <c r="B2791" s="19">
        <v>0</v>
      </c>
      <c r="C2791" s="19">
        <v>0</v>
      </c>
      <c r="D2791" s="19">
        <v>0</v>
      </c>
      <c r="E2791" s="19">
        <v>0</v>
      </c>
      <c r="F2791" s="19">
        <v>0</v>
      </c>
      <c r="G2791" s="19">
        <v>0</v>
      </c>
      <c r="H2791" s="19">
        <v>0</v>
      </c>
      <c r="I2791" s="15">
        <v>3500</v>
      </c>
      <c r="J2791" s="15">
        <v>0</v>
      </c>
      <c r="K2791" s="15">
        <v>0</v>
      </c>
      <c r="L2791" s="15">
        <v>0</v>
      </c>
      <c r="M2791" s="15">
        <v>0</v>
      </c>
      <c r="N2791" s="15" t="str">
        <v/>
      </c>
      <c r="O2791" s="15" t="str">
        <v/>
      </c>
      <c r="P2791" s="22">
        <v>0</v>
      </c>
      <c r="Q2791">
        <v>0</v>
      </c>
    </row>
    <row r="2792" spans="1:17">
      <c r="A2792" s="19">
        <v>0</v>
      </c>
      <c r="B2792" s="19">
        <v>0</v>
      </c>
      <c r="C2792" s="19">
        <v>0</v>
      </c>
      <c r="D2792" s="19">
        <v>0</v>
      </c>
      <c r="E2792" s="19">
        <v>0</v>
      </c>
      <c r="F2792" s="19">
        <v>0</v>
      </c>
      <c r="G2792" s="19">
        <v>0</v>
      </c>
      <c r="H2792" s="19">
        <v>0</v>
      </c>
      <c r="I2792" s="15">
        <v>3500</v>
      </c>
      <c r="J2792" s="15">
        <v>0</v>
      </c>
      <c r="K2792" s="15">
        <v>0</v>
      </c>
      <c r="L2792" s="15">
        <v>0</v>
      </c>
      <c r="M2792" s="15">
        <v>0</v>
      </c>
      <c r="N2792" s="15" t="str">
        <v/>
      </c>
      <c r="O2792" s="15" t="str">
        <v/>
      </c>
      <c r="P2792" s="22">
        <v>0</v>
      </c>
      <c r="Q2792">
        <v>0</v>
      </c>
    </row>
    <row r="2793" spans="1:17">
      <c r="A2793" s="19">
        <v>0</v>
      </c>
      <c r="B2793" s="19">
        <v>0</v>
      </c>
      <c r="C2793" s="19">
        <v>0</v>
      </c>
      <c r="D2793" s="19">
        <v>0</v>
      </c>
      <c r="E2793" s="19">
        <v>0</v>
      </c>
      <c r="F2793" s="19">
        <v>0</v>
      </c>
      <c r="G2793" s="19">
        <v>0</v>
      </c>
      <c r="H2793" s="19">
        <v>0</v>
      </c>
      <c r="I2793" s="15">
        <v>3500</v>
      </c>
      <c r="J2793" s="15">
        <v>0</v>
      </c>
      <c r="K2793" s="15">
        <v>0</v>
      </c>
      <c r="L2793" s="15">
        <v>0</v>
      </c>
      <c r="M2793" s="15">
        <v>0</v>
      </c>
      <c r="N2793" s="15" t="str">
        <v/>
      </c>
      <c r="O2793" s="15" t="str">
        <v/>
      </c>
      <c r="P2793" s="22">
        <v>0</v>
      </c>
      <c r="Q2793">
        <v>0</v>
      </c>
    </row>
    <row r="2794" spans="1:17">
      <c r="A2794" s="19">
        <v>0</v>
      </c>
      <c r="B2794" s="19">
        <v>0</v>
      </c>
      <c r="C2794" s="19">
        <v>0</v>
      </c>
      <c r="D2794" s="19">
        <v>0</v>
      </c>
      <c r="E2794" s="19">
        <v>0</v>
      </c>
      <c r="F2794" s="19">
        <v>0</v>
      </c>
      <c r="G2794" s="19">
        <v>0</v>
      </c>
      <c r="H2794" s="19">
        <v>0</v>
      </c>
      <c r="I2794" s="15">
        <v>3500</v>
      </c>
      <c r="J2794" s="15">
        <v>0</v>
      </c>
      <c r="K2794" s="15">
        <v>0</v>
      </c>
      <c r="L2794" s="15">
        <v>0</v>
      </c>
      <c r="M2794" s="15">
        <v>0</v>
      </c>
      <c r="N2794" s="15" t="str">
        <v/>
      </c>
      <c r="O2794" s="15" t="str">
        <v/>
      </c>
      <c r="P2794" s="22">
        <v>0</v>
      </c>
      <c r="Q2794">
        <v>0</v>
      </c>
    </row>
    <row r="2795" spans="1:17">
      <c r="A2795" s="19">
        <v>0</v>
      </c>
      <c r="B2795" s="19">
        <v>0</v>
      </c>
      <c r="C2795" s="19">
        <v>0</v>
      </c>
      <c r="D2795" s="19">
        <v>0</v>
      </c>
      <c r="E2795" s="19">
        <v>0</v>
      </c>
      <c r="F2795" s="19">
        <v>0</v>
      </c>
      <c r="G2795" s="19">
        <v>0</v>
      </c>
      <c r="H2795" s="19">
        <v>0</v>
      </c>
      <c r="I2795" s="15">
        <v>3500</v>
      </c>
      <c r="J2795" s="15">
        <v>0</v>
      </c>
      <c r="K2795" s="15">
        <v>0</v>
      </c>
      <c r="L2795" s="15">
        <v>0</v>
      </c>
      <c r="M2795" s="15">
        <v>0</v>
      </c>
      <c r="N2795" s="15" t="str">
        <v/>
      </c>
      <c r="O2795" s="15" t="str">
        <v/>
      </c>
      <c r="P2795" s="22">
        <v>0</v>
      </c>
      <c r="Q2795">
        <v>0</v>
      </c>
    </row>
    <row r="2796" spans="1:17">
      <c r="A2796" s="19">
        <v>0</v>
      </c>
      <c r="B2796" s="19">
        <v>0</v>
      </c>
      <c r="C2796" s="19">
        <v>0</v>
      </c>
      <c r="D2796" s="19">
        <v>0</v>
      </c>
      <c r="E2796" s="19">
        <v>0</v>
      </c>
      <c r="F2796" s="19">
        <v>0</v>
      </c>
      <c r="G2796" s="19">
        <v>0</v>
      </c>
      <c r="H2796" s="19">
        <v>0</v>
      </c>
      <c r="I2796" s="15">
        <v>3500</v>
      </c>
      <c r="J2796" s="15">
        <v>0</v>
      </c>
      <c r="K2796" s="15">
        <v>0</v>
      </c>
      <c r="L2796" s="15">
        <v>0</v>
      </c>
      <c r="M2796" s="15">
        <v>0</v>
      </c>
      <c r="N2796" s="15" t="str">
        <v/>
      </c>
      <c r="O2796" s="15" t="str">
        <v/>
      </c>
      <c r="P2796" s="22">
        <v>0</v>
      </c>
      <c r="Q2796">
        <v>0</v>
      </c>
    </row>
    <row r="2797" spans="1:17">
      <c r="A2797" s="19">
        <v>0</v>
      </c>
      <c r="B2797" s="19">
        <v>0</v>
      </c>
      <c r="C2797" s="19">
        <v>0</v>
      </c>
      <c r="D2797" s="19">
        <v>0</v>
      </c>
      <c r="E2797" s="19">
        <v>0</v>
      </c>
      <c r="F2797" s="19">
        <v>0</v>
      </c>
      <c r="G2797" s="19">
        <v>0</v>
      </c>
      <c r="H2797" s="19">
        <v>0</v>
      </c>
      <c r="I2797" s="15">
        <v>3500</v>
      </c>
      <c r="J2797" s="15">
        <v>0</v>
      </c>
      <c r="K2797" s="15">
        <v>0</v>
      </c>
      <c r="L2797" s="15">
        <v>0</v>
      </c>
      <c r="M2797" s="15">
        <v>0</v>
      </c>
      <c r="N2797" s="15" t="str">
        <v/>
      </c>
      <c r="O2797" s="15" t="str">
        <v/>
      </c>
      <c r="P2797" s="22">
        <v>0</v>
      </c>
      <c r="Q2797">
        <v>0</v>
      </c>
    </row>
    <row r="2798" spans="1:17">
      <c r="A2798" s="19">
        <v>0</v>
      </c>
      <c r="B2798" s="19">
        <v>0</v>
      </c>
      <c r="C2798" s="19">
        <v>0</v>
      </c>
      <c r="D2798" s="19">
        <v>0</v>
      </c>
      <c r="E2798" s="19">
        <v>0</v>
      </c>
      <c r="F2798" s="19">
        <v>0</v>
      </c>
      <c r="G2798" s="19">
        <v>0</v>
      </c>
      <c r="H2798" s="19">
        <v>0</v>
      </c>
      <c r="I2798" s="15">
        <v>3500</v>
      </c>
      <c r="J2798" s="15">
        <v>0</v>
      </c>
      <c r="K2798" s="15">
        <v>0</v>
      </c>
      <c r="L2798" s="15">
        <v>0</v>
      </c>
      <c r="M2798" s="15">
        <v>0</v>
      </c>
      <c r="N2798" s="15" t="str">
        <v/>
      </c>
      <c r="O2798" s="15" t="str">
        <v/>
      </c>
      <c r="P2798" s="22">
        <v>0</v>
      </c>
      <c r="Q2798">
        <v>0</v>
      </c>
    </row>
    <row r="2799" spans="1:17">
      <c r="A2799" s="19">
        <v>0</v>
      </c>
      <c r="B2799" s="19">
        <v>0</v>
      </c>
      <c r="C2799" s="19">
        <v>0</v>
      </c>
      <c r="D2799" s="19">
        <v>0</v>
      </c>
      <c r="E2799" s="19">
        <v>0</v>
      </c>
      <c r="F2799" s="19">
        <v>0</v>
      </c>
      <c r="G2799" s="19">
        <v>0</v>
      </c>
      <c r="H2799" s="19">
        <v>0</v>
      </c>
      <c r="I2799" s="15">
        <v>3500</v>
      </c>
      <c r="J2799" s="15">
        <v>0</v>
      </c>
      <c r="K2799" s="15">
        <v>0</v>
      </c>
      <c r="L2799" s="15">
        <v>0</v>
      </c>
      <c r="M2799" s="15">
        <v>0</v>
      </c>
      <c r="N2799" s="15" t="str">
        <v/>
      </c>
      <c r="O2799" s="15" t="str">
        <v/>
      </c>
      <c r="P2799" s="22">
        <v>0</v>
      </c>
      <c r="Q2799">
        <v>0</v>
      </c>
    </row>
    <row r="2800" spans="1:17">
      <c r="A2800" s="19">
        <v>0</v>
      </c>
      <c r="B2800" s="19">
        <v>0</v>
      </c>
      <c r="C2800" s="19">
        <v>0</v>
      </c>
      <c r="D2800" s="19">
        <v>0</v>
      </c>
      <c r="E2800" s="19">
        <v>0</v>
      </c>
      <c r="F2800" s="19">
        <v>0</v>
      </c>
      <c r="G2800" s="19">
        <v>0</v>
      </c>
      <c r="H2800" s="19">
        <v>0</v>
      </c>
      <c r="I2800" s="15">
        <v>3500</v>
      </c>
      <c r="J2800" s="15">
        <v>0</v>
      </c>
      <c r="K2800" s="15">
        <v>0</v>
      </c>
      <c r="L2800" s="15">
        <v>0</v>
      </c>
      <c r="M2800" s="15">
        <v>0</v>
      </c>
      <c r="N2800" s="15" t="str">
        <v/>
      </c>
      <c r="O2800" s="15" t="str">
        <v/>
      </c>
      <c r="P2800" s="22">
        <v>0</v>
      </c>
      <c r="Q2800">
        <v>0</v>
      </c>
    </row>
    <row r="2801" spans="1:17">
      <c r="A2801" s="19">
        <v>0</v>
      </c>
      <c r="B2801" s="19">
        <v>0</v>
      </c>
      <c r="C2801" s="19">
        <v>0</v>
      </c>
      <c r="D2801" s="19">
        <v>0</v>
      </c>
      <c r="E2801" s="19">
        <v>0</v>
      </c>
      <c r="F2801" s="19">
        <v>0</v>
      </c>
      <c r="G2801" s="19">
        <v>0</v>
      </c>
      <c r="H2801" s="19">
        <v>0</v>
      </c>
      <c r="I2801" s="15">
        <v>3500</v>
      </c>
      <c r="J2801" s="15">
        <v>0</v>
      </c>
      <c r="K2801" s="15">
        <v>0</v>
      </c>
      <c r="L2801" s="15">
        <v>0</v>
      </c>
      <c r="M2801" s="15">
        <v>0</v>
      </c>
      <c r="N2801" s="15" t="str">
        <v/>
      </c>
      <c r="O2801" s="15" t="str">
        <v/>
      </c>
      <c r="P2801" s="22">
        <v>0</v>
      </c>
      <c r="Q2801">
        <v>0</v>
      </c>
    </row>
    <row r="2802" spans="1:17">
      <c r="A2802" s="19">
        <v>0</v>
      </c>
      <c r="B2802" s="19">
        <v>0</v>
      </c>
      <c r="C2802" s="19">
        <v>0</v>
      </c>
      <c r="D2802" s="19">
        <v>0</v>
      </c>
      <c r="E2802" s="19">
        <v>0</v>
      </c>
      <c r="F2802" s="19">
        <v>0</v>
      </c>
      <c r="G2802" s="19">
        <v>0</v>
      </c>
      <c r="H2802" s="19">
        <v>0</v>
      </c>
      <c r="I2802" s="15">
        <v>3500</v>
      </c>
      <c r="J2802" s="15">
        <v>0</v>
      </c>
      <c r="K2802" s="15">
        <v>0</v>
      </c>
      <c r="L2802" s="15">
        <v>0</v>
      </c>
      <c r="M2802" s="15">
        <v>0</v>
      </c>
      <c r="N2802" s="15" t="str">
        <v/>
      </c>
      <c r="O2802" s="15" t="str">
        <v/>
      </c>
      <c r="P2802" s="22">
        <v>0</v>
      </c>
      <c r="Q2802">
        <v>0</v>
      </c>
    </row>
    <row r="2803" spans="1:17">
      <c r="A2803" s="19">
        <v>0</v>
      </c>
      <c r="B2803" s="19">
        <v>0</v>
      </c>
      <c r="C2803" s="19">
        <v>0</v>
      </c>
      <c r="D2803" s="19">
        <v>0</v>
      </c>
      <c r="E2803" s="19">
        <v>0</v>
      </c>
      <c r="F2803" s="19">
        <v>0</v>
      </c>
      <c r="G2803" s="19">
        <v>0</v>
      </c>
      <c r="H2803" s="19">
        <v>0</v>
      </c>
      <c r="I2803" s="15">
        <v>3500</v>
      </c>
      <c r="J2803" s="15">
        <v>0</v>
      </c>
      <c r="K2803" s="15">
        <v>0</v>
      </c>
      <c r="L2803" s="15">
        <v>0</v>
      </c>
      <c r="M2803" s="15">
        <v>0</v>
      </c>
      <c r="N2803" s="15" t="str">
        <v/>
      </c>
      <c r="O2803" s="15" t="str">
        <v/>
      </c>
      <c r="P2803" s="22">
        <v>0</v>
      </c>
      <c r="Q2803">
        <v>0</v>
      </c>
    </row>
    <row r="2804" spans="1:17">
      <c r="A2804" s="19">
        <v>0</v>
      </c>
      <c r="B2804" s="19">
        <v>0</v>
      </c>
      <c r="C2804" s="19">
        <v>0</v>
      </c>
      <c r="D2804" s="19">
        <v>0</v>
      </c>
      <c r="E2804" s="19">
        <v>0</v>
      </c>
      <c r="F2804" s="19">
        <v>0</v>
      </c>
      <c r="G2804" s="19">
        <v>0</v>
      </c>
      <c r="H2804" s="19">
        <v>0</v>
      </c>
      <c r="I2804" s="15">
        <v>3500</v>
      </c>
      <c r="J2804" s="15">
        <v>0</v>
      </c>
      <c r="K2804" s="15">
        <v>0</v>
      </c>
      <c r="L2804" s="15">
        <v>0</v>
      </c>
      <c r="M2804" s="15">
        <v>0</v>
      </c>
      <c r="N2804" s="15" t="str">
        <v/>
      </c>
      <c r="O2804" s="15" t="str">
        <v/>
      </c>
      <c r="P2804" s="22">
        <v>0</v>
      </c>
      <c r="Q2804">
        <v>0</v>
      </c>
    </row>
    <row r="2805" spans="1:17">
      <c r="A2805" s="19">
        <v>0</v>
      </c>
      <c r="B2805" s="19">
        <v>0</v>
      </c>
      <c r="C2805" s="19">
        <v>0</v>
      </c>
      <c r="D2805" s="19">
        <v>0</v>
      </c>
      <c r="E2805" s="19">
        <v>0</v>
      </c>
      <c r="F2805" s="19">
        <v>0</v>
      </c>
      <c r="G2805" s="19">
        <v>0</v>
      </c>
      <c r="H2805" s="19">
        <v>0</v>
      </c>
      <c r="I2805" s="15">
        <v>3500</v>
      </c>
      <c r="J2805" s="15">
        <v>0</v>
      </c>
      <c r="K2805" s="15">
        <v>0</v>
      </c>
      <c r="L2805" s="15">
        <v>0</v>
      </c>
      <c r="M2805" s="15">
        <v>0</v>
      </c>
      <c r="N2805" s="15" t="str">
        <v/>
      </c>
      <c r="O2805" s="15" t="str">
        <v/>
      </c>
      <c r="P2805" s="22">
        <v>0</v>
      </c>
      <c r="Q2805">
        <v>0</v>
      </c>
    </row>
    <row r="2806" spans="1:17">
      <c r="A2806" s="19">
        <v>0</v>
      </c>
      <c r="B2806" s="19">
        <v>0</v>
      </c>
      <c r="C2806" s="19">
        <v>0</v>
      </c>
      <c r="D2806" s="19">
        <v>0</v>
      </c>
      <c r="E2806" s="19">
        <v>0</v>
      </c>
      <c r="F2806" s="19">
        <v>0</v>
      </c>
      <c r="G2806" s="19">
        <v>0</v>
      </c>
      <c r="H2806" s="19">
        <v>0</v>
      </c>
      <c r="I2806" s="15">
        <v>3500</v>
      </c>
      <c r="J2806" s="15">
        <v>0</v>
      </c>
      <c r="K2806" s="15">
        <v>0</v>
      </c>
      <c r="L2806" s="15">
        <v>0</v>
      </c>
      <c r="M2806" s="15">
        <v>0</v>
      </c>
      <c r="N2806" s="15" t="str">
        <v/>
      </c>
      <c r="O2806" s="15" t="str">
        <v/>
      </c>
      <c r="P2806" s="22">
        <v>0</v>
      </c>
      <c r="Q2806">
        <v>0</v>
      </c>
    </row>
    <row r="2807" spans="1:17">
      <c r="A2807" s="19">
        <v>0</v>
      </c>
      <c r="B2807" s="19">
        <v>0</v>
      </c>
      <c r="C2807" s="19">
        <v>0</v>
      </c>
      <c r="D2807" s="19">
        <v>0</v>
      </c>
      <c r="E2807" s="19">
        <v>0</v>
      </c>
      <c r="F2807" s="19">
        <v>0</v>
      </c>
      <c r="G2807" s="19">
        <v>0</v>
      </c>
      <c r="H2807" s="19">
        <v>0</v>
      </c>
      <c r="I2807" s="15">
        <v>3500</v>
      </c>
      <c r="J2807" s="15">
        <v>0</v>
      </c>
      <c r="K2807" s="15">
        <v>0</v>
      </c>
      <c r="L2807" s="15">
        <v>0</v>
      </c>
      <c r="M2807" s="15">
        <v>0</v>
      </c>
      <c r="N2807" s="15" t="str">
        <v/>
      </c>
      <c r="O2807" s="15" t="str">
        <v/>
      </c>
      <c r="P2807" s="22">
        <v>0</v>
      </c>
      <c r="Q2807">
        <v>0</v>
      </c>
    </row>
    <row r="2808" spans="1:17">
      <c r="A2808" s="19">
        <v>0</v>
      </c>
      <c r="B2808" s="19">
        <v>0</v>
      </c>
      <c r="C2808" s="19">
        <v>0</v>
      </c>
      <c r="D2808" s="19">
        <v>0</v>
      </c>
      <c r="E2808" s="19">
        <v>0</v>
      </c>
      <c r="F2808" s="19">
        <v>0</v>
      </c>
      <c r="G2808" s="19">
        <v>0</v>
      </c>
      <c r="H2808" s="19">
        <v>0</v>
      </c>
      <c r="I2808" s="15">
        <v>3500</v>
      </c>
      <c r="J2808" s="15">
        <v>0</v>
      </c>
      <c r="K2808" s="15">
        <v>0</v>
      </c>
      <c r="L2808" s="15">
        <v>0</v>
      </c>
      <c r="M2808" s="15">
        <v>0</v>
      </c>
      <c r="N2808" s="15" t="str">
        <v/>
      </c>
      <c r="O2808" s="15" t="str">
        <v/>
      </c>
      <c r="P2808" s="22">
        <v>0</v>
      </c>
      <c r="Q2808">
        <v>0</v>
      </c>
    </row>
    <row r="2809" spans="1:17">
      <c r="A2809" s="19">
        <v>0</v>
      </c>
      <c r="B2809" s="19">
        <v>0</v>
      </c>
      <c r="C2809" s="19">
        <v>0</v>
      </c>
      <c r="D2809" s="19">
        <v>0</v>
      </c>
      <c r="E2809" s="19">
        <v>0</v>
      </c>
      <c r="F2809" s="19">
        <v>0</v>
      </c>
      <c r="G2809" s="19">
        <v>0</v>
      </c>
      <c r="H2809" s="19">
        <v>0</v>
      </c>
      <c r="I2809" s="15">
        <v>3500</v>
      </c>
      <c r="J2809" s="15">
        <v>0</v>
      </c>
      <c r="K2809" s="15">
        <v>0</v>
      </c>
      <c r="L2809" s="15">
        <v>0</v>
      </c>
      <c r="M2809" s="15">
        <v>0</v>
      </c>
      <c r="N2809" s="15" t="str">
        <v/>
      </c>
      <c r="O2809" s="15" t="str">
        <v/>
      </c>
      <c r="P2809" s="22">
        <v>0</v>
      </c>
      <c r="Q2809">
        <v>0</v>
      </c>
    </row>
    <row r="2810" spans="1:17">
      <c r="A2810" s="19">
        <v>0</v>
      </c>
      <c r="B2810" s="19">
        <v>0</v>
      </c>
      <c r="C2810" s="19">
        <v>0</v>
      </c>
      <c r="D2810" s="19">
        <v>0</v>
      </c>
      <c r="E2810" s="19">
        <v>0</v>
      </c>
      <c r="F2810" s="19">
        <v>0</v>
      </c>
      <c r="G2810" s="19">
        <v>0</v>
      </c>
      <c r="H2810" s="19">
        <v>0</v>
      </c>
      <c r="I2810" s="15">
        <v>3500</v>
      </c>
      <c r="J2810" s="15">
        <v>0</v>
      </c>
      <c r="K2810" s="15">
        <v>0</v>
      </c>
      <c r="L2810" s="15">
        <v>0</v>
      </c>
      <c r="M2810" s="15">
        <v>0</v>
      </c>
      <c r="N2810" s="15" t="str">
        <v/>
      </c>
      <c r="O2810" s="15" t="str">
        <v/>
      </c>
      <c r="P2810" s="22">
        <v>0</v>
      </c>
      <c r="Q2810">
        <v>0</v>
      </c>
    </row>
    <row r="2811" spans="1:17">
      <c r="A2811" s="19">
        <v>0</v>
      </c>
      <c r="B2811" s="19">
        <v>0</v>
      </c>
      <c r="C2811" s="19">
        <v>0</v>
      </c>
      <c r="D2811" s="19">
        <v>0</v>
      </c>
      <c r="E2811" s="19">
        <v>0</v>
      </c>
      <c r="F2811" s="19">
        <v>0</v>
      </c>
      <c r="G2811" s="19">
        <v>0</v>
      </c>
      <c r="H2811" s="19">
        <v>0</v>
      </c>
      <c r="I2811" s="15">
        <v>3500</v>
      </c>
      <c r="J2811" s="15">
        <v>0</v>
      </c>
      <c r="K2811" s="15">
        <v>0</v>
      </c>
      <c r="L2811" s="15">
        <v>0</v>
      </c>
      <c r="M2811" s="15">
        <v>0</v>
      </c>
      <c r="N2811" s="15" t="str">
        <v/>
      </c>
      <c r="O2811" s="15" t="str">
        <v/>
      </c>
      <c r="P2811" s="22">
        <v>0</v>
      </c>
      <c r="Q2811">
        <v>0</v>
      </c>
    </row>
    <row r="2812" spans="1:17">
      <c r="A2812" s="19">
        <v>0</v>
      </c>
      <c r="B2812" s="19">
        <v>0</v>
      </c>
      <c r="C2812" s="19">
        <v>0</v>
      </c>
      <c r="D2812" s="19">
        <v>0</v>
      </c>
      <c r="E2812" s="19">
        <v>0</v>
      </c>
      <c r="F2812" s="19">
        <v>0</v>
      </c>
      <c r="G2812" s="19">
        <v>0</v>
      </c>
      <c r="H2812" s="19">
        <v>0</v>
      </c>
      <c r="I2812" s="15">
        <v>3500</v>
      </c>
      <c r="J2812" s="15">
        <v>0</v>
      </c>
      <c r="K2812" s="15">
        <v>0</v>
      </c>
      <c r="L2812" s="15">
        <v>0</v>
      </c>
      <c r="M2812" s="15">
        <v>0</v>
      </c>
      <c r="N2812" s="15" t="str">
        <v/>
      </c>
      <c r="O2812" s="15" t="str">
        <v/>
      </c>
      <c r="P2812" s="22">
        <v>0</v>
      </c>
      <c r="Q2812">
        <v>0</v>
      </c>
    </row>
    <row r="2813" spans="1:17">
      <c r="A2813" s="19">
        <v>0</v>
      </c>
      <c r="B2813" s="19">
        <v>0</v>
      </c>
      <c r="C2813" s="19">
        <v>0</v>
      </c>
      <c r="D2813" s="19">
        <v>0</v>
      </c>
      <c r="E2813" s="19">
        <v>0</v>
      </c>
      <c r="F2813" s="19">
        <v>0</v>
      </c>
      <c r="G2813" s="19">
        <v>0</v>
      </c>
      <c r="H2813" s="19">
        <v>0</v>
      </c>
      <c r="I2813" s="15">
        <v>3500</v>
      </c>
      <c r="J2813" s="15">
        <v>0</v>
      </c>
      <c r="K2813" s="15">
        <v>0</v>
      </c>
      <c r="L2813" s="15">
        <v>0</v>
      </c>
      <c r="M2813" s="15">
        <v>0</v>
      </c>
      <c r="N2813" s="15" t="str">
        <v/>
      </c>
      <c r="O2813" s="15" t="str">
        <v/>
      </c>
      <c r="P2813" s="22">
        <v>0</v>
      </c>
      <c r="Q2813">
        <v>0</v>
      </c>
    </row>
    <row r="2814" spans="1:17">
      <c r="A2814" s="19">
        <v>0</v>
      </c>
      <c r="B2814" s="19">
        <v>0</v>
      </c>
      <c r="C2814" s="19">
        <v>0</v>
      </c>
      <c r="D2814" s="19">
        <v>0</v>
      </c>
      <c r="E2814" s="19">
        <v>0</v>
      </c>
      <c r="F2814" s="19">
        <v>0</v>
      </c>
      <c r="G2814" s="19">
        <v>0</v>
      </c>
      <c r="H2814" s="19">
        <v>0</v>
      </c>
      <c r="I2814" s="15">
        <v>3500</v>
      </c>
      <c r="J2814" s="15">
        <v>0</v>
      </c>
      <c r="K2814" s="15">
        <v>0</v>
      </c>
      <c r="L2814" s="15">
        <v>0</v>
      </c>
      <c r="M2814" s="15">
        <v>0</v>
      </c>
      <c r="N2814" s="15" t="str">
        <v/>
      </c>
      <c r="O2814" s="15" t="str">
        <v/>
      </c>
      <c r="P2814" s="22">
        <v>0</v>
      </c>
      <c r="Q2814">
        <v>0</v>
      </c>
    </row>
    <row r="2815" spans="1:17">
      <c r="A2815" s="19">
        <v>0</v>
      </c>
      <c r="B2815" s="19">
        <v>0</v>
      </c>
      <c r="C2815" s="19">
        <v>0</v>
      </c>
      <c r="D2815" s="19">
        <v>0</v>
      </c>
      <c r="E2815" s="19">
        <v>0</v>
      </c>
      <c r="F2815" s="19">
        <v>0</v>
      </c>
      <c r="G2815" s="19">
        <v>0</v>
      </c>
      <c r="H2815" s="19">
        <v>0</v>
      </c>
      <c r="I2815" s="15">
        <v>3500</v>
      </c>
      <c r="J2815" s="15">
        <v>0</v>
      </c>
      <c r="K2815" s="15">
        <v>0</v>
      </c>
      <c r="L2815" s="15">
        <v>0</v>
      </c>
      <c r="M2815" s="15">
        <v>0</v>
      </c>
      <c r="N2815" s="15" t="str">
        <v/>
      </c>
      <c r="O2815" s="15" t="str">
        <v/>
      </c>
      <c r="P2815" s="22">
        <v>0</v>
      </c>
      <c r="Q2815">
        <v>0</v>
      </c>
    </row>
    <row r="2816" spans="1:17">
      <c r="A2816" s="19">
        <v>0</v>
      </c>
      <c r="B2816" s="19">
        <v>0</v>
      </c>
      <c r="C2816" s="19">
        <v>0</v>
      </c>
      <c r="D2816" s="19">
        <v>0</v>
      </c>
      <c r="E2816" s="19">
        <v>0</v>
      </c>
      <c r="F2816" s="19">
        <v>0</v>
      </c>
      <c r="G2816" s="19">
        <v>0</v>
      </c>
      <c r="H2816" s="19">
        <v>0</v>
      </c>
      <c r="I2816" s="15">
        <v>3500</v>
      </c>
      <c r="J2816" s="15">
        <v>0</v>
      </c>
      <c r="K2816" s="15">
        <v>0</v>
      </c>
      <c r="L2816" s="15">
        <v>0</v>
      </c>
      <c r="M2816" s="15">
        <v>0</v>
      </c>
      <c r="N2816" s="15" t="str">
        <v/>
      </c>
      <c r="O2816" s="15" t="str">
        <v/>
      </c>
      <c r="P2816" s="22">
        <v>0</v>
      </c>
      <c r="Q2816">
        <v>0</v>
      </c>
    </row>
    <row r="2817" spans="1:17">
      <c r="A2817" s="19">
        <v>0</v>
      </c>
      <c r="B2817" s="19">
        <v>0</v>
      </c>
      <c r="C2817" s="19">
        <v>0</v>
      </c>
      <c r="D2817" s="19">
        <v>0</v>
      </c>
      <c r="E2817" s="19">
        <v>0</v>
      </c>
      <c r="F2817" s="19">
        <v>0</v>
      </c>
      <c r="G2817" s="19">
        <v>0</v>
      </c>
      <c r="H2817" s="19">
        <v>0</v>
      </c>
      <c r="I2817" s="15">
        <v>3500</v>
      </c>
      <c r="J2817" s="15">
        <v>0</v>
      </c>
      <c r="K2817" s="15">
        <v>0</v>
      </c>
      <c r="L2817" s="15">
        <v>0</v>
      </c>
      <c r="M2817" s="15">
        <v>0</v>
      </c>
      <c r="N2817" s="15" t="str">
        <v/>
      </c>
      <c r="O2817" s="15" t="str">
        <v/>
      </c>
      <c r="P2817" s="22">
        <v>0</v>
      </c>
      <c r="Q2817">
        <v>0</v>
      </c>
    </row>
    <row r="2818" spans="1:17">
      <c r="A2818" s="19">
        <v>0</v>
      </c>
      <c r="B2818" s="19">
        <v>0</v>
      </c>
      <c r="C2818" s="19">
        <v>0</v>
      </c>
      <c r="D2818" s="19">
        <v>0</v>
      </c>
      <c r="E2818" s="19">
        <v>0</v>
      </c>
      <c r="F2818" s="19">
        <v>0</v>
      </c>
      <c r="G2818" s="19">
        <v>0</v>
      </c>
      <c r="H2818" s="19">
        <v>0</v>
      </c>
      <c r="I2818" s="15">
        <v>3500</v>
      </c>
      <c r="J2818" s="15">
        <v>0</v>
      </c>
      <c r="K2818" s="15">
        <v>0</v>
      </c>
      <c r="L2818" s="15">
        <v>0</v>
      </c>
      <c r="M2818" s="15">
        <v>0</v>
      </c>
      <c r="N2818" s="15" t="str">
        <v/>
      </c>
      <c r="O2818" s="15" t="str">
        <v/>
      </c>
      <c r="P2818" s="22">
        <v>0</v>
      </c>
      <c r="Q2818">
        <v>0</v>
      </c>
    </row>
    <row r="2819" spans="1:17">
      <c r="A2819" s="19">
        <v>0</v>
      </c>
      <c r="B2819" s="19">
        <v>0</v>
      </c>
      <c r="C2819" s="19">
        <v>0</v>
      </c>
      <c r="D2819" s="19">
        <v>0</v>
      </c>
      <c r="E2819" s="19">
        <v>0</v>
      </c>
      <c r="F2819" s="19">
        <v>0</v>
      </c>
      <c r="G2819" s="19">
        <v>0</v>
      </c>
      <c r="H2819" s="19">
        <v>0</v>
      </c>
      <c r="I2819" s="15">
        <v>3500</v>
      </c>
      <c r="J2819" s="15">
        <v>0</v>
      </c>
      <c r="K2819" s="15">
        <v>0</v>
      </c>
      <c r="L2819" s="15">
        <v>0</v>
      </c>
      <c r="M2819" s="15">
        <v>0</v>
      </c>
      <c r="N2819" s="15" t="str">
        <v/>
      </c>
      <c r="O2819" s="15" t="str">
        <v/>
      </c>
      <c r="P2819" s="22">
        <v>0</v>
      </c>
      <c r="Q2819">
        <v>0</v>
      </c>
    </row>
    <row r="2820" spans="1:17">
      <c r="A2820" s="19">
        <v>0</v>
      </c>
      <c r="B2820" s="19">
        <v>0</v>
      </c>
      <c r="C2820" s="19">
        <v>0</v>
      </c>
      <c r="D2820" s="19">
        <v>0</v>
      </c>
      <c r="E2820" s="19">
        <v>0</v>
      </c>
      <c r="F2820" s="19">
        <v>0</v>
      </c>
      <c r="G2820" s="19">
        <v>0</v>
      </c>
      <c r="H2820" s="19">
        <v>0</v>
      </c>
      <c r="I2820" s="15">
        <v>3500</v>
      </c>
      <c r="J2820" s="15">
        <v>0</v>
      </c>
      <c r="K2820" s="15">
        <v>0</v>
      </c>
      <c r="L2820" s="15">
        <v>0</v>
      </c>
      <c r="M2820" s="15">
        <v>0</v>
      </c>
      <c r="N2820" s="15" t="str">
        <v/>
      </c>
      <c r="O2820" s="15" t="str">
        <v/>
      </c>
      <c r="P2820" s="22">
        <v>0</v>
      </c>
      <c r="Q2820">
        <v>0</v>
      </c>
    </row>
    <row r="2821" spans="1:17">
      <c r="A2821" s="19">
        <v>0</v>
      </c>
      <c r="B2821" s="19">
        <v>0</v>
      </c>
      <c r="C2821" s="19">
        <v>0</v>
      </c>
      <c r="D2821" s="19">
        <v>0</v>
      </c>
      <c r="E2821" s="19">
        <v>0</v>
      </c>
      <c r="F2821" s="19">
        <v>0</v>
      </c>
      <c r="G2821" s="19">
        <v>0</v>
      </c>
      <c r="H2821" s="19">
        <v>0</v>
      </c>
      <c r="I2821" s="15">
        <v>3500</v>
      </c>
      <c r="J2821" s="15">
        <v>0</v>
      </c>
      <c r="K2821" s="15">
        <v>0</v>
      </c>
      <c r="L2821" s="15">
        <v>0</v>
      </c>
      <c r="M2821" s="15">
        <v>0</v>
      </c>
      <c r="N2821" s="15" t="str">
        <v/>
      </c>
      <c r="O2821" s="15" t="str">
        <v/>
      </c>
      <c r="P2821" s="22">
        <v>0</v>
      </c>
      <c r="Q2821">
        <v>0</v>
      </c>
    </row>
    <row r="2822" spans="1:17">
      <c r="A2822" s="19">
        <v>0</v>
      </c>
      <c r="B2822" s="19">
        <v>0</v>
      </c>
      <c r="C2822" s="19">
        <v>0</v>
      </c>
      <c r="D2822" s="19">
        <v>0</v>
      </c>
      <c r="E2822" s="19">
        <v>0</v>
      </c>
      <c r="F2822" s="19">
        <v>0</v>
      </c>
      <c r="G2822" s="19">
        <v>0</v>
      </c>
      <c r="H2822" s="19">
        <v>0</v>
      </c>
      <c r="I2822" s="15">
        <v>3500</v>
      </c>
      <c r="J2822" s="15">
        <v>0</v>
      </c>
      <c r="K2822" s="15">
        <v>0</v>
      </c>
      <c r="L2822" s="15">
        <v>0</v>
      </c>
      <c r="M2822" s="15">
        <v>0</v>
      </c>
      <c r="N2822" s="15" t="str">
        <v/>
      </c>
      <c r="O2822" s="15" t="str">
        <v/>
      </c>
      <c r="P2822" s="22">
        <v>0</v>
      </c>
      <c r="Q2822">
        <v>0</v>
      </c>
    </row>
    <row r="2823" spans="1:17">
      <c r="A2823" s="19">
        <v>0</v>
      </c>
      <c r="B2823" s="19">
        <v>0</v>
      </c>
      <c r="C2823" s="19">
        <v>0</v>
      </c>
      <c r="D2823" s="19">
        <v>0</v>
      </c>
      <c r="E2823" s="19">
        <v>0</v>
      </c>
      <c r="F2823" s="19">
        <v>0</v>
      </c>
      <c r="G2823" s="19">
        <v>0</v>
      </c>
      <c r="H2823" s="19">
        <v>0</v>
      </c>
      <c r="I2823" s="15">
        <v>3500</v>
      </c>
      <c r="J2823" s="15">
        <v>0</v>
      </c>
      <c r="K2823" s="15">
        <v>0</v>
      </c>
      <c r="L2823" s="15">
        <v>0</v>
      </c>
      <c r="M2823" s="15">
        <v>0</v>
      </c>
      <c r="N2823" s="15" t="str">
        <v/>
      </c>
      <c r="O2823" s="15" t="str">
        <v/>
      </c>
      <c r="P2823" s="22">
        <v>0</v>
      </c>
      <c r="Q2823">
        <v>0</v>
      </c>
    </row>
    <row r="2824" spans="1:17">
      <c r="A2824" s="19">
        <v>0</v>
      </c>
      <c r="B2824" s="19">
        <v>0</v>
      </c>
      <c r="C2824" s="19">
        <v>0</v>
      </c>
      <c r="D2824" s="19">
        <v>0</v>
      </c>
      <c r="E2824" s="19">
        <v>0</v>
      </c>
      <c r="F2824" s="19">
        <v>0</v>
      </c>
      <c r="G2824" s="19">
        <v>0</v>
      </c>
      <c r="H2824" s="19">
        <v>0</v>
      </c>
      <c r="I2824" s="15">
        <v>3500</v>
      </c>
      <c r="J2824" s="15">
        <v>0</v>
      </c>
      <c r="K2824" s="15">
        <v>0</v>
      </c>
      <c r="L2824" s="15">
        <v>0</v>
      </c>
      <c r="M2824" s="15">
        <v>0</v>
      </c>
      <c r="N2824" s="15" t="str">
        <v/>
      </c>
      <c r="O2824" s="15" t="str">
        <v/>
      </c>
      <c r="P2824" s="22">
        <v>0</v>
      </c>
      <c r="Q2824">
        <v>0</v>
      </c>
    </row>
    <row r="2825" spans="1:17">
      <c r="A2825" s="19">
        <v>0</v>
      </c>
      <c r="B2825" s="19">
        <v>0</v>
      </c>
      <c r="C2825" s="19">
        <v>0</v>
      </c>
      <c r="D2825" s="19">
        <v>0</v>
      </c>
      <c r="E2825" s="19">
        <v>0</v>
      </c>
      <c r="F2825" s="19">
        <v>0</v>
      </c>
      <c r="G2825" s="19">
        <v>0</v>
      </c>
      <c r="H2825" s="19">
        <v>0</v>
      </c>
      <c r="I2825" s="15">
        <v>3500</v>
      </c>
      <c r="J2825" s="15">
        <v>0</v>
      </c>
      <c r="K2825" s="15">
        <v>0</v>
      </c>
      <c r="L2825" s="15">
        <v>0</v>
      </c>
      <c r="M2825" s="15">
        <v>0</v>
      </c>
      <c r="N2825" s="15" t="str">
        <v/>
      </c>
      <c r="O2825" s="15" t="str">
        <v/>
      </c>
      <c r="P2825" s="22">
        <v>0</v>
      </c>
      <c r="Q2825">
        <v>0</v>
      </c>
    </row>
    <row r="2826" spans="1:17">
      <c r="A2826" s="19">
        <v>0</v>
      </c>
      <c r="B2826" s="19">
        <v>0</v>
      </c>
      <c r="C2826" s="19">
        <v>0</v>
      </c>
      <c r="D2826" s="19">
        <v>0</v>
      </c>
      <c r="E2826" s="19">
        <v>0</v>
      </c>
      <c r="F2826" s="19">
        <v>0</v>
      </c>
      <c r="G2826" s="19">
        <v>0</v>
      </c>
      <c r="H2826" s="19">
        <v>0</v>
      </c>
      <c r="I2826" s="15">
        <v>3500</v>
      </c>
      <c r="J2826" s="15">
        <v>0</v>
      </c>
      <c r="K2826" s="15">
        <v>0</v>
      </c>
      <c r="L2826" s="15">
        <v>0</v>
      </c>
      <c r="M2826" s="15">
        <v>0</v>
      </c>
      <c r="N2826" s="15" t="str">
        <v/>
      </c>
      <c r="O2826" s="15" t="str">
        <v/>
      </c>
      <c r="P2826" s="22">
        <v>0</v>
      </c>
      <c r="Q2826">
        <v>0</v>
      </c>
    </row>
    <row r="2827" spans="1:17">
      <c r="A2827" s="19">
        <v>0</v>
      </c>
      <c r="B2827" s="19">
        <v>0</v>
      </c>
      <c r="C2827" s="19">
        <v>0</v>
      </c>
      <c r="D2827" s="19">
        <v>0</v>
      </c>
      <c r="E2827" s="19">
        <v>0</v>
      </c>
      <c r="F2827" s="19">
        <v>0</v>
      </c>
      <c r="G2827" s="19">
        <v>0</v>
      </c>
      <c r="H2827" s="19">
        <v>0</v>
      </c>
      <c r="I2827" s="15">
        <v>3500</v>
      </c>
      <c r="J2827" s="15">
        <v>0</v>
      </c>
      <c r="K2827" s="15">
        <v>0</v>
      </c>
      <c r="L2827" s="15">
        <v>0</v>
      </c>
      <c r="M2827" s="15">
        <v>0</v>
      </c>
      <c r="N2827" s="15" t="str">
        <v/>
      </c>
      <c r="O2827" s="15" t="str">
        <v/>
      </c>
      <c r="P2827" s="22">
        <v>0</v>
      </c>
      <c r="Q2827">
        <v>0</v>
      </c>
    </row>
    <row r="2828" spans="1:17">
      <c r="A2828" s="19">
        <v>0</v>
      </c>
      <c r="B2828" s="19">
        <v>0</v>
      </c>
      <c r="C2828" s="19">
        <v>0</v>
      </c>
      <c r="D2828" s="19">
        <v>0</v>
      </c>
      <c r="E2828" s="19">
        <v>0</v>
      </c>
      <c r="F2828" s="19">
        <v>0</v>
      </c>
      <c r="G2828" s="19">
        <v>0</v>
      </c>
      <c r="H2828" s="19">
        <v>0</v>
      </c>
      <c r="I2828" s="15">
        <v>3500</v>
      </c>
      <c r="J2828" s="15">
        <v>0</v>
      </c>
      <c r="K2828" s="15">
        <v>0</v>
      </c>
      <c r="L2828" s="15">
        <v>0</v>
      </c>
      <c r="M2828" s="15">
        <v>0</v>
      </c>
      <c r="N2828" s="15" t="str">
        <v/>
      </c>
      <c r="O2828" s="15" t="str">
        <v/>
      </c>
      <c r="P2828" s="22">
        <v>0</v>
      </c>
      <c r="Q2828">
        <v>0</v>
      </c>
    </row>
    <row r="2829" spans="1:17">
      <c r="A2829" s="19">
        <v>0</v>
      </c>
      <c r="B2829" s="19">
        <v>0</v>
      </c>
      <c r="C2829" s="19">
        <v>0</v>
      </c>
      <c r="D2829" s="19">
        <v>0</v>
      </c>
      <c r="E2829" s="19">
        <v>0</v>
      </c>
      <c r="F2829" s="19">
        <v>0</v>
      </c>
      <c r="G2829" s="19">
        <v>0</v>
      </c>
      <c r="H2829" s="19">
        <v>0</v>
      </c>
      <c r="I2829" s="15">
        <v>3500</v>
      </c>
      <c r="J2829" s="15">
        <v>0</v>
      </c>
      <c r="K2829" s="15">
        <v>0</v>
      </c>
      <c r="L2829" s="15">
        <v>0</v>
      </c>
      <c r="M2829" s="15">
        <v>0</v>
      </c>
      <c r="N2829" s="15" t="str">
        <v/>
      </c>
      <c r="O2829" s="15" t="str">
        <v/>
      </c>
      <c r="P2829" s="22">
        <v>0</v>
      </c>
      <c r="Q2829">
        <v>0</v>
      </c>
    </row>
    <row r="2830" spans="1:17">
      <c r="A2830" s="19">
        <v>0</v>
      </c>
      <c r="B2830" s="19">
        <v>0</v>
      </c>
      <c r="C2830" s="19">
        <v>0</v>
      </c>
      <c r="D2830" s="19">
        <v>0</v>
      </c>
      <c r="E2830" s="19">
        <v>0</v>
      </c>
      <c r="F2830" s="19">
        <v>0</v>
      </c>
      <c r="G2830" s="19">
        <v>0</v>
      </c>
      <c r="H2830" s="19">
        <v>0</v>
      </c>
      <c r="I2830" s="15">
        <v>3500</v>
      </c>
      <c r="J2830" s="15">
        <v>0</v>
      </c>
      <c r="K2830" s="15">
        <v>0</v>
      </c>
      <c r="L2830" s="15">
        <v>0</v>
      </c>
      <c r="M2830" s="15">
        <v>0</v>
      </c>
      <c r="N2830" s="15" t="str">
        <v/>
      </c>
      <c r="O2830" s="15" t="str">
        <v/>
      </c>
      <c r="P2830" s="22">
        <v>0</v>
      </c>
      <c r="Q2830">
        <v>0</v>
      </c>
    </row>
    <row r="2831" spans="1:17">
      <c r="A2831" s="19">
        <v>0</v>
      </c>
      <c r="B2831" s="19">
        <v>0</v>
      </c>
      <c r="C2831" s="19">
        <v>0</v>
      </c>
      <c r="D2831" s="19">
        <v>0</v>
      </c>
      <c r="E2831" s="19">
        <v>0</v>
      </c>
      <c r="F2831" s="19">
        <v>0</v>
      </c>
      <c r="G2831" s="19">
        <v>0</v>
      </c>
      <c r="H2831" s="19">
        <v>0</v>
      </c>
      <c r="I2831" s="15">
        <v>3500</v>
      </c>
      <c r="J2831" s="15">
        <v>0</v>
      </c>
      <c r="K2831" s="15">
        <v>0</v>
      </c>
      <c r="L2831" s="15">
        <v>0</v>
      </c>
      <c r="M2831" s="15">
        <v>0</v>
      </c>
      <c r="N2831" s="15" t="str">
        <v/>
      </c>
      <c r="O2831" s="15" t="str">
        <v/>
      </c>
      <c r="P2831" s="22">
        <v>0</v>
      </c>
      <c r="Q2831">
        <v>0</v>
      </c>
    </row>
    <row r="2832" spans="1:17">
      <c r="A2832" s="19">
        <v>0</v>
      </c>
      <c r="B2832" s="19">
        <v>0</v>
      </c>
      <c r="C2832" s="19">
        <v>0</v>
      </c>
      <c r="D2832" s="19">
        <v>0</v>
      </c>
      <c r="E2832" s="19">
        <v>0</v>
      </c>
      <c r="F2832" s="19">
        <v>0</v>
      </c>
      <c r="G2832" s="19">
        <v>0</v>
      </c>
      <c r="H2832" s="19">
        <v>0</v>
      </c>
      <c r="I2832" s="15">
        <v>3500</v>
      </c>
      <c r="J2832" s="15">
        <v>0</v>
      </c>
      <c r="K2832" s="15">
        <v>0</v>
      </c>
      <c r="L2832" s="15">
        <v>0</v>
      </c>
      <c r="M2832" s="15">
        <v>0</v>
      </c>
      <c r="N2832" s="15" t="str">
        <v/>
      </c>
      <c r="O2832" s="15" t="str">
        <v/>
      </c>
      <c r="P2832" s="22">
        <v>0</v>
      </c>
      <c r="Q2832">
        <v>0</v>
      </c>
    </row>
    <row r="2833" spans="1:17">
      <c r="A2833" s="19">
        <v>0</v>
      </c>
      <c r="B2833" s="19">
        <v>0</v>
      </c>
      <c r="C2833" s="19">
        <v>0</v>
      </c>
      <c r="D2833" s="19">
        <v>0</v>
      </c>
      <c r="E2833" s="19">
        <v>0</v>
      </c>
      <c r="F2833" s="19">
        <v>0</v>
      </c>
      <c r="G2833" s="19">
        <v>0</v>
      </c>
      <c r="H2833" s="19">
        <v>0</v>
      </c>
      <c r="I2833" s="15">
        <v>3500</v>
      </c>
      <c r="J2833" s="15">
        <v>0</v>
      </c>
      <c r="K2833" s="15">
        <v>0</v>
      </c>
      <c r="L2833" s="15">
        <v>0</v>
      </c>
      <c r="M2833" s="15">
        <v>0</v>
      </c>
      <c r="N2833" s="15" t="str">
        <v/>
      </c>
      <c r="O2833" s="15" t="str">
        <v/>
      </c>
      <c r="P2833" s="22">
        <v>0</v>
      </c>
      <c r="Q2833">
        <v>0</v>
      </c>
    </row>
    <row r="2834" spans="1:17">
      <c r="A2834" s="19">
        <v>0</v>
      </c>
      <c r="B2834" s="19">
        <v>0</v>
      </c>
      <c r="C2834" s="19">
        <v>0</v>
      </c>
      <c r="D2834" s="19">
        <v>0</v>
      </c>
      <c r="E2834" s="19">
        <v>0</v>
      </c>
      <c r="F2834" s="19">
        <v>0</v>
      </c>
      <c r="G2834" s="19">
        <v>0</v>
      </c>
      <c r="H2834" s="19">
        <v>0</v>
      </c>
      <c r="I2834" s="15">
        <v>3500</v>
      </c>
      <c r="J2834" s="15">
        <v>0</v>
      </c>
      <c r="K2834" s="15">
        <v>0</v>
      </c>
      <c r="L2834" s="15">
        <v>0</v>
      </c>
      <c r="M2834" s="15">
        <v>0</v>
      </c>
      <c r="N2834" s="15" t="str">
        <v/>
      </c>
      <c r="O2834" s="15" t="str">
        <v/>
      </c>
      <c r="P2834" s="22">
        <v>0</v>
      </c>
      <c r="Q2834">
        <v>0</v>
      </c>
    </row>
    <row r="2835" spans="1:17">
      <c r="A2835" s="19">
        <v>0</v>
      </c>
      <c r="B2835" s="19">
        <v>0</v>
      </c>
      <c r="C2835" s="19">
        <v>0</v>
      </c>
      <c r="D2835" s="19">
        <v>0</v>
      </c>
      <c r="E2835" s="19">
        <v>0</v>
      </c>
      <c r="F2835" s="19">
        <v>0</v>
      </c>
      <c r="G2835" s="19">
        <v>0</v>
      </c>
      <c r="H2835" s="19">
        <v>0</v>
      </c>
      <c r="I2835" s="15">
        <v>3500</v>
      </c>
      <c r="J2835" s="15">
        <v>0</v>
      </c>
      <c r="K2835" s="15">
        <v>0</v>
      </c>
      <c r="L2835" s="15">
        <v>0</v>
      </c>
      <c r="M2835" s="15">
        <v>0</v>
      </c>
      <c r="N2835" s="15" t="str">
        <v/>
      </c>
      <c r="O2835" s="15" t="str">
        <v/>
      </c>
      <c r="P2835" s="22">
        <v>0</v>
      </c>
      <c r="Q2835">
        <v>0</v>
      </c>
    </row>
    <row r="2836" spans="1:17">
      <c r="A2836" s="19">
        <v>0</v>
      </c>
      <c r="B2836" s="19">
        <v>0</v>
      </c>
      <c r="C2836" s="19">
        <v>0</v>
      </c>
      <c r="D2836" s="19">
        <v>0</v>
      </c>
      <c r="E2836" s="19">
        <v>0</v>
      </c>
      <c r="F2836" s="19">
        <v>0</v>
      </c>
      <c r="G2836" s="19">
        <v>0</v>
      </c>
      <c r="H2836" s="19">
        <v>0</v>
      </c>
      <c r="I2836" s="15">
        <v>3500</v>
      </c>
      <c r="J2836" s="15">
        <v>0</v>
      </c>
      <c r="K2836" s="15">
        <v>0</v>
      </c>
      <c r="L2836" s="15">
        <v>0</v>
      </c>
      <c r="M2836" s="15">
        <v>0</v>
      </c>
      <c r="N2836" s="15" t="str">
        <v/>
      </c>
      <c r="O2836" s="15" t="str">
        <v/>
      </c>
      <c r="P2836" s="22">
        <v>0</v>
      </c>
      <c r="Q2836">
        <v>0</v>
      </c>
    </row>
    <row r="2837" spans="1:17">
      <c r="A2837" s="19">
        <v>0</v>
      </c>
      <c r="B2837" s="19">
        <v>0</v>
      </c>
      <c r="C2837" s="19">
        <v>0</v>
      </c>
      <c r="D2837" s="19">
        <v>0</v>
      </c>
      <c r="E2837" s="19">
        <v>0</v>
      </c>
      <c r="F2837" s="19">
        <v>0</v>
      </c>
      <c r="G2837" s="19">
        <v>0</v>
      </c>
      <c r="H2837" s="19">
        <v>0</v>
      </c>
      <c r="I2837" s="15">
        <v>3500</v>
      </c>
      <c r="J2837" s="15">
        <v>0</v>
      </c>
      <c r="K2837" s="15">
        <v>0</v>
      </c>
      <c r="L2837" s="15">
        <v>0</v>
      </c>
      <c r="M2837" s="15">
        <v>0</v>
      </c>
      <c r="N2837" s="15" t="str">
        <v/>
      </c>
      <c r="O2837" s="15" t="str">
        <v/>
      </c>
      <c r="P2837" s="22">
        <v>0</v>
      </c>
      <c r="Q2837">
        <v>0</v>
      </c>
    </row>
    <row r="2838" spans="1:17">
      <c r="A2838" s="19">
        <v>0</v>
      </c>
      <c r="B2838" s="19">
        <v>0</v>
      </c>
      <c r="C2838" s="19">
        <v>0</v>
      </c>
      <c r="D2838" s="19">
        <v>0</v>
      </c>
      <c r="E2838" s="19">
        <v>0</v>
      </c>
      <c r="F2838" s="19">
        <v>0</v>
      </c>
      <c r="G2838" s="19">
        <v>0</v>
      </c>
      <c r="H2838" s="19">
        <v>0</v>
      </c>
      <c r="I2838" s="15">
        <v>3500</v>
      </c>
      <c r="J2838" s="15">
        <v>0</v>
      </c>
      <c r="K2838" s="15">
        <v>0</v>
      </c>
      <c r="L2838" s="15">
        <v>0</v>
      </c>
      <c r="M2838" s="15">
        <v>0</v>
      </c>
      <c r="N2838" s="15" t="str">
        <v/>
      </c>
      <c r="O2838" s="15" t="str">
        <v/>
      </c>
      <c r="P2838" s="22">
        <v>0</v>
      </c>
      <c r="Q2838">
        <v>0</v>
      </c>
    </row>
    <row r="2839" spans="1:17">
      <c r="A2839" s="19">
        <v>0</v>
      </c>
      <c r="B2839" s="19">
        <v>0</v>
      </c>
      <c r="C2839" s="19">
        <v>0</v>
      </c>
      <c r="D2839" s="19">
        <v>0</v>
      </c>
      <c r="E2839" s="19">
        <v>0</v>
      </c>
      <c r="F2839" s="19">
        <v>0</v>
      </c>
      <c r="G2839" s="19">
        <v>0</v>
      </c>
      <c r="H2839" s="19">
        <v>0</v>
      </c>
      <c r="I2839" s="15">
        <v>3500</v>
      </c>
      <c r="J2839" s="15">
        <v>0</v>
      </c>
      <c r="K2839" s="15">
        <v>0</v>
      </c>
      <c r="L2839" s="15">
        <v>0</v>
      </c>
      <c r="M2839" s="15">
        <v>0</v>
      </c>
      <c r="N2839" s="15" t="str">
        <v/>
      </c>
      <c r="O2839" s="15" t="str">
        <v/>
      </c>
      <c r="P2839" s="22">
        <v>0</v>
      </c>
      <c r="Q2839">
        <v>0</v>
      </c>
    </row>
    <row r="2840" spans="1:17">
      <c r="A2840" s="19">
        <v>0</v>
      </c>
      <c r="B2840" s="19">
        <v>0</v>
      </c>
      <c r="C2840" s="19">
        <v>0</v>
      </c>
      <c r="D2840" s="19">
        <v>0</v>
      </c>
      <c r="E2840" s="19">
        <v>0</v>
      </c>
      <c r="F2840" s="19">
        <v>0</v>
      </c>
      <c r="G2840" s="19">
        <v>0</v>
      </c>
      <c r="H2840" s="19">
        <v>0</v>
      </c>
      <c r="I2840" s="15">
        <v>3500</v>
      </c>
      <c r="J2840" s="15">
        <v>0</v>
      </c>
      <c r="K2840" s="15">
        <v>0</v>
      </c>
      <c r="L2840" s="15">
        <v>0</v>
      </c>
      <c r="M2840" s="15">
        <v>0</v>
      </c>
      <c r="N2840" s="15" t="str">
        <v/>
      </c>
      <c r="O2840" s="15" t="str">
        <v/>
      </c>
      <c r="P2840" s="22">
        <v>0</v>
      </c>
      <c r="Q2840">
        <v>0</v>
      </c>
    </row>
    <row r="2841" spans="1:17">
      <c r="A2841" s="19">
        <v>0</v>
      </c>
      <c r="B2841" s="19">
        <v>0</v>
      </c>
      <c r="C2841" s="19">
        <v>0</v>
      </c>
      <c r="D2841" s="19">
        <v>0</v>
      </c>
      <c r="E2841" s="19">
        <v>0</v>
      </c>
      <c r="F2841" s="19">
        <v>0</v>
      </c>
      <c r="G2841" s="19">
        <v>0</v>
      </c>
      <c r="H2841" s="19">
        <v>0</v>
      </c>
      <c r="I2841" s="15">
        <v>3500</v>
      </c>
      <c r="J2841" s="15">
        <v>0</v>
      </c>
      <c r="K2841" s="15">
        <v>0</v>
      </c>
      <c r="L2841" s="15">
        <v>0</v>
      </c>
      <c r="M2841" s="15">
        <v>0</v>
      </c>
      <c r="N2841" s="15" t="str">
        <v/>
      </c>
      <c r="O2841" s="15" t="str">
        <v/>
      </c>
      <c r="P2841" s="22">
        <v>0</v>
      </c>
      <c r="Q2841">
        <v>0</v>
      </c>
    </row>
    <row r="2842" spans="1:17">
      <c r="A2842" s="19">
        <v>0</v>
      </c>
      <c r="B2842" s="19">
        <v>0</v>
      </c>
      <c r="C2842" s="19">
        <v>0</v>
      </c>
      <c r="D2842" s="19">
        <v>0</v>
      </c>
      <c r="E2842" s="19">
        <v>0</v>
      </c>
      <c r="F2842" s="19">
        <v>0</v>
      </c>
      <c r="G2842" s="19">
        <v>0</v>
      </c>
      <c r="H2842" s="19">
        <v>0</v>
      </c>
      <c r="I2842" s="15">
        <v>3500</v>
      </c>
      <c r="J2842" s="15">
        <v>0</v>
      </c>
      <c r="K2842" s="15">
        <v>0</v>
      </c>
      <c r="L2842" s="15">
        <v>0</v>
      </c>
      <c r="M2842" s="15">
        <v>0</v>
      </c>
      <c r="N2842" s="15" t="str">
        <v/>
      </c>
      <c r="O2842" s="15" t="str">
        <v/>
      </c>
      <c r="P2842" s="22">
        <v>0</v>
      </c>
      <c r="Q2842">
        <v>0</v>
      </c>
    </row>
    <row r="2843" spans="1:17">
      <c r="A2843" s="19">
        <v>0</v>
      </c>
      <c r="B2843" s="19">
        <v>0</v>
      </c>
      <c r="C2843" s="19">
        <v>0</v>
      </c>
      <c r="D2843" s="19">
        <v>0</v>
      </c>
      <c r="E2843" s="19">
        <v>0</v>
      </c>
      <c r="F2843" s="19">
        <v>0</v>
      </c>
      <c r="G2843" s="19">
        <v>0</v>
      </c>
      <c r="H2843" s="19">
        <v>0</v>
      </c>
      <c r="I2843" s="15">
        <v>3500</v>
      </c>
      <c r="J2843" s="15">
        <v>0</v>
      </c>
      <c r="K2843" s="15">
        <v>0</v>
      </c>
      <c r="L2843" s="15">
        <v>0</v>
      </c>
      <c r="M2843" s="15">
        <v>0</v>
      </c>
      <c r="N2843" s="15" t="str">
        <v/>
      </c>
      <c r="O2843" s="15" t="str">
        <v/>
      </c>
      <c r="P2843" s="22">
        <v>0</v>
      </c>
      <c r="Q2843">
        <v>0</v>
      </c>
    </row>
    <row r="2844" spans="1:17">
      <c r="A2844" s="19">
        <v>0</v>
      </c>
      <c r="B2844" s="19">
        <v>0</v>
      </c>
      <c r="C2844" s="19">
        <v>0</v>
      </c>
      <c r="D2844" s="19">
        <v>0</v>
      </c>
      <c r="E2844" s="19">
        <v>0</v>
      </c>
      <c r="F2844" s="19">
        <v>0</v>
      </c>
      <c r="G2844" s="19">
        <v>0</v>
      </c>
      <c r="H2844" s="19">
        <v>0</v>
      </c>
      <c r="I2844" s="15">
        <v>3500</v>
      </c>
      <c r="J2844" s="15">
        <v>0</v>
      </c>
      <c r="K2844" s="15">
        <v>0</v>
      </c>
      <c r="L2844" s="15">
        <v>0</v>
      </c>
      <c r="M2844" s="15">
        <v>0</v>
      </c>
      <c r="N2844" s="15" t="str">
        <v/>
      </c>
      <c r="O2844" s="15" t="str">
        <v/>
      </c>
      <c r="P2844" s="22">
        <v>0</v>
      </c>
      <c r="Q2844">
        <v>0</v>
      </c>
    </row>
    <row r="2845" spans="1:17">
      <c r="A2845" s="19">
        <v>0</v>
      </c>
      <c r="B2845" s="19">
        <v>0</v>
      </c>
      <c r="C2845" s="19">
        <v>0</v>
      </c>
      <c r="D2845" s="19">
        <v>0</v>
      </c>
      <c r="E2845" s="19">
        <v>0</v>
      </c>
      <c r="F2845" s="19">
        <v>0</v>
      </c>
      <c r="G2845" s="19">
        <v>0</v>
      </c>
      <c r="H2845" s="19">
        <v>0</v>
      </c>
      <c r="I2845" s="15">
        <v>3500</v>
      </c>
      <c r="J2845" s="15">
        <v>0</v>
      </c>
      <c r="K2845" s="15">
        <v>0</v>
      </c>
      <c r="L2845" s="15">
        <v>0</v>
      </c>
      <c r="M2845" s="15">
        <v>0</v>
      </c>
      <c r="N2845" s="15" t="str">
        <v/>
      </c>
      <c r="O2845" s="15" t="str">
        <v/>
      </c>
      <c r="P2845" s="22">
        <v>0</v>
      </c>
      <c r="Q2845">
        <v>0</v>
      </c>
    </row>
    <row r="2846" spans="1:17">
      <c r="A2846" s="19">
        <v>0</v>
      </c>
      <c r="B2846" s="19">
        <v>0</v>
      </c>
      <c r="C2846" s="19">
        <v>0</v>
      </c>
      <c r="D2846" s="19">
        <v>0</v>
      </c>
      <c r="E2846" s="19">
        <v>0</v>
      </c>
      <c r="F2846" s="19">
        <v>0</v>
      </c>
      <c r="G2846" s="19">
        <v>0</v>
      </c>
      <c r="H2846" s="19">
        <v>0</v>
      </c>
      <c r="I2846" s="15">
        <v>3500</v>
      </c>
      <c r="J2846" s="15">
        <v>0</v>
      </c>
      <c r="K2846" s="15">
        <v>0</v>
      </c>
      <c r="L2846" s="15">
        <v>0</v>
      </c>
      <c r="M2846" s="15">
        <v>0</v>
      </c>
      <c r="N2846" s="15" t="str">
        <v/>
      </c>
      <c r="O2846" s="15" t="str">
        <v/>
      </c>
      <c r="P2846" s="22">
        <v>0</v>
      </c>
      <c r="Q2846">
        <v>0</v>
      </c>
    </row>
    <row r="2847" spans="1:17">
      <c r="A2847" s="19">
        <v>0</v>
      </c>
      <c r="B2847" s="19">
        <v>0</v>
      </c>
      <c r="C2847" s="19">
        <v>0</v>
      </c>
      <c r="D2847" s="19">
        <v>0</v>
      </c>
      <c r="E2847" s="19">
        <v>0</v>
      </c>
      <c r="F2847" s="19">
        <v>0</v>
      </c>
      <c r="G2847" s="19">
        <v>0</v>
      </c>
      <c r="H2847" s="19">
        <v>0</v>
      </c>
      <c r="I2847" s="15">
        <v>3500</v>
      </c>
      <c r="J2847" s="15">
        <v>0</v>
      </c>
      <c r="K2847" s="15">
        <v>0</v>
      </c>
      <c r="L2847" s="15">
        <v>0</v>
      </c>
      <c r="M2847" s="15">
        <v>0</v>
      </c>
      <c r="N2847" s="15" t="str">
        <v/>
      </c>
      <c r="O2847" s="15" t="str">
        <v/>
      </c>
      <c r="P2847" s="22">
        <v>0</v>
      </c>
      <c r="Q2847">
        <v>0</v>
      </c>
    </row>
    <row r="2848" spans="1:17">
      <c r="A2848" s="19">
        <v>0</v>
      </c>
      <c r="B2848" s="19">
        <v>0</v>
      </c>
      <c r="C2848" s="19">
        <v>0</v>
      </c>
      <c r="D2848" s="19">
        <v>0</v>
      </c>
      <c r="E2848" s="19">
        <v>0</v>
      </c>
      <c r="F2848" s="19">
        <v>0</v>
      </c>
      <c r="G2848" s="19">
        <v>0</v>
      </c>
      <c r="H2848" s="19">
        <v>0</v>
      </c>
      <c r="I2848" s="15">
        <v>3500</v>
      </c>
      <c r="J2848" s="15">
        <v>0</v>
      </c>
      <c r="K2848" s="15">
        <v>0</v>
      </c>
      <c r="L2848" s="15">
        <v>0</v>
      </c>
      <c r="M2848" s="15">
        <v>0</v>
      </c>
      <c r="N2848" s="15" t="str">
        <v/>
      </c>
      <c r="O2848" s="15" t="str">
        <v/>
      </c>
      <c r="P2848" s="22">
        <v>0</v>
      </c>
      <c r="Q2848">
        <v>0</v>
      </c>
    </row>
    <row r="2849" spans="1:17">
      <c r="A2849" s="19">
        <v>0</v>
      </c>
      <c r="B2849" s="19">
        <v>0</v>
      </c>
      <c r="C2849" s="19">
        <v>0</v>
      </c>
      <c r="D2849" s="19">
        <v>0</v>
      </c>
      <c r="E2849" s="19">
        <v>0</v>
      </c>
      <c r="F2849" s="19">
        <v>0</v>
      </c>
      <c r="G2849" s="19">
        <v>0</v>
      </c>
      <c r="H2849" s="19">
        <v>0</v>
      </c>
      <c r="I2849" s="15">
        <v>3500</v>
      </c>
      <c r="J2849" s="15">
        <v>0</v>
      </c>
      <c r="K2849" s="15">
        <v>0</v>
      </c>
      <c r="L2849" s="15">
        <v>0</v>
      </c>
      <c r="M2849" s="15">
        <v>0</v>
      </c>
      <c r="N2849" s="15" t="str">
        <v/>
      </c>
      <c r="O2849" s="15" t="str">
        <v/>
      </c>
      <c r="P2849" s="22">
        <v>0</v>
      </c>
      <c r="Q2849">
        <v>0</v>
      </c>
    </row>
    <row r="2850" spans="1:17">
      <c r="A2850" s="19">
        <v>0</v>
      </c>
      <c r="B2850" s="19">
        <v>0</v>
      </c>
      <c r="C2850" s="19">
        <v>0</v>
      </c>
      <c r="D2850" s="19">
        <v>0</v>
      </c>
      <c r="E2850" s="19">
        <v>0</v>
      </c>
      <c r="F2850" s="19">
        <v>0</v>
      </c>
      <c r="G2850" s="19">
        <v>0</v>
      </c>
      <c r="H2850" s="19">
        <v>0</v>
      </c>
      <c r="I2850" s="15">
        <v>3500</v>
      </c>
      <c r="J2850" s="15">
        <v>0</v>
      </c>
      <c r="K2850" s="15">
        <v>0</v>
      </c>
      <c r="L2850" s="15">
        <v>0</v>
      </c>
      <c r="M2850" s="15">
        <v>0</v>
      </c>
      <c r="N2850" s="15" t="str">
        <v/>
      </c>
      <c r="O2850" s="15" t="str">
        <v/>
      </c>
      <c r="P2850" s="22">
        <v>0</v>
      </c>
      <c r="Q2850">
        <v>0</v>
      </c>
    </row>
    <row r="2851" spans="1:17">
      <c r="A2851" s="19">
        <v>0</v>
      </c>
      <c r="B2851" s="19">
        <v>0</v>
      </c>
      <c r="C2851" s="19">
        <v>0</v>
      </c>
      <c r="D2851" s="19">
        <v>0</v>
      </c>
      <c r="E2851" s="19">
        <v>0</v>
      </c>
      <c r="F2851" s="19">
        <v>0</v>
      </c>
      <c r="G2851" s="19">
        <v>0</v>
      </c>
      <c r="H2851" s="19">
        <v>0</v>
      </c>
      <c r="I2851" s="15">
        <v>3500</v>
      </c>
      <c r="J2851" s="15">
        <v>0</v>
      </c>
      <c r="K2851" s="15">
        <v>0</v>
      </c>
      <c r="L2851" s="15">
        <v>0</v>
      </c>
      <c r="M2851" s="15">
        <v>0</v>
      </c>
      <c r="N2851" s="15" t="str">
        <v/>
      </c>
      <c r="O2851" s="15" t="str">
        <v/>
      </c>
      <c r="P2851" s="22">
        <v>0</v>
      </c>
      <c r="Q2851">
        <v>0</v>
      </c>
    </row>
    <row r="2852" spans="1:17">
      <c r="A2852" s="19">
        <v>0</v>
      </c>
      <c r="B2852" s="19">
        <v>0</v>
      </c>
      <c r="C2852" s="19">
        <v>0</v>
      </c>
      <c r="D2852" s="19">
        <v>0</v>
      </c>
      <c r="E2852" s="19">
        <v>0</v>
      </c>
      <c r="F2852" s="19">
        <v>0</v>
      </c>
      <c r="G2852" s="19">
        <v>0</v>
      </c>
      <c r="H2852" s="19">
        <v>0</v>
      </c>
      <c r="I2852" s="15">
        <v>3500</v>
      </c>
      <c r="J2852" s="15">
        <v>0</v>
      </c>
      <c r="K2852" s="15">
        <v>0</v>
      </c>
      <c r="L2852" s="15">
        <v>0</v>
      </c>
      <c r="M2852" s="15">
        <v>0</v>
      </c>
      <c r="N2852" s="15" t="str">
        <v/>
      </c>
      <c r="O2852" s="15" t="str">
        <v/>
      </c>
      <c r="P2852" s="22">
        <v>0</v>
      </c>
      <c r="Q2852">
        <v>0</v>
      </c>
    </row>
    <row r="2853" spans="1:17">
      <c r="A2853" s="19">
        <v>0</v>
      </c>
      <c r="B2853" s="19">
        <v>0</v>
      </c>
      <c r="C2853" s="19">
        <v>0</v>
      </c>
      <c r="D2853" s="19">
        <v>0</v>
      </c>
      <c r="E2853" s="19">
        <v>0</v>
      </c>
      <c r="F2853" s="19">
        <v>0</v>
      </c>
      <c r="G2853" s="19">
        <v>0</v>
      </c>
      <c r="H2853" s="19">
        <v>0</v>
      </c>
      <c r="I2853" s="15">
        <v>3500</v>
      </c>
      <c r="J2853" s="15">
        <v>0</v>
      </c>
      <c r="K2853" s="15">
        <v>0</v>
      </c>
      <c r="L2853" s="15">
        <v>0</v>
      </c>
      <c r="M2853" s="15">
        <v>0</v>
      </c>
      <c r="N2853" s="15" t="str">
        <v/>
      </c>
      <c r="O2853" s="15" t="str">
        <v/>
      </c>
      <c r="P2853" s="22">
        <v>0</v>
      </c>
      <c r="Q2853">
        <v>0</v>
      </c>
    </row>
    <row r="2854" spans="1:17">
      <c r="A2854" s="19">
        <v>0</v>
      </c>
      <c r="B2854" s="19">
        <v>0</v>
      </c>
      <c r="C2854" s="19">
        <v>0</v>
      </c>
      <c r="D2854" s="19">
        <v>0</v>
      </c>
      <c r="E2854" s="19">
        <v>0</v>
      </c>
      <c r="F2854" s="19">
        <v>0</v>
      </c>
      <c r="G2854" s="19">
        <v>0</v>
      </c>
      <c r="H2854" s="19">
        <v>0</v>
      </c>
      <c r="I2854" s="15">
        <v>3500</v>
      </c>
      <c r="J2854" s="15">
        <v>0</v>
      </c>
      <c r="K2854" s="15">
        <v>0</v>
      </c>
      <c r="L2854" s="15">
        <v>0</v>
      </c>
      <c r="M2854" s="15">
        <v>0</v>
      </c>
      <c r="N2854" s="15" t="str">
        <v/>
      </c>
      <c r="O2854" s="15" t="str">
        <v/>
      </c>
      <c r="P2854" s="22">
        <v>0</v>
      </c>
      <c r="Q2854">
        <v>0</v>
      </c>
    </row>
    <row r="2855" spans="1:17">
      <c r="A2855" s="19">
        <v>0</v>
      </c>
      <c r="B2855" s="19">
        <v>0</v>
      </c>
      <c r="C2855" s="19">
        <v>0</v>
      </c>
      <c r="D2855" s="19">
        <v>0</v>
      </c>
      <c r="E2855" s="19">
        <v>0</v>
      </c>
      <c r="F2855" s="19">
        <v>0</v>
      </c>
      <c r="G2855" s="19">
        <v>0</v>
      </c>
      <c r="H2855" s="19">
        <v>0</v>
      </c>
      <c r="I2855" s="15">
        <v>3500</v>
      </c>
      <c r="J2855" s="15">
        <v>0</v>
      </c>
      <c r="K2855" s="15">
        <v>0</v>
      </c>
      <c r="L2855" s="15">
        <v>0</v>
      </c>
      <c r="M2855" s="15">
        <v>0</v>
      </c>
      <c r="N2855" s="15" t="str">
        <v/>
      </c>
      <c r="O2855" s="15" t="str">
        <v/>
      </c>
      <c r="P2855" s="22">
        <v>0</v>
      </c>
      <c r="Q2855">
        <v>0</v>
      </c>
    </row>
    <row r="2856" spans="1:17">
      <c r="A2856" s="19">
        <v>0</v>
      </c>
      <c r="B2856" s="19">
        <v>0</v>
      </c>
      <c r="C2856" s="19">
        <v>0</v>
      </c>
      <c r="D2856" s="19">
        <v>0</v>
      </c>
      <c r="E2856" s="19">
        <v>0</v>
      </c>
      <c r="F2856" s="19">
        <v>0</v>
      </c>
      <c r="G2856" s="19">
        <v>0</v>
      </c>
      <c r="H2856" s="19">
        <v>0</v>
      </c>
      <c r="I2856" s="15">
        <v>3500</v>
      </c>
      <c r="J2856" s="15">
        <v>0</v>
      </c>
      <c r="K2856" s="15">
        <v>0</v>
      </c>
      <c r="L2856" s="15">
        <v>0</v>
      </c>
      <c r="M2856" s="15">
        <v>0</v>
      </c>
      <c r="N2856" s="15" t="str">
        <v/>
      </c>
      <c r="O2856" s="15" t="str">
        <v/>
      </c>
      <c r="P2856" s="22">
        <v>0</v>
      </c>
      <c r="Q2856">
        <v>0</v>
      </c>
    </row>
    <row r="2857" spans="1:17">
      <c r="A2857" s="19">
        <v>0</v>
      </c>
      <c r="B2857" s="19">
        <v>0</v>
      </c>
      <c r="C2857" s="19">
        <v>0</v>
      </c>
      <c r="D2857" s="19">
        <v>0</v>
      </c>
      <c r="E2857" s="19">
        <v>0</v>
      </c>
      <c r="F2857" s="19">
        <v>0</v>
      </c>
      <c r="G2857" s="19">
        <v>0</v>
      </c>
      <c r="H2857" s="19">
        <v>0</v>
      </c>
      <c r="I2857" s="15">
        <v>3500</v>
      </c>
      <c r="J2857" s="15">
        <v>0</v>
      </c>
      <c r="K2857" s="15">
        <v>0</v>
      </c>
      <c r="L2857" s="15">
        <v>0</v>
      </c>
      <c r="M2857" s="15">
        <v>0</v>
      </c>
      <c r="N2857" s="15" t="str">
        <v/>
      </c>
      <c r="O2857" s="15" t="str">
        <v/>
      </c>
      <c r="P2857" s="22">
        <v>0</v>
      </c>
      <c r="Q2857">
        <v>0</v>
      </c>
    </row>
    <row r="2858" spans="1:17">
      <c r="A2858" s="19">
        <v>0</v>
      </c>
      <c r="B2858" s="19">
        <v>0</v>
      </c>
      <c r="C2858" s="19">
        <v>0</v>
      </c>
      <c r="D2858" s="19">
        <v>0</v>
      </c>
      <c r="E2858" s="19">
        <v>0</v>
      </c>
      <c r="F2858" s="19">
        <v>0</v>
      </c>
      <c r="G2858" s="19">
        <v>0</v>
      </c>
      <c r="H2858" s="19">
        <v>0</v>
      </c>
      <c r="I2858" s="15">
        <v>3500</v>
      </c>
      <c r="J2858" s="15">
        <v>0</v>
      </c>
      <c r="K2858" s="15">
        <v>0</v>
      </c>
      <c r="L2858" s="15">
        <v>0</v>
      </c>
      <c r="M2858" s="15">
        <v>0</v>
      </c>
      <c r="N2858" s="15" t="str">
        <v/>
      </c>
      <c r="O2858" s="15" t="str">
        <v/>
      </c>
      <c r="P2858" s="22">
        <v>0</v>
      </c>
      <c r="Q2858">
        <v>0</v>
      </c>
    </row>
    <row r="2859" spans="1:17">
      <c r="A2859" s="19">
        <v>0</v>
      </c>
      <c r="B2859" s="19">
        <v>0</v>
      </c>
      <c r="C2859" s="19">
        <v>0</v>
      </c>
      <c r="D2859" s="19">
        <v>0</v>
      </c>
      <c r="E2859" s="19">
        <v>0</v>
      </c>
      <c r="F2859" s="19">
        <v>0</v>
      </c>
      <c r="G2859" s="19">
        <v>0</v>
      </c>
      <c r="H2859" s="19">
        <v>0</v>
      </c>
      <c r="I2859" s="15">
        <v>3500</v>
      </c>
      <c r="J2859" s="15">
        <v>0</v>
      </c>
      <c r="K2859" s="15">
        <v>0</v>
      </c>
      <c r="L2859" s="15">
        <v>0</v>
      </c>
      <c r="M2859" s="15">
        <v>0</v>
      </c>
      <c r="N2859" s="15" t="str">
        <v/>
      </c>
      <c r="O2859" s="15" t="str">
        <v/>
      </c>
      <c r="P2859" s="22">
        <v>0</v>
      </c>
      <c r="Q2859">
        <v>0</v>
      </c>
    </row>
    <row r="2860" spans="1:17">
      <c r="A2860" s="19">
        <v>0</v>
      </c>
      <c r="B2860" s="19">
        <v>0</v>
      </c>
      <c r="C2860" s="19">
        <v>0</v>
      </c>
      <c r="D2860" s="19">
        <v>0</v>
      </c>
      <c r="E2860" s="19">
        <v>0</v>
      </c>
      <c r="F2860" s="19">
        <v>0</v>
      </c>
      <c r="G2860" s="19">
        <v>0</v>
      </c>
      <c r="H2860" s="19">
        <v>0</v>
      </c>
      <c r="I2860" s="15">
        <v>3500</v>
      </c>
      <c r="J2860" s="15">
        <v>0</v>
      </c>
      <c r="K2860" s="15">
        <v>0</v>
      </c>
      <c r="L2860" s="15">
        <v>0</v>
      </c>
      <c r="M2860" s="15">
        <v>0</v>
      </c>
      <c r="N2860" s="15" t="str">
        <v/>
      </c>
      <c r="O2860" s="15" t="str">
        <v/>
      </c>
      <c r="P2860" s="22">
        <v>0</v>
      </c>
      <c r="Q2860">
        <v>0</v>
      </c>
    </row>
    <row r="2861" spans="1:17">
      <c r="A2861" s="19">
        <v>0</v>
      </c>
      <c r="B2861" s="19">
        <v>0</v>
      </c>
      <c r="C2861" s="19">
        <v>0</v>
      </c>
      <c r="D2861" s="19">
        <v>0</v>
      </c>
      <c r="E2861" s="19">
        <v>0</v>
      </c>
      <c r="F2861" s="19">
        <v>0</v>
      </c>
      <c r="G2861" s="19">
        <v>0</v>
      </c>
      <c r="H2861" s="19">
        <v>0</v>
      </c>
      <c r="I2861" s="15">
        <v>3500</v>
      </c>
      <c r="J2861" s="15">
        <v>0</v>
      </c>
      <c r="K2861" s="15">
        <v>0</v>
      </c>
      <c r="L2861" s="15">
        <v>0</v>
      </c>
      <c r="M2861" s="15">
        <v>0</v>
      </c>
      <c r="N2861" s="15" t="str">
        <v/>
      </c>
      <c r="O2861" s="15" t="str">
        <v/>
      </c>
      <c r="P2861" s="22">
        <v>0</v>
      </c>
      <c r="Q2861">
        <v>0</v>
      </c>
    </row>
    <row r="2862" spans="1:17">
      <c r="A2862" s="19">
        <v>0</v>
      </c>
      <c r="B2862" s="19">
        <v>0</v>
      </c>
      <c r="C2862" s="19">
        <v>0</v>
      </c>
      <c r="D2862" s="19">
        <v>0</v>
      </c>
      <c r="E2862" s="19">
        <v>0</v>
      </c>
      <c r="F2862" s="19">
        <v>0</v>
      </c>
      <c r="G2862" s="19">
        <v>0</v>
      </c>
      <c r="H2862" s="19">
        <v>0</v>
      </c>
      <c r="I2862" s="15">
        <v>3500</v>
      </c>
      <c r="J2862" s="15">
        <v>0</v>
      </c>
      <c r="K2862" s="15">
        <v>0</v>
      </c>
      <c r="L2862" s="15">
        <v>0</v>
      </c>
      <c r="M2862" s="15">
        <v>0</v>
      </c>
      <c r="N2862" s="15" t="str">
        <v/>
      </c>
      <c r="O2862" s="15" t="str">
        <v/>
      </c>
      <c r="P2862" s="22">
        <v>0</v>
      </c>
      <c r="Q2862">
        <v>0</v>
      </c>
    </row>
    <row r="2863" spans="1:17">
      <c r="A2863" s="19">
        <v>0</v>
      </c>
      <c r="B2863" s="19">
        <v>0</v>
      </c>
      <c r="C2863" s="19">
        <v>0</v>
      </c>
      <c r="D2863" s="19">
        <v>0</v>
      </c>
      <c r="E2863" s="19">
        <v>0</v>
      </c>
      <c r="F2863" s="19">
        <v>0</v>
      </c>
      <c r="G2863" s="19">
        <v>0</v>
      </c>
      <c r="H2863" s="19">
        <v>0</v>
      </c>
      <c r="I2863" s="15">
        <v>3500</v>
      </c>
      <c r="J2863" s="15">
        <v>0</v>
      </c>
      <c r="K2863" s="15">
        <v>0</v>
      </c>
      <c r="L2863" s="15">
        <v>0</v>
      </c>
      <c r="M2863" s="15">
        <v>0</v>
      </c>
      <c r="N2863" s="15" t="str">
        <v/>
      </c>
      <c r="O2863" s="15" t="str">
        <v/>
      </c>
      <c r="P2863" s="22">
        <v>0</v>
      </c>
      <c r="Q2863">
        <v>0</v>
      </c>
    </row>
    <row r="2864" spans="1:17">
      <c r="A2864" s="19">
        <v>0</v>
      </c>
      <c r="B2864" s="19">
        <v>0</v>
      </c>
      <c r="C2864" s="19">
        <v>0</v>
      </c>
      <c r="D2864" s="19">
        <v>0</v>
      </c>
      <c r="E2864" s="19">
        <v>0</v>
      </c>
      <c r="F2864" s="19">
        <v>0</v>
      </c>
      <c r="G2864" s="19">
        <v>0</v>
      </c>
      <c r="H2864" s="19">
        <v>0</v>
      </c>
      <c r="I2864" s="15">
        <v>3500</v>
      </c>
      <c r="J2864" s="15">
        <v>0</v>
      </c>
      <c r="K2864" s="15">
        <v>0</v>
      </c>
      <c r="L2864" s="15">
        <v>0</v>
      </c>
      <c r="M2864" s="15">
        <v>0</v>
      </c>
      <c r="N2864" s="15" t="str">
        <v/>
      </c>
      <c r="O2864" s="15" t="str">
        <v/>
      </c>
      <c r="P2864" s="22">
        <v>0</v>
      </c>
      <c r="Q2864">
        <v>0</v>
      </c>
    </row>
    <row r="2865" spans="1:17">
      <c r="A2865" s="19">
        <v>0</v>
      </c>
      <c r="B2865" s="19">
        <v>0</v>
      </c>
      <c r="C2865" s="19">
        <v>0</v>
      </c>
      <c r="D2865" s="19">
        <v>0</v>
      </c>
      <c r="E2865" s="19">
        <v>0</v>
      </c>
      <c r="F2865" s="19">
        <v>0</v>
      </c>
      <c r="G2865" s="19">
        <v>0</v>
      </c>
      <c r="H2865" s="19">
        <v>0</v>
      </c>
      <c r="I2865" s="15">
        <v>3500</v>
      </c>
      <c r="J2865" s="15">
        <v>0</v>
      </c>
      <c r="K2865" s="15">
        <v>0</v>
      </c>
      <c r="L2865" s="15">
        <v>0</v>
      </c>
      <c r="M2865" s="15">
        <v>0</v>
      </c>
      <c r="N2865" s="15" t="str">
        <v/>
      </c>
      <c r="O2865" s="15" t="str">
        <v/>
      </c>
      <c r="P2865" s="22">
        <v>0</v>
      </c>
      <c r="Q2865">
        <v>0</v>
      </c>
    </row>
    <row r="2866" spans="1:17">
      <c r="A2866" s="19">
        <v>0</v>
      </c>
      <c r="B2866" s="19">
        <v>0</v>
      </c>
      <c r="C2866" s="19">
        <v>0</v>
      </c>
      <c r="D2866" s="19">
        <v>0</v>
      </c>
      <c r="E2866" s="19">
        <v>0</v>
      </c>
      <c r="F2866" s="19">
        <v>0</v>
      </c>
      <c r="G2866" s="19">
        <v>0</v>
      </c>
      <c r="H2866" s="19">
        <v>0</v>
      </c>
      <c r="I2866" s="15">
        <v>3500</v>
      </c>
      <c r="J2866" s="15">
        <v>0</v>
      </c>
      <c r="K2866" s="15">
        <v>0</v>
      </c>
      <c r="L2866" s="15">
        <v>0</v>
      </c>
      <c r="M2866" s="15">
        <v>0</v>
      </c>
      <c r="N2866" s="15" t="str">
        <v/>
      </c>
      <c r="O2866" s="15" t="str">
        <v/>
      </c>
      <c r="P2866" s="22">
        <v>0</v>
      </c>
      <c r="Q2866">
        <v>0</v>
      </c>
    </row>
    <row r="2867" spans="1:17">
      <c r="A2867" s="19">
        <v>0</v>
      </c>
      <c r="B2867" s="19">
        <v>0</v>
      </c>
      <c r="C2867" s="19">
        <v>0</v>
      </c>
      <c r="D2867" s="19">
        <v>0</v>
      </c>
      <c r="E2867" s="19">
        <v>0</v>
      </c>
      <c r="F2867" s="19">
        <v>0</v>
      </c>
      <c r="G2867" s="19">
        <v>0</v>
      </c>
      <c r="H2867" s="19">
        <v>0</v>
      </c>
      <c r="I2867" s="15">
        <v>3500</v>
      </c>
      <c r="J2867" s="15">
        <v>0</v>
      </c>
      <c r="K2867" s="15">
        <v>0</v>
      </c>
      <c r="L2867" s="15">
        <v>0</v>
      </c>
      <c r="M2867" s="15">
        <v>0</v>
      </c>
      <c r="N2867" s="15" t="str">
        <v/>
      </c>
      <c r="O2867" s="15" t="str">
        <v/>
      </c>
      <c r="P2867" s="22">
        <v>0</v>
      </c>
      <c r="Q2867">
        <v>0</v>
      </c>
    </row>
    <row r="2868" spans="1:17">
      <c r="A2868" s="19">
        <v>0</v>
      </c>
      <c r="B2868" s="19">
        <v>0</v>
      </c>
      <c r="C2868" s="19">
        <v>0</v>
      </c>
      <c r="D2868" s="19">
        <v>0</v>
      </c>
      <c r="E2868" s="19">
        <v>0</v>
      </c>
      <c r="F2868" s="19">
        <v>0</v>
      </c>
      <c r="G2868" s="19">
        <v>0</v>
      </c>
      <c r="H2868" s="19">
        <v>0</v>
      </c>
      <c r="I2868" s="15">
        <v>3500</v>
      </c>
      <c r="J2868" s="15">
        <v>0</v>
      </c>
      <c r="K2868" s="15">
        <v>0</v>
      </c>
      <c r="L2868" s="15">
        <v>0</v>
      </c>
      <c r="M2868" s="15">
        <v>0</v>
      </c>
      <c r="N2868" s="15" t="str">
        <v/>
      </c>
      <c r="O2868" s="15" t="str">
        <v/>
      </c>
      <c r="P2868" s="22">
        <v>0</v>
      </c>
      <c r="Q2868">
        <v>0</v>
      </c>
    </row>
    <row r="2869" spans="1:17">
      <c r="A2869" s="19">
        <v>0</v>
      </c>
      <c r="B2869" s="19">
        <v>0</v>
      </c>
      <c r="C2869" s="19">
        <v>0</v>
      </c>
      <c r="D2869" s="19">
        <v>0</v>
      </c>
      <c r="E2869" s="19">
        <v>0</v>
      </c>
      <c r="F2869" s="19">
        <v>0</v>
      </c>
      <c r="G2869" s="19">
        <v>0</v>
      </c>
      <c r="H2869" s="19">
        <v>0</v>
      </c>
      <c r="I2869" s="15">
        <v>3500</v>
      </c>
      <c r="J2869" s="15">
        <v>0</v>
      </c>
      <c r="K2869" s="15">
        <v>0</v>
      </c>
      <c r="L2869" s="15">
        <v>0</v>
      </c>
      <c r="M2869" s="15">
        <v>0</v>
      </c>
      <c r="N2869" s="15" t="str">
        <v/>
      </c>
      <c r="O2869" s="15" t="str">
        <v/>
      </c>
      <c r="P2869" s="22">
        <v>0</v>
      </c>
      <c r="Q2869">
        <v>0</v>
      </c>
    </row>
    <row r="2870" spans="1:17">
      <c r="A2870" s="19">
        <v>0</v>
      </c>
      <c r="B2870" s="19">
        <v>0</v>
      </c>
      <c r="C2870" s="19">
        <v>0</v>
      </c>
      <c r="D2870" s="19">
        <v>0</v>
      </c>
      <c r="E2870" s="19">
        <v>0</v>
      </c>
      <c r="F2870" s="19">
        <v>0</v>
      </c>
      <c r="G2870" s="19">
        <v>0</v>
      </c>
      <c r="H2870" s="19">
        <v>0</v>
      </c>
      <c r="I2870" s="15">
        <v>3500</v>
      </c>
      <c r="J2870" s="15">
        <v>0</v>
      </c>
      <c r="K2870" s="15">
        <v>0</v>
      </c>
      <c r="L2870" s="15">
        <v>0</v>
      </c>
      <c r="M2870" s="15">
        <v>0</v>
      </c>
      <c r="N2870" s="15" t="str">
        <v/>
      </c>
      <c r="O2870" s="15" t="str">
        <v/>
      </c>
      <c r="P2870" s="22">
        <v>0</v>
      </c>
      <c r="Q2870">
        <v>0</v>
      </c>
    </row>
    <row r="2871" spans="1:17">
      <c r="A2871" s="19">
        <v>0</v>
      </c>
      <c r="B2871" s="19">
        <v>0</v>
      </c>
      <c r="C2871" s="19">
        <v>0</v>
      </c>
      <c r="D2871" s="19">
        <v>0</v>
      </c>
      <c r="E2871" s="19">
        <v>0</v>
      </c>
      <c r="F2871" s="19">
        <v>0</v>
      </c>
      <c r="G2871" s="19">
        <v>0</v>
      </c>
      <c r="H2871" s="19">
        <v>0</v>
      </c>
      <c r="I2871" s="15">
        <v>3500</v>
      </c>
      <c r="J2871" s="15">
        <v>0</v>
      </c>
      <c r="K2871" s="15">
        <v>0</v>
      </c>
      <c r="L2871" s="15">
        <v>0</v>
      </c>
      <c r="M2871" s="15">
        <v>0</v>
      </c>
      <c r="N2871" s="15" t="str">
        <v/>
      </c>
      <c r="O2871" s="15" t="str">
        <v/>
      </c>
      <c r="P2871" s="22">
        <v>0</v>
      </c>
      <c r="Q2871">
        <v>0</v>
      </c>
    </row>
    <row r="2872" spans="1:17">
      <c r="A2872" s="19">
        <v>0</v>
      </c>
      <c r="B2872" s="19">
        <v>0</v>
      </c>
      <c r="C2872" s="19">
        <v>0</v>
      </c>
      <c r="D2872" s="19">
        <v>0</v>
      </c>
      <c r="E2872" s="19">
        <v>0</v>
      </c>
      <c r="F2872" s="19">
        <v>0</v>
      </c>
      <c r="G2872" s="19">
        <v>0</v>
      </c>
      <c r="H2872" s="19">
        <v>0</v>
      </c>
      <c r="I2872" s="15">
        <v>3500</v>
      </c>
      <c r="J2872" s="15">
        <v>0</v>
      </c>
      <c r="K2872" s="15">
        <v>0</v>
      </c>
      <c r="L2872" s="15">
        <v>0</v>
      </c>
      <c r="M2872" s="15">
        <v>0</v>
      </c>
      <c r="N2872" s="15" t="str">
        <v/>
      </c>
      <c r="O2872" s="15" t="str">
        <v/>
      </c>
      <c r="P2872" s="22">
        <v>0</v>
      </c>
      <c r="Q2872">
        <v>0</v>
      </c>
    </row>
    <row r="2873" spans="1:17">
      <c r="A2873" s="19">
        <v>0</v>
      </c>
      <c r="B2873" s="19">
        <v>0</v>
      </c>
      <c r="C2873" s="19">
        <v>0</v>
      </c>
      <c r="D2873" s="19">
        <v>0</v>
      </c>
      <c r="E2873" s="19">
        <v>0</v>
      </c>
      <c r="F2873" s="19">
        <v>0</v>
      </c>
      <c r="G2873" s="19">
        <v>0</v>
      </c>
      <c r="H2873" s="19">
        <v>0</v>
      </c>
      <c r="I2873" s="15">
        <v>3500</v>
      </c>
      <c r="J2873" s="15">
        <v>0</v>
      </c>
      <c r="K2873" s="15">
        <v>0</v>
      </c>
      <c r="L2873" s="15">
        <v>0</v>
      </c>
      <c r="M2873" s="15">
        <v>0</v>
      </c>
      <c r="N2873" s="15" t="str">
        <v/>
      </c>
      <c r="O2873" s="15" t="str">
        <v/>
      </c>
      <c r="P2873" s="22">
        <v>0</v>
      </c>
      <c r="Q2873">
        <v>0</v>
      </c>
    </row>
    <row r="2874" spans="1:17">
      <c r="A2874" s="19">
        <v>0</v>
      </c>
      <c r="B2874" s="19">
        <v>0</v>
      </c>
      <c r="C2874" s="19">
        <v>0</v>
      </c>
      <c r="D2874" s="19">
        <v>0</v>
      </c>
      <c r="E2874" s="19">
        <v>0</v>
      </c>
      <c r="F2874" s="19">
        <v>0</v>
      </c>
      <c r="G2874" s="19">
        <v>0</v>
      </c>
      <c r="H2874" s="19">
        <v>0</v>
      </c>
      <c r="I2874" s="15">
        <v>3500</v>
      </c>
      <c r="J2874" s="15">
        <v>0</v>
      </c>
      <c r="K2874" s="15">
        <v>0</v>
      </c>
      <c r="L2874" s="15">
        <v>0</v>
      </c>
      <c r="M2874" s="15">
        <v>0</v>
      </c>
      <c r="N2874" s="15" t="str">
        <v/>
      </c>
      <c r="O2874" s="15" t="str">
        <v/>
      </c>
      <c r="P2874" s="22">
        <v>0</v>
      </c>
      <c r="Q2874">
        <v>0</v>
      </c>
    </row>
    <row r="2875" spans="1:17">
      <c r="A2875" s="19">
        <v>0</v>
      </c>
      <c r="B2875" s="19">
        <v>0</v>
      </c>
      <c r="C2875" s="19">
        <v>0</v>
      </c>
      <c r="D2875" s="19">
        <v>0</v>
      </c>
      <c r="E2875" s="19">
        <v>0</v>
      </c>
      <c r="F2875" s="19">
        <v>0</v>
      </c>
      <c r="G2875" s="19">
        <v>0</v>
      </c>
      <c r="H2875" s="19">
        <v>0</v>
      </c>
      <c r="I2875" s="15">
        <v>3500</v>
      </c>
      <c r="J2875" s="15">
        <v>0</v>
      </c>
      <c r="K2875" s="15">
        <v>0</v>
      </c>
      <c r="L2875" s="15">
        <v>0</v>
      </c>
      <c r="M2875" s="15">
        <v>0</v>
      </c>
      <c r="N2875" s="15" t="str">
        <v/>
      </c>
      <c r="O2875" s="15" t="str">
        <v/>
      </c>
      <c r="P2875" s="22">
        <v>0</v>
      </c>
      <c r="Q2875">
        <v>0</v>
      </c>
    </row>
    <row r="2876" spans="1:17">
      <c r="A2876" s="19">
        <v>0</v>
      </c>
      <c r="B2876" s="19">
        <v>0</v>
      </c>
      <c r="C2876" s="19">
        <v>0</v>
      </c>
      <c r="D2876" s="19">
        <v>0</v>
      </c>
      <c r="E2876" s="19">
        <v>0</v>
      </c>
      <c r="F2876" s="19">
        <v>0</v>
      </c>
      <c r="G2876" s="19">
        <v>0</v>
      </c>
      <c r="H2876" s="19">
        <v>0</v>
      </c>
      <c r="I2876" s="15">
        <v>3500</v>
      </c>
      <c r="J2876" s="15">
        <v>0</v>
      </c>
      <c r="K2876" s="15">
        <v>0</v>
      </c>
      <c r="L2876" s="15">
        <v>0</v>
      </c>
      <c r="M2876" s="15">
        <v>0</v>
      </c>
      <c r="N2876" s="15" t="str">
        <v/>
      </c>
      <c r="O2876" s="15" t="str">
        <v/>
      </c>
      <c r="P2876" s="22">
        <v>0</v>
      </c>
      <c r="Q2876">
        <v>0</v>
      </c>
    </row>
    <row r="2877" spans="1:17">
      <c r="A2877" s="19">
        <v>0</v>
      </c>
      <c r="B2877" s="19">
        <v>0</v>
      </c>
      <c r="C2877" s="19">
        <v>0</v>
      </c>
      <c r="D2877" s="19">
        <v>0</v>
      </c>
      <c r="E2877" s="19">
        <v>0</v>
      </c>
      <c r="F2877" s="19">
        <v>0</v>
      </c>
      <c r="G2877" s="19">
        <v>0</v>
      </c>
      <c r="H2877" s="19">
        <v>0</v>
      </c>
      <c r="I2877" s="15">
        <v>3500</v>
      </c>
      <c r="J2877" s="15">
        <v>0</v>
      </c>
      <c r="K2877" s="15">
        <v>0</v>
      </c>
      <c r="L2877" s="15">
        <v>0</v>
      </c>
      <c r="M2877" s="15">
        <v>0</v>
      </c>
      <c r="N2877" s="15" t="str">
        <v/>
      </c>
      <c r="O2877" s="15" t="str">
        <v/>
      </c>
      <c r="P2877" s="22">
        <v>0</v>
      </c>
      <c r="Q2877">
        <v>0</v>
      </c>
    </row>
    <row r="2878" spans="1:17">
      <c r="A2878" s="19">
        <v>0</v>
      </c>
      <c r="B2878" s="19">
        <v>0</v>
      </c>
      <c r="C2878" s="19">
        <v>0</v>
      </c>
      <c r="D2878" s="19">
        <v>0</v>
      </c>
      <c r="E2878" s="19">
        <v>0</v>
      </c>
      <c r="F2878" s="19">
        <v>0</v>
      </c>
      <c r="G2878" s="19">
        <v>0</v>
      </c>
      <c r="H2878" s="19">
        <v>0</v>
      </c>
      <c r="I2878" s="15">
        <v>3500</v>
      </c>
      <c r="J2878" s="15">
        <v>0</v>
      </c>
      <c r="K2878" s="15">
        <v>0</v>
      </c>
      <c r="L2878" s="15">
        <v>0</v>
      </c>
      <c r="M2878" s="15">
        <v>0</v>
      </c>
      <c r="N2878" s="15" t="str">
        <v/>
      </c>
      <c r="O2878" s="15" t="str">
        <v/>
      </c>
      <c r="P2878" s="22">
        <v>0</v>
      </c>
      <c r="Q2878">
        <v>0</v>
      </c>
    </row>
    <row r="2879" spans="1:17">
      <c r="A2879" s="19">
        <v>0</v>
      </c>
      <c r="B2879" s="19">
        <v>0</v>
      </c>
      <c r="C2879" s="19">
        <v>0</v>
      </c>
      <c r="D2879" s="19">
        <v>0</v>
      </c>
      <c r="E2879" s="19">
        <v>0</v>
      </c>
      <c r="F2879" s="19">
        <v>0</v>
      </c>
      <c r="G2879" s="19">
        <v>0</v>
      </c>
      <c r="H2879" s="19">
        <v>0</v>
      </c>
      <c r="I2879" s="15">
        <v>3500</v>
      </c>
      <c r="J2879" s="15">
        <v>0</v>
      </c>
      <c r="K2879" s="15">
        <v>0</v>
      </c>
      <c r="L2879" s="15">
        <v>0</v>
      </c>
      <c r="M2879" s="15">
        <v>0</v>
      </c>
      <c r="N2879" s="15" t="str">
        <v/>
      </c>
      <c r="O2879" s="15" t="str">
        <v/>
      </c>
      <c r="P2879" s="22">
        <v>0</v>
      </c>
      <c r="Q2879">
        <v>0</v>
      </c>
    </row>
    <row r="2880" spans="1:17">
      <c r="A2880" s="19">
        <v>0</v>
      </c>
      <c r="B2880" s="19">
        <v>0</v>
      </c>
      <c r="C2880" s="19">
        <v>0</v>
      </c>
      <c r="D2880" s="19">
        <v>0</v>
      </c>
      <c r="E2880" s="19">
        <v>0</v>
      </c>
      <c r="F2880" s="19">
        <v>0</v>
      </c>
      <c r="G2880" s="19">
        <v>0</v>
      </c>
      <c r="H2880" s="19">
        <v>0</v>
      </c>
      <c r="I2880" s="15">
        <v>3500</v>
      </c>
      <c r="J2880" s="15">
        <v>0</v>
      </c>
      <c r="K2880" s="15">
        <v>0</v>
      </c>
      <c r="L2880" s="15">
        <v>0</v>
      </c>
      <c r="M2880" s="15">
        <v>0</v>
      </c>
      <c r="N2880" s="15" t="str">
        <v/>
      </c>
      <c r="O2880" s="15" t="str">
        <v/>
      </c>
      <c r="P2880" s="22">
        <v>0</v>
      </c>
      <c r="Q2880">
        <v>0</v>
      </c>
    </row>
    <row r="2881" spans="1:17">
      <c r="A2881" s="19">
        <v>0</v>
      </c>
      <c r="B2881" s="19">
        <v>0</v>
      </c>
      <c r="C2881" s="19">
        <v>0</v>
      </c>
      <c r="D2881" s="19">
        <v>0</v>
      </c>
      <c r="E2881" s="19">
        <v>0</v>
      </c>
      <c r="F2881" s="19">
        <v>0</v>
      </c>
      <c r="G2881" s="19">
        <v>0</v>
      </c>
      <c r="H2881" s="19">
        <v>0</v>
      </c>
      <c r="I2881" s="15">
        <v>3500</v>
      </c>
      <c r="J2881" s="15">
        <v>0</v>
      </c>
      <c r="K2881" s="15">
        <v>0</v>
      </c>
      <c r="L2881" s="15">
        <v>0</v>
      </c>
      <c r="M2881" s="15">
        <v>0</v>
      </c>
      <c r="N2881" s="15" t="str">
        <v/>
      </c>
      <c r="O2881" s="15" t="str">
        <v/>
      </c>
      <c r="P2881" s="22">
        <v>0</v>
      </c>
      <c r="Q2881">
        <v>0</v>
      </c>
    </row>
    <row r="2882" spans="1:17">
      <c r="A2882" s="19">
        <v>0</v>
      </c>
      <c r="B2882" s="19">
        <v>0</v>
      </c>
      <c r="C2882" s="19">
        <v>0</v>
      </c>
      <c r="D2882" s="19">
        <v>0</v>
      </c>
      <c r="E2882" s="19">
        <v>0</v>
      </c>
      <c r="F2882" s="19">
        <v>0</v>
      </c>
      <c r="G2882" s="19">
        <v>0</v>
      </c>
      <c r="H2882" s="19">
        <v>0</v>
      </c>
      <c r="I2882" s="15">
        <v>3500</v>
      </c>
      <c r="J2882" s="15">
        <v>0</v>
      </c>
      <c r="K2882" s="15">
        <v>0</v>
      </c>
      <c r="L2882" s="15">
        <v>0</v>
      </c>
      <c r="M2882" s="15">
        <v>0</v>
      </c>
      <c r="N2882" s="15" t="str">
        <v/>
      </c>
      <c r="O2882" s="15" t="str">
        <v/>
      </c>
      <c r="P2882" s="22">
        <v>0</v>
      </c>
      <c r="Q2882">
        <v>0</v>
      </c>
    </row>
    <row r="2883" spans="1:17">
      <c r="A2883" s="19">
        <v>0</v>
      </c>
      <c r="B2883" s="19">
        <v>0</v>
      </c>
      <c r="C2883" s="19">
        <v>0</v>
      </c>
      <c r="D2883" s="19">
        <v>0</v>
      </c>
      <c r="E2883" s="19">
        <v>0</v>
      </c>
      <c r="F2883" s="19">
        <v>0</v>
      </c>
      <c r="G2883" s="19">
        <v>0</v>
      </c>
      <c r="H2883" s="19">
        <v>0</v>
      </c>
      <c r="I2883" s="15">
        <v>3500</v>
      </c>
      <c r="J2883" s="15">
        <v>0</v>
      </c>
      <c r="K2883" s="15">
        <v>0</v>
      </c>
      <c r="L2883" s="15">
        <v>0</v>
      </c>
      <c r="M2883" s="15">
        <v>0</v>
      </c>
      <c r="N2883" s="15" t="str">
        <v/>
      </c>
      <c r="O2883" s="15" t="str">
        <v/>
      </c>
      <c r="P2883" s="22">
        <v>0</v>
      </c>
      <c r="Q2883">
        <v>0</v>
      </c>
    </row>
    <row r="2884" spans="1:17">
      <c r="A2884" s="19">
        <v>0</v>
      </c>
      <c r="B2884" s="19">
        <v>0</v>
      </c>
      <c r="C2884" s="19">
        <v>0</v>
      </c>
      <c r="D2884" s="19">
        <v>0</v>
      </c>
      <c r="E2884" s="19">
        <v>0</v>
      </c>
      <c r="F2884" s="19">
        <v>0</v>
      </c>
      <c r="G2884" s="19">
        <v>0</v>
      </c>
      <c r="H2884" s="19">
        <v>0</v>
      </c>
      <c r="I2884" s="15">
        <v>3500</v>
      </c>
      <c r="J2884" s="15">
        <v>0</v>
      </c>
      <c r="K2884" s="15">
        <v>0</v>
      </c>
      <c r="L2884" s="15">
        <v>0</v>
      </c>
      <c r="M2884" s="15">
        <v>0</v>
      </c>
      <c r="N2884" s="15" t="str">
        <v/>
      </c>
      <c r="O2884" s="15" t="str">
        <v/>
      </c>
      <c r="P2884" s="22">
        <v>0</v>
      </c>
      <c r="Q2884">
        <v>0</v>
      </c>
    </row>
    <row r="2885" spans="1:17">
      <c r="A2885" s="19">
        <v>0</v>
      </c>
      <c r="B2885" s="19">
        <v>0</v>
      </c>
      <c r="C2885" s="19">
        <v>0</v>
      </c>
      <c r="D2885" s="19">
        <v>0</v>
      </c>
      <c r="E2885" s="19">
        <v>0</v>
      </c>
      <c r="F2885" s="19">
        <v>0</v>
      </c>
      <c r="G2885" s="19">
        <v>0</v>
      </c>
      <c r="H2885" s="19">
        <v>0</v>
      </c>
      <c r="I2885" s="15">
        <v>3500</v>
      </c>
      <c r="J2885" s="15">
        <v>0</v>
      </c>
      <c r="K2885" s="15">
        <v>0</v>
      </c>
      <c r="L2885" s="15">
        <v>0</v>
      </c>
      <c r="M2885" s="15">
        <v>0</v>
      </c>
      <c r="N2885" s="15" t="str">
        <v/>
      </c>
      <c r="O2885" s="15" t="str">
        <v/>
      </c>
      <c r="P2885" s="22">
        <v>0</v>
      </c>
      <c r="Q2885">
        <v>0</v>
      </c>
    </row>
    <row r="2886" spans="1:17">
      <c r="A2886" s="19">
        <v>0</v>
      </c>
      <c r="B2886" s="19">
        <v>0</v>
      </c>
      <c r="C2886" s="19">
        <v>0</v>
      </c>
      <c r="D2886" s="19">
        <v>0</v>
      </c>
      <c r="E2886" s="19">
        <v>0</v>
      </c>
      <c r="F2886" s="19">
        <v>0</v>
      </c>
      <c r="G2886" s="19">
        <v>0</v>
      </c>
      <c r="H2886" s="19">
        <v>0</v>
      </c>
      <c r="I2886" s="15">
        <v>3500</v>
      </c>
      <c r="J2886" s="15">
        <v>0</v>
      </c>
      <c r="K2886" s="15">
        <v>0</v>
      </c>
      <c r="L2886" s="15">
        <v>0</v>
      </c>
      <c r="M2886" s="15">
        <v>0</v>
      </c>
      <c r="N2886" s="15" t="str">
        <v/>
      </c>
      <c r="O2886" s="15" t="str">
        <v/>
      </c>
      <c r="P2886" s="22">
        <v>0</v>
      </c>
      <c r="Q2886">
        <v>0</v>
      </c>
    </row>
    <row r="2887" spans="1:17">
      <c r="A2887" s="19">
        <v>0</v>
      </c>
      <c r="B2887" s="19">
        <v>0</v>
      </c>
      <c r="C2887" s="19">
        <v>0</v>
      </c>
      <c r="D2887" s="19">
        <v>0</v>
      </c>
      <c r="E2887" s="19">
        <v>0</v>
      </c>
      <c r="F2887" s="19">
        <v>0</v>
      </c>
      <c r="G2887" s="19">
        <v>0</v>
      </c>
      <c r="H2887" s="19">
        <v>0</v>
      </c>
      <c r="I2887" s="15">
        <v>3500</v>
      </c>
      <c r="J2887" s="15">
        <v>0</v>
      </c>
      <c r="K2887" s="15">
        <v>0</v>
      </c>
      <c r="L2887" s="15">
        <v>0</v>
      </c>
      <c r="M2887" s="15">
        <v>0</v>
      </c>
      <c r="N2887" s="15" t="str">
        <v/>
      </c>
      <c r="O2887" s="15" t="str">
        <v/>
      </c>
      <c r="P2887" s="22">
        <v>0</v>
      </c>
      <c r="Q2887">
        <v>0</v>
      </c>
    </row>
    <row r="2888" spans="1:17">
      <c r="A2888" s="19">
        <v>0</v>
      </c>
      <c r="B2888" s="19">
        <v>0</v>
      </c>
      <c r="C2888" s="19">
        <v>0</v>
      </c>
      <c r="D2888" s="19">
        <v>0</v>
      </c>
      <c r="E2888" s="19">
        <v>0</v>
      </c>
      <c r="F2888" s="19">
        <v>0</v>
      </c>
      <c r="G2888" s="19">
        <v>0</v>
      </c>
      <c r="H2888" s="19">
        <v>0</v>
      </c>
      <c r="I2888" s="15">
        <v>3500</v>
      </c>
      <c r="J2888" s="15">
        <v>0</v>
      </c>
      <c r="K2888" s="15">
        <v>0</v>
      </c>
      <c r="L2888" s="15">
        <v>0</v>
      </c>
      <c r="M2888" s="15">
        <v>0</v>
      </c>
      <c r="N2888" s="15" t="str">
        <v/>
      </c>
      <c r="O2888" s="15" t="str">
        <v/>
      </c>
      <c r="P2888" s="22">
        <v>0</v>
      </c>
      <c r="Q2888">
        <v>0</v>
      </c>
    </row>
    <row r="2889" spans="1:17">
      <c r="A2889" s="19">
        <v>0</v>
      </c>
      <c r="B2889" s="19">
        <v>0</v>
      </c>
      <c r="C2889" s="19">
        <v>0</v>
      </c>
      <c r="D2889" s="19">
        <v>0</v>
      </c>
      <c r="E2889" s="19">
        <v>0</v>
      </c>
      <c r="F2889" s="19">
        <v>0</v>
      </c>
      <c r="G2889" s="19">
        <v>0</v>
      </c>
      <c r="H2889" s="19">
        <v>0</v>
      </c>
      <c r="I2889" s="15">
        <v>3500</v>
      </c>
      <c r="J2889" s="15">
        <v>0</v>
      </c>
      <c r="K2889" s="15">
        <v>0</v>
      </c>
      <c r="L2889" s="15">
        <v>0</v>
      </c>
      <c r="M2889" s="15">
        <v>0</v>
      </c>
      <c r="N2889" s="15" t="str">
        <v/>
      </c>
      <c r="O2889" s="15" t="str">
        <v/>
      </c>
      <c r="P2889" s="22">
        <v>0</v>
      </c>
      <c r="Q2889">
        <v>0</v>
      </c>
    </row>
    <row r="2890" spans="1:17">
      <c r="A2890" s="19">
        <v>0</v>
      </c>
      <c r="B2890" s="19">
        <v>0</v>
      </c>
      <c r="C2890" s="19">
        <v>0</v>
      </c>
      <c r="D2890" s="19">
        <v>0</v>
      </c>
      <c r="E2890" s="19">
        <v>0</v>
      </c>
      <c r="F2890" s="19">
        <v>0</v>
      </c>
      <c r="G2890" s="19">
        <v>0</v>
      </c>
      <c r="H2890" s="19">
        <v>0</v>
      </c>
      <c r="I2890" s="15">
        <v>3500</v>
      </c>
      <c r="J2890" s="15">
        <v>0</v>
      </c>
      <c r="K2890" s="15">
        <v>0</v>
      </c>
      <c r="L2890" s="15">
        <v>0</v>
      </c>
      <c r="M2890" s="15">
        <v>0</v>
      </c>
      <c r="N2890" s="15" t="str">
        <v/>
      </c>
      <c r="O2890" s="15" t="str">
        <v/>
      </c>
      <c r="P2890" s="22">
        <v>0</v>
      </c>
      <c r="Q2890">
        <v>0</v>
      </c>
    </row>
    <row r="2891" spans="1:17">
      <c r="A2891" s="19">
        <v>0</v>
      </c>
      <c r="B2891" s="19">
        <v>0</v>
      </c>
      <c r="C2891" s="19">
        <v>0</v>
      </c>
      <c r="D2891" s="19">
        <v>0</v>
      </c>
      <c r="E2891" s="19">
        <v>0</v>
      </c>
      <c r="F2891" s="19">
        <v>0</v>
      </c>
      <c r="G2891" s="19">
        <v>0</v>
      </c>
      <c r="H2891" s="19">
        <v>0</v>
      </c>
      <c r="I2891" s="15">
        <v>3500</v>
      </c>
      <c r="J2891" s="15">
        <v>0</v>
      </c>
      <c r="K2891" s="15">
        <v>0</v>
      </c>
      <c r="L2891" s="15">
        <v>0</v>
      </c>
      <c r="M2891" s="15">
        <v>0</v>
      </c>
      <c r="N2891" s="15" t="str">
        <v/>
      </c>
      <c r="O2891" s="15" t="str">
        <v/>
      </c>
      <c r="P2891" s="22">
        <v>0</v>
      </c>
      <c r="Q2891">
        <v>0</v>
      </c>
    </row>
    <row r="2892" spans="1:17">
      <c r="A2892" s="19">
        <v>0</v>
      </c>
      <c r="B2892" s="19">
        <v>0</v>
      </c>
      <c r="C2892" s="19">
        <v>0</v>
      </c>
      <c r="D2892" s="19">
        <v>0</v>
      </c>
      <c r="E2892" s="19">
        <v>0</v>
      </c>
      <c r="F2892" s="19">
        <v>0</v>
      </c>
      <c r="G2892" s="19">
        <v>0</v>
      </c>
      <c r="H2892" s="19">
        <v>0</v>
      </c>
      <c r="I2892" s="15">
        <v>3500</v>
      </c>
      <c r="J2892" s="15">
        <v>0</v>
      </c>
      <c r="K2892" s="15">
        <v>0</v>
      </c>
      <c r="L2892" s="15">
        <v>0</v>
      </c>
      <c r="M2892" s="15">
        <v>0</v>
      </c>
      <c r="N2892" s="15" t="str">
        <v/>
      </c>
      <c r="O2892" s="15" t="str">
        <v/>
      </c>
      <c r="P2892" s="22">
        <v>0</v>
      </c>
      <c r="Q2892">
        <v>0</v>
      </c>
    </row>
    <row r="2893" spans="1:17">
      <c r="A2893" s="19">
        <v>0</v>
      </c>
      <c r="B2893" s="19">
        <v>0</v>
      </c>
      <c r="C2893" s="19">
        <v>0</v>
      </c>
      <c r="D2893" s="19">
        <v>0</v>
      </c>
      <c r="E2893" s="19">
        <v>0</v>
      </c>
      <c r="F2893" s="19">
        <v>0</v>
      </c>
      <c r="G2893" s="19">
        <v>0</v>
      </c>
      <c r="H2893" s="19">
        <v>0</v>
      </c>
      <c r="I2893" s="15">
        <v>3500</v>
      </c>
      <c r="J2893" s="15">
        <v>0</v>
      </c>
      <c r="K2893" s="15">
        <v>0</v>
      </c>
      <c r="L2893" s="15">
        <v>0</v>
      </c>
      <c r="M2893" s="15">
        <v>0</v>
      </c>
      <c r="N2893" s="15" t="str">
        <v/>
      </c>
      <c r="O2893" s="15" t="str">
        <v/>
      </c>
      <c r="P2893" s="22">
        <v>0</v>
      </c>
      <c r="Q2893">
        <v>0</v>
      </c>
    </row>
    <row r="2894" spans="1:17">
      <c r="A2894" s="19">
        <v>0</v>
      </c>
      <c r="B2894" s="19">
        <v>0</v>
      </c>
      <c r="C2894" s="19">
        <v>0</v>
      </c>
      <c r="D2894" s="19">
        <v>0</v>
      </c>
      <c r="E2894" s="19">
        <v>0</v>
      </c>
      <c r="F2894" s="19">
        <v>0</v>
      </c>
      <c r="G2894" s="19">
        <v>0</v>
      </c>
      <c r="H2894" s="19">
        <v>0</v>
      </c>
      <c r="I2894" s="15">
        <v>3500</v>
      </c>
      <c r="J2894" s="15">
        <v>0</v>
      </c>
      <c r="K2894" s="15">
        <v>0</v>
      </c>
      <c r="L2894" s="15">
        <v>0</v>
      </c>
      <c r="M2894" s="15">
        <v>0</v>
      </c>
      <c r="N2894" s="15" t="str">
        <v/>
      </c>
      <c r="O2894" s="15" t="str">
        <v/>
      </c>
      <c r="P2894" s="22">
        <v>0</v>
      </c>
      <c r="Q2894">
        <v>0</v>
      </c>
    </row>
    <row r="2895" spans="1:17">
      <c r="A2895" s="19">
        <v>0</v>
      </c>
      <c r="B2895" s="19">
        <v>0</v>
      </c>
      <c r="C2895" s="19">
        <v>0</v>
      </c>
      <c r="D2895" s="19">
        <v>0</v>
      </c>
      <c r="E2895" s="19">
        <v>0</v>
      </c>
      <c r="F2895" s="19">
        <v>0</v>
      </c>
      <c r="G2895" s="19">
        <v>0</v>
      </c>
      <c r="H2895" s="19">
        <v>0</v>
      </c>
      <c r="I2895" s="15">
        <v>3500</v>
      </c>
      <c r="J2895" s="15">
        <v>0</v>
      </c>
      <c r="K2895" s="15">
        <v>0</v>
      </c>
      <c r="L2895" s="15">
        <v>0</v>
      </c>
      <c r="M2895" s="15">
        <v>0</v>
      </c>
      <c r="N2895" s="15" t="str">
        <v/>
      </c>
      <c r="O2895" s="15" t="str">
        <v/>
      </c>
      <c r="P2895" s="22">
        <v>0</v>
      </c>
      <c r="Q2895">
        <v>0</v>
      </c>
    </row>
    <row r="2896" spans="1:17">
      <c r="A2896" s="19">
        <v>0</v>
      </c>
      <c r="B2896" s="19">
        <v>0</v>
      </c>
      <c r="C2896" s="19">
        <v>0</v>
      </c>
      <c r="D2896" s="19">
        <v>0</v>
      </c>
      <c r="E2896" s="19">
        <v>0</v>
      </c>
      <c r="F2896" s="19">
        <v>0</v>
      </c>
      <c r="G2896" s="19">
        <v>0</v>
      </c>
      <c r="H2896" s="19">
        <v>0</v>
      </c>
      <c r="I2896" s="15">
        <v>3500</v>
      </c>
      <c r="J2896" s="15">
        <v>0</v>
      </c>
      <c r="K2896" s="15">
        <v>0</v>
      </c>
      <c r="L2896" s="15">
        <v>0</v>
      </c>
      <c r="M2896" s="15">
        <v>0</v>
      </c>
      <c r="N2896" s="15" t="str">
        <v/>
      </c>
      <c r="O2896" s="15" t="str">
        <v/>
      </c>
      <c r="P2896" s="22">
        <v>0</v>
      </c>
      <c r="Q2896">
        <v>0</v>
      </c>
    </row>
    <row r="2897" spans="1:17">
      <c r="A2897" s="19">
        <v>0</v>
      </c>
      <c r="B2897" s="19">
        <v>0</v>
      </c>
      <c r="C2897" s="19">
        <v>0</v>
      </c>
      <c r="D2897" s="19">
        <v>0</v>
      </c>
      <c r="E2897" s="19">
        <v>0</v>
      </c>
      <c r="F2897" s="19">
        <v>0</v>
      </c>
      <c r="G2897" s="19">
        <v>0</v>
      </c>
      <c r="H2897" s="19">
        <v>0</v>
      </c>
      <c r="I2897" s="15">
        <v>3500</v>
      </c>
      <c r="J2897" s="15">
        <v>0</v>
      </c>
      <c r="K2897" s="15">
        <v>0</v>
      </c>
      <c r="L2897" s="15">
        <v>0</v>
      </c>
      <c r="M2897" s="15">
        <v>0</v>
      </c>
      <c r="N2897" s="15" t="str">
        <v/>
      </c>
      <c r="O2897" s="15" t="str">
        <v/>
      </c>
      <c r="P2897" s="22">
        <v>0</v>
      </c>
      <c r="Q2897">
        <v>0</v>
      </c>
    </row>
    <row r="2898" spans="1:17">
      <c r="A2898" s="19">
        <v>0</v>
      </c>
      <c r="B2898" s="19">
        <v>0</v>
      </c>
      <c r="C2898" s="19">
        <v>0</v>
      </c>
      <c r="D2898" s="19">
        <v>0</v>
      </c>
      <c r="E2898" s="19">
        <v>0</v>
      </c>
      <c r="F2898" s="19">
        <v>0</v>
      </c>
      <c r="G2898" s="19">
        <v>0</v>
      </c>
      <c r="H2898" s="19">
        <v>0</v>
      </c>
      <c r="I2898" s="15">
        <v>3500</v>
      </c>
      <c r="J2898" s="15">
        <v>0</v>
      </c>
      <c r="K2898" s="15">
        <v>0</v>
      </c>
      <c r="L2898" s="15">
        <v>0</v>
      </c>
      <c r="M2898" s="15">
        <v>0</v>
      </c>
      <c r="N2898" s="15" t="str">
        <v/>
      </c>
      <c r="O2898" s="15" t="str">
        <v/>
      </c>
      <c r="P2898" s="22">
        <v>0</v>
      </c>
      <c r="Q2898">
        <v>0</v>
      </c>
    </row>
    <row r="2899" spans="1:17">
      <c r="A2899" s="19">
        <v>0</v>
      </c>
      <c r="B2899" s="19">
        <v>0</v>
      </c>
      <c r="C2899" s="19">
        <v>0</v>
      </c>
      <c r="D2899" s="19">
        <v>0</v>
      </c>
      <c r="E2899" s="19">
        <v>0</v>
      </c>
      <c r="F2899" s="19">
        <v>0</v>
      </c>
      <c r="G2899" s="19">
        <v>0</v>
      </c>
      <c r="H2899" s="19">
        <v>0</v>
      </c>
      <c r="I2899" s="15">
        <v>3500</v>
      </c>
      <c r="J2899" s="15">
        <v>0</v>
      </c>
      <c r="K2899" s="15">
        <v>0</v>
      </c>
      <c r="L2899" s="15">
        <v>0</v>
      </c>
      <c r="M2899" s="15">
        <v>0</v>
      </c>
      <c r="N2899" s="15" t="str">
        <v/>
      </c>
      <c r="O2899" s="15" t="str">
        <v/>
      </c>
      <c r="P2899" s="22">
        <v>0</v>
      </c>
      <c r="Q2899">
        <v>0</v>
      </c>
    </row>
    <row r="2900" spans="1:17">
      <c r="A2900" s="19">
        <v>0</v>
      </c>
      <c r="B2900" s="19">
        <v>0</v>
      </c>
      <c r="C2900" s="19">
        <v>0</v>
      </c>
      <c r="D2900" s="19">
        <v>0</v>
      </c>
      <c r="E2900" s="19">
        <v>0</v>
      </c>
      <c r="F2900" s="19">
        <v>0</v>
      </c>
      <c r="G2900" s="19">
        <v>0</v>
      </c>
      <c r="H2900" s="19">
        <v>0</v>
      </c>
      <c r="I2900" s="15">
        <v>3500</v>
      </c>
      <c r="J2900" s="15">
        <v>0</v>
      </c>
      <c r="K2900" s="15">
        <v>0</v>
      </c>
      <c r="L2900" s="15">
        <v>0</v>
      </c>
      <c r="M2900" s="15">
        <v>0</v>
      </c>
      <c r="N2900" s="15" t="str">
        <v/>
      </c>
      <c r="O2900" s="15" t="str">
        <v/>
      </c>
      <c r="P2900" s="22">
        <v>0</v>
      </c>
      <c r="Q2900">
        <v>0</v>
      </c>
    </row>
    <row r="2901" spans="1:17">
      <c r="A2901" s="19">
        <v>0</v>
      </c>
      <c r="B2901" s="19">
        <v>0</v>
      </c>
      <c r="C2901" s="19">
        <v>0</v>
      </c>
      <c r="D2901" s="19">
        <v>0</v>
      </c>
      <c r="E2901" s="19">
        <v>0</v>
      </c>
      <c r="F2901" s="19">
        <v>0</v>
      </c>
      <c r="G2901" s="19">
        <v>0</v>
      </c>
      <c r="H2901" s="19">
        <v>0</v>
      </c>
      <c r="I2901" s="15">
        <v>3500</v>
      </c>
      <c r="J2901" s="15">
        <v>0</v>
      </c>
      <c r="K2901" s="15">
        <v>0</v>
      </c>
      <c r="L2901" s="15">
        <v>0</v>
      </c>
      <c r="M2901" s="15">
        <v>0</v>
      </c>
      <c r="N2901" s="15" t="str">
        <v/>
      </c>
      <c r="O2901" s="15" t="str">
        <v/>
      </c>
      <c r="P2901" s="22">
        <v>0</v>
      </c>
      <c r="Q2901">
        <v>0</v>
      </c>
    </row>
    <row r="2902" spans="1:17">
      <c r="A2902" s="19">
        <v>0</v>
      </c>
      <c r="B2902" s="19">
        <v>0</v>
      </c>
      <c r="C2902" s="19">
        <v>0</v>
      </c>
      <c r="D2902" s="19">
        <v>0</v>
      </c>
      <c r="E2902" s="19">
        <v>0</v>
      </c>
      <c r="F2902" s="19">
        <v>0</v>
      </c>
      <c r="G2902" s="19">
        <v>0</v>
      </c>
      <c r="H2902" s="19">
        <v>0</v>
      </c>
      <c r="I2902" s="15">
        <v>3500</v>
      </c>
      <c r="J2902" s="15">
        <v>0</v>
      </c>
      <c r="K2902" s="15">
        <v>0</v>
      </c>
      <c r="L2902" s="15">
        <v>0</v>
      </c>
      <c r="M2902" s="15">
        <v>0</v>
      </c>
      <c r="N2902" s="15" t="str">
        <v/>
      </c>
      <c r="O2902" s="15" t="str">
        <v/>
      </c>
      <c r="P2902" s="22">
        <v>0</v>
      </c>
      <c r="Q2902">
        <v>0</v>
      </c>
    </row>
    <row r="2903" spans="1:17">
      <c r="A2903" s="19">
        <v>0</v>
      </c>
      <c r="B2903" s="19">
        <v>0</v>
      </c>
      <c r="C2903" s="19">
        <v>0</v>
      </c>
      <c r="D2903" s="19">
        <v>0</v>
      </c>
      <c r="E2903" s="19">
        <v>0</v>
      </c>
      <c r="F2903" s="19">
        <v>0</v>
      </c>
      <c r="G2903" s="19">
        <v>0</v>
      </c>
      <c r="H2903" s="19">
        <v>0</v>
      </c>
      <c r="I2903" s="15">
        <v>3500</v>
      </c>
      <c r="J2903" s="15">
        <v>0</v>
      </c>
      <c r="K2903" s="15">
        <v>0</v>
      </c>
      <c r="L2903" s="15">
        <v>0</v>
      </c>
      <c r="M2903" s="15">
        <v>0</v>
      </c>
      <c r="N2903" s="15" t="str">
        <v/>
      </c>
      <c r="O2903" s="15" t="str">
        <v/>
      </c>
      <c r="P2903" s="22">
        <v>0</v>
      </c>
      <c r="Q2903">
        <v>0</v>
      </c>
    </row>
    <row r="2904" spans="1:17">
      <c r="A2904" s="19">
        <v>0</v>
      </c>
      <c r="B2904" s="19">
        <v>0</v>
      </c>
      <c r="C2904" s="19">
        <v>0</v>
      </c>
      <c r="D2904" s="19">
        <v>0</v>
      </c>
      <c r="E2904" s="19">
        <v>0</v>
      </c>
      <c r="F2904" s="19">
        <v>0</v>
      </c>
      <c r="G2904" s="19">
        <v>0</v>
      </c>
      <c r="H2904" s="19">
        <v>0</v>
      </c>
      <c r="I2904" s="15">
        <v>3500</v>
      </c>
      <c r="J2904" s="15">
        <v>0</v>
      </c>
      <c r="K2904" s="15">
        <v>0</v>
      </c>
      <c r="L2904" s="15">
        <v>0</v>
      </c>
      <c r="M2904" s="15">
        <v>0</v>
      </c>
      <c r="N2904" s="15" t="str">
        <v/>
      </c>
      <c r="O2904" s="15" t="str">
        <v/>
      </c>
      <c r="P2904" s="22">
        <v>0</v>
      </c>
      <c r="Q2904">
        <v>0</v>
      </c>
    </row>
    <row r="2905" spans="1:17">
      <c r="A2905" s="19">
        <v>0</v>
      </c>
      <c r="B2905" s="19">
        <v>0</v>
      </c>
      <c r="C2905" s="19">
        <v>0</v>
      </c>
      <c r="D2905" s="19">
        <v>0</v>
      </c>
      <c r="E2905" s="19">
        <v>0</v>
      </c>
      <c r="F2905" s="19">
        <v>0</v>
      </c>
      <c r="G2905" s="19">
        <v>0</v>
      </c>
      <c r="H2905" s="19">
        <v>0</v>
      </c>
      <c r="I2905" s="15">
        <v>3500</v>
      </c>
      <c r="J2905" s="15">
        <v>0</v>
      </c>
      <c r="K2905" s="15">
        <v>0</v>
      </c>
      <c r="L2905" s="15">
        <v>0</v>
      </c>
      <c r="M2905" s="15">
        <v>0</v>
      </c>
      <c r="N2905" s="15" t="str">
        <v/>
      </c>
      <c r="O2905" s="15" t="str">
        <v/>
      </c>
      <c r="P2905" s="22">
        <v>0</v>
      </c>
      <c r="Q2905">
        <v>0</v>
      </c>
    </row>
    <row r="2906" spans="1:17">
      <c r="A2906" s="19">
        <v>0</v>
      </c>
      <c r="B2906" s="19">
        <v>0</v>
      </c>
      <c r="C2906" s="19">
        <v>0</v>
      </c>
      <c r="D2906" s="19">
        <v>0</v>
      </c>
      <c r="E2906" s="19">
        <v>0</v>
      </c>
      <c r="F2906" s="19">
        <v>0</v>
      </c>
      <c r="G2906" s="19">
        <v>0</v>
      </c>
      <c r="H2906" s="19">
        <v>0</v>
      </c>
      <c r="I2906" s="15">
        <v>3500</v>
      </c>
      <c r="J2906" s="15">
        <v>0</v>
      </c>
      <c r="K2906" s="15">
        <v>0</v>
      </c>
      <c r="L2906" s="15">
        <v>0</v>
      </c>
      <c r="M2906" s="15">
        <v>0</v>
      </c>
      <c r="N2906" s="15" t="str">
        <v/>
      </c>
      <c r="O2906" s="15" t="str">
        <v/>
      </c>
      <c r="P2906" s="22">
        <v>0</v>
      </c>
      <c r="Q2906">
        <v>0</v>
      </c>
    </row>
    <row r="2907" spans="1:17">
      <c r="A2907" s="19">
        <v>0</v>
      </c>
      <c r="B2907" s="19">
        <v>0</v>
      </c>
      <c r="C2907" s="19">
        <v>0</v>
      </c>
      <c r="D2907" s="19">
        <v>0</v>
      </c>
      <c r="E2907" s="19">
        <v>0</v>
      </c>
      <c r="F2907" s="19">
        <v>0</v>
      </c>
      <c r="G2907" s="19">
        <v>0</v>
      </c>
      <c r="H2907" s="19">
        <v>0</v>
      </c>
      <c r="I2907" s="15">
        <v>3500</v>
      </c>
      <c r="J2907" s="15">
        <v>0</v>
      </c>
      <c r="K2907" s="15">
        <v>0</v>
      </c>
      <c r="L2907" s="15">
        <v>0</v>
      </c>
      <c r="M2907" s="15">
        <v>0</v>
      </c>
      <c r="N2907" s="15" t="str">
        <v/>
      </c>
      <c r="O2907" s="15" t="str">
        <v/>
      </c>
      <c r="P2907" s="22">
        <v>0</v>
      </c>
      <c r="Q2907">
        <v>0</v>
      </c>
    </row>
    <row r="2908" spans="1:17">
      <c r="A2908" s="19">
        <v>0</v>
      </c>
      <c r="B2908" s="19">
        <v>0</v>
      </c>
      <c r="C2908" s="19">
        <v>0</v>
      </c>
      <c r="D2908" s="19">
        <v>0</v>
      </c>
      <c r="E2908" s="19">
        <v>0</v>
      </c>
      <c r="F2908" s="19">
        <v>0</v>
      </c>
      <c r="G2908" s="19">
        <v>0</v>
      </c>
      <c r="H2908" s="19">
        <v>0</v>
      </c>
      <c r="I2908" s="15">
        <v>3500</v>
      </c>
      <c r="J2908" s="15">
        <v>0</v>
      </c>
      <c r="K2908" s="15">
        <v>0</v>
      </c>
      <c r="L2908" s="15">
        <v>0</v>
      </c>
      <c r="M2908" s="15">
        <v>0</v>
      </c>
      <c r="N2908" s="15" t="str">
        <v/>
      </c>
      <c r="O2908" s="15" t="str">
        <v/>
      </c>
      <c r="P2908" s="22">
        <v>0</v>
      </c>
      <c r="Q2908">
        <v>0</v>
      </c>
    </row>
    <row r="2909" spans="1:17">
      <c r="A2909" s="19">
        <v>0</v>
      </c>
      <c r="B2909" s="19">
        <v>0</v>
      </c>
      <c r="C2909" s="19">
        <v>0</v>
      </c>
      <c r="D2909" s="19">
        <v>0</v>
      </c>
      <c r="E2909" s="19">
        <v>0</v>
      </c>
      <c r="F2909" s="19">
        <v>0</v>
      </c>
      <c r="G2909" s="19">
        <v>0</v>
      </c>
      <c r="H2909" s="19">
        <v>0</v>
      </c>
      <c r="I2909" s="15">
        <v>3500</v>
      </c>
      <c r="J2909" s="15">
        <v>0</v>
      </c>
      <c r="K2909" s="15">
        <v>0</v>
      </c>
      <c r="L2909" s="15">
        <v>0</v>
      </c>
      <c r="M2909" s="15">
        <v>0</v>
      </c>
      <c r="N2909" s="15" t="str">
        <v/>
      </c>
      <c r="O2909" s="15" t="str">
        <v/>
      </c>
      <c r="P2909" s="22">
        <v>0</v>
      </c>
      <c r="Q2909">
        <v>0</v>
      </c>
    </row>
    <row r="2910" spans="1:17">
      <c r="A2910" s="19">
        <v>0</v>
      </c>
      <c r="B2910" s="19">
        <v>0</v>
      </c>
      <c r="C2910" s="19">
        <v>0</v>
      </c>
      <c r="D2910" s="19">
        <v>0</v>
      </c>
      <c r="E2910" s="19">
        <v>0</v>
      </c>
      <c r="F2910" s="19">
        <v>0</v>
      </c>
      <c r="G2910" s="19">
        <v>0</v>
      </c>
      <c r="H2910" s="19">
        <v>0</v>
      </c>
      <c r="I2910" s="15">
        <v>3500</v>
      </c>
      <c r="J2910" s="15">
        <v>0</v>
      </c>
      <c r="K2910" s="15">
        <v>0</v>
      </c>
      <c r="L2910" s="15">
        <v>0</v>
      </c>
      <c r="M2910" s="15">
        <v>0</v>
      </c>
      <c r="N2910" s="15" t="str">
        <v/>
      </c>
      <c r="O2910" s="15" t="str">
        <v/>
      </c>
      <c r="P2910" s="22">
        <v>0</v>
      </c>
      <c r="Q2910">
        <v>0</v>
      </c>
    </row>
    <row r="2911" spans="1:17">
      <c r="A2911" s="19">
        <v>0</v>
      </c>
      <c r="B2911" s="19">
        <v>0</v>
      </c>
      <c r="C2911" s="19">
        <v>0</v>
      </c>
      <c r="D2911" s="19">
        <v>0</v>
      </c>
      <c r="E2911" s="19">
        <v>0</v>
      </c>
      <c r="F2911" s="19">
        <v>0</v>
      </c>
      <c r="G2911" s="19">
        <v>0</v>
      </c>
      <c r="H2911" s="19">
        <v>0</v>
      </c>
      <c r="I2911" s="15">
        <v>3500</v>
      </c>
      <c r="J2911" s="15">
        <v>0</v>
      </c>
      <c r="K2911" s="15">
        <v>0</v>
      </c>
      <c r="L2911" s="15">
        <v>0</v>
      </c>
      <c r="M2911" s="15">
        <v>0</v>
      </c>
      <c r="N2911" s="15" t="str">
        <v/>
      </c>
      <c r="O2911" s="15" t="str">
        <v/>
      </c>
      <c r="P2911" s="22">
        <v>0</v>
      </c>
      <c r="Q2911">
        <v>0</v>
      </c>
    </row>
    <row r="2912" spans="1:17">
      <c r="A2912" s="19">
        <v>0</v>
      </c>
      <c r="B2912" s="19">
        <v>0</v>
      </c>
      <c r="C2912" s="19">
        <v>0</v>
      </c>
      <c r="D2912" s="19">
        <v>0</v>
      </c>
      <c r="E2912" s="19">
        <v>0</v>
      </c>
      <c r="F2912" s="19">
        <v>0</v>
      </c>
      <c r="G2912" s="19">
        <v>0</v>
      </c>
      <c r="H2912" s="19">
        <v>0</v>
      </c>
      <c r="I2912" s="15">
        <v>3500</v>
      </c>
      <c r="J2912" s="15">
        <v>0</v>
      </c>
      <c r="K2912" s="15">
        <v>0</v>
      </c>
      <c r="L2912" s="15">
        <v>0</v>
      </c>
      <c r="M2912" s="15">
        <v>0</v>
      </c>
      <c r="N2912" s="15" t="str">
        <v/>
      </c>
      <c r="O2912" s="15" t="str">
        <v/>
      </c>
      <c r="P2912" s="22">
        <v>0</v>
      </c>
      <c r="Q2912">
        <v>0</v>
      </c>
    </row>
    <row r="2913" spans="1:17">
      <c r="A2913" s="19">
        <v>0</v>
      </c>
      <c r="B2913" s="19">
        <v>0</v>
      </c>
      <c r="C2913" s="19">
        <v>0</v>
      </c>
      <c r="D2913" s="19">
        <v>0</v>
      </c>
      <c r="E2913" s="19">
        <v>0</v>
      </c>
      <c r="F2913" s="19">
        <v>0</v>
      </c>
      <c r="G2913" s="19">
        <v>0</v>
      </c>
      <c r="H2913" s="19">
        <v>0</v>
      </c>
      <c r="I2913" s="15">
        <v>3500</v>
      </c>
      <c r="J2913" s="15">
        <v>0</v>
      </c>
      <c r="K2913" s="15">
        <v>0</v>
      </c>
      <c r="L2913" s="15">
        <v>0</v>
      </c>
      <c r="M2913" s="15">
        <v>0</v>
      </c>
      <c r="N2913" s="15" t="str">
        <v/>
      </c>
      <c r="O2913" s="15" t="str">
        <v/>
      </c>
      <c r="P2913" s="22">
        <v>0</v>
      </c>
      <c r="Q2913">
        <v>0</v>
      </c>
    </row>
    <row r="2914" spans="1:17">
      <c r="A2914" s="19">
        <v>0</v>
      </c>
      <c r="B2914" s="19">
        <v>0</v>
      </c>
      <c r="C2914" s="19">
        <v>0</v>
      </c>
      <c r="D2914" s="19">
        <v>0</v>
      </c>
      <c r="E2914" s="19">
        <v>0</v>
      </c>
      <c r="F2914" s="19">
        <v>0</v>
      </c>
      <c r="G2914" s="19">
        <v>0</v>
      </c>
      <c r="H2914" s="19">
        <v>0</v>
      </c>
      <c r="I2914" s="15">
        <v>3500</v>
      </c>
      <c r="J2914" s="15">
        <v>0</v>
      </c>
      <c r="K2914" s="15">
        <v>0</v>
      </c>
      <c r="L2914" s="15">
        <v>0</v>
      </c>
      <c r="M2914" s="15">
        <v>0</v>
      </c>
      <c r="N2914" s="15" t="str">
        <v/>
      </c>
      <c r="O2914" s="15" t="str">
        <v/>
      </c>
      <c r="P2914" s="22">
        <v>0</v>
      </c>
      <c r="Q2914">
        <v>0</v>
      </c>
    </row>
    <row r="2915" spans="1:17">
      <c r="A2915" s="19">
        <v>0</v>
      </c>
      <c r="B2915" s="19">
        <v>0</v>
      </c>
      <c r="C2915" s="19">
        <v>0</v>
      </c>
      <c r="D2915" s="19">
        <v>0</v>
      </c>
      <c r="E2915" s="19">
        <v>0</v>
      </c>
      <c r="F2915" s="19">
        <v>0</v>
      </c>
      <c r="G2915" s="19">
        <v>0</v>
      </c>
      <c r="H2915" s="19">
        <v>0</v>
      </c>
      <c r="I2915" s="15">
        <v>3500</v>
      </c>
      <c r="J2915" s="15">
        <v>0</v>
      </c>
      <c r="K2915" s="15">
        <v>0</v>
      </c>
      <c r="L2915" s="15">
        <v>0</v>
      </c>
      <c r="M2915" s="15">
        <v>0</v>
      </c>
      <c r="N2915" s="15" t="str">
        <v/>
      </c>
      <c r="O2915" s="15" t="str">
        <v/>
      </c>
      <c r="P2915" s="22">
        <v>0</v>
      </c>
      <c r="Q2915">
        <v>0</v>
      </c>
    </row>
    <row r="2916" spans="1:17">
      <c r="A2916" s="19">
        <v>0</v>
      </c>
      <c r="B2916" s="19">
        <v>0</v>
      </c>
      <c r="C2916" s="19">
        <v>0</v>
      </c>
      <c r="D2916" s="19">
        <v>0</v>
      </c>
      <c r="E2916" s="19">
        <v>0</v>
      </c>
      <c r="F2916" s="19">
        <v>0</v>
      </c>
      <c r="G2916" s="19">
        <v>0</v>
      </c>
      <c r="H2916" s="19">
        <v>0</v>
      </c>
      <c r="I2916" s="15">
        <v>3500</v>
      </c>
      <c r="J2916" s="15">
        <v>0</v>
      </c>
      <c r="K2916" s="15">
        <v>0</v>
      </c>
      <c r="L2916" s="15">
        <v>0</v>
      </c>
      <c r="M2916" s="15">
        <v>0</v>
      </c>
      <c r="N2916" s="15" t="str">
        <v/>
      </c>
      <c r="O2916" s="15" t="str">
        <v/>
      </c>
      <c r="P2916" s="22">
        <v>0</v>
      </c>
      <c r="Q2916">
        <v>0</v>
      </c>
    </row>
    <row r="2917" spans="1:17">
      <c r="A2917" s="19">
        <v>0</v>
      </c>
      <c r="B2917" s="19">
        <v>0</v>
      </c>
      <c r="C2917" s="19">
        <v>0</v>
      </c>
      <c r="D2917" s="19">
        <v>0</v>
      </c>
      <c r="E2917" s="19">
        <v>0</v>
      </c>
      <c r="F2917" s="19">
        <v>0</v>
      </c>
      <c r="G2917" s="19">
        <v>0</v>
      </c>
      <c r="H2917" s="19">
        <v>0</v>
      </c>
      <c r="I2917" s="15">
        <v>3500</v>
      </c>
      <c r="J2917" s="15">
        <v>0</v>
      </c>
      <c r="K2917" s="15">
        <v>0</v>
      </c>
      <c r="L2917" s="15">
        <v>0</v>
      </c>
      <c r="M2917" s="15">
        <v>0</v>
      </c>
      <c r="N2917" s="15" t="str">
        <v/>
      </c>
      <c r="O2917" s="15" t="str">
        <v/>
      </c>
      <c r="P2917" s="22">
        <v>0</v>
      </c>
      <c r="Q2917">
        <v>0</v>
      </c>
    </row>
    <row r="2918" spans="1:17">
      <c r="A2918" s="19">
        <v>0</v>
      </c>
      <c r="B2918" s="19">
        <v>0</v>
      </c>
      <c r="C2918" s="19">
        <v>0</v>
      </c>
      <c r="D2918" s="19">
        <v>0</v>
      </c>
      <c r="E2918" s="19">
        <v>0</v>
      </c>
      <c r="F2918" s="19">
        <v>0</v>
      </c>
      <c r="G2918" s="19">
        <v>0</v>
      </c>
      <c r="H2918" s="19">
        <v>0</v>
      </c>
      <c r="I2918" s="15">
        <v>3500</v>
      </c>
      <c r="J2918" s="15">
        <v>0</v>
      </c>
      <c r="K2918" s="15">
        <v>0</v>
      </c>
      <c r="L2918" s="15">
        <v>0</v>
      </c>
      <c r="M2918" s="15">
        <v>0</v>
      </c>
      <c r="N2918" s="15" t="str">
        <v/>
      </c>
      <c r="O2918" s="15" t="str">
        <v/>
      </c>
      <c r="P2918" s="22">
        <v>0</v>
      </c>
      <c r="Q2918">
        <v>0</v>
      </c>
    </row>
    <row r="2919" spans="1:17">
      <c r="A2919" s="19">
        <v>0</v>
      </c>
      <c r="B2919" s="19">
        <v>0</v>
      </c>
      <c r="C2919" s="19">
        <v>0</v>
      </c>
      <c r="D2919" s="19">
        <v>0</v>
      </c>
      <c r="E2919" s="19">
        <v>0</v>
      </c>
      <c r="F2919" s="19">
        <v>0</v>
      </c>
      <c r="G2919" s="19">
        <v>0</v>
      </c>
      <c r="H2919" s="19">
        <v>0</v>
      </c>
      <c r="I2919" s="15">
        <v>3500</v>
      </c>
      <c r="J2919" s="15">
        <v>0</v>
      </c>
      <c r="K2919" s="15">
        <v>0</v>
      </c>
      <c r="L2919" s="15">
        <v>0</v>
      </c>
      <c r="M2919" s="15">
        <v>0</v>
      </c>
      <c r="N2919" s="15" t="str">
        <v/>
      </c>
      <c r="O2919" s="15" t="str">
        <v/>
      </c>
      <c r="P2919" s="22">
        <v>0</v>
      </c>
      <c r="Q2919">
        <v>0</v>
      </c>
    </row>
    <row r="2920" spans="1:17">
      <c r="A2920" s="19">
        <v>0</v>
      </c>
      <c r="B2920" s="19">
        <v>0</v>
      </c>
      <c r="C2920" s="19">
        <v>0</v>
      </c>
      <c r="D2920" s="19">
        <v>0</v>
      </c>
      <c r="E2920" s="19">
        <v>0</v>
      </c>
      <c r="F2920" s="19">
        <v>0</v>
      </c>
      <c r="G2920" s="19">
        <v>0</v>
      </c>
      <c r="H2920" s="19">
        <v>0</v>
      </c>
      <c r="I2920" s="15">
        <v>3500</v>
      </c>
      <c r="J2920" s="15">
        <v>0</v>
      </c>
      <c r="K2920" s="15">
        <v>0</v>
      </c>
      <c r="L2920" s="15">
        <v>0</v>
      </c>
      <c r="M2920" s="15">
        <v>0</v>
      </c>
      <c r="N2920" s="15" t="str">
        <v/>
      </c>
      <c r="O2920" s="15" t="str">
        <v/>
      </c>
      <c r="P2920" s="22">
        <v>0</v>
      </c>
      <c r="Q2920">
        <v>0</v>
      </c>
    </row>
    <row r="2921" spans="1:17">
      <c r="A2921" s="19">
        <v>0</v>
      </c>
      <c r="B2921" s="19">
        <v>0</v>
      </c>
      <c r="C2921" s="19">
        <v>0</v>
      </c>
      <c r="D2921" s="19">
        <v>0</v>
      </c>
      <c r="E2921" s="19">
        <v>0</v>
      </c>
      <c r="F2921" s="19">
        <v>0</v>
      </c>
      <c r="G2921" s="19">
        <v>0</v>
      </c>
      <c r="H2921" s="19">
        <v>0</v>
      </c>
      <c r="I2921" s="15">
        <v>3500</v>
      </c>
      <c r="J2921" s="15">
        <v>0</v>
      </c>
      <c r="K2921" s="15">
        <v>0</v>
      </c>
      <c r="L2921" s="15">
        <v>0</v>
      </c>
      <c r="M2921" s="15">
        <v>0</v>
      </c>
      <c r="N2921" s="15" t="str">
        <v/>
      </c>
      <c r="O2921" s="15" t="str">
        <v/>
      </c>
      <c r="P2921" s="22">
        <v>0</v>
      </c>
      <c r="Q2921">
        <v>0</v>
      </c>
    </row>
    <row r="2922" spans="1:17">
      <c r="A2922" s="19">
        <v>0</v>
      </c>
      <c r="B2922" s="19">
        <v>0</v>
      </c>
      <c r="C2922" s="19">
        <v>0</v>
      </c>
      <c r="D2922" s="19">
        <v>0</v>
      </c>
      <c r="E2922" s="19">
        <v>0</v>
      </c>
      <c r="F2922" s="19">
        <v>0</v>
      </c>
      <c r="G2922" s="19">
        <v>0</v>
      </c>
      <c r="H2922" s="19">
        <v>0</v>
      </c>
      <c r="I2922" s="15">
        <v>3500</v>
      </c>
      <c r="J2922" s="15">
        <v>0</v>
      </c>
      <c r="K2922" s="15">
        <v>0</v>
      </c>
      <c r="L2922" s="15">
        <v>0</v>
      </c>
      <c r="M2922" s="15">
        <v>0</v>
      </c>
      <c r="N2922" s="15" t="str">
        <v/>
      </c>
      <c r="O2922" s="15" t="str">
        <v/>
      </c>
      <c r="P2922" s="22">
        <v>0</v>
      </c>
      <c r="Q2922">
        <v>0</v>
      </c>
    </row>
    <row r="2923" spans="1:17">
      <c r="A2923" s="19">
        <v>0</v>
      </c>
      <c r="B2923" s="19">
        <v>0</v>
      </c>
      <c r="C2923" s="19">
        <v>0</v>
      </c>
      <c r="D2923" s="19">
        <v>0</v>
      </c>
      <c r="E2923" s="19">
        <v>0</v>
      </c>
      <c r="F2923" s="19">
        <v>0</v>
      </c>
      <c r="G2923" s="19">
        <v>0</v>
      </c>
      <c r="H2923" s="19">
        <v>0</v>
      </c>
      <c r="I2923" s="15">
        <v>3500</v>
      </c>
      <c r="J2923" s="15">
        <v>0</v>
      </c>
      <c r="K2923" s="15">
        <v>0</v>
      </c>
      <c r="L2923" s="15">
        <v>0</v>
      </c>
      <c r="M2923" s="15">
        <v>0</v>
      </c>
      <c r="N2923" s="15" t="str">
        <v/>
      </c>
      <c r="O2923" s="15" t="str">
        <v/>
      </c>
      <c r="P2923" s="22">
        <v>0</v>
      </c>
      <c r="Q2923">
        <v>0</v>
      </c>
    </row>
    <row r="2924" spans="1:17">
      <c r="A2924" s="19">
        <v>0</v>
      </c>
      <c r="B2924" s="19">
        <v>0</v>
      </c>
      <c r="C2924" s="19">
        <v>0</v>
      </c>
      <c r="D2924" s="19">
        <v>0</v>
      </c>
      <c r="E2924" s="19">
        <v>0</v>
      </c>
      <c r="F2924" s="19">
        <v>0</v>
      </c>
      <c r="G2924" s="19">
        <v>0</v>
      </c>
      <c r="H2924" s="19">
        <v>0</v>
      </c>
      <c r="I2924" s="15">
        <v>3500</v>
      </c>
      <c r="J2924" s="15">
        <v>0</v>
      </c>
      <c r="K2924" s="15">
        <v>0</v>
      </c>
      <c r="L2924" s="15">
        <v>0</v>
      </c>
      <c r="M2924" s="15">
        <v>0</v>
      </c>
      <c r="N2924" s="15" t="str">
        <v/>
      </c>
      <c r="O2924" s="15" t="str">
        <v/>
      </c>
      <c r="P2924" s="22">
        <v>0</v>
      </c>
      <c r="Q2924">
        <v>0</v>
      </c>
    </row>
    <row r="2925" spans="1:17">
      <c r="A2925" s="19">
        <v>0</v>
      </c>
      <c r="B2925" s="19">
        <v>0</v>
      </c>
      <c r="C2925" s="19">
        <v>0</v>
      </c>
      <c r="D2925" s="19">
        <v>0</v>
      </c>
      <c r="E2925" s="19">
        <v>0</v>
      </c>
      <c r="F2925" s="19">
        <v>0</v>
      </c>
      <c r="G2925" s="19">
        <v>0</v>
      </c>
      <c r="H2925" s="19">
        <v>0</v>
      </c>
      <c r="I2925" s="15">
        <v>3500</v>
      </c>
      <c r="J2925" s="15">
        <v>0</v>
      </c>
      <c r="K2925" s="15">
        <v>0</v>
      </c>
      <c r="L2925" s="15">
        <v>0</v>
      </c>
      <c r="M2925" s="15">
        <v>0</v>
      </c>
      <c r="N2925" s="15" t="str">
        <v/>
      </c>
      <c r="O2925" s="15" t="str">
        <v/>
      </c>
      <c r="P2925" s="22">
        <v>0</v>
      </c>
      <c r="Q2925">
        <v>0</v>
      </c>
    </row>
    <row r="2926" spans="1:17">
      <c r="A2926" s="19">
        <v>0</v>
      </c>
      <c r="B2926" s="19">
        <v>0</v>
      </c>
      <c r="C2926" s="19">
        <v>0</v>
      </c>
      <c r="D2926" s="19">
        <v>0</v>
      </c>
      <c r="E2926" s="19">
        <v>0</v>
      </c>
      <c r="F2926" s="19">
        <v>0</v>
      </c>
      <c r="G2926" s="19">
        <v>0</v>
      </c>
      <c r="H2926" s="19">
        <v>0</v>
      </c>
      <c r="I2926" s="15">
        <v>3500</v>
      </c>
      <c r="J2926" s="15">
        <v>0</v>
      </c>
      <c r="K2926" s="15">
        <v>0</v>
      </c>
      <c r="L2926" s="15">
        <v>0</v>
      </c>
      <c r="M2926" s="15">
        <v>0</v>
      </c>
      <c r="N2926" s="15" t="str">
        <v/>
      </c>
      <c r="O2926" s="15" t="str">
        <v/>
      </c>
      <c r="P2926" s="22">
        <v>0</v>
      </c>
      <c r="Q2926">
        <v>0</v>
      </c>
    </row>
    <row r="2927" spans="1:17">
      <c r="A2927" s="19">
        <v>0</v>
      </c>
      <c r="B2927" s="19">
        <v>0</v>
      </c>
      <c r="C2927" s="19">
        <v>0</v>
      </c>
      <c r="D2927" s="19">
        <v>0</v>
      </c>
      <c r="E2927" s="19">
        <v>0</v>
      </c>
      <c r="F2927" s="19">
        <v>0</v>
      </c>
      <c r="G2927" s="19">
        <v>0</v>
      </c>
      <c r="H2927" s="19">
        <v>0</v>
      </c>
      <c r="I2927" s="15">
        <v>3500</v>
      </c>
      <c r="J2927" s="15">
        <v>0</v>
      </c>
      <c r="K2927" s="15">
        <v>0</v>
      </c>
      <c r="L2927" s="15">
        <v>0</v>
      </c>
      <c r="M2927" s="15">
        <v>0</v>
      </c>
      <c r="N2927" s="15" t="str">
        <v/>
      </c>
      <c r="O2927" s="15" t="str">
        <v/>
      </c>
      <c r="P2927" s="22">
        <v>0</v>
      </c>
      <c r="Q2927">
        <v>0</v>
      </c>
    </row>
    <row r="2928" spans="1:17">
      <c r="A2928" s="19">
        <v>0</v>
      </c>
      <c r="B2928" s="19">
        <v>0</v>
      </c>
      <c r="C2928" s="19">
        <v>0</v>
      </c>
      <c r="D2928" s="19">
        <v>0</v>
      </c>
      <c r="E2928" s="19">
        <v>0</v>
      </c>
      <c r="F2928" s="19">
        <v>0</v>
      </c>
      <c r="G2928" s="19">
        <v>0</v>
      </c>
      <c r="H2928" s="19">
        <v>0</v>
      </c>
      <c r="I2928" s="15">
        <v>3500</v>
      </c>
      <c r="J2928" s="15">
        <v>0</v>
      </c>
      <c r="K2928" s="15">
        <v>0</v>
      </c>
      <c r="L2928" s="15">
        <v>0</v>
      </c>
      <c r="M2928" s="15">
        <v>0</v>
      </c>
      <c r="N2928" s="15" t="str">
        <v/>
      </c>
      <c r="O2928" s="15" t="str">
        <v/>
      </c>
      <c r="P2928" s="22">
        <v>0</v>
      </c>
      <c r="Q2928">
        <v>0</v>
      </c>
    </row>
    <row r="2929" spans="1:17">
      <c r="A2929" s="19">
        <v>0</v>
      </c>
      <c r="B2929" s="19">
        <v>0</v>
      </c>
      <c r="C2929" s="19">
        <v>0</v>
      </c>
      <c r="D2929" s="19">
        <v>0</v>
      </c>
      <c r="E2929" s="19">
        <v>0</v>
      </c>
      <c r="F2929" s="19">
        <v>0</v>
      </c>
      <c r="G2929" s="19">
        <v>0</v>
      </c>
      <c r="H2929" s="19">
        <v>0</v>
      </c>
      <c r="I2929" s="15">
        <v>3500</v>
      </c>
      <c r="J2929" s="15">
        <v>0</v>
      </c>
      <c r="K2929" s="15">
        <v>0</v>
      </c>
      <c r="L2929" s="15">
        <v>0</v>
      </c>
      <c r="M2929" s="15">
        <v>0</v>
      </c>
      <c r="N2929" s="15" t="str">
        <v/>
      </c>
      <c r="O2929" s="15" t="str">
        <v/>
      </c>
      <c r="P2929" s="22">
        <v>0</v>
      </c>
      <c r="Q2929">
        <v>0</v>
      </c>
    </row>
    <row r="2930" spans="1:17">
      <c r="A2930" s="19">
        <v>0</v>
      </c>
      <c r="B2930" s="19">
        <v>0</v>
      </c>
      <c r="C2930" s="19">
        <v>0</v>
      </c>
      <c r="D2930" s="19">
        <v>0</v>
      </c>
      <c r="E2930" s="19">
        <v>0</v>
      </c>
      <c r="F2930" s="19">
        <v>0</v>
      </c>
      <c r="G2930" s="19">
        <v>0</v>
      </c>
      <c r="H2930" s="19">
        <v>0</v>
      </c>
      <c r="I2930" s="15">
        <v>3500</v>
      </c>
      <c r="J2930" s="15">
        <v>0</v>
      </c>
      <c r="K2930" s="15">
        <v>0</v>
      </c>
      <c r="L2930" s="15">
        <v>0</v>
      </c>
      <c r="M2930" s="15">
        <v>0</v>
      </c>
      <c r="N2930" s="15" t="str">
        <v/>
      </c>
      <c r="O2930" s="15" t="str">
        <v/>
      </c>
      <c r="P2930" s="22">
        <v>0</v>
      </c>
      <c r="Q2930">
        <v>0</v>
      </c>
    </row>
    <row r="2931" spans="1:17">
      <c r="A2931" s="19">
        <v>0</v>
      </c>
      <c r="B2931" s="19">
        <v>0</v>
      </c>
      <c r="C2931" s="19">
        <v>0</v>
      </c>
      <c r="D2931" s="19">
        <v>0</v>
      </c>
      <c r="E2931" s="19">
        <v>0</v>
      </c>
      <c r="F2931" s="19">
        <v>0</v>
      </c>
      <c r="G2931" s="19">
        <v>0</v>
      </c>
      <c r="H2931" s="19">
        <v>0</v>
      </c>
      <c r="I2931" s="15">
        <v>3500</v>
      </c>
      <c r="J2931" s="15">
        <v>0</v>
      </c>
      <c r="K2931" s="15">
        <v>0</v>
      </c>
      <c r="L2931" s="15">
        <v>0</v>
      </c>
      <c r="M2931" s="15">
        <v>0</v>
      </c>
      <c r="N2931" s="15" t="str">
        <v/>
      </c>
      <c r="O2931" s="15" t="str">
        <v/>
      </c>
      <c r="P2931" s="22">
        <v>0</v>
      </c>
      <c r="Q2931">
        <v>0</v>
      </c>
    </row>
    <row r="2932" spans="1:17">
      <c r="A2932" s="19">
        <v>0</v>
      </c>
      <c r="B2932" s="19">
        <v>0</v>
      </c>
      <c r="C2932" s="19">
        <v>0</v>
      </c>
      <c r="D2932" s="19">
        <v>0</v>
      </c>
      <c r="E2932" s="19">
        <v>0</v>
      </c>
      <c r="F2932" s="19">
        <v>0</v>
      </c>
      <c r="G2932" s="19">
        <v>0</v>
      </c>
      <c r="H2932" s="19">
        <v>0</v>
      </c>
      <c r="I2932" s="15">
        <v>3500</v>
      </c>
      <c r="J2932" s="15">
        <v>0</v>
      </c>
      <c r="K2932" s="15">
        <v>0</v>
      </c>
      <c r="L2932" s="15">
        <v>0</v>
      </c>
      <c r="M2932" s="15">
        <v>0</v>
      </c>
      <c r="N2932" s="15" t="str">
        <v/>
      </c>
      <c r="O2932" s="15" t="str">
        <v/>
      </c>
      <c r="P2932" s="22">
        <v>0</v>
      </c>
      <c r="Q2932">
        <v>0</v>
      </c>
    </row>
    <row r="2933" spans="1:17">
      <c r="A2933" s="19">
        <v>0</v>
      </c>
      <c r="B2933" s="19">
        <v>0</v>
      </c>
      <c r="C2933" s="19">
        <v>0</v>
      </c>
      <c r="D2933" s="19">
        <v>0</v>
      </c>
      <c r="E2933" s="19">
        <v>0</v>
      </c>
      <c r="F2933" s="19">
        <v>0</v>
      </c>
      <c r="G2933" s="19">
        <v>0</v>
      </c>
      <c r="H2933" s="19">
        <v>0</v>
      </c>
      <c r="I2933" s="15">
        <v>3500</v>
      </c>
      <c r="J2933" s="15">
        <v>0</v>
      </c>
      <c r="K2933" s="15">
        <v>0</v>
      </c>
      <c r="L2933" s="15">
        <v>0</v>
      </c>
      <c r="M2933" s="15">
        <v>0</v>
      </c>
      <c r="N2933" s="15" t="str">
        <v/>
      </c>
      <c r="O2933" s="15" t="str">
        <v/>
      </c>
      <c r="P2933" s="22">
        <v>0</v>
      </c>
      <c r="Q2933">
        <v>0</v>
      </c>
    </row>
    <row r="2934" spans="1:17">
      <c r="A2934" s="19">
        <v>0</v>
      </c>
      <c r="B2934" s="19">
        <v>0</v>
      </c>
      <c r="C2934" s="19">
        <v>0</v>
      </c>
      <c r="D2934" s="19">
        <v>0</v>
      </c>
      <c r="E2934" s="19">
        <v>0</v>
      </c>
      <c r="F2934" s="19">
        <v>0</v>
      </c>
      <c r="G2934" s="19">
        <v>0</v>
      </c>
      <c r="H2934" s="19">
        <v>0</v>
      </c>
      <c r="I2934" s="15">
        <v>3500</v>
      </c>
      <c r="J2934" s="15">
        <v>0</v>
      </c>
      <c r="K2934" s="15">
        <v>0</v>
      </c>
      <c r="L2934" s="15">
        <v>0</v>
      </c>
      <c r="M2934" s="15">
        <v>0</v>
      </c>
      <c r="N2934" s="15" t="str">
        <v/>
      </c>
      <c r="O2934" s="15" t="str">
        <v/>
      </c>
      <c r="P2934" s="22">
        <v>0</v>
      </c>
      <c r="Q2934">
        <v>0</v>
      </c>
    </row>
    <row r="2935" spans="1:17">
      <c r="A2935" s="19">
        <v>0</v>
      </c>
      <c r="B2935" s="19">
        <v>0</v>
      </c>
      <c r="C2935" s="19">
        <v>0</v>
      </c>
      <c r="D2935" s="19">
        <v>0</v>
      </c>
      <c r="E2935" s="19">
        <v>0</v>
      </c>
      <c r="F2935" s="19">
        <v>0</v>
      </c>
      <c r="G2935" s="19">
        <v>0</v>
      </c>
      <c r="H2935" s="19">
        <v>0</v>
      </c>
      <c r="I2935" s="15">
        <v>3500</v>
      </c>
      <c r="J2935" s="15">
        <v>0</v>
      </c>
      <c r="K2935" s="15">
        <v>0</v>
      </c>
      <c r="L2935" s="15">
        <v>0</v>
      </c>
      <c r="M2935" s="15">
        <v>0</v>
      </c>
      <c r="N2935" s="15" t="str">
        <v/>
      </c>
      <c r="O2935" s="15" t="str">
        <v/>
      </c>
      <c r="P2935" s="22">
        <v>0</v>
      </c>
      <c r="Q2935">
        <v>0</v>
      </c>
    </row>
    <row r="2936" spans="1:17">
      <c r="A2936" s="19">
        <v>0</v>
      </c>
      <c r="B2936" s="19">
        <v>0</v>
      </c>
      <c r="C2936" s="19">
        <v>0</v>
      </c>
      <c r="D2936" s="19">
        <v>0</v>
      </c>
      <c r="E2936" s="19">
        <v>0</v>
      </c>
      <c r="F2936" s="19">
        <v>0</v>
      </c>
      <c r="G2936" s="19">
        <v>0</v>
      </c>
      <c r="H2936" s="19">
        <v>0</v>
      </c>
      <c r="I2936" s="15">
        <v>3500</v>
      </c>
      <c r="J2936" s="15">
        <v>0</v>
      </c>
      <c r="K2936" s="15">
        <v>0</v>
      </c>
      <c r="L2936" s="15">
        <v>0</v>
      </c>
      <c r="M2936" s="15">
        <v>0</v>
      </c>
      <c r="N2936" s="15" t="str">
        <v/>
      </c>
      <c r="O2936" s="15" t="str">
        <v/>
      </c>
      <c r="P2936" s="22">
        <v>0</v>
      </c>
      <c r="Q2936">
        <v>0</v>
      </c>
    </row>
    <row r="2937" spans="1:17">
      <c r="A2937" s="19">
        <v>0</v>
      </c>
      <c r="B2937" s="19">
        <v>0</v>
      </c>
      <c r="C2937" s="19">
        <v>0</v>
      </c>
      <c r="D2937" s="19">
        <v>0</v>
      </c>
      <c r="E2937" s="19">
        <v>0</v>
      </c>
      <c r="F2937" s="19">
        <v>0</v>
      </c>
      <c r="G2937" s="19">
        <v>0</v>
      </c>
      <c r="H2937" s="19">
        <v>0</v>
      </c>
      <c r="I2937" s="15">
        <v>3500</v>
      </c>
      <c r="J2937" s="15">
        <v>0</v>
      </c>
      <c r="K2937" s="15">
        <v>0</v>
      </c>
      <c r="L2937" s="15">
        <v>0</v>
      </c>
      <c r="M2937" s="15">
        <v>0</v>
      </c>
      <c r="N2937" s="15" t="str">
        <v/>
      </c>
      <c r="O2937" s="15" t="str">
        <v/>
      </c>
      <c r="P2937" s="22">
        <v>0</v>
      </c>
      <c r="Q2937">
        <v>0</v>
      </c>
    </row>
    <row r="2938" spans="1:17">
      <c r="A2938" s="19">
        <v>0</v>
      </c>
      <c r="B2938" s="19">
        <v>0</v>
      </c>
      <c r="C2938" s="19">
        <v>0</v>
      </c>
      <c r="D2938" s="19">
        <v>0</v>
      </c>
      <c r="E2938" s="19">
        <v>0</v>
      </c>
      <c r="F2938" s="19">
        <v>0</v>
      </c>
      <c r="G2938" s="19">
        <v>0</v>
      </c>
      <c r="H2938" s="19">
        <v>0</v>
      </c>
      <c r="I2938" s="15">
        <v>3500</v>
      </c>
      <c r="J2938" s="15">
        <v>0</v>
      </c>
      <c r="K2938" s="15">
        <v>0</v>
      </c>
      <c r="L2938" s="15">
        <v>0</v>
      </c>
      <c r="M2938" s="15">
        <v>0</v>
      </c>
      <c r="N2938" s="15" t="str">
        <v/>
      </c>
      <c r="O2938" s="15" t="str">
        <v/>
      </c>
      <c r="P2938" s="22">
        <v>0</v>
      </c>
      <c r="Q2938">
        <v>0</v>
      </c>
    </row>
    <row r="2939" spans="1:17">
      <c r="A2939" s="19">
        <v>0</v>
      </c>
      <c r="B2939" s="19">
        <v>0</v>
      </c>
      <c r="C2939" s="19">
        <v>0</v>
      </c>
      <c r="D2939" s="19">
        <v>0</v>
      </c>
      <c r="E2939" s="19">
        <v>0</v>
      </c>
      <c r="F2939" s="19">
        <v>0</v>
      </c>
      <c r="G2939" s="19">
        <v>0</v>
      </c>
      <c r="H2939" s="19">
        <v>0</v>
      </c>
      <c r="I2939" s="15">
        <v>3500</v>
      </c>
      <c r="J2939" s="15">
        <v>0</v>
      </c>
      <c r="K2939" s="15">
        <v>0</v>
      </c>
      <c r="L2939" s="15">
        <v>0</v>
      </c>
      <c r="M2939" s="15">
        <v>0</v>
      </c>
      <c r="N2939" s="15" t="str">
        <v/>
      </c>
      <c r="O2939" s="15" t="str">
        <v/>
      </c>
      <c r="P2939" s="22">
        <v>0</v>
      </c>
      <c r="Q2939">
        <v>0</v>
      </c>
    </row>
    <row r="2940" spans="1:17">
      <c r="A2940" s="19">
        <v>0</v>
      </c>
      <c r="B2940" s="19">
        <v>0</v>
      </c>
      <c r="C2940" s="19">
        <v>0</v>
      </c>
      <c r="D2940" s="19">
        <v>0</v>
      </c>
      <c r="E2940" s="19">
        <v>0</v>
      </c>
      <c r="F2940" s="19">
        <v>0</v>
      </c>
      <c r="G2940" s="19">
        <v>0</v>
      </c>
      <c r="H2940" s="19">
        <v>0</v>
      </c>
      <c r="I2940" s="15">
        <v>3500</v>
      </c>
      <c r="J2940" s="15">
        <v>0</v>
      </c>
      <c r="K2940" s="15">
        <v>0</v>
      </c>
      <c r="L2940" s="15">
        <v>0</v>
      </c>
      <c r="M2940" s="15">
        <v>0</v>
      </c>
      <c r="N2940" s="15" t="str">
        <v/>
      </c>
      <c r="O2940" s="15" t="str">
        <v/>
      </c>
      <c r="P2940" s="22">
        <v>0</v>
      </c>
      <c r="Q2940">
        <v>0</v>
      </c>
    </row>
    <row r="2941" spans="1:17">
      <c r="A2941" s="19">
        <v>0</v>
      </c>
      <c r="B2941" s="19">
        <v>0</v>
      </c>
      <c r="C2941" s="19">
        <v>0</v>
      </c>
      <c r="D2941" s="19">
        <v>0</v>
      </c>
      <c r="E2941" s="19">
        <v>0</v>
      </c>
      <c r="F2941" s="19">
        <v>0</v>
      </c>
      <c r="G2941" s="19">
        <v>0</v>
      </c>
      <c r="H2941" s="19">
        <v>0</v>
      </c>
      <c r="I2941" s="15">
        <v>3500</v>
      </c>
      <c r="J2941" s="15">
        <v>0</v>
      </c>
      <c r="K2941" s="15">
        <v>0</v>
      </c>
      <c r="L2941" s="15">
        <v>0</v>
      </c>
      <c r="M2941" s="15">
        <v>0</v>
      </c>
      <c r="N2941" s="15" t="str">
        <v/>
      </c>
      <c r="O2941" s="15" t="str">
        <v/>
      </c>
      <c r="P2941" s="22">
        <v>0</v>
      </c>
      <c r="Q2941">
        <v>0</v>
      </c>
    </row>
    <row r="2942" spans="1:17">
      <c r="A2942" s="19">
        <v>0</v>
      </c>
      <c r="B2942" s="19">
        <v>0</v>
      </c>
      <c r="C2942" s="19">
        <v>0</v>
      </c>
      <c r="D2942" s="19">
        <v>0</v>
      </c>
      <c r="E2942" s="19">
        <v>0</v>
      </c>
      <c r="F2942" s="19">
        <v>0</v>
      </c>
      <c r="G2942" s="19">
        <v>0</v>
      </c>
      <c r="H2942" s="19">
        <v>0</v>
      </c>
      <c r="I2942" s="15">
        <v>3500</v>
      </c>
      <c r="J2942" s="15">
        <v>0</v>
      </c>
      <c r="K2942" s="15">
        <v>0</v>
      </c>
      <c r="L2942" s="15">
        <v>0</v>
      </c>
      <c r="M2942" s="15">
        <v>0</v>
      </c>
      <c r="N2942" s="15" t="str">
        <v/>
      </c>
      <c r="O2942" s="15" t="str">
        <v/>
      </c>
      <c r="P2942" s="22">
        <v>0</v>
      </c>
      <c r="Q2942">
        <v>0</v>
      </c>
    </row>
    <row r="2943" spans="1:17">
      <c r="A2943" s="19">
        <v>0</v>
      </c>
      <c r="B2943" s="19">
        <v>0</v>
      </c>
      <c r="C2943" s="19">
        <v>0</v>
      </c>
      <c r="D2943" s="19">
        <v>0</v>
      </c>
      <c r="E2943" s="19">
        <v>0</v>
      </c>
      <c r="F2943" s="19">
        <v>0</v>
      </c>
      <c r="G2943" s="19">
        <v>0</v>
      </c>
      <c r="H2943" s="19">
        <v>0</v>
      </c>
      <c r="I2943" s="15">
        <v>3500</v>
      </c>
      <c r="J2943" s="15">
        <v>0</v>
      </c>
      <c r="K2943" s="15">
        <v>0</v>
      </c>
      <c r="L2943" s="15">
        <v>0</v>
      </c>
      <c r="M2943" s="15">
        <v>0</v>
      </c>
      <c r="N2943" s="15" t="str">
        <v/>
      </c>
      <c r="O2943" s="15" t="str">
        <v/>
      </c>
      <c r="P2943" s="22">
        <v>0</v>
      </c>
      <c r="Q2943">
        <v>0</v>
      </c>
    </row>
    <row r="2944" spans="1:17">
      <c r="A2944" s="19">
        <v>0</v>
      </c>
      <c r="B2944" s="19">
        <v>0</v>
      </c>
      <c r="C2944" s="19">
        <v>0</v>
      </c>
      <c r="D2944" s="19">
        <v>0</v>
      </c>
      <c r="E2944" s="19">
        <v>0</v>
      </c>
      <c r="F2944" s="19">
        <v>0</v>
      </c>
      <c r="G2944" s="19">
        <v>0</v>
      </c>
      <c r="H2944" s="19">
        <v>0</v>
      </c>
      <c r="I2944" s="15">
        <v>3500</v>
      </c>
      <c r="J2944" s="15">
        <v>0</v>
      </c>
      <c r="K2944" s="15">
        <v>0</v>
      </c>
      <c r="L2944" s="15">
        <v>0</v>
      </c>
      <c r="M2944" s="15">
        <v>0</v>
      </c>
      <c r="N2944" s="15" t="str">
        <v/>
      </c>
      <c r="O2944" s="15" t="str">
        <v/>
      </c>
      <c r="P2944" s="22">
        <v>0</v>
      </c>
      <c r="Q2944">
        <v>0</v>
      </c>
    </row>
    <row r="2945" spans="1:17">
      <c r="A2945" s="19">
        <v>0</v>
      </c>
      <c r="B2945" s="19">
        <v>0</v>
      </c>
      <c r="C2945" s="19">
        <v>0</v>
      </c>
      <c r="D2945" s="19">
        <v>0</v>
      </c>
      <c r="E2945" s="19">
        <v>0</v>
      </c>
      <c r="F2945" s="19">
        <v>0</v>
      </c>
      <c r="G2945" s="19">
        <v>0</v>
      </c>
      <c r="H2945" s="19">
        <v>0</v>
      </c>
      <c r="I2945" s="15">
        <v>3500</v>
      </c>
      <c r="J2945" s="15">
        <v>0</v>
      </c>
      <c r="K2945" s="15">
        <v>0</v>
      </c>
      <c r="L2945" s="15">
        <v>0</v>
      </c>
      <c r="M2945" s="15">
        <v>0</v>
      </c>
      <c r="N2945" s="15" t="str">
        <v/>
      </c>
      <c r="O2945" s="15" t="str">
        <v/>
      </c>
      <c r="P2945" s="22">
        <v>0</v>
      </c>
      <c r="Q2945">
        <v>0</v>
      </c>
    </row>
    <row r="2946" spans="1:17">
      <c r="A2946" s="19">
        <v>0</v>
      </c>
      <c r="B2946" s="19">
        <v>0</v>
      </c>
      <c r="C2946" s="19">
        <v>0</v>
      </c>
      <c r="D2946" s="19">
        <v>0</v>
      </c>
      <c r="E2946" s="19">
        <v>0</v>
      </c>
      <c r="F2946" s="19">
        <v>0</v>
      </c>
      <c r="G2946" s="19">
        <v>0</v>
      </c>
      <c r="H2946" s="19">
        <v>0</v>
      </c>
      <c r="I2946" s="15">
        <v>3500</v>
      </c>
      <c r="J2946" s="15">
        <v>0</v>
      </c>
      <c r="K2946" s="15">
        <v>0</v>
      </c>
      <c r="L2946" s="15">
        <v>0</v>
      </c>
      <c r="M2946" s="15">
        <v>0</v>
      </c>
      <c r="N2946" s="15" t="str">
        <v/>
      </c>
      <c r="O2946" s="15" t="str">
        <v/>
      </c>
      <c r="P2946" s="22">
        <v>0</v>
      </c>
      <c r="Q2946">
        <v>0</v>
      </c>
    </row>
    <row r="2947" spans="1:17">
      <c r="A2947" s="19">
        <v>0</v>
      </c>
      <c r="B2947" s="19">
        <v>0</v>
      </c>
      <c r="C2947" s="19">
        <v>0</v>
      </c>
      <c r="D2947" s="19">
        <v>0</v>
      </c>
      <c r="E2947" s="19">
        <v>0</v>
      </c>
      <c r="F2947" s="19">
        <v>0</v>
      </c>
      <c r="G2947" s="19">
        <v>0</v>
      </c>
      <c r="H2947" s="19">
        <v>0</v>
      </c>
      <c r="I2947" s="15">
        <v>3500</v>
      </c>
      <c r="J2947" s="15">
        <v>0</v>
      </c>
      <c r="K2947" s="15">
        <v>0</v>
      </c>
      <c r="L2947" s="15">
        <v>0</v>
      </c>
      <c r="M2947" s="15">
        <v>0</v>
      </c>
      <c r="N2947" s="15" t="str">
        <v/>
      </c>
      <c r="O2947" s="15" t="str">
        <v/>
      </c>
      <c r="P2947" s="22">
        <v>0</v>
      </c>
      <c r="Q2947">
        <v>0</v>
      </c>
    </row>
    <row r="2948" spans="1:17">
      <c r="A2948" s="19">
        <v>0</v>
      </c>
      <c r="B2948" s="19">
        <v>0</v>
      </c>
      <c r="C2948" s="19">
        <v>0</v>
      </c>
      <c r="D2948" s="19">
        <v>0</v>
      </c>
      <c r="E2948" s="19">
        <v>0</v>
      </c>
      <c r="F2948" s="19">
        <v>0</v>
      </c>
      <c r="G2948" s="19">
        <v>0</v>
      </c>
      <c r="H2948" s="19">
        <v>0</v>
      </c>
      <c r="I2948" s="15">
        <v>3500</v>
      </c>
      <c r="J2948" s="15">
        <v>0</v>
      </c>
      <c r="K2948" s="15">
        <v>0</v>
      </c>
      <c r="L2948" s="15">
        <v>0</v>
      </c>
      <c r="M2948" s="15">
        <v>0</v>
      </c>
      <c r="N2948" s="15" t="str">
        <v/>
      </c>
      <c r="O2948" s="15" t="str">
        <v/>
      </c>
      <c r="P2948" s="22">
        <v>0</v>
      </c>
      <c r="Q2948">
        <v>0</v>
      </c>
    </row>
    <row r="2949" spans="1:17">
      <c r="A2949" s="19">
        <v>0</v>
      </c>
      <c r="B2949" s="19">
        <v>0</v>
      </c>
      <c r="C2949" s="19">
        <v>0</v>
      </c>
      <c r="D2949" s="19">
        <v>0</v>
      </c>
      <c r="E2949" s="19">
        <v>0</v>
      </c>
      <c r="F2949" s="19">
        <v>0</v>
      </c>
      <c r="G2949" s="19">
        <v>0</v>
      </c>
      <c r="H2949" s="19">
        <v>0</v>
      </c>
      <c r="I2949" s="15">
        <v>3500</v>
      </c>
      <c r="J2949" s="15">
        <v>0</v>
      </c>
      <c r="K2949" s="15">
        <v>0</v>
      </c>
      <c r="L2949" s="15">
        <v>0</v>
      </c>
      <c r="M2949" s="15">
        <v>0</v>
      </c>
      <c r="N2949" s="15" t="str">
        <v/>
      </c>
      <c r="O2949" s="15" t="str">
        <v/>
      </c>
      <c r="P2949" s="22">
        <v>0</v>
      </c>
      <c r="Q2949">
        <v>0</v>
      </c>
    </row>
    <row r="2950" spans="1:17">
      <c r="A2950" s="19">
        <v>0</v>
      </c>
      <c r="B2950" s="19">
        <v>0</v>
      </c>
      <c r="C2950" s="19">
        <v>0</v>
      </c>
      <c r="D2950" s="19">
        <v>0</v>
      </c>
      <c r="E2950" s="19">
        <v>0</v>
      </c>
      <c r="F2950" s="19">
        <v>0</v>
      </c>
      <c r="G2950" s="19">
        <v>0</v>
      </c>
      <c r="H2950" s="19">
        <v>0</v>
      </c>
      <c r="I2950" s="15">
        <v>3500</v>
      </c>
      <c r="J2950" s="15">
        <v>0</v>
      </c>
      <c r="K2950" s="15">
        <v>0</v>
      </c>
      <c r="L2950" s="15">
        <v>0</v>
      </c>
      <c r="M2950" s="15">
        <v>0</v>
      </c>
      <c r="N2950" s="15" t="str">
        <v/>
      </c>
      <c r="O2950" s="15" t="str">
        <v/>
      </c>
      <c r="P2950" s="22">
        <v>0</v>
      </c>
      <c r="Q2950">
        <v>0</v>
      </c>
    </row>
    <row r="2951" spans="1:17">
      <c r="A2951" s="19">
        <v>0</v>
      </c>
      <c r="B2951" s="19">
        <v>0</v>
      </c>
      <c r="C2951" s="19">
        <v>0</v>
      </c>
      <c r="D2951" s="19">
        <v>0</v>
      </c>
      <c r="E2951" s="19">
        <v>0</v>
      </c>
      <c r="F2951" s="19">
        <v>0</v>
      </c>
      <c r="G2951" s="19">
        <v>0</v>
      </c>
      <c r="H2951" s="19">
        <v>0</v>
      </c>
      <c r="I2951" s="15">
        <v>3500</v>
      </c>
      <c r="J2951" s="15">
        <v>0</v>
      </c>
      <c r="K2951" s="15">
        <v>0</v>
      </c>
      <c r="L2951" s="15">
        <v>0</v>
      </c>
      <c r="M2951" s="15">
        <v>0</v>
      </c>
      <c r="N2951" s="15" t="str">
        <v/>
      </c>
      <c r="O2951" s="15" t="str">
        <v/>
      </c>
      <c r="P2951" s="22">
        <v>0</v>
      </c>
      <c r="Q2951">
        <v>0</v>
      </c>
    </row>
    <row r="2952" spans="1:17">
      <c r="A2952" s="19">
        <v>0</v>
      </c>
      <c r="B2952" s="19">
        <v>0</v>
      </c>
      <c r="C2952" s="19">
        <v>0</v>
      </c>
      <c r="D2952" s="19">
        <v>0</v>
      </c>
      <c r="E2952" s="19">
        <v>0</v>
      </c>
      <c r="F2952" s="19">
        <v>0</v>
      </c>
      <c r="G2952" s="19">
        <v>0</v>
      </c>
      <c r="H2952" s="19">
        <v>0</v>
      </c>
      <c r="I2952" s="15">
        <v>3500</v>
      </c>
      <c r="J2952" s="15">
        <v>0</v>
      </c>
      <c r="K2952" s="15">
        <v>0</v>
      </c>
      <c r="L2952" s="15">
        <v>0</v>
      </c>
      <c r="M2952" s="15">
        <v>0</v>
      </c>
      <c r="N2952" s="15" t="str">
        <v/>
      </c>
      <c r="O2952" s="15" t="str">
        <v/>
      </c>
      <c r="P2952" s="22">
        <v>0</v>
      </c>
      <c r="Q2952">
        <v>0</v>
      </c>
    </row>
    <row r="2953" spans="1:17">
      <c r="A2953" s="19">
        <v>0</v>
      </c>
      <c r="B2953" s="19">
        <v>0</v>
      </c>
      <c r="C2953" s="19">
        <v>0</v>
      </c>
      <c r="D2953" s="19">
        <v>0</v>
      </c>
      <c r="E2953" s="19">
        <v>0</v>
      </c>
      <c r="F2953" s="19">
        <v>0</v>
      </c>
      <c r="G2953" s="19">
        <v>0</v>
      </c>
      <c r="H2953" s="19">
        <v>0</v>
      </c>
      <c r="I2953" s="15">
        <v>3500</v>
      </c>
      <c r="J2953" s="15">
        <v>0</v>
      </c>
      <c r="K2953" s="15">
        <v>0</v>
      </c>
      <c r="L2953" s="15">
        <v>0</v>
      </c>
      <c r="M2953" s="15">
        <v>0</v>
      </c>
      <c r="N2953" s="15" t="str">
        <v/>
      </c>
      <c r="O2953" s="15" t="str">
        <v/>
      </c>
      <c r="P2953" s="22">
        <v>0</v>
      </c>
      <c r="Q2953">
        <v>0</v>
      </c>
    </row>
    <row r="2954" spans="1:17">
      <c r="A2954" s="19">
        <v>0</v>
      </c>
      <c r="B2954" s="19">
        <v>0</v>
      </c>
      <c r="C2954" s="19">
        <v>0</v>
      </c>
      <c r="D2954" s="19">
        <v>0</v>
      </c>
      <c r="E2954" s="19">
        <v>0</v>
      </c>
      <c r="F2954" s="19">
        <v>0</v>
      </c>
      <c r="G2954" s="19">
        <v>0</v>
      </c>
      <c r="H2954" s="19">
        <v>0</v>
      </c>
      <c r="I2954" s="15">
        <v>3500</v>
      </c>
      <c r="J2954" s="15">
        <v>0</v>
      </c>
      <c r="K2954" s="15">
        <v>0</v>
      </c>
      <c r="L2954" s="15">
        <v>0</v>
      </c>
      <c r="M2954" s="15">
        <v>0</v>
      </c>
      <c r="N2954" s="15" t="str">
        <v/>
      </c>
      <c r="O2954" s="15" t="str">
        <v/>
      </c>
      <c r="P2954" s="22">
        <v>0</v>
      </c>
      <c r="Q2954">
        <v>0</v>
      </c>
    </row>
    <row r="2955" spans="1:17">
      <c r="A2955" s="19">
        <v>0</v>
      </c>
      <c r="B2955" s="19">
        <v>0</v>
      </c>
      <c r="C2955" s="19">
        <v>0</v>
      </c>
      <c r="D2955" s="19">
        <v>0</v>
      </c>
      <c r="E2955" s="19">
        <v>0</v>
      </c>
      <c r="F2955" s="19">
        <v>0</v>
      </c>
      <c r="G2955" s="19">
        <v>0</v>
      </c>
      <c r="H2955" s="19">
        <v>0</v>
      </c>
      <c r="I2955" s="15">
        <v>3500</v>
      </c>
      <c r="J2955" s="15">
        <v>0</v>
      </c>
      <c r="K2955" s="15">
        <v>0</v>
      </c>
      <c r="L2955" s="15">
        <v>0</v>
      </c>
      <c r="M2955" s="15">
        <v>0</v>
      </c>
      <c r="N2955" s="15" t="str">
        <v/>
      </c>
      <c r="O2955" s="15" t="str">
        <v/>
      </c>
      <c r="P2955" s="22">
        <v>0</v>
      </c>
      <c r="Q2955">
        <v>0</v>
      </c>
    </row>
    <row r="2956" spans="1:17">
      <c r="A2956" s="19">
        <v>0</v>
      </c>
      <c r="B2956" s="19">
        <v>0</v>
      </c>
      <c r="C2956" s="19">
        <v>0</v>
      </c>
      <c r="D2956" s="19">
        <v>0</v>
      </c>
      <c r="E2956" s="19">
        <v>0</v>
      </c>
      <c r="F2956" s="19">
        <v>0</v>
      </c>
      <c r="G2956" s="19">
        <v>0</v>
      </c>
      <c r="H2956" s="19">
        <v>0</v>
      </c>
      <c r="I2956" s="15">
        <v>3500</v>
      </c>
      <c r="J2956" s="15">
        <v>0</v>
      </c>
      <c r="K2956" s="15">
        <v>0</v>
      </c>
      <c r="L2956" s="15">
        <v>0</v>
      </c>
      <c r="M2956" s="15">
        <v>0</v>
      </c>
      <c r="N2956" s="15" t="str">
        <v/>
      </c>
      <c r="O2956" s="15" t="str">
        <v/>
      </c>
      <c r="P2956" s="22">
        <v>0</v>
      </c>
      <c r="Q2956">
        <v>0</v>
      </c>
    </row>
    <row r="2957" spans="1:17">
      <c r="A2957" s="19">
        <v>0</v>
      </c>
      <c r="B2957" s="19">
        <v>0</v>
      </c>
      <c r="C2957" s="19">
        <v>0</v>
      </c>
      <c r="D2957" s="19">
        <v>0</v>
      </c>
      <c r="E2957" s="19">
        <v>0</v>
      </c>
      <c r="F2957" s="19">
        <v>0</v>
      </c>
      <c r="G2957" s="19">
        <v>0</v>
      </c>
      <c r="H2957" s="19">
        <v>0</v>
      </c>
      <c r="I2957" s="15">
        <v>3500</v>
      </c>
      <c r="J2957" s="15">
        <v>0</v>
      </c>
      <c r="K2957" s="15">
        <v>0</v>
      </c>
      <c r="L2957" s="15">
        <v>0</v>
      </c>
      <c r="M2957" s="15">
        <v>0</v>
      </c>
      <c r="N2957" s="15" t="str">
        <v/>
      </c>
      <c r="O2957" s="15" t="str">
        <v/>
      </c>
      <c r="P2957" s="22">
        <v>0</v>
      </c>
      <c r="Q2957">
        <v>0</v>
      </c>
    </row>
    <row r="2958" spans="1:17">
      <c r="A2958" s="19">
        <v>0</v>
      </c>
      <c r="B2958" s="19">
        <v>0</v>
      </c>
      <c r="C2958" s="19">
        <v>0</v>
      </c>
      <c r="D2958" s="19">
        <v>0</v>
      </c>
      <c r="E2958" s="19">
        <v>0</v>
      </c>
      <c r="F2958" s="19">
        <v>0</v>
      </c>
      <c r="G2958" s="19">
        <v>0</v>
      </c>
      <c r="H2958" s="19">
        <v>0</v>
      </c>
      <c r="I2958" s="15">
        <v>3500</v>
      </c>
      <c r="J2958" s="15">
        <v>0</v>
      </c>
      <c r="K2958" s="15">
        <v>0</v>
      </c>
      <c r="L2958" s="15">
        <v>0</v>
      </c>
      <c r="M2958" s="15">
        <v>0</v>
      </c>
      <c r="N2958" s="15" t="str">
        <v/>
      </c>
      <c r="O2958" s="15" t="str">
        <v/>
      </c>
      <c r="P2958" s="22">
        <v>0</v>
      </c>
      <c r="Q2958">
        <v>0</v>
      </c>
    </row>
    <row r="2959" spans="1:17">
      <c r="A2959" s="19">
        <v>0</v>
      </c>
      <c r="B2959" s="19">
        <v>0</v>
      </c>
      <c r="C2959" s="19">
        <v>0</v>
      </c>
      <c r="D2959" s="19">
        <v>0</v>
      </c>
      <c r="E2959" s="19">
        <v>0</v>
      </c>
      <c r="F2959" s="19">
        <v>0</v>
      </c>
      <c r="G2959" s="19">
        <v>0</v>
      </c>
      <c r="H2959" s="19">
        <v>0</v>
      </c>
      <c r="I2959" s="15">
        <v>3500</v>
      </c>
      <c r="J2959" s="15">
        <v>0</v>
      </c>
      <c r="K2959" s="15">
        <v>0</v>
      </c>
      <c r="L2959" s="15">
        <v>0</v>
      </c>
      <c r="M2959" s="15">
        <v>0</v>
      </c>
      <c r="N2959" s="15" t="str">
        <v/>
      </c>
      <c r="O2959" s="15" t="str">
        <v/>
      </c>
      <c r="P2959" s="22">
        <v>0</v>
      </c>
      <c r="Q2959">
        <v>0</v>
      </c>
    </row>
    <row r="2960" spans="1:17">
      <c r="A2960" s="19">
        <v>0</v>
      </c>
      <c r="B2960" s="19">
        <v>0</v>
      </c>
      <c r="C2960" s="19">
        <v>0</v>
      </c>
      <c r="D2960" s="19">
        <v>0</v>
      </c>
      <c r="E2960" s="19">
        <v>0</v>
      </c>
      <c r="F2960" s="19">
        <v>0</v>
      </c>
      <c r="G2960" s="19">
        <v>0</v>
      </c>
      <c r="H2960" s="19">
        <v>0</v>
      </c>
      <c r="I2960" s="15">
        <v>3500</v>
      </c>
      <c r="J2960" s="15">
        <v>0</v>
      </c>
      <c r="K2960" s="15">
        <v>0</v>
      </c>
      <c r="L2960" s="15">
        <v>0</v>
      </c>
      <c r="M2960" s="15">
        <v>0</v>
      </c>
      <c r="N2960" s="15" t="str">
        <v/>
      </c>
      <c r="O2960" s="15" t="str">
        <v/>
      </c>
      <c r="P2960" s="22">
        <v>0</v>
      </c>
      <c r="Q2960">
        <v>0</v>
      </c>
    </row>
    <row r="2961" spans="1:17">
      <c r="A2961" s="19">
        <v>0</v>
      </c>
      <c r="B2961" s="19">
        <v>0</v>
      </c>
      <c r="C2961" s="19">
        <v>0</v>
      </c>
      <c r="D2961" s="19">
        <v>0</v>
      </c>
      <c r="E2961" s="19">
        <v>0</v>
      </c>
      <c r="F2961" s="19">
        <v>0</v>
      </c>
      <c r="G2961" s="19">
        <v>0</v>
      </c>
      <c r="H2961" s="19">
        <v>0</v>
      </c>
      <c r="I2961" s="15">
        <v>3500</v>
      </c>
      <c r="J2961" s="15">
        <v>0</v>
      </c>
      <c r="K2961" s="15">
        <v>0</v>
      </c>
      <c r="L2961" s="15">
        <v>0</v>
      </c>
      <c r="M2961" s="15">
        <v>0</v>
      </c>
      <c r="N2961" s="15" t="str">
        <v/>
      </c>
      <c r="O2961" s="15" t="str">
        <v/>
      </c>
      <c r="P2961" s="22">
        <v>0</v>
      </c>
      <c r="Q2961">
        <v>0</v>
      </c>
    </row>
    <row r="2962" spans="1:17">
      <c r="A2962" s="19">
        <v>0</v>
      </c>
      <c r="B2962" s="19">
        <v>0</v>
      </c>
      <c r="C2962" s="19">
        <v>0</v>
      </c>
      <c r="D2962" s="19">
        <v>0</v>
      </c>
      <c r="E2962" s="19">
        <v>0</v>
      </c>
      <c r="F2962" s="19">
        <v>0</v>
      </c>
      <c r="G2962" s="19">
        <v>0</v>
      </c>
      <c r="H2962" s="19">
        <v>0</v>
      </c>
      <c r="I2962" s="15">
        <v>3500</v>
      </c>
      <c r="J2962" s="15">
        <v>0</v>
      </c>
      <c r="K2962" s="15">
        <v>0</v>
      </c>
      <c r="L2962" s="15">
        <v>0</v>
      </c>
      <c r="M2962" s="15">
        <v>0</v>
      </c>
      <c r="N2962" s="15" t="str">
        <v/>
      </c>
      <c r="O2962" s="15" t="str">
        <v/>
      </c>
      <c r="P2962" s="22">
        <v>0</v>
      </c>
      <c r="Q2962">
        <v>0</v>
      </c>
    </row>
    <row r="2963" spans="1:17">
      <c r="A2963" s="19">
        <v>0</v>
      </c>
      <c r="B2963" s="19">
        <v>0</v>
      </c>
      <c r="C2963" s="19">
        <v>0</v>
      </c>
      <c r="D2963" s="19">
        <v>0</v>
      </c>
      <c r="E2963" s="19">
        <v>0</v>
      </c>
      <c r="F2963" s="19">
        <v>0</v>
      </c>
      <c r="G2963" s="19">
        <v>0</v>
      </c>
      <c r="H2963" s="19">
        <v>0</v>
      </c>
      <c r="I2963" s="15">
        <v>3500</v>
      </c>
      <c r="J2963" s="15">
        <v>0</v>
      </c>
      <c r="K2963" s="15">
        <v>0</v>
      </c>
      <c r="L2963" s="15">
        <v>0</v>
      </c>
      <c r="M2963" s="15">
        <v>0</v>
      </c>
      <c r="N2963" s="15" t="str">
        <v/>
      </c>
      <c r="O2963" s="15" t="str">
        <v/>
      </c>
      <c r="P2963" s="22">
        <v>0</v>
      </c>
      <c r="Q2963">
        <v>0</v>
      </c>
    </row>
    <row r="2964" spans="1:17">
      <c r="A2964" s="19">
        <v>0</v>
      </c>
      <c r="B2964" s="19">
        <v>0</v>
      </c>
      <c r="C2964" s="19">
        <v>0</v>
      </c>
      <c r="D2964" s="19">
        <v>0</v>
      </c>
      <c r="E2964" s="19">
        <v>0</v>
      </c>
      <c r="F2964" s="19">
        <v>0</v>
      </c>
      <c r="G2964" s="19">
        <v>0</v>
      </c>
      <c r="H2964" s="19">
        <v>0</v>
      </c>
      <c r="I2964" s="15">
        <v>3500</v>
      </c>
      <c r="J2964" s="15">
        <v>0</v>
      </c>
      <c r="K2964" s="15">
        <v>0</v>
      </c>
      <c r="L2964" s="15">
        <v>0</v>
      </c>
      <c r="M2964" s="15">
        <v>0</v>
      </c>
      <c r="N2964" s="15" t="str">
        <v/>
      </c>
      <c r="O2964" s="15" t="str">
        <v/>
      </c>
      <c r="P2964" s="22">
        <v>0</v>
      </c>
      <c r="Q2964">
        <v>0</v>
      </c>
    </row>
    <row r="2965" spans="1:17">
      <c r="A2965" s="19">
        <v>0</v>
      </c>
      <c r="B2965" s="19">
        <v>0</v>
      </c>
      <c r="C2965" s="19">
        <v>0</v>
      </c>
      <c r="D2965" s="19">
        <v>0</v>
      </c>
      <c r="E2965" s="19">
        <v>0</v>
      </c>
      <c r="F2965" s="19">
        <v>0</v>
      </c>
      <c r="G2965" s="19">
        <v>0</v>
      </c>
      <c r="H2965" s="19">
        <v>0</v>
      </c>
      <c r="I2965" s="15">
        <v>3500</v>
      </c>
      <c r="J2965" s="15">
        <v>0</v>
      </c>
      <c r="K2965" s="15">
        <v>0</v>
      </c>
      <c r="L2965" s="15">
        <v>0</v>
      </c>
      <c r="M2965" s="15">
        <v>0</v>
      </c>
      <c r="N2965" s="15" t="str">
        <v/>
      </c>
      <c r="O2965" s="15" t="str">
        <v/>
      </c>
      <c r="P2965" s="22">
        <v>0</v>
      </c>
      <c r="Q2965">
        <v>0</v>
      </c>
    </row>
    <row r="2966" spans="1:17">
      <c r="A2966" s="19">
        <v>0</v>
      </c>
      <c r="B2966" s="19">
        <v>0</v>
      </c>
      <c r="C2966" s="19">
        <v>0</v>
      </c>
      <c r="D2966" s="19">
        <v>0</v>
      </c>
      <c r="E2966" s="19">
        <v>0</v>
      </c>
      <c r="F2966" s="19">
        <v>0</v>
      </c>
      <c r="G2966" s="19">
        <v>0</v>
      </c>
      <c r="H2966" s="19">
        <v>0</v>
      </c>
      <c r="I2966" s="15">
        <v>3500</v>
      </c>
      <c r="J2966" s="15">
        <v>0</v>
      </c>
      <c r="K2966" s="15">
        <v>0</v>
      </c>
      <c r="L2966" s="15">
        <v>0</v>
      </c>
      <c r="M2966" s="15">
        <v>0</v>
      </c>
      <c r="N2966" s="15" t="str">
        <v/>
      </c>
      <c r="O2966" s="15" t="str">
        <v/>
      </c>
      <c r="P2966" s="22">
        <v>0</v>
      </c>
      <c r="Q2966">
        <v>0</v>
      </c>
    </row>
    <row r="2967" spans="1:17">
      <c r="A2967" s="19">
        <v>0</v>
      </c>
      <c r="B2967" s="19">
        <v>0</v>
      </c>
      <c r="C2967" s="19">
        <v>0</v>
      </c>
      <c r="D2967" s="19">
        <v>0</v>
      </c>
      <c r="E2967" s="19">
        <v>0</v>
      </c>
      <c r="F2967" s="19">
        <v>0</v>
      </c>
      <c r="G2967" s="19">
        <v>0</v>
      </c>
      <c r="H2967" s="19">
        <v>0</v>
      </c>
      <c r="I2967" s="15">
        <v>3500</v>
      </c>
      <c r="J2967" s="15">
        <v>0</v>
      </c>
      <c r="K2967" s="15">
        <v>0</v>
      </c>
      <c r="L2967" s="15">
        <v>0</v>
      </c>
      <c r="M2967" s="15">
        <v>0</v>
      </c>
      <c r="N2967" s="15" t="str">
        <v/>
      </c>
      <c r="O2967" s="15" t="str">
        <v/>
      </c>
      <c r="P2967" s="22">
        <v>0</v>
      </c>
      <c r="Q2967">
        <v>0</v>
      </c>
    </row>
    <row r="2968" spans="1:17">
      <c r="A2968" s="19">
        <v>0</v>
      </c>
      <c r="B2968" s="19">
        <v>0</v>
      </c>
      <c r="C2968" s="19">
        <v>0</v>
      </c>
      <c r="D2968" s="19">
        <v>0</v>
      </c>
      <c r="E2968" s="19">
        <v>0</v>
      </c>
      <c r="F2968" s="19">
        <v>0</v>
      </c>
      <c r="G2968" s="19">
        <v>0</v>
      </c>
      <c r="H2968" s="19">
        <v>0</v>
      </c>
      <c r="I2968" s="15">
        <v>3500</v>
      </c>
      <c r="J2968" s="15">
        <v>0</v>
      </c>
      <c r="K2968" s="15">
        <v>0</v>
      </c>
      <c r="L2968" s="15">
        <v>0</v>
      </c>
      <c r="M2968" s="15">
        <v>0</v>
      </c>
      <c r="N2968" s="15" t="str">
        <v/>
      </c>
      <c r="O2968" s="15" t="str">
        <v/>
      </c>
      <c r="P2968" s="22">
        <v>0</v>
      </c>
      <c r="Q2968">
        <v>0</v>
      </c>
    </row>
    <row r="2969" spans="1:17">
      <c r="A2969" s="19">
        <v>0</v>
      </c>
      <c r="B2969" s="19">
        <v>0</v>
      </c>
      <c r="C2969" s="19">
        <v>0</v>
      </c>
      <c r="D2969" s="19">
        <v>0</v>
      </c>
      <c r="E2969" s="19">
        <v>0</v>
      </c>
      <c r="F2969" s="19">
        <v>0</v>
      </c>
      <c r="G2969" s="19">
        <v>0</v>
      </c>
      <c r="H2969" s="19">
        <v>0</v>
      </c>
      <c r="I2969" s="15">
        <v>3500</v>
      </c>
      <c r="J2969" s="15">
        <v>0</v>
      </c>
      <c r="K2969" s="15">
        <v>0</v>
      </c>
      <c r="L2969" s="15">
        <v>0</v>
      </c>
      <c r="M2969" s="15">
        <v>0</v>
      </c>
      <c r="N2969" s="15" t="str">
        <v/>
      </c>
      <c r="O2969" s="15" t="str">
        <v/>
      </c>
      <c r="P2969" s="22">
        <v>0</v>
      </c>
      <c r="Q2969">
        <v>0</v>
      </c>
    </row>
    <row r="2970" spans="1:17">
      <c r="A2970" s="19">
        <v>0</v>
      </c>
      <c r="B2970" s="19">
        <v>0</v>
      </c>
      <c r="C2970" s="19">
        <v>0</v>
      </c>
      <c r="D2970" s="19">
        <v>0</v>
      </c>
      <c r="E2970" s="19">
        <v>0</v>
      </c>
      <c r="F2970" s="19">
        <v>0</v>
      </c>
      <c r="G2970" s="19">
        <v>0</v>
      </c>
      <c r="H2970" s="19">
        <v>0</v>
      </c>
      <c r="I2970" s="15">
        <v>3500</v>
      </c>
      <c r="J2970" s="15">
        <v>0</v>
      </c>
      <c r="K2970" s="15">
        <v>0</v>
      </c>
      <c r="L2970" s="15">
        <v>0</v>
      </c>
      <c r="M2970" s="15">
        <v>0</v>
      </c>
      <c r="N2970" s="15" t="str">
        <v/>
      </c>
      <c r="O2970" s="15" t="str">
        <v/>
      </c>
      <c r="P2970" s="22">
        <v>0</v>
      </c>
      <c r="Q2970">
        <v>0</v>
      </c>
    </row>
    <row r="2971" spans="1:17">
      <c r="A2971" s="19">
        <v>0</v>
      </c>
      <c r="B2971" s="19">
        <v>0</v>
      </c>
      <c r="C2971" s="19">
        <v>0</v>
      </c>
      <c r="D2971" s="19">
        <v>0</v>
      </c>
      <c r="E2971" s="19">
        <v>0</v>
      </c>
      <c r="F2971" s="19">
        <v>0</v>
      </c>
      <c r="G2971" s="19">
        <v>0</v>
      </c>
      <c r="H2971" s="19">
        <v>0</v>
      </c>
      <c r="I2971" s="15">
        <v>3500</v>
      </c>
      <c r="J2971" s="15">
        <v>0</v>
      </c>
      <c r="K2971" s="15">
        <v>0</v>
      </c>
      <c r="L2971" s="15">
        <v>0</v>
      </c>
      <c r="M2971" s="15">
        <v>0</v>
      </c>
      <c r="N2971" s="15" t="str">
        <v/>
      </c>
      <c r="O2971" s="15" t="str">
        <v/>
      </c>
      <c r="P2971" s="22">
        <v>0</v>
      </c>
      <c r="Q2971">
        <v>0</v>
      </c>
    </row>
    <row r="2972" spans="1:17">
      <c r="A2972" s="19">
        <v>0</v>
      </c>
      <c r="B2972" s="19">
        <v>0</v>
      </c>
      <c r="C2972" s="19">
        <v>0</v>
      </c>
      <c r="D2972" s="19">
        <v>0</v>
      </c>
      <c r="E2972" s="19">
        <v>0</v>
      </c>
      <c r="F2972" s="19">
        <v>0</v>
      </c>
      <c r="G2972" s="19">
        <v>0</v>
      </c>
      <c r="H2972" s="19">
        <v>0</v>
      </c>
      <c r="I2972" s="15">
        <v>3500</v>
      </c>
      <c r="J2972" s="15">
        <v>0</v>
      </c>
      <c r="K2972" s="15">
        <v>0</v>
      </c>
      <c r="L2972" s="15">
        <v>0</v>
      </c>
      <c r="M2972" s="15">
        <v>0</v>
      </c>
      <c r="N2972" s="15" t="str">
        <v/>
      </c>
      <c r="O2972" s="15" t="str">
        <v/>
      </c>
      <c r="P2972" s="22">
        <v>0</v>
      </c>
      <c r="Q2972">
        <v>0</v>
      </c>
    </row>
    <row r="2973" spans="1:17">
      <c r="A2973" s="19">
        <v>0</v>
      </c>
      <c r="B2973" s="19">
        <v>0</v>
      </c>
      <c r="C2973" s="19">
        <v>0</v>
      </c>
      <c r="D2973" s="19">
        <v>0</v>
      </c>
      <c r="E2973" s="19">
        <v>0</v>
      </c>
      <c r="F2973" s="19">
        <v>0</v>
      </c>
      <c r="G2973" s="19">
        <v>0</v>
      </c>
      <c r="H2973" s="19">
        <v>0</v>
      </c>
      <c r="I2973" s="15">
        <v>3500</v>
      </c>
      <c r="J2973" s="15">
        <v>0</v>
      </c>
      <c r="K2973" s="15">
        <v>0</v>
      </c>
      <c r="L2973" s="15">
        <v>0</v>
      </c>
      <c r="M2973" s="15">
        <v>0</v>
      </c>
      <c r="N2973" s="15" t="str">
        <v/>
      </c>
      <c r="O2973" s="15" t="str">
        <v/>
      </c>
      <c r="P2973" s="22">
        <v>0</v>
      </c>
      <c r="Q2973">
        <v>0</v>
      </c>
    </row>
    <row r="2974" spans="1:17">
      <c r="A2974" s="19">
        <v>0</v>
      </c>
      <c r="B2974" s="19">
        <v>0</v>
      </c>
      <c r="C2974" s="19">
        <v>0</v>
      </c>
      <c r="D2974" s="19">
        <v>0</v>
      </c>
      <c r="E2974" s="19">
        <v>0</v>
      </c>
      <c r="F2974" s="19">
        <v>0</v>
      </c>
      <c r="G2974" s="19">
        <v>0</v>
      </c>
      <c r="H2974" s="19">
        <v>0</v>
      </c>
      <c r="I2974" s="15">
        <v>3500</v>
      </c>
      <c r="J2974" s="15">
        <v>0</v>
      </c>
      <c r="K2974" s="15">
        <v>0</v>
      </c>
      <c r="L2974" s="15">
        <v>0</v>
      </c>
      <c r="M2974" s="15">
        <v>0</v>
      </c>
      <c r="N2974" s="15" t="str">
        <v/>
      </c>
      <c r="O2974" s="15" t="str">
        <v/>
      </c>
      <c r="P2974" s="22">
        <v>0</v>
      </c>
      <c r="Q2974">
        <v>0</v>
      </c>
    </row>
    <row r="2975" spans="1:17">
      <c r="A2975" s="19">
        <v>0</v>
      </c>
      <c r="B2975" s="19">
        <v>0</v>
      </c>
      <c r="C2975" s="19">
        <v>0</v>
      </c>
      <c r="D2975" s="19">
        <v>0</v>
      </c>
      <c r="E2975" s="19">
        <v>0</v>
      </c>
      <c r="F2975" s="19">
        <v>0</v>
      </c>
      <c r="G2975" s="19">
        <v>0</v>
      </c>
      <c r="H2975" s="19">
        <v>0</v>
      </c>
      <c r="I2975" s="15">
        <v>3500</v>
      </c>
      <c r="J2975" s="15">
        <v>0</v>
      </c>
      <c r="K2975" s="15">
        <v>0</v>
      </c>
      <c r="L2975" s="15">
        <v>0</v>
      </c>
      <c r="M2975" s="15">
        <v>0</v>
      </c>
      <c r="N2975" s="15" t="str">
        <v/>
      </c>
      <c r="O2975" s="15" t="str">
        <v/>
      </c>
      <c r="P2975" s="22">
        <v>0</v>
      </c>
      <c r="Q2975">
        <v>0</v>
      </c>
    </row>
    <row r="2976" spans="1:17">
      <c r="A2976" s="19">
        <v>0</v>
      </c>
      <c r="B2976" s="19">
        <v>0</v>
      </c>
      <c r="C2976" s="19">
        <v>0</v>
      </c>
      <c r="D2976" s="19">
        <v>0</v>
      </c>
      <c r="E2976" s="19">
        <v>0</v>
      </c>
      <c r="F2976" s="19">
        <v>0</v>
      </c>
      <c r="G2976" s="19">
        <v>0</v>
      </c>
      <c r="H2976" s="19">
        <v>0</v>
      </c>
      <c r="I2976" s="15">
        <v>3500</v>
      </c>
      <c r="J2976" s="15">
        <v>0</v>
      </c>
      <c r="K2976" s="15">
        <v>0</v>
      </c>
      <c r="L2976" s="15">
        <v>0</v>
      </c>
      <c r="M2976" s="15">
        <v>0</v>
      </c>
      <c r="N2976" s="15" t="str">
        <v/>
      </c>
      <c r="O2976" s="15" t="str">
        <v/>
      </c>
      <c r="P2976" s="22">
        <v>0</v>
      </c>
      <c r="Q2976">
        <v>0</v>
      </c>
    </row>
    <row r="2977" spans="1:17">
      <c r="A2977" s="19">
        <v>0</v>
      </c>
      <c r="B2977" s="19">
        <v>0</v>
      </c>
      <c r="C2977" s="19">
        <v>0</v>
      </c>
      <c r="D2977" s="19">
        <v>0</v>
      </c>
      <c r="E2977" s="19">
        <v>0</v>
      </c>
      <c r="F2977" s="19">
        <v>0</v>
      </c>
      <c r="G2977" s="19">
        <v>0</v>
      </c>
      <c r="H2977" s="19">
        <v>0</v>
      </c>
      <c r="I2977" s="15">
        <v>3500</v>
      </c>
      <c r="J2977" s="15">
        <v>0</v>
      </c>
      <c r="K2977" s="15">
        <v>0</v>
      </c>
      <c r="L2977" s="15">
        <v>0</v>
      </c>
      <c r="M2977" s="15">
        <v>0</v>
      </c>
      <c r="N2977" s="15" t="str">
        <v/>
      </c>
      <c r="O2977" s="15" t="str">
        <v/>
      </c>
      <c r="P2977" s="22">
        <v>0</v>
      </c>
      <c r="Q2977">
        <v>0</v>
      </c>
    </row>
    <row r="2978" spans="1:17">
      <c r="A2978" s="19">
        <v>0</v>
      </c>
      <c r="B2978" s="19">
        <v>0</v>
      </c>
      <c r="C2978" s="19">
        <v>0</v>
      </c>
      <c r="D2978" s="19">
        <v>0</v>
      </c>
      <c r="E2978" s="19">
        <v>0</v>
      </c>
      <c r="F2978" s="19">
        <v>0</v>
      </c>
      <c r="G2978" s="19">
        <v>0</v>
      </c>
      <c r="H2978" s="19">
        <v>0</v>
      </c>
      <c r="I2978" s="15">
        <v>3500</v>
      </c>
      <c r="J2978" s="15">
        <v>0</v>
      </c>
      <c r="K2978" s="15">
        <v>0</v>
      </c>
      <c r="L2978" s="15">
        <v>0</v>
      </c>
      <c r="M2978" s="15">
        <v>0</v>
      </c>
      <c r="N2978" s="15" t="str">
        <v/>
      </c>
      <c r="O2978" s="15" t="str">
        <v/>
      </c>
      <c r="P2978" s="22">
        <v>0</v>
      </c>
      <c r="Q2978">
        <v>0</v>
      </c>
    </row>
    <row r="2979" spans="1:17">
      <c r="A2979" s="19">
        <v>0</v>
      </c>
      <c r="B2979" s="19">
        <v>0</v>
      </c>
      <c r="C2979" s="19">
        <v>0</v>
      </c>
      <c r="D2979" s="19">
        <v>0</v>
      </c>
      <c r="E2979" s="19">
        <v>0</v>
      </c>
      <c r="F2979" s="19">
        <v>0</v>
      </c>
      <c r="G2979" s="19">
        <v>0</v>
      </c>
      <c r="H2979" s="19">
        <v>0</v>
      </c>
      <c r="I2979" s="15">
        <v>3500</v>
      </c>
      <c r="J2979" s="15">
        <v>0</v>
      </c>
      <c r="K2979" s="15">
        <v>0</v>
      </c>
      <c r="L2979" s="15">
        <v>0</v>
      </c>
      <c r="M2979" s="15">
        <v>0</v>
      </c>
      <c r="N2979" s="15" t="str">
        <v/>
      </c>
      <c r="O2979" s="15" t="str">
        <v/>
      </c>
      <c r="P2979" s="22">
        <v>0</v>
      </c>
      <c r="Q2979">
        <v>0</v>
      </c>
    </row>
    <row r="2980" spans="1:17">
      <c r="A2980" s="19">
        <v>0</v>
      </c>
      <c r="B2980" s="19">
        <v>0</v>
      </c>
      <c r="C2980" s="19">
        <v>0</v>
      </c>
      <c r="D2980" s="19">
        <v>0</v>
      </c>
      <c r="E2980" s="19">
        <v>0</v>
      </c>
      <c r="F2980" s="19">
        <v>0</v>
      </c>
      <c r="G2980" s="19">
        <v>0</v>
      </c>
      <c r="H2980" s="19">
        <v>0</v>
      </c>
      <c r="I2980" s="15">
        <v>3500</v>
      </c>
      <c r="J2980" s="15">
        <v>0</v>
      </c>
      <c r="K2980" s="15">
        <v>0</v>
      </c>
      <c r="L2980" s="15">
        <v>0</v>
      </c>
      <c r="M2980" s="15">
        <v>0</v>
      </c>
      <c r="N2980" s="15" t="str">
        <v/>
      </c>
      <c r="O2980" s="15" t="str">
        <v/>
      </c>
      <c r="P2980" s="22">
        <v>0</v>
      </c>
      <c r="Q2980">
        <v>0</v>
      </c>
    </row>
    <row r="2981" spans="1:17">
      <c r="A2981" s="19">
        <v>0</v>
      </c>
      <c r="B2981" s="19">
        <v>0</v>
      </c>
      <c r="C2981" s="19">
        <v>0</v>
      </c>
      <c r="D2981" s="19">
        <v>0</v>
      </c>
      <c r="E2981" s="19">
        <v>0</v>
      </c>
      <c r="F2981" s="19">
        <v>0</v>
      </c>
      <c r="G2981" s="19">
        <v>0</v>
      </c>
      <c r="H2981" s="19">
        <v>0</v>
      </c>
      <c r="I2981" s="15">
        <v>3500</v>
      </c>
      <c r="J2981" s="15">
        <v>0</v>
      </c>
      <c r="K2981" s="15">
        <v>0</v>
      </c>
      <c r="L2981" s="15">
        <v>0</v>
      </c>
      <c r="M2981" s="15">
        <v>0</v>
      </c>
      <c r="N2981" s="15" t="str">
        <v/>
      </c>
      <c r="O2981" s="15" t="str">
        <v/>
      </c>
      <c r="P2981" s="22">
        <v>0</v>
      </c>
      <c r="Q2981">
        <v>0</v>
      </c>
    </row>
    <row r="2982" spans="1:17">
      <c r="A2982" s="19">
        <v>0</v>
      </c>
      <c r="B2982" s="19">
        <v>0</v>
      </c>
      <c r="C2982" s="19">
        <v>0</v>
      </c>
      <c r="D2982" s="19">
        <v>0</v>
      </c>
      <c r="E2982" s="19">
        <v>0</v>
      </c>
      <c r="F2982" s="19">
        <v>0</v>
      </c>
      <c r="G2982" s="19">
        <v>0</v>
      </c>
      <c r="H2982" s="19">
        <v>0</v>
      </c>
      <c r="I2982" s="15">
        <v>3500</v>
      </c>
      <c r="J2982" s="15">
        <v>0</v>
      </c>
      <c r="K2982" s="15">
        <v>0</v>
      </c>
      <c r="L2982" s="15">
        <v>0</v>
      </c>
      <c r="M2982" s="15">
        <v>0</v>
      </c>
      <c r="N2982" s="15" t="str">
        <v/>
      </c>
      <c r="O2982" s="15" t="str">
        <v/>
      </c>
      <c r="P2982" s="22">
        <v>0</v>
      </c>
      <c r="Q2982">
        <v>0</v>
      </c>
    </row>
    <row r="2983" spans="1:17">
      <c r="A2983" s="19">
        <v>0</v>
      </c>
      <c r="B2983" s="19">
        <v>0</v>
      </c>
      <c r="C2983" s="19">
        <v>0</v>
      </c>
      <c r="D2983" s="19">
        <v>0</v>
      </c>
      <c r="E2983" s="19">
        <v>0</v>
      </c>
      <c r="F2983" s="19">
        <v>0</v>
      </c>
      <c r="G2983" s="19">
        <v>0</v>
      </c>
      <c r="H2983" s="19">
        <v>0</v>
      </c>
      <c r="I2983" s="15">
        <v>3500</v>
      </c>
      <c r="J2983" s="15">
        <v>0</v>
      </c>
      <c r="K2983" s="15">
        <v>0</v>
      </c>
      <c r="L2983" s="15">
        <v>0</v>
      </c>
      <c r="M2983" s="15">
        <v>0</v>
      </c>
      <c r="N2983" s="15" t="str">
        <v/>
      </c>
      <c r="O2983" s="15" t="str">
        <v/>
      </c>
      <c r="P2983" s="22">
        <v>0</v>
      </c>
      <c r="Q2983">
        <v>0</v>
      </c>
    </row>
    <row r="2984" spans="1:17">
      <c r="A2984" s="19">
        <v>0</v>
      </c>
      <c r="B2984" s="19">
        <v>0</v>
      </c>
      <c r="C2984" s="19">
        <v>0</v>
      </c>
      <c r="D2984" s="19">
        <v>0</v>
      </c>
      <c r="E2984" s="19">
        <v>0</v>
      </c>
      <c r="F2984" s="19">
        <v>0</v>
      </c>
      <c r="G2984" s="19">
        <v>0</v>
      </c>
      <c r="H2984" s="19">
        <v>0</v>
      </c>
      <c r="I2984" s="15">
        <v>3500</v>
      </c>
      <c r="J2984" s="15">
        <v>0</v>
      </c>
      <c r="K2984" s="15">
        <v>0</v>
      </c>
      <c r="L2984" s="15">
        <v>0</v>
      </c>
      <c r="M2984" s="15">
        <v>0</v>
      </c>
      <c r="N2984" s="15" t="str">
        <v/>
      </c>
      <c r="O2984" s="15" t="str">
        <v/>
      </c>
      <c r="P2984" s="22">
        <v>0</v>
      </c>
      <c r="Q2984">
        <v>0</v>
      </c>
    </row>
    <row r="2985" spans="1:17">
      <c r="A2985" s="19">
        <v>0</v>
      </c>
      <c r="B2985" s="19">
        <v>0</v>
      </c>
      <c r="C2985" s="19">
        <v>0</v>
      </c>
      <c r="D2985" s="19">
        <v>0</v>
      </c>
      <c r="E2985" s="19">
        <v>0</v>
      </c>
      <c r="F2985" s="19">
        <v>0</v>
      </c>
      <c r="G2985" s="19">
        <v>0</v>
      </c>
      <c r="H2985" s="19">
        <v>0</v>
      </c>
      <c r="I2985" s="15">
        <v>3500</v>
      </c>
      <c r="J2985" s="15">
        <v>0</v>
      </c>
      <c r="K2985" s="15">
        <v>0</v>
      </c>
      <c r="L2985" s="15">
        <v>0</v>
      </c>
      <c r="M2985" s="15">
        <v>0</v>
      </c>
      <c r="N2985" s="15" t="str">
        <v/>
      </c>
      <c r="O2985" s="15" t="str">
        <v/>
      </c>
      <c r="P2985" s="22">
        <v>0</v>
      </c>
      <c r="Q2985">
        <v>0</v>
      </c>
    </row>
    <row r="2986" spans="1:17">
      <c r="A2986" s="19">
        <v>0</v>
      </c>
      <c r="B2986" s="19">
        <v>0</v>
      </c>
      <c r="C2986" s="19">
        <v>0</v>
      </c>
      <c r="D2986" s="19">
        <v>0</v>
      </c>
      <c r="E2986" s="19">
        <v>0</v>
      </c>
      <c r="F2986" s="19">
        <v>0</v>
      </c>
      <c r="G2986" s="19">
        <v>0</v>
      </c>
      <c r="H2986" s="19">
        <v>0</v>
      </c>
      <c r="I2986" s="15">
        <v>3500</v>
      </c>
      <c r="J2986" s="15">
        <v>0</v>
      </c>
      <c r="K2986" s="15">
        <v>0</v>
      </c>
      <c r="L2986" s="15">
        <v>0</v>
      </c>
      <c r="M2986" s="15">
        <v>0</v>
      </c>
      <c r="N2986" s="15" t="str">
        <v/>
      </c>
      <c r="O2986" s="15" t="str">
        <v/>
      </c>
      <c r="P2986" s="22">
        <v>0</v>
      </c>
      <c r="Q2986">
        <v>0</v>
      </c>
    </row>
    <row r="2987" spans="1:17">
      <c r="A2987" s="19">
        <v>0</v>
      </c>
      <c r="B2987" s="19">
        <v>0</v>
      </c>
      <c r="C2987" s="19">
        <v>0</v>
      </c>
      <c r="D2987" s="19">
        <v>0</v>
      </c>
      <c r="E2987" s="19">
        <v>0</v>
      </c>
      <c r="F2987" s="19">
        <v>0</v>
      </c>
      <c r="G2987" s="19">
        <v>0</v>
      </c>
      <c r="H2987" s="19">
        <v>0</v>
      </c>
      <c r="I2987" s="15">
        <v>3500</v>
      </c>
      <c r="J2987" s="15">
        <v>0</v>
      </c>
      <c r="K2987" s="15">
        <v>0</v>
      </c>
      <c r="L2987" s="15">
        <v>0</v>
      </c>
      <c r="M2987" s="15">
        <v>0</v>
      </c>
      <c r="N2987" s="15" t="str">
        <v/>
      </c>
      <c r="O2987" s="15" t="str">
        <v/>
      </c>
      <c r="P2987" s="22">
        <v>0</v>
      </c>
      <c r="Q2987">
        <v>0</v>
      </c>
    </row>
    <row r="2988" spans="1:17">
      <c r="A2988" s="19">
        <v>0</v>
      </c>
      <c r="B2988" s="19">
        <v>0</v>
      </c>
      <c r="C2988" s="19">
        <v>0</v>
      </c>
      <c r="D2988" s="19">
        <v>0</v>
      </c>
      <c r="E2988" s="19">
        <v>0</v>
      </c>
      <c r="F2988" s="19">
        <v>0</v>
      </c>
      <c r="G2988" s="19">
        <v>0</v>
      </c>
      <c r="H2988" s="19">
        <v>0</v>
      </c>
      <c r="I2988" s="15">
        <v>3500</v>
      </c>
      <c r="J2988" s="15">
        <v>0</v>
      </c>
      <c r="K2988" s="15">
        <v>0</v>
      </c>
      <c r="L2988" s="15">
        <v>0</v>
      </c>
      <c r="M2988" s="15">
        <v>0</v>
      </c>
      <c r="N2988" s="15" t="str">
        <v/>
      </c>
      <c r="O2988" s="15" t="str">
        <v/>
      </c>
      <c r="P2988" s="22">
        <v>0</v>
      </c>
      <c r="Q2988">
        <v>0</v>
      </c>
    </row>
    <row r="2989" spans="1:17">
      <c r="A2989" s="19">
        <v>0</v>
      </c>
      <c r="B2989" s="19">
        <v>0</v>
      </c>
      <c r="C2989" s="19">
        <v>0</v>
      </c>
      <c r="D2989" s="19">
        <v>0</v>
      </c>
      <c r="E2989" s="19">
        <v>0</v>
      </c>
      <c r="F2989" s="19">
        <v>0</v>
      </c>
      <c r="G2989" s="19">
        <v>0</v>
      </c>
      <c r="H2989" s="19">
        <v>0</v>
      </c>
      <c r="I2989" s="15">
        <v>3500</v>
      </c>
      <c r="J2989" s="15">
        <v>0</v>
      </c>
      <c r="K2989" s="15">
        <v>0</v>
      </c>
      <c r="L2989" s="15">
        <v>0</v>
      </c>
      <c r="M2989" s="15">
        <v>0</v>
      </c>
      <c r="N2989" s="15" t="str">
        <v/>
      </c>
      <c r="O2989" s="15" t="str">
        <v/>
      </c>
      <c r="P2989" s="22">
        <v>0</v>
      </c>
      <c r="Q2989">
        <v>0</v>
      </c>
    </row>
    <row r="2990" spans="1:17">
      <c r="A2990" s="19">
        <v>0</v>
      </c>
      <c r="B2990" s="19">
        <v>0</v>
      </c>
      <c r="C2990" s="19">
        <v>0</v>
      </c>
      <c r="D2990" s="19">
        <v>0</v>
      </c>
      <c r="E2990" s="19">
        <v>0</v>
      </c>
      <c r="F2990" s="19">
        <v>0</v>
      </c>
      <c r="G2990" s="19">
        <v>0</v>
      </c>
      <c r="H2990" s="19">
        <v>0</v>
      </c>
      <c r="I2990" s="15">
        <v>3500</v>
      </c>
      <c r="J2990" s="15">
        <v>0</v>
      </c>
      <c r="K2990" s="15">
        <v>0</v>
      </c>
      <c r="L2990" s="15">
        <v>0</v>
      </c>
      <c r="M2990" s="15">
        <v>0</v>
      </c>
      <c r="N2990" s="15" t="str">
        <v/>
      </c>
      <c r="O2990" s="15" t="str">
        <v/>
      </c>
      <c r="P2990" s="22">
        <v>0</v>
      </c>
      <c r="Q2990">
        <v>0</v>
      </c>
    </row>
    <row r="2991" spans="1:17">
      <c r="A2991" s="19">
        <v>0</v>
      </c>
      <c r="B2991" s="19">
        <v>0</v>
      </c>
      <c r="C2991" s="19">
        <v>0</v>
      </c>
      <c r="D2991" s="19">
        <v>0</v>
      </c>
      <c r="E2991" s="19">
        <v>0</v>
      </c>
      <c r="F2991" s="19">
        <v>0</v>
      </c>
      <c r="G2991" s="19">
        <v>0</v>
      </c>
      <c r="H2991" s="19">
        <v>0</v>
      </c>
      <c r="I2991" s="15">
        <v>3500</v>
      </c>
      <c r="J2991" s="15">
        <v>0</v>
      </c>
      <c r="K2991" s="15">
        <v>0</v>
      </c>
      <c r="L2991" s="15">
        <v>0</v>
      </c>
      <c r="M2991" s="15">
        <v>0</v>
      </c>
      <c r="N2991" s="15" t="str">
        <v/>
      </c>
      <c r="O2991" s="15" t="str">
        <v/>
      </c>
      <c r="P2991" s="22">
        <v>0</v>
      </c>
      <c r="Q2991">
        <v>0</v>
      </c>
    </row>
    <row r="2992" spans="1:17">
      <c r="A2992" s="19">
        <v>0</v>
      </c>
      <c r="B2992" s="19">
        <v>0</v>
      </c>
      <c r="C2992" s="19">
        <v>0</v>
      </c>
      <c r="D2992" s="19">
        <v>0</v>
      </c>
      <c r="E2992" s="19">
        <v>0</v>
      </c>
      <c r="F2992" s="19">
        <v>0</v>
      </c>
      <c r="G2992" s="19">
        <v>0</v>
      </c>
      <c r="H2992" s="19">
        <v>0</v>
      </c>
      <c r="I2992" s="15">
        <v>3500</v>
      </c>
      <c r="J2992" s="15">
        <v>0</v>
      </c>
      <c r="K2992" s="15">
        <v>0</v>
      </c>
      <c r="L2992" s="15">
        <v>0</v>
      </c>
      <c r="M2992" s="15">
        <v>0</v>
      </c>
      <c r="N2992" s="15" t="str">
        <v/>
      </c>
      <c r="O2992" s="15" t="str">
        <v/>
      </c>
      <c r="P2992" s="22">
        <v>0</v>
      </c>
      <c r="Q2992">
        <v>0</v>
      </c>
    </row>
    <row r="2993" spans="1:17">
      <c r="A2993" s="19">
        <v>0</v>
      </c>
      <c r="B2993" s="19">
        <v>0</v>
      </c>
      <c r="C2993" s="19">
        <v>0</v>
      </c>
      <c r="D2993" s="19">
        <v>0</v>
      </c>
      <c r="E2993" s="19">
        <v>0</v>
      </c>
      <c r="F2993" s="19">
        <v>0</v>
      </c>
      <c r="G2993" s="19">
        <v>0</v>
      </c>
      <c r="H2993" s="19">
        <v>0</v>
      </c>
      <c r="I2993" s="15">
        <v>3500</v>
      </c>
      <c r="J2993" s="15">
        <v>0</v>
      </c>
      <c r="K2993" s="15">
        <v>0</v>
      </c>
      <c r="L2993" s="15">
        <v>0</v>
      </c>
      <c r="M2993" s="15">
        <v>0</v>
      </c>
      <c r="N2993" s="15" t="str">
        <v/>
      </c>
      <c r="O2993" s="15" t="str">
        <v/>
      </c>
      <c r="P2993" s="22">
        <v>0</v>
      </c>
      <c r="Q2993">
        <v>0</v>
      </c>
    </row>
    <row r="2994" spans="1:17">
      <c r="A2994" s="19">
        <v>0</v>
      </c>
      <c r="B2994" s="19">
        <v>0</v>
      </c>
      <c r="C2994" s="19">
        <v>0</v>
      </c>
      <c r="D2994" s="19">
        <v>0</v>
      </c>
      <c r="E2994" s="19">
        <v>0</v>
      </c>
      <c r="F2994" s="19">
        <v>0</v>
      </c>
      <c r="G2994" s="19">
        <v>0</v>
      </c>
      <c r="H2994" s="19">
        <v>0</v>
      </c>
      <c r="I2994" s="15">
        <v>3500</v>
      </c>
      <c r="J2994" s="15">
        <v>0</v>
      </c>
      <c r="K2994" s="15">
        <v>0</v>
      </c>
      <c r="L2994" s="15">
        <v>0</v>
      </c>
      <c r="M2994" s="15">
        <v>0</v>
      </c>
      <c r="N2994" s="15" t="str">
        <v/>
      </c>
      <c r="O2994" s="15" t="str">
        <v/>
      </c>
      <c r="P2994" s="22">
        <v>0</v>
      </c>
      <c r="Q2994">
        <v>0</v>
      </c>
    </row>
    <row r="2995" spans="1:17">
      <c r="A2995" s="19">
        <v>0</v>
      </c>
      <c r="B2995" s="19">
        <v>0</v>
      </c>
      <c r="C2995" s="19">
        <v>0</v>
      </c>
      <c r="D2995" s="19">
        <v>0</v>
      </c>
      <c r="E2995" s="19">
        <v>0</v>
      </c>
      <c r="F2995" s="19">
        <v>0</v>
      </c>
      <c r="G2995" s="19">
        <v>0</v>
      </c>
      <c r="H2995" s="19">
        <v>0</v>
      </c>
      <c r="I2995" s="15">
        <v>3500</v>
      </c>
      <c r="J2995" s="15">
        <v>0</v>
      </c>
      <c r="K2995" s="15">
        <v>0</v>
      </c>
      <c r="L2995" s="15">
        <v>0</v>
      </c>
      <c r="M2995" s="15">
        <v>0</v>
      </c>
      <c r="N2995" s="15" t="str">
        <v/>
      </c>
      <c r="O2995" s="15" t="str">
        <v/>
      </c>
      <c r="P2995" s="22">
        <v>0</v>
      </c>
      <c r="Q2995">
        <v>0</v>
      </c>
    </row>
    <row r="2996" spans="1:17">
      <c r="A2996" s="19">
        <v>0</v>
      </c>
      <c r="B2996" s="19">
        <v>0</v>
      </c>
      <c r="C2996" s="19">
        <v>0</v>
      </c>
      <c r="D2996" s="19">
        <v>0</v>
      </c>
      <c r="E2996" s="19">
        <v>0</v>
      </c>
      <c r="F2996" s="19">
        <v>0</v>
      </c>
      <c r="G2996" s="19">
        <v>0</v>
      </c>
      <c r="H2996" s="19">
        <v>0</v>
      </c>
      <c r="I2996" s="15">
        <v>3500</v>
      </c>
      <c r="J2996" s="15">
        <v>0</v>
      </c>
      <c r="K2996" s="15">
        <v>0</v>
      </c>
      <c r="L2996" s="15">
        <v>0</v>
      </c>
      <c r="M2996" s="15">
        <v>0</v>
      </c>
      <c r="N2996" s="15" t="str">
        <v/>
      </c>
      <c r="O2996" s="15" t="str">
        <v/>
      </c>
      <c r="P2996" s="22">
        <v>0</v>
      </c>
      <c r="Q2996">
        <v>0</v>
      </c>
    </row>
    <row r="2997" spans="1:17">
      <c r="A2997" s="19">
        <v>0</v>
      </c>
      <c r="B2997" s="19">
        <v>0</v>
      </c>
      <c r="C2997" s="19">
        <v>0</v>
      </c>
      <c r="D2997" s="19">
        <v>0</v>
      </c>
      <c r="E2997" s="19">
        <v>0</v>
      </c>
      <c r="F2997" s="19">
        <v>0</v>
      </c>
      <c r="G2997" s="19">
        <v>0</v>
      </c>
      <c r="H2997" s="19">
        <v>0</v>
      </c>
      <c r="I2997" s="15">
        <v>3500</v>
      </c>
      <c r="J2997" s="15">
        <v>0</v>
      </c>
      <c r="K2997" s="15">
        <v>0</v>
      </c>
      <c r="L2997" s="15">
        <v>0</v>
      </c>
      <c r="M2997" s="15">
        <v>0</v>
      </c>
      <c r="N2997" s="15" t="str">
        <v/>
      </c>
      <c r="O2997" s="15" t="str">
        <v/>
      </c>
      <c r="P2997" s="22">
        <v>0</v>
      </c>
      <c r="Q2997">
        <v>0</v>
      </c>
    </row>
    <row r="2998" spans="1:17">
      <c r="A2998" s="19">
        <v>0</v>
      </c>
      <c r="B2998" s="19">
        <v>0</v>
      </c>
      <c r="C2998" s="19">
        <v>0</v>
      </c>
      <c r="D2998" s="19">
        <v>0</v>
      </c>
      <c r="E2998" s="19">
        <v>0</v>
      </c>
      <c r="F2998" s="19">
        <v>0</v>
      </c>
      <c r="G2998" s="19">
        <v>0</v>
      </c>
      <c r="H2998" s="19">
        <v>0</v>
      </c>
      <c r="I2998" s="15">
        <v>3500</v>
      </c>
      <c r="J2998" s="15">
        <v>0</v>
      </c>
      <c r="K2998" s="15">
        <v>0</v>
      </c>
      <c r="L2998" s="15">
        <v>0</v>
      </c>
      <c r="M2998" s="15">
        <v>0</v>
      </c>
      <c r="N2998" s="15" t="str">
        <v/>
      </c>
      <c r="O2998" s="15" t="str">
        <v/>
      </c>
      <c r="P2998" s="22">
        <v>0</v>
      </c>
      <c r="Q2998">
        <v>0</v>
      </c>
    </row>
    <row r="2999" spans="1:17">
      <c r="A2999" s="19">
        <v>0</v>
      </c>
      <c r="B2999" s="19">
        <v>0</v>
      </c>
      <c r="C2999" s="19">
        <v>0</v>
      </c>
      <c r="D2999" s="19">
        <v>0</v>
      </c>
      <c r="E2999" s="19">
        <v>0</v>
      </c>
      <c r="F2999" s="19">
        <v>0</v>
      </c>
      <c r="G2999" s="19">
        <v>0</v>
      </c>
      <c r="H2999" s="19">
        <v>0</v>
      </c>
      <c r="I2999" s="15">
        <v>3500</v>
      </c>
      <c r="J2999" s="15">
        <v>0</v>
      </c>
      <c r="K2999" s="15">
        <v>0</v>
      </c>
      <c r="L2999" s="15">
        <v>0</v>
      </c>
      <c r="M2999" s="15">
        <v>0</v>
      </c>
      <c r="N2999" s="15" t="str">
        <v/>
      </c>
      <c r="O2999" s="15" t="str">
        <v/>
      </c>
      <c r="P2999" s="22">
        <v>0</v>
      </c>
      <c r="Q2999">
        <v>0</v>
      </c>
    </row>
    <row r="3000" spans="1:17">
      <c r="A3000" s="19">
        <v>0</v>
      </c>
      <c r="B3000" s="19">
        <v>0</v>
      </c>
      <c r="C3000" s="19">
        <v>0</v>
      </c>
      <c r="D3000" s="19">
        <v>0</v>
      </c>
      <c r="E3000" s="19">
        <v>0</v>
      </c>
      <c r="F3000" s="19">
        <v>0</v>
      </c>
      <c r="G3000" s="19">
        <v>0</v>
      </c>
      <c r="H3000" s="19">
        <v>0</v>
      </c>
      <c r="I3000" s="15">
        <v>3500</v>
      </c>
      <c r="J3000" s="15">
        <v>0</v>
      </c>
      <c r="K3000" s="15">
        <v>0</v>
      </c>
      <c r="L3000" s="15">
        <v>0</v>
      </c>
      <c r="M3000" s="15">
        <v>0</v>
      </c>
      <c r="N3000" s="15" t="str">
        <v/>
      </c>
      <c r="O3000" s="15" t="str">
        <v/>
      </c>
      <c r="P3000" s="22">
        <v>0</v>
      </c>
      <c r="Q3000">
        <v>0</v>
      </c>
    </row>
    <row r="3001" spans="1:17">
      <c r="A3001" s="19">
        <v>0</v>
      </c>
      <c r="B3001" s="19">
        <v>0</v>
      </c>
      <c r="C3001" s="19">
        <v>0</v>
      </c>
      <c r="D3001" s="19">
        <v>0</v>
      </c>
      <c r="E3001" s="19">
        <v>0</v>
      </c>
      <c r="F3001" s="19">
        <v>0</v>
      </c>
      <c r="G3001" s="19">
        <v>0</v>
      </c>
      <c r="H3001" s="19">
        <v>0</v>
      </c>
      <c r="I3001" s="15">
        <v>3500</v>
      </c>
      <c r="J3001" s="15">
        <v>0</v>
      </c>
      <c r="K3001" s="15">
        <v>0</v>
      </c>
      <c r="L3001" s="15">
        <v>0</v>
      </c>
      <c r="M3001" s="15">
        <v>0</v>
      </c>
      <c r="N3001" s="15" t="str">
        <v/>
      </c>
      <c r="O3001" s="15" t="str">
        <v/>
      </c>
      <c r="P3001" s="22">
        <v>0</v>
      </c>
      <c r="Q3001">
        <v>0</v>
      </c>
    </row>
    <row r="3002" spans="1:17">
      <c r="A3002" s="19">
        <v>0</v>
      </c>
      <c r="B3002" s="19">
        <v>0</v>
      </c>
      <c r="C3002" s="19">
        <v>0</v>
      </c>
      <c r="D3002" s="19">
        <v>0</v>
      </c>
      <c r="E3002" s="19">
        <v>0</v>
      </c>
      <c r="F3002" s="19">
        <v>0</v>
      </c>
      <c r="G3002" s="19">
        <v>0</v>
      </c>
      <c r="H3002" s="19">
        <v>0</v>
      </c>
      <c r="I3002" s="15">
        <v>3500</v>
      </c>
      <c r="J3002" s="15">
        <v>0</v>
      </c>
      <c r="K3002" s="15">
        <v>0</v>
      </c>
      <c r="L3002" s="15">
        <v>0</v>
      </c>
      <c r="M3002" s="15">
        <v>0</v>
      </c>
      <c r="N3002" s="15" t="str">
        <v/>
      </c>
      <c r="O3002" s="15" t="str">
        <v/>
      </c>
      <c r="P3002" s="22">
        <v>0</v>
      </c>
      <c r="Q3002">
        <v>0</v>
      </c>
    </row>
    <row r="3003" spans="1:17">
      <c r="A3003" s="19">
        <v>0</v>
      </c>
      <c r="B3003" s="19">
        <v>0</v>
      </c>
      <c r="C3003" s="19">
        <v>0</v>
      </c>
      <c r="D3003" s="19">
        <v>0</v>
      </c>
      <c r="E3003" s="19">
        <v>0</v>
      </c>
      <c r="F3003" s="19">
        <v>0</v>
      </c>
      <c r="G3003" s="19">
        <v>0</v>
      </c>
      <c r="H3003" s="19">
        <v>0</v>
      </c>
      <c r="I3003" s="15">
        <v>3500</v>
      </c>
      <c r="J3003" s="15">
        <v>0</v>
      </c>
      <c r="K3003" s="15">
        <v>0</v>
      </c>
      <c r="L3003" s="15">
        <v>0</v>
      </c>
      <c r="M3003" s="15">
        <v>0</v>
      </c>
      <c r="N3003" s="15" t="str">
        <v/>
      </c>
      <c r="O3003" s="15" t="str">
        <v/>
      </c>
      <c r="P3003" s="22">
        <v>0</v>
      </c>
      <c r="Q3003">
        <v>0</v>
      </c>
    </row>
    <row r="3004" spans="1:17">
      <c r="A3004" s="19">
        <v>0</v>
      </c>
      <c r="B3004" s="19">
        <v>0</v>
      </c>
      <c r="C3004" s="19">
        <v>0</v>
      </c>
      <c r="D3004" s="19">
        <v>0</v>
      </c>
      <c r="E3004" s="19">
        <v>0</v>
      </c>
      <c r="F3004" s="19">
        <v>0</v>
      </c>
      <c r="G3004" s="19">
        <v>0</v>
      </c>
      <c r="H3004" s="19">
        <v>0</v>
      </c>
      <c r="I3004" s="15">
        <v>3500</v>
      </c>
      <c r="J3004" s="15">
        <v>0</v>
      </c>
      <c r="K3004" s="15">
        <v>0</v>
      </c>
      <c r="L3004" s="15">
        <v>0</v>
      </c>
      <c r="M3004" s="15">
        <v>0</v>
      </c>
      <c r="N3004" s="15" t="str">
        <v/>
      </c>
      <c r="O3004" s="15" t="str">
        <v/>
      </c>
      <c r="P3004" s="22">
        <v>0</v>
      </c>
      <c r="Q3004">
        <v>0</v>
      </c>
    </row>
    <row r="3005" spans="1:17">
      <c r="A3005" s="19">
        <v>0</v>
      </c>
      <c r="B3005" s="19">
        <v>0</v>
      </c>
      <c r="C3005" s="19">
        <v>0</v>
      </c>
      <c r="D3005" s="19">
        <v>0</v>
      </c>
      <c r="E3005" s="19">
        <v>0</v>
      </c>
      <c r="F3005" s="19">
        <v>0</v>
      </c>
      <c r="G3005" s="19">
        <v>0</v>
      </c>
      <c r="H3005" s="19">
        <v>0</v>
      </c>
      <c r="I3005" s="15">
        <v>3500</v>
      </c>
      <c r="J3005" s="15">
        <v>0</v>
      </c>
      <c r="K3005" s="15">
        <v>0</v>
      </c>
      <c r="L3005" s="15">
        <v>0</v>
      </c>
      <c r="M3005" s="15">
        <v>0</v>
      </c>
      <c r="N3005" s="15" t="str">
        <v/>
      </c>
      <c r="O3005" s="15" t="str">
        <v/>
      </c>
      <c r="P3005" s="22">
        <v>0</v>
      </c>
      <c r="Q3005">
        <v>0</v>
      </c>
    </row>
    <row r="3006" spans="1:17">
      <c r="A3006" s="19">
        <v>0</v>
      </c>
      <c r="B3006" s="19">
        <v>0</v>
      </c>
      <c r="C3006" s="19">
        <v>0</v>
      </c>
      <c r="D3006" s="19">
        <v>0</v>
      </c>
      <c r="E3006" s="19">
        <v>0</v>
      </c>
      <c r="F3006" s="19">
        <v>0</v>
      </c>
      <c r="G3006" s="19">
        <v>0</v>
      </c>
      <c r="H3006" s="19">
        <v>0</v>
      </c>
      <c r="I3006" s="15">
        <v>3500</v>
      </c>
      <c r="J3006" s="15">
        <v>0</v>
      </c>
      <c r="K3006" s="15">
        <v>0</v>
      </c>
      <c r="L3006" s="15">
        <v>0</v>
      </c>
      <c r="M3006" s="15">
        <v>0</v>
      </c>
      <c r="N3006" s="15" t="str">
        <v/>
      </c>
      <c r="O3006" s="15" t="str">
        <v/>
      </c>
      <c r="P3006" s="22">
        <v>0</v>
      </c>
      <c r="Q3006">
        <v>0</v>
      </c>
    </row>
    <row r="3007" spans="1:17">
      <c r="A3007" s="19">
        <v>0</v>
      </c>
      <c r="B3007" s="19">
        <v>0</v>
      </c>
      <c r="C3007" s="19">
        <v>0</v>
      </c>
      <c r="D3007" s="19">
        <v>0</v>
      </c>
      <c r="E3007" s="19">
        <v>0</v>
      </c>
      <c r="F3007" s="19">
        <v>0</v>
      </c>
      <c r="G3007" s="19">
        <v>0</v>
      </c>
      <c r="H3007" s="19">
        <v>0</v>
      </c>
      <c r="I3007" s="15">
        <v>3500</v>
      </c>
      <c r="J3007" s="15">
        <v>0</v>
      </c>
      <c r="K3007" s="15">
        <v>0</v>
      </c>
      <c r="L3007" s="15">
        <v>0</v>
      </c>
      <c r="M3007" s="15">
        <v>0</v>
      </c>
      <c r="N3007" s="15" t="str">
        <v/>
      </c>
      <c r="O3007" s="15" t="str">
        <v/>
      </c>
      <c r="P3007" s="22">
        <v>0</v>
      </c>
      <c r="Q3007">
        <v>0</v>
      </c>
    </row>
    <row r="3008" spans="1:17">
      <c r="A3008" s="19">
        <v>0</v>
      </c>
      <c r="B3008" s="19">
        <v>0</v>
      </c>
      <c r="C3008" s="19">
        <v>0</v>
      </c>
      <c r="D3008" s="19">
        <v>0</v>
      </c>
      <c r="E3008" s="19">
        <v>0</v>
      </c>
      <c r="F3008" s="19">
        <v>0</v>
      </c>
      <c r="G3008" s="19">
        <v>0</v>
      </c>
      <c r="H3008" s="19">
        <v>0</v>
      </c>
      <c r="I3008" s="15">
        <v>3500</v>
      </c>
      <c r="J3008" s="15">
        <v>0</v>
      </c>
      <c r="K3008" s="15">
        <v>0</v>
      </c>
      <c r="L3008" s="15">
        <v>0</v>
      </c>
      <c r="M3008" s="15">
        <v>0</v>
      </c>
      <c r="N3008" s="15" t="str">
        <v/>
      </c>
      <c r="O3008" s="15" t="str">
        <v/>
      </c>
      <c r="P3008" s="22">
        <v>0</v>
      </c>
      <c r="Q3008">
        <v>0</v>
      </c>
    </row>
    <row r="3009" spans="1:17">
      <c r="A3009" s="19">
        <v>0</v>
      </c>
      <c r="B3009" s="19">
        <v>0</v>
      </c>
      <c r="C3009" s="19">
        <v>0</v>
      </c>
      <c r="D3009" s="19">
        <v>0</v>
      </c>
      <c r="E3009" s="19">
        <v>0</v>
      </c>
      <c r="F3009" s="19">
        <v>0</v>
      </c>
      <c r="G3009" s="19">
        <v>0</v>
      </c>
      <c r="H3009" s="19">
        <v>0</v>
      </c>
      <c r="I3009" s="15">
        <v>3500</v>
      </c>
      <c r="J3009" s="15">
        <v>0</v>
      </c>
      <c r="K3009" s="15">
        <v>0</v>
      </c>
      <c r="L3009" s="15">
        <v>0</v>
      </c>
      <c r="M3009" s="15">
        <v>0</v>
      </c>
      <c r="N3009" s="15" t="str">
        <v/>
      </c>
      <c r="O3009" s="15" t="str">
        <v/>
      </c>
      <c r="P3009" s="22">
        <v>0</v>
      </c>
      <c r="Q3009">
        <v>0</v>
      </c>
    </row>
    <row r="3010" spans="1:17">
      <c r="A3010" s="19">
        <v>0</v>
      </c>
      <c r="B3010" s="19">
        <v>0</v>
      </c>
      <c r="C3010" s="19">
        <v>0</v>
      </c>
      <c r="D3010" s="19">
        <v>0</v>
      </c>
      <c r="E3010" s="19">
        <v>0</v>
      </c>
      <c r="F3010" s="19">
        <v>0</v>
      </c>
      <c r="G3010" s="19">
        <v>0</v>
      </c>
      <c r="H3010" s="19">
        <v>0</v>
      </c>
      <c r="I3010" s="15">
        <v>3500</v>
      </c>
      <c r="J3010" s="15">
        <v>0</v>
      </c>
      <c r="K3010" s="15">
        <v>0</v>
      </c>
      <c r="L3010" s="15">
        <v>0</v>
      </c>
      <c r="M3010" s="15">
        <v>0</v>
      </c>
      <c r="N3010" s="15" t="str">
        <v/>
      </c>
      <c r="O3010" s="15" t="str">
        <v/>
      </c>
      <c r="P3010" s="22">
        <v>0</v>
      </c>
      <c r="Q3010">
        <v>0</v>
      </c>
    </row>
    <row r="3011" spans="1:17">
      <c r="A3011" s="19">
        <v>0</v>
      </c>
      <c r="B3011" s="19">
        <v>0</v>
      </c>
      <c r="C3011" s="19">
        <v>0</v>
      </c>
      <c r="D3011" s="19">
        <v>0</v>
      </c>
      <c r="E3011" s="19">
        <v>0</v>
      </c>
      <c r="F3011" s="19">
        <v>0</v>
      </c>
      <c r="G3011" s="19">
        <v>0</v>
      </c>
      <c r="H3011" s="19">
        <v>0</v>
      </c>
      <c r="I3011" s="15">
        <v>3500</v>
      </c>
      <c r="J3011" s="15">
        <v>0</v>
      </c>
      <c r="K3011" s="15">
        <v>0</v>
      </c>
      <c r="L3011" s="15">
        <v>0</v>
      </c>
      <c r="M3011" s="15">
        <v>0</v>
      </c>
      <c r="N3011" s="15" t="str">
        <v/>
      </c>
      <c r="O3011" s="15" t="str">
        <v/>
      </c>
      <c r="P3011" s="22">
        <v>0</v>
      </c>
      <c r="Q3011">
        <v>0</v>
      </c>
    </row>
    <row r="3012" spans="1:17">
      <c r="A3012" s="19">
        <v>0</v>
      </c>
      <c r="B3012" s="19">
        <v>0</v>
      </c>
      <c r="C3012" s="19">
        <v>0</v>
      </c>
      <c r="D3012" s="19">
        <v>0</v>
      </c>
      <c r="E3012" s="19">
        <v>0</v>
      </c>
      <c r="F3012" s="19">
        <v>0</v>
      </c>
      <c r="G3012" s="19">
        <v>0</v>
      </c>
      <c r="H3012" s="19">
        <v>0</v>
      </c>
      <c r="I3012" s="15">
        <v>3500</v>
      </c>
      <c r="J3012" s="15">
        <v>0</v>
      </c>
      <c r="K3012" s="15">
        <v>0</v>
      </c>
      <c r="L3012" s="15">
        <v>0</v>
      </c>
      <c r="M3012" s="15">
        <v>0</v>
      </c>
      <c r="N3012" s="15" t="str">
        <v/>
      </c>
      <c r="O3012" s="15" t="str">
        <v/>
      </c>
      <c r="P3012" s="22">
        <v>0</v>
      </c>
      <c r="Q3012">
        <v>0</v>
      </c>
    </row>
    <row r="3013" spans="1:17">
      <c r="A3013" s="19">
        <v>0</v>
      </c>
      <c r="B3013" s="19">
        <v>0</v>
      </c>
      <c r="C3013" s="19">
        <v>0</v>
      </c>
      <c r="D3013" s="19">
        <v>0</v>
      </c>
      <c r="E3013" s="19">
        <v>0</v>
      </c>
      <c r="F3013" s="19">
        <v>0</v>
      </c>
      <c r="G3013" s="19">
        <v>0</v>
      </c>
      <c r="H3013" s="19">
        <v>0</v>
      </c>
      <c r="I3013" s="15">
        <v>3500</v>
      </c>
      <c r="J3013" s="15">
        <v>0</v>
      </c>
      <c r="K3013" s="15">
        <v>0</v>
      </c>
      <c r="L3013" s="15">
        <v>0</v>
      </c>
      <c r="M3013" s="15">
        <v>0</v>
      </c>
      <c r="N3013" s="15" t="str">
        <v/>
      </c>
      <c r="O3013" s="15" t="str">
        <v/>
      </c>
      <c r="P3013" s="22">
        <v>0</v>
      </c>
      <c r="Q3013">
        <v>0</v>
      </c>
    </row>
    <row r="3014" spans="1:17">
      <c r="A3014" s="19">
        <v>0</v>
      </c>
      <c r="B3014" s="19">
        <v>0</v>
      </c>
      <c r="C3014" s="19">
        <v>0</v>
      </c>
      <c r="D3014" s="19">
        <v>0</v>
      </c>
      <c r="E3014" s="19">
        <v>0</v>
      </c>
      <c r="F3014" s="19">
        <v>0</v>
      </c>
      <c r="G3014" s="19">
        <v>0</v>
      </c>
      <c r="H3014" s="19">
        <v>0</v>
      </c>
      <c r="I3014" s="15">
        <v>3500</v>
      </c>
      <c r="J3014" s="15">
        <v>0</v>
      </c>
      <c r="K3014" s="15">
        <v>0</v>
      </c>
      <c r="L3014" s="15">
        <v>0</v>
      </c>
      <c r="M3014" s="15">
        <v>0</v>
      </c>
      <c r="N3014" s="15" t="str">
        <v/>
      </c>
      <c r="O3014" s="15" t="str">
        <v/>
      </c>
      <c r="P3014" s="22">
        <v>0</v>
      </c>
      <c r="Q3014">
        <v>0</v>
      </c>
    </row>
    <row r="3015" spans="1:17">
      <c r="A3015" s="19">
        <v>0</v>
      </c>
      <c r="B3015" s="19">
        <v>0</v>
      </c>
      <c r="C3015" s="19">
        <v>0</v>
      </c>
      <c r="D3015" s="19">
        <v>0</v>
      </c>
      <c r="E3015" s="19">
        <v>0</v>
      </c>
      <c r="F3015" s="19">
        <v>0</v>
      </c>
      <c r="G3015" s="19">
        <v>0</v>
      </c>
      <c r="H3015" s="19">
        <v>0</v>
      </c>
      <c r="I3015" s="15">
        <v>3500</v>
      </c>
      <c r="J3015" s="15">
        <v>0</v>
      </c>
      <c r="K3015" s="15">
        <v>0</v>
      </c>
      <c r="L3015" s="15">
        <v>0</v>
      </c>
      <c r="M3015" s="15">
        <v>0</v>
      </c>
      <c r="N3015" s="15" t="str">
        <v/>
      </c>
      <c r="O3015" s="15" t="str">
        <v/>
      </c>
      <c r="P3015" s="22">
        <v>0</v>
      </c>
      <c r="Q3015">
        <v>0</v>
      </c>
    </row>
    <row r="3016" spans="1:17">
      <c r="A3016" s="19">
        <v>0</v>
      </c>
      <c r="B3016" s="19">
        <v>0</v>
      </c>
      <c r="C3016" s="19">
        <v>0</v>
      </c>
      <c r="D3016" s="19">
        <v>0</v>
      </c>
      <c r="E3016" s="19">
        <v>0</v>
      </c>
      <c r="F3016" s="19">
        <v>0</v>
      </c>
      <c r="G3016" s="19">
        <v>0</v>
      </c>
      <c r="H3016" s="19">
        <v>0</v>
      </c>
      <c r="I3016" s="15">
        <v>3500</v>
      </c>
      <c r="J3016" s="15">
        <v>0</v>
      </c>
      <c r="K3016" s="15">
        <v>0</v>
      </c>
      <c r="L3016" s="15">
        <v>0</v>
      </c>
      <c r="M3016" s="15">
        <v>0</v>
      </c>
      <c r="N3016" s="15" t="str">
        <v/>
      </c>
      <c r="O3016" s="15" t="str">
        <v/>
      </c>
      <c r="P3016" s="22">
        <v>0</v>
      </c>
      <c r="Q3016">
        <v>0</v>
      </c>
    </row>
    <row r="3017" spans="1:17">
      <c r="A3017" s="19">
        <v>0</v>
      </c>
      <c r="B3017" s="19">
        <v>0</v>
      </c>
      <c r="C3017" s="19">
        <v>0</v>
      </c>
      <c r="D3017" s="19">
        <v>0</v>
      </c>
      <c r="E3017" s="19">
        <v>0</v>
      </c>
      <c r="F3017" s="19">
        <v>0</v>
      </c>
      <c r="G3017" s="19">
        <v>0</v>
      </c>
      <c r="H3017" s="19">
        <v>0</v>
      </c>
      <c r="I3017" s="15">
        <v>3500</v>
      </c>
      <c r="J3017" s="15">
        <v>0</v>
      </c>
      <c r="K3017" s="15">
        <v>0</v>
      </c>
      <c r="L3017" s="15">
        <v>0</v>
      </c>
      <c r="M3017" s="15">
        <v>0</v>
      </c>
      <c r="N3017" s="15" t="str">
        <v/>
      </c>
      <c r="O3017" s="15" t="str">
        <v/>
      </c>
      <c r="P3017" s="22">
        <v>0</v>
      </c>
      <c r="Q3017">
        <v>0</v>
      </c>
    </row>
    <row r="3018" spans="1:17">
      <c r="A3018" s="19">
        <v>0</v>
      </c>
      <c r="B3018" s="19">
        <v>0</v>
      </c>
      <c r="C3018" s="19">
        <v>0</v>
      </c>
      <c r="D3018" s="19">
        <v>0</v>
      </c>
      <c r="E3018" s="19">
        <v>0</v>
      </c>
      <c r="F3018" s="19">
        <v>0</v>
      </c>
      <c r="G3018" s="19">
        <v>0</v>
      </c>
      <c r="H3018" s="19">
        <v>0</v>
      </c>
      <c r="I3018" s="15">
        <v>3500</v>
      </c>
      <c r="J3018" s="15">
        <v>0</v>
      </c>
      <c r="K3018" s="15">
        <v>0</v>
      </c>
      <c r="L3018" s="15">
        <v>0</v>
      </c>
      <c r="M3018" s="15">
        <v>0</v>
      </c>
      <c r="N3018" s="15" t="str">
        <v/>
      </c>
      <c r="O3018" s="15" t="str">
        <v/>
      </c>
      <c r="P3018" s="22">
        <v>0</v>
      </c>
      <c r="Q3018">
        <v>0</v>
      </c>
    </row>
    <row r="3019" spans="1:17">
      <c r="A3019" s="19">
        <v>0</v>
      </c>
      <c r="B3019" s="19">
        <v>0</v>
      </c>
      <c r="C3019" s="19">
        <v>0</v>
      </c>
      <c r="D3019" s="19">
        <v>0</v>
      </c>
      <c r="E3019" s="19">
        <v>0</v>
      </c>
      <c r="F3019" s="19">
        <v>0</v>
      </c>
      <c r="G3019" s="19">
        <v>0</v>
      </c>
      <c r="H3019" s="19">
        <v>0</v>
      </c>
      <c r="I3019" s="15">
        <v>3500</v>
      </c>
      <c r="J3019" s="15">
        <v>0</v>
      </c>
      <c r="K3019" s="15">
        <v>0</v>
      </c>
      <c r="L3019" s="15">
        <v>0</v>
      </c>
      <c r="M3019" s="15">
        <v>0</v>
      </c>
      <c r="N3019" s="15" t="str">
        <v/>
      </c>
      <c r="O3019" s="15" t="str">
        <v/>
      </c>
      <c r="P3019" s="22">
        <v>0</v>
      </c>
      <c r="Q3019">
        <v>0</v>
      </c>
    </row>
    <row r="3020" spans="1:17">
      <c r="A3020" s="19">
        <v>0</v>
      </c>
      <c r="B3020" s="19">
        <v>0</v>
      </c>
      <c r="C3020" s="19">
        <v>0</v>
      </c>
      <c r="D3020" s="19">
        <v>0</v>
      </c>
      <c r="E3020" s="19">
        <v>0</v>
      </c>
      <c r="F3020" s="19">
        <v>0</v>
      </c>
      <c r="G3020" s="19">
        <v>0</v>
      </c>
      <c r="H3020" s="19">
        <v>0</v>
      </c>
      <c r="I3020" s="15">
        <v>3500</v>
      </c>
      <c r="J3020" s="15">
        <v>0</v>
      </c>
      <c r="K3020" s="15">
        <v>0</v>
      </c>
      <c r="L3020" s="15">
        <v>0</v>
      </c>
      <c r="M3020" s="15">
        <v>0</v>
      </c>
      <c r="N3020" s="15" t="str">
        <v/>
      </c>
      <c r="O3020" s="15" t="str">
        <v/>
      </c>
      <c r="P3020" s="22">
        <v>0</v>
      </c>
      <c r="Q3020">
        <v>0</v>
      </c>
    </row>
    <row r="3021" spans="1:17">
      <c r="A3021" s="19">
        <v>0</v>
      </c>
      <c r="B3021" s="19">
        <v>0</v>
      </c>
      <c r="C3021" s="19">
        <v>0</v>
      </c>
      <c r="D3021" s="19">
        <v>0</v>
      </c>
      <c r="E3021" s="19">
        <v>0</v>
      </c>
      <c r="F3021" s="19">
        <v>0</v>
      </c>
      <c r="G3021" s="19">
        <v>0</v>
      </c>
      <c r="H3021" s="19">
        <v>0</v>
      </c>
      <c r="I3021" s="15">
        <v>3500</v>
      </c>
      <c r="J3021" s="15">
        <v>0</v>
      </c>
      <c r="K3021" s="15">
        <v>0</v>
      </c>
      <c r="L3021" s="15">
        <v>0</v>
      </c>
      <c r="M3021" s="15">
        <v>0</v>
      </c>
      <c r="N3021" s="15" t="str">
        <v/>
      </c>
      <c r="O3021" s="15" t="str">
        <v/>
      </c>
      <c r="P3021" s="22">
        <v>0</v>
      </c>
      <c r="Q3021">
        <v>0</v>
      </c>
    </row>
    <row r="3022" spans="1:17">
      <c r="A3022" s="19">
        <v>0</v>
      </c>
      <c r="B3022" s="19">
        <v>0</v>
      </c>
      <c r="C3022" s="19">
        <v>0</v>
      </c>
      <c r="D3022" s="19">
        <v>0</v>
      </c>
      <c r="E3022" s="19">
        <v>0</v>
      </c>
      <c r="F3022" s="19">
        <v>0</v>
      </c>
      <c r="G3022" s="19">
        <v>0</v>
      </c>
      <c r="H3022" s="19">
        <v>0</v>
      </c>
      <c r="I3022" s="15">
        <v>3500</v>
      </c>
      <c r="J3022" s="15">
        <v>0</v>
      </c>
      <c r="K3022" s="15">
        <v>0</v>
      </c>
      <c r="L3022" s="15">
        <v>0</v>
      </c>
      <c r="M3022" s="15">
        <v>0</v>
      </c>
      <c r="N3022" s="15" t="str">
        <v/>
      </c>
      <c r="O3022" s="15" t="str">
        <v/>
      </c>
      <c r="P3022" s="22">
        <v>0</v>
      </c>
      <c r="Q3022">
        <v>0</v>
      </c>
    </row>
    <row r="3023" spans="1:17">
      <c r="A3023" s="19">
        <v>0</v>
      </c>
      <c r="B3023" s="19">
        <v>0</v>
      </c>
      <c r="C3023" s="19">
        <v>0</v>
      </c>
      <c r="D3023" s="19">
        <v>0</v>
      </c>
      <c r="E3023" s="19">
        <v>0</v>
      </c>
      <c r="F3023" s="19">
        <v>0</v>
      </c>
      <c r="G3023" s="19">
        <v>0</v>
      </c>
      <c r="H3023" s="19">
        <v>0</v>
      </c>
      <c r="I3023" s="15">
        <v>3500</v>
      </c>
      <c r="J3023" s="15">
        <v>0</v>
      </c>
      <c r="K3023" s="15">
        <v>0</v>
      </c>
      <c r="L3023" s="15">
        <v>0</v>
      </c>
      <c r="M3023" s="15">
        <v>0</v>
      </c>
      <c r="N3023" s="15" t="str">
        <v/>
      </c>
      <c r="O3023" s="15" t="str">
        <v/>
      </c>
      <c r="P3023" s="22">
        <v>0</v>
      </c>
      <c r="Q3023">
        <v>0</v>
      </c>
    </row>
    <row r="3024" spans="1:17">
      <c r="A3024" s="19">
        <v>0</v>
      </c>
      <c r="B3024" s="19">
        <v>0</v>
      </c>
      <c r="C3024" s="19">
        <v>0</v>
      </c>
      <c r="D3024" s="19">
        <v>0</v>
      </c>
      <c r="E3024" s="19">
        <v>0</v>
      </c>
      <c r="F3024" s="19">
        <v>0</v>
      </c>
      <c r="G3024" s="19">
        <v>0</v>
      </c>
      <c r="H3024" s="19">
        <v>0</v>
      </c>
      <c r="I3024" s="15">
        <v>3500</v>
      </c>
      <c r="J3024" s="15">
        <v>0</v>
      </c>
      <c r="K3024" s="15">
        <v>0</v>
      </c>
      <c r="L3024" s="15">
        <v>0</v>
      </c>
      <c r="M3024" s="15">
        <v>0</v>
      </c>
      <c r="N3024" s="15" t="str">
        <v/>
      </c>
      <c r="O3024" s="15" t="str">
        <v/>
      </c>
      <c r="P3024" s="22">
        <v>0</v>
      </c>
      <c r="Q3024">
        <v>0</v>
      </c>
    </row>
    <row r="3025" spans="1:17">
      <c r="A3025" s="19">
        <v>0</v>
      </c>
      <c r="B3025" s="19">
        <v>0</v>
      </c>
      <c r="C3025" s="19">
        <v>0</v>
      </c>
      <c r="D3025" s="19">
        <v>0</v>
      </c>
      <c r="E3025" s="19">
        <v>0</v>
      </c>
      <c r="F3025" s="19">
        <v>0</v>
      </c>
      <c r="G3025" s="19">
        <v>0</v>
      </c>
      <c r="H3025" s="19">
        <v>0</v>
      </c>
      <c r="I3025" s="15">
        <v>3500</v>
      </c>
      <c r="J3025" s="15">
        <v>0</v>
      </c>
      <c r="K3025" s="15">
        <v>0</v>
      </c>
      <c r="L3025" s="15">
        <v>0</v>
      </c>
      <c r="M3025" s="15">
        <v>0</v>
      </c>
      <c r="N3025" s="15" t="str">
        <v/>
      </c>
      <c r="O3025" s="15" t="str">
        <v/>
      </c>
      <c r="P3025" s="22">
        <v>0</v>
      </c>
      <c r="Q3025">
        <v>0</v>
      </c>
    </row>
    <row r="3026" spans="1:17">
      <c r="A3026" s="19">
        <v>0</v>
      </c>
      <c r="B3026" s="19">
        <v>0</v>
      </c>
      <c r="C3026" s="19">
        <v>0</v>
      </c>
      <c r="D3026" s="19">
        <v>0</v>
      </c>
      <c r="E3026" s="19">
        <v>0</v>
      </c>
      <c r="F3026" s="19">
        <v>0</v>
      </c>
      <c r="G3026" s="19">
        <v>0</v>
      </c>
      <c r="H3026" s="19">
        <v>0</v>
      </c>
      <c r="I3026" s="15">
        <v>3500</v>
      </c>
      <c r="J3026" s="15">
        <v>0</v>
      </c>
      <c r="K3026" s="15">
        <v>0</v>
      </c>
      <c r="L3026" s="15">
        <v>0</v>
      </c>
      <c r="M3026" s="15">
        <v>0</v>
      </c>
      <c r="N3026" s="15" t="str">
        <v/>
      </c>
      <c r="O3026" s="15" t="str">
        <v/>
      </c>
      <c r="P3026" s="22">
        <v>0</v>
      </c>
      <c r="Q3026">
        <v>0</v>
      </c>
    </row>
    <row r="3027" spans="1:17">
      <c r="A3027" s="19">
        <v>0</v>
      </c>
      <c r="B3027" s="19">
        <v>0</v>
      </c>
      <c r="C3027" s="19">
        <v>0</v>
      </c>
      <c r="D3027" s="19">
        <v>0</v>
      </c>
      <c r="E3027" s="19">
        <v>0</v>
      </c>
      <c r="F3027" s="19">
        <v>0</v>
      </c>
      <c r="G3027" s="19">
        <v>0</v>
      </c>
      <c r="H3027" s="19">
        <v>0</v>
      </c>
      <c r="I3027" s="15">
        <v>3500</v>
      </c>
      <c r="J3027" s="15">
        <v>0</v>
      </c>
      <c r="K3027" s="15">
        <v>0</v>
      </c>
      <c r="L3027" s="15">
        <v>0</v>
      </c>
      <c r="M3027" s="15">
        <v>0</v>
      </c>
      <c r="N3027" s="15" t="str">
        <v/>
      </c>
      <c r="O3027" s="15" t="str">
        <v/>
      </c>
      <c r="P3027" s="22">
        <v>0</v>
      </c>
      <c r="Q3027">
        <v>0</v>
      </c>
    </row>
    <row r="3028" spans="1:17">
      <c r="A3028" s="19">
        <v>0</v>
      </c>
      <c r="B3028" s="19">
        <v>0</v>
      </c>
      <c r="C3028" s="19">
        <v>0</v>
      </c>
      <c r="D3028" s="19">
        <v>0</v>
      </c>
      <c r="E3028" s="19">
        <v>0</v>
      </c>
      <c r="F3028" s="19">
        <v>0</v>
      </c>
      <c r="G3028" s="19">
        <v>0</v>
      </c>
      <c r="H3028" s="19">
        <v>0</v>
      </c>
      <c r="I3028" s="15">
        <v>3500</v>
      </c>
      <c r="J3028" s="15">
        <v>0</v>
      </c>
      <c r="K3028" s="15">
        <v>0</v>
      </c>
      <c r="L3028" s="15">
        <v>0</v>
      </c>
      <c r="M3028" s="15">
        <v>0</v>
      </c>
      <c r="N3028" s="15" t="str">
        <v/>
      </c>
      <c r="O3028" s="15" t="str">
        <v/>
      </c>
      <c r="P3028" s="22">
        <v>0</v>
      </c>
      <c r="Q3028">
        <v>0</v>
      </c>
    </row>
    <row r="3029" spans="1:17">
      <c r="A3029" s="19">
        <v>0</v>
      </c>
      <c r="B3029" s="19">
        <v>0</v>
      </c>
      <c r="C3029" s="19">
        <v>0</v>
      </c>
      <c r="D3029" s="19">
        <v>0</v>
      </c>
      <c r="E3029" s="19">
        <v>0</v>
      </c>
      <c r="F3029" s="19">
        <v>0</v>
      </c>
      <c r="G3029" s="19">
        <v>0</v>
      </c>
      <c r="H3029" s="19">
        <v>0</v>
      </c>
      <c r="I3029" s="15">
        <v>3500</v>
      </c>
      <c r="J3029" s="15">
        <v>0</v>
      </c>
      <c r="K3029" s="15">
        <v>0</v>
      </c>
      <c r="L3029" s="15">
        <v>0</v>
      </c>
      <c r="M3029" s="15">
        <v>0</v>
      </c>
      <c r="N3029" s="15" t="str">
        <v/>
      </c>
      <c r="O3029" s="15" t="str">
        <v/>
      </c>
      <c r="P3029" s="22">
        <v>0</v>
      </c>
      <c r="Q3029">
        <v>0</v>
      </c>
    </row>
    <row r="3030" spans="1:17">
      <c r="A3030" s="19">
        <v>0</v>
      </c>
      <c r="B3030" s="19">
        <v>0</v>
      </c>
      <c r="C3030" s="19">
        <v>0</v>
      </c>
      <c r="D3030" s="19">
        <v>0</v>
      </c>
      <c r="E3030" s="19">
        <v>0</v>
      </c>
      <c r="F3030" s="19">
        <v>0</v>
      </c>
      <c r="G3030" s="19">
        <v>0</v>
      </c>
      <c r="H3030" s="19">
        <v>0</v>
      </c>
      <c r="I3030" s="15">
        <v>3500</v>
      </c>
      <c r="J3030" s="15">
        <v>0</v>
      </c>
      <c r="K3030" s="15">
        <v>0</v>
      </c>
      <c r="L3030" s="15">
        <v>0</v>
      </c>
      <c r="M3030" s="15">
        <v>0</v>
      </c>
      <c r="N3030" s="15" t="str">
        <v/>
      </c>
      <c r="O3030" s="15" t="str">
        <v/>
      </c>
      <c r="P3030" s="22">
        <v>0</v>
      </c>
      <c r="Q3030">
        <v>0</v>
      </c>
    </row>
    <row r="3031" spans="1:17">
      <c r="A3031" s="19">
        <v>0</v>
      </c>
      <c r="B3031" s="19">
        <v>0</v>
      </c>
      <c r="C3031" s="19">
        <v>0</v>
      </c>
      <c r="D3031" s="19">
        <v>0</v>
      </c>
      <c r="E3031" s="19">
        <v>0</v>
      </c>
      <c r="F3031" s="19">
        <v>0</v>
      </c>
      <c r="G3031" s="19">
        <v>0</v>
      </c>
      <c r="H3031" s="19">
        <v>0</v>
      </c>
      <c r="I3031" s="15">
        <v>3500</v>
      </c>
      <c r="J3031" s="15">
        <v>0</v>
      </c>
      <c r="K3031" s="15">
        <v>0</v>
      </c>
      <c r="L3031" s="15">
        <v>0</v>
      </c>
      <c r="M3031" s="15">
        <v>0</v>
      </c>
      <c r="N3031" s="15" t="str">
        <v/>
      </c>
      <c r="O3031" s="15" t="str">
        <v/>
      </c>
      <c r="P3031" s="22">
        <v>0</v>
      </c>
      <c r="Q3031">
        <v>0</v>
      </c>
    </row>
    <row r="3032" spans="1:17">
      <c r="A3032" s="19">
        <v>0</v>
      </c>
      <c r="B3032" s="19">
        <v>0</v>
      </c>
      <c r="C3032" s="19">
        <v>0</v>
      </c>
      <c r="D3032" s="19">
        <v>0</v>
      </c>
      <c r="E3032" s="19">
        <v>0</v>
      </c>
      <c r="F3032" s="19">
        <v>0</v>
      </c>
      <c r="G3032" s="19">
        <v>0</v>
      </c>
      <c r="H3032" s="19">
        <v>0</v>
      </c>
      <c r="I3032" s="15">
        <v>3500</v>
      </c>
      <c r="J3032" s="15">
        <v>0</v>
      </c>
      <c r="K3032" s="15">
        <v>0</v>
      </c>
      <c r="L3032" s="15">
        <v>0</v>
      </c>
      <c r="M3032" s="15">
        <v>0</v>
      </c>
      <c r="N3032" s="15" t="str">
        <v/>
      </c>
      <c r="O3032" s="15" t="str">
        <v/>
      </c>
      <c r="P3032" s="22">
        <v>0</v>
      </c>
      <c r="Q3032">
        <v>0</v>
      </c>
    </row>
    <row r="3033" spans="1:17">
      <c r="A3033" s="19">
        <v>0</v>
      </c>
      <c r="B3033" s="19">
        <v>0</v>
      </c>
      <c r="C3033" s="19">
        <v>0</v>
      </c>
      <c r="D3033" s="19">
        <v>0</v>
      </c>
      <c r="E3033" s="19">
        <v>0</v>
      </c>
      <c r="F3033" s="19">
        <v>0</v>
      </c>
      <c r="G3033" s="19">
        <v>0</v>
      </c>
      <c r="H3033" s="19">
        <v>0</v>
      </c>
      <c r="I3033" s="15">
        <v>3500</v>
      </c>
      <c r="J3033" s="15">
        <v>0</v>
      </c>
      <c r="K3033" s="15">
        <v>0</v>
      </c>
      <c r="L3033" s="15">
        <v>0</v>
      </c>
      <c r="M3033" s="15">
        <v>0</v>
      </c>
      <c r="N3033" s="15" t="str">
        <v/>
      </c>
      <c r="O3033" s="15" t="str">
        <v/>
      </c>
      <c r="P3033" s="22">
        <v>0</v>
      </c>
      <c r="Q3033">
        <v>0</v>
      </c>
    </row>
    <row r="3034" spans="1:17">
      <c r="A3034" s="19">
        <v>0</v>
      </c>
      <c r="B3034" s="19">
        <v>0</v>
      </c>
      <c r="C3034" s="19">
        <v>0</v>
      </c>
      <c r="D3034" s="19">
        <v>0</v>
      </c>
      <c r="E3034" s="19">
        <v>0</v>
      </c>
      <c r="F3034" s="19">
        <v>0</v>
      </c>
      <c r="G3034" s="19">
        <v>0</v>
      </c>
      <c r="H3034" s="19">
        <v>0</v>
      </c>
      <c r="I3034" s="15">
        <v>3500</v>
      </c>
      <c r="J3034" s="15">
        <v>0</v>
      </c>
      <c r="K3034" s="15">
        <v>0</v>
      </c>
      <c r="L3034" s="15">
        <v>0</v>
      </c>
      <c r="M3034" s="15">
        <v>0</v>
      </c>
      <c r="N3034" s="15" t="str">
        <v/>
      </c>
      <c r="O3034" s="15" t="str">
        <v/>
      </c>
      <c r="P3034" s="22">
        <v>0</v>
      </c>
      <c r="Q3034">
        <v>0</v>
      </c>
    </row>
    <row r="3035" spans="1:17">
      <c r="A3035" s="19">
        <v>0</v>
      </c>
      <c r="B3035" s="19">
        <v>0</v>
      </c>
      <c r="C3035" s="19">
        <v>0</v>
      </c>
      <c r="D3035" s="19">
        <v>0</v>
      </c>
      <c r="E3035" s="19">
        <v>0</v>
      </c>
      <c r="F3035" s="19">
        <v>0</v>
      </c>
      <c r="G3035" s="19">
        <v>0</v>
      </c>
      <c r="H3035" s="19">
        <v>0</v>
      </c>
      <c r="I3035" s="15">
        <v>3500</v>
      </c>
      <c r="J3035" s="15">
        <v>0</v>
      </c>
      <c r="K3035" s="15">
        <v>0</v>
      </c>
      <c r="L3035" s="15">
        <v>0</v>
      </c>
      <c r="M3035" s="15">
        <v>0</v>
      </c>
      <c r="N3035" s="15" t="str">
        <v/>
      </c>
      <c r="O3035" s="15" t="str">
        <v/>
      </c>
      <c r="P3035" s="22">
        <v>0</v>
      </c>
      <c r="Q3035">
        <v>0</v>
      </c>
    </row>
    <row r="3036" spans="1:17">
      <c r="A3036" s="19">
        <v>0</v>
      </c>
      <c r="B3036" s="19">
        <v>0</v>
      </c>
      <c r="C3036" s="19">
        <v>0</v>
      </c>
      <c r="D3036" s="19">
        <v>0</v>
      </c>
      <c r="E3036" s="19">
        <v>0</v>
      </c>
      <c r="F3036" s="19">
        <v>0</v>
      </c>
      <c r="G3036" s="19">
        <v>0</v>
      </c>
      <c r="H3036" s="19">
        <v>0</v>
      </c>
      <c r="I3036" s="15">
        <v>3500</v>
      </c>
      <c r="J3036" s="15">
        <v>0</v>
      </c>
      <c r="K3036" s="15">
        <v>0</v>
      </c>
      <c r="L3036" s="15">
        <v>0</v>
      </c>
      <c r="M3036" s="15">
        <v>0</v>
      </c>
      <c r="N3036" s="15" t="str">
        <v/>
      </c>
      <c r="O3036" s="15" t="str">
        <v/>
      </c>
      <c r="P3036" s="22">
        <v>0</v>
      </c>
      <c r="Q3036">
        <v>0</v>
      </c>
    </row>
    <row r="3037" spans="1:17">
      <c r="A3037" s="19">
        <v>0</v>
      </c>
      <c r="B3037" s="19">
        <v>0</v>
      </c>
      <c r="C3037" s="19">
        <v>0</v>
      </c>
      <c r="D3037" s="19">
        <v>0</v>
      </c>
      <c r="E3037" s="19">
        <v>0</v>
      </c>
      <c r="F3037" s="19">
        <v>0</v>
      </c>
      <c r="G3037" s="19">
        <v>0</v>
      </c>
      <c r="H3037" s="19">
        <v>0</v>
      </c>
      <c r="I3037" s="15">
        <v>3500</v>
      </c>
      <c r="J3037" s="15">
        <v>0</v>
      </c>
      <c r="K3037" s="15">
        <v>0</v>
      </c>
      <c r="L3037" s="15">
        <v>0</v>
      </c>
      <c r="M3037" s="15">
        <v>0</v>
      </c>
      <c r="N3037" s="15" t="str">
        <v/>
      </c>
      <c r="O3037" s="15" t="str">
        <v/>
      </c>
      <c r="P3037" s="22">
        <v>0</v>
      </c>
      <c r="Q3037">
        <v>0</v>
      </c>
    </row>
    <row r="3038" spans="1:17">
      <c r="A3038" s="19">
        <v>0</v>
      </c>
      <c r="B3038" s="19">
        <v>0</v>
      </c>
      <c r="C3038" s="19">
        <v>0</v>
      </c>
      <c r="D3038" s="19">
        <v>0</v>
      </c>
      <c r="E3038" s="19">
        <v>0</v>
      </c>
      <c r="F3038" s="19">
        <v>0</v>
      </c>
      <c r="G3038" s="19">
        <v>0</v>
      </c>
      <c r="H3038" s="19">
        <v>0</v>
      </c>
      <c r="I3038" s="15">
        <v>3500</v>
      </c>
      <c r="J3038" s="15">
        <v>0</v>
      </c>
      <c r="K3038" s="15">
        <v>0</v>
      </c>
      <c r="L3038" s="15">
        <v>0</v>
      </c>
      <c r="M3038" s="15">
        <v>0</v>
      </c>
      <c r="N3038" s="15" t="str">
        <v/>
      </c>
      <c r="O3038" s="15" t="str">
        <v/>
      </c>
      <c r="P3038" s="22">
        <v>0</v>
      </c>
      <c r="Q3038">
        <v>0</v>
      </c>
    </row>
    <row r="3039" spans="1:17">
      <c r="A3039" s="19">
        <v>0</v>
      </c>
      <c r="B3039" s="19">
        <v>0</v>
      </c>
      <c r="C3039" s="19">
        <v>0</v>
      </c>
      <c r="D3039" s="19">
        <v>0</v>
      </c>
      <c r="E3039" s="19">
        <v>0</v>
      </c>
      <c r="F3039" s="19">
        <v>0</v>
      </c>
      <c r="G3039" s="19">
        <v>0</v>
      </c>
      <c r="H3039" s="19">
        <v>0</v>
      </c>
      <c r="I3039" s="15">
        <v>3500</v>
      </c>
      <c r="J3039" s="15">
        <v>0</v>
      </c>
      <c r="K3039" s="15">
        <v>0</v>
      </c>
      <c r="L3039" s="15">
        <v>0</v>
      </c>
      <c r="M3039" s="15">
        <v>0</v>
      </c>
      <c r="N3039" s="15" t="str">
        <v/>
      </c>
      <c r="O3039" s="15" t="str">
        <v/>
      </c>
      <c r="P3039" s="22">
        <v>0</v>
      </c>
      <c r="Q3039">
        <v>0</v>
      </c>
    </row>
    <row r="3040" spans="1:17">
      <c r="A3040" s="19">
        <v>0</v>
      </c>
      <c r="B3040" s="19">
        <v>0</v>
      </c>
      <c r="C3040" s="19">
        <v>0</v>
      </c>
      <c r="D3040" s="19">
        <v>0</v>
      </c>
      <c r="E3040" s="19">
        <v>0</v>
      </c>
      <c r="F3040" s="19">
        <v>0</v>
      </c>
      <c r="G3040" s="19">
        <v>0</v>
      </c>
      <c r="H3040" s="19">
        <v>0</v>
      </c>
      <c r="I3040" s="15">
        <v>3500</v>
      </c>
      <c r="J3040" s="15">
        <v>0</v>
      </c>
      <c r="K3040" s="15">
        <v>0</v>
      </c>
      <c r="L3040" s="15">
        <v>0</v>
      </c>
      <c r="M3040" s="15">
        <v>0</v>
      </c>
      <c r="N3040" s="15" t="str">
        <v/>
      </c>
      <c r="O3040" s="15" t="str">
        <v/>
      </c>
      <c r="P3040" s="22">
        <v>0</v>
      </c>
      <c r="Q3040">
        <v>0</v>
      </c>
    </row>
    <row r="3041" spans="1:17">
      <c r="A3041" s="19">
        <v>0</v>
      </c>
      <c r="B3041" s="19">
        <v>0</v>
      </c>
      <c r="C3041" s="19">
        <v>0</v>
      </c>
      <c r="D3041" s="19">
        <v>0</v>
      </c>
      <c r="E3041" s="19">
        <v>0</v>
      </c>
      <c r="F3041" s="19">
        <v>0</v>
      </c>
      <c r="G3041" s="19">
        <v>0</v>
      </c>
      <c r="H3041" s="19">
        <v>0</v>
      </c>
      <c r="I3041" s="15">
        <v>3500</v>
      </c>
      <c r="J3041" s="15">
        <v>0</v>
      </c>
      <c r="K3041" s="15">
        <v>0</v>
      </c>
      <c r="L3041" s="15">
        <v>0</v>
      </c>
      <c r="M3041" s="15">
        <v>0</v>
      </c>
      <c r="N3041" s="15" t="str">
        <v/>
      </c>
      <c r="O3041" s="15" t="str">
        <v/>
      </c>
      <c r="P3041" s="22">
        <v>0</v>
      </c>
      <c r="Q3041">
        <v>0</v>
      </c>
    </row>
    <row r="3042" spans="1:17">
      <c r="A3042" s="19">
        <v>0</v>
      </c>
      <c r="B3042" s="19">
        <v>0</v>
      </c>
      <c r="C3042" s="19">
        <v>0</v>
      </c>
      <c r="D3042" s="19">
        <v>0</v>
      </c>
      <c r="E3042" s="19">
        <v>0</v>
      </c>
      <c r="F3042" s="19">
        <v>0</v>
      </c>
      <c r="G3042" s="19">
        <v>0</v>
      </c>
      <c r="H3042" s="19">
        <v>0</v>
      </c>
      <c r="I3042" s="15">
        <v>3500</v>
      </c>
      <c r="J3042" s="15">
        <v>0</v>
      </c>
      <c r="K3042" s="15">
        <v>0</v>
      </c>
      <c r="L3042" s="15">
        <v>0</v>
      </c>
      <c r="M3042" s="15">
        <v>0</v>
      </c>
      <c r="N3042" s="15" t="str">
        <v/>
      </c>
      <c r="O3042" s="15" t="str">
        <v/>
      </c>
      <c r="P3042" s="22">
        <v>0</v>
      </c>
      <c r="Q3042">
        <v>0</v>
      </c>
    </row>
    <row r="3043" spans="1:17">
      <c r="A3043" s="19">
        <v>0</v>
      </c>
      <c r="B3043" s="19">
        <v>0</v>
      </c>
      <c r="C3043" s="19">
        <v>0</v>
      </c>
      <c r="D3043" s="19">
        <v>0</v>
      </c>
      <c r="E3043" s="19">
        <v>0</v>
      </c>
      <c r="F3043" s="19">
        <v>0</v>
      </c>
      <c r="G3043" s="19">
        <v>0</v>
      </c>
      <c r="H3043" s="19">
        <v>0</v>
      </c>
      <c r="I3043" s="15">
        <v>3500</v>
      </c>
      <c r="J3043" s="15">
        <v>0</v>
      </c>
      <c r="K3043" s="15">
        <v>0</v>
      </c>
      <c r="L3043" s="15">
        <v>0</v>
      </c>
      <c r="M3043" s="15">
        <v>0</v>
      </c>
      <c r="N3043" s="15" t="str">
        <v/>
      </c>
      <c r="O3043" s="15" t="str">
        <v/>
      </c>
      <c r="P3043" s="22">
        <v>0</v>
      </c>
      <c r="Q3043">
        <v>0</v>
      </c>
    </row>
    <row r="3044" spans="1:17">
      <c r="A3044" s="19">
        <v>0</v>
      </c>
      <c r="B3044" s="19">
        <v>0</v>
      </c>
      <c r="C3044" s="19">
        <v>0</v>
      </c>
      <c r="D3044" s="19">
        <v>0</v>
      </c>
      <c r="E3044" s="19">
        <v>0</v>
      </c>
      <c r="F3044" s="19">
        <v>0</v>
      </c>
      <c r="G3044" s="19">
        <v>0</v>
      </c>
      <c r="H3044" s="19">
        <v>0</v>
      </c>
      <c r="I3044" s="15">
        <v>3500</v>
      </c>
      <c r="J3044" s="15">
        <v>0</v>
      </c>
      <c r="K3044" s="15">
        <v>0</v>
      </c>
      <c r="L3044" s="15">
        <v>0</v>
      </c>
      <c r="M3044" s="15">
        <v>0</v>
      </c>
      <c r="N3044" s="15" t="str">
        <v/>
      </c>
      <c r="O3044" s="15" t="str">
        <v/>
      </c>
      <c r="P3044" s="22">
        <v>0</v>
      </c>
      <c r="Q3044">
        <v>0</v>
      </c>
    </row>
    <row r="3045" spans="1:17">
      <c r="A3045" s="19">
        <v>0</v>
      </c>
      <c r="B3045" s="19">
        <v>0</v>
      </c>
      <c r="C3045" s="19">
        <v>0</v>
      </c>
      <c r="D3045" s="19">
        <v>0</v>
      </c>
      <c r="E3045" s="19">
        <v>0</v>
      </c>
      <c r="F3045" s="19">
        <v>0</v>
      </c>
      <c r="G3045" s="19">
        <v>0</v>
      </c>
      <c r="H3045" s="19">
        <v>0</v>
      </c>
      <c r="I3045" s="15">
        <v>3500</v>
      </c>
      <c r="J3045" s="15">
        <v>0</v>
      </c>
      <c r="K3045" s="15">
        <v>0</v>
      </c>
      <c r="L3045" s="15">
        <v>0</v>
      </c>
      <c r="M3045" s="15">
        <v>0</v>
      </c>
      <c r="N3045" s="15" t="str">
        <v/>
      </c>
      <c r="O3045" s="15" t="str">
        <v/>
      </c>
      <c r="P3045" s="22">
        <v>0</v>
      </c>
      <c r="Q3045">
        <v>0</v>
      </c>
    </row>
    <row r="3046" spans="1:17">
      <c r="A3046" s="19">
        <v>0</v>
      </c>
      <c r="B3046" s="19">
        <v>0</v>
      </c>
      <c r="C3046" s="19">
        <v>0</v>
      </c>
      <c r="D3046" s="19">
        <v>0</v>
      </c>
      <c r="E3046" s="19">
        <v>0</v>
      </c>
      <c r="F3046" s="19">
        <v>0</v>
      </c>
      <c r="G3046" s="19">
        <v>0</v>
      </c>
      <c r="H3046" s="19">
        <v>0</v>
      </c>
      <c r="I3046" s="15">
        <v>3500</v>
      </c>
      <c r="J3046" s="15">
        <v>0</v>
      </c>
      <c r="K3046" s="15">
        <v>0</v>
      </c>
      <c r="L3046" s="15">
        <v>0</v>
      </c>
      <c r="M3046" s="15">
        <v>0</v>
      </c>
      <c r="N3046" s="15" t="str">
        <v/>
      </c>
      <c r="O3046" s="15" t="str">
        <v/>
      </c>
      <c r="P3046" s="22">
        <v>0</v>
      </c>
      <c r="Q3046">
        <v>0</v>
      </c>
    </row>
    <row r="3047" spans="1:17">
      <c r="A3047" s="19">
        <v>0</v>
      </c>
      <c r="B3047" s="19">
        <v>0</v>
      </c>
      <c r="C3047" s="19">
        <v>0</v>
      </c>
      <c r="D3047" s="19">
        <v>0</v>
      </c>
      <c r="E3047" s="19">
        <v>0</v>
      </c>
      <c r="F3047" s="19">
        <v>0</v>
      </c>
      <c r="G3047" s="19">
        <v>0</v>
      </c>
      <c r="H3047" s="19">
        <v>0</v>
      </c>
      <c r="I3047" s="15">
        <v>3500</v>
      </c>
      <c r="J3047" s="15">
        <v>0</v>
      </c>
      <c r="K3047" s="15">
        <v>0</v>
      </c>
      <c r="L3047" s="15">
        <v>0</v>
      </c>
      <c r="M3047" s="15">
        <v>0</v>
      </c>
      <c r="N3047" s="15" t="str">
        <v/>
      </c>
      <c r="O3047" s="15" t="str">
        <v/>
      </c>
      <c r="P3047" s="22">
        <v>0</v>
      </c>
      <c r="Q3047">
        <v>0</v>
      </c>
    </row>
    <row r="3048" spans="1:17">
      <c r="A3048" s="19">
        <v>0</v>
      </c>
      <c r="B3048" s="19">
        <v>0</v>
      </c>
      <c r="C3048" s="19">
        <v>0</v>
      </c>
      <c r="D3048" s="19">
        <v>0</v>
      </c>
      <c r="E3048" s="19">
        <v>0</v>
      </c>
      <c r="F3048" s="19">
        <v>0</v>
      </c>
      <c r="G3048" s="19">
        <v>0</v>
      </c>
      <c r="H3048" s="19">
        <v>0</v>
      </c>
      <c r="I3048" s="15">
        <v>3500</v>
      </c>
      <c r="J3048" s="15">
        <v>0</v>
      </c>
      <c r="K3048" s="15">
        <v>0</v>
      </c>
      <c r="L3048" s="15">
        <v>0</v>
      </c>
      <c r="M3048" s="15">
        <v>0</v>
      </c>
      <c r="N3048" s="15" t="str">
        <v/>
      </c>
      <c r="O3048" s="15" t="str">
        <v/>
      </c>
      <c r="P3048" s="22">
        <v>0</v>
      </c>
      <c r="Q3048">
        <v>0</v>
      </c>
    </row>
    <row r="3049" spans="1:17">
      <c r="A3049" s="19">
        <v>0</v>
      </c>
      <c r="B3049" s="19">
        <v>0</v>
      </c>
      <c r="C3049" s="19">
        <v>0</v>
      </c>
      <c r="D3049" s="19">
        <v>0</v>
      </c>
      <c r="E3049" s="19">
        <v>0</v>
      </c>
      <c r="F3049" s="19">
        <v>0</v>
      </c>
      <c r="G3049" s="19">
        <v>0</v>
      </c>
      <c r="H3049" s="19">
        <v>0</v>
      </c>
      <c r="I3049" s="15">
        <v>3500</v>
      </c>
      <c r="J3049" s="15">
        <v>0</v>
      </c>
      <c r="K3049" s="15">
        <v>0</v>
      </c>
      <c r="L3049" s="15">
        <v>0</v>
      </c>
      <c r="M3049" s="15">
        <v>0</v>
      </c>
      <c r="N3049" s="15" t="str">
        <v/>
      </c>
      <c r="O3049" s="15" t="str">
        <v/>
      </c>
      <c r="P3049" s="22">
        <v>0</v>
      </c>
      <c r="Q3049">
        <v>0</v>
      </c>
    </row>
    <row r="3050" spans="1:17">
      <c r="A3050" s="19">
        <v>0</v>
      </c>
      <c r="B3050" s="19">
        <v>0</v>
      </c>
      <c r="C3050" s="19">
        <v>0</v>
      </c>
      <c r="D3050" s="19">
        <v>0</v>
      </c>
      <c r="E3050" s="19">
        <v>0</v>
      </c>
      <c r="F3050" s="19">
        <v>0</v>
      </c>
      <c r="G3050" s="19">
        <v>0</v>
      </c>
      <c r="H3050" s="19">
        <v>0</v>
      </c>
      <c r="I3050" s="15">
        <v>3500</v>
      </c>
      <c r="J3050" s="15">
        <v>0</v>
      </c>
      <c r="K3050" s="15">
        <v>0</v>
      </c>
      <c r="L3050" s="15">
        <v>0</v>
      </c>
      <c r="M3050" s="15">
        <v>0</v>
      </c>
      <c r="N3050" s="15" t="str">
        <v/>
      </c>
      <c r="O3050" s="15" t="str">
        <v/>
      </c>
      <c r="P3050" s="22">
        <v>0</v>
      </c>
      <c r="Q3050">
        <v>0</v>
      </c>
    </row>
    <row r="3051" spans="1:17">
      <c r="A3051" s="19">
        <v>0</v>
      </c>
      <c r="B3051" s="19">
        <v>0</v>
      </c>
      <c r="C3051" s="19">
        <v>0</v>
      </c>
      <c r="D3051" s="19">
        <v>0</v>
      </c>
      <c r="E3051" s="19">
        <v>0</v>
      </c>
      <c r="F3051" s="19">
        <v>0</v>
      </c>
      <c r="G3051" s="19">
        <v>0</v>
      </c>
      <c r="H3051" s="19">
        <v>0</v>
      </c>
      <c r="I3051" s="15">
        <v>3500</v>
      </c>
      <c r="J3051" s="15">
        <v>0</v>
      </c>
      <c r="K3051" s="15">
        <v>0</v>
      </c>
      <c r="L3051" s="15">
        <v>0</v>
      </c>
      <c r="M3051" s="15">
        <v>0</v>
      </c>
      <c r="N3051" s="15" t="str">
        <v/>
      </c>
      <c r="O3051" s="15" t="str">
        <v/>
      </c>
      <c r="P3051" s="22">
        <v>0</v>
      </c>
      <c r="Q3051">
        <v>0</v>
      </c>
    </row>
    <row r="3052" spans="1:17">
      <c r="A3052" s="19">
        <v>0</v>
      </c>
      <c r="B3052" s="19">
        <v>0</v>
      </c>
      <c r="C3052" s="19">
        <v>0</v>
      </c>
      <c r="D3052" s="19">
        <v>0</v>
      </c>
      <c r="E3052" s="19">
        <v>0</v>
      </c>
      <c r="F3052" s="19">
        <v>0</v>
      </c>
      <c r="G3052" s="19">
        <v>0</v>
      </c>
      <c r="H3052" s="19">
        <v>0</v>
      </c>
      <c r="I3052" s="15">
        <v>3500</v>
      </c>
      <c r="J3052" s="15">
        <v>0</v>
      </c>
      <c r="K3052" s="15">
        <v>0</v>
      </c>
      <c r="L3052" s="15">
        <v>0</v>
      </c>
      <c r="M3052" s="15">
        <v>0</v>
      </c>
      <c r="N3052" s="15" t="str">
        <v/>
      </c>
      <c r="O3052" s="15" t="str">
        <v/>
      </c>
      <c r="P3052" s="22">
        <v>0</v>
      </c>
      <c r="Q3052">
        <v>0</v>
      </c>
    </row>
    <row r="3053" spans="1:17">
      <c r="A3053" s="19">
        <v>0</v>
      </c>
      <c r="B3053" s="19">
        <v>0</v>
      </c>
      <c r="C3053" s="19">
        <v>0</v>
      </c>
      <c r="D3053" s="19">
        <v>0</v>
      </c>
      <c r="E3053" s="19">
        <v>0</v>
      </c>
      <c r="F3053" s="19">
        <v>0</v>
      </c>
      <c r="G3053" s="19">
        <v>0</v>
      </c>
      <c r="H3053" s="19">
        <v>0</v>
      </c>
      <c r="I3053" s="15">
        <v>3500</v>
      </c>
      <c r="J3053" s="15">
        <v>0</v>
      </c>
      <c r="K3053" s="15">
        <v>0</v>
      </c>
      <c r="L3053" s="15">
        <v>0</v>
      </c>
      <c r="M3053" s="15">
        <v>0</v>
      </c>
      <c r="N3053" s="15" t="str">
        <v/>
      </c>
      <c r="O3053" s="15" t="str">
        <v/>
      </c>
      <c r="P3053" s="22">
        <v>0</v>
      </c>
      <c r="Q3053">
        <v>0</v>
      </c>
    </row>
    <row r="3054" spans="1:17">
      <c r="A3054" s="19">
        <v>0</v>
      </c>
      <c r="B3054" s="19">
        <v>0</v>
      </c>
      <c r="C3054" s="19">
        <v>0</v>
      </c>
      <c r="D3054" s="19">
        <v>0</v>
      </c>
      <c r="E3054" s="19">
        <v>0</v>
      </c>
      <c r="F3054" s="19">
        <v>0</v>
      </c>
      <c r="G3054" s="19">
        <v>0</v>
      </c>
      <c r="H3054" s="19">
        <v>0</v>
      </c>
      <c r="I3054" s="15">
        <v>3500</v>
      </c>
      <c r="J3054" s="15">
        <v>0</v>
      </c>
      <c r="K3054" s="15">
        <v>0</v>
      </c>
      <c r="L3054" s="15">
        <v>0</v>
      </c>
      <c r="M3054" s="15">
        <v>0</v>
      </c>
      <c r="N3054" s="15" t="str">
        <v/>
      </c>
      <c r="O3054" s="15" t="str">
        <v/>
      </c>
      <c r="P3054" s="22">
        <v>0</v>
      </c>
      <c r="Q3054">
        <v>0</v>
      </c>
    </row>
    <row r="3055" spans="1:17">
      <c r="A3055" s="19">
        <v>0</v>
      </c>
      <c r="B3055" s="19">
        <v>0</v>
      </c>
      <c r="C3055" s="19">
        <v>0</v>
      </c>
      <c r="D3055" s="19">
        <v>0</v>
      </c>
      <c r="E3055" s="19">
        <v>0</v>
      </c>
      <c r="F3055" s="19">
        <v>0</v>
      </c>
      <c r="G3055" s="19">
        <v>0</v>
      </c>
      <c r="H3055" s="19">
        <v>0</v>
      </c>
      <c r="I3055" s="15">
        <v>3500</v>
      </c>
      <c r="J3055" s="15">
        <v>0</v>
      </c>
      <c r="K3055" s="15">
        <v>0</v>
      </c>
      <c r="L3055" s="15">
        <v>0</v>
      </c>
      <c r="M3055" s="15">
        <v>0</v>
      </c>
      <c r="N3055" s="15" t="str">
        <v/>
      </c>
      <c r="O3055" s="15" t="str">
        <v/>
      </c>
      <c r="P3055" s="22">
        <v>0</v>
      </c>
      <c r="Q3055">
        <v>0</v>
      </c>
    </row>
    <row r="3056" spans="1:17">
      <c r="A3056" s="19">
        <v>0</v>
      </c>
      <c r="B3056" s="19">
        <v>0</v>
      </c>
      <c r="C3056" s="19">
        <v>0</v>
      </c>
      <c r="D3056" s="19">
        <v>0</v>
      </c>
      <c r="E3056" s="19">
        <v>0</v>
      </c>
      <c r="F3056" s="19">
        <v>0</v>
      </c>
      <c r="G3056" s="19">
        <v>0</v>
      </c>
      <c r="H3056" s="19">
        <v>0</v>
      </c>
      <c r="I3056" s="15">
        <v>3500</v>
      </c>
      <c r="J3056" s="15">
        <v>0</v>
      </c>
      <c r="K3056" s="15">
        <v>0</v>
      </c>
      <c r="L3056" s="15">
        <v>0</v>
      </c>
      <c r="M3056" s="15">
        <v>0</v>
      </c>
      <c r="N3056" s="15" t="str">
        <v/>
      </c>
      <c r="O3056" s="15" t="str">
        <v/>
      </c>
      <c r="P3056" s="22">
        <v>0</v>
      </c>
      <c r="Q3056">
        <v>0</v>
      </c>
    </row>
    <row r="3057" spans="1:17">
      <c r="A3057" s="19">
        <v>0</v>
      </c>
      <c r="B3057" s="19">
        <v>0</v>
      </c>
      <c r="C3057" s="19">
        <v>0</v>
      </c>
      <c r="D3057" s="19">
        <v>0</v>
      </c>
      <c r="E3057" s="19">
        <v>0</v>
      </c>
      <c r="F3057" s="19">
        <v>0</v>
      </c>
      <c r="G3057" s="19">
        <v>0</v>
      </c>
      <c r="H3057" s="19">
        <v>0</v>
      </c>
      <c r="I3057" s="15">
        <v>3500</v>
      </c>
      <c r="J3057" s="15">
        <v>0</v>
      </c>
      <c r="K3057" s="15">
        <v>0</v>
      </c>
      <c r="L3057" s="15">
        <v>0</v>
      </c>
      <c r="M3057" s="15">
        <v>0</v>
      </c>
      <c r="N3057" s="15" t="str">
        <v/>
      </c>
      <c r="O3057" s="15" t="str">
        <v/>
      </c>
      <c r="P3057" s="22">
        <v>0</v>
      </c>
      <c r="Q3057">
        <v>0</v>
      </c>
    </row>
    <row r="3058" spans="1:17">
      <c r="A3058" s="19">
        <v>0</v>
      </c>
      <c r="B3058" s="19">
        <v>0</v>
      </c>
      <c r="C3058" s="19">
        <v>0</v>
      </c>
      <c r="D3058" s="19">
        <v>0</v>
      </c>
      <c r="E3058" s="19">
        <v>0</v>
      </c>
      <c r="F3058" s="19">
        <v>0</v>
      </c>
      <c r="G3058" s="19">
        <v>0</v>
      </c>
      <c r="H3058" s="19">
        <v>0</v>
      </c>
      <c r="I3058" s="15">
        <v>3500</v>
      </c>
      <c r="J3058" s="15">
        <v>0</v>
      </c>
      <c r="K3058" s="15">
        <v>0</v>
      </c>
      <c r="L3058" s="15">
        <v>0</v>
      </c>
      <c r="M3058" s="15">
        <v>0</v>
      </c>
      <c r="N3058" s="15" t="str">
        <v/>
      </c>
      <c r="O3058" s="15" t="str">
        <v/>
      </c>
      <c r="P3058" s="22">
        <v>0</v>
      </c>
      <c r="Q3058">
        <v>0</v>
      </c>
    </row>
    <row r="3059" spans="1:17">
      <c r="A3059" s="19">
        <v>0</v>
      </c>
      <c r="B3059" s="19">
        <v>0</v>
      </c>
      <c r="C3059" s="19">
        <v>0</v>
      </c>
      <c r="D3059" s="19">
        <v>0</v>
      </c>
      <c r="E3059" s="19">
        <v>0</v>
      </c>
      <c r="F3059" s="19">
        <v>0</v>
      </c>
      <c r="G3059" s="19">
        <v>0</v>
      </c>
      <c r="H3059" s="19">
        <v>0</v>
      </c>
      <c r="I3059" s="15">
        <v>3500</v>
      </c>
      <c r="J3059" s="15">
        <v>0</v>
      </c>
      <c r="K3059" s="15">
        <v>0</v>
      </c>
      <c r="L3059" s="15">
        <v>0</v>
      </c>
      <c r="M3059" s="15">
        <v>0</v>
      </c>
      <c r="N3059" s="15" t="str">
        <v/>
      </c>
      <c r="O3059" s="15" t="str">
        <v/>
      </c>
      <c r="P3059" s="22">
        <v>0</v>
      </c>
      <c r="Q3059">
        <v>0</v>
      </c>
    </row>
    <row r="3060" spans="1:17">
      <c r="A3060" s="19">
        <v>0</v>
      </c>
      <c r="B3060" s="19">
        <v>0</v>
      </c>
      <c r="C3060" s="19">
        <v>0</v>
      </c>
      <c r="D3060" s="19">
        <v>0</v>
      </c>
      <c r="E3060" s="19">
        <v>0</v>
      </c>
      <c r="F3060" s="19">
        <v>0</v>
      </c>
      <c r="G3060" s="19">
        <v>0</v>
      </c>
      <c r="H3060" s="19">
        <v>0</v>
      </c>
      <c r="I3060" s="15">
        <v>3500</v>
      </c>
      <c r="J3060" s="15">
        <v>0</v>
      </c>
      <c r="K3060" s="15">
        <v>0</v>
      </c>
      <c r="L3060" s="15">
        <v>0</v>
      </c>
      <c r="M3060" s="15">
        <v>0</v>
      </c>
      <c r="N3060" s="15" t="str">
        <v/>
      </c>
      <c r="O3060" s="15" t="str">
        <v/>
      </c>
      <c r="P3060" s="22">
        <v>0</v>
      </c>
      <c r="Q3060">
        <v>0</v>
      </c>
    </row>
    <row r="3061" spans="1:17">
      <c r="A3061" s="19">
        <v>0</v>
      </c>
      <c r="B3061" s="19">
        <v>0</v>
      </c>
      <c r="C3061" s="19">
        <v>0</v>
      </c>
      <c r="D3061" s="19">
        <v>0</v>
      </c>
      <c r="E3061" s="19">
        <v>0</v>
      </c>
      <c r="F3061" s="19">
        <v>0</v>
      </c>
      <c r="G3061" s="19">
        <v>0</v>
      </c>
      <c r="H3061" s="19">
        <v>0</v>
      </c>
      <c r="I3061" s="15">
        <v>3500</v>
      </c>
      <c r="J3061" s="15">
        <v>0</v>
      </c>
      <c r="K3061" s="15">
        <v>0</v>
      </c>
      <c r="L3061" s="15">
        <v>0</v>
      </c>
      <c r="M3061" s="15">
        <v>0</v>
      </c>
      <c r="N3061" s="15" t="str">
        <v/>
      </c>
      <c r="O3061" s="15" t="str">
        <v/>
      </c>
      <c r="P3061" s="22">
        <v>0</v>
      </c>
      <c r="Q3061">
        <v>0</v>
      </c>
    </row>
    <row r="3062" spans="1:17">
      <c r="A3062" s="19">
        <v>0</v>
      </c>
      <c r="B3062" s="19">
        <v>0</v>
      </c>
      <c r="C3062" s="19">
        <v>0</v>
      </c>
      <c r="D3062" s="19">
        <v>0</v>
      </c>
      <c r="E3062" s="19">
        <v>0</v>
      </c>
      <c r="F3062" s="19">
        <v>0</v>
      </c>
      <c r="G3062" s="19">
        <v>0</v>
      </c>
      <c r="H3062" s="19">
        <v>0</v>
      </c>
      <c r="I3062" s="15">
        <v>3500</v>
      </c>
      <c r="J3062" s="15">
        <v>0</v>
      </c>
      <c r="K3062" s="15">
        <v>0</v>
      </c>
      <c r="L3062" s="15">
        <v>0</v>
      </c>
      <c r="M3062" s="15">
        <v>0</v>
      </c>
      <c r="N3062" s="15" t="str">
        <v/>
      </c>
      <c r="O3062" s="15" t="str">
        <v/>
      </c>
      <c r="P3062" s="22">
        <v>0</v>
      </c>
      <c r="Q3062">
        <v>0</v>
      </c>
    </row>
    <row r="3063" spans="1:17">
      <c r="A3063" s="19">
        <v>0</v>
      </c>
      <c r="B3063" s="19">
        <v>0</v>
      </c>
      <c r="C3063" s="19">
        <v>0</v>
      </c>
      <c r="D3063" s="19">
        <v>0</v>
      </c>
      <c r="E3063" s="19">
        <v>0</v>
      </c>
      <c r="F3063" s="19">
        <v>0</v>
      </c>
      <c r="G3063" s="19">
        <v>0</v>
      </c>
      <c r="H3063" s="19">
        <v>0</v>
      </c>
      <c r="I3063" s="15">
        <v>3500</v>
      </c>
      <c r="J3063" s="15">
        <v>0</v>
      </c>
      <c r="K3063" s="15">
        <v>0</v>
      </c>
      <c r="L3063" s="15">
        <v>0</v>
      </c>
      <c r="M3063" s="15">
        <v>0</v>
      </c>
      <c r="N3063" s="15" t="str">
        <v/>
      </c>
      <c r="O3063" s="15" t="str">
        <v/>
      </c>
      <c r="P3063" s="22">
        <v>0</v>
      </c>
      <c r="Q3063">
        <v>0</v>
      </c>
    </row>
    <row r="3064" spans="1:17">
      <c r="A3064" s="19">
        <v>0</v>
      </c>
      <c r="B3064" s="19">
        <v>0</v>
      </c>
      <c r="C3064" s="19">
        <v>0</v>
      </c>
      <c r="D3064" s="19">
        <v>0</v>
      </c>
      <c r="E3064" s="19">
        <v>0</v>
      </c>
      <c r="F3064" s="19">
        <v>0</v>
      </c>
      <c r="G3064" s="19">
        <v>0</v>
      </c>
      <c r="H3064" s="19">
        <v>0</v>
      </c>
      <c r="I3064" s="15">
        <v>3500</v>
      </c>
      <c r="J3064" s="15">
        <v>0</v>
      </c>
      <c r="K3064" s="15">
        <v>0</v>
      </c>
      <c r="L3064" s="15">
        <v>0</v>
      </c>
      <c r="M3064" s="15">
        <v>0</v>
      </c>
      <c r="N3064" s="15" t="str">
        <v/>
      </c>
      <c r="O3064" s="15" t="str">
        <v/>
      </c>
      <c r="P3064" s="22">
        <v>0</v>
      </c>
      <c r="Q3064">
        <v>0</v>
      </c>
    </row>
    <row r="3065" spans="1:17">
      <c r="A3065" s="19">
        <v>0</v>
      </c>
      <c r="B3065" s="19">
        <v>0</v>
      </c>
      <c r="C3065" s="19">
        <v>0</v>
      </c>
      <c r="D3065" s="19">
        <v>0</v>
      </c>
      <c r="E3065" s="19">
        <v>0</v>
      </c>
      <c r="F3065" s="19">
        <v>0</v>
      </c>
      <c r="G3065" s="19">
        <v>0</v>
      </c>
      <c r="H3065" s="19">
        <v>0</v>
      </c>
      <c r="I3065" s="15">
        <v>3500</v>
      </c>
      <c r="J3065" s="15">
        <v>0</v>
      </c>
      <c r="K3065" s="15">
        <v>0</v>
      </c>
      <c r="L3065" s="15">
        <v>0</v>
      </c>
      <c r="M3065" s="15">
        <v>0</v>
      </c>
      <c r="N3065" s="15" t="str">
        <v/>
      </c>
      <c r="O3065" s="15" t="str">
        <v/>
      </c>
      <c r="P3065" s="22">
        <v>0</v>
      </c>
      <c r="Q3065">
        <v>0</v>
      </c>
    </row>
    <row r="3066" spans="1:17">
      <c r="A3066" s="19">
        <v>0</v>
      </c>
      <c r="B3066" s="19">
        <v>0</v>
      </c>
      <c r="C3066" s="19">
        <v>0</v>
      </c>
      <c r="D3066" s="19">
        <v>0</v>
      </c>
      <c r="E3066" s="19">
        <v>0</v>
      </c>
      <c r="F3066" s="19">
        <v>0</v>
      </c>
      <c r="G3066" s="19">
        <v>0</v>
      </c>
      <c r="H3066" s="19">
        <v>0</v>
      </c>
      <c r="I3066" s="15">
        <v>3500</v>
      </c>
      <c r="J3066" s="15">
        <v>0</v>
      </c>
      <c r="K3066" s="15">
        <v>0</v>
      </c>
      <c r="L3066" s="15">
        <v>0</v>
      </c>
      <c r="M3066" s="15">
        <v>0</v>
      </c>
      <c r="N3066" s="15" t="str">
        <v/>
      </c>
      <c r="O3066" s="15" t="str">
        <v/>
      </c>
      <c r="P3066" s="22">
        <v>0</v>
      </c>
      <c r="Q3066">
        <v>0</v>
      </c>
    </row>
    <row r="3067" spans="1:17">
      <c r="A3067" s="19">
        <v>0</v>
      </c>
      <c r="B3067" s="19">
        <v>0</v>
      </c>
      <c r="C3067" s="19">
        <v>0</v>
      </c>
      <c r="D3067" s="19">
        <v>0</v>
      </c>
      <c r="E3067" s="19">
        <v>0</v>
      </c>
      <c r="F3067" s="19">
        <v>0</v>
      </c>
      <c r="G3067" s="19">
        <v>0</v>
      </c>
      <c r="H3067" s="19">
        <v>0</v>
      </c>
      <c r="I3067" s="15">
        <v>3500</v>
      </c>
      <c r="J3067" s="15">
        <v>0</v>
      </c>
      <c r="K3067" s="15">
        <v>0</v>
      </c>
      <c r="L3067" s="15">
        <v>0</v>
      </c>
      <c r="M3067" s="15">
        <v>0</v>
      </c>
      <c r="N3067" s="15" t="str">
        <v/>
      </c>
      <c r="O3067" s="15" t="str">
        <v/>
      </c>
      <c r="P3067" s="22">
        <v>0</v>
      </c>
      <c r="Q3067">
        <v>0</v>
      </c>
    </row>
    <row r="3068" spans="1:17">
      <c r="A3068" s="19">
        <v>0</v>
      </c>
      <c r="B3068" s="19">
        <v>0</v>
      </c>
      <c r="C3068" s="19">
        <v>0</v>
      </c>
      <c r="D3068" s="19">
        <v>0</v>
      </c>
      <c r="E3068" s="19">
        <v>0</v>
      </c>
      <c r="F3068" s="19">
        <v>0</v>
      </c>
      <c r="G3068" s="19">
        <v>0</v>
      </c>
      <c r="H3068" s="19">
        <v>0</v>
      </c>
      <c r="I3068" s="15">
        <v>3500</v>
      </c>
      <c r="J3068" s="15">
        <v>0</v>
      </c>
      <c r="K3068" s="15">
        <v>0</v>
      </c>
      <c r="L3068" s="15">
        <v>0</v>
      </c>
      <c r="M3068" s="15">
        <v>0</v>
      </c>
      <c r="N3068" s="15" t="str">
        <v/>
      </c>
      <c r="O3068" s="15" t="str">
        <v/>
      </c>
      <c r="P3068" s="22">
        <v>0</v>
      </c>
      <c r="Q3068">
        <v>0</v>
      </c>
    </row>
    <row r="3069" spans="1:17">
      <c r="A3069" s="19">
        <v>0</v>
      </c>
      <c r="B3069" s="19">
        <v>0</v>
      </c>
      <c r="C3069" s="19">
        <v>0</v>
      </c>
      <c r="D3069" s="19">
        <v>0</v>
      </c>
      <c r="E3069" s="19">
        <v>0</v>
      </c>
      <c r="F3069" s="19">
        <v>0</v>
      </c>
      <c r="G3069" s="19">
        <v>0</v>
      </c>
      <c r="H3069" s="19">
        <v>0</v>
      </c>
      <c r="I3069" s="15">
        <v>3500</v>
      </c>
      <c r="J3069" s="15">
        <v>0</v>
      </c>
      <c r="K3069" s="15">
        <v>0</v>
      </c>
      <c r="L3069" s="15">
        <v>0</v>
      </c>
      <c r="M3069" s="15">
        <v>0</v>
      </c>
      <c r="N3069" s="15" t="str">
        <v/>
      </c>
      <c r="O3069" s="15" t="str">
        <v/>
      </c>
      <c r="P3069" s="22">
        <v>0</v>
      </c>
      <c r="Q3069">
        <v>0</v>
      </c>
    </row>
    <row r="3070" spans="1:17">
      <c r="A3070" s="19">
        <v>0</v>
      </c>
      <c r="B3070" s="19">
        <v>0</v>
      </c>
      <c r="C3070" s="19">
        <v>0</v>
      </c>
      <c r="D3070" s="19">
        <v>0</v>
      </c>
      <c r="E3070" s="19">
        <v>0</v>
      </c>
      <c r="F3070" s="19">
        <v>0</v>
      </c>
      <c r="G3070" s="19">
        <v>0</v>
      </c>
      <c r="H3070" s="19">
        <v>0</v>
      </c>
      <c r="I3070" s="15">
        <v>3500</v>
      </c>
      <c r="J3070" s="15">
        <v>0</v>
      </c>
      <c r="K3070" s="15">
        <v>0</v>
      </c>
      <c r="L3070" s="15">
        <v>0</v>
      </c>
      <c r="M3070" s="15">
        <v>0</v>
      </c>
      <c r="N3070" s="15" t="str">
        <v/>
      </c>
      <c r="O3070" s="15" t="str">
        <v/>
      </c>
      <c r="P3070" s="22">
        <v>0</v>
      </c>
      <c r="Q3070">
        <v>0</v>
      </c>
    </row>
    <row r="3071" spans="1:17">
      <c r="A3071" s="19">
        <v>0</v>
      </c>
      <c r="B3071" s="19">
        <v>0</v>
      </c>
      <c r="C3071" s="19">
        <v>0</v>
      </c>
      <c r="D3071" s="19">
        <v>0</v>
      </c>
      <c r="E3071" s="19">
        <v>0</v>
      </c>
      <c r="F3071" s="19">
        <v>0</v>
      </c>
      <c r="G3071" s="19">
        <v>0</v>
      </c>
      <c r="H3071" s="19">
        <v>0</v>
      </c>
      <c r="I3071" s="15">
        <v>3500</v>
      </c>
      <c r="J3071" s="15">
        <v>0</v>
      </c>
      <c r="K3071" s="15">
        <v>0</v>
      </c>
      <c r="L3071" s="15">
        <v>0</v>
      </c>
      <c r="M3071" s="15">
        <v>0</v>
      </c>
      <c r="N3071" s="15" t="str">
        <v/>
      </c>
      <c r="O3071" s="15" t="str">
        <v/>
      </c>
      <c r="P3071" s="22">
        <v>0</v>
      </c>
      <c r="Q3071">
        <v>0</v>
      </c>
    </row>
    <row r="3072" spans="1:17">
      <c r="A3072" s="19">
        <v>0</v>
      </c>
      <c r="B3072" s="19">
        <v>0</v>
      </c>
      <c r="C3072" s="19">
        <v>0</v>
      </c>
      <c r="D3072" s="19">
        <v>0</v>
      </c>
      <c r="E3072" s="19">
        <v>0</v>
      </c>
      <c r="F3072" s="19">
        <v>0</v>
      </c>
      <c r="G3072" s="19">
        <v>0</v>
      </c>
      <c r="H3072" s="19">
        <v>0</v>
      </c>
      <c r="I3072" s="15">
        <v>3500</v>
      </c>
      <c r="J3072" s="15">
        <v>0</v>
      </c>
      <c r="K3072" s="15">
        <v>0</v>
      </c>
      <c r="L3072" s="15">
        <v>0</v>
      </c>
      <c r="M3072" s="15">
        <v>0</v>
      </c>
      <c r="N3072" s="15" t="str">
        <v/>
      </c>
      <c r="O3072" s="15" t="str">
        <v/>
      </c>
      <c r="P3072" s="22">
        <v>0</v>
      </c>
      <c r="Q3072">
        <v>0</v>
      </c>
    </row>
    <row r="3073" spans="1:17">
      <c r="A3073" s="19">
        <v>0</v>
      </c>
      <c r="B3073" s="19">
        <v>0</v>
      </c>
      <c r="C3073" s="19">
        <v>0</v>
      </c>
      <c r="D3073" s="19">
        <v>0</v>
      </c>
      <c r="E3073" s="19">
        <v>0</v>
      </c>
      <c r="F3073" s="19">
        <v>0</v>
      </c>
      <c r="G3073" s="19">
        <v>0</v>
      </c>
      <c r="H3073" s="19">
        <v>0</v>
      </c>
      <c r="I3073" s="15">
        <v>3500</v>
      </c>
      <c r="J3073" s="15">
        <v>0</v>
      </c>
      <c r="K3073" s="15">
        <v>0</v>
      </c>
      <c r="L3073" s="15">
        <v>0</v>
      </c>
      <c r="M3073" s="15">
        <v>0</v>
      </c>
      <c r="N3073" s="15" t="str">
        <v/>
      </c>
      <c r="O3073" s="15" t="str">
        <v/>
      </c>
      <c r="P3073" s="22">
        <v>0</v>
      </c>
      <c r="Q3073">
        <v>0</v>
      </c>
    </row>
    <row r="3074" spans="1:17">
      <c r="A3074" s="19">
        <v>0</v>
      </c>
      <c r="B3074" s="19">
        <v>0</v>
      </c>
      <c r="C3074" s="19">
        <v>0</v>
      </c>
      <c r="D3074" s="19">
        <v>0</v>
      </c>
      <c r="E3074" s="19">
        <v>0</v>
      </c>
      <c r="F3074" s="19">
        <v>0</v>
      </c>
      <c r="G3074" s="19">
        <v>0</v>
      </c>
      <c r="H3074" s="19">
        <v>0</v>
      </c>
      <c r="I3074" s="15">
        <v>3500</v>
      </c>
      <c r="J3074" s="15">
        <v>0</v>
      </c>
      <c r="K3074" s="15">
        <v>0</v>
      </c>
      <c r="L3074" s="15">
        <v>0</v>
      </c>
      <c r="M3074" s="15">
        <v>0</v>
      </c>
      <c r="N3074" s="15" t="str">
        <v/>
      </c>
      <c r="O3074" s="15" t="str">
        <v/>
      </c>
      <c r="P3074" s="22">
        <v>0</v>
      </c>
      <c r="Q3074">
        <v>0</v>
      </c>
    </row>
    <row r="3075" spans="1:17">
      <c r="A3075" s="19">
        <v>0</v>
      </c>
      <c r="B3075" s="19">
        <v>0</v>
      </c>
      <c r="C3075" s="19">
        <v>0</v>
      </c>
      <c r="D3075" s="19">
        <v>0</v>
      </c>
      <c r="E3075" s="19">
        <v>0</v>
      </c>
      <c r="F3075" s="19">
        <v>0</v>
      </c>
      <c r="G3075" s="19">
        <v>0</v>
      </c>
      <c r="H3075" s="19">
        <v>0</v>
      </c>
      <c r="I3075" s="15">
        <v>3500</v>
      </c>
      <c r="J3075" s="15">
        <v>0</v>
      </c>
      <c r="K3075" s="15">
        <v>0</v>
      </c>
      <c r="L3075" s="15">
        <v>0</v>
      </c>
      <c r="M3075" s="15">
        <v>0</v>
      </c>
      <c r="N3075" s="15" t="str">
        <v/>
      </c>
      <c r="O3075" s="15" t="str">
        <v/>
      </c>
      <c r="P3075" s="22">
        <v>0</v>
      </c>
      <c r="Q3075">
        <v>0</v>
      </c>
    </row>
    <row r="3076" spans="1:17">
      <c r="A3076" s="19">
        <v>0</v>
      </c>
      <c r="B3076" s="19">
        <v>0</v>
      </c>
      <c r="C3076" s="19">
        <v>0</v>
      </c>
      <c r="D3076" s="19">
        <v>0</v>
      </c>
      <c r="E3076" s="19">
        <v>0</v>
      </c>
      <c r="F3076" s="19">
        <v>0</v>
      </c>
      <c r="G3076" s="19">
        <v>0</v>
      </c>
      <c r="H3076" s="19">
        <v>0</v>
      </c>
      <c r="I3076" s="15">
        <v>3500</v>
      </c>
      <c r="J3076" s="15">
        <v>0</v>
      </c>
      <c r="K3076" s="15">
        <v>0</v>
      </c>
      <c r="L3076" s="15">
        <v>0</v>
      </c>
      <c r="M3076" s="15">
        <v>0</v>
      </c>
      <c r="N3076" s="15" t="str">
        <v/>
      </c>
      <c r="O3076" s="15" t="str">
        <v/>
      </c>
      <c r="P3076" s="22">
        <v>0</v>
      </c>
      <c r="Q3076">
        <v>0</v>
      </c>
    </row>
    <row r="3077" spans="1:17">
      <c r="A3077" s="19">
        <v>0</v>
      </c>
      <c r="B3077" s="19">
        <v>0</v>
      </c>
      <c r="C3077" s="19">
        <v>0</v>
      </c>
      <c r="D3077" s="19">
        <v>0</v>
      </c>
      <c r="E3077" s="19">
        <v>0</v>
      </c>
      <c r="F3077" s="19">
        <v>0</v>
      </c>
      <c r="G3077" s="19">
        <v>0</v>
      </c>
      <c r="H3077" s="19">
        <v>0</v>
      </c>
      <c r="I3077" s="15">
        <v>3500</v>
      </c>
      <c r="J3077" s="15">
        <v>0</v>
      </c>
      <c r="K3077" s="15">
        <v>0</v>
      </c>
      <c r="L3077" s="15">
        <v>0</v>
      </c>
      <c r="M3077" s="15">
        <v>0</v>
      </c>
      <c r="N3077" s="15" t="str">
        <v/>
      </c>
      <c r="O3077" s="15" t="str">
        <v/>
      </c>
      <c r="P3077" s="22">
        <v>0</v>
      </c>
      <c r="Q3077">
        <v>0</v>
      </c>
    </row>
    <row r="3078" spans="1:17">
      <c r="A3078" s="19">
        <v>0</v>
      </c>
      <c r="B3078" s="19">
        <v>0</v>
      </c>
      <c r="C3078" s="19">
        <v>0</v>
      </c>
      <c r="D3078" s="19">
        <v>0</v>
      </c>
      <c r="E3078" s="19">
        <v>0</v>
      </c>
      <c r="F3078" s="19">
        <v>0</v>
      </c>
      <c r="G3078" s="19">
        <v>0</v>
      </c>
      <c r="H3078" s="19">
        <v>0</v>
      </c>
      <c r="I3078" s="15">
        <v>3500</v>
      </c>
      <c r="J3078" s="15">
        <v>0</v>
      </c>
      <c r="K3078" s="15">
        <v>0</v>
      </c>
      <c r="L3078" s="15">
        <v>0</v>
      </c>
      <c r="M3078" s="15">
        <v>0</v>
      </c>
      <c r="N3078" s="15" t="str">
        <v/>
      </c>
      <c r="O3078" s="15" t="str">
        <v/>
      </c>
      <c r="P3078" s="22">
        <v>0</v>
      </c>
      <c r="Q3078">
        <v>0</v>
      </c>
    </row>
    <row r="3079" spans="1:17">
      <c r="A3079" s="19">
        <v>0</v>
      </c>
      <c r="B3079" s="19">
        <v>0</v>
      </c>
      <c r="C3079" s="19">
        <v>0</v>
      </c>
      <c r="D3079" s="19">
        <v>0</v>
      </c>
      <c r="E3079" s="19">
        <v>0</v>
      </c>
      <c r="F3079" s="19">
        <v>0</v>
      </c>
      <c r="G3079" s="19">
        <v>0</v>
      </c>
      <c r="H3079" s="19">
        <v>0</v>
      </c>
      <c r="I3079" s="15">
        <v>3500</v>
      </c>
      <c r="J3079" s="15">
        <v>0</v>
      </c>
      <c r="K3079" s="15">
        <v>0</v>
      </c>
      <c r="L3079" s="15">
        <v>0</v>
      </c>
      <c r="M3079" s="15">
        <v>0</v>
      </c>
      <c r="N3079" s="15" t="str">
        <v/>
      </c>
      <c r="O3079" s="15" t="str">
        <v/>
      </c>
      <c r="P3079" s="22">
        <v>0</v>
      </c>
      <c r="Q3079">
        <v>0</v>
      </c>
    </row>
    <row r="3080" spans="1:17">
      <c r="A3080" s="19">
        <v>0</v>
      </c>
      <c r="B3080" s="19">
        <v>0</v>
      </c>
      <c r="C3080" s="19">
        <v>0</v>
      </c>
      <c r="D3080" s="19">
        <v>0</v>
      </c>
      <c r="E3080" s="19">
        <v>0</v>
      </c>
      <c r="F3080" s="19">
        <v>0</v>
      </c>
      <c r="G3080" s="19">
        <v>0</v>
      </c>
      <c r="H3080" s="19">
        <v>0</v>
      </c>
      <c r="I3080" s="15">
        <v>3500</v>
      </c>
      <c r="J3080" s="15">
        <v>0</v>
      </c>
      <c r="K3080" s="15">
        <v>0</v>
      </c>
      <c r="L3080" s="15">
        <v>0</v>
      </c>
      <c r="M3080" s="15">
        <v>0</v>
      </c>
      <c r="N3080" s="15" t="str">
        <v/>
      </c>
      <c r="O3080" s="15" t="str">
        <v/>
      </c>
      <c r="P3080" s="22">
        <v>0</v>
      </c>
      <c r="Q3080">
        <v>0</v>
      </c>
    </row>
    <row r="3081" spans="1:17">
      <c r="A3081" s="19">
        <v>0</v>
      </c>
      <c r="B3081" s="19">
        <v>0</v>
      </c>
      <c r="C3081" s="19">
        <v>0</v>
      </c>
      <c r="D3081" s="19">
        <v>0</v>
      </c>
      <c r="E3081" s="19">
        <v>0</v>
      </c>
      <c r="F3081" s="19">
        <v>0</v>
      </c>
      <c r="G3081" s="19">
        <v>0</v>
      </c>
      <c r="H3081" s="19">
        <v>0</v>
      </c>
      <c r="I3081" s="15">
        <v>3500</v>
      </c>
      <c r="J3081" s="15">
        <v>0</v>
      </c>
      <c r="K3081" s="15">
        <v>0</v>
      </c>
      <c r="L3081" s="15">
        <v>0</v>
      </c>
      <c r="M3081" s="15">
        <v>0</v>
      </c>
      <c r="N3081" s="15" t="str">
        <v/>
      </c>
      <c r="O3081" s="15" t="str">
        <v/>
      </c>
      <c r="P3081" s="22">
        <v>0</v>
      </c>
      <c r="Q3081">
        <v>0</v>
      </c>
    </row>
    <row r="3082" spans="1:17">
      <c r="A3082" s="19">
        <v>0</v>
      </c>
      <c r="B3082" s="19">
        <v>0</v>
      </c>
      <c r="C3082" s="19">
        <v>0</v>
      </c>
      <c r="D3082" s="19">
        <v>0</v>
      </c>
      <c r="E3082" s="19">
        <v>0</v>
      </c>
      <c r="F3082" s="19">
        <v>0</v>
      </c>
      <c r="G3082" s="19">
        <v>0</v>
      </c>
      <c r="H3082" s="19">
        <v>0</v>
      </c>
      <c r="I3082" s="15">
        <v>3500</v>
      </c>
      <c r="J3082" s="15">
        <v>0</v>
      </c>
      <c r="K3082" s="15">
        <v>0</v>
      </c>
      <c r="L3082" s="15">
        <v>0</v>
      </c>
      <c r="M3082" s="15">
        <v>0</v>
      </c>
      <c r="N3082" s="15" t="str">
        <v/>
      </c>
      <c r="O3082" s="15" t="str">
        <v/>
      </c>
      <c r="P3082" s="22">
        <v>0</v>
      </c>
      <c r="Q3082">
        <v>0</v>
      </c>
    </row>
    <row r="3083" spans="1:17">
      <c r="A3083" s="19">
        <v>0</v>
      </c>
      <c r="B3083" s="19">
        <v>0</v>
      </c>
      <c r="C3083" s="19">
        <v>0</v>
      </c>
      <c r="D3083" s="19">
        <v>0</v>
      </c>
      <c r="E3083" s="19">
        <v>0</v>
      </c>
      <c r="F3083" s="19">
        <v>0</v>
      </c>
      <c r="G3083" s="19">
        <v>0</v>
      </c>
      <c r="H3083" s="19">
        <v>0</v>
      </c>
      <c r="I3083" s="15">
        <v>3500</v>
      </c>
      <c r="J3083" s="15">
        <v>0</v>
      </c>
      <c r="K3083" s="15">
        <v>0</v>
      </c>
      <c r="L3083" s="15">
        <v>0</v>
      </c>
      <c r="M3083" s="15">
        <v>0</v>
      </c>
      <c r="N3083" s="15" t="str">
        <v/>
      </c>
      <c r="O3083" s="15" t="str">
        <v/>
      </c>
      <c r="P3083" s="22">
        <v>0</v>
      </c>
      <c r="Q3083">
        <v>0</v>
      </c>
    </row>
    <row r="3084" spans="1:17">
      <c r="A3084" s="19">
        <v>0</v>
      </c>
      <c r="B3084" s="19">
        <v>0</v>
      </c>
      <c r="C3084" s="19">
        <v>0</v>
      </c>
      <c r="D3084" s="19">
        <v>0</v>
      </c>
      <c r="E3084" s="19">
        <v>0</v>
      </c>
      <c r="F3084" s="19">
        <v>0</v>
      </c>
      <c r="G3084" s="19">
        <v>0</v>
      </c>
      <c r="H3084" s="19">
        <v>0</v>
      </c>
      <c r="I3084" s="15">
        <v>3500</v>
      </c>
      <c r="J3084" s="15">
        <v>0</v>
      </c>
      <c r="K3084" s="15">
        <v>0</v>
      </c>
      <c r="L3084" s="15">
        <v>0</v>
      </c>
      <c r="M3084" s="15">
        <v>0</v>
      </c>
      <c r="N3084" s="15" t="str">
        <v/>
      </c>
      <c r="O3084" s="15" t="str">
        <v/>
      </c>
      <c r="P3084" s="22">
        <v>0</v>
      </c>
      <c r="Q3084">
        <v>0</v>
      </c>
    </row>
    <row r="3085" spans="1:17">
      <c r="A3085" s="19">
        <v>0</v>
      </c>
      <c r="B3085" s="19">
        <v>0</v>
      </c>
      <c r="C3085" s="19">
        <v>0</v>
      </c>
      <c r="D3085" s="19">
        <v>0</v>
      </c>
      <c r="E3085" s="19">
        <v>0</v>
      </c>
      <c r="F3085" s="19">
        <v>0</v>
      </c>
      <c r="G3085" s="19">
        <v>0</v>
      </c>
      <c r="H3085" s="19">
        <v>0</v>
      </c>
      <c r="I3085" s="15">
        <v>3500</v>
      </c>
      <c r="J3085" s="15">
        <v>0</v>
      </c>
      <c r="K3085" s="15">
        <v>0</v>
      </c>
      <c r="L3085" s="15">
        <v>0</v>
      </c>
      <c r="M3085" s="15">
        <v>0</v>
      </c>
      <c r="N3085" s="15" t="str">
        <v/>
      </c>
      <c r="O3085" s="15" t="str">
        <v/>
      </c>
      <c r="P3085" s="22">
        <v>0</v>
      </c>
      <c r="Q3085">
        <v>0</v>
      </c>
    </row>
    <row r="3086" spans="1:17">
      <c r="A3086" s="19">
        <v>0</v>
      </c>
      <c r="B3086" s="19">
        <v>0</v>
      </c>
      <c r="C3086" s="19">
        <v>0</v>
      </c>
      <c r="D3086" s="19">
        <v>0</v>
      </c>
      <c r="E3086" s="19">
        <v>0</v>
      </c>
      <c r="F3086" s="19">
        <v>0</v>
      </c>
      <c r="G3086" s="19">
        <v>0</v>
      </c>
      <c r="H3086" s="19">
        <v>0</v>
      </c>
      <c r="I3086" s="15">
        <v>3500</v>
      </c>
      <c r="J3086" s="15">
        <v>0</v>
      </c>
      <c r="K3086" s="15">
        <v>0</v>
      </c>
      <c r="L3086" s="15">
        <v>0</v>
      </c>
      <c r="M3086" s="15">
        <v>0</v>
      </c>
      <c r="N3086" s="15" t="str">
        <v/>
      </c>
      <c r="O3086" s="15" t="str">
        <v/>
      </c>
      <c r="P3086" s="22">
        <v>0</v>
      </c>
      <c r="Q3086">
        <v>0</v>
      </c>
    </row>
    <row r="3087" spans="1:17">
      <c r="A3087" s="19">
        <v>0</v>
      </c>
      <c r="B3087" s="19">
        <v>0</v>
      </c>
      <c r="C3087" s="19">
        <v>0</v>
      </c>
      <c r="D3087" s="19">
        <v>0</v>
      </c>
      <c r="E3087" s="19">
        <v>0</v>
      </c>
      <c r="F3087" s="19">
        <v>0</v>
      </c>
      <c r="G3087" s="19">
        <v>0</v>
      </c>
      <c r="H3087" s="19">
        <v>0</v>
      </c>
      <c r="I3087" s="15">
        <v>3500</v>
      </c>
      <c r="J3087" s="15">
        <v>0</v>
      </c>
      <c r="K3087" s="15">
        <v>0</v>
      </c>
      <c r="L3087" s="15">
        <v>0</v>
      </c>
      <c r="M3087" s="15">
        <v>0</v>
      </c>
      <c r="N3087" s="15" t="str">
        <v/>
      </c>
      <c r="O3087" s="15" t="str">
        <v/>
      </c>
      <c r="P3087" s="22">
        <v>0</v>
      </c>
      <c r="Q3087">
        <v>0</v>
      </c>
    </row>
    <row r="3088" spans="1:17">
      <c r="A3088" s="19">
        <v>0</v>
      </c>
      <c r="B3088" s="19">
        <v>0</v>
      </c>
      <c r="C3088" s="19">
        <v>0</v>
      </c>
      <c r="D3088" s="19">
        <v>0</v>
      </c>
      <c r="E3088" s="19">
        <v>0</v>
      </c>
      <c r="F3088" s="19">
        <v>0</v>
      </c>
      <c r="G3088" s="19">
        <v>0</v>
      </c>
      <c r="H3088" s="19">
        <v>0</v>
      </c>
      <c r="I3088" s="15">
        <v>3500</v>
      </c>
      <c r="J3088" s="15">
        <v>0</v>
      </c>
      <c r="K3088" s="15">
        <v>0</v>
      </c>
      <c r="L3088" s="15">
        <v>0</v>
      </c>
      <c r="M3088" s="15">
        <v>0</v>
      </c>
      <c r="N3088" s="15" t="str">
        <v/>
      </c>
      <c r="O3088" s="15" t="str">
        <v/>
      </c>
      <c r="P3088" s="22">
        <v>0</v>
      </c>
      <c r="Q3088">
        <v>0</v>
      </c>
    </row>
    <row r="3089" spans="1:17">
      <c r="A3089" s="19">
        <v>0</v>
      </c>
      <c r="B3089" s="19">
        <v>0</v>
      </c>
      <c r="C3089" s="19">
        <v>0</v>
      </c>
      <c r="D3089" s="19">
        <v>0</v>
      </c>
      <c r="E3089" s="19">
        <v>0</v>
      </c>
      <c r="F3089" s="19">
        <v>0</v>
      </c>
      <c r="G3089" s="19">
        <v>0</v>
      </c>
      <c r="H3089" s="19">
        <v>0</v>
      </c>
      <c r="I3089" s="15">
        <v>3500</v>
      </c>
      <c r="J3089" s="15">
        <v>0</v>
      </c>
      <c r="K3089" s="15">
        <v>0</v>
      </c>
      <c r="L3089" s="15">
        <v>0</v>
      </c>
      <c r="M3089" s="15">
        <v>0</v>
      </c>
      <c r="N3089" s="15" t="str">
        <v/>
      </c>
      <c r="O3089" s="15" t="str">
        <v/>
      </c>
      <c r="P3089" s="22">
        <v>0</v>
      </c>
      <c r="Q3089">
        <v>0</v>
      </c>
    </row>
    <row r="3090" spans="1:17">
      <c r="A3090" s="19">
        <v>0</v>
      </c>
      <c r="B3090" s="19">
        <v>0</v>
      </c>
      <c r="C3090" s="19">
        <v>0</v>
      </c>
      <c r="D3090" s="19">
        <v>0</v>
      </c>
      <c r="E3090" s="19">
        <v>0</v>
      </c>
      <c r="F3090" s="19">
        <v>0</v>
      </c>
      <c r="G3090" s="19">
        <v>0</v>
      </c>
      <c r="H3090" s="19">
        <v>0</v>
      </c>
      <c r="I3090" s="15">
        <v>3500</v>
      </c>
      <c r="J3090" s="15">
        <v>0</v>
      </c>
      <c r="K3090" s="15">
        <v>0</v>
      </c>
      <c r="L3090" s="15">
        <v>0</v>
      </c>
      <c r="M3090" s="15">
        <v>0</v>
      </c>
      <c r="N3090" s="15" t="str">
        <v/>
      </c>
      <c r="O3090" s="15" t="str">
        <v/>
      </c>
      <c r="P3090" s="22">
        <v>0</v>
      </c>
      <c r="Q3090">
        <v>0</v>
      </c>
    </row>
    <row r="3091" spans="1:17">
      <c r="A3091" s="19">
        <v>0</v>
      </c>
      <c r="B3091" s="19">
        <v>0</v>
      </c>
      <c r="C3091" s="19">
        <v>0</v>
      </c>
      <c r="D3091" s="19">
        <v>0</v>
      </c>
      <c r="E3091" s="19">
        <v>0</v>
      </c>
      <c r="F3091" s="19">
        <v>0</v>
      </c>
      <c r="G3091" s="19">
        <v>0</v>
      </c>
      <c r="H3091" s="19">
        <v>0</v>
      </c>
      <c r="I3091" s="15">
        <v>3500</v>
      </c>
      <c r="J3091" s="15">
        <v>0</v>
      </c>
      <c r="K3091" s="15">
        <v>0</v>
      </c>
      <c r="L3091" s="15">
        <v>0</v>
      </c>
      <c r="M3091" s="15">
        <v>0</v>
      </c>
      <c r="N3091" s="15" t="str">
        <v/>
      </c>
      <c r="O3091" s="15" t="str">
        <v/>
      </c>
      <c r="P3091" s="22">
        <v>0</v>
      </c>
      <c r="Q3091">
        <v>0</v>
      </c>
    </row>
    <row r="3092" spans="1:17">
      <c r="A3092" s="19">
        <v>0</v>
      </c>
      <c r="B3092" s="19">
        <v>0</v>
      </c>
      <c r="C3092" s="19">
        <v>0</v>
      </c>
      <c r="D3092" s="19">
        <v>0</v>
      </c>
      <c r="E3092" s="19">
        <v>0</v>
      </c>
      <c r="F3092" s="19">
        <v>0</v>
      </c>
      <c r="G3092" s="19">
        <v>0</v>
      </c>
      <c r="H3092" s="19">
        <v>0</v>
      </c>
      <c r="I3092" s="15">
        <v>3500</v>
      </c>
      <c r="J3092" s="15">
        <v>0</v>
      </c>
      <c r="K3092" s="15">
        <v>0</v>
      </c>
      <c r="L3092" s="15">
        <v>0</v>
      </c>
      <c r="M3092" s="15">
        <v>0</v>
      </c>
      <c r="N3092" s="15" t="str">
        <v/>
      </c>
      <c r="O3092" s="15" t="str">
        <v/>
      </c>
      <c r="P3092" s="22">
        <v>0</v>
      </c>
      <c r="Q3092">
        <v>0</v>
      </c>
    </row>
    <row r="3093" spans="1:17">
      <c r="A3093" s="19">
        <v>0</v>
      </c>
      <c r="B3093" s="19">
        <v>0</v>
      </c>
      <c r="C3093" s="19">
        <v>0</v>
      </c>
      <c r="D3093" s="19">
        <v>0</v>
      </c>
      <c r="E3093" s="19">
        <v>0</v>
      </c>
      <c r="F3093" s="19">
        <v>0</v>
      </c>
      <c r="G3093" s="19">
        <v>0</v>
      </c>
      <c r="H3093" s="19">
        <v>0</v>
      </c>
      <c r="I3093" s="15">
        <v>3500</v>
      </c>
      <c r="J3093" s="15">
        <v>0</v>
      </c>
      <c r="K3093" s="15">
        <v>0</v>
      </c>
      <c r="L3093" s="15">
        <v>0</v>
      </c>
      <c r="M3093" s="15">
        <v>0</v>
      </c>
      <c r="N3093" s="15" t="str">
        <v/>
      </c>
      <c r="O3093" s="15" t="str">
        <v/>
      </c>
      <c r="P3093" s="22">
        <v>0</v>
      </c>
      <c r="Q3093">
        <v>0</v>
      </c>
    </row>
    <row r="3094" spans="1:17">
      <c r="A3094" s="19">
        <v>0</v>
      </c>
      <c r="B3094" s="19">
        <v>0</v>
      </c>
      <c r="C3094" s="19">
        <v>0</v>
      </c>
      <c r="D3094" s="19">
        <v>0</v>
      </c>
      <c r="E3094" s="19">
        <v>0</v>
      </c>
      <c r="F3094" s="19">
        <v>0</v>
      </c>
      <c r="G3094" s="19">
        <v>0</v>
      </c>
      <c r="H3094" s="19">
        <v>0</v>
      </c>
      <c r="I3094" s="15">
        <v>3500</v>
      </c>
      <c r="J3094" s="15">
        <v>0</v>
      </c>
      <c r="K3094" s="15">
        <v>0</v>
      </c>
      <c r="L3094" s="15">
        <v>0</v>
      </c>
      <c r="M3094" s="15">
        <v>0</v>
      </c>
      <c r="N3094" s="15" t="str">
        <v/>
      </c>
      <c r="O3094" s="15" t="str">
        <v/>
      </c>
      <c r="P3094" s="22">
        <v>0</v>
      </c>
      <c r="Q3094">
        <v>0</v>
      </c>
    </row>
    <row r="3095" spans="1:17">
      <c r="A3095" s="19">
        <v>0</v>
      </c>
      <c r="B3095" s="19">
        <v>0</v>
      </c>
      <c r="C3095" s="19">
        <v>0</v>
      </c>
      <c r="D3095" s="19">
        <v>0</v>
      </c>
      <c r="E3095" s="19">
        <v>0</v>
      </c>
      <c r="F3095" s="19">
        <v>0</v>
      </c>
      <c r="G3095" s="19">
        <v>0</v>
      </c>
      <c r="H3095" s="19">
        <v>0</v>
      </c>
      <c r="I3095" s="15">
        <v>3500</v>
      </c>
      <c r="J3095" s="15">
        <v>0</v>
      </c>
      <c r="K3095" s="15">
        <v>0</v>
      </c>
      <c r="L3095" s="15">
        <v>0</v>
      </c>
      <c r="M3095" s="15">
        <v>0</v>
      </c>
      <c r="N3095" s="15" t="str">
        <v/>
      </c>
      <c r="O3095" s="15" t="str">
        <v/>
      </c>
      <c r="P3095" s="22">
        <v>0</v>
      </c>
      <c r="Q3095">
        <v>0</v>
      </c>
    </row>
    <row r="3096" spans="1:17">
      <c r="A3096" s="19">
        <v>0</v>
      </c>
      <c r="B3096" s="19">
        <v>0</v>
      </c>
      <c r="C3096" s="19">
        <v>0</v>
      </c>
      <c r="D3096" s="19">
        <v>0</v>
      </c>
      <c r="E3096" s="19">
        <v>0</v>
      </c>
      <c r="F3096" s="19">
        <v>0</v>
      </c>
      <c r="G3096" s="19">
        <v>0</v>
      </c>
      <c r="H3096" s="19">
        <v>0</v>
      </c>
      <c r="I3096" s="15">
        <v>3500</v>
      </c>
      <c r="J3096" s="15">
        <v>0</v>
      </c>
      <c r="K3096" s="15">
        <v>0</v>
      </c>
      <c r="L3096" s="15">
        <v>0</v>
      </c>
      <c r="M3096" s="15">
        <v>0</v>
      </c>
      <c r="N3096" s="15" t="str">
        <v/>
      </c>
      <c r="O3096" s="15" t="str">
        <v/>
      </c>
      <c r="P3096" s="22">
        <v>0</v>
      </c>
      <c r="Q3096">
        <v>0</v>
      </c>
    </row>
    <row r="3097" spans="1:17">
      <c r="A3097" s="19">
        <v>0</v>
      </c>
      <c r="B3097" s="19">
        <v>0</v>
      </c>
      <c r="C3097" s="19">
        <v>0</v>
      </c>
      <c r="D3097" s="19">
        <v>0</v>
      </c>
      <c r="E3097" s="19">
        <v>0</v>
      </c>
      <c r="F3097" s="19">
        <v>0</v>
      </c>
      <c r="G3097" s="19">
        <v>0</v>
      </c>
      <c r="H3097" s="19">
        <v>0</v>
      </c>
      <c r="I3097" s="15">
        <v>3500</v>
      </c>
      <c r="J3097" s="15">
        <v>0</v>
      </c>
      <c r="K3097" s="15">
        <v>0</v>
      </c>
      <c r="L3097" s="15">
        <v>0</v>
      </c>
      <c r="M3097" s="15">
        <v>0</v>
      </c>
      <c r="N3097" s="15" t="str">
        <v/>
      </c>
      <c r="O3097" s="15" t="str">
        <v/>
      </c>
      <c r="P3097" s="22">
        <v>0</v>
      </c>
      <c r="Q3097">
        <v>0</v>
      </c>
    </row>
    <row r="3098" spans="1:17">
      <c r="A3098" s="19">
        <v>0</v>
      </c>
      <c r="B3098" s="19">
        <v>0</v>
      </c>
      <c r="C3098" s="19">
        <v>0</v>
      </c>
      <c r="D3098" s="19">
        <v>0</v>
      </c>
      <c r="E3098" s="19">
        <v>0</v>
      </c>
      <c r="F3098" s="19">
        <v>0</v>
      </c>
      <c r="G3098" s="19">
        <v>0</v>
      </c>
      <c r="H3098" s="19">
        <v>0</v>
      </c>
      <c r="I3098" s="15">
        <v>3500</v>
      </c>
      <c r="J3098" s="15">
        <v>0</v>
      </c>
      <c r="K3098" s="15">
        <v>0</v>
      </c>
      <c r="L3098" s="15">
        <v>0</v>
      </c>
      <c r="M3098" s="15">
        <v>0</v>
      </c>
      <c r="N3098" s="15" t="str">
        <v/>
      </c>
      <c r="O3098" s="15" t="str">
        <v/>
      </c>
      <c r="P3098" s="22">
        <v>0</v>
      </c>
      <c r="Q3098">
        <v>0</v>
      </c>
    </row>
    <row r="3099" spans="1:17">
      <c r="A3099" s="19">
        <v>0</v>
      </c>
      <c r="B3099" s="19">
        <v>0</v>
      </c>
      <c r="C3099" s="19">
        <v>0</v>
      </c>
      <c r="D3099" s="19">
        <v>0</v>
      </c>
      <c r="E3099" s="19">
        <v>0</v>
      </c>
      <c r="F3099" s="19">
        <v>0</v>
      </c>
      <c r="G3099" s="19">
        <v>0</v>
      </c>
      <c r="H3099" s="19">
        <v>0</v>
      </c>
      <c r="I3099" s="15">
        <v>3500</v>
      </c>
      <c r="J3099" s="15">
        <v>0</v>
      </c>
      <c r="K3099" s="15">
        <v>0</v>
      </c>
      <c r="L3099" s="15">
        <v>0</v>
      </c>
      <c r="M3099" s="15">
        <v>0</v>
      </c>
      <c r="N3099" s="15" t="str">
        <v/>
      </c>
      <c r="O3099" s="15" t="str">
        <v/>
      </c>
      <c r="P3099" s="22">
        <v>0</v>
      </c>
      <c r="Q3099">
        <v>0</v>
      </c>
    </row>
    <row r="3100" spans="1:17">
      <c r="A3100" s="19">
        <v>0</v>
      </c>
      <c r="B3100" s="19">
        <v>0</v>
      </c>
      <c r="C3100" s="19">
        <v>0</v>
      </c>
      <c r="D3100" s="19">
        <v>0</v>
      </c>
      <c r="E3100" s="19">
        <v>0</v>
      </c>
      <c r="F3100" s="19">
        <v>0</v>
      </c>
      <c r="G3100" s="19">
        <v>0</v>
      </c>
      <c r="H3100" s="19">
        <v>0</v>
      </c>
      <c r="I3100" s="15">
        <v>3500</v>
      </c>
      <c r="J3100" s="15">
        <v>0</v>
      </c>
      <c r="K3100" s="15">
        <v>0</v>
      </c>
      <c r="L3100" s="15">
        <v>0</v>
      </c>
      <c r="M3100" s="15">
        <v>0</v>
      </c>
      <c r="N3100" s="15" t="str">
        <v/>
      </c>
      <c r="O3100" s="15" t="str">
        <v/>
      </c>
      <c r="P3100" s="22">
        <v>0</v>
      </c>
      <c r="Q3100">
        <v>0</v>
      </c>
    </row>
    <row r="3101" spans="1:17">
      <c r="A3101" s="19">
        <v>0</v>
      </c>
      <c r="B3101" s="19">
        <v>0</v>
      </c>
      <c r="C3101" s="19">
        <v>0</v>
      </c>
      <c r="D3101" s="19">
        <v>0</v>
      </c>
      <c r="E3101" s="19">
        <v>0</v>
      </c>
      <c r="F3101" s="19">
        <v>0</v>
      </c>
      <c r="G3101" s="19">
        <v>0</v>
      </c>
      <c r="H3101" s="19">
        <v>0</v>
      </c>
      <c r="I3101" s="15">
        <v>3500</v>
      </c>
      <c r="J3101" s="15">
        <v>0</v>
      </c>
      <c r="K3101" s="15">
        <v>0</v>
      </c>
      <c r="L3101" s="15">
        <v>0</v>
      </c>
      <c r="M3101" s="15">
        <v>0</v>
      </c>
      <c r="N3101" s="15" t="str">
        <v/>
      </c>
      <c r="O3101" s="15" t="str">
        <v/>
      </c>
      <c r="P3101" s="22">
        <v>0</v>
      </c>
      <c r="Q3101">
        <v>0</v>
      </c>
    </row>
    <row r="3102" spans="1:17">
      <c r="A3102" s="19">
        <v>0</v>
      </c>
      <c r="B3102" s="19">
        <v>0</v>
      </c>
      <c r="C3102" s="19">
        <v>0</v>
      </c>
      <c r="D3102" s="19">
        <v>0</v>
      </c>
      <c r="E3102" s="19">
        <v>0</v>
      </c>
      <c r="F3102" s="19">
        <v>0</v>
      </c>
      <c r="G3102" s="19">
        <v>0</v>
      </c>
      <c r="H3102" s="19">
        <v>0</v>
      </c>
      <c r="I3102" s="15">
        <v>3500</v>
      </c>
      <c r="J3102" s="15">
        <v>0</v>
      </c>
      <c r="K3102" s="15">
        <v>0</v>
      </c>
      <c r="L3102" s="15">
        <v>0</v>
      </c>
      <c r="M3102" s="15">
        <v>0</v>
      </c>
      <c r="N3102" s="15" t="str">
        <v/>
      </c>
      <c r="O3102" s="15" t="str">
        <v/>
      </c>
      <c r="P3102" s="22">
        <v>0</v>
      </c>
      <c r="Q3102">
        <v>0</v>
      </c>
    </row>
    <row r="3103" spans="1:17">
      <c r="A3103" s="19">
        <v>0</v>
      </c>
      <c r="B3103" s="19">
        <v>0</v>
      </c>
      <c r="C3103" s="19">
        <v>0</v>
      </c>
      <c r="D3103" s="19">
        <v>0</v>
      </c>
      <c r="E3103" s="19">
        <v>0</v>
      </c>
      <c r="F3103" s="19">
        <v>0</v>
      </c>
      <c r="G3103" s="19">
        <v>0</v>
      </c>
      <c r="H3103" s="19">
        <v>0</v>
      </c>
      <c r="I3103" s="15">
        <v>3500</v>
      </c>
      <c r="J3103" s="15">
        <v>0</v>
      </c>
      <c r="K3103" s="15">
        <v>0</v>
      </c>
      <c r="L3103" s="15">
        <v>0</v>
      </c>
      <c r="M3103" s="15">
        <v>0</v>
      </c>
      <c r="N3103" s="15" t="str">
        <v/>
      </c>
      <c r="O3103" s="15" t="str">
        <v/>
      </c>
      <c r="P3103" s="22">
        <v>0</v>
      </c>
      <c r="Q3103">
        <v>0</v>
      </c>
    </row>
    <row r="3104" spans="1:17">
      <c r="A3104" s="19">
        <v>0</v>
      </c>
      <c r="B3104" s="19">
        <v>0</v>
      </c>
      <c r="C3104" s="19">
        <v>0</v>
      </c>
      <c r="D3104" s="19">
        <v>0</v>
      </c>
      <c r="E3104" s="19">
        <v>0</v>
      </c>
      <c r="F3104" s="19">
        <v>0</v>
      </c>
      <c r="G3104" s="19">
        <v>0</v>
      </c>
      <c r="H3104" s="19">
        <v>0</v>
      </c>
      <c r="I3104" s="15">
        <v>3500</v>
      </c>
      <c r="J3104" s="15">
        <v>0</v>
      </c>
      <c r="K3104" s="15">
        <v>0</v>
      </c>
      <c r="L3104" s="15">
        <v>0</v>
      </c>
      <c r="M3104" s="15">
        <v>0</v>
      </c>
      <c r="N3104" s="15" t="str">
        <v/>
      </c>
      <c r="O3104" s="15" t="str">
        <v/>
      </c>
      <c r="P3104" s="22">
        <v>0</v>
      </c>
      <c r="Q3104">
        <v>0</v>
      </c>
    </row>
    <row r="3105" spans="1:17">
      <c r="A3105" s="19">
        <v>0</v>
      </c>
      <c r="B3105" s="19">
        <v>0</v>
      </c>
      <c r="C3105" s="19">
        <v>0</v>
      </c>
      <c r="D3105" s="19">
        <v>0</v>
      </c>
      <c r="E3105" s="19">
        <v>0</v>
      </c>
      <c r="F3105" s="19">
        <v>0</v>
      </c>
      <c r="G3105" s="19">
        <v>0</v>
      </c>
      <c r="H3105" s="19">
        <v>0</v>
      </c>
      <c r="I3105" s="15">
        <v>3500</v>
      </c>
      <c r="J3105" s="15">
        <v>0</v>
      </c>
      <c r="K3105" s="15">
        <v>0</v>
      </c>
      <c r="L3105" s="15">
        <v>0</v>
      </c>
      <c r="M3105" s="15">
        <v>0</v>
      </c>
      <c r="N3105" s="15" t="str">
        <v/>
      </c>
      <c r="O3105" s="15" t="str">
        <v/>
      </c>
      <c r="P3105" s="22">
        <v>0</v>
      </c>
      <c r="Q3105">
        <v>0</v>
      </c>
    </row>
    <row r="3106" spans="1:17">
      <c r="A3106" s="19">
        <v>0</v>
      </c>
      <c r="B3106" s="19">
        <v>0</v>
      </c>
      <c r="C3106" s="19">
        <v>0</v>
      </c>
      <c r="D3106" s="19">
        <v>0</v>
      </c>
      <c r="E3106" s="19">
        <v>0</v>
      </c>
      <c r="F3106" s="19">
        <v>0</v>
      </c>
      <c r="G3106" s="19">
        <v>0</v>
      </c>
      <c r="H3106" s="19">
        <v>0</v>
      </c>
      <c r="I3106" s="15">
        <v>3500</v>
      </c>
      <c r="J3106" s="15">
        <v>0</v>
      </c>
      <c r="K3106" s="15">
        <v>0</v>
      </c>
      <c r="L3106" s="15">
        <v>0</v>
      </c>
      <c r="M3106" s="15">
        <v>0</v>
      </c>
      <c r="N3106" s="15" t="str">
        <v/>
      </c>
      <c r="O3106" s="15" t="str">
        <v/>
      </c>
      <c r="P3106" s="22">
        <v>0</v>
      </c>
      <c r="Q3106">
        <v>0</v>
      </c>
    </row>
    <row r="3107" spans="1:17">
      <c r="A3107" s="19">
        <v>0</v>
      </c>
      <c r="B3107" s="19">
        <v>0</v>
      </c>
      <c r="C3107" s="19">
        <v>0</v>
      </c>
      <c r="D3107" s="19">
        <v>0</v>
      </c>
      <c r="E3107" s="19">
        <v>0</v>
      </c>
      <c r="F3107" s="19">
        <v>0</v>
      </c>
      <c r="G3107" s="19">
        <v>0</v>
      </c>
      <c r="H3107" s="19">
        <v>0</v>
      </c>
      <c r="I3107" s="15">
        <v>3500</v>
      </c>
      <c r="J3107" s="15">
        <v>0</v>
      </c>
      <c r="K3107" s="15">
        <v>0</v>
      </c>
      <c r="L3107" s="15">
        <v>0</v>
      </c>
      <c r="M3107" s="15">
        <v>0</v>
      </c>
      <c r="N3107" s="15" t="str">
        <v/>
      </c>
      <c r="O3107" s="15" t="str">
        <v/>
      </c>
      <c r="P3107" s="22">
        <v>0</v>
      </c>
      <c r="Q3107">
        <v>0</v>
      </c>
    </row>
    <row r="3108" spans="1:17">
      <c r="A3108" s="19">
        <v>0</v>
      </c>
      <c r="B3108" s="19">
        <v>0</v>
      </c>
      <c r="C3108" s="19">
        <v>0</v>
      </c>
      <c r="D3108" s="19">
        <v>0</v>
      </c>
      <c r="E3108" s="19">
        <v>0</v>
      </c>
      <c r="F3108" s="19">
        <v>0</v>
      </c>
      <c r="G3108" s="19">
        <v>0</v>
      </c>
      <c r="H3108" s="19">
        <v>0</v>
      </c>
      <c r="I3108" s="15">
        <v>3500</v>
      </c>
      <c r="J3108" s="15">
        <v>0</v>
      </c>
      <c r="K3108" s="15">
        <v>0</v>
      </c>
      <c r="L3108" s="15">
        <v>0</v>
      </c>
      <c r="M3108" s="15">
        <v>0</v>
      </c>
      <c r="N3108" s="15" t="str">
        <v/>
      </c>
      <c r="O3108" s="15" t="str">
        <v/>
      </c>
      <c r="P3108" s="22">
        <v>0</v>
      </c>
      <c r="Q3108">
        <v>0</v>
      </c>
    </row>
    <row r="3109" spans="1:17">
      <c r="A3109" s="19">
        <v>0</v>
      </c>
      <c r="B3109" s="19">
        <v>0</v>
      </c>
      <c r="C3109" s="19">
        <v>0</v>
      </c>
      <c r="D3109" s="19">
        <v>0</v>
      </c>
      <c r="E3109" s="19">
        <v>0</v>
      </c>
      <c r="F3109" s="19">
        <v>0</v>
      </c>
      <c r="G3109" s="19">
        <v>0</v>
      </c>
      <c r="H3109" s="19">
        <v>0</v>
      </c>
      <c r="I3109" s="15">
        <v>3500</v>
      </c>
      <c r="J3109" s="15">
        <v>0</v>
      </c>
      <c r="K3109" s="15">
        <v>0</v>
      </c>
      <c r="L3109" s="15">
        <v>0</v>
      </c>
      <c r="M3109" s="15">
        <v>0</v>
      </c>
      <c r="N3109" s="15" t="str">
        <v/>
      </c>
      <c r="O3109" s="15" t="str">
        <v/>
      </c>
      <c r="P3109" s="22">
        <v>0</v>
      </c>
      <c r="Q3109">
        <v>0</v>
      </c>
    </row>
    <row r="3110" spans="1:17">
      <c r="A3110" s="19">
        <v>0</v>
      </c>
      <c r="B3110" s="19">
        <v>0</v>
      </c>
      <c r="C3110" s="19">
        <v>0</v>
      </c>
      <c r="D3110" s="19">
        <v>0</v>
      </c>
      <c r="E3110" s="19">
        <v>0</v>
      </c>
      <c r="F3110" s="19">
        <v>0</v>
      </c>
      <c r="G3110" s="19">
        <v>0</v>
      </c>
      <c r="H3110" s="19">
        <v>0</v>
      </c>
      <c r="I3110" s="15">
        <v>3500</v>
      </c>
      <c r="J3110" s="15">
        <v>0</v>
      </c>
      <c r="K3110" s="15">
        <v>0</v>
      </c>
      <c r="L3110" s="15">
        <v>0</v>
      </c>
      <c r="M3110" s="15">
        <v>0</v>
      </c>
      <c r="N3110" s="15" t="str">
        <v/>
      </c>
      <c r="O3110" s="15" t="str">
        <v/>
      </c>
      <c r="P3110" s="22">
        <v>0</v>
      </c>
      <c r="Q3110">
        <v>0</v>
      </c>
    </row>
    <row r="3111" spans="1:17">
      <c r="A3111" s="19">
        <v>0</v>
      </c>
      <c r="B3111" s="19">
        <v>0</v>
      </c>
      <c r="C3111" s="19">
        <v>0</v>
      </c>
      <c r="D3111" s="19">
        <v>0</v>
      </c>
      <c r="E3111" s="19">
        <v>0</v>
      </c>
      <c r="F3111" s="19">
        <v>0</v>
      </c>
      <c r="G3111" s="19">
        <v>0</v>
      </c>
      <c r="H3111" s="19">
        <v>0</v>
      </c>
      <c r="I3111" s="15">
        <v>3500</v>
      </c>
      <c r="J3111" s="15">
        <v>0</v>
      </c>
      <c r="K3111" s="15">
        <v>0</v>
      </c>
      <c r="L3111" s="15">
        <v>0</v>
      </c>
      <c r="M3111" s="15">
        <v>0</v>
      </c>
      <c r="N3111" s="15" t="str">
        <v/>
      </c>
      <c r="O3111" s="15" t="str">
        <v/>
      </c>
      <c r="P3111" s="22">
        <v>0</v>
      </c>
      <c r="Q3111">
        <v>0</v>
      </c>
    </row>
    <row r="3112" spans="1:17">
      <c r="A3112" s="19">
        <v>0</v>
      </c>
      <c r="B3112" s="19">
        <v>0</v>
      </c>
      <c r="C3112" s="19">
        <v>0</v>
      </c>
      <c r="D3112" s="19">
        <v>0</v>
      </c>
      <c r="E3112" s="19">
        <v>0</v>
      </c>
      <c r="F3112" s="19">
        <v>0</v>
      </c>
      <c r="G3112" s="19">
        <v>0</v>
      </c>
      <c r="H3112" s="19">
        <v>0</v>
      </c>
      <c r="I3112" s="15">
        <v>3500</v>
      </c>
      <c r="J3112" s="15">
        <v>0</v>
      </c>
      <c r="K3112" s="15">
        <v>0</v>
      </c>
      <c r="L3112" s="15">
        <v>0</v>
      </c>
      <c r="M3112" s="15">
        <v>0</v>
      </c>
      <c r="N3112" s="15" t="str">
        <v/>
      </c>
      <c r="O3112" s="15" t="str">
        <v/>
      </c>
      <c r="P3112" s="22">
        <v>0</v>
      </c>
      <c r="Q3112">
        <v>0</v>
      </c>
    </row>
    <row r="3113" spans="1:17">
      <c r="A3113" s="19">
        <v>0</v>
      </c>
      <c r="B3113" s="19">
        <v>0</v>
      </c>
      <c r="C3113" s="19">
        <v>0</v>
      </c>
      <c r="D3113" s="19">
        <v>0</v>
      </c>
      <c r="E3113" s="19">
        <v>0</v>
      </c>
      <c r="F3113" s="19">
        <v>0</v>
      </c>
      <c r="G3113" s="19">
        <v>0</v>
      </c>
      <c r="H3113" s="19">
        <v>0</v>
      </c>
      <c r="I3113" s="15">
        <v>3500</v>
      </c>
      <c r="J3113" s="15">
        <v>0</v>
      </c>
      <c r="K3113" s="15">
        <v>0</v>
      </c>
      <c r="L3113" s="15">
        <v>0</v>
      </c>
      <c r="M3113" s="15">
        <v>0</v>
      </c>
      <c r="N3113" s="15" t="str">
        <v/>
      </c>
      <c r="O3113" s="15" t="str">
        <v/>
      </c>
      <c r="P3113" s="22">
        <v>0</v>
      </c>
      <c r="Q3113">
        <v>0</v>
      </c>
    </row>
    <row r="3114" spans="1:17">
      <c r="A3114" s="19">
        <v>0</v>
      </c>
      <c r="B3114" s="19">
        <v>0</v>
      </c>
      <c r="C3114" s="19">
        <v>0</v>
      </c>
      <c r="D3114" s="19">
        <v>0</v>
      </c>
      <c r="E3114" s="19">
        <v>0</v>
      </c>
      <c r="F3114" s="19">
        <v>0</v>
      </c>
      <c r="G3114" s="19">
        <v>0</v>
      </c>
      <c r="H3114" s="19">
        <v>0</v>
      </c>
      <c r="I3114" s="15">
        <v>3500</v>
      </c>
      <c r="J3114" s="15">
        <v>0</v>
      </c>
      <c r="K3114" s="15">
        <v>0</v>
      </c>
      <c r="L3114" s="15">
        <v>0</v>
      </c>
      <c r="M3114" s="15">
        <v>0</v>
      </c>
      <c r="N3114" s="15" t="str">
        <v/>
      </c>
      <c r="O3114" s="15" t="str">
        <v/>
      </c>
      <c r="P3114" s="22">
        <v>0</v>
      </c>
      <c r="Q3114">
        <v>0</v>
      </c>
    </row>
    <row r="3115" spans="1:17">
      <c r="A3115" s="19">
        <v>0</v>
      </c>
      <c r="B3115" s="19">
        <v>0</v>
      </c>
      <c r="C3115" s="19">
        <v>0</v>
      </c>
      <c r="D3115" s="19">
        <v>0</v>
      </c>
      <c r="E3115" s="19">
        <v>0</v>
      </c>
      <c r="F3115" s="19">
        <v>0</v>
      </c>
      <c r="G3115" s="19">
        <v>0</v>
      </c>
      <c r="H3115" s="19">
        <v>0</v>
      </c>
      <c r="I3115" s="15">
        <v>3500</v>
      </c>
      <c r="J3115" s="15">
        <v>0</v>
      </c>
      <c r="K3115" s="15">
        <v>0</v>
      </c>
      <c r="L3115" s="15">
        <v>0</v>
      </c>
      <c r="M3115" s="15">
        <v>0</v>
      </c>
      <c r="N3115" s="15" t="str">
        <v/>
      </c>
      <c r="O3115" s="15" t="str">
        <v/>
      </c>
      <c r="P3115" s="22">
        <v>0</v>
      </c>
      <c r="Q3115">
        <v>0</v>
      </c>
    </row>
    <row r="3116" spans="1:17">
      <c r="A3116" s="19">
        <v>0</v>
      </c>
      <c r="B3116" s="19">
        <v>0</v>
      </c>
      <c r="C3116" s="19">
        <v>0</v>
      </c>
      <c r="D3116" s="19">
        <v>0</v>
      </c>
      <c r="E3116" s="19">
        <v>0</v>
      </c>
      <c r="F3116" s="19">
        <v>0</v>
      </c>
      <c r="G3116" s="19">
        <v>0</v>
      </c>
      <c r="H3116" s="19">
        <v>0</v>
      </c>
      <c r="I3116" s="15">
        <v>3500</v>
      </c>
      <c r="J3116" s="15">
        <v>0</v>
      </c>
      <c r="K3116" s="15">
        <v>0</v>
      </c>
      <c r="L3116" s="15">
        <v>0</v>
      </c>
      <c r="M3116" s="15">
        <v>0</v>
      </c>
      <c r="N3116" s="15" t="str">
        <v/>
      </c>
      <c r="O3116" s="15" t="str">
        <v/>
      </c>
      <c r="P3116" s="22">
        <v>0</v>
      </c>
      <c r="Q3116">
        <v>0</v>
      </c>
    </row>
    <row r="3117" spans="1:17">
      <c r="A3117" s="19">
        <v>0</v>
      </c>
      <c r="B3117" s="19">
        <v>0</v>
      </c>
      <c r="C3117" s="19">
        <v>0</v>
      </c>
      <c r="D3117" s="19">
        <v>0</v>
      </c>
      <c r="E3117" s="19">
        <v>0</v>
      </c>
      <c r="F3117" s="19">
        <v>0</v>
      </c>
      <c r="G3117" s="19">
        <v>0</v>
      </c>
      <c r="H3117" s="19">
        <v>0</v>
      </c>
      <c r="I3117" s="15">
        <v>3500</v>
      </c>
      <c r="J3117" s="15">
        <v>0</v>
      </c>
      <c r="K3117" s="15">
        <v>0</v>
      </c>
      <c r="L3117" s="15">
        <v>0</v>
      </c>
      <c r="M3117" s="15">
        <v>0</v>
      </c>
      <c r="N3117" s="15" t="str">
        <v/>
      </c>
      <c r="O3117" s="15" t="str">
        <v/>
      </c>
      <c r="P3117" s="22">
        <v>0</v>
      </c>
      <c r="Q3117">
        <v>0</v>
      </c>
    </row>
    <row r="3118" spans="1:17">
      <c r="A3118" s="19">
        <v>0</v>
      </c>
      <c r="B3118" s="19">
        <v>0</v>
      </c>
      <c r="C3118" s="19">
        <v>0</v>
      </c>
      <c r="D3118" s="19">
        <v>0</v>
      </c>
      <c r="E3118" s="19">
        <v>0</v>
      </c>
      <c r="F3118" s="19">
        <v>0</v>
      </c>
      <c r="G3118" s="19">
        <v>0</v>
      </c>
      <c r="H3118" s="19">
        <v>0</v>
      </c>
      <c r="I3118" s="15">
        <v>3500</v>
      </c>
      <c r="J3118" s="15">
        <v>0</v>
      </c>
      <c r="K3118" s="15">
        <v>0</v>
      </c>
      <c r="L3118" s="15">
        <v>0</v>
      </c>
      <c r="M3118" s="15">
        <v>0</v>
      </c>
      <c r="N3118" s="15" t="str">
        <v/>
      </c>
      <c r="O3118" s="15" t="str">
        <v/>
      </c>
      <c r="P3118" s="22">
        <v>0</v>
      </c>
      <c r="Q3118">
        <v>0</v>
      </c>
    </row>
    <row r="3119" spans="1:17">
      <c r="A3119" s="19">
        <v>0</v>
      </c>
      <c r="B3119" s="19">
        <v>0</v>
      </c>
      <c r="C3119" s="19">
        <v>0</v>
      </c>
      <c r="D3119" s="19">
        <v>0</v>
      </c>
      <c r="E3119" s="19">
        <v>0</v>
      </c>
      <c r="F3119" s="19">
        <v>0</v>
      </c>
      <c r="G3119" s="19">
        <v>0</v>
      </c>
      <c r="H3119" s="19">
        <v>0</v>
      </c>
      <c r="I3119" s="15">
        <v>3500</v>
      </c>
      <c r="J3119" s="15">
        <v>0</v>
      </c>
      <c r="K3119" s="15">
        <v>0</v>
      </c>
      <c r="L3119" s="15">
        <v>0</v>
      </c>
      <c r="M3119" s="15">
        <v>0</v>
      </c>
      <c r="N3119" s="15" t="str">
        <v/>
      </c>
      <c r="O3119" s="15" t="str">
        <v/>
      </c>
      <c r="P3119" s="22">
        <v>0</v>
      </c>
      <c r="Q3119">
        <v>0</v>
      </c>
    </row>
    <row r="3120" spans="1:17">
      <c r="A3120" s="19">
        <v>0</v>
      </c>
      <c r="B3120" s="19">
        <v>0</v>
      </c>
      <c r="C3120" s="19">
        <v>0</v>
      </c>
      <c r="D3120" s="19">
        <v>0</v>
      </c>
      <c r="E3120" s="19">
        <v>0</v>
      </c>
      <c r="F3120" s="19">
        <v>0</v>
      </c>
      <c r="G3120" s="19">
        <v>0</v>
      </c>
      <c r="H3120" s="19">
        <v>0</v>
      </c>
      <c r="I3120" s="15">
        <v>3500</v>
      </c>
      <c r="J3120" s="15">
        <v>0</v>
      </c>
      <c r="K3120" s="15">
        <v>0</v>
      </c>
      <c r="L3120" s="15">
        <v>0</v>
      </c>
      <c r="M3120" s="15">
        <v>0</v>
      </c>
      <c r="N3120" s="15" t="str">
        <v/>
      </c>
      <c r="O3120" s="15" t="str">
        <v/>
      </c>
      <c r="P3120" s="22">
        <v>0</v>
      </c>
      <c r="Q3120">
        <v>0</v>
      </c>
    </row>
    <row r="3121" spans="1:17">
      <c r="A3121" s="19">
        <v>0</v>
      </c>
      <c r="B3121" s="19">
        <v>0</v>
      </c>
      <c r="C3121" s="19">
        <v>0</v>
      </c>
      <c r="D3121" s="19">
        <v>0</v>
      </c>
      <c r="E3121" s="19">
        <v>0</v>
      </c>
      <c r="F3121" s="19">
        <v>0</v>
      </c>
      <c r="G3121" s="19">
        <v>0</v>
      </c>
      <c r="H3121" s="19">
        <v>0</v>
      </c>
      <c r="I3121" s="15">
        <v>3500</v>
      </c>
      <c r="J3121" s="15">
        <v>0</v>
      </c>
      <c r="K3121" s="15">
        <v>0</v>
      </c>
      <c r="L3121" s="15">
        <v>0</v>
      </c>
      <c r="M3121" s="15">
        <v>0</v>
      </c>
      <c r="N3121" s="15" t="str">
        <v/>
      </c>
      <c r="O3121" s="15" t="str">
        <v/>
      </c>
      <c r="P3121" s="22">
        <v>0</v>
      </c>
      <c r="Q3121">
        <v>0</v>
      </c>
    </row>
    <row r="3122" spans="1:17">
      <c r="A3122" s="19">
        <v>0</v>
      </c>
      <c r="B3122" s="19">
        <v>0</v>
      </c>
      <c r="C3122" s="19">
        <v>0</v>
      </c>
      <c r="D3122" s="19">
        <v>0</v>
      </c>
      <c r="E3122" s="19">
        <v>0</v>
      </c>
      <c r="F3122" s="19">
        <v>0</v>
      </c>
      <c r="G3122" s="19">
        <v>0</v>
      </c>
      <c r="H3122" s="19">
        <v>0</v>
      </c>
      <c r="I3122" s="15">
        <v>3500</v>
      </c>
      <c r="J3122" s="15">
        <v>0</v>
      </c>
      <c r="K3122" s="15">
        <v>0</v>
      </c>
      <c r="L3122" s="15">
        <v>0</v>
      </c>
      <c r="M3122" s="15">
        <v>0</v>
      </c>
      <c r="N3122" s="15" t="str">
        <v/>
      </c>
      <c r="O3122" s="15" t="str">
        <v/>
      </c>
      <c r="P3122" s="22">
        <v>0</v>
      </c>
      <c r="Q3122">
        <v>0</v>
      </c>
    </row>
    <row r="3123" spans="1:17">
      <c r="A3123" s="19">
        <v>0</v>
      </c>
      <c r="B3123" s="19">
        <v>0</v>
      </c>
      <c r="C3123" s="19">
        <v>0</v>
      </c>
      <c r="D3123" s="19">
        <v>0</v>
      </c>
      <c r="E3123" s="19">
        <v>0</v>
      </c>
      <c r="F3123" s="19">
        <v>0</v>
      </c>
      <c r="G3123" s="19">
        <v>0</v>
      </c>
      <c r="H3123" s="19">
        <v>0</v>
      </c>
      <c r="I3123" s="15">
        <v>3500</v>
      </c>
      <c r="J3123" s="15">
        <v>0</v>
      </c>
      <c r="K3123" s="15">
        <v>0</v>
      </c>
      <c r="L3123" s="15">
        <v>0</v>
      </c>
      <c r="M3123" s="15">
        <v>0</v>
      </c>
      <c r="N3123" s="15" t="str">
        <v/>
      </c>
      <c r="O3123" s="15" t="str">
        <v/>
      </c>
      <c r="P3123" s="22">
        <v>0</v>
      </c>
      <c r="Q3123">
        <v>0</v>
      </c>
    </row>
    <row r="3124" spans="1:17">
      <c r="A3124" s="19">
        <v>0</v>
      </c>
      <c r="B3124" s="19">
        <v>0</v>
      </c>
      <c r="C3124" s="19">
        <v>0</v>
      </c>
      <c r="D3124" s="19">
        <v>0</v>
      </c>
      <c r="E3124" s="19">
        <v>0</v>
      </c>
      <c r="F3124" s="19">
        <v>0</v>
      </c>
      <c r="G3124" s="19">
        <v>0</v>
      </c>
      <c r="H3124" s="19">
        <v>0</v>
      </c>
      <c r="I3124" s="15">
        <v>3500</v>
      </c>
      <c r="J3124" s="15">
        <v>0</v>
      </c>
      <c r="K3124" s="15">
        <v>0</v>
      </c>
      <c r="L3124" s="15">
        <v>0</v>
      </c>
      <c r="M3124" s="15">
        <v>0</v>
      </c>
      <c r="N3124" s="15" t="str">
        <v/>
      </c>
      <c r="O3124" s="15" t="str">
        <v/>
      </c>
      <c r="P3124" s="22">
        <v>0</v>
      </c>
      <c r="Q3124">
        <v>0</v>
      </c>
    </row>
    <row r="3125" spans="1:17">
      <c r="A3125" s="19">
        <v>0</v>
      </c>
      <c r="B3125" s="19">
        <v>0</v>
      </c>
      <c r="C3125" s="19">
        <v>0</v>
      </c>
      <c r="D3125" s="19">
        <v>0</v>
      </c>
      <c r="E3125" s="19">
        <v>0</v>
      </c>
      <c r="F3125" s="19">
        <v>0</v>
      </c>
      <c r="G3125" s="19">
        <v>0</v>
      </c>
      <c r="H3125" s="19">
        <v>0</v>
      </c>
      <c r="I3125" s="15">
        <v>3500</v>
      </c>
      <c r="J3125" s="15">
        <v>0</v>
      </c>
      <c r="K3125" s="15">
        <v>0</v>
      </c>
      <c r="L3125" s="15">
        <v>0</v>
      </c>
      <c r="M3125" s="15">
        <v>0</v>
      </c>
      <c r="N3125" s="15" t="str">
        <v/>
      </c>
      <c r="O3125" s="15" t="str">
        <v/>
      </c>
      <c r="P3125" s="22">
        <v>0</v>
      </c>
      <c r="Q3125">
        <v>0</v>
      </c>
    </row>
    <row r="3126" spans="1:17">
      <c r="A3126" s="19">
        <v>0</v>
      </c>
      <c r="B3126" s="19">
        <v>0</v>
      </c>
      <c r="C3126" s="19">
        <v>0</v>
      </c>
      <c r="D3126" s="19">
        <v>0</v>
      </c>
      <c r="E3126" s="19">
        <v>0</v>
      </c>
      <c r="F3126" s="19">
        <v>0</v>
      </c>
      <c r="G3126" s="19">
        <v>0</v>
      </c>
      <c r="H3126" s="19">
        <v>0</v>
      </c>
      <c r="I3126" s="15">
        <v>3500</v>
      </c>
      <c r="J3126" s="15">
        <v>0</v>
      </c>
      <c r="K3126" s="15">
        <v>0</v>
      </c>
      <c r="L3126" s="15">
        <v>0</v>
      </c>
      <c r="M3126" s="15">
        <v>0</v>
      </c>
      <c r="N3126" s="15" t="str">
        <v/>
      </c>
      <c r="O3126" s="15" t="str">
        <v/>
      </c>
      <c r="P3126" s="22">
        <v>0</v>
      </c>
      <c r="Q3126">
        <v>0</v>
      </c>
    </row>
    <row r="3127" spans="1:17">
      <c r="A3127" s="19">
        <v>0</v>
      </c>
      <c r="B3127" s="19">
        <v>0</v>
      </c>
      <c r="C3127" s="19">
        <v>0</v>
      </c>
      <c r="D3127" s="19">
        <v>0</v>
      </c>
      <c r="E3127" s="19">
        <v>0</v>
      </c>
      <c r="F3127" s="19">
        <v>0</v>
      </c>
      <c r="G3127" s="19">
        <v>0</v>
      </c>
      <c r="H3127" s="19">
        <v>0</v>
      </c>
      <c r="I3127" s="15">
        <v>3500</v>
      </c>
      <c r="J3127" s="15">
        <v>0</v>
      </c>
      <c r="K3127" s="15">
        <v>0</v>
      </c>
      <c r="L3127" s="15">
        <v>0</v>
      </c>
      <c r="M3127" s="15">
        <v>0</v>
      </c>
      <c r="N3127" s="15" t="str">
        <v/>
      </c>
      <c r="O3127" s="15" t="str">
        <v/>
      </c>
      <c r="P3127" s="22">
        <v>0</v>
      </c>
      <c r="Q3127">
        <v>0</v>
      </c>
    </row>
    <row r="3128" spans="1:17">
      <c r="A3128" s="19">
        <v>0</v>
      </c>
      <c r="B3128" s="19">
        <v>0</v>
      </c>
      <c r="C3128" s="19">
        <v>0</v>
      </c>
      <c r="D3128" s="19">
        <v>0</v>
      </c>
      <c r="E3128" s="19">
        <v>0</v>
      </c>
      <c r="F3128" s="19">
        <v>0</v>
      </c>
      <c r="G3128" s="19">
        <v>0</v>
      </c>
      <c r="H3128" s="19">
        <v>0</v>
      </c>
      <c r="I3128" s="15">
        <v>3500</v>
      </c>
      <c r="J3128" s="15">
        <v>0</v>
      </c>
      <c r="K3128" s="15">
        <v>0</v>
      </c>
      <c r="L3128" s="15">
        <v>0</v>
      </c>
      <c r="M3128" s="15">
        <v>0</v>
      </c>
      <c r="N3128" s="15" t="str">
        <v/>
      </c>
      <c r="O3128" s="15" t="str">
        <v/>
      </c>
      <c r="P3128" s="22">
        <v>0</v>
      </c>
      <c r="Q3128">
        <v>0</v>
      </c>
    </row>
    <row r="3129" spans="1:17">
      <c r="A3129" s="19">
        <v>0</v>
      </c>
      <c r="B3129" s="19">
        <v>0</v>
      </c>
      <c r="C3129" s="19">
        <v>0</v>
      </c>
      <c r="D3129" s="19">
        <v>0</v>
      </c>
      <c r="E3129" s="19">
        <v>0</v>
      </c>
      <c r="F3129" s="19">
        <v>0</v>
      </c>
      <c r="G3129" s="19">
        <v>0</v>
      </c>
      <c r="H3129" s="19">
        <v>0</v>
      </c>
      <c r="I3129" s="15">
        <v>3500</v>
      </c>
      <c r="J3129" s="15">
        <v>0</v>
      </c>
      <c r="K3129" s="15">
        <v>0</v>
      </c>
      <c r="L3129" s="15">
        <v>0</v>
      </c>
      <c r="M3129" s="15">
        <v>0</v>
      </c>
      <c r="N3129" s="15" t="str">
        <v/>
      </c>
      <c r="O3129" s="15" t="str">
        <v/>
      </c>
      <c r="P3129" s="22">
        <v>0</v>
      </c>
      <c r="Q3129">
        <v>0</v>
      </c>
    </row>
    <row r="3130" spans="1:17">
      <c r="A3130" s="19">
        <v>0</v>
      </c>
      <c r="B3130" s="19">
        <v>0</v>
      </c>
      <c r="C3130" s="19">
        <v>0</v>
      </c>
      <c r="D3130" s="19">
        <v>0</v>
      </c>
      <c r="E3130" s="19">
        <v>0</v>
      </c>
      <c r="F3130" s="19">
        <v>0</v>
      </c>
      <c r="G3130" s="19">
        <v>0</v>
      </c>
      <c r="H3130" s="19">
        <v>0</v>
      </c>
      <c r="I3130" s="15">
        <v>3500</v>
      </c>
      <c r="J3130" s="15">
        <v>0</v>
      </c>
      <c r="K3130" s="15">
        <v>0</v>
      </c>
      <c r="L3130" s="15">
        <v>0</v>
      </c>
      <c r="M3130" s="15">
        <v>0</v>
      </c>
      <c r="N3130" s="15" t="str">
        <v/>
      </c>
      <c r="O3130" s="15" t="str">
        <v/>
      </c>
      <c r="P3130" s="22">
        <v>0</v>
      </c>
      <c r="Q3130">
        <v>0</v>
      </c>
    </row>
    <row r="3131" spans="1:17">
      <c r="A3131" s="19">
        <v>0</v>
      </c>
      <c r="B3131" s="19">
        <v>0</v>
      </c>
      <c r="C3131" s="19">
        <v>0</v>
      </c>
      <c r="D3131" s="19">
        <v>0</v>
      </c>
      <c r="E3131" s="19">
        <v>0</v>
      </c>
      <c r="F3131" s="19">
        <v>0</v>
      </c>
      <c r="G3131" s="19">
        <v>0</v>
      </c>
      <c r="H3131" s="19">
        <v>0</v>
      </c>
      <c r="I3131" s="15">
        <v>3500</v>
      </c>
      <c r="J3131" s="15">
        <v>0</v>
      </c>
      <c r="K3131" s="15">
        <v>0</v>
      </c>
      <c r="L3131" s="15">
        <v>0</v>
      </c>
      <c r="M3131" s="15">
        <v>0</v>
      </c>
      <c r="N3131" s="15" t="str">
        <v/>
      </c>
      <c r="O3131" s="15" t="str">
        <v/>
      </c>
      <c r="P3131" s="22">
        <v>0</v>
      </c>
      <c r="Q3131">
        <v>0</v>
      </c>
    </row>
    <row r="3132" spans="1:17">
      <c r="A3132" s="19">
        <v>0</v>
      </c>
      <c r="B3132" s="19">
        <v>0</v>
      </c>
      <c r="C3132" s="19">
        <v>0</v>
      </c>
      <c r="D3132" s="19">
        <v>0</v>
      </c>
      <c r="E3132" s="19">
        <v>0</v>
      </c>
      <c r="F3132" s="19">
        <v>0</v>
      </c>
      <c r="G3132" s="19">
        <v>0</v>
      </c>
      <c r="H3132" s="19">
        <v>0</v>
      </c>
      <c r="I3132" s="15">
        <v>3500</v>
      </c>
      <c r="J3132" s="15">
        <v>0</v>
      </c>
      <c r="K3132" s="15">
        <v>0</v>
      </c>
      <c r="L3132" s="15">
        <v>0</v>
      </c>
      <c r="M3132" s="15">
        <v>0</v>
      </c>
      <c r="N3132" s="15" t="str">
        <v/>
      </c>
      <c r="O3132" s="15" t="str">
        <v/>
      </c>
      <c r="P3132" s="22">
        <v>0</v>
      </c>
      <c r="Q3132">
        <v>0</v>
      </c>
    </row>
    <row r="3133" spans="1:17">
      <c r="A3133" s="19">
        <v>0</v>
      </c>
      <c r="B3133" s="19">
        <v>0</v>
      </c>
      <c r="C3133" s="19">
        <v>0</v>
      </c>
      <c r="D3133" s="19">
        <v>0</v>
      </c>
      <c r="E3133" s="19">
        <v>0</v>
      </c>
      <c r="F3133" s="19">
        <v>0</v>
      </c>
      <c r="G3133" s="19">
        <v>0</v>
      </c>
      <c r="H3133" s="19">
        <v>0</v>
      </c>
      <c r="I3133" s="15">
        <v>3500</v>
      </c>
      <c r="J3133" s="15">
        <v>0</v>
      </c>
      <c r="K3133" s="15">
        <v>0</v>
      </c>
      <c r="L3133" s="15">
        <v>0</v>
      </c>
      <c r="M3133" s="15">
        <v>0</v>
      </c>
      <c r="N3133" s="15" t="str">
        <v/>
      </c>
      <c r="O3133" s="15" t="str">
        <v/>
      </c>
      <c r="P3133" s="22">
        <v>0</v>
      </c>
      <c r="Q3133">
        <v>0</v>
      </c>
    </row>
    <row r="3134" spans="1:17">
      <c r="A3134" s="19">
        <v>0</v>
      </c>
      <c r="B3134" s="19">
        <v>0</v>
      </c>
      <c r="C3134" s="19">
        <v>0</v>
      </c>
      <c r="D3134" s="19">
        <v>0</v>
      </c>
      <c r="E3134" s="19">
        <v>0</v>
      </c>
      <c r="F3134" s="19">
        <v>0</v>
      </c>
      <c r="G3134" s="19">
        <v>0</v>
      </c>
      <c r="H3134" s="19">
        <v>0</v>
      </c>
      <c r="I3134" s="15">
        <v>3500</v>
      </c>
      <c r="J3134" s="15">
        <v>0</v>
      </c>
      <c r="K3134" s="15">
        <v>0</v>
      </c>
      <c r="L3134" s="15">
        <v>0</v>
      </c>
      <c r="M3134" s="15">
        <v>0</v>
      </c>
      <c r="N3134" s="15" t="str">
        <v/>
      </c>
      <c r="O3134" s="15" t="str">
        <v/>
      </c>
      <c r="P3134" s="22">
        <v>0</v>
      </c>
      <c r="Q3134">
        <v>0</v>
      </c>
    </row>
    <row r="3135" spans="1:17">
      <c r="A3135" s="19">
        <v>0</v>
      </c>
      <c r="B3135" s="19">
        <v>0</v>
      </c>
      <c r="C3135" s="19">
        <v>0</v>
      </c>
      <c r="D3135" s="19">
        <v>0</v>
      </c>
      <c r="E3135" s="19">
        <v>0</v>
      </c>
      <c r="F3135" s="19">
        <v>0</v>
      </c>
      <c r="G3135" s="19">
        <v>0</v>
      </c>
      <c r="H3135" s="19">
        <v>0</v>
      </c>
      <c r="I3135" s="15">
        <v>3500</v>
      </c>
      <c r="J3135" s="15">
        <v>0</v>
      </c>
      <c r="K3135" s="15">
        <v>0</v>
      </c>
      <c r="L3135" s="15">
        <v>0</v>
      </c>
      <c r="M3135" s="15">
        <v>0</v>
      </c>
      <c r="N3135" s="15" t="str">
        <v/>
      </c>
      <c r="O3135" s="15" t="str">
        <v/>
      </c>
      <c r="P3135" s="22">
        <v>0</v>
      </c>
      <c r="Q3135">
        <v>0</v>
      </c>
    </row>
    <row r="3136" spans="1:17">
      <c r="A3136" s="19">
        <v>0</v>
      </c>
      <c r="B3136" s="19">
        <v>0</v>
      </c>
      <c r="C3136" s="19">
        <v>0</v>
      </c>
      <c r="D3136" s="19">
        <v>0</v>
      </c>
      <c r="E3136" s="19">
        <v>0</v>
      </c>
      <c r="F3136" s="19">
        <v>0</v>
      </c>
      <c r="G3136" s="19">
        <v>0</v>
      </c>
      <c r="H3136" s="19">
        <v>0</v>
      </c>
      <c r="I3136" s="15">
        <v>3500</v>
      </c>
      <c r="J3136" s="15">
        <v>0</v>
      </c>
      <c r="K3136" s="15">
        <v>0</v>
      </c>
      <c r="L3136" s="15">
        <v>0</v>
      </c>
      <c r="M3136" s="15">
        <v>0</v>
      </c>
      <c r="N3136" s="15" t="str">
        <v/>
      </c>
      <c r="O3136" s="15" t="str">
        <v/>
      </c>
      <c r="P3136" s="22">
        <v>0</v>
      </c>
      <c r="Q3136">
        <v>0</v>
      </c>
    </row>
    <row r="3137" spans="1:17">
      <c r="A3137" s="19">
        <v>0</v>
      </c>
      <c r="B3137" s="19">
        <v>0</v>
      </c>
      <c r="C3137" s="19">
        <v>0</v>
      </c>
      <c r="D3137" s="19">
        <v>0</v>
      </c>
      <c r="E3137" s="19">
        <v>0</v>
      </c>
      <c r="F3137" s="19">
        <v>0</v>
      </c>
      <c r="G3137" s="19">
        <v>0</v>
      </c>
      <c r="H3137" s="19">
        <v>0</v>
      </c>
      <c r="I3137" s="15">
        <v>3500</v>
      </c>
      <c r="J3137" s="15">
        <v>0</v>
      </c>
      <c r="K3137" s="15">
        <v>0</v>
      </c>
      <c r="L3137" s="15">
        <v>0</v>
      </c>
      <c r="M3137" s="15">
        <v>0</v>
      </c>
      <c r="N3137" s="15" t="str">
        <v/>
      </c>
      <c r="O3137" s="15" t="str">
        <v/>
      </c>
      <c r="P3137" s="22">
        <v>0</v>
      </c>
      <c r="Q3137">
        <v>0</v>
      </c>
    </row>
    <row r="3138" spans="1:17">
      <c r="A3138" s="19">
        <v>0</v>
      </c>
      <c r="B3138" s="19">
        <v>0</v>
      </c>
      <c r="C3138" s="19">
        <v>0</v>
      </c>
      <c r="D3138" s="19">
        <v>0</v>
      </c>
      <c r="E3138" s="19">
        <v>0</v>
      </c>
      <c r="F3138" s="19">
        <v>0</v>
      </c>
      <c r="G3138" s="19">
        <v>0</v>
      </c>
      <c r="H3138" s="19">
        <v>0</v>
      </c>
      <c r="I3138" s="15">
        <v>3500</v>
      </c>
      <c r="J3138" s="15">
        <v>0</v>
      </c>
      <c r="K3138" s="15">
        <v>0</v>
      </c>
      <c r="L3138" s="15">
        <v>0</v>
      </c>
      <c r="M3138" s="15">
        <v>0</v>
      </c>
      <c r="N3138" s="15" t="str">
        <v/>
      </c>
      <c r="O3138" s="15" t="str">
        <v/>
      </c>
      <c r="P3138" s="22">
        <v>0</v>
      </c>
      <c r="Q3138">
        <v>0</v>
      </c>
    </row>
    <row r="3139" spans="1:17">
      <c r="A3139" s="19">
        <v>0</v>
      </c>
      <c r="B3139" s="19">
        <v>0</v>
      </c>
      <c r="C3139" s="19">
        <v>0</v>
      </c>
      <c r="D3139" s="19">
        <v>0</v>
      </c>
      <c r="E3139" s="19">
        <v>0</v>
      </c>
      <c r="F3139" s="19">
        <v>0</v>
      </c>
      <c r="G3139" s="19">
        <v>0</v>
      </c>
      <c r="H3139" s="19">
        <v>0</v>
      </c>
      <c r="I3139" s="15">
        <v>3500</v>
      </c>
      <c r="J3139" s="15">
        <v>0</v>
      </c>
      <c r="K3139" s="15">
        <v>0</v>
      </c>
      <c r="L3139" s="15">
        <v>0</v>
      </c>
      <c r="M3139" s="15">
        <v>0</v>
      </c>
      <c r="N3139" s="15" t="str">
        <v/>
      </c>
      <c r="O3139" s="15" t="str">
        <v/>
      </c>
      <c r="P3139" s="22">
        <v>0</v>
      </c>
      <c r="Q3139">
        <v>0</v>
      </c>
    </row>
    <row r="3140" spans="1:17">
      <c r="A3140" s="19">
        <v>0</v>
      </c>
      <c r="B3140" s="19">
        <v>0</v>
      </c>
      <c r="C3140" s="19">
        <v>0</v>
      </c>
      <c r="D3140" s="19">
        <v>0</v>
      </c>
      <c r="E3140" s="19">
        <v>0</v>
      </c>
      <c r="F3140" s="19">
        <v>0</v>
      </c>
      <c r="G3140" s="19">
        <v>0</v>
      </c>
      <c r="H3140" s="19">
        <v>0</v>
      </c>
      <c r="I3140" s="15">
        <v>3500</v>
      </c>
      <c r="J3140" s="15">
        <v>0</v>
      </c>
      <c r="K3140" s="15">
        <v>0</v>
      </c>
      <c r="L3140" s="15">
        <v>0</v>
      </c>
      <c r="M3140" s="15">
        <v>0</v>
      </c>
      <c r="N3140" s="15" t="str">
        <v/>
      </c>
      <c r="O3140" s="15" t="str">
        <v/>
      </c>
      <c r="P3140" s="22">
        <v>0</v>
      </c>
      <c r="Q3140">
        <v>0</v>
      </c>
    </row>
    <row r="3141" spans="1:17">
      <c r="A3141" s="19">
        <v>0</v>
      </c>
      <c r="B3141" s="19">
        <v>0</v>
      </c>
      <c r="C3141" s="19">
        <v>0</v>
      </c>
      <c r="D3141" s="19">
        <v>0</v>
      </c>
      <c r="E3141" s="19">
        <v>0</v>
      </c>
      <c r="F3141" s="19">
        <v>0</v>
      </c>
      <c r="G3141" s="19">
        <v>0</v>
      </c>
      <c r="H3141" s="19">
        <v>0</v>
      </c>
      <c r="I3141" s="15">
        <v>3500</v>
      </c>
      <c r="J3141" s="15">
        <v>0</v>
      </c>
      <c r="K3141" s="15">
        <v>0</v>
      </c>
      <c r="L3141" s="15">
        <v>0</v>
      </c>
      <c r="M3141" s="15">
        <v>0</v>
      </c>
      <c r="N3141" s="15" t="str">
        <v/>
      </c>
      <c r="O3141" s="15" t="str">
        <v/>
      </c>
      <c r="P3141" s="22">
        <v>0</v>
      </c>
      <c r="Q3141">
        <v>0</v>
      </c>
    </row>
    <row r="3142" spans="1:17">
      <c r="A3142" s="19">
        <v>0</v>
      </c>
      <c r="B3142" s="19">
        <v>0</v>
      </c>
      <c r="C3142" s="19">
        <v>0</v>
      </c>
      <c r="D3142" s="19">
        <v>0</v>
      </c>
      <c r="E3142" s="19">
        <v>0</v>
      </c>
      <c r="F3142" s="19">
        <v>0</v>
      </c>
      <c r="G3142" s="19">
        <v>0</v>
      </c>
      <c r="H3142" s="19">
        <v>0</v>
      </c>
      <c r="I3142" s="15">
        <v>3500</v>
      </c>
      <c r="J3142" s="15">
        <v>0</v>
      </c>
      <c r="K3142" s="15">
        <v>0</v>
      </c>
      <c r="L3142" s="15">
        <v>0</v>
      </c>
      <c r="M3142" s="15">
        <v>0</v>
      </c>
      <c r="N3142" s="15" t="str">
        <v/>
      </c>
      <c r="O3142" s="15" t="str">
        <v/>
      </c>
      <c r="P3142" s="22">
        <v>0</v>
      </c>
      <c r="Q3142">
        <v>0</v>
      </c>
    </row>
    <row r="3143" spans="1:17">
      <c r="A3143" s="19">
        <v>0</v>
      </c>
      <c r="B3143" s="19">
        <v>0</v>
      </c>
      <c r="C3143" s="19">
        <v>0</v>
      </c>
      <c r="D3143" s="19">
        <v>0</v>
      </c>
      <c r="E3143" s="19">
        <v>0</v>
      </c>
      <c r="F3143" s="19">
        <v>0</v>
      </c>
      <c r="G3143" s="19">
        <v>0</v>
      </c>
      <c r="H3143" s="19">
        <v>0</v>
      </c>
      <c r="I3143" s="15">
        <v>3500</v>
      </c>
      <c r="J3143" s="15">
        <v>0</v>
      </c>
      <c r="K3143" s="15">
        <v>0</v>
      </c>
      <c r="L3143" s="15">
        <v>0</v>
      </c>
      <c r="M3143" s="15">
        <v>0</v>
      </c>
      <c r="N3143" s="15" t="str">
        <v/>
      </c>
      <c r="O3143" s="15" t="str">
        <v/>
      </c>
      <c r="P3143" s="22">
        <v>0</v>
      </c>
      <c r="Q3143">
        <v>0</v>
      </c>
    </row>
    <row r="3144" spans="1:17">
      <c r="A3144" s="19">
        <v>0</v>
      </c>
      <c r="B3144" s="19">
        <v>0</v>
      </c>
      <c r="C3144" s="19">
        <v>0</v>
      </c>
      <c r="D3144" s="19">
        <v>0</v>
      </c>
      <c r="E3144" s="19">
        <v>0</v>
      </c>
      <c r="F3144" s="19">
        <v>0</v>
      </c>
      <c r="G3144" s="19">
        <v>0</v>
      </c>
      <c r="H3144" s="19">
        <v>0</v>
      </c>
      <c r="I3144" s="15">
        <v>3500</v>
      </c>
      <c r="J3144" s="15">
        <v>0</v>
      </c>
      <c r="K3144" s="15">
        <v>0</v>
      </c>
      <c r="L3144" s="15">
        <v>0</v>
      </c>
      <c r="M3144" s="15">
        <v>0</v>
      </c>
      <c r="N3144" s="15" t="str">
        <v/>
      </c>
      <c r="O3144" s="15" t="str">
        <v/>
      </c>
      <c r="P3144" s="22">
        <v>0</v>
      </c>
      <c r="Q3144">
        <v>0</v>
      </c>
    </row>
    <row r="3145" spans="1:17">
      <c r="A3145" s="19">
        <v>0</v>
      </c>
      <c r="B3145" s="19">
        <v>0</v>
      </c>
      <c r="C3145" s="19">
        <v>0</v>
      </c>
      <c r="D3145" s="19">
        <v>0</v>
      </c>
      <c r="E3145" s="19">
        <v>0</v>
      </c>
      <c r="F3145" s="19">
        <v>0</v>
      </c>
      <c r="G3145" s="19">
        <v>0</v>
      </c>
      <c r="H3145" s="19">
        <v>0</v>
      </c>
      <c r="I3145" s="15">
        <v>3500</v>
      </c>
      <c r="J3145" s="15">
        <v>0</v>
      </c>
      <c r="K3145" s="15">
        <v>0</v>
      </c>
      <c r="L3145" s="15">
        <v>0</v>
      </c>
      <c r="M3145" s="15">
        <v>0</v>
      </c>
      <c r="N3145" s="15" t="str">
        <v/>
      </c>
      <c r="O3145" s="15" t="str">
        <v/>
      </c>
      <c r="P3145" s="22">
        <v>0</v>
      </c>
      <c r="Q3145">
        <v>0</v>
      </c>
    </row>
    <row r="3146" spans="1:17">
      <c r="A3146" s="19">
        <v>0</v>
      </c>
      <c r="B3146" s="19">
        <v>0</v>
      </c>
      <c r="C3146" s="19">
        <v>0</v>
      </c>
      <c r="D3146" s="19">
        <v>0</v>
      </c>
      <c r="E3146" s="19">
        <v>0</v>
      </c>
      <c r="F3146" s="19">
        <v>0</v>
      </c>
      <c r="G3146" s="19">
        <v>0</v>
      </c>
      <c r="H3146" s="19">
        <v>0</v>
      </c>
      <c r="I3146" s="15">
        <v>3500</v>
      </c>
      <c r="J3146" s="15">
        <v>0</v>
      </c>
      <c r="K3146" s="15">
        <v>0</v>
      </c>
      <c r="L3146" s="15">
        <v>0</v>
      </c>
      <c r="M3146" s="15">
        <v>0</v>
      </c>
      <c r="N3146" s="15" t="str">
        <v/>
      </c>
      <c r="O3146" s="15" t="str">
        <v/>
      </c>
      <c r="P3146" s="22">
        <v>0</v>
      </c>
      <c r="Q3146">
        <v>0</v>
      </c>
    </row>
    <row r="3147" spans="1:17">
      <c r="A3147" s="19">
        <v>0</v>
      </c>
      <c r="B3147" s="19">
        <v>0</v>
      </c>
      <c r="C3147" s="19">
        <v>0</v>
      </c>
      <c r="D3147" s="19">
        <v>0</v>
      </c>
      <c r="E3147" s="19">
        <v>0</v>
      </c>
      <c r="F3147" s="19">
        <v>0</v>
      </c>
      <c r="G3147" s="19">
        <v>0</v>
      </c>
      <c r="H3147" s="19">
        <v>0</v>
      </c>
      <c r="I3147" s="15">
        <v>3500</v>
      </c>
      <c r="J3147" s="15">
        <v>0</v>
      </c>
      <c r="K3147" s="15">
        <v>0</v>
      </c>
      <c r="L3147" s="15">
        <v>0</v>
      </c>
      <c r="M3147" s="15">
        <v>0</v>
      </c>
      <c r="N3147" s="15" t="str">
        <v/>
      </c>
      <c r="O3147" s="15" t="str">
        <v/>
      </c>
      <c r="P3147" s="22">
        <v>0</v>
      </c>
      <c r="Q3147">
        <v>0</v>
      </c>
    </row>
    <row r="3148" spans="1:17">
      <c r="A3148" s="19">
        <v>0</v>
      </c>
      <c r="B3148" s="19">
        <v>0</v>
      </c>
      <c r="C3148" s="19">
        <v>0</v>
      </c>
      <c r="D3148" s="19">
        <v>0</v>
      </c>
      <c r="E3148" s="19">
        <v>0</v>
      </c>
      <c r="F3148" s="19">
        <v>0</v>
      </c>
      <c r="G3148" s="19">
        <v>0</v>
      </c>
      <c r="H3148" s="19">
        <v>0</v>
      </c>
      <c r="I3148" s="15">
        <v>3500</v>
      </c>
      <c r="J3148" s="15">
        <v>0</v>
      </c>
      <c r="K3148" s="15">
        <v>0</v>
      </c>
      <c r="L3148" s="15">
        <v>0</v>
      </c>
      <c r="M3148" s="15">
        <v>0</v>
      </c>
      <c r="N3148" s="15" t="str">
        <v/>
      </c>
      <c r="O3148" s="15" t="str">
        <v/>
      </c>
      <c r="P3148" s="22">
        <v>0</v>
      </c>
      <c r="Q3148">
        <v>0</v>
      </c>
    </row>
    <row r="3149" spans="1:17">
      <c r="A3149" s="19">
        <v>0</v>
      </c>
      <c r="B3149" s="19">
        <v>0</v>
      </c>
      <c r="C3149" s="19">
        <v>0</v>
      </c>
      <c r="D3149" s="19">
        <v>0</v>
      </c>
      <c r="E3149" s="19">
        <v>0</v>
      </c>
      <c r="F3149" s="19">
        <v>0</v>
      </c>
      <c r="G3149" s="19">
        <v>0</v>
      </c>
      <c r="H3149" s="19">
        <v>0</v>
      </c>
      <c r="I3149" s="15">
        <v>3500</v>
      </c>
      <c r="J3149" s="15">
        <v>0</v>
      </c>
      <c r="K3149" s="15">
        <v>0</v>
      </c>
      <c r="L3149" s="15">
        <v>0</v>
      </c>
      <c r="M3149" s="15">
        <v>0</v>
      </c>
      <c r="N3149" s="15" t="str">
        <v/>
      </c>
      <c r="O3149" s="15" t="str">
        <v/>
      </c>
      <c r="P3149" s="22">
        <v>0</v>
      </c>
      <c r="Q3149">
        <v>0</v>
      </c>
    </row>
    <row r="3150" spans="1:17">
      <c r="A3150" s="19">
        <v>0</v>
      </c>
      <c r="B3150" s="19">
        <v>0</v>
      </c>
      <c r="C3150" s="19">
        <v>0</v>
      </c>
      <c r="D3150" s="19">
        <v>0</v>
      </c>
      <c r="E3150" s="19">
        <v>0</v>
      </c>
      <c r="F3150" s="19">
        <v>0</v>
      </c>
      <c r="G3150" s="19">
        <v>0</v>
      </c>
      <c r="H3150" s="19">
        <v>0</v>
      </c>
      <c r="I3150" s="15">
        <v>3500</v>
      </c>
      <c r="J3150" s="15">
        <v>0</v>
      </c>
      <c r="K3150" s="15">
        <v>0</v>
      </c>
      <c r="L3150" s="15">
        <v>0</v>
      </c>
      <c r="M3150" s="15">
        <v>0</v>
      </c>
      <c r="N3150" s="15" t="str">
        <v/>
      </c>
      <c r="O3150" s="15" t="str">
        <v/>
      </c>
      <c r="P3150" s="22">
        <v>0</v>
      </c>
      <c r="Q3150">
        <v>0</v>
      </c>
    </row>
    <row r="3151" spans="1:17">
      <c r="A3151" s="19">
        <v>0</v>
      </c>
      <c r="B3151" s="19">
        <v>0</v>
      </c>
      <c r="C3151" s="19">
        <v>0</v>
      </c>
      <c r="D3151" s="19">
        <v>0</v>
      </c>
      <c r="E3151" s="19">
        <v>0</v>
      </c>
      <c r="F3151" s="19">
        <v>0</v>
      </c>
      <c r="G3151" s="19">
        <v>0</v>
      </c>
      <c r="H3151" s="19">
        <v>0</v>
      </c>
      <c r="I3151" s="15">
        <v>3500</v>
      </c>
      <c r="J3151" s="15">
        <v>0</v>
      </c>
      <c r="K3151" s="15">
        <v>0</v>
      </c>
      <c r="L3151" s="15">
        <v>0</v>
      </c>
      <c r="M3151" s="15">
        <v>0</v>
      </c>
      <c r="N3151" s="15" t="str">
        <v/>
      </c>
      <c r="O3151" s="15" t="str">
        <v/>
      </c>
      <c r="P3151" s="22">
        <v>0</v>
      </c>
      <c r="Q3151">
        <v>0</v>
      </c>
    </row>
    <row r="3152" spans="1:17">
      <c r="A3152" s="19">
        <v>0</v>
      </c>
      <c r="B3152" s="19">
        <v>0</v>
      </c>
      <c r="C3152" s="19">
        <v>0</v>
      </c>
      <c r="D3152" s="19">
        <v>0</v>
      </c>
      <c r="E3152" s="19">
        <v>0</v>
      </c>
      <c r="F3152" s="19">
        <v>0</v>
      </c>
      <c r="G3152" s="19">
        <v>0</v>
      </c>
      <c r="H3152" s="19">
        <v>0</v>
      </c>
      <c r="I3152" s="15">
        <v>3500</v>
      </c>
      <c r="J3152" s="15">
        <v>0</v>
      </c>
      <c r="K3152" s="15">
        <v>0</v>
      </c>
      <c r="L3152" s="15">
        <v>0</v>
      </c>
      <c r="M3152" s="15">
        <v>0</v>
      </c>
      <c r="N3152" s="15" t="str">
        <v/>
      </c>
      <c r="O3152" s="15" t="str">
        <v/>
      </c>
      <c r="P3152" s="22">
        <v>0</v>
      </c>
      <c r="Q3152">
        <v>0</v>
      </c>
    </row>
    <row r="3153" spans="1:17">
      <c r="A3153" s="19">
        <v>0</v>
      </c>
      <c r="B3153" s="19">
        <v>0</v>
      </c>
      <c r="C3153" s="19">
        <v>0</v>
      </c>
      <c r="D3153" s="19">
        <v>0</v>
      </c>
      <c r="E3153" s="19">
        <v>0</v>
      </c>
      <c r="F3153" s="19">
        <v>0</v>
      </c>
      <c r="G3153" s="19">
        <v>0</v>
      </c>
      <c r="H3153" s="19">
        <v>0</v>
      </c>
      <c r="I3153" s="15">
        <v>3500</v>
      </c>
      <c r="J3153" s="15">
        <v>0</v>
      </c>
      <c r="K3153" s="15">
        <v>0</v>
      </c>
      <c r="L3153" s="15">
        <v>0</v>
      </c>
      <c r="M3153" s="15">
        <v>0</v>
      </c>
      <c r="N3153" s="15" t="str">
        <v/>
      </c>
      <c r="O3153" s="15" t="str">
        <v/>
      </c>
      <c r="P3153" s="22">
        <v>0</v>
      </c>
      <c r="Q3153">
        <v>0</v>
      </c>
    </row>
    <row r="3154" spans="1:17">
      <c r="A3154" s="19">
        <v>0</v>
      </c>
      <c r="B3154" s="19">
        <v>0</v>
      </c>
      <c r="C3154" s="19">
        <v>0</v>
      </c>
      <c r="D3154" s="19">
        <v>0</v>
      </c>
      <c r="E3154" s="19">
        <v>0</v>
      </c>
      <c r="F3154" s="19">
        <v>0</v>
      </c>
      <c r="G3154" s="19">
        <v>0</v>
      </c>
      <c r="H3154" s="19">
        <v>0</v>
      </c>
      <c r="I3154" s="15">
        <v>3500</v>
      </c>
      <c r="J3154" s="15">
        <v>0</v>
      </c>
      <c r="K3154" s="15">
        <v>0</v>
      </c>
      <c r="L3154" s="15">
        <v>0</v>
      </c>
      <c r="M3154" s="15">
        <v>0</v>
      </c>
      <c r="N3154" s="15" t="str">
        <v/>
      </c>
      <c r="O3154" s="15" t="str">
        <v/>
      </c>
      <c r="P3154" s="22">
        <v>0</v>
      </c>
      <c r="Q3154">
        <v>0</v>
      </c>
    </row>
    <row r="3155" spans="1:17">
      <c r="A3155" s="19">
        <v>0</v>
      </c>
      <c r="B3155" s="19">
        <v>0</v>
      </c>
      <c r="C3155" s="19">
        <v>0</v>
      </c>
      <c r="D3155" s="19">
        <v>0</v>
      </c>
      <c r="E3155" s="19">
        <v>0</v>
      </c>
      <c r="F3155" s="19">
        <v>0</v>
      </c>
      <c r="G3155" s="19">
        <v>0</v>
      </c>
      <c r="H3155" s="19">
        <v>0</v>
      </c>
      <c r="I3155" s="15">
        <v>3500</v>
      </c>
      <c r="J3155" s="15">
        <v>0</v>
      </c>
      <c r="K3155" s="15">
        <v>0</v>
      </c>
      <c r="L3155" s="15">
        <v>0</v>
      </c>
      <c r="M3155" s="15">
        <v>0</v>
      </c>
      <c r="N3155" s="15" t="str">
        <v/>
      </c>
      <c r="O3155" s="15" t="str">
        <v/>
      </c>
      <c r="P3155" s="22">
        <v>0</v>
      </c>
      <c r="Q3155">
        <v>0</v>
      </c>
    </row>
    <row r="3156" spans="1:17">
      <c r="A3156" s="19">
        <v>0</v>
      </c>
      <c r="B3156" s="19">
        <v>0</v>
      </c>
      <c r="C3156" s="19">
        <v>0</v>
      </c>
      <c r="D3156" s="19">
        <v>0</v>
      </c>
      <c r="E3156" s="19">
        <v>0</v>
      </c>
      <c r="F3156" s="19">
        <v>0</v>
      </c>
      <c r="G3156" s="19">
        <v>0</v>
      </c>
      <c r="H3156" s="19">
        <v>0</v>
      </c>
      <c r="I3156" s="15">
        <v>3500</v>
      </c>
      <c r="J3156" s="15">
        <v>0</v>
      </c>
      <c r="K3156" s="15">
        <v>0</v>
      </c>
      <c r="L3156" s="15">
        <v>0</v>
      </c>
      <c r="M3156" s="15">
        <v>0</v>
      </c>
      <c r="N3156" s="15" t="str">
        <v/>
      </c>
      <c r="O3156" s="15" t="str">
        <v/>
      </c>
      <c r="P3156" s="22">
        <v>0</v>
      </c>
      <c r="Q3156">
        <v>0</v>
      </c>
    </row>
    <row r="3157" spans="1:17">
      <c r="A3157" s="19">
        <v>0</v>
      </c>
      <c r="B3157" s="19">
        <v>0</v>
      </c>
      <c r="C3157" s="19">
        <v>0</v>
      </c>
      <c r="D3157" s="19">
        <v>0</v>
      </c>
      <c r="E3157" s="19">
        <v>0</v>
      </c>
      <c r="F3157" s="19">
        <v>0</v>
      </c>
      <c r="G3157" s="19">
        <v>0</v>
      </c>
      <c r="H3157" s="19">
        <v>0</v>
      </c>
      <c r="I3157" s="15">
        <v>3500</v>
      </c>
      <c r="J3157" s="15">
        <v>0</v>
      </c>
      <c r="K3157" s="15">
        <v>0</v>
      </c>
      <c r="L3157" s="15">
        <v>0</v>
      </c>
      <c r="M3157" s="15">
        <v>0</v>
      </c>
      <c r="N3157" s="15" t="str">
        <v/>
      </c>
      <c r="O3157" s="15" t="str">
        <v/>
      </c>
      <c r="P3157" s="22">
        <v>0</v>
      </c>
      <c r="Q3157">
        <v>0</v>
      </c>
    </row>
    <row r="3158" spans="1:17">
      <c r="A3158" s="19">
        <v>0</v>
      </c>
      <c r="B3158" s="19">
        <v>0</v>
      </c>
      <c r="C3158" s="19">
        <v>0</v>
      </c>
      <c r="D3158" s="19">
        <v>0</v>
      </c>
      <c r="E3158" s="19">
        <v>0</v>
      </c>
      <c r="F3158" s="19">
        <v>0</v>
      </c>
      <c r="G3158" s="19">
        <v>0</v>
      </c>
      <c r="H3158" s="19">
        <v>0</v>
      </c>
      <c r="I3158" s="15">
        <v>3500</v>
      </c>
      <c r="J3158" s="15">
        <v>0</v>
      </c>
      <c r="K3158" s="15">
        <v>0</v>
      </c>
      <c r="L3158" s="15">
        <v>0</v>
      </c>
      <c r="M3158" s="15">
        <v>0</v>
      </c>
      <c r="N3158" s="15" t="str">
        <v/>
      </c>
      <c r="O3158" s="15" t="str">
        <v/>
      </c>
      <c r="P3158" s="22">
        <v>0</v>
      </c>
      <c r="Q3158">
        <v>0</v>
      </c>
    </row>
    <row r="3159" spans="1:17">
      <c r="A3159" s="19">
        <v>0</v>
      </c>
      <c r="B3159" s="19">
        <v>0</v>
      </c>
      <c r="C3159" s="19">
        <v>0</v>
      </c>
      <c r="D3159" s="19">
        <v>0</v>
      </c>
      <c r="E3159" s="19">
        <v>0</v>
      </c>
      <c r="F3159" s="19">
        <v>0</v>
      </c>
      <c r="G3159" s="19">
        <v>0</v>
      </c>
      <c r="H3159" s="19">
        <v>0</v>
      </c>
      <c r="I3159" s="15">
        <v>3500</v>
      </c>
      <c r="J3159" s="15">
        <v>0</v>
      </c>
      <c r="K3159" s="15">
        <v>0</v>
      </c>
      <c r="L3159" s="15">
        <v>0</v>
      </c>
      <c r="M3159" s="15">
        <v>0</v>
      </c>
      <c r="N3159" s="15" t="str">
        <v/>
      </c>
      <c r="O3159" s="15" t="str">
        <v/>
      </c>
      <c r="P3159" s="22">
        <v>0</v>
      </c>
      <c r="Q3159">
        <v>0</v>
      </c>
    </row>
    <row r="3160" spans="1:17">
      <c r="A3160" s="19">
        <v>0</v>
      </c>
      <c r="B3160" s="19">
        <v>0</v>
      </c>
      <c r="C3160" s="19">
        <v>0</v>
      </c>
      <c r="D3160" s="19">
        <v>0</v>
      </c>
      <c r="E3160" s="19">
        <v>0</v>
      </c>
      <c r="F3160" s="19">
        <v>0</v>
      </c>
      <c r="G3160" s="19">
        <v>0</v>
      </c>
      <c r="H3160" s="19">
        <v>0</v>
      </c>
      <c r="I3160" s="15">
        <v>3500</v>
      </c>
      <c r="J3160" s="15">
        <v>0</v>
      </c>
      <c r="K3160" s="15">
        <v>0</v>
      </c>
      <c r="L3160" s="15">
        <v>0</v>
      </c>
      <c r="M3160" s="15">
        <v>0</v>
      </c>
      <c r="N3160" s="15" t="str">
        <v/>
      </c>
      <c r="O3160" s="15" t="str">
        <v/>
      </c>
      <c r="P3160" s="22">
        <v>0</v>
      </c>
      <c r="Q3160">
        <v>0</v>
      </c>
    </row>
    <row r="3161" spans="1:17">
      <c r="A3161" s="19">
        <v>0</v>
      </c>
      <c r="B3161" s="19">
        <v>0</v>
      </c>
      <c r="C3161" s="19">
        <v>0</v>
      </c>
      <c r="D3161" s="19">
        <v>0</v>
      </c>
      <c r="E3161" s="19">
        <v>0</v>
      </c>
      <c r="F3161" s="19">
        <v>0</v>
      </c>
      <c r="G3161" s="19">
        <v>0</v>
      </c>
      <c r="H3161" s="19">
        <v>0</v>
      </c>
      <c r="I3161" s="15">
        <v>3500</v>
      </c>
      <c r="J3161" s="15">
        <v>0</v>
      </c>
      <c r="K3161" s="15">
        <v>0</v>
      </c>
      <c r="L3161" s="15">
        <v>0</v>
      </c>
      <c r="M3161" s="15">
        <v>0</v>
      </c>
      <c r="N3161" s="15" t="str">
        <v/>
      </c>
      <c r="O3161" s="15" t="str">
        <v/>
      </c>
      <c r="P3161" s="22">
        <v>0</v>
      </c>
      <c r="Q3161">
        <v>0</v>
      </c>
    </row>
    <row r="3162" spans="1:17">
      <c r="A3162" s="19">
        <v>0</v>
      </c>
      <c r="B3162" s="19">
        <v>0</v>
      </c>
      <c r="C3162" s="19">
        <v>0</v>
      </c>
      <c r="D3162" s="19">
        <v>0</v>
      </c>
      <c r="E3162" s="19">
        <v>0</v>
      </c>
      <c r="F3162" s="19">
        <v>0</v>
      </c>
      <c r="G3162" s="19">
        <v>0</v>
      </c>
      <c r="H3162" s="19">
        <v>0</v>
      </c>
      <c r="I3162" s="15">
        <v>3500</v>
      </c>
      <c r="J3162" s="15">
        <v>0</v>
      </c>
      <c r="K3162" s="15">
        <v>0</v>
      </c>
      <c r="L3162" s="15">
        <v>0</v>
      </c>
      <c r="M3162" s="15">
        <v>0</v>
      </c>
      <c r="N3162" s="15" t="str">
        <v/>
      </c>
      <c r="O3162" s="15" t="str">
        <v/>
      </c>
      <c r="P3162" s="22">
        <v>0</v>
      </c>
      <c r="Q3162">
        <v>0</v>
      </c>
    </row>
    <row r="3163" spans="1:17">
      <c r="A3163" s="19">
        <v>0</v>
      </c>
      <c r="B3163" s="19">
        <v>0</v>
      </c>
      <c r="C3163" s="19">
        <v>0</v>
      </c>
      <c r="D3163" s="19">
        <v>0</v>
      </c>
      <c r="E3163" s="19">
        <v>0</v>
      </c>
      <c r="F3163" s="19">
        <v>0</v>
      </c>
      <c r="G3163" s="19">
        <v>0</v>
      </c>
      <c r="H3163" s="19">
        <v>0</v>
      </c>
      <c r="I3163" s="15">
        <v>3500</v>
      </c>
      <c r="J3163" s="15">
        <v>0</v>
      </c>
      <c r="K3163" s="15">
        <v>0</v>
      </c>
      <c r="L3163" s="15">
        <v>0</v>
      </c>
      <c r="M3163" s="15">
        <v>0</v>
      </c>
      <c r="N3163" s="15" t="str">
        <v/>
      </c>
      <c r="O3163" s="15" t="str">
        <v/>
      </c>
      <c r="P3163" s="22">
        <v>0</v>
      </c>
      <c r="Q3163">
        <v>0</v>
      </c>
    </row>
    <row r="3164" spans="1:17">
      <c r="A3164" s="19">
        <v>0</v>
      </c>
      <c r="B3164" s="19">
        <v>0</v>
      </c>
      <c r="C3164" s="19">
        <v>0</v>
      </c>
      <c r="D3164" s="19">
        <v>0</v>
      </c>
      <c r="E3164" s="19">
        <v>0</v>
      </c>
      <c r="F3164" s="19">
        <v>0</v>
      </c>
      <c r="G3164" s="19">
        <v>0</v>
      </c>
      <c r="H3164" s="19">
        <v>0</v>
      </c>
      <c r="I3164" s="15">
        <v>3500</v>
      </c>
      <c r="J3164" s="15">
        <v>0</v>
      </c>
      <c r="K3164" s="15">
        <v>0</v>
      </c>
      <c r="L3164" s="15">
        <v>0</v>
      </c>
      <c r="M3164" s="15">
        <v>0</v>
      </c>
      <c r="N3164" s="15" t="str">
        <v/>
      </c>
      <c r="O3164" s="15" t="str">
        <v/>
      </c>
      <c r="P3164" s="22">
        <v>0</v>
      </c>
      <c r="Q3164">
        <v>0</v>
      </c>
    </row>
    <row r="3165" spans="1:17">
      <c r="A3165" s="19">
        <v>0</v>
      </c>
      <c r="B3165" s="19">
        <v>0</v>
      </c>
      <c r="C3165" s="19">
        <v>0</v>
      </c>
      <c r="D3165" s="19">
        <v>0</v>
      </c>
      <c r="E3165" s="19">
        <v>0</v>
      </c>
      <c r="F3165" s="19">
        <v>0</v>
      </c>
      <c r="G3165" s="19">
        <v>0</v>
      </c>
      <c r="H3165" s="19">
        <v>0</v>
      </c>
      <c r="I3165" s="15">
        <v>3500</v>
      </c>
      <c r="J3165" s="15">
        <v>0</v>
      </c>
      <c r="K3165" s="15">
        <v>0</v>
      </c>
      <c r="L3165" s="15">
        <v>0</v>
      </c>
      <c r="M3165" s="15">
        <v>0</v>
      </c>
      <c r="N3165" s="15" t="str">
        <v/>
      </c>
      <c r="O3165" s="15" t="str">
        <v/>
      </c>
      <c r="P3165" s="22">
        <v>0</v>
      </c>
      <c r="Q3165">
        <v>0</v>
      </c>
    </row>
    <row r="3166" spans="1:17">
      <c r="A3166" s="19">
        <v>0</v>
      </c>
      <c r="B3166" s="19">
        <v>0</v>
      </c>
      <c r="C3166" s="19">
        <v>0</v>
      </c>
      <c r="D3166" s="19">
        <v>0</v>
      </c>
      <c r="E3166" s="19">
        <v>0</v>
      </c>
      <c r="F3166" s="19">
        <v>0</v>
      </c>
      <c r="G3166" s="19">
        <v>0</v>
      </c>
      <c r="H3166" s="19">
        <v>0</v>
      </c>
      <c r="I3166" s="15">
        <v>3500</v>
      </c>
      <c r="J3166" s="15">
        <v>0</v>
      </c>
      <c r="K3166" s="15">
        <v>0</v>
      </c>
      <c r="L3166" s="15">
        <v>0</v>
      </c>
      <c r="M3166" s="15">
        <v>0</v>
      </c>
      <c r="N3166" s="15" t="str">
        <v/>
      </c>
      <c r="O3166" s="15" t="str">
        <v/>
      </c>
      <c r="P3166" s="22">
        <v>0</v>
      </c>
      <c r="Q3166">
        <v>0</v>
      </c>
    </row>
    <row r="3167" spans="1:17">
      <c r="A3167" s="19">
        <v>0</v>
      </c>
      <c r="B3167" s="19">
        <v>0</v>
      </c>
      <c r="C3167" s="19">
        <v>0</v>
      </c>
      <c r="D3167" s="19">
        <v>0</v>
      </c>
      <c r="E3167" s="19">
        <v>0</v>
      </c>
      <c r="F3167" s="19">
        <v>0</v>
      </c>
      <c r="G3167" s="19">
        <v>0</v>
      </c>
      <c r="H3167" s="19">
        <v>0</v>
      </c>
      <c r="I3167" s="15">
        <v>3500</v>
      </c>
      <c r="J3167" s="15">
        <v>0</v>
      </c>
      <c r="K3167" s="15">
        <v>0</v>
      </c>
      <c r="L3167" s="15">
        <v>0</v>
      </c>
      <c r="M3167" s="15">
        <v>0</v>
      </c>
      <c r="N3167" s="15" t="str">
        <v/>
      </c>
      <c r="O3167" s="15" t="str">
        <v/>
      </c>
      <c r="P3167" s="22">
        <v>0</v>
      </c>
      <c r="Q3167">
        <v>0</v>
      </c>
    </row>
    <row r="3168" spans="1:17">
      <c r="A3168" s="19">
        <v>0</v>
      </c>
      <c r="B3168" s="19">
        <v>0</v>
      </c>
      <c r="C3168" s="19">
        <v>0</v>
      </c>
      <c r="D3168" s="19">
        <v>0</v>
      </c>
      <c r="E3168" s="19">
        <v>0</v>
      </c>
      <c r="F3168" s="19">
        <v>0</v>
      </c>
      <c r="G3168" s="19">
        <v>0</v>
      </c>
      <c r="H3168" s="19">
        <v>0</v>
      </c>
      <c r="I3168" s="15">
        <v>3500</v>
      </c>
      <c r="J3168" s="15">
        <v>0</v>
      </c>
      <c r="K3168" s="15">
        <v>0</v>
      </c>
      <c r="L3168" s="15">
        <v>0</v>
      </c>
      <c r="M3168" s="15">
        <v>0</v>
      </c>
      <c r="N3168" s="15" t="str">
        <v/>
      </c>
      <c r="O3168" s="15" t="str">
        <v/>
      </c>
      <c r="P3168" s="22">
        <v>0</v>
      </c>
      <c r="Q3168">
        <v>0</v>
      </c>
    </row>
    <row r="3169" spans="1:17">
      <c r="A3169" s="19">
        <v>0</v>
      </c>
      <c r="B3169" s="19">
        <v>0</v>
      </c>
      <c r="C3169" s="19">
        <v>0</v>
      </c>
      <c r="D3169" s="19">
        <v>0</v>
      </c>
      <c r="E3169" s="19">
        <v>0</v>
      </c>
      <c r="F3169" s="19">
        <v>0</v>
      </c>
      <c r="G3169" s="19">
        <v>0</v>
      </c>
      <c r="H3169" s="19">
        <v>0</v>
      </c>
      <c r="I3169" s="15">
        <v>3500</v>
      </c>
      <c r="J3169" s="15">
        <v>0</v>
      </c>
      <c r="K3169" s="15">
        <v>0</v>
      </c>
      <c r="L3169" s="15">
        <v>0</v>
      </c>
      <c r="M3169" s="15">
        <v>0</v>
      </c>
      <c r="N3169" s="15" t="str">
        <v/>
      </c>
      <c r="O3169" s="15" t="str">
        <v/>
      </c>
      <c r="P3169" s="22">
        <v>0</v>
      </c>
      <c r="Q3169">
        <v>0</v>
      </c>
    </row>
    <row r="3170" spans="1:17">
      <c r="A3170" s="19">
        <v>0</v>
      </c>
      <c r="B3170" s="19">
        <v>0</v>
      </c>
      <c r="C3170" s="19">
        <v>0</v>
      </c>
      <c r="D3170" s="19">
        <v>0</v>
      </c>
      <c r="E3170" s="19">
        <v>0</v>
      </c>
      <c r="F3170" s="19">
        <v>0</v>
      </c>
      <c r="G3170" s="19">
        <v>0</v>
      </c>
      <c r="H3170" s="19">
        <v>0</v>
      </c>
      <c r="I3170" s="15">
        <v>3500</v>
      </c>
      <c r="J3170" s="15">
        <v>0</v>
      </c>
      <c r="K3170" s="15">
        <v>0</v>
      </c>
      <c r="L3170" s="15">
        <v>0</v>
      </c>
      <c r="M3170" s="15">
        <v>0</v>
      </c>
      <c r="N3170" s="15" t="str">
        <v/>
      </c>
      <c r="O3170" s="15" t="str">
        <v/>
      </c>
      <c r="P3170" s="22">
        <v>0</v>
      </c>
      <c r="Q3170">
        <v>0</v>
      </c>
    </row>
    <row r="3171" spans="1:17">
      <c r="A3171" s="19">
        <v>0</v>
      </c>
      <c r="B3171" s="19">
        <v>0</v>
      </c>
      <c r="C3171" s="19">
        <v>0</v>
      </c>
      <c r="D3171" s="19">
        <v>0</v>
      </c>
      <c r="E3171" s="19">
        <v>0</v>
      </c>
      <c r="F3171" s="19">
        <v>0</v>
      </c>
      <c r="G3171" s="19">
        <v>0</v>
      </c>
      <c r="H3171" s="19">
        <v>0</v>
      </c>
      <c r="I3171" s="15">
        <v>3500</v>
      </c>
      <c r="J3171" s="15">
        <v>0</v>
      </c>
      <c r="K3171" s="15">
        <v>0</v>
      </c>
      <c r="L3171" s="15">
        <v>0</v>
      </c>
      <c r="M3171" s="15">
        <v>0</v>
      </c>
      <c r="N3171" s="15" t="str">
        <v/>
      </c>
      <c r="O3171" s="15" t="str">
        <v/>
      </c>
      <c r="P3171" s="22">
        <v>0</v>
      </c>
      <c r="Q3171">
        <v>0</v>
      </c>
    </row>
    <row r="3172" spans="1:17">
      <c r="A3172" s="19">
        <v>0</v>
      </c>
      <c r="B3172" s="19">
        <v>0</v>
      </c>
      <c r="C3172" s="19">
        <v>0</v>
      </c>
      <c r="D3172" s="19">
        <v>0</v>
      </c>
      <c r="E3172" s="19">
        <v>0</v>
      </c>
      <c r="F3172" s="19">
        <v>0</v>
      </c>
      <c r="G3172" s="19">
        <v>0</v>
      </c>
      <c r="H3172" s="19">
        <v>0</v>
      </c>
      <c r="I3172" s="15">
        <v>3500</v>
      </c>
      <c r="J3172" s="15">
        <v>0</v>
      </c>
      <c r="K3172" s="15">
        <v>0</v>
      </c>
      <c r="L3172" s="15">
        <v>0</v>
      </c>
      <c r="M3172" s="15">
        <v>0</v>
      </c>
      <c r="N3172" s="15" t="str">
        <v/>
      </c>
      <c r="O3172" s="15" t="str">
        <v/>
      </c>
      <c r="P3172" s="22">
        <v>0</v>
      </c>
      <c r="Q3172">
        <v>0</v>
      </c>
    </row>
    <row r="3173" spans="1:17">
      <c r="A3173" s="19">
        <v>0</v>
      </c>
      <c r="B3173" s="19">
        <v>0</v>
      </c>
      <c r="C3173" s="19">
        <v>0</v>
      </c>
      <c r="D3173" s="19">
        <v>0</v>
      </c>
      <c r="E3173" s="19">
        <v>0</v>
      </c>
      <c r="F3173" s="19">
        <v>0</v>
      </c>
      <c r="G3173" s="19">
        <v>0</v>
      </c>
      <c r="H3173" s="19">
        <v>0</v>
      </c>
      <c r="I3173" s="15">
        <v>3500</v>
      </c>
      <c r="J3173" s="15">
        <v>0</v>
      </c>
      <c r="K3173" s="15">
        <v>0</v>
      </c>
      <c r="L3173" s="15">
        <v>0</v>
      </c>
      <c r="M3173" s="15">
        <v>0</v>
      </c>
      <c r="N3173" s="15" t="str">
        <v/>
      </c>
      <c r="O3173" s="15" t="str">
        <v/>
      </c>
      <c r="P3173" s="22">
        <v>0</v>
      </c>
      <c r="Q3173">
        <v>0</v>
      </c>
    </row>
    <row r="3174" spans="1:17">
      <c r="A3174" s="19">
        <v>0</v>
      </c>
      <c r="B3174" s="19">
        <v>0</v>
      </c>
      <c r="C3174" s="19">
        <v>0</v>
      </c>
      <c r="D3174" s="19">
        <v>0</v>
      </c>
      <c r="E3174" s="19">
        <v>0</v>
      </c>
      <c r="F3174" s="19">
        <v>0</v>
      </c>
      <c r="G3174" s="19">
        <v>0</v>
      </c>
      <c r="H3174" s="19">
        <v>0</v>
      </c>
      <c r="I3174" s="15">
        <v>3500</v>
      </c>
      <c r="J3174" s="15">
        <v>0</v>
      </c>
      <c r="K3174" s="15">
        <v>0</v>
      </c>
      <c r="L3174" s="15">
        <v>0</v>
      </c>
      <c r="M3174" s="15">
        <v>0</v>
      </c>
      <c r="N3174" s="15" t="str">
        <v/>
      </c>
      <c r="O3174" s="15" t="str">
        <v/>
      </c>
      <c r="P3174" s="22">
        <v>0</v>
      </c>
      <c r="Q3174">
        <v>0</v>
      </c>
    </row>
    <row r="3175" spans="1:17">
      <c r="A3175" s="19">
        <v>0</v>
      </c>
      <c r="B3175" s="19">
        <v>0</v>
      </c>
      <c r="C3175" s="19">
        <v>0</v>
      </c>
      <c r="D3175" s="19">
        <v>0</v>
      </c>
      <c r="E3175" s="19">
        <v>0</v>
      </c>
      <c r="F3175" s="19">
        <v>0</v>
      </c>
      <c r="G3175" s="19">
        <v>0</v>
      </c>
      <c r="H3175" s="19">
        <v>0</v>
      </c>
      <c r="I3175" s="15">
        <v>3500</v>
      </c>
      <c r="J3175" s="15">
        <v>0</v>
      </c>
      <c r="K3175" s="15">
        <v>0</v>
      </c>
      <c r="L3175" s="15">
        <v>0</v>
      </c>
      <c r="M3175" s="15">
        <v>0</v>
      </c>
      <c r="N3175" s="15" t="str">
        <v/>
      </c>
      <c r="O3175" s="15" t="str">
        <v/>
      </c>
      <c r="P3175" s="22">
        <v>0</v>
      </c>
      <c r="Q3175">
        <v>0</v>
      </c>
    </row>
    <row r="3176" spans="1:17">
      <c r="A3176" s="19">
        <v>0</v>
      </c>
      <c r="B3176" s="19">
        <v>0</v>
      </c>
      <c r="C3176" s="19">
        <v>0</v>
      </c>
      <c r="D3176" s="19">
        <v>0</v>
      </c>
      <c r="E3176" s="19">
        <v>0</v>
      </c>
      <c r="F3176" s="19">
        <v>0</v>
      </c>
      <c r="G3176" s="19">
        <v>0</v>
      </c>
      <c r="H3176" s="19">
        <v>0</v>
      </c>
      <c r="I3176" s="15">
        <v>3500</v>
      </c>
      <c r="J3176" s="15">
        <v>0</v>
      </c>
      <c r="K3176" s="15">
        <v>0</v>
      </c>
      <c r="L3176" s="15">
        <v>0</v>
      </c>
      <c r="M3176" s="15">
        <v>0</v>
      </c>
      <c r="N3176" s="15" t="str">
        <v/>
      </c>
      <c r="O3176" s="15" t="str">
        <v/>
      </c>
      <c r="P3176" s="22">
        <v>0</v>
      </c>
      <c r="Q3176">
        <v>0</v>
      </c>
    </row>
    <row r="3177" spans="1:17">
      <c r="A3177" s="19">
        <v>0</v>
      </c>
      <c r="B3177" s="19">
        <v>0</v>
      </c>
      <c r="C3177" s="19">
        <v>0</v>
      </c>
      <c r="D3177" s="19">
        <v>0</v>
      </c>
      <c r="E3177" s="19">
        <v>0</v>
      </c>
      <c r="F3177" s="19">
        <v>0</v>
      </c>
      <c r="G3177" s="19">
        <v>0</v>
      </c>
      <c r="H3177" s="19">
        <v>0</v>
      </c>
      <c r="I3177" s="15">
        <v>3500</v>
      </c>
      <c r="J3177" s="15">
        <v>0</v>
      </c>
      <c r="K3177" s="15">
        <v>0</v>
      </c>
      <c r="L3177" s="15">
        <v>0</v>
      </c>
      <c r="M3177" s="15">
        <v>0</v>
      </c>
      <c r="N3177" s="15" t="str">
        <v/>
      </c>
      <c r="O3177" s="15" t="str">
        <v/>
      </c>
      <c r="P3177" s="22">
        <v>0</v>
      </c>
      <c r="Q3177">
        <v>0</v>
      </c>
    </row>
    <row r="3178" spans="1:17">
      <c r="A3178" s="19">
        <v>0</v>
      </c>
      <c r="B3178" s="19">
        <v>0</v>
      </c>
      <c r="C3178" s="19">
        <v>0</v>
      </c>
      <c r="D3178" s="19">
        <v>0</v>
      </c>
      <c r="E3178" s="19">
        <v>0</v>
      </c>
      <c r="F3178" s="19">
        <v>0</v>
      </c>
      <c r="G3178" s="19">
        <v>0</v>
      </c>
      <c r="H3178" s="19">
        <v>0</v>
      </c>
      <c r="I3178" s="15">
        <v>3500</v>
      </c>
      <c r="J3178" s="15">
        <v>0</v>
      </c>
      <c r="K3178" s="15">
        <v>0</v>
      </c>
      <c r="L3178" s="15">
        <v>0</v>
      </c>
      <c r="M3178" s="15">
        <v>0</v>
      </c>
      <c r="N3178" s="15" t="str">
        <v/>
      </c>
      <c r="O3178" s="15" t="str">
        <v/>
      </c>
      <c r="P3178" s="22">
        <v>0</v>
      </c>
      <c r="Q3178">
        <v>0</v>
      </c>
    </row>
    <row r="3179" spans="1:17">
      <c r="A3179" s="19">
        <v>0</v>
      </c>
      <c r="B3179" s="19">
        <v>0</v>
      </c>
      <c r="C3179" s="19">
        <v>0</v>
      </c>
      <c r="D3179" s="19">
        <v>0</v>
      </c>
      <c r="E3179" s="19">
        <v>0</v>
      </c>
      <c r="F3179" s="19">
        <v>0</v>
      </c>
      <c r="G3179" s="19">
        <v>0</v>
      </c>
      <c r="H3179" s="19">
        <v>0</v>
      </c>
      <c r="I3179" s="15">
        <v>3500</v>
      </c>
      <c r="J3179" s="15">
        <v>0</v>
      </c>
      <c r="K3179" s="15">
        <v>0</v>
      </c>
      <c r="L3179" s="15">
        <v>0</v>
      </c>
      <c r="M3179" s="15">
        <v>0</v>
      </c>
      <c r="N3179" s="15" t="str">
        <v/>
      </c>
      <c r="O3179" s="15" t="str">
        <v/>
      </c>
      <c r="P3179" s="22">
        <v>0</v>
      </c>
      <c r="Q3179">
        <v>0</v>
      </c>
    </row>
    <row r="3180" spans="1:17">
      <c r="A3180" s="19">
        <v>0</v>
      </c>
      <c r="B3180" s="19">
        <v>0</v>
      </c>
      <c r="C3180" s="19">
        <v>0</v>
      </c>
      <c r="D3180" s="19">
        <v>0</v>
      </c>
      <c r="E3180" s="19">
        <v>0</v>
      </c>
      <c r="F3180" s="19">
        <v>0</v>
      </c>
      <c r="G3180" s="19">
        <v>0</v>
      </c>
      <c r="H3180" s="19">
        <v>0</v>
      </c>
      <c r="I3180" s="15">
        <v>3500</v>
      </c>
      <c r="J3180" s="15">
        <v>0</v>
      </c>
      <c r="K3180" s="15">
        <v>0</v>
      </c>
      <c r="L3180" s="15">
        <v>0</v>
      </c>
      <c r="M3180" s="15">
        <v>0</v>
      </c>
      <c r="N3180" s="15" t="str">
        <v/>
      </c>
      <c r="O3180" s="15" t="str">
        <v/>
      </c>
      <c r="P3180" s="22">
        <v>0</v>
      </c>
      <c r="Q3180">
        <v>0</v>
      </c>
    </row>
    <row r="3181" spans="1:17">
      <c r="A3181" s="19">
        <v>0</v>
      </c>
      <c r="B3181" s="19">
        <v>0</v>
      </c>
      <c r="C3181" s="19">
        <v>0</v>
      </c>
      <c r="D3181" s="19">
        <v>0</v>
      </c>
      <c r="E3181" s="19">
        <v>0</v>
      </c>
      <c r="F3181" s="19">
        <v>0</v>
      </c>
      <c r="G3181" s="19">
        <v>0</v>
      </c>
      <c r="H3181" s="19">
        <v>0</v>
      </c>
      <c r="I3181" s="15">
        <v>3500</v>
      </c>
      <c r="J3181" s="15">
        <v>0</v>
      </c>
      <c r="K3181" s="15">
        <v>0</v>
      </c>
      <c r="L3181" s="15">
        <v>0</v>
      </c>
      <c r="M3181" s="15">
        <v>0</v>
      </c>
      <c r="N3181" s="15" t="str">
        <v/>
      </c>
      <c r="O3181" s="15" t="str">
        <v/>
      </c>
      <c r="P3181" s="22">
        <v>0</v>
      </c>
      <c r="Q3181">
        <v>0</v>
      </c>
    </row>
    <row r="3182" spans="1:17">
      <c r="A3182" s="19">
        <v>0</v>
      </c>
      <c r="B3182" s="19">
        <v>0</v>
      </c>
      <c r="C3182" s="19">
        <v>0</v>
      </c>
      <c r="D3182" s="19">
        <v>0</v>
      </c>
      <c r="E3182" s="19">
        <v>0</v>
      </c>
      <c r="F3182" s="19">
        <v>0</v>
      </c>
      <c r="G3182" s="19">
        <v>0</v>
      </c>
      <c r="H3182" s="19">
        <v>0</v>
      </c>
      <c r="I3182" s="15">
        <v>3500</v>
      </c>
      <c r="J3182" s="15">
        <v>0</v>
      </c>
      <c r="K3182" s="15">
        <v>0</v>
      </c>
      <c r="L3182" s="15">
        <v>0</v>
      </c>
      <c r="M3182" s="15">
        <v>0</v>
      </c>
      <c r="N3182" s="15" t="str">
        <v/>
      </c>
      <c r="O3182" s="15" t="str">
        <v/>
      </c>
      <c r="P3182" s="22">
        <v>0</v>
      </c>
      <c r="Q3182">
        <v>0</v>
      </c>
    </row>
    <row r="3183" spans="1:17">
      <c r="A3183" s="19">
        <v>0</v>
      </c>
      <c r="B3183" s="19">
        <v>0</v>
      </c>
      <c r="C3183" s="19">
        <v>0</v>
      </c>
      <c r="D3183" s="19">
        <v>0</v>
      </c>
      <c r="E3183" s="19">
        <v>0</v>
      </c>
      <c r="F3183" s="19">
        <v>0</v>
      </c>
      <c r="G3183" s="19">
        <v>0</v>
      </c>
      <c r="H3183" s="19">
        <v>0</v>
      </c>
      <c r="I3183" s="15">
        <v>3500</v>
      </c>
      <c r="J3183" s="15">
        <v>0</v>
      </c>
      <c r="K3183" s="15">
        <v>0</v>
      </c>
      <c r="L3183" s="15">
        <v>0</v>
      </c>
      <c r="M3183" s="15">
        <v>0</v>
      </c>
      <c r="N3183" s="15" t="str">
        <v/>
      </c>
      <c r="O3183" s="15" t="str">
        <v/>
      </c>
      <c r="P3183" s="22">
        <v>0</v>
      </c>
      <c r="Q3183">
        <v>0</v>
      </c>
    </row>
    <row r="3184" spans="1:17">
      <c r="A3184" s="19">
        <v>0</v>
      </c>
      <c r="B3184" s="19">
        <v>0</v>
      </c>
      <c r="C3184" s="19">
        <v>0</v>
      </c>
      <c r="D3184" s="19">
        <v>0</v>
      </c>
      <c r="E3184" s="19">
        <v>0</v>
      </c>
      <c r="F3184" s="19">
        <v>0</v>
      </c>
      <c r="G3184" s="19">
        <v>0</v>
      </c>
      <c r="H3184" s="19">
        <v>0</v>
      </c>
      <c r="I3184" s="15">
        <v>3500</v>
      </c>
      <c r="J3184" s="15">
        <v>0</v>
      </c>
      <c r="K3184" s="15">
        <v>0</v>
      </c>
      <c r="L3184" s="15">
        <v>0</v>
      </c>
      <c r="M3184" s="15">
        <v>0</v>
      </c>
      <c r="N3184" s="15" t="str">
        <v/>
      </c>
      <c r="O3184" s="15" t="str">
        <v/>
      </c>
      <c r="P3184" s="22">
        <v>0</v>
      </c>
      <c r="Q3184">
        <v>0</v>
      </c>
    </row>
    <row r="3185" spans="1:17">
      <c r="A3185" s="19">
        <v>0</v>
      </c>
      <c r="B3185" s="19">
        <v>0</v>
      </c>
      <c r="C3185" s="19">
        <v>0</v>
      </c>
      <c r="D3185" s="19">
        <v>0</v>
      </c>
      <c r="E3185" s="19">
        <v>0</v>
      </c>
      <c r="F3185" s="19">
        <v>0</v>
      </c>
      <c r="G3185" s="19">
        <v>0</v>
      </c>
      <c r="H3185" s="19">
        <v>0</v>
      </c>
      <c r="I3185" s="15">
        <v>3500</v>
      </c>
      <c r="J3185" s="15">
        <v>0</v>
      </c>
      <c r="K3185" s="15">
        <v>0</v>
      </c>
      <c r="L3185" s="15">
        <v>0</v>
      </c>
      <c r="M3185" s="15">
        <v>0</v>
      </c>
      <c r="N3185" s="15" t="str">
        <v/>
      </c>
      <c r="O3185" s="15" t="str">
        <v/>
      </c>
      <c r="P3185" s="22">
        <v>0</v>
      </c>
      <c r="Q3185">
        <v>0</v>
      </c>
    </row>
    <row r="3186" spans="1:17">
      <c r="A3186" s="19">
        <v>0</v>
      </c>
      <c r="B3186" s="19">
        <v>0</v>
      </c>
      <c r="C3186" s="19">
        <v>0</v>
      </c>
      <c r="D3186" s="19">
        <v>0</v>
      </c>
      <c r="E3186" s="19">
        <v>0</v>
      </c>
      <c r="F3186" s="19">
        <v>0</v>
      </c>
      <c r="G3186" s="19">
        <v>0</v>
      </c>
      <c r="H3186" s="19">
        <v>0</v>
      </c>
      <c r="I3186" s="15">
        <v>3500</v>
      </c>
      <c r="J3186" s="15">
        <v>0</v>
      </c>
      <c r="K3186" s="15">
        <v>0</v>
      </c>
      <c r="L3186" s="15">
        <v>0</v>
      </c>
      <c r="M3186" s="15">
        <v>0</v>
      </c>
      <c r="N3186" s="15" t="str">
        <v/>
      </c>
      <c r="O3186" s="15" t="str">
        <v/>
      </c>
      <c r="P3186" s="22">
        <v>0</v>
      </c>
      <c r="Q3186">
        <v>0</v>
      </c>
    </row>
    <row r="3187" spans="1:17">
      <c r="A3187" s="19">
        <v>0</v>
      </c>
      <c r="B3187" s="19">
        <v>0</v>
      </c>
      <c r="C3187" s="19">
        <v>0</v>
      </c>
      <c r="D3187" s="19">
        <v>0</v>
      </c>
      <c r="E3187" s="19">
        <v>0</v>
      </c>
      <c r="F3187" s="19">
        <v>0</v>
      </c>
      <c r="G3187" s="19">
        <v>0</v>
      </c>
      <c r="H3187" s="19">
        <v>0</v>
      </c>
      <c r="I3187" s="15">
        <v>3500</v>
      </c>
      <c r="J3187" s="15">
        <v>0</v>
      </c>
      <c r="K3187" s="15">
        <v>0</v>
      </c>
      <c r="L3187" s="15">
        <v>0</v>
      </c>
      <c r="M3187" s="15">
        <v>0</v>
      </c>
      <c r="N3187" s="15" t="str">
        <v/>
      </c>
      <c r="O3187" s="15" t="str">
        <v/>
      </c>
      <c r="P3187" s="22">
        <v>0</v>
      </c>
      <c r="Q3187">
        <v>0</v>
      </c>
    </row>
    <row r="3188" spans="1:17">
      <c r="A3188" s="19">
        <v>0</v>
      </c>
      <c r="B3188" s="19">
        <v>0</v>
      </c>
      <c r="C3188" s="19">
        <v>0</v>
      </c>
      <c r="D3188" s="19">
        <v>0</v>
      </c>
      <c r="E3188" s="19">
        <v>0</v>
      </c>
      <c r="F3188" s="19">
        <v>0</v>
      </c>
      <c r="G3188" s="19">
        <v>0</v>
      </c>
      <c r="H3188" s="19">
        <v>0</v>
      </c>
      <c r="I3188" s="15">
        <v>3500</v>
      </c>
      <c r="J3188" s="15">
        <v>0</v>
      </c>
      <c r="K3188" s="15">
        <v>0</v>
      </c>
      <c r="L3188" s="15">
        <v>0</v>
      </c>
      <c r="M3188" s="15">
        <v>0</v>
      </c>
      <c r="N3188" s="15" t="str">
        <v/>
      </c>
      <c r="O3188" s="15" t="str">
        <v/>
      </c>
      <c r="P3188" s="22">
        <v>0</v>
      </c>
      <c r="Q3188">
        <v>0</v>
      </c>
    </row>
    <row r="3189" spans="1:17">
      <c r="A3189" s="19">
        <v>0</v>
      </c>
      <c r="B3189" s="19">
        <v>0</v>
      </c>
      <c r="C3189" s="19">
        <v>0</v>
      </c>
      <c r="D3189" s="19">
        <v>0</v>
      </c>
      <c r="E3189" s="19">
        <v>0</v>
      </c>
      <c r="F3189" s="19">
        <v>0</v>
      </c>
      <c r="G3189" s="19">
        <v>0</v>
      </c>
      <c r="H3189" s="19">
        <v>0</v>
      </c>
      <c r="I3189" s="15">
        <v>3500</v>
      </c>
      <c r="J3189" s="15">
        <v>0</v>
      </c>
      <c r="K3189" s="15">
        <v>0</v>
      </c>
      <c r="L3189" s="15">
        <v>0</v>
      </c>
      <c r="M3189" s="15">
        <v>0</v>
      </c>
      <c r="N3189" s="15" t="str">
        <v/>
      </c>
      <c r="O3189" s="15" t="str">
        <v/>
      </c>
      <c r="P3189" s="22">
        <v>0</v>
      </c>
      <c r="Q3189">
        <v>0</v>
      </c>
    </row>
    <row r="3190" spans="1:17">
      <c r="A3190" s="19">
        <v>0</v>
      </c>
      <c r="B3190" s="19">
        <v>0</v>
      </c>
      <c r="C3190" s="19">
        <v>0</v>
      </c>
      <c r="D3190" s="19">
        <v>0</v>
      </c>
      <c r="E3190" s="19">
        <v>0</v>
      </c>
      <c r="F3190" s="19">
        <v>0</v>
      </c>
      <c r="G3190" s="19">
        <v>0</v>
      </c>
      <c r="H3190" s="19">
        <v>0</v>
      </c>
      <c r="I3190" s="15">
        <v>3500</v>
      </c>
      <c r="J3190" s="15">
        <v>0</v>
      </c>
      <c r="K3190" s="15">
        <v>0</v>
      </c>
      <c r="L3190" s="15">
        <v>0</v>
      </c>
      <c r="M3190" s="15">
        <v>0</v>
      </c>
      <c r="N3190" s="15" t="str">
        <v/>
      </c>
      <c r="O3190" s="15" t="str">
        <v/>
      </c>
      <c r="P3190" s="22">
        <v>0</v>
      </c>
      <c r="Q3190">
        <v>0</v>
      </c>
    </row>
    <row r="3191" spans="1:17">
      <c r="A3191" s="19">
        <v>0</v>
      </c>
      <c r="B3191" s="19">
        <v>0</v>
      </c>
      <c r="C3191" s="19">
        <v>0</v>
      </c>
      <c r="D3191" s="19">
        <v>0</v>
      </c>
      <c r="E3191" s="19">
        <v>0</v>
      </c>
      <c r="F3191" s="19">
        <v>0</v>
      </c>
      <c r="G3191" s="19">
        <v>0</v>
      </c>
      <c r="H3191" s="19">
        <v>0</v>
      </c>
      <c r="I3191" s="15">
        <v>3500</v>
      </c>
      <c r="J3191" s="15">
        <v>0</v>
      </c>
      <c r="K3191" s="15">
        <v>0</v>
      </c>
      <c r="L3191" s="15">
        <v>0</v>
      </c>
      <c r="M3191" s="15">
        <v>0</v>
      </c>
      <c r="N3191" s="15" t="str">
        <v/>
      </c>
      <c r="O3191" s="15" t="str">
        <v/>
      </c>
      <c r="P3191" s="22">
        <v>0</v>
      </c>
      <c r="Q3191">
        <v>0</v>
      </c>
    </row>
    <row r="3192" spans="1:17">
      <c r="A3192" s="19">
        <v>0</v>
      </c>
      <c r="B3192" s="19">
        <v>0</v>
      </c>
      <c r="C3192" s="19">
        <v>0</v>
      </c>
      <c r="D3192" s="19">
        <v>0</v>
      </c>
      <c r="E3192" s="19">
        <v>0</v>
      </c>
      <c r="F3192" s="19">
        <v>0</v>
      </c>
      <c r="G3192" s="19">
        <v>0</v>
      </c>
      <c r="H3192" s="19">
        <v>0</v>
      </c>
      <c r="I3192" s="15">
        <v>3500</v>
      </c>
      <c r="J3192" s="15">
        <v>0</v>
      </c>
      <c r="K3192" s="15">
        <v>0</v>
      </c>
      <c r="L3192" s="15">
        <v>0</v>
      </c>
      <c r="M3192" s="15">
        <v>0</v>
      </c>
      <c r="N3192" s="15" t="str">
        <v/>
      </c>
      <c r="O3192" s="15" t="str">
        <v/>
      </c>
      <c r="P3192" s="22">
        <v>0</v>
      </c>
      <c r="Q3192">
        <v>0</v>
      </c>
    </row>
    <row r="3193" spans="1:17">
      <c r="A3193" s="19">
        <v>0</v>
      </c>
      <c r="B3193" s="19">
        <v>0</v>
      </c>
      <c r="C3193" s="19">
        <v>0</v>
      </c>
      <c r="D3193" s="19">
        <v>0</v>
      </c>
      <c r="E3193" s="19">
        <v>0</v>
      </c>
      <c r="F3193" s="19">
        <v>0</v>
      </c>
      <c r="G3193" s="19">
        <v>0</v>
      </c>
      <c r="H3193" s="19">
        <v>0</v>
      </c>
      <c r="I3193" s="15">
        <v>3500</v>
      </c>
      <c r="J3193" s="15">
        <v>0</v>
      </c>
      <c r="K3193" s="15">
        <v>0</v>
      </c>
      <c r="L3193" s="15">
        <v>0</v>
      </c>
      <c r="M3193" s="15">
        <v>0</v>
      </c>
      <c r="N3193" s="15" t="str">
        <v/>
      </c>
      <c r="O3193" s="15" t="str">
        <v/>
      </c>
      <c r="P3193" s="22">
        <v>0</v>
      </c>
      <c r="Q3193">
        <v>0</v>
      </c>
    </row>
    <row r="3194" spans="1:17">
      <c r="A3194" s="19">
        <v>0</v>
      </c>
      <c r="B3194" s="19">
        <v>0</v>
      </c>
      <c r="C3194" s="19">
        <v>0</v>
      </c>
      <c r="D3194" s="19">
        <v>0</v>
      </c>
      <c r="E3194" s="19">
        <v>0</v>
      </c>
      <c r="F3194" s="19">
        <v>0</v>
      </c>
      <c r="G3194" s="19">
        <v>0</v>
      </c>
      <c r="H3194" s="19">
        <v>0</v>
      </c>
      <c r="I3194" s="15">
        <v>3500</v>
      </c>
      <c r="J3194" s="15">
        <v>0</v>
      </c>
      <c r="K3194" s="15">
        <v>0</v>
      </c>
      <c r="L3194" s="15">
        <v>0</v>
      </c>
      <c r="M3194" s="15">
        <v>0</v>
      </c>
      <c r="N3194" s="15" t="str">
        <v/>
      </c>
      <c r="O3194" s="15" t="str">
        <v/>
      </c>
      <c r="P3194" s="22">
        <v>0</v>
      </c>
      <c r="Q3194">
        <v>0</v>
      </c>
    </row>
    <row r="3195" spans="1:17">
      <c r="A3195" s="19">
        <v>0</v>
      </c>
      <c r="B3195" s="19">
        <v>0</v>
      </c>
      <c r="C3195" s="19">
        <v>0</v>
      </c>
      <c r="D3195" s="19">
        <v>0</v>
      </c>
      <c r="E3195" s="19">
        <v>0</v>
      </c>
      <c r="F3195" s="19">
        <v>0</v>
      </c>
      <c r="G3195" s="19">
        <v>0</v>
      </c>
      <c r="H3195" s="19">
        <v>0</v>
      </c>
      <c r="I3195" s="15">
        <v>3500</v>
      </c>
      <c r="J3195" s="15">
        <v>0</v>
      </c>
      <c r="K3195" s="15">
        <v>0</v>
      </c>
      <c r="L3195" s="15">
        <v>0</v>
      </c>
      <c r="M3195" s="15">
        <v>0</v>
      </c>
      <c r="N3195" s="15" t="str">
        <v/>
      </c>
      <c r="O3195" s="15" t="str">
        <v/>
      </c>
      <c r="P3195" s="22">
        <v>0</v>
      </c>
      <c r="Q3195">
        <v>0</v>
      </c>
    </row>
    <row r="3196" spans="1:17">
      <c r="A3196" s="19">
        <v>0</v>
      </c>
      <c r="B3196" s="19">
        <v>0</v>
      </c>
      <c r="C3196" s="19">
        <v>0</v>
      </c>
      <c r="D3196" s="19">
        <v>0</v>
      </c>
      <c r="E3196" s="19">
        <v>0</v>
      </c>
      <c r="F3196" s="19">
        <v>0</v>
      </c>
      <c r="G3196" s="19">
        <v>0</v>
      </c>
      <c r="H3196" s="19">
        <v>0</v>
      </c>
      <c r="I3196" s="15">
        <v>3500</v>
      </c>
      <c r="J3196" s="15">
        <v>0</v>
      </c>
      <c r="K3196" s="15">
        <v>0</v>
      </c>
      <c r="L3196" s="15">
        <v>0</v>
      </c>
      <c r="M3196" s="15">
        <v>0</v>
      </c>
      <c r="N3196" s="15" t="str">
        <v/>
      </c>
      <c r="O3196" s="15" t="str">
        <v/>
      </c>
      <c r="P3196" s="22">
        <v>0</v>
      </c>
      <c r="Q3196">
        <v>0</v>
      </c>
    </row>
    <row r="3197" spans="1:17">
      <c r="A3197" s="19">
        <v>0</v>
      </c>
      <c r="B3197" s="19">
        <v>0</v>
      </c>
      <c r="C3197" s="19">
        <v>0</v>
      </c>
      <c r="D3197" s="19">
        <v>0</v>
      </c>
      <c r="E3197" s="19">
        <v>0</v>
      </c>
      <c r="F3197" s="19">
        <v>0</v>
      </c>
      <c r="G3197" s="19">
        <v>0</v>
      </c>
      <c r="H3197" s="19">
        <v>0</v>
      </c>
      <c r="I3197" s="15">
        <v>3500</v>
      </c>
      <c r="J3197" s="15">
        <v>0</v>
      </c>
      <c r="K3197" s="15">
        <v>0</v>
      </c>
      <c r="L3197" s="15">
        <v>0</v>
      </c>
      <c r="M3197" s="15">
        <v>0</v>
      </c>
      <c r="N3197" s="15" t="str">
        <v/>
      </c>
      <c r="O3197" s="15" t="str">
        <v/>
      </c>
      <c r="P3197" s="22">
        <v>0</v>
      </c>
      <c r="Q3197">
        <v>0</v>
      </c>
    </row>
    <row r="3198" spans="1:17">
      <c r="A3198" s="19">
        <v>0</v>
      </c>
      <c r="B3198" s="19">
        <v>0</v>
      </c>
      <c r="C3198" s="19">
        <v>0</v>
      </c>
      <c r="D3198" s="19">
        <v>0</v>
      </c>
      <c r="E3198" s="19">
        <v>0</v>
      </c>
      <c r="F3198" s="19">
        <v>0</v>
      </c>
      <c r="G3198" s="19">
        <v>0</v>
      </c>
      <c r="H3198" s="19">
        <v>0</v>
      </c>
      <c r="I3198" s="15">
        <v>3500</v>
      </c>
      <c r="J3198" s="15">
        <v>0</v>
      </c>
      <c r="K3198" s="15">
        <v>0</v>
      </c>
      <c r="L3198" s="15">
        <v>0</v>
      </c>
      <c r="M3198" s="15">
        <v>0</v>
      </c>
      <c r="N3198" s="15" t="str">
        <v/>
      </c>
      <c r="O3198" s="15" t="str">
        <v/>
      </c>
      <c r="P3198" s="22">
        <v>0</v>
      </c>
      <c r="Q3198">
        <v>0</v>
      </c>
    </row>
    <row r="3199" spans="1:17">
      <c r="A3199" s="19">
        <v>0</v>
      </c>
      <c r="B3199" s="19">
        <v>0</v>
      </c>
      <c r="C3199" s="19">
        <v>0</v>
      </c>
      <c r="D3199" s="19">
        <v>0</v>
      </c>
      <c r="E3199" s="19">
        <v>0</v>
      </c>
      <c r="F3199" s="19">
        <v>0</v>
      </c>
      <c r="G3199" s="19">
        <v>0</v>
      </c>
      <c r="H3199" s="19">
        <v>0</v>
      </c>
      <c r="I3199" s="15">
        <v>3500</v>
      </c>
      <c r="J3199" s="15">
        <v>0</v>
      </c>
      <c r="K3199" s="15">
        <v>0</v>
      </c>
      <c r="L3199" s="15">
        <v>0</v>
      </c>
      <c r="M3199" s="15">
        <v>0</v>
      </c>
      <c r="N3199" s="15" t="str">
        <v/>
      </c>
      <c r="O3199" s="15" t="str">
        <v/>
      </c>
      <c r="P3199" s="22">
        <v>0</v>
      </c>
      <c r="Q3199">
        <v>0</v>
      </c>
    </row>
    <row r="3200" spans="1:17">
      <c r="A3200" s="19">
        <v>0</v>
      </c>
      <c r="B3200" s="19">
        <v>0</v>
      </c>
      <c r="C3200" s="19">
        <v>0</v>
      </c>
      <c r="D3200" s="19">
        <v>0</v>
      </c>
      <c r="E3200" s="19">
        <v>0</v>
      </c>
      <c r="F3200" s="19">
        <v>0</v>
      </c>
      <c r="G3200" s="19">
        <v>0</v>
      </c>
      <c r="H3200" s="19">
        <v>0</v>
      </c>
      <c r="I3200" s="15">
        <v>3500</v>
      </c>
      <c r="J3200" s="15">
        <v>0</v>
      </c>
      <c r="K3200" s="15">
        <v>0</v>
      </c>
      <c r="L3200" s="15">
        <v>0</v>
      </c>
      <c r="M3200" s="15">
        <v>0</v>
      </c>
      <c r="N3200" s="15" t="str">
        <v/>
      </c>
      <c r="O3200" s="15" t="str">
        <v/>
      </c>
      <c r="P3200" s="22">
        <v>0</v>
      </c>
      <c r="Q3200">
        <v>0</v>
      </c>
    </row>
    <row r="3201" spans="1:17">
      <c r="A3201" s="19">
        <v>0</v>
      </c>
      <c r="B3201" s="19">
        <v>0</v>
      </c>
      <c r="C3201" s="19">
        <v>0</v>
      </c>
      <c r="D3201" s="19">
        <v>0</v>
      </c>
      <c r="E3201" s="19">
        <v>0</v>
      </c>
      <c r="F3201" s="19">
        <v>0</v>
      </c>
      <c r="G3201" s="19">
        <v>0</v>
      </c>
      <c r="H3201" s="19">
        <v>0</v>
      </c>
      <c r="I3201" s="15">
        <v>3500</v>
      </c>
      <c r="J3201" s="15">
        <v>0</v>
      </c>
      <c r="K3201" s="15">
        <v>0</v>
      </c>
      <c r="L3201" s="15">
        <v>0</v>
      </c>
      <c r="M3201" s="15">
        <v>0</v>
      </c>
      <c r="N3201" s="15" t="str">
        <v/>
      </c>
      <c r="O3201" s="15" t="str">
        <v/>
      </c>
      <c r="P3201" s="22">
        <v>0</v>
      </c>
      <c r="Q3201">
        <v>0</v>
      </c>
    </row>
    <row r="3202" spans="1:17">
      <c r="A3202" s="19">
        <v>0</v>
      </c>
      <c r="B3202" s="19">
        <v>0</v>
      </c>
      <c r="C3202" s="19">
        <v>0</v>
      </c>
      <c r="D3202" s="19">
        <v>0</v>
      </c>
      <c r="E3202" s="19">
        <v>0</v>
      </c>
      <c r="F3202" s="19">
        <v>0</v>
      </c>
      <c r="G3202" s="19">
        <v>0</v>
      </c>
      <c r="H3202" s="19">
        <v>0</v>
      </c>
      <c r="I3202" s="15">
        <v>3500</v>
      </c>
      <c r="J3202" s="15">
        <v>0</v>
      </c>
      <c r="K3202" s="15">
        <v>0</v>
      </c>
      <c r="L3202" s="15">
        <v>0</v>
      </c>
      <c r="M3202" s="15">
        <v>0</v>
      </c>
      <c r="N3202" s="15" t="str">
        <v/>
      </c>
      <c r="O3202" s="15" t="str">
        <v/>
      </c>
      <c r="P3202" s="22">
        <v>0</v>
      </c>
      <c r="Q3202">
        <v>0</v>
      </c>
    </row>
    <row r="3203" spans="1:17">
      <c r="A3203" s="19">
        <v>0</v>
      </c>
      <c r="B3203" s="19">
        <v>0</v>
      </c>
      <c r="C3203" s="19">
        <v>0</v>
      </c>
      <c r="D3203" s="19">
        <v>0</v>
      </c>
      <c r="E3203" s="19">
        <v>0</v>
      </c>
      <c r="F3203" s="19">
        <v>0</v>
      </c>
      <c r="G3203" s="19">
        <v>0</v>
      </c>
      <c r="H3203" s="19">
        <v>0</v>
      </c>
      <c r="I3203" s="15">
        <v>3500</v>
      </c>
      <c r="J3203" s="15">
        <v>0</v>
      </c>
      <c r="K3203" s="15">
        <v>0</v>
      </c>
      <c r="L3203" s="15">
        <v>0</v>
      </c>
      <c r="M3203" s="15">
        <v>0</v>
      </c>
      <c r="N3203" s="15" t="str">
        <v/>
      </c>
      <c r="O3203" s="15" t="str">
        <v/>
      </c>
      <c r="P3203" s="22">
        <v>0</v>
      </c>
      <c r="Q3203">
        <v>0</v>
      </c>
    </row>
    <row r="3204" spans="1:17">
      <c r="A3204" s="19">
        <v>0</v>
      </c>
      <c r="B3204" s="19">
        <v>0</v>
      </c>
      <c r="C3204" s="19">
        <v>0</v>
      </c>
      <c r="D3204" s="19">
        <v>0</v>
      </c>
      <c r="E3204" s="19">
        <v>0</v>
      </c>
      <c r="F3204" s="19">
        <v>0</v>
      </c>
      <c r="G3204" s="19">
        <v>0</v>
      </c>
      <c r="H3204" s="19">
        <v>0</v>
      </c>
      <c r="I3204" s="15">
        <v>3500</v>
      </c>
      <c r="J3204" s="15">
        <v>0</v>
      </c>
      <c r="K3204" s="15">
        <v>0</v>
      </c>
      <c r="L3204" s="15">
        <v>0</v>
      </c>
      <c r="M3204" s="15">
        <v>0</v>
      </c>
      <c r="N3204" s="15" t="str">
        <v/>
      </c>
      <c r="O3204" s="15" t="str">
        <v/>
      </c>
      <c r="P3204" s="22">
        <v>0</v>
      </c>
      <c r="Q3204">
        <v>0</v>
      </c>
    </row>
    <row r="3205" spans="1:17">
      <c r="A3205" s="19">
        <v>0</v>
      </c>
      <c r="B3205" s="19">
        <v>0</v>
      </c>
      <c r="C3205" s="19">
        <v>0</v>
      </c>
      <c r="D3205" s="19">
        <v>0</v>
      </c>
      <c r="E3205" s="19">
        <v>0</v>
      </c>
      <c r="F3205" s="19">
        <v>0</v>
      </c>
      <c r="G3205" s="19">
        <v>0</v>
      </c>
      <c r="H3205" s="19">
        <v>0</v>
      </c>
      <c r="I3205" s="15">
        <v>3500</v>
      </c>
      <c r="J3205" s="15">
        <v>0</v>
      </c>
      <c r="K3205" s="15">
        <v>0</v>
      </c>
      <c r="L3205" s="15">
        <v>0</v>
      </c>
      <c r="M3205" s="15">
        <v>0</v>
      </c>
      <c r="N3205" s="15" t="str">
        <v/>
      </c>
      <c r="O3205" s="15" t="str">
        <v/>
      </c>
      <c r="P3205" s="22">
        <v>0</v>
      </c>
      <c r="Q3205">
        <v>0</v>
      </c>
    </row>
    <row r="3206" spans="1:17">
      <c r="A3206" s="19">
        <v>0</v>
      </c>
      <c r="B3206" s="19">
        <v>0</v>
      </c>
      <c r="C3206" s="19">
        <v>0</v>
      </c>
      <c r="D3206" s="19">
        <v>0</v>
      </c>
      <c r="E3206" s="19">
        <v>0</v>
      </c>
      <c r="F3206" s="19">
        <v>0</v>
      </c>
      <c r="G3206" s="19">
        <v>0</v>
      </c>
      <c r="H3206" s="19">
        <v>0</v>
      </c>
      <c r="I3206" s="15">
        <v>3500</v>
      </c>
      <c r="J3206" s="15">
        <v>0</v>
      </c>
      <c r="K3206" s="15">
        <v>0</v>
      </c>
      <c r="L3206" s="15">
        <v>0</v>
      </c>
      <c r="M3206" s="15">
        <v>0</v>
      </c>
      <c r="N3206" s="15" t="str">
        <v/>
      </c>
      <c r="O3206" s="15" t="str">
        <v/>
      </c>
      <c r="P3206" s="22">
        <v>0</v>
      </c>
      <c r="Q3206">
        <v>0</v>
      </c>
    </row>
    <row r="3207" spans="1:17">
      <c r="A3207" s="19">
        <v>0</v>
      </c>
      <c r="B3207" s="19">
        <v>0</v>
      </c>
      <c r="C3207" s="19">
        <v>0</v>
      </c>
      <c r="D3207" s="19">
        <v>0</v>
      </c>
      <c r="E3207" s="19">
        <v>0</v>
      </c>
      <c r="F3207" s="19">
        <v>0</v>
      </c>
      <c r="G3207" s="19">
        <v>0</v>
      </c>
      <c r="H3207" s="19">
        <v>0</v>
      </c>
      <c r="I3207" s="15">
        <v>3500</v>
      </c>
      <c r="J3207" s="15">
        <v>0</v>
      </c>
      <c r="K3207" s="15">
        <v>0</v>
      </c>
      <c r="L3207" s="15">
        <v>0</v>
      </c>
      <c r="M3207" s="15">
        <v>0</v>
      </c>
      <c r="N3207" s="15" t="str">
        <v/>
      </c>
      <c r="O3207" s="15" t="str">
        <v/>
      </c>
      <c r="P3207" s="22">
        <v>0</v>
      </c>
      <c r="Q3207">
        <v>0</v>
      </c>
    </row>
    <row r="3208" spans="1:17">
      <c r="A3208" s="19">
        <v>0</v>
      </c>
      <c r="B3208" s="19">
        <v>0</v>
      </c>
      <c r="C3208" s="19">
        <v>0</v>
      </c>
      <c r="D3208" s="19">
        <v>0</v>
      </c>
      <c r="E3208" s="19">
        <v>0</v>
      </c>
      <c r="F3208" s="19">
        <v>0</v>
      </c>
      <c r="G3208" s="19">
        <v>0</v>
      </c>
      <c r="H3208" s="19">
        <v>0</v>
      </c>
      <c r="I3208" s="15">
        <v>3500</v>
      </c>
      <c r="J3208" s="15">
        <v>0</v>
      </c>
      <c r="K3208" s="15">
        <v>0</v>
      </c>
      <c r="L3208" s="15">
        <v>0</v>
      </c>
      <c r="M3208" s="15">
        <v>0</v>
      </c>
      <c r="N3208" s="15" t="str">
        <v/>
      </c>
      <c r="O3208" s="15" t="str">
        <v/>
      </c>
      <c r="P3208" s="22">
        <v>0</v>
      </c>
      <c r="Q3208">
        <v>0</v>
      </c>
    </row>
    <row r="3209" spans="1:17">
      <c r="A3209" s="19">
        <v>0</v>
      </c>
      <c r="B3209" s="19">
        <v>0</v>
      </c>
      <c r="C3209" s="19">
        <v>0</v>
      </c>
      <c r="D3209" s="19">
        <v>0</v>
      </c>
      <c r="E3209" s="19">
        <v>0</v>
      </c>
      <c r="F3209" s="19">
        <v>0</v>
      </c>
      <c r="G3209" s="19">
        <v>0</v>
      </c>
      <c r="H3209" s="19">
        <v>0</v>
      </c>
      <c r="I3209" s="15">
        <v>3500</v>
      </c>
      <c r="J3209" s="15">
        <v>0</v>
      </c>
      <c r="K3209" s="15">
        <v>0</v>
      </c>
      <c r="L3209" s="15">
        <v>0</v>
      </c>
      <c r="M3209" s="15">
        <v>0</v>
      </c>
      <c r="N3209" s="15" t="str">
        <v/>
      </c>
      <c r="O3209" s="15" t="str">
        <v/>
      </c>
      <c r="P3209" s="22">
        <v>0</v>
      </c>
      <c r="Q3209">
        <v>0</v>
      </c>
    </row>
    <row r="3210" spans="1:17">
      <c r="A3210" s="19">
        <v>0</v>
      </c>
      <c r="B3210" s="19">
        <v>0</v>
      </c>
      <c r="C3210" s="19">
        <v>0</v>
      </c>
      <c r="D3210" s="19">
        <v>0</v>
      </c>
      <c r="E3210" s="19">
        <v>0</v>
      </c>
      <c r="F3210" s="19">
        <v>0</v>
      </c>
      <c r="G3210" s="19">
        <v>0</v>
      </c>
      <c r="H3210" s="19">
        <v>0</v>
      </c>
      <c r="I3210" s="15">
        <v>3500</v>
      </c>
      <c r="J3210" s="15">
        <v>0</v>
      </c>
      <c r="K3210" s="15">
        <v>0</v>
      </c>
      <c r="L3210" s="15">
        <v>0</v>
      </c>
      <c r="M3210" s="15">
        <v>0</v>
      </c>
      <c r="N3210" s="15" t="str">
        <v/>
      </c>
      <c r="O3210" s="15" t="str">
        <v/>
      </c>
      <c r="P3210" s="22">
        <v>0</v>
      </c>
      <c r="Q3210">
        <v>0</v>
      </c>
    </row>
    <row r="3211" spans="1:17">
      <c r="A3211" s="19">
        <v>0</v>
      </c>
      <c r="B3211" s="19">
        <v>0</v>
      </c>
      <c r="C3211" s="19">
        <v>0</v>
      </c>
      <c r="D3211" s="19">
        <v>0</v>
      </c>
      <c r="E3211" s="19">
        <v>0</v>
      </c>
      <c r="F3211" s="19">
        <v>0</v>
      </c>
      <c r="G3211" s="19">
        <v>0</v>
      </c>
      <c r="H3211" s="19">
        <v>0</v>
      </c>
      <c r="I3211" s="15">
        <v>3500</v>
      </c>
      <c r="J3211" s="15">
        <v>0</v>
      </c>
      <c r="K3211" s="15">
        <v>0</v>
      </c>
      <c r="L3211" s="15">
        <v>0</v>
      </c>
      <c r="M3211" s="15">
        <v>0</v>
      </c>
      <c r="N3211" s="15" t="str">
        <v/>
      </c>
      <c r="O3211" s="15" t="str">
        <v/>
      </c>
      <c r="P3211" s="22">
        <v>0</v>
      </c>
      <c r="Q3211">
        <v>0</v>
      </c>
    </row>
    <row r="3212" spans="1:17">
      <c r="A3212" s="19">
        <v>0</v>
      </c>
      <c r="B3212" s="19">
        <v>0</v>
      </c>
      <c r="C3212" s="19">
        <v>0</v>
      </c>
      <c r="D3212" s="19">
        <v>0</v>
      </c>
      <c r="E3212" s="19">
        <v>0</v>
      </c>
      <c r="F3212" s="19">
        <v>0</v>
      </c>
      <c r="G3212" s="19">
        <v>0</v>
      </c>
      <c r="H3212" s="19">
        <v>0</v>
      </c>
      <c r="I3212" s="15">
        <v>3500</v>
      </c>
      <c r="J3212" s="15">
        <v>0</v>
      </c>
      <c r="K3212" s="15">
        <v>0</v>
      </c>
      <c r="L3212" s="15">
        <v>0</v>
      </c>
      <c r="M3212" s="15">
        <v>0</v>
      </c>
      <c r="N3212" s="15" t="str">
        <v/>
      </c>
      <c r="O3212" s="15" t="str">
        <v/>
      </c>
      <c r="P3212" s="22">
        <v>0</v>
      </c>
      <c r="Q3212">
        <v>0</v>
      </c>
    </row>
    <row r="3213" spans="1:17">
      <c r="A3213" s="19">
        <v>0</v>
      </c>
      <c r="B3213" s="19">
        <v>0</v>
      </c>
      <c r="C3213" s="19">
        <v>0</v>
      </c>
      <c r="D3213" s="19">
        <v>0</v>
      </c>
      <c r="E3213" s="19">
        <v>0</v>
      </c>
      <c r="F3213" s="19">
        <v>0</v>
      </c>
      <c r="G3213" s="19">
        <v>0</v>
      </c>
      <c r="H3213" s="19">
        <v>0</v>
      </c>
      <c r="I3213" s="15">
        <v>3500</v>
      </c>
      <c r="J3213" s="15">
        <v>0</v>
      </c>
      <c r="K3213" s="15">
        <v>0</v>
      </c>
      <c r="L3213" s="15">
        <v>0</v>
      </c>
      <c r="M3213" s="15">
        <v>0</v>
      </c>
      <c r="N3213" s="15" t="str">
        <v/>
      </c>
      <c r="O3213" s="15" t="str">
        <v/>
      </c>
      <c r="P3213" s="22">
        <v>0</v>
      </c>
      <c r="Q3213">
        <v>0</v>
      </c>
    </row>
    <row r="3214" spans="1:17">
      <c r="A3214" s="19">
        <v>0</v>
      </c>
      <c r="B3214" s="19">
        <v>0</v>
      </c>
      <c r="C3214" s="19">
        <v>0</v>
      </c>
      <c r="D3214" s="19">
        <v>0</v>
      </c>
      <c r="E3214" s="19">
        <v>0</v>
      </c>
      <c r="F3214" s="19">
        <v>0</v>
      </c>
      <c r="G3214" s="19">
        <v>0</v>
      </c>
      <c r="H3214" s="19">
        <v>0</v>
      </c>
      <c r="I3214" s="15">
        <v>3500</v>
      </c>
      <c r="J3214" s="15">
        <v>0</v>
      </c>
      <c r="K3214" s="15">
        <v>0</v>
      </c>
      <c r="L3214" s="15">
        <v>0</v>
      </c>
      <c r="M3214" s="15">
        <v>0</v>
      </c>
      <c r="N3214" s="15" t="str">
        <v/>
      </c>
      <c r="O3214" s="15" t="str">
        <v/>
      </c>
      <c r="P3214" s="22">
        <v>0</v>
      </c>
      <c r="Q3214">
        <v>0</v>
      </c>
    </row>
    <row r="3215" spans="1:17">
      <c r="A3215" s="19">
        <v>0</v>
      </c>
      <c r="B3215" s="19">
        <v>0</v>
      </c>
      <c r="C3215" s="19">
        <v>0</v>
      </c>
      <c r="D3215" s="19">
        <v>0</v>
      </c>
      <c r="E3215" s="19">
        <v>0</v>
      </c>
      <c r="F3215" s="19">
        <v>0</v>
      </c>
      <c r="G3215" s="19">
        <v>0</v>
      </c>
      <c r="H3215" s="19">
        <v>0</v>
      </c>
      <c r="I3215" s="15">
        <v>3500</v>
      </c>
      <c r="J3215" s="15">
        <v>0</v>
      </c>
      <c r="K3215" s="15">
        <v>0</v>
      </c>
      <c r="L3215" s="15">
        <v>0</v>
      </c>
      <c r="M3215" s="15">
        <v>0</v>
      </c>
      <c r="N3215" s="15" t="str">
        <v/>
      </c>
      <c r="O3215" s="15" t="str">
        <v/>
      </c>
      <c r="P3215" s="22">
        <v>0</v>
      </c>
      <c r="Q3215">
        <v>0</v>
      </c>
    </row>
    <row r="3216" spans="1:17">
      <c r="A3216" s="19">
        <v>0</v>
      </c>
      <c r="B3216" s="19">
        <v>0</v>
      </c>
      <c r="C3216" s="19">
        <v>0</v>
      </c>
      <c r="D3216" s="19">
        <v>0</v>
      </c>
      <c r="E3216" s="19">
        <v>0</v>
      </c>
      <c r="F3216" s="19">
        <v>0</v>
      </c>
      <c r="G3216" s="19">
        <v>0</v>
      </c>
      <c r="H3216" s="19">
        <v>0</v>
      </c>
      <c r="I3216" s="15">
        <v>3500</v>
      </c>
      <c r="J3216" s="15">
        <v>0</v>
      </c>
      <c r="K3216" s="15">
        <v>0</v>
      </c>
      <c r="L3216" s="15">
        <v>0</v>
      </c>
      <c r="M3216" s="15">
        <v>0</v>
      </c>
      <c r="N3216" s="15" t="str">
        <v/>
      </c>
      <c r="O3216" s="15" t="str">
        <v/>
      </c>
      <c r="P3216" s="22">
        <v>0</v>
      </c>
      <c r="Q3216">
        <v>0</v>
      </c>
    </row>
    <row r="3217" spans="1:17">
      <c r="A3217" s="19">
        <v>0</v>
      </c>
      <c r="B3217" s="19">
        <v>0</v>
      </c>
      <c r="C3217" s="19">
        <v>0</v>
      </c>
      <c r="D3217" s="19">
        <v>0</v>
      </c>
      <c r="E3217" s="19">
        <v>0</v>
      </c>
      <c r="F3217" s="19">
        <v>0</v>
      </c>
      <c r="G3217" s="19">
        <v>0</v>
      </c>
      <c r="H3217" s="19">
        <v>0</v>
      </c>
      <c r="I3217" s="15">
        <v>3500</v>
      </c>
      <c r="J3217" s="15">
        <v>0</v>
      </c>
      <c r="K3217" s="15">
        <v>0</v>
      </c>
      <c r="L3217" s="15">
        <v>0</v>
      </c>
      <c r="M3217" s="15">
        <v>0</v>
      </c>
      <c r="N3217" s="15" t="str">
        <v/>
      </c>
      <c r="O3217" s="15" t="str">
        <v/>
      </c>
      <c r="P3217" s="22">
        <v>0</v>
      </c>
      <c r="Q3217">
        <v>0</v>
      </c>
    </row>
    <row r="3218" spans="1:17">
      <c r="A3218" s="19">
        <v>0</v>
      </c>
      <c r="B3218" s="19">
        <v>0</v>
      </c>
      <c r="C3218" s="19">
        <v>0</v>
      </c>
      <c r="D3218" s="19">
        <v>0</v>
      </c>
      <c r="E3218" s="19">
        <v>0</v>
      </c>
      <c r="F3218" s="19">
        <v>0</v>
      </c>
      <c r="G3218" s="19">
        <v>0</v>
      </c>
      <c r="H3218" s="19">
        <v>0</v>
      </c>
      <c r="I3218" s="15">
        <v>3500</v>
      </c>
      <c r="J3218" s="15">
        <v>0</v>
      </c>
      <c r="K3218" s="15">
        <v>0</v>
      </c>
      <c r="L3218" s="15">
        <v>0</v>
      </c>
      <c r="M3218" s="15">
        <v>0</v>
      </c>
      <c r="N3218" s="15" t="str">
        <v/>
      </c>
      <c r="O3218" s="15" t="str">
        <v/>
      </c>
      <c r="P3218" s="22">
        <v>0</v>
      </c>
      <c r="Q3218">
        <v>0</v>
      </c>
    </row>
    <row r="3219" spans="1:17">
      <c r="A3219" s="19">
        <v>0</v>
      </c>
      <c r="B3219" s="19">
        <v>0</v>
      </c>
      <c r="C3219" s="19">
        <v>0</v>
      </c>
      <c r="D3219" s="19">
        <v>0</v>
      </c>
      <c r="E3219" s="19">
        <v>0</v>
      </c>
      <c r="F3219" s="19">
        <v>0</v>
      </c>
      <c r="G3219" s="19">
        <v>0</v>
      </c>
      <c r="H3219" s="19">
        <v>0</v>
      </c>
      <c r="I3219" s="15">
        <v>3500</v>
      </c>
      <c r="J3219" s="15">
        <v>0</v>
      </c>
      <c r="K3219" s="15">
        <v>0</v>
      </c>
      <c r="L3219" s="15">
        <v>0</v>
      </c>
      <c r="M3219" s="15">
        <v>0</v>
      </c>
      <c r="N3219" s="15" t="str">
        <v/>
      </c>
      <c r="O3219" s="15" t="str">
        <v/>
      </c>
      <c r="P3219" s="22">
        <v>0</v>
      </c>
      <c r="Q3219">
        <v>0</v>
      </c>
    </row>
    <row r="3220" spans="1:17">
      <c r="A3220" s="19">
        <v>0</v>
      </c>
      <c r="B3220" s="19">
        <v>0</v>
      </c>
      <c r="C3220" s="19">
        <v>0</v>
      </c>
      <c r="D3220" s="19">
        <v>0</v>
      </c>
      <c r="E3220" s="19">
        <v>0</v>
      </c>
      <c r="F3220" s="19">
        <v>0</v>
      </c>
      <c r="G3220" s="19">
        <v>0</v>
      </c>
      <c r="H3220" s="19">
        <v>0</v>
      </c>
      <c r="I3220" s="15">
        <v>3500</v>
      </c>
      <c r="J3220" s="15">
        <v>0</v>
      </c>
      <c r="K3220" s="15">
        <v>0</v>
      </c>
      <c r="L3220" s="15">
        <v>0</v>
      </c>
      <c r="M3220" s="15">
        <v>0</v>
      </c>
      <c r="N3220" s="15" t="str">
        <v/>
      </c>
      <c r="O3220" s="15" t="str">
        <v/>
      </c>
      <c r="P3220" s="22">
        <v>0</v>
      </c>
      <c r="Q3220">
        <v>0</v>
      </c>
    </row>
    <row r="3221" spans="1:17">
      <c r="A3221" s="19">
        <v>0</v>
      </c>
      <c r="B3221" s="19">
        <v>0</v>
      </c>
      <c r="C3221" s="19">
        <v>0</v>
      </c>
      <c r="D3221" s="19">
        <v>0</v>
      </c>
      <c r="E3221" s="19">
        <v>0</v>
      </c>
      <c r="F3221" s="19">
        <v>0</v>
      </c>
      <c r="G3221" s="19">
        <v>0</v>
      </c>
      <c r="H3221" s="19">
        <v>0</v>
      </c>
      <c r="I3221" s="15">
        <v>3500</v>
      </c>
      <c r="J3221" s="15">
        <v>0</v>
      </c>
      <c r="K3221" s="15">
        <v>0</v>
      </c>
      <c r="L3221" s="15">
        <v>0</v>
      </c>
      <c r="M3221" s="15">
        <v>0</v>
      </c>
      <c r="N3221" s="15" t="str">
        <v/>
      </c>
      <c r="O3221" s="15" t="str">
        <v/>
      </c>
      <c r="P3221" s="22">
        <v>0</v>
      </c>
      <c r="Q3221">
        <v>0</v>
      </c>
    </row>
    <row r="3222" spans="1:17">
      <c r="A3222" s="19">
        <v>0</v>
      </c>
      <c r="B3222" s="19">
        <v>0</v>
      </c>
      <c r="C3222" s="19">
        <v>0</v>
      </c>
      <c r="D3222" s="19">
        <v>0</v>
      </c>
      <c r="E3222" s="19">
        <v>0</v>
      </c>
      <c r="F3222" s="19">
        <v>0</v>
      </c>
      <c r="G3222" s="19">
        <v>0</v>
      </c>
      <c r="H3222" s="19">
        <v>0</v>
      </c>
      <c r="I3222" s="15">
        <v>3500</v>
      </c>
      <c r="J3222" s="15">
        <v>0</v>
      </c>
      <c r="K3222" s="15">
        <v>0</v>
      </c>
      <c r="L3222" s="15">
        <v>0</v>
      </c>
      <c r="M3222" s="15">
        <v>0</v>
      </c>
      <c r="N3222" s="15" t="str">
        <v/>
      </c>
      <c r="O3222" s="15" t="str">
        <v/>
      </c>
      <c r="P3222" s="22">
        <v>0</v>
      </c>
      <c r="Q3222">
        <v>0</v>
      </c>
    </row>
    <row r="3223" spans="1:17">
      <c r="A3223" s="19">
        <v>0</v>
      </c>
      <c r="B3223" s="19">
        <v>0</v>
      </c>
      <c r="C3223" s="19">
        <v>0</v>
      </c>
      <c r="D3223" s="19">
        <v>0</v>
      </c>
      <c r="E3223" s="19">
        <v>0</v>
      </c>
      <c r="F3223" s="19">
        <v>0</v>
      </c>
      <c r="G3223" s="19">
        <v>0</v>
      </c>
      <c r="H3223" s="19">
        <v>0</v>
      </c>
      <c r="I3223" s="15">
        <v>3500</v>
      </c>
      <c r="J3223" s="15">
        <v>0</v>
      </c>
      <c r="K3223" s="15">
        <v>0</v>
      </c>
      <c r="L3223" s="15">
        <v>0</v>
      </c>
      <c r="M3223" s="15">
        <v>0</v>
      </c>
      <c r="N3223" s="15" t="str">
        <v/>
      </c>
      <c r="O3223" s="15" t="str">
        <v/>
      </c>
      <c r="P3223" s="22">
        <v>0</v>
      </c>
      <c r="Q3223">
        <v>0</v>
      </c>
    </row>
    <row r="3224" spans="1:17">
      <c r="A3224" s="19">
        <v>0</v>
      </c>
      <c r="B3224" s="19">
        <v>0</v>
      </c>
      <c r="C3224" s="19">
        <v>0</v>
      </c>
      <c r="D3224" s="19">
        <v>0</v>
      </c>
      <c r="E3224" s="19">
        <v>0</v>
      </c>
      <c r="F3224" s="19">
        <v>0</v>
      </c>
      <c r="G3224" s="19">
        <v>0</v>
      </c>
      <c r="H3224" s="19">
        <v>0</v>
      </c>
      <c r="I3224" s="15">
        <v>3500</v>
      </c>
      <c r="J3224" s="15">
        <v>0</v>
      </c>
      <c r="K3224" s="15">
        <v>0</v>
      </c>
      <c r="L3224" s="15">
        <v>0</v>
      </c>
      <c r="M3224" s="15">
        <v>0</v>
      </c>
      <c r="N3224" s="15" t="str">
        <v/>
      </c>
      <c r="O3224" s="15" t="str">
        <v/>
      </c>
      <c r="P3224" s="22">
        <v>0</v>
      </c>
      <c r="Q3224">
        <v>0</v>
      </c>
    </row>
    <row r="3225" spans="1:17">
      <c r="A3225" s="19">
        <v>0</v>
      </c>
      <c r="B3225" s="19">
        <v>0</v>
      </c>
      <c r="C3225" s="19">
        <v>0</v>
      </c>
      <c r="D3225" s="19">
        <v>0</v>
      </c>
      <c r="E3225" s="19">
        <v>0</v>
      </c>
      <c r="F3225" s="19">
        <v>0</v>
      </c>
      <c r="G3225" s="19">
        <v>0</v>
      </c>
      <c r="H3225" s="19">
        <v>0</v>
      </c>
      <c r="I3225" s="15">
        <v>3500</v>
      </c>
      <c r="J3225" s="15">
        <v>0</v>
      </c>
      <c r="K3225" s="15">
        <v>0</v>
      </c>
      <c r="L3225" s="15">
        <v>0</v>
      </c>
      <c r="M3225" s="15">
        <v>0</v>
      </c>
      <c r="N3225" s="15" t="str">
        <v/>
      </c>
      <c r="O3225" s="15" t="str">
        <v/>
      </c>
      <c r="P3225" s="22">
        <v>0</v>
      </c>
      <c r="Q3225">
        <v>0</v>
      </c>
    </row>
    <row r="3226" spans="1:17">
      <c r="A3226" s="19">
        <v>0</v>
      </c>
      <c r="B3226" s="19">
        <v>0</v>
      </c>
      <c r="C3226" s="19">
        <v>0</v>
      </c>
      <c r="D3226" s="19">
        <v>0</v>
      </c>
      <c r="E3226" s="19">
        <v>0</v>
      </c>
      <c r="F3226" s="19">
        <v>0</v>
      </c>
      <c r="G3226" s="19">
        <v>0</v>
      </c>
      <c r="H3226" s="19">
        <v>0</v>
      </c>
      <c r="I3226" s="15">
        <v>3500</v>
      </c>
      <c r="J3226" s="15">
        <v>0</v>
      </c>
      <c r="K3226" s="15">
        <v>0</v>
      </c>
      <c r="L3226" s="15">
        <v>0</v>
      </c>
      <c r="M3226" s="15">
        <v>0</v>
      </c>
      <c r="N3226" s="15" t="str">
        <v/>
      </c>
      <c r="O3226" s="15" t="str">
        <v/>
      </c>
      <c r="P3226" s="22">
        <v>0</v>
      </c>
      <c r="Q3226">
        <v>0</v>
      </c>
    </row>
    <row r="3227" spans="1:17">
      <c r="A3227" s="19">
        <v>0</v>
      </c>
      <c r="B3227" s="19">
        <v>0</v>
      </c>
      <c r="C3227" s="19">
        <v>0</v>
      </c>
      <c r="D3227" s="19">
        <v>0</v>
      </c>
      <c r="E3227" s="19">
        <v>0</v>
      </c>
      <c r="F3227" s="19">
        <v>0</v>
      </c>
      <c r="G3227" s="19">
        <v>0</v>
      </c>
      <c r="H3227" s="19">
        <v>0</v>
      </c>
      <c r="I3227" s="15">
        <v>3500</v>
      </c>
      <c r="J3227" s="15">
        <v>0</v>
      </c>
      <c r="K3227" s="15">
        <v>0</v>
      </c>
      <c r="L3227" s="15">
        <v>0</v>
      </c>
      <c r="M3227" s="15">
        <v>0</v>
      </c>
      <c r="N3227" s="15" t="str">
        <v/>
      </c>
      <c r="O3227" s="15" t="str">
        <v/>
      </c>
      <c r="P3227" s="22">
        <v>0</v>
      </c>
      <c r="Q3227">
        <v>0</v>
      </c>
    </row>
    <row r="3228" spans="1:17">
      <c r="A3228" s="19">
        <v>0</v>
      </c>
      <c r="B3228" s="19">
        <v>0</v>
      </c>
      <c r="C3228" s="19">
        <v>0</v>
      </c>
      <c r="D3228" s="19">
        <v>0</v>
      </c>
      <c r="E3228" s="19">
        <v>0</v>
      </c>
      <c r="F3228" s="19">
        <v>0</v>
      </c>
      <c r="G3228" s="19">
        <v>0</v>
      </c>
      <c r="H3228" s="19">
        <v>0</v>
      </c>
      <c r="I3228" s="15">
        <v>3500</v>
      </c>
      <c r="J3228" s="15">
        <v>0</v>
      </c>
      <c r="K3228" s="15">
        <v>0</v>
      </c>
      <c r="L3228" s="15">
        <v>0</v>
      </c>
      <c r="M3228" s="15">
        <v>0</v>
      </c>
      <c r="N3228" s="15" t="str">
        <v/>
      </c>
      <c r="O3228" s="15" t="str">
        <v/>
      </c>
      <c r="P3228" s="22">
        <v>0</v>
      </c>
      <c r="Q3228">
        <v>0</v>
      </c>
    </row>
    <row r="3229" spans="1:17">
      <c r="A3229" s="19">
        <v>0</v>
      </c>
      <c r="B3229" s="19">
        <v>0</v>
      </c>
      <c r="C3229" s="19">
        <v>0</v>
      </c>
      <c r="D3229" s="19">
        <v>0</v>
      </c>
      <c r="E3229" s="19">
        <v>0</v>
      </c>
      <c r="F3229" s="19">
        <v>0</v>
      </c>
      <c r="G3229" s="19">
        <v>0</v>
      </c>
      <c r="H3229" s="19">
        <v>0</v>
      </c>
      <c r="I3229" s="15">
        <v>3500</v>
      </c>
      <c r="J3229" s="15">
        <v>0</v>
      </c>
      <c r="K3229" s="15">
        <v>0</v>
      </c>
      <c r="L3229" s="15">
        <v>0</v>
      </c>
      <c r="M3229" s="15">
        <v>0</v>
      </c>
      <c r="N3229" s="15" t="str">
        <v/>
      </c>
      <c r="O3229" s="15" t="str">
        <v/>
      </c>
      <c r="P3229" s="22">
        <v>0</v>
      </c>
      <c r="Q3229">
        <v>0</v>
      </c>
    </row>
    <row r="3230" spans="1:17">
      <c r="A3230" s="19">
        <v>0</v>
      </c>
      <c r="B3230" s="19">
        <v>0</v>
      </c>
      <c r="C3230" s="19">
        <v>0</v>
      </c>
      <c r="D3230" s="19">
        <v>0</v>
      </c>
      <c r="E3230" s="19">
        <v>0</v>
      </c>
      <c r="F3230" s="19">
        <v>0</v>
      </c>
      <c r="G3230" s="19">
        <v>0</v>
      </c>
      <c r="H3230" s="19">
        <v>0</v>
      </c>
      <c r="I3230" s="15">
        <v>3500</v>
      </c>
      <c r="J3230" s="15">
        <v>0</v>
      </c>
      <c r="K3230" s="15">
        <v>0</v>
      </c>
      <c r="L3230" s="15">
        <v>0</v>
      </c>
      <c r="M3230" s="15">
        <v>0</v>
      </c>
      <c r="N3230" s="15" t="str">
        <v/>
      </c>
      <c r="O3230" s="15" t="str">
        <v/>
      </c>
      <c r="P3230" s="22">
        <v>0</v>
      </c>
      <c r="Q3230">
        <v>0</v>
      </c>
    </row>
    <row r="3231" spans="1:17">
      <c r="A3231" s="19">
        <v>0</v>
      </c>
      <c r="B3231" s="19">
        <v>0</v>
      </c>
      <c r="C3231" s="19">
        <v>0</v>
      </c>
      <c r="D3231" s="19">
        <v>0</v>
      </c>
      <c r="E3231" s="19">
        <v>0</v>
      </c>
      <c r="F3231" s="19">
        <v>0</v>
      </c>
      <c r="G3231" s="19">
        <v>0</v>
      </c>
      <c r="H3231" s="19">
        <v>0</v>
      </c>
      <c r="I3231" s="15">
        <v>3500</v>
      </c>
      <c r="J3231" s="15">
        <v>0</v>
      </c>
      <c r="K3231" s="15">
        <v>0</v>
      </c>
      <c r="L3231" s="15">
        <v>0</v>
      </c>
      <c r="M3231" s="15">
        <v>0</v>
      </c>
      <c r="N3231" s="15" t="str">
        <v/>
      </c>
      <c r="O3231" s="15" t="str">
        <v/>
      </c>
      <c r="P3231" s="22">
        <v>0</v>
      </c>
      <c r="Q3231">
        <v>0</v>
      </c>
    </row>
    <row r="3232" spans="1:17">
      <c r="A3232" s="19">
        <v>0</v>
      </c>
      <c r="B3232" s="19">
        <v>0</v>
      </c>
      <c r="C3232" s="19">
        <v>0</v>
      </c>
      <c r="D3232" s="19">
        <v>0</v>
      </c>
      <c r="E3232" s="19">
        <v>0</v>
      </c>
      <c r="F3232" s="19">
        <v>0</v>
      </c>
      <c r="G3232" s="19">
        <v>0</v>
      </c>
      <c r="H3232" s="19">
        <v>0</v>
      </c>
      <c r="I3232" s="15">
        <v>3500</v>
      </c>
      <c r="J3232" s="15">
        <v>0</v>
      </c>
      <c r="K3232" s="15">
        <v>0</v>
      </c>
      <c r="L3232" s="15">
        <v>0</v>
      </c>
      <c r="M3232" s="15">
        <v>0</v>
      </c>
      <c r="N3232" s="15" t="str">
        <v/>
      </c>
      <c r="O3232" s="15" t="str">
        <v/>
      </c>
      <c r="P3232" s="22">
        <v>0</v>
      </c>
      <c r="Q3232">
        <v>0</v>
      </c>
    </row>
    <row r="3233" spans="1:17">
      <c r="A3233" s="19">
        <v>0</v>
      </c>
      <c r="B3233" s="19">
        <v>0</v>
      </c>
      <c r="C3233" s="19">
        <v>0</v>
      </c>
      <c r="D3233" s="19">
        <v>0</v>
      </c>
      <c r="E3233" s="19">
        <v>0</v>
      </c>
      <c r="F3233" s="19">
        <v>0</v>
      </c>
      <c r="G3233" s="19">
        <v>0</v>
      </c>
      <c r="H3233" s="19">
        <v>0</v>
      </c>
      <c r="I3233" s="15">
        <v>3500</v>
      </c>
      <c r="J3233" s="15">
        <v>0</v>
      </c>
      <c r="K3233" s="15">
        <v>0</v>
      </c>
      <c r="L3233" s="15">
        <v>0</v>
      </c>
      <c r="M3233" s="15">
        <v>0</v>
      </c>
      <c r="N3233" s="15" t="str">
        <v/>
      </c>
      <c r="O3233" s="15" t="str">
        <v/>
      </c>
      <c r="P3233" s="22">
        <v>0</v>
      </c>
      <c r="Q3233">
        <v>0</v>
      </c>
    </row>
    <row r="3234" spans="1:17">
      <c r="A3234" s="19">
        <v>0</v>
      </c>
      <c r="B3234" s="19">
        <v>0</v>
      </c>
      <c r="C3234" s="19">
        <v>0</v>
      </c>
      <c r="D3234" s="19">
        <v>0</v>
      </c>
      <c r="E3234" s="19">
        <v>0</v>
      </c>
      <c r="F3234" s="19">
        <v>0</v>
      </c>
      <c r="G3234" s="19">
        <v>0</v>
      </c>
      <c r="H3234" s="19">
        <v>0</v>
      </c>
      <c r="I3234" s="15">
        <v>3500</v>
      </c>
      <c r="J3234" s="15">
        <v>0</v>
      </c>
      <c r="K3234" s="15">
        <v>0</v>
      </c>
      <c r="L3234" s="15">
        <v>0</v>
      </c>
      <c r="M3234" s="15">
        <v>0</v>
      </c>
      <c r="N3234" s="15" t="str">
        <v/>
      </c>
      <c r="O3234" s="15" t="str">
        <v/>
      </c>
      <c r="P3234" s="22">
        <v>0</v>
      </c>
      <c r="Q3234">
        <v>0</v>
      </c>
    </row>
    <row r="3235" spans="1:17">
      <c r="A3235" s="19">
        <v>0</v>
      </c>
      <c r="B3235" s="19">
        <v>0</v>
      </c>
      <c r="C3235" s="19">
        <v>0</v>
      </c>
      <c r="D3235" s="19">
        <v>0</v>
      </c>
      <c r="E3235" s="19">
        <v>0</v>
      </c>
      <c r="F3235" s="19">
        <v>0</v>
      </c>
      <c r="G3235" s="19">
        <v>0</v>
      </c>
      <c r="H3235" s="19">
        <v>0</v>
      </c>
      <c r="I3235" s="15">
        <v>3500</v>
      </c>
      <c r="J3235" s="15">
        <v>0</v>
      </c>
      <c r="K3235" s="15">
        <v>0</v>
      </c>
      <c r="L3235" s="15">
        <v>0</v>
      </c>
      <c r="M3235" s="15">
        <v>0</v>
      </c>
      <c r="N3235" s="15" t="str">
        <v/>
      </c>
      <c r="O3235" s="15" t="str">
        <v/>
      </c>
      <c r="P3235" s="22">
        <v>0</v>
      </c>
      <c r="Q3235">
        <v>0</v>
      </c>
    </row>
    <row r="3236" spans="1:17">
      <c r="A3236" s="19">
        <v>0</v>
      </c>
      <c r="B3236" s="19">
        <v>0</v>
      </c>
      <c r="C3236" s="19">
        <v>0</v>
      </c>
      <c r="D3236" s="19">
        <v>0</v>
      </c>
      <c r="E3236" s="19">
        <v>0</v>
      </c>
      <c r="F3236" s="19">
        <v>0</v>
      </c>
      <c r="G3236" s="19">
        <v>0</v>
      </c>
      <c r="H3236" s="19">
        <v>0</v>
      </c>
      <c r="I3236" s="15">
        <v>3500</v>
      </c>
      <c r="J3236" s="15">
        <v>0</v>
      </c>
      <c r="K3236" s="15">
        <v>0</v>
      </c>
      <c r="L3236" s="15">
        <v>0</v>
      </c>
      <c r="M3236" s="15">
        <v>0</v>
      </c>
      <c r="N3236" s="15" t="str">
        <v/>
      </c>
      <c r="O3236" s="15" t="str">
        <v/>
      </c>
      <c r="P3236" s="22">
        <v>0</v>
      </c>
      <c r="Q3236">
        <v>0</v>
      </c>
    </row>
    <row r="3237" spans="1:17">
      <c r="A3237" s="19">
        <v>0</v>
      </c>
      <c r="B3237" s="19">
        <v>0</v>
      </c>
      <c r="C3237" s="19">
        <v>0</v>
      </c>
      <c r="D3237" s="19">
        <v>0</v>
      </c>
      <c r="E3237" s="19">
        <v>0</v>
      </c>
      <c r="F3237" s="19">
        <v>0</v>
      </c>
      <c r="G3237" s="19">
        <v>0</v>
      </c>
      <c r="H3237" s="19">
        <v>0</v>
      </c>
      <c r="I3237" s="15">
        <v>3500</v>
      </c>
      <c r="J3237" s="15">
        <v>0</v>
      </c>
      <c r="K3237" s="15">
        <v>0</v>
      </c>
      <c r="L3237" s="15">
        <v>0</v>
      </c>
      <c r="M3237" s="15">
        <v>0</v>
      </c>
      <c r="N3237" s="15" t="str">
        <v/>
      </c>
      <c r="O3237" s="15" t="str">
        <v/>
      </c>
      <c r="P3237" s="22">
        <v>0</v>
      </c>
      <c r="Q3237">
        <v>0</v>
      </c>
    </row>
    <row r="3238" spans="1:17">
      <c r="A3238" s="19">
        <v>0</v>
      </c>
      <c r="B3238" s="19">
        <v>0</v>
      </c>
      <c r="C3238" s="19">
        <v>0</v>
      </c>
      <c r="D3238" s="19">
        <v>0</v>
      </c>
      <c r="E3238" s="19">
        <v>0</v>
      </c>
      <c r="F3238" s="19">
        <v>0</v>
      </c>
      <c r="G3238" s="19">
        <v>0</v>
      </c>
      <c r="H3238" s="19">
        <v>0</v>
      </c>
      <c r="I3238" s="15">
        <v>3500</v>
      </c>
      <c r="J3238" s="15">
        <v>0</v>
      </c>
      <c r="K3238" s="15">
        <v>0</v>
      </c>
      <c r="L3238" s="15">
        <v>0</v>
      </c>
      <c r="M3238" s="15">
        <v>0</v>
      </c>
      <c r="N3238" s="15" t="str">
        <v/>
      </c>
      <c r="O3238" s="15" t="str">
        <v/>
      </c>
      <c r="P3238" s="22">
        <v>0</v>
      </c>
      <c r="Q3238">
        <v>0</v>
      </c>
    </row>
    <row r="3239" spans="1:17">
      <c r="A3239" s="19">
        <v>0</v>
      </c>
      <c r="B3239" s="19">
        <v>0</v>
      </c>
      <c r="C3239" s="19">
        <v>0</v>
      </c>
      <c r="D3239" s="19">
        <v>0</v>
      </c>
      <c r="E3239" s="19">
        <v>0</v>
      </c>
      <c r="F3239" s="19">
        <v>0</v>
      </c>
      <c r="G3239" s="19">
        <v>0</v>
      </c>
      <c r="H3239" s="19">
        <v>0</v>
      </c>
      <c r="I3239" s="15">
        <v>3500</v>
      </c>
      <c r="J3239" s="15">
        <v>0</v>
      </c>
      <c r="K3239" s="15">
        <v>0</v>
      </c>
      <c r="L3239" s="15">
        <v>0</v>
      </c>
      <c r="M3239" s="15">
        <v>0</v>
      </c>
      <c r="N3239" s="15" t="str">
        <v/>
      </c>
      <c r="O3239" s="15" t="str">
        <v/>
      </c>
      <c r="P3239" s="22">
        <v>0</v>
      </c>
      <c r="Q3239">
        <v>0</v>
      </c>
    </row>
    <row r="3240" spans="1:17">
      <c r="A3240" s="19">
        <v>0</v>
      </c>
      <c r="B3240" s="19">
        <v>0</v>
      </c>
      <c r="C3240" s="19">
        <v>0</v>
      </c>
      <c r="D3240" s="19">
        <v>0</v>
      </c>
      <c r="E3240" s="19">
        <v>0</v>
      </c>
      <c r="F3240" s="19">
        <v>0</v>
      </c>
      <c r="G3240" s="19">
        <v>0</v>
      </c>
      <c r="H3240" s="19">
        <v>0</v>
      </c>
      <c r="I3240" s="15">
        <v>3500</v>
      </c>
      <c r="J3240" s="15">
        <v>0</v>
      </c>
      <c r="K3240" s="15">
        <v>0</v>
      </c>
      <c r="L3240" s="15">
        <v>0</v>
      </c>
      <c r="M3240" s="15">
        <v>0</v>
      </c>
      <c r="N3240" s="15" t="str">
        <v/>
      </c>
      <c r="O3240" s="15" t="str">
        <v/>
      </c>
      <c r="P3240" s="22">
        <v>0</v>
      </c>
      <c r="Q3240">
        <v>0</v>
      </c>
    </row>
    <row r="3241" spans="1:17">
      <c r="A3241" s="19">
        <v>0</v>
      </c>
      <c r="B3241" s="19">
        <v>0</v>
      </c>
      <c r="C3241" s="19">
        <v>0</v>
      </c>
      <c r="D3241" s="19">
        <v>0</v>
      </c>
      <c r="E3241" s="19">
        <v>0</v>
      </c>
      <c r="F3241" s="19">
        <v>0</v>
      </c>
      <c r="G3241" s="19">
        <v>0</v>
      </c>
      <c r="H3241" s="19">
        <v>0</v>
      </c>
      <c r="I3241" s="15">
        <v>3500</v>
      </c>
      <c r="J3241" s="15">
        <v>0</v>
      </c>
      <c r="K3241" s="15">
        <v>0</v>
      </c>
      <c r="L3241" s="15">
        <v>0</v>
      </c>
      <c r="M3241" s="15">
        <v>0</v>
      </c>
      <c r="N3241" s="15" t="str">
        <v/>
      </c>
      <c r="O3241" s="15" t="str">
        <v/>
      </c>
      <c r="P3241" s="22">
        <v>0</v>
      </c>
      <c r="Q3241">
        <v>0</v>
      </c>
    </row>
    <row r="3242" spans="1:17">
      <c r="A3242" s="19">
        <v>0</v>
      </c>
      <c r="B3242" s="19">
        <v>0</v>
      </c>
      <c r="C3242" s="19">
        <v>0</v>
      </c>
      <c r="D3242" s="19">
        <v>0</v>
      </c>
      <c r="E3242" s="19">
        <v>0</v>
      </c>
      <c r="F3242" s="19">
        <v>0</v>
      </c>
      <c r="G3242" s="19">
        <v>0</v>
      </c>
      <c r="H3242" s="19">
        <v>0</v>
      </c>
      <c r="I3242" s="15">
        <v>3500</v>
      </c>
      <c r="J3242" s="15">
        <v>0</v>
      </c>
      <c r="K3242" s="15">
        <v>0</v>
      </c>
      <c r="L3242" s="15">
        <v>0</v>
      </c>
      <c r="M3242" s="15">
        <v>0</v>
      </c>
      <c r="N3242" s="15" t="str">
        <v/>
      </c>
      <c r="O3242" s="15" t="str">
        <v/>
      </c>
      <c r="P3242" s="22">
        <v>0</v>
      </c>
      <c r="Q3242">
        <v>0</v>
      </c>
    </row>
    <row r="3243" spans="1:17">
      <c r="A3243" s="19">
        <v>0</v>
      </c>
      <c r="B3243" s="19">
        <v>0</v>
      </c>
      <c r="C3243" s="19">
        <v>0</v>
      </c>
      <c r="D3243" s="19">
        <v>0</v>
      </c>
      <c r="E3243" s="19">
        <v>0</v>
      </c>
      <c r="F3243" s="19">
        <v>0</v>
      </c>
      <c r="G3243" s="19">
        <v>0</v>
      </c>
      <c r="H3243" s="19">
        <v>0</v>
      </c>
      <c r="I3243" s="15">
        <v>3500</v>
      </c>
      <c r="J3243" s="15">
        <v>0</v>
      </c>
      <c r="K3243" s="15">
        <v>0</v>
      </c>
      <c r="L3243" s="15">
        <v>0</v>
      </c>
      <c r="M3243" s="15">
        <v>0</v>
      </c>
      <c r="N3243" s="15" t="str">
        <v/>
      </c>
      <c r="O3243" s="15" t="str">
        <v/>
      </c>
      <c r="P3243" s="22">
        <v>0</v>
      </c>
      <c r="Q3243">
        <v>0</v>
      </c>
    </row>
    <row r="3244" spans="1:17">
      <c r="A3244" s="19">
        <v>0</v>
      </c>
      <c r="B3244" s="19">
        <v>0</v>
      </c>
      <c r="C3244" s="19">
        <v>0</v>
      </c>
      <c r="D3244" s="19">
        <v>0</v>
      </c>
      <c r="E3244" s="19">
        <v>0</v>
      </c>
      <c r="F3244" s="19">
        <v>0</v>
      </c>
      <c r="G3244" s="19">
        <v>0</v>
      </c>
      <c r="H3244" s="19">
        <v>0</v>
      </c>
      <c r="I3244" s="15">
        <v>3500</v>
      </c>
      <c r="J3244" s="15">
        <v>0</v>
      </c>
      <c r="K3244" s="15">
        <v>0</v>
      </c>
      <c r="L3244" s="15">
        <v>0</v>
      </c>
      <c r="M3244" s="15">
        <v>0</v>
      </c>
      <c r="N3244" s="15" t="str">
        <v/>
      </c>
      <c r="O3244" s="15" t="str">
        <v/>
      </c>
      <c r="P3244" s="22">
        <v>0</v>
      </c>
      <c r="Q3244">
        <v>0</v>
      </c>
    </row>
    <row r="3245" spans="1:17">
      <c r="A3245" s="19">
        <v>0</v>
      </c>
      <c r="B3245" s="19">
        <v>0</v>
      </c>
      <c r="C3245" s="19">
        <v>0</v>
      </c>
      <c r="D3245" s="19">
        <v>0</v>
      </c>
      <c r="E3245" s="19">
        <v>0</v>
      </c>
      <c r="F3245" s="19">
        <v>0</v>
      </c>
      <c r="G3245" s="19">
        <v>0</v>
      </c>
      <c r="H3245" s="19">
        <v>0</v>
      </c>
      <c r="I3245" s="15">
        <v>3500</v>
      </c>
      <c r="J3245" s="15">
        <v>0</v>
      </c>
      <c r="K3245" s="15">
        <v>0</v>
      </c>
      <c r="L3245" s="15">
        <v>0</v>
      </c>
      <c r="M3245" s="15">
        <v>0</v>
      </c>
      <c r="N3245" s="15" t="str">
        <v/>
      </c>
      <c r="O3245" s="15" t="str">
        <v/>
      </c>
      <c r="P3245" s="22">
        <v>0</v>
      </c>
      <c r="Q3245">
        <v>0</v>
      </c>
    </row>
    <row r="3246" spans="1:17">
      <c r="A3246" s="19">
        <v>0</v>
      </c>
      <c r="B3246" s="19">
        <v>0</v>
      </c>
      <c r="C3246" s="19">
        <v>0</v>
      </c>
      <c r="D3246" s="19">
        <v>0</v>
      </c>
      <c r="E3246" s="19">
        <v>0</v>
      </c>
      <c r="F3246" s="19">
        <v>0</v>
      </c>
      <c r="G3246" s="19">
        <v>0</v>
      </c>
      <c r="H3246" s="19">
        <v>0</v>
      </c>
      <c r="I3246" s="15">
        <v>3500</v>
      </c>
      <c r="J3246" s="15">
        <v>0</v>
      </c>
      <c r="K3246" s="15">
        <v>0</v>
      </c>
      <c r="L3246" s="15">
        <v>0</v>
      </c>
      <c r="M3246" s="15">
        <v>0</v>
      </c>
      <c r="N3246" s="15" t="str">
        <v/>
      </c>
      <c r="O3246" s="15" t="str">
        <v/>
      </c>
      <c r="P3246" s="22">
        <v>0</v>
      </c>
      <c r="Q3246">
        <v>0</v>
      </c>
    </row>
    <row r="3247" spans="1:17">
      <c r="A3247" s="19">
        <v>0</v>
      </c>
      <c r="B3247" s="19">
        <v>0</v>
      </c>
      <c r="C3247" s="19">
        <v>0</v>
      </c>
      <c r="D3247" s="19">
        <v>0</v>
      </c>
      <c r="E3247" s="19">
        <v>0</v>
      </c>
      <c r="F3247" s="19">
        <v>0</v>
      </c>
      <c r="G3247" s="19">
        <v>0</v>
      </c>
      <c r="H3247" s="19">
        <v>0</v>
      </c>
      <c r="I3247" s="15">
        <v>3500</v>
      </c>
      <c r="J3247" s="15">
        <v>0</v>
      </c>
      <c r="K3247" s="15">
        <v>0</v>
      </c>
      <c r="L3247" s="15">
        <v>0</v>
      </c>
      <c r="M3247" s="15">
        <v>0</v>
      </c>
      <c r="N3247" s="15" t="str">
        <v/>
      </c>
      <c r="O3247" s="15" t="str">
        <v/>
      </c>
      <c r="P3247" s="22">
        <v>0</v>
      </c>
      <c r="Q3247">
        <v>0</v>
      </c>
    </row>
    <row r="3248" spans="1:17">
      <c r="A3248" s="19">
        <v>0</v>
      </c>
      <c r="B3248" s="19">
        <v>0</v>
      </c>
      <c r="C3248" s="19">
        <v>0</v>
      </c>
      <c r="D3248" s="19">
        <v>0</v>
      </c>
      <c r="E3248" s="19">
        <v>0</v>
      </c>
      <c r="F3248" s="19">
        <v>0</v>
      </c>
      <c r="G3248" s="19">
        <v>0</v>
      </c>
      <c r="H3248" s="19">
        <v>0</v>
      </c>
      <c r="I3248" s="15">
        <v>3500</v>
      </c>
      <c r="J3248" s="15">
        <v>0</v>
      </c>
      <c r="K3248" s="15">
        <v>0</v>
      </c>
      <c r="L3248" s="15">
        <v>0</v>
      </c>
      <c r="M3248" s="15">
        <v>0</v>
      </c>
      <c r="N3248" s="15" t="str">
        <v/>
      </c>
      <c r="O3248" s="15" t="str">
        <v/>
      </c>
      <c r="P3248" s="22">
        <v>0</v>
      </c>
      <c r="Q3248">
        <v>0</v>
      </c>
    </row>
    <row r="3249" spans="1:17">
      <c r="A3249" s="19">
        <v>0</v>
      </c>
      <c r="B3249" s="19">
        <v>0</v>
      </c>
      <c r="C3249" s="19">
        <v>0</v>
      </c>
      <c r="D3249" s="19">
        <v>0</v>
      </c>
      <c r="E3249" s="19">
        <v>0</v>
      </c>
      <c r="F3249" s="19">
        <v>0</v>
      </c>
      <c r="G3249" s="19">
        <v>0</v>
      </c>
      <c r="H3249" s="19">
        <v>0</v>
      </c>
      <c r="I3249" s="15">
        <v>3500</v>
      </c>
      <c r="J3249" s="15">
        <v>0</v>
      </c>
      <c r="K3249" s="15">
        <v>0</v>
      </c>
      <c r="L3249" s="15">
        <v>0</v>
      </c>
      <c r="M3249" s="15">
        <v>0</v>
      </c>
      <c r="N3249" s="15" t="str">
        <v/>
      </c>
      <c r="O3249" s="15" t="str">
        <v/>
      </c>
      <c r="P3249" s="22">
        <v>0</v>
      </c>
      <c r="Q3249">
        <v>0</v>
      </c>
    </row>
    <row r="3250" spans="1:17">
      <c r="A3250" s="19">
        <v>0</v>
      </c>
      <c r="B3250" s="19">
        <v>0</v>
      </c>
      <c r="C3250" s="19">
        <v>0</v>
      </c>
      <c r="D3250" s="19">
        <v>0</v>
      </c>
      <c r="E3250" s="19">
        <v>0</v>
      </c>
      <c r="F3250" s="19">
        <v>0</v>
      </c>
      <c r="G3250" s="19">
        <v>0</v>
      </c>
      <c r="H3250" s="19">
        <v>0</v>
      </c>
      <c r="I3250" s="15">
        <v>3500</v>
      </c>
      <c r="J3250" s="15">
        <v>0</v>
      </c>
      <c r="K3250" s="15">
        <v>0</v>
      </c>
      <c r="L3250" s="15">
        <v>0</v>
      </c>
      <c r="M3250" s="15">
        <v>0</v>
      </c>
      <c r="N3250" s="15" t="str">
        <v/>
      </c>
      <c r="O3250" s="15" t="str">
        <v/>
      </c>
      <c r="P3250" s="22">
        <v>0</v>
      </c>
      <c r="Q3250">
        <v>0</v>
      </c>
    </row>
    <row r="3251" spans="1:17">
      <c r="A3251" s="19">
        <v>0</v>
      </c>
      <c r="B3251" s="19">
        <v>0</v>
      </c>
      <c r="C3251" s="19">
        <v>0</v>
      </c>
      <c r="D3251" s="19">
        <v>0</v>
      </c>
      <c r="E3251" s="19">
        <v>0</v>
      </c>
      <c r="F3251" s="19">
        <v>0</v>
      </c>
      <c r="G3251" s="19">
        <v>0</v>
      </c>
      <c r="H3251" s="19">
        <v>0</v>
      </c>
      <c r="I3251" s="15">
        <v>3500</v>
      </c>
      <c r="J3251" s="15">
        <v>0</v>
      </c>
      <c r="K3251" s="15">
        <v>0</v>
      </c>
      <c r="L3251" s="15">
        <v>0</v>
      </c>
      <c r="M3251" s="15">
        <v>0</v>
      </c>
      <c r="N3251" s="15" t="str">
        <v/>
      </c>
      <c r="O3251" s="15" t="str">
        <v/>
      </c>
      <c r="P3251" s="22">
        <v>0</v>
      </c>
      <c r="Q3251">
        <v>0</v>
      </c>
    </row>
    <row r="3252" spans="1:17">
      <c r="A3252" s="19">
        <v>0</v>
      </c>
      <c r="B3252" s="19">
        <v>0</v>
      </c>
      <c r="C3252" s="19">
        <v>0</v>
      </c>
      <c r="D3252" s="19">
        <v>0</v>
      </c>
      <c r="E3252" s="19">
        <v>0</v>
      </c>
      <c r="F3252" s="19">
        <v>0</v>
      </c>
      <c r="G3252" s="19">
        <v>0</v>
      </c>
      <c r="H3252" s="19">
        <v>0</v>
      </c>
      <c r="I3252" s="15">
        <v>3500</v>
      </c>
      <c r="J3252" s="15">
        <v>0</v>
      </c>
      <c r="K3252" s="15">
        <v>0</v>
      </c>
      <c r="L3252" s="15">
        <v>0</v>
      </c>
      <c r="M3252" s="15">
        <v>0</v>
      </c>
      <c r="N3252" s="15" t="str">
        <v/>
      </c>
      <c r="O3252" s="15" t="str">
        <v/>
      </c>
      <c r="P3252" s="22">
        <v>0</v>
      </c>
      <c r="Q3252">
        <v>0</v>
      </c>
    </row>
    <row r="3253" spans="1:17">
      <c r="A3253" s="19">
        <v>0</v>
      </c>
      <c r="B3253" s="19">
        <v>0</v>
      </c>
      <c r="C3253" s="19">
        <v>0</v>
      </c>
      <c r="D3253" s="19">
        <v>0</v>
      </c>
      <c r="E3253" s="19">
        <v>0</v>
      </c>
      <c r="F3253" s="19">
        <v>0</v>
      </c>
      <c r="G3253" s="19">
        <v>0</v>
      </c>
      <c r="H3253" s="19">
        <v>0</v>
      </c>
      <c r="I3253" s="15">
        <v>3500</v>
      </c>
      <c r="J3253" s="15">
        <v>0</v>
      </c>
      <c r="K3253" s="15">
        <v>0</v>
      </c>
      <c r="L3253" s="15">
        <v>0</v>
      </c>
      <c r="M3253" s="15">
        <v>0</v>
      </c>
      <c r="N3253" s="15" t="str">
        <v/>
      </c>
      <c r="O3253" s="15" t="str">
        <v/>
      </c>
      <c r="P3253" s="22">
        <v>0</v>
      </c>
      <c r="Q3253">
        <v>0</v>
      </c>
    </row>
    <row r="3254" spans="1:17">
      <c r="A3254" s="19">
        <v>0</v>
      </c>
      <c r="B3254" s="19">
        <v>0</v>
      </c>
      <c r="C3254" s="19">
        <v>0</v>
      </c>
      <c r="D3254" s="19">
        <v>0</v>
      </c>
      <c r="E3254" s="19">
        <v>0</v>
      </c>
      <c r="F3254" s="19">
        <v>0</v>
      </c>
      <c r="G3254" s="19">
        <v>0</v>
      </c>
      <c r="H3254" s="19">
        <v>0</v>
      </c>
      <c r="I3254" s="15">
        <v>3500</v>
      </c>
      <c r="J3254" s="15">
        <v>0</v>
      </c>
      <c r="K3254" s="15">
        <v>0</v>
      </c>
      <c r="L3254" s="15">
        <v>0</v>
      </c>
      <c r="M3254" s="15">
        <v>0</v>
      </c>
      <c r="N3254" s="15" t="str">
        <v/>
      </c>
      <c r="O3254" s="15" t="str">
        <v/>
      </c>
      <c r="P3254" s="22">
        <v>0</v>
      </c>
      <c r="Q3254">
        <v>0</v>
      </c>
    </row>
    <row r="3255" spans="1:17">
      <c r="A3255" s="19">
        <v>0</v>
      </c>
      <c r="B3255" s="19">
        <v>0</v>
      </c>
      <c r="C3255" s="19">
        <v>0</v>
      </c>
      <c r="D3255" s="19">
        <v>0</v>
      </c>
      <c r="E3255" s="19">
        <v>0</v>
      </c>
      <c r="F3255" s="19">
        <v>0</v>
      </c>
      <c r="G3255" s="19">
        <v>0</v>
      </c>
      <c r="H3255" s="19">
        <v>0</v>
      </c>
      <c r="I3255" s="15">
        <v>3500</v>
      </c>
      <c r="J3255" s="15">
        <v>0</v>
      </c>
      <c r="K3255" s="15">
        <v>0</v>
      </c>
      <c r="L3255" s="15">
        <v>0</v>
      </c>
      <c r="M3255" s="15">
        <v>0</v>
      </c>
      <c r="N3255" s="15" t="str">
        <v/>
      </c>
      <c r="O3255" s="15" t="str">
        <v/>
      </c>
      <c r="P3255" s="22">
        <v>0</v>
      </c>
      <c r="Q3255">
        <v>0</v>
      </c>
    </row>
    <row r="3256" spans="1:17">
      <c r="A3256" s="19">
        <v>0</v>
      </c>
      <c r="B3256" s="19">
        <v>0</v>
      </c>
      <c r="C3256" s="19">
        <v>0</v>
      </c>
      <c r="D3256" s="19">
        <v>0</v>
      </c>
      <c r="E3256" s="19">
        <v>0</v>
      </c>
      <c r="F3256" s="19">
        <v>0</v>
      </c>
      <c r="G3256" s="19">
        <v>0</v>
      </c>
      <c r="H3256" s="19">
        <v>0</v>
      </c>
      <c r="I3256" s="15">
        <v>3500</v>
      </c>
      <c r="J3256" s="15">
        <v>0</v>
      </c>
      <c r="K3256" s="15">
        <v>0</v>
      </c>
      <c r="L3256" s="15">
        <v>0</v>
      </c>
      <c r="M3256" s="15">
        <v>0</v>
      </c>
      <c r="N3256" s="15" t="str">
        <v/>
      </c>
      <c r="O3256" s="15" t="str">
        <v/>
      </c>
      <c r="P3256" s="22">
        <v>0</v>
      </c>
      <c r="Q3256">
        <v>0</v>
      </c>
    </row>
    <row r="3257" spans="1:17">
      <c r="A3257" s="19">
        <v>0</v>
      </c>
      <c r="B3257" s="19">
        <v>0</v>
      </c>
      <c r="C3257" s="19">
        <v>0</v>
      </c>
      <c r="D3257" s="19">
        <v>0</v>
      </c>
      <c r="E3257" s="19">
        <v>0</v>
      </c>
      <c r="F3257" s="19">
        <v>0</v>
      </c>
      <c r="G3257" s="19">
        <v>0</v>
      </c>
      <c r="H3257" s="19">
        <v>0</v>
      </c>
      <c r="I3257" s="15">
        <v>3500</v>
      </c>
      <c r="J3257" s="15">
        <v>0</v>
      </c>
      <c r="K3257" s="15">
        <v>0</v>
      </c>
      <c r="L3257" s="15">
        <v>0</v>
      </c>
      <c r="M3257" s="15">
        <v>0</v>
      </c>
      <c r="N3257" s="15" t="str">
        <v/>
      </c>
      <c r="O3257" s="15" t="str">
        <v/>
      </c>
      <c r="P3257" s="22">
        <v>0</v>
      </c>
      <c r="Q3257">
        <v>0</v>
      </c>
    </row>
    <row r="3258" spans="1:17">
      <c r="A3258" s="19">
        <v>0</v>
      </c>
      <c r="B3258" s="19">
        <v>0</v>
      </c>
      <c r="C3258" s="19">
        <v>0</v>
      </c>
      <c r="D3258" s="19">
        <v>0</v>
      </c>
      <c r="E3258" s="19">
        <v>0</v>
      </c>
      <c r="F3258" s="19">
        <v>0</v>
      </c>
      <c r="G3258" s="19">
        <v>0</v>
      </c>
      <c r="H3258" s="19">
        <v>0</v>
      </c>
      <c r="I3258" s="15">
        <v>3500</v>
      </c>
      <c r="J3258" s="15">
        <v>0</v>
      </c>
      <c r="K3258" s="15">
        <v>0</v>
      </c>
      <c r="L3258" s="15">
        <v>0</v>
      </c>
      <c r="M3258" s="15">
        <v>0</v>
      </c>
      <c r="N3258" s="15" t="str">
        <v/>
      </c>
      <c r="O3258" s="15" t="str">
        <v/>
      </c>
      <c r="P3258" s="22">
        <v>0</v>
      </c>
      <c r="Q3258">
        <v>0</v>
      </c>
    </row>
    <row r="3259" spans="1:17">
      <c r="A3259" s="19">
        <v>0</v>
      </c>
      <c r="B3259" s="19">
        <v>0</v>
      </c>
      <c r="C3259" s="19">
        <v>0</v>
      </c>
      <c r="D3259" s="19">
        <v>0</v>
      </c>
      <c r="E3259" s="19">
        <v>0</v>
      </c>
      <c r="F3259" s="19">
        <v>0</v>
      </c>
      <c r="G3259" s="19">
        <v>0</v>
      </c>
      <c r="H3259" s="19">
        <v>0</v>
      </c>
      <c r="I3259" s="15">
        <v>3500</v>
      </c>
      <c r="J3259" s="15">
        <v>0</v>
      </c>
      <c r="K3259" s="15">
        <v>0</v>
      </c>
      <c r="L3259" s="15">
        <v>0</v>
      </c>
      <c r="M3259" s="15">
        <v>0</v>
      </c>
      <c r="N3259" s="15" t="str">
        <v/>
      </c>
      <c r="O3259" s="15" t="str">
        <v/>
      </c>
      <c r="P3259" s="22">
        <v>0</v>
      </c>
      <c r="Q3259">
        <v>0</v>
      </c>
    </row>
    <row r="3260" spans="1:17">
      <c r="A3260" s="19">
        <v>0</v>
      </c>
      <c r="B3260" s="19">
        <v>0</v>
      </c>
      <c r="C3260" s="19">
        <v>0</v>
      </c>
      <c r="D3260" s="19">
        <v>0</v>
      </c>
      <c r="E3260" s="19">
        <v>0</v>
      </c>
      <c r="F3260" s="19">
        <v>0</v>
      </c>
      <c r="G3260" s="19">
        <v>0</v>
      </c>
      <c r="H3260" s="19">
        <v>0</v>
      </c>
      <c r="I3260" s="15">
        <v>3500</v>
      </c>
      <c r="J3260" s="15">
        <v>0</v>
      </c>
      <c r="K3260" s="15">
        <v>0</v>
      </c>
      <c r="L3260" s="15">
        <v>0</v>
      </c>
      <c r="M3260" s="15">
        <v>0</v>
      </c>
      <c r="N3260" s="15" t="str">
        <v/>
      </c>
      <c r="O3260" s="15" t="str">
        <v/>
      </c>
      <c r="P3260" s="22">
        <v>0</v>
      </c>
      <c r="Q3260">
        <v>0</v>
      </c>
    </row>
    <row r="3261" spans="1:17">
      <c r="A3261" s="19">
        <v>0</v>
      </c>
      <c r="B3261" s="19">
        <v>0</v>
      </c>
      <c r="C3261" s="19">
        <v>0</v>
      </c>
      <c r="D3261" s="19">
        <v>0</v>
      </c>
      <c r="E3261" s="19">
        <v>0</v>
      </c>
      <c r="F3261" s="19">
        <v>0</v>
      </c>
      <c r="G3261" s="19">
        <v>0</v>
      </c>
      <c r="H3261" s="19">
        <v>0</v>
      </c>
      <c r="I3261" s="15">
        <v>3500</v>
      </c>
      <c r="J3261" s="15">
        <v>0</v>
      </c>
      <c r="K3261" s="15">
        <v>0</v>
      </c>
      <c r="L3261" s="15">
        <v>0</v>
      </c>
      <c r="M3261" s="15">
        <v>0</v>
      </c>
      <c r="N3261" s="15" t="str">
        <v/>
      </c>
      <c r="O3261" s="15" t="str">
        <v/>
      </c>
      <c r="P3261" s="22">
        <v>0</v>
      </c>
      <c r="Q3261">
        <v>0</v>
      </c>
    </row>
    <row r="3262" spans="1:17">
      <c r="A3262" s="19">
        <v>0</v>
      </c>
      <c r="B3262" s="19">
        <v>0</v>
      </c>
      <c r="C3262" s="19">
        <v>0</v>
      </c>
      <c r="D3262" s="19">
        <v>0</v>
      </c>
      <c r="E3262" s="19">
        <v>0</v>
      </c>
      <c r="F3262" s="19">
        <v>0</v>
      </c>
      <c r="G3262" s="19">
        <v>0</v>
      </c>
      <c r="H3262" s="19">
        <v>0</v>
      </c>
      <c r="I3262" s="15">
        <v>3500</v>
      </c>
      <c r="J3262" s="15">
        <v>0</v>
      </c>
      <c r="K3262" s="15">
        <v>0</v>
      </c>
      <c r="L3262" s="15">
        <v>0</v>
      </c>
      <c r="M3262" s="15">
        <v>0</v>
      </c>
      <c r="N3262" s="15" t="str">
        <v/>
      </c>
      <c r="O3262" s="15" t="str">
        <v/>
      </c>
      <c r="P3262" s="22">
        <v>0</v>
      </c>
      <c r="Q3262">
        <v>0</v>
      </c>
    </row>
    <row r="3263" spans="1:17">
      <c r="A3263" s="19">
        <v>0</v>
      </c>
      <c r="B3263" s="19">
        <v>0</v>
      </c>
      <c r="C3263" s="19">
        <v>0</v>
      </c>
      <c r="D3263" s="19">
        <v>0</v>
      </c>
      <c r="E3263" s="19">
        <v>0</v>
      </c>
      <c r="F3263" s="19">
        <v>0</v>
      </c>
      <c r="G3263" s="19">
        <v>0</v>
      </c>
      <c r="H3263" s="19">
        <v>0</v>
      </c>
      <c r="I3263" s="15">
        <v>3500</v>
      </c>
      <c r="J3263" s="15">
        <v>0</v>
      </c>
      <c r="K3263" s="15">
        <v>0</v>
      </c>
      <c r="L3263" s="15">
        <v>0</v>
      </c>
      <c r="M3263" s="15">
        <v>0</v>
      </c>
      <c r="N3263" s="15" t="str">
        <v/>
      </c>
      <c r="O3263" s="15" t="str">
        <v/>
      </c>
      <c r="P3263" s="22">
        <v>0</v>
      </c>
      <c r="Q3263">
        <v>0</v>
      </c>
    </row>
    <row r="3264" spans="1:17">
      <c r="A3264" s="19">
        <v>0</v>
      </c>
      <c r="B3264" s="19">
        <v>0</v>
      </c>
      <c r="C3264" s="19">
        <v>0</v>
      </c>
      <c r="D3264" s="19">
        <v>0</v>
      </c>
      <c r="E3264" s="19">
        <v>0</v>
      </c>
      <c r="F3264" s="19">
        <v>0</v>
      </c>
      <c r="G3264" s="19">
        <v>0</v>
      </c>
      <c r="H3264" s="19">
        <v>0</v>
      </c>
      <c r="I3264" s="15">
        <v>3500</v>
      </c>
      <c r="J3264" s="15">
        <v>0</v>
      </c>
      <c r="K3264" s="15">
        <v>0</v>
      </c>
      <c r="L3264" s="15">
        <v>0</v>
      </c>
      <c r="M3264" s="15">
        <v>0</v>
      </c>
      <c r="N3264" s="15" t="str">
        <v/>
      </c>
      <c r="O3264" s="15" t="str">
        <v/>
      </c>
      <c r="P3264" s="22">
        <v>0</v>
      </c>
      <c r="Q3264">
        <v>0</v>
      </c>
    </row>
    <row r="3265" spans="1:17">
      <c r="A3265" s="19">
        <v>0</v>
      </c>
      <c r="B3265" s="19">
        <v>0</v>
      </c>
      <c r="C3265" s="19">
        <v>0</v>
      </c>
      <c r="D3265" s="19">
        <v>0</v>
      </c>
      <c r="E3265" s="19">
        <v>0</v>
      </c>
      <c r="F3265" s="19">
        <v>0</v>
      </c>
      <c r="G3265" s="19">
        <v>0</v>
      </c>
      <c r="H3265" s="19">
        <v>0</v>
      </c>
      <c r="I3265" s="15">
        <v>3500</v>
      </c>
      <c r="J3265" s="15">
        <v>0</v>
      </c>
      <c r="K3265" s="15">
        <v>0</v>
      </c>
      <c r="L3265" s="15">
        <v>0</v>
      </c>
      <c r="M3265" s="15">
        <v>0</v>
      </c>
      <c r="N3265" s="15" t="str">
        <v/>
      </c>
      <c r="O3265" s="15" t="str">
        <v/>
      </c>
      <c r="P3265" s="22">
        <v>0</v>
      </c>
      <c r="Q3265">
        <v>0</v>
      </c>
    </row>
    <row r="3266" spans="1:17">
      <c r="A3266" s="19">
        <v>0</v>
      </c>
      <c r="B3266" s="19">
        <v>0</v>
      </c>
      <c r="C3266" s="19">
        <v>0</v>
      </c>
      <c r="D3266" s="19">
        <v>0</v>
      </c>
      <c r="E3266" s="19">
        <v>0</v>
      </c>
      <c r="F3266" s="19">
        <v>0</v>
      </c>
      <c r="G3266" s="19">
        <v>0</v>
      </c>
      <c r="H3266" s="19">
        <v>0</v>
      </c>
      <c r="I3266" s="15">
        <v>3500</v>
      </c>
      <c r="J3266" s="15">
        <v>0</v>
      </c>
      <c r="K3266" s="15">
        <v>0</v>
      </c>
      <c r="L3266" s="15">
        <v>0</v>
      </c>
      <c r="M3266" s="15">
        <v>0</v>
      </c>
      <c r="N3266" s="15" t="str">
        <v/>
      </c>
      <c r="O3266" s="15" t="str">
        <v/>
      </c>
      <c r="P3266" s="22">
        <v>0</v>
      </c>
      <c r="Q3266">
        <v>0</v>
      </c>
    </row>
    <row r="3267" spans="1:17">
      <c r="A3267" s="19">
        <v>0</v>
      </c>
      <c r="B3267" s="19">
        <v>0</v>
      </c>
      <c r="C3267" s="19">
        <v>0</v>
      </c>
      <c r="D3267" s="19">
        <v>0</v>
      </c>
      <c r="E3267" s="19">
        <v>0</v>
      </c>
      <c r="F3267" s="19">
        <v>0</v>
      </c>
      <c r="G3267" s="19">
        <v>0</v>
      </c>
      <c r="H3267" s="19">
        <v>0</v>
      </c>
      <c r="I3267" s="15">
        <v>3500</v>
      </c>
      <c r="J3267" s="15">
        <v>0</v>
      </c>
      <c r="K3267" s="15">
        <v>0</v>
      </c>
      <c r="L3267" s="15">
        <v>0</v>
      </c>
      <c r="M3267" s="15">
        <v>0</v>
      </c>
      <c r="N3267" s="15" t="str">
        <v/>
      </c>
      <c r="O3267" s="15" t="str">
        <v/>
      </c>
      <c r="P3267" s="22">
        <v>0</v>
      </c>
      <c r="Q3267">
        <v>0</v>
      </c>
    </row>
    <row r="3268" spans="1:17">
      <c r="A3268" s="19">
        <v>0</v>
      </c>
      <c r="B3268" s="19">
        <v>0</v>
      </c>
      <c r="C3268" s="19">
        <v>0</v>
      </c>
      <c r="D3268" s="19">
        <v>0</v>
      </c>
      <c r="E3268" s="19">
        <v>0</v>
      </c>
      <c r="F3268" s="19">
        <v>0</v>
      </c>
      <c r="G3268" s="19">
        <v>0</v>
      </c>
      <c r="H3268" s="19">
        <v>0</v>
      </c>
      <c r="I3268" s="15">
        <v>3500</v>
      </c>
      <c r="J3268" s="15">
        <v>0</v>
      </c>
      <c r="K3268" s="15">
        <v>0</v>
      </c>
      <c r="L3268" s="15">
        <v>0</v>
      </c>
      <c r="M3268" s="15">
        <v>0</v>
      </c>
      <c r="N3268" s="15" t="str">
        <v/>
      </c>
      <c r="O3268" s="15" t="str">
        <v/>
      </c>
      <c r="P3268" s="22">
        <v>0</v>
      </c>
      <c r="Q3268">
        <v>0</v>
      </c>
    </row>
    <row r="3269" spans="1:17">
      <c r="A3269" s="19">
        <v>0</v>
      </c>
      <c r="B3269" s="19">
        <v>0</v>
      </c>
      <c r="C3269" s="19">
        <v>0</v>
      </c>
      <c r="D3269" s="19">
        <v>0</v>
      </c>
      <c r="E3269" s="19">
        <v>0</v>
      </c>
      <c r="F3269" s="19">
        <v>0</v>
      </c>
      <c r="G3269" s="19">
        <v>0</v>
      </c>
      <c r="H3269" s="19">
        <v>0</v>
      </c>
      <c r="I3269" s="15">
        <v>3500</v>
      </c>
      <c r="J3269" s="15">
        <v>0</v>
      </c>
      <c r="K3269" s="15">
        <v>0</v>
      </c>
      <c r="L3269" s="15">
        <v>0</v>
      </c>
      <c r="M3269" s="15">
        <v>0</v>
      </c>
      <c r="N3269" s="15" t="str">
        <v/>
      </c>
      <c r="O3269" s="15" t="str">
        <v/>
      </c>
      <c r="P3269" s="22">
        <v>0</v>
      </c>
      <c r="Q3269">
        <v>0</v>
      </c>
    </row>
    <row r="3270" spans="1:17">
      <c r="A3270" s="19">
        <v>0</v>
      </c>
      <c r="B3270" s="19">
        <v>0</v>
      </c>
      <c r="C3270" s="19">
        <v>0</v>
      </c>
      <c r="D3270" s="19">
        <v>0</v>
      </c>
      <c r="E3270" s="19">
        <v>0</v>
      </c>
      <c r="F3270" s="19">
        <v>0</v>
      </c>
      <c r="G3270" s="19">
        <v>0</v>
      </c>
      <c r="H3270" s="19">
        <v>0</v>
      </c>
      <c r="I3270" s="15">
        <v>3500</v>
      </c>
      <c r="J3270" s="15">
        <v>0</v>
      </c>
      <c r="K3270" s="15">
        <v>0</v>
      </c>
      <c r="L3270" s="15">
        <v>0</v>
      </c>
      <c r="M3270" s="15">
        <v>0</v>
      </c>
      <c r="N3270" s="15" t="str">
        <v/>
      </c>
      <c r="O3270" s="15" t="str">
        <v/>
      </c>
      <c r="P3270" s="22">
        <v>0</v>
      </c>
      <c r="Q3270">
        <v>0</v>
      </c>
    </row>
    <row r="3271" spans="1:17">
      <c r="A3271" s="19">
        <v>0</v>
      </c>
      <c r="B3271" s="19">
        <v>0</v>
      </c>
      <c r="C3271" s="19">
        <v>0</v>
      </c>
      <c r="D3271" s="19">
        <v>0</v>
      </c>
      <c r="E3271" s="19">
        <v>0</v>
      </c>
      <c r="F3271" s="19">
        <v>0</v>
      </c>
      <c r="G3271" s="19">
        <v>0</v>
      </c>
      <c r="H3271" s="19">
        <v>0</v>
      </c>
      <c r="I3271" s="15">
        <v>3500</v>
      </c>
      <c r="J3271" s="15">
        <v>0</v>
      </c>
      <c r="K3271" s="15">
        <v>0</v>
      </c>
      <c r="L3271" s="15">
        <v>0</v>
      </c>
      <c r="M3271" s="15">
        <v>0</v>
      </c>
      <c r="N3271" s="15" t="str">
        <v/>
      </c>
      <c r="O3271" s="15" t="str">
        <v/>
      </c>
      <c r="P3271" s="22">
        <v>0</v>
      </c>
      <c r="Q3271">
        <v>0</v>
      </c>
    </row>
    <row r="3272" spans="1:17">
      <c r="A3272" s="19">
        <v>0</v>
      </c>
      <c r="B3272" s="19">
        <v>0</v>
      </c>
      <c r="C3272" s="19">
        <v>0</v>
      </c>
      <c r="D3272" s="19">
        <v>0</v>
      </c>
      <c r="E3272" s="19">
        <v>0</v>
      </c>
      <c r="F3272" s="19">
        <v>0</v>
      </c>
      <c r="G3272" s="19">
        <v>0</v>
      </c>
      <c r="H3272" s="19">
        <v>0</v>
      </c>
      <c r="I3272" s="15">
        <v>3500</v>
      </c>
      <c r="J3272" s="15">
        <v>0</v>
      </c>
      <c r="K3272" s="15">
        <v>0</v>
      </c>
      <c r="L3272" s="15">
        <v>0</v>
      </c>
      <c r="M3272" s="15">
        <v>0</v>
      </c>
      <c r="N3272" s="15" t="str">
        <v/>
      </c>
      <c r="O3272" s="15" t="str">
        <v/>
      </c>
      <c r="P3272" s="22">
        <v>0</v>
      </c>
      <c r="Q3272">
        <v>0</v>
      </c>
    </row>
    <row r="3273" spans="1:17">
      <c r="A3273" s="19">
        <v>0</v>
      </c>
      <c r="B3273" s="19">
        <v>0</v>
      </c>
      <c r="C3273" s="19">
        <v>0</v>
      </c>
      <c r="D3273" s="19">
        <v>0</v>
      </c>
      <c r="E3273" s="19">
        <v>0</v>
      </c>
      <c r="F3273" s="19">
        <v>0</v>
      </c>
      <c r="G3273" s="19">
        <v>0</v>
      </c>
      <c r="H3273" s="19">
        <v>0</v>
      </c>
      <c r="I3273" s="15">
        <v>3500</v>
      </c>
      <c r="J3273" s="15">
        <v>0</v>
      </c>
      <c r="K3273" s="15">
        <v>0</v>
      </c>
      <c r="L3273" s="15">
        <v>0</v>
      </c>
      <c r="M3273" s="15">
        <v>0</v>
      </c>
      <c r="N3273" s="15" t="str">
        <v/>
      </c>
      <c r="O3273" s="15" t="str">
        <v/>
      </c>
      <c r="P3273" s="22">
        <v>0</v>
      </c>
      <c r="Q3273">
        <v>0</v>
      </c>
    </row>
    <row r="3274" spans="1:17">
      <c r="A3274" s="19">
        <v>0</v>
      </c>
      <c r="B3274" s="19">
        <v>0</v>
      </c>
      <c r="C3274" s="19">
        <v>0</v>
      </c>
      <c r="D3274" s="19">
        <v>0</v>
      </c>
      <c r="E3274" s="19">
        <v>0</v>
      </c>
      <c r="F3274" s="19">
        <v>0</v>
      </c>
      <c r="G3274" s="19">
        <v>0</v>
      </c>
      <c r="H3274" s="19">
        <v>0</v>
      </c>
      <c r="I3274" s="15">
        <v>3500</v>
      </c>
      <c r="J3274" s="15">
        <v>0</v>
      </c>
      <c r="K3274" s="15">
        <v>0</v>
      </c>
      <c r="L3274" s="15">
        <v>0</v>
      </c>
      <c r="M3274" s="15">
        <v>0</v>
      </c>
      <c r="N3274" s="15" t="str">
        <v/>
      </c>
      <c r="O3274" s="15" t="str">
        <v/>
      </c>
      <c r="P3274" s="22">
        <v>0</v>
      </c>
      <c r="Q3274">
        <v>0</v>
      </c>
    </row>
    <row r="3275" spans="1:17">
      <c r="A3275" s="19">
        <v>0</v>
      </c>
      <c r="B3275" s="19">
        <v>0</v>
      </c>
      <c r="C3275" s="19">
        <v>0</v>
      </c>
      <c r="D3275" s="19">
        <v>0</v>
      </c>
      <c r="E3275" s="19">
        <v>0</v>
      </c>
      <c r="F3275" s="19">
        <v>0</v>
      </c>
      <c r="G3275" s="19">
        <v>0</v>
      </c>
      <c r="H3275" s="19">
        <v>0</v>
      </c>
      <c r="I3275" s="15">
        <v>3500</v>
      </c>
      <c r="J3275" s="15">
        <v>0</v>
      </c>
      <c r="K3275" s="15">
        <v>0</v>
      </c>
      <c r="L3275" s="15">
        <v>0</v>
      </c>
      <c r="M3275" s="15">
        <v>0</v>
      </c>
      <c r="N3275" s="15" t="str">
        <v/>
      </c>
      <c r="O3275" s="15" t="str">
        <v/>
      </c>
      <c r="P3275" s="22">
        <v>0</v>
      </c>
      <c r="Q3275">
        <v>0</v>
      </c>
    </row>
    <row r="3276" spans="1:17">
      <c r="A3276" s="19">
        <v>0</v>
      </c>
      <c r="B3276" s="19">
        <v>0</v>
      </c>
      <c r="C3276" s="19">
        <v>0</v>
      </c>
      <c r="D3276" s="19">
        <v>0</v>
      </c>
      <c r="E3276" s="19">
        <v>0</v>
      </c>
      <c r="F3276" s="19">
        <v>0</v>
      </c>
      <c r="G3276" s="19">
        <v>0</v>
      </c>
      <c r="H3276" s="19">
        <v>0</v>
      </c>
      <c r="I3276" s="15">
        <v>3500</v>
      </c>
      <c r="J3276" s="15">
        <v>0</v>
      </c>
      <c r="K3276" s="15">
        <v>0</v>
      </c>
      <c r="L3276" s="15">
        <v>0</v>
      </c>
      <c r="M3276" s="15">
        <v>0</v>
      </c>
      <c r="N3276" s="15" t="str">
        <v/>
      </c>
      <c r="O3276" s="15" t="str">
        <v/>
      </c>
      <c r="P3276" s="22">
        <v>0</v>
      </c>
      <c r="Q3276">
        <v>0</v>
      </c>
    </row>
    <row r="3277" spans="1:17">
      <c r="A3277" s="19">
        <v>0</v>
      </c>
      <c r="B3277" s="19">
        <v>0</v>
      </c>
      <c r="C3277" s="19">
        <v>0</v>
      </c>
      <c r="D3277" s="19">
        <v>0</v>
      </c>
      <c r="E3277" s="19">
        <v>0</v>
      </c>
      <c r="F3277" s="19">
        <v>0</v>
      </c>
      <c r="G3277" s="19">
        <v>0</v>
      </c>
      <c r="H3277" s="19">
        <v>0</v>
      </c>
      <c r="I3277" s="15">
        <v>3500</v>
      </c>
      <c r="J3277" s="15">
        <v>0</v>
      </c>
      <c r="K3277" s="15">
        <v>0</v>
      </c>
      <c r="L3277" s="15">
        <v>0</v>
      </c>
      <c r="M3277" s="15">
        <v>0</v>
      </c>
      <c r="N3277" s="15" t="str">
        <v/>
      </c>
      <c r="O3277" s="15" t="str">
        <v/>
      </c>
      <c r="P3277" s="22">
        <v>0</v>
      </c>
      <c r="Q3277">
        <v>0</v>
      </c>
    </row>
    <row r="3278" spans="1:17">
      <c r="A3278" s="19">
        <v>0</v>
      </c>
      <c r="B3278" s="19">
        <v>0</v>
      </c>
      <c r="C3278" s="19">
        <v>0</v>
      </c>
      <c r="D3278" s="19">
        <v>0</v>
      </c>
      <c r="E3278" s="19">
        <v>0</v>
      </c>
      <c r="F3278" s="19">
        <v>0</v>
      </c>
      <c r="G3278" s="19">
        <v>0</v>
      </c>
      <c r="H3278" s="19">
        <v>0</v>
      </c>
      <c r="I3278" s="15">
        <v>3500</v>
      </c>
      <c r="J3278" s="15">
        <v>0</v>
      </c>
      <c r="K3278" s="15">
        <v>0</v>
      </c>
      <c r="L3278" s="15">
        <v>0</v>
      </c>
      <c r="M3278" s="15">
        <v>0</v>
      </c>
      <c r="N3278" s="15" t="str">
        <v/>
      </c>
      <c r="O3278" s="15" t="str">
        <v/>
      </c>
      <c r="P3278" s="22">
        <v>0</v>
      </c>
      <c r="Q3278">
        <v>0</v>
      </c>
    </row>
    <row r="3279" spans="1:17">
      <c r="A3279" s="19">
        <v>0</v>
      </c>
      <c r="B3279" s="19">
        <v>0</v>
      </c>
      <c r="C3279" s="19">
        <v>0</v>
      </c>
      <c r="D3279" s="19">
        <v>0</v>
      </c>
      <c r="E3279" s="19">
        <v>0</v>
      </c>
      <c r="F3279" s="19">
        <v>0</v>
      </c>
      <c r="G3279" s="19">
        <v>0</v>
      </c>
      <c r="H3279" s="19">
        <v>0</v>
      </c>
      <c r="I3279" s="15">
        <v>3500</v>
      </c>
      <c r="J3279" s="15">
        <v>0</v>
      </c>
      <c r="K3279" s="15">
        <v>0</v>
      </c>
      <c r="L3279" s="15">
        <v>0</v>
      </c>
      <c r="M3279" s="15">
        <v>0</v>
      </c>
      <c r="N3279" s="15" t="str">
        <v/>
      </c>
      <c r="O3279" s="15" t="str">
        <v/>
      </c>
      <c r="P3279" s="22">
        <v>0</v>
      </c>
      <c r="Q3279">
        <v>0</v>
      </c>
    </row>
    <row r="3280" spans="1:17">
      <c r="A3280" s="19">
        <v>0</v>
      </c>
      <c r="B3280" s="19">
        <v>0</v>
      </c>
      <c r="C3280" s="19">
        <v>0</v>
      </c>
      <c r="D3280" s="19">
        <v>0</v>
      </c>
      <c r="E3280" s="19">
        <v>0</v>
      </c>
      <c r="F3280" s="19">
        <v>0</v>
      </c>
      <c r="G3280" s="19">
        <v>0</v>
      </c>
      <c r="H3280" s="19">
        <v>0</v>
      </c>
      <c r="I3280" s="15">
        <v>3500</v>
      </c>
      <c r="J3280" s="15">
        <v>0</v>
      </c>
      <c r="K3280" s="15">
        <v>0</v>
      </c>
      <c r="L3280" s="15">
        <v>0</v>
      </c>
      <c r="M3280" s="15">
        <v>0</v>
      </c>
      <c r="N3280" s="15" t="str">
        <v/>
      </c>
      <c r="O3280" s="15" t="str">
        <v/>
      </c>
      <c r="P3280" s="22">
        <v>0</v>
      </c>
      <c r="Q3280">
        <v>0</v>
      </c>
    </row>
    <row r="3281" spans="1:17">
      <c r="A3281" s="19">
        <v>0</v>
      </c>
      <c r="B3281" s="19">
        <v>0</v>
      </c>
      <c r="C3281" s="19">
        <v>0</v>
      </c>
      <c r="D3281" s="19">
        <v>0</v>
      </c>
      <c r="E3281" s="19">
        <v>0</v>
      </c>
      <c r="F3281" s="19">
        <v>0</v>
      </c>
      <c r="G3281" s="19">
        <v>0</v>
      </c>
      <c r="H3281" s="19">
        <v>0</v>
      </c>
      <c r="I3281" s="15">
        <v>3500</v>
      </c>
      <c r="J3281" s="15">
        <v>0</v>
      </c>
      <c r="K3281" s="15">
        <v>0</v>
      </c>
      <c r="L3281" s="15">
        <v>0</v>
      </c>
      <c r="M3281" s="15">
        <v>0</v>
      </c>
      <c r="N3281" s="15" t="str">
        <v/>
      </c>
      <c r="O3281" s="15" t="str">
        <v/>
      </c>
      <c r="P3281" s="22">
        <v>0</v>
      </c>
      <c r="Q3281">
        <v>0</v>
      </c>
    </row>
    <row r="3282" spans="1:17">
      <c r="A3282" s="19">
        <v>0</v>
      </c>
      <c r="B3282" s="19">
        <v>0</v>
      </c>
      <c r="C3282" s="19">
        <v>0</v>
      </c>
      <c r="D3282" s="19">
        <v>0</v>
      </c>
      <c r="E3282" s="19">
        <v>0</v>
      </c>
      <c r="F3282" s="19">
        <v>0</v>
      </c>
      <c r="G3282" s="19">
        <v>0</v>
      </c>
      <c r="H3282" s="19">
        <v>0</v>
      </c>
      <c r="I3282" s="15">
        <v>3500</v>
      </c>
      <c r="J3282" s="15">
        <v>0</v>
      </c>
      <c r="K3282" s="15">
        <v>0</v>
      </c>
      <c r="L3282" s="15">
        <v>0</v>
      </c>
      <c r="M3282" s="15">
        <v>0</v>
      </c>
      <c r="N3282" s="15" t="str">
        <v/>
      </c>
      <c r="O3282" s="15" t="str">
        <v/>
      </c>
      <c r="P3282" s="22">
        <v>0</v>
      </c>
      <c r="Q3282">
        <v>0</v>
      </c>
    </row>
    <row r="3283" spans="1:17">
      <c r="A3283" s="19">
        <v>0</v>
      </c>
      <c r="B3283" s="19">
        <v>0</v>
      </c>
      <c r="C3283" s="19">
        <v>0</v>
      </c>
      <c r="D3283" s="19">
        <v>0</v>
      </c>
      <c r="E3283" s="19">
        <v>0</v>
      </c>
      <c r="F3283" s="19">
        <v>0</v>
      </c>
      <c r="G3283" s="19">
        <v>0</v>
      </c>
      <c r="H3283" s="19">
        <v>0</v>
      </c>
      <c r="I3283" s="15">
        <v>3500</v>
      </c>
      <c r="J3283" s="15">
        <v>0</v>
      </c>
      <c r="K3283" s="15">
        <v>0</v>
      </c>
      <c r="L3283" s="15">
        <v>0</v>
      </c>
      <c r="M3283" s="15">
        <v>0</v>
      </c>
      <c r="N3283" s="15" t="str">
        <v/>
      </c>
      <c r="O3283" s="15" t="str">
        <v/>
      </c>
      <c r="P3283" s="22">
        <v>0</v>
      </c>
      <c r="Q3283">
        <v>0</v>
      </c>
    </row>
    <row r="3284" spans="1:17">
      <c r="A3284" s="19">
        <v>0</v>
      </c>
      <c r="B3284" s="19">
        <v>0</v>
      </c>
      <c r="C3284" s="19">
        <v>0</v>
      </c>
      <c r="D3284" s="19">
        <v>0</v>
      </c>
      <c r="E3284" s="19">
        <v>0</v>
      </c>
      <c r="F3284" s="19">
        <v>0</v>
      </c>
      <c r="G3284" s="19">
        <v>0</v>
      </c>
      <c r="H3284" s="19">
        <v>0</v>
      </c>
      <c r="I3284" s="15">
        <v>3500</v>
      </c>
      <c r="J3284" s="15">
        <v>0</v>
      </c>
      <c r="K3284" s="15">
        <v>0</v>
      </c>
      <c r="L3284" s="15">
        <v>0</v>
      </c>
      <c r="M3284" s="15">
        <v>0</v>
      </c>
      <c r="N3284" s="15" t="str">
        <v/>
      </c>
      <c r="O3284" s="15" t="str">
        <v/>
      </c>
      <c r="P3284" s="22">
        <v>0</v>
      </c>
      <c r="Q3284">
        <v>0</v>
      </c>
    </row>
    <row r="3285" spans="1:17">
      <c r="A3285" s="19">
        <v>0</v>
      </c>
      <c r="B3285" s="19">
        <v>0</v>
      </c>
      <c r="C3285" s="19">
        <v>0</v>
      </c>
      <c r="D3285" s="19">
        <v>0</v>
      </c>
      <c r="E3285" s="19">
        <v>0</v>
      </c>
      <c r="F3285" s="19">
        <v>0</v>
      </c>
      <c r="G3285" s="19">
        <v>0</v>
      </c>
      <c r="H3285" s="19">
        <v>0</v>
      </c>
      <c r="I3285" s="15">
        <v>3500</v>
      </c>
      <c r="J3285" s="15">
        <v>0</v>
      </c>
      <c r="K3285" s="15">
        <v>0</v>
      </c>
      <c r="L3285" s="15">
        <v>0</v>
      </c>
      <c r="M3285" s="15">
        <v>0</v>
      </c>
      <c r="N3285" s="15" t="str">
        <v/>
      </c>
      <c r="O3285" s="15" t="str">
        <v/>
      </c>
      <c r="P3285" s="22">
        <v>0</v>
      </c>
      <c r="Q3285">
        <v>0</v>
      </c>
    </row>
    <row r="3286" spans="1:17">
      <c r="A3286" s="19">
        <v>0</v>
      </c>
      <c r="B3286" s="19">
        <v>0</v>
      </c>
      <c r="C3286" s="19">
        <v>0</v>
      </c>
      <c r="D3286" s="19">
        <v>0</v>
      </c>
      <c r="E3286" s="19">
        <v>0</v>
      </c>
      <c r="F3286" s="19">
        <v>0</v>
      </c>
      <c r="G3286" s="19">
        <v>0</v>
      </c>
      <c r="H3286" s="19">
        <v>0</v>
      </c>
      <c r="I3286" s="15">
        <v>3500</v>
      </c>
      <c r="J3286" s="15">
        <v>0</v>
      </c>
      <c r="K3286" s="15">
        <v>0</v>
      </c>
      <c r="L3286" s="15">
        <v>0</v>
      </c>
      <c r="M3286" s="15">
        <v>0</v>
      </c>
      <c r="N3286" s="15" t="str">
        <v/>
      </c>
      <c r="O3286" s="15" t="str">
        <v/>
      </c>
      <c r="P3286" s="22">
        <v>0</v>
      </c>
      <c r="Q3286">
        <v>0</v>
      </c>
    </row>
    <row r="3287" spans="1:17">
      <c r="A3287" s="19">
        <v>0</v>
      </c>
      <c r="B3287" s="19">
        <v>0</v>
      </c>
      <c r="C3287" s="19">
        <v>0</v>
      </c>
      <c r="D3287" s="19">
        <v>0</v>
      </c>
      <c r="E3287" s="19">
        <v>0</v>
      </c>
      <c r="F3287" s="19">
        <v>0</v>
      </c>
      <c r="G3287" s="19">
        <v>0</v>
      </c>
      <c r="H3287" s="19">
        <v>0</v>
      </c>
      <c r="I3287" s="15">
        <v>3500</v>
      </c>
      <c r="J3287" s="15">
        <v>0</v>
      </c>
      <c r="K3287" s="15">
        <v>0</v>
      </c>
      <c r="L3287" s="15">
        <v>0</v>
      </c>
      <c r="M3287" s="15">
        <v>0</v>
      </c>
      <c r="N3287" s="15" t="str">
        <v/>
      </c>
      <c r="O3287" s="15" t="str">
        <v/>
      </c>
      <c r="P3287" s="22">
        <v>0</v>
      </c>
      <c r="Q3287">
        <v>0</v>
      </c>
    </row>
    <row r="3288" spans="1:17">
      <c r="A3288" s="19">
        <v>0</v>
      </c>
      <c r="B3288" s="19">
        <v>0</v>
      </c>
      <c r="C3288" s="19">
        <v>0</v>
      </c>
      <c r="D3288" s="19">
        <v>0</v>
      </c>
      <c r="E3288" s="19">
        <v>0</v>
      </c>
      <c r="F3288" s="19">
        <v>0</v>
      </c>
      <c r="G3288" s="19">
        <v>0</v>
      </c>
      <c r="H3288" s="19">
        <v>0</v>
      </c>
      <c r="I3288" s="15">
        <v>3500</v>
      </c>
      <c r="J3288" s="15">
        <v>0</v>
      </c>
      <c r="K3288" s="15">
        <v>0</v>
      </c>
      <c r="L3288" s="15">
        <v>0</v>
      </c>
      <c r="M3288" s="15">
        <v>0</v>
      </c>
      <c r="N3288" s="15" t="str">
        <v/>
      </c>
      <c r="O3288" s="15" t="str">
        <v/>
      </c>
      <c r="P3288" s="22">
        <v>0</v>
      </c>
      <c r="Q3288">
        <v>0</v>
      </c>
    </row>
    <row r="3289" spans="1:17">
      <c r="A3289" s="19">
        <v>0</v>
      </c>
      <c r="B3289" s="19">
        <v>0</v>
      </c>
      <c r="C3289" s="19">
        <v>0</v>
      </c>
      <c r="D3289" s="19">
        <v>0</v>
      </c>
      <c r="E3289" s="19">
        <v>0</v>
      </c>
      <c r="F3289" s="19">
        <v>0</v>
      </c>
      <c r="G3289" s="19">
        <v>0</v>
      </c>
      <c r="H3289" s="19">
        <v>0</v>
      </c>
      <c r="I3289" s="15">
        <v>3500</v>
      </c>
      <c r="J3289" s="15">
        <v>0</v>
      </c>
      <c r="K3289" s="15">
        <v>0</v>
      </c>
      <c r="L3289" s="15">
        <v>0</v>
      </c>
      <c r="M3289" s="15">
        <v>0</v>
      </c>
      <c r="N3289" s="15" t="str">
        <v/>
      </c>
      <c r="O3289" s="15" t="str">
        <v/>
      </c>
      <c r="P3289" s="22">
        <v>0</v>
      </c>
      <c r="Q3289">
        <v>0</v>
      </c>
    </row>
    <row r="3290" spans="1:17">
      <c r="A3290" s="19">
        <v>0</v>
      </c>
      <c r="B3290" s="19">
        <v>0</v>
      </c>
      <c r="C3290" s="19">
        <v>0</v>
      </c>
      <c r="D3290" s="19">
        <v>0</v>
      </c>
      <c r="E3290" s="19">
        <v>0</v>
      </c>
      <c r="F3290" s="19">
        <v>0</v>
      </c>
      <c r="G3290" s="19">
        <v>0</v>
      </c>
      <c r="H3290" s="19">
        <v>0</v>
      </c>
      <c r="I3290" s="15">
        <v>3500</v>
      </c>
      <c r="J3290" s="15">
        <v>0</v>
      </c>
      <c r="K3290" s="15">
        <v>0</v>
      </c>
      <c r="L3290" s="15">
        <v>0</v>
      </c>
      <c r="M3290" s="15">
        <v>0</v>
      </c>
      <c r="N3290" s="15" t="str">
        <v/>
      </c>
      <c r="O3290" s="15" t="str">
        <v/>
      </c>
      <c r="P3290" s="22">
        <v>0</v>
      </c>
      <c r="Q3290">
        <v>0</v>
      </c>
    </row>
    <row r="3291" spans="1:17">
      <c r="A3291" s="19">
        <v>0</v>
      </c>
      <c r="B3291" s="19">
        <v>0</v>
      </c>
      <c r="C3291" s="19">
        <v>0</v>
      </c>
      <c r="D3291" s="19">
        <v>0</v>
      </c>
      <c r="E3291" s="19">
        <v>0</v>
      </c>
      <c r="F3291" s="19">
        <v>0</v>
      </c>
      <c r="G3291" s="19">
        <v>0</v>
      </c>
      <c r="H3291" s="19">
        <v>0</v>
      </c>
      <c r="I3291" s="15">
        <v>3500</v>
      </c>
      <c r="J3291" s="15">
        <v>0</v>
      </c>
      <c r="K3291" s="15">
        <v>0</v>
      </c>
      <c r="L3291" s="15">
        <v>0</v>
      </c>
      <c r="M3291" s="15">
        <v>0</v>
      </c>
      <c r="N3291" s="15" t="str">
        <v/>
      </c>
      <c r="O3291" s="15" t="str">
        <v/>
      </c>
      <c r="P3291" s="22">
        <v>0</v>
      </c>
      <c r="Q3291">
        <v>0</v>
      </c>
    </row>
    <row r="3292" spans="1:17">
      <c r="A3292" s="19">
        <v>0</v>
      </c>
      <c r="B3292" s="19">
        <v>0</v>
      </c>
      <c r="C3292" s="19">
        <v>0</v>
      </c>
      <c r="D3292" s="19">
        <v>0</v>
      </c>
      <c r="E3292" s="19">
        <v>0</v>
      </c>
      <c r="F3292" s="19">
        <v>0</v>
      </c>
      <c r="G3292" s="19">
        <v>0</v>
      </c>
      <c r="H3292" s="19">
        <v>0</v>
      </c>
      <c r="I3292" s="15">
        <v>3500</v>
      </c>
      <c r="J3292" s="15">
        <v>0</v>
      </c>
      <c r="K3292" s="15">
        <v>0</v>
      </c>
      <c r="L3292" s="15">
        <v>0</v>
      </c>
      <c r="M3292" s="15">
        <v>0</v>
      </c>
      <c r="N3292" s="15" t="str">
        <v/>
      </c>
      <c r="O3292" s="15" t="str">
        <v/>
      </c>
      <c r="P3292" s="22">
        <v>0</v>
      </c>
      <c r="Q3292">
        <v>0</v>
      </c>
    </row>
    <row r="3293" spans="1:17">
      <c r="A3293" s="19">
        <v>0</v>
      </c>
      <c r="B3293" s="19">
        <v>0</v>
      </c>
      <c r="C3293" s="19">
        <v>0</v>
      </c>
      <c r="D3293" s="19">
        <v>0</v>
      </c>
      <c r="E3293" s="19">
        <v>0</v>
      </c>
      <c r="F3293" s="19">
        <v>0</v>
      </c>
      <c r="G3293" s="19">
        <v>0</v>
      </c>
      <c r="H3293" s="19">
        <v>0</v>
      </c>
      <c r="I3293" s="15">
        <v>3500</v>
      </c>
      <c r="J3293" s="15">
        <v>0</v>
      </c>
      <c r="K3293" s="15">
        <v>0</v>
      </c>
      <c r="L3293" s="15">
        <v>0</v>
      </c>
      <c r="M3293" s="15">
        <v>0</v>
      </c>
      <c r="N3293" s="15" t="str">
        <v/>
      </c>
      <c r="O3293" s="15" t="str">
        <v/>
      </c>
      <c r="P3293" s="22">
        <v>0</v>
      </c>
      <c r="Q3293">
        <v>0</v>
      </c>
    </row>
    <row r="3294" spans="1:17">
      <c r="A3294" s="19">
        <v>0</v>
      </c>
      <c r="B3294" s="19">
        <v>0</v>
      </c>
      <c r="C3294" s="19">
        <v>0</v>
      </c>
      <c r="D3294" s="19">
        <v>0</v>
      </c>
      <c r="E3294" s="19">
        <v>0</v>
      </c>
      <c r="F3294" s="19">
        <v>0</v>
      </c>
      <c r="G3294" s="19">
        <v>0</v>
      </c>
      <c r="H3294" s="19">
        <v>0</v>
      </c>
      <c r="I3294" s="15">
        <v>3500</v>
      </c>
      <c r="J3294" s="15">
        <v>0</v>
      </c>
      <c r="K3294" s="15">
        <v>0</v>
      </c>
      <c r="L3294" s="15">
        <v>0</v>
      </c>
      <c r="M3294" s="15">
        <v>0</v>
      </c>
      <c r="N3294" s="15" t="str">
        <v/>
      </c>
      <c r="O3294" s="15" t="str">
        <v/>
      </c>
      <c r="P3294" s="22">
        <v>0</v>
      </c>
      <c r="Q3294">
        <v>0</v>
      </c>
    </row>
    <row r="3295" spans="1:17">
      <c r="A3295" s="19">
        <v>0</v>
      </c>
      <c r="B3295" s="19">
        <v>0</v>
      </c>
      <c r="C3295" s="19">
        <v>0</v>
      </c>
      <c r="D3295" s="19">
        <v>0</v>
      </c>
      <c r="E3295" s="19">
        <v>0</v>
      </c>
      <c r="F3295" s="19">
        <v>0</v>
      </c>
      <c r="G3295" s="19">
        <v>0</v>
      </c>
      <c r="H3295" s="19">
        <v>0</v>
      </c>
      <c r="I3295" s="15">
        <v>3500</v>
      </c>
      <c r="J3295" s="15">
        <v>0</v>
      </c>
      <c r="K3295" s="15">
        <v>0</v>
      </c>
      <c r="L3295" s="15">
        <v>0</v>
      </c>
      <c r="M3295" s="15">
        <v>0</v>
      </c>
      <c r="N3295" s="15" t="str">
        <v/>
      </c>
      <c r="O3295" s="15" t="str">
        <v/>
      </c>
      <c r="P3295" s="22">
        <v>0</v>
      </c>
      <c r="Q3295">
        <v>0</v>
      </c>
    </row>
    <row r="3296" spans="1:17">
      <c r="A3296" s="19">
        <v>0</v>
      </c>
      <c r="B3296" s="19">
        <v>0</v>
      </c>
      <c r="C3296" s="19">
        <v>0</v>
      </c>
      <c r="D3296" s="19">
        <v>0</v>
      </c>
      <c r="E3296" s="19">
        <v>0</v>
      </c>
      <c r="F3296" s="19">
        <v>0</v>
      </c>
      <c r="G3296" s="19">
        <v>0</v>
      </c>
      <c r="H3296" s="19">
        <v>0</v>
      </c>
      <c r="I3296" s="15">
        <v>3500</v>
      </c>
      <c r="J3296" s="15">
        <v>0</v>
      </c>
      <c r="K3296" s="15">
        <v>0</v>
      </c>
      <c r="L3296" s="15">
        <v>0</v>
      </c>
      <c r="M3296" s="15">
        <v>0</v>
      </c>
      <c r="N3296" s="15" t="str">
        <v/>
      </c>
      <c r="O3296" s="15" t="str">
        <v/>
      </c>
      <c r="P3296" s="22">
        <v>0</v>
      </c>
      <c r="Q3296">
        <v>0</v>
      </c>
    </row>
    <row r="3297" spans="1:17">
      <c r="A3297" s="19">
        <v>0</v>
      </c>
      <c r="B3297" s="19">
        <v>0</v>
      </c>
      <c r="C3297" s="19">
        <v>0</v>
      </c>
      <c r="D3297" s="19">
        <v>0</v>
      </c>
      <c r="E3297" s="19">
        <v>0</v>
      </c>
      <c r="F3297" s="19">
        <v>0</v>
      </c>
      <c r="G3297" s="19">
        <v>0</v>
      </c>
      <c r="H3297" s="19">
        <v>0</v>
      </c>
      <c r="I3297" s="15">
        <v>3500</v>
      </c>
      <c r="J3297" s="15">
        <v>0</v>
      </c>
      <c r="K3297" s="15">
        <v>0</v>
      </c>
      <c r="L3297" s="15">
        <v>0</v>
      </c>
      <c r="M3297" s="15">
        <v>0</v>
      </c>
      <c r="N3297" s="15" t="str">
        <v/>
      </c>
      <c r="O3297" s="15" t="str">
        <v/>
      </c>
      <c r="P3297" s="22">
        <v>0</v>
      </c>
      <c r="Q3297">
        <v>0</v>
      </c>
    </row>
    <row r="3298" spans="1:17">
      <c r="A3298" s="19">
        <v>0</v>
      </c>
      <c r="B3298" s="19">
        <v>0</v>
      </c>
      <c r="C3298" s="19">
        <v>0</v>
      </c>
      <c r="D3298" s="19">
        <v>0</v>
      </c>
      <c r="E3298" s="19">
        <v>0</v>
      </c>
      <c r="F3298" s="19">
        <v>0</v>
      </c>
      <c r="G3298" s="19">
        <v>0</v>
      </c>
      <c r="H3298" s="19">
        <v>0</v>
      </c>
      <c r="I3298" s="15">
        <v>3500</v>
      </c>
      <c r="J3298" s="15">
        <v>0</v>
      </c>
      <c r="K3298" s="15">
        <v>0</v>
      </c>
      <c r="L3298" s="15">
        <v>0</v>
      </c>
      <c r="M3298" s="15">
        <v>0</v>
      </c>
      <c r="N3298" s="15" t="str">
        <v/>
      </c>
      <c r="O3298" s="15" t="str">
        <v/>
      </c>
      <c r="P3298" s="22">
        <v>0</v>
      </c>
      <c r="Q3298">
        <v>0</v>
      </c>
    </row>
    <row r="3299" spans="1:17">
      <c r="A3299" s="19">
        <v>0</v>
      </c>
      <c r="B3299" s="19">
        <v>0</v>
      </c>
      <c r="C3299" s="19">
        <v>0</v>
      </c>
      <c r="D3299" s="19">
        <v>0</v>
      </c>
      <c r="E3299" s="19">
        <v>0</v>
      </c>
      <c r="F3299" s="19">
        <v>0</v>
      </c>
      <c r="G3299" s="19">
        <v>0</v>
      </c>
      <c r="H3299" s="19">
        <v>0</v>
      </c>
      <c r="I3299" s="15">
        <v>3500</v>
      </c>
      <c r="J3299" s="15">
        <v>0</v>
      </c>
      <c r="K3299" s="15">
        <v>0</v>
      </c>
      <c r="L3299" s="15">
        <v>0</v>
      </c>
      <c r="M3299" s="15">
        <v>0</v>
      </c>
      <c r="N3299" s="15" t="str">
        <v/>
      </c>
      <c r="O3299" s="15" t="str">
        <v/>
      </c>
      <c r="P3299" s="22">
        <v>0</v>
      </c>
      <c r="Q3299">
        <v>0</v>
      </c>
    </row>
    <row r="3300" spans="1:17">
      <c r="A3300" s="19">
        <v>0</v>
      </c>
      <c r="B3300" s="19">
        <v>0</v>
      </c>
      <c r="C3300" s="19">
        <v>0</v>
      </c>
      <c r="D3300" s="19">
        <v>0</v>
      </c>
      <c r="E3300" s="19">
        <v>0</v>
      </c>
      <c r="F3300" s="19">
        <v>0</v>
      </c>
      <c r="G3300" s="19">
        <v>0</v>
      </c>
      <c r="H3300" s="19">
        <v>0</v>
      </c>
      <c r="I3300" s="15">
        <v>3500</v>
      </c>
      <c r="J3300" s="15">
        <v>0</v>
      </c>
      <c r="K3300" s="15">
        <v>0</v>
      </c>
      <c r="L3300" s="15">
        <v>0</v>
      </c>
      <c r="M3300" s="15">
        <v>0</v>
      </c>
      <c r="N3300" s="15" t="str">
        <v/>
      </c>
      <c r="O3300" s="15" t="str">
        <v/>
      </c>
      <c r="P3300" s="22">
        <v>0</v>
      </c>
      <c r="Q3300">
        <v>0</v>
      </c>
    </row>
    <row r="3301" spans="1:17">
      <c r="A3301" s="19">
        <v>0</v>
      </c>
      <c r="B3301" s="19">
        <v>0</v>
      </c>
      <c r="C3301" s="19">
        <v>0</v>
      </c>
      <c r="D3301" s="19">
        <v>0</v>
      </c>
      <c r="E3301" s="19">
        <v>0</v>
      </c>
      <c r="F3301" s="19">
        <v>0</v>
      </c>
      <c r="G3301" s="19">
        <v>0</v>
      </c>
      <c r="H3301" s="19">
        <v>0</v>
      </c>
      <c r="I3301" s="15">
        <v>3500</v>
      </c>
      <c r="J3301" s="15">
        <v>0</v>
      </c>
      <c r="K3301" s="15">
        <v>0</v>
      </c>
      <c r="L3301" s="15">
        <v>0</v>
      </c>
      <c r="M3301" s="15">
        <v>0</v>
      </c>
      <c r="N3301" s="15" t="str">
        <v/>
      </c>
      <c r="O3301" s="15" t="str">
        <v/>
      </c>
      <c r="P3301" s="22">
        <v>0</v>
      </c>
      <c r="Q3301">
        <v>0</v>
      </c>
    </row>
    <row r="3302" spans="1:17">
      <c r="A3302" s="19">
        <v>0</v>
      </c>
      <c r="B3302" s="19">
        <v>0</v>
      </c>
      <c r="C3302" s="19">
        <v>0</v>
      </c>
      <c r="D3302" s="19">
        <v>0</v>
      </c>
      <c r="E3302" s="19">
        <v>0</v>
      </c>
      <c r="F3302" s="19">
        <v>0</v>
      </c>
      <c r="G3302" s="19">
        <v>0</v>
      </c>
      <c r="H3302" s="19">
        <v>0</v>
      </c>
      <c r="I3302" s="15">
        <v>3500</v>
      </c>
      <c r="J3302" s="15">
        <v>0</v>
      </c>
      <c r="K3302" s="15">
        <v>0</v>
      </c>
      <c r="L3302" s="15">
        <v>0</v>
      </c>
      <c r="M3302" s="15">
        <v>0</v>
      </c>
      <c r="N3302" s="15" t="str">
        <v/>
      </c>
      <c r="O3302" s="15" t="str">
        <v/>
      </c>
      <c r="P3302" s="22">
        <v>0</v>
      </c>
      <c r="Q3302">
        <v>0</v>
      </c>
    </row>
    <row r="3303" spans="1:17">
      <c r="A3303" s="19">
        <v>0</v>
      </c>
      <c r="B3303" s="19">
        <v>0</v>
      </c>
      <c r="C3303" s="19">
        <v>0</v>
      </c>
      <c r="D3303" s="19">
        <v>0</v>
      </c>
      <c r="E3303" s="19">
        <v>0</v>
      </c>
      <c r="F3303" s="19">
        <v>0</v>
      </c>
      <c r="G3303" s="19">
        <v>0</v>
      </c>
      <c r="H3303" s="19">
        <v>0</v>
      </c>
      <c r="I3303" s="15">
        <v>3500</v>
      </c>
      <c r="J3303" s="15">
        <v>0</v>
      </c>
      <c r="K3303" s="15">
        <v>0</v>
      </c>
      <c r="L3303" s="15">
        <v>0</v>
      </c>
      <c r="M3303" s="15">
        <v>0</v>
      </c>
      <c r="N3303" s="15" t="str">
        <v/>
      </c>
      <c r="O3303" s="15" t="str">
        <v/>
      </c>
      <c r="P3303" s="22">
        <v>0</v>
      </c>
      <c r="Q3303">
        <v>0</v>
      </c>
    </row>
    <row r="3304" spans="1:17">
      <c r="A3304" s="19">
        <v>0</v>
      </c>
      <c r="B3304" s="19">
        <v>0</v>
      </c>
      <c r="C3304" s="19">
        <v>0</v>
      </c>
      <c r="D3304" s="19">
        <v>0</v>
      </c>
      <c r="E3304" s="19">
        <v>0</v>
      </c>
      <c r="F3304" s="19">
        <v>0</v>
      </c>
      <c r="G3304" s="19">
        <v>0</v>
      </c>
      <c r="H3304" s="19">
        <v>0</v>
      </c>
      <c r="I3304" s="15">
        <v>3500</v>
      </c>
      <c r="J3304" s="15">
        <v>0</v>
      </c>
      <c r="K3304" s="15">
        <v>0</v>
      </c>
      <c r="L3304" s="15">
        <v>0</v>
      </c>
      <c r="M3304" s="15">
        <v>0</v>
      </c>
      <c r="N3304" s="15" t="str">
        <v/>
      </c>
      <c r="O3304" s="15" t="str">
        <v/>
      </c>
      <c r="P3304" s="22">
        <v>0</v>
      </c>
      <c r="Q3304">
        <v>0</v>
      </c>
    </row>
    <row r="3305" spans="1:17">
      <c r="A3305" s="19">
        <v>0</v>
      </c>
      <c r="B3305" s="19">
        <v>0</v>
      </c>
      <c r="C3305" s="19">
        <v>0</v>
      </c>
      <c r="D3305" s="19">
        <v>0</v>
      </c>
      <c r="E3305" s="19">
        <v>0</v>
      </c>
      <c r="F3305" s="19">
        <v>0</v>
      </c>
      <c r="G3305" s="19">
        <v>0</v>
      </c>
      <c r="H3305" s="19">
        <v>0</v>
      </c>
      <c r="I3305" s="15">
        <v>3500</v>
      </c>
      <c r="J3305" s="15">
        <v>0</v>
      </c>
      <c r="K3305" s="15">
        <v>0</v>
      </c>
      <c r="L3305" s="15">
        <v>0</v>
      </c>
      <c r="M3305" s="15">
        <v>0</v>
      </c>
      <c r="N3305" s="15" t="str">
        <v/>
      </c>
      <c r="O3305" s="15" t="str">
        <v/>
      </c>
      <c r="P3305" s="22">
        <v>0</v>
      </c>
      <c r="Q3305">
        <v>0</v>
      </c>
    </row>
    <row r="3306" spans="1:17">
      <c r="A3306" s="19">
        <v>0</v>
      </c>
      <c r="B3306" s="19">
        <v>0</v>
      </c>
      <c r="C3306" s="19">
        <v>0</v>
      </c>
      <c r="D3306" s="19">
        <v>0</v>
      </c>
      <c r="E3306" s="19">
        <v>0</v>
      </c>
      <c r="F3306" s="19">
        <v>0</v>
      </c>
      <c r="G3306" s="19">
        <v>0</v>
      </c>
      <c r="H3306" s="19">
        <v>0</v>
      </c>
      <c r="I3306" s="15">
        <v>3500</v>
      </c>
      <c r="J3306" s="15">
        <v>0</v>
      </c>
      <c r="K3306" s="15">
        <v>0</v>
      </c>
      <c r="L3306" s="15">
        <v>0</v>
      </c>
      <c r="M3306" s="15">
        <v>0</v>
      </c>
      <c r="N3306" s="15" t="str">
        <v/>
      </c>
      <c r="O3306" s="15" t="str">
        <v/>
      </c>
      <c r="P3306" s="22">
        <v>0</v>
      </c>
      <c r="Q3306">
        <v>0</v>
      </c>
    </row>
    <row r="3307" spans="1:17">
      <c r="A3307" s="19">
        <v>0</v>
      </c>
      <c r="B3307" s="19">
        <v>0</v>
      </c>
      <c r="C3307" s="19">
        <v>0</v>
      </c>
      <c r="D3307" s="19">
        <v>0</v>
      </c>
      <c r="E3307" s="19">
        <v>0</v>
      </c>
      <c r="F3307" s="19">
        <v>0</v>
      </c>
      <c r="G3307" s="19">
        <v>0</v>
      </c>
      <c r="H3307" s="19">
        <v>0</v>
      </c>
      <c r="I3307" s="15">
        <v>3500</v>
      </c>
      <c r="J3307" s="15">
        <v>0</v>
      </c>
      <c r="K3307" s="15">
        <v>0</v>
      </c>
      <c r="L3307" s="15">
        <v>0</v>
      </c>
      <c r="M3307" s="15">
        <v>0</v>
      </c>
      <c r="N3307" s="15" t="str">
        <v/>
      </c>
      <c r="O3307" s="15" t="str">
        <v/>
      </c>
      <c r="P3307" s="22">
        <v>0</v>
      </c>
      <c r="Q3307">
        <v>0</v>
      </c>
    </row>
    <row r="3308" spans="1:17">
      <c r="A3308" s="19">
        <v>0</v>
      </c>
      <c r="B3308" s="19">
        <v>0</v>
      </c>
      <c r="C3308" s="19">
        <v>0</v>
      </c>
      <c r="D3308" s="19">
        <v>0</v>
      </c>
      <c r="E3308" s="19">
        <v>0</v>
      </c>
      <c r="F3308" s="19">
        <v>0</v>
      </c>
      <c r="G3308" s="19">
        <v>0</v>
      </c>
      <c r="H3308" s="19">
        <v>0</v>
      </c>
      <c r="I3308" s="15">
        <v>3500</v>
      </c>
      <c r="J3308" s="15">
        <v>0</v>
      </c>
      <c r="K3308" s="15">
        <v>0</v>
      </c>
      <c r="L3308" s="15">
        <v>0</v>
      </c>
      <c r="M3308" s="15">
        <v>0</v>
      </c>
      <c r="N3308" s="15" t="str">
        <v/>
      </c>
      <c r="O3308" s="15" t="str">
        <v/>
      </c>
      <c r="P3308" s="22">
        <v>0</v>
      </c>
      <c r="Q3308">
        <v>0</v>
      </c>
    </row>
    <row r="3309" spans="1:17">
      <c r="A3309" s="19">
        <v>0</v>
      </c>
      <c r="B3309" s="19">
        <v>0</v>
      </c>
      <c r="C3309" s="19">
        <v>0</v>
      </c>
      <c r="D3309" s="19">
        <v>0</v>
      </c>
      <c r="E3309" s="19">
        <v>0</v>
      </c>
      <c r="F3309" s="19">
        <v>0</v>
      </c>
      <c r="G3309" s="19">
        <v>0</v>
      </c>
      <c r="H3309" s="19">
        <v>0</v>
      </c>
      <c r="I3309" s="15">
        <v>3500</v>
      </c>
      <c r="J3309" s="15">
        <v>0</v>
      </c>
      <c r="K3309" s="15">
        <v>0</v>
      </c>
      <c r="L3309" s="15">
        <v>0</v>
      </c>
      <c r="M3309" s="15">
        <v>0</v>
      </c>
      <c r="N3309" s="15" t="str">
        <v/>
      </c>
      <c r="O3309" s="15" t="str">
        <v/>
      </c>
      <c r="P3309" s="22">
        <v>0</v>
      </c>
      <c r="Q3309">
        <v>0</v>
      </c>
    </row>
    <row r="3310" spans="1:17">
      <c r="A3310" s="19">
        <v>0</v>
      </c>
      <c r="B3310" s="19">
        <v>0</v>
      </c>
      <c r="C3310" s="19">
        <v>0</v>
      </c>
      <c r="D3310" s="19">
        <v>0</v>
      </c>
      <c r="E3310" s="19">
        <v>0</v>
      </c>
      <c r="F3310" s="19">
        <v>0</v>
      </c>
      <c r="G3310" s="19">
        <v>0</v>
      </c>
      <c r="H3310" s="19">
        <v>0</v>
      </c>
      <c r="I3310" s="15">
        <v>3500</v>
      </c>
      <c r="J3310" s="15">
        <v>0</v>
      </c>
      <c r="K3310" s="15">
        <v>0</v>
      </c>
      <c r="L3310" s="15">
        <v>0</v>
      </c>
      <c r="M3310" s="15">
        <v>0</v>
      </c>
      <c r="N3310" s="15" t="str">
        <v/>
      </c>
      <c r="O3310" s="15" t="str">
        <v/>
      </c>
      <c r="P3310" s="22">
        <v>0</v>
      </c>
      <c r="Q3310">
        <v>0</v>
      </c>
    </row>
    <row r="3311" spans="1:17">
      <c r="A3311" s="19">
        <v>0</v>
      </c>
      <c r="B3311" s="19">
        <v>0</v>
      </c>
      <c r="C3311" s="19">
        <v>0</v>
      </c>
      <c r="D3311" s="19">
        <v>0</v>
      </c>
      <c r="E3311" s="19">
        <v>0</v>
      </c>
      <c r="F3311" s="19">
        <v>0</v>
      </c>
      <c r="G3311" s="19">
        <v>0</v>
      </c>
      <c r="H3311" s="19">
        <v>0</v>
      </c>
      <c r="I3311" s="15">
        <v>3500</v>
      </c>
      <c r="J3311" s="15">
        <v>0</v>
      </c>
      <c r="K3311" s="15">
        <v>0</v>
      </c>
      <c r="L3311" s="15">
        <v>0</v>
      </c>
      <c r="M3311" s="15">
        <v>0</v>
      </c>
      <c r="N3311" s="15" t="str">
        <v/>
      </c>
      <c r="O3311" s="15" t="str">
        <v/>
      </c>
      <c r="P3311" s="22">
        <v>0</v>
      </c>
      <c r="Q3311">
        <v>0</v>
      </c>
    </row>
    <row r="3312" spans="1:17">
      <c r="A3312" s="19">
        <v>0</v>
      </c>
      <c r="B3312" s="19">
        <v>0</v>
      </c>
      <c r="C3312" s="19">
        <v>0</v>
      </c>
      <c r="D3312" s="19">
        <v>0</v>
      </c>
      <c r="E3312" s="19">
        <v>0</v>
      </c>
      <c r="F3312" s="19">
        <v>0</v>
      </c>
      <c r="G3312" s="19">
        <v>0</v>
      </c>
      <c r="H3312" s="19">
        <v>0</v>
      </c>
      <c r="I3312" s="15">
        <v>3500</v>
      </c>
      <c r="J3312" s="15">
        <v>0</v>
      </c>
      <c r="K3312" s="15">
        <v>0</v>
      </c>
      <c r="L3312" s="15">
        <v>0</v>
      </c>
      <c r="M3312" s="15">
        <v>0</v>
      </c>
      <c r="N3312" s="15" t="str">
        <v/>
      </c>
      <c r="O3312" s="15" t="str">
        <v/>
      </c>
      <c r="P3312" s="22">
        <v>0</v>
      </c>
      <c r="Q3312">
        <v>0</v>
      </c>
    </row>
    <row r="3313" spans="1:17">
      <c r="A3313" s="19">
        <v>0</v>
      </c>
      <c r="B3313" s="19">
        <v>0</v>
      </c>
      <c r="C3313" s="19">
        <v>0</v>
      </c>
      <c r="D3313" s="19">
        <v>0</v>
      </c>
      <c r="E3313" s="19">
        <v>0</v>
      </c>
      <c r="F3313" s="19">
        <v>0</v>
      </c>
      <c r="G3313" s="19">
        <v>0</v>
      </c>
      <c r="H3313" s="19">
        <v>0</v>
      </c>
      <c r="I3313" s="15">
        <v>3500</v>
      </c>
      <c r="J3313" s="15">
        <v>0</v>
      </c>
      <c r="K3313" s="15">
        <v>0</v>
      </c>
      <c r="L3313" s="15">
        <v>0</v>
      </c>
      <c r="M3313" s="15">
        <v>0</v>
      </c>
      <c r="N3313" s="15" t="str">
        <v/>
      </c>
      <c r="O3313" s="15" t="str">
        <v/>
      </c>
      <c r="P3313" s="22">
        <v>0</v>
      </c>
      <c r="Q3313">
        <v>0</v>
      </c>
    </row>
    <row r="3314" spans="1:17">
      <c r="A3314" s="19">
        <v>0</v>
      </c>
      <c r="B3314" s="19">
        <v>0</v>
      </c>
      <c r="C3314" s="19">
        <v>0</v>
      </c>
      <c r="D3314" s="19">
        <v>0</v>
      </c>
      <c r="E3314" s="19">
        <v>0</v>
      </c>
      <c r="F3314" s="19">
        <v>0</v>
      </c>
      <c r="G3314" s="19">
        <v>0</v>
      </c>
      <c r="H3314" s="19">
        <v>0</v>
      </c>
      <c r="I3314" s="15">
        <v>3500</v>
      </c>
      <c r="J3314" s="15">
        <v>0</v>
      </c>
      <c r="K3314" s="15">
        <v>0</v>
      </c>
      <c r="L3314" s="15">
        <v>0</v>
      </c>
      <c r="M3314" s="15">
        <v>0</v>
      </c>
      <c r="N3314" s="15" t="str">
        <v/>
      </c>
      <c r="O3314" s="15" t="str">
        <v/>
      </c>
      <c r="P3314" s="22">
        <v>0</v>
      </c>
      <c r="Q3314">
        <v>0</v>
      </c>
    </row>
    <row r="3315" spans="1:17">
      <c r="A3315" s="19">
        <v>0</v>
      </c>
      <c r="B3315" s="19">
        <v>0</v>
      </c>
      <c r="C3315" s="19">
        <v>0</v>
      </c>
      <c r="D3315" s="19">
        <v>0</v>
      </c>
      <c r="E3315" s="19">
        <v>0</v>
      </c>
      <c r="F3315" s="19">
        <v>0</v>
      </c>
      <c r="G3315" s="19">
        <v>0</v>
      </c>
      <c r="H3315" s="19">
        <v>0</v>
      </c>
      <c r="I3315" s="15">
        <v>3500</v>
      </c>
      <c r="J3315" s="15">
        <v>0</v>
      </c>
      <c r="K3315" s="15">
        <v>0</v>
      </c>
      <c r="L3315" s="15">
        <v>0</v>
      </c>
      <c r="M3315" s="15">
        <v>0</v>
      </c>
      <c r="N3315" s="15" t="str">
        <v/>
      </c>
      <c r="O3315" s="15" t="str">
        <v/>
      </c>
      <c r="P3315" s="22">
        <v>0</v>
      </c>
      <c r="Q3315">
        <v>0</v>
      </c>
    </row>
    <row r="3316" spans="1:17">
      <c r="A3316" s="19">
        <v>0</v>
      </c>
      <c r="B3316" s="19">
        <v>0</v>
      </c>
      <c r="C3316" s="19">
        <v>0</v>
      </c>
      <c r="D3316" s="19">
        <v>0</v>
      </c>
      <c r="E3316" s="19">
        <v>0</v>
      </c>
      <c r="F3316" s="19">
        <v>0</v>
      </c>
      <c r="G3316" s="19">
        <v>0</v>
      </c>
      <c r="H3316" s="19">
        <v>0</v>
      </c>
      <c r="I3316" s="15">
        <v>3500</v>
      </c>
      <c r="J3316" s="15">
        <v>0</v>
      </c>
      <c r="K3316" s="15">
        <v>0</v>
      </c>
      <c r="L3316" s="15">
        <v>0</v>
      </c>
      <c r="M3316" s="15">
        <v>0</v>
      </c>
      <c r="N3316" s="15" t="str">
        <v/>
      </c>
      <c r="O3316" s="15" t="str">
        <v/>
      </c>
      <c r="P3316" s="22">
        <v>0</v>
      </c>
      <c r="Q3316">
        <v>0</v>
      </c>
    </row>
    <row r="3317" spans="1:17">
      <c r="A3317" s="19">
        <v>0</v>
      </c>
      <c r="B3317" s="19">
        <v>0</v>
      </c>
      <c r="C3317" s="19">
        <v>0</v>
      </c>
      <c r="D3317" s="19">
        <v>0</v>
      </c>
      <c r="E3317" s="19">
        <v>0</v>
      </c>
      <c r="F3317" s="19">
        <v>0</v>
      </c>
      <c r="G3317" s="19">
        <v>0</v>
      </c>
      <c r="H3317" s="19">
        <v>0</v>
      </c>
      <c r="I3317" s="15">
        <v>3500</v>
      </c>
      <c r="J3317" s="15">
        <v>0</v>
      </c>
      <c r="K3317" s="15">
        <v>0</v>
      </c>
      <c r="L3317" s="15">
        <v>0</v>
      </c>
      <c r="M3317" s="15">
        <v>0</v>
      </c>
      <c r="N3317" s="15" t="str">
        <v/>
      </c>
      <c r="O3317" s="15" t="str">
        <v/>
      </c>
      <c r="P3317" s="22">
        <v>0</v>
      </c>
      <c r="Q3317">
        <v>0</v>
      </c>
    </row>
    <row r="3318" spans="1:17">
      <c r="A3318" s="19">
        <v>0</v>
      </c>
      <c r="B3318" s="19">
        <v>0</v>
      </c>
      <c r="C3318" s="19">
        <v>0</v>
      </c>
      <c r="D3318" s="19">
        <v>0</v>
      </c>
      <c r="E3318" s="19">
        <v>0</v>
      </c>
      <c r="F3318" s="19">
        <v>0</v>
      </c>
      <c r="G3318" s="19">
        <v>0</v>
      </c>
      <c r="H3318" s="19">
        <v>0</v>
      </c>
      <c r="I3318" s="15">
        <v>3500</v>
      </c>
      <c r="J3318" s="15">
        <v>0</v>
      </c>
      <c r="K3318" s="15">
        <v>0</v>
      </c>
      <c r="L3318" s="15">
        <v>0</v>
      </c>
      <c r="M3318" s="15">
        <v>0</v>
      </c>
      <c r="N3318" s="15" t="str">
        <v/>
      </c>
      <c r="O3318" s="15" t="str">
        <v/>
      </c>
      <c r="P3318" s="22">
        <v>0</v>
      </c>
      <c r="Q3318">
        <v>0</v>
      </c>
    </row>
    <row r="3319" spans="1:17">
      <c r="A3319" s="19">
        <v>0</v>
      </c>
      <c r="B3319" s="19">
        <v>0</v>
      </c>
      <c r="C3319" s="19">
        <v>0</v>
      </c>
      <c r="D3319" s="19">
        <v>0</v>
      </c>
      <c r="E3319" s="19">
        <v>0</v>
      </c>
      <c r="F3319" s="19">
        <v>0</v>
      </c>
      <c r="G3319" s="19">
        <v>0</v>
      </c>
      <c r="H3319" s="19">
        <v>0</v>
      </c>
      <c r="I3319" s="15">
        <v>3500</v>
      </c>
      <c r="J3319" s="15">
        <v>0</v>
      </c>
      <c r="K3319" s="15">
        <v>0</v>
      </c>
      <c r="L3319" s="15">
        <v>0</v>
      </c>
      <c r="M3319" s="15">
        <v>0</v>
      </c>
      <c r="N3319" s="15" t="str">
        <v/>
      </c>
      <c r="O3319" s="15" t="str">
        <v/>
      </c>
      <c r="P3319" s="22">
        <v>0</v>
      </c>
      <c r="Q3319">
        <v>0</v>
      </c>
    </row>
    <row r="3320" spans="1:17">
      <c r="A3320" s="19">
        <v>0</v>
      </c>
      <c r="B3320" s="19">
        <v>0</v>
      </c>
      <c r="C3320" s="19">
        <v>0</v>
      </c>
      <c r="D3320" s="19">
        <v>0</v>
      </c>
      <c r="E3320" s="19">
        <v>0</v>
      </c>
      <c r="F3320" s="19">
        <v>0</v>
      </c>
      <c r="G3320" s="19">
        <v>0</v>
      </c>
      <c r="H3320" s="19">
        <v>0</v>
      </c>
      <c r="I3320" s="15">
        <v>3500</v>
      </c>
      <c r="J3320" s="15">
        <v>0</v>
      </c>
      <c r="K3320" s="15">
        <v>0</v>
      </c>
      <c r="L3320" s="15">
        <v>0</v>
      </c>
      <c r="M3320" s="15">
        <v>0</v>
      </c>
      <c r="N3320" s="15" t="str">
        <v/>
      </c>
      <c r="O3320" s="15" t="str">
        <v/>
      </c>
      <c r="P3320" s="22">
        <v>0</v>
      </c>
      <c r="Q3320">
        <v>0</v>
      </c>
    </row>
    <row r="3321" spans="1:17">
      <c r="A3321" s="19">
        <v>0</v>
      </c>
      <c r="B3321" s="19">
        <v>0</v>
      </c>
      <c r="C3321" s="19">
        <v>0</v>
      </c>
      <c r="D3321" s="19">
        <v>0</v>
      </c>
      <c r="E3321" s="19">
        <v>0</v>
      </c>
      <c r="F3321" s="19">
        <v>0</v>
      </c>
      <c r="G3321" s="19">
        <v>0</v>
      </c>
      <c r="H3321" s="19">
        <v>0</v>
      </c>
      <c r="I3321" s="15">
        <v>3500</v>
      </c>
      <c r="J3321" s="15">
        <v>0</v>
      </c>
      <c r="K3321" s="15">
        <v>0</v>
      </c>
      <c r="L3321" s="15">
        <v>0</v>
      </c>
      <c r="M3321" s="15">
        <v>0</v>
      </c>
      <c r="N3321" s="15" t="str">
        <v/>
      </c>
      <c r="O3321" s="15" t="str">
        <v/>
      </c>
      <c r="P3321" s="22">
        <v>0</v>
      </c>
      <c r="Q3321">
        <v>0</v>
      </c>
    </row>
    <row r="3322" spans="1:17">
      <c r="A3322" s="19">
        <v>0</v>
      </c>
      <c r="B3322" s="19">
        <v>0</v>
      </c>
      <c r="C3322" s="19">
        <v>0</v>
      </c>
      <c r="D3322" s="19">
        <v>0</v>
      </c>
      <c r="E3322" s="19">
        <v>0</v>
      </c>
      <c r="F3322" s="19">
        <v>0</v>
      </c>
      <c r="G3322" s="19">
        <v>0</v>
      </c>
      <c r="H3322" s="19">
        <v>0</v>
      </c>
      <c r="I3322" s="15">
        <v>3500</v>
      </c>
      <c r="J3322" s="15">
        <v>0</v>
      </c>
      <c r="K3322" s="15">
        <v>0</v>
      </c>
      <c r="L3322" s="15">
        <v>0</v>
      </c>
      <c r="M3322" s="15">
        <v>0</v>
      </c>
      <c r="N3322" s="15" t="str">
        <v/>
      </c>
      <c r="O3322" s="15" t="str">
        <v/>
      </c>
      <c r="P3322" s="22">
        <v>0</v>
      </c>
      <c r="Q3322">
        <v>0</v>
      </c>
    </row>
    <row r="3323" spans="1:17">
      <c r="A3323" s="19">
        <v>0</v>
      </c>
      <c r="B3323" s="19">
        <v>0</v>
      </c>
      <c r="C3323" s="19">
        <v>0</v>
      </c>
      <c r="D3323" s="19">
        <v>0</v>
      </c>
      <c r="E3323" s="19">
        <v>0</v>
      </c>
      <c r="F3323" s="19">
        <v>0</v>
      </c>
      <c r="G3323" s="19">
        <v>0</v>
      </c>
      <c r="H3323" s="19">
        <v>0</v>
      </c>
      <c r="I3323" s="15">
        <v>3500</v>
      </c>
      <c r="J3323" s="15">
        <v>0</v>
      </c>
      <c r="K3323" s="15">
        <v>0</v>
      </c>
      <c r="L3323" s="15">
        <v>0</v>
      </c>
      <c r="M3323" s="15">
        <v>0</v>
      </c>
      <c r="N3323" s="15" t="str">
        <v/>
      </c>
      <c r="O3323" s="15" t="str">
        <v/>
      </c>
      <c r="P3323" s="22">
        <v>0</v>
      </c>
      <c r="Q3323">
        <v>0</v>
      </c>
    </row>
    <row r="3324" spans="1:17">
      <c r="A3324" s="19">
        <v>0</v>
      </c>
      <c r="B3324" s="19">
        <v>0</v>
      </c>
      <c r="C3324" s="19">
        <v>0</v>
      </c>
      <c r="D3324" s="19">
        <v>0</v>
      </c>
      <c r="E3324" s="19">
        <v>0</v>
      </c>
      <c r="F3324" s="19">
        <v>0</v>
      </c>
      <c r="G3324" s="19">
        <v>0</v>
      </c>
      <c r="H3324" s="19">
        <v>0</v>
      </c>
      <c r="I3324" s="15">
        <v>3500</v>
      </c>
      <c r="J3324" s="15">
        <v>0</v>
      </c>
      <c r="K3324" s="15">
        <v>0</v>
      </c>
      <c r="L3324" s="15">
        <v>0</v>
      </c>
      <c r="M3324" s="15">
        <v>0</v>
      </c>
      <c r="N3324" s="15" t="str">
        <v/>
      </c>
      <c r="O3324" s="15" t="str">
        <v/>
      </c>
      <c r="P3324" s="22">
        <v>0</v>
      </c>
      <c r="Q3324">
        <v>0</v>
      </c>
    </row>
    <row r="3325" spans="1:17">
      <c r="A3325" s="19">
        <v>0</v>
      </c>
      <c r="B3325" s="19">
        <v>0</v>
      </c>
      <c r="C3325" s="19">
        <v>0</v>
      </c>
      <c r="D3325" s="19">
        <v>0</v>
      </c>
      <c r="E3325" s="19">
        <v>0</v>
      </c>
      <c r="F3325" s="19">
        <v>0</v>
      </c>
      <c r="G3325" s="19">
        <v>0</v>
      </c>
      <c r="H3325" s="19">
        <v>0</v>
      </c>
      <c r="I3325" s="15">
        <v>3500</v>
      </c>
      <c r="J3325" s="15">
        <v>0</v>
      </c>
      <c r="K3325" s="15">
        <v>0</v>
      </c>
      <c r="L3325" s="15">
        <v>0</v>
      </c>
      <c r="M3325" s="15">
        <v>0</v>
      </c>
      <c r="N3325" s="15" t="str">
        <v/>
      </c>
      <c r="O3325" s="15" t="str">
        <v/>
      </c>
      <c r="P3325" s="22">
        <v>0</v>
      </c>
      <c r="Q3325">
        <v>0</v>
      </c>
    </row>
    <row r="3326" spans="1:17">
      <c r="A3326" s="19">
        <v>0</v>
      </c>
      <c r="B3326" s="19">
        <v>0</v>
      </c>
      <c r="C3326" s="19">
        <v>0</v>
      </c>
      <c r="D3326" s="19">
        <v>0</v>
      </c>
      <c r="E3326" s="19">
        <v>0</v>
      </c>
      <c r="F3326" s="19">
        <v>0</v>
      </c>
      <c r="G3326" s="19">
        <v>0</v>
      </c>
      <c r="H3326" s="19">
        <v>0</v>
      </c>
      <c r="I3326" s="15">
        <v>3500</v>
      </c>
      <c r="J3326" s="15">
        <v>0</v>
      </c>
      <c r="K3326" s="15">
        <v>0</v>
      </c>
      <c r="L3326" s="15">
        <v>0</v>
      </c>
      <c r="M3326" s="15">
        <v>0</v>
      </c>
      <c r="N3326" s="15" t="str">
        <v/>
      </c>
      <c r="O3326" s="15" t="str">
        <v/>
      </c>
      <c r="P3326" s="22">
        <v>0</v>
      </c>
      <c r="Q3326">
        <v>0</v>
      </c>
    </row>
    <row r="3327" spans="1:17">
      <c r="A3327" s="19">
        <v>0</v>
      </c>
      <c r="B3327" s="19">
        <v>0</v>
      </c>
      <c r="C3327" s="19">
        <v>0</v>
      </c>
      <c r="D3327" s="19">
        <v>0</v>
      </c>
      <c r="E3327" s="19">
        <v>0</v>
      </c>
      <c r="F3327" s="19">
        <v>0</v>
      </c>
      <c r="G3327" s="19">
        <v>0</v>
      </c>
      <c r="H3327" s="19">
        <v>0</v>
      </c>
      <c r="I3327" s="15">
        <v>3500</v>
      </c>
      <c r="J3327" s="15">
        <v>0</v>
      </c>
      <c r="K3327" s="15">
        <v>0</v>
      </c>
      <c r="L3327" s="15">
        <v>0</v>
      </c>
      <c r="M3327" s="15">
        <v>0</v>
      </c>
      <c r="N3327" s="15" t="str">
        <v/>
      </c>
      <c r="O3327" s="15" t="str">
        <v/>
      </c>
      <c r="P3327" s="22">
        <v>0</v>
      </c>
      <c r="Q3327">
        <v>0</v>
      </c>
    </row>
    <row r="3328" spans="1:17">
      <c r="A3328" s="19">
        <v>0</v>
      </c>
      <c r="B3328" s="19">
        <v>0</v>
      </c>
      <c r="C3328" s="19">
        <v>0</v>
      </c>
      <c r="D3328" s="19">
        <v>0</v>
      </c>
      <c r="E3328" s="19">
        <v>0</v>
      </c>
      <c r="F3328" s="19">
        <v>0</v>
      </c>
      <c r="G3328" s="19">
        <v>0</v>
      </c>
      <c r="H3328" s="19">
        <v>0</v>
      </c>
      <c r="I3328" s="15">
        <v>3500</v>
      </c>
      <c r="J3328" s="15">
        <v>0</v>
      </c>
      <c r="K3328" s="15">
        <v>0</v>
      </c>
      <c r="L3328" s="15">
        <v>0</v>
      </c>
      <c r="M3328" s="15">
        <v>0</v>
      </c>
      <c r="N3328" s="15" t="str">
        <v/>
      </c>
      <c r="O3328" s="15" t="str">
        <v/>
      </c>
      <c r="P3328" s="22">
        <v>0</v>
      </c>
      <c r="Q3328">
        <v>0</v>
      </c>
    </row>
    <row r="3329" spans="1:17">
      <c r="A3329" s="19">
        <v>0</v>
      </c>
      <c r="B3329" s="19">
        <v>0</v>
      </c>
      <c r="C3329" s="19">
        <v>0</v>
      </c>
      <c r="D3329" s="19">
        <v>0</v>
      </c>
      <c r="E3329" s="19">
        <v>0</v>
      </c>
      <c r="F3329" s="19">
        <v>0</v>
      </c>
      <c r="G3329" s="19">
        <v>0</v>
      </c>
      <c r="H3329" s="19">
        <v>0</v>
      </c>
      <c r="I3329" s="15">
        <v>3500</v>
      </c>
      <c r="J3329" s="15">
        <v>0</v>
      </c>
      <c r="K3329" s="15">
        <v>0</v>
      </c>
      <c r="L3329" s="15">
        <v>0</v>
      </c>
      <c r="M3329" s="15">
        <v>0</v>
      </c>
      <c r="N3329" s="15" t="str">
        <v/>
      </c>
      <c r="O3329" s="15" t="str">
        <v/>
      </c>
      <c r="P3329" s="22">
        <v>0</v>
      </c>
      <c r="Q3329">
        <v>0</v>
      </c>
    </row>
    <row r="3330" spans="1:17">
      <c r="A3330" s="19">
        <v>0</v>
      </c>
      <c r="B3330" s="19">
        <v>0</v>
      </c>
      <c r="C3330" s="19">
        <v>0</v>
      </c>
      <c r="D3330" s="19">
        <v>0</v>
      </c>
      <c r="E3330" s="19">
        <v>0</v>
      </c>
      <c r="F3330" s="19">
        <v>0</v>
      </c>
      <c r="G3330" s="19">
        <v>0</v>
      </c>
      <c r="H3330" s="19">
        <v>0</v>
      </c>
      <c r="I3330" s="15">
        <v>3500</v>
      </c>
      <c r="J3330" s="15">
        <v>0</v>
      </c>
      <c r="K3330" s="15">
        <v>0</v>
      </c>
      <c r="L3330" s="15">
        <v>0</v>
      </c>
      <c r="M3330" s="15">
        <v>0</v>
      </c>
      <c r="N3330" s="15" t="str">
        <v/>
      </c>
      <c r="O3330" s="15" t="str">
        <v/>
      </c>
      <c r="P3330" s="22">
        <v>0</v>
      </c>
      <c r="Q3330">
        <v>0</v>
      </c>
    </row>
    <row r="3331" spans="1:17">
      <c r="A3331" s="19">
        <v>0</v>
      </c>
      <c r="B3331" s="19">
        <v>0</v>
      </c>
      <c r="C3331" s="19">
        <v>0</v>
      </c>
      <c r="D3331" s="19">
        <v>0</v>
      </c>
      <c r="E3331" s="19">
        <v>0</v>
      </c>
      <c r="F3331" s="19">
        <v>0</v>
      </c>
      <c r="G3331" s="19">
        <v>0</v>
      </c>
      <c r="H3331" s="19">
        <v>0</v>
      </c>
      <c r="I3331" s="15">
        <v>3500</v>
      </c>
      <c r="J3331" s="15">
        <v>0</v>
      </c>
      <c r="K3331" s="15">
        <v>0</v>
      </c>
      <c r="L3331" s="15">
        <v>0</v>
      </c>
      <c r="M3331" s="15">
        <v>0</v>
      </c>
      <c r="N3331" s="15" t="str">
        <v/>
      </c>
      <c r="O3331" s="15" t="str">
        <v/>
      </c>
      <c r="P3331" s="22">
        <v>0</v>
      </c>
      <c r="Q3331">
        <v>0</v>
      </c>
    </row>
    <row r="3332" spans="1:17">
      <c r="A3332" s="19">
        <v>0</v>
      </c>
      <c r="B3332" s="19">
        <v>0</v>
      </c>
      <c r="C3332" s="19">
        <v>0</v>
      </c>
      <c r="D3332" s="19">
        <v>0</v>
      </c>
      <c r="E3332" s="19">
        <v>0</v>
      </c>
      <c r="F3332" s="19">
        <v>0</v>
      </c>
      <c r="G3332" s="19">
        <v>0</v>
      </c>
      <c r="H3332" s="19">
        <v>0</v>
      </c>
      <c r="I3332" s="15">
        <v>3500</v>
      </c>
      <c r="J3332" s="15">
        <v>0</v>
      </c>
      <c r="K3332" s="15">
        <v>0</v>
      </c>
      <c r="L3332" s="15">
        <v>0</v>
      </c>
      <c r="M3332" s="15">
        <v>0</v>
      </c>
      <c r="N3332" s="15" t="str">
        <v/>
      </c>
      <c r="O3332" s="15" t="str">
        <v/>
      </c>
      <c r="P3332" s="22">
        <v>0</v>
      </c>
      <c r="Q3332">
        <v>0</v>
      </c>
    </row>
    <row r="3333" spans="1:17">
      <c r="A3333" s="19">
        <v>0</v>
      </c>
      <c r="B3333" s="19">
        <v>0</v>
      </c>
      <c r="C3333" s="19">
        <v>0</v>
      </c>
      <c r="D3333" s="19">
        <v>0</v>
      </c>
      <c r="E3333" s="19">
        <v>0</v>
      </c>
      <c r="F3333" s="19">
        <v>0</v>
      </c>
      <c r="G3333" s="19">
        <v>0</v>
      </c>
      <c r="H3333" s="19">
        <v>0</v>
      </c>
      <c r="I3333" s="15">
        <v>3500</v>
      </c>
      <c r="J3333" s="15">
        <v>0</v>
      </c>
      <c r="K3333" s="15">
        <v>0</v>
      </c>
      <c r="L3333" s="15">
        <v>0</v>
      </c>
      <c r="M3333" s="15">
        <v>0</v>
      </c>
      <c r="N3333" s="15" t="str">
        <v/>
      </c>
      <c r="O3333" s="15" t="str">
        <v/>
      </c>
      <c r="P3333" s="22">
        <v>0</v>
      </c>
      <c r="Q3333">
        <v>0</v>
      </c>
    </row>
    <row r="3334" spans="1:17">
      <c r="A3334" s="19">
        <v>0</v>
      </c>
      <c r="B3334" s="19">
        <v>0</v>
      </c>
      <c r="C3334" s="19">
        <v>0</v>
      </c>
      <c r="D3334" s="19">
        <v>0</v>
      </c>
      <c r="E3334" s="19">
        <v>0</v>
      </c>
      <c r="F3334" s="19">
        <v>0</v>
      </c>
      <c r="G3334" s="19">
        <v>0</v>
      </c>
      <c r="H3334" s="19">
        <v>0</v>
      </c>
      <c r="I3334" s="15">
        <v>3500</v>
      </c>
      <c r="J3334" s="15">
        <v>0</v>
      </c>
      <c r="K3334" s="15">
        <v>0</v>
      </c>
      <c r="L3334" s="15">
        <v>0</v>
      </c>
      <c r="M3334" s="15">
        <v>0</v>
      </c>
      <c r="N3334" s="15" t="str">
        <v/>
      </c>
      <c r="O3334" s="15" t="str">
        <v/>
      </c>
      <c r="P3334" s="22">
        <v>0</v>
      </c>
      <c r="Q3334">
        <v>0</v>
      </c>
    </row>
    <row r="3335" spans="1:17">
      <c r="A3335" s="19">
        <v>0</v>
      </c>
      <c r="B3335" s="19">
        <v>0</v>
      </c>
      <c r="C3335" s="19">
        <v>0</v>
      </c>
      <c r="D3335" s="19">
        <v>0</v>
      </c>
      <c r="E3335" s="19">
        <v>0</v>
      </c>
      <c r="F3335" s="19">
        <v>0</v>
      </c>
      <c r="G3335" s="19">
        <v>0</v>
      </c>
      <c r="H3335" s="19">
        <v>0</v>
      </c>
      <c r="I3335" s="15">
        <v>3500</v>
      </c>
      <c r="J3335" s="15">
        <v>0</v>
      </c>
      <c r="K3335" s="15">
        <v>0</v>
      </c>
      <c r="L3335" s="15">
        <v>0</v>
      </c>
      <c r="M3335" s="15">
        <v>0</v>
      </c>
      <c r="N3335" s="15" t="str">
        <v/>
      </c>
      <c r="O3335" s="15" t="str">
        <v/>
      </c>
      <c r="P3335" s="22">
        <v>0</v>
      </c>
      <c r="Q3335">
        <v>0</v>
      </c>
    </row>
    <row r="3336" spans="1:17">
      <c r="A3336" s="19">
        <v>0</v>
      </c>
      <c r="B3336" s="19">
        <v>0</v>
      </c>
      <c r="C3336" s="19">
        <v>0</v>
      </c>
      <c r="D3336" s="19">
        <v>0</v>
      </c>
      <c r="E3336" s="19">
        <v>0</v>
      </c>
      <c r="F3336" s="19">
        <v>0</v>
      </c>
      <c r="G3336" s="19">
        <v>0</v>
      </c>
      <c r="H3336" s="19">
        <v>0</v>
      </c>
      <c r="I3336" s="15">
        <v>3500</v>
      </c>
      <c r="J3336" s="15">
        <v>0</v>
      </c>
      <c r="K3336" s="15">
        <v>0</v>
      </c>
      <c r="L3336" s="15">
        <v>0</v>
      </c>
      <c r="M3336" s="15">
        <v>0</v>
      </c>
      <c r="N3336" s="15" t="str">
        <v/>
      </c>
      <c r="O3336" s="15" t="str">
        <v/>
      </c>
      <c r="P3336" s="22">
        <v>0</v>
      </c>
      <c r="Q3336">
        <v>0</v>
      </c>
    </row>
    <row r="3337" spans="1:17">
      <c r="A3337" s="19">
        <v>0</v>
      </c>
      <c r="B3337" s="19">
        <v>0</v>
      </c>
      <c r="C3337" s="19">
        <v>0</v>
      </c>
      <c r="D3337" s="19">
        <v>0</v>
      </c>
      <c r="E3337" s="19">
        <v>0</v>
      </c>
      <c r="F3337" s="19">
        <v>0</v>
      </c>
      <c r="G3337" s="19">
        <v>0</v>
      </c>
      <c r="H3337" s="19">
        <v>0</v>
      </c>
      <c r="I3337" s="15">
        <v>3500</v>
      </c>
      <c r="J3337" s="15">
        <v>0</v>
      </c>
      <c r="K3337" s="15">
        <v>0</v>
      </c>
      <c r="L3337" s="15">
        <v>0</v>
      </c>
      <c r="M3337" s="15">
        <v>0</v>
      </c>
      <c r="N3337" s="15" t="str">
        <v/>
      </c>
      <c r="O3337" s="15" t="str">
        <v/>
      </c>
      <c r="P3337" s="22">
        <v>0</v>
      </c>
      <c r="Q3337">
        <v>0</v>
      </c>
    </row>
    <row r="3338" spans="1:17">
      <c r="A3338" s="19">
        <v>0</v>
      </c>
      <c r="B3338" s="19">
        <v>0</v>
      </c>
      <c r="C3338" s="19">
        <v>0</v>
      </c>
      <c r="D3338" s="19">
        <v>0</v>
      </c>
      <c r="E3338" s="19">
        <v>0</v>
      </c>
      <c r="F3338" s="19">
        <v>0</v>
      </c>
      <c r="G3338" s="19">
        <v>0</v>
      </c>
      <c r="H3338" s="19">
        <v>0</v>
      </c>
      <c r="I3338" s="15">
        <v>3500</v>
      </c>
      <c r="J3338" s="15">
        <v>0</v>
      </c>
      <c r="K3338" s="15">
        <v>0</v>
      </c>
      <c r="L3338" s="15">
        <v>0</v>
      </c>
      <c r="M3338" s="15">
        <v>0</v>
      </c>
      <c r="N3338" s="15" t="str">
        <v/>
      </c>
      <c r="O3338" s="15" t="str">
        <v/>
      </c>
      <c r="P3338" s="22">
        <v>0</v>
      </c>
      <c r="Q3338">
        <v>0</v>
      </c>
    </row>
    <row r="3339" spans="1:17">
      <c r="A3339" s="19">
        <v>0</v>
      </c>
      <c r="B3339" s="19">
        <v>0</v>
      </c>
      <c r="C3339" s="19">
        <v>0</v>
      </c>
      <c r="D3339" s="19">
        <v>0</v>
      </c>
      <c r="E3339" s="19">
        <v>0</v>
      </c>
      <c r="F3339" s="19">
        <v>0</v>
      </c>
      <c r="G3339" s="19">
        <v>0</v>
      </c>
      <c r="H3339" s="19">
        <v>0</v>
      </c>
      <c r="I3339" s="15">
        <v>3500</v>
      </c>
      <c r="J3339" s="15">
        <v>0</v>
      </c>
      <c r="K3339" s="15">
        <v>0</v>
      </c>
      <c r="L3339" s="15">
        <v>0</v>
      </c>
      <c r="M3339" s="15">
        <v>0</v>
      </c>
      <c r="N3339" s="15" t="str">
        <v/>
      </c>
      <c r="O3339" s="15" t="str">
        <v/>
      </c>
      <c r="P3339" s="22">
        <v>0</v>
      </c>
      <c r="Q3339">
        <v>0</v>
      </c>
    </row>
    <row r="3340" spans="1:17">
      <c r="A3340" s="19">
        <v>0</v>
      </c>
      <c r="B3340" s="19">
        <v>0</v>
      </c>
      <c r="C3340" s="19">
        <v>0</v>
      </c>
      <c r="D3340" s="19">
        <v>0</v>
      </c>
      <c r="E3340" s="19">
        <v>0</v>
      </c>
      <c r="F3340" s="19">
        <v>0</v>
      </c>
      <c r="G3340" s="19">
        <v>0</v>
      </c>
      <c r="H3340" s="19">
        <v>0</v>
      </c>
      <c r="I3340" s="15">
        <v>3500</v>
      </c>
      <c r="J3340" s="15">
        <v>0</v>
      </c>
      <c r="K3340" s="15">
        <v>0</v>
      </c>
      <c r="L3340" s="15">
        <v>0</v>
      </c>
      <c r="M3340" s="15">
        <v>0</v>
      </c>
      <c r="N3340" s="15" t="str">
        <v/>
      </c>
      <c r="O3340" s="15" t="str">
        <v/>
      </c>
      <c r="P3340" s="22">
        <v>0</v>
      </c>
      <c r="Q3340">
        <v>0</v>
      </c>
    </row>
    <row r="3341" spans="1:17">
      <c r="A3341" s="19">
        <v>0</v>
      </c>
      <c r="B3341" s="19">
        <v>0</v>
      </c>
      <c r="C3341" s="19">
        <v>0</v>
      </c>
      <c r="D3341" s="19">
        <v>0</v>
      </c>
      <c r="E3341" s="19">
        <v>0</v>
      </c>
      <c r="F3341" s="19">
        <v>0</v>
      </c>
      <c r="G3341" s="19">
        <v>0</v>
      </c>
      <c r="H3341" s="19">
        <v>0</v>
      </c>
      <c r="I3341" s="15">
        <v>3500</v>
      </c>
      <c r="J3341" s="15">
        <v>0</v>
      </c>
      <c r="K3341" s="15">
        <v>0</v>
      </c>
      <c r="L3341" s="15">
        <v>0</v>
      </c>
      <c r="M3341" s="15">
        <v>0</v>
      </c>
      <c r="N3341" s="15" t="str">
        <v/>
      </c>
      <c r="O3341" s="15" t="str">
        <v/>
      </c>
      <c r="P3341" s="22">
        <v>0</v>
      </c>
      <c r="Q3341">
        <v>0</v>
      </c>
    </row>
    <row r="3342" spans="1:17">
      <c r="A3342" s="19">
        <v>0</v>
      </c>
      <c r="B3342" s="19">
        <v>0</v>
      </c>
      <c r="C3342" s="19">
        <v>0</v>
      </c>
      <c r="D3342" s="19">
        <v>0</v>
      </c>
      <c r="E3342" s="19">
        <v>0</v>
      </c>
      <c r="F3342" s="19">
        <v>0</v>
      </c>
      <c r="G3342" s="19">
        <v>0</v>
      </c>
      <c r="H3342" s="19">
        <v>0</v>
      </c>
      <c r="I3342" s="15">
        <v>3500</v>
      </c>
      <c r="J3342" s="15">
        <v>0</v>
      </c>
      <c r="K3342" s="15">
        <v>0</v>
      </c>
      <c r="L3342" s="15">
        <v>0</v>
      </c>
      <c r="M3342" s="15">
        <v>0</v>
      </c>
      <c r="N3342" s="15" t="str">
        <v/>
      </c>
      <c r="O3342" s="15" t="str">
        <v/>
      </c>
      <c r="P3342" s="22">
        <v>0</v>
      </c>
      <c r="Q3342">
        <v>0</v>
      </c>
    </row>
    <row r="3343" spans="1:17">
      <c r="A3343" s="19">
        <v>0</v>
      </c>
      <c r="B3343" s="19">
        <v>0</v>
      </c>
      <c r="C3343" s="19">
        <v>0</v>
      </c>
      <c r="D3343" s="19">
        <v>0</v>
      </c>
      <c r="E3343" s="19">
        <v>0</v>
      </c>
      <c r="F3343" s="19">
        <v>0</v>
      </c>
      <c r="G3343" s="19">
        <v>0</v>
      </c>
      <c r="H3343" s="19">
        <v>0</v>
      </c>
      <c r="I3343" s="15">
        <v>3500</v>
      </c>
      <c r="J3343" s="15">
        <v>0</v>
      </c>
      <c r="K3343" s="15">
        <v>0</v>
      </c>
      <c r="L3343" s="15">
        <v>0</v>
      </c>
      <c r="M3343" s="15">
        <v>0</v>
      </c>
      <c r="N3343" s="15" t="str">
        <v/>
      </c>
      <c r="O3343" s="15" t="str">
        <v/>
      </c>
      <c r="P3343" s="22">
        <v>0</v>
      </c>
      <c r="Q3343">
        <v>0</v>
      </c>
    </row>
    <row r="3344" spans="1:17">
      <c r="A3344" s="19">
        <v>0</v>
      </c>
      <c r="B3344" s="19">
        <v>0</v>
      </c>
      <c r="C3344" s="19">
        <v>0</v>
      </c>
      <c r="D3344" s="19">
        <v>0</v>
      </c>
      <c r="E3344" s="19">
        <v>0</v>
      </c>
      <c r="F3344" s="19">
        <v>0</v>
      </c>
      <c r="G3344" s="19">
        <v>0</v>
      </c>
      <c r="H3344" s="19">
        <v>0</v>
      </c>
      <c r="I3344" s="15">
        <v>3500</v>
      </c>
      <c r="J3344" s="15">
        <v>0</v>
      </c>
      <c r="K3344" s="15">
        <v>0</v>
      </c>
      <c r="L3344" s="15">
        <v>0</v>
      </c>
      <c r="M3344" s="15">
        <v>0</v>
      </c>
      <c r="N3344" s="15" t="str">
        <v/>
      </c>
      <c r="O3344" s="15" t="str">
        <v/>
      </c>
      <c r="P3344" s="22">
        <v>0</v>
      </c>
      <c r="Q3344">
        <v>0</v>
      </c>
    </row>
    <row r="3345" spans="1:17">
      <c r="A3345" s="19">
        <v>0</v>
      </c>
      <c r="B3345" s="19">
        <v>0</v>
      </c>
      <c r="C3345" s="19">
        <v>0</v>
      </c>
      <c r="D3345" s="19">
        <v>0</v>
      </c>
      <c r="E3345" s="19">
        <v>0</v>
      </c>
      <c r="F3345" s="19">
        <v>0</v>
      </c>
      <c r="G3345" s="19">
        <v>0</v>
      </c>
      <c r="H3345" s="19">
        <v>0</v>
      </c>
      <c r="I3345" s="15">
        <v>3500</v>
      </c>
      <c r="J3345" s="15">
        <v>0</v>
      </c>
      <c r="K3345" s="15">
        <v>0</v>
      </c>
      <c r="L3345" s="15">
        <v>0</v>
      </c>
      <c r="M3345" s="15">
        <v>0</v>
      </c>
      <c r="N3345" s="15" t="str">
        <v/>
      </c>
      <c r="O3345" s="15" t="str">
        <v/>
      </c>
      <c r="P3345" s="22">
        <v>0</v>
      </c>
      <c r="Q3345">
        <v>0</v>
      </c>
    </row>
    <row r="3346" spans="1:17">
      <c r="A3346" s="19">
        <v>0</v>
      </c>
      <c r="B3346" s="19">
        <v>0</v>
      </c>
      <c r="C3346" s="19">
        <v>0</v>
      </c>
      <c r="D3346" s="19">
        <v>0</v>
      </c>
      <c r="E3346" s="19">
        <v>0</v>
      </c>
      <c r="F3346" s="19">
        <v>0</v>
      </c>
      <c r="G3346" s="19">
        <v>0</v>
      </c>
      <c r="H3346" s="19">
        <v>0</v>
      </c>
      <c r="I3346" s="15">
        <v>3500</v>
      </c>
      <c r="J3346" s="15">
        <v>0</v>
      </c>
      <c r="K3346" s="15">
        <v>0</v>
      </c>
      <c r="L3346" s="15">
        <v>0</v>
      </c>
      <c r="M3346" s="15">
        <v>0</v>
      </c>
      <c r="N3346" s="15" t="str">
        <v/>
      </c>
      <c r="O3346" s="15" t="str">
        <v/>
      </c>
      <c r="P3346" s="22">
        <v>0</v>
      </c>
      <c r="Q3346">
        <v>0</v>
      </c>
    </row>
    <row r="3347" spans="1:17">
      <c r="A3347" s="19">
        <v>0</v>
      </c>
      <c r="B3347" s="19">
        <v>0</v>
      </c>
      <c r="C3347" s="19">
        <v>0</v>
      </c>
      <c r="D3347" s="19">
        <v>0</v>
      </c>
      <c r="E3347" s="19">
        <v>0</v>
      </c>
      <c r="F3347" s="19">
        <v>0</v>
      </c>
      <c r="G3347" s="19">
        <v>0</v>
      </c>
      <c r="H3347" s="19">
        <v>0</v>
      </c>
      <c r="I3347" s="15">
        <v>3500</v>
      </c>
      <c r="J3347" s="15">
        <v>0</v>
      </c>
      <c r="K3347" s="15">
        <v>0</v>
      </c>
      <c r="L3347" s="15">
        <v>0</v>
      </c>
      <c r="M3347" s="15">
        <v>0</v>
      </c>
      <c r="N3347" s="15" t="str">
        <v/>
      </c>
      <c r="O3347" s="15" t="str">
        <v/>
      </c>
      <c r="P3347" s="22">
        <v>0</v>
      </c>
      <c r="Q3347">
        <v>0</v>
      </c>
    </row>
    <row r="3348" spans="1:17">
      <c r="A3348" s="19">
        <v>0</v>
      </c>
      <c r="B3348" s="19">
        <v>0</v>
      </c>
      <c r="C3348" s="19">
        <v>0</v>
      </c>
      <c r="D3348" s="19">
        <v>0</v>
      </c>
      <c r="E3348" s="19">
        <v>0</v>
      </c>
      <c r="F3348" s="19">
        <v>0</v>
      </c>
      <c r="G3348" s="19">
        <v>0</v>
      </c>
      <c r="H3348" s="19">
        <v>0</v>
      </c>
      <c r="I3348" s="15">
        <v>3500</v>
      </c>
      <c r="J3348" s="15">
        <v>0</v>
      </c>
      <c r="K3348" s="15">
        <v>0</v>
      </c>
      <c r="L3348" s="15">
        <v>0</v>
      </c>
      <c r="M3348" s="15">
        <v>0</v>
      </c>
      <c r="N3348" s="15" t="str">
        <v/>
      </c>
      <c r="O3348" s="15" t="str">
        <v/>
      </c>
      <c r="P3348" s="22">
        <v>0</v>
      </c>
      <c r="Q3348">
        <v>0</v>
      </c>
    </row>
    <row r="3349" spans="1:17">
      <c r="A3349" s="19">
        <v>0</v>
      </c>
      <c r="B3349" s="19">
        <v>0</v>
      </c>
      <c r="C3349" s="19">
        <v>0</v>
      </c>
      <c r="D3349" s="19">
        <v>0</v>
      </c>
      <c r="E3349" s="19">
        <v>0</v>
      </c>
      <c r="F3349" s="19">
        <v>0</v>
      </c>
      <c r="G3349" s="19">
        <v>0</v>
      </c>
      <c r="H3349" s="19">
        <v>0</v>
      </c>
      <c r="I3349" s="15">
        <v>3500</v>
      </c>
      <c r="J3349" s="15">
        <v>0</v>
      </c>
      <c r="K3349" s="15">
        <v>0</v>
      </c>
      <c r="L3349" s="15">
        <v>0</v>
      </c>
      <c r="M3349" s="15">
        <v>0</v>
      </c>
      <c r="N3349" s="15" t="str">
        <v/>
      </c>
      <c r="O3349" s="15" t="str">
        <v/>
      </c>
      <c r="P3349" s="22">
        <v>0</v>
      </c>
      <c r="Q3349">
        <v>0</v>
      </c>
    </row>
    <row r="3350" spans="1:17">
      <c r="A3350" s="19">
        <v>0</v>
      </c>
      <c r="B3350" s="19">
        <v>0</v>
      </c>
      <c r="C3350" s="19">
        <v>0</v>
      </c>
      <c r="D3350" s="19">
        <v>0</v>
      </c>
      <c r="E3350" s="19">
        <v>0</v>
      </c>
      <c r="F3350" s="19">
        <v>0</v>
      </c>
      <c r="G3350" s="19">
        <v>0</v>
      </c>
      <c r="H3350" s="19">
        <v>0</v>
      </c>
      <c r="I3350" s="15">
        <v>3500</v>
      </c>
      <c r="J3350" s="15">
        <v>0</v>
      </c>
      <c r="K3350" s="15">
        <v>0</v>
      </c>
      <c r="L3350" s="15">
        <v>0</v>
      </c>
      <c r="M3350" s="15">
        <v>0</v>
      </c>
      <c r="N3350" s="15" t="str">
        <v/>
      </c>
      <c r="O3350" s="15" t="str">
        <v/>
      </c>
      <c r="P3350" s="22">
        <v>0</v>
      </c>
      <c r="Q3350">
        <v>0</v>
      </c>
    </row>
    <row r="3351" spans="1:17">
      <c r="A3351" s="19">
        <v>0</v>
      </c>
      <c r="B3351" s="19">
        <v>0</v>
      </c>
      <c r="C3351" s="19">
        <v>0</v>
      </c>
      <c r="D3351" s="19">
        <v>0</v>
      </c>
      <c r="E3351" s="19">
        <v>0</v>
      </c>
      <c r="F3351" s="19">
        <v>0</v>
      </c>
      <c r="G3351" s="19">
        <v>0</v>
      </c>
      <c r="H3351" s="19">
        <v>0</v>
      </c>
      <c r="I3351" s="15">
        <v>3500</v>
      </c>
      <c r="J3351" s="15">
        <v>0</v>
      </c>
      <c r="K3351" s="15">
        <v>0</v>
      </c>
      <c r="L3351" s="15">
        <v>0</v>
      </c>
      <c r="M3351" s="15">
        <v>0</v>
      </c>
      <c r="N3351" s="15" t="str">
        <v/>
      </c>
      <c r="O3351" s="15" t="str">
        <v/>
      </c>
      <c r="P3351" s="22">
        <v>0</v>
      </c>
      <c r="Q3351">
        <v>0</v>
      </c>
    </row>
    <row r="3352" spans="1:17">
      <c r="A3352" s="19">
        <v>0</v>
      </c>
      <c r="B3352" s="19">
        <v>0</v>
      </c>
      <c r="C3352" s="19">
        <v>0</v>
      </c>
      <c r="D3352" s="19">
        <v>0</v>
      </c>
      <c r="E3352" s="19">
        <v>0</v>
      </c>
      <c r="F3352" s="19">
        <v>0</v>
      </c>
      <c r="G3352" s="19">
        <v>0</v>
      </c>
      <c r="H3352" s="19">
        <v>0</v>
      </c>
      <c r="I3352" s="15">
        <v>3500</v>
      </c>
      <c r="J3352" s="15">
        <v>0</v>
      </c>
      <c r="K3352" s="15">
        <v>0</v>
      </c>
      <c r="L3352" s="15">
        <v>0</v>
      </c>
      <c r="M3352" s="15">
        <v>0</v>
      </c>
      <c r="N3352" s="15" t="str">
        <v/>
      </c>
      <c r="O3352" s="15" t="str">
        <v/>
      </c>
      <c r="P3352" s="22">
        <v>0</v>
      </c>
      <c r="Q3352">
        <v>0</v>
      </c>
    </row>
    <row r="3353" spans="1:17">
      <c r="A3353" s="19">
        <v>0</v>
      </c>
      <c r="B3353" s="19">
        <v>0</v>
      </c>
      <c r="C3353" s="19">
        <v>0</v>
      </c>
      <c r="D3353" s="19">
        <v>0</v>
      </c>
      <c r="E3353" s="19">
        <v>0</v>
      </c>
      <c r="F3353" s="19">
        <v>0</v>
      </c>
      <c r="G3353" s="19">
        <v>0</v>
      </c>
      <c r="H3353" s="19">
        <v>0</v>
      </c>
      <c r="I3353" s="15">
        <v>3500</v>
      </c>
      <c r="J3353" s="15">
        <v>0</v>
      </c>
      <c r="K3353" s="15">
        <v>0</v>
      </c>
      <c r="L3353" s="15">
        <v>0</v>
      </c>
      <c r="M3353" s="15">
        <v>0</v>
      </c>
      <c r="N3353" s="15" t="str">
        <v/>
      </c>
      <c r="O3353" s="15" t="str">
        <v/>
      </c>
      <c r="P3353" s="22">
        <v>0</v>
      </c>
      <c r="Q3353">
        <v>0</v>
      </c>
    </row>
    <row r="3354" spans="1:17">
      <c r="A3354" s="19">
        <v>0</v>
      </c>
      <c r="B3354" s="19">
        <v>0</v>
      </c>
      <c r="C3354" s="19">
        <v>0</v>
      </c>
      <c r="D3354" s="19">
        <v>0</v>
      </c>
      <c r="E3354" s="19">
        <v>0</v>
      </c>
      <c r="F3354" s="19">
        <v>0</v>
      </c>
      <c r="G3354" s="19">
        <v>0</v>
      </c>
      <c r="H3354" s="19">
        <v>0</v>
      </c>
      <c r="I3354" s="15">
        <v>3500</v>
      </c>
      <c r="J3354" s="15">
        <v>0</v>
      </c>
      <c r="K3354" s="15">
        <v>0</v>
      </c>
      <c r="L3354" s="15">
        <v>0</v>
      </c>
      <c r="M3354" s="15">
        <v>0</v>
      </c>
      <c r="N3354" s="15" t="str">
        <v/>
      </c>
      <c r="O3354" s="15" t="str">
        <v/>
      </c>
      <c r="P3354" s="22">
        <v>0</v>
      </c>
      <c r="Q3354">
        <v>0</v>
      </c>
    </row>
    <row r="3355" spans="1:17">
      <c r="A3355" s="19">
        <v>0</v>
      </c>
      <c r="B3355" s="19">
        <v>0</v>
      </c>
      <c r="C3355" s="19">
        <v>0</v>
      </c>
      <c r="D3355" s="19">
        <v>0</v>
      </c>
      <c r="E3355" s="19">
        <v>0</v>
      </c>
      <c r="F3355" s="19">
        <v>0</v>
      </c>
      <c r="G3355" s="19">
        <v>0</v>
      </c>
      <c r="H3355" s="19">
        <v>0</v>
      </c>
      <c r="I3355" s="15">
        <v>3500</v>
      </c>
      <c r="J3355" s="15">
        <v>0</v>
      </c>
      <c r="K3355" s="15">
        <v>0</v>
      </c>
      <c r="L3355" s="15">
        <v>0</v>
      </c>
      <c r="M3355" s="15">
        <v>0</v>
      </c>
      <c r="N3355" s="15" t="str">
        <v/>
      </c>
      <c r="O3355" s="15" t="str">
        <v/>
      </c>
      <c r="P3355" s="22">
        <v>0</v>
      </c>
      <c r="Q3355">
        <v>0</v>
      </c>
    </row>
    <row r="3356" spans="1:17">
      <c r="A3356" s="19">
        <v>0</v>
      </c>
      <c r="B3356" s="19">
        <v>0</v>
      </c>
      <c r="C3356" s="19">
        <v>0</v>
      </c>
      <c r="D3356" s="19">
        <v>0</v>
      </c>
      <c r="E3356" s="19">
        <v>0</v>
      </c>
      <c r="F3356" s="19">
        <v>0</v>
      </c>
      <c r="G3356" s="19">
        <v>0</v>
      </c>
      <c r="H3356" s="19">
        <v>0</v>
      </c>
      <c r="I3356" s="15">
        <v>3500</v>
      </c>
      <c r="J3356" s="15">
        <v>0</v>
      </c>
      <c r="K3356" s="15">
        <v>0</v>
      </c>
      <c r="L3356" s="15">
        <v>0</v>
      </c>
      <c r="M3356" s="15">
        <v>0</v>
      </c>
      <c r="N3356" s="15" t="str">
        <v/>
      </c>
      <c r="O3356" s="15" t="str">
        <v/>
      </c>
      <c r="P3356" s="22">
        <v>0</v>
      </c>
      <c r="Q3356">
        <v>0</v>
      </c>
    </row>
    <row r="3357" spans="1:17">
      <c r="A3357" s="19">
        <v>0</v>
      </c>
      <c r="B3357" s="19">
        <v>0</v>
      </c>
      <c r="C3357" s="19">
        <v>0</v>
      </c>
      <c r="D3357" s="19">
        <v>0</v>
      </c>
      <c r="E3357" s="19">
        <v>0</v>
      </c>
      <c r="F3357" s="19">
        <v>0</v>
      </c>
      <c r="G3357" s="19">
        <v>0</v>
      </c>
      <c r="H3357" s="19">
        <v>0</v>
      </c>
      <c r="I3357" s="15">
        <v>3500</v>
      </c>
      <c r="J3357" s="15">
        <v>0</v>
      </c>
      <c r="K3357" s="15">
        <v>0</v>
      </c>
      <c r="L3357" s="15">
        <v>0</v>
      </c>
      <c r="M3357" s="15">
        <v>0</v>
      </c>
      <c r="N3357" s="15" t="str">
        <v/>
      </c>
      <c r="O3357" s="15" t="str">
        <v/>
      </c>
      <c r="P3357" s="22">
        <v>0</v>
      </c>
      <c r="Q3357">
        <v>0</v>
      </c>
    </row>
    <row r="3358" spans="1:17">
      <c r="A3358" s="19">
        <v>0</v>
      </c>
      <c r="B3358" s="19">
        <v>0</v>
      </c>
      <c r="C3358" s="19">
        <v>0</v>
      </c>
      <c r="D3358" s="19">
        <v>0</v>
      </c>
      <c r="E3358" s="19">
        <v>0</v>
      </c>
      <c r="F3358" s="19">
        <v>0</v>
      </c>
      <c r="G3358" s="19">
        <v>0</v>
      </c>
      <c r="H3358" s="19">
        <v>0</v>
      </c>
      <c r="I3358" s="15">
        <v>3500</v>
      </c>
      <c r="J3358" s="15">
        <v>0</v>
      </c>
      <c r="K3358" s="15">
        <v>0</v>
      </c>
      <c r="L3358" s="15">
        <v>0</v>
      </c>
      <c r="M3358" s="15">
        <v>0</v>
      </c>
      <c r="N3358" s="15" t="str">
        <v/>
      </c>
      <c r="O3358" s="15" t="str">
        <v/>
      </c>
      <c r="P3358" s="22">
        <v>0</v>
      </c>
      <c r="Q3358">
        <v>0</v>
      </c>
    </row>
    <row r="3359" spans="1:17">
      <c r="A3359" s="19">
        <v>0</v>
      </c>
      <c r="B3359" s="19">
        <v>0</v>
      </c>
      <c r="C3359" s="19">
        <v>0</v>
      </c>
      <c r="D3359" s="19">
        <v>0</v>
      </c>
      <c r="E3359" s="19">
        <v>0</v>
      </c>
      <c r="F3359" s="19">
        <v>0</v>
      </c>
      <c r="G3359" s="19">
        <v>0</v>
      </c>
      <c r="H3359" s="19">
        <v>0</v>
      </c>
      <c r="I3359" s="15">
        <v>3500</v>
      </c>
      <c r="J3359" s="15">
        <v>0</v>
      </c>
      <c r="K3359" s="15">
        <v>0</v>
      </c>
      <c r="L3359" s="15">
        <v>0</v>
      </c>
      <c r="M3359" s="15">
        <v>0</v>
      </c>
      <c r="N3359" s="15" t="str">
        <v/>
      </c>
      <c r="O3359" s="15" t="str">
        <v/>
      </c>
      <c r="P3359" s="22">
        <v>0</v>
      </c>
      <c r="Q3359">
        <v>0</v>
      </c>
    </row>
    <row r="3360" spans="1:17">
      <c r="A3360" s="19">
        <v>0</v>
      </c>
      <c r="B3360" s="19">
        <v>0</v>
      </c>
      <c r="C3360" s="19">
        <v>0</v>
      </c>
      <c r="D3360" s="19">
        <v>0</v>
      </c>
      <c r="E3360" s="19">
        <v>0</v>
      </c>
      <c r="F3360" s="19">
        <v>0</v>
      </c>
      <c r="G3360" s="19">
        <v>0</v>
      </c>
      <c r="H3360" s="19">
        <v>0</v>
      </c>
      <c r="I3360" s="15">
        <v>3500</v>
      </c>
      <c r="J3360" s="15">
        <v>0</v>
      </c>
      <c r="K3360" s="15">
        <v>0</v>
      </c>
      <c r="L3360" s="15">
        <v>0</v>
      </c>
      <c r="M3360" s="15">
        <v>0</v>
      </c>
      <c r="N3360" s="15" t="str">
        <v/>
      </c>
      <c r="O3360" s="15" t="str">
        <v/>
      </c>
      <c r="P3360" s="22">
        <v>0</v>
      </c>
      <c r="Q3360">
        <v>0</v>
      </c>
    </row>
    <row r="3361" spans="1:17">
      <c r="A3361" s="19">
        <v>0</v>
      </c>
      <c r="B3361" s="19">
        <v>0</v>
      </c>
      <c r="C3361" s="19">
        <v>0</v>
      </c>
      <c r="D3361" s="19">
        <v>0</v>
      </c>
      <c r="E3361" s="19">
        <v>0</v>
      </c>
      <c r="F3361" s="19">
        <v>0</v>
      </c>
      <c r="G3361" s="19">
        <v>0</v>
      </c>
      <c r="H3361" s="19">
        <v>0</v>
      </c>
      <c r="I3361" s="15">
        <v>3500</v>
      </c>
      <c r="J3361" s="15">
        <v>0</v>
      </c>
      <c r="K3361" s="15">
        <v>0</v>
      </c>
      <c r="L3361" s="15">
        <v>0</v>
      </c>
      <c r="M3361" s="15">
        <v>0</v>
      </c>
      <c r="N3361" s="15" t="str">
        <v/>
      </c>
      <c r="O3361" s="15" t="str">
        <v/>
      </c>
      <c r="P3361" s="22">
        <v>0</v>
      </c>
      <c r="Q3361">
        <v>0</v>
      </c>
    </row>
    <row r="3362" spans="1:17">
      <c r="A3362" s="19">
        <v>0</v>
      </c>
      <c r="B3362" s="19">
        <v>0</v>
      </c>
      <c r="C3362" s="19">
        <v>0</v>
      </c>
      <c r="D3362" s="19">
        <v>0</v>
      </c>
      <c r="E3362" s="19">
        <v>0</v>
      </c>
      <c r="F3362" s="19">
        <v>0</v>
      </c>
      <c r="G3362" s="19">
        <v>0</v>
      </c>
      <c r="H3362" s="19">
        <v>0</v>
      </c>
      <c r="I3362" s="15">
        <v>3500</v>
      </c>
      <c r="J3362" s="15">
        <v>0</v>
      </c>
      <c r="K3362" s="15">
        <v>0</v>
      </c>
      <c r="L3362" s="15">
        <v>0</v>
      </c>
      <c r="M3362" s="15">
        <v>0</v>
      </c>
      <c r="N3362" s="15" t="str">
        <v/>
      </c>
      <c r="O3362" s="15" t="str">
        <v/>
      </c>
      <c r="P3362" s="22">
        <v>0</v>
      </c>
      <c r="Q3362">
        <v>0</v>
      </c>
    </row>
    <row r="3363" spans="1:17">
      <c r="A3363" s="19">
        <v>0</v>
      </c>
      <c r="B3363" s="19">
        <v>0</v>
      </c>
      <c r="C3363" s="19">
        <v>0</v>
      </c>
      <c r="D3363" s="19">
        <v>0</v>
      </c>
      <c r="E3363" s="19">
        <v>0</v>
      </c>
      <c r="F3363" s="19">
        <v>0</v>
      </c>
      <c r="G3363" s="19">
        <v>0</v>
      </c>
      <c r="H3363" s="19">
        <v>0</v>
      </c>
      <c r="I3363" s="15">
        <v>3500</v>
      </c>
      <c r="J3363" s="15">
        <v>0</v>
      </c>
      <c r="K3363" s="15">
        <v>0</v>
      </c>
      <c r="L3363" s="15">
        <v>0</v>
      </c>
      <c r="M3363" s="15">
        <v>0</v>
      </c>
      <c r="N3363" s="15" t="str">
        <v/>
      </c>
      <c r="O3363" s="15" t="str">
        <v/>
      </c>
      <c r="P3363" s="22">
        <v>0</v>
      </c>
      <c r="Q3363">
        <v>0</v>
      </c>
    </row>
    <row r="3364" spans="1:17">
      <c r="A3364" s="19">
        <v>0</v>
      </c>
      <c r="B3364" s="19">
        <v>0</v>
      </c>
      <c r="C3364" s="19">
        <v>0</v>
      </c>
      <c r="D3364" s="19">
        <v>0</v>
      </c>
      <c r="E3364" s="19">
        <v>0</v>
      </c>
      <c r="F3364" s="19">
        <v>0</v>
      </c>
      <c r="G3364" s="19">
        <v>0</v>
      </c>
      <c r="H3364" s="19">
        <v>0</v>
      </c>
      <c r="I3364" s="15">
        <v>3500</v>
      </c>
      <c r="J3364" s="15">
        <v>0</v>
      </c>
      <c r="K3364" s="15">
        <v>0</v>
      </c>
      <c r="L3364" s="15">
        <v>0</v>
      </c>
      <c r="M3364" s="15">
        <v>0</v>
      </c>
      <c r="N3364" s="15" t="str">
        <v/>
      </c>
      <c r="O3364" s="15" t="str">
        <v/>
      </c>
      <c r="P3364" s="22">
        <v>0</v>
      </c>
      <c r="Q3364">
        <v>0</v>
      </c>
    </row>
    <row r="3365" spans="1:17">
      <c r="A3365" s="19">
        <v>0</v>
      </c>
      <c r="B3365" s="19">
        <v>0</v>
      </c>
      <c r="C3365" s="19">
        <v>0</v>
      </c>
      <c r="D3365" s="19">
        <v>0</v>
      </c>
      <c r="E3365" s="19">
        <v>0</v>
      </c>
      <c r="F3365" s="19">
        <v>0</v>
      </c>
      <c r="G3365" s="19">
        <v>0</v>
      </c>
      <c r="H3365" s="19">
        <v>0</v>
      </c>
      <c r="I3365" s="15">
        <v>3500</v>
      </c>
      <c r="J3365" s="15">
        <v>0</v>
      </c>
      <c r="K3365" s="15">
        <v>0</v>
      </c>
      <c r="L3365" s="15">
        <v>0</v>
      </c>
      <c r="M3365" s="15">
        <v>0</v>
      </c>
      <c r="N3365" s="15" t="str">
        <v/>
      </c>
      <c r="O3365" s="15" t="str">
        <v/>
      </c>
      <c r="P3365" s="22">
        <v>0</v>
      </c>
      <c r="Q3365">
        <v>0</v>
      </c>
    </row>
    <row r="3366" spans="1:17">
      <c r="A3366" s="19">
        <v>0</v>
      </c>
      <c r="B3366" s="19">
        <v>0</v>
      </c>
      <c r="C3366" s="19">
        <v>0</v>
      </c>
      <c r="D3366" s="19">
        <v>0</v>
      </c>
      <c r="E3366" s="19">
        <v>0</v>
      </c>
      <c r="F3366" s="19">
        <v>0</v>
      </c>
      <c r="G3366" s="19">
        <v>0</v>
      </c>
      <c r="H3366" s="19">
        <v>0</v>
      </c>
      <c r="I3366" s="15">
        <v>3500</v>
      </c>
      <c r="J3366" s="15">
        <v>0</v>
      </c>
      <c r="K3366" s="15">
        <v>0</v>
      </c>
      <c r="L3366" s="15">
        <v>0</v>
      </c>
      <c r="M3366" s="15">
        <v>0</v>
      </c>
      <c r="N3366" s="15" t="str">
        <v/>
      </c>
      <c r="O3366" s="15" t="str">
        <v/>
      </c>
      <c r="P3366" s="22">
        <v>0</v>
      </c>
      <c r="Q3366">
        <v>0</v>
      </c>
    </row>
    <row r="3367" spans="1:17">
      <c r="A3367" s="19">
        <v>0</v>
      </c>
      <c r="B3367" s="19">
        <v>0</v>
      </c>
      <c r="C3367" s="19">
        <v>0</v>
      </c>
      <c r="D3367" s="19">
        <v>0</v>
      </c>
      <c r="E3367" s="19">
        <v>0</v>
      </c>
      <c r="F3367" s="19">
        <v>0</v>
      </c>
      <c r="G3367" s="19">
        <v>0</v>
      </c>
      <c r="H3367" s="19">
        <v>0</v>
      </c>
      <c r="I3367" s="15">
        <v>3500</v>
      </c>
      <c r="J3367" s="15">
        <v>0</v>
      </c>
      <c r="K3367" s="15">
        <v>0</v>
      </c>
      <c r="L3367" s="15">
        <v>0</v>
      </c>
      <c r="M3367" s="15">
        <v>0</v>
      </c>
      <c r="N3367" s="15" t="str">
        <v/>
      </c>
      <c r="O3367" s="15" t="str">
        <v/>
      </c>
      <c r="P3367" s="22">
        <v>0</v>
      </c>
      <c r="Q3367">
        <v>0</v>
      </c>
    </row>
    <row r="3368" spans="1:17">
      <c r="A3368" s="19">
        <v>0</v>
      </c>
      <c r="B3368" s="19">
        <v>0</v>
      </c>
      <c r="C3368" s="19">
        <v>0</v>
      </c>
      <c r="D3368" s="19">
        <v>0</v>
      </c>
      <c r="E3368" s="19">
        <v>0</v>
      </c>
      <c r="F3368" s="19">
        <v>0</v>
      </c>
      <c r="G3368" s="19">
        <v>0</v>
      </c>
      <c r="H3368" s="19">
        <v>0</v>
      </c>
      <c r="I3368" s="15">
        <v>3500</v>
      </c>
      <c r="J3368" s="15">
        <v>0</v>
      </c>
      <c r="K3368" s="15">
        <v>0</v>
      </c>
      <c r="L3368" s="15">
        <v>0</v>
      </c>
      <c r="M3368" s="15">
        <v>0</v>
      </c>
      <c r="N3368" s="15" t="str">
        <v/>
      </c>
      <c r="O3368" s="15" t="str">
        <v/>
      </c>
      <c r="P3368" s="22">
        <v>0</v>
      </c>
      <c r="Q3368">
        <v>0</v>
      </c>
    </row>
    <row r="3369" spans="1:17">
      <c r="A3369" s="19">
        <v>0</v>
      </c>
      <c r="B3369" s="19">
        <v>0</v>
      </c>
      <c r="C3369" s="19">
        <v>0</v>
      </c>
      <c r="D3369" s="19">
        <v>0</v>
      </c>
      <c r="E3369" s="19">
        <v>0</v>
      </c>
      <c r="F3369" s="19">
        <v>0</v>
      </c>
      <c r="G3369" s="19">
        <v>0</v>
      </c>
      <c r="H3369" s="19">
        <v>0</v>
      </c>
      <c r="I3369" s="15">
        <v>3500</v>
      </c>
      <c r="J3369" s="15">
        <v>0</v>
      </c>
      <c r="K3369" s="15">
        <v>0</v>
      </c>
      <c r="L3369" s="15">
        <v>0</v>
      </c>
      <c r="M3369" s="15">
        <v>0</v>
      </c>
      <c r="N3369" s="15" t="str">
        <v/>
      </c>
      <c r="O3369" s="15" t="str">
        <v/>
      </c>
      <c r="P3369" s="22">
        <v>0</v>
      </c>
      <c r="Q3369">
        <v>0</v>
      </c>
    </row>
    <row r="3370" spans="1:17">
      <c r="A3370" s="19">
        <v>0</v>
      </c>
      <c r="B3370" s="19">
        <v>0</v>
      </c>
      <c r="C3370" s="19">
        <v>0</v>
      </c>
      <c r="D3370" s="19">
        <v>0</v>
      </c>
      <c r="E3370" s="19">
        <v>0</v>
      </c>
      <c r="F3370" s="19">
        <v>0</v>
      </c>
      <c r="G3370" s="19">
        <v>0</v>
      </c>
      <c r="H3370" s="19">
        <v>0</v>
      </c>
      <c r="I3370" s="15">
        <v>3500</v>
      </c>
      <c r="J3370" s="15">
        <v>0</v>
      </c>
      <c r="K3370" s="15">
        <v>0</v>
      </c>
      <c r="L3370" s="15">
        <v>0</v>
      </c>
      <c r="M3370" s="15">
        <v>0</v>
      </c>
      <c r="N3370" s="15" t="str">
        <v/>
      </c>
      <c r="O3370" s="15" t="str">
        <v/>
      </c>
      <c r="P3370" s="22">
        <v>0</v>
      </c>
      <c r="Q3370">
        <v>0</v>
      </c>
    </row>
    <row r="3371" spans="1:17">
      <c r="A3371" s="19">
        <v>0</v>
      </c>
      <c r="B3371" s="19">
        <v>0</v>
      </c>
      <c r="C3371" s="19">
        <v>0</v>
      </c>
      <c r="D3371" s="19">
        <v>0</v>
      </c>
      <c r="E3371" s="19">
        <v>0</v>
      </c>
      <c r="F3371" s="19">
        <v>0</v>
      </c>
      <c r="G3371" s="19">
        <v>0</v>
      </c>
      <c r="H3371" s="19">
        <v>0</v>
      </c>
      <c r="I3371" s="15">
        <v>3500</v>
      </c>
      <c r="J3371" s="15">
        <v>0</v>
      </c>
      <c r="K3371" s="15">
        <v>0</v>
      </c>
      <c r="L3371" s="15">
        <v>0</v>
      </c>
      <c r="M3371" s="15">
        <v>0</v>
      </c>
      <c r="N3371" s="15" t="str">
        <v/>
      </c>
      <c r="O3371" s="15" t="str">
        <v/>
      </c>
      <c r="P3371" s="22">
        <v>0</v>
      </c>
      <c r="Q3371">
        <v>0</v>
      </c>
    </row>
    <row r="3372" spans="1:17">
      <c r="A3372" s="19">
        <v>0</v>
      </c>
      <c r="B3372" s="19">
        <v>0</v>
      </c>
      <c r="C3372" s="19">
        <v>0</v>
      </c>
      <c r="D3372" s="19">
        <v>0</v>
      </c>
      <c r="E3372" s="19">
        <v>0</v>
      </c>
      <c r="F3372" s="19">
        <v>0</v>
      </c>
      <c r="G3372" s="19">
        <v>0</v>
      </c>
      <c r="H3372" s="19">
        <v>0</v>
      </c>
      <c r="I3372" s="15">
        <v>3500</v>
      </c>
      <c r="J3372" s="15">
        <v>0</v>
      </c>
      <c r="K3372" s="15">
        <v>0</v>
      </c>
      <c r="L3372" s="15">
        <v>0</v>
      </c>
      <c r="M3372" s="15">
        <v>0</v>
      </c>
      <c r="N3372" s="15" t="str">
        <v/>
      </c>
      <c r="O3372" s="15" t="str">
        <v/>
      </c>
      <c r="P3372" s="22">
        <v>0</v>
      </c>
      <c r="Q3372">
        <v>0</v>
      </c>
    </row>
    <row r="3373" spans="1:17">
      <c r="A3373" s="19">
        <v>0</v>
      </c>
      <c r="B3373" s="19">
        <v>0</v>
      </c>
      <c r="C3373" s="19">
        <v>0</v>
      </c>
      <c r="D3373" s="19">
        <v>0</v>
      </c>
      <c r="E3373" s="19">
        <v>0</v>
      </c>
      <c r="F3373" s="19">
        <v>0</v>
      </c>
      <c r="G3373" s="19">
        <v>0</v>
      </c>
      <c r="H3373" s="19">
        <v>0</v>
      </c>
      <c r="I3373" s="15">
        <v>3500</v>
      </c>
      <c r="J3373" s="15">
        <v>0</v>
      </c>
      <c r="K3373" s="15">
        <v>0</v>
      </c>
      <c r="L3373" s="15">
        <v>0</v>
      </c>
      <c r="M3373" s="15">
        <v>0</v>
      </c>
      <c r="N3373" s="15" t="str">
        <v/>
      </c>
      <c r="O3373" s="15" t="str">
        <v/>
      </c>
      <c r="P3373" s="22">
        <v>0</v>
      </c>
      <c r="Q3373">
        <v>0</v>
      </c>
    </row>
    <row r="3374" spans="1:17">
      <c r="A3374" s="19">
        <v>0</v>
      </c>
      <c r="B3374" s="19">
        <v>0</v>
      </c>
      <c r="C3374" s="19">
        <v>0</v>
      </c>
      <c r="D3374" s="19">
        <v>0</v>
      </c>
      <c r="E3374" s="19">
        <v>0</v>
      </c>
      <c r="F3374" s="19">
        <v>0</v>
      </c>
      <c r="G3374" s="19">
        <v>0</v>
      </c>
      <c r="H3374" s="19">
        <v>0</v>
      </c>
      <c r="I3374" s="15">
        <v>3500</v>
      </c>
      <c r="J3374" s="15">
        <v>0</v>
      </c>
      <c r="K3374" s="15">
        <v>0</v>
      </c>
      <c r="L3374" s="15">
        <v>0</v>
      </c>
      <c r="M3374" s="15">
        <v>0</v>
      </c>
      <c r="N3374" s="15" t="str">
        <v/>
      </c>
      <c r="O3374" s="15" t="str">
        <v/>
      </c>
      <c r="P3374" s="22">
        <v>0</v>
      </c>
      <c r="Q3374">
        <v>0</v>
      </c>
    </row>
    <row r="3375" spans="1:17">
      <c r="A3375" s="19">
        <v>0</v>
      </c>
      <c r="B3375" s="19">
        <v>0</v>
      </c>
      <c r="C3375" s="19">
        <v>0</v>
      </c>
      <c r="D3375" s="19">
        <v>0</v>
      </c>
      <c r="E3375" s="19">
        <v>0</v>
      </c>
      <c r="F3375" s="19">
        <v>0</v>
      </c>
      <c r="G3375" s="19">
        <v>0</v>
      </c>
      <c r="H3375" s="19">
        <v>0</v>
      </c>
      <c r="I3375" s="15">
        <v>3500</v>
      </c>
      <c r="J3375" s="15">
        <v>0</v>
      </c>
      <c r="K3375" s="15">
        <v>0</v>
      </c>
      <c r="L3375" s="15">
        <v>0</v>
      </c>
      <c r="M3375" s="15">
        <v>0</v>
      </c>
      <c r="N3375" s="15" t="str">
        <v/>
      </c>
      <c r="O3375" s="15" t="str">
        <v/>
      </c>
      <c r="P3375" s="22">
        <v>0</v>
      </c>
      <c r="Q3375">
        <v>0</v>
      </c>
    </row>
    <row r="3376" spans="1:17">
      <c r="A3376" s="19">
        <v>0</v>
      </c>
      <c r="B3376" s="19">
        <v>0</v>
      </c>
      <c r="C3376" s="19">
        <v>0</v>
      </c>
      <c r="D3376" s="19">
        <v>0</v>
      </c>
      <c r="E3376" s="19">
        <v>0</v>
      </c>
      <c r="F3376" s="19">
        <v>0</v>
      </c>
      <c r="G3376" s="19">
        <v>0</v>
      </c>
      <c r="H3376" s="19">
        <v>0</v>
      </c>
      <c r="I3376" s="15">
        <v>3500</v>
      </c>
      <c r="J3376" s="15">
        <v>0</v>
      </c>
      <c r="K3376" s="15">
        <v>0</v>
      </c>
      <c r="L3376" s="15">
        <v>0</v>
      </c>
      <c r="M3376" s="15">
        <v>0</v>
      </c>
      <c r="N3376" s="15" t="str">
        <v/>
      </c>
      <c r="O3376" s="15" t="str">
        <v/>
      </c>
      <c r="P3376" s="22">
        <v>0</v>
      </c>
      <c r="Q3376">
        <v>0</v>
      </c>
    </row>
    <row r="3377" spans="1:17">
      <c r="A3377" s="19">
        <v>0</v>
      </c>
      <c r="B3377" s="19">
        <v>0</v>
      </c>
      <c r="C3377" s="19">
        <v>0</v>
      </c>
      <c r="D3377" s="19">
        <v>0</v>
      </c>
      <c r="E3377" s="19">
        <v>0</v>
      </c>
      <c r="F3377" s="19">
        <v>0</v>
      </c>
      <c r="G3377" s="19">
        <v>0</v>
      </c>
      <c r="H3377" s="19">
        <v>0</v>
      </c>
      <c r="I3377" s="15">
        <v>3500</v>
      </c>
      <c r="J3377" s="15">
        <v>0</v>
      </c>
      <c r="K3377" s="15">
        <v>0</v>
      </c>
      <c r="L3377" s="15">
        <v>0</v>
      </c>
      <c r="M3377" s="15">
        <v>0</v>
      </c>
      <c r="N3377" s="15" t="str">
        <v/>
      </c>
      <c r="O3377" s="15" t="str">
        <v/>
      </c>
      <c r="P3377" s="22">
        <v>0</v>
      </c>
      <c r="Q3377">
        <v>0</v>
      </c>
    </row>
    <row r="3378" spans="1:17">
      <c r="A3378" s="19">
        <v>0</v>
      </c>
      <c r="B3378" s="19">
        <v>0</v>
      </c>
      <c r="C3378" s="19">
        <v>0</v>
      </c>
      <c r="D3378" s="19">
        <v>0</v>
      </c>
      <c r="E3378" s="19">
        <v>0</v>
      </c>
      <c r="F3378" s="19">
        <v>0</v>
      </c>
      <c r="G3378" s="19">
        <v>0</v>
      </c>
      <c r="H3378" s="19">
        <v>0</v>
      </c>
      <c r="I3378" s="15">
        <v>3500</v>
      </c>
      <c r="J3378" s="15">
        <v>0</v>
      </c>
      <c r="K3378" s="15">
        <v>0</v>
      </c>
      <c r="L3378" s="15">
        <v>0</v>
      </c>
      <c r="M3378" s="15">
        <v>0</v>
      </c>
      <c r="N3378" s="15" t="str">
        <v/>
      </c>
      <c r="O3378" s="15" t="str">
        <v/>
      </c>
      <c r="P3378" s="22">
        <v>0</v>
      </c>
      <c r="Q3378">
        <v>0</v>
      </c>
    </row>
    <row r="3379" spans="1:17">
      <c r="A3379" s="19">
        <v>0</v>
      </c>
      <c r="B3379" s="19">
        <v>0</v>
      </c>
      <c r="C3379" s="19">
        <v>0</v>
      </c>
      <c r="D3379" s="19">
        <v>0</v>
      </c>
      <c r="E3379" s="19">
        <v>0</v>
      </c>
      <c r="F3379" s="19">
        <v>0</v>
      </c>
      <c r="G3379" s="19">
        <v>0</v>
      </c>
      <c r="H3379" s="19">
        <v>0</v>
      </c>
      <c r="I3379" s="15">
        <v>3500</v>
      </c>
      <c r="J3379" s="15">
        <v>0</v>
      </c>
      <c r="K3379" s="15">
        <v>0</v>
      </c>
      <c r="L3379" s="15">
        <v>0</v>
      </c>
      <c r="M3379" s="15">
        <v>0</v>
      </c>
      <c r="N3379" s="15" t="str">
        <v/>
      </c>
      <c r="O3379" s="15" t="str">
        <v/>
      </c>
      <c r="P3379" s="22">
        <v>0</v>
      </c>
      <c r="Q3379">
        <v>0</v>
      </c>
    </row>
    <row r="3380" spans="1:17">
      <c r="A3380" s="19">
        <v>0</v>
      </c>
      <c r="B3380" s="19">
        <v>0</v>
      </c>
      <c r="C3380" s="19">
        <v>0</v>
      </c>
      <c r="D3380" s="19">
        <v>0</v>
      </c>
      <c r="E3380" s="19">
        <v>0</v>
      </c>
      <c r="F3380" s="19">
        <v>0</v>
      </c>
      <c r="G3380" s="19">
        <v>0</v>
      </c>
      <c r="H3380" s="19">
        <v>0</v>
      </c>
      <c r="I3380" s="15">
        <v>3500</v>
      </c>
      <c r="J3380" s="15">
        <v>0</v>
      </c>
      <c r="K3380" s="15">
        <v>0</v>
      </c>
      <c r="L3380" s="15">
        <v>0</v>
      </c>
      <c r="M3380" s="15">
        <v>0</v>
      </c>
      <c r="N3380" s="15" t="str">
        <v/>
      </c>
      <c r="O3380" s="15" t="str">
        <v/>
      </c>
      <c r="P3380" s="22">
        <v>0</v>
      </c>
      <c r="Q3380">
        <v>0</v>
      </c>
    </row>
    <row r="3381" spans="1:17">
      <c r="A3381" s="19">
        <v>0</v>
      </c>
      <c r="B3381" s="19">
        <v>0</v>
      </c>
      <c r="C3381" s="19">
        <v>0</v>
      </c>
      <c r="D3381" s="19">
        <v>0</v>
      </c>
      <c r="E3381" s="19">
        <v>0</v>
      </c>
      <c r="F3381" s="19">
        <v>0</v>
      </c>
      <c r="G3381" s="19">
        <v>0</v>
      </c>
      <c r="H3381" s="19">
        <v>0</v>
      </c>
      <c r="I3381" s="15">
        <v>3500</v>
      </c>
      <c r="J3381" s="15">
        <v>0</v>
      </c>
      <c r="K3381" s="15">
        <v>0</v>
      </c>
      <c r="L3381" s="15">
        <v>0</v>
      </c>
      <c r="M3381" s="15">
        <v>0</v>
      </c>
      <c r="N3381" s="15" t="str">
        <v/>
      </c>
      <c r="O3381" s="15" t="str">
        <v/>
      </c>
      <c r="P3381" s="22">
        <v>0</v>
      </c>
      <c r="Q3381">
        <v>0</v>
      </c>
    </row>
    <row r="3382" spans="1:17">
      <c r="A3382" s="19">
        <v>0</v>
      </c>
      <c r="B3382" s="19">
        <v>0</v>
      </c>
      <c r="C3382" s="19">
        <v>0</v>
      </c>
      <c r="D3382" s="19">
        <v>0</v>
      </c>
      <c r="E3382" s="19">
        <v>0</v>
      </c>
      <c r="F3382" s="19">
        <v>0</v>
      </c>
      <c r="G3382" s="19">
        <v>0</v>
      </c>
      <c r="H3382" s="19">
        <v>0</v>
      </c>
      <c r="I3382" s="15">
        <v>3500</v>
      </c>
      <c r="J3382" s="15">
        <v>0</v>
      </c>
      <c r="K3382" s="15">
        <v>0</v>
      </c>
      <c r="L3382" s="15">
        <v>0</v>
      </c>
      <c r="M3382" s="15">
        <v>0</v>
      </c>
      <c r="N3382" s="15" t="str">
        <v/>
      </c>
      <c r="O3382" s="15" t="str">
        <v/>
      </c>
      <c r="P3382" s="22">
        <v>0</v>
      </c>
      <c r="Q3382">
        <v>0</v>
      </c>
    </row>
    <row r="3383" spans="1:17">
      <c r="A3383" s="19">
        <v>0</v>
      </c>
      <c r="B3383" s="19">
        <v>0</v>
      </c>
      <c r="C3383" s="19">
        <v>0</v>
      </c>
      <c r="D3383" s="19">
        <v>0</v>
      </c>
      <c r="E3383" s="19">
        <v>0</v>
      </c>
      <c r="F3383" s="19">
        <v>0</v>
      </c>
      <c r="G3383" s="19">
        <v>0</v>
      </c>
      <c r="H3383" s="19">
        <v>0</v>
      </c>
      <c r="I3383" s="15">
        <v>3500</v>
      </c>
      <c r="J3383" s="15">
        <v>0</v>
      </c>
      <c r="K3383" s="15">
        <v>0</v>
      </c>
      <c r="L3383" s="15">
        <v>0</v>
      </c>
      <c r="M3383" s="15">
        <v>0</v>
      </c>
      <c r="N3383" s="15" t="str">
        <v/>
      </c>
      <c r="O3383" s="15" t="str">
        <v/>
      </c>
      <c r="P3383" s="22">
        <v>0</v>
      </c>
      <c r="Q3383">
        <v>0</v>
      </c>
    </row>
    <row r="3384" spans="1:17">
      <c r="A3384" s="19">
        <v>0</v>
      </c>
      <c r="B3384" s="19">
        <v>0</v>
      </c>
      <c r="C3384" s="19">
        <v>0</v>
      </c>
      <c r="D3384" s="19">
        <v>0</v>
      </c>
      <c r="E3384" s="19">
        <v>0</v>
      </c>
      <c r="F3384" s="19">
        <v>0</v>
      </c>
      <c r="G3384" s="19">
        <v>0</v>
      </c>
      <c r="H3384" s="19">
        <v>0</v>
      </c>
      <c r="I3384" s="15">
        <v>3500</v>
      </c>
      <c r="J3384" s="15">
        <v>0</v>
      </c>
      <c r="K3384" s="15">
        <v>0</v>
      </c>
      <c r="L3384" s="15">
        <v>0</v>
      </c>
      <c r="M3384" s="15">
        <v>0</v>
      </c>
      <c r="N3384" s="15" t="str">
        <v/>
      </c>
      <c r="O3384" s="15" t="str">
        <v/>
      </c>
      <c r="P3384" s="22">
        <v>0</v>
      </c>
      <c r="Q3384">
        <v>0</v>
      </c>
    </row>
    <row r="3385" spans="1:17">
      <c r="A3385" s="19">
        <v>0</v>
      </c>
      <c r="B3385" s="19">
        <v>0</v>
      </c>
      <c r="C3385" s="19">
        <v>0</v>
      </c>
      <c r="D3385" s="19">
        <v>0</v>
      </c>
      <c r="E3385" s="19">
        <v>0</v>
      </c>
      <c r="F3385" s="19">
        <v>0</v>
      </c>
      <c r="G3385" s="19">
        <v>0</v>
      </c>
      <c r="H3385" s="19">
        <v>0</v>
      </c>
      <c r="I3385" s="15">
        <v>3500</v>
      </c>
      <c r="J3385" s="15">
        <v>0</v>
      </c>
      <c r="K3385" s="15">
        <v>0</v>
      </c>
      <c r="L3385" s="15">
        <v>0</v>
      </c>
      <c r="M3385" s="15">
        <v>0</v>
      </c>
      <c r="N3385" s="15" t="str">
        <v/>
      </c>
      <c r="O3385" s="15" t="str">
        <v/>
      </c>
      <c r="P3385" s="22">
        <v>0</v>
      </c>
      <c r="Q3385">
        <v>0</v>
      </c>
    </row>
    <row r="3386" spans="1:17">
      <c r="A3386" s="19">
        <v>0</v>
      </c>
      <c r="B3386" s="19">
        <v>0</v>
      </c>
      <c r="C3386" s="19">
        <v>0</v>
      </c>
      <c r="D3386" s="19">
        <v>0</v>
      </c>
      <c r="E3386" s="19">
        <v>0</v>
      </c>
      <c r="F3386" s="19">
        <v>0</v>
      </c>
      <c r="G3386" s="19">
        <v>0</v>
      </c>
      <c r="H3386" s="19">
        <v>0</v>
      </c>
      <c r="I3386" s="15">
        <v>3500</v>
      </c>
      <c r="J3386" s="15">
        <v>0</v>
      </c>
      <c r="K3386" s="15">
        <v>0</v>
      </c>
      <c r="L3386" s="15">
        <v>0</v>
      </c>
      <c r="M3386" s="15">
        <v>0</v>
      </c>
      <c r="N3386" s="15" t="str">
        <v/>
      </c>
      <c r="O3386" s="15" t="str">
        <v/>
      </c>
      <c r="P3386" s="22">
        <v>0</v>
      </c>
      <c r="Q3386">
        <v>0</v>
      </c>
    </row>
    <row r="3387" spans="1:17">
      <c r="A3387" s="19">
        <v>0</v>
      </c>
      <c r="B3387" s="19">
        <v>0</v>
      </c>
      <c r="C3387" s="19">
        <v>0</v>
      </c>
      <c r="D3387" s="19">
        <v>0</v>
      </c>
      <c r="E3387" s="19">
        <v>0</v>
      </c>
      <c r="F3387" s="19">
        <v>0</v>
      </c>
      <c r="G3387" s="19">
        <v>0</v>
      </c>
      <c r="H3387" s="19">
        <v>0</v>
      </c>
      <c r="I3387" s="15">
        <v>3500</v>
      </c>
      <c r="J3387" s="15">
        <v>0</v>
      </c>
      <c r="K3387" s="15">
        <v>0</v>
      </c>
      <c r="L3387" s="15">
        <v>0</v>
      </c>
      <c r="M3387" s="15">
        <v>0</v>
      </c>
      <c r="N3387" s="15" t="str">
        <v/>
      </c>
      <c r="O3387" s="15" t="str">
        <v/>
      </c>
      <c r="P3387" s="22">
        <v>0</v>
      </c>
      <c r="Q3387">
        <v>0</v>
      </c>
    </row>
    <row r="3388" spans="1:17">
      <c r="A3388" s="19">
        <v>0</v>
      </c>
      <c r="B3388" s="19">
        <v>0</v>
      </c>
      <c r="C3388" s="19">
        <v>0</v>
      </c>
      <c r="D3388" s="19">
        <v>0</v>
      </c>
      <c r="E3388" s="19">
        <v>0</v>
      </c>
      <c r="F3388" s="19">
        <v>0</v>
      </c>
      <c r="G3388" s="19">
        <v>0</v>
      </c>
      <c r="H3388" s="19">
        <v>0</v>
      </c>
      <c r="I3388" s="15">
        <v>3500</v>
      </c>
      <c r="J3388" s="15">
        <v>0</v>
      </c>
      <c r="K3388" s="15">
        <v>0</v>
      </c>
      <c r="L3388" s="15">
        <v>0</v>
      </c>
      <c r="M3388" s="15">
        <v>0</v>
      </c>
      <c r="N3388" s="15" t="str">
        <v/>
      </c>
      <c r="O3388" s="15" t="str">
        <v/>
      </c>
      <c r="P3388" s="22">
        <v>0</v>
      </c>
      <c r="Q3388">
        <v>0</v>
      </c>
    </row>
    <row r="3389" spans="1:17">
      <c r="A3389" s="19">
        <v>0</v>
      </c>
      <c r="B3389" s="19">
        <v>0</v>
      </c>
      <c r="C3389" s="19">
        <v>0</v>
      </c>
      <c r="D3389" s="19">
        <v>0</v>
      </c>
      <c r="E3389" s="19">
        <v>0</v>
      </c>
      <c r="F3389" s="19">
        <v>0</v>
      </c>
      <c r="G3389" s="19">
        <v>0</v>
      </c>
      <c r="H3389" s="19">
        <v>0</v>
      </c>
      <c r="I3389" s="15">
        <v>3500</v>
      </c>
      <c r="J3389" s="15">
        <v>0</v>
      </c>
      <c r="K3389" s="15">
        <v>0</v>
      </c>
      <c r="L3389" s="15">
        <v>0</v>
      </c>
      <c r="M3389" s="15">
        <v>0</v>
      </c>
      <c r="N3389" s="15" t="str">
        <v/>
      </c>
      <c r="O3389" s="15" t="str">
        <v/>
      </c>
      <c r="P3389" s="22">
        <v>0</v>
      </c>
      <c r="Q3389">
        <v>0</v>
      </c>
    </row>
    <row r="3390" spans="1:17">
      <c r="A3390" s="19">
        <v>0</v>
      </c>
      <c r="B3390" s="19">
        <v>0</v>
      </c>
      <c r="C3390" s="19">
        <v>0</v>
      </c>
      <c r="D3390" s="19">
        <v>0</v>
      </c>
      <c r="E3390" s="19">
        <v>0</v>
      </c>
      <c r="F3390" s="19">
        <v>0</v>
      </c>
      <c r="G3390" s="19">
        <v>0</v>
      </c>
      <c r="H3390" s="19">
        <v>0</v>
      </c>
      <c r="I3390" s="15">
        <v>3500</v>
      </c>
      <c r="J3390" s="15">
        <v>0</v>
      </c>
      <c r="K3390" s="15">
        <v>0</v>
      </c>
      <c r="L3390" s="15">
        <v>0</v>
      </c>
      <c r="M3390" s="15">
        <v>0</v>
      </c>
      <c r="N3390" s="15" t="str">
        <v/>
      </c>
      <c r="O3390" s="15" t="str">
        <v/>
      </c>
      <c r="P3390" s="22">
        <v>0</v>
      </c>
      <c r="Q3390">
        <v>0</v>
      </c>
    </row>
    <row r="3391" spans="1:17">
      <c r="A3391" s="19">
        <v>0</v>
      </c>
      <c r="B3391" s="19">
        <v>0</v>
      </c>
      <c r="C3391" s="19">
        <v>0</v>
      </c>
      <c r="D3391" s="19">
        <v>0</v>
      </c>
      <c r="E3391" s="19">
        <v>0</v>
      </c>
      <c r="F3391" s="19">
        <v>0</v>
      </c>
      <c r="G3391" s="19">
        <v>0</v>
      </c>
      <c r="H3391" s="19">
        <v>0</v>
      </c>
      <c r="I3391" s="15">
        <v>3500</v>
      </c>
      <c r="J3391" s="15">
        <v>0</v>
      </c>
      <c r="K3391" s="15">
        <v>0</v>
      </c>
      <c r="L3391" s="15">
        <v>0</v>
      </c>
      <c r="M3391" s="15">
        <v>0</v>
      </c>
      <c r="N3391" s="15" t="str">
        <v/>
      </c>
      <c r="O3391" s="15" t="str">
        <v/>
      </c>
      <c r="P3391" s="22">
        <v>0</v>
      </c>
      <c r="Q3391">
        <v>0</v>
      </c>
    </row>
    <row r="3392" spans="1:17">
      <c r="A3392" s="19">
        <v>0</v>
      </c>
      <c r="B3392" s="19">
        <v>0</v>
      </c>
      <c r="C3392" s="19">
        <v>0</v>
      </c>
      <c r="D3392" s="19">
        <v>0</v>
      </c>
      <c r="E3392" s="19">
        <v>0</v>
      </c>
      <c r="F3392" s="19">
        <v>0</v>
      </c>
      <c r="G3392" s="19">
        <v>0</v>
      </c>
      <c r="H3392" s="19">
        <v>0</v>
      </c>
      <c r="I3392" s="15">
        <v>3500</v>
      </c>
      <c r="J3392" s="15">
        <v>0</v>
      </c>
      <c r="K3392" s="15">
        <v>0</v>
      </c>
      <c r="L3392" s="15">
        <v>0</v>
      </c>
      <c r="M3392" s="15">
        <v>0</v>
      </c>
      <c r="N3392" s="15" t="str">
        <v/>
      </c>
      <c r="O3392" s="15" t="str">
        <v/>
      </c>
      <c r="P3392" s="22">
        <v>0</v>
      </c>
      <c r="Q3392">
        <v>0</v>
      </c>
    </row>
    <row r="3393" spans="1:17">
      <c r="A3393" s="19">
        <v>0</v>
      </c>
      <c r="B3393" s="19">
        <v>0</v>
      </c>
      <c r="C3393" s="19">
        <v>0</v>
      </c>
      <c r="D3393" s="19">
        <v>0</v>
      </c>
      <c r="E3393" s="19">
        <v>0</v>
      </c>
      <c r="F3393" s="19">
        <v>0</v>
      </c>
      <c r="G3393" s="19">
        <v>0</v>
      </c>
      <c r="H3393" s="19">
        <v>0</v>
      </c>
      <c r="I3393" s="15">
        <v>3500</v>
      </c>
      <c r="J3393" s="15">
        <v>0</v>
      </c>
      <c r="K3393" s="15">
        <v>0</v>
      </c>
      <c r="L3393" s="15">
        <v>0</v>
      </c>
      <c r="M3393" s="15">
        <v>0</v>
      </c>
      <c r="N3393" s="15" t="str">
        <v/>
      </c>
      <c r="O3393" s="15" t="str">
        <v/>
      </c>
      <c r="P3393" s="22">
        <v>0</v>
      </c>
      <c r="Q3393">
        <v>0</v>
      </c>
    </row>
    <row r="3394" spans="1:17">
      <c r="A3394" s="19">
        <v>0</v>
      </c>
      <c r="B3394" s="19">
        <v>0</v>
      </c>
      <c r="C3394" s="19">
        <v>0</v>
      </c>
      <c r="D3394" s="19">
        <v>0</v>
      </c>
      <c r="E3394" s="19">
        <v>0</v>
      </c>
      <c r="F3394" s="19">
        <v>0</v>
      </c>
      <c r="G3394" s="19">
        <v>0</v>
      </c>
      <c r="H3394" s="19">
        <v>0</v>
      </c>
      <c r="I3394" s="15">
        <v>3500</v>
      </c>
      <c r="J3394" s="15">
        <v>0</v>
      </c>
      <c r="K3394" s="15">
        <v>0</v>
      </c>
      <c r="L3394" s="15">
        <v>0</v>
      </c>
      <c r="M3394" s="15">
        <v>0</v>
      </c>
      <c r="N3394" s="15" t="str">
        <v/>
      </c>
      <c r="O3394" s="15" t="str">
        <v/>
      </c>
      <c r="P3394" s="22">
        <v>0</v>
      </c>
      <c r="Q3394">
        <v>0</v>
      </c>
    </row>
    <row r="3395" spans="1:17">
      <c r="A3395" s="19">
        <v>0</v>
      </c>
      <c r="B3395" s="19">
        <v>0</v>
      </c>
      <c r="C3395" s="19">
        <v>0</v>
      </c>
      <c r="D3395" s="19">
        <v>0</v>
      </c>
      <c r="E3395" s="19">
        <v>0</v>
      </c>
      <c r="F3395" s="19">
        <v>0</v>
      </c>
      <c r="G3395" s="19">
        <v>0</v>
      </c>
      <c r="H3395" s="19">
        <v>0</v>
      </c>
      <c r="I3395" s="15">
        <v>3500</v>
      </c>
      <c r="J3395" s="15">
        <v>0</v>
      </c>
      <c r="K3395" s="15">
        <v>0</v>
      </c>
      <c r="L3395" s="15">
        <v>0</v>
      </c>
      <c r="M3395" s="15">
        <v>0</v>
      </c>
      <c r="N3395" s="15" t="str">
        <v/>
      </c>
      <c r="O3395" s="15" t="str">
        <v/>
      </c>
      <c r="P3395" s="22">
        <v>0</v>
      </c>
      <c r="Q3395">
        <v>0</v>
      </c>
    </row>
    <row r="3396" spans="1:17">
      <c r="A3396" s="19">
        <v>0</v>
      </c>
      <c r="B3396" s="19">
        <v>0</v>
      </c>
      <c r="C3396" s="19">
        <v>0</v>
      </c>
      <c r="D3396" s="19">
        <v>0</v>
      </c>
      <c r="E3396" s="19">
        <v>0</v>
      </c>
      <c r="F3396" s="19">
        <v>0</v>
      </c>
      <c r="G3396" s="19">
        <v>0</v>
      </c>
      <c r="H3396" s="19">
        <v>0</v>
      </c>
      <c r="I3396" s="15">
        <v>3500</v>
      </c>
      <c r="J3396" s="15">
        <v>0</v>
      </c>
      <c r="K3396" s="15">
        <v>0</v>
      </c>
      <c r="L3396" s="15">
        <v>0</v>
      </c>
      <c r="M3396" s="15">
        <v>0</v>
      </c>
      <c r="N3396" s="15" t="str">
        <v/>
      </c>
      <c r="O3396" s="15" t="str">
        <v/>
      </c>
      <c r="P3396" s="22">
        <v>0</v>
      </c>
      <c r="Q3396">
        <v>0</v>
      </c>
    </row>
    <row r="3397" spans="1:17">
      <c r="A3397" s="19">
        <v>0</v>
      </c>
      <c r="B3397" s="19">
        <v>0</v>
      </c>
      <c r="C3397" s="19">
        <v>0</v>
      </c>
      <c r="D3397" s="19">
        <v>0</v>
      </c>
      <c r="E3397" s="19">
        <v>0</v>
      </c>
      <c r="F3397" s="19">
        <v>0</v>
      </c>
      <c r="G3397" s="19">
        <v>0</v>
      </c>
      <c r="H3397" s="19">
        <v>0</v>
      </c>
      <c r="I3397" s="15">
        <v>3500</v>
      </c>
      <c r="J3397" s="15">
        <v>0</v>
      </c>
      <c r="K3397" s="15">
        <v>0</v>
      </c>
      <c r="L3397" s="15">
        <v>0</v>
      </c>
      <c r="M3397" s="15">
        <v>0</v>
      </c>
      <c r="N3397" s="15" t="str">
        <v/>
      </c>
      <c r="O3397" s="15" t="str">
        <v/>
      </c>
      <c r="P3397" s="22">
        <v>0</v>
      </c>
      <c r="Q3397">
        <v>0</v>
      </c>
    </row>
    <row r="3398" spans="1:17">
      <c r="A3398" s="19">
        <v>0</v>
      </c>
      <c r="B3398" s="19">
        <v>0</v>
      </c>
      <c r="C3398" s="19">
        <v>0</v>
      </c>
      <c r="D3398" s="19">
        <v>0</v>
      </c>
      <c r="E3398" s="19">
        <v>0</v>
      </c>
      <c r="F3398" s="19">
        <v>0</v>
      </c>
      <c r="G3398" s="19">
        <v>0</v>
      </c>
      <c r="H3398" s="19">
        <v>0</v>
      </c>
      <c r="I3398" s="15">
        <v>3500</v>
      </c>
      <c r="J3398" s="15">
        <v>0</v>
      </c>
      <c r="K3398" s="15">
        <v>0</v>
      </c>
      <c r="L3398" s="15">
        <v>0</v>
      </c>
      <c r="M3398" s="15">
        <v>0</v>
      </c>
      <c r="N3398" s="15" t="str">
        <v/>
      </c>
      <c r="O3398" s="15" t="str">
        <v/>
      </c>
      <c r="P3398" s="22">
        <v>0</v>
      </c>
      <c r="Q3398">
        <v>0</v>
      </c>
    </row>
    <row r="3399" spans="1:17">
      <c r="A3399" s="19">
        <v>0</v>
      </c>
      <c r="B3399" s="19">
        <v>0</v>
      </c>
      <c r="C3399" s="19">
        <v>0</v>
      </c>
      <c r="D3399" s="19">
        <v>0</v>
      </c>
      <c r="E3399" s="19">
        <v>0</v>
      </c>
      <c r="F3399" s="19">
        <v>0</v>
      </c>
      <c r="G3399" s="19">
        <v>0</v>
      </c>
      <c r="H3399" s="19">
        <v>0</v>
      </c>
      <c r="I3399" s="15">
        <v>3500</v>
      </c>
      <c r="J3399" s="15">
        <v>0</v>
      </c>
      <c r="K3399" s="15">
        <v>0</v>
      </c>
      <c r="L3399" s="15">
        <v>0</v>
      </c>
      <c r="M3399" s="15">
        <v>0</v>
      </c>
      <c r="N3399" s="15" t="str">
        <v/>
      </c>
      <c r="O3399" s="15" t="str">
        <v/>
      </c>
      <c r="P3399" s="22">
        <v>0</v>
      </c>
      <c r="Q3399">
        <v>0</v>
      </c>
    </row>
    <row r="3400" spans="1:17">
      <c r="A3400" s="19">
        <v>0</v>
      </c>
      <c r="B3400" s="19">
        <v>0</v>
      </c>
      <c r="C3400" s="19">
        <v>0</v>
      </c>
      <c r="D3400" s="19">
        <v>0</v>
      </c>
      <c r="E3400" s="19">
        <v>0</v>
      </c>
      <c r="F3400" s="19">
        <v>0</v>
      </c>
      <c r="G3400" s="19">
        <v>0</v>
      </c>
      <c r="H3400" s="19">
        <v>0</v>
      </c>
      <c r="I3400" s="15">
        <v>3500</v>
      </c>
      <c r="J3400" s="15">
        <v>0</v>
      </c>
      <c r="K3400" s="15">
        <v>0</v>
      </c>
      <c r="L3400" s="15">
        <v>0</v>
      </c>
      <c r="M3400" s="15">
        <v>0</v>
      </c>
      <c r="N3400" s="15" t="str">
        <v/>
      </c>
      <c r="O3400" s="15" t="str">
        <v/>
      </c>
      <c r="P3400" s="22">
        <v>0</v>
      </c>
      <c r="Q3400">
        <v>0</v>
      </c>
    </row>
    <row r="3401" spans="1:17">
      <c r="A3401" s="19">
        <v>0</v>
      </c>
      <c r="B3401" s="19">
        <v>0</v>
      </c>
      <c r="C3401" s="19">
        <v>0</v>
      </c>
      <c r="D3401" s="19">
        <v>0</v>
      </c>
      <c r="E3401" s="19">
        <v>0</v>
      </c>
      <c r="F3401" s="19">
        <v>0</v>
      </c>
      <c r="G3401" s="19">
        <v>0</v>
      </c>
      <c r="H3401" s="19">
        <v>0</v>
      </c>
      <c r="I3401" s="15">
        <v>3500</v>
      </c>
      <c r="J3401" s="15">
        <v>0</v>
      </c>
      <c r="K3401" s="15">
        <v>0</v>
      </c>
      <c r="L3401" s="15">
        <v>0</v>
      </c>
      <c r="M3401" s="15">
        <v>0</v>
      </c>
      <c r="N3401" s="15" t="str">
        <v/>
      </c>
      <c r="O3401" s="15" t="str">
        <v/>
      </c>
      <c r="P3401" s="22">
        <v>0</v>
      </c>
      <c r="Q3401">
        <v>0</v>
      </c>
    </row>
    <row r="3402" spans="1:17">
      <c r="A3402" s="19">
        <v>0</v>
      </c>
      <c r="B3402" s="19">
        <v>0</v>
      </c>
      <c r="C3402" s="19">
        <v>0</v>
      </c>
      <c r="D3402" s="19">
        <v>0</v>
      </c>
      <c r="E3402" s="19">
        <v>0</v>
      </c>
      <c r="F3402" s="19">
        <v>0</v>
      </c>
      <c r="G3402" s="19">
        <v>0</v>
      </c>
      <c r="H3402" s="19">
        <v>0</v>
      </c>
      <c r="I3402" s="15">
        <v>3500</v>
      </c>
      <c r="J3402" s="15">
        <v>0</v>
      </c>
      <c r="K3402" s="15">
        <v>0</v>
      </c>
      <c r="L3402" s="15">
        <v>0</v>
      </c>
      <c r="M3402" s="15">
        <v>0</v>
      </c>
      <c r="N3402" s="15" t="str">
        <v/>
      </c>
      <c r="O3402" s="15" t="str">
        <v/>
      </c>
      <c r="P3402" s="22">
        <v>0</v>
      </c>
      <c r="Q3402">
        <v>0</v>
      </c>
    </row>
    <row r="3403" spans="1:17">
      <c r="A3403" s="19">
        <v>0</v>
      </c>
      <c r="B3403" s="19">
        <v>0</v>
      </c>
      <c r="C3403" s="19">
        <v>0</v>
      </c>
      <c r="D3403" s="19">
        <v>0</v>
      </c>
      <c r="E3403" s="19">
        <v>0</v>
      </c>
      <c r="F3403" s="19">
        <v>0</v>
      </c>
      <c r="G3403" s="19">
        <v>0</v>
      </c>
      <c r="H3403" s="19">
        <v>0</v>
      </c>
      <c r="I3403" s="15">
        <v>3500</v>
      </c>
      <c r="J3403" s="15">
        <v>0</v>
      </c>
      <c r="K3403" s="15">
        <v>0</v>
      </c>
      <c r="L3403" s="15">
        <v>0</v>
      </c>
      <c r="M3403" s="15">
        <v>0</v>
      </c>
      <c r="N3403" s="15" t="str">
        <v/>
      </c>
      <c r="O3403" s="15" t="str">
        <v/>
      </c>
      <c r="P3403" s="22">
        <v>0</v>
      </c>
      <c r="Q3403">
        <v>0</v>
      </c>
    </row>
    <row r="3404" spans="1:17">
      <c r="A3404" s="19">
        <v>0</v>
      </c>
      <c r="B3404" s="19">
        <v>0</v>
      </c>
      <c r="C3404" s="19">
        <v>0</v>
      </c>
      <c r="D3404" s="19">
        <v>0</v>
      </c>
      <c r="E3404" s="19">
        <v>0</v>
      </c>
      <c r="F3404" s="19">
        <v>0</v>
      </c>
      <c r="G3404" s="19">
        <v>0</v>
      </c>
      <c r="H3404" s="19">
        <v>0</v>
      </c>
      <c r="I3404" s="15">
        <v>3500</v>
      </c>
      <c r="J3404" s="15">
        <v>0</v>
      </c>
      <c r="K3404" s="15">
        <v>0</v>
      </c>
      <c r="L3404" s="15">
        <v>0</v>
      </c>
      <c r="M3404" s="15">
        <v>0</v>
      </c>
      <c r="N3404" s="15" t="str">
        <v/>
      </c>
      <c r="O3404" s="15" t="str">
        <v/>
      </c>
      <c r="P3404" s="22">
        <v>0</v>
      </c>
      <c r="Q3404">
        <v>0</v>
      </c>
    </row>
    <row r="3405" spans="1:17">
      <c r="A3405" s="19">
        <v>0</v>
      </c>
      <c r="B3405" s="19">
        <v>0</v>
      </c>
      <c r="C3405" s="19">
        <v>0</v>
      </c>
      <c r="D3405" s="19">
        <v>0</v>
      </c>
      <c r="E3405" s="19">
        <v>0</v>
      </c>
      <c r="F3405" s="19">
        <v>0</v>
      </c>
      <c r="G3405" s="19">
        <v>0</v>
      </c>
      <c r="H3405" s="19">
        <v>0</v>
      </c>
      <c r="I3405" s="15">
        <v>3500</v>
      </c>
      <c r="J3405" s="15">
        <v>0</v>
      </c>
      <c r="K3405" s="15">
        <v>0</v>
      </c>
      <c r="L3405" s="15">
        <v>0</v>
      </c>
      <c r="M3405" s="15">
        <v>0</v>
      </c>
      <c r="N3405" s="15" t="str">
        <v/>
      </c>
      <c r="O3405" s="15" t="str">
        <v/>
      </c>
      <c r="P3405" s="22">
        <v>0</v>
      </c>
      <c r="Q3405">
        <v>0</v>
      </c>
    </row>
    <row r="3406" spans="1:17">
      <c r="A3406" s="19">
        <v>0</v>
      </c>
      <c r="B3406" s="19">
        <v>0</v>
      </c>
      <c r="C3406" s="19">
        <v>0</v>
      </c>
      <c r="D3406" s="19">
        <v>0</v>
      </c>
      <c r="E3406" s="19">
        <v>0</v>
      </c>
      <c r="F3406" s="19">
        <v>0</v>
      </c>
      <c r="G3406" s="19">
        <v>0</v>
      </c>
      <c r="H3406" s="19">
        <v>0</v>
      </c>
      <c r="I3406" s="15">
        <v>3500</v>
      </c>
      <c r="J3406" s="15">
        <v>0</v>
      </c>
      <c r="K3406" s="15">
        <v>0</v>
      </c>
      <c r="L3406" s="15">
        <v>0</v>
      </c>
      <c r="M3406" s="15">
        <v>0</v>
      </c>
      <c r="N3406" s="15" t="str">
        <v/>
      </c>
      <c r="O3406" s="15" t="str">
        <v/>
      </c>
      <c r="P3406" s="22">
        <v>0</v>
      </c>
      <c r="Q3406">
        <v>0</v>
      </c>
    </row>
    <row r="3407" spans="1:17">
      <c r="A3407" s="19">
        <v>0</v>
      </c>
      <c r="B3407" s="19">
        <v>0</v>
      </c>
      <c r="C3407" s="19">
        <v>0</v>
      </c>
      <c r="D3407" s="19">
        <v>0</v>
      </c>
      <c r="E3407" s="19">
        <v>0</v>
      </c>
      <c r="F3407" s="19">
        <v>0</v>
      </c>
      <c r="G3407" s="19">
        <v>0</v>
      </c>
      <c r="H3407" s="19">
        <v>0</v>
      </c>
      <c r="I3407" s="15">
        <v>3500</v>
      </c>
      <c r="J3407" s="15">
        <v>0</v>
      </c>
      <c r="K3407" s="15">
        <v>0</v>
      </c>
      <c r="L3407" s="15">
        <v>0</v>
      </c>
      <c r="M3407" s="15">
        <v>0</v>
      </c>
      <c r="N3407" s="15" t="str">
        <v/>
      </c>
      <c r="O3407" s="15" t="str">
        <v/>
      </c>
      <c r="P3407" s="22">
        <v>0</v>
      </c>
      <c r="Q3407">
        <v>0</v>
      </c>
    </row>
    <row r="3408" spans="1:17">
      <c r="A3408" s="19">
        <v>0</v>
      </c>
      <c r="B3408" s="19">
        <v>0</v>
      </c>
      <c r="C3408" s="19">
        <v>0</v>
      </c>
      <c r="D3408" s="19">
        <v>0</v>
      </c>
      <c r="E3408" s="19">
        <v>0</v>
      </c>
      <c r="F3408" s="19">
        <v>0</v>
      </c>
      <c r="G3408" s="19">
        <v>0</v>
      </c>
      <c r="H3408" s="19">
        <v>0</v>
      </c>
      <c r="I3408" s="15">
        <v>3500</v>
      </c>
      <c r="J3408" s="15">
        <v>0</v>
      </c>
      <c r="K3408" s="15">
        <v>0</v>
      </c>
      <c r="L3408" s="15">
        <v>0</v>
      </c>
      <c r="M3408" s="15">
        <v>0</v>
      </c>
      <c r="N3408" s="15" t="str">
        <v/>
      </c>
      <c r="O3408" s="15" t="str">
        <v/>
      </c>
      <c r="P3408" s="22">
        <v>0</v>
      </c>
      <c r="Q3408">
        <v>0</v>
      </c>
    </row>
    <row r="3409" spans="1:17">
      <c r="A3409" s="19">
        <v>0</v>
      </c>
      <c r="B3409" s="19">
        <v>0</v>
      </c>
      <c r="C3409" s="19">
        <v>0</v>
      </c>
      <c r="D3409" s="19">
        <v>0</v>
      </c>
      <c r="E3409" s="19">
        <v>0</v>
      </c>
      <c r="F3409" s="19">
        <v>0</v>
      </c>
      <c r="G3409" s="19">
        <v>0</v>
      </c>
      <c r="H3409" s="19">
        <v>0</v>
      </c>
      <c r="I3409" s="15">
        <v>3500</v>
      </c>
      <c r="J3409" s="15">
        <v>0</v>
      </c>
      <c r="K3409" s="15">
        <v>0</v>
      </c>
      <c r="L3409" s="15">
        <v>0</v>
      </c>
      <c r="M3409" s="15">
        <v>0</v>
      </c>
      <c r="N3409" s="15" t="str">
        <v/>
      </c>
      <c r="O3409" s="15" t="str">
        <v/>
      </c>
      <c r="P3409" s="22">
        <v>0</v>
      </c>
      <c r="Q3409">
        <v>0</v>
      </c>
    </row>
    <row r="3410" spans="1:17">
      <c r="A3410" s="19">
        <v>0</v>
      </c>
      <c r="B3410" s="19">
        <v>0</v>
      </c>
      <c r="C3410" s="19">
        <v>0</v>
      </c>
      <c r="D3410" s="19">
        <v>0</v>
      </c>
      <c r="E3410" s="19">
        <v>0</v>
      </c>
      <c r="F3410" s="19">
        <v>0</v>
      </c>
      <c r="G3410" s="19">
        <v>0</v>
      </c>
      <c r="H3410" s="19">
        <v>0</v>
      </c>
      <c r="I3410" s="15">
        <v>3500</v>
      </c>
      <c r="J3410" s="15">
        <v>0</v>
      </c>
      <c r="K3410" s="15">
        <v>0</v>
      </c>
      <c r="L3410" s="15">
        <v>0</v>
      </c>
      <c r="M3410" s="15">
        <v>0</v>
      </c>
      <c r="N3410" s="15" t="str">
        <v/>
      </c>
      <c r="O3410" s="15" t="str">
        <v/>
      </c>
      <c r="P3410" s="22">
        <v>0</v>
      </c>
      <c r="Q3410">
        <v>0</v>
      </c>
    </row>
    <row r="3411" spans="1:17">
      <c r="A3411" s="19">
        <v>0</v>
      </c>
      <c r="B3411" s="19">
        <v>0</v>
      </c>
      <c r="C3411" s="19">
        <v>0</v>
      </c>
      <c r="D3411" s="19">
        <v>0</v>
      </c>
      <c r="E3411" s="19">
        <v>0</v>
      </c>
      <c r="F3411" s="19">
        <v>0</v>
      </c>
      <c r="G3411" s="19">
        <v>0</v>
      </c>
      <c r="H3411" s="19">
        <v>0</v>
      </c>
      <c r="I3411" s="15">
        <v>3500</v>
      </c>
      <c r="J3411" s="15">
        <v>0</v>
      </c>
      <c r="K3411" s="15">
        <v>0</v>
      </c>
      <c r="L3411" s="15">
        <v>0</v>
      </c>
      <c r="M3411" s="15">
        <v>0</v>
      </c>
      <c r="N3411" s="15" t="str">
        <v/>
      </c>
      <c r="O3411" s="15" t="str">
        <v/>
      </c>
      <c r="P3411" s="22">
        <v>0</v>
      </c>
      <c r="Q3411">
        <v>0</v>
      </c>
    </row>
    <row r="3412" spans="1:17">
      <c r="A3412" s="19">
        <v>0</v>
      </c>
      <c r="B3412" s="19">
        <v>0</v>
      </c>
      <c r="C3412" s="19">
        <v>0</v>
      </c>
      <c r="D3412" s="19">
        <v>0</v>
      </c>
      <c r="E3412" s="19">
        <v>0</v>
      </c>
      <c r="F3412" s="19">
        <v>0</v>
      </c>
      <c r="G3412" s="19">
        <v>0</v>
      </c>
      <c r="H3412" s="19">
        <v>0</v>
      </c>
      <c r="I3412" s="15">
        <v>3500</v>
      </c>
      <c r="J3412" s="15">
        <v>0</v>
      </c>
      <c r="K3412" s="15">
        <v>0</v>
      </c>
      <c r="L3412" s="15">
        <v>0</v>
      </c>
      <c r="M3412" s="15">
        <v>0</v>
      </c>
      <c r="N3412" s="15" t="str">
        <v/>
      </c>
      <c r="O3412" s="15" t="str">
        <v/>
      </c>
      <c r="P3412" s="22">
        <v>0</v>
      </c>
      <c r="Q3412">
        <v>0</v>
      </c>
    </row>
    <row r="3413" spans="1:17">
      <c r="A3413" s="19">
        <v>0</v>
      </c>
      <c r="B3413" s="19">
        <v>0</v>
      </c>
      <c r="C3413" s="19">
        <v>0</v>
      </c>
      <c r="D3413" s="19">
        <v>0</v>
      </c>
      <c r="E3413" s="19">
        <v>0</v>
      </c>
      <c r="F3413" s="19">
        <v>0</v>
      </c>
      <c r="G3413" s="19">
        <v>0</v>
      </c>
      <c r="H3413" s="19">
        <v>0</v>
      </c>
      <c r="I3413" s="15">
        <v>3500</v>
      </c>
      <c r="J3413" s="15">
        <v>0</v>
      </c>
      <c r="K3413" s="15">
        <v>0</v>
      </c>
      <c r="L3413" s="15">
        <v>0</v>
      </c>
      <c r="M3413" s="15">
        <v>0</v>
      </c>
      <c r="N3413" s="15" t="str">
        <v/>
      </c>
      <c r="O3413" s="15" t="str">
        <v/>
      </c>
      <c r="P3413" s="22">
        <v>0</v>
      </c>
      <c r="Q3413">
        <v>0</v>
      </c>
    </row>
    <row r="3414" spans="1:17">
      <c r="A3414" s="19">
        <v>0</v>
      </c>
      <c r="B3414" s="19">
        <v>0</v>
      </c>
      <c r="C3414" s="19">
        <v>0</v>
      </c>
      <c r="D3414" s="19">
        <v>0</v>
      </c>
      <c r="E3414" s="19">
        <v>0</v>
      </c>
      <c r="F3414" s="19">
        <v>0</v>
      </c>
      <c r="G3414" s="19">
        <v>0</v>
      </c>
      <c r="H3414" s="19">
        <v>0</v>
      </c>
      <c r="I3414" s="15">
        <v>3500</v>
      </c>
      <c r="J3414" s="15">
        <v>0</v>
      </c>
      <c r="K3414" s="15">
        <v>0</v>
      </c>
      <c r="L3414" s="15">
        <v>0</v>
      </c>
      <c r="M3414" s="15">
        <v>0</v>
      </c>
      <c r="N3414" s="15" t="str">
        <v/>
      </c>
      <c r="O3414" s="15" t="str">
        <v/>
      </c>
      <c r="P3414" s="22">
        <v>0</v>
      </c>
      <c r="Q3414">
        <v>0</v>
      </c>
    </row>
    <row r="3415" spans="1:17">
      <c r="A3415" s="19">
        <v>0</v>
      </c>
      <c r="B3415" s="19">
        <v>0</v>
      </c>
      <c r="C3415" s="19">
        <v>0</v>
      </c>
      <c r="D3415" s="19">
        <v>0</v>
      </c>
      <c r="E3415" s="19">
        <v>0</v>
      </c>
      <c r="F3415" s="19">
        <v>0</v>
      </c>
      <c r="G3415" s="19">
        <v>0</v>
      </c>
      <c r="H3415" s="19">
        <v>0</v>
      </c>
      <c r="I3415" s="15">
        <v>3500</v>
      </c>
      <c r="J3415" s="15">
        <v>0</v>
      </c>
      <c r="K3415" s="15">
        <v>0</v>
      </c>
      <c r="L3415" s="15">
        <v>0</v>
      </c>
      <c r="M3415" s="15">
        <v>0</v>
      </c>
      <c r="N3415" s="15" t="str">
        <v/>
      </c>
      <c r="O3415" s="15" t="str">
        <v/>
      </c>
      <c r="P3415" s="22">
        <v>0</v>
      </c>
      <c r="Q3415">
        <v>0</v>
      </c>
    </row>
    <row r="3416" spans="1:17">
      <c r="A3416" s="19">
        <v>0</v>
      </c>
      <c r="B3416" s="19">
        <v>0</v>
      </c>
      <c r="C3416" s="19">
        <v>0</v>
      </c>
      <c r="D3416" s="19">
        <v>0</v>
      </c>
      <c r="E3416" s="19">
        <v>0</v>
      </c>
      <c r="F3416" s="19">
        <v>0</v>
      </c>
      <c r="G3416" s="19">
        <v>0</v>
      </c>
      <c r="H3416" s="19">
        <v>0</v>
      </c>
      <c r="I3416" s="15">
        <v>3500</v>
      </c>
      <c r="J3416" s="15">
        <v>0</v>
      </c>
      <c r="K3416" s="15">
        <v>0</v>
      </c>
      <c r="L3416" s="15">
        <v>0</v>
      </c>
      <c r="M3416" s="15">
        <v>0</v>
      </c>
      <c r="N3416" s="15" t="str">
        <v/>
      </c>
      <c r="O3416" s="15" t="str">
        <v/>
      </c>
      <c r="P3416" s="22">
        <v>0</v>
      </c>
      <c r="Q3416">
        <v>0</v>
      </c>
    </row>
    <row r="3417" spans="1:17">
      <c r="A3417" s="19">
        <v>0</v>
      </c>
      <c r="B3417" s="19">
        <v>0</v>
      </c>
      <c r="C3417" s="19">
        <v>0</v>
      </c>
      <c r="D3417" s="19">
        <v>0</v>
      </c>
      <c r="E3417" s="19">
        <v>0</v>
      </c>
      <c r="F3417" s="19">
        <v>0</v>
      </c>
      <c r="G3417" s="19">
        <v>0</v>
      </c>
      <c r="H3417" s="19">
        <v>0</v>
      </c>
      <c r="I3417" s="15">
        <v>3500</v>
      </c>
      <c r="J3417" s="15">
        <v>0</v>
      </c>
      <c r="K3417" s="15">
        <v>0</v>
      </c>
      <c r="L3417" s="15">
        <v>0</v>
      </c>
      <c r="M3417" s="15">
        <v>0</v>
      </c>
      <c r="N3417" s="15" t="str">
        <v/>
      </c>
      <c r="O3417" s="15" t="str">
        <v/>
      </c>
      <c r="P3417" s="22">
        <v>0</v>
      </c>
      <c r="Q3417">
        <v>0</v>
      </c>
    </row>
    <row r="3418" spans="1:17">
      <c r="A3418" s="19">
        <v>0</v>
      </c>
      <c r="B3418" s="19">
        <v>0</v>
      </c>
      <c r="C3418" s="19">
        <v>0</v>
      </c>
      <c r="D3418" s="19">
        <v>0</v>
      </c>
      <c r="E3418" s="19">
        <v>0</v>
      </c>
      <c r="F3418" s="19">
        <v>0</v>
      </c>
      <c r="G3418" s="19">
        <v>0</v>
      </c>
      <c r="H3418" s="19">
        <v>0</v>
      </c>
      <c r="I3418" s="15">
        <v>3500</v>
      </c>
      <c r="J3418" s="15">
        <v>0</v>
      </c>
      <c r="K3418" s="15">
        <v>0</v>
      </c>
      <c r="L3418" s="15">
        <v>0</v>
      </c>
      <c r="M3418" s="15">
        <v>0</v>
      </c>
      <c r="N3418" s="15" t="str">
        <v/>
      </c>
      <c r="O3418" s="15" t="str">
        <v/>
      </c>
      <c r="P3418" s="22">
        <v>0</v>
      </c>
      <c r="Q3418">
        <v>0</v>
      </c>
    </row>
    <row r="3419" spans="1:17">
      <c r="A3419" s="19">
        <v>0</v>
      </c>
      <c r="B3419" s="19">
        <v>0</v>
      </c>
      <c r="C3419" s="19">
        <v>0</v>
      </c>
      <c r="D3419" s="19">
        <v>0</v>
      </c>
      <c r="E3419" s="19">
        <v>0</v>
      </c>
      <c r="F3419" s="19">
        <v>0</v>
      </c>
      <c r="G3419" s="19">
        <v>0</v>
      </c>
      <c r="H3419" s="19">
        <v>0</v>
      </c>
      <c r="I3419" s="15">
        <v>3500</v>
      </c>
      <c r="J3419" s="15">
        <v>0</v>
      </c>
      <c r="K3419" s="15">
        <v>0</v>
      </c>
      <c r="L3419" s="15">
        <v>0</v>
      </c>
      <c r="M3419" s="15">
        <v>0</v>
      </c>
      <c r="N3419" s="15" t="str">
        <v/>
      </c>
      <c r="O3419" s="15" t="str">
        <v/>
      </c>
      <c r="P3419" s="22">
        <v>0</v>
      </c>
      <c r="Q3419">
        <v>0</v>
      </c>
    </row>
    <row r="3420" spans="1:17">
      <c r="A3420" s="19">
        <v>0</v>
      </c>
      <c r="B3420" s="19">
        <v>0</v>
      </c>
      <c r="C3420" s="19">
        <v>0</v>
      </c>
      <c r="D3420" s="19">
        <v>0</v>
      </c>
      <c r="E3420" s="19">
        <v>0</v>
      </c>
      <c r="F3420" s="19">
        <v>0</v>
      </c>
      <c r="G3420" s="19">
        <v>0</v>
      </c>
      <c r="H3420" s="19">
        <v>0</v>
      </c>
      <c r="I3420" s="15">
        <v>3500</v>
      </c>
      <c r="J3420" s="15">
        <v>0</v>
      </c>
      <c r="K3420" s="15">
        <v>0</v>
      </c>
      <c r="L3420" s="15">
        <v>0</v>
      </c>
      <c r="M3420" s="15">
        <v>0</v>
      </c>
      <c r="N3420" s="15" t="str">
        <v/>
      </c>
      <c r="O3420" s="15" t="str">
        <v/>
      </c>
      <c r="P3420" s="22">
        <v>0</v>
      </c>
      <c r="Q3420">
        <v>0</v>
      </c>
    </row>
    <row r="3421" spans="1:17">
      <c r="A3421" s="19">
        <v>0</v>
      </c>
      <c r="B3421" s="19">
        <v>0</v>
      </c>
      <c r="C3421" s="19">
        <v>0</v>
      </c>
      <c r="D3421" s="19">
        <v>0</v>
      </c>
      <c r="E3421" s="19">
        <v>0</v>
      </c>
      <c r="F3421" s="19">
        <v>0</v>
      </c>
      <c r="G3421" s="19">
        <v>0</v>
      </c>
      <c r="H3421" s="19">
        <v>0</v>
      </c>
      <c r="I3421" s="15">
        <v>3500</v>
      </c>
      <c r="J3421" s="15">
        <v>0</v>
      </c>
      <c r="K3421" s="15">
        <v>0</v>
      </c>
      <c r="L3421" s="15">
        <v>0</v>
      </c>
      <c r="M3421" s="15">
        <v>0</v>
      </c>
      <c r="N3421" s="15" t="str">
        <v/>
      </c>
      <c r="O3421" s="15" t="str">
        <v/>
      </c>
      <c r="P3421" s="22">
        <v>0</v>
      </c>
      <c r="Q3421">
        <v>0</v>
      </c>
    </row>
    <row r="3422" spans="1:17">
      <c r="A3422" s="19">
        <v>0</v>
      </c>
      <c r="B3422" s="19">
        <v>0</v>
      </c>
      <c r="C3422" s="19">
        <v>0</v>
      </c>
      <c r="D3422" s="19">
        <v>0</v>
      </c>
      <c r="E3422" s="19">
        <v>0</v>
      </c>
      <c r="F3422" s="19">
        <v>0</v>
      </c>
      <c r="G3422" s="19">
        <v>0</v>
      </c>
      <c r="H3422" s="19">
        <v>0</v>
      </c>
      <c r="I3422" s="15">
        <v>3500</v>
      </c>
      <c r="J3422" s="15">
        <v>0</v>
      </c>
      <c r="K3422" s="15">
        <v>0</v>
      </c>
      <c r="L3422" s="15">
        <v>0</v>
      </c>
      <c r="M3422" s="15">
        <v>0</v>
      </c>
      <c r="N3422" s="15" t="str">
        <v/>
      </c>
      <c r="O3422" s="15" t="str">
        <v/>
      </c>
      <c r="P3422" s="22">
        <v>0</v>
      </c>
      <c r="Q3422">
        <v>0</v>
      </c>
    </row>
    <row r="3423" spans="1:17">
      <c r="A3423" s="19">
        <v>0</v>
      </c>
      <c r="B3423" s="19">
        <v>0</v>
      </c>
      <c r="C3423" s="19">
        <v>0</v>
      </c>
      <c r="D3423" s="19">
        <v>0</v>
      </c>
      <c r="E3423" s="19">
        <v>0</v>
      </c>
      <c r="F3423" s="19">
        <v>0</v>
      </c>
      <c r="G3423" s="19">
        <v>0</v>
      </c>
      <c r="H3423" s="19">
        <v>0</v>
      </c>
      <c r="I3423" s="15">
        <v>3500</v>
      </c>
      <c r="J3423" s="15">
        <v>0</v>
      </c>
      <c r="K3423" s="15">
        <v>0</v>
      </c>
      <c r="L3423" s="15">
        <v>0</v>
      </c>
      <c r="M3423" s="15">
        <v>0</v>
      </c>
      <c r="N3423" s="15" t="str">
        <v/>
      </c>
      <c r="O3423" s="15" t="str">
        <v/>
      </c>
      <c r="P3423" s="22">
        <v>0</v>
      </c>
      <c r="Q3423">
        <v>0</v>
      </c>
    </row>
    <row r="3424" spans="1:17">
      <c r="A3424" s="19">
        <v>0</v>
      </c>
      <c r="B3424" s="19">
        <v>0</v>
      </c>
      <c r="C3424" s="19">
        <v>0</v>
      </c>
      <c r="D3424" s="19">
        <v>0</v>
      </c>
      <c r="E3424" s="19">
        <v>0</v>
      </c>
      <c r="F3424" s="19">
        <v>0</v>
      </c>
      <c r="G3424" s="19">
        <v>0</v>
      </c>
      <c r="H3424" s="19">
        <v>0</v>
      </c>
      <c r="I3424" s="15">
        <v>3500</v>
      </c>
      <c r="J3424" s="15">
        <v>0</v>
      </c>
      <c r="K3424" s="15">
        <v>0</v>
      </c>
      <c r="L3424" s="15">
        <v>0</v>
      </c>
      <c r="M3424" s="15">
        <v>0</v>
      </c>
      <c r="N3424" s="15" t="str">
        <v/>
      </c>
      <c r="O3424" s="15" t="str">
        <v/>
      </c>
      <c r="P3424" s="22">
        <v>0</v>
      </c>
      <c r="Q3424">
        <v>0</v>
      </c>
    </row>
    <row r="3425" spans="1:17">
      <c r="A3425" s="19">
        <v>0</v>
      </c>
      <c r="B3425" s="19">
        <v>0</v>
      </c>
      <c r="C3425" s="19">
        <v>0</v>
      </c>
      <c r="D3425" s="19">
        <v>0</v>
      </c>
      <c r="E3425" s="19">
        <v>0</v>
      </c>
      <c r="F3425" s="19">
        <v>0</v>
      </c>
      <c r="G3425" s="19">
        <v>0</v>
      </c>
      <c r="H3425" s="19">
        <v>0</v>
      </c>
      <c r="I3425" s="15">
        <v>3500</v>
      </c>
      <c r="J3425" s="15">
        <v>0</v>
      </c>
      <c r="K3425" s="15">
        <v>0</v>
      </c>
      <c r="L3425" s="15">
        <v>0</v>
      </c>
      <c r="M3425" s="15">
        <v>0</v>
      </c>
      <c r="N3425" s="15" t="str">
        <v/>
      </c>
      <c r="O3425" s="15" t="str">
        <v/>
      </c>
      <c r="P3425" s="22">
        <v>0</v>
      </c>
      <c r="Q3425">
        <v>0</v>
      </c>
    </row>
    <row r="3426" spans="1:17">
      <c r="A3426" s="19">
        <v>0</v>
      </c>
      <c r="B3426" s="19">
        <v>0</v>
      </c>
      <c r="C3426" s="19">
        <v>0</v>
      </c>
      <c r="D3426" s="19">
        <v>0</v>
      </c>
      <c r="E3426" s="19">
        <v>0</v>
      </c>
      <c r="F3426" s="19">
        <v>0</v>
      </c>
      <c r="G3426" s="19">
        <v>0</v>
      </c>
      <c r="H3426" s="19">
        <v>0</v>
      </c>
      <c r="I3426" s="15">
        <v>3500</v>
      </c>
      <c r="J3426" s="15">
        <v>0</v>
      </c>
      <c r="K3426" s="15">
        <v>0</v>
      </c>
      <c r="L3426" s="15">
        <v>0</v>
      </c>
      <c r="M3426" s="15">
        <v>0</v>
      </c>
      <c r="N3426" s="15" t="str">
        <v/>
      </c>
      <c r="O3426" s="15" t="str">
        <v/>
      </c>
      <c r="P3426" s="22">
        <v>0</v>
      </c>
      <c r="Q3426">
        <v>0</v>
      </c>
    </row>
    <row r="3427" spans="1:17">
      <c r="A3427" s="19">
        <v>0</v>
      </c>
      <c r="B3427" s="19">
        <v>0</v>
      </c>
      <c r="C3427" s="19">
        <v>0</v>
      </c>
      <c r="D3427" s="19">
        <v>0</v>
      </c>
      <c r="E3427" s="19">
        <v>0</v>
      </c>
      <c r="F3427" s="19">
        <v>0</v>
      </c>
      <c r="G3427" s="19">
        <v>0</v>
      </c>
      <c r="H3427" s="19">
        <v>0</v>
      </c>
      <c r="I3427" s="15">
        <v>3500</v>
      </c>
      <c r="J3427" s="15">
        <v>0</v>
      </c>
      <c r="K3427" s="15">
        <v>0</v>
      </c>
      <c r="L3427" s="15">
        <v>0</v>
      </c>
      <c r="M3427" s="15">
        <v>0</v>
      </c>
      <c r="N3427" s="15" t="str">
        <v/>
      </c>
      <c r="O3427" s="15" t="str">
        <v/>
      </c>
      <c r="P3427" s="22">
        <v>0</v>
      </c>
      <c r="Q3427">
        <v>0</v>
      </c>
    </row>
    <row r="3428" spans="1:17">
      <c r="A3428" s="19">
        <v>0</v>
      </c>
      <c r="B3428" s="19">
        <v>0</v>
      </c>
      <c r="C3428" s="19">
        <v>0</v>
      </c>
      <c r="D3428" s="19">
        <v>0</v>
      </c>
      <c r="E3428" s="19">
        <v>0</v>
      </c>
      <c r="F3428" s="19">
        <v>0</v>
      </c>
      <c r="G3428" s="19">
        <v>0</v>
      </c>
      <c r="H3428" s="19">
        <v>0</v>
      </c>
      <c r="I3428" s="15">
        <v>3500</v>
      </c>
      <c r="J3428" s="15">
        <v>0</v>
      </c>
      <c r="K3428" s="15">
        <v>0</v>
      </c>
      <c r="L3428" s="15">
        <v>0</v>
      </c>
      <c r="M3428" s="15">
        <v>0</v>
      </c>
      <c r="N3428" s="15" t="str">
        <v/>
      </c>
      <c r="O3428" s="15" t="str">
        <v/>
      </c>
      <c r="P3428" s="22">
        <v>0</v>
      </c>
      <c r="Q3428">
        <v>0</v>
      </c>
    </row>
    <row r="3429" spans="1:17">
      <c r="A3429" s="19">
        <v>0</v>
      </c>
      <c r="B3429" s="19">
        <v>0</v>
      </c>
      <c r="C3429" s="19">
        <v>0</v>
      </c>
      <c r="D3429" s="19">
        <v>0</v>
      </c>
      <c r="E3429" s="19">
        <v>0</v>
      </c>
      <c r="F3429" s="19">
        <v>0</v>
      </c>
      <c r="G3429" s="19">
        <v>0</v>
      </c>
      <c r="H3429" s="19">
        <v>0</v>
      </c>
      <c r="I3429" s="15">
        <v>3500</v>
      </c>
      <c r="J3429" s="15">
        <v>0</v>
      </c>
      <c r="K3429" s="15">
        <v>0</v>
      </c>
      <c r="L3429" s="15">
        <v>0</v>
      </c>
      <c r="M3429" s="15">
        <v>0</v>
      </c>
      <c r="N3429" s="15" t="str">
        <v/>
      </c>
      <c r="O3429" s="15" t="str">
        <v/>
      </c>
      <c r="P3429" s="22">
        <v>0</v>
      </c>
      <c r="Q3429">
        <v>0</v>
      </c>
    </row>
    <row r="3430" spans="1:17">
      <c r="A3430" s="19">
        <v>0</v>
      </c>
      <c r="B3430" s="19">
        <v>0</v>
      </c>
      <c r="C3430" s="19">
        <v>0</v>
      </c>
      <c r="D3430" s="19">
        <v>0</v>
      </c>
      <c r="E3430" s="19">
        <v>0</v>
      </c>
      <c r="F3430" s="19">
        <v>0</v>
      </c>
      <c r="G3430" s="19">
        <v>0</v>
      </c>
      <c r="H3430" s="19">
        <v>0</v>
      </c>
      <c r="I3430" s="15">
        <v>3500</v>
      </c>
      <c r="J3430" s="15">
        <v>0</v>
      </c>
      <c r="K3430" s="15">
        <v>0</v>
      </c>
      <c r="L3430" s="15">
        <v>0</v>
      </c>
      <c r="M3430" s="15">
        <v>0</v>
      </c>
      <c r="N3430" s="15" t="str">
        <v/>
      </c>
      <c r="O3430" s="15" t="str">
        <v/>
      </c>
      <c r="P3430" s="22">
        <v>0</v>
      </c>
      <c r="Q3430">
        <v>0</v>
      </c>
    </row>
    <row r="3431" spans="1:17">
      <c r="A3431" s="19">
        <v>0</v>
      </c>
      <c r="B3431" s="19">
        <v>0</v>
      </c>
      <c r="C3431" s="19">
        <v>0</v>
      </c>
      <c r="D3431" s="19">
        <v>0</v>
      </c>
      <c r="E3431" s="19">
        <v>0</v>
      </c>
      <c r="F3431" s="19">
        <v>0</v>
      </c>
      <c r="G3431" s="19">
        <v>0</v>
      </c>
      <c r="H3431" s="19">
        <v>0</v>
      </c>
      <c r="I3431" s="15">
        <v>3500</v>
      </c>
      <c r="J3431" s="15">
        <v>0</v>
      </c>
      <c r="K3431" s="15">
        <v>0</v>
      </c>
      <c r="L3431" s="15">
        <v>0</v>
      </c>
      <c r="M3431" s="15">
        <v>0</v>
      </c>
      <c r="N3431" s="15" t="str">
        <v/>
      </c>
      <c r="O3431" s="15" t="str">
        <v/>
      </c>
      <c r="P3431" s="22">
        <v>0</v>
      </c>
      <c r="Q3431">
        <v>0</v>
      </c>
    </row>
    <row r="3432" spans="1:17">
      <c r="A3432" s="19">
        <v>0</v>
      </c>
      <c r="B3432" s="19">
        <v>0</v>
      </c>
      <c r="C3432" s="19">
        <v>0</v>
      </c>
      <c r="D3432" s="19">
        <v>0</v>
      </c>
      <c r="E3432" s="19">
        <v>0</v>
      </c>
      <c r="F3432" s="19">
        <v>0</v>
      </c>
      <c r="G3432" s="19">
        <v>0</v>
      </c>
      <c r="H3432" s="19">
        <v>0</v>
      </c>
      <c r="I3432" s="15">
        <v>3500</v>
      </c>
      <c r="J3432" s="15">
        <v>0</v>
      </c>
      <c r="K3432" s="15">
        <v>0</v>
      </c>
      <c r="L3432" s="15">
        <v>0</v>
      </c>
      <c r="M3432" s="15">
        <v>0</v>
      </c>
      <c r="N3432" s="15" t="str">
        <v/>
      </c>
      <c r="O3432" s="15" t="str">
        <v/>
      </c>
      <c r="P3432" s="22">
        <v>0</v>
      </c>
      <c r="Q3432">
        <v>0</v>
      </c>
    </row>
    <row r="3433" spans="1:17">
      <c r="A3433" s="19">
        <v>0</v>
      </c>
      <c r="B3433" s="19">
        <v>0</v>
      </c>
      <c r="C3433" s="19">
        <v>0</v>
      </c>
      <c r="D3433" s="19">
        <v>0</v>
      </c>
      <c r="E3433" s="19">
        <v>0</v>
      </c>
      <c r="F3433" s="19">
        <v>0</v>
      </c>
      <c r="G3433" s="19">
        <v>0</v>
      </c>
      <c r="H3433" s="19">
        <v>0</v>
      </c>
      <c r="I3433" s="15">
        <v>3500</v>
      </c>
      <c r="J3433" s="15">
        <v>0</v>
      </c>
      <c r="K3433" s="15">
        <v>0</v>
      </c>
      <c r="L3433" s="15">
        <v>0</v>
      </c>
      <c r="M3433" s="15">
        <v>0</v>
      </c>
      <c r="N3433" s="15" t="str">
        <v/>
      </c>
      <c r="O3433" s="15" t="str">
        <v/>
      </c>
      <c r="P3433" s="22">
        <v>0</v>
      </c>
      <c r="Q3433">
        <v>0</v>
      </c>
    </row>
    <row r="3434" spans="1:17">
      <c r="A3434" s="19">
        <v>0</v>
      </c>
      <c r="B3434" s="19">
        <v>0</v>
      </c>
      <c r="C3434" s="19">
        <v>0</v>
      </c>
      <c r="D3434" s="19">
        <v>0</v>
      </c>
      <c r="E3434" s="19">
        <v>0</v>
      </c>
      <c r="F3434" s="19">
        <v>0</v>
      </c>
      <c r="G3434" s="19">
        <v>0</v>
      </c>
      <c r="H3434" s="19">
        <v>0</v>
      </c>
      <c r="I3434" s="15">
        <v>3500</v>
      </c>
      <c r="J3434" s="15">
        <v>0</v>
      </c>
      <c r="K3434" s="15">
        <v>0</v>
      </c>
      <c r="L3434" s="15">
        <v>0</v>
      </c>
      <c r="M3434" s="15">
        <v>0</v>
      </c>
      <c r="N3434" s="15" t="str">
        <v/>
      </c>
      <c r="O3434" s="15" t="str">
        <v/>
      </c>
      <c r="P3434" s="22">
        <v>0</v>
      </c>
      <c r="Q3434">
        <v>0</v>
      </c>
    </row>
    <row r="3435" spans="1:17">
      <c r="A3435" s="19">
        <v>0</v>
      </c>
      <c r="B3435" s="19">
        <v>0</v>
      </c>
      <c r="C3435" s="19">
        <v>0</v>
      </c>
      <c r="D3435" s="19">
        <v>0</v>
      </c>
      <c r="E3435" s="19">
        <v>0</v>
      </c>
      <c r="F3435" s="19">
        <v>0</v>
      </c>
      <c r="G3435" s="19">
        <v>0</v>
      </c>
      <c r="H3435" s="19">
        <v>0</v>
      </c>
      <c r="I3435" s="15">
        <v>3500</v>
      </c>
      <c r="J3435" s="15">
        <v>0</v>
      </c>
      <c r="K3435" s="15">
        <v>0</v>
      </c>
      <c r="L3435" s="15">
        <v>0</v>
      </c>
      <c r="M3435" s="15">
        <v>0</v>
      </c>
      <c r="N3435" s="15" t="str">
        <v/>
      </c>
      <c r="O3435" s="15" t="str">
        <v/>
      </c>
      <c r="P3435" s="22">
        <v>0</v>
      </c>
      <c r="Q3435">
        <v>0</v>
      </c>
    </row>
    <row r="3436" spans="1:17">
      <c r="A3436" s="19">
        <v>0</v>
      </c>
      <c r="B3436" s="19">
        <v>0</v>
      </c>
      <c r="C3436" s="19">
        <v>0</v>
      </c>
      <c r="D3436" s="19">
        <v>0</v>
      </c>
      <c r="E3436" s="19">
        <v>0</v>
      </c>
      <c r="F3436" s="19">
        <v>0</v>
      </c>
      <c r="G3436" s="19">
        <v>0</v>
      </c>
      <c r="H3436" s="19">
        <v>0</v>
      </c>
      <c r="I3436" s="15">
        <v>3500</v>
      </c>
      <c r="J3436" s="15">
        <v>0</v>
      </c>
      <c r="K3436" s="15">
        <v>0</v>
      </c>
      <c r="L3436" s="15">
        <v>0</v>
      </c>
      <c r="M3436" s="15">
        <v>0</v>
      </c>
      <c r="N3436" s="15" t="str">
        <v/>
      </c>
      <c r="O3436" s="15" t="str">
        <v/>
      </c>
      <c r="P3436" s="22">
        <v>0</v>
      </c>
      <c r="Q3436">
        <v>0</v>
      </c>
    </row>
    <row r="3437" spans="1:17">
      <c r="A3437" s="19">
        <v>0</v>
      </c>
      <c r="B3437" s="19">
        <v>0</v>
      </c>
      <c r="C3437" s="19">
        <v>0</v>
      </c>
      <c r="D3437" s="19">
        <v>0</v>
      </c>
      <c r="E3437" s="19">
        <v>0</v>
      </c>
      <c r="F3437" s="19">
        <v>0</v>
      </c>
      <c r="G3437" s="19">
        <v>0</v>
      </c>
      <c r="H3437" s="19">
        <v>0</v>
      </c>
      <c r="I3437" s="15">
        <v>3500</v>
      </c>
      <c r="J3437" s="15">
        <v>0</v>
      </c>
      <c r="K3437" s="15">
        <v>0</v>
      </c>
      <c r="L3437" s="15">
        <v>0</v>
      </c>
      <c r="M3437" s="15">
        <v>0</v>
      </c>
      <c r="N3437" s="15" t="str">
        <v/>
      </c>
      <c r="O3437" s="15" t="str">
        <v/>
      </c>
      <c r="P3437" s="22">
        <v>0</v>
      </c>
      <c r="Q3437">
        <v>0</v>
      </c>
    </row>
    <row r="3438" spans="1:17">
      <c r="A3438" s="19">
        <v>0</v>
      </c>
      <c r="B3438" s="19">
        <v>0</v>
      </c>
      <c r="C3438" s="19">
        <v>0</v>
      </c>
      <c r="D3438" s="19">
        <v>0</v>
      </c>
      <c r="E3438" s="19">
        <v>0</v>
      </c>
      <c r="F3438" s="19">
        <v>0</v>
      </c>
      <c r="G3438" s="19">
        <v>0</v>
      </c>
      <c r="H3438" s="19">
        <v>0</v>
      </c>
      <c r="I3438" s="15">
        <v>3500</v>
      </c>
      <c r="J3438" s="15">
        <v>0</v>
      </c>
      <c r="K3438" s="15">
        <v>0</v>
      </c>
      <c r="L3438" s="15">
        <v>0</v>
      </c>
      <c r="M3438" s="15">
        <v>0</v>
      </c>
      <c r="N3438" s="15" t="str">
        <v/>
      </c>
      <c r="O3438" s="15" t="str">
        <v/>
      </c>
      <c r="P3438" s="22">
        <v>0</v>
      </c>
      <c r="Q3438">
        <v>0</v>
      </c>
    </row>
    <row r="3439" spans="1:17">
      <c r="A3439" s="19">
        <v>0</v>
      </c>
      <c r="B3439" s="19">
        <v>0</v>
      </c>
      <c r="C3439" s="19">
        <v>0</v>
      </c>
      <c r="D3439" s="19">
        <v>0</v>
      </c>
      <c r="E3439" s="19">
        <v>0</v>
      </c>
      <c r="F3439" s="19">
        <v>0</v>
      </c>
      <c r="G3439" s="19">
        <v>0</v>
      </c>
      <c r="H3439" s="19">
        <v>0</v>
      </c>
      <c r="I3439" s="15">
        <v>3500</v>
      </c>
      <c r="J3439" s="15">
        <v>0</v>
      </c>
      <c r="K3439" s="15">
        <v>0</v>
      </c>
      <c r="L3439" s="15">
        <v>0</v>
      </c>
      <c r="M3439" s="15">
        <v>0</v>
      </c>
      <c r="N3439" s="15" t="str">
        <v/>
      </c>
      <c r="O3439" s="15" t="str">
        <v/>
      </c>
      <c r="P3439" s="22">
        <v>0</v>
      </c>
      <c r="Q3439">
        <v>0</v>
      </c>
    </row>
    <row r="3440" spans="1:17">
      <c r="A3440" s="19">
        <v>0</v>
      </c>
      <c r="B3440" s="19">
        <v>0</v>
      </c>
      <c r="C3440" s="19">
        <v>0</v>
      </c>
      <c r="D3440" s="19">
        <v>0</v>
      </c>
      <c r="E3440" s="19">
        <v>0</v>
      </c>
      <c r="F3440" s="19">
        <v>0</v>
      </c>
      <c r="G3440" s="19">
        <v>0</v>
      </c>
      <c r="H3440" s="19">
        <v>0</v>
      </c>
      <c r="I3440" s="15">
        <v>3500</v>
      </c>
      <c r="J3440" s="15">
        <v>0</v>
      </c>
      <c r="K3440" s="15">
        <v>0</v>
      </c>
      <c r="L3440" s="15">
        <v>0</v>
      </c>
      <c r="M3440" s="15">
        <v>0</v>
      </c>
      <c r="N3440" s="15" t="str">
        <v/>
      </c>
      <c r="O3440" s="15" t="str">
        <v/>
      </c>
      <c r="P3440" s="22">
        <v>0</v>
      </c>
      <c r="Q3440">
        <v>0</v>
      </c>
    </row>
    <row r="3441" spans="1:17">
      <c r="A3441" s="19">
        <v>0</v>
      </c>
      <c r="B3441" s="19">
        <v>0</v>
      </c>
      <c r="C3441" s="19">
        <v>0</v>
      </c>
      <c r="D3441" s="19">
        <v>0</v>
      </c>
      <c r="E3441" s="19">
        <v>0</v>
      </c>
      <c r="F3441" s="19">
        <v>0</v>
      </c>
      <c r="G3441" s="19">
        <v>0</v>
      </c>
      <c r="H3441" s="19">
        <v>0</v>
      </c>
      <c r="I3441" s="15">
        <v>3500</v>
      </c>
      <c r="J3441" s="15">
        <v>0</v>
      </c>
      <c r="K3441" s="15">
        <v>0</v>
      </c>
      <c r="L3441" s="15">
        <v>0</v>
      </c>
      <c r="M3441" s="15">
        <v>0</v>
      </c>
      <c r="N3441" s="15" t="str">
        <v/>
      </c>
      <c r="O3441" s="15" t="str">
        <v/>
      </c>
      <c r="P3441" s="22">
        <v>0</v>
      </c>
      <c r="Q3441">
        <v>0</v>
      </c>
    </row>
    <row r="3442" spans="1:17">
      <c r="A3442" s="19">
        <v>0</v>
      </c>
      <c r="B3442" s="19">
        <v>0</v>
      </c>
      <c r="C3442" s="19">
        <v>0</v>
      </c>
      <c r="D3442" s="19">
        <v>0</v>
      </c>
      <c r="E3442" s="19">
        <v>0</v>
      </c>
      <c r="F3442" s="19">
        <v>0</v>
      </c>
      <c r="G3442" s="19">
        <v>0</v>
      </c>
      <c r="H3442" s="19">
        <v>0</v>
      </c>
      <c r="I3442" s="15">
        <v>3500</v>
      </c>
      <c r="J3442" s="15">
        <v>0</v>
      </c>
      <c r="K3442" s="15">
        <v>0</v>
      </c>
      <c r="L3442" s="15">
        <v>0</v>
      </c>
      <c r="M3442" s="15">
        <v>0</v>
      </c>
      <c r="N3442" s="15" t="str">
        <v/>
      </c>
      <c r="O3442" s="15" t="str">
        <v/>
      </c>
      <c r="P3442" s="22">
        <v>0</v>
      </c>
      <c r="Q3442">
        <v>0</v>
      </c>
    </row>
    <row r="3443" spans="1:17">
      <c r="A3443" s="19">
        <v>0</v>
      </c>
      <c r="B3443" s="19">
        <v>0</v>
      </c>
      <c r="C3443" s="19">
        <v>0</v>
      </c>
      <c r="D3443" s="19">
        <v>0</v>
      </c>
      <c r="E3443" s="19">
        <v>0</v>
      </c>
      <c r="F3443" s="19">
        <v>0</v>
      </c>
      <c r="G3443" s="19">
        <v>0</v>
      </c>
      <c r="H3443" s="19">
        <v>0</v>
      </c>
      <c r="I3443" s="15">
        <v>3500</v>
      </c>
      <c r="J3443" s="15">
        <v>0</v>
      </c>
      <c r="K3443" s="15">
        <v>0</v>
      </c>
      <c r="L3443" s="15">
        <v>0</v>
      </c>
      <c r="M3443" s="15">
        <v>0</v>
      </c>
      <c r="N3443" s="15" t="str">
        <v/>
      </c>
      <c r="O3443" s="15" t="str">
        <v/>
      </c>
      <c r="P3443" s="22">
        <v>0</v>
      </c>
      <c r="Q3443">
        <v>0</v>
      </c>
    </row>
    <row r="3444" spans="1:17">
      <c r="A3444" s="19">
        <v>0</v>
      </c>
      <c r="B3444" s="19">
        <v>0</v>
      </c>
      <c r="C3444" s="19">
        <v>0</v>
      </c>
      <c r="D3444" s="19">
        <v>0</v>
      </c>
      <c r="E3444" s="19">
        <v>0</v>
      </c>
      <c r="F3444" s="19">
        <v>0</v>
      </c>
      <c r="G3444" s="19">
        <v>0</v>
      </c>
      <c r="H3444" s="19">
        <v>0</v>
      </c>
      <c r="I3444" s="15">
        <v>3500</v>
      </c>
      <c r="J3444" s="15">
        <v>0</v>
      </c>
      <c r="K3444" s="15">
        <v>0</v>
      </c>
      <c r="L3444" s="15">
        <v>0</v>
      </c>
      <c r="M3444" s="15">
        <v>0</v>
      </c>
      <c r="N3444" s="15" t="str">
        <v/>
      </c>
      <c r="O3444" s="15" t="str">
        <v/>
      </c>
      <c r="P3444" s="22">
        <v>0</v>
      </c>
      <c r="Q3444">
        <v>0</v>
      </c>
    </row>
    <row r="3445" spans="1:17">
      <c r="A3445" s="19">
        <v>0</v>
      </c>
      <c r="B3445" s="19">
        <v>0</v>
      </c>
      <c r="C3445" s="19">
        <v>0</v>
      </c>
      <c r="D3445" s="19">
        <v>0</v>
      </c>
      <c r="E3445" s="19">
        <v>0</v>
      </c>
      <c r="F3445" s="19">
        <v>0</v>
      </c>
      <c r="G3445" s="19">
        <v>0</v>
      </c>
      <c r="H3445" s="19">
        <v>0</v>
      </c>
      <c r="I3445" s="15">
        <v>3500</v>
      </c>
      <c r="J3445" s="15">
        <v>0</v>
      </c>
      <c r="K3445" s="15">
        <v>0</v>
      </c>
      <c r="L3445" s="15">
        <v>0</v>
      </c>
      <c r="M3445" s="15">
        <v>0</v>
      </c>
      <c r="N3445" s="15" t="str">
        <v/>
      </c>
      <c r="O3445" s="15" t="str">
        <v/>
      </c>
      <c r="P3445" s="22">
        <v>0</v>
      </c>
      <c r="Q3445">
        <v>0</v>
      </c>
    </row>
    <row r="3446" spans="1:17">
      <c r="A3446" s="19">
        <v>0</v>
      </c>
      <c r="B3446" s="19">
        <v>0</v>
      </c>
      <c r="C3446" s="19">
        <v>0</v>
      </c>
      <c r="D3446" s="19">
        <v>0</v>
      </c>
      <c r="E3446" s="19">
        <v>0</v>
      </c>
      <c r="F3446" s="19">
        <v>0</v>
      </c>
      <c r="G3446" s="19">
        <v>0</v>
      </c>
      <c r="H3446" s="19">
        <v>0</v>
      </c>
      <c r="I3446" s="15">
        <v>3500</v>
      </c>
      <c r="J3446" s="15">
        <v>0</v>
      </c>
      <c r="K3446" s="15">
        <v>0</v>
      </c>
      <c r="L3446" s="15">
        <v>0</v>
      </c>
      <c r="M3446" s="15">
        <v>0</v>
      </c>
      <c r="N3446" s="15" t="str">
        <v/>
      </c>
      <c r="O3446" s="15" t="str">
        <v/>
      </c>
      <c r="P3446" s="22">
        <v>0</v>
      </c>
      <c r="Q3446">
        <v>0</v>
      </c>
    </row>
    <row r="3447" spans="1:17">
      <c r="A3447" s="19">
        <v>0</v>
      </c>
      <c r="B3447" s="19">
        <v>0</v>
      </c>
      <c r="C3447" s="19">
        <v>0</v>
      </c>
      <c r="D3447" s="19">
        <v>0</v>
      </c>
      <c r="E3447" s="19">
        <v>0</v>
      </c>
      <c r="F3447" s="19">
        <v>0</v>
      </c>
      <c r="G3447" s="19">
        <v>0</v>
      </c>
      <c r="H3447" s="19">
        <v>0</v>
      </c>
      <c r="I3447" s="15">
        <v>3500</v>
      </c>
      <c r="J3447" s="15">
        <v>0</v>
      </c>
      <c r="K3447" s="15">
        <v>0</v>
      </c>
      <c r="L3447" s="15">
        <v>0</v>
      </c>
      <c r="M3447" s="15">
        <v>0</v>
      </c>
      <c r="N3447" s="15" t="str">
        <v/>
      </c>
      <c r="O3447" s="15" t="str">
        <v/>
      </c>
      <c r="P3447" s="22">
        <v>0</v>
      </c>
      <c r="Q3447">
        <v>0</v>
      </c>
    </row>
    <row r="3448" spans="1:17">
      <c r="A3448" s="19">
        <v>0</v>
      </c>
      <c r="B3448" s="19">
        <v>0</v>
      </c>
      <c r="C3448" s="19">
        <v>0</v>
      </c>
      <c r="D3448" s="19">
        <v>0</v>
      </c>
      <c r="E3448" s="19">
        <v>0</v>
      </c>
      <c r="F3448" s="19">
        <v>0</v>
      </c>
      <c r="G3448" s="19">
        <v>0</v>
      </c>
      <c r="H3448" s="19">
        <v>0</v>
      </c>
      <c r="I3448" s="15">
        <v>3500</v>
      </c>
      <c r="J3448" s="15">
        <v>0</v>
      </c>
      <c r="K3448" s="15">
        <v>0</v>
      </c>
      <c r="L3448" s="15">
        <v>0</v>
      </c>
      <c r="M3448" s="15">
        <v>0</v>
      </c>
      <c r="N3448" s="15" t="str">
        <v/>
      </c>
      <c r="O3448" s="15" t="str">
        <v/>
      </c>
      <c r="P3448" s="22">
        <v>0</v>
      </c>
      <c r="Q3448">
        <v>0</v>
      </c>
    </row>
    <row r="3449" spans="1:17">
      <c r="A3449" s="19">
        <v>0</v>
      </c>
      <c r="B3449" s="19">
        <v>0</v>
      </c>
      <c r="C3449" s="19">
        <v>0</v>
      </c>
      <c r="D3449" s="19">
        <v>0</v>
      </c>
      <c r="E3449" s="19">
        <v>0</v>
      </c>
      <c r="F3449" s="19">
        <v>0</v>
      </c>
      <c r="G3449" s="19">
        <v>0</v>
      </c>
      <c r="H3449" s="19">
        <v>0</v>
      </c>
      <c r="I3449" s="15">
        <v>3500</v>
      </c>
      <c r="J3449" s="15">
        <v>0</v>
      </c>
      <c r="K3449" s="15">
        <v>0</v>
      </c>
      <c r="L3449" s="15">
        <v>0</v>
      </c>
      <c r="M3449" s="15">
        <v>0</v>
      </c>
      <c r="N3449" s="15" t="str">
        <v/>
      </c>
      <c r="O3449" s="15" t="str">
        <v/>
      </c>
      <c r="P3449" s="22">
        <v>0</v>
      </c>
      <c r="Q3449">
        <v>0</v>
      </c>
    </row>
    <row r="3450" spans="1:17">
      <c r="A3450" s="19">
        <v>0</v>
      </c>
      <c r="B3450" s="19">
        <v>0</v>
      </c>
      <c r="C3450" s="19">
        <v>0</v>
      </c>
      <c r="D3450" s="19">
        <v>0</v>
      </c>
      <c r="E3450" s="19">
        <v>0</v>
      </c>
      <c r="F3450" s="19">
        <v>0</v>
      </c>
      <c r="G3450" s="19">
        <v>0</v>
      </c>
      <c r="H3450" s="19">
        <v>0</v>
      </c>
      <c r="I3450" s="15">
        <v>3500</v>
      </c>
      <c r="J3450" s="15">
        <v>0</v>
      </c>
      <c r="K3450" s="15">
        <v>0</v>
      </c>
      <c r="L3450" s="15">
        <v>0</v>
      </c>
      <c r="M3450" s="15">
        <v>0</v>
      </c>
      <c r="N3450" s="15" t="str">
        <v/>
      </c>
      <c r="O3450" s="15" t="str">
        <v/>
      </c>
      <c r="P3450" s="22">
        <v>0</v>
      </c>
      <c r="Q3450">
        <v>0</v>
      </c>
    </row>
    <row r="3451" spans="1:17">
      <c r="A3451" s="19">
        <v>0</v>
      </c>
      <c r="B3451" s="19">
        <v>0</v>
      </c>
      <c r="C3451" s="19">
        <v>0</v>
      </c>
      <c r="D3451" s="19">
        <v>0</v>
      </c>
      <c r="E3451" s="19">
        <v>0</v>
      </c>
      <c r="F3451" s="19">
        <v>0</v>
      </c>
      <c r="G3451" s="19">
        <v>0</v>
      </c>
      <c r="H3451" s="19">
        <v>0</v>
      </c>
      <c r="I3451" s="15">
        <v>3500</v>
      </c>
      <c r="J3451" s="15">
        <v>0</v>
      </c>
      <c r="K3451" s="15">
        <v>0</v>
      </c>
      <c r="L3451" s="15">
        <v>0</v>
      </c>
      <c r="M3451" s="15">
        <v>0</v>
      </c>
      <c r="N3451" s="15" t="str">
        <v/>
      </c>
      <c r="O3451" s="15" t="str">
        <v/>
      </c>
      <c r="P3451" s="22">
        <v>0</v>
      </c>
      <c r="Q3451">
        <v>0</v>
      </c>
    </row>
    <row r="3452" spans="1:17">
      <c r="A3452" s="19">
        <v>0</v>
      </c>
      <c r="B3452" s="19">
        <v>0</v>
      </c>
      <c r="C3452" s="19">
        <v>0</v>
      </c>
      <c r="D3452" s="19">
        <v>0</v>
      </c>
      <c r="E3452" s="19">
        <v>0</v>
      </c>
      <c r="F3452" s="19">
        <v>0</v>
      </c>
      <c r="G3452" s="19">
        <v>0</v>
      </c>
      <c r="H3452" s="19">
        <v>0</v>
      </c>
      <c r="I3452" s="15">
        <v>3500</v>
      </c>
      <c r="J3452" s="15">
        <v>0</v>
      </c>
      <c r="K3452" s="15">
        <v>0</v>
      </c>
      <c r="L3452" s="15">
        <v>0</v>
      </c>
      <c r="M3452" s="15">
        <v>0</v>
      </c>
      <c r="N3452" s="15" t="str">
        <v/>
      </c>
      <c r="O3452" s="15" t="str">
        <v/>
      </c>
      <c r="P3452" s="22">
        <v>0</v>
      </c>
      <c r="Q3452">
        <v>0</v>
      </c>
    </row>
    <row r="3453" spans="1:17">
      <c r="A3453" s="19">
        <v>0</v>
      </c>
      <c r="B3453" s="19">
        <v>0</v>
      </c>
      <c r="C3453" s="19">
        <v>0</v>
      </c>
      <c r="D3453" s="19">
        <v>0</v>
      </c>
      <c r="E3453" s="19">
        <v>0</v>
      </c>
      <c r="F3453" s="19">
        <v>0</v>
      </c>
      <c r="G3453" s="19">
        <v>0</v>
      </c>
      <c r="H3453" s="19">
        <v>0</v>
      </c>
      <c r="I3453" s="15">
        <v>3500</v>
      </c>
      <c r="J3453" s="15">
        <v>0</v>
      </c>
      <c r="K3453" s="15">
        <v>0</v>
      </c>
      <c r="L3453" s="15">
        <v>0</v>
      </c>
      <c r="M3453" s="15">
        <v>0</v>
      </c>
      <c r="N3453" s="15" t="str">
        <v/>
      </c>
      <c r="O3453" s="15" t="str">
        <v/>
      </c>
      <c r="P3453" s="22">
        <v>0</v>
      </c>
      <c r="Q3453">
        <v>0</v>
      </c>
    </row>
    <row r="3454" spans="1:17">
      <c r="A3454" s="19">
        <v>0</v>
      </c>
      <c r="B3454" s="19">
        <v>0</v>
      </c>
      <c r="C3454" s="19">
        <v>0</v>
      </c>
      <c r="D3454" s="19">
        <v>0</v>
      </c>
      <c r="E3454" s="19">
        <v>0</v>
      </c>
      <c r="F3454" s="19">
        <v>0</v>
      </c>
      <c r="G3454" s="19">
        <v>0</v>
      </c>
      <c r="H3454" s="19">
        <v>0</v>
      </c>
      <c r="I3454" s="15">
        <v>3500</v>
      </c>
      <c r="J3454" s="15">
        <v>0</v>
      </c>
      <c r="K3454" s="15">
        <v>0</v>
      </c>
      <c r="L3454" s="15">
        <v>0</v>
      </c>
      <c r="M3454" s="15">
        <v>0</v>
      </c>
      <c r="N3454" s="15" t="str">
        <v/>
      </c>
      <c r="O3454" s="15" t="str">
        <v/>
      </c>
      <c r="P3454" s="22">
        <v>0</v>
      </c>
      <c r="Q3454">
        <v>0</v>
      </c>
    </row>
    <row r="3455" spans="1:17">
      <c r="A3455" s="19">
        <v>0</v>
      </c>
      <c r="B3455" s="19">
        <v>0</v>
      </c>
      <c r="C3455" s="19">
        <v>0</v>
      </c>
      <c r="D3455" s="19">
        <v>0</v>
      </c>
      <c r="E3455" s="19">
        <v>0</v>
      </c>
      <c r="F3455" s="19">
        <v>0</v>
      </c>
      <c r="G3455" s="19">
        <v>0</v>
      </c>
      <c r="H3455" s="19">
        <v>0</v>
      </c>
      <c r="I3455" s="15">
        <v>3500</v>
      </c>
      <c r="J3455" s="15">
        <v>0</v>
      </c>
      <c r="K3455" s="15">
        <v>0</v>
      </c>
      <c r="L3455" s="15">
        <v>0</v>
      </c>
      <c r="M3455" s="15">
        <v>0</v>
      </c>
      <c r="N3455" s="15" t="str">
        <v/>
      </c>
      <c r="O3455" s="15" t="str">
        <v/>
      </c>
      <c r="P3455" s="22">
        <v>0</v>
      </c>
      <c r="Q3455">
        <v>0</v>
      </c>
    </row>
    <row r="3456" spans="1:17">
      <c r="A3456" s="19">
        <v>0</v>
      </c>
      <c r="B3456" s="19">
        <v>0</v>
      </c>
      <c r="C3456" s="19">
        <v>0</v>
      </c>
      <c r="D3456" s="19">
        <v>0</v>
      </c>
      <c r="E3456" s="19">
        <v>0</v>
      </c>
      <c r="F3456" s="19">
        <v>0</v>
      </c>
      <c r="G3456" s="19">
        <v>0</v>
      </c>
      <c r="H3456" s="19">
        <v>0</v>
      </c>
      <c r="I3456" s="15">
        <v>3500</v>
      </c>
      <c r="J3456" s="15">
        <v>0</v>
      </c>
      <c r="K3456" s="15">
        <v>0</v>
      </c>
      <c r="L3456" s="15">
        <v>0</v>
      </c>
      <c r="M3456" s="15">
        <v>0</v>
      </c>
      <c r="N3456" s="15" t="str">
        <v/>
      </c>
      <c r="O3456" s="15" t="str">
        <v/>
      </c>
      <c r="P3456" s="22">
        <v>0</v>
      </c>
      <c r="Q3456">
        <v>0</v>
      </c>
    </row>
    <row r="3457" spans="1:17">
      <c r="A3457" s="19">
        <v>0</v>
      </c>
      <c r="B3457" s="19">
        <v>0</v>
      </c>
      <c r="C3457" s="19">
        <v>0</v>
      </c>
      <c r="D3457" s="19">
        <v>0</v>
      </c>
      <c r="E3457" s="19">
        <v>0</v>
      </c>
      <c r="F3457" s="19">
        <v>0</v>
      </c>
      <c r="G3457" s="19">
        <v>0</v>
      </c>
      <c r="H3457" s="19">
        <v>0</v>
      </c>
      <c r="I3457" s="15">
        <v>3500</v>
      </c>
      <c r="J3457" s="15">
        <v>0</v>
      </c>
      <c r="K3457" s="15">
        <v>0</v>
      </c>
      <c r="L3457" s="15">
        <v>0</v>
      </c>
      <c r="M3457" s="15">
        <v>0</v>
      </c>
      <c r="N3457" s="15" t="str">
        <v/>
      </c>
      <c r="O3457" s="15" t="str">
        <v/>
      </c>
      <c r="P3457" s="22">
        <v>0</v>
      </c>
      <c r="Q3457">
        <v>0</v>
      </c>
    </row>
    <row r="3458" spans="1:17">
      <c r="A3458" s="19">
        <v>0</v>
      </c>
      <c r="B3458" s="19">
        <v>0</v>
      </c>
      <c r="C3458" s="19">
        <v>0</v>
      </c>
      <c r="D3458" s="19">
        <v>0</v>
      </c>
      <c r="E3458" s="19">
        <v>0</v>
      </c>
      <c r="F3458" s="19">
        <v>0</v>
      </c>
      <c r="G3458" s="19">
        <v>0</v>
      </c>
      <c r="H3458" s="19">
        <v>0</v>
      </c>
      <c r="I3458" s="15">
        <v>3500</v>
      </c>
      <c r="J3458" s="15">
        <v>0</v>
      </c>
      <c r="K3458" s="15">
        <v>0</v>
      </c>
      <c r="L3458" s="15">
        <v>0</v>
      </c>
      <c r="M3458" s="15">
        <v>0</v>
      </c>
      <c r="N3458" s="15" t="str">
        <v/>
      </c>
      <c r="O3458" s="15" t="str">
        <v/>
      </c>
      <c r="P3458" s="22">
        <v>0</v>
      </c>
      <c r="Q3458">
        <v>0</v>
      </c>
    </row>
    <row r="3459" spans="1:17">
      <c r="A3459" s="19">
        <v>0</v>
      </c>
      <c r="B3459" s="19">
        <v>0</v>
      </c>
      <c r="C3459" s="19">
        <v>0</v>
      </c>
      <c r="D3459" s="19">
        <v>0</v>
      </c>
      <c r="E3459" s="19">
        <v>0</v>
      </c>
      <c r="F3459" s="19">
        <v>0</v>
      </c>
      <c r="G3459" s="19">
        <v>0</v>
      </c>
      <c r="H3459" s="19">
        <v>0</v>
      </c>
      <c r="I3459" s="15">
        <v>3500</v>
      </c>
      <c r="J3459" s="15">
        <v>0</v>
      </c>
      <c r="K3459" s="15">
        <v>0</v>
      </c>
      <c r="L3459" s="15">
        <v>0</v>
      </c>
      <c r="M3459" s="15">
        <v>0</v>
      </c>
      <c r="N3459" s="15" t="str">
        <v/>
      </c>
      <c r="O3459" s="15" t="str">
        <v/>
      </c>
      <c r="P3459" s="22">
        <v>0</v>
      </c>
      <c r="Q3459">
        <v>0</v>
      </c>
    </row>
    <row r="3460" spans="1:17">
      <c r="A3460" s="19">
        <v>0</v>
      </c>
      <c r="B3460" s="19">
        <v>0</v>
      </c>
      <c r="C3460" s="19">
        <v>0</v>
      </c>
      <c r="D3460" s="19">
        <v>0</v>
      </c>
      <c r="E3460" s="19">
        <v>0</v>
      </c>
      <c r="F3460" s="19">
        <v>0</v>
      </c>
      <c r="G3460" s="19">
        <v>0</v>
      </c>
      <c r="H3460" s="19">
        <v>0</v>
      </c>
      <c r="I3460" s="15">
        <v>3500</v>
      </c>
      <c r="J3460" s="15">
        <v>0</v>
      </c>
      <c r="K3460" s="15">
        <v>0</v>
      </c>
      <c r="L3460" s="15">
        <v>0</v>
      </c>
      <c r="M3460" s="15">
        <v>0</v>
      </c>
      <c r="N3460" s="15" t="str">
        <v/>
      </c>
      <c r="O3460" s="15" t="str">
        <v/>
      </c>
      <c r="P3460" s="22">
        <v>0</v>
      </c>
      <c r="Q3460">
        <v>0</v>
      </c>
    </row>
    <row r="3461" spans="1:17">
      <c r="A3461" s="19">
        <v>0</v>
      </c>
      <c r="B3461" s="19">
        <v>0</v>
      </c>
      <c r="C3461" s="19">
        <v>0</v>
      </c>
      <c r="D3461" s="19">
        <v>0</v>
      </c>
      <c r="E3461" s="19">
        <v>0</v>
      </c>
      <c r="F3461" s="19">
        <v>0</v>
      </c>
      <c r="G3461" s="19">
        <v>0</v>
      </c>
      <c r="H3461" s="19">
        <v>0</v>
      </c>
      <c r="I3461" s="15">
        <v>3500</v>
      </c>
      <c r="J3461" s="15">
        <v>0</v>
      </c>
      <c r="K3461" s="15">
        <v>0</v>
      </c>
      <c r="L3461" s="15">
        <v>0</v>
      </c>
      <c r="M3461" s="15">
        <v>0</v>
      </c>
      <c r="N3461" s="15" t="str">
        <v/>
      </c>
      <c r="O3461" s="15" t="str">
        <v/>
      </c>
      <c r="P3461" s="22">
        <v>0</v>
      </c>
      <c r="Q3461">
        <v>0</v>
      </c>
    </row>
    <row r="3462" spans="1:17">
      <c r="A3462" s="19">
        <v>0</v>
      </c>
      <c r="B3462" s="19">
        <v>0</v>
      </c>
      <c r="C3462" s="19">
        <v>0</v>
      </c>
      <c r="D3462" s="19">
        <v>0</v>
      </c>
      <c r="E3462" s="19">
        <v>0</v>
      </c>
      <c r="F3462" s="19">
        <v>0</v>
      </c>
      <c r="G3462" s="19">
        <v>0</v>
      </c>
      <c r="H3462" s="19">
        <v>0</v>
      </c>
      <c r="I3462" s="15">
        <v>3500</v>
      </c>
      <c r="J3462" s="15">
        <v>0</v>
      </c>
      <c r="K3462" s="15">
        <v>0</v>
      </c>
      <c r="L3462" s="15">
        <v>0</v>
      </c>
      <c r="M3462" s="15">
        <v>0</v>
      </c>
      <c r="N3462" s="15" t="str">
        <v/>
      </c>
      <c r="O3462" s="15" t="str">
        <v/>
      </c>
      <c r="P3462" s="22">
        <v>0</v>
      </c>
      <c r="Q3462">
        <v>0</v>
      </c>
    </row>
    <row r="3463" spans="1:17">
      <c r="A3463" s="19">
        <v>0</v>
      </c>
      <c r="B3463" s="19">
        <v>0</v>
      </c>
      <c r="C3463" s="19">
        <v>0</v>
      </c>
      <c r="D3463" s="19">
        <v>0</v>
      </c>
      <c r="E3463" s="19">
        <v>0</v>
      </c>
      <c r="F3463" s="19">
        <v>0</v>
      </c>
      <c r="G3463" s="19">
        <v>0</v>
      </c>
      <c r="H3463" s="19">
        <v>0</v>
      </c>
      <c r="I3463" s="15">
        <v>3500</v>
      </c>
      <c r="J3463" s="15">
        <v>0</v>
      </c>
      <c r="K3463" s="15">
        <v>0</v>
      </c>
      <c r="L3463" s="15">
        <v>0</v>
      </c>
      <c r="M3463" s="15">
        <v>0</v>
      </c>
      <c r="N3463" s="15" t="str">
        <v/>
      </c>
      <c r="O3463" s="15" t="str">
        <v/>
      </c>
      <c r="P3463" s="22">
        <v>0</v>
      </c>
      <c r="Q3463">
        <v>0</v>
      </c>
    </row>
    <row r="3464" spans="1:17">
      <c r="A3464" s="19">
        <v>0</v>
      </c>
      <c r="B3464" s="19">
        <v>0</v>
      </c>
      <c r="C3464" s="19">
        <v>0</v>
      </c>
      <c r="D3464" s="19">
        <v>0</v>
      </c>
      <c r="E3464" s="19">
        <v>0</v>
      </c>
      <c r="F3464" s="19">
        <v>0</v>
      </c>
      <c r="G3464" s="19">
        <v>0</v>
      </c>
      <c r="H3464" s="19">
        <v>0</v>
      </c>
      <c r="I3464" s="15">
        <v>3500</v>
      </c>
      <c r="J3464" s="15">
        <v>0</v>
      </c>
      <c r="K3464" s="15">
        <v>0</v>
      </c>
      <c r="L3464" s="15">
        <v>0</v>
      </c>
      <c r="M3464" s="15">
        <v>0</v>
      </c>
      <c r="N3464" s="15" t="str">
        <v/>
      </c>
      <c r="O3464" s="15" t="str">
        <v/>
      </c>
      <c r="P3464" s="22">
        <v>0</v>
      </c>
      <c r="Q3464">
        <v>0</v>
      </c>
    </row>
    <row r="3465" spans="1:17">
      <c r="A3465" s="19">
        <v>0</v>
      </c>
      <c r="B3465" s="19">
        <v>0</v>
      </c>
      <c r="C3465" s="19">
        <v>0</v>
      </c>
      <c r="D3465" s="19">
        <v>0</v>
      </c>
      <c r="E3465" s="19">
        <v>0</v>
      </c>
      <c r="F3465" s="19">
        <v>0</v>
      </c>
      <c r="G3465" s="19">
        <v>0</v>
      </c>
      <c r="H3465" s="19">
        <v>0</v>
      </c>
      <c r="I3465" s="15">
        <v>3500</v>
      </c>
      <c r="J3465" s="15">
        <v>0</v>
      </c>
      <c r="K3465" s="15">
        <v>0</v>
      </c>
      <c r="L3465" s="15">
        <v>0</v>
      </c>
      <c r="M3465" s="15">
        <v>0</v>
      </c>
      <c r="N3465" s="15" t="str">
        <v/>
      </c>
      <c r="O3465" s="15" t="str">
        <v/>
      </c>
      <c r="P3465" s="22">
        <v>0</v>
      </c>
      <c r="Q3465">
        <v>0</v>
      </c>
    </row>
    <row r="3466" spans="1:17">
      <c r="A3466" s="19">
        <v>0</v>
      </c>
      <c r="B3466" s="19">
        <v>0</v>
      </c>
      <c r="C3466" s="19">
        <v>0</v>
      </c>
      <c r="D3466" s="19">
        <v>0</v>
      </c>
      <c r="E3466" s="19">
        <v>0</v>
      </c>
      <c r="F3466" s="19">
        <v>0</v>
      </c>
      <c r="G3466" s="19">
        <v>0</v>
      </c>
      <c r="H3466" s="19">
        <v>0</v>
      </c>
      <c r="I3466" s="15">
        <v>3500</v>
      </c>
      <c r="J3466" s="15">
        <v>0</v>
      </c>
      <c r="K3466" s="15">
        <v>0</v>
      </c>
      <c r="L3466" s="15">
        <v>0</v>
      </c>
      <c r="M3466" s="15">
        <v>0</v>
      </c>
      <c r="N3466" s="15" t="str">
        <v/>
      </c>
      <c r="O3466" s="15" t="str">
        <v/>
      </c>
      <c r="P3466" s="22">
        <v>0</v>
      </c>
      <c r="Q3466">
        <v>0</v>
      </c>
    </row>
    <row r="3467" spans="1:17">
      <c r="A3467" s="19">
        <v>0</v>
      </c>
      <c r="B3467" s="19">
        <v>0</v>
      </c>
      <c r="C3467" s="19">
        <v>0</v>
      </c>
      <c r="D3467" s="19">
        <v>0</v>
      </c>
      <c r="E3467" s="19">
        <v>0</v>
      </c>
      <c r="F3467" s="19">
        <v>0</v>
      </c>
      <c r="G3467" s="19">
        <v>0</v>
      </c>
      <c r="H3467" s="19">
        <v>0</v>
      </c>
      <c r="I3467" s="15">
        <v>3500</v>
      </c>
      <c r="J3467" s="15">
        <v>0</v>
      </c>
      <c r="K3467" s="15">
        <v>0</v>
      </c>
      <c r="L3467" s="15">
        <v>0</v>
      </c>
      <c r="M3467" s="15">
        <v>0</v>
      </c>
      <c r="N3467" s="15" t="str">
        <v/>
      </c>
      <c r="O3467" s="15" t="str">
        <v/>
      </c>
      <c r="P3467" s="22">
        <v>0</v>
      </c>
      <c r="Q3467">
        <v>0</v>
      </c>
    </row>
    <row r="3468" spans="1:17">
      <c r="A3468" s="19">
        <v>0</v>
      </c>
      <c r="B3468" s="19">
        <v>0</v>
      </c>
      <c r="C3468" s="19">
        <v>0</v>
      </c>
      <c r="D3468" s="19">
        <v>0</v>
      </c>
      <c r="E3468" s="19">
        <v>0</v>
      </c>
      <c r="F3468" s="19">
        <v>0</v>
      </c>
      <c r="G3468" s="19">
        <v>0</v>
      </c>
      <c r="H3468" s="19">
        <v>0</v>
      </c>
      <c r="I3468" s="15">
        <v>3500</v>
      </c>
      <c r="J3468" s="15">
        <v>0</v>
      </c>
      <c r="K3468" s="15">
        <v>0</v>
      </c>
      <c r="L3468" s="15">
        <v>0</v>
      </c>
      <c r="M3468" s="15">
        <v>0</v>
      </c>
      <c r="N3468" s="15" t="str">
        <v/>
      </c>
      <c r="O3468" s="15" t="str">
        <v/>
      </c>
      <c r="P3468" s="22">
        <v>0</v>
      </c>
      <c r="Q3468">
        <v>0</v>
      </c>
    </row>
    <row r="3469" spans="1:17">
      <c r="A3469" s="19">
        <v>0</v>
      </c>
      <c r="B3469" s="19">
        <v>0</v>
      </c>
      <c r="C3469" s="19">
        <v>0</v>
      </c>
      <c r="D3469" s="19">
        <v>0</v>
      </c>
      <c r="E3469" s="19">
        <v>0</v>
      </c>
      <c r="F3469" s="19">
        <v>0</v>
      </c>
      <c r="G3469" s="19">
        <v>0</v>
      </c>
      <c r="H3469" s="19">
        <v>0</v>
      </c>
      <c r="I3469" s="15">
        <v>3500</v>
      </c>
      <c r="J3469" s="15">
        <v>0</v>
      </c>
      <c r="K3469" s="15">
        <v>0</v>
      </c>
      <c r="L3469" s="15">
        <v>0</v>
      </c>
      <c r="M3469" s="15">
        <v>0</v>
      </c>
      <c r="N3469" s="15" t="str">
        <v/>
      </c>
      <c r="O3469" s="15" t="str">
        <v/>
      </c>
      <c r="P3469" s="22">
        <v>0</v>
      </c>
      <c r="Q3469">
        <v>0</v>
      </c>
    </row>
    <row r="3470" spans="1:17">
      <c r="A3470" s="19">
        <v>0</v>
      </c>
      <c r="B3470" s="19">
        <v>0</v>
      </c>
      <c r="C3470" s="19">
        <v>0</v>
      </c>
      <c r="D3470" s="19">
        <v>0</v>
      </c>
      <c r="E3470" s="19">
        <v>0</v>
      </c>
      <c r="F3470" s="19">
        <v>0</v>
      </c>
      <c r="G3470" s="19">
        <v>0</v>
      </c>
      <c r="H3470" s="19">
        <v>0</v>
      </c>
      <c r="I3470" s="15">
        <v>3500</v>
      </c>
      <c r="J3470" s="15">
        <v>0</v>
      </c>
      <c r="K3470" s="15">
        <v>0</v>
      </c>
      <c r="L3470" s="15">
        <v>0</v>
      </c>
      <c r="M3470" s="15">
        <v>0</v>
      </c>
      <c r="N3470" s="15" t="str">
        <v/>
      </c>
      <c r="O3470" s="15" t="str">
        <v/>
      </c>
      <c r="P3470" s="22">
        <v>0</v>
      </c>
      <c r="Q3470">
        <v>0</v>
      </c>
    </row>
    <row r="3471" spans="1:17">
      <c r="A3471" s="19">
        <v>0</v>
      </c>
      <c r="B3471" s="19">
        <v>0</v>
      </c>
      <c r="C3471" s="19">
        <v>0</v>
      </c>
      <c r="D3471" s="19">
        <v>0</v>
      </c>
      <c r="E3471" s="19">
        <v>0</v>
      </c>
      <c r="F3471" s="19">
        <v>0</v>
      </c>
      <c r="G3471" s="19">
        <v>0</v>
      </c>
      <c r="H3471" s="19">
        <v>0</v>
      </c>
      <c r="I3471" s="15">
        <v>3500</v>
      </c>
      <c r="J3471" s="15">
        <v>0</v>
      </c>
      <c r="K3471" s="15">
        <v>0</v>
      </c>
      <c r="L3471" s="15">
        <v>0</v>
      </c>
      <c r="M3471" s="15">
        <v>0</v>
      </c>
      <c r="N3471" s="15" t="str">
        <v/>
      </c>
      <c r="O3471" s="15" t="str">
        <v/>
      </c>
      <c r="P3471" s="22">
        <v>0</v>
      </c>
      <c r="Q3471">
        <v>0</v>
      </c>
    </row>
    <row r="3472" spans="1:17">
      <c r="A3472" s="19">
        <v>0</v>
      </c>
      <c r="B3472" s="19">
        <v>0</v>
      </c>
      <c r="C3472" s="19">
        <v>0</v>
      </c>
      <c r="D3472" s="19">
        <v>0</v>
      </c>
      <c r="E3472" s="19">
        <v>0</v>
      </c>
      <c r="F3472" s="19">
        <v>0</v>
      </c>
      <c r="G3472" s="19">
        <v>0</v>
      </c>
      <c r="H3472" s="19">
        <v>0</v>
      </c>
      <c r="I3472" s="15">
        <v>3500</v>
      </c>
      <c r="J3472" s="15">
        <v>0</v>
      </c>
      <c r="K3472" s="15">
        <v>0</v>
      </c>
      <c r="L3472" s="15">
        <v>0</v>
      </c>
      <c r="M3472" s="15">
        <v>0</v>
      </c>
      <c r="N3472" s="15" t="str">
        <v/>
      </c>
      <c r="O3472" s="15" t="str">
        <v/>
      </c>
      <c r="P3472" s="22">
        <v>0</v>
      </c>
      <c r="Q3472">
        <v>0</v>
      </c>
    </row>
    <row r="3473" spans="1:17">
      <c r="A3473" s="19">
        <v>0</v>
      </c>
      <c r="B3473" s="19">
        <v>0</v>
      </c>
      <c r="C3473" s="19">
        <v>0</v>
      </c>
      <c r="D3473" s="19">
        <v>0</v>
      </c>
      <c r="E3473" s="19">
        <v>0</v>
      </c>
      <c r="F3473" s="19">
        <v>0</v>
      </c>
      <c r="G3473" s="19">
        <v>0</v>
      </c>
      <c r="H3473" s="19">
        <v>0</v>
      </c>
      <c r="I3473" s="15">
        <v>3500</v>
      </c>
      <c r="J3473" s="15">
        <v>0</v>
      </c>
      <c r="K3473" s="15">
        <v>0</v>
      </c>
      <c r="L3473" s="15">
        <v>0</v>
      </c>
      <c r="M3473" s="15">
        <v>0</v>
      </c>
      <c r="N3473" s="15" t="str">
        <v/>
      </c>
      <c r="O3473" s="15" t="str">
        <v/>
      </c>
      <c r="P3473" s="22">
        <v>0</v>
      </c>
      <c r="Q3473">
        <v>0</v>
      </c>
    </row>
    <row r="3474" spans="1:17">
      <c r="A3474" s="19">
        <v>0</v>
      </c>
      <c r="B3474" s="19">
        <v>0</v>
      </c>
      <c r="C3474" s="19">
        <v>0</v>
      </c>
      <c r="D3474" s="19">
        <v>0</v>
      </c>
      <c r="E3474" s="19">
        <v>0</v>
      </c>
      <c r="F3474" s="19">
        <v>0</v>
      </c>
      <c r="G3474" s="19">
        <v>0</v>
      </c>
      <c r="H3474" s="19">
        <v>0</v>
      </c>
      <c r="I3474" s="15">
        <v>3500</v>
      </c>
      <c r="J3474" s="15">
        <v>0</v>
      </c>
      <c r="K3474" s="15">
        <v>0</v>
      </c>
      <c r="L3474" s="15">
        <v>0</v>
      </c>
      <c r="M3474" s="15">
        <v>0</v>
      </c>
      <c r="N3474" s="15" t="str">
        <v/>
      </c>
      <c r="O3474" s="15" t="str">
        <v/>
      </c>
      <c r="P3474" s="22">
        <v>0</v>
      </c>
      <c r="Q3474">
        <v>0</v>
      </c>
    </row>
    <row r="3475" spans="1:17">
      <c r="A3475" s="19">
        <v>0</v>
      </c>
      <c r="B3475" s="19">
        <v>0</v>
      </c>
      <c r="C3475" s="19">
        <v>0</v>
      </c>
      <c r="D3475" s="19">
        <v>0</v>
      </c>
      <c r="E3475" s="19">
        <v>0</v>
      </c>
      <c r="F3475" s="19">
        <v>0</v>
      </c>
      <c r="G3475" s="19">
        <v>0</v>
      </c>
      <c r="H3475" s="19">
        <v>0</v>
      </c>
      <c r="I3475" s="15">
        <v>3500</v>
      </c>
      <c r="J3475" s="15">
        <v>0</v>
      </c>
      <c r="K3475" s="15">
        <v>0</v>
      </c>
      <c r="L3475" s="15">
        <v>0</v>
      </c>
      <c r="M3475" s="15">
        <v>0</v>
      </c>
      <c r="N3475" s="15" t="str">
        <v/>
      </c>
      <c r="O3475" s="15" t="str">
        <v/>
      </c>
      <c r="P3475" s="22">
        <v>0</v>
      </c>
      <c r="Q3475">
        <v>0</v>
      </c>
    </row>
    <row r="3476" spans="1:17">
      <c r="A3476" s="19">
        <v>0</v>
      </c>
      <c r="B3476" s="19">
        <v>0</v>
      </c>
      <c r="C3476" s="19">
        <v>0</v>
      </c>
      <c r="D3476" s="19">
        <v>0</v>
      </c>
      <c r="E3476" s="19">
        <v>0</v>
      </c>
      <c r="F3476" s="19">
        <v>0</v>
      </c>
      <c r="G3476" s="19">
        <v>0</v>
      </c>
      <c r="H3476" s="19">
        <v>0</v>
      </c>
      <c r="I3476" s="15">
        <v>3500</v>
      </c>
      <c r="J3476" s="15">
        <v>0</v>
      </c>
      <c r="K3476" s="15">
        <v>0</v>
      </c>
      <c r="L3476" s="15">
        <v>0</v>
      </c>
      <c r="M3476" s="15">
        <v>0</v>
      </c>
      <c r="N3476" s="15" t="str">
        <v/>
      </c>
      <c r="O3476" s="15" t="str">
        <v/>
      </c>
      <c r="P3476" s="22">
        <v>0</v>
      </c>
      <c r="Q3476">
        <v>0</v>
      </c>
    </row>
    <row r="3477" spans="1:17">
      <c r="A3477" s="19">
        <v>0</v>
      </c>
      <c r="B3477" s="19">
        <v>0</v>
      </c>
      <c r="C3477" s="19">
        <v>0</v>
      </c>
      <c r="D3477" s="19">
        <v>0</v>
      </c>
      <c r="E3477" s="19">
        <v>0</v>
      </c>
      <c r="F3477" s="19">
        <v>0</v>
      </c>
      <c r="G3477" s="19">
        <v>0</v>
      </c>
      <c r="H3477" s="19">
        <v>0</v>
      </c>
      <c r="I3477" s="15">
        <v>3500</v>
      </c>
      <c r="J3477" s="15">
        <v>0</v>
      </c>
      <c r="K3477" s="15">
        <v>0</v>
      </c>
      <c r="L3477" s="15">
        <v>0</v>
      </c>
      <c r="M3477" s="15">
        <v>0</v>
      </c>
      <c r="N3477" s="15" t="str">
        <v/>
      </c>
      <c r="O3477" s="15" t="str">
        <v/>
      </c>
      <c r="P3477" s="22">
        <v>0</v>
      </c>
      <c r="Q3477">
        <v>0</v>
      </c>
    </row>
    <row r="3478" spans="1:17">
      <c r="A3478" s="19">
        <v>0</v>
      </c>
      <c r="B3478" s="19">
        <v>0</v>
      </c>
      <c r="C3478" s="19">
        <v>0</v>
      </c>
      <c r="D3478" s="19">
        <v>0</v>
      </c>
      <c r="E3478" s="19">
        <v>0</v>
      </c>
      <c r="F3478" s="19">
        <v>0</v>
      </c>
      <c r="G3478" s="19">
        <v>0</v>
      </c>
      <c r="H3478" s="19">
        <v>0</v>
      </c>
      <c r="I3478" s="15">
        <v>3500</v>
      </c>
      <c r="J3478" s="15">
        <v>0</v>
      </c>
      <c r="K3478" s="15">
        <v>0</v>
      </c>
      <c r="L3478" s="15">
        <v>0</v>
      </c>
      <c r="M3478" s="15">
        <v>0</v>
      </c>
      <c r="N3478" s="15" t="str">
        <v/>
      </c>
      <c r="O3478" s="15" t="str">
        <v/>
      </c>
      <c r="P3478" s="22">
        <v>0</v>
      </c>
      <c r="Q3478">
        <v>0</v>
      </c>
    </row>
    <row r="3479" spans="1:17">
      <c r="A3479" s="19">
        <v>0</v>
      </c>
      <c r="B3479" s="19">
        <v>0</v>
      </c>
      <c r="C3479" s="19">
        <v>0</v>
      </c>
      <c r="D3479" s="19">
        <v>0</v>
      </c>
      <c r="E3479" s="19">
        <v>0</v>
      </c>
      <c r="F3479" s="19">
        <v>0</v>
      </c>
      <c r="G3479" s="19">
        <v>0</v>
      </c>
      <c r="H3479" s="19">
        <v>0</v>
      </c>
      <c r="I3479" s="15">
        <v>3500</v>
      </c>
      <c r="J3479" s="15">
        <v>0</v>
      </c>
      <c r="K3479" s="15">
        <v>0</v>
      </c>
      <c r="L3479" s="15">
        <v>0</v>
      </c>
      <c r="M3479" s="15">
        <v>0</v>
      </c>
      <c r="N3479" s="15" t="str">
        <v/>
      </c>
      <c r="O3479" s="15" t="str">
        <v/>
      </c>
      <c r="P3479" s="22">
        <v>0</v>
      </c>
      <c r="Q3479">
        <v>0</v>
      </c>
    </row>
    <row r="3480" spans="1:17">
      <c r="A3480" s="19">
        <v>0</v>
      </c>
      <c r="B3480" s="19">
        <v>0</v>
      </c>
      <c r="C3480" s="19">
        <v>0</v>
      </c>
      <c r="D3480" s="19">
        <v>0</v>
      </c>
      <c r="E3480" s="19">
        <v>0</v>
      </c>
      <c r="F3480" s="19">
        <v>0</v>
      </c>
      <c r="G3480" s="19">
        <v>0</v>
      </c>
      <c r="H3480" s="19">
        <v>0</v>
      </c>
      <c r="I3480" s="15">
        <v>3500</v>
      </c>
      <c r="J3480" s="15">
        <v>0</v>
      </c>
      <c r="K3480" s="15">
        <v>0</v>
      </c>
      <c r="L3480" s="15">
        <v>0</v>
      </c>
      <c r="M3480" s="15">
        <v>0</v>
      </c>
      <c r="N3480" s="15" t="str">
        <v/>
      </c>
      <c r="O3480" s="15" t="str">
        <v/>
      </c>
      <c r="P3480" s="22">
        <v>0</v>
      </c>
      <c r="Q3480">
        <v>0</v>
      </c>
    </row>
    <row r="3481" spans="1:17">
      <c r="A3481" s="19">
        <v>0</v>
      </c>
      <c r="B3481" s="19">
        <v>0</v>
      </c>
      <c r="C3481" s="19">
        <v>0</v>
      </c>
      <c r="D3481" s="19">
        <v>0</v>
      </c>
      <c r="E3481" s="19">
        <v>0</v>
      </c>
      <c r="F3481" s="19">
        <v>0</v>
      </c>
      <c r="G3481" s="19">
        <v>0</v>
      </c>
      <c r="H3481" s="19">
        <v>0</v>
      </c>
      <c r="I3481" s="15">
        <v>3500</v>
      </c>
      <c r="J3481" s="15">
        <v>0</v>
      </c>
      <c r="K3481" s="15">
        <v>0</v>
      </c>
      <c r="L3481" s="15">
        <v>0</v>
      </c>
      <c r="M3481" s="15">
        <v>0</v>
      </c>
      <c r="N3481" s="15" t="str">
        <v/>
      </c>
      <c r="O3481" s="15" t="str">
        <v/>
      </c>
      <c r="P3481" s="22">
        <v>0</v>
      </c>
      <c r="Q3481">
        <v>0</v>
      </c>
    </row>
    <row r="3482" spans="1:17">
      <c r="A3482" s="19">
        <v>0</v>
      </c>
      <c r="B3482" s="19">
        <v>0</v>
      </c>
      <c r="C3482" s="19">
        <v>0</v>
      </c>
      <c r="D3482" s="19">
        <v>0</v>
      </c>
      <c r="E3482" s="19">
        <v>0</v>
      </c>
      <c r="F3482" s="19">
        <v>0</v>
      </c>
      <c r="G3482" s="19">
        <v>0</v>
      </c>
      <c r="H3482" s="19">
        <v>0</v>
      </c>
      <c r="I3482" s="15">
        <v>3500</v>
      </c>
      <c r="J3482" s="15">
        <v>0</v>
      </c>
      <c r="K3482" s="15">
        <v>0</v>
      </c>
      <c r="L3482" s="15">
        <v>0</v>
      </c>
      <c r="M3482" s="15">
        <v>0</v>
      </c>
      <c r="N3482" s="15" t="str">
        <v/>
      </c>
      <c r="O3482" s="15" t="str">
        <v/>
      </c>
      <c r="P3482" s="22">
        <v>0</v>
      </c>
      <c r="Q3482">
        <v>0</v>
      </c>
    </row>
    <row r="3483" spans="1:17">
      <c r="A3483" s="19">
        <v>0</v>
      </c>
      <c r="B3483" s="19">
        <v>0</v>
      </c>
      <c r="C3483" s="19">
        <v>0</v>
      </c>
      <c r="D3483" s="19">
        <v>0</v>
      </c>
      <c r="E3483" s="19">
        <v>0</v>
      </c>
      <c r="F3483" s="19">
        <v>0</v>
      </c>
      <c r="G3483" s="19">
        <v>0</v>
      </c>
      <c r="H3483" s="19">
        <v>0</v>
      </c>
      <c r="I3483" s="15">
        <v>3500</v>
      </c>
      <c r="J3483" s="15">
        <v>0</v>
      </c>
      <c r="K3483" s="15">
        <v>0</v>
      </c>
      <c r="L3483" s="15">
        <v>0</v>
      </c>
      <c r="M3483" s="15">
        <v>0</v>
      </c>
      <c r="N3483" s="15" t="str">
        <v/>
      </c>
      <c r="O3483" s="15" t="str">
        <v/>
      </c>
      <c r="P3483" s="22">
        <v>0</v>
      </c>
      <c r="Q3483">
        <v>0</v>
      </c>
    </row>
    <row r="3484" spans="1:17">
      <c r="A3484" s="19">
        <v>0</v>
      </c>
      <c r="B3484" s="19">
        <v>0</v>
      </c>
      <c r="C3484" s="19">
        <v>0</v>
      </c>
      <c r="D3484" s="19">
        <v>0</v>
      </c>
      <c r="E3484" s="19">
        <v>0</v>
      </c>
      <c r="F3484" s="19">
        <v>0</v>
      </c>
      <c r="G3484" s="19">
        <v>0</v>
      </c>
      <c r="H3484" s="19">
        <v>0</v>
      </c>
      <c r="I3484" s="15">
        <v>3500</v>
      </c>
      <c r="J3484" s="15">
        <v>0</v>
      </c>
      <c r="K3484" s="15">
        <v>0</v>
      </c>
      <c r="L3484" s="15">
        <v>0</v>
      </c>
      <c r="M3484" s="15">
        <v>0</v>
      </c>
      <c r="N3484" s="15" t="str">
        <v/>
      </c>
      <c r="O3484" s="15" t="str">
        <v/>
      </c>
      <c r="P3484" s="22">
        <v>0</v>
      </c>
      <c r="Q3484">
        <v>0</v>
      </c>
    </row>
    <row r="3485" spans="1:17">
      <c r="A3485" s="19">
        <v>0</v>
      </c>
      <c r="B3485" s="19">
        <v>0</v>
      </c>
      <c r="C3485" s="19">
        <v>0</v>
      </c>
      <c r="D3485" s="19">
        <v>0</v>
      </c>
      <c r="E3485" s="19">
        <v>0</v>
      </c>
      <c r="F3485" s="19">
        <v>0</v>
      </c>
      <c r="G3485" s="19">
        <v>0</v>
      </c>
      <c r="H3485" s="19">
        <v>0</v>
      </c>
      <c r="I3485" s="15">
        <v>3500</v>
      </c>
      <c r="J3485" s="15">
        <v>0</v>
      </c>
      <c r="K3485" s="15">
        <v>0</v>
      </c>
      <c r="L3485" s="15">
        <v>0</v>
      </c>
      <c r="M3485" s="15">
        <v>0</v>
      </c>
      <c r="N3485" s="15" t="str">
        <v/>
      </c>
      <c r="O3485" s="15" t="str">
        <v/>
      </c>
      <c r="P3485" s="22">
        <v>0</v>
      </c>
      <c r="Q3485">
        <v>0</v>
      </c>
    </row>
    <row r="3486" spans="1:17">
      <c r="A3486" s="19">
        <v>0</v>
      </c>
      <c r="B3486" s="19">
        <v>0</v>
      </c>
      <c r="C3486" s="19">
        <v>0</v>
      </c>
      <c r="D3486" s="19">
        <v>0</v>
      </c>
      <c r="E3486" s="19">
        <v>0</v>
      </c>
      <c r="F3486" s="19">
        <v>0</v>
      </c>
      <c r="G3486" s="19">
        <v>0</v>
      </c>
      <c r="H3486" s="19">
        <v>0</v>
      </c>
      <c r="I3486" s="15">
        <v>3500</v>
      </c>
      <c r="J3486" s="15">
        <v>0</v>
      </c>
      <c r="K3486" s="15">
        <v>0</v>
      </c>
      <c r="L3486" s="15">
        <v>0</v>
      </c>
      <c r="M3486" s="15">
        <v>0</v>
      </c>
      <c r="N3486" s="15" t="str">
        <v/>
      </c>
      <c r="O3486" s="15" t="str">
        <v/>
      </c>
      <c r="P3486" s="22">
        <v>0</v>
      </c>
      <c r="Q3486">
        <v>0</v>
      </c>
    </row>
    <row r="3487" spans="1:17">
      <c r="A3487" s="19">
        <v>0</v>
      </c>
      <c r="B3487" s="19">
        <v>0</v>
      </c>
      <c r="C3487" s="19">
        <v>0</v>
      </c>
      <c r="D3487" s="19">
        <v>0</v>
      </c>
      <c r="E3487" s="19">
        <v>0</v>
      </c>
      <c r="F3487" s="19">
        <v>0</v>
      </c>
      <c r="G3487" s="19">
        <v>0</v>
      </c>
      <c r="H3487" s="19">
        <v>0</v>
      </c>
      <c r="I3487" s="15">
        <v>3500</v>
      </c>
      <c r="J3487" s="15">
        <v>0</v>
      </c>
      <c r="K3487" s="15">
        <v>0</v>
      </c>
      <c r="L3487" s="15">
        <v>0</v>
      </c>
      <c r="M3487" s="15">
        <v>0</v>
      </c>
      <c r="N3487" s="15" t="str">
        <v/>
      </c>
      <c r="O3487" s="15" t="str">
        <v/>
      </c>
      <c r="P3487" s="22">
        <v>0</v>
      </c>
      <c r="Q3487">
        <v>0</v>
      </c>
    </row>
    <row r="3488" spans="1:17">
      <c r="A3488" s="19">
        <v>0</v>
      </c>
      <c r="B3488" s="19">
        <v>0</v>
      </c>
      <c r="C3488" s="19">
        <v>0</v>
      </c>
      <c r="D3488" s="19">
        <v>0</v>
      </c>
      <c r="E3488" s="19">
        <v>0</v>
      </c>
      <c r="F3488" s="19">
        <v>0</v>
      </c>
      <c r="G3488" s="19">
        <v>0</v>
      </c>
      <c r="H3488" s="19">
        <v>0</v>
      </c>
      <c r="I3488" s="15">
        <v>3500</v>
      </c>
      <c r="J3488" s="15">
        <v>0</v>
      </c>
      <c r="K3488" s="15">
        <v>0</v>
      </c>
      <c r="L3488" s="15">
        <v>0</v>
      </c>
      <c r="M3488" s="15">
        <v>0</v>
      </c>
      <c r="N3488" s="15" t="str">
        <v/>
      </c>
      <c r="O3488" s="15" t="str">
        <v/>
      </c>
      <c r="P3488" s="22">
        <v>0</v>
      </c>
      <c r="Q3488">
        <v>0</v>
      </c>
    </row>
    <row r="3489" spans="1:17">
      <c r="A3489" s="19">
        <v>0</v>
      </c>
      <c r="B3489" s="19">
        <v>0</v>
      </c>
      <c r="C3489" s="19">
        <v>0</v>
      </c>
      <c r="D3489" s="19">
        <v>0</v>
      </c>
      <c r="E3489" s="19">
        <v>0</v>
      </c>
      <c r="F3489" s="19">
        <v>0</v>
      </c>
      <c r="G3489" s="19">
        <v>0</v>
      </c>
      <c r="H3489" s="19">
        <v>0</v>
      </c>
      <c r="I3489" s="15">
        <v>3500</v>
      </c>
      <c r="J3489" s="15">
        <v>0</v>
      </c>
      <c r="K3489" s="15">
        <v>0</v>
      </c>
      <c r="L3489" s="15">
        <v>0</v>
      </c>
      <c r="M3489" s="15">
        <v>0</v>
      </c>
      <c r="N3489" s="15" t="str">
        <v/>
      </c>
      <c r="O3489" s="15" t="str">
        <v/>
      </c>
      <c r="P3489" s="22">
        <v>0</v>
      </c>
      <c r="Q3489">
        <v>0</v>
      </c>
    </row>
    <row r="3490" spans="1:17">
      <c r="A3490" s="19">
        <v>0</v>
      </c>
      <c r="B3490" s="19">
        <v>0</v>
      </c>
      <c r="C3490" s="19">
        <v>0</v>
      </c>
      <c r="D3490" s="19">
        <v>0</v>
      </c>
      <c r="E3490" s="19">
        <v>0</v>
      </c>
      <c r="F3490" s="19">
        <v>0</v>
      </c>
      <c r="G3490" s="19">
        <v>0</v>
      </c>
      <c r="H3490" s="19">
        <v>0</v>
      </c>
      <c r="I3490" s="15">
        <v>3500</v>
      </c>
      <c r="J3490" s="15">
        <v>0</v>
      </c>
      <c r="K3490" s="15">
        <v>0</v>
      </c>
      <c r="L3490" s="15">
        <v>0</v>
      </c>
      <c r="M3490" s="15">
        <v>0</v>
      </c>
      <c r="N3490" s="15" t="str">
        <v/>
      </c>
      <c r="O3490" s="15" t="str">
        <v/>
      </c>
      <c r="P3490" s="22">
        <v>0</v>
      </c>
      <c r="Q3490">
        <v>0</v>
      </c>
    </row>
    <row r="3491" spans="1:17">
      <c r="A3491" s="19">
        <v>0</v>
      </c>
      <c r="B3491" s="19">
        <v>0</v>
      </c>
      <c r="C3491" s="19">
        <v>0</v>
      </c>
      <c r="D3491" s="19">
        <v>0</v>
      </c>
      <c r="E3491" s="19">
        <v>0</v>
      </c>
      <c r="F3491" s="19">
        <v>0</v>
      </c>
      <c r="G3491" s="19">
        <v>0</v>
      </c>
      <c r="H3491" s="19">
        <v>0</v>
      </c>
      <c r="I3491" s="15">
        <v>3500</v>
      </c>
      <c r="J3491" s="15">
        <v>0</v>
      </c>
      <c r="K3491" s="15">
        <v>0</v>
      </c>
      <c r="L3491" s="15">
        <v>0</v>
      </c>
      <c r="M3491" s="15">
        <v>0</v>
      </c>
      <c r="N3491" s="15" t="str">
        <v/>
      </c>
      <c r="O3491" s="15" t="str">
        <v/>
      </c>
      <c r="P3491" s="22">
        <v>0</v>
      </c>
      <c r="Q3491">
        <v>0</v>
      </c>
    </row>
    <row r="3492" spans="1:17">
      <c r="A3492" s="19">
        <v>0</v>
      </c>
      <c r="B3492" s="19">
        <v>0</v>
      </c>
      <c r="C3492" s="19">
        <v>0</v>
      </c>
      <c r="D3492" s="19">
        <v>0</v>
      </c>
      <c r="E3492" s="19">
        <v>0</v>
      </c>
      <c r="F3492" s="19">
        <v>0</v>
      </c>
      <c r="G3492" s="19">
        <v>0</v>
      </c>
      <c r="H3492" s="19">
        <v>0</v>
      </c>
      <c r="I3492" s="15">
        <v>3500</v>
      </c>
      <c r="J3492" s="15">
        <v>0</v>
      </c>
      <c r="K3492" s="15">
        <v>0</v>
      </c>
      <c r="L3492" s="15">
        <v>0</v>
      </c>
      <c r="M3492" s="15">
        <v>0</v>
      </c>
      <c r="N3492" s="15" t="str">
        <v/>
      </c>
      <c r="O3492" s="15" t="str">
        <v/>
      </c>
      <c r="P3492" s="22">
        <v>0</v>
      </c>
      <c r="Q3492">
        <v>0</v>
      </c>
    </row>
    <row r="3493" spans="1:17">
      <c r="A3493" s="19">
        <v>0</v>
      </c>
      <c r="B3493" s="19">
        <v>0</v>
      </c>
      <c r="C3493" s="19">
        <v>0</v>
      </c>
      <c r="D3493" s="19">
        <v>0</v>
      </c>
      <c r="E3493" s="19">
        <v>0</v>
      </c>
      <c r="F3493" s="19">
        <v>0</v>
      </c>
      <c r="G3493" s="19">
        <v>0</v>
      </c>
      <c r="H3493" s="19">
        <v>0</v>
      </c>
      <c r="I3493" s="15">
        <v>3500</v>
      </c>
      <c r="J3493" s="15">
        <v>0</v>
      </c>
      <c r="K3493" s="15">
        <v>0</v>
      </c>
      <c r="L3493" s="15">
        <v>0</v>
      </c>
      <c r="M3493" s="15">
        <v>0</v>
      </c>
      <c r="N3493" s="15" t="str">
        <v/>
      </c>
      <c r="O3493" s="15" t="str">
        <v/>
      </c>
      <c r="P3493" s="22">
        <v>0</v>
      </c>
      <c r="Q3493">
        <v>0</v>
      </c>
    </row>
    <row r="3494" spans="1:17">
      <c r="A3494" s="19">
        <v>0</v>
      </c>
      <c r="B3494" s="19">
        <v>0</v>
      </c>
      <c r="C3494" s="19">
        <v>0</v>
      </c>
      <c r="D3494" s="19">
        <v>0</v>
      </c>
      <c r="E3494" s="19">
        <v>0</v>
      </c>
      <c r="F3494" s="19">
        <v>0</v>
      </c>
      <c r="G3494" s="19">
        <v>0</v>
      </c>
      <c r="H3494" s="19">
        <v>0</v>
      </c>
      <c r="I3494" s="15">
        <v>3500</v>
      </c>
      <c r="J3494" s="15">
        <v>0</v>
      </c>
      <c r="K3494" s="15">
        <v>0</v>
      </c>
      <c r="L3494" s="15">
        <v>0</v>
      </c>
      <c r="M3494" s="15">
        <v>0</v>
      </c>
      <c r="N3494" s="15" t="str">
        <v/>
      </c>
      <c r="O3494" s="15" t="str">
        <v/>
      </c>
      <c r="P3494" s="22">
        <v>0</v>
      </c>
      <c r="Q3494">
        <v>0</v>
      </c>
    </row>
    <row r="3495" spans="1:17">
      <c r="A3495" s="19">
        <v>0</v>
      </c>
      <c r="B3495" s="19">
        <v>0</v>
      </c>
      <c r="C3495" s="19">
        <v>0</v>
      </c>
      <c r="D3495" s="19">
        <v>0</v>
      </c>
      <c r="E3495" s="19">
        <v>0</v>
      </c>
      <c r="F3495" s="19">
        <v>0</v>
      </c>
      <c r="G3495" s="19">
        <v>0</v>
      </c>
      <c r="H3495" s="19">
        <v>0</v>
      </c>
      <c r="I3495" s="15">
        <v>3500</v>
      </c>
      <c r="J3495" s="15">
        <v>0</v>
      </c>
      <c r="K3495" s="15">
        <v>0</v>
      </c>
      <c r="L3495" s="15">
        <v>0</v>
      </c>
      <c r="M3495" s="15">
        <v>0</v>
      </c>
      <c r="N3495" s="15" t="str">
        <v/>
      </c>
      <c r="O3495" s="15" t="str">
        <v/>
      </c>
      <c r="P3495" s="22">
        <v>0</v>
      </c>
      <c r="Q3495">
        <v>0</v>
      </c>
    </row>
    <row r="3496" spans="1:17">
      <c r="A3496" s="19">
        <v>0</v>
      </c>
      <c r="B3496" s="19">
        <v>0</v>
      </c>
      <c r="C3496" s="19">
        <v>0</v>
      </c>
      <c r="D3496" s="19">
        <v>0</v>
      </c>
      <c r="E3496" s="19">
        <v>0</v>
      </c>
      <c r="F3496" s="19">
        <v>0</v>
      </c>
      <c r="G3496" s="19">
        <v>0</v>
      </c>
      <c r="H3496" s="19">
        <v>0</v>
      </c>
      <c r="I3496" s="15">
        <v>3500</v>
      </c>
      <c r="J3496" s="15">
        <v>0</v>
      </c>
      <c r="K3496" s="15">
        <v>0</v>
      </c>
      <c r="L3496" s="15">
        <v>0</v>
      </c>
      <c r="M3496" s="15">
        <v>0</v>
      </c>
      <c r="N3496" s="15" t="str">
        <v/>
      </c>
      <c r="O3496" s="15" t="str">
        <v/>
      </c>
      <c r="P3496" s="22">
        <v>0</v>
      </c>
      <c r="Q3496">
        <v>0</v>
      </c>
    </row>
    <row r="3497" spans="1:17">
      <c r="A3497" s="19">
        <v>0</v>
      </c>
      <c r="B3497" s="19">
        <v>0</v>
      </c>
      <c r="C3497" s="19">
        <v>0</v>
      </c>
      <c r="D3497" s="19">
        <v>0</v>
      </c>
      <c r="E3497" s="19">
        <v>0</v>
      </c>
      <c r="F3497" s="19">
        <v>0</v>
      </c>
      <c r="G3497" s="19">
        <v>0</v>
      </c>
      <c r="H3497" s="19">
        <v>0</v>
      </c>
      <c r="I3497" s="15">
        <v>3500</v>
      </c>
      <c r="J3497" s="15">
        <v>0</v>
      </c>
      <c r="K3497" s="15">
        <v>0</v>
      </c>
      <c r="L3497" s="15">
        <v>0</v>
      </c>
      <c r="M3497" s="15">
        <v>0</v>
      </c>
      <c r="N3497" s="15" t="str">
        <v/>
      </c>
      <c r="O3497" s="15" t="str">
        <v/>
      </c>
      <c r="P3497" s="22">
        <v>0</v>
      </c>
      <c r="Q3497">
        <v>0</v>
      </c>
    </row>
    <row r="3498" spans="1:17">
      <c r="A3498" s="19">
        <v>0</v>
      </c>
      <c r="B3498" s="19">
        <v>0</v>
      </c>
      <c r="C3498" s="19">
        <v>0</v>
      </c>
      <c r="D3498" s="19">
        <v>0</v>
      </c>
      <c r="E3498" s="19">
        <v>0</v>
      </c>
      <c r="F3498" s="19">
        <v>0</v>
      </c>
      <c r="G3498" s="19">
        <v>0</v>
      </c>
      <c r="H3498" s="19">
        <v>0</v>
      </c>
      <c r="I3498" s="15">
        <v>3500</v>
      </c>
      <c r="J3498" s="15">
        <v>0</v>
      </c>
      <c r="K3498" s="15">
        <v>0</v>
      </c>
      <c r="L3498" s="15">
        <v>0</v>
      </c>
      <c r="M3498" s="15">
        <v>0</v>
      </c>
      <c r="N3498" s="15" t="str">
        <v/>
      </c>
      <c r="O3498" s="15" t="str">
        <v/>
      </c>
      <c r="P3498" s="22">
        <v>0</v>
      </c>
      <c r="Q3498">
        <v>0</v>
      </c>
    </row>
    <row r="3499" spans="1:17">
      <c r="A3499" s="19">
        <v>0</v>
      </c>
      <c r="B3499" s="19">
        <v>0</v>
      </c>
      <c r="C3499" s="19">
        <v>0</v>
      </c>
      <c r="D3499" s="19">
        <v>0</v>
      </c>
      <c r="E3499" s="19">
        <v>0</v>
      </c>
      <c r="F3499" s="19">
        <v>0</v>
      </c>
      <c r="G3499" s="19">
        <v>0</v>
      </c>
      <c r="H3499" s="19">
        <v>0</v>
      </c>
      <c r="I3499" s="15">
        <v>3500</v>
      </c>
      <c r="J3499" s="15">
        <v>0</v>
      </c>
      <c r="K3499" s="15">
        <v>0</v>
      </c>
      <c r="L3499" s="15">
        <v>0</v>
      </c>
      <c r="M3499" s="15">
        <v>0</v>
      </c>
      <c r="N3499" s="15" t="str">
        <v/>
      </c>
      <c r="O3499" s="15" t="str">
        <v/>
      </c>
      <c r="P3499" s="22">
        <v>0</v>
      </c>
      <c r="Q3499">
        <v>0</v>
      </c>
    </row>
    <row r="3500" spans="1:17">
      <c r="A3500" s="19">
        <v>0</v>
      </c>
      <c r="B3500" s="19">
        <v>0</v>
      </c>
      <c r="C3500" s="19">
        <v>0</v>
      </c>
      <c r="D3500" s="19">
        <v>0</v>
      </c>
      <c r="E3500" s="19">
        <v>0</v>
      </c>
      <c r="F3500" s="19">
        <v>0</v>
      </c>
      <c r="G3500" s="19">
        <v>0</v>
      </c>
      <c r="H3500" s="19">
        <v>0</v>
      </c>
      <c r="I3500" s="15">
        <v>3500</v>
      </c>
      <c r="J3500" s="15">
        <v>0</v>
      </c>
      <c r="K3500" s="15">
        <v>0</v>
      </c>
      <c r="L3500" s="15">
        <v>0</v>
      </c>
      <c r="M3500" s="15">
        <v>0</v>
      </c>
      <c r="N3500" s="15" t="str">
        <v/>
      </c>
      <c r="O3500" s="15" t="str">
        <v/>
      </c>
      <c r="P3500" s="22">
        <v>0</v>
      </c>
      <c r="Q3500">
        <v>0</v>
      </c>
    </row>
    <row r="3501" spans="1:17">
      <c r="A3501" s="19">
        <v>0</v>
      </c>
      <c r="B3501" s="19">
        <v>0</v>
      </c>
      <c r="C3501" s="19">
        <v>0</v>
      </c>
      <c r="D3501" s="19">
        <v>0</v>
      </c>
      <c r="E3501" s="19">
        <v>0</v>
      </c>
      <c r="F3501" s="19">
        <v>0</v>
      </c>
      <c r="G3501" s="19">
        <v>0</v>
      </c>
      <c r="H3501" s="19">
        <v>0</v>
      </c>
      <c r="I3501" s="15">
        <v>3500</v>
      </c>
      <c r="J3501" s="15">
        <v>0</v>
      </c>
      <c r="K3501" s="15">
        <v>0</v>
      </c>
      <c r="L3501" s="15">
        <v>0</v>
      </c>
      <c r="M3501" s="15">
        <v>0</v>
      </c>
      <c r="N3501" s="15" t="str">
        <v/>
      </c>
      <c r="O3501" s="15" t="str">
        <v/>
      </c>
      <c r="P3501" s="22">
        <v>0</v>
      </c>
      <c r="Q3501">
        <v>0</v>
      </c>
    </row>
  </sheetData>
  <autoFilter ref="A1:Q3501" xr:uid="{D98B7306-3DE8-4B74-BCB2-496FB6CF587F}"/>
  <mergeCells count="2">
    <mergeCell ref="S2:S3"/>
    <mergeCell ref="S5:S6"/>
  </mergeCells>
  <conditionalFormatting sqref="Q2:Q3501">
    <cfRule type="expression" dxfId="3" priority="5">
      <formula>IF(N2=FALSE,TRUE,FALSE)</formula>
    </cfRule>
  </conditionalFormatting>
  <conditionalFormatting sqref="P2:P3501">
    <cfRule type="expression" dxfId="2" priority="6">
      <formula>IF(O2=TRUE,FALSE,TRUE)</formula>
    </cfRule>
  </conditionalFormatting>
  <conditionalFormatting sqref="U501:U1048576 U1:U4">
    <cfRule type="containsText" dxfId="1" priority="4" operator="containsText" text="NOT BALANCED">
      <formula>NOT(ISERROR(SEARCH("NOT BALANCED",U1)))</formula>
    </cfRule>
  </conditionalFormatting>
  <conditionalFormatting sqref="U5:U6">
    <cfRule type="containsText" dxfId="0" priority="1" operator="containsText" text="NOT BALANCED">
      <formula>NOT(ISERROR(SEARCH("NOT BALANCED",U5)))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4" tint="0.39997558519241921"/>
  </sheetPr>
  <dimension ref="A1:A691"/>
  <sheetViews>
    <sheetView workbookViewId="0"/>
  </sheetViews>
  <sheetFormatPr defaultRowHeight="15"/>
  <cols>
    <col min="1" max="1" width="12.42578125" bestFit="1" customWidth="1"/>
  </cols>
  <sheetData>
    <row r="1" spans="1:1">
      <c r="A1" s="23"/>
    </row>
    <row r="2" spans="1:1">
      <c r="A2" s="23"/>
    </row>
    <row r="3" spans="1:1">
      <c r="A3" s="23"/>
    </row>
    <row r="4" spans="1:1">
      <c r="A4" s="23"/>
    </row>
    <row r="5" spans="1:1">
      <c r="A5" s="23"/>
    </row>
    <row r="6" spans="1:1">
      <c r="A6" s="23"/>
    </row>
    <row r="7" spans="1:1">
      <c r="A7" s="23"/>
    </row>
    <row r="8" spans="1:1">
      <c r="A8" s="23"/>
    </row>
    <row r="9" spans="1:1">
      <c r="A9" s="23"/>
    </row>
    <row r="10" spans="1:1">
      <c r="A10" s="23"/>
    </row>
    <row r="11" spans="1:1">
      <c r="A11" s="23"/>
    </row>
    <row r="12" spans="1:1">
      <c r="A12" s="23"/>
    </row>
    <row r="13" spans="1:1">
      <c r="A13" s="23"/>
    </row>
    <row r="14" spans="1:1">
      <c r="A14" s="23"/>
    </row>
    <row r="15" spans="1:1">
      <c r="A15" s="23"/>
    </row>
    <row r="16" spans="1:1">
      <c r="A16" s="23"/>
    </row>
    <row r="17" spans="1:1">
      <c r="A17" s="23"/>
    </row>
    <row r="18" spans="1:1">
      <c r="A18" s="23"/>
    </row>
    <row r="19" spans="1:1">
      <c r="A19" s="23"/>
    </row>
    <row r="20" spans="1:1">
      <c r="A20" s="23"/>
    </row>
    <row r="21" spans="1:1">
      <c r="A21" s="23"/>
    </row>
    <row r="22" spans="1:1">
      <c r="A22" s="23"/>
    </row>
    <row r="23" spans="1:1">
      <c r="A23" s="23"/>
    </row>
    <row r="24" spans="1:1">
      <c r="A24" s="23"/>
    </row>
    <row r="25" spans="1:1">
      <c r="A25" s="23"/>
    </row>
    <row r="26" spans="1:1">
      <c r="A26" s="23"/>
    </row>
    <row r="27" spans="1:1">
      <c r="A27" s="23"/>
    </row>
    <row r="28" spans="1:1">
      <c r="A28" s="23"/>
    </row>
    <row r="29" spans="1:1">
      <c r="A29" s="23"/>
    </row>
    <row r="30" spans="1:1">
      <c r="A30" s="23"/>
    </row>
    <row r="31" spans="1:1">
      <c r="A31" s="23"/>
    </row>
    <row r="32" spans="1:1">
      <c r="A32" s="23"/>
    </row>
    <row r="33" spans="1:1">
      <c r="A33" s="23"/>
    </row>
    <row r="34" spans="1:1">
      <c r="A34" s="23"/>
    </row>
    <row r="35" spans="1:1">
      <c r="A35" s="23"/>
    </row>
    <row r="36" spans="1:1">
      <c r="A36" s="23"/>
    </row>
    <row r="37" spans="1:1">
      <c r="A37" s="23"/>
    </row>
    <row r="38" spans="1:1">
      <c r="A38" s="23"/>
    </row>
    <row r="39" spans="1:1">
      <c r="A39" s="23"/>
    </row>
    <row r="40" spans="1:1">
      <c r="A40" s="23"/>
    </row>
    <row r="41" spans="1:1">
      <c r="A41" s="23"/>
    </row>
    <row r="42" spans="1:1">
      <c r="A42" s="23"/>
    </row>
    <row r="43" spans="1:1">
      <c r="A43" s="23"/>
    </row>
    <row r="44" spans="1:1">
      <c r="A44" s="23"/>
    </row>
    <row r="45" spans="1:1">
      <c r="A45" s="23"/>
    </row>
    <row r="46" spans="1:1">
      <c r="A46" s="23"/>
    </row>
    <row r="47" spans="1:1">
      <c r="A47" s="23"/>
    </row>
    <row r="48" spans="1:1">
      <c r="A48" s="23"/>
    </row>
    <row r="49" spans="1:1">
      <c r="A49" s="23"/>
    </row>
    <row r="50" spans="1:1">
      <c r="A50" s="23"/>
    </row>
    <row r="51" spans="1:1">
      <c r="A51" s="23"/>
    </row>
    <row r="52" spans="1:1">
      <c r="A52" s="23"/>
    </row>
    <row r="53" spans="1:1">
      <c r="A53" s="23"/>
    </row>
    <row r="54" spans="1:1">
      <c r="A54" s="23"/>
    </row>
    <row r="55" spans="1:1">
      <c r="A55" s="23"/>
    </row>
    <row r="56" spans="1:1">
      <c r="A56" s="23"/>
    </row>
    <row r="57" spans="1:1">
      <c r="A57" s="23"/>
    </row>
    <row r="58" spans="1:1">
      <c r="A58" s="23"/>
    </row>
    <row r="59" spans="1:1">
      <c r="A59" s="23"/>
    </row>
    <row r="60" spans="1:1">
      <c r="A60" s="23"/>
    </row>
    <row r="61" spans="1:1">
      <c r="A61" s="23"/>
    </row>
    <row r="62" spans="1:1">
      <c r="A62" s="23"/>
    </row>
    <row r="63" spans="1:1">
      <c r="A63" s="23"/>
    </row>
    <row r="64" spans="1:1">
      <c r="A64" s="23"/>
    </row>
    <row r="65" spans="1:1">
      <c r="A65" s="23"/>
    </row>
    <row r="66" spans="1:1">
      <c r="A66" s="23"/>
    </row>
    <row r="67" spans="1:1">
      <c r="A67" s="23"/>
    </row>
    <row r="68" spans="1:1">
      <c r="A68" s="23"/>
    </row>
    <row r="69" spans="1:1">
      <c r="A69" s="23"/>
    </row>
    <row r="70" spans="1:1">
      <c r="A70" s="23"/>
    </row>
    <row r="71" spans="1:1">
      <c r="A71" s="23"/>
    </row>
    <row r="72" spans="1:1">
      <c r="A72" s="23"/>
    </row>
    <row r="73" spans="1:1">
      <c r="A73" s="23"/>
    </row>
    <row r="74" spans="1:1">
      <c r="A74" s="23"/>
    </row>
    <row r="75" spans="1:1">
      <c r="A75" s="23"/>
    </row>
    <row r="76" spans="1:1">
      <c r="A76" s="23"/>
    </row>
    <row r="77" spans="1:1">
      <c r="A77" s="23"/>
    </row>
    <row r="78" spans="1:1">
      <c r="A78" s="23"/>
    </row>
    <row r="79" spans="1:1">
      <c r="A79" s="23"/>
    </row>
    <row r="80" spans="1:1">
      <c r="A80" s="23"/>
    </row>
    <row r="81" spans="1:1">
      <c r="A81" s="23"/>
    </row>
    <row r="82" spans="1:1">
      <c r="A82" s="23"/>
    </row>
    <row r="83" spans="1:1">
      <c r="A83" s="23"/>
    </row>
    <row r="84" spans="1:1">
      <c r="A84" s="23"/>
    </row>
    <row r="85" spans="1:1">
      <c r="A85" s="23"/>
    </row>
    <row r="86" spans="1:1">
      <c r="A86" s="23"/>
    </row>
    <row r="87" spans="1:1">
      <c r="A87" s="23"/>
    </row>
    <row r="88" spans="1:1">
      <c r="A88" s="23"/>
    </row>
    <row r="89" spans="1:1">
      <c r="A89" s="23"/>
    </row>
    <row r="90" spans="1:1">
      <c r="A90" s="23"/>
    </row>
    <row r="91" spans="1:1">
      <c r="A91" s="23"/>
    </row>
    <row r="92" spans="1:1">
      <c r="A92" s="23"/>
    </row>
    <row r="93" spans="1:1">
      <c r="A93" s="23"/>
    </row>
    <row r="94" spans="1:1">
      <c r="A94" s="23"/>
    </row>
    <row r="95" spans="1:1">
      <c r="A95" s="23"/>
    </row>
    <row r="96" spans="1:1">
      <c r="A96" s="23"/>
    </row>
    <row r="97" spans="1:1">
      <c r="A97" s="23"/>
    </row>
    <row r="98" spans="1:1">
      <c r="A98" s="23"/>
    </row>
    <row r="99" spans="1:1">
      <c r="A99" s="23"/>
    </row>
    <row r="100" spans="1:1">
      <c r="A100" s="23"/>
    </row>
    <row r="101" spans="1:1">
      <c r="A101" s="23"/>
    </row>
    <row r="102" spans="1:1">
      <c r="A102" s="23"/>
    </row>
    <row r="103" spans="1:1">
      <c r="A103" s="23"/>
    </row>
    <row r="104" spans="1:1">
      <c r="A104" s="23"/>
    </row>
    <row r="105" spans="1:1">
      <c r="A105" s="23"/>
    </row>
    <row r="106" spans="1:1">
      <c r="A106" s="23"/>
    </row>
    <row r="107" spans="1:1">
      <c r="A107" s="23"/>
    </row>
    <row r="108" spans="1:1">
      <c r="A108" s="23"/>
    </row>
    <row r="109" spans="1:1">
      <c r="A109" s="23"/>
    </row>
    <row r="110" spans="1:1">
      <c r="A110" s="23"/>
    </row>
    <row r="111" spans="1:1">
      <c r="A111" s="23"/>
    </row>
    <row r="112" spans="1:1">
      <c r="A112" s="23"/>
    </row>
    <row r="113" spans="1:1">
      <c r="A113" s="23"/>
    </row>
    <row r="114" spans="1:1">
      <c r="A114" s="23"/>
    </row>
    <row r="115" spans="1:1">
      <c r="A115" s="23"/>
    </row>
    <row r="116" spans="1:1">
      <c r="A116" s="23"/>
    </row>
    <row r="117" spans="1:1">
      <c r="A117" s="23"/>
    </row>
    <row r="118" spans="1:1">
      <c r="A118" s="23"/>
    </row>
    <row r="119" spans="1:1">
      <c r="A119" s="23"/>
    </row>
    <row r="120" spans="1:1">
      <c r="A120" s="23"/>
    </row>
    <row r="121" spans="1:1">
      <c r="A121" s="23"/>
    </row>
    <row r="122" spans="1:1">
      <c r="A122" s="23"/>
    </row>
    <row r="123" spans="1:1">
      <c r="A123" s="23"/>
    </row>
    <row r="124" spans="1:1">
      <c r="A124" s="23"/>
    </row>
    <row r="125" spans="1:1">
      <c r="A125" s="23"/>
    </row>
    <row r="126" spans="1:1">
      <c r="A126" s="23"/>
    </row>
    <row r="127" spans="1:1">
      <c r="A127" s="23"/>
    </row>
    <row r="128" spans="1:1">
      <c r="A128" s="23"/>
    </row>
    <row r="129" spans="1:1">
      <c r="A129" s="23"/>
    </row>
    <row r="130" spans="1:1">
      <c r="A130" s="23"/>
    </row>
    <row r="131" spans="1:1">
      <c r="A131" s="23"/>
    </row>
    <row r="132" spans="1:1">
      <c r="A132" s="23"/>
    </row>
    <row r="133" spans="1:1">
      <c r="A133" s="23"/>
    </row>
    <row r="134" spans="1:1">
      <c r="A134" s="23"/>
    </row>
    <row r="135" spans="1:1">
      <c r="A135" s="23"/>
    </row>
    <row r="136" spans="1:1">
      <c r="A136" s="23"/>
    </row>
    <row r="137" spans="1:1">
      <c r="A137" s="23"/>
    </row>
    <row r="138" spans="1:1">
      <c r="A138" s="23"/>
    </row>
    <row r="139" spans="1:1">
      <c r="A139" s="23"/>
    </row>
    <row r="140" spans="1:1">
      <c r="A140" s="23"/>
    </row>
    <row r="141" spans="1:1">
      <c r="A141" s="23"/>
    </row>
    <row r="142" spans="1:1">
      <c r="A142" s="23"/>
    </row>
    <row r="143" spans="1:1">
      <c r="A143" s="23"/>
    </row>
    <row r="144" spans="1:1">
      <c r="A144" s="23"/>
    </row>
    <row r="145" spans="1:1">
      <c r="A145" s="23"/>
    </row>
    <row r="146" spans="1:1">
      <c r="A146" s="23"/>
    </row>
    <row r="147" spans="1:1">
      <c r="A147" s="23"/>
    </row>
    <row r="148" spans="1:1">
      <c r="A148" s="23"/>
    </row>
    <row r="149" spans="1:1">
      <c r="A149" s="23"/>
    </row>
    <row r="150" spans="1:1">
      <c r="A150" s="23"/>
    </row>
    <row r="151" spans="1:1">
      <c r="A151" s="23"/>
    </row>
    <row r="152" spans="1:1">
      <c r="A152" s="23"/>
    </row>
    <row r="153" spans="1:1">
      <c r="A153" s="23"/>
    </row>
    <row r="154" spans="1:1">
      <c r="A154" s="23"/>
    </row>
    <row r="155" spans="1:1">
      <c r="A155" s="23"/>
    </row>
    <row r="156" spans="1:1">
      <c r="A156" s="23"/>
    </row>
    <row r="157" spans="1:1">
      <c r="A157" s="23"/>
    </row>
    <row r="158" spans="1:1">
      <c r="A158" s="23"/>
    </row>
    <row r="159" spans="1:1">
      <c r="A159" s="23"/>
    </row>
    <row r="160" spans="1:1">
      <c r="A160" s="23"/>
    </row>
    <row r="161" spans="1:1">
      <c r="A161" s="23"/>
    </row>
    <row r="162" spans="1:1">
      <c r="A162" s="23"/>
    </row>
    <row r="163" spans="1:1">
      <c r="A163" s="23"/>
    </row>
    <row r="164" spans="1:1">
      <c r="A164" s="23"/>
    </row>
    <row r="165" spans="1:1">
      <c r="A165" s="23"/>
    </row>
    <row r="166" spans="1:1">
      <c r="A166" s="23"/>
    </row>
    <row r="167" spans="1:1">
      <c r="A167" s="23"/>
    </row>
    <row r="168" spans="1:1">
      <c r="A168" s="23"/>
    </row>
    <row r="169" spans="1:1">
      <c r="A169" s="23"/>
    </row>
    <row r="170" spans="1:1">
      <c r="A170" s="23"/>
    </row>
    <row r="171" spans="1:1">
      <c r="A171" s="23"/>
    </row>
    <row r="172" spans="1:1">
      <c r="A172" s="23"/>
    </row>
    <row r="173" spans="1:1">
      <c r="A173" s="23"/>
    </row>
    <row r="174" spans="1:1">
      <c r="A174" s="23"/>
    </row>
    <row r="175" spans="1:1">
      <c r="A175" s="23"/>
    </row>
    <row r="176" spans="1:1">
      <c r="A176" s="23"/>
    </row>
    <row r="177" spans="1:1">
      <c r="A177" s="23"/>
    </row>
    <row r="178" spans="1:1">
      <c r="A178" s="23"/>
    </row>
    <row r="179" spans="1:1">
      <c r="A179" s="23"/>
    </row>
    <row r="180" spans="1:1">
      <c r="A180" s="23"/>
    </row>
    <row r="181" spans="1:1">
      <c r="A181" s="23"/>
    </row>
    <row r="182" spans="1:1">
      <c r="A182" s="23"/>
    </row>
    <row r="183" spans="1:1">
      <c r="A183" s="23"/>
    </row>
    <row r="184" spans="1:1">
      <c r="A184" s="23"/>
    </row>
    <row r="185" spans="1:1">
      <c r="A185" s="23"/>
    </row>
    <row r="186" spans="1:1">
      <c r="A186" s="23"/>
    </row>
    <row r="187" spans="1:1">
      <c r="A187" s="23"/>
    </row>
    <row r="188" spans="1:1">
      <c r="A188" s="23"/>
    </row>
    <row r="189" spans="1:1">
      <c r="A189" s="23"/>
    </row>
    <row r="190" spans="1:1">
      <c r="A190" s="23"/>
    </row>
    <row r="191" spans="1:1">
      <c r="A191" s="23"/>
    </row>
    <row r="192" spans="1:1">
      <c r="A192" s="23"/>
    </row>
    <row r="193" spans="1:1">
      <c r="A193" s="23"/>
    </row>
    <row r="194" spans="1:1">
      <c r="A194" s="23"/>
    </row>
    <row r="195" spans="1:1">
      <c r="A195" s="23"/>
    </row>
    <row r="196" spans="1:1">
      <c r="A196" s="23"/>
    </row>
    <row r="197" spans="1:1">
      <c r="A197" s="23"/>
    </row>
    <row r="198" spans="1:1">
      <c r="A198" s="23"/>
    </row>
    <row r="199" spans="1:1">
      <c r="A199" s="23"/>
    </row>
    <row r="200" spans="1:1">
      <c r="A200" s="23"/>
    </row>
    <row r="201" spans="1:1">
      <c r="A201" s="23"/>
    </row>
    <row r="202" spans="1:1">
      <c r="A202" s="23"/>
    </row>
    <row r="203" spans="1:1">
      <c r="A203" s="23"/>
    </row>
    <row r="204" spans="1:1">
      <c r="A204" s="23"/>
    </row>
    <row r="205" spans="1:1">
      <c r="A205" s="23"/>
    </row>
    <row r="206" spans="1:1">
      <c r="A206" s="23"/>
    </row>
    <row r="207" spans="1:1">
      <c r="A207" s="23"/>
    </row>
    <row r="208" spans="1:1">
      <c r="A208" s="23"/>
    </row>
    <row r="209" spans="1:1">
      <c r="A209" s="23"/>
    </row>
    <row r="210" spans="1:1">
      <c r="A210" s="23"/>
    </row>
    <row r="211" spans="1:1">
      <c r="A211" s="23"/>
    </row>
    <row r="212" spans="1:1">
      <c r="A212" s="23"/>
    </row>
    <row r="213" spans="1:1">
      <c r="A213" s="23"/>
    </row>
    <row r="214" spans="1:1">
      <c r="A214" s="23"/>
    </row>
    <row r="215" spans="1:1">
      <c r="A215" s="23"/>
    </row>
    <row r="216" spans="1:1">
      <c r="A216" s="23"/>
    </row>
    <row r="217" spans="1:1">
      <c r="A217" s="23"/>
    </row>
    <row r="218" spans="1:1">
      <c r="A218" s="23"/>
    </row>
    <row r="219" spans="1:1">
      <c r="A219" s="23"/>
    </row>
    <row r="220" spans="1:1">
      <c r="A220" s="23"/>
    </row>
    <row r="221" spans="1:1">
      <c r="A221" s="23"/>
    </row>
    <row r="222" spans="1:1">
      <c r="A222" s="23"/>
    </row>
    <row r="223" spans="1:1">
      <c r="A223" s="23"/>
    </row>
    <row r="224" spans="1:1">
      <c r="A224" s="23"/>
    </row>
    <row r="225" spans="1:1">
      <c r="A225" s="23"/>
    </row>
    <row r="226" spans="1:1">
      <c r="A226" s="23"/>
    </row>
    <row r="227" spans="1:1">
      <c r="A227" s="23"/>
    </row>
    <row r="228" spans="1:1">
      <c r="A228" s="23"/>
    </row>
    <row r="229" spans="1:1">
      <c r="A229" s="23"/>
    </row>
    <row r="230" spans="1:1">
      <c r="A230" s="23"/>
    </row>
    <row r="231" spans="1:1">
      <c r="A231" s="23"/>
    </row>
    <row r="232" spans="1:1">
      <c r="A232" s="23"/>
    </row>
    <row r="233" spans="1:1">
      <c r="A233" s="23"/>
    </row>
    <row r="234" spans="1:1">
      <c r="A234" s="23"/>
    </row>
    <row r="235" spans="1:1">
      <c r="A235" s="23"/>
    </row>
    <row r="236" spans="1:1">
      <c r="A236" s="23"/>
    </row>
    <row r="237" spans="1:1">
      <c r="A237" s="23"/>
    </row>
    <row r="238" spans="1:1">
      <c r="A238" s="23"/>
    </row>
    <row r="239" spans="1:1">
      <c r="A239" s="23"/>
    </row>
    <row r="240" spans="1:1">
      <c r="A240" s="23"/>
    </row>
    <row r="241" spans="1:1">
      <c r="A241" s="23"/>
    </row>
    <row r="242" spans="1:1">
      <c r="A242" s="23"/>
    </row>
    <row r="243" spans="1:1">
      <c r="A243" s="23"/>
    </row>
    <row r="244" spans="1:1">
      <c r="A244" s="23"/>
    </row>
    <row r="245" spans="1:1">
      <c r="A245" s="23"/>
    </row>
    <row r="246" spans="1:1">
      <c r="A246" s="23"/>
    </row>
    <row r="247" spans="1:1">
      <c r="A247" s="23"/>
    </row>
    <row r="248" spans="1:1">
      <c r="A248" s="23"/>
    </row>
    <row r="249" spans="1:1">
      <c r="A249" s="23"/>
    </row>
    <row r="250" spans="1:1">
      <c r="A250" s="23"/>
    </row>
    <row r="251" spans="1:1">
      <c r="A251" s="23"/>
    </row>
    <row r="252" spans="1:1">
      <c r="A252" s="23"/>
    </row>
    <row r="253" spans="1:1">
      <c r="A253" s="23"/>
    </row>
    <row r="254" spans="1:1">
      <c r="A254" s="23"/>
    </row>
    <row r="255" spans="1:1">
      <c r="A255" s="23"/>
    </row>
    <row r="256" spans="1:1">
      <c r="A256" s="23"/>
    </row>
    <row r="257" spans="1:1">
      <c r="A257" s="23"/>
    </row>
    <row r="258" spans="1:1">
      <c r="A258" s="23"/>
    </row>
    <row r="259" spans="1:1">
      <c r="A259" s="23"/>
    </row>
    <row r="260" spans="1:1">
      <c r="A260" s="23"/>
    </row>
    <row r="261" spans="1:1">
      <c r="A261" s="23"/>
    </row>
    <row r="262" spans="1:1">
      <c r="A262" s="23"/>
    </row>
    <row r="263" spans="1:1">
      <c r="A263" s="23"/>
    </row>
    <row r="264" spans="1:1">
      <c r="A264" s="23"/>
    </row>
    <row r="265" spans="1:1">
      <c r="A265" s="23"/>
    </row>
    <row r="266" spans="1:1">
      <c r="A266" s="23"/>
    </row>
    <row r="267" spans="1:1">
      <c r="A267" s="23"/>
    </row>
    <row r="268" spans="1:1">
      <c r="A268" s="23"/>
    </row>
    <row r="269" spans="1:1">
      <c r="A269" s="23"/>
    </row>
    <row r="270" spans="1:1">
      <c r="A270" s="23"/>
    </row>
    <row r="271" spans="1:1">
      <c r="A271" s="23"/>
    </row>
    <row r="272" spans="1:1">
      <c r="A272" s="23"/>
    </row>
    <row r="273" spans="1:1">
      <c r="A273" s="23"/>
    </row>
    <row r="274" spans="1:1">
      <c r="A274" s="23"/>
    </row>
    <row r="275" spans="1:1">
      <c r="A275" s="23"/>
    </row>
    <row r="276" spans="1:1">
      <c r="A276" s="23"/>
    </row>
    <row r="277" spans="1:1">
      <c r="A277" s="23"/>
    </row>
    <row r="278" spans="1:1">
      <c r="A278" s="23"/>
    </row>
    <row r="279" spans="1:1">
      <c r="A279" s="23"/>
    </row>
    <row r="280" spans="1:1">
      <c r="A280" s="23"/>
    </row>
    <row r="281" spans="1:1">
      <c r="A281" s="23"/>
    </row>
    <row r="282" spans="1:1">
      <c r="A282" s="23"/>
    </row>
    <row r="283" spans="1:1">
      <c r="A283" s="23"/>
    </row>
    <row r="284" spans="1:1">
      <c r="A284" s="23"/>
    </row>
    <row r="285" spans="1:1">
      <c r="A285" s="23"/>
    </row>
    <row r="286" spans="1:1">
      <c r="A286" s="23"/>
    </row>
    <row r="287" spans="1:1">
      <c r="A287" s="23"/>
    </row>
    <row r="288" spans="1:1">
      <c r="A288" s="23"/>
    </row>
    <row r="289" spans="1:1">
      <c r="A289" s="23"/>
    </row>
    <row r="290" spans="1:1">
      <c r="A290" s="23"/>
    </row>
    <row r="291" spans="1:1">
      <c r="A291" s="23"/>
    </row>
    <row r="292" spans="1:1">
      <c r="A292" s="23"/>
    </row>
    <row r="293" spans="1:1">
      <c r="A293" s="23"/>
    </row>
    <row r="294" spans="1:1">
      <c r="A294" s="23"/>
    </row>
    <row r="295" spans="1:1">
      <c r="A295" s="23"/>
    </row>
    <row r="296" spans="1:1">
      <c r="A296" s="23"/>
    </row>
    <row r="297" spans="1:1">
      <c r="A297" s="23"/>
    </row>
    <row r="298" spans="1:1">
      <c r="A298" s="23"/>
    </row>
    <row r="299" spans="1:1">
      <c r="A299" s="23"/>
    </row>
    <row r="300" spans="1:1">
      <c r="A300" s="23"/>
    </row>
    <row r="301" spans="1:1">
      <c r="A301" s="23"/>
    </row>
    <row r="302" spans="1:1">
      <c r="A302" s="23"/>
    </row>
    <row r="303" spans="1:1">
      <c r="A303" s="23"/>
    </row>
    <row r="304" spans="1:1">
      <c r="A304" s="23"/>
    </row>
    <row r="305" spans="1:1">
      <c r="A305" s="23"/>
    </row>
    <row r="306" spans="1:1">
      <c r="A306" s="23"/>
    </row>
    <row r="307" spans="1:1">
      <c r="A307" s="23"/>
    </row>
    <row r="308" spans="1:1">
      <c r="A308" s="23"/>
    </row>
    <row r="309" spans="1:1">
      <c r="A309" s="23"/>
    </row>
    <row r="310" spans="1:1">
      <c r="A310" s="23"/>
    </row>
    <row r="311" spans="1:1">
      <c r="A311" s="23"/>
    </row>
    <row r="312" spans="1:1">
      <c r="A312" s="23"/>
    </row>
    <row r="313" spans="1:1">
      <c r="A313" s="23"/>
    </row>
    <row r="314" spans="1:1">
      <c r="A314" s="23"/>
    </row>
    <row r="315" spans="1:1">
      <c r="A315" s="23"/>
    </row>
    <row r="316" spans="1:1">
      <c r="A316" s="23"/>
    </row>
    <row r="317" spans="1:1">
      <c r="A317" s="23"/>
    </row>
    <row r="318" spans="1:1">
      <c r="A318" s="23"/>
    </row>
    <row r="319" spans="1:1">
      <c r="A319" s="23"/>
    </row>
    <row r="320" spans="1:1">
      <c r="A320" s="23"/>
    </row>
    <row r="321" spans="1:1">
      <c r="A321" s="23"/>
    </row>
    <row r="322" spans="1:1">
      <c r="A322" s="23"/>
    </row>
    <row r="323" spans="1:1">
      <c r="A323" s="23"/>
    </row>
    <row r="324" spans="1:1">
      <c r="A324" s="23"/>
    </row>
    <row r="325" spans="1:1">
      <c r="A325" s="23"/>
    </row>
    <row r="326" spans="1:1">
      <c r="A326" s="23"/>
    </row>
    <row r="327" spans="1:1">
      <c r="A327" s="23"/>
    </row>
    <row r="328" spans="1:1">
      <c r="A328" s="23"/>
    </row>
    <row r="329" spans="1:1">
      <c r="A329" s="23"/>
    </row>
    <row r="330" spans="1:1">
      <c r="A330" s="23"/>
    </row>
    <row r="331" spans="1:1">
      <c r="A331" s="23"/>
    </row>
    <row r="332" spans="1:1">
      <c r="A332" s="23"/>
    </row>
    <row r="333" spans="1:1">
      <c r="A333" s="23"/>
    </row>
    <row r="334" spans="1:1">
      <c r="A334" s="23"/>
    </row>
    <row r="335" spans="1:1">
      <c r="A335" s="23"/>
    </row>
    <row r="336" spans="1:1">
      <c r="A336" s="23"/>
    </row>
    <row r="337" spans="1:1">
      <c r="A337" s="23"/>
    </row>
    <row r="338" spans="1:1">
      <c r="A338" s="23"/>
    </row>
    <row r="339" spans="1:1">
      <c r="A339" s="23"/>
    </row>
    <row r="340" spans="1:1">
      <c r="A340" s="23"/>
    </row>
    <row r="341" spans="1:1">
      <c r="A341" s="23"/>
    </row>
    <row r="342" spans="1:1">
      <c r="A342" s="23"/>
    </row>
    <row r="343" spans="1:1">
      <c r="A343" s="23"/>
    </row>
    <row r="344" spans="1:1">
      <c r="A344" s="23"/>
    </row>
    <row r="345" spans="1:1">
      <c r="A345" s="23"/>
    </row>
    <row r="346" spans="1:1">
      <c r="A346" s="23"/>
    </row>
    <row r="347" spans="1:1">
      <c r="A347" s="23"/>
    </row>
    <row r="348" spans="1:1">
      <c r="A348" s="23"/>
    </row>
    <row r="349" spans="1:1">
      <c r="A349" s="23"/>
    </row>
    <row r="350" spans="1:1">
      <c r="A350" s="23"/>
    </row>
    <row r="351" spans="1:1">
      <c r="A351" s="23"/>
    </row>
    <row r="352" spans="1:1">
      <c r="A352" s="23"/>
    </row>
    <row r="353" spans="1:1">
      <c r="A353" s="23"/>
    </row>
    <row r="354" spans="1:1">
      <c r="A354" s="23"/>
    </row>
    <row r="355" spans="1:1">
      <c r="A355" s="23"/>
    </row>
    <row r="356" spans="1:1">
      <c r="A356" s="23"/>
    </row>
    <row r="357" spans="1:1">
      <c r="A357" s="23"/>
    </row>
    <row r="358" spans="1:1">
      <c r="A358" s="23"/>
    </row>
    <row r="359" spans="1:1">
      <c r="A359" s="23"/>
    </row>
    <row r="360" spans="1:1">
      <c r="A360" s="23"/>
    </row>
    <row r="361" spans="1:1">
      <c r="A361" s="23"/>
    </row>
    <row r="362" spans="1:1">
      <c r="A362" s="23"/>
    </row>
    <row r="363" spans="1:1">
      <c r="A363" s="23"/>
    </row>
    <row r="364" spans="1:1">
      <c r="A364" s="23"/>
    </row>
    <row r="365" spans="1:1">
      <c r="A365" s="23"/>
    </row>
    <row r="366" spans="1:1">
      <c r="A366" s="23"/>
    </row>
    <row r="367" spans="1:1">
      <c r="A367" s="23"/>
    </row>
    <row r="368" spans="1:1">
      <c r="A368" s="23"/>
    </row>
    <row r="369" spans="1:1">
      <c r="A369" s="23"/>
    </row>
    <row r="370" spans="1:1">
      <c r="A370" s="23"/>
    </row>
    <row r="371" spans="1:1">
      <c r="A371" s="23"/>
    </row>
    <row r="372" spans="1:1">
      <c r="A372" s="23"/>
    </row>
    <row r="373" spans="1:1">
      <c r="A373" s="23"/>
    </row>
    <row r="374" spans="1:1">
      <c r="A374" s="23"/>
    </row>
    <row r="375" spans="1:1">
      <c r="A375" s="23"/>
    </row>
    <row r="376" spans="1:1">
      <c r="A376" s="23"/>
    </row>
    <row r="377" spans="1:1">
      <c r="A377" s="23"/>
    </row>
    <row r="378" spans="1:1">
      <c r="A378" s="23"/>
    </row>
    <row r="379" spans="1:1">
      <c r="A379" s="23"/>
    </row>
    <row r="380" spans="1:1">
      <c r="A380" s="23"/>
    </row>
    <row r="381" spans="1:1">
      <c r="A381" s="23"/>
    </row>
    <row r="382" spans="1:1">
      <c r="A382" s="23"/>
    </row>
    <row r="383" spans="1:1">
      <c r="A383" s="23"/>
    </row>
    <row r="384" spans="1:1">
      <c r="A384" s="23"/>
    </row>
    <row r="385" spans="1:1">
      <c r="A385" s="23"/>
    </row>
    <row r="386" spans="1:1">
      <c r="A386" s="23"/>
    </row>
    <row r="387" spans="1:1">
      <c r="A387" s="23"/>
    </row>
    <row r="388" spans="1:1">
      <c r="A388" s="23"/>
    </row>
    <row r="389" spans="1:1">
      <c r="A389" s="23"/>
    </row>
    <row r="390" spans="1:1">
      <c r="A390" s="23"/>
    </row>
    <row r="391" spans="1:1">
      <c r="A391" s="23"/>
    </row>
    <row r="392" spans="1:1">
      <c r="A392" s="23"/>
    </row>
    <row r="393" spans="1:1">
      <c r="A393" s="23"/>
    </row>
    <row r="394" spans="1:1">
      <c r="A394" s="23"/>
    </row>
    <row r="395" spans="1:1">
      <c r="A395" s="23"/>
    </row>
    <row r="396" spans="1:1">
      <c r="A396" s="23"/>
    </row>
    <row r="397" spans="1:1">
      <c r="A397" s="23"/>
    </row>
    <row r="398" spans="1:1">
      <c r="A398" s="23"/>
    </row>
    <row r="399" spans="1:1">
      <c r="A399" s="23"/>
    </row>
    <row r="400" spans="1:1">
      <c r="A400" s="23"/>
    </row>
    <row r="401" spans="1:1">
      <c r="A401" s="23"/>
    </row>
    <row r="402" spans="1:1">
      <c r="A402" s="23"/>
    </row>
    <row r="403" spans="1:1">
      <c r="A403" s="23"/>
    </row>
    <row r="404" spans="1:1">
      <c r="A404" s="23"/>
    </row>
    <row r="405" spans="1:1">
      <c r="A405" s="23"/>
    </row>
    <row r="406" spans="1:1">
      <c r="A406" s="23"/>
    </row>
    <row r="407" spans="1:1">
      <c r="A407" s="23"/>
    </row>
    <row r="408" spans="1:1">
      <c r="A408" s="23"/>
    </row>
    <row r="409" spans="1:1">
      <c r="A409" s="23"/>
    </row>
    <row r="410" spans="1:1">
      <c r="A410" s="23"/>
    </row>
    <row r="411" spans="1:1">
      <c r="A411" s="23"/>
    </row>
    <row r="412" spans="1:1">
      <c r="A412" s="23"/>
    </row>
    <row r="413" spans="1:1">
      <c r="A413" s="23"/>
    </row>
    <row r="414" spans="1:1">
      <c r="A414" s="23"/>
    </row>
    <row r="415" spans="1:1">
      <c r="A415" s="23"/>
    </row>
    <row r="416" spans="1:1">
      <c r="A416" s="23"/>
    </row>
    <row r="417" spans="1:1">
      <c r="A417" s="23"/>
    </row>
    <row r="418" spans="1:1">
      <c r="A418" s="23"/>
    </row>
    <row r="419" spans="1:1">
      <c r="A419" s="23"/>
    </row>
    <row r="420" spans="1:1">
      <c r="A420" s="23"/>
    </row>
    <row r="421" spans="1:1">
      <c r="A421" s="23"/>
    </row>
    <row r="422" spans="1:1">
      <c r="A422" s="23"/>
    </row>
    <row r="423" spans="1:1">
      <c r="A423" s="23"/>
    </row>
    <row r="424" spans="1:1">
      <c r="A424" s="23"/>
    </row>
    <row r="425" spans="1:1">
      <c r="A425" s="23"/>
    </row>
    <row r="426" spans="1:1">
      <c r="A426" s="23"/>
    </row>
    <row r="427" spans="1:1">
      <c r="A427" s="23"/>
    </row>
    <row r="428" spans="1:1">
      <c r="A428" s="23"/>
    </row>
    <row r="429" spans="1:1">
      <c r="A429" s="23"/>
    </row>
    <row r="430" spans="1:1">
      <c r="A430" s="23"/>
    </row>
    <row r="431" spans="1:1">
      <c r="A431" s="23"/>
    </row>
    <row r="432" spans="1:1">
      <c r="A432" s="23"/>
    </row>
    <row r="433" spans="1:1">
      <c r="A433" s="23"/>
    </row>
    <row r="434" spans="1:1">
      <c r="A434" s="23"/>
    </row>
    <row r="435" spans="1:1">
      <c r="A435" s="23"/>
    </row>
    <row r="436" spans="1:1">
      <c r="A436" s="23"/>
    </row>
    <row r="437" spans="1:1">
      <c r="A437" s="23"/>
    </row>
    <row r="438" spans="1:1">
      <c r="A438" s="23"/>
    </row>
    <row r="439" spans="1:1">
      <c r="A439" s="23"/>
    </row>
    <row r="440" spans="1:1">
      <c r="A440" s="23"/>
    </row>
    <row r="441" spans="1:1">
      <c r="A441" s="23"/>
    </row>
    <row r="442" spans="1:1">
      <c r="A442" s="23"/>
    </row>
    <row r="443" spans="1:1">
      <c r="A443" s="23"/>
    </row>
    <row r="444" spans="1:1">
      <c r="A444" s="23"/>
    </row>
    <row r="445" spans="1:1">
      <c r="A445" s="23"/>
    </row>
    <row r="446" spans="1:1">
      <c r="A446" s="23"/>
    </row>
    <row r="447" spans="1:1">
      <c r="A447" s="23"/>
    </row>
    <row r="448" spans="1:1">
      <c r="A448" s="23"/>
    </row>
    <row r="449" spans="1:1">
      <c r="A449" s="23"/>
    </row>
    <row r="450" spans="1:1">
      <c r="A450" s="23"/>
    </row>
    <row r="451" spans="1:1">
      <c r="A451" s="23"/>
    </row>
    <row r="452" spans="1:1">
      <c r="A452" s="23"/>
    </row>
    <row r="453" spans="1:1">
      <c r="A453" s="23"/>
    </row>
    <row r="454" spans="1:1">
      <c r="A454" s="23"/>
    </row>
    <row r="455" spans="1:1">
      <c r="A455" s="23"/>
    </row>
    <row r="456" spans="1:1">
      <c r="A456" s="23"/>
    </row>
    <row r="457" spans="1:1">
      <c r="A457" s="23"/>
    </row>
    <row r="458" spans="1:1">
      <c r="A458" s="23"/>
    </row>
    <row r="459" spans="1:1">
      <c r="A459" s="23"/>
    </row>
    <row r="460" spans="1:1">
      <c r="A460" s="23"/>
    </row>
    <row r="461" spans="1:1">
      <c r="A461" s="23"/>
    </row>
    <row r="462" spans="1:1">
      <c r="A462" s="23"/>
    </row>
    <row r="463" spans="1:1">
      <c r="A463" s="23"/>
    </row>
    <row r="464" spans="1:1">
      <c r="A464" s="23"/>
    </row>
    <row r="465" spans="1:1">
      <c r="A465" s="23"/>
    </row>
    <row r="466" spans="1:1">
      <c r="A466" s="23"/>
    </row>
    <row r="467" spans="1:1">
      <c r="A467" s="23"/>
    </row>
    <row r="468" spans="1:1">
      <c r="A468" s="23"/>
    </row>
    <row r="469" spans="1:1">
      <c r="A469" s="23"/>
    </row>
    <row r="470" spans="1:1">
      <c r="A470" s="23"/>
    </row>
    <row r="471" spans="1:1">
      <c r="A471" s="23"/>
    </row>
    <row r="472" spans="1:1">
      <c r="A472" s="23"/>
    </row>
    <row r="473" spans="1:1">
      <c r="A473" s="23"/>
    </row>
    <row r="474" spans="1:1">
      <c r="A474" s="23"/>
    </row>
    <row r="475" spans="1:1">
      <c r="A475" s="23"/>
    </row>
    <row r="476" spans="1:1">
      <c r="A476" s="23"/>
    </row>
    <row r="477" spans="1:1">
      <c r="A477" s="23"/>
    </row>
    <row r="478" spans="1:1">
      <c r="A478" s="23"/>
    </row>
    <row r="479" spans="1:1">
      <c r="A479" s="23"/>
    </row>
    <row r="480" spans="1:1">
      <c r="A480" s="23"/>
    </row>
    <row r="481" spans="1:1">
      <c r="A481" s="23"/>
    </row>
    <row r="482" spans="1:1">
      <c r="A482" s="23"/>
    </row>
    <row r="483" spans="1:1">
      <c r="A483" s="23"/>
    </row>
    <row r="484" spans="1:1">
      <c r="A484" s="23"/>
    </row>
    <row r="485" spans="1:1">
      <c r="A485" s="23"/>
    </row>
    <row r="486" spans="1:1">
      <c r="A486" s="23"/>
    </row>
    <row r="487" spans="1:1">
      <c r="A487" s="23"/>
    </row>
    <row r="488" spans="1:1">
      <c r="A488" s="23"/>
    </row>
    <row r="489" spans="1:1">
      <c r="A489" s="23"/>
    </row>
    <row r="490" spans="1:1">
      <c r="A490" s="23"/>
    </row>
    <row r="491" spans="1:1">
      <c r="A491" s="23"/>
    </row>
    <row r="492" spans="1:1">
      <c r="A492" s="23"/>
    </row>
    <row r="493" spans="1:1">
      <c r="A493" s="23"/>
    </row>
    <row r="494" spans="1:1">
      <c r="A494" s="23"/>
    </row>
    <row r="495" spans="1:1">
      <c r="A495" s="23"/>
    </row>
    <row r="496" spans="1:1">
      <c r="A496" s="23"/>
    </row>
    <row r="497" spans="1:1">
      <c r="A497" s="23"/>
    </row>
    <row r="498" spans="1:1">
      <c r="A498" s="23"/>
    </row>
    <row r="499" spans="1:1">
      <c r="A499" s="23"/>
    </row>
    <row r="500" spans="1:1">
      <c r="A500" s="23"/>
    </row>
    <row r="501" spans="1:1">
      <c r="A501" s="23"/>
    </row>
    <row r="502" spans="1:1">
      <c r="A502" s="23"/>
    </row>
    <row r="503" spans="1:1">
      <c r="A503" s="23"/>
    </row>
    <row r="504" spans="1:1">
      <c r="A504" s="23"/>
    </row>
    <row r="505" spans="1:1">
      <c r="A505" s="23"/>
    </row>
    <row r="506" spans="1:1">
      <c r="A506" s="23"/>
    </row>
    <row r="507" spans="1:1">
      <c r="A507" s="23"/>
    </row>
    <row r="508" spans="1:1">
      <c r="A508" s="23"/>
    </row>
    <row r="509" spans="1:1">
      <c r="A509" s="23"/>
    </row>
    <row r="510" spans="1:1">
      <c r="A510" s="23"/>
    </row>
    <row r="511" spans="1:1">
      <c r="A511" s="23"/>
    </row>
    <row r="512" spans="1:1">
      <c r="A512" s="23"/>
    </row>
    <row r="513" spans="1:1">
      <c r="A513" s="23"/>
    </row>
    <row r="514" spans="1:1">
      <c r="A514" s="23"/>
    </row>
    <row r="515" spans="1:1">
      <c r="A515" s="23"/>
    </row>
    <row r="516" spans="1:1">
      <c r="A516" s="23"/>
    </row>
    <row r="517" spans="1:1">
      <c r="A517" s="23"/>
    </row>
    <row r="518" spans="1:1">
      <c r="A518" s="23"/>
    </row>
    <row r="519" spans="1:1">
      <c r="A519" s="23"/>
    </row>
    <row r="520" spans="1:1">
      <c r="A520" s="23"/>
    </row>
    <row r="521" spans="1:1">
      <c r="A521" s="23"/>
    </row>
    <row r="522" spans="1:1">
      <c r="A522" s="23"/>
    </row>
    <row r="523" spans="1:1">
      <c r="A523" s="23"/>
    </row>
    <row r="524" spans="1:1">
      <c r="A524" s="23"/>
    </row>
    <row r="525" spans="1:1">
      <c r="A525" s="23"/>
    </row>
    <row r="526" spans="1:1">
      <c r="A526" s="23"/>
    </row>
    <row r="527" spans="1:1">
      <c r="A527" s="23"/>
    </row>
    <row r="528" spans="1:1">
      <c r="A528" s="23"/>
    </row>
    <row r="529" spans="1:1">
      <c r="A529" s="23"/>
    </row>
    <row r="530" spans="1:1">
      <c r="A530" s="23"/>
    </row>
    <row r="531" spans="1:1">
      <c r="A531" s="23"/>
    </row>
    <row r="532" spans="1:1">
      <c r="A532" s="23"/>
    </row>
    <row r="533" spans="1:1">
      <c r="A533" s="23"/>
    </row>
    <row r="534" spans="1:1">
      <c r="A534" s="23"/>
    </row>
    <row r="535" spans="1:1">
      <c r="A535" s="23"/>
    </row>
    <row r="536" spans="1:1">
      <c r="A536" s="23"/>
    </row>
    <row r="537" spans="1:1">
      <c r="A537" s="23"/>
    </row>
    <row r="538" spans="1:1">
      <c r="A538" s="23"/>
    </row>
    <row r="539" spans="1:1">
      <c r="A539" s="23"/>
    </row>
    <row r="540" spans="1:1">
      <c r="A540" s="23"/>
    </row>
    <row r="541" spans="1:1">
      <c r="A541" s="23"/>
    </row>
    <row r="542" spans="1:1">
      <c r="A542" s="23"/>
    </row>
    <row r="543" spans="1:1">
      <c r="A543" s="23"/>
    </row>
    <row r="544" spans="1:1">
      <c r="A544" s="23"/>
    </row>
    <row r="545" spans="1:1">
      <c r="A545" s="23"/>
    </row>
    <row r="546" spans="1:1">
      <c r="A546" s="23"/>
    </row>
    <row r="547" spans="1:1">
      <c r="A547" s="23"/>
    </row>
    <row r="548" spans="1:1">
      <c r="A548" s="23"/>
    </row>
    <row r="549" spans="1:1">
      <c r="A549" s="23"/>
    </row>
    <row r="550" spans="1:1">
      <c r="A550" s="23"/>
    </row>
    <row r="551" spans="1:1">
      <c r="A551" s="23"/>
    </row>
    <row r="552" spans="1:1">
      <c r="A552" s="23"/>
    </row>
    <row r="553" spans="1:1">
      <c r="A553" s="23"/>
    </row>
    <row r="554" spans="1:1">
      <c r="A554" s="23"/>
    </row>
    <row r="555" spans="1:1">
      <c r="A555" s="23"/>
    </row>
    <row r="556" spans="1:1">
      <c r="A556" s="23"/>
    </row>
    <row r="557" spans="1:1">
      <c r="A557" s="23"/>
    </row>
    <row r="558" spans="1:1">
      <c r="A558" s="23"/>
    </row>
    <row r="559" spans="1:1">
      <c r="A559" s="23"/>
    </row>
    <row r="560" spans="1:1">
      <c r="A560" s="23"/>
    </row>
    <row r="561" spans="1:1">
      <c r="A561" s="23"/>
    </row>
    <row r="562" spans="1:1">
      <c r="A562" s="23"/>
    </row>
    <row r="563" spans="1:1">
      <c r="A563" s="23"/>
    </row>
    <row r="564" spans="1:1">
      <c r="A564" s="23"/>
    </row>
    <row r="565" spans="1:1">
      <c r="A565" s="23"/>
    </row>
    <row r="566" spans="1:1">
      <c r="A566" s="23"/>
    </row>
    <row r="567" spans="1:1">
      <c r="A567" s="23"/>
    </row>
    <row r="568" spans="1:1">
      <c r="A568" s="23"/>
    </row>
    <row r="569" spans="1:1">
      <c r="A569" s="23"/>
    </row>
    <row r="570" spans="1:1">
      <c r="A570" s="23"/>
    </row>
    <row r="571" spans="1:1">
      <c r="A571" s="23"/>
    </row>
    <row r="572" spans="1:1">
      <c r="A572" s="23"/>
    </row>
    <row r="573" spans="1:1">
      <c r="A573" s="23"/>
    </row>
    <row r="574" spans="1:1">
      <c r="A574" s="23"/>
    </row>
    <row r="575" spans="1:1">
      <c r="A575" s="23"/>
    </row>
    <row r="576" spans="1:1">
      <c r="A576" s="23"/>
    </row>
    <row r="577" spans="1:1">
      <c r="A577" s="23"/>
    </row>
    <row r="578" spans="1:1">
      <c r="A578" s="23"/>
    </row>
    <row r="579" spans="1:1">
      <c r="A579" s="23"/>
    </row>
    <row r="580" spans="1:1">
      <c r="A580" s="23"/>
    </row>
    <row r="581" spans="1:1">
      <c r="A581" s="23"/>
    </row>
    <row r="582" spans="1:1">
      <c r="A582" s="23"/>
    </row>
    <row r="583" spans="1:1">
      <c r="A583" s="23"/>
    </row>
    <row r="584" spans="1:1">
      <c r="A584" s="23"/>
    </row>
    <row r="585" spans="1:1">
      <c r="A585" s="23"/>
    </row>
    <row r="586" spans="1:1">
      <c r="A586" s="23"/>
    </row>
    <row r="587" spans="1:1">
      <c r="A587" s="23"/>
    </row>
    <row r="588" spans="1:1">
      <c r="A588" s="23"/>
    </row>
    <row r="589" spans="1:1">
      <c r="A589" s="23"/>
    </row>
    <row r="590" spans="1:1">
      <c r="A590" s="23"/>
    </row>
    <row r="591" spans="1:1">
      <c r="A591" s="23"/>
    </row>
    <row r="592" spans="1:1">
      <c r="A592" s="23"/>
    </row>
    <row r="593" spans="1:1">
      <c r="A593" s="23"/>
    </row>
    <row r="594" spans="1:1">
      <c r="A594" s="23"/>
    </row>
    <row r="595" spans="1:1">
      <c r="A595" s="23"/>
    </row>
    <row r="596" spans="1:1">
      <c r="A596" s="23"/>
    </row>
    <row r="597" spans="1:1">
      <c r="A597" s="23"/>
    </row>
    <row r="598" spans="1:1">
      <c r="A598" s="23"/>
    </row>
    <row r="599" spans="1:1">
      <c r="A599" s="23"/>
    </row>
    <row r="600" spans="1:1">
      <c r="A600" s="23"/>
    </row>
    <row r="601" spans="1:1">
      <c r="A601" s="23"/>
    </row>
    <row r="602" spans="1:1">
      <c r="A602" s="23"/>
    </row>
    <row r="603" spans="1:1">
      <c r="A603" s="23"/>
    </row>
    <row r="604" spans="1:1">
      <c r="A604" s="23"/>
    </row>
    <row r="605" spans="1:1">
      <c r="A605" s="23"/>
    </row>
    <row r="606" spans="1:1">
      <c r="A606" s="23"/>
    </row>
    <row r="607" spans="1:1">
      <c r="A607" s="23"/>
    </row>
    <row r="608" spans="1:1">
      <c r="A608" s="23"/>
    </row>
    <row r="609" spans="1:1">
      <c r="A609" s="23"/>
    </row>
    <row r="610" spans="1:1">
      <c r="A610" s="23"/>
    </row>
    <row r="611" spans="1:1">
      <c r="A611" s="23"/>
    </row>
    <row r="612" spans="1:1">
      <c r="A612" s="23"/>
    </row>
    <row r="613" spans="1:1">
      <c r="A613" s="23"/>
    </row>
    <row r="614" spans="1:1">
      <c r="A614" s="23"/>
    </row>
    <row r="615" spans="1:1">
      <c r="A615" s="23"/>
    </row>
    <row r="616" spans="1:1">
      <c r="A616" s="23"/>
    </row>
    <row r="617" spans="1:1">
      <c r="A617" s="23"/>
    </row>
    <row r="618" spans="1:1">
      <c r="A618" s="23"/>
    </row>
    <row r="619" spans="1:1">
      <c r="A619" s="23"/>
    </row>
    <row r="620" spans="1:1">
      <c r="A620" s="23"/>
    </row>
    <row r="621" spans="1:1">
      <c r="A621" s="23"/>
    </row>
    <row r="622" spans="1:1">
      <c r="A622" s="23"/>
    </row>
    <row r="623" spans="1:1">
      <c r="A623" s="23"/>
    </row>
    <row r="624" spans="1:1">
      <c r="A624" s="23"/>
    </row>
    <row r="625" spans="1:1">
      <c r="A625" s="23"/>
    </row>
    <row r="626" spans="1:1">
      <c r="A626" s="23"/>
    </row>
    <row r="627" spans="1:1">
      <c r="A627" s="23"/>
    </row>
    <row r="628" spans="1:1">
      <c r="A628" s="23"/>
    </row>
    <row r="629" spans="1:1">
      <c r="A629" s="23"/>
    </row>
    <row r="630" spans="1:1">
      <c r="A630" s="23"/>
    </row>
    <row r="631" spans="1:1">
      <c r="A631" s="23"/>
    </row>
    <row r="632" spans="1:1">
      <c r="A632" s="23"/>
    </row>
    <row r="633" spans="1:1">
      <c r="A633" s="23"/>
    </row>
    <row r="634" spans="1:1">
      <c r="A634" s="23"/>
    </row>
    <row r="635" spans="1:1">
      <c r="A635" s="23"/>
    </row>
    <row r="636" spans="1:1">
      <c r="A636" s="23"/>
    </row>
    <row r="637" spans="1:1">
      <c r="A637" s="23"/>
    </row>
    <row r="638" spans="1:1">
      <c r="A638" s="23"/>
    </row>
    <row r="639" spans="1:1">
      <c r="A639" s="23"/>
    </row>
    <row r="640" spans="1:1">
      <c r="A640" s="23"/>
    </row>
    <row r="641" spans="1:1">
      <c r="A641" s="23"/>
    </row>
    <row r="642" spans="1:1">
      <c r="A642" s="23"/>
    </row>
    <row r="643" spans="1:1">
      <c r="A643" s="23"/>
    </row>
    <row r="644" spans="1:1">
      <c r="A644" s="23"/>
    </row>
    <row r="645" spans="1:1">
      <c r="A645" s="23"/>
    </row>
    <row r="646" spans="1:1">
      <c r="A646" s="23"/>
    </row>
    <row r="647" spans="1:1">
      <c r="A647" s="23"/>
    </row>
    <row r="648" spans="1:1">
      <c r="A648" s="23"/>
    </row>
    <row r="649" spans="1:1">
      <c r="A649" s="23"/>
    </row>
    <row r="650" spans="1:1">
      <c r="A650" s="23"/>
    </row>
    <row r="651" spans="1:1">
      <c r="A651" s="23"/>
    </row>
    <row r="652" spans="1:1">
      <c r="A652" s="23"/>
    </row>
    <row r="653" spans="1:1">
      <c r="A653" s="23"/>
    </row>
    <row r="654" spans="1:1">
      <c r="A654" s="23"/>
    </row>
    <row r="655" spans="1:1">
      <c r="A655" s="23"/>
    </row>
    <row r="656" spans="1:1">
      <c r="A656" s="23"/>
    </row>
    <row r="657" spans="1:1">
      <c r="A657" s="23"/>
    </row>
    <row r="658" spans="1:1">
      <c r="A658" s="23"/>
    </row>
    <row r="659" spans="1:1">
      <c r="A659" s="23"/>
    </row>
    <row r="660" spans="1:1">
      <c r="A660" s="23"/>
    </row>
    <row r="661" spans="1:1">
      <c r="A661" s="23"/>
    </row>
    <row r="662" spans="1:1">
      <c r="A662" s="23"/>
    </row>
    <row r="663" spans="1:1">
      <c r="A663" s="23"/>
    </row>
    <row r="664" spans="1:1">
      <c r="A664" s="23"/>
    </row>
    <row r="665" spans="1:1">
      <c r="A665" s="23"/>
    </row>
    <row r="666" spans="1:1">
      <c r="A666" s="23"/>
    </row>
    <row r="667" spans="1:1">
      <c r="A667" s="23"/>
    </row>
    <row r="668" spans="1:1">
      <c r="A668" s="23"/>
    </row>
    <row r="669" spans="1:1">
      <c r="A669" s="23"/>
    </row>
    <row r="670" spans="1:1">
      <c r="A670" s="23"/>
    </row>
    <row r="671" spans="1:1">
      <c r="A671" s="23"/>
    </row>
    <row r="672" spans="1:1">
      <c r="A672" s="23"/>
    </row>
    <row r="673" spans="1:1">
      <c r="A673" s="23"/>
    </row>
    <row r="674" spans="1:1">
      <c r="A674" s="23"/>
    </row>
    <row r="675" spans="1:1">
      <c r="A675" s="23"/>
    </row>
    <row r="676" spans="1:1">
      <c r="A676" s="23"/>
    </row>
    <row r="677" spans="1:1">
      <c r="A677" s="23"/>
    </row>
    <row r="678" spans="1:1">
      <c r="A678" s="23"/>
    </row>
    <row r="679" spans="1:1">
      <c r="A679" s="23"/>
    </row>
    <row r="680" spans="1:1">
      <c r="A680" s="23"/>
    </row>
    <row r="681" spans="1:1">
      <c r="A681" s="23"/>
    </row>
    <row r="682" spans="1:1">
      <c r="A682" s="23"/>
    </row>
    <row r="683" spans="1:1">
      <c r="A683" s="23"/>
    </row>
    <row r="684" spans="1:1">
      <c r="A684" s="23"/>
    </row>
    <row r="685" spans="1:1">
      <c r="A685" s="23"/>
    </row>
    <row r="686" spans="1:1">
      <c r="A686" s="23"/>
    </row>
    <row r="687" spans="1:1">
      <c r="A687" s="23"/>
    </row>
    <row r="688" spans="1:1">
      <c r="A688" s="23"/>
    </row>
    <row r="689" spans="1:1">
      <c r="A689" s="23"/>
    </row>
    <row r="690" spans="1:1">
      <c r="A690" s="23"/>
    </row>
    <row r="691" spans="1:1">
      <c r="A691" s="23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4" tint="0.39997558519241921"/>
  </sheetPr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928FDDF4963041824424680B9E1C27" ma:contentTypeVersion="7" ma:contentTypeDescription="Create a new document." ma:contentTypeScope="" ma:versionID="a6a762bc79e403b27d6b1211931f24a3">
  <xsd:schema xmlns:xsd="http://www.w3.org/2001/XMLSchema" xmlns:xs="http://www.w3.org/2001/XMLSchema" xmlns:p="http://schemas.microsoft.com/office/2006/metadata/properties" xmlns:ns2="fa8a401c-bcb9-40d3-a61c-078b5880eccb" targetNamespace="http://schemas.microsoft.com/office/2006/metadata/properties" ma:root="true" ma:fieldsID="724e51d4d36572caeef4af285cb3b657" ns2:_="">
    <xsd:import namespace="fa8a401c-bcb9-40d3-a61c-078b5880ecc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8a401c-bcb9-40d3-a61c-078b5880ecc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6643F73-7AA7-4053-AB9F-BBCE9B62802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FF38E51-516B-43DC-815D-C4F49A2B4C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8a401c-bcb9-40d3-a61c-078b5880ecc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0906876-B852-4A3C-9763-1BCF97CA05C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Hide-Unhide</vt:lpstr>
      <vt:lpstr>Rates-Service Fees</vt:lpstr>
      <vt:lpstr>Balancing Sheet</vt:lpstr>
      <vt:lpstr>Website</vt:lpstr>
      <vt:lpstr>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Deeb, Thomas</dc:creator>
  <cp:lastModifiedBy>Martinez, Martin</cp:lastModifiedBy>
  <dcterms:created xsi:type="dcterms:W3CDTF">2017-08-30T22:52:38Z</dcterms:created>
  <dcterms:modified xsi:type="dcterms:W3CDTF">2023-07-07T18:19:25Z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0x010100BE928FDDF4963041824424680B9E1C27</vt:lpwstr>
  </property>
</Properties>
</file>